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jyaxo\Desktop\"/>
    </mc:Choice>
  </mc:AlternateContent>
  <xr:revisionPtr revIDLastSave="0" documentId="8_{9AD9FAA9-6E8F-47EC-8D82-67EA7B1A297D}" xr6:coauthVersionLast="47" xr6:coauthVersionMax="47" xr10:uidLastSave="{00000000-0000-0000-0000-000000000000}"/>
  <bookViews>
    <workbookView xWindow="-120" yWindow="-120" windowWidth="29040" windowHeight="15720" activeTab="4" xr2:uid="{00000000-000D-0000-FFFF-FFFF00000000}"/>
  </bookViews>
  <sheets>
    <sheet name="distribucion" sheetId="2" r:id="rId1"/>
    <sheet name="boleto de ornato" sheetId="23" state="hidden" r:id="rId2"/>
    <sheet name="INCREMENTO SALARIO MINIMO " sheetId="22" state="hidden" r:id="rId3"/>
    <sheet name="Hoja2" sheetId="21" state="hidden" r:id="rId4"/>
    <sheet name="ECONACIONAL" sheetId="31" r:id="rId5"/>
    <sheet name="IGSS ECONACIONAL" sheetId="7" r:id="rId6"/>
    <sheet name="Nomina Econacional" sheetId="9" state="hidden" r:id="rId7"/>
    <sheet name="RECIBO E IGSS ECONACIONAL" sheetId="10" state="hidden" r:id="rId8"/>
    <sheet name="CHEQUES ECONACIONAL" sheetId="11" state="hidden" r:id="rId9"/>
    <sheet name="Sol.Cheques" sheetId="12" r:id="rId10"/>
    <sheet name="Verificador de pago" sheetId="13" r:id="rId11"/>
    <sheet name="Verificador de pago (2)" sheetId="29" r:id="rId12"/>
    <sheet name="Hoja1" sheetId="32" r:id="rId13"/>
    <sheet name="integracion otros descuentos" sheetId="34" r:id="rId14"/>
  </sheets>
  <externalReferences>
    <externalReference r:id="rId15"/>
  </externalReferences>
  <definedNames>
    <definedName name="_xlnm._FilterDatabase" localSheetId="1" hidden="1">'boleto de ornato'!$A$7:$J$197</definedName>
    <definedName name="_xlnm._FilterDatabase" localSheetId="0" hidden="1">distribucion!$F$7:$JF$153</definedName>
    <definedName name="_xlnm._FilterDatabase" localSheetId="4" hidden="1">ECONACIONAL!$B$7:$AN$168</definedName>
    <definedName name="_xlnm._FilterDatabase" localSheetId="5" hidden="1">'IGSS ECONACIONAL'!$A$5:$XER$18</definedName>
    <definedName name="_xlnm._FilterDatabase" localSheetId="2" hidden="1">'INCREMENTO SALARIO MINIMO '!$A$7:$CY$134</definedName>
    <definedName name="_xlnm.Print_Area" localSheetId="1">'boleto de ornato'!$A$1:$I$197</definedName>
    <definedName name="_xlnm.Print_Area" localSheetId="4">ECONACIONAL!$A$1:$AC$189</definedName>
    <definedName name="_xlnm.Print_Area" localSheetId="2">'INCREMENTO SALARIO MINIMO '!$A$1:$CX$252</definedName>
    <definedName name="_xlnm.Print_Area" localSheetId="6">'Nomina Econacional'!$A$1:$AA$37</definedName>
    <definedName name="_xlnm.Print_Area" localSheetId="9">Sol.Cheques!$A$1:$I$26</definedName>
    <definedName name="_xlnm.Print_Area" localSheetId="10">'Verificador de pago'!$A$1:$K$44</definedName>
    <definedName name="_xlnm.Print_Area" localSheetId="11">'Verificador de pago (2)'!$A$1:$K$44</definedName>
    <definedName name="ECONACIONAL">'Nomina Econacional'!$A$4:$AB$153</definedName>
    <definedName name="Excel_BuiltIn__FilterDatabase" localSheetId="1">'boleto de ornato'!#REF!</definedName>
    <definedName name="Excel_BuiltIn__FilterDatabase" localSheetId="0">distribucion!$T$6:$T$153</definedName>
    <definedName name="Excel_BuiltIn__FilterDatabase" localSheetId="5">'IGSS ECONACIONAL'!$B$5:$AB$6</definedName>
    <definedName name="Excel_BuiltIn__FilterDatabase" localSheetId="2">'INCREMENTO SALARIO MINIMO '!#REF!</definedName>
    <definedName name="Excel_BuiltIn__FilterDatabase" localSheetId="7">'RECIBO E IGSS ECONACIONAL'!$B$1:$AB$2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8" i="34" l="1"/>
  <c r="E15" i="34"/>
  <c r="D15" i="34"/>
  <c r="C15" i="34"/>
  <c r="C17" i="34" s="1"/>
  <c r="BJ291" i="2"/>
  <c r="C19" i="34" l="1"/>
  <c r="BJ290" i="2"/>
  <c r="CS152" i="2"/>
  <c r="CR152" i="2"/>
  <c r="CQ152" i="2"/>
  <c r="CP152" i="2"/>
  <c r="CO152" i="2"/>
  <c r="CN152" i="2"/>
  <c r="CM152" i="2"/>
  <c r="CL152" i="2"/>
  <c r="CK152" i="2"/>
  <c r="CJ152" i="2"/>
  <c r="CI152" i="2"/>
  <c r="CH152" i="2"/>
  <c r="CG152" i="2"/>
  <c r="CF152" i="2"/>
  <c r="CE152" i="2"/>
  <c r="CD152" i="2"/>
  <c r="CC152" i="2"/>
  <c r="CB152" i="2"/>
  <c r="CA152" i="2"/>
  <c r="BZ152" i="2"/>
  <c r="BY152" i="2"/>
  <c r="BX152" i="2"/>
  <c r="BW152" i="2"/>
  <c r="BV152" i="2"/>
  <c r="BU152" i="2"/>
  <c r="BT152" i="2"/>
  <c r="BS152" i="2"/>
  <c r="BR152" i="2"/>
  <c r="BQ152" i="2"/>
  <c r="BP152" i="2"/>
  <c r="BO152" i="2"/>
  <c r="BN152" i="2"/>
  <c r="BM152" i="2"/>
  <c r="BL152" i="2"/>
  <c r="BK152" i="2"/>
  <c r="BJ152" i="2"/>
  <c r="BI152" i="2"/>
  <c r="BH152" i="2"/>
  <c r="BG152" i="2"/>
  <c r="BF152" i="2"/>
  <c r="BE152" i="2"/>
  <c r="BD152" i="2"/>
  <c r="BC152" i="2"/>
  <c r="BB152" i="2"/>
  <c r="BA151" i="2"/>
  <c r="BA19" i="2"/>
  <c r="CS18" i="2"/>
  <c r="CR18" i="2"/>
  <c r="CQ18" i="2"/>
  <c r="CP18" i="2"/>
  <c r="CO18" i="2"/>
  <c r="CN18" i="2"/>
  <c r="CM18" i="2"/>
  <c r="CL18" i="2"/>
  <c r="CK18" i="2"/>
  <c r="CJ18" i="2"/>
  <c r="CI18" i="2"/>
  <c r="CH18" i="2"/>
  <c r="CG18" i="2"/>
  <c r="CF18" i="2"/>
  <c r="CE18" i="2"/>
  <c r="CD18" i="2"/>
  <c r="CC18" i="2"/>
  <c r="CB18" i="2"/>
  <c r="CA18" i="2"/>
  <c r="BZ18" i="2"/>
  <c r="BY18" i="2"/>
  <c r="BX18" i="2"/>
  <c r="BW18" i="2"/>
  <c r="BV18" i="2"/>
  <c r="BU18" i="2"/>
  <c r="BT18" i="2"/>
  <c r="BS18" i="2"/>
  <c r="BR18" i="2"/>
  <c r="BQ18" i="2"/>
  <c r="BP18" i="2"/>
  <c r="BO18" i="2"/>
  <c r="BN18" i="2"/>
  <c r="BM18" i="2"/>
  <c r="BL18" i="2"/>
  <c r="BK18" i="2"/>
  <c r="BJ18" i="2"/>
  <c r="BI18" i="2"/>
  <c r="BH18" i="2"/>
  <c r="BG18" i="2"/>
  <c r="BF18" i="2"/>
  <c r="BE18" i="2"/>
  <c r="BD18" i="2"/>
  <c r="BC18" i="2"/>
  <c r="BB18" i="2"/>
  <c r="BA18" i="2"/>
  <c r="B100" i="31"/>
  <c r="B101" i="31" s="1"/>
  <c r="B99" i="31"/>
  <c r="H11" i="12"/>
  <c r="D56" i="7" l="1"/>
  <c r="B56" i="7"/>
  <c r="A56" i="7"/>
  <c r="Y20" i="31"/>
  <c r="X20" i="31"/>
  <c r="W20" i="31"/>
  <c r="V20" i="31"/>
  <c r="U20" i="31"/>
  <c r="T20" i="31"/>
  <c r="S20" i="31"/>
  <c r="P20" i="31"/>
  <c r="N20" i="31"/>
  <c r="M20" i="31"/>
  <c r="L20" i="31"/>
  <c r="K20" i="31"/>
  <c r="I20" i="31"/>
  <c r="H20" i="31"/>
  <c r="F20" i="31"/>
  <c r="D20" i="31"/>
  <c r="C20" i="31"/>
  <c r="EP19" i="2"/>
  <c r="EP18" i="2"/>
  <c r="FJ17" i="2"/>
  <c r="FI17" i="2"/>
  <c r="FH17" i="2"/>
  <c r="FG17" i="2"/>
  <c r="FF17" i="2"/>
  <c r="FE17" i="2"/>
  <c r="FD17" i="2"/>
  <c r="FC17" i="2"/>
  <c r="FB17" i="2"/>
  <c r="FA17" i="2"/>
  <c r="EY17" i="2"/>
  <c r="FV17" i="2" s="1"/>
  <c r="EJ17" i="2"/>
  <c r="EE17" i="2"/>
  <c r="ED17" i="2"/>
  <c r="EC17" i="2"/>
  <c r="EB17" i="2"/>
  <c r="EA17" i="2"/>
  <c r="DZ17" i="2"/>
  <c r="DY17" i="2"/>
  <c r="DX17" i="2"/>
  <c r="DW17" i="2"/>
  <c r="DU17" i="2"/>
  <c r="DT17" i="2"/>
  <c r="DS17" i="2"/>
  <c r="DR17" i="2"/>
  <c r="DQ17" i="2"/>
  <c r="DP17" i="2"/>
  <c r="DO17" i="2"/>
  <c r="DN17" i="2"/>
  <c r="DL17" i="2"/>
  <c r="DK17" i="2"/>
  <c r="DJ17" i="2"/>
  <c r="DI17" i="2"/>
  <c r="DH17" i="2"/>
  <c r="DG17" i="2"/>
  <c r="DF17" i="2"/>
  <c r="DE17" i="2"/>
  <c r="DC17" i="2"/>
  <c r="DB17" i="2"/>
  <c r="DA17" i="2"/>
  <c r="CZ17" i="2"/>
  <c r="CY17" i="2"/>
  <c r="CX17" i="2"/>
  <c r="CW17" i="2"/>
  <c r="CV17" i="2"/>
  <c r="CQ17" i="2"/>
  <c r="CO17" i="2"/>
  <c r="CM17" i="2"/>
  <c r="CL17" i="2"/>
  <c r="CK17" i="2"/>
  <c r="CH17" i="2"/>
  <c r="CF17" i="2"/>
  <c r="CD17" i="2"/>
  <c r="CC17" i="2"/>
  <c r="CB17" i="2"/>
  <c r="BY17" i="2"/>
  <c r="BW17" i="2"/>
  <c r="BU17" i="2"/>
  <c r="BT17" i="2"/>
  <c r="BS17" i="2"/>
  <c r="BP17" i="2"/>
  <c r="BN17" i="2"/>
  <c r="BL17" i="2"/>
  <c r="BK17" i="2"/>
  <c r="BJ17" i="2"/>
  <c r="BG17" i="2"/>
  <c r="EL17" i="2" s="1"/>
  <c r="BE17" i="2"/>
  <c r="BC17" i="2"/>
  <c r="EH17" i="2" s="1"/>
  <c r="BB17" i="2"/>
  <c r="BA17" i="2"/>
  <c r="AN17" i="2"/>
  <c r="CP17" i="2" s="1"/>
  <c r="AL17" i="2"/>
  <c r="CN17" i="2" s="1"/>
  <c r="CR17" i="2" s="1"/>
  <c r="AJ17" i="2"/>
  <c r="CG17" i="2" s="1"/>
  <c r="AH17" i="2"/>
  <c r="CE17" i="2" s="1"/>
  <c r="AF17" i="2"/>
  <c r="BX17" i="2" s="1"/>
  <c r="AD17" i="2"/>
  <c r="BV17" i="2" s="1"/>
  <c r="AB17" i="2"/>
  <c r="BO17" i="2" s="1"/>
  <c r="Z17" i="2"/>
  <c r="BM17" i="2" s="1"/>
  <c r="X17" i="2"/>
  <c r="BF17" i="2" s="1"/>
  <c r="V17" i="2"/>
  <c r="BD17" i="2" s="1"/>
  <c r="S17" i="2"/>
  <c r="L17" i="2"/>
  <c r="R20" i="31" l="1"/>
  <c r="O56" i="7" s="1"/>
  <c r="E20" i="31"/>
  <c r="Q56" i="7"/>
  <c r="R56" i="7"/>
  <c r="S56" i="7"/>
  <c r="T56" i="7"/>
  <c r="U56" i="7"/>
  <c r="V56" i="7"/>
  <c r="E56" i="7"/>
  <c r="Y56" i="7"/>
  <c r="F56" i="7"/>
  <c r="G56" i="7"/>
  <c r="H56" i="7"/>
  <c r="I56" i="7"/>
  <c r="J56" i="7"/>
  <c r="K56" i="7"/>
  <c r="L56" i="7"/>
  <c r="M56" i="7"/>
  <c r="P56" i="7"/>
  <c r="J20" i="31"/>
  <c r="Q20" i="31" s="1"/>
  <c r="N56" i="7" s="1"/>
  <c r="EG17" i="2"/>
  <c r="CI17" i="2"/>
  <c r="DM17" i="2"/>
  <c r="DV17" i="2"/>
  <c r="BZ17" i="2"/>
  <c r="FR17" i="2"/>
  <c r="DD17" i="2"/>
  <c r="CJ17" i="2"/>
  <c r="FS17" i="2"/>
  <c r="EK17" i="2"/>
  <c r="EI17" i="2"/>
  <c r="BQ17" i="2"/>
  <c r="BR17" i="2" s="1"/>
  <c r="CS17" i="2"/>
  <c r="CA17" i="2"/>
  <c r="BH17" i="2"/>
  <c r="EM17" i="2" s="1"/>
  <c r="BI17" i="2"/>
  <c r="EF17" i="2"/>
  <c r="FU17" i="2" s="1"/>
  <c r="Z20" i="31" l="1"/>
  <c r="W56" i="7" s="1"/>
  <c r="EN17" i="2"/>
  <c r="FT17" i="2" s="1"/>
  <c r="AA20" i="31" l="1"/>
  <c r="X56" i="7" s="1"/>
  <c r="GF140" i="2"/>
  <c r="GE140" i="2"/>
  <c r="GD140" i="2"/>
  <c r="GC140" i="2"/>
  <c r="GB140" i="2"/>
  <c r="GA140" i="2"/>
  <c r="FZ140" i="2"/>
  <c r="FY140" i="2"/>
  <c r="FX140" i="2"/>
  <c r="FW140" i="2"/>
  <c r="FS140" i="2"/>
  <c r="FR140" i="2"/>
  <c r="FQ140" i="2"/>
  <c r="FP140" i="2"/>
  <c r="FO140" i="2"/>
  <c r="FN140" i="2"/>
  <c r="FM140" i="2"/>
  <c r="FL140" i="2"/>
  <c r="FK140" i="2"/>
  <c r="FJ140" i="2"/>
  <c r="FI140" i="2"/>
  <c r="FH140" i="2"/>
  <c r="FG140" i="2"/>
  <c r="FF140" i="2"/>
  <c r="FE140" i="2"/>
  <c r="FD140" i="2"/>
  <c r="FC140" i="2"/>
  <c r="FB140" i="2"/>
  <c r="EZ140" i="2"/>
  <c r="EY140" i="2"/>
  <c r="EX140" i="2"/>
  <c r="EW140" i="2"/>
  <c r="EV140" i="2"/>
  <c r="EU140" i="2"/>
  <c r="ET140" i="2"/>
  <c r="ES140" i="2"/>
  <c r="ER140" i="2"/>
  <c r="EQ140" i="2"/>
  <c r="EP140" i="2"/>
  <c r="EO140" i="2"/>
  <c r="EL140" i="2"/>
  <c r="EK140" i="2"/>
  <c r="EJ140" i="2"/>
  <c r="EH140" i="2"/>
  <c r="DT140" i="2"/>
  <c r="DS140" i="2"/>
  <c r="DR140" i="2"/>
  <c r="DQ140" i="2"/>
  <c r="DP140" i="2"/>
  <c r="DK140" i="2"/>
  <c r="DJ140" i="2"/>
  <c r="DI140" i="2"/>
  <c r="DH140" i="2"/>
  <c r="DG140" i="2"/>
  <c r="DB140" i="2"/>
  <c r="DA140" i="2"/>
  <c r="CZ140" i="2"/>
  <c r="CY140" i="2"/>
  <c r="CX140" i="2"/>
  <c r="CU140" i="2"/>
  <c r="CT140" i="2"/>
  <c r="CS140" i="2"/>
  <c r="CR140" i="2"/>
  <c r="CQ140" i="2"/>
  <c r="CP140" i="2"/>
  <c r="CO140" i="2"/>
  <c r="CN140" i="2"/>
  <c r="CM140" i="2"/>
  <c r="CL140" i="2"/>
  <c r="CK140" i="2"/>
  <c r="CJ140" i="2"/>
  <c r="CI140" i="2"/>
  <c r="CH140" i="2"/>
  <c r="CG140" i="2"/>
  <c r="CF140" i="2"/>
  <c r="CE140" i="2"/>
  <c r="CD140" i="2"/>
  <c r="CC140" i="2"/>
  <c r="CB140" i="2"/>
  <c r="BY140" i="2"/>
  <c r="BX140" i="2"/>
  <c r="BW140" i="2"/>
  <c r="BV140" i="2"/>
  <c r="BU140" i="2"/>
  <c r="BP140" i="2"/>
  <c r="BO140" i="2"/>
  <c r="BN140" i="2"/>
  <c r="BM140" i="2"/>
  <c r="BL140" i="2"/>
  <c r="BI140" i="2"/>
  <c r="BH140" i="2"/>
  <c r="BG140" i="2"/>
  <c r="BF140" i="2"/>
  <c r="BE140" i="2"/>
  <c r="BD140" i="2"/>
  <c r="BC140" i="2"/>
  <c r="BB140" i="2"/>
  <c r="BA140" i="2"/>
  <c r="AZ140" i="2"/>
  <c r="AY140" i="2"/>
  <c r="AX140" i="2"/>
  <c r="AW140" i="2"/>
  <c r="AV140" i="2"/>
  <c r="AU140" i="2"/>
  <c r="AT140" i="2"/>
  <c r="AS140" i="2"/>
  <c r="AR140" i="2"/>
  <c r="AQ140" i="2"/>
  <c r="AP140" i="2"/>
  <c r="AO140" i="2"/>
  <c r="AN140" i="2"/>
  <c r="AM140" i="2"/>
  <c r="AL140" i="2"/>
  <c r="AK140" i="2"/>
  <c r="AJ140" i="2"/>
  <c r="AI140" i="2"/>
  <c r="AH140" i="2"/>
  <c r="AG140" i="2"/>
  <c r="AF140" i="2"/>
  <c r="AE140" i="2"/>
  <c r="AD140" i="2"/>
  <c r="AC140" i="2"/>
  <c r="AB140" i="2"/>
  <c r="AA140" i="2"/>
  <c r="Z140" i="2"/>
  <c r="Y140" i="2"/>
  <c r="X140" i="2"/>
  <c r="W140" i="2"/>
  <c r="V140" i="2"/>
  <c r="U140" i="2"/>
  <c r="L140" i="2"/>
  <c r="K140" i="2"/>
  <c r="J140" i="2"/>
  <c r="D55" i="7"/>
  <c r="B55" i="7"/>
  <c r="Y55" i="7"/>
  <c r="M55" i="7"/>
  <c r="E55" i="7"/>
  <c r="A55" i="7"/>
  <c r="AG153" i="31"/>
  <c r="AF153" i="31"/>
  <c r="AE153" i="31"/>
  <c r="AD153" i="31"/>
  <c r="AB153" i="31"/>
  <c r="P153" i="31"/>
  <c r="O153" i="31"/>
  <c r="Y152" i="31"/>
  <c r="V55" i="7" s="1"/>
  <c r="X152" i="31"/>
  <c r="U55" i="7" s="1"/>
  <c r="W152" i="31"/>
  <c r="T55" i="7" s="1"/>
  <c r="V152" i="31"/>
  <c r="U152" i="31"/>
  <c r="R55" i="7" s="1"/>
  <c r="T152" i="31"/>
  <c r="Q55" i="7" s="1"/>
  <c r="N152" i="31"/>
  <c r="L55" i="7" s="1"/>
  <c r="M152" i="31"/>
  <c r="K55" i="7" s="1"/>
  <c r="L152" i="31"/>
  <c r="J55" i="7" s="1"/>
  <c r="K152" i="31"/>
  <c r="I55" i="7" s="1"/>
  <c r="I152" i="31"/>
  <c r="H55" i="7" s="1"/>
  <c r="H152" i="31"/>
  <c r="F152" i="31"/>
  <c r="F55" i="7" s="1"/>
  <c r="D152" i="31"/>
  <c r="C152" i="31"/>
  <c r="FI139" i="2"/>
  <c r="FH139" i="2"/>
  <c r="FG139" i="2"/>
  <c r="FF139" i="2"/>
  <c r="FE139" i="2"/>
  <c r="FD139" i="2"/>
  <c r="FC139" i="2"/>
  <c r="FB139" i="2"/>
  <c r="FA139" i="2"/>
  <c r="S152" i="31" s="1"/>
  <c r="P55" i="7" s="1"/>
  <c r="EY139" i="2"/>
  <c r="FJ139" i="2" s="1"/>
  <c r="EJ139" i="2"/>
  <c r="ED139" i="2"/>
  <c r="EC139" i="2"/>
  <c r="EB139" i="2"/>
  <c r="EA139" i="2"/>
  <c r="DZ139" i="2"/>
  <c r="DY139" i="2"/>
  <c r="DX139" i="2"/>
  <c r="DW139" i="2"/>
  <c r="DU139" i="2"/>
  <c r="DT139" i="2"/>
  <c r="DS139" i="2"/>
  <c r="DR139" i="2"/>
  <c r="DQ139" i="2"/>
  <c r="DP139" i="2"/>
  <c r="DO139" i="2"/>
  <c r="DN139" i="2"/>
  <c r="DL139" i="2"/>
  <c r="DK139" i="2"/>
  <c r="DJ139" i="2"/>
  <c r="DI139" i="2"/>
  <c r="DH139" i="2"/>
  <c r="DG139" i="2"/>
  <c r="DF139" i="2"/>
  <c r="DE139" i="2"/>
  <c r="DC139" i="2"/>
  <c r="DB139" i="2"/>
  <c r="DA139" i="2"/>
  <c r="CZ139" i="2"/>
  <c r="CY139" i="2"/>
  <c r="CX139" i="2"/>
  <c r="CW139" i="2"/>
  <c r="CV139" i="2"/>
  <c r="CQ139" i="2"/>
  <c r="CO139" i="2"/>
  <c r="CM139" i="2"/>
  <c r="CL139" i="2"/>
  <c r="CK139" i="2"/>
  <c r="CH139" i="2"/>
  <c r="CF139" i="2"/>
  <c r="CD139" i="2"/>
  <c r="CC139" i="2"/>
  <c r="CB139" i="2"/>
  <c r="BY139" i="2"/>
  <c r="BW139" i="2"/>
  <c r="BU139" i="2"/>
  <c r="BT139" i="2"/>
  <c r="BS139" i="2"/>
  <c r="BP139" i="2"/>
  <c r="BN139" i="2"/>
  <c r="BL139" i="2"/>
  <c r="BK139" i="2"/>
  <c r="BJ139" i="2"/>
  <c r="BG139" i="2"/>
  <c r="EL139" i="2" s="1"/>
  <c r="BE139" i="2"/>
  <c r="BC139" i="2"/>
  <c r="EH139" i="2" s="1"/>
  <c r="BB139" i="2"/>
  <c r="BA139" i="2"/>
  <c r="AN139" i="2"/>
  <c r="CP139" i="2" s="1"/>
  <c r="AL139" i="2"/>
  <c r="CN139" i="2" s="1"/>
  <c r="AJ139" i="2"/>
  <c r="CG139" i="2" s="1"/>
  <c r="AH139" i="2"/>
  <c r="CE139" i="2" s="1"/>
  <c r="AF139" i="2"/>
  <c r="BX139" i="2" s="1"/>
  <c r="AD139" i="2"/>
  <c r="BV139" i="2" s="1"/>
  <c r="AB139" i="2"/>
  <c r="BO139" i="2" s="1"/>
  <c r="Z139" i="2"/>
  <c r="BM139" i="2" s="1"/>
  <c r="X139" i="2"/>
  <c r="BF139" i="2" s="1"/>
  <c r="V139" i="2"/>
  <c r="BD139" i="2" s="1"/>
  <c r="S139" i="2"/>
  <c r="L139" i="2"/>
  <c r="BK86" i="2"/>
  <c r="BB86" i="2"/>
  <c r="BK93" i="2"/>
  <c r="BK94" i="2"/>
  <c r="BK95" i="2"/>
  <c r="AC20" i="31" l="1"/>
  <c r="AD20" i="31" s="1"/>
  <c r="AE20" i="31"/>
  <c r="FA140" i="2"/>
  <c r="FV139" i="2"/>
  <c r="FV140" i="2" s="1"/>
  <c r="E152" i="31"/>
  <c r="G55" i="7"/>
  <c r="R152" i="31"/>
  <c r="S55" i="7"/>
  <c r="J152" i="31"/>
  <c r="Q152" i="31" s="1"/>
  <c r="DD139" i="2"/>
  <c r="EG139" i="2"/>
  <c r="EE139" i="2"/>
  <c r="CI139" i="2"/>
  <c r="DM139" i="2"/>
  <c r="EF139" i="2"/>
  <c r="FU139" i="2" s="1"/>
  <c r="DV139" i="2"/>
  <c r="EK139" i="2"/>
  <c r="BZ139" i="2"/>
  <c r="CA139" i="2" s="1"/>
  <c r="CR139" i="2"/>
  <c r="BQ139" i="2"/>
  <c r="BR139" i="2" s="1"/>
  <c r="CS139" i="2"/>
  <c r="CJ139" i="2"/>
  <c r="EI139" i="2"/>
  <c r="BH139" i="2"/>
  <c r="FR139" i="2"/>
  <c r="FS139" i="2"/>
  <c r="BK145" i="2"/>
  <c r="BB145" i="2"/>
  <c r="Z56" i="7" l="1"/>
  <c r="N55" i="7"/>
  <c r="Z152" i="31"/>
  <c r="W55" i="7" s="1"/>
  <c r="O55" i="7"/>
  <c r="EM139" i="2"/>
  <c r="EN139" i="2"/>
  <c r="BI139" i="2"/>
  <c r="FT139" i="2" s="1"/>
  <c r="AA152" i="31" l="1"/>
  <c r="BK134" i="2"/>
  <c r="BB134" i="2"/>
  <c r="BK132" i="2"/>
  <c r="BB132" i="2"/>
  <c r="BK89" i="2"/>
  <c r="BB89" i="2"/>
  <c r="BK88" i="2"/>
  <c r="BB88" i="2"/>
  <c r="BB94" i="2"/>
  <c r="BB93" i="2"/>
  <c r="BK83" i="2"/>
  <c r="BB83" i="2"/>
  <c r="BK96" i="2"/>
  <c r="BB96" i="2"/>
  <c r="BK87" i="2"/>
  <c r="BB87" i="2"/>
  <c r="BT45" i="2"/>
  <c r="BK45" i="2"/>
  <c r="BB45" i="2"/>
  <c r="CC50" i="2"/>
  <c r="BT50" i="2"/>
  <c r="BK50" i="2"/>
  <c r="BB50" i="2"/>
  <c r="CC56" i="2"/>
  <c r="BT56" i="2"/>
  <c r="BK56" i="2"/>
  <c r="BB56" i="2"/>
  <c r="CC53" i="2"/>
  <c r="BT53" i="2"/>
  <c r="BK53" i="2"/>
  <c r="BB53" i="2"/>
  <c r="ES144" i="2"/>
  <c r="ES129" i="2"/>
  <c r="ES124" i="2"/>
  <c r="ES117" i="2"/>
  <c r="ES95" i="2"/>
  <c r="ES93" i="2"/>
  <c r="ES89" i="2"/>
  <c r="ES87" i="2"/>
  <c r="ES50" i="2"/>
  <c r="ES25" i="2"/>
  <c r="ES24" i="2"/>
  <c r="ES23" i="2"/>
  <c r="ES22" i="2"/>
  <c r="ES9" i="2"/>
  <c r="AC152" i="31" l="1"/>
  <c r="Z55" i="7" s="1"/>
  <c r="X55" i="7"/>
  <c r="ES88" i="2" l="1"/>
  <c r="A8" i="7"/>
  <c r="A9" i="7" s="1"/>
  <c r="A10" i="7" s="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7" i="7"/>
  <c r="C142" i="31" l="1"/>
  <c r="B54" i="7" s="1"/>
  <c r="BT106" i="2"/>
  <c r="BK106" i="2"/>
  <c r="BB106" i="2"/>
  <c r="AP131" i="2"/>
  <c r="BP131" i="2" s="1"/>
  <c r="AO131" i="2"/>
  <c r="BG131" i="2" s="1"/>
  <c r="K131" i="2"/>
  <c r="CL131" i="2" s="1"/>
  <c r="FI131" i="2"/>
  <c r="FH131" i="2"/>
  <c r="FG131" i="2"/>
  <c r="FF131" i="2"/>
  <c r="FE131" i="2"/>
  <c r="FD131" i="2"/>
  <c r="FC131" i="2"/>
  <c r="FB131" i="2"/>
  <c r="FA131" i="2"/>
  <c r="EY131" i="2"/>
  <c r="EJ131" i="2"/>
  <c r="ED131" i="2"/>
  <c r="EC131" i="2"/>
  <c r="EB131" i="2"/>
  <c r="EA131" i="2"/>
  <c r="DZ131" i="2"/>
  <c r="DY131" i="2"/>
  <c r="DX131" i="2"/>
  <c r="DW131" i="2"/>
  <c r="DU131" i="2"/>
  <c r="DT131" i="2"/>
  <c r="DS131" i="2"/>
  <c r="DR131" i="2"/>
  <c r="DQ131" i="2"/>
  <c r="DP131" i="2"/>
  <c r="DO131" i="2"/>
  <c r="DN131" i="2"/>
  <c r="DL131" i="2"/>
  <c r="DK131" i="2"/>
  <c r="DJ131" i="2"/>
  <c r="DI131" i="2"/>
  <c r="DH131" i="2"/>
  <c r="DG131" i="2"/>
  <c r="DF131" i="2"/>
  <c r="DE131" i="2"/>
  <c r="DC131" i="2"/>
  <c r="DB131" i="2"/>
  <c r="DA131" i="2"/>
  <c r="CZ131" i="2"/>
  <c r="CY131" i="2"/>
  <c r="CX131" i="2"/>
  <c r="CW131" i="2"/>
  <c r="CV131" i="2"/>
  <c r="CQ131" i="2"/>
  <c r="CO131" i="2"/>
  <c r="CM131" i="2"/>
  <c r="CK131" i="2"/>
  <c r="CH131" i="2"/>
  <c r="CF131" i="2"/>
  <c r="CE131" i="2"/>
  <c r="CD131" i="2"/>
  <c r="CB131" i="2"/>
  <c r="BY131" i="2"/>
  <c r="BX131" i="2"/>
  <c r="BW131" i="2"/>
  <c r="BV131" i="2"/>
  <c r="BU131" i="2"/>
  <c r="BS131" i="2"/>
  <c r="BZ131" i="2" s="1"/>
  <c r="BN131" i="2"/>
  <c r="BL131" i="2"/>
  <c r="BJ131" i="2"/>
  <c r="BE131" i="2"/>
  <c r="BC131" i="2"/>
  <c r="BA131" i="2"/>
  <c r="AN131" i="2"/>
  <c r="CP131" i="2" s="1"/>
  <c r="AL131" i="2"/>
  <c r="CN131" i="2" s="1"/>
  <c r="AJ131" i="2"/>
  <c r="CG131" i="2" s="1"/>
  <c r="AH131" i="2"/>
  <c r="AF131" i="2"/>
  <c r="AD131" i="2"/>
  <c r="AB131" i="2"/>
  <c r="BO131" i="2" s="1"/>
  <c r="Z131" i="2"/>
  <c r="BM131" i="2" s="1"/>
  <c r="X131" i="2"/>
  <c r="BF131" i="2" s="1"/>
  <c r="V131" i="2"/>
  <c r="BD131" i="2" s="1"/>
  <c r="S131" i="2"/>
  <c r="CC129" i="2"/>
  <c r="BT96" i="2"/>
  <c r="BT89" i="2"/>
  <c r="BT88" i="2"/>
  <c r="BT87" i="2"/>
  <c r="BT83" i="2"/>
  <c r="BB82" i="2"/>
  <c r="B51" i="31"/>
  <c r="B52" i="31" s="1"/>
  <c r="B53" i="31" s="1"/>
  <c r="J13" i="13"/>
  <c r="BB131" i="2" l="1"/>
  <c r="CI131" i="2"/>
  <c r="S142" i="31"/>
  <c r="T142" i="31"/>
  <c r="L131" i="2"/>
  <c r="BK131" i="2"/>
  <c r="BT131" i="2"/>
  <c r="CA131" i="2" s="1"/>
  <c r="D142" i="31"/>
  <c r="G142" i="31"/>
  <c r="U142" i="31"/>
  <c r="EH131" i="2"/>
  <c r="X142" i="31"/>
  <c r="W142" i="31"/>
  <c r="P142" i="31"/>
  <c r="CR131" i="2"/>
  <c r="F142" i="31"/>
  <c r="K142" i="31"/>
  <c r="M142" i="31"/>
  <c r="V142" i="31"/>
  <c r="D54" i="7"/>
  <c r="EF131" i="2"/>
  <c r="EE131" i="2"/>
  <c r="E54" i="7"/>
  <c r="EL131" i="2"/>
  <c r="DV131" i="2"/>
  <c r="DD131" i="2"/>
  <c r="CC131" i="2"/>
  <c r="EG131" i="2" s="1"/>
  <c r="I142" i="31" s="1"/>
  <c r="DM131" i="2"/>
  <c r="CJ131" i="2"/>
  <c r="CS131" i="2"/>
  <c r="EI131" i="2"/>
  <c r="L142" i="31" s="1"/>
  <c r="FR131" i="2"/>
  <c r="BH131" i="2"/>
  <c r="BI131" i="2"/>
  <c r="FS131" i="2"/>
  <c r="EK131" i="2"/>
  <c r="N142" i="31" s="1"/>
  <c r="BQ131" i="2"/>
  <c r="FJ131" i="2"/>
  <c r="BR131" i="2" l="1"/>
  <c r="FV131" i="2"/>
  <c r="Y142" i="31"/>
  <c r="FU131" i="2"/>
  <c r="H142" i="31"/>
  <c r="EM131" i="2"/>
  <c r="EN131" i="2" s="1"/>
  <c r="R142" i="31" l="1"/>
  <c r="J142" i="31"/>
  <c r="Q142" i="31" s="1"/>
  <c r="E142" i="31"/>
  <c r="FT131" i="2"/>
  <c r="Z142" i="31" l="1"/>
  <c r="C107" i="31"/>
  <c r="D53" i="7" s="1"/>
  <c r="FI94" i="2"/>
  <c r="FH94" i="2"/>
  <c r="FG94" i="2"/>
  <c r="FF94" i="2"/>
  <c r="FE94" i="2"/>
  <c r="FC94" i="2"/>
  <c r="FB94" i="2"/>
  <c r="T107" i="31" s="1"/>
  <c r="FA94" i="2"/>
  <c r="EY94" i="2"/>
  <c r="FJ94" i="2" s="1"/>
  <c r="FD94" i="2"/>
  <c r="EJ94" i="2"/>
  <c r="ED94" i="2"/>
  <c r="EC94" i="2"/>
  <c r="EB94" i="2"/>
  <c r="EA94" i="2"/>
  <c r="DZ94" i="2"/>
  <c r="DY94" i="2"/>
  <c r="DX94" i="2"/>
  <c r="DW94" i="2"/>
  <c r="DU94" i="2"/>
  <c r="DT94" i="2"/>
  <c r="DS94" i="2"/>
  <c r="DR94" i="2"/>
  <c r="DQ94" i="2"/>
  <c r="DP94" i="2"/>
  <c r="DO94" i="2"/>
  <c r="DN94" i="2"/>
  <c r="DL94" i="2"/>
  <c r="DK94" i="2"/>
  <c r="DJ94" i="2"/>
  <c r="DI94" i="2"/>
  <c r="DH94" i="2"/>
  <c r="DG94" i="2"/>
  <c r="DF94" i="2"/>
  <c r="DE94" i="2"/>
  <c r="DC94" i="2"/>
  <c r="DB94" i="2"/>
  <c r="DA94" i="2"/>
  <c r="CZ94" i="2"/>
  <c r="CY94" i="2"/>
  <c r="CX94" i="2"/>
  <c r="CW94" i="2"/>
  <c r="CV94" i="2"/>
  <c r="CQ94" i="2"/>
  <c r="CO94" i="2"/>
  <c r="CM94" i="2"/>
  <c r="CL94" i="2"/>
  <c r="CK94" i="2"/>
  <c r="CH94" i="2"/>
  <c r="CF94" i="2"/>
  <c r="CD94" i="2"/>
  <c r="CC94" i="2"/>
  <c r="CB94" i="2"/>
  <c r="BY94" i="2"/>
  <c r="BW94" i="2"/>
  <c r="BU94" i="2"/>
  <c r="BT94" i="2"/>
  <c r="BS94" i="2"/>
  <c r="BP94" i="2"/>
  <c r="BN94" i="2"/>
  <c r="BL94" i="2"/>
  <c r="BJ94" i="2"/>
  <c r="BG94" i="2"/>
  <c r="BE94" i="2"/>
  <c r="BC94" i="2"/>
  <c r="BA94" i="2"/>
  <c r="AN94" i="2"/>
  <c r="CP94" i="2" s="1"/>
  <c r="AL94" i="2"/>
  <c r="CN94" i="2" s="1"/>
  <c r="AJ94" i="2"/>
  <c r="CG94" i="2" s="1"/>
  <c r="AH94" i="2"/>
  <c r="CE94" i="2" s="1"/>
  <c r="AF94" i="2"/>
  <c r="BX94" i="2" s="1"/>
  <c r="AD94" i="2"/>
  <c r="BV94" i="2" s="1"/>
  <c r="AB94" i="2"/>
  <c r="BO94" i="2" s="1"/>
  <c r="Z94" i="2"/>
  <c r="BM94" i="2" s="1"/>
  <c r="X94" i="2"/>
  <c r="BF94" i="2" s="1"/>
  <c r="V94" i="2"/>
  <c r="BD94" i="2" s="1"/>
  <c r="S94" i="2"/>
  <c r="L94" i="2"/>
  <c r="S96" i="2"/>
  <c r="S95" i="2"/>
  <c r="S93" i="2"/>
  <c r="S104" i="2"/>
  <c r="BZ94" i="2" l="1"/>
  <c r="CI94" i="2"/>
  <c r="EH94" i="2"/>
  <c r="EL94" i="2"/>
  <c r="AA142" i="31"/>
  <c r="W107" i="31"/>
  <c r="V107" i="31"/>
  <c r="K107" i="31"/>
  <c r="D107" i="31"/>
  <c r="F107" i="31"/>
  <c r="G107" i="31"/>
  <c r="M107" i="31"/>
  <c r="N107" i="31"/>
  <c r="P107" i="31"/>
  <c r="S107" i="31"/>
  <c r="U107" i="31"/>
  <c r="Y107" i="31"/>
  <c r="B53" i="7"/>
  <c r="E53" i="7" s="1"/>
  <c r="FV94" i="2"/>
  <c r="X107" i="31"/>
  <c r="EE94" i="2"/>
  <c r="EG94" i="2"/>
  <c r="I107" i="31" s="1"/>
  <c r="DM94" i="2"/>
  <c r="EF94" i="2"/>
  <c r="DV94" i="2"/>
  <c r="DD94" i="2"/>
  <c r="FR94" i="2"/>
  <c r="EI94" i="2"/>
  <c r="L107" i="31" s="1"/>
  <c r="BH94" i="2"/>
  <c r="BI94" i="2" s="1"/>
  <c r="FS94" i="2"/>
  <c r="EK94" i="2"/>
  <c r="CA94" i="2"/>
  <c r="CJ94" i="2"/>
  <c r="CR94" i="2"/>
  <c r="CS94" i="2"/>
  <c r="BQ94" i="2"/>
  <c r="BR94" i="2"/>
  <c r="AE142" i="31" l="1"/>
  <c r="AC142" i="31"/>
  <c r="FU94" i="2"/>
  <c r="H107" i="31"/>
  <c r="E107" i="31" s="1"/>
  <c r="EM94" i="2"/>
  <c r="AD142" i="31" l="1"/>
  <c r="J107" i="31"/>
  <c r="Q107" i="31" s="1"/>
  <c r="R107" i="31"/>
  <c r="Z107" i="31" s="1"/>
  <c r="EN94" i="2"/>
  <c r="FT94" i="2" s="1"/>
  <c r="AA107" i="31" l="1"/>
  <c r="AC107" i="31" s="1"/>
  <c r="J24" i="13"/>
  <c r="C117" i="31"/>
  <c r="D52" i="7" s="1"/>
  <c r="J114" i="2"/>
  <c r="FI110" i="2"/>
  <c r="FH110" i="2"/>
  <c r="FG110" i="2"/>
  <c r="FF110" i="2"/>
  <c r="FE110" i="2"/>
  <c r="FD110" i="2"/>
  <c r="FC110" i="2"/>
  <c r="FB110" i="2"/>
  <c r="FA110" i="2"/>
  <c r="EY110" i="2"/>
  <c r="FJ110" i="2" s="1"/>
  <c r="EJ110" i="2"/>
  <c r="ED110" i="2"/>
  <c r="EC110" i="2"/>
  <c r="EB110" i="2"/>
  <c r="EA110" i="2"/>
  <c r="DZ110" i="2"/>
  <c r="DY110" i="2"/>
  <c r="DX110" i="2"/>
  <c r="DW110" i="2"/>
  <c r="DU110" i="2"/>
  <c r="DT110" i="2"/>
  <c r="DS110" i="2"/>
  <c r="DR110" i="2"/>
  <c r="DQ110" i="2"/>
  <c r="DP110" i="2"/>
  <c r="DO110" i="2"/>
  <c r="DN110" i="2"/>
  <c r="DL110" i="2"/>
  <c r="DK110" i="2"/>
  <c r="DJ110" i="2"/>
  <c r="DI110" i="2"/>
  <c r="DH110" i="2"/>
  <c r="DG110" i="2"/>
  <c r="DF110" i="2"/>
  <c r="DE110" i="2"/>
  <c r="DC110" i="2"/>
  <c r="DB110" i="2"/>
  <c r="DA110" i="2"/>
  <c r="CZ110" i="2"/>
  <c r="CY110" i="2"/>
  <c r="CX110" i="2"/>
  <c r="CW110" i="2"/>
  <c r="CV110" i="2"/>
  <c r="CQ110" i="2"/>
  <c r="CO110" i="2"/>
  <c r="CM110" i="2"/>
  <c r="CL110" i="2"/>
  <c r="CK110" i="2"/>
  <c r="CH110" i="2"/>
  <c r="CF110" i="2"/>
  <c r="CD110" i="2"/>
  <c r="CC110" i="2"/>
  <c r="CB110" i="2"/>
  <c r="BY110" i="2"/>
  <c r="BW110" i="2"/>
  <c r="BU110" i="2"/>
  <c r="BT110" i="2"/>
  <c r="BS110" i="2"/>
  <c r="BP110" i="2"/>
  <c r="BN110" i="2"/>
  <c r="BL110" i="2"/>
  <c r="BK110" i="2"/>
  <c r="BJ110" i="2"/>
  <c r="BG110" i="2"/>
  <c r="BE110" i="2"/>
  <c r="BC110" i="2"/>
  <c r="BB110" i="2"/>
  <c r="BA110" i="2"/>
  <c r="AN110" i="2"/>
  <c r="CP110" i="2" s="1"/>
  <c r="AL110" i="2"/>
  <c r="CN110" i="2" s="1"/>
  <c r="AJ110" i="2"/>
  <c r="CG110" i="2" s="1"/>
  <c r="AH110" i="2"/>
  <c r="CE110" i="2" s="1"/>
  <c r="AF110" i="2"/>
  <c r="BX110" i="2" s="1"/>
  <c r="AD110" i="2"/>
  <c r="BV110" i="2" s="1"/>
  <c r="AB110" i="2"/>
  <c r="BO110" i="2" s="1"/>
  <c r="Z110" i="2"/>
  <c r="BM110" i="2" s="1"/>
  <c r="X110" i="2"/>
  <c r="BF110" i="2" s="1"/>
  <c r="V110" i="2"/>
  <c r="BD110" i="2" s="1"/>
  <c r="S110" i="2"/>
  <c r="L110" i="2"/>
  <c r="BT93" i="2"/>
  <c r="BK129" i="2"/>
  <c r="BK122" i="2"/>
  <c r="BK82" i="2"/>
  <c r="BK11" i="2"/>
  <c r="BB129" i="2"/>
  <c r="BB122" i="2"/>
  <c r="BB11" i="2"/>
  <c r="BJ289" i="2"/>
  <c r="C122" i="31"/>
  <c r="C52" i="31"/>
  <c r="CC44" i="2"/>
  <c r="BK44" i="2"/>
  <c r="BB44" i="2"/>
  <c r="L44" i="2"/>
  <c r="FH44" i="2"/>
  <c r="FG44" i="2"/>
  <c r="FF44" i="2"/>
  <c r="FE44" i="2"/>
  <c r="FD44" i="2"/>
  <c r="FC44" i="2"/>
  <c r="FB44" i="2"/>
  <c r="FA44" i="2"/>
  <c r="EY44" i="2"/>
  <c r="FJ44" i="2" s="1"/>
  <c r="EJ44" i="2"/>
  <c r="ED44" i="2"/>
  <c r="EC44" i="2"/>
  <c r="EB44" i="2"/>
  <c r="EA44" i="2"/>
  <c r="DZ44" i="2"/>
  <c r="DY44" i="2"/>
  <c r="DX44" i="2"/>
  <c r="DW44" i="2"/>
  <c r="DU44" i="2"/>
  <c r="DT44" i="2"/>
  <c r="DS44" i="2"/>
  <c r="DR44" i="2"/>
  <c r="DQ44" i="2"/>
  <c r="DP44" i="2"/>
  <c r="DO44" i="2"/>
  <c r="DN44" i="2"/>
  <c r="DL44" i="2"/>
  <c r="DK44" i="2"/>
  <c r="DJ44" i="2"/>
  <c r="DI44" i="2"/>
  <c r="DH44" i="2"/>
  <c r="DG44" i="2"/>
  <c r="DF44" i="2"/>
  <c r="DE44" i="2"/>
  <c r="DC44" i="2"/>
  <c r="DB44" i="2"/>
  <c r="DA44" i="2"/>
  <c r="CZ44" i="2"/>
  <c r="CY44" i="2"/>
  <c r="CX44" i="2"/>
  <c r="CW44" i="2"/>
  <c r="CV44" i="2"/>
  <c r="CQ44" i="2"/>
  <c r="CO44" i="2"/>
  <c r="CM44" i="2"/>
  <c r="CL44" i="2"/>
  <c r="CK44" i="2"/>
  <c r="CH44" i="2"/>
  <c r="CF44" i="2"/>
  <c r="CD44" i="2"/>
  <c r="CB44" i="2"/>
  <c r="BY44" i="2"/>
  <c r="BW44" i="2"/>
  <c r="BU44" i="2"/>
  <c r="BT44" i="2"/>
  <c r="BS44" i="2"/>
  <c r="BP44" i="2"/>
  <c r="BN44" i="2"/>
  <c r="BL44" i="2"/>
  <c r="BJ44" i="2"/>
  <c r="BG44" i="2"/>
  <c r="BE44" i="2"/>
  <c r="BC44" i="2"/>
  <c r="BA44" i="2"/>
  <c r="AN44" i="2"/>
  <c r="CP44" i="2" s="1"/>
  <c r="AL44" i="2"/>
  <c r="CN44" i="2" s="1"/>
  <c r="AJ44" i="2"/>
  <c r="CG44" i="2" s="1"/>
  <c r="AH44" i="2"/>
  <c r="CE44" i="2" s="1"/>
  <c r="AF44" i="2"/>
  <c r="BX44" i="2" s="1"/>
  <c r="AD44" i="2"/>
  <c r="BV44" i="2" s="1"/>
  <c r="AB44" i="2"/>
  <c r="BO44" i="2" s="1"/>
  <c r="Z44" i="2"/>
  <c r="BM44" i="2" s="1"/>
  <c r="X44" i="2"/>
  <c r="BF44" i="2" s="1"/>
  <c r="V44" i="2"/>
  <c r="BD44" i="2" s="1"/>
  <c r="S44" i="2"/>
  <c r="FI106" i="2"/>
  <c r="FH106" i="2"/>
  <c r="FG106" i="2"/>
  <c r="FF106" i="2"/>
  <c r="FE106" i="2"/>
  <c r="FD106" i="2"/>
  <c r="FC106" i="2"/>
  <c r="FB106" i="2"/>
  <c r="FA106" i="2"/>
  <c r="EY106" i="2"/>
  <c r="FJ106" i="2" s="1"/>
  <c r="EJ106" i="2"/>
  <c r="ED106" i="2"/>
  <c r="EC106" i="2"/>
  <c r="EB106" i="2"/>
  <c r="EA106" i="2"/>
  <c r="DZ106" i="2"/>
  <c r="DY106" i="2"/>
  <c r="DX106" i="2"/>
  <c r="DW106" i="2"/>
  <c r="DU106" i="2"/>
  <c r="DT106" i="2"/>
  <c r="DS106" i="2"/>
  <c r="DR106" i="2"/>
  <c r="DQ106" i="2"/>
  <c r="DP106" i="2"/>
  <c r="DO106" i="2"/>
  <c r="DN106" i="2"/>
  <c r="DL106" i="2"/>
  <c r="DK106" i="2"/>
  <c r="DJ106" i="2"/>
  <c r="DI106" i="2"/>
  <c r="DH106" i="2"/>
  <c r="DG106" i="2"/>
  <c r="DF106" i="2"/>
  <c r="DE106" i="2"/>
  <c r="DC106" i="2"/>
  <c r="DB106" i="2"/>
  <c r="DA106" i="2"/>
  <c r="CZ106" i="2"/>
  <c r="CY106" i="2"/>
  <c r="CX106" i="2"/>
  <c r="CW106" i="2"/>
  <c r="CV106" i="2"/>
  <c r="CQ106" i="2"/>
  <c r="CO106" i="2"/>
  <c r="CM106" i="2"/>
  <c r="CL106" i="2"/>
  <c r="CK106" i="2"/>
  <c r="CH106" i="2"/>
  <c r="CF106" i="2"/>
  <c r="CD106" i="2"/>
  <c r="CC106" i="2"/>
  <c r="CB106" i="2"/>
  <c r="BY106" i="2"/>
  <c r="BW106" i="2"/>
  <c r="BU106" i="2"/>
  <c r="BS106" i="2"/>
  <c r="BP106" i="2"/>
  <c r="BN106" i="2"/>
  <c r="BL106" i="2"/>
  <c r="BJ106" i="2"/>
  <c r="BG106" i="2"/>
  <c r="BE106" i="2"/>
  <c r="BC106" i="2"/>
  <c r="BA106" i="2"/>
  <c r="AN106" i="2"/>
  <c r="CP106" i="2" s="1"/>
  <c r="AL106" i="2"/>
  <c r="CN106" i="2" s="1"/>
  <c r="AJ106" i="2"/>
  <c r="CG106" i="2" s="1"/>
  <c r="AH106" i="2"/>
  <c r="CE106" i="2" s="1"/>
  <c r="AF106" i="2"/>
  <c r="BX106" i="2" s="1"/>
  <c r="AD106" i="2"/>
  <c r="BV106" i="2" s="1"/>
  <c r="AB106" i="2"/>
  <c r="BO106" i="2" s="1"/>
  <c r="Z106" i="2"/>
  <c r="BM106" i="2" s="1"/>
  <c r="X106" i="2"/>
  <c r="BF106" i="2" s="1"/>
  <c r="V106" i="2"/>
  <c r="BD106" i="2" s="1"/>
  <c r="S106" i="2"/>
  <c r="L106" i="2"/>
  <c r="J10" i="32"/>
  <c r="G39" i="32"/>
  <c r="C36" i="32"/>
  <c r="ES91" i="2"/>
  <c r="H16" i="12"/>
  <c r="FD132" i="2"/>
  <c r="FA132" i="2"/>
  <c r="C11" i="31"/>
  <c r="FI11" i="2"/>
  <c r="FH11" i="2"/>
  <c r="FG11" i="2"/>
  <c r="FF11" i="2"/>
  <c r="FE11" i="2"/>
  <c r="FD11" i="2"/>
  <c r="FC11" i="2"/>
  <c r="FB11" i="2"/>
  <c r="FA11" i="2"/>
  <c r="EY11" i="2"/>
  <c r="EJ11" i="2"/>
  <c r="EE11" i="2"/>
  <c r="ED11" i="2"/>
  <c r="EC11" i="2"/>
  <c r="EB11" i="2"/>
  <c r="EA11" i="2"/>
  <c r="DZ11" i="2"/>
  <c r="DY11" i="2"/>
  <c r="DX11" i="2"/>
  <c r="DW11" i="2"/>
  <c r="DU11" i="2"/>
  <c r="DT11" i="2"/>
  <c r="DS11" i="2"/>
  <c r="DR11" i="2"/>
  <c r="DQ11" i="2"/>
  <c r="DP11" i="2"/>
  <c r="DO11" i="2"/>
  <c r="DN11" i="2"/>
  <c r="DL11" i="2"/>
  <c r="DK11" i="2"/>
  <c r="DJ11" i="2"/>
  <c r="DI11" i="2"/>
  <c r="DH11" i="2"/>
  <c r="DG11" i="2"/>
  <c r="DF11" i="2"/>
  <c r="DE11" i="2"/>
  <c r="DC11" i="2"/>
  <c r="DB11" i="2"/>
  <c r="DA11" i="2"/>
  <c r="CZ11" i="2"/>
  <c r="CY11" i="2"/>
  <c r="CX11" i="2"/>
  <c r="CW11" i="2"/>
  <c r="CV11" i="2"/>
  <c r="CQ11" i="2"/>
  <c r="CO11" i="2"/>
  <c r="CM11" i="2"/>
  <c r="CL11" i="2"/>
  <c r="CK11" i="2"/>
  <c r="CH11" i="2"/>
  <c r="CF11" i="2"/>
  <c r="CD11" i="2"/>
  <c r="CC11" i="2"/>
  <c r="CB11" i="2"/>
  <c r="BY11" i="2"/>
  <c r="BW11" i="2"/>
  <c r="BU11" i="2"/>
  <c r="BT11" i="2"/>
  <c r="BS11" i="2"/>
  <c r="BP11" i="2"/>
  <c r="BN11" i="2"/>
  <c r="BL11" i="2"/>
  <c r="BJ11" i="2"/>
  <c r="BG11" i="2"/>
  <c r="BE11" i="2"/>
  <c r="BC11" i="2"/>
  <c r="BA11" i="2"/>
  <c r="AN11" i="2"/>
  <c r="CP11" i="2" s="1"/>
  <c r="AL11" i="2"/>
  <c r="CN11" i="2" s="1"/>
  <c r="AJ11" i="2"/>
  <c r="CG11" i="2" s="1"/>
  <c r="AH11" i="2"/>
  <c r="CE11" i="2" s="1"/>
  <c r="AF11" i="2"/>
  <c r="BX11" i="2" s="1"/>
  <c r="AD11" i="2"/>
  <c r="BV11" i="2" s="1"/>
  <c r="AB11" i="2"/>
  <c r="BO11" i="2" s="1"/>
  <c r="Z11" i="2"/>
  <c r="BM11" i="2" s="1"/>
  <c r="X11" i="2"/>
  <c r="BF11" i="2" s="1"/>
  <c r="V11" i="2"/>
  <c r="BD11" i="2" s="1"/>
  <c r="S11" i="2"/>
  <c r="L11" i="2"/>
  <c r="C41" i="31"/>
  <c r="FH36" i="2"/>
  <c r="FG36" i="2"/>
  <c r="FF36" i="2"/>
  <c r="FE36" i="2"/>
  <c r="FD36" i="2"/>
  <c r="FC36" i="2"/>
  <c r="FB36" i="2"/>
  <c r="FA36" i="2"/>
  <c r="EY36" i="2"/>
  <c r="FJ36" i="2" s="1"/>
  <c r="EJ36" i="2"/>
  <c r="ED36" i="2"/>
  <c r="EC36" i="2"/>
  <c r="EB36" i="2"/>
  <c r="EA36" i="2"/>
  <c r="DZ36" i="2"/>
  <c r="DY36" i="2"/>
  <c r="DX36" i="2"/>
  <c r="DW36" i="2"/>
  <c r="DU36" i="2"/>
  <c r="DT36" i="2"/>
  <c r="DS36" i="2"/>
  <c r="DR36" i="2"/>
  <c r="DQ36" i="2"/>
  <c r="DP36" i="2"/>
  <c r="DO36" i="2"/>
  <c r="DN36" i="2"/>
  <c r="DL36" i="2"/>
  <c r="DK36" i="2"/>
  <c r="DJ36" i="2"/>
  <c r="DI36" i="2"/>
  <c r="DH36" i="2"/>
  <c r="DG36" i="2"/>
  <c r="DF36" i="2"/>
  <c r="DE36" i="2"/>
  <c r="DC36" i="2"/>
  <c r="DB36" i="2"/>
  <c r="DA36" i="2"/>
  <c r="CZ36" i="2"/>
  <c r="CY36" i="2"/>
  <c r="CX36" i="2"/>
  <c r="CW36" i="2"/>
  <c r="CV36" i="2"/>
  <c r="CQ36" i="2"/>
  <c r="CO36" i="2"/>
  <c r="CM36" i="2"/>
  <c r="CL36" i="2"/>
  <c r="CK36" i="2"/>
  <c r="CH36" i="2"/>
  <c r="CF36" i="2"/>
  <c r="CD36" i="2"/>
  <c r="CC36" i="2"/>
  <c r="CB36" i="2"/>
  <c r="BY36" i="2"/>
  <c r="BW36" i="2"/>
  <c r="BU36" i="2"/>
  <c r="BT36" i="2"/>
  <c r="BS36" i="2"/>
  <c r="BP36" i="2"/>
  <c r="BN36" i="2"/>
  <c r="BL36" i="2"/>
  <c r="BK36" i="2"/>
  <c r="BJ36" i="2"/>
  <c r="BG36" i="2"/>
  <c r="BE36" i="2"/>
  <c r="BC36" i="2"/>
  <c r="BB36" i="2"/>
  <c r="BA36" i="2"/>
  <c r="AN36" i="2"/>
  <c r="CP36" i="2" s="1"/>
  <c r="AL36" i="2"/>
  <c r="CN36" i="2" s="1"/>
  <c r="AJ36" i="2"/>
  <c r="CG36" i="2" s="1"/>
  <c r="AH36" i="2"/>
  <c r="CE36" i="2" s="1"/>
  <c r="AF36" i="2"/>
  <c r="BX36" i="2" s="1"/>
  <c r="AD36" i="2"/>
  <c r="BV36" i="2" s="1"/>
  <c r="AB36" i="2"/>
  <c r="BO36" i="2" s="1"/>
  <c r="Z36" i="2"/>
  <c r="BM36" i="2" s="1"/>
  <c r="X36" i="2"/>
  <c r="BF36" i="2" s="1"/>
  <c r="V36" i="2"/>
  <c r="BD36" i="2" s="1"/>
  <c r="S36" i="2"/>
  <c r="L36" i="2"/>
  <c r="D6" i="7"/>
  <c r="DB53" i="2"/>
  <c r="J26" i="2"/>
  <c r="C28" i="31"/>
  <c r="FI24" i="2"/>
  <c r="FH24" i="2"/>
  <c r="FG24" i="2"/>
  <c r="FF24" i="2"/>
  <c r="FE24" i="2"/>
  <c r="FC24" i="2"/>
  <c r="FB24" i="2"/>
  <c r="FA24" i="2"/>
  <c r="EY24" i="2"/>
  <c r="FJ24" i="2" s="1"/>
  <c r="EJ24" i="2"/>
  <c r="ED24" i="2"/>
  <c r="EC24" i="2"/>
  <c r="EB24" i="2"/>
  <c r="EA24" i="2"/>
  <c r="DZ24" i="2"/>
  <c r="DY24" i="2"/>
  <c r="DX24" i="2"/>
  <c r="DW24" i="2"/>
  <c r="DU24" i="2"/>
  <c r="DT24" i="2"/>
  <c r="DS24" i="2"/>
  <c r="DR24" i="2"/>
  <c r="DQ24" i="2"/>
  <c r="DP24" i="2"/>
  <c r="DO24" i="2"/>
  <c r="DN24" i="2"/>
  <c r="DL24" i="2"/>
  <c r="DK24" i="2"/>
  <c r="DJ24" i="2"/>
  <c r="DI24" i="2"/>
  <c r="DH24" i="2"/>
  <c r="DG24" i="2"/>
  <c r="DF24" i="2"/>
  <c r="DE24" i="2"/>
  <c r="DC24" i="2"/>
  <c r="DB24" i="2"/>
  <c r="DA24" i="2"/>
  <c r="CZ24" i="2"/>
  <c r="CY24" i="2"/>
  <c r="CX24" i="2"/>
  <c r="CW24" i="2"/>
  <c r="CV24" i="2"/>
  <c r="CH24" i="2"/>
  <c r="CF24" i="2"/>
  <c r="CD24" i="2"/>
  <c r="CC24" i="2"/>
  <c r="CB24" i="2"/>
  <c r="BY24" i="2"/>
  <c r="BW24" i="2"/>
  <c r="BU24" i="2"/>
  <c r="BT24" i="2"/>
  <c r="BS24" i="2"/>
  <c r="BP24" i="2"/>
  <c r="BN24" i="2"/>
  <c r="BL24" i="2"/>
  <c r="BK24" i="2"/>
  <c r="BJ24" i="2"/>
  <c r="BG24" i="2"/>
  <c r="EL24" i="2" s="1"/>
  <c r="BE24" i="2"/>
  <c r="BC24" i="2"/>
  <c r="BB24" i="2"/>
  <c r="BA24" i="2"/>
  <c r="AJ24" i="2"/>
  <c r="CG24" i="2" s="1"/>
  <c r="AH24" i="2"/>
  <c r="CE24" i="2" s="1"/>
  <c r="AF24" i="2"/>
  <c r="BX24" i="2" s="1"/>
  <c r="AD24" i="2"/>
  <c r="BV24" i="2" s="1"/>
  <c r="AB24" i="2"/>
  <c r="BO24" i="2" s="1"/>
  <c r="Z24" i="2"/>
  <c r="BM24" i="2" s="1"/>
  <c r="X24" i="2"/>
  <c r="BF24" i="2" s="1"/>
  <c r="V24" i="2"/>
  <c r="BD24" i="2" s="1"/>
  <c r="S24" i="2"/>
  <c r="L24" i="2"/>
  <c r="D24" i="2"/>
  <c r="B24" i="2"/>
  <c r="A24" i="2"/>
  <c r="C24" i="2" s="1"/>
  <c r="ET91" i="2"/>
  <c r="BT95" i="2"/>
  <c r="BB144" i="2"/>
  <c r="BB95" i="2"/>
  <c r="GB91" i="2"/>
  <c r="GA91" i="2"/>
  <c r="FZ91" i="2"/>
  <c r="FY91" i="2"/>
  <c r="FX91" i="2"/>
  <c r="FW91" i="2"/>
  <c r="FQ91" i="2"/>
  <c r="FO91" i="2"/>
  <c r="FN91" i="2"/>
  <c r="FM91" i="2"/>
  <c r="FL91" i="2"/>
  <c r="FK91" i="2"/>
  <c r="EZ91" i="2"/>
  <c r="EX91" i="2"/>
  <c r="EW91" i="2"/>
  <c r="EV91" i="2"/>
  <c r="EU91" i="2"/>
  <c r="ER91" i="2"/>
  <c r="EQ91" i="2"/>
  <c r="EP91" i="2"/>
  <c r="EO91" i="2"/>
  <c r="CU91" i="2"/>
  <c r="CT91" i="2"/>
  <c r="GC114" i="2"/>
  <c r="GB114" i="2"/>
  <c r="GA114" i="2"/>
  <c r="FZ114" i="2"/>
  <c r="FY114" i="2"/>
  <c r="FX114" i="2"/>
  <c r="FW114" i="2"/>
  <c r="FQ114" i="2"/>
  <c r="FP114" i="2"/>
  <c r="FO114" i="2"/>
  <c r="FN114" i="2"/>
  <c r="FM114" i="2"/>
  <c r="FL114" i="2"/>
  <c r="FK114" i="2"/>
  <c r="EZ114" i="2"/>
  <c r="EX114" i="2"/>
  <c r="EW114" i="2"/>
  <c r="EV114" i="2"/>
  <c r="EU114" i="2"/>
  <c r="ET114" i="2"/>
  <c r="ER114" i="2"/>
  <c r="EQ114" i="2"/>
  <c r="EO114" i="2"/>
  <c r="CU114" i="2"/>
  <c r="CT114" i="2"/>
  <c r="EP114" i="2"/>
  <c r="FA113" i="2"/>
  <c r="C120" i="31"/>
  <c r="K113" i="2"/>
  <c r="AZ114" i="2"/>
  <c r="AY114" i="2"/>
  <c r="AX114" i="2"/>
  <c r="AW114" i="2"/>
  <c r="AV114" i="2"/>
  <c r="AU114" i="2"/>
  <c r="AT114" i="2"/>
  <c r="AS114" i="2"/>
  <c r="AR114" i="2"/>
  <c r="AQ114" i="2"/>
  <c r="AP114" i="2"/>
  <c r="AO114" i="2"/>
  <c r="AM114" i="2"/>
  <c r="AK114" i="2"/>
  <c r="AI114" i="2"/>
  <c r="AG114" i="2"/>
  <c r="AE114" i="2"/>
  <c r="AC114" i="2"/>
  <c r="AA114" i="2"/>
  <c r="Y114" i="2"/>
  <c r="W114" i="2"/>
  <c r="U114" i="2"/>
  <c r="FI113" i="2"/>
  <c r="FH113" i="2"/>
  <c r="FG113" i="2"/>
  <c r="FF113" i="2"/>
  <c r="FE113" i="2"/>
  <c r="FC113" i="2"/>
  <c r="FB113" i="2"/>
  <c r="EY113" i="2"/>
  <c r="FJ113" i="2" s="1"/>
  <c r="EJ113" i="2"/>
  <c r="ED113" i="2"/>
  <c r="EC113" i="2"/>
  <c r="EB113" i="2"/>
  <c r="EA113" i="2"/>
  <c r="DZ113" i="2"/>
  <c r="DY113" i="2"/>
  <c r="DX113" i="2"/>
  <c r="DW113" i="2"/>
  <c r="DU113" i="2"/>
  <c r="DT113" i="2"/>
  <c r="DS113" i="2"/>
  <c r="DR113" i="2"/>
  <c r="DQ113" i="2"/>
  <c r="DP113" i="2"/>
  <c r="DO113" i="2"/>
  <c r="DN113" i="2"/>
  <c r="DL113" i="2"/>
  <c r="DK113" i="2"/>
  <c r="DJ113" i="2"/>
  <c r="DI113" i="2"/>
  <c r="DH113" i="2"/>
  <c r="DG113" i="2"/>
  <c r="DF113" i="2"/>
  <c r="DE113" i="2"/>
  <c r="DC113" i="2"/>
  <c r="DB113" i="2"/>
  <c r="DA113" i="2"/>
  <c r="CZ113" i="2"/>
  <c r="CY113" i="2"/>
  <c r="CX113" i="2"/>
  <c r="CW113" i="2"/>
  <c r="CV113" i="2"/>
  <c r="CQ113" i="2"/>
  <c r="CO113" i="2"/>
  <c r="CM113" i="2"/>
  <c r="CK113" i="2"/>
  <c r="CH113" i="2"/>
  <c r="CF113" i="2"/>
  <c r="CD113" i="2"/>
  <c r="CB113" i="2"/>
  <c r="BY113" i="2"/>
  <c r="BW113" i="2"/>
  <c r="BU113" i="2"/>
  <c r="BS113" i="2"/>
  <c r="BP113" i="2"/>
  <c r="BN113" i="2"/>
  <c r="BL113" i="2"/>
  <c r="BJ113" i="2"/>
  <c r="BG113" i="2"/>
  <c r="BE113" i="2"/>
  <c r="BC113" i="2"/>
  <c r="BA113" i="2"/>
  <c r="AN113" i="2"/>
  <c r="CP113" i="2" s="1"/>
  <c r="AL113" i="2"/>
  <c r="CN113" i="2" s="1"/>
  <c r="AJ113" i="2"/>
  <c r="CG113" i="2" s="1"/>
  <c r="AH113" i="2"/>
  <c r="CE113" i="2" s="1"/>
  <c r="AF113" i="2"/>
  <c r="BX113" i="2" s="1"/>
  <c r="AD113" i="2"/>
  <c r="BV113" i="2" s="1"/>
  <c r="AB113" i="2"/>
  <c r="BO113" i="2" s="1"/>
  <c r="Z113" i="2"/>
  <c r="BM113" i="2" s="1"/>
  <c r="X113" i="2"/>
  <c r="BF113" i="2" s="1"/>
  <c r="V113" i="2"/>
  <c r="BD113" i="2" s="1"/>
  <c r="S113" i="2"/>
  <c r="B113" i="2"/>
  <c r="A113" i="2"/>
  <c r="C113" i="2" s="1"/>
  <c r="C42" i="31"/>
  <c r="FI37" i="2"/>
  <c r="FH37" i="2"/>
  <c r="FG37" i="2"/>
  <c r="FF37" i="2"/>
  <c r="FE37" i="2"/>
  <c r="FD37" i="2"/>
  <c r="FC37" i="2"/>
  <c r="FB37" i="2"/>
  <c r="FA37" i="2"/>
  <c r="EY37" i="2"/>
  <c r="EJ37" i="2"/>
  <c r="ED37" i="2"/>
  <c r="EC37" i="2"/>
  <c r="EB37" i="2"/>
  <c r="EA37" i="2"/>
  <c r="DZ37" i="2"/>
  <c r="DY37" i="2"/>
  <c r="DX37" i="2"/>
  <c r="DW37" i="2"/>
  <c r="DU37" i="2"/>
  <c r="DT37" i="2"/>
  <c r="DS37" i="2"/>
  <c r="DR37" i="2"/>
  <c r="DQ37" i="2"/>
  <c r="DP37" i="2"/>
  <c r="DO37" i="2"/>
  <c r="DN37" i="2"/>
  <c r="DL37" i="2"/>
  <c r="DK37" i="2"/>
  <c r="DJ37" i="2"/>
  <c r="DI37" i="2"/>
  <c r="DH37" i="2"/>
  <c r="DG37" i="2"/>
  <c r="DF37" i="2"/>
  <c r="DE37" i="2"/>
  <c r="DC37" i="2"/>
  <c r="DB37" i="2"/>
  <c r="DA37" i="2"/>
  <c r="CZ37" i="2"/>
  <c r="CY37" i="2"/>
  <c r="CX37" i="2"/>
  <c r="CW37" i="2"/>
  <c r="CV37" i="2"/>
  <c r="CQ37" i="2"/>
  <c r="CO37" i="2"/>
  <c r="CM37" i="2"/>
  <c r="CL37" i="2"/>
  <c r="CK37" i="2"/>
  <c r="CH37" i="2"/>
  <c r="CF37" i="2"/>
  <c r="CD37" i="2"/>
  <c r="CC37" i="2"/>
  <c r="CB37" i="2"/>
  <c r="BY37" i="2"/>
  <c r="BW37" i="2"/>
  <c r="BU37" i="2"/>
  <c r="BT37" i="2"/>
  <c r="BS37" i="2"/>
  <c r="BP37" i="2"/>
  <c r="BN37" i="2"/>
  <c r="BL37" i="2"/>
  <c r="BK37" i="2"/>
  <c r="BJ37" i="2"/>
  <c r="BG37" i="2"/>
  <c r="BE37" i="2"/>
  <c r="BC37" i="2"/>
  <c r="BB37" i="2"/>
  <c r="BA37" i="2"/>
  <c r="AN37" i="2"/>
  <c r="CP37" i="2" s="1"/>
  <c r="AL37" i="2"/>
  <c r="CN37" i="2" s="1"/>
  <c r="AJ37" i="2"/>
  <c r="CG37" i="2" s="1"/>
  <c r="AH37" i="2"/>
  <c r="CE37" i="2" s="1"/>
  <c r="AF37" i="2"/>
  <c r="BX37" i="2" s="1"/>
  <c r="AD37" i="2"/>
  <c r="BV37" i="2" s="1"/>
  <c r="AB37" i="2"/>
  <c r="BO37" i="2" s="1"/>
  <c r="Z37" i="2"/>
  <c r="BM37" i="2" s="1"/>
  <c r="X37" i="2"/>
  <c r="BF37" i="2" s="1"/>
  <c r="V37" i="2"/>
  <c r="BD37" i="2" s="1"/>
  <c r="S37" i="2"/>
  <c r="L37" i="2"/>
  <c r="BK113" i="2" l="1"/>
  <c r="BB113" i="2"/>
  <c r="CC113" i="2"/>
  <c r="EL110" i="2"/>
  <c r="EL36" i="2"/>
  <c r="EG44" i="2"/>
  <c r="I52" i="31" s="1"/>
  <c r="EG11" i="2"/>
  <c r="Y52" i="31"/>
  <c r="S52" i="31"/>
  <c r="W117" i="31"/>
  <c r="T52" i="31"/>
  <c r="V117" i="31"/>
  <c r="U52" i="31"/>
  <c r="X52" i="31"/>
  <c r="D117" i="31"/>
  <c r="EL37" i="2"/>
  <c r="EK110" i="2"/>
  <c r="N117" i="31" s="1"/>
  <c r="F117" i="31"/>
  <c r="EL113" i="2"/>
  <c r="EG106" i="2"/>
  <c r="I122" i="31" s="1"/>
  <c r="G117" i="31"/>
  <c r="EL44" i="2"/>
  <c r="W52" i="31"/>
  <c r="M117" i="31"/>
  <c r="EL106" i="2"/>
  <c r="X117" i="31"/>
  <c r="Y117" i="31"/>
  <c r="T117" i="31"/>
  <c r="P117" i="31"/>
  <c r="S117" i="31"/>
  <c r="B52" i="7"/>
  <c r="U117" i="31"/>
  <c r="EG110" i="2"/>
  <c r="I117" i="31" s="1"/>
  <c r="CI106" i="2"/>
  <c r="CJ106" i="2" s="1"/>
  <c r="EG24" i="2"/>
  <c r="I28" i="31" s="1"/>
  <c r="EG37" i="2"/>
  <c r="I42" i="31" s="1"/>
  <c r="CR11" i="2"/>
  <c r="CS11" i="2" s="1"/>
  <c r="CI11" i="2"/>
  <c r="CJ11" i="2" s="1"/>
  <c r="E52" i="7"/>
  <c r="EE110" i="2"/>
  <c r="DV110" i="2"/>
  <c r="DM110" i="2"/>
  <c r="DD110" i="2"/>
  <c r="EH110" i="2"/>
  <c r="K117" i="31" s="1"/>
  <c r="EF110" i="2"/>
  <c r="H117" i="31" s="1"/>
  <c r="BH110" i="2"/>
  <c r="BI110" i="2" s="1"/>
  <c r="CR110" i="2"/>
  <c r="CS110" i="2" s="1"/>
  <c r="CI110" i="2"/>
  <c r="CJ110" i="2" s="1"/>
  <c r="BZ110" i="2"/>
  <c r="CA110" i="2" s="1"/>
  <c r="BQ110" i="2"/>
  <c r="BR110" i="2" s="1"/>
  <c r="EI110" i="2"/>
  <c r="L117" i="31" s="1"/>
  <c r="S28" i="31"/>
  <c r="BQ106" i="2"/>
  <c r="BR106" i="2" s="1"/>
  <c r="D50" i="7"/>
  <c r="B50" i="7"/>
  <c r="E50" i="7" s="1"/>
  <c r="Y122" i="31"/>
  <c r="X122" i="31"/>
  <c r="W122" i="31"/>
  <c r="V122" i="31"/>
  <c r="U122" i="31"/>
  <c r="T122" i="31"/>
  <c r="S122" i="31"/>
  <c r="P122" i="31"/>
  <c r="M122" i="31"/>
  <c r="G122" i="31"/>
  <c r="F122" i="31"/>
  <c r="D122" i="31"/>
  <c r="D51" i="7"/>
  <c r="B51" i="7"/>
  <c r="P52" i="31"/>
  <c r="M52" i="31"/>
  <c r="F52" i="31"/>
  <c r="D52" i="31"/>
  <c r="E51" i="7"/>
  <c r="EE44" i="2"/>
  <c r="DV44" i="2"/>
  <c r="DM44" i="2"/>
  <c r="DD44" i="2"/>
  <c r="FI44" i="2"/>
  <c r="EH44" i="2"/>
  <c r="K52" i="31" s="1"/>
  <c r="BH44" i="2"/>
  <c r="EF44" i="2"/>
  <c r="EK44" i="2"/>
  <c r="N52" i="31" s="1"/>
  <c r="FS44" i="2"/>
  <c r="EI44" i="2"/>
  <c r="L52" i="31" s="1"/>
  <c r="FR44" i="2"/>
  <c r="CR44" i="2"/>
  <c r="CS44" i="2" s="1"/>
  <c r="CI44" i="2"/>
  <c r="CJ44" i="2" s="1"/>
  <c r="BZ44" i="2"/>
  <c r="CA44" i="2" s="1"/>
  <c r="BQ44" i="2"/>
  <c r="BR44" i="2" s="1"/>
  <c r="BQ11" i="2"/>
  <c r="BR11" i="2" s="1"/>
  <c r="BZ106" i="2"/>
  <c r="CA106" i="2" s="1"/>
  <c r="EE106" i="2"/>
  <c r="DV106" i="2"/>
  <c r="DM106" i="2"/>
  <c r="DD106" i="2"/>
  <c r="EH106" i="2"/>
  <c r="K122" i="31" s="1"/>
  <c r="EF106" i="2"/>
  <c r="H122" i="31" s="1"/>
  <c r="BH106" i="2"/>
  <c r="BI106" i="2" s="1"/>
  <c r="EI106" i="2"/>
  <c r="L122" i="31" s="1"/>
  <c r="CR106" i="2"/>
  <c r="CS106" i="2" s="1"/>
  <c r="EK106" i="2"/>
  <c r="N122" i="31" s="1"/>
  <c r="J14" i="32"/>
  <c r="J16" i="32" s="1"/>
  <c r="V11" i="31"/>
  <c r="D49" i="7"/>
  <c r="U11" i="31"/>
  <c r="S11" i="31"/>
  <c r="M11" i="31"/>
  <c r="F11" i="31"/>
  <c r="B49" i="7"/>
  <c r="X11" i="31"/>
  <c r="W11" i="31"/>
  <c r="T11" i="31"/>
  <c r="I11" i="31"/>
  <c r="G11" i="31"/>
  <c r="D11" i="31"/>
  <c r="DM11" i="2"/>
  <c r="DD11" i="2"/>
  <c r="DV11" i="2"/>
  <c r="EL11" i="2"/>
  <c r="P11" i="31" s="1"/>
  <c r="BH11" i="2"/>
  <c r="BI11" i="2" s="1"/>
  <c r="FJ11" i="2"/>
  <c r="Y11" i="31" s="1"/>
  <c r="EH11" i="2"/>
  <c r="K11" i="31" s="1"/>
  <c r="BZ11" i="2"/>
  <c r="CA11" i="2" s="1"/>
  <c r="EF11" i="2"/>
  <c r="EK11" i="2"/>
  <c r="N11" i="31" s="1"/>
  <c r="FS11" i="2"/>
  <c r="EI11" i="2"/>
  <c r="L11" i="31" s="1"/>
  <c r="FR11" i="2"/>
  <c r="DV24" i="2"/>
  <c r="U41" i="31"/>
  <c r="W41" i="31"/>
  <c r="X41" i="31"/>
  <c r="T41" i="31"/>
  <c r="S41" i="31"/>
  <c r="Y41" i="31"/>
  <c r="B48" i="7"/>
  <c r="P41" i="31"/>
  <c r="F41" i="31"/>
  <c r="D48" i="7"/>
  <c r="M41" i="31"/>
  <c r="G41" i="31"/>
  <c r="D41" i="31"/>
  <c r="EG36" i="2"/>
  <c r="I41" i="31" s="1"/>
  <c r="DV36" i="2"/>
  <c r="EE36" i="2"/>
  <c r="DM36" i="2"/>
  <c r="DD36" i="2"/>
  <c r="FI36" i="2"/>
  <c r="FR36" i="2"/>
  <c r="EI36" i="2"/>
  <c r="L41" i="31" s="1"/>
  <c r="EH36" i="2"/>
  <c r="K41" i="31" s="1"/>
  <c r="EF36" i="2"/>
  <c r="BH36" i="2"/>
  <c r="EK36" i="2"/>
  <c r="N41" i="31" s="1"/>
  <c r="FS36" i="2"/>
  <c r="CR36" i="2"/>
  <c r="CS36" i="2" s="1"/>
  <c r="CI36" i="2"/>
  <c r="CJ36" i="2" s="1"/>
  <c r="BQ36" i="2"/>
  <c r="BR36" i="2" s="1"/>
  <c r="BZ36" i="2"/>
  <c r="CA36" i="2" s="1"/>
  <c r="DM24" i="2"/>
  <c r="EE24" i="2"/>
  <c r="DD24" i="2"/>
  <c r="Y28" i="31"/>
  <c r="W28" i="31"/>
  <c r="V28" i="31"/>
  <c r="U28" i="31"/>
  <c r="T28" i="31"/>
  <c r="P28" i="31"/>
  <c r="M28" i="31"/>
  <c r="G28" i="31"/>
  <c r="F28" i="31"/>
  <c r="D28" i="31"/>
  <c r="FD24" i="2"/>
  <c r="EH24" i="2"/>
  <c r="K28" i="31" s="1"/>
  <c r="EF24" i="2"/>
  <c r="BH24" i="2"/>
  <c r="EK24" i="2"/>
  <c r="N28" i="31" s="1"/>
  <c r="FS24" i="2"/>
  <c r="EI24" i="2"/>
  <c r="L28" i="31" s="1"/>
  <c r="FR24" i="2"/>
  <c r="CI24" i="2"/>
  <c r="CJ24" i="2" s="1"/>
  <c r="BZ24" i="2"/>
  <c r="CA24" i="2" s="1"/>
  <c r="BQ24" i="2"/>
  <c r="BR24" i="2" s="1"/>
  <c r="BZ113" i="2"/>
  <c r="BQ113" i="2"/>
  <c r="BZ37" i="2"/>
  <c r="CA37" i="2" s="1"/>
  <c r="BQ37" i="2"/>
  <c r="BR37" i="2" s="1"/>
  <c r="CI113" i="2"/>
  <c r="BH113" i="2"/>
  <c r="CI37" i="2"/>
  <c r="CJ37" i="2" s="1"/>
  <c r="BH37" i="2"/>
  <c r="U42" i="31"/>
  <c r="T42" i="31"/>
  <c r="S42" i="31"/>
  <c r="X42" i="31"/>
  <c r="W42" i="31"/>
  <c r="V42" i="31"/>
  <c r="S120" i="31"/>
  <c r="B47" i="7"/>
  <c r="E47" i="7" s="1"/>
  <c r="Y120" i="31"/>
  <c r="D47" i="7"/>
  <c r="W120" i="31"/>
  <c r="V120" i="31"/>
  <c r="U120" i="31"/>
  <c r="T120" i="31"/>
  <c r="P120" i="31"/>
  <c r="M120" i="31"/>
  <c r="G120" i="31"/>
  <c r="F120" i="31"/>
  <c r="D120" i="31"/>
  <c r="ES114" i="2"/>
  <c r="EE113" i="2"/>
  <c r="DM113" i="2"/>
  <c r="DD113" i="2"/>
  <c r="DV113" i="2"/>
  <c r="K114" i="2"/>
  <c r="CL113" i="2"/>
  <c r="BT113" i="2"/>
  <c r="L113" i="2"/>
  <c r="FD113" i="2"/>
  <c r="X120" i="31" s="1"/>
  <c r="EH113" i="2"/>
  <c r="K120" i="31" s="1"/>
  <c r="EF113" i="2"/>
  <c r="H120" i="31" s="1"/>
  <c r="EK113" i="2"/>
  <c r="N120" i="31" s="1"/>
  <c r="FS113" i="2"/>
  <c r="EI113" i="2"/>
  <c r="L120" i="31" s="1"/>
  <c r="FR113" i="2"/>
  <c r="CR113" i="2"/>
  <c r="D46" i="7"/>
  <c r="B46" i="7"/>
  <c r="E46" i="7" s="1"/>
  <c r="P42" i="31"/>
  <c r="M42" i="31"/>
  <c r="G42" i="31"/>
  <c r="F42" i="31"/>
  <c r="D42" i="31"/>
  <c r="DD37" i="2"/>
  <c r="EE37" i="2"/>
  <c r="DV37" i="2"/>
  <c r="DM37" i="2"/>
  <c r="FJ37" i="2"/>
  <c r="EH37" i="2"/>
  <c r="K42" i="31" s="1"/>
  <c r="EF37" i="2"/>
  <c r="FS37" i="2"/>
  <c r="EK37" i="2"/>
  <c r="N42" i="31" s="1"/>
  <c r="EI37" i="2"/>
  <c r="L42" i="31" s="1"/>
  <c r="FR37" i="2"/>
  <c r="CR37" i="2"/>
  <c r="CS37" i="2" s="1"/>
  <c r="FV11" i="2" l="1"/>
  <c r="J117" i="31"/>
  <c r="Q117" i="31" s="1"/>
  <c r="E117" i="31"/>
  <c r="R117" i="31"/>
  <c r="EM110" i="2"/>
  <c r="EN110" i="2" s="1"/>
  <c r="J122" i="31"/>
  <c r="Q122" i="31" s="1"/>
  <c r="E122" i="31"/>
  <c r="R122" i="31"/>
  <c r="Z122" i="31" s="1"/>
  <c r="FU44" i="2"/>
  <c r="H52" i="31"/>
  <c r="FV44" i="2"/>
  <c r="V52" i="31"/>
  <c r="EM44" i="2"/>
  <c r="EN44" i="2" s="1"/>
  <c r="BI44" i="2"/>
  <c r="EM106" i="2"/>
  <c r="EN106" i="2" s="1"/>
  <c r="FU11" i="2"/>
  <c r="H11" i="31"/>
  <c r="E49" i="7"/>
  <c r="EM11" i="2"/>
  <c r="EN11" i="2" s="1"/>
  <c r="FT11" i="2" s="1"/>
  <c r="E48" i="7"/>
  <c r="FV36" i="2"/>
  <c r="V41" i="31"/>
  <c r="FU36" i="2"/>
  <c r="H41" i="31"/>
  <c r="EM36" i="2"/>
  <c r="EN36" i="2" s="1"/>
  <c r="BI36" i="2"/>
  <c r="FV24" i="2"/>
  <c r="X28" i="31"/>
  <c r="FU24" i="2"/>
  <c r="H28" i="31"/>
  <c r="EM24" i="2"/>
  <c r="EN24" i="2" s="1"/>
  <c r="BI24" i="2"/>
  <c r="E120" i="31"/>
  <c r="R120" i="31"/>
  <c r="Z120" i="31" s="1"/>
  <c r="FV113" i="2"/>
  <c r="FU113" i="2"/>
  <c r="EG113" i="2"/>
  <c r="I120" i="31" s="1"/>
  <c r="J120" i="31" s="1"/>
  <c r="Q120" i="31" s="1"/>
  <c r="CJ113" i="2"/>
  <c r="BR113" i="2"/>
  <c r="CS113" i="2"/>
  <c r="CA113" i="2"/>
  <c r="EM113" i="2"/>
  <c r="BI113" i="2"/>
  <c r="FV37" i="2"/>
  <c r="Y42" i="31"/>
  <c r="FU37" i="2"/>
  <c r="H42" i="31"/>
  <c r="EM37" i="2"/>
  <c r="EN37" i="2" s="1"/>
  <c r="BI37" i="2"/>
  <c r="AF22" i="2"/>
  <c r="BA50" i="2"/>
  <c r="L145" i="2"/>
  <c r="L144" i="2"/>
  <c r="C51" i="31"/>
  <c r="FI46" i="2"/>
  <c r="FH46" i="2"/>
  <c r="FG46" i="2"/>
  <c r="FF46" i="2"/>
  <c r="FE46" i="2"/>
  <c r="FD46" i="2"/>
  <c r="FC46" i="2"/>
  <c r="FB46" i="2"/>
  <c r="FA46" i="2"/>
  <c r="EY46" i="2"/>
  <c r="EJ46" i="2"/>
  <c r="ED46" i="2"/>
  <c r="EC46" i="2"/>
  <c r="EB46" i="2"/>
  <c r="EA46" i="2"/>
  <c r="DZ46" i="2"/>
  <c r="DY46" i="2"/>
  <c r="DX46" i="2"/>
  <c r="DW46" i="2"/>
  <c r="DU46" i="2"/>
  <c r="DT46" i="2"/>
  <c r="DS46" i="2"/>
  <c r="DR46" i="2"/>
  <c r="DQ46" i="2"/>
  <c r="DP46" i="2"/>
  <c r="DO46" i="2"/>
  <c r="DN46" i="2"/>
  <c r="DL46" i="2"/>
  <c r="DK46" i="2"/>
  <c r="DJ46" i="2"/>
  <c r="DI46" i="2"/>
  <c r="DH46" i="2"/>
  <c r="DG46" i="2"/>
  <c r="DF46" i="2"/>
  <c r="DE46" i="2"/>
  <c r="DC46" i="2"/>
  <c r="DB46" i="2"/>
  <c r="DA46" i="2"/>
  <c r="CZ46" i="2"/>
  <c r="CY46" i="2"/>
  <c r="CX46" i="2"/>
  <c r="CW46" i="2"/>
  <c r="CV46" i="2"/>
  <c r="CQ46" i="2"/>
  <c r="CO46" i="2"/>
  <c r="CM46" i="2"/>
  <c r="CL46" i="2"/>
  <c r="CK46" i="2"/>
  <c r="CH46" i="2"/>
  <c r="CF46" i="2"/>
  <c r="CD46" i="2"/>
  <c r="CC46" i="2"/>
  <c r="CB46" i="2"/>
  <c r="BY46" i="2"/>
  <c r="BW46" i="2"/>
  <c r="BU46" i="2"/>
  <c r="BT46" i="2"/>
  <c r="BS46" i="2"/>
  <c r="BP46" i="2"/>
  <c r="BN46" i="2"/>
  <c r="BL46" i="2"/>
  <c r="BK46" i="2"/>
  <c r="BJ46" i="2"/>
  <c r="BG46" i="2"/>
  <c r="BE46" i="2"/>
  <c r="BC46" i="2"/>
  <c r="BB46" i="2"/>
  <c r="BA46" i="2"/>
  <c r="AN46" i="2"/>
  <c r="CP46" i="2" s="1"/>
  <c r="AL46" i="2"/>
  <c r="CN46" i="2" s="1"/>
  <c r="AJ46" i="2"/>
  <c r="CG46" i="2" s="1"/>
  <c r="AH46" i="2"/>
  <c r="CE46" i="2" s="1"/>
  <c r="AF46" i="2"/>
  <c r="BX46" i="2" s="1"/>
  <c r="AD46" i="2"/>
  <c r="BV46" i="2" s="1"/>
  <c r="AB46" i="2"/>
  <c r="BO46" i="2" s="1"/>
  <c r="Z46" i="2"/>
  <c r="BM46" i="2" s="1"/>
  <c r="X46" i="2"/>
  <c r="BF46" i="2" s="1"/>
  <c r="V46" i="2"/>
  <c r="BD46" i="2" s="1"/>
  <c r="S46" i="2"/>
  <c r="L46" i="2"/>
  <c r="Z117" i="31" l="1"/>
  <c r="AA117" i="31" s="1"/>
  <c r="AC117" i="31" s="1"/>
  <c r="E52" i="31"/>
  <c r="J52" i="31"/>
  <c r="Q52" i="31" s="1"/>
  <c r="R52" i="31"/>
  <c r="Z52" i="31" s="1"/>
  <c r="AA122" i="31"/>
  <c r="AC122" i="31" s="1"/>
  <c r="FT44" i="2"/>
  <c r="R11" i="31"/>
  <c r="E11" i="31"/>
  <c r="J11" i="31"/>
  <c r="Q11" i="31" s="1"/>
  <c r="FT24" i="2"/>
  <c r="R41" i="31"/>
  <c r="E41" i="31"/>
  <c r="J41" i="31"/>
  <c r="Q41" i="31" s="1"/>
  <c r="FT36" i="2"/>
  <c r="R28" i="31"/>
  <c r="Z28" i="31" s="1"/>
  <c r="E28" i="31"/>
  <c r="J28" i="31"/>
  <c r="Q28" i="31" s="1"/>
  <c r="BZ46" i="2"/>
  <c r="CA46" i="2" s="1"/>
  <c r="BQ46" i="2"/>
  <c r="BR46" i="2" s="1"/>
  <c r="BH46" i="2"/>
  <c r="BI46" i="2" s="1"/>
  <c r="CI46" i="2"/>
  <c r="CJ46" i="2" s="1"/>
  <c r="BA51" i="2"/>
  <c r="EL46" i="2"/>
  <c r="EH46" i="2"/>
  <c r="K51" i="31" s="1"/>
  <c r="AA120" i="31"/>
  <c r="AC120" i="31" s="1"/>
  <c r="EN113" i="2"/>
  <c r="FT113" i="2" s="1"/>
  <c r="V51" i="31"/>
  <c r="W51" i="31"/>
  <c r="D45" i="7"/>
  <c r="B45" i="7"/>
  <c r="X51" i="31"/>
  <c r="U51" i="31"/>
  <c r="T51" i="31"/>
  <c r="S51" i="31"/>
  <c r="P51" i="31"/>
  <c r="M51" i="31"/>
  <c r="F51" i="31"/>
  <c r="D51" i="31"/>
  <c r="G51" i="31" s="1"/>
  <c r="E42" i="31"/>
  <c r="J42" i="31"/>
  <c r="Q42" i="31" s="1"/>
  <c r="R42" i="31"/>
  <c r="Z42" i="31" s="1"/>
  <c r="FT37" i="2"/>
  <c r="EF46" i="2"/>
  <c r="EE46" i="2"/>
  <c r="DV46" i="2"/>
  <c r="DM46" i="2"/>
  <c r="EG46" i="2"/>
  <c r="I51" i="31" s="1"/>
  <c r="DD46" i="2"/>
  <c r="FS46" i="2"/>
  <c r="EK46" i="2"/>
  <c r="N51" i="31" s="1"/>
  <c r="CR46" i="2"/>
  <c r="CS46" i="2" s="1"/>
  <c r="FR46" i="2"/>
  <c r="EI46" i="2"/>
  <c r="L51" i="31" s="1"/>
  <c r="FJ46" i="2"/>
  <c r="AE117" i="31" l="1"/>
  <c r="AD117" i="31"/>
  <c r="AA52" i="31"/>
  <c r="AC52" i="31" s="1"/>
  <c r="Z11" i="31"/>
  <c r="Z41" i="31"/>
  <c r="AA28" i="31"/>
  <c r="AC28" i="31" s="1"/>
  <c r="E45" i="7"/>
  <c r="AA42" i="31"/>
  <c r="AC42" i="31" s="1"/>
  <c r="H51" i="31"/>
  <c r="FU46" i="2"/>
  <c r="FV46" i="2"/>
  <c r="Y51" i="31"/>
  <c r="EM46" i="2"/>
  <c r="AD52" i="31" l="1"/>
  <c r="AE52" i="31"/>
  <c r="AA11" i="31"/>
  <c r="AC11" i="31" s="1"/>
  <c r="AA41" i="31"/>
  <c r="AC41" i="31" s="1"/>
  <c r="E51" i="31"/>
  <c r="J51" i="31"/>
  <c r="Q51" i="31" s="1"/>
  <c r="R51" i="31"/>
  <c r="EN46" i="2"/>
  <c r="FT46" i="2" s="1"/>
  <c r="Z51" i="31" l="1"/>
  <c r="AA51" i="31" l="1"/>
  <c r="AC51" i="31" s="1"/>
  <c r="X89" i="2" l="1"/>
  <c r="Z89" i="2"/>
  <c r="AB89" i="2"/>
  <c r="AD89" i="2"/>
  <c r="AF89" i="2"/>
  <c r="AH89" i="2"/>
  <c r="V88" i="2"/>
  <c r="C108" i="31" l="1"/>
  <c r="B44" i="7" s="1"/>
  <c r="FI93" i="2"/>
  <c r="FH93" i="2"/>
  <c r="FG93" i="2"/>
  <c r="FE93" i="2"/>
  <c r="FC93" i="2"/>
  <c r="FB93" i="2"/>
  <c r="FA93" i="2"/>
  <c r="EY93" i="2"/>
  <c r="FJ93" i="2" s="1"/>
  <c r="EJ93" i="2"/>
  <c r="ED93" i="2"/>
  <c r="EC93" i="2"/>
  <c r="EB93" i="2"/>
  <c r="EA93" i="2"/>
  <c r="DZ93" i="2"/>
  <c r="DY93" i="2"/>
  <c r="DX93" i="2"/>
  <c r="DW93" i="2"/>
  <c r="DU93" i="2"/>
  <c r="DT93" i="2"/>
  <c r="DS93" i="2"/>
  <c r="DR93" i="2"/>
  <c r="DQ93" i="2"/>
  <c r="DP93" i="2"/>
  <c r="DO93" i="2"/>
  <c r="DN93" i="2"/>
  <c r="DL93" i="2"/>
  <c r="DK93" i="2"/>
  <c r="DJ93" i="2"/>
  <c r="DI93" i="2"/>
  <c r="DH93" i="2"/>
  <c r="DG93" i="2"/>
  <c r="DF93" i="2"/>
  <c r="DE93" i="2"/>
  <c r="DC93" i="2"/>
  <c r="DB93" i="2"/>
  <c r="DA93" i="2"/>
  <c r="CZ93" i="2"/>
  <c r="CY93" i="2"/>
  <c r="CX93" i="2"/>
  <c r="CW93" i="2"/>
  <c r="CV93" i="2"/>
  <c r="CQ93" i="2"/>
  <c r="CO93" i="2"/>
  <c r="CM93" i="2"/>
  <c r="CK93" i="2"/>
  <c r="CH93" i="2"/>
  <c r="CF93" i="2"/>
  <c r="CD93" i="2"/>
  <c r="CB93" i="2"/>
  <c r="BY93" i="2"/>
  <c r="BW93" i="2"/>
  <c r="BU93" i="2"/>
  <c r="BS93" i="2"/>
  <c r="BP93" i="2"/>
  <c r="BN93" i="2"/>
  <c r="BL93" i="2"/>
  <c r="BJ93" i="2"/>
  <c r="BG93" i="2"/>
  <c r="BE93" i="2"/>
  <c r="BC93" i="2"/>
  <c r="BA93" i="2"/>
  <c r="AN93" i="2"/>
  <c r="CP93" i="2" s="1"/>
  <c r="AL93" i="2"/>
  <c r="CN93" i="2" s="1"/>
  <c r="AJ93" i="2"/>
  <c r="CG93" i="2" s="1"/>
  <c r="AH93" i="2"/>
  <c r="CE93" i="2" s="1"/>
  <c r="AF93" i="2"/>
  <c r="BX93" i="2" s="1"/>
  <c r="AD93" i="2"/>
  <c r="BV93" i="2" s="1"/>
  <c r="AB93" i="2"/>
  <c r="BO93" i="2" s="1"/>
  <c r="Z93" i="2"/>
  <c r="BM93" i="2" s="1"/>
  <c r="X93" i="2"/>
  <c r="BF93" i="2" s="1"/>
  <c r="V93" i="2"/>
  <c r="BD93" i="2" s="1"/>
  <c r="CI93" i="2" l="1"/>
  <c r="BZ93" i="2"/>
  <c r="BQ93" i="2"/>
  <c r="BR93" i="2" s="1"/>
  <c r="BH93" i="2"/>
  <c r="V108" i="31"/>
  <c r="F108" i="31"/>
  <c r="G108" i="31"/>
  <c r="D108" i="31"/>
  <c r="T108" i="31"/>
  <c r="U108" i="31"/>
  <c r="Y108" i="31"/>
  <c r="D44" i="7"/>
  <c r="EL93" i="2"/>
  <c r="M108" i="31"/>
  <c r="P108" i="31"/>
  <c r="S108" i="31"/>
  <c r="W108" i="31"/>
  <c r="E44" i="7"/>
  <c r="DD93" i="2"/>
  <c r="EH93" i="2"/>
  <c r="K108" i="31" s="1"/>
  <c r="EE93" i="2"/>
  <c r="EF93" i="2"/>
  <c r="DM93" i="2"/>
  <c r="DV93" i="2"/>
  <c r="EI93" i="2"/>
  <c r="L108" i="31" s="1"/>
  <c r="FR93" i="2"/>
  <c r="EK93" i="2"/>
  <c r="N108" i="31" s="1"/>
  <c r="FS93" i="2"/>
  <c r="CR93" i="2"/>
  <c r="FF93" i="2"/>
  <c r="CC93" i="2"/>
  <c r="L93" i="2"/>
  <c r="CL93" i="2"/>
  <c r="FD93" i="2"/>
  <c r="CA93" i="2" l="1"/>
  <c r="FU93" i="2"/>
  <c r="H108" i="31"/>
  <c r="E108" i="31" s="1"/>
  <c r="FV93" i="2"/>
  <c r="X108" i="31"/>
  <c r="CS93" i="2"/>
  <c r="CJ93" i="2"/>
  <c r="EG93" i="2"/>
  <c r="I108" i="31" s="1"/>
  <c r="BI93" i="2"/>
  <c r="EM93" i="2"/>
  <c r="R108" i="31" l="1"/>
  <c r="Z108" i="31" s="1"/>
  <c r="J108" i="31"/>
  <c r="Q108" i="31" s="1"/>
  <c r="EN93" i="2"/>
  <c r="FT93" i="2" s="1"/>
  <c r="AA108" i="31" l="1"/>
  <c r="AC108" i="31" s="1"/>
  <c r="FD104" i="2"/>
  <c r="L134" i="2"/>
  <c r="L132" i="2"/>
  <c r="L129" i="2"/>
  <c r="J135" i="2"/>
  <c r="B43" i="7"/>
  <c r="C115" i="31"/>
  <c r="FI104" i="2"/>
  <c r="FH104" i="2"/>
  <c r="FG104" i="2"/>
  <c r="FE104" i="2"/>
  <c r="EJ104" i="2"/>
  <c r="ED104" i="2"/>
  <c r="EC104" i="2"/>
  <c r="EB104" i="2"/>
  <c r="EA104" i="2"/>
  <c r="DZ104" i="2"/>
  <c r="DY104" i="2"/>
  <c r="DX104" i="2"/>
  <c r="DW104" i="2"/>
  <c r="DU104" i="2"/>
  <c r="DT104" i="2"/>
  <c r="DS104" i="2"/>
  <c r="DR104" i="2"/>
  <c r="DQ104" i="2"/>
  <c r="DP104" i="2"/>
  <c r="DO104" i="2"/>
  <c r="DN104" i="2"/>
  <c r="DL104" i="2"/>
  <c r="DK104" i="2"/>
  <c r="DJ104" i="2"/>
  <c r="DI104" i="2"/>
  <c r="DH104" i="2"/>
  <c r="DG104" i="2"/>
  <c r="DF104" i="2"/>
  <c r="DE104" i="2"/>
  <c r="DC104" i="2"/>
  <c r="DB104" i="2"/>
  <c r="DA104" i="2"/>
  <c r="CZ104" i="2"/>
  <c r="CY104" i="2"/>
  <c r="CX104" i="2"/>
  <c r="CW104" i="2"/>
  <c r="CV104" i="2"/>
  <c r="CQ104" i="2"/>
  <c r="CO104" i="2"/>
  <c r="CM104" i="2"/>
  <c r="CH104" i="2"/>
  <c r="CF104" i="2"/>
  <c r="CD104" i="2"/>
  <c r="BY104" i="2"/>
  <c r="BW104" i="2"/>
  <c r="BU104" i="2"/>
  <c r="BT104" i="2"/>
  <c r="BS104" i="2"/>
  <c r="BP104" i="2"/>
  <c r="BN104" i="2"/>
  <c r="BL104" i="2"/>
  <c r="BK104" i="2"/>
  <c r="BJ104" i="2"/>
  <c r="BG104" i="2"/>
  <c r="BE104" i="2"/>
  <c r="BC104" i="2"/>
  <c r="AN104" i="2"/>
  <c r="CP104" i="2" s="1"/>
  <c r="AL104" i="2"/>
  <c r="CN104" i="2" s="1"/>
  <c r="AJ104" i="2"/>
  <c r="CG104" i="2" s="1"/>
  <c r="AH104" i="2"/>
  <c r="CE104" i="2" s="1"/>
  <c r="AF104" i="2"/>
  <c r="BX104" i="2" s="1"/>
  <c r="AD104" i="2"/>
  <c r="BV104" i="2" s="1"/>
  <c r="AB104" i="2"/>
  <c r="BO104" i="2" s="1"/>
  <c r="Z104" i="2"/>
  <c r="BM104" i="2" s="1"/>
  <c r="X104" i="2"/>
  <c r="BF104" i="2" s="1"/>
  <c r="V104" i="2"/>
  <c r="BD104" i="2" s="1"/>
  <c r="L104" i="2"/>
  <c r="BZ104" i="2" l="1"/>
  <c r="BQ104" i="2"/>
  <c r="V115" i="31"/>
  <c r="W115" i="31"/>
  <c r="L135" i="2"/>
  <c r="M115" i="31"/>
  <c r="EL104" i="2"/>
  <c r="AE108" i="31"/>
  <c r="AD108" i="31"/>
  <c r="X115" i="31"/>
  <c r="CC104" i="2"/>
  <c r="BA104" i="2"/>
  <c r="BH104" i="2" s="1"/>
  <c r="FF104" i="2"/>
  <c r="FA104" i="2"/>
  <c r="CK104" i="2"/>
  <c r="FB104" i="2"/>
  <c r="CL104" i="2"/>
  <c r="FC104" i="2"/>
  <c r="CB104" i="2"/>
  <c r="CI104" i="2" s="1"/>
  <c r="BB104" i="2"/>
  <c r="D115" i="31"/>
  <c r="D43" i="7"/>
  <c r="F115" i="31"/>
  <c r="G115" i="31"/>
  <c r="E43" i="7"/>
  <c r="DD104" i="2"/>
  <c r="EE104" i="2"/>
  <c r="EK104" i="2"/>
  <c r="DM104" i="2"/>
  <c r="DV104" i="2"/>
  <c r="FR104" i="2"/>
  <c r="FS104" i="2"/>
  <c r="EI104" i="2"/>
  <c r="EH104" i="2"/>
  <c r="EY104" i="2"/>
  <c r="P115" i="31" l="1"/>
  <c r="S115" i="31"/>
  <c r="CR104" i="2"/>
  <c r="CS104" i="2" s="1"/>
  <c r="T115" i="31"/>
  <c r="U115" i="31"/>
  <c r="CJ104" i="2"/>
  <c r="CA104" i="2"/>
  <c r="N115" i="31"/>
  <c r="L115" i="31"/>
  <c r="K115" i="31"/>
  <c r="EG104" i="2"/>
  <c r="EF104" i="2"/>
  <c r="BR104" i="2"/>
  <c r="FJ104" i="2"/>
  <c r="BK29" i="2"/>
  <c r="BB29" i="2"/>
  <c r="BI104" i="2" l="1"/>
  <c r="EM104" i="2"/>
  <c r="EN104" i="2" s="1"/>
  <c r="I115" i="31"/>
  <c r="FU104" i="2"/>
  <c r="H115" i="31"/>
  <c r="FV104" i="2"/>
  <c r="Y115" i="31"/>
  <c r="FT104" i="2" l="1"/>
  <c r="E115" i="31"/>
  <c r="J115" i="31"/>
  <c r="Q115" i="31" s="1"/>
  <c r="R115" i="31"/>
  <c r="Z115" i="31" s="1"/>
  <c r="FQ149" i="2"/>
  <c r="EZ149" i="2"/>
  <c r="EO149" i="2"/>
  <c r="C151" i="31"/>
  <c r="D42" i="7" s="1"/>
  <c r="BB138" i="2"/>
  <c r="FI138" i="2"/>
  <c r="FH138" i="2"/>
  <c r="FG138" i="2"/>
  <c r="FF138" i="2"/>
  <c r="FE138" i="2"/>
  <c r="FD138" i="2"/>
  <c r="FC138" i="2"/>
  <c r="FB138" i="2"/>
  <c r="FA138" i="2"/>
  <c r="EY138" i="2"/>
  <c r="EJ138" i="2"/>
  <c r="ED138" i="2"/>
  <c r="ED140" i="2" s="1"/>
  <c r="EC138" i="2"/>
  <c r="EC140" i="2" s="1"/>
  <c r="EB138" i="2"/>
  <c r="EB140" i="2" s="1"/>
  <c r="EA138" i="2"/>
  <c r="EA140" i="2" s="1"/>
  <c r="DZ138" i="2"/>
  <c r="DZ140" i="2" s="1"/>
  <c r="DY138" i="2"/>
  <c r="DY140" i="2" s="1"/>
  <c r="DX138" i="2"/>
  <c r="DX140" i="2" s="1"/>
  <c r="DW138" i="2"/>
  <c r="DW140" i="2" s="1"/>
  <c r="DU138" i="2"/>
  <c r="DU140" i="2" s="1"/>
  <c r="DT138" i="2"/>
  <c r="DS138" i="2"/>
  <c r="DR138" i="2"/>
  <c r="DQ138" i="2"/>
  <c r="DP138" i="2"/>
  <c r="DO138" i="2"/>
  <c r="DO140" i="2" s="1"/>
  <c r="DN138" i="2"/>
  <c r="DN140" i="2" s="1"/>
  <c r="DL138" i="2"/>
  <c r="DL140" i="2" s="1"/>
  <c r="DK138" i="2"/>
  <c r="DJ138" i="2"/>
  <c r="DI138" i="2"/>
  <c r="DH138" i="2"/>
  <c r="DG138" i="2"/>
  <c r="DF138" i="2"/>
  <c r="DF140" i="2" s="1"/>
  <c r="DE138" i="2"/>
  <c r="DE140" i="2" s="1"/>
  <c r="DC138" i="2"/>
  <c r="DC140" i="2" s="1"/>
  <c r="DB138" i="2"/>
  <c r="DA138" i="2"/>
  <c r="CZ138" i="2"/>
  <c r="CY138" i="2"/>
  <c r="CX138" i="2"/>
  <c r="CW138" i="2"/>
  <c r="CW140" i="2" s="1"/>
  <c r="CV138" i="2"/>
  <c r="CV140" i="2" s="1"/>
  <c r="CQ138" i="2"/>
  <c r="CO138" i="2"/>
  <c r="CM138" i="2"/>
  <c r="CL138" i="2"/>
  <c r="CH138" i="2"/>
  <c r="CF138" i="2"/>
  <c r="CD138" i="2"/>
  <c r="CC138" i="2"/>
  <c r="BY138" i="2"/>
  <c r="BW138" i="2"/>
  <c r="BU138" i="2"/>
  <c r="BT138" i="2"/>
  <c r="BT140" i="2" s="1"/>
  <c r="BP138" i="2"/>
  <c r="BN138" i="2"/>
  <c r="BL138" i="2"/>
  <c r="BK138" i="2"/>
  <c r="BK140" i="2" s="1"/>
  <c r="BG138" i="2"/>
  <c r="BE138" i="2"/>
  <c r="BC138" i="2"/>
  <c r="S138" i="2"/>
  <c r="B138" i="2"/>
  <c r="A138" i="2"/>
  <c r="AA115" i="31" l="1"/>
  <c r="AC115" i="31" s="1"/>
  <c r="B42" i="7"/>
  <c r="E42" i="7" s="1"/>
  <c r="X151" i="31"/>
  <c r="X153" i="31" s="1"/>
  <c r="U151" i="31"/>
  <c r="U153" i="31" s="1"/>
  <c r="W151" i="31"/>
  <c r="W153" i="31" s="1"/>
  <c r="V151" i="31"/>
  <c r="V153" i="31" s="1"/>
  <c r="EH138" i="2"/>
  <c r="K151" i="31" s="1"/>
  <c r="K153" i="31" s="1"/>
  <c r="C138" i="2"/>
  <c r="EL138" i="2"/>
  <c r="S151" i="31"/>
  <c r="S153" i="31" s="1"/>
  <c r="T151" i="31"/>
  <c r="T153" i="31" s="1"/>
  <c r="D151" i="31"/>
  <c r="F151" i="31"/>
  <c r="M151" i="31"/>
  <c r="M153" i="31" s="1"/>
  <c r="EG138" i="2"/>
  <c r="EE138" i="2"/>
  <c r="EE140" i="2" s="1"/>
  <c r="DM138" i="2"/>
  <c r="DM140" i="2" s="1"/>
  <c r="DV138" i="2"/>
  <c r="DV140" i="2" s="1"/>
  <c r="DD138" i="2"/>
  <c r="DD140" i="2" s="1"/>
  <c r="X138" i="2"/>
  <c r="BF138" i="2" s="1"/>
  <c r="AB138" i="2"/>
  <c r="BO138" i="2" s="1"/>
  <c r="CB138" i="2"/>
  <c r="L138" i="2"/>
  <c r="BJ138" i="2"/>
  <c r="BJ140" i="2" s="1"/>
  <c r="V138" i="2"/>
  <c r="BD138" i="2" s="1"/>
  <c r="Z138" i="2"/>
  <c r="BM138" i="2" s="1"/>
  <c r="AD138" i="2"/>
  <c r="BV138" i="2" s="1"/>
  <c r="AF138" i="2"/>
  <c r="BX138" i="2" s="1"/>
  <c r="AN138" i="2"/>
  <c r="CP138" i="2" s="1"/>
  <c r="AH138" i="2"/>
  <c r="CE138" i="2" s="1"/>
  <c r="CK138" i="2"/>
  <c r="AJ138" i="2"/>
  <c r="CG138" i="2" s="1"/>
  <c r="AL138" i="2"/>
  <c r="CN138" i="2" s="1"/>
  <c r="BS138" i="2"/>
  <c r="BS140" i="2" s="1"/>
  <c r="BA138" i="2"/>
  <c r="FJ138" i="2"/>
  <c r="I151" i="31" l="1"/>
  <c r="I153" i="31" s="1"/>
  <c r="EG140" i="2"/>
  <c r="BZ138" i="2"/>
  <c r="CI138" i="2"/>
  <c r="CJ138" i="2" s="1"/>
  <c r="BQ138" i="2"/>
  <c r="BH138" i="2"/>
  <c r="FR138" i="2"/>
  <c r="AD115" i="31"/>
  <c r="AE115" i="31"/>
  <c r="FV138" i="2"/>
  <c r="Y151" i="31"/>
  <c r="Y153" i="31" s="1"/>
  <c r="EK138" i="2"/>
  <c r="N151" i="31" s="1"/>
  <c r="N153" i="31" s="1"/>
  <c r="CR138" i="2"/>
  <c r="CS138" i="2" s="1"/>
  <c r="FS138" i="2"/>
  <c r="EI138" i="2"/>
  <c r="EF138" i="2"/>
  <c r="CA138" i="2" l="1"/>
  <c r="CA140" i="2" s="1"/>
  <c r="BZ140" i="2"/>
  <c r="H151" i="31"/>
  <c r="H153" i="31" s="1"/>
  <c r="EF140" i="2"/>
  <c r="BR138" i="2"/>
  <c r="BR140" i="2" s="1"/>
  <c r="BQ140" i="2"/>
  <c r="L151" i="31"/>
  <c r="L153" i="31" s="1"/>
  <c r="EI140" i="2"/>
  <c r="EM138" i="2"/>
  <c r="BI138" i="2"/>
  <c r="FU138" i="2"/>
  <c r="FU140" i="2" s="1"/>
  <c r="EN138" i="2" l="1"/>
  <c r="EN140" i="2" s="1"/>
  <c r="EM140" i="2"/>
  <c r="R151" i="31"/>
  <c r="Z151" i="31" s="1"/>
  <c r="Z153" i="31" s="1"/>
  <c r="J151" i="31"/>
  <c r="J153" i="31" s="1"/>
  <c r="E151" i="31"/>
  <c r="R153" i="31" l="1"/>
  <c r="Q151" i="31"/>
  <c r="Q153" i="31" s="1"/>
  <c r="FT138" i="2"/>
  <c r="FT140" i="2" s="1"/>
  <c r="C132" i="31"/>
  <c r="D41" i="7" s="1"/>
  <c r="FI122" i="2"/>
  <c r="FH122" i="2"/>
  <c r="FG122" i="2"/>
  <c r="FF122" i="2"/>
  <c r="FE122" i="2"/>
  <c r="FD122" i="2"/>
  <c r="FC122" i="2"/>
  <c r="FB122" i="2"/>
  <c r="FA122" i="2"/>
  <c r="EY122" i="2"/>
  <c r="EJ122" i="2"/>
  <c r="ED122" i="2"/>
  <c r="EC122" i="2"/>
  <c r="EB122" i="2"/>
  <c r="EA122" i="2"/>
  <c r="DZ122" i="2"/>
  <c r="DY122" i="2"/>
  <c r="DX122" i="2"/>
  <c r="DW122" i="2"/>
  <c r="DU122" i="2"/>
  <c r="DT122" i="2"/>
  <c r="DS122" i="2"/>
  <c r="DR122" i="2"/>
  <c r="DQ122" i="2"/>
  <c r="DP122" i="2"/>
  <c r="DO122" i="2"/>
  <c r="DN122" i="2"/>
  <c r="DL122" i="2"/>
  <c r="DK122" i="2"/>
  <c r="DJ122" i="2"/>
  <c r="DI122" i="2"/>
  <c r="DH122" i="2"/>
  <c r="DG122" i="2"/>
  <c r="DF122" i="2"/>
  <c r="DE122" i="2"/>
  <c r="DC122" i="2"/>
  <c r="DB122" i="2"/>
  <c r="DA122" i="2"/>
  <c r="CZ122" i="2"/>
  <c r="CY122" i="2"/>
  <c r="CX122" i="2"/>
  <c r="CW122" i="2"/>
  <c r="CV122" i="2"/>
  <c r="CM122" i="2"/>
  <c r="CK122" i="2"/>
  <c r="CC122" i="2"/>
  <c r="CB122" i="2"/>
  <c r="BY122" i="2"/>
  <c r="BW122" i="2"/>
  <c r="BU122" i="2"/>
  <c r="BS122" i="2"/>
  <c r="BP122" i="2"/>
  <c r="BN122" i="2"/>
  <c r="BL122" i="2"/>
  <c r="BJ122" i="2"/>
  <c r="BG122" i="2"/>
  <c r="BE122" i="2"/>
  <c r="BC122" i="2"/>
  <c r="BA122" i="2"/>
  <c r="AN122" i="2"/>
  <c r="CP122" i="2" s="1"/>
  <c r="AL122" i="2"/>
  <c r="CN122" i="2" s="1"/>
  <c r="AJ122" i="2"/>
  <c r="CG122" i="2" s="1"/>
  <c r="AH122" i="2"/>
  <c r="CE122" i="2" s="1"/>
  <c r="AF122" i="2"/>
  <c r="BX122" i="2" s="1"/>
  <c r="AD122" i="2"/>
  <c r="BV122" i="2" s="1"/>
  <c r="AB122" i="2"/>
  <c r="BO122" i="2" s="1"/>
  <c r="Z122" i="2"/>
  <c r="BM122" i="2" s="1"/>
  <c r="X122" i="2"/>
  <c r="BF122" i="2" s="1"/>
  <c r="V122" i="2"/>
  <c r="BD122" i="2" s="1"/>
  <c r="S122" i="2"/>
  <c r="CL122" i="2"/>
  <c r="AA151" i="31" l="1"/>
  <c r="AC151" i="31" s="1"/>
  <c r="AC153" i="31" s="1"/>
  <c r="CI122" i="2"/>
  <c r="CJ122" i="2" s="1"/>
  <c r="BZ122" i="2"/>
  <c r="BH122" i="2"/>
  <c r="BI122" i="2" s="1"/>
  <c r="BQ122" i="2"/>
  <c r="EL122" i="2"/>
  <c r="D132" i="31"/>
  <c r="F132" i="31"/>
  <c r="G132" i="31"/>
  <c r="M132" i="31"/>
  <c r="V132" i="31"/>
  <c r="W132" i="31"/>
  <c r="S132" i="31"/>
  <c r="U132" i="31"/>
  <c r="P132" i="31"/>
  <c r="T132" i="31"/>
  <c r="X132" i="31"/>
  <c r="CR122" i="2"/>
  <c r="CS122" i="2" s="1"/>
  <c r="B41" i="7"/>
  <c r="E41" i="7" s="1"/>
  <c r="EH122" i="2"/>
  <c r="K132" i="31" s="1"/>
  <c r="EE122" i="2"/>
  <c r="EF122" i="2"/>
  <c r="DM122" i="2"/>
  <c r="DV122" i="2"/>
  <c r="DD122" i="2"/>
  <c r="EK122" i="2"/>
  <c r="N132" i="31" s="1"/>
  <c r="FS122" i="2"/>
  <c r="FJ122" i="2"/>
  <c r="FR122" i="2"/>
  <c r="BT122" i="2"/>
  <c r="EI122" i="2"/>
  <c r="L132" i="31" s="1"/>
  <c r="L122" i="2"/>
  <c r="Z88" i="2"/>
  <c r="AA153" i="31" l="1"/>
  <c r="CA122" i="2"/>
  <c r="FU122" i="2"/>
  <c r="H132" i="31"/>
  <c r="FV122" i="2"/>
  <c r="Y132" i="31"/>
  <c r="EM122" i="2"/>
  <c r="BR122" i="2"/>
  <c r="EG122" i="2"/>
  <c r="I132" i="31" s="1"/>
  <c r="ES26" i="2"/>
  <c r="C133" i="31"/>
  <c r="FI123" i="2"/>
  <c r="FH123" i="2"/>
  <c r="FG123" i="2"/>
  <c r="FF123" i="2"/>
  <c r="FE123" i="2"/>
  <c r="FD123" i="2"/>
  <c r="FC123" i="2"/>
  <c r="FB123" i="2"/>
  <c r="FA123" i="2"/>
  <c r="EY123" i="2"/>
  <c r="EJ123" i="2"/>
  <c r="ED123" i="2"/>
  <c r="EC123" i="2"/>
  <c r="EB123" i="2"/>
  <c r="EA123" i="2"/>
  <c r="DZ123" i="2"/>
  <c r="DY123" i="2"/>
  <c r="DX123" i="2"/>
  <c r="DW123" i="2"/>
  <c r="DU123" i="2"/>
  <c r="DT123" i="2"/>
  <c r="DS123" i="2"/>
  <c r="DR123" i="2"/>
  <c r="DQ123" i="2"/>
  <c r="DP123" i="2"/>
  <c r="DO123" i="2"/>
  <c r="DN123" i="2"/>
  <c r="DL123" i="2"/>
  <c r="DK123" i="2"/>
  <c r="DJ123" i="2"/>
  <c r="DI123" i="2"/>
  <c r="DH123" i="2"/>
  <c r="DG123" i="2"/>
  <c r="DF123" i="2"/>
  <c r="DE123" i="2"/>
  <c r="DC123" i="2"/>
  <c r="DB123" i="2"/>
  <c r="DA123" i="2"/>
  <c r="CZ123" i="2"/>
  <c r="CY123" i="2"/>
  <c r="CX123" i="2"/>
  <c r="CW123" i="2"/>
  <c r="CV123" i="2"/>
  <c r="CQ123" i="2"/>
  <c r="CO123" i="2"/>
  <c r="CM123" i="2"/>
  <c r="CK123" i="2"/>
  <c r="CH123" i="2"/>
  <c r="CF123" i="2"/>
  <c r="CD123" i="2"/>
  <c r="CB123" i="2"/>
  <c r="BY123" i="2"/>
  <c r="BW123" i="2"/>
  <c r="BU123" i="2"/>
  <c r="BS123" i="2"/>
  <c r="BP123" i="2"/>
  <c r="BN123" i="2"/>
  <c r="BL123" i="2"/>
  <c r="BJ123" i="2"/>
  <c r="BG123" i="2"/>
  <c r="BE123" i="2"/>
  <c r="BC123" i="2"/>
  <c r="BA123" i="2"/>
  <c r="AN123" i="2"/>
  <c r="CP123" i="2" s="1"/>
  <c r="AL123" i="2"/>
  <c r="CN123" i="2" s="1"/>
  <c r="AJ123" i="2"/>
  <c r="CG123" i="2" s="1"/>
  <c r="AH123" i="2"/>
  <c r="CE123" i="2" s="1"/>
  <c r="AF123" i="2"/>
  <c r="BX123" i="2" s="1"/>
  <c r="AD123" i="2"/>
  <c r="BV123" i="2" s="1"/>
  <c r="AB123" i="2"/>
  <c r="BO123" i="2" s="1"/>
  <c r="Z123" i="2"/>
  <c r="BM123" i="2" s="1"/>
  <c r="X123" i="2"/>
  <c r="BF123" i="2" s="1"/>
  <c r="V123" i="2"/>
  <c r="BD123" i="2" s="1"/>
  <c r="S123" i="2"/>
  <c r="F123" i="2"/>
  <c r="D123" i="2"/>
  <c r="B123" i="2"/>
  <c r="A123" i="2"/>
  <c r="FD88" i="2"/>
  <c r="C100" i="31"/>
  <c r="D40" i="7" s="1"/>
  <c r="FI88" i="2"/>
  <c r="FH88" i="2"/>
  <c r="FG88" i="2"/>
  <c r="FF88" i="2"/>
  <c r="FE88" i="2"/>
  <c r="FC88" i="2"/>
  <c r="FB88" i="2"/>
  <c r="FA88" i="2"/>
  <c r="EY88" i="2"/>
  <c r="FJ88" i="2" s="1"/>
  <c r="EJ88" i="2"/>
  <c r="ED88" i="2"/>
  <c r="CI218" i="2" s="1"/>
  <c r="EC88" i="2"/>
  <c r="CH218" i="2" s="1"/>
  <c r="EB88" i="2"/>
  <c r="CG218" i="2" s="1"/>
  <c r="EA88" i="2"/>
  <c r="CF218" i="2" s="1"/>
  <c r="DZ88" i="2"/>
  <c r="CE218" i="2" s="1"/>
  <c r="DY88" i="2"/>
  <c r="CD218" i="2" s="1"/>
  <c r="DX88" i="2"/>
  <c r="CC218" i="2" s="1"/>
  <c r="DW88" i="2"/>
  <c r="CB218" i="2" s="1"/>
  <c r="DU88" i="2"/>
  <c r="BZ218" i="2" s="1"/>
  <c r="DT88" i="2"/>
  <c r="BY218" i="2" s="1"/>
  <c r="DS88" i="2"/>
  <c r="BX218" i="2" s="1"/>
  <c r="DR88" i="2"/>
  <c r="BW218" i="2" s="1"/>
  <c r="DQ88" i="2"/>
  <c r="BV218" i="2" s="1"/>
  <c r="DP88" i="2"/>
  <c r="BU218" i="2" s="1"/>
  <c r="DO88" i="2"/>
  <c r="BT218" i="2" s="1"/>
  <c r="DN88" i="2"/>
  <c r="BS218" i="2" s="1"/>
  <c r="DL88" i="2"/>
  <c r="BQ218" i="2" s="1"/>
  <c r="DK88" i="2"/>
  <c r="BP218" i="2" s="1"/>
  <c r="DJ88" i="2"/>
  <c r="BO218" i="2" s="1"/>
  <c r="DI88" i="2"/>
  <c r="BN218" i="2" s="1"/>
  <c r="DH88" i="2"/>
  <c r="BM218" i="2" s="1"/>
  <c r="DG88" i="2"/>
  <c r="BL218" i="2" s="1"/>
  <c r="DF88" i="2"/>
  <c r="BK218" i="2" s="1"/>
  <c r="DE88" i="2"/>
  <c r="BJ218" i="2" s="1"/>
  <c r="DC88" i="2"/>
  <c r="BH218" i="2" s="1"/>
  <c r="DB88" i="2"/>
  <c r="BG218" i="2" s="1"/>
  <c r="DA88" i="2"/>
  <c r="BF218" i="2" s="1"/>
  <c r="CZ88" i="2"/>
  <c r="BE218" i="2" s="1"/>
  <c r="CY88" i="2"/>
  <c r="BD218" i="2" s="1"/>
  <c r="CX88" i="2"/>
  <c r="BC218" i="2" s="1"/>
  <c r="CW88" i="2"/>
  <c r="BB218" i="2" s="1"/>
  <c r="CV88" i="2"/>
  <c r="BA218" i="2" s="1"/>
  <c r="CQ88" i="2"/>
  <c r="CO88" i="2"/>
  <c r="CM88" i="2"/>
  <c r="CL88" i="2"/>
  <c r="CK88" i="2"/>
  <c r="CH88" i="2"/>
  <c r="CF88" i="2"/>
  <c r="CD88" i="2"/>
  <c r="CC88" i="2"/>
  <c r="CB88" i="2"/>
  <c r="BY88" i="2"/>
  <c r="BW88" i="2"/>
  <c r="BU88" i="2"/>
  <c r="BS88" i="2"/>
  <c r="BP88" i="2"/>
  <c r="BN88" i="2"/>
  <c r="BM88" i="2"/>
  <c r="BL88" i="2"/>
  <c r="BJ88" i="2"/>
  <c r="BG88" i="2"/>
  <c r="BE88" i="2"/>
  <c r="BC88" i="2"/>
  <c r="BA88" i="2"/>
  <c r="AN88" i="2"/>
  <c r="CP88" i="2" s="1"/>
  <c r="AL88" i="2"/>
  <c r="CN88" i="2" s="1"/>
  <c r="AJ88" i="2"/>
  <c r="CG88" i="2" s="1"/>
  <c r="AH88" i="2"/>
  <c r="CE88" i="2" s="1"/>
  <c r="AF88" i="2"/>
  <c r="BX88" i="2" s="1"/>
  <c r="AD88" i="2"/>
  <c r="BV88" i="2" s="1"/>
  <c r="AB88" i="2"/>
  <c r="BO88" i="2" s="1"/>
  <c r="X88" i="2"/>
  <c r="BF88" i="2" s="1"/>
  <c r="BD88" i="2"/>
  <c r="S88" i="2"/>
  <c r="L88" i="2"/>
  <c r="CI123" i="2" l="1"/>
  <c r="BQ123" i="2"/>
  <c r="BZ123" i="2"/>
  <c r="BH123" i="2"/>
  <c r="CI88" i="2"/>
  <c r="CJ88" i="2" s="1"/>
  <c r="BZ88" i="2"/>
  <c r="CA88" i="2" s="1"/>
  <c r="BQ88" i="2"/>
  <c r="BR88" i="2" s="1"/>
  <c r="BH88" i="2"/>
  <c r="EG88" i="2"/>
  <c r="I100" i="31" s="1"/>
  <c r="X133" i="31"/>
  <c r="W133" i="31"/>
  <c r="CC123" i="2"/>
  <c r="CL123" i="2"/>
  <c r="BB123" i="2"/>
  <c r="BK123" i="2"/>
  <c r="L123" i="2"/>
  <c r="BT123" i="2"/>
  <c r="E132" i="31"/>
  <c r="J132" i="31"/>
  <c r="Q132" i="31" s="1"/>
  <c r="R132" i="31"/>
  <c r="U133" i="31"/>
  <c r="V133" i="31"/>
  <c r="EN122" i="2"/>
  <c r="FT122" i="2" s="1"/>
  <c r="D133" i="31"/>
  <c r="F133" i="31"/>
  <c r="G133" i="31"/>
  <c r="M133" i="31"/>
  <c r="P133" i="31"/>
  <c r="S133" i="31"/>
  <c r="T133" i="31"/>
  <c r="EK123" i="2"/>
  <c r="N133" i="31" s="1"/>
  <c r="M100" i="31"/>
  <c r="EL123" i="2"/>
  <c r="S100" i="31"/>
  <c r="T100" i="31"/>
  <c r="U100" i="31"/>
  <c r="V100" i="31"/>
  <c r="W100" i="31"/>
  <c r="FR123" i="2"/>
  <c r="B40" i="7"/>
  <c r="E40" i="7" s="1"/>
  <c r="FS123" i="2"/>
  <c r="FJ123" i="2"/>
  <c r="Y133" i="31" s="1"/>
  <c r="EL88" i="2"/>
  <c r="CR88" i="2"/>
  <c r="CS88" i="2" s="1"/>
  <c r="CR123" i="2"/>
  <c r="X100" i="31"/>
  <c r="C123" i="2"/>
  <c r="EE123" i="2"/>
  <c r="DM123" i="2"/>
  <c r="DV123" i="2"/>
  <c r="DD123" i="2"/>
  <c r="EI123" i="2"/>
  <c r="L133" i="31" s="1"/>
  <c r="EF123" i="2"/>
  <c r="EH123" i="2"/>
  <c r="K133" i="31" s="1"/>
  <c r="EI88" i="2"/>
  <c r="L100" i="31" s="1"/>
  <c r="FS88" i="2"/>
  <c r="DM88" i="2"/>
  <c r="BR218" i="2" s="1"/>
  <c r="FV88" i="2"/>
  <c r="DV88" i="2"/>
  <c r="CA218" i="2" s="1"/>
  <c r="Y100" i="31"/>
  <c r="DD88" i="2"/>
  <c r="BI218" i="2" s="1"/>
  <c r="D100" i="31"/>
  <c r="F100" i="31"/>
  <c r="EH88" i="2"/>
  <c r="K100" i="31" s="1"/>
  <c r="EE88" i="2"/>
  <c r="CJ218" i="2" s="1"/>
  <c r="EK88" i="2"/>
  <c r="N100" i="31" s="1"/>
  <c r="FR88" i="2"/>
  <c r="EF88" i="2"/>
  <c r="FU88" i="2" s="1"/>
  <c r="CA123" i="2" l="1"/>
  <c r="CJ123" i="2"/>
  <c r="BI123" i="2"/>
  <c r="EG123" i="2"/>
  <c r="I133" i="31" s="1"/>
  <c r="CS123" i="2"/>
  <c r="BR123" i="2"/>
  <c r="Z132" i="31"/>
  <c r="FV123" i="2"/>
  <c r="H100" i="31"/>
  <c r="J100" i="31" s="1"/>
  <c r="FU123" i="2"/>
  <c r="H133" i="31"/>
  <c r="EM123" i="2"/>
  <c r="EM88" i="2"/>
  <c r="EN88" i="2" s="1"/>
  <c r="BI88" i="2"/>
  <c r="EN123" i="2" l="1"/>
  <c r="FT123" i="2" s="1"/>
  <c r="J133" i="31"/>
  <c r="Q133" i="31" s="1"/>
  <c r="AA132" i="31"/>
  <c r="AC132" i="31" s="1"/>
  <c r="E100" i="31"/>
  <c r="FT88" i="2"/>
  <c r="R133" i="31"/>
  <c r="Z133" i="31" s="1"/>
  <c r="E133" i="31"/>
  <c r="BK125" i="2"/>
  <c r="AA133" i="31" l="1"/>
  <c r="AC133" i="31" s="1"/>
  <c r="AD133" i="31" l="1"/>
  <c r="AE133" i="31"/>
  <c r="FA53" i="2"/>
  <c r="CC119" i="2" l="1"/>
  <c r="BT119" i="2"/>
  <c r="BK119" i="2"/>
  <c r="BB119" i="2" l="1"/>
  <c r="F124" i="2"/>
  <c r="F125" i="2" s="1"/>
  <c r="F95" i="2"/>
  <c r="F96" i="2" s="1"/>
  <c r="F87" i="2"/>
  <c r="F89" i="2" s="1"/>
  <c r="C93" i="31" l="1"/>
  <c r="D39" i="7" s="1"/>
  <c r="BT82" i="2"/>
  <c r="FI82" i="2"/>
  <c r="FH82" i="2"/>
  <c r="FG82" i="2"/>
  <c r="FF82" i="2"/>
  <c r="FE82" i="2"/>
  <c r="FD82" i="2"/>
  <c r="FC82" i="2"/>
  <c r="FB82" i="2"/>
  <c r="FA82" i="2"/>
  <c r="EY82" i="2"/>
  <c r="FJ82" i="2" s="1"/>
  <c r="EJ82" i="2"/>
  <c r="ED82" i="2"/>
  <c r="EC82" i="2"/>
  <c r="EB82" i="2"/>
  <c r="EA82" i="2"/>
  <c r="DZ82" i="2"/>
  <c r="DY82" i="2"/>
  <c r="DX82" i="2"/>
  <c r="DW82" i="2"/>
  <c r="DU82" i="2"/>
  <c r="DT82" i="2"/>
  <c r="DS82" i="2"/>
  <c r="DR82" i="2"/>
  <c r="DQ82" i="2"/>
  <c r="DP82" i="2"/>
  <c r="DO82" i="2"/>
  <c r="BT212" i="2" s="1"/>
  <c r="DN82" i="2"/>
  <c r="DL82" i="2"/>
  <c r="DK82" i="2"/>
  <c r="P93" i="31" s="1"/>
  <c r="DJ82" i="2"/>
  <c r="DI82" i="2"/>
  <c r="DH82" i="2"/>
  <c r="DG82" i="2"/>
  <c r="DF82" i="2"/>
  <c r="DE82" i="2"/>
  <c r="DC82" i="2"/>
  <c r="DB82" i="2"/>
  <c r="DA82" i="2"/>
  <c r="CZ82" i="2"/>
  <c r="CY82" i="2"/>
  <c r="CX82" i="2"/>
  <c r="CW82" i="2"/>
  <c r="CV82" i="2"/>
  <c r="CQ82" i="2"/>
  <c r="CO82" i="2"/>
  <c r="CM82" i="2"/>
  <c r="CL82" i="2"/>
  <c r="CK82" i="2"/>
  <c r="CH82" i="2"/>
  <c r="CF82" i="2"/>
  <c r="CD82" i="2"/>
  <c r="CC82" i="2"/>
  <c r="CB82" i="2"/>
  <c r="BY82" i="2"/>
  <c r="BW82" i="2"/>
  <c r="BU82" i="2"/>
  <c r="BS82" i="2"/>
  <c r="BN82" i="2"/>
  <c r="BL82" i="2"/>
  <c r="BJ82" i="2"/>
  <c r="BG82" i="2"/>
  <c r="BE82" i="2"/>
  <c r="BC82" i="2"/>
  <c r="BA82" i="2"/>
  <c r="AN82" i="2"/>
  <c r="CP82" i="2" s="1"/>
  <c r="AL82" i="2"/>
  <c r="CN82" i="2" s="1"/>
  <c r="AJ82" i="2"/>
  <c r="CG82" i="2" s="1"/>
  <c r="AH82" i="2"/>
  <c r="CE82" i="2" s="1"/>
  <c r="AF82" i="2"/>
  <c r="BX82" i="2" s="1"/>
  <c r="AD82" i="2"/>
  <c r="BV82" i="2" s="1"/>
  <c r="AB82" i="2"/>
  <c r="BO82" i="2" s="1"/>
  <c r="Z82" i="2"/>
  <c r="BM82" i="2" s="1"/>
  <c r="X82" i="2"/>
  <c r="BF82" i="2" s="1"/>
  <c r="V82" i="2"/>
  <c r="BD82" i="2" s="1"/>
  <c r="S82" i="2"/>
  <c r="L82" i="2"/>
  <c r="BZ82" i="2" l="1"/>
  <c r="CA82" i="2" s="1"/>
  <c r="BH82" i="2"/>
  <c r="CI82" i="2"/>
  <c r="CJ82" i="2" s="1"/>
  <c r="BQ82" i="2"/>
  <c r="BR82" i="2" s="1"/>
  <c r="T93" i="31"/>
  <c r="S93" i="31"/>
  <c r="D93" i="31"/>
  <c r="F93" i="31"/>
  <c r="X93" i="31"/>
  <c r="V93" i="31"/>
  <c r="W93" i="31"/>
  <c r="EL82" i="2"/>
  <c r="M93" i="31"/>
  <c r="U93" i="31"/>
  <c r="FV82" i="2"/>
  <c r="B39" i="7"/>
  <c r="E39" i="7" s="1"/>
  <c r="EH82" i="2"/>
  <c r="K93" i="31" s="1"/>
  <c r="Y93" i="31"/>
  <c r="EG82" i="2"/>
  <c r="I93" i="31" s="1"/>
  <c r="EI82" i="2"/>
  <c r="L93" i="31" s="1"/>
  <c r="EE82" i="2"/>
  <c r="DM82" i="2"/>
  <c r="DV82" i="2"/>
  <c r="DD82" i="2"/>
  <c r="FS82" i="2"/>
  <c r="FR82" i="2"/>
  <c r="CR82" i="2"/>
  <c r="CS82" i="2" s="1"/>
  <c r="EK82" i="2"/>
  <c r="N93" i="31" s="1"/>
  <c r="EF82" i="2"/>
  <c r="FU82" i="2" l="1"/>
  <c r="H93" i="31"/>
  <c r="EM82" i="2"/>
  <c r="EN82" i="2" s="1"/>
  <c r="BI82" i="2"/>
  <c r="E93" i="31" l="1"/>
  <c r="J93" i="31"/>
  <c r="Q93" i="31" s="1"/>
  <c r="R93" i="31"/>
  <c r="Z93" i="31" s="1"/>
  <c r="FT82" i="2"/>
  <c r="AA93" i="31" l="1"/>
  <c r="AC93" i="31" s="1"/>
  <c r="CH119" i="2" l="1"/>
  <c r="C129" i="31"/>
  <c r="D38" i="7" s="1"/>
  <c r="FI119" i="2"/>
  <c r="FH119" i="2"/>
  <c r="FG119" i="2"/>
  <c r="FF119" i="2"/>
  <c r="FE119" i="2"/>
  <c r="FD119" i="2"/>
  <c r="FC119" i="2"/>
  <c r="FB119" i="2"/>
  <c r="FA119" i="2"/>
  <c r="EY119" i="2"/>
  <c r="EJ119" i="2"/>
  <c r="ED119" i="2"/>
  <c r="EC119" i="2"/>
  <c r="EB119" i="2"/>
  <c r="EA119" i="2"/>
  <c r="DZ119" i="2"/>
  <c r="DY119" i="2"/>
  <c r="DX119" i="2"/>
  <c r="DW119" i="2"/>
  <c r="DU119" i="2"/>
  <c r="DT119" i="2"/>
  <c r="DS119" i="2"/>
  <c r="DR119" i="2"/>
  <c r="DQ119" i="2"/>
  <c r="DP119" i="2"/>
  <c r="DO119" i="2"/>
  <c r="DN119" i="2"/>
  <c r="DL119" i="2"/>
  <c r="DK119" i="2"/>
  <c r="DJ119" i="2"/>
  <c r="DI119" i="2"/>
  <c r="DH119" i="2"/>
  <c r="DG119" i="2"/>
  <c r="DF119" i="2"/>
  <c r="DE119" i="2"/>
  <c r="DC119" i="2"/>
  <c r="DB119" i="2"/>
  <c r="DA119" i="2"/>
  <c r="CZ119" i="2"/>
  <c r="CY119" i="2"/>
  <c r="CX119" i="2"/>
  <c r="CW119" i="2"/>
  <c r="CV119" i="2"/>
  <c r="CM119" i="2"/>
  <c r="CK119" i="2"/>
  <c r="CB119" i="2"/>
  <c r="BY119" i="2"/>
  <c r="BW119" i="2"/>
  <c r="BU119" i="2"/>
  <c r="BS119" i="2"/>
  <c r="BP119" i="2"/>
  <c r="BN119" i="2"/>
  <c r="BL119" i="2"/>
  <c r="BJ119" i="2"/>
  <c r="BG119" i="2"/>
  <c r="BE119" i="2"/>
  <c r="BC119" i="2"/>
  <c r="BA119" i="2"/>
  <c r="AN119" i="2"/>
  <c r="CP119" i="2" s="1"/>
  <c r="AL119" i="2"/>
  <c r="CN119" i="2" s="1"/>
  <c r="AJ119" i="2"/>
  <c r="CG119" i="2" s="1"/>
  <c r="AH119" i="2"/>
  <c r="CE119" i="2" s="1"/>
  <c r="AF119" i="2"/>
  <c r="BX119" i="2" s="1"/>
  <c r="AD119" i="2"/>
  <c r="BV119" i="2" s="1"/>
  <c r="AB119" i="2"/>
  <c r="BO119" i="2" s="1"/>
  <c r="Z119" i="2"/>
  <c r="BM119" i="2" s="1"/>
  <c r="X119" i="2"/>
  <c r="BF119" i="2" s="1"/>
  <c r="V119" i="2"/>
  <c r="BD119" i="2" s="1"/>
  <c r="S119" i="2"/>
  <c r="BQ119" i="2" l="1"/>
  <c r="CI119" i="2"/>
  <c r="CJ119" i="2" s="1"/>
  <c r="BZ119" i="2"/>
  <c r="CA119" i="2" s="1"/>
  <c r="BH119" i="2"/>
  <c r="EL119" i="2"/>
  <c r="P129" i="31" s="1"/>
  <c r="EH119" i="2"/>
  <c r="K129" i="31" s="1"/>
  <c r="F129" i="31"/>
  <c r="M129" i="31"/>
  <c r="S129" i="31"/>
  <c r="X129" i="31"/>
  <c r="T129" i="31"/>
  <c r="U129" i="31"/>
  <c r="V129" i="31"/>
  <c r="B38" i="7"/>
  <c r="E38" i="7" s="1"/>
  <c r="D129" i="31"/>
  <c r="W129" i="31"/>
  <c r="DM119" i="2"/>
  <c r="CR119" i="2"/>
  <c r="EE119" i="2"/>
  <c r="EK119" i="2"/>
  <c r="N129" i="31" s="1"/>
  <c r="DV119" i="2"/>
  <c r="DD119" i="2"/>
  <c r="EF119" i="2"/>
  <c r="FU119" i="2" s="1"/>
  <c r="FR119" i="2"/>
  <c r="FS119" i="2"/>
  <c r="L119" i="2"/>
  <c r="EI119" i="2"/>
  <c r="L129" i="31" s="1"/>
  <c r="CL119" i="2"/>
  <c r="FJ119" i="2"/>
  <c r="FV119" i="2" s="1"/>
  <c r="CS119" i="2" l="1"/>
  <c r="Y129" i="31"/>
  <c r="H129" i="31"/>
  <c r="E129" i="31" s="1"/>
  <c r="BR119" i="2"/>
  <c r="EG119" i="2"/>
  <c r="I129" i="31" s="1"/>
  <c r="BI119" i="2"/>
  <c r="EM119" i="2"/>
  <c r="J129" i="31" l="1"/>
  <c r="Q129" i="31" s="1"/>
  <c r="R129" i="31"/>
  <c r="Z129" i="31" s="1"/>
  <c r="EN119" i="2"/>
  <c r="FT119" i="2" s="1"/>
  <c r="AA129" i="31" l="1"/>
  <c r="AC129" i="31" s="1"/>
  <c r="C134" i="31"/>
  <c r="FI124" i="2"/>
  <c r="FH124" i="2"/>
  <c r="FG124" i="2"/>
  <c r="FF124" i="2"/>
  <c r="FE124" i="2"/>
  <c r="FD124" i="2"/>
  <c r="FC124" i="2"/>
  <c r="FB124" i="2"/>
  <c r="FA124" i="2"/>
  <c r="EY124" i="2"/>
  <c r="FJ124" i="2" s="1"/>
  <c r="EJ124" i="2"/>
  <c r="ED124" i="2"/>
  <c r="EC124" i="2"/>
  <c r="EB124" i="2"/>
  <c r="EA124" i="2"/>
  <c r="DZ124" i="2"/>
  <c r="DY124" i="2"/>
  <c r="DX124" i="2"/>
  <c r="DW124" i="2"/>
  <c r="DU124" i="2"/>
  <c r="DT124" i="2"/>
  <c r="DS124" i="2"/>
  <c r="DR124" i="2"/>
  <c r="DQ124" i="2"/>
  <c r="DP124" i="2"/>
  <c r="DO124" i="2"/>
  <c r="DN124" i="2"/>
  <c r="DL124" i="2"/>
  <c r="DK124" i="2"/>
  <c r="DJ124" i="2"/>
  <c r="DI124" i="2"/>
  <c r="DH124" i="2"/>
  <c r="DG124" i="2"/>
  <c r="DF124" i="2"/>
  <c r="DE124" i="2"/>
  <c r="DC124" i="2"/>
  <c r="DB124" i="2"/>
  <c r="DA124" i="2"/>
  <c r="CZ124" i="2"/>
  <c r="CY124" i="2"/>
  <c r="CX124" i="2"/>
  <c r="CW124" i="2"/>
  <c r="CV124" i="2"/>
  <c r="CM124" i="2"/>
  <c r="CL124" i="2"/>
  <c r="CK124" i="2"/>
  <c r="CC124" i="2"/>
  <c r="CB124" i="2"/>
  <c r="BY124" i="2"/>
  <c r="BW124" i="2"/>
  <c r="BU124" i="2"/>
  <c r="BT124" i="2"/>
  <c r="BS124" i="2"/>
  <c r="BP124" i="2"/>
  <c r="BN124" i="2"/>
  <c r="BL124" i="2"/>
  <c r="BK124" i="2"/>
  <c r="BJ124" i="2"/>
  <c r="BG124" i="2"/>
  <c r="BE124" i="2"/>
  <c r="BC124" i="2"/>
  <c r="BB124" i="2"/>
  <c r="BA124" i="2"/>
  <c r="AN124" i="2"/>
  <c r="CP124" i="2" s="1"/>
  <c r="AL124" i="2"/>
  <c r="CN124" i="2" s="1"/>
  <c r="AJ124" i="2"/>
  <c r="CG124" i="2" s="1"/>
  <c r="AH124" i="2"/>
  <c r="CE124" i="2" s="1"/>
  <c r="AF124" i="2"/>
  <c r="BX124" i="2" s="1"/>
  <c r="AD124" i="2"/>
  <c r="BV124" i="2" s="1"/>
  <c r="AB124" i="2"/>
  <c r="BO124" i="2" s="1"/>
  <c r="Z124" i="2"/>
  <c r="BM124" i="2" s="1"/>
  <c r="X124" i="2"/>
  <c r="BF124" i="2" s="1"/>
  <c r="V124" i="2"/>
  <c r="BD124" i="2" s="1"/>
  <c r="S124" i="2"/>
  <c r="L124" i="2"/>
  <c r="C99" i="31"/>
  <c r="B36" i="7" s="1"/>
  <c r="FI89" i="2"/>
  <c r="FH89" i="2"/>
  <c r="FG89" i="2"/>
  <c r="FF89" i="2"/>
  <c r="FE89" i="2"/>
  <c r="FD89" i="2"/>
  <c r="FC89" i="2"/>
  <c r="FB89" i="2"/>
  <c r="FA89" i="2"/>
  <c r="EY89" i="2"/>
  <c r="FJ89" i="2" s="1"/>
  <c r="EJ89" i="2"/>
  <c r="ED89" i="2"/>
  <c r="EC89" i="2"/>
  <c r="EB89" i="2"/>
  <c r="EA89" i="2"/>
  <c r="DZ89" i="2"/>
  <c r="DY89" i="2"/>
  <c r="DX89" i="2"/>
  <c r="DW89" i="2"/>
  <c r="DU89" i="2"/>
  <c r="DT89" i="2"/>
  <c r="DS89" i="2"/>
  <c r="DR89" i="2"/>
  <c r="DQ89" i="2"/>
  <c r="DP89" i="2"/>
  <c r="DO89" i="2"/>
  <c r="DN89" i="2"/>
  <c r="DL89" i="2"/>
  <c r="DK89" i="2"/>
  <c r="P98" i="31" s="1"/>
  <c r="DJ89" i="2"/>
  <c r="DI89" i="2"/>
  <c r="DH89" i="2"/>
  <c r="DG89" i="2"/>
  <c r="DF89" i="2"/>
  <c r="DE89" i="2"/>
  <c r="DC89" i="2"/>
  <c r="DB89" i="2"/>
  <c r="DA89" i="2"/>
  <c r="CZ89" i="2"/>
  <c r="CY89" i="2"/>
  <c r="CX89" i="2"/>
  <c r="CW89" i="2"/>
  <c r="CV89" i="2"/>
  <c r="CQ89" i="2"/>
  <c r="CO89" i="2"/>
  <c r="CM89" i="2"/>
  <c r="CL89" i="2"/>
  <c r="CK89" i="2"/>
  <c r="CH89" i="2"/>
  <c r="CF89" i="2"/>
  <c r="CD89" i="2"/>
  <c r="CC89" i="2"/>
  <c r="CB89" i="2"/>
  <c r="BY89" i="2"/>
  <c r="BW89" i="2"/>
  <c r="BU89" i="2"/>
  <c r="BS89" i="2"/>
  <c r="BP89" i="2"/>
  <c r="BN89" i="2"/>
  <c r="BL89" i="2"/>
  <c r="BJ89" i="2"/>
  <c r="BG89" i="2"/>
  <c r="BE89" i="2"/>
  <c r="BC89" i="2"/>
  <c r="BA89" i="2"/>
  <c r="AN89" i="2"/>
  <c r="CP89" i="2" s="1"/>
  <c r="AL89" i="2"/>
  <c r="CN89" i="2" s="1"/>
  <c r="AJ89" i="2"/>
  <c r="CG89" i="2" s="1"/>
  <c r="CE89" i="2"/>
  <c r="BX89" i="2"/>
  <c r="BV89" i="2"/>
  <c r="BO89" i="2"/>
  <c r="BM89" i="2"/>
  <c r="BF89" i="2"/>
  <c r="V89" i="2"/>
  <c r="BD89" i="2" s="1"/>
  <c r="S89" i="2"/>
  <c r="L89" i="2"/>
  <c r="FR124" i="2" l="1"/>
  <c r="CI124" i="2"/>
  <c r="CJ124" i="2" s="1"/>
  <c r="BZ124" i="2"/>
  <c r="CA124" i="2" s="1"/>
  <c r="BQ124" i="2"/>
  <c r="BR124" i="2" s="1"/>
  <c r="BH124" i="2"/>
  <c r="CI89" i="2"/>
  <c r="CJ89" i="2" s="1"/>
  <c r="BZ89" i="2"/>
  <c r="CA89" i="2" s="1"/>
  <c r="BQ89" i="2"/>
  <c r="BR89" i="2" s="1"/>
  <c r="BH89" i="2"/>
  <c r="EG89" i="2"/>
  <c r="I99" i="31" s="1"/>
  <c r="W134" i="31"/>
  <c r="V134" i="31"/>
  <c r="EL124" i="2"/>
  <c r="X134" i="31"/>
  <c r="D37" i="7"/>
  <c r="B37" i="7"/>
  <c r="E37" i="7" s="1"/>
  <c r="EH124" i="2"/>
  <c r="K134" i="31" s="1"/>
  <c r="D134" i="31"/>
  <c r="F134" i="31"/>
  <c r="G134" i="31"/>
  <c r="M134" i="31"/>
  <c r="P134" i="31"/>
  <c r="S134" i="31"/>
  <c r="T134" i="31"/>
  <c r="U134" i="31"/>
  <c r="Y134" i="31"/>
  <c r="DD124" i="2"/>
  <c r="EF124" i="2"/>
  <c r="H134" i="31" s="1"/>
  <c r="EI124" i="2"/>
  <c r="L134" i="31" s="1"/>
  <c r="EE124" i="2"/>
  <c r="EG124" i="2"/>
  <c r="I134" i="31" s="1"/>
  <c r="DM124" i="2"/>
  <c r="DV124" i="2"/>
  <c r="EK124" i="2"/>
  <c r="N134" i="31" s="1"/>
  <c r="CR124" i="2"/>
  <c r="CS124" i="2" s="1"/>
  <c r="EH89" i="2"/>
  <c r="K99" i="31" s="1"/>
  <c r="EK89" i="2"/>
  <c r="N99" i="31" s="1"/>
  <c r="DD89" i="2"/>
  <c r="S99" i="31"/>
  <c r="D99" i="31"/>
  <c r="T99" i="31"/>
  <c r="U99" i="31"/>
  <c r="F99" i="31"/>
  <c r="V99" i="31"/>
  <c r="EL89" i="2"/>
  <c r="W99" i="31"/>
  <c r="X99" i="31"/>
  <c r="Y99" i="31"/>
  <c r="M99" i="31"/>
  <c r="D36" i="7"/>
  <c r="E36" i="7"/>
  <c r="EF89" i="2"/>
  <c r="H99" i="31" s="1"/>
  <c r="EE89" i="2"/>
  <c r="DM89" i="2"/>
  <c r="CR89" i="2"/>
  <c r="CS89" i="2" s="1"/>
  <c r="DV89" i="2"/>
  <c r="EI89" i="2"/>
  <c r="L99" i="31" s="1"/>
  <c r="E134" i="31" l="1"/>
  <c r="J134" i="31"/>
  <c r="Q134" i="31" s="1"/>
  <c r="R134" i="31"/>
  <c r="Z134" i="31" s="1"/>
  <c r="EM124" i="2"/>
  <c r="EN124" i="2" s="1"/>
  <c r="BI124" i="2"/>
  <c r="J99" i="31"/>
  <c r="E99" i="31"/>
  <c r="EM89" i="2"/>
  <c r="EN89" i="2" s="1"/>
  <c r="BI89" i="2"/>
  <c r="AA134" i="31" l="1"/>
  <c r="AC134" i="31" s="1"/>
  <c r="J12" i="2" l="1"/>
  <c r="O17" i="31"/>
  <c r="FP15" i="2"/>
  <c r="FO15" i="2"/>
  <c r="FN15" i="2"/>
  <c r="FM15" i="2"/>
  <c r="FL15" i="2"/>
  <c r="FK15" i="2"/>
  <c r="EZ15" i="2"/>
  <c r="EX15" i="2"/>
  <c r="EW15" i="2"/>
  <c r="EV15" i="2"/>
  <c r="EU15" i="2"/>
  <c r="ET15" i="2"/>
  <c r="ES15" i="2"/>
  <c r="ER15" i="2"/>
  <c r="EQ15" i="2"/>
  <c r="EP15" i="2"/>
  <c r="EO15" i="2"/>
  <c r="CU15" i="2"/>
  <c r="CT15" i="2"/>
  <c r="CS15" i="2"/>
  <c r="CR15" i="2"/>
  <c r="CQ15" i="2"/>
  <c r="CP15" i="2"/>
  <c r="CO15" i="2"/>
  <c r="CN15" i="2"/>
  <c r="CM15" i="2"/>
  <c r="CL15" i="2"/>
  <c r="CK15" i="2"/>
  <c r="AZ15" i="2"/>
  <c r="AY15" i="2"/>
  <c r="AX15" i="2"/>
  <c r="AW15" i="2"/>
  <c r="AV15" i="2"/>
  <c r="AU15" i="2"/>
  <c r="AT15" i="2"/>
  <c r="AS15" i="2"/>
  <c r="AR15" i="2"/>
  <c r="AQ15" i="2"/>
  <c r="AP15" i="2"/>
  <c r="AO15" i="2"/>
  <c r="AN15" i="2"/>
  <c r="AM15" i="2"/>
  <c r="AL15" i="2"/>
  <c r="AK15" i="2"/>
  <c r="AI15" i="2"/>
  <c r="AG15" i="2"/>
  <c r="AE15" i="2"/>
  <c r="AC15" i="2"/>
  <c r="AA15" i="2"/>
  <c r="Y15" i="2"/>
  <c r="W15" i="2"/>
  <c r="U15" i="2"/>
  <c r="K15" i="2"/>
  <c r="J15" i="2"/>
  <c r="J13" i="29" l="1"/>
  <c r="EY50" i="2" l="1"/>
  <c r="FJ50" i="2" s="1"/>
  <c r="FI50" i="2"/>
  <c r="FH50" i="2"/>
  <c r="FG50" i="2"/>
  <c r="FF50" i="2"/>
  <c r="FE50" i="2"/>
  <c r="FD50" i="2"/>
  <c r="FC50" i="2"/>
  <c r="FB50" i="2"/>
  <c r="FA50" i="2"/>
  <c r="C55" i="31"/>
  <c r="EJ50" i="2"/>
  <c r="ED50" i="2"/>
  <c r="EC50" i="2"/>
  <c r="EB50" i="2"/>
  <c r="EA50" i="2"/>
  <c r="DZ50" i="2"/>
  <c r="DY50" i="2"/>
  <c r="DX50" i="2"/>
  <c r="DW50" i="2"/>
  <c r="DU50" i="2"/>
  <c r="DT50" i="2"/>
  <c r="DS50" i="2"/>
  <c r="DR50" i="2"/>
  <c r="DQ50" i="2"/>
  <c r="DP50" i="2"/>
  <c r="DO50" i="2"/>
  <c r="DN50" i="2"/>
  <c r="DL50" i="2"/>
  <c r="DK50" i="2"/>
  <c r="DJ50" i="2"/>
  <c r="DI50" i="2"/>
  <c r="DH50" i="2"/>
  <c r="DG50" i="2"/>
  <c r="DF50" i="2"/>
  <c r="DE50" i="2"/>
  <c r="DC50" i="2"/>
  <c r="DB50" i="2"/>
  <c r="DA50" i="2"/>
  <c r="CZ50" i="2"/>
  <c r="CY50" i="2"/>
  <c r="CX50" i="2"/>
  <c r="CW50" i="2"/>
  <c r="CV50" i="2"/>
  <c r="CQ50" i="2"/>
  <c r="CO50" i="2"/>
  <c r="CM50" i="2"/>
  <c r="CL50" i="2"/>
  <c r="CK50" i="2"/>
  <c r="CH50" i="2"/>
  <c r="CF50" i="2"/>
  <c r="CD50" i="2"/>
  <c r="CB50" i="2"/>
  <c r="BY50" i="2"/>
  <c r="BW50" i="2"/>
  <c r="BU50" i="2"/>
  <c r="BS50" i="2"/>
  <c r="BP50" i="2"/>
  <c r="BN50" i="2"/>
  <c r="BL50" i="2"/>
  <c r="BJ50" i="2"/>
  <c r="BG50" i="2"/>
  <c r="BE50" i="2"/>
  <c r="BC50" i="2"/>
  <c r="AN50" i="2"/>
  <c r="CP50" i="2" s="1"/>
  <c r="AL50" i="2"/>
  <c r="CN50" i="2" s="1"/>
  <c r="AJ50" i="2"/>
  <c r="CG50" i="2" s="1"/>
  <c r="AH50" i="2"/>
  <c r="CE50" i="2" s="1"/>
  <c r="AF50" i="2"/>
  <c r="BX50" i="2" s="1"/>
  <c r="AD50" i="2"/>
  <c r="BV50" i="2" s="1"/>
  <c r="AB50" i="2"/>
  <c r="BO50" i="2" s="1"/>
  <c r="Z50" i="2"/>
  <c r="BM50" i="2" s="1"/>
  <c r="X50" i="2"/>
  <c r="BF50" i="2" s="1"/>
  <c r="V50" i="2"/>
  <c r="BD50" i="2" s="1"/>
  <c r="S50" i="2"/>
  <c r="L50" i="2"/>
  <c r="CI50" i="2" l="1"/>
  <c r="CJ50" i="2" s="1"/>
  <c r="BQ50" i="2"/>
  <c r="BR50" i="2" s="1"/>
  <c r="BZ50" i="2"/>
  <c r="CA50" i="2" s="1"/>
  <c r="BH50" i="2"/>
  <c r="BI50" i="2" s="1"/>
  <c r="EK50" i="2"/>
  <c r="N55" i="31" s="1"/>
  <c r="Y55" i="31"/>
  <c r="W55" i="31"/>
  <c r="S55" i="31"/>
  <c r="T55" i="31"/>
  <c r="EI50" i="2"/>
  <c r="L55" i="31" s="1"/>
  <c r="F55" i="31"/>
  <c r="X55" i="31"/>
  <c r="M55" i="31"/>
  <c r="P55" i="31"/>
  <c r="U55" i="31"/>
  <c r="B35" i="7"/>
  <c r="D35" i="7"/>
  <c r="D55" i="31"/>
  <c r="CR50" i="2"/>
  <c r="CS50" i="2" s="1"/>
  <c r="V55" i="31"/>
  <c r="DM50" i="2"/>
  <c r="DD50" i="2"/>
  <c r="EF50" i="2"/>
  <c r="H55" i="31" s="1"/>
  <c r="EG50" i="2"/>
  <c r="I55" i="31" s="1"/>
  <c r="DV50" i="2"/>
  <c r="EE50" i="2"/>
  <c r="EH50" i="2"/>
  <c r="K55" i="31" s="1"/>
  <c r="EL50" i="2"/>
  <c r="E35" i="7" l="1"/>
  <c r="E55" i="31"/>
  <c r="R55" i="31"/>
  <c r="Z55" i="31" s="1"/>
  <c r="J55" i="31"/>
  <c r="Q55" i="31" s="1"/>
  <c r="EM50" i="2"/>
  <c r="EN50" i="2" s="1"/>
  <c r="AA55" i="31" l="1"/>
  <c r="AC55" i="31" s="1"/>
  <c r="BK10" i="2"/>
  <c r="BB10" i="2"/>
  <c r="FU72" i="2" l="1"/>
  <c r="FS72" i="2"/>
  <c r="FR72" i="2"/>
  <c r="FV50" i="2"/>
  <c r="FU50" i="2"/>
  <c r="FT50" i="2"/>
  <c r="FS50" i="2"/>
  <c r="FR50" i="2"/>
  <c r="O124" i="31" l="1"/>
  <c r="AD14" i="31"/>
  <c r="AE14" i="31"/>
  <c r="AD15" i="31"/>
  <c r="AE15" i="31"/>
  <c r="AD18" i="31"/>
  <c r="AE18" i="31"/>
  <c r="AD19" i="31"/>
  <c r="AE19" i="31"/>
  <c r="AD22" i="31"/>
  <c r="AE22" i="31"/>
  <c r="AD24" i="31"/>
  <c r="AE24" i="31"/>
  <c r="AD25" i="31"/>
  <c r="AE25" i="31"/>
  <c r="AD31" i="31"/>
  <c r="AE31" i="31"/>
  <c r="AD32" i="31"/>
  <c r="AE32" i="31"/>
  <c r="AD37" i="31"/>
  <c r="AE37" i="31"/>
  <c r="AD38" i="31"/>
  <c r="AE38" i="31"/>
  <c r="AD39" i="31"/>
  <c r="AE39" i="31"/>
  <c r="AD44" i="31"/>
  <c r="AE44" i="31"/>
  <c r="AD45" i="31"/>
  <c r="AE45" i="31"/>
  <c r="AD46" i="31"/>
  <c r="AE46" i="31"/>
  <c r="AD49" i="31"/>
  <c r="AE49" i="31"/>
  <c r="AE54" i="31"/>
  <c r="AD55" i="31"/>
  <c r="AE55" i="31"/>
  <c r="AE56" i="31"/>
  <c r="AE58" i="31"/>
  <c r="AD61" i="31"/>
  <c r="AE61" i="31"/>
  <c r="AD62" i="31"/>
  <c r="AE62" i="31"/>
  <c r="AD65" i="31"/>
  <c r="AE65" i="31"/>
  <c r="AD66" i="31"/>
  <c r="AE66" i="31"/>
  <c r="AD67" i="31"/>
  <c r="AE67" i="31"/>
  <c r="AD68" i="31"/>
  <c r="AE68" i="31"/>
  <c r="AD70" i="31"/>
  <c r="AE70" i="31"/>
  <c r="AD71" i="31"/>
  <c r="AE71" i="31"/>
  <c r="AD72" i="31"/>
  <c r="AE72" i="31"/>
  <c r="AD73" i="31"/>
  <c r="AE73" i="31"/>
  <c r="AD74" i="31"/>
  <c r="AE74" i="31"/>
  <c r="AD75" i="31"/>
  <c r="AE75" i="31"/>
  <c r="AD76" i="31"/>
  <c r="AE76" i="31"/>
  <c r="AD77" i="31"/>
  <c r="AE77" i="31"/>
  <c r="AD78" i="31"/>
  <c r="AE78" i="31"/>
  <c r="AD79" i="31"/>
  <c r="AE79" i="31"/>
  <c r="AD80" i="31"/>
  <c r="AE80" i="31"/>
  <c r="AD81" i="31"/>
  <c r="AE81" i="31"/>
  <c r="AD82" i="31"/>
  <c r="AE82" i="31"/>
  <c r="AD83" i="31"/>
  <c r="AE83" i="31"/>
  <c r="AD84" i="31"/>
  <c r="AE84" i="31"/>
  <c r="AD85" i="31"/>
  <c r="AE85" i="31"/>
  <c r="AD86" i="31"/>
  <c r="AE86" i="31"/>
  <c r="AD87" i="31"/>
  <c r="AE87" i="31"/>
  <c r="AD88" i="31"/>
  <c r="AE88" i="31"/>
  <c r="AD89" i="31"/>
  <c r="AE89" i="31"/>
  <c r="AD90" i="31"/>
  <c r="AE90" i="31"/>
  <c r="AD91" i="31"/>
  <c r="AE91" i="31"/>
  <c r="AD92" i="31"/>
  <c r="AE92" i="31"/>
  <c r="AD96" i="31"/>
  <c r="AE96" i="31"/>
  <c r="AD97" i="31"/>
  <c r="AE97" i="31"/>
  <c r="AD104" i="31"/>
  <c r="AE104" i="31"/>
  <c r="AD105" i="31"/>
  <c r="AE105" i="31"/>
  <c r="AD112" i="31"/>
  <c r="AE112" i="31"/>
  <c r="AD113" i="31"/>
  <c r="AE113" i="31"/>
  <c r="AD114" i="31"/>
  <c r="AE114" i="31"/>
  <c r="AD116" i="31"/>
  <c r="AE116" i="31"/>
  <c r="AD118" i="31"/>
  <c r="AE118" i="31"/>
  <c r="AD121" i="31"/>
  <c r="AE121" i="31"/>
  <c r="AD125" i="31"/>
  <c r="AE125" i="31"/>
  <c r="AD126" i="31"/>
  <c r="AE126" i="31"/>
  <c r="AD128" i="31"/>
  <c r="AE128" i="31"/>
  <c r="AD130" i="31"/>
  <c r="AE130" i="31"/>
  <c r="AD137" i="31"/>
  <c r="AE137" i="31"/>
  <c r="AD138" i="31"/>
  <c r="AE138" i="31"/>
  <c r="AD139" i="31"/>
  <c r="AE139" i="31"/>
  <c r="AD141" i="31"/>
  <c r="AE141" i="31"/>
  <c r="AD144" i="31"/>
  <c r="AE144" i="31"/>
  <c r="AD147" i="31"/>
  <c r="AE147" i="31"/>
  <c r="AD148" i="31"/>
  <c r="AE148" i="31"/>
  <c r="AD149" i="31"/>
  <c r="AE149" i="31"/>
  <c r="AD154" i="31"/>
  <c r="AE154" i="31"/>
  <c r="AD155" i="31"/>
  <c r="AE155" i="31"/>
  <c r="AD156" i="31"/>
  <c r="AE156" i="31"/>
  <c r="AD159" i="31"/>
  <c r="AE159" i="31"/>
  <c r="AD161" i="31"/>
  <c r="AE161" i="31"/>
  <c r="AD162" i="31"/>
  <c r="AE162" i="31"/>
  <c r="AD163" i="31"/>
  <c r="AE163" i="31"/>
  <c r="AD164" i="31"/>
  <c r="AE164" i="31"/>
  <c r="AD165" i="31"/>
  <c r="AE165" i="31"/>
  <c r="AD167" i="31"/>
  <c r="AE167" i="31"/>
  <c r="FD114" i="2" l="1"/>
  <c r="FA114" i="2"/>
  <c r="C109" i="31"/>
  <c r="BP96" i="2"/>
  <c r="BG96" i="2"/>
  <c r="FI96" i="2"/>
  <c r="FH96" i="2"/>
  <c r="FG96" i="2"/>
  <c r="FF96" i="2"/>
  <c r="FE96" i="2"/>
  <c r="FC96" i="2"/>
  <c r="FB96" i="2"/>
  <c r="FA96" i="2"/>
  <c r="EY96" i="2"/>
  <c r="FJ96" i="2" s="1"/>
  <c r="FD96" i="2"/>
  <c r="EJ96" i="2"/>
  <c r="ED96" i="2"/>
  <c r="EC96" i="2"/>
  <c r="EB96" i="2"/>
  <c r="EA96" i="2"/>
  <c r="DZ96" i="2"/>
  <c r="DY96" i="2"/>
  <c r="DX96" i="2"/>
  <c r="DW96" i="2"/>
  <c r="DU96" i="2"/>
  <c r="DT96" i="2"/>
  <c r="DS96" i="2"/>
  <c r="DR96" i="2"/>
  <c r="DQ96" i="2"/>
  <c r="DP96" i="2"/>
  <c r="DO96" i="2"/>
  <c r="DN96" i="2"/>
  <c r="DL96" i="2"/>
  <c r="DK96" i="2"/>
  <c r="DJ96" i="2"/>
  <c r="DI96" i="2"/>
  <c r="DH96" i="2"/>
  <c r="DG96" i="2"/>
  <c r="DF96" i="2"/>
  <c r="DE96" i="2"/>
  <c r="DC96" i="2"/>
  <c r="DB96" i="2"/>
  <c r="DA96" i="2"/>
  <c r="CZ96" i="2"/>
  <c r="CY96" i="2"/>
  <c r="CX96" i="2"/>
  <c r="CW96" i="2"/>
  <c r="CV96" i="2"/>
  <c r="CQ96" i="2"/>
  <c r="CO96" i="2"/>
  <c r="CM96" i="2"/>
  <c r="CK96" i="2"/>
  <c r="CH96" i="2"/>
  <c r="CF96" i="2"/>
  <c r="CD96" i="2"/>
  <c r="CC96" i="2"/>
  <c r="CB96" i="2"/>
  <c r="BY96" i="2"/>
  <c r="BW96" i="2"/>
  <c r="BU96" i="2"/>
  <c r="BS96" i="2"/>
  <c r="BN96" i="2"/>
  <c r="BL96" i="2"/>
  <c r="BJ96" i="2"/>
  <c r="BE96" i="2"/>
  <c r="BC96" i="2"/>
  <c r="BA96" i="2"/>
  <c r="AN96" i="2"/>
  <c r="CP96" i="2" s="1"/>
  <c r="AL96" i="2"/>
  <c r="CN96" i="2" s="1"/>
  <c r="AJ96" i="2"/>
  <c r="CG96" i="2" s="1"/>
  <c r="AH96" i="2"/>
  <c r="CE96" i="2" s="1"/>
  <c r="AF96" i="2"/>
  <c r="BX96" i="2" s="1"/>
  <c r="AD96" i="2"/>
  <c r="BV96" i="2" s="1"/>
  <c r="AB96" i="2"/>
  <c r="BO96" i="2" s="1"/>
  <c r="Z96" i="2"/>
  <c r="BM96" i="2" s="1"/>
  <c r="X96" i="2"/>
  <c r="BF96" i="2" s="1"/>
  <c r="V96" i="2"/>
  <c r="BD96" i="2" s="1"/>
  <c r="CL96" i="2"/>
  <c r="BQ96" i="2" l="1"/>
  <c r="BR96" i="2" s="1"/>
  <c r="BZ96" i="2"/>
  <c r="CA96" i="2" s="1"/>
  <c r="CI96" i="2"/>
  <c r="CJ96" i="2" s="1"/>
  <c r="BH96" i="2"/>
  <c r="FS96" i="2"/>
  <c r="X109" i="31"/>
  <c r="FV96" i="2"/>
  <c r="FR96" i="2"/>
  <c r="EF96" i="2"/>
  <c r="FU96" i="2" s="1"/>
  <c r="S109" i="31"/>
  <c r="B34" i="7"/>
  <c r="E34" i="7" s="1"/>
  <c r="D34" i="7"/>
  <c r="Y109" i="31"/>
  <c r="M109" i="31"/>
  <c r="F109" i="31"/>
  <c r="EE96" i="2"/>
  <c r="G109" i="31"/>
  <c r="V109" i="31"/>
  <c r="CR96" i="2"/>
  <c r="CS96" i="2" s="1"/>
  <c r="DM96" i="2"/>
  <c r="U109" i="31"/>
  <c r="W109" i="31"/>
  <c r="EK96" i="2"/>
  <c r="N109" i="31" s="1"/>
  <c r="T109" i="31"/>
  <c r="D109" i="31"/>
  <c r="EL96" i="2"/>
  <c r="P109" i="31" s="1"/>
  <c r="DD96" i="2"/>
  <c r="DV96" i="2"/>
  <c r="EI96" i="2"/>
  <c r="L109" i="31" s="1"/>
  <c r="EH96" i="2"/>
  <c r="K109" i="31" s="1"/>
  <c r="L96" i="2"/>
  <c r="EG96" i="2"/>
  <c r="I109" i="31" s="1"/>
  <c r="BK9" i="2"/>
  <c r="BB9" i="2"/>
  <c r="H109" i="31" l="1"/>
  <c r="J109" i="31" s="1"/>
  <c r="Q109" i="31" s="1"/>
  <c r="EM96" i="2"/>
  <c r="EN96" i="2" s="1"/>
  <c r="BI96" i="2"/>
  <c r="FT96" i="2" l="1"/>
  <c r="E109" i="31"/>
  <c r="R109" i="31"/>
  <c r="Z109" i="31" s="1"/>
  <c r="AA109" i="31" s="1"/>
  <c r="AC109" i="31" s="1"/>
  <c r="FI56" i="2"/>
  <c r="AD109" i="31" l="1"/>
  <c r="AE109" i="31"/>
  <c r="AD58" i="31" l="1"/>
  <c r="AD56" i="31"/>
  <c r="AD54" i="31"/>
  <c r="C10" i="31" l="1"/>
  <c r="FI9" i="2"/>
  <c r="FH9" i="2"/>
  <c r="FG9" i="2"/>
  <c r="FF9" i="2"/>
  <c r="FE9" i="2"/>
  <c r="FC9" i="2"/>
  <c r="FB9" i="2"/>
  <c r="FA9" i="2"/>
  <c r="EY9" i="2"/>
  <c r="FJ9" i="2" s="1"/>
  <c r="FD9" i="2"/>
  <c r="EJ9" i="2"/>
  <c r="EE9" i="2"/>
  <c r="ED9" i="2"/>
  <c r="EC9" i="2"/>
  <c r="EB9" i="2"/>
  <c r="EA9" i="2"/>
  <c r="DZ9" i="2"/>
  <c r="DY9" i="2"/>
  <c r="DX9" i="2"/>
  <c r="DW9" i="2"/>
  <c r="DL9" i="2"/>
  <c r="DK9" i="2"/>
  <c r="DJ9" i="2"/>
  <c r="DI9" i="2"/>
  <c r="DH9" i="2"/>
  <c r="DG9" i="2"/>
  <c r="DF9" i="2"/>
  <c r="DE9" i="2"/>
  <c r="DC9" i="2"/>
  <c r="DB9" i="2"/>
  <c r="DA9" i="2"/>
  <c r="CZ9" i="2"/>
  <c r="CY9" i="2"/>
  <c r="CX9" i="2"/>
  <c r="CW9" i="2"/>
  <c r="CV9" i="2"/>
  <c r="CQ9" i="2"/>
  <c r="CO9" i="2"/>
  <c r="CM9" i="2"/>
  <c r="CL9" i="2"/>
  <c r="CK9" i="2"/>
  <c r="CH9" i="2"/>
  <c r="CF9" i="2"/>
  <c r="CD9" i="2"/>
  <c r="CC9" i="2"/>
  <c r="CB9" i="2"/>
  <c r="BY9" i="2"/>
  <c r="BW9" i="2"/>
  <c r="BU9" i="2"/>
  <c r="BT9" i="2"/>
  <c r="BS9" i="2"/>
  <c r="BP9" i="2"/>
  <c r="BN9" i="2"/>
  <c r="BL9" i="2"/>
  <c r="BJ9" i="2"/>
  <c r="BG9" i="2"/>
  <c r="BE9" i="2"/>
  <c r="BC9" i="2"/>
  <c r="BA9" i="2"/>
  <c r="AN9" i="2"/>
  <c r="CP9" i="2" s="1"/>
  <c r="AL9" i="2"/>
  <c r="CN9" i="2" s="1"/>
  <c r="AJ9" i="2"/>
  <c r="CG9" i="2" s="1"/>
  <c r="AH9" i="2"/>
  <c r="CE9" i="2" s="1"/>
  <c r="AF9" i="2"/>
  <c r="BX9" i="2" s="1"/>
  <c r="AD9" i="2"/>
  <c r="BV9" i="2" s="1"/>
  <c r="AB9" i="2"/>
  <c r="BO9" i="2" s="1"/>
  <c r="Z9" i="2"/>
  <c r="BM9" i="2" s="1"/>
  <c r="X9" i="2"/>
  <c r="BF9" i="2" s="1"/>
  <c r="V9" i="2"/>
  <c r="BD9" i="2" s="1"/>
  <c r="S9" i="2"/>
  <c r="L9" i="2"/>
  <c r="V49" i="7" l="1"/>
  <c r="S49" i="7"/>
  <c r="P49" i="7"/>
  <c r="K49" i="7"/>
  <c r="I49" i="7"/>
  <c r="F49" i="7"/>
  <c r="U49" i="7"/>
  <c r="G49" i="7"/>
  <c r="T49" i="7"/>
  <c r="R49" i="7"/>
  <c r="Q49" i="7"/>
  <c r="M49" i="7"/>
  <c r="L49" i="7"/>
  <c r="J49" i="7"/>
  <c r="H49" i="7"/>
  <c r="N49" i="7"/>
  <c r="Y49" i="7"/>
  <c r="O49" i="7"/>
  <c r="W49" i="7"/>
  <c r="Z49" i="7"/>
  <c r="X49" i="7"/>
  <c r="CI9" i="2"/>
  <c r="CJ9" i="2" s="1"/>
  <c r="BZ9" i="2"/>
  <c r="CA9" i="2" s="1"/>
  <c r="BQ9" i="2"/>
  <c r="BR9" i="2" s="1"/>
  <c r="BH9" i="2"/>
  <c r="FR9" i="2"/>
  <c r="FS9" i="2"/>
  <c r="FV9" i="2"/>
  <c r="W10" i="31"/>
  <c r="X10" i="31"/>
  <c r="Y10" i="31"/>
  <c r="M10" i="31"/>
  <c r="V10" i="31"/>
  <c r="T10" i="31"/>
  <c r="U10" i="31"/>
  <c r="D10" i="31"/>
  <c r="F10" i="31"/>
  <c r="G10" i="31"/>
  <c r="B33" i="7"/>
  <c r="E33" i="7" s="1"/>
  <c r="D33" i="7"/>
  <c r="S10" i="31"/>
  <c r="EL9" i="2"/>
  <c r="P10" i="31" s="1"/>
  <c r="EG9" i="2"/>
  <c r="I10" i="31" s="1"/>
  <c r="DD9" i="2"/>
  <c r="EK9" i="2"/>
  <c r="N10" i="31" s="1"/>
  <c r="DM9" i="2"/>
  <c r="DN9" i="2" s="1"/>
  <c r="CR9" i="2"/>
  <c r="CS9" i="2" s="1"/>
  <c r="EF9" i="2"/>
  <c r="EH9" i="2"/>
  <c r="K10" i="31" s="1"/>
  <c r="H10" i="31" l="1"/>
  <c r="J10" i="31" s="1"/>
  <c r="FU9" i="2"/>
  <c r="EM9" i="2"/>
  <c r="DO9" i="2"/>
  <c r="DP9" i="2" s="1"/>
  <c r="DQ9" i="2" s="1"/>
  <c r="EI9" i="2" s="1"/>
  <c r="BI9" i="2"/>
  <c r="BS144" i="2"/>
  <c r="EN9" i="2" l="1"/>
  <c r="FT9" i="2" s="1"/>
  <c r="L10" i="31"/>
  <c r="DR9" i="2"/>
  <c r="DS9" i="2" s="1"/>
  <c r="EX135" i="2"/>
  <c r="EW135" i="2"/>
  <c r="EU135" i="2"/>
  <c r="ET135" i="2"/>
  <c r="ER135" i="2"/>
  <c r="EQ135" i="2"/>
  <c r="EP135" i="2"/>
  <c r="CU135" i="2"/>
  <c r="CT135" i="2"/>
  <c r="AZ135" i="2"/>
  <c r="AY135" i="2"/>
  <c r="AX135" i="2"/>
  <c r="AW135" i="2"/>
  <c r="AV135" i="2"/>
  <c r="AU135" i="2"/>
  <c r="AT135" i="2"/>
  <c r="AS135" i="2"/>
  <c r="AR135" i="2"/>
  <c r="AQ135" i="2"/>
  <c r="AP135" i="2"/>
  <c r="AO135" i="2"/>
  <c r="AM135" i="2"/>
  <c r="AK135" i="2"/>
  <c r="AI135" i="2"/>
  <c r="AG135" i="2"/>
  <c r="AE135" i="2"/>
  <c r="AC135" i="2"/>
  <c r="AA135" i="2"/>
  <c r="Y135" i="2"/>
  <c r="W135" i="2"/>
  <c r="U135" i="2"/>
  <c r="EX126" i="2"/>
  <c r="EW126" i="2"/>
  <c r="EV126" i="2"/>
  <c r="EU126" i="2"/>
  <c r="ET126" i="2"/>
  <c r="ER126" i="2"/>
  <c r="EQ126" i="2"/>
  <c r="EP126" i="2"/>
  <c r="CU126" i="2"/>
  <c r="CT126" i="2"/>
  <c r="CQ126" i="2"/>
  <c r="CO126" i="2"/>
  <c r="CH126" i="2"/>
  <c r="CF126" i="2"/>
  <c r="CD126" i="2"/>
  <c r="AZ126" i="2"/>
  <c r="AY126" i="2"/>
  <c r="AX126" i="2"/>
  <c r="AW126" i="2"/>
  <c r="AV126" i="2"/>
  <c r="AU126" i="2"/>
  <c r="AT126" i="2"/>
  <c r="AS126" i="2"/>
  <c r="AR126" i="2"/>
  <c r="AQ126" i="2"/>
  <c r="AP126" i="2"/>
  <c r="AO126" i="2"/>
  <c r="AM126" i="2"/>
  <c r="AK126" i="2"/>
  <c r="AI126" i="2"/>
  <c r="AG126" i="2"/>
  <c r="AE126" i="2"/>
  <c r="AC126" i="2"/>
  <c r="AA126" i="2"/>
  <c r="Y126" i="2"/>
  <c r="W126" i="2"/>
  <c r="U126" i="2"/>
  <c r="EX48" i="2"/>
  <c r="EW48" i="2"/>
  <c r="EV48" i="2"/>
  <c r="EU48" i="2"/>
  <c r="ET48" i="2"/>
  <c r="ES48" i="2"/>
  <c r="ER48" i="2"/>
  <c r="EQ48" i="2"/>
  <c r="EP48" i="2"/>
  <c r="CU48" i="2"/>
  <c r="CT48" i="2"/>
  <c r="AZ48" i="2"/>
  <c r="AY48" i="2"/>
  <c r="AX48" i="2"/>
  <c r="AW48" i="2"/>
  <c r="AV48" i="2"/>
  <c r="AU48" i="2"/>
  <c r="AT48" i="2"/>
  <c r="AS48" i="2"/>
  <c r="AR48" i="2"/>
  <c r="AQ48" i="2"/>
  <c r="AP48" i="2"/>
  <c r="AO48" i="2"/>
  <c r="AM48" i="2"/>
  <c r="AK48" i="2"/>
  <c r="AI48" i="2"/>
  <c r="AG48" i="2"/>
  <c r="AE48" i="2"/>
  <c r="AC48" i="2"/>
  <c r="AA48" i="2"/>
  <c r="Y48" i="2"/>
  <c r="W48" i="2"/>
  <c r="U48" i="2"/>
  <c r="FP38" i="2"/>
  <c r="FO38" i="2"/>
  <c r="FN38" i="2"/>
  <c r="FM38" i="2"/>
  <c r="FL38" i="2"/>
  <c r="FK38" i="2"/>
  <c r="EX38" i="2"/>
  <c r="EW38" i="2"/>
  <c r="EU38" i="2"/>
  <c r="ET38" i="2"/>
  <c r="ES38" i="2"/>
  <c r="ER38" i="2"/>
  <c r="EQ38" i="2"/>
  <c r="EP38" i="2"/>
  <c r="CU38" i="2"/>
  <c r="CT38" i="2"/>
  <c r="AZ38" i="2"/>
  <c r="AY38" i="2"/>
  <c r="AX38" i="2"/>
  <c r="AW38" i="2"/>
  <c r="AV38" i="2"/>
  <c r="AU38" i="2"/>
  <c r="AT38" i="2"/>
  <c r="AS38" i="2"/>
  <c r="AR38" i="2"/>
  <c r="AQ38" i="2"/>
  <c r="AP38" i="2"/>
  <c r="AO38" i="2"/>
  <c r="AM38" i="2"/>
  <c r="AK38" i="2"/>
  <c r="AI38" i="2"/>
  <c r="AG38" i="2"/>
  <c r="AE38" i="2"/>
  <c r="AC38" i="2"/>
  <c r="AA38" i="2"/>
  <c r="Y38" i="2"/>
  <c r="W38" i="2"/>
  <c r="U38" i="2"/>
  <c r="EX32" i="2"/>
  <c r="EW32" i="2"/>
  <c r="EV32" i="2"/>
  <c r="EU32" i="2"/>
  <c r="ET32" i="2"/>
  <c r="ES32" i="2"/>
  <c r="ER32" i="2"/>
  <c r="EP32" i="2"/>
  <c r="CU32" i="2"/>
  <c r="CT32" i="2"/>
  <c r="AZ32" i="2"/>
  <c r="AY32" i="2"/>
  <c r="AX32" i="2"/>
  <c r="AW32" i="2"/>
  <c r="AV32" i="2"/>
  <c r="AU32" i="2"/>
  <c r="AT32" i="2"/>
  <c r="AS32" i="2"/>
  <c r="AR32" i="2"/>
  <c r="AQ32" i="2"/>
  <c r="AP32" i="2"/>
  <c r="AO32" i="2"/>
  <c r="AM32" i="2"/>
  <c r="AK32" i="2"/>
  <c r="AI32" i="2"/>
  <c r="AG32" i="2"/>
  <c r="AE32" i="2"/>
  <c r="AC32" i="2"/>
  <c r="AA32" i="2"/>
  <c r="Y32" i="2"/>
  <c r="W32" i="2"/>
  <c r="U32" i="2"/>
  <c r="EX26" i="2"/>
  <c r="EW26" i="2"/>
  <c r="EV26" i="2"/>
  <c r="EU26" i="2"/>
  <c r="ET26" i="2"/>
  <c r="ER26" i="2"/>
  <c r="EQ26" i="2"/>
  <c r="EP26" i="2"/>
  <c r="CU26" i="2"/>
  <c r="CT26" i="2"/>
  <c r="AZ26" i="2"/>
  <c r="AY26" i="2"/>
  <c r="AX26" i="2"/>
  <c r="AW26" i="2"/>
  <c r="AV26" i="2"/>
  <c r="AU26" i="2"/>
  <c r="AT26" i="2"/>
  <c r="AS26" i="2"/>
  <c r="AR26" i="2"/>
  <c r="AQ26" i="2"/>
  <c r="AP26" i="2"/>
  <c r="AO26" i="2"/>
  <c r="AM26" i="2"/>
  <c r="AK26" i="2"/>
  <c r="AI26" i="2"/>
  <c r="AG26" i="2"/>
  <c r="AE26" i="2"/>
  <c r="AC26" i="2"/>
  <c r="AA26" i="2"/>
  <c r="Y26" i="2"/>
  <c r="W26" i="2"/>
  <c r="U26" i="2"/>
  <c r="EX18" i="2"/>
  <c r="EW18" i="2"/>
  <c r="EU18" i="2"/>
  <c r="ET18" i="2"/>
  <c r="ES18" i="2"/>
  <c r="ER18" i="2"/>
  <c r="EQ18" i="2"/>
  <c r="DV18" i="2"/>
  <c r="DU18" i="2"/>
  <c r="DT18" i="2"/>
  <c r="DS18" i="2"/>
  <c r="DR18" i="2"/>
  <c r="DQ18" i="2"/>
  <c r="DP18" i="2"/>
  <c r="DO18" i="2"/>
  <c r="DN18" i="2"/>
  <c r="CU18" i="2"/>
  <c r="CT18" i="2"/>
  <c r="AZ18" i="2"/>
  <c r="AY18" i="2"/>
  <c r="AX18" i="2"/>
  <c r="AW18" i="2"/>
  <c r="AV18" i="2"/>
  <c r="AU18" i="2"/>
  <c r="AT18" i="2"/>
  <c r="AS18" i="2"/>
  <c r="AR18" i="2"/>
  <c r="AQ18" i="2"/>
  <c r="AP18" i="2"/>
  <c r="AO18" i="2"/>
  <c r="AM18" i="2"/>
  <c r="AK18" i="2"/>
  <c r="AI18" i="2"/>
  <c r="AG18" i="2"/>
  <c r="AE18" i="2"/>
  <c r="AC18" i="2"/>
  <c r="AA18" i="2"/>
  <c r="Y18" i="2"/>
  <c r="W18" i="2"/>
  <c r="U18" i="2"/>
  <c r="FP12" i="2"/>
  <c r="FP19" i="2" s="1"/>
  <c r="FO12" i="2"/>
  <c r="FO19" i="2" s="1"/>
  <c r="FN12" i="2"/>
  <c r="FN19" i="2" s="1"/>
  <c r="FM12" i="2"/>
  <c r="FM19" i="2" s="1"/>
  <c r="FL12" i="2"/>
  <c r="FL19" i="2" s="1"/>
  <c r="FK12" i="2"/>
  <c r="FK19" i="2" s="1"/>
  <c r="EX12" i="2"/>
  <c r="EW12" i="2"/>
  <c r="EV12" i="2"/>
  <c r="EU12" i="2"/>
  <c r="ET12" i="2"/>
  <c r="ER12" i="2"/>
  <c r="EQ12" i="2"/>
  <c r="EP12" i="2"/>
  <c r="CU12" i="2"/>
  <c r="CT12" i="2"/>
  <c r="AZ12" i="2"/>
  <c r="AY12" i="2"/>
  <c r="AX12" i="2"/>
  <c r="AW12" i="2"/>
  <c r="AV12" i="2"/>
  <c r="AU12" i="2"/>
  <c r="AT12" i="2"/>
  <c r="AS12" i="2"/>
  <c r="AR12" i="2"/>
  <c r="AQ12" i="2"/>
  <c r="AP12" i="2"/>
  <c r="AO12" i="2"/>
  <c r="AM12" i="2"/>
  <c r="AK12" i="2"/>
  <c r="AI12" i="2"/>
  <c r="AG12" i="2"/>
  <c r="AE12" i="2"/>
  <c r="AC12" i="2"/>
  <c r="AA12" i="2"/>
  <c r="Y12" i="2"/>
  <c r="W12" i="2"/>
  <c r="U12" i="2"/>
  <c r="T12" i="2"/>
  <c r="CT19" i="2" l="1"/>
  <c r="CU19" i="2"/>
  <c r="Q10" i="31"/>
  <c r="AP19" i="2"/>
  <c r="U19" i="2"/>
  <c r="AS19" i="2"/>
  <c r="AW19" i="2"/>
  <c r="ET19" i="2"/>
  <c r="E10" i="31"/>
  <c r="R10" i="31"/>
  <c r="DT9" i="2"/>
  <c r="DU9" i="2" s="1"/>
  <c r="DV9" i="2" s="1"/>
  <c r="AK19" i="2"/>
  <c r="AX19" i="2"/>
  <c r="AM19" i="2"/>
  <c r="AY19" i="2"/>
  <c r="EW19" i="2"/>
  <c r="EX19" i="2"/>
  <c r="AZ19" i="2"/>
  <c r="AC19" i="2"/>
  <c r="AI19" i="2"/>
  <c r="AU19" i="2"/>
  <c r="AG19" i="2"/>
  <c r="AA19" i="2"/>
  <c r="AO19" i="2"/>
  <c r="W19" i="2"/>
  <c r="EU19" i="2"/>
  <c r="AQ19" i="2"/>
  <c r="AV19" i="2"/>
  <c r="AT19" i="2"/>
  <c r="AR19" i="2"/>
  <c r="AE19" i="2"/>
  <c r="EQ19" i="2"/>
  <c r="ER19" i="2"/>
  <c r="Y19" i="2"/>
  <c r="Z10" i="31" l="1"/>
  <c r="EY145" i="2"/>
  <c r="EY144" i="2"/>
  <c r="EY134" i="2"/>
  <c r="EY132" i="2"/>
  <c r="EY125" i="2"/>
  <c r="EY121" i="2"/>
  <c r="EY117" i="2"/>
  <c r="EY114" i="2"/>
  <c r="EY95" i="2"/>
  <c r="EY87" i="2"/>
  <c r="EY86" i="2"/>
  <c r="EY83" i="2"/>
  <c r="EY75" i="2"/>
  <c r="EY72" i="2"/>
  <c r="FV72" i="2" s="1"/>
  <c r="EY56" i="2"/>
  <c r="FJ56" i="2" s="1"/>
  <c r="EY53" i="2"/>
  <c r="EY45" i="2"/>
  <c r="EY43" i="2"/>
  <c r="EY41" i="2"/>
  <c r="EY25" i="2"/>
  <c r="EY23" i="2"/>
  <c r="EY22" i="2"/>
  <c r="EY15" i="2"/>
  <c r="EY10" i="2"/>
  <c r="C59" i="31"/>
  <c r="FH56" i="2"/>
  <c r="FG56" i="2"/>
  <c r="FF56" i="2"/>
  <c r="FE56" i="2"/>
  <c r="FC56" i="2"/>
  <c r="FB56" i="2"/>
  <c r="FA56" i="2"/>
  <c r="FD56" i="2"/>
  <c r="EJ56" i="2"/>
  <c r="ED56" i="2"/>
  <c r="EC56" i="2"/>
  <c r="EB56" i="2"/>
  <c r="EA56" i="2"/>
  <c r="DZ56" i="2"/>
  <c r="DY56" i="2"/>
  <c r="DX56" i="2"/>
  <c r="DW56" i="2"/>
  <c r="DU56" i="2"/>
  <c r="DT56" i="2"/>
  <c r="DS56" i="2"/>
  <c r="DR56" i="2"/>
  <c r="DQ56" i="2"/>
  <c r="DP56" i="2"/>
  <c r="DO56" i="2"/>
  <c r="DN56" i="2"/>
  <c r="DL56" i="2"/>
  <c r="DK56" i="2"/>
  <c r="DJ56" i="2"/>
  <c r="DI56" i="2"/>
  <c r="DH56" i="2"/>
  <c r="DG56" i="2"/>
  <c r="DF56" i="2"/>
  <c r="DE56" i="2"/>
  <c r="DC56" i="2"/>
  <c r="DB56" i="2"/>
  <c r="DA56" i="2"/>
  <c r="CZ56" i="2"/>
  <c r="CY56" i="2"/>
  <c r="CX56" i="2"/>
  <c r="CW56" i="2"/>
  <c r="CV56" i="2"/>
  <c r="CQ56" i="2"/>
  <c r="CO56" i="2"/>
  <c r="CM56" i="2"/>
  <c r="CL56" i="2"/>
  <c r="CK56" i="2"/>
  <c r="CH56" i="2"/>
  <c r="CF56" i="2"/>
  <c r="CD56" i="2"/>
  <c r="CB56" i="2"/>
  <c r="BY56" i="2"/>
  <c r="BW56" i="2"/>
  <c r="BU56" i="2"/>
  <c r="BS56" i="2"/>
  <c r="BP56" i="2"/>
  <c r="BN56" i="2"/>
  <c r="BL56" i="2"/>
  <c r="BJ56" i="2"/>
  <c r="BG56" i="2"/>
  <c r="BE56" i="2"/>
  <c r="BC56" i="2"/>
  <c r="BA56" i="2"/>
  <c r="AN56" i="2"/>
  <c r="CP56" i="2" s="1"/>
  <c r="AL56" i="2"/>
  <c r="CN56" i="2" s="1"/>
  <c r="AJ56" i="2"/>
  <c r="CG56" i="2" s="1"/>
  <c r="AH56" i="2"/>
  <c r="CE56" i="2" s="1"/>
  <c r="AF56" i="2"/>
  <c r="BX56" i="2" s="1"/>
  <c r="AD56" i="2"/>
  <c r="BV56" i="2" s="1"/>
  <c r="AB56" i="2"/>
  <c r="BO56" i="2" s="1"/>
  <c r="Z56" i="2"/>
  <c r="BM56" i="2" s="1"/>
  <c r="X56" i="2"/>
  <c r="BF56" i="2" s="1"/>
  <c r="V56" i="2"/>
  <c r="BD56" i="2" s="1"/>
  <c r="S56" i="2"/>
  <c r="L56" i="2"/>
  <c r="BQ56" i="2" l="1"/>
  <c r="BR56" i="2" s="1"/>
  <c r="CI56" i="2"/>
  <c r="CJ56" i="2" s="1"/>
  <c r="BZ56" i="2"/>
  <c r="CA56" i="2" s="1"/>
  <c r="BA57" i="2"/>
  <c r="BH56" i="2"/>
  <c r="EY91" i="2"/>
  <c r="FR56" i="2"/>
  <c r="FS56" i="2"/>
  <c r="FV56" i="2"/>
  <c r="M59" i="31"/>
  <c r="AA10" i="31"/>
  <c r="AC10" i="31" s="1"/>
  <c r="X59" i="31"/>
  <c r="S59" i="31"/>
  <c r="P59" i="31"/>
  <c r="W59" i="31"/>
  <c r="Y59" i="31"/>
  <c r="F59" i="31"/>
  <c r="T59" i="31"/>
  <c r="B32" i="7"/>
  <c r="D32" i="7"/>
  <c r="U59" i="31"/>
  <c r="EK56" i="2"/>
  <c r="N59" i="31" s="1"/>
  <c r="EL56" i="2"/>
  <c r="EY26" i="2"/>
  <c r="EY48" i="2"/>
  <c r="D59" i="31"/>
  <c r="V59" i="31"/>
  <c r="EY126" i="2"/>
  <c r="DV56" i="2"/>
  <c r="EE56" i="2"/>
  <c r="DM56" i="2"/>
  <c r="EG56" i="2"/>
  <c r="I59" i="31" s="1"/>
  <c r="DD56" i="2"/>
  <c r="EI56" i="2"/>
  <c r="L59" i="31" s="1"/>
  <c r="CR56" i="2"/>
  <c r="CS56" i="2" s="1"/>
  <c r="EH56" i="2"/>
  <c r="K59" i="31" s="1"/>
  <c r="EF56" i="2"/>
  <c r="ES135" i="2"/>
  <c r="ES126" i="2"/>
  <c r="ES12" i="2"/>
  <c r="ES19" i="2" s="1"/>
  <c r="H59" i="31" l="1"/>
  <c r="E59" i="31" s="1"/>
  <c r="FU56" i="2"/>
  <c r="AD10" i="31"/>
  <c r="AE10" i="31"/>
  <c r="E32" i="7"/>
  <c r="EM56" i="2"/>
  <c r="EN56" i="2" s="1"/>
  <c r="BI56" i="2"/>
  <c r="FT56" i="2" l="1"/>
  <c r="R59" i="31"/>
  <c r="Z59" i="31" s="1"/>
  <c r="J59" i="31"/>
  <c r="Q59" i="31" s="1"/>
  <c r="EY146" i="2"/>
  <c r="EX146" i="2"/>
  <c r="EW146" i="2"/>
  <c r="EV146" i="2"/>
  <c r="EU146" i="2"/>
  <c r="ET146" i="2"/>
  <c r="ES146" i="2"/>
  <c r="ER146" i="2"/>
  <c r="EQ146" i="2"/>
  <c r="EP146" i="2"/>
  <c r="CU146" i="2"/>
  <c r="CT146" i="2"/>
  <c r="CT171" i="2" s="1"/>
  <c r="AZ146" i="2"/>
  <c r="AY146" i="2"/>
  <c r="AX146" i="2"/>
  <c r="AW146" i="2"/>
  <c r="AV146" i="2"/>
  <c r="AU146" i="2"/>
  <c r="AT146" i="2"/>
  <c r="AS146" i="2"/>
  <c r="AR146" i="2"/>
  <c r="AQ146" i="2"/>
  <c r="AP146" i="2"/>
  <c r="AO146" i="2"/>
  <c r="AM146" i="2"/>
  <c r="AK146" i="2"/>
  <c r="AI146" i="2"/>
  <c r="AG146" i="2"/>
  <c r="AE146" i="2"/>
  <c r="AC146" i="2"/>
  <c r="AA146" i="2"/>
  <c r="Y146" i="2"/>
  <c r="W146" i="2"/>
  <c r="U146" i="2"/>
  <c r="FP135" i="2"/>
  <c r="FO135" i="2"/>
  <c r="FN135" i="2"/>
  <c r="FM135" i="2"/>
  <c r="FL135" i="2"/>
  <c r="FK135" i="2"/>
  <c r="FP126" i="2"/>
  <c r="FO126" i="2"/>
  <c r="FN126" i="2"/>
  <c r="FM126" i="2"/>
  <c r="FL126" i="2"/>
  <c r="FK126" i="2"/>
  <c r="FO97" i="2"/>
  <c r="FN97" i="2"/>
  <c r="FM97" i="2"/>
  <c r="FL97" i="2"/>
  <c r="FK97" i="2"/>
  <c r="EY97" i="2"/>
  <c r="EX97" i="2"/>
  <c r="EW97" i="2"/>
  <c r="EV97" i="2"/>
  <c r="EU97" i="2"/>
  <c r="ET97" i="2"/>
  <c r="ES97" i="2"/>
  <c r="ER97" i="2"/>
  <c r="EQ97" i="2"/>
  <c r="EP97" i="2"/>
  <c r="CU97" i="2"/>
  <c r="CT97" i="2"/>
  <c r="AZ97" i="2"/>
  <c r="AY97" i="2"/>
  <c r="AX97" i="2"/>
  <c r="AW97" i="2"/>
  <c r="AV97" i="2"/>
  <c r="AU97" i="2"/>
  <c r="AT97" i="2"/>
  <c r="AS97" i="2"/>
  <c r="AR97" i="2"/>
  <c r="AQ97" i="2"/>
  <c r="AP97" i="2"/>
  <c r="AO97" i="2"/>
  <c r="AM97" i="2"/>
  <c r="AK97" i="2"/>
  <c r="AI97" i="2"/>
  <c r="AG97" i="2"/>
  <c r="AE97" i="2"/>
  <c r="AC97" i="2"/>
  <c r="AA97" i="2"/>
  <c r="Y97" i="2"/>
  <c r="W97" i="2"/>
  <c r="U97" i="2"/>
  <c r="AZ91" i="2"/>
  <c r="AY91" i="2"/>
  <c r="AX91" i="2"/>
  <c r="AW91" i="2"/>
  <c r="AV91" i="2"/>
  <c r="AU91" i="2"/>
  <c r="AT91" i="2"/>
  <c r="AS91" i="2"/>
  <c r="AR91" i="2"/>
  <c r="AQ91" i="2"/>
  <c r="AP91" i="2"/>
  <c r="AO91" i="2"/>
  <c r="AM91" i="2"/>
  <c r="AK91" i="2"/>
  <c r="AI91" i="2"/>
  <c r="AG91" i="2"/>
  <c r="AE91" i="2"/>
  <c r="AC91" i="2"/>
  <c r="AA91" i="2"/>
  <c r="Y91" i="2"/>
  <c r="W91" i="2"/>
  <c r="U91" i="2"/>
  <c r="FP84" i="2"/>
  <c r="FO84" i="2"/>
  <c r="FN84" i="2"/>
  <c r="FM84" i="2"/>
  <c r="FL84" i="2"/>
  <c r="FK84" i="2"/>
  <c r="EX84" i="2"/>
  <c r="EW84" i="2"/>
  <c r="ET84" i="2"/>
  <c r="ES84" i="2"/>
  <c r="ER84" i="2"/>
  <c r="EQ84" i="2"/>
  <c r="EP84" i="2"/>
  <c r="CU84" i="2"/>
  <c r="CT84" i="2"/>
  <c r="AZ84" i="2"/>
  <c r="AY84" i="2"/>
  <c r="AX84" i="2"/>
  <c r="AW84" i="2"/>
  <c r="AV84" i="2"/>
  <c r="AU84" i="2"/>
  <c r="AT84" i="2"/>
  <c r="AS84" i="2"/>
  <c r="AR84" i="2"/>
  <c r="AQ84" i="2"/>
  <c r="AP84" i="2"/>
  <c r="AO84" i="2"/>
  <c r="AM84" i="2"/>
  <c r="AK84" i="2"/>
  <c r="AI84" i="2"/>
  <c r="AG84" i="2"/>
  <c r="AE84" i="2"/>
  <c r="AC84" i="2"/>
  <c r="AA84" i="2"/>
  <c r="Y84" i="2"/>
  <c r="W84" i="2"/>
  <c r="U84" i="2"/>
  <c r="FP73" i="2"/>
  <c r="FO73" i="2"/>
  <c r="FN73" i="2"/>
  <c r="FM73" i="2"/>
  <c r="FL73" i="2"/>
  <c r="FK73" i="2"/>
  <c r="FJ73" i="2"/>
  <c r="FI73" i="2"/>
  <c r="FH73" i="2"/>
  <c r="FG73" i="2"/>
  <c r="FF73" i="2"/>
  <c r="FE73" i="2"/>
  <c r="FD73" i="2"/>
  <c r="FC73" i="2"/>
  <c r="FB73" i="2"/>
  <c r="FA73" i="2"/>
  <c r="EY73" i="2"/>
  <c r="EX73" i="2"/>
  <c r="EW73" i="2"/>
  <c r="EV73" i="2"/>
  <c r="EU73" i="2"/>
  <c r="ET73" i="2"/>
  <c r="ES73" i="2"/>
  <c r="ER73" i="2"/>
  <c r="EQ73" i="2"/>
  <c r="EP73" i="2"/>
  <c r="EM73" i="2"/>
  <c r="EL73" i="2"/>
  <c r="EK73" i="2"/>
  <c r="EI73" i="2"/>
  <c r="EH73" i="2"/>
  <c r="EF73" i="2"/>
  <c r="EE73" i="2"/>
  <c r="ED73" i="2"/>
  <c r="EC73" i="2"/>
  <c r="EB73" i="2"/>
  <c r="EA73" i="2"/>
  <c r="DZ73" i="2"/>
  <c r="DY73" i="2"/>
  <c r="DX73" i="2"/>
  <c r="DW73" i="2"/>
  <c r="DV73" i="2"/>
  <c r="DU73" i="2"/>
  <c r="DT73" i="2"/>
  <c r="DS73" i="2"/>
  <c r="DR73" i="2"/>
  <c r="DQ73" i="2"/>
  <c r="DP73" i="2"/>
  <c r="DO73" i="2"/>
  <c r="DN73" i="2"/>
  <c r="DM73" i="2"/>
  <c r="DL73" i="2"/>
  <c r="DK73" i="2"/>
  <c r="DJ73" i="2"/>
  <c r="DI73" i="2"/>
  <c r="DH73" i="2"/>
  <c r="DG73" i="2"/>
  <c r="DF73" i="2"/>
  <c r="DE73" i="2"/>
  <c r="DD73" i="2"/>
  <c r="DC73" i="2"/>
  <c r="DB73" i="2"/>
  <c r="DA73" i="2"/>
  <c r="CZ73" i="2"/>
  <c r="CY73" i="2"/>
  <c r="CX73" i="2"/>
  <c r="CW73" i="2"/>
  <c r="CV73" i="2"/>
  <c r="CU73" i="2"/>
  <c r="CT73" i="2"/>
  <c r="CS73" i="2"/>
  <c r="CR73" i="2"/>
  <c r="CQ73" i="2"/>
  <c r="CP73" i="2"/>
  <c r="CO73" i="2"/>
  <c r="CN73" i="2"/>
  <c r="CM73" i="2"/>
  <c r="CL73" i="2"/>
  <c r="CK73" i="2"/>
  <c r="CJ73" i="2"/>
  <c r="CI73" i="2"/>
  <c r="CH73" i="2"/>
  <c r="CG73" i="2"/>
  <c r="CF73" i="2"/>
  <c r="CE73" i="2"/>
  <c r="CD73" i="2"/>
  <c r="CC73" i="2"/>
  <c r="CB73" i="2"/>
  <c r="CA73" i="2"/>
  <c r="BZ73" i="2"/>
  <c r="BY73" i="2"/>
  <c r="BX73" i="2"/>
  <c r="BW73" i="2"/>
  <c r="BV73" i="2"/>
  <c r="BU73" i="2"/>
  <c r="BT73" i="2"/>
  <c r="BS73" i="2"/>
  <c r="BR73" i="2"/>
  <c r="BQ73" i="2"/>
  <c r="BP73" i="2"/>
  <c r="BO73" i="2"/>
  <c r="BN73" i="2"/>
  <c r="BM73" i="2"/>
  <c r="BL73" i="2"/>
  <c r="BK73" i="2"/>
  <c r="BJ73" i="2"/>
  <c r="BI73" i="2"/>
  <c r="BH73" i="2"/>
  <c r="BG73" i="2"/>
  <c r="BF73" i="2"/>
  <c r="BE73" i="2"/>
  <c r="BD73" i="2"/>
  <c r="BC73" i="2"/>
  <c r="BB73" i="2"/>
  <c r="BA73" i="2"/>
  <c r="AZ73" i="2"/>
  <c r="AY73" i="2"/>
  <c r="AX73" i="2"/>
  <c r="AW73" i="2"/>
  <c r="AV73" i="2"/>
  <c r="AU73" i="2"/>
  <c r="AT73" i="2"/>
  <c r="AS73" i="2"/>
  <c r="AR73" i="2"/>
  <c r="AQ73" i="2"/>
  <c r="AP73" i="2"/>
  <c r="AO73" i="2"/>
  <c r="AN73" i="2"/>
  <c r="AM73" i="2"/>
  <c r="AL73" i="2"/>
  <c r="AK73" i="2"/>
  <c r="AJ73" i="2"/>
  <c r="AI73" i="2"/>
  <c r="AH73" i="2"/>
  <c r="AG73" i="2"/>
  <c r="AF73" i="2"/>
  <c r="AE73" i="2"/>
  <c r="AD73" i="2"/>
  <c r="AC73" i="2"/>
  <c r="AB73" i="2"/>
  <c r="AA73" i="2"/>
  <c r="Z73" i="2"/>
  <c r="Y73" i="2"/>
  <c r="X73" i="2"/>
  <c r="W73" i="2"/>
  <c r="V73" i="2"/>
  <c r="U73" i="2"/>
  <c r="FP70" i="2"/>
  <c r="FO70" i="2"/>
  <c r="FN70" i="2"/>
  <c r="FM70" i="2"/>
  <c r="FL70" i="2"/>
  <c r="FK70" i="2"/>
  <c r="EY70" i="2"/>
  <c r="EX70" i="2"/>
  <c r="EW70" i="2"/>
  <c r="EV70" i="2"/>
  <c r="EU70" i="2"/>
  <c r="ET70" i="2"/>
  <c r="ES70" i="2"/>
  <c r="ER70" i="2"/>
  <c r="EP70" i="2"/>
  <c r="CU70" i="2"/>
  <c r="CT70" i="2"/>
  <c r="AZ70" i="2"/>
  <c r="AY70" i="2"/>
  <c r="AX70" i="2"/>
  <c r="AW70" i="2"/>
  <c r="AV70" i="2"/>
  <c r="AU70" i="2"/>
  <c r="AT70" i="2"/>
  <c r="AS70" i="2"/>
  <c r="AR70" i="2"/>
  <c r="AQ70" i="2"/>
  <c r="AP70" i="2"/>
  <c r="AO70" i="2"/>
  <c r="AM70" i="2"/>
  <c r="AK70" i="2"/>
  <c r="AI70" i="2"/>
  <c r="AG70" i="2"/>
  <c r="AE70" i="2"/>
  <c r="AC70" i="2"/>
  <c r="AA70" i="2"/>
  <c r="Y70" i="2"/>
  <c r="W70" i="2"/>
  <c r="U70" i="2"/>
  <c r="FP57" i="2"/>
  <c r="FO57" i="2"/>
  <c r="FN57" i="2"/>
  <c r="FM57" i="2"/>
  <c r="FL57" i="2"/>
  <c r="FK57" i="2"/>
  <c r="FJ57" i="2"/>
  <c r="FI57" i="2"/>
  <c r="FH57" i="2"/>
  <c r="FG57" i="2"/>
  <c r="FF57" i="2"/>
  <c r="FE57" i="2"/>
  <c r="FD57" i="2"/>
  <c r="FC57" i="2"/>
  <c r="FB57" i="2"/>
  <c r="FA57" i="2"/>
  <c r="EY57" i="2"/>
  <c r="EX57" i="2"/>
  <c r="EW57" i="2"/>
  <c r="EV57" i="2"/>
  <c r="EU57" i="2"/>
  <c r="ET57" i="2"/>
  <c r="ES57" i="2"/>
  <c r="ER57" i="2"/>
  <c r="EQ57" i="2"/>
  <c r="EP57" i="2"/>
  <c r="EN57" i="2"/>
  <c r="EM57" i="2"/>
  <c r="EL57" i="2"/>
  <c r="EK57" i="2"/>
  <c r="EJ57" i="2"/>
  <c r="EI57" i="2"/>
  <c r="EH57" i="2"/>
  <c r="EG57" i="2"/>
  <c r="EF57" i="2"/>
  <c r="EE57" i="2"/>
  <c r="ED57" i="2"/>
  <c r="EC57" i="2"/>
  <c r="EB57" i="2"/>
  <c r="EA57" i="2"/>
  <c r="DZ57" i="2"/>
  <c r="DY57" i="2"/>
  <c r="DX57" i="2"/>
  <c r="DW57" i="2"/>
  <c r="DV57" i="2"/>
  <c r="DU57" i="2"/>
  <c r="DT57" i="2"/>
  <c r="DS57" i="2"/>
  <c r="DR57" i="2"/>
  <c r="DQ57" i="2"/>
  <c r="DP57" i="2"/>
  <c r="DO57" i="2"/>
  <c r="DN57" i="2"/>
  <c r="DM57" i="2"/>
  <c r="DL57" i="2"/>
  <c r="DK57" i="2"/>
  <c r="DJ57" i="2"/>
  <c r="DI57" i="2"/>
  <c r="DH57" i="2"/>
  <c r="DG57" i="2"/>
  <c r="DF57" i="2"/>
  <c r="DE57" i="2"/>
  <c r="DD57" i="2"/>
  <c r="DC57" i="2"/>
  <c r="DB57" i="2"/>
  <c r="DA57" i="2"/>
  <c r="CZ57" i="2"/>
  <c r="CY57" i="2"/>
  <c r="CX57" i="2"/>
  <c r="CW57" i="2"/>
  <c r="CV57" i="2"/>
  <c r="CU57" i="2"/>
  <c r="CT57" i="2"/>
  <c r="CS57" i="2"/>
  <c r="CR57" i="2"/>
  <c r="CQ57" i="2"/>
  <c r="CP57" i="2"/>
  <c r="CO57" i="2"/>
  <c r="CN57" i="2"/>
  <c r="CM57" i="2"/>
  <c r="CL57" i="2"/>
  <c r="CK57" i="2"/>
  <c r="CJ57" i="2"/>
  <c r="CI57" i="2"/>
  <c r="CH57" i="2"/>
  <c r="CG57" i="2"/>
  <c r="CF57" i="2"/>
  <c r="CE57" i="2"/>
  <c r="CD57" i="2"/>
  <c r="CC57" i="2"/>
  <c r="CB57" i="2"/>
  <c r="CA57" i="2"/>
  <c r="BZ57" i="2"/>
  <c r="BY57" i="2"/>
  <c r="BX57" i="2"/>
  <c r="BW57" i="2"/>
  <c r="BV57" i="2"/>
  <c r="BU57" i="2"/>
  <c r="BT57" i="2"/>
  <c r="BS57" i="2"/>
  <c r="BR57" i="2"/>
  <c r="BQ57" i="2"/>
  <c r="BP57" i="2"/>
  <c r="BO57" i="2"/>
  <c r="BN57" i="2"/>
  <c r="BM57" i="2"/>
  <c r="BL57" i="2"/>
  <c r="BK57" i="2"/>
  <c r="BJ57" i="2"/>
  <c r="BI57" i="2"/>
  <c r="BH57" i="2"/>
  <c r="BG57" i="2"/>
  <c r="BF57" i="2"/>
  <c r="BE57" i="2"/>
  <c r="BD57" i="2"/>
  <c r="BC57" i="2"/>
  <c r="BB57" i="2"/>
  <c r="AZ57" i="2"/>
  <c r="AY57" i="2"/>
  <c r="AX57" i="2"/>
  <c r="AW57" i="2"/>
  <c r="AV57" i="2"/>
  <c r="AU57" i="2"/>
  <c r="AT57" i="2"/>
  <c r="AS57" i="2"/>
  <c r="AR57" i="2"/>
  <c r="AQ57" i="2"/>
  <c r="AP57" i="2"/>
  <c r="AO57" i="2"/>
  <c r="AN57" i="2"/>
  <c r="AM57" i="2"/>
  <c r="AL57" i="2"/>
  <c r="AK57" i="2"/>
  <c r="AJ57" i="2"/>
  <c r="AI57" i="2"/>
  <c r="AH57" i="2"/>
  <c r="AG57" i="2"/>
  <c r="AF57" i="2"/>
  <c r="AE57" i="2"/>
  <c r="AD57" i="2"/>
  <c r="AC57" i="2"/>
  <c r="AB57" i="2"/>
  <c r="AA57" i="2"/>
  <c r="Z57" i="2"/>
  <c r="Y57" i="2"/>
  <c r="X57" i="2"/>
  <c r="W57" i="2"/>
  <c r="V57" i="2"/>
  <c r="U57" i="2"/>
  <c r="EY54" i="2"/>
  <c r="EX54" i="2"/>
  <c r="EW54" i="2"/>
  <c r="EV54" i="2"/>
  <c r="EU54" i="2"/>
  <c r="ET54" i="2"/>
  <c r="ES54" i="2"/>
  <c r="ER54" i="2"/>
  <c r="EQ54" i="2"/>
  <c r="EP54" i="2"/>
  <c r="CU54" i="2"/>
  <c r="CT54" i="2"/>
  <c r="BK54" i="2"/>
  <c r="AZ54" i="2"/>
  <c r="AY54" i="2"/>
  <c r="AX54" i="2"/>
  <c r="AW54" i="2"/>
  <c r="AV54" i="2"/>
  <c r="AU54" i="2"/>
  <c r="AT54" i="2"/>
  <c r="AS54" i="2"/>
  <c r="AR54" i="2"/>
  <c r="AQ54" i="2"/>
  <c r="AP54" i="2"/>
  <c r="AO54" i="2"/>
  <c r="AM54" i="2"/>
  <c r="AK54" i="2"/>
  <c r="AI54" i="2"/>
  <c r="AG54" i="2"/>
  <c r="AE54" i="2"/>
  <c r="AC54" i="2"/>
  <c r="AA54" i="2"/>
  <c r="Y54" i="2"/>
  <c r="W54" i="2"/>
  <c r="U54" i="2"/>
  <c r="EY51" i="2"/>
  <c r="EX51" i="2"/>
  <c r="EW51" i="2"/>
  <c r="EV51" i="2"/>
  <c r="EU51" i="2"/>
  <c r="ET51" i="2"/>
  <c r="ES51" i="2"/>
  <c r="ER51" i="2"/>
  <c r="EQ51" i="2"/>
  <c r="EP51" i="2"/>
  <c r="CU51" i="2"/>
  <c r="CT51" i="2"/>
  <c r="BK51" i="2"/>
  <c r="BB51" i="2"/>
  <c r="AZ51" i="2"/>
  <c r="AY51" i="2"/>
  <c r="AX51" i="2"/>
  <c r="AW51" i="2"/>
  <c r="AV51" i="2"/>
  <c r="AU51" i="2"/>
  <c r="AT51" i="2"/>
  <c r="AS51" i="2"/>
  <c r="AR51" i="2"/>
  <c r="AQ51" i="2"/>
  <c r="AP51" i="2"/>
  <c r="AO51" i="2"/>
  <c r="AM51" i="2"/>
  <c r="AK51" i="2"/>
  <c r="AI51" i="2"/>
  <c r="AG51" i="2"/>
  <c r="AE51" i="2"/>
  <c r="AC51" i="2"/>
  <c r="AA51" i="2"/>
  <c r="Y51" i="2"/>
  <c r="W51" i="2"/>
  <c r="U51" i="2"/>
  <c r="C158" i="31"/>
  <c r="S145" i="2"/>
  <c r="S144" i="2"/>
  <c r="FI145" i="2"/>
  <c r="FH145" i="2"/>
  <c r="FG145" i="2"/>
  <c r="FF145" i="2"/>
  <c r="FE145" i="2"/>
  <c r="FC145" i="2"/>
  <c r="FB145" i="2"/>
  <c r="FA145" i="2"/>
  <c r="FJ145" i="2"/>
  <c r="FD145" i="2"/>
  <c r="EJ145" i="2"/>
  <c r="ED145" i="2"/>
  <c r="EC145" i="2"/>
  <c r="EB145" i="2"/>
  <c r="EA145" i="2"/>
  <c r="DZ145" i="2"/>
  <c r="DY145" i="2"/>
  <c r="DX145" i="2"/>
  <c r="DW145" i="2"/>
  <c r="DU145" i="2"/>
  <c r="DT145" i="2"/>
  <c r="DS145" i="2"/>
  <c r="DR145" i="2"/>
  <c r="DQ145" i="2"/>
  <c r="DP145" i="2"/>
  <c r="DO145" i="2"/>
  <c r="DN145" i="2"/>
  <c r="DL145" i="2"/>
  <c r="DK145" i="2"/>
  <c r="DJ145" i="2"/>
  <c r="DI145" i="2"/>
  <c r="DH145" i="2"/>
  <c r="DG145" i="2"/>
  <c r="DF145" i="2"/>
  <c r="DE145" i="2"/>
  <c r="DC145" i="2"/>
  <c r="DB145" i="2"/>
  <c r="DA145" i="2"/>
  <c r="CZ145" i="2"/>
  <c r="CY145" i="2"/>
  <c r="CX145" i="2"/>
  <c r="CW145" i="2"/>
  <c r="CV145" i="2"/>
  <c r="CQ145" i="2"/>
  <c r="CO145" i="2"/>
  <c r="CM145" i="2"/>
  <c r="CL145" i="2"/>
  <c r="CK145" i="2"/>
  <c r="CH145" i="2"/>
  <c r="CF145" i="2"/>
  <c r="CD145" i="2"/>
  <c r="CC145" i="2"/>
  <c r="CB145" i="2"/>
  <c r="BY145" i="2"/>
  <c r="BW145" i="2"/>
  <c r="BU145" i="2"/>
  <c r="BT145" i="2"/>
  <c r="BS145" i="2"/>
  <c r="BP145" i="2"/>
  <c r="BN145" i="2"/>
  <c r="BL145" i="2"/>
  <c r="BJ145" i="2"/>
  <c r="BG145" i="2"/>
  <c r="BE145" i="2"/>
  <c r="BC145" i="2"/>
  <c r="BA145" i="2"/>
  <c r="AN145" i="2"/>
  <c r="CP145" i="2" s="1"/>
  <c r="AL145" i="2"/>
  <c r="CN145" i="2" s="1"/>
  <c r="AJ145" i="2"/>
  <c r="CG145" i="2" s="1"/>
  <c r="AH145" i="2"/>
  <c r="CE145" i="2" s="1"/>
  <c r="AF145" i="2"/>
  <c r="BX145" i="2" s="1"/>
  <c r="AD145" i="2"/>
  <c r="BV145" i="2" s="1"/>
  <c r="AB145" i="2"/>
  <c r="BO145" i="2" s="1"/>
  <c r="Z145" i="2"/>
  <c r="BM145" i="2" s="1"/>
  <c r="X145" i="2"/>
  <c r="BF145" i="2" s="1"/>
  <c r="V145" i="2"/>
  <c r="BD145" i="2" s="1"/>
  <c r="FD144" i="2"/>
  <c r="EU84" i="2"/>
  <c r="CC51" i="2"/>
  <c r="CC144" i="2"/>
  <c r="BB54" i="2"/>
  <c r="C157" i="31"/>
  <c r="BK144" i="2"/>
  <c r="FI144" i="2"/>
  <c r="FH144" i="2"/>
  <c r="FG144" i="2"/>
  <c r="FF144" i="2"/>
  <c r="FE144" i="2"/>
  <c r="FC144" i="2"/>
  <c r="FB144" i="2"/>
  <c r="FA144" i="2"/>
  <c r="FJ144" i="2"/>
  <c r="EJ144" i="2"/>
  <c r="ED144" i="2"/>
  <c r="EC144" i="2"/>
  <c r="EB144" i="2"/>
  <c r="EA144" i="2"/>
  <c r="DZ144" i="2"/>
  <c r="DY144" i="2"/>
  <c r="DX144" i="2"/>
  <c r="DW144" i="2"/>
  <c r="DU144" i="2"/>
  <c r="DT144" i="2"/>
  <c r="DS144" i="2"/>
  <c r="DR144" i="2"/>
  <c r="DQ144" i="2"/>
  <c r="DP144" i="2"/>
  <c r="DO144" i="2"/>
  <c r="DN144" i="2"/>
  <c r="DL144" i="2"/>
  <c r="DK144" i="2"/>
  <c r="DJ144" i="2"/>
  <c r="DI144" i="2"/>
  <c r="DH144" i="2"/>
  <c r="DG144" i="2"/>
  <c r="DF144" i="2"/>
  <c r="DE144" i="2"/>
  <c r="DC144" i="2"/>
  <c r="DB144" i="2"/>
  <c r="DA144" i="2"/>
  <c r="CZ144" i="2"/>
  <c r="CY144" i="2"/>
  <c r="CX144" i="2"/>
  <c r="CW144" i="2"/>
  <c r="CV144" i="2"/>
  <c r="CQ144" i="2"/>
  <c r="CO144" i="2"/>
  <c r="CM144" i="2"/>
  <c r="CL144" i="2"/>
  <c r="CK144" i="2"/>
  <c r="CH144" i="2"/>
  <c r="CF144" i="2"/>
  <c r="CD144" i="2"/>
  <c r="CB144" i="2"/>
  <c r="BY144" i="2"/>
  <c r="BW144" i="2"/>
  <c r="BU144" i="2"/>
  <c r="BT144" i="2"/>
  <c r="BP144" i="2"/>
  <c r="BN144" i="2"/>
  <c r="BL144" i="2"/>
  <c r="BJ144" i="2"/>
  <c r="BG144" i="2"/>
  <c r="BE144" i="2"/>
  <c r="BC144" i="2"/>
  <c r="BA144" i="2"/>
  <c r="AN144" i="2"/>
  <c r="CP144" i="2" s="1"/>
  <c r="AL144" i="2"/>
  <c r="CN144" i="2" s="1"/>
  <c r="AJ144" i="2"/>
  <c r="CG144" i="2" s="1"/>
  <c r="AH144" i="2"/>
  <c r="CE144" i="2" s="1"/>
  <c r="AF144" i="2"/>
  <c r="BX144" i="2" s="1"/>
  <c r="AD144" i="2"/>
  <c r="BV144" i="2" s="1"/>
  <c r="AB144" i="2"/>
  <c r="BO144" i="2" s="1"/>
  <c r="Z144" i="2"/>
  <c r="BM144" i="2" s="1"/>
  <c r="X144" i="2"/>
  <c r="BF144" i="2" s="1"/>
  <c r="V144" i="2"/>
  <c r="BD144" i="2" s="1"/>
  <c r="CK263" i="2"/>
  <c r="CS245" i="2"/>
  <c r="CR245" i="2"/>
  <c r="CK245" i="2"/>
  <c r="CL245" i="2"/>
  <c r="CK249" i="2"/>
  <c r="CL249" i="2"/>
  <c r="CM249" i="2"/>
  <c r="CN249" i="2"/>
  <c r="CO249" i="2"/>
  <c r="CP249" i="2"/>
  <c r="CQ249" i="2"/>
  <c r="CR249" i="2"/>
  <c r="CS249" i="2"/>
  <c r="CK255" i="2"/>
  <c r="CL255" i="2"/>
  <c r="CM255" i="2"/>
  <c r="CN255" i="2"/>
  <c r="CO255" i="2"/>
  <c r="CP255" i="2"/>
  <c r="CQ255" i="2"/>
  <c r="CR255" i="2"/>
  <c r="CS255" i="2"/>
  <c r="CK264" i="2"/>
  <c r="CK265" i="2"/>
  <c r="CK266" i="2"/>
  <c r="CK267" i="2"/>
  <c r="BZ144" i="2" l="1"/>
  <c r="BH145" i="2"/>
  <c r="BI145" i="2" s="1"/>
  <c r="CI145" i="2"/>
  <c r="CJ145" i="2" s="1"/>
  <c r="BQ145" i="2"/>
  <c r="BR145" i="2" s="1"/>
  <c r="CI144" i="2"/>
  <c r="BQ144" i="2"/>
  <c r="BH144" i="2"/>
  <c r="BS146" i="2"/>
  <c r="BS171" i="2" s="1"/>
  <c r="BZ145" i="2"/>
  <c r="CA145" i="2" s="1"/>
  <c r="BA146" i="2"/>
  <c r="BA171" i="2" s="1"/>
  <c r="FS145" i="2"/>
  <c r="AR58" i="2"/>
  <c r="FR145" i="2"/>
  <c r="DQ146" i="2"/>
  <c r="AQ58" i="2"/>
  <c r="CT79" i="2"/>
  <c r="CU79" i="2"/>
  <c r="FR144" i="2"/>
  <c r="FS144" i="2"/>
  <c r="DP146" i="2"/>
  <c r="FV144" i="2"/>
  <c r="FV145" i="2"/>
  <c r="AA59" i="31"/>
  <c r="AC59" i="31" s="1"/>
  <c r="BP146" i="2"/>
  <c r="BP171" i="2" s="1"/>
  <c r="BV146" i="2"/>
  <c r="BV171" i="2" s="1"/>
  <c r="BE146" i="2"/>
  <c r="BE171" i="2" s="1"/>
  <c r="AC58" i="2"/>
  <c r="BF146" i="2"/>
  <c r="BF171" i="2" s="1"/>
  <c r="BG146" i="2"/>
  <c r="BG171" i="2" s="1"/>
  <c r="DO146" i="2"/>
  <c r="CN146" i="2"/>
  <c r="CN171" i="2" s="1"/>
  <c r="DT146" i="2"/>
  <c r="CQ146" i="2"/>
  <c r="CQ171" i="2" s="1"/>
  <c r="DI146" i="2"/>
  <c r="AN146" i="2"/>
  <c r="DK146" i="2"/>
  <c r="BL146" i="2"/>
  <c r="BL171" i="2" s="1"/>
  <c r="FL101" i="2"/>
  <c r="FL149" i="2" s="1"/>
  <c r="FM101" i="2"/>
  <c r="FM149" i="2" s="1"/>
  <c r="CP146" i="2"/>
  <c r="CP171" i="2" s="1"/>
  <c r="DJ146" i="2"/>
  <c r="AO58" i="2"/>
  <c r="FN101" i="2"/>
  <c r="FN149" i="2" s="1"/>
  <c r="DG146" i="2"/>
  <c r="DH146" i="2"/>
  <c r="AE58" i="2"/>
  <c r="BW146" i="2"/>
  <c r="BW171" i="2" s="1"/>
  <c r="BY146" i="2"/>
  <c r="BY171" i="2" s="1"/>
  <c r="FB146" i="2"/>
  <c r="FC146" i="2"/>
  <c r="CW146" i="2"/>
  <c r="DX146" i="2"/>
  <c r="BJ146" i="2"/>
  <c r="BJ171" i="2" s="1"/>
  <c r="BK70" i="2"/>
  <c r="AB146" i="2"/>
  <c r="CX146" i="2"/>
  <c r="FF146" i="2"/>
  <c r="FK101" i="2"/>
  <c r="FK149" i="2" s="1"/>
  <c r="AD146" i="2"/>
  <c r="DZ146" i="2"/>
  <c r="DN146" i="2"/>
  <c r="BM146" i="2"/>
  <c r="BM171" i="2" s="1"/>
  <c r="CH146" i="2"/>
  <c r="CH171" i="2" s="1"/>
  <c r="EB146" i="2"/>
  <c r="BO146" i="2"/>
  <c r="BO171" i="2" s="1"/>
  <c r="CK146" i="2"/>
  <c r="CK171" i="2" s="1"/>
  <c r="BU146" i="2"/>
  <c r="BU171" i="2" s="1"/>
  <c r="AT101" i="2"/>
  <c r="BX146" i="2"/>
  <c r="BX171" i="2" s="1"/>
  <c r="CM146" i="2"/>
  <c r="CM171" i="2" s="1"/>
  <c r="DR146" i="2"/>
  <c r="EJ146" i="2"/>
  <c r="CO209" i="2" s="1"/>
  <c r="FE146" i="2"/>
  <c r="DY146" i="2"/>
  <c r="CD146" i="2"/>
  <c r="CD171" i="2" s="1"/>
  <c r="CY146" i="2"/>
  <c r="DL146" i="2"/>
  <c r="CF146" i="2"/>
  <c r="CF171" i="2" s="1"/>
  <c r="CZ146" i="2"/>
  <c r="EA146" i="2"/>
  <c r="DA146" i="2"/>
  <c r="DB146" i="2"/>
  <c r="EC146" i="2"/>
  <c r="FO101" i="2"/>
  <c r="FO149" i="2" s="1"/>
  <c r="BN146" i="2"/>
  <c r="BN171" i="2" s="1"/>
  <c r="DC146" i="2"/>
  <c r="ED146" i="2"/>
  <c r="CO146" i="2"/>
  <c r="CO171" i="2" s="1"/>
  <c r="DF146" i="2"/>
  <c r="DS146" i="2"/>
  <c r="BD146" i="2"/>
  <c r="BD171" i="2" s="1"/>
  <c r="BC146" i="2"/>
  <c r="BC171" i="2" s="1"/>
  <c r="ES101" i="2"/>
  <c r="ET101" i="2"/>
  <c r="U101" i="2"/>
  <c r="BK146" i="2"/>
  <c r="BK171" i="2" s="1"/>
  <c r="FI146" i="2"/>
  <c r="BT146" i="2"/>
  <c r="BT171" i="2" s="1"/>
  <c r="FA146" i="2"/>
  <c r="DU146" i="2"/>
  <c r="CV146" i="2"/>
  <c r="DW146" i="2"/>
  <c r="CE146" i="2"/>
  <c r="CE171" i="2" s="1"/>
  <c r="CG146" i="2"/>
  <c r="CG171" i="2" s="1"/>
  <c r="Y101" i="2"/>
  <c r="AX101" i="2"/>
  <c r="EW101" i="2"/>
  <c r="AF146" i="2"/>
  <c r="CB146" i="2"/>
  <c r="CB171" i="2" s="1"/>
  <c r="AT58" i="2"/>
  <c r="ET58" i="2"/>
  <c r="AA101" i="2"/>
  <c r="AM101" i="2"/>
  <c r="AY101" i="2"/>
  <c r="EX101" i="2"/>
  <c r="W58" i="2"/>
  <c r="AI58" i="2"/>
  <c r="AU58" i="2"/>
  <c r="EU58" i="2"/>
  <c r="AZ101" i="2"/>
  <c r="CT101" i="2"/>
  <c r="V146" i="2"/>
  <c r="AH146" i="2"/>
  <c r="BB146" i="2"/>
  <c r="BB171" i="2" s="1"/>
  <c r="FG146" i="2"/>
  <c r="AV58" i="2"/>
  <c r="EV58" i="2"/>
  <c r="AC101" i="2"/>
  <c r="AO101" i="2"/>
  <c r="CU101" i="2"/>
  <c r="FH146" i="2"/>
  <c r="Y58" i="2"/>
  <c r="AK58" i="2"/>
  <c r="AW58" i="2"/>
  <c r="EW58" i="2"/>
  <c r="AP101" i="2"/>
  <c r="X146" i="2"/>
  <c r="AJ146" i="2"/>
  <c r="AX58" i="2"/>
  <c r="EX58" i="2"/>
  <c r="AE101" i="2"/>
  <c r="AQ101" i="2"/>
  <c r="EP101" i="2"/>
  <c r="CL146" i="2"/>
  <c r="CL171" i="2" s="1"/>
  <c r="AA58" i="2"/>
  <c r="AM58" i="2"/>
  <c r="AY58" i="2"/>
  <c r="EY58" i="2"/>
  <c r="AR101" i="2"/>
  <c r="EQ101" i="2"/>
  <c r="Z146" i="2"/>
  <c r="AL146" i="2"/>
  <c r="M158" i="31"/>
  <c r="AP58" i="2"/>
  <c r="EP58" i="2"/>
  <c r="AI101" i="2"/>
  <c r="AU101" i="2"/>
  <c r="BB70" i="2"/>
  <c r="S158" i="31"/>
  <c r="EQ58" i="2"/>
  <c r="W101" i="2"/>
  <c r="AV101" i="2"/>
  <c r="EU101" i="2"/>
  <c r="EL145" i="2"/>
  <c r="CT58" i="2"/>
  <c r="ER58" i="2"/>
  <c r="AK101" i="2"/>
  <c r="AW101" i="2"/>
  <c r="U58" i="2"/>
  <c r="AG58" i="2"/>
  <c r="AS58" i="2"/>
  <c r="CU58" i="2"/>
  <c r="ES58" i="2"/>
  <c r="CC146" i="2"/>
  <c r="CC171" i="2" s="1"/>
  <c r="DE146" i="2"/>
  <c r="DV145" i="2"/>
  <c r="AZ58" i="2"/>
  <c r="AG101" i="2"/>
  <c r="AS101" i="2"/>
  <c r="ER101" i="2"/>
  <c r="FJ146" i="2"/>
  <c r="FD146" i="2"/>
  <c r="DM145" i="2"/>
  <c r="EG145" i="2"/>
  <c r="I158" i="31" s="1"/>
  <c r="DD145" i="2"/>
  <c r="EE145" i="2"/>
  <c r="X158" i="31"/>
  <c r="Y158" i="31"/>
  <c r="F158" i="31"/>
  <c r="B31" i="7"/>
  <c r="E31" i="7" s="1"/>
  <c r="U158" i="31"/>
  <c r="D31" i="7"/>
  <c r="T158" i="31"/>
  <c r="V158" i="31"/>
  <c r="D158" i="31"/>
  <c r="W158" i="31"/>
  <c r="Y157" i="31"/>
  <c r="CR145" i="2"/>
  <c r="CS145" i="2" s="1"/>
  <c r="EK145" i="2"/>
  <c r="N158" i="31" s="1"/>
  <c r="EI145" i="2"/>
  <c r="L158" i="31" s="1"/>
  <c r="EH145" i="2"/>
  <c r="K158" i="31" s="1"/>
  <c r="EF145" i="2"/>
  <c r="X157" i="31"/>
  <c r="EK144" i="2"/>
  <c r="D157" i="31"/>
  <c r="D30" i="7"/>
  <c r="F157" i="31"/>
  <c r="M157" i="31"/>
  <c r="EL144" i="2"/>
  <c r="S157" i="31"/>
  <c r="EH144" i="2"/>
  <c r="T157" i="31"/>
  <c r="W157" i="31"/>
  <c r="U157" i="31"/>
  <c r="B30" i="7"/>
  <c r="V157" i="31"/>
  <c r="EG144" i="2"/>
  <c r="DD144" i="2"/>
  <c r="EF144" i="2"/>
  <c r="CR144" i="2"/>
  <c r="EE144" i="2"/>
  <c r="DM144" i="2"/>
  <c r="DV144" i="2"/>
  <c r="EI144" i="2"/>
  <c r="CT149" i="2" l="1"/>
  <c r="CT151" i="2" s="1"/>
  <c r="CT152" i="2" s="1"/>
  <c r="CU149" i="2"/>
  <c r="CU151" i="2" s="1"/>
  <c r="CU152" i="2" s="1"/>
  <c r="AE59" i="31"/>
  <c r="FU144" i="2"/>
  <c r="EF146" i="2"/>
  <c r="H158" i="31"/>
  <c r="E158" i="31" s="1"/>
  <c r="FU145" i="2"/>
  <c r="EH146" i="2"/>
  <c r="CM209" i="2" s="1"/>
  <c r="EK146" i="2"/>
  <c r="CP209" i="2" s="1"/>
  <c r="BQ146" i="2"/>
  <c r="BQ171" i="2" s="1"/>
  <c r="DV146" i="2"/>
  <c r="DM146" i="2"/>
  <c r="K157" i="31"/>
  <c r="EE146" i="2"/>
  <c r="N157" i="31"/>
  <c r="EL146" i="2"/>
  <c r="CQ209" i="2" s="1"/>
  <c r="BH146" i="2"/>
  <c r="BH171" i="2" s="1"/>
  <c r="H157" i="31"/>
  <c r="DD146" i="2"/>
  <c r="I157" i="31"/>
  <c r="EG146" i="2"/>
  <c r="CL209" i="2" s="1"/>
  <c r="CS144" i="2"/>
  <c r="CS146" i="2" s="1"/>
  <c r="CS171" i="2" s="1"/>
  <c r="CR146" i="2"/>
  <c r="CR171" i="2" s="1"/>
  <c r="CJ144" i="2"/>
  <c r="CJ146" i="2" s="1"/>
  <c r="CJ171" i="2" s="1"/>
  <c r="CI146" i="2"/>
  <c r="CI171" i="2" s="1"/>
  <c r="CA144" i="2"/>
  <c r="CA146" i="2" s="1"/>
  <c r="CA171" i="2" s="1"/>
  <c r="BZ146" i="2"/>
  <c r="BZ171" i="2" s="1"/>
  <c r="L157" i="31"/>
  <c r="EI146" i="2"/>
  <c r="CN209" i="2" s="1"/>
  <c r="BR144" i="2"/>
  <c r="BR146" i="2" s="1"/>
  <c r="BR171" i="2" s="1"/>
  <c r="EM145" i="2"/>
  <c r="EN145" i="2" s="1"/>
  <c r="EM144" i="2"/>
  <c r="E30" i="7"/>
  <c r="BI144" i="2"/>
  <c r="BI146" i="2" s="1"/>
  <c r="BI171" i="2" s="1"/>
  <c r="CK209" i="2" l="1"/>
  <c r="CK257" i="2"/>
  <c r="R158" i="31"/>
  <c r="Z158" i="31" s="1"/>
  <c r="J158" i="31"/>
  <c r="Q158" i="31" s="1"/>
  <c r="FT145" i="2"/>
  <c r="H160" i="31"/>
  <c r="E157" i="31"/>
  <c r="J157" i="31"/>
  <c r="Q157" i="31" s="1"/>
  <c r="EN144" i="2"/>
  <c r="EN146" i="2" s="1"/>
  <c r="CS209" i="2" s="1"/>
  <c r="EM146" i="2"/>
  <c r="CR209" i="2" s="1"/>
  <c r="R157" i="31"/>
  <c r="Z157" i="31" s="1"/>
  <c r="AA158" i="31" l="1"/>
  <c r="AC158" i="31" s="1"/>
  <c r="FT144" i="2"/>
  <c r="AA157" i="31"/>
  <c r="AC157" i="31" s="1"/>
  <c r="AE158" i="31" l="1"/>
  <c r="AD158" i="31"/>
  <c r="AD157" i="31"/>
  <c r="AE157" i="31"/>
  <c r="AC160" i="31"/>
  <c r="AA160" i="31"/>
  <c r="EI158" i="2"/>
  <c r="CM83" i="2"/>
  <c r="EJ10" i="2"/>
  <c r="EJ15" i="2"/>
  <c r="EJ18" i="2"/>
  <c r="EJ25" i="2"/>
  <c r="EJ23" i="2"/>
  <c r="EJ22" i="2"/>
  <c r="EJ31" i="2"/>
  <c r="EJ30" i="2"/>
  <c r="EJ29" i="2"/>
  <c r="EJ35" i="2"/>
  <c r="EJ38" i="2" s="1"/>
  <c r="EJ41" i="2"/>
  <c r="EJ45" i="2"/>
  <c r="EJ43" i="2"/>
  <c r="EJ51" i="2"/>
  <c r="EJ53" i="2"/>
  <c r="EJ54" i="2" s="1"/>
  <c r="EJ83" i="2"/>
  <c r="EJ87" i="2"/>
  <c r="EJ86" i="2"/>
  <c r="EJ91" i="2" s="1"/>
  <c r="EJ95" i="2"/>
  <c r="EJ97" i="2" s="1"/>
  <c r="EJ114" i="2"/>
  <c r="EJ117" i="2"/>
  <c r="EJ125" i="2"/>
  <c r="EJ121" i="2"/>
  <c r="EJ134" i="2"/>
  <c r="EJ132" i="2"/>
  <c r="EJ129" i="2"/>
  <c r="EJ12" i="2" l="1"/>
  <c r="EJ19" i="2" s="1"/>
  <c r="EJ84" i="2"/>
  <c r="EJ32" i="2"/>
  <c r="EJ70" i="2"/>
  <c r="EJ48" i="2"/>
  <c r="EJ58" i="2" s="1"/>
  <c r="EJ126" i="2"/>
  <c r="EJ135" i="2"/>
  <c r="EJ26" i="2"/>
  <c r="EJ75" i="2"/>
  <c r="EG75" i="2"/>
  <c r="EJ72" i="2"/>
  <c r="EJ73" i="2" s="1"/>
  <c r="EG72" i="2"/>
  <c r="FI95" i="2"/>
  <c r="FH95" i="2"/>
  <c r="FG95" i="2"/>
  <c r="FF95" i="2"/>
  <c r="FE95" i="2"/>
  <c r="FC95" i="2"/>
  <c r="FB95" i="2"/>
  <c r="FA95" i="2"/>
  <c r="FJ95" i="2"/>
  <c r="FD95" i="2"/>
  <c r="EJ101" i="2" l="1"/>
  <c r="FV95" i="2"/>
  <c r="EN72" i="2"/>
  <c r="EN73" i="2" s="1"/>
  <c r="EG73" i="2"/>
  <c r="EN75" i="2"/>
  <c r="FT72" i="2" l="1"/>
  <c r="L95" i="2" l="1"/>
  <c r="O43" i="31"/>
  <c r="K38" i="2"/>
  <c r="J38" i="2"/>
  <c r="AB160" i="31" l="1"/>
  <c r="AD160" i="31" s="1"/>
  <c r="P160" i="31"/>
  <c r="O160" i="31"/>
  <c r="C156" i="31"/>
  <c r="CO257" i="2"/>
  <c r="K146" i="2"/>
  <c r="J146" i="2"/>
  <c r="L146" i="2"/>
  <c r="C106" i="31"/>
  <c r="W106" i="31" s="1"/>
  <c r="AN95" i="2"/>
  <c r="CP95" i="2" s="1"/>
  <c r="AL95" i="2"/>
  <c r="CN95" i="2" s="1"/>
  <c r="AJ95" i="2"/>
  <c r="CG95" i="2" s="1"/>
  <c r="AH95" i="2"/>
  <c r="CE95" i="2" s="1"/>
  <c r="AF95" i="2"/>
  <c r="BX95" i="2" s="1"/>
  <c r="AD95" i="2"/>
  <c r="BV95" i="2" s="1"/>
  <c r="AB95" i="2"/>
  <c r="BO95" i="2" s="1"/>
  <c r="Z95" i="2"/>
  <c r="X95" i="2"/>
  <c r="BF95" i="2" s="1"/>
  <c r="V95" i="2"/>
  <c r="BD95" i="2" s="1"/>
  <c r="ED95" i="2"/>
  <c r="EC95" i="2"/>
  <c r="EB95" i="2"/>
  <c r="EA95" i="2"/>
  <c r="DZ95" i="2"/>
  <c r="DY95" i="2"/>
  <c r="DX95" i="2"/>
  <c r="DW95" i="2"/>
  <c r="DU95" i="2"/>
  <c r="DT95" i="2"/>
  <c r="DS95" i="2"/>
  <c r="DR95" i="2"/>
  <c r="DQ95" i="2"/>
  <c r="DP95" i="2"/>
  <c r="DO95" i="2"/>
  <c r="DN95" i="2"/>
  <c r="DL95" i="2"/>
  <c r="DK95" i="2"/>
  <c r="DJ95" i="2"/>
  <c r="DI95" i="2"/>
  <c r="DH95" i="2"/>
  <c r="DG95" i="2"/>
  <c r="DF95" i="2"/>
  <c r="DE95" i="2"/>
  <c r="DC95" i="2"/>
  <c r="DB95" i="2"/>
  <c r="DA95" i="2"/>
  <c r="CZ95" i="2"/>
  <c r="CY95" i="2"/>
  <c r="CX95" i="2"/>
  <c r="CW95" i="2"/>
  <c r="CV95" i="2"/>
  <c r="CQ95" i="2"/>
  <c r="CO95" i="2"/>
  <c r="CM95" i="2"/>
  <c r="CL95" i="2"/>
  <c r="CK95" i="2"/>
  <c r="CH95" i="2"/>
  <c r="CF95" i="2"/>
  <c r="CD95" i="2"/>
  <c r="CC95" i="2"/>
  <c r="CB95" i="2"/>
  <c r="BY95" i="2"/>
  <c r="BW95" i="2"/>
  <c r="BU95" i="2"/>
  <c r="BS95" i="2"/>
  <c r="BP95" i="2"/>
  <c r="BN95" i="2"/>
  <c r="BL95" i="2"/>
  <c r="BJ95" i="2"/>
  <c r="BG95" i="2"/>
  <c r="BE95" i="2"/>
  <c r="BC95" i="2"/>
  <c r="BA95" i="2"/>
  <c r="CI95" i="2" l="1"/>
  <c r="CJ95" i="2" s="1"/>
  <c r="BZ95" i="2"/>
  <c r="CA95" i="2" s="1"/>
  <c r="BH95" i="2"/>
  <c r="FS95" i="2"/>
  <c r="CR95" i="2"/>
  <c r="CS95" i="2" s="1"/>
  <c r="BM95" i="2"/>
  <c r="EF95" i="2"/>
  <c r="FU95" i="2" s="1"/>
  <c r="EH95" i="2"/>
  <c r="EG95" i="2"/>
  <c r="I106" i="31" s="1"/>
  <c r="EL95" i="2"/>
  <c r="EK95" i="2"/>
  <c r="N106" i="31" s="1"/>
  <c r="S160" i="31"/>
  <c r="T160" i="31"/>
  <c r="CQ257" i="2"/>
  <c r="M160" i="31"/>
  <c r="CL257" i="2"/>
  <c r="CP257" i="2"/>
  <c r="X106" i="31"/>
  <c r="Y106" i="31"/>
  <c r="B29" i="7"/>
  <c r="E29" i="7" s="1"/>
  <c r="D29" i="7"/>
  <c r="M106" i="31"/>
  <c r="P106" i="31"/>
  <c r="S106" i="31"/>
  <c r="DV95" i="2"/>
  <c r="EE95" i="2"/>
  <c r="T106" i="31"/>
  <c r="D106" i="31"/>
  <c r="U106" i="31"/>
  <c r="F106" i="31"/>
  <c r="V106" i="31"/>
  <c r="G106" i="31"/>
  <c r="DD95" i="2"/>
  <c r="DM95" i="2"/>
  <c r="FR95" i="2" l="1"/>
  <c r="BQ95" i="2"/>
  <c r="BR95" i="2" s="1"/>
  <c r="EI95" i="2"/>
  <c r="L106" i="31" s="1"/>
  <c r="H106" i="31"/>
  <c r="K106" i="31"/>
  <c r="Y160" i="31"/>
  <c r="K160" i="31"/>
  <c r="I160" i="31"/>
  <c r="V160" i="31"/>
  <c r="U160" i="31"/>
  <c r="W160" i="31"/>
  <c r="X160" i="31"/>
  <c r="N160" i="31"/>
  <c r="CM257" i="2"/>
  <c r="BI95" i="2"/>
  <c r="E106" i="31" l="1"/>
  <c r="R106" i="31"/>
  <c r="Z106" i="31" s="1"/>
  <c r="J106" i="31"/>
  <c r="Q106" i="31" s="1"/>
  <c r="EM95" i="2"/>
  <c r="EN95" i="2" s="1"/>
  <c r="FT95" i="2" s="1"/>
  <c r="CR257" i="2"/>
  <c r="CS257" i="2"/>
  <c r="CN257" i="2"/>
  <c r="BA242" i="2"/>
  <c r="AA106" i="31" l="1"/>
  <c r="AC106" i="31" s="1"/>
  <c r="J160" i="31"/>
  <c r="L160" i="31"/>
  <c r="AE106" i="31" l="1"/>
  <c r="AD106" i="31"/>
  <c r="Q160" i="31"/>
  <c r="Z160" i="31"/>
  <c r="R160" i="31"/>
  <c r="AE160" i="31" s="1"/>
  <c r="BG114" i="2" l="1"/>
  <c r="BC132" i="2"/>
  <c r="CM125" i="2"/>
  <c r="CM121" i="2"/>
  <c r="CM117" i="2"/>
  <c r="BL132" i="2"/>
  <c r="BL97" i="2"/>
  <c r="BL86" i="2"/>
  <c r="BL83" i="2"/>
  <c r="BP43" i="2"/>
  <c r="B3" i="7"/>
  <c r="B2" i="7"/>
  <c r="B1" i="7"/>
  <c r="DX51" i="2"/>
  <c r="DY51" i="2"/>
  <c r="DZ51" i="2"/>
  <c r="EA51" i="2"/>
  <c r="EB51" i="2"/>
  <c r="EC51" i="2"/>
  <c r="ED51" i="2"/>
  <c r="DW51" i="2"/>
  <c r="B3" i="31"/>
  <c r="D129" i="2"/>
  <c r="D128" i="2"/>
  <c r="D117" i="2"/>
  <c r="A115" i="2"/>
  <c r="D103" i="2"/>
  <c r="D87" i="2"/>
  <c r="D86" i="2"/>
  <c r="D83" i="2"/>
  <c r="D67" i="2"/>
  <c r="D53" i="2"/>
  <c r="D45" i="2"/>
  <c r="D43" i="2"/>
  <c r="D41" i="2"/>
  <c r="D40" i="2"/>
  <c r="D35" i="2"/>
  <c r="D34" i="2"/>
  <c r="D8" i="2"/>
  <c r="A34" i="2"/>
  <c r="D29" i="2"/>
  <c r="D30" i="2"/>
  <c r="D31" i="2"/>
  <c r="D28" i="2"/>
  <c r="A28" i="2"/>
  <c r="D22" i="2"/>
  <c r="D23" i="2"/>
  <c r="D25" i="2"/>
  <c r="D21" i="2"/>
  <c r="A21" i="2"/>
  <c r="D16" i="2"/>
  <c r="A16" i="2"/>
  <c r="B8" i="2"/>
  <c r="A8" i="2"/>
  <c r="D13" i="2"/>
  <c r="D10" i="2"/>
  <c r="B13" i="2"/>
  <c r="C15" i="2"/>
  <c r="B16" i="2"/>
  <c r="B21" i="2"/>
  <c r="B22" i="2"/>
  <c r="B23" i="2"/>
  <c r="B25" i="2"/>
  <c r="B28" i="2"/>
  <c r="B29" i="2"/>
  <c r="B30" i="2"/>
  <c r="B31" i="2"/>
  <c r="C32" i="2"/>
  <c r="C33" i="2"/>
  <c r="B34" i="2"/>
  <c r="B35" i="2"/>
  <c r="B40" i="2"/>
  <c r="B41" i="2"/>
  <c r="B43" i="2"/>
  <c r="B45" i="2"/>
  <c r="B49" i="2"/>
  <c r="B52" i="2"/>
  <c r="B53" i="2"/>
  <c r="B55" i="2"/>
  <c r="B59" i="2"/>
  <c r="B60" i="2"/>
  <c r="B61" i="2"/>
  <c r="B62" i="2"/>
  <c r="B63" i="2"/>
  <c r="B64" i="2"/>
  <c r="B66" i="2"/>
  <c r="B67" i="2"/>
  <c r="B71" i="2"/>
  <c r="B73" i="2"/>
  <c r="B74" i="2"/>
  <c r="B80" i="2"/>
  <c r="B81" i="2"/>
  <c r="B83" i="2"/>
  <c r="B86" i="2"/>
  <c r="B87" i="2"/>
  <c r="B92" i="2"/>
  <c r="B102" i="2"/>
  <c r="B103" i="2"/>
  <c r="B105" i="2"/>
  <c r="B108" i="2"/>
  <c r="B111" i="2"/>
  <c r="B115" i="2"/>
  <c r="B116" i="2"/>
  <c r="B117" i="2"/>
  <c r="B118" i="2"/>
  <c r="B120" i="2"/>
  <c r="B121" i="2"/>
  <c r="B125" i="2"/>
  <c r="B127" i="2"/>
  <c r="B128" i="2"/>
  <c r="B129" i="2"/>
  <c r="B130" i="2"/>
  <c r="B132" i="2"/>
  <c r="B133" i="2"/>
  <c r="B134" i="2"/>
  <c r="B136" i="2"/>
  <c r="B137" i="2"/>
  <c r="A13" i="2"/>
  <c r="B10" i="2"/>
  <c r="A22" i="2"/>
  <c r="A23" i="2"/>
  <c r="A25" i="2"/>
  <c r="A29" i="2"/>
  <c r="A30" i="2"/>
  <c r="A31" i="2"/>
  <c r="A35" i="2"/>
  <c r="A40" i="2"/>
  <c r="A41" i="2"/>
  <c r="A43" i="2"/>
  <c r="A45" i="2"/>
  <c r="A49" i="2"/>
  <c r="A52" i="2"/>
  <c r="A53" i="2"/>
  <c r="A55" i="2"/>
  <c r="A59" i="2"/>
  <c r="A60" i="2"/>
  <c r="A61" i="2"/>
  <c r="A62" i="2"/>
  <c r="A63" i="2"/>
  <c r="A64" i="2"/>
  <c r="A66" i="2"/>
  <c r="A67" i="2"/>
  <c r="A71" i="2"/>
  <c r="A73" i="2"/>
  <c r="A74" i="2"/>
  <c r="A80" i="2"/>
  <c r="A81" i="2"/>
  <c r="A83" i="2"/>
  <c r="A86" i="2"/>
  <c r="A87" i="2"/>
  <c r="A92" i="2"/>
  <c r="A102" i="2"/>
  <c r="A103" i="2"/>
  <c r="A105" i="2"/>
  <c r="A108" i="2"/>
  <c r="A111" i="2"/>
  <c r="A116" i="2"/>
  <c r="A117" i="2"/>
  <c r="A118" i="2"/>
  <c r="A120" i="2"/>
  <c r="A121" i="2"/>
  <c r="A125" i="2"/>
  <c r="A127" i="2"/>
  <c r="A128" i="2"/>
  <c r="A129" i="2"/>
  <c r="A130" i="2"/>
  <c r="A132" i="2"/>
  <c r="A133" i="2"/>
  <c r="A134" i="2"/>
  <c r="A136" i="2"/>
  <c r="A137" i="2"/>
  <c r="A10" i="2"/>
  <c r="CM126" i="2" l="1"/>
  <c r="C127" i="2"/>
  <c r="C10" i="2"/>
  <c r="C22" i="2"/>
  <c r="C108" i="2"/>
  <c r="C71" i="2"/>
  <c r="C55" i="2"/>
  <c r="C115" i="2"/>
  <c r="C105" i="2"/>
  <c r="C87" i="2"/>
  <c r="C134" i="2"/>
  <c r="C121" i="2"/>
  <c r="C137" i="2"/>
  <c r="C133" i="2"/>
  <c r="C120" i="2"/>
  <c r="C86" i="2"/>
  <c r="C67" i="2"/>
  <c r="C23" i="2"/>
  <c r="C128" i="2"/>
  <c r="C61" i="2"/>
  <c r="C21" i="2"/>
  <c r="C125" i="2"/>
  <c r="C111" i="2"/>
  <c r="C92" i="2"/>
  <c r="C73" i="2"/>
  <c r="C59" i="2"/>
  <c r="C41" i="2"/>
  <c r="C40" i="2"/>
  <c r="C136" i="2"/>
  <c r="C53" i="2"/>
  <c r="C35" i="2"/>
  <c r="C52" i="2"/>
  <c r="C118" i="2"/>
  <c r="C102" i="2"/>
  <c r="C64" i="2"/>
  <c r="C25" i="2"/>
  <c r="C8" i="2"/>
  <c r="C74" i="2"/>
  <c r="C60" i="2"/>
  <c r="C43" i="2"/>
  <c r="C31" i="2"/>
  <c r="C13" i="2"/>
  <c r="C28" i="2"/>
  <c r="C30" i="2"/>
  <c r="C132" i="2"/>
  <c r="C103" i="2"/>
  <c r="C83" i="2"/>
  <c r="C66" i="2"/>
  <c r="C49" i="2"/>
  <c r="C29" i="2"/>
  <c r="C130" i="2"/>
  <c r="C117" i="2"/>
  <c r="C81" i="2"/>
  <c r="C63" i="2"/>
  <c r="C45" i="2"/>
  <c r="C129" i="2"/>
  <c r="C116" i="2"/>
  <c r="C80" i="2"/>
  <c r="C62" i="2"/>
  <c r="C34" i="2"/>
  <c r="C16" i="2"/>
  <c r="E6" i="7" l="1"/>
  <c r="E7" i="7"/>
  <c r="E8" i="7"/>
  <c r="E9" i="7"/>
  <c r="E10" i="7"/>
  <c r="E11" i="7"/>
  <c r="E12" i="7"/>
  <c r="E13" i="7"/>
  <c r="E14" i="7"/>
  <c r="E15" i="7"/>
  <c r="E16" i="7"/>
  <c r="E17" i="7"/>
  <c r="BM202" i="2"/>
  <c r="BN202" i="2"/>
  <c r="BO202" i="2"/>
  <c r="BP202" i="2"/>
  <c r="BQ202" i="2"/>
  <c r="BR202" i="2"/>
  <c r="BS202" i="2"/>
  <c r="BT202" i="2"/>
  <c r="BU202" i="2"/>
  <c r="BV202" i="2"/>
  <c r="BW202" i="2"/>
  <c r="BX202" i="2"/>
  <c r="BY202" i="2"/>
  <c r="BZ202" i="2"/>
  <c r="CA202" i="2"/>
  <c r="CB202" i="2"/>
  <c r="CC202" i="2"/>
  <c r="CD202" i="2"/>
  <c r="CE202" i="2"/>
  <c r="CF202" i="2"/>
  <c r="CG202" i="2"/>
  <c r="CH202" i="2"/>
  <c r="CI202" i="2"/>
  <c r="CJ202" i="2"/>
  <c r="BS233" i="2"/>
  <c r="BT233" i="2"/>
  <c r="BU233" i="2"/>
  <c r="BV233" i="2"/>
  <c r="BW233" i="2"/>
  <c r="BX233" i="2"/>
  <c r="BY233" i="2"/>
  <c r="BZ233" i="2"/>
  <c r="CA233" i="2"/>
  <c r="CB233" i="2"/>
  <c r="CC233" i="2"/>
  <c r="CD233" i="2"/>
  <c r="CE233" i="2"/>
  <c r="CF233" i="2"/>
  <c r="CG233" i="2"/>
  <c r="CH233" i="2"/>
  <c r="CI233" i="2"/>
  <c r="CJ233" i="2"/>
  <c r="BT232" i="2"/>
  <c r="BU232" i="2"/>
  <c r="BV232" i="2"/>
  <c r="BW232" i="2"/>
  <c r="BX232" i="2"/>
  <c r="BY232" i="2"/>
  <c r="BZ232" i="2"/>
  <c r="CA232" i="2"/>
  <c r="CB232" i="2"/>
  <c r="CC232" i="2"/>
  <c r="CD232" i="2"/>
  <c r="CE232" i="2"/>
  <c r="CF232" i="2"/>
  <c r="CG232" i="2"/>
  <c r="CH232" i="2"/>
  <c r="CI232" i="2"/>
  <c r="CJ232" i="2"/>
  <c r="BO233" i="2"/>
  <c r="BP233" i="2"/>
  <c r="BQ233" i="2"/>
  <c r="BR233" i="2"/>
  <c r="BP232" i="2"/>
  <c r="BQ232" i="2"/>
  <c r="BR232" i="2"/>
  <c r="BS232" i="2"/>
  <c r="CG228" i="2"/>
  <c r="CH228" i="2"/>
  <c r="CI228" i="2"/>
  <c r="CJ228" i="2"/>
  <c r="CG229" i="2"/>
  <c r="CH229" i="2"/>
  <c r="CI229" i="2"/>
  <c r="CJ229" i="2"/>
  <c r="CG230" i="2"/>
  <c r="CH230" i="2"/>
  <c r="CI230" i="2"/>
  <c r="CJ230" i="2"/>
  <c r="BY228" i="2"/>
  <c r="BZ228" i="2"/>
  <c r="CA228" i="2"/>
  <c r="CB228" i="2"/>
  <c r="CC228" i="2"/>
  <c r="CD228" i="2"/>
  <c r="CE228" i="2"/>
  <c r="CF228" i="2"/>
  <c r="BY229" i="2"/>
  <c r="BZ229" i="2"/>
  <c r="CA229" i="2"/>
  <c r="CB229" i="2"/>
  <c r="CC229" i="2"/>
  <c r="CD229" i="2"/>
  <c r="CE229" i="2"/>
  <c r="CF229" i="2"/>
  <c r="BY230" i="2"/>
  <c r="BZ230" i="2"/>
  <c r="CA230" i="2"/>
  <c r="CB230" i="2"/>
  <c r="CC230" i="2"/>
  <c r="CD230" i="2"/>
  <c r="CE230" i="2"/>
  <c r="CF230" i="2"/>
  <c r="BV228" i="2"/>
  <c r="BW228" i="2"/>
  <c r="BX228" i="2"/>
  <c r="BV229" i="2"/>
  <c r="BW229" i="2"/>
  <c r="BX229" i="2"/>
  <c r="BV230" i="2"/>
  <c r="BW230" i="2"/>
  <c r="BX230" i="2"/>
  <c r="BQ228" i="2"/>
  <c r="BR228" i="2"/>
  <c r="BS228" i="2"/>
  <c r="BT228" i="2"/>
  <c r="BU228" i="2"/>
  <c r="BQ229" i="2"/>
  <c r="BR229" i="2"/>
  <c r="BS229" i="2"/>
  <c r="BT229" i="2"/>
  <c r="BU229" i="2"/>
  <c r="BQ230" i="2"/>
  <c r="BR230" i="2"/>
  <c r="BS230" i="2"/>
  <c r="BT230" i="2"/>
  <c r="BU230" i="2"/>
  <c r="BP228" i="2"/>
  <c r="BP229" i="2"/>
  <c r="BP230" i="2"/>
  <c r="BN233" i="2"/>
  <c r="BO232" i="2"/>
  <c r="BO228" i="2"/>
  <c r="BO229" i="2"/>
  <c r="BO230" i="2"/>
  <c r="BN228" i="2"/>
  <c r="BN229" i="2"/>
  <c r="BN230" i="2"/>
  <c r="BM228" i="2"/>
  <c r="BM229" i="2"/>
  <c r="BM230" i="2"/>
  <c r="BK233" i="2"/>
  <c r="BL233" i="2"/>
  <c r="BM233" i="2"/>
  <c r="BL232" i="2"/>
  <c r="BM232" i="2"/>
  <c r="BN232" i="2"/>
  <c r="BL228" i="2"/>
  <c r="BL229" i="2"/>
  <c r="BL230" i="2"/>
  <c r="BK232" i="2"/>
  <c r="BK228" i="2"/>
  <c r="BK229" i="2"/>
  <c r="BK230" i="2"/>
  <c r="BJ233" i="2"/>
  <c r="BJ232" i="2"/>
  <c r="BI229" i="2"/>
  <c r="BJ229" i="2"/>
  <c r="BI230" i="2"/>
  <c r="BJ230" i="2"/>
  <c r="BJ228" i="2"/>
  <c r="CJ207" i="2"/>
  <c r="CJ208" i="2"/>
  <c r="CJ210" i="2"/>
  <c r="CJ211" i="2"/>
  <c r="CJ215" i="2"/>
  <c r="CJ222" i="2"/>
  <c r="CI207" i="2"/>
  <c r="CI208" i="2"/>
  <c r="CI210" i="2"/>
  <c r="CI211" i="2"/>
  <c r="CI215" i="2"/>
  <c r="CI222" i="2"/>
  <c r="CH207" i="2"/>
  <c r="CH208" i="2"/>
  <c r="CH210" i="2"/>
  <c r="CH211" i="2"/>
  <c r="CH215" i="2"/>
  <c r="CH222" i="2"/>
  <c r="CG207" i="2"/>
  <c r="CG208" i="2"/>
  <c r="CG210" i="2"/>
  <c r="CG211" i="2"/>
  <c r="CG215" i="2"/>
  <c r="CG222" i="2"/>
  <c r="CF207" i="2"/>
  <c r="CF208" i="2"/>
  <c r="CF210" i="2"/>
  <c r="CF211" i="2"/>
  <c r="CF215" i="2"/>
  <c r="CF222" i="2"/>
  <c r="CE207" i="2"/>
  <c r="CE208" i="2"/>
  <c r="CE210" i="2"/>
  <c r="CE211" i="2"/>
  <c r="CE215" i="2"/>
  <c r="CE222" i="2"/>
  <c r="CD207" i="2"/>
  <c r="CD208" i="2"/>
  <c r="CD210" i="2"/>
  <c r="CD211" i="2"/>
  <c r="CD215" i="2"/>
  <c r="CD222" i="2"/>
  <c r="CC207" i="2"/>
  <c r="CC208" i="2"/>
  <c r="CC210" i="2"/>
  <c r="CC211" i="2"/>
  <c r="CC215" i="2"/>
  <c r="CC222" i="2"/>
  <c r="CB207" i="2"/>
  <c r="CB208" i="2"/>
  <c r="CB210" i="2"/>
  <c r="CB211" i="2"/>
  <c r="CB215" i="2"/>
  <c r="CB222" i="2"/>
  <c r="CA207" i="2"/>
  <c r="CA208" i="2"/>
  <c r="CA210" i="2"/>
  <c r="CA211" i="2"/>
  <c r="CA215" i="2"/>
  <c r="CA222" i="2"/>
  <c r="BZ207" i="2"/>
  <c r="BZ208" i="2"/>
  <c r="BZ210" i="2"/>
  <c r="BZ211" i="2"/>
  <c r="BZ215" i="2"/>
  <c r="BZ222" i="2"/>
  <c r="BY207" i="2"/>
  <c r="BY208" i="2"/>
  <c r="BY210" i="2"/>
  <c r="BY211" i="2"/>
  <c r="BY215" i="2"/>
  <c r="BY222" i="2"/>
  <c r="BX207" i="2"/>
  <c r="BX208" i="2"/>
  <c r="BX210" i="2"/>
  <c r="BX211" i="2"/>
  <c r="BX215" i="2"/>
  <c r="BX222" i="2"/>
  <c r="BW207" i="2"/>
  <c r="BW208" i="2"/>
  <c r="BW210" i="2"/>
  <c r="BW211" i="2"/>
  <c r="BW215" i="2"/>
  <c r="BW222" i="2"/>
  <c r="BV207" i="2"/>
  <c r="BV208" i="2"/>
  <c r="BV210" i="2"/>
  <c r="BV211" i="2"/>
  <c r="BV215" i="2"/>
  <c r="BV222" i="2"/>
  <c r="BU207" i="2"/>
  <c r="BU208" i="2"/>
  <c r="BU210" i="2"/>
  <c r="BU211" i="2"/>
  <c r="BU215" i="2"/>
  <c r="BU222" i="2"/>
  <c r="BT207" i="2"/>
  <c r="BT208" i="2"/>
  <c r="BT210" i="2"/>
  <c r="BT211" i="2"/>
  <c r="BT215" i="2"/>
  <c r="BT222" i="2"/>
  <c r="BS207" i="2"/>
  <c r="BS208" i="2"/>
  <c r="BS210" i="2"/>
  <c r="BS211" i="2"/>
  <c r="BS215" i="2"/>
  <c r="BS222" i="2"/>
  <c r="BR207" i="2"/>
  <c r="BR208" i="2"/>
  <c r="BR210" i="2"/>
  <c r="BR211" i="2"/>
  <c r="BR215" i="2"/>
  <c r="BR222" i="2"/>
  <c r="BQ207" i="2"/>
  <c r="BQ208" i="2"/>
  <c r="BQ210" i="2"/>
  <c r="BQ211" i="2"/>
  <c r="BQ215" i="2"/>
  <c r="BQ222" i="2"/>
  <c r="BP207" i="2"/>
  <c r="BP208" i="2"/>
  <c r="BP210" i="2"/>
  <c r="BP211" i="2"/>
  <c r="BP215" i="2"/>
  <c r="BP222" i="2"/>
  <c r="BO207" i="2"/>
  <c r="BO208" i="2"/>
  <c r="BO210" i="2"/>
  <c r="BO211" i="2"/>
  <c r="BO215" i="2"/>
  <c r="BO222" i="2"/>
  <c r="BN207" i="2"/>
  <c r="BN208" i="2"/>
  <c r="BN210" i="2"/>
  <c r="BN211" i="2"/>
  <c r="BN215" i="2"/>
  <c r="BN222" i="2"/>
  <c r="BM207" i="2"/>
  <c r="BM208" i="2"/>
  <c r="BM210" i="2"/>
  <c r="BM211" i="2"/>
  <c r="BM215" i="2"/>
  <c r="BM222" i="2"/>
  <c r="BL207" i="2"/>
  <c r="BL208" i="2"/>
  <c r="BL210" i="2"/>
  <c r="BL211" i="2"/>
  <c r="BL215" i="2"/>
  <c r="BL222" i="2"/>
  <c r="BK207" i="2"/>
  <c r="BK208" i="2"/>
  <c r="BK210" i="2"/>
  <c r="BK211" i="2"/>
  <c r="BK215" i="2"/>
  <c r="BK222" i="2"/>
  <c r="BJ207" i="2"/>
  <c r="BJ208" i="2"/>
  <c r="BJ210" i="2"/>
  <c r="BJ211" i="2"/>
  <c r="BJ215" i="2"/>
  <c r="BJ222" i="2"/>
  <c r="BA233" i="2"/>
  <c r="BB233" i="2"/>
  <c r="BC233" i="2"/>
  <c r="BD233" i="2"/>
  <c r="BE233" i="2"/>
  <c r="BF233" i="2"/>
  <c r="BG233" i="2"/>
  <c r="BH233" i="2"/>
  <c r="BI233" i="2"/>
  <c r="BB232" i="2"/>
  <c r="BC232" i="2"/>
  <c r="BD232" i="2"/>
  <c r="BE232" i="2"/>
  <c r="BF232" i="2"/>
  <c r="BG232" i="2"/>
  <c r="BH232" i="2"/>
  <c r="BI232" i="2"/>
  <c r="BA228" i="2"/>
  <c r="BB228" i="2"/>
  <c r="BC228" i="2"/>
  <c r="BD228" i="2"/>
  <c r="BE228" i="2"/>
  <c r="BF228" i="2"/>
  <c r="BG228" i="2"/>
  <c r="BH228" i="2"/>
  <c r="BI228" i="2"/>
  <c r="BA229" i="2"/>
  <c r="BB229" i="2"/>
  <c r="BC229" i="2"/>
  <c r="BD229" i="2"/>
  <c r="BE229" i="2"/>
  <c r="BF229" i="2"/>
  <c r="BG229" i="2"/>
  <c r="BH229" i="2"/>
  <c r="BA230" i="2"/>
  <c r="BB230" i="2"/>
  <c r="BC230" i="2"/>
  <c r="BD230" i="2"/>
  <c r="BE230" i="2"/>
  <c r="BF230" i="2"/>
  <c r="BG230" i="2"/>
  <c r="BH230" i="2"/>
  <c r="BA211" i="2"/>
  <c r="BB211" i="2"/>
  <c r="BC211" i="2"/>
  <c r="BD211" i="2"/>
  <c r="BE211" i="2"/>
  <c r="BF211" i="2"/>
  <c r="BG211" i="2"/>
  <c r="BH211" i="2"/>
  <c r="BI211" i="2"/>
  <c r="BA215" i="2"/>
  <c r="BB215" i="2"/>
  <c r="BC215" i="2"/>
  <c r="BD215" i="2"/>
  <c r="BE215" i="2"/>
  <c r="BF215" i="2"/>
  <c r="BG215" i="2"/>
  <c r="BH215" i="2"/>
  <c r="BI215" i="2"/>
  <c r="BA222" i="2"/>
  <c r="BB222" i="2"/>
  <c r="BC222" i="2"/>
  <c r="BD222" i="2"/>
  <c r="BE222" i="2"/>
  <c r="BF222" i="2"/>
  <c r="BG222" i="2"/>
  <c r="BH222" i="2"/>
  <c r="BI222" i="2"/>
  <c r="BA208" i="2"/>
  <c r="BB208" i="2"/>
  <c r="BC208" i="2"/>
  <c r="BD208" i="2"/>
  <c r="BE208" i="2"/>
  <c r="BF208" i="2"/>
  <c r="BG208" i="2"/>
  <c r="BH208" i="2"/>
  <c r="BI208" i="2"/>
  <c r="BA210" i="2"/>
  <c r="BB210" i="2"/>
  <c r="BC210" i="2"/>
  <c r="BD210" i="2"/>
  <c r="BE210" i="2"/>
  <c r="BF210" i="2"/>
  <c r="BG210" i="2"/>
  <c r="BH210" i="2"/>
  <c r="BI210" i="2"/>
  <c r="BB207" i="2"/>
  <c r="BC207" i="2"/>
  <c r="BD207" i="2"/>
  <c r="BE207" i="2"/>
  <c r="BF207" i="2"/>
  <c r="BG207" i="2"/>
  <c r="BH207" i="2"/>
  <c r="BI207" i="2"/>
  <c r="BA232" i="2"/>
  <c r="BA207" i="2"/>
  <c r="BL201" i="2"/>
  <c r="BL202" i="2"/>
  <c r="BK201" i="2"/>
  <c r="BK202" i="2"/>
  <c r="BJ201" i="2"/>
  <c r="BJ202" i="2"/>
  <c r="BI201" i="2"/>
  <c r="BI202" i="2"/>
  <c r="BH201" i="2"/>
  <c r="BH202" i="2"/>
  <c r="BG201" i="2"/>
  <c r="BG202" i="2"/>
  <c r="BF201" i="2"/>
  <c r="BF202" i="2"/>
  <c r="BE201" i="2"/>
  <c r="BE202" i="2"/>
  <c r="BD201" i="2"/>
  <c r="BD202" i="2"/>
  <c r="BC201" i="2"/>
  <c r="BC202" i="2"/>
  <c r="BB201" i="2"/>
  <c r="BB202" i="2"/>
  <c r="BA201" i="2"/>
  <c r="BA202" i="2"/>
  <c r="CB174" i="2"/>
  <c r="CC174" i="2"/>
  <c r="CD174" i="2"/>
  <c r="CE174" i="2"/>
  <c r="CF174" i="2"/>
  <c r="CG174" i="2"/>
  <c r="CH174" i="2"/>
  <c r="CI174" i="2"/>
  <c r="CJ174" i="2"/>
  <c r="CK174" i="2"/>
  <c r="CL174" i="2"/>
  <c r="CM174" i="2"/>
  <c r="CN174" i="2"/>
  <c r="CO174" i="2"/>
  <c r="CP174" i="2"/>
  <c r="CQ174" i="2"/>
  <c r="CR174" i="2"/>
  <c r="CS174" i="2"/>
  <c r="O136" i="31" l="1"/>
  <c r="BC134" i="2"/>
  <c r="BC125" i="2"/>
  <c r="BC121" i="2"/>
  <c r="BC97" i="2"/>
  <c r="BC87" i="2"/>
  <c r="BC86" i="2"/>
  <c r="BC10" i="2"/>
  <c r="J48" i="2"/>
  <c r="O36" i="31"/>
  <c r="O60" i="31"/>
  <c r="O69" i="31"/>
  <c r="O103" i="31"/>
  <c r="O30" i="31"/>
  <c r="F145" i="31"/>
  <c r="F143" i="31"/>
  <c r="F98" i="31"/>
  <c r="F101" i="31"/>
  <c r="O146" i="31"/>
  <c r="P33" i="31"/>
  <c r="M145" i="31"/>
  <c r="M143" i="31"/>
  <c r="M140" i="31"/>
  <c r="M135" i="31"/>
  <c r="M127" i="31"/>
  <c r="M101" i="31"/>
  <c r="M98" i="31"/>
  <c r="M57" i="31"/>
  <c r="BC91" i="2" l="1"/>
  <c r="M69" i="31"/>
  <c r="CO213" i="2"/>
  <c r="CO202" i="2"/>
  <c r="M146" i="31"/>
  <c r="DX134" i="2" l="1"/>
  <c r="DY134" i="2"/>
  <c r="DZ134" i="2"/>
  <c r="EA134" i="2"/>
  <c r="EB134" i="2"/>
  <c r="EC134" i="2"/>
  <c r="ED134" i="2"/>
  <c r="DW134" i="2"/>
  <c r="DW132" i="2"/>
  <c r="DX132" i="2"/>
  <c r="DY132" i="2"/>
  <c r="DZ132" i="2"/>
  <c r="EA132" i="2"/>
  <c r="EB132" i="2"/>
  <c r="EC132" i="2"/>
  <c r="ED132" i="2"/>
  <c r="DX129" i="2"/>
  <c r="DY129" i="2"/>
  <c r="DZ129" i="2"/>
  <c r="EA129" i="2"/>
  <c r="EB129" i="2"/>
  <c r="EC129" i="2"/>
  <c r="ED129" i="2"/>
  <c r="DW129" i="2"/>
  <c r="DW125" i="2"/>
  <c r="DX125" i="2"/>
  <c r="DY125" i="2"/>
  <c r="DZ125" i="2"/>
  <c r="EA125" i="2"/>
  <c r="EB125" i="2"/>
  <c r="EC125" i="2"/>
  <c r="ED125" i="2"/>
  <c r="DX121" i="2"/>
  <c r="DY121" i="2"/>
  <c r="DZ121" i="2"/>
  <c r="EA121" i="2"/>
  <c r="EB121" i="2"/>
  <c r="EC121" i="2"/>
  <c r="ED121" i="2"/>
  <c r="DW121" i="2"/>
  <c r="DX117" i="2"/>
  <c r="DY117" i="2"/>
  <c r="DZ117" i="2"/>
  <c r="EA117" i="2"/>
  <c r="EB117" i="2"/>
  <c r="EC117" i="2"/>
  <c r="ED117" i="2"/>
  <c r="DW117" i="2"/>
  <c r="DX114" i="2"/>
  <c r="DY114" i="2"/>
  <c r="DZ114" i="2"/>
  <c r="EA114" i="2"/>
  <c r="EB114" i="2"/>
  <c r="EC114" i="2"/>
  <c r="ED114" i="2"/>
  <c r="DW114" i="2"/>
  <c r="DW87" i="2"/>
  <c r="CB217" i="2" s="1"/>
  <c r="DX87" i="2"/>
  <c r="CC217" i="2" s="1"/>
  <c r="DY87" i="2"/>
  <c r="CD217" i="2" s="1"/>
  <c r="DZ87" i="2"/>
  <c r="CE217" i="2" s="1"/>
  <c r="EA87" i="2"/>
  <c r="CF217" i="2" s="1"/>
  <c r="EB87" i="2"/>
  <c r="CG217" i="2" s="1"/>
  <c r="EC87" i="2"/>
  <c r="CH217" i="2" s="1"/>
  <c r="ED87" i="2"/>
  <c r="CI217" i="2" s="1"/>
  <c r="CB219" i="2"/>
  <c r="CC219" i="2"/>
  <c r="CD219" i="2"/>
  <c r="CE219" i="2"/>
  <c r="CF219" i="2"/>
  <c r="CG219" i="2"/>
  <c r="CH219" i="2"/>
  <c r="CI219" i="2"/>
  <c r="DX86" i="2"/>
  <c r="DY86" i="2"/>
  <c r="DZ86" i="2"/>
  <c r="EA86" i="2"/>
  <c r="EB86" i="2"/>
  <c r="EC86" i="2"/>
  <c r="ED86" i="2"/>
  <c r="DW86" i="2"/>
  <c r="DW83" i="2"/>
  <c r="CB213" i="2" s="1"/>
  <c r="DX83" i="2"/>
  <c r="CC213" i="2" s="1"/>
  <c r="DY83" i="2"/>
  <c r="CD213" i="2" s="1"/>
  <c r="DZ83" i="2"/>
  <c r="CE213" i="2" s="1"/>
  <c r="EA83" i="2"/>
  <c r="CF213" i="2" s="1"/>
  <c r="EB83" i="2"/>
  <c r="CG213" i="2" s="1"/>
  <c r="EC83" i="2"/>
  <c r="CH213" i="2" s="1"/>
  <c r="ED83" i="2"/>
  <c r="CI213" i="2" s="1"/>
  <c r="DX53" i="2"/>
  <c r="DX54" i="2" s="1"/>
  <c r="DY53" i="2"/>
  <c r="DY54" i="2" s="1"/>
  <c r="DZ53" i="2"/>
  <c r="DZ54" i="2" s="1"/>
  <c r="EA53" i="2"/>
  <c r="EA54" i="2" s="1"/>
  <c r="EB53" i="2"/>
  <c r="EB54" i="2" s="1"/>
  <c r="EC53" i="2"/>
  <c r="EC54" i="2" s="1"/>
  <c r="ED53" i="2"/>
  <c r="ED54" i="2" s="1"/>
  <c r="DW53" i="2"/>
  <c r="DW54" i="2" s="1"/>
  <c r="DW45" i="2"/>
  <c r="DX45" i="2"/>
  <c r="DY45" i="2"/>
  <c r="DZ45" i="2"/>
  <c r="EA45" i="2"/>
  <c r="EB45" i="2"/>
  <c r="EC45" i="2"/>
  <c r="ED45" i="2"/>
  <c r="DX43" i="2"/>
  <c r="DY43" i="2"/>
  <c r="DZ43" i="2"/>
  <c r="EA43" i="2"/>
  <c r="EB43" i="2"/>
  <c r="EC43" i="2"/>
  <c r="ED43" i="2"/>
  <c r="DW43" i="2"/>
  <c r="DX41" i="2"/>
  <c r="DY41" i="2"/>
  <c r="DZ41" i="2"/>
  <c r="EA41" i="2"/>
  <c r="EB41" i="2"/>
  <c r="EC41" i="2"/>
  <c r="ED41" i="2"/>
  <c r="DW41" i="2"/>
  <c r="DX35" i="2"/>
  <c r="DY35" i="2"/>
  <c r="DZ35" i="2"/>
  <c r="EA35" i="2"/>
  <c r="EA38" i="2" s="1"/>
  <c r="EB35" i="2"/>
  <c r="EB38" i="2" s="1"/>
  <c r="EC35" i="2"/>
  <c r="EC38" i="2" s="1"/>
  <c r="ED35" i="2"/>
  <c r="ED38" i="2" s="1"/>
  <c r="DW35" i="2"/>
  <c r="DW30" i="2"/>
  <c r="DX30" i="2"/>
  <c r="DY30" i="2"/>
  <c r="DZ30" i="2"/>
  <c r="EA30" i="2"/>
  <c r="EB30" i="2"/>
  <c r="EC30" i="2"/>
  <c r="ED30" i="2"/>
  <c r="DW31" i="2"/>
  <c r="DX31" i="2"/>
  <c r="DY31" i="2"/>
  <c r="DZ31" i="2"/>
  <c r="EA31" i="2"/>
  <c r="EB31" i="2"/>
  <c r="EC31" i="2"/>
  <c r="ED31" i="2"/>
  <c r="DX29" i="2"/>
  <c r="DY29" i="2"/>
  <c r="DZ29" i="2"/>
  <c r="EA29" i="2"/>
  <c r="EB29" i="2"/>
  <c r="EC29" i="2"/>
  <c r="ED29" i="2"/>
  <c r="DW29" i="2"/>
  <c r="DW23" i="2"/>
  <c r="DX23" i="2"/>
  <c r="DY23" i="2"/>
  <c r="DZ23" i="2"/>
  <c r="EA23" i="2"/>
  <c r="EB23" i="2"/>
  <c r="EC23" i="2"/>
  <c r="ED23" i="2"/>
  <c r="EE23" i="2"/>
  <c r="DW25" i="2"/>
  <c r="DX25" i="2"/>
  <c r="DY25" i="2"/>
  <c r="DZ25" i="2"/>
  <c r="EA25" i="2"/>
  <c r="EB25" i="2"/>
  <c r="EC25" i="2"/>
  <c r="ED25" i="2"/>
  <c r="EE25" i="2"/>
  <c r="EE22" i="2"/>
  <c r="ED22" i="2"/>
  <c r="EC22" i="2"/>
  <c r="EB22" i="2"/>
  <c r="EA22" i="2"/>
  <c r="DZ22" i="2"/>
  <c r="DY22" i="2"/>
  <c r="DX22" i="2"/>
  <c r="DW22" i="2"/>
  <c r="DX15" i="2"/>
  <c r="DY15" i="2"/>
  <c r="DZ15" i="2"/>
  <c r="EA15" i="2"/>
  <c r="EB15" i="2"/>
  <c r="EC15" i="2"/>
  <c r="ED15" i="2"/>
  <c r="DX18" i="2"/>
  <c r="DY18" i="2"/>
  <c r="DZ18" i="2"/>
  <c r="EA18" i="2"/>
  <c r="EB18" i="2"/>
  <c r="EC18" i="2"/>
  <c r="ED18" i="2"/>
  <c r="DW18" i="2"/>
  <c r="DW15" i="2"/>
  <c r="DW10" i="2"/>
  <c r="DX10" i="2"/>
  <c r="DY10" i="2"/>
  <c r="DZ10" i="2"/>
  <c r="EA10" i="2"/>
  <c r="EB10" i="2"/>
  <c r="EC10" i="2"/>
  <c r="ED10" i="2"/>
  <c r="EE10" i="2"/>
  <c r="P127" i="31"/>
  <c r="F127" i="31"/>
  <c r="F33" i="31"/>
  <c r="D145" i="31"/>
  <c r="D143" i="31"/>
  <c r="F135" i="31"/>
  <c r="G135" i="31"/>
  <c r="P135" i="31"/>
  <c r="D135" i="31"/>
  <c r="D127" i="31"/>
  <c r="O111" i="31"/>
  <c r="D98" i="31"/>
  <c r="D101" i="31"/>
  <c r="DX91" i="2" l="1"/>
  <c r="DY91" i="2"/>
  <c r="DW91" i="2"/>
  <c r="DZ91" i="2"/>
  <c r="EA91" i="2"/>
  <c r="EB91" i="2"/>
  <c r="EC91" i="2"/>
  <c r="ED91" i="2"/>
  <c r="ED70" i="2"/>
  <c r="DZ32" i="2"/>
  <c r="EE26" i="2"/>
  <c r="EC70" i="2"/>
  <c r="EB70" i="2"/>
  <c r="DZ70" i="2"/>
  <c r="DW126" i="2"/>
  <c r="DZ135" i="2"/>
  <c r="DY135" i="2"/>
  <c r="DX135" i="2"/>
  <c r="EA70" i="2"/>
  <c r="DY26" i="2"/>
  <c r="EB48" i="2"/>
  <c r="EB58" i="2" s="1"/>
  <c r="EA126" i="2"/>
  <c r="DZ48" i="2"/>
  <c r="DZ58" i="2" s="1"/>
  <c r="DZ126" i="2"/>
  <c r="ED135" i="2"/>
  <c r="DY48" i="2"/>
  <c r="DY58" i="2" s="1"/>
  <c r="EC135" i="2"/>
  <c r="EE12" i="2"/>
  <c r="EB32" i="2"/>
  <c r="DX48" i="2"/>
  <c r="DX58" i="2" s="1"/>
  <c r="DX126" i="2"/>
  <c r="EB135" i="2"/>
  <c r="DW48" i="2"/>
  <c r="DW58" i="2" s="1"/>
  <c r="ED48" i="2"/>
  <c r="ED58" i="2" s="1"/>
  <c r="ED126" i="2"/>
  <c r="EC48" i="2"/>
  <c r="EC58" i="2" s="1"/>
  <c r="EC126" i="2"/>
  <c r="EB126" i="2"/>
  <c r="EA48" i="2"/>
  <c r="EA58" i="2" s="1"/>
  <c r="DW135" i="2"/>
  <c r="EA26" i="2"/>
  <c r="ED32" i="2"/>
  <c r="EB26" i="2"/>
  <c r="EC32" i="2"/>
  <c r="DY126" i="2"/>
  <c r="ED12" i="2"/>
  <c r="DW12" i="2"/>
  <c r="DW19" i="2" s="1"/>
  <c r="EA32" i="2"/>
  <c r="EA135" i="2"/>
  <c r="DY38" i="2"/>
  <c r="DX38" i="2"/>
  <c r="DZ38" i="2"/>
  <c r="DW38" i="2"/>
  <c r="DY32" i="2"/>
  <c r="DX32" i="2"/>
  <c r="DW32" i="2"/>
  <c r="EC26" i="2"/>
  <c r="ED26" i="2"/>
  <c r="DW26" i="2"/>
  <c r="DX26" i="2"/>
  <c r="DZ26" i="2"/>
  <c r="EB12" i="2"/>
  <c r="EB19" i="2" s="1"/>
  <c r="DZ12" i="2"/>
  <c r="DZ19" i="2" s="1"/>
  <c r="DY12" i="2"/>
  <c r="DY19" i="2" s="1"/>
  <c r="EC12" i="2"/>
  <c r="EA12" i="2"/>
  <c r="EA19" i="2" s="1"/>
  <c r="DX12" i="2"/>
  <c r="DX19" i="2" s="1"/>
  <c r="CB223" i="2"/>
  <c r="DW97" i="2"/>
  <c r="CI223" i="2"/>
  <c r="ED97" i="2"/>
  <c r="CH223" i="2"/>
  <c r="EC97" i="2"/>
  <c r="CG223" i="2"/>
  <c r="EB97" i="2"/>
  <c r="CF223" i="2"/>
  <c r="EA97" i="2"/>
  <c r="CE223" i="2"/>
  <c r="DZ97" i="2"/>
  <c r="CD223" i="2"/>
  <c r="DY97" i="2"/>
  <c r="CC223" i="2"/>
  <c r="DX97" i="2"/>
  <c r="CC216" i="2"/>
  <c r="CB216" i="2"/>
  <c r="CE216" i="2"/>
  <c r="CD216" i="2"/>
  <c r="CI216" i="2"/>
  <c r="CH216" i="2"/>
  <c r="CG216" i="2"/>
  <c r="CF216" i="2"/>
  <c r="CI212" i="2"/>
  <c r="ED84" i="2"/>
  <c r="CF212" i="2"/>
  <c r="EA84" i="2"/>
  <c r="CD212" i="2"/>
  <c r="DY84" i="2"/>
  <c r="CB212" i="2"/>
  <c r="DW84" i="2"/>
  <c r="CH212" i="2"/>
  <c r="EC84" i="2"/>
  <c r="CC212" i="2"/>
  <c r="DX84" i="2"/>
  <c r="CG212" i="2"/>
  <c r="EB84" i="2"/>
  <c r="CE212" i="2"/>
  <c r="DZ84" i="2"/>
  <c r="DY70" i="2"/>
  <c r="DX70" i="2"/>
  <c r="DW70" i="2"/>
  <c r="EE134" i="2"/>
  <c r="EE132" i="2"/>
  <c r="EE129" i="2"/>
  <c r="EE18" i="2"/>
  <c r="EE15" i="2"/>
  <c r="K57" i="2"/>
  <c r="J57" i="2"/>
  <c r="O48" i="31"/>
  <c r="D57" i="31"/>
  <c r="F57" i="31"/>
  <c r="P53" i="31"/>
  <c r="F53" i="31"/>
  <c r="D53" i="31"/>
  <c r="F40" i="31"/>
  <c r="G40" i="31"/>
  <c r="P40" i="31"/>
  <c r="D40" i="31"/>
  <c r="D33" i="31"/>
  <c r="O21" i="31"/>
  <c r="P21" i="31"/>
  <c r="P17" i="31"/>
  <c r="F27" i="31"/>
  <c r="G27" i="31"/>
  <c r="P27" i="31"/>
  <c r="F29" i="31"/>
  <c r="G29" i="31"/>
  <c r="P29" i="31"/>
  <c r="D27" i="31"/>
  <c r="D29" i="31"/>
  <c r="P12" i="31"/>
  <c r="F12" i="31"/>
  <c r="D12" i="31"/>
  <c r="C131" i="31"/>
  <c r="O95" i="31"/>
  <c r="C94" i="31"/>
  <c r="P50" i="31"/>
  <c r="G50" i="31"/>
  <c r="F50" i="31"/>
  <c r="D50" i="31"/>
  <c r="C47" i="31"/>
  <c r="C35" i="31"/>
  <c r="P26" i="31"/>
  <c r="G26" i="31"/>
  <c r="F26" i="31"/>
  <c r="D26" i="31"/>
  <c r="EF71" i="2"/>
  <c r="EF74" i="2"/>
  <c r="M54" i="7" l="1"/>
  <c r="Z54" i="7"/>
  <c r="R54" i="7"/>
  <c r="J54" i="7"/>
  <c r="N54" i="7"/>
  <c r="X54" i="7"/>
  <c r="Q54" i="7"/>
  <c r="L54" i="7"/>
  <c r="H54" i="7"/>
  <c r="Y54" i="7"/>
  <c r="W54" i="7"/>
  <c r="U54" i="7"/>
  <c r="F54" i="7"/>
  <c r="S54" i="7"/>
  <c r="T54" i="7"/>
  <c r="K54" i="7"/>
  <c r="G54" i="7"/>
  <c r="I54" i="7"/>
  <c r="P54" i="7"/>
  <c r="V54" i="7"/>
  <c r="O54" i="7"/>
  <c r="I53" i="7"/>
  <c r="X53" i="7"/>
  <c r="K53" i="7"/>
  <c r="M53" i="7"/>
  <c r="H53" i="7"/>
  <c r="F53" i="7"/>
  <c r="S53" i="7"/>
  <c r="R53" i="7"/>
  <c r="J53" i="7"/>
  <c r="G53" i="7"/>
  <c r="W53" i="7"/>
  <c r="N53" i="7"/>
  <c r="L53" i="7"/>
  <c r="P53" i="7"/>
  <c r="U53" i="7"/>
  <c r="T53" i="7"/>
  <c r="V53" i="7"/>
  <c r="Q53" i="7"/>
  <c r="Z53" i="7"/>
  <c r="O53" i="7"/>
  <c r="Y53" i="7"/>
  <c r="V52" i="7"/>
  <c r="W52" i="7"/>
  <c r="R52" i="7"/>
  <c r="S52" i="7"/>
  <c r="F52" i="7"/>
  <c r="L52" i="7"/>
  <c r="M52" i="7"/>
  <c r="G52" i="7"/>
  <c r="K52" i="7"/>
  <c r="P52" i="7"/>
  <c r="X52" i="7"/>
  <c r="Q52" i="7"/>
  <c r="T52" i="7"/>
  <c r="U52" i="7"/>
  <c r="J52" i="7"/>
  <c r="I52" i="7"/>
  <c r="N52" i="7"/>
  <c r="Y52" i="7"/>
  <c r="Z52" i="7"/>
  <c r="H52" i="7"/>
  <c r="O52" i="7"/>
  <c r="V51" i="7"/>
  <c r="U51" i="7"/>
  <c r="T51" i="7"/>
  <c r="R51" i="7"/>
  <c r="Q51" i="7"/>
  <c r="P51" i="7"/>
  <c r="M51" i="7"/>
  <c r="L51" i="7"/>
  <c r="K51" i="7"/>
  <c r="I51" i="7"/>
  <c r="H51" i="7"/>
  <c r="F51" i="7"/>
  <c r="T50" i="7"/>
  <c r="Q50" i="7"/>
  <c r="M50" i="7"/>
  <c r="I50" i="7"/>
  <c r="H50" i="7"/>
  <c r="Y50" i="7"/>
  <c r="S51" i="7"/>
  <c r="Z50" i="7"/>
  <c r="Z51" i="7"/>
  <c r="X51" i="7"/>
  <c r="U50" i="7"/>
  <c r="S50" i="7"/>
  <c r="L50" i="7"/>
  <c r="G50" i="7"/>
  <c r="J51" i="7"/>
  <c r="N51" i="7"/>
  <c r="Y51" i="7"/>
  <c r="R50" i="7"/>
  <c r="K50" i="7"/>
  <c r="F50" i="7"/>
  <c r="O50" i="7"/>
  <c r="G51" i="7"/>
  <c r="W50" i="7"/>
  <c r="X50" i="7"/>
  <c r="V50" i="7"/>
  <c r="P50" i="7"/>
  <c r="J50" i="7"/>
  <c r="N50" i="7"/>
  <c r="O51" i="7"/>
  <c r="W51" i="7"/>
  <c r="T48" i="7"/>
  <c r="F48" i="7"/>
  <c r="G48" i="7"/>
  <c r="X48" i="7"/>
  <c r="U48" i="7"/>
  <c r="S48" i="7"/>
  <c r="Z48" i="7"/>
  <c r="R48" i="7"/>
  <c r="O48" i="7"/>
  <c r="H48" i="7"/>
  <c r="M48" i="7"/>
  <c r="L48" i="7"/>
  <c r="Y48" i="7"/>
  <c r="V48" i="7"/>
  <c r="K48" i="7"/>
  <c r="Q48" i="7"/>
  <c r="W48" i="7"/>
  <c r="P48" i="7"/>
  <c r="J48" i="7"/>
  <c r="I48" i="7"/>
  <c r="N48" i="7"/>
  <c r="S47" i="7"/>
  <c r="R47" i="7"/>
  <c r="P47" i="7"/>
  <c r="L47" i="7"/>
  <c r="K47" i="7"/>
  <c r="J47" i="7"/>
  <c r="F47" i="7"/>
  <c r="W47" i="7"/>
  <c r="G47" i="7"/>
  <c r="Z47" i="7"/>
  <c r="T47" i="7"/>
  <c r="H47" i="7"/>
  <c r="X47" i="7"/>
  <c r="Q47" i="7"/>
  <c r="O47" i="7"/>
  <c r="U47" i="7"/>
  <c r="N47" i="7"/>
  <c r="Y47" i="7"/>
  <c r="V47" i="7"/>
  <c r="I47" i="7"/>
  <c r="M47" i="7"/>
  <c r="J46" i="7"/>
  <c r="F45" i="7"/>
  <c r="X46" i="7"/>
  <c r="T45" i="7"/>
  <c r="I45" i="7"/>
  <c r="R45" i="7"/>
  <c r="M45" i="7"/>
  <c r="H45" i="7"/>
  <c r="Q45" i="7"/>
  <c r="K45" i="7"/>
  <c r="U45" i="7"/>
  <c r="L45" i="7"/>
  <c r="N45" i="7"/>
  <c r="G45" i="7"/>
  <c r="O45" i="7"/>
  <c r="Y45" i="7"/>
  <c r="W45" i="7"/>
  <c r="X45" i="7"/>
  <c r="Z45" i="7"/>
  <c r="K46" i="7"/>
  <c r="R46" i="7"/>
  <c r="V46" i="7"/>
  <c r="F46" i="7"/>
  <c r="T46" i="7"/>
  <c r="I46" i="7"/>
  <c r="O46" i="7"/>
  <c r="J45" i="7"/>
  <c r="W46" i="7"/>
  <c r="G46" i="7"/>
  <c r="L46" i="7"/>
  <c r="Z46" i="7"/>
  <c r="Q46" i="7"/>
  <c r="V45" i="7"/>
  <c r="S45" i="7"/>
  <c r="Y46" i="7"/>
  <c r="U46" i="7"/>
  <c r="P46" i="7"/>
  <c r="N46" i="7"/>
  <c r="M46" i="7"/>
  <c r="S46" i="7"/>
  <c r="H46" i="7"/>
  <c r="P45" i="7"/>
  <c r="G44" i="7"/>
  <c r="Y44" i="7"/>
  <c r="M44" i="7"/>
  <c r="F44" i="7"/>
  <c r="Q44" i="7"/>
  <c r="U44" i="7"/>
  <c r="S44" i="7"/>
  <c r="L44" i="7"/>
  <c r="I44" i="7"/>
  <c r="X44" i="7"/>
  <c r="K44" i="7"/>
  <c r="T44" i="7"/>
  <c r="H44" i="7"/>
  <c r="V44" i="7"/>
  <c r="P44" i="7"/>
  <c r="N44" i="7"/>
  <c r="Z44" i="7"/>
  <c r="O44" i="7"/>
  <c r="R44" i="7"/>
  <c r="J44" i="7"/>
  <c r="W44" i="7"/>
  <c r="Z43" i="7"/>
  <c r="Y43" i="7"/>
  <c r="K43" i="7"/>
  <c r="M43" i="7"/>
  <c r="F43" i="7"/>
  <c r="Q43" i="7"/>
  <c r="S43" i="7"/>
  <c r="V43" i="7"/>
  <c r="L43" i="7"/>
  <c r="T43" i="7"/>
  <c r="U43" i="7"/>
  <c r="N43" i="7"/>
  <c r="I43" i="7"/>
  <c r="G43" i="7"/>
  <c r="J43" i="7"/>
  <c r="H43" i="7"/>
  <c r="R43" i="7"/>
  <c r="P43" i="7"/>
  <c r="O43" i="7"/>
  <c r="W43" i="7"/>
  <c r="X43" i="7"/>
  <c r="I42" i="7"/>
  <c r="T42" i="7"/>
  <c r="G42" i="7"/>
  <c r="R42" i="7"/>
  <c r="U42" i="7"/>
  <c r="M42" i="7"/>
  <c r="V42" i="7"/>
  <c r="Y42" i="7"/>
  <c r="F42" i="7"/>
  <c r="J42" i="7"/>
  <c r="L42" i="7"/>
  <c r="P42" i="7"/>
  <c r="S42" i="7"/>
  <c r="H42" i="7"/>
  <c r="K42" i="7"/>
  <c r="Q42" i="7"/>
  <c r="O42" i="7"/>
  <c r="W42" i="7"/>
  <c r="N42" i="7"/>
  <c r="X42" i="7"/>
  <c r="Z42" i="7"/>
  <c r="I41" i="7"/>
  <c r="K41" i="7"/>
  <c r="G41" i="7"/>
  <c r="H41" i="7"/>
  <c r="V41" i="7"/>
  <c r="N41" i="7"/>
  <c r="O41" i="7"/>
  <c r="Y41" i="7"/>
  <c r="W41" i="7"/>
  <c r="X41" i="7"/>
  <c r="F41" i="7"/>
  <c r="Z41" i="7"/>
  <c r="L41" i="7"/>
  <c r="J41" i="7"/>
  <c r="T41" i="7"/>
  <c r="U41" i="7"/>
  <c r="R41" i="7"/>
  <c r="Q41" i="7"/>
  <c r="P41" i="7"/>
  <c r="M41" i="7"/>
  <c r="S41" i="7"/>
  <c r="Q40" i="7"/>
  <c r="R40" i="7"/>
  <c r="S40" i="7"/>
  <c r="F40" i="7"/>
  <c r="T40" i="7"/>
  <c r="V40" i="7"/>
  <c r="H40" i="7"/>
  <c r="I40" i="7"/>
  <c r="P40" i="7"/>
  <c r="U40" i="7"/>
  <c r="G40" i="7"/>
  <c r="J40" i="7"/>
  <c r="K40" i="7"/>
  <c r="L40" i="7"/>
  <c r="M39" i="7"/>
  <c r="Z39" i="7"/>
  <c r="Z38" i="7"/>
  <c r="P39" i="7"/>
  <c r="U38" i="7"/>
  <c r="X38" i="7"/>
  <c r="Q39" i="7"/>
  <c r="T38" i="7"/>
  <c r="U39" i="7"/>
  <c r="S38" i="7"/>
  <c r="K39" i="7"/>
  <c r="R38" i="7"/>
  <c r="S39" i="7"/>
  <c r="P38" i="7"/>
  <c r="T39" i="7"/>
  <c r="F38" i="7"/>
  <c r="R39" i="7"/>
  <c r="Q38" i="7"/>
  <c r="Y39" i="7"/>
  <c r="I38" i="7"/>
  <c r="F39" i="7"/>
  <c r="J38" i="7"/>
  <c r="H39" i="7"/>
  <c r="M38" i="7"/>
  <c r="L39" i="7"/>
  <c r="K38" i="7"/>
  <c r="V39" i="7"/>
  <c r="L38" i="7"/>
  <c r="I39" i="7"/>
  <c r="V38" i="7"/>
  <c r="O39" i="7"/>
  <c r="G38" i="7"/>
  <c r="J39" i="7"/>
  <c r="H38" i="7"/>
  <c r="G39" i="7"/>
  <c r="W38" i="7"/>
  <c r="X39" i="7"/>
  <c r="N38" i="7"/>
  <c r="N39" i="7"/>
  <c r="O38" i="7"/>
  <c r="W39" i="7"/>
  <c r="Y38" i="7"/>
  <c r="I37" i="7"/>
  <c r="U37" i="7"/>
  <c r="P37" i="7"/>
  <c r="Q37" i="7"/>
  <c r="R37" i="7"/>
  <c r="S37" i="7"/>
  <c r="F37" i="7"/>
  <c r="L37" i="7"/>
  <c r="M37" i="7"/>
  <c r="G37" i="7"/>
  <c r="H37" i="7"/>
  <c r="T37" i="7"/>
  <c r="V37" i="7"/>
  <c r="K37" i="7"/>
  <c r="J37" i="7"/>
  <c r="N37" i="7"/>
  <c r="W37" i="7"/>
  <c r="O37" i="7"/>
  <c r="Z37" i="7"/>
  <c r="Y37" i="7"/>
  <c r="X37" i="7"/>
  <c r="Q36" i="7"/>
  <c r="T36" i="7"/>
  <c r="R36" i="7"/>
  <c r="V36" i="7"/>
  <c r="K36" i="7"/>
  <c r="H36" i="7"/>
  <c r="I36" i="7"/>
  <c r="J36" i="7"/>
  <c r="P36" i="7"/>
  <c r="F36" i="7"/>
  <c r="U36" i="7"/>
  <c r="L36" i="7"/>
  <c r="G36" i="7"/>
  <c r="S36" i="7"/>
  <c r="P35" i="7"/>
  <c r="J35" i="7"/>
  <c r="F35" i="7"/>
  <c r="I35" i="7"/>
  <c r="L35" i="7"/>
  <c r="M35" i="7"/>
  <c r="V35" i="7"/>
  <c r="G35" i="7"/>
  <c r="N35" i="7"/>
  <c r="S35" i="7"/>
  <c r="H35" i="7"/>
  <c r="Q35" i="7"/>
  <c r="R35" i="7"/>
  <c r="O35" i="7"/>
  <c r="Z35" i="7"/>
  <c r="K35" i="7"/>
  <c r="Y35" i="7"/>
  <c r="T35" i="7"/>
  <c r="W35" i="7"/>
  <c r="X35" i="7"/>
  <c r="U35" i="7"/>
  <c r="EC19" i="2"/>
  <c r="ED19" i="2"/>
  <c r="DZ101" i="2"/>
  <c r="X34" i="7"/>
  <c r="G34" i="7"/>
  <c r="L34" i="7"/>
  <c r="U34" i="7"/>
  <c r="M34" i="7"/>
  <c r="O34" i="7"/>
  <c r="S34" i="7"/>
  <c r="J34" i="7"/>
  <c r="N34" i="7"/>
  <c r="P34" i="7"/>
  <c r="H34" i="7"/>
  <c r="Y34" i="7"/>
  <c r="W34" i="7"/>
  <c r="Q34" i="7"/>
  <c r="T34" i="7"/>
  <c r="V34" i="7"/>
  <c r="Z34" i="7"/>
  <c r="F34" i="7"/>
  <c r="I34" i="7"/>
  <c r="K34" i="7"/>
  <c r="R34" i="7"/>
  <c r="V33" i="7"/>
  <c r="P33" i="7"/>
  <c r="R33" i="7"/>
  <c r="F33" i="7"/>
  <c r="I33" i="7"/>
  <c r="K33" i="7"/>
  <c r="M33" i="7"/>
  <c r="Q33" i="7"/>
  <c r="S33" i="7"/>
  <c r="U33" i="7"/>
  <c r="L33" i="7"/>
  <c r="T33" i="7"/>
  <c r="G33" i="7"/>
  <c r="H33" i="7"/>
  <c r="J33" i="7"/>
  <c r="N33" i="7"/>
  <c r="O33" i="7"/>
  <c r="W33" i="7"/>
  <c r="Z33" i="7"/>
  <c r="Y33" i="7"/>
  <c r="X33" i="7"/>
  <c r="EB101" i="2"/>
  <c r="EE135" i="2"/>
  <c r="DX101" i="2"/>
  <c r="EA101" i="2"/>
  <c r="ED101" i="2"/>
  <c r="EC101" i="2"/>
  <c r="R32" i="7"/>
  <c r="K32" i="7"/>
  <c r="T32" i="7"/>
  <c r="Y32" i="7"/>
  <c r="Q32" i="7"/>
  <c r="J32" i="7"/>
  <c r="M32" i="7"/>
  <c r="H32" i="7"/>
  <c r="I32" i="7"/>
  <c r="G32" i="7"/>
  <c r="F32" i="7"/>
  <c r="L32" i="7"/>
  <c r="U32" i="7"/>
  <c r="P32" i="7"/>
  <c r="N32" i="7"/>
  <c r="O32" i="7"/>
  <c r="S32" i="7"/>
  <c r="V32" i="7"/>
  <c r="W32" i="7"/>
  <c r="Z32" i="7"/>
  <c r="X32" i="7"/>
  <c r="DW101" i="2"/>
  <c r="DY101" i="2"/>
  <c r="EE19" i="2"/>
  <c r="T31" i="7"/>
  <c r="J31" i="7"/>
  <c r="O31" i="7"/>
  <c r="P31" i="7"/>
  <c r="K31" i="7"/>
  <c r="Q31" i="7"/>
  <c r="F31" i="7"/>
  <c r="N31" i="7"/>
  <c r="U31" i="7"/>
  <c r="V31" i="7"/>
  <c r="I31" i="7"/>
  <c r="W31" i="7"/>
  <c r="R31" i="7"/>
  <c r="S31" i="7"/>
  <c r="H31" i="7"/>
  <c r="X31" i="7"/>
  <c r="M31" i="7"/>
  <c r="G31" i="7"/>
  <c r="Y31" i="7"/>
  <c r="L31" i="7"/>
  <c r="Z31" i="7"/>
  <c r="V30" i="7"/>
  <c r="K30" i="7"/>
  <c r="T30" i="7"/>
  <c r="I30" i="7"/>
  <c r="Q30" i="7"/>
  <c r="F30" i="7"/>
  <c r="R30" i="7"/>
  <c r="S30" i="7"/>
  <c r="H30" i="7"/>
  <c r="P30" i="7"/>
  <c r="J30" i="7"/>
  <c r="M30" i="7"/>
  <c r="L30" i="7"/>
  <c r="G30" i="7"/>
  <c r="Z30" i="7"/>
  <c r="U30" i="7"/>
  <c r="O30" i="7"/>
  <c r="N30" i="7"/>
  <c r="W30" i="7"/>
  <c r="Y30" i="7"/>
  <c r="X30" i="7"/>
  <c r="K29" i="7"/>
  <c r="W29" i="7"/>
  <c r="Q29" i="7"/>
  <c r="F29" i="7"/>
  <c r="R29" i="7"/>
  <c r="X29" i="7"/>
  <c r="S29" i="7"/>
  <c r="H29" i="7"/>
  <c r="Y29" i="7"/>
  <c r="T29" i="7"/>
  <c r="I29" i="7"/>
  <c r="Z29" i="7"/>
  <c r="P29" i="7"/>
  <c r="V29" i="7"/>
  <c r="N29" i="7"/>
  <c r="L29" i="7"/>
  <c r="G29" i="7"/>
  <c r="M29" i="7"/>
  <c r="U29" i="7"/>
  <c r="O29" i="7"/>
  <c r="J29" i="7"/>
  <c r="K18" i="7"/>
  <c r="M10" i="7"/>
  <c r="K26" i="7"/>
  <c r="M11" i="7"/>
  <c r="K27" i="7"/>
  <c r="M7" i="7"/>
  <c r="K22" i="7"/>
  <c r="M25" i="7"/>
  <c r="M8" i="7"/>
  <c r="F6" i="7"/>
  <c r="F27" i="7"/>
  <c r="M9" i="7"/>
  <c r="K25" i="7"/>
  <c r="F16" i="7"/>
  <c r="F28" i="7"/>
  <c r="M27" i="7"/>
  <c r="K28" i="7"/>
  <c r="F7" i="7"/>
  <c r="M14" i="7"/>
  <c r="M28" i="7"/>
  <c r="K20" i="7"/>
  <c r="K21" i="7"/>
  <c r="F8" i="7"/>
  <c r="F20" i="7"/>
  <c r="F23" i="7"/>
  <c r="F9" i="7"/>
  <c r="F17" i="7"/>
  <c r="F21" i="7"/>
  <c r="M16" i="7"/>
  <c r="F10" i="7"/>
  <c r="F22" i="7"/>
  <c r="F11" i="7"/>
  <c r="F18" i="7"/>
  <c r="M17" i="7"/>
  <c r="M23" i="7"/>
  <c r="F25" i="7"/>
  <c r="F14" i="7"/>
  <c r="M6" i="7"/>
  <c r="K23" i="7"/>
  <c r="P69" i="31"/>
  <c r="P30" i="31"/>
  <c r="M94" i="31"/>
  <c r="K19" i="7" s="1"/>
  <c r="M131" i="31"/>
  <c r="K24" i="7" s="1"/>
  <c r="D131" i="31"/>
  <c r="G35" i="31"/>
  <c r="F47" i="31"/>
  <c r="F15" i="7" s="1"/>
  <c r="P43" i="31"/>
  <c r="G47" i="31"/>
  <c r="F35" i="31"/>
  <c r="F13" i="7" s="1"/>
  <c r="P35" i="31"/>
  <c r="M13" i="7" s="1"/>
  <c r="P140" i="31"/>
  <c r="G140" i="31"/>
  <c r="F140" i="31"/>
  <c r="F26" i="7" s="1"/>
  <c r="D140" i="31"/>
  <c r="D34" i="31"/>
  <c r="D94" i="31"/>
  <c r="G34" i="31"/>
  <c r="P34" i="31"/>
  <c r="M12" i="7" s="1"/>
  <c r="F34" i="31"/>
  <c r="F12" i="7" s="1"/>
  <c r="F94" i="31"/>
  <c r="F19" i="7" s="1"/>
  <c r="D35" i="31"/>
  <c r="G131" i="31"/>
  <c r="F131" i="31"/>
  <c r="F24" i="7" s="1"/>
  <c r="P131" i="31"/>
  <c r="M24" i="7" s="1"/>
  <c r="P47" i="31"/>
  <c r="D47" i="31"/>
  <c r="M124" i="31" l="1"/>
  <c r="P124" i="31"/>
  <c r="P13" i="31"/>
  <c r="P146" i="31"/>
  <c r="M26" i="7"/>
  <c r="M103" i="31"/>
  <c r="P48" i="31"/>
  <c r="M15" i="7"/>
  <c r="M136" i="31"/>
  <c r="P136" i="31"/>
  <c r="P36" i="31"/>
  <c r="P111" i="31"/>
  <c r="P23" i="31" l="1"/>
  <c r="FI31" i="2" l="1"/>
  <c r="V35" i="31" s="1"/>
  <c r="S13" i="7" s="1"/>
  <c r="FH31" i="2"/>
  <c r="W35" i="31" s="1"/>
  <c r="T13" i="7" s="1"/>
  <c r="FG31" i="2"/>
  <c r="FF31" i="2"/>
  <c r="FE31" i="2"/>
  <c r="FD31" i="2"/>
  <c r="X35" i="31" s="1"/>
  <c r="U13" i="7" s="1"/>
  <c r="FC31" i="2"/>
  <c r="U35" i="31" s="1"/>
  <c r="R13" i="7" s="1"/>
  <c r="FB31" i="2"/>
  <c r="T35" i="31" s="1"/>
  <c r="Q13" i="7" s="1"/>
  <c r="FA31" i="2"/>
  <c r="EY31" i="2"/>
  <c r="FJ31" i="2" s="1"/>
  <c r="Y35" i="31" s="1"/>
  <c r="V13" i="7" s="1"/>
  <c r="DU31" i="2"/>
  <c r="DT31" i="2"/>
  <c r="DS31" i="2"/>
  <c r="DR31" i="2"/>
  <c r="DQ31" i="2"/>
  <c r="DP31" i="2"/>
  <c r="DO31" i="2"/>
  <c r="DN31" i="2"/>
  <c r="CQ31" i="2"/>
  <c r="CO31" i="2"/>
  <c r="CM31" i="2"/>
  <c r="CL31" i="2"/>
  <c r="CK31" i="2"/>
  <c r="CH31" i="2"/>
  <c r="CF31" i="2"/>
  <c r="CD31" i="2"/>
  <c r="CC31" i="2"/>
  <c r="CB31" i="2"/>
  <c r="BY31" i="2"/>
  <c r="BW31" i="2"/>
  <c r="BU31" i="2"/>
  <c r="BT31" i="2"/>
  <c r="BS31" i="2"/>
  <c r="BP31" i="2"/>
  <c r="BN31" i="2"/>
  <c r="CZ31" i="2" s="1"/>
  <c r="BL31" i="2"/>
  <c r="CX31" i="2" s="1"/>
  <c r="BK31" i="2"/>
  <c r="BJ31" i="2"/>
  <c r="BG31" i="2"/>
  <c r="BE31" i="2"/>
  <c r="BC31" i="2"/>
  <c r="BB31" i="2"/>
  <c r="BA31" i="2"/>
  <c r="AN31" i="2"/>
  <c r="CP31" i="2" s="1"/>
  <c r="AL31" i="2"/>
  <c r="CN31" i="2" s="1"/>
  <c r="AJ31" i="2"/>
  <c r="CG31" i="2" s="1"/>
  <c r="AH31" i="2"/>
  <c r="CE31" i="2" s="1"/>
  <c r="AF31" i="2"/>
  <c r="BX31" i="2" s="1"/>
  <c r="AD31" i="2"/>
  <c r="BV31" i="2" s="1"/>
  <c r="AB31" i="2"/>
  <c r="BO31" i="2" s="1"/>
  <c r="Z31" i="2"/>
  <c r="BM31" i="2" s="1"/>
  <c r="X31" i="2"/>
  <c r="BF31" i="2" s="1"/>
  <c r="V31" i="2"/>
  <c r="BD31" i="2" s="1"/>
  <c r="S31" i="2"/>
  <c r="L31" i="2"/>
  <c r="CI31" i="2" l="1"/>
  <c r="CJ31" i="2" s="1"/>
  <c r="BZ31" i="2"/>
  <c r="CA31" i="2" s="1"/>
  <c r="BQ31" i="2"/>
  <c r="BR31" i="2" s="1"/>
  <c r="BH31" i="2"/>
  <c r="FR31" i="2"/>
  <c r="FS31" i="2"/>
  <c r="S35" i="31"/>
  <c r="P13" i="7" s="1"/>
  <c r="FV31" i="2"/>
  <c r="EH31" i="2"/>
  <c r="K35" i="31" s="1"/>
  <c r="I13" i="7" s="1"/>
  <c r="EG31" i="2"/>
  <c r="I35" i="31" s="1"/>
  <c r="EL31" i="2"/>
  <c r="EF31" i="2"/>
  <c r="EK31" i="2"/>
  <c r="N35" i="31" s="1"/>
  <c r="L13" i="7" s="1"/>
  <c r="M35" i="31"/>
  <c r="K13" i="7" s="1"/>
  <c r="DB31" i="2"/>
  <c r="DF31" i="2"/>
  <c r="DK31" i="2"/>
  <c r="DH31" i="2"/>
  <c r="EI31" i="2" s="1"/>
  <c r="DG31" i="2"/>
  <c r="DE31" i="2"/>
  <c r="DI31" i="2"/>
  <c r="DJ31" i="2"/>
  <c r="CW31" i="2"/>
  <c r="DA31" i="2"/>
  <c r="DV31" i="2"/>
  <c r="CY31" i="2"/>
  <c r="CR31" i="2"/>
  <c r="CS31" i="2" s="1"/>
  <c r="CV31" i="2"/>
  <c r="H35" i="31" l="1"/>
  <c r="G13" i="7" s="1"/>
  <c r="FU31" i="2"/>
  <c r="H13" i="7"/>
  <c r="EM31" i="2"/>
  <c r="EN31" i="2" s="1"/>
  <c r="BI31" i="2"/>
  <c r="EE31" i="2"/>
  <c r="DL31" i="2"/>
  <c r="DM31" i="2" s="1"/>
  <c r="DC31" i="2"/>
  <c r="DD31" i="2" s="1"/>
  <c r="FT31" i="2" l="1"/>
  <c r="J35" i="31"/>
  <c r="L35" i="31"/>
  <c r="E35" i="31" l="1"/>
  <c r="J13" i="7"/>
  <c r="R35" i="31"/>
  <c r="Q35" i="31"/>
  <c r="N13" i="7" s="1"/>
  <c r="EQ32" i="2"/>
  <c r="Z35" i="31" l="1"/>
  <c r="W13" i="7" s="1"/>
  <c r="O13" i="7"/>
  <c r="AA35" i="31" l="1"/>
  <c r="AC35" i="31" s="1"/>
  <c r="FI30" i="2"/>
  <c r="FH30" i="2"/>
  <c r="W34" i="31" s="1"/>
  <c r="T12" i="7" s="1"/>
  <c r="FG30" i="2"/>
  <c r="FF30" i="2"/>
  <c r="FE30" i="2"/>
  <c r="FD30" i="2"/>
  <c r="X34" i="31" s="1"/>
  <c r="U12" i="7" s="1"/>
  <c r="FC30" i="2"/>
  <c r="U34" i="31" s="1"/>
  <c r="R12" i="7" s="1"/>
  <c r="FB30" i="2"/>
  <c r="T34" i="31" s="1"/>
  <c r="Q12" i="7" s="1"/>
  <c r="FA30" i="2"/>
  <c r="EY30" i="2"/>
  <c r="FJ30" i="2" s="1"/>
  <c r="Y34" i="31" s="1"/>
  <c r="V12" i="7" s="1"/>
  <c r="DU30" i="2"/>
  <c r="DT30" i="2"/>
  <c r="DS30" i="2"/>
  <c r="DR30" i="2"/>
  <c r="DQ30" i="2"/>
  <c r="DP30" i="2"/>
  <c r="DO30" i="2"/>
  <c r="DN30" i="2"/>
  <c r="DG30" i="2"/>
  <c r="CQ30" i="2"/>
  <c r="CO30" i="2"/>
  <c r="CM30" i="2"/>
  <c r="CL30" i="2"/>
  <c r="CK30" i="2"/>
  <c r="CH30" i="2"/>
  <c r="CF30" i="2"/>
  <c r="DI30" i="2" s="1"/>
  <c r="CD30" i="2"/>
  <c r="CC30" i="2"/>
  <c r="CB30" i="2"/>
  <c r="BY30" i="2"/>
  <c r="BW30" i="2"/>
  <c r="BU30" i="2"/>
  <c r="BT30" i="2"/>
  <c r="BS30" i="2"/>
  <c r="BP30" i="2"/>
  <c r="BN30" i="2"/>
  <c r="BL30" i="2"/>
  <c r="BK30" i="2"/>
  <c r="BJ30" i="2"/>
  <c r="BG30" i="2"/>
  <c r="BE30" i="2"/>
  <c r="BC30" i="2"/>
  <c r="BB30" i="2"/>
  <c r="BA30" i="2"/>
  <c r="AN30" i="2"/>
  <c r="CP30" i="2" s="1"/>
  <c r="AL30" i="2"/>
  <c r="CN30" i="2" s="1"/>
  <c r="AJ30" i="2"/>
  <c r="CG30" i="2" s="1"/>
  <c r="AH30" i="2"/>
  <c r="CE30" i="2" s="1"/>
  <c r="AF30" i="2"/>
  <c r="BX30" i="2" s="1"/>
  <c r="AD30" i="2"/>
  <c r="BV30" i="2" s="1"/>
  <c r="AB30" i="2"/>
  <c r="BO30" i="2" s="1"/>
  <c r="Z30" i="2"/>
  <c r="BM30" i="2" s="1"/>
  <c r="X30" i="2"/>
  <c r="BF30" i="2" s="1"/>
  <c r="V30" i="2"/>
  <c r="BD30" i="2" s="1"/>
  <c r="S30" i="2"/>
  <c r="L30" i="2"/>
  <c r="J22" i="13"/>
  <c r="BQ30" i="2" l="1"/>
  <c r="BR30" i="2" s="1"/>
  <c r="CI30" i="2"/>
  <c r="CJ30" i="2" s="1"/>
  <c r="BZ30" i="2"/>
  <c r="CA30" i="2" s="1"/>
  <c r="BH30" i="2"/>
  <c r="FR30" i="2"/>
  <c r="FS30" i="2"/>
  <c r="S34" i="31"/>
  <c r="P12" i="7" s="1"/>
  <c r="FV30" i="2"/>
  <c r="AD35" i="31"/>
  <c r="AE35" i="31"/>
  <c r="EH30" i="2"/>
  <c r="K34" i="31" s="1"/>
  <c r="I12" i="7" s="1"/>
  <c r="EG30" i="2"/>
  <c r="I34" i="31" s="1"/>
  <c r="EK30" i="2"/>
  <c r="N34" i="31" s="1"/>
  <c r="L12" i="7" s="1"/>
  <c r="EL30" i="2"/>
  <c r="EF30" i="2"/>
  <c r="Z13" i="7"/>
  <c r="Y13" i="7"/>
  <c r="X13" i="7"/>
  <c r="V34" i="31"/>
  <c r="S12" i="7" s="1"/>
  <c r="M34" i="31"/>
  <c r="K12" i="7" s="1"/>
  <c r="DJ30" i="2"/>
  <c r="DK30" i="2"/>
  <c r="CZ30" i="2"/>
  <c r="CX30" i="2"/>
  <c r="CW30" i="2"/>
  <c r="CV30" i="2"/>
  <c r="CY30" i="2"/>
  <c r="DB30" i="2"/>
  <c r="DA30" i="2"/>
  <c r="DF30" i="2"/>
  <c r="DV30" i="2"/>
  <c r="CR30" i="2"/>
  <c r="CS30" i="2" s="1"/>
  <c r="DH30" i="2"/>
  <c r="EI30" i="2" s="1"/>
  <c r="DE30" i="2"/>
  <c r="H34" i="31" l="1"/>
  <c r="G12" i="7" s="1"/>
  <c r="FU30" i="2"/>
  <c r="H12" i="7"/>
  <c r="EM30" i="2"/>
  <c r="EN30" i="2" s="1"/>
  <c r="EE30" i="2"/>
  <c r="DC30" i="2"/>
  <c r="DD30" i="2" s="1"/>
  <c r="DL30" i="2"/>
  <c r="DM30" i="2" s="1"/>
  <c r="BI30" i="2"/>
  <c r="FT30" i="2" l="1"/>
  <c r="J34" i="31"/>
  <c r="L34" i="31"/>
  <c r="Q34" i="31" l="1"/>
  <c r="N12" i="7" s="1"/>
  <c r="J12" i="7"/>
  <c r="E34" i="31"/>
  <c r="R34" i="31"/>
  <c r="O12" i="7" s="1"/>
  <c r="Z34" i="31" l="1"/>
  <c r="W12" i="7" s="1"/>
  <c r="S22" i="7"/>
  <c r="T22" i="7"/>
  <c r="U22" i="7"/>
  <c r="R22" i="7"/>
  <c r="Q22" i="7"/>
  <c r="V22" i="7"/>
  <c r="P22" i="7" l="1"/>
  <c r="J22" i="7"/>
  <c r="I22" i="7"/>
  <c r="L22" i="7"/>
  <c r="M20" i="7"/>
  <c r="AA34" i="31"/>
  <c r="AC34" i="31" s="1"/>
  <c r="G22" i="7" l="1"/>
  <c r="AD34" i="31"/>
  <c r="AE34" i="31"/>
  <c r="H22" i="7"/>
  <c r="X12" i="7"/>
  <c r="Z12" i="7"/>
  <c r="Y12" i="7" l="1"/>
  <c r="FH25" i="2" l="1"/>
  <c r="W29" i="31" s="1"/>
  <c r="T10" i="7" s="1"/>
  <c r="FG25" i="2"/>
  <c r="FF25" i="2"/>
  <c r="FE25" i="2"/>
  <c r="FC25" i="2"/>
  <c r="U29" i="31" s="1"/>
  <c r="R10" i="7" s="1"/>
  <c r="FB25" i="2"/>
  <c r="T29" i="31" s="1"/>
  <c r="Q10" i="7" s="1"/>
  <c r="FA25" i="2"/>
  <c r="FI25" i="2"/>
  <c r="V29" i="31" s="1"/>
  <c r="S10" i="7" s="1"/>
  <c r="FD25" i="2"/>
  <c r="X29" i="31" s="1"/>
  <c r="U10" i="7" s="1"/>
  <c r="DU25" i="2"/>
  <c r="DT25" i="2"/>
  <c r="DS25" i="2"/>
  <c r="DR25" i="2"/>
  <c r="DQ25" i="2"/>
  <c r="DP25" i="2"/>
  <c r="DO25" i="2"/>
  <c r="DN25" i="2"/>
  <c r="DL25" i="2"/>
  <c r="DK25" i="2"/>
  <c r="DJ25" i="2"/>
  <c r="DI25" i="2"/>
  <c r="DH25" i="2"/>
  <c r="DG25" i="2"/>
  <c r="DF25" i="2"/>
  <c r="DE25" i="2"/>
  <c r="CQ25" i="2"/>
  <c r="CO25" i="2"/>
  <c r="CM25" i="2"/>
  <c r="CL25" i="2"/>
  <c r="CK25" i="2"/>
  <c r="CH25" i="2"/>
  <c r="CF25" i="2"/>
  <c r="CD25" i="2"/>
  <c r="CC25" i="2"/>
  <c r="CB25" i="2"/>
  <c r="BY25" i="2"/>
  <c r="BW25" i="2"/>
  <c r="BU25" i="2"/>
  <c r="BT25" i="2"/>
  <c r="BS25" i="2"/>
  <c r="BP25" i="2"/>
  <c r="BN25" i="2"/>
  <c r="BL25" i="2"/>
  <c r="BK25" i="2"/>
  <c r="BJ25" i="2"/>
  <c r="BG25" i="2"/>
  <c r="BE25" i="2"/>
  <c r="BC25" i="2"/>
  <c r="BB25" i="2"/>
  <c r="BA25" i="2"/>
  <c r="AN25" i="2"/>
  <c r="CP25" i="2" s="1"/>
  <c r="AL25" i="2"/>
  <c r="CN25" i="2" s="1"/>
  <c r="AJ25" i="2"/>
  <c r="CG25" i="2" s="1"/>
  <c r="AH25" i="2"/>
  <c r="CE25" i="2" s="1"/>
  <c r="AF25" i="2"/>
  <c r="BX25" i="2" s="1"/>
  <c r="AD25" i="2"/>
  <c r="BV25" i="2" s="1"/>
  <c r="AB25" i="2"/>
  <c r="BO25" i="2" s="1"/>
  <c r="Z25" i="2"/>
  <c r="BM25" i="2" s="1"/>
  <c r="X25" i="2"/>
  <c r="BF25" i="2" s="1"/>
  <c r="V25" i="2"/>
  <c r="BD25" i="2" s="1"/>
  <c r="S25" i="2"/>
  <c r="L25" i="2"/>
  <c r="BN317" i="2"/>
  <c r="BN310" i="2"/>
  <c r="BQ322" i="2"/>
  <c r="BS322" i="2" s="1"/>
  <c r="BR315" i="2"/>
  <c r="BS315" i="2" s="1"/>
  <c r="BQ314" i="2"/>
  <c r="BR314" i="2" s="1"/>
  <c r="BS314" i="2" s="1"/>
  <c r="BH25" i="2" l="1"/>
  <c r="BQ25" i="2"/>
  <c r="BR25" i="2" s="1"/>
  <c r="CI25" i="2"/>
  <c r="CJ25" i="2" s="1"/>
  <c r="BZ25" i="2"/>
  <c r="CA25" i="2" s="1"/>
  <c r="FR25" i="2"/>
  <c r="FS25" i="2"/>
  <c r="BK84" i="2"/>
  <c r="BB84" i="2"/>
  <c r="S29" i="31"/>
  <c r="P10" i="7" s="1"/>
  <c r="FJ25" i="2"/>
  <c r="Y29" i="31" s="1"/>
  <c r="V10" i="7" s="1"/>
  <c r="EI25" i="2"/>
  <c r="L29" i="31" s="1"/>
  <c r="J10" i="7" s="1"/>
  <c r="EH25" i="2"/>
  <c r="K29" i="31" s="1"/>
  <c r="I10" i="7" s="1"/>
  <c r="EF25" i="2"/>
  <c r="EG25" i="2"/>
  <c r="I29" i="31" s="1"/>
  <c r="EK25" i="2"/>
  <c r="N29" i="31" s="1"/>
  <c r="L10" i="7" s="1"/>
  <c r="EL25" i="2"/>
  <c r="M29" i="31"/>
  <c r="K10" i="7" s="1"/>
  <c r="DV25" i="2"/>
  <c r="CZ25" i="2"/>
  <c r="DB25" i="2"/>
  <c r="DA25" i="2"/>
  <c r="CV25" i="2"/>
  <c r="CW25" i="2"/>
  <c r="DM25" i="2"/>
  <c r="CY25" i="2"/>
  <c r="CR25" i="2"/>
  <c r="CS25" i="2" s="1"/>
  <c r="CX25" i="2"/>
  <c r="FV25" i="2" l="1"/>
  <c r="H29" i="31"/>
  <c r="G10" i="7" s="1"/>
  <c r="FU25" i="2"/>
  <c r="H10" i="7"/>
  <c r="EM25" i="2"/>
  <c r="EN25" i="2" s="1"/>
  <c r="DC25" i="2"/>
  <c r="DD25" i="2" s="1"/>
  <c r="BI25" i="2"/>
  <c r="FT25" i="2" l="1"/>
  <c r="E29" i="31"/>
  <c r="J29" i="31"/>
  <c r="Q29" i="31" s="1"/>
  <c r="N10" i="7" s="1"/>
  <c r="R29" i="31"/>
  <c r="Z29" i="31" s="1"/>
  <c r="W10" i="7" s="1"/>
  <c r="O10" i="7" l="1"/>
  <c r="AA29" i="31"/>
  <c r="AC29" i="31" s="1"/>
  <c r="AD29" i="31" l="1"/>
  <c r="AE29" i="31"/>
  <c r="Z10" i="7"/>
  <c r="Y10" i="7"/>
  <c r="X10" i="7"/>
  <c r="S125" i="2" l="1"/>
  <c r="S121" i="2"/>
  <c r="BK91" i="2"/>
  <c r="EV84" i="2" l="1"/>
  <c r="EV101" i="2" s="1"/>
  <c r="EY84" i="2"/>
  <c r="EY101" i="2" s="1"/>
  <c r="CC45" i="2"/>
  <c r="CH45" i="2" l="1"/>
  <c r="FI45" i="2"/>
  <c r="V53" i="31" s="1"/>
  <c r="S17" i="7" s="1"/>
  <c r="FH45" i="2"/>
  <c r="W53" i="31" s="1"/>
  <c r="T17" i="7" s="1"/>
  <c r="FG45" i="2"/>
  <c r="FF45" i="2"/>
  <c r="FE45" i="2"/>
  <c r="FD45" i="2"/>
  <c r="X53" i="31" s="1"/>
  <c r="U17" i="7" s="1"/>
  <c r="FC45" i="2"/>
  <c r="U53" i="31" s="1"/>
  <c r="R17" i="7" s="1"/>
  <c r="FB45" i="2"/>
  <c r="T53" i="31" s="1"/>
  <c r="Q17" i="7" s="1"/>
  <c r="FA45" i="2"/>
  <c r="FJ45" i="2"/>
  <c r="Y53" i="31" s="1"/>
  <c r="V17" i="7" s="1"/>
  <c r="DU45" i="2"/>
  <c r="DT45" i="2"/>
  <c r="DS45" i="2"/>
  <c r="DR45" i="2"/>
  <c r="DQ45" i="2"/>
  <c r="DP45" i="2"/>
  <c r="DO45" i="2"/>
  <c r="DN45" i="2"/>
  <c r="DL45" i="2"/>
  <c r="DK45" i="2"/>
  <c r="DJ45" i="2"/>
  <c r="DI45" i="2"/>
  <c r="DH45" i="2"/>
  <c r="DG45" i="2"/>
  <c r="DF45" i="2"/>
  <c r="DE45" i="2"/>
  <c r="CQ45" i="2"/>
  <c r="CO45" i="2"/>
  <c r="CM45" i="2"/>
  <c r="CL45" i="2"/>
  <c r="CK45" i="2"/>
  <c r="CF45" i="2"/>
  <c r="CD45" i="2"/>
  <c r="CB45" i="2"/>
  <c r="BY45" i="2"/>
  <c r="BW45" i="2"/>
  <c r="BU45" i="2"/>
  <c r="BS45" i="2"/>
  <c r="BP45" i="2"/>
  <c r="BN45" i="2"/>
  <c r="BL45" i="2"/>
  <c r="BJ45" i="2"/>
  <c r="BG45" i="2"/>
  <c r="BE45" i="2"/>
  <c r="BC45" i="2"/>
  <c r="BA45" i="2"/>
  <c r="AN45" i="2"/>
  <c r="CP45" i="2" s="1"/>
  <c r="AL45" i="2"/>
  <c r="CN45" i="2" s="1"/>
  <c r="AJ45" i="2"/>
  <c r="CG45" i="2" s="1"/>
  <c r="AH45" i="2"/>
  <c r="CE45" i="2" s="1"/>
  <c r="AF45" i="2"/>
  <c r="BX45" i="2" s="1"/>
  <c r="AD45" i="2"/>
  <c r="BV45" i="2" s="1"/>
  <c r="AB45" i="2"/>
  <c r="BO45" i="2" s="1"/>
  <c r="Z45" i="2"/>
  <c r="BM45" i="2" s="1"/>
  <c r="X45" i="2"/>
  <c r="BF45" i="2" s="1"/>
  <c r="V45" i="2"/>
  <c r="BD45" i="2" s="1"/>
  <c r="S45" i="2"/>
  <c r="L45" i="2"/>
  <c r="CI45" i="2" l="1"/>
  <c r="CJ45" i="2" s="1"/>
  <c r="BZ45" i="2"/>
  <c r="CA45" i="2" s="1"/>
  <c r="BQ45" i="2"/>
  <c r="BR45" i="2" s="1"/>
  <c r="BH45" i="2"/>
  <c r="FR45" i="2"/>
  <c r="FS45" i="2"/>
  <c r="S53" i="31"/>
  <c r="P17" i="7" s="1"/>
  <c r="FV45" i="2"/>
  <c r="EI45" i="2"/>
  <c r="L53" i="31" s="1"/>
  <c r="J17" i="7" s="1"/>
  <c r="EH45" i="2"/>
  <c r="K53" i="31" s="1"/>
  <c r="I17" i="7" s="1"/>
  <c r="EK45" i="2"/>
  <c r="N53" i="31" s="1"/>
  <c r="L17" i="7" s="1"/>
  <c r="EL45" i="2"/>
  <c r="EF45" i="2"/>
  <c r="EG45" i="2"/>
  <c r="I53" i="31" s="1"/>
  <c r="M53" i="31"/>
  <c r="K17" i="7" s="1"/>
  <c r="CX45" i="2"/>
  <c r="CR45" i="2"/>
  <c r="CS45" i="2" s="1"/>
  <c r="CZ45" i="2"/>
  <c r="DB45" i="2"/>
  <c r="CW45" i="2"/>
  <c r="DV45" i="2"/>
  <c r="DA45" i="2"/>
  <c r="CY45" i="2"/>
  <c r="DM45" i="2"/>
  <c r="CV45" i="2"/>
  <c r="H53" i="31" l="1"/>
  <c r="E53" i="31" s="1"/>
  <c r="FU45" i="2"/>
  <c r="H17" i="7"/>
  <c r="EM45" i="2"/>
  <c r="EN45" i="2" s="1"/>
  <c r="EE45" i="2"/>
  <c r="DC45" i="2"/>
  <c r="DD45" i="2" s="1"/>
  <c r="BI45" i="2"/>
  <c r="FT45" i="2" l="1"/>
  <c r="R53" i="31"/>
  <c r="Z53" i="31" s="1"/>
  <c r="W17" i="7" s="1"/>
  <c r="G17" i="7"/>
  <c r="J53" i="31"/>
  <c r="Q53" i="31" s="1"/>
  <c r="N17" i="7" s="1"/>
  <c r="O17" i="7" l="1"/>
  <c r="AA53" i="31"/>
  <c r="AC53" i="31" s="1"/>
  <c r="BT125" i="2"/>
  <c r="AD53" i="31" l="1"/>
  <c r="AE53" i="31"/>
  <c r="Z17" i="7"/>
  <c r="Y17" i="7"/>
  <c r="X17" i="7"/>
  <c r="CC114" i="2" l="1"/>
  <c r="CC164" i="2" l="1"/>
  <c r="BK114" i="2"/>
  <c r="BB114" i="2"/>
  <c r="BA134" i="2"/>
  <c r="BA10" i="2"/>
  <c r="BA132" i="2"/>
  <c r="BK164" i="2" l="1"/>
  <c r="BB164" i="2"/>
  <c r="J97" i="2"/>
  <c r="FI132" i="2" l="1"/>
  <c r="V143" i="31" s="1"/>
  <c r="S27" i="7" s="1"/>
  <c r="FH132" i="2"/>
  <c r="W143" i="31" s="1"/>
  <c r="T27" i="7" s="1"/>
  <c r="FG132" i="2"/>
  <c r="FF132" i="2"/>
  <c r="FE132" i="2"/>
  <c r="X143" i="31"/>
  <c r="U27" i="7" s="1"/>
  <c r="FC132" i="2"/>
  <c r="U143" i="31" s="1"/>
  <c r="R27" i="7" s="1"/>
  <c r="FB132" i="2"/>
  <c r="T143" i="31" s="1"/>
  <c r="Q27" i="7" s="1"/>
  <c r="FJ132" i="2"/>
  <c r="Y143" i="31" s="1"/>
  <c r="V27" i="7" s="1"/>
  <c r="DU132" i="2"/>
  <c r="DT132" i="2"/>
  <c r="DS132" i="2"/>
  <c r="DR132" i="2"/>
  <c r="DQ132" i="2"/>
  <c r="DP132" i="2"/>
  <c r="DO132" i="2"/>
  <c r="DN132" i="2"/>
  <c r="DL132" i="2"/>
  <c r="DK132" i="2"/>
  <c r="DJ132" i="2"/>
  <c r="DI132" i="2"/>
  <c r="DH132" i="2"/>
  <c r="DG132" i="2"/>
  <c r="DF132" i="2"/>
  <c r="DE132" i="2"/>
  <c r="CQ132" i="2"/>
  <c r="CO132" i="2"/>
  <c r="CM132" i="2"/>
  <c r="CL132" i="2"/>
  <c r="CK132" i="2"/>
  <c r="CH132" i="2"/>
  <c r="CF132" i="2"/>
  <c r="CD132" i="2"/>
  <c r="CC132" i="2"/>
  <c r="CB132" i="2"/>
  <c r="BY132" i="2"/>
  <c r="BW132" i="2"/>
  <c r="BU132" i="2"/>
  <c r="BT132" i="2"/>
  <c r="BS132" i="2"/>
  <c r="BP132" i="2"/>
  <c r="BN132" i="2"/>
  <c r="BJ132" i="2"/>
  <c r="BG132" i="2"/>
  <c r="BE132" i="2"/>
  <c r="AN132" i="2"/>
  <c r="CP132" i="2" s="1"/>
  <c r="AL132" i="2"/>
  <c r="CN132" i="2" s="1"/>
  <c r="AJ132" i="2"/>
  <c r="CG132" i="2" s="1"/>
  <c r="AH132" i="2"/>
  <c r="CE132" i="2" s="1"/>
  <c r="AF132" i="2"/>
  <c r="BX132" i="2" s="1"/>
  <c r="AD132" i="2"/>
  <c r="BV132" i="2" s="1"/>
  <c r="AB132" i="2"/>
  <c r="BO132" i="2" s="1"/>
  <c r="Z132" i="2"/>
  <c r="BM132" i="2" s="1"/>
  <c r="X132" i="2"/>
  <c r="BF132" i="2" s="1"/>
  <c r="V132" i="2"/>
  <c r="BD132" i="2" s="1"/>
  <c r="S132" i="2"/>
  <c r="BG134" i="2"/>
  <c r="FI134" i="2"/>
  <c r="V145" i="31" s="1"/>
  <c r="S28" i="7" s="1"/>
  <c r="FH134" i="2"/>
  <c r="W145" i="31" s="1"/>
  <c r="T28" i="7" s="1"/>
  <c r="FG134" i="2"/>
  <c r="FF134" i="2"/>
  <c r="FE134" i="2"/>
  <c r="FC134" i="2"/>
  <c r="U145" i="31" s="1"/>
  <c r="R28" i="7" s="1"/>
  <c r="FB134" i="2"/>
  <c r="T145" i="31" s="1"/>
  <c r="Q28" i="7" s="1"/>
  <c r="FA134" i="2"/>
  <c r="FD134" i="2"/>
  <c r="X145" i="31" s="1"/>
  <c r="U28" i="7" s="1"/>
  <c r="DU134" i="2"/>
  <c r="DT134" i="2"/>
  <c r="DS134" i="2"/>
  <c r="DR134" i="2"/>
  <c r="DQ134" i="2"/>
  <c r="DP134" i="2"/>
  <c r="DO134" i="2"/>
  <c r="DN134" i="2"/>
  <c r="CZ134" i="2"/>
  <c r="CQ134" i="2"/>
  <c r="CO134" i="2"/>
  <c r="CM134" i="2"/>
  <c r="CL134" i="2"/>
  <c r="CK134" i="2"/>
  <c r="CH134" i="2"/>
  <c r="CF134" i="2"/>
  <c r="CD134" i="2"/>
  <c r="CC134" i="2"/>
  <c r="CB134" i="2"/>
  <c r="BY134" i="2"/>
  <c r="BW134" i="2"/>
  <c r="BU134" i="2"/>
  <c r="BT134" i="2"/>
  <c r="BS134" i="2"/>
  <c r="BP134" i="2"/>
  <c r="BN134" i="2"/>
  <c r="BL134" i="2"/>
  <c r="BJ134" i="2"/>
  <c r="BE134" i="2"/>
  <c r="CV134" i="2"/>
  <c r="AN134" i="2"/>
  <c r="AL134" i="2"/>
  <c r="AJ134" i="2"/>
  <c r="AH134" i="2"/>
  <c r="AF134" i="2"/>
  <c r="AD134" i="2"/>
  <c r="AB134" i="2"/>
  <c r="Z134" i="2"/>
  <c r="X134" i="2"/>
  <c r="V134" i="2"/>
  <c r="S134" i="2"/>
  <c r="CC166" i="2"/>
  <c r="CC23" i="2"/>
  <c r="CI132" i="2" l="1"/>
  <c r="CJ132" i="2" s="1"/>
  <c r="BH132" i="2"/>
  <c r="BZ132" i="2"/>
  <c r="CA132" i="2" s="1"/>
  <c r="BQ132" i="2"/>
  <c r="FS132" i="2"/>
  <c r="EL132" i="2"/>
  <c r="EH134" i="2"/>
  <c r="K145" i="31" s="1"/>
  <c r="I28" i="7" s="1"/>
  <c r="FR132" i="2"/>
  <c r="S145" i="31"/>
  <c r="P28" i="7" s="1"/>
  <c r="S143" i="31"/>
  <c r="P27" i="7" s="1"/>
  <c r="FV132" i="2"/>
  <c r="EI132" i="2"/>
  <c r="L143" i="31" s="1"/>
  <c r="J27" i="7" s="1"/>
  <c r="EH132" i="2"/>
  <c r="K143" i="31" s="1"/>
  <c r="I27" i="7" s="1"/>
  <c r="EK132" i="2"/>
  <c r="N143" i="31" s="1"/>
  <c r="L27" i="7" s="1"/>
  <c r="EG132" i="2"/>
  <c r="I143" i="31" s="1"/>
  <c r="EL134" i="2"/>
  <c r="EG134" i="2"/>
  <c r="I145" i="31" s="1"/>
  <c r="EF132" i="2"/>
  <c r="EF134" i="2"/>
  <c r="FU134" i="2" s="1"/>
  <c r="BO134" i="2"/>
  <c r="BV134" i="2"/>
  <c r="BX134" i="2"/>
  <c r="CE134" i="2"/>
  <c r="FJ134" i="2"/>
  <c r="Y145" i="31" s="1"/>
  <c r="V28" i="7" s="1"/>
  <c r="CG134" i="2"/>
  <c r="CN134" i="2"/>
  <c r="CP134" i="2"/>
  <c r="CX134" i="2"/>
  <c r="BD134" i="2"/>
  <c r="BF134" i="2"/>
  <c r="BM134" i="2"/>
  <c r="DK134" i="2"/>
  <c r="DI134" i="2"/>
  <c r="DF134" i="2"/>
  <c r="CR132" i="2"/>
  <c r="CS132" i="2" s="1"/>
  <c r="DG134" i="2"/>
  <c r="CX132" i="2"/>
  <c r="DE134" i="2"/>
  <c r="DB132" i="2"/>
  <c r="DM132" i="2"/>
  <c r="DA132" i="2"/>
  <c r="DV132" i="2"/>
  <c r="CV132" i="2"/>
  <c r="CY132" i="2"/>
  <c r="CZ132" i="2"/>
  <c r="CW132" i="2"/>
  <c r="DB134" i="2"/>
  <c r="CW134" i="2"/>
  <c r="DV134" i="2"/>
  <c r="DA134" i="2"/>
  <c r="BZ134" i="2" l="1"/>
  <c r="CA134" i="2" s="1"/>
  <c r="BH134" i="2"/>
  <c r="CI134" i="2"/>
  <c r="CJ134" i="2" s="1"/>
  <c r="BQ134" i="2"/>
  <c r="FS134" i="2"/>
  <c r="FR134" i="2"/>
  <c r="FV134" i="2"/>
  <c r="H143" i="31"/>
  <c r="E143" i="31" s="1"/>
  <c r="FU132" i="2"/>
  <c r="H28" i="7"/>
  <c r="H27" i="7"/>
  <c r="EK134" i="2"/>
  <c r="N145" i="31" s="1"/>
  <c r="L28" i="7" s="1"/>
  <c r="EM132" i="2"/>
  <c r="EN132" i="2" s="1"/>
  <c r="H145" i="31"/>
  <c r="BI132" i="2"/>
  <c r="CR134" i="2"/>
  <c r="CS134" i="2" s="1"/>
  <c r="DJ134" i="2"/>
  <c r="CY134" i="2"/>
  <c r="DH134" i="2"/>
  <c r="EI134" i="2" s="1"/>
  <c r="DC132" i="2"/>
  <c r="DD132" i="2" s="1"/>
  <c r="BR132" i="2"/>
  <c r="DC134" i="2"/>
  <c r="FT132" i="2" l="1"/>
  <c r="R143" i="31"/>
  <c r="Z143" i="31" s="1"/>
  <c r="W27" i="7" s="1"/>
  <c r="J143" i="31"/>
  <c r="Q143" i="31" s="1"/>
  <c r="N27" i="7" s="1"/>
  <c r="G27" i="7"/>
  <c r="G28" i="7"/>
  <c r="J145" i="31"/>
  <c r="L145" i="31"/>
  <c r="J28" i="7" s="1"/>
  <c r="EM134" i="2"/>
  <c r="EN134" i="2" s="1"/>
  <c r="DL134" i="2"/>
  <c r="BR134" i="2"/>
  <c r="BI134" i="2"/>
  <c r="DD134" i="2"/>
  <c r="FT134" i="2" l="1"/>
  <c r="O27" i="7"/>
  <c r="E145" i="31"/>
  <c r="R145" i="31"/>
  <c r="Z145" i="31" s="1"/>
  <c r="W28" i="7" s="1"/>
  <c r="Q145" i="31"/>
  <c r="N28" i="7" s="1"/>
  <c r="AA143" i="31"/>
  <c r="AC143" i="31" s="1"/>
  <c r="DM134" i="2"/>
  <c r="AD143" i="31" l="1"/>
  <c r="AE143" i="31"/>
  <c r="O28" i="7"/>
  <c r="Z27" i="7"/>
  <c r="Y27" i="7"/>
  <c r="X27" i="7"/>
  <c r="AA145" i="31"/>
  <c r="AC145" i="31" s="1"/>
  <c r="DU129" i="2"/>
  <c r="DT129" i="2"/>
  <c r="DS129" i="2"/>
  <c r="DR129" i="2"/>
  <c r="DR135" i="2" s="1"/>
  <c r="DQ129" i="2"/>
  <c r="DQ135" i="2" s="1"/>
  <c r="DP129" i="2"/>
  <c r="DP135" i="2" s="1"/>
  <c r="DO129" i="2"/>
  <c r="DO135" i="2" s="1"/>
  <c r="DN129" i="2"/>
  <c r="DN135" i="2" s="1"/>
  <c r="DL129" i="2"/>
  <c r="DL135" i="2" s="1"/>
  <c r="DK129" i="2"/>
  <c r="DK135" i="2" s="1"/>
  <c r="DJ129" i="2"/>
  <c r="DJ135" i="2" s="1"/>
  <c r="DI129" i="2"/>
  <c r="DH129" i="2"/>
  <c r="DG129" i="2"/>
  <c r="DF129" i="2"/>
  <c r="DE129" i="2"/>
  <c r="DE135" i="2" s="1"/>
  <c r="DU125" i="2"/>
  <c r="DT125" i="2"/>
  <c r="DS125" i="2"/>
  <c r="DR125" i="2"/>
  <c r="DQ125" i="2"/>
  <c r="DP125" i="2"/>
  <c r="DO125" i="2"/>
  <c r="DN125" i="2"/>
  <c r="DU121" i="2"/>
  <c r="DT121" i="2"/>
  <c r="DS121" i="2"/>
  <c r="DR121" i="2"/>
  <c r="DQ121" i="2"/>
  <c r="DP121" i="2"/>
  <c r="DO121" i="2"/>
  <c r="DN121" i="2"/>
  <c r="DU117" i="2"/>
  <c r="DT117" i="2"/>
  <c r="DS117" i="2"/>
  <c r="DR117" i="2"/>
  <c r="DQ117" i="2"/>
  <c r="DP117" i="2"/>
  <c r="DO117" i="2"/>
  <c r="DN117" i="2"/>
  <c r="DL117" i="2"/>
  <c r="DK117" i="2"/>
  <c r="DJ117" i="2"/>
  <c r="DI117" i="2"/>
  <c r="DH117" i="2"/>
  <c r="DG117" i="2"/>
  <c r="DF117" i="2"/>
  <c r="DE117" i="2"/>
  <c r="DU114" i="2"/>
  <c r="DT114" i="2"/>
  <c r="DS114" i="2"/>
  <c r="DR114" i="2"/>
  <c r="DQ114" i="2"/>
  <c r="DP114" i="2"/>
  <c r="DO114" i="2"/>
  <c r="DN114" i="2"/>
  <c r="DC114" i="2"/>
  <c r="DB114" i="2"/>
  <c r="DA114" i="2"/>
  <c r="CZ114" i="2"/>
  <c r="CY114" i="2"/>
  <c r="CX114" i="2"/>
  <c r="CW114" i="2"/>
  <c r="CV114" i="2"/>
  <c r="BZ219" i="2"/>
  <c r="BY219" i="2"/>
  <c r="BX219" i="2"/>
  <c r="BW219" i="2"/>
  <c r="BT219" i="2"/>
  <c r="BS219" i="2"/>
  <c r="BQ219" i="2"/>
  <c r="P99" i="31"/>
  <c r="BO219" i="2"/>
  <c r="BN219" i="2"/>
  <c r="BK219" i="2"/>
  <c r="BJ219" i="2"/>
  <c r="DU87" i="2"/>
  <c r="BZ217" i="2" s="1"/>
  <c r="DT87" i="2"/>
  <c r="BY217" i="2" s="1"/>
  <c r="DS87" i="2"/>
  <c r="BX217" i="2" s="1"/>
  <c r="DR87" i="2"/>
  <c r="BW217" i="2" s="1"/>
  <c r="DQ87" i="2"/>
  <c r="BV217" i="2" s="1"/>
  <c r="DP87" i="2"/>
  <c r="BU217" i="2" s="1"/>
  <c r="DO87" i="2"/>
  <c r="BT217" i="2" s="1"/>
  <c r="DN87" i="2"/>
  <c r="BS217" i="2" s="1"/>
  <c r="DL87" i="2"/>
  <c r="BQ217" i="2" s="1"/>
  <c r="DK87" i="2"/>
  <c r="DJ87" i="2"/>
  <c r="BO217" i="2" s="1"/>
  <c r="DI87" i="2"/>
  <c r="BN217" i="2" s="1"/>
  <c r="DH87" i="2"/>
  <c r="BM217" i="2" s="1"/>
  <c r="DG87" i="2"/>
  <c r="BL217" i="2" s="1"/>
  <c r="DF87" i="2"/>
  <c r="BK217" i="2" s="1"/>
  <c r="DE87" i="2"/>
  <c r="BJ217" i="2" s="1"/>
  <c r="DU86" i="2"/>
  <c r="DT86" i="2"/>
  <c r="DS86" i="2"/>
  <c r="DR86" i="2"/>
  <c r="DQ86" i="2"/>
  <c r="DP86" i="2"/>
  <c r="DO86" i="2"/>
  <c r="DN86" i="2"/>
  <c r="DL86" i="2"/>
  <c r="DK86" i="2"/>
  <c r="DJ86" i="2"/>
  <c r="DI86" i="2"/>
  <c r="DH86" i="2"/>
  <c r="DG86" i="2"/>
  <c r="DF86" i="2"/>
  <c r="DE86" i="2"/>
  <c r="DU83" i="2"/>
  <c r="BZ213" i="2" s="1"/>
  <c r="DT83" i="2"/>
  <c r="BY213" i="2" s="1"/>
  <c r="DS83" i="2"/>
  <c r="BX213" i="2" s="1"/>
  <c r="DR83" i="2"/>
  <c r="BW213" i="2" s="1"/>
  <c r="DQ83" i="2"/>
  <c r="DP83" i="2"/>
  <c r="DO83" i="2"/>
  <c r="BT213" i="2" s="1"/>
  <c r="DN83" i="2"/>
  <c r="BS213" i="2" s="1"/>
  <c r="DC83" i="2"/>
  <c r="BH213" i="2" s="1"/>
  <c r="DB83" i="2"/>
  <c r="BG213" i="2" s="1"/>
  <c r="DA83" i="2"/>
  <c r="BF213" i="2" s="1"/>
  <c r="CZ83" i="2"/>
  <c r="BE213" i="2" s="1"/>
  <c r="CY83" i="2"/>
  <c r="CX83" i="2"/>
  <c r="CW83" i="2"/>
  <c r="BB213" i="2" s="1"/>
  <c r="CV83" i="2"/>
  <c r="BA213" i="2" s="1"/>
  <c r="BV212" i="2"/>
  <c r="BU212" i="2"/>
  <c r="BD212" i="2"/>
  <c r="BC212" i="2"/>
  <c r="DU91" i="2" l="1"/>
  <c r="DT91" i="2"/>
  <c r="DS91" i="2"/>
  <c r="DR91" i="2"/>
  <c r="DO91" i="2"/>
  <c r="DN91" i="2"/>
  <c r="DL91" i="2"/>
  <c r="DK91" i="2"/>
  <c r="P100" i="31" s="1"/>
  <c r="DJ91" i="2"/>
  <c r="DI91" i="2"/>
  <c r="DF91" i="2"/>
  <c r="DE91" i="2"/>
  <c r="BV216" i="2"/>
  <c r="DQ91" i="2"/>
  <c r="BU216" i="2"/>
  <c r="DP91" i="2"/>
  <c r="BM216" i="2"/>
  <c r="DH91" i="2"/>
  <c r="BL216" i="2"/>
  <c r="DG91" i="2"/>
  <c r="R99" i="31"/>
  <c r="Q99" i="31"/>
  <c r="M36" i="7"/>
  <c r="AD145" i="31"/>
  <c r="AE145" i="31"/>
  <c r="DS126" i="2"/>
  <c r="DT126" i="2"/>
  <c r="DU126" i="2"/>
  <c r="BX216" i="2"/>
  <c r="BY223" i="2"/>
  <c r="DT97" i="2"/>
  <c r="BW212" i="2"/>
  <c r="DR84" i="2"/>
  <c r="BY212" i="2"/>
  <c r="DT84" i="2"/>
  <c r="BP216" i="2"/>
  <c r="BG223" i="2"/>
  <c r="DB97" i="2"/>
  <c r="DP126" i="2"/>
  <c r="DG135" i="2"/>
  <c r="DT135" i="2"/>
  <c r="BW223" i="2"/>
  <c r="DR97" i="2"/>
  <c r="BY216" i="2"/>
  <c r="BN216" i="2"/>
  <c r="BE223" i="2"/>
  <c r="CZ97" i="2"/>
  <c r="DO126" i="2"/>
  <c r="DF135" i="2"/>
  <c r="DQ126" i="2"/>
  <c r="DH135" i="2"/>
  <c r="DU135" i="2"/>
  <c r="BF212" i="2"/>
  <c r="DA84" i="2"/>
  <c r="BG212" i="2"/>
  <c r="DB84" i="2"/>
  <c r="BW216" i="2"/>
  <c r="BX223" i="2"/>
  <c r="DS97" i="2"/>
  <c r="DN126" i="2"/>
  <c r="BX212" i="2"/>
  <c r="DS84" i="2"/>
  <c r="BO216" i="2"/>
  <c r="BF223" i="2"/>
  <c r="DA97" i="2"/>
  <c r="DS135" i="2"/>
  <c r="BE212" i="2"/>
  <c r="CZ84" i="2"/>
  <c r="DR126" i="2"/>
  <c r="DI135" i="2"/>
  <c r="BU223" i="2"/>
  <c r="DP97" i="2"/>
  <c r="BV223" i="2"/>
  <c r="DQ97" i="2"/>
  <c r="BC223" i="2"/>
  <c r="CX97" i="2"/>
  <c r="BD223" i="2"/>
  <c r="CY97" i="2"/>
  <c r="BM219" i="2"/>
  <c r="BL219" i="2"/>
  <c r="BU219" i="2"/>
  <c r="BV219" i="2"/>
  <c r="BD213" i="2"/>
  <c r="CY84" i="2"/>
  <c r="BC213" i="2"/>
  <c r="CX84" i="2"/>
  <c r="BU213" i="2"/>
  <c r="DP84" i="2"/>
  <c r="BV213" i="2"/>
  <c r="DQ84" i="2"/>
  <c r="BT223" i="2"/>
  <c r="DO97" i="2"/>
  <c r="BA223" i="2"/>
  <c r="CV97" i="2"/>
  <c r="BB223" i="2"/>
  <c r="CW97" i="2"/>
  <c r="BZ223" i="2"/>
  <c r="DU97" i="2"/>
  <c r="BH223" i="2"/>
  <c r="DC97" i="2"/>
  <c r="BS223" i="2"/>
  <c r="DN97" i="2"/>
  <c r="BK216" i="2"/>
  <c r="BZ216" i="2"/>
  <c r="BT216" i="2"/>
  <c r="BJ216" i="2"/>
  <c r="BQ216" i="2"/>
  <c r="BS216" i="2"/>
  <c r="BB212" i="2"/>
  <c r="CW84" i="2"/>
  <c r="BA212" i="2"/>
  <c r="CV84" i="2"/>
  <c r="BZ212" i="2"/>
  <c r="DU84" i="2"/>
  <c r="BH212" i="2"/>
  <c r="DC84" i="2"/>
  <c r="BS212" i="2"/>
  <c r="DN84" i="2"/>
  <c r="DO84" i="2"/>
  <c r="Z28" i="7"/>
  <c r="Y28" i="7"/>
  <c r="X28" i="7"/>
  <c r="P101" i="31"/>
  <c r="M21" i="7" s="1"/>
  <c r="BP219" i="2"/>
  <c r="BP217" i="2"/>
  <c r="M95" i="31"/>
  <c r="DD114" i="2"/>
  <c r="DD83" i="2"/>
  <c r="BI213" i="2" s="1"/>
  <c r="DV125" i="2"/>
  <c r="DV87" i="2"/>
  <c r="CA217" i="2" s="1"/>
  <c r="DV114" i="2"/>
  <c r="DV117" i="2"/>
  <c r="DV129" i="2"/>
  <c r="DV135" i="2" s="1"/>
  <c r="DM87" i="2"/>
  <c r="BR217" i="2" s="1"/>
  <c r="DM86" i="2"/>
  <c r="CA219" i="2"/>
  <c r="DV121" i="2"/>
  <c r="BR219" i="2"/>
  <c r="DM117" i="2"/>
  <c r="DM129" i="2"/>
  <c r="DV83" i="2"/>
  <c r="CA213" i="2" s="1"/>
  <c r="DV86" i="2"/>
  <c r="DM91" i="2" l="1"/>
  <c r="DV91" i="2"/>
  <c r="Q100" i="31"/>
  <c r="R100" i="31"/>
  <c r="M40" i="7"/>
  <c r="DS101" i="2"/>
  <c r="N36" i="7"/>
  <c r="Z99" i="31"/>
  <c r="W36" i="7" s="1"/>
  <c r="O36" i="7"/>
  <c r="DV126" i="2"/>
  <c r="DT101" i="2"/>
  <c r="DM135" i="2"/>
  <c r="DR101" i="2"/>
  <c r="DO101" i="2"/>
  <c r="DQ101" i="2"/>
  <c r="DN101" i="2"/>
  <c r="DP101" i="2"/>
  <c r="DU101" i="2"/>
  <c r="BI223" i="2"/>
  <c r="DD97" i="2"/>
  <c r="CA223" i="2"/>
  <c r="DV97" i="2"/>
  <c r="BR216" i="2"/>
  <c r="CA216" i="2"/>
  <c r="CA212" i="2"/>
  <c r="DV84" i="2"/>
  <c r="BI212" i="2"/>
  <c r="DD84" i="2"/>
  <c r="CO197" i="2"/>
  <c r="CO245" i="2" s="1"/>
  <c r="BZ197" i="2"/>
  <c r="BY197" i="2"/>
  <c r="BX197" i="2"/>
  <c r="BW197" i="2"/>
  <c r="BV197" i="2"/>
  <c r="BU197" i="2"/>
  <c r="BT197" i="2"/>
  <c r="BS197" i="2"/>
  <c r="BQ197" i="2"/>
  <c r="BP197" i="2"/>
  <c r="L57" i="2"/>
  <c r="Z100" i="31" l="1"/>
  <c r="W40" i="7" s="1"/>
  <c r="O40" i="7"/>
  <c r="N40" i="7"/>
  <c r="AA99" i="31"/>
  <c r="AC99" i="31" s="1"/>
  <c r="DV101" i="2"/>
  <c r="CQ197" i="2"/>
  <c r="CQ245" i="2" s="1"/>
  <c r="CB197" i="2"/>
  <c r="BK197" i="2"/>
  <c r="BJ197" i="2"/>
  <c r="BL197" i="2"/>
  <c r="BM197" i="2"/>
  <c r="BO197" i="2"/>
  <c r="CC197" i="2"/>
  <c r="BN197" i="2"/>
  <c r="CD197" i="2"/>
  <c r="CF197" i="2"/>
  <c r="CG197" i="2"/>
  <c r="CH197" i="2"/>
  <c r="CE197" i="2"/>
  <c r="CA197" i="2"/>
  <c r="BR197" i="2"/>
  <c r="AA100" i="31" l="1"/>
  <c r="AC100" i="31" s="1"/>
  <c r="Z36" i="7"/>
  <c r="Y36" i="7"/>
  <c r="X36" i="7"/>
  <c r="CP197" i="2"/>
  <c r="CP245" i="2" s="1"/>
  <c r="CM197" i="2"/>
  <c r="CM245" i="2" s="1"/>
  <c r="CI197" i="2"/>
  <c r="BC197" i="2"/>
  <c r="BF197" i="2"/>
  <c r="BG197" i="2"/>
  <c r="BD197" i="2"/>
  <c r="BE197" i="2"/>
  <c r="BB197" i="2"/>
  <c r="BA197" i="2"/>
  <c r="Z40" i="7" l="1"/>
  <c r="Y40" i="7"/>
  <c r="X40" i="7"/>
  <c r="CN197" i="2"/>
  <c r="CN245" i="2" s="1"/>
  <c r="CJ197" i="2"/>
  <c r="BI197" i="2"/>
  <c r="BH197" i="2"/>
  <c r="T151" i="2" l="1"/>
  <c r="K84" i="2"/>
  <c r="J84" i="2"/>
  <c r="FI83" i="2"/>
  <c r="V94" i="31" s="1"/>
  <c r="S19" i="7" s="1"/>
  <c r="FH83" i="2"/>
  <c r="W94" i="31" s="1"/>
  <c r="T19" i="7" s="1"/>
  <c r="FG83" i="2"/>
  <c r="FF83" i="2"/>
  <c r="FE83" i="2"/>
  <c r="FD83" i="2"/>
  <c r="X94" i="31" s="1"/>
  <c r="U19" i="7" s="1"/>
  <c r="FC83" i="2"/>
  <c r="U94" i="31" s="1"/>
  <c r="R19" i="7" s="1"/>
  <c r="FB83" i="2"/>
  <c r="T94" i="31" s="1"/>
  <c r="Q19" i="7" s="1"/>
  <c r="FA83" i="2"/>
  <c r="FJ83" i="2"/>
  <c r="Y94" i="31" s="1"/>
  <c r="V19" i="7" s="1"/>
  <c r="CQ83" i="2"/>
  <c r="CO83" i="2"/>
  <c r="CL83" i="2"/>
  <c r="CK83" i="2"/>
  <c r="CH83" i="2"/>
  <c r="CF83" i="2"/>
  <c r="CD83" i="2"/>
  <c r="CC83" i="2"/>
  <c r="CB83" i="2"/>
  <c r="BY83" i="2"/>
  <c r="BW83" i="2"/>
  <c r="BU83" i="2"/>
  <c r="BS83" i="2"/>
  <c r="BN83" i="2"/>
  <c r="BJ83" i="2"/>
  <c r="BG83" i="2"/>
  <c r="BE83" i="2"/>
  <c r="BC83" i="2"/>
  <c r="BA83" i="2"/>
  <c r="AN83" i="2"/>
  <c r="CP83" i="2" s="1"/>
  <c r="AL83" i="2"/>
  <c r="CN83" i="2" s="1"/>
  <c r="AJ83" i="2"/>
  <c r="CG83" i="2" s="1"/>
  <c r="AH83" i="2"/>
  <c r="CE83" i="2" s="1"/>
  <c r="AF83" i="2"/>
  <c r="BX83" i="2" s="1"/>
  <c r="AD83" i="2"/>
  <c r="BV83" i="2" s="1"/>
  <c r="AB83" i="2"/>
  <c r="BO83" i="2" s="1"/>
  <c r="Z83" i="2"/>
  <c r="X83" i="2"/>
  <c r="BF83" i="2" s="1"/>
  <c r="V83" i="2"/>
  <c r="BD83" i="2" s="1"/>
  <c r="S83" i="2"/>
  <c r="L83" i="2"/>
  <c r="BK23" i="2"/>
  <c r="BB125" i="2"/>
  <c r="BB23" i="2"/>
  <c r="CI83" i="2" l="1"/>
  <c r="CJ83" i="2" s="1"/>
  <c r="BZ83" i="2"/>
  <c r="CA83" i="2" s="1"/>
  <c r="BH83" i="2"/>
  <c r="FS83" i="2"/>
  <c r="S94" i="31"/>
  <c r="P19" i="7" s="1"/>
  <c r="FV83" i="2"/>
  <c r="BM83" i="2"/>
  <c r="EG83" i="2"/>
  <c r="I94" i="31" s="1"/>
  <c r="EH83" i="2"/>
  <c r="K94" i="31" s="1"/>
  <c r="I19" i="7" s="1"/>
  <c r="EF83" i="2"/>
  <c r="FU83" i="2" s="1"/>
  <c r="EK83" i="2"/>
  <c r="N94" i="31" s="1"/>
  <c r="L19" i="7" s="1"/>
  <c r="EL83" i="2"/>
  <c r="DF83" i="2"/>
  <c r="BK213" i="2" s="1"/>
  <c r="DG83" i="2"/>
  <c r="DI83" i="2"/>
  <c r="BN213" i="2" s="1"/>
  <c r="DH83" i="2"/>
  <c r="DJ83" i="2"/>
  <c r="BO213" i="2" s="1"/>
  <c r="DE83" i="2"/>
  <c r="BJ213" i="2" s="1"/>
  <c r="DK83" i="2"/>
  <c r="BP213" i="2" s="1"/>
  <c r="CR83" i="2"/>
  <c r="CS83" i="2" s="1"/>
  <c r="BB172" i="2"/>
  <c r="E27" i="7"/>
  <c r="FR83" i="2" l="1"/>
  <c r="BQ83" i="2"/>
  <c r="BR83" i="2" s="1"/>
  <c r="H94" i="31"/>
  <c r="J94" i="31" s="1"/>
  <c r="H19" i="7"/>
  <c r="BL213" i="2"/>
  <c r="BM213" i="2"/>
  <c r="EI83" i="2"/>
  <c r="P94" i="31"/>
  <c r="M19" i="7" s="1"/>
  <c r="EE83" i="2"/>
  <c r="CJ213" i="2" s="1"/>
  <c r="DL83" i="2"/>
  <c r="BI83" i="2"/>
  <c r="G19" i="7" l="1"/>
  <c r="EM83" i="2"/>
  <c r="EN83" i="2" s="1"/>
  <c r="FT83" i="2" s="1"/>
  <c r="DM83" i="2"/>
  <c r="BR213" i="2" s="1"/>
  <c r="BQ213" i="2"/>
  <c r="L94" i="31"/>
  <c r="E94" i="31" l="1"/>
  <c r="R94" i="31"/>
  <c r="J19" i="7"/>
  <c r="Q94" i="31"/>
  <c r="FI121" i="2"/>
  <c r="FH121" i="2"/>
  <c r="FF121" i="2"/>
  <c r="FE121" i="2"/>
  <c r="FD121" i="2"/>
  <c r="FC121" i="2"/>
  <c r="FB121" i="2"/>
  <c r="FA121" i="2"/>
  <c r="FG121" i="2"/>
  <c r="CL121" i="2"/>
  <c r="CK121" i="2"/>
  <c r="CC121" i="2"/>
  <c r="CB121" i="2"/>
  <c r="BY121" i="2"/>
  <c r="BW121" i="2"/>
  <c r="BU121" i="2"/>
  <c r="BT121" i="2"/>
  <c r="BS121" i="2"/>
  <c r="BP121" i="2"/>
  <c r="BN121" i="2"/>
  <c r="BL121" i="2"/>
  <c r="BK121" i="2"/>
  <c r="BJ121" i="2"/>
  <c r="BG121" i="2"/>
  <c r="BE121" i="2"/>
  <c r="BB121" i="2"/>
  <c r="BA121" i="2"/>
  <c r="AN121" i="2"/>
  <c r="CP121" i="2" s="1"/>
  <c r="AL121" i="2"/>
  <c r="CN121" i="2" s="1"/>
  <c r="AJ121" i="2"/>
  <c r="CG121" i="2" s="1"/>
  <c r="AH121" i="2"/>
  <c r="CE121" i="2" s="1"/>
  <c r="AF121" i="2"/>
  <c r="BX121" i="2" s="1"/>
  <c r="AD121" i="2"/>
  <c r="BV121" i="2" s="1"/>
  <c r="AB121" i="2"/>
  <c r="BO121" i="2" s="1"/>
  <c r="Z121" i="2"/>
  <c r="BM121" i="2" s="1"/>
  <c r="X121" i="2"/>
  <c r="BF121" i="2" s="1"/>
  <c r="V121" i="2"/>
  <c r="BD121" i="2" s="1"/>
  <c r="L121" i="2"/>
  <c r="CI121" i="2" l="1"/>
  <c r="CJ121" i="2" s="1"/>
  <c r="BZ121" i="2"/>
  <c r="CA121" i="2" s="1"/>
  <c r="BQ121" i="2"/>
  <c r="BH121" i="2"/>
  <c r="FS121" i="2"/>
  <c r="FR121" i="2"/>
  <c r="EH121" i="2"/>
  <c r="K131" i="31" s="1"/>
  <c r="I24" i="7" s="1"/>
  <c r="EG121" i="2"/>
  <c r="I131" i="31" s="1"/>
  <c r="EK121" i="2"/>
  <c r="N131" i="31" s="1"/>
  <c r="L24" i="7" s="1"/>
  <c r="EF121" i="2"/>
  <c r="FU121" i="2" s="1"/>
  <c r="EL121" i="2"/>
  <c r="N19" i="7"/>
  <c r="Z94" i="31"/>
  <c r="W19" i="7" s="1"/>
  <c r="O19" i="7"/>
  <c r="X131" i="31"/>
  <c r="U24" i="7" s="1"/>
  <c r="V131" i="31"/>
  <c r="S24" i="7" s="1"/>
  <c r="T131" i="31"/>
  <c r="Q24" i="7" s="1"/>
  <c r="U131" i="31"/>
  <c r="R24" i="7" s="1"/>
  <c r="W131" i="31"/>
  <c r="T24" i="7" s="1"/>
  <c r="S131" i="31"/>
  <c r="P24" i="7" s="1"/>
  <c r="DK121" i="2"/>
  <c r="DH121" i="2"/>
  <c r="DG121" i="2"/>
  <c r="DJ121" i="2"/>
  <c r="DI121" i="2"/>
  <c r="DE121" i="2"/>
  <c r="DF121" i="2"/>
  <c r="CV121" i="2"/>
  <c r="CW121" i="2"/>
  <c r="CX121" i="2"/>
  <c r="DA121" i="2"/>
  <c r="CZ121" i="2"/>
  <c r="DB121" i="2"/>
  <c r="CY121" i="2"/>
  <c r="CR121" i="2"/>
  <c r="CS121" i="2" s="1"/>
  <c r="FJ121" i="2"/>
  <c r="FV121" i="2" s="1"/>
  <c r="H131" i="31" l="1"/>
  <c r="G24" i="7" s="1"/>
  <c r="H24" i="7"/>
  <c r="EI121" i="2"/>
  <c r="L131" i="31" s="1"/>
  <c r="J24" i="7" s="1"/>
  <c r="EM121" i="2"/>
  <c r="AA94" i="31"/>
  <c r="AC94" i="31" s="1"/>
  <c r="Y131" i="31"/>
  <c r="V24" i="7" s="1"/>
  <c r="EE121" i="2"/>
  <c r="DL121" i="2"/>
  <c r="DC121" i="2"/>
  <c r="DD121" i="2" s="1"/>
  <c r="BR121" i="2"/>
  <c r="BI121" i="2"/>
  <c r="AB95" i="31" l="1"/>
  <c r="J131" i="31"/>
  <c r="AE94" i="31"/>
  <c r="E131" i="31"/>
  <c r="EN121" i="2"/>
  <c r="FT121" i="2" s="1"/>
  <c r="DM121" i="2"/>
  <c r="Y19" i="7"/>
  <c r="X19" i="7"/>
  <c r="R131" i="31"/>
  <c r="O24" i="7" s="1"/>
  <c r="AD94" i="31" l="1"/>
  <c r="Z19" i="7"/>
  <c r="Z131" i="31"/>
  <c r="W24" i="7" s="1"/>
  <c r="Q131" i="31"/>
  <c r="N24" i="7" s="1"/>
  <c r="AA131" i="31" l="1"/>
  <c r="AC131" i="31" s="1"/>
  <c r="AD131" i="31" l="1"/>
  <c r="AE131" i="31"/>
  <c r="X24" i="7"/>
  <c r="Y24" i="7"/>
  <c r="Z24" i="7"/>
  <c r="E40" i="29" l="1"/>
  <c r="K22" i="29"/>
  <c r="J20" i="29"/>
  <c r="J22" i="29" s="1"/>
  <c r="K7" i="29"/>
  <c r="J24" i="29" l="1"/>
  <c r="EV135" i="2" l="1"/>
  <c r="EY129" i="2"/>
  <c r="EY135" i="2" s="1"/>
  <c r="E26" i="7"/>
  <c r="G158" i="2" l="1"/>
  <c r="H183" i="2"/>
  <c r="H182" i="2"/>
  <c r="G159" i="2" l="1"/>
  <c r="CC41" i="2"/>
  <c r="G160" i="2" l="1"/>
  <c r="EY12" i="2"/>
  <c r="CO198" i="2"/>
  <c r="EX76" i="2"/>
  <c r="EX79" i="2" s="1"/>
  <c r="EX149" i="2" s="1"/>
  <c r="EX151" i="2" s="1"/>
  <c r="EX152" i="2" s="1"/>
  <c r="EW76" i="2"/>
  <c r="EW79" i="2" s="1"/>
  <c r="EW149" i="2" s="1"/>
  <c r="EW151" i="2" s="1"/>
  <c r="EW152" i="2" s="1"/>
  <c r="EV76" i="2"/>
  <c r="EV79" i="2" s="1"/>
  <c r="ET76" i="2"/>
  <c r="ES76" i="2"/>
  <c r="ES79" i="2" s="1"/>
  <c r="ES149" i="2" s="1"/>
  <c r="ES151" i="2" s="1"/>
  <c r="ES152" i="2" s="1"/>
  <c r="ER76" i="2"/>
  <c r="EQ76" i="2"/>
  <c r="EP76" i="2"/>
  <c r="EP79" i="2" s="1"/>
  <c r="EP149" i="2" s="1"/>
  <c r="AZ76" i="2"/>
  <c r="AZ79" i="2" s="1"/>
  <c r="AZ149" i="2" s="1"/>
  <c r="AZ151" i="2" s="1"/>
  <c r="AZ152" i="2" s="1"/>
  <c r="AY76" i="2"/>
  <c r="AY79" i="2" s="1"/>
  <c r="AY149" i="2" s="1"/>
  <c r="AY151" i="2" s="1"/>
  <c r="AY152" i="2" s="1"/>
  <c r="AX76" i="2"/>
  <c r="AX79" i="2" s="1"/>
  <c r="AX149" i="2" s="1"/>
  <c r="AX151" i="2" s="1"/>
  <c r="AX152" i="2" s="1"/>
  <c r="AW76" i="2"/>
  <c r="AW79" i="2" s="1"/>
  <c r="AW149" i="2" s="1"/>
  <c r="AW151" i="2" s="1"/>
  <c r="AW152" i="2" s="1"/>
  <c r="AV76" i="2"/>
  <c r="AV79" i="2" s="1"/>
  <c r="AV149" i="2" s="1"/>
  <c r="AV151" i="2" s="1"/>
  <c r="AV152" i="2" s="1"/>
  <c r="AU76" i="2"/>
  <c r="AU79" i="2" s="1"/>
  <c r="AU149" i="2" s="1"/>
  <c r="AU151" i="2" s="1"/>
  <c r="AU152" i="2" s="1"/>
  <c r="AT76" i="2"/>
  <c r="AT79" i="2" s="1"/>
  <c r="AT149" i="2" s="1"/>
  <c r="AT151" i="2" s="1"/>
  <c r="AT152" i="2" s="1"/>
  <c r="AS76" i="2"/>
  <c r="AS79" i="2" s="1"/>
  <c r="AS149" i="2" s="1"/>
  <c r="AS151" i="2" s="1"/>
  <c r="AS152" i="2" s="1"/>
  <c r="AR76" i="2"/>
  <c r="AR79" i="2" s="1"/>
  <c r="AR149" i="2" s="1"/>
  <c r="AR151" i="2" s="1"/>
  <c r="AR152" i="2" s="1"/>
  <c r="AQ76" i="2"/>
  <c r="AQ79" i="2" s="1"/>
  <c r="AQ149" i="2" s="1"/>
  <c r="AQ151" i="2" s="1"/>
  <c r="AQ152" i="2" s="1"/>
  <c r="AP76" i="2"/>
  <c r="AP79" i="2" s="1"/>
  <c r="AP149" i="2" s="1"/>
  <c r="AP151" i="2" s="1"/>
  <c r="AP152" i="2" s="1"/>
  <c r="AO76" i="2"/>
  <c r="AO79" i="2" s="1"/>
  <c r="AO149" i="2" s="1"/>
  <c r="AO151" i="2" s="1"/>
  <c r="AO152" i="2" s="1"/>
  <c r="AM76" i="2"/>
  <c r="AM79" i="2" s="1"/>
  <c r="AM149" i="2" s="1"/>
  <c r="AM151" i="2" s="1"/>
  <c r="AM152" i="2" s="1"/>
  <c r="AK76" i="2"/>
  <c r="AK79" i="2" s="1"/>
  <c r="AK149" i="2" s="1"/>
  <c r="AK151" i="2" s="1"/>
  <c r="AK152" i="2" s="1"/>
  <c r="AI76" i="2"/>
  <c r="AI79" i="2" s="1"/>
  <c r="AI149" i="2" s="1"/>
  <c r="AI151" i="2" s="1"/>
  <c r="AI152" i="2" s="1"/>
  <c r="AG76" i="2"/>
  <c r="AG79" i="2" s="1"/>
  <c r="AG149" i="2" s="1"/>
  <c r="AG151" i="2" s="1"/>
  <c r="AG152" i="2" s="1"/>
  <c r="AE76" i="2"/>
  <c r="AE79" i="2" s="1"/>
  <c r="AE149" i="2" s="1"/>
  <c r="AE151" i="2" s="1"/>
  <c r="AE152" i="2" s="1"/>
  <c r="AC76" i="2"/>
  <c r="AC79" i="2" s="1"/>
  <c r="AC149" i="2" s="1"/>
  <c r="AC151" i="2" s="1"/>
  <c r="AC152" i="2" s="1"/>
  <c r="AA76" i="2"/>
  <c r="AA79" i="2" s="1"/>
  <c r="AA149" i="2" s="1"/>
  <c r="AA151" i="2" s="1"/>
  <c r="AA152" i="2" s="1"/>
  <c r="Y76" i="2"/>
  <c r="W76" i="2"/>
  <c r="W79" i="2" s="1"/>
  <c r="W149" i="2" s="1"/>
  <c r="W151" i="2" s="1"/>
  <c r="W152" i="2" s="1"/>
  <c r="U76" i="2"/>
  <c r="U79" i="2" s="1"/>
  <c r="U149" i="2" s="1"/>
  <c r="U151" i="2" s="1"/>
  <c r="U152" i="2" s="1"/>
  <c r="J126" i="2"/>
  <c r="J91" i="2"/>
  <c r="J101" i="2" s="1"/>
  <c r="J76" i="2"/>
  <c r="K18" i="2"/>
  <c r="J18" i="2"/>
  <c r="J51" i="2"/>
  <c r="K51" i="2"/>
  <c r="J54" i="2"/>
  <c r="K54" i="2"/>
  <c r="J73" i="2"/>
  <c r="K48" i="2"/>
  <c r="J32" i="2"/>
  <c r="J70" i="2"/>
  <c r="G161" i="2" l="1"/>
  <c r="G162" i="2" s="1"/>
  <c r="G163" i="2" s="1"/>
  <c r="G164" i="2" s="1"/>
  <c r="G165" i="2" s="1"/>
  <c r="G166" i="2" s="1"/>
  <c r="G167" i="2" s="1"/>
  <c r="G168" i="2" s="1"/>
  <c r="G169" i="2" s="1"/>
  <c r="G170" i="2" s="1"/>
  <c r="G171" i="2" s="1"/>
  <c r="G172" i="2" s="1"/>
  <c r="G173" i="2" s="1"/>
  <c r="G174" i="2" s="1"/>
  <c r="G175" i="2" s="1"/>
  <c r="G176" i="2" s="1"/>
  <c r="G177" i="2" s="1"/>
  <c r="G178" i="2" s="1"/>
  <c r="G179" i="2" s="1"/>
  <c r="G180" i="2" s="1"/>
  <c r="G181" i="2" s="1"/>
  <c r="G182" i="2" s="1"/>
  <c r="G183" i="2" s="1"/>
  <c r="G184" i="2" s="1"/>
  <c r="G185" i="2" s="1"/>
  <c r="G186" i="2" s="1"/>
  <c r="ER79" i="2"/>
  <c r="ER149" i="2" s="1"/>
  <c r="ER151" i="2" s="1"/>
  <c r="ER152" i="2" s="1"/>
  <c r="Y79" i="2"/>
  <c r="Y149" i="2" s="1"/>
  <c r="Y151" i="2" s="1"/>
  <c r="Y152" i="2" s="1"/>
  <c r="ET79" i="2"/>
  <c r="ET149" i="2" s="1"/>
  <c r="ET151" i="2" s="1"/>
  <c r="ET152" i="2" s="1"/>
  <c r="EP151" i="2"/>
  <c r="CI195" i="2"/>
  <c r="CJ195" i="2"/>
  <c r="CB195" i="2"/>
  <c r="CC195" i="2"/>
  <c r="CD195" i="2"/>
  <c r="CE195" i="2"/>
  <c r="CF195" i="2"/>
  <c r="CG195" i="2"/>
  <c r="CH195" i="2"/>
  <c r="J79" i="2"/>
  <c r="J19" i="2"/>
  <c r="J58" i="2"/>
  <c r="K58" i="2"/>
  <c r="FP97" i="2"/>
  <c r="FI97" i="2"/>
  <c r="FG97" i="2"/>
  <c r="FF97" i="2"/>
  <c r="FE97" i="2"/>
  <c r="CQ97" i="2"/>
  <c r="CO97" i="2"/>
  <c r="CM97" i="2"/>
  <c r="CK97" i="2"/>
  <c r="CH97" i="2"/>
  <c r="CF97" i="2"/>
  <c r="CD97" i="2"/>
  <c r="CB97" i="2"/>
  <c r="BY97" i="2"/>
  <c r="BW97" i="2"/>
  <c r="BU97" i="2"/>
  <c r="BS97" i="2"/>
  <c r="BP97" i="2"/>
  <c r="BN97" i="2"/>
  <c r="BJ97" i="2"/>
  <c r="BG97" i="2"/>
  <c r="BE97" i="2"/>
  <c r="EP152" i="2" l="1"/>
  <c r="FA155" i="2"/>
  <c r="BK97" i="2"/>
  <c r="BK101" i="2" s="1"/>
  <c r="BA97" i="2"/>
  <c r="BB97" i="2"/>
  <c r="CP97" i="2"/>
  <c r="AN97" i="2"/>
  <c r="BV97" i="2"/>
  <c r="AD97" i="2"/>
  <c r="CG97" i="2"/>
  <c r="AJ97" i="2"/>
  <c r="CN97" i="2"/>
  <c r="AL97" i="2"/>
  <c r="X97" i="2"/>
  <c r="BO97" i="2"/>
  <c r="AB97" i="2"/>
  <c r="BX97" i="2"/>
  <c r="AF97" i="2"/>
  <c r="CE97" i="2"/>
  <c r="AH97" i="2"/>
  <c r="Z97" i="2"/>
  <c r="BD97" i="2"/>
  <c r="V97" i="2"/>
  <c r="X111" i="31"/>
  <c r="FD97" i="2"/>
  <c r="W111" i="31"/>
  <c r="FH97" i="2"/>
  <c r="Y111" i="31"/>
  <c r="FJ97" i="2"/>
  <c r="S111" i="31"/>
  <c r="FA97" i="2"/>
  <c r="T111" i="31"/>
  <c r="FB97" i="2"/>
  <c r="U111" i="31"/>
  <c r="FC97" i="2"/>
  <c r="EH97" i="2"/>
  <c r="EL97" i="2"/>
  <c r="DI97" i="2"/>
  <c r="L97" i="2"/>
  <c r="CC97" i="2"/>
  <c r="K97" i="2"/>
  <c r="BT97" i="2"/>
  <c r="CL97" i="2"/>
  <c r="CR97" i="2" l="1"/>
  <c r="BF97" i="2"/>
  <c r="BM97" i="2"/>
  <c r="EF97" i="2"/>
  <c r="EK97" i="2"/>
  <c r="CI97" i="2"/>
  <c r="BZ97" i="2"/>
  <c r="BP223" i="2"/>
  <c r="DK97" i="2"/>
  <c r="BQ97" i="2"/>
  <c r="BO223" i="2"/>
  <c r="DJ97" i="2"/>
  <c r="H111" i="31"/>
  <c r="BM223" i="2"/>
  <c r="DH97" i="2"/>
  <c r="BL223" i="2"/>
  <c r="DG97" i="2"/>
  <c r="BJ223" i="2"/>
  <c r="DE97" i="2"/>
  <c r="EI97" i="2"/>
  <c r="M111" i="31"/>
  <c r="BN223" i="2"/>
  <c r="V111" i="31"/>
  <c r="CS97" i="2" l="1"/>
  <c r="CA97" i="2"/>
  <c r="BR97" i="2"/>
  <c r="BH97" i="2"/>
  <c r="CJ97" i="2"/>
  <c r="N111" i="31"/>
  <c r="BI97" i="2"/>
  <c r="EM97" i="2"/>
  <c r="EG97" i="2"/>
  <c r="BQ223" i="2"/>
  <c r="DL97" i="2"/>
  <c r="BK223" i="2"/>
  <c r="DF97" i="2"/>
  <c r="K111" i="31"/>
  <c r="EN97" i="2" l="1"/>
  <c r="I111" i="31"/>
  <c r="BR223" i="2"/>
  <c r="DM97" i="2"/>
  <c r="CJ223" i="2"/>
  <c r="EE97" i="2"/>
  <c r="L111" i="31"/>
  <c r="R111" i="31"/>
  <c r="Z111" i="31"/>
  <c r="E28" i="7"/>
  <c r="E25" i="7"/>
  <c r="FI129" i="2"/>
  <c r="FI135" i="2" s="1"/>
  <c r="FH129" i="2"/>
  <c r="FH135" i="2" s="1"/>
  <c r="FF129" i="2"/>
  <c r="FF135" i="2" s="1"/>
  <c r="FE129" i="2"/>
  <c r="FE135" i="2" s="1"/>
  <c r="FD129" i="2"/>
  <c r="FD135" i="2" s="1"/>
  <c r="FC129" i="2"/>
  <c r="FB129" i="2"/>
  <c r="FA129" i="2"/>
  <c r="FG129" i="2"/>
  <c r="FG135" i="2" s="1"/>
  <c r="CQ129" i="2"/>
  <c r="CQ135" i="2" s="1"/>
  <c r="CO129" i="2"/>
  <c r="CO135" i="2" s="1"/>
  <c r="CM129" i="2"/>
  <c r="CM135" i="2" s="1"/>
  <c r="CL129" i="2"/>
  <c r="CK129" i="2"/>
  <c r="CK135" i="2" s="1"/>
  <c r="CH129" i="2"/>
  <c r="CH135" i="2" s="1"/>
  <c r="CF129" i="2"/>
  <c r="CF135" i="2" s="1"/>
  <c r="CD129" i="2"/>
  <c r="CD135" i="2" s="1"/>
  <c r="CB129" i="2"/>
  <c r="BY129" i="2"/>
  <c r="BW129" i="2"/>
  <c r="BU129" i="2"/>
  <c r="BT129" i="2"/>
  <c r="BS129" i="2"/>
  <c r="BP129" i="2"/>
  <c r="BP135" i="2" s="1"/>
  <c r="BN129" i="2"/>
  <c r="BN135" i="2" s="1"/>
  <c r="BL129" i="2"/>
  <c r="BL135" i="2" s="1"/>
  <c r="BJ129" i="2"/>
  <c r="BG129" i="2"/>
  <c r="BG135" i="2" s="1"/>
  <c r="BE129" i="2"/>
  <c r="BE135" i="2" s="1"/>
  <c r="BC129" i="2"/>
  <c r="BC135" i="2" s="1"/>
  <c r="BA129" i="2"/>
  <c r="AN129" i="2"/>
  <c r="AL129" i="2"/>
  <c r="AJ129" i="2"/>
  <c r="AH129" i="2"/>
  <c r="AF129" i="2"/>
  <c r="AD129" i="2"/>
  <c r="AD135" i="2" s="1"/>
  <c r="AB129" i="2"/>
  <c r="AB135" i="2" s="1"/>
  <c r="Z129" i="2"/>
  <c r="Z135" i="2" s="1"/>
  <c r="X129" i="2"/>
  <c r="X135" i="2" s="1"/>
  <c r="V129" i="2"/>
  <c r="V135" i="2" s="1"/>
  <c r="S129" i="2"/>
  <c r="FI114" i="2"/>
  <c r="FH114" i="2"/>
  <c r="FG114" i="2"/>
  <c r="FF114" i="2"/>
  <c r="FE114" i="2"/>
  <c r="FC114" i="2"/>
  <c r="FB114" i="2"/>
  <c r="CQ114" i="2"/>
  <c r="CO114" i="2"/>
  <c r="CM114" i="2"/>
  <c r="CL114" i="2"/>
  <c r="CK114" i="2"/>
  <c r="CH114" i="2"/>
  <c r="CF114" i="2"/>
  <c r="CD114" i="2"/>
  <c r="CB114" i="2"/>
  <c r="BY114" i="2"/>
  <c r="BW114" i="2"/>
  <c r="BU114" i="2"/>
  <c r="BT114" i="2"/>
  <c r="BS114" i="2"/>
  <c r="BP114" i="2"/>
  <c r="BN114" i="2"/>
  <c r="BL114" i="2"/>
  <c r="BJ114" i="2"/>
  <c r="BG164" i="2"/>
  <c r="BE114" i="2"/>
  <c r="BC114" i="2"/>
  <c r="BA114" i="2"/>
  <c r="AN114" i="2"/>
  <c r="AL114" i="2"/>
  <c r="AJ114" i="2"/>
  <c r="AH114" i="2"/>
  <c r="AF114" i="2"/>
  <c r="AD114" i="2"/>
  <c r="AB114" i="2"/>
  <c r="Z114" i="2"/>
  <c r="X114" i="2"/>
  <c r="V114" i="2"/>
  <c r="L114" i="2"/>
  <c r="BA173" i="2"/>
  <c r="BB91" i="2"/>
  <c r="BB101" i="2" s="1"/>
  <c r="FI87" i="2"/>
  <c r="V101" i="31" s="1"/>
  <c r="S21" i="7" s="1"/>
  <c r="FH87" i="2"/>
  <c r="W101" i="31" s="1"/>
  <c r="T21" i="7" s="1"/>
  <c r="FG87" i="2"/>
  <c r="FF87" i="2"/>
  <c r="FE87" i="2"/>
  <c r="FD87" i="2"/>
  <c r="X101" i="31" s="1"/>
  <c r="U21" i="7" s="1"/>
  <c r="FC87" i="2"/>
  <c r="U101" i="31" s="1"/>
  <c r="R21" i="7" s="1"/>
  <c r="FB87" i="2"/>
  <c r="T101" i="31" s="1"/>
  <c r="Q21" i="7" s="1"/>
  <c r="FA87" i="2"/>
  <c r="FJ87" i="2"/>
  <c r="Y101" i="31" s="1"/>
  <c r="V21" i="7" s="1"/>
  <c r="CQ87" i="2"/>
  <c r="CO87" i="2"/>
  <c r="CM87" i="2"/>
  <c r="CL87" i="2"/>
  <c r="CK87" i="2"/>
  <c r="CH87" i="2"/>
  <c r="CF87" i="2"/>
  <c r="CD87" i="2"/>
  <c r="CC87" i="2"/>
  <c r="CB87" i="2"/>
  <c r="BY87" i="2"/>
  <c r="BW87" i="2"/>
  <c r="BU87" i="2"/>
  <c r="BS87" i="2"/>
  <c r="BP87" i="2"/>
  <c r="BN87" i="2"/>
  <c r="BL87" i="2"/>
  <c r="BL91" i="2" s="1"/>
  <c r="BJ87" i="2"/>
  <c r="BG87" i="2"/>
  <c r="BE87" i="2"/>
  <c r="BA87" i="2"/>
  <c r="AN87" i="2"/>
  <c r="CP87" i="2" s="1"/>
  <c r="AL87" i="2"/>
  <c r="CN87" i="2" s="1"/>
  <c r="AJ87" i="2"/>
  <c r="CG87" i="2" s="1"/>
  <c r="AH87" i="2"/>
  <c r="CE87" i="2" s="1"/>
  <c r="AF87" i="2"/>
  <c r="BX87" i="2" s="1"/>
  <c r="AD87" i="2"/>
  <c r="BV87" i="2" s="1"/>
  <c r="AB87" i="2"/>
  <c r="BO87" i="2" s="1"/>
  <c r="Z87" i="2"/>
  <c r="BM87" i="2" s="1"/>
  <c r="X87" i="2"/>
  <c r="BF87" i="2" s="1"/>
  <c r="V87" i="2"/>
  <c r="BD87" i="2" s="1"/>
  <c r="S87" i="2"/>
  <c r="L87" i="2"/>
  <c r="FP86" i="2"/>
  <c r="FP91" i="2" s="1"/>
  <c r="FP101" i="2" s="1"/>
  <c r="FP149" i="2" s="1"/>
  <c r="FI86" i="2"/>
  <c r="FH86" i="2"/>
  <c r="FG86" i="2"/>
  <c r="FF86" i="2"/>
  <c r="FE86" i="2"/>
  <c r="FD86" i="2"/>
  <c r="FC86" i="2"/>
  <c r="FB86" i="2"/>
  <c r="FA86" i="2"/>
  <c r="FJ86" i="2"/>
  <c r="CQ86" i="2"/>
  <c r="CO86" i="2"/>
  <c r="CM86" i="2"/>
  <c r="CK86" i="2"/>
  <c r="CH86" i="2"/>
  <c r="CF86" i="2"/>
  <c r="CD86" i="2"/>
  <c r="CB86" i="2"/>
  <c r="BY86" i="2"/>
  <c r="BW86" i="2"/>
  <c r="BU86" i="2"/>
  <c r="BS86" i="2"/>
  <c r="BP86" i="2"/>
  <c r="BN86" i="2"/>
  <c r="BJ86" i="2"/>
  <c r="BG86" i="2"/>
  <c r="BE86" i="2"/>
  <c r="BA86" i="2"/>
  <c r="AN86" i="2"/>
  <c r="AL86" i="2"/>
  <c r="AJ86" i="2"/>
  <c r="AH86" i="2"/>
  <c r="AF86" i="2"/>
  <c r="AD86" i="2"/>
  <c r="AB86" i="2"/>
  <c r="Z86" i="2"/>
  <c r="X86" i="2"/>
  <c r="V86" i="2"/>
  <c r="BD86" i="2" s="1"/>
  <c r="S86" i="2"/>
  <c r="FI84" i="2"/>
  <c r="FH84" i="2"/>
  <c r="FE84" i="2"/>
  <c r="FD84" i="2"/>
  <c r="FC84" i="2"/>
  <c r="FB84" i="2"/>
  <c r="BZ214" i="2"/>
  <c r="BY214" i="2"/>
  <c r="BX214" i="2"/>
  <c r="BW214" i="2"/>
  <c r="BT214" i="2"/>
  <c r="BS214" i="2"/>
  <c r="BH214" i="2"/>
  <c r="BG214" i="2"/>
  <c r="BF214" i="2"/>
  <c r="BE214" i="2"/>
  <c r="BD214" i="2"/>
  <c r="BC214" i="2"/>
  <c r="BB214" i="2"/>
  <c r="BA214" i="2"/>
  <c r="CQ84" i="2"/>
  <c r="CO84" i="2"/>
  <c r="CM84" i="2"/>
  <c r="CL84" i="2"/>
  <c r="CK84" i="2"/>
  <c r="CH84" i="2"/>
  <c r="CF84" i="2"/>
  <c r="CD84" i="2"/>
  <c r="CC84" i="2"/>
  <c r="CB84" i="2"/>
  <c r="BY84" i="2"/>
  <c r="BW84" i="2"/>
  <c r="BU84" i="2"/>
  <c r="BT84" i="2"/>
  <c r="BS84" i="2"/>
  <c r="BP84" i="2"/>
  <c r="BJ84" i="2"/>
  <c r="BG84" i="2"/>
  <c r="BE84" i="2"/>
  <c r="BC84" i="2"/>
  <c r="BC101" i="2" s="1"/>
  <c r="AN84" i="2"/>
  <c r="AL84" i="2"/>
  <c r="AJ84" i="2"/>
  <c r="AH84" i="2"/>
  <c r="AF84" i="2"/>
  <c r="AD84" i="2"/>
  <c r="AB84" i="2"/>
  <c r="Z84" i="2"/>
  <c r="X84" i="2"/>
  <c r="V84" i="2"/>
  <c r="L84" i="2"/>
  <c r="EQ70" i="2"/>
  <c r="EQ79" i="2" s="1"/>
  <c r="EQ149" i="2" s="1"/>
  <c r="EQ151" i="2" s="1"/>
  <c r="EQ152" i="2" s="1"/>
  <c r="BL70" i="2"/>
  <c r="FI53" i="2"/>
  <c r="FI54" i="2" s="1"/>
  <c r="FH53" i="2"/>
  <c r="FH54" i="2" s="1"/>
  <c r="FG53" i="2"/>
  <c r="FG54" i="2" s="1"/>
  <c r="FF53" i="2"/>
  <c r="FF54" i="2" s="1"/>
  <c r="FE53" i="2"/>
  <c r="FE54" i="2" s="1"/>
  <c r="FD53" i="2"/>
  <c r="FD54" i="2" s="1"/>
  <c r="FC53" i="2"/>
  <c r="FC54" i="2" s="1"/>
  <c r="FB53" i="2"/>
  <c r="FB54" i="2" s="1"/>
  <c r="DU53" i="2"/>
  <c r="DU54" i="2" s="1"/>
  <c r="DT53" i="2"/>
  <c r="DT54" i="2" s="1"/>
  <c r="DS53" i="2"/>
  <c r="DS54" i="2" s="1"/>
  <c r="DR53" i="2"/>
  <c r="DR54" i="2" s="1"/>
  <c r="DQ53" i="2"/>
  <c r="DQ54" i="2" s="1"/>
  <c r="DP53" i="2"/>
  <c r="DP54" i="2" s="1"/>
  <c r="DO53" i="2"/>
  <c r="DO54" i="2" s="1"/>
  <c r="DN53" i="2"/>
  <c r="DN54" i="2" s="1"/>
  <c r="DL53" i="2"/>
  <c r="DL54" i="2" s="1"/>
  <c r="DK53" i="2"/>
  <c r="DK54" i="2" s="1"/>
  <c r="DJ53" i="2"/>
  <c r="DJ54" i="2" s="1"/>
  <c r="DI53" i="2"/>
  <c r="DI54" i="2" s="1"/>
  <c r="DH53" i="2"/>
  <c r="DH54" i="2" s="1"/>
  <c r="DG53" i="2"/>
  <c r="DG54" i="2" s="1"/>
  <c r="DF53" i="2"/>
  <c r="DF54" i="2" s="1"/>
  <c r="DE53" i="2"/>
  <c r="DE54" i="2" s="1"/>
  <c r="CQ53" i="2"/>
  <c r="CQ54" i="2" s="1"/>
  <c r="CO53" i="2"/>
  <c r="CO54" i="2" s="1"/>
  <c r="CM53" i="2"/>
  <c r="CM54" i="2" s="1"/>
  <c r="CL53" i="2"/>
  <c r="CL54" i="2" s="1"/>
  <c r="CK53" i="2"/>
  <c r="CK54" i="2" s="1"/>
  <c r="CH53" i="2"/>
  <c r="CH54" i="2" s="1"/>
  <c r="CF53" i="2"/>
  <c r="CF54" i="2" s="1"/>
  <c r="CD53" i="2"/>
  <c r="CD54" i="2" s="1"/>
  <c r="CC54" i="2"/>
  <c r="CB53" i="2"/>
  <c r="BY53" i="2"/>
  <c r="BY54" i="2" s="1"/>
  <c r="BW53" i="2"/>
  <c r="BW54" i="2" s="1"/>
  <c r="BU53" i="2"/>
  <c r="BU54" i="2" s="1"/>
  <c r="BT54" i="2"/>
  <c r="BS53" i="2"/>
  <c r="BP53" i="2"/>
  <c r="BP54" i="2" s="1"/>
  <c r="BN53" i="2"/>
  <c r="BN54" i="2" s="1"/>
  <c r="BL53" i="2"/>
  <c r="BL54" i="2" s="1"/>
  <c r="BJ53" i="2"/>
  <c r="BG53" i="2"/>
  <c r="BE53" i="2"/>
  <c r="BE54" i="2" s="1"/>
  <c r="BC53" i="2"/>
  <c r="BC54" i="2" s="1"/>
  <c r="BA53" i="2"/>
  <c r="AN53" i="2"/>
  <c r="AN54" i="2" s="1"/>
  <c r="AL53" i="2"/>
  <c r="AL54" i="2" s="1"/>
  <c r="AJ53" i="2"/>
  <c r="AJ54" i="2" s="1"/>
  <c r="AH53" i="2"/>
  <c r="AH54" i="2" s="1"/>
  <c r="AF53" i="2"/>
  <c r="AF54" i="2" s="1"/>
  <c r="AD53" i="2"/>
  <c r="AD54" i="2" s="1"/>
  <c r="AB53" i="2"/>
  <c r="AB54" i="2" s="1"/>
  <c r="Z53" i="2"/>
  <c r="Z54" i="2" s="1"/>
  <c r="X53" i="2"/>
  <c r="X54" i="2" s="1"/>
  <c r="V53" i="2"/>
  <c r="V54" i="2" s="1"/>
  <c r="S53" i="2"/>
  <c r="L53" i="2"/>
  <c r="L54" i="2" s="1"/>
  <c r="FG51" i="2"/>
  <c r="FF51" i="2"/>
  <c r="FE51" i="2"/>
  <c r="DU51" i="2"/>
  <c r="DT51" i="2"/>
  <c r="DS51" i="2"/>
  <c r="DR51" i="2"/>
  <c r="DQ51" i="2"/>
  <c r="DP51" i="2"/>
  <c r="DO51" i="2"/>
  <c r="DN51" i="2"/>
  <c r="DC51" i="2"/>
  <c r="DB51" i="2"/>
  <c r="DA51" i="2"/>
  <c r="CZ51" i="2"/>
  <c r="CY51" i="2"/>
  <c r="CX51" i="2"/>
  <c r="CW51" i="2"/>
  <c r="CV51" i="2"/>
  <c r="CQ51" i="2"/>
  <c r="CO51" i="2"/>
  <c r="CM51" i="2"/>
  <c r="CL51" i="2"/>
  <c r="CK51" i="2"/>
  <c r="CH51" i="2"/>
  <c r="CF51" i="2"/>
  <c r="CD51" i="2"/>
  <c r="CB51" i="2"/>
  <c r="BY51" i="2"/>
  <c r="BW51" i="2"/>
  <c r="BU51" i="2"/>
  <c r="BT51" i="2"/>
  <c r="BS51" i="2"/>
  <c r="BP51" i="2"/>
  <c r="BN51" i="2"/>
  <c r="BL51" i="2"/>
  <c r="BJ51" i="2"/>
  <c r="BG51" i="2"/>
  <c r="BE51" i="2"/>
  <c r="BC51" i="2"/>
  <c r="AN51" i="2"/>
  <c r="AL51" i="2"/>
  <c r="AJ51" i="2"/>
  <c r="AH51" i="2"/>
  <c r="AF51" i="2"/>
  <c r="AD51" i="2"/>
  <c r="AB51" i="2"/>
  <c r="Z51" i="2"/>
  <c r="X51" i="2"/>
  <c r="V51" i="2"/>
  <c r="L51" i="2"/>
  <c r="FI41" i="2"/>
  <c r="FH41" i="2"/>
  <c r="FG41" i="2"/>
  <c r="FF41" i="2"/>
  <c r="FE41" i="2"/>
  <c r="FD41" i="2"/>
  <c r="FC41" i="2"/>
  <c r="FB41" i="2"/>
  <c r="FA41" i="2"/>
  <c r="DU41" i="2"/>
  <c r="DT41" i="2"/>
  <c r="DS41" i="2"/>
  <c r="DR41" i="2"/>
  <c r="DQ41" i="2"/>
  <c r="DP41" i="2"/>
  <c r="DO41" i="2"/>
  <c r="DN41" i="2"/>
  <c r="DC41" i="2"/>
  <c r="DB41" i="2"/>
  <c r="DA41" i="2"/>
  <c r="CZ41" i="2"/>
  <c r="CY41" i="2"/>
  <c r="CX41" i="2"/>
  <c r="CW41" i="2"/>
  <c r="CV41" i="2"/>
  <c r="CQ41" i="2"/>
  <c r="CO41" i="2"/>
  <c r="CM41" i="2"/>
  <c r="CL41" i="2"/>
  <c r="CK41" i="2"/>
  <c r="CH41" i="2"/>
  <c r="CF41" i="2"/>
  <c r="CD41" i="2"/>
  <c r="CB41" i="2"/>
  <c r="BY41" i="2"/>
  <c r="BW41" i="2"/>
  <c r="BU41" i="2"/>
  <c r="BT41" i="2"/>
  <c r="BS41" i="2"/>
  <c r="BP41" i="2"/>
  <c r="BN41" i="2"/>
  <c r="BL41" i="2"/>
  <c r="BK41" i="2"/>
  <c r="BJ41" i="2"/>
  <c r="BG41" i="2"/>
  <c r="BE41" i="2"/>
  <c r="BC41" i="2"/>
  <c r="BB41" i="2"/>
  <c r="BA41" i="2"/>
  <c r="AN41" i="2"/>
  <c r="AL41" i="2"/>
  <c r="AJ41" i="2"/>
  <c r="AH41" i="2"/>
  <c r="AF41" i="2"/>
  <c r="AD41" i="2"/>
  <c r="AB41" i="2"/>
  <c r="Z41" i="2"/>
  <c r="X41" i="2"/>
  <c r="V41" i="2"/>
  <c r="S41" i="2"/>
  <c r="L41" i="2"/>
  <c r="FI35" i="2"/>
  <c r="FH35" i="2"/>
  <c r="FF35" i="2"/>
  <c r="FF38" i="2" s="1"/>
  <c r="FE35" i="2"/>
  <c r="FE38" i="2" s="1"/>
  <c r="FD35" i="2"/>
  <c r="FD38" i="2" s="1"/>
  <c r="FC35" i="2"/>
  <c r="FC38" i="2" s="1"/>
  <c r="FB35" i="2"/>
  <c r="FB38" i="2" s="1"/>
  <c r="FA35" i="2"/>
  <c r="EV38" i="2"/>
  <c r="DU35" i="2"/>
  <c r="DU38" i="2" s="1"/>
  <c r="DT35" i="2"/>
  <c r="DT38" i="2" s="1"/>
  <c r="DS35" i="2"/>
  <c r="DS38" i="2" s="1"/>
  <c r="DR35" i="2"/>
  <c r="DR38" i="2" s="1"/>
  <c r="DQ35" i="2"/>
  <c r="DQ38" i="2" s="1"/>
  <c r="DP35" i="2"/>
  <c r="DP38" i="2" s="1"/>
  <c r="DO35" i="2"/>
  <c r="DO38" i="2" s="1"/>
  <c r="DN35" i="2"/>
  <c r="DN38" i="2" s="1"/>
  <c r="DL35" i="2"/>
  <c r="DK35" i="2"/>
  <c r="DK38" i="2" s="1"/>
  <c r="DJ35" i="2"/>
  <c r="DJ38" i="2" s="1"/>
  <c r="DI35" i="2"/>
  <c r="DI38" i="2" s="1"/>
  <c r="DH35" i="2"/>
  <c r="DH38" i="2" s="1"/>
  <c r="DG35" i="2"/>
  <c r="DG38" i="2" s="1"/>
  <c r="DF35" i="2"/>
  <c r="DE35" i="2"/>
  <c r="CQ35" i="2"/>
  <c r="CQ38" i="2" s="1"/>
  <c r="CO35" i="2"/>
  <c r="CO38" i="2" s="1"/>
  <c r="CM35" i="2"/>
  <c r="CM38" i="2" s="1"/>
  <c r="CL35" i="2"/>
  <c r="CL38" i="2" s="1"/>
  <c r="CK35" i="2"/>
  <c r="CK38" i="2" s="1"/>
  <c r="CH35" i="2"/>
  <c r="CH38" i="2" s="1"/>
  <c r="CF35" i="2"/>
  <c r="CF38" i="2" s="1"/>
  <c r="CD35" i="2"/>
  <c r="CD38" i="2" s="1"/>
  <c r="CC35" i="2"/>
  <c r="CC38" i="2" s="1"/>
  <c r="CB35" i="2"/>
  <c r="BY35" i="2"/>
  <c r="BY38" i="2" s="1"/>
  <c r="BW35" i="2"/>
  <c r="BW38" i="2" s="1"/>
  <c r="BU35" i="2"/>
  <c r="BU38" i="2" s="1"/>
  <c r="BT35" i="2"/>
  <c r="BT38" i="2" s="1"/>
  <c r="BS35" i="2"/>
  <c r="BP35" i="2"/>
  <c r="BP38" i="2" s="1"/>
  <c r="BN35" i="2"/>
  <c r="BN38" i="2" s="1"/>
  <c r="BL35" i="2"/>
  <c r="BL38" i="2" s="1"/>
  <c r="BK35" i="2"/>
  <c r="BK38" i="2" s="1"/>
  <c r="BJ35" i="2"/>
  <c r="BG35" i="2"/>
  <c r="BG38" i="2" s="1"/>
  <c r="BE35" i="2"/>
  <c r="BE38" i="2" s="1"/>
  <c r="BC35" i="2"/>
  <c r="BC38" i="2" s="1"/>
  <c r="BB35" i="2"/>
  <c r="BA35" i="2"/>
  <c r="AN35" i="2"/>
  <c r="AN38" i="2" s="1"/>
  <c r="AL35" i="2"/>
  <c r="AL38" i="2" s="1"/>
  <c r="AJ35" i="2"/>
  <c r="AJ38" i="2" s="1"/>
  <c r="AH35" i="2"/>
  <c r="AH38" i="2" s="1"/>
  <c r="AF35" i="2"/>
  <c r="AF38" i="2" s="1"/>
  <c r="AD35" i="2"/>
  <c r="AD38" i="2" s="1"/>
  <c r="AB35" i="2"/>
  <c r="AB38" i="2" s="1"/>
  <c r="Z35" i="2"/>
  <c r="Z38" i="2" s="1"/>
  <c r="X35" i="2"/>
  <c r="X38" i="2" s="1"/>
  <c r="V35" i="2"/>
  <c r="V38" i="2" s="1"/>
  <c r="S35" i="2"/>
  <c r="L35" i="2"/>
  <c r="L38" i="2" s="1"/>
  <c r="F43" i="2"/>
  <c r="F45" i="2" s="1"/>
  <c r="K32" i="2"/>
  <c r="FI29" i="2"/>
  <c r="FI32" i="2" s="1"/>
  <c r="FH29" i="2"/>
  <c r="FH32" i="2" s="1"/>
  <c r="FG29" i="2"/>
  <c r="FG32" i="2" s="1"/>
  <c r="FF29" i="2"/>
  <c r="FF32" i="2" s="1"/>
  <c r="FE29" i="2"/>
  <c r="FE32" i="2" s="1"/>
  <c r="FD29" i="2"/>
  <c r="FD32" i="2" s="1"/>
  <c r="FC29" i="2"/>
  <c r="FC32" i="2" s="1"/>
  <c r="FA29" i="2"/>
  <c r="EY29" i="2"/>
  <c r="FB29" i="2"/>
  <c r="FB32" i="2" s="1"/>
  <c r="DU29" i="2"/>
  <c r="DU32" i="2" s="1"/>
  <c r="DT29" i="2"/>
  <c r="DT32" i="2" s="1"/>
  <c r="DS29" i="2"/>
  <c r="DS32" i="2" s="1"/>
  <c r="DR29" i="2"/>
  <c r="DR32" i="2" s="1"/>
  <c r="DQ29" i="2"/>
  <c r="DQ32" i="2" s="1"/>
  <c r="DP29" i="2"/>
  <c r="DP32" i="2" s="1"/>
  <c r="DO29" i="2"/>
  <c r="DO32" i="2" s="1"/>
  <c r="DN29" i="2"/>
  <c r="DN32" i="2" s="1"/>
  <c r="DL29" i="2"/>
  <c r="DL32" i="2" s="1"/>
  <c r="DK29" i="2"/>
  <c r="DK32" i="2" s="1"/>
  <c r="DJ29" i="2"/>
  <c r="DJ32" i="2" s="1"/>
  <c r="DI29" i="2"/>
  <c r="DI32" i="2" s="1"/>
  <c r="DH29" i="2"/>
  <c r="DH32" i="2" s="1"/>
  <c r="DG29" i="2"/>
  <c r="DG32" i="2" s="1"/>
  <c r="DF29" i="2"/>
  <c r="DF32" i="2" s="1"/>
  <c r="DE29" i="2"/>
  <c r="DE32" i="2" s="1"/>
  <c r="CQ29" i="2"/>
  <c r="CQ32" i="2" s="1"/>
  <c r="CO29" i="2"/>
  <c r="CO32" i="2" s="1"/>
  <c r="CM29" i="2"/>
  <c r="CM32" i="2" s="1"/>
  <c r="CL29" i="2"/>
  <c r="CL32" i="2" s="1"/>
  <c r="CK29" i="2"/>
  <c r="CK32" i="2" s="1"/>
  <c r="CH29" i="2"/>
  <c r="CH32" i="2" s="1"/>
  <c r="CF29" i="2"/>
  <c r="CF32" i="2" s="1"/>
  <c r="CD29" i="2"/>
  <c r="CD32" i="2" s="1"/>
  <c r="CC29" i="2"/>
  <c r="CC32" i="2" s="1"/>
  <c r="CB29" i="2"/>
  <c r="BY29" i="2"/>
  <c r="BY32" i="2" s="1"/>
  <c r="BW29" i="2"/>
  <c r="BW32" i="2" s="1"/>
  <c r="BU29" i="2"/>
  <c r="BU32" i="2" s="1"/>
  <c r="BT29" i="2"/>
  <c r="BT32" i="2" s="1"/>
  <c r="BS29" i="2"/>
  <c r="BP29" i="2"/>
  <c r="BP32" i="2" s="1"/>
  <c r="BN29" i="2"/>
  <c r="BL29" i="2"/>
  <c r="BK32" i="2"/>
  <c r="BJ29" i="2"/>
  <c r="BG29" i="2"/>
  <c r="BG32" i="2" s="1"/>
  <c r="BE29" i="2"/>
  <c r="BE32" i="2" s="1"/>
  <c r="BC29" i="2"/>
  <c r="BC32" i="2" s="1"/>
  <c r="BB32" i="2"/>
  <c r="BA29" i="2"/>
  <c r="AN29" i="2"/>
  <c r="AN32" i="2" s="1"/>
  <c r="AL29" i="2"/>
  <c r="AL32" i="2" s="1"/>
  <c r="AJ29" i="2"/>
  <c r="AH29" i="2"/>
  <c r="AF29" i="2"/>
  <c r="AD29" i="2"/>
  <c r="AB29" i="2"/>
  <c r="AB32" i="2" s="1"/>
  <c r="Z29" i="2"/>
  <c r="X29" i="2"/>
  <c r="V29" i="2"/>
  <c r="S29" i="2"/>
  <c r="L29" i="2"/>
  <c r="K26" i="2"/>
  <c r="FI23" i="2"/>
  <c r="V27" i="31" s="1"/>
  <c r="S9" i="7" s="1"/>
  <c r="FH23" i="2"/>
  <c r="W27" i="31" s="1"/>
  <c r="T9" i="7" s="1"/>
  <c r="FF23" i="2"/>
  <c r="FE23" i="2"/>
  <c r="FD23" i="2"/>
  <c r="X27" i="31" s="1"/>
  <c r="U9" i="7" s="1"/>
  <c r="FC23" i="2"/>
  <c r="U27" i="31" s="1"/>
  <c r="R9" i="7" s="1"/>
  <c r="FB23" i="2"/>
  <c r="T27" i="31" s="1"/>
  <c r="Q9" i="7" s="1"/>
  <c r="FA23" i="2"/>
  <c r="DU23" i="2"/>
  <c r="DT23" i="2"/>
  <c r="DS23" i="2"/>
  <c r="DR23" i="2"/>
  <c r="DQ23" i="2"/>
  <c r="DP23" i="2"/>
  <c r="DO23" i="2"/>
  <c r="DN23" i="2"/>
  <c r="DL23" i="2"/>
  <c r="DK23" i="2"/>
  <c r="DJ23" i="2"/>
  <c r="DI23" i="2"/>
  <c r="DH23" i="2"/>
  <c r="DG23" i="2"/>
  <c r="DF23" i="2"/>
  <c r="DE23" i="2"/>
  <c r="CQ23" i="2"/>
  <c r="CO23" i="2"/>
  <c r="CM23" i="2"/>
  <c r="CL23" i="2"/>
  <c r="CK23" i="2"/>
  <c r="CH23" i="2"/>
  <c r="CF23" i="2"/>
  <c r="CD23" i="2"/>
  <c r="CB23" i="2"/>
  <c r="BY23" i="2"/>
  <c r="BW23" i="2"/>
  <c r="BU23" i="2"/>
  <c r="BT23" i="2"/>
  <c r="BS23" i="2"/>
  <c r="BP23" i="2"/>
  <c r="BN23" i="2"/>
  <c r="BL23" i="2"/>
  <c r="BJ23" i="2"/>
  <c r="BG23" i="2"/>
  <c r="BE23" i="2"/>
  <c r="BC23" i="2"/>
  <c r="BA23" i="2"/>
  <c r="AN23" i="2"/>
  <c r="AL23" i="2"/>
  <c r="AJ23" i="2"/>
  <c r="AH23" i="2"/>
  <c r="AF23" i="2"/>
  <c r="AD23" i="2"/>
  <c r="AB23" i="2"/>
  <c r="Z23" i="2"/>
  <c r="X23" i="2"/>
  <c r="V23" i="2"/>
  <c r="S23" i="2"/>
  <c r="L23" i="2"/>
  <c r="FI22" i="2"/>
  <c r="FH22" i="2"/>
  <c r="FG22" i="2"/>
  <c r="FF22" i="2"/>
  <c r="FE22" i="2"/>
  <c r="FD22" i="2"/>
  <c r="FC22" i="2"/>
  <c r="FB22" i="2"/>
  <c r="FA22" i="2"/>
  <c r="DU22" i="2"/>
  <c r="DT22" i="2"/>
  <c r="DS22" i="2"/>
  <c r="DR22" i="2"/>
  <c r="DQ22" i="2"/>
  <c r="DP22" i="2"/>
  <c r="DO22" i="2"/>
  <c r="DN22" i="2"/>
  <c r="DC22" i="2"/>
  <c r="DB22" i="2"/>
  <c r="DA22" i="2"/>
  <c r="CZ22" i="2"/>
  <c r="CY22" i="2"/>
  <c r="CX22" i="2"/>
  <c r="CW22" i="2"/>
  <c r="CV22" i="2"/>
  <c r="CQ22" i="2"/>
  <c r="CO22" i="2"/>
  <c r="CM22" i="2"/>
  <c r="CL22" i="2"/>
  <c r="CK22" i="2"/>
  <c r="CH22" i="2"/>
  <c r="CF22" i="2"/>
  <c r="CD22" i="2"/>
  <c r="CC22" i="2"/>
  <c r="CC26" i="2" s="1"/>
  <c r="CB22" i="2"/>
  <c r="BY22" i="2"/>
  <c r="BW22" i="2"/>
  <c r="BU22" i="2"/>
  <c r="BT22" i="2"/>
  <c r="BS22" i="2"/>
  <c r="BP22" i="2"/>
  <c r="BN22" i="2"/>
  <c r="BL22" i="2"/>
  <c r="BK22" i="2"/>
  <c r="BK26" i="2" s="1"/>
  <c r="BJ22" i="2"/>
  <c r="BG22" i="2"/>
  <c r="BE22" i="2"/>
  <c r="BC22" i="2"/>
  <c r="BB22" i="2"/>
  <c r="BB26" i="2" s="1"/>
  <c r="BA22" i="2"/>
  <c r="AN22" i="2"/>
  <c r="AL22" i="2"/>
  <c r="AJ22" i="2"/>
  <c r="AH22" i="2"/>
  <c r="AD22" i="2"/>
  <c r="AB22" i="2"/>
  <c r="Z22" i="2"/>
  <c r="X22" i="2"/>
  <c r="V22" i="2"/>
  <c r="S22" i="2"/>
  <c r="L22" i="2"/>
  <c r="L18" i="2"/>
  <c r="FI18" i="2"/>
  <c r="FH18" i="2"/>
  <c r="FF18" i="2"/>
  <c r="FE18" i="2"/>
  <c r="FD18" i="2"/>
  <c r="FC18" i="2"/>
  <c r="FB18" i="2"/>
  <c r="DL18" i="2"/>
  <c r="DK18" i="2"/>
  <c r="DJ18" i="2"/>
  <c r="DI18" i="2"/>
  <c r="DH18" i="2"/>
  <c r="DG18" i="2"/>
  <c r="DF18" i="2"/>
  <c r="DE18" i="2"/>
  <c r="AN18" i="2"/>
  <c r="AL18" i="2"/>
  <c r="AJ18" i="2"/>
  <c r="AH18" i="2"/>
  <c r="AF18" i="2"/>
  <c r="AD18" i="2"/>
  <c r="AB18" i="2"/>
  <c r="Z18" i="2"/>
  <c r="X18" i="2"/>
  <c r="V18" i="2"/>
  <c r="FI15" i="2"/>
  <c r="FH15" i="2"/>
  <c r="FG15" i="2"/>
  <c r="FF15" i="2"/>
  <c r="FE15" i="2"/>
  <c r="FD15" i="2"/>
  <c r="FC15" i="2"/>
  <c r="FB15" i="2"/>
  <c r="FA15" i="2"/>
  <c r="DU15" i="2"/>
  <c r="DT15" i="2"/>
  <c r="DS15" i="2"/>
  <c r="DR15" i="2"/>
  <c r="DQ15" i="2"/>
  <c r="DP15" i="2"/>
  <c r="DO15" i="2"/>
  <c r="DN15" i="2"/>
  <c r="DL15" i="2"/>
  <c r="DK15" i="2"/>
  <c r="DJ15" i="2"/>
  <c r="DI15" i="2"/>
  <c r="DH15" i="2"/>
  <c r="DG15" i="2"/>
  <c r="DF15" i="2"/>
  <c r="DE15" i="2"/>
  <c r="CH15" i="2"/>
  <c r="CF15" i="2"/>
  <c r="CD15" i="2"/>
  <c r="CC15" i="2"/>
  <c r="BY15" i="2"/>
  <c r="BW15" i="2"/>
  <c r="BU15" i="2"/>
  <c r="BT15" i="2"/>
  <c r="BP15" i="2"/>
  <c r="BN15" i="2"/>
  <c r="BL15" i="2"/>
  <c r="BK15" i="2"/>
  <c r="BG15" i="2"/>
  <c r="BE15" i="2"/>
  <c r="BC15" i="2"/>
  <c r="BB15" i="2"/>
  <c r="AJ15" i="2"/>
  <c r="AH15" i="2"/>
  <c r="AF15" i="2"/>
  <c r="AD15" i="2"/>
  <c r="AB15" i="2"/>
  <c r="Z15" i="2"/>
  <c r="X15" i="2"/>
  <c r="V15" i="2"/>
  <c r="L15" i="2"/>
  <c r="K12" i="2"/>
  <c r="FI10" i="2"/>
  <c r="V12" i="31" s="1"/>
  <c r="S6" i="7" s="1"/>
  <c r="FH10" i="2"/>
  <c r="W12" i="31" s="1"/>
  <c r="T6" i="7" s="1"/>
  <c r="FG10" i="2"/>
  <c r="FE10" i="2"/>
  <c r="FD10" i="2"/>
  <c r="X12" i="31" s="1"/>
  <c r="U6" i="7" s="1"/>
  <c r="FC10" i="2"/>
  <c r="U12" i="31" s="1"/>
  <c r="R6" i="7" s="1"/>
  <c r="FB10" i="2"/>
  <c r="T12" i="31" s="1"/>
  <c r="Q6" i="7" s="1"/>
  <c r="FA10" i="2"/>
  <c r="DU10" i="2"/>
  <c r="DT10" i="2"/>
  <c r="DS10" i="2"/>
  <c r="DR10" i="2"/>
  <c r="DQ10" i="2"/>
  <c r="DP10" i="2"/>
  <c r="DO10" i="2"/>
  <c r="DN10" i="2"/>
  <c r="DL10" i="2"/>
  <c r="DK10" i="2"/>
  <c r="DJ10" i="2"/>
  <c r="DI10" i="2"/>
  <c r="DH10" i="2"/>
  <c r="DG10" i="2"/>
  <c r="DF10" i="2"/>
  <c r="DE10" i="2"/>
  <c r="CQ10" i="2"/>
  <c r="CO10" i="2"/>
  <c r="CM10" i="2"/>
  <c r="CL10" i="2"/>
  <c r="CK10" i="2"/>
  <c r="CH10" i="2"/>
  <c r="CF10" i="2"/>
  <c r="CD10" i="2"/>
  <c r="CC10" i="2"/>
  <c r="CB10" i="2"/>
  <c r="BY10" i="2"/>
  <c r="BW10" i="2"/>
  <c r="BU10" i="2"/>
  <c r="BT10" i="2"/>
  <c r="BS10" i="2"/>
  <c r="BP10" i="2"/>
  <c r="BN10" i="2"/>
  <c r="BL10" i="2"/>
  <c r="BJ10" i="2"/>
  <c r="BG10" i="2"/>
  <c r="BE10" i="2"/>
  <c r="AN10" i="2"/>
  <c r="CP10" i="2" s="1"/>
  <c r="AL10" i="2"/>
  <c r="AJ10" i="2"/>
  <c r="CG10" i="2" s="1"/>
  <c r="AH10" i="2"/>
  <c r="CE10" i="2" s="1"/>
  <c r="AF10" i="2"/>
  <c r="BX10" i="2" s="1"/>
  <c r="AD10" i="2"/>
  <c r="BV10" i="2" s="1"/>
  <c r="AB10" i="2"/>
  <c r="BO10" i="2" s="1"/>
  <c r="Z10" i="2"/>
  <c r="BM10" i="2" s="1"/>
  <c r="X10" i="2"/>
  <c r="BF10" i="2" s="1"/>
  <c r="V10" i="2"/>
  <c r="BD10" i="2" s="1"/>
  <c r="S10" i="2"/>
  <c r="L10" i="2"/>
  <c r="BH10" i="2" l="1"/>
  <c r="EG87" i="2"/>
  <c r="EL53" i="2"/>
  <c r="P57" i="31" s="1"/>
  <c r="P60" i="31" s="1"/>
  <c r="M18" i="7"/>
  <c r="BG54" i="2"/>
  <c r="CI87" i="2"/>
  <c r="BZ87" i="2"/>
  <c r="BQ87" i="2"/>
  <c r="BR87" i="2" s="1"/>
  <c r="BH87" i="2"/>
  <c r="BS135" i="2"/>
  <c r="BS175" i="2" s="1"/>
  <c r="BJ135" i="2"/>
  <c r="BJ175" i="2" s="1"/>
  <c r="BA135" i="2"/>
  <c r="BA175" i="2" s="1"/>
  <c r="CB54" i="2"/>
  <c r="BS54" i="2"/>
  <c r="BJ54" i="2"/>
  <c r="CB38" i="2"/>
  <c r="BS38" i="2"/>
  <c r="BJ38" i="2"/>
  <c r="BA38" i="2"/>
  <c r="CB32" i="2"/>
  <c r="CB161" i="2" s="1"/>
  <c r="BS32" i="2"/>
  <c r="BS161" i="2" s="1"/>
  <c r="BJ32" i="2"/>
  <c r="BJ161" i="2" s="1"/>
  <c r="BA32" i="2"/>
  <c r="BA161" i="2" s="1"/>
  <c r="CB15" i="2"/>
  <c r="BS15" i="2"/>
  <c r="BJ15" i="2"/>
  <c r="BA15" i="2"/>
  <c r="BA12" i="2"/>
  <c r="FI91" i="2"/>
  <c r="FI101" i="2" s="1"/>
  <c r="FH91" i="2"/>
  <c r="FH101" i="2" s="1"/>
  <c r="FG91" i="2"/>
  <c r="FF91" i="2"/>
  <c r="FE91" i="2"/>
  <c r="FE101" i="2" s="1"/>
  <c r="FD91" i="2"/>
  <c r="FD101" i="2" s="1"/>
  <c r="FC91" i="2"/>
  <c r="FC101" i="2" s="1"/>
  <c r="FB91" i="2"/>
  <c r="FB101" i="2" s="1"/>
  <c r="FA91" i="2"/>
  <c r="FJ91" i="2"/>
  <c r="CQ91" i="2"/>
  <c r="CQ101" i="2" s="1"/>
  <c r="CO91" i="2"/>
  <c r="CO101" i="2" s="1"/>
  <c r="CM91" i="2"/>
  <c r="CM101" i="2" s="1"/>
  <c r="CK91" i="2"/>
  <c r="CK101" i="2" s="1"/>
  <c r="CH91" i="2"/>
  <c r="CH101" i="2" s="1"/>
  <c r="CF91" i="2"/>
  <c r="CF101" i="2" s="1"/>
  <c r="CD91" i="2"/>
  <c r="CD101" i="2" s="1"/>
  <c r="CB91" i="2"/>
  <c r="CB101" i="2" s="1"/>
  <c r="BY91" i="2"/>
  <c r="BW91" i="2"/>
  <c r="BU91" i="2"/>
  <c r="BA26" i="2"/>
  <c r="BA162" i="2" s="1"/>
  <c r="BW26" i="2"/>
  <c r="BS26" i="2"/>
  <c r="BS162" i="2" s="1"/>
  <c r="BL26" i="2"/>
  <c r="BL162" i="2" s="1"/>
  <c r="BU26" i="2"/>
  <c r="FS87" i="2"/>
  <c r="FR10" i="2"/>
  <c r="BN26" i="2"/>
  <c r="BN162" i="2" s="1"/>
  <c r="CB26" i="2"/>
  <c r="CB162" i="2" s="1"/>
  <c r="FR87" i="2"/>
  <c r="BY26" i="2"/>
  <c r="FG84" i="2"/>
  <c r="BC26" i="2"/>
  <c r="BC162" i="2" s="1"/>
  <c r="FS10" i="2"/>
  <c r="Z26" i="2"/>
  <c r="BP26" i="2"/>
  <c r="CN10" i="2"/>
  <c r="EI10" i="2" s="1"/>
  <c r="L12" i="31" s="1"/>
  <c r="J6" i="7" s="1"/>
  <c r="FV86" i="2"/>
  <c r="BJ12" i="2"/>
  <c r="FA135" i="2"/>
  <c r="BA164" i="2"/>
  <c r="J111" i="31"/>
  <c r="S101" i="31"/>
  <c r="P21" i="7" s="1"/>
  <c r="FV87" i="2"/>
  <c r="BA84" i="2"/>
  <c r="FA84" i="2"/>
  <c r="BA54" i="2"/>
  <c r="FA54" i="2"/>
  <c r="FA38" i="2"/>
  <c r="FA32" i="2"/>
  <c r="S27" i="31"/>
  <c r="P9" i="7" s="1"/>
  <c r="BJ26" i="2"/>
  <c r="BJ162" i="2" s="1"/>
  <c r="FA18" i="2"/>
  <c r="S12" i="31"/>
  <c r="P6" i="7" s="1"/>
  <c r="V26" i="2"/>
  <c r="X26" i="2"/>
  <c r="BE26" i="2"/>
  <c r="BE162" i="2" s="1"/>
  <c r="BT26" i="2"/>
  <c r="BT162" i="2" s="1"/>
  <c r="BE91" i="2"/>
  <c r="BE174" i="2" s="1"/>
  <c r="BG26" i="2"/>
  <c r="BG162" i="2" s="1"/>
  <c r="AD26" i="2"/>
  <c r="CK26" i="2"/>
  <c r="CK162" i="2" s="1"/>
  <c r="DT70" i="2"/>
  <c r="CM26" i="2"/>
  <c r="AL91" i="2"/>
  <c r="AL101" i="2" s="1"/>
  <c r="AN91" i="2"/>
  <c r="AN101" i="2" s="1"/>
  <c r="DG70" i="2"/>
  <c r="AN70" i="2"/>
  <c r="BY70" i="2"/>
  <c r="DH70" i="2"/>
  <c r="AH91" i="2"/>
  <c r="AH101" i="2" s="1"/>
  <c r="DI70" i="2"/>
  <c r="AJ91" i="2"/>
  <c r="AJ101" i="2" s="1"/>
  <c r="BC70" i="2"/>
  <c r="BC165" i="2" s="1"/>
  <c r="CD70" i="2"/>
  <c r="FD26" i="2"/>
  <c r="CD26" i="2"/>
  <c r="BO41" i="2"/>
  <c r="AD70" i="2"/>
  <c r="BN70" i="2"/>
  <c r="CO70" i="2"/>
  <c r="FG70" i="2"/>
  <c r="CH164" i="2"/>
  <c r="AJ135" i="2"/>
  <c r="BV41" i="2"/>
  <c r="AF70" i="2"/>
  <c r="BP70" i="2"/>
  <c r="CQ70" i="2"/>
  <c r="DQ70" i="2"/>
  <c r="BL164" i="2"/>
  <c r="AL135" i="2"/>
  <c r="BU135" i="2"/>
  <c r="BU175" i="2" s="1"/>
  <c r="BX22" i="2"/>
  <c r="AF26" i="2"/>
  <c r="CH26" i="2"/>
  <c r="BX41" i="2"/>
  <c r="AH70" i="2"/>
  <c r="BS70" i="2"/>
  <c r="DR70" i="2"/>
  <c r="AB91" i="2"/>
  <c r="AB101" i="2" s="1"/>
  <c r="BP91" i="2"/>
  <c r="BP101" i="2" s="1"/>
  <c r="BN164" i="2"/>
  <c r="AN135" i="2"/>
  <c r="BW135" i="2"/>
  <c r="BW175" i="2" s="1"/>
  <c r="BN32" i="2"/>
  <c r="BN161" i="2" s="1"/>
  <c r="CN41" i="2"/>
  <c r="CG29" i="2"/>
  <c r="CG32" i="2" s="1"/>
  <c r="AJ32" i="2"/>
  <c r="BL84" i="2"/>
  <c r="BL101" i="2" s="1"/>
  <c r="BU164" i="2"/>
  <c r="CQ26" i="2"/>
  <c r="FH26" i="2"/>
  <c r="BN84" i="2"/>
  <c r="BN172" i="2" s="1"/>
  <c r="BW164" i="2"/>
  <c r="DR26" i="2"/>
  <c r="V70" i="2"/>
  <c r="BE70" i="2"/>
  <c r="CF70" i="2"/>
  <c r="DK70" i="2"/>
  <c r="BY164" i="2"/>
  <c r="BD41" i="2"/>
  <c r="BG70" i="2"/>
  <c r="BF41" i="2"/>
  <c r="BE164" i="2"/>
  <c r="CD164" i="2"/>
  <c r="AF135" i="2"/>
  <c r="BB135" i="2"/>
  <c r="BB175" i="2" s="1"/>
  <c r="BK135" i="2"/>
  <c r="CN22" i="2"/>
  <c r="AL26" i="2"/>
  <c r="CE29" i="2"/>
  <c r="AH32" i="2"/>
  <c r="CQ164" i="2"/>
  <c r="CP22" i="2"/>
  <c r="AN26" i="2"/>
  <c r="CO26" i="2"/>
  <c r="DP26" i="2"/>
  <c r="CP41" i="2"/>
  <c r="DQ26" i="2"/>
  <c r="DJ70" i="2"/>
  <c r="EV18" i="2"/>
  <c r="EV19" i="2" s="1"/>
  <c r="EV149" i="2" s="1"/>
  <c r="EV151" i="2" s="1"/>
  <c r="EV152" i="2" s="1"/>
  <c r="EY18" i="2"/>
  <c r="EY19" i="2" s="1"/>
  <c r="FI26" i="2"/>
  <c r="DS26" i="2"/>
  <c r="X70" i="2"/>
  <c r="CH70" i="2"/>
  <c r="DT26" i="2"/>
  <c r="Z70" i="2"/>
  <c r="FE70" i="2"/>
  <c r="DU26" i="2"/>
  <c r="BZ200" i="2" s="1"/>
  <c r="BD29" i="2"/>
  <c r="V32" i="2"/>
  <c r="BM41" i="2"/>
  <c r="AB70" i="2"/>
  <c r="CM70" i="2"/>
  <c r="DO70" i="2"/>
  <c r="FF70" i="2"/>
  <c r="BG91" i="2"/>
  <c r="BG174" i="2" s="1"/>
  <c r="CF164" i="2"/>
  <c r="AH135" i="2"/>
  <c r="BO22" i="2"/>
  <c r="AB26" i="2"/>
  <c r="BF29" i="2"/>
  <c r="X32" i="2"/>
  <c r="DP70" i="2"/>
  <c r="X91" i="2"/>
  <c r="X101" i="2" s="1"/>
  <c r="BJ91" i="2"/>
  <c r="BJ101" i="2" s="1"/>
  <c r="CF26" i="2"/>
  <c r="BM29" i="2"/>
  <c r="Z32" i="2"/>
  <c r="BN91" i="2"/>
  <c r="BN174" i="2" s="1"/>
  <c r="AH26" i="2"/>
  <c r="BV29" i="2"/>
  <c r="AD32" i="2"/>
  <c r="FJ29" i="2"/>
  <c r="FJ32" i="2" s="1"/>
  <c r="EY32" i="2"/>
  <c r="CE41" i="2"/>
  <c r="AJ70" i="2"/>
  <c r="BU70" i="2"/>
  <c r="DS70" i="2"/>
  <c r="AD91" i="2"/>
  <c r="AD101" i="2" s="1"/>
  <c r="BS91" i="2"/>
  <c r="EF87" i="2"/>
  <c r="CM164" i="2"/>
  <c r="BY135" i="2"/>
  <c r="BY175" i="2" s="1"/>
  <c r="FB135" i="2"/>
  <c r="AJ26" i="2"/>
  <c r="BX29" i="2"/>
  <c r="BX32" i="2" s="1"/>
  <c r="BX161" i="2" s="1"/>
  <c r="AF32" i="2"/>
  <c r="BL32" i="2"/>
  <c r="BL161" i="2" s="1"/>
  <c r="CG41" i="2"/>
  <c r="AL70" i="2"/>
  <c r="BW70" i="2"/>
  <c r="AF91" i="2"/>
  <c r="AF101" i="2" s="1"/>
  <c r="CO164" i="2"/>
  <c r="CO250" i="2" s="1"/>
  <c r="CB135" i="2"/>
  <c r="CB175" i="2" s="1"/>
  <c r="FC135" i="2"/>
  <c r="FH38" i="2"/>
  <c r="BB38" i="2"/>
  <c r="FI38" i="2"/>
  <c r="FC26" i="2"/>
  <c r="FA26" i="2"/>
  <c r="FB26" i="2"/>
  <c r="CL26" i="2"/>
  <c r="CL162" i="2" s="1"/>
  <c r="DN26" i="2"/>
  <c r="BS200" i="2" s="1"/>
  <c r="FE26" i="2"/>
  <c r="DO26" i="2"/>
  <c r="BT200" i="2" s="1"/>
  <c r="FF26" i="2"/>
  <c r="BM86" i="2"/>
  <c r="Z91" i="2"/>
  <c r="Z101" i="2" s="1"/>
  <c r="V91" i="2"/>
  <c r="V101" i="2" s="1"/>
  <c r="FJ23" i="2"/>
  <c r="V140" i="31"/>
  <c r="S26" i="7" s="1"/>
  <c r="S140" i="31"/>
  <c r="P26" i="7" s="1"/>
  <c r="T140" i="31"/>
  <c r="Q26" i="7" s="1"/>
  <c r="U140" i="31"/>
  <c r="R26" i="7" s="1"/>
  <c r="W140" i="31"/>
  <c r="T26" i="7" s="1"/>
  <c r="X140" i="31"/>
  <c r="U26" i="7" s="1"/>
  <c r="T124" i="31"/>
  <c r="X124" i="31"/>
  <c r="BS164" i="2"/>
  <c r="CB164" i="2"/>
  <c r="BJ164" i="2"/>
  <c r="CK164" i="2"/>
  <c r="W124" i="31"/>
  <c r="CL164" i="2"/>
  <c r="V124" i="31"/>
  <c r="Y98" i="31"/>
  <c r="V20" i="7" s="1"/>
  <c r="U98" i="31"/>
  <c r="R20" i="7" s="1"/>
  <c r="X98" i="31"/>
  <c r="U20" i="7" s="1"/>
  <c r="V98" i="31"/>
  <c r="S20" i="7" s="1"/>
  <c r="S98" i="31"/>
  <c r="P20" i="7" s="1"/>
  <c r="T98" i="31"/>
  <c r="Q20" i="7" s="1"/>
  <c r="BA91" i="2"/>
  <c r="BA174" i="2" s="1"/>
  <c r="W98" i="31"/>
  <c r="T20" i="7" s="1"/>
  <c r="DU70" i="2"/>
  <c r="BA70" i="2"/>
  <c r="CB70" i="2"/>
  <c r="DL70" i="2"/>
  <c r="FC70" i="2"/>
  <c r="BJ70" i="2"/>
  <c r="CK70" i="2"/>
  <c r="DN70" i="2"/>
  <c r="FD70" i="2"/>
  <c r="DE70" i="2"/>
  <c r="FH70" i="2"/>
  <c r="DF70" i="2"/>
  <c r="FI70" i="2"/>
  <c r="FA70" i="2"/>
  <c r="FH51" i="2"/>
  <c r="FI51" i="2"/>
  <c r="FB51" i="2"/>
  <c r="FA51" i="2"/>
  <c r="FC51" i="2"/>
  <c r="FD51" i="2"/>
  <c r="S47" i="31"/>
  <c r="S48" i="31" s="1"/>
  <c r="V47" i="31"/>
  <c r="S15" i="7" s="1"/>
  <c r="T47" i="31"/>
  <c r="Q15" i="7" s="1"/>
  <c r="W47" i="31"/>
  <c r="T15" i="7" s="1"/>
  <c r="U47" i="31"/>
  <c r="R15" i="7" s="1"/>
  <c r="X47" i="31"/>
  <c r="X48" i="31" s="1"/>
  <c r="W33" i="31"/>
  <c r="T11" i="7" s="1"/>
  <c r="V33" i="31"/>
  <c r="S11" i="7" s="1"/>
  <c r="T33" i="31"/>
  <c r="T36" i="31" s="1"/>
  <c r="X33" i="31"/>
  <c r="X36" i="31" s="1"/>
  <c r="S33" i="31"/>
  <c r="S36" i="31" s="1"/>
  <c r="U33" i="31"/>
  <c r="U36" i="31" s="1"/>
  <c r="W26" i="31"/>
  <c r="T8" i="7" s="1"/>
  <c r="U26" i="31"/>
  <c r="R8" i="7" s="1"/>
  <c r="V26" i="31"/>
  <c r="S8" i="7" s="1"/>
  <c r="S26" i="31"/>
  <c r="P8" i="7" s="1"/>
  <c r="X26" i="31"/>
  <c r="U8" i="7" s="1"/>
  <c r="T26" i="31"/>
  <c r="Q8" i="7" s="1"/>
  <c r="Q111" i="31"/>
  <c r="EG129" i="2"/>
  <c r="EG23" i="2"/>
  <c r="I27" i="31" s="1"/>
  <c r="EF53" i="2"/>
  <c r="FU53" i="2" s="1"/>
  <c r="CQ175" i="2"/>
  <c r="EH10" i="2"/>
  <c r="K12" i="31" s="1"/>
  <c r="I6" i="7" s="1"/>
  <c r="EL15" i="2"/>
  <c r="EG53" i="2"/>
  <c r="EG54" i="2" s="1"/>
  <c r="EL86" i="2"/>
  <c r="I101" i="31"/>
  <c r="EF22" i="2"/>
  <c r="FU22" i="2" s="1"/>
  <c r="EL41" i="2"/>
  <c r="EH51" i="2"/>
  <c r="EH84" i="2"/>
  <c r="EH22" i="2"/>
  <c r="EI87" i="2"/>
  <c r="L101" i="31" s="1"/>
  <c r="J21" i="7" s="1"/>
  <c r="EH129" i="2"/>
  <c r="EH18" i="2"/>
  <c r="EH87" i="2"/>
  <c r="K101" i="31" s="1"/>
  <c r="I21" i="7" s="1"/>
  <c r="EH53" i="2"/>
  <c r="EH54" i="2" s="1"/>
  <c r="EH29" i="2"/>
  <c r="EH114" i="2"/>
  <c r="EH23" i="2"/>
  <c r="K27" i="31" s="1"/>
  <c r="I9" i="7" s="1"/>
  <c r="EH86" i="2"/>
  <c r="EH35" i="2"/>
  <c r="EH38" i="2" s="1"/>
  <c r="EH15" i="2"/>
  <c r="EH41" i="2"/>
  <c r="EG18" i="2"/>
  <c r="BB161" i="2"/>
  <c r="EG29" i="2"/>
  <c r="EG32" i="2" s="1"/>
  <c r="BC161" i="2"/>
  <c r="EK87" i="2"/>
  <c r="N101" i="31" s="1"/>
  <c r="L21" i="7" s="1"/>
  <c r="EF15" i="2"/>
  <c r="EL129" i="2"/>
  <c r="EL22" i="2"/>
  <c r="EF29" i="2"/>
  <c r="EG35" i="2"/>
  <c r="EG38" i="2" s="1"/>
  <c r="EL54" i="2"/>
  <c r="EL87" i="2"/>
  <c r="BT164" i="2"/>
  <c r="EG114" i="2"/>
  <c r="EG10" i="2"/>
  <c r="I12" i="31" s="1"/>
  <c r="EL10" i="2"/>
  <c r="EG15" i="2"/>
  <c r="EL18" i="2"/>
  <c r="BG161" i="2"/>
  <c r="EL29" i="2"/>
  <c r="EL32" i="2" s="1"/>
  <c r="EF41" i="2"/>
  <c r="FU41" i="2" s="1"/>
  <c r="EF114" i="2"/>
  <c r="BB162" i="2"/>
  <c r="EG22" i="2"/>
  <c r="EL51" i="2"/>
  <c r="EF23" i="2"/>
  <c r="EL35" i="2"/>
  <c r="EL38" i="2" s="1"/>
  <c r="EK10" i="2"/>
  <c r="N12" i="31" s="1"/>
  <c r="L6" i="7" s="1"/>
  <c r="EF10" i="2"/>
  <c r="EG41" i="2"/>
  <c r="EG51" i="2"/>
  <c r="EF86" i="2"/>
  <c r="BC164" i="2"/>
  <c r="EF35" i="2"/>
  <c r="BP164" i="2"/>
  <c r="EL114" i="2"/>
  <c r="EF129" i="2"/>
  <c r="FU129" i="2" s="1"/>
  <c r="EL23" i="2"/>
  <c r="X40" i="31"/>
  <c r="U14" i="7" s="1"/>
  <c r="W40" i="31"/>
  <c r="T14" i="7" s="1"/>
  <c r="S40" i="31"/>
  <c r="P14" i="7" s="1"/>
  <c r="T40" i="31"/>
  <c r="Q14" i="7" s="1"/>
  <c r="V40" i="31"/>
  <c r="V43" i="31" s="1"/>
  <c r="U40" i="31"/>
  <c r="R14" i="7" s="1"/>
  <c r="BN175" i="2"/>
  <c r="BE175" i="2"/>
  <c r="CF175" i="2"/>
  <c r="BP175" i="2"/>
  <c r="BJ203" i="2"/>
  <c r="BK199" i="2"/>
  <c r="BK203" i="2"/>
  <c r="BL199" i="2"/>
  <c r="BL203" i="2"/>
  <c r="BK174" i="2"/>
  <c r="BG175" i="2"/>
  <c r="CH175" i="2"/>
  <c r="K135" i="2"/>
  <c r="BL175" i="2"/>
  <c r="CK175" i="2"/>
  <c r="CD175" i="2"/>
  <c r="BC175" i="2"/>
  <c r="CM175" i="2"/>
  <c r="CO175" i="2"/>
  <c r="CO261" i="2" s="1"/>
  <c r="CO161" i="2"/>
  <c r="CQ161" i="2"/>
  <c r="M26" i="31"/>
  <c r="K8" i="7" s="1"/>
  <c r="M27" i="31"/>
  <c r="K9" i="7" s="1"/>
  <c r="M12" i="31"/>
  <c r="K6" i="7" s="1"/>
  <c r="M47" i="31"/>
  <c r="K15" i="7" s="1"/>
  <c r="M33" i="31"/>
  <c r="K19" i="2"/>
  <c r="CF199" i="2"/>
  <c r="CH199" i="2"/>
  <c r="V57" i="31"/>
  <c r="S18" i="7" s="1"/>
  <c r="CC199" i="2"/>
  <c r="S57" i="31"/>
  <c r="P18" i="7" s="1"/>
  <c r="CF214" i="2"/>
  <c r="W57" i="31"/>
  <c r="T18" i="7" s="1"/>
  <c r="T57" i="31"/>
  <c r="Q18" i="7" s="1"/>
  <c r="CB199" i="2"/>
  <c r="U57" i="31"/>
  <c r="R18" i="7" s="1"/>
  <c r="X57" i="31"/>
  <c r="U18" i="7" s="1"/>
  <c r="X17" i="31"/>
  <c r="W17" i="31"/>
  <c r="V17" i="31"/>
  <c r="T17" i="31"/>
  <c r="CC214" i="2"/>
  <c r="CH214" i="2"/>
  <c r="CD214" i="2"/>
  <c r="CB214" i="2"/>
  <c r="S17" i="31"/>
  <c r="BT70" i="2"/>
  <c r="BA76" i="2"/>
  <c r="BA168" i="2" s="1"/>
  <c r="DA87" i="2"/>
  <c r="BF217" i="2" s="1"/>
  <c r="DB87" i="2"/>
  <c r="BG217" i="2" s="1"/>
  <c r="CY87" i="2"/>
  <c r="BD217" i="2" s="1"/>
  <c r="CZ87" i="2"/>
  <c r="BE217" i="2" s="1"/>
  <c r="BG219" i="2"/>
  <c r="BN227" i="2"/>
  <c r="CX86" i="2"/>
  <c r="CV86" i="2"/>
  <c r="BG172" i="2"/>
  <c r="DG114" i="2"/>
  <c r="BE172" i="2"/>
  <c r="DI84" i="2"/>
  <c r="DI101" i="2" s="1"/>
  <c r="CZ86" i="2"/>
  <c r="CZ91" i="2" s="1"/>
  <c r="DB86" i="2"/>
  <c r="DK114" i="2"/>
  <c r="BA219" i="2"/>
  <c r="CV129" i="2"/>
  <c r="DE114" i="2"/>
  <c r="DI114" i="2"/>
  <c r="CW129" i="2"/>
  <c r="BB219" i="2"/>
  <c r="BC172" i="2"/>
  <c r="CV87" i="2"/>
  <c r="BA217" i="2" s="1"/>
  <c r="BJ227" i="2"/>
  <c r="CX129" i="2"/>
  <c r="DB129" i="2"/>
  <c r="DB135" i="2" s="1"/>
  <c r="DF114" i="2"/>
  <c r="CW87" i="2"/>
  <c r="BB217" i="2" s="1"/>
  <c r="CX87" i="2"/>
  <c r="BC217" i="2" s="1"/>
  <c r="BF219" i="2"/>
  <c r="BE219" i="2"/>
  <c r="BL227" i="2"/>
  <c r="CZ129" i="2"/>
  <c r="BV214" i="2"/>
  <c r="BU214" i="2"/>
  <c r="CQ172" i="2"/>
  <c r="BU172" i="2"/>
  <c r="BW172" i="2"/>
  <c r="BY172" i="2"/>
  <c r="CF172" i="2"/>
  <c r="CD203" i="2"/>
  <c r="BN173" i="2"/>
  <c r="CO173" i="2"/>
  <c r="CH227" i="2"/>
  <c r="CE203" i="2"/>
  <c r="CQ173" i="2"/>
  <c r="CF203" i="2"/>
  <c r="BW227" i="2"/>
  <c r="BX227" i="2"/>
  <c r="BB262" i="2"/>
  <c r="CB172" i="2"/>
  <c r="BL165" i="2"/>
  <c r="CC172" i="2"/>
  <c r="CM173" i="2"/>
  <c r="CG227" i="2"/>
  <c r="CG203" i="2"/>
  <c r="BY76" i="2"/>
  <c r="BY168" i="2" s="1"/>
  <c r="BY227" i="2"/>
  <c r="CH172" i="2"/>
  <c r="BJ172" i="2"/>
  <c r="CD172" i="2"/>
  <c r="CO210" i="2"/>
  <c r="CV76" i="2"/>
  <c r="BA206" i="2" s="1"/>
  <c r="CH203" i="2"/>
  <c r="CK172" i="2"/>
  <c r="CC135" i="2"/>
  <c r="BF86" i="2"/>
  <c r="BH86" i="2" s="1"/>
  <c r="BD114" i="2"/>
  <c r="CE173" i="2"/>
  <c r="BL167" i="2"/>
  <c r="CD76" i="2"/>
  <c r="CD168" i="2" s="1"/>
  <c r="BU173" i="2"/>
  <c r="CN173" i="2"/>
  <c r="BW173" i="2"/>
  <c r="BS227" i="2"/>
  <c r="CG70" i="2"/>
  <c r="CN86" i="2"/>
  <c r="CN91" i="2" s="1"/>
  <c r="BY221" i="2"/>
  <c r="CO211" i="2"/>
  <c r="CN211" i="2"/>
  <c r="FG18" i="2"/>
  <c r="CN70" i="2"/>
  <c r="CE76" i="2"/>
  <c r="CE168" i="2" s="1"/>
  <c r="AH76" i="2"/>
  <c r="CP86" i="2"/>
  <c r="CP91" i="2" s="1"/>
  <c r="CP211" i="2"/>
  <c r="CG114" i="2"/>
  <c r="BD129" i="2"/>
  <c r="BP76" i="2"/>
  <c r="BP168" i="2" s="1"/>
  <c r="BS221" i="2"/>
  <c r="BE173" i="2"/>
  <c r="CF173" i="2"/>
  <c r="CQ211" i="2"/>
  <c r="CK211" i="2"/>
  <c r="CN114" i="2"/>
  <c r="EL76" i="2"/>
  <c r="CQ206" i="2" s="1"/>
  <c r="BN76" i="2"/>
  <c r="BN168" i="2" s="1"/>
  <c r="BC76" i="2"/>
  <c r="BC168" i="2" s="1"/>
  <c r="CN84" i="2"/>
  <c r="BG173" i="2"/>
  <c r="CH173" i="2"/>
  <c r="BL173" i="2"/>
  <c r="CD227" i="2"/>
  <c r="CP114" i="2"/>
  <c r="BM129" i="2"/>
  <c r="EU76" i="2"/>
  <c r="EU79" i="2" s="1"/>
  <c r="EU149" i="2" s="1"/>
  <c r="EU151" i="2" s="1"/>
  <c r="EU152" i="2" s="1"/>
  <c r="BV129" i="2"/>
  <c r="BV173" i="2"/>
  <c r="BX129" i="2"/>
  <c r="EC76" i="2"/>
  <c r="BO86" i="2"/>
  <c r="BX173" i="2"/>
  <c r="BP173" i="2"/>
  <c r="BF114" i="2"/>
  <c r="CE129" i="2"/>
  <c r="BO70" i="2"/>
  <c r="BV86" i="2"/>
  <c r="BM114" i="2"/>
  <c r="CG129" i="2"/>
  <c r="BV70" i="2"/>
  <c r="BG76" i="2"/>
  <c r="BG168" i="2" s="1"/>
  <c r="BX86" i="2"/>
  <c r="BX91" i="2" s="1"/>
  <c r="BX174" i="2" s="1"/>
  <c r="BO114" i="2"/>
  <c r="CN129" i="2"/>
  <c r="CN135" i="2" s="1"/>
  <c r="BX70" i="2"/>
  <c r="CF76" i="2"/>
  <c r="CF168" i="2" s="1"/>
  <c r="BO84" i="2"/>
  <c r="CE86" i="2"/>
  <c r="BV114" i="2"/>
  <c r="CP129" i="2"/>
  <c r="CE70" i="2"/>
  <c r="CH76" i="2"/>
  <c r="CH168" i="2" s="1"/>
  <c r="DB76" i="2"/>
  <c r="BG206" i="2" s="1"/>
  <c r="BV84" i="2"/>
  <c r="CG86" i="2"/>
  <c r="CG91" i="2" s="1"/>
  <c r="CP173" i="2"/>
  <c r="BY173" i="2"/>
  <c r="BS173" i="2"/>
  <c r="BT227" i="2"/>
  <c r="CM211" i="2"/>
  <c r="BX114" i="2"/>
  <c r="EY35" i="2"/>
  <c r="EY38" i="2" s="1"/>
  <c r="BN167" i="2"/>
  <c r="BX84" i="2"/>
  <c r="CE114" i="2"/>
  <c r="CE84" i="2"/>
  <c r="CD173" i="2"/>
  <c r="FJ114" i="2"/>
  <c r="FF10" i="2"/>
  <c r="CP70" i="2"/>
  <c r="CG76" i="2"/>
  <c r="CG168" i="2" s="1"/>
  <c r="AJ76" i="2"/>
  <c r="CM76" i="2"/>
  <c r="CM168" i="2" s="1"/>
  <c r="BL76" i="2"/>
  <c r="BL168" i="2" s="1"/>
  <c r="CG84" i="2"/>
  <c r="BP172" i="2"/>
  <c r="BF129" i="2"/>
  <c r="AL76" i="2"/>
  <c r="CO76" i="2"/>
  <c r="CO168" i="2" s="1"/>
  <c r="CP76" i="2"/>
  <c r="CP168" i="2" s="1"/>
  <c r="AN76" i="2"/>
  <c r="CQ76" i="2"/>
  <c r="CQ168" i="2" s="1"/>
  <c r="CP84" i="2"/>
  <c r="CO172" i="2"/>
  <c r="CF227" i="2"/>
  <c r="CE227" i="2"/>
  <c r="BO129" i="2"/>
  <c r="CX76" i="2"/>
  <c r="BC206" i="2" s="1"/>
  <c r="BE76" i="2"/>
  <c r="BE168" i="2" s="1"/>
  <c r="FJ70" i="2"/>
  <c r="FJ53" i="2"/>
  <c r="FJ54" i="2" s="1"/>
  <c r="FJ51" i="2"/>
  <c r="FJ41" i="2"/>
  <c r="FV41" i="2" s="1"/>
  <c r="FJ15" i="2"/>
  <c r="BM23" i="2"/>
  <c r="CE23" i="2"/>
  <c r="CG23" i="2"/>
  <c r="BD23" i="2"/>
  <c r="BF23" i="2"/>
  <c r="BO23" i="2"/>
  <c r="BV23" i="2"/>
  <c r="BX23" i="2"/>
  <c r="BM35" i="2"/>
  <c r="BV35" i="2"/>
  <c r="CP35" i="2"/>
  <c r="CP38" i="2" s="1"/>
  <c r="BF35" i="2"/>
  <c r="BO35" i="2"/>
  <c r="BO38" i="2" s="1"/>
  <c r="BX35" i="2"/>
  <c r="BX38" i="2" s="1"/>
  <c r="CE35" i="2"/>
  <c r="CG35" i="2"/>
  <c r="CG38" i="2" s="1"/>
  <c r="CN35" i="2"/>
  <c r="CN38" i="2" s="1"/>
  <c r="BD35" i="2"/>
  <c r="CN51" i="2"/>
  <c r="CP51" i="2"/>
  <c r="BF51" i="2"/>
  <c r="BO51" i="2"/>
  <c r="BV51" i="2"/>
  <c r="CE51" i="2"/>
  <c r="CG51" i="2"/>
  <c r="BD51" i="2"/>
  <c r="BM51" i="2"/>
  <c r="BX51" i="2"/>
  <c r="BD53" i="2"/>
  <c r="BF53" i="2"/>
  <c r="BM53" i="2"/>
  <c r="CE53" i="2"/>
  <c r="CG53" i="2"/>
  <c r="CG54" i="2" s="1"/>
  <c r="CP53" i="2"/>
  <c r="CP54" i="2" s="1"/>
  <c r="BO53" i="2"/>
  <c r="BO54" i="2" s="1"/>
  <c r="BV53" i="2"/>
  <c r="BX53" i="2"/>
  <c r="BX54" i="2" s="1"/>
  <c r="CN53" i="2"/>
  <c r="CN54" i="2" s="1"/>
  <c r="BF15" i="2"/>
  <c r="BO15" i="2"/>
  <c r="BX15" i="2"/>
  <c r="CG15" i="2"/>
  <c r="BZ227" i="2"/>
  <c r="BK173" i="2"/>
  <c r="CK173" i="2"/>
  <c r="CB173" i="2"/>
  <c r="CR211" i="2"/>
  <c r="CL211" i="2"/>
  <c r="CB227" i="2"/>
  <c r="BJ173" i="2"/>
  <c r="CC227" i="2"/>
  <c r="BT221" i="2"/>
  <c r="BK172" i="2"/>
  <c r="CL172" i="2"/>
  <c r="BS172" i="2"/>
  <c r="FA76" i="2"/>
  <c r="FC76" i="2"/>
  <c r="CK76" i="2"/>
  <c r="CK168" i="2" s="1"/>
  <c r="FG76" i="2"/>
  <c r="CB76" i="2"/>
  <c r="CB168" i="2" s="1"/>
  <c r="EF76" i="2"/>
  <c r="FD76" i="2"/>
  <c r="DW76" i="2"/>
  <c r="FH76" i="2"/>
  <c r="FI76" i="2"/>
  <c r="BS76" i="2"/>
  <c r="BS168" i="2" s="1"/>
  <c r="FB76" i="2"/>
  <c r="BJ76" i="2"/>
  <c r="BJ168" i="2" s="1"/>
  <c r="FE76" i="2"/>
  <c r="CI203" i="2"/>
  <c r="CB203" i="2"/>
  <c r="CC203" i="2"/>
  <c r="CC162" i="2"/>
  <c r="BK162" i="2"/>
  <c r="X76" i="2"/>
  <c r="V76" i="2"/>
  <c r="EG76" i="2"/>
  <c r="CL206" i="2" s="1"/>
  <c r="BU76" i="2"/>
  <c r="BW76" i="2"/>
  <c r="EH76" i="2"/>
  <c r="CM206" i="2" s="1"/>
  <c r="CW76" i="2"/>
  <c r="BB206" i="2" s="1"/>
  <c r="DX76" i="2"/>
  <c r="EJ76" i="2"/>
  <c r="DA76" i="2"/>
  <c r="EA76" i="2"/>
  <c r="EB76" i="2"/>
  <c r="CZ76" i="2"/>
  <c r="EK76" i="2"/>
  <c r="CP206" i="2" s="1"/>
  <c r="AF76" i="2"/>
  <c r="CY76" i="2"/>
  <c r="BD206" i="2" s="1"/>
  <c r="EI76" i="2"/>
  <c r="CN206" i="2" s="1"/>
  <c r="DC76" i="2"/>
  <c r="BH206" i="2" s="1"/>
  <c r="DZ76" i="2"/>
  <c r="EM76" i="2"/>
  <c r="CR206" i="2" s="1"/>
  <c r="DY76" i="2"/>
  <c r="BV76" i="2"/>
  <c r="AD76" i="2"/>
  <c r="ED76" i="2"/>
  <c r="BO76" i="2"/>
  <c r="BO168" i="2" s="1"/>
  <c r="AB76" i="2"/>
  <c r="BM76" i="2"/>
  <c r="BM168" i="2" s="1"/>
  <c r="Z76" i="2"/>
  <c r="BU227" i="2"/>
  <c r="BC173" i="2"/>
  <c r="BV227" i="2"/>
  <c r="CI227" i="2"/>
  <c r="BU221" i="2"/>
  <c r="BV221" i="2"/>
  <c r="BC174" i="2"/>
  <c r="BZ221" i="2"/>
  <c r="BL174" i="2"/>
  <c r="BM173" i="2"/>
  <c r="L86" i="2"/>
  <c r="L91" i="2" s="1"/>
  <c r="K91" i="2"/>
  <c r="K101" i="2" s="1"/>
  <c r="CL70" i="2"/>
  <c r="K70" i="2"/>
  <c r="K73" i="2"/>
  <c r="BT135" i="2"/>
  <c r="CL135" i="2"/>
  <c r="CL173" i="2"/>
  <c r="BT173" i="2"/>
  <c r="BB173" i="2"/>
  <c r="BP227" i="2"/>
  <c r="CC86" i="2"/>
  <c r="CC91" i="2" s="1"/>
  <c r="CC101" i="2" s="1"/>
  <c r="BT86" i="2"/>
  <c r="BT91" i="2" s="1"/>
  <c r="BT174" i="2" s="1"/>
  <c r="CL86" i="2"/>
  <c r="CL91" i="2" s="1"/>
  <c r="CL101" i="2" s="1"/>
  <c r="CR87" i="2"/>
  <c r="CA214" i="2"/>
  <c r="FF84" i="2"/>
  <c r="BI214" i="2"/>
  <c r="K76" i="2"/>
  <c r="DJ76" i="2"/>
  <c r="DI76" i="2"/>
  <c r="DK76" i="2"/>
  <c r="BP206" i="2" s="1"/>
  <c r="DF76" i="2"/>
  <c r="BK206" i="2" s="1"/>
  <c r="DH76" i="2"/>
  <c r="BM206" i="2" s="1"/>
  <c r="DE76" i="2"/>
  <c r="BJ206" i="2" s="1"/>
  <c r="DG76" i="2"/>
  <c r="BL206" i="2" s="1"/>
  <c r="L73" i="2"/>
  <c r="CC70" i="2"/>
  <c r="L70" i="2"/>
  <c r="DV53" i="2"/>
  <c r="DV54" i="2" s="1"/>
  <c r="DB54" i="2"/>
  <c r="CW53" i="2"/>
  <c r="CW54" i="2" s="1"/>
  <c r="CX53" i="2"/>
  <c r="CX54" i="2" s="1"/>
  <c r="DM53" i="2"/>
  <c r="DM54" i="2" s="1"/>
  <c r="CZ53" i="2"/>
  <c r="CZ54" i="2" s="1"/>
  <c r="CV53" i="2"/>
  <c r="CV54" i="2" s="1"/>
  <c r="DF51" i="2"/>
  <c r="DI51" i="2"/>
  <c r="DK51" i="2"/>
  <c r="DV51" i="2"/>
  <c r="DD51" i="2"/>
  <c r="DE51" i="2"/>
  <c r="DG51" i="2"/>
  <c r="DD41" i="2"/>
  <c r="DI41" i="2"/>
  <c r="DJ41" i="2"/>
  <c r="DK41" i="2"/>
  <c r="DV41" i="2"/>
  <c r="DF41" i="2"/>
  <c r="DH41" i="2"/>
  <c r="DG41" i="2"/>
  <c r="DE41" i="2"/>
  <c r="FG35" i="2"/>
  <c r="FG38" i="2" s="1"/>
  <c r="DV35" i="2"/>
  <c r="CV35" i="2"/>
  <c r="CV38" i="2" s="1"/>
  <c r="DB35" i="2"/>
  <c r="DB38" i="2" s="1"/>
  <c r="CW35" i="2"/>
  <c r="CW38" i="2" s="1"/>
  <c r="DM35" i="2"/>
  <c r="CX35" i="2"/>
  <c r="CX38" i="2" s="1"/>
  <c r="DF38" i="2"/>
  <c r="CZ35" i="2"/>
  <c r="CZ38" i="2" s="1"/>
  <c r="DE38" i="2"/>
  <c r="CC161" i="2"/>
  <c r="FG23" i="2"/>
  <c r="FG26" i="2" s="1"/>
  <c r="BV199" i="2"/>
  <c r="BM199" i="2"/>
  <c r="BW199" i="2"/>
  <c r="CF161" i="2"/>
  <c r="BY199" i="2"/>
  <c r="BT161" i="2"/>
  <c r="L32" i="2"/>
  <c r="BE161" i="2"/>
  <c r="CH161" i="2"/>
  <c r="BP161" i="2"/>
  <c r="BN199" i="2"/>
  <c r="BS199" i="2"/>
  <c r="BT199" i="2"/>
  <c r="BK161" i="2"/>
  <c r="CD161" i="2"/>
  <c r="BZ199" i="2"/>
  <c r="BP199" i="2"/>
  <c r="BO29" i="2"/>
  <c r="BO32" i="2" s="1"/>
  <c r="DB29" i="2"/>
  <c r="DB32" i="2" s="1"/>
  <c r="BX199" i="2"/>
  <c r="CW29" i="2"/>
  <c r="CW32" i="2" s="1"/>
  <c r="CN29" i="2"/>
  <c r="CX29" i="2"/>
  <c r="CX32" i="2" s="1"/>
  <c r="CD199" i="2"/>
  <c r="CV29" i="2"/>
  <c r="CV32" i="2" s="1"/>
  <c r="BO199" i="2"/>
  <c r="BW161" i="2"/>
  <c r="BU161" i="2"/>
  <c r="CK161" i="2"/>
  <c r="CM161" i="2"/>
  <c r="DV29" i="2"/>
  <c r="DV32" i="2" s="1"/>
  <c r="DM29" i="2"/>
  <c r="DM32" i="2" s="1"/>
  <c r="CP29" i="2"/>
  <c r="CP32" i="2" s="1"/>
  <c r="CZ29" i="2"/>
  <c r="CZ32" i="2" s="1"/>
  <c r="BY161" i="2"/>
  <c r="BU199" i="2"/>
  <c r="DB23" i="2"/>
  <c r="DB26" i="2" s="1"/>
  <c r="CG22" i="2"/>
  <c r="L26" i="2"/>
  <c r="CE22" i="2"/>
  <c r="DE22" i="2"/>
  <c r="DE26" i="2" s="1"/>
  <c r="DF22" i="2"/>
  <c r="DF26" i="2" s="1"/>
  <c r="CP23" i="2"/>
  <c r="DV23" i="2"/>
  <c r="DV22" i="2"/>
  <c r="FJ22" i="2"/>
  <c r="FV22" i="2" s="1"/>
  <c r="CV23" i="2"/>
  <c r="CV26" i="2" s="1"/>
  <c r="CW23" i="2"/>
  <c r="CW26" i="2" s="1"/>
  <c r="DM23" i="2"/>
  <c r="DG22" i="2"/>
  <c r="DG26" i="2" s="1"/>
  <c r="CX23" i="2"/>
  <c r="CX26" i="2" s="1"/>
  <c r="BD22" i="2"/>
  <c r="CZ23" i="2"/>
  <c r="CZ26" i="2" s="1"/>
  <c r="BM22" i="2"/>
  <c r="DI22" i="2"/>
  <c r="DI26" i="2" s="1"/>
  <c r="BF22" i="2"/>
  <c r="CN23" i="2"/>
  <c r="DD22" i="2"/>
  <c r="DK22" i="2"/>
  <c r="DK26" i="2" s="1"/>
  <c r="BV22" i="2"/>
  <c r="DB18" i="2"/>
  <c r="CX18" i="2"/>
  <c r="DM18" i="2"/>
  <c r="CV18" i="2"/>
  <c r="CW18" i="2"/>
  <c r="CZ18" i="2"/>
  <c r="DV15" i="2"/>
  <c r="CZ15" i="2"/>
  <c r="DB15" i="2"/>
  <c r="DM15" i="2"/>
  <c r="CV15" i="2"/>
  <c r="CW15" i="2"/>
  <c r="CX15" i="2"/>
  <c r="DM10" i="2"/>
  <c r="DA10" i="2"/>
  <c r="DB10" i="2"/>
  <c r="CX10" i="2"/>
  <c r="CZ10" i="2"/>
  <c r="CI10" i="2"/>
  <c r="CJ10" i="2" s="1"/>
  <c r="CV10" i="2"/>
  <c r="DV10" i="2"/>
  <c r="CW10" i="2"/>
  <c r="CY10" i="2"/>
  <c r="BQ10" i="2"/>
  <c r="BR10" i="2" s="1"/>
  <c r="BZ10" i="2"/>
  <c r="CA10" i="2" s="1"/>
  <c r="DE12" i="2"/>
  <c r="BY101" i="2" l="1"/>
  <c r="BY174" i="2"/>
  <c r="BU101" i="2"/>
  <c r="BU174" i="2"/>
  <c r="BW101" i="2"/>
  <c r="BW174" i="2"/>
  <c r="BS101" i="2"/>
  <c r="BS174" i="2"/>
  <c r="CI22" i="2"/>
  <c r="BH35" i="2"/>
  <c r="BH53" i="2"/>
  <c r="BJ19" i="2"/>
  <c r="BA149" i="2"/>
  <c r="BQ129" i="2"/>
  <c r="BQ135" i="2" s="1"/>
  <c r="BQ22" i="2"/>
  <c r="BH41" i="2"/>
  <c r="BH29" i="2"/>
  <c r="BZ41" i="2"/>
  <c r="CA41" i="2" s="1"/>
  <c r="BQ41" i="2"/>
  <c r="BR41" i="2" s="1"/>
  <c r="BQ29" i="2"/>
  <c r="CI41" i="2"/>
  <c r="CJ41" i="2" s="1"/>
  <c r="BH129" i="2"/>
  <c r="BQ23" i="2"/>
  <c r="CI23" i="2"/>
  <c r="CJ23" i="2" s="1"/>
  <c r="BH23" i="2"/>
  <c r="BZ23" i="2"/>
  <c r="CA23" i="2" s="1"/>
  <c r="BH22" i="2"/>
  <c r="BZ22" i="2"/>
  <c r="BV135" i="2"/>
  <c r="BV175" i="2" s="1"/>
  <c r="BZ129" i="2"/>
  <c r="BM38" i="2"/>
  <c r="BQ35" i="2"/>
  <c r="BQ38" i="2" s="1"/>
  <c r="BV38" i="2"/>
  <c r="BZ35" i="2"/>
  <c r="BZ38" i="2" s="1"/>
  <c r="CE38" i="2"/>
  <c r="CI35" i="2"/>
  <c r="CI38" i="2" s="1"/>
  <c r="BM54" i="2"/>
  <c r="BQ53" i="2"/>
  <c r="BQ54" i="2" s="1"/>
  <c r="CE54" i="2"/>
  <c r="CI53" i="2"/>
  <c r="CI54" i="2" s="1"/>
  <c r="BV54" i="2"/>
  <c r="BZ53" i="2"/>
  <c r="BZ54" i="2" s="1"/>
  <c r="BD15" i="2"/>
  <c r="BM15" i="2"/>
  <c r="BQ15" i="2"/>
  <c r="BV15" i="2"/>
  <c r="BZ15" i="2"/>
  <c r="CE15" i="2"/>
  <c r="CI15" i="2"/>
  <c r="CE32" i="2"/>
  <c r="CE161" i="2" s="1"/>
  <c r="CI29" i="2"/>
  <c r="CI32" i="2" s="1"/>
  <c r="CI161" i="2" s="1"/>
  <c r="BV32" i="2"/>
  <c r="BV161" i="2" s="1"/>
  <c r="BZ29" i="2"/>
  <c r="BZ32" i="2" s="1"/>
  <c r="BZ161" i="2" s="1"/>
  <c r="BM91" i="2"/>
  <c r="BM174" i="2" s="1"/>
  <c r="BQ86" i="2"/>
  <c r="CE135" i="2"/>
  <c r="CE175" i="2" s="1"/>
  <c r="CI129" i="2"/>
  <c r="BV91" i="2"/>
  <c r="BZ86" i="2"/>
  <c r="BZ91" i="2" s="1"/>
  <c r="BZ174" i="2" s="1"/>
  <c r="CE91" i="2"/>
  <c r="CE101" i="2" s="1"/>
  <c r="CI86" i="2"/>
  <c r="CI91" i="2" s="1"/>
  <c r="EL91" i="2"/>
  <c r="CQ212" i="2" s="1"/>
  <c r="CQ260" i="2" s="1"/>
  <c r="DB91" i="2"/>
  <c r="DB101" i="2" s="1"/>
  <c r="FV91" i="2"/>
  <c r="CV91" i="2"/>
  <c r="CV101" i="2" s="1"/>
  <c r="BA172" i="2"/>
  <c r="BA101" i="2"/>
  <c r="K98" i="31"/>
  <c r="I20" i="7" s="1"/>
  <c r="EH91" i="2"/>
  <c r="EH101" i="2" s="1"/>
  <c r="FU86" i="2"/>
  <c r="EF91" i="2"/>
  <c r="BC216" i="2"/>
  <c r="CX91" i="2"/>
  <c r="CX101" i="2" s="1"/>
  <c r="BT101" i="2"/>
  <c r="BT260" i="2"/>
  <c r="FG101" i="2"/>
  <c r="BG101" i="2"/>
  <c r="CR10" i="2"/>
  <c r="CS10" i="2" s="1"/>
  <c r="AC111" i="31"/>
  <c r="R7" i="7"/>
  <c r="U17" i="31"/>
  <c r="FV29" i="2"/>
  <c r="FR22" i="2"/>
  <c r="BE101" i="2"/>
  <c r="BF32" i="2"/>
  <c r="BF161" i="2" s="1"/>
  <c r="FS29" i="2"/>
  <c r="BD32" i="2"/>
  <c r="BD161" i="2" s="1"/>
  <c r="FR29" i="2"/>
  <c r="BD84" i="2"/>
  <c r="BD135" i="2"/>
  <c r="BD175" i="2" s="1"/>
  <c r="FR129" i="2"/>
  <c r="FR114" i="2"/>
  <c r="BD164" i="2"/>
  <c r="BF91" i="2"/>
  <c r="BF174" i="2" s="1"/>
  <c r="FS86" i="2"/>
  <c r="FS91" i="2" s="1"/>
  <c r="BF70" i="2"/>
  <c r="BF165" i="2" s="1"/>
  <c r="BD91" i="2"/>
  <c r="BD174" i="2" s="1"/>
  <c r="FR41" i="2"/>
  <c r="FS22" i="2"/>
  <c r="FS23" i="2"/>
  <c r="FS114" i="2"/>
  <c r="BF164" i="2"/>
  <c r="BD70" i="2"/>
  <c r="BD165" i="2" s="1"/>
  <c r="FR23" i="2"/>
  <c r="BF84" i="2"/>
  <c r="BF38" i="2"/>
  <c r="FS35" i="2"/>
  <c r="FS41" i="2"/>
  <c r="BF54" i="2"/>
  <c r="FS53" i="2"/>
  <c r="BD38" i="2"/>
  <c r="FR35" i="2"/>
  <c r="BF135" i="2"/>
  <c r="BF175" i="2" s="1"/>
  <c r="FS129" i="2"/>
  <c r="BD54" i="2"/>
  <c r="FR53" i="2"/>
  <c r="FA101" i="2"/>
  <c r="FR86" i="2"/>
  <c r="FR91" i="2" s="1"/>
  <c r="FU114" i="2"/>
  <c r="CK202" i="2"/>
  <c r="CK250" i="2" s="1"/>
  <c r="FV114" i="2"/>
  <c r="H101" i="31"/>
  <c r="G21" i="7" s="1"/>
  <c r="FU87" i="2"/>
  <c r="FV53" i="2"/>
  <c r="EF38" i="2"/>
  <c r="FU35" i="2"/>
  <c r="EF32" i="2"/>
  <c r="FU29" i="2"/>
  <c r="H27" i="31"/>
  <c r="J27" i="31" s="1"/>
  <c r="FU23" i="2"/>
  <c r="FV23" i="2"/>
  <c r="EF18" i="2"/>
  <c r="H12" i="31"/>
  <c r="G6" i="7" s="1"/>
  <c r="FU10" i="2"/>
  <c r="DE19" i="2"/>
  <c r="U124" i="31"/>
  <c r="S124" i="31"/>
  <c r="H21" i="7"/>
  <c r="H9" i="7"/>
  <c r="H6" i="7"/>
  <c r="BX101" i="2"/>
  <c r="DH79" i="2"/>
  <c r="AD79" i="2"/>
  <c r="FI79" i="2"/>
  <c r="BY79" i="2"/>
  <c r="CK79" i="2"/>
  <c r="FG79" i="2"/>
  <c r="Y33" i="31"/>
  <c r="Y36" i="31" s="1"/>
  <c r="EK41" i="2"/>
  <c r="N47" i="31" s="1"/>
  <c r="L15" i="7" s="1"/>
  <c r="DG79" i="2"/>
  <c r="BM26" i="2"/>
  <c r="BM162" i="2" s="1"/>
  <c r="CQ79" i="2"/>
  <c r="FA79" i="2"/>
  <c r="BJ79" i="2"/>
  <c r="DJ79" i="2"/>
  <c r="DK79" i="2"/>
  <c r="BS79" i="2"/>
  <c r="BL79" i="2"/>
  <c r="X79" i="2"/>
  <c r="CO79" i="2"/>
  <c r="CR41" i="2"/>
  <c r="CS41" i="2" s="1"/>
  <c r="BE79" i="2"/>
  <c r="BV26" i="2"/>
  <c r="BO79" i="2"/>
  <c r="CX70" i="2"/>
  <c r="CX79" i="2" s="1"/>
  <c r="DI79" i="2"/>
  <c r="AB79" i="2"/>
  <c r="EG26" i="2"/>
  <c r="CL200" i="2" s="1"/>
  <c r="CL248" i="2" s="1"/>
  <c r="CP26" i="2"/>
  <c r="V79" i="2"/>
  <c r="CP101" i="2"/>
  <c r="DF79" i="2"/>
  <c r="BP79" i="2"/>
  <c r="CE79" i="2"/>
  <c r="BV79" i="2"/>
  <c r="CG79" i="2"/>
  <c r="BG79" i="2"/>
  <c r="BJ174" i="2"/>
  <c r="CN101" i="2"/>
  <c r="EL26" i="2"/>
  <c r="CQ200" i="2" s="1"/>
  <c r="CF79" i="2"/>
  <c r="FC79" i="2"/>
  <c r="CG26" i="2"/>
  <c r="AN79" i="2"/>
  <c r="AF79" i="2"/>
  <c r="DM70" i="2"/>
  <c r="CD206" i="2"/>
  <c r="DY79" i="2"/>
  <c r="DY149" i="2" s="1"/>
  <c r="DY151" i="2" s="1"/>
  <c r="DY152" i="2" s="1"/>
  <c r="CO206" i="2"/>
  <c r="CO254" i="2" s="1"/>
  <c r="EJ79" i="2"/>
  <c r="EJ149" i="2" s="1"/>
  <c r="EJ151" i="2" s="1"/>
  <c r="EJ152" i="2" s="1"/>
  <c r="CE164" i="2"/>
  <c r="CZ70" i="2"/>
  <c r="CZ79" i="2" s="1"/>
  <c r="CC206" i="2"/>
  <c r="DX79" i="2"/>
  <c r="DX149" i="2" s="1"/>
  <c r="DX151" i="2" s="1"/>
  <c r="DX152" i="2" s="1"/>
  <c r="CB206" i="2"/>
  <c r="DW79" i="2"/>
  <c r="DW149" i="2" s="1"/>
  <c r="DW151" i="2" s="1"/>
  <c r="DW152" i="2" s="1"/>
  <c r="BG165" i="2"/>
  <c r="CW135" i="2"/>
  <c r="K26" i="31"/>
  <c r="I8" i="7" s="1"/>
  <c r="EH26" i="2"/>
  <c r="CM200" i="2" s="1"/>
  <c r="FF101" i="2"/>
  <c r="CE206" i="2"/>
  <c r="DZ79" i="2"/>
  <c r="DZ149" i="2" s="1"/>
  <c r="DZ151" i="2" s="1"/>
  <c r="DZ152" i="2" s="1"/>
  <c r="BO164" i="2"/>
  <c r="CP79" i="2"/>
  <c r="BP174" i="2"/>
  <c r="BP212" i="2"/>
  <c r="DK84" i="2"/>
  <c r="DK101" i="2" s="1"/>
  <c r="K33" i="31"/>
  <c r="K36" i="31" s="1"/>
  <c r="EH32" i="2"/>
  <c r="CM199" i="2" s="1"/>
  <c r="CM247" i="2" s="1"/>
  <c r="CM79" i="2"/>
  <c r="CH79" i="2"/>
  <c r="BN79" i="2"/>
  <c r="BM135" i="2"/>
  <c r="BM175" i="2" s="1"/>
  <c r="CV135" i="2"/>
  <c r="EL84" i="2"/>
  <c r="BW79" i="2"/>
  <c r="BF26" i="2"/>
  <c r="BF162" i="2" s="1"/>
  <c r="BX164" i="2"/>
  <c r="BO91" i="2"/>
  <c r="BO101" i="2" s="1"/>
  <c r="CP164" i="2"/>
  <c r="BM84" i="2"/>
  <c r="CB79" i="2"/>
  <c r="BO135" i="2"/>
  <c r="BO175" i="2" s="1"/>
  <c r="CP135" i="2"/>
  <c r="CP175" i="2" s="1"/>
  <c r="CZ135" i="2"/>
  <c r="EL135" i="2"/>
  <c r="CQ213" i="2" s="1"/>
  <c r="CQ261" i="2" s="1"/>
  <c r="K47" i="31"/>
  <c r="I15" i="7" s="1"/>
  <c r="BU79" i="2"/>
  <c r="DE79" i="2"/>
  <c r="AJ79" i="2"/>
  <c r="CN26" i="2"/>
  <c r="CN162" i="2" s="1"/>
  <c r="CI206" i="2"/>
  <c r="ED79" i="2"/>
  <c r="ED149" i="2" s="1"/>
  <c r="CG206" i="2"/>
  <c r="EB79" i="2"/>
  <c r="EB149" i="2" s="1"/>
  <c r="EB151" i="2" s="1"/>
  <c r="EB152" i="2" s="1"/>
  <c r="CG135" i="2"/>
  <c r="CG175" i="2" s="1"/>
  <c r="BM70" i="2"/>
  <c r="BM79" i="2" s="1"/>
  <c r="BL212" i="2"/>
  <c r="DG84" i="2"/>
  <c r="DG101" i="2" s="1"/>
  <c r="BG216" i="2"/>
  <c r="FD79" i="2"/>
  <c r="Z79" i="2"/>
  <c r="CD79" i="2"/>
  <c r="BL172" i="2"/>
  <c r="BD26" i="2"/>
  <c r="BD162" i="2" s="1"/>
  <c r="CF206" i="2"/>
  <c r="EA79" i="2"/>
  <c r="EA149" i="2" s="1"/>
  <c r="EA151" i="2" s="1"/>
  <c r="EA152" i="2" s="1"/>
  <c r="CG101" i="2"/>
  <c r="BM164" i="2"/>
  <c r="BX135" i="2"/>
  <c r="BX175" i="2" s="1"/>
  <c r="BE216" i="2"/>
  <c r="CZ101" i="2"/>
  <c r="EF135" i="2"/>
  <c r="CK213" i="2" s="1"/>
  <c r="CK261" i="2" s="1"/>
  <c r="EH135" i="2"/>
  <c r="CM213" i="2" s="1"/>
  <c r="CM261" i="2" s="1"/>
  <c r="EG135" i="2"/>
  <c r="BC79" i="2"/>
  <c r="EI29" i="2"/>
  <c r="EI32" i="2" s="1"/>
  <c r="CN32" i="2"/>
  <c r="CN161" i="2" s="1"/>
  <c r="EH70" i="2"/>
  <c r="EH79" i="2" s="1"/>
  <c r="CG164" i="2"/>
  <c r="BM32" i="2"/>
  <c r="BM161" i="2" s="1"/>
  <c r="CM254" i="2"/>
  <c r="BE165" i="2"/>
  <c r="DB70" i="2"/>
  <c r="DB79" i="2" s="1"/>
  <c r="CN164" i="2"/>
  <c r="CX135" i="2"/>
  <c r="FH79" i="2"/>
  <c r="AL79" i="2"/>
  <c r="BO26" i="2"/>
  <c r="BO162" i="2" s="1"/>
  <c r="BX26" i="2"/>
  <c r="BX162" i="2" s="1"/>
  <c r="BN165" i="2"/>
  <c r="EF26" i="2"/>
  <c r="CK200" i="2" s="1"/>
  <c r="CK248" i="2" s="1"/>
  <c r="BA79" i="2"/>
  <c r="CR22" i="2"/>
  <c r="CS22" i="2" s="1"/>
  <c r="EI41" i="2"/>
  <c r="BV164" i="2"/>
  <c r="CH206" i="2"/>
  <c r="EC79" i="2"/>
  <c r="EC149" i="2" s="1"/>
  <c r="FE79" i="2"/>
  <c r="AH79" i="2"/>
  <c r="CE26" i="2"/>
  <c r="EL70" i="2"/>
  <c r="EL79" i="2" s="1"/>
  <c r="BN101" i="2"/>
  <c r="DV38" i="2"/>
  <c r="DV26" i="2"/>
  <c r="CA200" i="2" s="1"/>
  <c r="Y27" i="31"/>
  <c r="V9" i="7" s="1"/>
  <c r="FJ26" i="2"/>
  <c r="BC219" i="2"/>
  <c r="BD219" i="2"/>
  <c r="U48" i="31"/>
  <c r="V146" i="31"/>
  <c r="S146" i="31"/>
  <c r="T146" i="31"/>
  <c r="BT175" i="2"/>
  <c r="W146" i="31"/>
  <c r="U146" i="31"/>
  <c r="X146" i="31"/>
  <c r="I140" i="31"/>
  <c r="W69" i="31"/>
  <c r="H98" i="31"/>
  <c r="BA216" i="2"/>
  <c r="BK212" i="2"/>
  <c r="DF84" i="2"/>
  <c r="DF101" i="2" s="1"/>
  <c r="W48" i="31"/>
  <c r="BJ212" i="2"/>
  <c r="DE84" i="2"/>
  <c r="DE101" i="2" s="1"/>
  <c r="EG84" i="2"/>
  <c r="EF84" i="2"/>
  <c r="CK210" i="2" s="1"/>
  <c r="S69" i="31"/>
  <c r="FB70" i="2"/>
  <c r="FB79" i="2" s="1"/>
  <c r="CV70" i="2"/>
  <c r="CV79" i="2" s="1"/>
  <c r="DV70" i="2"/>
  <c r="EF70" i="2"/>
  <c r="V69" i="31"/>
  <c r="U69" i="31"/>
  <c r="X69" i="31"/>
  <c r="H57" i="31"/>
  <c r="EF54" i="2"/>
  <c r="EF51" i="2"/>
  <c r="W30" i="31"/>
  <c r="V48" i="31"/>
  <c r="W36" i="31"/>
  <c r="P15" i="7"/>
  <c r="T48" i="31"/>
  <c r="Q11" i="7"/>
  <c r="R11" i="7"/>
  <c r="V36" i="31"/>
  <c r="U30" i="31"/>
  <c r="Y47" i="31"/>
  <c r="Y48" i="31" s="1"/>
  <c r="P11" i="7"/>
  <c r="I47" i="31"/>
  <c r="U15" i="7"/>
  <c r="S30" i="31"/>
  <c r="X30" i="31"/>
  <c r="U11" i="7"/>
  <c r="U21" i="31"/>
  <c r="H26" i="31"/>
  <c r="V30" i="31"/>
  <c r="T30" i="31"/>
  <c r="H17" i="31"/>
  <c r="AA111" i="31"/>
  <c r="EK29" i="2"/>
  <c r="EK32" i="2" s="1"/>
  <c r="CP254" i="2"/>
  <c r="CO259" i="2"/>
  <c r="EI23" i="2"/>
  <c r="L27" i="31" s="1"/>
  <c r="J9" i="7" s="1"/>
  <c r="CO258" i="2"/>
  <c r="CN259" i="2"/>
  <c r="CP259" i="2"/>
  <c r="CM259" i="2"/>
  <c r="EK22" i="2"/>
  <c r="CL259" i="2"/>
  <c r="CK259" i="2"/>
  <c r="EI18" i="2"/>
  <c r="EI86" i="2"/>
  <c r="EI91" i="2" s="1"/>
  <c r="EI15" i="2"/>
  <c r="I26" i="31"/>
  <c r="CQ254" i="2"/>
  <c r="EI35" i="2"/>
  <c r="EI38" i="2" s="1"/>
  <c r="EI129" i="2"/>
  <c r="CQ259" i="2"/>
  <c r="EI53" i="2"/>
  <c r="EI54" i="2" s="1"/>
  <c r="EG86" i="2"/>
  <c r="EG91" i="2" s="1"/>
  <c r="EK15" i="2"/>
  <c r="EK35" i="2"/>
  <c r="EK38" i="2" s="1"/>
  <c r="BT165" i="2"/>
  <c r="EG70" i="2"/>
  <c r="EG79" i="2" s="1"/>
  <c r="EK84" i="2"/>
  <c r="CQ202" i="2"/>
  <c r="CQ250" i="2" s="1"/>
  <c r="EK114" i="2"/>
  <c r="I33" i="31"/>
  <c r="EK129" i="2"/>
  <c r="EK18" i="2"/>
  <c r="EK53" i="2"/>
  <c r="EK54" i="2" s="1"/>
  <c r="EK23" i="2"/>
  <c r="N27" i="31" s="1"/>
  <c r="EK86" i="2"/>
  <c r="EK91" i="2" s="1"/>
  <c r="EK51" i="2"/>
  <c r="EM87" i="2"/>
  <c r="EN87" i="2" s="1"/>
  <c r="EK70" i="2"/>
  <c r="EK79" i="2" s="1"/>
  <c r="H140" i="31"/>
  <c r="CK206" i="2"/>
  <c r="CK254" i="2" s="1"/>
  <c r="W43" i="31"/>
  <c r="X43" i="31"/>
  <c r="S14" i="7"/>
  <c r="K40" i="31"/>
  <c r="I14" i="7" s="1"/>
  <c r="T43" i="31"/>
  <c r="FJ35" i="2"/>
  <c r="FJ38" i="2" s="1"/>
  <c r="S43" i="31"/>
  <c r="U43" i="31"/>
  <c r="M40" i="31"/>
  <c r="K14" i="7" s="1"/>
  <c r="I40" i="31"/>
  <c r="H40" i="31"/>
  <c r="H43" i="31" s="1"/>
  <c r="CC167" i="2"/>
  <c r="BX167" i="2"/>
  <c r="CH167" i="2"/>
  <c r="CL205" i="2"/>
  <c r="BU167" i="2"/>
  <c r="CM167" i="2"/>
  <c r="BW167" i="2"/>
  <c r="CB167" i="2"/>
  <c r="CP167" i="2"/>
  <c r="BG167" i="2"/>
  <c r="CG167" i="2"/>
  <c r="BP167" i="2"/>
  <c r="BA205" i="2"/>
  <c r="BB205" i="2"/>
  <c r="BT167" i="2"/>
  <c r="CE167" i="2"/>
  <c r="BG205" i="2"/>
  <c r="BK167" i="2"/>
  <c r="CM205" i="2"/>
  <c r="CO167" i="2"/>
  <c r="CP205" i="2"/>
  <c r="CN167" i="2"/>
  <c r="BE167" i="2"/>
  <c r="BF205" i="2"/>
  <c r="CK167" i="2"/>
  <c r="CR205" i="2"/>
  <c r="BS167" i="2"/>
  <c r="BY167" i="2"/>
  <c r="CL167" i="2"/>
  <c r="BV167" i="2"/>
  <c r="BE205" i="2"/>
  <c r="BA167" i="2"/>
  <c r="CQ167" i="2"/>
  <c r="CF167" i="2"/>
  <c r="BJ167" i="2"/>
  <c r="CD167" i="2"/>
  <c r="CO205" i="2"/>
  <c r="BO167" i="2"/>
  <c r="BH205" i="2"/>
  <c r="BC167" i="2"/>
  <c r="CN205" i="2"/>
  <c r="CQ205" i="2"/>
  <c r="BJ157" i="2"/>
  <c r="FJ10" i="2"/>
  <c r="Y12" i="31" s="1"/>
  <c r="V6" i="7" s="1"/>
  <c r="BG199" i="2"/>
  <c r="BG203" i="2"/>
  <c r="T103" i="31"/>
  <c r="W103" i="31"/>
  <c r="U7" i="7"/>
  <c r="BC199" i="2"/>
  <c r="BC203" i="2"/>
  <c r="BN214" i="2"/>
  <c r="BN212" i="2"/>
  <c r="T95" i="31"/>
  <c r="U103" i="31"/>
  <c r="S95" i="31"/>
  <c r="V95" i="31"/>
  <c r="BE203" i="2"/>
  <c r="BW221" i="2"/>
  <c r="X21" i="31"/>
  <c r="BB199" i="2"/>
  <c r="BB203" i="2"/>
  <c r="S103" i="31"/>
  <c r="M36" i="31"/>
  <c r="K11" i="7"/>
  <c r="BX221" i="2"/>
  <c r="T21" i="31"/>
  <c r="V21" i="31"/>
  <c r="T69" i="31"/>
  <c r="W21" i="31"/>
  <c r="W95" i="31"/>
  <c r="S7" i="7"/>
  <c r="H47" i="31"/>
  <c r="X103" i="31"/>
  <c r="U95" i="31"/>
  <c r="T7" i="7"/>
  <c r="X95" i="31"/>
  <c r="Q7" i="7"/>
  <c r="S21" i="31"/>
  <c r="P7" i="7"/>
  <c r="CO212" i="2"/>
  <c r="CO260" i="2" s="1"/>
  <c r="BA199" i="2"/>
  <c r="BA203" i="2"/>
  <c r="V103" i="31"/>
  <c r="BA165" i="2"/>
  <c r="M30" i="31"/>
  <c r="M17" i="31"/>
  <c r="I17" i="31"/>
  <c r="K57" i="31"/>
  <c r="I18" i="7" s="1"/>
  <c r="K17" i="31"/>
  <c r="CM210" i="2"/>
  <c r="H33" i="31"/>
  <c r="H124" i="31"/>
  <c r="CM202" i="2"/>
  <c r="CM250" i="2" s="1"/>
  <c r="K124" i="31"/>
  <c r="CL202" i="2"/>
  <c r="CL250" i="2" s="1"/>
  <c r="I124" i="31"/>
  <c r="K140" i="31"/>
  <c r="CL161" i="2"/>
  <c r="I57" i="31"/>
  <c r="CL165" i="2"/>
  <c r="CG165" i="2"/>
  <c r="BT203" i="2"/>
  <c r="BT172" i="2"/>
  <c r="BK165" i="2"/>
  <c r="BV203" i="2"/>
  <c r="CQ165" i="2"/>
  <c r="BS203" i="2"/>
  <c r="CB165" i="2"/>
  <c r="BP165" i="2"/>
  <c r="CK165" i="2"/>
  <c r="M48" i="31"/>
  <c r="BX165" i="2"/>
  <c r="CN175" i="2"/>
  <c r="BO165" i="2"/>
  <c r="BU203" i="2"/>
  <c r="BQ203" i="2"/>
  <c r="BZ203" i="2"/>
  <c r="BM203" i="2"/>
  <c r="CO165" i="2"/>
  <c r="CH165" i="2"/>
  <c r="CC165" i="2"/>
  <c r="BW203" i="2"/>
  <c r="CM165" i="2"/>
  <c r="CL175" i="2"/>
  <c r="CP165" i="2"/>
  <c r="BY203" i="2"/>
  <c r="BY165" i="2"/>
  <c r="CN165" i="2"/>
  <c r="CM172" i="2"/>
  <c r="BO203" i="2"/>
  <c r="BW165" i="2"/>
  <c r="CE165" i="2"/>
  <c r="CO203" i="2"/>
  <c r="CC175" i="2"/>
  <c r="BS165" i="2"/>
  <c r="BP203" i="2"/>
  <c r="BJ165" i="2"/>
  <c r="BK175" i="2"/>
  <c r="CD165" i="2"/>
  <c r="BU165" i="2"/>
  <c r="BN203" i="2"/>
  <c r="CF165" i="2"/>
  <c r="BX203" i="2"/>
  <c r="CL199" i="2"/>
  <c r="CP161" i="2"/>
  <c r="CO199" i="2"/>
  <c r="CO247" i="2" s="1"/>
  <c r="BO161" i="2"/>
  <c r="CQ199" i="2"/>
  <c r="CQ247" i="2" s="1"/>
  <c r="CO200" i="2"/>
  <c r="L101" i="2"/>
  <c r="CB200" i="2"/>
  <c r="K79" i="2"/>
  <c r="CF221" i="2"/>
  <c r="CC200" i="2"/>
  <c r="EE41" i="2"/>
  <c r="Y57" i="31"/>
  <c r="V18" i="7" s="1"/>
  <c r="CB221" i="2"/>
  <c r="CK205" i="2"/>
  <c r="EE87" i="2"/>
  <c r="CJ217" i="2" s="1"/>
  <c r="Y124" i="31"/>
  <c r="Y26" i="31"/>
  <c r="CJ219" i="2"/>
  <c r="CE221" i="2"/>
  <c r="BN200" i="2"/>
  <c r="BJ200" i="2"/>
  <c r="CG199" i="2"/>
  <c r="CG214" i="2"/>
  <c r="Y17" i="31"/>
  <c r="BI10" i="2"/>
  <c r="BK200" i="2"/>
  <c r="BB165" i="2"/>
  <c r="CH200" i="2"/>
  <c r="BU200" i="2"/>
  <c r="BP200" i="2"/>
  <c r="BW200" i="2"/>
  <c r="CF200" i="2"/>
  <c r="CD162" i="2"/>
  <c r="CH162" i="2"/>
  <c r="BP162" i="2"/>
  <c r="BW162" i="2"/>
  <c r="CQ162" i="2"/>
  <c r="CO162" i="2"/>
  <c r="CF162" i="2"/>
  <c r="BU162" i="2"/>
  <c r="CD200" i="2"/>
  <c r="BY200" i="2"/>
  <c r="CM162" i="2"/>
  <c r="BX200" i="2"/>
  <c r="BY162" i="2"/>
  <c r="BV200" i="2"/>
  <c r="BD205" i="2"/>
  <c r="CY86" i="2"/>
  <c r="BN206" i="2"/>
  <c r="BW168" i="2"/>
  <c r="BE206" i="2"/>
  <c r="BO206" i="2"/>
  <c r="BF206" i="2"/>
  <c r="BU168" i="2"/>
  <c r="BV168" i="2"/>
  <c r="DC87" i="2"/>
  <c r="BF76" i="2"/>
  <c r="BF168" i="2" s="1"/>
  <c r="BF173" i="2"/>
  <c r="BO227" i="2"/>
  <c r="BD173" i="2"/>
  <c r="CY129" i="2"/>
  <c r="CY135" i="2" s="1"/>
  <c r="DJ114" i="2"/>
  <c r="DA129" i="2"/>
  <c r="DA135" i="2" s="1"/>
  <c r="DH114" i="2"/>
  <c r="BB174" i="2"/>
  <c r="CW86" i="2"/>
  <c r="CW91" i="2" s="1"/>
  <c r="BD76" i="2"/>
  <c r="BD168" i="2" s="1"/>
  <c r="CC173" i="2"/>
  <c r="BK227" i="2"/>
  <c r="DA86" i="2"/>
  <c r="DA91" i="2" s="1"/>
  <c r="CR84" i="2"/>
  <c r="M22" i="7"/>
  <c r="CI114" i="2"/>
  <c r="CR35" i="2"/>
  <c r="CR38" i="2" s="1"/>
  <c r="CC76" i="2"/>
  <c r="CC168" i="2" s="1"/>
  <c r="BM167" i="2"/>
  <c r="BX76" i="2"/>
  <c r="BX79" i="2" s="1"/>
  <c r="BH15" i="2"/>
  <c r="BO173" i="2"/>
  <c r="CG173" i="2"/>
  <c r="CI173" i="2"/>
  <c r="BH114" i="2"/>
  <c r="BT76" i="2"/>
  <c r="BT168" i="2" s="1"/>
  <c r="BV172" i="2"/>
  <c r="CN76" i="2"/>
  <c r="CN168" i="2" s="1"/>
  <c r="CN254" i="2" s="1"/>
  <c r="BF227" i="2"/>
  <c r="CY70" i="2"/>
  <c r="CY79" i="2" s="1"/>
  <c r="BK76" i="2"/>
  <c r="FF76" i="2"/>
  <c r="FF79" i="2" s="1"/>
  <c r="BQ114" i="2"/>
  <c r="BE227" i="2"/>
  <c r="CY18" i="2"/>
  <c r="BZ114" i="2"/>
  <c r="DT76" i="2"/>
  <c r="CY53" i="2"/>
  <c r="CY54" i="2" s="1"/>
  <c r="DA70" i="2"/>
  <c r="DA79" i="2" s="1"/>
  <c r="BH51" i="2"/>
  <c r="BE199" i="2"/>
  <c r="CL76" i="2"/>
  <c r="CL168" i="2" s="1"/>
  <c r="CL254" i="2" s="1"/>
  <c r="FJ76" i="2"/>
  <c r="FJ79" i="2" s="1"/>
  <c r="BQ84" i="2"/>
  <c r="CR86" i="2"/>
  <c r="CR91" i="2" s="1"/>
  <c r="CI84" i="2"/>
  <c r="BG227" i="2"/>
  <c r="FJ18" i="2"/>
  <c r="DJ51" i="2"/>
  <c r="CR114" i="2"/>
  <c r="DA18" i="2"/>
  <c r="BB76" i="2"/>
  <c r="CR173" i="2"/>
  <c r="CR259" i="2" s="1"/>
  <c r="CR129" i="2"/>
  <c r="BZ84" i="2"/>
  <c r="BO221" i="2"/>
  <c r="EY76" i="2"/>
  <c r="EY79" i="2" s="1"/>
  <c r="EY149" i="2" s="1"/>
  <c r="EY151" i="2" s="1"/>
  <c r="EY152" i="2" s="1"/>
  <c r="DA23" i="2"/>
  <c r="DA26" i="2" s="1"/>
  <c r="DA35" i="2"/>
  <c r="DA38" i="2" s="1"/>
  <c r="CY35" i="2"/>
  <c r="CY38" i="2" s="1"/>
  <c r="CI51" i="2"/>
  <c r="DA53" i="2"/>
  <c r="DA54" i="2" s="1"/>
  <c r="CR53" i="2"/>
  <c r="CR54" i="2" s="1"/>
  <c r="CY15" i="2"/>
  <c r="DA15" i="2"/>
  <c r="BA227" i="2"/>
  <c r="BJ221" i="2"/>
  <c r="CS87" i="2"/>
  <c r="CA87" i="2"/>
  <c r="CJ87" i="2"/>
  <c r="DN76" i="2"/>
  <c r="BS206" i="2" s="1"/>
  <c r="BB200" i="2"/>
  <c r="BA200" i="2"/>
  <c r="DD76" i="2"/>
  <c r="BI206" i="2" s="1"/>
  <c r="CA227" i="2"/>
  <c r="CJ227" i="2"/>
  <c r="EN76" i="2"/>
  <c r="CS206" i="2" s="1"/>
  <c r="BZ76" i="2"/>
  <c r="BZ168" i="2" s="1"/>
  <c r="EE76" i="2"/>
  <c r="CJ206" i="2" s="1"/>
  <c r="DR76" i="2"/>
  <c r="DR79" i="2" s="1"/>
  <c r="DP76" i="2"/>
  <c r="BU206" i="2" s="1"/>
  <c r="CS211" i="2"/>
  <c r="BB227" i="2"/>
  <c r="BK221" i="2"/>
  <c r="BM221" i="2"/>
  <c r="CA221" i="2"/>
  <c r="BL221" i="2"/>
  <c r="BC227" i="2"/>
  <c r="FJ129" i="2"/>
  <c r="BI87" i="2"/>
  <c r="L76" i="2"/>
  <c r="L79" i="2" s="1"/>
  <c r="CW70" i="2"/>
  <c r="CW79" i="2" s="1"/>
  <c r="DL41" i="2"/>
  <c r="DL38" i="2"/>
  <c r="DA29" i="2"/>
  <c r="DA32" i="2" s="1"/>
  <c r="CY29" i="2"/>
  <c r="CY32" i="2" s="1"/>
  <c r="CG161" i="2"/>
  <c r="CA199" i="2"/>
  <c r="CR29" i="2"/>
  <c r="CR32" i="2" s="1"/>
  <c r="BJ199" i="2"/>
  <c r="CR23" i="2"/>
  <c r="DH22" i="2"/>
  <c r="DH26" i="2" s="1"/>
  <c r="DJ22" i="2"/>
  <c r="DJ26" i="2" s="1"/>
  <c r="CY23" i="2"/>
  <c r="CY26" i="2" s="1"/>
  <c r="DC10" i="2"/>
  <c r="DD10" i="2" s="1"/>
  <c r="BV101" i="2" l="1"/>
  <c r="BV174" i="2"/>
  <c r="BM101" i="2"/>
  <c r="BQ32" i="2"/>
  <c r="BQ161" i="2" s="1"/>
  <c r="BR29" i="2"/>
  <c r="BR32" i="2" s="1"/>
  <c r="BR23" i="2"/>
  <c r="BQ26" i="2"/>
  <c r="BQ162" i="2" s="1"/>
  <c r="FU91" i="2"/>
  <c r="BD216" i="2"/>
  <c r="CY91" i="2"/>
  <c r="CY101" i="2" s="1"/>
  <c r="CK199" i="2"/>
  <c r="CK247" i="2" s="1"/>
  <c r="CN199" i="2"/>
  <c r="CN247" i="2" s="1"/>
  <c r="CP253" i="2"/>
  <c r="BD101" i="2"/>
  <c r="EM10" i="2"/>
  <c r="EN10" i="2" s="1"/>
  <c r="BF101" i="2"/>
  <c r="BF172" i="2"/>
  <c r="BD172" i="2"/>
  <c r="FT87" i="2"/>
  <c r="R101" i="31"/>
  <c r="Z101" i="31" s="1"/>
  <c r="W21" i="7" s="1"/>
  <c r="E101" i="31"/>
  <c r="FJ135" i="2"/>
  <c r="FV129" i="2"/>
  <c r="J101" i="31"/>
  <c r="Q101" i="31" s="1"/>
  <c r="N21" i="7" s="1"/>
  <c r="BH164" i="2"/>
  <c r="BH84" i="2"/>
  <c r="BH172" i="2" s="1"/>
  <c r="BH70" i="2"/>
  <c r="BH165" i="2" s="1"/>
  <c r="EC151" i="2"/>
  <c r="EC152" i="2" s="1"/>
  <c r="J12" i="31"/>
  <c r="Q12" i="31" s="1"/>
  <c r="N6" i="7" s="1"/>
  <c r="ED151" i="2"/>
  <c r="ED152" i="2" s="1"/>
  <c r="BH54" i="2"/>
  <c r="G9" i="7"/>
  <c r="BI41" i="2"/>
  <c r="BH38" i="2"/>
  <c r="FV35" i="2"/>
  <c r="BH32" i="2"/>
  <c r="R12" i="31"/>
  <c r="Z12" i="31" s="1"/>
  <c r="W6" i="7" s="1"/>
  <c r="E12" i="31"/>
  <c r="FV10" i="2"/>
  <c r="H15" i="7"/>
  <c r="AE111" i="31"/>
  <c r="I43" i="31"/>
  <c r="H26" i="7"/>
  <c r="H8" i="7"/>
  <c r="I36" i="31"/>
  <c r="CR26" i="2"/>
  <c r="CR162" i="2" s="1"/>
  <c r="DP79" i="2"/>
  <c r="E27" i="31"/>
  <c r="G20" i="7"/>
  <c r="BE221" i="2"/>
  <c r="G18" i="7"/>
  <c r="V11" i="7"/>
  <c r="H69" i="31"/>
  <c r="H36" i="31"/>
  <c r="G7" i="7"/>
  <c r="CM253" i="2"/>
  <c r="G8" i="7"/>
  <c r="N33" i="31"/>
  <c r="L11" i="7" s="1"/>
  <c r="DN79" i="2"/>
  <c r="CA29" i="2"/>
  <c r="CA32" i="2" s="1"/>
  <c r="BP214" i="2"/>
  <c r="EK101" i="2"/>
  <c r="BZ26" i="2"/>
  <c r="BZ162" i="2" s="1"/>
  <c r="EM41" i="2"/>
  <c r="EN41" i="2" s="1"/>
  <c r="CJ29" i="2"/>
  <c r="CJ32" i="2" s="1"/>
  <c r="CJ161" i="2" s="1"/>
  <c r="CM203" i="2"/>
  <c r="CM251" i="2" s="1"/>
  <c r="N48" i="31"/>
  <c r="CM212" i="2"/>
  <c r="CM260" i="2" s="1"/>
  <c r="K48" i="31"/>
  <c r="I11" i="7"/>
  <c r="BO174" i="2"/>
  <c r="CL79" i="2"/>
  <c r="BH135" i="2"/>
  <c r="BH175" i="2" s="1"/>
  <c r="BF216" i="2"/>
  <c r="DA101" i="2"/>
  <c r="EF101" i="2"/>
  <c r="CI101" i="2"/>
  <c r="BO212" i="2"/>
  <c r="DJ84" i="2"/>
  <c r="DJ101" i="2" s="1"/>
  <c r="CI26" i="2"/>
  <c r="CI162" i="2" s="1"/>
  <c r="BD79" i="2"/>
  <c r="BY206" i="2"/>
  <c r="DT79" i="2"/>
  <c r="BZ135" i="2"/>
  <c r="BZ175" i="2" s="1"/>
  <c r="N26" i="31"/>
  <c r="L8" i="7" s="1"/>
  <c r="EK26" i="2"/>
  <c r="CP200" i="2" s="1"/>
  <c r="BT79" i="2"/>
  <c r="CN79" i="2"/>
  <c r="EL101" i="2"/>
  <c r="BB168" i="2"/>
  <c r="BB79" i="2"/>
  <c r="CI135" i="2"/>
  <c r="CI175" i="2" s="1"/>
  <c r="EI135" i="2"/>
  <c r="CN213" i="2" s="1"/>
  <c r="CN261" i="2" s="1"/>
  <c r="CK203" i="2"/>
  <c r="CK251" i="2" s="1"/>
  <c r="EF79" i="2"/>
  <c r="CQ210" i="2"/>
  <c r="CQ258" i="2" s="1"/>
  <c r="EI51" i="2"/>
  <c r="DH51" i="2"/>
  <c r="EI114" i="2"/>
  <c r="BG221" i="2"/>
  <c r="BH91" i="2"/>
  <c r="N140" i="31"/>
  <c r="L26" i="7" s="1"/>
  <c r="EK135" i="2"/>
  <c r="CP213" i="2" s="1"/>
  <c r="CP261" i="2" s="1"/>
  <c r="CC79" i="2"/>
  <c r="BF79" i="2"/>
  <c r="L33" i="31"/>
  <c r="L36" i="31" s="1"/>
  <c r="BK168" i="2"/>
  <c r="BK79" i="2"/>
  <c r="EI84" i="2"/>
  <c r="DH84" i="2"/>
  <c r="DH101" i="2" s="1"/>
  <c r="BM165" i="2"/>
  <c r="BC221" i="2"/>
  <c r="CR135" i="2"/>
  <c r="CR175" i="2" s="1"/>
  <c r="CQ203" i="2"/>
  <c r="CQ251" i="2" s="1"/>
  <c r="L47" i="31"/>
  <c r="E47" i="31" s="1"/>
  <c r="K30" i="31"/>
  <c r="BM172" i="2"/>
  <c r="BA221" i="2"/>
  <c r="K69" i="31"/>
  <c r="BI29" i="2"/>
  <c r="BI32" i="2" s="1"/>
  <c r="BL214" i="2"/>
  <c r="BH26" i="2"/>
  <c r="BH162" i="2" s="1"/>
  <c r="K103" i="31"/>
  <c r="BK214" i="2"/>
  <c r="Y140" i="31"/>
  <c r="Y146" i="31" s="1"/>
  <c r="H103" i="31"/>
  <c r="CI164" i="2"/>
  <c r="I98" i="31"/>
  <c r="EG101" i="2"/>
  <c r="BB216" i="2"/>
  <c r="BB264" i="2" s="1"/>
  <c r="CW101" i="2"/>
  <c r="CS86" i="2"/>
  <c r="CS91" i="2" s="1"/>
  <c r="CR101" i="2"/>
  <c r="L98" i="31"/>
  <c r="J20" i="7" s="1"/>
  <c r="CA86" i="2"/>
  <c r="CA91" i="2" s="1"/>
  <c r="CA174" i="2" s="1"/>
  <c r="BZ101" i="2"/>
  <c r="BR86" i="2"/>
  <c r="BR91" i="2" s="1"/>
  <c r="BR174" i="2" s="1"/>
  <c r="BQ91" i="2"/>
  <c r="BQ101" i="2" s="1"/>
  <c r="V15" i="7"/>
  <c r="H95" i="31"/>
  <c r="BJ214" i="2"/>
  <c r="Y95" i="31"/>
  <c r="FJ84" i="2"/>
  <c r="FJ101" i="2" s="1"/>
  <c r="CL210" i="2"/>
  <c r="CL258" i="2" s="1"/>
  <c r="EI70" i="2"/>
  <c r="CJ70" i="2"/>
  <c r="CI70" i="2"/>
  <c r="BR70" i="2"/>
  <c r="BR165" i="2" s="1"/>
  <c r="BQ70" i="2"/>
  <c r="CA70" i="2"/>
  <c r="BZ70" i="2"/>
  <c r="BZ79" i="2" s="1"/>
  <c r="CS70" i="2"/>
  <c r="CR70" i="2"/>
  <c r="CA51" i="2"/>
  <c r="BZ51" i="2"/>
  <c r="CS51" i="2"/>
  <c r="CR51" i="2"/>
  <c r="BR51" i="2"/>
  <c r="BQ51" i="2"/>
  <c r="H30" i="31"/>
  <c r="H21" i="31"/>
  <c r="I48" i="31"/>
  <c r="EM29" i="2"/>
  <c r="EM32" i="2" s="1"/>
  <c r="CJ15" i="2"/>
  <c r="CA15" i="2"/>
  <c r="G26" i="7"/>
  <c r="H146" i="31"/>
  <c r="AB111" i="31"/>
  <c r="AD111" i="31" s="1"/>
  <c r="G15" i="7"/>
  <c r="H48" i="31"/>
  <c r="L69" i="31"/>
  <c r="L17" i="31"/>
  <c r="I30" i="31"/>
  <c r="J26" i="31"/>
  <c r="J30" i="31" s="1"/>
  <c r="EM22" i="2"/>
  <c r="CM248" i="2"/>
  <c r="CN253" i="2"/>
  <c r="EM129" i="2"/>
  <c r="CK253" i="2"/>
  <c r="CO251" i="2"/>
  <c r="CL247" i="2"/>
  <c r="L57" i="31"/>
  <c r="CQ253" i="2"/>
  <c r="CO253" i="2"/>
  <c r="CQ248" i="2"/>
  <c r="CL253" i="2"/>
  <c r="CM258" i="2"/>
  <c r="CO248" i="2"/>
  <c r="EI22" i="2"/>
  <c r="EI26" i="2" s="1"/>
  <c r="EM35" i="2"/>
  <c r="EM38" i="2" s="1"/>
  <c r="EM86" i="2"/>
  <c r="EM91" i="2" s="1"/>
  <c r="EM18" i="2"/>
  <c r="EM23" i="2"/>
  <c r="EN23" i="2" s="1"/>
  <c r="J140" i="31"/>
  <c r="H11" i="7"/>
  <c r="EM114" i="2"/>
  <c r="EM84" i="2"/>
  <c r="EM53" i="2"/>
  <c r="EM15" i="2"/>
  <c r="CH221" i="2"/>
  <c r="CK212" i="2"/>
  <c r="CK260" i="2" s="1"/>
  <c r="CG221" i="2"/>
  <c r="K43" i="31"/>
  <c r="M43" i="31"/>
  <c r="Y40" i="31"/>
  <c r="V14" i="7" s="1"/>
  <c r="H14" i="7"/>
  <c r="J40" i="31"/>
  <c r="G14" i="7"/>
  <c r="BY205" i="2"/>
  <c r="BT205" i="2"/>
  <c r="BN205" i="2"/>
  <c r="CR167" i="2"/>
  <c r="CR253" i="2" s="1"/>
  <c r="BX205" i="2"/>
  <c r="CG209" i="2"/>
  <c r="BB167" i="2"/>
  <c r="CS205" i="2"/>
  <c r="BJ205" i="2"/>
  <c r="BW205" i="2"/>
  <c r="BD167" i="2"/>
  <c r="CD209" i="2"/>
  <c r="BP205" i="2"/>
  <c r="BI205" i="2"/>
  <c r="BF167" i="2"/>
  <c r="BS205" i="2"/>
  <c r="I95" i="31"/>
  <c r="J47" i="31"/>
  <c r="J48" i="31" s="1"/>
  <c r="CG205" i="2"/>
  <c r="N22" i="7"/>
  <c r="J57" i="31"/>
  <c r="H18" i="7"/>
  <c r="R27" i="31"/>
  <c r="L9" i="7"/>
  <c r="G11" i="7"/>
  <c r="K95" i="31"/>
  <c r="BI219" i="2"/>
  <c r="BH219" i="2"/>
  <c r="Y69" i="31"/>
  <c r="M21" i="31"/>
  <c r="I7" i="7"/>
  <c r="BD199" i="2"/>
  <c r="BD203" i="2"/>
  <c r="Y30" i="31"/>
  <c r="V8" i="7"/>
  <c r="K146" i="31"/>
  <c r="I26" i="7"/>
  <c r="K21" i="31"/>
  <c r="BN221" i="2"/>
  <c r="P95" i="31"/>
  <c r="BF203" i="2"/>
  <c r="BM212" i="2"/>
  <c r="DD87" i="2"/>
  <c r="BI217" i="2" s="1"/>
  <c r="BH217" i="2"/>
  <c r="Y103" i="31"/>
  <c r="I21" i="31"/>
  <c r="H7" i="7"/>
  <c r="V7" i="7"/>
  <c r="K7" i="7"/>
  <c r="P103" i="31"/>
  <c r="BP221" i="2"/>
  <c r="CD221" i="2"/>
  <c r="Q27" i="31"/>
  <c r="J21" i="31"/>
  <c r="J17" i="31"/>
  <c r="L140" i="31"/>
  <c r="CP210" i="2"/>
  <c r="J124" i="31"/>
  <c r="N57" i="31"/>
  <c r="J33" i="31"/>
  <c r="L40" i="31"/>
  <c r="L43" i="31" s="1"/>
  <c r="CP202" i="2"/>
  <c r="CP250" i="2" s="1"/>
  <c r="N124" i="31"/>
  <c r="CP212" i="2"/>
  <c r="CP260" i="2" s="1"/>
  <c r="N98" i="31"/>
  <c r="L20" i="7" s="1"/>
  <c r="CL213" i="2"/>
  <c r="CL261" i="2" s="1"/>
  <c r="CP172" i="2"/>
  <c r="CF205" i="2"/>
  <c r="BX172" i="2"/>
  <c r="CK258" i="2"/>
  <c r="CE205" i="2"/>
  <c r="BO172" i="2"/>
  <c r="BR129" i="2"/>
  <c r="BQ175" i="2"/>
  <c r="CG172" i="2"/>
  <c r="CC205" i="2"/>
  <c r="CS114" i="2"/>
  <c r="CR164" i="2"/>
  <c r="CE172" i="2"/>
  <c r="CB205" i="2"/>
  <c r="BR203" i="2"/>
  <c r="CA114" i="2"/>
  <c r="BZ164" i="2"/>
  <c r="BV165" i="2"/>
  <c r="CN172" i="2"/>
  <c r="BR114" i="2"/>
  <c r="BQ164" i="2"/>
  <c r="CA203" i="2"/>
  <c r="CJ129" i="2"/>
  <c r="CI205" i="2"/>
  <c r="CH205" i="2"/>
  <c r="CS35" i="2"/>
  <c r="CS38" i="2" s="1"/>
  <c r="BR35" i="2"/>
  <c r="BR38" i="2" s="1"/>
  <c r="CA35" i="2"/>
  <c r="CA38" i="2" s="1"/>
  <c r="BM200" i="2"/>
  <c r="CP199" i="2"/>
  <c r="CP247" i="2" s="1"/>
  <c r="BI15" i="2"/>
  <c r="CG200" i="2"/>
  <c r="CI199" i="2"/>
  <c r="CE214" i="2"/>
  <c r="CE199" i="2"/>
  <c r="CC221" i="2"/>
  <c r="CI214" i="2"/>
  <c r="BI23" i="2"/>
  <c r="EE70" i="2"/>
  <c r="EE79" i="2" s="1"/>
  <c r="BI35" i="2"/>
  <c r="BI38" i="2" s="1"/>
  <c r="CJ205" i="2"/>
  <c r="CD205" i="2"/>
  <c r="BO200" i="2"/>
  <c r="CE200" i="2"/>
  <c r="CP162" i="2"/>
  <c r="BC200" i="2"/>
  <c r="BG200" i="2"/>
  <c r="CG162" i="2"/>
  <c r="BV162" i="2"/>
  <c r="BD200" i="2"/>
  <c r="BE200" i="2"/>
  <c r="BL200" i="2"/>
  <c r="CE162" i="2"/>
  <c r="BU205" i="2"/>
  <c r="BL205" i="2"/>
  <c r="BC205" i="2"/>
  <c r="BV205" i="2"/>
  <c r="BX168" i="2"/>
  <c r="BW206" i="2"/>
  <c r="DC86" i="2"/>
  <c r="DC91" i="2" s="1"/>
  <c r="DC101" i="2" s="1"/>
  <c r="DC129" i="2"/>
  <c r="DL114" i="2"/>
  <c r="DL84" i="2"/>
  <c r="DL101" i="2" s="1"/>
  <c r="BI84" i="2"/>
  <c r="CA84" i="2"/>
  <c r="CJ84" i="2"/>
  <c r="CS84" i="2"/>
  <c r="BA264" i="2"/>
  <c r="BH76" i="2"/>
  <c r="BH168" i="2" s="1"/>
  <c r="BI76" i="2"/>
  <c r="BI168" i="2" s="1"/>
  <c r="CA129" i="2"/>
  <c r="CA135" i="2" s="1"/>
  <c r="CJ51" i="2"/>
  <c r="CJ114" i="2"/>
  <c r="BI114" i="2"/>
  <c r="BQ76" i="2"/>
  <c r="BQ168" i="2" s="1"/>
  <c r="CJ86" i="2"/>
  <c r="CJ91" i="2" s="1"/>
  <c r="DC18" i="2"/>
  <c r="BI53" i="2"/>
  <c r="BI54" i="2" s="1"/>
  <c r="CR76" i="2"/>
  <c r="CR168" i="2" s="1"/>
  <c r="CR254" i="2" s="1"/>
  <c r="BZ173" i="2"/>
  <c r="CJ173" i="2"/>
  <c r="BH173" i="2"/>
  <c r="BI129" i="2"/>
  <c r="BD227" i="2"/>
  <c r="CA173" i="2"/>
  <c r="BI86" i="2"/>
  <c r="CS173" i="2"/>
  <c r="CS259" i="2" s="1"/>
  <c r="DQ76" i="2"/>
  <c r="BR173" i="2"/>
  <c r="DS76" i="2"/>
  <c r="DS79" i="2" s="1"/>
  <c r="CA53" i="2"/>
  <c r="CA54" i="2" s="1"/>
  <c r="DL51" i="2"/>
  <c r="BI51" i="2"/>
  <c r="CI76" i="2"/>
  <c r="CI168" i="2" s="1"/>
  <c r="CJ76" i="2"/>
  <c r="CJ168" i="2" s="1"/>
  <c r="BM227" i="2"/>
  <c r="DC53" i="2"/>
  <c r="DC54" i="2" s="1"/>
  <c r="DC35" i="2"/>
  <c r="DC38" i="2" s="1"/>
  <c r="BR84" i="2"/>
  <c r="CS53" i="2"/>
  <c r="CS54" i="2" s="1"/>
  <c r="CJ35" i="2"/>
  <c r="CJ38" i="2" s="1"/>
  <c r="CS129" i="2"/>
  <c r="DC23" i="2"/>
  <c r="DC26" i="2" s="1"/>
  <c r="BR53" i="2"/>
  <c r="BR54" i="2" s="1"/>
  <c r="DC15" i="2"/>
  <c r="BR76" i="2"/>
  <c r="BR168" i="2" s="1"/>
  <c r="BQ173" i="2"/>
  <c r="CJ53" i="2"/>
  <c r="CJ54" i="2" s="1"/>
  <c r="BF199" i="2"/>
  <c r="BR15" i="2"/>
  <c r="CS76" i="2"/>
  <c r="CS168" i="2" s="1"/>
  <c r="CS254" i="2" s="1"/>
  <c r="DM41" i="2"/>
  <c r="DM38" i="2"/>
  <c r="DO76" i="2"/>
  <c r="DO79" i="2" s="1"/>
  <c r="DM76" i="2"/>
  <c r="DL76" i="2"/>
  <c r="CA76" i="2"/>
  <c r="CA168" i="2" s="1"/>
  <c r="BQ221" i="2"/>
  <c r="BQ172" i="2"/>
  <c r="BQ199" i="2"/>
  <c r="CS29" i="2"/>
  <c r="CS32" i="2" s="1"/>
  <c r="CA22" i="2"/>
  <c r="CA26" i="2" s="1"/>
  <c r="DC29" i="2"/>
  <c r="DC32" i="2" s="1"/>
  <c r="CS23" i="2"/>
  <c r="CS26" i="2" s="1"/>
  <c r="CJ22" i="2"/>
  <c r="CJ26" i="2" s="1"/>
  <c r="BR22" i="2"/>
  <c r="DL22" i="2"/>
  <c r="DL26" i="2" s="1"/>
  <c r="BI22" i="2"/>
  <c r="J18" i="7" l="1"/>
  <c r="R57" i="31"/>
  <c r="BR26" i="2"/>
  <c r="BR162" i="2" s="1"/>
  <c r="BH161" i="2"/>
  <c r="BI161" i="2"/>
  <c r="FT10" i="2"/>
  <c r="BH101" i="2"/>
  <c r="L7" i="7"/>
  <c r="N17" i="31"/>
  <c r="FT23" i="2"/>
  <c r="O21" i="7"/>
  <c r="FT41" i="2"/>
  <c r="O6" i="7"/>
  <c r="P166" i="31"/>
  <c r="W22" i="7"/>
  <c r="J98" i="31"/>
  <c r="J103" i="31" s="1"/>
  <c r="E57" i="31"/>
  <c r="CJ79" i="2"/>
  <c r="BF221" i="2"/>
  <c r="CI79" i="2"/>
  <c r="BI26" i="2"/>
  <c r="BI162" i="2" s="1"/>
  <c r="BR101" i="2"/>
  <c r="N36" i="31"/>
  <c r="E98" i="31"/>
  <c r="E33" i="31"/>
  <c r="CJ165" i="2"/>
  <c r="CA101" i="2"/>
  <c r="EI101" i="2"/>
  <c r="CR79" i="2"/>
  <c r="BR79" i="2"/>
  <c r="R47" i="31"/>
  <c r="R48" i="31" s="1"/>
  <c r="L48" i="31"/>
  <c r="BD221" i="2"/>
  <c r="J15" i="7"/>
  <c r="BM214" i="2"/>
  <c r="N30" i="31"/>
  <c r="BH174" i="2"/>
  <c r="CS101" i="2"/>
  <c r="CJ101" i="2"/>
  <c r="BV206" i="2"/>
  <c r="DQ79" i="2"/>
  <c r="BH79" i="2"/>
  <c r="BR206" i="2"/>
  <c r="DM79" i="2"/>
  <c r="CJ135" i="2"/>
  <c r="CJ175" i="2" s="1"/>
  <c r="N146" i="31"/>
  <c r="CS165" i="2"/>
  <c r="CS79" i="2"/>
  <c r="BR135" i="2"/>
  <c r="BR175" i="2" s="1"/>
  <c r="EM135" i="2"/>
  <c r="CR213" i="2" s="1"/>
  <c r="CR261" i="2" s="1"/>
  <c r="BQ79" i="2"/>
  <c r="BI91" i="2"/>
  <c r="BI101" i="2" s="1"/>
  <c r="CN203" i="2"/>
  <c r="CN251" i="2" s="1"/>
  <c r="EI79" i="2"/>
  <c r="BI135" i="2"/>
  <c r="BI175" i="2" s="1"/>
  <c r="CA165" i="2"/>
  <c r="CA79" i="2"/>
  <c r="DC135" i="2"/>
  <c r="BQ174" i="2"/>
  <c r="BQ206" i="2"/>
  <c r="DL79" i="2"/>
  <c r="J11" i="7"/>
  <c r="CS135" i="2"/>
  <c r="CS175" i="2" s="1"/>
  <c r="BO214" i="2"/>
  <c r="R33" i="31"/>
  <c r="O11" i="7" s="1"/>
  <c r="EM26" i="2"/>
  <c r="CR200" i="2" s="1"/>
  <c r="CR248" i="2" s="1"/>
  <c r="V26" i="7"/>
  <c r="BB221" i="2"/>
  <c r="I103" i="31"/>
  <c r="H20" i="7"/>
  <c r="EN129" i="2"/>
  <c r="FT129" i="2" s="1"/>
  <c r="BR164" i="2"/>
  <c r="BI164" i="2"/>
  <c r="CS164" i="2"/>
  <c r="CA164" i="2"/>
  <c r="CJ164" i="2"/>
  <c r="EN114" i="2"/>
  <c r="CR202" i="2"/>
  <c r="CR250" i="2" s="1"/>
  <c r="CN212" i="2"/>
  <c r="CN260" i="2" s="1"/>
  <c r="EN86" i="2"/>
  <c r="EN91" i="2" s="1"/>
  <c r="CS212" i="2" s="1"/>
  <c r="CS260" i="2" s="1"/>
  <c r="EM101" i="2"/>
  <c r="EM70" i="2"/>
  <c r="EM79" i="2" s="1"/>
  <c r="BI70" i="2"/>
  <c r="DD70" i="2"/>
  <c r="DD79" i="2" s="1"/>
  <c r="DC70" i="2"/>
  <c r="DC79" i="2" s="1"/>
  <c r="EN53" i="2"/>
  <c r="EN54" i="2" s="1"/>
  <c r="EM54" i="2"/>
  <c r="EN51" i="2"/>
  <c r="EM51" i="2"/>
  <c r="EN35" i="2"/>
  <c r="EN38" i="2" s="1"/>
  <c r="EN29" i="2"/>
  <c r="EN32" i="2" s="1"/>
  <c r="DD18" i="2"/>
  <c r="EN18" i="2"/>
  <c r="DD15" i="2"/>
  <c r="EN15" i="2"/>
  <c r="CP248" i="2"/>
  <c r="EN22" i="2"/>
  <c r="EN26" i="2" s="1"/>
  <c r="J7" i="7"/>
  <c r="CP258" i="2"/>
  <c r="J43" i="31"/>
  <c r="EN84" i="2"/>
  <c r="CI221" i="2"/>
  <c r="CL212" i="2"/>
  <c r="CL260" i="2" s="1"/>
  <c r="Y43" i="31"/>
  <c r="BQ167" i="2"/>
  <c r="CA167" i="2"/>
  <c r="BE209" i="2"/>
  <c r="BX209" i="2"/>
  <c r="BI167" i="2"/>
  <c r="BC209" i="2"/>
  <c r="BZ167" i="2"/>
  <c r="CH209" i="2"/>
  <c r="BP209" i="2"/>
  <c r="CI167" i="2"/>
  <c r="BJ209" i="2"/>
  <c r="BH167" i="2"/>
  <c r="CB209" i="2"/>
  <c r="CF209" i="2"/>
  <c r="CS167" i="2"/>
  <c r="CS253" i="2" s="1"/>
  <c r="CI209" i="2"/>
  <c r="BW209" i="2"/>
  <c r="BY209" i="2"/>
  <c r="BU209" i="2"/>
  <c r="BN209" i="2"/>
  <c r="BA209" i="2"/>
  <c r="BS209" i="2"/>
  <c r="CJ167" i="2"/>
  <c r="CC209" i="2"/>
  <c r="BT209" i="2"/>
  <c r="CE209" i="2"/>
  <c r="BG209" i="2"/>
  <c r="BL209" i="2"/>
  <c r="L103" i="31"/>
  <c r="BR221" i="2"/>
  <c r="AA12" i="31"/>
  <c r="AC12" i="31" s="1"/>
  <c r="Q47" i="31"/>
  <c r="Q48" i="31" s="1"/>
  <c r="O22" i="7"/>
  <c r="CP203" i="2"/>
  <c r="CP251" i="2" s="1"/>
  <c r="AA101" i="31"/>
  <c r="AC101" i="31" s="1"/>
  <c r="Y21" i="31"/>
  <c r="I146" i="31"/>
  <c r="N9" i="7"/>
  <c r="L18" i="7"/>
  <c r="N95" i="31"/>
  <c r="DD53" i="2"/>
  <c r="DD54" i="2" s="1"/>
  <c r="DD86" i="2"/>
  <c r="DD91" i="2" s="1"/>
  <c r="BH216" i="2"/>
  <c r="Q140" i="31"/>
  <c r="N26" i="7" s="1"/>
  <c r="J26" i="7"/>
  <c r="BQ212" i="2"/>
  <c r="Z27" i="31"/>
  <c r="W9" i="7" s="1"/>
  <c r="O9" i="7"/>
  <c r="J14" i="7"/>
  <c r="N21" i="31"/>
  <c r="BQ165" i="2"/>
  <c r="Q57" i="31"/>
  <c r="CL203" i="2"/>
  <c r="CL251" i="2" s="1"/>
  <c r="N69" i="31"/>
  <c r="I69" i="31"/>
  <c r="Q33" i="31"/>
  <c r="J36" i="31"/>
  <c r="R98" i="31"/>
  <c r="N103" i="31"/>
  <c r="L21" i="31"/>
  <c r="N40" i="31"/>
  <c r="E40" i="31" s="1"/>
  <c r="CN200" i="2"/>
  <c r="CN248" i="2" s="1"/>
  <c r="L26" i="31"/>
  <c r="L146" i="31"/>
  <c r="R140" i="31"/>
  <c r="E140" i="31"/>
  <c r="CN202" i="2"/>
  <c r="CN250" i="2" s="1"/>
  <c r="L124" i="31"/>
  <c r="R17" i="31"/>
  <c r="CR161" i="2"/>
  <c r="CA161" i="2"/>
  <c r="BR161" i="2"/>
  <c r="J146" i="31"/>
  <c r="CJ203" i="2"/>
  <c r="CR172" i="2"/>
  <c r="BZ165" i="2"/>
  <c r="CI172" i="2"/>
  <c r="DM114" i="2"/>
  <c r="CR165" i="2"/>
  <c r="DD129" i="2"/>
  <c r="DD135" i="2" s="1"/>
  <c r="BR172" i="2"/>
  <c r="CI165" i="2"/>
  <c r="BZ172" i="2"/>
  <c r="CR210" i="2"/>
  <c r="CA175" i="2"/>
  <c r="DD35" i="2"/>
  <c r="DD38" i="2" s="1"/>
  <c r="DD23" i="2"/>
  <c r="DD26" i="2" s="1"/>
  <c r="BH200" i="2"/>
  <c r="CA162" i="2"/>
  <c r="CS162" i="2"/>
  <c r="BQ200" i="2"/>
  <c r="CR199" i="2"/>
  <c r="EE51" i="2"/>
  <c r="CI200" i="2"/>
  <c r="EE29" i="2"/>
  <c r="EE32" i="2" s="1"/>
  <c r="EE86" i="2"/>
  <c r="EE91" i="2" s="1"/>
  <c r="EE53" i="2"/>
  <c r="EE54" i="2" s="1"/>
  <c r="EE84" i="2"/>
  <c r="CJ200" i="2"/>
  <c r="J95" i="31"/>
  <c r="EE114" i="2"/>
  <c r="EE35" i="2"/>
  <c r="EE38" i="2" s="1"/>
  <c r="BF200" i="2"/>
  <c r="CJ162" i="2"/>
  <c r="BX206" i="2"/>
  <c r="BH227" i="2"/>
  <c r="BQ227" i="2"/>
  <c r="BI173" i="2"/>
  <c r="BT206" i="2"/>
  <c r="BM205" i="2"/>
  <c r="BK205" i="2"/>
  <c r="BZ205" i="2"/>
  <c r="BO205" i="2"/>
  <c r="BQ214" i="2"/>
  <c r="BI172" i="2"/>
  <c r="DM51" i="2"/>
  <c r="BR227" i="2"/>
  <c r="BI227" i="2"/>
  <c r="BH221" i="2"/>
  <c r="DU76" i="2"/>
  <c r="DV76" i="2"/>
  <c r="BR199" i="2"/>
  <c r="DD29" i="2"/>
  <c r="DD32" i="2" s="1"/>
  <c r="DM22" i="2"/>
  <c r="DM26" i="2" s="1"/>
  <c r="N7" i="7" l="1"/>
  <c r="Q17" i="31"/>
  <c r="FT114" i="2"/>
  <c r="P168" i="31"/>
  <c r="P170" i="31" s="1"/>
  <c r="FT86" i="2"/>
  <c r="FT91" i="2" s="1"/>
  <c r="Q98" i="31"/>
  <c r="N20" i="7" s="1"/>
  <c r="FT53" i="2"/>
  <c r="FT35" i="2"/>
  <c r="FT29" i="2"/>
  <c r="FT22" i="2"/>
  <c r="O26" i="7"/>
  <c r="E26" i="31"/>
  <c r="O7" i="7"/>
  <c r="AD12" i="31"/>
  <c r="AE12" i="31"/>
  <c r="AD101" i="31"/>
  <c r="AE101" i="31"/>
  <c r="L95" i="31"/>
  <c r="O15" i="7"/>
  <c r="Z47" i="31"/>
  <c r="W15" i="7" s="1"/>
  <c r="EN101" i="2"/>
  <c r="CR203" i="2"/>
  <c r="CR251" i="2" s="1"/>
  <c r="CS202" i="2"/>
  <c r="CS250" i="2" s="1"/>
  <c r="CA206" i="2"/>
  <c r="DV79" i="2"/>
  <c r="BZ206" i="2"/>
  <c r="DU79" i="2"/>
  <c r="BI165" i="2"/>
  <c r="BI79" i="2"/>
  <c r="EN135" i="2"/>
  <c r="CS213" i="2" s="1"/>
  <c r="CS261" i="2" s="1"/>
  <c r="BI174" i="2"/>
  <c r="R36" i="31"/>
  <c r="Z33" i="31"/>
  <c r="AA33" i="31" s="1"/>
  <c r="AC33" i="31" s="1"/>
  <c r="EE101" i="2"/>
  <c r="CR212" i="2"/>
  <c r="CR260" i="2" s="1"/>
  <c r="BI216" i="2"/>
  <c r="DD101" i="2"/>
  <c r="BR212" i="2"/>
  <c r="DM84" i="2"/>
  <c r="DM101" i="2" s="1"/>
  <c r="EN70" i="2"/>
  <c r="EN79" i="2" s="1"/>
  <c r="BI203" i="2"/>
  <c r="CR247" i="2"/>
  <c r="CR258" i="2"/>
  <c r="L14" i="7"/>
  <c r="N43" i="31"/>
  <c r="BF209" i="2"/>
  <c r="CJ209" i="2"/>
  <c r="BB209" i="2"/>
  <c r="BD209" i="2"/>
  <c r="BR167" i="2"/>
  <c r="BM209" i="2"/>
  <c r="BI209" i="2"/>
  <c r="BO209" i="2"/>
  <c r="BV209" i="2"/>
  <c r="BK209" i="2"/>
  <c r="Z21" i="7"/>
  <c r="Z6" i="7"/>
  <c r="Y6" i="7"/>
  <c r="X6" i="7"/>
  <c r="X21" i="7"/>
  <c r="N15" i="7"/>
  <c r="Q36" i="31"/>
  <c r="N11" i="7"/>
  <c r="Z57" i="31"/>
  <c r="W18" i="7" s="1"/>
  <c r="O18" i="7"/>
  <c r="AA27" i="31"/>
  <c r="AC27" i="31" s="1"/>
  <c r="Z98" i="31"/>
  <c r="W20" i="7" s="1"/>
  <c r="O20" i="7"/>
  <c r="N18" i="7"/>
  <c r="R21" i="31"/>
  <c r="CJ214" i="2"/>
  <c r="CJ212" i="2"/>
  <c r="Q21" i="31"/>
  <c r="CJ216" i="2"/>
  <c r="L30" i="31"/>
  <c r="J8" i="7"/>
  <c r="Q124" i="31"/>
  <c r="Q26" i="31"/>
  <c r="R26" i="31"/>
  <c r="Q40" i="31"/>
  <c r="Q43" i="31" s="1"/>
  <c r="R103" i="31"/>
  <c r="J69" i="31"/>
  <c r="R69" i="31"/>
  <c r="R40" i="31"/>
  <c r="R146" i="31"/>
  <c r="Z140" i="31"/>
  <c r="W26" i="7" s="1"/>
  <c r="BH199" i="2"/>
  <c r="CS161" i="2"/>
  <c r="CN210" i="2"/>
  <c r="CN258" i="2" s="1"/>
  <c r="CS172" i="2"/>
  <c r="CJ172" i="2"/>
  <c r="BH203" i="2"/>
  <c r="CA172" i="2"/>
  <c r="CS210" i="2"/>
  <c r="BR200" i="2"/>
  <c r="BI199" i="2"/>
  <c r="CS199" i="2"/>
  <c r="CS200" i="2"/>
  <c r="CS248" i="2" s="1"/>
  <c r="BI200" i="2"/>
  <c r="CJ199" i="2"/>
  <c r="BR205" i="2"/>
  <c r="CA205" i="2"/>
  <c r="BQ205" i="2"/>
  <c r="AC36" i="31" l="1"/>
  <c r="AD33" i="31"/>
  <c r="W7" i="7"/>
  <c r="Z17" i="31"/>
  <c r="Y22" i="7"/>
  <c r="Q103" i="31"/>
  <c r="X22" i="7"/>
  <c r="R124" i="31"/>
  <c r="AD27" i="31"/>
  <c r="AE27" i="31"/>
  <c r="Y21" i="7"/>
  <c r="AE33" i="31"/>
  <c r="R95" i="31"/>
  <c r="Q95" i="31"/>
  <c r="BR214" i="2"/>
  <c r="AA47" i="31"/>
  <c r="AC47" i="31" s="1"/>
  <c r="Z36" i="31"/>
  <c r="Z48" i="31"/>
  <c r="W11" i="7"/>
  <c r="CS203" i="2"/>
  <c r="CS251" i="2" s="1"/>
  <c r="BI221" i="2"/>
  <c r="CS247" i="2"/>
  <c r="AA36" i="31"/>
  <c r="CS258" i="2"/>
  <c r="CJ221" i="2"/>
  <c r="O14" i="7"/>
  <c r="R43" i="31"/>
  <c r="Y9" i="7"/>
  <c r="Z9" i="7"/>
  <c r="BH209" i="2"/>
  <c r="CA209" i="2"/>
  <c r="BQ209" i="2"/>
  <c r="BR209" i="2"/>
  <c r="BZ209" i="2"/>
  <c r="X11" i="7"/>
  <c r="AA98" i="31"/>
  <c r="AC98" i="31" s="1"/>
  <c r="AA57" i="31"/>
  <c r="AC57" i="31" s="1"/>
  <c r="Z103" i="31"/>
  <c r="N14" i="7"/>
  <c r="X9" i="7"/>
  <c r="R30" i="31"/>
  <c r="O8" i="7"/>
  <c r="Z21" i="31"/>
  <c r="Z95" i="31"/>
  <c r="Z69" i="31"/>
  <c r="Q30" i="31"/>
  <c r="N8" i="7"/>
  <c r="Z26" i="31"/>
  <c r="AA26" i="31" s="1"/>
  <c r="AC26" i="31" s="1"/>
  <c r="Z124" i="31"/>
  <c r="Q69" i="31"/>
  <c r="Z40" i="31"/>
  <c r="Z146" i="31"/>
  <c r="AA140" i="31"/>
  <c r="AC140" i="31" s="1"/>
  <c r="Q146" i="31"/>
  <c r="AB17" i="31" l="1"/>
  <c r="AC17" i="31"/>
  <c r="AA17" i="31"/>
  <c r="Z22" i="7"/>
  <c r="AE36" i="31"/>
  <c r="AE57" i="31"/>
  <c r="AD98" i="31"/>
  <c r="AE98" i="31"/>
  <c r="AB48" i="31"/>
  <c r="AE47" i="31"/>
  <c r="AD26" i="31"/>
  <c r="AD140" i="31"/>
  <c r="AE140" i="31"/>
  <c r="AE26" i="31"/>
  <c r="AA48" i="31"/>
  <c r="AC48" i="31"/>
  <c r="X15" i="7"/>
  <c r="AC30" i="31"/>
  <c r="AC146" i="31"/>
  <c r="AC103" i="31"/>
  <c r="AA95" i="31"/>
  <c r="AA69" i="31"/>
  <c r="AC69" i="31"/>
  <c r="Y26" i="7"/>
  <c r="AA146" i="31"/>
  <c r="AA103" i="31"/>
  <c r="W14" i="7"/>
  <c r="Z43" i="31"/>
  <c r="X18" i="7"/>
  <c r="AB36" i="31"/>
  <c r="AD36" i="31" s="1"/>
  <c r="Y11" i="7"/>
  <c r="X7" i="7"/>
  <c r="Z20" i="7"/>
  <c r="X20" i="7"/>
  <c r="Z11" i="7"/>
  <c r="Z15" i="7"/>
  <c r="AA30" i="31"/>
  <c r="X8" i="7"/>
  <c r="Z26" i="7"/>
  <c r="X26" i="7"/>
  <c r="Z30" i="31"/>
  <c r="W8" i="7"/>
  <c r="AA21" i="31"/>
  <c r="AA40" i="31"/>
  <c r="AC40" i="31" s="1"/>
  <c r="Z18" i="7" l="1"/>
  <c r="AD57" i="31"/>
  <c r="AC95" i="31"/>
  <c r="AA124" i="31"/>
  <c r="AC124" i="31"/>
  <c r="AB21" i="31"/>
  <c r="AD17" i="31"/>
  <c r="AD47" i="31"/>
  <c r="AD40" i="31"/>
  <c r="AE40" i="31"/>
  <c r="AE69" i="31"/>
  <c r="AB124" i="31"/>
  <c r="AE21" i="31"/>
  <c r="AB30" i="31"/>
  <c r="AD30" i="31" s="1"/>
  <c r="AE103" i="31"/>
  <c r="AD48" i="31"/>
  <c r="AE48" i="31"/>
  <c r="AE146" i="31"/>
  <c r="AE30" i="31"/>
  <c r="AE17" i="31"/>
  <c r="Y18" i="7"/>
  <c r="AE95" i="31"/>
  <c r="Y15" i="7"/>
  <c r="Y8" i="7"/>
  <c r="AC43" i="31"/>
  <c r="AA43" i="31"/>
  <c r="AB69" i="31"/>
  <c r="AD69" i="31" s="1"/>
  <c r="X14" i="7"/>
  <c r="AB103" i="31"/>
  <c r="AD103" i="31" s="1"/>
  <c r="Y20" i="7"/>
  <c r="Y7" i="7"/>
  <c r="AB146" i="31"/>
  <c r="AD146" i="31" s="1"/>
  <c r="Z8" i="7"/>
  <c r="Z7" i="7"/>
  <c r="BK43" i="2"/>
  <c r="BK48" i="2" s="1"/>
  <c r="BK58" i="2" s="1"/>
  <c r="AC21" i="31" l="1"/>
  <c r="AD21" i="31" s="1"/>
  <c r="AD95" i="31"/>
  <c r="AB43" i="31"/>
  <c r="AD43" i="31" s="1"/>
  <c r="AE43" i="31"/>
  <c r="AD124" i="31"/>
  <c r="AE124" i="31"/>
  <c r="Y14" i="7"/>
  <c r="Z14" i="7"/>
  <c r="FI125" i="2" l="1"/>
  <c r="V135" i="31" s="1"/>
  <c r="S25" i="7" s="1"/>
  <c r="FH125" i="2"/>
  <c r="W135" i="31" s="1"/>
  <c r="T25" i="7" s="1"/>
  <c r="FF125" i="2"/>
  <c r="FE125" i="2"/>
  <c r="FD125" i="2"/>
  <c r="X135" i="31" s="1"/>
  <c r="U25" i="7" s="1"/>
  <c r="FC125" i="2"/>
  <c r="U135" i="31" s="1"/>
  <c r="R25" i="7" s="1"/>
  <c r="FB125" i="2"/>
  <c r="T135" i="31" s="1"/>
  <c r="Q25" i="7" s="1"/>
  <c r="FA125" i="2"/>
  <c r="FJ125" i="2"/>
  <c r="CL125" i="2"/>
  <c r="CK125" i="2"/>
  <c r="CC125" i="2"/>
  <c r="CB125" i="2"/>
  <c r="BY125" i="2"/>
  <c r="BW125" i="2"/>
  <c r="BU125" i="2"/>
  <c r="BS125" i="2"/>
  <c r="BP125" i="2"/>
  <c r="BN125" i="2"/>
  <c r="BL125" i="2"/>
  <c r="BJ125" i="2"/>
  <c r="BG125" i="2"/>
  <c r="BE125" i="2"/>
  <c r="BA125" i="2"/>
  <c r="AN125" i="2"/>
  <c r="CP125" i="2" s="1"/>
  <c r="AL125" i="2"/>
  <c r="AJ125" i="2"/>
  <c r="CG125" i="2" s="1"/>
  <c r="AH125" i="2"/>
  <c r="CE125" i="2" s="1"/>
  <c r="AF125" i="2"/>
  <c r="BX125" i="2" s="1"/>
  <c r="AD125" i="2"/>
  <c r="BV125" i="2" s="1"/>
  <c r="AB125" i="2"/>
  <c r="BO125" i="2" s="1"/>
  <c r="Z125" i="2"/>
  <c r="X125" i="2"/>
  <c r="BF125" i="2" s="1"/>
  <c r="V125" i="2"/>
  <c r="L125" i="2"/>
  <c r="FJ12" i="2"/>
  <c r="FJ19" i="2" s="1"/>
  <c r="FH12" i="2"/>
  <c r="FH19" i="2" s="1"/>
  <c r="FG12" i="2"/>
  <c r="FG19" i="2" s="1"/>
  <c r="FF12" i="2"/>
  <c r="FF19" i="2" s="1"/>
  <c r="FE12" i="2"/>
  <c r="FE19" i="2" s="1"/>
  <c r="FD12" i="2"/>
  <c r="FD19" i="2" s="1"/>
  <c r="FC12" i="2"/>
  <c r="FC19" i="2" s="1"/>
  <c r="FB12" i="2"/>
  <c r="FA12" i="2"/>
  <c r="FI12" i="2"/>
  <c r="FI19" i="2" s="1"/>
  <c r="DB12" i="2"/>
  <c r="DB19" i="2" s="1"/>
  <c r="CQ12" i="2"/>
  <c r="CQ19" i="2" s="1"/>
  <c r="CO12" i="2"/>
  <c r="CO19" i="2" s="1"/>
  <c r="CM12" i="2"/>
  <c r="CM19" i="2" s="1"/>
  <c r="CL12" i="2"/>
  <c r="CL19" i="2" s="1"/>
  <c r="CK12" i="2"/>
  <c r="CK19" i="2" s="1"/>
  <c r="CH12" i="2"/>
  <c r="CH19" i="2" s="1"/>
  <c r="CF12" i="2"/>
  <c r="CF19" i="2" s="1"/>
  <c r="CD12" i="2"/>
  <c r="CD19" i="2" s="1"/>
  <c r="CC12" i="2"/>
  <c r="CC19" i="2" s="1"/>
  <c r="CB12" i="2"/>
  <c r="CB19" i="2" s="1"/>
  <c r="BY12" i="2"/>
  <c r="BY19" i="2" s="1"/>
  <c r="BW12" i="2"/>
  <c r="BW19" i="2" s="1"/>
  <c r="BU12" i="2"/>
  <c r="BT12" i="2"/>
  <c r="BS12" i="2"/>
  <c r="BS19" i="2" s="1"/>
  <c r="BP12" i="2"/>
  <c r="BP19" i="2" s="1"/>
  <c r="BN12" i="2"/>
  <c r="BN19" i="2" s="1"/>
  <c r="BL12" i="2"/>
  <c r="BL19" i="2" s="1"/>
  <c r="BK12" i="2"/>
  <c r="BK19" i="2" s="1"/>
  <c r="BG12" i="2"/>
  <c r="BG19" i="2" s="1"/>
  <c r="BE12" i="2"/>
  <c r="BE19" i="2" s="1"/>
  <c r="BB12" i="2"/>
  <c r="AN12" i="2"/>
  <c r="AN19" i="2" s="1"/>
  <c r="AL12" i="2"/>
  <c r="AJ12" i="2"/>
  <c r="AJ19" i="2" s="1"/>
  <c r="AF12" i="2"/>
  <c r="AF19" i="2" s="1"/>
  <c r="AD12" i="2"/>
  <c r="AD19" i="2" s="1"/>
  <c r="AB12" i="2"/>
  <c r="AB19" i="2" s="1"/>
  <c r="Z12" i="2"/>
  <c r="Z19" i="2" s="1"/>
  <c r="X12" i="2"/>
  <c r="X19" i="2" s="1"/>
  <c r="V12" i="2"/>
  <c r="V19" i="2" s="1"/>
  <c r="CI125" i="2" l="1"/>
  <c r="CJ125" i="2" s="1"/>
  <c r="BZ125" i="2"/>
  <c r="CA125" i="2" s="1"/>
  <c r="BT19" i="2"/>
  <c r="FS125" i="2"/>
  <c r="EL125" i="2"/>
  <c r="AL19" i="2"/>
  <c r="BU19" i="2"/>
  <c r="S135" i="31"/>
  <c r="P25" i="7" s="1"/>
  <c r="FA19" i="2"/>
  <c r="FB19" i="2"/>
  <c r="BB19" i="2"/>
  <c r="EK125" i="2"/>
  <c r="N135" i="31" s="1"/>
  <c r="L25" i="7" s="1"/>
  <c r="CE12" i="2"/>
  <c r="CE19" i="2" s="1"/>
  <c r="AH12" i="2"/>
  <c r="AH19" i="2" s="1"/>
  <c r="EH12" i="2"/>
  <c r="EH19" i="2" s="1"/>
  <c r="BC12" i="2"/>
  <c r="BC19" i="2" s="1"/>
  <c r="Y135" i="31"/>
  <c r="V25" i="7" s="1"/>
  <c r="EH125" i="2"/>
  <c r="K135" i="31" s="1"/>
  <c r="I25" i="7" s="1"/>
  <c r="BM125" i="2"/>
  <c r="BQ125" i="2" s="1"/>
  <c r="BD125" i="2"/>
  <c r="BH125" i="2" s="1"/>
  <c r="CN125" i="2"/>
  <c r="CR125" i="2" s="1"/>
  <c r="CS125" i="2" s="1"/>
  <c r="EF12" i="2"/>
  <c r="EG12" i="2"/>
  <c r="EG19" i="2" s="1"/>
  <c r="EL12" i="2"/>
  <c r="EG125" i="2"/>
  <c r="I135" i="31" s="1"/>
  <c r="EF125" i="2"/>
  <c r="BL157" i="2"/>
  <c r="BK157" i="2"/>
  <c r="CP12" i="2"/>
  <c r="CP19" i="2" s="1"/>
  <c r="CN12" i="2"/>
  <c r="CN19" i="2" s="1"/>
  <c r="CG12" i="2"/>
  <c r="CG19" i="2" s="1"/>
  <c r="BF12" i="2"/>
  <c r="BF19" i="2" s="1"/>
  <c r="BD12" i="2"/>
  <c r="BD19" i="2" s="1"/>
  <c r="BM12" i="2"/>
  <c r="BM19" i="2" s="1"/>
  <c r="BV12" i="2"/>
  <c r="BV19" i="2" s="1"/>
  <c r="BX12" i="2"/>
  <c r="BX19" i="2" s="1"/>
  <c r="CZ12" i="2"/>
  <c r="CZ19" i="2" s="1"/>
  <c r="BN157" i="2"/>
  <c r="BO12" i="2"/>
  <c r="BO19" i="2" s="1"/>
  <c r="CX12" i="2"/>
  <c r="CX19" i="2" s="1"/>
  <c r="CW125" i="2"/>
  <c r="CX125" i="2"/>
  <c r="CY125" i="2"/>
  <c r="DA125" i="2"/>
  <c r="CZ125" i="2"/>
  <c r="DB125" i="2"/>
  <c r="CV125" i="2"/>
  <c r="DH125" i="2"/>
  <c r="DH126" i="2" s="1"/>
  <c r="DI125" i="2"/>
  <c r="DI126" i="2" s="1"/>
  <c r="DJ125" i="2"/>
  <c r="DJ126" i="2" s="1"/>
  <c r="DK125" i="2"/>
  <c r="DK126" i="2" s="1"/>
  <c r="DE125" i="2"/>
  <c r="DE126" i="2" s="1"/>
  <c r="DF125" i="2"/>
  <c r="DF126" i="2" s="1"/>
  <c r="DG125" i="2"/>
  <c r="DG126" i="2" s="1"/>
  <c r="FG125" i="2"/>
  <c r="FV125" i="2" s="1"/>
  <c r="DK12" i="2"/>
  <c r="DK19" i="2" s="1"/>
  <c r="DI12" i="2"/>
  <c r="DI19" i="2" s="1"/>
  <c r="DJ12" i="2"/>
  <c r="DJ19" i="2" s="1"/>
  <c r="DF12" i="2"/>
  <c r="DG12" i="2"/>
  <c r="DG19" i="2" s="1"/>
  <c r="DH12" i="2"/>
  <c r="DH19" i="2" s="1"/>
  <c r="CW12" i="2"/>
  <c r="CY12" i="2"/>
  <c r="CY19" i="2" s="1"/>
  <c r="DA12" i="2"/>
  <c r="DA19" i="2" s="1"/>
  <c r="CV12" i="2"/>
  <c r="EL19" i="2" l="1"/>
  <c r="BR125" i="2"/>
  <c r="FR125" i="2"/>
  <c r="H135" i="31"/>
  <c r="J135" i="31" s="1"/>
  <c r="FU125" i="2"/>
  <c r="CW19" i="2"/>
  <c r="CV19" i="2"/>
  <c r="DF19" i="2"/>
  <c r="H25" i="7"/>
  <c r="CK195" i="2"/>
  <c r="EF19" i="2"/>
  <c r="EI125" i="2"/>
  <c r="BZ12" i="2"/>
  <c r="EK12" i="2"/>
  <c r="EK19" i="2" s="1"/>
  <c r="CI12" i="2"/>
  <c r="CI19" i="2" s="1"/>
  <c r="BH12" i="2"/>
  <c r="BH19" i="2" s="1"/>
  <c r="CR12" i="2"/>
  <c r="CR19" i="2" s="1"/>
  <c r="U13" i="31"/>
  <c r="W13" i="31"/>
  <c r="CB157" i="2"/>
  <c r="CQ157" i="2"/>
  <c r="CM157" i="2"/>
  <c r="BE157" i="2"/>
  <c r="BU157" i="2"/>
  <c r="BS157" i="2"/>
  <c r="CK157" i="2"/>
  <c r="CH157" i="2"/>
  <c r="CL157" i="2"/>
  <c r="BY157" i="2"/>
  <c r="CO157" i="2"/>
  <c r="BP157" i="2"/>
  <c r="BT157" i="2"/>
  <c r="CF157" i="2"/>
  <c r="BW157" i="2"/>
  <c r="H13" i="31"/>
  <c r="CD157" i="2"/>
  <c r="CC157" i="2"/>
  <c r="BM157" i="2"/>
  <c r="BG157" i="2"/>
  <c r="BB157" i="2"/>
  <c r="BC157" i="2"/>
  <c r="V13" i="31"/>
  <c r="S13" i="31"/>
  <c r="X13" i="31"/>
  <c r="BQ12" i="2"/>
  <c r="BQ19" i="2" s="1"/>
  <c r="EE125" i="2"/>
  <c r="DC125" i="2"/>
  <c r="DD125" i="2" s="1"/>
  <c r="BI125" i="2"/>
  <c r="DL125" i="2"/>
  <c r="DL126" i="2" s="1"/>
  <c r="E24" i="7"/>
  <c r="DL12" i="2"/>
  <c r="DL19" i="2" s="1"/>
  <c r="DC12" i="2"/>
  <c r="DC19" i="2" s="1"/>
  <c r="EM125" i="2" l="1"/>
  <c r="EN125" i="2" s="1"/>
  <c r="FT125" i="2" s="1"/>
  <c r="G25" i="7"/>
  <c r="BZ19" i="2"/>
  <c r="DM125" i="2"/>
  <c r="DM126" i="2" s="1"/>
  <c r="CA12" i="2"/>
  <c r="CA19" i="2" s="1"/>
  <c r="X23" i="31"/>
  <c r="S23" i="31"/>
  <c r="W23" i="31"/>
  <c r="U23" i="31"/>
  <c r="V23" i="31"/>
  <c r="EM12" i="2"/>
  <c r="EM19" i="2" s="1"/>
  <c r="CJ12" i="2"/>
  <c r="CJ19" i="2" s="1"/>
  <c r="CQ195" i="2"/>
  <c r="BI12" i="2"/>
  <c r="CS12" i="2"/>
  <c r="CR157" i="2"/>
  <c r="CP157" i="2"/>
  <c r="CE157" i="2"/>
  <c r="BV157" i="2"/>
  <c r="CG157" i="2"/>
  <c r="DD12" i="2"/>
  <c r="DD19" i="2" s="1"/>
  <c r="DM12" i="2"/>
  <c r="DM19" i="2" s="1"/>
  <c r="BZ157" i="2"/>
  <c r="CN157" i="2"/>
  <c r="BF157" i="2"/>
  <c r="BX157" i="2"/>
  <c r="BO157" i="2"/>
  <c r="BD157" i="2"/>
  <c r="K13" i="31"/>
  <c r="M13" i="31"/>
  <c r="CL195" i="2"/>
  <c r="CM195" i="2"/>
  <c r="BR12" i="2"/>
  <c r="BR19" i="2" s="1"/>
  <c r="CO195" i="2"/>
  <c r="L135" i="31"/>
  <c r="I13" i="31"/>
  <c r="CS19" i="2" l="1"/>
  <c r="BI19" i="2"/>
  <c r="J25" i="7"/>
  <c r="E135" i="31"/>
  <c r="M23" i="31"/>
  <c r="I23" i="31"/>
  <c r="K23" i="31"/>
  <c r="N13" i="31"/>
  <c r="H23" i="31"/>
  <c r="CS157" i="2"/>
  <c r="BI157" i="2"/>
  <c r="CP195" i="2"/>
  <c r="BH157" i="2"/>
  <c r="CI157" i="2"/>
  <c r="DN12" i="2"/>
  <c r="DN19" i="2" s="1"/>
  <c r="CJ157" i="2"/>
  <c r="CA157" i="2"/>
  <c r="BQ157" i="2"/>
  <c r="Q135" i="31"/>
  <c r="N25" i="7" s="1"/>
  <c r="R135" i="31"/>
  <c r="O25" i="7" s="1"/>
  <c r="N23" i="31" l="1"/>
  <c r="DO12" i="2"/>
  <c r="DO19" i="2" s="1"/>
  <c r="CR195" i="2"/>
  <c r="BR157" i="2"/>
  <c r="Z135" i="31"/>
  <c r="W25" i="7" s="1"/>
  <c r="FB117" i="2"/>
  <c r="FB126" i="2" s="1"/>
  <c r="FA117" i="2"/>
  <c r="FA126" i="2" l="1"/>
  <c r="DP12" i="2"/>
  <c r="DP19" i="2" s="1"/>
  <c r="BK158" i="2"/>
  <c r="AA135" i="31"/>
  <c r="AC135" i="31" s="1"/>
  <c r="S127" i="31"/>
  <c r="T127" i="31"/>
  <c r="E40" i="13"/>
  <c r="AD135" i="31" l="1"/>
  <c r="AE135" i="31"/>
  <c r="DQ12" i="2"/>
  <c r="Y25" i="7"/>
  <c r="Z25" i="7"/>
  <c r="DR12" i="2"/>
  <c r="S136" i="31"/>
  <c r="P23" i="7"/>
  <c r="T136" i="31"/>
  <c r="Q23" i="7"/>
  <c r="X25" i="7"/>
  <c r="DR19" i="2" l="1"/>
  <c r="DQ19" i="2"/>
  <c r="EI12" i="2"/>
  <c r="EI19" i="2" s="1"/>
  <c r="DS12" i="2"/>
  <c r="E23" i="7"/>
  <c r="DS19" i="2" l="1"/>
  <c r="L13" i="31"/>
  <c r="EN12" i="2"/>
  <c r="EN19" i="2" s="1"/>
  <c r="DT12" i="2"/>
  <c r="CN195" i="2"/>
  <c r="DU12" i="2"/>
  <c r="DU19" i="2" l="1"/>
  <c r="DT19" i="2"/>
  <c r="Z13" i="31"/>
  <c r="Z23" i="31" s="1"/>
  <c r="CS195" i="2"/>
  <c r="L23" i="31"/>
  <c r="DV12" i="2"/>
  <c r="DV19" i="2" l="1"/>
  <c r="R13" i="31"/>
  <c r="BK166" i="2"/>
  <c r="R23" i="31" l="1"/>
  <c r="BB166" i="2"/>
  <c r="CB117" i="2" l="1"/>
  <c r="CB126" i="2" l="1"/>
  <c r="F22" i="2" l="1"/>
  <c r="F23" i="2" s="1"/>
  <c r="F29" i="2" s="1"/>
  <c r="BT166" i="2" l="1"/>
  <c r="L12" i="2"/>
  <c r="BG195" i="2" l="1"/>
  <c r="BA195" i="2"/>
  <c r="BE195" i="2"/>
  <c r="BX195" i="2"/>
  <c r="BB195" i="2"/>
  <c r="BS195" i="2"/>
  <c r="BV195" i="2"/>
  <c r="BT195" i="2"/>
  <c r="BH195" i="2"/>
  <c r="BY195" i="2"/>
  <c r="BZ195" i="2"/>
  <c r="BC195" i="2"/>
  <c r="BU195" i="2"/>
  <c r="BW195" i="2"/>
  <c r="BD195" i="2"/>
  <c r="BF195" i="2"/>
  <c r="BA157" i="2"/>
  <c r="L19" i="2"/>
  <c r="E22" i="7"/>
  <c r="E21" i="7"/>
  <c r="BK195" i="2" l="1"/>
  <c r="CA195" i="2"/>
  <c r="BJ195" i="2"/>
  <c r="BI195" i="2"/>
  <c r="BN195" i="2"/>
  <c r="BL195" i="2"/>
  <c r="BP195" i="2"/>
  <c r="BM195" i="2" l="1"/>
  <c r="BO195" i="2"/>
  <c r="BR195" i="2"/>
  <c r="BQ195" i="2" l="1"/>
  <c r="E20" i="7" l="1"/>
  <c r="FG117" i="2" l="1"/>
  <c r="FG126" i="2" s="1"/>
  <c r="FJ117" i="2" l="1"/>
  <c r="FJ126" i="2" s="1"/>
  <c r="Y127" i="31" l="1"/>
  <c r="Y136" i="31" l="1"/>
  <c r="V23" i="7"/>
  <c r="K126" i="2"/>
  <c r="K149" i="2" s="1"/>
  <c r="K151" i="2" s="1"/>
  <c r="K152" i="2" s="1"/>
  <c r="BK117" i="2" l="1"/>
  <c r="BB117" i="2"/>
  <c r="BB126" i="2" s="1"/>
  <c r="BT117" i="2"/>
  <c r="BT126" i="2" s="1"/>
  <c r="BK126" i="2" l="1"/>
  <c r="BK149" i="2" s="1"/>
  <c r="BK151" i="2" s="1"/>
  <c r="BB160" i="2"/>
  <c r="FI117" i="2"/>
  <c r="FI126" i="2" s="1"/>
  <c r="V127" i="31" l="1"/>
  <c r="BG117" i="2"/>
  <c r="BG126" i="2" s="1"/>
  <c r="FH117" i="2"/>
  <c r="FH126" i="2" s="1"/>
  <c r="FF117" i="2"/>
  <c r="FF126" i="2" s="1"/>
  <c r="FE117" i="2"/>
  <c r="FE126" i="2" s="1"/>
  <c r="FD117" i="2"/>
  <c r="FD126" i="2" s="1"/>
  <c r="FC117" i="2"/>
  <c r="BY117" i="2"/>
  <c r="BY126" i="2" s="1"/>
  <c r="BW117" i="2"/>
  <c r="BW126" i="2" s="1"/>
  <c r="BU117" i="2"/>
  <c r="BU126" i="2" s="1"/>
  <c r="BP117" i="2"/>
  <c r="BP126" i="2" s="1"/>
  <c r="BN117" i="2"/>
  <c r="BL117" i="2"/>
  <c r="BJ117" i="2"/>
  <c r="BE117" i="2"/>
  <c r="BE126" i="2" s="1"/>
  <c r="BC117" i="2"/>
  <c r="BC126" i="2" s="1"/>
  <c r="AN117" i="2"/>
  <c r="AN126" i="2" s="1"/>
  <c r="AJ117" i="2"/>
  <c r="AJ126" i="2" s="1"/>
  <c r="AF117" i="2"/>
  <c r="AF126" i="2" s="1"/>
  <c r="AB117" i="2"/>
  <c r="AB126" i="2" s="1"/>
  <c r="X117" i="2"/>
  <c r="X126" i="2" s="1"/>
  <c r="S117" i="2"/>
  <c r="CC117" i="2"/>
  <c r="CC126" i="2" s="1"/>
  <c r="CK117" i="2"/>
  <c r="CK126" i="2" s="1"/>
  <c r="BJ126" i="2" l="1"/>
  <c r="FC126" i="2"/>
  <c r="FV117" i="2"/>
  <c r="BL126" i="2"/>
  <c r="BN126" i="2"/>
  <c r="BN160" i="2" s="1"/>
  <c r="EH117" i="2"/>
  <c r="EH126" i="2" s="1"/>
  <c r="EL117" i="2"/>
  <c r="V136" i="31"/>
  <c r="S23" i="7"/>
  <c r="U127" i="31"/>
  <c r="X127" i="31"/>
  <c r="W127" i="31"/>
  <c r="CF198" i="2"/>
  <c r="CD198" i="2"/>
  <c r="CH198" i="2"/>
  <c r="CX117" i="2"/>
  <c r="CX126" i="2" s="1"/>
  <c r="CZ117" i="2"/>
  <c r="CZ126" i="2" s="1"/>
  <c r="DB117" i="2"/>
  <c r="DB126" i="2" s="1"/>
  <c r="BO117" i="2"/>
  <c r="BO126" i="2" s="1"/>
  <c r="BX117" i="2"/>
  <c r="BX126" i="2" s="1"/>
  <c r="CG117" i="2"/>
  <c r="CG126" i="2" s="1"/>
  <c r="CP117" i="2"/>
  <c r="CP126" i="2" s="1"/>
  <c r="BF117" i="2"/>
  <c r="CL117" i="2"/>
  <c r="V117" i="2"/>
  <c r="V126" i="2" s="1"/>
  <c r="AD117" i="2"/>
  <c r="AD126" i="2" s="1"/>
  <c r="AL117" i="2"/>
  <c r="AL126" i="2" s="1"/>
  <c r="BS117" i="2"/>
  <c r="L117" i="2"/>
  <c r="Z117" i="2"/>
  <c r="Z126" i="2" s="1"/>
  <c r="AH117" i="2"/>
  <c r="AH126" i="2" s="1"/>
  <c r="BA117" i="2"/>
  <c r="BS126" i="2" l="1"/>
  <c r="BS160" i="2" s="1"/>
  <c r="BA126" i="2"/>
  <c r="BA160" i="2" s="1"/>
  <c r="BF126" i="2"/>
  <c r="FS117" i="2"/>
  <c r="BL160" i="2"/>
  <c r="EG117" i="2"/>
  <c r="EG126" i="2" s="1"/>
  <c r="CL126" i="2"/>
  <c r="EL126" i="2"/>
  <c r="CQ198" i="2" s="1"/>
  <c r="CC198" i="2"/>
  <c r="EK117" i="2"/>
  <c r="EF117" i="2"/>
  <c r="H127" i="31"/>
  <c r="U136" i="31"/>
  <c r="R23" i="7"/>
  <c r="X136" i="31"/>
  <c r="U23" i="7"/>
  <c r="W136" i="31"/>
  <c r="T23" i="7"/>
  <c r="CM198" i="2"/>
  <c r="K127" i="31"/>
  <c r="CG198" i="2"/>
  <c r="CW117" i="2"/>
  <c r="CW126" i="2" s="1"/>
  <c r="DA117" i="2"/>
  <c r="DA126" i="2" s="1"/>
  <c r="CV117" i="2"/>
  <c r="CV126" i="2" s="1"/>
  <c r="BM117" i="2"/>
  <c r="BQ117" i="2" s="1"/>
  <c r="BV117" i="2"/>
  <c r="CE117" i="2"/>
  <c r="CN117" i="2"/>
  <c r="CN126" i="2" s="1"/>
  <c r="BD117" i="2"/>
  <c r="BH117" i="2" s="1"/>
  <c r="BV126" i="2" l="1"/>
  <c r="BZ117" i="2"/>
  <c r="BZ126" i="2" s="1"/>
  <c r="CE126" i="2"/>
  <c r="CI117" i="2"/>
  <c r="CI126" i="2" s="1"/>
  <c r="BD126" i="2"/>
  <c r="FR117" i="2"/>
  <c r="EF126" i="2"/>
  <c r="CK198" i="2" s="1"/>
  <c r="FU117" i="2"/>
  <c r="H136" i="31"/>
  <c r="BM126" i="2"/>
  <c r="EK126" i="2"/>
  <c r="CP198" i="2" s="1"/>
  <c r="N127" i="31"/>
  <c r="N136" i="31" s="1"/>
  <c r="EI117" i="2"/>
  <c r="EI126" i="2" s="1"/>
  <c r="G23" i="7"/>
  <c r="K136" i="31"/>
  <c r="I23" i="7"/>
  <c r="CL198" i="2"/>
  <c r="I127" i="31"/>
  <c r="CE198" i="2"/>
  <c r="CB198" i="2"/>
  <c r="CY117" i="2"/>
  <c r="CY126" i="2" s="1"/>
  <c r="CR117" i="2"/>
  <c r="CR126" i="2" s="1"/>
  <c r="BQ126" i="2"/>
  <c r="BM160" i="2" l="1"/>
  <c r="BH126" i="2"/>
  <c r="L23" i="7"/>
  <c r="L127" i="31"/>
  <c r="BZ160" i="2"/>
  <c r="CN198" i="2"/>
  <c r="EM117" i="2"/>
  <c r="EM126" i="2" s="1"/>
  <c r="CS117" i="2"/>
  <c r="CS126" i="2" s="1"/>
  <c r="I136" i="31"/>
  <c r="H23" i="7"/>
  <c r="J127" i="31"/>
  <c r="J136" i="31" s="1"/>
  <c r="CA117" i="2"/>
  <c r="CA126" i="2" s="1"/>
  <c r="BR117" i="2"/>
  <c r="BR126" i="2" s="1"/>
  <c r="CJ117" i="2"/>
  <c r="CJ126" i="2" s="1"/>
  <c r="DC117" i="2"/>
  <c r="DC126" i="2" s="1"/>
  <c r="BI117" i="2"/>
  <c r="BI126" i="2" s="1"/>
  <c r="J23" i="7" l="1"/>
  <c r="E127" i="31"/>
  <c r="L136" i="31"/>
  <c r="R127" i="31"/>
  <c r="O23" i="7" s="1"/>
  <c r="EN117" i="2"/>
  <c r="FT117" i="2" s="1"/>
  <c r="CR198" i="2"/>
  <c r="Q127" i="31"/>
  <c r="N23" i="7" s="1"/>
  <c r="BR160" i="2"/>
  <c r="CI198" i="2"/>
  <c r="EE117" i="2"/>
  <c r="EE126" i="2" s="1"/>
  <c r="DD117" i="2"/>
  <c r="DD126" i="2" s="1"/>
  <c r="Z127" i="31" l="1"/>
  <c r="Z136" i="31" s="1"/>
  <c r="R136" i="31"/>
  <c r="EN126" i="2"/>
  <c r="CS198" i="2" s="1"/>
  <c r="CJ198" i="2"/>
  <c r="Q136" i="31"/>
  <c r="BB43" i="2"/>
  <c r="BB48" i="2" s="1"/>
  <c r="BB58" i="2" l="1"/>
  <c r="BB149" i="2" s="1"/>
  <c r="BB151" i="2" s="1"/>
  <c r="W23" i="7"/>
  <c r="AA127" i="31"/>
  <c r="AC127" i="31" s="1"/>
  <c r="AE127" i="31" l="1"/>
  <c r="X23" i="7"/>
  <c r="AB136" i="31"/>
  <c r="AC136" i="31"/>
  <c r="AA136" i="31"/>
  <c r="BB158" i="2"/>
  <c r="Z23" i="7"/>
  <c r="CH43" i="2"/>
  <c r="CF43" i="2"/>
  <c r="CD43" i="2"/>
  <c r="CC43" i="2"/>
  <c r="CC48" i="2" s="1"/>
  <c r="CC58" i="2" s="1"/>
  <c r="CC149" i="2" s="1"/>
  <c r="CC151" i="2" s="1"/>
  <c r="CB43" i="2"/>
  <c r="CJ267" i="2"/>
  <c r="CJ266" i="2"/>
  <c r="CJ263" i="2"/>
  <c r="CJ258" i="2"/>
  <c r="CJ251" i="2"/>
  <c r="CJ249" i="2"/>
  <c r="AD136" i="31" l="1"/>
  <c r="AE136" i="31"/>
  <c r="AD127" i="31"/>
  <c r="Y23" i="7"/>
  <c r="CJ255" i="2"/>
  <c r="CB255" i="2"/>
  <c r="CB48" i="2" l="1"/>
  <c r="E19" i="7"/>
  <c r="CB58" i="2" l="1"/>
  <c r="CB158" i="2"/>
  <c r="A11" i="23"/>
  <c r="A12" i="23" s="1"/>
  <c r="H161" i="23"/>
  <c r="H157" i="23"/>
  <c r="H144" i="23"/>
  <c r="H138" i="23"/>
  <c r="H130" i="23"/>
  <c r="H117" i="23"/>
  <c r="H112" i="23"/>
  <c r="H97" i="23"/>
  <c r="H78" i="23"/>
  <c r="H68" i="23"/>
  <c r="H60" i="23"/>
  <c r="H54" i="23"/>
  <c r="H48" i="23"/>
  <c r="H40" i="23"/>
  <c r="H34" i="23"/>
  <c r="H22" i="23"/>
  <c r="H13" i="23"/>
  <c r="H139" i="23" l="1"/>
  <c r="H192" i="23" l="1"/>
  <c r="H185" i="23"/>
  <c r="H172" i="23"/>
  <c r="H168" i="23"/>
  <c r="H195" i="23" l="1"/>
  <c r="H162" i="23"/>
  <c r="H118" i="23"/>
  <c r="H145" i="23"/>
  <c r="H61" i="23"/>
  <c r="E192" i="23"/>
  <c r="G191" i="23"/>
  <c r="G190" i="23"/>
  <c r="F189" i="23"/>
  <c r="F192" i="23" s="1"/>
  <c r="F184" i="23"/>
  <c r="G183" i="23"/>
  <c r="F182" i="23"/>
  <c r="G182" i="23" s="1"/>
  <c r="F181" i="23"/>
  <c r="F180" i="23"/>
  <c r="F179" i="23"/>
  <c r="G178" i="23"/>
  <c r="E177" i="23"/>
  <c r="G176" i="23"/>
  <c r="E172" i="23"/>
  <c r="F171" i="23"/>
  <c r="G171" i="23" s="1"/>
  <c r="E168" i="23"/>
  <c r="F167" i="23"/>
  <c r="F168" i="23" s="1"/>
  <c r="E161" i="23"/>
  <c r="G160" i="23"/>
  <c r="F159" i="23"/>
  <c r="E157" i="23"/>
  <c r="G156" i="23"/>
  <c r="G155" i="23"/>
  <c r="G154" i="23"/>
  <c r="G153" i="23"/>
  <c r="F152" i="23"/>
  <c r="F151" i="23"/>
  <c r="G150" i="23"/>
  <c r="E144" i="23"/>
  <c r="G143" i="23"/>
  <c r="F142" i="23"/>
  <c r="G141" i="23"/>
  <c r="E138" i="23"/>
  <c r="G137" i="23"/>
  <c r="F136" i="23"/>
  <c r="G135" i="23"/>
  <c r="F134" i="23"/>
  <c r="F133" i="23"/>
  <c r="F132" i="23"/>
  <c r="E130" i="23"/>
  <c r="F129" i="23"/>
  <c r="F128" i="23"/>
  <c r="G127" i="23"/>
  <c r="G126" i="23"/>
  <c r="G125" i="23"/>
  <c r="G124" i="23"/>
  <c r="G123" i="23"/>
  <c r="G122" i="23"/>
  <c r="G121" i="23"/>
  <c r="E117" i="23"/>
  <c r="F116" i="23"/>
  <c r="F117" i="23" s="1"/>
  <c r="G115" i="23"/>
  <c r="E112" i="23"/>
  <c r="F111" i="23"/>
  <c r="F110" i="23"/>
  <c r="G110" i="23" s="1"/>
  <c r="F109" i="23"/>
  <c r="F108" i="23"/>
  <c r="F107" i="23"/>
  <c r="F106" i="23"/>
  <c r="G105" i="23"/>
  <c r="G104" i="23"/>
  <c r="G103" i="23"/>
  <c r="G102" i="23"/>
  <c r="G101" i="23"/>
  <c r="G100" i="23"/>
  <c r="E97" i="23"/>
  <c r="G96" i="23"/>
  <c r="G95" i="23"/>
  <c r="G94" i="23"/>
  <c r="G93" i="23"/>
  <c r="G92" i="23"/>
  <c r="G91" i="23"/>
  <c r="G90" i="23"/>
  <c r="G89" i="23"/>
  <c r="G88" i="23"/>
  <c r="G87" i="23"/>
  <c r="G86" i="23"/>
  <c r="G85" i="23"/>
  <c r="F84" i="23"/>
  <c r="F83" i="23"/>
  <c r="G82" i="23"/>
  <c r="G81" i="23"/>
  <c r="G80" i="23"/>
  <c r="F78" i="23"/>
  <c r="G77" i="23"/>
  <c r="G76" i="23"/>
  <c r="G73" i="23"/>
  <c r="E72" i="23"/>
  <c r="G72" i="23" s="1"/>
  <c r="F68" i="23"/>
  <c r="E68" i="23"/>
  <c r="G67" i="23"/>
  <c r="G66" i="23"/>
  <c r="G65" i="23"/>
  <c r="A65" i="23"/>
  <c r="A66" i="23" s="1"/>
  <c r="A67" i="23" s="1"/>
  <c r="A72" i="23" s="1"/>
  <c r="A73" i="23" s="1"/>
  <c r="A77" i="23" s="1"/>
  <c r="A80" i="23" s="1"/>
  <c r="A81" i="23" s="1"/>
  <c r="A82" i="23" s="1"/>
  <c r="A83" i="23" s="1"/>
  <c r="A84" i="23" s="1"/>
  <c r="A85" i="23" s="1"/>
  <c r="A86" i="23" s="1"/>
  <c r="A87" i="23" s="1"/>
  <c r="A88" i="23" s="1"/>
  <c r="A89" i="23" s="1"/>
  <c r="A90" i="23" s="1"/>
  <c r="A91" i="23" s="1"/>
  <c r="A92" i="23" s="1"/>
  <c r="A93" i="23" s="1"/>
  <c r="A94" i="23" s="1"/>
  <c r="A95" i="23" s="1"/>
  <c r="A96" i="23" s="1"/>
  <c r="A100" i="23" s="1"/>
  <c r="A101" i="23" s="1"/>
  <c r="A102" i="23" s="1"/>
  <c r="A103" i="23" s="1"/>
  <c r="A104" i="23" s="1"/>
  <c r="A105" i="23" s="1"/>
  <c r="A106" i="23" s="1"/>
  <c r="A107" i="23" s="1"/>
  <c r="A108" i="23" s="1"/>
  <c r="A109" i="23" s="1"/>
  <c r="A110" i="23" s="1"/>
  <c r="A111" i="23" s="1"/>
  <c r="A115" i="23" s="1"/>
  <c r="A116" i="23" s="1"/>
  <c r="A121" i="23" s="1"/>
  <c r="A122" i="23" s="1"/>
  <c r="A123" i="23" s="1"/>
  <c r="A124" i="23" s="1"/>
  <c r="A125" i="23" s="1"/>
  <c r="A126" i="23" s="1"/>
  <c r="A127" i="23" s="1"/>
  <c r="A128" i="23" s="1"/>
  <c r="A129" i="23" s="1"/>
  <c r="A132" i="23" s="1"/>
  <c r="A133" i="23" s="1"/>
  <c r="A134" i="23" s="1"/>
  <c r="A135" i="23" s="1"/>
  <c r="A136" i="23" s="1"/>
  <c r="A137" i="23" s="1"/>
  <c r="A141" i="23" s="1"/>
  <c r="A142" i="23" s="1"/>
  <c r="A143" i="23" s="1"/>
  <c r="A150" i="23" s="1"/>
  <c r="A151" i="23" s="1"/>
  <c r="A152" i="23" s="1"/>
  <c r="A153" i="23" s="1"/>
  <c r="A154" i="23" s="1"/>
  <c r="A159" i="23" s="1"/>
  <c r="A160" i="23" s="1"/>
  <c r="A167" i="23" s="1"/>
  <c r="A171" i="23" s="1"/>
  <c r="A177" i="23" s="1"/>
  <c r="A178" i="23" s="1"/>
  <c r="A179" i="23" s="1"/>
  <c r="A180" i="23" s="1"/>
  <c r="A181" i="23" s="1"/>
  <c r="A182" i="23" s="1"/>
  <c r="A183" i="23" s="1"/>
  <c r="A184" i="23" s="1"/>
  <c r="A189" i="23" s="1"/>
  <c r="A190" i="23" s="1"/>
  <c r="A191" i="23" s="1"/>
  <c r="G64" i="23"/>
  <c r="F60" i="23"/>
  <c r="E60" i="23"/>
  <c r="G59" i="23"/>
  <c r="G58" i="23"/>
  <c r="G57" i="23"/>
  <c r="E54" i="23"/>
  <c r="G53" i="23"/>
  <c r="F52" i="23"/>
  <c r="F54" i="23" s="1"/>
  <c r="G51" i="23"/>
  <c r="G47" i="23"/>
  <c r="G46" i="23"/>
  <c r="G45" i="23"/>
  <c r="F44" i="23"/>
  <c r="E44" i="23"/>
  <c r="A44" i="23"/>
  <c r="A45" i="23" s="1"/>
  <c r="A46" i="23" s="1"/>
  <c r="A47" i="23" s="1"/>
  <c r="A51" i="23" s="1"/>
  <c r="A52" i="23" s="1"/>
  <c r="A57" i="23" s="1"/>
  <c r="A58" i="23" s="1"/>
  <c r="A59" i="23" s="1"/>
  <c r="F43" i="23"/>
  <c r="E43" i="23"/>
  <c r="E40" i="23"/>
  <c r="G39" i="23"/>
  <c r="G38" i="23"/>
  <c r="F37" i="23"/>
  <c r="E34" i="23"/>
  <c r="G33" i="23"/>
  <c r="G32" i="23"/>
  <c r="G31" i="23"/>
  <c r="F30" i="23"/>
  <c r="G29" i="23"/>
  <c r="G28" i="23"/>
  <c r="G27" i="23"/>
  <c r="G26" i="23"/>
  <c r="G25" i="23"/>
  <c r="E22" i="23"/>
  <c r="G21" i="23"/>
  <c r="F20" i="23"/>
  <c r="F22" i="23" s="1"/>
  <c r="G19" i="23"/>
  <c r="G18" i="23"/>
  <c r="G17" i="23"/>
  <c r="G16" i="23"/>
  <c r="A16" i="23"/>
  <c r="A17" i="23" s="1"/>
  <c r="A18" i="23" s="1"/>
  <c r="A19" i="23" s="1"/>
  <c r="A20" i="23" s="1"/>
  <c r="A21" i="23" s="1"/>
  <c r="A25" i="23" s="1"/>
  <c r="A26" i="23" s="1"/>
  <c r="A27" i="23" s="1"/>
  <c r="A28" i="23" s="1"/>
  <c r="A29" i="23" s="1"/>
  <c r="A30" i="23" s="1"/>
  <c r="A31" i="23" s="1"/>
  <c r="A32" i="23" s="1"/>
  <c r="A33" i="23" s="1"/>
  <c r="A37" i="23" s="1"/>
  <c r="A38" i="23" s="1"/>
  <c r="A39" i="23" s="1"/>
  <c r="E13" i="23"/>
  <c r="G12" i="23"/>
  <c r="G11" i="23"/>
  <c r="F10" i="23"/>
  <c r="G78" i="23" l="1"/>
  <c r="E118" i="23"/>
  <c r="E139" i="23"/>
  <c r="E162" i="23"/>
  <c r="G116" i="23"/>
  <c r="G117" i="23" s="1"/>
  <c r="G68" i="23"/>
  <c r="G20" i="23"/>
  <c r="G22" i="23" s="1"/>
  <c r="G60" i="23"/>
  <c r="G52" i="23"/>
  <c r="G54" i="23" s="1"/>
  <c r="G134" i="23"/>
  <c r="F138" i="23"/>
  <c r="G132" i="23"/>
  <c r="G179" i="23"/>
  <c r="G184" i="23"/>
  <c r="G37" i="23"/>
  <c r="G40" i="23" s="1"/>
  <c r="F48" i="23"/>
  <c r="F34" i="23"/>
  <c r="E78" i="23"/>
  <c r="E145" i="23" s="1"/>
  <c r="G136" i="23"/>
  <c r="G129" i="23"/>
  <c r="F172" i="23"/>
  <c r="G167" i="23"/>
  <c r="G168" i="23" s="1"/>
  <c r="G152" i="23"/>
  <c r="E185" i="23"/>
  <c r="G10" i="23"/>
  <c r="G13" i="23" s="1"/>
  <c r="F13" i="23"/>
  <c r="E48" i="23"/>
  <c r="E61" i="23" s="1"/>
  <c r="G43" i="23"/>
  <c r="F40" i="23"/>
  <c r="G30" i="23"/>
  <c r="G34" i="23" s="1"/>
  <c r="G44" i="23"/>
  <c r="G83" i="23"/>
  <c r="G106" i="23"/>
  <c r="G107" i="23"/>
  <c r="G108" i="23"/>
  <c r="G109" i="23"/>
  <c r="F130" i="23"/>
  <c r="G133" i="23"/>
  <c r="F97" i="23"/>
  <c r="G84" i="23"/>
  <c r="G111" i="23"/>
  <c r="F112" i="23"/>
  <c r="G128" i="23"/>
  <c r="G151" i="23"/>
  <c r="G159" i="23"/>
  <c r="G161" i="23" s="1"/>
  <c r="F144" i="23"/>
  <c r="F161" i="23"/>
  <c r="G142" i="23"/>
  <c r="G144" i="23" s="1"/>
  <c r="F157" i="23"/>
  <c r="G180" i="23"/>
  <c r="G181" i="23"/>
  <c r="F185" i="23"/>
  <c r="G177" i="23"/>
  <c r="G189" i="23"/>
  <c r="G192" i="23" s="1"/>
  <c r="Q245" i="22"/>
  <c r="G97" i="23" l="1"/>
  <c r="F139" i="23"/>
  <c r="G130" i="23"/>
  <c r="G172" i="23"/>
  <c r="G157" i="23"/>
  <c r="G162" i="23" s="1"/>
  <c r="G185" i="23"/>
  <c r="G138" i="23"/>
  <c r="F145" i="23"/>
  <c r="F162" i="23"/>
  <c r="G112" i="23"/>
  <c r="G118" i="23" s="1"/>
  <c r="G48" i="23"/>
  <c r="F118" i="23"/>
  <c r="F61" i="23"/>
  <c r="G139" i="23" l="1"/>
  <c r="G145" i="23"/>
  <c r="G61" i="23"/>
  <c r="J245" i="22" l="1"/>
  <c r="E129" i="22" l="1"/>
  <c r="E115" i="22"/>
  <c r="E108" i="22"/>
  <c r="E104" i="22"/>
  <c r="E97" i="22"/>
  <c r="E88" i="22"/>
  <c r="E83" i="22"/>
  <c r="E68" i="22"/>
  <c r="P129" i="22"/>
  <c r="P115" i="22"/>
  <c r="P108" i="22"/>
  <c r="P104" i="22"/>
  <c r="P97" i="22"/>
  <c r="P88" i="22"/>
  <c r="P83" i="22"/>
  <c r="P68" i="22"/>
  <c r="P49" i="22"/>
  <c r="P44" i="22"/>
  <c r="P37" i="22"/>
  <c r="P32" i="22"/>
  <c r="P28" i="22"/>
  <c r="P23" i="22"/>
  <c r="P13" i="22"/>
  <c r="E49" i="22"/>
  <c r="E44" i="22"/>
  <c r="E37" i="22"/>
  <c r="E32" i="22"/>
  <c r="E28" i="22"/>
  <c r="E23" i="22"/>
  <c r="E13" i="22"/>
  <c r="S230" i="22"/>
  <c r="U218" i="22"/>
  <c r="T218" i="22"/>
  <c r="S218" i="22"/>
  <c r="V218" i="22" s="1"/>
  <c r="U217" i="22"/>
  <c r="T217" i="22"/>
  <c r="S217" i="22"/>
  <c r="V217" i="22" s="1"/>
  <c r="U172" i="22"/>
  <c r="T172" i="22"/>
  <c r="S172" i="22"/>
  <c r="U171" i="22"/>
  <c r="T171" i="22"/>
  <c r="S171" i="22"/>
  <c r="U170" i="22"/>
  <c r="T170" i="22"/>
  <c r="S170" i="22"/>
  <c r="U169" i="22"/>
  <c r="T169" i="22"/>
  <c r="S169" i="22"/>
  <c r="U168" i="22"/>
  <c r="T168" i="22"/>
  <c r="S168" i="22"/>
  <c r="U167" i="22"/>
  <c r="T167" i="22"/>
  <c r="S167" i="22"/>
  <c r="U166" i="22"/>
  <c r="T166" i="22"/>
  <c r="S166" i="22"/>
  <c r="U165" i="22"/>
  <c r="U198" i="22" s="1"/>
  <c r="T165" i="22"/>
  <c r="T198" i="22" s="1"/>
  <c r="S165" i="22"/>
  <c r="U164" i="22"/>
  <c r="U197" i="22" s="1"/>
  <c r="T164" i="22"/>
  <c r="T197" i="22" s="1"/>
  <c r="S164" i="22"/>
  <c r="U163" i="22"/>
  <c r="U196" i="22" s="1"/>
  <c r="T163" i="22"/>
  <c r="T196" i="22" s="1"/>
  <c r="S163" i="22"/>
  <c r="U162" i="22"/>
  <c r="U195" i="22" s="1"/>
  <c r="T162" i="22"/>
  <c r="T195" i="22" s="1"/>
  <c r="S162" i="22"/>
  <c r="U161" i="22"/>
  <c r="U194" i="22" s="1"/>
  <c r="T161" i="22"/>
  <c r="T194" i="22" s="1"/>
  <c r="S161" i="22"/>
  <c r="U160" i="22"/>
  <c r="U193" i="22" s="1"/>
  <c r="T160" i="22"/>
  <c r="T193" i="22" s="1"/>
  <c r="S160" i="22"/>
  <c r="U159" i="22"/>
  <c r="U192" i="22" s="1"/>
  <c r="T159" i="22"/>
  <c r="T192" i="22" s="1"/>
  <c r="S159" i="22"/>
  <c r="U158" i="22"/>
  <c r="U191" i="22" s="1"/>
  <c r="T158" i="22"/>
  <c r="T191" i="22" s="1"/>
  <c r="S158" i="22"/>
  <c r="U157" i="22"/>
  <c r="U190" i="22" s="1"/>
  <c r="T157" i="22"/>
  <c r="T190" i="22" s="1"/>
  <c r="S157" i="22"/>
  <c r="U156" i="22"/>
  <c r="U189" i="22" s="1"/>
  <c r="T156" i="22"/>
  <c r="T189" i="22" s="1"/>
  <c r="S156" i="22"/>
  <c r="U155" i="22"/>
  <c r="U188" i="22" s="1"/>
  <c r="T155" i="22"/>
  <c r="T188" i="22" s="1"/>
  <c r="S155" i="22"/>
  <c r="U154" i="22"/>
  <c r="U187" i="22" s="1"/>
  <c r="T154" i="22"/>
  <c r="T187" i="22" s="1"/>
  <c r="S154" i="22"/>
  <c r="U153" i="22"/>
  <c r="U186" i="22" s="1"/>
  <c r="T153" i="22"/>
  <c r="T186" i="22" s="1"/>
  <c r="S153" i="22"/>
  <c r="U152" i="22"/>
  <c r="U185" i="22" s="1"/>
  <c r="T152" i="22"/>
  <c r="T185" i="22" s="1"/>
  <c r="S152" i="22"/>
  <c r="U151" i="22"/>
  <c r="U184" i="22" s="1"/>
  <c r="T151" i="22"/>
  <c r="T184" i="22" s="1"/>
  <c r="S151" i="22"/>
  <c r="V151" i="22" s="1"/>
  <c r="U150" i="22"/>
  <c r="U183" i="22" s="1"/>
  <c r="T150" i="22"/>
  <c r="T183" i="22" s="1"/>
  <c r="S150" i="22"/>
  <c r="V150" i="22" s="1"/>
  <c r="U149" i="22"/>
  <c r="U182" i="22" s="1"/>
  <c r="U206" i="22" s="1"/>
  <c r="T149" i="22"/>
  <c r="T182" i="22" s="1"/>
  <c r="T206" i="22" s="1"/>
  <c r="S149" i="22"/>
  <c r="V149" i="22" s="1"/>
  <c r="V173" i="22" s="1"/>
  <c r="V174" i="22" s="1"/>
  <c r="U141" i="22"/>
  <c r="T141" i="22"/>
  <c r="S141" i="22"/>
  <c r="V141" i="22" s="1"/>
  <c r="U140" i="22"/>
  <c r="T140" i="22"/>
  <c r="S140" i="22"/>
  <c r="V140" i="22" s="1"/>
  <c r="U139" i="22"/>
  <c r="T139" i="22"/>
  <c r="S139" i="22"/>
  <c r="V139" i="22" s="1"/>
  <c r="U138" i="22"/>
  <c r="T138" i="22"/>
  <c r="S138" i="22"/>
  <c r="V138" i="22" s="1"/>
  <c r="U137" i="22"/>
  <c r="T137" i="22"/>
  <c r="S137" i="22"/>
  <c r="V137" i="22" s="1"/>
  <c r="U136" i="22"/>
  <c r="T136" i="22"/>
  <c r="S136" i="22"/>
  <c r="V136" i="22" s="1"/>
  <c r="U135" i="22"/>
  <c r="U142" i="22" s="1"/>
  <c r="U143" i="22" s="1"/>
  <c r="T135" i="22"/>
  <c r="T142" i="22" s="1"/>
  <c r="T143" i="22" s="1"/>
  <c r="S135" i="22"/>
  <c r="V135" i="22" s="1"/>
  <c r="V142" i="22" s="1"/>
  <c r="V143" i="22" s="1"/>
  <c r="V128" i="22"/>
  <c r="Q128" i="22"/>
  <c r="R128" i="22" s="1"/>
  <c r="V127" i="22"/>
  <c r="R127" i="22"/>
  <c r="V126" i="22"/>
  <c r="Q126" i="22"/>
  <c r="R126" i="22" s="1"/>
  <c r="V125" i="22"/>
  <c r="Q125" i="22"/>
  <c r="R125" i="22" s="1"/>
  <c r="V124" i="22"/>
  <c r="Q124" i="22"/>
  <c r="R124" i="22" s="1"/>
  <c r="V123" i="22"/>
  <c r="Q123" i="22"/>
  <c r="V122" i="22"/>
  <c r="R122" i="22"/>
  <c r="V121" i="22"/>
  <c r="R121" i="22"/>
  <c r="V120" i="22"/>
  <c r="R120" i="22"/>
  <c r="Q115" i="22"/>
  <c r="V114" i="22"/>
  <c r="R114" i="22"/>
  <c r="R115" i="22" s="1"/>
  <c r="Q108" i="22"/>
  <c r="V107" i="22"/>
  <c r="R107" i="22"/>
  <c r="R108" i="22" s="1"/>
  <c r="V106" i="22"/>
  <c r="V103" i="22"/>
  <c r="R103" i="22"/>
  <c r="V102" i="22"/>
  <c r="Q102" i="22"/>
  <c r="R102" i="22" s="1"/>
  <c r="V101" i="22"/>
  <c r="R101" i="22"/>
  <c r="V100" i="22"/>
  <c r="Q100" i="22"/>
  <c r="R100" i="22" s="1"/>
  <c r="V99" i="22"/>
  <c r="Q99" i="22"/>
  <c r="V96" i="22"/>
  <c r="Q96" i="22"/>
  <c r="R96" i="22" s="1"/>
  <c r="V95" i="22"/>
  <c r="Q95" i="22"/>
  <c r="R95" i="22" s="1"/>
  <c r="V94" i="22"/>
  <c r="R94" i="22"/>
  <c r="V93" i="22"/>
  <c r="R93" i="22"/>
  <c r="V92" i="22"/>
  <c r="R92" i="22"/>
  <c r="V91" i="22"/>
  <c r="R91" i="22"/>
  <c r="V87" i="22"/>
  <c r="Q87" i="22"/>
  <c r="R87" i="22" s="1"/>
  <c r="V86" i="22"/>
  <c r="R86" i="22"/>
  <c r="V82" i="22"/>
  <c r="Q82" i="22"/>
  <c r="R82" i="22" s="1"/>
  <c r="V81" i="22"/>
  <c r="Q81" i="22"/>
  <c r="R81" i="22" s="1"/>
  <c r="V80" i="22"/>
  <c r="Q80" i="22"/>
  <c r="R80" i="22" s="1"/>
  <c r="V79" i="22"/>
  <c r="Q79" i="22"/>
  <c r="R79" i="22" s="1"/>
  <c r="V78" i="22"/>
  <c r="Q78" i="22"/>
  <c r="R78" i="22" s="1"/>
  <c r="V77" i="22"/>
  <c r="Q77" i="22"/>
  <c r="R77" i="22" s="1"/>
  <c r="V76" i="22"/>
  <c r="R76" i="22"/>
  <c r="V75" i="22"/>
  <c r="R75" i="22"/>
  <c r="V74" i="22"/>
  <c r="R74" i="22"/>
  <c r="V73" i="22"/>
  <c r="R73" i="22"/>
  <c r="V72" i="22"/>
  <c r="R72" i="22"/>
  <c r="V71" i="22"/>
  <c r="R71" i="22"/>
  <c r="V67" i="22"/>
  <c r="V66" i="22"/>
  <c r="R66" i="22"/>
  <c r="V65" i="22"/>
  <c r="R65" i="22"/>
  <c r="V64" i="22"/>
  <c r="R64" i="22"/>
  <c r="V63" i="22"/>
  <c r="R63" i="22"/>
  <c r="V62" i="22"/>
  <c r="R62" i="22"/>
  <c r="V61" i="22"/>
  <c r="R61" i="22"/>
  <c r="V60" i="22"/>
  <c r="R60" i="22"/>
  <c r="V59" i="22"/>
  <c r="R59" i="22"/>
  <c r="V58" i="22"/>
  <c r="V57" i="22"/>
  <c r="R57" i="22"/>
  <c r="V56" i="22"/>
  <c r="R56" i="22"/>
  <c r="V55" i="22"/>
  <c r="Q55" i="22"/>
  <c r="V54" i="22"/>
  <c r="Q54" i="22"/>
  <c r="R54" i="22" s="1"/>
  <c r="V53" i="22"/>
  <c r="R53" i="22"/>
  <c r="V52" i="22"/>
  <c r="R52" i="22"/>
  <c r="V51" i="22"/>
  <c r="R51" i="22"/>
  <c r="Q49" i="22"/>
  <c r="V48" i="22"/>
  <c r="R48" i="22"/>
  <c r="R49" i="22" s="1"/>
  <c r="Q44" i="22"/>
  <c r="V43" i="22"/>
  <c r="R43" i="22"/>
  <c r="V42" i="22"/>
  <c r="R42" i="22"/>
  <c r="V41" i="22"/>
  <c r="R41" i="22"/>
  <c r="V40" i="22"/>
  <c r="R40" i="22"/>
  <c r="Q37" i="22"/>
  <c r="V36" i="22"/>
  <c r="R36" i="22"/>
  <c r="V35" i="22"/>
  <c r="R35" i="22"/>
  <c r="Q32" i="22"/>
  <c r="V31" i="22"/>
  <c r="R31" i="22"/>
  <c r="R32" i="22" s="1"/>
  <c r="Q28" i="22"/>
  <c r="V27" i="22"/>
  <c r="R27" i="22"/>
  <c r="V26" i="22"/>
  <c r="R26" i="22"/>
  <c r="V22" i="22"/>
  <c r="R22" i="22"/>
  <c r="V21" i="22"/>
  <c r="Q21" i="22"/>
  <c r="Q23" i="22" s="1"/>
  <c r="V20" i="22"/>
  <c r="R20" i="22"/>
  <c r="V19" i="22"/>
  <c r="R19" i="22"/>
  <c r="V18" i="22"/>
  <c r="R18" i="22"/>
  <c r="Q13" i="22"/>
  <c r="V12" i="22"/>
  <c r="R12" i="22"/>
  <c r="V11" i="22"/>
  <c r="R11" i="22"/>
  <c r="V10" i="22"/>
  <c r="R10" i="22"/>
  <c r="J172" i="22"/>
  <c r="I172" i="22"/>
  <c r="H172" i="22"/>
  <c r="J171" i="22"/>
  <c r="I171" i="22"/>
  <c r="H171" i="22"/>
  <c r="J167" i="22"/>
  <c r="I167" i="22"/>
  <c r="H167" i="22"/>
  <c r="K167" i="22" s="1"/>
  <c r="J165" i="22"/>
  <c r="I165" i="22"/>
  <c r="H165" i="22"/>
  <c r="K165" i="22" s="1"/>
  <c r="J160" i="22"/>
  <c r="I160" i="22"/>
  <c r="H160" i="22"/>
  <c r="J159" i="22"/>
  <c r="I159" i="22"/>
  <c r="H159" i="22"/>
  <c r="J153" i="22"/>
  <c r="I153" i="22"/>
  <c r="H153" i="22"/>
  <c r="K153" i="22" s="1"/>
  <c r="J151" i="22"/>
  <c r="I151" i="22"/>
  <c r="H151" i="22"/>
  <c r="J150" i="22"/>
  <c r="I150" i="22"/>
  <c r="H150" i="22"/>
  <c r="I140" i="22"/>
  <c r="J135" i="22"/>
  <c r="I135" i="22"/>
  <c r="H135" i="22"/>
  <c r="K135" i="22" s="1"/>
  <c r="K128" i="22"/>
  <c r="F128" i="22"/>
  <c r="K127" i="22"/>
  <c r="G127" i="22"/>
  <c r="K126" i="22"/>
  <c r="F126" i="22"/>
  <c r="K125" i="22"/>
  <c r="F125" i="22"/>
  <c r="K124" i="22"/>
  <c r="F124" i="22"/>
  <c r="K123" i="22"/>
  <c r="F123" i="22"/>
  <c r="K122" i="22"/>
  <c r="G122" i="22"/>
  <c r="K121" i="22"/>
  <c r="G121" i="22"/>
  <c r="K120" i="22"/>
  <c r="G120" i="22"/>
  <c r="K114" i="22"/>
  <c r="G114" i="22"/>
  <c r="K107" i="22"/>
  <c r="G107" i="22"/>
  <c r="K106" i="22"/>
  <c r="K103" i="22"/>
  <c r="G103" i="22"/>
  <c r="K102" i="22"/>
  <c r="F102" i="22"/>
  <c r="K101" i="22"/>
  <c r="G101" i="22"/>
  <c r="K100" i="22"/>
  <c r="F100" i="22"/>
  <c r="K99" i="22"/>
  <c r="F99" i="22"/>
  <c r="K96" i="22"/>
  <c r="F96" i="22"/>
  <c r="K95" i="22"/>
  <c r="F95" i="22"/>
  <c r="K94" i="22"/>
  <c r="G94" i="22"/>
  <c r="K93" i="22"/>
  <c r="G93" i="22"/>
  <c r="K92" i="22"/>
  <c r="G92" i="22"/>
  <c r="K91" i="22"/>
  <c r="G91" i="22"/>
  <c r="K87" i="22"/>
  <c r="F87" i="22"/>
  <c r="F88" i="22" s="1"/>
  <c r="K86" i="22"/>
  <c r="G86" i="22"/>
  <c r="K82" i="22"/>
  <c r="F82" i="22"/>
  <c r="K81" i="22"/>
  <c r="F81" i="22"/>
  <c r="K80" i="22"/>
  <c r="F80" i="22"/>
  <c r="K79" i="22"/>
  <c r="F79" i="22"/>
  <c r="G79" i="22" s="1"/>
  <c r="A79" i="22"/>
  <c r="A80" i="22" s="1"/>
  <c r="A81" i="22" s="1"/>
  <c r="A82" i="22" s="1"/>
  <c r="A86" i="22" s="1"/>
  <c r="A87" i="22" s="1"/>
  <c r="A91" i="22" s="1"/>
  <c r="A92" i="22" s="1"/>
  <c r="A93" i="22" s="1"/>
  <c r="A94" i="22" s="1"/>
  <c r="A95" i="22" s="1"/>
  <c r="A96" i="22" s="1"/>
  <c r="A99" i="22" s="1"/>
  <c r="A100" i="22" s="1"/>
  <c r="A101" i="22" s="1"/>
  <c r="A102" i="22" s="1"/>
  <c r="A103" i="22" s="1"/>
  <c r="A107" i="22" s="1"/>
  <c r="A114" i="22" s="1"/>
  <c r="A120" i="22" s="1"/>
  <c r="A121" i="22" s="1"/>
  <c r="A122" i="22" s="1"/>
  <c r="A123" i="22" s="1"/>
  <c r="A124" i="22" s="1"/>
  <c r="A125" i="22" s="1"/>
  <c r="A126" i="22" s="1"/>
  <c r="A127" i="22" s="1"/>
  <c r="A128" i="22" s="1"/>
  <c r="K78" i="22"/>
  <c r="F78" i="22"/>
  <c r="K77" i="22"/>
  <c r="F77" i="22"/>
  <c r="K76" i="22"/>
  <c r="G76" i="22"/>
  <c r="K75" i="22"/>
  <c r="G75" i="22"/>
  <c r="K74" i="22"/>
  <c r="G74" i="22"/>
  <c r="K73" i="22"/>
  <c r="G73" i="22"/>
  <c r="K72" i="22"/>
  <c r="G72" i="22"/>
  <c r="K71" i="22"/>
  <c r="G71" i="22"/>
  <c r="K67" i="22"/>
  <c r="K66" i="22"/>
  <c r="G66" i="22"/>
  <c r="K65" i="22"/>
  <c r="G65" i="22"/>
  <c r="K64" i="22"/>
  <c r="G64" i="22"/>
  <c r="K63" i="22"/>
  <c r="G63" i="22"/>
  <c r="K62" i="22"/>
  <c r="G62" i="22"/>
  <c r="K61" i="22"/>
  <c r="G61" i="22"/>
  <c r="K60" i="22"/>
  <c r="G60" i="22"/>
  <c r="K59" i="22"/>
  <c r="G59" i="22"/>
  <c r="K58" i="22"/>
  <c r="K57" i="22"/>
  <c r="G57" i="22"/>
  <c r="K56" i="22"/>
  <c r="G56" i="22"/>
  <c r="K55" i="22"/>
  <c r="F55" i="22"/>
  <c r="K54" i="22"/>
  <c r="F54" i="22"/>
  <c r="K53" i="22"/>
  <c r="G53" i="22"/>
  <c r="K52" i="22"/>
  <c r="G52" i="22"/>
  <c r="K51" i="22"/>
  <c r="G51" i="22"/>
  <c r="F49" i="22"/>
  <c r="K48" i="22"/>
  <c r="G48" i="22"/>
  <c r="A48" i="22"/>
  <c r="A51" i="22" s="1"/>
  <c r="A52" i="22" s="1"/>
  <c r="A53" i="22" s="1"/>
  <c r="A54" i="22" s="1"/>
  <c r="A55" i="22" s="1"/>
  <c r="A56" i="22" s="1"/>
  <c r="A57" i="22" s="1"/>
  <c r="A58" i="22" s="1"/>
  <c r="A59" i="22" s="1"/>
  <c r="A60" i="22" s="1"/>
  <c r="A61" i="22" s="1"/>
  <c r="A62" i="22" s="1"/>
  <c r="A63" i="22" s="1"/>
  <c r="A64" i="22" s="1"/>
  <c r="A65" i="22" s="1"/>
  <c r="A66" i="22" s="1"/>
  <c r="A67" i="22" s="1"/>
  <c r="A71" i="22" s="1"/>
  <c r="A72" i="22" s="1"/>
  <c r="A73" i="22" s="1"/>
  <c r="A74" i="22" s="1"/>
  <c r="A75" i="22" s="1"/>
  <c r="A76" i="22" s="1"/>
  <c r="A77" i="22" s="1"/>
  <c r="K43" i="22"/>
  <c r="G43" i="22"/>
  <c r="K42" i="22"/>
  <c r="G42" i="22"/>
  <c r="K41" i="22"/>
  <c r="G41" i="22"/>
  <c r="K40" i="22"/>
  <c r="G40" i="22"/>
  <c r="K36" i="22"/>
  <c r="G36" i="22"/>
  <c r="K35" i="22"/>
  <c r="G35" i="22"/>
  <c r="A35" i="22"/>
  <c r="A36" i="22" s="1"/>
  <c r="A40" i="22" s="1"/>
  <c r="A41" i="22" s="1"/>
  <c r="A42" i="22" s="1"/>
  <c r="A43" i="22" s="1"/>
  <c r="K31" i="22"/>
  <c r="G31" i="22"/>
  <c r="K27" i="22"/>
  <c r="G27" i="22"/>
  <c r="F28" i="22"/>
  <c r="K26" i="22"/>
  <c r="G26" i="22"/>
  <c r="A26" i="22"/>
  <c r="A27" i="22" s="1"/>
  <c r="A31" i="22" s="1"/>
  <c r="K22" i="22"/>
  <c r="G22" i="22"/>
  <c r="K21" i="22"/>
  <c r="F21" i="22"/>
  <c r="K20" i="22"/>
  <c r="G20" i="22"/>
  <c r="K19" i="22"/>
  <c r="G19" i="22"/>
  <c r="K18" i="22"/>
  <c r="G18" i="22"/>
  <c r="K12" i="22"/>
  <c r="G12" i="22"/>
  <c r="K11" i="22"/>
  <c r="G11" i="22"/>
  <c r="K10" i="22"/>
  <c r="G10" i="22"/>
  <c r="V219" i="22" l="1"/>
  <c r="P109" i="22"/>
  <c r="P105" i="22"/>
  <c r="P131" i="22" s="1"/>
  <c r="E105" i="22"/>
  <c r="E131" i="22" s="1"/>
  <c r="R37" i="22"/>
  <c r="Q68" i="22"/>
  <c r="U219" i="22"/>
  <c r="U221" i="22" s="1"/>
  <c r="Q104" i="22"/>
  <c r="T219" i="22"/>
  <c r="T221" i="22" s="1"/>
  <c r="R99" i="22"/>
  <c r="R104" i="22" s="1"/>
  <c r="T201" i="22"/>
  <c r="U202" i="22"/>
  <c r="T205" i="22"/>
  <c r="S142" i="22"/>
  <c r="S143" i="22" s="1"/>
  <c r="U201" i="22"/>
  <c r="T199" i="22"/>
  <c r="U200" i="22"/>
  <c r="T203" i="22"/>
  <c r="U204" i="22"/>
  <c r="S182" i="22"/>
  <c r="S206" i="22" s="1"/>
  <c r="T200" i="22"/>
  <c r="T204" i="22"/>
  <c r="U205" i="22"/>
  <c r="U199" i="22"/>
  <c r="T202" i="22"/>
  <c r="U203" i="22"/>
  <c r="S219" i="22"/>
  <c r="R88" i="22"/>
  <c r="R44" i="22"/>
  <c r="R28" i="22"/>
  <c r="R13" i="22"/>
  <c r="Q83" i="22"/>
  <c r="R97" i="22"/>
  <c r="V154" i="22"/>
  <c r="S187" i="22"/>
  <c r="V187" i="22" s="1"/>
  <c r="V158" i="22"/>
  <c r="S191" i="22"/>
  <c r="V191" i="22" s="1"/>
  <c r="V162" i="22"/>
  <c r="S195" i="22"/>
  <c r="V195" i="22" s="1"/>
  <c r="V166" i="22"/>
  <c r="S199" i="22"/>
  <c r="V199" i="22" s="1"/>
  <c r="V170" i="22"/>
  <c r="S203" i="22"/>
  <c r="V203" i="22" s="1"/>
  <c r="S183" i="22"/>
  <c r="V183" i="22" s="1"/>
  <c r="V167" i="22"/>
  <c r="S200" i="22"/>
  <c r="V200" i="22" s="1"/>
  <c r="V171" i="22"/>
  <c r="S204" i="22"/>
  <c r="V204" i="22" s="1"/>
  <c r="R83" i="22"/>
  <c r="Q97" i="22"/>
  <c r="Q129" i="22"/>
  <c r="V153" i="22"/>
  <c r="S186" i="22"/>
  <c r="V186" i="22" s="1"/>
  <c r="V157" i="22"/>
  <c r="S190" i="22"/>
  <c r="V190" i="22" s="1"/>
  <c r="V161" i="22"/>
  <c r="S194" i="22"/>
  <c r="V194" i="22" s="1"/>
  <c r="V165" i="22"/>
  <c r="S198" i="22"/>
  <c r="V198" i="22" s="1"/>
  <c r="V169" i="22"/>
  <c r="S202" i="22"/>
  <c r="V202" i="22" s="1"/>
  <c r="S173" i="22"/>
  <c r="S174" i="22" s="1"/>
  <c r="S184" i="22"/>
  <c r="V184" i="22" s="1"/>
  <c r="U208" i="22"/>
  <c r="S229" i="22" s="1"/>
  <c r="V155" i="22"/>
  <c r="S188" i="22"/>
  <c r="V188" i="22" s="1"/>
  <c r="V159" i="22"/>
  <c r="S192" i="22"/>
  <c r="V192" i="22" s="1"/>
  <c r="V163" i="22"/>
  <c r="S196" i="22"/>
  <c r="V196" i="22" s="1"/>
  <c r="Q88" i="22"/>
  <c r="V152" i="22"/>
  <c r="S185" i="22"/>
  <c r="V185" i="22" s="1"/>
  <c r="V156" i="22"/>
  <c r="S189" i="22"/>
  <c r="V189" i="22" s="1"/>
  <c r="V160" i="22"/>
  <c r="S193" i="22"/>
  <c r="V193" i="22" s="1"/>
  <c r="V164" i="22"/>
  <c r="S197" i="22"/>
  <c r="V197" i="22" s="1"/>
  <c r="V168" i="22"/>
  <c r="S201" i="22"/>
  <c r="V201" i="22" s="1"/>
  <c r="V172" i="22"/>
  <c r="S205" i="22"/>
  <c r="V205" i="22" s="1"/>
  <c r="T173" i="22"/>
  <c r="T174" i="22" s="1"/>
  <c r="R21" i="22"/>
  <c r="R23" i="22" s="1"/>
  <c r="R55" i="22"/>
  <c r="R68" i="22" s="1"/>
  <c r="R123" i="22"/>
  <c r="R129" i="22" s="1"/>
  <c r="U173" i="22"/>
  <c r="U174" i="22" s="1"/>
  <c r="T230" i="22"/>
  <c r="U230" i="22" s="1"/>
  <c r="G87" i="22"/>
  <c r="G88" i="22" s="1"/>
  <c r="G100" i="22"/>
  <c r="G28" i="22"/>
  <c r="G99" i="22"/>
  <c r="G125" i="22"/>
  <c r="G55" i="22"/>
  <c r="I137" i="22"/>
  <c r="F115" i="22"/>
  <c r="J140" i="22"/>
  <c r="J204" i="22" s="1"/>
  <c r="I192" i="22"/>
  <c r="K160" i="22"/>
  <c r="J154" i="22"/>
  <c r="J157" i="22"/>
  <c r="J190" i="22" s="1"/>
  <c r="G21" i="22"/>
  <c r="G23" i="22" s="1"/>
  <c r="J164" i="22"/>
  <c r="J197" i="22" s="1"/>
  <c r="J166" i="22"/>
  <c r="J199" i="22" s="1"/>
  <c r="H168" i="22"/>
  <c r="I168" i="22"/>
  <c r="G44" i="22"/>
  <c r="F44" i="22"/>
  <c r="I154" i="22"/>
  <c r="I157" i="22"/>
  <c r="I190" i="22" s="1"/>
  <c r="H163" i="22"/>
  <c r="I163" i="22"/>
  <c r="H155" i="22"/>
  <c r="I155" i="22"/>
  <c r="J156" i="22"/>
  <c r="I156" i="22"/>
  <c r="H161" i="22"/>
  <c r="J162" i="22"/>
  <c r="J195" i="22" s="1"/>
  <c r="I162" i="22"/>
  <c r="I195" i="22" s="1"/>
  <c r="I164" i="22"/>
  <c r="I197" i="22" s="1"/>
  <c r="I166" i="22"/>
  <c r="I199" i="22" s="1"/>
  <c r="J169" i="22"/>
  <c r="I169" i="22"/>
  <c r="F68" i="22"/>
  <c r="G54" i="22"/>
  <c r="G78" i="22"/>
  <c r="H137" i="22"/>
  <c r="J138" i="22"/>
  <c r="F97" i="22"/>
  <c r="G102" i="22"/>
  <c r="G81" i="22"/>
  <c r="J192" i="22"/>
  <c r="K171" i="22"/>
  <c r="K172" i="22"/>
  <c r="I198" i="22"/>
  <c r="H192" i="22"/>
  <c r="J152" i="22"/>
  <c r="G82" i="22"/>
  <c r="G13" i="22"/>
  <c r="F13" i="22"/>
  <c r="F23" i="22"/>
  <c r="F37" i="22"/>
  <c r="F32" i="22"/>
  <c r="H138" i="22"/>
  <c r="F83" i="22"/>
  <c r="I186" i="22"/>
  <c r="G32" i="22"/>
  <c r="G49" i="22"/>
  <c r="I138" i="22"/>
  <c r="G77" i="22"/>
  <c r="G80" i="22"/>
  <c r="J198" i="22"/>
  <c r="F104" i="22"/>
  <c r="G95" i="22"/>
  <c r="G96" i="22"/>
  <c r="G108" i="22"/>
  <c r="F108" i="22"/>
  <c r="G123" i="22"/>
  <c r="F129" i="22"/>
  <c r="G124" i="22"/>
  <c r="G126" i="22"/>
  <c r="K151" i="22"/>
  <c r="K159" i="22"/>
  <c r="I204" i="22"/>
  <c r="G128" i="22"/>
  <c r="K150" i="22"/>
  <c r="B14" i="21"/>
  <c r="B6" i="21"/>
  <c r="I33" i="21"/>
  <c r="H33" i="21"/>
  <c r="J33" i="21" l="1"/>
  <c r="B29" i="21" s="1"/>
  <c r="R109" i="22"/>
  <c r="Q109" i="22"/>
  <c r="I237" i="22"/>
  <c r="P237" i="22"/>
  <c r="I236" i="22"/>
  <c r="P236" i="22"/>
  <c r="V182" i="22"/>
  <c r="V206" i="22" s="1"/>
  <c r="V221" i="22" s="1"/>
  <c r="Q105" i="22"/>
  <c r="Q131" i="22" s="1"/>
  <c r="R105" i="22"/>
  <c r="R131" i="22" s="1"/>
  <c r="S221" i="22"/>
  <c r="S208" i="22"/>
  <c r="T229" i="22"/>
  <c r="U229" i="22" s="1"/>
  <c r="K192" i="22"/>
  <c r="G104" i="22"/>
  <c r="J202" i="22"/>
  <c r="G68" i="22"/>
  <c r="I202" i="22"/>
  <c r="I201" i="22"/>
  <c r="H201" i="22"/>
  <c r="F105" i="22"/>
  <c r="F131" i="22" s="1"/>
  <c r="G115" i="22"/>
  <c r="H157" i="22"/>
  <c r="G97" i="22"/>
  <c r="G129" i="22"/>
  <c r="G83" i="22"/>
  <c r="H164" i="22"/>
  <c r="H197" i="22" s="1"/>
  <c r="K197" i="22" s="1"/>
  <c r="K138" i="22"/>
  <c r="J141" i="22"/>
  <c r="J205" i="22" s="1"/>
  <c r="J139" i="22"/>
  <c r="H140" i="22"/>
  <c r="J136" i="22"/>
  <c r="J200" i="22" s="1"/>
  <c r="G37" i="22"/>
  <c r="I141" i="22"/>
  <c r="I205" i="22" s="1"/>
  <c r="I139" i="22"/>
  <c r="J137" i="22"/>
  <c r="K137" i="22" s="1"/>
  <c r="J163" i="22"/>
  <c r="H194" i="22"/>
  <c r="K194" i="22" s="1"/>
  <c r="H169" i="22"/>
  <c r="I149" i="22"/>
  <c r="H141" i="22"/>
  <c r="H139" i="22"/>
  <c r="I161" i="22"/>
  <c r="I194" i="22" s="1"/>
  <c r="I152" i="22"/>
  <c r="B26" i="21"/>
  <c r="B34" i="21" s="1"/>
  <c r="C37" i="21" s="1"/>
  <c r="I238" i="22" l="1"/>
  <c r="K237" i="22"/>
  <c r="R237" i="22"/>
  <c r="P238" i="22"/>
  <c r="J236" i="22"/>
  <c r="J238" i="22" s="1"/>
  <c r="Q236" i="22"/>
  <c r="Q238" i="22" s="1"/>
  <c r="G105" i="22"/>
  <c r="G131" i="22" s="1"/>
  <c r="H218" i="22"/>
  <c r="I189" i="22"/>
  <c r="J155" i="22"/>
  <c r="K155" i="22" s="1"/>
  <c r="I188" i="22"/>
  <c r="J189" i="22"/>
  <c r="K164" i="22"/>
  <c r="J168" i="22"/>
  <c r="J201" i="22" s="1"/>
  <c r="K201" i="22" s="1"/>
  <c r="I218" i="22"/>
  <c r="H166" i="22"/>
  <c r="K166" i="22" s="1"/>
  <c r="I136" i="22"/>
  <c r="I200" i="22" s="1"/>
  <c r="K163" i="22"/>
  <c r="I183" i="22"/>
  <c r="I182" i="22"/>
  <c r="J184" i="22"/>
  <c r="H202" i="22"/>
  <c r="K202" i="22" s="1"/>
  <c r="K169" i="22"/>
  <c r="I158" i="22"/>
  <c r="I191" i="22" s="1"/>
  <c r="H154" i="22"/>
  <c r="K140" i="22"/>
  <c r="H204" i="22"/>
  <c r="K204" i="22" s="1"/>
  <c r="H156" i="22"/>
  <c r="I170" i="22"/>
  <c r="I203" i="22" s="1"/>
  <c r="H136" i="22"/>
  <c r="I185" i="22"/>
  <c r="K139" i="22"/>
  <c r="I173" i="22"/>
  <c r="I184" i="22"/>
  <c r="K141" i="22"/>
  <c r="H205" i="22"/>
  <c r="K205" i="22" s="1"/>
  <c r="H190" i="22"/>
  <c r="K190" i="22" s="1"/>
  <c r="K157" i="22"/>
  <c r="H198" i="22"/>
  <c r="K198" i="22" s="1"/>
  <c r="K236" i="22" l="1"/>
  <c r="K238" i="22" s="1"/>
  <c r="R236" i="22"/>
  <c r="R238" i="22"/>
  <c r="K168" i="22"/>
  <c r="I174" i="22"/>
  <c r="H199" i="22"/>
  <c r="K199" i="22" s="1"/>
  <c r="H162" i="22"/>
  <c r="J193" i="22"/>
  <c r="J149" i="22"/>
  <c r="I187" i="22"/>
  <c r="J188" i="22"/>
  <c r="J218" i="22"/>
  <c r="J187" i="22"/>
  <c r="H187" i="22"/>
  <c r="K154" i="22"/>
  <c r="H152" i="22"/>
  <c r="J161" i="22"/>
  <c r="I206" i="22"/>
  <c r="J185" i="22"/>
  <c r="H200" i="22"/>
  <c r="K200" i="22" s="1"/>
  <c r="H183" i="22"/>
  <c r="K156" i="22"/>
  <c r="H189" i="22"/>
  <c r="H188" i="22"/>
  <c r="H184" i="22"/>
  <c r="J183" i="22"/>
  <c r="J158" i="22" l="1"/>
  <c r="J191" i="22" s="1"/>
  <c r="K188" i="22"/>
  <c r="I193" i="22"/>
  <c r="K184" i="22"/>
  <c r="H230" i="22"/>
  <c r="J196" i="22"/>
  <c r="J186" i="22"/>
  <c r="K189" i="22"/>
  <c r="K136" i="22"/>
  <c r="I196" i="22"/>
  <c r="H149" i="22"/>
  <c r="I217" i="22"/>
  <c r="I219" i="22" s="1"/>
  <c r="I221" i="22" s="1"/>
  <c r="H217" i="22"/>
  <c r="J217" i="22"/>
  <c r="J219" i="22" s="1"/>
  <c r="K183" i="22"/>
  <c r="K162" i="22"/>
  <c r="H195" i="22"/>
  <c r="K195" i="22" s="1"/>
  <c r="J170" i="22"/>
  <c r="J203" i="22" s="1"/>
  <c r="K187" i="22"/>
  <c r="I142" i="22"/>
  <c r="I143" i="22" s="1"/>
  <c r="J194" i="22"/>
  <c r="K161" i="22"/>
  <c r="H158" i="22"/>
  <c r="J182" i="22"/>
  <c r="J206" i="22" s="1"/>
  <c r="J173" i="22"/>
  <c r="J174" i="22" s="1"/>
  <c r="K152" i="22"/>
  <c r="H185" i="22"/>
  <c r="K185" i="22" s="1"/>
  <c r="K218" i="22" l="1"/>
  <c r="J142" i="22"/>
  <c r="J143" i="22" s="1"/>
  <c r="H170" i="22"/>
  <c r="H203" i="22" s="1"/>
  <c r="K203" i="22" s="1"/>
  <c r="H142" i="22"/>
  <c r="H143" i="22" s="1"/>
  <c r="I230" i="22"/>
  <c r="J230" i="22" s="1"/>
  <c r="J221" i="22"/>
  <c r="K158" i="22"/>
  <c r="H191" i="22"/>
  <c r="K191" i="22" s="1"/>
  <c r="H193" i="22"/>
  <c r="K193" i="22" s="1"/>
  <c r="K217" i="22"/>
  <c r="H219" i="22"/>
  <c r="H182" i="22"/>
  <c r="H173" i="22"/>
  <c r="H174" i="22" s="1"/>
  <c r="K149" i="22"/>
  <c r="K173" i="22" s="1"/>
  <c r="K174" i="22" s="1"/>
  <c r="H186" i="22"/>
  <c r="K186" i="22" s="1"/>
  <c r="K170" i="22" l="1"/>
  <c r="K142" i="22"/>
  <c r="K143" i="22" s="1"/>
  <c r="H196" i="22"/>
  <c r="K196" i="22" s="1"/>
  <c r="K219" i="22"/>
  <c r="J208" i="22"/>
  <c r="H229" i="22" s="1"/>
  <c r="H206" i="22"/>
  <c r="K182" i="22"/>
  <c r="K206" i="22" s="1"/>
  <c r="K221" i="22" l="1"/>
  <c r="H221" i="22"/>
  <c r="H208" i="22"/>
  <c r="I229" i="22"/>
  <c r="J229" i="22" s="1"/>
  <c r="FA43" i="2" l="1"/>
  <c r="FA48" i="2" l="1"/>
  <c r="FA58" i="2" s="1"/>
  <c r="FA149" i="2" s="1"/>
  <c r="S50" i="31"/>
  <c r="FA151" i="2" l="1"/>
  <c r="FA152" i="2" s="1"/>
  <c r="S60" i="31"/>
  <c r="S166" i="31" s="1"/>
  <c r="P16" i="7"/>
  <c r="S168" i="31" l="1"/>
  <c r="S170" i="31" s="1"/>
  <c r="FA154" i="2"/>
  <c r="L126" i="2"/>
  <c r="L43" i="2"/>
  <c r="J149" i="2" l="1"/>
  <c r="BS166" i="2" l="1"/>
  <c r="BA166" i="2"/>
  <c r="J151" i="2"/>
  <c r="J152" i="2" s="1"/>
  <c r="BJ166" i="2"/>
  <c r="BE160" i="2" l="1"/>
  <c r="BU198" i="2" l="1"/>
  <c r="BV198" i="2"/>
  <c r="BX198" i="2"/>
  <c r="BS198" i="2"/>
  <c r="BW198" i="2"/>
  <c r="BZ198" i="2"/>
  <c r="BT198" i="2"/>
  <c r="BY198" i="2"/>
  <c r="BG160" i="2"/>
  <c r="BF160" i="2"/>
  <c r="BD160" i="2"/>
  <c r="BC160" i="2"/>
  <c r="BN198" i="2" l="1"/>
  <c r="BL198" i="2"/>
  <c r="BO198" i="2"/>
  <c r="BM198" i="2"/>
  <c r="CA198" i="2"/>
  <c r="BP198" i="2"/>
  <c r="BH160" i="2"/>
  <c r="BI160" i="2" l="1"/>
  <c r="BQ198" i="2"/>
  <c r="BR198" i="2"/>
  <c r="E18" i="7" l="1"/>
  <c r="BB187" i="2" l="1"/>
  <c r="BB188" i="2" s="1"/>
  <c r="AB11" i="7"/>
  <c r="AB10" i="7"/>
  <c r="BW166" i="2" l="1"/>
  <c r="BY166" i="2"/>
  <c r="BU166" i="2"/>
  <c r="BP166" i="2"/>
  <c r="BN166" i="2"/>
  <c r="BL166" i="2"/>
  <c r="BG166" i="2"/>
  <c r="BE166" i="2"/>
  <c r="BC166" i="2"/>
  <c r="BD166" i="2" l="1"/>
  <c r="BM166" i="2"/>
  <c r="BF166" i="2"/>
  <c r="BH166" i="2" l="1"/>
  <c r="BQ166" i="2"/>
  <c r="FC43" i="2" l="1"/>
  <c r="FC48" i="2" s="1"/>
  <c r="FC58" i="2" l="1"/>
  <c r="FC149" i="2" s="1"/>
  <c r="BI166" i="2"/>
  <c r="BR166" i="2"/>
  <c r="U50" i="31"/>
  <c r="BR249" i="2"/>
  <c r="BR251" i="2"/>
  <c r="BR258" i="2"/>
  <c r="BR262" i="2"/>
  <c r="BR263" i="2"/>
  <c r="BR266" i="2"/>
  <c r="BR267" i="2"/>
  <c r="BK249" i="2"/>
  <c r="BK251" i="2"/>
  <c r="BK258" i="2"/>
  <c r="BK262" i="2"/>
  <c r="BK263" i="2"/>
  <c r="BK266" i="2"/>
  <c r="BK267" i="2"/>
  <c r="BI249" i="2"/>
  <c r="BI251" i="2"/>
  <c r="BI258" i="2"/>
  <c r="BI262" i="2"/>
  <c r="BI263" i="2"/>
  <c r="BI266" i="2"/>
  <c r="BI267" i="2"/>
  <c r="BB249" i="2"/>
  <c r="BB251" i="2"/>
  <c r="BB258" i="2"/>
  <c r="BB263" i="2"/>
  <c r="BB266" i="2"/>
  <c r="BB267" i="2"/>
  <c r="FC151" i="2" l="1"/>
  <c r="FC152" i="2" s="1"/>
  <c r="U60" i="31"/>
  <c r="U166" i="31" s="1"/>
  <c r="R16" i="7"/>
  <c r="FI43" i="2"/>
  <c r="FI48" i="2" s="1"/>
  <c r="FI58" i="2" s="1"/>
  <c r="FI149" i="2" s="1"/>
  <c r="FI151" i="2" s="1"/>
  <c r="FI152" i="2" s="1"/>
  <c r="FH43" i="2"/>
  <c r="FH48" i="2" s="1"/>
  <c r="FH58" i="2" s="1"/>
  <c r="FH149" i="2" s="1"/>
  <c r="FH151" i="2" s="1"/>
  <c r="FH152" i="2" s="1"/>
  <c r="FG43" i="2"/>
  <c r="FG48" i="2" s="1"/>
  <c r="FG58" i="2" s="1"/>
  <c r="FG149" i="2" s="1"/>
  <c r="FG151" i="2" s="1"/>
  <c r="FG152" i="2" s="1"/>
  <c r="FF43" i="2"/>
  <c r="FF48" i="2" s="1"/>
  <c r="FF58" i="2" s="1"/>
  <c r="FF149" i="2" s="1"/>
  <c r="FF151" i="2" s="1"/>
  <c r="FF152" i="2" s="1"/>
  <c r="FE43" i="2"/>
  <c r="FE48" i="2" s="1"/>
  <c r="FE58" i="2" s="1"/>
  <c r="FE149" i="2" s="1"/>
  <c r="FE151" i="2" s="1"/>
  <c r="FE152" i="2" s="1"/>
  <c r="FD43" i="2"/>
  <c r="FD48" i="2" s="1"/>
  <c r="FD58" i="2" s="1"/>
  <c r="FD149" i="2" s="1"/>
  <c r="FD151" i="2" s="1"/>
  <c r="FD152" i="2" s="1"/>
  <c r="U168" i="31" l="1"/>
  <c r="U170" i="31" s="1"/>
  <c r="FC154" i="2"/>
  <c r="V50" i="31"/>
  <c r="W50" i="31"/>
  <c r="X50" i="31"/>
  <c r="W60" i="31" l="1"/>
  <c r="W166" i="31" s="1"/>
  <c r="FH154" i="2" s="1"/>
  <c r="T16" i="7"/>
  <c r="X60" i="31"/>
  <c r="X166" i="31" s="1"/>
  <c r="FD154" i="2" s="1"/>
  <c r="U16" i="7"/>
  <c r="V60" i="31"/>
  <c r="V166" i="31" s="1"/>
  <c r="FI154" i="2" s="1"/>
  <c r="S16" i="7"/>
  <c r="CO204" i="2"/>
  <c r="CB149" i="2"/>
  <c r="BT43" i="2"/>
  <c r="FB43" i="2"/>
  <c r="A3" i="9"/>
  <c r="AB37" i="9"/>
  <c r="AC37" i="9" s="1"/>
  <c r="AB31" i="9"/>
  <c r="AC31" i="9" s="1"/>
  <c r="AB32" i="9"/>
  <c r="AC32" i="9" s="1"/>
  <c r="AB35" i="9"/>
  <c r="AC35" i="9" s="1"/>
  <c r="B13" i="10"/>
  <c r="R13" i="10" s="1"/>
  <c r="Q23" i="9"/>
  <c r="F23" i="9"/>
  <c r="M23" i="9"/>
  <c r="T23" i="9"/>
  <c r="L23" i="9"/>
  <c r="N23" i="9"/>
  <c r="K23" i="9"/>
  <c r="V23" i="9"/>
  <c r="C23" i="9"/>
  <c r="W23" i="9"/>
  <c r="E23" i="9"/>
  <c r="U23" i="9"/>
  <c r="R23" i="9"/>
  <c r="J23" i="9"/>
  <c r="G23" i="9"/>
  <c r="H23" i="9"/>
  <c r="F24" i="9"/>
  <c r="V22" i="9"/>
  <c r="M24" i="9"/>
  <c r="W24" i="9"/>
  <c r="C24" i="9"/>
  <c r="K22" i="9"/>
  <c r="L22" i="9"/>
  <c r="N22" i="9"/>
  <c r="N24" i="9"/>
  <c r="V24" i="9"/>
  <c r="T24" i="9"/>
  <c r="L24" i="9"/>
  <c r="U24" i="9"/>
  <c r="E24" i="9"/>
  <c r="R24" i="9"/>
  <c r="B12" i="10"/>
  <c r="O12" i="10" s="1"/>
  <c r="Q24" i="9"/>
  <c r="K24" i="9"/>
  <c r="J24" i="9"/>
  <c r="R22" i="9"/>
  <c r="W22" i="9"/>
  <c r="C22" i="9"/>
  <c r="T22" i="9"/>
  <c r="B11" i="10"/>
  <c r="R11" i="10" s="1"/>
  <c r="E22" i="9"/>
  <c r="U22" i="9"/>
  <c r="F22" i="9"/>
  <c r="Q22" i="9"/>
  <c r="M22" i="9"/>
  <c r="J22" i="9"/>
  <c r="G24" i="9"/>
  <c r="H24" i="9"/>
  <c r="H22" i="9"/>
  <c r="G22" i="9"/>
  <c r="S19" i="9"/>
  <c r="N18" i="9"/>
  <c r="N19" i="9" s="1"/>
  <c r="L18" i="9"/>
  <c r="J18" i="9"/>
  <c r="J19" i="9" s="1"/>
  <c r="M18" i="9"/>
  <c r="M19" i="9" s="1"/>
  <c r="K18" i="9"/>
  <c r="T18" i="9"/>
  <c r="T19" i="9" s="1"/>
  <c r="E18" i="9"/>
  <c r="U18" i="9"/>
  <c r="U19" i="9" s="1"/>
  <c r="B10" i="10"/>
  <c r="R10" i="10" s="1"/>
  <c r="F18" i="9"/>
  <c r="Q18" i="9"/>
  <c r="Q19" i="9" s="1"/>
  <c r="V18" i="9"/>
  <c r="V19" i="9" s="1"/>
  <c r="R18" i="9"/>
  <c r="R19" i="9" s="1"/>
  <c r="W18" i="9"/>
  <c r="W19" i="9" s="1"/>
  <c r="C18" i="9"/>
  <c r="G18" i="9"/>
  <c r="G19" i="9" s="1"/>
  <c r="H18" i="9"/>
  <c r="S34" i="9"/>
  <c r="B8" i="10"/>
  <c r="O8" i="10" s="1"/>
  <c r="C26" i="9"/>
  <c r="CI267" i="2"/>
  <c r="CH267" i="2"/>
  <c r="CG267" i="2"/>
  <c r="CF267" i="2"/>
  <c r="CE267" i="2"/>
  <c r="CD267" i="2"/>
  <c r="CC267" i="2"/>
  <c r="CB267" i="2"/>
  <c r="CA267" i="2"/>
  <c r="BZ267" i="2"/>
  <c r="BY267" i="2"/>
  <c r="BX267" i="2"/>
  <c r="BW267" i="2"/>
  <c r="BV267" i="2"/>
  <c r="BU267" i="2"/>
  <c r="BT267" i="2"/>
  <c r="BS267" i="2"/>
  <c r="BQ267" i="2"/>
  <c r="BP267" i="2"/>
  <c r="BO267" i="2"/>
  <c r="BN267" i="2"/>
  <c r="BM267" i="2"/>
  <c r="BL267" i="2"/>
  <c r="BJ267" i="2"/>
  <c r="BH267" i="2"/>
  <c r="BG267" i="2"/>
  <c r="BF267" i="2"/>
  <c r="BE267" i="2"/>
  <c r="BD267" i="2"/>
  <c r="BC267" i="2"/>
  <c r="CI266" i="2"/>
  <c r="CH266" i="2"/>
  <c r="CG266" i="2"/>
  <c r="CF266" i="2"/>
  <c r="CE266" i="2"/>
  <c r="CD266" i="2"/>
  <c r="CC266" i="2"/>
  <c r="CB266" i="2"/>
  <c r="CA266" i="2"/>
  <c r="BZ266" i="2"/>
  <c r="BY266" i="2"/>
  <c r="BX266" i="2"/>
  <c r="BW266" i="2"/>
  <c r="BV266" i="2"/>
  <c r="BU266" i="2"/>
  <c r="BT266" i="2"/>
  <c r="BS266" i="2"/>
  <c r="BQ266" i="2"/>
  <c r="BP266" i="2"/>
  <c r="BO266" i="2"/>
  <c r="BN266" i="2"/>
  <c r="BM266" i="2"/>
  <c r="BL266" i="2"/>
  <c r="BJ266" i="2"/>
  <c r="BH266" i="2"/>
  <c r="BG266" i="2"/>
  <c r="BF266" i="2"/>
  <c r="BE266" i="2"/>
  <c r="BD266" i="2"/>
  <c r="BC266" i="2"/>
  <c r="CI263" i="2"/>
  <c r="CH263" i="2"/>
  <c r="CG263" i="2"/>
  <c r="CF263" i="2"/>
  <c r="CE263" i="2"/>
  <c r="CD263" i="2"/>
  <c r="CC263" i="2"/>
  <c r="CB263" i="2"/>
  <c r="CA263" i="2"/>
  <c r="BZ263" i="2"/>
  <c r="BY263" i="2"/>
  <c r="BX263" i="2"/>
  <c r="BW263" i="2"/>
  <c r="BV263" i="2"/>
  <c r="BU263" i="2"/>
  <c r="BT263" i="2"/>
  <c r="BS263" i="2"/>
  <c r="BQ263" i="2"/>
  <c r="BP263" i="2"/>
  <c r="BO263" i="2"/>
  <c r="BN263" i="2"/>
  <c r="BM263" i="2"/>
  <c r="BL263" i="2"/>
  <c r="BJ263" i="2"/>
  <c r="BH263" i="2"/>
  <c r="BG263" i="2"/>
  <c r="BF263" i="2"/>
  <c r="BE263" i="2"/>
  <c r="BD263" i="2"/>
  <c r="BC263" i="2"/>
  <c r="BT262" i="2"/>
  <c r="BQ262" i="2"/>
  <c r="BP262" i="2"/>
  <c r="BO262" i="2"/>
  <c r="BN262" i="2"/>
  <c r="BM262" i="2"/>
  <c r="BL262" i="2"/>
  <c r="BJ262" i="2"/>
  <c r="BH262" i="2"/>
  <c r="BG262" i="2"/>
  <c r="BF262" i="2"/>
  <c r="BE262" i="2"/>
  <c r="BD262" i="2"/>
  <c r="BC262" i="2"/>
  <c r="CI258" i="2"/>
  <c r="CH258" i="2"/>
  <c r="CG258" i="2"/>
  <c r="CF258" i="2"/>
  <c r="CE258" i="2"/>
  <c r="CD258" i="2"/>
  <c r="CC258" i="2"/>
  <c r="CB258" i="2"/>
  <c r="CA258" i="2"/>
  <c r="BZ258" i="2"/>
  <c r="BY258" i="2"/>
  <c r="BX258" i="2"/>
  <c r="BW258" i="2"/>
  <c r="BV258" i="2"/>
  <c r="BU258" i="2"/>
  <c r="BT258" i="2"/>
  <c r="BS258" i="2"/>
  <c r="BQ258" i="2"/>
  <c r="BP258" i="2"/>
  <c r="BO258" i="2"/>
  <c r="BN258" i="2"/>
  <c r="BM258" i="2"/>
  <c r="BL258" i="2"/>
  <c r="BJ258" i="2"/>
  <c r="BH258" i="2"/>
  <c r="BG258" i="2"/>
  <c r="BF258" i="2"/>
  <c r="BE258" i="2"/>
  <c r="BD258" i="2"/>
  <c r="BC258" i="2"/>
  <c r="CI251" i="2"/>
  <c r="CH251" i="2"/>
  <c r="CG251" i="2"/>
  <c r="CF251" i="2"/>
  <c r="CE251" i="2"/>
  <c r="CD251" i="2"/>
  <c r="CC251" i="2"/>
  <c r="CB251" i="2"/>
  <c r="CA251" i="2"/>
  <c r="BZ251" i="2"/>
  <c r="BY251" i="2"/>
  <c r="BX251" i="2"/>
  <c r="BW251" i="2"/>
  <c r="BV251" i="2"/>
  <c r="BU251" i="2"/>
  <c r="BT251" i="2"/>
  <c r="BS251" i="2"/>
  <c r="BQ251" i="2"/>
  <c r="BP251" i="2"/>
  <c r="BO251" i="2"/>
  <c r="BN251" i="2"/>
  <c r="BM251" i="2"/>
  <c r="BL251" i="2"/>
  <c r="BJ251" i="2"/>
  <c r="BH251" i="2"/>
  <c r="BG251" i="2"/>
  <c r="BF251" i="2"/>
  <c r="BE251" i="2"/>
  <c r="BD251" i="2"/>
  <c r="BC251" i="2"/>
  <c r="CI249" i="2"/>
  <c r="CH249" i="2"/>
  <c r="CG249" i="2"/>
  <c r="CF249" i="2"/>
  <c r="CE249" i="2"/>
  <c r="CD249" i="2"/>
  <c r="CC249" i="2"/>
  <c r="CB249" i="2"/>
  <c r="CA249" i="2"/>
  <c r="BZ249" i="2"/>
  <c r="BY249" i="2"/>
  <c r="BX249" i="2"/>
  <c r="BW249" i="2"/>
  <c r="BV249" i="2"/>
  <c r="BU249" i="2"/>
  <c r="BT249" i="2"/>
  <c r="BS249" i="2"/>
  <c r="BQ249" i="2"/>
  <c r="BP249" i="2"/>
  <c r="BO249" i="2"/>
  <c r="BN249" i="2"/>
  <c r="BM249" i="2"/>
  <c r="BL249" i="2"/>
  <c r="BJ249" i="2"/>
  <c r="BH249" i="2"/>
  <c r="BG249" i="2"/>
  <c r="BF249" i="2"/>
  <c r="BE249" i="2"/>
  <c r="BD249" i="2"/>
  <c r="BC249" i="2"/>
  <c r="BA267" i="2"/>
  <c r="BA266" i="2"/>
  <c r="BA263" i="2"/>
  <c r="BA262" i="2"/>
  <c r="BA258" i="2"/>
  <c r="BA251" i="2"/>
  <c r="BA249" i="2"/>
  <c r="DN43" i="2"/>
  <c r="AC11" i="9"/>
  <c r="AC12" i="9"/>
  <c r="AC13" i="9"/>
  <c r="AC14" i="9"/>
  <c r="AC15" i="9"/>
  <c r="AC16" i="9"/>
  <c r="AC17" i="9"/>
  <c r="AC20" i="9"/>
  <c r="C21" i="9"/>
  <c r="AC8" i="9"/>
  <c r="S43" i="2"/>
  <c r="V43" i="2"/>
  <c r="X43" i="2"/>
  <c r="Z43" i="2"/>
  <c r="AB43" i="2"/>
  <c r="AD43" i="2"/>
  <c r="AF43" i="2"/>
  <c r="AH43" i="2"/>
  <c r="AJ43" i="2"/>
  <c r="AL43" i="2"/>
  <c r="AN43" i="2"/>
  <c r="BA43" i="2"/>
  <c r="BC43" i="2"/>
  <c r="BE43" i="2"/>
  <c r="BG43" i="2"/>
  <c r="BJ43" i="2"/>
  <c r="BL43" i="2"/>
  <c r="BN43" i="2"/>
  <c r="BS43" i="2"/>
  <c r="BU43" i="2"/>
  <c r="BW43" i="2"/>
  <c r="BY43" i="2"/>
  <c r="CK43" i="2"/>
  <c r="CM43" i="2"/>
  <c r="CO43" i="2"/>
  <c r="CQ43" i="2"/>
  <c r="DO43" i="2"/>
  <c r="DP43" i="2"/>
  <c r="DQ43" i="2"/>
  <c r="DR43" i="2"/>
  <c r="DS43" i="2"/>
  <c r="DT43" i="2"/>
  <c r="DU43" i="2"/>
  <c r="BP48" i="2"/>
  <c r="BP58" i="2" s="1"/>
  <c r="BP149" i="2" s="1"/>
  <c r="BP151" i="2" s="1"/>
  <c r="CD48" i="2"/>
  <c r="CD58" i="2" s="1"/>
  <c r="CF48" i="2"/>
  <c r="CF58" i="2" s="1"/>
  <c r="CH48" i="2"/>
  <c r="CH58" i="2" s="1"/>
  <c r="DK48" i="2"/>
  <c r="DK58" i="2" s="1"/>
  <c r="DK149" i="2" s="1"/>
  <c r="DK151" i="2" s="1"/>
  <c r="DK152" i="2" s="1"/>
  <c r="P10" i="9"/>
  <c r="S10" i="9"/>
  <c r="E21" i="9"/>
  <c r="F21" i="9"/>
  <c r="C29" i="9"/>
  <c r="E29" i="9"/>
  <c r="F29" i="9"/>
  <c r="S30" i="9"/>
  <c r="D3" i="10"/>
  <c r="CL43" i="2"/>
  <c r="CV43" i="2"/>
  <c r="CZ43" i="2"/>
  <c r="CX43" i="2"/>
  <c r="DB43" i="2"/>
  <c r="CY43" i="2"/>
  <c r="DA43" i="2"/>
  <c r="CW43" i="2"/>
  <c r="DC43" i="2"/>
  <c r="T29" i="9"/>
  <c r="S3" i="10"/>
  <c r="V21" i="9"/>
  <c r="U29" i="9"/>
  <c r="T3" i="10"/>
  <c r="W21" i="9"/>
  <c r="Q21" i="9"/>
  <c r="P4" i="10"/>
  <c r="V29" i="9"/>
  <c r="U3" i="10"/>
  <c r="T21" i="9"/>
  <c r="S4" i="10"/>
  <c r="R21" i="9"/>
  <c r="Q29" i="9"/>
  <c r="R29" i="9"/>
  <c r="U21" i="9"/>
  <c r="T4" i="10"/>
  <c r="F9" i="9"/>
  <c r="N29" i="9"/>
  <c r="M3" i="10"/>
  <c r="F27" i="9"/>
  <c r="T27" i="9"/>
  <c r="N28" i="9"/>
  <c r="J28" i="9"/>
  <c r="J26" i="9"/>
  <c r="R4" i="10"/>
  <c r="C33" i="9"/>
  <c r="E26" i="9"/>
  <c r="C9" i="9"/>
  <c r="U33" i="9"/>
  <c r="U34" i="9" s="1"/>
  <c r="L9" i="9"/>
  <c r="J29" i="9"/>
  <c r="I3" i="10"/>
  <c r="F28" i="9"/>
  <c r="C28" i="9"/>
  <c r="L25" i="9"/>
  <c r="N33" i="9"/>
  <c r="N34" i="9" s="1"/>
  <c r="F33" i="9"/>
  <c r="E33" i="9"/>
  <c r="L29" i="9"/>
  <c r="K3" i="10"/>
  <c r="V28" i="9"/>
  <c r="K26" i="9"/>
  <c r="R26" i="9"/>
  <c r="T26" i="9"/>
  <c r="E9" i="9"/>
  <c r="T25" i="9"/>
  <c r="B5" i="10"/>
  <c r="O5" i="10" s="1"/>
  <c r="E28" i="9"/>
  <c r="Q33" i="9"/>
  <c r="Q34" i="9" s="1"/>
  <c r="T33" i="9"/>
  <c r="T34" i="9" s="1"/>
  <c r="Q28" i="9"/>
  <c r="U28" i="9"/>
  <c r="R33" i="9"/>
  <c r="R34" i="9" s="1"/>
  <c r="W33" i="9"/>
  <c r="W34" i="9" s="1"/>
  <c r="T9" i="9"/>
  <c r="M25" i="9"/>
  <c r="U25" i="9"/>
  <c r="K27" i="9"/>
  <c r="J27" i="9"/>
  <c r="V25" i="9"/>
  <c r="B9" i="10"/>
  <c r="R9" i="10" s="1"/>
  <c r="C27" i="9"/>
  <c r="V27" i="9"/>
  <c r="W27" i="9"/>
  <c r="E27" i="9"/>
  <c r="B6" i="10"/>
  <c r="Z6" i="10" s="1"/>
  <c r="F26" i="9"/>
  <c r="R27" i="9"/>
  <c r="B2" i="10"/>
  <c r="Y2" i="10" s="1"/>
  <c r="F4" i="10"/>
  <c r="F25" i="9"/>
  <c r="L26" i="9"/>
  <c r="J25" i="9"/>
  <c r="Q25" i="9"/>
  <c r="V26" i="9"/>
  <c r="E25" i="9"/>
  <c r="V9" i="9"/>
  <c r="V10" i="9" s="1"/>
  <c r="U27" i="9"/>
  <c r="C25" i="9"/>
  <c r="B7" i="10"/>
  <c r="R7" i="10" s="1"/>
  <c r="W25" i="9"/>
  <c r="Q4" i="10"/>
  <c r="R3" i="10"/>
  <c r="Q27" i="9"/>
  <c r="Q3" i="10"/>
  <c r="U9" i="9"/>
  <c r="U10" i="9" s="1"/>
  <c r="E4" i="10"/>
  <c r="U26" i="9"/>
  <c r="F3" i="10"/>
  <c r="V4" i="10"/>
  <c r="W9" i="9"/>
  <c r="R9" i="9"/>
  <c r="Q26" i="9"/>
  <c r="E3" i="10"/>
  <c r="W28" i="9"/>
  <c r="W26" i="9"/>
  <c r="V33" i="9"/>
  <c r="V34" i="9" s="1"/>
  <c r="K28" i="9"/>
  <c r="L33" i="9"/>
  <c r="L34" i="9" s="1"/>
  <c r="R25" i="9"/>
  <c r="R28" i="9"/>
  <c r="M27" i="9"/>
  <c r="T28" i="9"/>
  <c r="K29" i="9"/>
  <c r="J3" i="10"/>
  <c r="W29" i="9"/>
  <c r="V3" i="10"/>
  <c r="L27" i="9"/>
  <c r="N25" i="9"/>
  <c r="L28" i="9"/>
  <c r="Q9" i="9"/>
  <c r="M28" i="9"/>
  <c r="N27" i="9"/>
  <c r="U4" i="10"/>
  <c r="P3" i="10"/>
  <c r="J33" i="9"/>
  <c r="J34" i="9" s="1"/>
  <c r="M26" i="9"/>
  <c r="H26" i="9"/>
  <c r="N26" i="9"/>
  <c r="L21" i="9"/>
  <c r="K4" i="10"/>
  <c r="J21" i="9"/>
  <c r="I4" i="10"/>
  <c r="G27" i="9"/>
  <c r="H27" i="9"/>
  <c r="G29" i="9"/>
  <c r="G3" i="10"/>
  <c r="G26" i="9"/>
  <c r="H25" i="9"/>
  <c r="G25" i="9"/>
  <c r="G21" i="9"/>
  <c r="G4" i="10"/>
  <c r="N9" i="9"/>
  <c r="M9" i="9"/>
  <c r="J9" i="9"/>
  <c r="K25" i="9"/>
  <c r="G9" i="9"/>
  <c r="N21" i="9"/>
  <c r="M4" i="10"/>
  <c r="G33" i="9"/>
  <c r="G34" i="9" s="1"/>
  <c r="M29" i="9"/>
  <c r="H9" i="9"/>
  <c r="G28" i="9"/>
  <c r="K9" i="9"/>
  <c r="K21" i="9"/>
  <c r="J4" i="10"/>
  <c r="M21" i="9"/>
  <c r="L4" i="10"/>
  <c r="H33" i="9"/>
  <c r="H34" i="9" s="1"/>
  <c r="H29" i="9"/>
  <c r="H3" i="10"/>
  <c r="H28" i="9"/>
  <c r="K33" i="9"/>
  <c r="K34" i="9" s="1"/>
  <c r="H21" i="9"/>
  <c r="M33" i="9"/>
  <c r="M34" i="9" s="1"/>
  <c r="L3" i="10"/>
  <c r="AB3" i="10"/>
  <c r="AB4" i="10"/>
  <c r="O4" i="10"/>
  <c r="H4" i="10"/>
  <c r="N4" i="10"/>
  <c r="O3" i="10"/>
  <c r="W3" i="10"/>
  <c r="W4" i="10"/>
  <c r="N3" i="10"/>
  <c r="D7" i="11"/>
  <c r="Y4" i="10"/>
  <c r="X4" i="10"/>
  <c r="Z10" i="9"/>
  <c r="X3" i="10"/>
  <c r="Y3" i="10"/>
  <c r="Z4" i="10"/>
  <c r="Z3" i="10"/>
  <c r="AC9" i="9"/>
  <c r="AA10" i="9"/>
  <c r="BA48" i="2" l="1"/>
  <c r="BA58" i="2" s="1"/>
  <c r="CD149" i="2"/>
  <c r="CD151" i="2" s="1"/>
  <c r="CF149" i="2"/>
  <c r="CF151" i="2" s="1"/>
  <c r="CH149" i="2"/>
  <c r="CH151" i="2" s="1"/>
  <c r="BW48" i="2"/>
  <c r="BW58" i="2" s="1"/>
  <c r="BW149" i="2" s="1"/>
  <c r="BW151" i="2" s="1"/>
  <c r="BN48" i="2"/>
  <c r="BN58" i="2" s="1"/>
  <c r="BN149" i="2" s="1"/>
  <c r="BN151" i="2" s="1"/>
  <c r="AD48" i="2"/>
  <c r="AD58" i="2" s="1"/>
  <c r="AD149" i="2" s="1"/>
  <c r="AD151" i="2" s="1"/>
  <c r="AD152" i="2" s="1"/>
  <c r="BL48" i="2"/>
  <c r="BL58" i="2" s="1"/>
  <c r="BL149" i="2" s="1"/>
  <c r="BL151" i="2" s="1"/>
  <c r="AB48" i="2"/>
  <c r="AB58" i="2" s="1"/>
  <c r="AB149" i="2" s="1"/>
  <c r="AB151" i="2" s="1"/>
  <c r="AB152" i="2" s="1"/>
  <c r="DR48" i="2"/>
  <c r="DR58" i="2" s="1"/>
  <c r="DR149" i="2" s="1"/>
  <c r="DR151" i="2" s="1"/>
  <c r="DR152" i="2" s="1"/>
  <c r="BX166" i="2"/>
  <c r="FS149" i="2"/>
  <c r="DQ48" i="2"/>
  <c r="DQ58" i="2" s="1"/>
  <c r="DQ149" i="2" s="1"/>
  <c r="DQ151" i="2" s="1"/>
  <c r="DQ152" i="2" s="1"/>
  <c r="BY48" i="2"/>
  <c r="BY58" i="2" s="1"/>
  <c r="BY149" i="2" s="1"/>
  <c r="BY151" i="2" s="1"/>
  <c r="AL48" i="2"/>
  <c r="AL58" i="2" s="1"/>
  <c r="AL149" i="2" s="1"/>
  <c r="FB48" i="2"/>
  <c r="FB58" i="2" s="1"/>
  <c r="FB149" i="2" s="1"/>
  <c r="V168" i="31"/>
  <c r="V170" i="31" s="1"/>
  <c r="X168" i="31"/>
  <c r="X170" i="31" s="1"/>
  <c r="W168" i="31"/>
  <c r="W170" i="31" s="1"/>
  <c r="DP48" i="2"/>
  <c r="DP58" i="2" s="1"/>
  <c r="DP149" i="2" s="1"/>
  <c r="DP151" i="2" s="1"/>
  <c r="DP152" i="2" s="1"/>
  <c r="Z48" i="2"/>
  <c r="Z58" i="2" s="1"/>
  <c r="Z149" i="2" s="1"/>
  <c r="Z151" i="2" s="1"/>
  <c r="Z152" i="2" s="1"/>
  <c r="BG48" i="2"/>
  <c r="BG58" i="2" s="1"/>
  <c r="BG149" i="2" s="1"/>
  <c r="BG151" i="2" s="1"/>
  <c r="X48" i="2"/>
  <c r="X58" i="2" s="1"/>
  <c r="X149" i="2" s="1"/>
  <c r="X151" i="2" s="1"/>
  <c r="X152" i="2" s="1"/>
  <c r="BE48" i="2"/>
  <c r="BE58" i="2" s="1"/>
  <c r="BE149" i="2" s="1"/>
  <c r="BE151" i="2" s="1"/>
  <c r="V48" i="2"/>
  <c r="V58" i="2" s="1"/>
  <c r="V149" i="2" s="1"/>
  <c r="V151" i="2" s="1"/>
  <c r="V152" i="2" s="1"/>
  <c r="DU48" i="2"/>
  <c r="AJ48" i="2"/>
  <c r="AJ58" i="2" s="1"/>
  <c r="AJ149" i="2" s="1"/>
  <c r="AJ151" i="2" s="1"/>
  <c r="AJ152" i="2" s="1"/>
  <c r="DT48" i="2"/>
  <c r="DT58" i="2" s="1"/>
  <c r="DT149" i="2" s="1"/>
  <c r="DT151" i="2" s="1"/>
  <c r="DT152" i="2" s="1"/>
  <c r="BU48" i="2"/>
  <c r="BU58" i="2" s="1"/>
  <c r="BU149" i="2" s="1"/>
  <c r="BU151" i="2" s="1"/>
  <c r="AH48" i="2"/>
  <c r="AH58" i="2" s="1"/>
  <c r="AH149" i="2" s="1"/>
  <c r="AH151" i="2" s="1"/>
  <c r="AH152" i="2" s="1"/>
  <c r="DS48" i="2"/>
  <c r="DS58" i="2" s="1"/>
  <c r="DS149" i="2" s="1"/>
  <c r="BS48" i="2"/>
  <c r="BS58" i="2" s="1"/>
  <c r="BS149" i="2" s="1"/>
  <c r="BS151" i="2" s="1"/>
  <c r="AF48" i="2"/>
  <c r="AF58" i="2" s="1"/>
  <c r="AF149" i="2" s="1"/>
  <c r="AF151" i="2" s="1"/>
  <c r="AF152" i="2" s="1"/>
  <c r="CM48" i="2"/>
  <c r="CM58" i="2" s="1"/>
  <c r="CM149" i="2" s="1"/>
  <c r="CM151" i="2" s="1"/>
  <c r="BJ48" i="2"/>
  <c r="DO48" i="2"/>
  <c r="DO58" i="2" s="1"/>
  <c r="DO149" i="2" s="1"/>
  <c r="DO151" i="2" s="1"/>
  <c r="DO152" i="2" s="1"/>
  <c r="DN48" i="2"/>
  <c r="DN58" i="2" s="1"/>
  <c r="DN149" i="2" s="1"/>
  <c r="DN151" i="2" s="1"/>
  <c r="DN152" i="2" s="1"/>
  <c r="CO48" i="2"/>
  <c r="CO58" i="2" s="1"/>
  <c r="CO149" i="2" s="1"/>
  <c r="CO151" i="2" s="1"/>
  <c r="BC48" i="2"/>
  <c r="BC58" i="2" s="1"/>
  <c r="BC149" i="2" s="1"/>
  <c r="BC151" i="2" s="1"/>
  <c r="CQ48" i="2"/>
  <c r="CQ58" i="2" s="1"/>
  <c r="CQ149" i="2" s="1"/>
  <c r="CQ151" i="2" s="1"/>
  <c r="CK48" i="2"/>
  <c r="CK58" i="2" s="1"/>
  <c r="CK149" i="2" s="1"/>
  <c r="CK151" i="2" s="1"/>
  <c r="AN48" i="2"/>
  <c r="AN58" i="2" s="1"/>
  <c r="AN149" i="2" s="1"/>
  <c r="AN151" i="2" s="1"/>
  <c r="AN152" i="2" s="1"/>
  <c r="CB151" i="2"/>
  <c r="EH43" i="2"/>
  <c r="EF43" i="2"/>
  <c r="FU43" i="2" s="1"/>
  <c r="EL43" i="2"/>
  <c r="EG43" i="2"/>
  <c r="Z8" i="10"/>
  <c r="J13" i="10"/>
  <c r="M50" i="31"/>
  <c r="T50" i="31"/>
  <c r="O6" i="10"/>
  <c r="CH262" i="2"/>
  <c r="BY262" i="2"/>
  <c r="BW262" i="2"/>
  <c r="CF262" i="2"/>
  <c r="CG43" i="2"/>
  <c r="CG48" i="2" s="1"/>
  <c r="CG58" i="2" s="1"/>
  <c r="CE43" i="2"/>
  <c r="K30" i="9"/>
  <c r="H30" i="9"/>
  <c r="V30" i="9"/>
  <c r="V36" i="9" s="1"/>
  <c r="V38" i="9" s="1"/>
  <c r="R30" i="9"/>
  <c r="R36" i="9" s="1"/>
  <c r="T30" i="9"/>
  <c r="T36" i="9" s="1"/>
  <c r="J30" i="9"/>
  <c r="J36" i="9" s="1"/>
  <c r="L30" i="9"/>
  <c r="N30" i="9"/>
  <c r="N36" i="9" s="1"/>
  <c r="W30" i="9"/>
  <c r="W36" i="9" s="1"/>
  <c r="Q30" i="9"/>
  <c r="Q36" i="9" s="1"/>
  <c r="U30" i="9"/>
  <c r="U36" i="9" s="1"/>
  <c r="U38" i="9" s="1"/>
  <c r="U40" i="9" s="1"/>
  <c r="U41" i="9" s="1"/>
  <c r="U42" i="9" s="1"/>
  <c r="O11" i="10"/>
  <c r="O10" i="10"/>
  <c r="Y9" i="10"/>
  <c r="Z7" i="10"/>
  <c r="O9" i="10"/>
  <c r="Y5" i="10"/>
  <c r="R5" i="10"/>
  <c r="Z5" i="10"/>
  <c r="Y8" i="10"/>
  <c r="L13" i="10"/>
  <c r="V8" i="10"/>
  <c r="R8" i="10"/>
  <c r="R2" i="10"/>
  <c r="M8" i="10"/>
  <c r="O13" i="10"/>
  <c r="P13" i="10"/>
  <c r="L48" i="2"/>
  <c r="BP265" i="2"/>
  <c r="CP43" i="2"/>
  <c r="CP48" i="2" s="1"/>
  <c r="CP58" i="2" s="1"/>
  <c r="CN43" i="2"/>
  <c r="CN48" i="2" s="1"/>
  <c r="CN58" i="2" s="1"/>
  <c r="BJ160" i="2"/>
  <c r="BT160" i="2"/>
  <c r="BY160" i="2"/>
  <c r="BW160" i="2"/>
  <c r="BP160" i="2"/>
  <c r="BU160" i="2"/>
  <c r="CG160" i="2"/>
  <c r="BV43" i="2"/>
  <c r="BD43" i="2"/>
  <c r="BM43" i="2"/>
  <c r="BX43" i="2"/>
  <c r="BX48" i="2" s="1"/>
  <c r="BX58" i="2" s="1"/>
  <c r="BX149" i="2" s="1"/>
  <c r="BF43" i="2"/>
  <c r="BT48" i="2"/>
  <c r="BT58" i="2" s="1"/>
  <c r="BT149" i="2" s="1"/>
  <c r="BT151" i="2" s="1"/>
  <c r="AB9" i="7"/>
  <c r="H6" i="10"/>
  <c r="G6" i="10"/>
  <c r="R6" i="10"/>
  <c r="Y6" i="10"/>
  <c r="O7" i="10"/>
  <c r="AA2" i="10"/>
  <c r="O2" i="10"/>
  <c r="E2" i="10"/>
  <c r="Q11" i="10"/>
  <c r="I7" i="10"/>
  <c r="R12" i="10"/>
  <c r="Z2" i="10"/>
  <c r="Z14" i="10" s="1"/>
  <c r="Y7" i="10"/>
  <c r="S36" i="9"/>
  <c r="S38" i="9" s="1"/>
  <c r="CL48" i="2"/>
  <c r="CL58" i="2" s="1"/>
  <c r="CL149" i="2" s="1"/>
  <c r="CL151" i="2" s="1"/>
  <c r="FJ43" i="2"/>
  <c r="FV43" i="2" s="1"/>
  <c r="DB48" i="2"/>
  <c r="DB58" i="2" s="1"/>
  <c r="CZ48" i="2"/>
  <c r="CZ58" i="2" s="1"/>
  <c r="BU265" i="2"/>
  <c r="CD160" i="2"/>
  <c r="CM160" i="2"/>
  <c r="CM246" i="2" s="1"/>
  <c r="CY48" i="2"/>
  <c r="CY58" i="2" s="1"/>
  <c r="CV48" i="2"/>
  <c r="DE43" i="2"/>
  <c r="DE48" i="2" s="1"/>
  <c r="DD43" i="2"/>
  <c r="CF160" i="2"/>
  <c r="DA48" i="2"/>
  <c r="DA58" i="2" s="1"/>
  <c r="DG43" i="2"/>
  <c r="DG48" i="2" s="1"/>
  <c r="DG58" i="2" s="1"/>
  <c r="DG149" i="2" s="1"/>
  <c r="DG151" i="2" s="1"/>
  <c r="DG152" i="2" s="1"/>
  <c r="CK160" i="2"/>
  <c r="CK246" i="2" s="1"/>
  <c r="CQ160" i="2"/>
  <c r="CQ246" i="2" s="1"/>
  <c r="DV43" i="2"/>
  <c r="BO43" i="2"/>
  <c r="BO48" i="2" s="1"/>
  <c r="BO58" i="2" s="1"/>
  <c r="BO149" i="2" s="1"/>
  <c r="BO151" i="2" s="1"/>
  <c r="CX48" i="2"/>
  <c r="CX58" i="2" s="1"/>
  <c r="CL160" i="2"/>
  <c r="CL246" i="2" s="1"/>
  <c r="CO160" i="2"/>
  <c r="CO246" i="2" s="1"/>
  <c r="DI43" i="2"/>
  <c r="DI48" i="2" s="1"/>
  <c r="DI58" i="2" s="1"/>
  <c r="DI149" i="2" s="1"/>
  <c r="DI151" i="2" s="1"/>
  <c r="DI152" i="2" s="1"/>
  <c r="CH160" i="2"/>
  <c r="CB160" i="2"/>
  <c r="DF43" i="2"/>
  <c r="DF48" i="2" s="1"/>
  <c r="U9" i="10"/>
  <c r="U13" i="10"/>
  <c r="U11" i="10"/>
  <c r="L8" i="10"/>
  <c r="V13" i="10"/>
  <c r="L12" i="10"/>
  <c r="Q7" i="10"/>
  <c r="U7" i="10"/>
  <c r="V2" i="10"/>
  <c r="U5" i="10"/>
  <c r="P11" i="10"/>
  <c r="H7" i="10"/>
  <c r="M12" i="10"/>
  <c r="I9" i="10"/>
  <c r="V7" i="10"/>
  <c r="V9" i="10"/>
  <c r="V5" i="10"/>
  <c r="V11" i="10"/>
  <c r="G10" i="9"/>
  <c r="M10" i="9"/>
  <c r="L7" i="10"/>
  <c r="T9" i="10"/>
  <c r="I25" i="9"/>
  <c r="O25" i="9" s="1"/>
  <c r="T12" i="10"/>
  <c r="I29" i="9"/>
  <c r="O29" i="9" s="1"/>
  <c r="J8" i="10"/>
  <c r="P33" i="9"/>
  <c r="X33" i="9" s="1"/>
  <c r="X34" i="9" s="1"/>
  <c r="L2" i="10"/>
  <c r="M6" i="10"/>
  <c r="X9" i="9"/>
  <c r="W5" i="10" s="1"/>
  <c r="P26" i="9"/>
  <c r="X26" i="9" s="1"/>
  <c r="T11" i="10"/>
  <c r="U10" i="10"/>
  <c r="G12" i="10"/>
  <c r="G10" i="10"/>
  <c r="S13" i="10"/>
  <c r="S12" i="10"/>
  <c r="S8" i="10"/>
  <c r="S7" i="10"/>
  <c r="D33" i="9"/>
  <c r="S11" i="10"/>
  <c r="D29" i="9"/>
  <c r="H12" i="10"/>
  <c r="H10" i="9"/>
  <c r="H11" i="10"/>
  <c r="S5" i="10"/>
  <c r="G30" i="9"/>
  <c r="G36" i="9" s="1"/>
  <c r="I21" i="9"/>
  <c r="I5" i="10"/>
  <c r="I6" i="10"/>
  <c r="J10" i="9"/>
  <c r="I9" i="9"/>
  <c r="I10" i="9" s="1"/>
  <c r="I2" i="10"/>
  <c r="H2" i="10"/>
  <c r="P29" i="9"/>
  <c r="X29" i="9" s="1"/>
  <c r="H8" i="10"/>
  <c r="H13" i="10"/>
  <c r="P25" i="9"/>
  <c r="X25" i="9" s="1"/>
  <c r="S2" i="10"/>
  <c r="M2" i="10"/>
  <c r="M5" i="10"/>
  <c r="M13" i="10"/>
  <c r="S10" i="10"/>
  <c r="U8" i="10"/>
  <c r="U2" i="10"/>
  <c r="U6" i="10"/>
  <c r="U12" i="10"/>
  <c r="D28" i="9"/>
  <c r="R10" i="9"/>
  <c r="Q6" i="10"/>
  <c r="Q5" i="10"/>
  <c r="Q9" i="10"/>
  <c r="N10" i="9"/>
  <c r="P8" i="10"/>
  <c r="T10" i="10"/>
  <c r="T8" i="10"/>
  <c r="T2" i="10"/>
  <c r="M10" i="10"/>
  <c r="M9" i="10"/>
  <c r="F12" i="10"/>
  <c r="F8" i="10"/>
  <c r="L10" i="9"/>
  <c r="K5" i="10"/>
  <c r="K7" i="10"/>
  <c r="I33" i="9"/>
  <c r="I34" i="9" s="1"/>
  <c r="M7" i="10"/>
  <c r="P2" i="10"/>
  <c r="P9" i="10"/>
  <c r="P6" i="10"/>
  <c r="L10" i="10"/>
  <c r="L5" i="10"/>
  <c r="Q13" i="10"/>
  <c r="M11" i="10"/>
  <c r="J7" i="10"/>
  <c r="L9" i="10"/>
  <c r="I28" i="9"/>
  <c r="O28" i="9" s="1"/>
  <c r="Q10" i="9"/>
  <c r="K2" i="10"/>
  <c r="Q2" i="10"/>
  <c r="F7" i="10"/>
  <c r="F5" i="10"/>
  <c r="P5" i="10"/>
  <c r="Q8" i="10"/>
  <c r="Q10" i="10"/>
  <c r="D25" i="9"/>
  <c r="W10" i="9"/>
  <c r="V10" i="10"/>
  <c r="V12" i="10"/>
  <c r="V6" i="10"/>
  <c r="T10" i="9"/>
  <c r="S6" i="10"/>
  <c r="S9" i="10"/>
  <c r="D18" i="9"/>
  <c r="P21" i="9"/>
  <c r="P24" i="9"/>
  <c r="X24" i="9" s="1"/>
  <c r="K6" i="10"/>
  <c r="F6" i="10"/>
  <c r="K11" i="10"/>
  <c r="E13" i="10"/>
  <c r="K12" i="10"/>
  <c r="K10" i="10"/>
  <c r="I26" i="9"/>
  <c r="O26" i="9" s="1"/>
  <c r="Y14" i="10"/>
  <c r="M30" i="9"/>
  <c r="M36" i="9" s="1"/>
  <c r="G8" i="10"/>
  <c r="G2" i="10"/>
  <c r="G7" i="10"/>
  <c r="G13" i="10"/>
  <c r="I11" i="10"/>
  <c r="G9" i="10"/>
  <c r="E6" i="10"/>
  <c r="T7" i="10"/>
  <c r="K9" i="10"/>
  <c r="E7" i="10"/>
  <c r="E9" i="10"/>
  <c r="E5" i="10"/>
  <c r="T13" i="10"/>
  <c r="F13" i="10"/>
  <c r="F11" i="10"/>
  <c r="E8" i="10"/>
  <c r="E12" i="10"/>
  <c r="E10" i="10"/>
  <c r="F10" i="10"/>
  <c r="E11" i="10"/>
  <c r="P18" i="9"/>
  <c r="X18" i="9" s="1"/>
  <c r="X19" i="9" s="1"/>
  <c r="K19" i="9"/>
  <c r="K8" i="10"/>
  <c r="G5" i="10"/>
  <c r="G11" i="10"/>
  <c r="I12" i="10"/>
  <c r="F2" i="10"/>
  <c r="F9" i="10"/>
  <c r="T5" i="10"/>
  <c r="T6" i="10"/>
  <c r="K13" i="10"/>
  <c r="H5" i="10"/>
  <c r="L11" i="10"/>
  <c r="J5" i="10"/>
  <c r="L6" i="10"/>
  <c r="Q12" i="10"/>
  <c r="D22" i="9"/>
  <c r="P22" i="9"/>
  <c r="X22" i="9" s="1"/>
  <c r="I23" i="9"/>
  <c r="O23" i="9" s="1"/>
  <c r="P28" i="9"/>
  <c r="X28" i="9" s="1"/>
  <c r="I8" i="10"/>
  <c r="I10" i="10"/>
  <c r="I13" i="10"/>
  <c r="P10" i="10"/>
  <c r="P7" i="10"/>
  <c r="P12" i="10"/>
  <c r="D21" i="9"/>
  <c r="D26" i="9"/>
  <c r="H19" i="9"/>
  <c r="I18" i="9"/>
  <c r="I19" i="9" s="1"/>
  <c r="I22" i="9"/>
  <c r="O22" i="9" s="1"/>
  <c r="P23" i="9"/>
  <c r="X23" i="9" s="1"/>
  <c r="I24" i="9"/>
  <c r="O24" i="9" s="1"/>
  <c r="D23" i="9"/>
  <c r="D27" i="9"/>
  <c r="I27" i="9"/>
  <c r="O27" i="9" s="1"/>
  <c r="P27" i="9"/>
  <c r="X27" i="9" s="1"/>
  <c r="J10" i="10"/>
  <c r="J11" i="10"/>
  <c r="J6" i="10"/>
  <c r="J2" i="10"/>
  <c r="J12" i="10"/>
  <c r="K10" i="9"/>
  <c r="J9" i="10"/>
  <c r="D9" i="9"/>
  <c r="H10" i="10"/>
  <c r="H9" i="10"/>
  <c r="D24" i="9"/>
  <c r="L19" i="9"/>
  <c r="BH43" i="2" l="1"/>
  <c r="CE48" i="2"/>
  <c r="CE58" i="2" s="1"/>
  <c r="CE149" i="2" s="1"/>
  <c r="CE151" i="2" s="1"/>
  <c r="CI43" i="2"/>
  <c r="CI48" i="2" s="1"/>
  <c r="CI58" i="2" s="1"/>
  <c r="BV48" i="2"/>
  <c r="BV58" i="2" s="1"/>
  <c r="BV149" i="2" s="1"/>
  <c r="BZ43" i="2"/>
  <c r="BZ48" i="2" s="1"/>
  <c r="BM48" i="2"/>
  <c r="BQ43" i="2"/>
  <c r="BQ48" i="2" s="1"/>
  <c r="BQ58" i="2" s="1"/>
  <c r="BQ149" i="2" s="1"/>
  <c r="BQ151" i="2" s="1"/>
  <c r="CP149" i="2"/>
  <c r="CP151" i="2" s="1"/>
  <c r="DB149" i="2"/>
  <c r="DB151" i="2" s="1"/>
  <c r="DB152" i="2" s="1"/>
  <c r="CN149" i="2"/>
  <c r="CN151" i="2" s="1"/>
  <c r="CZ149" i="2"/>
  <c r="CZ151" i="2" s="1"/>
  <c r="CZ152" i="2" s="1"/>
  <c r="CX149" i="2"/>
  <c r="CX151" i="2" s="1"/>
  <c r="CX152" i="2" s="1"/>
  <c r="CG149" i="2"/>
  <c r="CG151" i="2" s="1"/>
  <c r="CH166" i="2"/>
  <c r="CL204" i="2"/>
  <c r="BL158" i="2"/>
  <c r="BL187" i="2" s="1"/>
  <c r="BN158" i="2"/>
  <c r="AL151" i="2"/>
  <c r="AL152" i="2" s="1"/>
  <c r="BD48" i="2"/>
  <c r="BD58" i="2" s="1"/>
  <c r="BD149" i="2" s="1"/>
  <c r="BD151" i="2" s="1"/>
  <c r="FR43" i="2"/>
  <c r="BV166" i="2"/>
  <c r="FR149" i="2"/>
  <c r="BF48" i="2"/>
  <c r="BF58" i="2" s="1"/>
  <c r="BF149" i="2" s="1"/>
  <c r="BF151" i="2" s="1"/>
  <c r="FS43" i="2"/>
  <c r="BX151" i="2"/>
  <c r="DS151" i="2"/>
  <c r="DS152" i="2" s="1"/>
  <c r="BJ58" i="2"/>
  <c r="BJ149" i="2" s="1"/>
  <c r="BJ151" i="2" s="1"/>
  <c r="DF58" i="2"/>
  <c r="DF149" i="2" s="1"/>
  <c r="DF151" i="2" s="1"/>
  <c r="DF152" i="2" s="1"/>
  <c r="DU58" i="2"/>
  <c r="DU149" i="2" s="1"/>
  <c r="DE58" i="2"/>
  <c r="DE149" i="2" s="1"/>
  <c r="CV58" i="2"/>
  <c r="CV149" i="2" s="1"/>
  <c r="FB151" i="2"/>
  <c r="FB152" i="2" s="1"/>
  <c r="EL48" i="2"/>
  <c r="EL58" i="2" s="1"/>
  <c r="EL149" i="2" s="1"/>
  <c r="FJ48" i="2"/>
  <c r="CQ204" i="2"/>
  <c r="EH48" i="2"/>
  <c r="EH58" i="2" s="1"/>
  <c r="EH149" i="2" s="1"/>
  <c r="CM204" i="2"/>
  <c r="EF48" i="2"/>
  <c r="EF58" i="2" s="1"/>
  <c r="EF149" i="2" s="1"/>
  <c r="DV48" i="2"/>
  <c r="BA196" i="2"/>
  <c r="EG48" i="2"/>
  <c r="EG58" i="2" s="1"/>
  <c r="EK43" i="2"/>
  <c r="EK48" i="2" s="1"/>
  <c r="EK58" i="2" s="1"/>
  <c r="BE158" i="2"/>
  <c r="BE187" i="2" s="1"/>
  <c r="CQ158" i="2"/>
  <c r="BA158" i="2"/>
  <c r="BA187" i="2" s="1"/>
  <c r="CM158" i="2"/>
  <c r="BJ158" i="2"/>
  <c r="BJ187" i="2" s="1"/>
  <c r="CD158" i="2"/>
  <c r="BS158" i="2"/>
  <c r="BS187" i="2" s="1"/>
  <c r="BC158" i="2"/>
  <c r="BC187" i="2" s="1"/>
  <c r="CO158" i="2"/>
  <c r="BU158" i="2"/>
  <c r="BW158" i="2"/>
  <c r="CH158" i="2"/>
  <c r="BG158" i="2"/>
  <c r="BG187" i="2" s="1"/>
  <c r="CK158" i="2"/>
  <c r="CF158" i="2"/>
  <c r="CC158" i="2"/>
  <c r="BY158" i="2"/>
  <c r="BP158" i="2"/>
  <c r="K16" i="7"/>
  <c r="I50" i="31"/>
  <c r="S40" i="9"/>
  <c r="S41" i="9" s="1"/>
  <c r="S42" i="9" s="1"/>
  <c r="Y50" i="31"/>
  <c r="V16" i="7" s="1"/>
  <c r="CB166" i="2"/>
  <c r="T60" i="31"/>
  <c r="Q16" i="7"/>
  <c r="H50" i="31"/>
  <c r="L58" i="2"/>
  <c r="L149" i="2" s="1"/>
  <c r="L151" i="2" s="1"/>
  <c r="L152" i="2" s="1"/>
  <c r="K50" i="31"/>
  <c r="CD262" i="2"/>
  <c r="BU262" i="2"/>
  <c r="CC262" i="2"/>
  <c r="CB262" i="2"/>
  <c r="BS262" i="2"/>
  <c r="BB242" i="2"/>
  <c r="CD196" i="2"/>
  <c r="BW196" i="2"/>
  <c r="CH196" i="2"/>
  <c r="BX196" i="2"/>
  <c r="BY196" i="2"/>
  <c r="BU196" i="2"/>
  <c r="BP196" i="2"/>
  <c r="BV196" i="2"/>
  <c r="BS196" i="2"/>
  <c r="BZ196" i="2"/>
  <c r="CB196" i="2"/>
  <c r="CB244" i="2" s="1"/>
  <c r="BT196" i="2"/>
  <c r="BZ262" i="2"/>
  <c r="BV257" i="2"/>
  <c r="CE257" i="2"/>
  <c r="CG257" i="2"/>
  <c r="BX257" i="2"/>
  <c r="BV262" i="2"/>
  <c r="CE262" i="2"/>
  <c r="CG262" i="2"/>
  <c r="BX262" i="2"/>
  <c r="CI262" i="2"/>
  <c r="K36" i="9"/>
  <c r="K38" i="9" s="1"/>
  <c r="K40" i="9" s="1"/>
  <c r="K41" i="9" s="1"/>
  <c r="K42" i="9" s="1"/>
  <c r="P30" i="9"/>
  <c r="I30" i="9"/>
  <c r="I36" i="9" s="1"/>
  <c r="I38" i="9" s="1"/>
  <c r="BN247" i="2"/>
  <c r="BL247" i="2"/>
  <c r="BJ247" i="2"/>
  <c r="BK247" i="2"/>
  <c r="CF248" i="2"/>
  <c r="CD254" i="2"/>
  <c r="CH248" i="2"/>
  <c r="BN248" i="2"/>
  <c r="BV248" i="2"/>
  <c r="CE248" i="2"/>
  <c r="BL248" i="2"/>
  <c r="BX248" i="2"/>
  <c r="CB248" i="2"/>
  <c r="CC248" i="2"/>
  <c r="BJ248" i="2"/>
  <c r="BC260" i="2"/>
  <c r="BV260" i="2"/>
  <c r="BG260" i="2"/>
  <c r="CE260" i="2"/>
  <c r="BG254" i="2"/>
  <c r="BX259" i="2"/>
  <c r="BC259" i="2"/>
  <c r="BG259" i="2"/>
  <c r="BV259" i="2"/>
  <c r="BE259" i="2"/>
  <c r="BB247" i="2"/>
  <c r="BE254" i="2"/>
  <c r="BY254" i="2"/>
  <c r="BC254" i="2"/>
  <c r="BN254" i="2"/>
  <c r="BP254" i="2"/>
  <c r="BL254" i="2"/>
  <c r="CE254" i="2"/>
  <c r="CG254" i="2"/>
  <c r="BP257" i="2"/>
  <c r="BA247" i="2"/>
  <c r="BC261" i="2"/>
  <c r="BE261" i="2"/>
  <c r="BO261" i="2"/>
  <c r="BG261" i="2"/>
  <c r="BO160" i="2"/>
  <c r="BO246" i="2" s="1"/>
  <c r="BX160" i="2"/>
  <c r="BX246" i="2" s="1"/>
  <c r="CR43" i="2"/>
  <c r="CR48" i="2" s="1"/>
  <c r="CR58" i="2" s="1"/>
  <c r="BA265" i="2"/>
  <c r="BA261" i="2"/>
  <c r="BL264" i="2"/>
  <c r="BT250" i="2"/>
  <c r="CE250" i="2"/>
  <c r="BX250" i="2"/>
  <c r="BW250" i="2"/>
  <c r="CH250" i="2"/>
  <c r="BS250" i="2"/>
  <c r="BY250" i="2"/>
  <c r="CD250" i="2"/>
  <c r="BV250" i="2"/>
  <c r="CC250" i="2"/>
  <c r="AB14" i="7"/>
  <c r="CF250" i="2"/>
  <c r="CB250" i="2"/>
  <c r="BU250" i="2"/>
  <c r="CJ160" i="2"/>
  <c r="CP160" i="2"/>
  <c r="CP246" i="2" s="1"/>
  <c r="CE160" i="2"/>
  <c r="CE246" i="2" s="1"/>
  <c r="BM246" i="2"/>
  <c r="BV160" i="2"/>
  <c r="BV246" i="2" s="1"/>
  <c r="DH43" i="2"/>
  <c r="BG257" i="2"/>
  <c r="CC260" i="2"/>
  <c r="BP260" i="2"/>
  <c r="BC257" i="2"/>
  <c r="BW257" i="2"/>
  <c r="BS257" i="2"/>
  <c r="BY257" i="2"/>
  <c r="BU257" i="2"/>
  <c r="CC257" i="2"/>
  <c r="BV265" i="2"/>
  <c r="BW265" i="2"/>
  <c r="BX265" i="2"/>
  <c r="CF260" i="2"/>
  <c r="BM265" i="2"/>
  <c r="BW245" i="2"/>
  <c r="BV245" i="2"/>
  <c r="CF245" i="2"/>
  <c r="BN265" i="2"/>
  <c r="CH257" i="2"/>
  <c r="BS265" i="2"/>
  <c r="CH254" i="2"/>
  <c r="CF247" i="2"/>
  <c r="CH261" i="2"/>
  <c r="BS261" i="2"/>
  <c r="CF265" i="2"/>
  <c r="BY246" i="2"/>
  <c r="CD245" i="2"/>
  <c r="BO265" i="2"/>
  <c r="BU261" i="2"/>
  <c r="CW48" i="2"/>
  <c r="BX261" i="2"/>
  <c r="BU245" i="2"/>
  <c r="CD260" i="2"/>
  <c r="CH265" i="2"/>
  <c r="CE247" i="2"/>
  <c r="BP264" i="2"/>
  <c r="BK261" i="2"/>
  <c r="BK265" i="2"/>
  <c r="BL260" i="2"/>
  <c r="BU246" i="2"/>
  <c r="CD247" i="2"/>
  <c r="CC261" i="2"/>
  <c r="BT257" i="2"/>
  <c r="CB254" i="2"/>
  <c r="CB245" i="2"/>
  <c r="BK245" i="2"/>
  <c r="CC247" i="2"/>
  <c r="BT248" i="2"/>
  <c r="BT265" i="2"/>
  <c r="AA6" i="7"/>
  <c r="BJ261" i="2"/>
  <c r="BV261" i="2"/>
  <c r="CE261" i="2"/>
  <c r="CG259" i="2"/>
  <c r="CD265" i="2"/>
  <c r="BT261" i="2"/>
  <c r="BX247" i="2"/>
  <c r="CF261" i="2"/>
  <c r="BC265" i="2"/>
  <c r="CD261" i="2"/>
  <c r="CH247" i="2"/>
  <c r="BG265" i="2"/>
  <c r="CH259" i="2"/>
  <c r="BX245" i="2"/>
  <c r="BD245" i="2"/>
  <c r="CC245" i="2"/>
  <c r="BU248" i="2"/>
  <c r="BP245" i="2"/>
  <c r="BE257" i="2"/>
  <c r="CC265" i="2"/>
  <c r="BC248" i="2"/>
  <c r="BT245" i="2"/>
  <c r="BN261" i="2"/>
  <c r="BC247" i="2"/>
  <c r="BS245" i="2"/>
  <c r="BJ245" i="2"/>
  <c r="CG246" i="2"/>
  <c r="CG245" i="2"/>
  <c r="BO245" i="2"/>
  <c r="DJ43" i="2"/>
  <c r="DJ48" i="2" s="1"/>
  <c r="DJ58" i="2" s="1"/>
  <c r="DJ149" i="2" s="1"/>
  <c r="DJ151" i="2" s="1"/>
  <c r="DJ152" i="2" s="1"/>
  <c r="BS246" i="2"/>
  <c r="CD246" i="2"/>
  <c r="CE245" i="2"/>
  <c r="BA257" i="2"/>
  <c r="BL245" i="2"/>
  <c r="BY248" i="2"/>
  <c r="BY261" i="2"/>
  <c r="BN245" i="2"/>
  <c r="BV247" i="2"/>
  <c r="BS248" i="2"/>
  <c r="BW261" i="2"/>
  <c r="BL246" i="2"/>
  <c r="BP261" i="2"/>
  <c r="BN246" i="2"/>
  <c r="BT246" i="2"/>
  <c r="CF257" i="2"/>
  <c r="BY260" i="2"/>
  <c r="BW259" i="2"/>
  <c r="BP246" i="2"/>
  <c r="BJ265" i="2"/>
  <c r="BM261" i="2"/>
  <c r="CG261" i="2"/>
  <c r="BW260" i="2"/>
  <c r="CH246" i="2"/>
  <c r="BU247" i="2"/>
  <c r="CB246" i="2"/>
  <c r="BM245" i="2"/>
  <c r="BL261" i="2"/>
  <c r="CH264" i="2"/>
  <c r="BS247" i="2"/>
  <c r="CD257" i="2"/>
  <c r="CE265" i="2"/>
  <c r="CB261" i="2"/>
  <c r="CB265" i="2"/>
  <c r="BW246" i="2"/>
  <c r="BY247" i="2"/>
  <c r="CB257" i="2"/>
  <c r="BW247" i="2"/>
  <c r="CH260" i="2"/>
  <c r="BW248" i="2"/>
  <c r="BS259" i="2"/>
  <c r="CH245" i="2"/>
  <c r="CG248" i="2"/>
  <c r="CG260" i="2"/>
  <c r="BU264" i="2"/>
  <c r="CF259" i="2"/>
  <c r="CF254" i="2"/>
  <c r="CC254" i="2"/>
  <c r="CB259" i="2"/>
  <c r="BE265" i="2"/>
  <c r="BY264" i="2"/>
  <c r="CF264" i="2"/>
  <c r="CG265" i="2"/>
  <c r="X21" i="9"/>
  <c r="X30" i="9" s="1"/>
  <c r="X36" i="9" s="1"/>
  <c r="CB260" i="2"/>
  <c r="BS260" i="2"/>
  <c r="BK248" i="2"/>
  <c r="BY259" i="2"/>
  <c r="BP247" i="2"/>
  <c r="BU259" i="2"/>
  <c r="W11" i="10"/>
  <c r="Y23" i="9"/>
  <c r="Z23" i="9" s="1"/>
  <c r="W8" i="10"/>
  <c r="O21" i="9"/>
  <c r="O30" i="9" s="1"/>
  <c r="Y24" i="9"/>
  <c r="Z24" i="9" s="1"/>
  <c r="AA24" i="9" s="1"/>
  <c r="BK160" i="2"/>
  <c r="BL265" i="2"/>
  <c r="CD264" i="2"/>
  <c r="CD248" i="2"/>
  <c r="W10" i="10"/>
  <c r="W9" i="10"/>
  <c r="W7" i="10"/>
  <c r="W2" i="10"/>
  <c r="G38" i="9"/>
  <c r="CC264" i="2"/>
  <c r="X10" i="9"/>
  <c r="W6" i="10"/>
  <c r="R38" i="9"/>
  <c r="R40" i="9" s="1"/>
  <c r="R41" i="9" s="1"/>
  <c r="R42" i="9" s="1"/>
  <c r="W12" i="10"/>
  <c r="W13" i="10"/>
  <c r="P34" i="9"/>
  <c r="CD259" i="2"/>
  <c r="Y26" i="9"/>
  <c r="Z26" i="9" s="1"/>
  <c r="AB26" i="9" s="1"/>
  <c r="Y28" i="9"/>
  <c r="Z28" i="9" s="1"/>
  <c r="AB28" i="9" s="1"/>
  <c r="M38" i="9"/>
  <c r="M40" i="9" s="1"/>
  <c r="M41" i="9" s="1"/>
  <c r="M42" i="9" s="1"/>
  <c r="Y22" i="9"/>
  <c r="X11" i="10" s="1"/>
  <c r="Y25" i="9"/>
  <c r="Z25" i="9" s="1"/>
  <c r="AB25" i="9" s="1"/>
  <c r="J38" i="9"/>
  <c r="N38" i="9"/>
  <c r="G47" i="9" s="1"/>
  <c r="T38" i="9"/>
  <c r="T40" i="9" s="1"/>
  <c r="T41" i="9" s="1"/>
  <c r="T42" i="9" s="1"/>
  <c r="Y29" i="9"/>
  <c r="Z29" i="9" s="1"/>
  <c r="AB29" i="9" s="1"/>
  <c r="O9" i="9"/>
  <c r="Y9" i="9" s="1"/>
  <c r="X6" i="10" s="1"/>
  <c r="O33" i="9"/>
  <c r="Q38" i="9"/>
  <c r="Q40" i="9" s="1"/>
  <c r="Q41" i="9" s="1"/>
  <c r="Q42" i="9" s="1"/>
  <c r="P19" i="9"/>
  <c r="Y27" i="9"/>
  <c r="Z27" i="9" s="1"/>
  <c r="AB27" i="9" s="1"/>
  <c r="O18" i="9"/>
  <c r="O19" i="9" s="1"/>
  <c r="H36" i="9"/>
  <c r="H38" i="9" s="1"/>
  <c r="G45" i="9" s="1"/>
  <c r="BZ245" i="2"/>
  <c r="BG245" i="2"/>
  <c r="BB248" i="2"/>
  <c r="CC160" i="2"/>
  <c r="CC246" i="2" s="1"/>
  <c r="BE247" i="2"/>
  <c r="BG247" i="2"/>
  <c r="W38" i="9"/>
  <c r="W40" i="9" s="1"/>
  <c r="W41" i="9" s="1"/>
  <c r="W42" i="9" s="1"/>
  <c r="BG248" i="2"/>
  <c r="CF246" i="2"/>
  <c r="CC259" i="2"/>
  <c r="BE245" i="2"/>
  <c r="L36" i="9"/>
  <c r="L38" i="9" s="1"/>
  <c r="V40" i="9"/>
  <c r="V41" i="9" s="1"/>
  <c r="V42" i="9" s="1"/>
  <c r="BC245" i="2"/>
  <c r="BE248" i="2"/>
  <c r="CI261" i="2"/>
  <c r="DC48" i="2"/>
  <c r="DC58" i="2" s="1"/>
  <c r="AB2" i="10"/>
  <c r="AB5" i="10"/>
  <c r="AB7" i="10"/>
  <c r="AB12" i="10"/>
  <c r="AB6" i="10"/>
  <c r="AB10" i="10"/>
  <c r="AB13" i="10"/>
  <c r="AB8" i="10"/>
  <c r="AB9" i="10"/>
  <c r="AB11" i="10"/>
  <c r="BY265" i="2"/>
  <c r="CE259" i="2"/>
  <c r="CB247" i="2"/>
  <c r="BA245" i="2"/>
  <c r="BB245" i="2"/>
  <c r="BA248" i="2"/>
  <c r="BX264" i="2"/>
  <c r="BT259" i="2"/>
  <c r="BY245" i="2"/>
  <c r="BQ265" i="2"/>
  <c r="BM58" i="2" l="1"/>
  <c r="BM149" i="2" s="1"/>
  <c r="BM151" i="2" s="1"/>
  <c r="BM158" i="2"/>
  <c r="EG149" i="2"/>
  <c r="EG151" i="2" s="1"/>
  <c r="EG152" i="2" s="1"/>
  <c r="EK149" i="2"/>
  <c r="EK151" i="2" s="1"/>
  <c r="EK152" i="2" s="1"/>
  <c r="CR149" i="2"/>
  <c r="CR151" i="2" s="1"/>
  <c r="CI149" i="2"/>
  <c r="CI151" i="2" s="1"/>
  <c r="CH187" i="2"/>
  <c r="BA152" i="2"/>
  <c r="CY149" i="2"/>
  <c r="CY151" i="2" s="1"/>
  <c r="CY152" i="2" s="1"/>
  <c r="DA149" i="2"/>
  <c r="DA151" i="2" s="1"/>
  <c r="DA152" i="2" s="1"/>
  <c r="EH151" i="2"/>
  <c r="EH152" i="2" s="1"/>
  <c r="BV151" i="2"/>
  <c r="EF151" i="2"/>
  <c r="EF152" i="2" s="1"/>
  <c r="BZ166" i="2"/>
  <c r="CV151" i="2"/>
  <c r="CV152" i="2" s="1"/>
  <c r="DE151" i="2"/>
  <c r="DE152" i="2" s="1"/>
  <c r="BH48" i="2"/>
  <c r="BH58" i="2" s="1"/>
  <c r="BH149" i="2" s="1"/>
  <c r="BH151" i="2" s="1"/>
  <c r="DU151" i="2"/>
  <c r="DU152" i="2" s="1"/>
  <c r="DV58" i="2"/>
  <c r="DV149" i="2" s="1"/>
  <c r="BZ58" i="2"/>
  <c r="BZ149" i="2" s="1"/>
  <c r="CW58" i="2"/>
  <c r="CW149" i="2" s="1"/>
  <c r="FJ58" i="2"/>
  <c r="FJ149" i="2" s="1"/>
  <c r="CQ196" i="2"/>
  <c r="CQ244" i="2" s="1"/>
  <c r="H60" i="31"/>
  <c r="EI43" i="2"/>
  <c r="EI48" i="2" s="1"/>
  <c r="EI58" i="2" s="1"/>
  <c r="EI149" i="2" s="1"/>
  <c r="EI151" i="2" s="1"/>
  <c r="EI152" i="2" s="1"/>
  <c r="DH48" i="2"/>
  <c r="DH58" i="2" s="1"/>
  <c r="DH149" i="2" s="1"/>
  <c r="DH151" i="2" s="1"/>
  <c r="DH152" i="2" s="1"/>
  <c r="BG188" i="2"/>
  <c r="CI166" i="2"/>
  <c r="CN204" i="2"/>
  <c r="EM43" i="2"/>
  <c r="EM48" i="2" s="1"/>
  <c r="EM58" i="2" s="1"/>
  <c r="BA244" i="2"/>
  <c r="CL158" i="2"/>
  <c r="BT158" i="2"/>
  <c r="BT244" i="2" s="1"/>
  <c r="CE158" i="2"/>
  <c r="CP158" i="2"/>
  <c r="BA188" i="2"/>
  <c r="CG158" i="2"/>
  <c r="BV158" i="2"/>
  <c r="BV244" i="2" s="1"/>
  <c r="CO196" i="2"/>
  <c r="CO244" i="2" s="1"/>
  <c r="CF196" i="2"/>
  <c r="CF244" i="2" s="1"/>
  <c r="BO158" i="2"/>
  <c r="BF158" i="2"/>
  <c r="CN158" i="2"/>
  <c r="BD158" i="2"/>
  <c r="BX158" i="2"/>
  <c r="BX244" i="2" s="1"/>
  <c r="CD204" i="2"/>
  <c r="BZ204" i="2"/>
  <c r="BZ234" i="2" s="1"/>
  <c r="BZ235" i="2" s="1"/>
  <c r="BU204" i="2"/>
  <c r="BU234" i="2" s="1"/>
  <c r="BU235" i="2" s="1"/>
  <c r="CH204" i="2"/>
  <c r="BP204" i="2"/>
  <c r="BP234" i="2" s="1"/>
  <c r="BP235" i="2" s="1"/>
  <c r="BT204" i="2"/>
  <c r="BT234" i="2" s="1"/>
  <c r="BT235" i="2" s="1"/>
  <c r="BW204" i="2"/>
  <c r="BW234" i="2" s="1"/>
  <c r="BW235" i="2" s="1"/>
  <c r="H16" i="7"/>
  <c r="G16" i="7"/>
  <c r="BX204" i="2"/>
  <c r="BX234" i="2" s="1"/>
  <c r="BX235" i="2" s="1"/>
  <c r="BV204" i="2"/>
  <c r="BV234" i="2" s="1"/>
  <c r="BV235" i="2" s="1"/>
  <c r="CB204" i="2"/>
  <c r="CB252" i="2" s="1"/>
  <c r="BY204" i="2"/>
  <c r="BY234" i="2" s="1"/>
  <c r="BY235" i="2" s="1"/>
  <c r="CM196" i="2"/>
  <c r="CM244" i="2" s="1"/>
  <c r="Y60" i="31"/>
  <c r="CD244" i="2"/>
  <c r="CH244" i="2"/>
  <c r="BW244" i="2"/>
  <c r="BU244" i="2"/>
  <c r="BP244" i="2"/>
  <c r="J50" i="31"/>
  <c r="K60" i="31"/>
  <c r="I16" i="7"/>
  <c r="CK196" i="2"/>
  <c r="CK204" i="2"/>
  <c r="BK198" i="2"/>
  <c r="BK246" i="2" s="1"/>
  <c r="M60" i="31"/>
  <c r="M166" i="31" s="1"/>
  <c r="M168" i="31" s="1"/>
  <c r="M170" i="31" s="1"/>
  <c r="CJ43" i="2"/>
  <c r="CJ48" i="2" s="1"/>
  <c r="CJ58" i="2" s="1"/>
  <c r="CP204" i="2"/>
  <c r="BS244" i="2"/>
  <c r="N50" i="31"/>
  <c r="BY244" i="2"/>
  <c r="CG196" i="2"/>
  <c r="AB15" i="7"/>
  <c r="BV243" i="2"/>
  <c r="BP243" i="2"/>
  <c r="BE243" i="2"/>
  <c r="BX243" i="2"/>
  <c r="BN243" i="2"/>
  <c r="CG243" i="2"/>
  <c r="BL243" i="2"/>
  <c r="CE243" i="2"/>
  <c r="CN243" i="2"/>
  <c r="BG243" i="2"/>
  <c r="BJ243" i="2"/>
  <c r="BK187" i="2"/>
  <c r="BK188" i="2" s="1"/>
  <c r="CK242" i="2"/>
  <c r="CC242" i="2"/>
  <c r="CC187" i="2"/>
  <c r="CB242" i="2"/>
  <c r="CB187" i="2"/>
  <c r="CB188" i="2" s="1"/>
  <c r="CL242" i="2"/>
  <c r="BE242" i="2"/>
  <c r="BC242" i="2"/>
  <c r="CH242" i="2"/>
  <c r="CD242" i="2"/>
  <c r="CO242" i="2"/>
  <c r="CO243" i="2"/>
  <c r="BW242" i="2"/>
  <c r="CF243" i="2"/>
  <c r="CD243" i="2"/>
  <c r="CF242" i="2"/>
  <c r="BY242" i="2"/>
  <c r="CQ242" i="2"/>
  <c r="BG242" i="2"/>
  <c r="BU242" i="2"/>
  <c r="CH243" i="2"/>
  <c r="CP243" i="2"/>
  <c r="CM243" i="2"/>
  <c r="BJ242" i="2"/>
  <c r="BK242" i="2"/>
  <c r="BS243" i="2"/>
  <c r="CC243" i="2"/>
  <c r="BW243" i="2"/>
  <c r="CB243" i="2"/>
  <c r="BE196" i="2"/>
  <c r="BE244" i="2" s="1"/>
  <c r="BL196" i="2"/>
  <c r="BL244" i="2" s="1"/>
  <c r="CK243" i="2"/>
  <c r="BG196" i="2"/>
  <c r="BG244" i="2" s="1"/>
  <c r="BF196" i="2"/>
  <c r="BC196" i="2"/>
  <c r="BC244" i="2" s="1"/>
  <c r="CL243" i="2"/>
  <c r="BN196" i="2"/>
  <c r="BN244" i="2" s="1"/>
  <c r="BJ196" i="2"/>
  <c r="BJ244" i="2" s="1"/>
  <c r="BK196" i="2"/>
  <c r="BK244" i="2" s="1"/>
  <c r="CA196" i="2"/>
  <c r="BL257" i="2"/>
  <c r="BJ257" i="2"/>
  <c r="BN257" i="2"/>
  <c r="CQ243" i="2"/>
  <c r="BY243" i="2"/>
  <c r="BK257" i="2"/>
  <c r="CS43" i="2"/>
  <c r="CS48" i="2" s="1"/>
  <c r="CS58" i="2" s="1"/>
  <c r="CA262" i="2"/>
  <c r="CJ262" i="2"/>
  <c r="BM250" i="2"/>
  <c r="BM247" i="2"/>
  <c r="BQ247" i="2"/>
  <c r="CI248" i="2"/>
  <c r="CJ246" i="2"/>
  <c r="G44" i="9"/>
  <c r="BF248" i="2"/>
  <c r="BO248" i="2"/>
  <c r="BZ248" i="2"/>
  <c r="BH248" i="2"/>
  <c r="CI260" i="2"/>
  <c r="BF260" i="2"/>
  <c r="BD260" i="2"/>
  <c r="BZ259" i="2"/>
  <c r="BZ261" i="2"/>
  <c r="BP259" i="2"/>
  <c r="BA250" i="2"/>
  <c r="BD261" i="2"/>
  <c r="BT254" i="2"/>
  <c r="CI254" i="2"/>
  <c r="BM254" i="2"/>
  <c r="CJ254" i="2"/>
  <c r="AB13" i="7"/>
  <c r="BP248" i="2"/>
  <c r="BF261" i="2"/>
  <c r="BX260" i="2"/>
  <c r="BR261" i="2"/>
  <c r="BQ261" i="2"/>
  <c r="BZ246" i="2"/>
  <c r="BO260" i="2"/>
  <c r="BQ160" i="2"/>
  <c r="BQ246" i="2" s="1"/>
  <c r="BE250" i="2"/>
  <c r="BG250" i="2"/>
  <c r="BF250" i="2"/>
  <c r="BI43" i="2"/>
  <c r="BI48" i="2" s="1"/>
  <c r="CA43" i="2"/>
  <c r="CA48" i="2" s="1"/>
  <c r="CA58" i="2" s="1"/>
  <c r="BB250" i="2"/>
  <c r="BK254" i="2"/>
  <c r="BS254" i="2"/>
  <c r="BP250" i="2"/>
  <c r="BD250" i="2"/>
  <c r="BK250" i="2"/>
  <c r="CG250" i="2"/>
  <c r="BJ254" i="2"/>
  <c r="BA254" i="2"/>
  <c r="BB254" i="2"/>
  <c r="BD254" i="2"/>
  <c r="BD265" i="2"/>
  <c r="DL43" i="2"/>
  <c r="DL48" i="2" s="1"/>
  <c r="DL58" i="2" s="1"/>
  <c r="DL149" i="2" s="1"/>
  <c r="DL151" i="2" s="1"/>
  <c r="DL152" i="2" s="1"/>
  <c r="BZ260" i="2"/>
  <c r="BK260" i="2"/>
  <c r="CI259" i="2"/>
  <c r="CI160" i="2"/>
  <c r="CI246" i="2" s="1"/>
  <c r="BV264" i="2"/>
  <c r="CJ264" i="2"/>
  <c r="BN264" i="2"/>
  <c r="CM242" i="2"/>
  <c r="BJ260" i="2"/>
  <c r="CJ261" i="2"/>
  <c r="DD48" i="2"/>
  <c r="DD58" i="2" s="1"/>
  <c r="BF245" i="2"/>
  <c r="BZ264" i="2"/>
  <c r="BR265" i="2"/>
  <c r="BN260" i="2"/>
  <c r="BR245" i="2"/>
  <c r="BW254" i="2"/>
  <c r="BM260" i="2"/>
  <c r="BF247" i="2"/>
  <c r="BR43" i="2"/>
  <c r="BR48" i="2" s="1"/>
  <c r="BR58" i="2" s="1"/>
  <c r="BR149" i="2" s="1"/>
  <c r="BR151" i="2" s="1"/>
  <c r="BF264" i="2"/>
  <c r="BJ259" i="2"/>
  <c r="BQ245" i="2"/>
  <c r="CA265" i="2"/>
  <c r="CI264" i="2"/>
  <c r="BB261" i="2"/>
  <c r="CG264" i="2"/>
  <c r="CI245" i="2"/>
  <c r="BO257" i="2"/>
  <c r="CA261" i="2"/>
  <c r="BD247" i="2"/>
  <c r="CB264" i="2"/>
  <c r="BD257" i="2"/>
  <c r="BD248" i="2"/>
  <c r="BZ265" i="2"/>
  <c r="BA260" i="2"/>
  <c r="BT264" i="2"/>
  <c r="CR160" i="2"/>
  <c r="CR246" i="2" s="1"/>
  <c r="BW264" i="2"/>
  <c r="CE264" i="2"/>
  <c r="AB17" i="7"/>
  <c r="BJ264" i="2"/>
  <c r="X12" i="10"/>
  <c r="BT247" i="2"/>
  <c r="BF265" i="2"/>
  <c r="BU243" i="2"/>
  <c r="P36" i="9"/>
  <c r="P38" i="9" s="1"/>
  <c r="AB8" i="7"/>
  <c r="BF257" i="2"/>
  <c r="CN160" i="2"/>
  <c r="CN246" i="2" s="1"/>
  <c r="CJ265" i="2"/>
  <c r="N5" i="10"/>
  <c r="Y10" i="9"/>
  <c r="AC10" i="9" s="1"/>
  <c r="N7" i="10"/>
  <c r="Y21" i="9"/>
  <c r="Z21" i="9" s="1"/>
  <c r="Z30" i="9" s="1"/>
  <c r="AB30" i="9" s="1"/>
  <c r="G40" i="9"/>
  <c r="G41" i="9" s="1"/>
  <c r="G42" i="9" s="1"/>
  <c r="BM248" i="2"/>
  <c r="BK264" i="2"/>
  <c r="BU254" i="2"/>
  <c r="CG247" i="2"/>
  <c r="CI247" i="2"/>
  <c r="BZ247" i="2"/>
  <c r="AA29" i="9"/>
  <c r="AC29" i="9" s="1"/>
  <c r="Z22" i="9"/>
  <c r="AA22" i="9" s="1"/>
  <c r="Z11" i="10" s="1"/>
  <c r="X9" i="10"/>
  <c r="BS264" i="2"/>
  <c r="N40" i="9"/>
  <c r="N41" i="9" s="1"/>
  <c r="N42" i="9" s="1"/>
  <c r="X38" i="9"/>
  <c r="X40" i="9" s="1"/>
  <c r="X41" i="9" s="1"/>
  <c r="X42" i="9" s="1"/>
  <c r="BU260" i="2"/>
  <c r="AA26" i="9"/>
  <c r="AC26" i="9" s="1"/>
  <c r="J40" i="9"/>
  <c r="J41" i="9" s="1"/>
  <c r="J42" i="9" s="1"/>
  <c r="X7" i="10"/>
  <c r="O10" i="9"/>
  <c r="N12" i="10"/>
  <c r="N13" i="10"/>
  <c r="N6" i="10"/>
  <c r="X8" i="10"/>
  <c r="X2" i="10"/>
  <c r="N9" i="10"/>
  <c r="N2" i="10"/>
  <c r="N10" i="10"/>
  <c r="X5" i="10"/>
  <c r="N8" i="10"/>
  <c r="N11" i="10"/>
  <c r="I40" i="9"/>
  <c r="I41" i="9" s="1"/>
  <c r="I42" i="9" s="1"/>
  <c r="Y18" i="9"/>
  <c r="Z18" i="9" s="1"/>
  <c r="AA18" i="9" s="1"/>
  <c r="O34" i="9"/>
  <c r="O36" i="9" s="1"/>
  <c r="Y33" i="9"/>
  <c r="AA27" i="9"/>
  <c r="AC27" i="9" s="1"/>
  <c r="L40" i="9"/>
  <c r="L41" i="9" s="1"/>
  <c r="L42" i="9" s="1"/>
  <c r="AA25" i="9"/>
  <c r="AC25" i="9" s="1"/>
  <c r="H40" i="9"/>
  <c r="H41" i="9" s="1"/>
  <c r="H42" i="9" s="1"/>
  <c r="BO247" i="2"/>
  <c r="AA28" i="9"/>
  <c r="AC28" i="9" s="1"/>
  <c r="Z12" i="10"/>
  <c r="BC264" i="2"/>
  <c r="BO264" i="2"/>
  <c r="CA245" i="2"/>
  <c r="BF259" i="2"/>
  <c r="BN250" i="2"/>
  <c r="G46" i="9"/>
  <c r="BA259" i="2"/>
  <c r="BD259" i="2"/>
  <c r="BZ250" i="2"/>
  <c r="BC250" i="2"/>
  <c r="BG264" i="2"/>
  <c r="BB265" i="2"/>
  <c r="X13" i="10"/>
  <c r="Y13" i="10"/>
  <c r="AB23" i="9"/>
  <c r="BJ250" i="2"/>
  <c r="BL259" i="2"/>
  <c r="AB12" i="7"/>
  <c r="BE264" i="2"/>
  <c r="BB259" i="2"/>
  <c r="BM259" i="2"/>
  <c r="AA23" i="9"/>
  <c r="BL250" i="2"/>
  <c r="BN259" i="2"/>
  <c r="Y12" i="10"/>
  <c r="AB24" i="9"/>
  <c r="AC24" i="9" s="1"/>
  <c r="BB257" i="2"/>
  <c r="K166" i="31" l="1"/>
  <c r="K168" i="31" s="1"/>
  <c r="K170" i="31" s="1"/>
  <c r="CS149" i="2"/>
  <c r="CS151" i="2" s="1"/>
  <c r="CJ149" i="2"/>
  <c r="EM149" i="2"/>
  <c r="EM151" i="2" s="1"/>
  <c r="EM152" i="2" s="1"/>
  <c r="EG154" i="2"/>
  <c r="DC149" i="2"/>
  <c r="DC151" i="2" s="1"/>
  <c r="DC152" i="2" s="1"/>
  <c r="EF154" i="2"/>
  <c r="EL154" i="2"/>
  <c r="EL151" i="2"/>
  <c r="EL152" i="2" s="1"/>
  <c r="BZ151" i="2"/>
  <c r="FJ151" i="2"/>
  <c r="FJ152" i="2" s="1"/>
  <c r="CW151" i="2"/>
  <c r="CW152" i="2" s="1"/>
  <c r="DV151" i="2"/>
  <c r="DV152" i="2" s="1"/>
  <c r="BI58" i="2"/>
  <c r="BI149" i="2" s="1"/>
  <c r="BF316" i="2" s="1"/>
  <c r="H166" i="31"/>
  <c r="H168" i="31" s="1"/>
  <c r="CK234" i="2"/>
  <c r="BE188" i="2"/>
  <c r="BA198" i="2"/>
  <c r="BA246" i="2" s="1"/>
  <c r="BA204" i="2"/>
  <c r="BA252" i="2" s="1"/>
  <c r="EH154" i="2"/>
  <c r="EJ154" i="2"/>
  <c r="CR204" i="2"/>
  <c r="BS204" i="2"/>
  <c r="BS234" i="2" s="1"/>
  <c r="BS235" i="2" s="1"/>
  <c r="BC188" i="2"/>
  <c r="CC188" i="2"/>
  <c r="EN43" i="2"/>
  <c r="EN48" i="2" s="1"/>
  <c r="EN58" i="2" s="1"/>
  <c r="BJ188" i="2"/>
  <c r="CR158" i="2"/>
  <c r="BZ158" i="2"/>
  <c r="BZ244" i="2" s="1"/>
  <c r="CI158" i="2"/>
  <c r="BH158" i="2"/>
  <c r="BQ158" i="2"/>
  <c r="BQ187" i="2" s="1"/>
  <c r="BC204" i="2"/>
  <c r="BC252" i="2" s="1"/>
  <c r="CD166" i="2"/>
  <c r="CD252" i="2" s="1"/>
  <c r="BE204" i="2"/>
  <c r="BE252" i="2" s="1"/>
  <c r="BN204" i="2"/>
  <c r="BN234" i="2" s="1"/>
  <c r="BN235" i="2" s="1"/>
  <c r="BG204" i="2"/>
  <c r="BG252" i="2" s="1"/>
  <c r="BJ204" i="2"/>
  <c r="BJ252" i="2" s="1"/>
  <c r="BK204" i="2"/>
  <c r="BK252" i="2" s="1"/>
  <c r="CA204" i="2"/>
  <c r="CA234" i="2" s="1"/>
  <c r="CA235" i="2" s="1"/>
  <c r="BL204" i="2"/>
  <c r="BF244" i="2"/>
  <c r="BC198" i="2"/>
  <c r="BC246" i="2" s="1"/>
  <c r="BG198" i="2"/>
  <c r="BG246" i="2" s="1"/>
  <c r="BJ198" i="2"/>
  <c r="BJ246" i="2" s="1"/>
  <c r="BF198" i="2"/>
  <c r="BF246" i="2" s="1"/>
  <c r="BO196" i="2"/>
  <c r="BO244" i="2" s="1"/>
  <c r="CK166" i="2"/>
  <c r="CK252" i="2" s="1"/>
  <c r="BY187" i="2"/>
  <c r="BY188" i="2" s="1"/>
  <c r="BU252" i="2"/>
  <c r="BP187" i="2"/>
  <c r="BP188" i="2" s="1"/>
  <c r="CF166" i="2"/>
  <c r="CO166" i="2"/>
  <c r="CO252" i="2" s="1"/>
  <c r="L50" i="31"/>
  <c r="BE198" i="2"/>
  <c r="BE246" i="2" s="1"/>
  <c r="BW252" i="2"/>
  <c r="CM166" i="2"/>
  <c r="CM252" i="2" s="1"/>
  <c r="CQ166" i="2"/>
  <c r="CH188" i="2"/>
  <c r="BL188" i="2"/>
  <c r="CK244" i="2"/>
  <c r="N60" i="31"/>
  <c r="L16" i="7"/>
  <c r="I60" i="31"/>
  <c r="I166" i="31" s="1"/>
  <c r="I168" i="31" s="1"/>
  <c r="I170" i="31" s="1"/>
  <c r="CP196" i="2"/>
  <c r="CP244" i="2" s="1"/>
  <c r="CL196" i="2"/>
  <c r="CL244" i="2" s="1"/>
  <c r="BD196" i="2"/>
  <c r="BD244" i="2" s="1"/>
  <c r="CG244" i="2"/>
  <c r="EE43" i="2"/>
  <c r="EE48" i="2" s="1"/>
  <c r="EE58" i="2" s="1"/>
  <c r="EE149" i="2" s="1"/>
  <c r="EE151" i="2" s="1"/>
  <c r="EE152" i="2" s="1"/>
  <c r="CI196" i="2"/>
  <c r="CC196" i="2"/>
  <c r="CC244" i="2" s="1"/>
  <c r="CE196" i="2"/>
  <c r="CE244" i="2" s="1"/>
  <c r="BF243" i="2"/>
  <c r="BD243" i="2"/>
  <c r="CE242" i="2"/>
  <c r="BV242" i="2"/>
  <c r="CP242" i="2"/>
  <c r="CN242" i="2"/>
  <c r="CG242" i="2"/>
  <c r="BF242" i="2"/>
  <c r="BF187" i="2"/>
  <c r="BD242" i="2"/>
  <c r="BD187" i="2"/>
  <c r="BX242" i="2"/>
  <c r="BT243" i="2"/>
  <c r="BB243" i="2"/>
  <c r="CI242" i="2"/>
  <c r="BZ242" i="2"/>
  <c r="BM243" i="2"/>
  <c r="BO243" i="2"/>
  <c r="BH242" i="2"/>
  <c r="BK243" i="2"/>
  <c r="BM196" i="2"/>
  <c r="BM244" i="2" s="1"/>
  <c r="BB196" i="2"/>
  <c r="BB244" i="2" s="1"/>
  <c r="CR243" i="2"/>
  <c r="BZ243" i="2"/>
  <c r="CS243" i="2"/>
  <c r="BQ257" i="2"/>
  <c r="CI257" i="2"/>
  <c r="BZ257" i="2"/>
  <c r="BM257" i="2"/>
  <c r="CJ257" i="2"/>
  <c r="CI243" i="2"/>
  <c r="CJ243" i="2"/>
  <c r="CA243" i="2"/>
  <c r="G48" i="9"/>
  <c r="BR247" i="2"/>
  <c r="CJ247" i="2"/>
  <c r="CJ259" i="2"/>
  <c r="BI248" i="2"/>
  <c r="BQ248" i="2"/>
  <c r="CA260" i="2"/>
  <c r="BH260" i="2"/>
  <c r="BZ254" i="2"/>
  <c r="BO254" i="2"/>
  <c r="BH261" i="2"/>
  <c r="BD264" i="2"/>
  <c r="DM43" i="2"/>
  <c r="DM48" i="2" s="1"/>
  <c r="DM58" i="2" s="1"/>
  <c r="DM149" i="2" s="1"/>
  <c r="DM151" i="2" s="1"/>
  <c r="DM152" i="2" s="1"/>
  <c r="BO250" i="2"/>
  <c r="CI250" i="2"/>
  <c r="CA250" i="2"/>
  <c r="CJ250" i="2"/>
  <c r="BH254" i="2"/>
  <c r="AB18" i="7"/>
  <c r="BF254" i="2"/>
  <c r="AB7" i="7"/>
  <c r="BQ260" i="2"/>
  <c r="CJ260" i="2"/>
  <c r="BH257" i="2"/>
  <c r="AB6" i="7"/>
  <c r="BI257" i="2"/>
  <c r="BM264" i="2"/>
  <c r="BO259" i="2"/>
  <c r="BH265" i="2"/>
  <c r="BI245" i="2"/>
  <c r="BH245" i="2"/>
  <c r="BH264" i="2"/>
  <c r="CA264" i="2"/>
  <c r="CA248" i="2"/>
  <c r="CJ245" i="2"/>
  <c r="AB16" i="7"/>
  <c r="BI265" i="2"/>
  <c r="CS160" i="2"/>
  <c r="CS246" i="2" s="1"/>
  <c r="Y30" i="9"/>
  <c r="AB21" i="9"/>
  <c r="AA21" i="9"/>
  <c r="P40" i="9"/>
  <c r="P41" i="9" s="1"/>
  <c r="P42" i="9" s="1"/>
  <c r="Y11" i="10"/>
  <c r="CJ248" i="2"/>
  <c r="AB22" i="9"/>
  <c r="AC22" i="9" s="1"/>
  <c r="CI265" i="2"/>
  <c r="BH247" i="2"/>
  <c r="O38" i="9"/>
  <c r="O40" i="9" s="1"/>
  <c r="O41" i="9" s="1"/>
  <c r="O42" i="9" s="1"/>
  <c r="Y19" i="9"/>
  <c r="X10" i="10"/>
  <c r="Z9" i="10"/>
  <c r="CA259" i="2"/>
  <c r="Y34" i="9"/>
  <c r="Z33" i="9"/>
  <c r="AA33" i="9" s="1"/>
  <c r="BH250" i="2"/>
  <c r="Z10" i="10"/>
  <c r="AA19" i="9"/>
  <c r="Y10" i="10"/>
  <c r="Z19" i="9"/>
  <c r="Z13" i="10"/>
  <c r="AC23" i="9"/>
  <c r="BR264" i="2"/>
  <c r="BA243" i="2"/>
  <c r="BK259" i="2"/>
  <c r="BV254" i="2"/>
  <c r="BC243" i="2"/>
  <c r="BE260" i="2"/>
  <c r="BB260" i="2"/>
  <c r="BG321" i="2" l="1"/>
  <c r="BG329" i="2"/>
  <c r="BI329" i="2" s="1"/>
  <c r="EN149" i="2"/>
  <c r="EN151" i="2" s="1"/>
  <c r="EN152" i="2" s="1"/>
  <c r="CA166" i="2"/>
  <c r="CA149" i="2"/>
  <c r="CA151" i="2" s="1"/>
  <c r="DD149" i="2"/>
  <c r="DD151" i="2" s="1"/>
  <c r="DD152" i="2" s="1"/>
  <c r="CK281" i="2"/>
  <c r="CK235" i="2"/>
  <c r="CK236" i="2" s="1"/>
  <c r="CJ151" i="2"/>
  <c r="EF155" i="2"/>
  <c r="FT43" i="2"/>
  <c r="N166" i="31"/>
  <c r="E50" i="31"/>
  <c r="BA234" i="2"/>
  <c r="BA235" i="2" s="1"/>
  <c r="BF204" i="2"/>
  <c r="BF252" i="2" s="1"/>
  <c r="EI154" i="2"/>
  <c r="CS204" i="2"/>
  <c r="EJ155" i="2"/>
  <c r="EH155" i="2"/>
  <c r="CQ187" i="2"/>
  <c r="CQ188" i="2" s="1"/>
  <c r="CQ189" i="2" s="1"/>
  <c r="CQ252" i="2"/>
  <c r="BS252" i="2"/>
  <c r="BZ187" i="2"/>
  <c r="H170" i="31"/>
  <c r="BV252" i="2"/>
  <c r="BF188" i="2"/>
  <c r="BD188" i="2"/>
  <c r="BX252" i="2"/>
  <c r="BO166" i="2"/>
  <c r="BO187" i="2" s="1"/>
  <c r="BO188" i="2" s="1"/>
  <c r="CF204" i="2"/>
  <c r="CF252" i="2" s="1"/>
  <c r="CD187" i="2"/>
  <c r="CD188" i="2" s="1"/>
  <c r="CD189" i="2" s="1"/>
  <c r="BI158" i="2"/>
  <c r="CJ158" i="2"/>
  <c r="EK154" i="2"/>
  <c r="CS158" i="2"/>
  <c r="CA158" i="2"/>
  <c r="CR196" i="2"/>
  <c r="CR244" i="2" s="1"/>
  <c r="BR158" i="2"/>
  <c r="BN252" i="2"/>
  <c r="BM204" i="2"/>
  <c r="BM234" i="2" s="1"/>
  <c r="BM235" i="2" s="1"/>
  <c r="CI204" i="2"/>
  <c r="CI252" i="2" s="1"/>
  <c r="BJ234" i="2"/>
  <c r="BJ235" i="2" s="1"/>
  <c r="Q50" i="31"/>
  <c r="N16" i="7" s="1"/>
  <c r="CF187" i="2"/>
  <c r="BN187" i="2"/>
  <c r="BN188" i="2" s="1"/>
  <c r="CH252" i="2"/>
  <c r="CO187" i="2"/>
  <c r="CO188" i="2" s="1"/>
  <c r="CO189" i="2" s="1"/>
  <c r="CM187" i="2"/>
  <c r="BY252" i="2"/>
  <c r="CK187" i="2"/>
  <c r="BP252" i="2"/>
  <c r="BW187" i="2"/>
  <c r="BW188" i="2" s="1"/>
  <c r="BS188" i="2"/>
  <c r="J16" i="7"/>
  <c r="CL166" i="2"/>
  <c r="R50" i="31"/>
  <c r="L60" i="31"/>
  <c r="L166" i="31" s="1"/>
  <c r="L168" i="31" s="1"/>
  <c r="L170" i="31" s="1"/>
  <c r="CP166" i="2"/>
  <c r="BT187" i="2"/>
  <c r="BT188" i="2" s="1"/>
  <c r="BB198" i="2"/>
  <c r="BB246" i="2" s="1"/>
  <c r="CN166" i="2"/>
  <c r="BU187" i="2"/>
  <c r="BU188" i="2" s="1"/>
  <c r="BB204" i="2"/>
  <c r="BB252" i="2" s="1"/>
  <c r="BI198" i="2"/>
  <c r="CG166" i="2"/>
  <c r="CG187" i="2" s="1"/>
  <c r="CG188" i="2" s="1"/>
  <c r="BM187" i="2"/>
  <c r="BM188" i="2" s="1"/>
  <c r="BH198" i="2"/>
  <c r="BH246" i="2" s="1"/>
  <c r="CG204" i="2"/>
  <c r="BL252" i="2"/>
  <c r="CE166" i="2"/>
  <c r="CE187" i="2" s="1"/>
  <c r="CE188" i="2" s="1"/>
  <c r="BD198" i="2"/>
  <c r="BD246" i="2" s="1"/>
  <c r="CJ166" i="2"/>
  <c r="CI244" i="2"/>
  <c r="CI187" i="2"/>
  <c r="J60" i="31"/>
  <c r="CN196" i="2"/>
  <c r="CN244" i="2" s="1"/>
  <c r="BH187" i="2"/>
  <c r="BH243" i="2"/>
  <c r="CR242" i="2"/>
  <c r="CA242" i="2"/>
  <c r="CJ242" i="2"/>
  <c r="BH196" i="2"/>
  <c r="BH244" i="2" s="1"/>
  <c r="BQ196" i="2"/>
  <c r="BQ244" i="2" s="1"/>
  <c r="BI196" i="2"/>
  <c r="BQ243" i="2"/>
  <c r="BR243" i="2"/>
  <c r="CA257" i="2"/>
  <c r="BR248" i="2"/>
  <c r="CA247" i="2"/>
  <c r="BI259" i="2"/>
  <c r="CA160" i="2"/>
  <c r="CA246" i="2" s="1"/>
  <c r="BR259" i="2"/>
  <c r="BI261" i="2"/>
  <c r="BR260" i="2"/>
  <c r="BI260" i="2"/>
  <c r="BI250" i="2"/>
  <c r="BQ250" i="2"/>
  <c r="BQ254" i="2"/>
  <c r="BR250" i="2"/>
  <c r="BI254" i="2"/>
  <c r="BQ259" i="2"/>
  <c r="CH189" i="2"/>
  <c r="CB189" i="2"/>
  <c r="BR246" i="2"/>
  <c r="BH259" i="2"/>
  <c r="BQ264" i="2"/>
  <c r="BI247" i="2"/>
  <c r="BI264" i="2"/>
  <c r="AC21" i="9"/>
  <c r="AA30" i="9"/>
  <c r="AC30" i="9" s="1"/>
  <c r="BX254" i="2"/>
  <c r="Y36" i="9"/>
  <c r="Y38" i="9" s="1"/>
  <c r="Y40" i="9" s="1"/>
  <c r="Y41" i="9" s="1"/>
  <c r="Y42" i="9" s="1"/>
  <c r="AA34" i="9"/>
  <c r="AB33" i="9"/>
  <c r="AC33" i="9" s="1"/>
  <c r="Z34" i="9"/>
  <c r="AB34" i="9" s="1"/>
  <c r="AC19" i="9"/>
  <c r="CC189" i="2"/>
  <c r="CA244" i="2" l="1"/>
  <c r="CA187" i="2"/>
  <c r="CK282" i="2"/>
  <c r="BI151" i="2"/>
  <c r="BG316" i="2"/>
  <c r="BH316" i="2" s="1"/>
  <c r="N168" i="31"/>
  <c r="N170" i="31" s="1"/>
  <c r="BD204" i="2"/>
  <c r="BD252" i="2" s="1"/>
  <c r="CE204" i="2"/>
  <c r="CE252" i="2" s="1"/>
  <c r="EG155" i="2"/>
  <c r="BV187" i="2"/>
  <c r="BV188" i="2" s="1"/>
  <c r="CS166" i="2"/>
  <c r="CS252" i="2" s="1"/>
  <c r="CN187" i="2"/>
  <c r="CN188" i="2" s="1"/>
  <c r="CN189" i="2" s="1"/>
  <c r="CN252" i="2"/>
  <c r="CP187" i="2"/>
  <c r="CP188" i="2" s="1"/>
  <c r="CP189" i="2" s="1"/>
  <c r="CP252" i="2"/>
  <c r="CL187" i="2"/>
  <c r="CL188" i="2" s="1"/>
  <c r="CL189" i="2" s="1"/>
  <c r="CL252" i="2"/>
  <c r="BI321" i="2"/>
  <c r="CC204" i="2"/>
  <c r="CC252" i="2" s="1"/>
  <c r="BX187" i="2"/>
  <c r="BX188" i="2" s="1"/>
  <c r="BH188" i="2"/>
  <c r="BQ188" i="2"/>
  <c r="CI188" i="2"/>
  <c r="BR196" i="2"/>
  <c r="BR244" i="2" s="1"/>
  <c r="EK155" i="2"/>
  <c r="CK188" i="2"/>
  <c r="CK189" i="2" s="1"/>
  <c r="CF188" i="2"/>
  <c r="CF189" i="2" s="1"/>
  <c r="CM188" i="2"/>
  <c r="CM189" i="2" s="1"/>
  <c r="BQ204" i="2"/>
  <c r="BQ252" i="2" s="1"/>
  <c r="O16" i="7"/>
  <c r="BB234" i="2"/>
  <c r="BB235" i="2" s="1"/>
  <c r="BI244" i="2"/>
  <c r="BT252" i="2"/>
  <c r="CG252" i="2"/>
  <c r="BM252" i="2"/>
  <c r="R60" i="31"/>
  <c r="R166" i="31" s="1"/>
  <c r="R168" i="31" s="1"/>
  <c r="R170" i="31" s="1"/>
  <c r="Z50" i="31"/>
  <c r="CR166" i="2"/>
  <c r="BZ188" i="2"/>
  <c r="BO204" i="2"/>
  <c r="BO234" i="2" s="1"/>
  <c r="BO235" i="2" s="1"/>
  <c r="Q60" i="31"/>
  <c r="CJ196" i="2"/>
  <c r="CJ244" i="2" s="1"/>
  <c r="CS196" i="2"/>
  <c r="CS244" i="2" s="1"/>
  <c r="CJ187" i="2"/>
  <c r="BR187" i="2"/>
  <c r="BI243" i="2"/>
  <c r="CS242" i="2"/>
  <c r="BI242" i="2"/>
  <c r="BI187" i="2"/>
  <c r="BR257" i="2"/>
  <c r="BI246" i="2"/>
  <c r="CA254" i="2"/>
  <c r="CG189" i="2"/>
  <c r="BR254" i="2"/>
  <c r="CE189" i="2"/>
  <c r="AA36" i="9"/>
  <c r="AA38" i="9" s="1"/>
  <c r="Z36" i="9"/>
  <c r="AB36" i="9" s="1"/>
  <c r="AC34" i="9"/>
  <c r="EI155" i="2" l="1"/>
  <c r="BL321" i="2"/>
  <c r="BQ313" i="2"/>
  <c r="CR187" i="2"/>
  <c r="CR188" i="2" s="1"/>
  <c r="CR252" i="2"/>
  <c r="BR188" i="2"/>
  <c r="BI188" i="2"/>
  <c r="CS187" i="2"/>
  <c r="CS188" i="2" s="1"/>
  <c r="CA252" i="2"/>
  <c r="CJ188" i="2"/>
  <c r="CJ189" i="2" s="1"/>
  <c r="BQ234" i="2"/>
  <c r="BQ235" i="2" s="1"/>
  <c r="BH204" i="2"/>
  <c r="BH252" i="2" s="1"/>
  <c r="BI204" i="2"/>
  <c r="BI252" i="2" s="1"/>
  <c r="Z60" i="31"/>
  <c r="Z166" i="31" s="1"/>
  <c r="W16" i="7"/>
  <c r="AA50" i="31"/>
  <c r="AC50" i="31" s="1"/>
  <c r="BO252" i="2"/>
  <c r="BZ252" i="2"/>
  <c r="AC36" i="9"/>
  <c r="Z38" i="9"/>
  <c r="AB38" i="9" s="1"/>
  <c r="AC38" i="9" s="1"/>
  <c r="AA40" i="9"/>
  <c r="Z168" i="31" l="1"/>
  <c r="Z170" i="31" s="1"/>
  <c r="AD50" i="31"/>
  <c r="AE50" i="31"/>
  <c r="AC60" i="31"/>
  <c r="BI316" i="2"/>
  <c r="BS313" i="2" s="1"/>
  <c r="BR313" i="2"/>
  <c r="BG339" i="2"/>
  <c r="BH339" i="2" s="1"/>
  <c r="Z16" i="7"/>
  <c r="X16" i="7"/>
  <c r="AA60" i="31"/>
  <c r="BR204" i="2"/>
  <c r="CJ204" i="2"/>
  <c r="CJ252" i="2" s="1"/>
  <c r="CS189" i="2"/>
  <c r="CR189" i="2"/>
  <c r="CI189" i="2"/>
  <c r="Z40" i="9"/>
  <c r="Z41" i="9" s="1"/>
  <c r="Z42" i="9" s="1"/>
  <c r="Z15" i="10"/>
  <c r="AA41" i="9"/>
  <c r="AA42" i="9" s="1"/>
  <c r="AE60" i="31" l="1"/>
  <c r="CA188" i="2"/>
  <c r="AB60" i="31"/>
  <c r="Y16" i="7"/>
  <c r="BR252" i="2"/>
  <c r="BR234" i="2"/>
  <c r="BR235" i="2" s="1"/>
  <c r="AC39" i="9"/>
  <c r="Y15" i="10"/>
  <c r="AD60" i="31" l="1"/>
  <c r="K22" i="13"/>
  <c r="BV189" i="2" l="1"/>
  <c r="BX189" i="2"/>
  <c r="BZ189" i="2"/>
  <c r="BA189" i="2"/>
  <c r="BK189" i="2"/>
  <c r="BI189" i="2"/>
  <c r="BB189" i="2"/>
  <c r="BG189" i="2" l="1"/>
  <c r="BH189" i="2"/>
  <c r="BC189" i="2"/>
  <c r="BJ189" i="2"/>
  <c r="CA189" i="2" l="1"/>
  <c r="BD189" i="2"/>
  <c r="BY189" i="2"/>
  <c r="BF189" i="2" l="1"/>
  <c r="BE189" i="2"/>
  <c r="BW189" i="2"/>
  <c r="BU189" i="2"/>
  <c r="BA255" i="2"/>
  <c r="BA253" i="2" l="1"/>
  <c r="BA256" i="2" l="1"/>
  <c r="BA281" i="2" l="1"/>
  <c r="BA288" i="2" s="1"/>
  <c r="BA294" i="2" s="1"/>
  <c r="BA295" i="2" s="1"/>
  <c r="BA236" i="2"/>
  <c r="BO255" i="2"/>
  <c r="BI255" i="2"/>
  <c r="BC255" i="2"/>
  <c r="BO256" i="2"/>
  <c r="BQ256" i="2"/>
  <c r="BJ256" i="2"/>
  <c r="BG255" i="2"/>
  <c r="BK255" i="2"/>
  <c r="BP255" i="2"/>
  <c r="BQ255" i="2"/>
  <c r="BI256" i="2"/>
  <c r="BR255" i="2"/>
  <c r="BB255" i="2"/>
  <c r="BD256" i="2"/>
  <c r="BK253" i="2"/>
  <c r="BG253" i="2"/>
  <c r="BD253" i="2"/>
  <c r="BL255" i="2"/>
  <c r="BQ253" i="2"/>
  <c r="BE253" i="2"/>
  <c r="BD255" i="2"/>
  <c r="BM253" i="2"/>
  <c r="BH255" i="2"/>
  <c r="BP256" i="2"/>
  <c r="BP253" i="2"/>
  <c r="BJ253" i="2"/>
  <c r="BO253" i="2"/>
  <c r="BA282" i="2" l="1"/>
  <c r="BA283" i="2" s="1"/>
  <c r="BF255" i="2"/>
  <c r="BB253" i="2"/>
  <c r="BR253" i="2"/>
  <c r="BN253" i="2"/>
  <c r="BD234" i="2"/>
  <c r="BD235" i="2" s="1"/>
  <c r="BH253" i="2"/>
  <c r="BM256" i="2"/>
  <c r="BM255" i="2"/>
  <c r="BE256" i="2"/>
  <c r="BF256" i="2"/>
  <c r="BL253" i="2"/>
  <c r="BC253" i="2"/>
  <c r="BD281" i="2"/>
  <c r="BR256" i="2"/>
  <c r="BI234" i="2"/>
  <c r="BI235" i="2" s="1"/>
  <c r="BN256" i="2"/>
  <c r="BN255" i="2"/>
  <c r="BI253" i="2"/>
  <c r="BI281" i="2" s="1"/>
  <c r="BI288" i="2" s="1"/>
  <c r="BF253" i="2"/>
  <c r="BL256" i="2"/>
  <c r="BJ255" i="2"/>
  <c r="BJ281" i="2" s="1"/>
  <c r="BA289" i="2" s="1"/>
  <c r="BL311" i="2" l="1"/>
  <c r="BF281" i="2"/>
  <c r="BF288" i="2" s="1"/>
  <c r="BF294" i="2" s="1"/>
  <c r="BF295" i="2" s="1"/>
  <c r="BO236" i="2"/>
  <c r="BF234" i="2"/>
  <c r="BF235" i="2" s="1"/>
  <c r="BA296" i="2"/>
  <c r="BA297" i="2" s="1"/>
  <c r="BQ236" i="2"/>
  <c r="BE255" i="2"/>
  <c r="BE281" i="2" s="1"/>
  <c r="BE234" i="2"/>
  <c r="BE235" i="2" s="1"/>
  <c r="BI236" i="2"/>
  <c r="BD288" i="2"/>
  <c r="BD294" i="2" s="1"/>
  <c r="BD295" i="2" s="1"/>
  <c r="BL234" i="2"/>
  <c r="BL235" i="2" s="1"/>
  <c r="BP236" i="2"/>
  <c r="BD282" i="2"/>
  <c r="BD283" i="2" s="1"/>
  <c r="BD236" i="2"/>
  <c r="BL312" i="2" l="1"/>
  <c r="BI294" i="2"/>
  <c r="BI295" i="2" s="1"/>
  <c r="BI282" i="2"/>
  <c r="BI283" i="2" s="1"/>
  <c r="BF282" i="2"/>
  <c r="BF283" i="2" s="1"/>
  <c r="BN236" i="2"/>
  <c r="BF236" i="2"/>
  <c r="BB256" i="2"/>
  <c r="BB281" i="2" s="1"/>
  <c r="BC256" i="2"/>
  <c r="BC281" i="2" s="1"/>
  <c r="BC288" i="2" s="1"/>
  <c r="BC294" i="2" s="1"/>
  <c r="BC295" i="2" s="1"/>
  <c r="BC234" i="2"/>
  <c r="BC235" i="2" s="1"/>
  <c r="BE282" i="2"/>
  <c r="BE283" i="2" s="1"/>
  <c r="BE236" i="2"/>
  <c r="BG256" i="2"/>
  <c r="BG281" i="2" s="1"/>
  <c r="BG234" i="2"/>
  <c r="BG235" i="2" s="1"/>
  <c r="BL236" i="2"/>
  <c r="BE288" i="2"/>
  <c r="BH256" i="2"/>
  <c r="BH281" i="2" s="1"/>
  <c r="BH234" i="2"/>
  <c r="BH235" i="2" s="1"/>
  <c r="BM236" i="2"/>
  <c r="BR236" i="2"/>
  <c r="BJ282" i="2"/>
  <c r="BJ283" i="2" s="1"/>
  <c r="BJ236" i="2"/>
  <c r="BK256" i="2"/>
  <c r="BK281" i="2" s="1"/>
  <c r="BB289" i="2" s="1"/>
  <c r="BK234" i="2"/>
  <c r="BK235" i="2" s="1"/>
  <c r="BD306" i="2"/>
  <c r="BB288" i="2" l="1"/>
  <c r="BB294" i="2" s="1"/>
  <c r="BB295" i="2" s="1"/>
  <c r="BC236" i="2"/>
  <c r="BC282" i="2"/>
  <c r="BC283" i="2" s="1"/>
  <c r="BB236" i="2"/>
  <c r="BB282" i="2"/>
  <c r="BB283" i="2" s="1"/>
  <c r="BG282" i="2"/>
  <c r="BG283" i="2" s="1"/>
  <c r="BG236" i="2"/>
  <c r="BG288" i="2"/>
  <c r="BG294" i="2" s="1"/>
  <c r="BG295" i="2" s="1"/>
  <c r="BB296" i="2"/>
  <c r="BB297" i="2" s="1"/>
  <c r="BH236" i="2"/>
  <c r="BH282" i="2"/>
  <c r="BH283" i="2" s="1"/>
  <c r="BE294" i="2"/>
  <c r="BE295" i="2" s="1"/>
  <c r="BK236" i="2"/>
  <c r="BK282" i="2"/>
  <c r="BK283" i="2" s="1"/>
  <c r="BH288" i="2"/>
  <c r="BH294" i="2" l="1"/>
  <c r="BH295" i="2" s="1"/>
  <c r="BT255" i="2" l="1"/>
  <c r="BU255" i="2"/>
  <c r="CE255" i="2"/>
  <c r="BZ255" i="2"/>
  <c r="BX255" i="2"/>
  <c r="CI255" i="2"/>
  <c r="CF255" i="2"/>
  <c r="CC255" i="2"/>
  <c r="BW255" i="2"/>
  <c r="BY255" i="2"/>
  <c r="BS255" i="2"/>
  <c r="CH255" i="2"/>
  <c r="CA255" i="2"/>
  <c r="BV255" i="2"/>
  <c r="CD255" i="2"/>
  <c r="CG255" i="2"/>
  <c r="CI256" i="2"/>
  <c r="CG256" i="2"/>
  <c r="CA256" i="2"/>
  <c r="BW256" i="2"/>
  <c r="CB256" i="2"/>
  <c r="CH256" i="2"/>
  <c r="CD256" i="2"/>
  <c r="CF256" i="2"/>
  <c r="CJ256" i="2"/>
  <c r="BU256" i="2"/>
  <c r="BT256" i="2"/>
  <c r="BZ256" i="2"/>
  <c r="BX256" i="2"/>
  <c r="CC256" i="2"/>
  <c r="BV256" i="2"/>
  <c r="BS256" i="2"/>
  <c r="CE256" i="2"/>
  <c r="BY256" i="2"/>
  <c r="CJ234" i="2" l="1"/>
  <c r="CJ235" i="2" s="1"/>
  <c r="CG234" i="2"/>
  <c r="CG235" i="2" s="1"/>
  <c r="CR234" i="2"/>
  <c r="CR235" i="2" s="1"/>
  <c r="CP234" i="2"/>
  <c r="CP235" i="2" s="1"/>
  <c r="CH234" i="2"/>
  <c r="CH235" i="2" s="1"/>
  <c r="CC234" i="2"/>
  <c r="CC235" i="2" s="1"/>
  <c r="CS234" i="2"/>
  <c r="CS235" i="2" s="1"/>
  <c r="CF234" i="2"/>
  <c r="CF235" i="2" s="1"/>
  <c r="CN281" i="2"/>
  <c r="CO281" i="2"/>
  <c r="CQ234" i="2"/>
  <c r="CQ235" i="2" s="1"/>
  <c r="CM234" i="2"/>
  <c r="CM235" i="2" s="1"/>
  <c r="CB253" i="2"/>
  <c r="CE234" i="2"/>
  <c r="CE235" i="2" s="1"/>
  <c r="CD234" i="2"/>
  <c r="CD235" i="2" s="1"/>
  <c r="CL234" i="2"/>
  <c r="CL235" i="2" s="1"/>
  <c r="CJ253" i="2" l="1"/>
  <c r="CJ281" i="2" s="1"/>
  <c r="CB281" i="2"/>
  <c r="BA291" i="2" s="1"/>
  <c r="CS281" i="2"/>
  <c r="CS282" i="2" s="1"/>
  <c r="CS283" i="2" s="1"/>
  <c r="BW253" i="2"/>
  <c r="BW281" i="2" s="1"/>
  <c r="BE290" i="2" s="1"/>
  <c r="CM281" i="2"/>
  <c r="CM282" i="2" s="1"/>
  <c r="CM283" i="2" s="1"/>
  <c r="CE253" i="2"/>
  <c r="CQ281" i="2"/>
  <c r="CQ282" i="2" s="1"/>
  <c r="CQ283" i="2" s="1"/>
  <c r="CF253" i="2"/>
  <c r="CF281" i="2" s="1"/>
  <c r="BY253" i="2"/>
  <c r="BY281" i="2" s="1"/>
  <c r="BG290" i="2" s="1"/>
  <c r="BG298" i="2" s="1"/>
  <c r="BG299" i="2" s="1"/>
  <c r="CA253" i="2"/>
  <c r="CA281" i="2" s="1"/>
  <c r="BI290" i="2" s="1"/>
  <c r="BX253" i="2"/>
  <c r="BX281" i="2" s="1"/>
  <c r="BF290" i="2" s="1"/>
  <c r="BF298" i="2" s="1"/>
  <c r="BF299" i="2" s="1"/>
  <c r="CQ236" i="2"/>
  <c r="BZ253" i="2"/>
  <c r="BZ281" i="2" s="1"/>
  <c r="BH290" i="2" s="1"/>
  <c r="BU253" i="2"/>
  <c r="BU281" i="2" s="1"/>
  <c r="BC290" i="2" s="1"/>
  <c r="BC298" i="2" s="1"/>
  <c r="BC299" i="2" s="1"/>
  <c r="BS253" i="2"/>
  <c r="CR281" i="2"/>
  <c r="CR282" i="2" s="1"/>
  <c r="CR283" i="2" s="1"/>
  <c r="BZ236" i="2"/>
  <c r="CD236" i="2"/>
  <c r="BU236" i="2"/>
  <c r="BS236" i="2"/>
  <c r="CF236" i="2"/>
  <c r="BD309" i="2"/>
  <c r="CL281" i="2"/>
  <c r="CL282" i="2" s="1"/>
  <c r="CL283" i="2" s="1"/>
  <c r="CD253" i="2"/>
  <c r="BV253" i="2"/>
  <c r="BV281" i="2" s="1"/>
  <c r="BD290" i="2" s="1"/>
  <c r="BT253" i="2"/>
  <c r="CP281" i="2"/>
  <c r="CP282" i="2" s="1"/>
  <c r="CP283" i="2" s="1"/>
  <c r="CH253" i="2"/>
  <c r="BW236" i="2"/>
  <c r="CS236" i="2"/>
  <c r="CI234" i="2"/>
  <c r="CI235" i="2" s="1"/>
  <c r="CI253" i="2"/>
  <c r="CL236" i="2"/>
  <c r="CK283" i="2"/>
  <c r="CB234" i="2"/>
  <c r="CB235" i="2" s="1"/>
  <c r="CO234" i="2"/>
  <c r="CO235" i="2" s="1"/>
  <c r="CN234" i="2"/>
  <c r="CN235" i="2" s="1"/>
  <c r="CC253" i="2"/>
  <c r="CP236" i="2"/>
  <c r="CG253" i="2"/>
  <c r="CG236" i="2"/>
  <c r="CR236" i="2"/>
  <c r="CE236" i="2"/>
  <c r="BQ338" i="2" l="1"/>
  <c r="BR338" i="2" s="1"/>
  <c r="BS338" i="2" s="1"/>
  <c r="BL318" i="2"/>
  <c r="BI339" i="2"/>
  <c r="BI291" i="2"/>
  <c r="CJ282" i="2"/>
  <c r="CE281" i="2"/>
  <c r="CE282" i="2" s="1"/>
  <c r="CE283" i="2" s="1"/>
  <c r="CD281" i="2"/>
  <c r="BD291" i="2" s="1"/>
  <c r="CC281" i="2"/>
  <c r="BB291" i="2" s="1"/>
  <c r="CI281" i="2"/>
  <c r="BH291" i="2" s="1"/>
  <c r="BF315" i="2" s="1"/>
  <c r="CH281" i="2"/>
  <c r="BG291" i="2" s="1"/>
  <c r="CG281" i="2"/>
  <c r="BF291" i="2" s="1"/>
  <c r="CF282" i="2"/>
  <c r="CF283" i="2" s="1"/>
  <c r="BE291" i="2"/>
  <c r="CH236" i="2"/>
  <c r="BE298" i="2"/>
  <c r="BE299" i="2" s="1"/>
  <c r="BW282" i="2"/>
  <c r="BW283" i="2" s="1"/>
  <c r="BY282" i="2"/>
  <c r="BY283" i="2" s="1"/>
  <c r="BX282" i="2"/>
  <c r="BX283" i="2" s="1"/>
  <c r="BU282" i="2"/>
  <c r="BU283" i="2" s="1"/>
  <c r="BI298" i="2"/>
  <c r="BI299" i="2" s="1"/>
  <c r="BZ282" i="2"/>
  <c r="BZ283" i="2" s="1"/>
  <c r="BY236" i="2"/>
  <c r="CA282" i="2"/>
  <c r="CA283" i="2" s="1"/>
  <c r="BH298" i="2"/>
  <c r="BH299" i="2" s="1"/>
  <c r="BT236" i="2"/>
  <c r="CA236" i="2"/>
  <c r="CJ236" i="2"/>
  <c r="BD298" i="2"/>
  <c r="BD299" i="2" s="1"/>
  <c r="CC236" i="2"/>
  <c r="CO236" i="2"/>
  <c r="CO282" i="2"/>
  <c r="CO283" i="2" s="1"/>
  <c r="CI236" i="2"/>
  <c r="CM236" i="2"/>
  <c r="CB236" i="2"/>
  <c r="CB282" i="2"/>
  <c r="CB283" i="2" s="1"/>
  <c r="BV236" i="2"/>
  <c r="BX236" i="2"/>
  <c r="CN236" i="2"/>
  <c r="CN282" i="2"/>
  <c r="CN283" i="2" s="1"/>
  <c r="BV282" i="2"/>
  <c r="BV283" i="2" s="1"/>
  <c r="BL335" i="2" l="1"/>
  <c r="BG315" i="2"/>
  <c r="BH315" i="2" s="1"/>
  <c r="BI315" i="2" s="1"/>
  <c r="CJ283" i="2"/>
  <c r="CH282" i="2"/>
  <c r="CH283" i="2" s="1"/>
  <c r="CG282" i="2"/>
  <c r="CG283" i="2" s="1"/>
  <c r="CI282" i="2"/>
  <c r="CI283" i="2" s="1"/>
  <c r="CC282" i="2"/>
  <c r="CC283" i="2" s="1"/>
  <c r="CD282" i="2"/>
  <c r="CD283" i="2" s="1"/>
  <c r="BD308" i="2" l="1"/>
  <c r="BS189" i="2" l="1"/>
  <c r="BN242" i="2"/>
  <c r="BN281" i="2" s="1"/>
  <c r="BE289" i="2" s="1"/>
  <c r="BQ242" i="2"/>
  <c r="BQ281" i="2" s="1"/>
  <c r="BH289" i="2" s="1"/>
  <c r="BP242" i="2"/>
  <c r="BP281" i="2" s="1"/>
  <c r="BG289" i="2" s="1"/>
  <c r="BL242" i="2"/>
  <c r="BL281" i="2" s="1"/>
  <c r="BC291" i="2" s="1"/>
  <c r="BS242" i="2"/>
  <c r="BS281" i="2" s="1"/>
  <c r="BA290" i="2" s="1"/>
  <c r="BC289" i="2" l="1"/>
  <c r="BC296" i="2" s="1"/>
  <c r="BC297" i="2" s="1"/>
  <c r="BP282" i="2"/>
  <c r="BP283" i="2" s="1"/>
  <c r="BN189" i="2"/>
  <c r="BL282" i="2"/>
  <c r="BL283" i="2" s="1"/>
  <c r="BQ282" i="2"/>
  <c r="BQ283" i="2" s="1"/>
  <c r="BM242" i="2"/>
  <c r="BM281" i="2" s="1"/>
  <c r="BD289" i="2" s="1"/>
  <c r="BR242" i="2"/>
  <c r="BR281" i="2" s="1"/>
  <c r="BI289" i="2" s="1"/>
  <c r="BT189" i="2"/>
  <c r="BT242" i="2"/>
  <c r="BT281" i="2" s="1"/>
  <c r="BB290" i="2" s="1"/>
  <c r="BQ189" i="2"/>
  <c r="BH296" i="2"/>
  <c r="BH297" i="2" s="1"/>
  <c r="BH293" i="2"/>
  <c r="BA293" i="2"/>
  <c r="BA298" i="2"/>
  <c r="BA299" i="2" s="1"/>
  <c r="BO242" i="2"/>
  <c r="BO281" i="2" s="1"/>
  <c r="BF289" i="2" s="1"/>
  <c r="BL189" i="2"/>
  <c r="BP189" i="2"/>
  <c r="BG293" i="2"/>
  <c r="BG296" i="2"/>
  <c r="BG297" i="2" s="1"/>
  <c r="BN282" i="2"/>
  <c r="BN283" i="2" s="1"/>
  <c r="BS282" i="2"/>
  <c r="BS283" i="2" s="1"/>
  <c r="BE293" i="2"/>
  <c r="BE296" i="2"/>
  <c r="BE297" i="2" s="1"/>
  <c r="BC293" i="2" l="1"/>
  <c r="BM282" i="2"/>
  <c r="BM283" i="2" s="1"/>
  <c r="BO282" i="2"/>
  <c r="BO283" i="2" s="1"/>
  <c r="BO189" i="2"/>
  <c r="BF296" i="2"/>
  <c r="BF297" i="2" s="1"/>
  <c r="BF293" i="2"/>
  <c r="BR282" i="2"/>
  <c r="BR283" i="2" s="1"/>
  <c r="BR189" i="2"/>
  <c r="BM189" i="2"/>
  <c r="BB298" i="2"/>
  <c r="BB299" i="2" s="1"/>
  <c r="BB293" i="2"/>
  <c r="BT282" i="2"/>
  <c r="BT283" i="2" s="1"/>
  <c r="BD296" i="2"/>
  <c r="BD297" i="2" s="1"/>
  <c r="BD293" i="2"/>
  <c r="BD307" i="2" l="1"/>
  <c r="BI293" i="2"/>
  <c r="BI296" i="2"/>
  <c r="BI297" i="2" s="1"/>
  <c r="K7" i="13" l="1"/>
  <c r="T13" i="31" l="1"/>
  <c r="T166" i="31" s="1"/>
  <c r="FB154" i="2" s="1"/>
  <c r="Y13" i="31"/>
  <c r="Y166" i="31" s="1"/>
  <c r="FJ154" i="2" s="1"/>
  <c r="O13" i="31"/>
  <c r="O166" i="31" s="1"/>
  <c r="EL155" i="2" s="1"/>
  <c r="Y23" i="31" l="1"/>
  <c r="Y168" i="31" s="1"/>
  <c r="Y170" i="31" s="1"/>
  <c r="O23" i="31"/>
  <c r="O168" i="31" s="1"/>
  <c r="O170" i="31" s="1"/>
  <c r="T23" i="31"/>
  <c r="T168" i="31" s="1"/>
  <c r="T170" i="31" s="1"/>
  <c r="J13" i="31"/>
  <c r="J166" i="31" s="1"/>
  <c r="J23" i="31" l="1"/>
  <c r="J168" i="31" s="1"/>
  <c r="J170" i="31" s="1"/>
  <c r="Q13" i="31"/>
  <c r="Q166" i="31" s="1"/>
  <c r="AC13" i="31" l="1"/>
  <c r="Q23" i="31"/>
  <c r="Q168" i="31" s="1"/>
  <c r="Q170" i="31" s="1"/>
  <c r="AA13" i="31"/>
  <c r="AA166" i="31" s="1"/>
  <c r="AC23" i="31" l="1"/>
  <c r="AC166" i="31"/>
  <c r="AE13" i="31"/>
  <c r="AE166" i="31"/>
  <c r="AB13" i="31"/>
  <c r="AA23" i="31"/>
  <c r="AA168" i="31" s="1"/>
  <c r="AA170" i="31" s="1"/>
  <c r="AC168" i="31" l="1"/>
  <c r="AC170" i="31" s="1"/>
  <c r="AB166" i="31"/>
  <c r="AD13" i="31"/>
  <c r="AE168" i="31"/>
  <c r="AE23" i="31"/>
  <c r="AB23" i="31"/>
  <c r="AB168" i="31" l="1"/>
  <c r="AB170" i="31" s="1"/>
  <c r="AD166" i="31"/>
  <c r="AD23" i="31"/>
  <c r="AD168" i="3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Mayra Alejandra Pérez</author>
    <author>Gladys Lizeth Acabal</author>
    <author>Alejandra Pérez</author>
    <author>Alejandra Perez</author>
  </authors>
  <commentList>
    <comment ref="EV9" authorId="0" shapeId="0" xr:uid="{779F78B2-064A-4464-A3F4-9FDAED859A28}">
      <text>
        <r>
          <rPr>
            <b/>
            <sz val="9"/>
            <color indexed="81"/>
            <rFont val="Tahoma"/>
            <family val="2"/>
          </rPr>
          <t>Mayra Alejandra Pérez:</t>
        </r>
        <r>
          <rPr>
            <sz val="9"/>
            <color indexed="81"/>
            <rFont val="Tahoma"/>
            <family val="2"/>
          </rPr>
          <t xml:space="preserve">
parqueo mensual</t>
        </r>
      </text>
    </comment>
    <comment ref="EV23" authorId="1" shapeId="0" xr:uid="{00000000-0006-0000-0000-000002000000}">
      <text>
        <r>
          <rPr>
            <b/>
            <sz val="9"/>
            <color indexed="81"/>
            <rFont val="Tahoma"/>
            <family val="2"/>
          </rPr>
          <t>Gladys Lizeth Acabal:</t>
        </r>
        <r>
          <rPr>
            <sz val="9"/>
            <color indexed="81"/>
            <rFont val="Tahoma"/>
            <family val="2"/>
          </rPr>
          <t xml:space="preserve">
Uso de parqueo mensual Q 240 +0.28 ISR 2024 QUDDDA EN FB</t>
        </r>
      </text>
    </comment>
    <comment ref="EX23" authorId="2" shapeId="0" xr:uid="{08E24ABC-22ED-429B-80EE-3F04004B151D}">
      <text>
        <r>
          <rPr>
            <b/>
            <sz val="9"/>
            <color indexed="81"/>
            <rFont val="Tahoma"/>
            <family val="2"/>
          </rPr>
          <t>Alejandra Pérez:</t>
        </r>
        <r>
          <rPr>
            <sz val="9"/>
            <color indexed="81"/>
            <rFont val="Tahoma"/>
            <family val="2"/>
          </rPr>
          <t xml:space="preserve">
queda en junio</t>
        </r>
      </text>
    </comment>
    <comment ref="EX25" authorId="2" shapeId="0" xr:uid="{C60F228A-A678-48EA-80A9-61FEAE94C149}">
      <text>
        <r>
          <rPr>
            <b/>
            <sz val="9"/>
            <color indexed="81"/>
            <rFont val="Tahoma"/>
            <family val="2"/>
          </rPr>
          <t>Alejandra Pérez:</t>
        </r>
        <r>
          <rPr>
            <sz val="9"/>
            <color indexed="81"/>
            <rFont val="Tahoma"/>
            <family val="2"/>
          </rPr>
          <t xml:space="preserve">
queda en junio</t>
        </r>
      </text>
    </comment>
    <comment ref="BB29" authorId="0" shapeId="0" xr:uid="{00000000-0006-0000-0000-000004000000}">
      <text>
        <r>
          <rPr>
            <b/>
            <sz val="9"/>
            <color indexed="81"/>
            <rFont val="Tahoma"/>
            <family val="2"/>
          </rPr>
          <t>Mayra Alejandra Pérez:</t>
        </r>
        <r>
          <rPr>
            <sz val="9"/>
            <color indexed="81"/>
            <rFont val="Tahoma"/>
            <family val="2"/>
          </rPr>
          <t xml:space="preserve">
reintegro x descuento de mas</t>
        </r>
      </text>
    </comment>
    <comment ref="EQ29" authorId="3" shapeId="0" xr:uid="{00000000-0006-0000-0000-000005000000}">
      <text>
        <r>
          <rPr>
            <b/>
            <sz val="9"/>
            <color indexed="81"/>
            <rFont val="Tahoma"/>
            <family val="2"/>
          </rPr>
          <t>nuevo prestamo de BANTRAB inicia 15/9/ finaliza el agosto 2025  nuevo credito bantrab inicia abril 2025 finaliza abril 2029</t>
        </r>
      </text>
    </comment>
    <comment ref="EV35" authorId="1" shapeId="0" xr:uid="{00000000-0006-0000-0000-000009000000}">
      <text>
        <r>
          <rPr>
            <b/>
            <sz val="9"/>
            <color indexed="81"/>
            <rFont val="Tahoma"/>
            <family val="2"/>
          </rPr>
          <t>Gladys Lizeth Acabal:</t>
        </r>
        <r>
          <rPr>
            <sz val="9"/>
            <color indexed="81"/>
            <rFont val="Tahoma"/>
            <family val="2"/>
          </rPr>
          <t xml:space="preserve">
Q.240 Mensual por  
Uso de parqueo</t>
        </r>
      </text>
    </comment>
    <comment ref="EV37" authorId="1" shapeId="0" xr:uid="{5C7E422C-C4FD-4FA4-9666-C717104A1E04}">
      <text>
        <r>
          <rPr>
            <b/>
            <sz val="9"/>
            <color indexed="81"/>
            <rFont val="Tahoma"/>
            <family val="2"/>
          </rPr>
          <t>Gladys Lizeth Acabal:</t>
        </r>
        <r>
          <rPr>
            <sz val="9"/>
            <color indexed="81"/>
            <rFont val="Tahoma"/>
            <family val="2"/>
          </rPr>
          <t xml:space="preserve">
Q.240 Mensual por  
Uso de parqueo</t>
        </r>
      </text>
    </comment>
    <comment ref="L41" authorId="1" shapeId="0" xr:uid="{00000000-0006-0000-0000-00000A000000}">
      <text>
        <r>
          <rPr>
            <b/>
            <sz val="9"/>
            <color indexed="81"/>
            <rFont val="Tahoma"/>
            <family val="2"/>
          </rPr>
          <t>Gladys Lizeth Acabal:</t>
        </r>
        <r>
          <rPr>
            <sz val="9"/>
            <color indexed="81"/>
            <rFont val="Tahoma"/>
            <family val="2"/>
          </rPr>
          <t xml:space="preserve">
bono gerencial sobre alcance de objetivos 2 salarios anuales</t>
        </r>
      </text>
    </comment>
    <comment ref="EQ41" authorId="2" shapeId="0" xr:uid="{59FD40F3-BAB4-401E-9DEC-0CA26D89802C}">
      <text>
        <r>
          <rPr>
            <b/>
            <sz val="9"/>
            <color indexed="81"/>
            <rFont val="Tahoma"/>
            <family val="2"/>
          </rPr>
          <t>Alejandra Pérez:</t>
        </r>
        <r>
          <rPr>
            <sz val="9"/>
            <color indexed="81"/>
            <rFont val="Tahoma"/>
            <family val="2"/>
          </rPr>
          <t xml:space="preserve">
nuevo credito inicia abril 26 finaliza marzo 2032</t>
        </r>
      </text>
    </comment>
    <comment ref="EP43" authorId="1" shapeId="0" xr:uid="{00000000-0006-0000-0000-00000B000000}">
      <text>
        <r>
          <rPr>
            <b/>
            <sz val="9"/>
            <color indexed="81"/>
            <rFont val="Tahoma"/>
            <family val="2"/>
          </rPr>
          <t>Gladys Lizeth Acabal:</t>
        </r>
        <r>
          <rPr>
            <sz val="9"/>
            <color indexed="81"/>
            <rFont val="Tahoma"/>
            <family val="2"/>
          </rPr>
          <t xml:space="preserve">
julio colocar 1040.95</t>
        </r>
      </text>
    </comment>
    <comment ref="EV43" authorId="2" shapeId="0" xr:uid="{7E8ADCBE-B99C-4FD0-8FEC-837866891011}">
      <text>
        <r>
          <rPr>
            <b/>
            <sz val="9"/>
            <color indexed="81"/>
            <rFont val="Tahoma"/>
            <family val="2"/>
          </rPr>
          <t>Alejandra Pérez:</t>
        </r>
        <r>
          <rPr>
            <sz val="9"/>
            <color indexed="81"/>
            <rFont val="Tahoma"/>
            <family val="2"/>
          </rPr>
          <t xml:space="preserve">
DESCUENTO DE 1068 SOLO A FIN DE MES INICIA ABRIL 26 FINALIZA JULIO 2032EN JULIO Y DIC DE CADA AÑO SE APLICAN 4220 COMO CUOTA Y UNA ULTIMA CUOTA EN JULIO DE 2032 DE 1371.65</t>
        </r>
      </text>
    </comment>
    <comment ref="L50" authorId="0" shapeId="0" xr:uid="{BE6CAD13-13A8-44AC-8291-FF977BB11B72}">
      <text>
        <r>
          <rPr>
            <b/>
            <sz val="9"/>
            <color indexed="81"/>
            <rFont val="Tahoma"/>
            <family val="2"/>
          </rPr>
          <t>Mayra Alejandra Pérez:</t>
        </r>
        <r>
          <rPr>
            <sz val="9"/>
            <color indexed="81"/>
            <rFont val="Tahoma"/>
            <family val="2"/>
          </rPr>
          <t xml:space="preserve">
incremento de 400 despues de 2 meses de prueba  preautorizado</t>
        </r>
      </text>
    </comment>
    <comment ref="EV50" authorId="2" shapeId="0" xr:uid="{480032BB-98C6-4FD5-B3C2-AA3EAF55BD3B}">
      <text>
        <r>
          <rPr>
            <b/>
            <sz val="9"/>
            <color indexed="81"/>
            <rFont val="Tahoma"/>
            <family val="2"/>
          </rPr>
          <t>Alejandra Pérez:</t>
        </r>
        <r>
          <rPr>
            <sz val="9"/>
            <color indexed="81"/>
            <rFont val="Tahoma"/>
            <family val="2"/>
          </rPr>
          <t xml:space="preserve">
parqueo </t>
        </r>
      </text>
    </comment>
    <comment ref="K68" authorId="1" shapeId="0" xr:uid="{00000000-0006-0000-0000-00000D000000}">
      <text>
        <r>
          <rPr>
            <b/>
            <sz val="9"/>
            <color indexed="81"/>
            <rFont val="Tahoma"/>
            <family val="2"/>
          </rPr>
          <t>Gladys Lizeth Acabal:</t>
        </r>
        <r>
          <rPr>
            <sz val="9"/>
            <color indexed="81"/>
            <rFont val="Tahoma"/>
            <family val="2"/>
          </rPr>
          <t xml:space="preserve">
bono por estudios de 2000 contra constancias</t>
        </r>
      </text>
    </comment>
    <comment ref="BB68" authorId="1" shapeId="0" xr:uid="{00000000-0006-0000-0000-00000E000000}">
      <text>
        <r>
          <rPr>
            <b/>
            <sz val="9"/>
            <color indexed="81"/>
            <rFont val="Tahoma"/>
            <family val="2"/>
          </rPr>
          <t>Gladys Lizeth Acabal:</t>
        </r>
        <r>
          <rPr>
            <sz val="9"/>
            <color indexed="81"/>
            <rFont val="Tahoma"/>
            <family val="2"/>
          </rPr>
          <t xml:space="preserve">
adelanto por bono por indicadores de 1000 mensuales se liquida cada trimestre para ajustar al bono mensual de 2000 + 2000 por bono x estudio se confirma cada trimestre
1020.01 cierre del primer trimestre de idnciadores</t>
        </r>
      </text>
    </comment>
    <comment ref="BT68" authorId="1" shapeId="0" xr:uid="{00000000-0006-0000-0000-00000F000000}">
      <text>
        <r>
          <rPr>
            <b/>
            <sz val="9"/>
            <color indexed="81"/>
            <rFont val="Tahoma"/>
            <family val="2"/>
          </rPr>
          <t>Gladys Lizeth Acabal:</t>
        </r>
        <r>
          <rPr>
            <sz val="9"/>
            <color indexed="81"/>
            <rFont val="Tahoma"/>
            <family val="2"/>
          </rPr>
          <t xml:space="preserve">
cirre del primer trimestre deindicadores 765.009</t>
        </r>
      </text>
    </comment>
    <comment ref="EQ68" authorId="1" shapeId="0" xr:uid="{00000000-0006-0000-0000-000010000000}">
      <text>
        <r>
          <rPr>
            <b/>
            <sz val="9"/>
            <color indexed="81"/>
            <rFont val="Tahoma"/>
            <family val="2"/>
          </rPr>
          <t>Gladys Lizeth Acabal:</t>
        </r>
        <r>
          <rPr>
            <sz val="9"/>
            <color indexed="81"/>
            <rFont val="Tahoma"/>
            <family val="2"/>
          </rPr>
          <t xml:space="preserve">
Bantrab
</t>
        </r>
        <r>
          <rPr>
            <b/>
            <sz val="9"/>
            <color indexed="81"/>
            <rFont val="Tahoma"/>
            <family val="2"/>
          </rPr>
          <t xml:space="preserve">Inicio 15.12.2020  24 </t>
        </r>
        <r>
          <rPr>
            <sz val="9"/>
            <color indexed="81"/>
            <rFont val="Tahoma"/>
            <family val="2"/>
          </rPr>
          <t xml:space="preserve">cuotas de Q.1074.94 
Finaliza 15.11.2022
</t>
        </r>
        <r>
          <rPr>
            <b/>
            <sz val="9"/>
            <color indexed="81"/>
            <rFont val="Tahoma"/>
            <family val="2"/>
          </rPr>
          <t xml:space="preserve">Inicia  15.12.2022 12 </t>
        </r>
        <r>
          <rPr>
            <sz val="9"/>
            <color indexed="81"/>
            <rFont val="Tahoma"/>
            <family val="2"/>
          </rPr>
          <t>cuotas de Q. 1054.71 
Finaliza 15.11.2023
nuevo credito 
INICIA JUNIO 2023 CUOTA DE 1498.57
FINALIZA MAYO 2025
DE JUNIO 2025 A MAYO 26 CUOTA DE 1456.9</t>
        </r>
      </text>
    </comment>
    <comment ref="K69" authorId="1" shapeId="0" xr:uid="{00000000-0006-0000-0000-000011000000}">
      <text>
        <r>
          <rPr>
            <b/>
            <sz val="9"/>
            <color indexed="81"/>
            <rFont val="Tahoma"/>
            <family val="2"/>
          </rPr>
          <t>Gladys Lizeth Acabal:</t>
        </r>
        <r>
          <rPr>
            <sz val="9"/>
            <color indexed="81"/>
            <rFont val="Tahoma"/>
            <family val="2"/>
          </rPr>
          <t xml:space="preserve">
bono por estudios de 1000 contra constancia</t>
        </r>
      </text>
    </comment>
    <comment ref="BB69" authorId="1" shapeId="0" xr:uid="{00000000-0006-0000-0000-000012000000}">
      <text>
        <r>
          <rPr>
            <b/>
            <sz val="9"/>
            <color indexed="81"/>
            <rFont val="Tahoma"/>
            <family val="2"/>
          </rPr>
          <t>Gladys Lizeth Acabal:</t>
        </r>
        <r>
          <rPr>
            <sz val="9"/>
            <color indexed="81"/>
            <rFont val="Tahoma"/>
            <family val="2"/>
          </rPr>
          <t xml:space="preserve">
adelanto de bono x indicador  de 500 se liquidaca cadatrimestre para llegar al monto mensuasl de 1000 +1000 de bono x estudio  se confirma cada trimestre
510.008 cierre de indicadores primer trimestre</t>
        </r>
      </text>
    </comment>
    <comment ref="BK69" authorId="1" shapeId="0" xr:uid="{00000000-0006-0000-0000-000013000000}">
      <text>
        <r>
          <rPr>
            <b/>
            <sz val="9"/>
            <color indexed="81"/>
            <rFont val="Tahoma"/>
            <family val="2"/>
          </rPr>
          <t>Gladys Lizeth Acabal:</t>
        </r>
        <r>
          <rPr>
            <sz val="9"/>
            <color indexed="81"/>
            <rFont val="Tahoma"/>
            <family val="2"/>
          </rPr>
          <t xml:space="preserve">
382.51 cieerre del primer trimestre de indicadores
765.009 cierre del primer trimestre de comisiones</t>
        </r>
      </text>
    </comment>
    <comment ref="BT69" authorId="1" shapeId="0" xr:uid="{00000000-0006-0000-0000-000014000000}">
      <text>
        <r>
          <rPr>
            <b/>
            <sz val="9"/>
            <color indexed="81"/>
            <rFont val="Tahoma"/>
            <family val="2"/>
          </rPr>
          <t>Gladys Lizeth Acabal:</t>
        </r>
        <r>
          <rPr>
            <sz val="9"/>
            <color indexed="81"/>
            <rFont val="Tahoma"/>
            <family val="2"/>
          </rPr>
          <t xml:space="preserve">
cierre del primer trimestre de indicadores 382.51</t>
        </r>
      </text>
    </comment>
    <comment ref="EW69" authorId="2" shapeId="0" xr:uid="{8375FF0A-A1A9-449B-8743-9CACA0043C50}">
      <text>
        <r>
          <rPr>
            <b/>
            <sz val="9"/>
            <color indexed="81"/>
            <rFont val="Tahoma"/>
            <family val="2"/>
          </rPr>
          <t>Alejandra Pérez:</t>
        </r>
        <r>
          <rPr>
            <sz val="9"/>
            <color indexed="81"/>
            <rFont val="Tahoma"/>
            <family val="2"/>
          </rPr>
          <t xml:space="preserve">
queda en feb</t>
        </r>
      </text>
    </comment>
    <comment ref="EP72" authorId="2" shapeId="0" xr:uid="{0446F88F-52F8-4A83-A169-7FF7479CDC35}">
      <text>
        <r>
          <rPr>
            <b/>
            <sz val="9"/>
            <color indexed="81"/>
            <rFont val="Tahoma"/>
            <family val="2"/>
          </rPr>
          <t>nuevo credito bantrab inicia octubre 2024 finaliza sep 2027</t>
        </r>
      </text>
    </comment>
    <comment ref="EQ72" authorId="2" shapeId="0" xr:uid="{00000000-0006-0000-0000-000017000000}">
      <text>
        <r>
          <rPr>
            <b/>
            <sz val="9"/>
            <color indexed="81"/>
            <rFont val="Tahoma"/>
            <family val="2"/>
          </rPr>
          <t>nuevo credito bantrab inicia octubre 2024 finaliza sep 2027</t>
        </r>
      </text>
    </comment>
    <comment ref="EP75" authorId="2" shapeId="0" xr:uid="{7AA432CD-8BF8-4335-8B81-BF09A3B7F2EE}">
      <text>
        <r>
          <rPr>
            <b/>
            <sz val="9"/>
            <color indexed="81"/>
            <rFont val="Tahoma"/>
            <family val="2"/>
          </rPr>
          <t>nuevo credito bantrab inicia octubre 2024 finaliza sep 2027</t>
        </r>
      </text>
    </comment>
    <comment ref="BK82" authorId="1" shapeId="0" xr:uid="{A0D6ADB3-67CA-4962-9630-D5DFBCBA9095}">
      <text>
        <r>
          <rPr>
            <b/>
            <sz val="9"/>
            <color indexed="81"/>
            <rFont val="Tahoma"/>
            <family val="2"/>
          </rPr>
          <t>Gladys Lizeth Acabal:</t>
        </r>
        <r>
          <rPr>
            <sz val="9"/>
            <color indexed="81"/>
            <rFont val="Tahoma"/>
            <family val="2"/>
          </rPr>
          <t xml:space="preserve">
adelanto de bono x indicadores de 500 mensuale se liquida cada trimestre para ajuste mensual de 1000 + 500 x bono x estudios se confirma cada trimestre</t>
        </r>
      </text>
    </comment>
    <comment ref="BK83" authorId="1" shapeId="0" xr:uid="{00000000-0006-0000-0000-00001D000000}">
      <text>
        <r>
          <rPr>
            <b/>
            <sz val="9"/>
            <color indexed="81"/>
            <rFont val="Tahoma"/>
            <family val="2"/>
          </rPr>
          <t>Gladys Lizeth Acabal:</t>
        </r>
        <r>
          <rPr>
            <sz val="9"/>
            <color indexed="81"/>
            <rFont val="Tahoma"/>
            <family val="2"/>
          </rPr>
          <t xml:space="preserve">
adelanto de bono x indicadores de 500 mensuale se liquida cada trimestre para ajuste mensual de 1000 + 500 x bono x estudios se confirma cada trimestre</t>
        </r>
      </text>
    </comment>
    <comment ref="ER87" authorId="2" shapeId="0" xr:uid="{04117AF3-0008-41C2-9B83-6EFDB4F9E9D7}">
      <text>
        <r>
          <rPr>
            <b/>
            <sz val="9"/>
            <color indexed="81"/>
            <rFont val="Tahoma"/>
            <family val="2"/>
          </rPr>
          <t>Alejandra Pérez:</t>
        </r>
        <r>
          <rPr>
            <sz val="9"/>
            <color indexed="81"/>
            <rFont val="Tahoma"/>
            <family val="2"/>
          </rPr>
          <t xml:space="preserve">
compra de aparato telefonico inicia 28/5 finaliza 15/7 total d 1300 quincenales de 325</t>
        </r>
      </text>
    </comment>
    <comment ref="EV109" authorId="2" shapeId="0" xr:uid="{705D504A-D188-430E-82BA-8C58E0961A3A}">
      <text>
        <r>
          <rPr>
            <b/>
            <sz val="9"/>
            <color indexed="81"/>
            <rFont val="Tahoma"/>
            <family val="2"/>
          </rPr>
          <t>Alejandra Pérez:</t>
        </r>
        <r>
          <rPr>
            <sz val="9"/>
            <color indexed="81"/>
            <rFont val="Tahoma"/>
            <family val="2"/>
          </rPr>
          <t xml:space="preserve">
parqueo mensual</t>
        </r>
      </text>
    </comment>
    <comment ref="BB129" authorId="1" shapeId="0" xr:uid="{00000000-0006-0000-0000-000020000000}">
      <text>
        <r>
          <rPr>
            <b/>
            <sz val="9"/>
            <color indexed="81"/>
            <rFont val="Tahoma"/>
            <family val="2"/>
          </rPr>
          <t>Gladys Lizeth Acabal:</t>
        </r>
        <r>
          <rPr>
            <sz val="9"/>
            <color indexed="81"/>
            <rFont val="Tahoma"/>
            <family val="2"/>
          </rPr>
          <t xml:space="preserve">
adelanto por bono x indicadores mensual de 1000 se liquida cada trimestre para ajuste mensual d 2000
1101.52 cierre del primer trimestre de comisiones</t>
        </r>
      </text>
    </comment>
    <comment ref="BK129" authorId="1" shapeId="0" xr:uid="{00000000-0006-0000-0000-000021000000}">
      <text>
        <r>
          <rPr>
            <b/>
            <sz val="9"/>
            <color indexed="81"/>
            <rFont val="Tahoma"/>
            <family val="2"/>
          </rPr>
          <t>Gladys Lizeth Acabal:</t>
        </r>
        <r>
          <rPr>
            <sz val="9"/>
            <color indexed="81"/>
            <rFont val="Tahoma"/>
            <family val="2"/>
          </rPr>
          <t xml:space="preserve">
1101.52  cierre del primer trimestre de indicadores</t>
        </r>
      </text>
    </comment>
    <comment ref="EV129" authorId="1" shapeId="0" xr:uid="{00000000-0006-0000-0000-000022000000}">
      <text>
        <r>
          <rPr>
            <b/>
            <sz val="9"/>
            <color indexed="81"/>
            <rFont val="Tahoma"/>
            <family val="2"/>
          </rPr>
          <t>Gladys Lizeth Acabal:</t>
        </r>
        <r>
          <rPr>
            <sz val="9"/>
            <color indexed="81"/>
            <rFont val="Tahoma"/>
            <family val="2"/>
          </rPr>
          <t xml:space="preserve">
Uso de parqueo Q 240</t>
        </r>
      </text>
    </comment>
    <comment ref="BB138" authorId="1" shapeId="0" xr:uid="{21CDC4D8-B5E5-4AEB-A6E1-0A0229621260}">
      <text>
        <r>
          <rPr>
            <b/>
            <sz val="9"/>
            <color indexed="81"/>
            <rFont val="Tahoma"/>
            <family val="2"/>
          </rPr>
          <t>Gladys Lizeth Acabal:</t>
        </r>
        <r>
          <rPr>
            <sz val="9"/>
            <color indexed="81"/>
            <rFont val="Tahoma"/>
            <family val="2"/>
          </rPr>
          <t xml:space="preserve">
adelanto d bono x alcance de metas se liquida cada trimetre para ajuste mensual de 3000
1495.78 cierre del primer trimestre de indicadores</t>
        </r>
      </text>
    </comment>
    <comment ref="BK138" authorId="1" shapeId="0" xr:uid="{4C0C4EB7-F438-4501-B0B5-EE331DBD23A2}">
      <text>
        <r>
          <rPr>
            <b/>
            <sz val="9"/>
            <color indexed="81"/>
            <rFont val="Tahoma"/>
            <family val="2"/>
          </rPr>
          <t>Gladys Lizeth Acabal:</t>
        </r>
        <r>
          <rPr>
            <sz val="9"/>
            <color indexed="81"/>
            <rFont val="Tahoma"/>
            <family val="2"/>
          </rPr>
          <t xml:space="preserve">
2243.66 cierre del primer trimestre de indicadores</t>
        </r>
      </text>
    </comment>
    <comment ref="BB139" authorId="1" shapeId="0" xr:uid="{912FFE5D-FEAF-4490-A671-240EBE912604}">
      <text>
        <r>
          <rPr>
            <b/>
            <sz val="9"/>
            <color indexed="81"/>
            <rFont val="Tahoma"/>
            <family val="2"/>
          </rPr>
          <t>Gladys Lizeth Acabal:</t>
        </r>
        <r>
          <rPr>
            <sz val="9"/>
            <color indexed="81"/>
            <rFont val="Tahoma"/>
            <family val="2"/>
          </rPr>
          <t xml:space="preserve">
adelanto d bono x alcance de metas se liquida cada trimetre para ajuste mensual de 3000
1495.78 cierre del primer trimestre de indicadores</t>
        </r>
      </text>
    </comment>
    <comment ref="BK139" authorId="1" shapeId="0" xr:uid="{DF49722E-DBBD-4F8E-9EA8-70838D4D3F57}">
      <text>
        <r>
          <rPr>
            <b/>
            <sz val="9"/>
            <color indexed="81"/>
            <rFont val="Tahoma"/>
            <family val="2"/>
          </rPr>
          <t>Gladys Lizeth Acabal:</t>
        </r>
        <r>
          <rPr>
            <sz val="9"/>
            <color indexed="81"/>
            <rFont val="Tahoma"/>
            <family val="2"/>
          </rPr>
          <t xml:space="preserve">
2243.66 cierre del primer trimestre de indicadores</t>
        </r>
      </text>
    </comment>
    <comment ref="BB144" authorId="1" shapeId="0" xr:uid="{AF67B974-8EE8-406D-88CF-28C3797C0430}">
      <text>
        <r>
          <rPr>
            <b/>
            <sz val="9"/>
            <color indexed="81"/>
            <rFont val="Tahoma"/>
            <family val="2"/>
          </rPr>
          <t>Gladys Lizeth Acabal:</t>
        </r>
        <r>
          <rPr>
            <sz val="9"/>
            <color indexed="81"/>
            <rFont val="Tahoma"/>
            <family val="2"/>
          </rPr>
          <t xml:space="preserve">
adelanto d bono x alcance de metas se liquida cada trimetre para ajuste mensual de 3000
1495.78 cierre del primer trimestre de indicadores</t>
        </r>
      </text>
    </comment>
    <comment ref="BK144" authorId="1" shapeId="0" xr:uid="{A13A6AD6-893F-476A-943B-DCB2B1BF2F2A}">
      <text>
        <r>
          <rPr>
            <b/>
            <sz val="9"/>
            <color indexed="81"/>
            <rFont val="Tahoma"/>
            <family val="2"/>
          </rPr>
          <t>Gladys Lizeth Acabal:</t>
        </r>
        <r>
          <rPr>
            <sz val="9"/>
            <color indexed="81"/>
            <rFont val="Tahoma"/>
            <family val="2"/>
          </rPr>
          <t xml:space="preserve">
2243.66 cierre del primer trimestre de indicadores</t>
        </r>
      </text>
    </comment>
    <comment ref="BB145" authorId="1" shapeId="0" xr:uid="{39105771-1C34-4047-A74A-7AE678D3D71E}">
      <text>
        <r>
          <rPr>
            <b/>
            <sz val="9"/>
            <color indexed="81"/>
            <rFont val="Tahoma"/>
            <family val="2"/>
          </rPr>
          <t>Gladys Lizeth Acabal:</t>
        </r>
        <r>
          <rPr>
            <sz val="9"/>
            <color indexed="81"/>
            <rFont val="Tahoma"/>
            <family val="2"/>
          </rPr>
          <t xml:space="preserve">
adelanto d bono x alcance de metas se liquida cada trimetre para ajuste mensual de 3000
1495.78 cierre del primer trimestre de indicadores</t>
        </r>
      </text>
    </comment>
    <comment ref="BK145" authorId="1" shapeId="0" xr:uid="{80BB23DF-D721-45B0-9DF7-A6CE474F59B9}">
      <text>
        <r>
          <rPr>
            <b/>
            <sz val="9"/>
            <color indexed="81"/>
            <rFont val="Tahoma"/>
            <family val="2"/>
          </rPr>
          <t>Gladys Lizeth Acabal:</t>
        </r>
        <r>
          <rPr>
            <sz val="9"/>
            <color indexed="81"/>
            <rFont val="Tahoma"/>
            <family val="2"/>
          </rPr>
          <t xml:space="preserve">
2243.66 cierre del primer trimestre de indicadores</t>
        </r>
      </text>
    </comment>
    <comment ref="BQ315" authorId="1" shapeId="0" xr:uid="{00000000-0006-0000-0000-000026000000}">
      <text>
        <r>
          <rPr>
            <b/>
            <sz val="9"/>
            <color indexed="81"/>
            <rFont val="Tahoma"/>
            <family val="2"/>
          </rPr>
          <t>Gladys Lizeth Acabal:</t>
        </r>
        <r>
          <rPr>
            <sz val="9"/>
            <color indexed="81"/>
            <rFont val="Tahoma"/>
            <family val="2"/>
          </rPr>
          <t xml:space="preserve">
para llegar a este monto es el monto que genera arriba del cuadro d proquima menos (-) el monto que proquima le da  ECONACIONAL </t>
        </r>
      </text>
    </comment>
    <comment ref="BF316" authorId="1" shapeId="0" xr:uid="{E45347E6-2F41-4744-816F-FF0A552ACA30}">
      <text>
        <r>
          <rPr>
            <b/>
            <sz val="9"/>
            <color indexed="81"/>
            <rFont val="Tahoma"/>
            <family val="2"/>
          </rPr>
          <t>Gladys Lizeth Acabal:</t>
        </r>
        <r>
          <rPr>
            <sz val="9"/>
            <color indexed="81"/>
            <rFont val="Tahoma"/>
            <family val="2"/>
          </rPr>
          <t xml:space="preserve">
para llegar a este monto es el monto que genera arriba del cuadro d proquima menos (-) el monto que proquima le da  ECONACIONAL </t>
        </r>
      </text>
    </comment>
    <comment ref="BG316" authorId="1" shapeId="0" xr:uid="{00000000-0006-0000-0000-000027000000}">
      <text>
        <r>
          <rPr>
            <b/>
            <sz val="9"/>
            <color indexed="81"/>
            <rFont val="Tahoma"/>
            <family val="2"/>
          </rPr>
          <t>Gladys Lizeth Acabal:</t>
        </r>
        <r>
          <rPr>
            <sz val="9"/>
            <color indexed="81"/>
            <rFont val="Tahoma"/>
            <family val="2"/>
          </rPr>
          <t xml:space="preserve">
para llegar a este monto es el monto que genera arriba del cuadro d proquima menos (-) el monto que proquima le da  ECONACIONAL </t>
        </r>
      </text>
    </comment>
    <comment ref="BL318" authorId="1" shapeId="0" xr:uid="{00000000-0006-0000-0000-000028000000}">
      <text>
        <r>
          <rPr>
            <b/>
            <sz val="9"/>
            <color indexed="81"/>
            <rFont val="Tahoma"/>
            <family val="2"/>
          </rPr>
          <t>Gladys Lizeth Acabal:</t>
        </r>
        <r>
          <rPr>
            <sz val="9"/>
            <color indexed="81"/>
            <rFont val="Tahoma"/>
            <family val="2"/>
          </rPr>
          <t xml:space="preserve">
este monto debe cuadrar con el monto de ECONACIONAL en el cuadro de arriba</t>
        </r>
      </text>
    </comment>
    <comment ref="BL321" authorId="1" shapeId="0" xr:uid="{00000000-0006-0000-0000-000029000000}">
      <text>
        <r>
          <rPr>
            <b/>
            <sz val="9"/>
            <color indexed="81"/>
            <rFont val="Tahoma"/>
            <family val="2"/>
          </rPr>
          <t>Gladys Lizeth Acabal:</t>
        </r>
        <r>
          <rPr>
            <sz val="9"/>
            <color indexed="81"/>
            <rFont val="Tahoma"/>
            <family val="2"/>
          </rPr>
          <t xml:space="preserve">
MONTO QUE TIENE PROQUIMA ARRIBA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Alejandra Perez</author>
    <author>Gladys Lizeth Acabal</author>
    <author>Mayra Pérez</author>
    <author/>
  </authors>
  <commentList>
    <comment ref="F20" authorId="0" shapeId="0" xr:uid="{00000000-0006-0000-0100-000001000000}">
      <text>
        <r>
          <rPr>
            <b/>
            <sz val="9"/>
            <color indexed="81"/>
            <rFont val="Tahoma"/>
            <family val="2"/>
          </rPr>
          <t>Alejandra Perez:</t>
        </r>
        <r>
          <rPr>
            <sz val="9"/>
            <color indexed="81"/>
            <rFont val="Tahoma"/>
            <family val="2"/>
          </rPr>
          <t xml:space="preserve">
120 por depreciacion de vehiculo</t>
        </r>
      </text>
    </comment>
    <comment ref="F38" authorId="1" shapeId="0" xr:uid="{00000000-0006-0000-0100-000002000000}">
      <text>
        <r>
          <rPr>
            <b/>
            <sz val="9"/>
            <color indexed="81"/>
            <rFont val="Tahoma"/>
            <family val="2"/>
          </rPr>
          <t>ALEJANDRA
AJUSTE A BONIFICACION DE 500 DESPUES DE 3 MESES INICIO EN NOVIEMBRE</t>
        </r>
      </text>
    </comment>
    <comment ref="F64" authorId="1" shapeId="0" xr:uid="{00000000-0006-0000-0100-000003000000}">
      <text>
        <r>
          <rPr>
            <b/>
            <sz val="9"/>
            <color indexed="81"/>
            <rFont val="Tahoma"/>
            <family val="2"/>
          </rPr>
          <t>Gladys Lizeth Acabal:</t>
        </r>
        <r>
          <rPr>
            <sz val="9"/>
            <color indexed="81"/>
            <rFont val="Tahoma"/>
            <family val="2"/>
          </rPr>
          <t xml:space="preserve">
incremento de salario en noviembre
en ENERO 2022 NUEVO INCREMENTO EN ORDINARIO DE 200</t>
        </r>
      </text>
    </comment>
    <comment ref="F152" authorId="2" shapeId="0" xr:uid="{00000000-0006-0000-0100-000004000000}">
      <text>
        <r>
          <rPr>
            <b/>
            <sz val="8"/>
            <color indexed="81"/>
            <rFont val="Tahoma"/>
            <family val="2"/>
          </rPr>
          <t>Mayra Pérez:</t>
        </r>
        <r>
          <rPr>
            <sz val="8"/>
            <color indexed="81"/>
            <rFont val="Tahoma"/>
            <family val="2"/>
          </rPr>
          <t xml:space="preserve">
bonificacion deQ3000.00 es por 6 meses en julio se confirma el cambio. 
Julio se modifico bonif a 1500</t>
        </r>
      </text>
    </comment>
    <comment ref="F159" authorId="3" shapeId="0" xr:uid="{00000000-0006-0000-0100-000005000000}">
      <text>
        <r>
          <rPr>
            <b/>
            <sz val="9"/>
            <color indexed="8"/>
            <rFont val="Tahoma"/>
            <family val="2"/>
          </rPr>
          <t>MX:
Pago de bono variable Q 7,000 bono decreto Q 250.00 mensual.  El bono variable se anticipa 75% cada mes al final del trimestre se evalua el resultado para determinar cuánto se le debe.</t>
        </r>
      </text>
    </comment>
    <comment ref="F160" authorId="3" shapeId="0" xr:uid="{00000000-0006-0000-0100-000006000000}">
      <text>
        <r>
          <rPr>
            <b/>
            <sz val="9"/>
            <color indexed="8"/>
            <rFont val="Tahoma"/>
            <family val="2"/>
          </rPr>
          <t>MX:
Pago de bono variable Q 7,000 bono decreto Q 250.00 mensual.  El bono variable se anticipa 75% cada mes al final del trimestre se evalua el resultado para determinar cuánto se le debe
NUEVAS CONDICIONES JULIO 2019
BONIF VARIABLE DE 2000SEGUN TABLA  FUERA DE NOMINA CON FACTURA  500 POR GAS Y 500 ADICIONALES POR CUMPLIMIENTO DE METAS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Alejandra Perez</author>
    <author>Iris Hernandez de Lemus</author>
  </authors>
  <commentList>
    <comment ref="F21" authorId="0" shapeId="0" xr:uid="{00000000-0006-0000-0200-000001000000}">
      <text>
        <r>
          <rPr>
            <b/>
            <sz val="9"/>
            <color indexed="81"/>
            <rFont val="Tahoma"/>
            <family val="2"/>
          </rPr>
          <t>Alejandra Perez:</t>
        </r>
        <r>
          <rPr>
            <sz val="9"/>
            <color indexed="81"/>
            <rFont val="Tahoma"/>
            <family val="2"/>
          </rPr>
          <t xml:space="preserve">
120 por depreciacion de vehiculo</t>
        </r>
      </text>
    </comment>
    <comment ref="Q21" authorId="0" shapeId="0" xr:uid="{00000000-0006-0000-0200-000002000000}">
      <text>
        <r>
          <rPr>
            <b/>
            <sz val="9"/>
            <color indexed="81"/>
            <rFont val="Tahoma"/>
            <family val="2"/>
          </rPr>
          <t>Alejandra Perez:</t>
        </r>
        <r>
          <rPr>
            <sz val="9"/>
            <color indexed="81"/>
            <rFont val="Tahoma"/>
            <family val="2"/>
          </rPr>
          <t xml:space="preserve">
120 por depreciacion de vehiculo</t>
        </r>
      </text>
    </comment>
    <comment ref="E121" authorId="1" shapeId="0" xr:uid="{00000000-0006-0000-0200-000003000000}">
      <text>
        <r>
          <rPr>
            <b/>
            <sz val="9"/>
            <color indexed="81"/>
            <rFont val="Tahoma"/>
            <family val="2"/>
          </rPr>
          <t>Iris Hernandez de Lemus:</t>
        </r>
        <r>
          <rPr>
            <sz val="9"/>
            <color indexed="81"/>
            <rFont val="Tahoma"/>
            <family val="2"/>
          </rPr>
          <t xml:space="preserve">
Mantiene el salario Mínimo nuevo Q 2,825.10 + 40.87 que tiene como diferencia al resto de posiciones.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Alejandra Perez</author>
  </authors>
  <commentList>
    <comment ref="AA9" authorId="0" shapeId="0" xr:uid="{00000000-0006-0000-0600-000001000000}">
      <text>
        <r>
          <rPr>
            <b/>
            <sz val="9"/>
            <color indexed="81"/>
            <rFont val="Tahoma"/>
            <family val="2"/>
          </rPr>
          <t>Alejandra Perez:</t>
        </r>
        <r>
          <rPr>
            <sz val="9"/>
            <color indexed="81"/>
            <rFont val="Tahoma"/>
            <family val="2"/>
          </rPr>
          <t xml:space="preserve">
pago total solo a fin de mes</t>
        </r>
      </text>
    </comment>
  </commentList>
</comments>
</file>

<file path=xl/sharedStrings.xml><?xml version="1.0" encoding="utf-8"?>
<sst xmlns="http://schemas.openxmlformats.org/spreadsheetml/2006/main" count="3342" uniqueCount="798">
  <si>
    <t>DISTRIBUCION DE PERSONAL Y COSTO POR EMPRESA</t>
  </si>
  <si>
    <t>DISTRIBUCION DE EMPLEADOS</t>
  </si>
  <si>
    <t>NOMINAS SEGÚN DISTRIBUCION REAL</t>
  </si>
  <si>
    <t>NOMINAS SEGÚN DISTRIBUCION CONTABILIDAD</t>
  </si>
  <si>
    <t>HORAS EXTRAS PROQUIMA</t>
  </si>
  <si>
    <t>HORAS EXTRAS UNHESA</t>
  </si>
  <si>
    <t>HORAS EXTRAS PROQUIMA MAQUILA</t>
  </si>
  <si>
    <t>COMISIONES</t>
  </si>
  <si>
    <t>PROQUIMA</t>
  </si>
  <si>
    <t>UNHESA</t>
  </si>
  <si>
    <t>UNHESA LIQUIDOS</t>
  </si>
  <si>
    <t>ECONACIONAL</t>
  </si>
  <si>
    <t>EGRESOS MENSUALES</t>
  </si>
  <si>
    <t>EGRESOS</t>
  </si>
  <si>
    <t>DISTRIBUCION REAL</t>
  </si>
  <si>
    <t>Salario</t>
  </si>
  <si>
    <t>Bono</t>
  </si>
  <si>
    <t xml:space="preserve">Total </t>
  </si>
  <si>
    <t>%</t>
  </si>
  <si>
    <t>% Unhesa</t>
  </si>
  <si>
    <t>Observaciones</t>
  </si>
  <si>
    <t>H.E. Simples</t>
  </si>
  <si>
    <t>H.E. Dobles</t>
  </si>
  <si>
    <t>Otrros ingresos</t>
  </si>
  <si>
    <t>cantidad</t>
  </si>
  <si>
    <t xml:space="preserve">Hrs. Extra </t>
  </si>
  <si>
    <t>Comis /</t>
  </si>
  <si>
    <t>Cuota</t>
  </si>
  <si>
    <t>Nueva</t>
  </si>
  <si>
    <t>ISR</t>
  </si>
  <si>
    <t>CELULAR</t>
  </si>
  <si>
    <t>CAFETERIA</t>
  </si>
  <si>
    <t>CALZADO</t>
  </si>
  <si>
    <t>UNIFORME</t>
  </si>
  <si>
    <t>OTROS EGRESOS</t>
  </si>
  <si>
    <t>Nombre</t>
  </si>
  <si>
    <t>Puesto</t>
  </si>
  <si>
    <t>Ordinario</t>
  </si>
  <si>
    <t>Decreto</t>
  </si>
  <si>
    <t>Proquima</t>
  </si>
  <si>
    <t>Unhesa</t>
  </si>
  <si>
    <t>Econacional</t>
  </si>
  <si>
    <t>Cantidad</t>
  </si>
  <si>
    <t>Valor</t>
  </si>
  <si>
    <t>simples</t>
  </si>
  <si>
    <t>dobles</t>
  </si>
  <si>
    <t>Otros</t>
  </si>
  <si>
    <t>Patronal</t>
  </si>
  <si>
    <t>Empresa</t>
  </si>
  <si>
    <t>Calidul</t>
  </si>
  <si>
    <t>Cleartec</t>
  </si>
  <si>
    <t>AREA ADMINISTRATIVA</t>
  </si>
  <si>
    <t xml:space="preserve"> </t>
  </si>
  <si>
    <t>PRESIDENCIA</t>
  </si>
  <si>
    <t>Piloto</t>
  </si>
  <si>
    <t>Asistente de Gerencia General</t>
  </si>
  <si>
    <t>Estrada Robles, Juan Pablo1</t>
  </si>
  <si>
    <t>Total Presidencia</t>
  </si>
  <si>
    <t>ADMINISTRATIVO</t>
  </si>
  <si>
    <t>Piloto de Presidencia</t>
  </si>
  <si>
    <t>Conserje</t>
  </si>
  <si>
    <t>conserje</t>
  </si>
  <si>
    <t>Mensajero</t>
  </si>
  <si>
    <t>Total Administrativo</t>
  </si>
  <si>
    <t>CONTABILIDAD Y FINANZAS</t>
  </si>
  <si>
    <t>Contador General</t>
  </si>
  <si>
    <t>Auxiliar Contable</t>
  </si>
  <si>
    <t>Auditor interno</t>
  </si>
  <si>
    <t>Total Contabilidad y Finanzas</t>
  </si>
  <si>
    <t>INVESTIGACION Y DESARROLLO</t>
  </si>
  <si>
    <t>TotaL Investigacion y desarrollo</t>
  </si>
  <si>
    <t>CONTROL DE CALIDAD</t>
  </si>
  <si>
    <t>Cano Lopez Consuelo Iliana</t>
  </si>
  <si>
    <t>TotaL Control de Calidad</t>
  </si>
  <si>
    <t>INFORMATICA</t>
  </si>
  <si>
    <t>Jefe de Informática</t>
  </si>
  <si>
    <t>RECURSOS HUMANOS</t>
  </si>
  <si>
    <t>Jefe de Recursos Humanos</t>
  </si>
  <si>
    <t>TotaL Recursos Humanos</t>
  </si>
  <si>
    <t>Total AREA ADMINISTRATIVA</t>
  </si>
  <si>
    <t>AREA DE OPERACIONES</t>
  </si>
  <si>
    <t>COMPRAS, IMPORTACIONES Y EXPORTACIONES</t>
  </si>
  <si>
    <t>Asistente de Compras</t>
  </si>
  <si>
    <t>Total Compras e importaciones</t>
  </si>
  <si>
    <t>PRODUCCION</t>
  </si>
  <si>
    <t>DIRECCION</t>
  </si>
  <si>
    <t>Gerente de Operaciones</t>
  </si>
  <si>
    <t>Chanta Bautista, Karlss Heberth</t>
  </si>
  <si>
    <t>Empacadora</t>
  </si>
  <si>
    <t>Operario</t>
  </si>
  <si>
    <t>Gomez Perez, Gerber Saul</t>
  </si>
  <si>
    <t>Total Unhesa</t>
  </si>
  <si>
    <t>Total Proquima</t>
  </si>
  <si>
    <t>Mendoza, Jennifer Viviana</t>
  </si>
  <si>
    <t>Paz Lopez, Jose Ignacio</t>
  </si>
  <si>
    <t>Garrido Aguilar, Maria Elena</t>
  </si>
  <si>
    <t>Lajon Puac, Osmen Gudiel</t>
  </si>
  <si>
    <t>Chavez Sanchez, Federico Wuinebaldo</t>
  </si>
  <si>
    <t>Orellana Gonzalez, Francisco Javier</t>
  </si>
  <si>
    <t>LOGISTICA</t>
  </si>
  <si>
    <t>BODEGA DE PRODUCTO TERMINADO</t>
  </si>
  <si>
    <t>Rodas Morales Rony Alfonso</t>
  </si>
  <si>
    <t>Coordinador bodegas</t>
  </si>
  <si>
    <t>Operador de montacargas</t>
  </si>
  <si>
    <t>Jacinto Aguilar, Kevin Alexander</t>
  </si>
  <si>
    <t>Total BPT</t>
  </si>
  <si>
    <t>BOEDGA MATERIA PRIMA</t>
  </si>
  <si>
    <t>Auxiliar de Bodega</t>
  </si>
  <si>
    <t>Total BMP</t>
  </si>
  <si>
    <t>Total Logística</t>
  </si>
  <si>
    <t>MANTENIMIENTO</t>
  </si>
  <si>
    <t>Mecánico</t>
  </si>
  <si>
    <t>Mantenimiento</t>
  </si>
  <si>
    <t>TotaL Mantenimiento</t>
  </si>
  <si>
    <t>TOTAL AREA OPERACIONES</t>
  </si>
  <si>
    <t>AREA COMERCIALIZACIÓN</t>
  </si>
  <si>
    <t>VENTAS PROQUIMA</t>
  </si>
  <si>
    <t>Total Admón. Comercialización</t>
  </si>
  <si>
    <t>Total Asesores</t>
  </si>
  <si>
    <t>Total Dvisión Proquima</t>
  </si>
  <si>
    <t>División Filtración</t>
  </si>
  <si>
    <t>VENTAS UNHESA</t>
  </si>
  <si>
    <t>Divisió Polvos</t>
  </si>
  <si>
    <t>Samayoa Romero, Maria Antonia</t>
  </si>
  <si>
    <t>Vendedor Mayorista</t>
  </si>
  <si>
    <t>MERCADEO</t>
  </si>
  <si>
    <t>Mercadeo Ruta 1</t>
  </si>
  <si>
    <t>Sagastume Garcia, Evelin Yolibet</t>
  </si>
  <si>
    <t>Total Mercadeo</t>
  </si>
  <si>
    <t>TOTAL GENERAL</t>
  </si>
  <si>
    <t>Total</t>
  </si>
  <si>
    <t>Contabilidad y Finanzas</t>
  </si>
  <si>
    <t>Variaciones</t>
  </si>
  <si>
    <t>Proq. Maquila</t>
  </si>
  <si>
    <t>ORDINARIO</t>
  </si>
  <si>
    <t>EXTRAORDINARIO</t>
  </si>
  <si>
    <t>TOTALES</t>
  </si>
  <si>
    <t>Presidencia</t>
  </si>
  <si>
    <t>Admnistrativo</t>
  </si>
  <si>
    <t>Contabilidad</t>
  </si>
  <si>
    <t>lnvestigacion y desarrollo</t>
  </si>
  <si>
    <t>Control de calidad</t>
  </si>
  <si>
    <t>Informatica</t>
  </si>
  <si>
    <t>Recursos Humanos</t>
  </si>
  <si>
    <t>Compras</t>
  </si>
  <si>
    <t>Producción</t>
  </si>
  <si>
    <t>Producción 29-89</t>
  </si>
  <si>
    <t>Logistica</t>
  </si>
  <si>
    <t>Admon Comercializacion</t>
  </si>
  <si>
    <t>Negocios 2 Leslie Samayoa</t>
  </si>
  <si>
    <t>Negocios 5 Sabrina Santos</t>
  </si>
  <si>
    <t>Negocios 6 Rodolfo Araujo</t>
  </si>
  <si>
    <t>Negocios 8 Brenda Cosillo</t>
  </si>
  <si>
    <t>Ventas Filtracion</t>
  </si>
  <si>
    <t>Ventas Ruta1</t>
  </si>
  <si>
    <t>Ventas Ruta4</t>
  </si>
  <si>
    <t>Ventas Ruta6</t>
  </si>
  <si>
    <t>Ventas Ruta7</t>
  </si>
  <si>
    <t>Ventas Ruta8</t>
  </si>
  <si>
    <t>Mercadeo</t>
  </si>
  <si>
    <t>Totales</t>
  </si>
  <si>
    <t>Variacion contra hoja distribucion</t>
  </si>
  <si>
    <t>Resumen Gastos contabilidad</t>
  </si>
  <si>
    <t>INTEGRACION DE VARIACIONES PARA REGISTRO DE GASTOS REALES</t>
  </si>
  <si>
    <t>Variacion a facturar entre compañias</t>
  </si>
  <si>
    <t>*Nota: los valores en positivo significa que se cargo gasto de mas y lo negativos se dejo de cargar gasto</t>
  </si>
  <si>
    <t>3) VERIFIACION ENTRE NOMINA REAL Y CONTABLE</t>
  </si>
  <si>
    <t>Planillas según Distribucion Real</t>
  </si>
  <si>
    <t>Planillas según Contable</t>
  </si>
  <si>
    <t>BASE</t>
  </si>
  <si>
    <t>IVA</t>
  </si>
  <si>
    <t>TOTAL</t>
  </si>
  <si>
    <t xml:space="preserve">  </t>
  </si>
  <si>
    <t>No.</t>
  </si>
  <si>
    <t>Salario afecto al IGSS</t>
  </si>
  <si>
    <t>Dias laborados</t>
  </si>
  <si>
    <t>REF.</t>
  </si>
  <si>
    <t xml:space="preserve">Salario Ordinario </t>
  </si>
  <si>
    <t>Bonificacion incentivo decreto 37-2001 y 78-89</t>
  </si>
  <si>
    <t>Total devengado</t>
  </si>
  <si>
    <t>Horas Simples</t>
  </si>
  <si>
    <t>Valor Hora E. Simple</t>
  </si>
  <si>
    <t>Horas Dobles</t>
  </si>
  <si>
    <t>Valor Hora E. Doble</t>
  </si>
  <si>
    <t>otros ingresos</t>
  </si>
  <si>
    <t>Salario Total</t>
  </si>
  <si>
    <t>IGSS</t>
  </si>
  <si>
    <t>Celular</t>
  </si>
  <si>
    <t>Otros egresos</t>
  </si>
  <si>
    <t>Total Egresos</t>
  </si>
  <si>
    <t>Liquido a Recibir</t>
  </si>
  <si>
    <t>Primera Quincena</t>
  </si>
  <si>
    <t>Segunda Quincena</t>
  </si>
  <si>
    <t>Administración</t>
  </si>
  <si>
    <t>Compras e importaciones</t>
  </si>
  <si>
    <t>Produccion</t>
  </si>
  <si>
    <t>Dirección</t>
  </si>
  <si>
    <t>TOTAL PRODUCCION</t>
  </si>
  <si>
    <t>DIVISION PROQUIMA</t>
  </si>
  <si>
    <t>RESUMEN DE NOMINA PARA COMPARAR CON HOJA DE DISTRICUCION</t>
  </si>
  <si>
    <t>BONIFICACION</t>
  </si>
  <si>
    <t>NOMBRE EN NOMINA</t>
  </si>
  <si>
    <t>NUMERO DE CUENTA</t>
  </si>
  <si>
    <t>NOMBRE EN BANCO</t>
  </si>
  <si>
    <t>puesto</t>
  </si>
  <si>
    <t>Salario ordinario</t>
  </si>
  <si>
    <t>bono</t>
  </si>
  <si>
    <t>horas simples</t>
  </si>
  <si>
    <t>total  horas simples</t>
  </si>
  <si>
    <t>horas dobles</t>
  </si>
  <si>
    <t>total horas dobles</t>
  </si>
  <si>
    <t>total ingresos</t>
  </si>
  <si>
    <t>igss</t>
  </si>
  <si>
    <t>isr</t>
  </si>
  <si>
    <t>bantrab</t>
  </si>
  <si>
    <t>celular</t>
  </si>
  <si>
    <t>otros egresos</t>
  </si>
  <si>
    <t>total egresos</t>
  </si>
  <si>
    <t>primera quincena</t>
  </si>
  <si>
    <t>segunda quincena</t>
  </si>
  <si>
    <t>NUMERO DE AFILIACION</t>
  </si>
  <si>
    <t>SALARIO AFECTO A IGSS</t>
  </si>
  <si>
    <t>Consuelo Iliana Cano Lopez</t>
  </si>
  <si>
    <t>CHEQUE</t>
  </si>
  <si>
    <t>Nomina</t>
  </si>
  <si>
    <t>Banco</t>
  </si>
  <si>
    <t>cuenta</t>
  </si>
  <si>
    <t>cheque</t>
  </si>
  <si>
    <t>Rax Yat, Selvin Estuardo</t>
  </si>
  <si>
    <t>Selvin Estuardo Rax Yat</t>
  </si>
  <si>
    <t>Federico Wuinebaldo Chavez Sanchez</t>
  </si>
  <si>
    <t>Perez Morales, Luis Israel</t>
  </si>
  <si>
    <t>Luis Israel Perez Morales</t>
  </si>
  <si>
    <t>Kevin Alexander Jacinto Aguilar</t>
  </si>
  <si>
    <t>Jennifer Viviana Mendoza</t>
  </si>
  <si>
    <t>Pineda Macal, Cruz Antonio</t>
  </si>
  <si>
    <t>Cruz Antonio Pineda Macal</t>
  </si>
  <si>
    <t>Maria Antonia Samayoa Romero</t>
  </si>
  <si>
    <t>Karlss Heberth Chanta Bautista</t>
  </si>
  <si>
    <t>Castellanos Barillas, Felix Alberto</t>
  </si>
  <si>
    <t>Felix Alberto Castellanos Barillas</t>
  </si>
  <si>
    <t>Evelin Yolibet Sagastume Garcia</t>
  </si>
  <si>
    <t>Gerber Saul Gomez Perez</t>
  </si>
  <si>
    <t>Guamuche Lopez, Alexander</t>
  </si>
  <si>
    <t>Alexander Guamuche Lopez</t>
  </si>
  <si>
    <t>Espinal, Erick Oswaldo</t>
  </si>
  <si>
    <t>Erick Oswaldo Espinal</t>
  </si>
  <si>
    <t>Alvarez Lopez, Osmin Alexander</t>
  </si>
  <si>
    <t>Osmin Alexander Alvarez Lopez</t>
  </si>
  <si>
    <t>Revolorio Lastro, Maycol Alfredo</t>
  </si>
  <si>
    <t>Maycol Alfredo Revolorio Lastro</t>
  </si>
  <si>
    <t>Molina Revolorio, Luis Antonio</t>
  </si>
  <si>
    <t>Luis Antonio Molina Revolorio</t>
  </si>
  <si>
    <t>Agustin Lopez, Sergio</t>
  </si>
  <si>
    <t xml:space="preserve"> Sergio Agustin Lopez</t>
  </si>
  <si>
    <t>Melgar Cruz, Christian Armando</t>
  </si>
  <si>
    <t>Christian Armando Melgar Cruz</t>
  </si>
  <si>
    <t>Caal Mo, Mario Esteban</t>
  </si>
  <si>
    <t>Mario Esteban Caal Mo</t>
  </si>
  <si>
    <t>Juan Pablo Estrada Robles</t>
  </si>
  <si>
    <t>Lopez Marroquin, Carlos Reyes</t>
  </si>
  <si>
    <t>Lopez Gudiel, Elgin Evelio</t>
  </si>
  <si>
    <t xml:space="preserve">Elgin Evelio Lopez Gudiel </t>
  </si>
  <si>
    <t>Lastro, Marco Antonio</t>
  </si>
  <si>
    <t>Marco Antonio Lastro</t>
  </si>
  <si>
    <t>Tecún Sican, Santiago</t>
  </si>
  <si>
    <t>Santiago Tecun Sican</t>
  </si>
  <si>
    <t>Escobar, Kewin Alexander</t>
  </si>
  <si>
    <t>Kewin Alexander Escobar</t>
  </si>
  <si>
    <t xml:space="preserve">Maria Elena Garrido Aguilar </t>
  </si>
  <si>
    <t>NOMBRE</t>
  </si>
  <si>
    <t>PUESTO</t>
  </si>
  <si>
    <t>VALOR</t>
  </si>
  <si>
    <t>OBSERVACIONES</t>
  </si>
  <si>
    <t>Comisiones</t>
  </si>
  <si>
    <t xml:space="preserve">UNIFORME </t>
  </si>
  <si>
    <t xml:space="preserve">Otros </t>
  </si>
  <si>
    <t>BODEGA MATERIA PRIMA</t>
  </si>
  <si>
    <t>DIVISION POLVOS</t>
  </si>
  <si>
    <t>NOMRE EN NOMINA</t>
  </si>
  <si>
    <t>LIQUIDO A RECIBIR</t>
  </si>
  <si>
    <t>PRIMERA QUINCENA</t>
  </si>
  <si>
    <t>SEGUNDA QUINCENA</t>
  </si>
  <si>
    <t>Reyes Corado, Madelin Isamar</t>
  </si>
  <si>
    <t>Madelin Isamar Reyes Corado</t>
  </si>
  <si>
    <t>Aguilar Carrera, Maria Karina</t>
  </si>
  <si>
    <t xml:space="preserve"> Maria Karina Aguilar Carrera</t>
  </si>
  <si>
    <t>Carlos Reyes Lopez Marroquin</t>
  </si>
  <si>
    <t>Carpio Gonzalez, Ronald Augusto</t>
  </si>
  <si>
    <t>ECONACIONAL, S.A.</t>
  </si>
  <si>
    <t>Jose Ignacio Paz Lopez</t>
  </si>
  <si>
    <t>Mejia Molina, Ederson David</t>
  </si>
  <si>
    <t>Ederson David Mejia Molina</t>
  </si>
  <si>
    <t>Bravo De Leon, Duyi Evelin</t>
  </si>
  <si>
    <t>Duyi Evelin Bravo de Leon</t>
  </si>
  <si>
    <t>Osmen Gudiel Lajon Puac</t>
  </si>
  <si>
    <t>Martinez Guzman, Edin Arnoldo</t>
  </si>
  <si>
    <t>Edin Arnoldo Martinez Guzman</t>
  </si>
  <si>
    <t>Lopez Ricac, Dorcas Noemi</t>
  </si>
  <si>
    <t>Dorcas Noemi Lopez Ricac</t>
  </si>
  <si>
    <t>Hernandez Sanchez, Jose Nery</t>
  </si>
  <si>
    <t>Jose Nery Hernandez Sanchez</t>
  </si>
  <si>
    <t>Francisco Javier Orellana Gonzalez</t>
  </si>
  <si>
    <t>Solorzano Ajanel, Nelson Omar</t>
  </si>
  <si>
    <t>Nelson Omar Solorzano Ajanel</t>
  </si>
  <si>
    <t>Col Escobar, Jorge Luis</t>
  </si>
  <si>
    <t>Jorge Luis Col Escobar</t>
  </si>
  <si>
    <t>Xol Xol, Pedro Alfonso</t>
  </si>
  <si>
    <t>Pedro Alfonso Xol Xol</t>
  </si>
  <si>
    <t>Morales Pineda, Christiam Alexis</t>
  </si>
  <si>
    <t>Christiam Alexis Morales Pineda</t>
  </si>
  <si>
    <t>Hernandez, Shearly Amarelly</t>
  </si>
  <si>
    <t>Shearly Amarelly Hernandez</t>
  </si>
  <si>
    <t>Chom Panjoj, Isaias</t>
  </si>
  <si>
    <t>Isaias Chom Panjoj</t>
  </si>
  <si>
    <t>Alvarez Pineda, Brenda Johanna</t>
  </si>
  <si>
    <t>Brenda Johanna Alvarez Pineda</t>
  </si>
  <si>
    <t>Chun Lopez, Lesly Siomara</t>
  </si>
  <si>
    <t>Lesly Siomara Chun Lopez</t>
  </si>
  <si>
    <t>Ixcoy Morales, Carlos Augusto</t>
  </si>
  <si>
    <t>Carlos Augusto Ixcoy Morales</t>
  </si>
  <si>
    <t>Guarcas Castillo, Fernando Adolfo</t>
  </si>
  <si>
    <t>Fernando Adolfo Guarcas Castillo</t>
  </si>
  <si>
    <t>Franco Mazariegos, Jorge Luis</t>
  </si>
  <si>
    <t>Jorge Luis Franco Mazariegos</t>
  </si>
  <si>
    <t xml:space="preserve"> Ronald Augusto Carpio Gonzalez </t>
  </si>
  <si>
    <t>Ramirez Godoy, Boris Idanny</t>
  </si>
  <si>
    <t>Boris Idanny Ramirez Godoy</t>
  </si>
  <si>
    <t>Juan Pablo Estrada Robles,</t>
  </si>
  <si>
    <t>no aplica</t>
  </si>
  <si>
    <t>Hernandez Garcia, Reuyeris</t>
  </si>
  <si>
    <t>Reuyeris Hernandez Garcia</t>
  </si>
  <si>
    <t>.</t>
  </si>
  <si>
    <t>Gerente Financiero</t>
  </si>
  <si>
    <t>Encargado de Proveeduria</t>
  </si>
  <si>
    <t>Xol Botzoc Hermelindo</t>
  </si>
  <si>
    <t>Asistente de Control de Calidad</t>
  </si>
  <si>
    <t>Auxiliar de Piloto</t>
  </si>
  <si>
    <t>ECOMEZCLAS</t>
  </si>
  <si>
    <t>Total Unhesa Liquidos</t>
  </si>
  <si>
    <t>PROQUMA</t>
  </si>
  <si>
    <t>Total Ruta 5</t>
  </si>
  <si>
    <t>bodega de producto terminado</t>
  </si>
  <si>
    <t>simples Q</t>
  </si>
  <si>
    <t>dobles Q</t>
  </si>
  <si>
    <t>División Proquima Asesores</t>
  </si>
  <si>
    <t>CONTABLE</t>
  </si>
  <si>
    <t>AJUSTE VÍA FACTURA / SERVICIOS RRHH</t>
  </si>
  <si>
    <t>DETERMINACIÓN / RESUMEN FACTURACIÓN</t>
  </si>
  <si>
    <t>UNHESA LIQUIDO</t>
  </si>
  <si>
    <t>BLOQUE LIQUIDOS</t>
  </si>
  <si>
    <t>LIQUIDOS PRODUCCION</t>
  </si>
  <si>
    <t/>
  </si>
  <si>
    <t xml:space="preserve">                         </t>
  </si>
  <si>
    <t>Erik Nordyn Flores Flores</t>
  </si>
  <si>
    <t>Otros ingresos</t>
  </si>
  <si>
    <t>Asistente  Juridico</t>
  </si>
  <si>
    <t>Juan Pablo Tortola Cal</t>
  </si>
  <si>
    <t xml:space="preserve">Asesor   </t>
  </si>
  <si>
    <t>Desarrollador de Vta consumidor</t>
  </si>
  <si>
    <t>Juan Wilberto Cortez Cisnros</t>
  </si>
  <si>
    <t>Luis Fernando Ibarra Martinez</t>
  </si>
  <si>
    <t>PRODUCCION LIMPIEZA</t>
  </si>
  <si>
    <t>Auxiliar de Limpieza</t>
  </si>
  <si>
    <t>Total Limpieza</t>
  </si>
  <si>
    <t>TOTAL OPERACIONES</t>
  </si>
  <si>
    <t>LIMPIEZA PRODUCCION</t>
  </si>
  <si>
    <t>EMITIR FACTURAS DE:</t>
  </si>
  <si>
    <t>Jose Luis Zurdo Morales</t>
  </si>
  <si>
    <t>Victor Manuel Tije Pocon</t>
  </si>
  <si>
    <t>Lopez de Lopez Angelica Elizabeth</t>
  </si>
  <si>
    <t>Sergio Baudilio Ac Lopez</t>
  </si>
  <si>
    <t>Enrique Lopez Cortez</t>
  </si>
  <si>
    <t>LIQUIDOS VENTAS (Desarrolladores de Negocios)</t>
  </si>
  <si>
    <t>Gerente Comercial</t>
  </si>
  <si>
    <t>Total Informatica</t>
  </si>
  <si>
    <t>Total Líquidos Ventas</t>
  </si>
  <si>
    <t>Analista Programador</t>
  </si>
  <si>
    <t>Ruta 5 Ventas (Mayorista Capital)</t>
  </si>
  <si>
    <t>Otros Ingresos</t>
  </si>
  <si>
    <t>Salario Ordinario</t>
  </si>
  <si>
    <t>Empresa Real</t>
  </si>
  <si>
    <t>Bono Decreto</t>
  </si>
  <si>
    <t>Días Laborados</t>
  </si>
  <si>
    <t>% Proquima</t>
  </si>
  <si>
    <t>% Unhesa Liq.</t>
  </si>
  <si>
    <t>% Econacional</t>
  </si>
  <si>
    <t>% Ecomezclas</t>
  </si>
  <si>
    <t>Total % Distribución</t>
  </si>
  <si>
    <t>Cuotas Préstamos Bancos</t>
  </si>
  <si>
    <t>Digitador</t>
  </si>
  <si>
    <t>GRUPO ECONSA</t>
  </si>
  <si>
    <t>VERIFICADOR DE PAGO DE NOMINA</t>
  </si>
  <si>
    <t>FECHA DE PAGO:</t>
  </si>
  <si>
    <t>Nombre de</t>
  </si>
  <si>
    <t>Tipo de</t>
  </si>
  <si>
    <t>Soporte</t>
  </si>
  <si>
    <t xml:space="preserve">Medio de </t>
  </si>
  <si>
    <t>Monto</t>
  </si>
  <si>
    <t>Colaborador</t>
  </si>
  <si>
    <t>Personal</t>
  </si>
  <si>
    <t>de Pago</t>
  </si>
  <si>
    <t>Pago</t>
  </si>
  <si>
    <t>Autorizado por: Walter Mendez (Auditoria Interna)</t>
  </si>
  <si>
    <t>LOTE CORRECTO</t>
  </si>
  <si>
    <t>Varios Plantilla</t>
  </si>
  <si>
    <t>Industrial</t>
  </si>
  <si>
    <t>Transferencia</t>
  </si>
  <si>
    <t xml:space="preserve">   Revisado por: Walter Mendez (Auditoria)</t>
  </si>
  <si>
    <t xml:space="preserve">       Autorizado  por : Gerardo Estrada (Presidencia)</t>
  </si>
  <si>
    <t>Tesorera-Contador</t>
  </si>
  <si>
    <t>Encargada de Bodega PT</t>
  </si>
  <si>
    <t>Vendedor</t>
  </si>
  <si>
    <t>SEGURO</t>
  </si>
  <si>
    <t>Otros Descuentos</t>
  </si>
  <si>
    <t>Melgar Najera Alfredo Emilio</t>
  </si>
  <si>
    <t>FACTURAR CON FECHA  30 DE septiembre SERVICIOS DE RRHH DE septiembre 2019 DE PROQUIMA:</t>
  </si>
  <si>
    <t>Jefe de Producción</t>
  </si>
  <si>
    <t>Mendez Cruz Walter Emilio</t>
  </si>
  <si>
    <t>Jimenez Sosa Luis Eduardo</t>
  </si>
  <si>
    <t>Samayoa Chavarria Leslie Amabilia</t>
  </si>
  <si>
    <t>Veliz Cortez Jonathan Luis</t>
  </si>
  <si>
    <t xml:space="preserve">Macz Cu Carlos Enrique </t>
  </si>
  <si>
    <t>Gaitan Hernandez Luis Daniel</t>
  </si>
  <si>
    <t>Guzman Hernandez Edgar Geovanni</t>
  </si>
  <si>
    <t>Sanchez José Nelson</t>
  </si>
  <si>
    <t>Gómez Laparra Glenda Esmeralda</t>
  </si>
  <si>
    <t xml:space="preserve">Ramos Marcial </t>
  </si>
  <si>
    <t>Lajon Puac Osmen Gudiel</t>
  </si>
  <si>
    <t>Orellana Gonzalez Francisco Javier</t>
  </si>
  <si>
    <t>Cisneros Lopez Marvin Daniel</t>
  </si>
  <si>
    <t>Pu Canto Domingo</t>
  </si>
  <si>
    <t>Alpuaque Aragon Sergio Antonio</t>
  </si>
  <si>
    <t>Lopez Vasquez Flor de Maria</t>
  </si>
  <si>
    <t>Mendez Flores Juan Andres</t>
  </si>
  <si>
    <t>Palma Salvatierra Harim Abdala</t>
  </si>
  <si>
    <t>Toz Putul Martin</t>
  </si>
  <si>
    <t>Cruz Juarez Santos Ernesto</t>
  </si>
  <si>
    <t>Turcios Carlos Alfredo</t>
  </si>
  <si>
    <t>Mendez Velasquez Hector Eduardo</t>
  </si>
  <si>
    <t>Monterroso Barrios Juan Carlos</t>
  </si>
  <si>
    <t>Hernandez Contreras Kewin Josue</t>
  </si>
  <si>
    <t>Choc Caal Augusto Adan</t>
  </si>
  <si>
    <t>López Gerber Alexander</t>
  </si>
  <si>
    <t>Santizo Santizo Rodrigo Eduardo</t>
  </si>
  <si>
    <t>Ixcoy de Quevedo Blanca Francisca</t>
  </si>
  <si>
    <t>Araujo Calderon Jose Rodolfo</t>
  </si>
  <si>
    <t>De Paz Corado Erick Geovanni</t>
  </si>
  <si>
    <t>Yat Mo Marvin Obdulio</t>
  </si>
  <si>
    <t>Cisneros Escobar Walter De Jesus</t>
  </si>
  <si>
    <t>Samayoa Martir Mario Humberto</t>
  </si>
  <si>
    <t>Boror Pirir Jose Cruz</t>
  </si>
  <si>
    <t xml:space="preserve">Guerra Lopez Jonathan Otoniel </t>
  </si>
  <si>
    <t>Tot Paau David Antonio</t>
  </si>
  <si>
    <t>Soto Juarez Mario Antonio</t>
  </si>
  <si>
    <t>Hernandez de Lemus Iris Carolina</t>
  </si>
  <si>
    <t>Huertas Valenzuela Sergio Antonio</t>
  </si>
  <si>
    <t>Si Mes Pablo</t>
  </si>
  <si>
    <t>Chamay Gomez Susana Noemi</t>
  </si>
  <si>
    <t>Ambrocio Sanchez Rolando</t>
  </si>
  <si>
    <t>España Arana Ruth Emilia</t>
  </si>
  <si>
    <t xml:space="preserve">Patzan Quib Lucrecia </t>
  </si>
  <si>
    <t>Gonzalez Gomez Glendy Paola</t>
  </si>
  <si>
    <t>Ramirez Ovando Marilyn Crystal</t>
  </si>
  <si>
    <t>Sontay Cifuentes Leydi Rosivel</t>
  </si>
  <si>
    <t>Aragón Coronado Guillermo Giovanni</t>
  </si>
  <si>
    <t>Castañeda Osorio Estela Angelina</t>
  </si>
  <si>
    <t>Jolon Carrascoza Erwin Antonio</t>
  </si>
  <si>
    <t>Morales Hernandez Ausencio</t>
  </si>
  <si>
    <t>Chacón Morales Katheryne Mariannela</t>
  </si>
  <si>
    <t>Cotzajay Lopez Aura Leticia</t>
  </si>
  <si>
    <t>Garrido Aguilar Maria Elena</t>
  </si>
  <si>
    <t>Boche Mendez Olga Veronica</t>
  </si>
  <si>
    <t>Veliz Carias Elder Danilo</t>
  </si>
  <si>
    <t>Chavez Garcia Benner Amilcar</t>
  </si>
  <si>
    <t>Gerente Compras expo e impo</t>
  </si>
  <si>
    <t>Encargado Administrativo</t>
  </si>
  <si>
    <t>Coordinador Administrativo</t>
  </si>
  <si>
    <t>Jefe I &amp; D</t>
  </si>
  <si>
    <t>Asistente de Recursos Humanos</t>
  </si>
  <si>
    <t>TOTAL EGRESOS Bol Ornato, Seguro, Otros</t>
  </si>
  <si>
    <t>Sical Cruz Manuel Estuardo</t>
  </si>
  <si>
    <t>Supervisor Contable</t>
  </si>
  <si>
    <t xml:space="preserve">   Autorizado por:  Iris de Lemus (Recursos Humanos)</t>
  </si>
  <si>
    <t>Operador</t>
  </si>
  <si>
    <t>Cisneros Gonzales  Esvin Antonio</t>
  </si>
  <si>
    <t>COMPRAS IMPORTACIONES Y EXPORTACIONES</t>
  </si>
  <si>
    <t>Auxiliar de Mantenimiento</t>
  </si>
  <si>
    <t xml:space="preserve">Facturador </t>
  </si>
  <si>
    <t xml:space="preserve">Chávez Velásquez Wendy Lorena </t>
  </si>
  <si>
    <t>Estrada Robles Victor Gerardo 1</t>
  </si>
  <si>
    <t>Gregorio Rodríguez Sulma Maribel</t>
  </si>
  <si>
    <t>Recepcionista</t>
  </si>
  <si>
    <t>Solis Dominguez Angel Gabriel</t>
  </si>
  <si>
    <t>LOTE  A        ELIMINAR</t>
  </si>
  <si>
    <t>Samora Sacul Yocelin Paola</t>
  </si>
  <si>
    <t>Enriquez Donis Alvaro Cristian</t>
  </si>
  <si>
    <t>Communitry Manager</t>
  </si>
  <si>
    <t>Guerra Tobar Melvin Esleiter</t>
  </si>
  <si>
    <t>Gomez Martinez Sandor Felipe</t>
  </si>
  <si>
    <t>Vasquez Bamaca Walter Leonidas</t>
  </si>
  <si>
    <t>Auxiliar Bodega MP</t>
  </si>
  <si>
    <t>Solano Garcia Jorge Alberto</t>
  </si>
  <si>
    <t>Auxiliar de control de calidad</t>
  </si>
  <si>
    <t>Muñoz Laparra Orly Gabriela</t>
  </si>
  <si>
    <t>Empacadora Liquidos</t>
  </si>
  <si>
    <t>Empacadora de Sobres</t>
  </si>
  <si>
    <t>Operario Liquidos</t>
  </si>
  <si>
    <t>Linea de Botes</t>
  </si>
  <si>
    <t>Operario  Sobres</t>
  </si>
  <si>
    <t>Operario  Liquidos</t>
  </si>
  <si>
    <t>Boror López Mayra Guadalupe</t>
  </si>
  <si>
    <t>Jefe de Gestion de calidad</t>
  </si>
  <si>
    <t>Imeri Ordoñez Luis Enrique</t>
  </si>
  <si>
    <t xml:space="preserve">Lopez Orellana Genesis Alejandra </t>
  </si>
  <si>
    <t>Auxiliar de Carga</t>
  </si>
  <si>
    <t>De Floran Rodas Luis  Arnau Estanislao</t>
  </si>
  <si>
    <t>Pirir Toj Luis Alberto</t>
  </si>
  <si>
    <t>Rosales Soberaniz Benito Pedro Pablo</t>
  </si>
  <si>
    <t>Paz Pacheco Otoniel Adonias</t>
  </si>
  <si>
    <t>Project Manager</t>
  </si>
  <si>
    <t>Quej Cau Jose Angel</t>
  </si>
  <si>
    <t>Martinez Garcia Erick Rolando</t>
  </si>
  <si>
    <t>Contreras Vasquez Oscar Jose</t>
  </si>
  <si>
    <t>Ibañez Galicia Jonatan Alexander</t>
  </si>
  <si>
    <t>Cano Cano Nolberto</t>
  </si>
  <si>
    <t>Ramirez Vasquez Audelio</t>
  </si>
  <si>
    <t xml:space="preserve">Operario  </t>
  </si>
  <si>
    <t>Garcia Sarceño Mayvin Armando</t>
  </si>
  <si>
    <t>DESCUENTO  producto</t>
  </si>
  <si>
    <t xml:space="preserve">Nota:  Transferencia programada para    </t>
  </si>
  <si>
    <t>Bran Toc Juan Jose</t>
  </si>
  <si>
    <t>Arriaga García Melvin Rodrigo</t>
  </si>
  <si>
    <t>Ramos Caracun Jose Ottoniel</t>
  </si>
  <si>
    <t>Flores Ruano Yandira Beatriz</t>
  </si>
  <si>
    <t>Velásquez  López Claudia Carolina</t>
  </si>
  <si>
    <t>Revolorio Urías Erick Manolo</t>
  </si>
  <si>
    <t>Morales Ojeda Yefri Misael</t>
  </si>
  <si>
    <t>Salvatierra de Leon Jakeline Marisela</t>
  </si>
  <si>
    <t xml:space="preserve">Ruche Bor José Antonio </t>
  </si>
  <si>
    <t>Ramirez Perez Mynor Estuardo</t>
  </si>
  <si>
    <t>Gomez Likez Rene Alexander</t>
  </si>
  <si>
    <t>Hernandez Aquino Wendy Lizbeth</t>
  </si>
  <si>
    <t>Morales Hernandez Joselyn Arceli</t>
  </si>
  <si>
    <t>Alvarez Caceros Genesis Arleth</t>
  </si>
  <si>
    <t>DESCUENTO PRODUCTO</t>
  </si>
  <si>
    <t>Reyes Salazar Lesly Alejandra</t>
  </si>
  <si>
    <t>Auxiliar de Telemarketing</t>
  </si>
  <si>
    <t>Méndez González Grecia Marbella</t>
  </si>
  <si>
    <t>Sian Ortega Mildred Liliana</t>
  </si>
  <si>
    <t>Ramirez Arcon Maria Nury</t>
  </si>
  <si>
    <t xml:space="preserve">  Revisado por: Iris de Lemus (Recursos Humanos)</t>
  </si>
  <si>
    <t>BANCOS</t>
  </si>
  <si>
    <t>Perez Menendez Mayra Alejandra</t>
  </si>
  <si>
    <t>Castro Aceituno Rodrigo Jose</t>
  </si>
  <si>
    <t>Lopez Calderon Cesar Anibal</t>
  </si>
  <si>
    <t>Cabrera Guzman Javier Antonio</t>
  </si>
  <si>
    <t>Figueros Cardona Gabriel</t>
  </si>
  <si>
    <t>Auxiliar de  Investigacion y Desarrollo</t>
  </si>
  <si>
    <t xml:space="preserve">Hecho por:   Alejandra Pérez </t>
  </si>
  <si>
    <t>Ruano Quevedo Marvin Gerardo</t>
  </si>
  <si>
    <t>Encargado de Bodega MP</t>
  </si>
  <si>
    <t>Orozco Tzic Yenifer Jimena</t>
  </si>
  <si>
    <t>Asistente de Investigacion y Desarrollo</t>
  </si>
  <si>
    <t>Supervisor</t>
  </si>
  <si>
    <t>Lopez Rivera Lourdes Janeth</t>
  </si>
  <si>
    <t>Vasquez Rodriguez Mauro Trinidad</t>
  </si>
  <si>
    <t>Zarate De Leon, Enma Yaneth</t>
  </si>
  <si>
    <t>Asistente de Reclutamiento</t>
  </si>
  <si>
    <t>Estrada Robles Juan Pablo</t>
  </si>
  <si>
    <t>PARQUEOS</t>
  </si>
  <si>
    <t>YANDIRA</t>
  </si>
  <si>
    <t>RONY</t>
  </si>
  <si>
    <t xml:space="preserve">GABRIELA </t>
  </si>
  <si>
    <t>SEGUROS</t>
  </si>
  <si>
    <t>MARVIN CISNEROS</t>
  </si>
  <si>
    <t>SERGIO HUERTAS</t>
  </si>
  <si>
    <t>DEUDA RONY</t>
  </si>
  <si>
    <t>DESCUENTOS JURIDICOS</t>
  </si>
  <si>
    <t>ERROR OTONIEL</t>
  </si>
  <si>
    <t>JOSE RUCHE</t>
  </si>
  <si>
    <t>WENDY CHAVEZ</t>
  </si>
  <si>
    <t>Renovación Examenes</t>
  </si>
  <si>
    <t>Tarjetas de Salud</t>
  </si>
  <si>
    <t>TARJETAS DE SALUD</t>
  </si>
  <si>
    <t xml:space="preserve">TOTAL INTEGRACION COLUMNA </t>
  </si>
  <si>
    <t>RUTH</t>
  </si>
  <si>
    <t xml:space="preserve">RONY </t>
  </si>
  <si>
    <t>PRODUCTO</t>
  </si>
  <si>
    <t>NOMINA MES DE: ENERO  2,022  1a. Quincena)</t>
  </si>
  <si>
    <t>SALARIO VENCIDO</t>
  </si>
  <si>
    <t>SALARIO ACTUAL</t>
  </si>
  <si>
    <t xml:space="preserve">IMPACTO DE INCREMENTO </t>
  </si>
  <si>
    <t>BONIF DTO</t>
  </si>
  <si>
    <t>TOTAL SALARIO</t>
  </si>
  <si>
    <t>TABLA DE RESUMEN DE INCREMENTO</t>
  </si>
  <si>
    <t>IMPACTO POR EMPRESA</t>
  </si>
  <si>
    <t>Lancerio Sete Katherine Maeli</t>
  </si>
  <si>
    <t>Revisado por: Iris de Lemus</t>
  </si>
  <si>
    <t>Vo.Bo. Gerencia General</t>
  </si>
  <si>
    <t>Realizado Por: Alejandra Pèrez</t>
  </si>
  <si>
    <t>Autorizado Por: Walter Mendez</t>
  </si>
  <si>
    <t xml:space="preserve">MONTO BOLETO </t>
  </si>
  <si>
    <t>Osoy Gonzalez Luis Antonio</t>
  </si>
  <si>
    <t>Maldonado Solval Karla Elizabeth</t>
  </si>
  <si>
    <t>Ejecutado por : Alejandra Perez</t>
  </si>
  <si>
    <t>Revisado Por. Walter Mendez</t>
  </si>
  <si>
    <t>Revisado Por: Iris de Lemus</t>
  </si>
  <si>
    <t>Mendizabal Rosales Edgar Osvaldo</t>
  </si>
  <si>
    <t>Cuello Pirir Jorge Renato</t>
  </si>
  <si>
    <t>Saban Culajay Edson Omar</t>
  </si>
  <si>
    <t>Lorenzana Gonzalez Cesar Leonel</t>
  </si>
  <si>
    <t>Ramirez Ramos Brayan Neptaly</t>
  </si>
  <si>
    <t>0142241081</t>
  </si>
  <si>
    <t>Auxiliar de Control De Calidad</t>
  </si>
  <si>
    <t>Saenz Lemus Dulce Maria</t>
  </si>
  <si>
    <t>Administracion Operaciones</t>
  </si>
  <si>
    <t>Davila Morales Estiven Alexander</t>
  </si>
  <si>
    <t>Facturador</t>
  </si>
  <si>
    <t>Administrativo</t>
  </si>
  <si>
    <t>RECEPCION</t>
  </si>
  <si>
    <t>Auditoria Interna</t>
  </si>
  <si>
    <t>Administracion</t>
  </si>
  <si>
    <t>Contable Financiero</t>
  </si>
  <si>
    <t>Tesoreria</t>
  </si>
  <si>
    <t>Legal</t>
  </si>
  <si>
    <t>Costos y Presupuestos</t>
  </si>
  <si>
    <t>Ruta franquicias 1</t>
  </si>
  <si>
    <t>Ruta Mayoreo 2</t>
  </si>
  <si>
    <t>Ruta Mayoreo 1</t>
  </si>
  <si>
    <t>Ruta Mayoreo 3</t>
  </si>
  <si>
    <t>Ruta Mayoreo 4</t>
  </si>
  <si>
    <t>Ruta Mayoreo 5</t>
  </si>
  <si>
    <t>ONLINE</t>
  </si>
  <si>
    <t>Ruta On line 1</t>
  </si>
  <si>
    <t>Ruta On line 2</t>
  </si>
  <si>
    <t>Exportaciones</t>
  </si>
  <si>
    <t>Premezclas</t>
  </si>
  <si>
    <t>materias Primas</t>
  </si>
  <si>
    <t>Maquila</t>
  </si>
  <si>
    <t>Fabricacion Secos UNHESA</t>
  </si>
  <si>
    <t>Fabricacion Liquidos</t>
  </si>
  <si>
    <t>Fabricacion liquidos maquilas</t>
  </si>
  <si>
    <t>fabricacion maquilas</t>
  </si>
  <si>
    <t>BODEGA MP</t>
  </si>
  <si>
    <t>BODEGA PT</t>
  </si>
  <si>
    <t>TRANSPORTE TERCERIZADO</t>
  </si>
  <si>
    <t>TRANSPORTE PROPIO</t>
  </si>
  <si>
    <t>Despacho en linea</t>
  </si>
  <si>
    <t>importaciones</t>
  </si>
  <si>
    <t>Calidades</t>
  </si>
  <si>
    <t>Aseguramiento de Calidad</t>
  </si>
  <si>
    <t>Control de Calidad</t>
  </si>
  <si>
    <t>Edificios</t>
  </si>
  <si>
    <t xml:space="preserve">Administracion    </t>
  </si>
  <si>
    <t>Maquinaria</t>
  </si>
  <si>
    <t>Fabricacion liquidos</t>
  </si>
  <si>
    <t>Bodega MP</t>
  </si>
  <si>
    <t>Bodega PT</t>
  </si>
  <si>
    <t>Proveeduria</t>
  </si>
  <si>
    <t>CALIDADES</t>
  </si>
  <si>
    <t>Aseguramiento de calidad</t>
  </si>
  <si>
    <t>PRODUCCIONADMINISTRACION</t>
  </si>
  <si>
    <t>FABRICACION LIQUIDOS</t>
  </si>
  <si>
    <t xml:space="preserve">Ruta Franquicias   </t>
  </si>
  <si>
    <t>Ruta Franquicias 2</t>
  </si>
  <si>
    <t>PRODUCCION ADMINISTRACION</t>
  </si>
  <si>
    <t>FIJO</t>
  </si>
  <si>
    <t>INMEDIATO.</t>
  </si>
  <si>
    <t>Jefe de Mantenimiento</t>
  </si>
  <si>
    <t>Manuel Oxlaj Edgar Humberto</t>
  </si>
  <si>
    <t>Tecu Lajuj Hugo Armando</t>
  </si>
  <si>
    <t>Nacho Tun Jonatan Emanuel</t>
  </si>
  <si>
    <t>Choxin Puac Gudiel Alexander</t>
  </si>
  <si>
    <t>Tecnico industrial</t>
  </si>
  <si>
    <t>Contador</t>
  </si>
  <si>
    <t>Asistente Legal Administrativo</t>
  </si>
  <si>
    <t>Gonzalez Torres Tadeo Felix David</t>
  </si>
  <si>
    <t>Marroquin Rueda Jenneffer Ivonne</t>
  </si>
  <si>
    <t>el efecto siempre debe ser 0 en la suma</t>
  </si>
  <si>
    <t>FACTURAR CON FECHA OCTUBRE SERVICIOS DE RRHH DE  OCTUBRE 2024 DE UNHESA A PROQUIMA</t>
  </si>
  <si>
    <t>Yaxon Taquira Juan Pablo Angel</t>
  </si>
  <si>
    <t>Vega Ortega Cesar Javier Arnoldo</t>
  </si>
  <si>
    <t>Total Auditoria</t>
  </si>
  <si>
    <t>Créditos y cobros</t>
  </si>
  <si>
    <t>Admón.</t>
  </si>
  <si>
    <t>Fabricacion secos unhesas</t>
  </si>
  <si>
    <t>Total Producción</t>
  </si>
  <si>
    <t>Total Compras</t>
  </si>
  <si>
    <t>Total Mantenimiento</t>
  </si>
  <si>
    <t>% Cleartec</t>
  </si>
  <si>
    <t>HORAS EXTRAS CLEARTEC</t>
  </si>
  <si>
    <t>CLEARTEC</t>
  </si>
  <si>
    <t>Importaciones</t>
  </si>
  <si>
    <t>Total Administrativa</t>
  </si>
  <si>
    <t>Bonificación incentivo decreto 37-2001 y 78-89</t>
  </si>
  <si>
    <t>Recepción</t>
  </si>
  <si>
    <t xml:space="preserve">TOTAL NOMINA </t>
  </si>
  <si>
    <t>Empresa:    ECONACIONAL, S.A.</t>
  </si>
  <si>
    <t xml:space="preserve"> BI</t>
  </si>
  <si>
    <t xml:space="preserve">Elaborado por: Alejandra Pèrez </t>
  </si>
  <si>
    <t>Empresa:    ECONACIONAL, S. A.</t>
  </si>
  <si>
    <t>MES</t>
  </si>
  <si>
    <t xml:space="preserve">AÑO </t>
  </si>
  <si>
    <t>MES/AÑO</t>
  </si>
  <si>
    <t>CC</t>
  </si>
  <si>
    <t>AUDITORIA INTERNA</t>
  </si>
  <si>
    <t>CONTABLE FINANCIERO</t>
  </si>
  <si>
    <t>CONTABILIDAD</t>
  </si>
  <si>
    <t>TESORERIA</t>
  </si>
  <si>
    <t>LEGAL</t>
  </si>
  <si>
    <t>COSTOS Y PRESUPUESTOS</t>
  </si>
  <si>
    <t>NOMINA ECONACIONAL, S. A.</t>
  </si>
  <si>
    <t>REAL</t>
  </si>
  <si>
    <t>econacional</t>
  </si>
  <si>
    <t>fijo</t>
  </si>
  <si>
    <t>Operador de Montacargas</t>
  </si>
  <si>
    <t xml:space="preserve">MARGEN </t>
  </si>
  <si>
    <t>Lopez Suran Neemias</t>
  </si>
  <si>
    <t>Ordoñez Corado Paola Maritza</t>
  </si>
  <si>
    <t>Analista Financiera</t>
  </si>
  <si>
    <t>Hernandez Maria Andrea</t>
  </si>
  <si>
    <t>Jefe de Operaciones Contables</t>
  </si>
  <si>
    <t>Encargado de Bodega PT</t>
  </si>
  <si>
    <t xml:space="preserve">Perez Barrios Kevin Augusto </t>
  </si>
  <si>
    <t>QUINCENA: 2  MES: 1</t>
  </si>
  <si>
    <t>Cruz Salguero Aramis Antonio</t>
  </si>
  <si>
    <t>Tesorero-Contador</t>
  </si>
  <si>
    <t>hugo</t>
  </si>
  <si>
    <t>Gonzalez Perez Alexis Damian</t>
  </si>
  <si>
    <t>Chamale  Peque Jorge Raul</t>
  </si>
  <si>
    <t>Asistente de Aseguramiento de Calidad</t>
  </si>
  <si>
    <t>Dennison Murillo Belkis Carolina</t>
  </si>
  <si>
    <t>Ramos Pineda Alan Fernando</t>
  </si>
  <si>
    <t>Jefe de Logistica y Bodega</t>
  </si>
  <si>
    <t>Código División</t>
  </si>
  <si>
    <t>Quevedo Turcios Julio Cesar</t>
  </si>
  <si>
    <t>5520105569</t>
  </si>
  <si>
    <t>Garcia Lopez Bianca Magdalena</t>
  </si>
  <si>
    <t>Jacome Galindo Francisco</t>
  </si>
  <si>
    <t>Gonzalez Hernandez Luis Roberto</t>
  </si>
  <si>
    <t>Gerente de Compras Export e Import</t>
  </si>
  <si>
    <t>1068 FIN DE MES</t>
  </si>
  <si>
    <t>SEGURO/ tarjeta de salud/boleto de ornato</t>
  </si>
  <si>
    <t>Perez Avilez Steven Andre</t>
  </si>
  <si>
    <t>Perez Rivera Yoselyn Carolina</t>
  </si>
  <si>
    <t>Auxiliar Contable (digitador)</t>
  </si>
  <si>
    <t>Apen Escalante Ami Adriana</t>
  </si>
  <si>
    <t>Asistente de Auditoria Interna</t>
  </si>
  <si>
    <t>Suministros</t>
  </si>
  <si>
    <t>Zuñiga Gonzalez Elmer David</t>
  </si>
  <si>
    <t>Encargado de Suministros y Servicios</t>
  </si>
  <si>
    <t>Roman Morales Mirta de los Angeles</t>
  </si>
  <si>
    <t>Operador de Monitoreo</t>
  </si>
  <si>
    <t>500 pendientes de marzo como indicadores</t>
  </si>
  <si>
    <t>A.23/3</t>
  </si>
  <si>
    <t>Choc Abrego  Enma Leticia</t>
  </si>
  <si>
    <t>DESCUENTO LUCRECIA PATZAN</t>
  </si>
  <si>
    <t>TOTAL DESCONTADO</t>
  </si>
  <si>
    <t>Arguijo Melgar ClaudiaMaria</t>
  </si>
  <si>
    <t>Analista de Compras Internacionales</t>
  </si>
  <si>
    <t>A.8/4  INDICADORES DE 1500</t>
  </si>
  <si>
    <t>Sumale Pelen Elio Rene</t>
  </si>
  <si>
    <t>A.13/4/2026 incremento de 500 en oct 26 y 500 en abril 2027</t>
  </si>
  <si>
    <t>Toledo Medrano Khrista Sarai</t>
  </si>
  <si>
    <t>A.4.5</t>
  </si>
  <si>
    <t>HIDROXON</t>
  </si>
  <si>
    <t>Lopez Oxcal Kevin Jesus</t>
  </si>
  <si>
    <t>A.11.5.26</t>
  </si>
  <si>
    <t>HORAS EXTRAS HIDROXON</t>
  </si>
  <si>
    <t>susp del 2 al 5/ alta el 6</t>
  </si>
  <si>
    <t>Analista de Compras Locales</t>
  </si>
  <si>
    <t>Salazar Santos Imideo Fibonacci</t>
  </si>
  <si>
    <t>Tecnico en Mantenimiento</t>
  </si>
  <si>
    <t>A.26/5/2026</t>
  </si>
  <si>
    <t> 5080072118</t>
  </si>
  <si>
    <t>JUNIO  2026 2da QUINCENA</t>
  </si>
  <si>
    <t>B.21.6.26</t>
  </si>
  <si>
    <t>B.30.6</t>
  </si>
  <si>
    <t>falta injustificada 2 dias mas sep</t>
  </si>
  <si>
    <t>Orellana Higueros Hugo Alejandro</t>
  </si>
  <si>
    <t>A.22.6.26</t>
  </si>
  <si>
    <t>MENSAJERIA</t>
  </si>
  <si>
    <t>Julaj Ixcotoyac Angel Estuardo</t>
  </si>
  <si>
    <t>BAJA 23.6</t>
  </si>
  <si>
    <t>08:00:00 hrs</t>
  </si>
  <si>
    <t>FACTURAR CON FECHA JUNIO SERVICIOS DE RRHH  DE JUNIO 2026 DE ECONACIONAL A PROQUIMA</t>
  </si>
  <si>
    <t>FACTURAR CON FECHA JUNIO SERVICIOS DE RRHH DE  JUNIO  2026 DE ECONACIONAL  A CLEARTEC</t>
  </si>
  <si>
    <t>FACTURAR CON FECHA JUNIO  SERVICIOS DE RRHH DE  JUNIO  2026 DE ECONACIONAL  A SABOMIX</t>
  </si>
  <si>
    <t>FACTURAR CON FECHA JUNIO SERVICIOS DE RRHH DE  JUNIO  2026 DE ECONACIONAL  A UNHESA</t>
  </si>
  <si>
    <t>RE</t>
  </si>
  <si>
    <t>INTEGRACION "OTROS EGRESOS"</t>
  </si>
  <si>
    <t>Parqueo</t>
  </si>
  <si>
    <t>Compra producto</t>
  </si>
  <si>
    <t>Ctas. X Pagar JP</t>
  </si>
  <si>
    <t>TOTAL "OTROS EGRESOS "</t>
  </si>
  <si>
    <t>TOTAL NÓMINA</t>
  </si>
  <si>
    <t>DIFERENCIA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</si>
</sst>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 #,##0.00_-;_-* &quot;-&quot;??_-;_-@_-"/>
    <numFmt numFmtId="164" formatCode="_(&quot;Q&quot;* #,##0.00_);_(&quot;Q&quot;* \(#,##0.00\);_(&quot;Q&quot;* &quot;-&quot;??_);_(@_)"/>
    <numFmt numFmtId="165" formatCode="_(* #,##0.00_);_(* \(#,##0.00\);_(* &quot;-&quot;??_);_(@_)"/>
    <numFmt numFmtId="166" formatCode="_(* #,##0.00_);_(* \(#,##0.00\);_(* \-??_);_(@_)"/>
    <numFmt numFmtId="167" formatCode="#,##0.00\ ;&quot; (&quot;#,##0.00\);&quot; -&quot;#\ ;@\ "/>
    <numFmt numFmtId="168" formatCode="_(\Q* #,##0.00_);_(\Q* \(#,##0.00\);_(\Q* \-??_);_(@_)"/>
    <numFmt numFmtId="169" formatCode="_-* #,##0.00_-;\-* #,##0.00_-;_-* \-??_-;_-@_-"/>
    <numFmt numFmtId="170" formatCode="#,##0.00;[Red]#,##0.00"/>
    <numFmt numFmtId="171" formatCode="#,##0.0;[Red]#,##0.0"/>
    <numFmt numFmtId="172" formatCode="#,##0.00_ ;[Red]\-#,##0.00\ "/>
    <numFmt numFmtId="173" formatCode="0000000000"/>
    <numFmt numFmtId="174" formatCode="00000000000"/>
    <numFmt numFmtId="175" formatCode="&quot;Q&quot;#,##0.00"/>
    <numFmt numFmtId="176" formatCode="#,##0.000_ ;[Red]\-#,##0.000\ "/>
    <numFmt numFmtId="177" formatCode="#,##0.0000000_ ;[Red]\-#,##0.0000000\ "/>
    <numFmt numFmtId="178" formatCode="#,##0.0000_ ;[Red]\-#,##0.0000\ "/>
    <numFmt numFmtId="179" formatCode="#,##0_ ;[Red]\-#,##0\ "/>
  </numFmts>
  <fonts count="172">
    <font>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indexed="8"/>
      <name val="Arial"/>
      <family val="2"/>
    </font>
    <font>
      <sz val="11"/>
      <color indexed="8"/>
      <name val="Arial1"/>
    </font>
    <font>
      <sz val="11"/>
      <color indexed="8"/>
      <name val="Calibri"/>
      <family val="2"/>
      <charset val="1"/>
    </font>
    <font>
      <sz val="10"/>
      <name val="Arial"/>
      <family val="2"/>
    </font>
    <font>
      <sz val="10"/>
      <color indexed="8"/>
      <name val="Arial"/>
      <family val="2"/>
    </font>
    <font>
      <b/>
      <sz val="11"/>
      <color indexed="8"/>
      <name val="Arial1"/>
    </font>
    <font>
      <b/>
      <sz val="9"/>
      <color indexed="8"/>
      <name val="Tahoma"/>
      <family val="2"/>
    </font>
    <font>
      <sz val="8"/>
      <color indexed="8"/>
      <name val="Arial"/>
      <family val="2"/>
      <charset val="1"/>
    </font>
    <font>
      <b/>
      <sz val="10"/>
      <color indexed="8"/>
      <name val="Arial"/>
      <family val="2"/>
    </font>
    <font>
      <b/>
      <sz val="12"/>
      <color indexed="8"/>
      <name val="Arial"/>
      <family val="2"/>
      <charset val="1"/>
    </font>
    <font>
      <b/>
      <sz val="8"/>
      <color indexed="8"/>
      <name val="Arial"/>
      <family val="2"/>
    </font>
    <font>
      <b/>
      <sz val="8"/>
      <name val="Arial"/>
      <family val="2"/>
    </font>
    <font>
      <sz val="8"/>
      <name val="Arial"/>
      <family val="2"/>
      <charset val="1"/>
    </font>
    <font>
      <b/>
      <sz val="8"/>
      <color indexed="8"/>
      <name val="Arial"/>
      <family val="2"/>
      <charset val="1"/>
    </font>
    <font>
      <sz val="9"/>
      <color indexed="8"/>
      <name val="Arial"/>
      <family val="2"/>
    </font>
    <font>
      <u/>
      <sz val="8"/>
      <color indexed="8"/>
      <name val="Arial"/>
      <family val="2"/>
      <charset val="1"/>
    </font>
    <font>
      <b/>
      <sz val="8"/>
      <color indexed="10"/>
      <name val="Arial"/>
      <family val="2"/>
    </font>
    <font>
      <b/>
      <sz val="11"/>
      <color indexed="8"/>
      <name val="Calibri"/>
      <family val="2"/>
    </font>
    <font>
      <sz val="11"/>
      <name val="Calibri"/>
      <family val="2"/>
    </font>
    <font>
      <b/>
      <sz val="9"/>
      <color indexed="8"/>
      <name val="Arial"/>
      <family val="2"/>
    </font>
    <font>
      <b/>
      <sz val="10"/>
      <color indexed="8"/>
      <name val="Arial"/>
      <family val="2"/>
      <charset val="1"/>
    </font>
    <font>
      <b/>
      <sz val="10"/>
      <color indexed="10"/>
      <name val="Arial"/>
      <family val="2"/>
      <charset val="1"/>
    </font>
    <font>
      <b/>
      <sz val="11"/>
      <color indexed="8"/>
      <name val="Calibri"/>
      <family val="2"/>
      <charset val="1"/>
    </font>
    <font>
      <sz val="12"/>
      <color indexed="8"/>
      <name val="Times New Roman"/>
      <family val="1"/>
      <charset val="1"/>
    </font>
    <font>
      <sz val="5"/>
      <color indexed="8"/>
      <name val="Times New Roman"/>
      <family val="1"/>
      <charset val="1"/>
    </font>
    <font>
      <sz val="5"/>
      <color indexed="8"/>
      <name val="Arial"/>
      <family val="2"/>
      <charset val="1"/>
    </font>
    <font>
      <sz val="10"/>
      <color indexed="8"/>
      <name val="Arial Unicode MS"/>
      <family val="2"/>
    </font>
    <font>
      <sz val="8"/>
      <color indexed="8"/>
      <name val="Calibri"/>
      <family val="2"/>
    </font>
    <font>
      <b/>
      <sz val="8"/>
      <color indexed="8"/>
      <name val="Calibri"/>
      <family val="2"/>
    </font>
    <font>
      <sz val="8"/>
      <color indexed="8"/>
      <name val="Arial Unicode MS"/>
      <family val="2"/>
    </font>
    <font>
      <sz val="8"/>
      <color indexed="8"/>
      <name val="Calibri"/>
      <family val="2"/>
      <charset val="1"/>
    </font>
    <font>
      <b/>
      <sz val="10"/>
      <name val="Arial"/>
      <family val="2"/>
      <charset val="1"/>
    </font>
    <font>
      <sz val="8"/>
      <color indexed="8"/>
      <name val="Times New Roman"/>
      <family val="1"/>
      <charset val="1"/>
    </font>
    <font>
      <u/>
      <sz val="8"/>
      <color indexed="8"/>
      <name val="Times New Roman"/>
      <family val="1"/>
      <charset val="1"/>
    </font>
    <font>
      <sz val="11"/>
      <color indexed="8"/>
      <name val="Calibri"/>
      <family val="2"/>
    </font>
    <font>
      <sz val="9"/>
      <color indexed="81"/>
      <name val="Tahoma"/>
      <family val="2"/>
    </font>
    <font>
      <b/>
      <sz val="9"/>
      <color indexed="81"/>
      <name val="Tahoma"/>
      <family val="2"/>
    </font>
    <font>
      <b/>
      <sz val="11"/>
      <name val="Calibri"/>
      <family val="2"/>
    </font>
    <font>
      <b/>
      <sz val="8"/>
      <color rgb="FFFF0000"/>
      <name val="Arial"/>
      <family val="2"/>
    </font>
    <font>
      <sz val="8"/>
      <color indexed="81"/>
      <name val="Tahoma"/>
      <family val="2"/>
    </font>
    <font>
      <b/>
      <sz val="8"/>
      <color indexed="81"/>
      <name val="Tahoma"/>
      <family val="2"/>
    </font>
    <font>
      <b/>
      <sz val="14"/>
      <color indexed="8"/>
      <name val="Arial"/>
      <family val="2"/>
    </font>
    <font>
      <sz val="10"/>
      <color rgb="FF000000"/>
      <name val="Arial"/>
      <family val="2"/>
    </font>
    <font>
      <b/>
      <sz val="11"/>
      <color theme="1"/>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b/>
      <sz val="14"/>
      <name val="Arial"/>
      <family val="2"/>
    </font>
    <font>
      <sz val="11"/>
      <color rgb="FF0000FF"/>
      <name val="Calibri"/>
      <family val="2"/>
    </font>
    <font>
      <sz val="12"/>
      <name val="Arial"/>
      <family val="2"/>
    </font>
    <font>
      <sz val="14"/>
      <name val="Calibri"/>
      <family val="2"/>
      <scheme val="minor"/>
    </font>
    <font>
      <b/>
      <sz val="14"/>
      <name val="Calibri"/>
      <family val="2"/>
      <scheme val="minor"/>
    </font>
    <font>
      <sz val="14"/>
      <color theme="0"/>
      <name val="Calibri"/>
      <family val="2"/>
      <scheme val="minor"/>
    </font>
    <font>
      <sz val="10"/>
      <color rgb="FF0000FF"/>
      <name val="Arial"/>
      <family val="2"/>
    </font>
    <font>
      <sz val="11"/>
      <name val="Calibri"/>
      <family val="2"/>
      <charset val="1"/>
    </font>
    <font>
      <sz val="10"/>
      <color rgb="FFFF0000"/>
      <name val="Arial"/>
      <family val="2"/>
    </font>
    <font>
      <sz val="11"/>
      <color theme="1"/>
      <name val="Calibri"/>
      <family val="2"/>
      <charset val="1"/>
    </font>
    <font>
      <sz val="11"/>
      <name val="Calibri"/>
      <family val="2"/>
      <scheme val="minor"/>
    </font>
    <font>
      <sz val="14"/>
      <name val="Calibri"/>
      <family val="2"/>
    </font>
    <font>
      <sz val="11"/>
      <color theme="1"/>
      <name val="Calibri"/>
      <family val="2"/>
    </font>
    <font>
      <sz val="8"/>
      <color theme="1"/>
      <name val="Arial"/>
      <family val="2"/>
    </font>
    <font>
      <sz val="10"/>
      <color theme="1"/>
      <name val="Arial"/>
      <family val="2"/>
    </font>
    <font>
      <sz val="10"/>
      <color theme="1"/>
      <name val="Arial"/>
      <family val="2"/>
      <charset val="1"/>
    </font>
    <font>
      <sz val="9"/>
      <name val="Arial"/>
      <family val="2"/>
    </font>
    <font>
      <sz val="8"/>
      <color theme="1"/>
      <name val="Arial"/>
      <family val="2"/>
      <charset val="1"/>
    </font>
    <font>
      <b/>
      <sz val="8"/>
      <color theme="1"/>
      <name val="Arial"/>
      <family val="2"/>
      <charset val="1"/>
    </font>
    <font>
      <b/>
      <sz val="11"/>
      <color theme="1"/>
      <name val="Calibri"/>
      <family val="2"/>
      <charset val="1"/>
    </font>
    <font>
      <sz val="10"/>
      <name val="Calibri"/>
      <family val="2"/>
      <scheme val="minor"/>
    </font>
    <font>
      <b/>
      <sz val="14"/>
      <name val="Calibri"/>
      <family val="2"/>
    </font>
    <font>
      <b/>
      <sz val="9"/>
      <name val="Calibri"/>
      <family val="2"/>
      <scheme val="minor"/>
    </font>
    <font>
      <sz val="14"/>
      <name val="Arial"/>
      <family val="2"/>
    </font>
    <font>
      <sz val="9"/>
      <color theme="1"/>
      <name val="Arial"/>
      <family val="2"/>
    </font>
    <font>
      <b/>
      <sz val="12"/>
      <color indexed="8"/>
      <name val="Calibri"/>
      <family val="2"/>
    </font>
    <font>
      <b/>
      <sz val="10"/>
      <color theme="1"/>
      <name val="Arial"/>
      <family val="2"/>
    </font>
    <font>
      <b/>
      <sz val="10"/>
      <color theme="1"/>
      <name val="Arial"/>
      <family val="2"/>
      <charset val="1"/>
    </font>
    <font>
      <b/>
      <sz val="10"/>
      <color theme="1"/>
      <name val="Calibri"/>
      <family val="2"/>
      <scheme val="minor"/>
    </font>
    <font>
      <sz val="14"/>
      <color indexed="8"/>
      <name val="Arial"/>
      <family val="2"/>
    </font>
    <font>
      <sz val="14"/>
      <color indexed="9"/>
      <name val="Arial"/>
      <family val="2"/>
    </font>
    <font>
      <sz val="14"/>
      <color theme="1"/>
      <name val="Arial"/>
      <family val="2"/>
    </font>
    <font>
      <sz val="16"/>
      <color indexed="8"/>
      <name val="Calibri"/>
      <family val="2"/>
    </font>
    <font>
      <b/>
      <sz val="16"/>
      <color indexed="8"/>
      <name val="Calibri"/>
      <family val="2"/>
    </font>
    <font>
      <sz val="18"/>
      <color indexed="8"/>
      <name val="Arial"/>
      <family val="2"/>
    </font>
    <font>
      <b/>
      <sz val="18"/>
      <name val="Arial"/>
      <family val="2"/>
    </font>
    <font>
      <b/>
      <sz val="18"/>
      <name val="Arial"/>
      <family val="2"/>
      <charset val="1"/>
    </font>
    <font>
      <sz val="18"/>
      <color indexed="8"/>
      <name val="Arial"/>
      <family val="2"/>
      <charset val="1"/>
    </font>
    <font>
      <b/>
      <sz val="18"/>
      <color indexed="8"/>
      <name val="Arial"/>
      <family val="2"/>
    </font>
    <font>
      <b/>
      <sz val="18"/>
      <color indexed="8"/>
      <name val="Arial"/>
      <family val="2"/>
      <charset val="1"/>
    </font>
    <font>
      <sz val="18"/>
      <color indexed="9"/>
      <name val="Arial"/>
      <family val="2"/>
    </font>
    <font>
      <sz val="18"/>
      <color indexed="9"/>
      <name val="Arial"/>
      <family val="2"/>
      <charset val="1"/>
    </font>
    <font>
      <sz val="18"/>
      <color indexed="8"/>
      <name val="Calibri"/>
      <family val="2"/>
      <charset val="1"/>
    </font>
    <font>
      <b/>
      <sz val="18"/>
      <color indexed="10"/>
      <name val="Arial"/>
      <family val="2"/>
    </font>
    <font>
      <sz val="18"/>
      <name val="Arial"/>
      <family val="2"/>
    </font>
    <font>
      <sz val="18"/>
      <name val="Arial"/>
      <family val="2"/>
      <charset val="1"/>
    </font>
    <font>
      <sz val="18"/>
      <color theme="1"/>
      <name val="Arial"/>
      <family val="2"/>
    </font>
    <font>
      <sz val="18"/>
      <color theme="1"/>
      <name val="Arial"/>
      <family val="2"/>
      <charset val="1"/>
    </font>
    <font>
      <b/>
      <u/>
      <sz val="18"/>
      <color indexed="8"/>
      <name val="Arial"/>
      <family val="2"/>
    </font>
    <font>
      <sz val="18"/>
      <color rgb="FFFF0000"/>
      <name val="Arial"/>
      <family val="2"/>
      <charset val="1"/>
    </font>
    <font>
      <u/>
      <sz val="18"/>
      <color indexed="8"/>
      <name val="Arial"/>
      <family val="2"/>
    </font>
    <font>
      <sz val="18"/>
      <color indexed="8"/>
      <name val="Calibri"/>
      <family val="2"/>
    </font>
    <font>
      <b/>
      <u val="singleAccounting"/>
      <sz val="18"/>
      <color indexed="8"/>
      <name val="Calibri"/>
      <family val="2"/>
    </font>
    <font>
      <b/>
      <sz val="18"/>
      <color indexed="8"/>
      <name val="Calibri"/>
      <family val="2"/>
    </font>
    <font>
      <b/>
      <sz val="20"/>
      <color indexed="8"/>
      <name val="Calibri"/>
      <family val="2"/>
    </font>
    <font>
      <sz val="48"/>
      <color indexed="8"/>
      <name val="Arial"/>
      <family val="2"/>
    </font>
    <font>
      <b/>
      <sz val="48"/>
      <name val="Arial"/>
      <family val="2"/>
    </font>
    <font>
      <b/>
      <sz val="48"/>
      <name val="Arial"/>
      <family val="2"/>
      <charset val="1"/>
    </font>
    <font>
      <sz val="48"/>
      <color indexed="8"/>
      <name val="Arial"/>
      <family val="2"/>
      <charset val="1"/>
    </font>
    <font>
      <b/>
      <sz val="48"/>
      <color indexed="8"/>
      <name val="Arial"/>
      <family val="2"/>
    </font>
    <font>
      <b/>
      <sz val="48"/>
      <color indexed="8"/>
      <name val="Arial"/>
      <family val="2"/>
      <charset val="1"/>
    </font>
    <font>
      <sz val="48"/>
      <color indexed="9"/>
      <name val="Arial"/>
      <family val="2"/>
    </font>
    <font>
      <sz val="48"/>
      <color indexed="9"/>
      <name val="Arial"/>
      <family val="2"/>
      <charset val="1"/>
    </font>
    <font>
      <sz val="48"/>
      <color indexed="8"/>
      <name val="Calibri"/>
      <family val="2"/>
      <charset val="1"/>
    </font>
    <font>
      <b/>
      <sz val="48"/>
      <color indexed="10"/>
      <name val="Arial"/>
      <family val="2"/>
    </font>
    <font>
      <sz val="48"/>
      <name val="Arial"/>
      <family val="2"/>
    </font>
    <font>
      <sz val="48"/>
      <name val="Arial"/>
      <family val="2"/>
      <charset val="1"/>
    </font>
    <font>
      <sz val="48"/>
      <color theme="1"/>
      <name val="Arial"/>
      <family val="2"/>
    </font>
    <font>
      <sz val="48"/>
      <color theme="1"/>
      <name val="Arial"/>
      <family val="2"/>
      <charset val="1"/>
    </font>
    <font>
      <b/>
      <sz val="48"/>
      <color theme="1"/>
      <name val="Arial"/>
      <family val="2"/>
      <charset val="1"/>
    </font>
    <font>
      <b/>
      <u/>
      <sz val="48"/>
      <color indexed="8"/>
      <name val="Arial"/>
      <family val="2"/>
    </font>
    <font>
      <b/>
      <sz val="48"/>
      <color rgb="FFFF0000"/>
      <name val="Arial"/>
      <family val="2"/>
    </font>
    <font>
      <sz val="11"/>
      <color theme="1"/>
      <name val="Arial"/>
      <family val="2"/>
      <charset val="1"/>
    </font>
    <font>
      <b/>
      <sz val="11"/>
      <color theme="1"/>
      <name val="Arial"/>
      <family val="2"/>
    </font>
    <font>
      <b/>
      <sz val="12"/>
      <color theme="1"/>
      <name val="Arial"/>
      <family val="2"/>
    </font>
    <font>
      <b/>
      <sz val="12"/>
      <color theme="1"/>
      <name val="Arial"/>
      <family val="2"/>
      <charset val="1"/>
    </font>
    <font>
      <sz val="12"/>
      <color theme="1"/>
      <name val="Arial"/>
      <family val="2"/>
    </font>
    <font>
      <b/>
      <sz val="8"/>
      <color theme="1"/>
      <name val="Arial"/>
      <family val="2"/>
    </font>
    <font>
      <b/>
      <sz val="14"/>
      <color theme="1"/>
      <name val="Arial"/>
      <family val="2"/>
    </font>
    <font>
      <b/>
      <sz val="9"/>
      <color theme="1"/>
      <name val="Arial"/>
      <family val="2"/>
      <charset val="1"/>
    </font>
    <font>
      <b/>
      <sz val="11"/>
      <color theme="1"/>
      <name val="Arial"/>
      <family val="2"/>
      <charset val="1"/>
    </font>
    <font>
      <sz val="8"/>
      <color theme="1"/>
      <name val="Arial Narrow"/>
      <family val="2"/>
    </font>
    <font>
      <b/>
      <sz val="16"/>
      <color theme="1"/>
      <name val="Arial"/>
      <family val="2"/>
    </font>
    <font>
      <sz val="7"/>
      <color theme="1"/>
      <name val="Arial"/>
      <family val="2"/>
      <charset val="1"/>
    </font>
    <font>
      <b/>
      <u/>
      <sz val="10"/>
      <color theme="1"/>
      <name val="Arial"/>
      <family val="2"/>
    </font>
    <font>
      <sz val="11"/>
      <color indexed="8"/>
      <name val="Calibri"/>
      <family val="2"/>
      <scheme val="minor"/>
    </font>
    <font>
      <b/>
      <u/>
      <sz val="14"/>
      <name val="Calibri"/>
      <family val="2"/>
      <scheme val="minor"/>
    </font>
    <font>
      <sz val="24"/>
      <color theme="1"/>
      <name val="Arial"/>
      <family val="2"/>
    </font>
    <font>
      <b/>
      <sz val="24"/>
      <color indexed="8"/>
      <name val="Arial"/>
      <family val="2"/>
      <charset val="1"/>
    </font>
    <font>
      <b/>
      <sz val="11"/>
      <color theme="0"/>
      <name val="Arial"/>
      <family val="2"/>
      <charset val="1"/>
    </font>
    <font>
      <b/>
      <sz val="24"/>
      <name val="Arial"/>
      <family val="2"/>
      <charset val="1"/>
    </font>
    <font>
      <b/>
      <sz val="24"/>
      <color theme="1"/>
      <name val="Arial"/>
      <family val="2"/>
    </font>
    <font>
      <sz val="7"/>
      <color theme="1"/>
      <name val="Arial"/>
      <family val="2"/>
    </font>
    <font>
      <b/>
      <sz val="24"/>
      <color indexed="8"/>
      <name val="Arial"/>
      <family val="2"/>
    </font>
    <font>
      <sz val="24"/>
      <color indexed="8"/>
      <name val="Arial"/>
      <family val="2"/>
    </font>
    <font>
      <sz val="24"/>
      <color indexed="8"/>
      <name val="Arial"/>
      <family val="2"/>
      <charset val="1"/>
    </font>
    <font>
      <u/>
      <sz val="24"/>
      <color indexed="8"/>
      <name val="Arial"/>
      <family val="2"/>
    </font>
    <font>
      <sz val="24"/>
      <color indexed="8"/>
      <name val="Calibri"/>
      <family val="2"/>
    </font>
    <font>
      <b/>
      <sz val="24"/>
      <color indexed="10"/>
      <name val="Arial"/>
      <family val="2"/>
      <charset val="1"/>
    </font>
    <font>
      <sz val="24"/>
      <name val="Arial"/>
      <family val="2"/>
    </font>
    <font>
      <b/>
      <sz val="24"/>
      <name val="Arial"/>
      <family val="2"/>
    </font>
    <font>
      <b/>
      <sz val="24"/>
      <color rgb="FFFF0000"/>
      <name val="Arial"/>
      <family val="2"/>
    </font>
    <font>
      <sz val="24"/>
      <name val="Arial"/>
      <family val="2"/>
      <charset val="1"/>
    </font>
    <font>
      <sz val="24"/>
      <color rgb="FFFF0000"/>
      <name val="Arial"/>
      <family val="2"/>
    </font>
    <font>
      <sz val="24"/>
      <color rgb="FF0000FF"/>
      <name val="Arial"/>
      <family val="2"/>
    </font>
    <font>
      <sz val="24"/>
      <color rgb="FFFF0000"/>
      <name val="Calibri"/>
      <family val="2"/>
    </font>
    <font>
      <sz val="24"/>
      <color rgb="FFFF0000"/>
      <name val="Arial"/>
      <family val="2"/>
      <charset val="1"/>
    </font>
    <font>
      <b/>
      <sz val="24"/>
      <color rgb="FFFF0000"/>
      <name val="Arial"/>
      <family val="2"/>
      <charset val="1"/>
    </font>
    <font>
      <b/>
      <sz val="9"/>
      <color theme="1"/>
      <name val="Arial"/>
      <family val="2"/>
    </font>
    <font>
      <sz val="10"/>
      <color indexed="8"/>
      <name val="Calibri"/>
      <family val="2"/>
    </font>
  </fonts>
  <fills count="54">
    <fill>
      <patternFill patternType="none"/>
    </fill>
    <fill>
      <patternFill patternType="gray125"/>
    </fill>
    <fill>
      <patternFill patternType="solid">
        <fgColor indexed="31"/>
        <bgColor indexed="27"/>
      </patternFill>
    </fill>
    <fill>
      <patternFill patternType="solid">
        <fgColor indexed="45"/>
        <bgColor indexed="46"/>
      </patternFill>
    </fill>
    <fill>
      <patternFill patternType="solid">
        <fgColor indexed="42"/>
        <bgColor indexed="26"/>
      </patternFill>
    </fill>
    <fill>
      <patternFill patternType="solid">
        <fgColor indexed="46"/>
        <bgColor indexed="24"/>
      </patternFill>
    </fill>
    <fill>
      <patternFill patternType="solid">
        <fgColor indexed="27"/>
        <bgColor indexed="26"/>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57"/>
      </patternFill>
    </fill>
    <fill>
      <patternFill patternType="solid">
        <fgColor indexed="51"/>
        <bgColor indexed="52"/>
      </patternFill>
    </fill>
    <fill>
      <patternFill patternType="solid">
        <fgColor indexed="43"/>
        <bgColor indexed="26"/>
      </patternFill>
    </fill>
    <fill>
      <patternFill patternType="solid">
        <fgColor indexed="26"/>
        <bgColor indexed="27"/>
      </patternFill>
    </fill>
    <fill>
      <patternFill patternType="solid">
        <fgColor indexed="40"/>
        <bgColor indexed="49"/>
      </patternFill>
    </fill>
    <fill>
      <patternFill patternType="solid">
        <fgColor indexed="13"/>
        <bgColor indexed="34"/>
      </patternFill>
    </fill>
    <fill>
      <patternFill patternType="solid">
        <fgColor indexed="9"/>
        <bgColor indexed="26"/>
      </patternFill>
    </fill>
    <fill>
      <patternFill patternType="solid">
        <fgColor indexed="23"/>
        <bgColor indexed="48"/>
      </patternFill>
    </fill>
    <fill>
      <patternFill patternType="solid">
        <fgColor indexed="50"/>
        <bgColor indexed="55"/>
      </patternFill>
    </fill>
    <fill>
      <patternFill patternType="solid">
        <fgColor indexed="10"/>
        <bgColor indexed="16"/>
      </patternFill>
    </fill>
    <fill>
      <patternFill patternType="solid">
        <fgColor indexed="54"/>
        <bgColor indexed="62"/>
      </patternFill>
    </fill>
    <fill>
      <patternFill patternType="solid">
        <fgColor theme="0"/>
        <bgColor indexed="64"/>
      </patternFill>
    </fill>
    <fill>
      <patternFill patternType="solid">
        <fgColor rgb="FFFFFF00"/>
        <bgColor indexed="64"/>
      </patternFill>
    </fill>
    <fill>
      <patternFill patternType="solid">
        <fgColor theme="0"/>
        <bgColor indexed="26"/>
      </patternFill>
    </fill>
    <fill>
      <patternFill patternType="solid">
        <fgColor theme="4" tint="0.59999389629810485"/>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theme="0"/>
        <bgColor indexed="34"/>
      </patternFill>
    </fill>
    <fill>
      <patternFill patternType="solid">
        <fgColor rgb="FFFFC000"/>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rgb="FFFFFF00"/>
        <bgColor indexed="26"/>
      </patternFill>
    </fill>
    <fill>
      <patternFill patternType="solid">
        <fgColor rgb="FF92D050"/>
        <bgColor indexed="64"/>
      </patternFill>
    </fill>
    <fill>
      <patternFill patternType="solid">
        <fgColor theme="5" tint="0.79998168889431442"/>
        <bgColor indexed="64"/>
      </patternFill>
    </fill>
    <fill>
      <patternFill patternType="solid">
        <fgColor theme="5" tint="0.79998168889431442"/>
        <bgColor indexed="26"/>
      </patternFill>
    </fill>
    <fill>
      <patternFill patternType="solid">
        <fgColor rgb="FF00FFFF"/>
        <bgColor indexed="64"/>
      </patternFill>
    </fill>
    <fill>
      <patternFill patternType="solid">
        <fgColor theme="6" tint="-0.249977111117893"/>
        <bgColor indexed="64"/>
      </patternFill>
    </fill>
    <fill>
      <patternFill patternType="solid">
        <fgColor theme="4"/>
        <bgColor indexed="64"/>
      </patternFill>
    </fill>
    <fill>
      <patternFill patternType="solid">
        <fgColor theme="9" tint="-0.249977111117893"/>
        <bgColor indexed="64"/>
      </patternFill>
    </fill>
    <fill>
      <patternFill patternType="solid">
        <fgColor theme="2" tint="-0.249977111117893"/>
        <bgColor indexed="26"/>
      </patternFill>
    </fill>
    <fill>
      <patternFill patternType="solid">
        <fgColor theme="7" tint="0.59999389629810485"/>
        <bgColor indexed="26"/>
      </patternFill>
    </fill>
    <fill>
      <patternFill patternType="solid">
        <fgColor theme="5" tint="0.39997558519241921"/>
        <bgColor indexed="26"/>
      </patternFill>
    </fill>
    <fill>
      <patternFill patternType="solid">
        <fgColor theme="6" tint="0.59999389629810485"/>
        <bgColor indexed="26"/>
      </patternFill>
    </fill>
    <fill>
      <patternFill patternType="solid">
        <fgColor theme="8" tint="0.59999389629810485"/>
        <bgColor indexed="26"/>
      </patternFill>
    </fill>
    <fill>
      <patternFill patternType="solid">
        <fgColor theme="8" tint="-0.249977111117893"/>
        <bgColor indexed="64"/>
      </patternFill>
    </fill>
    <fill>
      <patternFill patternType="solid">
        <fgColor theme="7" tint="0.39997558519241921"/>
        <bgColor indexed="64"/>
      </patternFill>
    </fill>
    <fill>
      <patternFill patternType="solid">
        <fgColor theme="0"/>
        <bgColor indexed="45"/>
      </patternFill>
    </fill>
    <fill>
      <patternFill patternType="solid">
        <fgColor theme="9" tint="0.59999389629810485"/>
        <bgColor indexed="64"/>
      </patternFill>
    </fill>
    <fill>
      <patternFill patternType="solid">
        <fgColor theme="5" tint="0.59999389629810485"/>
        <bgColor indexed="64"/>
      </patternFill>
    </fill>
    <fill>
      <patternFill patternType="solid">
        <fgColor rgb="FF00B050"/>
        <bgColor indexed="26"/>
      </patternFill>
    </fill>
    <fill>
      <patternFill patternType="solid">
        <fgColor rgb="FF00B050"/>
        <bgColor indexed="64"/>
      </patternFill>
    </fill>
    <fill>
      <patternFill patternType="solid">
        <fgColor theme="4" tint="0.59999389629810485"/>
        <bgColor indexed="26"/>
      </patternFill>
    </fill>
    <fill>
      <patternFill patternType="solid">
        <fgColor theme="5" tint="0.39997558519241921"/>
        <bgColor indexed="64"/>
      </patternFill>
    </fill>
    <fill>
      <patternFill patternType="solid">
        <fgColor theme="0" tint="-0.14999847407452621"/>
        <bgColor indexed="64"/>
      </patternFill>
    </fill>
  </fills>
  <borders count="102">
    <border>
      <left/>
      <right/>
      <top/>
      <bottom/>
      <diagonal/>
    </border>
    <border>
      <left style="thin">
        <color indexed="55"/>
      </left>
      <right style="thin">
        <color indexed="55"/>
      </right>
      <top style="thin">
        <color indexed="55"/>
      </top>
      <bottom style="thin">
        <color indexed="55"/>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thin">
        <color indexed="8"/>
      </left>
      <right style="thin">
        <color indexed="8"/>
      </right>
      <top/>
      <bottom style="thin">
        <color indexed="8"/>
      </bottom>
      <diagonal/>
    </border>
    <border>
      <left/>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bottom/>
      <diagonal/>
    </border>
    <border>
      <left style="thin">
        <color indexed="8"/>
      </left>
      <right style="thin">
        <color indexed="8"/>
      </right>
      <top/>
      <bottom/>
      <diagonal/>
    </border>
    <border>
      <left style="thin">
        <color indexed="8"/>
      </left>
      <right style="medium">
        <color indexed="8"/>
      </right>
      <top/>
      <bottom/>
      <diagonal/>
    </border>
    <border>
      <left style="thin">
        <color indexed="8"/>
      </left>
      <right/>
      <top style="thin">
        <color indexed="8"/>
      </top>
      <bottom style="thin">
        <color indexed="8"/>
      </bottom>
      <diagonal/>
    </border>
    <border>
      <left style="thin">
        <color indexed="8"/>
      </left>
      <right/>
      <top/>
      <bottom style="thin">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style="medium">
        <color indexed="8"/>
      </left>
      <right/>
      <top/>
      <bottom/>
      <diagonal/>
    </border>
    <border>
      <left/>
      <right style="medium">
        <color indexed="8"/>
      </right>
      <top/>
      <bottom/>
      <diagonal/>
    </border>
    <border>
      <left/>
      <right/>
      <top/>
      <bottom style="thin">
        <color indexed="8"/>
      </bottom>
      <diagonal/>
    </border>
    <border>
      <left style="hair">
        <color indexed="8"/>
      </left>
      <right/>
      <top style="thin">
        <color indexed="8"/>
      </top>
      <bottom style="hair">
        <color indexed="8"/>
      </bottom>
      <diagonal/>
    </border>
    <border>
      <left style="hair">
        <color indexed="8"/>
      </left>
      <right style="hair">
        <color indexed="8"/>
      </right>
      <top style="thin">
        <color indexed="8"/>
      </top>
      <bottom style="hair">
        <color indexed="8"/>
      </bottom>
      <diagonal/>
    </border>
    <border>
      <left style="medium">
        <color indexed="8"/>
      </left>
      <right style="hair">
        <color indexed="8"/>
      </right>
      <top style="thin">
        <color indexed="8"/>
      </top>
      <bottom style="hair">
        <color indexed="8"/>
      </bottom>
      <diagonal/>
    </border>
    <border>
      <left style="hair">
        <color indexed="8"/>
      </left>
      <right style="medium">
        <color indexed="8"/>
      </right>
      <top style="thin">
        <color indexed="8"/>
      </top>
      <bottom style="hair">
        <color indexed="8"/>
      </bottom>
      <diagonal/>
    </border>
    <border>
      <left/>
      <right style="hair">
        <color indexed="8"/>
      </right>
      <top style="thin">
        <color indexed="8"/>
      </top>
      <bottom style="hair">
        <color indexed="8"/>
      </bottom>
      <diagonal/>
    </border>
    <border>
      <left/>
      <right style="thin">
        <color indexed="8"/>
      </right>
      <top style="thin">
        <color indexed="8"/>
      </top>
      <bottom style="thin">
        <color indexed="8"/>
      </bottom>
      <diagonal/>
    </border>
    <border>
      <left/>
      <right/>
      <top style="thin">
        <color indexed="8"/>
      </top>
      <bottom style="double">
        <color indexed="8"/>
      </bottom>
      <diagonal/>
    </border>
    <border>
      <left style="medium">
        <color indexed="8"/>
      </left>
      <right style="hair">
        <color indexed="8"/>
      </right>
      <top/>
      <bottom style="hair">
        <color indexed="8"/>
      </bottom>
      <diagonal/>
    </border>
    <border>
      <left style="hair">
        <color indexed="8"/>
      </left>
      <right style="hair">
        <color indexed="8"/>
      </right>
      <top/>
      <bottom style="hair">
        <color indexed="8"/>
      </bottom>
      <diagonal/>
    </border>
    <border>
      <left style="hair">
        <color indexed="8"/>
      </left>
      <right/>
      <top/>
      <bottom style="hair">
        <color indexed="8"/>
      </bottom>
      <diagonal/>
    </border>
    <border>
      <left style="hair">
        <color indexed="8"/>
      </left>
      <right style="medium">
        <color indexed="8"/>
      </right>
      <top/>
      <bottom style="hair">
        <color indexed="8"/>
      </bottom>
      <diagonal/>
    </border>
    <border>
      <left/>
      <right style="hair">
        <color indexed="8"/>
      </right>
      <top/>
      <bottom style="hair">
        <color indexed="8"/>
      </bottom>
      <diagonal/>
    </border>
    <border>
      <left/>
      <right/>
      <top/>
      <bottom style="double">
        <color indexed="8"/>
      </bottom>
      <diagonal/>
    </border>
    <border>
      <left/>
      <right style="thin">
        <color indexed="8"/>
      </right>
      <top/>
      <bottom style="thin">
        <color indexed="8"/>
      </bottom>
      <diagonal/>
    </border>
    <border>
      <left/>
      <right style="thin">
        <color indexed="8"/>
      </right>
      <top style="thin">
        <color indexed="8"/>
      </top>
      <bottom/>
      <diagonal/>
    </border>
    <border>
      <left/>
      <right/>
      <top style="thin">
        <color indexed="8"/>
      </top>
      <bottom style="thin">
        <color indexed="8"/>
      </bottom>
      <diagonal/>
    </border>
    <border>
      <left style="thin">
        <color indexed="8"/>
      </left>
      <right style="thin">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thin">
        <color indexed="8"/>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8"/>
      </left>
      <right/>
      <top style="thin">
        <color indexed="8"/>
      </top>
      <bottom style="double">
        <color indexed="8"/>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right/>
      <top/>
      <bottom style="double">
        <color indexed="64"/>
      </bottom>
      <diagonal/>
    </border>
    <border>
      <left style="thin">
        <color indexed="64"/>
      </left>
      <right style="thin">
        <color indexed="64"/>
      </right>
      <top/>
      <bottom style="thin">
        <color indexed="64"/>
      </bottom>
      <diagonal/>
    </border>
    <border>
      <left/>
      <right/>
      <top/>
      <bottom style="medium">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medium">
        <color indexed="8"/>
      </left>
      <right style="medium">
        <color indexed="8"/>
      </right>
      <top style="medium">
        <color indexed="8"/>
      </top>
      <bottom/>
      <diagonal/>
    </border>
    <border>
      <left style="medium">
        <color indexed="64"/>
      </left>
      <right style="medium">
        <color indexed="64"/>
      </right>
      <top style="medium">
        <color indexed="64"/>
      </top>
      <bottom style="medium">
        <color indexed="64"/>
      </bottom>
      <diagonal/>
    </border>
    <border>
      <left style="medium">
        <color indexed="8"/>
      </left>
      <right style="medium">
        <color indexed="8"/>
      </right>
      <top/>
      <bottom/>
      <diagonal/>
    </border>
    <border>
      <left/>
      <right style="thin">
        <color indexed="8"/>
      </right>
      <top style="medium">
        <color indexed="64"/>
      </top>
      <bottom/>
      <diagonal/>
    </border>
    <border>
      <left style="thin">
        <color indexed="8"/>
      </left>
      <right style="thin">
        <color indexed="8"/>
      </right>
      <top style="medium">
        <color indexed="64"/>
      </top>
      <bottom/>
      <diagonal/>
    </border>
    <border>
      <left style="thin">
        <color indexed="8"/>
      </left>
      <right style="thin">
        <color indexed="8"/>
      </right>
      <top style="medium">
        <color indexed="64"/>
      </top>
      <bottom style="thin">
        <color indexed="8"/>
      </bottom>
      <diagonal/>
    </border>
    <border>
      <left style="medium">
        <color indexed="8"/>
      </left>
      <right style="thin">
        <color indexed="8"/>
      </right>
      <top style="medium">
        <color indexed="64"/>
      </top>
      <bottom/>
      <diagonal/>
    </border>
    <border>
      <left style="thin">
        <color indexed="8"/>
      </left>
      <right/>
      <top style="medium">
        <color indexed="64"/>
      </top>
      <bottom/>
      <diagonal/>
    </border>
    <border>
      <left style="thin">
        <color indexed="8"/>
      </left>
      <right style="medium">
        <color indexed="8"/>
      </right>
      <top style="medium">
        <color indexed="64"/>
      </top>
      <bottom/>
      <diagonal/>
    </border>
    <border>
      <left style="thin">
        <color indexed="8"/>
      </left>
      <right style="thin">
        <color indexed="8"/>
      </right>
      <top style="thin">
        <color indexed="8"/>
      </top>
      <bottom style="medium">
        <color indexed="64"/>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right style="thin">
        <color indexed="64"/>
      </right>
      <top style="medium">
        <color indexed="64"/>
      </top>
      <bottom style="thin">
        <color indexed="64"/>
      </bottom>
      <diagonal/>
    </border>
    <border>
      <left/>
      <right style="hair">
        <color indexed="64"/>
      </right>
      <top style="medium">
        <color indexed="64"/>
      </top>
      <bottom style="medium">
        <color indexed="64"/>
      </bottom>
      <diagonal/>
    </border>
    <border>
      <left style="hair">
        <color indexed="64"/>
      </left>
      <right style="hair">
        <color indexed="64"/>
      </right>
      <top style="hair">
        <color indexed="64"/>
      </top>
      <bottom/>
      <diagonal/>
    </border>
    <border>
      <left/>
      <right/>
      <top style="hair">
        <color indexed="64"/>
      </top>
      <bottom style="double">
        <color indexed="64"/>
      </bottom>
      <diagonal/>
    </border>
    <border>
      <left style="thin">
        <color indexed="64"/>
      </left>
      <right style="thin">
        <color indexed="64"/>
      </right>
      <top style="thin">
        <color indexed="64"/>
      </top>
      <bottom style="double">
        <color indexed="64"/>
      </bottom>
      <diagonal/>
    </border>
    <border>
      <left style="hair">
        <color indexed="64"/>
      </left>
      <right style="hair">
        <color indexed="64"/>
      </right>
      <top/>
      <bottom/>
      <diagonal/>
    </border>
    <border>
      <left/>
      <right/>
      <top style="thin">
        <color indexed="64"/>
      </top>
      <bottom style="thin">
        <color indexed="64"/>
      </bottom>
      <diagonal/>
    </border>
    <border>
      <left style="hair">
        <color indexed="64"/>
      </left>
      <right style="hair">
        <color indexed="64"/>
      </right>
      <top style="hair">
        <color indexed="64"/>
      </top>
      <bottom style="dotted">
        <color indexed="64"/>
      </bottom>
      <diagonal/>
    </border>
    <border>
      <left/>
      <right style="hair">
        <color indexed="8"/>
      </right>
      <top style="thin">
        <color indexed="8"/>
      </top>
      <bottom/>
      <diagonal/>
    </border>
    <border>
      <left style="hair">
        <color indexed="8"/>
      </left>
      <right style="hair">
        <color indexed="8"/>
      </right>
      <top style="thin">
        <color indexed="8"/>
      </top>
      <bottom/>
      <diagonal/>
    </border>
    <border>
      <left style="hair">
        <color indexed="8"/>
      </left>
      <right/>
      <top style="thin">
        <color indexed="8"/>
      </top>
      <bottom/>
      <diagonal/>
    </border>
    <border>
      <left style="hair">
        <color indexed="8"/>
      </left>
      <right style="medium">
        <color indexed="8"/>
      </right>
      <top style="thin">
        <color indexed="8"/>
      </top>
      <bottom/>
      <diagonal/>
    </border>
    <border>
      <left style="medium">
        <color indexed="8"/>
      </left>
      <right style="hair">
        <color indexed="8"/>
      </right>
      <top style="thin">
        <color indexed="8"/>
      </top>
      <bottom/>
      <diagonal/>
    </border>
  </borders>
  <cellStyleXfs count="296">
    <xf numFmtId="0" fontId="0" fillId="0" borderId="0"/>
    <xf numFmtId="0" fontId="15" fillId="2"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5" borderId="0" applyNumberFormat="0" applyBorder="0" applyAlignment="0" applyProtection="0"/>
    <xf numFmtId="0" fontId="15" fillId="8" borderId="0" applyNumberFormat="0" applyBorder="0" applyAlignment="0" applyProtection="0"/>
    <xf numFmtId="0" fontId="15" fillId="11" borderId="0" applyNumberFormat="0" applyBorder="0" applyAlignment="0" applyProtection="0"/>
    <xf numFmtId="0" fontId="16" fillId="0" borderId="0" applyBorder="0" applyProtection="0"/>
    <xf numFmtId="0" fontId="16" fillId="0" borderId="0" applyBorder="0" applyProtection="0">
      <alignment horizontal="left"/>
    </xf>
    <xf numFmtId="166" fontId="17" fillId="0" borderId="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18" fillId="0" borderId="0" applyFill="0" applyBorder="0" applyAlignment="0" applyProtection="0"/>
    <xf numFmtId="167" fontId="49" fillId="0" borderId="0" applyBorder="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18" fillId="0" borderId="0" applyFill="0" applyBorder="0" applyAlignment="0" applyProtection="0"/>
    <xf numFmtId="168" fontId="49" fillId="0" borderId="0" applyFill="0" applyBorder="0" applyAlignment="0" applyProtection="0"/>
    <xf numFmtId="168" fontId="18"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0" fontId="16" fillId="0" borderId="0" applyBorder="0" applyProtection="0"/>
    <xf numFmtId="0" fontId="17" fillId="0" borderId="0"/>
    <xf numFmtId="166" fontId="17" fillId="0" borderId="0"/>
    <xf numFmtId="166" fontId="49" fillId="0" borderId="0" applyFill="0" applyBorder="0" applyAlignment="0" applyProtection="0"/>
    <xf numFmtId="166" fontId="49" fillId="0" borderId="0" applyFill="0" applyBorder="0" applyAlignment="0" applyProtection="0"/>
    <xf numFmtId="169" fontId="49" fillId="0" borderId="0" applyFill="0" applyBorder="0" applyAlignment="0" applyProtection="0"/>
    <xf numFmtId="169" fontId="49" fillId="0" borderId="0" applyFill="0" applyBorder="0" applyAlignment="0" applyProtection="0"/>
    <xf numFmtId="169" fontId="49" fillId="0" borderId="0" applyFill="0" applyBorder="0" applyAlignment="0" applyProtection="0"/>
    <xf numFmtId="169"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0" fontId="16" fillId="0" borderId="0"/>
    <xf numFmtId="0" fontId="16" fillId="0" borderId="0"/>
    <xf numFmtId="0" fontId="49" fillId="0" borderId="0"/>
    <xf numFmtId="0" fontId="18" fillId="0" borderId="0"/>
    <xf numFmtId="0" fontId="49"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9" fillId="0" borderId="0"/>
    <xf numFmtId="0" fontId="18" fillId="0" borderId="0"/>
    <xf numFmtId="0" fontId="18" fillId="0" borderId="0"/>
    <xf numFmtId="0" fontId="18" fillId="0" borderId="0"/>
    <xf numFmtId="0" fontId="49" fillId="0" borderId="0"/>
    <xf numFmtId="0" fontId="49"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9" fillId="0" borderId="0"/>
    <xf numFmtId="0" fontId="49" fillId="0" borderId="0"/>
    <xf numFmtId="0" fontId="15" fillId="0" borderId="0"/>
    <xf numFmtId="0" fontId="49" fillId="0" borderId="0"/>
    <xf numFmtId="0" fontId="49" fillId="0" borderId="0"/>
    <xf numFmtId="0" fontId="49" fillId="0" borderId="0"/>
    <xf numFmtId="0" fontId="15" fillId="0" borderId="0"/>
    <xf numFmtId="0" fontId="15" fillId="0" borderId="0"/>
    <xf numFmtId="0" fontId="15" fillId="0" borderId="0"/>
    <xf numFmtId="0" fontId="18" fillId="0" borderId="0"/>
    <xf numFmtId="0" fontId="15" fillId="0" borderId="0"/>
    <xf numFmtId="0" fontId="15" fillId="0" borderId="0"/>
    <xf numFmtId="0" fontId="18"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8"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8"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9" fillId="0" borderId="0"/>
    <xf numFmtId="0" fontId="15" fillId="0" borderId="0"/>
    <xf numFmtId="0" fontId="15" fillId="0" borderId="0"/>
    <xf numFmtId="0" fontId="15" fillId="0" borderId="0"/>
    <xf numFmtId="0" fontId="15" fillId="0" borderId="0"/>
    <xf numFmtId="0" fontId="15" fillId="0" borderId="0"/>
    <xf numFmtId="0" fontId="15" fillId="0" borderId="0"/>
    <xf numFmtId="0" fontId="49" fillId="0" borderId="0"/>
    <xf numFmtId="0" fontId="49" fillId="0" borderId="0"/>
    <xf numFmtId="0" fontId="49" fillId="0" borderId="0"/>
    <xf numFmtId="0" fontId="18" fillId="0" borderId="0"/>
    <xf numFmtId="0" fontId="49" fillId="0" borderId="0"/>
    <xf numFmtId="0" fontId="49" fillId="0" borderId="0"/>
    <xf numFmtId="0" fontId="49" fillId="12" borderId="1" applyNumberFormat="0" applyAlignment="0" applyProtection="0"/>
    <xf numFmtId="0" fontId="49" fillId="12" borderId="1" applyNumberFormat="0" applyAlignment="0" applyProtection="0"/>
    <xf numFmtId="0" fontId="49" fillId="13" borderId="2" applyNumberFormat="0" applyAlignment="0" applyProtection="0"/>
    <xf numFmtId="0" fontId="49" fillId="13" borderId="2" applyNumberFormat="0" applyAlignment="0" applyProtection="0"/>
    <xf numFmtId="0" fontId="49" fillId="13" borderId="2" applyNumberFormat="0" applyAlignment="0" applyProtection="0"/>
    <xf numFmtId="0" fontId="49" fillId="13" borderId="2" applyNumberFormat="0" applyAlignment="0" applyProtection="0"/>
    <xf numFmtId="0" fontId="49" fillId="12" borderId="1" applyNumberFormat="0" applyAlignment="0" applyProtection="0"/>
    <xf numFmtId="0" fontId="49" fillId="13" borderId="2" applyNumberFormat="0" applyAlignment="0" applyProtection="0"/>
    <xf numFmtId="0" fontId="49" fillId="12" borderId="1" applyNumberFormat="0" applyAlignment="0" applyProtection="0"/>
    <xf numFmtId="9" fontId="17" fillId="0" borderId="0"/>
    <xf numFmtId="9" fontId="49" fillId="0" borderId="0" applyFill="0" applyBorder="0" applyAlignment="0" applyProtection="0"/>
    <xf numFmtId="9" fontId="49" fillId="0" borderId="0" applyFill="0" applyBorder="0" applyAlignment="0" applyProtection="0"/>
    <xf numFmtId="9" fontId="49" fillId="0" borderId="0" applyFill="0" applyBorder="0" applyAlignment="0" applyProtection="0"/>
    <xf numFmtId="9" fontId="49" fillId="0" borderId="0" applyFill="0" applyBorder="0" applyAlignment="0" applyProtection="0"/>
    <xf numFmtId="9" fontId="49" fillId="0" borderId="0" applyFill="0" applyBorder="0" applyAlignment="0" applyProtection="0"/>
    <xf numFmtId="9" fontId="49" fillId="0" borderId="0" applyFill="0" applyBorder="0" applyAlignment="0" applyProtection="0"/>
    <xf numFmtId="9" fontId="18" fillId="0" borderId="0" applyFill="0" applyBorder="0" applyAlignment="0" applyProtection="0"/>
    <xf numFmtId="9" fontId="17" fillId="0" borderId="0"/>
    <xf numFmtId="9" fontId="49" fillId="0" borderId="0" applyFill="0" applyBorder="0" applyAlignment="0" applyProtection="0"/>
    <xf numFmtId="9" fontId="49" fillId="0" borderId="0" applyFill="0" applyBorder="0" applyAlignment="0" applyProtection="0"/>
    <xf numFmtId="9" fontId="49" fillId="0" borderId="0" applyFill="0" applyBorder="0" applyAlignment="0" applyProtection="0"/>
    <xf numFmtId="9" fontId="49" fillId="0" borderId="0" applyFill="0" applyBorder="0" applyAlignment="0" applyProtection="0"/>
    <xf numFmtId="9" fontId="49" fillId="0" borderId="0" applyFill="0" applyBorder="0" applyAlignment="0" applyProtection="0"/>
    <xf numFmtId="0" fontId="20" fillId="0" borderId="0" applyBorder="0" applyProtection="0"/>
    <xf numFmtId="0" fontId="20" fillId="0" borderId="0" applyBorder="0" applyProtection="0">
      <alignment horizontal="left"/>
    </xf>
    <xf numFmtId="0" fontId="16" fillId="0" borderId="0" applyBorder="0" applyProtection="0"/>
    <xf numFmtId="0" fontId="14" fillId="0" borderId="0"/>
    <xf numFmtId="165" fontId="14" fillId="0" borderId="0" applyFont="0" applyFill="0" applyBorder="0" applyAlignment="0" applyProtection="0"/>
    <xf numFmtId="0" fontId="13" fillId="0" borderId="0"/>
    <xf numFmtId="0" fontId="13" fillId="0" borderId="0"/>
    <xf numFmtId="0" fontId="10" fillId="0" borderId="0"/>
    <xf numFmtId="0" fontId="9" fillId="0" borderId="0"/>
    <xf numFmtId="0" fontId="8" fillId="0" borderId="0"/>
    <xf numFmtId="0" fontId="6" fillId="0" borderId="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5"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cellStyleXfs>
  <cellXfs count="1389">
    <xf numFmtId="0" fontId="0" fillId="0" borderId="0" xfId="0"/>
    <xf numFmtId="0" fontId="17" fillId="0" borderId="0" xfId="93"/>
    <xf numFmtId="166" fontId="17" fillId="0" borderId="0" xfId="94"/>
    <xf numFmtId="0" fontId="22" fillId="0" borderId="0" xfId="93" applyFont="1"/>
    <xf numFmtId="0" fontId="27" fillId="0" borderId="0" xfId="93" applyFont="1"/>
    <xf numFmtId="0" fontId="24" fillId="0" borderId="0" xfId="93" applyFont="1"/>
    <xf numFmtId="0" fontId="28" fillId="0" borderId="0" xfId="93" applyFont="1"/>
    <xf numFmtId="0" fontId="22" fillId="0" borderId="0" xfId="93" applyFont="1" applyAlignment="1">
      <alignment horizontal="center"/>
    </xf>
    <xf numFmtId="0" fontId="28" fillId="0" borderId="0" xfId="93" applyFont="1" applyAlignment="1">
      <alignment horizontal="center"/>
    </xf>
    <xf numFmtId="0" fontId="35" fillId="0" borderId="0" xfId="93" applyFont="1" applyAlignment="1">
      <alignment horizontal="left"/>
    </xf>
    <xf numFmtId="0" fontId="36" fillId="0" borderId="0" xfId="93" applyFont="1" applyAlignment="1">
      <alignment horizontal="left"/>
    </xf>
    <xf numFmtId="40" fontId="22" fillId="0" borderId="0" xfId="93" applyNumberFormat="1" applyFont="1"/>
    <xf numFmtId="166" fontId="15" fillId="0" borderId="0" xfId="94" applyFont="1"/>
    <xf numFmtId="170" fontId="15" fillId="0" borderId="0" xfId="93" applyNumberFormat="1" applyFont="1"/>
    <xf numFmtId="0" fontId="15" fillId="0" borderId="0" xfId="93" applyFont="1"/>
    <xf numFmtId="0" fontId="25" fillId="0" borderId="0" xfId="93" applyFont="1"/>
    <xf numFmtId="0" fontId="31" fillId="0" borderId="0" xfId="93" applyFont="1"/>
    <xf numFmtId="0" fontId="30" fillId="0" borderId="0" xfId="93" applyFont="1"/>
    <xf numFmtId="170" fontId="15" fillId="0" borderId="28" xfId="93" applyNumberFormat="1" applyFont="1" applyBorder="1"/>
    <xf numFmtId="0" fontId="17" fillId="0" borderId="5" xfId="93" applyBorder="1"/>
    <xf numFmtId="166" fontId="17" fillId="0" borderId="5" xfId="94" applyBorder="1"/>
    <xf numFmtId="1" fontId="17" fillId="0" borderId="5" xfId="93" applyNumberFormat="1" applyBorder="1"/>
    <xf numFmtId="0" fontId="17" fillId="0" borderId="3" xfId="93" applyBorder="1"/>
    <xf numFmtId="173" fontId="17" fillId="0" borderId="27" xfId="93" applyNumberFormat="1" applyBorder="1" applyAlignment="1">
      <alignment horizontal="right"/>
    </xf>
    <xf numFmtId="0" fontId="0" fillId="0" borderId="3" xfId="93" applyFont="1" applyBorder="1"/>
    <xf numFmtId="0" fontId="22" fillId="16" borderId="3" xfId="93" applyFont="1" applyFill="1" applyBorder="1"/>
    <xf numFmtId="0" fontId="22" fillId="16" borderId="0" xfId="93" applyFont="1" applyFill="1"/>
    <xf numFmtId="0" fontId="38" fillId="0" borderId="0" xfId="93" applyFont="1"/>
    <xf numFmtId="166" fontId="17" fillId="0" borderId="0" xfId="93" applyNumberFormat="1"/>
    <xf numFmtId="173" fontId="39" fillId="0" borderId="0" xfId="93" applyNumberFormat="1" applyFont="1" applyAlignment="1">
      <alignment horizontal="left"/>
    </xf>
    <xf numFmtId="1" fontId="32" fillId="0" borderId="0" xfId="0" applyNumberFormat="1" applyFont="1"/>
    <xf numFmtId="0" fontId="27" fillId="15" borderId="3" xfId="93" applyFont="1" applyFill="1" applyBorder="1"/>
    <xf numFmtId="0" fontId="17" fillId="15" borderId="0" xfId="93" applyFill="1"/>
    <xf numFmtId="0" fontId="0" fillId="15" borderId="0" xfId="0" applyFill="1" applyAlignment="1">
      <alignment horizontal="left"/>
    </xf>
    <xf numFmtId="0" fontId="41" fillId="0" borderId="0" xfId="0" applyFont="1" applyAlignment="1">
      <alignment vertical="center"/>
    </xf>
    <xf numFmtId="0" fontId="42" fillId="0" borderId="0" xfId="0" applyFont="1"/>
    <xf numFmtId="0" fontId="42" fillId="16" borderId="0" xfId="0" applyFont="1" applyFill="1"/>
    <xf numFmtId="0" fontId="27" fillId="0" borderId="39" xfId="93" applyFont="1" applyBorder="1"/>
    <xf numFmtId="0" fontId="22" fillId="15" borderId="0" xfId="93" applyFont="1" applyFill="1"/>
    <xf numFmtId="0" fontId="22" fillId="14" borderId="0" xfId="93" applyFont="1" applyFill="1"/>
    <xf numFmtId="0" fontId="39" fillId="0" borderId="0" xfId="93" applyFont="1"/>
    <xf numFmtId="0" fontId="40" fillId="0" borderId="0" xfId="93" applyFont="1"/>
    <xf numFmtId="0" fontId="27" fillId="0" borderId="21" xfId="93" applyFont="1" applyBorder="1"/>
    <xf numFmtId="0" fontId="27" fillId="0" borderId="3" xfId="93" applyFont="1" applyBorder="1"/>
    <xf numFmtId="0" fontId="22" fillId="0" borderId="39" xfId="93" applyFont="1" applyBorder="1"/>
    <xf numFmtId="0" fontId="38" fillId="16" borderId="0" xfId="93" applyFont="1" applyFill="1"/>
    <xf numFmtId="0" fontId="22" fillId="16" borderId="39" xfId="93" applyFont="1" applyFill="1" applyBorder="1"/>
    <xf numFmtId="0" fontId="37" fillId="0" borderId="0" xfId="93" applyFont="1"/>
    <xf numFmtId="0" fontId="32" fillId="0" borderId="7" xfId="93" applyFont="1" applyBorder="1" applyAlignment="1">
      <alignment horizontal="center"/>
    </xf>
    <xf numFmtId="166" fontId="32" fillId="0" borderId="7" xfId="15" applyFont="1" applyBorder="1" applyAlignment="1">
      <alignment horizontal="center"/>
    </xf>
    <xf numFmtId="170" fontId="28" fillId="0" borderId="0" xfId="93" applyNumberFormat="1" applyFont="1" applyAlignment="1">
      <alignment horizontal="center" wrapText="1"/>
    </xf>
    <xf numFmtId="4" fontId="15" fillId="0" borderId="0" xfId="93" applyNumberFormat="1" applyFont="1"/>
    <xf numFmtId="38" fontId="22" fillId="0" borderId="0" xfId="93" applyNumberFormat="1" applyFont="1"/>
    <xf numFmtId="4" fontId="25" fillId="0" borderId="0" xfId="94" applyNumberFormat="1" applyFont="1"/>
    <xf numFmtId="4" fontId="15" fillId="0" borderId="0" xfId="94" applyNumberFormat="1" applyFont="1"/>
    <xf numFmtId="4" fontId="15" fillId="0" borderId="0" xfId="0" applyNumberFormat="1" applyFont="1"/>
    <xf numFmtId="166" fontId="15" fillId="0" borderId="0" xfId="94" applyFont="1" applyAlignment="1">
      <alignment horizontal="right"/>
    </xf>
    <xf numFmtId="166" fontId="25" fillId="0" borderId="0" xfId="94" applyFont="1"/>
    <xf numFmtId="4" fontId="25" fillId="0" borderId="28" xfId="93" applyNumberFormat="1" applyFont="1" applyBorder="1"/>
    <xf numFmtId="0" fontId="37" fillId="0" borderId="42" xfId="93" applyFont="1" applyBorder="1" applyAlignment="1">
      <alignment wrapText="1"/>
    </xf>
    <xf numFmtId="2" fontId="17" fillId="0" borderId="5" xfId="93" applyNumberFormat="1" applyBorder="1"/>
    <xf numFmtId="1" fontId="17" fillId="0" borderId="27" xfId="93" applyNumberFormat="1" applyBorder="1"/>
    <xf numFmtId="0" fontId="27" fillId="14" borderId="3" xfId="93" applyFont="1" applyFill="1" applyBorder="1"/>
    <xf numFmtId="174" fontId="39" fillId="0" borderId="0" xfId="93" applyNumberFormat="1" applyFont="1" applyAlignment="1">
      <alignment horizontal="left"/>
    </xf>
    <xf numFmtId="170" fontId="25" fillId="0" borderId="0" xfId="93" applyNumberFormat="1" applyFont="1"/>
    <xf numFmtId="0" fontId="15" fillId="0" borderId="0" xfId="93" applyFont="1" applyAlignment="1">
      <alignment horizontal="center"/>
    </xf>
    <xf numFmtId="0" fontId="46" fillId="0" borderId="0" xfId="93" applyFont="1" applyAlignment="1">
      <alignment horizontal="left"/>
    </xf>
    <xf numFmtId="170" fontId="25" fillId="0" borderId="0" xfId="93" applyNumberFormat="1" applyFont="1" applyAlignment="1">
      <alignment horizontal="center" wrapText="1"/>
    </xf>
    <xf numFmtId="170" fontId="25" fillId="0" borderId="0" xfId="93" applyNumberFormat="1" applyFont="1" applyAlignment="1">
      <alignment horizontal="center"/>
    </xf>
    <xf numFmtId="4" fontId="25" fillId="0" borderId="28" xfId="93" applyNumberFormat="1" applyFont="1" applyBorder="1" applyAlignment="1">
      <alignment horizontal="right" wrapText="1"/>
    </xf>
    <xf numFmtId="4" fontId="25" fillId="0" borderId="44" xfId="93" applyNumberFormat="1" applyFont="1" applyBorder="1" applyAlignment="1">
      <alignment horizontal="right" wrapText="1"/>
    </xf>
    <xf numFmtId="4" fontId="25" fillId="0" borderId="0" xfId="93" applyNumberFormat="1" applyFont="1" applyAlignment="1">
      <alignment horizontal="right" wrapText="1"/>
    </xf>
    <xf numFmtId="4" fontId="26" fillId="0" borderId="28" xfId="93" applyNumberFormat="1" applyFont="1" applyBorder="1"/>
    <xf numFmtId="4" fontId="25" fillId="0" borderId="28" xfId="94" applyNumberFormat="1" applyFont="1" applyBorder="1"/>
    <xf numFmtId="4" fontId="25" fillId="0" borderId="37" xfId="94" applyNumberFormat="1" applyFont="1" applyBorder="1"/>
    <xf numFmtId="0" fontId="17" fillId="0" borderId="41" xfId="93" applyBorder="1" applyAlignment="1">
      <alignment wrapText="1"/>
    </xf>
    <xf numFmtId="0" fontId="37" fillId="0" borderId="41" xfId="93" applyFont="1" applyBorder="1" applyAlignment="1">
      <alignment wrapText="1"/>
    </xf>
    <xf numFmtId="0" fontId="37" fillId="0" borderId="42" xfId="93" applyFont="1" applyBorder="1" applyAlignment="1">
      <alignment horizontal="center" wrapText="1"/>
    </xf>
    <xf numFmtId="0" fontId="37" fillId="0" borderId="43" xfId="93" applyFont="1" applyBorder="1" applyAlignment="1">
      <alignment wrapText="1"/>
    </xf>
    <xf numFmtId="0" fontId="17" fillId="0" borderId="0" xfId="93" applyAlignment="1">
      <alignment wrapText="1"/>
    </xf>
    <xf numFmtId="0" fontId="0" fillId="0" borderId="5" xfId="93" applyFont="1" applyBorder="1"/>
    <xf numFmtId="173" fontId="17" fillId="0" borderId="5" xfId="93" applyNumberFormat="1" applyBorder="1" applyAlignment="1">
      <alignment horizontal="right"/>
    </xf>
    <xf numFmtId="0" fontId="17" fillId="18" borderId="5" xfId="93" applyFill="1" applyBorder="1"/>
    <xf numFmtId="1" fontId="17" fillId="0" borderId="35" xfId="93" applyNumberFormat="1" applyBorder="1"/>
    <xf numFmtId="49" fontId="17" fillId="0" borderId="5" xfId="93" applyNumberFormat="1" applyBorder="1"/>
    <xf numFmtId="49" fontId="17" fillId="0" borderId="3" xfId="94" applyNumberFormat="1" applyBorder="1"/>
    <xf numFmtId="173" fontId="47" fillId="0" borderId="0" xfId="93" applyNumberFormat="1" applyFont="1" applyAlignment="1">
      <alignment horizontal="left"/>
    </xf>
    <xf numFmtId="0" fontId="17" fillId="14" borderId="0" xfId="93" applyFill="1"/>
    <xf numFmtId="173" fontId="47" fillId="14" borderId="0" xfId="93" applyNumberFormat="1" applyFont="1" applyFill="1" applyAlignment="1">
      <alignment horizontal="left"/>
    </xf>
    <xf numFmtId="0" fontId="39" fillId="16" borderId="0" xfId="93" applyFont="1" applyFill="1"/>
    <xf numFmtId="173" fontId="47" fillId="16" borderId="0" xfId="93" applyNumberFormat="1" applyFont="1" applyFill="1" applyAlignment="1">
      <alignment horizontal="left"/>
    </xf>
    <xf numFmtId="0" fontId="43" fillId="0" borderId="0" xfId="0" applyFont="1"/>
    <xf numFmtId="11" fontId="22" fillId="0" borderId="0" xfId="93" applyNumberFormat="1" applyFont="1"/>
    <xf numFmtId="173" fontId="48" fillId="0" borderId="0" xfId="93" applyNumberFormat="1" applyFont="1" applyAlignment="1">
      <alignment horizontal="left"/>
    </xf>
    <xf numFmtId="0" fontId="27" fillId="16" borderId="0" xfId="93" applyFont="1" applyFill="1"/>
    <xf numFmtId="173" fontId="48" fillId="16" borderId="0" xfId="93" applyNumberFormat="1" applyFont="1" applyFill="1" applyAlignment="1">
      <alignment horizontal="left"/>
    </xf>
    <xf numFmtId="0" fontId="44" fillId="16" borderId="0" xfId="0" applyFont="1" applyFill="1" applyAlignment="1">
      <alignment vertical="center"/>
    </xf>
    <xf numFmtId="0" fontId="47" fillId="0" borderId="0" xfId="93" applyFont="1"/>
    <xf numFmtId="0" fontId="0" fillId="0" borderId="7" xfId="93" applyFont="1" applyBorder="1"/>
    <xf numFmtId="0" fontId="45" fillId="0" borderId="0" xfId="93" applyFont="1"/>
    <xf numFmtId="0" fontId="22" fillId="0" borderId="30" xfId="93" applyFont="1" applyBorder="1"/>
    <xf numFmtId="168" fontId="32" fillId="0" borderId="34" xfId="109" applyFont="1" applyFill="1" applyBorder="1" applyAlignment="1" applyProtection="1"/>
    <xf numFmtId="0" fontId="0" fillId="21" borderId="3" xfId="0" applyFill="1" applyBorder="1"/>
    <xf numFmtId="4" fontId="22" fillId="0" borderId="0" xfId="93" applyNumberFormat="1" applyFont="1"/>
    <xf numFmtId="4" fontId="26" fillId="0" borderId="0" xfId="93" applyNumberFormat="1" applyFont="1"/>
    <xf numFmtId="165" fontId="15" fillId="24" borderId="0" xfId="93" applyNumberFormat="1" applyFont="1" applyFill="1"/>
    <xf numFmtId="170" fontId="53" fillId="24" borderId="0" xfId="93" applyNumberFormat="1" applyFont="1" applyFill="1"/>
    <xf numFmtId="4" fontId="15" fillId="24" borderId="0" xfId="93" applyNumberFormat="1" applyFont="1" applyFill="1"/>
    <xf numFmtId="4" fontId="15" fillId="21" borderId="0" xfId="93" applyNumberFormat="1" applyFont="1" applyFill="1"/>
    <xf numFmtId="173" fontId="17" fillId="21" borderId="27" xfId="93" applyNumberFormat="1" applyFill="1" applyBorder="1" applyAlignment="1">
      <alignment horizontal="right"/>
    </xf>
    <xf numFmtId="0" fontId="22" fillId="21" borderId="0" xfId="93" applyFont="1" applyFill="1"/>
    <xf numFmtId="40" fontId="22" fillId="21" borderId="0" xfId="93" applyNumberFormat="1" applyFont="1" applyFill="1"/>
    <xf numFmtId="166" fontId="15" fillId="21" borderId="0" xfId="94" applyFont="1" applyFill="1"/>
    <xf numFmtId="38" fontId="22" fillId="21" borderId="0" xfId="93" applyNumberFormat="1" applyFont="1" applyFill="1"/>
    <xf numFmtId="0" fontId="15" fillId="21" borderId="0" xfId="163" applyFill="1"/>
    <xf numFmtId="0" fontId="17" fillId="23" borderId="3" xfId="93" applyFill="1" applyBorder="1"/>
    <xf numFmtId="166" fontId="49" fillId="21" borderId="3" xfId="16" applyFill="1" applyBorder="1" applyAlignment="1" applyProtection="1"/>
    <xf numFmtId="0" fontId="0" fillId="21" borderId="0" xfId="0" applyFill="1"/>
    <xf numFmtId="173" fontId="17" fillId="25" borderId="27" xfId="93" applyNumberFormat="1" applyFill="1" applyBorder="1" applyAlignment="1">
      <alignment horizontal="right"/>
    </xf>
    <xf numFmtId="2" fontId="17" fillId="0" borderId="0" xfId="93" applyNumberFormat="1"/>
    <xf numFmtId="2" fontId="17" fillId="0" borderId="0" xfId="94" applyNumberFormat="1"/>
    <xf numFmtId="2" fontId="32" fillId="0" borderId="38" xfId="94" applyNumberFormat="1" applyFont="1" applyBorder="1" applyAlignment="1">
      <alignment wrapText="1"/>
    </xf>
    <xf numFmtId="2" fontId="17" fillId="0" borderId="5" xfId="94" applyNumberFormat="1" applyBorder="1"/>
    <xf numFmtId="0" fontId="19" fillId="0" borderId="0" xfId="93" applyFont="1"/>
    <xf numFmtId="170" fontId="53" fillId="21" borderId="0" xfId="93" applyNumberFormat="1" applyFont="1" applyFill="1"/>
    <xf numFmtId="165" fontId="15" fillId="21" borderId="0" xfId="93" applyNumberFormat="1" applyFont="1" applyFill="1"/>
    <xf numFmtId="0" fontId="15" fillId="21" borderId="0" xfId="93" applyFont="1" applyFill="1" applyAlignment="1">
      <alignment horizontal="right"/>
    </xf>
    <xf numFmtId="4" fontId="15" fillId="21" borderId="0" xfId="0" applyNumberFormat="1" applyFont="1" applyFill="1"/>
    <xf numFmtId="0" fontId="19" fillId="0" borderId="45" xfId="93" applyFont="1" applyBorder="1"/>
    <xf numFmtId="0" fontId="59" fillId="0" borderId="0" xfId="266" applyFont="1"/>
    <xf numFmtId="0" fontId="14" fillId="0" borderId="0" xfId="266"/>
    <xf numFmtId="175" fontId="14" fillId="0" borderId="0" xfId="266" applyNumberFormat="1"/>
    <xf numFmtId="0" fontId="14" fillId="0" borderId="69" xfId="266" applyBorder="1" applyAlignment="1">
      <alignment horizontal="center"/>
    </xf>
    <xf numFmtId="0" fontId="14" fillId="0" borderId="51" xfId="266" applyBorder="1" applyAlignment="1">
      <alignment horizontal="center"/>
    </xf>
    <xf numFmtId="175" fontId="14" fillId="0" borderId="51" xfId="266" applyNumberFormat="1" applyBorder="1" applyAlignment="1">
      <alignment horizontal="center"/>
    </xf>
    <xf numFmtId="0" fontId="14" fillId="0" borderId="48" xfId="266" applyBorder="1" applyAlignment="1">
      <alignment horizontal="center"/>
    </xf>
    <xf numFmtId="0" fontId="14" fillId="0" borderId="54" xfId="266" applyBorder="1" applyAlignment="1">
      <alignment horizontal="center"/>
    </xf>
    <xf numFmtId="175" fontId="14" fillId="0" borderId="54" xfId="266" applyNumberFormat="1" applyBorder="1" applyAlignment="1">
      <alignment horizontal="center"/>
    </xf>
    <xf numFmtId="164" fontId="14" fillId="0" borderId="0" xfId="266" applyNumberFormat="1"/>
    <xf numFmtId="0" fontId="14" fillId="0" borderId="54" xfId="266" applyBorder="1"/>
    <xf numFmtId="0" fontId="60" fillId="0" borderId="0" xfId="266" applyFont="1"/>
    <xf numFmtId="0" fontId="61" fillId="0" borderId="0" xfId="266" applyFont="1"/>
    <xf numFmtId="0" fontId="12" fillId="0" borderId="69" xfId="266" applyFont="1" applyBorder="1" applyAlignment="1">
      <alignment horizontal="center"/>
    </xf>
    <xf numFmtId="0" fontId="12" fillId="0" borderId="48" xfId="266" applyFont="1" applyBorder="1" applyAlignment="1">
      <alignment horizontal="center"/>
    </xf>
    <xf numFmtId="0" fontId="17" fillId="21" borderId="0" xfId="93" applyFill="1"/>
    <xf numFmtId="0" fontId="17" fillId="21" borderId="45" xfId="93" applyFill="1" applyBorder="1"/>
    <xf numFmtId="173" fontId="19" fillId="0" borderId="45" xfId="93" applyNumberFormat="1" applyFont="1" applyBorder="1"/>
    <xf numFmtId="173" fontId="19" fillId="0" borderId="45" xfId="93" applyNumberFormat="1" applyFont="1" applyBorder="1" applyAlignment="1">
      <alignment horizontal="right"/>
    </xf>
    <xf numFmtId="0" fontId="57" fillId="0" borderId="45" xfId="0" applyFont="1" applyBorder="1"/>
    <xf numFmtId="168" fontId="49" fillId="0" borderId="0" xfId="109" applyFill="1"/>
    <xf numFmtId="0" fontId="14" fillId="21" borderId="0" xfId="266" applyFill="1"/>
    <xf numFmtId="175" fontId="14" fillId="21" borderId="0" xfId="266" applyNumberFormat="1" applyFill="1"/>
    <xf numFmtId="166" fontId="17" fillId="0" borderId="45" xfId="94" applyBorder="1" applyAlignment="1">
      <alignment horizontal="center" vertical="center" wrapText="1"/>
    </xf>
    <xf numFmtId="2" fontId="32" fillId="0" borderId="45" xfId="94" applyNumberFormat="1" applyFont="1" applyBorder="1" applyAlignment="1">
      <alignment horizontal="center" wrapText="1"/>
    </xf>
    <xf numFmtId="2" fontId="32" fillId="0" borderId="45" xfId="94" applyNumberFormat="1" applyFont="1" applyBorder="1"/>
    <xf numFmtId="0" fontId="11" fillId="0" borderId="0" xfId="266" applyFont="1"/>
    <xf numFmtId="0" fontId="61" fillId="0" borderId="67" xfId="266" applyFont="1" applyBorder="1"/>
    <xf numFmtId="0" fontId="65" fillId="0" borderId="0" xfId="266" applyFont="1" applyAlignment="1">
      <alignment horizontal="center" vertical="center"/>
    </xf>
    <xf numFmtId="0" fontId="65" fillId="0" borderId="0" xfId="266" applyFont="1" applyAlignment="1">
      <alignment horizontal="center"/>
    </xf>
    <xf numFmtId="0" fontId="64" fillId="0" borderId="0" xfId="93" applyFont="1"/>
    <xf numFmtId="0" fontId="65" fillId="0" borderId="0" xfId="266" applyFont="1"/>
    <xf numFmtId="0" fontId="66" fillId="0" borderId="0" xfId="266" applyFont="1"/>
    <xf numFmtId="0" fontId="65" fillId="0" borderId="67" xfId="266" applyFont="1" applyBorder="1"/>
    <xf numFmtId="0" fontId="69" fillId="0" borderId="0" xfId="93" applyFont="1"/>
    <xf numFmtId="0" fontId="65" fillId="0" borderId="0" xfId="266" applyFont="1" applyAlignment="1">
      <alignment wrapText="1"/>
    </xf>
    <xf numFmtId="0" fontId="65" fillId="0" borderId="0" xfId="266" applyFont="1" applyAlignment="1">
      <alignment horizontal="left"/>
    </xf>
    <xf numFmtId="168" fontId="73" fillId="0" borderId="0" xfId="109" applyFont="1"/>
    <xf numFmtId="0" fontId="75" fillId="0" borderId="80" xfId="93" applyFont="1" applyBorder="1" applyAlignment="1" applyProtection="1">
      <alignment horizontal="left"/>
      <protection locked="0"/>
    </xf>
    <xf numFmtId="173" fontId="18" fillId="21" borderId="45" xfId="93" applyNumberFormat="1" applyFont="1" applyFill="1" applyBorder="1" applyAlignment="1">
      <alignment horizontal="right"/>
    </xf>
    <xf numFmtId="0" fontId="67" fillId="0" borderId="0" xfId="266" applyFont="1"/>
    <xf numFmtId="43" fontId="67" fillId="0" borderId="0" xfId="266" applyNumberFormat="1" applyFont="1"/>
    <xf numFmtId="0" fontId="72" fillId="0" borderId="0" xfId="266" applyFont="1"/>
    <xf numFmtId="0" fontId="69" fillId="21" borderId="45" xfId="93" applyFont="1" applyFill="1" applyBorder="1"/>
    <xf numFmtId="0" fontId="18" fillId="0" borderId="45" xfId="93" applyFont="1" applyBorder="1"/>
    <xf numFmtId="0" fontId="72" fillId="0" borderId="69" xfId="266" applyFont="1" applyBorder="1" applyAlignment="1">
      <alignment horizontal="center"/>
    </xf>
    <xf numFmtId="0" fontId="72" fillId="0" borderId="48" xfId="266" applyFont="1" applyBorder="1" applyAlignment="1">
      <alignment horizontal="center"/>
    </xf>
    <xf numFmtId="175" fontId="65" fillId="0" borderId="0" xfId="266" applyNumberFormat="1" applyFont="1"/>
    <xf numFmtId="175" fontId="66" fillId="0" borderId="0" xfId="266" applyNumberFormat="1" applyFont="1"/>
    <xf numFmtId="166" fontId="33" fillId="0" borderId="0" xfId="94" applyFont="1"/>
    <xf numFmtId="165" fontId="65" fillId="0" borderId="0" xfId="266" applyNumberFormat="1" applyFont="1"/>
    <xf numFmtId="43" fontId="66" fillId="0" borderId="46" xfId="266" applyNumberFormat="1" applyFont="1" applyBorder="1"/>
    <xf numFmtId="164" fontId="66" fillId="0" borderId="46" xfId="266" applyNumberFormat="1" applyFont="1" applyBorder="1"/>
    <xf numFmtId="164" fontId="66" fillId="0" borderId="0" xfId="266" applyNumberFormat="1" applyFont="1"/>
    <xf numFmtId="164" fontId="66" fillId="0" borderId="67" xfId="266" applyNumberFormat="1" applyFont="1" applyBorder="1"/>
    <xf numFmtId="164" fontId="65" fillId="0" borderId="0" xfId="266" applyNumberFormat="1" applyFont="1"/>
    <xf numFmtId="0" fontId="65" fillId="21" borderId="0" xfId="266" applyFont="1" applyFill="1"/>
    <xf numFmtId="0" fontId="7" fillId="0" borderId="0" xfId="266" applyFont="1"/>
    <xf numFmtId="0" fontId="7" fillId="0" borderId="50" xfId="266" applyFont="1" applyBorder="1" applyAlignment="1">
      <alignment horizontal="center"/>
    </xf>
    <xf numFmtId="0" fontId="7" fillId="0" borderId="53" xfId="266" applyFont="1" applyBorder="1" applyAlignment="1">
      <alignment horizontal="center"/>
    </xf>
    <xf numFmtId="168" fontId="73" fillId="21" borderId="0" xfId="109" applyFont="1" applyFill="1"/>
    <xf numFmtId="0" fontId="23" fillId="0" borderId="45" xfId="93" applyFont="1" applyBorder="1" applyAlignment="1">
      <alignment horizontal="center"/>
    </xf>
    <xf numFmtId="0" fontId="34" fillId="0" borderId="45" xfId="93" applyFont="1" applyBorder="1" applyAlignment="1">
      <alignment horizontal="center"/>
    </xf>
    <xf numFmtId="0" fontId="33" fillId="0" borderId="45" xfId="0" applyFont="1" applyBorder="1"/>
    <xf numFmtId="0" fontId="65" fillId="0" borderId="47" xfId="266" applyFont="1" applyBorder="1" applyAlignment="1">
      <alignment horizontal="center" vertical="center"/>
    </xf>
    <xf numFmtId="0" fontId="65" fillId="0" borderId="47" xfId="266" applyFont="1" applyBorder="1" applyAlignment="1">
      <alignment horizontal="center"/>
    </xf>
    <xf numFmtId="164" fontId="66" fillId="0" borderId="47" xfId="266" applyNumberFormat="1" applyFont="1" applyBorder="1"/>
    <xf numFmtId="175" fontId="66" fillId="0" borderId="47" xfId="266" applyNumberFormat="1" applyFont="1" applyBorder="1"/>
    <xf numFmtId="2" fontId="52" fillId="0" borderId="45" xfId="94" applyNumberFormat="1" applyFont="1" applyBorder="1" applyAlignment="1">
      <alignment horizontal="center" wrapText="1"/>
    </xf>
    <xf numFmtId="2" fontId="69" fillId="0" borderId="0" xfId="94" applyNumberFormat="1" applyFont="1"/>
    <xf numFmtId="0" fontId="75" fillId="21" borderId="80" xfId="93" applyFont="1" applyFill="1" applyBorder="1" applyAlignment="1" applyProtection="1">
      <alignment horizontal="left"/>
      <protection locked="0"/>
    </xf>
    <xf numFmtId="0" fontId="75" fillId="21" borderId="80" xfId="93" applyFont="1" applyFill="1" applyBorder="1" applyProtection="1">
      <protection locked="0"/>
    </xf>
    <xf numFmtId="0" fontId="79" fillId="21" borderId="80" xfId="93" applyFont="1" applyFill="1" applyBorder="1" applyProtection="1">
      <protection locked="0"/>
    </xf>
    <xf numFmtId="170" fontId="79" fillId="21" borderId="80" xfId="94" applyNumberFormat="1" applyFont="1" applyFill="1" applyBorder="1" applyProtection="1">
      <protection locked="0"/>
    </xf>
    <xf numFmtId="40" fontId="79" fillId="21" borderId="80" xfId="93" applyNumberFormat="1" applyFont="1" applyFill="1" applyBorder="1" applyProtection="1">
      <protection locked="0"/>
    </xf>
    <xf numFmtId="9" fontId="79" fillId="21" borderId="80" xfId="93" applyNumberFormat="1" applyFont="1" applyFill="1" applyBorder="1" applyProtection="1">
      <protection locked="0"/>
    </xf>
    <xf numFmtId="170" fontId="79" fillId="21" borderId="0" xfId="93" applyNumberFormat="1" applyFont="1" applyFill="1" applyProtection="1">
      <protection locked="0"/>
    </xf>
    <xf numFmtId="2" fontId="79" fillId="21" borderId="80" xfId="94" applyNumberFormat="1" applyFont="1" applyFill="1" applyBorder="1" applyProtection="1">
      <protection locked="0"/>
    </xf>
    <xf numFmtId="2" fontId="79" fillId="21" borderId="80" xfId="93" applyNumberFormat="1" applyFont="1" applyFill="1" applyBorder="1" applyProtection="1">
      <protection locked="0"/>
    </xf>
    <xf numFmtId="1" fontId="79" fillId="21" borderId="80" xfId="93" applyNumberFormat="1" applyFont="1" applyFill="1" applyBorder="1" applyProtection="1">
      <protection locked="0"/>
    </xf>
    <xf numFmtId="1" fontId="80" fillId="21" borderId="80" xfId="93" applyNumberFormat="1" applyFont="1" applyFill="1" applyBorder="1" applyProtection="1">
      <protection locked="0"/>
    </xf>
    <xf numFmtId="40" fontId="80" fillId="21" borderId="80" xfId="93" applyNumberFormat="1" applyFont="1" applyFill="1" applyBorder="1" applyProtection="1">
      <protection locked="0"/>
    </xf>
    <xf numFmtId="170" fontId="80" fillId="21" borderId="80" xfId="94" applyNumberFormat="1" applyFont="1" applyFill="1" applyBorder="1" applyProtection="1">
      <protection locked="0"/>
    </xf>
    <xf numFmtId="169" fontId="79" fillId="21" borderId="80" xfId="94" applyNumberFormat="1" applyFont="1" applyFill="1" applyBorder="1" applyProtection="1">
      <protection locked="0"/>
    </xf>
    <xf numFmtId="40" fontId="80" fillId="21" borderId="27" xfId="93" applyNumberFormat="1" applyFont="1" applyFill="1" applyBorder="1" applyProtection="1">
      <protection locked="0"/>
    </xf>
    <xf numFmtId="40" fontId="80" fillId="21" borderId="3" xfId="93" applyNumberFormat="1" applyFont="1" applyFill="1" applyBorder="1" applyProtection="1">
      <protection locked="0"/>
    </xf>
    <xf numFmtId="40" fontId="80" fillId="21" borderId="15" xfId="93" applyNumberFormat="1" applyFont="1" applyFill="1" applyBorder="1" applyProtection="1">
      <protection locked="0"/>
    </xf>
    <xf numFmtId="0" fontId="79" fillId="21" borderId="0" xfId="93" applyFont="1" applyFill="1" applyProtection="1">
      <protection locked="0"/>
    </xf>
    <xf numFmtId="9" fontId="71" fillId="21" borderId="80" xfId="257" applyFont="1" applyFill="1" applyBorder="1"/>
    <xf numFmtId="9" fontId="81" fillId="21" borderId="80" xfId="257" applyFont="1" applyFill="1" applyBorder="1"/>
    <xf numFmtId="0" fontId="72" fillId="0" borderId="50" xfId="266" applyFont="1" applyBorder="1" applyAlignment="1">
      <alignment horizontal="center"/>
    </xf>
    <xf numFmtId="0" fontId="72" fillId="0" borderId="51" xfId="266" applyFont="1" applyBorder="1" applyAlignment="1">
      <alignment horizontal="center"/>
    </xf>
    <xf numFmtId="168" fontId="73" fillId="0" borderId="51" xfId="109" applyFont="1" applyBorder="1" applyAlignment="1">
      <alignment horizontal="center"/>
    </xf>
    <xf numFmtId="0" fontId="72" fillId="0" borderId="53" xfId="266" applyFont="1" applyBorder="1" applyAlignment="1">
      <alignment horizontal="center"/>
    </xf>
    <xf numFmtId="0" fontId="72" fillId="0" borderId="54" xfId="266" applyFont="1" applyBorder="1" applyAlignment="1">
      <alignment horizontal="center"/>
    </xf>
    <xf numFmtId="168" fontId="73" fillId="0" borderId="54" xfId="109" applyFont="1" applyBorder="1" applyAlignment="1">
      <alignment horizontal="center"/>
    </xf>
    <xf numFmtId="168" fontId="73" fillId="0" borderId="0" xfId="109" applyFont="1" applyFill="1" applyBorder="1"/>
    <xf numFmtId="0" fontId="65" fillId="0" borderId="47" xfId="266" applyFont="1" applyBorder="1" applyAlignment="1">
      <alignment wrapText="1"/>
    </xf>
    <xf numFmtId="0" fontId="65" fillId="0" borderId="47" xfId="266" applyFont="1" applyBorder="1"/>
    <xf numFmtId="168" fontId="73" fillId="0" borderId="0" xfId="109" applyFont="1" applyBorder="1"/>
    <xf numFmtId="0" fontId="65" fillId="21" borderId="47" xfId="266" applyFont="1" applyFill="1" applyBorder="1"/>
    <xf numFmtId="168" fontId="83" fillId="0" borderId="47" xfId="109" applyFont="1" applyBorder="1"/>
    <xf numFmtId="168" fontId="73" fillId="0" borderId="67" xfId="109" applyFont="1" applyBorder="1"/>
    <xf numFmtId="14" fontId="58" fillId="22" borderId="0" xfId="266" applyNumberFormat="1" applyFont="1" applyFill="1"/>
    <xf numFmtId="14" fontId="65" fillId="22" borderId="0" xfId="266" applyNumberFormat="1" applyFont="1" applyFill="1"/>
    <xf numFmtId="168" fontId="49" fillId="0" borderId="0" xfId="109"/>
    <xf numFmtId="0" fontId="75" fillId="21" borderId="0" xfId="93" applyFont="1" applyFill="1" applyProtection="1">
      <protection locked="0"/>
    </xf>
    <xf numFmtId="40" fontId="79" fillId="0" borderId="80" xfId="93" applyNumberFormat="1" applyFont="1" applyBorder="1" applyProtection="1">
      <protection locked="0"/>
    </xf>
    <xf numFmtId="9" fontId="79" fillId="21" borderId="80" xfId="94" applyNumberFormat="1" applyFont="1" applyFill="1" applyBorder="1" applyProtection="1">
      <protection locked="0"/>
    </xf>
    <xf numFmtId="2" fontId="75" fillId="21" borderId="80" xfId="94" applyNumberFormat="1" applyFont="1" applyFill="1" applyBorder="1" applyProtection="1">
      <protection locked="0"/>
    </xf>
    <xf numFmtId="40" fontId="75" fillId="21" borderId="80" xfId="93" applyNumberFormat="1" applyFont="1" applyFill="1" applyBorder="1" applyProtection="1">
      <protection locked="0"/>
    </xf>
    <xf numFmtId="0" fontId="74" fillId="21" borderId="80" xfId="0" applyFont="1" applyFill="1" applyBorder="1" applyProtection="1">
      <protection locked="0"/>
    </xf>
    <xf numFmtId="40" fontId="79" fillId="21" borderId="27" xfId="93" applyNumberFormat="1" applyFont="1" applyFill="1" applyBorder="1" applyProtection="1">
      <protection locked="0"/>
    </xf>
    <xf numFmtId="40" fontId="79" fillId="21" borderId="3" xfId="93" applyNumberFormat="1" applyFont="1" applyFill="1" applyBorder="1" applyProtection="1">
      <protection locked="0"/>
    </xf>
    <xf numFmtId="40" fontId="79" fillId="21" borderId="15" xfId="93" applyNumberFormat="1" applyFont="1" applyFill="1" applyBorder="1" applyProtection="1">
      <protection locked="0"/>
    </xf>
    <xf numFmtId="0" fontId="79" fillId="0" borderId="80" xfId="93" applyFont="1" applyBorder="1" applyProtection="1">
      <protection locked="0"/>
    </xf>
    <xf numFmtId="9" fontId="71" fillId="0" borderId="80" xfId="257" applyFont="1" applyBorder="1"/>
    <xf numFmtId="0" fontId="75" fillId="0" borderId="80" xfId="93" applyFont="1" applyBorder="1" applyProtection="1">
      <protection locked="0"/>
    </xf>
    <xf numFmtId="2" fontId="79" fillId="0" borderId="80" xfId="93" applyNumberFormat="1" applyFont="1" applyBorder="1" applyProtection="1">
      <protection locked="0"/>
    </xf>
    <xf numFmtId="49" fontId="18" fillId="21" borderId="45" xfId="93" applyNumberFormat="1" applyFont="1" applyFill="1" applyBorder="1" applyAlignment="1">
      <alignment horizontal="right"/>
    </xf>
    <xf numFmtId="0" fontId="69" fillId="22" borderId="0" xfId="93" applyFont="1" applyFill="1"/>
    <xf numFmtId="175" fontId="84" fillId="0" borderId="0" xfId="266" applyNumberFormat="1" applyFont="1"/>
    <xf numFmtId="0" fontId="34" fillId="0" borderId="45" xfId="93" applyFont="1" applyBorder="1" applyAlignment="1">
      <alignment horizontal="center" wrapText="1"/>
    </xf>
    <xf numFmtId="168" fontId="32" fillId="0" borderId="45" xfId="109" applyFont="1" applyFill="1" applyBorder="1" applyAlignment="1">
      <alignment horizontal="center" wrapText="1"/>
    </xf>
    <xf numFmtId="0" fontId="29" fillId="0" borderId="45" xfId="93" applyFont="1" applyBorder="1"/>
    <xf numFmtId="0" fontId="49" fillId="0" borderId="45" xfId="109" applyNumberFormat="1" applyFill="1" applyBorder="1"/>
    <xf numFmtId="0" fontId="29" fillId="27" borderId="45" xfId="93" applyFont="1" applyFill="1" applyBorder="1"/>
    <xf numFmtId="0" fontId="33" fillId="21" borderId="45" xfId="109" applyNumberFormat="1" applyFont="1" applyFill="1" applyBorder="1"/>
    <xf numFmtId="0" fontId="33" fillId="0" borderId="45" xfId="109" applyNumberFormat="1" applyFont="1" applyFill="1" applyBorder="1"/>
    <xf numFmtId="0" fontId="63" fillId="21" borderId="45" xfId="109" applyNumberFormat="1" applyFont="1" applyFill="1" applyBorder="1"/>
    <xf numFmtId="0" fontId="66" fillId="22" borderId="0" xfId="266" applyFont="1" applyFill="1"/>
    <xf numFmtId="0" fontId="66" fillId="21" borderId="0" xfId="266" applyFont="1" applyFill="1"/>
    <xf numFmtId="14" fontId="66" fillId="22" borderId="0" xfId="266" applyNumberFormat="1" applyFont="1" applyFill="1"/>
    <xf numFmtId="0" fontId="65" fillId="22" borderId="0" xfId="266" applyFont="1" applyFill="1"/>
    <xf numFmtId="0" fontId="85" fillId="0" borderId="47" xfId="266" applyFont="1" applyBorder="1"/>
    <xf numFmtId="0" fontId="66" fillId="0" borderId="47" xfId="266" applyFont="1" applyBorder="1" applyAlignment="1">
      <alignment horizontal="center"/>
    </xf>
    <xf numFmtId="2" fontId="75" fillId="21" borderId="80" xfId="93" applyNumberFormat="1" applyFont="1" applyFill="1" applyBorder="1" applyProtection="1">
      <protection locked="0"/>
    </xf>
    <xf numFmtId="4" fontId="17" fillId="0" borderId="0" xfId="93" applyNumberFormat="1"/>
    <xf numFmtId="40" fontId="79" fillId="21" borderId="91" xfId="93" applyNumberFormat="1" applyFont="1" applyFill="1" applyBorder="1" applyProtection="1">
      <protection locked="0"/>
    </xf>
    <xf numFmtId="0" fontId="76" fillId="21" borderId="0" xfId="93" applyFont="1" applyFill="1" applyProtection="1">
      <protection locked="0"/>
    </xf>
    <xf numFmtId="40" fontId="75" fillId="22" borderId="80" xfId="93" applyNumberFormat="1" applyFont="1" applyFill="1" applyBorder="1" applyProtection="1">
      <protection locked="0"/>
    </xf>
    <xf numFmtId="9" fontId="75" fillId="21" borderId="80" xfId="93" applyNumberFormat="1" applyFont="1" applyFill="1" applyBorder="1" applyProtection="1">
      <protection locked="0"/>
    </xf>
    <xf numFmtId="0" fontId="78" fillId="21" borderId="45" xfId="93" applyFont="1" applyFill="1" applyBorder="1" applyAlignment="1" applyProtection="1">
      <alignment horizontal="left"/>
      <protection locked="0"/>
    </xf>
    <xf numFmtId="0" fontId="87" fillId="30" borderId="0" xfId="0" applyFont="1" applyFill="1"/>
    <xf numFmtId="43" fontId="14" fillId="0" borderId="0" xfId="266" applyNumberFormat="1"/>
    <xf numFmtId="1" fontId="19" fillId="0" borderId="45" xfId="93" applyNumberFormat="1" applyFont="1" applyBorder="1"/>
    <xf numFmtId="1" fontId="34" fillId="0" borderId="45" xfId="93" applyNumberFormat="1" applyFont="1" applyBorder="1" applyAlignment="1">
      <alignment horizontal="center" wrapText="1"/>
    </xf>
    <xf numFmtId="1" fontId="18" fillId="21" borderId="45" xfId="93" applyNumberFormat="1" applyFont="1" applyFill="1" applyBorder="1"/>
    <xf numFmtId="1" fontId="18" fillId="0" borderId="45" xfId="93" applyNumberFormat="1" applyFont="1" applyBorder="1"/>
    <xf numFmtId="1" fontId="70" fillId="21" borderId="45" xfId="93" applyNumberFormat="1" applyFont="1" applyFill="1" applyBorder="1"/>
    <xf numFmtId="1" fontId="68" fillId="21" borderId="0" xfId="93" applyNumberFormat="1" applyFont="1" applyFill="1"/>
    <xf numFmtId="1" fontId="19" fillId="0" borderId="0" xfId="93" applyNumberFormat="1" applyFont="1"/>
    <xf numFmtId="0" fontId="4" fillId="0" borderId="0" xfId="266" applyFont="1"/>
    <xf numFmtId="0" fontId="0" fillId="38" borderId="0" xfId="0" applyFill="1"/>
    <xf numFmtId="0" fontId="88" fillId="21" borderId="45" xfId="93" applyFont="1" applyFill="1" applyBorder="1" applyAlignment="1" applyProtection="1">
      <alignment horizontal="left" vertical="center"/>
      <protection locked="0"/>
    </xf>
    <xf numFmtId="0" fontId="88" fillId="23" borderId="45" xfId="93" applyFont="1" applyFill="1" applyBorder="1" applyAlignment="1" applyProtection="1">
      <alignment horizontal="center" vertical="center"/>
      <protection locked="0"/>
    </xf>
    <xf numFmtId="166" fontId="58" fillId="21" borderId="45" xfId="94" applyFont="1" applyFill="1" applyBorder="1" applyAlignment="1">
      <alignment horizontal="center" vertical="center" wrapText="1"/>
    </xf>
    <xf numFmtId="4" fontId="77" fillId="21" borderId="80" xfId="93" applyNumberFormat="1" applyFont="1" applyFill="1" applyBorder="1" applyAlignment="1" applyProtection="1">
      <alignment horizontal="center"/>
      <protection locked="0"/>
    </xf>
    <xf numFmtId="4" fontId="77" fillId="22" borderId="80" xfId="93" applyNumberFormat="1" applyFont="1" applyFill="1" applyBorder="1" applyAlignment="1" applyProtection="1">
      <alignment horizontal="center"/>
      <protection locked="0"/>
    </xf>
    <xf numFmtId="4" fontId="76" fillId="21" borderId="80" xfId="93" applyNumberFormat="1" applyFont="1" applyFill="1" applyBorder="1" applyAlignment="1" applyProtection="1">
      <alignment horizontal="center"/>
      <protection locked="0"/>
    </xf>
    <xf numFmtId="4" fontId="89" fillId="21" borderId="80" xfId="93" applyNumberFormat="1" applyFont="1" applyFill="1" applyBorder="1" applyAlignment="1" applyProtection="1">
      <alignment horizontal="center"/>
      <protection locked="0"/>
    </xf>
    <xf numFmtId="0" fontId="3" fillId="21" borderId="0" xfId="0" applyFont="1" applyFill="1"/>
    <xf numFmtId="166" fontId="90" fillId="21" borderId="47" xfId="94" applyFont="1" applyFill="1" applyBorder="1" applyAlignment="1">
      <alignment horizontal="center"/>
    </xf>
    <xf numFmtId="43" fontId="0" fillId="0" borderId="0" xfId="0" applyNumberFormat="1"/>
    <xf numFmtId="43" fontId="0" fillId="38" borderId="0" xfId="0" applyNumberFormat="1" applyFill="1"/>
    <xf numFmtId="43" fontId="0" fillId="26" borderId="0" xfId="0" applyNumberFormat="1" applyFill="1"/>
    <xf numFmtId="0" fontId="91" fillId="16" borderId="0" xfId="93" applyFont="1" applyFill="1" applyProtection="1">
      <protection locked="0"/>
    </xf>
    <xf numFmtId="0" fontId="62" fillId="16" borderId="0" xfId="93" applyFont="1" applyFill="1" applyProtection="1">
      <protection locked="0"/>
    </xf>
    <xf numFmtId="0" fontId="56" fillId="16" borderId="0" xfId="93" applyFont="1" applyFill="1" applyProtection="1">
      <protection locked="0"/>
    </xf>
    <xf numFmtId="0" fontId="56" fillId="34" borderId="0" xfId="93" applyFont="1" applyFill="1" applyProtection="1">
      <protection locked="0"/>
    </xf>
    <xf numFmtId="0" fontId="92" fillId="16" borderId="0" xfId="93" applyFont="1" applyFill="1" applyProtection="1">
      <protection locked="0"/>
    </xf>
    <xf numFmtId="0" fontId="56" fillId="16" borderId="0" xfId="93" applyFont="1" applyFill="1" applyAlignment="1" applyProtection="1">
      <alignment horizontal="center"/>
      <protection locked="0"/>
    </xf>
    <xf numFmtId="0" fontId="56" fillId="16" borderId="84" xfId="93" applyFont="1" applyFill="1" applyBorder="1" applyAlignment="1" applyProtection="1">
      <alignment horizontal="center" vertical="center"/>
      <protection locked="0"/>
    </xf>
    <xf numFmtId="0" fontId="91" fillId="0" borderId="0" xfId="93" applyFont="1" applyProtection="1">
      <protection locked="0"/>
    </xf>
    <xf numFmtId="0" fontId="56" fillId="0" borderId="0" xfId="93" applyFont="1" applyAlignment="1" applyProtection="1">
      <alignment horizontal="center"/>
      <protection locked="0"/>
    </xf>
    <xf numFmtId="0" fontId="85" fillId="21" borderId="80" xfId="93" applyFont="1" applyFill="1" applyBorder="1" applyAlignment="1" applyProtection="1">
      <alignment horizontal="left"/>
      <protection locked="0"/>
    </xf>
    <xf numFmtId="0" fontId="85" fillId="21" borderId="80" xfId="93" applyFont="1" applyFill="1" applyBorder="1" applyProtection="1">
      <protection locked="0"/>
    </xf>
    <xf numFmtId="0" fontId="91" fillId="0" borderId="80" xfId="93" applyFont="1" applyBorder="1" applyProtection="1">
      <protection locked="0"/>
    </xf>
    <xf numFmtId="0" fontId="56" fillId="0" borderId="0" xfId="93" applyFont="1" applyProtection="1">
      <protection locked="0"/>
    </xf>
    <xf numFmtId="0" fontId="85" fillId="0" borderId="80" xfId="93" applyFont="1" applyBorder="1" applyProtection="1">
      <protection locked="0"/>
    </xf>
    <xf numFmtId="0" fontId="62" fillId="0" borderId="0" xfId="93" applyFont="1" applyProtection="1">
      <protection locked="0"/>
    </xf>
    <xf numFmtId="0" fontId="85" fillId="0" borderId="0" xfId="93" applyFont="1" applyProtection="1">
      <protection locked="0"/>
    </xf>
    <xf numFmtId="0" fontId="93" fillId="21" borderId="80" xfId="93" applyFont="1" applyFill="1" applyBorder="1" applyProtection="1">
      <protection locked="0"/>
    </xf>
    <xf numFmtId="0" fontId="91" fillId="21" borderId="0" xfId="93" applyFont="1" applyFill="1" applyProtection="1">
      <protection locked="0"/>
    </xf>
    <xf numFmtId="0" fontId="56" fillId="21" borderId="0" xfId="93" applyFont="1" applyFill="1" applyProtection="1">
      <protection locked="0"/>
    </xf>
    <xf numFmtId="0" fontId="91" fillId="21" borderId="80" xfId="93" applyFont="1" applyFill="1" applyBorder="1" applyProtection="1">
      <protection locked="0"/>
    </xf>
    <xf numFmtId="0" fontId="62" fillId="21" borderId="0" xfId="93" applyFont="1" applyFill="1" applyProtection="1">
      <protection locked="0"/>
    </xf>
    <xf numFmtId="170" fontId="91" fillId="0" borderId="0" xfId="93" applyNumberFormat="1" applyFont="1" applyProtection="1">
      <protection locked="0"/>
    </xf>
    <xf numFmtId="0" fontId="96" fillId="16" borderId="0" xfId="93" applyFont="1" applyFill="1" applyProtection="1">
      <protection locked="0"/>
    </xf>
    <xf numFmtId="0" fontId="97" fillId="21" borderId="0" xfId="93" applyFont="1" applyFill="1" applyAlignment="1" applyProtection="1">
      <alignment horizontal="left"/>
      <protection locked="0"/>
    </xf>
    <xf numFmtId="0" fontId="97" fillId="16" borderId="0" xfId="93" applyFont="1" applyFill="1" applyProtection="1">
      <protection locked="0"/>
    </xf>
    <xf numFmtId="0" fontId="98" fillId="0" borderId="0" xfId="93" applyFont="1" applyProtection="1">
      <protection locked="0"/>
    </xf>
    <xf numFmtId="0" fontId="98" fillId="16" borderId="0" xfId="93" applyFont="1" applyFill="1" applyProtection="1">
      <protection locked="0"/>
    </xf>
    <xf numFmtId="0" fontId="99" fillId="16" borderId="0" xfId="93" applyFont="1" applyFill="1" applyProtection="1">
      <protection locked="0"/>
    </xf>
    <xf numFmtId="170" fontId="96" fillId="16" borderId="0" xfId="93" applyNumberFormat="1" applyFont="1" applyFill="1" applyProtection="1">
      <protection locked="0"/>
    </xf>
    <xf numFmtId="0" fontId="100" fillId="0" borderId="0" xfId="93" applyFont="1" applyAlignment="1" applyProtection="1">
      <alignment horizontal="left"/>
      <protection locked="0"/>
    </xf>
    <xf numFmtId="0" fontId="100" fillId="16" borderId="0" xfId="93" applyFont="1" applyFill="1" applyProtection="1">
      <protection locked="0"/>
    </xf>
    <xf numFmtId="0" fontId="101" fillId="16" borderId="0" xfId="93" applyFont="1" applyFill="1" applyProtection="1">
      <protection locked="0"/>
    </xf>
    <xf numFmtId="170" fontId="101" fillId="16" borderId="0" xfId="93" applyNumberFormat="1" applyFont="1" applyFill="1" applyProtection="1">
      <protection locked="0"/>
    </xf>
    <xf numFmtId="9" fontId="101" fillId="16" borderId="0" xfId="257" applyFont="1" applyFill="1" applyProtection="1">
      <protection locked="0"/>
    </xf>
    <xf numFmtId="0" fontId="97" fillId="33" borderId="0" xfId="93" applyFont="1" applyFill="1" applyAlignment="1" applyProtection="1">
      <alignment horizontal="left"/>
      <protection locked="0"/>
    </xf>
    <xf numFmtId="0" fontId="100" fillId="34" borderId="0" xfId="93" applyFont="1" applyFill="1" applyProtection="1">
      <protection locked="0"/>
    </xf>
    <xf numFmtId="0" fontId="96" fillId="0" borderId="0" xfId="93" applyFont="1" applyAlignment="1" applyProtection="1">
      <alignment horizontal="left"/>
      <protection locked="0"/>
    </xf>
    <xf numFmtId="170" fontId="99" fillId="16" borderId="0" xfId="93" applyNumberFormat="1" applyFont="1" applyFill="1" applyProtection="1">
      <protection locked="0"/>
    </xf>
    <xf numFmtId="9" fontId="99" fillId="16" borderId="0" xfId="257" applyFont="1" applyFill="1" applyProtection="1">
      <protection locked="0"/>
    </xf>
    <xf numFmtId="0" fontId="102" fillId="16" borderId="0" xfId="93" applyFont="1" applyFill="1" applyProtection="1">
      <protection locked="0"/>
    </xf>
    <xf numFmtId="0" fontId="102" fillId="0" borderId="0" xfId="93" applyFont="1" applyAlignment="1" applyProtection="1">
      <alignment horizontal="left"/>
      <protection locked="0"/>
    </xf>
    <xf numFmtId="0" fontId="103" fillId="16" borderId="0" xfId="93" applyFont="1" applyFill="1" applyProtection="1">
      <protection locked="0"/>
    </xf>
    <xf numFmtId="9" fontId="103" fillId="16" borderId="0" xfId="257" applyFont="1" applyFill="1" applyProtection="1">
      <protection locked="0"/>
    </xf>
    <xf numFmtId="0" fontId="96" fillId="16" borderId="0" xfId="93" applyFont="1" applyFill="1" applyAlignment="1" applyProtection="1">
      <alignment horizontal="center"/>
      <protection locked="0"/>
    </xf>
    <xf numFmtId="0" fontId="100" fillId="16" borderId="0" xfId="93" applyFont="1" applyFill="1" applyAlignment="1" applyProtection="1">
      <alignment horizontal="center"/>
      <protection locked="0"/>
    </xf>
    <xf numFmtId="0" fontId="99" fillId="16" borderId="0" xfId="93" applyFont="1" applyFill="1" applyAlignment="1" applyProtection="1">
      <alignment horizontal="center"/>
      <protection locked="0"/>
    </xf>
    <xf numFmtId="0" fontId="100" fillId="0" borderId="83" xfId="93" applyFont="1" applyBorder="1" applyAlignment="1" applyProtection="1">
      <alignment horizontal="left" vertical="center"/>
      <protection locked="0"/>
    </xf>
    <xf numFmtId="0" fontId="100" fillId="16" borderId="84" xfId="93" applyFont="1" applyFill="1" applyBorder="1" applyAlignment="1" applyProtection="1">
      <alignment horizontal="center" vertical="center"/>
      <protection locked="0"/>
    </xf>
    <xf numFmtId="166" fontId="104" fillId="28" borderId="84" xfId="94" applyFont="1" applyFill="1" applyBorder="1" applyAlignment="1">
      <alignment horizontal="center" vertical="center" wrapText="1"/>
    </xf>
    <xf numFmtId="0" fontId="96" fillId="0" borderId="0" xfId="93" applyFont="1" applyProtection="1">
      <protection locked="0"/>
    </xf>
    <xf numFmtId="0" fontId="100" fillId="0" borderId="0" xfId="93" applyFont="1" applyAlignment="1" applyProtection="1">
      <alignment horizontal="center"/>
      <protection locked="0"/>
    </xf>
    <xf numFmtId="0" fontId="96" fillId="0" borderId="0" xfId="93" applyFont="1" applyAlignment="1" applyProtection="1">
      <alignment horizontal="center"/>
      <protection locked="0"/>
    </xf>
    <xf numFmtId="170" fontId="96" fillId="0" borderId="0" xfId="93" applyNumberFormat="1" applyFont="1" applyAlignment="1" applyProtection="1">
      <alignment horizontal="center"/>
      <protection locked="0"/>
    </xf>
    <xf numFmtId="170" fontId="96" fillId="0" borderId="0" xfId="93" applyNumberFormat="1" applyFont="1" applyAlignment="1" applyProtection="1">
      <alignment horizontal="center" vertical="center" wrapText="1"/>
      <protection locked="0"/>
    </xf>
    <xf numFmtId="9" fontId="96" fillId="0" borderId="0" xfId="257" applyFont="1" applyAlignment="1" applyProtection="1">
      <alignment horizontal="center" vertical="center" wrapText="1"/>
      <protection locked="0"/>
    </xf>
    <xf numFmtId="0" fontId="99" fillId="0" borderId="0" xfId="93" applyFont="1" applyProtection="1">
      <protection locked="0"/>
    </xf>
    <xf numFmtId="0" fontId="105" fillId="0" borderId="0" xfId="93" applyFont="1" applyAlignment="1" applyProtection="1">
      <alignment horizontal="left"/>
      <protection locked="0"/>
    </xf>
    <xf numFmtId="0" fontId="101" fillId="0" borderId="0" xfId="93" applyFont="1" applyAlignment="1" applyProtection="1">
      <alignment horizontal="center"/>
      <protection locked="0"/>
    </xf>
    <xf numFmtId="170" fontId="101" fillId="0" borderId="0" xfId="93" applyNumberFormat="1" applyFont="1" applyAlignment="1" applyProtection="1">
      <alignment horizontal="center"/>
      <protection locked="0"/>
    </xf>
    <xf numFmtId="170" fontId="101" fillId="0" borderId="0" xfId="93" applyNumberFormat="1" applyFont="1" applyAlignment="1" applyProtection="1">
      <alignment horizontal="center" vertical="center" wrapText="1"/>
      <protection locked="0"/>
    </xf>
    <xf numFmtId="9" fontId="101" fillId="0" borderId="0" xfId="257" applyFont="1" applyAlignment="1" applyProtection="1">
      <alignment horizontal="center" vertical="center" wrapText="1"/>
      <protection locked="0"/>
    </xf>
    <xf numFmtId="0" fontId="106" fillId="21" borderId="0" xfId="93" applyFont="1" applyFill="1" applyProtection="1">
      <protection locked="0"/>
    </xf>
    <xf numFmtId="0" fontId="106" fillId="21" borderId="80" xfId="93" applyFont="1" applyFill="1" applyBorder="1" applyAlignment="1" applyProtection="1">
      <alignment horizontal="left"/>
      <protection locked="0"/>
    </xf>
    <xf numFmtId="0" fontId="106" fillId="21" borderId="80" xfId="93" applyFont="1" applyFill="1" applyBorder="1" applyProtection="1">
      <protection locked="0"/>
    </xf>
    <xf numFmtId="40" fontId="106" fillId="21" borderId="80" xfId="93" applyNumberFormat="1" applyFont="1" applyFill="1" applyBorder="1" applyProtection="1">
      <protection locked="0"/>
    </xf>
    <xf numFmtId="170" fontId="106" fillId="21" borderId="80" xfId="94" applyNumberFormat="1" applyFont="1" applyFill="1" applyBorder="1" applyProtection="1">
      <protection locked="0"/>
    </xf>
    <xf numFmtId="9" fontId="106" fillId="21" borderId="80" xfId="93" applyNumberFormat="1" applyFont="1" applyFill="1" applyBorder="1" applyProtection="1">
      <protection locked="0"/>
    </xf>
    <xf numFmtId="0" fontId="107" fillId="21" borderId="80" xfId="93" applyFont="1" applyFill="1" applyBorder="1" applyProtection="1">
      <protection locked="0"/>
    </xf>
    <xf numFmtId="40" fontId="107" fillId="21" borderId="80" xfId="93" applyNumberFormat="1" applyFont="1" applyFill="1" applyBorder="1" applyProtection="1">
      <protection locked="0"/>
    </xf>
    <xf numFmtId="170" fontId="107" fillId="21" borderId="80" xfId="94" applyNumberFormat="1" applyFont="1" applyFill="1" applyBorder="1" applyProtection="1">
      <protection locked="0"/>
    </xf>
    <xf numFmtId="9" fontId="107" fillId="21" borderId="80" xfId="93" applyNumberFormat="1" applyFont="1" applyFill="1" applyBorder="1" applyProtection="1">
      <protection locked="0"/>
    </xf>
    <xf numFmtId="0" fontId="107" fillId="21" borderId="0" xfId="93" applyFont="1" applyFill="1" applyProtection="1">
      <protection locked="0"/>
    </xf>
    <xf numFmtId="0" fontId="96" fillId="0" borderId="80" xfId="93" applyFont="1" applyBorder="1" applyAlignment="1" applyProtection="1">
      <alignment horizontal="left"/>
      <protection locked="0"/>
    </xf>
    <xf numFmtId="0" fontId="96" fillId="0" borderId="80" xfId="93" applyFont="1" applyBorder="1" applyProtection="1">
      <protection locked="0"/>
    </xf>
    <xf numFmtId="0" fontId="99" fillId="0" borderId="80" xfId="93" applyFont="1" applyBorder="1" applyProtection="1">
      <protection locked="0"/>
    </xf>
    <xf numFmtId="40" fontId="99" fillId="21" borderId="80" xfId="93" applyNumberFormat="1" applyFont="1" applyFill="1" applyBorder="1" applyProtection="1">
      <protection locked="0"/>
    </xf>
    <xf numFmtId="40" fontId="99" fillId="0" borderId="80" xfId="93" applyNumberFormat="1" applyFont="1" applyBorder="1" applyProtection="1">
      <protection locked="0"/>
    </xf>
    <xf numFmtId="170" fontId="99" fillId="0" borderId="80" xfId="94" applyNumberFormat="1" applyFont="1" applyBorder="1" applyProtection="1">
      <protection locked="0"/>
    </xf>
    <xf numFmtId="9" fontId="99" fillId="0" borderId="80" xfId="93" applyNumberFormat="1" applyFont="1" applyBorder="1" applyProtection="1">
      <protection locked="0"/>
    </xf>
    <xf numFmtId="0" fontId="100" fillId="0" borderId="0" xfId="93" applyFont="1" applyProtection="1">
      <protection locked="0"/>
    </xf>
    <xf numFmtId="40" fontId="100" fillId="21" borderId="34" xfId="93" applyNumberFormat="1" applyFont="1" applyFill="1" applyBorder="1" applyProtection="1">
      <protection locked="0"/>
    </xf>
    <xf numFmtId="9" fontId="99" fillId="0" borderId="0" xfId="93" applyNumberFormat="1" applyFont="1" applyProtection="1">
      <protection locked="0"/>
    </xf>
    <xf numFmtId="40" fontId="100" fillId="21" borderId="0" xfId="93" applyNumberFormat="1" applyFont="1" applyFill="1" applyProtection="1">
      <protection locked="0"/>
    </xf>
    <xf numFmtId="40" fontId="96" fillId="0" borderId="0" xfId="93" applyNumberFormat="1" applyFont="1" applyProtection="1">
      <protection locked="0"/>
    </xf>
    <xf numFmtId="40" fontId="99" fillId="21" borderId="0" xfId="93" applyNumberFormat="1" applyFont="1" applyFill="1" applyProtection="1">
      <protection locked="0"/>
    </xf>
    <xf numFmtId="40" fontId="99" fillId="0" borderId="0" xfId="93" applyNumberFormat="1" applyFont="1" applyProtection="1">
      <protection locked="0"/>
    </xf>
    <xf numFmtId="170" fontId="99" fillId="0" borderId="0" xfId="94" applyNumberFormat="1" applyFont="1" applyProtection="1">
      <protection locked="0"/>
    </xf>
    <xf numFmtId="0" fontId="106" fillId="0" borderId="0" xfId="93" applyFont="1" applyProtection="1">
      <protection locked="0"/>
    </xf>
    <xf numFmtId="0" fontId="106" fillId="0" borderId="80" xfId="93" applyFont="1" applyBorder="1" applyAlignment="1" applyProtection="1">
      <alignment horizontal="left"/>
      <protection locked="0"/>
    </xf>
    <xf numFmtId="0" fontId="106" fillId="0" borderId="80" xfId="93" applyFont="1" applyBorder="1" applyProtection="1">
      <protection locked="0"/>
    </xf>
    <xf numFmtId="0" fontId="107" fillId="0" borderId="80" xfId="93" applyFont="1" applyBorder="1" applyProtection="1">
      <protection locked="0"/>
    </xf>
    <xf numFmtId="40" fontId="107" fillId="0" borderId="80" xfId="93" applyNumberFormat="1" applyFont="1" applyBorder="1" applyProtection="1">
      <protection locked="0"/>
    </xf>
    <xf numFmtId="170" fontId="107" fillId="0" borderId="80" xfId="94" applyNumberFormat="1" applyFont="1" applyBorder="1" applyProtection="1">
      <protection locked="0"/>
    </xf>
    <xf numFmtId="9" fontId="107" fillId="0" borderId="80" xfId="93" applyNumberFormat="1" applyFont="1" applyBorder="1" applyProtection="1">
      <protection locked="0"/>
    </xf>
    <xf numFmtId="0" fontId="107" fillId="0" borderId="0" xfId="93" applyFont="1" applyProtection="1">
      <protection locked="0"/>
    </xf>
    <xf numFmtId="40" fontId="106" fillId="0" borderId="80" xfId="93" applyNumberFormat="1" applyFont="1" applyBorder="1" applyProtection="1">
      <protection locked="0"/>
    </xf>
    <xf numFmtId="170" fontId="98" fillId="0" borderId="80" xfId="94" applyNumberFormat="1" applyFont="1" applyBorder="1" applyProtection="1">
      <protection locked="0"/>
    </xf>
    <xf numFmtId="9" fontId="98" fillId="0" borderId="80" xfId="93" applyNumberFormat="1" applyFont="1" applyBorder="1" applyProtection="1">
      <protection locked="0"/>
    </xf>
    <xf numFmtId="0" fontId="106" fillId="0" borderId="0" xfId="93" applyFont="1" applyAlignment="1" applyProtection="1">
      <alignment horizontal="left"/>
      <protection locked="0"/>
    </xf>
    <xf numFmtId="0" fontId="97" fillId="0" borderId="0" xfId="93" applyFont="1" applyProtection="1">
      <protection locked="0"/>
    </xf>
    <xf numFmtId="40" fontId="100" fillId="0" borderId="34" xfId="93" applyNumberFormat="1" applyFont="1" applyBorder="1" applyProtection="1">
      <protection locked="0"/>
    </xf>
    <xf numFmtId="40" fontId="101" fillId="21" borderId="0" xfId="93" applyNumberFormat="1" applyFont="1" applyFill="1" applyProtection="1">
      <protection locked="0"/>
    </xf>
    <xf numFmtId="40" fontId="101" fillId="0" borderId="0" xfId="93" applyNumberFormat="1" applyFont="1" applyProtection="1">
      <protection locked="0"/>
    </xf>
    <xf numFmtId="170" fontId="96" fillId="0" borderId="0" xfId="94" applyNumberFormat="1" applyFont="1" applyProtection="1">
      <protection locked="0"/>
    </xf>
    <xf numFmtId="170" fontId="101" fillId="21" borderId="0" xfId="94" applyNumberFormat="1" applyFont="1" applyFill="1" applyProtection="1">
      <protection locked="0"/>
    </xf>
    <xf numFmtId="170" fontId="101" fillId="0" borderId="0" xfId="94" applyNumberFormat="1" applyFont="1" applyProtection="1">
      <protection locked="0"/>
    </xf>
    <xf numFmtId="9" fontId="101" fillId="0" borderId="0" xfId="257" applyFont="1" applyProtection="1">
      <protection locked="0"/>
    </xf>
    <xf numFmtId="0" fontId="108" fillId="21" borderId="0" xfId="93" applyFont="1" applyFill="1" applyProtection="1">
      <protection locked="0"/>
    </xf>
    <xf numFmtId="0" fontId="108" fillId="0" borderId="80" xfId="93" applyFont="1" applyBorder="1" applyAlignment="1" applyProtection="1">
      <alignment horizontal="left"/>
      <protection locked="0"/>
    </xf>
    <xf numFmtId="0" fontId="108" fillId="21" borderId="80" xfId="93" applyFont="1" applyFill="1" applyBorder="1" applyProtection="1">
      <protection locked="0"/>
    </xf>
    <xf numFmtId="0" fontId="109" fillId="21" borderId="80" xfId="93" applyFont="1" applyFill="1" applyBorder="1" applyProtection="1">
      <protection locked="0"/>
    </xf>
    <xf numFmtId="170" fontId="109" fillId="21" borderId="80" xfId="94" applyNumberFormat="1" applyFont="1" applyFill="1" applyBorder="1" applyProtection="1">
      <protection locked="0"/>
    </xf>
    <xf numFmtId="9" fontId="109" fillId="21" borderId="80" xfId="94" applyNumberFormat="1" applyFont="1" applyFill="1" applyBorder="1" applyProtection="1">
      <protection locked="0"/>
    </xf>
    <xf numFmtId="9" fontId="109" fillId="21" borderId="80" xfId="93" applyNumberFormat="1" applyFont="1" applyFill="1" applyBorder="1" applyProtection="1">
      <protection locked="0"/>
    </xf>
    <xf numFmtId="0" fontId="109" fillId="21" borderId="0" xfId="93" applyFont="1" applyFill="1" applyProtection="1">
      <protection locked="0"/>
    </xf>
    <xf numFmtId="170" fontId="100" fillId="21" borderId="34" xfId="94" applyNumberFormat="1" applyFont="1" applyFill="1" applyBorder="1" applyProtection="1">
      <protection locked="0"/>
    </xf>
    <xf numFmtId="170" fontId="100" fillId="0" borderId="34" xfId="94" applyNumberFormat="1" applyFont="1" applyBorder="1" applyProtection="1">
      <protection locked="0"/>
    </xf>
    <xf numFmtId="170" fontId="101" fillId="0" borderId="0" xfId="93" applyNumberFormat="1" applyFont="1" applyProtection="1">
      <protection locked="0"/>
    </xf>
    <xf numFmtId="10" fontId="99" fillId="0" borderId="0" xfId="94" applyNumberFormat="1" applyFont="1" applyProtection="1">
      <protection locked="0"/>
    </xf>
    <xf numFmtId="9" fontId="107" fillId="21" borderId="80" xfId="94" applyNumberFormat="1" applyFont="1" applyFill="1" applyBorder="1" applyProtection="1">
      <protection locked="0"/>
    </xf>
    <xf numFmtId="9" fontId="106" fillId="21" borderId="80" xfId="94" applyNumberFormat="1" applyFont="1" applyFill="1" applyBorder="1" applyProtection="1">
      <protection locked="0"/>
    </xf>
    <xf numFmtId="170" fontId="101" fillId="21" borderId="34" xfId="94" applyNumberFormat="1" applyFont="1" applyFill="1" applyBorder="1" applyProtection="1">
      <protection locked="0"/>
    </xf>
    <xf numFmtId="0" fontId="101" fillId="0" borderId="0" xfId="93" applyFont="1" applyProtection="1">
      <protection locked="0"/>
    </xf>
    <xf numFmtId="170" fontId="99" fillId="21" borderId="80" xfId="94" applyNumberFormat="1" applyFont="1" applyFill="1" applyBorder="1" applyProtection="1">
      <protection locked="0"/>
    </xf>
    <xf numFmtId="9" fontId="99" fillId="0" borderId="80" xfId="257" applyFont="1" applyBorder="1" applyProtection="1">
      <protection locked="0"/>
    </xf>
    <xf numFmtId="9" fontId="106" fillId="0" borderId="80" xfId="257" applyFont="1" applyBorder="1" applyProtection="1">
      <protection locked="0"/>
    </xf>
    <xf numFmtId="9" fontId="106" fillId="0" borderId="80" xfId="93" applyNumberFormat="1" applyFont="1" applyBorder="1" applyProtection="1">
      <protection locked="0"/>
    </xf>
    <xf numFmtId="170" fontId="100" fillId="21" borderId="47" xfId="94" applyNumberFormat="1" applyFont="1" applyFill="1" applyBorder="1" applyProtection="1">
      <protection locked="0"/>
    </xf>
    <xf numFmtId="170" fontId="100" fillId="0" borderId="47" xfId="94" applyNumberFormat="1" applyFont="1" applyBorder="1" applyProtection="1">
      <protection locked="0"/>
    </xf>
    <xf numFmtId="9" fontId="99" fillId="0" borderId="0" xfId="257" applyFont="1" applyProtection="1">
      <protection locked="0"/>
    </xf>
    <xf numFmtId="170" fontId="100" fillId="21" borderId="0" xfId="94" applyNumberFormat="1" applyFont="1" applyFill="1" applyProtection="1">
      <protection locked="0"/>
    </xf>
    <xf numFmtId="170" fontId="100" fillId="0" borderId="0" xfId="94" applyNumberFormat="1" applyFont="1" applyProtection="1">
      <protection locked="0"/>
    </xf>
    <xf numFmtId="9" fontId="100" fillId="0" borderId="0" xfId="257" applyFont="1" applyProtection="1">
      <protection locked="0"/>
    </xf>
    <xf numFmtId="170" fontId="99" fillId="21" borderId="0" xfId="94" applyNumberFormat="1" applyFont="1" applyFill="1" applyProtection="1">
      <protection locked="0"/>
    </xf>
    <xf numFmtId="0" fontId="96" fillId="21" borderId="80" xfId="93" applyFont="1" applyFill="1" applyBorder="1" applyAlignment="1" applyProtection="1">
      <alignment horizontal="left"/>
      <protection locked="0"/>
    </xf>
    <xf numFmtId="0" fontId="96" fillId="21" borderId="0" xfId="93" applyFont="1" applyFill="1" applyProtection="1">
      <protection locked="0"/>
    </xf>
    <xf numFmtId="0" fontId="100" fillId="21" borderId="0" xfId="93" applyFont="1" applyFill="1" applyProtection="1">
      <protection locked="0"/>
    </xf>
    <xf numFmtId="40" fontId="100" fillId="21" borderId="47" xfId="93" applyNumberFormat="1" applyFont="1" applyFill="1" applyBorder="1" applyProtection="1">
      <protection locked="0"/>
    </xf>
    <xf numFmtId="9" fontId="100" fillId="21" borderId="0" xfId="257" applyFont="1" applyFill="1" applyProtection="1">
      <protection locked="0"/>
    </xf>
    <xf numFmtId="0" fontId="99" fillId="21" borderId="0" xfId="93" applyFont="1" applyFill="1" applyProtection="1">
      <protection locked="0"/>
    </xf>
    <xf numFmtId="170" fontId="99" fillId="21" borderId="0" xfId="93" applyNumberFormat="1" applyFont="1" applyFill="1" applyProtection="1">
      <protection locked="0"/>
    </xf>
    <xf numFmtId="9" fontId="99" fillId="21" borderId="0" xfId="257" applyFont="1" applyFill="1" applyProtection="1">
      <protection locked="0"/>
    </xf>
    <xf numFmtId="0" fontId="96" fillId="21" borderId="80" xfId="93" applyFont="1" applyFill="1" applyBorder="1" applyProtection="1">
      <protection locked="0"/>
    </xf>
    <xf numFmtId="171" fontId="99" fillId="21" borderId="80" xfId="94" applyNumberFormat="1" applyFont="1" applyFill="1" applyBorder="1" applyProtection="1">
      <protection locked="0"/>
    </xf>
    <xf numFmtId="9" fontId="99" fillId="21" borderId="80" xfId="93" applyNumberFormat="1" applyFont="1" applyFill="1" applyBorder="1" applyProtection="1">
      <protection locked="0"/>
    </xf>
    <xf numFmtId="9" fontId="96" fillId="21" borderId="80" xfId="257" applyFont="1" applyFill="1" applyBorder="1" applyProtection="1">
      <protection locked="0"/>
    </xf>
    <xf numFmtId="171" fontId="107" fillId="21" borderId="80" xfId="94" applyNumberFormat="1" applyFont="1" applyFill="1" applyBorder="1" applyProtection="1">
      <protection locked="0"/>
    </xf>
    <xf numFmtId="9" fontId="106" fillId="21" borderId="80" xfId="257" applyFont="1" applyFill="1" applyBorder="1" applyProtection="1">
      <protection locked="0"/>
    </xf>
    <xf numFmtId="9" fontId="107" fillId="21" borderId="80" xfId="257" applyFont="1" applyFill="1" applyBorder="1" applyProtection="1">
      <protection locked="0"/>
    </xf>
    <xf numFmtId="171" fontId="106" fillId="21" borderId="80" xfId="94" applyNumberFormat="1" applyFont="1" applyFill="1" applyBorder="1" applyProtection="1">
      <protection locked="0"/>
    </xf>
    <xf numFmtId="0" fontId="100" fillId="21" borderId="0" xfId="93" applyFont="1" applyFill="1" applyAlignment="1" applyProtection="1">
      <alignment horizontal="left"/>
      <protection locked="0"/>
    </xf>
    <xf numFmtId="0" fontId="97" fillId="21" borderId="0" xfId="93" applyFont="1" applyFill="1" applyProtection="1">
      <protection locked="0"/>
    </xf>
    <xf numFmtId="9" fontId="101" fillId="21" borderId="0" xfId="257" applyFont="1" applyFill="1" applyProtection="1">
      <protection locked="0"/>
    </xf>
    <xf numFmtId="0" fontId="101" fillId="21" borderId="0" xfId="93" applyFont="1" applyFill="1" applyProtection="1">
      <protection locked="0"/>
    </xf>
    <xf numFmtId="0" fontId="99" fillId="21" borderId="80" xfId="93" applyFont="1" applyFill="1" applyBorder="1" applyProtection="1">
      <protection locked="0"/>
    </xf>
    <xf numFmtId="9" fontId="99" fillId="21" borderId="80" xfId="257" applyFont="1" applyFill="1" applyBorder="1" applyProtection="1">
      <protection locked="0"/>
    </xf>
    <xf numFmtId="9" fontId="96" fillId="21" borderId="80" xfId="93" applyNumberFormat="1" applyFont="1" applyFill="1" applyBorder="1" applyProtection="1">
      <protection locked="0"/>
    </xf>
    <xf numFmtId="40" fontId="98" fillId="21" borderId="80" xfId="93" applyNumberFormat="1" applyFont="1" applyFill="1" applyBorder="1" applyProtection="1">
      <protection locked="0"/>
    </xf>
    <xf numFmtId="170" fontId="98" fillId="21" borderId="80" xfId="94" applyNumberFormat="1" applyFont="1" applyFill="1" applyBorder="1" applyProtection="1">
      <protection locked="0"/>
    </xf>
    <xf numFmtId="171" fontId="98" fillId="21" borderId="80" xfId="94" applyNumberFormat="1" applyFont="1" applyFill="1" applyBorder="1" applyProtection="1">
      <protection locked="0"/>
    </xf>
    <xf numFmtId="9" fontId="98" fillId="21" borderId="80" xfId="257" applyFont="1" applyFill="1" applyBorder="1" applyProtection="1">
      <protection locked="0"/>
    </xf>
    <xf numFmtId="9" fontId="98" fillId="21" borderId="80" xfId="93" applyNumberFormat="1" applyFont="1" applyFill="1" applyBorder="1" applyProtection="1">
      <protection locked="0"/>
    </xf>
    <xf numFmtId="0" fontId="98" fillId="21" borderId="0" xfId="93" applyFont="1" applyFill="1" applyProtection="1">
      <protection locked="0"/>
    </xf>
    <xf numFmtId="170" fontId="96" fillId="21" borderId="0" xfId="94" applyNumberFormat="1" applyFont="1" applyFill="1" applyProtection="1">
      <protection locked="0"/>
    </xf>
    <xf numFmtId="0" fontId="110" fillId="0" borderId="0" xfId="93" applyFont="1" applyAlignment="1" applyProtection="1">
      <alignment horizontal="left"/>
      <protection locked="0"/>
    </xf>
    <xf numFmtId="170" fontId="96" fillId="21" borderId="80" xfId="94" applyNumberFormat="1" applyFont="1" applyFill="1" applyBorder="1" applyProtection="1">
      <protection locked="0"/>
    </xf>
    <xf numFmtId="0" fontId="108" fillId="21" borderId="80" xfId="93" applyFont="1" applyFill="1" applyBorder="1" applyAlignment="1" applyProtection="1">
      <alignment horizontal="left"/>
      <protection locked="0"/>
    </xf>
    <xf numFmtId="170" fontId="108" fillId="21" borderId="80" xfId="94" applyNumberFormat="1" applyFont="1" applyFill="1" applyBorder="1" applyProtection="1">
      <protection locked="0"/>
    </xf>
    <xf numFmtId="170" fontId="100" fillId="21" borderId="0" xfId="93" applyNumberFormat="1" applyFont="1" applyFill="1" applyProtection="1">
      <protection locked="0"/>
    </xf>
    <xf numFmtId="170" fontId="100" fillId="21" borderId="34" xfId="93" applyNumberFormat="1" applyFont="1" applyFill="1" applyBorder="1" applyProtection="1">
      <protection locked="0"/>
    </xf>
    <xf numFmtId="40" fontId="100" fillId="0" borderId="0" xfId="93" applyNumberFormat="1" applyFont="1" applyProtection="1">
      <protection locked="0"/>
    </xf>
    <xf numFmtId="9" fontId="100" fillId="0" borderId="0" xfId="93" applyNumberFormat="1" applyFont="1" applyProtection="1">
      <protection locked="0"/>
    </xf>
    <xf numFmtId="0" fontId="100" fillId="0" borderId="7" xfId="93" applyFont="1" applyBorder="1" applyAlignment="1" applyProtection="1">
      <alignment horizontal="left"/>
      <protection locked="0"/>
    </xf>
    <xf numFmtId="0" fontId="111" fillId="21" borderId="0" xfId="93" applyFont="1" applyFill="1" applyProtection="1">
      <protection locked="0"/>
    </xf>
    <xf numFmtId="171" fontId="101" fillId="0" borderId="34" xfId="94" applyNumberFormat="1" applyFont="1" applyBorder="1" applyProtection="1">
      <protection locked="0"/>
    </xf>
    <xf numFmtId="171" fontId="101" fillId="0" borderId="0" xfId="94" applyNumberFormat="1" applyFont="1" applyProtection="1">
      <protection locked="0"/>
    </xf>
    <xf numFmtId="170" fontId="96" fillId="0" borderId="0" xfId="93" applyNumberFormat="1" applyFont="1" applyProtection="1">
      <protection locked="0"/>
    </xf>
    <xf numFmtId="169" fontId="96" fillId="0" borderId="0" xfId="94" applyNumberFormat="1" applyFont="1" applyAlignment="1" applyProtection="1">
      <alignment horizontal="left"/>
      <protection locked="0"/>
    </xf>
    <xf numFmtId="170" fontId="99" fillId="0" borderId="0" xfId="93" applyNumberFormat="1" applyFont="1" applyProtection="1">
      <protection locked="0"/>
    </xf>
    <xf numFmtId="40" fontId="96" fillId="0" borderId="28" xfId="93" applyNumberFormat="1" applyFont="1" applyBorder="1" applyProtection="1">
      <protection locked="0"/>
    </xf>
    <xf numFmtId="9" fontId="96" fillId="0" borderId="0" xfId="257" applyFont="1" applyProtection="1">
      <protection locked="0"/>
    </xf>
    <xf numFmtId="170" fontId="110" fillId="0" borderId="0" xfId="94" applyNumberFormat="1" applyFont="1" applyProtection="1">
      <protection locked="0"/>
    </xf>
    <xf numFmtId="9" fontId="96" fillId="0" borderId="3" xfId="257" applyFont="1" applyBorder="1" applyAlignment="1" applyProtection="1">
      <alignment horizontal="center"/>
      <protection locked="0"/>
    </xf>
    <xf numFmtId="9" fontId="96" fillId="0" borderId="7" xfId="257" applyFont="1" applyBorder="1" applyAlignment="1" applyProtection="1">
      <alignment horizontal="center"/>
      <protection locked="0"/>
    </xf>
    <xf numFmtId="170" fontId="96" fillId="0" borderId="5" xfId="93" applyNumberFormat="1" applyFont="1" applyBorder="1" applyAlignment="1" applyProtection="1">
      <alignment horizontal="center"/>
      <protection locked="0"/>
    </xf>
    <xf numFmtId="9" fontId="96" fillId="0" borderId="5" xfId="257" applyFont="1" applyBorder="1" applyAlignment="1" applyProtection="1">
      <alignment horizontal="center"/>
      <protection locked="0"/>
    </xf>
    <xf numFmtId="170" fontId="96" fillId="0" borderId="3" xfId="93" applyNumberFormat="1" applyFont="1" applyBorder="1" applyAlignment="1" applyProtection="1">
      <alignment horizontal="center"/>
      <protection locked="0"/>
    </xf>
    <xf numFmtId="170" fontId="96" fillId="0" borderId="0" xfId="93" applyNumberFormat="1" applyFont="1" applyAlignment="1" applyProtection="1">
      <alignment horizontal="left"/>
      <protection locked="0"/>
    </xf>
    <xf numFmtId="40" fontId="96" fillId="0" borderId="37" xfId="93" applyNumberFormat="1" applyFont="1" applyBorder="1" applyProtection="1">
      <protection locked="0"/>
    </xf>
    <xf numFmtId="4" fontId="96" fillId="0" borderId="37" xfId="93" applyNumberFormat="1" applyFont="1" applyBorder="1" applyProtection="1">
      <protection locked="0"/>
    </xf>
    <xf numFmtId="170" fontId="96" fillId="0" borderId="37" xfId="93" applyNumberFormat="1" applyFont="1" applyBorder="1" applyProtection="1">
      <protection locked="0"/>
    </xf>
    <xf numFmtId="4" fontId="96" fillId="0" borderId="0" xfId="93" applyNumberFormat="1" applyFont="1" applyProtection="1">
      <protection locked="0"/>
    </xf>
    <xf numFmtId="170" fontId="112" fillId="0" borderId="0" xfId="94" applyNumberFormat="1" applyFont="1" applyProtection="1">
      <protection locked="0"/>
    </xf>
    <xf numFmtId="40" fontId="96" fillId="0" borderId="6" xfId="93" applyNumberFormat="1" applyFont="1" applyBorder="1" applyProtection="1">
      <protection locked="0"/>
    </xf>
    <xf numFmtId="170" fontId="100" fillId="0" borderId="0" xfId="93" applyNumberFormat="1" applyFont="1" applyProtection="1">
      <protection locked="0"/>
    </xf>
    <xf numFmtId="166" fontId="96" fillId="0" borderId="0" xfId="94" applyFont="1" applyProtection="1">
      <protection locked="0"/>
    </xf>
    <xf numFmtId="172" fontId="96" fillId="0" borderId="0" xfId="93" applyNumberFormat="1" applyFont="1" applyProtection="1">
      <protection locked="0"/>
    </xf>
    <xf numFmtId="172" fontId="96" fillId="0" borderId="28" xfId="93" applyNumberFormat="1" applyFont="1" applyBorder="1" applyProtection="1">
      <protection locked="0"/>
    </xf>
    <xf numFmtId="170" fontId="105" fillId="0" borderId="0" xfId="93" applyNumberFormat="1" applyFont="1" applyProtection="1">
      <protection locked="0"/>
    </xf>
    <xf numFmtId="172" fontId="96" fillId="0" borderId="3" xfId="93" applyNumberFormat="1" applyFont="1" applyBorder="1" applyAlignment="1" applyProtection="1">
      <alignment horizontal="center"/>
      <protection locked="0"/>
    </xf>
    <xf numFmtId="9" fontId="100" fillId="40" borderId="45" xfId="257" applyFont="1" applyFill="1" applyBorder="1" applyAlignment="1" applyProtection="1">
      <alignment horizontal="center"/>
      <protection locked="0"/>
    </xf>
    <xf numFmtId="0" fontId="100" fillId="16" borderId="45" xfId="93" applyFont="1" applyFill="1" applyBorder="1" applyAlignment="1" applyProtection="1">
      <alignment horizontal="center" wrapText="1"/>
      <protection locked="0"/>
    </xf>
    <xf numFmtId="168" fontId="113" fillId="16" borderId="45" xfId="109" applyFont="1" applyFill="1" applyBorder="1" applyProtection="1">
      <protection locked="0"/>
    </xf>
    <xf numFmtId="168" fontId="113" fillId="16" borderId="45" xfId="109" applyFont="1" applyFill="1" applyBorder="1" applyAlignment="1" applyProtection="1">
      <protection locked="0"/>
    </xf>
    <xf numFmtId="9" fontId="100" fillId="16" borderId="45" xfId="257" applyFont="1" applyFill="1" applyBorder="1" applyAlignment="1" applyProtection="1">
      <alignment horizontal="center" wrapText="1"/>
      <protection locked="0"/>
    </xf>
    <xf numFmtId="168" fontId="114" fillId="39" borderId="93" xfId="109" applyFont="1" applyFill="1" applyBorder="1" applyAlignment="1" applyProtection="1">
      <protection locked="0"/>
    </xf>
    <xf numFmtId="9" fontId="100" fillId="16" borderId="48" xfId="257" applyFont="1" applyFill="1" applyBorder="1" applyProtection="1">
      <protection locked="0"/>
    </xf>
    <xf numFmtId="9" fontId="100" fillId="16" borderId="45" xfId="257" applyFont="1" applyFill="1" applyBorder="1" applyProtection="1">
      <protection locked="0"/>
    </xf>
    <xf numFmtId="168" fontId="94" fillId="16" borderId="0" xfId="109" applyFont="1" applyFill="1" applyAlignment="1" applyProtection="1">
      <protection locked="0"/>
    </xf>
    <xf numFmtId="168" fontId="94" fillId="0" borderId="0" xfId="109" applyFont="1" applyFill="1" applyAlignment="1" applyProtection="1">
      <protection locked="0"/>
    </xf>
    <xf numFmtId="168" fontId="94" fillId="16" borderId="0" xfId="109" applyFont="1" applyFill="1" applyProtection="1">
      <protection locked="0"/>
    </xf>
    <xf numFmtId="168" fontId="94" fillId="28" borderId="84" xfId="109" applyFont="1" applyFill="1" applyBorder="1" applyAlignment="1">
      <alignment horizontal="center" vertical="center" wrapText="1"/>
    </xf>
    <xf numFmtId="168" fontId="94" fillId="0" borderId="0" xfId="109" applyFont="1" applyFill="1" applyBorder="1" applyAlignment="1" applyProtection="1">
      <alignment horizontal="center"/>
      <protection locked="0"/>
    </xf>
    <xf numFmtId="168" fontId="94" fillId="0" borderId="0" xfId="109" applyFont="1" applyFill="1" applyBorder="1" applyAlignment="1" applyProtection="1">
      <alignment horizontal="center" vertical="center" wrapText="1"/>
      <protection locked="0"/>
    </xf>
    <xf numFmtId="168" fontId="94" fillId="21" borderId="80" xfId="109" applyFont="1" applyFill="1" applyBorder="1" applyProtection="1">
      <protection locked="0"/>
    </xf>
    <xf numFmtId="168" fontId="94" fillId="21" borderId="80" xfId="109" applyFont="1" applyFill="1" applyBorder="1" applyAlignment="1" applyProtection="1">
      <protection locked="0"/>
    </xf>
    <xf numFmtId="168" fontId="94" fillId="0" borderId="80" xfId="109" applyFont="1" applyFill="1" applyBorder="1" applyProtection="1">
      <protection locked="0"/>
    </xf>
    <xf numFmtId="168" fontId="94" fillId="0" borderId="80" xfId="109" applyFont="1" applyFill="1" applyBorder="1" applyAlignment="1" applyProtection="1">
      <protection locked="0"/>
    </xf>
    <xf numFmtId="168" fontId="94" fillId="21" borderId="34" xfId="109" applyFont="1" applyFill="1" applyBorder="1" applyProtection="1">
      <protection locked="0"/>
    </xf>
    <xf numFmtId="168" fontId="94" fillId="21" borderId="0" xfId="109" applyFont="1" applyFill="1" applyBorder="1" applyProtection="1">
      <protection locked="0"/>
    </xf>
    <xf numFmtId="168" fontId="94" fillId="0" borderId="0" xfId="109" applyFont="1" applyFill="1" applyBorder="1" applyProtection="1">
      <protection locked="0"/>
    </xf>
    <xf numFmtId="168" fontId="94" fillId="0" borderId="0" xfId="109" applyFont="1" applyFill="1" applyBorder="1" applyAlignment="1" applyProtection="1">
      <protection locked="0"/>
    </xf>
    <xf numFmtId="168" fontId="94" fillId="0" borderId="34" xfId="109" applyFont="1" applyFill="1" applyBorder="1" applyProtection="1">
      <protection locked="0"/>
    </xf>
    <xf numFmtId="168" fontId="94" fillId="21" borderId="0" xfId="109" applyFont="1" applyFill="1" applyBorder="1" applyAlignment="1" applyProtection="1">
      <protection locked="0"/>
    </xf>
    <xf numFmtId="168" fontId="94" fillId="21" borderId="34" xfId="109" applyFont="1" applyFill="1" applyBorder="1" applyAlignment="1" applyProtection="1">
      <protection locked="0"/>
    </xf>
    <xf numFmtId="168" fontId="94" fillId="0" borderId="34" xfId="109" applyFont="1" applyFill="1" applyBorder="1" applyAlignment="1" applyProtection="1">
      <protection locked="0"/>
    </xf>
    <xf numFmtId="168" fontId="94" fillId="21" borderId="47" xfId="109" applyFont="1" applyFill="1" applyBorder="1" applyAlignment="1" applyProtection="1">
      <protection locked="0"/>
    </xf>
    <xf numFmtId="168" fontId="94" fillId="0" borderId="47" xfId="109" applyFont="1" applyFill="1" applyBorder="1" applyAlignment="1" applyProtection="1">
      <protection locked="0"/>
    </xf>
    <xf numFmtId="168" fontId="94" fillId="21" borderId="47" xfId="109" applyFont="1" applyFill="1" applyBorder="1" applyProtection="1">
      <protection locked="0"/>
    </xf>
    <xf numFmtId="168" fontId="94" fillId="21" borderId="0" xfId="109" applyFont="1" applyFill="1" applyProtection="1">
      <protection locked="0"/>
    </xf>
    <xf numFmtId="168" fontId="94" fillId="0" borderId="0" xfId="109" applyFont="1" applyFill="1" applyProtection="1">
      <protection locked="0"/>
    </xf>
    <xf numFmtId="168" fontId="94" fillId="16" borderId="0" xfId="109" applyFont="1" applyFill="1" applyBorder="1" applyAlignment="1" applyProtection="1">
      <protection locked="0"/>
    </xf>
    <xf numFmtId="0" fontId="96" fillId="0" borderId="51" xfId="93" applyFont="1" applyBorder="1" applyAlignment="1" applyProtection="1">
      <alignment horizontal="left"/>
      <protection locked="0"/>
    </xf>
    <xf numFmtId="0" fontId="99" fillId="16" borderId="51" xfId="93" applyFont="1" applyFill="1" applyBorder="1" applyProtection="1">
      <protection locked="0"/>
    </xf>
    <xf numFmtId="9" fontId="99" fillId="16" borderId="51" xfId="257" applyFont="1" applyFill="1" applyBorder="1" applyProtection="1">
      <protection locked="0"/>
    </xf>
    <xf numFmtId="168" fontId="116" fillId="16" borderId="48" xfId="109" applyFont="1" applyFill="1" applyBorder="1" applyAlignment="1" applyProtection="1">
      <protection locked="0"/>
    </xf>
    <xf numFmtId="168" fontId="116" fillId="16" borderId="45" xfId="109" applyFont="1" applyFill="1" applyBorder="1" applyAlignment="1" applyProtection="1">
      <protection locked="0"/>
    </xf>
    <xf numFmtId="168" fontId="116" fillId="40" borderId="45" xfId="109" applyFont="1" applyFill="1" applyBorder="1" applyAlignment="1" applyProtection="1">
      <alignment horizontal="center"/>
      <protection locked="0"/>
    </xf>
    <xf numFmtId="168" fontId="95" fillId="16" borderId="45" xfId="109" applyFont="1" applyFill="1" applyBorder="1" applyProtection="1">
      <protection locked="0"/>
    </xf>
    <xf numFmtId="168" fontId="95" fillId="16" borderId="45" xfId="109" applyFont="1" applyFill="1" applyBorder="1" applyAlignment="1" applyProtection="1">
      <protection locked="0"/>
    </xf>
    <xf numFmtId="168" fontId="95" fillId="39" borderId="93" xfId="109" applyFont="1" applyFill="1" applyBorder="1" applyAlignment="1" applyProtection="1">
      <protection locked="0"/>
    </xf>
    <xf numFmtId="0" fontId="117" fillId="16" borderId="0" xfId="93" applyFont="1" applyFill="1" applyProtection="1">
      <protection locked="0"/>
    </xf>
    <xf numFmtId="0" fontId="118" fillId="21" borderId="0" xfId="93" applyFont="1" applyFill="1" applyAlignment="1" applyProtection="1">
      <alignment horizontal="left"/>
      <protection locked="0"/>
    </xf>
    <xf numFmtId="0" fontId="118" fillId="16" borderId="0" xfId="93" applyFont="1" applyFill="1" applyProtection="1">
      <protection locked="0"/>
    </xf>
    <xf numFmtId="0" fontId="119" fillId="0" borderId="0" xfId="93" applyFont="1" applyProtection="1">
      <protection locked="0"/>
    </xf>
    <xf numFmtId="0" fontId="119" fillId="16" borderId="0" xfId="93" applyFont="1" applyFill="1" applyProtection="1">
      <protection locked="0"/>
    </xf>
    <xf numFmtId="0" fontId="120" fillId="16" borderId="0" xfId="93" applyFont="1" applyFill="1" applyProtection="1">
      <protection locked="0"/>
    </xf>
    <xf numFmtId="170" fontId="117" fillId="16" borderId="0" xfId="93" applyNumberFormat="1" applyFont="1" applyFill="1" applyProtection="1">
      <protection locked="0"/>
    </xf>
    <xf numFmtId="0" fontId="121" fillId="0" borderId="0" xfId="93" applyFont="1" applyAlignment="1" applyProtection="1">
      <alignment horizontal="left"/>
      <protection locked="0"/>
    </xf>
    <xf numFmtId="0" fontId="121" fillId="16" borderId="0" xfId="93" applyFont="1" applyFill="1" applyProtection="1">
      <protection locked="0"/>
    </xf>
    <xf numFmtId="0" fontId="122" fillId="16" borderId="0" xfId="93" applyFont="1" applyFill="1" applyProtection="1">
      <protection locked="0"/>
    </xf>
    <xf numFmtId="170" fontId="122" fillId="16" borderId="0" xfId="93" applyNumberFormat="1" applyFont="1" applyFill="1" applyProtection="1">
      <protection locked="0"/>
    </xf>
    <xf numFmtId="0" fontId="118" fillId="33" borderId="0" xfId="93" applyFont="1" applyFill="1" applyAlignment="1" applyProtection="1">
      <alignment horizontal="left"/>
      <protection locked="0"/>
    </xf>
    <xf numFmtId="0" fontId="121" fillId="34" borderId="0" xfId="93" applyFont="1" applyFill="1" applyProtection="1">
      <protection locked="0"/>
    </xf>
    <xf numFmtId="0" fontId="117" fillId="0" borderId="0" xfId="93" applyFont="1" applyAlignment="1" applyProtection="1">
      <alignment horizontal="left"/>
      <protection locked="0"/>
    </xf>
    <xf numFmtId="170" fontId="120" fillId="16" borderId="0" xfId="93" applyNumberFormat="1" applyFont="1" applyFill="1" applyProtection="1">
      <protection locked="0"/>
    </xf>
    <xf numFmtId="0" fontId="123" fillId="16" borderId="0" xfId="93" applyFont="1" applyFill="1" applyProtection="1">
      <protection locked="0"/>
    </xf>
    <xf numFmtId="0" fontId="123" fillId="0" borderId="0" xfId="93" applyFont="1" applyAlignment="1" applyProtection="1">
      <alignment horizontal="left"/>
      <protection locked="0"/>
    </xf>
    <xf numFmtId="0" fontId="124" fillId="16" borderId="0" xfId="93" applyFont="1" applyFill="1" applyProtection="1">
      <protection locked="0"/>
    </xf>
    <xf numFmtId="0" fontId="117" fillId="16" borderId="0" xfId="93" applyFont="1" applyFill="1" applyAlignment="1" applyProtection="1">
      <alignment horizontal="center"/>
      <protection locked="0"/>
    </xf>
    <xf numFmtId="0" fontId="121" fillId="16" borderId="0" xfId="93" applyFont="1" applyFill="1" applyAlignment="1" applyProtection="1">
      <alignment horizontal="center"/>
      <protection locked="0"/>
    </xf>
    <xf numFmtId="0" fontId="120" fillId="16" borderId="0" xfId="93" applyFont="1" applyFill="1" applyAlignment="1" applyProtection="1">
      <alignment horizontal="center"/>
      <protection locked="0"/>
    </xf>
    <xf numFmtId="0" fontId="121" fillId="0" borderId="83" xfId="93" applyFont="1" applyBorder="1" applyAlignment="1" applyProtection="1">
      <alignment horizontal="left" vertical="center"/>
      <protection locked="0"/>
    </xf>
    <xf numFmtId="0" fontId="121" fillId="16" borderId="84" xfId="93" applyFont="1" applyFill="1" applyBorder="1" applyAlignment="1" applyProtection="1">
      <alignment horizontal="center" vertical="center"/>
      <protection locked="0"/>
    </xf>
    <xf numFmtId="166" fontId="125" fillId="28" borderId="84" xfId="94" applyFont="1" applyFill="1" applyBorder="1" applyAlignment="1">
      <alignment horizontal="center" vertical="center" wrapText="1"/>
    </xf>
    <xf numFmtId="166" fontId="125" fillId="45" borderId="84" xfId="94" applyFont="1" applyFill="1" applyBorder="1" applyAlignment="1">
      <alignment horizontal="center" vertical="center" wrapText="1"/>
    </xf>
    <xf numFmtId="0" fontId="117" fillId="0" borderId="0" xfId="93" applyFont="1" applyProtection="1">
      <protection locked="0"/>
    </xf>
    <xf numFmtId="0" fontId="121" fillId="0" borderId="0" xfId="93" applyFont="1" applyAlignment="1" applyProtection="1">
      <alignment horizontal="center"/>
      <protection locked="0"/>
    </xf>
    <xf numFmtId="0" fontId="117" fillId="0" borderId="0" xfId="93" applyFont="1" applyAlignment="1" applyProtection="1">
      <alignment horizontal="center"/>
      <protection locked="0"/>
    </xf>
    <xf numFmtId="170" fontId="117" fillId="0" borderId="0" xfId="93" applyNumberFormat="1" applyFont="1" applyAlignment="1" applyProtection="1">
      <alignment horizontal="center"/>
      <protection locked="0"/>
    </xf>
    <xf numFmtId="170" fontId="117" fillId="0" borderId="0" xfId="93" applyNumberFormat="1" applyFont="1" applyAlignment="1" applyProtection="1">
      <alignment horizontal="center" vertical="center" wrapText="1"/>
      <protection locked="0"/>
    </xf>
    <xf numFmtId="0" fontId="120" fillId="0" borderId="0" xfId="93" applyFont="1" applyProtection="1">
      <protection locked="0"/>
    </xf>
    <xf numFmtId="0" fontId="126" fillId="0" borderId="0" xfId="93" applyFont="1" applyAlignment="1" applyProtection="1">
      <alignment horizontal="left"/>
      <protection locked="0"/>
    </xf>
    <xf numFmtId="0" fontId="122" fillId="0" borderId="0" xfId="93" applyFont="1" applyAlignment="1" applyProtection="1">
      <alignment horizontal="center"/>
      <protection locked="0"/>
    </xf>
    <xf numFmtId="170" fontId="122" fillId="0" borderId="0" xfId="93" applyNumberFormat="1" applyFont="1" applyAlignment="1" applyProtection="1">
      <alignment horizontal="center"/>
      <protection locked="0"/>
    </xf>
    <xf numFmtId="170" fontId="122" fillId="0" borderId="0" xfId="93" applyNumberFormat="1" applyFont="1" applyAlignment="1" applyProtection="1">
      <alignment horizontal="center" vertical="center" wrapText="1"/>
      <protection locked="0"/>
    </xf>
    <xf numFmtId="0" fontId="127" fillId="0" borderId="80" xfId="93" applyFont="1" applyBorder="1" applyAlignment="1" applyProtection="1">
      <alignment horizontal="left"/>
      <protection locked="0"/>
    </xf>
    <xf numFmtId="0" fontId="127" fillId="21" borderId="80" xfId="93" applyFont="1" applyFill="1" applyBorder="1" applyProtection="1">
      <protection locked="0"/>
    </xf>
    <xf numFmtId="40" fontId="127" fillId="21" borderId="80" xfId="93" applyNumberFormat="1" applyFont="1" applyFill="1" applyBorder="1" applyProtection="1">
      <protection locked="0"/>
    </xf>
    <xf numFmtId="170" fontId="127" fillId="21" borderId="80" xfId="94" applyNumberFormat="1" applyFont="1" applyFill="1" applyBorder="1" applyProtection="1">
      <protection locked="0"/>
    </xf>
    <xf numFmtId="0" fontId="127" fillId="21" borderId="0" xfId="93" applyFont="1" applyFill="1" applyProtection="1">
      <protection locked="0"/>
    </xf>
    <xf numFmtId="0" fontId="117" fillId="0" borderId="80" xfId="93" applyFont="1" applyBorder="1" applyAlignment="1" applyProtection="1">
      <alignment horizontal="left"/>
      <protection locked="0"/>
    </xf>
    <xf numFmtId="0" fontId="117" fillId="0" borderId="80" xfId="93" applyFont="1" applyBorder="1" applyProtection="1">
      <protection locked="0"/>
    </xf>
    <xf numFmtId="0" fontId="120" fillId="0" borderId="80" xfId="93" applyFont="1" applyBorder="1" applyProtection="1">
      <protection locked="0"/>
    </xf>
    <xf numFmtId="40" fontId="128" fillId="21" borderId="80" xfId="93" applyNumberFormat="1" applyFont="1" applyFill="1" applyBorder="1" applyProtection="1">
      <protection locked="0"/>
    </xf>
    <xf numFmtId="40" fontId="120" fillId="0" borderId="80" xfId="93" applyNumberFormat="1" applyFont="1" applyBorder="1" applyProtection="1">
      <protection locked="0"/>
    </xf>
    <xf numFmtId="170" fontId="120" fillId="0" borderId="80" xfId="94" applyNumberFormat="1" applyFont="1" applyBorder="1" applyProtection="1">
      <protection locked="0"/>
    </xf>
    <xf numFmtId="0" fontId="127" fillId="0" borderId="80" xfId="93" applyFont="1" applyBorder="1" applyProtection="1">
      <protection locked="0"/>
    </xf>
    <xf numFmtId="0" fontId="128" fillId="0" borderId="80" xfId="93" applyFont="1" applyBorder="1" applyProtection="1">
      <protection locked="0"/>
    </xf>
    <xf numFmtId="40" fontId="128" fillId="0" borderId="80" xfId="93" applyNumberFormat="1" applyFont="1" applyBorder="1" applyProtection="1">
      <protection locked="0"/>
    </xf>
    <xf numFmtId="170" fontId="128" fillId="0" borderId="80" xfId="94" applyNumberFormat="1" applyFont="1" applyBorder="1" applyProtection="1">
      <protection locked="0"/>
    </xf>
    <xf numFmtId="0" fontId="128" fillId="0" borderId="0" xfId="93" applyFont="1" applyProtection="1">
      <protection locked="0"/>
    </xf>
    <xf numFmtId="0" fontId="121" fillId="0" borderId="0" xfId="93" applyFont="1" applyProtection="1">
      <protection locked="0"/>
    </xf>
    <xf numFmtId="40" fontId="121" fillId="21" borderId="34" xfId="93" applyNumberFormat="1" applyFont="1" applyFill="1" applyBorder="1" applyProtection="1">
      <protection locked="0"/>
    </xf>
    <xf numFmtId="40" fontId="117" fillId="0" borderId="0" xfId="93" applyNumberFormat="1" applyFont="1" applyProtection="1">
      <protection locked="0"/>
    </xf>
    <xf numFmtId="40" fontId="120" fillId="21" borderId="0" xfId="93" applyNumberFormat="1" applyFont="1" applyFill="1" applyProtection="1">
      <protection locked="0"/>
    </xf>
    <xf numFmtId="40" fontId="120" fillId="0" borderId="0" xfId="93" applyNumberFormat="1" applyFont="1" applyProtection="1">
      <protection locked="0"/>
    </xf>
    <xf numFmtId="170" fontId="120" fillId="0" borderId="0" xfId="94" applyNumberFormat="1" applyFont="1" applyProtection="1">
      <protection locked="0"/>
    </xf>
    <xf numFmtId="0" fontId="127" fillId="0" borderId="0" xfId="93" applyFont="1" applyProtection="1">
      <protection locked="0"/>
    </xf>
    <xf numFmtId="40" fontId="127" fillId="0" borderId="80" xfId="93" applyNumberFormat="1" applyFont="1" applyBorder="1" applyProtection="1">
      <protection locked="0"/>
    </xf>
    <xf numFmtId="170" fontId="119" fillId="0" borderId="80" xfId="94" applyNumberFormat="1" applyFont="1" applyBorder="1" applyProtection="1">
      <protection locked="0"/>
    </xf>
    <xf numFmtId="0" fontId="127" fillId="21" borderId="80" xfId="93" applyFont="1" applyFill="1" applyBorder="1" applyAlignment="1" applyProtection="1">
      <alignment horizontal="left"/>
      <protection locked="0"/>
    </xf>
    <xf numFmtId="0" fontId="128" fillId="21" borderId="80" xfId="93" applyFont="1" applyFill="1" applyBorder="1" applyProtection="1">
      <protection locked="0"/>
    </xf>
    <xf numFmtId="170" fontId="128" fillId="21" borderId="80" xfId="94" applyNumberFormat="1" applyFont="1" applyFill="1" applyBorder="1" applyProtection="1">
      <protection locked="0"/>
    </xf>
    <xf numFmtId="0" fontId="128" fillId="21" borderId="0" xfId="93" applyFont="1" applyFill="1" applyProtection="1">
      <protection locked="0"/>
    </xf>
    <xf numFmtId="0" fontId="127" fillId="0" borderId="0" xfId="93" applyFont="1" applyAlignment="1" applyProtection="1">
      <alignment horizontal="left"/>
      <protection locked="0"/>
    </xf>
    <xf numFmtId="0" fontId="118" fillId="0" borderId="0" xfId="93" applyFont="1" applyProtection="1">
      <protection locked="0"/>
    </xf>
    <xf numFmtId="40" fontId="121" fillId="0" borderId="34" xfId="93" applyNumberFormat="1" applyFont="1" applyBorder="1" applyProtection="1">
      <protection locked="0"/>
    </xf>
    <xf numFmtId="40" fontId="120" fillId="21" borderId="80" xfId="93" applyNumberFormat="1" applyFont="1" applyFill="1" applyBorder="1" applyProtection="1">
      <protection locked="0"/>
    </xf>
    <xf numFmtId="0" fontId="120" fillId="21" borderId="80" xfId="93" applyFont="1" applyFill="1" applyBorder="1" applyProtection="1">
      <protection locked="0"/>
    </xf>
    <xf numFmtId="170" fontId="120" fillId="21" borderId="80" xfId="94" applyNumberFormat="1" applyFont="1" applyFill="1" applyBorder="1" applyProtection="1">
      <protection locked="0"/>
    </xf>
    <xf numFmtId="0" fontId="120" fillId="21" borderId="0" xfId="93" applyFont="1" applyFill="1" applyProtection="1">
      <protection locked="0"/>
    </xf>
    <xf numFmtId="170" fontId="127" fillId="0" borderId="80" xfId="94" applyNumberFormat="1" applyFont="1" applyBorder="1" applyProtection="1">
      <protection locked="0"/>
    </xf>
    <xf numFmtId="40" fontId="122" fillId="21" borderId="0" xfId="93" applyNumberFormat="1" applyFont="1" applyFill="1" applyProtection="1">
      <protection locked="0"/>
    </xf>
    <xf numFmtId="40" fontId="122" fillId="0" borderId="0" xfId="93" applyNumberFormat="1" applyFont="1" applyProtection="1">
      <protection locked="0"/>
    </xf>
    <xf numFmtId="170" fontId="117" fillId="0" borderId="0" xfId="94" applyNumberFormat="1" applyFont="1" applyProtection="1">
      <protection locked="0"/>
    </xf>
    <xf numFmtId="170" fontId="122" fillId="21" borderId="0" xfId="94" applyNumberFormat="1" applyFont="1" applyFill="1" applyProtection="1">
      <protection locked="0"/>
    </xf>
    <xf numFmtId="170" fontId="122" fillId="0" borderId="0" xfId="94" applyNumberFormat="1" applyFont="1" applyProtection="1">
      <protection locked="0"/>
    </xf>
    <xf numFmtId="0" fontId="129" fillId="21" borderId="0" xfId="93" applyFont="1" applyFill="1" applyProtection="1">
      <protection locked="0"/>
    </xf>
    <xf numFmtId="0" fontId="129" fillId="0" borderId="80" xfId="93" applyFont="1" applyBorder="1" applyAlignment="1" applyProtection="1">
      <alignment horizontal="left"/>
      <protection locked="0"/>
    </xf>
    <xf numFmtId="0" fontId="129" fillId="21" borderId="80" xfId="93" applyFont="1" applyFill="1" applyBorder="1" applyProtection="1">
      <protection locked="0"/>
    </xf>
    <xf numFmtId="0" fontId="130" fillId="21" borderId="80" xfId="93" applyFont="1" applyFill="1" applyBorder="1" applyProtection="1">
      <protection locked="0"/>
    </xf>
    <xf numFmtId="170" fontId="130" fillId="21" borderId="80" xfId="94" applyNumberFormat="1" applyFont="1" applyFill="1" applyBorder="1" applyProtection="1">
      <protection locked="0"/>
    </xf>
    <xf numFmtId="0" fontId="130" fillId="21" borderId="0" xfId="93" applyFont="1" applyFill="1" applyProtection="1">
      <protection locked="0"/>
    </xf>
    <xf numFmtId="170" fontId="128" fillId="36" borderId="80" xfId="94" applyNumberFormat="1" applyFont="1" applyFill="1" applyBorder="1" applyProtection="1">
      <protection locked="0"/>
    </xf>
    <xf numFmtId="170" fontId="121" fillId="21" borderId="34" xfId="94" applyNumberFormat="1" applyFont="1" applyFill="1" applyBorder="1" applyProtection="1">
      <protection locked="0"/>
    </xf>
    <xf numFmtId="170" fontId="121" fillId="0" borderId="34" xfId="94" applyNumberFormat="1" applyFont="1" applyBorder="1" applyProtection="1">
      <protection locked="0"/>
    </xf>
    <xf numFmtId="170" fontId="122" fillId="0" borderId="0" xfId="93" applyNumberFormat="1" applyFont="1" applyProtection="1">
      <protection locked="0"/>
    </xf>
    <xf numFmtId="0" fontId="117" fillId="21" borderId="0" xfId="93" applyFont="1" applyFill="1" applyProtection="1">
      <protection locked="0"/>
    </xf>
    <xf numFmtId="0" fontId="117" fillId="21" borderId="80" xfId="93" applyFont="1" applyFill="1" applyBorder="1" applyAlignment="1" applyProtection="1">
      <alignment horizontal="left"/>
      <protection locked="0"/>
    </xf>
    <xf numFmtId="0" fontId="117" fillId="21" borderId="80" xfId="93" applyFont="1" applyFill="1" applyBorder="1" applyProtection="1">
      <protection locked="0"/>
    </xf>
    <xf numFmtId="170" fontId="122" fillId="21" borderId="34" xfId="94" applyNumberFormat="1" applyFont="1" applyFill="1" applyBorder="1" applyProtection="1">
      <protection locked="0"/>
    </xf>
    <xf numFmtId="0" fontId="122" fillId="0" borderId="0" xfId="93" applyFont="1" applyProtection="1">
      <protection locked="0"/>
    </xf>
    <xf numFmtId="170" fontId="121" fillId="21" borderId="47" xfId="94" applyNumberFormat="1" applyFont="1" applyFill="1" applyBorder="1" applyProtection="1">
      <protection locked="0"/>
    </xf>
    <xf numFmtId="170" fontId="121" fillId="0" borderId="47" xfId="94" applyNumberFormat="1" applyFont="1" applyBorder="1" applyProtection="1">
      <protection locked="0"/>
    </xf>
    <xf numFmtId="170" fontId="122" fillId="21" borderId="0" xfId="93" applyNumberFormat="1" applyFont="1" applyFill="1" applyProtection="1">
      <protection locked="0"/>
    </xf>
    <xf numFmtId="2" fontId="122" fillId="21" borderId="34" xfId="93" applyNumberFormat="1" applyFont="1" applyFill="1" applyBorder="1" applyProtection="1">
      <protection locked="0"/>
    </xf>
    <xf numFmtId="4" fontId="122" fillId="21" borderId="0" xfId="93" applyNumberFormat="1" applyFont="1" applyFill="1" applyProtection="1">
      <protection locked="0"/>
    </xf>
    <xf numFmtId="4" fontId="122" fillId="0" borderId="0" xfId="93" applyNumberFormat="1" applyFont="1" applyProtection="1">
      <protection locked="0"/>
    </xf>
    <xf numFmtId="170" fontId="120" fillId="21" borderId="0" xfId="94" applyNumberFormat="1" applyFont="1" applyFill="1" applyProtection="1">
      <protection locked="0"/>
    </xf>
    <xf numFmtId="0" fontId="129" fillId="36" borderId="0" xfId="93" applyFont="1" applyFill="1" applyProtection="1">
      <protection locked="0"/>
    </xf>
    <xf numFmtId="0" fontId="129" fillId="36" borderId="80" xfId="93" applyFont="1" applyFill="1" applyBorder="1" applyAlignment="1" applyProtection="1">
      <alignment horizontal="left"/>
      <protection locked="0"/>
    </xf>
    <xf numFmtId="0" fontId="129" fillId="36" borderId="80" xfId="93" applyFont="1" applyFill="1" applyBorder="1" applyProtection="1">
      <protection locked="0"/>
    </xf>
    <xf numFmtId="0" fontId="130" fillId="36" borderId="80" xfId="93" applyFont="1" applyFill="1" applyBorder="1" applyProtection="1">
      <protection locked="0"/>
    </xf>
    <xf numFmtId="40" fontId="130" fillId="36" borderId="80" xfId="93" applyNumberFormat="1" applyFont="1" applyFill="1" applyBorder="1" applyProtection="1">
      <protection locked="0"/>
    </xf>
    <xf numFmtId="170" fontId="130" fillId="36" borderId="80" xfId="94" applyNumberFormat="1" applyFont="1" applyFill="1" applyBorder="1" applyProtection="1">
      <protection locked="0"/>
    </xf>
    <xf numFmtId="0" fontId="130" fillId="36" borderId="0" xfId="93" applyFont="1" applyFill="1" applyProtection="1">
      <protection locked="0"/>
    </xf>
    <xf numFmtId="170" fontId="131" fillId="21" borderId="80" xfId="94" applyNumberFormat="1" applyFont="1" applyFill="1" applyBorder="1" applyProtection="1">
      <protection locked="0"/>
    </xf>
    <xf numFmtId="170" fontId="121" fillId="21" borderId="0" xfId="94" applyNumberFormat="1" applyFont="1" applyFill="1" applyProtection="1">
      <protection locked="0"/>
    </xf>
    <xf numFmtId="170" fontId="121" fillId="0" borderId="0" xfId="94" applyNumberFormat="1" applyFont="1" applyProtection="1">
      <protection locked="0"/>
    </xf>
    <xf numFmtId="0" fontId="129" fillId="21" borderId="80" xfId="93" applyFont="1" applyFill="1" applyBorder="1" applyAlignment="1" applyProtection="1">
      <alignment horizontal="left"/>
      <protection locked="0"/>
    </xf>
    <xf numFmtId="0" fontId="122" fillId="21" borderId="0" xfId="93" applyFont="1" applyFill="1" applyProtection="1">
      <protection locked="0"/>
    </xf>
    <xf numFmtId="0" fontId="121" fillId="21" borderId="0" xfId="93" applyFont="1" applyFill="1" applyProtection="1">
      <protection locked="0"/>
    </xf>
    <xf numFmtId="40" fontId="121" fillId="21" borderId="47" xfId="93" applyNumberFormat="1" applyFont="1" applyFill="1" applyBorder="1" applyProtection="1">
      <protection locked="0"/>
    </xf>
    <xf numFmtId="170" fontId="120" fillId="21" borderId="0" xfId="93" applyNumberFormat="1" applyFont="1" applyFill="1" applyProtection="1">
      <protection locked="0"/>
    </xf>
    <xf numFmtId="171" fontId="120" fillId="21" borderId="80" xfId="94" applyNumberFormat="1" applyFont="1" applyFill="1" applyBorder="1" applyProtection="1">
      <protection locked="0"/>
    </xf>
    <xf numFmtId="171" fontId="128" fillId="21" borderId="80" xfId="94" applyNumberFormat="1" applyFont="1" applyFill="1" applyBorder="1" applyProtection="1">
      <protection locked="0"/>
    </xf>
    <xf numFmtId="171" fontId="127" fillId="21" borderId="80" xfId="94" applyNumberFormat="1" applyFont="1" applyFill="1" applyBorder="1" applyProtection="1">
      <protection locked="0"/>
    </xf>
    <xf numFmtId="0" fontId="121" fillId="21" borderId="0" xfId="93" applyFont="1" applyFill="1" applyAlignment="1" applyProtection="1">
      <alignment horizontal="left"/>
      <protection locked="0"/>
    </xf>
    <xf numFmtId="0" fontId="118" fillId="21" borderId="0" xfId="93" applyFont="1" applyFill="1" applyProtection="1">
      <protection locked="0"/>
    </xf>
    <xf numFmtId="170" fontId="119" fillId="21" borderId="80" xfId="94" applyNumberFormat="1" applyFont="1" applyFill="1" applyBorder="1" applyProtection="1">
      <protection locked="0"/>
    </xf>
    <xf numFmtId="171" fontId="119" fillId="21" borderId="80" xfId="94" applyNumberFormat="1" applyFont="1" applyFill="1" applyBorder="1" applyProtection="1">
      <protection locked="0"/>
    </xf>
    <xf numFmtId="0" fontId="119" fillId="21" borderId="0" xfId="93" applyFont="1" applyFill="1" applyProtection="1">
      <protection locked="0"/>
    </xf>
    <xf numFmtId="40" fontId="121" fillId="21" borderId="0" xfId="93" applyNumberFormat="1" applyFont="1" applyFill="1" applyProtection="1">
      <protection locked="0"/>
    </xf>
    <xf numFmtId="170" fontId="121" fillId="21" borderId="28" xfId="94" applyNumberFormat="1" applyFont="1" applyFill="1" applyBorder="1" applyProtection="1">
      <protection locked="0"/>
    </xf>
    <xf numFmtId="170" fontId="117" fillId="21" borderId="0" xfId="94" applyNumberFormat="1" applyFont="1" applyFill="1" applyProtection="1">
      <protection locked="0"/>
    </xf>
    <xf numFmtId="0" fontId="132" fillId="0" borderId="0" xfId="93" applyFont="1" applyAlignment="1" applyProtection="1">
      <alignment horizontal="left"/>
      <protection locked="0"/>
    </xf>
    <xf numFmtId="170" fontId="117" fillId="21" borderId="80" xfId="94" applyNumberFormat="1" applyFont="1" applyFill="1" applyBorder="1" applyProtection="1">
      <protection locked="0"/>
    </xf>
    <xf numFmtId="40" fontId="119" fillId="21" borderId="80" xfId="93" applyNumberFormat="1" applyFont="1" applyFill="1" applyBorder="1" applyProtection="1">
      <protection locked="0"/>
    </xf>
    <xf numFmtId="170" fontId="129" fillId="21" borderId="80" xfId="94" applyNumberFormat="1" applyFont="1" applyFill="1" applyBorder="1" applyProtection="1">
      <protection locked="0"/>
    </xf>
    <xf numFmtId="170" fontId="121" fillId="21" borderId="0" xfId="93" applyNumberFormat="1" applyFont="1" applyFill="1" applyProtection="1">
      <protection locked="0"/>
    </xf>
    <xf numFmtId="170" fontId="121" fillId="21" borderId="34" xfId="93" applyNumberFormat="1" applyFont="1" applyFill="1" applyBorder="1" applyProtection="1">
      <protection locked="0"/>
    </xf>
    <xf numFmtId="0" fontId="129" fillId="0" borderId="80" xfId="93" applyFont="1" applyBorder="1" applyProtection="1">
      <protection locked="0"/>
    </xf>
    <xf numFmtId="40" fontId="121" fillId="0" borderId="0" xfId="93" applyNumberFormat="1" applyFont="1" applyProtection="1">
      <protection locked="0"/>
    </xf>
    <xf numFmtId="170" fontId="121" fillId="0" borderId="28" xfId="94" applyNumberFormat="1" applyFont="1" applyBorder="1" applyProtection="1">
      <protection locked="0"/>
    </xf>
    <xf numFmtId="0" fontId="117" fillId="37" borderId="0" xfId="93" applyFont="1" applyFill="1" applyProtection="1">
      <protection locked="0"/>
    </xf>
    <xf numFmtId="0" fontId="117" fillId="37" borderId="80" xfId="93" applyFont="1" applyFill="1" applyBorder="1" applyAlignment="1" applyProtection="1">
      <alignment horizontal="left"/>
      <protection locked="0"/>
    </xf>
    <xf numFmtId="0" fontId="117" fillId="37" borderId="80" xfId="93" applyFont="1" applyFill="1" applyBorder="1" applyProtection="1">
      <protection locked="0"/>
    </xf>
    <xf numFmtId="0" fontId="120" fillId="37" borderId="80" xfId="93" applyFont="1" applyFill="1" applyBorder="1" applyProtection="1">
      <protection locked="0"/>
    </xf>
    <xf numFmtId="170" fontId="120" fillId="37" borderId="80" xfId="94" applyNumberFormat="1" applyFont="1" applyFill="1" applyBorder="1" applyProtection="1">
      <protection locked="0"/>
    </xf>
    <xf numFmtId="0" fontId="122" fillId="37" borderId="0" xfId="93" applyFont="1" applyFill="1" applyProtection="1">
      <protection locked="0"/>
    </xf>
    <xf numFmtId="0" fontId="118" fillId="0" borderId="0" xfId="93" applyFont="1" applyAlignment="1" applyProtection="1">
      <alignment horizontal="left"/>
      <protection locked="0"/>
    </xf>
    <xf numFmtId="170" fontId="118" fillId="21" borderId="92" xfId="94" applyNumberFormat="1" applyFont="1" applyFill="1" applyBorder="1" applyProtection="1">
      <protection locked="0"/>
    </xf>
    <xf numFmtId="170" fontId="118" fillId="0" borderId="92" xfId="94" applyNumberFormat="1" applyFont="1" applyBorder="1" applyProtection="1">
      <protection locked="0"/>
    </xf>
    <xf numFmtId="0" fontId="127" fillId="21" borderId="91" xfId="93" applyFont="1" applyFill="1" applyBorder="1" applyAlignment="1" applyProtection="1">
      <alignment horizontal="left"/>
      <protection locked="0"/>
    </xf>
    <xf numFmtId="0" fontId="127" fillId="21" borderId="91" xfId="93" applyFont="1" applyFill="1" applyBorder="1" applyProtection="1">
      <protection locked="0"/>
    </xf>
    <xf numFmtId="0" fontId="128" fillId="21" borderId="91" xfId="93" applyFont="1" applyFill="1" applyBorder="1" applyProtection="1">
      <protection locked="0"/>
    </xf>
    <xf numFmtId="170" fontId="128" fillId="21" borderId="91" xfId="94" applyNumberFormat="1" applyFont="1" applyFill="1" applyBorder="1" applyProtection="1">
      <protection locked="0"/>
    </xf>
    <xf numFmtId="0" fontId="126" fillId="0" borderId="80" xfId="93" applyFont="1" applyBorder="1" applyAlignment="1" applyProtection="1">
      <alignment horizontal="left"/>
      <protection locked="0"/>
    </xf>
    <xf numFmtId="0" fontId="121" fillId="0" borderId="80" xfId="93" applyFont="1" applyBorder="1" applyAlignment="1" applyProtection="1">
      <alignment horizontal="left"/>
      <protection locked="0"/>
    </xf>
    <xf numFmtId="40" fontId="121" fillId="21" borderId="80" xfId="93" applyNumberFormat="1" applyFont="1" applyFill="1" applyBorder="1" applyProtection="1">
      <protection locked="0"/>
    </xf>
    <xf numFmtId="40" fontId="121" fillId="0" borderId="80" xfId="93" applyNumberFormat="1" applyFont="1" applyBorder="1" applyProtection="1">
      <protection locked="0"/>
    </xf>
    <xf numFmtId="0" fontId="121" fillId="0" borderId="7" xfId="93" applyFont="1" applyBorder="1" applyAlignment="1" applyProtection="1">
      <alignment horizontal="left"/>
      <protection locked="0"/>
    </xf>
    <xf numFmtId="0" fontId="133" fillId="0" borderId="0" xfId="93" applyFont="1" applyProtection="1">
      <protection locked="0"/>
    </xf>
    <xf numFmtId="0" fontId="117" fillId="44" borderId="0" xfId="93" applyFont="1" applyFill="1" applyProtection="1">
      <protection locked="0"/>
    </xf>
    <xf numFmtId="0" fontId="117" fillId="44" borderId="80" xfId="93" applyFont="1" applyFill="1" applyBorder="1" applyAlignment="1" applyProtection="1">
      <alignment horizontal="left"/>
      <protection locked="0"/>
    </xf>
    <xf numFmtId="0" fontId="117" fillId="44" borderId="80" xfId="93" applyFont="1" applyFill="1" applyBorder="1" applyProtection="1">
      <protection locked="0"/>
    </xf>
    <xf numFmtId="0" fontId="120" fillId="44" borderId="80" xfId="93" applyFont="1" applyFill="1" applyBorder="1" applyProtection="1">
      <protection locked="0"/>
    </xf>
    <xf numFmtId="170" fontId="120" fillId="44" borderId="80" xfId="94" applyNumberFormat="1" applyFont="1" applyFill="1" applyBorder="1" applyProtection="1">
      <protection locked="0"/>
    </xf>
    <xf numFmtId="0" fontId="122" fillId="44" borderId="0" xfId="93" applyFont="1" applyFill="1" applyProtection="1">
      <protection locked="0"/>
    </xf>
    <xf numFmtId="171" fontId="122" fillId="0" borderId="34" xfId="94" applyNumberFormat="1" applyFont="1" applyBorder="1" applyProtection="1">
      <protection locked="0"/>
    </xf>
    <xf numFmtId="170" fontId="117" fillId="0" borderId="0" xfId="93" applyNumberFormat="1" applyFont="1" applyProtection="1">
      <protection locked="0"/>
    </xf>
    <xf numFmtId="170" fontId="117" fillId="0" borderId="0" xfId="93" applyNumberFormat="1" applyFont="1" applyAlignment="1" applyProtection="1">
      <alignment horizontal="left"/>
      <protection locked="0"/>
    </xf>
    <xf numFmtId="170" fontId="120" fillId="0" borderId="0" xfId="93" applyNumberFormat="1" applyFont="1" applyProtection="1">
      <protection locked="0"/>
    </xf>
    <xf numFmtId="9" fontId="117" fillId="0" borderId="0" xfId="257" applyFont="1" applyProtection="1">
      <protection locked="0"/>
    </xf>
    <xf numFmtId="169" fontId="117" fillId="0" borderId="0" xfId="94" applyNumberFormat="1" applyFont="1" applyAlignment="1" applyProtection="1">
      <alignment horizontal="left"/>
      <protection locked="0"/>
    </xf>
    <xf numFmtId="170" fontId="75" fillId="21" borderId="0" xfId="93" applyNumberFormat="1" applyFont="1" applyFill="1" applyProtection="1">
      <protection locked="0"/>
    </xf>
    <xf numFmtId="40" fontId="79" fillId="21" borderId="26" xfId="93" applyNumberFormat="1" applyFont="1" applyFill="1" applyBorder="1" applyProtection="1">
      <protection locked="0"/>
    </xf>
    <xf numFmtId="40" fontId="79" fillId="21" borderId="22" xfId="93" applyNumberFormat="1" applyFont="1" applyFill="1" applyBorder="1" applyProtection="1">
      <protection locked="0"/>
    </xf>
    <xf numFmtId="40" fontId="79" fillId="21" borderId="25" xfId="93" applyNumberFormat="1" applyFont="1" applyFill="1" applyBorder="1" applyProtection="1">
      <protection locked="0"/>
    </xf>
    <xf numFmtId="40" fontId="78" fillId="21" borderId="45" xfId="93" applyNumberFormat="1" applyFont="1" applyFill="1" applyBorder="1" applyAlignment="1" applyProtection="1">
      <alignment horizontal="left"/>
      <protection locked="0"/>
    </xf>
    <xf numFmtId="168" fontId="32" fillId="0" borderId="46" xfId="109" applyFont="1" applyBorder="1"/>
    <xf numFmtId="0" fontId="75" fillId="16" borderId="0" xfId="93" applyFont="1" applyFill="1" applyProtection="1">
      <protection locked="0"/>
    </xf>
    <xf numFmtId="0" fontId="136" fillId="21" borderId="0" xfId="93" applyFont="1" applyFill="1" applyAlignment="1" applyProtection="1">
      <alignment horizontal="left"/>
      <protection locked="0"/>
    </xf>
    <xf numFmtId="0" fontId="136" fillId="16" borderId="0" xfId="93" applyFont="1" applyFill="1" applyProtection="1">
      <protection locked="0"/>
    </xf>
    <xf numFmtId="0" fontId="137" fillId="0" borderId="0" xfId="93" applyFont="1" applyProtection="1">
      <protection locked="0"/>
    </xf>
    <xf numFmtId="0" fontId="137" fillId="16" borderId="0" xfId="93" applyFont="1" applyFill="1" applyProtection="1">
      <protection locked="0"/>
    </xf>
    <xf numFmtId="0" fontId="79" fillId="16" borderId="0" xfId="93" applyFont="1" applyFill="1" applyProtection="1">
      <protection locked="0"/>
    </xf>
    <xf numFmtId="170" fontId="138" fillId="16" borderId="0" xfId="93" applyNumberFormat="1" applyFont="1" applyFill="1" applyProtection="1">
      <protection locked="0"/>
    </xf>
    <xf numFmtId="0" fontId="88" fillId="0" borderId="0" xfId="93" applyFont="1" applyAlignment="1" applyProtection="1">
      <alignment horizontal="left"/>
      <protection locked="0"/>
    </xf>
    <xf numFmtId="170" fontId="137" fillId="16" borderId="0" xfId="93" applyNumberFormat="1" applyFont="1" applyFill="1" applyProtection="1">
      <protection locked="0"/>
    </xf>
    <xf numFmtId="9" fontId="137" fillId="16" borderId="0" xfId="257" applyFont="1" applyFill="1" applyProtection="1">
      <protection locked="0"/>
    </xf>
    <xf numFmtId="0" fontId="139" fillId="0" borderId="0" xfId="93" applyFont="1" applyProtection="1">
      <protection locked="0"/>
    </xf>
    <xf numFmtId="0" fontId="140" fillId="33" borderId="0" xfId="93" applyFont="1" applyFill="1" applyAlignment="1" applyProtection="1">
      <alignment horizontal="left"/>
      <protection locked="0"/>
    </xf>
    <xf numFmtId="0" fontId="75" fillId="0" borderId="0" xfId="93" applyFont="1" applyAlignment="1" applyProtection="1">
      <alignment horizontal="left"/>
      <protection locked="0"/>
    </xf>
    <xf numFmtId="170" fontId="79" fillId="16" borderId="0" xfId="93" applyNumberFormat="1" applyFont="1" applyFill="1" applyProtection="1">
      <protection locked="0"/>
    </xf>
    <xf numFmtId="9" fontId="79" fillId="16" borderId="0" xfId="257" applyFont="1" applyFill="1" applyProtection="1">
      <protection locked="0"/>
    </xf>
    <xf numFmtId="0" fontId="75" fillId="16" borderId="0" xfId="93" applyFont="1" applyFill="1" applyAlignment="1" applyProtection="1">
      <alignment horizontal="center"/>
      <protection locked="0"/>
    </xf>
    <xf numFmtId="0" fontId="139" fillId="0" borderId="0" xfId="93" applyFont="1" applyAlignment="1" applyProtection="1">
      <alignment horizontal="left"/>
      <protection locked="0"/>
    </xf>
    <xf numFmtId="0" fontId="139" fillId="16" borderId="0" xfId="93" applyFont="1" applyFill="1" applyAlignment="1" applyProtection="1">
      <alignment horizontal="center"/>
      <protection locked="0"/>
    </xf>
    <xf numFmtId="9" fontId="80" fillId="16" borderId="0" xfId="257" applyFont="1" applyFill="1" applyAlignment="1" applyProtection="1">
      <alignment horizontal="center" wrapText="1"/>
      <protection locked="0"/>
    </xf>
    <xf numFmtId="170" fontId="80" fillId="6" borderId="89" xfId="93" applyNumberFormat="1" applyFont="1" applyFill="1" applyBorder="1" applyAlignment="1" applyProtection="1">
      <alignment horizontal="center"/>
      <protection locked="0"/>
    </xf>
    <xf numFmtId="170" fontId="80" fillId="6" borderId="73" xfId="93" applyNumberFormat="1" applyFont="1" applyFill="1" applyBorder="1" applyAlignment="1" applyProtection="1">
      <alignment horizontal="center"/>
      <protection locked="0"/>
    </xf>
    <xf numFmtId="170" fontId="80" fillId="6" borderId="74" xfId="93" applyNumberFormat="1" applyFont="1" applyFill="1" applyBorder="1" applyAlignment="1" applyProtection="1">
      <alignment horizontal="center"/>
      <protection locked="0"/>
    </xf>
    <xf numFmtId="170" fontId="80" fillId="13" borderId="74" xfId="93" applyNumberFormat="1" applyFont="1" applyFill="1" applyBorder="1" applyAlignment="1" applyProtection="1">
      <alignment horizontal="center"/>
      <protection locked="0"/>
    </xf>
    <xf numFmtId="170" fontId="80" fillId="17" borderId="74" xfId="93" applyNumberFormat="1" applyFont="1" applyFill="1" applyBorder="1" applyAlignment="1" applyProtection="1">
      <alignment horizontal="center"/>
      <protection locked="0"/>
    </xf>
    <xf numFmtId="170" fontId="80" fillId="3" borderId="74" xfId="93" applyNumberFormat="1" applyFont="1" applyFill="1" applyBorder="1" applyAlignment="1" applyProtection="1">
      <alignment horizontal="center"/>
      <protection locked="0"/>
    </xf>
    <xf numFmtId="170" fontId="143" fillId="16" borderId="74" xfId="93" applyNumberFormat="1" applyFont="1" applyFill="1" applyBorder="1" applyAlignment="1" applyProtection="1">
      <alignment horizontal="center" vertical="center" wrapText="1"/>
      <protection locked="0"/>
    </xf>
    <xf numFmtId="0" fontId="79" fillId="16" borderId="62" xfId="93" applyFont="1" applyFill="1" applyBorder="1" applyAlignment="1" applyProtection="1">
      <alignment horizontal="center"/>
      <protection locked="0"/>
    </xf>
    <xf numFmtId="170" fontId="80" fillId="16" borderId="76" xfId="93" applyNumberFormat="1" applyFont="1" applyFill="1" applyBorder="1" applyAlignment="1" applyProtection="1">
      <alignment horizontal="center"/>
      <protection locked="0"/>
    </xf>
    <xf numFmtId="170" fontId="80" fillId="23" borderId="74" xfId="93" applyNumberFormat="1" applyFont="1" applyFill="1" applyBorder="1" applyAlignment="1" applyProtection="1">
      <alignment horizontal="center"/>
      <protection locked="0"/>
    </xf>
    <xf numFmtId="170" fontId="80" fillId="16" borderId="74" xfId="93" applyNumberFormat="1" applyFont="1" applyFill="1" applyBorder="1" applyAlignment="1" applyProtection="1">
      <alignment horizontal="center"/>
      <protection locked="0"/>
    </xf>
    <xf numFmtId="170" fontId="80" fillId="16" borderId="74" xfId="93" applyNumberFormat="1" applyFont="1" applyFill="1" applyBorder="1" applyAlignment="1" applyProtection="1">
      <alignment horizontal="center" vertical="center" wrapText="1"/>
      <protection locked="0"/>
    </xf>
    <xf numFmtId="170" fontId="80" fillId="16" borderId="77" xfId="93" applyNumberFormat="1" applyFont="1" applyFill="1" applyBorder="1" applyAlignment="1" applyProtection="1">
      <alignment horizontal="center" vertical="center" wrapText="1"/>
      <protection locked="0"/>
    </xf>
    <xf numFmtId="170" fontId="80" fillId="16" borderId="78" xfId="93" applyNumberFormat="1" applyFont="1" applyFill="1" applyBorder="1" applyAlignment="1" applyProtection="1">
      <alignment horizontal="center" wrapText="1"/>
      <protection locked="0"/>
    </xf>
    <xf numFmtId="170" fontId="80" fillId="16" borderId="77" xfId="93" applyNumberFormat="1" applyFont="1" applyFill="1" applyBorder="1" applyAlignment="1" applyProtection="1">
      <alignment horizontal="center" wrapText="1"/>
      <protection locked="0"/>
    </xf>
    <xf numFmtId="0" fontId="79" fillId="16" borderId="0" xfId="93" applyFont="1" applyFill="1" applyAlignment="1" applyProtection="1">
      <alignment horizontal="center"/>
      <protection locked="0"/>
    </xf>
    <xf numFmtId="170" fontId="80" fillId="16" borderId="81" xfId="93" applyNumberFormat="1" applyFont="1" applyFill="1" applyBorder="1" applyAlignment="1" applyProtection="1">
      <alignment horizontal="center"/>
      <protection locked="0"/>
    </xf>
    <xf numFmtId="170" fontId="80" fillId="16" borderId="73" xfId="93" applyNumberFormat="1" applyFont="1" applyFill="1" applyBorder="1" applyAlignment="1" applyProtection="1">
      <alignment horizontal="center"/>
      <protection locked="0"/>
    </xf>
    <xf numFmtId="9" fontId="86" fillId="11" borderId="90" xfId="257" applyFont="1" applyFill="1" applyBorder="1" applyAlignment="1" applyProtection="1">
      <alignment horizontal="center"/>
      <protection locked="0"/>
    </xf>
    <xf numFmtId="9" fontId="86" fillId="11" borderId="84" xfId="257" applyFont="1" applyFill="1" applyBorder="1" applyAlignment="1" applyProtection="1">
      <alignment horizontal="center"/>
      <protection locked="0"/>
    </xf>
    <xf numFmtId="9" fontId="86" fillId="11" borderId="85" xfId="257" applyFont="1" applyFill="1" applyBorder="1" applyAlignment="1" applyProtection="1">
      <alignment horizontal="center"/>
      <protection locked="0"/>
    </xf>
    <xf numFmtId="0" fontId="88" fillId="0" borderId="83" xfId="93" applyFont="1" applyBorder="1" applyAlignment="1" applyProtection="1">
      <alignment horizontal="left" vertical="center"/>
      <protection locked="0"/>
    </xf>
    <xf numFmtId="0" fontId="88" fillId="16" borderId="84" xfId="93" applyFont="1" applyFill="1" applyBorder="1" applyAlignment="1" applyProtection="1">
      <alignment horizontal="center" vertical="center"/>
      <protection locked="0"/>
    </xf>
    <xf numFmtId="166" fontId="71" fillId="28" borderId="84" xfId="94" applyFont="1" applyFill="1" applyBorder="1" applyAlignment="1">
      <alignment horizontal="center" vertical="center" wrapText="1"/>
    </xf>
    <xf numFmtId="9" fontId="80" fillId="16" borderId="71" xfId="257" applyFont="1" applyFill="1" applyBorder="1" applyAlignment="1" applyProtection="1">
      <alignment horizontal="center" vertical="center" wrapText="1"/>
      <protection locked="0"/>
    </xf>
    <xf numFmtId="170" fontId="80" fillId="6" borderId="40" xfId="93" applyNumberFormat="1" applyFont="1" applyFill="1" applyBorder="1" applyAlignment="1" applyProtection="1">
      <alignment horizontal="center"/>
      <protection locked="0"/>
    </xf>
    <xf numFmtId="170" fontId="80" fillId="6" borderId="13" xfId="93" applyNumberFormat="1" applyFont="1" applyFill="1" applyBorder="1" applyAlignment="1" applyProtection="1">
      <alignment horizontal="center"/>
      <protection locked="0"/>
    </xf>
    <xf numFmtId="170" fontId="80" fillId="13" borderId="13" xfId="93" applyNumberFormat="1" applyFont="1" applyFill="1" applyBorder="1" applyAlignment="1" applyProtection="1">
      <alignment horizontal="center"/>
      <protection locked="0"/>
    </xf>
    <xf numFmtId="170" fontId="80" fillId="17" borderId="13" xfId="93" applyNumberFormat="1" applyFont="1" applyFill="1" applyBorder="1" applyAlignment="1" applyProtection="1">
      <alignment horizontal="center"/>
      <protection locked="0"/>
    </xf>
    <xf numFmtId="170" fontId="80" fillId="3" borderId="13" xfId="93" applyNumberFormat="1" applyFont="1" applyFill="1" applyBorder="1" applyAlignment="1" applyProtection="1">
      <alignment horizontal="center"/>
      <protection locked="0"/>
    </xf>
    <xf numFmtId="170" fontId="143" fillId="16" borderId="13" xfId="93" applyNumberFormat="1" applyFont="1" applyFill="1" applyBorder="1" applyAlignment="1" applyProtection="1">
      <alignment horizontal="center" vertical="center" wrapText="1"/>
      <protection locked="0"/>
    </xf>
    <xf numFmtId="170" fontId="80" fillId="16" borderId="12" xfId="93" applyNumberFormat="1" applyFont="1" applyFill="1" applyBorder="1" applyAlignment="1" applyProtection="1">
      <alignment horizontal="center"/>
      <protection locked="0"/>
    </xf>
    <xf numFmtId="170" fontId="80" fillId="23" borderId="13" xfId="93" applyNumberFormat="1" applyFont="1" applyFill="1" applyBorder="1" applyAlignment="1" applyProtection="1">
      <alignment horizontal="center"/>
      <protection locked="0"/>
    </xf>
    <xf numFmtId="170" fontId="80" fillId="16" borderId="13" xfId="93" applyNumberFormat="1" applyFont="1" applyFill="1" applyBorder="1" applyAlignment="1" applyProtection="1">
      <alignment horizontal="center"/>
      <protection locked="0"/>
    </xf>
    <xf numFmtId="170" fontId="80" fillId="16" borderId="4" xfId="93" applyNumberFormat="1" applyFont="1" applyFill="1" applyBorder="1" applyAlignment="1" applyProtection="1">
      <alignment horizontal="center"/>
      <protection locked="0"/>
    </xf>
    <xf numFmtId="170" fontId="80" fillId="16" borderId="14" xfId="93" applyNumberFormat="1" applyFont="1" applyFill="1" applyBorder="1" applyAlignment="1" applyProtection="1">
      <alignment horizontal="center" vertical="center" wrapText="1"/>
      <protection locked="0"/>
    </xf>
    <xf numFmtId="170" fontId="80" fillId="16" borderId="4" xfId="93" applyNumberFormat="1" applyFont="1" applyFill="1" applyBorder="1" applyAlignment="1" applyProtection="1">
      <alignment horizontal="center" vertical="center" wrapText="1"/>
      <protection locked="0"/>
    </xf>
    <xf numFmtId="0" fontId="80" fillId="16" borderId="82" xfId="93" applyFont="1" applyFill="1" applyBorder="1" applyAlignment="1" applyProtection="1">
      <alignment horizontal="center"/>
      <protection locked="0"/>
    </xf>
    <xf numFmtId="170" fontId="80" fillId="16" borderId="40" xfId="93" applyNumberFormat="1" applyFont="1" applyFill="1" applyBorder="1" applyAlignment="1" applyProtection="1">
      <alignment horizontal="center"/>
      <protection locked="0"/>
    </xf>
    <xf numFmtId="0" fontId="79" fillId="9" borderId="84" xfId="93" applyFont="1" applyFill="1" applyBorder="1" applyProtection="1">
      <protection locked="0"/>
    </xf>
    <xf numFmtId="0" fontId="139" fillId="9" borderId="84" xfId="93" applyFont="1" applyFill="1" applyBorder="1" applyAlignment="1" applyProtection="1">
      <alignment horizontal="center" vertical="center"/>
      <protection locked="0"/>
    </xf>
    <xf numFmtId="0" fontId="139" fillId="9" borderId="84" xfId="93" applyFont="1" applyFill="1" applyBorder="1" applyAlignment="1" applyProtection="1">
      <alignment vertical="center"/>
      <protection locked="0"/>
    </xf>
    <xf numFmtId="0" fontId="139" fillId="9" borderId="84" xfId="93" applyFont="1" applyFill="1" applyBorder="1" applyAlignment="1" applyProtection="1">
      <alignment horizontal="center" vertical="center" wrapText="1"/>
      <protection locked="0"/>
    </xf>
    <xf numFmtId="0" fontId="139" fillId="9" borderId="85" xfId="93" applyFont="1" applyFill="1" applyBorder="1" applyAlignment="1" applyProtection="1">
      <alignment horizontal="center" wrapText="1"/>
      <protection locked="0"/>
    </xf>
    <xf numFmtId="0" fontId="139" fillId="7" borderId="83" xfId="93" applyFont="1" applyFill="1" applyBorder="1" applyAlignment="1" applyProtection="1">
      <alignment horizontal="center"/>
      <protection locked="0"/>
    </xf>
    <xf numFmtId="0" fontId="139" fillId="7" borderId="84" xfId="93" applyFont="1" applyFill="1" applyBorder="1" applyAlignment="1" applyProtection="1">
      <alignment horizontal="center"/>
      <protection locked="0"/>
    </xf>
    <xf numFmtId="0" fontId="139" fillId="7" borderId="84" xfId="93" applyFont="1" applyFill="1" applyBorder="1" applyAlignment="1" applyProtection="1">
      <alignment horizontal="center" wrapText="1"/>
      <protection locked="0"/>
    </xf>
    <xf numFmtId="9" fontId="86" fillId="11" borderId="86" xfId="257" applyFont="1" applyFill="1" applyBorder="1" applyAlignment="1" applyProtection="1">
      <alignment horizontal="center" vertical="center"/>
      <protection locked="0"/>
    </xf>
    <xf numFmtId="9" fontId="86" fillId="11" borderId="87" xfId="257" applyFont="1" applyFill="1" applyBorder="1" applyAlignment="1" applyProtection="1">
      <alignment horizontal="center" vertical="center" wrapText="1"/>
      <protection locked="0"/>
    </xf>
    <xf numFmtId="9" fontId="86" fillId="11" borderId="88" xfId="257" applyFont="1" applyFill="1" applyBorder="1" applyAlignment="1" applyProtection="1">
      <alignment horizontal="center" vertical="center" wrapText="1"/>
      <protection locked="0"/>
    </xf>
    <xf numFmtId="0" fontId="75" fillId="0" borderId="0" xfId="93" applyFont="1" applyProtection="1">
      <protection locked="0"/>
    </xf>
    <xf numFmtId="0" fontId="136" fillId="0" borderId="0" xfId="93" applyFont="1" applyAlignment="1" applyProtection="1">
      <alignment horizontal="left"/>
      <protection locked="0"/>
    </xf>
    <xf numFmtId="0" fontId="79" fillId="0" borderId="0" xfId="93" applyFont="1" applyProtection="1">
      <protection locked="0"/>
    </xf>
    <xf numFmtId="0" fontId="135" fillId="0" borderId="0" xfId="93" applyFont="1" applyAlignment="1" applyProtection="1">
      <alignment horizontal="left"/>
      <protection locked="0"/>
    </xf>
    <xf numFmtId="170" fontId="79" fillId="0" borderId="0" xfId="93" applyNumberFormat="1" applyFont="1" applyProtection="1">
      <protection locked="0"/>
    </xf>
    <xf numFmtId="40" fontId="79" fillId="21" borderId="33" xfId="93" applyNumberFormat="1" applyFont="1" applyFill="1" applyBorder="1" applyProtection="1">
      <protection locked="0"/>
    </xf>
    <xf numFmtId="40" fontId="79" fillId="21" borderId="30" xfId="93" applyNumberFormat="1" applyFont="1" applyFill="1" applyBorder="1" applyProtection="1">
      <protection locked="0"/>
    </xf>
    <xf numFmtId="40" fontId="79" fillId="21" borderId="31" xfId="93" applyNumberFormat="1" applyFont="1" applyFill="1" applyBorder="1" applyProtection="1">
      <protection locked="0"/>
    </xf>
    <xf numFmtId="40" fontId="79" fillId="21" borderId="32" xfId="93" applyNumberFormat="1" applyFont="1" applyFill="1" applyBorder="1" applyProtection="1">
      <protection locked="0"/>
    </xf>
    <xf numFmtId="40" fontId="79" fillId="21" borderId="29" xfId="93" applyNumberFormat="1" applyFont="1" applyFill="1" applyBorder="1" applyProtection="1">
      <protection locked="0"/>
    </xf>
    <xf numFmtId="0" fontId="139" fillId="21" borderId="80" xfId="93" applyFont="1" applyFill="1" applyBorder="1" applyProtection="1">
      <protection locked="0"/>
    </xf>
    <xf numFmtId="40" fontId="139" fillId="21" borderId="80" xfId="93" applyNumberFormat="1" applyFont="1" applyFill="1" applyBorder="1" applyProtection="1">
      <protection locked="0"/>
    </xf>
    <xf numFmtId="40" fontId="80" fillId="21" borderId="30" xfId="93" applyNumberFormat="1" applyFont="1" applyFill="1" applyBorder="1" applyProtection="1">
      <protection locked="0"/>
    </xf>
    <xf numFmtId="40" fontId="80" fillId="21" borderId="31" xfId="93" applyNumberFormat="1" applyFont="1" applyFill="1" applyBorder="1" applyProtection="1">
      <protection locked="0"/>
    </xf>
    <xf numFmtId="40" fontId="80" fillId="21" borderId="33" xfId="93" applyNumberFormat="1" applyFont="1" applyFill="1" applyBorder="1" applyProtection="1">
      <protection locked="0"/>
    </xf>
    <xf numFmtId="40" fontId="80" fillId="21" borderId="32" xfId="93" applyNumberFormat="1" applyFont="1" applyFill="1" applyBorder="1" applyProtection="1">
      <protection locked="0"/>
    </xf>
    <xf numFmtId="170" fontId="79" fillId="0" borderId="80" xfId="94" applyNumberFormat="1" applyFont="1" applyBorder="1" applyProtection="1">
      <protection locked="0"/>
    </xf>
    <xf numFmtId="9" fontId="79" fillId="0" borderId="80" xfId="93" applyNumberFormat="1" applyFont="1" applyBorder="1" applyProtection="1">
      <protection locked="0"/>
    </xf>
    <xf numFmtId="1" fontId="79" fillId="0" borderId="80" xfId="93" applyNumberFormat="1" applyFont="1" applyBorder="1" applyProtection="1">
      <protection locked="0"/>
    </xf>
    <xf numFmtId="40" fontId="79" fillId="0" borderId="26" xfId="93" applyNumberFormat="1" applyFont="1" applyBorder="1" applyProtection="1">
      <protection locked="0"/>
    </xf>
    <xf numFmtId="0" fontId="139" fillId="0" borderId="80" xfId="93" applyFont="1" applyBorder="1" applyProtection="1">
      <protection locked="0"/>
    </xf>
    <xf numFmtId="40" fontId="79" fillId="0" borderId="0" xfId="93" applyNumberFormat="1" applyFont="1" applyProtection="1">
      <protection locked="0"/>
    </xf>
    <xf numFmtId="9" fontId="79" fillId="0" borderId="0" xfId="93" applyNumberFormat="1" applyFont="1" applyProtection="1">
      <protection locked="0"/>
    </xf>
    <xf numFmtId="9" fontId="71" fillId="0" borderId="0" xfId="257" applyFont="1"/>
    <xf numFmtId="40" fontId="75" fillId="0" borderId="0" xfId="93" applyNumberFormat="1" applyFont="1" applyProtection="1">
      <protection locked="0"/>
    </xf>
    <xf numFmtId="40" fontId="79" fillId="21" borderId="0" xfId="93" applyNumberFormat="1" applyFont="1" applyFill="1" applyProtection="1">
      <protection locked="0"/>
    </xf>
    <xf numFmtId="170" fontId="79" fillId="0" borderId="0" xfId="94" applyNumberFormat="1" applyFont="1" applyProtection="1">
      <protection locked="0"/>
    </xf>
    <xf numFmtId="2" fontId="79" fillId="0" borderId="0" xfId="93" applyNumberFormat="1" applyFont="1" applyProtection="1">
      <protection locked="0"/>
    </xf>
    <xf numFmtId="1" fontId="79" fillId="0" borderId="0" xfId="93" applyNumberFormat="1" applyFont="1" applyProtection="1">
      <protection locked="0"/>
    </xf>
    <xf numFmtId="0" fontId="76" fillId="0" borderId="0" xfId="93" applyFont="1" applyProtection="1">
      <protection locked="0"/>
    </xf>
    <xf numFmtId="170" fontId="139" fillId="0" borderId="0" xfId="93" applyNumberFormat="1" applyFont="1" applyProtection="1">
      <protection locked="0"/>
    </xf>
    <xf numFmtId="40" fontId="75" fillId="0" borderId="80" xfId="93" applyNumberFormat="1" applyFont="1" applyBorder="1" applyProtection="1">
      <protection locked="0"/>
    </xf>
    <xf numFmtId="170" fontId="80" fillId="0" borderId="80" xfId="94" applyNumberFormat="1" applyFont="1" applyBorder="1" applyProtection="1">
      <protection locked="0"/>
    </xf>
    <xf numFmtId="0" fontId="80" fillId="0" borderId="0" xfId="93" applyFont="1" applyProtection="1">
      <protection locked="0"/>
    </xf>
    <xf numFmtId="2" fontId="80" fillId="0" borderId="80" xfId="93" applyNumberFormat="1" applyFont="1" applyBorder="1" applyProtection="1">
      <protection locked="0"/>
    </xf>
    <xf numFmtId="40" fontId="80" fillId="0" borderId="80" xfId="93" applyNumberFormat="1" applyFont="1" applyBorder="1" applyProtection="1">
      <protection locked="0"/>
    </xf>
    <xf numFmtId="0" fontId="80" fillId="0" borderId="80" xfId="93" applyFont="1" applyBorder="1" applyProtection="1">
      <protection locked="0"/>
    </xf>
    <xf numFmtId="170" fontId="139" fillId="21" borderId="0" xfId="93" applyNumberFormat="1" applyFont="1" applyFill="1" applyProtection="1">
      <protection locked="0"/>
    </xf>
    <xf numFmtId="40" fontId="139" fillId="0" borderId="0" xfId="93" applyNumberFormat="1" applyFont="1" applyProtection="1">
      <protection locked="0"/>
    </xf>
    <xf numFmtId="9" fontId="79" fillId="0" borderId="80" xfId="257" applyFont="1" applyBorder="1" applyProtection="1">
      <protection locked="0"/>
    </xf>
    <xf numFmtId="40" fontId="79" fillId="0" borderId="27" xfId="93" applyNumberFormat="1" applyFont="1" applyBorder="1" applyProtection="1">
      <protection locked="0"/>
    </xf>
    <xf numFmtId="40" fontId="79" fillId="0" borderId="3" xfId="93" applyNumberFormat="1" applyFont="1" applyBorder="1" applyProtection="1">
      <protection locked="0"/>
    </xf>
    <xf numFmtId="40" fontId="79" fillId="0" borderId="15" xfId="93" applyNumberFormat="1" applyFont="1" applyBorder="1" applyProtection="1">
      <protection locked="0"/>
    </xf>
    <xf numFmtId="9" fontId="79" fillId="21" borderId="80" xfId="257" applyFont="1" applyFill="1" applyBorder="1" applyProtection="1">
      <protection locked="0"/>
    </xf>
    <xf numFmtId="0" fontId="139" fillId="21" borderId="0" xfId="93" applyFont="1" applyFill="1" applyProtection="1">
      <protection locked="0"/>
    </xf>
    <xf numFmtId="9" fontId="75" fillId="0" borderId="80" xfId="93" applyNumberFormat="1" applyFont="1" applyBorder="1" applyProtection="1">
      <protection locked="0"/>
    </xf>
    <xf numFmtId="40" fontId="80" fillId="0" borderId="0" xfId="93" applyNumberFormat="1" applyFont="1" applyProtection="1">
      <protection locked="0"/>
    </xf>
    <xf numFmtId="40" fontId="80" fillId="21" borderId="0" xfId="93" applyNumberFormat="1" applyFont="1" applyFill="1" applyProtection="1">
      <protection locked="0"/>
    </xf>
    <xf numFmtId="2" fontId="80" fillId="0" borderId="0" xfId="93" applyNumberFormat="1" applyFont="1" applyProtection="1">
      <protection locked="0"/>
    </xf>
    <xf numFmtId="1" fontId="80" fillId="0" borderId="0" xfId="93" applyNumberFormat="1" applyFont="1" applyProtection="1">
      <protection locked="0"/>
    </xf>
    <xf numFmtId="170" fontId="75" fillId="0" borderId="0" xfId="94" applyNumberFormat="1" applyFont="1" applyProtection="1">
      <protection locked="0"/>
    </xf>
    <xf numFmtId="170" fontId="80" fillId="21" borderId="0" xfId="94" applyNumberFormat="1" applyFont="1" applyFill="1" applyProtection="1">
      <protection locked="0"/>
    </xf>
    <xf numFmtId="170" fontId="80" fillId="0" borderId="0" xfId="94" applyNumberFormat="1" applyFont="1" applyProtection="1">
      <protection locked="0"/>
    </xf>
    <xf numFmtId="9" fontId="80" fillId="0" borderId="0" xfId="257" applyFont="1" applyProtection="1">
      <protection locked="0"/>
    </xf>
    <xf numFmtId="2" fontId="80" fillId="0" borderId="0" xfId="94" applyNumberFormat="1" applyFont="1" applyProtection="1">
      <protection locked="0"/>
    </xf>
    <xf numFmtId="1" fontId="80" fillId="0" borderId="0" xfId="94" applyNumberFormat="1" applyFont="1" applyProtection="1">
      <protection locked="0"/>
    </xf>
    <xf numFmtId="169" fontId="79" fillId="0" borderId="0" xfId="94" applyNumberFormat="1" applyFont="1" applyProtection="1">
      <protection locked="0"/>
    </xf>
    <xf numFmtId="169" fontId="139" fillId="0" borderId="0" xfId="94" applyNumberFormat="1" applyFont="1" applyProtection="1">
      <protection locked="0"/>
    </xf>
    <xf numFmtId="170" fontId="80" fillId="0" borderId="0" xfId="93" applyNumberFormat="1" applyFont="1" applyProtection="1">
      <protection locked="0"/>
    </xf>
    <xf numFmtId="10" fontId="79" fillId="0" borderId="0" xfId="94" applyNumberFormat="1" applyFont="1" applyProtection="1">
      <protection locked="0"/>
    </xf>
    <xf numFmtId="170" fontId="75" fillId="21" borderId="80" xfId="94" applyNumberFormat="1" applyFont="1" applyFill="1" applyBorder="1" applyProtection="1">
      <protection locked="0"/>
    </xf>
    <xf numFmtId="9" fontId="75" fillId="21" borderId="80" xfId="94" applyNumberFormat="1" applyFont="1" applyFill="1" applyBorder="1" applyProtection="1">
      <protection locked="0"/>
    </xf>
    <xf numFmtId="1" fontId="75" fillId="21" borderId="80" xfId="93" applyNumberFormat="1" applyFont="1" applyFill="1" applyBorder="1" applyProtection="1">
      <protection locked="0"/>
    </xf>
    <xf numFmtId="170" fontId="80" fillId="21" borderId="34" xfId="94" applyNumberFormat="1" applyFont="1" applyFill="1" applyBorder="1" applyProtection="1">
      <protection locked="0"/>
    </xf>
    <xf numFmtId="170" fontId="139" fillId="0" borderId="0" xfId="94" applyNumberFormat="1" applyFont="1" applyProtection="1">
      <protection locked="0"/>
    </xf>
    <xf numFmtId="2" fontId="75" fillId="0" borderId="0" xfId="94" applyNumberFormat="1" applyFont="1" applyProtection="1">
      <protection locked="0"/>
    </xf>
    <xf numFmtId="169" fontId="80" fillId="0" borderId="0" xfId="94" applyNumberFormat="1" applyFont="1" applyProtection="1">
      <protection locked="0"/>
    </xf>
    <xf numFmtId="0" fontId="80" fillId="21" borderId="0" xfId="93" applyFont="1" applyFill="1" applyProtection="1">
      <protection locked="0"/>
    </xf>
    <xf numFmtId="2" fontId="79" fillId="0" borderId="80" xfId="94" applyNumberFormat="1" applyFont="1" applyBorder="1" applyProtection="1">
      <protection locked="0"/>
    </xf>
    <xf numFmtId="169" fontId="80" fillId="0" borderId="80" xfId="94" applyNumberFormat="1" applyFont="1" applyBorder="1" applyProtection="1">
      <protection locked="0"/>
    </xf>
    <xf numFmtId="9" fontId="75" fillId="0" borderId="80" xfId="257" applyFont="1" applyBorder="1" applyProtection="1">
      <protection locked="0"/>
    </xf>
    <xf numFmtId="40" fontId="80" fillId="22" borderId="80" xfId="93" applyNumberFormat="1" applyFont="1" applyFill="1" applyBorder="1" applyProtection="1">
      <protection locked="0"/>
    </xf>
    <xf numFmtId="40" fontId="80" fillId="0" borderId="27" xfId="93" applyNumberFormat="1" applyFont="1" applyBorder="1" applyProtection="1">
      <protection locked="0"/>
    </xf>
    <xf numFmtId="40" fontId="80" fillId="0" borderId="3" xfId="93" applyNumberFormat="1" applyFont="1" applyBorder="1" applyProtection="1">
      <protection locked="0"/>
    </xf>
    <xf numFmtId="40" fontId="80" fillId="0" borderId="15" xfId="93" applyNumberFormat="1" applyFont="1" applyBorder="1" applyProtection="1">
      <protection locked="0"/>
    </xf>
    <xf numFmtId="0" fontId="80" fillId="21" borderId="80" xfId="93" applyFont="1" applyFill="1" applyBorder="1" applyProtection="1">
      <protection locked="0"/>
    </xf>
    <xf numFmtId="170" fontId="139" fillId="21" borderId="47" xfId="94" applyNumberFormat="1" applyFont="1" applyFill="1" applyBorder="1" applyProtection="1">
      <protection locked="0"/>
    </xf>
    <xf numFmtId="170" fontId="139" fillId="0" borderId="47" xfId="94" applyNumberFormat="1" applyFont="1" applyBorder="1" applyProtection="1">
      <protection locked="0"/>
    </xf>
    <xf numFmtId="9" fontId="79" fillId="0" borderId="0" xfId="257" applyFont="1" applyProtection="1">
      <protection locked="0"/>
    </xf>
    <xf numFmtId="170" fontId="80" fillId="21" borderId="0" xfId="93" applyNumberFormat="1" applyFont="1" applyFill="1" applyProtection="1">
      <protection locked="0"/>
    </xf>
    <xf numFmtId="40" fontId="79" fillId="35" borderId="80" xfId="93" applyNumberFormat="1" applyFont="1" applyFill="1" applyBorder="1" applyProtection="1">
      <protection locked="0"/>
    </xf>
    <xf numFmtId="2" fontId="80" fillId="21" borderId="34" xfId="93" applyNumberFormat="1" applyFont="1" applyFill="1" applyBorder="1" applyProtection="1">
      <protection locked="0"/>
    </xf>
    <xf numFmtId="9" fontId="81" fillId="0" borderId="0" xfId="257" applyFont="1"/>
    <xf numFmtId="9" fontId="139" fillId="0" borderId="0" xfId="257" applyFont="1" applyProtection="1">
      <protection locked="0"/>
    </xf>
    <xf numFmtId="170" fontId="79" fillId="21" borderId="0" xfId="94" applyNumberFormat="1" applyFont="1" applyFill="1" applyProtection="1">
      <protection locked="0"/>
    </xf>
    <xf numFmtId="2" fontId="79" fillId="0" borderId="0" xfId="94" applyNumberFormat="1" applyFont="1" applyProtection="1">
      <protection locked="0"/>
    </xf>
    <xf numFmtId="1" fontId="79" fillId="0" borderId="0" xfId="94" applyNumberFormat="1" applyFont="1" applyProtection="1">
      <protection locked="0"/>
    </xf>
    <xf numFmtId="170" fontId="139" fillId="21" borderId="0" xfId="94" applyNumberFormat="1" applyFont="1" applyFill="1" applyProtection="1">
      <protection locked="0"/>
    </xf>
    <xf numFmtId="40" fontId="75" fillId="32" borderId="80" xfId="93" applyNumberFormat="1" applyFont="1" applyFill="1" applyBorder="1" applyProtection="1">
      <protection locked="0"/>
    </xf>
    <xf numFmtId="2" fontId="139" fillId="21" borderId="80" xfId="93" applyNumberFormat="1" applyFont="1" applyFill="1" applyBorder="1" applyProtection="1">
      <protection locked="0"/>
    </xf>
    <xf numFmtId="9" fontId="75" fillId="21" borderId="80" xfId="257" applyFont="1" applyFill="1" applyBorder="1" applyProtection="1">
      <protection locked="0"/>
    </xf>
    <xf numFmtId="40" fontId="139" fillId="21" borderId="47" xfId="93" applyNumberFormat="1" applyFont="1" applyFill="1" applyBorder="1" applyProtection="1">
      <protection locked="0"/>
    </xf>
    <xf numFmtId="40" fontId="139" fillId="21" borderId="0" xfId="93" applyNumberFormat="1" applyFont="1" applyFill="1" applyProtection="1">
      <protection locked="0"/>
    </xf>
    <xf numFmtId="9" fontId="139" fillId="21" borderId="0" xfId="257" applyFont="1" applyFill="1" applyProtection="1">
      <protection locked="0"/>
    </xf>
    <xf numFmtId="9" fontId="79" fillId="21" borderId="0" xfId="257" applyFont="1" applyFill="1" applyProtection="1">
      <protection locked="0"/>
    </xf>
    <xf numFmtId="171" fontId="79" fillId="21" borderId="80" xfId="94" applyNumberFormat="1" applyFont="1" applyFill="1" applyBorder="1" applyProtection="1">
      <protection locked="0"/>
    </xf>
    <xf numFmtId="171" fontId="75" fillId="21" borderId="80" xfId="94" applyNumberFormat="1" applyFont="1" applyFill="1" applyBorder="1" applyProtection="1">
      <protection locked="0"/>
    </xf>
    <xf numFmtId="169" fontId="75" fillId="21" borderId="80" xfId="94" applyNumberFormat="1" applyFont="1" applyFill="1" applyBorder="1" applyProtection="1">
      <protection locked="0"/>
    </xf>
    <xf numFmtId="40" fontId="75" fillId="21" borderId="27" xfId="93" applyNumberFormat="1" applyFont="1" applyFill="1" applyBorder="1" applyProtection="1">
      <protection locked="0"/>
    </xf>
    <xf numFmtId="40" fontId="75" fillId="21" borderId="3" xfId="93" applyNumberFormat="1" applyFont="1" applyFill="1" applyBorder="1" applyProtection="1">
      <protection locked="0"/>
    </xf>
    <xf numFmtId="40" fontId="75" fillId="21" borderId="15" xfId="93" applyNumberFormat="1" applyFont="1" applyFill="1" applyBorder="1" applyProtection="1">
      <protection locked="0"/>
    </xf>
    <xf numFmtId="2" fontId="139" fillId="21" borderId="80" xfId="94" applyNumberFormat="1" applyFont="1" applyFill="1" applyBorder="1" applyProtection="1">
      <protection locked="0"/>
    </xf>
    <xf numFmtId="2" fontId="79" fillId="22" borderId="80" xfId="93" applyNumberFormat="1" applyFont="1" applyFill="1" applyBorder="1" applyProtection="1">
      <protection locked="0"/>
    </xf>
    <xf numFmtId="169" fontId="75" fillId="21" borderId="80" xfId="94" applyNumberFormat="1" applyFont="1" applyFill="1" applyBorder="1" applyAlignment="1" applyProtection="1">
      <alignment horizontal="left"/>
      <protection locked="0"/>
    </xf>
    <xf numFmtId="40" fontId="75" fillId="21" borderId="0" xfId="93" applyNumberFormat="1" applyFont="1" applyFill="1" applyProtection="1">
      <protection locked="0"/>
    </xf>
    <xf numFmtId="170" fontId="79" fillId="21" borderId="91" xfId="94" applyNumberFormat="1" applyFont="1" applyFill="1" applyBorder="1" applyProtection="1">
      <protection locked="0"/>
    </xf>
    <xf numFmtId="9" fontId="86" fillId="0" borderId="0" xfId="257" applyFont="1" applyProtection="1">
      <protection locked="0"/>
    </xf>
    <xf numFmtId="170" fontId="86" fillId="0" borderId="0" xfId="93" applyNumberFormat="1" applyFont="1" applyProtection="1">
      <protection locked="0"/>
    </xf>
    <xf numFmtId="0" fontId="86" fillId="0" borderId="0" xfId="93" applyFont="1" applyProtection="1">
      <protection locked="0"/>
    </xf>
    <xf numFmtId="170" fontId="86" fillId="0" borderId="0" xfId="94" applyNumberFormat="1" applyFont="1" applyProtection="1">
      <protection locked="0"/>
    </xf>
    <xf numFmtId="172" fontId="86" fillId="0" borderId="0" xfId="93" applyNumberFormat="1" applyFont="1" applyProtection="1">
      <protection locked="0"/>
    </xf>
    <xf numFmtId="170" fontId="80" fillId="16" borderId="8" xfId="93" applyNumberFormat="1" applyFont="1" applyFill="1" applyBorder="1" applyAlignment="1" applyProtection="1">
      <alignment horizontal="center"/>
      <protection locked="0"/>
    </xf>
    <xf numFmtId="170" fontId="80" fillId="16" borderId="9" xfId="93" applyNumberFormat="1" applyFont="1" applyFill="1" applyBorder="1" applyAlignment="1" applyProtection="1">
      <alignment horizontal="center"/>
      <protection locked="0"/>
    </xf>
    <xf numFmtId="170" fontId="80" fillId="16" borderId="9" xfId="93" applyNumberFormat="1" applyFont="1" applyFill="1" applyBorder="1" applyAlignment="1" applyProtection="1">
      <alignment horizontal="center" vertical="center" wrapText="1"/>
      <protection locked="0"/>
    </xf>
    <xf numFmtId="170" fontId="80" fillId="16" borderId="10" xfId="93" applyNumberFormat="1" applyFont="1" applyFill="1" applyBorder="1" applyAlignment="1" applyProtection="1">
      <alignment horizontal="center" vertical="center" wrapText="1"/>
      <protection locked="0"/>
    </xf>
    <xf numFmtId="170" fontId="80" fillId="16" borderId="11" xfId="93" applyNumberFormat="1" applyFont="1" applyFill="1" applyBorder="1" applyAlignment="1" applyProtection="1">
      <alignment horizontal="center" wrapText="1"/>
      <protection locked="0"/>
    </xf>
    <xf numFmtId="170" fontId="80" fillId="16" borderId="10" xfId="93" applyNumberFormat="1" applyFont="1" applyFill="1" applyBorder="1" applyAlignment="1" applyProtection="1">
      <alignment horizontal="center" wrapText="1"/>
      <protection locked="0"/>
    </xf>
    <xf numFmtId="170" fontId="80" fillId="16" borderId="17" xfId="93" applyNumberFormat="1" applyFont="1" applyFill="1" applyBorder="1" applyAlignment="1" applyProtection="1">
      <alignment horizontal="center"/>
      <protection locked="0"/>
    </xf>
    <xf numFmtId="170" fontId="80" fillId="16" borderId="5" xfId="93" applyNumberFormat="1" applyFont="1" applyFill="1" applyBorder="1" applyAlignment="1" applyProtection="1">
      <alignment horizontal="center"/>
      <protection locked="0"/>
    </xf>
    <xf numFmtId="170" fontId="80" fillId="16" borderId="16" xfId="93" applyNumberFormat="1" applyFont="1" applyFill="1" applyBorder="1" applyAlignment="1" applyProtection="1">
      <alignment horizontal="center"/>
      <protection locked="0"/>
    </xf>
    <xf numFmtId="170" fontId="80" fillId="16" borderId="18" xfId="93" applyNumberFormat="1" applyFont="1" applyFill="1" applyBorder="1" applyAlignment="1" applyProtection="1">
      <alignment horizontal="center" vertical="center" wrapText="1"/>
      <protection locked="0"/>
    </xf>
    <xf numFmtId="170" fontId="80" fillId="16" borderId="16" xfId="93" applyNumberFormat="1" applyFont="1" applyFill="1" applyBorder="1" applyAlignment="1" applyProtection="1">
      <alignment horizontal="center" vertical="center" wrapText="1"/>
      <protection locked="0"/>
    </xf>
    <xf numFmtId="0" fontId="88" fillId="16" borderId="0" xfId="93" applyFont="1" applyFill="1" applyAlignment="1" applyProtection="1">
      <alignment horizontal="left"/>
      <protection locked="0"/>
    </xf>
    <xf numFmtId="170" fontId="79" fillId="31" borderId="0" xfId="93" applyNumberFormat="1" applyFont="1" applyFill="1" applyProtection="1">
      <protection locked="0"/>
    </xf>
    <xf numFmtId="0" fontId="146" fillId="0" borderId="0" xfId="93" applyFont="1" applyAlignment="1" applyProtection="1">
      <alignment horizontal="left"/>
      <protection locked="0"/>
    </xf>
    <xf numFmtId="0" fontId="76" fillId="0" borderId="0" xfId="93" applyFont="1" applyAlignment="1" applyProtection="1">
      <alignment horizontal="left"/>
      <protection locked="0"/>
    </xf>
    <xf numFmtId="0" fontId="139" fillId="16" borderId="0" xfId="93" applyFont="1" applyFill="1" applyProtection="1">
      <protection locked="0"/>
    </xf>
    <xf numFmtId="0" fontId="88" fillId="0" borderId="0" xfId="93" applyFont="1" applyAlignment="1" applyProtection="1">
      <alignment horizontal="right"/>
      <protection locked="0"/>
    </xf>
    <xf numFmtId="170" fontId="139" fillId="16" borderId="0" xfId="93" applyNumberFormat="1" applyFont="1" applyFill="1" applyProtection="1">
      <protection locked="0"/>
    </xf>
    <xf numFmtId="9" fontId="139" fillId="16" borderId="0" xfId="257" applyFont="1" applyFill="1" applyProtection="1">
      <protection locked="0"/>
    </xf>
    <xf numFmtId="170" fontId="139" fillId="16" borderId="46" xfId="93" applyNumberFormat="1" applyFont="1" applyFill="1" applyBorder="1" applyProtection="1">
      <protection locked="0"/>
    </xf>
    <xf numFmtId="170" fontId="139" fillId="16" borderId="58" xfId="93" applyNumberFormat="1" applyFont="1" applyFill="1" applyBorder="1" applyProtection="1">
      <protection locked="0"/>
    </xf>
    <xf numFmtId="170" fontId="139" fillId="16" borderId="59" xfId="93" applyNumberFormat="1" applyFont="1" applyFill="1" applyBorder="1" applyProtection="1">
      <protection locked="0"/>
    </xf>
    <xf numFmtId="170" fontId="139" fillId="16" borderId="60" xfId="93" applyNumberFormat="1" applyFont="1" applyFill="1" applyBorder="1" applyProtection="1">
      <protection locked="0"/>
    </xf>
    <xf numFmtId="170" fontId="79" fillId="16" borderId="56" xfId="93" applyNumberFormat="1" applyFont="1" applyFill="1" applyBorder="1" applyProtection="1">
      <protection locked="0"/>
    </xf>
    <xf numFmtId="170" fontId="79" fillId="16" borderId="57" xfId="93" applyNumberFormat="1" applyFont="1" applyFill="1" applyBorder="1" applyProtection="1">
      <protection locked="0"/>
    </xf>
    <xf numFmtId="170" fontId="79" fillId="16" borderId="53" xfId="93" applyNumberFormat="1" applyFont="1" applyFill="1" applyBorder="1" applyProtection="1">
      <protection locked="0"/>
    </xf>
    <xf numFmtId="170" fontId="79" fillId="16" borderId="54" xfId="93" applyNumberFormat="1" applyFont="1" applyFill="1" applyBorder="1" applyProtection="1">
      <protection locked="0"/>
    </xf>
    <xf numFmtId="170" fontId="79" fillId="16" borderId="55" xfId="93" applyNumberFormat="1" applyFont="1" applyFill="1" applyBorder="1" applyProtection="1">
      <protection locked="0"/>
    </xf>
    <xf numFmtId="170" fontId="79" fillId="16" borderId="50" xfId="93" applyNumberFormat="1" applyFont="1" applyFill="1" applyBorder="1" applyProtection="1">
      <protection locked="0"/>
    </xf>
    <xf numFmtId="170" fontId="79" fillId="16" borderId="51" xfId="93" applyNumberFormat="1" applyFont="1" applyFill="1" applyBorder="1" applyProtection="1">
      <protection locked="0"/>
    </xf>
    <xf numFmtId="170" fontId="79" fillId="16" borderId="52" xfId="93" applyNumberFormat="1" applyFont="1" applyFill="1" applyBorder="1" applyProtection="1">
      <protection locked="0"/>
    </xf>
    <xf numFmtId="170" fontId="139" fillId="16" borderId="61" xfId="93" applyNumberFormat="1" applyFont="1" applyFill="1" applyBorder="1" applyProtection="1">
      <protection locked="0"/>
    </xf>
    <xf numFmtId="170" fontId="79" fillId="16" borderId="62" xfId="93" applyNumberFormat="1" applyFont="1" applyFill="1" applyBorder="1" applyProtection="1">
      <protection locked="0"/>
    </xf>
    <xf numFmtId="170" fontId="79" fillId="16" borderId="63" xfId="93" applyNumberFormat="1" applyFont="1" applyFill="1" applyBorder="1" applyProtection="1">
      <protection locked="0"/>
    </xf>
    <xf numFmtId="170" fontId="135" fillId="16" borderId="64" xfId="93" applyNumberFormat="1" applyFont="1" applyFill="1" applyBorder="1" applyProtection="1">
      <protection locked="0"/>
    </xf>
    <xf numFmtId="170" fontId="79" fillId="16" borderId="65" xfId="93" applyNumberFormat="1" applyFont="1" applyFill="1" applyBorder="1" applyProtection="1">
      <protection locked="0"/>
    </xf>
    <xf numFmtId="170" fontId="79" fillId="16" borderId="64" xfId="93" applyNumberFormat="1" applyFont="1" applyFill="1" applyBorder="1" applyProtection="1">
      <protection locked="0"/>
    </xf>
    <xf numFmtId="170" fontId="135" fillId="16" borderId="66" xfId="93" applyNumberFormat="1" applyFont="1" applyFill="1" applyBorder="1" applyProtection="1">
      <protection locked="0"/>
    </xf>
    <xf numFmtId="170" fontId="79" fillId="16" borderId="67" xfId="93" applyNumberFormat="1" applyFont="1" applyFill="1" applyBorder="1" applyProtection="1">
      <protection locked="0"/>
    </xf>
    <xf numFmtId="170" fontId="79" fillId="16" borderId="68" xfId="93" applyNumberFormat="1" applyFont="1" applyFill="1" applyBorder="1" applyProtection="1">
      <protection locked="0"/>
    </xf>
    <xf numFmtId="170" fontId="86" fillId="22" borderId="0" xfId="94" applyNumberFormat="1" applyFont="1" applyFill="1" applyProtection="1">
      <protection locked="0"/>
    </xf>
    <xf numFmtId="9" fontId="86" fillId="22" borderId="0" xfId="257" applyFont="1" applyFill="1" applyProtection="1">
      <protection locked="0"/>
    </xf>
    <xf numFmtId="170" fontId="86" fillId="22" borderId="0" xfId="93" applyNumberFormat="1" applyFont="1" applyFill="1" applyProtection="1">
      <protection locked="0"/>
    </xf>
    <xf numFmtId="172" fontId="86" fillId="0" borderId="7" xfId="93" applyNumberFormat="1" applyFont="1" applyBorder="1" applyAlignment="1" applyProtection="1">
      <alignment horizontal="center"/>
      <protection locked="0"/>
    </xf>
    <xf numFmtId="177" fontId="79" fillId="16" borderId="0" xfId="93" applyNumberFormat="1" applyFont="1" applyFill="1" applyProtection="1">
      <protection locked="0"/>
    </xf>
    <xf numFmtId="172" fontId="86" fillId="0" borderId="45" xfId="93" applyNumberFormat="1" applyFont="1" applyBorder="1" applyProtection="1">
      <protection locked="0"/>
    </xf>
    <xf numFmtId="176" fontId="86" fillId="0" borderId="45" xfId="93" applyNumberFormat="1" applyFont="1" applyBorder="1" applyProtection="1">
      <protection locked="0"/>
    </xf>
    <xf numFmtId="176" fontId="86" fillId="0" borderId="0" xfId="93" applyNumberFormat="1" applyFont="1" applyProtection="1">
      <protection locked="0"/>
    </xf>
    <xf numFmtId="170" fontId="79" fillId="16" borderId="45" xfId="93" applyNumberFormat="1" applyFont="1" applyFill="1" applyBorder="1" applyProtection="1">
      <protection locked="0"/>
    </xf>
    <xf numFmtId="2" fontId="79" fillId="16" borderId="0" xfId="93" applyNumberFormat="1" applyFont="1" applyFill="1" applyProtection="1">
      <protection locked="0"/>
    </xf>
    <xf numFmtId="0" fontId="79" fillId="22" borderId="0" xfId="93" applyFont="1" applyFill="1" applyProtection="1">
      <protection locked="0"/>
    </xf>
    <xf numFmtId="172" fontId="134" fillId="16" borderId="0" xfId="93" applyNumberFormat="1" applyFont="1" applyFill="1" applyProtection="1">
      <protection locked="0"/>
    </xf>
    <xf numFmtId="179" fontId="134" fillId="16" borderId="0" xfId="93" applyNumberFormat="1" applyFont="1" applyFill="1" applyProtection="1">
      <protection locked="0"/>
    </xf>
    <xf numFmtId="0" fontId="134" fillId="16" borderId="0" xfId="93" applyFont="1" applyFill="1" applyProtection="1">
      <protection locked="0"/>
    </xf>
    <xf numFmtId="178" fontId="134" fillId="16" borderId="0" xfId="93" applyNumberFormat="1" applyFont="1" applyFill="1" applyProtection="1">
      <protection locked="0"/>
    </xf>
    <xf numFmtId="170" fontId="134" fillId="16" borderId="0" xfId="93" applyNumberFormat="1" applyFont="1" applyFill="1" applyProtection="1">
      <protection locked="0"/>
    </xf>
    <xf numFmtId="168" fontId="32" fillId="0" borderId="0" xfId="109" applyFont="1" applyBorder="1"/>
    <xf numFmtId="0" fontId="137" fillId="23" borderId="0" xfId="93" applyFont="1" applyFill="1" applyProtection="1">
      <protection locked="0"/>
    </xf>
    <xf numFmtId="0" fontId="75" fillId="23" borderId="0" xfId="93" applyFont="1" applyFill="1" applyProtection="1">
      <protection locked="0"/>
    </xf>
    <xf numFmtId="0" fontId="79" fillId="23" borderId="0" xfId="93" applyFont="1" applyFill="1" applyProtection="1">
      <protection locked="0"/>
    </xf>
    <xf numFmtId="0" fontId="75" fillId="46" borderId="83" xfId="93" applyFont="1" applyFill="1" applyBorder="1" applyProtection="1">
      <protection locked="0"/>
    </xf>
    <xf numFmtId="0" fontId="139" fillId="23" borderId="0" xfId="93" applyFont="1" applyFill="1" applyProtection="1">
      <protection locked="0"/>
    </xf>
    <xf numFmtId="0" fontId="147" fillId="0" borderId="0" xfId="93" applyFont="1"/>
    <xf numFmtId="0" fontId="33" fillId="0" borderId="0" xfId="0" applyFont="1"/>
    <xf numFmtId="4" fontId="78" fillId="21" borderId="45" xfId="93" applyNumberFormat="1" applyFont="1" applyFill="1" applyBorder="1" applyAlignment="1" applyProtection="1">
      <alignment horizontal="left"/>
      <protection locked="0"/>
    </xf>
    <xf numFmtId="168" fontId="65" fillId="0" borderId="0" xfId="266" applyNumberFormat="1" applyFont="1"/>
    <xf numFmtId="0" fontId="0" fillId="0" borderId="0" xfId="0" applyAlignment="1">
      <alignment vertical="center"/>
    </xf>
    <xf numFmtId="0" fontId="79" fillId="21" borderId="94" xfId="93" applyFont="1" applyFill="1" applyBorder="1" applyProtection="1">
      <protection locked="0"/>
    </xf>
    <xf numFmtId="0" fontId="75" fillId="21" borderId="0" xfId="93" applyFont="1" applyFill="1" applyAlignment="1" applyProtection="1">
      <alignment horizontal="left"/>
      <protection locked="0"/>
    </xf>
    <xf numFmtId="40" fontId="79" fillId="0" borderId="6" xfId="93" applyNumberFormat="1" applyFont="1" applyBorder="1" applyProtection="1">
      <protection locked="0"/>
    </xf>
    <xf numFmtId="9" fontId="79" fillId="21" borderId="0" xfId="93" applyNumberFormat="1" applyFont="1" applyFill="1" applyProtection="1">
      <protection locked="0"/>
    </xf>
    <xf numFmtId="9" fontId="80" fillId="21" borderId="0" xfId="93" applyNumberFormat="1" applyFont="1" applyFill="1" applyProtection="1">
      <protection locked="0"/>
    </xf>
    <xf numFmtId="2" fontId="75" fillId="21" borderId="0" xfId="94" applyNumberFormat="1" applyFont="1" applyFill="1" applyProtection="1">
      <protection locked="0"/>
    </xf>
    <xf numFmtId="2" fontId="79" fillId="21" borderId="0" xfId="93" applyNumberFormat="1" applyFont="1" applyFill="1" applyProtection="1">
      <protection locked="0"/>
    </xf>
    <xf numFmtId="1" fontId="79" fillId="21" borderId="0" xfId="93" applyNumberFormat="1" applyFont="1" applyFill="1" applyProtection="1">
      <protection locked="0"/>
    </xf>
    <xf numFmtId="9" fontId="71" fillId="25" borderId="0" xfId="257" applyFont="1" applyFill="1"/>
    <xf numFmtId="9" fontId="81" fillId="25" borderId="0" xfId="257" applyFont="1" applyFill="1"/>
    <xf numFmtId="2" fontId="75" fillId="21" borderId="0" xfId="93" applyNumberFormat="1" applyFont="1" applyFill="1" applyProtection="1">
      <protection locked="0"/>
    </xf>
    <xf numFmtId="1" fontId="75" fillId="21" borderId="0" xfId="93" applyNumberFormat="1" applyFont="1" applyFill="1" applyProtection="1">
      <protection locked="0"/>
    </xf>
    <xf numFmtId="169" fontId="79" fillId="21" borderId="0" xfId="94" applyNumberFormat="1" applyFont="1" applyFill="1" applyProtection="1">
      <protection locked="0"/>
    </xf>
    <xf numFmtId="40" fontId="75" fillId="22" borderId="0" xfId="93" applyNumberFormat="1" applyFont="1" applyFill="1" applyProtection="1">
      <protection locked="0"/>
    </xf>
    <xf numFmtId="9" fontId="71" fillId="21" borderId="0" xfId="257" applyFont="1" applyFill="1"/>
    <xf numFmtId="43" fontId="65" fillId="0" borderId="0" xfId="266" applyNumberFormat="1" applyFont="1"/>
    <xf numFmtId="0" fontId="148" fillId="21" borderId="0" xfId="266" applyFont="1" applyFill="1"/>
    <xf numFmtId="9" fontId="79" fillId="21" borderId="80" xfId="257" applyFont="1" applyFill="1" applyBorder="1" applyAlignment="1" applyProtection="1">
      <alignment horizontal="right"/>
      <protection locked="0"/>
    </xf>
    <xf numFmtId="1" fontId="139" fillId="21" borderId="0" xfId="93" applyNumberFormat="1" applyFont="1" applyFill="1" applyProtection="1">
      <protection locked="0"/>
    </xf>
    <xf numFmtId="1" fontId="80" fillId="21" borderId="0" xfId="93" applyNumberFormat="1" applyFont="1" applyFill="1" applyProtection="1">
      <protection locked="0"/>
    </xf>
    <xf numFmtId="9" fontId="81" fillId="21" borderId="0" xfId="257" applyFont="1" applyFill="1"/>
    <xf numFmtId="0" fontId="139" fillId="21" borderId="0" xfId="93" applyFont="1" applyFill="1" applyAlignment="1" applyProtection="1">
      <alignment horizontal="left"/>
      <protection locked="0"/>
    </xf>
    <xf numFmtId="0" fontId="135" fillId="21" borderId="0" xfId="93" applyFont="1" applyFill="1" applyAlignment="1" applyProtection="1">
      <alignment horizontal="left"/>
      <protection locked="0"/>
    </xf>
    <xf numFmtId="40" fontId="139" fillId="47" borderId="0" xfId="93" applyNumberFormat="1" applyFont="1" applyFill="1" applyProtection="1">
      <protection locked="0"/>
    </xf>
    <xf numFmtId="0" fontId="72" fillId="21" borderId="0" xfId="93" applyFont="1" applyFill="1" applyAlignment="1" applyProtection="1">
      <alignment horizontal="left"/>
      <protection locked="0"/>
    </xf>
    <xf numFmtId="0" fontId="149" fillId="0" borderId="0" xfId="93" applyFont="1" applyAlignment="1" applyProtection="1">
      <alignment horizontal="left"/>
      <protection locked="0"/>
    </xf>
    <xf numFmtId="0" fontId="150" fillId="0" borderId="0" xfId="93" applyFont="1" applyAlignment="1">
      <alignment horizontal="left"/>
    </xf>
    <xf numFmtId="40" fontId="139" fillId="21" borderId="92" xfId="93" applyNumberFormat="1" applyFont="1" applyFill="1" applyBorder="1" applyProtection="1">
      <protection locked="0"/>
    </xf>
    <xf numFmtId="170" fontId="75" fillId="0" borderId="80" xfId="94" applyNumberFormat="1" applyFont="1" applyBorder="1" applyProtection="1">
      <protection locked="0"/>
    </xf>
    <xf numFmtId="40" fontId="80" fillId="21" borderId="47" xfId="93" applyNumberFormat="1" applyFont="1" applyFill="1" applyBorder="1" applyProtection="1">
      <protection locked="0"/>
    </xf>
    <xf numFmtId="170" fontId="79" fillId="21" borderId="96" xfId="94" applyNumberFormat="1" applyFont="1" applyFill="1" applyBorder="1" applyProtection="1">
      <protection locked="0"/>
    </xf>
    <xf numFmtId="170" fontId="80" fillId="21" borderId="47" xfId="94" applyNumberFormat="1" applyFont="1" applyFill="1" applyBorder="1" applyProtection="1">
      <protection locked="0"/>
    </xf>
    <xf numFmtId="40" fontId="75" fillId="0" borderId="26" xfId="93" applyNumberFormat="1" applyFont="1" applyBorder="1" applyProtection="1">
      <protection locked="0"/>
    </xf>
    <xf numFmtId="40" fontId="75" fillId="0" borderId="3" xfId="93" applyNumberFormat="1" applyFont="1" applyBorder="1" applyProtection="1">
      <protection locked="0"/>
    </xf>
    <xf numFmtId="9" fontId="75" fillId="21" borderId="0" xfId="93" applyNumberFormat="1" applyFont="1" applyFill="1" applyProtection="1">
      <protection locked="0"/>
    </xf>
    <xf numFmtId="40" fontId="79" fillId="21" borderId="98" xfId="93" applyNumberFormat="1" applyFont="1" applyFill="1" applyBorder="1" applyProtection="1">
      <protection locked="0"/>
    </xf>
    <xf numFmtId="40" fontId="79" fillId="21" borderId="99" xfId="93" applyNumberFormat="1" applyFont="1" applyFill="1" applyBorder="1" applyProtection="1">
      <protection locked="0"/>
    </xf>
    <xf numFmtId="0" fontId="79" fillId="0" borderId="91" xfId="93" applyFont="1" applyBorder="1" applyProtection="1">
      <protection locked="0"/>
    </xf>
    <xf numFmtId="0" fontId="152" fillId="0" borderId="0" xfId="93" applyFont="1" applyAlignment="1">
      <alignment horizontal="left"/>
    </xf>
    <xf numFmtId="0" fontId="153" fillId="0" borderId="0" xfId="93" applyFont="1" applyAlignment="1" applyProtection="1">
      <alignment horizontal="left"/>
      <protection locked="0"/>
    </xf>
    <xf numFmtId="2" fontId="75" fillId="0" borderId="80" xfId="93" applyNumberFormat="1" applyFont="1" applyBorder="1" applyProtection="1">
      <protection locked="0"/>
    </xf>
    <xf numFmtId="1" fontId="75" fillId="0" borderId="80" xfId="93" applyNumberFormat="1" applyFont="1" applyBorder="1" applyProtection="1">
      <protection locked="0"/>
    </xf>
    <xf numFmtId="0" fontId="154" fillId="21" borderId="80" xfId="93" applyFont="1" applyFill="1" applyBorder="1" applyProtection="1">
      <protection locked="0"/>
    </xf>
    <xf numFmtId="2" fontId="75" fillId="0" borderId="80" xfId="94" applyNumberFormat="1" applyFont="1" applyBorder="1" applyProtection="1">
      <protection locked="0"/>
    </xf>
    <xf numFmtId="169" fontId="75" fillId="0" borderId="80" xfId="94" applyNumberFormat="1" applyFont="1" applyBorder="1" applyProtection="1">
      <protection locked="0"/>
    </xf>
    <xf numFmtId="0" fontId="19" fillId="0" borderId="45" xfId="93" applyFont="1" applyBorder="1" applyAlignment="1">
      <alignment horizontal="right"/>
    </xf>
    <xf numFmtId="0" fontId="1" fillId="0" borderId="0" xfId="266" applyFont="1"/>
    <xf numFmtId="0" fontId="139" fillId="21" borderId="0" xfId="93" applyFont="1" applyFill="1" applyAlignment="1" applyProtection="1">
      <alignment horizontal="center"/>
      <protection locked="0"/>
    </xf>
    <xf numFmtId="0" fontId="136" fillId="16" borderId="0" xfId="93" applyFont="1" applyFill="1" applyAlignment="1" applyProtection="1">
      <alignment horizontal="left"/>
      <protection locked="0"/>
    </xf>
    <xf numFmtId="170" fontId="137" fillId="16" borderId="0" xfId="93" applyNumberFormat="1" applyFont="1" applyFill="1" applyAlignment="1" applyProtection="1">
      <alignment horizontal="center"/>
      <protection locked="0"/>
    </xf>
    <xf numFmtId="0" fontId="88" fillId="16" borderId="45" xfId="93" applyFont="1" applyFill="1" applyBorder="1" applyAlignment="1" applyProtection="1">
      <alignment horizontal="center" vertical="center"/>
      <protection locked="0"/>
    </xf>
    <xf numFmtId="0" fontId="75" fillId="21" borderId="0" xfId="93" applyFont="1" applyFill="1" applyAlignment="1" applyProtection="1">
      <alignment horizontal="center"/>
      <protection locked="0"/>
    </xf>
    <xf numFmtId="0" fontId="75" fillId="21" borderId="0" xfId="93" quotePrefix="1" applyFont="1" applyFill="1" applyProtection="1">
      <protection locked="0"/>
    </xf>
    <xf numFmtId="170" fontId="80" fillId="16" borderId="45" xfId="93" applyNumberFormat="1" applyFont="1" applyFill="1" applyBorder="1" applyAlignment="1" applyProtection="1">
      <alignment horizontal="center"/>
      <protection locked="0"/>
    </xf>
    <xf numFmtId="170" fontId="80" fillId="16" borderId="45" xfId="93" applyNumberFormat="1" applyFont="1" applyFill="1" applyBorder="1" applyAlignment="1" applyProtection="1">
      <alignment horizontal="center" vertical="center" wrapText="1"/>
      <protection locked="0"/>
    </xf>
    <xf numFmtId="9" fontId="79" fillId="22" borderId="80" xfId="93" applyNumberFormat="1" applyFont="1" applyFill="1" applyBorder="1" applyProtection="1">
      <protection locked="0"/>
    </xf>
    <xf numFmtId="9" fontId="75" fillId="22" borderId="80" xfId="93" applyNumberFormat="1" applyFont="1" applyFill="1" applyBorder="1" applyProtection="1">
      <protection locked="0"/>
    </xf>
    <xf numFmtId="0" fontId="19" fillId="0" borderId="0" xfId="93" applyFont="1" applyAlignment="1">
      <alignment horizontal="left"/>
    </xf>
    <xf numFmtId="0" fontId="139" fillId="21" borderId="0" xfId="93" quotePrefix="1" applyFont="1" applyFill="1" applyProtection="1">
      <protection locked="0"/>
    </xf>
    <xf numFmtId="9" fontId="80" fillId="0" borderId="0" xfId="93" applyNumberFormat="1" applyFont="1" applyProtection="1">
      <protection locked="0"/>
    </xf>
    <xf numFmtId="40" fontId="79" fillId="22" borderId="80" xfId="93" applyNumberFormat="1" applyFont="1" applyFill="1" applyBorder="1" applyProtection="1">
      <protection locked="0"/>
    </xf>
    <xf numFmtId="170" fontId="75" fillId="22" borderId="80" xfId="94" applyNumberFormat="1" applyFont="1" applyFill="1" applyBorder="1" applyProtection="1">
      <protection locked="0"/>
    </xf>
    <xf numFmtId="170" fontId="79" fillId="22" borderId="80" xfId="94" applyNumberFormat="1" applyFont="1" applyFill="1" applyBorder="1" applyProtection="1">
      <protection locked="0"/>
    </xf>
    <xf numFmtId="0" fontId="156" fillId="0" borderId="0" xfId="93" applyFont="1"/>
    <xf numFmtId="0" fontId="157" fillId="0" borderId="0" xfId="93" applyFont="1" applyAlignment="1">
      <alignment horizontal="left"/>
    </xf>
    <xf numFmtId="0" fontId="150" fillId="0" borderId="0" xfId="93" applyFont="1"/>
    <xf numFmtId="0" fontId="150" fillId="21" borderId="0" xfId="93" applyFont="1" applyFill="1"/>
    <xf numFmtId="4" fontId="155" fillId="0" borderId="0" xfId="93" applyNumberFormat="1" applyFont="1"/>
    <xf numFmtId="0" fontId="156" fillId="0" borderId="51" xfId="93" applyFont="1" applyBorder="1"/>
    <xf numFmtId="0" fontId="156" fillId="0" borderId="51" xfId="93" applyFont="1" applyBorder="1" applyAlignment="1">
      <alignment horizontal="left"/>
    </xf>
    <xf numFmtId="0" fontId="158" fillId="0" borderId="0" xfId="93" applyFont="1"/>
    <xf numFmtId="0" fontId="156" fillId="21" borderId="0" xfId="93" applyFont="1" applyFill="1"/>
    <xf numFmtId="170" fontId="156" fillId="0" borderId="0" xfId="93" applyNumberFormat="1" applyFont="1"/>
    <xf numFmtId="4" fontId="156" fillId="0" borderId="0" xfId="93" applyNumberFormat="1" applyFont="1"/>
    <xf numFmtId="4" fontId="156" fillId="0" borderId="51" xfId="93" applyNumberFormat="1" applyFont="1" applyBorder="1"/>
    <xf numFmtId="0" fontId="157" fillId="0" borderId="0" xfId="93" applyFont="1"/>
    <xf numFmtId="0" fontId="159" fillId="0" borderId="0" xfId="0" applyFont="1" applyAlignment="1">
      <alignment horizontal="left"/>
    </xf>
    <xf numFmtId="170" fontId="156" fillId="0" borderId="51" xfId="93" applyNumberFormat="1" applyFont="1" applyBorder="1"/>
    <xf numFmtId="0" fontId="157" fillId="21" borderId="0" xfId="93" applyFont="1" applyFill="1"/>
    <xf numFmtId="170" fontId="157" fillId="0" borderId="0" xfId="93" applyNumberFormat="1" applyFont="1"/>
    <xf numFmtId="0" fontId="156" fillId="0" borderId="47" xfId="93" applyFont="1" applyBorder="1"/>
    <xf numFmtId="0" fontId="156" fillId="0" borderId="47" xfId="93" applyFont="1" applyBorder="1" applyAlignment="1">
      <alignment horizontal="left"/>
    </xf>
    <xf numFmtId="0" fontId="155" fillId="0" borderId="47" xfId="93" applyFont="1" applyBorder="1"/>
    <xf numFmtId="4" fontId="155" fillId="21" borderId="47" xfId="93" applyNumberFormat="1" applyFont="1" applyFill="1" applyBorder="1"/>
    <xf numFmtId="4" fontId="155" fillId="0" borderId="47" xfId="93" applyNumberFormat="1" applyFont="1" applyBorder="1"/>
    <xf numFmtId="2" fontId="157" fillId="0" borderId="0" xfId="93" applyNumberFormat="1" applyFont="1"/>
    <xf numFmtId="0" fontId="155" fillId="0" borderId="0" xfId="93" applyFont="1" applyAlignment="1">
      <alignment horizontal="left"/>
    </xf>
    <xf numFmtId="170" fontId="150" fillId="0" borderId="0" xfId="93" applyNumberFormat="1" applyFont="1"/>
    <xf numFmtId="2" fontId="150" fillId="0" borderId="0" xfId="93" applyNumberFormat="1" applyFont="1"/>
    <xf numFmtId="2" fontId="157" fillId="21" borderId="0" xfId="93" applyNumberFormat="1" applyFont="1" applyFill="1"/>
    <xf numFmtId="0" fontId="150" fillId="33" borderId="0" xfId="93" applyFont="1" applyFill="1"/>
    <xf numFmtId="0" fontId="156" fillId="33" borderId="21" xfId="93" applyFont="1" applyFill="1" applyBorder="1" applyAlignment="1">
      <alignment horizontal="left"/>
    </xf>
    <xf numFmtId="170" fontId="150" fillId="0" borderId="6" xfId="93" applyNumberFormat="1" applyFont="1" applyBorder="1" applyAlignment="1">
      <alignment horizontal="center"/>
    </xf>
    <xf numFmtId="0" fontId="157" fillId="0" borderId="0" xfId="93" applyFont="1" applyAlignment="1">
      <alignment horizontal="center"/>
    </xf>
    <xf numFmtId="170" fontId="150" fillId="0" borderId="0" xfId="93" applyNumberFormat="1" applyFont="1" applyAlignment="1">
      <alignment horizontal="center"/>
    </xf>
    <xf numFmtId="170" fontId="150" fillId="0" borderId="21" xfId="93" applyNumberFormat="1" applyFont="1" applyBorder="1" applyAlignment="1">
      <alignment horizontal="center"/>
    </xf>
    <xf numFmtId="0" fontId="156" fillId="0" borderId="0" xfId="93" applyFont="1" applyAlignment="1">
      <alignment horizontal="center"/>
    </xf>
    <xf numFmtId="0" fontId="150" fillId="0" borderId="0" xfId="93" applyFont="1" applyAlignment="1">
      <alignment horizontal="center"/>
    </xf>
    <xf numFmtId="170" fontId="150" fillId="21" borderId="0" xfId="93" applyNumberFormat="1" applyFont="1" applyFill="1" applyAlignment="1">
      <alignment horizontal="center" wrapText="1"/>
    </xf>
    <xf numFmtId="170" fontId="150" fillId="0" borderId="7" xfId="93" applyNumberFormat="1" applyFont="1" applyBorder="1" applyAlignment="1">
      <alignment horizontal="center" wrapText="1"/>
    </xf>
    <xf numFmtId="170" fontId="150" fillId="0" borderId="40" xfId="93" applyNumberFormat="1" applyFont="1" applyBorder="1" applyAlignment="1">
      <alignment horizontal="center"/>
    </xf>
    <xf numFmtId="170" fontId="150" fillId="0" borderId="0" xfId="93" applyNumberFormat="1" applyFont="1" applyAlignment="1">
      <alignment horizontal="center" wrapText="1"/>
    </xf>
    <xf numFmtId="2" fontId="150" fillId="0" borderId="0" xfId="93" applyNumberFormat="1" applyFont="1" applyAlignment="1">
      <alignment horizontal="center"/>
    </xf>
    <xf numFmtId="2" fontId="150" fillId="0" borderId="0" xfId="93" applyNumberFormat="1" applyFont="1" applyAlignment="1">
      <alignment horizontal="center" wrapText="1"/>
    </xf>
    <xf numFmtId="2" fontId="150" fillId="21" borderId="0" xfId="93" applyNumberFormat="1" applyFont="1" applyFill="1" applyAlignment="1">
      <alignment horizontal="center" wrapText="1"/>
    </xf>
    <xf numFmtId="0" fontId="160" fillId="0" borderId="0" xfId="93" applyFont="1" applyAlignment="1">
      <alignment horizontal="left"/>
    </xf>
    <xf numFmtId="40" fontId="149" fillId="0" borderId="0" xfId="93" applyNumberFormat="1" applyFont="1"/>
    <xf numFmtId="40" fontId="149" fillId="21" borderId="0" xfId="93" applyNumberFormat="1" applyFont="1" applyFill="1"/>
    <xf numFmtId="38" fontId="149" fillId="0" borderId="0" xfId="93" applyNumberFormat="1" applyFont="1"/>
    <xf numFmtId="166" fontId="149" fillId="0" borderId="0" xfId="94" applyFont="1"/>
    <xf numFmtId="4" fontId="149" fillId="0" borderId="0" xfId="93" applyNumberFormat="1" applyFont="1"/>
    <xf numFmtId="2" fontId="149" fillId="0" borderId="0" xfId="93" applyNumberFormat="1" applyFont="1"/>
    <xf numFmtId="2" fontId="156" fillId="0" borderId="0" xfId="93" applyNumberFormat="1" applyFont="1"/>
    <xf numFmtId="2" fontId="156" fillId="21" borderId="0" xfId="93" applyNumberFormat="1" applyFont="1" applyFill="1"/>
    <xf numFmtId="4" fontId="157" fillId="0" borderId="0" xfId="93" applyNumberFormat="1" applyFont="1"/>
    <xf numFmtId="0" fontId="149" fillId="0" borderId="0" xfId="93" applyFont="1"/>
    <xf numFmtId="40" fontId="157" fillId="0" borderId="0" xfId="93" applyNumberFormat="1" applyFont="1"/>
    <xf numFmtId="40" fontId="157" fillId="21" borderId="0" xfId="93" applyNumberFormat="1" applyFont="1" applyFill="1"/>
    <xf numFmtId="38" fontId="157" fillId="0" borderId="0" xfId="93" applyNumberFormat="1" applyFont="1"/>
    <xf numFmtId="166" fontId="156" fillId="0" borderId="0" xfId="94" applyFont="1"/>
    <xf numFmtId="4" fontId="161" fillId="0" borderId="0" xfId="93" applyNumberFormat="1" applyFont="1"/>
    <xf numFmtId="0" fontId="162" fillId="0" borderId="0" xfId="93" applyFont="1" applyAlignment="1">
      <alignment horizontal="left"/>
    </xf>
    <xf numFmtId="0" fontId="162" fillId="0" borderId="0" xfId="93" applyFont="1"/>
    <xf numFmtId="0" fontId="155" fillId="21" borderId="0" xfId="93" applyFont="1" applyFill="1"/>
    <xf numFmtId="0" fontId="159" fillId="0" borderId="0" xfId="0" applyFont="1"/>
    <xf numFmtId="4" fontId="155" fillId="0" borderId="0" xfId="0" applyNumberFormat="1" applyFont="1"/>
    <xf numFmtId="0" fontId="155" fillId="0" borderId="0" xfId="93" applyFont="1"/>
    <xf numFmtId="0" fontId="163" fillId="0" borderId="0" xfId="93" applyFont="1" applyAlignment="1" applyProtection="1">
      <alignment horizontal="left"/>
      <protection locked="0"/>
    </xf>
    <xf numFmtId="0" fontId="149" fillId="21" borderId="0" xfId="93" applyFont="1" applyFill="1" applyAlignment="1" applyProtection="1">
      <alignment horizontal="left"/>
      <protection locked="0"/>
    </xf>
    <xf numFmtId="4" fontId="155" fillId="0" borderId="95" xfId="0" applyNumberFormat="1" applyFont="1" applyBorder="1"/>
    <xf numFmtId="2" fontId="155" fillId="0" borderId="0" xfId="0" applyNumberFormat="1" applyFont="1"/>
    <xf numFmtId="0" fontId="164" fillId="0" borderId="0" xfId="93" applyFont="1" applyAlignment="1">
      <alignment horizontal="left"/>
    </xf>
    <xf numFmtId="4" fontId="156" fillId="21" borderId="0" xfId="93" applyNumberFormat="1" applyFont="1" applyFill="1"/>
    <xf numFmtId="4" fontId="155" fillId="0" borderId="37" xfId="0" applyNumberFormat="1" applyFont="1" applyBorder="1"/>
    <xf numFmtId="4" fontId="156" fillId="0" borderId="0" xfId="0" applyNumberFormat="1" applyFont="1"/>
    <xf numFmtId="2" fontId="156" fillId="0" borderId="0" xfId="0" applyNumberFormat="1" applyFont="1"/>
    <xf numFmtId="2" fontId="156" fillId="21" borderId="0" xfId="0" applyNumberFormat="1" applyFont="1" applyFill="1"/>
    <xf numFmtId="40" fontId="161" fillId="0" borderId="0" xfId="93" applyNumberFormat="1" applyFont="1"/>
    <xf numFmtId="40" fontId="161" fillId="21" borderId="0" xfId="93" applyNumberFormat="1" applyFont="1" applyFill="1"/>
    <xf numFmtId="38" fontId="161" fillId="0" borderId="0" xfId="93" applyNumberFormat="1" applyFont="1"/>
    <xf numFmtId="166" fontId="161" fillId="0" borderId="0" xfId="94" applyFont="1"/>
    <xf numFmtId="2" fontId="161" fillId="0" borderId="0" xfId="93" applyNumberFormat="1" applyFont="1"/>
    <xf numFmtId="0" fontId="164" fillId="0" borderId="0" xfId="93" applyFont="1"/>
    <xf numFmtId="4" fontId="156" fillId="0" borderId="54" xfId="93" applyNumberFormat="1" applyFont="1" applyBorder="1"/>
    <xf numFmtId="4" fontId="161" fillId="0" borderId="54" xfId="93" applyNumberFormat="1" applyFont="1" applyBorder="1"/>
    <xf numFmtId="2" fontId="156" fillId="0" borderId="54" xfId="93" applyNumberFormat="1" applyFont="1" applyBorder="1"/>
    <xf numFmtId="4" fontId="155" fillId="0" borderId="95" xfId="93" applyNumberFormat="1" applyFont="1" applyBorder="1"/>
    <xf numFmtId="166" fontId="156" fillId="0" borderId="54" xfId="94" applyFont="1" applyBorder="1"/>
    <xf numFmtId="0" fontId="163" fillId="21" borderId="0" xfId="93" applyFont="1" applyFill="1" applyAlignment="1" applyProtection="1">
      <alignment horizontal="left"/>
      <protection locked="0"/>
    </xf>
    <xf numFmtId="0" fontId="153" fillId="21" borderId="0" xfId="93" applyFont="1" applyFill="1" applyAlignment="1" applyProtection="1">
      <alignment horizontal="left"/>
      <protection locked="0"/>
    </xf>
    <xf numFmtId="0" fontId="149" fillId="21" borderId="0" xfId="93" applyFont="1" applyFill="1" applyProtection="1">
      <protection locked="0"/>
    </xf>
    <xf numFmtId="4" fontId="155" fillId="21" borderId="0" xfId="93" applyNumberFormat="1" applyFont="1" applyFill="1"/>
    <xf numFmtId="2" fontId="155" fillId="21" borderId="0" xfId="93" applyNumberFormat="1" applyFont="1" applyFill="1"/>
    <xf numFmtId="0" fontId="165" fillId="21" borderId="0" xfId="93" applyFont="1" applyFill="1" applyAlignment="1" applyProtection="1">
      <alignment horizontal="left"/>
      <protection locked="0"/>
    </xf>
    <xf numFmtId="2" fontId="161" fillId="21" borderId="0" xfId="93" applyNumberFormat="1" applyFont="1" applyFill="1"/>
    <xf numFmtId="0" fontId="165" fillId="0" borderId="0" xfId="93" applyFont="1"/>
    <xf numFmtId="0" fontId="166" fillId="0" borderId="0" xfId="93" applyFont="1"/>
    <xf numFmtId="2" fontId="166" fillId="0" borderId="0" xfId="93" applyNumberFormat="1" applyFont="1"/>
    <xf numFmtId="2" fontId="155" fillId="0" borderId="0" xfId="93" applyNumberFormat="1" applyFont="1"/>
    <xf numFmtId="0" fontId="161" fillId="0" borderId="0" xfId="93" applyFont="1" applyAlignment="1">
      <alignment horizontal="left"/>
    </xf>
    <xf numFmtId="2" fontId="155" fillId="0" borderId="37" xfId="0" applyNumberFormat="1" applyFont="1" applyBorder="1"/>
    <xf numFmtId="0" fontId="163" fillId="0" borderId="0" xfId="93" applyFont="1" applyAlignment="1">
      <alignment horizontal="left"/>
    </xf>
    <xf numFmtId="0" fontId="163" fillId="0" borderId="0" xfId="93" applyFont="1"/>
    <xf numFmtId="0" fontId="163" fillId="21" borderId="0" xfId="93" applyFont="1" applyFill="1"/>
    <xf numFmtId="0" fontId="167" fillId="0" borderId="0" xfId="0" applyFont="1"/>
    <xf numFmtId="166" fontId="165" fillId="0" borderId="0" xfId="94" applyFont="1"/>
    <xf numFmtId="4" fontId="163" fillId="0" borderId="0" xfId="93" applyNumberFormat="1" applyFont="1"/>
    <xf numFmtId="2" fontId="163" fillId="0" borderId="0" xfId="93" applyNumberFormat="1" applyFont="1"/>
    <xf numFmtId="2" fontId="165" fillId="0" borderId="0" xfId="93" applyNumberFormat="1" applyFont="1"/>
    <xf numFmtId="2" fontId="163" fillId="21" borderId="0" xfId="93" applyNumberFormat="1" applyFont="1" applyFill="1"/>
    <xf numFmtId="0" fontId="168" fillId="0" borderId="0" xfId="93" applyFont="1"/>
    <xf numFmtId="0" fontId="161" fillId="21" borderId="0" xfId="93" applyFont="1" applyFill="1" applyAlignment="1" applyProtection="1">
      <alignment horizontal="left"/>
      <protection locked="0"/>
    </xf>
    <xf numFmtId="0" fontId="161" fillId="0" borderId="0" xfId="93" applyFont="1"/>
    <xf numFmtId="40" fontId="162" fillId="0" borderId="0" xfId="93" applyNumberFormat="1" applyFont="1"/>
    <xf numFmtId="4" fontId="156" fillId="0" borderId="0" xfId="94" applyNumberFormat="1" applyFont="1"/>
    <xf numFmtId="2" fontId="156" fillId="0" borderId="0" xfId="94" applyNumberFormat="1" applyFont="1"/>
    <xf numFmtId="2" fontId="155" fillId="21" borderId="0" xfId="0" applyNumberFormat="1" applyFont="1" applyFill="1"/>
    <xf numFmtId="0" fontId="156" fillId="0" borderId="0" xfId="93" applyFont="1" applyAlignment="1">
      <alignment horizontal="left"/>
    </xf>
    <xf numFmtId="0" fontId="152" fillId="0" borderId="0" xfId="93" applyFont="1"/>
    <xf numFmtId="38" fontId="156" fillId="0" borderId="0" xfId="93" applyNumberFormat="1" applyFont="1"/>
    <xf numFmtId="40" fontId="156" fillId="0" borderId="0" xfId="93" applyNumberFormat="1" applyFont="1"/>
    <xf numFmtId="40" fontId="156" fillId="21" borderId="0" xfId="93" applyNumberFormat="1" applyFont="1" applyFill="1"/>
    <xf numFmtId="40" fontId="164" fillId="0" borderId="0" xfId="93" applyNumberFormat="1" applyFont="1"/>
    <xf numFmtId="40" fontId="164" fillId="21" borderId="0" xfId="93" applyNumberFormat="1" applyFont="1" applyFill="1"/>
    <xf numFmtId="2" fontId="164" fillId="0" borderId="0" xfId="93" applyNumberFormat="1" applyFont="1"/>
    <xf numFmtId="4" fontId="164" fillId="0" borderId="0" xfId="93" applyNumberFormat="1" applyFont="1"/>
    <xf numFmtId="0" fontId="164" fillId="21" borderId="0" xfId="93" applyFont="1" applyFill="1" applyAlignment="1" applyProtection="1">
      <alignment horizontal="left"/>
      <protection locked="0"/>
    </xf>
    <xf numFmtId="166" fontId="164" fillId="0" borderId="0" xfId="94" applyFont="1"/>
    <xf numFmtId="38" fontId="164" fillId="0" borderId="0" xfId="93" applyNumberFormat="1" applyFont="1"/>
    <xf numFmtId="166" fontId="162" fillId="0" borderId="0" xfId="94" applyFont="1"/>
    <xf numFmtId="2" fontId="162" fillId="0" borderId="37" xfId="93" applyNumberFormat="1" applyFont="1" applyBorder="1"/>
    <xf numFmtId="2" fontId="162" fillId="0" borderId="0" xfId="93" applyNumberFormat="1" applyFont="1"/>
    <xf numFmtId="2" fontId="162" fillId="21" borderId="0" xfId="93" applyNumberFormat="1" applyFont="1" applyFill="1"/>
    <xf numFmtId="0" fontId="169" fillId="0" borderId="0" xfId="93" applyFont="1" applyAlignment="1">
      <alignment horizontal="left"/>
    </xf>
    <xf numFmtId="0" fontId="162" fillId="21" borderId="0" xfId="93" applyFont="1" applyFill="1" applyAlignment="1" applyProtection="1">
      <alignment horizontal="left"/>
      <protection locked="0"/>
    </xf>
    <xf numFmtId="4" fontId="149" fillId="0" borderId="54" xfId="93" applyNumberFormat="1" applyFont="1" applyBorder="1"/>
    <xf numFmtId="40" fontId="164" fillId="0" borderId="54" xfId="93" applyNumberFormat="1" applyFont="1" applyBorder="1"/>
    <xf numFmtId="40" fontId="164" fillId="21" borderId="54" xfId="93" applyNumberFormat="1" applyFont="1" applyFill="1" applyBorder="1"/>
    <xf numFmtId="2" fontId="164" fillId="0" borderId="54" xfId="93" applyNumberFormat="1" applyFont="1" applyBorder="1"/>
    <xf numFmtId="4" fontId="164" fillId="0" borderId="54" xfId="93" applyNumberFormat="1" applyFont="1" applyBorder="1"/>
    <xf numFmtId="166" fontId="156" fillId="0" borderId="0" xfId="94" applyFont="1" applyAlignment="1">
      <alignment horizontal="right"/>
    </xf>
    <xf numFmtId="0" fontId="157" fillId="21" borderId="0" xfId="93" applyFont="1" applyFill="1" applyAlignment="1">
      <alignment horizontal="left"/>
    </xf>
    <xf numFmtId="165" fontId="156" fillId="21" borderId="0" xfId="93" applyNumberFormat="1" applyFont="1" applyFill="1"/>
    <xf numFmtId="4" fontId="157" fillId="21" borderId="0" xfId="93" applyNumberFormat="1" applyFont="1" applyFill="1"/>
    <xf numFmtId="170" fontId="163" fillId="21" borderId="0" xfId="93" applyNumberFormat="1" applyFont="1" applyFill="1"/>
    <xf numFmtId="2" fontId="166" fillId="21" borderId="0" xfId="93" applyNumberFormat="1" applyFont="1" applyFill="1"/>
    <xf numFmtId="0" fontId="156" fillId="21" borderId="0" xfId="93" applyFont="1" applyFill="1" applyAlignment="1" applyProtection="1">
      <alignment horizontal="left"/>
      <protection locked="0"/>
    </xf>
    <xf numFmtId="177" fontId="75" fillId="16" borderId="0" xfId="93" applyNumberFormat="1" applyFont="1" applyFill="1" applyProtection="1">
      <protection locked="0"/>
    </xf>
    <xf numFmtId="170" fontId="75" fillId="16" borderId="0" xfId="93" applyNumberFormat="1" applyFont="1" applyFill="1" applyProtection="1">
      <protection locked="0"/>
    </xf>
    <xf numFmtId="170" fontId="75" fillId="16" borderId="45" xfId="93" applyNumberFormat="1" applyFont="1" applyFill="1" applyBorder="1" applyProtection="1">
      <protection locked="0"/>
    </xf>
    <xf numFmtId="0" fontId="156" fillId="0" borderId="95" xfId="93" applyFont="1" applyBorder="1"/>
    <xf numFmtId="0" fontId="157" fillId="0" borderId="95" xfId="93" applyFont="1" applyBorder="1" applyAlignment="1">
      <alignment horizontal="left"/>
    </xf>
    <xf numFmtId="38" fontId="157" fillId="0" borderId="95" xfId="93" applyNumberFormat="1" applyFont="1" applyBorder="1"/>
    <xf numFmtId="166" fontId="156" fillId="0" borderId="95" xfId="94" applyFont="1" applyBorder="1"/>
    <xf numFmtId="0" fontId="157" fillId="0" borderId="95" xfId="93" applyFont="1" applyBorder="1"/>
    <xf numFmtId="0" fontId="162" fillId="0" borderId="95" xfId="93" applyFont="1" applyBorder="1" applyAlignment="1">
      <alignment horizontal="left"/>
    </xf>
    <xf numFmtId="0" fontId="162" fillId="0" borderId="95" xfId="93" applyFont="1" applyBorder="1"/>
    <xf numFmtId="0" fontId="155" fillId="21" borderId="95" xfId="93" applyFont="1" applyFill="1" applyBorder="1"/>
    <xf numFmtId="0" fontId="159" fillId="0" borderId="95" xfId="0" applyFont="1" applyBorder="1"/>
    <xf numFmtId="0" fontId="155" fillId="0" borderId="95" xfId="93" applyFont="1" applyBorder="1"/>
    <xf numFmtId="0" fontId="149" fillId="0" borderId="95" xfId="93" applyFont="1" applyBorder="1" applyAlignment="1" applyProtection="1">
      <alignment horizontal="left"/>
      <protection locked="0"/>
    </xf>
    <xf numFmtId="166" fontId="156" fillId="0" borderId="95" xfId="94" applyFont="1" applyBorder="1" applyAlignment="1">
      <alignment horizontal="right"/>
    </xf>
    <xf numFmtId="0" fontId="75" fillId="48" borderId="80" xfId="93" applyFont="1" applyFill="1" applyBorder="1" applyProtection="1">
      <protection locked="0"/>
    </xf>
    <xf numFmtId="0" fontId="22" fillId="0" borderId="0" xfId="93" applyFont="1" applyProtection="1">
      <protection locked="0"/>
    </xf>
    <xf numFmtId="172" fontId="22" fillId="0" borderId="0" xfId="93" applyNumberFormat="1" applyFont="1" applyProtection="1">
      <protection locked="0"/>
    </xf>
    <xf numFmtId="0" fontId="79" fillId="49" borderId="0" xfId="93" applyFont="1" applyFill="1" applyProtection="1">
      <protection locked="0"/>
    </xf>
    <xf numFmtId="0" fontId="79" fillId="50" borderId="0" xfId="93" applyFont="1" applyFill="1" applyProtection="1">
      <protection locked="0"/>
    </xf>
    <xf numFmtId="2" fontId="22" fillId="50" borderId="0" xfId="93" applyNumberFormat="1" applyFont="1" applyFill="1" applyProtection="1">
      <protection locked="0"/>
    </xf>
    <xf numFmtId="172" fontId="79" fillId="16" borderId="0" xfId="93" applyNumberFormat="1" applyFont="1" applyFill="1" applyProtection="1">
      <protection locked="0"/>
    </xf>
    <xf numFmtId="168" fontId="49" fillId="16" borderId="0" xfId="109" applyFill="1" applyProtection="1">
      <protection locked="0"/>
    </xf>
    <xf numFmtId="0" fontId="22" fillId="21" borderId="0" xfId="93" applyFont="1" applyFill="1" applyProtection="1">
      <protection locked="0"/>
    </xf>
    <xf numFmtId="172" fontId="22" fillId="21" borderId="0" xfId="93" applyNumberFormat="1" applyFont="1" applyFill="1" applyProtection="1">
      <protection locked="0"/>
    </xf>
    <xf numFmtId="2" fontId="22" fillId="21" borderId="0" xfId="93" applyNumberFormat="1" applyFont="1" applyFill="1" applyProtection="1">
      <protection locked="0"/>
    </xf>
    <xf numFmtId="20" fontId="66" fillId="22" borderId="0" xfId="266" applyNumberFormat="1" applyFont="1" applyFill="1"/>
    <xf numFmtId="0" fontId="88" fillId="22" borderId="0" xfId="93" applyFont="1" applyFill="1" applyProtection="1">
      <protection locked="0"/>
    </xf>
    <xf numFmtId="0" fontId="88" fillId="51" borderId="0" xfId="93" applyFont="1" applyFill="1" applyAlignment="1" applyProtection="1">
      <alignment horizontal="center" vertical="center" wrapText="1"/>
      <protection locked="0"/>
    </xf>
    <xf numFmtId="170" fontId="75" fillId="21" borderId="34" xfId="94" applyNumberFormat="1" applyFont="1" applyFill="1" applyBorder="1" applyProtection="1">
      <protection locked="0"/>
    </xf>
    <xf numFmtId="0" fontId="139" fillId="52" borderId="80" xfId="93" applyFont="1" applyFill="1" applyBorder="1" applyProtection="1">
      <protection locked="0"/>
    </xf>
    <xf numFmtId="0" fontId="79" fillId="52" borderId="80" xfId="93" applyFont="1" applyFill="1" applyBorder="1" applyProtection="1">
      <protection locked="0"/>
    </xf>
    <xf numFmtId="0" fontId="75" fillId="52" borderId="80" xfId="93" applyFont="1" applyFill="1" applyBorder="1" applyProtection="1">
      <protection locked="0"/>
    </xf>
    <xf numFmtId="0" fontId="80" fillId="52" borderId="80" xfId="93" applyFont="1" applyFill="1" applyBorder="1" applyProtection="1">
      <protection locked="0"/>
    </xf>
    <xf numFmtId="170" fontId="75" fillId="52" borderId="80" xfId="93" applyNumberFormat="1" applyFont="1" applyFill="1" applyBorder="1" applyProtection="1">
      <protection locked="0"/>
    </xf>
    <xf numFmtId="2" fontId="80" fillId="21" borderId="80" xfId="93" applyNumberFormat="1" applyFont="1" applyFill="1" applyBorder="1" applyProtection="1">
      <protection locked="0"/>
    </xf>
    <xf numFmtId="40" fontId="80" fillId="21" borderId="26" xfId="93" applyNumberFormat="1" applyFont="1" applyFill="1" applyBorder="1" applyProtection="1">
      <protection locked="0"/>
    </xf>
    <xf numFmtId="40" fontId="80" fillId="21" borderId="23" xfId="93" applyNumberFormat="1" applyFont="1" applyFill="1" applyBorder="1" applyProtection="1">
      <protection locked="0"/>
    </xf>
    <xf numFmtId="40" fontId="80" fillId="21" borderId="22" xfId="93" applyNumberFormat="1" applyFont="1" applyFill="1" applyBorder="1" applyProtection="1">
      <protection locked="0"/>
    </xf>
    <xf numFmtId="40" fontId="80" fillId="21" borderId="25" xfId="93" applyNumberFormat="1" applyFont="1" applyFill="1" applyBorder="1" applyProtection="1">
      <protection locked="0"/>
    </xf>
    <xf numFmtId="40" fontId="80" fillId="21" borderId="24" xfId="93" applyNumberFormat="1" applyFont="1" applyFill="1" applyBorder="1" applyProtection="1">
      <protection locked="0"/>
    </xf>
    <xf numFmtId="40" fontId="75" fillId="21" borderId="26" xfId="93" applyNumberFormat="1" applyFont="1" applyFill="1" applyBorder="1" applyProtection="1">
      <protection locked="0"/>
    </xf>
    <xf numFmtId="0" fontId="75" fillId="29" borderId="0" xfId="93" applyFont="1" applyFill="1" applyAlignment="1" applyProtection="1">
      <alignment horizontal="center"/>
      <protection locked="0"/>
    </xf>
    <xf numFmtId="0" fontId="75" fillId="29" borderId="0" xfId="93" quotePrefix="1" applyFont="1" applyFill="1" applyProtection="1">
      <protection locked="0"/>
    </xf>
    <xf numFmtId="0" fontId="75" fillId="29" borderId="0" xfId="93" applyFont="1" applyFill="1" applyProtection="1">
      <protection locked="0"/>
    </xf>
    <xf numFmtId="0" fontId="76" fillId="29" borderId="0" xfId="93" applyFont="1" applyFill="1" applyProtection="1">
      <protection locked="0"/>
    </xf>
    <xf numFmtId="0" fontId="75" fillId="29" borderId="80" xfId="93" applyFont="1" applyFill="1" applyBorder="1" applyAlignment="1" applyProtection="1">
      <alignment horizontal="left"/>
      <protection locked="0"/>
    </xf>
    <xf numFmtId="0" fontId="75" fillId="29" borderId="80" xfId="93" applyFont="1" applyFill="1" applyBorder="1" applyProtection="1">
      <protection locked="0"/>
    </xf>
    <xf numFmtId="0" fontId="79" fillId="29" borderId="80" xfId="93" applyFont="1" applyFill="1" applyBorder="1" applyProtection="1">
      <protection locked="0"/>
    </xf>
    <xf numFmtId="40" fontId="79" fillId="29" borderId="80" xfId="93" applyNumberFormat="1" applyFont="1" applyFill="1" applyBorder="1" applyProtection="1">
      <protection locked="0"/>
    </xf>
    <xf numFmtId="170" fontId="79" fillId="29" borderId="80" xfId="94" applyNumberFormat="1" applyFont="1" applyFill="1" applyBorder="1" applyProtection="1">
      <protection locked="0"/>
    </xf>
    <xf numFmtId="9" fontId="79" fillId="29" borderId="80" xfId="93" applyNumberFormat="1" applyFont="1" applyFill="1" applyBorder="1" applyProtection="1">
      <protection locked="0"/>
    </xf>
    <xf numFmtId="170" fontId="79" fillId="29" borderId="0" xfId="93" applyNumberFormat="1" applyFont="1" applyFill="1" applyProtection="1">
      <protection locked="0"/>
    </xf>
    <xf numFmtId="2" fontId="79" fillId="29" borderId="80" xfId="93" applyNumberFormat="1" applyFont="1" applyFill="1" applyBorder="1" applyProtection="1">
      <protection locked="0"/>
    </xf>
    <xf numFmtId="1" fontId="79" fillId="29" borderId="80" xfId="93" applyNumberFormat="1" applyFont="1" applyFill="1" applyBorder="1" applyProtection="1">
      <protection locked="0"/>
    </xf>
    <xf numFmtId="40" fontId="79" fillId="29" borderId="27" xfId="93" applyNumberFormat="1" applyFont="1" applyFill="1" applyBorder="1" applyProtection="1">
      <protection locked="0"/>
    </xf>
    <xf numFmtId="40" fontId="79" fillId="29" borderId="3" xfId="93" applyNumberFormat="1" applyFont="1" applyFill="1" applyBorder="1" applyProtection="1">
      <protection locked="0"/>
    </xf>
    <xf numFmtId="0" fontId="79" fillId="29" borderId="0" xfId="93" applyFont="1" applyFill="1" applyProtection="1">
      <protection locked="0"/>
    </xf>
    <xf numFmtId="9" fontId="71" fillId="29" borderId="80" xfId="257" applyFont="1" applyFill="1" applyBorder="1"/>
    <xf numFmtId="0" fontId="22" fillId="29" borderId="0" xfId="93" applyFont="1" applyFill="1" applyProtection="1">
      <protection locked="0"/>
    </xf>
    <xf numFmtId="172" fontId="22" fillId="29" borderId="0" xfId="93" applyNumberFormat="1" applyFont="1" applyFill="1" applyProtection="1">
      <protection locked="0"/>
    </xf>
    <xf numFmtId="2" fontId="22" fillId="29" borderId="0" xfId="93" applyNumberFormat="1" applyFont="1" applyFill="1" applyProtection="1">
      <protection locked="0"/>
    </xf>
    <xf numFmtId="40" fontId="75" fillId="29" borderId="80" xfId="93" applyNumberFormat="1" applyFont="1" applyFill="1" applyBorder="1" applyProtection="1">
      <protection locked="0"/>
    </xf>
    <xf numFmtId="2" fontId="75" fillId="29" borderId="80" xfId="93" applyNumberFormat="1" applyFont="1" applyFill="1" applyBorder="1" applyProtection="1">
      <protection locked="0"/>
    </xf>
    <xf numFmtId="169" fontId="79" fillId="29" borderId="80" xfId="94" applyNumberFormat="1" applyFont="1" applyFill="1" applyBorder="1" applyProtection="1">
      <protection locked="0"/>
    </xf>
    <xf numFmtId="40" fontId="80" fillId="29" borderId="80" xfId="93" applyNumberFormat="1" applyFont="1" applyFill="1" applyBorder="1" applyProtection="1">
      <protection locked="0"/>
    </xf>
    <xf numFmtId="170" fontId="75" fillId="21" borderId="80" xfId="93" applyNumberFormat="1" applyFont="1" applyFill="1" applyBorder="1" applyProtection="1">
      <protection locked="0"/>
    </xf>
    <xf numFmtId="9" fontId="75" fillId="29" borderId="80" xfId="93" applyNumberFormat="1" applyFont="1" applyFill="1" applyBorder="1" applyProtection="1">
      <protection locked="0"/>
    </xf>
    <xf numFmtId="40" fontId="139" fillId="29" borderId="80" xfId="93" applyNumberFormat="1" applyFont="1" applyFill="1" applyBorder="1" applyProtection="1">
      <protection locked="0"/>
    </xf>
    <xf numFmtId="9" fontId="81" fillId="29" borderId="80" xfId="257" applyFont="1" applyFill="1" applyBorder="1"/>
    <xf numFmtId="38" fontId="157" fillId="21" borderId="0" xfId="93" applyNumberFormat="1" applyFont="1" applyFill="1"/>
    <xf numFmtId="166" fontId="156" fillId="21" borderId="0" xfId="94" applyFont="1" applyFill="1"/>
    <xf numFmtId="4" fontId="149" fillId="21" borderId="0" xfId="93" applyNumberFormat="1" applyFont="1" applyFill="1"/>
    <xf numFmtId="4" fontId="161" fillId="21" borderId="0" xfId="93" applyNumberFormat="1" applyFont="1" applyFill="1"/>
    <xf numFmtId="2" fontId="79" fillId="29" borderId="80" xfId="94" applyNumberFormat="1" applyFont="1" applyFill="1" applyBorder="1" applyProtection="1">
      <protection locked="0"/>
    </xf>
    <xf numFmtId="40" fontId="79" fillId="21" borderId="97" xfId="93" applyNumberFormat="1" applyFont="1" applyFill="1" applyBorder="1" applyProtection="1">
      <protection locked="0"/>
    </xf>
    <xf numFmtId="40" fontId="79" fillId="21" borderId="100" xfId="93" applyNumberFormat="1" applyFont="1" applyFill="1" applyBorder="1" applyProtection="1">
      <protection locked="0"/>
    </xf>
    <xf numFmtId="40" fontId="79" fillId="21" borderId="101" xfId="93" applyNumberFormat="1" applyFont="1" applyFill="1" applyBorder="1" applyProtection="1">
      <protection locked="0"/>
    </xf>
    <xf numFmtId="40" fontId="75" fillId="21" borderId="91" xfId="93" applyNumberFormat="1" applyFont="1" applyFill="1" applyBorder="1" applyProtection="1">
      <protection locked="0"/>
    </xf>
    <xf numFmtId="40" fontId="80" fillId="21" borderId="91" xfId="93" applyNumberFormat="1" applyFont="1" applyFill="1" applyBorder="1" applyProtection="1">
      <protection locked="0"/>
    </xf>
    <xf numFmtId="40" fontId="79" fillId="21" borderId="36" xfId="93" applyNumberFormat="1" applyFont="1" applyFill="1" applyBorder="1" applyProtection="1">
      <protection locked="0"/>
    </xf>
    <xf numFmtId="40" fontId="79" fillId="21" borderId="7" xfId="93" applyNumberFormat="1" applyFont="1" applyFill="1" applyBorder="1" applyProtection="1">
      <protection locked="0"/>
    </xf>
    <xf numFmtId="0" fontId="139" fillId="21" borderId="80" xfId="93" applyFont="1" applyFill="1" applyBorder="1" applyAlignment="1" applyProtection="1">
      <alignment horizontal="left"/>
      <protection locked="0"/>
    </xf>
    <xf numFmtId="0" fontId="79" fillId="21" borderId="91" xfId="93" applyFont="1" applyFill="1" applyBorder="1" applyProtection="1">
      <protection locked="0"/>
    </xf>
    <xf numFmtId="2" fontId="79" fillId="21" borderId="91" xfId="93" applyNumberFormat="1" applyFont="1" applyFill="1" applyBorder="1" applyProtection="1">
      <protection locked="0"/>
    </xf>
    <xf numFmtId="9" fontId="80" fillId="29" borderId="80" xfId="257" applyFont="1" applyFill="1" applyBorder="1" applyProtection="1">
      <protection locked="0"/>
    </xf>
    <xf numFmtId="1" fontId="80" fillId="29" borderId="80" xfId="93" applyNumberFormat="1" applyFont="1" applyFill="1" applyBorder="1" applyProtection="1">
      <protection locked="0"/>
    </xf>
    <xf numFmtId="170" fontId="80" fillId="29" borderId="80" xfId="94" applyNumberFormat="1" applyFont="1" applyFill="1" applyBorder="1" applyProtection="1">
      <protection locked="0"/>
    </xf>
    <xf numFmtId="40" fontId="80" fillId="29" borderId="27" xfId="93" applyNumberFormat="1" applyFont="1" applyFill="1" applyBorder="1" applyProtection="1">
      <protection locked="0"/>
    </xf>
    <xf numFmtId="40" fontId="80" fillId="29" borderId="3" xfId="93" applyNumberFormat="1" applyFont="1" applyFill="1" applyBorder="1" applyProtection="1">
      <protection locked="0"/>
    </xf>
    <xf numFmtId="40" fontId="80" fillId="29" borderId="15" xfId="93" applyNumberFormat="1" applyFont="1" applyFill="1" applyBorder="1" applyProtection="1">
      <protection locked="0"/>
    </xf>
    <xf numFmtId="0" fontId="88" fillId="21" borderId="0" xfId="93" applyFont="1" applyFill="1" applyProtection="1">
      <protection locked="0"/>
    </xf>
    <xf numFmtId="173" fontId="18" fillId="22" borderId="45" xfId="93" applyNumberFormat="1" applyFont="1" applyFill="1" applyBorder="1" applyAlignment="1">
      <alignment horizontal="right"/>
    </xf>
    <xf numFmtId="2" fontId="0" fillId="0" borderId="0" xfId="0" applyNumberFormat="1"/>
    <xf numFmtId="0" fontId="79" fillId="22" borderId="80" xfId="93" applyFont="1" applyFill="1" applyBorder="1" applyProtection="1">
      <protection locked="0"/>
    </xf>
    <xf numFmtId="0" fontId="75" fillId="52" borderId="0" xfId="93" applyFont="1" applyFill="1" applyAlignment="1" applyProtection="1">
      <alignment horizontal="center"/>
      <protection locked="0"/>
    </xf>
    <xf numFmtId="0" fontId="75" fillId="52" borderId="0" xfId="93" quotePrefix="1" applyFont="1" applyFill="1" applyProtection="1">
      <protection locked="0"/>
    </xf>
    <xf numFmtId="0" fontId="75" fillId="52" borderId="0" xfId="93" applyFont="1" applyFill="1" applyProtection="1">
      <protection locked="0"/>
    </xf>
    <xf numFmtId="0" fontId="76" fillId="52" borderId="0" xfId="93" applyFont="1" applyFill="1" applyProtection="1">
      <protection locked="0"/>
    </xf>
    <xf numFmtId="0" fontId="75" fillId="52" borderId="80" xfId="93" applyFont="1" applyFill="1" applyBorder="1" applyAlignment="1" applyProtection="1">
      <alignment horizontal="left"/>
      <protection locked="0"/>
    </xf>
    <xf numFmtId="40" fontId="79" fillId="52" borderId="80" xfId="93" applyNumberFormat="1" applyFont="1" applyFill="1" applyBorder="1" applyProtection="1">
      <protection locked="0"/>
    </xf>
    <xf numFmtId="170" fontId="75" fillId="52" borderId="80" xfId="94" applyNumberFormat="1" applyFont="1" applyFill="1" applyBorder="1" applyProtection="1">
      <protection locked="0"/>
    </xf>
    <xf numFmtId="9" fontId="75" fillId="52" borderId="80" xfId="257" applyFont="1" applyFill="1" applyBorder="1" applyProtection="1">
      <protection locked="0"/>
    </xf>
    <xf numFmtId="9" fontId="79" fillId="52" borderId="80" xfId="93" applyNumberFormat="1" applyFont="1" applyFill="1" applyBorder="1" applyProtection="1">
      <protection locked="0"/>
    </xf>
    <xf numFmtId="170" fontId="139" fillId="52" borderId="0" xfId="93" applyNumberFormat="1" applyFont="1" applyFill="1" applyProtection="1">
      <protection locked="0"/>
    </xf>
    <xf numFmtId="2" fontId="139" fillId="52" borderId="80" xfId="94" applyNumberFormat="1" applyFont="1" applyFill="1" applyBorder="1" applyProtection="1">
      <protection locked="0"/>
    </xf>
    <xf numFmtId="40" fontId="75" fillId="52" borderId="80" xfId="93" applyNumberFormat="1" applyFont="1" applyFill="1" applyBorder="1" applyProtection="1">
      <protection locked="0"/>
    </xf>
    <xf numFmtId="2" fontId="75" fillId="52" borderId="80" xfId="93" applyNumberFormat="1" applyFont="1" applyFill="1" applyBorder="1" applyProtection="1">
      <protection locked="0"/>
    </xf>
    <xf numFmtId="2" fontId="75" fillId="52" borderId="80" xfId="94" applyNumberFormat="1" applyFont="1" applyFill="1" applyBorder="1" applyProtection="1">
      <protection locked="0"/>
    </xf>
    <xf numFmtId="1" fontId="75" fillId="52" borderId="80" xfId="93" applyNumberFormat="1" applyFont="1" applyFill="1" applyBorder="1" applyProtection="1">
      <protection locked="0"/>
    </xf>
    <xf numFmtId="169" fontId="75" fillId="52" borderId="80" xfId="94" applyNumberFormat="1" applyFont="1" applyFill="1" applyBorder="1" applyProtection="1">
      <protection locked="0"/>
    </xf>
    <xf numFmtId="40" fontId="75" fillId="52" borderId="27" xfId="93" applyNumberFormat="1" applyFont="1" applyFill="1" applyBorder="1" applyProtection="1">
      <protection locked="0"/>
    </xf>
    <xf numFmtId="40" fontId="75" fillId="52" borderId="3" xfId="93" applyNumberFormat="1" applyFont="1" applyFill="1" applyBorder="1" applyProtection="1">
      <protection locked="0"/>
    </xf>
    <xf numFmtId="40" fontId="79" fillId="52" borderId="22" xfId="93" applyNumberFormat="1" applyFont="1" applyFill="1" applyBorder="1" applyProtection="1">
      <protection locked="0"/>
    </xf>
    <xf numFmtId="40" fontId="75" fillId="52" borderId="15" xfId="93" applyNumberFormat="1" applyFont="1" applyFill="1" applyBorder="1" applyProtection="1">
      <protection locked="0"/>
    </xf>
    <xf numFmtId="40" fontId="80" fillId="52" borderId="80" xfId="93" applyNumberFormat="1" applyFont="1" applyFill="1" applyBorder="1" applyProtection="1">
      <protection locked="0"/>
    </xf>
    <xf numFmtId="40" fontId="79" fillId="52" borderId="27" xfId="93" applyNumberFormat="1" applyFont="1" applyFill="1" applyBorder="1" applyProtection="1">
      <protection locked="0"/>
    </xf>
    <xf numFmtId="40" fontId="79" fillId="52" borderId="3" xfId="93" applyNumberFormat="1" applyFont="1" applyFill="1" applyBorder="1" applyProtection="1">
      <protection locked="0"/>
    </xf>
    <xf numFmtId="0" fontId="139" fillId="52" borderId="0" xfId="93" applyFont="1" applyFill="1" applyProtection="1">
      <protection locked="0"/>
    </xf>
    <xf numFmtId="2" fontId="79" fillId="52" borderId="80" xfId="93" applyNumberFormat="1" applyFont="1" applyFill="1" applyBorder="1" applyProtection="1">
      <protection locked="0"/>
    </xf>
    <xf numFmtId="9" fontId="71" fillId="52" borderId="80" xfId="257" applyFont="1" applyFill="1" applyBorder="1"/>
    <xf numFmtId="0" fontId="79" fillId="52" borderId="0" xfId="93" applyFont="1" applyFill="1" applyProtection="1">
      <protection locked="0"/>
    </xf>
    <xf numFmtId="0" fontId="22" fillId="52" borderId="0" xfId="93" applyFont="1" applyFill="1" applyProtection="1">
      <protection locked="0"/>
    </xf>
    <xf numFmtId="172" fontId="22" fillId="52" borderId="0" xfId="93" applyNumberFormat="1" applyFont="1" applyFill="1" applyProtection="1">
      <protection locked="0"/>
    </xf>
    <xf numFmtId="2" fontId="22" fillId="52" borderId="0" xfId="93" applyNumberFormat="1" applyFont="1" applyFill="1" applyProtection="1">
      <protection locked="0"/>
    </xf>
    <xf numFmtId="0" fontId="75" fillId="22" borderId="0" xfId="93" applyFont="1" applyFill="1" applyAlignment="1" applyProtection="1">
      <alignment horizontal="center"/>
      <protection locked="0"/>
    </xf>
    <xf numFmtId="0" fontId="75" fillId="22" borderId="0" xfId="93" quotePrefix="1" applyFont="1" applyFill="1" applyProtection="1">
      <protection locked="0"/>
    </xf>
    <xf numFmtId="0" fontId="75" fillId="22" borderId="0" xfId="93" applyFont="1" applyFill="1" applyProtection="1">
      <protection locked="0"/>
    </xf>
    <xf numFmtId="0" fontId="76" fillId="22" borderId="0" xfId="93" applyFont="1" applyFill="1" applyProtection="1">
      <protection locked="0"/>
    </xf>
    <xf numFmtId="0" fontId="75" fillId="22" borderId="80" xfId="93" applyFont="1" applyFill="1" applyBorder="1" applyAlignment="1" applyProtection="1">
      <alignment horizontal="left"/>
      <protection locked="0"/>
    </xf>
    <xf numFmtId="0" fontId="75" fillId="22" borderId="80" xfId="93" applyFont="1" applyFill="1" applyBorder="1" applyProtection="1">
      <protection locked="0"/>
    </xf>
    <xf numFmtId="170" fontId="88" fillId="22" borderId="0" xfId="93" applyNumberFormat="1" applyFont="1" applyFill="1" applyProtection="1">
      <protection locked="0"/>
    </xf>
    <xf numFmtId="1" fontId="79" fillId="22" borderId="80" xfId="93" applyNumberFormat="1" applyFont="1" applyFill="1" applyBorder="1" applyProtection="1">
      <protection locked="0"/>
    </xf>
    <xf numFmtId="0" fontId="145" fillId="22" borderId="80" xfId="93" applyFont="1" applyFill="1" applyBorder="1" applyProtection="1">
      <protection locked="0"/>
    </xf>
    <xf numFmtId="40" fontId="79" fillId="22" borderId="26" xfId="93" applyNumberFormat="1" applyFont="1" applyFill="1" applyBorder="1" applyProtection="1">
      <protection locked="0"/>
    </xf>
    <xf numFmtId="40" fontId="79" fillId="22" borderId="23" xfId="93" applyNumberFormat="1" applyFont="1" applyFill="1" applyBorder="1" applyProtection="1">
      <protection locked="0"/>
    </xf>
    <xf numFmtId="40" fontId="79" fillId="22" borderId="22" xfId="93" applyNumberFormat="1" applyFont="1" applyFill="1" applyBorder="1" applyProtection="1">
      <protection locked="0"/>
    </xf>
    <xf numFmtId="40" fontId="79" fillId="22" borderId="25" xfId="93" applyNumberFormat="1" applyFont="1" applyFill="1" applyBorder="1" applyProtection="1">
      <protection locked="0"/>
    </xf>
    <xf numFmtId="40" fontId="79" fillId="22" borderId="24" xfId="93" applyNumberFormat="1" applyFont="1" applyFill="1" applyBorder="1" applyProtection="1">
      <protection locked="0"/>
    </xf>
    <xf numFmtId="40" fontId="79" fillId="22" borderId="3" xfId="93" applyNumberFormat="1" applyFont="1" applyFill="1" applyBorder="1" applyProtection="1">
      <protection locked="0"/>
    </xf>
    <xf numFmtId="0" fontId="170" fillId="22" borderId="0" xfId="93" applyFont="1" applyFill="1" applyProtection="1">
      <protection locked="0"/>
    </xf>
    <xf numFmtId="9" fontId="71" fillId="22" borderId="80" xfId="257" applyFont="1" applyFill="1" applyBorder="1"/>
    <xf numFmtId="0" fontId="22" fillId="22" borderId="0" xfId="93" applyFont="1" applyFill="1" applyProtection="1">
      <protection locked="0"/>
    </xf>
    <xf numFmtId="172" fontId="22" fillId="22" borderId="0" xfId="93" applyNumberFormat="1" applyFont="1" applyFill="1" applyProtection="1">
      <protection locked="0"/>
    </xf>
    <xf numFmtId="2" fontId="22" fillId="22" borderId="0" xfId="93" applyNumberFormat="1" applyFont="1" applyFill="1" applyProtection="1">
      <protection locked="0"/>
    </xf>
    <xf numFmtId="17" fontId="0" fillId="0" borderId="0" xfId="0" applyNumberFormat="1"/>
    <xf numFmtId="0" fontId="29" fillId="21" borderId="45" xfId="93" applyFont="1" applyFill="1" applyBorder="1"/>
    <xf numFmtId="168" fontId="49" fillId="22" borderId="0" xfId="109" applyFill="1"/>
    <xf numFmtId="0" fontId="139" fillId="32" borderId="80" xfId="93" applyFont="1" applyFill="1" applyBorder="1" applyProtection="1">
      <protection locked="0"/>
    </xf>
    <xf numFmtId="0" fontId="75" fillId="29" borderId="0" xfId="93" applyFont="1" applyFill="1" applyAlignment="1" applyProtection="1">
      <alignment horizontal="left"/>
      <protection locked="0"/>
    </xf>
    <xf numFmtId="0" fontId="32" fillId="53" borderId="0" xfId="0" applyFont="1" applyFill="1" applyAlignment="1">
      <alignment horizontal="center" vertical="center"/>
    </xf>
    <xf numFmtId="168" fontId="32" fillId="53" borderId="0" xfId="109" applyFont="1" applyFill="1" applyAlignment="1">
      <alignment horizontal="center" vertical="center"/>
    </xf>
    <xf numFmtId="168" fontId="32" fillId="53" borderId="0" xfId="109" applyFont="1" applyFill="1" applyAlignment="1">
      <alignment horizontal="center" vertical="center" wrapText="1"/>
    </xf>
    <xf numFmtId="168" fontId="0" fillId="0" borderId="0" xfId="109" applyFont="1"/>
    <xf numFmtId="168" fontId="49" fillId="0" borderId="54" xfId="109" applyBorder="1"/>
    <xf numFmtId="168" fontId="32" fillId="0" borderId="0" xfId="0" applyNumberFormat="1" applyFont="1"/>
    <xf numFmtId="0" fontId="171" fillId="0" borderId="0" xfId="0" applyFont="1" applyAlignment="1">
      <alignment horizontal="right"/>
    </xf>
    <xf numFmtId="0" fontId="0" fillId="0" borderId="0" xfId="0" applyAlignment="1">
      <alignment horizontal="right"/>
    </xf>
    <xf numFmtId="0" fontId="151" fillId="20" borderId="72" xfId="93" applyFont="1" applyFill="1" applyBorder="1" applyAlignment="1" applyProtection="1">
      <alignment horizontal="center"/>
      <protection locked="0"/>
    </xf>
    <xf numFmtId="0" fontId="76" fillId="11" borderId="3" xfId="93" applyFont="1" applyFill="1" applyBorder="1" applyAlignment="1" applyProtection="1">
      <alignment horizontal="center"/>
      <protection locked="0"/>
    </xf>
    <xf numFmtId="0" fontId="137" fillId="11" borderId="0" xfId="93" applyFont="1" applyFill="1" applyAlignment="1" applyProtection="1">
      <alignment horizontal="center"/>
      <protection locked="0"/>
    </xf>
    <xf numFmtId="0" fontId="137" fillId="18" borderId="0" xfId="93" applyFont="1" applyFill="1" applyAlignment="1" applyProtection="1">
      <alignment horizontal="center"/>
      <protection locked="0"/>
    </xf>
    <xf numFmtId="0" fontId="80" fillId="6" borderId="69" xfId="93" applyFont="1" applyFill="1" applyBorder="1" applyAlignment="1" applyProtection="1">
      <alignment horizontal="center"/>
      <protection locked="0"/>
    </xf>
    <xf numFmtId="0" fontId="80" fillId="13" borderId="69" xfId="93" applyFont="1" applyFill="1" applyBorder="1" applyAlignment="1" applyProtection="1">
      <alignment horizontal="center"/>
      <protection locked="0"/>
    </xf>
    <xf numFmtId="0" fontId="80" fillId="17" borderId="69" xfId="93" applyFont="1" applyFill="1" applyBorder="1" applyAlignment="1" applyProtection="1">
      <alignment horizontal="center"/>
      <protection locked="0"/>
    </xf>
    <xf numFmtId="0" fontId="80" fillId="3" borderId="69" xfId="93" applyFont="1" applyFill="1" applyBorder="1" applyAlignment="1" applyProtection="1">
      <alignment horizontal="center"/>
      <protection locked="0"/>
    </xf>
    <xf numFmtId="0" fontId="89" fillId="16" borderId="69" xfId="93" applyFont="1" applyFill="1" applyBorder="1" applyAlignment="1" applyProtection="1">
      <alignment horizontal="center" wrapText="1"/>
      <protection locked="0"/>
    </xf>
    <xf numFmtId="0" fontId="142" fillId="20" borderId="20" xfId="93" applyFont="1" applyFill="1" applyBorder="1" applyAlignment="1" applyProtection="1">
      <alignment horizontal="center"/>
      <protection locked="0"/>
    </xf>
    <xf numFmtId="0" fontId="142" fillId="19" borderId="72" xfId="93" applyFont="1" applyFill="1" applyBorder="1" applyAlignment="1" applyProtection="1">
      <alignment horizontal="center"/>
      <protection locked="0"/>
    </xf>
    <xf numFmtId="0" fontId="142" fillId="17" borderId="19" xfId="93" applyFont="1" applyFill="1" applyBorder="1" applyAlignment="1" applyProtection="1">
      <alignment horizontal="center"/>
      <protection locked="0"/>
    </xf>
    <xf numFmtId="0" fontId="142" fillId="11" borderId="70" xfId="93" applyFont="1" applyFill="1" applyBorder="1" applyAlignment="1" applyProtection="1">
      <alignment horizontal="center"/>
      <protection locked="0"/>
    </xf>
    <xf numFmtId="0" fontId="142" fillId="3" borderId="70" xfId="93" applyFont="1" applyFill="1" applyBorder="1" applyAlignment="1" applyProtection="1">
      <alignment horizontal="center"/>
      <protection locked="0"/>
    </xf>
    <xf numFmtId="0" fontId="77" fillId="6" borderId="7" xfId="93" applyFont="1" applyFill="1" applyBorder="1" applyAlignment="1" applyProtection="1">
      <alignment horizontal="center"/>
      <protection locked="0"/>
    </xf>
    <xf numFmtId="170" fontId="143" fillId="16" borderId="75" xfId="93" applyNumberFormat="1" applyFont="1" applyFill="1" applyBorder="1" applyAlignment="1" applyProtection="1">
      <alignment horizontal="center" vertical="center" wrapText="1"/>
      <protection locked="0"/>
    </xf>
    <xf numFmtId="170" fontId="143" fillId="16" borderId="79" xfId="93" applyNumberFormat="1" applyFont="1" applyFill="1" applyBorder="1" applyAlignment="1" applyProtection="1">
      <alignment horizontal="center" vertical="center" wrapText="1"/>
      <protection locked="0"/>
    </xf>
    <xf numFmtId="0" fontId="151" fillId="19" borderId="72" xfId="93" applyFont="1" applyFill="1" applyBorder="1" applyAlignment="1" applyProtection="1">
      <alignment horizontal="center"/>
      <protection locked="0"/>
    </xf>
    <xf numFmtId="0" fontId="151" fillId="17" borderId="72" xfId="93" applyFont="1" applyFill="1" applyBorder="1" applyAlignment="1" applyProtection="1">
      <alignment horizontal="center"/>
      <protection locked="0"/>
    </xf>
    <xf numFmtId="0" fontId="151" fillId="11" borderId="72" xfId="93" applyFont="1" applyFill="1" applyBorder="1" applyAlignment="1" applyProtection="1">
      <alignment horizontal="center"/>
      <protection locked="0"/>
    </xf>
    <xf numFmtId="0" fontId="151" fillId="3" borderId="72" xfId="93" applyFont="1" applyFill="1" applyBorder="1" applyAlignment="1" applyProtection="1">
      <alignment horizontal="center"/>
      <protection locked="0"/>
    </xf>
    <xf numFmtId="0" fontId="140" fillId="16" borderId="0" xfId="93" applyFont="1" applyFill="1" applyAlignment="1" applyProtection="1">
      <alignment horizontal="center" vertical="center"/>
      <protection locked="0"/>
    </xf>
    <xf numFmtId="0" fontId="144" fillId="16" borderId="58" xfId="93" applyFont="1" applyFill="1" applyBorder="1" applyAlignment="1" applyProtection="1">
      <alignment horizontal="center"/>
      <protection locked="0"/>
    </xf>
    <xf numFmtId="0" fontId="144" fillId="16" borderId="59" xfId="93" applyFont="1" applyFill="1" applyBorder="1" applyAlignment="1" applyProtection="1">
      <alignment horizontal="center"/>
      <protection locked="0"/>
    </xf>
    <xf numFmtId="0" fontId="144" fillId="16" borderId="60" xfId="93" applyFont="1" applyFill="1" applyBorder="1" applyAlignment="1" applyProtection="1">
      <alignment horizontal="center"/>
      <protection locked="0"/>
    </xf>
    <xf numFmtId="0" fontId="140" fillId="33" borderId="0" xfId="93" applyFont="1" applyFill="1" applyAlignment="1" applyProtection="1">
      <alignment horizontal="left"/>
      <protection locked="0"/>
    </xf>
    <xf numFmtId="170" fontId="139" fillId="0" borderId="49" xfId="93" applyNumberFormat="1" applyFont="1" applyBorder="1" applyAlignment="1" applyProtection="1">
      <alignment horizontal="center"/>
      <protection locked="0"/>
    </xf>
    <xf numFmtId="0" fontId="141" fillId="16" borderId="50" xfId="93" applyFont="1" applyFill="1" applyBorder="1" applyAlignment="1" applyProtection="1">
      <alignment horizontal="center"/>
      <protection locked="0"/>
    </xf>
    <xf numFmtId="0" fontId="141" fillId="16" borderId="51" xfId="93" applyFont="1" applyFill="1" applyBorder="1" applyAlignment="1" applyProtection="1">
      <alignment horizontal="center"/>
      <protection locked="0"/>
    </xf>
    <xf numFmtId="0" fontId="141" fillId="16" borderId="52" xfId="93" applyFont="1" applyFill="1" applyBorder="1" applyAlignment="1" applyProtection="1">
      <alignment horizontal="center"/>
      <protection locked="0"/>
    </xf>
    <xf numFmtId="0" fontId="117" fillId="11" borderId="3" xfId="93" applyFont="1" applyFill="1" applyBorder="1" applyAlignment="1" applyProtection="1">
      <alignment horizontal="center"/>
      <protection locked="0"/>
    </xf>
    <xf numFmtId="168" fontId="116" fillId="16" borderId="45" xfId="109" applyFont="1" applyFill="1" applyBorder="1" applyAlignment="1" applyProtection="1">
      <alignment horizontal="center"/>
      <protection locked="0"/>
    </xf>
    <xf numFmtId="168" fontId="116" fillId="43" borderId="45" xfId="109" applyFont="1" applyFill="1" applyBorder="1" applyAlignment="1" applyProtection="1">
      <alignment horizontal="center"/>
      <protection locked="0"/>
    </xf>
    <xf numFmtId="9" fontId="96" fillId="0" borderId="3" xfId="257" applyFont="1" applyBorder="1" applyAlignment="1" applyProtection="1">
      <alignment horizontal="center"/>
      <protection locked="0"/>
    </xf>
    <xf numFmtId="0" fontId="96" fillId="11" borderId="3" xfId="93" applyFont="1" applyFill="1" applyBorder="1" applyAlignment="1" applyProtection="1">
      <alignment horizontal="center"/>
      <protection locked="0"/>
    </xf>
    <xf numFmtId="168" fontId="115" fillId="43" borderId="45" xfId="109" applyFont="1" applyFill="1" applyBorder="1" applyAlignment="1" applyProtection="1">
      <alignment horizontal="center"/>
      <protection locked="0"/>
    </xf>
    <xf numFmtId="9" fontId="110" fillId="41" borderId="0" xfId="257" applyFont="1" applyFill="1" applyAlignment="1" applyProtection="1">
      <alignment horizontal="center"/>
      <protection locked="0"/>
    </xf>
    <xf numFmtId="9" fontId="100" fillId="42" borderId="45" xfId="257" applyFont="1" applyFill="1" applyBorder="1" applyAlignment="1" applyProtection="1">
      <alignment horizontal="center"/>
      <protection locked="0"/>
    </xf>
    <xf numFmtId="168" fontId="115" fillId="16" borderId="45" xfId="109" applyFont="1" applyFill="1" applyBorder="1" applyAlignment="1" applyProtection="1">
      <alignment horizontal="center"/>
      <protection locked="0"/>
    </xf>
    <xf numFmtId="168" fontId="116" fillId="41" borderId="0" xfId="109" applyFont="1" applyFill="1" applyBorder="1" applyAlignment="1" applyProtection="1">
      <alignment horizontal="center"/>
      <protection locked="0"/>
    </xf>
    <xf numFmtId="168" fontId="116" fillId="42" borderId="45" xfId="109" applyFont="1" applyFill="1" applyBorder="1" applyAlignment="1" applyProtection="1">
      <alignment horizontal="center"/>
      <protection locked="0"/>
    </xf>
    <xf numFmtId="2" fontId="150" fillId="0" borderId="37" xfId="93" applyNumberFormat="1" applyFont="1" applyBorder="1" applyAlignment="1">
      <alignment horizontal="center" vertical="center" wrapText="1"/>
    </xf>
    <xf numFmtId="2" fontId="150" fillId="21" borderId="27" xfId="93" applyNumberFormat="1" applyFont="1" applyFill="1" applyBorder="1" applyAlignment="1">
      <alignment horizontal="center" vertical="center" wrapText="1"/>
    </xf>
    <xf numFmtId="170" fontId="150" fillId="0" borderId="37" xfId="93" applyNumberFormat="1" applyFont="1" applyBorder="1" applyAlignment="1">
      <alignment horizontal="center" vertical="center"/>
    </xf>
    <xf numFmtId="2" fontId="150" fillId="0" borderId="37" xfId="93" applyNumberFormat="1" applyFont="1" applyBorder="1" applyAlignment="1">
      <alignment horizontal="center" vertical="center"/>
    </xf>
    <xf numFmtId="170" fontId="150" fillId="0" borderId="37" xfId="93" applyNumberFormat="1" applyFont="1" applyBorder="1" applyAlignment="1">
      <alignment horizontal="center" wrapText="1"/>
    </xf>
    <xf numFmtId="170" fontId="150" fillId="0" borderId="15" xfId="93" applyNumberFormat="1" applyFont="1" applyBorder="1" applyAlignment="1">
      <alignment horizontal="center" wrapText="1"/>
    </xf>
    <xf numFmtId="170" fontId="150" fillId="0" borderId="37" xfId="93" applyNumberFormat="1" applyFont="1" applyBorder="1" applyAlignment="1">
      <alignment horizontal="center" vertical="center" wrapText="1"/>
    </xf>
    <xf numFmtId="0" fontId="155" fillId="33" borderId="0" xfId="93" applyFont="1" applyFill="1" applyAlignment="1">
      <alignment horizontal="left"/>
    </xf>
    <xf numFmtId="0" fontId="155" fillId="0" borderId="0" xfId="93" applyFont="1" applyAlignment="1">
      <alignment horizontal="left"/>
    </xf>
    <xf numFmtId="170" fontId="150" fillId="0" borderId="3" xfId="93" applyNumberFormat="1" applyFont="1" applyBorder="1" applyAlignment="1">
      <alignment horizontal="center"/>
    </xf>
    <xf numFmtId="0" fontId="156" fillId="0" borderId="15" xfId="93" applyFont="1" applyBorder="1" applyAlignment="1">
      <alignment horizontal="center"/>
    </xf>
    <xf numFmtId="0" fontId="150" fillId="0" borderId="37" xfId="93" applyFont="1" applyBorder="1" applyAlignment="1">
      <alignment horizontal="center"/>
    </xf>
    <xf numFmtId="170" fontId="150" fillId="21" borderId="27" xfId="93" applyNumberFormat="1" applyFont="1" applyFill="1" applyBorder="1" applyAlignment="1">
      <alignment horizontal="center" wrapText="1"/>
    </xf>
    <xf numFmtId="170" fontId="150" fillId="0" borderId="3" xfId="93" applyNumberFormat="1" applyFont="1" applyBorder="1" applyAlignment="1">
      <alignment horizontal="center" wrapText="1"/>
    </xf>
    <xf numFmtId="170" fontId="28" fillId="0" borderId="7" xfId="93" applyNumberFormat="1" applyFont="1" applyBorder="1" applyAlignment="1">
      <alignment horizontal="center"/>
    </xf>
    <xf numFmtId="0" fontId="28" fillId="0" borderId="15" xfId="93" applyFont="1" applyBorder="1" applyAlignment="1">
      <alignment horizontal="center"/>
    </xf>
    <xf numFmtId="0" fontId="28" fillId="0" borderId="37" xfId="93" applyFont="1" applyBorder="1" applyAlignment="1">
      <alignment horizontal="center"/>
    </xf>
    <xf numFmtId="0" fontId="28" fillId="0" borderId="6" xfId="93" applyFont="1" applyBorder="1" applyAlignment="1">
      <alignment horizontal="center"/>
    </xf>
    <xf numFmtId="170" fontId="28" fillId="0" borderId="36" xfId="93" applyNumberFormat="1" applyFont="1" applyBorder="1" applyAlignment="1">
      <alignment horizontal="center" wrapText="1"/>
    </xf>
    <xf numFmtId="170" fontId="28" fillId="0" borderId="7" xfId="93" applyNumberFormat="1" applyFont="1" applyBorder="1" applyAlignment="1">
      <alignment horizontal="center" wrapText="1"/>
    </xf>
    <xf numFmtId="170" fontId="28" fillId="0" borderId="37" xfId="93" applyNumberFormat="1" applyFont="1" applyBorder="1" applyAlignment="1">
      <alignment horizontal="center" wrapText="1"/>
    </xf>
    <xf numFmtId="170" fontId="25" fillId="0" borderId="15" xfId="93" applyNumberFormat="1" applyFont="1" applyBorder="1" applyAlignment="1">
      <alignment horizontal="center" wrapText="1"/>
    </xf>
    <xf numFmtId="170" fontId="25" fillId="0" borderId="37" xfId="93" applyNumberFormat="1" applyFont="1" applyBorder="1" applyAlignment="1">
      <alignment horizontal="center" wrapText="1"/>
    </xf>
    <xf numFmtId="170" fontId="25" fillId="0" borderId="37" xfId="93" applyNumberFormat="1" applyFont="1" applyBorder="1" applyAlignment="1">
      <alignment horizontal="center"/>
    </xf>
    <xf numFmtId="0" fontId="82" fillId="29" borderId="45" xfId="266" applyFont="1" applyFill="1" applyBorder="1" applyAlignment="1">
      <alignment horizontal="center" wrapText="1"/>
    </xf>
    <xf numFmtId="0" fontId="72" fillId="29" borderId="52" xfId="266" applyFont="1" applyFill="1" applyBorder="1" applyAlignment="1">
      <alignment horizontal="center" vertical="center" wrapText="1"/>
    </xf>
    <xf numFmtId="0" fontId="72" fillId="29" borderId="55" xfId="266" applyFont="1" applyFill="1" applyBorder="1" applyAlignment="1">
      <alignment horizontal="center" vertical="center" wrapText="1"/>
    </xf>
    <xf numFmtId="0" fontId="66" fillId="22" borderId="0" xfId="266" applyFont="1" applyFill="1" applyAlignment="1">
      <alignment horizontal="center"/>
    </xf>
    <xf numFmtId="0" fontId="32" fillId="0" borderId="0" xfId="0" applyFont="1" applyAlignment="1">
      <alignment horizontal="center"/>
    </xf>
  </cellXfs>
  <cellStyles count="296">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Campo de la tabla dinámica" xfId="13" xr:uid="{00000000-0005-0000-0000-00000C000000}"/>
    <cellStyle name="Categoría de la tabla dinámica" xfId="14" xr:uid="{00000000-0005-0000-0000-00000D000000}"/>
    <cellStyle name="Comma 2" xfId="15" xr:uid="{00000000-0005-0000-0000-00000E000000}"/>
    <cellStyle name="Comma 3" xfId="16" xr:uid="{00000000-0005-0000-0000-00000F000000}"/>
    <cellStyle name="Comma 3 10" xfId="17" xr:uid="{00000000-0005-0000-0000-000010000000}"/>
    <cellStyle name="Comma 3 11" xfId="18" xr:uid="{00000000-0005-0000-0000-000011000000}"/>
    <cellStyle name="Comma 3 2" xfId="19" xr:uid="{00000000-0005-0000-0000-000012000000}"/>
    <cellStyle name="Comma 3 2 2" xfId="20" xr:uid="{00000000-0005-0000-0000-000013000000}"/>
    <cellStyle name="Comma 3 2 2 2" xfId="21" xr:uid="{00000000-0005-0000-0000-000014000000}"/>
    <cellStyle name="Comma 3 2 2 3" xfId="22" xr:uid="{00000000-0005-0000-0000-000015000000}"/>
    <cellStyle name="Comma 3 2 2 4" xfId="23" xr:uid="{00000000-0005-0000-0000-000016000000}"/>
    <cellStyle name="Comma 3 2 2 5" xfId="24" xr:uid="{00000000-0005-0000-0000-000017000000}"/>
    <cellStyle name="Comma 3 2 2 6" xfId="25" xr:uid="{00000000-0005-0000-0000-000018000000}"/>
    <cellStyle name="Comma 3 2 2 7" xfId="26" xr:uid="{00000000-0005-0000-0000-000019000000}"/>
    <cellStyle name="Comma 3 2 2 8" xfId="27" xr:uid="{00000000-0005-0000-0000-00001A000000}"/>
    <cellStyle name="Comma 3 2 3" xfId="28" xr:uid="{00000000-0005-0000-0000-00001B000000}"/>
    <cellStyle name="Comma 3 2 4" xfId="29" xr:uid="{00000000-0005-0000-0000-00001C000000}"/>
    <cellStyle name="Comma 3 2 5" xfId="30" xr:uid="{00000000-0005-0000-0000-00001D000000}"/>
    <cellStyle name="Comma 3 2 6" xfId="31" xr:uid="{00000000-0005-0000-0000-00001E000000}"/>
    <cellStyle name="Comma 3 2 7" xfId="32" xr:uid="{00000000-0005-0000-0000-00001F000000}"/>
    <cellStyle name="Comma 3 2 8" xfId="33" xr:uid="{00000000-0005-0000-0000-000020000000}"/>
    <cellStyle name="Comma 3 2 9" xfId="34" xr:uid="{00000000-0005-0000-0000-000021000000}"/>
    <cellStyle name="Comma 3 2_RECIBO E IGSS ECONACIONAL" xfId="35" xr:uid="{00000000-0005-0000-0000-000022000000}"/>
    <cellStyle name="Comma 3 3" xfId="36" xr:uid="{00000000-0005-0000-0000-000023000000}"/>
    <cellStyle name="Comma 3 3 2" xfId="37" xr:uid="{00000000-0005-0000-0000-000024000000}"/>
    <cellStyle name="Comma 3 3 3" xfId="38" xr:uid="{00000000-0005-0000-0000-000025000000}"/>
    <cellStyle name="Comma 3 3 4" xfId="39" xr:uid="{00000000-0005-0000-0000-000026000000}"/>
    <cellStyle name="Comma 3 3 5" xfId="40" xr:uid="{00000000-0005-0000-0000-000027000000}"/>
    <cellStyle name="Comma 3 3 6" xfId="41" xr:uid="{00000000-0005-0000-0000-000028000000}"/>
    <cellStyle name="Comma 3 3 7" xfId="42" xr:uid="{00000000-0005-0000-0000-000029000000}"/>
    <cellStyle name="Comma 3 3 8" xfId="43" xr:uid="{00000000-0005-0000-0000-00002A000000}"/>
    <cellStyle name="Comma 3 4" xfId="44" xr:uid="{00000000-0005-0000-0000-00002B000000}"/>
    <cellStyle name="Comma 3 4 2" xfId="45" xr:uid="{00000000-0005-0000-0000-00002C000000}"/>
    <cellStyle name="Comma 3 4 3" xfId="46" xr:uid="{00000000-0005-0000-0000-00002D000000}"/>
    <cellStyle name="Comma 3 4 4" xfId="47" xr:uid="{00000000-0005-0000-0000-00002E000000}"/>
    <cellStyle name="Comma 3 4 5" xfId="48" xr:uid="{00000000-0005-0000-0000-00002F000000}"/>
    <cellStyle name="Comma 3 5" xfId="49" xr:uid="{00000000-0005-0000-0000-000030000000}"/>
    <cellStyle name="Comma 3 6" xfId="50" xr:uid="{00000000-0005-0000-0000-000031000000}"/>
    <cellStyle name="Comma 3 7" xfId="51" xr:uid="{00000000-0005-0000-0000-000032000000}"/>
    <cellStyle name="Comma 3 8" xfId="52" xr:uid="{00000000-0005-0000-0000-000033000000}"/>
    <cellStyle name="Comma 3 9" xfId="53" xr:uid="{00000000-0005-0000-0000-000034000000}"/>
    <cellStyle name="Comma 3_RECIBO E IGSS ECONACIONAL" xfId="54" xr:uid="{00000000-0005-0000-0000-000035000000}"/>
    <cellStyle name="Comma 4" xfId="55" xr:uid="{00000000-0005-0000-0000-000036000000}"/>
    <cellStyle name="Comma 4 10" xfId="56" xr:uid="{00000000-0005-0000-0000-000037000000}"/>
    <cellStyle name="Comma 4 2" xfId="57" xr:uid="{00000000-0005-0000-0000-000038000000}"/>
    <cellStyle name="Comma 4 2 2" xfId="58" xr:uid="{00000000-0005-0000-0000-000039000000}"/>
    <cellStyle name="Comma 4 2 3" xfId="59" xr:uid="{00000000-0005-0000-0000-00003A000000}"/>
    <cellStyle name="Comma 4 2 4" xfId="60" xr:uid="{00000000-0005-0000-0000-00003B000000}"/>
    <cellStyle name="Comma 4 2 5" xfId="61" xr:uid="{00000000-0005-0000-0000-00003C000000}"/>
    <cellStyle name="Comma 4 2 6" xfId="62" xr:uid="{00000000-0005-0000-0000-00003D000000}"/>
    <cellStyle name="Comma 4 2 7" xfId="63" xr:uid="{00000000-0005-0000-0000-00003E000000}"/>
    <cellStyle name="Comma 4 2 8" xfId="64" xr:uid="{00000000-0005-0000-0000-00003F000000}"/>
    <cellStyle name="Comma 4 3" xfId="65" xr:uid="{00000000-0005-0000-0000-000040000000}"/>
    <cellStyle name="Comma 4 4" xfId="66" xr:uid="{00000000-0005-0000-0000-000041000000}"/>
    <cellStyle name="Comma 4 5" xfId="67" xr:uid="{00000000-0005-0000-0000-000042000000}"/>
    <cellStyle name="Comma 4 6" xfId="68" xr:uid="{00000000-0005-0000-0000-000043000000}"/>
    <cellStyle name="Comma 4 7" xfId="69" xr:uid="{00000000-0005-0000-0000-000044000000}"/>
    <cellStyle name="Comma 4 8" xfId="70" xr:uid="{00000000-0005-0000-0000-000045000000}"/>
    <cellStyle name="Comma 4 9" xfId="71" xr:uid="{00000000-0005-0000-0000-000046000000}"/>
    <cellStyle name="Comma 4_RECIBO E IGSS ECONACIONAL" xfId="72" xr:uid="{00000000-0005-0000-0000-000047000000}"/>
    <cellStyle name="Comma 5" xfId="73" xr:uid="{00000000-0005-0000-0000-000048000000}"/>
    <cellStyle name="Comma 5 2" xfId="74" xr:uid="{00000000-0005-0000-0000-000049000000}"/>
    <cellStyle name="Comma 5 3" xfId="75" xr:uid="{00000000-0005-0000-0000-00004A000000}"/>
    <cellStyle name="Comma 5 4" xfId="76" xr:uid="{00000000-0005-0000-0000-00004B000000}"/>
    <cellStyle name="Comma 5 5" xfId="77" xr:uid="{00000000-0005-0000-0000-00004C000000}"/>
    <cellStyle name="Comma 5 6" xfId="78" xr:uid="{00000000-0005-0000-0000-00004D000000}"/>
    <cellStyle name="Comma 6" xfId="79" xr:uid="{00000000-0005-0000-0000-00004E000000}"/>
    <cellStyle name="Comma 6 2" xfId="80" xr:uid="{00000000-0005-0000-0000-00004F000000}"/>
    <cellStyle name="Comma 7" xfId="81" xr:uid="{00000000-0005-0000-0000-000050000000}"/>
    <cellStyle name="Comma 8" xfId="82" xr:uid="{00000000-0005-0000-0000-000051000000}"/>
    <cellStyle name="Currency 2" xfId="83" xr:uid="{00000000-0005-0000-0000-000052000000}"/>
    <cellStyle name="Currency 2 2" xfId="84" xr:uid="{00000000-0005-0000-0000-000053000000}"/>
    <cellStyle name="Currency 2 3" xfId="85" xr:uid="{00000000-0005-0000-0000-000054000000}"/>
    <cellStyle name="Currency 3" xfId="86" xr:uid="{00000000-0005-0000-0000-000055000000}"/>
    <cellStyle name="Currency 3 2" xfId="87" xr:uid="{00000000-0005-0000-0000-000056000000}"/>
    <cellStyle name="Currency 3 3" xfId="88" xr:uid="{00000000-0005-0000-0000-000057000000}"/>
    <cellStyle name="Currency 3 4" xfId="89" xr:uid="{00000000-0005-0000-0000-000058000000}"/>
    <cellStyle name="Currency 4" xfId="90" xr:uid="{00000000-0005-0000-0000-000059000000}"/>
    <cellStyle name="Currency 5" xfId="91" xr:uid="{00000000-0005-0000-0000-00005A000000}"/>
    <cellStyle name="Esquina de la tabla dinámica" xfId="92" xr:uid="{00000000-0005-0000-0000-00005B000000}"/>
    <cellStyle name="Excel Built-in Normal" xfId="93" xr:uid="{00000000-0005-0000-0000-00005C000000}"/>
    <cellStyle name="Millares" xfId="94" builtinId="3"/>
    <cellStyle name="Millares 2" xfId="95" xr:uid="{00000000-0005-0000-0000-00005E000000}"/>
    <cellStyle name="Millares 2 2" xfId="96" xr:uid="{00000000-0005-0000-0000-00005F000000}"/>
    <cellStyle name="Millares 2 2 2" xfId="97" xr:uid="{00000000-0005-0000-0000-000060000000}"/>
    <cellStyle name="Millares 2 2 2 2" xfId="98" xr:uid="{00000000-0005-0000-0000-000061000000}"/>
    <cellStyle name="Millares 2 2 3" xfId="99" xr:uid="{00000000-0005-0000-0000-000062000000}"/>
    <cellStyle name="Millares 2 2 3 2" xfId="100" xr:uid="{00000000-0005-0000-0000-000063000000}"/>
    <cellStyle name="Millares 2 2 4" xfId="101" xr:uid="{00000000-0005-0000-0000-000064000000}"/>
    <cellStyle name="Millares 2 3" xfId="102" xr:uid="{00000000-0005-0000-0000-000065000000}"/>
    <cellStyle name="Millares 2 3 2" xfId="103" xr:uid="{00000000-0005-0000-0000-000066000000}"/>
    <cellStyle name="Millares 2 4" xfId="104" xr:uid="{00000000-0005-0000-0000-000067000000}"/>
    <cellStyle name="Millares 2 4 2" xfId="105" xr:uid="{00000000-0005-0000-0000-000068000000}"/>
    <cellStyle name="Millares 2 5" xfId="106" xr:uid="{00000000-0005-0000-0000-000069000000}"/>
    <cellStyle name="Millares 2 5 2" xfId="107" xr:uid="{00000000-0005-0000-0000-00006A000000}"/>
    <cellStyle name="Millares 3" xfId="108" xr:uid="{00000000-0005-0000-0000-00006B000000}"/>
    <cellStyle name="Millares 4" xfId="267" xr:uid="{00000000-0005-0000-0000-00006C000000}"/>
    <cellStyle name="Millares 4 2" xfId="274" xr:uid="{00000000-0005-0000-0000-00006D000000}"/>
    <cellStyle name="Millares 4 2 2" xfId="289" xr:uid="{00000000-0005-0000-0000-00006E000000}"/>
    <cellStyle name="Millares 4 3" xfId="282" xr:uid="{00000000-0005-0000-0000-00006F000000}"/>
    <cellStyle name="Moneda" xfId="109" builtinId="4"/>
    <cellStyle name="Moneda 2" xfId="110" xr:uid="{00000000-0005-0000-0000-000071000000}"/>
    <cellStyle name="Moneda 2 2" xfId="111" xr:uid="{00000000-0005-0000-0000-000072000000}"/>
    <cellStyle name="Moneda 2 3" xfId="112" xr:uid="{00000000-0005-0000-0000-000073000000}"/>
    <cellStyle name="Moneda 2 4" xfId="113" xr:uid="{00000000-0005-0000-0000-000074000000}"/>
    <cellStyle name="Moneda 3" xfId="114" xr:uid="{00000000-0005-0000-0000-000075000000}"/>
    <cellStyle name="Moneda 3 2" xfId="115" xr:uid="{00000000-0005-0000-0000-000076000000}"/>
    <cellStyle name="Moneda 4" xfId="116" xr:uid="{00000000-0005-0000-0000-000077000000}"/>
    <cellStyle name="Moneda 5" xfId="117" xr:uid="{00000000-0005-0000-0000-000078000000}"/>
    <cellStyle name="Moneda 5 2" xfId="118" xr:uid="{00000000-0005-0000-0000-000079000000}"/>
    <cellStyle name="Moneda 6" xfId="119" xr:uid="{00000000-0005-0000-0000-00007A000000}"/>
    <cellStyle name="Moneda 6 2" xfId="120" xr:uid="{00000000-0005-0000-0000-00007B000000}"/>
    <cellStyle name="Moneda 7" xfId="121" xr:uid="{00000000-0005-0000-0000-00007C000000}"/>
    <cellStyle name="Normal" xfId="0" builtinId="0"/>
    <cellStyle name="Normal 10" xfId="122" xr:uid="{00000000-0005-0000-0000-00007E000000}"/>
    <cellStyle name="Normal 10 2" xfId="123" xr:uid="{00000000-0005-0000-0000-00007F000000}"/>
    <cellStyle name="Normal 10 3" xfId="124" xr:uid="{00000000-0005-0000-0000-000080000000}"/>
    <cellStyle name="Normal 11" xfId="125" xr:uid="{00000000-0005-0000-0000-000081000000}"/>
    <cellStyle name="Normal 12" xfId="126" xr:uid="{00000000-0005-0000-0000-000082000000}"/>
    <cellStyle name="Normal 13" xfId="266" xr:uid="{00000000-0005-0000-0000-000083000000}"/>
    <cellStyle name="Normal 13 2" xfId="269" xr:uid="{00000000-0005-0000-0000-000084000000}"/>
    <cellStyle name="Normal 13 2 2" xfId="276" xr:uid="{00000000-0005-0000-0000-000085000000}"/>
    <cellStyle name="Normal 13 2 2 2" xfId="291" xr:uid="{00000000-0005-0000-0000-000086000000}"/>
    <cellStyle name="Normal 13 2 3" xfId="280" xr:uid="{00000000-0005-0000-0000-000087000000}"/>
    <cellStyle name="Normal 13 2 3 2" xfId="295" xr:uid="{00000000-0005-0000-0000-000088000000}"/>
    <cellStyle name="Normal 13 2 4" xfId="284" xr:uid="{00000000-0005-0000-0000-000089000000}"/>
    <cellStyle name="Normal 13 3" xfId="273" xr:uid="{00000000-0005-0000-0000-00008A000000}"/>
    <cellStyle name="Normal 13 3 2" xfId="288" xr:uid="{00000000-0005-0000-0000-00008B000000}"/>
    <cellStyle name="Normal 13 4" xfId="281" xr:uid="{00000000-0005-0000-0000-00008C000000}"/>
    <cellStyle name="Normal 14" xfId="268" xr:uid="{00000000-0005-0000-0000-00008D000000}"/>
    <cellStyle name="Normal 14 2" xfId="275" xr:uid="{00000000-0005-0000-0000-00008E000000}"/>
    <cellStyle name="Normal 14 2 2" xfId="290" xr:uid="{00000000-0005-0000-0000-00008F000000}"/>
    <cellStyle name="Normal 14 3" xfId="283" xr:uid="{00000000-0005-0000-0000-000090000000}"/>
    <cellStyle name="Normal 15" xfId="270" xr:uid="{00000000-0005-0000-0000-000091000000}"/>
    <cellStyle name="Normal 15 2" xfId="277" xr:uid="{00000000-0005-0000-0000-000092000000}"/>
    <cellStyle name="Normal 15 2 2" xfId="292" xr:uid="{00000000-0005-0000-0000-000093000000}"/>
    <cellStyle name="Normal 15 3" xfId="285" xr:uid="{00000000-0005-0000-0000-000094000000}"/>
    <cellStyle name="Normal 16" xfId="271" xr:uid="{00000000-0005-0000-0000-000095000000}"/>
    <cellStyle name="Normal 16 2" xfId="278" xr:uid="{00000000-0005-0000-0000-000096000000}"/>
    <cellStyle name="Normal 16 2 2" xfId="293" xr:uid="{00000000-0005-0000-0000-000097000000}"/>
    <cellStyle name="Normal 16 3" xfId="286" xr:uid="{00000000-0005-0000-0000-000098000000}"/>
    <cellStyle name="Normal 17" xfId="272" xr:uid="{00000000-0005-0000-0000-000099000000}"/>
    <cellStyle name="Normal 17 2" xfId="279" xr:uid="{00000000-0005-0000-0000-00009A000000}"/>
    <cellStyle name="Normal 17 2 2" xfId="294" xr:uid="{00000000-0005-0000-0000-00009B000000}"/>
    <cellStyle name="Normal 17 3" xfId="287" xr:uid="{00000000-0005-0000-0000-00009C000000}"/>
    <cellStyle name="Normal 2" xfId="127" xr:uid="{00000000-0005-0000-0000-00009D000000}"/>
    <cellStyle name="Normal 2 2" xfId="128" xr:uid="{00000000-0005-0000-0000-00009E000000}"/>
    <cellStyle name="Normal 2 2 2" xfId="129" xr:uid="{00000000-0005-0000-0000-00009F000000}"/>
    <cellStyle name="Normal 2 3" xfId="130" xr:uid="{00000000-0005-0000-0000-0000A0000000}"/>
    <cellStyle name="Normal 2 3 2" xfId="131" xr:uid="{00000000-0005-0000-0000-0000A1000000}"/>
    <cellStyle name="Normal 2 4" xfId="132" xr:uid="{00000000-0005-0000-0000-0000A2000000}"/>
    <cellStyle name="Normal 2 4 2" xfId="133" xr:uid="{00000000-0005-0000-0000-0000A3000000}"/>
    <cellStyle name="Normal 2 5" xfId="134" xr:uid="{00000000-0005-0000-0000-0000A4000000}"/>
    <cellStyle name="Normal 2 5 2" xfId="135" xr:uid="{00000000-0005-0000-0000-0000A5000000}"/>
    <cellStyle name="Normal 2 6" xfId="136" xr:uid="{00000000-0005-0000-0000-0000A6000000}"/>
    <cellStyle name="Normal 2 7" xfId="137" xr:uid="{00000000-0005-0000-0000-0000A7000000}"/>
    <cellStyle name="Normal 3" xfId="138" xr:uid="{00000000-0005-0000-0000-0000A8000000}"/>
    <cellStyle name="Normal 3 2" xfId="139" xr:uid="{00000000-0005-0000-0000-0000A9000000}"/>
    <cellStyle name="Normal 3 3" xfId="140" xr:uid="{00000000-0005-0000-0000-0000AA000000}"/>
    <cellStyle name="Normal 3 4" xfId="141" xr:uid="{00000000-0005-0000-0000-0000AB000000}"/>
    <cellStyle name="Normal 4" xfId="142" xr:uid="{00000000-0005-0000-0000-0000AC000000}"/>
    <cellStyle name="Normal 4 2" xfId="143" xr:uid="{00000000-0005-0000-0000-0000AD000000}"/>
    <cellStyle name="Normal 4 2 2" xfId="144" xr:uid="{00000000-0005-0000-0000-0000AE000000}"/>
    <cellStyle name="Normal 4 2 2 2" xfId="145" xr:uid="{00000000-0005-0000-0000-0000AF000000}"/>
    <cellStyle name="Normal 4 2 2 3" xfId="146" xr:uid="{00000000-0005-0000-0000-0000B0000000}"/>
    <cellStyle name="Normal 4 2 2 4" xfId="147" xr:uid="{00000000-0005-0000-0000-0000B1000000}"/>
    <cellStyle name="Normal 4 2 3" xfId="148" xr:uid="{00000000-0005-0000-0000-0000B2000000}"/>
    <cellStyle name="Normal 4 2 3 2" xfId="149" xr:uid="{00000000-0005-0000-0000-0000B3000000}"/>
    <cellStyle name="Normal 4 2 3 3" xfId="150" xr:uid="{00000000-0005-0000-0000-0000B4000000}"/>
    <cellStyle name="Normal 4 2 4" xfId="151" xr:uid="{00000000-0005-0000-0000-0000B5000000}"/>
    <cellStyle name="Normal 4 2 5" xfId="152" xr:uid="{00000000-0005-0000-0000-0000B6000000}"/>
    <cellStyle name="Normal 4 2 6" xfId="153" xr:uid="{00000000-0005-0000-0000-0000B7000000}"/>
    <cellStyle name="Normal 4 2 7" xfId="154" xr:uid="{00000000-0005-0000-0000-0000B8000000}"/>
    <cellStyle name="Normal 4 3" xfId="155" xr:uid="{00000000-0005-0000-0000-0000B9000000}"/>
    <cellStyle name="Normal 4 3 2" xfId="156" xr:uid="{00000000-0005-0000-0000-0000BA000000}"/>
    <cellStyle name="Normal 4 4" xfId="157" xr:uid="{00000000-0005-0000-0000-0000BB000000}"/>
    <cellStyle name="Normal 4 4 2" xfId="158" xr:uid="{00000000-0005-0000-0000-0000BC000000}"/>
    <cellStyle name="Normal 4 5" xfId="159" xr:uid="{00000000-0005-0000-0000-0000BD000000}"/>
    <cellStyle name="Normal 5" xfId="160" xr:uid="{00000000-0005-0000-0000-0000BE000000}"/>
    <cellStyle name="Normal 5 2" xfId="161" xr:uid="{00000000-0005-0000-0000-0000BF000000}"/>
    <cellStyle name="Normal 5 3" xfId="162" xr:uid="{00000000-0005-0000-0000-0000C0000000}"/>
    <cellStyle name="Normal 6" xfId="163" xr:uid="{00000000-0005-0000-0000-0000C1000000}"/>
    <cellStyle name="Normal 6 10" xfId="164" xr:uid="{00000000-0005-0000-0000-0000C2000000}"/>
    <cellStyle name="Normal 6 11" xfId="165" xr:uid="{00000000-0005-0000-0000-0000C3000000}"/>
    <cellStyle name="Normal 6 12" xfId="166" xr:uid="{00000000-0005-0000-0000-0000C4000000}"/>
    <cellStyle name="Normal 6 2" xfId="167" xr:uid="{00000000-0005-0000-0000-0000C5000000}"/>
    <cellStyle name="Normal 6 2 10" xfId="168" xr:uid="{00000000-0005-0000-0000-0000C6000000}"/>
    <cellStyle name="Normal 6 2 11" xfId="169" xr:uid="{00000000-0005-0000-0000-0000C7000000}"/>
    <cellStyle name="Normal 6 2 2" xfId="170" xr:uid="{00000000-0005-0000-0000-0000C8000000}"/>
    <cellStyle name="Normal 6 2 2 2" xfId="171" xr:uid="{00000000-0005-0000-0000-0000C9000000}"/>
    <cellStyle name="Normal 6 2 2 3" xfId="172" xr:uid="{00000000-0005-0000-0000-0000CA000000}"/>
    <cellStyle name="Normal 6 2 2 4" xfId="173" xr:uid="{00000000-0005-0000-0000-0000CB000000}"/>
    <cellStyle name="Normal 6 2 2 5" xfId="174" xr:uid="{00000000-0005-0000-0000-0000CC000000}"/>
    <cellStyle name="Normal 6 2 2 6" xfId="175" xr:uid="{00000000-0005-0000-0000-0000CD000000}"/>
    <cellStyle name="Normal 6 2 2 7" xfId="176" xr:uid="{00000000-0005-0000-0000-0000CE000000}"/>
    <cellStyle name="Normal 6 2 2 8" xfId="177" xr:uid="{00000000-0005-0000-0000-0000CF000000}"/>
    <cellStyle name="Normal 6 2 3" xfId="178" xr:uid="{00000000-0005-0000-0000-0000D0000000}"/>
    <cellStyle name="Normal 6 2 3 2" xfId="179" xr:uid="{00000000-0005-0000-0000-0000D1000000}"/>
    <cellStyle name="Normal 6 2 4" xfId="180" xr:uid="{00000000-0005-0000-0000-0000D2000000}"/>
    <cellStyle name="Normal 6 2 5" xfId="181" xr:uid="{00000000-0005-0000-0000-0000D3000000}"/>
    <cellStyle name="Normal 6 2 6" xfId="182" xr:uid="{00000000-0005-0000-0000-0000D4000000}"/>
    <cellStyle name="Normal 6 2 7" xfId="183" xr:uid="{00000000-0005-0000-0000-0000D5000000}"/>
    <cellStyle name="Normal 6 2 8" xfId="184" xr:uid="{00000000-0005-0000-0000-0000D6000000}"/>
    <cellStyle name="Normal 6 2 9" xfId="185" xr:uid="{00000000-0005-0000-0000-0000D7000000}"/>
    <cellStyle name="Normal 6 3" xfId="186" xr:uid="{00000000-0005-0000-0000-0000D8000000}"/>
    <cellStyle name="Normal 6 3 2" xfId="187" xr:uid="{00000000-0005-0000-0000-0000D9000000}"/>
    <cellStyle name="Normal 6 3 3" xfId="188" xr:uid="{00000000-0005-0000-0000-0000DA000000}"/>
    <cellStyle name="Normal 6 3 4" xfId="189" xr:uid="{00000000-0005-0000-0000-0000DB000000}"/>
    <cellStyle name="Normal 6 3 5" xfId="190" xr:uid="{00000000-0005-0000-0000-0000DC000000}"/>
    <cellStyle name="Normal 6 3 6" xfId="191" xr:uid="{00000000-0005-0000-0000-0000DD000000}"/>
    <cellStyle name="Normal 6 3 7" xfId="192" xr:uid="{00000000-0005-0000-0000-0000DE000000}"/>
    <cellStyle name="Normal 6 3 8" xfId="193" xr:uid="{00000000-0005-0000-0000-0000DF000000}"/>
    <cellStyle name="Normal 6 4" xfId="194" xr:uid="{00000000-0005-0000-0000-0000E0000000}"/>
    <cellStyle name="Normal 6 4 2" xfId="195" xr:uid="{00000000-0005-0000-0000-0000E1000000}"/>
    <cellStyle name="Normal 6 4 3" xfId="196" xr:uid="{00000000-0005-0000-0000-0000E2000000}"/>
    <cellStyle name="Normal 6 4 4" xfId="197" xr:uid="{00000000-0005-0000-0000-0000E3000000}"/>
    <cellStyle name="Normal 6 4 5" xfId="198" xr:uid="{00000000-0005-0000-0000-0000E4000000}"/>
    <cellStyle name="Normal 6 5" xfId="199" xr:uid="{00000000-0005-0000-0000-0000E5000000}"/>
    <cellStyle name="Normal 6 6" xfId="200" xr:uid="{00000000-0005-0000-0000-0000E6000000}"/>
    <cellStyle name="Normal 6 7" xfId="201" xr:uid="{00000000-0005-0000-0000-0000E7000000}"/>
    <cellStyle name="Normal 6 8" xfId="202" xr:uid="{00000000-0005-0000-0000-0000E8000000}"/>
    <cellStyle name="Normal 6 9" xfId="203" xr:uid="{00000000-0005-0000-0000-0000E9000000}"/>
    <cellStyle name="Normal 7" xfId="204" xr:uid="{00000000-0005-0000-0000-0000EA000000}"/>
    <cellStyle name="Normal 7 10" xfId="205" xr:uid="{00000000-0005-0000-0000-0000EB000000}"/>
    <cellStyle name="Normal 7 11" xfId="206" xr:uid="{00000000-0005-0000-0000-0000EC000000}"/>
    <cellStyle name="Normal 7 12" xfId="207" xr:uid="{00000000-0005-0000-0000-0000ED000000}"/>
    <cellStyle name="Normal 7 2" xfId="208" xr:uid="{00000000-0005-0000-0000-0000EE000000}"/>
    <cellStyle name="Normal 7 2 2" xfId="209" xr:uid="{00000000-0005-0000-0000-0000EF000000}"/>
    <cellStyle name="Normal 7 2 3" xfId="210" xr:uid="{00000000-0005-0000-0000-0000F0000000}"/>
    <cellStyle name="Normal 7 2 4" xfId="211" xr:uid="{00000000-0005-0000-0000-0000F1000000}"/>
    <cellStyle name="Normal 7 2 5" xfId="212" xr:uid="{00000000-0005-0000-0000-0000F2000000}"/>
    <cellStyle name="Normal 7 2 6" xfId="213" xr:uid="{00000000-0005-0000-0000-0000F3000000}"/>
    <cellStyle name="Normal 7 2 7" xfId="214" xr:uid="{00000000-0005-0000-0000-0000F4000000}"/>
    <cellStyle name="Normal 7 2 8" xfId="215" xr:uid="{00000000-0005-0000-0000-0000F5000000}"/>
    <cellStyle name="Normal 7 2 9" xfId="216" xr:uid="{00000000-0005-0000-0000-0000F6000000}"/>
    <cellStyle name="Normal 7 3" xfId="217" xr:uid="{00000000-0005-0000-0000-0000F7000000}"/>
    <cellStyle name="Normal 7 3 2" xfId="218" xr:uid="{00000000-0005-0000-0000-0000F8000000}"/>
    <cellStyle name="Normal 7 4" xfId="219" xr:uid="{00000000-0005-0000-0000-0000F9000000}"/>
    <cellStyle name="Normal 7 4 2" xfId="220" xr:uid="{00000000-0005-0000-0000-0000FA000000}"/>
    <cellStyle name="Normal 7 5" xfId="221" xr:uid="{00000000-0005-0000-0000-0000FB000000}"/>
    <cellStyle name="Normal 7 6" xfId="222" xr:uid="{00000000-0005-0000-0000-0000FC000000}"/>
    <cellStyle name="Normal 7 7" xfId="223" xr:uid="{00000000-0005-0000-0000-0000FD000000}"/>
    <cellStyle name="Normal 7 8" xfId="224" xr:uid="{00000000-0005-0000-0000-0000FE000000}"/>
    <cellStyle name="Normal 7 9" xfId="225" xr:uid="{00000000-0005-0000-0000-0000FF000000}"/>
    <cellStyle name="Normal 8" xfId="226" xr:uid="{00000000-0005-0000-0000-000000010000}"/>
    <cellStyle name="Normal 8 2" xfId="227" xr:uid="{00000000-0005-0000-0000-000001010000}"/>
    <cellStyle name="Normal 8 3" xfId="228" xr:uid="{00000000-0005-0000-0000-000002010000}"/>
    <cellStyle name="Normal 8 4" xfId="229" xr:uid="{00000000-0005-0000-0000-000003010000}"/>
    <cellStyle name="Normal 8 5" xfId="230" xr:uid="{00000000-0005-0000-0000-000004010000}"/>
    <cellStyle name="Normal 8 6" xfId="231" xr:uid="{00000000-0005-0000-0000-000005010000}"/>
    <cellStyle name="Normal 8 7" xfId="232" xr:uid="{00000000-0005-0000-0000-000006010000}"/>
    <cellStyle name="Normal 8 8" xfId="233" xr:uid="{00000000-0005-0000-0000-000007010000}"/>
    <cellStyle name="Normal 8 9" xfId="234" xr:uid="{00000000-0005-0000-0000-000008010000}"/>
    <cellStyle name="Normal 9" xfId="235" xr:uid="{00000000-0005-0000-0000-000009010000}"/>
    <cellStyle name="Normal 9 2" xfId="236" xr:uid="{00000000-0005-0000-0000-00000A010000}"/>
    <cellStyle name="Normal 9 3" xfId="237" xr:uid="{00000000-0005-0000-0000-00000B010000}"/>
    <cellStyle name="Normal 9 4" xfId="238" xr:uid="{00000000-0005-0000-0000-00000C010000}"/>
    <cellStyle name="Normal 9 5" xfId="239" xr:uid="{00000000-0005-0000-0000-00000D010000}"/>
    <cellStyle name="Note 2" xfId="240" xr:uid="{00000000-0005-0000-0000-00000E010000}"/>
    <cellStyle name="Note 2 2" xfId="241" xr:uid="{00000000-0005-0000-0000-00000F010000}"/>
    <cellStyle name="Note 2 2 2" xfId="242" xr:uid="{00000000-0005-0000-0000-000010010000}"/>
    <cellStyle name="Note 2 2 3" xfId="243" xr:uid="{00000000-0005-0000-0000-000011010000}"/>
    <cellStyle name="Note 2 2 4" xfId="244" xr:uid="{00000000-0005-0000-0000-000012010000}"/>
    <cellStyle name="Note 2 2 5" xfId="245" xr:uid="{00000000-0005-0000-0000-000013010000}"/>
    <cellStyle name="Note 2 2 6" xfId="246" xr:uid="{00000000-0005-0000-0000-000014010000}"/>
    <cellStyle name="Note 2 2 7" xfId="247" xr:uid="{00000000-0005-0000-0000-000015010000}"/>
    <cellStyle name="Note 2 3" xfId="248" xr:uid="{00000000-0005-0000-0000-000016010000}"/>
    <cellStyle name="Percent 2" xfId="249" xr:uid="{00000000-0005-0000-0000-000017010000}"/>
    <cellStyle name="Percent 3" xfId="250" xr:uid="{00000000-0005-0000-0000-000018010000}"/>
    <cellStyle name="Percent 3 2" xfId="251" xr:uid="{00000000-0005-0000-0000-000019010000}"/>
    <cellStyle name="Percent 3 3" xfId="252" xr:uid="{00000000-0005-0000-0000-00001A010000}"/>
    <cellStyle name="Percent 3 4" xfId="253" xr:uid="{00000000-0005-0000-0000-00001B010000}"/>
    <cellStyle name="Percent 3 5" xfId="254" xr:uid="{00000000-0005-0000-0000-00001C010000}"/>
    <cellStyle name="Percent 3 6" xfId="255" xr:uid="{00000000-0005-0000-0000-00001D010000}"/>
    <cellStyle name="Percent 4" xfId="256" xr:uid="{00000000-0005-0000-0000-00001E010000}"/>
    <cellStyle name="Porcentaje" xfId="257" builtinId="5"/>
    <cellStyle name="Porcentual 2" xfId="258" xr:uid="{00000000-0005-0000-0000-000020010000}"/>
    <cellStyle name="Porcentual 2 2" xfId="259" xr:uid="{00000000-0005-0000-0000-000021010000}"/>
    <cellStyle name="Porcentual 2 2 2" xfId="260" xr:uid="{00000000-0005-0000-0000-000022010000}"/>
    <cellStyle name="Porcentual 2 3" xfId="261" xr:uid="{00000000-0005-0000-0000-000023010000}"/>
    <cellStyle name="Porcentual 2 3 2" xfId="262" xr:uid="{00000000-0005-0000-0000-000024010000}"/>
    <cellStyle name="Resultado de la tabla dinámica" xfId="263" xr:uid="{00000000-0005-0000-0000-000025010000}"/>
    <cellStyle name="Título de la tabla dinámica" xfId="264" xr:uid="{00000000-0005-0000-0000-000026010000}"/>
    <cellStyle name="Valor de la tabla dinámica" xfId="265" xr:uid="{00000000-0005-0000-0000-000027010000}"/>
  </cellStyles>
  <dxfs count="523">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C00000"/>
      <rgbColor rgb="00008000"/>
      <rgbColor rgb="00000080"/>
      <rgbColor rgb="00808000"/>
      <rgbColor rgb="00800080"/>
      <rgbColor rgb="00008080"/>
      <rgbColor rgb="00C0C0C0"/>
      <rgbColor rgb="00558ED5"/>
      <rgbColor rgb="009999FF"/>
      <rgbColor rgb="00993366"/>
      <rgbColor rgb="00EBF1DE"/>
      <rgbColor rgb="00DCE6F2"/>
      <rgbColor rgb="00660066"/>
      <rgbColor rgb="00FF7C80"/>
      <rgbColor rgb="000066CC"/>
      <rgbColor rgb="00CCCCFF"/>
      <rgbColor rgb="00000080"/>
      <rgbColor rgb="00FF00FF"/>
      <rgbColor rgb="00FFFF00"/>
      <rgbColor rgb="0000FFFF"/>
      <rgbColor rgb="00800080"/>
      <rgbColor rgb="00800000"/>
      <rgbColor rgb="00008080"/>
      <rgbColor rgb="000000FF"/>
      <rgbColor rgb="0000CCFF"/>
      <rgbColor rgb="0099FFFF"/>
      <rgbColor rgb="00CCFFCC"/>
      <rgbColor rgb="00FFFF99"/>
      <rgbColor rgb="0099CCFF"/>
      <rgbColor rgb="00FF99CC"/>
      <rgbColor rgb="00CC99FF"/>
      <rgbColor rgb="00FAC090"/>
      <rgbColor rgb="003366FF"/>
      <rgbColor rgb="0033CCCC"/>
      <rgbColor rgb="0092D050"/>
      <rgbColor rgb="00FFC000"/>
      <rgbColor rgb="00FF9900"/>
      <rgbColor rgb="00E46C0A"/>
      <rgbColor rgb="00376092"/>
      <rgbColor rgb="00A6A6A6"/>
      <rgbColor rgb="00003366"/>
      <rgbColor rgb="0000B050"/>
      <rgbColor rgb="00003300"/>
      <rgbColor rgb="001C1C1C"/>
      <rgbColor rgb="00993300"/>
      <rgbColor rgb="00993366"/>
      <rgbColor rgb="00333399"/>
      <rgbColor rgb="00333333"/>
    </indexedColors>
    <mruColors>
      <color rgb="FF0000FF"/>
      <color rgb="FFFFFFCC"/>
      <color rgb="FFFB31C6"/>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56</xdr:col>
      <xdr:colOff>95558</xdr:colOff>
      <xdr:row>321</xdr:row>
      <xdr:rowOff>128561</xdr:rowOff>
    </xdr:from>
    <xdr:to>
      <xdr:col>61</xdr:col>
      <xdr:colOff>204362</xdr:colOff>
      <xdr:row>323</xdr:row>
      <xdr:rowOff>5327</xdr:rowOff>
    </xdr:to>
    <xdr:pic>
      <xdr:nvPicPr>
        <xdr:cNvPr id="4" name="Imagen 6">
          <a:extLst>
            <a:ext uri="{FF2B5EF4-FFF2-40B4-BE49-F238E27FC236}">
              <a16:creationId xmlns:a16="http://schemas.microsoft.com/office/drawing/2014/main" id="{518EDE7D-05CA-487B-BB21-19A38A864C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963398" y="56051741"/>
          <a:ext cx="4421724" cy="2272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64</xdr:col>
      <xdr:colOff>783535</xdr:colOff>
      <xdr:row>318</xdr:row>
      <xdr:rowOff>10995</xdr:rowOff>
    </xdr:from>
    <xdr:to>
      <xdr:col>70</xdr:col>
      <xdr:colOff>111833</xdr:colOff>
      <xdr:row>319</xdr:row>
      <xdr:rowOff>63020</xdr:rowOff>
    </xdr:to>
    <xdr:pic>
      <xdr:nvPicPr>
        <xdr:cNvPr id="5" name="Imagen 6">
          <a:extLst>
            <a:ext uri="{FF2B5EF4-FFF2-40B4-BE49-F238E27FC236}">
              <a16:creationId xmlns:a16="http://schemas.microsoft.com/office/drawing/2014/main" id="{B78B5711-59AC-4FCA-B92D-EA0034E7D6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587662" y="98781628"/>
          <a:ext cx="4382576" cy="2256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55</xdr:col>
      <xdr:colOff>721075</xdr:colOff>
      <xdr:row>330</xdr:row>
      <xdr:rowOff>39984</xdr:rowOff>
    </xdr:from>
    <xdr:to>
      <xdr:col>61</xdr:col>
      <xdr:colOff>6919</xdr:colOff>
      <xdr:row>331</xdr:row>
      <xdr:rowOff>122490</xdr:rowOff>
    </xdr:to>
    <xdr:pic>
      <xdr:nvPicPr>
        <xdr:cNvPr id="2" name="Imagen 6">
          <a:extLst>
            <a:ext uri="{FF2B5EF4-FFF2-40B4-BE49-F238E27FC236}">
              <a16:creationId xmlns:a16="http://schemas.microsoft.com/office/drawing/2014/main" id="{9E80620A-F791-4AFF-9C64-D1CC1742BE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754311" y="57541018"/>
          <a:ext cx="4414361" cy="228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RH/AppData/Local/Microsoft/Olk/Attachments/ooa-f5fba2ff-9e17-434f-896f-7e187244708d/71b703d90a939bc636d29336605b42ea369ce7fedc19ca2e8ceb13480ec55909/ECONACIONAL%2028.6.xlsx" TargetMode="External"/><Relationship Id="rId2" Type="http://schemas.openxmlformats.org/officeDocument/2006/relationships/externalLinkPath" Target="file:///C:\Users\RH\AppData\Local\Microsoft\Olk\Attachments\ooa-f5fba2ff-9e17-434f-896f-7e187244708d\71b703d90a939bc636d29336605b42ea369ce7fedc19ca2e8ceb13480ec55909\ECONACIONAL%2028.6.xlsx" TargetMode="External"/><Relationship Id="rId1" Type="http://schemas.openxmlformats.org/officeDocument/2006/relationships/externalLinkPath" Target="/Users/RH/AppData/Local/Microsoft/Olk/Attachments/ooa-f5fba2ff-9e17-434f-896f-7e187244708d/71b703d90a939bc636d29336605b42ea369ce7fedc19ca2e8ceb13480ec55909/ECONACIONAL%2028.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istribucion"/>
      <sheetName val="boleto de ornato"/>
      <sheetName val="INCREMENTO SALARIO MINIMO "/>
      <sheetName val="Hoja2"/>
      <sheetName val="ECONACIONAL"/>
      <sheetName val="IGSS ECONACIONAL"/>
      <sheetName val="Nomina Econacional"/>
      <sheetName val="RECIBO E IGSS ECONACIONAL"/>
      <sheetName val="CHEQUES ECONACIONAL"/>
      <sheetName val="Sol.Cheques"/>
      <sheetName val="Verificador de pago"/>
      <sheetName val="Verificador de pago (2)"/>
      <sheetName val="Integración Otros Egresos"/>
      <sheetName val="Hoja1"/>
    </sheetNames>
    <sheetDataSet>
      <sheetData sheetId="0"/>
      <sheetData sheetId="1"/>
      <sheetData sheetId="2"/>
      <sheetData sheetId="3"/>
      <sheetData sheetId="4">
        <row r="166">
          <cell r="Y166">
            <v>4220.2</v>
          </cell>
        </row>
      </sheetData>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indexed="57"/>
  </sheetPr>
  <dimension ref="A1:JF341"/>
  <sheetViews>
    <sheetView showGridLines="0" zoomScale="96" zoomScaleNormal="96" workbookViewId="0">
      <pane xSplit="8" ySplit="7" topLeftCell="BB14" activePane="bottomRight" state="frozen"/>
      <selection activeCell="H25" sqref="H25"/>
      <selection pane="topRight" activeCell="H25" sqref="H25"/>
      <selection pane="bottomLeft" activeCell="H25" sqref="H25"/>
      <selection pane="bottomRight" activeCell="E94" sqref="E94"/>
    </sheetView>
  </sheetViews>
  <sheetFormatPr baseColWidth="10" defaultColWidth="11.42578125" defaultRowHeight="11.25" outlineLevelRow="1" outlineLevelCol="2"/>
  <cols>
    <col min="1" max="1" width="9.7109375" style="741" hidden="1" customWidth="1" outlineLevel="1"/>
    <col min="2" max="2" width="6.7109375" style="741" hidden="1" customWidth="1" outlineLevel="1"/>
    <col min="3" max="3" width="12.42578125" style="712" hidden="1" customWidth="1" outlineLevel="1"/>
    <col min="4" max="4" width="19" style="712" hidden="1" customWidth="1" outlineLevel="1"/>
    <col min="5" max="5" width="9.42578125" style="712" customWidth="1" outlineLevel="1"/>
    <col min="6" max="6" width="7" style="707" hidden="1" customWidth="1"/>
    <col min="7" max="7" width="28.140625" style="719" customWidth="1"/>
    <col min="8" max="8" width="29.140625" style="707" customWidth="1"/>
    <col min="9" max="9" width="13.85546875" style="712" customWidth="1"/>
    <col min="10" max="10" width="11.28515625" style="720" customWidth="1" outlineLevel="1"/>
    <col min="11" max="11" width="13.42578125" style="720" customWidth="1" outlineLevel="1"/>
    <col min="12" max="12" width="10.7109375" style="720" customWidth="1" outlineLevel="1"/>
    <col min="13" max="13" width="9.7109375" style="720" customWidth="1" outlineLevel="1"/>
    <col min="14" max="16" width="11.140625" style="721" customWidth="1" outlineLevel="1"/>
    <col min="17" max="17" width="12.28515625" style="721" customWidth="1" outlineLevel="2"/>
    <col min="18" max="18" width="13.28515625" style="721" hidden="1" customWidth="1" outlineLevel="2"/>
    <col min="19" max="19" width="11.28515625" style="721" customWidth="1" outlineLevel="1"/>
    <col min="20" max="20" width="24.140625" style="720" customWidth="1" outlineLevel="1"/>
    <col min="21" max="21" width="11.85546875" style="720" customWidth="1" outlineLevel="1"/>
    <col min="22" max="32" width="10" style="720" customWidth="1" outlineLevel="1"/>
    <col min="33" max="36" width="10" style="720" customWidth="1" outlineLevel="2"/>
    <col min="37" max="40" width="10" style="780" customWidth="1" outlineLevel="2"/>
    <col min="41" max="41" width="9.28515625" style="720" customWidth="1" outlineLevel="2"/>
    <col min="42" max="42" width="12.5703125" style="720" customWidth="1" outlineLevel="2"/>
    <col min="43" max="43" width="7.7109375" style="720" customWidth="1" outlineLevel="2"/>
    <col min="44" max="44" width="7.140625" style="720" customWidth="1" outlineLevel="2"/>
    <col min="45" max="45" width="7.7109375" style="720" customWidth="1" outlineLevel="2"/>
    <col min="46" max="46" width="9.28515625" style="720" customWidth="1" outlineLevel="2"/>
    <col min="47" max="47" width="9" style="720" customWidth="1" outlineLevel="2"/>
    <col min="48" max="48" width="7.7109375" style="720" customWidth="1" outlineLevel="2"/>
    <col min="49" max="49" width="12.140625" style="720" customWidth="1" outlineLevel="2"/>
    <col min="50" max="50" width="8.5703125" style="720" customWidth="1" outlineLevel="2"/>
    <col min="51" max="51" width="8.140625" style="720" customWidth="1" outlineLevel="2"/>
    <col min="52" max="52" width="10.140625" style="712" customWidth="1" outlineLevel="2"/>
    <col min="53" max="53" width="13.28515625" style="720" customWidth="1" outlineLevel="1"/>
    <col min="54" max="54" width="12.28515625" style="720" customWidth="1" outlineLevel="1"/>
    <col min="55" max="55" width="12.42578125" style="720" customWidth="1" outlineLevel="1"/>
    <col min="56" max="58" width="12" style="720" customWidth="1" outlineLevel="1"/>
    <col min="59" max="59" width="13.85546875" style="720" customWidth="1" outlineLevel="1"/>
    <col min="60" max="60" width="12" style="720" customWidth="1" outlineLevel="1"/>
    <col min="61" max="61" width="13" style="720" customWidth="1" outlineLevel="1"/>
    <col min="62" max="62" width="12" style="720" customWidth="1" outlineLevel="1"/>
    <col min="63" max="63" width="15.28515625" style="720" customWidth="1" outlineLevel="1"/>
    <col min="64" max="64" width="16" style="720" customWidth="1" outlineLevel="1"/>
    <col min="65" max="79" width="12" style="720" customWidth="1" outlineLevel="1"/>
    <col min="80" max="97" width="12" style="720" customWidth="1" outlineLevel="2"/>
    <col min="98" max="98" width="2.140625" style="712" customWidth="1" outlineLevel="1"/>
    <col min="99" max="99" width="11.42578125" style="712" customWidth="1" outlineLevel="1"/>
    <col min="100" max="100" width="11.28515625" style="720" customWidth="1" outlineLevel="1"/>
    <col min="101" max="102" width="10.7109375" style="720" customWidth="1" outlineLevel="1"/>
    <col min="103" max="103" width="14.140625" style="720" customWidth="1" outlineLevel="1"/>
    <col min="104" max="104" width="12.5703125" style="720" customWidth="1" outlineLevel="1"/>
    <col min="105" max="106" width="10.5703125" style="720" customWidth="1" outlineLevel="1"/>
    <col min="107" max="107" width="9.85546875" style="720" customWidth="1" outlineLevel="1"/>
    <col min="108" max="108" width="12.7109375" style="720" customWidth="1" outlineLevel="1"/>
    <col min="109" max="109" width="10.28515625" style="720" customWidth="1" outlineLevel="1"/>
    <col min="110" max="115" width="11" style="720" customWidth="1" outlineLevel="1"/>
    <col min="116" max="116" width="10" style="720" customWidth="1" outlineLevel="1"/>
    <col min="117" max="117" width="11.28515625" style="720" customWidth="1" outlineLevel="1"/>
    <col min="118" max="118" width="10.140625" style="720" customWidth="1" outlineLevel="1"/>
    <col min="119" max="119" width="9.28515625" style="720" customWidth="1" outlineLevel="1"/>
    <col min="120" max="120" width="11.28515625" style="720" customWidth="1" outlineLevel="1"/>
    <col min="121" max="121" width="11.42578125" style="720" customWidth="1" outlineLevel="1"/>
    <col min="122" max="122" width="10.7109375" style="720" customWidth="1" outlineLevel="1"/>
    <col min="123" max="123" width="8.85546875" style="720" customWidth="1" outlineLevel="1"/>
    <col min="124" max="124" width="9.7109375" style="720" customWidth="1" outlineLevel="1"/>
    <col min="125" max="125" width="13.42578125" style="720" customWidth="1" outlineLevel="1"/>
    <col min="126" max="126" width="10" style="720" customWidth="1" outlineLevel="1"/>
    <col min="127" max="127" width="11.140625" style="720" customWidth="1" outlineLevel="2"/>
    <col min="128" max="134" width="8.85546875" style="720" customWidth="1" outlineLevel="2"/>
    <col min="135" max="135" width="7.7109375" style="720" customWidth="1" outlineLevel="2"/>
    <col min="136" max="144" width="11.28515625" style="720" customWidth="1" outlineLevel="2"/>
    <col min="145" max="145" width="8.140625" style="712" customWidth="1" outlineLevel="1"/>
    <col min="146" max="146" width="13.7109375" style="945" customWidth="1"/>
    <col min="147" max="147" width="13.85546875" style="712" customWidth="1"/>
    <col min="148" max="148" width="12.85546875" style="712" customWidth="1"/>
    <col min="149" max="149" width="18.28515625" style="712" customWidth="1"/>
    <col min="150" max="150" width="13.42578125" style="712" customWidth="1"/>
    <col min="151" max="151" width="13.5703125" style="712" customWidth="1"/>
    <col min="152" max="154" width="12.28515625" style="712" customWidth="1"/>
    <col min="155" max="155" width="14.42578125" style="712" customWidth="1"/>
    <col min="156" max="156" width="13" style="712" customWidth="1"/>
    <col min="157" max="165" width="11.42578125" style="712" customWidth="1"/>
    <col min="166" max="166" width="17.28515625" style="712" customWidth="1"/>
    <col min="167" max="171" width="11.42578125" style="712" customWidth="1"/>
    <col min="172" max="172" width="16.85546875" style="712" customWidth="1"/>
    <col min="173" max="173" width="11.42578125" style="712" customWidth="1"/>
    <col min="174" max="16384" width="11.42578125" style="712"/>
  </cols>
  <sheetData>
    <row r="1" spans="1:183" ht="15.75">
      <c r="G1" s="708">
        <v>1</v>
      </c>
      <c r="H1" s="709">
        <v>2</v>
      </c>
      <c r="I1" s="710">
        <v>3</v>
      </c>
      <c r="J1" s="711">
        <v>4</v>
      </c>
      <c r="K1" s="710">
        <v>5</v>
      </c>
      <c r="L1" s="711">
        <v>6</v>
      </c>
      <c r="M1" s="710">
        <v>7</v>
      </c>
      <c r="N1" s="711">
        <v>8</v>
      </c>
      <c r="O1" s="710">
        <v>9</v>
      </c>
      <c r="P1" s="711">
        <v>10</v>
      </c>
      <c r="Q1" s="710">
        <v>11</v>
      </c>
      <c r="R1" s="711">
        <v>12</v>
      </c>
      <c r="S1" s="710">
        <v>13</v>
      </c>
      <c r="T1" s="711">
        <v>14</v>
      </c>
      <c r="U1" s="710">
        <v>15</v>
      </c>
      <c r="V1" s="711">
        <v>16</v>
      </c>
      <c r="W1" s="710">
        <v>17</v>
      </c>
      <c r="X1" s="711">
        <v>18</v>
      </c>
      <c r="Y1" s="710">
        <v>19</v>
      </c>
      <c r="Z1" s="711">
        <v>20</v>
      </c>
      <c r="AA1" s="710">
        <v>21</v>
      </c>
      <c r="AB1" s="711">
        <v>22</v>
      </c>
      <c r="AC1" s="710">
        <v>23</v>
      </c>
      <c r="AD1" s="711">
        <v>24</v>
      </c>
      <c r="AE1" s="710">
        <v>25</v>
      </c>
      <c r="AF1" s="711">
        <v>26</v>
      </c>
      <c r="AG1" s="710">
        <v>27</v>
      </c>
      <c r="AH1" s="711">
        <v>28</v>
      </c>
      <c r="AI1" s="710">
        <v>29</v>
      </c>
      <c r="AJ1" s="711">
        <v>30</v>
      </c>
      <c r="AK1" s="710">
        <v>31</v>
      </c>
      <c r="AL1" s="711">
        <v>32</v>
      </c>
      <c r="AM1" s="710">
        <v>33</v>
      </c>
      <c r="AN1" s="711">
        <v>34</v>
      </c>
      <c r="AO1" s="710">
        <v>35</v>
      </c>
      <c r="AP1" s="711">
        <v>36</v>
      </c>
      <c r="AQ1" s="710">
        <v>37</v>
      </c>
      <c r="AR1" s="711">
        <v>38</v>
      </c>
      <c r="AS1" s="710">
        <v>39</v>
      </c>
      <c r="AT1" s="711">
        <v>40</v>
      </c>
      <c r="AU1" s="710">
        <v>41</v>
      </c>
      <c r="AV1" s="711">
        <v>42</v>
      </c>
      <c r="AW1" s="710">
        <v>43</v>
      </c>
      <c r="AX1" s="711">
        <v>44</v>
      </c>
      <c r="AY1" s="710">
        <v>45</v>
      </c>
      <c r="AZ1" s="711">
        <v>46</v>
      </c>
      <c r="BA1" s="710">
        <v>47</v>
      </c>
      <c r="BB1" s="711">
        <v>48</v>
      </c>
      <c r="BC1" s="710">
        <v>49</v>
      </c>
      <c r="BD1" s="711">
        <v>50</v>
      </c>
      <c r="BE1" s="710">
        <v>51</v>
      </c>
      <c r="BF1" s="711">
        <v>52</v>
      </c>
      <c r="BG1" s="710">
        <v>53</v>
      </c>
      <c r="BH1" s="711">
        <v>54</v>
      </c>
      <c r="BI1" s="710">
        <v>55</v>
      </c>
      <c r="BJ1" s="711">
        <v>56</v>
      </c>
      <c r="BK1" s="710">
        <v>57</v>
      </c>
      <c r="BL1" s="711">
        <v>58</v>
      </c>
      <c r="BM1" s="710">
        <v>59</v>
      </c>
      <c r="BN1" s="711">
        <v>60</v>
      </c>
      <c r="BO1" s="710">
        <v>61</v>
      </c>
      <c r="BP1" s="711">
        <v>62</v>
      </c>
      <c r="BQ1" s="710">
        <v>63</v>
      </c>
      <c r="BR1" s="711">
        <v>64</v>
      </c>
      <c r="BS1" s="710">
        <v>65</v>
      </c>
      <c r="BT1" s="711">
        <v>66</v>
      </c>
      <c r="BU1" s="710">
        <v>67</v>
      </c>
      <c r="BV1" s="711">
        <v>68</v>
      </c>
      <c r="BW1" s="710">
        <v>69</v>
      </c>
      <c r="BX1" s="711">
        <v>70</v>
      </c>
      <c r="BY1" s="710">
        <v>71</v>
      </c>
      <c r="BZ1" s="711">
        <v>72</v>
      </c>
      <c r="CA1" s="710">
        <v>73</v>
      </c>
      <c r="CB1" s="711">
        <v>74</v>
      </c>
      <c r="CC1" s="710">
        <v>75</v>
      </c>
      <c r="CD1" s="711">
        <v>76</v>
      </c>
      <c r="CE1" s="710">
        <v>77</v>
      </c>
      <c r="CF1" s="711">
        <v>78</v>
      </c>
      <c r="CG1" s="710">
        <v>79</v>
      </c>
      <c r="CH1" s="711">
        <v>80</v>
      </c>
      <c r="CI1" s="710">
        <v>81</v>
      </c>
      <c r="CJ1" s="711">
        <v>82</v>
      </c>
      <c r="CK1" s="710">
        <v>83</v>
      </c>
      <c r="CL1" s="711">
        <v>84</v>
      </c>
      <c r="CM1" s="710">
        <v>85</v>
      </c>
      <c r="CN1" s="711">
        <v>86</v>
      </c>
      <c r="CO1" s="710">
        <v>87</v>
      </c>
      <c r="CP1" s="711">
        <v>88</v>
      </c>
      <c r="CQ1" s="710">
        <v>89</v>
      </c>
      <c r="CR1" s="711">
        <v>90</v>
      </c>
      <c r="CS1" s="710">
        <v>91</v>
      </c>
      <c r="CT1" s="711">
        <v>92</v>
      </c>
      <c r="CU1" s="710">
        <v>93</v>
      </c>
      <c r="CV1" s="711">
        <v>94</v>
      </c>
      <c r="CW1" s="710">
        <v>95</v>
      </c>
      <c r="CX1" s="711">
        <v>96</v>
      </c>
      <c r="CY1" s="710">
        <v>97</v>
      </c>
      <c r="CZ1" s="711">
        <v>98</v>
      </c>
      <c r="DA1" s="710">
        <v>99</v>
      </c>
      <c r="DB1" s="711">
        <v>100</v>
      </c>
      <c r="DC1" s="710">
        <v>101</v>
      </c>
      <c r="DD1" s="711">
        <v>102</v>
      </c>
      <c r="DE1" s="710">
        <v>103</v>
      </c>
      <c r="DF1" s="711">
        <v>104</v>
      </c>
      <c r="DG1" s="710">
        <v>105</v>
      </c>
      <c r="DH1" s="711">
        <v>106</v>
      </c>
      <c r="DI1" s="710">
        <v>107</v>
      </c>
      <c r="DJ1" s="711">
        <v>108</v>
      </c>
      <c r="DK1" s="710">
        <v>109</v>
      </c>
      <c r="DL1" s="711">
        <v>110</v>
      </c>
      <c r="DM1" s="710">
        <v>111</v>
      </c>
      <c r="DN1" s="711">
        <v>112</v>
      </c>
      <c r="DO1" s="710">
        <v>113</v>
      </c>
      <c r="DP1" s="711">
        <v>114</v>
      </c>
      <c r="DQ1" s="710">
        <v>115</v>
      </c>
      <c r="DR1" s="711">
        <v>116</v>
      </c>
      <c r="DS1" s="710">
        <v>117</v>
      </c>
      <c r="DT1" s="711">
        <v>118</v>
      </c>
      <c r="DU1" s="710">
        <v>119</v>
      </c>
      <c r="DV1" s="711">
        <v>120</v>
      </c>
      <c r="DW1" s="710">
        <v>121</v>
      </c>
      <c r="DX1" s="711">
        <v>122</v>
      </c>
      <c r="DY1" s="710">
        <v>123</v>
      </c>
      <c r="DZ1" s="711">
        <v>124</v>
      </c>
      <c r="EA1" s="710">
        <v>125</v>
      </c>
      <c r="EB1" s="711">
        <v>126</v>
      </c>
      <c r="EC1" s="710">
        <v>127</v>
      </c>
      <c r="ED1" s="711">
        <v>128</v>
      </c>
      <c r="EE1" s="710">
        <v>129</v>
      </c>
      <c r="EF1" s="711">
        <v>130</v>
      </c>
      <c r="EG1" s="710">
        <v>131</v>
      </c>
      <c r="EH1" s="711">
        <v>132</v>
      </c>
      <c r="EI1" s="710">
        <v>133</v>
      </c>
      <c r="EJ1" s="711">
        <v>134</v>
      </c>
      <c r="EK1" s="710">
        <v>135</v>
      </c>
      <c r="EL1" s="711">
        <v>136</v>
      </c>
      <c r="EM1" s="710">
        <v>137</v>
      </c>
      <c r="EN1" s="711">
        <v>138</v>
      </c>
      <c r="EO1" s="710">
        <v>139</v>
      </c>
      <c r="EP1" s="944">
        <v>140</v>
      </c>
      <c r="EQ1" s="710">
        <v>141</v>
      </c>
      <c r="ER1" s="711">
        <v>142</v>
      </c>
      <c r="ES1" s="711">
        <v>143</v>
      </c>
      <c r="ET1" s="711">
        <v>144</v>
      </c>
      <c r="EU1" s="711">
        <v>145</v>
      </c>
      <c r="EV1" s="711">
        <v>146</v>
      </c>
      <c r="EW1" s="711">
        <v>147</v>
      </c>
      <c r="EX1" s="710">
        <v>148</v>
      </c>
      <c r="EY1" s="710">
        <v>149</v>
      </c>
      <c r="EZ1" s="711">
        <v>150</v>
      </c>
      <c r="FA1" s="710">
        <v>151</v>
      </c>
      <c r="FB1" s="711">
        <v>152</v>
      </c>
      <c r="FC1" s="710">
        <v>153</v>
      </c>
      <c r="FD1" s="710">
        <v>154</v>
      </c>
      <c r="FE1" s="710">
        <v>155</v>
      </c>
      <c r="FF1" s="710">
        <v>156</v>
      </c>
      <c r="FG1" s="710">
        <v>157</v>
      </c>
      <c r="FH1" s="710">
        <v>158</v>
      </c>
      <c r="FI1" s="710">
        <v>159</v>
      </c>
      <c r="FJ1" s="711">
        <v>160</v>
      </c>
    </row>
    <row r="2" spans="1:183" s="715" customFormat="1" ht="15.75">
      <c r="A2" s="1003"/>
      <c r="B2" s="1003"/>
      <c r="F2" s="713"/>
      <c r="G2" s="714" t="s">
        <v>52</v>
      </c>
      <c r="H2" s="709"/>
      <c r="I2" s="711"/>
      <c r="N2" s="716"/>
      <c r="O2" s="716"/>
      <c r="P2" s="716"/>
      <c r="R2" s="716"/>
      <c r="S2" s="716"/>
      <c r="AZ2" s="712"/>
      <c r="CT2" s="712"/>
      <c r="CU2" s="712"/>
      <c r="EO2" s="712"/>
      <c r="EP2" s="945"/>
      <c r="EQ2" s="712"/>
      <c r="ER2" s="712"/>
      <c r="ES2" s="717"/>
      <c r="ET2" s="717"/>
      <c r="EU2" s="717"/>
      <c r="EV2" s="717"/>
      <c r="EW2" s="717"/>
      <c r="EX2" s="712"/>
      <c r="EY2" s="712"/>
      <c r="EZ2" s="712"/>
      <c r="FA2" s="712"/>
      <c r="FB2" s="712"/>
      <c r="FC2" s="712"/>
      <c r="FD2" s="712"/>
      <c r="FE2" s="712"/>
      <c r="FF2" s="712"/>
      <c r="FG2" s="712"/>
      <c r="FH2" s="712"/>
      <c r="FI2" s="712"/>
      <c r="FJ2" s="712"/>
      <c r="FK2" s="712"/>
      <c r="FL2" s="712"/>
      <c r="FM2" s="712"/>
      <c r="FN2" s="712"/>
      <c r="FO2" s="712"/>
      <c r="FP2" s="712"/>
      <c r="FQ2" s="712"/>
      <c r="FR2" s="712"/>
      <c r="FS2" s="712"/>
      <c r="FT2" s="712"/>
      <c r="FU2" s="712"/>
    </row>
    <row r="3" spans="1:183" ht="18">
      <c r="G3" s="1344" t="s">
        <v>712</v>
      </c>
      <c r="H3" s="1344"/>
      <c r="J3" s="712"/>
      <c r="K3" s="712"/>
      <c r="L3" s="712"/>
      <c r="M3" s="712"/>
      <c r="N3" s="712"/>
      <c r="O3" s="712"/>
      <c r="P3" s="712"/>
      <c r="Q3" s="716"/>
      <c r="R3" s="712" t="s">
        <v>332</v>
      </c>
      <c r="S3" s="712"/>
      <c r="T3" s="712"/>
      <c r="U3" s="712"/>
      <c r="V3" s="712"/>
      <c r="W3" s="712"/>
      <c r="X3" s="712"/>
      <c r="Y3" s="712"/>
      <c r="Z3" s="712"/>
      <c r="AA3" s="712"/>
      <c r="AB3" s="712"/>
      <c r="AC3" s="712"/>
      <c r="AD3" s="712"/>
      <c r="AE3" s="712"/>
      <c r="AF3" s="712"/>
      <c r="AG3" s="712"/>
      <c r="AH3" s="712"/>
      <c r="AI3" s="712"/>
      <c r="AJ3" s="712"/>
      <c r="AK3" s="712"/>
      <c r="AL3" s="712"/>
      <c r="AM3" s="712"/>
      <c r="AN3" s="712"/>
      <c r="AO3" s="712"/>
      <c r="AP3" s="712"/>
      <c r="AQ3" s="712"/>
      <c r="AR3" s="712"/>
      <c r="AS3" s="712"/>
      <c r="AT3" s="712"/>
      <c r="AU3" s="712"/>
      <c r="AV3" s="712"/>
      <c r="AW3" s="712"/>
      <c r="AX3" s="712"/>
      <c r="AY3" s="712"/>
      <c r="BA3" s="712"/>
      <c r="BB3" s="712"/>
      <c r="BC3" s="712"/>
      <c r="BD3" s="712"/>
      <c r="BE3" s="712"/>
      <c r="BF3" s="712"/>
      <c r="BG3" s="712"/>
      <c r="BH3" s="712"/>
      <c r="BI3" s="712"/>
      <c r="BJ3" s="712"/>
      <c r="BK3" s="712"/>
      <c r="BL3" s="712"/>
      <c r="BM3" s="712"/>
      <c r="BN3" s="712"/>
      <c r="BO3" s="712"/>
      <c r="BP3" s="712"/>
      <c r="BQ3" s="712"/>
      <c r="BR3" s="712"/>
      <c r="BS3" s="712"/>
      <c r="BT3" s="712"/>
      <c r="BU3" s="712"/>
      <c r="BV3" s="712"/>
      <c r="BW3" s="712"/>
      <c r="BX3" s="712"/>
      <c r="BY3" s="712"/>
      <c r="BZ3" s="712"/>
      <c r="CA3" s="712"/>
      <c r="CB3" s="712"/>
      <c r="CC3" s="712"/>
      <c r="CD3" s="712"/>
      <c r="CE3" s="712"/>
      <c r="CF3" s="712"/>
      <c r="CG3" s="712"/>
      <c r="CH3" s="712"/>
      <c r="CI3" s="712"/>
      <c r="CJ3" s="712"/>
      <c r="CK3" s="712"/>
      <c r="CL3" s="712"/>
      <c r="CM3" s="712"/>
      <c r="CN3" s="712"/>
      <c r="CO3" s="712"/>
      <c r="CP3" s="712"/>
      <c r="CQ3" s="712"/>
      <c r="CR3" s="712"/>
      <c r="CS3" s="712"/>
      <c r="CV3" s="712"/>
      <c r="CW3" s="712"/>
      <c r="CX3" s="712"/>
      <c r="CY3" s="712"/>
      <c r="CZ3" s="712"/>
      <c r="DA3" s="712"/>
      <c r="DB3" s="712"/>
      <c r="DC3" s="712"/>
      <c r="DD3" s="712"/>
      <c r="DE3" s="712"/>
      <c r="DF3" s="712"/>
      <c r="DG3" s="712"/>
      <c r="DH3" s="712"/>
      <c r="DI3" s="712"/>
      <c r="DJ3" s="712"/>
      <c r="DK3" s="712"/>
      <c r="DL3" s="712"/>
      <c r="DM3" s="712"/>
      <c r="DN3" s="712"/>
      <c r="DO3" s="712"/>
      <c r="DP3" s="712"/>
      <c r="DQ3" s="712"/>
      <c r="DR3" s="712"/>
      <c r="DS3" s="712"/>
      <c r="DT3" s="712"/>
      <c r="DU3" s="712"/>
      <c r="DV3" s="712"/>
      <c r="DW3" s="712"/>
      <c r="DX3" s="712"/>
      <c r="DY3" s="712"/>
      <c r="DZ3" s="712"/>
      <c r="EA3" s="712"/>
      <c r="EB3" s="712"/>
      <c r="EC3" s="712"/>
      <c r="ED3" s="712"/>
      <c r="EE3" s="712"/>
      <c r="EF3" s="712"/>
      <c r="EG3" s="712"/>
      <c r="EH3" s="712"/>
      <c r="EI3" s="712"/>
      <c r="EJ3" s="712"/>
      <c r="EK3" s="712"/>
      <c r="EL3" s="712"/>
      <c r="EM3" s="712"/>
      <c r="EN3" s="712"/>
      <c r="EQ3" s="936"/>
    </row>
    <row r="4" spans="1:183" ht="18.600000000000001" customHeight="1" thickBot="1">
      <c r="G4" s="718" t="s">
        <v>776</v>
      </c>
      <c r="H4" s="1002" t="s">
        <v>52</v>
      </c>
      <c r="T4" s="710"/>
      <c r="U4" s="710"/>
      <c r="V4" s="710"/>
      <c r="W4" s="710"/>
      <c r="X4" s="710"/>
      <c r="Y4" s="710"/>
      <c r="Z4" s="710"/>
      <c r="AA4" s="710"/>
      <c r="AB4" s="710"/>
      <c r="AC4" s="710"/>
      <c r="AD4" s="710"/>
      <c r="AE4" s="710"/>
      <c r="AF4" s="710"/>
      <c r="AG4" s="710"/>
      <c r="AH4" s="710"/>
      <c r="AI4" s="710"/>
      <c r="AJ4" s="710"/>
      <c r="AK4" s="710"/>
      <c r="AL4" s="710"/>
      <c r="AM4" s="710"/>
      <c r="AN4" s="710"/>
      <c r="AO4" s="710"/>
      <c r="AP4" s="710"/>
      <c r="AQ4" s="710"/>
      <c r="AR4" s="710"/>
      <c r="AS4" s="710"/>
      <c r="AT4" s="710"/>
      <c r="AU4" s="710"/>
      <c r="AV4" s="710"/>
      <c r="AW4" s="710"/>
      <c r="AX4" s="710"/>
      <c r="AY4" s="710"/>
      <c r="AZ4" s="710"/>
      <c r="BA4" s="1321" t="s">
        <v>2</v>
      </c>
      <c r="BB4" s="1321"/>
      <c r="BC4" s="1321"/>
      <c r="BD4" s="1321"/>
      <c r="BE4" s="1321"/>
      <c r="BF4" s="1321"/>
      <c r="BG4" s="1321"/>
      <c r="BH4" s="1321"/>
      <c r="BI4" s="1321"/>
      <c r="BJ4" s="1321"/>
      <c r="BK4" s="1321"/>
      <c r="BL4" s="1321"/>
      <c r="BM4" s="1321"/>
      <c r="BN4" s="1321"/>
      <c r="BO4" s="1321"/>
      <c r="BP4" s="1321"/>
      <c r="BQ4" s="1321"/>
      <c r="BR4" s="1321"/>
      <c r="BS4" s="1321"/>
      <c r="BT4" s="1321"/>
      <c r="BU4" s="1321"/>
      <c r="BV4" s="1321"/>
      <c r="BW4" s="1321"/>
      <c r="BX4" s="1321"/>
      <c r="BY4" s="1321"/>
      <c r="BZ4" s="1321"/>
      <c r="CA4" s="1321"/>
      <c r="CB4" s="1321"/>
      <c r="CC4" s="1321"/>
      <c r="CD4" s="1321"/>
      <c r="CE4" s="1321"/>
      <c r="CF4" s="1321"/>
      <c r="CG4" s="1321"/>
      <c r="CH4" s="1321"/>
      <c r="CI4" s="1321"/>
      <c r="CJ4" s="1321"/>
      <c r="CK4" s="1321"/>
      <c r="CL4" s="1321"/>
      <c r="CM4" s="1321"/>
      <c r="CN4" s="1321"/>
      <c r="CO4" s="1321"/>
      <c r="CP4" s="1321"/>
      <c r="CQ4" s="1321"/>
      <c r="CR4" s="1321"/>
      <c r="CS4" s="1321"/>
      <c r="CT4" s="711"/>
      <c r="CU4" s="711"/>
      <c r="CV4" s="1322" t="s">
        <v>3</v>
      </c>
      <c r="CW4" s="1322"/>
      <c r="CX4" s="1322"/>
      <c r="CY4" s="1322"/>
      <c r="CZ4" s="1322"/>
      <c r="DA4" s="1322"/>
      <c r="DB4" s="1322"/>
      <c r="DC4" s="1322"/>
      <c r="DD4" s="1322"/>
      <c r="DE4" s="1322"/>
      <c r="DF4" s="1322"/>
      <c r="DG4" s="1322"/>
      <c r="DH4" s="1322"/>
      <c r="DI4" s="1322"/>
      <c r="DJ4" s="1322"/>
      <c r="DK4" s="1322"/>
      <c r="DL4" s="1322"/>
      <c r="DM4" s="1322"/>
      <c r="DN4" s="1322"/>
      <c r="DO4" s="1322"/>
      <c r="DP4" s="1322"/>
      <c r="DQ4" s="1322"/>
      <c r="DR4" s="1322"/>
      <c r="DS4" s="1322"/>
      <c r="DT4" s="1322"/>
      <c r="DU4" s="1322"/>
      <c r="DV4" s="1322"/>
      <c r="DW4" s="1322"/>
      <c r="DX4" s="1322"/>
      <c r="DY4" s="1322"/>
      <c r="DZ4" s="1322"/>
      <c r="EA4" s="1322"/>
      <c r="EB4" s="1322"/>
      <c r="EC4" s="1322"/>
      <c r="ED4" s="1322"/>
      <c r="EE4" s="1322"/>
      <c r="EF4" s="1322"/>
      <c r="EG4" s="1322"/>
      <c r="EH4" s="1322"/>
      <c r="EI4" s="1322"/>
      <c r="EJ4" s="1322"/>
      <c r="EK4" s="1322"/>
      <c r="EL4" s="1322"/>
      <c r="EM4" s="1322"/>
      <c r="EN4" s="1322"/>
      <c r="FV4" s="1179" t="s">
        <v>725</v>
      </c>
      <c r="FW4" s="1179"/>
    </row>
    <row r="5" spans="1:183" ht="15" customHeight="1" thickBot="1">
      <c r="G5" s="718">
        <v>2026</v>
      </c>
      <c r="J5" s="712">
        <v>5</v>
      </c>
      <c r="K5" s="712">
        <v>6</v>
      </c>
      <c r="L5" s="712"/>
      <c r="M5" s="712"/>
      <c r="T5" s="712"/>
      <c r="U5" s="1323" t="s">
        <v>4</v>
      </c>
      <c r="V5" s="1323"/>
      <c r="W5" s="1323"/>
      <c r="X5" s="1323"/>
      <c r="Y5" s="1324" t="s">
        <v>5</v>
      </c>
      <c r="Z5" s="1324"/>
      <c r="AA5" s="1324"/>
      <c r="AB5" s="1324"/>
      <c r="AC5" s="1323" t="s">
        <v>769</v>
      </c>
      <c r="AD5" s="1323"/>
      <c r="AE5" s="1323"/>
      <c r="AF5" s="1323"/>
      <c r="AG5" s="1325" t="s">
        <v>691</v>
      </c>
      <c r="AH5" s="1325"/>
      <c r="AI5" s="1325"/>
      <c r="AJ5" s="1325"/>
      <c r="AK5" s="1326" t="s">
        <v>6</v>
      </c>
      <c r="AL5" s="1326"/>
      <c r="AM5" s="1326"/>
      <c r="AN5" s="1326"/>
      <c r="AO5" s="1346" t="s">
        <v>379</v>
      </c>
      <c r="AP5" s="1347"/>
      <c r="AQ5" s="1347"/>
      <c r="AR5" s="1347"/>
      <c r="AS5" s="1348"/>
      <c r="AT5" s="1327" t="s">
        <v>274</v>
      </c>
      <c r="AU5" s="1327"/>
      <c r="AV5" s="1327"/>
      <c r="AW5" s="1327"/>
      <c r="AX5" s="1327"/>
      <c r="AY5" s="712"/>
      <c r="BA5" s="1328" t="s">
        <v>8</v>
      </c>
      <c r="BB5" s="1328"/>
      <c r="BC5" s="1328"/>
      <c r="BD5" s="1328"/>
      <c r="BE5" s="1328"/>
      <c r="BF5" s="1328"/>
      <c r="BG5" s="1328"/>
      <c r="BH5" s="1328"/>
      <c r="BI5" s="1328"/>
      <c r="BJ5" s="1329" t="s">
        <v>9</v>
      </c>
      <c r="BK5" s="1329"/>
      <c r="BL5" s="1329"/>
      <c r="BM5" s="1329"/>
      <c r="BN5" s="1329"/>
      <c r="BO5" s="1329"/>
      <c r="BP5" s="1329"/>
      <c r="BQ5" s="1329"/>
      <c r="BR5" s="1329"/>
      <c r="BS5" s="1330" t="s">
        <v>766</v>
      </c>
      <c r="BT5" s="1330"/>
      <c r="BU5" s="1330"/>
      <c r="BV5" s="1330"/>
      <c r="BW5" s="1330"/>
      <c r="BX5" s="1330"/>
      <c r="BY5" s="1330"/>
      <c r="BZ5" s="1330"/>
      <c r="CA5" s="1330"/>
      <c r="CB5" s="1331" t="s">
        <v>692</v>
      </c>
      <c r="CC5" s="1331"/>
      <c r="CD5" s="1331"/>
      <c r="CE5" s="1331"/>
      <c r="CF5" s="1331"/>
      <c r="CG5" s="1331"/>
      <c r="CH5" s="1331"/>
      <c r="CI5" s="1331"/>
      <c r="CJ5" s="1331"/>
      <c r="CK5" s="1332" t="s">
        <v>52</v>
      </c>
      <c r="CL5" s="1332"/>
      <c r="CM5" s="1332"/>
      <c r="CN5" s="1332"/>
      <c r="CO5" s="1332"/>
      <c r="CP5" s="1332"/>
      <c r="CQ5" s="1332"/>
      <c r="CR5" s="1332"/>
      <c r="CS5" s="1332"/>
      <c r="CV5" s="1319" t="s">
        <v>8</v>
      </c>
      <c r="CW5" s="1319"/>
      <c r="CX5" s="1319"/>
      <c r="CY5" s="1319"/>
      <c r="CZ5" s="1319"/>
      <c r="DA5" s="1319"/>
      <c r="DB5" s="1319"/>
      <c r="DC5" s="1319"/>
      <c r="DD5" s="1319"/>
      <c r="DE5" s="1336" t="s">
        <v>9</v>
      </c>
      <c r="DF5" s="1336"/>
      <c r="DG5" s="1336"/>
      <c r="DH5" s="1336"/>
      <c r="DI5" s="1336"/>
      <c r="DJ5" s="1336"/>
      <c r="DK5" s="1336"/>
      <c r="DL5" s="1336"/>
      <c r="DM5" s="1336"/>
      <c r="DN5" s="1337" t="s">
        <v>10</v>
      </c>
      <c r="DO5" s="1337"/>
      <c r="DP5" s="1337"/>
      <c r="DQ5" s="1337"/>
      <c r="DR5" s="1337"/>
      <c r="DS5" s="1337"/>
      <c r="DT5" s="1337"/>
      <c r="DU5" s="1337"/>
      <c r="DV5" s="1337"/>
      <c r="DW5" s="1338" t="s">
        <v>692</v>
      </c>
      <c r="DX5" s="1338"/>
      <c r="DY5" s="1338"/>
      <c r="DZ5" s="1338"/>
      <c r="EA5" s="1338"/>
      <c r="EB5" s="1338"/>
      <c r="EC5" s="1338"/>
      <c r="ED5" s="1338"/>
      <c r="EE5" s="1338"/>
      <c r="EF5" s="1339" t="s">
        <v>11</v>
      </c>
      <c r="EG5" s="1339"/>
      <c r="EH5" s="1339"/>
      <c r="EI5" s="1339"/>
      <c r="EJ5" s="1339"/>
      <c r="EK5" s="1339"/>
      <c r="EL5" s="1339"/>
      <c r="EM5" s="1339"/>
      <c r="EN5" s="1339"/>
      <c r="EP5" s="946"/>
      <c r="ET5" s="902"/>
      <c r="FK5" s="1333" t="s">
        <v>14</v>
      </c>
      <c r="FL5" s="1333"/>
      <c r="FM5" s="1333"/>
      <c r="FN5" s="1333"/>
      <c r="FO5" s="1333"/>
      <c r="FP5" s="1333"/>
      <c r="FV5" s="1180">
        <v>2</v>
      </c>
    </row>
    <row r="6" spans="1:183" s="741" customFormat="1" ht="25.5" customHeight="1" thickBot="1">
      <c r="F6" s="722"/>
      <c r="G6" s="723"/>
      <c r="H6" s="724"/>
      <c r="I6" s="1320" t="s">
        <v>1</v>
      </c>
      <c r="J6" s="1320"/>
      <c r="K6" s="1320"/>
      <c r="L6" s="1320"/>
      <c r="M6" s="1320"/>
      <c r="N6" s="1320"/>
      <c r="O6" s="1320"/>
      <c r="P6" s="1320"/>
      <c r="Q6" s="1320"/>
      <c r="R6" s="1320"/>
      <c r="S6" s="1320"/>
      <c r="T6" s="725" t="s">
        <v>52</v>
      </c>
      <c r="U6" s="726" t="s">
        <v>21</v>
      </c>
      <c r="V6" s="727" t="s">
        <v>21</v>
      </c>
      <c r="W6" s="728" t="s">
        <v>22</v>
      </c>
      <c r="X6" s="728" t="s">
        <v>22</v>
      </c>
      <c r="Y6" s="729" t="s">
        <v>21</v>
      </c>
      <c r="Z6" s="729" t="s">
        <v>21</v>
      </c>
      <c r="AA6" s="729" t="s">
        <v>22</v>
      </c>
      <c r="AB6" s="729" t="s">
        <v>22</v>
      </c>
      <c r="AC6" s="728" t="s">
        <v>21</v>
      </c>
      <c r="AD6" s="728" t="s">
        <v>21</v>
      </c>
      <c r="AE6" s="728" t="s">
        <v>22</v>
      </c>
      <c r="AF6" s="728" t="s">
        <v>22</v>
      </c>
      <c r="AG6" s="730" t="s">
        <v>21</v>
      </c>
      <c r="AH6" s="730" t="s">
        <v>21</v>
      </c>
      <c r="AI6" s="730" t="s">
        <v>22</v>
      </c>
      <c r="AJ6" s="730" t="s">
        <v>22</v>
      </c>
      <c r="AK6" s="731" t="s">
        <v>21</v>
      </c>
      <c r="AL6" s="731" t="s">
        <v>21</v>
      </c>
      <c r="AM6" s="731" t="s">
        <v>22</v>
      </c>
      <c r="AN6" s="731" t="s">
        <v>22</v>
      </c>
      <c r="AO6" s="1334" t="s">
        <v>39</v>
      </c>
      <c r="AP6" s="1334" t="s">
        <v>40</v>
      </c>
      <c r="AQ6" s="1334" t="s">
        <v>49</v>
      </c>
      <c r="AR6" s="1334" t="s">
        <v>41</v>
      </c>
      <c r="AS6" s="1334" t="s">
        <v>50</v>
      </c>
      <c r="AT6" s="1334" t="s">
        <v>39</v>
      </c>
      <c r="AU6" s="1334" t="s">
        <v>40</v>
      </c>
      <c r="AV6" s="1334" t="s">
        <v>49</v>
      </c>
      <c r="AW6" s="1334" t="s">
        <v>41</v>
      </c>
      <c r="AX6" s="1334" t="s">
        <v>50</v>
      </c>
      <c r="AY6" s="732" t="s">
        <v>23</v>
      </c>
      <c r="AZ6" s="733">
        <v>0</v>
      </c>
      <c r="BA6" s="734" t="s">
        <v>15</v>
      </c>
      <c r="BB6" s="735" t="s">
        <v>16</v>
      </c>
      <c r="BC6" s="736" t="s">
        <v>24</v>
      </c>
      <c r="BD6" s="737" t="s">
        <v>25</v>
      </c>
      <c r="BE6" s="737" t="s">
        <v>24</v>
      </c>
      <c r="BF6" s="737" t="s">
        <v>25</v>
      </c>
      <c r="BG6" s="738" t="s">
        <v>26</v>
      </c>
      <c r="BH6" s="738" t="s">
        <v>27</v>
      </c>
      <c r="BI6" s="739" t="s">
        <v>17</v>
      </c>
      <c r="BJ6" s="734" t="s">
        <v>15</v>
      </c>
      <c r="BK6" s="736" t="s">
        <v>16</v>
      </c>
      <c r="BL6" s="736" t="s">
        <v>24</v>
      </c>
      <c r="BM6" s="737" t="s">
        <v>25</v>
      </c>
      <c r="BN6" s="737" t="s">
        <v>24</v>
      </c>
      <c r="BO6" s="737" t="s">
        <v>25</v>
      </c>
      <c r="BP6" s="738" t="s">
        <v>26</v>
      </c>
      <c r="BQ6" s="738" t="s">
        <v>27</v>
      </c>
      <c r="BR6" s="739" t="s">
        <v>17</v>
      </c>
      <c r="BS6" s="734" t="s">
        <v>15</v>
      </c>
      <c r="BT6" s="736" t="s">
        <v>16</v>
      </c>
      <c r="BU6" s="736" t="s">
        <v>24</v>
      </c>
      <c r="BV6" s="737" t="s">
        <v>25</v>
      </c>
      <c r="BW6" s="737" t="s">
        <v>24</v>
      </c>
      <c r="BX6" s="737" t="s">
        <v>25</v>
      </c>
      <c r="BY6" s="738" t="s">
        <v>26</v>
      </c>
      <c r="BZ6" s="738" t="s">
        <v>27</v>
      </c>
      <c r="CA6" s="739" t="s">
        <v>17</v>
      </c>
      <c r="CB6" s="734" t="s">
        <v>15</v>
      </c>
      <c r="CC6" s="736" t="s">
        <v>16</v>
      </c>
      <c r="CD6" s="736" t="s">
        <v>24</v>
      </c>
      <c r="CE6" s="737" t="s">
        <v>25</v>
      </c>
      <c r="CF6" s="737" t="s">
        <v>24</v>
      </c>
      <c r="CG6" s="737" t="s">
        <v>25</v>
      </c>
      <c r="CH6" s="738" t="s">
        <v>26</v>
      </c>
      <c r="CI6" s="738" t="s">
        <v>27</v>
      </c>
      <c r="CJ6" s="739" t="s">
        <v>17</v>
      </c>
      <c r="CK6" s="734" t="s">
        <v>15</v>
      </c>
      <c r="CL6" s="736" t="s">
        <v>16</v>
      </c>
      <c r="CM6" s="736" t="s">
        <v>24</v>
      </c>
      <c r="CN6" s="737" t="s">
        <v>25</v>
      </c>
      <c r="CO6" s="737" t="s">
        <v>24</v>
      </c>
      <c r="CP6" s="737" t="s">
        <v>25</v>
      </c>
      <c r="CQ6" s="738" t="s">
        <v>26</v>
      </c>
      <c r="CR6" s="738" t="s">
        <v>27</v>
      </c>
      <c r="CS6" s="740" t="s">
        <v>17</v>
      </c>
      <c r="CU6" s="742" t="s">
        <v>28</v>
      </c>
      <c r="CV6" s="743" t="s">
        <v>15</v>
      </c>
      <c r="CW6" s="736" t="s">
        <v>16</v>
      </c>
      <c r="CX6" s="736" t="s">
        <v>24</v>
      </c>
      <c r="CY6" s="737" t="s">
        <v>25</v>
      </c>
      <c r="CZ6" s="737" t="s">
        <v>24</v>
      </c>
      <c r="DA6" s="737" t="s">
        <v>25</v>
      </c>
      <c r="DB6" s="738" t="s">
        <v>26</v>
      </c>
      <c r="DC6" s="738" t="s">
        <v>27</v>
      </c>
      <c r="DD6" s="739" t="s">
        <v>17</v>
      </c>
      <c r="DE6" s="734" t="s">
        <v>15</v>
      </c>
      <c r="DF6" s="736" t="s">
        <v>16</v>
      </c>
      <c r="DG6" s="736" t="s">
        <v>24</v>
      </c>
      <c r="DH6" s="737" t="s">
        <v>25</v>
      </c>
      <c r="DI6" s="737" t="s">
        <v>24</v>
      </c>
      <c r="DJ6" s="737" t="s">
        <v>25</v>
      </c>
      <c r="DK6" s="738" t="s">
        <v>26</v>
      </c>
      <c r="DL6" s="738" t="s">
        <v>27</v>
      </c>
      <c r="DM6" s="739" t="s">
        <v>17</v>
      </c>
      <c r="DN6" s="734" t="s">
        <v>15</v>
      </c>
      <c r="DO6" s="736" t="s">
        <v>16</v>
      </c>
      <c r="DP6" s="736" t="s">
        <v>24</v>
      </c>
      <c r="DQ6" s="737" t="s">
        <v>25</v>
      </c>
      <c r="DR6" s="737" t="s">
        <v>24</v>
      </c>
      <c r="DS6" s="737" t="s">
        <v>25</v>
      </c>
      <c r="DT6" s="738" t="s">
        <v>26</v>
      </c>
      <c r="DU6" s="738" t="s">
        <v>27</v>
      </c>
      <c r="DV6" s="739" t="s">
        <v>17</v>
      </c>
      <c r="DW6" s="734" t="s">
        <v>15</v>
      </c>
      <c r="DX6" s="736" t="s">
        <v>16</v>
      </c>
      <c r="DY6" s="736" t="s">
        <v>24</v>
      </c>
      <c r="DZ6" s="737" t="s">
        <v>25</v>
      </c>
      <c r="EA6" s="737" t="s">
        <v>24</v>
      </c>
      <c r="EB6" s="737" t="s">
        <v>25</v>
      </c>
      <c r="EC6" s="738" t="s">
        <v>26</v>
      </c>
      <c r="ED6" s="738" t="s">
        <v>27</v>
      </c>
      <c r="EE6" s="739" t="s">
        <v>17</v>
      </c>
      <c r="EF6" s="734" t="s">
        <v>15</v>
      </c>
      <c r="EG6" s="736" t="s">
        <v>16</v>
      </c>
      <c r="EH6" s="736" t="s">
        <v>24</v>
      </c>
      <c r="EI6" s="737" t="s">
        <v>25</v>
      </c>
      <c r="EJ6" s="737" t="s">
        <v>24</v>
      </c>
      <c r="EK6" s="737" t="s">
        <v>25</v>
      </c>
      <c r="EL6" s="738" t="s">
        <v>26</v>
      </c>
      <c r="EM6" s="738" t="s">
        <v>27</v>
      </c>
      <c r="EN6" s="740" t="s">
        <v>17</v>
      </c>
      <c r="EP6" s="1340" t="s">
        <v>12</v>
      </c>
      <c r="EQ6" s="1340"/>
      <c r="ER6" s="1340"/>
      <c r="ES6" s="1340"/>
      <c r="ET6" s="1340"/>
      <c r="EU6" s="1340"/>
      <c r="EV6" s="1340"/>
      <c r="EW6" s="1340"/>
      <c r="EX6" s="1340"/>
      <c r="EY6" s="712"/>
      <c r="EZ6" s="712"/>
      <c r="FA6" s="1341" t="s">
        <v>13</v>
      </c>
      <c r="FB6" s="1342"/>
      <c r="FC6" s="1342"/>
      <c r="FD6" s="1342"/>
      <c r="FE6" s="1342"/>
      <c r="FF6" s="1342"/>
      <c r="FG6" s="1342"/>
      <c r="FH6" s="1342"/>
      <c r="FI6" s="1342"/>
      <c r="FJ6" s="1343"/>
      <c r="FK6" s="744" t="s">
        <v>18</v>
      </c>
      <c r="FL6" s="745" t="s">
        <v>18</v>
      </c>
      <c r="FM6" s="745" t="s">
        <v>18</v>
      </c>
      <c r="FN6" s="745" t="s">
        <v>18</v>
      </c>
      <c r="FO6" s="745" t="s">
        <v>18</v>
      </c>
      <c r="FP6" s="746" t="s">
        <v>18</v>
      </c>
    </row>
    <row r="7" spans="1:183" ht="45.75" thickBot="1">
      <c r="A7" s="1004" t="s">
        <v>702</v>
      </c>
      <c r="B7" s="1004" t="s">
        <v>703</v>
      </c>
      <c r="C7" s="1004" t="s">
        <v>704</v>
      </c>
      <c r="D7" s="1004" t="s">
        <v>705</v>
      </c>
      <c r="E7" s="1189" t="s">
        <v>735</v>
      </c>
      <c r="G7" s="747" t="s">
        <v>35</v>
      </c>
      <c r="H7" s="748" t="s">
        <v>36</v>
      </c>
      <c r="I7" s="749" t="s">
        <v>381</v>
      </c>
      <c r="J7" s="749" t="s">
        <v>380</v>
      </c>
      <c r="K7" s="749" t="s">
        <v>382</v>
      </c>
      <c r="L7" s="749" t="s">
        <v>17</v>
      </c>
      <c r="M7" s="749" t="s">
        <v>383</v>
      </c>
      <c r="N7" s="749" t="s">
        <v>384</v>
      </c>
      <c r="O7" s="749" t="s">
        <v>19</v>
      </c>
      <c r="P7" s="749" t="s">
        <v>766</v>
      </c>
      <c r="Q7" s="749" t="s">
        <v>690</v>
      </c>
      <c r="R7" s="749" t="s">
        <v>52</v>
      </c>
      <c r="S7" s="749" t="s">
        <v>388</v>
      </c>
      <c r="T7" s="750" t="s">
        <v>20</v>
      </c>
      <c r="U7" s="751" t="s">
        <v>42</v>
      </c>
      <c r="V7" s="752" t="s">
        <v>43</v>
      </c>
      <c r="W7" s="752" t="s">
        <v>42</v>
      </c>
      <c r="X7" s="752" t="s">
        <v>43</v>
      </c>
      <c r="Y7" s="753" t="s">
        <v>42</v>
      </c>
      <c r="Z7" s="753" t="s">
        <v>43</v>
      </c>
      <c r="AA7" s="753" t="s">
        <v>42</v>
      </c>
      <c r="AB7" s="753" t="s">
        <v>43</v>
      </c>
      <c r="AC7" s="752" t="s">
        <v>42</v>
      </c>
      <c r="AD7" s="752" t="s">
        <v>43</v>
      </c>
      <c r="AE7" s="752" t="s">
        <v>42</v>
      </c>
      <c r="AF7" s="752" t="s">
        <v>43</v>
      </c>
      <c r="AG7" s="754" t="s">
        <v>42</v>
      </c>
      <c r="AH7" s="754" t="s">
        <v>43</v>
      </c>
      <c r="AI7" s="754" t="s">
        <v>42</v>
      </c>
      <c r="AJ7" s="754" t="s">
        <v>43</v>
      </c>
      <c r="AK7" s="755" t="s">
        <v>42</v>
      </c>
      <c r="AL7" s="755" t="s">
        <v>43</v>
      </c>
      <c r="AM7" s="755" t="s">
        <v>42</v>
      </c>
      <c r="AN7" s="755" t="s">
        <v>43</v>
      </c>
      <c r="AO7" s="1335"/>
      <c r="AP7" s="1335"/>
      <c r="AQ7" s="1335"/>
      <c r="AR7" s="1335"/>
      <c r="AS7" s="1335"/>
      <c r="AT7" s="1335"/>
      <c r="AU7" s="1335"/>
      <c r="AV7" s="1335"/>
      <c r="AW7" s="1335"/>
      <c r="AX7" s="1335"/>
      <c r="AY7" s="756"/>
      <c r="BA7" s="757" t="s">
        <v>37</v>
      </c>
      <c r="BB7" s="758" t="s">
        <v>38</v>
      </c>
      <c r="BC7" s="759" t="s">
        <v>44</v>
      </c>
      <c r="BD7" s="759" t="s">
        <v>44</v>
      </c>
      <c r="BE7" s="759" t="s">
        <v>45</v>
      </c>
      <c r="BF7" s="759" t="s">
        <v>45</v>
      </c>
      <c r="BG7" s="760" t="s">
        <v>46</v>
      </c>
      <c r="BH7" s="760" t="s">
        <v>47</v>
      </c>
      <c r="BI7" s="761"/>
      <c r="BJ7" s="757" t="s">
        <v>37</v>
      </c>
      <c r="BK7" s="759" t="s">
        <v>38</v>
      </c>
      <c r="BL7" s="759" t="s">
        <v>44</v>
      </c>
      <c r="BM7" s="759" t="s">
        <v>44</v>
      </c>
      <c r="BN7" s="759" t="s">
        <v>45</v>
      </c>
      <c r="BO7" s="759" t="s">
        <v>45</v>
      </c>
      <c r="BP7" s="760" t="s">
        <v>46</v>
      </c>
      <c r="BQ7" s="760" t="s">
        <v>47</v>
      </c>
      <c r="BR7" s="761"/>
      <c r="BS7" s="757" t="s">
        <v>37</v>
      </c>
      <c r="BT7" s="759" t="s">
        <v>38</v>
      </c>
      <c r="BU7" s="759" t="s">
        <v>44</v>
      </c>
      <c r="BV7" s="759" t="s">
        <v>44</v>
      </c>
      <c r="BW7" s="759" t="s">
        <v>45</v>
      </c>
      <c r="BX7" s="759" t="s">
        <v>45</v>
      </c>
      <c r="BY7" s="760" t="s">
        <v>46</v>
      </c>
      <c r="BZ7" s="760" t="s">
        <v>47</v>
      </c>
      <c r="CA7" s="761"/>
      <c r="CB7" s="757" t="s">
        <v>37</v>
      </c>
      <c r="CC7" s="759" t="s">
        <v>38</v>
      </c>
      <c r="CD7" s="759" t="s">
        <v>44</v>
      </c>
      <c r="CE7" s="759" t="s">
        <v>44</v>
      </c>
      <c r="CF7" s="759" t="s">
        <v>45</v>
      </c>
      <c r="CG7" s="759" t="s">
        <v>45</v>
      </c>
      <c r="CH7" s="760" t="s">
        <v>46</v>
      </c>
      <c r="CI7" s="760" t="s">
        <v>47</v>
      </c>
      <c r="CJ7" s="761"/>
      <c r="CK7" s="757" t="s">
        <v>37</v>
      </c>
      <c r="CL7" s="759" t="s">
        <v>38</v>
      </c>
      <c r="CM7" s="759" t="s">
        <v>44</v>
      </c>
      <c r="CN7" s="759" t="s">
        <v>44</v>
      </c>
      <c r="CO7" s="759" t="s">
        <v>45</v>
      </c>
      <c r="CP7" s="759" t="s">
        <v>45</v>
      </c>
      <c r="CQ7" s="760" t="s">
        <v>46</v>
      </c>
      <c r="CR7" s="760" t="s">
        <v>47</v>
      </c>
      <c r="CS7" s="762"/>
      <c r="CU7" s="763" t="s">
        <v>48</v>
      </c>
      <c r="CV7" s="764" t="s">
        <v>37</v>
      </c>
      <c r="CW7" s="759" t="s">
        <v>38</v>
      </c>
      <c r="CX7" s="759" t="s">
        <v>44</v>
      </c>
      <c r="CY7" s="759" t="s">
        <v>44</v>
      </c>
      <c r="CZ7" s="759" t="s">
        <v>45</v>
      </c>
      <c r="DA7" s="759" t="s">
        <v>45</v>
      </c>
      <c r="DB7" s="760" t="s">
        <v>46</v>
      </c>
      <c r="DC7" s="760" t="s">
        <v>47</v>
      </c>
      <c r="DD7" s="761"/>
      <c r="DE7" s="757" t="s">
        <v>37</v>
      </c>
      <c r="DF7" s="759" t="s">
        <v>38</v>
      </c>
      <c r="DG7" s="759" t="s">
        <v>44</v>
      </c>
      <c r="DH7" s="759" t="s">
        <v>44</v>
      </c>
      <c r="DI7" s="759" t="s">
        <v>45</v>
      </c>
      <c r="DJ7" s="759" t="s">
        <v>45</v>
      </c>
      <c r="DK7" s="760" t="s">
        <v>46</v>
      </c>
      <c r="DL7" s="760" t="s">
        <v>47</v>
      </c>
      <c r="DM7" s="761"/>
      <c r="DN7" s="757" t="s">
        <v>37</v>
      </c>
      <c r="DO7" s="759" t="s">
        <v>38</v>
      </c>
      <c r="DP7" s="759" t="s">
        <v>44</v>
      </c>
      <c r="DQ7" s="759" t="s">
        <v>44</v>
      </c>
      <c r="DR7" s="759" t="s">
        <v>45</v>
      </c>
      <c r="DS7" s="759" t="s">
        <v>45</v>
      </c>
      <c r="DT7" s="760" t="s">
        <v>46</v>
      </c>
      <c r="DU7" s="760" t="s">
        <v>47</v>
      </c>
      <c r="DV7" s="761"/>
      <c r="DW7" s="757" t="s">
        <v>37</v>
      </c>
      <c r="DX7" s="759" t="s">
        <v>38</v>
      </c>
      <c r="DY7" s="759" t="s">
        <v>44</v>
      </c>
      <c r="DZ7" s="759" t="s">
        <v>44</v>
      </c>
      <c r="EA7" s="759" t="s">
        <v>45</v>
      </c>
      <c r="EB7" s="759" t="s">
        <v>45</v>
      </c>
      <c r="EC7" s="760" t="s">
        <v>46</v>
      </c>
      <c r="ED7" s="760" t="s">
        <v>47</v>
      </c>
      <c r="EE7" s="761"/>
      <c r="EF7" s="757" t="s">
        <v>37</v>
      </c>
      <c r="EG7" s="759" t="s">
        <v>38</v>
      </c>
      <c r="EH7" s="759" t="s">
        <v>44</v>
      </c>
      <c r="EI7" s="759" t="s">
        <v>44</v>
      </c>
      <c r="EJ7" s="759" t="s">
        <v>45</v>
      </c>
      <c r="EK7" s="759" t="s">
        <v>45</v>
      </c>
      <c r="EL7" s="760" t="s">
        <v>46</v>
      </c>
      <c r="EM7" s="760" t="s">
        <v>47</v>
      </c>
      <c r="EN7" s="762"/>
      <c r="EP7" s="947" t="s">
        <v>29</v>
      </c>
      <c r="EQ7" s="765" t="s">
        <v>552</v>
      </c>
      <c r="ER7" s="766" t="s">
        <v>30</v>
      </c>
      <c r="ES7" s="767" t="s">
        <v>31</v>
      </c>
      <c r="ET7" s="768" t="s">
        <v>529</v>
      </c>
      <c r="EU7" s="768" t="s">
        <v>743</v>
      </c>
      <c r="EV7" s="768" t="s">
        <v>414</v>
      </c>
      <c r="EW7" s="766" t="s">
        <v>32</v>
      </c>
      <c r="EX7" s="766" t="s">
        <v>33</v>
      </c>
      <c r="EY7" s="769" t="s">
        <v>480</v>
      </c>
      <c r="FA7" s="770" t="s">
        <v>29</v>
      </c>
      <c r="FB7" s="771" t="s">
        <v>552</v>
      </c>
      <c r="FC7" s="771" t="s">
        <v>30</v>
      </c>
      <c r="FD7" s="771" t="s">
        <v>31</v>
      </c>
      <c r="FE7" s="772" t="s">
        <v>545</v>
      </c>
      <c r="FF7" s="772" t="s">
        <v>413</v>
      </c>
      <c r="FG7" s="772" t="s">
        <v>414</v>
      </c>
      <c r="FH7" s="771" t="s">
        <v>32</v>
      </c>
      <c r="FI7" s="771" t="s">
        <v>33</v>
      </c>
      <c r="FJ7" s="771" t="s">
        <v>34</v>
      </c>
      <c r="FK7" s="773" t="s">
        <v>384</v>
      </c>
      <c r="FL7" s="774" t="s">
        <v>19</v>
      </c>
      <c r="FM7" s="774" t="s">
        <v>385</v>
      </c>
      <c r="FN7" s="774" t="s">
        <v>386</v>
      </c>
      <c r="FO7" s="774" t="s">
        <v>387</v>
      </c>
      <c r="FP7" s="775" t="s">
        <v>388</v>
      </c>
    </row>
    <row r="8" spans="1:183" s="216" customFormat="1" ht="15" customHeight="1" outlineLevel="1">
      <c r="A8" s="1005" t="str">
        <f>+$G$4</f>
        <v>JUNIO  2026 2da QUINCENA</v>
      </c>
      <c r="B8" s="1005">
        <f>+$G$5</f>
        <v>2026</v>
      </c>
      <c r="C8" s="1006" t="str">
        <f>A8 &amp; B8</f>
        <v>JUNIO  2026 2da QUINCENA2026</v>
      </c>
      <c r="D8" s="235" t="str">
        <f>+$G$8</f>
        <v>ADMINISTRATIVO</v>
      </c>
      <c r="E8" s="235">
        <v>102010</v>
      </c>
      <c r="F8" s="268"/>
      <c r="G8" s="779" t="s">
        <v>58</v>
      </c>
      <c r="H8" s="200"/>
      <c r="I8" s="201"/>
      <c r="J8" s="203"/>
      <c r="K8" s="203"/>
      <c r="L8" s="202"/>
      <c r="M8" s="203"/>
      <c r="N8" s="204"/>
      <c r="O8" s="204"/>
      <c r="P8" s="204"/>
      <c r="Q8" s="204"/>
      <c r="R8" s="204"/>
      <c r="S8" s="204"/>
      <c r="T8" s="205"/>
      <c r="U8" s="207"/>
      <c r="V8" s="203"/>
      <c r="W8" s="207"/>
      <c r="X8" s="203"/>
      <c r="Y8" s="207"/>
      <c r="Z8" s="203"/>
      <c r="AA8" s="207"/>
      <c r="AB8" s="203"/>
      <c r="AC8" s="207"/>
      <c r="AD8" s="203"/>
      <c r="AE8" s="208"/>
      <c r="AF8" s="203"/>
      <c r="AG8" s="209"/>
      <c r="AH8" s="203"/>
      <c r="AI8" s="209"/>
      <c r="AJ8" s="203"/>
      <c r="AK8" s="210"/>
      <c r="AL8" s="203"/>
      <c r="AM8" s="209"/>
      <c r="AN8" s="203"/>
      <c r="AO8" s="210"/>
      <c r="AP8" s="210"/>
      <c r="AQ8" s="210"/>
      <c r="AR8" s="210"/>
      <c r="AS8" s="210"/>
      <c r="AT8" s="210"/>
      <c r="AU8" s="210"/>
      <c r="AV8" s="210"/>
      <c r="AW8" s="210"/>
      <c r="AX8" s="210"/>
      <c r="AY8" s="203"/>
      <c r="AZ8" s="201"/>
      <c r="BA8" s="203"/>
      <c r="BB8" s="787"/>
      <c r="BC8" s="203"/>
      <c r="BD8" s="203"/>
      <c r="BE8" s="203"/>
      <c r="BF8" s="203"/>
      <c r="BG8" s="203"/>
      <c r="BH8" s="203"/>
      <c r="BI8" s="203"/>
      <c r="BJ8" s="203"/>
      <c r="BK8" s="203"/>
      <c r="BL8" s="203"/>
      <c r="BM8" s="203"/>
      <c r="BN8" s="203"/>
      <c r="BO8" s="203"/>
      <c r="BP8" s="203"/>
      <c r="BQ8" s="203"/>
      <c r="BR8" s="202"/>
      <c r="BS8" s="203"/>
      <c r="BT8" s="203"/>
      <c r="BU8" s="203"/>
      <c r="BV8" s="203"/>
      <c r="BW8" s="203"/>
      <c r="BX8" s="203"/>
      <c r="BY8" s="203"/>
      <c r="BZ8" s="203"/>
      <c r="CA8" s="203"/>
      <c r="CB8" s="781"/>
      <c r="CC8" s="782"/>
      <c r="CD8" s="782"/>
      <c r="CE8" s="782"/>
      <c r="CF8" s="782"/>
      <c r="CG8" s="782"/>
      <c r="CH8" s="782"/>
      <c r="CI8" s="783"/>
      <c r="CJ8" s="784"/>
      <c r="CK8" s="785"/>
      <c r="CL8" s="782"/>
      <c r="CM8" s="782"/>
      <c r="CN8" s="782"/>
      <c r="CO8" s="782"/>
      <c r="CP8" s="782"/>
      <c r="CQ8" s="782"/>
      <c r="CR8" s="783"/>
      <c r="CS8" s="783"/>
      <c r="CU8" s="201"/>
      <c r="CV8" s="203"/>
      <c r="CW8" s="203"/>
      <c r="CX8" s="203"/>
      <c r="CY8" s="203"/>
      <c r="CZ8" s="203"/>
      <c r="DA8" s="203"/>
      <c r="DB8" s="203"/>
      <c r="DC8" s="203"/>
      <c r="DD8" s="203"/>
      <c r="DE8" s="203"/>
      <c r="DF8" s="203"/>
      <c r="DG8" s="203"/>
      <c r="DH8" s="203"/>
      <c r="DI8" s="203"/>
      <c r="DJ8" s="203"/>
      <c r="DK8" s="203"/>
      <c r="DL8" s="203"/>
      <c r="DM8" s="203"/>
      <c r="DN8" s="210"/>
      <c r="DO8" s="210"/>
      <c r="DP8" s="210"/>
      <c r="DQ8" s="210"/>
      <c r="DR8" s="210"/>
      <c r="DS8" s="210"/>
      <c r="DT8" s="210"/>
      <c r="DU8" s="210"/>
      <c r="DV8" s="210"/>
      <c r="DW8" s="790"/>
      <c r="DX8" s="788"/>
      <c r="DY8" s="788"/>
      <c r="DZ8" s="788"/>
      <c r="EA8" s="788"/>
      <c r="EB8" s="788"/>
      <c r="EC8" s="789"/>
      <c r="ED8" s="789"/>
      <c r="EE8" s="791"/>
      <c r="EF8" s="790"/>
      <c r="EG8" s="788"/>
      <c r="EH8" s="788"/>
      <c r="EI8" s="788"/>
      <c r="EJ8" s="788"/>
      <c r="EK8" s="788"/>
      <c r="EL8" s="789"/>
      <c r="EM8" s="789"/>
      <c r="EN8" s="789"/>
      <c r="EP8" s="265"/>
      <c r="EQ8" s="201"/>
      <c r="ER8" s="200"/>
      <c r="ES8" s="201"/>
      <c r="ET8" s="201"/>
      <c r="EU8" s="201"/>
      <c r="EV8" s="201"/>
      <c r="EW8" s="201"/>
      <c r="EX8" s="201"/>
      <c r="EY8" s="201"/>
      <c r="FA8" s="207"/>
      <c r="FB8" s="207"/>
      <c r="FC8" s="207"/>
      <c r="FD8" s="207"/>
      <c r="FE8" s="207"/>
      <c r="FF8" s="207"/>
      <c r="FG8" s="207"/>
      <c r="FH8" s="207"/>
      <c r="FI8" s="207"/>
      <c r="FJ8" s="207"/>
      <c r="FK8" s="217"/>
      <c r="FL8" s="217"/>
      <c r="FM8" s="217"/>
      <c r="FN8" s="217"/>
      <c r="FO8" s="217"/>
      <c r="FP8" s="218"/>
    </row>
    <row r="9" spans="1:183" s="216" customFormat="1" ht="15" customHeight="1" outlineLevel="1">
      <c r="A9" s="1005"/>
      <c r="B9" s="1005"/>
      <c r="C9" s="1006"/>
      <c r="D9" s="235"/>
      <c r="E9" s="235">
        <v>102010</v>
      </c>
      <c r="F9" s="268">
        <v>1</v>
      </c>
      <c r="G9" s="199" t="s">
        <v>721</v>
      </c>
      <c r="H9" s="200" t="s">
        <v>55</v>
      </c>
      <c r="I9" s="201" t="s">
        <v>11</v>
      </c>
      <c r="J9" s="203">
        <v>5000</v>
      </c>
      <c r="K9" s="203">
        <v>1000</v>
      </c>
      <c r="L9" s="202">
        <f t="shared" ref="L9" si="0">+J9+K9</f>
        <v>6000</v>
      </c>
      <c r="M9" s="203">
        <v>30</v>
      </c>
      <c r="N9" s="204">
        <v>0.5</v>
      </c>
      <c r="O9" s="204">
        <v>0.4</v>
      </c>
      <c r="P9" s="204">
        <v>0.1</v>
      </c>
      <c r="Q9" s="204">
        <v>0</v>
      </c>
      <c r="R9" s="204">
        <v>0</v>
      </c>
      <c r="S9" s="204">
        <f t="shared" ref="S9" si="1">SUM(N9:R9)</f>
        <v>1</v>
      </c>
      <c r="T9" s="205"/>
      <c r="U9" s="207"/>
      <c r="V9" s="239">
        <f t="shared" ref="V9" si="2">($J9/30/8*1.5)*U9</f>
        <v>0</v>
      </c>
      <c r="W9" s="265"/>
      <c r="X9" s="239">
        <f t="shared" ref="X9" si="3">($J9/30/8*2)*W9</f>
        <v>0</v>
      </c>
      <c r="Y9" s="265"/>
      <c r="Z9" s="239">
        <f t="shared" ref="Z9" si="4">($J9/30/8*1.5)*Y9</f>
        <v>0</v>
      </c>
      <c r="AA9" s="265"/>
      <c r="AB9" s="239">
        <f t="shared" ref="AB9" si="5">($J9/30/8*2)*AA9</f>
        <v>0</v>
      </c>
      <c r="AC9" s="265"/>
      <c r="AD9" s="239">
        <f t="shared" ref="AD9" si="6">(($J9/30/8)*1.5)*AC9</f>
        <v>0</v>
      </c>
      <c r="AE9" s="838"/>
      <c r="AF9" s="239">
        <f t="shared" ref="AF9" si="7">(($J9/30/8)*2)*AE9</f>
        <v>0</v>
      </c>
      <c r="AG9" s="838"/>
      <c r="AH9" s="239">
        <f t="shared" ref="AH9" si="8">(($J9/30/8)*1.5)*AG9</f>
        <v>0</v>
      </c>
      <c r="AI9" s="838">
        <v>0</v>
      </c>
      <c r="AJ9" s="239">
        <f>(($J9/30/8)*2)*AI9</f>
        <v>0</v>
      </c>
      <c r="AK9" s="239"/>
      <c r="AL9" s="239">
        <f t="shared" ref="AL9" si="9">(($J9/30/8)*1.5)*AK9</f>
        <v>0</v>
      </c>
      <c r="AM9" s="838"/>
      <c r="AN9" s="239">
        <f t="shared" ref="AN9" si="10">(($J9/30/8)*2)*AM9</f>
        <v>0</v>
      </c>
      <c r="AO9" s="239"/>
      <c r="AP9" s="239"/>
      <c r="AQ9" s="239"/>
      <c r="AR9" s="239"/>
      <c r="AS9" s="239"/>
      <c r="AT9" s="239"/>
      <c r="AU9" s="239"/>
      <c r="AV9" s="239"/>
      <c r="AW9" s="239"/>
      <c r="AX9" s="239"/>
      <c r="AY9" s="239"/>
      <c r="AZ9" s="200"/>
      <c r="BA9" s="203">
        <f>(($J9/30)*$M9)*$N9</f>
        <v>2500</v>
      </c>
      <c r="BB9" s="203">
        <f>((K9/30)*M9)*$N9</f>
        <v>500.00000000000006</v>
      </c>
      <c r="BC9" s="203">
        <f t="shared" ref="BC9" si="11">U9</f>
        <v>0</v>
      </c>
      <c r="BD9" s="203">
        <f t="shared" ref="BD9" si="12">V9</f>
        <v>0</v>
      </c>
      <c r="BE9" s="203">
        <f t="shared" ref="BE9" si="13">W9</f>
        <v>0</v>
      </c>
      <c r="BF9" s="203">
        <f t="shared" ref="BF9" si="14">X9</f>
        <v>0</v>
      </c>
      <c r="BG9" s="203">
        <f t="shared" ref="BG9" si="15">AO9+AT9</f>
        <v>0</v>
      </c>
      <c r="BH9" s="203">
        <f>(BA9+BD9+BF9+BG9)*0.1267</f>
        <v>316.75</v>
      </c>
      <c r="BI9" s="203">
        <f t="shared" ref="BI9" si="16">SUM(BA9:BH9)-BC9-BE9</f>
        <v>3316.75</v>
      </c>
      <c r="BJ9" s="203">
        <f>(($J9/30)*$M9)*$O9</f>
        <v>2000</v>
      </c>
      <c r="BK9" s="203">
        <f>(($K9/30)*$M9)*$O9</f>
        <v>400.00000000000006</v>
      </c>
      <c r="BL9" s="203">
        <f t="shared" ref="BL9" si="17">Y9</f>
        <v>0</v>
      </c>
      <c r="BM9" s="203">
        <f t="shared" ref="BM9" si="18">Z9</f>
        <v>0</v>
      </c>
      <c r="BN9" s="203">
        <f t="shared" ref="BN9" si="19">AA9</f>
        <v>0</v>
      </c>
      <c r="BO9" s="203">
        <f t="shared" ref="BO9" si="20">AB9</f>
        <v>0</v>
      </c>
      <c r="BP9" s="203">
        <f t="shared" ref="BP9" si="21">AP9+AU9</f>
        <v>0</v>
      </c>
      <c r="BQ9" s="203">
        <f>(+BJ9+BM9+BO9+BP9)*0.1267</f>
        <v>253.4</v>
      </c>
      <c r="BR9" s="202">
        <f t="shared" ref="BR9" si="22">SUM(BJ9:BQ9)-BL9-BN9</f>
        <v>2653.4</v>
      </c>
      <c r="BS9" s="203">
        <f t="shared" ref="BS9:BS11" si="23">(($J9/30)*$M9)*$P9</f>
        <v>500</v>
      </c>
      <c r="BT9" s="203">
        <f t="shared" ref="BT9:BT11" si="24">(($K9/30)*$M9)*$P9</f>
        <v>100.00000000000001</v>
      </c>
      <c r="BU9" s="203">
        <f t="shared" ref="BU9" si="25">AC9</f>
        <v>0</v>
      </c>
      <c r="BV9" s="203">
        <f t="shared" ref="BV9" si="26">AD9</f>
        <v>0</v>
      </c>
      <c r="BW9" s="203">
        <f t="shared" ref="BW9" si="27">AE9</f>
        <v>0</v>
      </c>
      <c r="BX9" s="203">
        <f t="shared" ref="BX9" si="28">AF9</f>
        <v>0</v>
      </c>
      <c r="BY9" s="203">
        <f t="shared" ref="BY9" si="29">AQ9+AV9</f>
        <v>0</v>
      </c>
      <c r="BZ9" s="203">
        <f>(BS9+BV9+BX9+BY9)*0.1267</f>
        <v>63.35</v>
      </c>
      <c r="CA9" s="203">
        <f t="shared" ref="CA9" si="30">SUM(BS9:BZ9)-BU9-BW9</f>
        <v>663.35</v>
      </c>
      <c r="CB9" s="781">
        <f t="shared" ref="CB9:CB11" si="31">(($J9/30)*$M9)*$Q9</f>
        <v>0</v>
      </c>
      <c r="CC9" s="782">
        <f t="shared" ref="CC9:CC11" si="32">(($K9/30)*$M9)*$Q9</f>
        <v>0</v>
      </c>
      <c r="CD9" s="782">
        <f t="shared" ref="CD9" si="33">AG9</f>
        <v>0</v>
      </c>
      <c r="CE9" s="782">
        <f>AH9</f>
        <v>0</v>
      </c>
      <c r="CF9" s="782">
        <f t="shared" ref="CF9" si="34">AI9</f>
        <v>0</v>
      </c>
      <c r="CG9" s="782">
        <f t="shared" ref="CG9" si="35">AJ9</f>
        <v>0</v>
      </c>
      <c r="CH9" s="782">
        <f t="shared" ref="CH9" si="36">AR9+AW9</f>
        <v>0</v>
      </c>
      <c r="CI9" s="703">
        <f>(CB9+CE9+CG9+CH9)*0.1267</f>
        <v>0</v>
      </c>
      <c r="CJ9" s="784">
        <f t="shared" ref="CJ9" si="37">SUM(CB9:CI9)-CD9-CF9</f>
        <v>0</v>
      </c>
      <c r="CK9" s="785">
        <f t="shared" ref="CK9" si="38">(($J9/30)*$M9)*R9</f>
        <v>0</v>
      </c>
      <c r="CL9" s="782">
        <f t="shared" ref="CL9" si="39">(($K9/30)*$M9)*$R9</f>
        <v>0</v>
      </c>
      <c r="CM9" s="782">
        <f t="shared" ref="CM9" si="40">+AK9</f>
        <v>0</v>
      </c>
      <c r="CN9" s="782">
        <f t="shared" ref="CN9" si="41">AL9</f>
        <v>0</v>
      </c>
      <c r="CO9" s="782">
        <f t="shared" ref="CO9" si="42">AM9</f>
        <v>0</v>
      </c>
      <c r="CP9" s="782">
        <f t="shared" ref="CP9" si="43">AN9</f>
        <v>0</v>
      </c>
      <c r="CQ9" s="782">
        <f t="shared" ref="CQ9" si="44">AS9+AX9</f>
        <v>0</v>
      </c>
      <c r="CR9" s="783">
        <f t="shared" ref="CR9" si="45">(CK9+CN9+CP9)*0.1267</f>
        <v>0</v>
      </c>
      <c r="CS9" s="783">
        <f t="shared" ref="CS9" si="46">SUM(CK9:CR9)-CM9-CO9</f>
        <v>0</v>
      </c>
      <c r="CU9" s="201" t="s">
        <v>11</v>
      </c>
      <c r="CV9" s="203">
        <f t="shared" ref="CV9:CV11" si="47">IF($CU9="PROQUIMA",$BA9+$BJ9+$BS9+$CB9+$CK9,0)</f>
        <v>0</v>
      </c>
      <c r="CW9" s="203">
        <f t="shared" ref="CW9:CW11" si="48">IF($CU9="PROQUIMA",$BB9+$BK9+$BT9+$CC9+$CL9,0)</f>
        <v>0</v>
      </c>
      <c r="CX9" s="203">
        <f t="shared" ref="CX9:CX11" si="49">IF($CU9="PROQUIMA",$BC9+$BL9+$BU9+$CD9+$CM9,0)</f>
        <v>0</v>
      </c>
      <c r="CY9" s="203">
        <f t="shared" ref="CY9:CY11" si="50">IF($CU9="PROQUIMA",$BD9+$BM9+$BV9+$CE9+$CN9,0)</f>
        <v>0</v>
      </c>
      <c r="CZ9" s="203">
        <f t="shared" ref="CZ9:CZ11" si="51">IF($CU9="PROQUIMA",$BE9+$BN9+$BW9+$CF9+$CO9,0)</f>
        <v>0</v>
      </c>
      <c r="DA9" s="203">
        <f t="shared" ref="DA9:DA11" si="52">IF($CU9="PROQUIMA",$BF9+$BO9+$BX9+$CG9+$CP9,0)</f>
        <v>0</v>
      </c>
      <c r="DB9" s="203">
        <f t="shared" ref="DB9:DB11" si="53">IF($CU9="PROQUIMA",$BG9+$BP9+$BY9+$CH9+$CQ9,0)</f>
        <v>0</v>
      </c>
      <c r="DC9" s="203">
        <f t="shared" ref="DC9" si="54">IF($CU9="PROQUIMA",$BH9+$BQ9+$BZ9+$CI9+CR9,0)</f>
        <v>0</v>
      </c>
      <c r="DD9" s="203">
        <f t="shared" ref="DD9" si="55">SUM(CV9:DC9)-CX9-CZ9</f>
        <v>0</v>
      </c>
      <c r="DE9" s="239">
        <f t="shared" ref="DE9:DE11" si="56">IF($CU9="UNHESA",$BA9+$BJ9+$BS9+$CB9+$CK9,0)</f>
        <v>0</v>
      </c>
      <c r="DF9" s="203">
        <f t="shared" ref="DF9:DF11" si="57">IF($CU9="UNHESA",$BB9+$BK9+$BT9+$CC9+$CL9,0)</f>
        <v>0</v>
      </c>
      <c r="DG9" s="203">
        <f t="shared" ref="DG9:DG11" si="58">IF($CU9="UNHESA",$BC9+$BL9+$BU9+$CD9+$CM9,0)</f>
        <v>0</v>
      </c>
      <c r="DH9" s="203">
        <f t="shared" ref="DH9:DH11" si="59">IF($CU9="UNHESA",$BD9+$BM9+$BV9+$CE9+$CN9,0)</f>
        <v>0</v>
      </c>
      <c r="DI9" s="203">
        <f>IF($CU9="UNHESA",$BE9+$BN9+$BW9+$CF9+$CO9,0)</f>
        <v>0</v>
      </c>
      <c r="DJ9" s="203">
        <f t="shared" ref="DJ9:DJ11" si="60">IF($CU9="UNHESA",$BF9+$BO9+$BX9+$CG9+$CP9,0)</f>
        <v>0</v>
      </c>
      <c r="DK9" s="203">
        <f t="shared" ref="DK9:DK11" si="61">IF($CU9="UNHESA",$BG9+$BP9+$BY9+$CH9+$CQ9,0)</f>
        <v>0</v>
      </c>
      <c r="DL9" s="203">
        <f t="shared" ref="DL9:DL11" si="62">IF($CU9="UNHESA",$BH9+$BQ9+$BZ9+$CI9+$CR9,0)</f>
        <v>0</v>
      </c>
      <c r="DM9" s="203">
        <f t="shared" ref="DM9" si="63">SUM(DE9:DL9)-DG9-DI9</f>
        <v>0</v>
      </c>
      <c r="DN9" s="203">
        <f t="shared" ref="DN9" si="64">SUM(DF9:DM9)-DH9-DJ9</f>
        <v>0</v>
      </c>
      <c r="DO9" s="203">
        <f t="shared" ref="DO9" si="65">SUM(DG9:DN9)-DI9-DK9</f>
        <v>0</v>
      </c>
      <c r="DP9" s="203">
        <f t="shared" ref="DP9" si="66">SUM(DH9:DO9)-DJ9-DL9</f>
        <v>0</v>
      </c>
      <c r="DQ9" s="203">
        <f t="shared" ref="DQ9" si="67">SUM(DI9:DP9)-DK9-DM9</f>
        <v>0</v>
      </c>
      <c r="DR9" s="203">
        <f t="shared" ref="DR9" si="68">SUM(DJ9:DQ9)-DL9-DN9</f>
        <v>0</v>
      </c>
      <c r="DS9" s="203">
        <f t="shared" ref="DS9" si="69">SUM(DK9:DR9)-DM9-DO9</f>
        <v>0</v>
      </c>
      <c r="DT9" s="203">
        <f t="shared" ref="DT9" si="70">SUM(DL9:DS9)-DN9-DP9</f>
        <v>0</v>
      </c>
      <c r="DU9" s="203">
        <f t="shared" ref="DU9" si="71">SUM(DM9:DT9)-DO9-DQ9</f>
        <v>0</v>
      </c>
      <c r="DV9" s="203">
        <f t="shared" ref="DV9" si="72">SUM(DN9:DU9)-DP9-DR9</f>
        <v>0</v>
      </c>
      <c r="DW9" s="1202">
        <f t="shared" ref="DW9:DW11" si="73">IF($CU9="CLEARTEC",$BA9+$BJ9+$BS9+$CB9+$CK9,0)</f>
        <v>0</v>
      </c>
      <c r="DX9" s="1202">
        <f t="shared" ref="DX9:EE11" si="74">IF($CU9="CLEARTEC",$BA9+$BJ9+$BS9+$CB9+$CK9,0)</f>
        <v>0</v>
      </c>
      <c r="DY9" s="1202">
        <f t="shared" si="74"/>
        <v>0</v>
      </c>
      <c r="DZ9" s="1202">
        <f t="shared" si="74"/>
        <v>0</v>
      </c>
      <c r="EA9" s="1202">
        <f t="shared" si="74"/>
        <v>0</v>
      </c>
      <c r="EB9" s="1202">
        <f t="shared" si="74"/>
        <v>0</v>
      </c>
      <c r="EC9" s="1202">
        <f t="shared" si="74"/>
        <v>0</v>
      </c>
      <c r="ED9" s="1202">
        <f t="shared" si="74"/>
        <v>0</v>
      </c>
      <c r="EE9" s="1202">
        <f t="shared" si="74"/>
        <v>0</v>
      </c>
      <c r="EF9" s="203">
        <f t="shared" ref="EF9" si="75">IF(CU9="ECONACIONAL",$BA9+$BJ9+$BS9+$CB9+$CK9)</f>
        <v>5000</v>
      </c>
      <c r="EG9" s="242">
        <f t="shared" ref="EG9:EG11" si="76">IF($CU9="ECONACIONAL",$BB9+$BK9+$BT9+$CC9+$CL9,0)</f>
        <v>1000.0000000000001</v>
      </c>
      <c r="EH9" s="203">
        <f>IF(CU9="ECONACIONAL",$BC9+$BL9+$BU9+$CD9+$CM9)</f>
        <v>0</v>
      </c>
      <c r="EI9" s="203">
        <f>IF(CU9="ECONACIONAL",$BD9+$DH9+$DQ9+$DZ9+BM9+BV9+CE9+CN9)</f>
        <v>0</v>
      </c>
      <c r="EJ9" s="242">
        <f t="shared" ref="EJ9:EJ11" si="77">IF($CU9="CLEARTEC",$BE9+$BN9+$BW9+$CF9+$CO9,0)</f>
        <v>0</v>
      </c>
      <c r="EK9" s="203">
        <f t="shared" ref="EK9" si="78">IF(CU9="ECONACIONAL",$BF9+$BO9+$BX9+$CG9+$CP9)</f>
        <v>0</v>
      </c>
      <c r="EL9" s="203">
        <f t="shared" ref="EL9" si="79">IF(CU9="ECONACIONAL",$BG9+$BP9+$BY9+$CH9+$CQ9)</f>
        <v>0</v>
      </c>
      <c r="EM9" s="203">
        <f t="shared" ref="EM9" si="80">IF(CU9="ECONACIONAL",BH9+BQ9+BZ9+CI9+CR9)</f>
        <v>633.5</v>
      </c>
      <c r="EN9" s="203">
        <f t="shared" ref="EN9" si="81">SUM(EF9:EM9)-EH9-EJ9</f>
        <v>6633.5</v>
      </c>
      <c r="EP9" s="201">
        <v>87.92</v>
      </c>
      <c r="EQ9" s="201"/>
      <c r="ER9" s="201"/>
      <c r="ES9" s="201">
        <f>165+60</f>
        <v>225</v>
      </c>
      <c r="ET9" s="201"/>
      <c r="EU9" s="201"/>
      <c r="EV9" s="201">
        <v>350</v>
      </c>
      <c r="EW9" s="201"/>
      <c r="EX9" s="201"/>
      <c r="EY9" s="201">
        <f t="shared" ref="EY9" si="82">+ET9+EU9+EV9</f>
        <v>350</v>
      </c>
      <c r="FA9" s="207">
        <f>IF($M9&lt;=15,EP9/2,EP9)</f>
        <v>87.92</v>
      </c>
      <c r="FB9" s="207">
        <f t="shared" ref="FB9" si="83">IF($M9&lt;=15,EQ9/2,EQ9)</f>
        <v>0</v>
      </c>
      <c r="FC9" s="207">
        <f t="shared" ref="FC9" si="84">IF($M9&lt;=15,ER9/2,ER9)</f>
        <v>0</v>
      </c>
      <c r="FD9" s="207">
        <f>IF($M9&lt;=15,ES9/2,ES9)</f>
        <v>225</v>
      </c>
      <c r="FE9" s="207">
        <f t="shared" ref="FE9" si="85">IF($M9&lt;=15,ET9/2,ET9)</f>
        <v>0</v>
      </c>
      <c r="FF9" s="207">
        <f t="shared" ref="FF9" si="86">IF($M9&lt;=15,EU9/2,EU9)</f>
        <v>0</v>
      </c>
      <c r="FG9" s="207">
        <f>IF($M9&lt;=15,EV9/2,EV9)</f>
        <v>350</v>
      </c>
      <c r="FH9" s="207">
        <f>IF($M9&lt;=15,EW9/2,EW9)</f>
        <v>0</v>
      </c>
      <c r="FI9" s="207">
        <f t="shared" ref="FI9" si="87">IF($M9&lt;=15,EX9/2,EX9)</f>
        <v>0</v>
      </c>
      <c r="FJ9" s="207">
        <f t="shared" ref="FJ9" si="88">IF($M9&lt;=15,EY9/2,EY9)</f>
        <v>350</v>
      </c>
      <c r="FK9" s="217"/>
      <c r="FL9" s="217"/>
      <c r="FM9" s="217"/>
      <c r="FN9" s="217"/>
      <c r="FO9" s="217"/>
      <c r="FP9" s="218"/>
      <c r="FR9" s="1184">
        <f>(((J9/30/8)*1.5)*(U9+Y9+AC9))-(BD9+BM9+BV9)</f>
        <v>0</v>
      </c>
      <c r="FS9" s="1184">
        <f t="shared" ref="FS9" si="89">(((J9/30/8)*2)*(W9+AA9+AE9))-(BF9+BO9+BX9)</f>
        <v>0</v>
      </c>
      <c r="FT9" s="1185">
        <f>(SUM(BA9:CJ9))-(SUM(EF9:EN9))</f>
        <v>0</v>
      </c>
      <c r="FU9" s="1184">
        <f>(J9/30*M9)-(EF9)</f>
        <v>0</v>
      </c>
      <c r="FV9" s="1186">
        <f>(SUM(EP9:EY9))-((SUM(FA9:FJ9))*$FV$5)</f>
        <v>-1012.9200000000001</v>
      </c>
    </row>
    <row r="10" spans="1:183" s="843" customFormat="1" ht="15" customHeight="1" outlineLevel="1">
      <c r="A10" s="1005" t="str">
        <f>$G$4</f>
        <v>JUNIO  2026 2da QUINCENA</v>
      </c>
      <c r="B10" s="1005">
        <f t="shared" ref="B10:B74" si="90">+$G$5</f>
        <v>2026</v>
      </c>
      <c r="C10" s="1006" t="str">
        <f t="shared" ref="C10" si="91">A10 &amp; B10</f>
        <v>JUNIO  2026 2da QUINCENA2026</v>
      </c>
      <c r="D10" s="235" t="str">
        <f t="shared" ref="D10" si="92">+$G$8</f>
        <v>ADMINISTRATIVO</v>
      </c>
      <c r="E10" s="235">
        <v>102050</v>
      </c>
      <c r="F10" s="268">
        <v>2</v>
      </c>
      <c r="G10" s="199" t="s">
        <v>431</v>
      </c>
      <c r="H10" s="200" t="s">
        <v>60</v>
      </c>
      <c r="I10" s="200" t="s">
        <v>11</v>
      </c>
      <c r="J10" s="203">
        <v>4002.28</v>
      </c>
      <c r="K10" s="239">
        <v>250</v>
      </c>
      <c r="L10" s="836">
        <f t="shared" ref="L10" si="93">+J10+K10</f>
        <v>4252.2800000000007</v>
      </c>
      <c r="M10" s="203">
        <v>30</v>
      </c>
      <c r="N10" s="270">
        <v>0.5</v>
      </c>
      <c r="O10" s="270">
        <v>0.5</v>
      </c>
      <c r="P10" s="270">
        <v>0</v>
      </c>
      <c r="Q10" s="270">
        <v>0</v>
      </c>
      <c r="R10" s="270">
        <v>0</v>
      </c>
      <c r="S10" s="270">
        <f t="shared" ref="S10" si="94">SUM(N10:R10)</f>
        <v>1</v>
      </c>
      <c r="U10" s="1196"/>
      <c r="V10" s="239">
        <f t="shared" ref="V10" si="95">($J10/30/8*1.5)*U10</f>
        <v>0</v>
      </c>
      <c r="W10" s="265"/>
      <c r="X10" s="239">
        <f t="shared" ref="X10" si="96">($J10/30/8*2)*W10</f>
        <v>0</v>
      </c>
      <c r="Y10" s="265"/>
      <c r="Z10" s="239">
        <f t="shared" ref="Z10" si="97">($J10/30/8*1.5)*Y10</f>
        <v>0</v>
      </c>
      <c r="AA10" s="265"/>
      <c r="AB10" s="239">
        <f t="shared" ref="AB10" si="98">($J10/30/8*2)*AA10</f>
        <v>0</v>
      </c>
      <c r="AC10" s="265"/>
      <c r="AD10" s="239">
        <f t="shared" ref="AD10" si="99">(($J10/30/8)*1.5)*AC10</f>
        <v>0</v>
      </c>
      <c r="AE10" s="838"/>
      <c r="AF10" s="239">
        <f t="shared" ref="AF10" si="100">(($J10/30/8)*2)*AE10</f>
        <v>0</v>
      </c>
      <c r="AG10" s="838"/>
      <c r="AH10" s="239">
        <f t="shared" ref="AH10" si="101">(($J10/30/8)*1.5)*AG10</f>
        <v>0</v>
      </c>
      <c r="AI10" s="838"/>
      <c r="AJ10" s="239">
        <f t="shared" ref="AJ10" si="102">(($J10/30/8)*2)*AI10</f>
        <v>0</v>
      </c>
      <c r="AK10" s="239"/>
      <c r="AL10" s="239">
        <f t="shared" ref="AL10" si="103">(($J10/30/8)*1.5)*AK10</f>
        <v>0</v>
      </c>
      <c r="AM10" s="838"/>
      <c r="AN10" s="239">
        <f t="shared" ref="AN10" si="104">(($J10/30/8)*2)*AM10</f>
        <v>0</v>
      </c>
      <c r="AO10" s="239"/>
      <c r="AP10" s="239"/>
      <c r="AQ10" s="239"/>
      <c r="AR10" s="239"/>
      <c r="AS10" s="239"/>
      <c r="AT10" s="239"/>
      <c r="AU10" s="239"/>
      <c r="AV10" s="239"/>
      <c r="AW10" s="239"/>
      <c r="AX10" s="239"/>
      <c r="AY10" s="239"/>
      <c r="AZ10" s="996"/>
      <c r="BA10" s="239">
        <f t="shared" ref="BA10" si="105">((J10/30)*M10)*$N10</f>
        <v>2001.14</v>
      </c>
      <c r="BB10" s="239">
        <f>((K10/30)*M10)*$N10</f>
        <v>125.00000000000001</v>
      </c>
      <c r="BC10" s="239">
        <f t="shared" ref="BC10" si="106">U10</f>
        <v>0</v>
      </c>
      <c r="BD10" s="239">
        <f t="shared" ref="BD10" si="107">V10</f>
        <v>0</v>
      </c>
      <c r="BE10" s="239">
        <f t="shared" ref="BE10" si="108">W10</f>
        <v>0</v>
      </c>
      <c r="BF10" s="239">
        <f t="shared" ref="BF10" si="109">X10</f>
        <v>0</v>
      </c>
      <c r="BG10" s="239">
        <f t="shared" ref="BG10" si="110">AO10+AT10</f>
        <v>0</v>
      </c>
      <c r="BH10" s="203">
        <f t="shared" ref="BH10" si="111">(BA10+BD10+BF10+BG10)*0.1267</f>
        <v>253.54443800000001</v>
      </c>
      <c r="BI10" s="239">
        <f t="shared" ref="BI10" si="112">SUM(BA10:BH10)-BC10-BE10</f>
        <v>2379.6844380000002</v>
      </c>
      <c r="BJ10" s="239">
        <f t="shared" ref="BJ10:BJ11" si="113">(($J10/30)*$M10)*$O10</f>
        <v>2001.14</v>
      </c>
      <c r="BK10" s="210">
        <f>(($K10/30)*$M10)*$O10</f>
        <v>125.00000000000001</v>
      </c>
      <c r="BL10" s="210">
        <f t="shared" ref="BL10" si="114">Y10</f>
        <v>0</v>
      </c>
      <c r="BM10" s="210">
        <f t="shared" ref="BM10" si="115">Z10</f>
        <v>0</v>
      </c>
      <c r="BN10" s="210">
        <f t="shared" ref="BN10" si="116">AA10</f>
        <v>0</v>
      </c>
      <c r="BO10" s="210">
        <f t="shared" ref="BO10" si="117">AB10</f>
        <v>0</v>
      </c>
      <c r="BP10" s="210">
        <f t="shared" ref="BP10" si="118">AP10+AU10</f>
        <v>0</v>
      </c>
      <c r="BQ10" s="210">
        <f t="shared" ref="BQ10" si="119">(+BJ10+BM10+BO10+BP10)*0.1267</f>
        <v>253.54443800000001</v>
      </c>
      <c r="BR10" s="211">
        <f t="shared" ref="BR10" si="120">SUM(BJ10:BQ10)-BL10-BN10</f>
        <v>2379.6844380000002</v>
      </c>
      <c r="BS10" s="210">
        <f t="shared" si="23"/>
        <v>0</v>
      </c>
      <c r="BT10" s="210">
        <f t="shared" si="24"/>
        <v>0</v>
      </c>
      <c r="BU10" s="210">
        <f t="shared" ref="BU10" si="121">AC10</f>
        <v>0</v>
      </c>
      <c r="BV10" s="210">
        <f t="shared" ref="BV10" si="122">AD10</f>
        <v>0</v>
      </c>
      <c r="BW10" s="210">
        <f t="shared" ref="BW10" si="123">AE10</f>
        <v>0</v>
      </c>
      <c r="BX10" s="210">
        <f t="shared" ref="BX10" si="124">AF10</f>
        <v>0</v>
      </c>
      <c r="BY10" s="210">
        <f t="shared" ref="BY10" si="125">AQ10+AV10</f>
        <v>0</v>
      </c>
      <c r="BZ10" s="210">
        <f>(BS10+BV10+BX10)*0.09</f>
        <v>0</v>
      </c>
      <c r="CA10" s="210">
        <f t="shared" ref="CA10" si="126">SUM(BS10:BZ10)-BU10-BW10</f>
        <v>0</v>
      </c>
      <c r="CB10" s="1197">
        <f t="shared" si="31"/>
        <v>0</v>
      </c>
      <c r="CC10" s="1198">
        <f t="shared" si="32"/>
        <v>0</v>
      </c>
      <c r="CD10" s="1198">
        <f t="shared" ref="CD10" si="127">AG10</f>
        <v>0</v>
      </c>
      <c r="CE10" s="1198">
        <f>AH10</f>
        <v>0</v>
      </c>
      <c r="CF10" s="1198">
        <f t="shared" ref="CF10" si="128">AI10</f>
        <v>0</v>
      </c>
      <c r="CG10" s="1198">
        <f t="shared" ref="CG10" si="129">AJ10</f>
        <v>0</v>
      </c>
      <c r="CH10" s="1198">
        <f t="shared" ref="CH10" si="130">AR10+AW10</f>
        <v>0</v>
      </c>
      <c r="CI10" s="1199">
        <f>(CB10+CE10+CG10)*0.09</f>
        <v>0</v>
      </c>
      <c r="CJ10" s="1200">
        <f t="shared" ref="CJ10" si="131">SUM(CB10:CI10)-CD10-CF10</f>
        <v>0</v>
      </c>
      <c r="CK10" s="1201">
        <f t="shared" ref="CK10" si="132">(($J10/30)*$M10)*R10</f>
        <v>0</v>
      </c>
      <c r="CL10" s="1198">
        <f t="shared" ref="CL10:CL11" si="133">(($K10/30)*$M10)*$R10</f>
        <v>0</v>
      </c>
      <c r="CM10" s="1198">
        <f t="shared" ref="CM10" si="134">+AK10</f>
        <v>0</v>
      </c>
      <c r="CN10" s="1198">
        <f t="shared" ref="CN10" si="135">AL10</f>
        <v>0</v>
      </c>
      <c r="CO10" s="1198">
        <f t="shared" ref="CO10" si="136">AM10</f>
        <v>0</v>
      </c>
      <c r="CP10" s="1198">
        <f t="shared" ref="CP10" si="137">AN10</f>
        <v>0</v>
      </c>
      <c r="CQ10" s="1198">
        <f t="shared" ref="CQ10" si="138">AS10+AX10</f>
        <v>0</v>
      </c>
      <c r="CR10" s="1199">
        <f>(CK10+CN10+CP10)*0.09</f>
        <v>0</v>
      </c>
      <c r="CS10" s="1199">
        <f t="shared" ref="CS10" si="139">SUM(CK10:CR10)-CM10-CO10</f>
        <v>0</v>
      </c>
      <c r="CU10" s="201" t="s">
        <v>11</v>
      </c>
      <c r="CV10" s="210">
        <f t="shared" si="47"/>
        <v>0</v>
      </c>
      <c r="CW10" s="210">
        <f t="shared" si="48"/>
        <v>0</v>
      </c>
      <c r="CX10" s="210">
        <f t="shared" si="49"/>
        <v>0</v>
      </c>
      <c r="CY10" s="210">
        <f t="shared" si="50"/>
        <v>0</v>
      </c>
      <c r="CZ10" s="210">
        <f t="shared" si="51"/>
        <v>0</v>
      </c>
      <c r="DA10" s="210">
        <f t="shared" si="52"/>
        <v>0</v>
      </c>
      <c r="DB10" s="210">
        <f t="shared" si="53"/>
        <v>0</v>
      </c>
      <c r="DC10" s="210">
        <f t="shared" ref="DC10" si="140">IF($CU10="PROQUIMA",$BH10+$BQ10+$BZ10+$CI10+CR10,0)</f>
        <v>0</v>
      </c>
      <c r="DD10" s="210">
        <f t="shared" ref="DD10" si="141">SUM(CV10:DC10)-CX10-CZ10</f>
        <v>0</v>
      </c>
      <c r="DE10" s="210">
        <f t="shared" si="56"/>
        <v>0</v>
      </c>
      <c r="DF10" s="210">
        <f t="shared" si="57"/>
        <v>0</v>
      </c>
      <c r="DG10" s="210">
        <f t="shared" si="58"/>
        <v>0</v>
      </c>
      <c r="DH10" s="210">
        <f t="shared" si="59"/>
        <v>0</v>
      </c>
      <c r="DI10" s="210">
        <f t="shared" ref="DI10:DI11" si="142">IF($CU10="UNHESA",$BE10+$BN10+$BW10+$CF10+$CO10,0)</f>
        <v>0</v>
      </c>
      <c r="DJ10" s="210">
        <f t="shared" si="60"/>
        <v>0</v>
      </c>
      <c r="DK10" s="210">
        <f t="shared" si="61"/>
        <v>0</v>
      </c>
      <c r="DL10" s="210">
        <f t="shared" si="62"/>
        <v>0</v>
      </c>
      <c r="DM10" s="210">
        <f t="shared" ref="DM10" si="143">SUM(DE10:DL10)-DG10-DI10</f>
        <v>0</v>
      </c>
      <c r="DN10" s="210">
        <f t="shared" ref="DN10:DN11" si="144">IF($CU10="UNHESA LIQUIDOS",$BA10+$BJ10+$BS10+$CB10+$CK10,0)</f>
        <v>0</v>
      </c>
      <c r="DO10" s="210">
        <f t="shared" ref="DO10:DO11" si="145">IF($CU10="CALIDUL",$BB10+$BK10+$BT10+$CC10+$CL10,0)</f>
        <v>0</v>
      </c>
      <c r="DP10" s="210">
        <f t="shared" ref="DP10:DP11" si="146">IF($CU10="CALIDUL",$BC10+$BL10+$BU10+$CD10+$CM10,0)</f>
        <v>0</v>
      </c>
      <c r="DQ10" s="210">
        <f t="shared" ref="DQ10:DQ11" si="147">IF($CU10="CALIDUL",$BD10+$BM10+$BV10+$CE10+$CN10,0)</f>
        <v>0</v>
      </c>
      <c r="DR10" s="210">
        <f t="shared" ref="DR10:DR11" si="148">IF($CU10="CALIDUL",$BE10+$BN10+$BW10+$CF10+$CO10,0)</f>
        <v>0</v>
      </c>
      <c r="DS10" s="210">
        <f t="shared" ref="DS10:DS11" si="149">IF($CU10="CALIDUL",$BF10+$BO10+$BX10+$CG10+$CP10,0)</f>
        <v>0</v>
      </c>
      <c r="DT10" s="210">
        <f t="shared" ref="DT10:DT11" si="150">IF($CU10="CALIDUL",$BG10+$BP10+$BY10+$CH10+$CQ10,0)</f>
        <v>0</v>
      </c>
      <c r="DU10" s="210">
        <f t="shared" ref="DU10:DU11" si="151">IF($CU10="CALIDUL",$BH10+$BQ10+$BZ10+$CI10+$CR10,0)</f>
        <v>0</v>
      </c>
      <c r="DV10" s="210">
        <f t="shared" ref="DV10" si="152">SUM(DN10:DU10)-DP10-DR10</f>
        <v>0</v>
      </c>
      <c r="DW10" s="1202">
        <f t="shared" si="73"/>
        <v>0</v>
      </c>
      <c r="DX10" s="1202">
        <f t="shared" si="74"/>
        <v>0</v>
      </c>
      <c r="DY10" s="1202">
        <f t="shared" si="74"/>
        <v>0</v>
      </c>
      <c r="DZ10" s="1202">
        <f t="shared" si="74"/>
        <v>0</v>
      </c>
      <c r="EA10" s="1202">
        <f t="shared" si="74"/>
        <v>0</v>
      </c>
      <c r="EB10" s="1202">
        <f t="shared" si="74"/>
        <v>0</v>
      </c>
      <c r="EC10" s="1202">
        <f t="shared" si="74"/>
        <v>0</v>
      </c>
      <c r="ED10" s="1202">
        <f t="shared" si="74"/>
        <v>0</v>
      </c>
      <c r="EE10" s="1202">
        <f t="shared" si="74"/>
        <v>0</v>
      </c>
      <c r="EF10" s="203">
        <f t="shared" ref="EF10" si="153">IF(CU10="ECONACIONAL",$BA10+$BJ10+$BS10+$CB10+$CK10)</f>
        <v>4002.28</v>
      </c>
      <c r="EG10" s="242">
        <f t="shared" si="76"/>
        <v>250.00000000000003</v>
      </c>
      <c r="EH10" s="203">
        <f t="shared" ref="EH10" si="154">IF(CU10="ECONACIONAL",$BC10+$BL10+$BU10+$CD10+$CM10)</f>
        <v>0</v>
      </c>
      <c r="EI10" s="203">
        <f t="shared" ref="EI10" si="155">IF(CU10="ECONACIONAL",$BD10+$DH10+$DQ10+$DZ10+BM10+BV10+CE10+CN10)</f>
        <v>0</v>
      </c>
      <c r="EJ10" s="242">
        <f t="shared" si="77"/>
        <v>0</v>
      </c>
      <c r="EK10" s="203">
        <f t="shared" ref="EK10" si="156">IF(CU10="ECONACIONAL",$BF10+$BO10+$BX10+$CG10+$CP10)</f>
        <v>0</v>
      </c>
      <c r="EL10" s="203">
        <f t="shared" ref="EL10" si="157">IF(CU10="ECONACIONAL",$BG10+$BP10+$BY10+$CH10+$CQ10)</f>
        <v>0</v>
      </c>
      <c r="EM10" s="203">
        <f t="shared" ref="EM10" si="158">IF(CU10="ECONACIONAL",BH10+BQ10+BZ10+CI10+CR10)</f>
        <v>507.08887600000003</v>
      </c>
      <c r="EN10" s="203">
        <f t="shared" ref="EN10" si="159">SUM(EF10:EM10)-EH10-EJ10</f>
        <v>4759.3688760000005</v>
      </c>
      <c r="EP10" s="786"/>
      <c r="EQ10" s="786"/>
      <c r="ER10" s="851"/>
      <c r="ES10" s="851"/>
      <c r="ET10" s="201"/>
      <c r="EU10" s="201"/>
      <c r="EV10" s="201"/>
      <c r="EW10" s="851"/>
      <c r="EX10" s="851"/>
      <c r="EY10" s="201">
        <f t="shared" ref="EY10" si="160">+ET10+EU10+EV10</f>
        <v>0</v>
      </c>
      <c r="FA10" s="1196">
        <f t="shared" ref="FA10" si="161">IF($M10&lt;=15,EP10/2,EP10)</f>
        <v>0</v>
      </c>
      <c r="FB10" s="1196">
        <f t="shared" ref="FB10" si="162">IF($M10&lt;=15,EQ10/2,EQ10)</f>
        <v>0</v>
      </c>
      <c r="FC10" s="1196">
        <f t="shared" ref="FC10" si="163">IF($M10&lt;=15,ER10/2,ER10)</f>
        <v>0</v>
      </c>
      <c r="FD10" s="1196">
        <f t="shared" ref="FD10" si="164">IF($M10&lt;=15,ES10/2,ES10)</f>
        <v>0</v>
      </c>
      <c r="FE10" s="1196">
        <f t="shared" ref="FE10" si="165">IF($M10&lt;=15,ET10/2,ET10)</f>
        <v>0</v>
      </c>
      <c r="FF10" s="1196">
        <f t="shared" ref="FF10" si="166">IF($M10&lt;=15,EU10/2,EU10)</f>
        <v>0</v>
      </c>
      <c r="FG10" s="1196">
        <f t="shared" ref="FG10" si="167">IF($M10&lt;=15,EV10/2,EV10)</f>
        <v>0</v>
      </c>
      <c r="FH10" s="1196">
        <f t="shared" ref="FH10" si="168">IF($M10&lt;=15,EW10/2,EW10)</f>
        <v>0</v>
      </c>
      <c r="FI10" s="1196">
        <f t="shared" ref="FI10" si="169">IF($M10&lt;=15,EX10/2,EX10)</f>
        <v>0</v>
      </c>
      <c r="FJ10" s="1196">
        <f t="shared" ref="FJ10" si="170">IF($M10&lt;=15,EY10/2,EY10)</f>
        <v>0</v>
      </c>
      <c r="FK10" s="218">
        <v>0.5</v>
      </c>
      <c r="FL10" s="218">
        <v>0.5</v>
      </c>
      <c r="FM10" s="218">
        <v>0</v>
      </c>
      <c r="FN10" s="218">
        <v>0</v>
      </c>
      <c r="FO10" s="218">
        <v>0</v>
      </c>
      <c r="FP10" s="218">
        <v>1</v>
      </c>
      <c r="FR10" s="1184">
        <f t="shared" ref="FR10" si="171">(((J10/30/8)*1.5)*(U10+Y10+AC10))-(BD10+BM10+BV10)</f>
        <v>0</v>
      </c>
      <c r="FS10" s="1184">
        <f t="shared" ref="FS10" si="172">(((J10/30/8)*2)*(W10+AA10+AE10))-(BF10+BO10+BX10)</f>
        <v>0</v>
      </c>
      <c r="FT10" s="1185">
        <f t="shared" ref="FT10" si="173">(SUM(BA10:CJ10))-(SUM(EF10:EN10))</f>
        <v>0</v>
      </c>
      <c r="FU10" s="1184">
        <f t="shared" ref="FU10" si="174">(J10/30*M10)-(EF10)</f>
        <v>0</v>
      </c>
      <c r="FV10" s="1186">
        <f t="shared" ref="FV10" si="175">(SUM(EP10:EY10))-((SUM(FA10:FJ10))*$FV$5)</f>
        <v>0</v>
      </c>
    </row>
    <row r="11" spans="1:183" s="216" customFormat="1" ht="15" customHeight="1" outlineLevel="1">
      <c r="A11" s="1005"/>
      <c r="B11" s="1005"/>
      <c r="C11" s="1006"/>
      <c r="D11" s="235"/>
      <c r="E11" s="235">
        <v>102050</v>
      </c>
      <c r="F11" s="805"/>
      <c r="G11" s="199" t="s">
        <v>756</v>
      </c>
      <c r="H11" s="200" t="s">
        <v>60</v>
      </c>
      <c r="I11" s="201" t="s">
        <v>11</v>
      </c>
      <c r="J11" s="203">
        <v>4002.28</v>
      </c>
      <c r="K11" s="239">
        <v>250</v>
      </c>
      <c r="L11" s="836">
        <f t="shared" ref="L11" si="176">+J11+K11</f>
        <v>4252.2800000000007</v>
      </c>
      <c r="M11" s="203">
        <v>30</v>
      </c>
      <c r="N11" s="270">
        <v>0.5</v>
      </c>
      <c r="O11" s="270">
        <v>0.4</v>
      </c>
      <c r="P11" s="270">
        <v>0.1</v>
      </c>
      <c r="Q11" s="270">
        <v>0</v>
      </c>
      <c r="R11" s="270">
        <v>0</v>
      </c>
      <c r="S11" s="270">
        <f t="shared" ref="S11" si="177">SUM(N11:R11)</f>
        <v>1</v>
      </c>
      <c r="T11" s="843" t="s">
        <v>755</v>
      </c>
      <c r="U11" s="1196"/>
      <c r="V11" s="239">
        <f t="shared" ref="V11" si="178">($J11/30/8*1.5)*U11</f>
        <v>0</v>
      </c>
      <c r="W11" s="265"/>
      <c r="X11" s="239">
        <f t="shared" ref="X11" si="179">($J11/30/8*2)*W11</f>
        <v>0</v>
      </c>
      <c r="Y11" s="265"/>
      <c r="Z11" s="239">
        <f t="shared" ref="Z11" si="180">($J11/30/8*1.5)*Y11</f>
        <v>0</v>
      </c>
      <c r="AA11" s="265"/>
      <c r="AB11" s="239">
        <f t="shared" ref="AB11" si="181">($J11/30/8*2)*AA11</f>
        <v>0</v>
      </c>
      <c r="AC11" s="265"/>
      <c r="AD11" s="239">
        <f t="shared" ref="AD11" si="182">(($J11/30/8)*1.5)*AC11</f>
        <v>0</v>
      </c>
      <c r="AE11" s="838"/>
      <c r="AF11" s="239">
        <f t="shared" ref="AF11" si="183">(($J11/30/8)*2)*AE11</f>
        <v>0</v>
      </c>
      <c r="AG11" s="838"/>
      <c r="AH11" s="239">
        <f t="shared" ref="AH11" si="184">(($J11/30/8)*1.5)*AG11</f>
        <v>0</v>
      </c>
      <c r="AI11" s="838"/>
      <c r="AJ11" s="239">
        <f t="shared" ref="AJ11" si="185">(($J11/30/8)*2)*AI11</f>
        <v>0</v>
      </c>
      <c r="AK11" s="239"/>
      <c r="AL11" s="239">
        <f t="shared" ref="AL11" si="186">(($J11/30/8)*1.5)*AK11</f>
        <v>0</v>
      </c>
      <c r="AM11" s="838"/>
      <c r="AN11" s="239">
        <f t="shared" ref="AN11" si="187">(($J11/30/8)*2)*AM11</f>
        <v>0</v>
      </c>
      <c r="AO11" s="239"/>
      <c r="AP11" s="239"/>
      <c r="AQ11" s="239"/>
      <c r="AR11" s="239"/>
      <c r="AS11" s="239"/>
      <c r="AT11" s="239"/>
      <c r="AU11" s="239"/>
      <c r="AV11" s="239"/>
      <c r="AW11" s="239"/>
      <c r="AX11" s="239"/>
      <c r="AY11" s="239"/>
      <c r="AZ11" s="996"/>
      <c r="BA11" s="239">
        <f t="shared" ref="BA11" si="188">((J11/30)*M11)*$N11</f>
        <v>2001.14</v>
      </c>
      <c r="BB11" s="239">
        <f>((K11/30)*M11)*$N11</f>
        <v>125.00000000000001</v>
      </c>
      <c r="BC11" s="239">
        <f t="shared" ref="BC11" si="189">U11</f>
        <v>0</v>
      </c>
      <c r="BD11" s="239">
        <f t="shared" ref="BD11" si="190">V11</f>
        <v>0</v>
      </c>
      <c r="BE11" s="239">
        <f t="shared" ref="BE11" si="191">W11</f>
        <v>0</v>
      </c>
      <c r="BF11" s="239">
        <f t="shared" ref="BF11" si="192">X11</f>
        <v>0</v>
      </c>
      <c r="BG11" s="239">
        <f t="shared" ref="BG11" si="193">AO11+AT11</f>
        <v>0</v>
      </c>
      <c r="BH11" s="203">
        <f t="shared" ref="BH11" si="194">(BA11+BD11+BF11+BG11)*0.1267</f>
        <v>253.54443800000001</v>
      </c>
      <c r="BI11" s="239">
        <f t="shared" ref="BI11" si="195">SUM(BA11:BH11)-BC11-BE11</f>
        <v>2379.6844380000002</v>
      </c>
      <c r="BJ11" s="239">
        <f t="shared" si="113"/>
        <v>1600.9120000000003</v>
      </c>
      <c r="BK11" s="210">
        <f>(($K11/30)*$M11)*$O11</f>
        <v>100.00000000000001</v>
      </c>
      <c r="BL11" s="210">
        <f t="shared" ref="BL11" si="196">Y11</f>
        <v>0</v>
      </c>
      <c r="BM11" s="210">
        <f t="shared" ref="BM11" si="197">Z11</f>
        <v>0</v>
      </c>
      <c r="BN11" s="210">
        <f t="shared" ref="BN11" si="198">AA11</f>
        <v>0</v>
      </c>
      <c r="BO11" s="210">
        <f t="shared" ref="BO11" si="199">AB11</f>
        <v>0</v>
      </c>
      <c r="BP11" s="210">
        <f t="shared" ref="BP11" si="200">AP11+AU11</f>
        <v>0</v>
      </c>
      <c r="BQ11" s="210">
        <f t="shared" ref="BQ11" si="201">(+BJ11+BM11+BO11+BP11)*0.1267</f>
        <v>202.83555040000005</v>
      </c>
      <c r="BR11" s="211">
        <f t="shared" ref="BR11" si="202">SUM(BJ11:BQ11)-BL11-BN11</f>
        <v>1903.7475504000004</v>
      </c>
      <c r="BS11" s="210">
        <f t="shared" si="23"/>
        <v>400.22800000000007</v>
      </c>
      <c r="BT11" s="210">
        <f t="shared" si="24"/>
        <v>25.000000000000004</v>
      </c>
      <c r="BU11" s="210">
        <f t="shared" ref="BU11" si="203">AC11</f>
        <v>0</v>
      </c>
      <c r="BV11" s="210">
        <f t="shared" ref="BV11" si="204">AD11</f>
        <v>0</v>
      </c>
      <c r="BW11" s="210">
        <f t="shared" ref="BW11" si="205">AE11</f>
        <v>0</v>
      </c>
      <c r="BX11" s="210">
        <f t="shared" ref="BX11" si="206">AF11</f>
        <v>0</v>
      </c>
      <c r="BY11" s="210">
        <f t="shared" ref="BY11" si="207">AQ11+AV11</f>
        <v>0</v>
      </c>
      <c r="BZ11" s="210">
        <f>(BS11+BV11+BX11)*0.09</f>
        <v>36.020520000000005</v>
      </c>
      <c r="CA11" s="210">
        <f t="shared" ref="CA11" si="208">SUM(BS11:BZ11)-BU11-BW11</f>
        <v>461.2485200000001</v>
      </c>
      <c r="CB11" s="1197">
        <f t="shared" si="31"/>
        <v>0</v>
      </c>
      <c r="CC11" s="1198">
        <f t="shared" si="32"/>
        <v>0</v>
      </c>
      <c r="CD11" s="1198">
        <f t="shared" ref="CD11" si="209">AG11</f>
        <v>0</v>
      </c>
      <c r="CE11" s="1198">
        <f>AH11</f>
        <v>0</v>
      </c>
      <c r="CF11" s="1198">
        <f t="shared" ref="CF11" si="210">AI11</f>
        <v>0</v>
      </c>
      <c r="CG11" s="1198">
        <f t="shared" ref="CG11" si="211">AJ11</f>
        <v>0</v>
      </c>
      <c r="CH11" s="1198">
        <f t="shared" ref="CH11" si="212">AR11+AW11</f>
        <v>0</v>
      </c>
      <c r="CI11" s="1199">
        <f>(CB11+CE11+CG11)*0.09</f>
        <v>0</v>
      </c>
      <c r="CJ11" s="1200">
        <f t="shared" ref="CJ11" si="213">SUM(CB11:CI11)-CD11-CF11</f>
        <v>0</v>
      </c>
      <c r="CK11" s="1201">
        <f t="shared" ref="CK11" si="214">(($J11/30)*$M11)*R11</f>
        <v>0</v>
      </c>
      <c r="CL11" s="1198">
        <f t="shared" si="133"/>
        <v>0</v>
      </c>
      <c r="CM11" s="1198">
        <f t="shared" ref="CM11" si="215">+AK11</f>
        <v>0</v>
      </c>
      <c r="CN11" s="1198">
        <f t="shared" ref="CN11" si="216">AL11</f>
        <v>0</v>
      </c>
      <c r="CO11" s="1198">
        <f t="shared" ref="CO11" si="217">AM11</f>
        <v>0</v>
      </c>
      <c r="CP11" s="1198">
        <f t="shared" ref="CP11" si="218">AN11</f>
        <v>0</v>
      </c>
      <c r="CQ11" s="1198">
        <f t="shared" ref="CQ11" si="219">AS11+AX11</f>
        <v>0</v>
      </c>
      <c r="CR11" s="1199">
        <f>(CK11+CN11+CP11)*0.09</f>
        <v>0</v>
      </c>
      <c r="CS11" s="1199">
        <f t="shared" ref="CS11" si="220">SUM(CK11:CR11)-CM11-CO11</f>
        <v>0</v>
      </c>
      <c r="CT11" s="843"/>
      <c r="CU11" s="201" t="s">
        <v>11</v>
      </c>
      <c r="CV11" s="210">
        <f t="shared" si="47"/>
        <v>0</v>
      </c>
      <c r="CW11" s="210">
        <f t="shared" si="48"/>
        <v>0</v>
      </c>
      <c r="CX11" s="210">
        <f t="shared" si="49"/>
        <v>0</v>
      </c>
      <c r="CY11" s="210">
        <f t="shared" si="50"/>
        <v>0</v>
      </c>
      <c r="CZ11" s="210">
        <f t="shared" si="51"/>
        <v>0</v>
      </c>
      <c r="DA11" s="210">
        <f t="shared" si="52"/>
        <v>0</v>
      </c>
      <c r="DB11" s="210">
        <f t="shared" si="53"/>
        <v>0</v>
      </c>
      <c r="DC11" s="210">
        <f t="shared" ref="DC11" si="221">IF($CU11="PROQUIMA",$BH11+$BQ11+$BZ11+$CI11+CR11,0)</f>
        <v>0</v>
      </c>
      <c r="DD11" s="210">
        <f t="shared" ref="DD11" si="222">SUM(CV11:DC11)-CX11-CZ11</f>
        <v>0</v>
      </c>
      <c r="DE11" s="210">
        <f t="shared" si="56"/>
        <v>0</v>
      </c>
      <c r="DF11" s="210">
        <f t="shared" si="57"/>
        <v>0</v>
      </c>
      <c r="DG11" s="210">
        <f t="shared" si="58"/>
        <v>0</v>
      </c>
      <c r="DH11" s="210">
        <f t="shared" si="59"/>
        <v>0</v>
      </c>
      <c r="DI11" s="210">
        <f t="shared" si="142"/>
        <v>0</v>
      </c>
      <c r="DJ11" s="210">
        <f t="shared" si="60"/>
        <v>0</v>
      </c>
      <c r="DK11" s="210">
        <f t="shared" si="61"/>
        <v>0</v>
      </c>
      <c r="DL11" s="210">
        <f t="shared" si="62"/>
        <v>0</v>
      </c>
      <c r="DM11" s="210">
        <f t="shared" ref="DM11" si="223">SUM(DE11:DL11)-DG11-DI11</f>
        <v>0</v>
      </c>
      <c r="DN11" s="210">
        <f t="shared" si="144"/>
        <v>0</v>
      </c>
      <c r="DO11" s="210">
        <f t="shared" si="145"/>
        <v>0</v>
      </c>
      <c r="DP11" s="210">
        <f t="shared" si="146"/>
        <v>0</v>
      </c>
      <c r="DQ11" s="210">
        <f t="shared" si="147"/>
        <v>0</v>
      </c>
      <c r="DR11" s="210">
        <f t="shared" si="148"/>
        <v>0</v>
      </c>
      <c r="DS11" s="210">
        <f t="shared" si="149"/>
        <v>0</v>
      </c>
      <c r="DT11" s="210">
        <f t="shared" si="150"/>
        <v>0</v>
      </c>
      <c r="DU11" s="210">
        <f t="shared" si="151"/>
        <v>0</v>
      </c>
      <c r="DV11" s="210">
        <f t="shared" ref="DV11" si="224">SUM(DN11:DU11)-DP11-DR11</f>
        <v>0</v>
      </c>
      <c r="DW11" s="1202">
        <f t="shared" si="73"/>
        <v>0</v>
      </c>
      <c r="DX11" s="1202">
        <f t="shared" si="74"/>
        <v>0</v>
      </c>
      <c r="DY11" s="1202">
        <f t="shared" si="74"/>
        <v>0</v>
      </c>
      <c r="DZ11" s="1202">
        <f t="shared" si="74"/>
        <v>0</v>
      </c>
      <c r="EA11" s="1202">
        <f t="shared" si="74"/>
        <v>0</v>
      </c>
      <c r="EB11" s="1202">
        <f t="shared" si="74"/>
        <v>0</v>
      </c>
      <c r="EC11" s="1202">
        <f t="shared" si="74"/>
        <v>0</v>
      </c>
      <c r="ED11" s="1202">
        <f t="shared" si="74"/>
        <v>0</v>
      </c>
      <c r="EE11" s="1202">
        <f t="shared" si="74"/>
        <v>0</v>
      </c>
      <c r="EF11" s="203">
        <f t="shared" ref="EF11" si="225">IF(CU11="ECONACIONAL",$BA11+$BJ11+$BS11+$CB11+$CK11)</f>
        <v>4002.2800000000007</v>
      </c>
      <c r="EG11" s="242">
        <f t="shared" si="76"/>
        <v>250.00000000000003</v>
      </c>
      <c r="EH11" s="203">
        <f t="shared" ref="EH11" si="226">IF(CU11="ECONACIONAL",$BC11+$BL11+$BU11+$CD11+$CM11)</f>
        <v>0</v>
      </c>
      <c r="EI11" s="203">
        <f t="shared" ref="EI11" si="227">IF(CU11="ECONACIONAL",$BD11+$DH11+$DQ11+$DZ11+BM11+BV11+CE11+CN11)</f>
        <v>0</v>
      </c>
      <c r="EJ11" s="242">
        <f t="shared" si="77"/>
        <v>0</v>
      </c>
      <c r="EK11" s="203">
        <f t="shared" ref="EK11" si="228">IF(CU11="ECONACIONAL",$BF11+$BO11+$BX11+$CG11+$CP11)</f>
        <v>0</v>
      </c>
      <c r="EL11" s="203">
        <f t="shared" ref="EL11" si="229">IF(CU11="ECONACIONAL",$BG11+$BP11+$BY11+$CH11+$CQ11)</f>
        <v>0</v>
      </c>
      <c r="EM11" s="203">
        <f t="shared" ref="EM11" si="230">IF(CU11="ECONACIONAL",BH11+BQ11+BZ11+CI11+CR11)</f>
        <v>492.40050840000004</v>
      </c>
      <c r="EN11" s="203">
        <f t="shared" ref="EN11" si="231">SUM(EF11:EM11)-EH11-EJ11</f>
        <v>4744.6805084000007</v>
      </c>
      <c r="EO11" s="843"/>
      <c r="EP11" s="786"/>
      <c r="EQ11" s="786"/>
      <c r="ER11" s="851"/>
      <c r="ES11" s="851"/>
      <c r="ET11" s="201"/>
      <c r="EU11" s="201"/>
      <c r="EV11" s="201"/>
      <c r="EW11" s="851"/>
      <c r="EX11" s="851"/>
      <c r="EY11" s="201">
        <f t="shared" ref="EY11" si="232">+ET11+EU11+EV11</f>
        <v>0</v>
      </c>
      <c r="EZ11" s="843"/>
      <c r="FA11" s="1196">
        <f t="shared" ref="FA11" si="233">IF($M11&lt;=15,EP11/2,EP11)</f>
        <v>0</v>
      </c>
      <c r="FB11" s="1196">
        <f t="shared" ref="FB11" si="234">IF($M11&lt;=15,EQ11/2,EQ11)</f>
        <v>0</v>
      </c>
      <c r="FC11" s="1196">
        <f t="shared" ref="FC11" si="235">IF($M11&lt;=15,ER11/2,ER11)</f>
        <v>0</v>
      </c>
      <c r="FD11" s="1196">
        <f t="shared" ref="FD11" si="236">IF($M11&lt;=15,ES11/2,ES11)</f>
        <v>0</v>
      </c>
      <c r="FE11" s="1196">
        <f t="shared" ref="FE11" si="237">IF($M11&lt;=15,ET11/2,ET11)</f>
        <v>0</v>
      </c>
      <c r="FF11" s="1196">
        <f t="shared" ref="FF11" si="238">IF($M11&lt;=15,EU11/2,EU11)</f>
        <v>0</v>
      </c>
      <c r="FG11" s="1196">
        <f t="shared" ref="FG11" si="239">IF($M11&lt;=15,EV11/2,EV11)</f>
        <v>0</v>
      </c>
      <c r="FH11" s="1196">
        <f t="shared" ref="FH11" si="240">IF($M11&lt;=15,EW11/2,EW11)</f>
        <v>0</v>
      </c>
      <c r="FI11" s="1196">
        <f t="shared" ref="FI11" si="241">IF($M11&lt;=15,EX11/2,EX11)</f>
        <v>0</v>
      </c>
      <c r="FJ11" s="1196">
        <f t="shared" ref="FJ11" si="242">IF($M11&lt;=15,EY11/2,EY11)</f>
        <v>0</v>
      </c>
      <c r="FK11" s="218">
        <v>0.5</v>
      </c>
      <c r="FL11" s="218">
        <v>0.5</v>
      </c>
      <c r="FM11" s="218">
        <v>0</v>
      </c>
      <c r="FN11" s="218">
        <v>0</v>
      </c>
      <c r="FO11" s="218">
        <v>0</v>
      </c>
      <c r="FP11" s="218">
        <v>1</v>
      </c>
      <c r="FQ11" s="843"/>
      <c r="FR11" s="1184">
        <f t="shared" ref="FR11" si="243">(((J11/30/8)*1.5)*(U11+Y11+AC11))-(BD11+BM11+BV11)</f>
        <v>0</v>
      </c>
      <c r="FS11" s="1184">
        <f t="shared" ref="FS11" si="244">(((J11/30/8)*2)*(W11+AA11+AE11))-(BF11+BO11+BX11)</f>
        <v>0</v>
      </c>
      <c r="FT11" s="1185">
        <f t="shared" ref="FT11" si="245">(SUM(BA11:CJ11))-(SUM(EF11:EN11))</f>
        <v>0</v>
      </c>
      <c r="FU11" s="1184">
        <f t="shared" ref="FU11" si="246">(J11/30*M11)-(EF11)</f>
        <v>0</v>
      </c>
      <c r="FV11" s="1186">
        <f t="shared" ref="FV11" si="247">(SUM(EP11:EY11))-((SUM(FA11:FJ11))*$FV$5)</f>
        <v>0</v>
      </c>
      <c r="FW11" s="843"/>
      <c r="FX11" s="843"/>
      <c r="FY11" s="843"/>
      <c r="FZ11" s="843"/>
      <c r="GA11" s="843"/>
    </row>
    <row r="12" spans="1:183" s="216" customFormat="1" ht="15" customHeight="1" outlineLevel="1">
      <c r="A12" s="1005" t="s">
        <v>52</v>
      </c>
      <c r="B12" s="1005" t="s">
        <v>52</v>
      </c>
      <c r="C12" s="1006" t="s">
        <v>52</v>
      </c>
      <c r="D12" s="235"/>
      <c r="E12" s="235"/>
      <c r="F12" s="805"/>
      <c r="G12" s="955"/>
      <c r="H12" s="786" t="s">
        <v>619</v>
      </c>
      <c r="I12" s="201"/>
      <c r="J12" s="787">
        <f>SUM(J9:J11)</f>
        <v>13004.560000000001</v>
      </c>
      <c r="K12" s="787">
        <f>SUM(K9:K11)</f>
        <v>1500</v>
      </c>
      <c r="L12" s="787">
        <f>SUM(L9:L11)</f>
        <v>14504.560000000001</v>
      </c>
      <c r="M12" s="787"/>
      <c r="N12" s="203"/>
      <c r="O12" s="203"/>
      <c r="P12" s="203"/>
      <c r="Q12" s="203"/>
      <c r="R12" s="203"/>
      <c r="S12" s="203"/>
      <c r="T12" s="787">
        <f t="shared" ref="T12:AY12" si="248">SUM(T9:T11)</f>
        <v>0</v>
      </c>
      <c r="U12" s="787">
        <f t="shared" si="248"/>
        <v>0</v>
      </c>
      <c r="V12" s="787">
        <f t="shared" si="248"/>
        <v>0</v>
      </c>
      <c r="W12" s="787">
        <f t="shared" si="248"/>
        <v>0</v>
      </c>
      <c r="X12" s="787">
        <f t="shared" si="248"/>
        <v>0</v>
      </c>
      <c r="Y12" s="787">
        <f t="shared" si="248"/>
        <v>0</v>
      </c>
      <c r="Z12" s="787">
        <f t="shared" si="248"/>
        <v>0</v>
      </c>
      <c r="AA12" s="787">
        <f t="shared" si="248"/>
        <v>0</v>
      </c>
      <c r="AB12" s="787">
        <f t="shared" si="248"/>
        <v>0</v>
      </c>
      <c r="AC12" s="787">
        <f t="shared" si="248"/>
        <v>0</v>
      </c>
      <c r="AD12" s="787">
        <f t="shared" si="248"/>
        <v>0</v>
      </c>
      <c r="AE12" s="787">
        <f t="shared" si="248"/>
        <v>0</v>
      </c>
      <c r="AF12" s="787">
        <f t="shared" si="248"/>
        <v>0</v>
      </c>
      <c r="AG12" s="787">
        <f t="shared" si="248"/>
        <v>0</v>
      </c>
      <c r="AH12" s="787">
        <f t="shared" si="248"/>
        <v>0</v>
      </c>
      <c r="AI12" s="787">
        <f t="shared" si="248"/>
        <v>0</v>
      </c>
      <c r="AJ12" s="787">
        <f t="shared" si="248"/>
        <v>0</v>
      </c>
      <c r="AK12" s="787">
        <f t="shared" si="248"/>
        <v>0</v>
      </c>
      <c r="AL12" s="787">
        <f t="shared" si="248"/>
        <v>0</v>
      </c>
      <c r="AM12" s="787">
        <f t="shared" si="248"/>
        <v>0</v>
      </c>
      <c r="AN12" s="787">
        <f t="shared" si="248"/>
        <v>0</v>
      </c>
      <c r="AO12" s="787">
        <f t="shared" si="248"/>
        <v>0</v>
      </c>
      <c r="AP12" s="787">
        <f t="shared" si="248"/>
        <v>0</v>
      </c>
      <c r="AQ12" s="787">
        <f t="shared" si="248"/>
        <v>0</v>
      </c>
      <c r="AR12" s="787">
        <f t="shared" si="248"/>
        <v>0</v>
      </c>
      <c r="AS12" s="787">
        <f t="shared" si="248"/>
        <v>0</v>
      </c>
      <c r="AT12" s="787">
        <f t="shared" si="248"/>
        <v>0</v>
      </c>
      <c r="AU12" s="787">
        <f t="shared" si="248"/>
        <v>0</v>
      </c>
      <c r="AV12" s="787">
        <f t="shared" si="248"/>
        <v>0</v>
      </c>
      <c r="AW12" s="787">
        <f t="shared" si="248"/>
        <v>0</v>
      </c>
      <c r="AX12" s="787">
        <f t="shared" si="248"/>
        <v>0</v>
      </c>
      <c r="AY12" s="787">
        <f t="shared" si="248"/>
        <v>0</v>
      </c>
      <c r="AZ12" s="787">
        <f t="shared" ref="AZ12:CE12" si="249">SUM(AZ9:AZ11)</f>
        <v>0</v>
      </c>
      <c r="BA12" s="787">
        <f>SUM(BA9:BA11)</f>
        <v>6502.2800000000007</v>
      </c>
      <c r="BB12" s="787">
        <f t="shared" si="249"/>
        <v>750.00000000000011</v>
      </c>
      <c r="BC12" s="787">
        <f t="shared" si="249"/>
        <v>0</v>
      </c>
      <c r="BD12" s="787">
        <f t="shared" si="249"/>
        <v>0</v>
      </c>
      <c r="BE12" s="787">
        <f t="shared" si="249"/>
        <v>0</v>
      </c>
      <c r="BF12" s="787">
        <f t="shared" si="249"/>
        <v>0</v>
      </c>
      <c r="BG12" s="787">
        <f t="shared" si="249"/>
        <v>0</v>
      </c>
      <c r="BH12" s="787">
        <f t="shared" si="249"/>
        <v>823.83887600000003</v>
      </c>
      <c r="BI12" s="787">
        <f t="shared" si="249"/>
        <v>8076.1188760000005</v>
      </c>
      <c r="BJ12" s="787">
        <f t="shared" si="249"/>
        <v>5602.0520000000006</v>
      </c>
      <c r="BK12" s="787">
        <f t="shared" si="249"/>
        <v>625.00000000000011</v>
      </c>
      <c r="BL12" s="787">
        <f t="shared" si="249"/>
        <v>0</v>
      </c>
      <c r="BM12" s="787">
        <f t="shared" si="249"/>
        <v>0</v>
      </c>
      <c r="BN12" s="787">
        <f t="shared" si="249"/>
        <v>0</v>
      </c>
      <c r="BO12" s="787">
        <f t="shared" si="249"/>
        <v>0</v>
      </c>
      <c r="BP12" s="787">
        <f t="shared" si="249"/>
        <v>0</v>
      </c>
      <c r="BQ12" s="787">
        <f t="shared" si="249"/>
        <v>709.77998840000009</v>
      </c>
      <c r="BR12" s="787">
        <f t="shared" si="249"/>
        <v>6936.8319884000002</v>
      </c>
      <c r="BS12" s="787">
        <f t="shared" si="249"/>
        <v>900.22800000000007</v>
      </c>
      <c r="BT12" s="787">
        <f t="shared" si="249"/>
        <v>125.00000000000001</v>
      </c>
      <c r="BU12" s="787">
        <f t="shared" si="249"/>
        <v>0</v>
      </c>
      <c r="BV12" s="787">
        <f t="shared" si="249"/>
        <v>0</v>
      </c>
      <c r="BW12" s="787">
        <f t="shared" si="249"/>
        <v>0</v>
      </c>
      <c r="BX12" s="787">
        <f t="shared" si="249"/>
        <v>0</v>
      </c>
      <c r="BY12" s="787">
        <f t="shared" si="249"/>
        <v>0</v>
      </c>
      <c r="BZ12" s="787">
        <f t="shared" si="249"/>
        <v>99.370519999999999</v>
      </c>
      <c r="CA12" s="787">
        <f t="shared" si="249"/>
        <v>1124.59852</v>
      </c>
      <c r="CB12" s="787">
        <f t="shared" si="249"/>
        <v>0</v>
      </c>
      <c r="CC12" s="787">
        <f t="shared" si="249"/>
        <v>0</v>
      </c>
      <c r="CD12" s="787">
        <f t="shared" si="249"/>
        <v>0</v>
      </c>
      <c r="CE12" s="787">
        <f t="shared" si="249"/>
        <v>0</v>
      </c>
      <c r="CF12" s="787">
        <f t="shared" ref="CF12:DK12" si="250">SUM(CF9:CF11)</f>
        <v>0</v>
      </c>
      <c r="CG12" s="787">
        <f t="shared" si="250"/>
        <v>0</v>
      </c>
      <c r="CH12" s="787">
        <f t="shared" si="250"/>
        <v>0</v>
      </c>
      <c r="CI12" s="787">
        <f t="shared" si="250"/>
        <v>0</v>
      </c>
      <c r="CJ12" s="787">
        <f t="shared" si="250"/>
        <v>0</v>
      </c>
      <c r="CK12" s="787">
        <f t="shared" si="250"/>
        <v>0</v>
      </c>
      <c r="CL12" s="787">
        <f t="shared" si="250"/>
        <v>0</v>
      </c>
      <c r="CM12" s="787">
        <f t="shared" si="250"/>
        <v>0</v>
      </c>
      <c r="CN12" s="787">
        <f t="shared" si="250"/>
        <v>0</v>
      </c>
      <c r="CO12" s="787">
        <f t="shared" si="250"/>
        <v>0</v>
      </c>
      <c r="CP12" s="787">
        <f t="shared" si="250"/>
        <v>0</v>
      </c>
      <c r="CQ12" s="787">
        <f t="shared" si="250"/>
        <v>0</v>
      </c>
      <c r="CR12" s="787">
        <f t="shared" si="250"/>
        <v>0</v>
      </c>
      <c r="CS12" s="787">
        <f t="shared" si="250"/>
        <v>0</v>
      </c>
      <c r="CT12" s="787">
        <f t="shared" si="250"/>
        <v>0</v>
      </c>
      <c r="CU12" s="787">
        <f t="shared" si="250"/>
        <v>0</v>
      </c>
      <c r="CV12" s="787">
        <f t="shared" si="250"/>
        <v>0</v>
      </c>
      <c r="CW12" s="787">
        <f t="shared" si="250"/>
        <v>0</v>
      </c>
      <c r="CX12" s="787">
        <f t="shared" si="250"/>
        <v>0</v>
      </c>
      <c r="CY12" s="787">
        <f t="shared" si="250"/>
        <v>0</v>
      </c>
      <c r="CZ12" s="787">
        <f t="shared" si="250"/>
        <v>0</v>
      </c>
      <c r="DA12" s="787">
        <f t="shared" si="250"/>
        <v>0</v>
      </c>
      <c r="DB12" s="787">
        <f t="shared" si="250"/>
        <v>0</v>
      </c>
      <c r="DC12" s="787">
        <f t="shared" si="250"/>
        <v>0</v>
      </c>
      <c r="DD12" s="787">
        <f t="shared" si="250"/>
        <v>0</v>
      </c>
      <c r="DE12" s="787">
        <f t="shared" si="250"/>
        <v>0</v>
      </c>
      <c r="DF12" s="787">
        <f t="shared" si="250"/>
        <v>0</v>
      </c>
      <c r="DG12" s="787">
        <f t="shared" si="250"/>
        <v>0</v>
      </c>
      <c r="DH12" s="787">
        <f t="shared" si="250"/>
        <v>0</v>
      </c>
      <c r="DI12" s="787">
        <f t="shared" si="250"/>
        <v>0</v>
      </c>
      <c r="DJ12" s="787">
        <f t="shared" si="250"/>
        <v>0</v>
      </c>
      <c r="DK12" s="787">
        <f t="shared" si="250"/>
        <v>0</v>
      </c>
      <c r="DL12" s="787">
        <f t="shared" ref="DL12:EQ12" si="251">SUM(DL9:DL11)</f>
        <v>0</v>
      </c>
      <c r="DM12" s="787">
        <f t="shared" si="251"/>
        <v>0</v>
      </c>
      <c r="DN12" s="787">
        <f t="shared" si="251"/>
        <v>0</v>
      </c>
      <c r="DO12" s="787">
        <f t="shared" si="251"/>
        <v>0</v>
      </c>
      <c r="DP12" s="787">
        <f t="shared" si="251"/>
        <v>0</v>
      </c>
      <c r="DQ12" s="787">
        <f t="shared" si="251"/>
        <v>0</v>
      </c>
      <c r="DR12" s="787">
        <f t="shared" si="251"/>
        <v>0</v>
      </c>
      <c r="DS12" s="787">
        <f t="shared" si="251"/>
        <v>0</v>
      </c>
      <c r="DT12" s="787">
        <f t="shared" si="251"/>
        <v>0</v>
      </c>
      <c r="DU12" s="787">
        <f t="shared" si="251"/>
        <v>0</v>
      </c>
      <c r="DV12" s="787">
        <f t="shared" si="251"/>
        <v>0</v>
      </c>
      <c r="DW12" s="787">
        <f t="shared" si="251"/>
        <v>0</v>
      </c>
      <c r="DX12" s="787">
        <f t="shared" si="251"/>
        <v>0</v>
      </c>
      <c r="DY12" s="787">
        <f t="shared" si="251"/>
        <v>0</v>
      </c>
      <c r="DZ12" s="787">
        <f t="shared" si="251"/>
        <v>0</v>
      </c>
      <c r="EA12" s="787">
        <f t="shared" si="251"/>
        <v>0</v>
      </c>
      <c r="EB12" s="787">
        <f t="shared" si="251"/>
        <v>0</v>
      </c>
      <c r="EC12" s="787">
        <f t="shared" si="251"/>
        <v>0</v>
      </c>
      <c r="ED12" s="787">
        <f t="shared" si="251"/>
        <v>0</v>
      </c>
      <c r="EE12" s="787">
        <f t="shared" si="251"/>
        <v>0</v>
      </c>
      <c r="EF12" s="787">
        <f t="shared" si="251"/>
        <v>13004.560000000001</v>
      </c>
      <c r="EG12" s="787">
        <f t="shared" si="251"/>
        <v>1500.0000000000002</v>
      </c>
      <c r="EH12" s="787">
        <f t="shared" si="251"/>
        <v>0</v>
      </c>
      <c r="EI12" s="787">
        <f t="shared" si="251"/>
        <v>0</v>
      </c>
      <c r="EJ12" s="787">
        <f t="shared" si="251"/>
        <v>0</v>
      </c>
      <c r="EK12" s="787">
        <f t="shared" si="251"/>
        <v>0</v>
      </c>
      <c r="EL12" s="787">
        <f t="shared" si="251"/>
        <v>0</v>
      </c>
      <c r="EM12" s="787">
        <f t="shared" si="251"/>
        <v>1632.9893844000001</v>
      </c>
      <c r="EN12" s="787">
        <f t="shared" si="251"/>
        <v>16137.549384400001</v>
      </c>
      <c r="EO12" s="787"/>
      <c r="EP12" s="787">
        <f t="shared" si="251"/>
        <v>87.92</v>
      </c>
      <c r="EQ12" s="787">
        <f t="shared" si="251"/>
        <v>0</v>
      </c>
      <c r="ER12" s="787">
        <f t="shared" ref="ER12:FP12" si="252">SUM(ER9:ER11)</f>
        <v>0</v>
      </c>
      <c r="ES12" s="787">
        <f t="shared" si="252"/>
        <v>225</v>
      </c>
      <c r="ET12" s="787">
        <f t="shared" si="252"/>
        <v>0</v>
      </c>
      <c r="EU12" s="787">
        <f t="shared" si="252"/>
        <v>0</v>
      </c>
      <c r="EV12" s="787">
        <f t="shared" si="252"/>
        <v>350</v>
      </c>
      <c r="EW12" s="787">
        <f t="shared" si="252"/>
        <v>0</v>
      </c>
      <c r="EX12" s="787">
        <f t="shared" si="252"/>
        <v>0</v>
      </c>
      <c r="EY12" s="787">
        <f t="shared" si="252"/>
        <v>350</v>
      </c>
      <c r="EZ12" s="787"/>
      <c r="FA12" s="787">
        <f t="shared" si="252"/>
        <v>87.92</v>
      </c>
      <c r="FB12" s="787">
        <f t="shared" si="252"/>
        <v>0</v>
      </c>
      <c r="FC12" s="787">
        <f t="shared" si="252"/>
        <v>0</v>
      </c>
      <c r="FD12" s="787">
        <f t="shared" si="252"/>
        <v>225</v>
      </c>
      <c r="FE12" s="787">
        <f t="shared" si="252"/>
        <v>0</v>
      </c>
      <c r="FF12" s="787">
        <f t="shared" si="252"/>
        <v>0</v>
      </c>
      <c r="FG12" s="787">
        <f t="shared" si="252"/>
        <v>350</v>
      </c>
      <c r="FH12" s="787">
        <f t="shared" si="252"/>
        <v>0</v>
      </c>
      <c r="FI12" s="787">
        <f t="shared" si="252"/>
        <v>0</v>
      </c>
      <c r="FJ12" s="787">
        <f t="shared" si="252"/>
        <v>350</v>
      </c>
      <c r="FK12" s="787">
        <f t="shared" si="252"/>
        <v>1</v>
      </c>
      <c r="FL12" s="787">
        <f t="shared" si="252"/>
        <v>1</v>
      </c>
      <c r="FM12" s="787">
        <f t="shared" si="252"/>
        <v>0</v>
      </c>
      <c r="FN12" s="787">
        <f t="shared" si="252"/>
        <v>0</v>
      </c>
      <c r="FO12" s="787">
        <f t="shared" si="252"/>
        <v>0</v>
      </c>
      <c r="FP12" s="787">
        <f t="shared" si="252"/>
        <v>2</v>
      </c>
    </row>
    <row r="13" spans="1:183" s="778" customFormat="1" ht="15" customHeight="1" outlineLevel="1">
      <c r="A13" s="1005" t="str">
        <f t="shared" ref="A13:A74" si="253">$G$4</f>
        <v>JUNIO  2026 2da QUINCENA</v>
      </c>
      <c r="B13" s="1005">
        <f t="shared" si="90"/>
        <v>2026</v>
      </c>
      <c r="C13" s="1006" t="str">
        <f t="shared" ref="C13:C74" si="254">A13 &amp; B13</f>
        <v>JUNIO  2026 2da QUINCENA2026</v>
      </c>
      <c r="D13" s="235" t="str">
        <f>+$G$8</f>
        <v>ADMINISTRATIVO</v>
      </c>
      <c r="E13" s="235">
        <v>102030</v>
      </c>
      <c r="F13" s="776"/>
      <c r="G13" s="779" t="s">
        <v>620</v>
      </c>
      <c r="H13" s="776"/>
      <c r="I13" s="776"/>
      <c r="J13" s="801"/>
      <c r="K13" s="797"/>
      <c r="L13" s="797"/>
      <c r="M13" s="797"/>
      <c r="T13" s="780"/>
      <c r="U13" s="803"/>
      <c r="V13" s="797"/>
      <c r="W13" s="803"/>
      <c r="X13" s="797"/>
      <c r="Y13" s="803"/>
      <c r="Z13" s="797"/>
      <c r="AA13" s="803"/>
      <c r="AB13" s="797"/>
      <c r="AC13" s="803"/>
      <c r="AD13" s="797"/>
      <c r="AE13" s="804"/>
      <c r="AF13" s="797"/>
      <c r="AG13" s="804"/>
      <c r="AH13" s="797"/>
      <c r="AI13" s="804"/>
      <c r="AJ13" s="797"/>
      <c r="AK13" s="797"/>
      <c r="AL13" s="797"/>
      <c r="AM13" s="804"/>
      <c r="AN13" s="797"/>
      <c r="AO13" s="797"/>
      <c r="AP13" s="797"/>
      <c r="AQ13" s="797"/>
      <c r="AR13" s="797"/>
      <c r="AS13" s="797"/>
      <c r="AT13" s="797"/>
      <c r="AU13" s="797"/>
      <c r="AV13" s="797"/>
      <c r="AW13" s="797"/>
      <c r="AX13" s="797"/>
      <c r="AY13" s="797"/>
      <c r="BA13" s="797"/>
      <c r="BB13" s="797"/>
      <c r="BC13" s="797"/>
      <c r="BD13" s="797"/>
      <c r="BE13" s="797"/>
      <c r="BF13" s="797"/>
      <c r="BG13" s="797"/>
      <c r="BH13" s="797"/>
      <c r="BI13" s="797"/>
      <c r="BJ13" s="797"/>
      <c r="BK13" s="797"/>
      <c r="BL13" s="797"/>
      <c r="BM13" s="797"/>
      <c r="BN13" s="797"/>
      <c r="BO13" s="797"/>
      <c r="BP13" s="797"/>
      <c r="BQ13" s="797"/>
      <c r="BR13" s="802"/>
      <c r="BS13" s="797"/>
      <c r="BT13" s="797"/>
      <c r="BU13" s="797"/>
      <c r="BV13" s="797"/>
      <c r="BW13" s="797"/>
      <c r="BX13" s="797"/>
      <c r="BY13" s="797"/>
      <c r="BZ13" s="797"/>
      <c r="CA13" s="797"/>
      <c r="CB13" s="797"/>
      <c r="CC13" s="797"/>
      <c r="CD13" s="797"/>
      <c r="CE13" s="797"/>
      <c r="CF13" s="797"/>
      <c r="CG13" s="797"/>
      <c r="CH13" s="797"/>
      <c r="CI13" s="797"/>
      <c r="CJ13" s="797"/>
      <c r="CK13" s="797"/>
      <c r="CL13" s="797"/>
      <c r="CM13" s="797"/>
      <c r="CN13" s="797"/>
      <c r="CO13" s="797"/>
      <c r="CP13" s="797"/>
      <c r="CQ13" s="797"/>
      <c r="CR13" s="797"/>
      <c r="CS13" s="797"/>
      <c r="CV13" s="797"/>
      <c r="CW13" s="797"/>
      <c r="CX13" s="797"/>
      <c r="CY13" s="797"/>
      <c r="CZ13" s="797"/>
      <c r="DA13" s="797"/>
      <c r="DB13" s="797"/>
      <c r="DC13" s="797"/>
      <c r="DD13" s="797"/>
      <c r="DE13" s="797"/>
      <c r="DF13" s="797"/>
      <c r="DG13" s="797"/>
      <c r="DH13" s="797"/>
      <c r="DI13" s="797"/>
      <c r="DJ13" s="797"/>
      <c r="DK13" s="797"/>
      <c r="DL13" s="797"/>
      <c r="DM13" s="797"/>
      <c r="DN13" s="797"/>
      <c r="DO13" s="797"/>
      <c r="DP13" s="797"/>
      <c r="DQ13" s="797"/>
      <c r="DR13" s="797"/>
      <c r="DS13" s="797"/>
      <c r="DT13" s="797"/>
      <c r="DU13" s="797"/>
      <c r="DV13" s="797"/>
      <c r="DW13" s="797"/>
      <c r="DX13" s="797"/>
      <c r="DY13" s="797"/>
      <c r="DZ13" s="797"/>
      <c r="EA13" s="797"/>
      <c r="EB13" s="797"/>
      <c r="EC13" s="797"/>
      <c r="ED13" s="797"/>
      <c r="EE13" s="797"/>
      <c r="EF13" s="797"/>
      <c r="EG13" s="797"/>
      <c r="EH13" s="797"/>
      <c r="EI13" s="797"/>
      <c r="EJ13" s="797"/>
      <c r="EK13" s="797"/>
      <c r="EL13" s="797"/>
      <c r="EM13" s="797"/>
      <c r="EN13" s="797"/>
      <c r="EP13" s="235"/>
      <c r="FK13" s="799"/>
      <c r="FL13" s="799"/>
      <c r="FM13" s="799"/>
      <c r="FN13" s="799"/>
      <c r="FO13" s="799"/>
      <c r="FP13" s="799"/>
    </row>
    <row r="14" spans="1:183" s="216" customFormat="1" ht="15" customHeight="1" outlineLevel="1">
      <c r="A14" s="1005"/>
      <c r="B14" s="1005"/>
      <c r="C14" s="1006"/>
      <c r="D14" s="235"/>
      <c r="E14" s="235"/>
      <c r="F14" s="268"/>
      <c r="G14" s="199"/>
      <c r="H14" s="200"/>
      <c r="I14" s="201"/>
      <c r="J14" s="203"/>
      <c r="K14" s="203"/>
      <c r="L14" s="202"/>
      <c r="M14" s="203"/>
      <c r="N14" s="204"/>
      <c r="O14" s="204"/>
      <c r="P14" s="204"/>
      <c r="Q14" s="204"/>
      <c r="R14" s="204"/>
      <c r="S14" s="204"/>
      <c r="T14" s="813"/>
      <c r="U14" s="207"/>
      <c r="V14" s="203"/>
      <c r="W14" s="207"/>
      <c r="X14" s="203"/>
      <c r="Y14" s="207"/>
      <c r="Z14" s="203"/>
      <c r="AA14" s="207"/>
      <c r="AB14" s="203"/>
      <c r="AC14" s="207"/>
      <c r="AD14" s="203"/>
      <c r="AE14" s="208"/>
      <c r="AF14" s="203"/>
      <c r="AG14" s="208"/>
      <c r="AH14" s="203"/>
      <c r="AI14" s="208"/>
      <c r="AJ14" s="203"/>
      <c r="AK14" s="203"/>
      <c r="AL14" s="203"/>
      <c r="AM14" s="208"/>
      <c r="AN14" s="203"/>
      <c r="AO14" s="203"/>
      <c r="AP14" s="203"/>
      <c r="AQ14" s="203"/>
      <c r="AR14" s="203"/>
      <c r="AS14" s="203"/>
      <c r="AT14" s="203"/>
      <c r="AU14" s="203"/>
      <c r="AV14" s="203"/>
      <c r="AW14" s="203"/>
      <c r="AX14" s="203"/>
      <c r="AY14" s="203"/>
      <c r="AZ14" s="201"/>
      <c r="BA14" s="203"/>
      <c r="BB14" s="203"/>
      <c r="BC14" s="203"/>
      <c r="BD14" s="203"/>
      <c r="BE14" s="203"/>
      <c r="BF14" s="203"/>
      <c r="BG14" s="203"/>
      <c r="BH14" s="203"/>
      <c r="BI14" s="203"/>
      <c r="BJ14" s="203"/>
      <c r="BK14" s="203"/>
      <c r="BL14" s="203"/>
      <c r="BM14" s="203"/>
      <c r="BN14" s="203"/>
      <c r="BO14" s="203"/>
      <c r="BP14" s="203"/>
      <c r="BQ14" s="203"/>
      <c r="BR14" s="202"/>
      <c r="BS14" s="203"/>
      <c r="BT14" s="203"/>
      <c r="BU14" s="203"/>
      <c r="BV14" s="203"/>
      <c r="BW14" s="203"/>
      <c r="BX14" s="203"/>
      <c r="BY14" s="203"/>
      <c r="BZ14" s="203"/>
      <c r="CA14" s="203"/>
      <c r="CB14" s="781"/>
      <c r="CC14" s="782"/>
      <c r="CD14" s="782"/>
      <c r="CE14" s="782"/>
      <c r="CF14" s="782"/>
      <c r="CG14" s="782"/>
      <c r="CH14" s="782"/>
      <c r="CI14" s="703"/>
      <c r="CJ14" s="784"/>
      <c r="CK14" s="785"/>
      <c r="CL14" s="782"/>
      <c r="CM14" s="782"/>
      <c r="CN14" s="782"/>
      <c r="CO14" s="782"/>
      <c r="CP14" s="782"/>
      <c r="CQ14" s="782"/>
      <c r="CR14" s="783"/>
      <c r="CS14" s="783"/>
      <c r="CU14" s="201"/>
      <c r="CV14" s="203"/>
      <c r="CW14" s="203"/>
      <c r="CX14" s="203"/>
      <c r="CY14" s="203"/>
      <c r="CZ14" s="203"/>
      <c r="DA14" s="203"/>
      <c r="DB14" s="203"/>
      <c r="DC14" s="203"/>
      <c r="DD14" s="203"/>
      <c r="DE14" s="203"/>
      <c r="DF14" s="203"/>
      <c r="DG14" s="203"/>
      <c r="DH14" s="203"/>
      <c r="DI14" s="203"/>
      <c r="DJ14" s="203"/>
      <c r="DK14" s="203"/>
      <c r="DL14" s="203"/>
      <c r="DM14" s="203"/>
      <c r="DN14" s="203"/>
      <c r="DO14" s="203"/>
      <c r="DP14" s="203"/>
      <c r="DQ14" s="203"/>
      <c r="DR14" s="203"/>
      <c r="DS14" s="203"/>
      <c r="DT14" s="203"/>
      <c r="DU14" s="203"/>
      <c r="DV14" s="203"/>
      <c r="DW14" s="702"/>
      <c r="DX14" s="702"/>
      <c r="DY14" s="702"/>
      <c r="DZ14" s="702"/>
      <c r="EA14" s="702"/>
      <c r="EB14" s="702"/>
      <c r="EC14" s="702"/>
      <c r="ED14" s="702"/>
      <c r="EE14" s="704"/>
      <c r="EF14" s="203"/>
      <c r="EG14" s="242"/>
      <c r="EH14" s="203"/>
      <c r="EI14" s="203"/>
      <c r="EJ14" s="242"/>
      <c r="EK14" s="203"/>
      <c r="EL14" s="203"/>
      <c r="EM14" s="203"/>
      <c r="EN14" s="203"/>
      <c r="EP14" s="201"/>
      <c r="EQ14" s="201"/>
      <c r="ER14" s="201"/>
      <c r="ES14" s="201"/>
      <c r="ET14" s="201"/>
      <c r="EU14" s="201"/>
      <c r="EV14" s="201"/>
      <c r="EW14" s="201"/>
      <c r="EX14" s="851"/>
      <c r="EY14" s="201"/>
      <c r="FA14" s="207"/>
      <c r="FB14" s="207"/>
      <c r="FC14" s="207"/>
      <c r="FD14" s="207"/>
      <c r="FE14" s="207"/>
      <c r="FF14" s="207"/>
      <c r="FG14" s="207"/>
      <c r="FH14" s="207"/>
      <c r="FI14" s="207"/>
      <c r="FJ14" s="207"/>
      <c r="FK14" s="217"/>
      <c r="FL14" s="217"/>
      <c r="FM14" s="217"/>
      <c r="FN14" s="217"/>
      <c r="FO14" s="217"/>
      <c r="FP14" s="217"/>
      <c r="FR14" s="1184"/>
      <c r="FS14" s="1184"/>
      <c r="FT14" s="1185"/>
      <c r="FU14" s="1184"/>
      <c r="FV14" s="1186"/>
    </row>
    <row r="15" spans="1:183" s="778" customFormat="1" ht="15" customHeight="1" outlineLevel="1">
      <c r="A15" s="1005" t="s">
        <v>52</v>
      </c>
      <c r="B15" s="1005" t="s">
        <v>52</v>
      </c>
      <c r="C15" s="1006" t="str">
        <f t="shared" si="254"/>
        <v xml:space="preserve">  </v>
      </c>
      <c r="D15" s="776"/>
      <c r="E15" s="235"/>
      <c r="F15" s="805"/>
      <c r="G15" s="719"/>
      <c r="H15" s="717" t="s">
        <v>696</v>
      </c>
      <c r="J15" s="868">
        <f>SUM(J14:J14)</f>
        <v>0</v>
      </c>
      <c r="K15" s="868">
        <f>SUM(K14:K14)</f>
        <v>0</v>
      </c>
      <c r="L15" s="868">
        <f>SUM(L14:L14)</f>
        <v>0</v>
      </c>
      <c r="M15" s="203"/>
      <c r="N15" s="798"/>
      <c r="O15" s="798"/>
      <c r="P15" s="798"/>
      <c r="Q15" s="798"/>
      <c r="R15" s="798"/>
      <c r="S15" s="798"/>
      <c r="T15" s="806"/>
      <c r="U15" s="868">
        <f t="shared" ref="U15:AZ15" si="255">SUM(U14:U14)</f>
        <v>0</v>
      </c>
      <c r="V15" s="868">
        <f t="shared" si="255"/>
        <v>0</v>
      </c>
      <c r="W15" s="868">
        <f t="shared" si="255"/>
        <v>0</v>
      </c>
      <c r="X15" s="868">
        <f t="shared" si="255"/>
        <v>0</v>
      </c>
      <c r="Y15" s="868">
        <f t="shared" si="255"/>
        <v>0</v>
      </c>
      <c r="Z15" s="868">
        <f t="shared" si="255"/>
        <v>0</v>
      </c>
      <c r="AA15" s="868">
        <f t="shared" si="255"/>
        <v>0</v>
      </c>
      <c r="AB15" s="868">
        <f t="shared" si="255"/>
        <v>0</v>
      </c>
      <c r="AC15" s="868">
        <f t="shared" si="255"/>
        <v>0</v>
      </c>
      <c r="AD15" s="868">
        <f t="shared" si="255"/>
        <v>0</v>
      </c>
      <c r="AE15" s="868">
        <f t="shared" si="255"/>
        <v>0</v>
      </c>
      <c r="AF15" s="868">
        <f t="shared" si="255"/>
        <v>0</v>
      </c>
      <c r="AG15" s="868">
        <f t="shared" si="255"/>
        <v>0</v>
      </c>
      <c r="AH15" s="868">
        <f t="shared" si="255"/>
        <v>0</v>
      </c>
      <c r="AI15" s="868">
        <f t="shared" si="255"/>
        <v>0</v>
      </c>
      <c r="AJ15" s="868">
        <f t="shared" si="255"/>
        <v>0</v>
      </c>
      <c r="AK15" s="868">
        <f t="shared" si="255"/>
        <v>0</v>
      </c>
      <c r="AL15" s="868">
        <f t="shared" si="255"/>
        <v>0</v>
      </c>
      <c r="AM15" s="868">
        <f t="shared" si="255"/>
        <v>0</v>
      </c>
      <c r="AN15" s="868">
        <f t="shared" si="255"/>
        <v>0</v>
      </c>
      <c r="AO15" s="868">
        <f t="shared" si="255"/>
        <v>0</v>
      </c>
      <c r="AP15" s="868">
        <f t="shared" si="255"/>
        <v>0</v>
      </c>
      <c r="AQ15" s="868">
        <f t="shared" si="255"/>
        <v>0</v>
      </c>
      <c r="AR15" s="868">
        <f t="shared" si="255"/>
        <v>0</v>
      </c>
      <c r="AS15" s="868">
        <f t="shared" si="255"/>
        <v>0</v>
      </c>
      <c r="AT15" s="868">
        <f t="shared" si="255"/>
        <v>0</v>
      </c>
      <c r="AU15" s="868">
        <f t="shared" si="255"/>
        <v>0</v>
      </c>
      <c r="AV15" s="868">
        <f t="shared" si="255"/>
        <v>0</v>
      </c>
      <c r="AW15" s="868">
        <f t="shared" si="255"/>
        <v>0</v>
      </c>
      <c r="AX15" s="868">
        <f t="shared" si="255"/>
        <v>0</v>
      </c>
      <c r="AY15" s="868">
        <f t="shared" si="255"/>
        <v>0</v>
      </c>
      <c r="AZ15" s="868">
        <f t="shared" si="255"/>
        <v>0</v>
      </c>
      <c r="BA15" s="868">
        <f>SUM(BA14:BA14)</f>
        <v>0</v>
      </c>
      <c r="BB15" s="868">
        <f t="shared" ref="BB15:CF15" si="256">SUM(BB14:BB14)</f>
        <v>0</v>
      </c>
      <c r="BC15" s="868">
        <f t="shared" si="256"/>
        <v>0</v>
      </c>
      <c r="BD15" s="868">
        <f t="shared" si="256"/>
        <v>0</v>
      </c>
      <c r="BE15" s="868">
        <f t="shared" si="256"/>
        <v>0</v>
      </c>
      <c r="BF15" s="868">
        <f t="shared" si="256"/>
        <v>0</v>
      </c>
      <c r="BG15" s="868">
        <f t="shared" si="256"/>
        <v>0</v>
      </c>
      <c r="BH15" s="868">
        <f t="shared" si="256"/>
        <v>0</v>
      </c>
      <c r="BI15" s="868">
        <f t="shared" si="256"/>
        <v>0</v>
      </c>
      <c r="BJ15" s="868">
        <f t="shared" si="256"/>
        <v>0</v>
      </c>
      <c r="BK15" s="868">
        <f t="shared" si="256"/>
        <v>0</v>
      </c>
      <c r="BL15" s="868">
        <f t="shared" si="256"/>
        <v>0</v>
      </c>
      <c r="BM15" s="868">
        <f t="shared" si="256"/>
        <v>0</v>
      </c>
      <c r="BN15" s="868">
        <f t="shared" si="256"/>
        <v>0</v>
      </c>
      <c r="BO15" s="868">
        <f t="shared" si="256"/>
        <v>0</v>
      </c>
      <c r="BP15" s="868">
        <f t="shared" si="256"/>
        <v>0</v>
      </c>
      <c r="BQ15" s="868">
        <f t="shared" si="256"/>
        <v>0</v>
      </c>
      <c r="BR15" s="868">
        <f t="shared" si="256"/>
        <v>0</v>
      </c>
      <c r="BS15" s="868">
        <f t="shared" si="256"/>
        <v>0</v>
      </c>
      <c r="BT15" s="868">
        <f t="shared" si="256"/>
        <v>0</v>
      </c>
      <c r="BU15" s="868">
        <f t="shared" si="256"/>
        <v>0</v>
      </c>
      <c r="BV15" s="868">
        <f t="shared" si="256"/>
        <v>0</v>
      </c>
      <c r="BW15" s="868">
        <f t="shared" si="256"/>
        <v>0</v>
      </c>
      <c r="BX15" s="868">
        <f t="shared" si="256"/>
        <v>0</v>
      </c>
      <c r="BY15" s="868">
        <f t="shared" si="256"/>
        <v>0</v>
      </c>
      <c r="BZ15" s="868">
        <f t="shared" si="256"/>
        <v>0</v>
      </c>
      <c r="CA15" s="868">
        <f t="shared" si="256"/>
        <v>0</v>
      </c>
      <c r="CB15" s="868">
        <f t="shared" si="256"/>
        <v>0</v>
      </c>
      <c r="CC15" s="868">
        <f t="shared" si="256"/>
        <v>0</v>
      </c>
      <c r="CD15" s="868">
        <f t="shared" si="256"/>
        <v>0</v>
      </c>
      <c r="CE15" s="868">
        <f t="shared" si="256"/>
        <v>0</v>
      </c>
      <c r="CF15" s="868">
        <f t="shared" si="256"/>
        <v>0</v>
      </c>
      <c r="CG15" s="868">
        <f t="shared" ref="CG15:DL15" si="257">SUM(CG14:CG14)</f>
        <v>0</v>
      </c>
      <c r="CH15" s="868">
        <f t="shared" si="257"/>
        <v>0</v>
      </c>
      <c r="CI15" s="868">
        <f t="shared" si="257"/>
        <v>0</v>
      </c>
      <c r="CJ15" s="868">
        <f t="shared" si="257"/>
        <v>0</v>
      </c>
      <c r="CK15" s="868">
        <f t="shared" si="257"/>
        <v>0</v>
      </c>
      <c r="CL15" s="868">
        <f t="shared" si="257"/>
        <v>0</v>
      </c>
      <c r="CM15" s="868">
        <f t="shared" si="257"/>
        <v>0</v>
      </c>
      <c r="CN15" s="868">
        <f t="shared" si="257"/>
        <v>0</v>
      </c>
      <c r="CO15" s="868">
        <f t="shared" si="257"/>
        <v>0</v>
      </c>
      <c r="CP15" s="868">
        <f t="shared" si="257"/>
        <v>0</v>
      </c>
      <c r="CQ15" s="868">
        <f t="shared" si="257"/>
        <v>0</v>
      </c>
      <c r="CR15" s="868">
        <f t="shared" si="257"/>
        <v>0</v>
      </c>
      <c r="CS15" s="868">
        <f t="shared" si="257"/>
        <v>0</v>
      </c>
      <c r="CT15" s="868">
        <f t="shared" si="257"/>
        <v>0</v>
      </c>
      <c r="CU15" s="868">
        <f t="shared" si="257"/>
        <v>0</v>
      </c>
      <c r="CV15" s="868">
        <f t="shared" si="257"/>
        <v>0</v>
      </c>
      <c r="CW15" s="868">
        <f t="shared" si="257"/>
        <v>0</v>
      </c>
      <c r="CX15" s="868">
        <f t="shared" si="257"/>
        <v>0</v>
      </c>
      <c r="CY15" s="868">
        <f t="shared" si="257"/>
        <v>0</v>
      </c>
      <c r="CZ15" s="868">
        <f t="shared" si="257"/>
        <v>0</v>
      </c>
      <c r="DA15" s="868">
        <f t="shared" si="257"/>
        <v>0</v>
      </c>
      <c r="DB15" s="868">
        <f t="shared" si="257"/>
        <v>0</v>
      </c>
      <c r="DC15" s="868">
        <f t="shared" si="257"/>
        <v>0</v>
      </c>
      <c r="DD15" s="868">
        <f t="shared" si="257"/>
        <v>0</v>
      </c>
      <c r="DE15" s="868">
        <f t="shared" si="257"/>
        <v>0</v>
      </c>
      <c r="DF15" s="868">
        <f t="shared" si="257"/>
        <v>0</v>
      </c>
      <c r="DG15" s="868">
        <f t="shared" si="257"/>
        <v>0</v>
      </c>
      <c r="DH15" s="868">
        <f t="shared" si="257"/>
        <v>0</v>
      </c>
      <c r="DI15" s="868">
        <f t="shared" si="257"/>
        <v>0</v>
      </c>
      <c r="DJ15" s="868">
        <f t="shared" si="257"/>
        <v>0</v>
      </c>
      <c r="DK15" s="868">
        <f t="shared" si="257"/>
        <v>0</v>
      </c>
      <c r="DL15" s="868">
        <f t="shared" si="257"/>
        <v>0</v>
      </c>
      <c r="DM15" s="868">
        <f t="shared" ref="DM15:ER15" si="258">SUM(DM14:DM14)</f>
        <v>0</v>
      </c>
      <c r="DN15" s="868">
        <f t="shared" si="258"/>
        <v>0</v>
      </c>
      <c r="DO15" s="868">
        <f t="shared" si="258"/>
        <v>0</v>
      </c>
      <c r="DP15" s="868">
        <f t="shared" si="258"/>
        <v>0</v>
      </c>
      <c r="DQ15" s="868">
        <f t="shared" si="258"/>
        <v>0</v>
      </c>
      <c r="DR15" s="868">
        <f t="shared" si="258"/>
        <v>0</v>
      </c>
      <c r="DS15" s="868">
        <f t="shared" si="258"/>
        <v>0</v>
      </c>
      <c r="DT15" s="868">
        <f t="shared" si="258"/>
        <v>0</v>
      </c>
      <c r="DU15" s="868">
        <f t="shared" si="258"/>
        <v>0</v>
      </c>
      <c r="DV15" s="868">
        <f t="shared" si="258"/>
        <v>0</v>
      </c>
      <c r="DW15" s="868">
        <f t="shared" si="258"/>
        <v>0</v>
      </c>
      <c r="DX15" s="868">
        <f t="shared" si="258"/>
        <v>0</v>
      </c>
      <c r="DY15" s="868">
        <f t="shared" si="258"/>
        <v>0</v>
      </c>
      <c r="DZ15" s="868">
        <f t="shared" si="258"/>
        <v>0</v>
      </c>
      <c r="EA15" s="868">
        <f t="shared" si="258"/>
        <v>0</v>
      </c>
      <c r="EB15" s="868">
        <f t="shared" si="258"/>
        <v>0</v>
      </c>
      <c r="EC15" s="868">
        <f t="shared" si="258"/>
        <v>0</v>
      </c>
      <c r="ED15" s="868">
        <f t="shared" si="258"/>
        <v>0</v>
      </c>
      <c r="EE15" s="868">
        <f t="shared" si="258"/>
        <v>0</v>
      </c>
      <c r="EF15" s="868">
        <f t="shared" si="258"/>
        <v>0</v>
      </c>
      <c r="EG15" s="868">
        <f t="shared" si="258"/>
        <v>0</v>
      </c>
      <c r="EH15" s="868">
        <f t="shared" si="258"/>
        <v>0</v>
      </c>
      <c r="EI15" s="868">
        <f t="shared" si="258"/>
        <v>0</v>
      </c>
      <c r="EJ15" s="868">
        <f t="shared" si="258"/>
        <v>0</v>
      </c>
      <c r="EK15" s="868">
        <f t="shared" si="258"/>
        <v>0</v>
      </c>
      <c r="EL15" s="868">
        <f t="shared" si="258"/>
        <v>0</v>
      </c>
      <c r="EM15" s="868">
        <f t="shared" si="258"/>
        <v>0</v>
      </c>
      <c r="EN15" s="868">
        <f t="shared" si="258"/>
        <v>0</v>
      </c>
      <c r="EO15" s="868">
        <f t="shared" si="258"/>
        <v>0</v>
      </c>
      <c r="EP15" s="868">
        <f t="shared" si="258"/>
        <v>0</v>
      </c>
      <c r="EQ15" s="868">
        <f t="shared" si="258"/>
        <v>0</v>
      </c>
      <c r="ER15" s="868">
        <f t="shared" si="258"/>
        <v>0</v>
      </c>
      <c r="ES15" s="868">
        <f t="shared" ref="ES15:FP15" si="259">SUM(ES14:ES14)</f>
        <v>0</v>
      </c>
      <c r="ET15" s="868">
        <f t="shared" si="259"/>
        <v>0</v>
      </c>
      <c r="EU15" s="868">
        <f t="shared" si="259"/>
        <v>0</v>
      </c>
      <c r="EV15" s="868">
        <f t="shared" si="259"/>
        <v>0</v>
      </c>
      <c r="EW15" s="868">
        <f t="shared" si="259"/>
        <v>0</v>
      </c>
      <c r="EX15" s="868">
        <f t="shared" si="259"/>
        <v>0</v>
      </c>
      <c r="EY15" s="868">
        <f t="shared" si="259"/>
        <v>0</v>
      </c>
      <c r="EZ15" s="868">
        <f t="shared" si="259"/>
        <v>0</v>
      </c>
      <c r="FA15" s="868">
        <f t="shared" si="259"/>
        <v>0</v>
      </c>
      <c r="FB15" s="868">
        <f t="shared" si="259"/>
        <v>0</v>
      </c>
      <c r="FC15" s="868">
        <f t="shared" si="259"/>
        <v>0</v>
      </c>
      <c r="FD15" s="868">
        <f t="shared" si="259"/>
        <v>0</v>
      </c>
      <c r="FE15" s="868">
        <f t="shared" si="259"/>
        <v>0</v>
      </c>
      <c r="FF15" s="868">
        <f t="shared" si="259"/>
        <v>0</v>
      </c>
      <c r="FG15" s="868">
        <f t="shared" si="259"/>
        <v>0</v>
      </c>
      <c r="FH15" s="868">
        <f t="shared" si="259"/>
        <v>0</v>
      </c>
      <c r="FI15" s="868">
        <f t="shared" si="259"/>
        <v>0</v>
      </c>
      <c r="FJ15" s="868">
        <f t="shared" si="259"/>
        <v>0</v>
      </c>
      <c r="FK15" s="868">
        <f t="shared" si="259"/>
        <v>0</v>
      </c>
      <c r="FL15" s="868">
        <f t="shared" si="259"/>
        <v>0</v>
      </c>
      <c r="FM15" s="868">
        <f t="shared" si="259"/>
        <v>0</v>
      </c>
      <c r="FN15" s="868">
        <f t="shared" si="259"/>
        <v>0</v>
      </c>
      <c r="FO15" s="868">
        <f t="shared" si="259"/>
        <v>0</v>
      </c>
      <c r="FP15" s="868">
        <f t="shared" si="259"/>
        <v>0</v>
      </c>
    </row>
    <row r="16" spans="1:183" s="778" customFormat="1" ht="15" customHeight="1" outlineLevel="1">
      <c r="A16" s="1005" t="str">
        <f t="shared" si="253"/>
        <v>JUNIO  2026 2da QUINCENA</v>
      </c>
      <c r="B16" s="1005">
        <f t="shared" si="90"/>
        <v>2026</v>
      </c>
      <c r="C16" s="1006" t="str">
        <f t="shared" si="254"/>
        <v>JUNIO  2026 2da QUINCENA2026</v>
      </c>
      <c r="D16" s="776" t="str">
        <f>+G16</f>
        <v>MENSAJERIA</v>
      </c>
      <c r="E16" s="235">
        <v>102020</v>
      </c>
      <c r="F16" s="805"/>
      <c r="G16" s="779" t="s">
        <v>782</v>
      </c>
      <c r="H16" s="776"/>
      <c r="J16" s="801"/>
      <c r="K16" s="797"/>
      <c r="L16" s="802"/>
      <c r="M16" s="801"/>
      <c r="N16" s="798"/>
      <c r="O16" s="798"/>
      <c r="P16" s="798"/>
      <c r="Q16" s="798"/>
      <c r="R16" s="798"/>
      <c r="S16" s="798"/>
      <c r="T16" s="806"/>
      <c r="U16" s="803"/>
      <c r="V16" s="797"/>
      <c r="W16" s="803"/>
      <c r="X16" s="797"/>
      <c r="Y16" s="803"/>
      <c r="Z16" s="797"/>
      <c r="AA16" s="803"/>
      <c r="AB16" s="797"/>
      <c r="AC16" s="803"/>
      <c r="AD16" s="797"/>
      <c r="AE16" s="804"/>
      <c r="AF16" s="797"/>
      <c r="AG16" s="804"/>
      <c r="AH16" s="797"/>
      <c r="AI16" s="804"/>
      <c r="AJ16" s="797"/>
      <c r="AK16" s="797"/>
      <c r="AL16" s="797"/>
      <c r="AM16" s="804"/>
      <c r="AN16" s="797"/>
      <c r="AO16" s="797"/>
      <c r="AP16" s="797"/>
      <c r="AQ16" s="797"/>
      <c r="AR16" s="797"/>
      <c r="AS16" s="797"/>
      <c r="AT16" s="797"/>
      <c r="AU16" s="797"/>
      <c r="AV16" s="797"/>
      <c r="AW16" s="797"/>
      <c r="AX16" s="797"/>
      <c r="AY16" s="797"/>
      <c r="BA16" s="797"/>
      <c r="BB16" s="801"/>
      <c r="BC16" s="797"/>
      <c r="BD16" s="797"/>
      <c r="BE16" s="797"/>
      <c r="BF16" s="797"/>
      <c r="BG16" s="797"/>
      <c r="BH16" s="797"/>
      <c r="BI16" s="797"/>
      <c r="BJ16" s="797"/>
      <c r="BK16" s="801"/>
      <c r="BL16" s="797"/>
      <c r="BM16" s="797"/>
      <c r="BN16" s="797"/>
      <c r="BO16" s="797"/>
      <c r="BP16" s="797"/>
      <c r="BQ16" s="797"/>
      <c r="BR16" s="802"/>
      <c r="BS16" s="797"/>
      <c r="BT16" s="797"/>
      <c r="BU16" s="797"/>
      <c r="BV16" s="797"/>
      <c r="BW16" s="797"/>
      <c r="BX16" s="797"/>
      <c r="BY16" s="797"/>
      <c r="BZ16" s="797"/>
      <c r="CA16" s="797"/>
      <c r="CB16" s="797"/>
      <c r="CC16" s="797"/>
      <c r="CD16" s="797"/>
      <c r="CE16" s="797"/>
      <c r="CF16" s="797"/>
      <c r="CG16" s="797"/>
      <c r="CH16" s="797"/>
      <c r="CI16" s="797"/>
      <c r="CJ16" s="797"/>
      <c r="CK16" s="797"/>
      <c r="CL16" s="797"/>
      <c r="CM16" s="797"/>
      <c r="CN16" s="797"/>
      <c r="CO16" s="797"/>
      <c r="CP16" s="797"/>
      <c r="CQ16" s="797"/>
      <c r="CR16" s="797"/>
      <c r="CS16" s="797"/>
      <c r="CV16" s="797"/>
      <c r="CW16" s="797"/>
      <c r="CX16" s="797"/>
      <c r="CY16" s="797"/>
      <c r="CZ16" s="797"/>
      <c r="DA16" s="797"/>
      <c r="DB16" s="797"/>
      <c r="DC16" s="797"/>
      <c r="DD16" s="797"/>
      <c r="DE16" s="797"/>
      <c r="DF16" s="797"/>
      <c r="DG16" s="797"/>
      <c r="DH16" s="797"/>
      <c r="DI16" s="797"/>
      <c r="DJ16" s="797"/>
      <c r="DK16" s="797"/>
      <c r="DL16" s="797"/>
      <c r="DM16" s="797"/>
      <c r="DN16" s="797"/>
      <c r="DO16" s="797"/>
      <c r="DP16" s="797"/>
      <c r="DQ16" s="797"/>
      <c r="DR16" s="797"/>
      <c r="DS16" s="797"/>
      <c r="DT16" s="797"/>
      <c r="DU16" s="797"/>
      <c r="DV16" s="797"/>
      <c r="DW16" s="797"/>
      <c r="DX16" s="797"/>
      <c r="DY16" s="797"/>
      <c r="DZ16" s="797"/>
      <c r="EA16" s="797"/>
      <c r="EB16" s="797"/>
      <c r="EC16" s="797"/>
      <c r="ED16" s="797"/>
      <c r="EE16" s="797"/>
      <c r="EF16" s="797"/>
      <c r="EG16" s="797"/>
      <c r="EH16" s="797"/>
      <c r="EI16" s="797"/>
      <c r="EJ16" s="797"/>
      <c r="EK16" s="797"/>
      <c r="EL16" s="797"/>
      <c r="EM16" s="797"/>
      <c r="EN16" s="797"/>
      <c r="EP16" s="216"/>
      <c r="EX16" s="809"/>
      <c r="FA16" s="803"/>
      <c r="FB16" s="803"/>
      <c r="FC16" s="803"/>
      <c r="FD16" s="803"/>
      <c r="FE16" s="803"/>
      <c r="FF16" s="803"/>
      <c r="FG16" s="803"/>
      <c r="FH16" s="803"/>
      <c r="FI16" s="803"/>
      <c r="FJ16" s="803"/>
      <c r="FK16" s="799"/>
      <c r="FL16" s="799"/>
      <c r="FM16" s="799"/>
      <c r="FN16" s="799"/>
      <c r="FO16" s="799"/>
      <c r="FP16" s="799"/>
    </row>
    <row r="17" spans="1:183" s="216" customFormat="1" ht="15" customHeight="1" outlineLevel="1">
      <c r="A17" s="1005"/>
      <c r="B17" s="1005"/>
      <c r="C17" s="1006"/>
      <c r="D17" s="235"/>
      <c r="E17" s="235">
        <v>102020</v>
      </c>
      <c r="F17" s="268"/>
      <c r="G17" s="199" t="s">
        <v>783</v>
      </c>
      <c r="H17" s="200" t="s">
        <v>62</v>
      </c>
      <c r="I17" s="201" t="s">
        <v>11</v>
      </c>
      <c r="J17" s="203">
        <v>4002.28</v>
      </c>
      <c r="K17" s="203">
        <v>370</v>
      </c>
      <c r="L17" s="836">
        <f t="shared" ref="L17" si="260">+J17+K17</f>
        <v>4372.2800000000007</v>
      </c>
      <c r="M17" s="203">
        <v>9</v>
      </c>
      <c r="N17" s="270">
        <v>0.5</v>
      </c>
      <c r="O17" s="270">
        <v>0.3</v>
      </c>
      <c r="P17" s="270">
        <v>0.2</v>
      </c>
      <c r="Q17" s="270">
        <v>0</v>
      </c>
      <c r="R17" s="270">
        <v>0</v>
      </c>
      <c r="S17" s="270">
        <f t="shared" ref="S17" si="261">SUM(N17:R17)</f>
        <v>1</v>
      </c>
      <c r="T17" s="843" t="s">
        <v>755</v>
      </c>
      <c r="U17" s="1196"/>
      <c r="V17" s="239">
        <f t="shared" ref="V17" si="262">($J17/30/8*1.5)*U17</f>
        <v>0</v>
      </c>
      <c r="W17" s="265"/>
      <c r="X17" s="239">
        <f t="shared" ref="X17" si="263">($J17/30/8*2)*W17</f>
        <v>0</v>
      </c>
      <c r="Y17" s="265"/>
      <c r="Z17" s="239">
        <f t="shared" ref="Z17" si="264">($J17/30/8*1.5)*Y17</f>
        <v>0</v>
      </c>
      <c r="AA17" s="265"/>
      <c r="AB17" s="239">
        <f t="shared" ref="AB17" si="265">($J17/30/8*2)*AA17</f>
        <v>0</v>
      </c>
      <c r="AC17" s="265"/>
      <c r="AD17" s="239">
        <f t="shared" ref="AD17" si="266">(($J17/30/8)*1.5)*AC17</f>
        <v>0</v>
      </c>
      <c r="AE17" s="838"/>
      <c r="AF17" s="239">
        <f t="shared" ref="AF17" si="267">(($J17/30/8)*2)*AE17</f>
        <v>0</v>
      </c>
      <c r="AG17" s="838"/>
      <c r="AH17" s="239">
        <f t="shared" ref="AH17" si="268">(($J17/30/8)*1.5)*AG17</f>
        <v>0</v>
      </c>
      <c r="AI17" s="838"/>
      <c r="AJ17" s="239">
        <f t="shared" ref="AJ17" si="269">(($J17/30/8)*2)*AI17</f>
        <v>0</v>
      </c>
      <c r="AK17" s="239"/>
      <c r="AL17" s="239">
        <f t="shared" ref="AL17" si="270">(($J17/30/8)*1.5)*AK17</f>
        <v>0</v>
      </c>
      <c r="AM17" s="838"/>
      <c r="AN17" s="239">
        <f t="shared" ref="AN17" si="271">(($J17/30/8)*2)*AM17</f>
        <v>0</v>
      </c>
      <c r="AO17" s="239"/>
      <c r="AP17" s="239"/>
      <c r="AQ17" s="239"/>
      <c r="AR17" s="239"/>
      <c r="AS17" s="239"/>
      <c r="AT17" s="239"/>
      <c r="AU17" s="239"/>
      <c r="AV17" s="239"/>
      <c r="AW17" s="239"/>
      <c r="AX17" s="239"/>
      <c r="AY17" s="239"/>
      <c r="AZ17" s="996"/>
      <c r="BA17" s="239">
        <f t="shared" ref="BA17" si="272">((J17/30)*M17)*$N17</f>
        <v>600.34199999999998</v>
      </c>
      <c r="BB17" s="239">
        <f>((K17/30)*M17)*$N17</f>
        <v>55.5</v>
      </c>
      <c r="BC17" s="239">
        <f t="shared" ref="BC17" si="273">U17</f>
        <v>0</v>
      </c>
      <c r="BD17" s="239">
        <f t="shared" ref="BD17" si="274">V17</f>
        <v>0</v>
      </c>
      <c r="BE17" s="239">
        <f t="shared" ref="BE17" si="275">W17</f>
        <v>0</v>
      </c>
      <c r="BF17" s="239">
        <f t="shared" ref="BF17" si="276">X17</f>
        <v>0</v>
      </c>
      <c r="BG17" s="239">
        <f t="shared" ref="BG17" si="277">AO17+AT17</f>
        <v>0</v>
      </c>
      <c r="BH17" s="203">
        <f t="shared" ref="BH17" si="278">(BA17+BD17+BF17+BG17)*0.1267</f>
        <v>76.063331399999996</v>
      </c>
      <c r="BI17" s="239">
        <f t="shared" ref="BI17" si="279">SUM(BA17:BH17)-BC17-BE17</f>
        <v>731.90533140000002</v>
      </c>
      <c r="BJ17" s="239">
        <f t="shared" ref="BJ17" si="280">(($J17/30)*$M17)*$O17</f>
        <v>360.20519999999999</v>
      </c>
      <c r="BK17" s="210">
        <f>(($K17/30)*$M17)*$O17</f>
        <v>33.299999999999997</v>
      </c>
      <c r="BL17" s="210">
        <f t="shared" ref="BL17" si="281">Y17</f>
        <v>0</v>
      </c>
      <c r="BM17" s="210">
        <f t="shared" ref="BM17" si="282">Z17</f>
        <v>0</v>
      </c>
      <c r="BN17" s="210">
        <f t="shared" ref="BN17" si="283">AA17</f>
        <v>0</v>
      </c>
      <c r="BO17" s="210">
        <f t="shared" ref="BO17" si="284">AB17</f>
        <v>0</v>
      </c>
      <c r="BP17" s="210">
        <f t="shared" ref="BP17" si="285">AP17+AU17</f>
        <v>0</v>
      </c>
      <c r="BQ17" s="210">
        <f t="shared" ref="BQ17" si="286">(+BJ17+BM17+BO17+BP17)*0.1267</f>
        <v>45.637998840000002</v>
      </c>
      <c r="BR17" s="211">
        <f t="shared" ref="BR17" si="287">SUM(BJ17:BQ17)-BL17-BN17</f>
        <v>439.14319884000003</v>
      </c>
      <c r="BS17" s="210">
        <f t="shared" ref="BS17" si="288">(($J17/30)*$M17)*$P17</f>
        <v>240.13679999999999</v>
      </c>
      <c r="BT17" s="210">
        <f t="shared" ref="BT17" si="289">(($K17/30)*$M17)*$P17</f>
        <v>22.200000000000003</v>
      </c>
      <c r="BU17" s="210">
        <f t="shared" ref="BU17" si="290">AC17</f>
        <v>0</v>
      </c>
      <c r="BV17" s="210">
        <f t="shared" ref="BV17" si="291">AD17</f>
        <v>0</v>
      </c>
      <c r="BW17" s="210">
        <f t="shared" ref="BW17" si="292">AE17</f>
        <v>0</v>
      </c>
      <c r="BX17" s="210">
        <f t="shared" ref="BX17" si="293">AF17</f>
        <v>0</v>
      </c>
      <c r="BY17" s="210">
        <f t="shared" ref="BY17" si="294">AQ17+AV17</f>
        <v>0</v>
      </c>
      <c r="BZ17" s="210">
        <f>(BS17+BV17+BX17)*0.09</f>
        <v>21.612311999999999</v>
      </c>
      <c r="CA17" s="210">
        <f t="shared" ref="CA17" si="295">SUM(BS17:BZ17)-BU17-BW17</f>
        <v>283.94911199999996</v>
      </c>
      <c r="CB17" s="1197">
        <f t="shared" ref="CB17" si="296">(($J17/30)*$M17)*$Q17</f>
        <v>0</v>
      </c>
      <c r="CC17" s="1198">
        <f t="shared" ref="CC17" si="297">(($K17/30)*$M17)*$Q17</f>
        <v>0</v>
      </c>
      <c r="CD17" s="1198">
        <f t="shared" ref="CD17" si="298">AG17</f>
        <v>0</v>
      </c>
      <c r="CE17" s="1198">
        <f>AH17</f>
        <v>0</v>
      </c>
      <c r="CF17" s="1198">
        <f t="shared" ref="CF17" si="299">AI17</f>
        <v>0</v>
      </c>
      <c r="CG17" s="1198">
        <f t="shared" ref="CG17" si="300">AJ17</f>
        <v>0</v>
      </c>
      <c r="CH17" s="1198">
        <f t="shared" ref="CH17" si="301">AR17+AW17</f>
        <v>0</v>
      </c>
      <c r="CI17" s="1199">
        <f>(CB17+CE17+CG17)*0.09</f>
        <v>0</v>
      </c>
      <c r="CJ17" s="1200">
        <f t="shared" ref="CJ17" si="302">SUM(CB17:CI17)-CD17-CF17</f>
        <v>0</v>
      </c>
      <c r="CK17" s="1201">
        <f t="shared" ref="CK17" si="303">(($J17/30)*$M17)*R17</f>
        <v>0</v>
      </c>
      <c r="CL17" s="1198">
        <f t="shared" ref="CL17" si="304">(($K17/30)*$M17)*$R17</f>
        <v>0</v>
      </c>
      <c r="CM17" s="1198">
        <f t="shared" ref="CM17" si="305">+AK17</f>
        <v>0</v>
      </c>
      <c r="CN17" s="1198">
        <f t="shared" ref="CN17" si="306">AL17</f>
        <v>0</v>
      </c>
      <c r="CO17" s="1198">
        <f t="shared" ref="CO17" si="307">AM17</f>
        <v>0</v>
      </c>
      <c r="CP17" s="1198">
        <f t="shared" ref="CP17" si="308">AN17</f>
        <v>0</v>
      </c>
      <c r="CQ17" s="1198">
        <f t="shared" ref="CQ17" si="309">AS17+AX17</f>
        <v>0</v>
      </c>
      <c r="CR17" s="1199">
        <f>(CK17+CN17+CP17)*0.09</f>
        <v>0</v>
      </c>
      <c r="CS17" s="1199">
        <f t="shared" ref="CS17" si="310">SUM(CK17:CR17)-CM17-CO17</f>
        <v>0</v>
      </c>
      <c r="CT17" s="843"/>
      <c r="CU17" s="201" t="s">
        <v>11</v>
      </c>
      <c r="CV17" s="210">
        <f t="shared" ref="CV17" si="311">IF($CU17="PROQUIMA",$BA17+$BJ17+$BS17+$CB17+$CK17,0)</f>
        <v>0</v>
      </c>
      <c r="CW17" s="210">
        <f t="shared" ref="CW17" si="312">IF($CU17="PROQUIMA",$BB17+$BK17+$BT17+$CC17+$CL17,0)</f>
        <v>0</v>
      </c>
      <c r="CX17" s="210">
        <f t="shared" ref="CX17" si="313">IF($CU17="PROQUIMA",$BC17+$BL17+$BU17+$CD17+$CM17,0)</f>
        <v>0</v>
      </c>
      <c r="CY17" s="210">
        <f t="shared" ref="CY17" si="314">IF($CU17="PROQUIMA",$BD17+$BM17+$BV17+$CE17+$CN17,0)</f>
        <v>0</v>
      </c>
      <c r="CZ17" s="210">
        <f t="shared" ref="CZ17" si="315">IF($CU17="PROQUIMA",$BE17+$BN17+$BW17+$CF17+$CO17,0)</f>
        <v>0</v>
      </c>
      <c r="DA17" s="210">
        <f t="shared" ref="DA17" si="316">IF($CU17="PROQUIMA",$BF17+$BO17+$BX17+$CG17+$CP17,0)</f>
        <v>0</v>
      </c>
      <c r="DB17" s="210">
        <f t="shared" ref="DB17" si="317">IF($CU17="PROQUIMA",$BG17+$BP17+$BY17+$CH17+$CQ17,0)</f>
        <v>0</v>
      </c>
      <c r="DC17" s="210">
        <f t="shared" ref="DC17" si="318">IF($CU17="PROQUIMA",$BH17+$BQ17+$BZ17+$CI17+CR17,0)</f>
        <v>0</v>
      </c>
      <c r="DD17" s="210">
        <f t="shared" ref="DD17" si="319">SUM(CV17:DC17)-CX17-CZ17</f>
        <v>0</v>
      </c>
      <c r="DE17" s="210">
        <f t="shared" ref="DE17" si="320">IF($CU17="UNHESA",$BA17+$BJ17+$BS17+$CB17+$CK17,0)</f>
        <v>0</v>
      </c>
      <c r="DF17" s="210">
        <f t="shared" ref="DF17" si="321">IF($CU17="UNHESA",$BB17+$BK17+$BT17+$CC17+$CL17,0)</f>
        <v>0</v>
      </c>
      <c r="DG17" s="210">
        <f t="shared" ref="DG17" si="322">IF($CU17="UNHESA",$BC17+$BL17+$BU17+$CD17+$CM17,0)</f>
        <v>0</v>
      </c>
      <c r="DH17" s="210">
        <f t="shared" ref="DH17" si="323">IF($CU17="UNHESA",$BD17+$BM17+$BV17+$CE17+$CN17,0)</f>
        <v>0</v>
      </c>
      <c r="DI17" s="210">
        <f t="shared" ref="DI17" si="324">IF($CU17="UNHESA",$BE17+$BN17+$BW17+$CF17+$CO17,0)</f>
        <v>0</v>
      </c>
      <c r="DJ17" s="210">
        <f t="shared" ref="DJ17" si="325">IF($CU17="UNHESA",$BF17+$BO17+$BX17+$CG17+$CP17,0)</f>
        <v>0</v>
      </c>
      <c r="DK17" s="210">
        <f t="shared" ref="DK17" si="326">IF($CU17="UNHESA",$BG17+$BP17+$BY17+$CH17+$CQ17,0)</f>
        <v>0</v>
      </c>
      <c r="DL17" s="210">
        <f t="shared" ref="DL17" si="327">IF($CU17="UNHESA",$BH17+$BQ17+$BZ17+$CI17+$CR17,0)</f>
        <v>0</v>
      </c>
      <c r="DM17" s="210">
        <f t="shared" ref="DM17" si="328">SUM(DE17:DL17)-DG17-DI17</f>
        <v>0</v>
      </c>
      <c r="DN17" s="210">
        <f t="shared" ref="DN17" si="329">IF($CU17="UNHESA LIQUIDOS",$BA17+$BJ17+$BS17+$CB17+$CK17,0)</f>
        <v>0</v>
      </c>
      <c r="DO17" s="210">
        <f t="shared" ref="DO17" si="330">IF($CU17="CALIDUL",$BB17+$BK17+$BT17+$CC17+$CL17,0)</f>
        <v>0</v>
      </c>
      <c r="DP17" s="210">
        <f t="shared" ref="DP17" si="331">IF($CU17="CALIDUL",$BC17+$BL17+$BU17+$CD17+$CM17,0)</f>
        <v>0</v>
      </c>
      <c r="DQ17" s="210">
        <f t="shared" ref="DQ17" si="332">IF($CU17="CALIDUL",$BD17+$BM17+$BV17+$CE17+$CN17,0)</f>
        <v>0</v>
      </c>
      <c r="DR17" s="210">
        <f t="shared" ref="DR17" si="333">IF($CU17="CALIDUL",$BE17+$BN17+$BW17+$CF17+$CO17,0)</f>
        <v>0</v>
      </c>
      <c r="DS17" s="210">
        <f t="shared" ref="DS17" si="334">IF($CU17="CALIDUL",$BF17+$BO17+$BX17+$CG17+$CP17,0)</f>
        <v>0</v>
      </c>
      <c r="DT17" s="210">
        <f t="shared" ref="DT17" si="335">IF($CU17="CALIDUL",$BG17+$BP17+$BY17+$CH17+$CQ17,0)</f>
        <v>0</v>
      </c>
      <c r="DU17" s="210">
        <f t="shared" ref="DU17" si="336">IF($CU17="CALIDUL",$BH17+$BQ17+$BZ17+$CI17+$CR17,0)</f>
        <v>0</v>
      </c>
      <c r="DV17" s="210">
        <f t="shared" ref="DV17" si="337">SUM(DN17:DU17)-DP17-DR17</f>
        <v>0</v>
      </c>
      <c r="DW17" s="1202">
        <f t="shared" ref="DW17:EE17" si="338">IF($CU17="CLEARTEC",$BA17+$BJ17+$BS17+$CB17+$CK17,0)</f>
        <v>0</v>
      </c>
      <c r="DX17" s="1202">
        <f t="shared" si="338"/>
        <v>0</v>
      </c>
      <c r="DY17" s="1202">
        <f t="shared" si="338"/>
        <v>0</v>
      </c>
      <c r="DZ17" s="1202">
        <f t="shared" si="338"/>
        <v>0</v>
      </c>
      <c r="EA17" s="1202">
        <f t="shared" si="338"/>
        <v>0</v>
      </c>
      <c r="EB17" s="1202">
        <f t="shared" si="338"/>
        <v>0</v>
      </c>
      <c r="EC17" s="1202">
        <f t="shared" si="338"/>
        <v>0</v>
      </c>
      <c r="ED17" s="1202">
        <f t="shared" si="338"/>
        <v>0</v>
      </c>
      <c r="EE17" s="1202">
        <f t="shared" si="338"/>
        <v>0</v>
      </c>
      <c r="EF17" s="203">
        <f t="shared" ref="EF17" si="339">IF(CU17="ECONACIONAL",$BA17+$BJ17+$BS17+$CB17+$CK17)</f>
        <v>1200.684</v>
      </c>
      <c r="EG17" s="242">
        <f t="shared" ref="EG17" si="340">IF($CU17="ECONACIONAL",$BB17+$BK17+$BT17+$CC17+$CL17,0)</f>
        <v>111</v>
      </c>
      <c r="EH17" s="203">
        <f t="shared" ref="EH17" si="341">IF(CU17="ECONACIONAL",$BC17+$BL17+$BU17+$CD17+$CM17)</f>
        <v>0</v>
      </c>
      <c r="EI17" s="203">
        <f t="shared" ref="EI17" si="342">IF(CU17="ECONACIONAL",$BD17+$DH17+$DQ17+$DZ17+BM17+BV17+CE17+CN17)</f>
        <v>0</v>
      </c>
      <c r="EJ17" s="242">
        <f t="shared" ref="EJ17" si="343">IF($CU17="CLEARTEC",$BE17+$BN17+$BW17+$CF17+$CO17,0)</f>
        <v>0</v>
      </c>
      <c r="EK17" s="203">
        <f t="shared" ref="EK17" si="344">IF(CU17="ECONACIONAL",$BF17+$BO17+$BX17+$CG17+$CP17)</f>
        <v>0</v>
      </c>
      <c r="EL17" s="203">
        <f t="shared" ref="EL17" si="345">IF(CU17="ECONACIONAL",$BG17+$BP17+$BY17+$CH17+$CQ17)</f>
        <v>0</v>
      </c>
      <c r="EM17" s="203">
        <f t="shared" ref="EM17" si="346">IF(CU17="ECONACIONAL",BH17+BQ17+BZ17+CI17+CR17)</f>
        <v>143.31364224000001</v>
      </c>
      <c r="EN17" s="203">
        <f t="shared" ref="EN17" si="347">SUM(EF17:EM17)-EH17-EJ17</f>
        <v>1454.99764224</v>
      </c>
      <c r="EO17" s="843"/>
      <c r="EP17" s="786"/>
      <c r="EQ17" s="786"/>
      <c r="ER17" s="851"/>
      <c r="ES17" s="851"/>
      <c r="ET17" s="201"/>
      <c r="EU17" s="201"/>
      <c r="EV17" s="201"/>
      <c r="EW17" s="851"/>
      <c r="EX17" s="851"/>
      <c r="EY17" s="201">
        <f t="shared" ref="EY17" si="348">+ET17+EU17+EV17</f>
        <v>0</v>
      </c>
      <c r="EZ17" s="843"/>
      <c r="FA17" s="1196">
        <f t="shared" ref="FA17" si="349">IF($M17&lt;=15,EP17/2,EP17)</f>
        <v>0</v>
      </c>
      <c r="FB17" s="1196">
        <f t="shared" ref="FB17" si="350">IF($M17&lt;=15,EQ17/2,EQ17)</f>
        <v>0</v>
      </c>
      <c r="FC17" s="1196">
        <f t="shared" ref="FC17" si="351">IF($M17&lt;=15,ER17/2,ER17)</f>
        <v>0</v>
      </c>
      <c r="FD17" s="1196">
        <f t="shared" ref="FD17" si="352">IF($M17&lt;=15,ES17/2,ES17)</f>
        <v>0</v>
      </c>
      <c r="FE17" s="1196">
        <f t="shared" ref="FE17" si="353">IF($M17&lt;=15,ET17/2,ET17)</f>
        <v>0</v>
      </c>
      <c r="FF17" s="1196">
        <f t="shared" ref="FF17" si="354">IF($M17&lt;=15,EU17/2,EU17)</f>
        <v>0</v>
      </c>
      <c r="FG17" s="1196">
        <f t="shared" ref="FG17" si="355">IF($M17&lt;=15,EV17/2,EV17)</f>
        <v>0</v>
      </c>
      <c r="FH17" s="1196">
        <f t="shared" ref="FH17" si="356">IF($M17&lt;=15,EW17/2,EW17)</f>
        <v>0</v>
      </c>
      <c r="FI17" s="1196">
        <f t="shared" ref="FI17" si="357">IF($M17&lt;=15,EX17/2,EX17)</f>
        <v>0</v>
      </c>
      <c r="FJ17" s="1196">
        <f t="shared" ref="FJ17" si="358">IF($M17&lt;=15,EY17/2,EY17)</f>
        <v>0</v>
      </c>
      <c r="FK17" s="218">
        <v>0.5</v>
      </c>
      <c r="FL17" s="218">
        <v>0.5</v>
      </c>
      <c r="FM17" s="218">
        <v>0</v>
      </c>
      <c r="FN17" s="218">
        <v>0</v>
      </c>
      <c r="FO17" s="218">
        <v>0</v>
      </c>
      <c r="FP17" s="218">
        <v>1</v>
      </c>
      <c r="FQ17" s="843"/>
      <c r="FR17" s="1184">
        <f t="shared" ref="FR17" si="359">(((J17/30/8)*1.5)*(U17+Y17+AC17))-(BD17+BM17+BV17)</f>
        <v>0</v>
      </c>
      <c r="FS17" s="1184">
        <f t="shared" ref="FS17" si="360">(((J17/30/8)*2)*(W17+AA17+AE17))-(BF17+BO17+BX17)</f>
        <v>0</v>
      </c>
      <c r="FT17" s="1185">
        <f t="shared" ref="FT17" si="361">(SUM(BA17:CJ17))-(SUM(EF17:EN17))</f>
        <v>0</v>
      </c>
      <c r="FU17" s="1184">
        <f t="shared" ref="FU17" si="362">(J17/30*M17)-(EF17)</f>
        <v>0</v>
      </c>
      <c r="FV17" s="1186">
        <f t="shared" ref="FV17" si="363">(SUM(EP17:EY17))-((SUM(FA17:FJ17))*$FV$5)</f>
        <v>0</v>
      </c>
      <c r="FW17" s="843"/>
      <c r="FX17" s="843"/>
      <c r="FY17" s="843"/>
      <c r="FZ17" s="843"/>
      <c r="GA17" s="843"/>
    </row>
    <row r="18" spans="1:183" s="822" customFormat="1" ht="15.75" customHeight="1" outlineLevel="1">
      <c r="A18" s="1001"/>
      <c r="B18" s="1001"/>
      <c r="C18" s="1012"/>
      <c r="D18" s="814"/>
      <c r="E18" s="814"/>
      <c r="F18" s="814"/>
      <c r="G18" s="723"/>
      <c r="H18" s="717" t="s">
        <v>130</v>
      </c>
      <c r="I18" s="809"/>
      <c r="J18" s="823">
        <f>+J17</f>
        <v>4002.28</v>
      </c>
      <c r="K18" s="823">
        <f t="shared" ref="K18:L18" si="364">+K17</f>
        <v>370</v>
      </c>
      <c r="L18" s="823">
        <f t="shared" si="364"/>
        <v>4372.2800000000007</v>
      </c>
      <c r="N18" s="1013"/>
      <c r="O18" s="809"/>
      <c r="P18" s="809"/>
      <c r="Q18" s="809"/>
      <c r="R18" s="809"/>
      <c r="S18" s="809"/>
      <c r="T18" s="834"/>
      <c r="U18" s="823">
        <f t="shared" ref="U18:AZ18" si="365">+U17</f>
        <v>0</v>
      </c>
      <c r="V18" s="823">
        <f t="shared" si="365"/>
        <v>0</v>
      </c>
      <c r="W18" s="823">
        <f t="shared" si="365"/>
        <v>0</v>
      </c>
      <c r="X18" s="823">
        <f t="shared" si="365"/>
        <v>0</v>
      </c>
      <c r="Y18" s="823">
        <f t="shared" si="365"/>
        <v>0</v>
      </c>
      <c r="Z18" s="823">
        <f t="shared" si="365"/>
        <v>0</v>
      </c>
      <c r="AA18" s="823">
        <f t="shared" si="365"/>
        <v>0</v>
      </c>
      <c r="AB18" s="823">
        <f t="shared" si="365"/>
        <v>0</v>
      </c>
      <c r="AC18" s="823">
        <f t="shared" si="365"/>
        <v>0</v>
      </c>
      <c r="AD18" s="823">
        <f t="shared" si="365"/>
        <v>0</v>
      </c>
      <c r="AE18" s="823">
        <f t="shared" si="365"/>
        <v>0</v>
      </c>
      <c r="AF18" s="823">
        <f t="shared" si="365"/>
        <v>0</v>
      </c>
      <c r="AG18" s="823">
        <f t="shared" si="365"/>
        <v>0</v>
      </c>
      <c r="AH18" s="823">
        <f t="shared" si="365"/>
        <v>0</v>
      </c>
      <c r="AI18" s="823">
        <f t="shared" si="365"/>
        <v>0</v>
      </c>
      <c r="AJ18" s="823">
        <f t="shared" si="365"/>
        <v>0</v>
      </c>
      <c r="AK18" s="823">
        <f t="shared" si="365"/>
        <v>0</v>
      </c>
      <c r="AL18" s="823">
        <f t="shared" si="365"/>
        <v>0</v>
      </c>
      <c r="AM18" s="823">
        <f t="shared" si="365"/>
        <v>0</v>
      </c>
      <c r="AN18" s="823">
        <f t="shared" si="365"/>
        <v>0</v>
      </c>
      <c r="AO18" s="823">
        <f t="shared" si="365"/>
        <v>0</v>
      </c>
      <c r="AP18" s="823">
        <f t="shared" si="365"/>
        <v>0</v>
      </c>
      <c r="AQ18" s="823">
        <f t="shared" si="365"/>
        <v>0</v>
      </c>
      <c r="AR18" s="823">
        <f t="shared" si="365"/>
        <v>0</v>
      </c>
      <c r="AS18" s="823">
        <f t="shared" si="365"/>
        <v>0</v>
      </c>
      <c r="AT18" s="823">
        <f t="shared" si="365"/>
        <v>0</v>
      </c>
      <c r="AU18" s="823">
        <f t="shared" si="365"/>
        <v>0</v>
      </c>
      <c r="AV18" s="823">
        <f t="shared" si="365"/>
        <v>0</v>
      </c>
      <c r="AW18" s="823">
        <f t="shared" si="365"/>
        <v>0</v>
      </c>
      <c r="AX18" s="823">
        <f t="shared" si="365"/>
        <v>0</v>
      </c>
      <c r="AY18" s="823">
        <f t="shared" si="365"/>
        <v>0</v>
      </c>
      <c r="AZ18" s="823">
        <f t="shared" si="365"/>
        <v>0</v>
      </c>
      <c r="BA18" s="823">
        <f>SUM(BA17)</f>
        <v>600.34199999999998</v>
      </c>
      <c r="BB18" s="823">
        <f t="shared" ref="BB18:CS18" si="366">SUM(BB17)</f>
        <v>55.5</v>
      </c>
      <c r="BC18" s="823">
        <f t="shared" si="366"/>
        <v>0</v>
      </c>
      <c r="BD18" s="823">
        <f t="shared" si="366"/>
        <v>0</v>
      </c>
      <c r="BE18" s="823">
        <f t="shared" si="366"/>
        <v>0</v>
      </c>
      <c r="BF18" s="823">
        <f t="shared" si="366"/>
        <v>0</v>
      </c>
      <c r="BG18" s="823">
        <f t="shared" si="366"/>
        <v>0</v>
      </c>
      <c r="BH18" s="823">
        <f t="shared" si="366"/>
        <v>76.063331399999996</v>
      </c>
      <c r="BI18" s="823">
        <f t="shared" si="366"/>
        <v>731.90533140000002</v>
      </c>
      <c r="BJ18" s="823">
        <f t="shared" si="366"/>
        <v>360.20519999999999</v>
      </c>
      <c r="BK18" s="823">
        <f t="shared" si="366"/>
        <v>33.299999999999997</v>
      </c>
      <c r="BL18" s="823">
        <f t="shared" si="366"/>
        <v>0</v>
      </c>
      <c r="BM18" s="823">
        <f t="shared" si="366"/>
        <v>0</v>
      </c>
      <c r="BN18" s="823">
        <f t="shared" si="366"/>
        <v>0</v>
      </c>
      <c r="BO18" s="823">
        <f t="shared" si="366"/>
        <v>0</v>
      </c>
      <c r="BP18" s="823">
        <f t="shared" si="366"/>
        <v>0</v>
      </c>
      <c r="BQ18" s="823">
        <f t="shared" si="366"/>
        <v>45.637998840000002</v>
      </c>
      <c r="BR18" s="823">
        <f t="shared" si="366"/>
        <v>439.14319884000003</v>
      </c>
      <c r="BS18" s="823">
        <f t="shared" si="366"/>
        <v>240.13679999999999</v>
      </c>
      <c r="BT18" s="823">
        <f t="shared" si="366"/>
        <v>22.200000000000003</v>
      </c>
      <c r="BU18" s="823">
        <f t="shared" si="366"/>
        <v>0</v>
      </c>
      <c r="BV18" s="823">
        <f t="shared" si="366"/>
        <v>0</v>
      </c>
      <c r="BW18" s="823">
        <f t="shared" si="366"/>
        <v>0</v>
      </c>
      <c r="BX18" s="823">
        <f t="shared" si="366"/>
        <v>0</v>
      </c>
      <c r="BY18" s="823">
        <f t="shared" si="366"/>
        <v>0</v>
      </c>
      <c r="BZ18" s="823">
        <f t="shared" si="366"/>
        <v>21.612311999999999</v>
      </c>
      <c r="CA18" s="823">
        <f t="shared" si="366"/>
        <v>283.94911199999996</v>
      </c>
      <c r="CB18" s="823">
        <f t="shared" si="366"/>
        <v>0</v>
      </c>
      <c r="CC18" s="823">
        <f t="shared" si="366"/>
        <v>0</v>
      </c>
      <c r="CD18" s="823">
        <f t="shared" si="366"/>
        <v>0</v>
      </c>
      <c r="CE18" s="823">
        <f t="shared" si="366"/>
        <v>0</v>
      </c>
      <c r="CF18" s="823">
        <f t="shared" si="366"/>
        <v>0</v>
      </c>
      <c r="CG18" s="823">
        <f t="shared" si="366"/>
        <v>0</v>
      </c>
      <c r="CH18" s="823">
        <f t="shared" si="366"/>
        <v>0</v>
      </c>
      <c r="CI18" s="823">
        <f t="shared" si="366"/>
        <v>0</v>
      </c>
      <c r="CJ18" s="823">
        <f t="shared" si="366"/>
        <v>0</v>
      </c>
      <c r="CK18" s="823">
        <f t="shared" si="366"/>
        <v>0</v>
      </c>
      <c r="CL18" s="823">
        <f t="shared" si="366"/>
        <v>0</v>
      </c>
      <c r="CM18" s="823">
        <f t="shared" si="366"/>
        <v>0</v>
      </c>
      <c r="CN18" s="823">
        <f t="shared" si="366"/>
        <v>0</v>
      </c>
      <c r="CO18" s="823">
        <f t="shared" si="366"/>
        <v>0</v>
      </c>
      <c r="CP18" s="823">
        <f t="shared" si="366"/>
        <v>0</v>
      </c>
      <c r="CQ18" s="823">
        <f t="shared" si="366"/>
        <v>0</v>
      </c>
      <c r="CR18" s="823">
        <f t="shared" si="366"/>
        <v>0</v>
      </c>
      <c r="CS18" s="823">
        <f t="shared" si="366"/>
        <v>0</v>
      </c>
      <c r="CT18" s="823">
        <f t="shared" ref="CT18:ER18" si="367">+CT17</f>
        <v>0</v>
      </c>
      <c r="CU18" s="823" t="str">
        <f t="shared" si="367"/>
        <v>ECONACIONAL</v>
      </c>
      <c r="CV18" s="823">
        <f t="shared" si="367"/>
        <v>0</v>
      </c>
      <c r="CW18" s="823">
        <f t="shared" si="367"/>
        <v>0</v>
      </c>
      <c r="CX18" s="823">
        <f t="shared" si="367"/>
        <v>0</v>
      </c>
      <c r="CY18" s="823">
        <f t="shared" si="367"/>
        <v>0</v>
      </c>
      <c r="CZ18" s="823">
        <f t="shared" si="367"/>
        <v>0</v>
      </c>
      <c r="DA18" s="823">
        <f t="shared" si="367"/>
        <v>0</v>
      </c>
      <c r="DB18" s="823">
        <f t="shared" si="367"/>
        <v>0</v>
      </c>
      <c r="DC18" s="823">
        <f t="shared" si="367"/>
        <v>0</v>
      </c>
      <c r="DD18" s="823">
        <f t="shared" si="367"/>
        <v>0</v>
      </c>
      <c r="DE18" s="823">
        <f t="shared" si="367"/>
        <v>0</v>
      </c>
      <c r="DF18" s="823">
        <f t="shared" si="367"/>
        <v>0</v>
      </c>
      <c r="DG18" s="823">
        <f t="shared" si="367"/>
        <v>0</v>
      </c>
      <c r="DH18" s="823">
        <f t="shared" si="367"/>
        <v>0</v>
      </c>
      <c r="DI18" s="823">
        <f t="shared" si="367"/>
        <v>0</v>
      </c>
      <c r="DJ18" s="823">
        <f t="shared" si="367"/>
        <v>0</v>
      </c>
      <c r="DK18" s="823">
        <f t="shared" si="367"/>
        <v>0</v>
      </c>
      <c r="DL18" s="823">
        <f t="shared" si="367"/>
        <v>0</v>
      </c>
      <c r="DM18" s="823">
        <f t="shared" si="367"/>
        <v>0</v>
      </c>
      <c r="DN18" s="823">
        <f t="shared" si="367"/>
        <v>0</v>
      </c>
      <c r="DO18" s="823">
        <f t="shared" si="367"/>
        <v>0</v>
      </c>
      <c r="DP18" s="823">
        <f t="shared" si="367"/>
        <v>0</v>
      </c>
      <c r="DQ18" s="823">
        <f t="shared" si="367"/>
        <v>0</v>
      </c>
      <c r="DR18" s="823">
        <f t="shared" si="367"/>
        <v>0</v>
      </c>
      <c r="DS18" s="823">
        <f t="shared" si="367"/>
        <v>0</v>
      </c>
      <c r="DT18" s="823">
        <f t="shared" si="367"/>
        <v>0</v>
      </c>
      <c r="DU18" s="823">
        <f t="shared" si="367"/>
        <v>0</v>
      </c>
      <c r="DV18" s="823">
        <f t="shared" si="367"/>
        <v>0</v>
      </c>
      <c r="DW18" s="823">
        <f t="shared" si="367"/>
        <v>0</v>
      </c>
      <c r="DX18" s="823">
        <f t="shared" si="367"/>
        <v>0</v>
      </c>
      <c r="DY18" s="823">
        <f t="shared" si="367"/>
        <v>0</v>
      </c>
      <c r="DZ18" s="823">
        <f t="shared" si="367"/>
        <v>0</v>
      </c>
      <c r="EA18" s="823">
        <f t="shared" si="367"/>
        <v>0</v>
      </c>
      <c r="EB18" s="823">
        <f t="shared" si="367"/>
        <v>0</v>
      </c>
      <c r="EC18" s="823">
        <f t="shared" si="367"/>
        <v>0</v>
      </c>
      <c r="ED18" s="823">
        <f t="shared" si="367"/>
        <v>0</v>
      </c>
      <c r="EE18" s="823">
        <f t="shared" si="367"/>
        <v>0</v>
      </c>
      <c r="EF18" s="823">
        <f t="shared" si="367"/>
        <v>1200.684</v>
      </c>
      <c r="EG18" s="823">
        <f t="shared" si="367"/>
        <v>111</v>
      </c>
      <c r="EH18" s="823">
        <f t="shared" si="367"/>
        <v>0</v>
      </c>
      <c r="EI18" s="823">
        <f t="shared" si="367"/>
        <v>0</v>
      </c>
      <c r="EJ18" s="823">
        <f t="shared" si="367"/>
        <v>0</v>
      </c>
      <c r="EK18" s="823">
        <f t="shared" si="367"/>
        <v>0</v>
      </c>
      <c r="EL18" s="823">
        <f t="shared" si="367"/>
        <v>0</v>
      </c>
      <c r="EM18" s="823">
        <f t="shared" si="367"/>
        <v>143.31364224000001</v>
      </c>
      <c r="EN18" s="823">
        <f t="shared" si="367"/>
        <v>1454.99764224</v>
      </c>
      <c r="EO18" s="823"/>
      <c r="EP18" s="823">
        <f>+EP17</f>
        <v>0</v>
      </c>
      <c r="EQ18" s="823">
        <f t="shared" si="367"/>
        <v>0</v>
      </c>
      <c r="ER18" s="823">
        <f t="shared" si="367"/>
        <v>0</v>
      </c>
      <c r="ES18" s="823">
        <f t="shared" ref="ES18:FJ18" si="368">+ES17</f>
        <v>0</v>
      </c>
      <c r="ET18" s="823">
        <f t="shared" si="368"/>
        <v>0</v>
      </c>
      <c r="EU18" s="823">
        <f t="shared" si="368"/>
        <v>0</v>
      </c>
      <c r="EV18" s="823">
        <f t="shared" si="368"/>
        <v>0</v>
      </c>
      <c r="EW18" s="823">
        <f t="shared" si="368"/>
        <v>0</v>
      </c>
      <c r="EX18" s="823">
        <f t="shared" si="368"/>
        <v>0</v>
      </c>
      <c r="EY18" s="823">
        <f t="shared" si="368"/>
        <v>0</v>
      </c>
      <c r="EZ18" s="823"/>
      <c r="FA18" s="823">
        <f t="shared" si="368"/>
        <v>0</v>
      </c>
      <c r="FB18" s="823">
        <f t="shared" si="368"/>
        <v>0</v>
      </c>
      <c r="FC18" s="823">
        <f t="shared" si="368"/>
        <v>0</v>
      </c>
      <c r="FD18" s="823">
        <f t="shared" si="368"/>
        <v>0</v>
      </c>
      <c r="FE18" s="823">
        <f t="shared" si="368"/>
        <v>0</v>
      </c>
      <c r="FF18" s="823">
        <f t="shared" si="368"/>
        <v>0</v>
      </c>
      <c r="FG18" s="823">
        <f t="shared" si="368"/>
        <v>0</v>
      </c>
      <c r="FH18" s="823">
        <f t="shared" si="368"/>
        <v>0</v>
      </c>
      <c r="FI18" s="823">
        <f t="shared" si="368"/>
        <v>0</v>
      </c>
      <c r="FJ18" s="823">
        <f t="shared" si="368"/>
        <v>0</v>
      </c>
      <c r="FK18" s="858"/>
      <c r="FL18" s="858"/>
      <c r="FM18" s="858"/>
      <c r="FN18" s="858"/>
      <c r="FO18" s="858"/>
      <c r="FP18" s="858"/>
      <c r="FQ18" s="809"/>
      <c r="FR18" s="809"/>
      <c r="FS18" s="809"/>
      <c r="FT18" s="809"/>
      <c r="FU18" s="809"/>
    </row>
    <row r="19" spans="1:183" s="797" customFormat="1" ht="15.75" customHeight="1" outlineLevel="1" thickBot="1">
      <c r="A19" s="1005"/>
      <c r="B19" s="1005"/>
      <c r="C19" s="1006"/>
      <c r="D19" s="800"/>
      <c r="E19" s="800"/>
      <c r="F19" s="800"/>
      <c r="G19" s="719"/>
      <c r="H19" s="717" t="s">
        <v>63</v>
      </c>
      <c r="I19" s="778"/>
      <c r="J19" s="867">
        <f>+J12+J15+J18</f>
        <v>17006.84</v>
      </c>
      <c r="K19" s="867">
        <f>+K12+K15+K18</f>
        <v>1870</v>
      </c>
      <c r="L19" s="867">
        <f>+L12+L15+L18</f>
        <v>18876.840000000004</v>
      </c>
      <c r="N19" s="798"/>
      <c r="O19" s="778"/>
      <c r="P19" s="778"/>
      <c r="Q19" s="778"/>
      <c r="R19" s="778"/>
      <c r="S19" s="778"/>
      <c r="T19" s="780"/>
      <c r="U19" s="867">
        <f t="shared" ref="U19:AZ19" si="369">+U12+U15+U18</f>
        <v>0</v>
      </c>
      <c r="V19" s="867">
        <f t="shared" si="369"/>
        <v>0</v>
      </c>
      <c r="W19" s="867">
        <f t="shared" si="369"/>
        <v>0</v>
      </c>
      <c r="X19" s="867">
        <f t="shared" si="369"/>
        <v>0</v>
      </c>
      <c r="Y19" s="867">
        <f t="shared" si="369"/>
        <v>0</v>
      </c>
      <c r="Z19" s="867">
        <f t="shared" si="369"/>
        <v>0</v>
      </c>
      <c r="AA19" s="867">
        <f t="shared" si="369"/>
        <v>0</v>
      </c>
      <c r="AB19" s="867">
        <f t="shared" si="369"/>
        <v>0</v>
      </c>
      <c r="AC19" s="867">
        <f t="shared" si="369"/>
        <v>0</v>
      </c>
      <c r="AD19" s="867">
        <f t="shared" si="369"/>
        <v>0</v>
      </c>
      <c r="AE19" s="867">
        <f t="shared" si="369"/>
        <v>0</v>
      </c>
      <c r="AF19" s="867">
        <f t="shared" si="369"/>
        <v>0</v>
      </c>
      <c r="AG19" s="867">
        <f t="shared" si="369"/>
        <v>0</v>
      </c>
      <c r="AH19" s="867">
        <f t="shared" si="369"/>
        <v>0</v>
      </c>
      <c r="AI19" s="867">
        <f t="shared" si="369"/>
        <v>0</v>
      </c>
      <c r="AJ19" s="867">
        <f t="shared" si="369"/>
        <v>0</v>
      </c>
      <c r="AK19" s="867">
        <f t="shared" si="369"/>
        <v>0</v>
      </c>
      <c r="AL19" s="867">
        <f t="shared" si="369"/>
        <v>0</v>
      </c>
      <c r="AM19" s="867">
        <f t="shared" si="369"/>
        <v>0</v>
      </c>
      <c r="AN19" s="867">
        <f t="shared" si="369"/>
        <v>0</v>
      </c>
      <c r="AO19" s="867">
        <f t="shared" si="369"/>
        <v>0</v>
      </c>
      <c r="AP19" s="867">
        <f t="shared" si="369"/>
        <v>0</v>
      </c>
      <c r="AQ19" s="867">
        <f t="shared" si="369"/>
        <v>0</v>
      </c>
      <c r="AR19" s="867">
        <f t="shared" si="369"/>
        <v>0</v>
      </c>
      <c r="AS19" s="867">
        <f t="shared" si="369"/>
        <v>0</v>
      </c>
      <c r="AT19" s="867">
        <f t="shared" si="369"/>
        <v>0</v>
      </c>
      <c r="AU19" s="867">
        <f t="shared" si="369"/>
        <v>0</v>
      </c>
      <c r="AV19" s="867">
        <f t="shared" si="369"/>
        <v>0</v>
      </c>
      <c r="AW19" s="867">
        <f t="shared" si="369"/>
        <v>0</v>
      </c>
      <c r="AX19" s="867">
        <f t="shared" si="369"/>
        <v>0</v>
      </c>
      <c r="AY19" s="867">
        <f t="shared" si="369"/>
        <v>0</v>
      </c>
      <c r="AZ19" s="867">
        <f t="shared" si="369"/>
        <v>0</v>
      </c>
      <c r="BA19" s="867">
        <f>+BA12+BA15+BA18</f>
        <v>7102.6220000000003</v>
      </c>
      <c r="BB19" s="867">
        <f t="shared" ref="BB19:CF19" si="370">+BB12+BB15+BB18</f>
        <v>805.50000000000011</v>
      </c>
      <c r="BC19" s="867">
        <f t="shared" si="370"/>
        <v>0</v>
      </c>
      <c r="BD19" s="867">
        <f t="shared" si="370"/>
        <v>0</v>
      </c>
      <c r="BE19" s="867">
        <f t="shared" si="370"/>
        <v>0</v>
      </c>
      <c r="BF19" s="867">
        <f t="shared" si="370"/>
        <v>0</v>
      </c>
      <c r="BG19" s="867">
        <f t="shared" si="370"/>
        <v>0</v>
      </c>
      <c r="BH19" s="867">
        <f t="shared" si="370"/>
        <v>899.90220740000007</v>
      </c>
      <c r="BI19" s="867">
        <f t="shared" si="370"/>
        <v>8808.0242073999998</v>
      </c>
      <c r="BJ19" s="867">
        <f t="shared" si="370"/>
        <v>5962.2572000000009</v>
      </c>
      <c r="BK19" s="867">
        <f t="shared" si="370"/>
        <v>658.30000000000007</v>
      </c>
      <c r="BL19" s="867">
        <f t="shared" si="370"/>
        <v>0</v>
      </c>
      <c r="BM19" s="867">
        <f t="shared" si="370"/>
        <v>0</v>
      </c>
      <c r="BN19" s="867">
        <f t="shared" si="370"/>
        <v>0</v>
      </c>
      <c r="BO19" s="867">
        <f t="shared" si="370"/>
        <v>0</v>
      </c>
      <c r="BP19" s="867">
        <f t="shared" si="370"/>
        <v>0</v>
      </c>
      <c r="BQ19" s="867">
        <f t="shared" si="370"/>
        <v>755.41798724000012</v>
      </c>
      <c r="BR19" s="867">
        <f t="shared" si="370"/>
        <v>7375.9751872400002</v>
      </c>
      <c r="BS19" s="867">
        <f t="shared" si="370"/>
        <v>1140.3648000000001</v>
      </c>
      <c r="BT19" s="867">
        <f t="shared" si="370"/>
        <v>147.20000000000002</v>
      </c>
      <c r="BU19" s="867">
        <f t="shared" si="370"/>
        <v>0</v>
      </c>
      <c r="BV19" s="867">
        <f t="shared" si="370"/>
        <v>0</v>
      </c>
      <c r="BW19" s="867">
        <f t="shared" si="370"/>
        <v>0</v>
      </c>
      <c r="BX19" s="867">
        <f t="shared" si="370"/>
        <v>0</v>
      </c>
      <c r="BY19" s="867">
        <f t="shared" si="370"/>
        <v>0</v>
      </c>
      <c r="BZ19" s="867">
        <f t="shared" si="370"/>
        <v>120.982832</v>
      </c>
      <c r="CA19" s="867">
        <f t="shared" si="370"/>
        <v>1408.547632</v>
      </c>
      <c r="CB19" s="867">
        <f t="shared" si="370"/>
        <v>0</v>
      </c>
      <c r="CC19" s="867">
        <f t="shared" si="370"/>
        <v>0</v>
      </c>
      <c r="CD19" s="867">
        <f t="shared" si="370"/>
        <v>0</v>
      </c>
      <c r="CE19" s="867">
        <f t="shared" si="370"/>
        <v>0</v>
      </c>
      <c r="CF19" s="867">
        <f t="shared" si="370"/>
        <v>0</v>
      </c>
      <c r="CG19" s="867">
        <f t="shared" ref="CG19:DL19" si="371">+CG12+CG15+CG18</f>
        <v>0</v>
      </c>
      <c r="CH19" s="867">
        <f t="shared" si="371"/>
        <v>0</v>
      </c>
      <c r="CI19" s="867">
        <f t="shared" si="371"/>
        <v>0</v>
      </c>
      <c r="CJ19" s="867">
        <f t="shared" si="371"/>
        <v>0</v>
      </c>
      <c r="CK19" s="867">
        <f t="shared" si="371"/>
        <v>0</v>
      </c>
      <c r="CL19" s="867">
        <f t="shared" si="371"/>
        <v>0</v>
      </c>
      <c r="CM19" s="867">
        <f t="shared" si="371"/>
        <v>0</v>
      </c>
      <c r="CN19" s="867">
        <f t="shared" si="371"/>
        <v>0</v>
      </c>
      <c r="CO19" s="867">
        <f t="shared" si="371"/>
        <v>0</v>
      </c>
      <c r="CP19" s="867">
        <f t="shared" si="371"/>
        <v>0</v>
      </c>
      <c r="CQ19" s="867">
        <f t="shared" si="371"/>
        <v>0</v>
      </c>
      <c r="CR19" s="867">
        <f t="shared" si="371"/>
        <v>0</v>
      </c>
      <c r="CS19" s="867">
        <f t="shared" si="371"/>
        <v>0</v>
      </c>
      <c r="CT19" s="867">
        <f t="shared" si="371"/>
        <v>0</v>
      </c>
      <c r="CU19" s="867" t="e">
        <f t="shared" si="371"/>
        <v>#VALUE!</v>
      </c>
      <c r="CV19" s="867">
        <f t="shared" si="371"/>
        <v>0</v>
      </c>
      <c r="CW19" s="867">
        <f t="shared" si="371"/>
        <v>0</v>
      </c>
      <c r="CX19" s="867">
        <f t="shared" si="371"/>
        <v>0</v>
      </c>
      <c r="CY19" s="867">
        <f t="shared" si="371"/>
        <v>0</v>
      </c>
      <c r="CZ19" s="867">
        <f t="shared" si="371"/>
        <v>0</v>
      </c>
      <c r="DA19" s="867">
        <f t="shared" si="371"/>
        <v>0</v>
      </c>
      <c r="DB19" s="867">
        <f t="shared" si="371"/>
        <v>0</v>
      </c>
      <c r="DC19" s="867">
        <f t="shared" si="371"/>
        <v>0</v>
      </c>
      <c r="DD19" s="867">
        <f t="shared" si="371"/>
        <v>0</v>
      </c>
      <c r="DE19" s="867">
        <f t="shared" si="371"/>
        <v>0</v>
      </c>
      <c r="DF19" s="867">
        <f t="shared" si="371"/>
        <v>0</v>
      </c>
      <c r="DG19" s="867">
        <f t="shared" si="371"/>
        <v>0</v>
      </c>
      <c r="DH19" s="867">
        <f t="shared" si="371"/>
        <v>0</v>
      </c>
      <c r="DI19" s="867">
        <f t="shared" si="371"/>
        <v>0</v>
      </c>
      <c r="DJ19" s="867">
        <f t="shared" si="371"/>
        <v>0</v>
      </c>
      <c r="DK19" s="867">
        <f t="shared" si="371"/>
        <v>0</v>
      </c>
      <c r="DL19" s="867">
        <f t="shared" si="371"/>
        <v>0</v>
      </c>
      <c r="DM19" s="867">
        <f t="shared" ref="DM19:EN19" si="372">+DM12+DM15+DM18</f>
        <v>0</v>
      </c>
      <c r="DN19" s="867">
        <f t="shared" si="372"/>
        <v>0</v>
      </c>
      <c r="DO19" s="867">
        <f t="shared" si="372"/>
        <v>0</v>
      </c>
      <c r="DP19" s="867">
        <f t="shared" si="372"/>
        <v>0</v>
      </c>
      <c r="DQ19" s="867">
        <f t="shared" si="372"/>
        <v>0</v>
      </c>
      <c r="DR19" s="867">
        <f t="shared" si="372"/>
        <v>0</v>
      </c>
      <c r="DS19" s="867">
        <f t="shared" si="372"/>
        <v>0</v>
      </c>
      <c r="DT19" s="867">
        <f t="shared" si="372"/>
        <v>0</v>
      </c>
      <c r="DU19" s="867">
        <f t="shared" si="372"/>
        <v>0</v>
      </c>
      <c r="DV19" s="867">
        <f t="shared" si="372"/>
        <v>0</v>
      </c>
      <c r="DW19" s="867">
        <f t="shared" si="372"/>
        <v>0</v>
      </c>
      <c r="DX19" s="867">
        <f t="shared" si="372"/>
        <v>0</v>
      </c>
      <c r="DY19" s="867">
        <f t="shared" si="372"/>
        <v>0</v>
      </c>
      <c r="DZ19" s="867">
        <f t="shared" si="372"/>
        <v>0</v>
      </c>
      <c r="EA19" s="867">
        <f t="shared" si="372"/>
        <v>0</v>
      </c>
      <c r="EB19" s="867">
        <f t="shared" si="372"/>
        <v>0</v>
      </c>
      <c r="EC19" s="867">
        <f t="shared" si="372"/>
        <v>0</v>
      </c>
      <c r="ED19" s="867">
        <f t="shared" si="372"/>
        <v>0</v>
      </c>
      <c r="EE19" s="867">
        <f t="shared" si="372"/>
        <v>0</v>
      </c>
      <c r="EF19" s="867">
        <f t="shared" si="372"/>
        <v>14205.244000000001</v>
      </c>
      <c r="EG19" s="867">
        <f t="shared" si="372"/>
        <v>1611.0000000000002</v>
      </c>
      <c r="EH19" s="867">
        <f t="shared" si="372"/>
        <v>0</v>
      </c>
      <c r="EI19" s="867">
        <f t="shared" si="372"/>
        <v>0</v>
      </c>
      <c r="EJ19" s="867">
        <f t="shared" si="372"/>
        <v>0</v>
      </c>
      <c r="EK19" s="867">
        <f t="shared" si="372"/>
        <v>0</v>
      </c>
      <c r="EL19" s="867">
        <f t="shared" si="372"/>
        <v>0</v>
      </c>
      <c r="EM19" s="867">
        <f t="shared" si="372"/>
        <v>1776.3030266400001</v>
      </c>
      <c r="EN19" s="867">
        <f t="shared" si="372"/>
        <v>17592.547026640001</v>
      </c>
      <c r="EO19" s="867"/>
      <c r="EP19" s="867">
        <f>+EP12+EP15+EP18</f>
        <v>87.92</v>
      </c>
      <c r="EQ19" s="867">
        <f t="shared" ref="EQ19:EY19" si="373">+EQ12+EQ15+EQ18</f>
        <v>0</v>
      </c>
      <c r="ER19" s="867">
        <f t="shared" si="373"/>
        <v>0</v>
      </c>
      <c r="ES19" s="867">
        <f t="shared" si="373"/>
        <v>225</v>
      </c>
      <c r="ET19" s="867">
        <f t="shared" si="373"/>
        <v>0</v>
      </c>
      <c r="EU19" s="867">
        <f t="shared" si="373"/>
        <v>0</v>
      </c>
      <c r="EV19" s="867">
        <f t="shared" si="373"/>
        <v>350</v>
      </c>
      <c r="EW19" s="867">
        <f t="shared" si="373"/>
        <v>0</v>
      </c>
      <c r="EX19" s="867">
        <f t="shared" si="373"/>
        <v>0</v>
      </c>
      <c r="EY19" s="867">
        <f t="shared" si="373"/>
        <v>350</v>
      </c>
      <c r="EZ19" s="867"/>
      <c r="FA19" s="867">
        <f t="shared" ref="FA19:FP19" si="374">+FA12+FA15+FA18</f>
        <v>87.92</v>
      </c>
      <c r="FB19" s="867">
        <f t="shared" si="374"/>
        <v>0</v>
      </c>
      <c r="FC19" s="867">
        <f t="shared" si="374"/>
        <v>0</v>
      </c>
      <c r="FD19" s="867">
        <f t="shared" si="374"/>
        <v>225</v>
      </c>
      <c r="FE19" s="867">
        <f t="shared" si="374"/>
        <v>0</v>
      </c>
      <c r="FF19" s="867">
        <f t="shared" si="374"/>
        <v>0</v>
      </c>
      <c r="FG19" s="867">
        <f t="shared" si="374"/>
        <v>350</v>
      </c>
      <c r="FH19" s="867">
        <f t="shared" si="374"/>
        <v>0</v>
      </c>
      <c r="FI19" s="867">
        <f t="shared" si="374"/>
        <v>0</v>
      </c>
      <c r="FJ19" s="867">
        <f t="shared" si="374"/>
        <v>350</v>
      </c>
      <c r="FK19" s="867">
        <f t="shared" si="374"/>
        <v>1</v>
      </c>
      <c r="FL19" s="867">
        <f t="shared" si="374"/>
        <v>1</v>
      </c>
      <c r="FM19" s="867">
        <f t="shared" si="374"/>
        <v>0</v>
      </c>
      <c r="FN19" s="867">
        <f t="shared" si="374"/>
        <v>0</v>
      </c>
      <c r="FO19" s="867">
        <f t="shared" si="374"/>
        <v>0</v>
      </c>
      <c r="FP19" s="867">
        <f t="shared" si="374"/>
        <v>2</v>
      </c>
      <c r="FQ19" s="778"/>
      <c r="FR19" s="778"/>
      <c r="FS19" s="778"/>
      <c r="FT19" s="778"/>
      <c r="FU19" s="778"/>
    </row>
    <row r="20" spans="1:183" s="828" customFormat="1" ht="15" customHeight="1" outlineLevel="1" thickTop="1">
      <c r="A20" s="1005"/>
      <c r="B20" s="1005"/>
      <c r="C20" s="1006"/>
      <c r="D20" s="840"/>
      <c r="E20" s="235">
        <v>103010</v>
      </c>
      <c r="F20" s="826"/>
      <c r="G20" s="779" t="s">
        <v>76</v>
      </c>
      <c r="H20" s="717"/>
      <c r="I20" s="809"/>
      <c r="J20" s="827"/>
      <c r="N20" s="829"/>
      <c r="O20" s="829"/>
      <c r="P20" s="829"/>
      <c r="Q20" s="829"/>
      <c r="R20" s="829"/>
      <c r="S20" s="829"/>
      <c r="U20" s="830"/>
      <c r="W20" s="830"/>
      <c r="Y20" s="830"/>
      <c r="AA20" s="830"/>
      <c r="AC20" s="830"/>
      <c r="AE20" s="831"/>
      <c r="AG20" s="831"/>
      <c r="AI20" s="831"/>
      <c r="AK20" s="831"/>
      <c r="AM20" s="831"/>
      <c r="AZ20" s="842"/>
      <c r="CT20" s="809"/>
      <c r="CU20" s="809"/>
      <c r="EO20" s="809"/>
      <c r="EP20" s="235"/>
      <c r="EQ20" s="809"/>
      <c r="ER20" s="809"/>
      <c r="ES20" s="843"/>
      <c r="ET20" s="809"/>
      <c r="EU20" s="809"/>
      <c r="EV20" s="809"/>
      <c r="EW20" s="809"/>
      <c r="EX20" s="809"/>
      <c r="EY20" s="809"/>
      <c r="EZ20" s="809"/>
      <c r="FA20" s="778"/>
      <c r="FB20" s="778"/>
      <c r="FC20" s="778"/>
      <c r="FD20" s="778"/>
      <c r="FE20" s="778"/>
      <c r="FF20" s="778"/>
      <c r="FG20" s="778"/>
      <c r="FH20" s="778"/>
      <c r="FI20" s="778"/>
      <c r="FJ20" s="778"/>
      <c r="FK20" s="799"/>
      <c r="FL20" s="799"/>
      <c r="FM20" s="799"/>
      <c r="FN20" s="799"/>
      <c r="FO20" s="799"/>
      <c r="FP20" s="799"/>
      <c r="FQ20" s="778"/>
      <c r="FR20" s="778"/>
      <c r="FS20" s="778"/>
      <c r="FT20" s="778"/>
      <c r="FU20" s="778"/>
    </row>
    <row r="21" spans="1:183" s="828" customFormat="1" ht="15" customHeight="1" outlineLevel="1">
      <c r="A21" s="1005" t="str">
        <f t="shared" si="253"/>
        <v>JUNIO  2026 2da QUINCENA</v>
      </c>
      <c r="B21" s="1005">
        <f t="shared" si="90"/>
        <v>2026</v>
      </c>
      <c r="C21" s="1006" t="str">
        <f t="shared" si="254"/>
        <v>JUNIO  2026 2da QUINCENA2026</v>
      </c>
      <c r="D21" s="826" t="str">
        <f>+$G$20</f>
        <v>RECURSOS HUMANOS</v>
      </c>
      <c r="E21" s="235">
        <v>103010</v>
      </c>
      <c r="F21" s="826"/>
      <c r="G21" s="779" t="s">
        <v>622</v>
      </c>
      <c r="H21" s="717"/>
      <c r="I21" s="809"/>
      <c r="J21" s="827"/>
      <c r="N21" s="829"/>
      <c r="O21" s="829"/>
      <c r="P21" s="829"/>
      <c r="Q21" s="829"/>
      <c r="R21" s="829"/>
      <c r="S21" s="829"/>
      <c r="U21" s="830"/>
      <c r="W21" s="830"/>
      <c r="Y21" s="830"/>
      <c r="AA21" s="830"/>
      <c r="AC21" s="830"/>
      <c r="AE21" s="831"/>
      <c r="AG21" s="831"/>
      <c r="AI21" s="831"/>
      <c r="AK21" s="831"/>
      <c r="AM21" s="831"/>
      <c r="AZ21" s="842"/>
      <c r="CT21" s="809"/>
      <c r="CU21" s="809"/>
      <c r="EO21" s="809"/>
      <c r="EP21" s="235"/>
      <c r="EQ21" s="809"/>
      <c r="ER21" s="809"/>
      <c r="ES21" s="843"/>
      <c r="ET21" s="809"/>
      <c r="EU21" s="809"/>
      <c r="EV21" s="809"/>
      <c r="EW21" s="809"/>
      <c r="EX21" s="809"/>
      <c r="EY21" s="809"/>
      <c r="EZ21" s="809"/>
      <c r="FA21" s="778"/>
      <c r="FB21" s="778"/>
      <c r="FC21" s="778"/>
      <c r="FD21" s="778"/>
      <c r="FE21" s="778"/>
      <c r="FF21" s="778"/>
      <c r="FG21" s="778"/>
      <c r="FH21" s="778"/>
      <c r="FI21" s="778"/>
      <c r="FJ21" s="778"/>
      <c r="FK21" s="799"/>
      <c r="FL21" s="799"/>
      <c r="FM21" s="799"/>
      <c r="FN21" s="799"/>
      <c r="FO21" s="799"/>
      <c r="FP21" s="799"/>
      <c r="FQ21" s="778"/>
      <c r="FR21" s="778"/>
      <c r="FS21" s="778"/>
      <c r="FT21" s="778"/>
      <c r="FU21" s="778"/>
    </row>
    <row r="22" spans="1:183" s="778" customFormat="1" ht="15" customHeight="1" outlineLevel="1">
      <c r="A22" s="1005" t="str">
        <f t="shared" si="253"/>
        <v>JUNIO  2026 2da QUINCENA</v>
      </c>
      <c r="B22" s="1005">
        <f t="shared" si="90"/>
        <v>2026</v>
      </c>
      <c r="C22" s="1006" t="str">
        <f t="shared" si="254"/>
        <v>JUNIO  2026 2da QUINCENA2026</v>
      </c>
      <c r="D22" s="826" t="str">
        <f t="shared" ref="D22:D25" si="375">+$G$20</f>
        <v>RECURSOS HUMANOS</v>
      </c>
      <c r="E22" s="235">
        <v>103010</v>
      </c>
      <c r="F22" s="805">
        <f>F17+1</f>
        <v>1</v>
      </c>
      <c r="G22" s="167" t="s">
        <v>455</v>
      </c>
      <c r="H22" s="246" t="s">
        <v>77</v>
      </c>
      <c r="I22" s="244" t="s">
        <v>11</v>
      </c>
      <c r="J22" s="202">
        <v>9150</v>
      </c>
      <c r="K22" s="792">
        <v>4500</v>
      </c>
      <c r="L22" s="202">
        <f>+J22+K22</f>
        <v>13650</v>
      </c>
      <c r="M22" s="203">
        <v>30</v>
      </c>
      <c r="N22" s="815">
        <v>0.4</v>
      </c>
      <c r="O22" s="815">
        <v>0.35</v>
      </c>
      <c r="P22" s="815">
        <v>0.05</v>
      </c>
      <c r="Q22" s="1009">
        <v>0.2</v>
      </c>
      <c r="R22" s="793">
        <v>0</v>
      </c>
      <c r="S22" s="793">
        <f>SUM(N22:R22)</f>
        <v>1</v>
      </c>
      <c r="T22" s="780"/>
      <c r="U22" s="844"/>
      <c r="V22" s="236">
        <f>($J22/30/8*1.5)*U22</f>
        <v>0</v>
      </c>
      <c r="W22" s="247"/>
      <c r="X22" s="236">
        <f>($J22/30/8*2)*W22</f>
        <v>0</v>
      </c>
      <c r="Y22" s="247"/>
      <c r="Z22" s="236">
        <f>($J22/30/8*1.5)*Y22</f>
        <v>0</v>
      </c>
      <c r="AA22" s="247"/>
      <c r="AB22" s="236">
        <f>($J22/30/8*2)*AA22</f>
        <v>0</v>
      </c>
      <c r="AC22" s="247"/>
      <c r="AD22" s="236">
        <f>(($J22/30/8)*1.5)*AC22</f>
        <v>0</v>
      </c>
      <c r="AE22" s="794"/>
      <c r="AF22" s="236">
        <f>(($J22/30/8)*2)*AE22</f>
        <v>0</v>
      </c>
      <c r="AG22" s="794"/>
      <c r="AH22" s="236">
        <f>(($J22/30/8)*1.5)*AG22</f>
        <v>0</v>
      </c>
      <c r="AI22" s="794"/>
      <c r="AJ22" s="236">
        <f>(($J22/30/8)*2)*AI22</f>
        <v>0</v>
      </c>
      <c r="AK22" s="794"/>
      <c r="AL22" s="236">
        <f>(($J22/30/8)*1.5)*AK22</f>
        <v>0</v>
      </c>
      <c r="AM22" s="794"/>
      <c r="AN22" s="236">
        <f>(($J22/30/8)*2)*AM22</f>
        <v>0</v>
      </c>
      <c r="AO22" s="792"/>
      <c r="AP22" s="792"/>
      <c r="AQ22" s="792"/>
      <c r="AR22" s="792"/>
      <c r="AS22" s="792"/>
      <c r="AT22" s="792"/>
      <c r="AU22" s="792"/>
      <c r="AV22" s="792"/>
      <c r="AW22" s="792"/>
      <c r="AX22" s="792"/>
      <c r="AY22" s="792"/>
      <c r="AZ22" s="845"/>
      <c r="BA22" s="236">
        <f>((J22/30)*M22)*$N22</f>
        <v>3660</v>
      </c>
      <c r="BB22" s="856">
        <f>((K22/30)*M22)*$N22</f>
        <v>1800</v>
      </c>
      <c r="BC22" s="236">
        <f t="shared" ref="BC22:BC24" si="376">U22</f>
        <v>0</v>
      </c>
      <c r="BD22" s="236">
        <f t="shared" ref="BD22:BD24" si="377">V22</f>
        <v>0</v>
      </c>
      <c r="BE22" s="236">
        <f t="shared" ref="BE22:BE24" si="378">W22</f>
        <v>0</v>
      </c>
      <c r="BF22" s="236">
        <f t="shared" ref="BF22:BF24" si="379">X22</f>
        <v>0</v>
      </c>
      <c r="BG22" s="236">
        <f>AO22+AT22</f>
        <v>0</v>
      </c>
      <c r="BH22" s="203">
        <f t="shared" ref="BH22:BH25" si="380">(BA22+BD22+BF22+BG22)*0.1267</f>
        <v>463.72200000000004</v>
      </c>
      <c r="BI22" s="236">
        <f>SUM(BA22:BH22)-BC22-BE22</f>
        <v>5923.7219999999998</v>
      </c>
      <c r="BJ22" s="236">
        <f>(($J22/30)*$M22)*$O22</f>
        <v>3202.5</v>
      </c>
      <c r="BK22" s="203">
        <f>(($K22/30)*$M22)*$O22</f>
        <v>1575</v>
      </c>
      <c r="BL22" s="236">
        <f t="shared" ref="BL22:BL24" si="381">Y22</f>
        <v>0</v>
      </c>
      <c r="BM22" s="236">
        <f t="shared" ref="BM22:BM24" si="382">Z22</f>
        <v>0</v>
      </c>
      <c r="BN22" s="236">
        <f t="shared" ref="BN22:BN24" si="383">AA22</f>
        <v>0</v>
      </c>
      <c r="BO22" s="236">
        <f t="shared" ref="BO22:BO24" si="384">AB22</f>
        <v>0</v>
      </c>
      <c r="BP22" s="236">
        <f>AP22+AU22</f>
        <v>0</v>
      </c>
      <c r="BQ22" s="203">
        <f t="shared" ref="BQ22:BQ25" si="385">(+BJ22+BM22+BO22+BP22)*0.1267</f>
        <v>405.75675000000001</v>
      </c>
      <c r="BR22" s="792">
        <f>SUM(BJ22:BQ22)-BL22-BN22</f>
        <v>5183.2567500000005</v>
      </c>
      <c r="BS22" s="236">
        <f>(($J22/30)*$M22)*$P22</f>
        <v>457.5</v>
      </c>
      <c r="BT22" s="236">
        <f>(($K22/30)*$M22)*$P22</f>
        <v>225</v>
      </c>
      <c r="BU22" s="236">
        <f t="shared" ref="BU22:BU24" si="386">AC22</f>
        <v>0</v>
      </c>
      <c r="BV22" s="236">
        <f t="shared" ref="BV22:BV24" si="387">AD22</f>
        <v>0</v>
      </c>
      <c r="BW22" s="236">
        <f t="shared" ref="BW22:BW24" si="388">AE22</f>
        <v>0</v>
      </c>
      <c r="BX22" s="236">
        <f t="shared" ref="BX22:BX24" si="389">AF22</f>
        <v>0</v>
      </c>
      <c r="BY22" s="236">
        <f>AQ22+AV22</f>
        <v>0</v>
      </c>
      <c r="BZ22" s="203">
        <f t="shared" ref="BZ22:BZ25" si="390">(BS22+BV22+BX22+BY22)*0.1267</f>
        <v>57.965250000000005</v>
      </c>
      <c r="CA22" s="236">
        <f>SUM(BS22:BZ22)-BU22-BW22</f>
        <v>740.46524999999997</v>
      </c>
      <c r="CB22" s="816">
        <f>(($J22/30)*$M22)*$Q22</f>
        <v>1830</v>
      </c>
      <c r="CC22" s="817">
        <f>(($K22/30)*$M22)*$Q22</f>
        <v>900</v>
      </c>
      <c r="CD22" s="817">
        <f t="shared" ref="CD22:CD24" si="391">AG22</f>
        <v>0</v>
      </c>
      <c r="CE22" s="817">
        <f t="shared" ref="CE22:CE24" si="392">AH22</f>
        <v>0</v>
      </c>
      <c r="CF22" s="817">
        <f t="shared" ref="CF22:CF24" si="393">AI22</f>
        <v>0</v>
      </c>
      <c r="CG22" s="817">
        <f t="shared" ref="CG22:CG24" si="394">AJ22</f>
        <v>0</v>
      </c>
      <c r="CH22" s="817">
        <f>AR22+AW22</f>
        <v>0</v>
      </c>
      <c r="CI22" s="703">
        <f t="shared" ref="CI22:CI25" si="395">(CB22+CE22+CG22+CH22)*0.1267</f>
        <v>231.86100000000002</v>
      </c>
      <c r="CJ22" s="817">
        <f>SUM(CB22:CI22)-CD22-CF22</f>
        <v>2961.8609999999999</v>
      </c>
      <c r="CK22" s="817">
        <f>(($J22/30)*$M22)*R22</f>
        <v>0</v>
      </c>
      <c r="CL22" s="817">
        <f>(($K22/30)*$M22)*$R22</f>
        <v>0</v>
      </c>
      <c r="CM22" s="817">
        <f>+AK22</f>
        <v>0</v>
      </c>
      <c r="CN22" s="817">
        <f t="shared" ref="CN22:CN23" si="396">AL22</f>
        <v>0</v>
      </c>
      <c r="CO22" s="817">
        <f t="shared" ref="CO22:CO23" si="397">AM22</f>
        <v>0</v>
      </c>
      <c r="CP22" s="817">
        <f t="shared" ref="CP22:CP23" si="398">AN22</f>
        <v>0</v>
      </c>
      <c r="CQ22" s="817">
        <f>AS22+AX22</f>
        <v>0</v>
      </c>
      <c r="CR22" s="817">
        <f>(CK22+CN22+CP22)*0.1267</f>
        <v>0</v>
      </c>
      <c r="CS22" s="818">
        <f>SUM(CK22:CR22)-CM22-CO22</f>
        <v>0</v>
      </c>
      <c r="CT22" s="809"/>
      <c r="CU22" s="244" t="s">
        <v>11</v>
      </c>
      <c r="CV22" s="236">
        <f>IF($CU22="PROQUIMA",$BA22+$BJ22+$BS22+$CB22+$CK22,0)</f>
        <v>0</v>
      </c>
      <c r="CW22" s="236">
        <f>IF($CU22="PROQUIMA",$BB22+$BK22+$BT22+$CC22+$CL22,0)</f>
        <v>0</v>
      </c>
      <c r="CX22" s="236">
        <f>IF($CU22="PROQUIMA",$BC22+$BL22+$BU22+$CD22+$CM22,0)</f>
        <v>0</v>
      </c>
      <c r="CY22" s="236">
        <f>IF($CU22="PROQUIMA",$BD22+$BM22+$BV22+$CE22+$CN22,0)</f>
        <v>0</v>
      </c>
      <c r="CZ22" s="236">
        <f>IF($CU22="PROQUIMA",$BE22+$BN22+$BW22+$CF22+$CO22,0)</f>
        <v>0</v>
      </c>
      <c r="DA22" s="236">
        <f>IF($CU22="PROQUIMA",$BF22+$BO22+$BX22+$CG22+$CP22,0)</f>
        <v>0</v>
      </c>
      <c r="DB22" s="236">
        <f>IF($CU22="PROQUIMA",$BG22+$BP22+$BY22+$CH22+$CQ22,0)</f>
        <v>0</v>
      </c>
      <c r="DC22" s="236">
        <f>IF($CU22="PROQUIMA",$BH22+$BQ22+$BZ22+$CI22+CR22,0)</f>
        <v>0</v>
      </c>
      <c r="DD22" s="236">
        <f>SUM(CV22:DC22)-CX22-CZ22</f>
        <v>0</v>
      </c>
      <c r="DE22" s="236">
        <f>IF($CU22="UNHESA",$BA22+$BJ22+$BS22+$CB22+$CK22,0)</f>
        <v>0</v>
      </c>
      <c r="DF22" s="236">
        <f>IF($CU22="UNHESA",$BB22+$BK22+$BT22+$CC22+$CL22,0)</f>
        <v>0</v>
      </c>
      <c r="DG22" s="236">
        <f>IF($CU22="UNHESA",$BC22+$BL22+$BU22+$CD22+$CM22,0)</f>
        <v>0</v>
      </c>
      <c r="DH22" s="236">
        <f>IF($CU22="UNHESA",$BD22+$BM22+$BV22+$CE22+$CN22,0)</f>
        <v>0</v>
      </c>
      <c r="DI22" s="236">
        <f>IF($CU22="UNHESA",$BE22+$BN22+$BW22+$CF22+$CO22,0)</f>
        <v>0</v>
      </c>
      <c r="DJ22" s="236">
        <f>IF($CU22="UNHESA",$BF22+$BO22+$BX22+$CG22+$CP22,0)</f>
        <v>0</v>
      </c>
      <c r="DK22" s="236">
        <f>IF($CU22="UNHESA",$BG22+$BP22+$BY22+$CH22+$CQ22,0)</f>
        <v>0</v>
      </c>
      <c r="DL22" s="236">
        <f>IF($CU22="UNHESA",$BH22+$BQ22+$BZ22+$CI22+$CR22,0)</f>
        <v>0</v>
      </c>
      <c r="DM22" s="236">
        <f>SUM(DE22:DL22)-DG22-DI22</f>
        <v>0</v>
      </c>
      <c r="DN22" s="236">
        <f>IF($CU22="UNHESA LIQUIDOS",$BA22+$BJ22+$BS22+$CB22+$CK22,0)</f>
        <v>0</v>
      </c>
      <c r="DO22" s="236">
        <f>IF($CU22="UNHESA LIQUIDOS",$BB22+$BK22+$BT22+$CC22+$CL22,0)</f>
        <v>0</v>
      </c>
      <c r="DP22" s="236">
        <f>IF($CU22="UNHESA LIQUIDOS",$BC22+$BL22+$BU22+$CD22+$CM22,0)</f>
        <v>0</v>
      </c>
      <c r="DQ22" s="236">
        <f>IF($CU22="UNHESA LIQUIDOS",$BD22+$BM22+$BV22+$CE22+$CN22,0)</f>
        <v>0</v>
      </c>
      <c r="DR22" s="236">
        <f>IF($CU22="UNHESA LIQUIDOS",$BE22+$BN22+$BW22+$CF22+$CO22,0)</f>
        <v>0</v>
      </c>
      <c r="DS22" s="236">
        <f>IF($CU22="UNHESA LIQUIDOS",$BF22+$BO22+$BX22+$CG22+$CP22,0)</f>
        <v>0</v>
      </c>
      <c r="DT22" s="236">
        <f>IF($CU22="UNHESA LIQUIDOS",$BG22+$BP22+$BY22+$CH22+$CQ22,0)</f>
        <v>0</v>
      </c>
      <c r="DU22" s="236">
        <f>IF($CU22="UNHESA LIQUIDOS",$BH22+$BQ22+$BZ22+$CI22+$CR22,0)</f>
        <v>0</v>
      </c>
      <c r="DV22" s="236">
        <f>SUM(DN22:DU22)-DP22-DR22</f>
        <v>0</v>
      </c>
      <c r="DW22" s="986">
        <f>IF($CU22="CLEARTEC",$BA22+$BJ22+$BS22+$CB22+$CK22,0)</f>
        <v>0</v>
      </c>
      <c r="DX22" s="986">
        <f t="shared" ref="DX22:EE25" si="399">IF($CU22="CLEARTEC",$BA22+$BJ22+$BS22+$CB22+$CK22,0)</f>
        <v>0</v>
      </c>
      <c r="DY22" s="986">
        <f t="shared" si="399"/>
        <v>0</v>
      </c>
      <c r="DZ22" s="986">
        <f t="shared" si="399"/>
        <v>0</v>
      </c>
      <c r="EA22" s="986">
        <f t="shared" si="399"/>
        <v>0</v>
      </c>
      <c r="EB22" s="986">
        <f t="shared" si="399"/>
        <v>0</v>
      </c>
      <c r="EC22" s="986">
        <f t="shared" si="399"/>
        <v>0</v>
      </c>
      <c r="ED22" s="986">
        <f t="shared" si="399"/>
        <v>0</v>
      </c>
      <c r="EE22" s="986">
        <f t="shared" si="399"/>
        <v>0</v>
      </c>
      <c r="EF22" s="203">
        <f t="shared" ref="EF22:EF25" si="400">IF(CU22="ECONACIONAL",$BA22+$BJ22+$BS22+$CB22+$CK22)</f>
        <v>9150</v>
      </c>
      <c r="EG22" s="242">
        <f t="shared" ref="EG22:EG25" si="401">IF($CU22="ECONACIONAL",$BB22+$BK22+$BT22+$CC22+$CL22,0)</f>
        <v>4500</v>
      </c>
      <c r="EH22" s="203">
        <f t="shared" ref="EH22:EH25" si="402">IF(CU22="ECONACIONAL",$BC22+$BL22+$BU22+$CD22+$CM22)</f>
        <v>0</v>
      </c>
      <c r="EI22" s="203">
        <f t="shared" ref="EI22:EI25" si="403">IF(CU22="ECONACIONAL",$BD22+$DH22+$DQ22+$DZ22+BM22+BV22+CE22+CN22)</f>
        <v>0</v>
      </c>
      <c r="EJ22" s="242">
        <f t="shared" ref="EJ22:EJ25" si="404">IF($CU22="CLEARTEC",$BE22+$BN22+$BW22+$CF22+$CO22,0)</f>
        <v>0</v>
      </c>
      <c r="EK22" s="203">
        <f t="shared" ref="EK22:EK25" si="405">IF(CU22="ECONACIONAL",$BF22+$BO22+$BX22+$CG22+$CP22)</f>
        <v>0</v>
      </c>
      <c r="EL22" s="203">
        <f t="shared" ref="EL22:EL25" si="406">IF(CU22="ECONACIONAL",$BG22+$BP22+$BY22+$CH22+$CQ22)</f>
        <v>0</v>
      </c>
      <c r="EM22" s="203">
        <f t="shared" ref="EM22:EM25" si="407">IF(CU22="ECONACIONAL",BH22+BQ22+BZ22+CI22+CR22)</f>
        <v>1159.3050000000001</v>
      </c>
      <c r="EN22" s="203">
        <f t="shared" ref="EN22:EN25" si="408">SUM(EF22:EM22)-EH22-EJ22</f>
        <v>14809.305</v>
      </c>
      <c r="EO22" s="809"/>
      <c r="EP22" s="1193">
        <v>429.5</v>
      </c>
      <c r="EQ22" s="812"/>
      <c r="ER22" s="812"/>
      <c r="ES22" s="246">
        <f>300+302</f>
        <v>602</v>
      </c>
      <c r="ET22" s="812"/>
      <c r="EU22" s="812"/>
      <c r="EV22" s="812"/>
      <c r="EW22" s="812"/>
      <c r="EX22" s="812"/>
      <c r="EY22" s="201">
        <f t="shared" ref="EY22:EY25" si="409">+ET22+EU22+EV22</f>
        <v>0</v>
      </c>
      <c r="EZ22" s="717"/>
      <c r="FA22" s="247">
        <f t="shared" ref="FA22:FA24" si="410">IF($M22&lt;=15,EP22/2,EP22)</f>
        <v>429.5</v>
      </c>
      <c r="FB22" s="247">
        <f t="shared" ref="FB22:FB24" si="411">IF($M22&lt;=15,EQ22/2,EQ22)</f>
        <v>0</v>
      </c>
      <c r="FC22" s="247">
        <f t="shared" ref="FC22:FC24" si="412">IF($M22&lt;=15,ER22/2,ER22)</f>
        <v>0</v>
      </c>
      <c r="FD22" s="247">
        <f t="shared" ref="FD22:FD24" si="413">IF($M22&lt;=15,ES22/2,ES22)</f>
        <v>602</v>
      </c>
      <c r="FE22" s="247">
        <f t="shared" ref="FE22:FE24" si="414">IF($M22&lt;=15,ET22/2,ET22)</f>
        <v>0</v>
      </c>
      <c r="FF22" s="247">
        <f t="shared" ref="FF22:FF24" si="415">IF($M22&lt;=15,EU22/2,EU22)</f>
        <v>0</v>
      </c>
      <c r="FG22" s="247">
        <f t="shared" ref="FG22:FG24" si="416">IF($M22&lt;=15,EV22/2,EV22)</f>
        <v>0</v>
      </c>
      <c r="FH22" s="247">
        <f t="shared" ref="FH22:FH24" si="417">IF($M22&lt;=15,EW22/2,EW22)</f>
        <v>0</v>
      </c>
      <c r="FI22" s="247">
        <f t="shared" ref="FI22:FI24" si="418">IF($M22&lt;=15,EX22/2,EX22)</f>
        <v>0</v>
      </c>
      <c r="FJ22" s="247">
        <f t="shared" ref="FJ22:FJ24" si="419">IF($M22&lt;=15,EY22/2,EY22)</f>
        <v>0</v>
      </c>
      <c r="FK22" s="245">
        <v>0.5</v>
      </c>
      <c r="FL22" s="245">
        <v>0.5</v>
      </c>
      <c r="FM22" s="245">
        <v>0</v>
      </c>
      <c r="FN22" s="245">
        <v>0</v>
      </c>
      <c r="FO22" s="245">
        <v>0</v>
      </c>
      <c r="FP22" s="245">
        <v>1</v>
      </c>
      <c r="FR22" s="1177">
        <f t="shared" ref="FR22:FR25" si="420">(((J22/30/8)*1.5)*(U22+Y22+AC22))-(BD22+BM22+BV22)</f>
        <v>0</v>
      </c>
      <c r="FS22" s="1177">
        <f t="shared" ref="FS22:FS25" si="421">(((J22/30/8)*2)*(W22+AA22+AE22))-(BF22+BO22+BX22)</f>
        <v>0</v>
      </c>
      <c r="FT22" s="1178">
        <f t="shared" ref="FT22:FT25" si="422">(SUM(BA22:CJ22))-(SUM(EF22:EN22))</f>
        <v>0</v>
      </c>
      <c r="FU22" s="1177">
        <f t="shared" ref="FU22:FU25" si="423">(J22/30*M22)-(EF22)</f>
        <v>0</v>
      </c>
      <c r="FV22" s="1181">
        <f t="shared" ref="FV22:FV25" si="424">(SUM(EP22:EY22))-((SUM(FA22:FJ22))*$FV$5)</f>
        <v>-1031.5</v>
      </c>
    </row>
    <row r="23" spans="1:183" s="778" customFormat="1" ht="15" customHeight="1" outlineLevel="1">
      <c r="A23" s="1005" t="str">
        <f t="shared" si="253"/>
        <v>JUNIO  2026 2da QUINCENA</v>
      </c>
      <c r="B23" s="1005">
        <f t="shared" si="90"/>
        <v>2026</v>
      </c>
      <c r="C23" s="1006" t="str">
        <f t="shared" si="254"/>
        <v>JUNIO  2026 2da QUINCENA2026</v>
      </c>
      <c r="D23" s="826" t="str">
        <f t="shared" si="375"/>
        <v>RECURSOS HUMANOS</v>
      </c>
      <c r="E23" s="235">
        <v>103010</v>
      </c>
      <c r="F23" s="805">
        <f>+F22+1</f>
        <v>2</v>
      </c>
      <c r="G23" s="167" t="s">
        <v>553</v>
      </c>
      <c r="H23" s="246" t="s">
        <v>479</v>
      </c>
      <c r="I23" s="244" t="s">
        <v>11</v>
      </c>
      <c r="J23" s="202">
        <v>4850</v>
      </c>
      <c r="K23" s="792">
        <v>1500</v>
      </c>
      <c r="L23" s="792">
        <f>+J23+K23</f>
        <v>6350</v>
      </c>
      <c r="M23" s="203">
        <v>30</v>
      </c>
      <c r="N23" s="815">
        <v>0.4</v>
      </c>
      <c r="O23" s="815">
        <v>0.35</v>
      </c>
      <c r="P23" s="815">
        <v>0.05</v>
      </c>
      <c r="Q23" s="1009">
        <v>0.2</v>
      </c>
      <c r="R23" s="793">
        <v>0</v>
      </c>
      <c r="S23" s="793">
        <f>SUM(N23:R23)</f>
        <v>1</v>
      </c>
      <c r="T23" s="806"/>
      <c r="U23" s="844"/>
      <c r="V23" s="236">
        <f>($J23/30/8*1.5)*U23</f>
        <v>0</v>
      </c>
      <c r="W23" s="247"/>
      <c r="X23" s="236">
        <f>($J23/30/8*2)*W23</f>
        <v>0</v>
      </c>
      <c r="Y23" s="247"/>
      <c r="Z23" s="236">
        <f>($J23/30/8*1.5)*Y23</f>
        <v>0</v>
      </c>
      <c r="AA23" s="247"/>
      <c r="AB23" s="236">
        <f>($J23/30/8*2)*AA23</f>
        <v>0</v>
      </c>
      <c r="AC23" s="247"/>
      <c r="AD23" s="236">
        <f>(($J23/30/8)*1.5)*AC23</f>
        <v>0</v>
      </c>
      <c r="AE23" s="794"/>
      <c r="AF23" s="236">
        <f>(($J23/30/8)*2)*AE23</f>
        <v>0</v>
      </c>
      <c r="AG23" s="794"/>
      <c r="AH23" s="236">
        <f>(($J23/30/8)*1.5)*AG23</f>
        <v>0</v>
      </c>
      <c r="AI23" s="794"/>
      <c r="AJ23" s="236">
        <f>(($J23/30/8)*2)*AI23</f>
        <v>0</v>
      </c>
      <c r="AK23" s="794"/>
      <c r="AL23" s="236">
        <f>(($J23/30/8)*1.5)*AK23</f>
        <v>0</v>
      </c>
      <c r="AM23" s="794"/>
      <c r="AN23" s="236">
        <f>(($J23/30/8)*2)*AM23</f>
        <v>0</v>
      </c>
      <c r="AO23" s="792"/>
      <c r="AP23" s="792"/>
      <c r="AQ23" s="792"/>
      <c r="AR23" s="792"/>
      <c r="AS23" s="792"/>
      <c r="AT23" s="792"/>
      <c r="AU23" s="792"/>
      <c r="AV23" s="792"/>
      <c r="AW23" s="792"/>
      <c r="AX23" s="792"/>
      <c r="AY23" s="792"/>
      <c r="AZ23" s="845"/>
      <c r="BA23" s="236">
        <f>((J23/30)*M23)*$N23</f>
        <v>1940</v>
      </c>
      <c r="BB23" s="203">
        <f>((K23/30)*M23)*$N23</f>
        <v>600</v>
      </c>
      <c r="BC23" s="236">
        <f t="shared" si="376"/>
        <v>0</v>
      </c>
      <c r="BD23" s="236">
        <f t="shared" si="377"/>
        <v>0</v>
      </c>
      <c r="BE23" s="236">
        <f t="shared" si="378"/>
        <v>0</v>
      </c>
      <c r="BF23" s="236">
        <f t="shared" si="379"/>
        <v>0</v>
      </c>
      <c r="BG23" s="236">
        <f>AO23+AT23</f>
        <v>0</v>
      </c>
      <c r="BH23" s="203">
        <f t="shared" si="380"/>
        <v>245.798</v>
      </c>
      <c r="BI23" s="236">
        <f>SUM(BA23:BH23)-BC23-BE23</f>
        <v>2785.7979999999998</v>
      </c>
      <c r="BJ23" s="236">
        <f>(($J23/30)*$M23)*$O23</f>
        <v>1697.5</v>
      </c>
      <c r="BK23" s="203">
        <f>(($K23/30)*$M23)*$O23</f>
        <v>525</v>
      </c>
      <c r="BL23" s="236">
        <f t="shared" si="381"/>
        <v>0</v>
      </c>
      <c r="BM23" s="236">
        <f t="shared" si="382"/>
        <v>0</v>
      </c>
      <c r="BN23" s="236">
        <f t="shared" si="383"/>
        <v>0</v>
      </c>
      <c r="BO23" s="236">
        <f t="shared" si="384"/>
        <v>0</v>
      </c>
      <c r="BP23" s="236">
        <f>AP23+AU23</f>
        <v>0</v>
      </c>
      <c r="BQ23" s="203">
        <f t="shared" si="385"/>
        <v>215.07325</v>
      </c>
      <c r="BR23" s="792">
        <f>SUM(BJ23:BQ23)-BL23-BN23</f>
        <v>2437.5732499999999</v>
      </c>
      <c r="BS23" s="236">
        <f>(($J23/30)*$M23)*$P23</f>
        <v>242.5</v>
      </c>
      <c r="BT23" s="236">
        <f>(($K23/30)*$M23)*$P23</f>
        <v>75</v>
      </c>
      <c r="BU23" s="236">
        <f t="shared" si="386"/>
        <v>0</v>
      </c>
      <c r="BV23" s="236">
        <f t="shared" si="387"/>
        <v>0</v>
      </c>
      <c r="BW23" s="236">
        <f t="shared" si="388"/>
        <v>0</v>
      </c>
      <c r="BX23" s="236">
        <f t="shared" si="389"/>
        <v>0</v>
      </c>
      <c r="BY23" s="236">
        <f>AQ23+AV23</f>
        <v>0</v>
      </c>
      <c r="BZ23" s="203">
        <f t="shared" si="390"/>
        <v>30.72475</v>
      </c>
      <c r="CA23" s="236">
        <f>SUM(BS23:BZ23)-BU23-BW23</f>
        <v>348.22474999999997</v>
      </c>
      <c r="CB23" s="816">
        <f>(($J23/30)*$M23)*$Q23</f>
        <v>970</v>
      </c>
      <c r="CC23" s="817">
        <f>(($K23/30)*$M23)*$Q23</f>
        <v>300</v>
      </c>
      <c r="CD23" s="817">
        <f t="shared" si="391"/>
        <v>0</v>
      </c>
      <c r="CE23" s="817">
        <f t="shared" si="392"/>
        <v>0</v>
      </c>
      <c r="CF23" s="817">
        <f t="shared" si="393"/>
        <v>0</v>
      </c>
      <c r="CG23" s="817">
        <f t="shared" si="394"/>
        <v>0</v>
      </c>
      <c r="CH23" s="817">
        <f>AR23+AW23</f>
        <v>0</v>
      </c>
      <c r="CI23" s="703">
        <f t="shared" si="395"/>
        <v>122.899</v>
      </c>
      <c r="CJ23" s="817">
        <f>SUM(CB23:CI23)-CD23-CF23</f>
        <v>1392.8989999999999</v>
      </c>
      <c r="CK23" s="817">
        <f>(($J23/30)*$M23)*R23</f>
        <v>0</v>
      </c>
      <c r="CL23" s="817">
        <f>(($K23/30)*$M23)*$R23</f>
        <v>0</v>
      </c>
      <c r="CM23" s="817">
        <f>+AK23</f>
        <v>0</v>
      </c>
      <c r="CN23" s="817">
        <f t="shared" si="396"/>
        <v>0</v>
      </c>
      <c r="CO23" s="817">
        <f t="shared" si="397"/>
        <v>0</v>
      </c>
      <c r="CP23" s="817">
        <f t="shared" si="398"/>
        <v>0</v>
      </c>
      <c r="CQ23" s="817">
        <f>AS23+AX23</f>
        <v>0</v>
      </c>
      <c r="CR23" s="817">
        <f>(CK23+CN23+CP23)*0.1267</f>
        <v>0</v>
      </c>
      <c r="CS23" s="818">
        <f>SUM(CK23:CR23)-CM23-CO23</f>
        <v>0</v>
      </c>
      <c r="CT23" s="809"/>
      <c r="CU23" s="244" t="s">
        <v>11</v>
      </c>
      <c r="CV23" s="236">
        <f>IF($CU23="PROQUIMA",$BA23+$BJ23+$BS23+$CB23+$CK23,0)</f>
        <v>0</v>
      </c>
      <c r="CW23" s="236">
        <f>IF($CU23="PROQUIMA",$BB23+$BK23+$BT23+$CC23+$CL23,0)</f>
        <v>0</v>
      </c>
      <c r="CX23" s="236">
        <f>IF($CU23="PROQUIMA",$BC23+$BL23+$BU23+$CD23+$CM23,0)</f>
        <v>0</v>
      </c>
      <c r="CY23" s="236">
        <f>IF($CU23="PROQUIMA",$BD23+$BM23+$BV23+$CE23+$CN23,0)</f>
        <v>0</v>
      </c>
      <c r="CZ23" s="236">
        <f>IF($CU23="PROQUIMA",$BE23+$BN23+$BW23+$CF23+$CO23,0)</f>
        <v>0</v>
      </c>
      <c r="DA23" s="236">
        <f>IF($CU23="PROQUIMA",$BF23+$BO23+$BX23+$CG23+$CP23,0)</f>
        <v>0</v>
      </c>
      <c r="DB23" s="236">
        <f>IF($CU23="PROQUIMA",$BG23+$BP23+$BY23+$CH23+$CQ23,0)</f>
        <v>0</v>
      </c>
      <c r="DC23" s="236">
        <f>IF($CU23="PROQUIMA",$BH23+$BQ23+$BZ23+$CI23+CR23,0)</f>
        <v>0</v>
      </c>
      <c r="DD23" s="236">
        <f>SUM(CV23:DC23)-CX23-CZ23</f>
        <v>0</v>
      </c>
      <c r="DE23" s="236">
        <f>IF($CU23="UNHESA",$BA23+$BJ23+$BS23+$CB23+$CK23,0)</f>
        <v>0</v>
      </c>
      <c r="DF23" s="236">
        <f>IF($CU23="UNHESA",$BB23+$BK23+$BT23+$CC23+$CL23,0)</f>
        <v>0</v>
      </c>
      <c r="DG23" s="236">
        <f>IF($CU23="UNHESA",$BC23+$BL23+$BU23+$CD23+$CM23,0)</f>
        <v>0</v>
      </c>
      <c r="DH23" s="236">
        <f>IF($CU23="UNHESA",$BD23+$BM23+$BV23+$CE23+$CN23,0)</f>
        <v>0</v>
      </c>
      <c r="DI23" s="236">
        <f>IF($CU23="UNHESA",$BE23+$BN23+$BW23+$CF23+$CO23,0)</f>
        <v>0</v>
      </c>
      <c r="DJ23" s="236">
        <f>IF($CU23="UNHESA",$BF23+$BO23+$BX23+$CG23+$CP23,0)</f>
        <v>0</v>
      </c>
      <c r="DK23" s="236">
        <f>IF($CU23="UNHESA",$BG23+$BP23+$BY23+$CH23+$CQ23,0)</f>
        <v>0</v>
      </c>
      <c r="DL23" s="236">
        <f>IF($CU23="UNHESA",$BH23+$BQ23+$BZ23+$CI23+$CR23,0)</f>
        <v>0</v>
      </c>
      <c r="DM23" s="236">
        <f>SUM(DE23:DL23)-DG23-DI23</f>
        <v>0</v>
      </c>
      <c r="DN23" s="236">
        <f>IF($CU23="UNHESA LIQUIDOS",$BA23+$BJ23+$BS23+$CB23+$CK23,0)</f>
        <v>0</v>
      </c>
      <c r="DO23" s="236">
        <f>IF($CU23="UNHESA LIQUIDOS",$BB23+$BK23+$BT23+$CC23+$CL23,0)</f>
        <v>0</v>
      </c>
      <c r="DP23" s="236">
        <f>IF($CU23="UNHESA LIQUIDOS",$BC23+$BL23+$BU23+$CD23+$CM23,0)</f>
        <v>0</v>
      </c>
      <c r="DQ23" s="236">
        <f>IF($CU23="UNHESA LIQUIDOS",$BD23+$BM23+$BV23+$CE23+$CN23,0)</f>
        <v>0</v>
      </c>
      <c r="DR23" s="236">
        <f>IF($CU23="UNHESA LIQUIDOS",$BE23+$BN23+$BW23+$CF23+$CO23,0)</f>
        <v>0</v>
      </c>
      <c r="DS23" s="236">
        <f>IF($CU23="UNHESA LIQUIDOS",$BF23+$BO23+$BX23+$CG23+$CP23,0)</f>
        <v>0</v>
      </c>
      <c r="DT23" s="236">
        <f>IF($CU23="UNHESA LIQUIDOS",$BG23+$BP23+$BY23+$CH23+$CQ23,0)</f>
        <v>0</v>
      </c>
      <c r="DU23" s="236">
        <f>IF($CU23="UNHESA LIQUIDOS",$BH23+$BQ23+$BZ23+$CI23+$CR23,0)</f>
        <v>0</v>
      </c>
      <c r="DV23" s="236">
        <f>SUM(DN23:DU23)-DP23-DR23</f>
        <v>0</v>
      </c>
      <c r="DW23" s="986">
        <f t="shared" ref="DW23:DW25" si="425">IF($CU23="CLEARTEC",$BA23+$BJ23+$BS23+$CB23+$CK23,0)</f>
        <v>0</v>
      </c>
      <c r="DX23" s="986">
        <f t="shared" si="399"/>
        <v>0</v>
      </c>
      <c r="DY23" s="986">
        <f t="shared" si="399"/>
        <v>0</v>
      </c>
      <c r="DZ23" s="986">
        <f t="shared" si="399"/>
        <v>0</v>
      </c>
      <c r="EA23" s="986">
        <f t="shared" si="399"/>
        <v>0</v>
      </c>
      <c r="EB23" s="986">
        <f t="shared" si="399"/>
        <v>0</v>
      </c>
      <c r="EC23" s="986">
        <f t="shared" si="399"/>
        <v>0</v>
      </c>
      <c r="ED23" s="986">
        <f t="shared" si="399"/>
        <v>0</v>
      </c>
      <c r="EE23" s="986">
        <f t="shared" si="399"/>
        <v>0</v>
      </c>
      <c r="EF23" s="203">
        <f t="shared" si="400"/>
        <v>4850</v>
      </c>
      <c r="EG23" s="242">
        <f t="shared" si="401"/>
        <v>1500</v>
      </c>
      <c r="EH23" s="203">
        <f t="shared" si="402"/>
        <v>0</v>
      </c>
      <c r="EI23" s="203">
        <f t="shared" si="403"/>
        <v>0</v>
      </c>
      <c r="EJ23" s="242">
        <f t="shared" si="404"/>
        <v>0</v>
      </c>
      <c r="EK23" s="203">
        <f t="shared" si="405"/>
        <v>0</v>
      </c>
      <c r="EL23" s="203">
        <f t="shared" si="406"/>
        <v>0</v>
      </c>
      <c r="EM23" s="203">
        <f t="shared" si="407"/>
        <v>614.495</v>
      </c>
      <c r="EN23" s="203">
        <f t="shared" si="408"/>
        <v>6964.4949999999999</v>
      </c>
      <c r="EO23" s="809"/>
      <c r="EP23" s="1194">
        <v>115.97</v>
      </c>
      <c r="EQ23" s="812"/>
      <c r="ER23" s="812"/>
      <c r="ES23" s="246">
        <f>124+81.5</f>
        <v>205.5</v>
      </c>
      <c r="ET23" s="812"/>
      <c r="EU23" s="812"/>
      <c r="EV23" s="1176">
        <v>350</v>
      </c>
      <c r="EW23" s="812"/>
      <c r="EX23" s="812">
        <v>313.43</v>
      </c>
      <c r="EY23" s="201">
        <f t="shared" si="409"/>
        <v>350</v>
      </c>
      <c r="EZ23" s="717"/>
      <c r="FA23" s="247">
        <f t="shared" si="410"/>
        <v>115.97</v>
      </c>
      <c r="FB23" s="247">
        <f t="shared" si="411"/>
        <v>0</v>
      </c>
      <c r="FC23" s="247">
        <f t="shared" si="412"/>
        <v>0</v>
      </c>
      <c r="FD23" s="247">
        <f t="shared" si="413"/>
        <v>205.5</v>
      </c>
      <c r="FE23" s="247">
        <f t="shared" si="414"/>
        <v>0</v>
      </c>
      <c r="FF23" s="247">
        <f t="shared" si="415"/>
        <v>0</v>
      </c>
      <c r="FG23" s="247">
        <f t="shared" si="416"/>
        <v>350</v>
      </c>
      <c r="FH23" s="247">
        <f t="shared" si="417"/>
        <v>0</v>
      </c>
      <c r="FI23" s="247">
        <f t="shared" si="418"/>
        <v>313.43</v>
      </c>
      <c r="FJ23" s="247">
        <f t="shared" si="419"/>
        <v>350</v>
      </c>
      <c r="FK23" s="245"/>
      <c r="FL23" s="245"/>
      <c r="FM23" s="245"/>
      <c r="FN23" s="245"/>
      <c r="FO23" s="245"/>
      <c r="FP23" s="245"/>
      <c r="FR23" s="1177">
        <f t="shared" si="420"/>
        <v>0</v>
      </c>
      <c r="FS23" s="1177">
        <f t="shared" si="421"/>
        <v>0</v>
      </c>
      <c r="FT23" s="1178">
        <f t="shared" si="422"/>
        <v>0</v>
      </c>
      <c r="FU23" s="1177">
        <f t="shared" si="423"/>
        <v>0</v>
      </c>
      <c r="FV23" s="1181">
        <f t="shared" si="424"/>
        <v>-1334.9</v>
      </c>
    </row>
    <row r="24" spans="1:183" s="216" customFormat="1" ht="15" customHeight="1" outlineLevel="1">
      <c r="A24" s="1005" t="str">
        <f t="shared" si="253"/>
        <v>JUNIO  2026 2da QUINCENA</v>
      </c>
      <c r="B24" s="1005">
        <f t="shared" si="90"/>
        <v>2026</v>
      </c>
      <c r="C24" s="1006" t="str">
        <f t="shared" ref="C24" si="426">A24 &amp; B24</f>
        <v>JUNIO  2026 2da QUINCENA2026</v>
      </c>
      <c r="D24" s="235" t="str">
        <f>+$G$8</f>
        <v>ADMINISTRATIVO</v>
      </c>
      <c r="E24" s="235">
        <v>103010</v>
      </c>
      <c r="F24" s="268">
        <v>4</v>
      </c>
      <c r="G24" s="1243" t="s">
        <v>615</v>
      </c>
      <c r="H24" s="200" t="s">
        <v>492</v>
      </c>
      <c r="I24" s="201" t="s">
        <v>11</v>
      </c>
      <c r="J24" s="203">
        <v>4250.03</v>
      </c>
      <c r="K24" s="203">
        <v>250</v>
      </c>
      <c r="L24" s="202">
        <f>+J24+K24</f>
        <v>4500.03</v>
      </c>
      <c r="M24" s="203">
        <v>30</v>
      </c>
      <c r="N24" s="204">
        <v>0.5</v>
      </c>
      <c r="O24" s="204">
        <v>0.45</v>
      </c>
      <c r="P24" s="204">
        <v>0.05</v>
      </c>
      <c r="Q24" s="204">
        <v>0</v>
      </c>
      <c r="R24" s="204">
        <v>0</v>
      </c>
      <c r="S24" s="204">
        <f t="shared" ref="S24" si="427">SUM(N24:R24)</f>
        <v>1</v>
      </c>
      <c r="T24" s="813"/>
      <c r="U24" s="207"/>
      <c r="V24" s="203">
        <f>($J24/30/8*1.5)*U24</f>
        <v>0</v>
      </c>
      <c r="W24" s="207"/>
      <c r="X24" s="203">
        <f>($J24/30/8*2)*W24</f>
        <v>0</v>
      </c>
      <c r="Y24" s="207"/>
      <c r="Z24" s="203">
        <f>($J24/30/8*1.5)*Y24</f>
        <v>0</v>
      </c>
      <c r="AA24" s="207"/>
      <c r="AB24" s="203">
        <f>($J24/30/8*2)*AA24</f>
        <v>0</v>
      </c>
      <c r="AC24" s="207"/>
      <c r="AD24" s="203">
        <f>(($J24/30/8)*1.5)*AC24</f>
        <v>0</v>
      </c>
      <c r="AE24" s="208"/>
      <c r="AF24" s="203">
        <f t="shared" ref="AF24" si="428">(($J24/30/8)*2)*AE24</f>
        <v>0</v>
      </c>
      <c r="AG24" s="208"/>
      <c r="AH24" s="203">
        <f t="shared" ref="AH24" si="429">(($J24/30/8)*1.5)*AG24</f>
        <v>0</v>
      </c>
      <c r="AI24" s="208"/>
      <c r="AJ24" s="203">
        <f t="shared" ref="AJ24" si="430">(($J24/30/8)*2)*AI24</f>
        <v>0</v>
      </c>
      <c r="AK24" s="203"/>
      <c r="AL24" s="203"/>
      <c r="AM24" s="208"/>
      <c r="AN24" s="203"/>
      <c r="AO24" s="203"/>
      <c r="AP24" s="203"/>
      <c r="AQ24" s="203"/>
      <c r="AR24" s="203"/>
      <c r="AS24" s="203"/>
      <c r="AT24" s="203"/>
      <c r="AU24" s="203"/>
      <c r="AV24" s="203"/>
      <c r="AW24" s="203"/>
      <c r="AX24" s="203"/>
      <c r="AY24" s="203"/>
      <c r="AZ24" s="201"/>
      <c r="BA24" s="203">
        <f t="shared" ref="BA24" si="431">((J24/30)*M24)*$N24</f>
        <v>2125.0149999999999</v>
      </c>
      <c r="BB24" s="203">
        <f t="shared" ref="BB24" si="432">((K24/30)*M24)*$N24</f>
        <v>125.00000000000001</v>
      </c>
      <c r="BC24" s="203">
        <f t="shared" si="376"/>
        <v>0</v>
      </c>
      <c r="BD24" s="203">
        <f t="shared" si="377"/>
        <v>0</v>
      </c>
      <c r="BE24" s="203">
        <f t="shared" si="378"/>
        <v>0</v>
      </c>
      <c r="BF24" s="203">
        <f t="shared" si="379"/>
        <v>0</v>
      </c>
      <c r="BG24" s="203">
        <f>AO24+AT24</f>
        <v>0</v>
      </c>
      <c r="BH24" s="203">
        <f t="shared" si="380"/>
        <v>269.23940049999999</v>
      </c>
      <c r="BI24" s="203">
        <f>SUM(BA24:BH24)-BC24-BE24</f>
        <v>2519.2544005</v>
      </c>
      <c r="BJ24" s="203">
        <f>(($J24/30)*$M24)*$O24</f>
        <v>1912.5135</v>
      </c>
      <c r="BK24" s="203">
        <f>(($K24/30)*$M24)*$O24</f>
        <v>112.50000000000001</v>
      </c>
      <c r="BL24" s="203">
        <f t="shared" si="381"/>
        <v>0</v>
      </c>
      <c r="BM24" s="203">
        <f t="shared" si="382"/>
        <v>0</v>
      </c>
      <c r="BN24" s="203">
        <f t="shared" si="383"/>
        <v>0</v>
      </c>
      <c r="BO24" s="203">
        <f t="shared" si="384"/>
        <v>0</v>
      </c>
      <c r="BP24" s="203">
        <f>AP24+AU24</f>
        <v>0</v>
      </c>
      <c r="BQ24" s="203">
        <f>(+BJ24+BM24+BO24+BP24)*0.1267</f>
        <v>242.31546045000002</v>
      </c>
      <c r="BR24" s="202">
        <f>SUM(BJ24:BQ24)-BL24-BN24</f>
        <v>2267.3289604500001</v>
      </c>
      <c r="BS24" s="203">
        <f t="shared" ref="BS24" si="433">(($J24/30)*$M24)*$P24</f>
        <v>212.50149999999999</v>
      </c>
      <c r="BT24" s="203">
        <f t="shared" ref="BT24" si="434">(($K24/30)*$M24)*$P24</f>
        <v>12.500000000000002</v>
      </c>
      <c r="BU24" s="203">
        <f t="shared" si="386"/>
        <v>0</v>
      </c>
      <c r="BV24" s="203">
        <f t="shared" si="387"/>
        <v>0</v>
      </c>
      <c r="BW24" s="203">
        <f t="shared" si="388"/>
        <v>0</v>
      </c>
      <c r="BX24" s="203">
        <f t="shared" si="389"/>
        <v>0</v>
      </c>
      <c r="BY24" s="203">
        <f>AQ24+AV24</f>
        <v>0</v>
      </c>
      <c r="BZ24" s="203">
        <f>(BS24+BV24+BX24+BY24)*0.1267</f>
        <v>26.923940050000002</v>
      </c>
      <c r="CA24" s="203">
        <f>SUM(BS24:BZ24)-BU24-BW24</f>
        <v>251.92544004999999</v>
      </c>
      <c r="CB24" s="781">
        <f t="shared" ref="CB24" si="435">(($J24/30)*$M24)*$Q24</f>
        <v>0</v>
      </c>
      <c r="CC24" s="782">
        <f t="shared" ref="CC24" si="436">(($K24/30)*$M24)*$Q24</f>
        <v>0</v>
      </c>
      <c r="CD24" s="782">
        <f t="shared" si="391"/>
        <v>0</v>
      </c>
      <c r="CE24" s="782">
        <f t="shared" si="392"/>
        <v>0</v>
      </c>
      <c r="CF24" s="782">
        <f t="shared" si="393"/>
        <v>0</v>
      </c>
      <c r="CG24" s="782">
        <f t="shared" si="394"/>
        <v>0</v>
      </c>
      <c r="CH24" s="782">
        <f t="shared" ref="CH24" si="437">AR24+AW24</f>
        <v>0</v>
      </c>
      <c r="CI24" s="703">
        <f>(CB24+CE24+CG24+CH24)*0.1267</f>
        <v>0</v>
      </c>
      <c r="CJ24" s="784">
        <f t="shared" ref="CJ24" si="438">SUM(CB24:CI24)-CD24-CF24</f>
        <v>0</v>
      </c>
      <c r="CK24" s="785"/>
      <c r="CL24" s="782"/>
      <c r="CM24" s="782"/>
      <c r="CN24" s="782"/>
      <c r="CO24" s="782"/>
      <c r="CP24" s="782"/>
      <c r="CQ24" s="782"/>
      <c r="CR24" s="783"/>
      <c r="CS24" s="783"/>
      <c r="CU24" s="201" t="s">
        <v>11</v>
      </c>
      <c r="CV24" s="203">
        <f t="shared" ref="CV24" si="439">IF($CU24="PROQUIMA",$BA24+$BJ24+$BS24+$CB24+$CK24,0)</f>
        <v>0</v>
      </c>
      <c r="CW24" s="203">
        <f t="shared" ref="CW24" si="440">IF($CU24="PROQUIMA",$BB24+$BK24+$BT24+$CC24+$CL24,0)</f>
        <v>0</v>
      </c>
      <c r="CX24" s="203">
        <f t="shared" ref="CX24" si="441">IF($CU24="PROQUIMA",$BC24+$BL24+$BU24+$CD24+$CM24,0)</f>
        <v>0</v>
      </c>
      <c r="CY24" s="203">
        <f t="shared" ref="CY24" si="442">IF($CU24="PROQUIMA",$BD24+$BM24+$BV24+$CE24+$CN24,0)</f>
        <v>0</v>
      </c>
      <c r="CZ24" s="203">
        <f t="shared" ref="CZ24" si="443">IF($CU24="PROQUIMA",$BE24+$BN24+$BW24+$CF24+$CO24,0)</f>
        <v>0</v>
      </c>
      <c r="DA24" s="203">
        <f t="shared" ref="DA24" si="444">IF($CU24="PROQUIMA",$BF24+$BO24+$BX24+$CG24+$CP24,0)</f>
        <v>0</v>
      </c>
      <c r="DB24" s="203">
        <f t="shared" ref="DB24" si="445">IF($CU24="PROQUIMA",$BG24+$BP24+$BY24+$CH24+$CQ24,0)</f>
        <v>0</v>
      </c>
      <c r="DC24" s="203">
        <f>IF($CU24="PROQUIMA",$BH24+$BQ24+$BZ24+$CI24+CR24,0)</f>
        <v>0</v>
      </c>
      <c r="DD24" s="203">
        <f>SUM(CV24:DC24)-CX24-CZ24</f>
        <v>0</v>
      </c>
      <c r="DE24" s="203">
        <f t="shared" ref="DE24" si="446">IF($CU24="UNHESA",$BA24+$BJ24+$BS24+$CB24+$CK24,0)</f>
        <v>0</v>
      </c>
      <c r="DF24" s="203">
        <f t="shared" ref="DF24" si="447">IF($CU24="UNHESA",$BB24+$BK24+$BT24+$CC24+$CL24,0)</f>
        <v>0</v>
      </c>
      <c r="DG24" s="203">
        <f t="shared" ref="DG24" si="448">IF($CU24="UNHESA",$BC24+$BL24+$BU24+$CD24+$CM24,0)</f>
        <v>0</v>
      </c>
      <c r="DH24" s="203">
        <f t="shared" ref="DH24" si="449">IF($CU24="UNHESA",$BD24+$BM24+$BV24+$CE24+$CN24,0)</f>
        <v>0</v>
      </c>
      <c r="DI24" s="203">
        <f t="shared" ref="DI24" si="450">IF($CU24="UNHESA",$BE24+$BN24+$BW24+$CF24+$CO24,0)</f>
        <v>0</v>
      </c>
      <c r="DJ24" s="203">
        <f t="shared" ref="DJ24" si="451">IF($CU24="UNHESA",$BF24+$BO24+$BX24+$CG24+$CP24,0)</f>
        <v>0</v>
      </c>
      <c r="DK24" s="203">
        <f t="shared" ref="DK24" si="452">IF($CU24="UNHESA",$BG24+$BP24+$BY24+$CH24+$CQ24,0)</f>
        <v>0</v>
      </c>
      <c r="DL24" s="203">
        <f t="shared" ref="DL24" si="453">IF($CU24="UNHESA",$BH24+$BQ24+$BZ24+$CI24+$CR24,0)</f>
        <v>0</v>
      </c>
      <c r="DM24" s="203">
        <f>SUM(DE24:DL24)-DG24-DI24</f>
        <v>0</v>
      </c>
      <c r="DN24" s="203">
        <f t="shared" ref="DN24" si="454">IF($CU24="UNHESA LIQUIDOS",$BA24+$BJ24+$BS24+$CB24+$CK24,0)</f>
        <v>0</v>
      </c>
      <c r="DO24" s="203">
        <f t="shared" ref="DO24" si="455">IF($CU24="CALIDUL",$BB24+$BK24+$BT24+$CC24+$CL24,0)</f>
        <v>0</v>
      </c>
      <c r="DP24" s="203">
        <f t="shared" ref="DP24" si="456">IF($CU24="CALIDUL",$BC24+$BL24+$BU24+$CD24+$CM24,0)</f>
        <v>0</v>
      </c>
      <c r="DQ24" s="203">
        <f t="shared" ref="DQ24" si="457">IF($CU24="CALIDUL",$BD24+$BM24+$BV24+$CE24+$CN24,0)</f>
        <v>0</v>
      </c>
      <c r="DR24" s="203">
        <f t="shared" ref="DR24" si="458">IF($CU24="CALIDUL",$BE24+$BN24+$BW24+$CF24+$CO24,0)</f>
        <v>0</v>
      </c>
      <c r="DS24" s="203">
        <f t="shared" ref="DS24" si="459">IF($CU24="CALIDUL",$BF24+$BO24+$BX24+$CG24+$CP24,0)</f>
        <v>0</v>
      </c>
      <c r="DT24" s="203">
        <f t="shared" ref="DT24" si="460">IF($CU24="CALIDUL",$BG24+$BP24+$BY24+$CH24+$CQ24,0)</f>
        <v>0</v>
      </c>
      <c r="DU24" s="203">
        <f t="shared" ref="DU24" si="461">IF($CU24="CALIDUL",$BH24+$BQ24+$BZ24+$CI24+$CR24,0)</f>
        <v>0</v>
      </c>
      <c r="DV24" s="203">
        <f>SUM(DN24:DU24)-DP24-DR24</f>
        <v>0</v>
      </c>
      <c r="DW24" s="702">
        <f>IF($CU24="CLEARTEC",$BA24+$BJ24+$BS24+$CB24+$CK24,0)</f>
        <v>0</v>
      </c>
      <c r="DX24" s="702">
        <f t="shared" si="399"/>
        <v>0</v>
      </c>
      <c r="DY24" s="702">
        <f t="shared" si="399"/>
        <v>0</v>
      </c>
      <c r="DZ24" s="702">
        <f t="shared" si="399"/>
        <v>0</v>
      </c>
      <c r="EA24" s="702">
        <f t="shared" si="399"/>
        <v>0</v>
      </c>
      <c r="EB24" s="702">
        <f t="shared" si="399"/>
        <v>0</v>
      </c>
      <c r="EC24" s="702">
        <f t="shared" si="399"/>
        <v>0</v>
      </c>
      <c r="ED24" s="702">
        <f t="shared" si="399"/>
        <v>0</v>
      </c>
      <c r="EE24" s="704">
        <f t="shared" ref="EE24" si="462">SUM(DW24:ED24)-DY24-EA24</f>
        <v>0</v>
      </c>
      <c r="EF24" s="203">
        <f t="shared" si="400"/>
        <v>4250.03</v>
      </c>
      <c r="EG24" s="242">
        <f t="shared" si="401"/>
        <v>250.00000000000003</v>
      </c>
      <c r="EH24" s="203">
        <f t="shared" si="402"/>
        <v>0</v>
      </c>
      <c r="EI24" s="203">
        <f t="shared" si="403"/>
        <v>0</v>
      </c>
      <c r="EJ24" s="242">
        <f t="shared" si="404"/>
        <v>0</v>
      </c>
      <c r="EK24" s="203">
        <f t="shared" si="405"/>
        <v>0</v>
      </c>
      <c r="EL24" s="203">
        <f t="shared" si="406"/>
        <v>0</v>
      </c>
      <c r="EM24" s="203">
        <f t="shared" si="407"/>
        <v>538.47880100000009</v>
      </c>
      <c r="EN24" s="203">
        <f t="shared" si="408"/>
        <v>5038.5088009999999</v>
      </c>
      <c r="EP24" s="201">
        <v>4.51</v>
      </c>
      <c r="EQ24" s="201"/>
      <c r="ER24" s="201"/>
      <c r="ES24" s="201">
        <f>135.5+88.5</f>
        <v>224</v>
      </c>
      <c r="ET24" s="201"/>
      <c r="EU24" s="201"/>
      <c r="EV24" s="201"/>
      <c r="EW24" s="201"/>
      <c r="EX24" s="851"/>
      <c r="EY24" s="201">
        <f t="shared" si="409"/>
        <v>0</v>
      </c>
      <c r="FA24" s="207">
        <f t="shared" si="410"/>
        <v>4.51</v>
      </c>
      <c r="FB24" s="207">
        <f t="shared" si="411"/>
        <v>0</v>
      </c>
      <c r="FC24" s="207">
        <f t="shared" si="412"/>
        <v>0</v>
      </c>
      <c r="FD24" s="207">
        <f t="shared" si="413"/>
        <v>224</v>
      </c>
      <c r="FE24" s="207">
        <f t="shared" si="414"/>
        <v>0</v>
      </c>
      <c r="FF24" s="207">
        <f t="shared" si="415"/>
        <v>0</v>
      </c>
      <c r="FG24" s="207">
        <f t="shared" si="416"/>
        <v>0</v>
      </c>
      <c r="FH24" s="207">
        <f t="shared" si="417"/>
        <v>0</v>
      </c>
      <c r="FI24" s="207">
        <f t="shared" si="418"/>
        <v>0</v>
      </c>
      <c r="FJ24" s="207">
        <f t="shared" si="419"/>
        <v>0</v>
      </c>
      <c r="FK24" s="217"/>
      <c r="FL24" s="217"/>
      <c r="FM24" s="217"/>
      <c r="FN24" s="217"/>
      <c r="FO24" s="217"/>
      <c r="FP24" s="217"/>
      <c r="FR24" s="1184">
        <f>(((J24/30/8)*1.5)*(U24+Y24+AC24))-(BD24+BM24+BV24)</f>
        <v>0</v>
      </c>
      <c r="FS24" s="1184">
        <f t="shared" si="421"/>
        <v>0</v>
      </c>
      <c r="FT24" s="1185">
        <f>(SUM(BA24:CJ24))-(SUM(EF24:EN24))</f>
        <v>0</v>
      </c>
      <c r="FU24" s="1184">
        <f>(J24/30*M24)-(EF24)</f>
        <v>0</v>
      </c>
      <c r="FV24" s="1186">
        <f>(SUM(EP24:EY24))-((SUM(FA24:FJ24))*$FV$5)</f>
        <v>-228.51</v>
      </c>
    </row>
    <row r="25" spans="1:183" s="778" customFormat="1" ht="15" customHeight="1" outlineLevel="1">
      <c r="A25" s="1005" t="str">
        <f t="shared" si="253"/>
        <v>JUNIO  2026 2da QUINCENA</v>
      </c>
      <c r="B25" s="1005">
        <f t="shared" si="90"/>
        <v>2026</v>
      </c>
      <c r="C25" s="1006" t="str">
        <f t="shared" si="254"/>
        <v>JUNIO  2026 2da QUINCENA2026</v>
      </c>
      <c r="D25" s="826" t="str">
        <f t="shared" si="375"/>
        <v>RECURSOS HUMANOS</v>
      </c>
      <c r="E25" s="235">
        <v>103010</v>
      </c>
      <c r="F25" s="805">
        <v>9</v>
      </c>
      <c r="G25" s="167" t="s">
        <v>678</v>
      </c>
      <c r="H25" s="246" t="s">
        <v>568</v>
      </c>
      <c r="I25" s="244" t="s">
        <v>11</v>
      </c>
      <c r="J25" s="202">
        <v>4725</v>
      </c>
      <c r="K25" s="792">
        <v>1000</v>
      </c>
      <c r="L25" s="792">
        <f>+J25+K25</f>
        <v>5725</v>
      </c>
      <c r="M25" s="203">
        <v>30</v>
      </c>
      <c r="N25" s="815">
        <v>0.4</v>
      </c>
      <c r="O25" s="815">
        <v>0.35</v>
      </c>
      <c r="P25" s="815">
        <v>0.05</v>
      </c>
      <c r="Q25" s="1009">
        <v>0.2</v>
      </c>
      <c r="R25" s="793">
        <v>0</v>
      </c>
      <c r="S25" s="793">
        <f>SUM(N25:R25)</f>
        <v>1</v>
      </c>
      <c r="T25" s="806"/>
      <c r="U25" s="844"/>
      <c r="V25" s="236">
        <f>($J25/30/8*1.5)*U25</f>
        <v>0</v>
      </c>
      <c r="W25" s="247"/>
      <c r="X25" s="236">
        <f>($J25/30/8*2)*W25</f>
        <v>0</v>
      </c>
      <c r="Y25" s="247"/>
      <c r="Z25" s="236">
        <f>($J25/30/8*1.5)*Y25</f>
        <v>0</v>
      </c>
      <c r="AA25" s="247"/>
      <c r="AB25" s="236">
        <f>($J25/30/8*2)*AA25</f>
        <v>0</v>
      </c>
      <c r="AC25" s="247"/>
      <c r="AD25" s="236">
        <f>(($J25/30/8)*1.5)*AC25</f>
        <v>0</v>
      </c>
      <c r="AE25" s="794"/>
      <c r="AF25" s="236">
        <f>(($J25/30/8)*2)*AE25</f>
        <v>0</v>
      </c>
      <c r="AG25" s="794"/>
      <c r="AH25" s="236">
        <f>(($J25/30/8)*1.5)*AG25</f>
        <v>0</v>
      </c>
      <c r="AI25" s="794"/>
      <c r="AJ25" s="236">
        <f>(($J25/30/8)*2)*AI25</f>
        <v>0</v>
      </c>
      <c r="AK25" s="794"/>
      <c r="AL25" s="236">
        <f>(($J25/30/8)*1.5)*AK25</f>
        <v>0</v>
      </c>
      <c r="AM25" s="794"/>
      <c r="AN25" s="236">
        <f>(($J25/30/8)*2)*AM25</f>
        <v>0</v>
      </c>
      <c r="AO25" s="792"/>
      <c r="AP25" s="792"/>
      <c r="AQ25" s="792"/>
      <c r="AR25" s="792"/>
      <c r="AS25" s="792"/>
      <c r="AT25" s="792"/>
      <c r="AU25" s="792"/>
      <c r="AV25" s="792"/>
      <c r="AW25" s="792"/>
      <c r="AX25" s="792"/>
      <c r="AY25" s="792"/>
      <c r="AZ25" s="845"/>
      <c r="BA25" s="236">
        <f>((J25/30)*M25)*$N25</f>
        <v>1890</v>
      </c>
      <c r="BB25" s="203">
        <f>((K25/30)*M25)*$N25</f>
        <v>400.00000000000006</v>
      </c>
      <c r="BC25" s="236">
        <f t="shared" ref="BC25" si="463">U25</f>
        <v>0</v>
      </c>
      <c r="BD25" s="236">
        <f t="shared" ref="BD25" si="464">V25</f>
        <v>0</v>
      </c>
      <c r="BE25" s="236">
        <f t="shared" ref="BE25" si="465">W25</f>
        <v>0</v>
      </c>
      <c r="BF25" s="236">
        <f t="shared" ref="BF25" si="466">X25</f>
        <v>0</v>
      </c>
      <c r="BG25" s="236">
        <f>AO25+AT25</f>
        <v>0</v>
      </c>
      <c r="BH25" s="203">
        <f t="shared" si="380"/>
        <v>239.46300000000002</v>
      </c>
      <c r="BI25" s="236">
        <f>SUM(BA25:BH25)-BC25-BE25</f>
        <v>2529.4630000000002</v>
      </c>
      <c r="BJ25" s="236">
        <f>(($J25/30)*$M25)*$O25</f>
        <v>1653.75</v>
      </c>
      <c r="BK25" s="203">
        <f>(($K25/30)*$M25)*$O25</f>
        <v>350</v>
      </c>
      <c r="BL25" s="236">
        <f t="shared" ref="BL25" si="467">Y25</f>
        <v>0</v>
      </c>
      <c r="BM25" s="236">
        <f t="shared" ref="BM25" si="468">Z25</f>
        <v>0</v>
      </c>
      <c r="BN25" s="236">
        <f t="shared" ref="BN25" si="469">AA25</f>
        <v>0</v>
      </c>
      <c r="BO25" s="236">
        <f t="shared" ref="BO25" si="470">AB25</f>
        <v>0</v>
      </c>
      <c r="BP25" s="236">
        <f>AP25+AU25</f>
        <v>0</v>
      </c>
      <c r="BQ25" s="203">
        <f t="shared" si="385"/>
        <v>209.530125</v>
      </c>
      <c r="BR25" s="792">
        <f>SUM(BJ25:BQ25)-BL25-BN25</f>
        <v>2213.2801250000002</v>
      </c>
      <c r="BS25" s="236">
        <f>(($J25/30)*$M25)*$P25</f>
        <v>236.25</v>
      </c>
      <c r="BT25" s="236">
        <f>(($K25/30)*$M25)*$P25</f>
        <v>50.000000000000007</v>
      </c>
      <c r="BU25" s="236">
        <f t="shared" ref="BU25" si="471">AC25</f>
        <v>0</v>
      </c>
      <c r="BV25" s="236">
        <f t="shared" ref="BV25" si="472">AD25</f>
        <v>0</v>
      </c>
      <c r="BW25" s="236">
        <f t="shared" ref="BW25" si="473">AE25</f>
        <v>0</v>
      </c>
      <c r="BX25" s="236">
        <f t="shared" ref="BX25" si="474">AF25</f>
        <v>0</v>
      </c>
      <c r="BY25" s="236">
        <f>AQ25+AV25</f>
        <v>0</v>
      </c>
      <c r="BZ25" s="203">
        <f t="shared" si="390"/>
        <v>29.932875000000003</v>
      </c>
      <c r="CA25" s="236">
        <f>SUM(BS25:BZ25)-BU25-BW25</f>
        <v>316.18287500000002</v>
      </c>
      <c r="CB25" s="816">
        <f>(($J25/30)*$M25)*$Q25</f>
        <v>945</v>
      </c>
      <c r="CC25" s="817">
        <f>(($K25/30)*$M25)*$Q25</f>
        <v>200.00000000000003</v>
      </c>
      <c r="CD25" s="817">
        <f t="shared" ref="CD25" si="475">AG25</f>
        <v>0</v>
      </c>
      <c r="CE25" s="817">
        <f t="shared" ref="CE25" si="476">AH25</f>
        <v>0</v>
      </c>
      <c r="CF25" s="817">
        <f t="shared" ref="CF25" si="477">AI25</f>
        <v>0</v>
      </c>
      <c r="CG25" s="817">
        <f t="shared" ref="CG25" si="478">AJ25</f>
        <v>0</v>
      </c>
      <c r="CH25" s="817">
        <f>AR25+AW25</f>
        <v>0</v>
      </c>
      <c r="CI25" s="703">
        <f t="shared" si="395"/>
        <v>119.73150000000001</v>
      </c>
      <c r="CJ25" s="817">
        <f>SUM(CB25:CI25)-CD25-CF25</f>
        <v>1264.7315000000001</v>
      </c>
      <c r="CK25" s="817">
        <f>(($J25/30)*$M25)*R25</f>
        <v>0</v>
      </c>
      <c r="CL25" s="817">
        <f>(($K25/30)*$M25)*$R25</f>
        <v>0</v>
      </c>
      <c r="CM25" s="817">
        <f>+AK25</f>
        <v>0</v>
      </c>
      <c r="CN25" s="817">
        <f t="shared" ref="CN25" si="479">AL25</f>
        <v>0</v>
      </c>
      <c r="CO25" s="817">
        <f t="shared" ref="CO25" si="480">AM25</f>
        <v>0</v>
      </c>
      <c r="CP25" s="817">
        <f t="shared" ref="CP25" si="481">AN25</f>
        <v>0</v>
      </c>
      <c r="CQ25" s="817">
        <f>AS25+AX25</f>
        <v>0</v>
      </c>
      <c r="CR25" s="817">
        <f>(CK25+CN25+CP25)*0.1267</f>
        <v>0</v>
      </c>
      <c r="CS25" s="818">
        <f>SUM(CK25:CR25)-CM25-CO25</f>
        <v>0</v>
      </c>
      <c r="CT25" s="809"/>
      <c r="CU25" s="991" t="s">
        <v>11</v>
      </c>
      <c r="CV25" s="236">
        <f>IF($CU25="PROQUIMA",$BA25+$BJ25+$BS25+$CB25+$CK25,0)</f>
        <v>0</v>
      </c>
      <c r="CW25" s="236">
        <f>IF($CU25="PROQUIMA",$BB25+$BK25+$BT25+$CC25+$CL25,0)</f>
        <v>0</v>
      </c>
      <c r="CX25" s="236">
        <f>IF($CU25="PROQUIMA",$BC25+$BL25+$BU25+$CD25+$CM25,0)</f>
        <v>0</v>
      </c>
      <c r="CY25" s="236">
        <f>IF($CU25="PROQUIMA",$BD25+$BM25+$BV25+$CE25+$CN25,0)</f>
        <v>0</v>
      </c>
      <c r="CZ25" s="236">
        <f>IF($CU25="PROQUIMA",$BE25+$BN25+$BW25+$CF25+$CO25,0)</f>
        <v>0</v>
      </c>
      <c r="DA25" s="236">
        <f>IF($CU25="PROQUIMA",$BF25+$BO25+$BX25+$CG25+$CP25,0)</f>
        <v>0</v>
      </c>
      <c r="DB25" s="236">
        <f>IF($CU25="PROQUIMA",$BG25+$BP25+$BY25+$CH25+$CQ25,0)</f>
        <v>0</v>
      </c>
      <c r="DC25" s="236">
        <f>IF($CU25="PROQUIMA",$BH25+$BQ25+$BZ25+$CI25+CR25,0)</f>
        <v>0</v>
      </c>
      <c r="DD25" s="236">
        <f>SUM(CV25:DC25)-CX25-CZ25</f>
        <v>0</v>
      </c>
      <c r="DE25" s="236">
        <f>IF($CU25="UNHESA",$BA25+$BJ25+$BS25+$CB25+$CK25,0)</f>
        <v>0</v>
      </c>
      <c r="DF25" s="236">
        <f>IF($CU25="UNHESA",$BB25+$BK25+$BT25+$CC25+$CL25,0)</f>
        <v>0</v>
      </c>
      <c r="DG25" s="236">
        <f>IF($CU25="UNHESA",$BC25+$BL25+$BU25+$CD25+$CM25,0)</f>
        <v>0</v>
      </c>
      <c r="DH25" s="236">
        <f>IF($CU25="UNHESA",$BD25+$BM25+$BV25+$CE25+$CN25,0)</f>
        <v>0</v>
      </c>
      <c r="DI25" s="236">
        <f>IF($CU25="UNHESA",$BE25+$BN25+$BW25+$CF25+$CO25,0)</f>
        <v>0</v>
      </c>
      <c r="DJ25" s="236">
        <f>IF($CU25="UNHESA",$BF25+$BO25+$BX25+$CG25+$CP25,0)</f>
        <v>0</v>
      </c>
      <c r="DK25" s="236">
        <f>IF($CU25="UNHESA",$BG25+$BP25+$BY25+$CH25+$CQ25,0)</f>
        <v>0</v>
      </c>
      <c r="DL25" s="236">
        <f>IF($CU25="UNHESA",$BH25+$BQ25+$BZ25+$CI25+$CR25,0)</f>
        <v>0</v>
      </c>
      <c r="DM25" s="236">
        <f>SUM(DE25:DL25)-DG25-DI25</f>
        <v>0</v>
      </c>
      <c r="DN25" s="236">
        <f>IF($CU25="UNHESA LIQUIDOS",$BA25+$BJ25+$BS25+$CB25+$CK25,0)</f>
        <v>0</v>
      </c>
      <c r="DO25" s="236">
        <f>IF($CU25="UNHESA LIQUIDOS",$BB25+$BK25+$BT25+$CC25+$CL25,0)</f>
        <v>0</v>
      </c>
      <c r="DP25" s="236">
        <f>IF($CU25="UNHESA LIQUIDOS",$BC25+$BL25+$BU25+$CD25+$CM25,0)</f>
        <v>0</v>
      </c>
      <c r="DQ25" s="236">
        <f>IF($CU25="UNHESA LIQUIDOS",$BD25+$BM25+$BV25+$CE25+$CN25,0)</f>
        <v>0</v>
      </c>
      <c r="DR25" s="236">
        <f>IF($CU25="UNHESA LIQUIDOS",$BE25+$BN25+$BW25+$CF25+$CO25,0)</f>
        <v>0</v>
      </c>
      <c r="DS25" s="236">
        <f>IF($CU25="UNHESA LIQUIDOS",$BF25+$BO25+$BX25+$CG25+$CP25,0)</f>
        <v>0</v>
      </c>
      <c r="DT25" s="236">
        <f>IF($CU25="UNHESA LIQUIDOS",$BG25+$BP25+$BY25+$CH25+$CQ25,0)</f>
        <v>0</v>
      </c>
      <c r="DU25" s="236">
        <f>IF($CU25="UNHESA LIQUIDOS",$BH25+$BQ25+$BZ25+$CI25+$CR25,0)</f>
        <v>0</v>
      </c>
      <c r="DV25" s="236">
        <f>SUM(DN25:DU25)-DP25-DR25</f>
        <v>0</v>
      </c>
      <c r="DW25" s="986">
        <f t="shared" si="425"/>
        <v>0</v>
      </c>
      <c r="DX25" s="986">
        <f t="shared" si="399"/>
        <v>0</v>
      </c>
      <c r="DY25" s="986">
        <f t="shared" si="399"/>
        <v>0</v>
      </c>
      <c r="DZ25" s="986">
        <f t="shared" si="399"/>
        <v>0</v>
      </c>
      <c r="EA25" s="986">
        <f t="shared" si="399"/>
        <v>0</v>
      </c>
      <c r="EB25" s="986">
        <f t="shared" si="399"/>
        <v>0</v>
      </c>
      <c r="EC25" s="986">
        <f t="shared" si="399"/>
        <v>0</v>
      </c>
      <c r="ED25" s="986">
        <f t="shared" si="399"/>
        <v>0</v>
      </c>
      <c r="EE25" s="986">
        <f t="shared" si="399"/>
        <v>0</v>
      </c>
      <c r="EF25" s="203">
        <f t="shared" si="400"/>
        <v>4725</v>
      </c>
      <c r="EG25" s="242">
        <f t="shared" si="401"/>
        <v>1000</v>
      </c>
      <c r="EH25" s="203">
        <f t="shared" si="402"/>
        <v>0</v>
      </c>
      <c r="EI25" s="203">
        <f t="shared" si="403"/>
        <v>0</v>
      </c>
      <c r="EJ25" s="242">
        <f t="shared" si="404"/>
        <v>0</v>
      </c>
      <c r="EK25" s="203">
        <f t="shared" si="405"/>
        <v>0</v>
      </c>
      <c r="EL25" s="203">
        <f t="shared" si="406"/>
        <v>0</v>
      </c>
      <c r="EM25" s="203">
        <f t="shared" si="407"/>
        <v>598.65750000000003</v>
      </c>
      <c r="EN25" s="203">
        <f t="shared" si="408"/>
        <v>6323.6575000000003</v>
      </c>
      <c r="EO25" s="809"/>
      <c r="EP25" s="1194">
        <v>61.78</v>
      </c>
      <c r="EQ25" s="812"/>
      <c r="ER25" s="812"/>
      <c r="ES25" s="812">
        <f>215.5+230</f>
        <v>445.5</v>
      </c>
      <c r="ET25" s="812">
        <v>82.5</v>
      </c>
      <c r="EU25" s="812"/>
      <c r="EV25" s="812"/>
      <c r="EW25" s="812"/>
      <c r="EX25" s="812">
        <v>313.43</v>
      </c>
      <c r="EY25" s="201">
        <f t="shared" si="409"/>
        <v>82.5</v>
      </c>
      <c r="EZ25" s="717"/>
      <c r="FA25" s="247">
        <f t="shared" ref="FA25" si="482">IF($M25&lt;=15,EP25/2,EP25)</f>
        <v>61.78</v>
      </c>
      <c r="FB25" s="247">
        <f t="shared" ref="FB25" si="483">IF($M25&lt;=15,EQ25/2,EQ25)</f>
        <v>0</v>
      </c>
      <c r="FC25" s="247">
        <f t="shared" ref="FC25" si="484">IF($M25&lt;=15,ER25/2,ER25)</f>
        <v>0</v>
      </c>
      <c r="FD25" s="247">
        <f t="shared" ref="FD25" si="485">IF($M25&lt;=15,ES25/2,ES25)</f>
        <v>445.5</v>
      </c>
      <c r="FE25" s="247">
        <f t="shared" ref="FE25" si="486">IF($M25&lt;=15,ET25/2,ET25)</f>
        <v>82.5</v>
      </c>
      <c r="FF25" s="247">
        <f t="shared" ref="FF25" si="487">IF($M25&lt;=15,EU25/2,EU25)</f>
        <v>0</v>
      </c>
      <c r="FG25" s="247">
        <f t="shared" ref="FG25" si="488">IF($M25&lt;=15,EV25/2,EV25)</f>
        <v>0</v>
      </c>
      <c r="FH25" s="247">
        <f t="shared" ref="FH25" si="489">IF($M25&lt;=15,EW25/2,EW25)</f>
        <v>0</v>
      </c>
      <c r="FI25" s="247">
        <f t="shared" ref="FI25" si="490">IF($M25&lt;=15,EX25/2,EX25)</f>
        <v>313.43</v>
      </c>
      <c r="FJ25" s="247">
        <f t="shared" ref="FJ25" si="491">IF($M25&lt;=15,EY25/2,EY25)</f>
        <v>82.5</v>
      </c>
      <c r="FK25" s="245"/>
      <c r="FL25" s="245"/>
      <c r="FM25" s="245"/>
      <c r="FN25" s="245"/>
      <c r="FO25" s="245"/>
      <c r="FP25" s="245"/>
      <c r="FR25" s="1177">
        <f t="shared" si="420"/>
        <v>0</v>
      </c>
      <c r="FS25" s="1177">
        <f t="shared" si="421"/>
        <v>0</v>
      </c>
      <c r="FT25" s="1178">
        <f t="shared" si="422"/>
        <v>0</v>
      </c>
      <c r="FU25" s="1177">
        <f t="shared" si="423"/>
        <v>0</v>
      </c>
      <c r="FV25" s="1181">
        <f t="shared" si="424"/>
        <v>-985.71</v>
      </c>
    </row>
    <row r="26" spans="1:183" s="809" customFormat="1" ht="15.75" customHeight="1" outlineLevel="1" thickBot="1">
      <c r="A26" s="1005"/>
      <c r="B26" s="1005"/>
      <c r="C26" s="1006"/>
      <c r="D26" s="717"/>
      <c r="E26" s="717"/>
      <c r="F26" s="776"/>
      <c r="G26" s="723"/>
      <c r="H26" s="717" t="s">
        <v>78</v>
      </c>
      <c r="J26" s="857">
        <f>SUM(J22:J25)</f>
        <v>22975.03</v>
      </c>
      <c r="K26" s="857">
        <f>SUM(K22:K25)</f>
        <v>7250</v>
      </c>
      <c r="L26" s="857">
        <f>SUM(L22:L25)</f>
        <v>30225.03</v>
      </c>
      <c r="M26" s="834"/>
      <c r="N26" s="829"/>
      <c r="O26" s="829"/>
      <c r="P26" s="829"/>
      <c r="Q26" s="829"/>
      <c r="R26" s="829"/>
      <c r="S26" s="829"/>
      <c r="T26" s="834"/>
      <c r="U26" s="857">
        <f t="shared" ref="U26:AZ26" si="492">SUM(U22:U25)</f>
        <v>0</v>
      </c>
      <c r="V26" s="857">
        <f t="shared" si="492"/>
        <v>0</v>
      </c>
      <c r="W26" s="857">
        <f t="shared" si="492"/>
        <v>0</v>
      </c>
      <c r="X26" s="857">
        <f t="shared" si="492"/>
        <v>0</v>
      </c>
      <c r="Y26" s="857">
        <f t="shared" si="492"/>
        <v>0</v>
      </c>
      <c r="Z26" s="857">
        <f t="shared" si="492"/>
        <v>0</v>
      </c>
      <c r="AA26" s="857">
        <f t="shared" si="492"/>
        <v>0</v>
      </c>
      <c r="AB26" s="857">
        <f t="shared" si="492"/>
        <v>0</v>
      </c>
      <c r="AC26" s="857">
        <f t="shared" si="492"/>
        <v>0</v>
      </c>
      <c r="AD26" s="857">
        <f t="shared" si="492"/>
        <v>0</v>
      </c>
      <c r="AE26" s="857">
        <f t="shared" si="492"/>
        <v>0</v>
      </c>
      <c r="AF26" s="857">
        <f t="shared" si="492"/>
        <v>0</v>
      </c>
      <c r="AG26" s="857">
        <f t="shared" si="492"/>
        <v>0</v>
      </c>
      <c r="AH26" s="857">
        <f t="shared" si="492"/>
        <v>0</v>
      </c>
      <c r="AI26" s="857">
        <f t="shared" si="492"/>
        <v>0</v>
      </c>
      <c r="AJ26" s="857">
        <f t="shared" si="492"/>
        <v>0</v>
      </c>
      <c r="AK26" s="857">
        <f t="shared" si="492"/>
        <v>0</v>
      </c>
      <c r="AL26" s="857">
        <f t="shared" si="492"/>
        <v>0</v>
      </c>
      <c r="AM26" s="857">
        <f t="shared" si="492"/>
        <v>0</v>
      </c>
      <c r="AN26" s="857">
        <f t="shared" si="492"/>
        <v>0</v>
      </c>
      <c r="AO26" s="857">
        <f t="shared" si="492"/>
        <v>0</v>
      </c>
      <c r="AP26" s="857">
        <f t="shared" si="492"/>
        <v>0</v>
      </c>
      <c r="AQ26" s="857">
        <f t="shared" si="492"/>
        <v>0</v>
      </c>
      <c r="AR26" s="857">
        <f t="shared" si="492"/>
        <v>0</v>
      </c>
      <c r="AS26" s="857">
        <f t="shared" si="492"/>
        <v>0</v>
      </c>
      <c r="AT26" s="857">
        <f t="shared" si="492"/>
        <v>0</v>
      </c>
      <c r="AU26" s="857">
        <f t="shared" si="492"/>
        <v>0</v>
      </c>
      <c r="AV26" s="857">
        <f t="shared" si="492"/>
        <v>0</v>
      </c>
      <c r="AW26" s="857">
        <f t="shared" si="492"/>
        <v>0</v>
      </c>
      <c r="AX26" s="857">
        <f t="shared" si="492"/>
        <v>0</v>
      </c>
      <c r="AY26" s="857">
        <f t="shared" si="492"/>
        <v>0</v>
      </c>
      <c r="AZ26" s="857">
        <f t="shared" si="492"/>
        <v>0</v>
      </c>
      <c r="BA26" s="857">
        <f t="shared" ref="BA26:CF26" si="493">SUM(BA22:BA25)</f>
        <v>9615.0149999999994</v>
      </c>
      <c r="BB26" s="857">
        <f t="shared" si="493"/>
        <v>2925</v>
      </c>
      <c r="BC26" s="857">
        <f t="shared" si="493"/>
        <v>0</v>
      </c>
      <c r="BD26" s="857">
        <f t="shared" si="493"/>
        <v>0</v>
      </c>
      <c r="BE26" s="857">
        <f t="shared" si="493"/>
        <v>0</v>
      </c>
      <c r="BF26" s="857">
        <f t="shared" si="493"/>
        <v>0</v>
      </c>
      <c r="BG26" s="857">
        <f t="shared" si="493"/>
        <v>0</v>
      </c>
      <c r="BH26" s="857">
        <f t="shared" si="493"/>
        <v>1218.2224005</v>
      </c>
      <c r="BI26" s="857">
        <f t="shared" si="493"/>
        <v>13758.2374005</v>
      </c>
      <c r="BJ26" s="857">
        <f t="shared" si="493"/>
        <v>8466.2635000000009</v>
      </c>
      <c r="BK26" s="857">
        <f t="shared" si="493"/>
        <v>2562.5</v>
      </c>
      <c r="BL26" s="857">
        <f t="shared" si="493"/>
        <v>0</v>
      </c>
      <c r="BM26" s="857">
        <f t="shared" si="493"/>
        <v>0</v>
      </c>
      <c r="BN26" s="857">
        <f t="shared" si="493"/>
        <v>0</v>
      </c>
      <c r="BO26" s="857">
        <f t="shared" si="493"/>
        <v>0</v>
      </c>
      <c r="BP26" s="857">
        <f t="shared" si="493"/>
        <v>0</v>
      </c>
      <c r="BQ26" s="857">
        <f t="shared" si="493"/>
        <v>1072.6755854500002</v>
      </c>
      <c r="BR26" s="857">
        <f t="shared" si="493"/>
        <v>12101.439085450002</v>
      </c>
      <c r="BS26" s="857">
        <f t="shared" si="493"/>
        <v>1148.7514999999999</v>
      </c>
      <c r="BT26" s="857">
        <f t="shared" si="493"/>
        <v>362.5</v>
      </c>
      <c r="BU26" s="857">
        <f t="shared" si="493"/>
        <v>0</v>
      </c>
      <c r="BV26" s="857">
        <f t="shared" si="493"/>
        <v>0</v>
      </c>
      <c r="BW26" s="857">
        <f t="shared" si="493"/>
        <v>0</v>
      </c>
      <c r="BX26" s="857">
        <f t="shared" si="493"/>
        <v>0</v>
      </c>
      <c r="BY26" s="857">
        <f t="shared" si="493"/>
        <v>0</v>
      </c>
      <c r="BZ26" s="857">
        <f t="shared" si="493"/>
        <v>145.54681504999999</v>
      </c>
      <c r="CA26" s="857">
        <f t="shared" si="493"/>
        <v>1656.7983150499999</v>
      </c>
      <c r="CB26" s="857">
        <f t="shared" si="493"/>
        <v>3745</v>
      </c>
      <c r="CC26" s="857">
        <f t="shared" si="493"/>
        <v>1400</v>
      </c>
      <c r="CD26" s="857">
        <f t="shared" si="493"/>
        <v>0</v>
      </c>
      <c r="CE26" s="857">
        <f t="shared" si="493"/>
        <v>0</v>
      </c>
      <c r="CF26" s="857">
        <f t="shared" si="493"/>
        <v>0</v>
      </c>
      <c r="CG26" s="857">
        <f t="shared" ref="CG26:DL26" si="494">SUM(CG22:CG25)</f>
        <v>0</v>
      </c>
      <c r="CH26" s="857">
        <f t="shared" si="494"/>
        <v>0</v>
      </c>
      <c r="CI26" s="857">
        <f t="shared" si="494"/>
        <v>474.49149999999997</v>
      </c>
      <c r="CJ26" s="857">
        <f t="shared" si="494"/>
        <v>5619.4915000000001</v>
      </c>
      <c r="CK26" s="857">
        <f t="shared" si="494"/>
        <v>0</v>
      </c>
      <c r="CL26" s="857">
        <f t="shared" si="494"/>
        <v>0</v>
      </c>
      <c r="CM26" s="857">
        <f t="shared" si="494"/>
        <v>0</v>
      </c>
      <c r="CN26" s="857">
        <f t="shared" si="494"/>
        <v>0</v>
      </c>
      <c r="CO26" s="857">
        <f t="shared" si="494"/>
        <v>0</v>
      </c>
      <c r="CP26" s="857">
        <f t="shared" si="494"/>
        <v>0</v>
      </c>
      <c r="CQ26" s="857">
        <f t="shared" si="494"/>
        <v>0</v>
      </c>
      <c r="CR26" s="857">
        <f t="shared" si="494"/>
        <v>0</v>
      </c>
      <c r="CS26" s="857">
        <f t="shared" si="494"/>
        <v>0</v>
      </c>
      <c r="CT26" s="857">
        <f t="shared" si="494"/>
        <v>0</v>
      </c>
      <c r="CU26" s="857">
        <f t="shared" si="494"/>
        <v>0</v>
      </c>
      <c r="CV26" s="857">
        <f t="shared" si="494"/>
        <v>0</v>
      </c>
      <c r="CW26" s="857">
        <f t="shared" si="494"/>
        <v>0</v>
      </c>
      <c r="CX26" s="857">
        <f t="shared" si="494"/>
        <v>0</v>
      </c>
      <c r="CY26" s="857">
        <f t="shared" si="494"/>
        <v>0</v>
      </c>
      <c r="CZ26" s="857">
        <f t="shared" si="494"/>
        <v>0</v>
      </c>
      <c r="DA26" s="857">
        <f t="shared" si="494"/>
        <v>0</v>
      </c>
      <c r="DB26" s="857">
        <f t="shared" si="494"/>
        <v>0</v>
      </c>
      <c r="DC26" s="857">
        <f t="shared" si="494"/>
        <v>0</v>
      </c>
      <c r="DD26" s="857">
        <f t="shared" si="494"/>
        <v>0</v>
      </c>
      <c r="DE26" s="857">
        <f t="shared" si="494"/>
        <v>0</v>
      </c>
      <c r="DF26" s="857">
        <f t="shared" si="494"/>
        <v>0</v>
      </c>
      <c r="DG26" s="857">
        <f t="shared" si="494"/>
        <v>0</v>
      </c>
      <c r="DH26" s="857">
        <f t="shared" si="494"/>
        <v>0</v>
      </c>
      <c r="DI26" s="857">
        <f t="shared" si="494"/>
        <v>0</v>
      </c>
      <c r="DJ26" s="857">
        <f t="shared" si="494"/>
        <v>0</v>
      </c>
      <c r="DK26" s="857">
        <f t="shared" si="494"/>
        <v>0</v>
      </c>
      <c r="DL26" s="857">
        <f t="shared" si="494"/>
        <v>0</v>
      </c>
      <c r="DM26" s="857">
        <f t="shared" ref="DM26:EN26" si="495">SUM(DM22:DM25)</f>
        <v>0</v>
      </c>
      <c r="DN26" s="857">
        <f t="shared" si="495"/>
        <v>0</v>
      </c>
      <c r="DO26" s="857">
        <f t="shared" si="495"/>
        <v>0</v>
      </c>
      <c r="DP26" s="857">
        <f t="shared" si="495"/>
        <v>0</v>
      </c>
      <c r="DQ26" s="857">
        <f t="shared" si="495"/>
        <v>0</v>
      </c>
      <c r="DR26" s="857">
        <f t="shared" si="495"/>
        <v>0</v>
      </c>
      <c r="DS26" s="857">
        <f t="shared" si="495"/>
        <v>0</v>
      </c>
      <c r="DT26" s="857">
        <f t="shared" si="495"/>
        <v>0</v>
      </c>
      <c r="DU26" s="857">
        <f t="shared" si="495"/>
        <v>0</v>
      </c>
      <c r="DV26" s="857">
        <f t="shared" si="495"/>
        <v>0</v>
      </c>
      <c r="DW26" s="857">
        <f t="shared" si="495"/>
        <v>0</v>
      </c>
      <c r="DX26" s="857">
        <f t="shared" si="495"/>
        <v>0</v>
      </c>
      <c r="DY26" s="857">
        <f t="shared" si="495"/>
        <v>0</v>
      </c>
      <c r="DZ26" s="857">
        <f t="shared" si="495"/>
        <v>0</v>
      </c>
      <c r="EA26" s="857">
        <f t="shared" si="495"/>
        <v>0</v>
      </c>
      <c r="EB26" s="857">
        <f t="shared" si="495"/>
        <v>0</v>
      </c>
      <c r="EC26" s="857">
        <f t="shared" si="495"/>
        <v>0</v>
      </c>
      <c r="ED26" s="857">
        <f t="shared" si="495"/>
        <v>0</v>
      </c>
      <c r="EE26" s="857">
        <f t="shared" si="495"/>
        <v>0</v>
      </c>
      <c r="EF26" s="857">
        <f t="shared" si="495"/>
        <v>22975.03</v>
      </c>
      <c r="EG26" s="857">
        <f t="shared" si="495"/>
        <v>7250</v>
      </c>
      <c r="EH26" s="857">
        <f t="shared" si="495"/>
        <v>0</v>
      </c>
      <c r="EI26" s="857">
        <f t="shared" si="495"/>
        <v>0</v>
      </c>
      <c r="EJ26" s="857">
        <f t="shared" si="495"/>
        <v>0</v>
      </c>
      <c r="EK26" s="857">
        <f t="shared" si="495"/>
        <v>0</v>
      </c>
      <c r="EL26" s="857">
        <f t="shared" si="495"/>
        <v>0</v>
      </c>
      <c r="EM26" s="857">
        <f t="shared" si="495"/>
        <v>2910.9363010000006</v>
      </c>
      <c r="EN26" s="857">
        <f t="shared" si="495"/>
        <v>33135.966301</v>
      </c>
      <c r="EO26" s="857"/>
      <c r="EP26" s="857">
        <f t="shared" ref="EP26:EY26" si="496">SUM(EP22:EP25)</f>
        <v>611.76</v>
      </c>
      <c r="EQ26" s="857">
        <f t="shared" si="496"/>
        <v>0</v>
      </c>
      <c r="ER26" s="857">
        <f t="shared" si="496"/>
        <v>0</v>
      </c>
      <c r="ES26" s="857">
        <f t="shared" si="496"/>
        <v>1477</v>
      </c>
      <c r="ET26" s="857">
        <f t="shared" si="496"/>
        <v>82.5</v>
      </c>
      <c r="EU26" s="857">
        <f t="shared" si="496"/>
        <v>0</v>
      </c>
      <c r="EV26" s="857">
        <f t="shared" si="496"/>
        <v>350</v>
      </c>
      <c r="EW26" s="857">
        <f t="shared" si="496"/>
        <v>0</v>
      </c>
      <c r="EX26" s="857">
        <f t="shared" si="496"/>
        <v>626.86</v>
      </c>
      <c r="EY26" s="857">
        <f t="shared" si="496"/>
        <v>432.5</v>
      </c>
      <c r="EZ26" s="857"/>
      <c r="FA26" s="857">
        <f t="shared" ref="FA26:FJ26" si="497">SUM(FA22:FA25)</f>
        <v>611.76</v>
      </c>
      <c r="FB26" s="857">
        <f t="shared" si="497"/>
        <v>0</v>
      </c>
      <c r="FC26" s="857">
        <f t="shared" si="497"/>
        <v>0</v>
      </c>
      <c r="FD26" s="857">
        <f t="shared" si="497"/>
        <v>1477</v>
      </c>
      <c r="FE26" s="857">
        <f t="shared" si="497"/>
        <v>82.5</v>
      </c>
      <c r="FF26" s="857">
        <f t="shared" si="497"/>
        <v>0</v>
      </c>
      <c r="FG26" s="857">
        <f t="shared" si="497"/>
        <v>350</v>
      </c>
      <c r="FH26" s="857">
        <f t="shared" si="497"/>
        <v>0</v>
      </c>
      <c r="FI26" s="857">
        <f t="shared" si="497"/>
        <v>626.86</v>
      </c>
      <c r="FJ26" s="857">
        <f t="shared" si="497"/>
        <v>432.5</v>
      </c>
      <c r="FK26" s="858"/>
      <c r="FL26" s="858"/>
      <c r="FM26" s="858"/>
      <c r="FN26" s="858"/>
      <c r="FO26" s="858"/>
      <c r="FP26" s="858"/>
    </row>
    <row r="27" spans="1:183" s="828" customFormat="1" ht="15" customHeight="1" outlineLevel="1" thickTop="1">
      <c r="A27" s="1005"/>
      <c r="B27" s="1005"/>
      <c r="C27" s="1006"/>
      <c r="D27" s="840"/>
      <c r="E27" s="840"/>
      <c r="F27" s="826"/>
      <c r="G27" s="779" t="s">
        <v>74</v>
      </c>
      <c r="H27" s="717"/>
      <c r="I27" s="809"/>
      <c r="J27" s="827"/>
      <c r="N27" s="829"/>
      <c r="O27" s="829"/>
      <c r="P27" s="829"/>
      <c r="Q27" s="829"/>
      <c r="R27" s="829"/>
      <c r="S27" s="829"/>
      <c r="U27" s="841"/>
      <c r="W27" s="830"/>
      <c r="Y27" s="830"/>
      <c r="AA27" s="830"/>
      <c r="AC27" s="830"/>
      <c r="AE27" s="831"/>
      <c r="AG27" s="831"/>
      <c r="AI27" s="831"/>
      <c r="AK27" s="831"/>
      <c r="AM27" s="831"/>
      <c r="AZ27" s="842"/>
      <c r="CT27" s="809"/>
      <c r="CU27" s="809"/>
      <c r="EO27" s="809"/>
      <c r="EP27" s="235"/>
      <c r="EQ27" s="809"/>
      <c r="ER27" s="809"/>
      <c r="ES27" s="843"/>
      <c r="ET27" s="809"/>
      <c r="EU27" s="809"/>
      <c r="EV27" s="809"/>
      <c r="EW27" s="809"/>
      <c r="EX27" s="809"/>
      <c r="EY27" s="809"/>
      <c r="EZ27" s="809"/>
      <c r="FA27" s="778"/>
      <c r="FB27" s="778"/>
      <c r="FC27" s="778"/>
      <c r="FD27" s="778"/>
      <c r="FE27" s="778"/>
      <c r="FF27" s="778"/>
      <c r="FG27" s="778"/>
      <c r="FH27" s="778"/>
      <c r="FI27" s="778"/>
      <c r="FJ27" s="778"/>
      <c r="FK27" s="799"/>
      <c r="FL27" s="799"/>
      <c r="FM27" s="799"/>
      <c r="FN27" s="799"/>
      <c r="FO27" s="799"/>
      <c r="FP27" s="799"/>
      <c r="FQ27" s="778"/>
      <c r="FR27" s="809"/>
      <c r="FS27" s="809"/>
      <c r="FT27" s="809"/>
      <c r="FU27" s="809"/>
    </row>
    <row r="28" spans="1:183" s="828" customFormat="1" ht="15" customHeight="1" outlineLevel="1">
      <c r="A28" s="1005" t="str">
        <f t="shared" si="253"/>
        <v>JUNIO  2026 2da QUINCENA</v>
      </c>
      <c r="B28" s="1005">
        <f t="shared" si="90"/>
        <v>2026</v>
      </c>
      <c r="C28" s="1006" t="str">
        <f t="shared" si="254"/>
        <v>JUNIO  2026 2da QUINCENA2026</v>
      </c>
      <c r="D28" s="826" t="str">
        <f>+$G$27</f>
        <v>INFORMATICA</v>
      </c>
      <c r="E28" s="235">
        <v>104010</v>
      </c>
      <c r="F28" s="826"/>
      <c r="G28" s="779" t="s">
        <v>622</v>
      </c>
      <c r="H28" s="717"/>
      <c r="I28" s="809"/>
      <c r="J28" s="827"/>
      <c r="N28" s="829"/>
      <c r="O28" s="829"/>
      <c r="P28" s="829"/>
      <c r="Q28" s="829"/>
      <c r="R28" s="829"/>
      <c r="S28" s="829"/>
      <c r="U28" s="841"/>
      <c r="W28" s="830"/>
      <c r="Y28" s="830"/>
      <c r="AA28" s="830"/>
      <c r="AC28" s="830"/>
      <c r="AE28" s="831"/>
      <c r="AG28" s="831"/>
      <c r="AI28" s="831"/>
      <c r="AK28" s="831"/>
      <c r="AM28" s="831"/>
      <c r="AZ28" s="842"/>
      <c r="CT28" s="809"/>
      <c r="CU28" s="809"/>
      <c r="EO28" s="809"/>
      <c r="EP28" s="235"/>
      <c r="EQ28" s="809"/>
      <c r="ER28" s="809"/>
      <c r="ES28" s="843"/>
      <c r="ET28" s="809"/>
      <c r="EU28" s="809"/>
      <c r="EV28" s="809"/>
      <c r="EW28" s="809"/>
      <c r="EX28" s="809"/>
      <c r="EY28" s="809"/>
      <c r="EZ28" s="809"/>
      <c r="FA28" s="778"/>
      <c r="FB28" s="778"/>
      <c r="FC28" s="778"/>
      <c r="FD28" s="778"/>
      <c r="FE28" s="778"/>
      <c r="FF28" s="778"/>
      <c r="FG28" s="778"/>
      <c r="FH28" s="778"/>
      <c r="FI28" s="778"/>
      <c r="FJ28" s="778"/>
      <c r="FK28" s="799"/>
      <c r="FL28" s="799"/>
      <c r="FM28" s="799"/>
      <c r="FN28" s="799"/>
      <c r="FO28" s="799"/>
      <c r="FP28" s="799"/>
      <c r="FQ28" s="778"/>
      <c r="FR28" s="809"/>
      <c r="FS28" s="809"/>
      <c r="FT28" s="809"/>
      <c r="FU28" s="809"/>
    </row>
    <row r="29" spans="1:183" s="809" customFormat="1" ht="15" customHeight="1" outlineLevel="1">
      <c r="A29" s="1005" t="str">
        <f t="shared" si="253"/>
        <v>JUNIO  2026 2da QUINCENA</v>
      </c>
      <c r="B29" s="1005">
        <f t="shared" si="90"/>
        <v>2026</v>
      </c>
      <c r="C29" s="1006" t="str">
        <f t="shared" si="254"/>
        <v>JUNIO  2026 2da QUINCENA2026</v>
      </c>
      <c r="D29" s="826" t="str">
        <f t="shared" ref="D29:D31" si="498">+$G$27</f>
        <v>INFORMATICA</v>
      </c>
      <c r="E29" s="235">
        <v>104010</v>
      </c>
      <c r="F29" s="805">
        <f>F25+1</f>
        <v>10</v>
      </c>
      <c r="G29" s="167" t="s">
        <v>419</v>
      </c>
      <c r="H29" s="246" t="s">
        <v>75</v>
      </c>
      <c r="I29" s="244" t="s">
        <v>11</v>
      </c>
      <c r="J29" s="202">
        <v>8000</v>
      </c>
      <c r="K29" s="792">
        <v>7500</v>
      </c>
      <c r="L29" s="792">
        <f t="shared" ref="L29" si="499">+J29+K29</f>
        <v>15500</v>
      </c>
      <c r="M29" s="203">
        <v>30</v>
      </c>
      <c r="N29" s="815">
        <v>0.5</v>
      </c>
      <c r="O29" s="815">
        <v>0.45</v>
      </c>
      <c r="P29" s="815">
        <v>0.05</v>
      </c>
      <c r="Q29" s="1009"/>
      <c r="R29" s="793">
        <v>0</v>
      </c>
      <c r="S29" s="793">
        <f t="shared" ref="S29" si="500">SUM(N29:R29)</f>
        <v>1</v>
      </c>
      <c r="U29" s="997">
        <v>0</v>
      </c>
      <c r="V29" s="807">
        <f t="shared" ref="V29" si="501">($J29/30/8*1.5)*U29</f>
        <v>0</v>
      </c>
      <c r="W29" s="994"/>
      <c r="X29" s="807">
        <f t="shared" ref="X29" si="502">($J29/30/8*2)*W29</f>
        <v>0</v>
      </c>
      <c r="Y29" s="994"/>
      <c r="Z29" s="807">
        <f t="shared" ref="Z29" si="503">($J29/30/8*1.5)*Y29</f>
        <v>0</v>
      </c>
      <c r="AA29" s="994"/>
      <c r="AB29" s="807">
        <f t="shared" ref="AB29" si="504">($J29/30/8*2)*AA29</f>
        <v>0</v>
      </c>
      <c r="AC29" s="994"/>
      <c r="AD29" s="807">
        <f t="shared" ref="AD29" si="505">(($J29/30/8)*1.5)*AC29</f>
        <v>0</v>
      </c>
      <c r="AE29" s="995"/>
      <c r="AF29" s="807">
        <f t="shared" ref="AF29" si="506">(($J29/30/8)*2)*AE29</f>
        <v>0</v>
      </c>
      <c r="AG29" s="995"/>
      <c r="AH29" s="807">
        <f t="shared" ref="AH29" si="507">(($J29/30/8)*1.5)*AG29</f>
        <v>0</v>
      </c>
      <c r="AI29" s="995"/>
      <c r="AJ29" s="807">
        <f t="shared" ref="AJ29" si="508">(($J29/30/8)*2)*AI29</f>
        <v>0</v>
      </c>
      <c r="AK29" s="995"/>
      <c r="AL29" s="807">
        <f t="shared" ref="AL29" si="509">(($J29/30/8)*1.5)*AK29</f>
        <v>0</v>
      </c>
      <c r="AM29" s="995"/>
      <c r="AN29" s="807">
        <f t="shared" ref="AN29" si="510">(($J29/30/8)*2)*AM29</f>
        <v>0</v>
      </c>
      <c r="AO29" s="982"/>
      <c r="AP29" s="982"/>
      <c r="AQ29" s="982"/>
      <c r="AR29" s="982"/>
      <c r="AS29" s="982"/>
      <c r="AT29" s="982"/>
      <c r="AU29" s="982"/>
      <c r="AV29" s="982"/>
      <c r="AW29" s="982"/>
      <c r="AX29" s="982"/>
      <c r="AY29" s="982"/>
      <c r="AZ29" s="998"/>
      <c r="BA29" s="236">
        <f t="shared" ref="BA29" si="511">((J29/30)*M29)*$N29</f>
        <v>4000.0000000000005</v>
      </c>
      <c r="BB29" s="236">
        <f>((K29/30)*M29)*$N29</f>
        <v>3750</v>
      </c>
      <c r="BC29" s="236">
        <f t="shared" ref="BC29" si="512">U29</f>
        <v>0</v>
      </c>
      <c r="BD29" s="236">
        <f t="shared" ref="BD29" si="513">V29</f>
        <v>0</v>
      </c>
      <c r="BE29" s="236">
        <f t="shared" ref="BE29" si="514">W29</f>
        <v>0</v>
      </c>
      <c r="BF29" s="236">
        <f t="shared" ref="BF29" si="515">X29</f>
        <v>0</v>
      </c>
      <c r="BG29" s="236">
        <f t="shared" ref="BG29" si="516">AO29+AT29</f>
        <v>0</v>
      </c>
      <c r="BH29" s="203">
        <f t="shared" ref="BH29:BH31" si="517">(BA29+BD29+BF29+BG29)*0.1267</f>
        <v>506.80000000000007</v>
      </c>
      <c r="BI29" s="236">
        <f t="shared" ref="BI29" si="518">SUM(BA29:BH29)-BC29-BE29</f>
        <v>8256.7999999999993</v>
      </c>
      <c r="BJ29" s="236">
        <f t="shared" ref="BJ29:BJ31" si="519">(($J29/30)*$M29)*$O29</f>
        <v>3600.0000000000005</v>
      </c>
      <c r="BK29" s="236">
        <f>(($K29/30)*$M29)*$O29</f>
        <v>3375</v>
      </c>
      <c r="BL29" s="236">
        <f t="shared" ref="BL29" si="520">Y29</f>
        <v>0</v>
      </c>
      <c r="BM29" s="236">
        <f t="shared" ref="BM29" si="521">Z29</f>
        <v>0</v>
      </c>
      <c r="BN29" s="236">
        <f t="shared" ref="BN29" si="522">AA29</f>
        <v>0</v>
      </c>
      <c r="BO29" s="236">
        <f t="shared" ref="BO29" si="523">AB29</f>
        <v>0</v>
      </c>
      <c r="BP29" s="236">
        <f t="shared" ref="BP29" si="524">AP29+AU29</f>
        <v>0</v>
      </c>
      <c r="BQ29" s="203">
        <f t="shared" ref="BQ29:BQ31" si="525">(+BJ29+BM29+BO29+BP29)*0.1267</f>
        <v>456.12000000000006</v>
      </c>
      <c r="BR29" s="792">
        <f t="shared" ref="BR29" si="526">SUM(BJ29:BQ29)-BL29-BN29</f>
        <v>7431.12</v>
      </c>
      <c r="BS29" s="236">
        <f t="shared" ref="BS29:BS31" si="527">(($J29/30)*$M29)*$P29</f>
        <v>400.00000000000006</v>
      </c>
      <c r="BT29" s="236">
        <f t="shared" ref="BT29:BT31" si="528">(($K29/30)*$M29)*$P29</f>
        <v>375</v>
      </c>
      <c r="BU29" s="236">
        <f t="shared" ref="BU29" si="529">AC29</f>
        <v>0</v>
      </c>
      <c r="BV29" s="236">
        <f t="shared" ref="BV29" si="530">AD29</f>
        <v>0</v>
      </c>
      <c r="BW29" s="236">
        <f t="shared" ref="BW29" si="531">AE29</f>
        <v>0</v>
      </c>
      <c r="BX29" s="236">
        <f t="shared" ref="BX29" si="532">AF29</f>
        <v>0</v>
      </c>
      <c r="BY29" s="236">
        <f t="shared" ref="BY29" si="533">AQ29+AV29</f>
        <v>0</v>
      </c>
      <c r="BZ29" s="203">
        <f t="shared" ref="BZ29:BZ31" si="534">(BS29+BV29+BX29+BY29)*0.1267</f>
        <v>50.680000000000007</v>
      </c>
      <c r="CA29" s="236">
        <f t="shared" ref="CA29" si="535">SUM(BS29:BZ29)-BU29-BW29</f>
        <v>825.68000000000006</v>
      </c>
      <c r="CB29" s="816">
        <f>(($J29/30)*$M29)*$Q29</f>
        <v>0</v>
      </c>
      <c r="CC29" s="817">
        <f t="shared" ref="CC29:CC31" si="536">(($K29/30)*$M29)*$Q29</f>
        <v>0</v>
      </c>
      <c r="CD29" s="817">
        <f t="shared" ref="CD29" si="537">AG29</f>
        <v>0</v>
      </c>
      <c r="CE29" s="817">
        <f t="shared" ref="CE29" si="538">AH29</f>
        <v>0</v>
      </c>
      <c r="CF29" s="817">
        <f t="shared" ref="CF29" si="539">AI29</f>
        <v>0</v>
      </c>
      <c r="CG29" s="817">
        <f t="shared" ref="CG29" si="540">AJ29</f>
        <v>0</v>
      </c>
      <c r="CH29" s="817">
        <f t="shared" ref="CH29" si="541">AR29+AW29</f>
        <v>0</v>
      </c>
      <c r="CI29" s="703">
        <f t="shared" ref="CI29:CI31" si="542">(CB29+CE29+CG29+CH29)*0.1267</f>
        <v>0</v>
      </c>
      <c r="CJ29" s="817">
        <f t="shared" ref="CJ29" si="543">SUM(CB29:CI29)-CD29-CF29</f>
        <v>0</v>
      </c>
      <c r="CK29" s="817">
        <f t="shared" ref="CK29" si="544">(($J29/30)*$M29)*R29</f>
        <v>0</v>
      </c>
      <c r="CL29" s="817">
        <f t="shared" ref="CL29:CL31" si="545">(($K29/30)*$M29)*$R29</f>
        <v>0</v>
      </c>
      <c r="CM29" s="817">
        <f t="shared" ref="CM29" si="546">+AK29</f>
        <v>0</v>
      </c>
      <c r="CN29" s="817">
        <f t="shared" ref="CN29" si="547">AL29</f>
        <v>0</v>
      </c>
      <c r="CO29" s="817">
        <f t="shared" ref="CO29" si="548">AM29</f>
        <v>0</v>
      </c>
      <c r="CP29" s="817">
        <f t="shared" ref="CP29" si="549">AN29</f>
        <v>0</v>
      </c>
      <c r="CQ29" s="817">
        <f t="shared" ref="CQ29" si="550">AS29+AX29</f>
        <v>0</v>
      </c>
      <c r="CR29" s="817">
        <f t="shared" ref="CR29" si="551">(CK29+CN29+CP29)*0.1267</f>
        <v>0</v>
      </c>
      <c r="CS29" s="818">
        <f t="shared" ref="CS29" si="552">SUM(CK29:CR29)-CM29-CO29</f>
        <v>0</v>
      </c>
      <c r="CU29" s="244" t="s">
        <v>11</v>
      </c>
      <c r="CV29" s="236">
        <f t="shared" ref="CV29:CV31" si="553">IF($CU29="PROQUIMA",$BA29+$BJ29+$BS29+$CB29+$CK29,0)</f>
        <v>0</v>
      </c>
      <c r="CW29" s="236">
        <f t="shared" ref="CW29:CW31" si="554">IF($CU29="PROQUIMA",$BB29+$BK29+$BT29+$CC29+$CL29,0)</f>
        <v>0</v>
      </c>
      <c r="CX29" s="236">
        <f t="shared" ref="CX29:CX31" si="555">IF($CU29="PROQUIMA",$BC29+$BL29+$BU29+$CD29+$CM29,0)</f>
        <v>0</v>
      </c>
      <c r="CY29" s="236">
        <f t="shared" ref="CY29:CY31" si="556">IF($CU29="PROQUIMA",$BD29+$BM29+$BV29+$CE29+$CN29,0)</f>
        <v>0</v>
      </c>
      <c r="CZ29" s="236">
        <f t="shared" ref="CZ29:CZ31" si="557">IF($CU29="PROQUIMA",$BE29+$BN29+$BW29+$CF29+$CO29,0)</f>
        <v>0</v>
      </c>
      <c r="DA29" s="236">
        <f t="shared" ref="DA29:DA31" si="558">IF($CU29="PROQUIMA",$BF29+$BO29+$BX29+$CG29+$CP29,0)</f>
        <v>0</v>
      </c>
      <c r="DB29" s="236">
        <f t="shared" ref="DB29:DB31" si="559">IF($CU29="PROQUIMA",$BG29+$BP29+$BY29+$CH29+$CQ29,0)</f>
        <v>0</v>
      </c>
      <c r="DC29" s="236">
        <f t="shared" ref="DC29" si="560">IF($CU29="PROQUIMA",$BH29+$BQ29+$BZ29+$CI29+CR29,0)</f>
        <v>0</v>
      </c>
      <c r="DD29" s="236">
        <f t="shared" ref="DD29" si="561">SUM(CV29:DC29)-CX29-CZ29</f>
        <v>0</v>
      </c>
      <c r="DE29" s="236">
        <f t="shared" ref="DE29:DE31" si="562">IF($CU29="UNHESA",$BA29+$BJ29+$BS29+$CB29+$CK29,0)</f>
        <v>0</v>
      </c>
      <c r="DF29" s="236">
        <f t="shared" ref="DF29:DF31" si="563">IF($CU29="UNHESA",$BB29+$BK29+$BT29+$CC29+$CL29,0)</f>
        <v>0</v>
      </c>
      <c r="DG29" s="236">
        <f t="shared" ref="DG29:DG31" si="564">IF($CU29="UNHESA",$BC29+$BL29+$BU29+$CD29+$CM29,0)</f>
        <v>0</v>
      </c>
      <c r="DH29" s="236">
        <f t="shared" ref="DH29:DH31" si="565">IF($CU29="UNHESA",$BD29+$BM29+$BV29+$CE29+$CN29,0)</f>
        <v>0</v>
      </c>
      <c r="DI29" s="236">
        <f t="shared" ref="DI29:DI31" si="566">IF($CU29="UNHESA",$BE29+$BN29+$BW29+$CF29+$CO29,0)</f>
        <v>0</v>
      </c>
      <c r="DJ29" s="236">
        <f t="shared" ref="DJ29:DJ31" si="567">IF($CU29="UNHESA",$BF29+$BO29+$BX29+$CG29+$CP29,0)</f>
        <v>0</v>
      </c>
      <c r="DK29" s="236">
        <f t="shared" ref="DK29:DK31" si="568">IF($CU29="UNHESA",$BG29+$BP29+$BY29+$CH29+$CQ29,0)</f>
        <v>0</v>
      </c>
      <c r="DL29" s="236">
        <f t="shared" ref="DL29:DL31" si="569">IF($CU29="UNHESA",$BH29+$BQ29+$BZ29+$CI29+$CR29,0)</f>
        <v>0</v>
      </c>
      <c r="DM29" s="236">
        <f t="shared" ref="DM29" si="570">SUM(DE29:DL29)-DG29-DI29</f>
        <v>0</v>
      </c>
      <c r="DN29" s="236">
        <f t="shared" ref="DN29:DN31" si="571">IF($CU29="UNHESA LIQUIDOS",$BA29+$BJ29+$BS29+$CB29+$CK29,0)</f>
        <v>0</v>
      </c>
      <c r="DO29" s="236">
        <f t="shared" ref="DO29:DO31" si="572">IF($CU29="CALIDUL",$BB29+$BK29+$BT29+$CC29+$CL29,0)</f>
        <v>0</v>
      </c>
      <c r="DP29" s="236">
        <f t="shared" ref="DP29:DP31" si="573">IF($CU29="CALIDUL",$BC29+$BL29+$BU29+$CD29+$CM29,0)</f>
        <v>0</v>
      </c>
      <c r="DQ29" s="236">
        <f t="shared" ref="DQ29:DQ31" si="574">IF($CU29="CALIDUL",$BD29+$BM29+$BV29+$CE29+$CN29,0)</f>
        <v>0</v>
      </c>
      <c r="DR29" s="236">
        <f t="shared" ref="DR29:DR31" si="575">IF($CU29="CALIDUL",$BE29+$BN29+$BW29+$CF29+$CO29,0)</f>
        <v>0</v>
      </c>
      <c r="DS29" s="236">
        <f t="shared" ref="DS29:DS31" si="576">IF($CU29="CALIDUL",$BF29+$BO29+$BX29+$CG29+$CP29,0)</f>
        <v>0</v>
      </c>
      <c r="DT29" s="236">
        <f t="shared" ref="DT29:DT31" si="577">IF($CU29="CALIDUL",$BG29+$BP29+$BY29+$CH29+$CQ29,0)</f>
        <v>0</v>
      </c>
      <c r="DU29" s="236">
        <f t="shared" ref="DU29:DU31" si="578">IF($CU29="CALIDUL",$BH29+$BQ29+$BZ29+$CI29+$CR29,0)</f>
        <v>0</v>
      </c>
      <c r="DV29" s="236">
        <f t="shared" ref="DV29" si="579">SUM(DN29:DU29)-DP29-DR29</f>
        <v>0</v>
      </c>
      <c r="DW29" s="816">
        <f>IF($CU29="CLEARTEC",$BA29+$BJ29+$BS29+$CB29+$CK29,0)</f>
        <v>0</v>
      </c>
      <c r="DX29" s="816">
        <f t="shared" ref="DX29:ED31" si="580">IF($CU29="CLEARTEC",$BA29+$BJ29+$BS29+$CB29+$CK29,0)</f>
        <v>0</v>
      </c>
      <c r="DY29" s="816">
        <f t="shared" si="580"/>
        <v>0</v>
      </c>
      <c r="DZ29" s="816">
        <f t="shared" si="580"/>
        <v>0</v>
      </c>
      <c r="EA29" s="816">
        <f t="shared" si="580"/>
        <v>0</v>
      </c>
      <c r="EB29" s="816">
        <f t="shared" si="580"/>
        <v>0</v>
      </c>
      <c r="EC29" s="816">
        <f t="shared" si="580"/>
        <v>0</v>
      </c>
      <c r="ED29" s="816">
        <f t="shared" si="580"/>
        <v>0</v>
      </c>
      <c r="EE29" s="817">
        <f t="shared" ref="EE29" si="581">SUM(DW29:ED29)-DY29-EA29</f>
        <v>0</v>
      </c>
      <c r="EF29" s="203">
        <f t="shared" ref="EF29:EF31" si="582">IF(CU29="ECONACIONAL",$BA29+$BJ29+$BS29+$CB29+$CK29)</f>
        <v>8000.0000000000009</v>
      </c>
      <c r="EG29" s="242">
        <f t="shared" ref="EG29:EG31" si="583">IF($CU29="ECONACIONAL",$BB29+$BK29+$BT29+$CC29+$CL29,0)</f>
        <v>7500</v>
      </c>
      <c r="EH29" s="203">
        <f t="shared" ref="EH29:EH31" si="584">IF(CU29="ECONACIONAL",$BC29+$BL29+$BU29+$CD29+$CM29)</f>
        <v>0</v>
      </c>
      <c r="EI29" s="203">
        <f t="shared" ref="EI29:EI31" si="585">IF(CU29="ECONACIONAL",$BD29+$DH29+$DQ29+$DZ29+BM29+BV29+CE29+CN29)</f>
        <v>0</v>
      </c>
      <c r="EJ29" s="242">
        <f t="shared" ref="EJ29:EJ31" si="586">IF($CU29="CLEARTEC",$BE29+$BN29+$BW29+$CF29+$CO29,0)</f>
        <v>0</v>
      </c>
      <c r="EK29" s="203">
        <f t="shared" ref="EK29:EK31" si="587">IF(CU29="ECONACIONAL",$BF29+$BO29+$BX29+$CG29+$CP29)</f>
        <v>0</v>
      </c>
      <c r="EL29" s="203">
        <f t="shared" ref="EL29:EL31" si="588">IF(CU29="ECONACIONAL",$BG29+$BP29+$BY29+$CH29+$CQ29)</f>
        <v>0</v>
      </c>
      <c r="EM29" s="203">
        <f t="shared" ref="EM29:EM31" si="589">IF(CU29="ECONACIONAL",BH29+BQ29+BZ29+CI29+CR29)</f>
        <v>1013.6000000000001</v>
      </c>
      <c r="EN29" s="203">
        <f t="shared" ref="EN29:EN31" si="590">SUM(EF29:EM29)-EH29-EJ29</f>
        <v>16513.599999999999</v>
      </c>
      <c r="EP29" s="1194">
        <v>493.18</v>
      </c>
      <c r="EQ29" s="786">
        <v>2633.75</v>
      </c>
      <c r="ER29" s="812"/>
      <c r="ES29" s="201"/>
      <c r="ET29" s="812"/>
      <c r="EU29" s="812"/>
      <c r="EV29" s="812"/>
      <c r="EW29" s="812"/>
      <c r="EX29" s="812"/>
      <c r="EY29" s="244">
        <f>+ET29+EU29+EV29</f>
        <v>0</v>
      </c>
      <c r="EZ29" s="717"/>
      <c r="FA29" s="247">
        <f t="shared" ref="FA29" si="591">IF($M29&lt;=15,EP29/2,EP29)</f>
        <v>493.18</v>
      </c>
      <c r="FB29" s="247">
        <f t="shared" ref="FB29" si="592">IF($M29&lt;=15,EQ29/2,EQ29)</f>
        <v>2633.75</v>
      </c>
      <c r="FC29" s="247">
        <f t="shared" ref="FC29" si="593">IF($M29&lt;=15,ER29/2,ER29)</f>
        <v>0</v>
      </c>
      <c r="FD29" s="247">
        <f t="shared" ref="FD29" si="594">IF($M29&lt;=15,ES29/2,ES29)</f>
        <v>0</v>
      </c>
      <c r="FE29" s="247">
        <f t="shared" ref="FE29" si="595">IF($M29&lt;=15,ET29/2,ET29)</f>
        <v>0</v>
      </c>
      <c r="FF29" s="247">
        <f t="shared" ref="FF29" si="596">IF($M29&lt;=15,EU29/2,EU29)</f>
        <v>0</v>
      </c>
      <c r="FG29" s="247">
        <f t="shared" ref="FG29" si="597">IF($M29&lt;=15,EV29/2,EV29)</f>
        <v>0</v>
      </c>
      <c r="FH29" s="247">
        <f t="shared" ref="FH29" si="598">IF($M29&lt;=15,EW29/2,EW29)</f>
        <v>0</v>
      </c>
      <c r="FI29" s="247">
        <f t="shared" ref="FI29" si="599">IF($M29&lt;=15,EX29/2,EX29)</f>
        <v>0</v>
      </c>
      <c r="FJ29" s="247">
        <f t="shared" ref="FJ29" si="600">IF($M29&lt;=15,EY29/2,EY29)</f>
        <v>0</v>
      </c>
      <c r="FK29" s="245">
        <v>0.7</v>
      </c>
      <c r="FL29" s="245">
        <v>0.3</v>
      </c>
      <c r="FM29" s="245">
        <v>0</v>
      </c>
      <c r="FN29" s="245">
        <v>0</v>
      </c>
      <c r="FO29" s="245">
        <v>0</v>
      </c>
      <c r="FP29" s="245">
        <v>1</v>
      </c>
      <c r="FQ29" s="778"/>
      <c r="FR29" s="1177">
        <f t="shared" ref="FR29:FR31" si="601">(((J29/30/8)*1.5)*(U29+Y29+AC29))-(BD29+BM29+BV29)</f>
        <v>0</v>
      </c>
      <c r="FS29" s="1177">
        <f t="shared" ref="FS29:FS31" si="602">(((J29/30/8)*2)*(W29+AA29+AE29))-(BF29+BO29+BX29)</f>
        <v>0</v>
      </c>
      <c r="FT29" s="1178">
        <f t="shared" ref="FT29:FT31" si="603">(SUM(BA29:CJ29))-(SUM(EF29:EN29))</f>
        <v>0</v>
      </c>
      <c r="FU29" s="1177">
        <f t="shared" ref="FU29:FU31" si="604">(J29/30*M29)-(EF29)</f>
        <v>0</v>
      </c>
      <c r="FV29" s="1181">
        <f t="shared" ref="FV29:FV31" si="605">(SUM(EP29:EY29))-((SUM(FA29:FJ29))*$FV$5)</f>
        <v>-3126.93</v>
      </c>
    </row>
    <row r="30" spans="1:183" s="809" customFormat="1" ht="15" customHeight="1" outlineLevel="1">
      <c r="A30" s="1005" t="str">
        <f t="shared" si="253"/>
        <v>JUNIO  2026 2da QUINCENA</v>
      </c>
      <c r="B30" s="1005">
        <f t="shared" si="90"/>
        <v>2026</v>
      </c>
      <c r="C30" s="1006" t="str">
        <f t="shared" si="254"/>
        <v>JUNIO  2026 2da QUINCENA2026</v>
      </c>
      <c r="D30" s="826" t="str">
        <f t="shared" si="498"/>
        <v>INFORMATICA</v>
      </c>
      <c r="E30" s="235">
        <v>104020</v>
      </c>
      <c r="F30" s="805">
        <v>11</v>
      </c>
      <c r="G30" s="167" t="s">
        <v>681</v>
      </c>
      <c r="H30" s="246" t="s">
        <v>377</v>
      </c>
      <c r="I30" s="244" t="s">
        <v>11</v>
      </c>
      <c r="J30" s="203">
        <v>4200</v>
      </c>
      <c r="K30" s="1015">
        <v>600</v>
      </c>
      <c r="L30" s="836">
        <f t="shared" ref="L30" si="606">+J30+K30</f>
        <v>4800</v>
      </c>
      <c r="M30" s="203">
        <v>30</v>
      </c>
      <c r="N30" s="846">
        <v>0.5</v>
      </c>
      <c r="O30" s="846">
        <v>0.45</v>
      </c>
      <c r="P30" s="846">
        <v>0.05</v>
      </c>
      <c r="Q30" s="1010"/>
      <c r="R30" s="821">
        <v>0</v>
      </c>
      <c r="S30" s="821">
        <f t="shared" ref="S30" si="607">SUM(N30:R30)</f>
        <v>1</v>
      </c>
      <c r="U30" s="997"/>
      <c r="V30" s="807">
        <f t="shared" ref="V30" si="608">($J30/30/8*1.5)*U30</f>
        <v>0</v>
      </c>
      <c r="W30" s="994"/>
      <c r="X30" s="807">
        <f t="shared" ref="X30" si="609">($J30/30/8*2)*W30</f>
        <v>0</v>
      </c>
      <c r="Y30" s="994"/>
      <c r="Z30" s="807">
        <f t="shared" ref="Z30" si="610">($J30/30/8*1.5)*Y30</f>
        <v>0</v>
      </c>
      <c r="AA30" s="994"/>
      <c r="AB30" s="807">
        <f t="shared" ref="AB30" si="611">($J30/30/8*2)*AA30</f>
        <v>0</v>
      </c>
      <c r="AC30" s="994"/>
      <c r="AD30" s="807">
        <f t="shared" ref="AD30" si="612">(($J30/30/8)*1.5)*AC30</f>
        <v>0</v>
      </c>
      <c r="AE30" s="995"/>
      <c r="AF30" s="807">
        <f t="shared" ref="AF30" si="613">(($J30/30/8)*2)*AE30</f>
        <v>0</v>
      </c>
      <c r="AG30" s="995"/>
      <c r="AH30" s="807">
        <f t="shared" ref="AH30" si="614">(($J30/30/8)*1.5)*AG30</f>
        <v>0</v>
      </c>
      <c r="AI30" s="995"/>
      <c r="AJ30" s="807">
        <f t="shared" ref="AJ30" si="615">(($J30/30/8)*2)*AI30</f>
        <v>0</v>
      </c>
      <c r="AK30" s="995"/>
      <c r="AL30" s="807">
        <f t="shared" ref="AL30" si="616">(($J30/30/8)*1.5)*AK30</f>
        <v>0</v>
      </c>
      <c r="AM30" s="995"/>
      <c r="AN30" s="807">
        <f t="shared" ref="AN30" si="617">(($J30/30/8)*2)*AM30</f>
        <v>0</v>
      </c>
      <c r="AO30" s="982"/>
      <c r="AP30" s="982"/>
      <c r="AQ30" s="982"/>
      <c r="AR30" s="982"/>
      <c r="AS30" s="982"/>
      <c r="AT30" s="982"/>
      <c r="AU30" s="982"/>
      <c r="AV30" s="982"/>
      <c r="AW30" s="982"/>
      <c r="AX30" s="982"/>
      <c r="AY30" s="982"/>
      <c r="AZ30" s="998"/>
      <c r="BA30" s="236">
        <f t="shared" ref="BA30" si="618">((J30/30)*M30)*$N30</f>
        <v>2100</v>
      </c>
      <c r="BB30" s="847">
        <f>((K30/30)*M30)*$N30</f>
        <v>300</v>
      </c>
      <c r="BC30" s="811">
        <f t="shared" ref="BC30" si="619">U30</f>
        <v>0</v>
      </c>
      <c r="BD30" s="811">
        <f t="shared" ref="BD30" si="620">V30</f>
        <v>0</v>
      </c>
      <c r="BE30" s="811">
        <f t="shared" ref="BE30" si="621">W30</f>
        <v>0</v>
      </c>
      <c r="BF30" s="811">
        <f t="shared" ref="BF30" si="622">X30</f>
        <v>0</v>
      </c>
      <c r="BG30" s="811">
        <f t="shared" ref="BG30" si="623">AO30+AT30</f>
        <v>0</v>
      </c>
      <c r="BH30" s="203">
        <f t="shared" si="517"/>
        <v>266.07</v>
      </c>
      <c r="BI30" s="811">
        <f t="shared" ref="BI30" si="624">SUM(BA30:BH30)-BC30-BE30</f>
        <v>2666.07</v>
      </c>
      <c r="BJ30" s="811">
        <f t="shared" si="519"/>
        <v>1890</v>
      </c>
      <c r="BK30" s="210">
        <f>(($K30/30)*$M30)*$O30</f>
        <v>270</v>
      </c>
      <c r="BL30" s="811">
        <f t="shared" ref="BL30" si="625">Y30</f>
        <v>0</v>
      </c>
      <c r="BM30" s="811">
        <f t="shared" ref="BM30" si="626">Z30</f>
        <v>0</v>
      </c>
      <c r="BN30" s="811">
        <f t="shared" ref="BN30" si="627">AA30</f>
        <v>0</v>
      </c>
      <c r="BO30" s="811">
        <f t="shared" ref="BO30" si="628">AB30</f>
        <v>0</v>
      </c>
      <c r="BP30" s="811">
        <f t="shared" ref="BP30" si="629">AP30+AU30</f>
        <v>0</v>
      </c>
      <c r="BQ30" s="203">
        <f t="shared" si="525"/>
        <v>239.46300000000002</v>
      </c>
      <c r="BR30" s="808">
        <f t="shared" ref="BR30" si="630">SUM(BJ30:BQ30)-BL30-BN30</f>
        <v>2399.4630000000002</v>
      </c>
      <c r="BS30" s="811">
        <f t="shared" si="527"/>
        <v>210</v>
      </c>
      <c r="BT30" s="811">
        <f t="shared" si="528"/>
        <v>30</v>
      </c>
      <c r="BU30" s="811">
        <f t="shared" ref="BU30" si="631">AC30</f>
        <v>0</v>
      </c>
      <c r="BV30" s="811">
        <f t="shared" ref="BV30" si="632">AD30</f>
        <v>0</v>
      </c>
      <c r="BW30" s="811">
        <f t="shared" ref="BW30" si="633">AE30</f>
        <v>0</v>
      </c>
      <c r="BX30" s="811">
        <f t="shared" ref="BX30" si="634">AF30</f>
        <v>0</v>
      </c>
      <c r="BY30" s="811">
        <f t="shared" ref="BY30" si="635">AQ30+AV30</f>
        <v>0</v>
      </c>
      <c r="BZ30" s="203">
        <f t="shared" si="534"/>
        <v>26.607000000000003</v>
      </c>
      <c r="CA30" s="811">
        <f t="shared" ref="CA30" si="636">SUM(BS30:BZ30)-BU30-BW30</f>
        <v>266.60700000000003</v>
      </c>
      <c r="CB30" s="848">
        <f>(($J30/30)*$M30)*$Q30</f>
        <v>0</v>
      </c>
      <c r="CC30" s="849">
        <f t="shared" si="536"/>
        <v>0</v>
      </c>
      <c r="CD30" s="849">
        <f t="shared" ref="CD30" si="637">AG30</f>
        <v>0</v>
      </c>
      <c r="CE30" s="849">
        <f t="shared" ref="CE30" si="638">AH30</f>
        <v>0</v>
      </c>
      <c r="CF30" s="849">
        <f t="shared" ref="CF30" si="639">AI30</f>
        <v>0</v>
      </c>
      <c r="CG30" s="849">
        <f t="shared" ref="CG30" si="640">AJ30</f>
        <v>0</v>
      </c>
      <c r="CH30" s="849">
        <f t="shared" ref="CH30" si="641">AR30+AW30</f>
        <v>0</v>
      </c>
      <c r="CI30" s="703">
        <f t="shared" si="542"/>
        <v>0</v>
      </c>
      <c r="CJ30" s="849">
        <f>SUM(CB30:CI30)-CD30-CF30</f>
        <v>0</v>
      </c>
      <c r="CK30" s="849">
        <f t="shared" ref="CK30" si="642">(($J30/30)*$M30)*R30</f>
        <v>0</v>
      </c>
      <c r="CL30" s="849">
        <f t="shared" si="545"/>
        <v>0</v>
      </c>
      <c r="CM30" s="849">
        <f t="shared" ref="CM30" si="643">+AK30</f>
        <v>0</v>
      </c>
      <c r="CN30" s="849">
        <f t="shared" ref="CN30" si="644">AL30</f>
        <v>0</v>
      </c>
      <c r="CO30" s="849">
        <f t="shared" ref="CO30" si="645">AM30</f>
        <v>0</v>
      </c>
      <c r="CP30" s="849">
        <f t="shared" ref="CP30" si="646">AN30</f>
        <v>0</v>
      </c>
      <c r="CQ30" s="849">
        <f t="shared" ref="CQ30" si="647">AS30+AX30</f>
        <v>0</v>
      </c>
      <c r="CR30" s="849">
        <f t="shared" ref="CR30" si="648">(CK30+CN30+CP30)*0.1267</f>
        <v>0</v>
      </c>
      <c r="CS30" s="850">
        <f t="shared" ref="CS30" si="649">SUM(CK30:CR30)-CM30-CO30</f>
        <v>0</v>
      </c>
      <c r="CU30" s="244" t="s">
        <v>11</v>
      </c>
      <c r="CV30" s="811">
        <f t="shared" si="553"/>
        <v>0</v>
      </c>
      <c r="CW30" s="811">
        <f t="shared" si="554"/>
        <v>0</v>
      </c>
      <c r="CX30" s="811">
        <f t="shared" si="555"/>
        <v>0</v>
      </c>
      <c r="CY30" s="811">
        <f t="shared" si="556"/>
        <v>0</v>
      </c>
      <c r="CZ30" s="811">
        <f t="shared" si="557"/>
        <v>0</v>
      </c>
      <c r="DA30" s="811">
        <f t="shared" si="558"/>
        <v>0</v>
      </c>
      <c r="DB30" s="811">
        <f t="shared" si="559"/>
        <v>0</v>
      </c>
      <c r="DC30" s="811">
        <f t="shared" ref="DC30" si="650">IF($CU30="PROQUIMA",$BH30+$BQ30+$BZ30+$CI30+CR30,0)</f>
        <v>0</v>
      </c>
      <c r="DD30" s="811">
        <f t="shared" ref="DD30" si="651">SUM(CV30:DC30)-CX30-CZ30</f>
        <v>0</v>
      </c>
      <c r="DE30" s="811">
        <f t="shared" si="562"/>
        <v>0</v>
      </c>
      <c r="DF30" s="811">
        <f t="shared" si="563"/>
        <v>0</v>
      </c>
      <c r="DG30" s="811">
        <f t="shared" si="564"/>
        <v>0</v>
      </c>
      <c r="DH30" s="811">
        <f t="shared" si="565"/>
        <v>0</v>
      </c>
      <c r="DI30" s="811">
        <f t="shared" si="566"/>
        <v>0</v>
      </c>
      <c r="DJ30" s="811">
        <f t="shared" si="567"/>
        <v>0</v>
      </c>
      <c r="DK30" s="811">
        <f t="shared" si="568"/>
        <v>0</v>
      </c>
      <c r="DL30" s="811">
        <f t="shared" si="569"/>
        <v>0</v>
      </c>
      <c r="DM30" s="811">
        <f t="shared" ref="DM30" si="652">SUM(DE30:DL30)-DG30-DI30</f>
        <v>0</v>
      </c>
      <c r="DN30" s="811">
        <f t="shared" si="571"/>
        <v>0</v>
      </c>
      <c r="DO30" s="811">
        <f t="shared" si="572"/>
        <v>0</v>
      </c>
      <c r="DP30" s="811">
        <f t="shared" si="573"/>
        <v>0</v>
      </c>
      <c r="DQ30" s="811">
        <f t="shared" si="574"/>
        <v>0</v>
      </c>
      <c r="DR30" s="811">
        <f t="shared" si="575"/>
        <v>0</v>
      </c>
      <c r="DS30" s="811">
        <f t="shared" si="576"/>
        <v>0</v>
      </c>
      <c r="DT30" s="811">
        <f t="shared" si="577"/>
        <v>0</v>
      </c>
      <c r="DU30" s="811">
        <f t="shared" si="578"/>
        <v>0</v>
      </c>
      <c r="DV30" s="811">
        <f t="shared" ref="DV30" si="653">SUM(DN30:DU30)-DP30-DR30</f>
        <v>0</v>
      </c>
      <c r="DW30" s="816">
        <f t="shared" ref="DW30:DW31" si="654">IF($CU30="CLEARTEC",$BA30+$BJ30+$BS30+$CB30+$CK30,0)</f>
        <v>0</v>
      </c>
      <c r="DX30" s="816">
        <f t="shared" si="580"/>
        <v>0</v>
      </c>
      <c r="DY30" s="816">
        <f t="shared" si="580"/>
        <v>0</v>
      </c>
      <c r="DZ30" s="816">
        <f t="shared" si="580"/>
        <v>0</v>
      </c>
      <c r="EA30" s="816">
        <f t="shared" si="580"/>
        <v>0</v>
      </c>
      <c r="EB30" s="816">
        <f t="shared" si="580"/>
        <v>0</v>
      </c>
      <c r="EC30" s="816">
        <f t="shared" si="580"/>
        <v>0</v>
      </c>
      <c r="ED30" s="816">
        <f t="shared" si="580"/>
        <v>0</v>
      </c>
      <c r="EE30" s="987">
        <f t="shared" ref="EE30" si="655">SUM(DW30:ED30)-DY30-EA30</f>
        <v>0</v>
      </c>
      <c r="EF30" s="203">
        <f t="shared" si="582"/>
        <v>4200</v>
      </c>
      <c r="EG30" s="242">
        <f t="shared" si="583"/>
        <v>600</v>
      </c>
      <c r="EH30" s="203">
        <f t="shared" si="584"/>
        <v>0</v>
      </c>
      <c r="EI30" s="203">
        <f t="shared" si="585"/>
        <v>0</v>
      </c>
      <c r="EJ30" s="242">
        <f t="shared" si="586"/>
        <v>0</v>
      </c>
      <c r="EK30" s="203">
        <f t="shared" si="587"/>
        <v>0</v>
      </c>
      <c r="EL30" s="203">
        <f t="shared" si="588"/>
        <v>0</v>
      </c>
      <c r="EM30" s="203">
        <f t="shared" si="589"/>
        <v>532.14</v>
      </c>
      <c r="EN30" s="203">
        <f t="shared" si="590"/>
        <v>5332.14</v>
      </c>
      <c r="EP30" s="851">
        <v>21</v>
      </c>
      <c r="EQ30" s="851"/>
      <c r="ER30" s="812"/>
      <c r="ES30" s="851"/>
      <c r="ET30" s="812"/>
      <c r="EU30" s="796"/>
      <c r="EV30" s="812"/>
      <c r="EW30" s="812"/>
      <c r="EX30" s="812"/>
      <c r="EY30" s="812">
        <f>+ET30+EU30+EV30</f>
        <v>0</v>
      </c>
      <c r="EZ30" s="717"/>
      <c r="FA30" s="810">
        <f t="shared" ref="FA30" si="656">IF($M30&lt;=15,EP30/2,EP30)</f>
        <v>21</v>
      </c>
      <c r="FB30" s="810">
        <f t="shared" ref="FB30" si="657">IF($M30&lt;=15,EQ30/2,EQ30)</f>
        <v>0</v>
      </c>
      <c r="FC30" s="810">
        <f t="shared" ref="FC30" si="658">IF($M30&lt;=15,ER30/2,ER30)</f>
        <v>0</v>
      </c>
      <c r="FD30" s="810">
        <f t="shared" ref="FD30" si="659">IF($M30&lt;=15,ES30/2,ES30)</f>
        <v>0</v>
      </c>
      <c r="FE30" s="810">
        <f t="shared" ref="FE30" si="660">IF($M30&lt;=15,ET30/2,ET30)</f>
        <v>0</v>
      </c>
      <c r="FF30" s="810">
        <f t="shared" ref="FF30" si="661">IF($M30&lt;=15,EU30/2,EU30)</f>
        <v>0</v>
      </c>
      <c r="FG30" s="810">
        <f t="shared" ref="FG30" si="662">IF($M30&lt;=15,EV30/2,EV30)</f>
        <v>0</v>
      </c>
      <c r="FH30" s="810">
        <f t="shared" ref="FH30" si="663">IF($M30&lt;=15,EW30/2,EW30)</f>
        <v>0</v>
      </c>
      <c r="FI30" s="810">
        <f t="shared" ref="FI30" si="664">IF($M30&lt;=15,EX30/2,EX30)</f>
        <v>0</v>
      </c>
      <c r="FJ30" s="810">
        <f t="shared" ref="FJ30" si="665">IF($M30&lt;=15,EY30/2,EY30)</f>
        <v>0</v>
      </c>
      <c r="FK30" s="245"/>
      <c r="FL30" s="245"/>
      <c r="FM30" s="245"/>
      <c r="FN30" s="245"/>
      <c r="FO30" s="245"/>
      <c r="FP30" s="245"/>
      <c r="FQ30" s="778"/>
      <c r="FR30" s="1177">
        <f t="shared" si="601"/>
        <v>0</v>
      </c>
      <c r="FS30" s="1177">
        <f t="shared" si="602"/>
        <v>0</v>
      </c>
      <c r="FT30" s="1178">
        <f t="shared" si="603"/>
        <v>0</v>
      </c>
      <c r="FU30" s="1177">
        <f t="shared" si="604"/>
        <v>0</v>
      </c>
      <c r="FV30" s="1181">
        <f t="shared" si="605"/>
        <v>-21</v>
      </c>
    </row>
    <row r="31" spans="1:183" s="809" customFormat="1" ht="15" customHeight="1" outlineLevel="1">
      <c r="A31" s="1005" t="str">
        <f t="shared" si="253"/>
        <v>JUNIO  2026 2da QUINCENA</v>
      </c>
      <c r="B31" s="1005">
        <f t="shared" si="90"/>
        <v>2026</v>
      </c>
      <c r="C31" s="1006" t="str">
        <f t="shared" si="254"/>
        <v>JUNIO  2026 2da QUINCENA2026</v>
      </c>
      <c r="D31" s="826" t="str">
        <f t="shared" si="498"/>
        <v>INFORMATICA</v>
      </c>
      <c r="E31" s="235">
        <v>104020</v>
      </c>
      <c r="F31" s="805">
        <v>12</v>
      </c>
      <c r="G31" s="167" t="s">
        <v>682</v>
      </c>
      <c r="H31" s="246" t="s">
        <v>377</v>
      </c>
      <c r="I31" s="244" t="s">
        <v>11</v>
      </c>
      <c r="J31" s="203">
        <v>4200</v>
      </c>
      <c r="K31" s="836">
        <v>600</v>
      </c>
      <c r="L31" s="836">
        <f t="shared" ref="L31" si="666">+J31+K31</f>
        <v>4800</v>
      </c>
      <c r="M31" s="203">
        <v>30</v>
      </c>
      <c r="N31" s="846">
        <v>0.45</v>
      </c>
      <c r="O31" s="846">
        <v>0.37</v>
      </c>
      <c r="P31" s="846">
        <v>0.03</v>
      </c>
      <c r="Q31" s="1010">
        <v>0.15</v>
      </c>
      <c r="R31" s="821">
        <v>0</v>
      </c>
      <c r="S31" s="821">
        <f t="shared" ref="S31" si="667">SUM(N31:R31)</f>
        <v>1</v>
      </c>
      <c r="U31" s="997"/>
      <c r="V31" s="807">
        <f t="shared" ref="V31" si="668">($J31/30/8*1.5)*U31</f>
        <v>0</v>
      </c>
      <c r="W31" s="994"/>
      <c r="X31" s="807">
        <f t="shared" ref="X31" si="669">($J31/30/8*2)*W31</f>
        <v>0</v>
      </c>
      <c r="Y31" s="994"/>
      <c r="Z31" s="807">
        <f t="shared" ref="Z31" si="670">($J31/30/8*1.5)*Y31</f>
        <v>0</v>
      </c>
      <c r="AA31" s="994"/>
      <c r="AB31" s="807">
        <f t="shared" ref="AB31" si="671">($J31/30/8*2)*AA31</f>
        <v>0</v>
      </c>
      <c r="AC31" s="994"/>
      <c r="AD31" s="807">
        <f t="shared" ref="AD31" si="672">(($J31/30/8)*1.5)*AC31</f>
        <v>0</v>
      </c>
      <c r="AE31" s="995"/>
      <c r="AF31" s="807">
        <f t="shared" ref="AF31" si="673">(($J31/30/8)*2)*AE31</f>
        <v>0</v>
      </c>
      <c r="AG31" s="995"/>
      <c r="AH31" s="807">
        <f t="shared" ref="AH31" si="674">(($J31/30/8)*1.5)*AG31</f>
        <v>0</v>
      </c>
      <c r="AI31" s="995"/>
      <c r="AJ31" s="807">
        <f t="shared" ref="AJ31" si="675">(($J31/30/8)*2)*AI31</f>
        <v>0</v>
      </c>
      <c r="AK31" s="995"/>
      <c r="AL31" s="807">
        <f t="shared" ref="AL31" si="676">(($J31/30/8)*1.5)*AK31</f>
        <v>0</v>
      </c>
      <c r="AM31" s="995"/>
      <c r="AN31" s="807">
        <f t="shared" ref="AN31" si="677">(($J31/30/8)*2)*AM31</f>
        <v>0</v>
      </c>
      <c r="AO31" s="982"/>
      <c r="AP31" s="982"/>
      <c r="AQ31" s="982"/>
      <c r="AR31" s="982"/>
      <c r="AS31" s="982"/>
      <c r="AT31" s="982"/>
      <c r="AU31" s="982"/>
      <c r="AV31" s="982"/>
      <c r="AW31" s="982"/>
      <c r="AX31" s="982"/>
      <c r="AY31" s="982"/>
      <c r="AZ31" s="998"/>
      <c r="BA31" s="236">
        <f t="shared" ref="BA31" si="678">((J31/30)*M31)*$N31</f>
        <v>1890</v>
      </c>
      <c r="BB31" s="847">
        <f>((K31/30)*M31)*$N31</f>
        <v>270</v>
      </c>
      <c r="BC31" s="811">
        <f t="shared" ref="BC31" si="679">U31</f>
        <v>0</v>
      </c>
      <c r="BD31" s="811">
        <f t="shared" ref="BD31" si="680">V31</f>
        <v>0</v>
      </c>
      <c r="BE31" s="811">
        <f t="shared" ref="BE31" si="681">W31</f>
        <v>0</v>
      </c>
      <c r="BF31" s="811">
        <f t="shared" ref="BF31" si="682">X31</f>
        <v>0</v>
      </c>
      <c r="BG31" s="811">
        <f t="shared" ref="BG31" si="683">AO31+AT31</f>
        <v>0</v>
      </c>
      <c r="BH31" s="203">
        <f t="shared" si="517"/>
        <v>239.46300000000002</v>
      </c>
      <c r="BI31" s="811">
        <f t="shared" ref="BI31" si="684">SUM(BA31:BH31)-BC31-BE31</f>
        <v>2399.4630000000002</v>
      </c>
      <c r="BJ31" s="811">
        <f t="shared" si="519"/>
        <v>1554</v>
      </c>
      <c r="BK31" s="210">
        <f>(($K31/30)*$M31)*$O31</f>
        <v>222</v>
      </c>
      <c r="BL31" s="811">
        <f t="shared" ref="BL31" si="685">Y31</f>
        <v>0</v>
      </c>
      <c r="BM31" s="811">
        <f t="shared" ref="BM31" si="686">Z31</f>
        <v>0</v>
      </c>
      <c r="BN31" s="811">
        <f t="shared" ref="BN31" si="687">AA31</f>
        <v>0</v>
      </c>
      <c r="BO31" s="811">
        <f t="shared" ref="BO31" si="688">AB31</f>
        <v>0</v>
      </c>
      <c r="BP31" s="811">
        <f t="shared" ref="BP31" si="689">AP31+AU31</f>
        <v>0</v>
      </c>
      <c r="BQ31" s="203">
        <f t="shared" si="525"/>
        <v>196.89180000000002</v>
      </c>
      <c r="BR31" s="808">
        <f t="shared" ref="BR31" si="690">SUM(BJ31:BQ31)-BL31-BN31</f>
        <v>1972.8918000000001</v>
      </c>
      <c r="BS31" s="811">
        <f t="shared" si="527"/>
        <v>126</v>
      </c>
      <c r="BT31" s="811">
        <f t="shared" si="528"/>
        <v>18</v>
      </c>
      <c r="BU31" s="811">
        <f t="shared" ref="BU31" si="691">AC31</f>
        <v>0</v>
      </c>
      <c r="BV31" s="811">
        <f t="shared" ref="BV31" si="692">AD31</f>
        <v>0</v>
      </c>
      <c r="BW31" s="811">
        <f t="shared" ref="BW31" si="693">AE31</f>
        <v>0</v>
      </c>
      <c r="BX31" s="811">
        <f t="shared" ref="BX31" si="694">AF31</f>
        <v>0</v>
      </c>
      <c r="BY31" s="811">
        <f t="shared" ref="BY31" si="695">AQ31+AV31</f>
        <v>0</v>
      </c>
      <c r="BZ31" s="203">
        <f t="shared" si="534"/>
        <v>15.964200000000002</v>
      </c>
      <c r="CA31" s="811">
        <f t="shared" ref="CA31" si="696">SUM(BS31:BZ31)-BU31-BW31</f>
        <v>159.96420000000001</v>
      </c>
      <c r="CB31" s="848">
        <f>(($J31/30)*$M31)*$Q31</f>
        <v>630</v>
      </c>
      <c r="CC31" s="849">
        <f t="shared" si="536"/>
        <v>90</v>
      </c>
      <c r="CD31" s="849">
        <f t="shared" ref="CD31" si="697">AG31</f>
        <v>0</v>
      </c>
      <c r="CE31" s="849">
        <f t="shared" ref="CE31" si="698">AH31</f>
        <v>0</v>
      </c>
      <c r="CF31" s="849">
        <f t="shared" ref="CF31" si="699">AI31</f>
        <v>0</v>
      </c>
      <c r="CG31" s="849">
        <f t="shared" ref="CG31" si="700">AJ31</f>
        <v>0</v>
      </c>
      <c r="CH31" s="849">
        <f t="shared" ref="CH31" si="701">AR31+AW31</f>
        <v>0</v>
      </c>
      <c r="CI31" s="703">
        <f t="shared" si="542"/>
        <v>79.820999999999998</v>
      </c>
      <c r="CJ31" s="849">
        <f>SUM(CB31:CI31)-CD31-CF31</f>
        <v>799.82100000000003</v>
      </c>
      <c r="CK31" s="849">
        <f t="shared" ref="CK31" si="702">(($J31/30)*$M31)*R31</f>
        <v>0</v>
      </c>
      <c r="CL31" s="849">
        <f t="shared" si="545"/>
        <v>0</v>
      </c>
      <c r="CM31" s="849">
        <f t="shared" ref="CM31" si="703">+AK31</f>
        <v>0</v>
      </c>
      <c r="CN31" s="849">
        <f t="shared" ref="CN31" si="704">AL31</f>
        <v>0</v>
      </c>
      <c r="CO31" s="849">
        <f t="shared" ref="CO31" si="705">AM31</f>
        <v>0</v>
      </c>
      <c r="CP31" s="849">
        <f t="shared" ref="CP31" si="706">AN31</f>
        <v>0</v>
      </c>
      <c r="CQ31" s="849">
        <f t="shared" ref="CQ31" si="707">AS31+AX31</f>
        <v>0</v>
      </c>
      <c r="CR31" s="849">
        <f t="shared" ref="CR31" si="708">(CK31+CN31+CP31)*0.1267</f>
        <v>0</v>
      </c>
      <c r="CS31" s="850">
        <f t="shared" ref="CS31" si="709">SUM(CK31:CR31)-CM31-CO31</f>
        <v>0</v>
      </c>
      <c r="CU31" s="244" t="s">
        <v>11</v>
      </c>
      <c r="CV31" s="811">
        <f t="shared" si="553"/>
        <v>0</v>
      </c>
      <c r="CW31" s="811">
        <f t="shared" si="554"/>
        <v>0</v>
      </c>
      <c r="CX31" s="811">
        <f t="shared" si="555"/>
        <v>0</v>
      </c>
      <c r="CY31" s="811">
        <f t="shared" si="556"/>
        <v>0</v>
      </c>
      <c r="CZ31" s="811">
        <f t="shared" si="557"/>
        <v>0</v>
      </c>
      <c r="DA31" s="811">
        <f t="shared" si="558"/>
        <v>0</v>
      </c>
      <c r="DB31" s="811">
        <f t="shared" si="559"/>
        <v>0</v>
      </c>
      <c r="DC31" s="811">
        <f t="shared" ref="DC31" si="710">IF($CU31="PROQUIMA",$BH31+$BQ31+$BZ31+$CI31+CR31,0)</f>
        <v>0</v>
      </c>
      <c r="DD31" s="811">
        <f t="shared" ref="DD31" si="711">SUM(CV31:DC31)-CX31-CZ31</f>
        <v>0</v>
      </c>
      <c r="DE31" s="811">
        <f t="shared" si="562"/>
        <v>0</v>
      </c>
      <c r="DF31" s="811">
        <f t="shared" si="563"/>
        <v>0</v>
      </c>
      <c r="DG31" s="811">
        <f t="shared" si="564"/>
        <v>0</v>
      </c>
      <c r="DH31" s="811">
        <f t="shared" si="565"/>
        <v>0</v>
      </c>
      <c r="DI31" s="811">
        <f t="shared" si="566"/>
        <v>0</v>
      </c>
      <c r="DJ31" s="811">
        <f t="shared" si="567"/>
        <v>0</v>
      </c>
      <c r="DK31" s="811">
        <f t="shared" si="568"/>
        <v>0</v>
      </c>
      <c r="DL31" s="811">
        <f t="shared" si="569"/>
        <v>0</v>
      </c>
      <c r="DM31" s="811">
        <f t="shared" ref="DM31" si="712">SUM(DE31:DL31)-DG31-DI31</f>
        <v>0</v>
      </c>
      <c r="DN31" s="811">
        <f t="shared" si="571"/>
        <v>0</v>
      </c>
      <c r="DO31" s="811">
        <f t="shared" si="572"/>
        <v>0</v>
      </c>
      <c r="DP31" s="811">
        <f t="shared" si="573"/>
        <v>0</v>
      </c>
      <c r="DQ31" s="811">
        <f t="shared" si="574"/>
        <v>0</v>
      </c>
      <c r="DR31" s="811">
        <f t="shared" si="575"/>
        <v>0</v>
      </c>
      <c r="DS31" s="811">
        <f t="shared" si="576"/>
        <v>0</v>
      </c>
      <c r="DT31" s="811">
        <f t="shared" si="577"/>
        <v>0</v>
      </c>
      <c r="DU31" s="811">
        <f t="shared" si="578"/>
        <v>0</v>
      </c>
      <c r="DV31" s="811">
        <f t="shared" ref="DV31" si="713">SUM(DN31:DU31)-DP31-DR31</f>
        <v>0</v>
      </c>
      <c r="DW31" s="816">
        <f t="shared" si="654"/>
        <v>0</v>
      </c>
      <c r="DX31" s="816">
        <f t="shared" si="580"/>
        <v>0</v>
      </c>
      <c r="DY31" s="816">
        <f t="shared" si="580"/>
        <v>0</v>
      </c>
      <c r="DZ31" s="816">
        <f t="shared" si="580"/>
        <v>0</v>
      </c>
      <c r="EA31" s="816">
        <f t="shared" si="580"/>
        <v>0</v>
      </c>
      <c r="EB31" s="816">
        <f t="shared" si="580"/>
        <v>0</v>
      </c>
      <c r="EC31" s="816">
        <f t="shared" si="580"/>
        <v>0</v>
      </c>
      <c r="ED31" s="816">
        <f t="shared" si="580"/>
        <v>0</v>
      </c>
      <c r="EE31" s="987">
        <f t="shared" ref="EE31" si="714">SUM(DW31:ED31)-DY31-EA31</f>
        <v>0</v>
      </c>
      <c r="EF31" s="203">
        <f t="shared" si="582"/>
        <v>4200</v>
      </c>
      <c r="EG31" s="242">
        <f t="shared" si="583"/>
        <v>600</v>
      </c>
      <c r="EH31" s="203">
        <f t="shared" si="584"/>
        <v>0</v>
      </c>
      <c r="EI31" s="203">
        <f t="shared" si="585"/>
        <v>0</v>
      </c>
      <c r="EJ31" s="242">
        <f t="shared" si="586"/>
        <v>0</v>
      </c>
      <c r="EK31" s="203">
        <f t="shared" si="587"/>
        <v>0</v>
      </c>
      <c r="EL31" s="203">
        <f t="shared" si="588"/>
        <v>0</v>
      </c>
      <c r="EM31" s="203">
        <f t="shared" si="589"/>
        <v>532.1400000000001</v>
      </c>
      <c r="EN31" s="203">
        <f t="shared" si="590"/>
        <v>5332.14</v>
      </c>
      <c r="EP31" s="812">
        <v>21</v>
      </c>
      <c r="EQ31" s="812"/>
      <c r="ER31" s="812"/>
      <c r="ES31" s="851"/>
      <c r="ET31" s="812"/>
      <c r="EU31" s="796"/>
      <c r="EV31" s="812"/>
      <c r="EW31" s="812"/>
      <c r="EX31" s="812"/>
      <c r="EY31" s="812">
        <f>+ET31+EU31+EV31</f>
        <v>0</v>
      </c>
      <c r="EZ31" s="717"/>
      <c r="FA31" s="810">
        <f t="shared" ref="FA31" si="715">IF($M31&lt;=15,EP31/2,EP31)</f>
        <v>21</v>
      </c>
      <c r="FB31" s="810">
        <f t="shared" ref="FB31" si="716">IF($M31&lt;=15,EQ31/2,EQ31)</f>
        <v>0</v>
      </c>
      <c r="FC31" s="810">
        <f t="shared" ref="FC31" si="717">IF($M31&lt;=15,ER31/2,ER31)</f>
        <v>0</v>
      </c>
      <c r="FD31" s="810">
        <f t="shared" ref="FD31" si="718">IF($M31&lt;=15,ES31/2,ES31)</f>
        <v>0</v>
      </c>
      <c r="FE31" s="810">
        <f t="shared" ref="FE31" si="719">IF($M31&lt;=15,ET31/2,ET31)</f>
        <v>0</v>
      </c>
      <c r="FF31" s="810">
        <f t="shared" ref="FF31" si="720">IF($M31&lt;=15,EU31/2,EU31)</f>
        <v>0</v>
      </c>
      <c r="FG31" s="810">
        <f t="shared" ref="FG31" si="721">IF($M31&lt;=15,EV31/2,EV31)</f>
        <v>0</v>
      </c>
      <c r="FH31" s="810">
        <f t="shared" ref="FH31" si="722">IF($M31&lt;=15,EW31/2,EW31)</f>
        <v>0</v>
      </c>
      <c r="FI31" s="810">
        <f t="shared" ref="FI31" si="723">IF($M31&lt;=15,EX31/2,EX31)</f>
        <v>0</v>
      </c>
      <c r="FJ31" s="810">
        <f t="shared" ref="FJ31" si="724">IF($M31&lt;=15,EY31/2,EY31)</f>
        <v>0</v>
      </c>
      <c r="FK31" s="245"/>
      <c r="FL31" s="245"/>
      <c r="FM31" s="245"/>
      <c r="FN31" s="245"/>
      <c r="FO31" s="245"/>
      <c r="FP31" s="245"/>
      <c r="FQ31" s="778"/>
      <c r="FR31" s="1177">
        <f t="shared" si="601"/>
        <v>0</v>
      </c>
      <c r="FS31" s="1177">
        <f t="shared" si="602"/>
        <v>0</v>
      </c>
      <c r="FT31" s="1178">
        <f t="shared" si="603"/>
        <v>0</v>
      </c>
      <c r="FU31" s="1177">
        <f t="shared" si="604"/>
        <v>0</v>
      </c>
      <c r="FV31" s="1181">
        <f t="shared" si="605"/>
        <v>-21</v>
      </c>
    </row>
    <row r="32" spans="1:183" s="809" customFormat="1" ht="15.75" customHeight="1" outlineLevel="1" thickBot="1">
      <c r="A32" s="1005" t="s">
        <v>52</v>
      </c>
      <c r="B32" s="1005" t="s">
        <v>52</v>
      </c>
      <c r="C32" s="1006" t="str">
        <f t="shared" si="254"/>
        <v xml:space="preserve">  </v>
      </c>
      <c r="D32" s="717"/>
      <c r="E32" s="235"/>
      <c r="F32" s="776"/>
      <c r="G32" s="719"/>
      <c r="H32" s="717" t="s">
        <v>375</v>
      </c>
      <c r="I32" s="778"/>
      <c r="J32" s="852">
        <f>+SUM(J29:J31)</f>
        <v>16400</v>
      </c>
      <c r="K32" s="853">
        <f>+SUM(K29:K31)</f>
        <v>8700</v>
      </c>
      <c r="L32" s="853">
        <f>+SUM(L29:L31)</f>
        <v>25100</v>
      </c>
      <c r="M32" s="797"/>
      <c r="N32" s="854"/>
      <c r="O32" s="854"/>
      <c r="P32" s="854"/>
      <c r="Q32" s="798"/>
      <c r="R32" s="798"/>
      <c r="S32" s="798"/>
      <c r="U32" s="853">
        <f t="shared" ref="U32:CF32" si="725">+SUM(U29:U31)</f>
        <v>0</v>
      </c>
      <c r="V32" s="853">
        <f t="shared" si="725"/>
        <v>0</v>
      </c>
      <c r="W32" s="853">
        <f t="shared" si="725"/>
        <v>0</v>
      </c>
      <c r="X32" s="853">
        <f t="shared" si="725"/>
        <v>0</v>
      </c>
      <c r="Y32" s="853">
        <f t="shared" si="725"/>
        <v>0</v>
      </c>
      <c r="Z32" s="853">
        <f t="shared" si="725"/>
        <v>0</v>
      </c>
      <c r="AA32" s="853">
        <f t="shared" si="725"/>
        <v>0</v>
      </c>
      <c r="AB32" s="853">
        <f t="shared" si="725"/>
        <v>0</v>
      </c>
      <c r="AC32" s="853">
        <f t="shared" si="725"/>
        <v>0</v>
      </c>
      <c r="AD32" s="853">
        <f t="shared" si="725"/>
        <v>0</v>
      </c>
      <c r="AE32" s="853">
        <f t="shared" si="725"/>
        <v>0</v>
      </c>
      <c r="AF32" s="853">
        <f t="shared" si="725"/>
        <v>0</v>
      </c>
      <c r="AG32" s="853">
        <f t="shared" si="725"/>
        <v>0</v>
      </c>
      <c r="AH32" s="853">
        <f t="shared" si="725"/>
        <v>0</v>
      </c>
      <c r="AI32" s="853">
        <f t="shared" si="725"/>
        <v>0</v>
      </c>
      <c r="AJ32" s="853">
        <f t="shared" si="725"/>
        <v>0</v>
      </c>
      <c r="AK32" s="853">
        <f t="shared" si="725"/>
        <v>0</v>
      </c>
      <c r="AL32" s="853">
        <f t="shared" si="725"/>
        <v>0</v>
      </c>
      <c r="AM32" s="853">
        <f t="shared" si="725"/>
        <v>0</v>
      </c>
      <c r="AN32" s="853">
        <f t="shared" si="725"/>
        <v>0</v>
      </c>
      <c r="AO32" s="853">
        <f t="shared" si="725"/>
        <v>0</v>
      </c>
      <c r="AP32" s="853">
        <f t="shared" si="725"/>
        <v>0</v>
      </c>
      <c r="AQ32" s="853">
        <f t="shared" si="725"/>
        <v>0</v>
      </c>
      <c r="AR32" s="853">
        <f t="shared" si="725"/>
        <v>0</v>
      </c>
      <c r="AS32" s="853">
        <f t="shared" si="725"/>
        <v>0</v>
      </c>
      <c r="AT32" s="853">
        <f t="shared" si="725"/>
        <v>0</v>
      </c>
      <c r="AU32" s="853">
        <f t="shared" si="725"/>
        <v>0</v>
      </c>
      <c r="AV32" s="853">
        <f t="shared" si="725"/>
        <v>0</v>
      </c>
      <c r="AW32" s="853">
        <f t="shared" si="725"/>
        <v>0</v>
      </c>
      <c r="AX32" s="853">
        <f t="shared" si="725"/>
        <v>0</v>
      </c>
      <c r="AY32" s="853">
        <f t="shared" si="725"/>
        <v>0</v>
      </c>
      <c r="AZ32" s="853">
        <f t="shared" si="725"/>
        <v>0</v>
      </c>
      <c r="BA32" s="853">
        <f>+SUM(BA29:BA31)</f>
        <v>7990</v>
      </c>
      <c r="BB32" s="853">
        <f t="shared" si="725"/>
        <v>4320</v>
      </c>
      <c r="BC32" s="853">
        <f t="shared" si="725"/>
        <v>0</v>
      </c>
      <c r="BD32" s="853">
        <f t="shared" si="725"/>
        <v>0</v>
      </c>
      <c r="BE32" s="853">
        <f t="shared" si="725"/>
        <v>0</v>
      </c>
      <c r="BF32" s="853">
        <f t="shared" si="725"/>
        <v>0</v>
      </c>
      <c r="BG32" s="853">
        <f t="shared" si="725"/>
        <v>0</v>
      </c>
      <c r="BH32" s="853">
        <f t="shared" si="725"/>
        <v>1012.3330000000001</v>
      </c>
      <c r="BI32" s="853">
        <f t="shared" si="725"/>
        <v>13322.332999999999</v>
      </c>
      <c r="BJ32" s="853">
        <f t="shared" si="725"/>
        <v>7044</v>
      </c>
      <c r="BK32" s="853">
        <f t="shared" si="725"/>
        <v>3867</v>
      </c>
      <c r="BL32" s="853">
        <f t="shared" si="725"/>
        <v>0</v>
      </c>
      <c r="BM32" s="853">
        <f t="shared" si="725"/>
        <v>0</v>
      </c>
      <c r="BN32" s="853">
        <f t="shared" si="725"/>
        <v>0</v>
      </c>
      <c r="BO32" s="853">
        <f t="shared" si="725"/>
        <v>0</v>
      </c>
      <c r="BP32" s="853">
        <f t="shared" si="725"/>
        <v>0</v>
      </c>
      <c r="BQ32" s="853">
        <f t="shared" si="725"/>
        <v>892.47480000000007</v>
      </c>
      <c r="BR32" s="853">
        <f t="shared" si="725"/>
        <v>11803.4748</v>
      </c>
      <c r="BS32" s="853">
        <f t="shared" si="725"/>
        <v>736</v>
      </c>
      <c r="BT32" s="853">
        <f t="shared" si="725"/>
        <v>423</v>
      </c>
      <c r="BU32" s="853">
        <f t="shared" si="725"/>
        <v>0</v>
      </c>
      <c r="BV32" s="853">
        <f t="shared" si="725"/>
        <v>0</v>
      </c>
      <c r="BW32" s="853">
        <f t="shared" si="725"/>
        <v>0</v>
      </c>
      <c r="BX32" s="853">
        <f t="shared" si="725"/>
        <v>0</v>
      </c>
      <c r="BY32" s="853">
        <f t="shared" si="725"/>
        <v>0</v>
      </c>
      <c r="BZ32" s="853">
        <f t="shared" si="725"/>
        <v>93.251200000000011</v>
      </c>
      <c r="CA32" s="853">
        <f t="shared" si="725"/>
        <v>1252.2512000000002</v>
      </c>
      <c r="CB32" s="853">
        <f t="shared" si="725"/>
        <v>630</v>
      </c>
      <c r="CC32" s="853">
        <f t="shared" si="725"/>
        <v>90</v>
      </c>
      <c r="CD32" s="853">
        <f t="shared" si="725"/>
        <v>0</v>
      </c>
      <c r="CE32" s="853">
        <f t="shared" si="725"/>
        <v>0</v>
      </c>
      <c r="CF32" s="853">
        <f t="shared" si="725"/>
        <v>0</v>
      </c>
      <c r="CG32" s="853">
        <f t="shared" ref="CG32:ER32" si="726">+SUM(CG29:CG31)</f>
        <v>0</v>
      </c>
      <c r="CH32" s="853">
        <f t="shared" si="726"/>
        <v>0</v>
      </c>
      <c r="CI32" s="853">
        <f t="shared" si="726"/>
        <v>79.820999999999998</v>
      </c>
      <c r="CJ32" s="853">
        <f t="shared" si="726"/>
        <v>799.82100000000003</v>
      </c>
      <c r="CK32" s="853">
        <f t="shared" si="726"/>
        <v>0</v>
      </c>
      <c r="CL32" s="853">
        <f t="shared" si="726"/>
        <v>0</v>
      </c>
      <c r="CM32" s="853">
        <f t="shared" si="726"/>
        <v>0</v>
      </c>
      <c r="CN32" s="853">
        <f t="shared" si="726"/>
        <v>0</v>
      </c>
      <c r="CO32" s="853">
        <f t="shared" si="726"/>
        <v>0</v>
      </c>
      <c r="CP32" s="853">
        <f t="shared" si="726"/>
        <v>0</v>
      </c>
      <c r="CQ32" s="853">
        <f t="shared" si="726"/>
        <v>0</v>
      </c>
      <c r="CR32" s="853">
        <f t="shared" si="726"/>
        <v>0</v>
      </c>
      <c r="CS32" s="853">
        <f t="shared" si="726"/>
        <v>0</v>
      </c>
      <c r="CT32" s="853">
        <f t="shared" si="726"/>
        <v>0</v>
      </c>
      <c r="CU32" s="853">
        <f t="shared" si="726"/>
        <v>0</v>
      </c>
      <c r="CV32" s="853">
        <f t="shared" si="726"/>
        <v>0</v>
      </c>
      <c r="CW32" s="853">
        <f t="shared" si="726"/>
        <v>0</v>
      </c>
      <c r="CX32" s="853">
        <f t="shared" si="726"/>
        <v>0</v>
      </c>
      <c r="CY32" s="853">
        <f t="shared" si="726"/>
        <v>0</v>
      </c>
      <c r="CZ32" s="853">
        <f t="shared" si="726"/>
        <v>0</v>
      </c>
      <c r="DA32" s="853">
        <f t="shared" si="726"/>
        <v>0</v>
      </c>
      <c r="DB32" s="853">
        <f t="shared" si="726"/>
        <v>0</v>
      </c>
      <c r="DC32" s="853">
        <f t="shared" si="726"/>
        <v>0</v>
      </c>
      <c r="DD32" s="853">
        <f t="shared" si="726"/>
        <v>0</v>
      </c>
      <c r="DE32" s="853">
        <f t="shared" si="726"/>
        <v>0</v>
      </c>
      <c r="DF32" s="853">
        <f t="shared" si="726"/>
        <v>0</v>
      </c>
      <c r="DG32" s="853">
        <f t="shared" si="726"/>
        <v>0</v>
      </c>
      <c r="DH32" s="853">
        <f t="shared" si="726"/>
        <v>0</v>
      </c>
      <c r="DI32" s="853">
        <f t="shared" si="726"/>
        <v>0</v>
      </c>
      <c r="DJ32" s="853">
        <f t="shared" si="726"/>
        <v>0</v>
      </c>
      <c r="DK32" s="853">
        <f t="shared" si="726"/>
        <v>0</v>
      </c>
      <c r="DL32" s="853">
        <f t="shared" si="726"/>
        <v>0</v>
      </c>
      <c r="DM32" s="853">
        <f t="shared" si="726"/>
        <v>0</v>
      </c>
      <c r="DN32" s="853">
        <f t="shared" si="726"/>
        <v>0</v>
      </c>
      <c r="DO32" s="853">
        <f t="shared" si="726"/>
        <v>0</v>
      </c>
      <c r="DP32" s="853">
        <f t="shared" si="726"/>
        <v>0</v>
      </c>
      <c r="DQ32" s="853">
        <f t="shared" si="726"/>
        <v>0</v>
      </c>
      <c r="DR32" s="853">
        <f t="shared" si="726"/>
        <v>0</v>
      </c>
      <c r="DS32" s="853">
        <f t="shared" si="726"/>
        <v>0</v>
      </c>
      <c r="DT32" s="853">
        <f t="shared" si="726"/>
        <v>0</v>
      </c>
      <c r="DU32" s="853">
        <f t="shared" si="726"/>
        <v>0</v>
      </c>
      <c r="DV32" s="853">
        <f t="shared" si="726"/>
        <v>0</v>
      </c>
      <c r="DW32" s="853">
        <f t="shared" si="726"/>
        <v>0</v>
      </c>
      <c r="DX32" s="853">
        <f t="shared" si="726"/>
        <v>0</v>
      </c>
      <c r="DY32" s="853">
        <f t="shared" si="726"/>
        <v>0</v>
      </c>
      <c r="DZ32" s="853">
        <f t="shared" si="726"/>
        <v>0</v>
      </c>
      <c r="EA32" s="853">
        <f t="shared" si="726"/>
        <v>0</v>
      </c>
      <c r="EB32" s="853">
        <f t="shared" si="726"/>
        <v>0</v>
      </c>
      <c r="EC32" s="853">
        <f t="shared" si="726"/>
        <v>0</v>
      </c>
      <c r="ED32" s="853">
        <f t="shared" si="726"/>
        <v>0</v>
      </c>
      <c r="EE32" s="853">
        <f t="shared" si="726"/>
        <v>0</v>
      </c>
      <c r="EF32" s="853">
        <f t="shared" si="726"/>
        <v>16400</v>
      </c>
      <c r="EG32" s="853">
        <f t="shared" si="726"/>
        <v>8700</v>
      </c>
      <c r="EH32" s="853">
        <f t="shared" si="726"/>
        <v>0</v>
      </c>
      <c r="EI32" s="853">
        <f t="shared" si="726"/>
        <v>0</v>
      </c>
      <c r="EJ32" s="853">
        <f t="shared" si="726"/>
        <v>0</v>
      </c>
      <c r="EK32" s="853">
        <f t="shared" si="726"/>
        <v>0</v>
      </c>
      <c r="EL32" s="853">
        <f t="shared" si="726"/>
        <v>0</v>
      </c>
      <c r="EM32" s="853">
        <f t="shared" si="726"/>
        <v>2077.88</v>
      </c>
      <c r="EN32" s="853">
        <f t="shared" si="726"/>
        <v>27177.879999999997</v>
      </c>
      <c r="EO32" s="853"/>
      <c r="EP32" s="853">
        <f t="shared" si="726"/>
        <v>535.18000000000006</v>
      </c>
      <c r="EQ32" s="853">
        <f t="shared" si="726"/>
        <v>2633.75</v>
      </c>
      <c r="ER32" s="853">
        <f t="shared" si="726"/>
        <v>0</v>
      </c>
      <c r="ES32" s="853">
        <f t="shared" ref="ES32:FJ32" si="727">+SUM(ES29:ES31)</f>
        <v>0</v>
      </c>
      <c r="ET32" s="853">
        <f t="shared" si="727"/>
        <v>0</v>
      </c>
      <c r="EU32" s="853">
        <f t="shared" si="727"/>
        <v>0</v>
      </c>
      <c r="EV32" s="853">
        <f t="shared" si="727"/>
        <v>0</v>
      </c>
      <c r="EW32" s="853">
        <f t="shared" si="727"/>
        <v>0</v>
      </c>
      <c r="EX32" s="853">
        <f t="shared" si="727"/>
        <v>0</v>
      </c>
      <c r="EY32" s="853">
        <f t="shared" si="727"/>
        <v>0</v>
      </c>
      <c r="EZ32" s="853"/>
      <c r="FA32" s="853">
        <f t="shared" si="727"/>
        <v>535.18000000000006</v>
      </c>
      <c r="FB32" s="853">
        <f t="shared" si="727"/>
        <v>2633.75</v>
      </c>
      <c r="FC32" s="853">
        <f t="shared" si="727"/>
        <v>0</v>
      </c>
      <c r="FD32" s="853">
        <f t="shared" si="727"/>
        <v>0</v>
      </c>
      <c r="FE32" s="853">
        <f t="shared" si="727"/>
        <v>0</v>
      </c>
      <c r="FF32" s="853">
        <f t="shared" si="727"/>
        <v>0</v>
      </c>
      <c r="FG32" s="853">
        <f t="shared" si="727"/>
        <v>0</v>
      </c>
      <c r="FH32" s="853">
        <f t="shared" si="727"/>
        <v>0</v>
      </c>
      <c r="FI32" s="853">
        <f t="shared" si="727"/>
        <v>0</v>
      </c>
      <c r="FJ32" s="853">
        <f t="shared" si="727"/>
        <v>0</v>
      </c>
      <c r="FK32" s="799"/>
      <c r="FL32" s="799"/>
      <c r="FM32" s="799"/>
      <c r="FN32" s="799"/>
      <c r="FO32" s="799"/>
      <c r="FP32" s="799"/>
      <c r="FQ32" s="778"/>
    </row>
    <row r="33" spans="1:178" s="809" customFormat="1" ht="15.75" customHeight="1" outlineLevel="1" thickTop="1">
      <c r="A33" s="1005" t="s">
        <v>52</v>
      </c>
      <c r="B33" s="1005" t="s">
        <v>52</v>
      </c>
      <c r="C33" s="1006" t="str">
        <f t="shared" si="254"/>
        <v xml:space="preserve">  </v>
      </c>
      <c r="D33" s="717"/>
      <c r="E33" s="235">
        <v>105010</v>
      </c>
      <c r="F33" s="776"/>
      <c r="G33" s="779" t="s">
        <v>706</v>
      </c>
      <c r="H33" s="717"/>
      <c r="I33" s="778"/>
      <c r="J33" s="863"/>
      <c r="K33" s="840"/>
      <c r="L33" s="840"/>
      <c r="M33" s="797"/>
      <c r="N33" s="854"/>
      <c r="O33" s="854"/>
      <c r="P33" s="854"/>
      <c r="Q33" s="798"/>
      <c r="R33" s="798"/>
      <c r="S33" s="798"/>
      <c r="U33" s="840"/>
      <c r="V33" s="840"/>
      <c r="W33" s="840"/>
      <c r="X33" s="840"/>
      <c r="Y33" s="840"/>
      <c r="Z33" s="840"/>
      <c r="AA33" s="840"/>
      <c r="AB33" s="840"/>
      <c r="AC33" s="840"/>
      <c r="AD33" s="840"/>
      <c r="AE33" s="840"/>
      <c r="AF33" s="840"/>
      <c r="AG33" s="840"/>
      <c r="AH33" s="840"/>
      <c r="AI33" s="840"/>
      <c r="AJ33" s="840"/>
      <c r="AK33" s="840"/>
      <c r="AL33" s="840"/>
      <c r="AM33" s="840"/>
      <c r="AN33" s="840"/>
      <c r="AO33" s="840"/>
      <c r="AP33" s="840"/>
      <c r="AQ33" s="840"/>
      <c r="AR33" s="840"/>
      <c r="AS33" s="840"/>
      <c r="AT33" s="840"/>
      <c r="AU33" s="840"/>
      <c r="AV33" s="840"/>
      <c r="AW33" s="840"/>
      <c r="AX33" s="840"/>
      <c r="AY33" s="840"/>
      <c r="AZ33" s="840"/>
      <c r="BA33" s="840"/>
      <c r="BB33" s="840"/>
      <c r="BC33" s="840"/>
      <c r="BD33" s="840"/>
      <c r="BE33" s="840"/>
      <c r="BF33" s="840"/>
      <c r="BG33" s="840"/>
      <c r="BH33" s="840"/>
      <c r="BI33" s="840"/>
      <c r="BJ33" s="840"/>
      <c r="BK33" s="840"/>
      <c r="BL33" s="840"/>
      <c r="BM33" s="840"/>
      <c r="BN33" s="840"/>
      <c r="BO33" s="840"/>
      <c r="BP33" s="840"/>
      <c r="BQ33" s="840"/>
      <c r="BR33" s="840"/>
      <c r="BS33" s="840"/>
      <c r="BT33" s="840"/>
      <c r="BU33" s="840"/>
      <c r="BV33" s="840"/>
      <c r="BW33" s="840"/>
      <c r="BX33" s="840"/>
      <c r="BY33" s="840"/>
      <c r="BZ33" s="840"/>
      <c r="CA33" s="840"/>
      <c r="CB33" s="802"/>
      <c r="CC33" s="802"/>
      <c r="CD33" s="802"/>
      <c r="CE33" s="802"/>
      <c r="CF33" s="802"/>
      <c r="CG33" s="802"/>
      <c r="CH33" s="802"/>
      <c r="CI33" s="802"/>
      <c r="CJ33" s="802"/>
      <c r="CK33" s="802"/>
      <c r="CL33" s="802"/>
      <c r="CM33" s="802"/>
      <c r="CN33" s="802"/>
      <c r="CO33" s="802"/>
      <c r="CP33" s="802"/>
      <c r="CQ33" s="802"/>
      <c r="CR33" s="802"/>
      <c r="CS33" s="802"/>
      <c r="CT33" s="802"/>
      <c r="CU33" s="717"/>
      <c r="CV33" s="840"/>
      <c r="CW33" s="840"/>
      <c r="CX33" s="840"/>
      <c r="CY33" s="840"/>
      <c r="CZ33" s="840"/>
      <c r="DA33" s="840"/>
      <c r="DB33" s="840"/>
      <c r="DC33" s="840"/>
      <c r="DD33" s="840"/>
      <c r="DE33" s="840"/>
      <c r="DF33" s="840"/>
      <c r="DG33" s="840"/>
      <c r="DH33" s="840"/>
      <c r="DI33" s="840"/>
      <c r="DJ33" s="840"/>
      <c r="DK33" s="840"/>
      <c r="DL33" s="840"/>
      <c r="DM33" s="840"/>
      <c r="DN33" s="840"/>
      <c r="DO33" s="840"/>
      <c r="DP33" s="840"/>
      <c r="DQ33" s="840"/>
      <c r="DR33" s="840"/>
      <c r="DS33" s="840"/>
      <c r="DT33" s="840"/>
      <c r="DU33" s="840"/>
      <c r="DV33" s="840"/>
      <c r="DW33" s="802"/>
      <c r="DX33" s="802"/>
      <c r="DY33" s="802"/>
      <c r="DZ33" s="802"/>
      <c r="EA33" s="802"/>
      <c r="EB33" s="802"/>
      <c r="EC33" s="802"/>
      <c r="ED33" s="802"/>
      <c r="EE33" s="802"/>
      <c r="EF33" s="802"/>
      <c r="EG33" s="802"/>
      <c r="EH33" s="802"/>
      <c r="EI33" s="802"/>
      <c r="EJ33" s="802"/>
      <c r="EK33" s="802"/>
      <c r="EL33" s="802"/>
      <c r="EM33" s="802"/>
      <c r="EN33" s="802"/>
      <c r="EO33" s="802"/>
      <c r="EP33" s="863"/>
      <c r="EQ33" s="840"/>
      <c r="ER33" s="840"/>
      <c r="ES33" s="863"/>
      <c r="ET33" s="840"/>
      <c r="EU33" s="840"/>
      <c r="EV33" s="840"/>
      <c r="EW33" s="840"/>
      <c r="EX33" s="840"/>
      <c r="EY33" s="840"/>
      <c r="EZ33" s="717"/>
      <c r="FA33" s="840"/>
      <c r="FB33" s="840"/>
      <c r="FC33" s="840"/>
      <c r="FD33" s="840"/>
      <c r="FE33" s="840"/>
      <c r="FF33" s="840"/>
      <c r="FG33" s="840"/>
      <c r="FH33" s="840"/>
      <c r="FI33" s="840"/>
      <c r="FJ33" s="840"/>
      <c r="FK33" s="799"/>
      <c r="FL33" s="799"/>
      <c r="FM33" s="799"/>
      <c r="FN33" s="799"/>
      <c r="FO33" s="799"/>
      <c r="FP33" s="799"/>
      <c r="FQ33" s="778"/>
    </row>
    <row r="34" spans="1:178" s="809" customFormat="1" ht="15.75" customHeight="1" outlineLevel="1">
      <c r="A34" s="1005" t="str">
        <f t="shared" si="253"/>
        <v>JUNIO  2026 2da QUINCENA</v>
      </c>
      <c r="B34" s="1005">
        <f t="shared" si="90"/>
        <v>2026</v>
      </c>
      <c r="C34" s="1006" t="str">
        <f t="shared" si="254"/>
        <v>JUNIO  2026 2da QUINCENA2026</v>
      </c>
      <c r="D34" s="776" t="str">
        <f>+$G$33</f>
        <v>AUDITORIA INTERNA</v>
      </c>
      <c r="E34" s="235">
        <v>105010</v>
      </c>
      <c r="F34" s="776"/>
      <c r="G34" s="779" t="s">
        <v>622</v>
      </c>
      <c r="H34" s="717"/>
      <c r="I34" s="778"/>
      <c r="J34" s="863"/>
      <c r="K34" s="840"/>
      <c r="L34" s="840"/>
      <c r="M34" s="797"/>
      <c r="N34" s="854"/>
      <c r="O34" s="854"/>
      <c r="P34" s="854"/>
      <c r="Q34" s="798"/>
      <c r="R34" s="798"/>
      <c r="S34" s="798"/>
      <c r="U34" s="840"/>
      <c r="V34" s="840"/>
      <c r="W34" s="840"/>
      <c r="X34" s="840"/>
      <c r="Y34" s="840"/>
      <c r="Z34" s="840"/>
      <c r="AA34" s="840"/>
      <c r="AB34" s="840"/>
      <c r="AC34" s="840"/>
      <c r="AD34" s="840"/>
      <c r="AE34" s="840"/>
      <c r="AF34" s="840"/>
      <c r="AG34" s="840"/>
      <c r="AH34" s="840"/>
      <c r="AI34" s="840"/>
      <c r="AJ34" s="840"/>
      <c r="AK34" s="840"/>
      <c r="AL34" s="840"/>
      <c r="AM34" s="840"/>
      <c r="AN34" s="840"/>
      <c r="AO34" s="840"/>
      <c r="AP34" s="840"/>
      <c r="AQ34" s="840"/>
      <c r="AR34" s="840"/>
      <c r="AS34" s="840"/>
      <c r="AT34" s="840"/>
      <c r="AU34" s="840"/>
      <c r="AV34" s="840"/>
      <c r="AW34" s="840"/>
      <c r="AX34" s="840"/>
      <c r="AY34" s="840"/>
      <c r="AZ34" s="840"/>
      <c r="BA34" s="840"/>
      <c r="BB34" s="840"/>
      <c r="BC34" s="840"/>
      <c r="BD34" s="840"/>
      <c r="BE34" s="840"/>
      <c r="BF34" s="840"/>
      <c r="BG34" s="840"/>
      <c r="BH34" s="840"/>
      <c r="BI34" s="840"/>
      <c r="BJ34" s="840"/>
      <c r="BK34" s="840"/>
      <c r="BL34" s="840"/>
      <c r="BM34" s="840"/>
      <c r="BN34" s="840"/>
      <c r="BO34" s="840"/>
      <c r="BP34" s="840"/>
      <c r="BQ34" s="840"/>
      <c r="BR34" s="840"/>
      <c r="BS34" s="840"/>
      <c r="BT34" s="840"/>
      <c r="BU34" s="840"/>
      <c r="BV34" s="840"/>
      <c r="BW34" s="840"/>
      <c r="BX34" s="840"/>
      <c r="BY34" s="840"/>
      <c r="BZ34" s="840"/>
      <c r="CA34" s="840"/>
      <c r="CB34" s="802"/>
      <c r="CC34" s="802"/>
      <c r="CD34" s="802"/>
      <c r="CE34" s="802"/>
      <c r="CF34" s="802"/>
      <c r="CG34" s="802"/>
      <c r="CH34" s="802"/>
      <c r="CI34" s="802"/>
      <c r="CJ34" s="802"/>
      <c r="CK34" s="802"/>
      <c r="CL34" s="802"/>
      <c r="CM34" s="802"/>
      <c r="CN34" s="802"/>
      <c r="CO34" s="802"/>
      <c r="CP34" s="802"/>
      <c r="CQ34" s="802"/>
      <c r="CR34" s="802"/>
      <c r="CS34" s="802"/>
      <c r="CT34" s="802"/>
      <c r="CU34" s="717"/>
      <c r="CV34" s="840"/>
      <c r="CW34" s="840"/>
      <c r="CX34" s="840"/>
      <c r="CY34" s="840"/>
      <c r="CZ34" s="840"/>
      <c r="DA34" s="840"/>
      <c r="DB34" s="840"/>
      <c r="DC34" s="840"/>
      <c r="DD34" s="840"/>
      <c r="DE34" s="840"/>
      <c r="DF34" s="840"/>
      <c r="DG34" s="840"/>
      <c r="DH34" s="840"/>
      <c r="DI34" s="840"/>
      <c r="DJ34" s="840"/>
      <c r="DK34" s="840"/>
      <c r="DL34" s="840"/>
      <c r="DM34" s="840"/>
      <c r="DN34" s="840"/>
      <c r="DO34" s="840"/>
      <c r="DP34" s="840"/>
      <c r="DQ34" s="840"/>
      <c r="DR34" s="840"/>
      <c r="DS34" s="840"/>
      <c r="DT34" s="840"/>
      <c r="DU34" s="840"/>
      <c r="DV34" s="840"/>
      <c r="DW34" s="802"/>
      <c r="DX34" s="802"/>
      <c r="DY34" s="802"/>
      <c r="DZ34" s="802"/>
      <c r="EA34" s="802"/>
      <c r="EB34" s="802"/>
      <c r="EC34" s="802"/>
      <c r="ED34" s="802"/>
      <c r="EE34" s="802"/>
      <c r="EF34" s="802"/>
      <c r="EG34" s="802"/>
      <c r="EH34" s="802"/>
      <c r="EI34" s="802"/>
      <c r="EJ34" s="802"/>
      <c r="EK34" s="802"/>
      <c r="EL34" s="802"/>
      <c r="EM34" s="802"/>
      <c r="EN34" s="802"/>
      <c r="EO34" s="802"/>
      <c r="EP34" s="863"/>
      <c r="EQ34" s="840"/>
      <c r="ER34" s="840"/>
      <c r="ES34" s="863"/>
      <c r="ET34" s="840"/>
      <c r="EU34" s="840"/>
      <c r="EV34" s="840"/>
      <c r="EW34" s="840"/>
      <c r="EX34" s="840"/>
      <c r="EY34" s="840"/>
      <c r="EZ34" s="717"/>
      <c r="FA34" s="840"/>
      <c r="FB34" s="840"/>
      <c r="FC34" s="840"/>
      <c r="FD34" s="840"/>
      <c r="FE34" s="840"/>
      <c r="FF34" s="840"/>
      <c r="FG34" s="840"/>
      <c r="FH34" s="840"/>
      <c r="FI34" s="840"/>
      <c r="FJ34" s="840"/>
      <c r="FK34" s="799"/>
      <c r="FL34" s="799"/>
      <c r="FM34" s="799"/>
      <c r="FN34" s="799"/>
      <c r="FO34" s="799"/>
      <c r="FP34" s="799"/>
      <c r="FQ34" s="778"/>
    </row>
    <row r="35" spans="1:178" s="216" customFormat="1" ht="15" customHeight="1" outlineLevel="1">
      <c r="A35" s="1005" t="str">
        <f t="shared" si="253"/>
        <v>JUNIO  2026 2da QUINCENA</v>
      </c>
      <c r="B35" s="1005">
        <f t="shared" si="90"/>
        <v>2026</v>
      </c>
      <c r="C35" s="1006" t="str">
        <f t="shared" si="254"/>
        <v>JUNIO  2026 2da QUINCENA2026</v>
      </c>
      <c r="D35" s="235" t="str">
        <f t="shared" ref="D35" si="728">+$G$33</f>
        <v>AUDITORIA INTERNA</v>
      </c>
      <c r="E35" s="235">
        <v>105010</v>
      </c>
      <c r="F35" s="268">
        <v>13</v>
      </c>
      <c r="G35" s="199" t="s">
        <v>418</v>
      </c>
      <c r="H35" s="200" t="s">
        <v>67</v>
      </c>
      <c r="I35" s="201" t="s">
        <v>11</v>
      </c>
      <c r="J35" s="203">
        <v>8000</v>
      </c>
      <c r="K35" s="203">
        <v>4000</v>
      </c>
      <c r="L35" s="202">
        <f t="shared" ref="L35:L36" si="729">+J35+K35</f>
        <v>12000</v>
      </c>
      <c r="M35" s="203">
        <v>30</v>
      </c>
      <c r="N35" s="204">
        <v>0.5</v>
      </c>
      <c r="O35" s="204">
        <v>0.35</v>
      </c>
      <c r="P35" s="204">
        <v>0.05</v>
      </c>
      <c r="Q35" s="204">
        <v>0.1</v>
      </c>
      <c r="R35" s="819">
        <v>0</v>
      </c>
      <c r="S35" s="204">
        <f t="shared" ref="S35" si="730">SUM(N35:R35)</f>
        <v>1</v>
      </c>
      <c r="T35" s="205" t="s">
        <v>52</v>
      </c>
      <c r="U35" s="207"/>
      <c r="V35" s="203">
        <f t="shared" ref="V35:V36" si="731">($J35/30/8*1.5)*U35</f>
        <v>0</v>
      </c>
      <c r="W35" s="207"/>
      <c r="X35" s="203">
        <f t="shared" ref="X35:X36" si="732">($J35/30/8*2)*W35</f>
        <v>0</v>
      </c>
      <c r="Y35" s="207"/>
      <c r="Z35" s="203">
        <f t="shared" ref="Z35:Z36" si="733">($J35/30/8*1.5)*Y35</f>
        <v>0</v>
      </c>
      <c r="AA35" s="207"/>
      <c r="AB35" s="203">
        <f t="shared" ref="AB35:AB36" si="734">($J35/30/8*2)*AA35</f>
        <v>0</v>
      </c>
      <c r="AC35" s="207"/>
      <c r="AD35" s="203">
        <f t="shared" ref="AD35:AD36" si="735">(($J35/30/8)*1.5)*AC35</f>
        <v>0</v>
      </c>
      <c r="AE35" s="208"/>
      <c r="AF35" s="203">
        <f t="shared" ref="AF35:AF36" si="736">(($J35/30/8)*2)*AE35</f>
        <v>0</v>
      </c>
      <c r="AG35" s="208"/>
      <c r="AH35" s="203">
        <f t="shared" ref="AH35:AH36" si="737">(($J35/30/8)*1.5)*AG35</f>
        <v>0</v>
      </c>
      <c r="AI35" s="208"/>
      <c r="AJ35" s="203">
        <f t="shared" ref="AJ35:AJ36" si="738">(($J35/30/8)*2)*AI35</f>
        <v>0</v>
      </c>
      <c r="AK35" s="203"/>
      <c r="AL35" s="203">
        <f t="shared" ref="AL35:AL36" si="739">(($J35/30/8)*1.5)*AK35</f>
        <v>0</v>
      </c>
      <c r="AM35" s="208"/>
      <c r="AN35" s="203">
        <f t="shared" ref="AN35:AN36" si="740">(($J35/30/8)*2)*AM35</f>
        <v>0</v>
      </c>
      <c r="AO35" s="203"/>
      <c r="AP35" s="203"/>
      <c r="AQ35" s="203"/>
      <c r="AR35" s="203"/>
      <c r="AS35" s="203"/>
      <c r="AT35" s="203"/>
      <c r="AU35" s="203"/>
      <c r="AV35" s="203"/>
      <c r="AW35" s="203"/>
      <c r="AX35" s="203"/>
      <c r="AY35" s="203"/>
      <c r="AZ35" s="201"/>
      <c r="BA35" s="203">
        <f t="shared" ref="BA35:BA36" si="741">((J35/30)*M35)*$N35</f>
        <v>4000.0000000000005</v>
      </c>
      <c r="BB35" s="203">
        <f>((K35/30)*M35)*$N35</f>
        <v>2000.0000000000002</v>
      </c>
      <c r="BC35" s="203">
        <f t="shared" ref="BC35:BC36" si="742">U35</f>
        <v>0</v>
      </c>
      <c r="BD35" s="203">
        <f t="shared" ref="BD35:BD36" si="743">V35</f>
        <v>0</v>
      </c>
      <c r="BE35" s="203">
        <f t="shared" ref="BE35:BE36" si="744">W35</f>
        <v>0</v>
      </c>
      <c r="BF35" s="203">
        <f t="shared" ref="BF35:BF36" si="745">X35</f>
        <v>0</v>
      </c>
      <c r="BG35" s="203">
        <f t="shared" ref="BG35:BG36" si="746">AO35+AT35</f>
        <v>0</v>
      </c>
      <c r="BH35" s="203">
        <f t="shared" ref="BH35:BH37" si="747">(BA35+BD35+BF35+BG35)*0.1267</f>
        <v>506.80000000000007</v>
      </c>
      <c r="BI35" s="203">
        <f t="shared" ref="BI35" si="748">SUM(BA35:BH35)-BC35-BE35</f>
        <v>6506.8000000000011</v>
      </c>
      <c r="BJ35" s="203">
        <f t="shared" ref="BJ35:BJ37" si="749">(($J35/30)*$M35)*$O35</f>
        <v>2800</v>
      </c>
      <c r="BK35" s="203">
        <f t="shared" ref="BK35:BK37" si="750">(($K35/30)*$M35)*$O35</f>
        <v>1400</v>
      </c>
      <c r="BL35" s="203">
        <f t="shared" ref="BL35:BL36" si="751">Y35</f>
        <v>0</v>
      </c>
      <c r="BM35" s="203">
        <f t="shared" ref="BM35:BM36" si="752">Z35</f>
        <v>0</v>
      </c>
      <c r="BN35" s="203">
        <f t="shared" ref="BN35:BN36" si="753">AA35</f>
        <v>0</v>
      </c>
      <c r="BO35" s="203">
        <f t="shared" ref="BO35:BO36" si="754">AB35</f>
        <v>0</v>
      </c>
      <c r="BP35" s="203">
        <f t="shared" ref="BP35:BP36" si="755">AP35+AU35</f>
        <v>0</v>
      </c>
      <c r="BQ35" s="203">
        <f t="shared" ref="BQ35:BQ37" si="756">(+BJ35+BM35+BO35+BP35)*0.1267</f>
        <v>354.76000000000005</v>
      </c>
      <c r="BR35" s="202">
        <f t="shared" ref="BR35" si="757">SUM(BJ35:BQ35)-BL35-BN35</f>
        <v>4554.76</v>
      </c>
      <c r="BS35" s="203">
        <f t="shared" ref="BS35:BS37" si="758">(($J35/30)*$M35)*$P35</f>
        <v>400.00000000000006</v>
      </c>
      <c r="BT35" s="203">
        <f t="shared" ref="BT35:BT37" si="759">(($K35/30)*$M35)*$P35</f>
        <v>200.00000000000003</v>
      </c>
      <c r="BU35" s="203">
        <f t="shared" ref="BU35:BU36" si="760">AC35</f>
        <v>0</v>
      </c>
      <c r="BV35" s="203">
        <f t="shared" ref="BV35:BV36" si="761">AD35</f>
        <v>0</v>
      </c>
      <c r="BW35" s="203">
        <f t="shared" ref="BW35:BW36" si="762">AE35</f>
        <v>0</v>
      </c>
      <c r="BX35" s="203">
        <f t="shared" ref="BX35:BX36" si="763">AF35</f>
        <v>0</v>
      </c>
      <c r="BY35" s="203">
        <f t="shared" ref="BY35:BY36" si="764">AQ35+AV35</f>
        <v>0</v>
      </c>
      <c r="BZ35" s="203">
        <f t="shared" ref="BZ35:BZ37" si="765">(BS35+BV35+BX35+BY35)*0.1267</f>
        <v>50.680000000000007</v>
      </c>
      <c r="CA35" s="203">
        <f t="shared" ref="CA35" si="766">SUM(BS35:BZ35)-BU35-BW35</f>
        <v>650.68000000000006</v>
      </c>
      <c r="CB35" s="241">
        <f t="shared" ref="CB35:CB37" si="767">(($J35/30)*$M35)*$Q35</f>
        <v>800.00000000000011</v>
      </c>
      <c r="CC35" s="242">
        <f t="shared" ref="CC35:CC37" si="768">(($K35/30)*$M35)*$Q35</f>
        <v>400.00000000000006</v>
      </c>
      <c r="CD35" s="242">
        <f t="shared" ref="CD35:CD36" si="769">AG35</f>
        <v>0</v>
      </c>
      <c r="CE35" s="242">
        <f t="shared" ref="CE35:CE36" si="770">AH35</f>
        <v>0</v>
      </c>
      <c r="CF35" s="242">
        <f t="shared" ref="CF35:CF36" si="771">AI35</f>
        <v>0</v>
      </c>
      <c r="CG35" s="242">
        <f t="shared" ref="CG35:CG36" si="772">AJ35</f>
        <v>0</v>
      </c>
      <c r="CH35" s="242">
        <f t="shared" ref="CH35:CH36" si="773">AR35+AW35</f>
        <v>0</v>
      </c>
      <c r="CI35" s="703">
        <f t="shared" ref="CI35:CI37" si="774">(CB35+CE35+CG35+CH35)*0.1267</f>
        <v>101.36000000000001</v>
      </c>
      <c r="CJ35" s="242">
        <f t="shared" ref="CJ35" si="775">SUM(CB35:CI35)-CD35-CF35</f>
        <v>1301.3600000000001</v>
      </c>
      <c r="CK35" s="242">
        <f t="shared" ref="CK35:CK36" si="776">(($J35/30)*$M35)*R35</f>
        <v>0</v>
      </c>
      <c r="CL35" s="242">
        <f t="shared" ref="CL35:CL37" si="777">(($K35/30)*$M35)*$R35</f>
        <v>0</v>
      </c>
      <c r="CM35" s="242">
        <f t="shared" ref="CM35:CM36" si="778">+AK35</f>
        <v>0</v>
      </c>
      <c r="CN35" s="242">
        <f t="shared" ref="CN35:CN36" si="779">AL35</f>
        <v>0</v>
      </c>
      <c r="CO35" s="242">
        <f t="shared" ref="CO35:CO36" si="780">AM35</f>
        <v>0</v>
      </c>
      <c r="CP35" s="242">
        <f t="shared" ref="CP35:CP36" si="781">AN35</f>
        <v>0</v>
      </c>
      <c r="CQ35" s="242">
        <f t="shared" ref="CQ35:CQ36" si="782">AS35+AX35</f>
        <v>0</v>
      </c>
      <c r="CR35" s="242">
        <f t="shared" ref="CR35:CR36" si="783">(CK35+CN35+CP35)*0.1267</f>
        <v>0</v>
      </c>
      <c r="CS35" s="243">
        <f t="shared" ref="CS35:CS36" si="784">SUM(CK35:CR35)-CM35-CO35</f>
        <v>0</v>
      </c>
      <c r="CU35" s="201" t="s">
        <v>11</v>
      </c>
      <c r="CV35" s="203">
        <f t="shared" ref="CV35:CV37" si="785">IF($CU35="PROQUIMA",$BA35+$BJ35+$BS35+$CB35+$CK35,0)</f>
        <v>0</v>
      </c>
      <c r="CW35" s="203">
        <f t="shared" ref="CW35:CW37" si="786">IF($CU35="PROQUIMA",$BB35+$BK35+$BT35+$CC35+$CL35,0)</f>
        <v>0</v>
      </c>
      <c r="CX35" s="203">
        <f t="shared" ref="CX35:CX37" si="787">IF($CU35="PROQUIMA",$BC35+$BL35+$BU35+$CD35+$CM35,0)</f>
        <v>0</v>
      </c>
      <c r="CY35" s="203">
        <f t="shared" ref="CY35:CY37" si="788">IF($CU35="PROQUIMA",$BD35+$BM35+$BV35+$CE35+$CN35,0)</f>
        <v>0</v>
      </c>
      <c r="CZ35" s="203">
        <f t="shared" ref="CZ35:CZ37" si="789">IF($CU35="PROQUIMA",$BE35+$BN35+$BW35+$CF35+$CO35,0)</f>
        <v>0</v>
      </c>
      <c r="DA35" s="203">
        <f t="shared" ref="DA35:DA37" si="790">IF($CU35="PROQUIMA",$BF35+$BO35+$BX35+$CG35+$CP35,0)</f>
        <v>0</v>
      </c>
      <c r="DB35" s="203">
        <f t="shared" ref="DB35:DB37" si="791">IF($CU35="PROQUIMA",$BG35+$BP35+$BY35+$CH35+$CQ35,0)</f>
        <v>0</v>
      </c>
      <c r="DC35" s="203">
        <f t="shared" ref="DC35:DC36" si="792">IF($CU35="PROQUIMA",$BH35+$BQ35+$BZ35+$CI35+CR35,0)</f>
        <v>0</v>
      </c>
      <c r="DD35" s="203">
        <f t="shared" ref="DD35:DD36" si="793">SUM(CV35:DC35)-CX35-CZ35</f>
        <v>0</v>
      </c>
      <c r="DE35" s="203">
        <f t="shared" ref="DE35:DE37" si="794">IF($CU35="UNHESA",$BA35+$BJ35+$BS35+$CB35+$CK35,0)</f>
        <v>0</v>
      </c>
      <c r="DF35" s="203">
        <f t="shared" ref="DF35:DF37" si="795">IF($CU35="UNHESA",$BB35+$BK35+$BT35+$CC35+$CL35,0)</f>
        <v>0</v>
      </c>
      <c r="DG35" s="203">
        <f t="shared" ref="DG35:DG37" si="796">IF($CU35="UNHESA",$BC35+$BL35+$BU35+$CD35+$CM35,0)</f>
        <v>0</v>
      </c>
      <c r="DH35" s="203">
        <f t="shared" ref="DH35:DH37" si="797">IF($CU35="UNHESA",$BD35+$BM35+$BV35+$CE35+$CN35,0)</f>
        <v>0</v>
      </c>
      <c r="DI35" s="203">
        <f t="shared" ref="DI35:DI37" si="798">IF($CU35="UNHESA",$BE35+$BN35+$BW35+$CF35+$CO35,0)</f>
        <v>0</v>
      </c>
      <c r="DJ35" s="203">
        <f t="shared" ref="DJ35:DJ37" si="799">IF($CU35="UNHESA",$BF35+$BO35+$BX35+$CG35+$CP35,0)</f>
        <v>0</v>
      </c>
      <c r="DK35" s="203">
        <f t="shared" ref="DK35:DK37" si="800">IF($CU35="UNHESA",$BG35+$BP35+$BY35+$CH35+$CQ35,0)</f>
        <v>0</v>
      </c>
      <c r="DL35" s="203">
        <f t="shared" ref="DL35:DL37" si="801">IF($CU35="UNHESA",$BH35+$BQ35+$BZ35+$CI35+$CR35,0)</f>
        <v>0</v>
      </c>
      <c r="DM35" s="203">
        <f t="shared" ref="DM35" si="802">SUM(DE35:DL35)-DG35-DI35</f>
        <v>0</v>
      </c>
      <c r="DN35" s="203">
        <f t="shared" ref="DN35:DN37" si="803">IF($CU35="UNHESA LIQUIDOS",$BA35+$BJ35+$BS35+$CB35+$CK35,0)</f>
        <v>0</v>
      </c>
      <c r="DO35" s="203">
        <f t="shared" ref="DO35:DO37" si="804">IF($CU35="CALIDUL",$BB35+$BK35+$BT35+$CC35+$CL35,0)</f>
        <v>0</v>
      </c>
      <c r="DP35" s="203">
        <f t="shared" ref="DP35:DP37" si="805">IF($CU35="CALIDUL",$BC35+$BL35+$BU35+$CD35+$CM35,0)</f>
        <v>0</v>
      </c>
      <c r="DQ35" s="203">
        <f t="shared" ref="DQ35:DQ37" si="806">IF($CU35="CALIDUL",$BD35+$BM35+$BV35+$CE35+$CN35,0)</f>
        <v>0</v>
      </c>
      <c r="DR35" s="203">
        <f t="shared" ref="DR35:DR37" si="807">IF($CU35="CALIDUL",$BE35+$BN35+$BW35+$CF35+$CO35,0)</f>
        <v>0</v>
      </c>
      <c r="DS35" s="203">
        <f t="shared" ref="DS35:DS37" si="808">IF($CU35="CALIDUL",$BF35+$BO35+$BX35+$CG35+$CP35,0)</f>
        <v>0</v>
      </c>
      <c r="DT35" s="203">
        <f t="shared" ref="DT35:DT37" si="809">IF($CU35="CALIDUL",$BG35+$BP35+$BY35+$CH35+$CQ35,0)</f>
        <v>0</v>
      </c>
      <c r="DU35" s="203">
        <f t="shared" ref="DU35:DU37" si="810">IF($CU35="CALIDUL",$BH35+$BQ35+$BZ35+$CI35+$CR35,0)</f>
        <v>0</v>
      </c>
      <c r="DV35" s="203">
        <f t="shared" ref="DV35" si="811">SUM(DN35:DU35)-DP35-DR35</f>
        <v>0</v>
      </c>
      <c r="DW35" s="241">
        <f>IF($CU35="CLEARTEC",$BA35+$BJ35+$BS35+$CB35+$CK35,0)</f>
        <v>0</v>
      </c>
      <c r="DX35" s="241">
        <f t="shared" ref="DX35:ED37" si="812">IF($CU35="CLEARTEC",$BA35+$BJ35+$BS35+$CB35+$CK35,0)</f>
        <v>0</v>
      </c>
      <c r="DY35" s="241">
        <f t="shared" si="812"/>
        <v>0</v>
      </c>
      <c r="DZ35" s="241">
        <f t="shared" si="812"/>
        <v>0</v>
      </c>
      <c r="EA35" s="241">
        <f t="shared" si="812"/>
        <v>0</v>
      </c>
      <c r="EB35" s="241">
        <f t="shared" si="812"/>
        <v>0</v>
      </c>
      <c r="EC35" s="241">
        <f t="shared" si="812"/>
        <v>0</v>
      </c>
      <c r="ED35" s="241">
        <f t="shared" si="812"/>
        <v>0</v>
      </c>
      <c r="EE35" s="242">
        <f t="shared" ref="EE35:EE36" si="813">SUM(DW35:ED35)-DY35-EA35</f>
        <v>0</v>
      </c>
      <c r="EF35" s="203">
        <f t="shared" ref="EF35:EF36" si="814">IF(CU35="ECONACIONAL",$BA35+$BJ35+$BS35+$CB35+$CK35)</f>
        <v>8000</v>
      </c>
      <c r="EG35" s="242">
        <f t="shared" ref="EG35:EG37" si="815">IF($CU35="ECONACIONAL",$BB35+$BK35+$BT35+$CC35+$CL35,0)</f>
        <v>4000</v>
      </c>
      <c r="EH35" s="203">
        <f t="shared" ref="EH35:EH36" si="816">IF(CU35="ECONACIONAL",$BC35+$BL35+$BU35+$CD35+$CM35)</f>
        <v>0</v>
      </c>
      <c r="EI35" s="203">
        <f t="shared" ref="EI35:EI36" si="817">IF(CU35="ECONACIONAL",$BD35+$DH35+$DQ35+$DZ35+BM35+BV35+CE35+CN35)</f>
        <v>0</v>
      </c>
      <c r="EJ35" s="242">
        <f t="shared" ref="EJ35:EJ37" si="818">IF($CU35="CLEARTEC",$BE35+$BN35+$BW35+$CF35+$CO35,0)</f>
        <v>0</v>
      </c>
      <c r="EK35" s="203">
        <f t="shared" ref="EK35:EK36" si="819">IF(CU35="ECONACIONAL",$BF35+$BO35+$BX35+$CG35+$CP35)</f>
        <v>0</v>
      </c>
      <c r="EL35" s="203">
        <f t="shared" ref="EL35:EL36" si="820">IF(CU35="ECONACIONAL",$BG35+$BP35+$BY35+$CH35+$CQ35)</f>
        <v>0</v>
      </c>
      <c r="EM35" s="203">
        <f t="shared" ref="EM35:EM36" si="821">IF(CU35="ECONACIONAL",BH35+BQ35+BZ35+CI35+CR35)</f>
        <v>1013.6000000000003</v>
      </c>
      <c r="EN35" s="203">
        <f t="shared" ref="EN35:EN36" si="822">SUM(EF35:EM35)-EH35-EJ35</f>
        <v>13013.6</v>
      </c>
      <c r="EP35" s="786">
        <v>358.88</v>
      </c>
      <c r="EQ35" s="201"/>
      <c r="ER35" s="201"/>
      <c r="ES35" s="201"/>
      <c r="ET35" s="201"/>
      <c r="EU35" s="201"/>
      <c r="EV35" s="200">
        <v>350</v>
      </c>
      <c r="EW35" s="201"/>
      <c r="EX35" s="201"/>
      <c r="EY35" s="201">
        <f>+ET35+EU35+EV35</f>
        <v>350</v>
      </c>
      <c r="EZ35" s="820"/>
      <c r="FA35" s="207">
        <f t="shared" ref="FA35:FA36" si="823">IF($M35&lt;=15,EP35/2,EP35)</f>
        <v>358.88</v>
      </c>
      <c r="FB35" s="207">
        <f t="shared" ref="FB35:FB36" si="824">IF($M35&lt;=15,EQ35/2,EQ35)</f>
        <v>0</v>
      </c>
      <c r="FC35" s="207">
        <f t="shared" ref="FC35:FC36" si="825">IF($M35&lt;=15,ER35/2,ER35)</f>
        <v>0</v>
      </c>
      <c r="FD35" s="207">
        <f t="shared" ref="FD35:FD36" si="826">IF($M35&lt;=15,ES35/2,ES35)</f>
        <v>0</v>
      </c>
      <c r="FE35" s="207">
        <f t="shared" ref="FE35:FE36" si="827">IF($M35&lt;=15,ET35/2,ET35)</f>
        <v>0</v>
      </c>
      <c r="FF35" s="207">
        <f t="shared" ref="FF35:FF36" si="828">IF($M35&lt;=15,EU35/2,EU35)</f>
        <v>0</v>
      </c>
      <c r="FG35" s="207">
        <f>IF($M35&lt;=15,EV35/2,EV35)</f>
        <v>350</v>
      </c>
      <c r="FH35" s="207">
        <f t="shared" ref="FH35:FH36" si="829">IF($M35&lt;=15,EW35/2,EW35)</f>
        <v>0</v>
      </c>
      <c r="FI35" s="207">
        <f t="shared" ref="FI35:FI36" si="830">IF($M35&lt;=15,EX35/2,EX35)</f>
        <v>0</v>
      </c>
      <c r="FJ35" s="207">
        <f t="shared" ref="FJ35:FJ36" si="831">IF($M35&lt;=15,EY35/2,EY35)</f>
        <v>350</v>
      </c>
      <c r="FK35" s="217">
        <v>0.75</v>
      </c>
      <c r="FL35" s="217">
        <v>0.25</v>
      </c>
      <c r="FM35" s="217">
        <v>0</v>
      </c>
      <c r="FN35" s="217">
        <v>0</v>
      </c>
      <c r="FO35" s="217">
        <v>0</v>
      </c>
      <c r="FP35" s="217">
        <v>1</v>
      </c>
      <c r="FR35" s="1184">
        <f>(((J35/30/8)*1.5)*(U35+Y35+AC35))-(BD35+BM35+BV35)</f>
        <v>0</v>
      </c>
      <c r="FS35" s="1184">
        <f t="shared" ref="FS35:FS36" si="832">(((J35/30/8)*2)*(W35+AA35+AE35))-(BF35+BO35+BX35)</f>
        <v>0</v>
      </c>
      <c r="FT35" s="1185">
        <f>(SUM(BA35:CJ35))-(SUM(EF35:EN35))</f>
        <v>0</v>
      </c>
      <c r="FU35" s="1184">
        <f>(J35/30*M35)-(EF35)</f>
        <v>0</v>
      </c>
      <c r="FV35" s="1186">
        <f>(SUM(EP35:EY35))-((SUM(FA35:FJ35))*$FV$5)</f>
        <v>-1058.8800000000001</v>
      </c>
    </row>
    <row r="36" spans="1:178" s="216" customFormat="1" ht="15" customHeight="1" outlineLevel="1">
      <c r="A36" s="1005"/>
      <c r="B36" s="1005"/>
      <c r="C36" s="1006"/>
      <c r="D36" s="235"/>
      <c r="E36" s="235">
        <v>105010</v>
      </c>
      <c r="F36" s="268"/>
      <c r="G36" s="199" t="s">
        <v>752</v>
      </c>
      <c r="H36" s="200" t="s">
        <v>753</v>
      </c>
      <c r="I36" s="201" t="s">
        <v>11</v>
      </c>
      <c r="J36" s="203">
        <v>4200</v>
      </c>
      <c r="K36" s="203">
        <v>250</v>
      </c>
      <c r="L36" s="202">
        <f t="shared" si="729"/>
        <v>4450</v>
      </c>
      <c r="M36" s="203">
        <v>30</v>
      </c>
      <c r="N36" s="204">
        <v>0.5</v>
      </c>
      <c r="O36" s="204">
        <v>0.4</v>
      </c>
      <c r="P36" s="204">
        <v>0.1</v>
      </c>
      <c r="Q36" s="204">
        <v>0</v>
      </c>
      <c r="R36" s="819">
        <v>0</v>
      </c>
      <c r="S36" s="204">
        <f t="shared" ref="S36" si="833">SUM(N36:R36)</f>
        <v>1</v>
      </c>
      <c r="T36" s="205"/>
      <c r="U36" s="207"/>
      <c r="V36" s="203">
        <f t="shared" si="731"/>
        <v>0</v>
      </c>
      <c r="W36" s="207"/>
      <c r="X36" s="203">
        <f t="shared" si="732"/>
        <v>0</v>
      </c>
      <c r="Y36" s="207"/>
      <c r="Z36" s="203">
        <f t="shared" si="733"/>
        <v>0</v>
      </c>
      <c r="AA36" s="207"/>
      <c r="AB36" s="203">
        <f t="shared" si="734"/>
        <v>0</v>
      </c>
      <c r="AC36" s="207"/>
      <c r="AD36" s="203">
        <f t="shared" si="735"/>
        <v>0</v>
      </c>
      <c r="AE36" s="208"/>
      <c r="AF36" s="203">
        <f t="shared" si="736"/>
        <v>0</v>
      </c>
      <c r="AG36" s="208"/>
      <c r="AH36" s="203">
        <f t="shared" si="737"/>
        <v>0</v>
      </c>
      <c r="AI36" s="208"/>
      <c r="AJ36" s="203">
        <f t="shared" si="738"/>
        <v>0</v>
      </c>
      <c r="AK36" s="203"/>
      <c r="AL36" s="203">
        <f t="shared" si="739"/>
        <v>0</v>
      </c>
      <c r="AM36" s="208"/>
      <c r="AN36" s="203">
        <f t="shared" si="740"/>
        <v>0</v>
      </c>
      <c r="AO36" s="203"/>
      <c r="AP36" s="203"/>
      <c r="AQ36" s="203"/>
      <c r="AR36" s="203"/>
      <c r="AS36" s="203"/>
      <c r="AT36" s="203"/>
      <c r="AU36" s="203"/>
      <c r="AV36" s="203"/>
      <c r="AW36" s="203"/>
      <c r="AX36" s="203"/>
      <c r="AY36" s="203"/>
      <c r="AZ36" s="201"/>
      <c r="BA36" s="203">
        <f t="shared" si="741"/>
        <v>2100</v>
      </c>
      <c r="BB36" s="203">
        <f>((K36/30)*M36)*$N36</f>
        <v>125.00000000000001</v>
      </c>
      <c r="BC36" s="203">
        <f t="shared" si="742"/>
        <v>0</v>
      </c>
      <c r="BD36" s="203">
        <f t="shared" si="743"/>
        <v>0</v>
      </c>
      <c r="BE36" s="203">
        <f t="shared" si="744"/>
        <v>0</v>
      </c>
      <c r="BF36" s="203">
        <f t="shared" si="745"/>
        <v>0</v>
      </c>
      <c r="BG36" s="203">
        <f t="shared" si="746"/>
        <v>0</v>
      </c>
      <c r="BH36" s="203">
        <f t="shared" ref="BH36" si="834">(BA36+BD36+BF36+BG36)*0.1267</f>
        <v>266.07</v>
      </c>
      <c r="BI36" s="203">
        <f t="shared" ref="BI36" si="835">SUM(BA36:BH36)-BC36-BE36</f>
        <v>2491.0700000000002</v>
      </c>
      <c r="BJ36" s="203">
        <f t="shared" si="749"/>
        <v>1680</v>
      </c>
      <c r="BK36" s="203">
        <f t="shared" si="750"/>
        <v>100.00000000000001</v>
      </c>
      <c r="BL36" s="203">
        <f t="shared" si="751"/>
        <v>0</v>
      </c>
      <c r="BM36" s="203">
        <f t="shared" si="752"/>
        <v>0</v>
      </c>
      <c r="BN36" s="203">
        <f t="shared" si="753"/>
        <v>0</v>
      </c>
      <c r="BO36" s="203">
        <f t="shared" si="754"/>
        <v>0</v>
      </c>
      <c r="BP36" s="203">
        <f t="shared" si="755"/>
        <v>0</v>
      </c>
      <c r="BQ36" s="203">
        <f t="shared" ref="BQ36" si="836">(+BJ36+BM36+BO36+BP36)*0.1267</f>
        <v>212.85600000000002</v>
      </c>
      <c r="BR36" s="202">
        <f t="shared" ref="BR36" si="837">SUM(BJ36:BQ36)-BL36-BN36</f>
        <v>1992.856</v>
      </c>
      <c r="BS36" s="203">
        <f t="shared" si="758"/>
        <v>420</v>
      </c>
      <c r="BT36" s="203">
        <f t="shared" si="759"/>
        <v>25.000000000000004</v>
      </c>
      <c r="BU36" s="203">
        <f t="shared" si="760"/>
        <v>0</v>
      </c>
      <c r="BV36" s="203">
        <f t="shared" si="761"/>
        <v>0</v>
      </c>
      <c r="BW36" s="203">
        <f t="shared" si="762"/>
        <v>0</v>
      </c>
      <c r="BX36" s="203">
        <f t="shared" si="763"/>
        <v>0</v>
      </c>
      <c r="BY36" s="203">
        <f t="shared" si="764"/>
        <v>0</v>
      </c>
      <c r="BZ36" s="203">
        <f t="shared" ref="BZ36" si="838">(BS36+BV36+BX36+BY36)*0.1267</f>
        <v>53.214000000000006</v>
      </c>
      <c r="CA36" s="203">
        <f t="shared" ref="CA36" si="839">SUM(BS36:BZ36)-BU36-BW36</f>
        <v>498.214</v>
      </c>
      <c r="CB36" s="241">
        <f t="shared" si="767"/>
        <v>0</v>
      </c>
      <c r="CC36" s="242">
        <f t="shared" si="768"/>
        <v>0</v>
      </c>
      <c r="CD36" s="242">
        <f t="shared" si="769"/>
        <v>0</v>
      </c>
      <c r="CE36" s="242">
        <f t="shared" si="770"/>
        <v>0</v>
      </c>
      <c r="CF36" s="242">
        <f t="shared" si="771"/>
        <v>0</v>
      </c>
      <c r="CG36" s="242">
        <f t="shared" si="772"/>
        <v>0</v>
      </c>
      <c r="CH36" s="242">
        <f t="shared" si="773"/>
        <v>0</v>
      </c>
      <c r="CI36" s="703">
        <f t="shared" ref="CI36" si="840">(CB36+CE36+CG36+CH36)*0.1267</f>
        <v>0</v>
      </c>
      <c r="CJ36" s="242">
        <f t="shared" ref="CJ36" si="841">SUM(CB36:CI36)-CD36-CF36</f>
        <v>0</v>
      </c>
      <c r="CK36" s="242">
        <f t="shared" si="776"/>
        <v>0</v>
      </c>
      <c r="CL36" s="242">
        <f t="shared" si="777"/>
        <v>0</v>
      </c>
      <c r="CM36" s="242">
        <f t="shared" si="778"/>
        <v>0</v>
      </c>
      <c r="CN36" s="242">
        <f t="shared" si="779"/>
        <v>0</v>
      </c>
      <c r="CO36" s="242">
        <f t="shared" si="780"/>
        <v>0</v>
      </c>
      <c r="CP36" s="242">
        <f t="shared" si="781"/>
        <v>0</v>
      </c>
      <c r="CQ36" s="242">
        <f t="shared" si="782"/>
        <v>0</v>
      </c>
      <c r="CR36" s="242">
        <f t="shared" si="783"/>
        <v>0</v>
      </c>
      <c r="CS36" s="243">
        <f t="shared" si="784"/>
        <v>0</v>
      </c>
      <c r="CU36" s="201" t="s">
        <v>11</v>
      </c>
      <c r="CV36" s="203">
        <f t="shared" si="785"/>
        <v>0</v>
      </c>
      <c r="CW36" s="203">
        <f t="shared" si="786"/>
        <v>0</v>
      </c>
      <c r="CX36" s="203">
        <f t="shared" si="787"/>
        <v>0</v>
      </c>
      <c r="CY36" s="203">
        <f t="shared" si="788"/>
        <v>0</v>
      </c>
      <c r="CZ36" s="203">
        <f t="shared" si="789"/>
        <v>0</v>
      </c>
      <c r="DA36" s="203">
        <f t="shared" si="790"/>
        <v>0</v>
      </c>
      <c r="DB36" s="203">
        <f t="shared" si="791"/>
        <v>0</v>
      </c>
      <c r="DC36" s="203">
        <f t="shared" si="792"/>
        <v>0</v>
      </c>
      <c r="DD36" s="203">
        <f t="shared" si="793"/>
        <v>0</v>
      </c>
      <c r="DE36" s="203">
        <f t="shared" si="794"/>
        <v>0</v>
      </c>
      <c r="DF36" s="203">
        <f t="shared" si="795"/>
        <v>0</v>
      </c>
      <c r="DG36" s="203">
        <f t="shared" si="796"/>
        <v>0</v>
      </c>
      <c r="DH36" s="203">
        <f t="shared" si="797"/>
        <v>0</v>
      </c>
      <c r="DI36" s="203">
        <f t="shared" si="798"/>
        <v>0</v>
      </c>
      <c r="DJ36" s="203">
        <f t="shared" si="799"/>
        <v>0</v>
      </c>
      <c r="DK36" s="203">
        <f t="shared" si="800"/>
        <v>0</v>
      </c>
      <c r="DL36" s="203">
        <f t="shared" si="801"/>
        <v>0</v>
      </c>
      <c r="DM36" s="203">
        <f t="shared" ref="DM36" si="842">SUM(DE36:DL36)-DG36-DI36</f>
        <v>0</v>
      </c>
      <c r="DN36" s="203">
        <f t="shared" si="803"/>
        <v>0</v>
      </c>
      <c r="DO36" s="203">
        <f t="shared" si="804"/>
        <v>0</v>
      </c>
      <c r="DP36" s="203">
        <f t="shared" si="805"/>
        <v>0</v>
      </c>
      <c r="DQ36" s="203">
        <f t="shared" si="806"/>
        <v>0</v>
      </c>
      <c r="DR36" s="203">
        <f t="shared" si="807"/>
        <v>0</v>
      </c>
      <c r="DS36" s="203">
        <f t="shared" si="808"/>
        <v>0</v>
      </c>
      <c r="DT36" s="203">
        <f t="shared" si="809"/>
        <v>0</v>
      </c>
      <c r="DU36" s="203">
        <f t="shared" si="810"/>
        <v>0</v>
      </c>
      <c r="DV36" s="203">
        <f t="shared" ref="DV36" si="843">SUM(DN36:DU36)-DP36-DR36</f>
        <v>0</v>
      </c>
      <c r="DW36" s="241">
        <f>IF($CU36="CLEARTEC",$BA36+$BJ36+$BS36+$CB36+$CK36,0)</f>
        <v>0</v>
      </c>
      <c r="DX36" s="241">
        <f t="shared" si="812"/>
        <v>0</v>
      </c>
      <c r="DY36" s="241">
        <f t="shared" si="812"/>
        <v>0</v>
      </c>
      <c r="DZ36" s="241">
        <f t="shared" si="812"/>
        <v>0</v>
      </c>
      <c r="EA36" s="241">
        <f t="shared" si="812"/>
        <v>0</v>
      </c>
      <c r="EB36" s="241">
        <f t="shared" si="812"/>
        <v>0</v>
      </c>
      <c r="EC36" s="241">
        <f t="shared" si="812"/>
        <v>0</v>
      </c>
      <c r="ED36" s="241">
        <f t="shared" si="812"/>
        <v>0</v>
      </c>
      <c r="EE36" s="242">
        <f t="shared" si="813"/>
        <v>0</v>
      </c>
      <c r="EF36" s="203">
        <f t="shared" si="814"/>
        <v>4200</v>
      </c>
      <c r="EG36" s="242">
        <f t="shared" si="815"/>
        <v>250.00000000000003</v>
      </c>
      <c r="EH36" s="203">
        <f t="shared" si="816"/>
        <v>0</v>
      </c>
      <c r="EI36" s="203">
        <f t="shared" si="817"/>
        <v>0</v>
      </c>
      <c r="EJ36" s="242">
        <f t="shared" si="818"/>
        <v>0</v>
      </c>
      <c r="EK36" s="203">
        <f t="shared" si="819"/>
        <v>0</v>
      </c>
      <c r="EL36" s="203">
        <f t="shared" si="820"/>
        <v>0</v>
      </c>
      <c r="EM36" s="203">
        <f t="shared" si="821"/>
        <v>532.1400000000001</v>
      </c>
      <c r="EN36" s="203">
        <f t="shared" si="822"/>
        <v>4982.1400000000003</v>
      </c>
      <c r="EP36" s="201"/>
      <c r="EQ36" s="201"/>
      <c r="ER36" s="201"/>
      <c r="ES36" s="201"/>
      <c r="ET36" s="201"/>
      <c r="EU36" s="201"/>
      <c r="EV36" s="201"/>
      <c r="EW36" s="201"/>
      <c r="EX36" s="201"/>
      <c r="EY36" s="201">
        <f>+ET36+EU36+EV36</f>
        <v>0</v>
      </c>
      <c r="EZ36" s="820"/>
      <c r="FA36" s="207">
        <f t="shared" si="823"/>
        <v>0</v>
      </c>
      <c r="FB36" s="207">
        <f t="shared" si="824"/>
        <v>0</v>
      </c>
      <c r="FC36" s="207">
        <f t="shared" si="825"/>
        <v>0</v>
      </c>
      <c r="FD36" s="207">
        <f t="shared" si="826"/>
        <v>0</v>
      </c>
      <c r="FE36" s="207">
        <f t="shared" si="827"/>
        <v>0</v>
      </c>
      <c r="FF36" s="207">
        <f t="shared" si="828"/>
        <v>0</v>
      </c>
      <c r="FG36" s="207">
        <f>IF($M36&lt;=15,EV36/2,EV36)</f>
        <v>0</v>
      </c>
      <c r="FH36" s="207">
        <f t="shared" si="829"/>
        <v>0</v>
      </c>
      <c r="FI36" s="207">
        <f t="shared" si="830"/>
        <v>0</v>
      </c>
      <c r="FJ36" s="207">
        <f t="shared" si="831"/>
        <v>0</v>
      </c>
      <c r="FK36" s="217">
        <v>0.75</v>
      </c>
      <c r="FL36" s="217">
        <v>0.25</v>
      </c>
      <c r="FM36" s="217">
        <v>0</v>
      </c>
      <c r="FN36" s="217">
        <v>0</v>
      </c>
      <c r="FO36" s="217">
        <v>0</v>
      </c>
      <c r="FP36" s="217">
        <v>1</v>
      </c>
      <c r="FR36" s="1184">
        <f>(((J36/30/8)*1.5)*(U36+Y36+AC36))-(BD36+BM36+BV36)</f>
        <v>0</v>
      </c>
      <c r="FS36" s="1184">
        <f t="shared" si="832"/>
        <v>0</v>
      </c>
      <c r="FT36" s="1185">
        <f>(SUM(BA36:CJ36))-(SUM(EF36:EN36))</f>
        <v>0</v>
      </c>
      <c r="FU36" s="1184">
        <f>(J36/30*M36)-(EF36)</f>
        <v>0</v>
      </c>
      <c r="FV36" s="1186">
        <f>(SUM(EP36:EY36))-((SUM(FA36:FJ36))*$FV$5)</f>
        <v>0</v>
      </c>
    </row>
    <row r="37" spans="1:178" s="216" customFormat="1" ht="15" customHeight="1" outlineLevel="1">
      <c r="A37" s="1005"/>
      <c r="B37" s="1005"/>
      <c r="C37" s="1006"/>
      <c r="D37" s="235"/>
      <c r="E37" s="235">
        <v>105010</v>
      </c>
      <c r="F37" s="268"/>
      <c r="G37" s="199" t="s">
        <v>747</v>
      </c>
      <c r="H37" s="200" t="s">
        <v>748</v>
      </c>
      <c r="I37" s="201" t="s">
        <v>11</v>
      </c>
      <c r="J37" s="203">
        <v>4500</v>
      </c>
      <c r="K37" s="203">
        <v>500</v>
      </c>
      <c r="L37" s="202">
        <f t="shared" ref="L37" si="844">+J37+K37</f>
        <v>5000</v>
      </c>
      <c r="M37" s="203">
        <v>30</v>
      </c>
      <c r="N37" s="204">
        <v>0.5</v>
      </c>
      <c r="O37" s="204">
        <v>0.35</v>
      </c>
      <c r="P37" s="204">
        <v>0.05</v>
      </c>
      <c r="Q37" s="204">
        <v>0.1</v>
      </c>
      <c r="R37" s="819">
        <v>0</v>
      </c>
      <c r="S37" s="204">
        <f t="shared" ref="S37" si="845">SUM(N37:R37)</f>
        <v>1</v>
      </c>
      <c r="T37" s="205"/>
      <c r="U37" s="207"/>
      <c r="V37" s="203">
        <f t="shared" ref="V37" si="846">($J37/30/8*1.5)*U37</f>
        <v>0</v>
      </c>
      <c r="W37" s="207"/>
      <c r="X37" s="203">
        <f t="shared" ref="X37" si="847">($J37/30/8*2)*W37</f>
        <v>0</v>
      </c>
      <c r="Y37" s="207"/>
      <c r="Z37" s="203">
        <f t="shared" ref="Z37" si="848">($J37/30/8*1.5)*Y37</f>
        <v>0</v>
      </c>
      <c r="AA37" s="207"/>
      <c r="AB37" s="203">
        <f t="shared" ref="AB37" si="849">($J37/30/8*2)*AA37</f>
        <v>0</v>
      </c>
      <c r="AC37" s="207"/>
      <c r="AD37" s="203">
        <f t="shared" ref="AD37" si="850">(($J37/30/8)*1.5)*AC37</f>
        <v>0</v>
      </c>
      <c r="AE37" s="208"/>
      <c r="AF37" s="203">
        <f t="shared" ref="AF37" si="851">(($J37/30/8)*2)*AE37</f>
        <v>0</v>
      </c>
      <c r="AG37" s="208"/>
      <c r="AH37" s="203">
        <f t="shared" ref="AH37" si="852">(($J37/30/8)*1.5)*AG37</f>
        <v>0</v>
      </c>
      <c r="AI37" s="208"/>
      <c r="AJ37" s="203">
        <f t="shared" ref="AJ37" si="853">(($J37/30/8)*2)*AI37</f>
        <v>0</v>
      </c>
      <c r="AK37" s="203"/>
      <c r="AL37" s="203">
        <f t="shared" ref="AL37" si="854">(($J37/30/8)*1.5)*AK37</f>
        <v>0</v>
      </c>
      <c r="AM37" s="208"/>
      <c r="AN37" s="203">
        <f t="shared" ref="AN37" si="855">(($J37/30/8)*2)*AM37</f>
        <v>0</v>
      </c>
      <c r="AO37" s="203"/>
      <c r="AP37" s="203"/>
      <c r="AQ37" s="203"/>
      <c r="AR37" s="203"/>
      <c r="AS37" s="203"/>
      <c r="AT37" s="203"/>
      <c r="AU37" s="203"/>
      <c r="AV37" s="203"/>
      <c r="AW37" s="203"/>
      <c r="AX37" s="203"/>
      <c r="AY37" s="203"/>
      <c r="AZ37" s="201"/>
      <c r="BA37" s="203">
        <f t="shared" ref="BA37" si="856">((J37/30)*M37)*$N37</f>
        <v>2250</v>
      </c>
      <c r="BB37" s="203">
        <f>((K37/30)*M37)*$N37</f>
        <v>250.00000000000003</v>
      </c>
      <c r="BC37" s="203">
        <f t="shared" ref="BC37" si="857">U37</f>
        <v>0</v>
      </c>
      <c r="BD37" s="203">
        <f t="shared" ref="BD37" si="858">V37</f>
        <v>0</v>
      </c>
      <c r="BE37" s="203">
        <f t="shared" ref="BE37" si="859">W37</f>
        <v>0</v>
      </c>
      <c r="BF37" s="203">
        <f t="shared" ref="BF37" si="860">X37</f>
        <v>0</v>
      </c>
      <c r="BG37" s="203">
        <f t="shared" ref="BG37" si="861">AO37+AT37</f>
        <v>0</v>
      </c>
      <c r="BH37" s="203">
        <f t="shared" si="747"/>
        <v>285.07499999999999</v>
      </c>
      <c r="BI37" s="203">
        <f t="shared" ref="BI37" si="862">SUM(BA37:BH37)-BC37-BE37</f>
        <v>2785.0749999999998</v>
      </c>
      <c r="BJ37" s="203">
        <f t="shared" si="749"/>
        <v>1575</v>
      </c>
      <c r="BK37" s="203">
        <f t="shared" si="750"/>
        <v>175</v>
      </c>
      <c r="BL37" s="203">
        <f t="shared" ref="BL37" si="863">Y37</f>
        <v>0</v>
      </c>
      <c r="BM37" s="203">
        <f t="shared" ref="BM37" si="864">Z37</f>
        <v>0</v>
      </c>
      <c r="BN37" s="203">
        <f t="shared" ref="BN37" si="865">AA37</f>
        <v>0</v>
      </c>
      <c r="BO37" s="203">
        <f t="shared" ref="BO37" si="866">AB37</f>
        <v>0</v>
      </c>
      <c r="BP37" s="203">
        <f t="shared" ref="BP37" si="867">AP37+AU37</f>
        <v>0</v>
      </c>
      <c r="BQ37" s="203">
        <f t="shared" si="756"/>
        <v>199.55250000000001</v>
      </c>
      <c r="BR37" s="202">
        <f t="shared" ref="BR37" si="868">SUM(BJ37:BQ37)-BL37-BN37</f>
        <v>1949.5525</v>
      </c>
      <c r="BS37" s="203">
        <f t="shared" si="758"/>
        <v>225</v>
      </c>
      <c r="BT37" s="203">
        <f t="shared" si="759"/>
        <v>25.000000000000004</v>
      </c>
      <c r="BU37" s="203">
        <f t="shared" ref="BU37" si="869">AC37</f>
        <v>0</v>
      </c>
      <c r="BV37" s="203">
        <f t="shared" ref="BV37" si="870">AD37</f>
        <v>0</v>
      </c>
      <c r="BW37" s="203">
        <f t="shared" ref="BW37" si="871">AE37</f>
        <v>0</v>
      </c>
      <c r="BX37" s="203">
        <f t="shared" ref="BX37" si="872">AF37</f>
        <v>0</v>
      </c>
      <c r="BY37" s="203">
        <f t="shared" ref="BY37" si="873">AQ37+AV37</f>
        <v>0</v>
      </c>
      <c r="BZ37" s="203">
        <f t="shared" si="765"/>
        <v>28.5075</v>
      </c>
      <c r="CA37" s="203">
        <f t="shared" ref="CA37" si="874">SUM(BS37:BZ37)-BU37-BW37</f>
        <v>278.50749999999999</v>
      </c>
      <c r="CB37" s="241">
        <f t="shared" si="767"/>
        <v>450</v>
      </c>
      <c r="CC37" s="242">
        <f t="shared" si="768"/>
        <v>50.000000000000007</v>
      </c>
      <c r="CD37" s="242">
        <f t="shared" ref="CD37" si="875">AG37</f>
        <v>0</v>
      </c>
      <c r="CE37" s="242">
        <f t="shared" ref="CE37" si="876">AH37</f>
        <v>0</v>
      </c>
      <c r="CF37" s="242">
        <f t="shared" ref="CF37" si="877">AI37</f>
        <v>0</v>
      </c>
      <c r="CG37" s="242">
        <f t="shared" ref="CG37" si="878">AJ37</f>
        <v>0</v>
      </c>
      <c r="CH37" s="242">
        <f t="shared" ref="CH37" si="879">AR37+AW37</f>
        <v>0</v>
      </c>
      <c r="CI37" s="703">
        <f t="shared" si="774"/>
        <v>57.015000000000001</v>
      </c>
      <c r="CJ37" s="242">
        <f t="shared" ref="CJ37" si="880">SUM(CB37:CI37)-CD37-CF37</f>
        <v>557.01499999999999</v>
      </c>
      <c r="CK37" s="242">
        <f t="shared" ref="CK37" si="881">(($J37/30)*$M37)*R37</f>
        <v>0</v>
      </c>
      <c r="CL37" s="242">
        <f t="shared" si="777"/>
        <v>0</v>
      </c>
      <c r="CM37" s="242">
        <f t="shared" ref="CM37" si="882">+AK37</f>
        <v>0</v>
      </c>
      <c r="CN37" s="242">
        <f t="shared" ref="CN37" si="883">AL37</f>
        <v>0</v>
      </c>
      <c r="CO37" s="242">
        <f t="shared" ref="CO37" si="884">AM37</f>
        <v>0</v>
      </c>
      <c r="CP37" s="242">
        <f t="shared" ref="CP37" si="885">AN37</f>
        <v>0</v>
      </c>
      <c r="CQ37" s="242">
        <f t="shared" ref="CQ37" si="886">AS37+AX37</f>
        <v>0</v>
      </c>
      <c r="CR37" s="242">
        <f t="shared" ref="CR37" si="887">(CK37+CN37+CP37)*0.1267</f>
        <v>0</v>
      </c>
      <c r="CS37" s="243">
        <f t="shared" ref="CS37" si="888">SUM(CK37:CR37)-CM37-CO37</f>
        <v>0</v>
      </c>
      <c r="CU37" s="201" t="s">
        <v>11</v>
      </c>
      <c r="CV37" s="203">
        <f t="shared" si="785"/>
        <v>0</v>
      </c>
      <c r="CW37" s="203">
        <f t="shared" si="786"/>
        <v>0</v>
      </c>
      <c r="CX37" s="203">
        <f t="shared" si="787"/>
        <v>0</v>
      </c>
      <c r="CY37" s="203">
        <f t="shared" si="788"/>
        <v>0</v>
      </c>
      <c r="CZ37" s="203">
        <f t="shared" si="789"/>
        <v>0</v>
      </c>
      <c r="DA37" s="203">
        <f t="shared" si="790"/>
        <v>0</v>
      </c>
      <c r="DB37" s="203">
        <f t="shared" si="791"/>
        <v>0</v>
      </c>
      <c r="DC37" s="203">
        <f t="shared" ref="DC37" si="889">IF($CU37="PROQUIMA",$BH37+$BQ37+$BZ37+$CI37+CR37,0)</f>
        <v>0</v>
      </c>
      <c r="DD37" s="203">
        <f t="shared" ref="DD37" si="890">SUM(CV37:DC37)-CX37-CZ37</f>
        <v>0</v>
      </c>
      <c r="DE37" s="203">
        <f t="shared" si="794"/>
        <v>0</v>
      </c>
      <c r="DF37" s="203">
        <f t="shared" si="795"/>
        <v>0</v>
      </c>
      <c r="DG37" s="203">
        <f t="shared" si="796"/>
        <v>0</v>
      </c>
      <c r="DH37" s="203">
        <f t="shared" si="797"/>
        <v>0</v>
      </c>
      <c r="DI37" s="203">
        <f t="shared" si="798"/>
        <v>0</v>
      </c>
      <c r="DJ37" s="203">
        <f t="shared" si="799"/>
        <v>0</v>
      </c>
      <c r="DK37" s="203">
        <f t="shared" si="800"/>
        <v>0</v>
      </c>
      <c r="DL37" s="203">
        <f t="shared" si="801"/>
        <v>0</v>
      </c>
      <c r="DM37" s="203">
        <f t="shared" ref="DM37" si="891">SUM(DE37:DL37)-DG37-DI37</f>
        <v>0</v>
      </c>
      <c r="DN37" s="203">
        <f t="shared" si="803"/>
        <v>0</v>
      </c>
      <c r="DO37" s="203">
        <f t="shared" si="804"/>
        <v>0</v>
      </c>
      <c r="DP37" s="203">
        <f t="shared" si="805"/>
        <v>0</v>
      </c>
      <c r="DQ37" s="203">
        <f t="shared" si="806"/>
        <v>0</v>
      </c>
      <c r="DR37" s="203">
        <f t="shared" si="807"/>
        <v>0</v>
      </c>
      <c r="DS37" s="203">
        <f t="shared" si="808"/>
        <v>0</v>
      </c>
      <c r="DT37" s="203">
        <f t="shared" si="809"/>
        <v>0</v>
      </c>
      <c r="DU37" s="203">
        <f t="shared" si="810"/>
        <v>0</v>
      </c>
      <c r="DV37" s="203">
        <f t="shared" ref="DV37" si="892">SUM(DN37:DU37)-DP37-DR37</f>
        <v>0</v>
      </c>
      <c r="DW37" s="241">
        <f>IF($CU37="CLEARTEC",$BA37+$BJ37+$BS37+$CB37+$CK37,0)</f>
        <v>0</v>
      </c>
      <c r="DX37" s="241">
        <f t="shared" si="812"/>
        <v>0</v>
      </c>
      <c r="DY37" s="241">
        <f t="shared" si="812"/>
        <v>0</v>
      </c>
      <c r="DZ37" s="241">
        <f t="shared" si="812"/>
        <v>0</v>
      </c>
      <c r="EA37" s="241">
        <f t="shared" si="812"/>
        <v>0</v>
      </c>
      <c r="EB37" s="241">
        <f t="shared" si="812"/>
        <v>0</v>
      </c>
      <c r="EC37" s="241">
        <f t="shared" si="812"/>
        <v>0</v>
      </c>
      <c r="ED37" s="241">
        <f t="shared" si="812"/>
        <v>0</v>
      </c>
      <c r="EE37" s="242">
        <f t="shared" ref="EE37" si="893">SUM(DW37:ED37)-DY37-EA37</f>
        <v>0</v>
      </c>
      <c r="EF37" s="203">
        <f t="shared" ref="EF37" si="894">IF(CU37="ECONACIONAL",$BA37+$BJ37+$BS37+$CB37+$CK37)</f>
        <v>4500</v>
      </c>
      <c r="EG37" s="242">
        <f t="shared" si="815"/>
        <v>500</v>
      </c>
      <c r="EH37" s="203">
        <f t="shared" ref="EH37" si="895">IF(CU37="ECONACIONAL",$BC37+$BL37+$BU37+$CD37+$CM37)</f>
        <v>0</v>
      </c>
      <c r="EI37" s="203">
        <f t="shared" ref="EI37" si="896">IF(CU37="ECONACIONAL",$BD37+$DH37+$DQ37+$DZ37+BM37+BV37+CE37+CN37)</f>
        <v>0</v>
      </c>
      <c r="EJ37" s="242">
        <f t="shared" si="818"/>
        <v>0</v>
      </c>
      <c r="EK37" s="203">
        <f t="shared" ref="EK37" si="897">IF(CU37="ECONACIONAL",$BF37+$BO37+$BX37+$CG37+$CP37)</f>
        <v>0</v>
      </c>
      <c r="EL37" s="203">
        <f t="shared" ref="EL37" si="898">IF(CU37="ECONACIONAL",$BG37+$BP37+$BY37+$CH37+$CQ37)</f>
        <v>0</v>
      </c>
      <c r="EM37" s="203">
        <f t="shared" ref="EM37" si="899">IF(CU37="ECONACIONAL",BH37+BQ37+BZ37+CI37+CR37)</f>
        <v>570.15</v>
      </c>
      <c r="EN37" s="203">
        <f t="shared" ref="EN37" si="900">SUM(EF37:EM37)-EH37-EJ37</f>
        <v>5570.15</v>
      </c>
      <c r="EP37" s="201"/>
      <c r="EQ37" s="201"/>
      <c r="ER37" s="201"/>
      <c r="ES37" s="201"/>
      <c r="ET37" s="201"/>
      <c r="EU37" s="201"/>
      <c r="EV37" s="200">
        <v>350</v>
      </c>
      <c r="EW37" s="201"/>
      <c r="EX37" s="201"/>
      <c r="EY37" s="201">
        <f>+ET37+EU37+EV37</f>
        <v>350</v>
      </c>
      <c r="EZ37" s="820"/>
      <c r="FA37" s="207">
        <f t="shared" ref="FA37" si="901">IF($M37&lt;=15,EP37/2,EP37)</f>
        <v>0</v>
      </c>
      <c r="FB37" s="207">
        <f t="shared" ref="FB37" si="902">IF($M37&lt;=15,EQ37/2,EQ37)</f>
        <v>0</v>
      </c>
      <c r="FC37" s="207">
        <f t="shared" ref="FC37" si="903">IF($M37&lt;=15,ER37/2,ER37)</f>
        <v>0</v>
      </c>
      <c r="FD37" s="207">
        <f t="shared" ref="FD37" si="904">IF($M37&lt;=15,ES37/2,ES37)</f>
        <v>0</v>
      </c>
      <c r="FE37" s="207">
        <f t="shared" ref="FE37" si="905">IF($M37&lt;=15,ET37/2,ET37)</f>
        <v>0</v>
      </c>
      <c r="FF37" s="207">
        <f t="shared" ref="FF37" si="906">IF($M37&lt;=15,EU37/2,EU37)</f>
        <v>0</v>
      </c>
      <c r="FG37" s="207">
        <f>IF($M37&lt;=15,EV37/2,EV37)</f>
        <v>350</v>
      </c>
      <c r="FH37" s="207">
        <f t="shared" ref="FH37" si="907">IF($M37&lt;=15,EW37/2,EW37)</f>
        <v>0</v>
      </c>
      <c r="FI37" s="207">
        <f t="shared" ref="FI37" si="908">IF($M37&lt;=15,EX37/2,EX37)</f>
        <v>0</v>
      </c>
      <c r="FJ37" s="207">
        <f t="shared" ref="FJ37" si="909">IF($M37&lt;=15,EY37/2,EY37)</f>
        <v>350</v>
      </c>
      <c r="FK37" s="217">
        <v>0.75</v>
      </c>
      <c r="FL37" s="217">
        <v>0.25</v>
      </c>
      <c r="FM37" s="217">
        <v>0</v>
      </c>
      <c r="FN37" s="217">
        <v>0</v>
      </c>
      <c r="FO37" s="217">
        <v>0</v>
      </c>
      <c r="FP37" s="217">
        <v>1</v>
      </c>
      <c r="FR37" s="1184">
        <f>(((J37/30/8)*1.5)*(U37+Y37+AC37))-(BD37+BM37+BV37)</f>
        <v>0</v>
      </c>
      <c r="FS37" s="1184">
        <f t="shared" ref="FS37" si="910">(((J37/30/8)*2)*(W37+AA37+AE37))-(BF37+BO37+BX37)</f>
        <v>0</v>
      </c>
      <c r="FT37" s="1185">
        <f>(SUM(BA37:CJ37))-(SUM(EF37:EN37))</f>
        <v>0</v>
      </c>
      <c r="FU37" s="1184">
        <f>(J37/30*M37)-(EF37)</f>
        <v>0</v>
      </c>
      <c r="FV37" s="1186">
        <f>(SUM(EP37:EY37))-((SUM(FA37:FJ37))*$FV$5)</f>
        <v>-700</v>
      </c>
    </row>
    <row r="38" spans="1:178" s="797" customFormat="1" ht="15.75" customHeight="1" outlineLevel="1" thickBot="1">
      <c r="A38" s="1005"/>
      <c r="B38" s="1005"/>
      <c r="C38" s="1006"/>
      <c r="D38" s="800"/>
      <c r="E38" s="235"/>
      <c r="F38" s="800"/>
      <c r="G38" s="719"/>
      <c r="H38" s="717" t="s">
        <v>683</v>
      </c>
      <c r="I38" s="778"/>
      <c r="J38" s="981">
        <f>SUM(J35:J37)</f>
        <v>16700</v>
      </c>
      <c r="K38" s="981">
        <f>SUM(K35:K37)</f>
        <v>4750</v>
      </c>
      <c r="L38" s="981">
        <f>SUM(L35:L37)</f>
        <v>21450</v>
      </c>
      <c r="N38" s="798"/>
      <c r="O38" s="778"/>
      <c r="P38" s="778"/>
      <c r="Q38" s="778"/>
      <c r="R38" s="778"/>
      <c r="S38" s="778"/>
      <c r="T38" s="780"/>
      <c r="U38" s="981">
        <f t="shared" ref="U38:AZ38" si="911">SUM(U35:U37)</f>
        <v>0</v>
      </c>
      <c r="V38" s="981">
        <f t="shared" si="911"/>
        <v>0</v>
      </c>
      <c r="W38" s="981">
        <f t="shared" si="911"/>
        <v>0</v>
      </c>
      <c r="X38" s="981">
        <f t="shared" si="911"/>
        <v>0</v>
      </c>
      <c r="Y38" s="981">
        <f t="shared" si="911"/>
        <v>0</v>
      </c>
      <c r="Z38" s="981">
        <f t="shared" si="911"/>
        <v>0</v>
      </c>
      <c r="AA38" s="981">
        <f t="shared" si="911"/>
        <v>0</v>
      </c>
      <c r="AB38" s="981">
        <f t="shared" si="911"/>
        <v>0</v>
      </c>
      <c r="AC38" s="981">
        <f t="shared" si="911"/>
        <v>0</v>
      </c>
      <c r="AD38" s="981">
        <f t="shared" si="911"/>
        <v>0</v>
      </c>
      <c r="AE38" s="981">
        <f t="shared" si="911"/>
        <v>0</v>
      </c>
      <c r="AF38" s="981">
        <f t="shared" si="911"/>
        <v>0</v>
      </c>
      <c r="AG38" s="981">
        <f t="shared" si="911"/>
        <v>0</v>
      </c>
      <c r="AH38" s="981">
        <f t="shared" si="911"/>
        <v>0</v>
      </c>
      <c r="AI38" s="981">
        <f t="shared" si="911"/>
        <v>0</v>
      </c>
      <c r="AJ38" s="981">
        <f t="shared" si="911"/>
        <v>0</v>
      </c>
      <c r="AK38" s="981">
        <f t="shared" si="911"/>
        <v>0</v>
      </c>
      <c r="AL38" s="981">
        <f t="shared" si="911"/>
        <v>0</v>
      </c>
      <c r="AM38" s="981">
        <f t="shared" si="911"/>
        <v>0</v>
      </c>
      <c r="AN38" s="981">
        <f t="shared" si="911"/>
        <v>0</v>
      </c>
      <c r="AO38" s="981">
        <f t="shared" si="911"/>
        <v>0</v>
      </c>
      <c r="AP38" s="981">
        <f t="shared" si="911"/>
        <v>0</v>
      </c>
      <c r="AQ38" s="981">
        <f t="shared" si="911"/>
        <v>0</v>
      </c>
      <c r="AR38" s="981">
        <f t="shared" si="911"/>
        <v>0</v>
      </c>
      <c r="AS38" s="981">
        <f t="shared" si="911"/>
        <v>0</v>
      </c>
      <c r="AT38" s="981">
        <f t="shared" si="911"/>
        <v>0</v>
      </c>
      <c r="AU38" s="981">
        <f t="shared" si="911"/>
        <v>0</v>
      </c>
      <c r="AV38" s="981">
        <f t="shared" si="911"/>
        <v>0</v>
      </c>
      <c r="AW38" s="981">
        <f t="shared" si="911"/>
        <v>0</v>
      </c>
      <c r="AX38" s="981">
        <f t="shared" si="911"/>
        <v>0</v>
      </c>
      <c r="AY38" s="981">
        <f t="shared" si="911"/>
        <v>0</v>
      </c>
      <c r="AZ38" s="981">
        <f t="shared" si="911"/>
        <v>0</v>
      </c>
      <c r="BA38" s="981">
        <f>SUM(BA35:BA37)</f>
        <v>8350</v>
      </c>
      <c r="BB38" s="981">
        <f t="shared" ref="BB38:CF38" si="912">SUM(BB35:BB37)</f>
        <v>2375.0000000000005</v>
      </c>
      <c r="BC38" s="981">
        <f t="shared" si="912"/>
        <v>0</v>
      </c>
      <c r="BD38" s="981">
        <f t="shared" si="912"/>
        <v>0</v>
      </c>
      <c r="BE38" s="981">
        <f t="shared" si="912"/>
        <v>0</v>
      </c>
      <c r="BF38" s="981">
        <f t="shared" si="912"/>
        <v>0</v>
      </c>
      <c r="BG38" s="981">
        <f t="shared" si="912"/>
        <v>0</v>
      </c>
      <c r="BH38" s="981">
        <f t="shared" si="912"/>
        <v>1057.9450000000002</v>
      </c>
      <c r="BI38" s="981">
        <f t="shared" si="912"/>
        <v>11782.945</v>
      </c>
      <c r="BJ38" s="981">
        <f t="shared" si="912"/>
        <v>6055</v>
      </c>
      <c r="BK38" s="981">
        <f t="shared" si="912"/>
        <v>1675</v>
      </c>
      <c r="BL38" s="981">
        <f t="shared" si="912"/>
        <v>0</v>
      </c>
      <c r="BM38" s="981">
        <f t="shared" si="912"/>
        <v>0</v>
      </c>
      <c r="BN38" s="981">
        <f t="shared" si="912"/>
        <v>0</v>
      </c>
      <c r="BO38" s="981">
        <f t="shared" si="912"/>
        <v>0</v>
      </c>
      <c r="BP38" s="981">
        <f t="shared" si="912"/>
        <v>0</v>
      </c>
      <c r="BQ38" s="981">
        <f t="shared" si="912"/>
        <v>767.16850000000011</v>
      </c>
      <c r="BR38" s="981">
        <f t="shared" si="912"/>
        <v>8497.1684999999998</v>
      </c>
      <c r="BS38" s="981">
        <f t="shared" si="912"/>
        <v>1045</v>
      </c>
      <c r="BT38" s="981">
        <f t="shared" si="912"/>
        <v>250.00000000000003</v>
      </c>
      <c r="BU38" s="981">
        <f t="shared" si="912"/>
        <v>0</v>
      </c>
      <c r="BV38" s="981">
        <f t="shared" si="912"/>
        <v>0</v>
      </c>
      <c r="BW38" s="981">
        <f t="shared" si="912"/>
        <v>0</v>
      </c>
      <c r="BX38" s="981">
        <f t="shared" si="912"/>
        <v>0</v>
      </c>
      <c r="BY38" s="981">
        <f t="shared" si="912"/>
        <v>0</v>
      </c>
      <c r="BZ38" s="981">
        <f t="shared" si="912"/>
        <v>132.4015</v>
      </c>
      <c r="CA38" s="981">
        <f t="shared" si="912"/>
        <v>1427.4014999999999</v>
      </c>
      <c r="CB38" s="981">
        <f t="shared" si="912"/>
        <v>1250</v>
      </c>
      <c r="CC38" s="981">
        <f t="shared" si="912"/>
        <v>450.00000000000006</v>
      </c>
      <c r="CD38" s="981">
        <f t="shared" si="912"/>
        <v>0</v>
      </c>
      <c r="CE38" s="981">
        <f t="shared" si="912"/>
        <v>0</v>
      </c>
      <c r="CF38" s="981">
        <f t="shared" si="912"/>
        <v>0</v>
      </c>
      <c r="CG38" s="981">
        <f t="shared" ref="CG38:DL38" si="913">SUM(CG35:CG37)</f>
        <v>0</v>
      </c>
      <c r="CH38" s="981">
        <f t="shared" si="913"/>
        <v>0</v>
      </c>
      <c r="CI38" s="981">
        <f t="shared" si="913"/>
        <v>158.375</v>
      </c>
      <c r="CJ38" s="981">
        <f t="shared" si="913"/>
        <v>1858.375</v>
      </c>
      <c r="CK38" s="981">
        <f t="shared" si="913"/>
        <v>0</v>
      </c>
      <c r="CL38" s="981">
        <f t="shared" si="913"/>
        <v>0</v>
      </c>
      <c r="CM38" s="981">
        <f t="shared" si="913"/>
        <v>0</v>
      </c>
      <c r="CN38" s="981">
        <f t="shared" si="913"/>
        <v>0</v>
      </c>
      <c r="CO38" s="981">
        <f t="shared" si="913"/>
        <v>0</v>
      </c>
      <c r="CP38" s="981">
        <f t="shared" si="913"/>
        <v>0</v>
      </c>
      <c r="CQ38" s="981">
        <f t="shared" si="913"/>
        <v>0</v>
      </c>
      <c r="CR38" s="981">
        <f t="shared" si="913"/>
        <v>0</v>
      </c>
      <c r="CS38" s="981">
        <f t="shared" si="913"/>
        <v>0</v>
      </c>
      <c r="CT38" s="981">
        <f t="shared" si="913"/>
        <v>0</v>
      </c>
      <c r="CU38" s="981">
        <f t="shared" si="913"/>
        <v>0</v>
      </c>
      <c r="CV38" s="981">
        <f t="shared" si="913"/>
        <v>0</v>
      </c>
      <c r="CW38" s="981">
        <f t="shared" si="913"/>
        <v>0</v>
      </c>
      <c r="CX38" s="981">
        <f t="shared" si="913"/>
        <v>0</v>
      </c>
      <c r="CY38" s="981">
        <f t="shared" si="913"/>
        <v>0</v>
      </c>
      <c r="CZ38" s="981">
        <f t="shared" si="913"/>
        <v>0</v>
      </c>
      <c r="DA38" s="981">
        <f t="shared" si="913"/>
        <v>0</v>
      </c>
      <c r="DB38" s="981">
        <f t="shared" si="913"/>
        <v>0</v>
      </c>
      <c r="DC38" s="981">
        <f t="shared" si="913"/>
        <v>0</v>
      </c>
      <c r="DD38" s="981">
        <f t="shared" si="913"/>
        <v>0</v>
      </c>
      <c r="DE38" s="981">
        <f t="shared" si="913"/>
        <v>0</v>
      </c>
      <c r="DF38" s="981">
        <f t="shared" si="913"/>
        <v>0</v>
      </c>
      <c r="DG38" s="981">
        <f t="shared" si="913"/>
        <v>0</v>
      </c>
      <c r="DH38" s="981">
        <f t="shared" si="913"/>
        <v>0</v>
      </c>
      <c r="DI38" s="981">
        <f t="shared" si="913"/>
        <v>0</v>
      </c>
      <c r="DJ38" s="981">
        <f t="shared" si="913"/>
        <v>0</v>
      </c>
      <c r="DK38" s="981">
        <f t="shared" si="913"/>
        <v>0</v>
      </c>
      <c r="DL38" s="981">
        <f t="shared" si="913"/>
        <v>0</v>
      </c>
      <c r="DM38" s="981">
        <f t="shared" ref="DM38:EN38" si="914">SUM(DM35:DM37)</f>
        <v>0</v>
      </c>
      <c r="DN38" s="981">
        <f t="shared" si="914"/>
        <v>0</v>
      </c>
      <c r="DO38" s="981">
        <f t="shared" si="914"/>
        <v>0</v>
      </c>
      <c r="DP38" s="981">
        <f t="shared" si="914"/>
        <v>0</v>
      </c>
      <c r="DQ38" s="981">
        <f t="shared" si="914"/>
        <v>0</v>
      </c>
      <c r="DR38" s="981">
        <f t="shared" si="914"/>
        <v>0</v>
      </c>
      <c r="DS38" s="981">
        <f t="shared" si="914"/>
        <v>0</v>
      </c>
      <c r="DT38" s="981">
        <f t="shared" si="914"/>
        <v>0</v>
      </c>
      <c r="DU38" s="981">
        <f t="shared" si="914"/>
        <v>0</v>
      </c>
      <c r="DV38" s="981">
        <f t="shared" si="914"/>
        <v>0</v>
      </c>
      <c r="DW38" s="981">
        <f t="shared" si="914"/>
        <v>0</v>
      </c>
      <c r="DX38" s="981">
        <f t="shared" si="914"/>
        <v>0</v>
      </c>
      <c r="DY38" s="981">
        <f t="shared" si="914"/>
        <v>0</v>
      </c>
      <c r="DZ38" s="981">
        <f t="shared" si="914"/>
        <v>0</v>
      </c>
      <c r="EA38" s="981">
        <f t="shared" si="914"/>
        <v>0</v>
      </c>
      <c r="EB38" s="981">
        <f t="shared" si="914"/>
        <v>0</v>
      </c>
      <c r="EC38" s="981">
        <f t="shared" si="914"/>
        <v>0</v>
      </c>
      <c r="ED38" s="981">
        <f t="shared" si="914"/>
        <v>0</v>
      </c>
      <c r="EE38" s="981">
        <f t="shared" si="914"/>
        <v>0</v>
      </c>
      <c r="EF38" s="981">
        <f t="shared" si="914"/>
        <v>16700</v>
      </c>
      <c r="EG38" s="981">
        <f t="shared" si="914"/>
        <v>4750</v>
      </c>
      <c r="EH38" s="981">
        <f t="shared" si="914"/>
        <v>0</v>
      </c>
      <c r="EI38" s="981">
        <f t="shared" si="914"/>
        <v>0</v>
      </c>
      <c r="EJ38" s="981">
        <f t="shared" si="914"/>
        <v>0</v>
      </c>
      <c r="EK38" s="981">
        <f t="shared" si="914"/>
        <v>0</v>
      </c>
      <c r="EL38" s="981">
        <f t="shared" si="914"/>
        <v>0</v>
      </c>
      <c r="EM38" s="981">
        <f t="shared" si="914"/>
        <v>2115.8900000000003</v>
      </c>
      <c r="EN38" s="981">
        <f t="shared" si="914"/>
        <v>23565.89</v>
      </c>
      <c r="EO38" s="981"/>
      <c r="EP38" s="981">
        <f t="shared" ref="EP38:EY38" si="915">SUM(EP35:EP37)</f>
        <v>358.88</v>
      </c>
      <c r="EQ38" s="981">
        <f t="shared" si="915"/>
        <v>0</v>
      </c>
      <c r="ER38" s="981">
        <f t="shared" si="915"/>
        <v>0</v>
      </c>
      <c r="ES38" s="981">
        <f t="shared" si="915"/>
        <v>0</v>
      </c>
      <c r="ET38" s="981">
        <f t="shared" si="915"/>
        <v>0</v>
      </c>
      <c r="EU38" s="981">
        <f t="shared" si="915"/>
        <v>0</v>
      </c>
      <c r="EV38" s="981">
        <f t="shared" si="915"/>
        <v>700</v>
      </c>
      <c r="EW38" s="981">
        <f t="shared" si="915"/>
        <v>0</v>
      </c>
      <c r="EX38" s="981">
        <f t="shared" si="915"/>
        <v>0</v>
      </c>
      <c r="EY38" s="981">
        <f t="shared" si="915"/>
        <v>700</v>
      </c>
      <c r="EZ38" s="981"/>
      <c r="FA38" s="981">
        <f t="shared" ref="FA38:FP38" si="916">SUM(FA35:FA37)</f>
        <v>358.88</v>
      </c>
      <c r="FB38" s="981">
        <f t="shared" si="916"/>
        <v>0</v>
      </c>
      <c r="FC38" s="981">
        <f t="shared" si="916"/>
        <v>0</v>
      </c>
      <c r="FD38" s="981">
        <f t="shared" si="916"/>
        <v>0</v>
      </c>
      <c r="FE38" s="981">
        <f t="shared" si="916"/>
        <v>0</v>
      </c>
      <c r="FF38" s="981">
        <f t="shared" si="916"/>
        <v>0</v>
      </c>
      <c r="FG38" s="981">
        <f t="shared" si="916"/>
        <v>700</v>
      </c>
      <c r="FH38" s="981">
        <f t="shared" si="916"/>
        <v>0</v>
      </c>
      <c r="FI38" s="981">
        <f t="shared" si="916"/>
        <v>0</v>
      </c>
      <c r="FJ38" s="981">
        <f t="shared" si="916"/>
        <v>700</v>
      </c>
      <c r="FK38" s="981">
        <f t="shared" si="916"/>
        <v>2.25</v>
      </c>
      <c r="FL38" s="981">
        <f t="shared" si="916"/>
        <v>0.75</v>
      </c>
      <c r="FM38" s="981">
        <f t="shared" si="916"/>
        <v>0</v>
      </c>
      <c r="FN38" s="981">
        <f t="shared" si="916"/>
        <v>0</v>
      </c>
      <c r="FO38" s="981">
        <f t="shared" si="916"/>
        <v>0</v>
      </c>
      <c r="FP38" s="981">
        <f t="shared" si="916"/>
        <v>3</v>
      </c>
      <c r="FQ38" s="778"/>
      <c r="FR38" s="778"/>
      <c r="FS38" s="778"/>
      <c r="FT38" s="778"/>
      <c r="FU38" s="778"/>
    </row>
    <row r="39" spans="1:178" s="778" customFormat="1" ht="15" customHeight="1" outlineLevel="1" thickTop="1">
      <c r="A39" s="1005"/>
      <c r="B39" s="1005"/>
      <c r="C39" s="1006"/>
      <c r="D39" s="776"/>
      <c r="E39" s="235"/>
      <c r="F39" s="776"/>
      <c r="G39" s="779" t="s">
        <v>707</v>
      </c>
      <c r="H39" s="776"/>
      <c r="J39" s="801"/>
      <c r="K39" s="797"/>
      <c r="L39" s="797"/>
      <c r="M39" s="797"/>
      <c r="T39" s="780"/>
      <c r="U39" s="803"/>
      <c r="V39" s="797"/>
      <c r="W39" s="803"/>
      <c r="X39" s="797"/>
      <c r="Y39" s="803"/>
      <c r="Z39" s="797"/>
      <c r="AA39" s="803"/>
      <c r="AB39" s="797"/>
      <c r="AC39" s="803"/>
      <c r="AD39" s="797"/>
      <c r="AE39" s="804"/>
      <c r="AF39" s="797"/>
      <c r="AG39" s="804"/>
      <c r="AH39" s="797"/>
      <c r="AI39" s="804"/>
      <c r="AJ39" s="797"/>
      <c r="AK39" s="797"/>
      <c r="AL39" s="797"/>
      <c r="AM39" s="804"/>
      <c r="AN39" s="797"/>
      <c r="AO39" s="797"/>
      <c r="AP39" s="797"/>
      <c r="AQ39" s="797"/>
      <c r="AR39" s="797"/>
      <c r="AS39" s="797"/>
      <c r="AT39" s="797"/>
      <c r="AU39" s="797"/>
      <c r="AV39" s="797"/>
      <c r="AW39" s="797"/>
      <c r="AX39" s="797"/>
      <c r="AY39" s="797"/>
      <c r="BA39" s="797"/>
      <c r="BB39" s="797"/>
      <c r="BC39" s="797"/>
      <c r="BD39" s="797"/>
      <c r="BE39" s="797"/>
      <c r="BF39" s="797"/>
      <c r="BG39" s="797"/>
      <c r="BH39" s="797"/>
      <c r="BI39" s="797"/>
      <c r="BJ39" s="797"/>
      <c r="BK39" s="797"/>
      <c r="BL39" s="797"/>
      <c r="BM39" s="797"/>
      <c r="BN39" s="797"/>
      <c r="BO39" s="797"/>
      <c r="BP39" s="797"/>
      <c r="BQ39" s="797"/>
      <c r="BR39" s="802"/>
      <c r="BS39" s="797"/>
      <c r="BT39" s="797"/>
      <c r="BU39" s="797"/>
      <c r="BV39" s="797"/>
      <c r="BW39" s="797"/>
      <c r="BX39" s="797"/>
      <c r="BY39" s="797"/>
      <c r="BZ39" s="797"/>
      <c r="CA39" s="797"/>
      <c r="CB39" s="797"/>
      <c r="CC39" s="797"/>
      <c r="CD39" s="797"/>
      <c r="CE39" s="797"/>
      <c r="CF39" s="797"/>
      <c r="CG39" s="797"/>
      <c r="CH39" s="797"/>
      <c r="CI39" s="797"/>
      <c r="CJ39" s="797"/>
      <c r="CK39" s="797"/>
      <c r="CL39" s="797"/>
      <c r="CM39" s="797"/>
      <c r="CN39" s="797"/>
      <c r="CO39" s="797"/>
      <c r="CP39" s="797"/>
      <c r="CQ39" s="797"/>
      <c r="CR39" s="797"/>
      <c r="CS39" s="797"/>
      <c r="CV39" s="797"/>
      <c r="CW39" s="797"/>
      <c r="CX39" s="797"/>
      <c r="CY39" s="797"/>
      <c r="CZ39" s="797"/>
      <c r="DA39" s="797"/>
      <c r="DB39" s="797"/>
      <c r="DC39" s="797"/>
      <c r="DD39" s="797"/>
      <c r="DE39" s="797"/>
      <c r="DF39" s="797"/>
      <c r="DG39" s="797"/>
      <c r="DH39" s="797"/>
      <c r="DI39" s="797"/>
      <c r="DJ39" s="797"/>
      <c r="DK39" s="797"/>
      <c r="DL39" s="797"/>
      <c r="DM39" s="797"/>
      <c r="DN39" s="797"/>
      <c r="DO39" s="797"/>
      <c r="DP39" s="797"/>
      <c r="DQ39" s="797"/>
      <c r="DR39" s="797"/>
      <c r="DS39" s="797"/>
      <c r="DT39" s="797"/>
      <c r="DU39" s="797"/>
      <c r="DV39" s="797"/>
      <c r="DW39" s="797"/>
      <c r="DX39" s="797"/>
      <c r="DY39" s="797"/>
      <c r="DZ39" s="797"/>
      <c r="EA39" s="797"/>
      <c r="EB39" s="797"/>
      <c r="EC39" s="797"/>
      <c r="ED39" s="797"/>
      <c r="EE39" s="797"/>
      <c r="EF39" s="797"/>
      <c r="EG39" s="797"/>
      <c r="EH39" s="797"/>
      <c r="EI39" s="797"/>
      <c r="EJ39" s="797"/>
      <c r="EK39" s="797"/>
      <c r="EL39" s="797"/>
      <c r="EM39" s="797"/>
      <c r="EN39" s="797"/>
      <c r="EP39" s="235"/>
      <c r="ES39" s="216"/>
      <c r="FK39" s="799"/>
      <c r="FL39" s="799"/>
      <c r="FM39" s="799"/>
      <c r="FN39" s="799"/>
      <c r="FO39" s="799"/>
      <c r="FP39" s="799"/>
    </row>
    <row r="40" spans="1:178" s="778" customFormat="1" ht="15" customHeight="1" outlineLevel="1">
      <c r="A40" s="1005" t="str">
        <f t="shared" si="253"/>
        <v>JUNIO  2026 2da QUINCENA</v>
      </c>
      <c r="B40" s="1005">
        <f t="shared" si="90"/>
        <v>2026</v>
      </c>
      <c r="C40" s="1006" t="str">
        <f t="shared" si="254"/>
        <v>JUNIO  2026 2da QUINCENA2026</v>
      </c>
      <c r="D40" s="776" t="str">
        <f>+$G$39</f>
        <v>CONTABLE FINANCIERO</v>
      </c>
      <c r="E40" s="776">
        <v>106010</v>
      </c>
      <c r="F40" s="776"/>
      <c r="G40" s="779" t="s">
        <v>622</v>
      </c>
      <c r="H40" s="776"/>
      <c r="J40" s="801"/>
      <c r="K40" s="797"/>
      <c r="L40" s="797"/>
      <c r="M40" s="797"/>
      <c r="T40" s="780"/>
      <c r="U40" s="803"/>
      <c r="V40" s="797"/>
      <c r="W40" s="803"/>
      <c r="X40" s="797"/>
      <c r="Y40" s="803"/>
      <c r="Z40" s="797"/>
      <c r="AA40" s="803"/>
      <c r="AB40" s="797"/>
      <c r="AC40" s="803"/>
      <c r="AD40" s="797"/>
      <c r="AE40" s="804"/>
      <c r="AF40" s="797"/>
      <c r="AG40" s="804"/>
      <c r="AH40" s="797"/>
      <c r="AI40" s="804"/>
      <c r="AJ40" s="797"/>
      <c r="AK40" s="797"/>
      <c r="AL40" s="797"/>
      <c r="AM40" s="804"/>
      <c r="AN40" s="797"/>
      <c r="AO40" s="797"/>
      <c r="AP40" s="797"/>
      <c r="AQ40" s="797"/>
      <c r="AR40" s="797"/>
      <c r="AS40" s="797"/>
      <c r="AT40" s="797"/>
      <c r="AU40" s="797"/>
      <c r="AV40" s="797"/>
      <c r="AW40" s="797"/>
      <c r="AX40" s="797"/>
      <c r="AY40" s="797"/>
      <c r="BA40" s="797"/>
      <c r="BB40" s="797"/>
      <c r="BC40" s="797"/>
      <c r="BD40" s="797"/>
      <c r="BE40" s="797"/>
      <c r="BF40" s="797"/>
      <c r="BG40" s="797"/>
      <c r="BH40" s="797"/>
      <c r="BI40" s="797"/>
      <c r="BJ40" s="797"/>
      <c r="BK40" s="797"/>
      <c r="BL40" s="797"/>
      <c r="BM40" s="797"/>
      <c r="BN40" s="797"/>
      <c r="BO40" s="797"/>
      <c r="BP40" s="797"/>
      <c r="BQ40" s="797"/>
      <c r="BR40" s="802"/>
      <c r="BS40" s="797"/>
      <c r="BT40" s="797"/>
      <c r="BU40" s="797"/>
      <c r="BV40" s="797"/>
      <c r="BW40" s="797"/>
      <c r="BX40" s="797"/>
      <c r="BY40" s="797"/>
      <c r="BZ40" s="797"/>
      <c r="CA40" s="797"/>
      <c r="CB40" s="797"/>
      <c r="CC40" s="797"/>
      <c r="CD40" s="797"/>
      <c r="CE40" s="797"/>
      <c r="CF40" s="797"/>
      <c r="CG40" s="797"/>
      <c r="CH40" s="797"/>
      <c r="CI40" s="797"/>
      <c r="CJ40" s="797"/>
      <c r="CK40" s="797"/>
      <c r="CL40" s="797"/>
      <c r="CM40" s="797"/>
      <c r="CN40" s="797"/>
      <c r="CO40" s="797"/>
      <c r="CP40" s="797"/>
      <c r="CQ40" s="797"/>
      <c r="CR40" s="797"/>
      <c r="CS40" s="797"/>
      <c r="CV40" s="797"/>
      <c r="CW40" s="797"/>
      <c r="CX40" s="797"/>
      <c r="CY40" s="797"/>
      <c r="CZ40" s="797"/>
      <c r="DA40" s="797"/>
      <c r="DB40" s="797"/>
      <c r="DC40" s="797"/>
      <c r="DD40" s="797"/>
      <c r="DE40" s="797"/>
      <c r="DF40" s="797"/>
      <c r="DG40" s="797"/>
      <c r="DH40" s="797"/>
      <c r="DI40" s="797"/>
      <c r="DJ40" s="797"/>
      <c r="DK40" s="797"/>
      <c r="DL40" s="797"/>
      <c r="DM40" s="797"/>
      <c r="DN40" s="797"/>
      <c r="DO40" s="797"/>
      <c r="DP40" s="797"/>
      <c r="DQ40" s="797"/>
      <c r="DR40" s="797"/>
      <c r="DS40" s="797"/>
      <c r="DT40" s="797"/>
      <c r="DU40" s="797"/>
      <c r="DV40" s="797"/>
      <c r="DW40" s="797"/>
      <c r="DX40" s="797"/>
      <c r="DY40" s="797"/>
      <c r="DZ40" s="797"/>
      <c r="EA40" s="797"/>
      <c r="EB40" s="797"/>
      <c r="EC40" s="797"/>
      <c r="ED40" s="797"/>
      <c r="EE40" s="797"/>
      <c r="EF40" s="797"/>
      <c r="EG40" s="797"/>
      <c r="EH40" s="797"/>
      <c r="EI40" s="797"/>
      <c r="EJ40" s="797"/>
      <c r="EK40" s="797"/>
      <c r="EL40" s="797"/>
      <c r="EM40" s="797"/>
      <c r="EN40" s="797"/>
      <c r="EP40" s="235"/>
      <c r="ES40" s="216"/>
      <c r="FK40" s="799"/>
      <c r="FL40" s="799"/>
      <c r="FM40" s="799"/>
      <c r="FN40" s="799"/>
      <c r="FO40" s="799"/>
      <c r="FP40" s="799"/>
    </row>
    <row r="41" spans="1:178" s="778" customFormat="1" ht="15" customHeight="1" outlineLevel="1">
      <c r="A41" s="1005" t="str">
        <f t="shared" si="253"/>
        <v>JUNIO  2026 2da QUINCENA</v>
      </c>
      <c r="B41" s="1005">
        <f t="shared" si="90"/>
        <v>2026</v>
      </c>
      <c r="C41" s="1006" t="str">
        <f t="shared" si="254"/>
        <v>JUNIO  2026 2da QUINCENA2026</v>
      </c>
      <c r="D41" s="776" t="str">
        <f>+$G$39</f>
        <v>CONTABLE FINANCIERO</v>
      </c>
      <c r="E41" s="776">
        <v>106010</v>
      </c>
      <c r="F41" s="805">
        <v>16</v>
      </c>
      <c r="G41" s="167" t="s">
        <v>611</v>
      </c>
      <c r="H41" s="246" t="s">
        <v>333</v>
      </c>
      <c r="I41" s="244" t="s">
        <v>11</v>
      </c>
      <c r="J41" s="203">
        <v>20000</v>
      </c>
      <c r="K41" s="236">
        <v>7000</v>
      </c>
      <c r="L41" s="202">
        <f t="shared" ref="L41" si="917">+J41+K41</f>
        <v>27000</v>
      </c>
      <c r="M41" s="203">
        <v>30</v>
      </c>
      <c r="N41" s="793">
        <v>0.45</v>
      </c>
      <c r="O41" s="793">
        <v>0.26</v>
      </c>
      <c r="P41" s="793">
        <v>0.04</v>
      </c>
      <c r="Q41" s="1009">
        <v>0.25</v>
      </c>
      <c r="R41" s="815">
        <v>0</v>
      </c>
      <c r="S41" s="793">
        <f>SUM(N41:R41)</f>
        <v>1</v>
      </c>
      <c r="T41" s="780"/>
      <c r="U41" s="247"/>
      <c r="V41" s="236">
        <f t="shared" ref="V41" si="918">($J41/30/8*1.5)*U41</f>
        <v>0</v>
      </c>
      <c r="W41" s="247"/>
      <c r="X41" s="236">
        <f t="shared" ref="X41" si="919">($J41/30/8*2)*W41</f>
        <v>0</v>
      </c>
      <c r="Y41" s="247"/>
      <c r="Z41" s="236">
        <f t="shared" ref="Z41" si="920">($J41/30/8*1.5)*Y41</f>
        <v>0</v>
      </c>
      <c r="AA41" s="247"/>
      <c r="AB41" s="236">
        <f t="shared" ref="AB41" si="921">($J41/30/8*2)*AA41</f>
        <v>0</v>
      </c>
      <c r="AC41" s="247"/>
      <c r="AD41" s="236">
        <f t="shared" ref="AD41" si="922">(($J41/30/8)*1.5)*AC41</f>
        <v>0</v>
      </c>
      <c r="AE41" s="794"/>
      <c r="AF41" s="236">
        <f t="shared" ref="AF41" si="923">(($J41/30/8)*2)*AE41</f>
        <v>0</v>
      </c>
      <c r="AG41" s="794"/>
      <c r="AH41" s="236">
        <f t="shared" ref="AH41" si="924">(($J41/30/8)*1.5)*AG41</f>
        <v>0</v>
      </c>
      <c r="AI41" s="794"/>
      <c r="AJ41" s="236">
        <f t="shared" ref="AJ41" si="925">(($J41/30/8)*2)*AI41</f>
        <v>0</v>
      </c>
      <c r="AK41" s="236"/>
      <c r="AL41" s="236">
        <f t="shared" ref="AL41" si="926">(($J41/30/8)*1.5)*AK41</f>
        <v>0</v>
      </c>
      <c r="AM41" s="794"/>
      <c r="AN41" s="236">
        <f t="shared" ref="AN41" si="927">(($J41/30/8)*2)*AM41</f>
        <v>0</v>
      </c>
      <c r="AO41" s="236"/>
      <c r="AP41" s="236"/>
      <c r="AQ41" s="236"/>
      <c r="AR41" s="236"/>
      <c r="AS41" s="236"/>
      <c r="AT41" s="236"/>
      <c r="AU41" s="236"/>
      <c r="AV41" s="236"/>
      <c r="AW41" s="236"/>
      <c r="AX41" s="236"/>
      <c r="AY41" s="236"/>
      <c r="AZ41" s="244"/>
      <c r="BA41" s="236">
        <f t="shared" ref="BA41" si="928">((J41/30)*M41)*$N41</f>
        <v>9000</v>
      </c>
      <c r="BB41" s="236">
        <f t="shared" ref="BB41" si="929">((K41/30)*M41)*$N41</f>
        <v>3150</v>
      </c>
      <c r="BC41" s="236">
        <f t="shared" ref="BC41" si="930">U41</f>
        <v>0</v>
      </c>
      <c r="BD41" s="236">
        <f t="shared" ref="BD41" si="931">V41</f>
        <v>0</v>
      </c>
      <c r="BE41" s="236">
        <f t="shared" ref="BE41" si="932">W41</f>
        <v>0</v>
      </c>
      <c r="BF41" s="236">
        <f t="shared" ref="BF41" si="933">X41</f>
        <v>0</v>
      </c>
      <c r="BG41" s="236">
        <f t="shared" ref="BG41" si="934">AO41+AT41</f>
        <v>0</v>
      </c>
      <c r="BH41" s="203">
        <f t="shared" ref="BH41:BH46" si="935">(BA41+BD41+BF41+BG41)*0.1267</f>
        <v>1140.3</v>
      </c>
      <c r="BI41" s="236">
        <f t="shared" ref="BI41" si="936">SUM(BA41:BH41)-BC41-BE41</f>
        <v>13290.3</v>
      </c>
      <c r="BJ41" s="236">
        <f t="shared" ref="BJ41:BJ46" si="937">(($J41/30)*$M41)*$O41</f>
        <v>5200</v>
      </c>
      <c r="BK41" s="236">
        <f t="shared" ref="BK41" si="938">(($K41/30)*$M41)*$O41</f>
        <v>1820</v>
      </c>
      <c r="BL41" s="236">
        <f t="shared" ref="BL41" si="939">Y41</f>
        <v>0</v>
      </c>
      <c r="BM41" s="236">
        <f t="shared" ref="BM41" si="940">Z41</f>
        <v>0</v>
      </c>
      <c r="BN41" s="236">
        <f t="shared" ref="BN41" si="941">AA41</f>
        <v>0</v>
      </c>
      <c r="BO41" s="236">
        <f t="shared" ref="BO41" si="942">AB41</f>
        <v>0</v>
      </c>
      <c r="BP41" s="236">
        <f t="shared" ref="BP41" si="943">AP41+AU41</f>
        <v>0</v>
      </c>
      <c r="BQ41" s="203">
        <f t="shared" ref="BQ41:BQ46" si="944">(+BJ41+BM41+BO41+BP41)*0.1267</f>
        <v>658.84</v>
      </c>
      <c r="BR41" s="792">
        <f t="shared" ref="BR41" si="945">SUM(BJ41:BQ41)-BL41-BN41</f>
        <v>7678.84</v>
      </c>
      <c r="BS41" s="236">
        <f t="shared" ref="BS41:BS46" si="946">(($J41/30)*$M41)*$P41</f>
        <v>800</v>
      </c>
      <c r="BT41" s="236">
        <f t="shared" ref="BT41:BT46" si="947">(($K41/30)*$M41)*$P41</f>
        <v>280</v>
      </c>
      <c r="BU41" s="236">
        <f t="shared" ref="BU41" si="948">AC41</f>
        <v>0</v>
      </c>
      <c r="BV41" s="236">
        <f t="shared" ref="BV41" si="949">AD41</f>
        <v>0</v>
      </c>
      <c r="BW41" s="236">
        <f t="shared" ref="BW41" si="950">AE41</f>
        <v>0</v>
      </c>
      <c r="BX41" s="236">
        <f t="shared" ref="BX41" si="951">AF41</f>
        <v>0</v>
      </c>
      <c r="BY41" s="236">
        <f t="shared" ref="BY41" si="952">AQ41+AV41</f>
        <v>0</v>
      </c>
      <c r="BZ41" s="203">
        <f t="shared" ref="BZ41:BZ46" si="953">(BS41+BV41+BX41+BY41)*0.1267</f>
        <v>101.36</v>
      </c>
      <c r="CA41" s="236">
        <f t="shared" ref="CA41" si="954">SUM(BS41:BZ41)-BU41-BW41</f>
        <v>1181.3599999999999</v>
      </c>
      <c r="CB41" s="816">
        <f t="shared" ref="CB41:CB46" si="955">(($J41/30)*$M41)*$Q41</f>
        <v>5000</v>
      </c>
      <c r="CC41" s="817">
        <f>((($K41/30*$M41)*$Q41))</f>
        <v>1750</v>
      </c>
      <c r="CD41" s="817">
        <f t="shared" ref="CD41" si="956">AG41</f>
        <v>0</v>
      </c>
      <c r="CE41" s="817">
        <f t="shared" ref="CE41" si="957">AH41</f>
        <v>0</v>
      </c>
      <c r="CF41" s="817">
        <f t="shared" ref="CF41" si="958">AI41</f>
        <v>0</v>
      </c>
      <c r="CG41" s="817">
        <f t="shared" ref="CG41" si="959">AJ41</f>
        <v>0</v>
      </c>
      <c r="CH41" s="817">
        <f t="shared" ref="CH41" si="960">AR41+AW41</f>
        <v>0</v>
      </c>
      <c r="CI41" s="703">
        <f t="shared" ref="CI41:CI46" si="961">(CB41+CE41+CG41+CH41)*0.1267</f>
        <v>633.5</v>
      </c>
      <c r="CJ41" s="817">
        <f t="shared" ref="CJ41" si="962">SUM(CB41:CI41)-CD41-CF41</f>
        <v>7383.5</v>
      </c>
      <c r="CK41" s="817">
        <f t="shared" ref="CK41" si="963">(($J41/30)*$M41)*R41</f>
        <v>0</v>
      </c>
      <c r="CL41" s="817">
        <f t="shared" ref="CL41:CL46" si="964">(($K41/30)*$M41)*$R41</f>
        <v>0</v>
      </c>
      <c r="CM41" s="817">
        <f t="shared" ref="CM41" si="965">+AK41</f>
        <v>0</v>
      </c>
      <c r="CN41" s="817">
        <f t="shared" ref="CN41" si="966">AL41</f>
        <v>0</v>
      </c>
      <c r="CO41" s="817">
        <f t="shared" ref="CO41" si="967">AM41</f>
        <v>0</v>
      </c>
      <c r="CP41" s="817">
        <f t="shared" ref="CP41" si="968">AN41</f>
        <v>0</v>
      </c>
      <c r="CQ41" s="817">
        <f t="shared" ref="CQ41" si="969">AS41+AX41</f>
        <v>0</v>
      </c>
      <c r="CR41" s="817">
        <f t="shared" ref="CR41" si="970">(CK41+CN41+CP41)*0.1267</f>
        <v>0</v>
      </c>
      <c r="CS41" s="818">
        <f t="shared" ref="CS41" si="971">SUM(CK41:CR41)-CM41-CO41</f>
        <v>0</v>
      </c>
      <c r="CU41" s="244" t="s">
        <v>11</v>
      </c>
      <c r="CV41" s="236">
        <f t="shared" ref="CV41:CV46" si="972">IF($CU41="PROQUIMA",$BA41+$BJ41+$BS41+$CB41+$CK41,0)</f>
        <v>0</v>
      </c>
      <c r="CW41" s="236">
        <f t="shared" ref="CW41:CW46" si="973">IF($CU41="PROQUIMA",$BB41+$BK41+$BT41+$CC41+$CL41,0)</f>
        <v>0</v>
      </c>
      <c r="CX41" s="236">
        <f t="shared" ref="CX41:CX46" si="974">IF($CU41="PROQUIMA",$BC41+$BL41+$BU41+$CD41+$CM41,0)</f>
        <v>0</v>
      </c>
      <c r="CY41" s="236">
        <f t="shared" ref="CY41:CY46" si="975">IF($CU41="PROQUIMA",$BD41+$BM41+$BV41+$CE41+$CN41,0)</f>
        <v>0</v>
      </c>
      <c r="CZ41" s="236">
        <f t="shared" ref="CZ41:CZ46" si="976">IF($CU41="PROQUIMA",$BE41+$BN41+$BW41+$CF41+$CO41,0)</f>
        <v>0</v>
      </c>
      <c r="DA41" s="236">
        <f t="shared" ref="DA41:DA46" si="977">IF($CU41="PROQUIMA",$BF41+$BO41+$BX41+$CG41+$CP41,0)</f>
        <v>0</v>
      </c>
      <c r="DB41" s="236">
        <f t="shared" ref="DB41:DB46" si="978">IF($CU41="PROQUIMA",$BG41+$BP41+$BY41+$CH41+$CQ41,0)</f>
        <v>0</v>
      </c>
      <c r="DC41" s="236">
        <f t="shared" ref="DC41" si="979">IF($CU41="PROQUIMA",$BH41+$BQ41+$BZ41+$CI41+CR41,0)</f>
        <v>0</v>
      </c>
      <c r="DD41" s="236">
        <f t="shared" ref="DD41" si="980">SUM(CV41:DC41)-CX41-CZ41</f>
        <v>0</v>
      </c>
      <c r="DE41" s="236">
        <f t="shared" ref="DE41:DE46" si="981">IF($CU41="UNHESA",$BA41+$BJ41+$BS41+$CB41+$CK41,0)</f>
        <v>0</v>
      </c>
      <c r="DF41" s="236">
        <f t="shared" ref="DF41:DF46" si="982">IF($CU41="UNHESA",$BB41+$BK41+$BT41+$CC41+$CL41,0)</f>
        <v>0</v>
      </c>
      <c r="DG41" s="236">
        <f t="shared" ref="DG41:DG46" si="983">IF($CU41="UNHESA",$BC41+$BL41+$BU41+$CD41+$CM41,0)</f>
        <v>0</v>
      </c>
      <c r="DH41" s="236">
        <f t="shared" ref="DH41:DH46" si="984">IF($CU41="UNHESA",$BD41+$BM41+$BV41+$CE41+$CN41,0)</f>
        <v>0</v>
      </c>
      <c r="DI41" s="236">
        <f t="shared" ref="DI41:DI46" si="985">IF($CU41="UNHESA",$BE41+$BN41+$BW41+$CF41+$CO41,0)</f>
        <v>0</v>
      </c>
      <c r="DJ41" s="236">
        <f t="shared" ref="DJ41:DJ46" si="986">IF($CU41="UNHESA",$BF41+$BO41+$BX41+$CG41+$CP41,0)</f>
        <v>0</v>
      </c>
      <c r="DK41" s="236">
        <f t="shared" ref="DK41:DK46" si="987">IF($CU41="UNHESA",$BG41+$BP41+$BY41+$CH41+$CQ41,0)</f>
        <v>0</v>
      </c>
      <c r="DL41" s="236">
        <f t="shared" ref="DL41:DL46" si="988">IF($CU41="UNHESA",$BH41+$BQ41+$BZ41+$CI41+$CR41,0)</f>
        <v>0</v>
      </c>
      <c r="DM41" s="236">
        <f t="shared" ref="DM41" si="989">SUM(DE41:DL41)-DG41-DI41</f>
        <v>0</v>
      </c>
      <c r="DN41" s="236">
        <f t="shared" ref="DN41:DN46" si="990">IF($CU41="UNHESA LIQUIDOS",$BA41+$BJ41+$BS41+$CB41+$CK41,0)</f>
        <v>0</v>
      </c>
      <c r="DO41" s="236">
        <f t="shared" ref="DO41:DO46" si="991">IF($CU41="CALIDUL",$BB41+$BK41+$BT41+$CC41+$CL41,0)</f>
        <v>0</v>
      </c>
      <c r="DP41" s="236">
        <f t="shared" ref="DP41:DP46" si="992">IF($CU41="CALIDUL",$BC41+$BL41+$BU41+$CD41+$CM41,0)</f>
        <v>0</v>
      </c>
      <c r="DQ41" s="236">
        <f t="shared" ref="DQ41:DQ46" si="993">IF($CU41="CALIDUL",$BD41+$BM41+$BV41+$CE41+$CN41,0)</f>
        <v>0</v>
      </c>
      <c r="DR41" s="236">
        <f t="shared" ref="DR41:DR46" si="994">IF($CU41="CALIDUL",$BE41+$BN41+$BW41+$CF41+$CO41,0)</f>
        <v>0</v>
      </c>
      <c r="DS41" s="236">
        <f t="shared" ref="DS41:DS46" si="995">IF($CU41="CALIDUL",$BF41+$BO41+$BX41+$CG41+$CP41,0)</f>
        <v>0</v>
      </c>
      <c r="DT41" s="236">
        <f t="shared" ref="DT41:DT46" si="996">IF($CU41="CALIDUL",$BG41+$BP41+$BY41+$CH41+$CQ41,0)</f>
        <v>0</v>
      </c>
      <c r="DU41" s="236">
        <f t="shared" ref="DU41:DU46" si="997">IF($CU41="CALIDUL",$BH41+$BQ41+$BZ41+$CI41+$CR41,0)</f>
        <v>0</v>
      </c>
      <c r="DV41" s="236">
        <f t="shared" ref="DV41" si="998">SUM(DN41:DU41)-DP41-DR41</f>
        <v>0</v>
      </c>
      <c r="DW41" s="816">
        <f>IF($CU41="CLEARTEC",$BA41+$BJ41+$BS41+$CB41+$CK41,0)</f>
        <v>0</v>
      </c>
      <c r="DX41" s="816">
        <f t="shared" ref="DX41:ED41" si="999">IF($CU41="CLEARTEC",$BA41+$BJ41+$BS41+$CB41+$CK41,0)</f>
        <v>0</v>
      </c>
      <c r="DY41" s="816">
        <f t="shared" si="999"/>
        <v>0</v>
      </c>
      <c r="DZ41" s="816">
        <f t="shared" si="999"/>
        <v>0</v>
      </c>
      <c r="EA41" s="816">
        <f t="shared" si="999"/>
        <v>0</v>
      </c>
      <c r="EB41" s="816">
        <f t="shared" si="999"/>
        <v>0</v>
      </c>
      <c r="EC41" s="816">
        <f t="shared" si="999"/>
        <v>0</v>
      </c>
      <c r="ED41" s="816">
        <f t="shared" si="999"/>
        <v>0</v>
      </c>
      <c r="EE41" s="817">
        <f t="shared" ref="EE41" si="1000">SUM(DW41:ED41)-DY41-EA41</f>
        <v>0</v>
      </c>
      <c r="EF41" s="203">
        <f t="shared" ref="EF41" si="1001">IF(CU41="ECONACIONAL",$BA41+$BJ41+$BS41+$CB41+$CK41)</f>
        <v>20000</v>
      </c>
      <c r="EG41" s="242">
        <f t="shared" ref="EG41:EG46" si="1002">IF($CU41="ECONACIONAL",$BB41+$BK41+$BT41+$CC41+$CL41,0)</f>
        <v>7000</v>
      </c>
      <c r="EH41" s="203">
        <f t="shared" ref="EH41:EH45" si="1003">IF(CU41="ECONACIONAL",$BC41+$BL41+$BU41+$CD41+$CM41)</f>
        <v>0</v>
      </c>
      <c r="EI41" s="203">
        <f t="shared" ref="EI41:EI45" si="1004">IF(CU41="ECONACIONAL",$BD41+$DH41+$DQ41+$DZ41+BM41+BV41+CE41+CN41)</f>
        <v>0</v>
      </c>
      <c r="EJ41" s="242">
        <f t="shared" ref="EJ41:EJ46" si="1005">IF($CU41="CLEARTEC",$BE41+$BN41+$BW41+$CF41+$CO41,0)</f>
        <v>0</v>
      </c>
      <c r="EK41" s="203">
        <f t="shared" ref="EK41" si="1006">IF(CU41="ECONACIONAL",$BF41+$BO41+$BX41+$CG41+$CP41)</f>
        <v>0</v>
      </c>
      <c r="EL41" s="203">
        <f t="shared" ref="EL41" si="1007">IF(CU41="ECONACIONAL",$BG41+$BP41+$BY41+$CH41+$CQ41)</f>
        <v>0</v>
      </c>
      <c r="EM41" s="203">
        <f t="shared" ref="EM41" si="1008">IF(CU41="ECONACIONAL",BH41+BQ41+BZ41+CI41+CR41)</f>
        <v>2534</v>
      </c>
      <c r="EN41" s="203">
        <f t="shared" ref="EN41" si="1009">SUM(EF41:EM41)-EH41-EJ41</f>
        <v>29534</v>
      </c>
      <c r="EP41" s="1192">
        <v>1108.97</v>
      </c>
      <c r="EQ41" s="244">
        <v>9519.84</v>
      </c>
      <c r="ER41" s="244"/>
      <c r="ES41" s="201"/>
      <c r="ET41" s="201"/>
      <c r="EU41" s="201"/>
      <c r="EV41" s="244"/>
      <c r="EW41" s="244"/>
      <c r="EX41" s="244"/>
      <c r="EY41" s="201">
        <f t="shared" ref="EY41:EY45" si="1010">+ET41+EU41+EV41</f>
        <v>0</v>
      </c>
      <c r="FA41" s="247">
        <f t="shared" ref="FA41" si="1011">IF($M41&lt;=15,EP41/2,EP41)</f>
        <v>1108.97</v>
      </c>
      <c r="FB41" s="247">
        <f t="shared" ref="FB41" si="1012">IF($M41&lt;=15,EQ41/2,EQ41)</f>
        <v>9519.84</v>
      </c>
      <c r="FC41" s="247">
        <f t="shared" ref="FC41" si="1013">IF($M41&lt;=15,ER41/2,ER41)</f>
        <v>0</v>
      </c>
      <c r="FD41" s="247">
        <f t="shared" ref="FD41" si="1014">IF($M41&lt;=15,ES41/2,ES41)</f>
        <v>0</v>
      </c>
      <c r="FE41" s="247">
        <f t="shared" ref="FE41" si="1015">IF($M41&lt;=15,ET41/2,ET41)</f>
        <v>0</v>
      </c>
      <c r="FF41" s="247">
        <f t="shared" ref="FF41" si="1016">IF($M41&lt;=15,EU41/2,EU41)</f>
        <v>0</v>
      </c>
      <c r="FG41" s="247">
        <f t="shared" ref="FG41" si="1017">IF($M41&lt;=15,EV41/2,EV41)</f>
        <v>0</v>
      </c>
      <c r="FH41" s="247">
        <f t="shared" ref="FH41" si="1018">IF($M41&lt;=15,EW41/2,EW41)</f>
        <v>0</v>
      </c>
      <c r="FI41" s="247">
        <f t="shared" ref="FI41" si="1019">IF($M41&lt;=15,EX41/2,EX41)</f>
        <v>0</v>
      </c>
      <c r="FJ41" s="247">
        <f t="shared" ref="FJ41" si="1020">IF($M41&lt;=15,EY41/2,EY41)</f>
        <v>0</v>
      </c>
      <c r="FK41" s="245"/>
      <c r="FL41" s="245"/>
      <c r="FM41" s="245"/>
      <c r="FN41" s="245"/>
      <c r="FO41" s="245"/>
      <c r="FP41" s="245"/>
      <c r="FR41" s="1177">
        <f>(((J41/30/8)*1.5)*(U41+Y41+AC41))-(BD41+BM41+BV41)</f>
        <v>0</v>
      </c>
      <c r="FS41" s="1177">
        <f t="shared" ref="FS41" si="1021">(((J41/30/8)*2)*(W41+AA41+AE41))-(BF41+BO41+BX41)</f>
        <v>0</v>
      </c>
      <c r="FT41" s="1178">
        <f>(SUM(BA41:CJ41))-(SUM(EF41:EN41))</f>
        <v>0</v>
      </c>
      <c r="FU41" s="1177">
        <f>(J41/30*M41)-(EF41)</f>
        <v>0</v>
      </c>
      <c r="FV41" s="1181">
        <f>(SUM(EP41:EY41))-((SUM(FA41:FJ41))*$FV$5)</f>
        <v>-10628.81</v>
      </c>
    </row>
    <row r="42" spans="1:178" s="778" customFormat="1" ht="15" customHeight="1" outlineLevel="1">
      <c r="A42" s="1005" t="s">
        <v>52</v>
      </c>
      <c r="B42" s="1005" t="s">
        <v>52</v>
      </c>
      <c r="C42" s="1006" t="s">
        <v>52</v>
      </c>
      <c r="D42" s="776"/>
      <c r="E42" s="776">
        <v>106020</v>
      </c>
      <c r="F42" s="805"/>
      <c r="G42" s="779" t="s">
        <v>708</v>
      </c>
      <c r="H42" s="246" t="s">
        <v>52</v>
      </c>
      <c r="I42" s="244"/>
      <c r="J42" s="203"/>
      <c r="K42" s="236"/>
      <c r="L42" s="202"/>
      <c r="M42" s="203"/>
      <c r="N42" s="793"/>
      <c r="O42" s="793"/>
      <c r="P42" s="793"/>
      <c r="Q42" s="793"/>
      <c r="R42" s="815"/>
      <c r="S42" s="793"/>
      <c r="T42" s="780"/>
      <c r="U42" s="247"/>
      <c r="V42" s="236"/>
      <c r="W42" s="247"/>
      <c r="X42" s="236"/>
      <c r="Y42" s="247"/>
      <c r="Z42" s="236"/>
      <c r="AA42" s="247"/>
      <c r="AB42" s="236"/>
      <c r="AC42" s="247"/>
      <c r="AD42" s="236"/>
      <c r="AE42" s="794"/>
      <c r="AF42" s="236"/>
      <c r="AG42" s="794"/>
      <c r="AH42" s="236"/>
      <c r="AI42" s="794"/>
      <c r="AJ42" s="236"/>
      <c r="AK42" s="236"/>
      <c r="AL42" s="236"/>
      <c r="AM42" s="794"/>
      <c r="AN42" s="236"/>
      <c r="AO42" s="236"/>
      <c r="AP42" s="236"/>
      <c r="AQ42" s="236"/>
      <c r="AR42" s="236"/>
      <c r="AS42" s="236"/>
      <c r="AT42" s="236"/>
      <c r="AU42" s="236"/>
      <c r="AV42" s="236"/>
      <c r="AW42" s="236"/>
      <c r="AX42" s="236"/>
      <c r="AY42" s="236"/>
      <c r="AZ42" s="244"/>
      <c r="BA42" s="236"/>
      <c r="BB42" s="236"/>
      <c r="BC42" s="236"/>
      <c r="BD42" s="236"/>
      <c r="BE42" s="236"/>
      <c r="BF42" s="236"/>
      <c r="BG42" s="236"/>
      <c r="BH42" s="236"/>
      <c r="BI42" s="236"/>
      <c r="BJ42" s="236"/>
      <c r="BK42" s="236"/>
      <c r="BL42" s="236"/>
      <c r="BM42" s="236"/>
      <c r="BN42" s="236"/>
      <c r="BO42" s="236"/>
      <c r="BP42" s="236"/>
      <c r="BQ42" s="236"/>
      <c r="BR42" s="792"/>
      <c r="BS42" s="236"/>
      <c r="BT42" s="236"/>
      <c r="BU42" s="236"/>
      <c r="BV42" s="236"/>
      <c r="BW42" s="236"/>
      <c r="BX42" s="236"/>
      <c r="BY42" s="236"/>
      <c r="BZ42" s="236"/>
      <c r="CA42" s="236"/>
      <c r="CB42" s="956"/>
      <c r="CC42" s="956"/>
      <c r="CD42" s="956"/>
      <c r="CE42" s="956"/>
      <c r="CF42" s="956"/>
      <c r="CG42" s="956"/>
      <c r="CH42" s="956"/>
      <c r="CI42" s="956"/>
      <c r="CJ42" s="956"/>
      <c r="CK42" s="956"/>
      <c r="CL42" s="956"/>
      <c r="CM42" s="956"/>
      <c r="CN42" s="956"/>
      <c r="CO42" s="956"/>
      <c r="CP42" s="956"/>
      <c r="CQ42" s="956"/>
      <c r="CR42" s="956"/>
      <c r="CS42" s="956"/>
      <c r="CU42" s="244"/>
      <c r="CV42" s="236"/>
      <c r="CW42" s="236"/>
      <c r="CX42" s="236"/>
      <c r="CY42" s="236"/>
      <c r="CZ42" s="236"/>
      <c r="DA42" s="236"/>
      <c r="DB42" s="236"/>
      <c r="DC42" s="236"/>
      <c r="DD42" s="236"/>
      <c r="DE42" s="236"/>
      <c r="DF42" s="236"/>
      <c r="DG42" s="236"/>
      <c r="DH42" s="236"/>
      <c r="DI42" s="236"/>
      <c r="DJ42" s="236"/>
      <c r="DK42" s="236"/>
      <c r="DL42" s="236"/>
      <c r="DM42" s="236"/>
      <c r="DN42" s="236"/>
      <c r="DO42" s="236"/>
      <c r="DP42" s="236"/>
      <c r="DQ42" s="236"/>
      <c r="DR42" s="236"/>
      <c r="DS42" s="236"/>
      <c r="DT42" s="236"/>
      <c r="DU42" s="236"/>
      <c r="DV42" s="236"/>
      <c r="DW42" s="956"/>
      <c r="DX42" s="956"/>
      <c r="DY42" s="956"/>
      <c r="DZ42" s="956"/>
      <c r="EA42" s="956"/>
      <c r="EB42" s="956"/>
      <c r="EC42" s="956"/>
      <c r="ED42" s="956"/>
      <c r="EE42" s="956"/>
      <c r="EF42" s="956"/>
      <c r="EG42" s="956"/>
      <c r="EH42" s="956"/>
      <c r="EI42" s="956"/>
      <c r="EJ42" s="956"/>
      <c r="EK42" s="956"/>
      <c r="EL42" s="956"/>
      <c r="EM42" s="956"/>
      <c r="EN42" s="956"/>
      <c r="EP42" s="201"/>
      <c r="EQ42" s="244"/>
      <c r="ER42" s="244"/>
      <c r="ES42" s="201"/>
      <c r="ET42" s="244"/>
      <c r="EU42" s="244"/>
      <c r="EV42" s="244"/>
      <c r="EW42" s="244"/>
      <c r="EX42" s="244"/>
      <c r="EY42" s="244"/>
      <c r="FA42" s="247"/>
      <c r="FB42" s="247"/>
      <c r="FC42" s="247"/>
      <c r="FD42" s="247"/>
      <c r="FE42" s="247"/>
      <c r="FF42" s="247"/>
      <c r="FG42" s="247"/>
      <c r="FH42" s="247"/>
      <c r="FI42" s="247"/>
      <c r="FJ42" s="247"/>
      <c r="FK42" s="245"/>
      <c r="FL42" s="245"/>
      <c r="FM42" s="245"/>
      <c r="FN42" s="245"/>
      <c r="FO42" s="245"/>
      <c r="FP42" s="245"/>
    </row>
    <row r="43" spans="1:178" s="937" customFormat="1" ht="15" customHeight="1" outlineLevel="1">
      <c r="A43" s="1286" t="str">
        <f t="shared" si="253"/>
        <v>JUNIO  2026 2da QUINCENA</v>
      </c>
      <c r="B43" s="1286">
        <f t="shared" si="90"/>
        <v>2026</v>
      </c>
      <c r="C43" s="1287" t="str">
        <f t="shared" si="254"/>
        <v>JUNIO  2026 2da QUINCENA2026</v>
      </c>
      <c r="D43" s="1288" t="str">
        <f>+$G$42</f>
        <v>CONTABILIDAD</v>
      </c>
      <c r="E43" s="1288">
        <v>106020</v>
      </c>
      <c r="F43" s="1289">
        <f>+F41+1</f>
        <v>17</v>
      </c>
      <c r="G43" s="1290" t="s">
        <v>461</v>
      </c>
      <c r="H43" s="1291" t="s">
        <v>722</v>
      </c>
      <c r="I43" s="1255" t="s">
        <v>11</v>
      </c>
      <c r="J43" s="1014">
        <v>10500</v>
      </c>
      <c r="K43" s="1014">
        <v>1800</v>
      </c>
      <c r="L43" s="1016">
        <f t="shared" ref="L43" si="1022">+J43+K43</f>
        <v>12300</v>
      </c>
      <c r="M43" s="203">
        <v>30</v>
      </c>
      <c r="N43" s="1009">
        <v>0.56999999999999995</v>
      </c>
      <c r="O43" s="1009">
        <v>0.3</v>
      </c>
      <c r="P43" s="1009">
        <v>0.03</v>
      </c>
      <c r="Q43" s="1009">
        <v>0.1</v>
      </c>
      <c r="R43" s="1009">
        <v>0</v>
      </c>
      <c r="S43" s="1009">
        <f t="shared" ref="S43" si="1023">SUM(N43:R43)</f>
        <v>0.99999999999999989</v>
      </c>
      <c r="T43" s="1292"/>
      <c r="U43" s="878"/>
      <c r="V43" s="1014">
        <f t="shared" ref="V43" si="1024">($J43/30/8*1.5)*U43</f>
        <v>0</v>
      </c>
      <c r="W43" s="878"/>
      <c r="X43" s="1014">
        <f t="shared" ref="X43" si="1025">($J43/30/8*2)*W43</f>
        <v>0</v>
      </c>
      <c r="Y43" s="878"/>
      <c r="Z43" s="1014">
        <f t="shared" ref="Z43" si="1026">($J43/30/8*1.5)*Y43</f>
        <v>0</v>
      </c>
      <c r="AA43" s="878"/>
      <c r="AB43" s="1014">
        <f t="shared" ref="AB43" si="1027">($J43/30/8*2)*AA43</f>
        <v>0</v>
      </c>
      <c r="AC43" s="878"/>
      <c r="AD43" s="1014">
        <f t="shared" ref="AD43" si="1028">(($J43/30/8)*1.5)*AC43</f>
        <v>0</v>
      </c>
      <c r="AE43" s="1293"/>
      <c r="AF43" s="1014">
        <f>(($J43/30/8)*2)*AE43</f>
        <v>0</v>
      </c>
      <c r="AG43" s="1293"/>
      <c r="AH43" s="1014">
        <f t="shared" ref="AH43" si="1029">(($J43/30/8)*1.5)*AG43</f>
        <v>0</v>
      </c>
      <c r="AI43" s="1293"/>
      <c r="AJ43" s="1014">
        <f t="shared" ref="AJ43" si="1030">(($J43/30/8)*2)*AI43</f>
        <v>0</v>
      </c>
      <c r="AK43" s="1014"/>
      <c r="AL43" s="1014">
        <f t="shared" ref="AL43" si="1031">(($J43/30/8)*1.5)*AK43</f>
        <v>0</v>
      </c>
      <c r="AM43" s="1293"/>
      <c r="AN43" s="1014">
        <f t="shared" ref="AN43" si="1032">(($J43/30/8)*2)*AM43</f>
        <v>0</v>
      </c>
      <c r="AO43" s="1014"/>
      <c r="AP43" s="1014"/>
      <c r="AQ43" s="1014"/>
      <c r="AR43" s="1014"/>
      <c r="AS43" s="1014"/>
      <c r="AT43" s="1014"/>
      <c r="AU43" s="1014"/>
      <c r="AV43" s="1014"/>
      <c r="AW43" s="1014"/>
      <c r="AX43" s="1014"/>
      <c r="AY43" s="1014"/>
      <c r="AZ43" s="1294"/>
      <c r="BA43" s="1014">
        <f t="shared" ref="BA43" si="1033">((J43/30)*M43)*$N43</f>
        <v>5984.9999999999991</v>
      </c>
      <c r="BB43" s="269">
        <f t="shared" ref="BB43" si="1034">((K43/30)*M43)*$N43</f>
        <v>1026</v>
      </c>
      <c r="BC43" s="1014">
        <f t="shared" ref="BC43" si="1035">U43</f>
        <v>0</v>
      </c>
      <c r="BD43" s="1014">
        <f t="shared" ref="BD43" si="1036">V43</f>
        <v>0</v>
      </c>
      <c r="BE43" s="1014">
        <f t="shared" ref="BE43" si="1037">W43</f>
        <v>0</v>
      </c>
      <c r="BF43" s="1014">
        <f t="shared" ref="BF43" si="1038">X43</f>
        <v>0</v>
      </c>
      <c r="BG43" s="1014">
        <f t="shared" ref="BG43" si="1039">AO43+AT43</f>
        <v>0</v>
      </c>
      <c r="BH43" s="1014">
        <f t="shared" si="935"/>
        <v>758.29949999999997</v>
      </c>
      <c r="BI43" s="1014">
        <f t="shared" ref="BI43" si="1040">SUM(BA43:BH43)-BC43-BE43</f>
        <v>7769.2994999999992</v>
      </c>
      <c r="BJ43" s="1014">
        <f t="shared" si="937"/>
        <v>3150</v>
      </c>
      <c r="BK43" s="1014">
        <f>(($K43/30)*$M43)*$O43</f>
        <v>540</v>
      </c>
      <c r="BL43" s="1014">
        <f t="shared" ref="BL43" si="1041">Y43</f>
        <v>0</v>
      </c>
      <c r="BM43" s="1014">
        <f t="shared" ref="BM43" si="1042">Z43</f>
        <v>0</v>
      </c>
      <c r="BN43" s="1014">
        <f t="shared" ref="BN43" si="1043">AA43</f>
        <v>0</v>
      </c>
      <c r="BO43" s="1014">
        <f t="shared" ref="BO43" si="1044">AB43</f>
        <v>0</v>
      </c>
      <c r="BP43" s="1014">
        <f>AP43+AU43</f>
        <v>0</v>
      </c>
      <c r="BQ43" s="1014">
        <f t="shared" si="944"/>
        <v>399.10500000000002</v>
      </c>
      <c r="BR43" s="1016">
        <f t="shared" ref="BR43" si="1045">SUM(BJ43:BQ43)-BL43-BN43</f>
        <v>4089.105</v>
      </c>
      <c r="BS43" s="1014">
        <f t="shared" si="946"/>
        <v>315</v>
      </c>
      <c r="BT43" s="1014">
        <f t="shared" si="947"/>
        <v>54</v>
      </c>
      <c r="BU43" s="1014">
        <f t="shared" ref="BU43" si="1046">AC43</f>
        <v>0</v>
      </c>
      <c r="BV43" s="1014">
        <f t="shared" ref="BV43" si="1047">AD43</f>
        <v>0</v>
      </c>
      <c r="BW43" s="1014">
        <f t="shared" ref="BW43" si="1048">AE43</f>
        <v>0</v>
      </c>
      <c r="BX43" s="1014">
        <f t="shared" ref="BX43" si="1049">AF43</f>
        <v>0</v>
      </c>
      <c r="BY43" s="1014">
        <f t="shared" ref="BY43" si="1050">AQ43+AV43</f>
        <v>0</v>
      </c>
      <c r="BZ43" s="1014">
        <f t="shared" si="953"/>
        <v>39.910499999999999</v>
      </c>
      <c r="CA43" s="1014">
        <f t="shared" ref="CA43" si="1051">SUM(BS43:BZ43)-BU43-BW43</f>
        <v>408.91050000000001</v>
      </c>
      <c r="CB43" s="1295">
        <f>(($J43/30)*$M43)*$Q43</f>
        <v>1050</v>
      </c>
      <c r="CC43" s="1296">
        <f>(($K43/30)*$M43)*$Q43</f>
        <v>180</v>
      </c>
      <c r="CD43" s="1296">
        <f t="shared" ref="CD43:CG43" si="1052">AG43</f>
        <v>0</v>
      </c>
      <c r="CE43" s="1296">
        <f t="shared" si="1052"/>
        <v>0</v>
      </c>
      <c r="CF43" s="1296">
        <f t="shared" si="1052"/>
        <v>0</v>
      </c>
      <c r="CG43" s="1296">
        <f t="shared" si="1052"/>
        <v>0</v>
      </c>
      <c r="CH43" s="1296">
        <f>AR43+AW43</f>
        <v>0</v>
      </c>
      <c r="CI43" s="1297">
        <f t="shared" si="961"/>
        <v>133.035</v>
      </c>
      <c r="CJ43" s="1298">
        <f>SUM(CB43:CI43)-CD43-CF43</f>
        <v>1363.0350000000001</v>
      </c>
      <c r="CK43" s="1299">
        <f>(($J43/30)*$M43)*R43</f>
        <v>0</v>
      </c>
      <c r="CL43" s="1296">
        <f t="shared" si="964"/>
        <v>0</v>
      </c>
      <c r="CM43" s="1296">
        <f t="shared" ref="CM43" si="1053">+AK43</f>
        <v>0</v>
      </c>
      <c r="CN43" s="1296">
        <f t="shared" ref="CN43:CP43" si="1054">AL43</f>
        <v>0</v>
      </c>
      <c r="CO43" s="1296">
        <f t="shared" si="1054"/>
        <v>0</v>
      </c>
      <c r="CP43" s="1296">
        <f t="shared" si="1054"/>
        <v>0</v>
      </c>
      <c r="CQ43" s="1296">
        <f t="shared" ref="CQ43" si="1055">AS43+AX43</f>
        <v>0</v>
      </c>
      <c r="CR43" s="1297">
        <f t="shared" ref="CR43" si="1056">(CK43+CN43+CP43)*0.1267</f>
        <v>0</v>
      </c>
      <c r="CS43" s="1297">
        <f t="shared" ref="CS43" si="1057">SUM(CK43:CR43)-CM43-CO43</f>
        <v>0</v>
      </c>
      <c r="CU43" s="1255" t="s">
        <v>11</v>
      </c>
      <c r="CV43" s="1014">
        <f t="shared" si="972"/>
        <v>0</v>
      </c>
      <c r="CW43" s="1014">
        <f t="shared" si="973"/>
        <v>0</v>
      </c>
      <c r="CX43" s="1014">
        <f t="shared" si="974"/>
        <v>0</v>
      </c>
      <c r="CY43" s="1014">
        <f t="shared" si="975"/>
        <v>0</v>
      </c>
      <c r="CZ43" s="1014">
        <f t="shared" si="976"/>
        <v>0</v>
      </c>
      <c r="DA43" s="1014">
        <f t="shared" si="977"/>
        <v>0</v>
      </c>
      <c r="DB43" s="1014">
        <f t="shared" si="978"/>
        <v>0</v>
      </c>
      <c r="DC43" s="1014">
        <f t="shared" ref="DC43" si="1058">IF($CU43="PROQUIMA",$BH43+$BQ43+$BZ43+$CI43+CR43,0)</f>
        <v>0</v>
      </c>
      <c r="DD43" s="1014">
        <f t="shared" ref="DD43" si="1059">SUM(CV43:DC43)-CX43-CZ43</f>
        <v>0</v>
      </c>
      <c r="DE43" s="1014">
        <f t="shared" si="981"/>
        <v>0</v>
      </c>
      <c r="DF43" s="1014">
        <f t="shared" si="982"/>
        <v>0</v>
      </c>
      <c r="DG43" s="1014">
        <f t="shared" si="983"/>
        <v>0</v>
      </c>
      <c r="DH43" s="1014">
        <f t="shared" si="984"/>
        <v>0</v>
      </c>
      <c r="DI43" s="1014">
        <f t="shared" si="985"/>
        <v>0</v>
      </c>
      <c r="DJ43" s="1014">
        <f t="shared" si="986"/>
        <v>0</v>
      </c>
      <c r="DK43" s="1014">
        <v>0</v>
      </c>
      <c r="DL43" s="1014">
        <f t="shared" si="988"/>
        <v>0</v>
      </c>
      <c r="DM43" s="1014">
        <f t="shared" ref="DM43" si="1060">SUM(DE43:DL43)-DG43-DI43</f>
        <v>0</v>
      </c>
      <c r="DN43" s="1014">
        <f t="shared" si="990"/>
        <v>0</v>
      </c>
      <c r="DO43" s="1014">
        <f t="shared" si="991"/>
        <v>0</v>
      </c>
      <c r="DP43" s="1014">
        <f t="shared" si="992"/>
        <v>0</v>
      </c>
      <c r="DQ43" s="1014">
        <f t="shared" si="993"/>
        <v>0</v>
      </c>
      <c r="DR43" s="1014">
        <f t="shared" si="994"/>
        <v>0</v>
      </c>
      <c r="DS43" s="1014">
        <f t="shared" si="995"/>
        <v>0</v>
      </c>
      <c r="DT43" s="1014">
        <f t="shared" si="996"/>
        <v>0</v>
      </c>
      <c r="DU43" s="1014">
        <f t="shared" si="997"/>
        <v>0</v>
      </c>
      <c r="DV43" s="1014">
        <f t="shared" ref="DV43" si="1061">SUM(DN43:DU43)-DP43-DR43</f>
        <v>0</v>
      </c>
      <c r="DW43" s="1295">
        <f>IF($CU43="CLEARTEC",$BA43+$BJ43+$BS43+$CB43+$CK43,0)</f>
        <v>0</v>
      </c>
      <c r="DX43" s="1295">
        <f t="shared" ref="DX43:ED46" si="1062">IF($CU43="CLEARTEC",$BA43+$BJ43+$BS43+$CB43+$CK43,0)</f>
        <v>0</v>
      </c>
      <c r="DY43" s="1295">
        <f t="shared" si="1062"/>
        <v>0</v>
      </c>
      <c r="DZ43" s="1295">
        <f t="shared" si="1062"/>
        <v>0</v>
      </c>
      <c r="EA43" s="1295">
        <f t="shared" si="1062"/>
        <v>0</v>
      </c>
      <c r="EB43" s="1295">
        <f t="shared" si="1062"/>
        <v>0</v>
      </c>
      <c r="EC43" s="1295">
        <f t="shared" si="1062"/>
        <v>0</v>
      </c>
      <c r="ED43" s="1295">
        <f t="shared" si="1062"/>
        <v>0</v>
      </c>
      <c r="EE43" s="1298">
        <f>SUM(DW43:ED43)-DY43-EA43</f>
        <v>0</v>
      </c>
      <c r="EF43" s="1014">
        <f t="shared" ref="EF43:EF45" si="1063">IF(CU43="ECONACIONAL",$BA43+$BJ43+$BS43+$CB43+$CK43)</f>
        <v>10500</v>
      </c>
      <c r="EG43" s="1300">
        <f t="shared" si="1002"/>
        <v>1800</v>
      </c>
      <c r="EH43" s="1014">
        <f t="shared" si="1003"/>
        <v>0</v>
      </c>
      <c r="EI43" s="1014">
        <f t="shared" si="1004"/>
        <v>0</v>
      </c>
      <c r="EJ43" s="1300">
        <f t="shared" si="1005"/>
        <v>0</v>
      </c>
      <c r="EK43" s="1014">
        <f t="shared" ref="EK43:EK45" si="1064">IF(CU43="ECONACIONAL",$BF43+$BO43+$BX43+$CG43+$CP43)</f>
        <v>0</v>
      </c>
      <c r="EL43" s="1014">
        <f t="shared" ref="EL43:EL45" si="1065">IF(CU43="ECONACIONAL",$BG43+$BP43+$BY43+$CH43+$CQ43)</f>
        <v>0</v>
      </c>
      <c r="EM43" s="1014">
        <f t="shared" ref="EM43:EM45" si="1066">IF(CU43="ECONACIONAL",BH43+BQ43+BZ43+CI43+CR43)</f>
        <v>1330.3500000000001</v>
      </c>
      <c r="EN43" s="1014">
        <f t="shared" ref="EN43:EN45" si="1067">SUM(EF43:EM43)-EH43-EJ43</f>
        <v>13630.35</v>
      </c>
      <c r="EO43" s="1301" t="s">
        <v>742</v>
      </c>
      <c r="EP43" s="1291">
        <v>393.64</v>
      </c>
      <c r="EQ43" s="1255"/>
      <c r="ER43" s="1255">
        <v>200</v>
      </c>
      <c r="ES43" s="1255"/>
      <c r="ET43" s="1255"/>
      <c r="EU43" s="1255"/>
      <c r="EV43" s="1255">
        <v>1068</v>
      </c>
      <c r="EW43" s="1255"/>
      <c r="EX43" s="1255"/>
      <c r="EY43" s="1255">
        <f t="shared" si="1010"/>
        <v>1068</v>
      </c>
      <c r="FA43" s="878">
        <f t="shared" ref="FA43" si="1068">IF($M43&lt;=15,EP43/2,EP43)</f>
        <v>393.64</v>
      </c>
      <c r="FB43" s="878">
        <f t="shared" ref="FB43" si="1069">IF($M43&lt;=15,EQ43/2,EQ43)</f>
        <v>0</v>
      </c>
      <c r="FC43" s="878">
        <f t="shared" ref="FC43" si="1070">IF($M43&lt;=15,ER43/2,ER43)</f>
        <v>200</v>
      </c>
      <c r="FD43" s="878">
        <f t="shared" ref="FD43" si="1071">IF($M43&lt;=15,ES43/2,ES43)</f>
        <v>0</v>
      </c>
      <c r="FE43" s="878">
        <f t="shared" ref="FE43" si="1072">IF($M43&lt;=15,ET43/2,ET43)</f>
        <v>0</v>
      </c>
      <c r="FF43" s="878">
        <f t="shared" ref="FF43" si="1073">IF($M43&lt;=15,EU43/2,EU43)</f>
        <v>0</v>
      </c>
      <c r="FG43" s="878">
        <f t="shared" ref="FG43" si="1074">IF($M43&lt;=15,EV43/2,EV43)</f>
        <v>1068</v>
      </c>
      <c r="FH43" s="878">
        <f t="shared" ref="FH43" si="1075">IF($M43&lt;=15,EW43/2,EW43)</f>
        <v>0</v>
      </c>
      <c r="FI43" s="878">
        <f t="shared" ref="FI43" si="1076">IF($M43&lt;=15,EX43/2,EX43)</f>
        <v>0</v>
      </c>
      <c r="FJ43" s="878">
        <f t="shared" ref="FJ43" si="1077">IF($M43&lt;=15,EY43/2,EY43)</f>
        <v>1068</v>
      </c>
      <c r="FK43" s="1302">
        <v>0.65</v>
      </c>
      <c r="FL43" s="1302">
        <v>0.35</v>
      </c>
      <c r="FM43" s="1302"/>
      <c r="FN43" s="1302">
        <v>0</v>
      </c>
      <c r="FO43" s="1302">
        <v>0</v>
      </c>
      <c r="FP43" s="1302">
        <v>1</v>
      </c>
      <c r="FR43" s="1303">
        <f t="shared" ref="FR43:FR45" si="1078">(((J43/30/8)*1.5)*(U43+Y43+AC43))-(BD43+BM43+BV43)</f>
        <v>0</v>
      </c>
      <c r="FS43" s="1303">
        <f t="shared" ref="FS43:FS45" si="1079">(((J43/30/8)*2)*(W43+AA43+AE43))-(BF43+BO43+BX43)</f>
        <v>0</v>
      </c>
      <c r="FT43" s="1304">
        <f t="shared" ref="FT43:FT45" si="1080">(SUM(BA43:CJ43))-(SUM(EF43:EN43))</f>
        <v>0</v>
      </c>
      <c r="FU43" s="1303">
        <f t="shared" ref="FU43:FU45" si="1081">(J43/30*M43)-(EF43)</f>
        <v>0</v>
      </c>
      <c r="FV43" s="1305">
        <f t="shared" ref="FV43:FV45" si="1082">(SUM(EP43:EY43))-((SUM(FA43:FJ43))*$FV$5)</f>
        <v>-2729.64</v>
      </c>
    </row>
    <row r="44" spans="1:178" s="216" customFormat="1" ht="15" customHeight="1" outlineLevel="1">
      <c r="A44" s="1005"/>
      <c r="B44" s="1005"/>
      <c r="C44" s="1006"/>
      <c r="D44" s="235"/>
      <c r="E44" s="235">
        <v>106020</v>
      </c>
      <c r="F44" s="1252"/>
      <c r="G44" s="199" t="s">
        <v>762</v>
      </c>
      <c r="H44" s="200" t="s">
        <v>675</v>
      </c>
      <c r="I44" s="201" t="s">
        <v>11</v>
      </c>
      <c r="J44" s="203">
        <v>5250</v>
      </c>
      <c r="K44" s="203">
        <v>1750</v>
      </c>
      <c r="L44" s="202">
        <f t="shared" ref="L44" si="1083">+J44+K44</f>
        <v>7000</v>
      </c>
      <c r="M44" s="203">
        <v>30</v>
      </c>
      <c r="N44" s="204">
        <v>0.5</v>
      </c>
      <c r="O44" s="204">
        <v>0.4</v>
      </c>
      <c r="P44" s="204">
        <v>0</v>
      </c>
      <c r="Q44" s="204">
        <v>0.1</v>
      </c>
      <c r="R44" s="819">
        <v>0</v>
      </c>
      <c r="S44" s="204">
        <f t="shared" ref="S44" si="1084">SUM(N44:R44)</f>
        <v>1</v>
      </c>
      <c r="T44" s="205" t="s">
        <v>763</v>
      </c>
      <c r="U44" s="207"/>
      <c r="V44" s="203">
        <f t="shared" ref="V44" si="1085">($J44/30/8*1.5)*U44</f>
        <v>0</v>
      </c>
      <c r="W44" s="865"/>
      <c r="X44" s="203">
        <f t="shared" ref="X44" si="1086">($J44/30/8*2)*W44</f>
        <v>0</v>
      </c>
      <c r="Y44" s="207"/>
      <c r="Z44" s="203">
        <f t="shared" ref="Z44" si="1087">($J44/30/8*1.5)*Y44</f>
        <v>0</v>
      </c>
      <c r="AA44" s="207"/>
      <c r="AB44" s="203">
        <f t="shared" ref="AB44" si="1088">($J44/30/8*2)*AA44</f>
        <v>0</v>
      </c>
      <c r="AC44" s="207">
        <v>0</v>
      </c>
      <c r="AD44" s="203">
        <f t="shared" ref="AD44" si="1089">(($J44/30/8)*1.5)*AC44</f>
        <v>0</v>
      </c>
      <c r="AE44" s="208"/>
      <c r="AF44" s="203">
        <f t="shared" ref="AF44" si="1090">(($J44/30/8)*2)*AE44</f>
        <v>0</v>
      </c>
      <c r="AG44" s="208"/>
      <c r="AH44" s="203">
        <f t="shared" ref="AH44" si="1091">(($J44/30/8)*1.5)*AG44</f>
        <v>0</v>
      </c>
      <c r="AI44" s="208"/>
      <c r="AJ44" s="203">
        <f t="shared" ref="AJ44" si="1092">(($J44/30/8)*2)*AI44</f>
        <v>0</v>
      </c>
      <c r="AK44" s="203"/>
      <c r="AL44" s="203">
        <f t="shared" ref="AL44" si="1093">(($J44/30/8)*1.5)*AK44</f>
        <v>0</v>
      </c>
      <c r="AM44" s="208"/>
      <c r="AN44" s="203">
        <f t="shared" ref="AN44" si="1094">(($J44/30/8)*2)*AM44</f>
        <v>0</v>
      </c>
      <c r="AO44" s="203"/>
      <c r="AP44" s="203"/>
      <c r="AQ44" s="203"/>
      <c r="AR44" s="203"/>
      <c r="AS44" s="203"/>
      <c r="AT44" s="203"/>
      <c r="AU44" s="203"/>
      <c r="AV44" s="203"/>
      <c r="AW44" s="203"/>
      <c r="AX44" s="203"/>
      <c r="AY44" s="203"/>
      <c r="AZ44" s="201"/>
      <c r="BA44" s="203">
        <f t="shared" ref="BA44" si="1095">((J44/30)*M44)*$N44</f>
        <v>2625</v>
      </c>
      <c r="BB44" s="203">
        <f>((K44/30)*M44)*$N44</f>
        <v>875</v>
      </c>
      <c r="BC44" s="203">
        <f t="shared" ref="BC44" si="1096">U44</f>
        <v>0</v>
      </c>
      <c r="BD44" s="203">
        <f t="shared" ref="BD44" si="1097">V44</f>
        <v>0</v>
      </c>
      <c r="BE44" s="203">
        <f t="shared" ref="BE44" si="1098">W44</f>
        <v>0</v>
      </c>
      <c r="BF44" s="203">
        <f t="shared" ref="BF44" si="1099">X44</f>
        <v>0</v>
      </c>
      <c r="BG44" s="203">
        <f t="shared" ref="BG44" si="1100">AO44+AT44</f>
        <v>0</v>
      </c>
      <c r="BH44" s="203">
        <f t="shared" ref="BH44" si="1101">(BA44+BD44+BF44+BG44)*0.1267</f>
        <v>332.58750000000003</v>
      </c>
      <c r="BI44" s="203">
        <f t="shared" ref="BI44" si="1102">SUM(BA44:BH44)-BC44-BE44</f>
        <v>3832.5875000000001</v>
      </c>
      <c r="BJ44" s="203">
        <f t="shared" si="937"/>
        <v>2100</v>
      </c>
      <c r="BK44" s="203">
        <f>(($K44/30)*$M44)*$O44</f>
        <v>700</v>
      </c>
      <c r="BL44" s="203">
        <f t="shared" ref="BL44" si="1103">Y44</f>
        <v>0</v>
      </c>
      <c r="BM44" s="203">
        <f t="shared" ref="BM44" si="1104">Z44</f>
        <v>0</v>
      </c>
      <c r="BN44" s="203">
        <f t="shared" ref="BN44" si="1105">AA44</f>
        <v>0</v>
      </c>
      <c r="BO44" s="203">
        <f t="shared" ref="BO44" si="1106">AB44</f>
        <v>0</v>
      </c>
      <c r="BP44" s="203">
        <f t="shared" ref="BP44" si="1107">AP44+AU44</f>
        <v>0</v>
      </c>
      <c r="BQ44" s="203">
        <f t="shared" ref="BQ44" si="1108">(+BJ44+BM44+BO44+BP44)*0.1267</f>
        <v>266.07</v>
      </c>
      <c r="BR44" s="202">
        <f t="shared" ref="BR44" si="1109">SUM(BJ44:BQ44)-BL44-BN44</f>
        <v>3066.07</v>
      </c>
      <c r="BS44" s="203">
        <f t="shared" si="946"/>
        <v>0</v>
      </c>
      <c r="BT44" s="203">
        <f>(($K44/30)*$M44)*$P44</f>
        <v>0</v>
      </c>
      <c r="BU44" s="203">
        <f t="shared" ref="BU44" si="1110">AC44</f>
        <v>0</v>
      </c>
      <c r="BV44" s="203">
        <f t="shared" ref="BV44" si="1111">AD44</f>
        <v>0</v>
      </c>
      <c r="BW44" s="203">
        <f t="shared" ref="BW44" si="1112">AE44</f>
        <v>0</v>
      </c>
      <c r="BX44" s="203">
        <f t="shared" ref="BX44" si="1113">AF44</f>
        <v>0</v>
      </c>
      <c r="BY44" s="203">
        <f t="shared" ref="BY44" si="1114">AQ44+AV44</f>
        <v>0</v>
      </c>
      <c r="BZ44" s="203">
        <f t="shared" ref="BZ44" si="1115">(BS44+BV44+BX44+BY44)*0.1267</f>
        <v>0</v>
      </c>
      <c r="CA44" s="203">
        <f t="shared" ref="CA44" si="1116">SUM(BS44:BZ44)-BU44-BW44</f>
        <v>0</v>
      </c>
      <c r="CB44" s="241">
        <f t="shared" si="955"/>
        <v>525</v>
      </c>
      <c r="CC44" s="242">
        <f>(($K44/30)*$M44)*$Q44</f>
        <v>175</v>
      </c>
      <c r="CD44" s="242">
        <f t="shared" ref="CD44" si="1117">AG44</f>
        <v>0</v>
      </c>
      <c r="CE44" s="242">
        <f t="shared" ref="CE44" si="1118">AH44</f>
        <v>0</v>
      </c>
      <c r="CF44" s="242">
        <f t="shared" ref="CF44" si="1119">AI44</f>
        <v>0</v>
      </c>
      <c r="CG44" s="242">
        <f t="shared" ref="CG44" si="1120">AJ44</f>
        <v>0</v>
      </c>
      <c r="CH44" s="242">
        <f t="shared" ref="CH44" si="1121">AR44+AW44</f>
        <v>0</v>
      </c>
      <c r="CI44" s="703">
        <f t="shared" ref="CI44" si="1122">(CB44+CE44+CG44+CH44)*0.1267</f>
        <v>66.517499999999998</v>
      </c>
      <c r="CJ44" s="242">
        <f>SUM(CB44:CI44)-CD44-CF44</f>
        <v>766.51750000000004</v>
      </c>
      <c r="CK44" s="242">
        <f t="shared" ref="CK44" si="1123">(($J44/30)*$M44)*R44</f>
        <v>0</v>
      </c>
      <c r="CL44" s="242">
        <f t="shared" si="964"/>
        <v>0</v>
      </c>
      <c r="CM44" s="242">
        <f t="shared" ref="CM44" si="1124">+AK44</f>
        <v>0</v>
      </c>
      <c r="CN44" s="242">
        <f t="shared" ref="CN44" si="1125">AL44</f>
        <v>0</v>
      </c>
      <c r="CO44" s="242">
        <f t="shared" ref="CO44" si="1126">AM44</f>
        <v>0</v>
      </c>
      <c r="CP44" s="242">
        <f t="shared" ref="CP44" si="1127">AN44</f>
        <v>0</v>
      </c>
      <c r="CQ44" s="242">
        <f t="shared" ref="CQ44" si="1128">AS44+AX44</f>
        <v>0</v>
      </c>
      <c r="CR44" s="242">
        <f t="shared" ref="CR44" si="1129">(CK44+CN44+CP44)*0.1267</f>
        <v>0</v>
      </c>
      <c r="CS44" s="243">
        <f t="shared" ref="CS44" si="1130">SUM(CK44:CR44)-CM44-CO44</f>
        <v>0</v>
      </c>
      <c r="CU44" s="201" t="s">
        <v>11</v>
      </c>
      <c r="CV44" s="203">
        <f t="shared" si="972"/>
        <v>0</v>
      </c>
      <c r="CW44" s="203">
        <f t="shared" si="973"/>
        <v>0</v>
      </c>
      <c r="CX44" s="203">
        <f t="shared" si="974"/>
        <v>0</v>
      </c>
      <c r="CY44" s="203">
        <f t="shared" si="975"/>
        <v>0</v>
      </c>
      <c r="CZ44" s="203">
        <f t="shared" si="976"/>
        <v>0</v>
      </c>
      <c r="DA44" s="203">
        <f t="shared" si="977"/>
        <v>0</v>
      </c>
      <c r="DB44" s="203">
        <f t="shared" si="978"/>
        <v>0</v>
      </c>
      <c r="DC44" s="203">
        <f t="shared" ref="DC44" si="1131">IF($CU44="PROQUIMA",$BH44+$BQ44+$BZ44+$CI44+CR44,0)</f>
        <v>0</v>
      </c>
      <c r="DD44" s="203">
        <f t="shared" ref="DD44" si="1132">SUM(CV44:DC44)-CX44-CZ44</f>
        <v>0</v>
      </c>
      <c r="DE44" s="203">
        <f t="shared" si="981"/>
        <v>0</v>
      </c>
      <c r="DF44" s="203">
        <f t="shared" si="982"/>
        <v>0</v>
      </c>
      <c r="DG44" s="203">
        <f t="shared" si="983"/>
        <v>0</v>
      </c>
      <c r="DH44" s="203">
        <f t="shared" si="984"/>
        <v>0</v>
      </c>
      <c r="DI44" s="203">
        <f t="shared" si="985"/>
        <v>0</v>
      </c>
      <c r="DJ44" s="203">
        <f t="shared" si="986"/>
        <v>0</v>
      </c>
      <c r="DK44" s="203">
        <f t="shared" si="987"/>
        <v>0</v>
      </c>
      <c r="DL44" s="203">
        <f t="shared" si="988"/>
        <v>0</v>
      </c>
      <c r="DM44" s="203">
        <f t="shared" ref="DM44" si="1133">SUM(DE44:DL44)-DG44-DI44</f>
        <v>0</v>
      </c>
      <c r="DN44" s="203">
        <f t="shared" si="990"/>
        <v>0</v>
      </c>
      <c r="DO44" s="203">
        <f t="shared" si="991"/>
        <v>0</v>
      </c>
      <c r="DP44" s="203">
        <f t="shared" si="992"/>
        <v>0</v>
      </c>
      <c r="DQ44" s="203">
        <f t="shared" si="993"/>
        <v>0</v>
      </c>
      <c r="DR44" s="203">
        <f t="shared" si="994"/>
        <v>0</v>
      </c>
      <c r="DS44" s="203">
        <f t="shared" si="995"/>
        <v>0</v>
      </c>
      <c r="DT44" s="203">
        <f t="shared" si="996"/>
        <v>0</v>
      </c>
      <c r="DU44" s="203">
        <f t="shared" si="997"/>
        <v>0</v>
      </c>
      <c r="DV44" s="203">
        <f t="shared" ref="DV44" si="1134">SUM(DN44:DU44)-DP44-DR44</f>
        <v>0</v>
      </c>
      <c r="DW44" s="702">
        <f t="shared" ref="DW44:DW46" si="1135">IF($CU44="CLEARTEC",$BA44+$BJ44+$BS44+$CB44+$CK44,0)</f>
        <v>0</v>
      </c>
      <c r="DX44" s="702">
        <f t="shared" si="1062"/>
        <v>0</v>
      </c>
      <c r="DY44" s="702">
        <f t="shared" si="1062"/>
        <v>0</v>
      </c>
      <c r="DZ44" s="702">
        <f t="shared" si="1062"/>
        <v>0</v>
      </c>
      <c r="EA44" s="702">
        <f t="shared" si="1062"/>
        <v>0</v>
      </c>
      <c r="EB44" s="702">
        <f t="shared" si="1062"/>
        <v>0</v>
      </c>
      <c r="EC44" s="702">
        <f t="shared" si="1062"/>
        <v>0</v>
      </c>
      <c r="ED44" s="702">
        <f t="shared" si="1062"/>
        <v>0</v>
      </c>
      <c r="EE44" s="242">
        <f t="shared" ref="EE44" si="1136">SUM(DW44:ED44)-DY44-EA44</f>
        <v>0</v>
      </c>
      <c r="EF44" s="203">
        <f t="shared" ref="EF44" si="1137">IF(CU44="ECONACIONAL",$BA44+$BJ44+$BS44+$CB44+$CK44)</f>
        <v>5250</v>
      </c>
      <c r="EG44" s="242">
        <f t="shared" si="1002"/>
        <v>1750</v>
      </c>
      <c r="EH44" s="203">
        <f t="shared" ref="EH44" si="1138">IF(CU44="ECONACIONAL",$BC44+$BL44+$BU44+$CD44+$CM44)</f>
        <v>0</v>
      </c>
      <c r="EI44" s="203">
        <f t="shared" ref="EI44" si="1139">IF(CU44="ECONACIONAL",$BD44+$DH44+$DQ44+$DZ44+BM44+BV44+CE44+CN44)</f>
        <v>0</v>
      </c>
      <c r="EJ44" s="242">
        <f t="shared" si="1005"/>
        <v>0</v>
      </c>
      <c r="EK44" s="203">
        <f t="shared" ref="EK44" si="1140">IF(CU44="ECONACIONAL",$BF44+$BO44+$BX44+$CG44+$CP44)</f>
        <v>0</v>
      </c>
      <c r="EL44" s="203">
        <f t="shared" ref="EL44" si="1141">IF(CU44="ECONACIONAL",$BG44+$BP44+$BY44+$CH44+$CQ44)</f>
        <v>0</v>
      </c>
      <c r="EM44" s="203">
        <f t="shared" ref="EM44" si="1142">IF(CU44="ECONACIONAL",BH44+BQ44+BZ44+CI44+CR44)</f>
        <v>665.17500000000007</v>
      </c>
      <c r="EN44" s="203">
        <f t="shared" ref="EN44" si="1143">SUM(EF44:EM44)-EH44-EJ44</f>
        <v>7665.1750000000002</v>
      </c>
      <c r="EP44" s="201"/>
      <c r="EQ44" s="201"/>
      <c r="ER44" s="201"/>
      <c r="ES44" s="201"/>
      <c r="ET44" s="201"/>
      <c r="EU44" s="201"/>
      <c r="EV44" s="201"/>
      <c r="EW44" s="201"/>
      <c r="EX44" s="201"/>
      <c r="EY44" s="201">
        <f t="shared" ref="EY44" si="1144">+ET44+EU44+EV44</f>
        <v>0</v>
      </c>
      <c r="EZ44" s="820"/>
      <c r="FA44" s="207">
        <f t="shared" ref="FA44" si="1145">IF($M44&lt;=15,EP44/2,EP44)</f>
        <v>0</v>
      </c>
      <c r="FB44" s="207">
        <f t="shared" ref="FB44" si="1146">IF($M44&lt;=15,EQ44/2,EQ44)</f>
        <v>0</v>
      </c>
      <c r="FC44" s="207">
        <f t="shared" ref="FC44" si="1147">IF($M44&lt;=15,ER44/2,ER44)</f>
        <v>0</v>
      </c>
      <c r="FD44" s="207">
        <f t="shared" ref="FD44" si="1148">IF($M44&lt;=15,ES44/2,ES44)</f>
        <v>0</v>
      </c>
      <c r="FE44" s="207">
        <f t="shared" ref="FE44" si="1149">IF($M44&lt;=15,ET44/2,ET44)</f>
        <v>0</v>
      </c>
      <c r="FF44" s="207">
        <f t="shared" ref="FF44" si="1150">IF($M44&lt;=15,EU44/2,EU44)</f>
        <v>0</v>
      </c>
      <c r="FG44" s="207">
        <f t="shared" ref="FG44" si="1151">IF($M44&lt;=15,EV44/2,EV44)</f>
        <v>0</v>
      </c>
      <c r="FH44" s="207">
        <f t="shared" ref="FH44" si="1152">IF($M44&lt;=15,EW44/2,EW44)</f>
        <v>0</v>
      </c>
      <c r="FI44" s="207">
        <f t="shared" ref="FI44" si="1153">IF($M44&lt;=15,EX44/2,EX44)</f>
        <v>0</v>
      </c>
      <c r="FJ44" s="207">
        <f t="shared" ref="FJ44" si="1154">IF($M44&lt;=15,EY44/2,EY44)</f>
        <v>0</v>
      </c>
      <c r="FK44" s="217">
        <v>1</v>
      </c>
      <c r="FL44" s="217">
        <v>0</v>
      </c>
      <c r="FM44" s="217">
        <v>0</v>
      </c>
      <c r="FN44" s="217">
        <v>0</v>
      </c>
      <c r="FO44" s="217">
        <v>0</v>
      </c>
      <c r="FP44" s="217">
        <v>1</v>
      </c>
      <c r="FR44" s="1184">
        <f t="shared" ref="FR44" si="1155">(((J44/30/8)*1.5)*(U44+Y44+AC44))-(BD44+BM44+BV44)</f>
        <v>0</v>
      </c>
      <c r="FS44" s="1184">
        <f t="shared" ref="FS44" si="1156">(((J44/30/8)*2)*(W44+AA44+AE44))-(BF44+BO44+BX44)</f>
        <v>0</v>
      </c>
      <c r="FT44" s="1185">
        <f t="shared" ref="FT44" si="1157">(SUM(BA44:CJ44))-(SUM(EF44:EN44))</f>
        <v>0</v>
      </c>
      <c r="FU44" s="1184">
        <f t="shared" ref="FU44" si="1158">(J44/30*M44)-(EF44)</f>
        <v>0</v>
      </c>
      <c r="FV44" s="1186">
        <f t="shared" ref="FV44" si="1159">(SUM(EP44:EY44))-((SUM(FA44:FJ44))*$FV$5)</f>
        <v>0</v>
      </c>
    </row>
    <row r="45" spans="1:178" s="216" customFormat="1" ht="15" customHeight="1" outlineLevel="1">
      <c r="A45" s="1005" t="str">
        <f t="shared" si="253"/>
        <v>JUNIO  2026 2da QUINCENA</v>
      </c>
      <c r="B45" s="1005">
        <f t="shared" si="90"/>
        <v>2026</v>
      </c>
      <c r="C45" s="1006" t="str">
        <f t="shared" si="254"/>
        <v>JUNIO  2026 2da QUINCENA2026</v>
      </c>
      <c r="D45" s="235" t="str">
        <f t="shared" ref="D45" si="1160">+$G$42</f>
        <v>CONTABILIDAD</v>
      </c>
      <c r="E45" s="235">
        <v>106020</v>
      </c>
      <c r="F45" s="1252" t="e">
        <f>+#REF!+1</f>
        <v>#REF!</v>
      </c>
      <c r="G45" s="199" t="s">
        <v>677</v>
      </c>
      <c r="H45" s="200" t="s">
        <v>65</v>
      </c>
      <c r="I45" s="201" t="s">
        <v>11</v>
      </c>
      <c r="J45" s="203">
        <v>6000</v>
      </c>
      <c r="K45" s="203">
        <v>3000</v>
      </c>
      <c r="L45" s="202">
        <f t="shared" ref="L45:L46" si="1161">+J45+K45</f>
        <v>9000</v>
      </c>
      <c r="M45" s="203">
        <v>30</v>
      </c>
      <c r="N45" s="204">
        <v>0.45</v>
      </c>
      <c r="O45" s="204">
        <v>0.5</v>
      </c>
      <c r="P45" s="204">
        <v>0.05</v>
      </c>
      <c r="Q45" s="204">
        <v>0</v>
      </c>
      <c r="R45" s="819">
        <v>0</v>
      </c>
      <c r="S45" s="204">
        <f t="shared" ref="S45" si="1162">SUM(N45:R45)</f>
        <v>1</v>
      </c>
      <c r="T45" s="205"/>
      <c r="U45" s="207"/>
      <c r="V45" s="203">
        <f t="shared" ref="V45" si="1163">($J45/30/8*1.5)*U45</f>
        <v>0</v>
      </c>
      <c r="W45" s="865"/>
      <c r="X45" s="203">
        <f t="shared" ref="X45" si="1164">($J45/30/8*2)*W45</f>
        <v>0</v>
      </c>
      <c r="Y45" s="207"/>
      <c r="Z45" s="203">
        <f t="shared" ref="Z45" si="1165">($J45/30/8*1.5)*Y45</f>
        <v>0</v>
      </c>
      <c r="AA45" s="207"/>
      <c r="AB45" s="203">
        <f t="shared" ref="AB45" si="1166">($J45/30/8*2)*AA45</f>
        <v>0</v>
      </c>
      <c r="AC45" s="207">
        <v>0</v>
      </c>
      <c r="AD45" s="203">
        <f t="shared" ref="AD45" si="1167">(($J45/30/8)*1.5)*AC45</f>
        <v>0</v>
      </c>
      <c r="AE45" s="208"/>
      <c r="AF45" s="203">
        <f t="shared" ref="AF45:AF46" si="1168">(($J45/30/8)*2)*AE45</f>
        <v>0</v>
      </c>
      <c r="AG45" s="208"/>
      <c r="AH45" s="203">
        <f t="shared" ref="AH45" si="1169">(($J45/30/8)*1.5)*AG45</f>
        <v>0</v>
      </c>
      <c r="AI45" s="208"/>
      <c r="AJ45" s="203">
        <f t="shared" ref="AJ45" si="1170">(($J45/30/8)*2)*AI45</f>
        <v>0</v>
      </c>
      <c r="AK45" s="203"/>
      <c r="AL45" s="203">
        <f t="shared" ref="AL45" si="1171">(($J45/30/8)*1.5)*AK45</f>
        <v>0</v>
      </c>
      <c r="AM45" s="208"/>
      <c r="AN45" s="203">
        <f t="shared" ref="AN45" si="1172">(($J45/30/8)*2)*AM45</f>
        <v>0</v>
      </c>
      <c r="AO45" s="203"/>
      <c r="AP45" s="203"/>
      <c r="AQ45" s="203"/>
      <c r="AR45" s="203"/>
      <c r="AS45" s="203"/>
      <c r="AT45" s="203"/>
      <c r="AU45" s="203"/>
      <c r="AV45" s="203"/>
      <c r="AW45" s="203"/>
      <c r="AX45" s="203"/>
      <c r="AY45" s="203"/>
      <c r="AZ45" s="201"/>
      <c r="BA45" s="203">
        <f t="shared" ref="BA45:BA46" si="1173">((J45/30)*M45)*$N45</f>
        <v>2700</v>
      </c>
      <c r="BB45" s="203">
        <f>((K45/30)*M45)*$N45+450</f>
        <v>1800</v>
      </c>
      <c r="BC45" s="203">
        <f t="shared" ref="BC45:BC46" si="1174">U45</f>
        <v>0</v>
      </c>
      <c r="BD45" s="203">
        <f t="shared" ref="BD45:BD46" si="1175">V45</f>
        <v>0</v>
      </c>
      <c r="BE45" s="203">
        <f t="shared" ref="BE45:BE46" si="1176">W45</f>
        <v>0</v>
      </c>
      <c r="BF45" s="203">
        <f t="shared" ref="BF45:BF46" si="1177">X45</f>
        <v>0</v>
      </c>
      <c r="BG45" s="203">
        <f t="shared" ref="BG45" si="1178">AO45+AT45</f>
        <v>0</v>
      </c>
      <c r="BH45" s="203">
        <f t="shared" si="935"/>
        <v>342.09000000000003</v>
      </c>
      <c r="BI45" s="203">
        <f t="shared" ref="BI45" si="1179">SUM(BA45:BH45)-BC45-BE45</f>
        <v>4842.09</v>
      </c>
      <c r="BJ45" s="203">
        <f t="shared" si="937"/>
        <v>3000</v>
      </c>
      <c r="BK45" s="203">
        <f>(($K45/30)*$M45)*$O45+450</f>
        <v>1950</v>
      </c>
      <c r="BL45" s="203">
        <f t="shared" ref="BL45:BL46" si="1180">Y45</f>
        <v>0</v>
      </c>
      <c r="BM45" s="203">
        <f t="shared" ref="BM45:BM46" si="1181">Z45</f>
        <v>0</v>
      </c>
      <c r="BN45" s="203">
        <f t="shared" ref="BN45:BN46" si="1182">AA45</f>
        <v>0</v>
      </c>
      <c r="BO45" s="203">
        <f t="shared" ref="BO45:BO46" si="1183">AB45</f>
        <v>0</v>
      </c>
      <c r="BP45" s="203">
        <f t="shared" ref="BP45" si="1184">AP45+AU45</f>
        <v>0</v>
      </c>
      <c r="BQ45" s="203">
        <f t="shared" si="944"/>
        <v>380.1</v>
      </c>
      <c r="BR45" s="202">
        <f t="shared" ref="BR45" si="1185">SUM(BJ45:BQ45)-BL45-BN45</f>
        <v>5330.1</v>
      </c>
      <c r="BS45" s="203">
        <f t="shared" si="946"/>
        <v>300</v>
      </c>
      <c r="BT45" s="203">
        <f>(($K45/30)*$M45)*$P45+100</f>
        <v>250</v>
      </c>
      <c r="BU45" s="203">
        <f t="shared" ref="BU45:BU46" si="1186">AC45</f>
        <v>0</v>
      </c>
      <c r="BV45" s="203">
        <f t="shared" ref="BV45:BV46" si="1187">AD45</f>
        <v>0</v>
      </c>
      <c r="BW45" s="203">
        <f t="shared" ref="BW45:BW46" si="1188">AE45</f>
        <v>0</v>
      </c>
      <c r="BX45" s="203">
        <f t="shared" ref="BX45:BX46" si="1189">AF45</f>
        <v>0</v>
      </c>
      <c r="BY45" s="203">
        <f t="shared" ref="BY45" si="1190">AQ45+AV45</f>
        <v>0</v>
      </c>
      <c r="BZ45" s="203">
        <f t="shared" si="953"/>
        <v>38.010000000000005</v>
      </c>
      <c r="CA45" s="203">
        <f t="shared" ref="CA45" si="1191">SUM(BS45:BZ45)-BU45-BW45</f>
        <v>588.01</v>
      </c>
      <c r="CB45" s="241">
        <f t="shared" si="955"/>
        <v>0</v>
      </c>
      <c r="CC45" s="242">
        <f>(($K45/30)*$M45)*$Q45</f>
        <v>0</v>
      </c>
      <c r="CD45" s="242">
        <f t="shared" ref="CD45:CD46" si="1192">AG45</f>
        <v>0</v>
      </c>
      <c r="CE45" s="242">
        <f t="shared" ref="CE45:CE46" si="1193">AH45</f>
        <v>0</v>
      </c>
      <c r="CF45" s="242">
        <f t="shared" ref="CF45:CF46" si="1194">AI45</f>
        <v>0</v>
      </c>
      <c r="CG45" s="242">
        <f t="shared" ref="CG45:CG46" si="1195">AJ45</f>
        <v>0</v>
      </c>
      <c r="CH45" s="242">
        <f t="shared" ref="CH45" si="1196">AR45+AW45</f>
        <v>0</v>
      </c>
      <c r="CI45" s="703">
        <f t="shared" si="961"/>
        <v>0</v>
      </c>
      <c r="CJ45" s="242">
        <f t="shared" ref="CJ45" si="1197">SUM(CB45:CI45)-CD45-CF45</f>
        <v>0</v>
      </c>
      <c r="CK45" s="242">
        <f t="shared" ref="CK45:CK46" si="1198">(($J45/30)*$M45)*R45</f>
        <v>0</v>
      </c>
      <c r="CL45" s="242">
        <f t="shared" si="964"/>
        <v>0</v>
      </c>
      <c r="CM45" s="242">
        <f t="shared" ref="CM45" si="1199">+AK45</f>
        <v>0</v>
      </c>
      <c r="CN45" s="242">
        <f t="shared" ref="CN45:CN46" si="1200">AL45</f>
        <v>0</v>
      </c>
      <c r="CO45" s="242">
        <f t="shared" ref="CO45:CO46" si="1201">AM45</f>
        <v>0</v>
      </c>
      <c r="CP45" s="242">
        <f t="shared" ref="CP45:CP46" si="1202">AN45</f>
        <v>0</v>
      </c>
      <c r="CQ45" s="242">
        <f t="shared" ref="CQ45" si="1203">AS45+AX45</f>
        <v>0</v>
      </c>
      <c r="CR45" s="242">
        <f t="shared" ref="CR45" si="1204">(CK45+CN45+CP45)*0.1267</f>
        <v>0</v>
      </c>
      <c r="CS45" s="243">
        <f t="shared" ref="CS45" si="1205">SUM(CK45:CR45)-CM45-CO45</f>
        <v>0</v>
      </c>
      <c r="CU45" s="201" t="s">
        <v>11</v>
      </c>
      <c r="CV45" s="203">
        <f t="shared" si="972"/>
        <v>0</v>
      </c>
      <c r="CW45" s="203">
        <f t="shared" si="973"/>
        <v>0</v>
      </c>
      <c r="CX45" s="203">
        <f t="shared" si="974"/>
        <v>0</v>
      </c>
      <c r="CY45" s="203">
        <f t="shared" si="975"/>
        <v>0</v>
      </c>
      <c r="CZ45" s="203">
        <f t="shared" si="976"/>
        <v>0</v>
      </c>
      <c r="DA45" s="203">
        <f t="shared" si="977"/>
        <v>0</v>
      </c>
      <c r="DB45" s="203">
        <f t="shared" si="978"/>
        <v>0</v>
      </c>
      <c r="DC45" s="203">
        <f t="shared" ref="DC45" si="1206">IF($CU45="PROQUIMA",$BH45+$BQ45+$BZ45+$CI45+CR45,0)</f>
        <v>0</v>
      </c>
      <c r="DD45" s="203">
        <f t="shared" ref="DD45" si="1207">SUM(CV45:DC45)-CX45-CZ45</f>
        <v>0</v>
      </c>
      <c r="DE45" s="203">
        <f t="shared" si="981"/>
        <v>0</v>
      </c>
      <c r="DF45" s="203">
        <f t="shared" si="982"/>
        <v>0</v>
      </c>
      <c r="DG45" s="203">
        <f t="shared" si="983"/>
        <v>0</v>
      </c>
      <c r="DH45" s="203">
        <f t="shared" si="984"/>
        <v>0</v>
      </c>
      <c r="DI45" s="203">
        <f t="shared" si="985"/>
        <v>0</v>
      </c>
      <c r="DJ45" s="203">
        <f t="shared" si="986"/>
        <v>0</v>
      </c>
      <c r="DK45" s="203">
        <f t="shared" si="987"/>
        <v>0</v>
      </c>
      <c r="DL45" s="203">
        <f t="shared" si="988"/>
        <v>0</v>
      </c>
      <c r="DM45" s="203">
        <f t="shared" ref="DM45" si="1208">SUM(DE45:DL45)-DG45-DI45</f>
        <v>0</v>
      </c>
      <c r="DN45" s="203">
        <f t="shared" si="990"/>
        <v>0</v>
      </c>
      <c r="DO45" s="203">
        <f t="shared" si="991"/>
        <v>0</v>
      </c>
      <c r="DP45" s="203">
        <f t="shared" si="992"/>
        <v>0</v>
      </c>
      <c r="DQ45" s="203">
        <f t="shared" si="993"/>
        <v>0</v>
      </c>
      <c r="DR45" s="203">
        <f t="shared" si="994"/>
        <v>0</v>
      </c>
      <c r="DS45" s="203">
        <f t="shared" si="995"/>
        <v>0</v>
      </c>
      <c r="DT45" s="203">
        <f t="shared" si="996"/>
        <v>0</v>
      </c>
      <c r="DU45" s="203">
        <f t="shared" si="997"/>
        <v>0</v>
      </c>
      <c r="DV45" s="203">
        <f t="shared" ref="DV45" si="1209">SUM(DN45:DU45)-DP45-DR45</f>
        <v>0</v>
      </c>
      <c r="DW45" s="702">
        <f t="shared" si="1135"/>
        <v>0</v>
      </c>
      <c r="DX45" s="702">
        <f t="shared" si="1062"/>
        <v>0</v>
      </c>
      <c r="DY45" s="702">
        <f t="shared" si="1062"/>
        <v>0</v>
      </c>
      <c r="DZ45" s="702">
        <f t="shared" si="1062"/>
        <v>0</v>
      </c>
      <c r="EA45" s="702">
        <f t="shared" si="1062"/>
        <v>0</v>
      </c>
      <c r="EB45" s="702">
        <f t="shared" si="1062"/>
        <v>0</v>
      </c>
      <c r="EC45" s="702">
        <f t="shared" si="1062"/>
        <v>0</v>
      </c>
      <c r="ED45" s="702">
        <f t="shared" si="1062"/>
        <v>0</v>
      </c>
      <c r="EE45" s="242">
        <f t="shared" ref="EE45" si="1210">SUM(DW45:ED45)-DY45-EA45</f>
        <v>0</v>
      </c>
      <c r="EF45" s="203">
        <f t="shared" si="1063"/>
        <v>6000</v>
      </c>
      <c r="EG45" s="242">
        <f t="shared" si="1002"/>
        <v>4000</v>
      </c>
      <c r="EH45" s="203">
        <f t="shared" si="1003"/>
        <v>0</v>
      </c>
      <c r="EI45" s="203">
        <f t="shared" si="1004"/>
        <v>0</v>
      </c>
      <c r="EJ45" s="242">
        <f t="shared" si="1005"/>
        <v>0</v>
      </c>
      <c r="EK45" s="203">
        <f t="shared" si="1064"/>
        <v>0</v>
      </c>
      <c r="EL45" s="203">
        <f t="shared" si="1065"/>
        <v>0</v>
      </c>
      <c r="EM45" s="203">
        <f t="shared" si="1066"/>
        <v>760.2</v>
      </c>
      <c r="EN45" s="203">
        <f t="shared" si="1067"/>
        <v>10760.2</v>
      </c>
      <c r="EP45" s="201">
        <v>289.94</v>
      </c>
      <c r="EQ45" s="201"/>
      <c r="ER45" s="201"/>
      <c r="ES45" s="201"/>
      <c r="ET45" s="201"/>
      <c r="EU45" s="201"/>
      <c r="EV45" s="201">
        <v>350</v>
      </c>
      <c r="EW45" s="201"/>
      <c r="EX45" s="201"/>
      <c r="EY45" s="201">
        <f t="shared" si="1010"/>
        <v>350</v>
      </c>
      <c r="EZ45" s="820"/>
      <c r="FA45" s="207">
        <f>IF($M45&lt;=15,EP45/2,EP45)</f>
        <v>289.94</v>
      </c>
      <c r="FB45" s="207">
        <f t="shared" ref="FB45:FB46" si="1211">IF($M45&lt;=15,EQ45/2,EQ45)</f>
        <v>0</v>
      </c>
      <c r="FC45" s="207">
        <f t="shared" ref="FC45:FC46" si="1212">IF($M45&lt;=15,ER45/2,ER45)</f>
        <v>0</v>
      </c>
      <c r="FD45" s="207">
        <f t="shared" ref="FD45:FD46" si="1213">IF($M45&lt;=15,ES45/2,ES45)</f>
        <v>0</v>
      </c>
      <c r="FE45" s="207">
        <f t="shared" ref="FE45:FE46" si="1214">IF($M45&lt;=15,ET45/2,ET45)</f>
        <v>0</v>
      </c>
      <c r="FF45" s="207">
        <f t="shared" ref="FF45:FF46" si="1215">IF($M45&lt;=15,EU45/2,EU45)</f>
        <v>0</v>
      </c>
      <c r="FG45" s="207">
        <f t="shared" ref="FG45:FG46" si="1216">IF($M45&lt;=15,EV45/2,EV45)</f>
        <v>350</v>
      </c>
      <c r="FH45" s="207">
        <f t="shared" ref="FH45:FH46" si="1217">IF($M45&lt;=15,EW45/2,EW45)</f>
        <v>0</v>
      </c>
      <c r="FI45" s="207">
        <f t="shared" ref="FI45:FI46" si="1218">IF($M45&lt;=15,EX45/2,EX45)</f>
        <v>0</v>
      </c>
      <c r="FJ45" s="207">
        <f>IF($M45&lt;=15,EY45/2,EY45)</f>
        <v>350</v>
      </c>
      <c r="FK45" s="217"/>
      <c r="FL45" s="217"/>
      <c r="FM45" s="217"/>
      <c r="FN45" s="217"/>
      <c r="FO45" s="217"/>
      <c r="FP45" s="217"/>
      <c r="FR45" s="1184">
        <f t="shared" si="1078"/>
        <v>0</v>
      </c>
      <c r="FS45" s="1184">
        <f t="shared" si="1079"/>
        <v>0</v>
      </c>
      <c r="FT45" s="1185">
        <f t="shared" si="1080"/>
        <v>0</v>
      </c>
      <c r="FU45" s="1184">
        <f t="shared" si="1081"/>
        <v>0</v>
      </c>
      <c r="FV45" s="1186">
        <f t="shared" si="1082"/>
        <v>-989.94</v>
      </c>
    </row>
    <row r="46" spans="1:178" s="216" customFormat="1" ht="15" customHeight="1" outlineLevel="1">
      <c r="A46" s="1005"/>
      <c r="B46" s="1005"/>
      <c r="C46" s="1006"/>
      <c r="D46" s="235"/>
      <c r="E46" s="235">
        <v>106020</v>
      </c>
      <c r="F46" s="1252"/>
      <c r="G46" s="199" t="s">
        <v>745</v>
      </c>
      <c r="H46" s="200" t="s">
        <v>746</v>
      </c>
      <c r="I46" s="201" t="s">
        <v>11</v>
      </c>
      <c r="J46" s="203">
        <v>4002.28</v>
      </c>
      <c r="K46" s="267">
        <v>405.16</v>
      </c>
      <c r="L46" s="881">
        <f t="shared" si="1161"/>
        <v>4407.4400000000005</v>
      </c>
      <c r="M46" s="203">
        <v>30</v>
      </c>
      <c r="N46" s="204">
        <v>0.43</v>
      </c>
      <c r="O46" s="204">
        <v>0.42</v>
      </c>
      <c r="P46" s="204">
        <v>0.15</v>
      </c>
      <c r="Q46" s="204">
        <v>0</v>
      </c>
      <c r="R46" s="819">
        <v>0</v>
      </c>
      <c r="S46" s="204">
        <f>SUM(N46:R46)</f>
        <v>1</v>
      </c>
      <c r="T46" s="205"/>
      <c r="U46" s="207"/>
      <c r="V46" s="203">
        <f>($J46/30/8*1.5)*U46</f>
        <v>0</v>
      </c>
      <c r="W46" s="207"/>
      <c r="X46" s="203">
        <f>($J46/30/8*2)*W46</f>
        <v>0</v>
      </c>
      <c r="Y46" s="207"/>
      <c r="Z46" s="203">
        <f>($J46/30/8*1.5)*Y46</f>
        <v>0</v>
      </c>
      <c r="AA46" s="207"/>
      <c r="AB46" s="203">
        <f>($J46/30/8*2)*AA46</f>
        <v>0</v>
      </c>
      <c r="AC46" s="207">
        <v>0</v>
      </c>
      <c r="AD46" s="203">
        <f>(($J46/30/8)*1.5)*AC46</f>
        <v>0</v>
      </c>
      <c r="AE46" s="208"/>
      <c r="AF46" s="203">
        <f t="shared" si="1168"/>
        <v>0</v>
      </c>
      <c r="AG46" s="208"/>
      <c r="AH46" s="203">
        <f>(($J46/30/8)*1.5)*AG46</f>
        <v>0</v>
      </c>
      <c r="AI46" s="208"/>
      <c r="AJ46" s="203">
        <f>(($J46/30/8)*2)*AI46</f>
        <v>0</v>
      </c>
      <c r="AK46" s="203"/>
      <c r="AL46" s="203">
        <f>(($J46/30/8)*1.5)*AK46</f>
        <v>0</v>
      </c>
      <c r="AM46" s="208"/>
      <c r="AN46" s="203">
        <f>(($J46/30/8)*2)*AM46</f>
        <v>0</v>
      </c>
      <c r="AO46" s="203"/>
      <c r="AP46" s="203"/>
      <c r="AQ46" s="203"/>
      <c r="AR46" s="203"/>
      <c r="AS46" s="203"/>
      <c r="AT46" s="203"/>
      <c r="AU46" s="203"/>
      <c r="AV46" s="203"/>
      <c r="AW46" s="203"/>
      <c r="AX46" s="203"/>
      <c r="AY46" s="203"/>
      <c r="AZ46" s="201"/>
      <c r="BA46" s="203">
        <f t="shared" si="1173"/>
        <v>1720.9804000000001</v>
      </c>
      <c r="BB46" s="203">
        <f>((K46/30)*M46)*$N46</f>
        <v>174.21880000000002</v>
      </c>
      <c r="BC46" s="203">
        <f t="shared" si="1174"/>
        <v>0</v>
      </c>
      <c r="BD46" s="203">
        <f t="shared" si="1175"/>
        <v>0</v>
      </c>
      <c r="BE46" s="203">
        <f t="shared" si="1176"/>
        <v>0</v>
      </c>
      <c r="BF46" s="203">
        <f t="shared" si="1177"/>
        <v>0</v>
      </c>
      <c r="BG46" s="203">
        <f>AO46+AT46</f>
        <v>0</v>
      </c>
      <c r="BH46" s="203">
        <f t="shared" si="935"/>
        <v>218.04821668000002</v>
      </c>
      <c r="BI46" s="203">
        <f>SUM(BA46:BH46)-BC46-BE46</f>
        <v>2113.2474166800002</v>
      </c>
      <c r="BJ46" s="203">
        <f t="shared" si="937"/>
        <v>1680.9576</v>
      </c>
      <c r="BK46" s="203">
        <f>(($K46/30)*$M46)*$O46</f>
        <v>170.16720000000001</v>
      </c>
      <c r="BL46" s="203">
        <f t="shared" si="1180"/>
        <v>0</v>
      </c>
      <c r="BM46" s="203">
        <f t="shared" si="1181"/>
        <v>0</v>
      </c>
      <c r="BN46" s="203">
        <f t="shared" si="1182"/>
        <v>0</v>
      </c>
      <c r="BO46" s="203">
        <f t="shared" si="1183"/>
        <v>0</v>
      </c>
      <c r="BP46" s="203">
        <f>AP46+AU46</f>
        <v>0</v>
      </c>
      <c r="BQ46" s="203">
        <f t="shared" si="944"/>
        <v>212.97732791999999</v>
      </c>
      <c r="BR46" s="202">
        <f>SUM(BJ46:BQ46)-BL46-BN46</f>
        <v>2064.1021279199999</v>
      </c>
      <c r="BS46" s="203">
        <f t="shared" si="946"/>
        <v>600.34199999999998</v>
      </c>
      <c r="BT46" s="203">
        <f t="shared" si="947"/>
        <v>60.774000000000001</v>
      </c>
      <c r="BU46" s="203">
        <f t="shared" si="1186"/>
        <v>0</v>
      </c>
      <c r="BV46" s="203">
        <f t="shared" si="1187"/>
        <v>0</v>
      </c>
      <c r="BW46" s="203">
        <f t="shared" si="1188"/>
        <v>0</v>
      </c>
      <c r="BX46" s="203">
        <f t="shared" si="1189"/>
        <v>0</v>
      </c>
      <c r="BY46" s="203">
        <f>AQ46+AV46</f>
        <v>0</v>
      </c>
      <c r="BZ46" s="203">
        <f t="shared" si="953"/>
        <v>76.063331399999996</v>
      </c>
      <c r="CA46" s="203">
        <f>SUM(BS46:BZ46)-BU46-BW46</f>
        <v>737.17933140000002</v>
      </c>
      <c r="CB46" s="241">
        <f t="shared" si="955"/>
        <v>0</v>
      </c>
      <c r="CC46" s="242">
        <f t="shared" ref="CC46" si="1219">(($K46/30)*$M46)*$Q46</f>
        <v>0</v>
      </c>
      <c r="CD46" s="242">
        <f t="shared" si="1192"/>
        <v>0</v>
      </c>
      <c r="CE46" s="242">
        <f t="shared" si="1193"/>
        <v>0</v>
      </c>
      <c r="CF46" s="242">
        <f t="shared" si="1194"/>
        <v>0</v>
      </c>
      <c r="CG46" s="242">
        <f t="shared" si="1195"/>
        <v>0</v>
      </c>
      <c r="CH46" s="242">
        <f>AR46+AW46</f>
        <v>0</v>
      </c>
      <c r="CI46" s="703">
        <f t="shared" si="961"/>
        <v>0</v>
      </c>
      <c r="CJ46" s="242">
        <f>SUM(CB46:CI46)-CD46-CF46</f>
        <v>0</v>
      </c>
      <c r="CK46" s="242">
        <f t="shared" si="1198"/>
        <v>0</v>
      </c>
      <c r="CL46" s="242">
        <f t="shared" si="964"/>
        <v>0</v>
      </c>
      <c r="CM46" s="242">
        <f>+AK46</f>
        <v>0</v>
      </c>
      <c r="CN46" s="242">
        <f t="shared" si="1200"/>
        <v>0</v>
      </c>
      <c r="CO46" s="242">
        <f t="shared" si="1201"/>
        <v>0</v>
      </c>
      <c r="CP46" s="242">
        <f t="shared" si="1202"/>
        <v>0</v>
      </c>
      <c r="CQ46" s="242">
        <f>AS46+AX46</f>
        <v>0</v>
      </c>
      <c r="CR46" s="242">
        <f>(CK46+CN46+CP46)*0.1267</f>
        <v>0</v>
      </c>
      <c r="CS46" s="243">
        <f>SUM(CK46:CR46)-CM46-CO46</f>
        <v>0</v>
      </c>
      <c r="CU46" s="244" t="s">
        <v>11</v>
      </c>
      <c r="CV46" s="203">
        <f t="shared" si="972"/>
        <v>0</v>
      </c>
      <c r="CW46" s="203">
        <f t="shared" si="973"/>
        <v>0</v>
      </c>
      <c r="CX46" s="203">
        <f t="shared" si="974"/>
        <v>0</v>
      </c>
      <c r="CY46" s="203">
        <f t="shared" si="975"/>
        <v>0</v>
      </c>
      <c r="CZ46" s="203">
        <f t="shared" si="976"/>
        <v>0</v>
      </c>
      <c r="DA46" s="203">
        <f t="shared" si="977"/>
        <v>0</v>
      </c>
      <c r="DB46" s="203">
        <f t="shared" si="978"/>
        <v>0</v>
      </c>
      <c r="DC46" s="203">
        <f>IF($CU46="PROQUIMA",$BH46+$BQ46+$BZ46+$CI46+CR46,0)</f>
        <v>0</v>
      </c>
      <c r="DD46" s="203">
        <f>SUM(CV46:DC46)-CX46-CZ46</f>
        <v>0</v>
      </c>
      <c r="DE46" s="203">
        <f t="shared" si="981"/>
        <v>0</v>
      </c>
      <c r="DF46" s="203">
        <f t="shared" si="982"/>
        <v>0</v>
      </c>
      <c r="DG46" s="203">
        <f t="shared" si="983"/>
        <v>0</v>
      </c>
      <c r="DH46" s="203">
        <f t="shared" si="984"/>
        <v>0</v>
      </c>
      <c r="DI46" s="203">
        <f t="shared" si="985"/>
        <v>0</v>
      </c>
      <c r="DJ46" s="203">
        <f t="shared" si="986"/>
        <v>0</v>
      </c>
      <c r="DK46" s="203">
        <f t="shared" si="987"/>
        <v>0</v>
      </c>
      <c r="DL46" s="203">
        <f t="shared" si="988"/>
        <v>0</v>
      </c>
      <c r="DM46" s="203">
        <f>SUM(DE46:DL46)-DG46-DI46</f>
        <v>0</v>
      </c>
      <c r="DN46" s="203">
        <f t="shared" si="990"/>
        <v>0</v>
      </c>
      <c r="DO46" s="203">
        <f t="shared" si="991"/>
        <v>0</v>
      </c>
      <c r="DP46" s="203">
        <f t="shared" si="992"/>
        <v>0</v>
      </c>
      <c r="DQ46" s="203">
        <f t="shared" si="993"/>
        <v>0</v>
      </c>
      <c r="DR46" s="203">
        <f t="shared" si="994"/>
        <v>0</v>
      </c>
      <c r="DS46" s="203">
        <f t="shared" si="995"/>
        <v>0</v>
      </c>
      <c r="DT46" s="203">
        <f t="shared" si="996"/>
        <v>0</v>
      </c>
      <c r="DU46" s="203">
        <f t="shared" si="997"/>
        <v>0</v>
      </c>
      <c r="DV46" s="203">
        <f>SUM(DN46:DU46)-DP46-DR46</f>
        <v>0</v>
      </c>
      <c r="DW46" s="795">
        <f t="shared" si="1135"/>
        <v>0</v>
      </c>
      <c r="DX46" s="795">
        <f t="shared" si="1062"/>
        <v>0</v>
      </c>
      <c r="DY46" s="795">
        <f t="shared" si="1062"/>
        <v>0</v>
      </c>
      <c r="DZ46" s="795">
        <f t="shared" si="1062"/>
        <v>0</v>
      </c>
      <c r="EA46" s="795">
        <f t="shared" si="1062"/>
        <v>0</v>
      </c>
      <c r="EB46" s="795">
        <f t="shared" si="1062"/>
        <v>0</v>
      </c>
      <c r="EC46" s="795">
        <f t="shared" si="1062"/>
        <v>0</v>
      </c>
      <c r="ED46" s="795">
        <f t="shared" si="1062"/>
        <v>0</v>
      </c>
      <c r="EE46" s="242">
        <f>SUM(DW46:ED46)-DY46-EA46</f>
        <v>0</v>
      </c>
      <c r="EF46" s="203">
        <f t="shared" ref="EF46" si="1220">IF(CU46="ECONACIONAL",$BA46+$BJ46+$BS46+$CB46+$CK46)</f>
        <v>4002.28</v>
      </c>
      <c r="EG46" s="242">
        <f t="shared" si="1002"/>
        <v>405.16</v>
      </c>
      <c r="EH46" s="203">
        <f t="shared" ref="EH46" si="1221">IF(CU46="ECONACIONAL",$BC46+$BL46+$BU46+$CD46+$CM46)</f>
        <v>0</v>
      </c>
      <c r="EI46" s="203">
        <f t="shared" ref="EI46" si="1222">IF(CU46="ECONACIONAL",$BD46+$DH46+$DQ46+$DZ46+BM46+BV46+CE46+CN46)</f>
        <v>0</v>
      </c>
      <c r="EJ46" s="242">
        <f t="shared" si="1005"/>
        <v>0</v>
      </c>
      <c r="EK46" s="203">
        <f t="shared" ref="EK46" si="1223">IF(CU46="ECONACIONAL",$BF46+$BO46+$BX46+$CG46+$CP46)</f>
        <v>0</v>
      </c>
      <c r="EL46" s="203">
        <f t="shared" ref="EL46" si="1224">IF(CU46="ECONACIONAL",$BG46+$BP46+$BY46+$CH46+$CQ46)</f>
        <v>0</v>
      </c>
      <c r="EM46" s="203">
        <f t="shared" ref="EM46" si="1225">IF(CU46="ECONACIONAL",BH46+BQ46+BZ46+CI46+CR46)</f>
        <v>507.08887599999997</v>
      </c>
      <c r="EN46" s="203">
        <f t="shared" ref="EN46" si="1226">SUM(EF46:EM46)-EH46-EJ46</f>
        <v>4914.5288760000003</v>
      </c>
      <c r="EP46" s="201"/>
      <c r="EQ46" s="201"/>
      <c r="ER46" s="201"/>
      <c r="ES46" s="201"/>
      <c r="ET46" s="201"/>
      <c r="EU46" s="244"/>
      <c r="EV46" s="201"/>
      <c r="EW46" s="201"/>
      <c r="EX46" s="201"/>
      <c r="EY46" s="201">
        <f t="shared" ref="EY46" si="1227">+ET46+EU46+EV46</f>
        <v>0</v>
      </c>
      <c r="EZ46" s="820"/>
      <c r="FA46" s="207">
        <f t="shared" ref="FA46" si="1228">IF($M46&lt;=15,EP46/2,EP46)</f>
        <v>0</v>
      </c>
      <c r="FB46" s="207">
        <f t="shared" si="1211"/>
        <v>0</v>
      </c>
      <c r="FC46" s="207">
        <f t="shared" si="1212"/>
        <v>0</v>
      </c>
      <c r="FD46" s="207">
        <f t="shared" si="1213"/>
        <v>0</v>
      </c>
      <c r="FE46" s="207">
        <f t="shared" si="1214"/>
        <v>0</v>
      </c>
      <c r="FF46" s="207">
        <f t="shared" si="1215"/>
        <v>0</v>
      </c>
      <c r="FG46" s="207">
        <f t="shared" si="1216"/>
        <v>0</v>
      </c>
      <c r="FH46" s="207">
        <f t="shared" si="1217"/>
        <v>0</v>
      </c>
      <c r="FI46" s="207">
        <f t="shared" si="1218"/>
        <v>0</v>
      </c>
      <c r="FJ46" s="207">
        <f t="shared" ref="FJ46" si="1229">IF($M46&lt;=15,EY46/2,EY46)</f>
        <v>0</v>
      </c>
      <c r="FK46" s="217"/>
      <c r="FL46" s="217"/>
      <c r="FM46" s="217"/>
      <c r="FN46" s="217"/>
      <c r="FO46" s="217"/>
      <c r="FP46" s="217"/>
      <c r="FR46" s="1177">
        <f t="shared" ref="FR46" si="1230">(((J46/30/8)*1.5)*(U46+Y46+AC46))-(BD46+BM46+BV46)</f>
        <v>0</v>
      </c>
      <c r="FS46" s="1177">
        <f t="shared" ref="FS46" si="1231">(((J46/30/8)*2)*(W46+AA46+AE46))-(BF46+BO46+BX46)</f>
        <v>0</v>
      </c>
      <c r="FT46" s="1178">
        <f t="shared" ref="FT46" si="1232">(SUM(BA46:CJ46))-(SUM(EF46:EN46))</f>
        <v>0</v>
      </c>
      <c r="FU46" s="1177">
        <f t="shared" ref="FU46" si="1233">(J46/30*M46)-(EF46)</f>
        <v>0</v>
      </c>
      <c r="FV46" s="1181">
        <f t="shared" ref="FV46" si="1234">(SUM(EP46:EY46))-((SUM(FA46:FJ46))*$FV$5)</f>
        <v>0</v>
      </c>
    </row>
    <row r="47" spans="1:178" s="216" customFormat="1" ht="15" customHeight="1" outlineLevel="1">
      <c r="A47" s="1005"/>
      <c r="B47" s="1005"/>
      <c r="C47" s="1006"/>
      <c r="D47" s="776"/>
      <c r="E47" s="776"/>
      <c r="F47" s="1188"/>
      <c r="G47" s="199"/>
      <c r="H47" s="200"/>
      <c r="I47" s="201"/>
      <c r="J47" s="203"/>
      <c r="K47" s="267"/>
      <c r="L47" s="881"/>
      <c r="M47" s="203"/>
      <c r="N47" s="204"/>
      <c r="O47" s="204"/>
      <c r="P47" s="204"/>
      <c r="Q47" s="204"/>
      <c r="R47" s="819"/>
      <c r="S47" s="204"/>
      <c r="T47" s="205"/>
      <c r="U47" s="207"/>
      <c r="V47" s="203"/>
      <c r="W47" s="207"/>
      <c r="X47" s="203"/>
      <c r="Y47" s="207"/>
      <c r="Z47" s="203"/>
      <c r="AA47" s="207"/>
      <c r="AB47" s="203"/>
      <c r="AC47" s="207"/>
      <c r="AD47" s="203"/>
      <c r="AE47" s="208"/>
      <c r="AF47" s="203"/>
      <c r="AG47" s="208"/>
      <c r="AH47" s="203"/>
      <c r="AI47" s="208"/>
      <c r="AJ47" s="203"/>
      <c r="AK47" s="203"/>
      <c r="AL47" s="203"/>
      <c r="AM47" s="208"/>
      <c r="AN47" s="203"/>
      <c r="AO47" s="203"/>
      <c r="AP47" s="203"/>
      <c r="AQ47" s="203"/>
      <c r="AR47" s="203"/>
      <c r="AS47" s="203"/>
      <c r="AT47" s="203"/>
      <c r="AU47" s="203"/>
      <c r="AV47" s="203"/>
      <c r="AW47" s="203"/>
      <c r="AX47" s="203"/>
      <c r="AY47" s="203"/>
      <c r="AZ47" s="201"/>
      <c r="BA47" s="203"/>
      <c r="BB47" s="203"/>
      <c r="BC47" s="203"/>
      <c r="BD47" s="203"/>
      <c r="BE47" s="203"/>
      <c r="BF47" s="203"/>
      <c r="BG47" s="203"/>
      <c r="BH47" s="203"/>
      <c r="BI47" s="203"/>
      <c r="BJ47" s="203"/>
      <c r="BK47" s="203"/>
      <c r="BL47" s="203"/>
      <c r="BM47" s="203"/>
      <c r="BN47" s="203"/>
      <c r="BO47" s="203"/>
      <c r="BP47" s="203"/>
      <c r="BQ47" s="203"/>
      <c r="BR47" s="202"/>
      <c r="BS47" s="203"/>
      <c r="BT47" s="203"/>
      <c r="BU47" s="203"/>
      <c r="BV47" s="203"/>
      <c r="BW47" s="203"/>
      <c r="BX47" s="203"/>
      <c r="BY47" s="203"/>
      <c r="BZ47" s="203"/>
      <c r="CA47" s="203"/>
      <c r="CB47" s="241"/>
      <c r="CC47" s="242"/>
      <c r="CD47" s="242"/>
      <c r="CE47" s="242"/>
      <c r="CF47" s="242"/>
      <c r="CG47" s="242"/>
      <c r="CH47" s="242"/>
      <c r="CI47" s="242"/>
      <c r="CJ47" s="242"/>
      <c r="CK47" s="242"/>
      <c r="CL47" s="242"/>
      <c r="CM47" s="242"/>
      <c r="CN47" s="242"/>
      <c r="CO47" s="242"/>
      <c r="CP47" s="242"/>
      <c r="CQ47" s="242"/>
      <c r="CR47" s="242"/>
      <c r="CS47" s="243"/>
      <c r="CU47" s="244"/>
      <c r="CV47" s="203"/>
      <c r="CW47" s="203"/>
      <c r="CX47" s="203"/>
      <c r="CY47" s="203"/>
      <c r="CZ47" s="203"/>
      <c r="DA47" s="203"/>
      <c r="DB47" s="203"/>
      <c r="DC47" s="203"/>
      <c r="DD47" s="203"/>
      <c r="DE47" s="203"/>
      <c r="DF47" s="203"/>
      <c r="DG47" s="203"/>
      <c r="DH47" s="203"/>
      <c r="DI47" s="203"/>
      <c r="DJ47" s="203"/>
      <c r="DK47" s="203"/>
      <c r="DL47" s="203"/>
      <c r="DM47" s="203"/>
      <c r="DN47" s="203"/>
      <c r="DO47" s="203"/>
      <c r="DP47" s="203"/>
      <c r="DQ47" s="203"/>
      <c r="DR47" s="203"/>
      <c r="DS47" s="203"/>
      <c r="DT47" s="203"/>
      <c r="DU47" s="203"/>
      <c r="DV47" s="203"/>
      <c r="DW47" s="795"/>
      <c r="DX47" s="795"/>
      <c r="DY47" s="795"/>
      <c r="DZ47" s="795"/>
      <c r="EA47" s="795"/>
      <c r="EB47" s="795"/>
      <c r="EC47" s="795"/>
      <c r="ED47" s="795"/>
      <c r="EE47" s="242"/>
      <c r="EF47" s="203"/>
      <c r="EG47" s="242"/>
      <c r="EH47" s="203"/>
      <c r="EI47" s="203"/>
      <c r="EJ47" s="242"/>
      <c r="EK47" s="203"/>
      <c r="EL47" s="203"/>
      <c r="EM47" s="203"/>
      <c r="EN47" s="203"/>
      <c r="EP47" s="1192"/>
      <c r="EQ47" s="201"/>
      <c r="ER47" s="201"/>
      <c r="ES47" s="201"/>
      <c r="ET47" s="201"/>
      <c r="EU47" s="244"/>
      <c r="EV47" s="201"/>
      <c r="EW47" s="201"/>
      <c r="EX47" s="201"/>
      <c r="EY47" s="201"/>
      <c r="EZ47" s="820"/>
      <c r="FA47" s="207"/>
      <c r="FB47" s="207"/>
      <c r="FC47" s="207"/>
      <c r="FD47" s="207"/>
      <c r="FE47" s="207"/>
      <c r="FF47" s="207"/>
      <c r="FG47" s="207"/>
      <c r="FH47" s="207"/>
      <c r="FI47" s="207"/>
      <c r="FJ47" s="207"/>
      <c r="FK47" s="217"/>
      <c r="FL47" s="217"/>
      <c r="FM47" s="217"/>
      <c r="FN47" s="217"/>
      <c r="FO47" s="217"/>
      <c r="FP47" s="217"/>
      <c r="FR47" s="1177"/>
      <c r="FS47" s="1177"/>
      <c r="FT47" s="1178"/>
      <c r="FU47" s="1177"/>
      <c r="FV47" s="1181"/>
    </row>
    <row r="48" spans="1:178" s="778" customFormat="1" ht="15.75" customHeight="1" outlineLevel="1">
      <c r="A48" s="1005" t="s">
        <v>52</v>
      </c>
      <c r="B48" s="1005" t="s">
        <v>52</v>
      </c>
      <c r="C48" s="1006" t="s">
        <v>52</v>
      </c>
      <c r="D48" s="776"/>
      <c r="E48" s="776"/>
      <c r="F48" s="776"/>
      <c r="G48" s="723"/>
      <c r="H48" s="717" t="s">
        <v>131</v>
      </c>
      <c r="J48" s="868">
        <f>SUM(J41:J47)</f>
        <v>45752.28</v>
      </c>
      <c r="K48" s="868">
        <f>SUM(K41:K47)</f>
        <v>13955.16</v>
      </c>
      <c r="L48" s="868">
        <f>SUM(L41:L47)</f>
        <v>59707.44</v>
      </c>
      <c r="M48" s="822" t="s">
        <v>52</v>
      </c>
      <c r="N48" s="798"/>
      <c r="O48" s="798"/>
      <c r="P48" s="798"/>
      <c r="Q48" s="798"/>
      <c r="R48" s="798"/>
      <c r="S48" s="798"/>
      <c r="T48" s="780"/>
      <c r="U48" s="868">
        <f t="shared" ref="U48:AZ48" si="1235">SUM(U41:U47)</f>
        <v>0</v>
      </c>
      <c r="V48" s="868">
        <f t="shared" si="1235"/>
        <v>0</v>
      </c>
      <c r="W48" s="868">
        <f t="shared" si="1235"/>
        <v>0</v>
      </c>
      <c r="X48" s="868">
        <f t="shared" si="1235"/>
        <v>0</v>
      </c>
      <c r="Y48" s="868">
        <f t="shared" si="1235"/>
        <v>0</v>
      </c>
      <c r="Z48" s="868">
        <f t="shared" si="1235"/>
        <v>0</v>
      </c>
      <c r="AA48" s="868">
        <f t="shared" si="1235"/>
        <v>0</v>
      </c>
      <c r="AB48" s="868">
        <f t="shared" si="1235"/>
        <v>0</v>
      </c>
      <c r="AC48" s="868">
        <f t="shared" si="1235"/>
        <v>0</v>
      </c>
      <c r="AD48" s="868">
        <f t="shared" si="1235"/>
        <v>0</v>
      </c>
      <c r="AE48" s="868">
        <f t="shared" si="1235"/>
        <v>0</v>
      </c>
      <c r="AF48" s="868">
        <f t="shared" si="1235"/>
        <v>0</v>
      </c>
      <c r="AG48" s="868">
        <f t="shared" si="1235"/>
        <v>0</v>
      </c>
      <c r="AH48" s="868">
        <f t="shared" si="1235"/>
        <v>0</v>
      </c>
      <c r="AI48" s="868">
        <f t="shared" si="1235"/>
        <v>0</v>
      </c>
      <c r="AJ48" s="868">
        <f t="shared" si="1235"/>
        <v>0</v>
      </c>
      <c r="AK48" s="868">
        <f t="shared" si="1235"/>
        <v>0</v>
      </c>
      <c r="AL48" s="868">
        <f t="shared" si="1235"/>
        <v>0</v>
      </c>
      <c r="AM48" s="868">
        <f t="shared" si="1235"/>
        <v>0</v>
      </c>
      <c r="AN48" s="868">
        <f t="shared" si="1235"/>
        <v>0</v>
      </c>
      <c r="AO48" s="868">
        <f t="shared" si="1235"/>
        <v>0</v>
      </c>
      <c r="AP48" s="868">
        <f t="shared" si="1235"/>
        <v>0</v>
      </c>
      <c r="AQ48" s="868">
        <f t="shared" si="1235"/>
        <v>0</v>
      </c>
      <c r="AR48" s="868">
        <f t="shared" si="1235"/>
        <v>0</v>
      </c>
      <c r="AS48" s="868">
        <f t="shared" si="1235"/>
        <v>0</v>
      </c>
      <c r="AT48" s="868">
        <f t="shared" si="1235"/>
        <v>0</v>
      </c>
      <c r="AU48" s="868">
        <f t="shared" si="1235"/>
        <v>0</v>
      </c>
      <c r="AV48" s="868">
        <f t="shared" si="1235"/>
        <v>0</v>
      </c>
      <c r="AW48" s="868">
        <f t="shared" si="1235"/>
        <v>0</v>
      </c>
      <c r="AX48" s="868">
        <f t="shared" si="1235"/>
        <v>0</v>
      </c>
      <c r="AY48" s="868">
        <f t="shared" si="1235"/>
        <v>0</v>
      </c>
      <c r="AZ48" s="868">
        <f t="shared" si="1235"/>
        <v>0</v>
      </c>
      <c r="BA48" s="868">
        <f t="shared" ref="BA48:CF48" si="1236">SUM(BA41:BA47)</f>
        <v>22030.9804</v>
      </c>
      <c r="BB48" s="868">
        <f t="shared" si="1236"/>
        <v>7025.2187999999996</v>
      </c>
      <c r="BC48" s="868">
        <f t="shared" si="1236"/>
        <v>0</v>
      </c>
      <c r="BD48" s="868">
        <f t="shared" si="1236"/>
        <v>0</v>
      </c>
      <c r="BE48" s="868">
        <f t="shared" si="1236"/>
        <v>0</v>
      </c>
      <c r="BF48" s="868">
        <f t="shared" si="1236"/>
        <v>0</v>
      </c>
      <c r="BG48" s="868">
        <f t="shared" si="1236"/>
        <v>0</v>
      </c>
      <c r="BH48" s="868">
        <f t="shared" si="1236"/>
        <v>2791.3252166800003</v>
      </c>
      <c r="BI48" s="868">
        <f t="shared" si="1236"/>
        <v>31847.524416679997</v>
      </c>
      <c r="BJ48" s="868">
        <f t="shared" si="1236"/>
        <v>15130.9576</v>
      </c>
      <c r="BK48" s="868">
        <f t="shared" si="1236"/>
        <v>5180.1671999999999</v>
      </c>
      <c r="BL48" s="868">
        <f t="shared" si="1236"/>
        <v>0</v>
      </c>
      <c r="BM48" s="868">
        <f t="shared" si="1236"/>
        <v>0</v>
      </c>
      <c r="BN48" s="868">
        <f t="shared" si="1236"/>
        <v>0</v>
      </c>
      <c r="BO48" s="868">
        <f t="shared" si="1236"/>
        <v>0</v>
      </c>
      <c r="BP48" s="868">
        <f t="shared" si="1236"/>
        <v>0</v>
      </c>
      <c r="BQ48" s="868">
        <f t="shared" si="1236"/>
        <v>1917.0923279200001</v>
      </c>
      <c r="BR48" s="868">
        <f t="shared" si="1236"/>
        <v>22228.217127919997</v>
      </c>
      <c r="BS48" s="868">
        <f t="shared" si="1236"/>
        <v>2015.3420000000001</v>
      </c>
      <c r="BT48" s="868">
        <f t="shared" si="1236"/>
        <v>644.774</v>
      </c>
      <c r="BU48" s="868">
        <f t="shared" si="1236"/>
        <v>0</v>
      </c>
      <c r="BV48" s="868">
        <f t="shared" si="1236"/>
        <v>0</v>
      </c>
      <c r="BW48" s="868">
        <f t="shared" si="1236"/>
        <v>0</v>
      </c>
      <c r="BX48" s="868">
        <f t="shared" si="1236"/>
        <v>0</v>
      </c>
      <c r="BY48" s="868">
        <f t="shared" si="1236"/>
        <v>0</v>
      </c>
      <c r="BZ48" s="868">
        <f t="shared" si="1236"/>
        <v>255.3438314</v>
      </c>
      <c r="CA48" s="868">
        <f t="shared" si="1236"/>
        <v>2915.4598314</v>
      </c>
      <c r="CB48" s="868">
        <f t="shared" si="1236"/>
        <v>6575</v>
      </c>
      <c r="CC48" s="868">
        <f t="shared" si="1236"/>
        <v>2105</v>
      </c>
      <c r="CD48" s="868">
        <f t="shared" si="1236"/>
        <v>0</v>
      </c>
      <c r="CE48" s="868">
        <f t="shared" si="1236"/>
        <v>0</v>
      </c>
      <c r="CF48" s="868">
        <f t="shared" si="1236"/>
        <v>0</v>
      </c>
      <c r="CG48" s="868">
        <f t="shared" ref="CG48:DL48" si="1237">SUM(CG41:CG47)</f>
        <v>0</v>
      </c>
      <c r="CH48" s="868">
        <f t="shared" si="1237"/>
        <v>0</v>
      </c>
      <c r="CI48" s="868">
        <f t="shared" si="1237"/>
        <v>833.05250000000001</v>
      </c>
      <c r="CJ48" s="868">
        <f t="shared" si="1237"/>
        <v>9513.0524999999998</v>
      </c>
      <c r="CK48" s="868">
        <f t="shared" si="1237"/>
        <v>0</v>
      </c>
      <c r="CL48" s="868">
        <f t="shared" si="1237"/>
        <v>0</v>
      </c>
      <c r="CM48" s="868">
        <f t="shared" si="1237"/>
        <v>0</v>
      </c>
      <c r="CN48" s="868">
        <f t="shared" si="1237"/>
        <v>0</v>
      </c>
      <c r="CO48" s="868">
        <f t="shared" si="1237"/>
        <v>0</v>
      </c>
      <c r="CP48" s="868">
        <f t="shared" si="1237"/>
        <v>0</v>
      </c>
      <c r="CQ48" s="868">
        <f t="shared" si="1237"/>
        <v>0</v>
      </c>
      <c r="CR48" s="868">
        <f t="shared" si="1237"/>
        <v>0</v>
      </c>
      <c r="CS48" s="868">
        <f t="shared" si="1237"/>
        <v>0</v>
      </c>
      <c r="CT48" s="868">
        <f t="shared" si="1237"/>
        <v>0</v>
      </c>
      <c r="CU48" s="868">
        <f t="shared" si="1237"/>
        <v>0</v>
      </c>
      <c r="CV48" s="868">
        <f t="shared" si="1237"/>
        <v>0</v>
      </c>
      <c r="CW48" s="868">
        <f t="shared" si="1237"/>
        <v>0</v>
      </c>
      <c r="CX48" s="868">
        <f t="shared" si="1237"/>
        <v>0</v>
      </c>
      <c r="CY48" s="868">
        <f t="shared" si="1237"/>
        <v>0</v>
      </c>
      <c r="CZ48" s="868">
        <f t="shared" si="1237"/>
        <v>0</v>
      </c>
      <c r="DA48" s="868">
        <f t="shared" si="1237"/>
        <v>0</v>
      </c>
      <c r="DB48" s="868">
        <f t="shared" si="1237"/>
        <v>0</v>
      </c>
      <c r="DC48" s="868">
        <f t="shared" si="1237"/>
        <v>0</v>
      </c>
      <c r="DD48" s="868">
        <f t="shared" si="1237"/>
        <v>0</v>
      </c>
      <c r="DE48" s="868">
        <f t="shared" si="1237"/>
        <v>0</v>
      </c>
      <c r="DF48" s="868">
        <f t="shared" si="1237"/>
        <v>0</v>
      </c>
      <c r="DG48" s="868">
        <f t="shared" si="1237"/>
        <v>0</v>
      </c>
      <c r="DH48" s="868">
        <f t="shared" si="1237"/>
        <v>0</v>
      </c>
      <c r="DI48" s="868">
        <f t="shared" si="1237"/>
        <v>0</v>
      </c>
      <c r="DJ48" s="868">
        <f t="shared" si="1237"/>
        <v>0</v>
      </c>
      <c r="DK48" s="868">
        <f t="shared" si="1237"/>
        <v>0</v>
      </c>
      <c r="DL48" s="868">
        <f t="shared" si="1237"/>
        <v>0</v>
      </c>
      <c r="DM48" s="868">
        <f t="shared" ref="DM48:EN48" si="1238">SUM(DM41:DM47)</f>
        <v>0</v>
      </c>
      <c r="DN48" s="868">
        <f t="shared" si="1238"/>
        <v>0</v>
      </c>
      <c r="DO48" s="868">
        <f t="shared" si="1238"/>
        <v>0</v>
      </c>
      <c r="DP48" s="868">
        <f t="shared" si="1238"/>
        <v>0</v>
      </c>
      <c r="DQ48" s="868">
        <f t="shared" si="1238"/>
        <v>0</v>
      </c>
      <c r="DR48" s="868">
        <f t="shared" si="1238"/>
        <v>0</v>
      </c>
      <c r="DS48" s="868">
        <f t="shared" si="1238"/>
        <v>0</v>
      </c>
      <c r="DT48" s="868">
        <f t="shared" si="1238"/>
        <v>0</v>
      </c>
      <c r="DU48" s="868">
        <f t="shared" si="1238"/>
        <v>0</v>
      </c>
      <c r="DV48" s="868">
        <f t="shared" si="1238"/>
        <v>0</v>
      </c>
      <c r="DW48" s="868">
        <f t="shared" si="1238"/>
        <v>0</v>
      </c>
      <c r="DX48" s="868">
        <f t="shared" si="1238"/>
        <v>0</v>
      </c>
      <c r="DY48" s="868">
        <f t="shared" si="1238"/>
        <v>0</v>
      </c>
      <c r="DZ48" s="868">
        <f t="shared" si="1238"/>
        <v>0</v>
      </c>
      <c r="EA48" s="868">
        <f t="shared" si="1238"/>
        <v>0</v>
      </c>
      <c r="EB48" s="868">
        <f t="shared" si="1238"/>
        <v>0</v>
      </c>
      <c r="EC48" s="868">
        <f t="shared" si="1238"/>
        <v>0</v>
      </c>
      <c r="ED48" s="868">
        <f t="shared" si="1238"/>
        <v>0</v>
      </c>
      <c r="EE48" s="868">
        <f t="shared" si="1238"/>
        <v>0</v>
      </c>
      <c r="EF48" s="868">
        <f t="shared" si="1238"/>
        <v>45752.28</v>
      </c>
      <c r="EG48" s="868">
        <f t="shared" si="1238"/>
        <v>14955.16</v>
      </c>
      <c r="EH48" s="868">
        <f t="shared" si="1238"/>
        <v>0</v>
      </c>
      <c r="EI48" s="868">
        <f t="shared" si="1238"/>
        <v>0</v>
      </c>
      <c r="EJ48" s="868">
        <f t="shared" si="1238"/>
        <v>0</v>
      </c>
      <c r="EK48" s="868">
        <f t="shared" si="1238"/>
        <v>0</v>
      </c>
      <c r="EL48" s="868">
        <f t="shared" si="1238"/>
        <v>0</v>
      </c>
      <c r="EM48" s="868">
        <f t="shared" si="1238"/>
        <v>5796.8138760000002</v>
      </c>
      <c r="EN48" s="868">
        <f t="shared" si="1238"/>
        <v>66504.253876000002</v>
      </c>
      <c r="EO48" s="868"/>
      <c r="EP48" s="868">
        <f t="shared" ref="EP48:EY48" si="1239">SUM(EP41:EP47)</f>
        <v>1792.5500000000002</v>
      </c>
      <c r="EQ48" s="868">
        <f t="shared" si="1239"/>
        <v>9519.84</v>
      </c>
      <c r="ER48" s="868">
        <f t="shared" si="1239"/>
        <v>200</v>
      </c>
      <c r="ES48" s="868">
        <f t="shared" si="1239"/>
        <v>0</v>
      </c>
      <c r="ET48" s="868">
        <f t="shared" si="1239"/>
        <v>0</v>
      </c>
      <c r="EU48" s="868">
        <f t="shared" si="1239"/>
        <v>0</v>
      </c>
      <c r="EV48" s="868">
        <f t="shared" si="1239"/>
        <v>1418</v>
      </c>
      <c r="EW48" s="868">
        <f t="shared" si="1239"/>
        <v>0</v>
      </c>
      <c r="EX48" s="868">
        <f t="shared" si="1239"/>
        <v>0</v>
      </c>
      <c r="EY48" s="868">
        <f t="shared" si="1239"/>
        <v>1418</v>
      </c>
      <c r="EZ48" s="868"/>
      <c r="FA48" s="868">
        <f t="shared" ref="FA48:FJ48" si="1240">SUM(FA41:FA47)</f>
        <v>1792.5500000000002</v>
      </c>
      <c r="FB48" s="868">
        <f t="shared" si="1240"/>
        <v>9519.84</v>
      </c>
      <c r="FC48" s="868">
        <f t="shared" si="1240"/>
        <v>200</v>
      </c>
      <c r="FD48" s="868">
        <f t="shared" si="1240"/>
        <v>0</v>
      </c>
      <c r="FE48" s="868">
        <f t="shared" si="1240"/>
        <v>0</v>
      </c>
      <c r="FF48" s="868">
        <f t="shared" si="1240"/>
        <v>0</v>
      </c>
      <c r="FG48" s="868">
        <f t="shared" si="1240"/>
        <v>1418</v>
      </c>
      <c r="FH48" s="868">
        <f t="shared" si="1240"/>
        <v>0</v>
      </c>
      <c r="FI48" s="868">
        <f t="shared" si="1240"/>
        <v>0</v>
      </c>
      <c r="FJ48" s="868">
        <f t="shared" si="1240"/>
        <v>1418</v>
      </c>
      <c r="FK48" s="799"/>
      <c r="FL48" s="799"/>
      <c r="FM48" s="799"/>
      <c r="FN48" s="799"/>
      <c r="FO48" s="799"/>
      <c r="FP48" s="799"/>
    </row>
    <row r="49" spans="1:178" s="778" customFormat="1" ht="15.75" customHeight="1" outlineLevel="1">
      <c r="A49" s="1005" t="str">
        <f t="shared" si="253"/>
        <v>JUNIO  2026 2da QUINCENA</v>
      </c>
      <c r="B49" s="1005">
        <f t="shared" si="90"/>
        <v>2026</v>
      </c>
      <c r="C49" s="1006" t="str">
        <f t="shared" si="254"/>
        <v>JUNIO  2026 2da QUINCENA2026</v>
      </c>
      <c r="D49" s="776"/>
      <c r="E49" s="235">
        <v>106030</v>
      </c>
      <c r="F49" s="776"/>
      <c r="G49" s="779" t="s">
        <v>709</v>
      </c>
      <c r="H49" s="717"/>
      <c r="J49" s="868"/>
      <c r="K49" s="868"/>
      <c r="L49" s="868"/>
      <c r="M49" s="822"/>
      <c r="N49" s="798"/>
      <c r="O49" s="798"/>
      <c r="P49" s="798"/>
      <c r="Q49" s="798"/>
      <c r="R49" s="798"/>
      <c r="S49" s="798"/>
      <c r="T49" s="780"/>
      <c r="U49" s="814"/>
      <c r="V49" s="814"/>
      <c r="W49" s="814"/>
      <c r="X49" s="814"/>
      <c r="Y49" s="814"/>
      <c r="Z49" s="814"/>
      <c r="AA49" s="814"/>
      <c r="AB49" s="814"/>
      <c r="AC49" s="814"/>
      <c r="AD49" s="814"/>
      <c r="AE49" s="814"/>
      <c r="AF49" s="814"/>
      <c r="AG49" s="814"/>
      <c r="AH49" s="814"/>
      <c r="AI49" s="814"/>
      <c r="AJ49" s="814"/>
      <c r="AK49" s="814"/>
      <c r="AL49" s="814"/>
      <c r="AM49" s="814"/>
      <c r="AN49" s="814"/>
      <c r="AO49" s="814"/>
      <c r="AP49" s="814"/>
      <c r="AQ49" s="814"/>
      <c r="AR49" s="814"/>
      <c r="AS49" s="814"/>
      <c r="AT49" s="814"/>
      <c r="AU49" s="814"/>
      <c r="AV49" s="814"/>
      <c r="AW49" s="814"/>
      <c r="AX49" s="814"/>
      <c r="AY49" s="800"/>
      <c r="AZ49" s="776"/>
      <c r="BA49" s="814"/>
      <c r="BB49" s="814"/>
      <c r="BC49" s="814"/>
      <c r="BD49" s="814"/>
      <c r="BE49" s="814"/>
      <c r="BF49" s="814"/>
      <c r="BG49" s="814"/>
      <c r="BH49" s="814"/>
      <c r="BI49" s="814"/>
      <c r="BJ49" s="814"/>
      <c r="BK49" s="814"/>
      <c r="BL49" s="814"/>
      <c r="BM49" s="814"/>
      <c r="BN49" s="814"/>
      <c r="BO49" s="814"/>
      <c r="BP49" s="814"/>
      <c r="BQ49" s="814"/>
      <c r="BR49" s="814"/>
      <c r="BS49" s="814"/>
      <c r="BT49" s="814"/>
      <c r="BU49" s="814"/>
      <c r="BV49" s="814"/>
      <c r="BW49" s="814"/>
      <c r="BX49" s="814"/>
      <c r="BY49" s="814"/>
      <c r="BZ49" s="814"/>
      <c r="CA49" s="814"/>
      <c r="CB49" s="822"/>
      <c r="CC49" s="822"/>
      <c r="CD49" s="822"/>
      <c r="CE49" s="822"/>
      <c r="CF49" s="822"/>
      <c r="CG49" s="822"/>
      <c r="CH49" s="822"/>
      <c r="CI49" s="822"/>
      <c r="CJ49" s="822"/>
      <c r="CK49" s="822"/>
      <c r="CL49" s="822"/>
      <c r="CM49" s="822"/>
      <c r="CN49" s="822"/>
      <c r="CO49" s="822"/>
      <c r="CP49" s="822"/>
      <c r="CQ49" s="822"/>
      <c r="CR49" s="822"/>
      <c r="CS49" s="822"/>
      <c r="CV49" s="814"/>
      <c r="CW49" s="814"/>
      <c r="CX49" s="814"/>
      <c r="CY49" s="814"/>
      <c r="CZ49" s="814"/>
      <c r="DA49" s="814"/>
      <c r="DB49" s="814"/>
      <c r="DC49" s="814"/>
      <c r="DD49" s="814"/>
      <c r="DE49" s="814"/>
      <c r="DF49" s="814"/>
      <c r="DG49" s="814"/>
      <c r="DH49" s="814"/>
      <c r="DI49" s="814"/>
      <c r="DJ49" s="814"/>
      <c r="DK49" s="814"/>
      <c r="DL49" s="814"/>
      <c r="DM49" s="814"/>
      <c r="DN49" s="814"/>
      <c r="DO49" s="814"/>
      <c r="DP49" s="814"/>
      <c r="DQ49" s="814"/>
      <c r="DR49" s="814"/>
      <c r="DS49" s="814"/>
      <c r="DT49" s="814"/>
      <c r="DU49" s="814"/>
      <c r="DV49" s="814"/>
      <c r="DW49" s="822"/>
      <c r="DX49" s="822"/>
      <c r="DY49" s="822"/>
      <c r="DZ49" s="822"/>
      <c r="EA49" s="822"/>
      <c r="EB49" s="822"/>
      <c r="EC49" s="822"/>
      <c r="ED49" s="822"/>
      <c r="EE49" s="822"/>
      <c r="EF49" s="822"/>
      <c r="EG49" s="822"/>
      <c r="EH49" s="822"/>
      <c r="EI49" s="822"/>
      <c r="EJ49" s="822"/>
      <c r="EK49" s="822"/>
      <c r="EL49" s="822"/>
      <c r="EM49" s="822"/>
      <c r="EN49" s="822"/>
      <c r="EP49" s="868"/>
      <c r="EQ49" s="814"/>
      <c r="ER49" s="814"/>
      <c r="ES49" s="814"/>
      <c r="ET49" s="814"/>
      <c r="EU49" s="814"/>
      <c r="EV49" s="814"/>
      <c r="EW49" s="814"/>
      <c r="EX49" s="814"/>
      <c r="EY49" s="814"/>
      <c r="EZ49" s="717"/>
      <c r="FA49" s="822"/>
      <c r="FB49" s="822"/>
      <c r="FC49" s="822"/>
      <c r="FD49" s="822"/>
      <c r="FE49" s="822"/>
      <c r="FF49" s="822"/>
      <c r="FG49" s="822"/>
      <c r="FH49" s="822"/>
      <c r="FI49" s="822"/>
      <c r="FJ49" s="822"/>
      <c r="FK49" s="799"/>
      <c r="FL49" s="799"/>
      <c r="FM49" s="799"/>
      <c r="FN49" s="799"/>
      <c r="FO49" s="799"/>
      <c r="FP49" s="799"/>
    </row>
    <row r="50" spans="1:178" s="216" customFormat="1" ht="15" customHeight="1" outlineLevel="1">
      <c r="A50" s="1005"/>
      <c r="B50" s="1005"/>
      <c r="C50" s="1006"/>
      <c r="D50" s="235"/>
      <c r="E50" s="235">
        <v>106030</v>
      </c>
      <c r="F50" s="268">
        <v>22</v>
      </c>
      <c r="G50" s="199" t="s">
        <v>726</v>
      </c>
      <c r="H50" s="200" t="s">
        <v>727</v>
      </c>
      <c r="I50" s="201" t="s">
        <v>11</v>
      </c>
      <c r="J50" s="203">
        <v>4850</v>
      </c>
      <c r="K50" s="203">
        <v>900</v>
      </c>
      <c r="L50" s="202">
        <f t="shared" ref="L50" si="1241">+J50+K50</f>
        <v>5750</v>
      </c>
      <c r="M50" s="203">
        <v>30</v>
      </c>
      <c r="N50" s="204">
        <v>0.45</v>
      </c>
      <c r="O50" s="204">
        <v>0.45</v>
      </c>
      <c r="P50" s="204">
        <v>0.05</v>
      </c>
      <c r="Q50" s="204">
        <v>0.05</v>
      </c>
      <c r="R50" s="819">
        <v>0</v>
      </c>
      <c r="S50" s="204">
        <f t="shared" ref="S50" si="1242">SUM(N50:R50)</f>
        <v>1</v>
      </c>
      <c r="T50" s="205"/>
      <c r="U50" s="207"/>
      <c r="V50" s="203">
        <f t="shared" ref="V50" si="1243">($F50/30/8*1.5)*U50</f>
        <v>0</v>
      </c>
      <c r="W50" s="865"/>
      <c r="X50" s="203">
        <f t="shared" ref="X50" si="1244">($F50/30/8*2)*W50</f>
        <v>0</v>
      </c>
      <c r="Y50" s="207"/>
      <c r="Z50" s="203">
        <f t="shared" ref="Z50" si="1245">($F50/30/8*1.5)*Y50</f>
        <v>0</v>
      </c>
      <c r="AA50" s="207"/>
      <c r="AB50" s="203">
        <f t="shared" ref="AB50" si="1246">($F50/30/8*2)*AA50</f>
        <v>0</v>
      </c>
      <c r="AC50" s="207">
        <v>0</v>
      </c>
      <c r="AD50" s="203">
        <f t="shared" ref="AD50" si="1247">(($F50/30/8)*1.5)*AC50</f>
        <v>0</v>
      </c>
      <c r="AE50" s="208"/>
      <c r="AF50" s="203">
        <f t="shared" ref="AF50" si="1248">(($F50/30/8)*2)*AE50</f>
        <v>0</v>
      </c>
      <c r="AG50" s="208"/>
      <c r="AH50" s="203">
        <f t="shared" ref="AH50" si="1249">(($F50/30/8)*1.5)*AG50</f>
        <v>0</v>
      </c>
      <c r="AI50" s="208"/>
      <c r="AJ50" s="203">
        <f t="shared" ref="AJ50" si="1250">(($F50/30/8)*2)*AI50</f>
        <v>0</v>
      </c>
      <c r="AK50" s="203"/>
      <c r="AL50" s="203">
        <f t="shared" ref="AL50" si="1251">(($F50/30/8)*1.5)*AK50</f>
        <v>0</v>
      </c>
      <c r="AM50" s="208"/>
      <c r="AN50" s="203">
        <f t="shared" ref="AN50" si="1252">(($F50/30/8)*2)*AM50</f>
        <v>0</v>
      </c>
      <c r="AO50" s="203"/>
      <c r="AP50" s="203"/>
      <c r="AQ50" s="203"/>
      <c r="AR50" s="203"/>
      <c r="AS50" s="203"/>
      <c r="AT50" s="203"/>
      <c r="AU50" s="203"/>
      <c r="AV50" s="203"/>
      <c r="AW50" s="203"/>
      <c r="AX50" s="203"/>
      <c r="AY50" s="203"/>
      <c r="AZ50" s="201"/>
      <c r="BA50" s="203">
        <f>((J50/30)*M50)*$N50</f>
        <v>2182.5</v>
      </c>
      <c r="BB50" s="203">
        <f>((K50/30)*M50)*$N50+450</f>
        <v>855</v>
      </c>
      <c r="BC50" s="203">
        <f t="shared" ref="BC50" si="1253">U50</f>
        <v>0</v>
      </c>
      <c r="BD50" s="203">
        <f t="shared" ref="BD50" si="1254">V50</f>
        <v>0</v>
      </c>
      <c r="BE50" s="203">
        <f t="shared" ref="BE50" si="1255">W50</f>
        <v>0</v>
      </c>
      <c r="BF50" s="203">
        <f t="shared" ref="BF50" si="1256">X50</f>
        <v>0</v>
      </c>
      <c r="BG50" s="203">
        <f>AO50+AT50</f>
        <v>0</v>
      </c>
      <c r="BH50" s="203">
        <f t="shared" ref="BH50" si="1257">(BA50+BD50+BF50+BG50)*0.1267</f>
        <v>276.52275000000003</v>
      </c>
      <c r="BI50" s="203">
        <f>SUM(BA50:BH50)-BC50-BE50</f>
        <v>3314.0227500000001</v>
      </c>
      <c r="BJ50" s="203">
        <f t="shared" ref="BJ50" si="1258">(($J50/30)*$M50)*$O50</f>
        <v>2182.5</v>
      </c>
      <c r="BK50" s="203">
        <f>(($K50/30)*$M50)*$O50+450</f>
        <v>855</v>
      </c>
      <c r="BL50" s="203">
        <f t="shared" ref="BL50" si="1259">Y50</f>
        <v>0</v>
      </c>
      <c r="BM50" s="203">
        <f t="shared" ref="BM50" si="1260">Z50</f>
        <v>0</v>
      </c>
      <c r="BN50" s="203">
        <f t="shared" ref="BN50" si="1261">AA50</f>
        <v>0</v>
      </c>
      <c r="BO50" s="203">
        <f t="shared" ref="BO50" si="1262">AB50</f>
        <v>0</v>
      </c>
      <c r="BP50" s="203">
        <f>AP50+AU50</f>
        <v>0</v>
      </c>
      <c r="BQ50" s="203">
        <f t="shared" ref="BQ50" si="1263">(+BJ50+BM50+BO50+BP50)*0.1267</f>
        <v>276.52275000000003</v>
      </c>
      <c r="BR50" s="202">
        <f>SUM(BJ50:BQ50)-BL50-BN50</f>
        <v>3314.0227500000001</v>
      </c>
      <c r="BS50" s="203">
        <f t="shared" ref="BS50" si="1264">(($J50/30)*$M50)*$P50</f>
        <v>242.5</v>
      </c>
      <c r="BT50" s="203">
        <f>(($K50/30)*$M50)*$P50+50</f>
        <v>95</v>
      </c>
      <c r="BU50" s="203">
        <f t="shared" ref="BU50" si="1265">AC50</f>
        <v>0</v>
      </c>
      <c r="BV50" s="203">
        <f t="shared" ref="BV50" si="1266">AD50</f>
        <v>0</v>
      </c>
      <c r="BW50" s="203">
        <f t="shared" ref="BW50" si="1267">AE50</f>
        <v>0</v>
      </c>
      <c r="BX50" s="203">
        <f t="shared" ref="BX50" si="1268">AF50</f>
        <v>0</v>
      </c>
      <c r="BY50" s="203">
        <f>AQ50+AV50</f>
        <v>0</v>
      </c>
      <c r="BZ50" s="203">
        <f t="shared" ref="BZ50" si="1269">(BS50+BV50+BX50+BY50)*0.1267</f>
        <v>30.72475</v>
      </c>
      <c r="CA50" s="203">
        <f>SUM(BS50:BZ50)-BU50-BW50</f>
        <v>368.22474999999997</v>
      </c>
      <c r="CB50" s="241">
        <f t="shared" ref="CB50" si="1270">(($J50/30)*$M50)*$Q50</f>
        <v>242.5</v>
      </c>
      <c r="CC50" s="242">
        <f>(($K50/30)*$M50)*$Q50+50</f>
        <v>95</v>
      </c>
      <c r="CD50" s="242">
        <f t="shared" ref="CD50" si="1271">AG50</f>
        <v>0</v>
      </c>
      <c r="CE50" s="242">
        <f t="shared" ref="CE50" si="1272">AH50</f>
        <v>0</v>
      </c>
      <c r="CF50" s="242">
        <f t="shared" ref="CF50" si="1273">AI50</f>
        <v>0</v>
      </c>
      <c r="CG50" s="242">
        <f t="shared" ref="CG50" si="1274">AJ50</f>
        <v>0</v>
      </c>
      <c r="CH50" s="242">
        <f>AR50+AW50</f>
        <v>0</v>
      </c>
      <c r="CI50" s="703">
        <f t="shared" ref="CI50" si="1275">(CB50+CE50+CG50+CH50)*0.1267</f>
        <v>30.72475</v>
      </c>
      <c r="CJ50" s="242">
        <f>SUM(CB50:CI50)-CD50-CF50</f>
        <v>368.22474999999997</v>
      </c>
      <c r="CK50" s="242">
        <f t="shared" ref="CK50" si="1276">(($J50/30)*$M50)*R50</f>
        <v>0</v>
      </c>
      <c r="CL50" s="242">
        <f t="shared" ref="CL50" si="1277">(($K50/30)*$M50)*$R50</f>
        <v>0</v>
      </c>
      <c r="CM50" s="242">
        <f>+AK50</f>
        <v>0</v>
      </c>
      <c r="CN50" s="242">
        <f t="shared" ref="CN50" si="1278">AL50</f>
        <v>0</v>
      </c>
      <c r="CO50" s="242">
        <f t="shared" ref="CO50" si="1279">AM50</f>
        <v>0</v>
      </c>
      <c r="CP50" s="242">
        <f t="shared" ref="CP50" si="1280">AN50</f>
        <v>0</v>
      </c>
      <c r="CQ50" s="242">
        <f>AS50+AX50</f>
        <v>0</v>
      </c>
      <c r="CR50" s="242">
        <f>(CK50+CN50+CP50)*0.1267</f>
        <v>0</v>
      </c>
      <c r="CS50" s="243">
        <f>SUM(CK50:CR50)-CM50-CO50</f>
        <v>0</v>
      </c>
      <c r="CU50" s="201" t="s">
        <v>11</v>
      </c>
      <c r="CV50" s="203">
        <f t="shared" ref="CV50" si="1281">IF($CU50="PROQUIMA",$BA50+$BJ50+$BS50+$CB50+$CK50,0)</f>
        <v>0</v>
      </c>
      <c r="CW50" s="203">
        <f t="shared" ref="CW50" si="1282">IF($CU50="PROQUIMA",$BB50+$BK50+$BT50+$CC50+$CL50,0)</f>
        <v>0</v>
      </c>
      <c r="CX50" s="203">
        <f t="shared" ref="CX50" si="1283">IF($CU50="PROQUIMA",$BC50+$BL50+$BU50+$CD50+$CM50,0)</f>
        <v>0</v>
      </c>
      <c r="CY50" s="203">
        <f t="shared" ref="CY50" si="1284">IF($CU50="PROQUIMA",$BD50+$BM50+$BV50+$CE50+$CN50,0)</f>
        <v>0</v>
      </c>
      <c r="CZ50" s="203">
        <f t="shared" ref="CZ50" si="1285">IF($CU50="PROQUIMA",$BE50+$BN50+$BW50+$CF50+$CO50,0)</f>
        <v>0</v>
      </c>
      <c r="DA50" s="203">
        <f t="shared" ref="DA50" si="1286">IF($CU50="PROQUIMA",$BF50+$BO50+$BX50+$CG50+$CP50,0)</f>
        <v>0</v>
      </c>
      <c r="DB50" s="203">
        <f t="shared" ref="DB50" si="1287">IF($CU50="PROQUIMA",$BG50+$BP50+$BY50+$CH50+$CQ50,0)</f>
        <v>0</v>
      </c>
      <c r="DC50" s="203">
        <f>IF($CU50="PROQUIMA",$BH50+$BQ50+$BZ50+$CI50+CR50,0)</f>
        <v>0</v>
      </c>
      <c r="DD50" s="203">
        <f>SUM(CV50:DC50)-CX50-CZ50</f>
        <v>0</v>
      </c>
      <c r="DE50" s="203">
        <f t="shared" ref="DE50" si="1288">IF($CU50="UNHESA",$BA50+$BJ50+$BS50+$CB50+$CK50,0)</f>
        <v>0</v>
      </c>
      <c r="DF50" s="203">
        <f t="shared" ref="DF50" si="1289">IF($CU50="UNHESA",$BB50+$BK50+$BT50+$CC50+$CL50,0)</f>
        <v>0</v>
      </c>
      <c r="DG50" s="203">
        <f t="shared" ref="DG50" si="1290">IF($CU50="UNHESA",$BC50+$BL50+$BU50+$CD50+$CM50,0)</f>
        <v>0</v>
      </c>
      <c r="DH50" s="203">
        <f t="shared" ref="DH50" si="1291">IF($CU50="UNHESA",$BD50+$BM50+$BV50+$CE50+$CN50,0)</f>
        <v>0</v>
      </c>
      <c r="DI50" s="203">
        <f t="shared" ref="DI50" si="1292">IF($CU50="UNHESA",$BE50+$BN50+$BW50+$CF50+$CO50,0)</f>
        <v>0</v>
      </c>
      <c r="DJ50" s="203">
        <f t="shared" ref="DJ50" si="1293">IF($CU50="UNHESA",$BF50+$BO50+$BX50+$CG50+$CP50,0)</f>
        <v>0</v>
      </c>
      <c r="DK50" s="203">
        <f t="shared" ref="DK50" si="1294">IF($CU50="UNHESA",$BG50+$BP50+$BY50+$CH50+$CQ50,0)</f>
        <v>0</v>
      </c>
      <c r="DL50" s="203">
        <f t="shared" ref="DL50" si="1295">IF($CU50="UNHESA",$BH50+$BQ50+$BZ50+$CI50+$CR50,0)</f>
        <v>0</v>
      </c>
      <c r="DM50" s="203">
        <f>SUM(DE50:DL50)-DG50-DI50</f>
        <v>0</v>
      </c>
      <c r="DN50" s="203">
        <f t="shared" ref="DN50" si="1296">IF($CU50="UNHESA LIQUIDOS",$BA50+$BJ50+$BS50+$CB50+$CK50,0)</f>
        <v>0</v>
      </c>
      <c r="DO50" s="203">
        <f t="shared" ref="DO50" si="1297">IF($CU50="CALIDUL",$BB50+$BK50+$BT50+$CC50+$CL50,0)</f>
        <v>0</v>
      </c>
      <c r="DP50" s="203">
        <f t="shared" ref="DP50" si="1298">IF($CU50="CALIDUL",$BC50+$BL50+$BU50+$CD50+$CM50,0)</f>
        <v>0</v>
      </c>
      <c r="DQ50" s="203">
        <f t="shared" ref="DQ50" si="1299">IF($CU50="CALIDUL",$BD50+$BM50+$BV50+$CE50+$CN50,0)</f>
        <v>0</v>
      </c>
      <c r="DR50" s="203">
        <f t="shared" ref="DR50" si="1300">IF($CU50="CALIDUL",$BE50+$BN50+$BW50+$CF50+$CO50,0)</f>
        <v>0</v>
      </c>
      <c r="DS50" s="203">
        <f t="shared" ref="DS50" si="1301">IF($CU50="CALIDUL",$BF50+$BO50+$BX50+$CG50+$CP50,0)</f>
        <v>0</v>
      </c>
      <c r="DT50" s="203">
        <f t="shared" ref="DT50" si="1302">IF($CU50="CALIDUL",$BG50+$BP50+$BY50+$CH50+$CQ50,0)</f>
        <v>0</v>
      </c>
      <c r="DU50" s="203">
        <f t="shared" ref="DU50" si="1303">IF($CU50="CALIDUL",$BH50+$BQ50+$BZ50+$CI50+$CR50,0)</f>
        <v>0</v>
      </c>
      <c r="DV50" s="203">
        <f>SUM(DN50:DU50)-DP50-DR50</f>
        <v>0</v>
      </c>
      <c r="DW50" s="702">
        <f t="shared" ref="DW50:ED50" si="1304">IF($CU50="CLEARTEC",$BA50+$BJ50+$BS50+$CB50+$CK50,0)</f>
        <v>0</v>
      </c>
      <c r="DX50" s="702">
        <f t="shared" si="1304"/>
        <v>0</v>
      </c>
      <c r="DY50" s="702">
        <f t="shared" si="1304"/>
        <v>0</v>
      </c>
      <c r="DZ50" s="702">
        <f t="shared" si="1304"/>
        <v>0</v>
      </c>
      <c r="EA50" s="702">
        <f t="shared" si="1304"/>
        <v>0</v>
      </c>
      <c r="EB50" s="702">
        <f t="shared" si="1304"/>
        <v>0</v>
      </c>
      <c r="EC50" s="702">
        <f t="shared" si="1304"/>
        <v>0</v>
      </c>
      <c r="ED50" s="702">
        <f t="shared" si="1304"/>
        <v>0</v>
      </c>
      <c r="EE50" s="242">
        <f>SUM(DW50:ED50)-DY50-EA50</f>
        <v>0</v>
      </c>
      <c r="EF50" s="203">
        <f t="shared" ref="EF50" si="1305">IF(CU50="ECONACIONAL",$BA50+$BJ50+$BS50+$CB50+$CK50)</f>
        <v>4850</v>
      </c>
      <c r="EG50" s="242">
        <f t="shared" ref="EG50" si="1306">IF($CU50="ECONACIONAL",$BB50+$BK50+$BT50+$CC50+$CL50,0)</f>
        <v>1900</v>
      </c>
      <c r="EH50" s="203">
        <f t="shared" ref="EH50" si="1307">IF(CU50="ECONACIONAL",$BC50+$BL50+$BU50+$CD50+$CM50)</f>
        <v>0</v>
      </c>
      <c r="EI50" s="203">
        <f t="shared" ref="EI50" si="1308">IF(CU50="ECONACIONAL",$BD50+$DH50+$DQ50+$DZ50+BM50+BV50+CE50+CN50)</f>
        <v>0</v>
      </c>
      <c r="EJ50" s="242">
        <f t="shared" ref="EJ50" si="1309">IF($CU50="CLEARTEC",$BE50+$BN50+$BW50+$CF50+$CO50,0)</f>
        <v>0</v>
      </c>
      <c r="EK50" s="203">
        <f t="shared" ref="EK50" si="1310">IF(CU50="ECONACIONAL",$BF50+$BO50+$BX50+$CG50+$CP50)</f>
        <v>0</v>
      </c>
      <c r="EL50" s="203">
        <f t="shared" ref="EL50" si="1311">IF(CU50="ECONACIONAL",$BG50+$BP50+$BY50+$CH50+$CQ50)</f>
        <v>0</v>
      </c>
      <c r="EM50" s="203">
        <f t="shared" ref="EM50" si="1312">IF(CU50="ECONACIONAL",BH50+BQ50+BZ50+CI50+CR50)</f>
        <v>614.495</v>
      </c>
      <c r="EN50" s="203">
        <f t="shared" ref="EN50" si="1313">SUM(EF50:EM50)-EH50-EJ50</f>
        <v>7364.4949999999999</v>
      </c>
      <c r="EP50" s="786">
        <v>141.36000000000001</v>
      </c>
      <c r="EQ50" s="201"/>
      <c r="ER50" s="201"/>
      <c r="ES50" s="201">
        <f>299+223</f>
        <v>522</v>
      </c>
      <c r="ET50" s="201"/>
      <c r="EU50" s="201"/>
      <c r="EV50" s="201">
        <v>350</v>
      </c>
      <c r="EW50" s="201"/>
      <c r="EX50" s="201"/>
      <c r="EY50" s="201">
        <f>+ET50+EU50+EV50</f>
        <v>350</v>
      </c>
      <c r="EZ50" s="820"/>
      <c r="FA50" s="207">
        <f t="shared" ref="FA50" si="1314">IF($M50&lt;=15,EP50/2,EP50)</f>
        <v>141.36000000000001</v>
      </c>
      <c r="FB50" s="207">
        <f t="shared" ref="FB50" si="1315">IF($M50&lt;=15,EQ50/2,EQ50)</f>
        <v>0</v>
      </c>
      <c r="FC50" s="207">
        <f t="shared" ref="FC50" si="1316">IF($M50&lt;=15,ER50/2,ER50)</f>
        <v>0</v>
      </c>
      <c r="FD50" s="207">
        <f t="shared" ref="FD50" si="1317">IF($M50&lt;=15,ES50/2,ES50)</f>
        <v>522</v>
      </c>
      <c r="FE50" s="207">
        <f t="shared" ref="FE50" si="1318">IF($M50&lt;=15,ET50/2,ET50)</f>
        <v>0</v>
      </c>
      <c r="FF50" s="207">
        <f t="shared" ref="FF50" si="1319">IF($M50&lt;=15,EU50/2,EU50)</f>
        <v>0</v>
      </c>
      <c r="FG50" s="207">
        <f t="shared" ref="FG50" si="1320">IF($M50&lt;=15,EV50/2,EV50)</f>
        <v>350</v>
      </c>
      <c r="FH50" s="207">
        <f t="shared" ref="FH50" si="1321">IF($M50&lt;=15,EW50/2,EW50)</f>
        <v>0</v>
      </c>
      <c r="FI50" s="207">
        <f t="shared" ref="FI50" si="1322">IF($M50&lt;=15,EX50/2,EX50)</f>
        <v>0</v>
      </c>
      <c r="FJ50" s="207">
        <f>IF($M50&lt;=15,EY50/2,EY50)</f>
        <v>350</v>
      </c>
      <c r="FK50" s="217"/>
      <c r="FL50" s="217"/>
      <c r="FM50" s="217"/>
      <c r="FN50" s="217"/>
      <c r="FO50" s="217"/>
      <c r="FP50" s="217"/>
      <c r="FR50" s="1184">
        <f>(((J50/30/8)*1.5)*(U50+Y50+AC50))-(BD50+BM50+BV50)</f>
        <v>0</v>
      </c>
      <c r="FS50" s="1184">
        <f t="shared" ref="FS50" si="1323">(((J50/30/8)*2)*(W50+AA50+AE50))-(BF50+BO50+BX50)</f>
        <v>0</v>
      </c>
      <c r="FT50" s="1185">
        <f>(SUM(BA50:CJ50))-(SUM(EF50:EN50))</f>
        <v>0</v>
      </c>
      <c r="FU50" s="1184">
        <f>(J50/30*M50)-(EF50)</f>
        <v>0</v>
      </c>
      <c r="FV50" s="1186">
        <f>(SUM(EP50:EY50))-((SUM(FA50:FJ50))*$FV$5)</f>
        <v>-1363.3600000000001</v>
      </c>
    </row>
    <row r="51" spans="1:178" s="778" customFormat="1" ht="15.75" customHeight="1" outlineLevel="1">
      <c r="A51" s="1005" t="s">
        <v>52</v>
      </c>
      <c r="B51" s="1005" t="s">
        <v>52</v>
      </c>
      <c r="C51" s="1006" t="s">
        <v>52</v>
      </c>
      <c r="D51" s="776"/>
      <c r="E51" s="776"/>
      <c r="F51" s="776"/>
      <c r="G51" s="723"/>
      <c r="H51" s="717" t="s">
        <v>624</v>
      </c>
      <c r="J51" s="823">
        <f>+J50</f>
        <v>4850</v>
      </c>
      <c r="K51" s="823">
        <f t="shared" ref="K51:L51" si="1324">+K50</f>
        <v>900</v>
      </c>
      <c r="L51" s="823">
        <f t="shared" si="1324"/>
        <v>5750</v>
      </c>
      <c r="M51" s="822"/>
      <c r="N51" s="798"/>
      <c r="O51" s="798"/>
      <c r="P51" s="798"/>
      <c r="Q51" s="798"/>
      <c r="R51" s="798"/>
      <c r="S51" s="798"/>
      <c r="T51" s="780"/>
      <c r="U51" s="823">
        <f t="shared" ref="U51:CF51" si="1325">+U50</f>
        <v>0</v>
      </c>
      <c r="V51" s="823">
        <f t="shared" si="1325"/>
        <v>0</v>
      </c>
      <c r="W51" s="823">
        <f t="shared" si="1325"/>
        <v>0</v>
      </c>
      <c r="X51" s="823">
        <f t="shared" si="1325"/>
        <v>0</v>
      </c>
      <c r="Y51" s="823">
        <f t="shared" si="1325"/>
        <v>0</v>
      </c>
      <c r="Z51" s="823">
        <f t="shared" si="1325"/>
        <v>0</v>
      </c>
      <c r="AA51" s="823">
        <f t="shared" si="1325"/>
        <v>0</v>
      </c>
      <c r="AB51" s="823">
        <f t="shared" si="1325"/>
        <v>0</v>
      </c>
      <c r="AC51" s="823">
        <f t="shared" si="1325"/>
        <v>0</v>
      </c>
      <c r="AD51" s="823">
        <f t="shared" si="1325"/>
        <v>0</v>
      </c>
      <c r="AE51" s="823">
        <f t="shared" si="1325"/>
        <v>0</v>
      </c>
      <c r="AF51" s="823">
        <f t="shared" si="1325"/>
        <v>0</v>
      </c>
      <c r="AG51" s="823">
        <f t="shared" si="1325"/>
        <v>0</v>
      </c>
      <c r="AH51" s="823">
        <f t="shared" si="1325"/>
        <v>0</v>
      </c>
      <c r="AI51" s="823">
        <f t="shared" si="1325"/>
        <v>0</v>
      </c>
      <c r="AJ51" s="823">
        <f t="shared" si="1325"/>
        <v>0</v>
      </c>
      <c r="AK51" s="823">
        <f t="shared" si="1325"/>
        <v>0</v>
      </c>
      <c r="AL51" s="823">
        <f t="shared" si="1325"/>
        <v>0</v>
      </c>
      <c r="AM51" s="823">
        <f t="shared" si="1325"/>
        <v>0</v>
      </c>
      <c r="AN51" s="823">
        <f t="shared" si="1325"/>
        <v>0</v>
      </c>
      <c r="AO51" s="823">
        <f t="shared" si="1325"/>
        <v>0</v>
      </c>
      <c r="AP51" s="823">
        <f t="shared" si="1325"/>
        <v>0</v>
      </c>
      <c r="AQ51" s="823">
        <f t="shared" si="1325"/>
        <v>0</v>
      </c>
      <c r="AR51" s="823">
        <f t="shared" si="1325"/>
        <v>0</v>
      </c>
      <c r="AS51" s="823">
        <f t="shared" si="1325"/>
        <v>0</v>
      </c>
      <c r="AT51" s="823">
        <f t="shared" si="1325"/>
        <v>0</v>
      </c>
      <c r="AU51" s="823">
        <f t="shared" si="1325"/>
        <v>0</v>
      </c>
      <c r="AV51" s="823">
        <f t="shared" si="1325"/>
        <v>0</v>
      </c>
      <c r="AW51" s="823">
        <f t="shared" si="1325"/>
        <v>0</v>
      </c>
      <c r="AX51" s="823">
        <f t="shared" si="1325"/>
        <v>0</v>
      </c>
      <c r="AY51" s="823">
        <f t="shared" si="1325"/>
        <v>0</v>
      </c>
      <c r="AZ51" s="823">
        <f t="shared" si="1325"/>
        <v>0</v>
      </c>
      <c r="BA51" s="823">
        <f>+BA50</f>
        <v>2182.5</v>
      </c>
      <c r="BB51" s="823">
        <f t="shared" si="1325"/>
        <v>855</v>
      </c>
      <c r="BC51" s="823">
        <f t="shared" si="1325"/>
        <v>0</v>
      </c>
      <c r="BD51" s="823">
        <f t="shared" si="1325"/>
        <v>0</v>
      </c>
      <c r="BE51" s="823">
        <f t="shared" si="1325"/>
        <v>0</v>
      </c>
      <c r="BF51" s="823">
        <f t="shared" si="1325"/>
        <v>0</v>
      </c>
      <c r="BG51" s="823">
        <f t="shared" si="1325"/>
        <v>0</v>
      </c>
      <c r="BH51" s="823">
        <f t="shared" si="1325"/>
        <v>276.52275000000003</v>
      </c>
      <c r="BI51" s="823">
        <f t="shared" si="1325"/>
        <v>3314.0227500000001</v>
      </c>
      <c r="BJ51" s="823">
        <f t="shared" si="1325"/>
        <v>2182.5</v>
      </c>
      <c r="BK51" s="823">
        <f t="shared" si="1325"/>
        <v>855</v>
      </c>
      <c r="BL51" s="823">
        <f t="shared" si="1325"/>
        <v>0</v>
      </c>
      <c r="BM51" s="823">
        <f t="shared" si="1325"/>
        <v>0</v>
      </c>
      <c r="BN51" s="823">
        <f t="shared" si="1325"/>
        <v>0</v>
      </c>
      <c r="BO51" s="823">
        <f t="shared" si="1325"/>
        <v>0</v>
      </c>
      <c r="BP51" s="823">
        <f t="shared" si="1325"/>
        <v>0</v>
      </c>
      <c r="BQ51" s="823">
        <f t="shared" si="1325"/>
        <v>276.52275000000003</v>
      </c>
      <c r="BR51" s="823">
        <f t="shared" si="1325"/>
        <v>3314.0227500000001</v>
      </c>
      <c r="BS51" s="823">
        <f t="shared" si="1325"/>
        <v>242.5</v>
      </c>
      <c r="BT51" s="823">
        <f t="shared" si="1325"/>
        <v>95</v>
      </c>
      <c r="BU51" s="823">
        <f t="shared" si="1325"/>
        <v>0</v>
      </c>
      <c r="BV51" s="823">
        <f t="shared" si="1325"/>
        <v>0</v>
      </c>
      <c r="BW51" s="823">
        <f t="shared" si="1325"/>
        <v>0</v>
      </c>
      <c r="BX51" s="823">
        <f t="shared" si="1325"/>
        <v>0</v>
      </c>
      <c r="BY51" s="823">
        <f t="shared" si="1325"/>
        <v>0</v>
      </c>
      <c r="BZ51" s="823">
        <f t="shared" si="1325"/>
        <v>30.72475</v>
      </c>
      <c r="CA51" s="823">
        <f t="shared" si="1325"/>
        <v>368.22474999999997</v>
      </c>
      <c r="CB51" s="823">
        <f t="shared" si="1325"/>
        <v>242.5</v>
      </c>
      <c r="CC51" s="823">
        <f t="shared" si="1325"/>
        <v>95</v>
      </c>
      <c r="CD51" s="823">
        <f t="shared" si="1325"/>
        <v>0</v>
      </c>
      <c r="CE51" s="823">
        <f t="shared" si="1325"/>
        <v>0</v>
      </c>
      <c r="CF51" s="823">
        <f t="shared" si="1325"/>
        <v>0</v>
      </c>
      <c r="CG51" s="823">
        <f t="shared" ref="CG51:ER51" si="1326">+CG50</f>
        <v>0</v>
      </c>
      <c r="CH51" s="823">
        <f t="shared" si="1326"/>
        <v>0</v>
      </c>
      <c r="CI51" s="823">
        <f t="shared" si="1326"/>
        <v>30.72475</v>
      </c>
      <c r="CJ51" s="823">
        <f t="shared" si="1326"/>
        <v>368.22474999999997</v>
      </c>
      <c r="CK51" s="823">
        <f t="shared" si="1326"/>
        <v>0</v>
      </c>
      <c r="CL51" s="823">
        <f t="shared" si="1326"/>
        <v>0</v>
      </c>
      <c r="CM51" s="823">
        <f t="shared" si="1326"/>
        <v>0</v>
      </c>
      <c r="CN51" s="823">
        <f t="shared" si="1326"/>
        <v>0</v>
      </c>
      <c r="CO51" s="823">
        <f t="shared" si="1326"/>
        <v>0</v>
      </c>
      <c r="CP51" s="823">
        <f t="shared" si="1326"/>
        <v>0</v>
      </c>
      <c r="CQ51" s="823">
        <f t="shared" si="1326"/>
        <v>0</v>
      </c>
      <c r="CR51" s="823">
        <f t="shared" si="1326"/>
        <v>0</v>
      </c>
      <c r="CS51" s="823">
        <f t="shared" si="1326"/>
        <v>0</v>
      </c>
      <c r="CT51" s="823">
        <f t="shared" si="1326"/>
        <v>0</v>
      </c>
      <c r="CU51" s="823" t="str">
        <f t="shared" si="1326"/>
        <v>ECONACIONAL</v>
      </c>
      <c r="CV51" s="823">
        <f t="shared" si="1326"/>
        <v>0</v>
      </c>
      <c r="CW51" s="823">
        <f t="shared" si="1326"/>
        <v>0</v>
      </c>
      <c r="CX51" s="823">
        <f t="shared" si="1326"/>
        <v>0</v>
      </c>
      <c r="CY51" s="823">
        <f t="shared" si="1326"/>
        <v>0</v>
      </c>
      <c r="CZ51" s="823">
        <f t="shared" si="1326"/>
        <v>0</v>
      </c>
      <c r="DA51" s="823">
        <f t="shared" si="1326"/>
        <v>0</v>
      </c>
      <c r="DB51" s="823">
        <f t="shared" si="1326"/>
        <v>0</v>
      </c>
      <c r="DC51" s="823">
        <f t="shared" si="1326"/>
        <v>0</v>
      </c>
      <c r="DD51" s="823">
        <f t="shared" si="1326"/>
        <v>0</v>
      </c>
      <c r="DE51" s="823">
        <f t="shared" si="1326"/>
        <v>0</v>
      </c>
      <c r="DF51" s="823">
        <f t="shared" si="1326"/>
        <v>0</v>
      </c>
      <c r="DG51" s="823">
        <f t="shared" si="1326"/>
        <v>0</v>
      </c>
      <c r="DH51" s="823">
        <f t="shared" si="1326"/>
        <v>0</v>
      </c>
      <c r="DI51" s="823">
        <f t="shared" si="1326"/>
        <v>0</v>
      </c>
      <c r="DJ51" s="823">
        <f t="shared" si="1326"/>
        <v>0</v>
      </c>
      <c r="DK51" s="823">
        <f t="shared" si="1326"/>
        <v>0</v>
      </c>
      <c r="DL51" s="823">
        <f t="shared" si="1326"/>
        <v>0</v>
      </c>
      <c r="DM51" s="823">
        <f t="shared" si="1326"/>
        <v>0</v>
      </c>
      <c r="DN51" s="823">
        <f t="shared" si="1326"/>
        <v>0</v>
      </c>
      <c r="DO51" s="823">
        <f t="shared" si="1326"/>
        <v>0</v>
      </c>
      <c r="DP51" s="823">
        <f t="shared" si="1326"/>
        <v>0</v>
      </c>
      <c r="DQ51" s="823">
        <f t="shared" si="1326"/>
        <v>0</v>
      </c>
      <c r="DR51" s="823">
        <f t="shared" si="1326"/>
        <v>0</v>
      </c>
      <c r="DS51" s="823">
        <f t="shared" si="1326"/>
        <v>0</v>
      </c>
      <c r="DT51" s="823">
        <f t="shared" si="1326"/>
        <v>0</v>
      </c>
      <c r="DU51" s="823">
        <f t="shared" si="1326"/>
        <v>0</v>
      </c>
      <c r="DV51" s="823">
        <f t="shared" si="1326"/>
        <v>0</v>
      </c>
      <c r="DW51" s="823">
        <f t="shared" si="1326"/>
        <v>0</v>
      </c>
      <c r="DX51" s="823">
        <f t="shared" si="1326"/>
        <v>0</v>
      </c>
      <c r="DY51" s="823">
        <f t="shared" si="1326"/>
        <v>0</v>
      </c>
      <c r="DZ51" s="823">
        <f t="shared" si="1326"/>
        <v>0</v>
      </c>
      <c r="EA51" s="823">
        <f t="shared" si="1326"/>
        <v>0</v>
      </c>
      <c r="EB51" s="823">
        <f t="shared" si="1326"/>
        <v>0</v>
      </c>
      <c r="EC51" s="823">
        <f t="shared" si="1326"/>
        <v>0</v>
      </c>
      <c r="ED51" s="823">
        <f t="shared" si="1326"/>
        <v>0</v>
      </c>
      <c r="EE51" s="823">
        <f t="shared" si="1326"/>
        <v>0</v>
      </c>
      <c r="EF51" s="823">
        <f t="shared" si="1326"/>
        <v>4850</v>
      </c>
      <c r="EG51" s="823">
        <f t="shared" si="1326"/>
        <v>1900</v>
      </c>
      <c r="EH51" s="823">
        <f t="shared" si="1326"/>
        <v>0</v>
      </c>
      <c r="EI51" s="823">
        <f t="shared" si="1326"/>
        <v>0</v>
      </c>
      <c r="EJ51" s="823">
        <f t="shared" si="1326"/>
        <v>0</v>
      </c>
      <c r="EK51" s="823">
        <f t="shared" si="1326"/>
        <v>0</v>
      </c>
      <c r="EL51" s="823">
        <f t="shared" si="1326"/>
        <v>0</v>
      </c>
      <c r="EM51" s="823">
        <f t="shared" si="1326"/>
        <v>614.495</v>
      </c>
      <c r="EN51" s="823">
        <f t="shared" si="1326"/>
        <v>7364.4949999999999</v>
      </c>
      <c r="EO51" s="823"/>
      <c r="EP51" s="823">
        <f t="shared" si="1326"/>
        <v>141.36000000000001</v>
      </c>
      <c r="EQ51" s="823">
        <f t="shared" si="1326"/>
        <v>0</v>
      </c>
      <c r="ER51" s="823">
        <f t="shared" si="1326"/>
        <v>0</v>
      </c>
      <c r="ES51" s="823">
        <f t="shared" ref="ES51:FJ51" si="1327">+ES50</f>
        <v>522</v>
      </c>
      <c r="ET51" s="823">
        <f t="shared" si="1327"/>
        <v>0</v>
      </c>
      <c r="EU51" s="823">
        <f t="shared" si="1327"/>
        <v>0</v>
      </c>
      <c r="EV51" s="823">
        <f t="shared" si="1327"/>
        <v>350</v>
      </c>
      <c r="EW51" s="823">
        <f t="shared" si="1327"/>
        <v>0</v>
      </c>
      <c r="EX51" s="823">
        <f t="shared" si="1327"/>
        <v>0</v>
      </c>
      <c r="EY51" s="823">
        <f t="shared" si="1327"/>
        <v>350</v>
      </c>
      <c r="EZ51" s="823"/>
      <c r="FA51" s="823">
        <f t="shared" si="1327"/>
        <v>141.36000000000001</v>
      </c>
      <c r="FB51" s="823">
        <f t="shared" si="1327"/>
        <v>0</v>
      </c>
      <c r="FC51" s="823">
        <f t="shared" si="1327"/>
        <v>0</v>
      </c>
      <c r="FD51" s="823">
        <f t="shared" si="1327"/>
        <v>522</v>
      </c>
      <c r="FE51" s="823">
        <f t="shared" si="1327"/>
        <v>0</v>
      </c>
      <c r="FF51" s="823">
        <f t="shared" si="1327"/>
        <v>0</v>
      </c>
      <c r="FG51" s="823">
        <f t="shared" si="1327"/>
        <v>350</v>
      </c>
      <c r="FH51" s="823">
        <f t="shared" si="1327"/>
        <v>0</v>
      </c>
      <c r="FI51" s="823">
        <f t="shared" si="1327"/>
        <v>0</v>
      </c>
      <c r="FJ51" s="823">
        <f t="shared" si="1327"/>
        <v>350</v>
      </c>
      <c r="FK51" s="799"/>
      <c r="FL51" s="799"/>
      <c r="FM51" s="799"/>
      <c r="FN51" s="799"/>
      <c r="FO51" s="799"/>
      <c r="FP51" s="799"/>
    </row>
    <row r="52" spans="1:178" s="778" customFormat="1" ht="15.75" customHeight="1" outlineLevel="1">
      <c r="A52" s="1005" t="str">
        <f t="shared" si="253"/>
        <v>JUNIO  2026 2da QUINCENA</v>
      </c>
      <c r="B52" s="1005">
        <f t="shared" si="90"/>
        <v>2026</v>
      </c>
      <c r="C52" s="1006" t="str">
        <f t="shared" si="254"/>
        <v>JUNIO  2026 2da QUINCENA2026</v>
      </c>
      <c r="D52" s="776"/>
      <c r="E52" s="235">
        <v>106050</v>
      </c>
      <c r="F52" s="776"/>
      <c r="G52" s="779" t="s">
        <v>710</v>
      </c>
      <c r="H52" s="776"/>
      <c r="J52" s="823"/>
      <c r="K52" s="822"/>
      <c r="L52" s="822"/>
      <c r="M52" s="822"/>
      <c r="N52" s="798"/>
      <c r="O52" s="798"/>
      <c r="P52" s="798"/>
      <c r="Q52" s="798"/>
      <c r="R52" s="798"/>
      <c r="S52" s="798"/>
      <c r="T52" s="780"/>
      <c r="U52" s="824"/>
      <c r="V52" s="822"/>
      <c r="W52" s="824"/>
      <c r="X52" s="822"/>
      <c r="Y52" s="824"/>
      <c r="Z52" s="822"/>
      <c r="AA52" s="824"/>
      <c r="AB52" s="822"/>
      <c r="AC52" s="824"/>
      <c r="AD52" s="822"/>
      <c r="AE52" s="825"/>
      <c r="AF52" s="822"/>
      <c r="AG52" s="825"/>
      <c r="AH52" s="822"/>
      <c r="AI52" s="825"/>
      <c r="AJ52" s="822"/>
      <c r="AK52" s="822"/>
      <c r="AL52" s="822"/>
      <c r="AM52" s="825"/>
      <c r="AN52" s="822"/>
      <c r="AO52" s="822"/>
      <c r="AP52" s="822"/>
      <c r="AQ52" s="822"/>
      <c r="AR52" s="822"/>
      <c r="AS52" s="822"/>
      <c r="AT52" s="822"/>
      <c r="AU52" s="822"/>
      <c r="AV52" s="822"/>
      <c r="AW52" s="822"/>
      <c r="AX52" s="822"/>
      <c r="AY52" s="797"/>
      <c r="BA52" s="822"/>
      <c r="BB52" s="822"/>
      <c r="BC52" s="822"/>
      <c r="BD52" s="822"/>
      <c r="BE52" s="822"/>
      <c r="BF52" s="822"/>
      <c r="BG52" s="822"/>
      <c r="BH52" s="822"/>
      <c r="BI52" s="822"/>
      <c r="BJ52" s="822"/>
      <c r="BK52" s="822"/>
      <c r="BL52" s="822"/>
      <c r="BM52" s="822"/>
      <c r="BN52" s="822"/>
      <c r="BO52" s="822"/>
      <c r="BP52" s="822"/>
      <c r="BQ52" s="822"/>
      <c r="BR52" s="822"/>
      <c r="BS52" s="822"/>
      <c r="BT52" s="822"/>
      <c r="BU52" s="822"/>
      <c r="BV52" s="822"/>
      <c r="BW52" s="822"/>
      <c r="BX52" s="822"/>
      <c r="BY52" s="822"/>
      <c r="BZ52" s="822"/>
      <c r="CA52" s="822"/>
      <c r="CB52" s="822"/>
      <c r="CC52" s="822"/>
      <c r="CD52" s="822"/>
      <c r="CE52" s="822"/>
      <c r="CF52" s="822"/>
      <c r="CG52" s="822"/>
      <c r="CH52" s="822"/>
      <c r="CI52" s="822"/>
      <c r="CJ52" s="822"/>
      <c r="CK52" s="822"/>
      <c r="CL52" s="822"/>
      <c r="CM52" s="822"/>
      <c r="CN52" s="822"/>
      <c r="CO52" s="822"/>
      <c r="CP52" s="822"/>
      <c r="CQ52" s="822"/>
      <c r="CR52" s="822"/>
      <c r="CS52" s="822"/>
      <c r="CV52" s="802"/>
      <c r="CW52" s="802"/>
      <c r="CX52" s="802"/>
      <c r="CY52" s="802"/>
      <c r="CZ52" s="802"/>
      <c r="DA52" s="802"/>
      <c r="DB52" s="802"/>
      <c r="DC52" s="802"/>
      <c r="DD52" s="802"/>
      <c r="DE52" s="802"/>
      <c r="DF52" s="802"/>
      <c r="DG52" s="802"/>
      <c r="DH52" s="802"/>
      <c r="DI52" s="802"/>
      <c r="DJ52" s="802"/>
      <c r="DK52" s="802"/>
      <c r="DL52" s="802"/>
      <c r="DM52" s="797"/>
      <c r="DN52" s="802"/>
      <c r="DO52" s="802"/>
      <c r="DP52" s="802"/>
      <c r="DQ52" s="802"/>
      <c r="DR52" s="802"/>
      <c r="DS52" s="802"/>
      <c r="DT52" s="802"/>
      <c r="DU52" s="802"/>
      <c r="DV52" s="802"/>
      <c r="DW52" s="802"/>
      <c r="DX52" s="802"/>
      <c r="DY52" s="802"/>
      <c r="DZ52" s="802"/>
      <c r="EA52" s="802"/>
      <c r="EB52" s="802"/>
      <c r="EC52" s="802"/>
      <c r="ED52" s="802"/>
      <c r="EE52" s="802"/>
      <c r="EF52" s="802"/>
      <c r="EG52" s="802"/>
      <c r="EH52" s="802"/>
      <c r="EI52" s="802"/>
      <c r="EJ52" s="802"/>
      <c r="EK52" s="802"/>
      <c r="EL52" s="802"/>
      <c r="EM52" s="802"/>
      <c r="EN52" s="802"/>
      <c r="EP52" s="235"/>
      <c r="ES52" s="216"/>
      <c r="EZ52" s="717"/>
      <c r="FK52" s="799"/>
      <c r="FL52" s="799"/>
      <c r="FM52" s="799"/>
      <c r="FN52" s="799"/>
      <c r="FO52" s="799"/>
      <c r="FP52" s="799"/>
    </row>
    <row r="53" spans="1:178" s="216" customFormat="1" ht="15" customHeight="1" outlineLevel="1">
      <c r="A53" s="1005" t="str">
        <f t="shared" si="253"/>
        <v>JUNIO  2026 2da QUINCENA</v>
      </c>
      <c r="B53" s="1005">
        <f t="shared" si="90"/>
        <v>2026</v>
      </c>
      <c r="C53" s="1006" t="str">
        <f t="shared" si="254"/>
        <v>JUNIO  2026 2da QUINCENA2026</v>
      </c>
      <c r="D53" s="235" t="str">
        <f>+$G$52</f>
        <v>LEGAL</v>
      </c>
      <c r="E53" s="235">
        <v>106050</v>
      </c>
      <c r="F53" s="268">
        <v>23</v>
      </c>
      <c r="G53" s="199" t="s">
        <v>609</v>
      </c>
      <c r="H53" s="200" t="s">
        <v>676</v>
      </c>
      <c r="I53" s="201" t="s">
        <v>11</v>
      </c>
      <c r="J53" s="203">
        <v>4500</v>
      </c>
      <c r="K53" s="203">
        <v>2000</v>
      </c>
      <c r="L53" s="202">
        <f t="shared" ref="L53" si="1328">+J53+K53</f>
        <v>6500</v>
      </c>
      <c r="M53" s="203">
        <v>30</v>
      </c>
      <c r="N53" s="204">
        <v>0.5</v>
      </c>
      <c r="O53" s="204">
        <v>0.42</v>
      </c>
      <c r="P53" s="204">
        <v>0.03</v>
      </c>
      <c r="Q53" s="204">
        <v>0.05</v>
      </c>
      <c r="R53" s="819">
        <v>0</v>
      </c>
      <c r="S53" s="204">
        <f>SUM(N53:R53)</f>
        <v>1</v>
      </c>
      <c r="T53" s="205"/>
      <c r="U53" s="207"/>
      <c r="V53" s="203">
        <f t="shared" ref="V53" si="1329">($J53/30/8*1.5)*U53</f>
        <v>0</v>
      </c>
      <c r="W53" s="207"/>
      <c r="X53" s="203">
        <f t="shared" ref="X53" si="1330">($J53/30/8*2)*W53</f>
        <v>0</v>
      </c>
      <c r="Y53" s="207"/>
      <c r="Z53" s="203">
        <f t="shared" ref="Z53" si="1331">($J53/30/8*1.5)*Y53</f>
        <v>0</v>
      </c>
      <c r="AA53" s="207"/>
      <c r="AB53" s="203">
        <f t="shared" ref="AB53" si="1332">($J53/30/8*2)*AA53</f>
        <v>0</v>
      </c>
      <c r="AC53" s="207"/>
      <c r="AD53" s="203">
        <f t="shared" ref="AD53" si="1333">(($J53/30/8)*1.5)*AC53</f>
        <v>0</v>
      </c>
      <c r="AE53" s="208"/>
      <c r="AF53" s="203">
        <f t="shared" ref="AF53" si="1334">(($J53/30/8)*2)*AE53</f>
        <v>0</v>
      </c>
      <c r="AG53" s="208"/>
      <c r="AH53" s="203">
        <f t="shared" ref="AH53" si="1335">(($J53/30/8)*1.5)*AG53</f>
        <v>0</v>
      </c>
      <c r="AI53" s="208"/>
      <c r="AJ53" s="203">
        <f t="shared" ref="AJ53" si="1336">(($J53/30/8)*2)*AI53</f>
        <v>0</v>
      </c>
      <c r="AK53" s="203"/>
      <c r="AL53" s="203">
        <f t="shared" ref="AL53" si="1337">(($J53/30/8)*1.5)*AK53</f>
        <v>0</v>
      </c>
      <c r="AM53" s="208"/>
      <c r="AN53" s="203">
        <f t="shared" ref="AN53" si="1338">(($J53/30/8)*2)*AM53</f>
        <v>0</v>
      </c>
      <c r="AO53" s="203"/>
      <c r="AP53" s="203"/>
      <c r="AQ53" s="203"/>
      <c r="AR53" s="203"/>
      <c r="AS53" s="203"/>
      <c r="AT53" s="203"/>
      <c r="AU53" s="203"/>
      <c r="AV53" s="203"/>
      <c r="AW53" s="203"/>
      <c r="AX53" s="203"/>
      <c r="AY53" s="203"/>
      <c r="AZ53" s="201"/>
      <c r="BA53" s="203">
        <f t="shared" ref="BA53" si="1339">((J53/30)*M53)*$N53</f>
        <v>2250</v>
      </c>
      <c r="BB53" s="203">
        <f>((K53/30)*M53)*$N53+250</f>
        <v>1250</v>
      </c>
      <c r="BC53" s="203">
        <f t="shared" ref="BC53" si="1340">U53</f>
        <v>0</v>
      </c>
      <c r="BD53" s="203">
        <f t="shared" ref="BD53" si="1341">V53</f>
        <v>0</v>
      </c>
      <c r="BE53" s="203">
        <f t="shared" ref="BE53" si="1342">W53</f>
        <v>0</v>
      </c>
      <c r="BF53" s="203">
        <f t="shared" ref="BF53" si="1343">X53</f>
        <v>0</v>
      </c>
      <c r="BG53" s="203">
        <f t="shared" ref="BG53" si="1344">AO53+AT53</f>
        <v>0</v>
      </c>
      <c r="BH53" s="203">
        <f>(BA53+BD53+BF53+BG53)*0.1267</f>
        <v>285.07499999999999</v>
      </c>
      <c r="BI53" s="203">
        <f t="shared" ref="BI53" si="1345">SUM(BA53:BH53)-BC53-BE53</f>
        <v>3785.0749999999998</v>
      </c>
      <c r="BJ53" s="203">
        <f t="shared" ref="BJ53" si="1346">(($J53/30)*$M53)*$O53</f>
        <v>1890</v>
      </c>
      <c r="BK53" s="203">
        <f>(($K53/30)*$M53)*$O53+210</f>
        <v>1050</v>
      </c>
      <c r="BL53" s="203">
        <f t="shared" ref="BL53" si="1347">Y53</f>
        <v>0</v>
      </c>
      <c r="BM53" s="203">
        <f t="shared" ref="BM53" si="1348">Z53</f>
        <v>0</v>
      </c>
      <c r="BN53" s="203">
        <f t="shared" ref="BN53" si="1349">AA53</f>
        <v>0</v>
      </c>
      <c r="BO53" s="203">
        <f t="shared" ref="BO53" si="1350">AB53</f>
        <v>0</v>
      </c>
      <c r="BP53" s="203">
        <f t="shared" ref="BP53" si="1351">AP53+AU53</f>
        <v>0</v>
      </c>
      <c r="BQ53" s="203">
        <f t="shared" ref="BQ53" si="1352">(+BJ53+BM53+BO53+BP53)*0.1267</f>
        <v>239.46300000000002</v>
      </c>
      <c r="BR53" s="202">
        <f t="shared" ref="BR53" si="1353">SUM(BJ53:BQ53)-BL53-BN53</f>
        <v>3179.4630000000002</v>
      </c>
      <c r="BS53" s="203">
        <f t="shared" ref="BS53" si="1354">(($J53/30)*$M53)*$P53</f>
        <v>135</v>
      </c>
      <c r="BT53" s="203">
        <f>(($K53/30)*$M53)*$P53+15</f>
        <v>75</v>
      </c>
      <c r="BU53" s="203">
        <f t="shared" ref="BU53" si="1355">AC53</f>
        <v>0</v>
      </c>
      <c r="BV53" s="203">
        <f t="shared" ref="BV53" si="1356">AD53</f>
        <v>0</v>
      </c>
      <c r="BW53" s="203">
        <f t="shared" ref="BW53" si="1357">AE53</f>
        <v>0</v>
      </c>
      <c r="BX53" s="203">
        <f t="shared" ref="BX53" si="1358">AF53</f>
        <v>0</v>
      </c>
      <c r="BY53" s="203">
        <f t="shared" ref="BY53" si="1359">AQ53+AV53</f>
        <v>0</v>
      </c>
      <c r="BZ53" s="203">
        <f t="shared" ref="BZ53" si="1360">(BS53+BV53+BX53+BY53)*0.1267</f>
        <v>17.104500000000002</v>
      </c>
      <c r="CA53" s="203">
        <f t="shared" ref="CA53" si="1361">SUM(BS53:BZ53)-BU53-BW53</f>
        <v>227.1045</v>
      </c>
      <c r="CB53" s="241">
        <f t="shared" ref="CB53" si="1362">(($J53/30)*$M53)*$Q53</f>
        <v>225</v>
      </c>
      <c r="CC53" s="242">
        <f>(($K53/30)*$M53)*$Q53+25</f>
        <v>125.00000000000001</v>
      </c>
      <c r="CD53" s="242">
        <f t="shared" ref="CD53" si="1363">AG53</f>
        <v>0</v>
      </c>
      <c r="CE53" s="242">
        <f t="shared" ref="CE53" si="1364">AH53</f>
        <v>0</v>
      </c>
      <c r="CF53" s="242">
        <f t="shared" ref="CF53" si="1365">AI53</f>
        <v>0</v>
      </c>
      <c r="CG53" s="242">
        <f t="shared" ref="CG53" si="1366">AJ53</f>
        <v>0</v>
      </c>
      <c r="CH53" s="242">
        <f t="shared" ref="CH53" si="1367">AR53+AW53</f>
        <v>0</v>
      </c>
      <c r="CI53" s="703">
        <f t="shared" ref="CI53" si="1368">(CB53+CE53+CG53+CH53)*0.1267</f>
        <v>28.5075</v>
      </c>
      <c r="CJ53" s="242">
        <f t="shared" ref="CJ53" si="1369">SUM(CB53:CI53)-CD53-CF53</f>
        <v>378.50749999999999</v>
      </c>
      <c r="CK53" s="242">
        <f t="shared" ref="CK53" si="1370">(($J53/30)*$M53)*R53</f>
        <v>0</v>
      </c>
      <c r="CL53" s="242">
        <f t="shared" ref="CL53" si="1371">(($K53/30)*$M53)*$R53</f>
        <v>0</v>
      </c>
      <c r="CM53" s="242">
        <f t="shared" ref="CM53" si="1372">+AK53</f>
        <v>0</v>
      </c>
      <c r="CN53" s="242">
        <f t="shared" ref="CN53" si="1373">AL53</f>
        <v>0</v>
      </c>
      <c r="CO53" s="242">
        <f t="shared" ref="CO53" si="1374">AM53</f>
        <v>0</v>
      </c>
      <c r="CP53" s="242">
        <f t="shared" ref="CP53" si="1375">AN53</f>
        <v>0</v>
      </c>
      <c r="CQ53" s="242">
        <f t="shared" ref="CQ53" si="1376">AS53+AX53</f>
        <v>0</v>
      </c>
      <c r="CR53" s="242">
        <f t="shared" ref="CR53" si="1377">(CK53+CN53+CP53)*0.1267</f>
        <v>0</v>
      </c>
      <c r="CS53" s="243">
        <f t="shared" ref="CS53" si="1378">SUM(CK53:CR53)-CM53-CO53</f>
        <v>0</v>
      </c>
      <c r="CU53" s="201" t="s">
        <v>11</v>
      </c>
      <c r="CV53" s="203">
        <f t="shared" ref="CV53" si="1379">IF($CU53="PROQUIMA",$BA53+$BJ53+$BS53+$CB53+$CK53,0)</f>
        <v>0</v>
      </c>
      <c r="CW53" s="203">
        <f t="shared" ref="CW53" si="1380">IF($CU53="PROQUIMA",$BB53+$BK53+$BT53+$CC53+$CL53,0)</f>
        <v>0</v>
      </c>
      <c r="CX53" s="203">
        <f t="shared" ref="CX53" si="1381">IF($CU53="PROQUIMA",$BC53+$BL53+$BU53+$CD53+$CM53,0)</f>
        <v>0</v>
      </c>
      <c r="CY53" s="203">
        <f t="shared" ref="CY53" si="1382">IF($CU53="PROQUIMA",$BD53+$BM53+$BV53+$CE53+$CN53,0)</f>
        <v>0</v>
      </c>
      <c r="CZ53" s="203">
        <f t="shared" ref="CZ53" si="1383">IF($CU53="PROQUIMA",$BE53+$BN53+$BW53+$CF53+$CO53,0)</f>
        <v>0</v>
      </c>
      <c r="DA53" s="203">
        <f t="shared" ref="DA53" si="1384">IF($CU53="PROQUIMA",$BF53+$BO53+$BX53+$CG53+$CP53,0)</f>
        <v>0</v>
      </c>
      <c r="DB53" s="203">
        <f>IF($CU53="PROQUIMA",$BG53+$BP53+$BY53+$CH53+$CQ53,0)</f>
        <v>0</v>
      </c>
      <c r="DC53" s="203">
        <f t="shared" ref="DC53" si="1385">IF($CU53="PROQUIMA",$BH53+$BQ53+$BZ53+$CI53+CR53,0)</f>
        <v>0</v>
      </c>
      <c r="DD53" s="203">
        <f t="shared" ref="DD53" si="1386">SUM(CV53:DC53)-CX53-CZ53</f>
        <v>0</v>
      </c>
      <c r="DE53" s="203">
        <f t="shared" ref="DE53" si="1387">IF($CU53="UNHESA",$BA53+$BJ53+$BS53+$CB53+$CK53,0)</f>
        <v>0</v>
      </c>
      <c r="DF53" s="203">
        <f t="shared" ref="DF53" si="1388">IF($CU53="UNHESA",$BB53+$BK53+$BT53+$CC53+$CL53,0)</f>
        <v>0</v>
      </c>
      <c r="DG53" s="203">
        <f t="shared" ref="DG53" si="1389">IF($CU53="UNHESA",$BC53+$BL53+$BU53+$CD53+$CM53,0)</f>
        <v>0</v>
      </c>
      <c r="DH53" s="203">
        <f t="shared" ref="DH53" si="1390">IF($CU53="UNHESA",$BD53+$BM53+$BV53+$CE53+$CN53,0)</f>
        <v>0</v>
      </c>
      <c r="DI53" s="203">
        <f t="shared" ref="DI53" si="1391">IF($CU53="UNHESA",$BE53+$BN53+$BW53+$CF53+$CO53,0)</f>
        <v>0</v>
      </c>
      <c r="DJ53" s="203">
        <f t="shared" ref="DJ53" si="1392">IF($CU53="UNHESA",$BF53+$BO53+$BX53+$CG53+$CP53,0)</f>
        <v>0</v>
      </c>
      <c r="DK53" s="203">
        <f t="shared" ref="DK53" si="1393">IF($CU53="UNHESA",$BG53+$BP53+$BY53+$CH53+$CQ53,0)</f>
        <v>0</v>
      </c>
      <c r="DL53" s="203">
        <f t="shared" ref="DL53" si="1394">IF($CU53="UNHESA",$BH53+$BQ53+$BZ53+$CI53+$CR53,0)</f>
        <v>0</v>
      </c>
      <c r="DM53" s="203">
        <f t="shared" ref="DM53" si="1395">SUM(DE53:DL53)-DG53-DI53</f>
        <v>0</v>
      </c>
      <c r="DN53" s="203">
        <f t="shared" ref="DN53" si="1396">IF($CU53="UNHESA LIQUIDOS",$BA53+$BJ53+$BS53+$CB53+$CK53,0)</f>
        <v>0</v>
      </c>
      <c r="DO53" s="203">
        <f t="shared" ref="DO53" si="1397">IF($CU53="CALIDUL",$BB53+$BK53+$BT53+$CC53+$CL53,0)</f>
        <v>0</v>
      </c>
      <c r="DP53" s="203">
        <f t="shared" ref="DP53" si="1398">IF($CU53="CALIDUL",$BC53+$BL53+$BU53+$CD53+$CM53,0)</f>
        <v>0</v>
      </c>
      <c r="DQ53" s="203">
        <f t="shared" ref="DQ53" si="1399">IF($CU53="CALIDUL",$BD53+$BM53+$BV53+$CE53+$CN53,0)</f>
        <v>0</v>
      </c>
      <c r="DR53" s="203">
        <f t="shared" ref="DR53" si="1400">IF($CU53="CALIDUL",$BE53+$BN53+$BW53+$CF53+$CO53,0)</f>
        <v>0</v>
      </c>
      <c r="DS53" s="203">
        <f t="shared" ref="DS53" si="1401">IF($CU53="CALIDUL",$BF53+$BO53+$BX53+$CG53+$CP53,0)</f>
        <v>0</v>
      </c>
      <c r="DT53" s="203">
        <f t="shared" ref="DT53" si="1402">IF($CU53="CALIDUL",$BG53+$BP53+$BY53+$CH53+$CQ53,0)</f>
        <v>0</v>
      </c>
      <c r="DU53" s="203">
        <f t="shared" ref="DU53" si="1403">IF($CU53="CALIDUL",$BH53+$BQ53+$BZ53+$CI53+$CR53,0)</f>
        <v>0</v>
      </c>
      <c r="DV53" s="203">
        <f t="shared" ref="DV53" si="1404">SUM(DN53:DU53)-DP53-DR53</f>
        <v>0</v>
      </c>
      <c r="DW53" s="241">
        <f>IF($CU53="CLEARTEC",$BA53+$BJ53+$BS53+$CB53+$CK53,0)</f>
        <v>0</v>
      </c>
      <c r="DX53" s="241">
        <f t="shared" ref="DX53:ED53" si="1405">IF($CU53="CLEARTEC",$BA53+$BJ53+$BS53+$CB53+$CK53,0)</f>
        <v>0</v>
      </c>
      <c r="DY53" s="241">
        <f t="shared" si="1405"/>
        <v>0</v>
      </c>
      <c r="DZ53" s="241">
        <f t="shared" si="1405"/>
        <v>0</v>
      </c>
      <c r="EA53" s="241">
        <f t="shared" si="1405"/>
        <v>0</v>
      </c>
      <c r="EB53" s="241">
        <f t="shared" si="1405"/>
        <v>0</v>
      </c>
      <c r="EC53" s="241">
        <f t="shared" si="1405"/>
        <v>0</v>
      </c>
      <c r="ED53" s="241">
        <f t="shared" si="1405"/>
        <v>0</v>
      </c>
      <c r="EE53" s="242">
        <f t="shared" ref="EE53" si="1406">SUM(DW53:ED53)-DY53-EA53</f>
        <v>0</v>
      </c>
      <c r="EF53" s="203">
        <f t="shared" ref="EF53" si="1407">IF(CU53="ECONACIONAL",$BA53+$BJ53+$BS53+$CB53+$CK53)</f>
        <v>4500</v>
      </c>
      <c r="EG53" s="242">
        <f t="shared" ref="EG53" si="1408">IF($CU53="ECONACIONAL",$BB53+$BK53+$BT53+$CC53+$CL53,0)</f>
        <v>2500</v>
      </c>
      <c r="EH53" s="203">
        <f t="shared" ref="EH53" si="1409">IF(CU53="ECONACIONAL",$BC53+$BL53+$BU53+$CD53+$CM53)</f>
        <v>0</v>
      </c>
      <c r="EI53" s="203">
        <f t="shared" ref="EI53" si="1410">IF(CU53="ECONACIONAL",$BD53+$DH53+$DQ53+$DZ53+BM53+BV53+CE53+CN53)</f>
        <v>0</v>
      </c>
      <c r="EJ53" s="242">
        <f t="shared" ref="EJ53" si="1411">IF($CU53="CLEARTEC",$BE53+$BN53+$BW53+$CF53+$CO53,0)</f>
        <v>0</v>
      </c>
      <c r="EK53" s="203">
        <f t="shared" ref="EK53" si="1412">IF(CU53="ECONACIONAL",$BF53+$BO53+$BX53+$CG53+$CP53)</f>
        <v>0</v>
      </c>
      <c r="EL53" s="203">
        <f>IF(CU53="ECONACIONAL",$BG53+$BP53+$BY53+$CH53+$CQ53)</f>
        <v>0</v>
      </c>
      <c r="EM53" s="203">
        <f t="shared" ref="EM53" si="1413">IF(CU53="ECONACIONAL",BH53+BQ53+BZ53+CI53+CR53)</f>
        <v>570.15000000000009</v>
      </c>
      <c r="EN53" s="203">
        <f t="shared" ref="EN53" si="1414">SUM(EF53:EM53)-EH53-EJ53</f>
        <v>7570.15</v>
      </c>
      <c r="EO53" s="216">
        <v>251.16</v>
      </c>
      <c r="EP53" s="201">
        <v>161.31</v>
      </c>
      <c r="EQ53" s="201"/>
      <c r="ER53" s="201"/>
      <c r="ES53" s="201"/>
      <c r="ET53" s="201"/>
      <c r="EU53" s="201"/>
      <c r="EV53" s="201"/>
      <c r="EW53" s="201"/>
      <c r="EX53" s="201"/>
      <c r="EY53" s="201">
        <f t="shared" ref="EY53" si="1415">+ET53+EU53+EV53</f>
        <v>0</v>
      </c>
      <c r="EZ53" s="954"/>
      <c r="FA53" s="207">
        <f>IF($M53&lt;=15,EP53/2,EP53)</f>
        <v>161.31</v>
      </c>
      <c r="FB53" s="207">
        <f t="shared" ref="FB53" si="1416">IF($M53&lt;=15,EQ53/2,EQ53)</f>
        <v>0</v>
      </c>
      <c r="FC53" s="207">
        <f t="shared" ref="FC53" si="1417">IF($M53&lt;=15,ER53/2,ER53)</f>
        <v>0</v>
      </c>
      <c r="FD53" s="207">
        <f t="shared" ref="FD53" si="1418">IF($M53&lt;=15,ES53/2,ES53)</f>
        <v>0</v>
      </c>
      <c r="FE53" s="207">
        <f t="shared" ref="FE53" si="1419">IF($M53&lt;=15,ET53/2,ET53)</f>
        <v>0</v>
      </c>
      <c r="FF53" s="207">
        <f t="shared" ref="FF53" si="1420">IF($M53&lt;=15,EU53/2,EU53)</f>
        <v>0</v>
      </c>
      <c r="FG53" s="207">
        <f t="shared" ref="FG53" si="1421">IF($M53&lt;=15,EV53/2,EV53)</f>
        <v>0</v>
      </c>
      <c r="FH53" s="207">
        <f t="shared" ref="FH53" si="1422">IF($M53&lt;=15,EW53/2,EW53)</f>
        <v>0</v>
      </c>
      <c r="FI53" s="207">
        <f t="shared" ref="FI53" si="1423">IF($M53&lt;=15,EX53/2,EX53)</f>
        <v>0</v>
      </c>
      <c r="FJ53" s="207">
        <f t="shared" ref="FJ53" si="1424">IF($M53&lt;=15,EY53/2,EY53)</f>
        <v>0</v>
      </c>
      <c r="FK53" s="217"/>
      <c r="FL53" s="217"/>
      <c r="FM53" s="217"/>
      <c r="FN53" s="217"/>
      <c r="FO53" s="217"/>
      <c r="FP53" s="217"/>
      <c r="FR53" s="1184">
        <f>(((J53/30/8)*1.5)*(U53+Y53+AC53))-(BD53+BM53+BV53)</f>
        <v>0</v>
      </c>
      <c r="FS53" s="1184">
        <f t="shared" ref="FS53" si="1425">(((J53/30/8)*2)*(W53+AA53+AE53))-(BF53+BO53+BX53)</f>
        <v>0</v>
      </c>
      <c r="FT53" s="1185">
        <f>(SUM(BA53:CJ53))-(SUM(EF53:EN53))</f>
        <v>0</v>
      </c>
      <c r="FU53" s="1184">
        <f>(J53/30*M53)-(EF53)</f>
        <v>0</v>
      </c>
      <c r="FV53" s="1186">
        <f>(SUM(EP53:EY53))-((SUM(FA53:FJ53))*$FV$5)</f>
        <v>-161.31</v>
      </c>
    </row>
    <row r="54" spans="1:178" s="778" customFormat="1" ht="15.75" customHeight="1" outlineLevel="1">
      <c r="A54" s="1005" t="s">
        <v>52</v>
      </c>
      <c r="B54" s="1005" t="s">
        <v>52</v>
      </c>
      <c r="C54" s="1006" t="s">
        <v>52</v>
      </c>
      <c r="D54" s="776"/>
      <c r="E54" s="776"/>
      <c r="F54" s="776"/>
      <c r="G54" s="723"/>
      <c r="H54" s="717" t="s">
        <v>684</v>
      </c>
      <c r="J54" s="823">
        <f>+J53</f>
        <v>4500</v>
      </c>
      <c r="K54" s="823">
        <f t="shared" ref="K54:L54" si="1426">+K53</f>
        <v>2000</v>
      </c>
      <c r="L54" s="823">
        <f t="shared" si="1426"/>
        <v>6500</v>
      </c>
      <c r="M54" s="822"/>
      <c r="N54" s="798"/>
      <c r="O54" s="798"/>
      <c r="P54" s="798"/>
      <c r="Q54" s="798"/>
      <c r="R54" s="798"/>
      <c r="S54" s="798"/>
      <c r="T54" s="780"/>
      <c r="U54" s="823">
        <f t="shared" ref="U54:CF54" si="1427">+U53</f>
        <v>0</v>
      </c>
      <c r="V54" s="823">
        <f t="shared" si="1427"/>
        <v>0</v>
      </c>
      <c r="W54" s="823">
        <f t="shared" si="1427"/>
        <v>0</v>
      </c>
      <c r="X54" s="823">
        <f t="shared" si="1427"/>
        <v>0</v>
      </c>
      <c r="Y54" s="823">
        <f t="shared" si="1427"/>
        <v>0</v>
      </c>
      <c r="Z54" s="823">
        <f t="shared" si="1427"/>
        <v>0</v>
      </c>
      <c r="AA54" s="823">
        <f t="shared" si="1427"/>
        <v>0</v>
      </c>
      <c r="AB54" s="823">
        <f t="shared" si="1427"/>
        <v>0</v>
      </c>
      <c r="AC54" s="823">
        <f t="shared" si="1427"/>
        <v>0</v>
      </c>
      <c r="AD54" s="823">
        <f t="shared" si="1427"/>
        <v>0</v>
      </c>
      <c r="AE54" s="823">
        <f t="shared" si="1427"/>
        <v>0</v>
      </c>
      <c r="AF54" s="823">
        <f t="shared" si="1427"/>
        <v>0</v>
      </c>
      <c r="AG54" s="823">
        <f t="shared" si="1427"/>
        <v>0</v>
      </c>
      <c r="AH54" s="823">
        <f t="shared" si="1427"/>
        <v>0</v>
      </c>
      <c r="AI54" s="823">
        <f t="shared" si="1427"/>
        <v>0</v>
      </c>
      <c r="AJ54" s="823">
        <f t="shared" si="1427"/>
        <v>0</v>
      </c>
      <c r="AK54" s="823">
        <f t="shared" si="1427"/>
        <v>0</v>
      </c>
      <c r="AL54" s="823">
        <f t="shared" si="1427"/>
        <v>0</v>
      </c>
      <c r="AM54" s="823">
        <f t="shared" si="1427"/>
        <v>0</v>
      </c>
      <c r="AN54" s="823">
        <f t="shared" si="1427"/>
        <v>0</v>
      </c>
      <c r="AO54" s="823">
        <f t="shared" si="1427"/>
        <v>0</v>
      </c>
      <c r="AP54" s="823">
        <f t="shared" si="1427"/>
        <v>0</v>
      </c>
      <c r="AQ54" s="823">
        <f t="shared" si="1427"/>
        <v>0</v>
      </c>
      <c r="AR54" s="823">
        <f t="shared" si="1427"/>
        <v>0</v>
      </c>
      <c r="AS54" s="823">
        <f t="shared" si="1427"/>
        <v>0</v>
      </c>
      <c r="AT54" s="823">
        <f t="shared" si="1427"/>
        <v>0</v>
      </c>
      <c r="AU54" s="823">
        <f t="shared" si="1427"/>
        <v>0</v>
      </c>
      <c r="AV54" s="823">
        <f t="shared" si="1427"/>
        <v>0</v>
      </c>
      <c r="AW54" s="823">
        <f t="shared" si="1427"/>
        <v>0</v>
      </c>
      <c r="AX54" s="823">
        <f t="shared" si="1427"/>
        <v>0</v>
      </c>
      <c r="AY54" s="823">
        <f t="shared" si="1427"/>
        <v>0</v>
      </c>
      <c r="AZ54" s="823">
        <f t="shared" si="1427"/>
        <v>0</v>
      </c>
      <c r="BA54" s="823">
        <f t="shared" si="1427"/>
        <v>2250</v>
      </c>
      <c r="BB54" s="823">
        <f t="shared" si="1427"/>
        <v>1250</v>
      </c>
      <c r="BC54" s="823">
        <f t="shared" si="1427"/>
        <v>0</v>
      </c>
      <c r="BD54" s="823">
        <f t="shared" si="1427"/>
        <v>0</v>
      </c>
      <c r="BE54" s="823">
        <f t="shared" si="1427"/>
        <v>0</v>
      </c>
      <c r="BF54" s="823">
        <f t="shared" si="1427"/>
        <v>0</v>
      </c>
      <c r="BG54" s="823">
        <f t="shared" si="1427"/>
        <v>0</v>
      </c>
      <c r="BH54" s="823">
        <f t="shared" si="1427"/>
        <v>285.07499999999999</v>
      </c>
      <c r="BI54" s="823">
        <f t="shared" si="1427"/>
        <v>3785.0749999999998</v>
      </c>
      <c r="BJ54" s="823">
        <f t="shared" si="1427"/>
        <v>1890</v>
      </c>
      <c r="BK54" s="823">
        <f t="shared" si="1427"/>
        <v>1050</v>
      </c>
      <c r="BL54" s="823">
        <f t="shared" si="1427"/>
        <v>0</v>
      </c>
      <c r="BM54" s="823">
        <f t="shared" si="1427"/>
        <v>0</v>
      </c>
      <c r="BN54" s="823">
        <f t="shared" si="1427"/>
        <v>0</v>
      </c>
      <c r="BO54" s="823">
        <f t="shared" si="1427"/>
        <v>0</v>
      </c>
      <c r="BP54" s="823">
        <f t="shared" si="1427"/>
        <v>0</v>
      </c>
      <c r="BQ54" s="823">
        <f t="shared" si="1427"/>
        <v>239.46300000000002</v>
      </c>
      <c r="BR54" s="823">
        <f t="shared" si="1427"/>
        <v>3179.4630000000002</v>
      </c>
      <c r="BS54" s="823">
        <f t="shared" si="1427"/>
        <v>135</v>
      </c>
      <c r="BT54" s="823">
        <f t="shared" si="1427"/>
        <v>75</v>
      </c>
      <c r="BU54" s="823">
        <f t="shared" si="1427"/>
        <v>0</v>
      </c>
      <c r="BV54" s="823">
        <f t="shared" si="1427"/>
        <v>0</v>
      </c>
      <c r="BW54" s="823">
        <f t="shared" si="1427"/>
        <v>0</v>
      </c>
      <c r="BX54" s="823">
        <f t="shared" si="1427"/>
        <v>0</v>
      </c>
      <c r="BY54" s="823">
        <f t="shared" si="1427"/>
        <v>0</v>
      </c>
      <c r="BZ54" s="823">
        <f t="shared" si="1427"/>
        <v>17.104500000000002</v>
      </c>
      <c r="CA54" s="823">
        <f t="shared" si="1427"/>
        <v>227.1045</v>
      </c>
      <c r="CB54" s="823">
        <f t="shared" si="1427"/>
        <v>225</v>
      </c>
      <c r="CC54" s="823">
        <f t="shared" si="1427"/>
        <v>125.00000000000001</v>
      </c>
      <c r="CD54" s="823">
        <f t="shared" si="1427"/>
        <v>0</v>
      </c>
      <c r="CE54" s="823">
        <f t="shared" si="1427"/>
        <v>0</v>
      </c>
      <c r="CF54" s="823">
        <f t="shared" si="1427"/>
        <v>0</v>
      </c>
      <c r="CG54" s="823">
        <f t="shared" ref="CG54:ER54" si="1428">+CG53</f>
        <v>0</v>
      </c>
      <c r="CH54" s="823">
        <f t="shared" si="1428"/>
        <v>0</v>
      </c>
      <c r="CI54" s="823">
        <f t="shared" si="1428"/>
        <v>28.5075</v>
      </c>
      <c r="CJ54" s="823">
        <f t="shared" si="1428"/>
        <v>378.50749999999999</v>
      </c>
      <c r="CK54" s="823">
        <f t="shared" si="1428"/>
        <v>0</v>
      </c>
      <c r="CL54" s="823">
        <f t="shared" si="1428"/>
        <v>0</v>
      </c>
      <c r="CM54" s="823">
        <f t="shared" si="1428"/>
        <v>0</v>
      </c>
      <c r="CN54" s="823">
        <f t="shared" si="1428"/>
        <v>0</v>
      </c>
      <c r="CO54" s="823">
        <f t="shared" si="1428"/>
        <v>0</v>
      </c>
      <c r="CP54" s="823">
        <f t="shared" si="1428"/>
        <v>0</v>
      </c>
      <c r="CQ54" s="823">
        <f t="shared" si="1428"/>
        <v>0</v>
      </c>
      <c r="CR54" s="823">
        <f t="shared" si="1428"/>
        <v>0</v>
      </c>
      <c r="CS54" s="823">
        <f t="shared" si="1428"/>
        <v>0</v>
      </c>
      <c r="CT54" s="823">
        <f t="shared" si="1428"/>
        <v>0</v>
      </c>
      <c r="CU54" s="823" t="str">
        <f t="shared" si="1428"/>
        <v>ECONACIONAL</v>
      </c>
      <c r="CV54" s="823">
        <f t="shared" si="1428"/>
        <v>0</v>
      </c>
      <c r="CW54" s="823">
        <f t="shared" si="1428"/>
        <v>0</v>
      </c>
      <c r="CX54" s="823">
        <f t="shared" si="1428"/>
        <v>0</v>
      </c>
      <c r="CY54" s="823">
        <f t="shared" si="1428"/>
        <v>0</v>
      </c>
      <c r="CZ54" s="823">
        <f t="shared" si="1428"/>
        <v>0</v>
      </c>
      <c r="DA54" s="823">
        <f t="shared" si="1428"/>
        <v>0</v>
      </c>
      <c r="DB54" s="823">
        <f t="shared" si="1428"/>
        <v>0</v>
      </c>
      <c r="DC54" s="823">
        <f t="shared" si="1428"/>
        <v>0</v>
      </c>
      <c r="DD54" s="823">
        <f t="shared" si="1428"/>
        <v>0</v>
      </c>
      <c r="DE54" s="823">
        <f t="shared" si="1428"/>
        <v>0</v>
      </c>
      <c r="DF54" s="823">
        <f t="shared" si="1428"/>
        <v>0</v>
      </c>
      <c r="DG54" s="823">
        <f t="shared" si="1428"/>
        <v>0</v>
      </c>
      <c r="DH54" s="823">
        <f t="shared" si="1428"/>
        <v>0</v>
      </c>
      <c r="DI54" s="823">
        <f t="shared" si="1428"/>
        <v>0</v>
      </c>
      <c r="DJ54" s="823">
        <f t="shared" si="1428"/>
        <v>0</v>
      </c>
      <c r="DK54" s="823">
        <f t="shared" si="1428"/>
        <v>0</v>
      </c>
      <c r="DL54" s="823">
        <f t="shared" si="1428"/>
        <v>0</v>
      </c>
      <c r="DM54" s="823">
        <f t="shared" si="1428"/>
        <v>0</v>
      </c>
      <c r="DN54" s="823">
        <f t="shared" si="1428"/>
        <v>0</v>
      </c>
      <c r="DO54" s="823">
        <f t="shared" si="1428"/>
        <v>0</v>
      </c>
      <c r="DP54" s="823">
        <f t="shared" si="1428"/>
        <v>0</v>
      </c>
      <c r="DQ54" s="823">
        <f t="shared" si="1428"/>
        <v>0</v>
      </c>
      <c r="DR54" s="823">
        <f t="shared" si="1428"/>
        <v>0</v>
      </c>
      <c r="DS54" s="823">
        <f t="shared" si="1428"/>
        <v>0</v>
      </c>
      <c r="DT54" s="823">
        <f t="shared" si="1428"/>
        <v>0</v>
      </c>
      <c r="DU54" s="823">
        <f t="shared" si="1428"/>
        <v>0</v>
      </c>
      <c r="DV54" s="823">
        <f t="shared" si="1428"/>
        <v>0</v>
      </c>
      <c r="DW54" s="823">
        <f t="shared" si="1428"/>
        <v>0</v>
      </c>
      <c r="DX54" s="823">
        <f t="shared" si="1428"/>
        <v>0</v>
      </c>
      <c r="DY54" s="823">
        <f t="shared" si="1428"/>
        <v>0</v>
      </c>
      <c r="DZ54" s="823">
        <f t="shared" si="1428"/>
        <v>0</v>
      </c>
      <c r="EA54" s="823">
        <f t="shared" si="1428"/>
        <v>0</v>
      </c>
      <c r="EB54" s="823">
        <f t="shared" si="1428"/>
        <v>0</v>
      </c>
      <c r="EC54" s="823">
        <f t="shared" si="1428"/>
        <v>0</v>
      </c>
      <c r="ED54" s="823">
        <f t="shared" si="1428"/>
        <v>0</v>
      </c>
      <c r="EE54" s="823">
        <f t="shared" si="1428"/>
        <v>0</v>
      </c>
      <c r="EF54" s="823">
        <f t="shared" si="1428"/>
        <v>4500</v>
      </c>
      <c r="EG54" s="823">
        <f t="shared" si="1428"/>
        <v>2500</v>
      </c>
      <c r="EH54" s="823">
        <f t="shared" si="1428"/>
        <v>0</v>
      </c>
      <c r="EI54" s="823">
        <f t="shared" si="1428"/>
        <v>0</v>
      </c>
      <c r="EJ54" s="823">
        <f t="shared" si="1428"/>
        <v>0</v>
      </c>
      <c r="EK54" s="823">
        <f t="shared" si="1428"/>
        <v>0</v>
      </c>
      <c r="EL54" s="823">
        <f t="shared" si="1428"/>
        <v>0</v>
      </c>
      <c r="EM54" s="823">
        <f t="shared" si="1428"/>
        <v>570.15000000000009</v>
      </c>
      <c r="EN54" s="823">
        <f t="shared" si="1428"/>
        <v>7570.15</v>
      </c>
      <c r="EO54" s="823"/>
      <c r="EP54" s="823">
        <f t="shared" si="1428"/>
        <v>161.31</v>
      </c>
      <c r="EQ54" s="823">
        <f t="shared" si="1428"/>
        <v>0</v>
      </c>
      <c r="ER54" s="823">
        <f t="shared" si="1428"/>
        <v>0</v>
      </c>
      <c r="ES54" s="823">
        <f t="shared" ref="ES54:FJ54" si="1429">+ES53</f>
        <v>0</v>
      </c>
      <c r="ET54" s="823">
        <f t="shared" si="1429"/>
        <v>0</v>
      </c>
      <c r="EU54" s="823">
        <f t="shared" si="1429"/>
        <v>0</v>
      </c>
      <c r="EV54" s="823">
        <f t="shared" si="1429"/>
        <v>0</v>
      </c>
      <c r="EW54" s="823">
        <f t="shared" si="1429"/>
        <v>0</v>
      </c>
      <c r="EX54" s="823">
        <f t="shared" si="1429"/>
        <v>0</v>
      </c>
      <c r="EY54" s="823">
        <f t="shared" si="1429"/>
        <v>0</v>
      </c>
      <c r="EZ54" s="823"/>
      <c r="FA54" s="823">
        <f t="shared" si="1429"/>
        <v>161.31</v>
      </c>
      <c r="FB54" s="823">
        <f t="shared" si="1429"/>
        <v>0</v>
      </c>
      <c r="FC54" s="823">
        <f t="shared" si="1429"/>
        <v>0</v>
      </c>
      <c r="FD54" s="823">
        <f t="shared" si="1429"/>
        <v>0</v>
      </c>
      <c r="FE54" s="823">
        <f t="shared" si="1429"/>
        <v>0</v>
      </c>
      <c r="FF54" s="823">
        <f t="shared" si="1429"/>
        <v>0</v>
      </c>
      <c r="FG54" s="823">
        <f t="shared" si="1429"/>
        <v>0</v>
      </c>
      <c r="FH54" s="823">
        <f t="shared" si="1429"/>
        <v>0</v>
      </c>
      <c r="FI54" s="823">
        <f t="shared" si="1429"/>
        <v>0</v>
      </c>
      <c r="FJ54" s="823">
        <f t="shared" si="1429"/>
        <v>0</v>
      </c>
      <c r="FK54" s="799"/>
      <c r="FL54" s="799"/>
      <c r="FM54" s="799"/>
      <c r="FN54" s="799"/>
      <c r="FO54" s="799"/>
      <c r="FP54" s="799"/>
    </row>
    <row r="55" spans="1:178" s="778" customFormat="1" ht="15.75" customHeight="1" outlineLevel="1">
      <c r="A55" s="1005" t="str">
        <f t="shared" si="253"/>
        <v>JUNIO  2026 2da QUINCENA</v>
      </c>
      <c r="B55" s="1005">
        <f t="shared" si="90"/>
        <v>2026</v>
      </c>
      <c r="C55" s="1006" t="str">
        <f t="shared" si="254"/>
        <v>JUNIO  2026 2da QUINCENA2026</v>
      </c>
      <c r="D55" s="776"/>
      <c r="E55" s="776">
        <v>106060</v>
      </c>
      <c r="F55" s="776"/>
      <c r="G55" s="779" t="s">
        <v>711</v>
      </c>
      <c r="H55" s="776"/>
      <c r="J55" s="823"/>
      <c r="K55" s="823"/>
      <c r="L55" s="823"/>
      <c r="M55" s="822"/>
      <c r="N55" s="798"/>
      <c r="O55" s="798"/>
      <c r="P55" s="798"/>
      <c r="Q55" s="798"/>
      <c r="R55" s="798"/>
      <c r="S55" s="798"/>
      <c r="T55" s="780"/>
      <c r="U55" s="824"/>
      <c r="V55" s="822"/>
      <c r="W55" s="824"/>
      <c r="X55" s="822"/>
      <c r="Y55" s="824"/>
      <c r="Z55" s="822"/>
      <c r="AA55" s="824"/>
      <c r="AB55" s="822"/>
      <c r="AC55" s="824"/>
      <c r="AD55" s="822"/>
      <c r="AE55" s="825"/>
      <c r="AF55" s="822"/>
      <c r="AG55" s="825"/>
      <c r="AH55" s="822"/>
      <c r="AI55" s="825"/>
      <c r="AJ55" s="822"/>
      <c r="AK55" s="822"/>
      <c r="AL55" s="822"/>
      <c r="AM55" s="825"/>
      <c r="AN55" s="822"/>
      <c r="AO55" s="822"/>
      <c r="AP55" s="822"/>
      <c r="AQ55" s="822"/>
      <c r="AR55" s="822"/>
      <c r="AS55" s="822"/>
      <c r="AT55" s="822"/>
      <c r="AU55" s="822"/>
      <c r="AV55" s="822"/>
      <c r="AW55" s="822"/>
      <c r="AX55" s="822"/>
      <c r="AY55" s="797"/>
      <c r="BA55" s="822"/>
      <c r="BB55" s="822"/>
      <c r="BC55" s="822"/>
      <c r="BD55" s="822"/>
      <c r="BE55" s="822"/>
      <c r="BF55" s="822"/>
      <c r="BG55" s="822"/>
      <c r="BH55" s="822"/>
      <c r="BI55" s="822"/>
      <c r="BJ55" s="822"/>
      <c r="BK55" s="822"/>
      <c r="BL55" s="822"/>
      <c r="BM55" s="822"/>
      <c r="BN55" s="822"/>
      <c r="BO55" s="822"/>
      <c r="BP55" s="822"/>
      <c r="BQ55" s="822"/>
      <c r="BR55" s="822"/>
      <c r="BS55" s="822"/>
      <c r="BT55" s="822"/>
      <c r="BU55" s="822"/>
      <c r="BV55" s="822"/>
      <c r="BW55" s="822"/>
      <c r="BX55" s="822"/>
      <c r="BY55" s="822"/>
      <c r="BZ55" s="822"/>
      <c r="CA55" s="822"/>
      <c r="CB55" s="822"/>
      <c r="CC55" s="822"/>
      <c r="CD55" s="822"/>
      <c r="CE55" s="822"/>
      <c r="CF55" s="822"/>
      <c r="CG55" s="822"/>
      <c r="CH55" s="822"/>
      <c r="CI55" s="822"/>
      <c r="CJ55" s="822"/>
      <c r="CK55" s="822"/>
      <c r="CL55" s="822"/>
      <c r="CM55" s="822"/>
      <c r="CN55" s="822"/>
      <c r="CO55" s="822"/>
      <c r="CP55" s="822"/>
      <c r="CQ55" s="822"/>
      <c r="CR55" s="822"/>
      <c r="CS55" s="822"/>
      <c r="CV55" s="802"/>
      <c r="CW55" s="802"/>
      <c r="CX55" s="802"/>
      <c r="CY55" s="802"/>
      <c r="CZ55" s="802"/>
      <c r="DA55" s="802"/>
      <c r="DB55" s="802"/>
      <c r="DC55" s="802"/>
      <c r="DD55" s="802"/>
      <c r="DE55" s="802"/>
      <c r="DF55" s="802"/>
      <c r="DG55" s="802"/>
      <c r="DH55" s="802"/>
      <c r="DI55" s="802"/>
      <c r="DJ55" s="802"/>
      <c r="DK55" s="802"/>
      <c r="DL55" s="802"/>
      <c r="DM55" s="797"/>
      <c r="DN55" s="802"/>
      <c r="DO55" s="802"/>
      <c r="DP55" s="802"/>
      <c r="DQ55" s="802"/>
      <c r="DR55" s="802"/>
      <c r="DS55" s="802"/>
      <c r="DT55" s="802"/>
      <c r="DU55" s="802"/>
      <c r="DV55" s="802"/>
      <c r="DW55" s="802"/>
      <c r="DX55" s="802"/>
      <c r="DY55" s="802"/>
      <c r="DZ55" s="802"/>
      <c r="EA55" s="802"/>
      <c r="EB55" s="802"/>
      <c r="EC55" s="802"/>
      <c r="ED55" s="802"/>
      <c r="EE55" s="802"/>
      <c r="EF55" s="802"/>
      <c r="EG55" s="802"/>
      <c r="EH55" s="802"/>
      <c r="EI55" s="802"/>
      <c r="EJ55" s="802"/>
      <c r="EK55" s="802"/>
      <c r="EL55" s="802"/>
      <c r="EM55" s="802"/>
      <c r="EN55" s="802"/>
      <c r="EP55" s="235"/>
      <c r="ES55" s="216"/>
      <c r="EZ55" s="717"/>
      <c r="FK55" s="799"/>
      <c r="FL55" s="799"/>
      <c r="FM55" s="799"/>
      <c r="FN55" s="799"/>
      <c r="FO55" s="799"/>
      <c r="FP55" s="799"/>
    </row>
    <row r="56" spans="1:178" s="216" customFormat="1" ht="15" customHeight="1" outlineLevel="1">
      <c r="A56" s="1005"/>
      <c r="B56" s="1005"/>
      <c r="C56" s="1006"/>
      <c r="D56" s="235"/>
      <c r="E56" s="235">
        <v>106060</v>
      </c>
      <c r="F56" s="268">
        <v>24</v>
      </c>
      <c r="G56" s="199" t="s">
        <v>719</v>
      </c>
      <c r="H56" s="200" t="s">
        <v>720</v>
      </c>
      <c r="I56" s="201" t="s">
        <v>11</v>
      </c>
      <c r="J56" s="203">
        <v>6500</v>
      </c>
      <c r="K56" s="203">
        <v>3500</v>
      </c>
      <c r="L56" s="202">
        <f t="shared" ref="L56" si="1430">+J56+K56</f>
        <v>10000</v>
      </c>
      <c r="M56" s="203">
        <v>30</v>
      </c>
      <c r="N56" s="204">
        <v>0.55000000000000004</v>
      </c>
      <c r="O56" s="204">
        <v>0.35</v>
      </c>
      <c r="P56" s="204">
        <v>0.05</v>
      </c>
      <c r="Q56" s="204">
        <v>0.05</v>
      </c>
      <c r="R56" s="819">
        <v>0</v>
      </c>
      <c r="S56" s="204">
        <f>SUM(N56:R56)</f>
        <v>1</v>
      </c>
      <c r="T56" s="205"/>
      <c r="U56" s="207"/>
      <c r="V56" s="203">
        <f t="shared" ref="V56" si="1431">($J56/30/8*1.5)*U56</f>
        <v>0</v>
      </c>
      <c r="W56" s="207"/>
      <c r="X56" s="203">
        <f t="shared" ref="X56" si="1432">($J56/30/8*2)*W56</f>
        <v>0</v>
      </c>
      <c r="Y56" s="207"/>
      <c r="Z56" s="203">
        <f t="shared" ref="Z56" si="1433">($J56/30/8*1.5)*Y56</f>
        <v>0</v>
      </c>
      <c r="AA56" s="207"/>
      <c r="AB56" s="203">
        <f t="shared" ref="AB56" si="1434">($J56/30/8*2)*AA56</f>
        <v>0</v>
      </c>
      <c r="AC56" s="207"/>
      <c r="AD56" s="203">
        <f t="shared" ref="AD56" si="1435">(($J56/30/8)*1.5)*AC56</f>
        <v>0</v>
      </c>
      <c r="AE56" s="208"/>
      <c r="AF56" s="203">
        <f t="shared" ref="AF56" si="1436">(($J56/30/8)*2)*AE56</f>
        <v>0</v>
      </c>
      <c r="AG56" s="208"/>
      <c r="AH56" s="203">
        <f t="shared" ref="AH56" si="1437">(($J56/30/8)*1.5)*AG56</f>
        <v>0</v>
      </c>
      <c r="AI56" s="208"/>
      <c r="AJ56" s="203">
        <f t="shared" ref="AJ56" si="1438">(($J56/30/8)*2)*AI56</f>
        <v>0</v>
      </c>
      <c r="AK56" s="203"/>
      <c r="AL56" s="203">
        <f t="shared" ref="AL56" si="1439">(($J56/30/8)*1.5)*AK56</f>
        <v>0</v>
      </c>
      <c r="AM56" s="208"/>
      <c r="AN56" s="203">
        <f t="shared" ref="AN56" si="1440">(($J56/30/8)*2)*AM56</f>
        <v>0</v>
      </c>
      <c r="AO56" s="203"/>
      <c r="AP56" s="203"/>
      <c r="AQ56" s="203"/>
      <c r="AR56" s="203"/>
      <c r="AS56" s="203"/>
      <c r="AT56" s="203"/>
      <c r="AU56" s="203"/>
      <c r="AV56" s="203"/>
      <c r="AW56" s="203"/>
      <c r="AX56" s="203"/>
      <c r="AY56" s="203"/>
      <c r="AZ56" s="201"/>
      <c r="BA56" s="203">
        <f t="shared" ref="BA56" si="1441">((J56/30)*M56)*$N56</f>
        <v>3575.0000000000005</v>
      </c>
      <c r="BB56" s="203">
        <f>((K56/30)*M56)*$N56+820.88</f>
        <v>2745.88</v>
      </c>
      <c r="BC56" s="203">
        <f t="shared" ref="BC56" si="1442">U56</f>
        <v>0</v>
      </c>
      <c r="BD56" s="203">
        <f t="shared" ref="BD56" si="1443">V56</f>
        <v>0</v>
      </c>
      <c r="BE56" s="203">
        <f t="shared" ref="BE56" si="1444">W56</f>
        <v>0</v>
      </c>
      <c r="BF56" s="203">
        <f t="shared" ref="BF56" si="1445">X56</f>
        <v>0</v>
      </c>
      <c r="BG56" s="203">
        <f t="shared" ref="BG56" si="1446">AO56+AT56</f>
        <v>0</v>
      </c>
      <c r="BH56" s="203">
        <f t="shared" ref="BH56" si="1447">(BA56+BD56+BF56+BG56)*0.1267</f>
        <v>452.9525000000001</v>
      </c>
      <c r="BI56" s="203">
        <f t="shared" ref="BI56" si="1448">SUM(BA56:BH56)-BC56-BE56</f>
        <v>6773.8325000000013</v>
      </c>
      <c r="BJ56" s="203">
        <f t="shared" ref="BJ56" si="1449">(($J56/30)*$M56)*$O56</f>
        <v>2275</v>
      </c>
      <c r="BK56" s="203">
        <f>(($K56/30)*$M56)*$O56+522.38</f>
        <v>1747.38</v>
      </c>
      <c r="BL56" s="203">
        <f t="shared" ref="BL56" si="1450">Y56</f>
        <v>0</v>
      </c>
      <c r="BM56" s="203">
        <f t="shared" ref="BM56" si="1451">Z56</f>
        <v>0</v>
      </c>
      <c r="BN56" s="203">
        <f t="shared" ref="BN56" si="1452">AA56</f>
        <v>0</v>
      </c>
      <c r="BO56" s="203">
        <f t="shared" ref="BO56" si="1453">AB56</f>
        <v>0</v>
      </c>
      <c r="BP56" s="203">
        <f t="shared" ref="BP56" si="1454">AP56+AU56</f>
        <v>0</v>
      </c>
      <c r="BQ56" s="203">
        <f t="shared" ref="BQ56" si="1455">(+BJ56+BM56+BO56+BP56)*0.1267</f>
        <v>288.24250000000001</v>
      </c>
      <c r="BR56" s="202">
        <f t="shared" ref="BR56" si="1456">SUM(BJ56:BQ56)-BL56-BN56</f>
        <v>4310.6225000000004</v>
      </c>
      <c r="BS56" s="203">
        <f t="shared" ref="BS56" si="1457">(($J56/30)*$M56)*$P56</f>
        <v>325</v>
      </c>
      <c r="BT56" s="203">
        <f>(($K56/30)*$M56)*$P56+74.63</f>
        <v>249.63</v>
      </c>
      <c r="BU56" s="203">
        <f t="shared" ref="BU56" si="1458">AC56</f>
        <v>0</v>
      </c>
      <c r="BV56" s="203">
        <f t="shared" ref="BV56" si="1459">AD56</f>
        <v>0</v>
      </c>
      <c r="BW56" s="203">
        <f t="shared" ref="BW56" si="1460">AE56</f>
        <v>0</v>
      </c>
      <c r="BX56" s="203">
        <f t="shared" ref="BX56" si="1461">AF56</f>
        <v>0</v>
      </c>
      <c r="BY56" s="203">
        <f t="shared" ref="BY56" si="1462">AQ56+AV56</f>
        <v>0</v>
      </c>
      <c r="BZ56" s="203">
        <f t="shared" ref="BZ56" si="1463">(BS56+BV56+BX56+BY56)*0.1267</f>
        <v>41.177500000000002</v>
      </c>
      <c r="CA56" s="203">
        <f t="shared" ref="CA56" si="1464">SUM(BS56:BZ56)-BU56-BW56</f>
        <v>615.8075</v>
      </c>
      <c r="CB56" s="241">
        <f t="shared" ref="CB56" si="1465">(($J56/30)*$M56)*$Q56</f>
        <v>325</v>
      </c>
      <c r="CC56" s="242">
        <f>(($K56/30)*$M56)*$Q56+74.63</f>
        <v>249.63</v>
      </c>
      <c r="CD56" s="242">
        <f t="shared" ref="CD56" si="1466">AG56</f>
        <v>0</v>
      </c>
      <c r="CE56" s="242">
        <f t="shared" ref="CE56" si="1467">AH56</f>
        <v>0</v>
      </c>
      <c r="CF56" s="242">
        <f t="shared" ref="CF56" si="1468">AI56</f>
        <v>0</v>
      </c>
      <c r="CG56" s="242">
        <f t="shared" ref="CG56" si="1469">AJ56</f>
        <v>0</v>
      </c>
      <c r="CH56" s="242">
        <f t="shared" ref="CH56" si="1470">AR56+AW56</f>
        <v>0</v>
      </c>
      <c r="CI56" s="703">
        <f t="shared" ref="CI56" si="1471">(CB56+CE56+CG56+CH56)*0.1267</f>
        <v>41.177500000000002</v>
      </c>
      <c r="CJ56" s="242">
        <f t="shared" ref="CJ56" si="1472">SUM(CB56:CI56)-CD56-CF56</f>
        <v>615.8075</v>
      </c>
      <c r="CK56" s="242">
        <f t="shared" ref="CK56" si="1473">(($J56/30)*$M56)*R56</f>
        <v>0</v>
      </c>
      <c r="CL56" s="242">
        <f t="shared" ref="CL56" si="1474">(($K56/30)*$M56)*$R56</f>
        <v>0</v>
      </c>
      <c r="CM56" s="242">
        <f t="shared" ref="CM56" si="1475">+AK56</f>
        <v>0</v>
      </c>
      <c r="CN56" s="242">
        <f t="shared" ref="CN56" si="1476">AL56</f>
        <v>0</v>
      </c>
      <c r="CO56" s="242">
        <f t="shared" ref="CO56" si="1477">AM56</f>
        <v>0</v>
      </c>
      <c r="CP56" s="242">
        <f t="shared" ref="CP56" si="1478">AN56</f>
        <v>0</v>
      </c>
      <c r="CQ56" s="242">
        <f t="shared" ref="CQ56" si="1479">AS56+AX56</f>
        <v>0</v>
      </c>
      <c r="CR56" s="242">
        <f t="shared" ref="CR56" si="1480">(CK56+CN56+CP56)*0.1267</f>
        <v>0</v>
      </c>
      <c r="CS56" s="243">
        <f t="shared" ref="CS56" si="1481">SUM(CK56:CR56)-CM56-CO56</f>
        <v>0</v>
      </c>
      <c r="CU56" s="201" t="s">
        <v>11</v>
      </c>
      <c r="CV56" s="203">
        <f t="shared" ref="CV56" si="1482">IF($CU56="PROQUIMA",$BA56+$BJ56+$BS56+$CB56+$CK56,0)</f>
        <v>0</v>
      </c>
      <c r="CW56" s="203">
        <f t="shared" ref="CW56" si="1483">IF($CU56="PROQUIMA",$BB56+$BK56+$BT56+$CC56+$CL56,0)</f>
        <v>0</v>
      </c>
      <c r="CX56" s="203">
        <f t="shared" ref="CX56" si="1484">IF($CU56="PROQUIMA",$BC56+$BL56+$BU56+$CD56+$CM56,0)</f>
        <v>0</v>
      </c>
      <c r="CY56" s="203">
        <f t="shared" ref="CY56" si="1485">IF($CU56="PROQUIMA",$BD56+$BM56+$BV56+$CE56+$CN56,0)</f>
        <v>0</v>
      </c>
      <c r="CZ56" s="203">
        <f t="shared" ref="CZ56" si="1486">IF($CU56="PROQUIMA",$BE56+$BN56+$BW56+$CF56+$CO56,0)</f>
        <v>0</v>
      </c>
      <c r="DA56" s="203">
        <f t="shared" ref="DA56" si="1487">IF($CU56="PROQUIMA",$BF56+$BO56+$BX56+$CG56+$CP56,0)</f>
        <v>0</v>
      </c>
      <c r="DB56" s="203">
        <f t="shared" ref="DB56" si="1488">IF($CU56="PROQUIMA",$BG56+$BP56+$BY56+$CH56+$CQ56,0)</f>
        <v>0</v>
      </c>
      <c r="DC56" s="203">
        <f t="shared" ref="DC56" si="1489">IF($CU56="PROQUIMA",$BH56+$BQ56+$BZ56+$CI56+CR56,0)</f>
        <v>0</v>
      </c>
      <c r="DD56" s="203">
        <f t="shared" ref="DD56" si="1490">SUM(CV56:DC56)-CX56-CZ56</f>
        <v>0</v>
      </c>
      <c r="DE56" s="203">
        <f t="shared" ref="DE56" si="1491">IF($CU56="UNHESA",$BA56+$BJ56+$BS56+$CB56+$CK56,0)</f>
        <v>0</v>
      </c>
      <c r="DF56" s="203">
        <f t="shared" ref="DF56" si="1492">IF($CU56="UNHESA",$BB56+$BK56+$BT56+$CC56+$CL56,0)</f>
        <v>0</v>
      </c>
      <c r="DG56" s="203">
        <f t="shared" ref="DG56" si="1493">IF($CU56="UNHESA",$BC56+$BL56+$BU56+$CD56+$CM56,0)</f>
        <v>0</v>
      </c>
      <c r="DH56" s="203">
        <f t="shared" ref="DH56" si="1494">IF($CU56="UNHESA",$BD56+$BM56+$BV56+$CE56+$CN56,0)</f>
        <v>0</v>
      </c>
      <c r="DI56" s="203">
        <f t="shared" ref="DI56" si="1495">IF($CU56="UNHESA",$BE56+$BN56+$BW56+$CF56+$CO56,0)</f>
        <v>0</v>
      </c>
      <c r="DJ56" s="203">
        <f t="shared" ref="DJ56" si="1496">IF($CU56="UNHESA",$BF56+$BO56+$BX56+$CG56+$CP56,0)</f>
        <v>0</v>
      </c>
      <c r="DK56" s="203">
        <f t="shared" ref="DK56" si="1497">IF($CU56="UNHESA",$BG56+$BP56+$BY56+$CH56+$CQ56,0)</f>
        <v>0</v>
      </c>
      <c r="DL56" s="203">
        <f t="shared" ref="DL56" si="1498">IF($CU56="UNHESA",$BH56+$BQ56+$BZ56+$CI56+$CR56,0)</f>
        <v>0</v>
      </c>
      <c r="DM56" s="203">
        <f t="shared" ref="DM56" si="1499">SUM(DE56:DL56)-DG56-DI56</f>
        <v>0</v>
      </c>
      <c r="DN56" s="203">
        <f t="shared" ref="DN56" si="1500">IF($CU56="UNHESA LIQUIDOS",$BA56+$BJ56+$BS56+$CB56+$CK56,0)</f>
        <v>0</v>
      </c>
      <c r="DO56" s="203">
        <f t="shared" ref="DO56" si="1501">IF($CU56="CALIDUL",$BB56+$BK56+$BT56+$CC56+$CL56,0)</f>
        <v>0</v>
      </c>
      <c r="DP56" s="203">
        <f t="shared" ref="DP56" si="1502">IF($CU56="CALIDUL",$BC56+$BL56+$BU56+$CD56+$CM56,0)</f>
        <v>0</v>
      </c>
      <c r="DQ56" s="203">
        <f t="shared" ref="DQ56" si="1503">IF($CU56="CALIDUL",$BD56+$BM56+$BV56+$CE56+$CN56,0)</f>
        <v>0</v>
      </c>
      <c r="DR56" s="203">
        <f t="shared" ref="DR56" si="1504">IF($CU56="CALIDUL",$BE56+$BN56+$BW56+$CF56+$CO56,0)</f>
        <v>0</v>
      </c>
      <c r="DS56" s="203">
        <f t="shared" ref="DS56" si="1505">IF($CU56="CALIDUL",$BF56+$BO56+$BX56+$CG56+$CP56,0)</f>
        <v>0</v>
      </c>
      <c r="DT56" s="203">
        <f t="shared" ref="DT56" si="1506">IF($CU56="CALIDUL",$BG56+$BP56+$BY56+$CH56+$CQ56,0)</f>
        <v>0</v>
      </c>
      <c r="DU56" s="203">
        <f t="shared" ref="DU56" si="1507">IF($CU56="CALIDUL",$BH56+$BQ56+$BZ56+$CI56+$CR56,0)</f>
        <v>0</v>
      </c>
      <c r="DV56" s="203">
        <f t="shared" ref="DV56" si="1508">SUM(DN56:DU56)-DP56-DR56</f>
        <v>0</v>
      </c>
      <c r="DW56" s="241">
        <f>IF($CU56="CLEARTEC",$BA56+$BJ56+$BS56+$CB56+$CK56,0)</f>
        <v>0</v>
      </c>
      <c r="DX56" s="241">
        <f t="shared" ref="DX56:ED56" si="1509">IF($CU56="CLEARTEC",$BA56+$BJ56+$BS56+$CB56+$CK56,0)</f>
        <v>0</v>
      </c>
      <c r="DY56" s="241">
        <f t="shared" si="1509"/>
        <v>0</v>
      </c>
      <c r="DZ56" s="241">
        <f t="shared" si="1509"/>
        <v>0</v>
      </c>
      <c r="EA56" s="241">
        <f t="shared" si="1509"/>
        <v>0</v>
      </c>
      <c r="EB56" s="241">
        <f t="shared" si="1509"/>
        <v>0</v>
      </c>
      <c r="EC56" s="241">
        <f t="shared" si="1509"/>
        <v>0</v>
      </c>
      <c r="ED56" s="241">
        <f t="shared" si="1509"/>
        <v>0</v>
      </c>
      <c r="EE56" s="242">
        <f t="shared" ref="EE56" si="1510">SUM(DW56:ED56)-DY56-EA56</f>
        <v>0</v>
      </c>
      <c r="EF56" s="203">
        <f t="shared" ref="EF56" si="1511">IF(CU56="ECONACIONAL",$BA56+$BJ56+$BS56+$CB56+$CK56)</f>
        <v>6500</v>
      </c>
      <c r="EG56" s="242">
        <f t="shared" ref="EG56" si="1512">IF($CU56="ECONACIONAL",$BB56+$BK56+$BT56+$CC56+$CL56,0)</f>
        <v>4992.5200000000004</v>
      </c>
      <c r="EH56" s="203">
        <f t="shared" ref="EH56" si="1513">IF(CU56="ECONACIONAL",$BC56+$BL56+$BU56+$CD56+$CM56)</f>
        <v>0</v>
      </c>
      <c r="EI56" s="203">
        <f t="shared" ref="EI56" si="1514">IF(CU56="ECONACIONAL",$BD56+$DH56+$DQ56+$DZ56+BM56+BV56+CE56+CN56)</f>
        <v>0</v>
      </c>
      <c r="EJ56" s="242">
        <f t="shared" ref="EJ56" si="1515">IF($CU56="CLEARTEC",$BE56+$BN56+$BW56+$CF56+$CO56,0)</f>
        <v>0</v>
      </c>
      <c r="EK56" s="203">
        <f t="shared" ref="EK56" si="1516">IF(CU56="ECONACIONAL",$BF56+$BO56+$BX56+$CG56+$CP56)</f>
        <v>0</v>
      </c>
      <c r="EL56" s="203">
        <f t="shared" ref="EL56" si="1517">IF(CU56="ECONACIONAL",$BG56+$BP56+$BY56+$CH56+$CQ56)</f>
        <v>0</v>
      </c>
      <c r="EM56" s="203">
        <f t="shared" ref="EM56" si="1518">IF(CU56="ECONACIONAL",BH56+BQ56+BZ56+CI56+CR56)</f>
        <v>823.55000000000018</v>
      </c>
      <c r="EN56" s="203">
        <f t="shared" ref="EN56" si="1519">SUM(EF56:EM56)-EH56-EJ56</f>
        <v>12316.07</v>
      </c>
      <c r="EP56" s="201">
        <v>367.44</v>
      </c>
      <c r="EQ56" s="201"/>
      <c r="ER56" s="201"/>
      <c r="ES56" s="201"/>
      <c r="ET56" s="201"/>
      <c r="EU56" s="201"/>
      <c r="EV56" s="201">
        <v>350</v>
      </c>
      <c r="EW56" s="201"/>
      <c r="EX56" s="201"/>
      <c r="EY56" s="201">
        <f t="shared" ref="EY56" si="1520">+ET56+EU56+EV56</f>
        <v>350</v>
      </c>
      <c r="EZ56" s="954"/>
      <c r="FA56" s="207">
        <f t="shared" ref="FA56" si="1521">IF($M56&lt;=15,EP56/2,EP56)</f>
        <v>367.44</v>
      </c>
      <c r="FB56" s="207">
        <f t="shared" ref="FB56" si="1522">IF($M56&lt;=15,EQ56/2,EQ56)</f>
        <v>0</v>
      </c>
      <c r="FC56" s="207">
        <f t="shared" ref="FC56" si="1523">IF($M56&lt;=15,ER56/2,ER56)</f>
        <v>0</v>
      </c>
      <c r="FD56" s="207">
        <f t="shared" ref="FD56" si="1524">IF($M56&lt;=15,ES56/2,ES56)</f>
        <v>0</v>
      </c>
      <c r="FE56" s="207">
        <f t="shared" ref="FE56" si="1525">IF($M56&lt;=15,ET56/2,ET56)</f>
        <v>0</v>
      </c>
      <c r="FF56" s="207">
        <f t="shared" ref="FF56" si="1526">IF($M56&lt;=15,EU56/2,EU56)</f>
        <v>0</v>
      </c>
      <c r="FG56" s="207">
        <f t="shared" ref="FG56" si="1527">IF($M56&lt;=15,EV56/2,EV56)</f>
        <v>350</v>
      </c>
      <c r="FH56" s="207">
        <f t="shared" ref="FH56" si="1528">IF($M56&lt;=15,EW56/2,EW56)</f>
        <v>0</v>
      </c>
      <c r="FI56" s="207">
        <f>IF($M56&lt;=15,EX56/2,EX56)</f>
        <v>0</v>
      </c>
      <c r="FJ56" s="207">
        <f t="shared" ref="FJ56" si="1529">IF($M56&lt;=15,EY56/2,EY56)</f>
        <v>350</v>
      </c>
      <c r="FK56" s="217"/>
      <c r="FL56" s="217"/>
      <c r="FM56" s="217"/>
      <c r="FN56" s="217"/>
      <c r="FO56" s="217"/>
      <c r="FP56" s="217"/>
      <c r="FR56" s="1184">
        <f>(((J56/30/8)*1.5)*(U56+Y56+AC56))-(BD56+BM56+BV56)</f>
        <v>0</v>
      </c>
      <c r="FS56" s="1184">
        <f t="shared" ref="FS56" si="1530">(((J56/30/8)*2)*(W56+AA56+AE56))-(BF56+BO56+BX56)</f>
        <v>0</v>
      </c>
      <c r="FT56" s="1185">
        <f>(SUM(BA56:CJ56))-(SUM(EF56:EN56))</f>
        <v>0</v>
      </c>
      <c r="FU56" s="1184">
        <f>(J56/30*M56)-(EF56)</f>
        <v>0</v>
      </c>
      <c r="FV56" s="1186">
        <f>(SUM(EP56:EY56))-((SUM(FA56:FJ56))*$FV$5)</f>
        <v>-1067.44</v>
      </c>
    </row>
    <row r="57" spans="1:178" s="778" customFormat="1" ht="15.75" customHeight="1" outlineLevel="1">
      <c r="A57" s="1005" t="s">
        <v>52</v>
      </c>
      <c r="B57" s="1005" t="s">
        <v>52</v>
      </c>
      <c r="C57" s="1006" t="s">
        <v>52</v>
      </c>
      <c r="D57" s="776"/>
      <c r="E57" s="776"/>
      <c r="F57" s="776"/>
      <c r="G57" s="723"/>
      <c r="H57" s="717" t="s">
        <v>626</v>
      </c>
      <c r="J57" s="823">
        <f>SUM(J56)</f>
        <v>6500</v>
      </c>
      <c r="K57" s="823">
        <f t="shared" ref="K57:L57" si="1531">SUM(K56)</f>
        <v>3500</v>
      </c>
      <c r="L57" s="823">
        <f t="shared" si="1531"/>
        <v>10000</v>
      </c>
      <c r="M57" s="822"/>
      <c r="N57" s="798"/>
      <c r="O57" s="798"/>
      <c r="P57" s="798"/>
      <c r="Q57" s="798"/>
      <c r="R57" s="798"/>
      <c r="S57" s="798"/>
      <c r="T57" s="780"/>
      <c r="U57" s="823">
        <f t="shared" ref="U57:CF57" si="1532">SUM(U56)</f>
        <v>0</v>
      </c>
      <c r="V57" s="823">
        <f t="shared" si="1532"/>
        <v>0</v>
      </c>
      <c r="W57" s="823">
        <f t="shared" si="1532"/>
        <v>0</v>
      </c>
      <c r="X57" s="823">
        <f t="shared" si="1532"/>
        <v>0</v>
      </c>
      <c r="Y57" s="823">
        <f t="shared" si="1532"/>
        <v>0</v>
      </c>
      <c r="Z57" s="823">
        <f t="shared" si="1532"/>
        <v>0</v>
      </c>
      <c r="AA57" s="823">
        <f t="shared" si="1532"/>
        <v>0</v>
      </c>
      <c r="AB57" s="823">
        <f t="shared" si="1532"/>
        <v>0</v>
      </c>
      <c r="AC57" s="823">
        <f t="shared" si="1532"/>
        <v>0</v>
      </c>
      <c r="AD57" s="823">
        <f t="shared" si="1532"/>
        <v>0</v>
      </c>
      <c r="AE57" s="823">
        <f t="shared" si="1532"/>
        <v>0</v>
      </c>
      <c r="AF57" s="823">
        <f t="shared" si="1532"/>
        <v>0</v>
      </c>
      <c r="AG57" s="823">
        <f t="shared" si="1532"/>
        <v>0</v>
      </c>
      <c r="AH57" s="823">
        <f t="shared" si="1532"/>
        <v>0</v>
      </c>
      <c r="AI57" s="823">
        <f t="shared" si="1532"/>
        <v>0</v>
      </c>
      <c r="AJ57" s="823">
        <f t="shared" si="1532"/>
        <v>0</v>
      </c>
      <c r="AK57" s="823">
        <f t="shared" si="1532"/>
        <v>0</v>
      </c>
      <c r="AL57" s="823">
        <f t="shared" si="1532"/>
        <v>0</v>
      </c>
      <c r="AM57" s="823">
        <f t="shared" si="1532"/>
        <v>0</v>
      </c>
      <c r="AN57" s="823">
        <f t="shared" si="1532"/>
        <v>0</v>
      </c>
      <c r="AO57" s="823">
        <f t="shared" si="1532"/>
        <v>0</v>
      </c>
      <c r="AP57" s="823">
        <f t="shared" si="1532"/>
        <v>0</v>
      </c>
      <c r="AQ57" s="823">
        <f t="shared" si="1532"/>
        <v>0</v>
      </c>
      <c r="AR57" s="823">
        <f t="shared" si="1532"/>
        <v>0</v>
      </c>
      <c r="AS57" s="823">
        <f t="shared" si="1532"/>
        <v>0</v>
      </c>
      <c r="AT57" s="823">
        <f t="shared" si="1532"/>
        <v>0</v>
      </c>
      <c r="AU57" s="823">
        <f t="shared" si="1532"/>
        <v>0</v>
      </c>
      <c r="AV57" s="823">
        <f t="shared" si="1532"/>
        <v>0</v>
      </c>
      <c r="AW57" s="823">
        <f t="shared" si="1532"/>
        <v>0</v>
      </c>
      <c r="AX57" s="823">
        <f t="shared" si="1532"/>
        <v>0</v>
      </c>
      <c r="AY57" s="823">
        <f t="shared" si="1532"/>
        <v>0</v>
      </c>
      <c r="AZ57" s="823">
        <f t="shared" si="1532"/>
        <v>0</v>
      </c>
      <c r="BA57" s="823">
        <f>SUM(BA56)</f>
        <v>3575.0000000000005</v>
      </c>
      <c r="BB57" s="823">
        <f t="shared" si="1532"/>
        <v>2745.88</v>
      </c>
      <c r="BC57" s="823">
        <f t="shared" si="1532"/>
        <v>0</v>
      </c>
      <c r="BD57" s="823">
        <f t="shared" si="1532"/>
        <v>0</v>
      </c>
      <c r="BE57" s="823">
        <f t="shared" si="1532"/>
        <v>0</v>
      </c>
      <c r="BF57" s="823">
        <f t="shared" si="1532"/>
        <v>0</v>
      </c>
      <c r="BG57" s="823">
        <f t="shared" si="1532"/>
        <v>0</v>
      </c>
      <c r="BH57" s="823">
        <f t="shared" si="1532"/>
        <v>452.9525000000001</v>
      </c>
      <c r="BI57" s="823">
        <f t="shared" si="1532"/>
        <v>6773.8325000000013</v>
      </c>
      <c r="BJ57" s="823">
        <f t="shared" si="1532"/>
        <v>2275</v>
      </c>
      <c r="BK57" s="823">
        <f t="shared" si="1532"/>
        <v>1747.38</v>
      </c>
      <c r="BL57" s="823">
        <f t="shared" si="1532"/>
        <v>0</v>
      </c>
      <c r="BM57" s="823">
        <f t="shared" si="1532"/>
        <v>0</v>
      </c>
      <c r="BN57" s="823">
        <f t="shared" si="1532"/>
        <v>0</v>
      </c>
      <c r="BO57" s="823">
        <f t="shared" si="1532"/>
        <v>0</v>
      </c>
      <c r="BP57" s="823">
        <f t="shared" si="1532"/>
        <v>0</v>
      </c>
      <c r="BQ57" s="823">
        <f t="shared" si="1532"/>
        <v>288.24250000000001</v>
      </c>
      <c r="BR57" s="823">
        <f t="shared" si="1532"/>
        <v>4310.6225000000004</v>
      </c>
      <c r="BS57" s="823">
        <f t="shared" si="1532"/>
        <v>325</v>
      </c>
      <c r="BT57" s="823">
        <f t="shared" si="1532"/>
        <v>249.63</v>
      </c>
      <c r="BU57" s="823">
        <f t="shared" si="1532"/>
        <v>0</v>
      </c>
      <c r="BV57" s="823">
        <f t="shared" si="1532"/>
        <v>0</v>
      </c>
      <c r="BW57" s="823">
        <f t="shared" si="1532"/>
        <v>0</v>
      </c>
      <c r="BX57" s="823">
        <f t="shared" si="1532"/>
        <v>0</v>
      </c>
      <c r="BY57" s="823">
        <f t="shared" si="1532"/>
        <v>0</v>
      </c>
      <c r="BZ57" s="823">
        <f t="shared" si="1532"/>
        <v>41.177500000000002</v>
      </c>
      <c r="CA57" s="823">
        <f t="shared" si="1532"/>
        <v>615.8075</v>
      </c>
      <c r="CB57" s="823">
        <f t="shared" si="1532"/>
        <v>325</v>
      </c>
      <c r="CC57" s="823">
        <f t="shared" si="1532"/>
        <v>249.63</v>
      </c>
      <c r="CD57" s="823">
        <f t="shared" si="1532"/>
        <v>0</v>
      </c>
      <c r="CE57" s="823">
        <f t="shared" si="1532"/>
        <v>0</v>
      </c>
      <c r="CF57" s="823">
        <f t="shared" si="1532"/>
        <v>0</v>
      </c>
      <c r="CG57" s="823">
        <f t="shared" ref="CG57:ER57" si="1533">SUM(CG56)</f>
        <v>0</v>
      </c>
      <c r="CH57" s="823">
        <f t="shared" si="1533"/>
        <v>0</v>
      </c>
      <c r="CI57" s="823">
        <f t="shared" si="1533"/>
        <v>41.177500000000002</v>
      </c>
      <c r="CJ57" s="823">
        <f t="shared" si="1533"/>
        <v>615.8075</v>
      </c>
      <c r="CK57" s="823">
        <f t="shared" si="1533"/>
        <v>0</v>
      </c>
      <c r="CL57" s="823">
        <f t="shared" si="1533"/>
        <v>0</v>
      </c>
      <c r="CM57" s="823">
        <f t="shared" si="1533"/>
        <v>0</v>
      </c>
      <c r="CN57" s="823">
        <f t="shared" si="1533"/>
        <v>0</v>
      </c>
      <c r="CO57" s="823">
        <f t="shared" si="1533"/>
        <v>0</v>
      </c>
      <c r="CP57" s="823">
        <f t="shared" si="1533"/>
        <v>0</v>
      </c>
      <c r="CQ57" s="823">
        <f t="shared" si="1533"/>
        <v>0</v>
      </c>
      <c r="CR57" s="823">
        <f t="shared" si="1533"/>
        <v>0</v>
      </c>
      <c r="CS57" s="823">
        <f t="shared" si="1533"/>
        <v>0</v>
      </c>
      <c r="CT57" s="823">
        <f t="shared" si="1533"/>
        <v>0</v>
      </c>
      <c r="CU57" s="823">
        <f t="shared" si="1533"/>
        <v>0</v>
      </c>
      <c r="CV57" s="823">
        <f t="shared" si="1533"/>
        <v>0</v>
      </c>
      <c r="CW57" s="823">
        <f t="shared" si="1533"/>
        <v>0</v>
      </c>
      <c r="CX57" s="823">
        <f t="shared" si="1533"/>
        <v>0</v>
      </c>
      <c r="CY57" s="823">
        <f t="shared" si="1533"/>
        <v>0</v>
      </c>
      <c r="CZ57" s="823">
        <f t="shared" si="1533"/>
        <v>0</v>
      </c>
      <c r="DA57" s="823">
        <f t="shared" si="1533"/>
        <v>0</v>
      </c>
      <c r="DB57" s="823">
        <f t="shared" si="1533"/>
        <v>0</v>
      </c>
      <c r="DC57" s="823">
        <f t="shared" si="1533"/>
        <v>0</v>
      </c>
      <c r="DD57" s="823">
        <f t="shared" si="1533"/>
        <v>0</v>
      </c>
      <c r="DE57" s="823">
        <f t="shared" si="1533"/>
        <v>0</v>
      </c>
      <c r="DF57" s="823">
        <f t="shared" si="1533"/>
        <v>0</v>
      </c>
      <c r="DG57" s="823">
        <f t="shared" si="1533"/>
        <v>0</v>
      </c>
      <c r="DH57" s="823">
        <f t="shared" si="1533"/>
        <v>0</v>
      </c>
      <c r="DI57" s="823">
        <f t="shared" si="1533"/>
        <v>0</v>
      </c>
      <c r="DJ57" s="823">
        <f t="shared" si="1533"/>
        <v>0</v>
      </c>
      <c r="DK57" s="823">
        <f t="shared" si="1533"/>
        <v>0</v>
      </c>
      <c r="DL57" s="823">
        <f t="shared" si="1533"/>
        <v>0</v>
      </c>
      <c r="DM57" s="823">
        <f t="shared" si="1533"/>
        <v>0</v>
      </c>
      <c r="DN57" s="823">
        <f t="shared" si="1533"/>
        <v>0</v>
      </c>
      <c r="DO57" s="823">
        <f t="shared" si="1533"/>
        <v>0</v>
      </c>
      <c r="DP57" s="823">
        <f t="shared" si="1533"/>
        <v>0</v>
      </c>
      <c r="DQ57" s="823">
        <f t="shared" si="1533"/>
        <v>0</v>
      </c>
      <c r="DR57" s="823">
        <f t="shared" si="1533"/>
        <v>0</v>
      </c>
      <c r="DS57" s="823">
        <f t="shared" si="1533"/>
        <v>0</v>
      </c>
      <c r="DT57" s="823">
        <f t="shared" si="1533"/>
        <v>0</v>
      </c>
      <c r="DU57" s="823">
        <f t="shared" si="1533"/>
        <v>0</v>
      </c>
      <c r="DV57" s="823">
        <f t="shared" si="1533"/>
        <v>0</v>
      </c>
      <c r="DW57" s="823">
        <f t="shared" si="1533"/>
        <v>0</v>
      </c>
      <c r="DX57" s="823">
        <f t="shared" si="1533"/>
        <v>0</v>
      </c>
      <c r="DY57" s="823">
        <f t="shared" si="1533"/>
        <v>0</v>
      </c>
      <c r="DZ57" s="823">
        <f t="shared" si="1533"/>
        <v>0</v>
      </c>
      <c r="EA57" s="823">
        <f t="shared" si="1533"/>
        <v>0</v>
      </c>
      <c r="EB57" s="823">
        <f t="shared" si="1533"/>
        <v>0</v>
      </c>
      <c r="EC57" s="823">
        <f t="shared" si="1533"/>
        <v>0</v>
      </c>
      <c r="ED57" s="823">
        <f t="shared" si="1533"/>
        <v>0</v>
      </c>
      <c r="EE57" s="823">
        <f t="shared" si="1533"/>
        <v>0</v>
      </c>
      <c r="EF57" s="823">
        <f t="shared" si="1533"/>
        <v>6500</v>
      </c>
      <c r="EG57" s="823">
        <f t="shared" si="1533"/>
        <v>4992.5200000000004</v>
      </c>
      <c r="EH57" s="823">
        <f t="shared" si="1533"/>
        <v>0</v>
      </c>
      <c r="EI57" s="823">
        <f t="shared" si="1533"/>
        <v>0</v>
      </c>
      <c r="EJ57" s="823">
        <f t="shared" si="1533"/>
        <v>0</v>
      </c>
      <c r="EK57" s="823">
        <f t="shared" si="1533"/>
        <v>0</v>
      </c>
      <c r="EL57" s="823">
        <f t="shared" si="1533"/>
        <v>0</v>
      </c>
      <c r="EM57" s="823">
        <f t="shared" si="1533"/>
        <v>823.55000000000018</v>
      </c>
      <c r="EN57" s="823">
        <f t="shared" si="1533"/>
        <v>12316.07</v>
      </c>
      <c r="EO57" s="823"/>
      <c r="EP57" s="823">
        <f t="shared" si="1533"/>
        <v>367.44</v>
      </c>
      <c r="EQ57" s="823">
        <f t="shared" si="1533"/>
        <v>0</v>
      </c>
      <c r="ER57" s="823">
        <f t="shared" si="1533"/>
        <v>0</v>
      </c>
      <c r="ES57" s="823">
        <f t="shared" ref="ES57:FP57" si="1534">SUM(ES56)</f>
        <v>0</v>
      </c>
      <c r="ET57" s="823">
        <f t="shared" si="1534"/>
        <v>0</v>
      </c>
      <c r="EU57" s="823">
        <f t="shared" si="1534"/>
        <v>0</v>
      </c>
      <c r="EV57" s="823">
        <f t="shared" si="1534"/>
        <v>350</v>
      </c>
      <c r="EW57" s="823">
        <f t="shared" si="1534"/>
        <v>0</v>
      </c>
      <c r="EX57" s="823">
        <f t="shared" si="1534"/>
        <v>0</v>
      </c>
      <c r="EY57" s="823">
        <f t="shared" si="1534"/>
        <v>350</v>
      </c>
      <c r="EZ57" s="823"/>
      <c r="FA57" s="823">
        <f t="shared" si="1534"/>
        <v>367.44</v>
      </c>
      <c r="FB57" s="823">
        <f t="shared" si="1534"/>
        <v>0</v>
      </c>
      <c r="FC57" s="823">
        <f t="shared" si="1534"/>
        <v>0</v>
      </c>
      <c r="FD57" s="823">
        <f t="shared" si="1534"/>
        <v>0</v>
      </c>
      <c r="FE57" s="823">
        <f t="shared" si="1534"/>
        <v>0</v>
      </c>
      <c r="FF57" s="823">
        <f t="shared" si="1534"/>
        <v>0</v>
      </c>
      <c r="FG57" s="823">
        <f t="shared" si="1534"/>
        <v>350</v>
      </c>
      <c r="FH57" s="823">
        <f t="shared" si="1534"/>
        <v>0</v>
      </c>
      <c r="FI57" s="823">
        <f t="shared" si="1534"/>
        <v>0</v>
      </c>
      <c r="FJ57" s="823">
        <f t="shared" si="1534"/>
        <v>350</v>
      </c>
      <c r="FK57" s="823">
        <f t="shared" si="1534"/>
        <v>0</v>
      </c>
      <c r="FL57" s="823">
        <f t="shared" si="1534"/>
        <v>0</v>
      </c>
      <c r="FM57" s="823">
        <f t="shared" si="1534"/>
        <v>0</v>
      </c>
      <c r="FN57" s="823">
        <f t="shared" si="1534"/>
        <v>0</v>
      </c>
      <c r="FO57" s="823">
        <f t="shared" si="1534"/>
        <v>0</v>
      </c>
      <c r="FP57" s="823">
        <f t="shared" si="1534"/>
        <v>0</v>
      </c>
    </row>
    <row r="58" spans="1:178" s="778" customFormat="1" ht="15.75" customHeight="1" outlineLevel="1" thickBot="1">
      <c r="A58" s="1005" t="s">
        <v>52</v>
      </c>
      <c r="B58" s="1005" t="s">
        <v>52</v>
      </c>
      <c r="C58" s="1006" t="s">
        <v>52</v>
      </c>
      <c r="D58" s="776"/>
      <c r="E58" s="776"/>
      <c r="F58" s="776"/>
      <c r="G58" s="723"/>
      <c r="H58" s="717" t="s">
        <v>68</v>
      </c>
      <c r="J58" s="983">
        <f>+J48+J51+J54+J57</f>
        <v>61602.28</v>
      </c>
      <c r="K58" s="983">
        <f>+K48+K51+K54+K57</f>
        <v>20355.16</v>
      </c>
      <c r="L58" s="983">
        <f>+L48+L51+L54+L57</f>
        <v>81957.440000000002</v>
      </c>
      <c r="M58" s="822"/>
      <c r="N58" s="798"/>
      <c r="O58" s="798"/>
      <c r="P58" s="798"/>
      <c r="Q58" s="798"/>
      <c r="R58" s="798"/>
      <c r="S58" s="798"/>
      <c r="T58" s="780"/>
      <c r="U58" s="983">
        <f t="shared" ref="U58:CF58" si="1535">+U48+U51+U54+U57</f>
        <v>0</v>
      </c>
      <c r="V58" s="983">
        <f t="shared" si="1535"/>
        <v>0</v>
      </c>
      <c r="W58" s="983">
        <f t="shared" si="1535"/>
        <v>0</v>
      </c>
      <c r="X58" s="983">
        <f t="shared" si="1535"/>
        <v>0</v>
      </c>
      <c r="Y58" s="983">
        <f t="shared" si="1535"/>
        <v>0</v>
      </c>
      <c r="Z58" s="983">
        <f t="shared" si="1535"/>
        <v>0</v>
      </c>
      <c r="AA58" s="983">
        <f t="shared" si="1535"/>
        <v>0</v>
      </c>
      <c r="AB58" s="983">
        <f t="shared" si="1535"/>
        <v>0</v>
      </c>
      <c r="AC58" s="983">
        <f t="shared" si="1535"/>
        <v>0</v>
      </c>
      <c r="AD58" s="983">
        <f t="shared" si="1535"/>
        <v>0</v>
      </c>
      <c r="AE58" s="983">
        <f t="shared" si="1535"/>
        <v>0</v>
      </c>
      <c r="AF58" s="983">
        <f t="shared" si="1535"/>
        <v>0</v>
      </c>
      <c r="AG58" s="983">
        <f t="shared" si="1535"/>
        <v>0</v>
      </c>
      <c r="AH58" s="983">
        <f t="shared" si="1535"/>
        <v>0</v>
      </c>
      <c r="AI58" s="983">
        <f t="shared" si="1535"/>
        <v>0</v>
      </c>
      <c r="AJ58" s="983">
        <f t="shared" si="1535"/>
        <v>0</v>
      </c>
      <c r="AK58" s="983">
        <f t="shared" si="1535"/>
        <v>0</v>
      </c>
      <c r="AL58" s="983">
        <f t="shared" si="1535"/>
        <v>0</v>
      </c>
      <c r="AM58" s="983">
        <f t="shared" si="1535"/>
        <v>0</v>
      </c>
      <c r="AN58" s="983">
        <f t="shared" si="1535"/>
        <v>0</v>
      </c>
      <c r="AO58" s="983">
        <f t="shared" si="1535"/>
        <v>0</v>
      </c>
      <c r="AP58" s="983">
        <f t="shared" si="1535"/>
        <v>0</v>
      </c>
      <c r="AQ58" s="983">
        <f t="shared" si="1535"/>
        <v>0</v>
      </c>
      <c r="AR58" s="983">
        <f t="shared" si="1535"/>
        <v>0</v>
      </c>
      <c r="AS58" s="983">
        <f t="shared" si="1535"/>
        <v>0</v>
      </c>
      <c r="AT58" s="983">
        <f t="shared" si="1535"/>
        <v>0</v>
      </c>
      <c r="AU58" s="983">
        <f t="shared" si="1535"/>
        <v>0</v>
      </c>
      <c r="AV58" s="983">
        <f t="shared" si="1535"/>
        <v>0</v>
      </c>
      <c r="AW58" s="983">
        <f t="shared" si="1535"/>
        <v>0</v>
      </c>
      <c r="AX58" s="983">
        <f t="shared" si="1535"/>
        <v>0</v>
      </c>
      <c r="AY58" s="983">
        <f t="shared" si="1535"/>
        <v>0</v>
      </c>
      <c r="AZ58" s="983">
        <f t="shared" si="1535"/>
        <v>0</v>
      </c>
      <c r="BA58" s="983">
        <f>+BA48+BA51+BA54+BA57</f>
        <v>30038.4804</v>
      </c>
      <c r="BB58" s="983">
        <f t="shared" si="1535"/>
        <v>11876.0988</v>
      </c>
      <c r="BC58" s="983">
        <f t="shared" si="1535"/>
        <v>0</v>
      </c>
      <c r="BD58" s="983">
        <f t="shared" si="1535"/>
        <v>0</v>
      </c>
      <c r="BE58" s="983">
        <f t="shared" si="1535"/>
        <v>0</v>
      </c>
      <c r="BF58" s="983">
        <f t="shared" si="1535"/>
        <v>0</v>
      </c>
      <c r="BG58" s="983">
        <f t="shared" si="1535"/>
        <v>0</v>
      </c>
      <c r="BH58" s="983">
        <f t="shared" si="1535"/>
        <v>3805.8754666800005</v>
      </c>
      <c r="BI58" s="983">
        <f t="shared" si="1535"/>
        <v>45720.454666680002</v>
      </c>
      <c r="BJ58" s="983">
        <f t="shared" si="1535"/>
        <v>21478.457600000002</v>
      </c>
      <c r="BK58" s="983">
        <f t="shared" si="1535"/>
        <v>8832.5472000000009</v>
      </c>
      <c r="BL58" s="983">
        <f t="shared" si="1535"/>
        <v>0</v>
      </c>
      <c r="BM58" s="983">
        <f t="shared" si="1535"/>
        <v>0</v>
      </c>
      <c r="BN58" s="983">
        <f t="shared" si="1535"/>
        <v>0</v>
      </c>
      <c r="BO58" s="983">
        <f t="shared" si="1535"/>
        <v>0</v>
      </c>
      <c r="BP58" s="983">
        <f t="shared" si="1535"/>
        <v>0</v>
      </c>
      <c r="BQ58" s="983">
        <f t="shared" si="1535"/>
        <v>2721.3205779200002</v>
      </c>
      <c r="BR58" s="983">
        <f t="shared" si="1535"/>
        <v>33032.325377919995</v>
      </c>
      <c r="BS58" s="983">
        <f t="shared" si="1535"/>
        <v>2717.8420000000001</v>
      </c>
      <c r="BT58" s="983">
        <f t="shared" si="1535"/>
        <v>1064.404</v>
      </c>
      <c r="BU58" s="983">
        <f t="shared" si="1535"/>
        <v>0</v>
      </c>
      <c r="BV58" s="983">
        <f t="shared" si="1535"/>
        <v>0</v>
      </c>
      <c r="BW58" s="983">
        <f t="shared" si="1535"/>
        <v>0</v>
      </c>
      <c r="BX58" s="983">
        <f t="shared" si="1535"/>
        <v>0</v>
      </c>
      <c r="BY58" s="983">
        <f t="shared" si="1535"/>
        <v>0</v>
      </c>
      <c r="BZ58" s="983">
        <f t="shared" si="1535"/>
        <v>344.35058140000001</v>
      </c>
      <c r="CA58" s="983">
        <f t="shared" si="1535"/>
        <v>4126.5965814000001</v>
      </c>
      <c r="CB58" s="983">
        <f t="shared" si="1535"/>
        <v>7367.5</v>
      </c>
      <c r="CC58" s="983">
        <f t="shared" si="1535"/>
        <v>2574.63</v>
      </c>
      <c r="CD58" s="983">
        <f t="shared" si="1535"/>
        <v>0</v>
      </c>
      <c r="CE58" s="983">
        <f t="shared" si="1535"/>
        <v>0</v>
      </c>
      <c r="CF58" s="983">
        <f t="shared" si="1535"/>
        <v>0</v>
      </c>
      <c r="CG58" s="983">
        <f t="shared" ref="CG58:ER58" si="1536">+CG48+CG51+CG54+CG57</f>
        <v>0</v>
      </c>
      <c r="CH58" s="983">
        <f t="shared" si="1536"/>
        <v>0</v>
      </c>
      <c r="CI58" s="983">
        <f t="shared" si="1536"/>
        <v>933.46225000000004</v>
      </c>
      <c r="CJ58" s="983">
        <f t="shared" si="1536"/>
        <v>10875.59225</v>
      </c>
      <c r="CK58" s="983">
        <f t="shared" si="1536"/>
        <v>0</v>
      </c>
      <c r="CL58" s="983">
        <f t="shared" si="1536"/>
        <v>0</v>
      </c>
      <c r="CM58" s="983">
        <f t="shared" si="1536"/>
        <v>0</v>
      </c>
      <c r="CN58" s="983">
        <f t="shared" si="1536"/>
        <v>0</v>
      </c>
      <c r="CO58" s="983">
        <f t="shared" si="1536"/>
        <v>0</v>
      </c>
      <c r="CP58" s="983">
        <f t="shared" si="1536"/>
        <v>0</v>
      </c>
      <c r="CQ58" s="983">
        <f t="shared" si="1536"/>
        <v>0</v>
      </c>
      <c r="CR58" s="983">
        <f t="shared" si="1536"/>
        <v>0</v>
      </c>
      <c r="CS58" s="983">
        <f t="shared" si="1536"/>
        <v>0</v>
      </c>
      <c r="CT58" s="983">
        <f t="shared" si="1536"/>
        <v>0</v>
      </c>
      <c r="CU58" s="983" t="e">
        <f t="shared" si="1536"/>
        <v>#VALUE!</v>
      </c>
      <c r="CV58" s="983">
        <f t="shared" si="1536"/>
        <v>0</v>
      </c>
      <c r="CW58" s="983">
        <f t="shared" si="1536"/>
        <v>0</v>
      </c>
      <c r="CX58" s="983">
        <f t="shared" si="1536"/>
        <v>0</v>
      </c>
      <c r="CY58" s="983">
        <f t="shared" si="1536"/>
        <v>0</v>
      </c>
      <c r="CZ58" s="983">
        <f t="shared" si="1536"/>
        <v>0</v>
      </c>
      <c r="DA58" s="983">
        <f t="shared" si="1536"/>
        <v>0</v>
      </c>
      <c r="DB58" s="983">
        <f t="shared" si="1536"/>
        <v>0</v>
      </c>
      <c r="DC58" s="983">
        <f t="shared" si="1536"/>
        <v>0</v>
      </c>
      <c r="DD58" s="983">
        <f t="shared" si="1536"/>
        <v>0</v>
      </c>
      <c r="DE58" s="983">
        <f t="shared" si="1536"/>
        <v>0</v>
      </c>
      <c r="DF58" s="983">
        <f t="shared" si="1536"/>
        <v>0</v>
      </c>
      <c r="DG58" s="983">
        <f t="shared" si="1536"/>
        <v>0</v>
      </c>
      <c r="DH58" s="983">
        <f t="shared" si="1536"/>
        <v>0</v>
      </c>
      <c r="DI58" s="983">
        <f t="shared" si="1536"/>
        <v>0</v>
      </c>
      <c r="DJ58" s="983">
        <f t="shared" si="1536"/>
        <v>0</v>
      </c>
      <c r="DK58" s="983">
        <f t="shared" si="1536"/>
        <v>0</v>
      </c>
      <c r="DL58" s="983">
        <f t="shared" si="1536"/>
        <v>0</v>
      </c>
      <c r="DM58" s="983">
        <f t="shared" si="1536"/>
        <v>0</v>
      </c>
      <c r="DN58" s="983">
        <f t="shared" si="1536"/>
        <v>0</v>
      </c>
      <c r="DO58" s="983">
        <f t="shared" si="1536"/>
        <v>0</v>
      </c>
      <c r="DP58" s="983">
        <f t="shared" si="1536"/>
        <v>0</v>
      </c>
      <c r="DQ58" s="983">
        <f t="shared" si="1536"/>
        <v>0</v>
      </c>
      <c r="DR58" s="983">
        <f t="shared" si="1536"/>
        <v>0</v>
      </c>
      <c r="DS58" s="983">
        <f t="shared" si="1536"/>
        <v>0</v>
      </c>
      <c r="DT58" s="983">
        <f t="shared" si="1536"/>
        <v>0</v>
      </c>
      <c r="DU58" s="983">
        <f t="shared" si="1536"/>
        <v>0</v>
      </c>
      <c r="DV58" s="983">
        <f t="shared" si="1536"/>
        <v>0</v>
      </c>
      <c r="DW58" s="983">
        <f t="shared" si="1536"/>
        <v>0</v>
      </c>
      <c r="DX58" s="983">
        <f t="shared" si="1536"/>
        <v>0</v>
      </c>
      <c r="DY58" s="983">
        <f t="shared" si="1536"/>
        <v>0</v>
      </c>
      <c r="DZ58" s="983">
        <f t="shared" si="1536"/>
        <v>0</v>
      </c>
      <c r="EA58" s="983">
        <f t="shared" si="1536"/>
        <v>0</v>
      </c>
      <c r="EB58" s="983">
        <f t="shared" si="1536"/>
        <v>0</v>
      </c>
      <c r="EC58" s="983">
        <f t="shared" si="1536"/>
        <v>0</v>
      </c>
      <c r="ED58" s="983">
        <f t="shared" si="1536"/>
        <v>0</v>
      </c>
      <c r="EE58" s="983">
        <f t="shared" si="1536"/>
        <v>0</v>
      </c>
      <c r="EF58" s="983">
        <f t="shared" si="1536"/>
        <v>61602.28</v>
      </c>
      <c r="EG58" s="983">
        <f t="shared" si="1536"/>
        <v>24347.68</v>
      </c>
      <c r="EH58" s="983">
        <f t="shared" si="1536"/>
        <v>0</v>
      </c>
      <c r="EI58" s="983">
        <f t="shared" si="1536"/>
        <v>0</v>
      </c>
      <c r="EJ58" s="983">
        <f t="shared" si="1536"/>
        <v>0</v>
      </c>
      <c r="EK58" s="983">
        <f t="shared" si="1536"/>
        <v>0</v>
      </c>
      <c r="EL58" s="983">
        <f t="shared" si="1536"/>
        <v>0</v>
      </c>
      <c r="EM58" s="983">
        <f t="shared" si="1536"/>
        <v>7805.0088760000008</v>
      </c>
      <c r="EN58" s="983">
        <f t="shared" si="1536"/>
        <v>93754.968875999999</v>
      </c>
      <c r="EO58" s="983"/>
      <c r="EP58" s="983">
        <f t="shared" si="1536"/>
        <v>2462.6600000000003</v>
      </c>
      <c r="EQ58" s="983">
        <f t="shared" si="1536"/>
        <v>9519.84</v>
      </c>
      <c r="ER58" s="983">
        <f t="shared" si="1536"/>
        <v>200</v>
      </c>
      <c r="ES58" s="983">
        <f t="shared" ref="ES58:FJ58" si="1537">+ES48+ES51+ES54+ES57</f>
        <v>522</v>
      </c>
      <c r="ET58" s="983">
        <f t="shared" si="1537"/>
        <v>0</v>
      </c>
      <c r="EU58" s="983">
        <f t="shared" si="1537"/>
        <v>0</v>
      </c>
      <c r="EV58" s="983">
        <f t="shared" si="1537"/>
        <v>2118</v>
      </c>
      <c r="EW58" s="983">
        <f t="shared" si="1537"/>
        <v>0</v>
      </c>
      <c r="EX58" s="983">
        <f t="shared" si="1537"/>
        <v>0</v>
      </c>
      <c r="EY58" s="983">
        <f t="shared" si="1537"/>
        <v>2118</v>
      </c>
      <c r="EZ58" s="983"/>
      <c r="FA58" s="983">
        <f t="shared" si="1537"/>
        <v>2462.6600000000003</v>
      </c>
      <c r="FB58" s="983">
        <f t="shared" si="1537"/>
        <v>9519.84</v>
      </c>
      <c r="FC58" s="983">
        <f t="shared" si="1537"/>
        <v>200</v>
      </c>
      <c r="FD58" s="983">
        <f t="shared" si="1537"/>
        <v>522</v>
      </c>
      <c r="FE58" s="983">
        <f t="shared" si="1537"/>
        <v>0</v>
      </c>
      <c r="FF58" s="983">
        <f t="shared" si="1537"/>
        <v>0</v>
      </c>
      <c r="FG58" s="983">
        <f t="shared" si="1537"/>
        <v>2118</v>
      </c>
      <c r="FH58" s="983">
        <f t="shared" si="1537"/>
        <v>0</v>
      </c>
      <c r="FI58" s="983">
        <f t="shared" si="1537"/>
        <v>0</v>
      </c>
      <c r="FJ58" s="983">
        <f t="shared" si="1537"/>
        <v>2118</v>
      </c>
      <c r="FK58" s="799"/>
      <c r="FL58" s="799"/>
      <c r="FM58" s="799"/>
      <c r="FN58" s="799"/>
      <c r="FO58" s="799"/>
      <c r="FP58" s="799"/>
    </row>
    <row r="59" spans="1:178" s="778" customFormat="1" ht="15.75" customHeight="1" outlineLevel="1" thickTop="1">
      <c r="A59" s="1005" t="str">
        <f t="shared" si="253"/>
        <v>JUNIO  2026 2da QUINCENA</v>
      </c>
      <c r="B59" s="1005">
        <f t="shared" si="90"/>
        <v>2026</v>
      </c>
      <c r="C59" s="1006" t="str">
        <f t="shared" si="254"/>
        <v>JUNIO  2026 2da QUINCENA2026</v>
      </c>
      <c r="D59" s="776"/>
      <c r="E59" s="776">
        <v>303030</v>
      </c>
      <c r="F59" s="776"/>
      <c r="G59" s="723" t="s">
        <v>636</v>
      </c>
      <c r="H59" s="776"/>
      <c r="J59" s="823"/>
      <c r="K59" s="823"/>
      <c r="L59" s="823"/>
      <c r="M59" s="822"/>
      <c r="N59" s="798"/>
      <c r="O59" s="798"/>
      <c r="P59" s="798"/>
      <c r="Q59" s="798"/>
      <c r="R59" s="798"/>
      <c r="S59" s="798"/>
      <c r="T59" s="780"/>
      <c r="U59" s="824"/>
      <c r="V59" s="822"/>
      <c r="W59" s="824"/>
      <c r="X59" s="822"/>
      <c r="Y59" s="824"/>
      <c r="Z59" s="822"/>
      <c r="AA59" s="824"/>
      <c r="AB59" s="822"/>
      <c r="AC59" s="824"/>
      <c r="AD59" s="822"/>
      <c r="AE59" s="825"/>
      <c r="AF59" s="822"/>
      <c r="AG59" s="825"/>
      <c r="AH59" s="822"/>
      <c r="AI59" s="825"/>
      <c r="AJ59" s="822"/>
      <c r="AK59" s="822"/>
      <c r="AL59" s="822"/>
      <c r="AM59" s="825"/>
      <c r="AN59" s="822"/>
      <c r="AO59" s="822"/>
      <c r="AP59" s="822"/>
      <c r="AQ59" s="822"/>
      <c r="AR59" s="822"/>
      <c r="AS59" s="822"/>
      <c r="AT59" s="822"/>
      <c r="AU59" s="822"/>
      <c r="AV59" s="822"/>
      <c r="AW59" s="822"/>
      <c r="AX59" s="822"/>
      <c r="AY59" s="797"/>
      <c r="BA59" s="822"/>
      <c r="BB59" s="822"/>
      <c r="BC59" s="822"/>
      <c r="BD59" s="822"/>
      <c r="BE59" s="822"/>
      <c r="BF59" s="822"/>
      <c r="BG59" s="822"/>
      <c r="BH59" s="822"/>
      <c r="BI59" s="822"/>
      <c r="BJ59" s="822"/>
      <c r="BK59" s="822"/>
      <c r="BL59" s="822"/>
      <c r="BM59" s="822"/>
      <c r="BN59" s="822"/>
      <c r="BO59" s="822"/>
      <c r="BP59" s="822"/>
      <c r="BQ59" s="822"/>
      <c r="BR59" s="822"/>
      <c r="BS59" s="822"/>
      <c r="BT59" s="822"/>
      <c r="BU59" s="822"/>
      <c r="BV59" s="822"/>
      <c r="BW59" s="822"/>
      <c r="BX59" s="822"/>
      <c r="BY59" s="822"/>
      <c r="BZ59" s="822"/>
      <c r="CA59" s="822"/>
      <c r="CB59" s="822"/>
      <c r="CC59" s="822"/>
      <c r="CD59" s="822"/>
      <c r="CE59" s="822"/>
      <c r="CF59" s="822"/>
      <c r="CG59" s="822"/>
      <c r="CH59" s="822"/>
      <c r="CI59" s="822"/>
      <c r="CJ59" s="822"/>
      <c r="CK59" s="822"/>
      <c r="CL59" s="822"/>
      <c r="CM59" s="822"/>
      <c r="CN59" s="822"/>
      <c r="CO59" s="822"/>
      <c r="CP59" s="822"/>
      <c r="CQ59" s="822"/>
      <c r="CR59" s="822"/>
      <c r="CS59" s="822"/>
      <c r="CV59" s="802"/>
      <c r="CW59" s="802"/>
      <c r="CX59" s="802"/>
      <c r="CY59" s="802"/>
      <c r="CZ59" s="802"/>
      <c r="DA59" s="802"/>
      <c r="DB59" s="802"/>
      <c r="DC59" s="802"/>
      <c r="DD59" s="802"/>
      <c r="DE59" s="802"/>
      <c r="DF59" s="802"/>
      <c r="DG59" s="802"/>
      <c r="DH59" s="802"/>
      <c r="DI59" s="802"/>
      <c r="DJ59" s="802"/>
      <c r="DK59" s="802"/>
      <c r="DL59" s="802"/>
      <c r="DM59" s="797"/>
      <c r="DN59" s="802"/>
      <c r="DO59" s="802"/>
      <c r="DP59" s="802"/>
      <c r="DQ59" s="802"/>
      <c r="DR59" s="802"/>
      <c r="DS59" s="802"/>
      <c r="DT59" s="802"/>
      <c r="DU59" s="802"/>
      <c r="DV59" s="802"/>
      <c r="DW59" s="802"/>
      <c r="DX59" s="802"/>
      <c r="DY59" s="802"/>
      <c r="DZ59" s="802"/>
      <c r="EA59" s="802"/>
      <c r="EB59" s="802"/>
      <c r="EC59" s="802"/>
      <c r="ED59" s="802"/>
      <c r="EE59" s="802"/>
      <c r="EF59" s="802"/>
      <c r="EG59" s="802"/>
      <c r="EH59" s="802"/>
      <c r="EI59" s="802"/>
      <c r="EJ59" s="802"/>
      <c r="EK59" s="802"/>
      <c r="EL59" s="802"/>
      <c r="EM59" s="802"/>
      <c r="EN59" s="802"/>
      <c r="EP59" s="235"/>
      <c r="ES59" s="216"/>
      <c r="EZ59" s="717"/>
      <c r="FK59" s="799"/>
      <c r="FL59" s="799"/>
      <c r="FM59" s="799"/>
      <c r="FN59" s="799"/>
      <c r="FO59" s="799"/>
      <c r="FP59" s="799"/>
    </row>
    <row r="60" spans="1:178" s="778" customFormat="1" ht="15.75" customHeight="1" outlineLevel="1">
      <c r="A60" s="1005" t="str">
        <f t="shared" si="253"/>
        <v>JUNIO  2026 2da QUINCENA</v>
      </c>
      <c r="B60" s="1005">
        <f t="shared" si="90"/>
        <v>2026</v>
      </c>
      <c r="C60" s="1006" t="str">
        <f t="shared" si="254"/>
        <v>JUNIO  2026 2da QUINCENA2026</v>
      </c>
      <c r="D60" s="776"/>
      <c r="E60" s="776"/>
      <c r="F60" s="776"/>
      <c r="G60" s="723" t="s">
        <v>637</v>
      </c>
      <c r="H60" s="776"/>
      <c r="J60" s="823"/>
      <c r="K60" s="823"/>
      <c r="L60" s="823"/>
      <c r="M60" s="822"/>
      <c r="N60" s="798"/>
      <c r="O60" s="798"/>
      <c r="P60" s="798"/>
      <c r="Q60" s="798"/>
      <c r="R60" s="798"/>
      <c r="S60" s="798"/>
      <c r="T60" s="780"/>
      <c r="U60" s="824"/>
      <c r="V60" s="822"/>
      <c r="W60" s="824"/>
      <c r="X60" s="822"/>
      <c r="Y60" s="824"/>
      <c r="Z60" s="822"/>
      <c r="AA60" s="824"/>
      <c r="AB60" s="822"/>
      <c r="AC60" s="824"/>
      <c r="AD60" s="822"/>
      <c r="AE60" s="825"/>
      <c r="AF60" s="822"/>
      <c r="AG60" s="825"/>
      <c r="AH60" s="822"/>
      <c r="AI60" s="825"/>
      <c r="AJ60" s="822"/>
      <c r="AK60" s="822"/>
      <c r="AL60" s="822"/>
      <c r="AM60" s="825"/>
      <c r="AN60" s="822"/>
      <c r="AO60" s="822"/>
      <c r="AP60" s="822"/>
      <c r="AQ60" s="822"/>
      <c r="AR60" s="822"/>
      <c r="AS60" s="822"/>
      <c r="AT60" s="822"/>
      <c r="AU60" s="822"/>
      <c r="AV60" s="822"/>
      <c r="AW60" s="822"/>
      <c r="AX60" s="822"/>
      <c r="AY60" s="797"/>
      <c r="BA60" s="822"/>
      <c r="BB60" s="822"/>
      <c r="BC60" s="822"/>
      <c r="BD60" s="822"/>
      <c r="BE60" s="822"/>
      <c r="BF60" s="822"/>
      <c r="BG60" s="822"/>
      <c r="BH60" s="822"/>
      <c r="BI60" s="822"/>
      <c r="BJ60" s="822"/>
      <c r="BK60" s="822"/>
      <c r="BL60" s="822"/>
      <c r="BM60" s="822"/>
      <c r="BN60" s="822"/>
      <c r="BO60" s="822"/>
      <c r="BP60" s="822"/>
      <c r="BQ60" s="822"/>
      <c r="BR60" s="822"/>
      <c r="BS60" s="822"/>
      <c r="BT60" s="822"/>
      <c r="BU60" s="822"/>
      <c r="BV60" s="822"/>
      <c r="BW60" s="822"/>
      <c r="BX60" s="822"/>
      <c r="BY60" s="822"/>
      <c r="BZ60" s="822"/>
      <c r="CA60" s="822"/>
      <c r="CB60" s="822"/>
      <c r="CC60" s="822"/>
      <c r="CD60" s="822"/>
      <c r="CE60" s="822"/>
      <c r="CF60" s="822"/>
      <c r="CG60" s="822"/>
      <c r="CH60" s="822"/>
      <c r="CI60" s="822"/>
      <c r="CJ60" s="822"/>
      <c r="CK60" s="822"/>
      <c r="CL60" s="822"/>
      <c r="CM60" s="822"/>
      <c r="CN60" s="822"/>
      <c r="CO60" s="822"/>
      <c r="CP60" s="822"/>
      <c r="CQ60" s="822"/>
      <c r="CR60" s="822"/>
      <c r="CS60" s="822"/>
      <c r="CV60" s="802"/>
      <c r="CW60" s="802"/>
      <c r="CX60" s="802"/>
      <c r="CY60" s="802"/>
      <c r="CZ60" s="802"/>
      <c r="DA60" s="802"/>
      <c r="DB60" s="802"/>
      <c r="DC60" s="802"/>
      <c r="DD60" s="802"/>
      <c r="DE60" s="802"/>
      <c r="DF60" s="802"/>
      <c r="DG60" s="802"/>
      <c r="DH60" s="802"/>
      <c r="DI60" s="802"/>
      <c r="DJ60" s="802"/>
      <c r="DK60" s="802"/>
      <c r="DL60" s="802"/>
      <c r="DM60" s="797"/>
      <c r="DN60" s="802"/>
      <c r="DO60" s="802"/>
      <c r="DP60" s="802"/>
      <c r="DQ60" s="802"/>
      <c r="DR60" s="802"/>
      <c r="DS60" s="802"/>
      <c r="DT60" s="802"/>
      <c r="DU60" s="802"/>
      <c r="DV60" s="802"/>
      <c r="DW60" s="802"/>
      <c r="DX60" s="802"/>
      <c r="DY60" s="802"/>
      <c r="DZ60" s="802"/>
      <c r="EA60" s="802"/>
      <c r="EB60" s="802"/>
      <c r="EC60" s="802"/>
      <c r="ED60" s="802"/>
      <c r="EE60" s="802"/>
      <c r="EF60" s="802"/>
      <c r="EG60" s="802"/>
      <c r="EH60" s="802"/>
      <c r="EI60" s="802"/>
      <c r="EJ60" s="802"/>
      <c r="EK60" s="802"/>
      <c r="EL60" s="802"/>
      <c r="EM60" s="802"/>
      <c r="EN60" s="802"/>
      <c r="EP60" s="235"/>
      <c r="ES60" s="216"/>
      <c r="EZ60" s="717"/>
      <c r="FK60" s="799"/>
      <c r="FL60" s="799"/>
      <c r="FM60" s="799"/>
      <c r="FN60" s="799"/>
      <c r="FO60" s="799"/>
      <c r="FP60" s="799"/>
    </row>
    <row r="61" spans="1:178" s="778" customFormat="1" ht="15.75" customHeight="1" outlineLevel="1">
      <c r="A61" s="1005" t="str">
        <f t="shared" si="253"/>
        <v>JUNIO  2026 2da QUINCENA</v>
      </c>
      <c r="B61" s="1005">
        <f t="shared" si="90"/>
        <v>2026</v>
      </c>
      <c r="C61" s="1006" t="str">
        <f t="shared" si="254"/>
        <v>JUNIO  2026 2da QUINCENA2026</v>
      </c>
      <c r="D61" s="776"/>
      <c r="E61" s="776"/>
      <c r="F61" s="776"/>
      <c r="G61" s="723" t="s">
        <v>638</v>
      </c>
      <c r="H61" s="776"/>
      <c r="J61" s="823"/>
      <c r="K61" s="823"/>
      <c r="L61" s="823"/>
      <c r="M61" s="822"/>
      <c r="N61" s="798"/>
      <c r="O61" s="798"/>
      <c r="P61" s="798"/>
      <c r="Q61" s="798"/>
      <c r="R61" s="798"/>
      <c r="S61" s="798"/>
      <c r="T61" s="780"/>
      <c r="U61" s="824"/>
      <c r="V61" s="822"/>
      <c r="W61" s="824"/>
      <c r="X61" s="822"/>
      <c r="Y61" s="824"/>
      <c r="Z61" s="822"/>
      <c r="AA61" s="824"/>
      <c r="AB61" s="822"/>
      <c r="AC61" s="824"/>
      <c r="AD61" s="822"/>
      <c r="AE61" s="825"/>
      <c r="AF61" s="822"/>
      <c r="AG61" s="825"/>
      <c r="AH61" s="822"/>
      <c r="AI61" s="825"/>
      <c r="AJ61" s="822"/>
      <c r="AK61" s="822"/>
      <c r="AL61" s="822"/>
      <c r="AM61" s="825"/>
      <c r="AN61" s="822"/>
      <c r="AO61" s="822"/>
      <c r="AP61" s="822"/>
      <c r="AQ61" s="822"/>
      <c r="AR61" s="822"/>
      <c r="AS61" s="822"/>
      <c r="AT61" s="822"/>
      <c r="AU61" s="822"/>
      <c r="AV61" s="822"/>
      <c r="AW61" s="822"/>
      <c r="AX61" s="822"/>
      <c r="AY61" s="797"/>
      <c r="BA61" s="822"/>
      <c r="BB61" s="822"/>
      <c r="BC61" s="822"/>
      <c r="BD61" s="822"/>
      <c r="BE61" s="822"/>
      <c r="BF61" s="822"/>
      <c r="BG61" s="822"/>
      <c r="BH61" s="822"/>
      <c r="BI61" s="822"/>
      <c r="BJ61" s="822"/>
      <c r="BK61" s="822"/>
      <c r="BL61" s="822"/>
      <c r="BM61" s="822"/>
      <c r="BN61" s="822"/>
      <c r="BO61" s="822"/>
      <c r="BP61" s="822"/>
      <c r="BQ61" s="822"/>
      <c r="BR61" s="822"/>
      <c r="BS61" s="822"/>
      <c r="BT61" s="822"/>
      <c r="BU61" s="822"/>
      <c r="BV61" s="822"/>
      <c r="BW61" s="822"/>
      <c r="BX61" s="822"/>
      <c r="BY61" s="822"/>
      <c r="BZ61" s="822"/>
      <c r="CA61" s="822"/>
      <c r="CB61" s="822"/>
      <c r="CC61" s="822"/>
      <c r="CD61" s="822"/>
      <c r="CE61" s="822"/>
      <c r="CF61" s="822"/>
      <c r="CG61" s="822"/>
      <c r="CH61" s="822"/>
      <c r="CI61" s="822"/>
      <c r="CJ61" s="822"/>
      <c r="CK61" s="822"/>
      <c r="CL61" s="822"/>
      <c r="CM61" s="822"/>
      <c r="CN61" s="822"/>
      <c r="CO61" s="822"/>
      <c r="CP61" s="822"/>
      <c r="CQ61" s="822"/>
      <c r="CR61" s="822"/>
      <c r="CS61" s="822"/>
      <c r="CV61" s="802"/>
      <c r="CW61" s="802"/>
      <c r="CX61" s="802"/>
      <c r="CY61" s="802"/>
      <c r="CZ61" s="802"/>
      <c r="DA61" s="802"/>
      <c r="DB61" s="802"/>
      <c r="DC61" s="802"/>
      <c r="DD61" s="802"/>
      <c r="DE61" s="802"/>
      <c r="DF61" s="802"/>
      <c r="DG61" s="802"/>
      <c r="DH61" s="802"/>
      <c r="DI61" s="802"/>
      <c r="DJ61" s="802"/>
      <c r="DK61" s="802"/>
      <c r="DL61" s="802"/>
      <c r="DM61" s="797"/>
      <c r="DN61" s="802"/>
      <c r="DO61" s="802"/>
      <c r="DP61" s="802"/>
      <c r="DQ61" s="802"/>
      <c r="DR61" s="802"/>
      <c r="DS61" s="802"/>
      <c r="DT61" s="802"/>
      <c r="DU61" s="802"/>
      <c r="DV61" s="802"/>
      <c r="DW61" s="802"/>
      <c r="DX61" s="802"/>
      <c r="DY61" s="802"/>
      <c r="DZ61" s="802"/>
      <c r="EA61" s="802"/>
      <c r="EB61" s="802"/>
      <c r="EC61" s="802"/>
      <c r="ED61" s="802"/>
      <c r="EE61" s="802"/>
      <c r="EF61" s="802"/>
      <c r="EG61" s="802"/>
      <c r="EH61" s="802"/>
      <c r="EI61" s="802"/>
      <c r="EJ61" s="802"/>
      <c r="EK61" s="802"/>
      <c r="EL61" s="802"/>
      <c r="EM61" s="802"/>
      <c r="EN61" s="802"/>
      <c r="EP61" s="235"/>
      <c r="ES61" s="216"/>
      <c r="EZ61" s="717"/>
      <c r="FK61" s="799"/>
      <c r="FL61" s="799"/>
      <c r="FM61" s="799"/>
      <c r="FN61" s="799"/>
      <c r="FO61" s="799"/>
      <c r="FP61" s="799"/>
    </row>
    <row r="62" spans="1:178" s="778" customFormat="1" ht="15.75" customHeight="1" outlineLevel="1">
      <c r="A62" s="1005" t="str">
        <f t="shared" si="253"/>
        <v>JUNIO  2026 2da QUINCENA</v>
      </c>
      <c r="B62" s="1005">
        <f t="shared" si="90"/>
        <v>2026</v>
      </c>
      <c r="C62" s="1006" t="str">
        <f t="shared" si="254"/>
        <v>JUNIO  2026 2da QUINCENA2026</v>
      </c>
      <c r="D62" s="776"/>
      <c r="E62" s="776"/>
      <c r="F62" s="776"/>
      <c r="G62" s="723" t="s">
        <v>639</v>
      </c>
      <c r="H62" s="776"/>
      <c r="J62" s="823"/>
      <c r="K62" s="823"/>
      <c r="L62" s="823"/>
      <c r="M62" s="822"/>
      <c r="N62" s="798"/>
      <c r="O62" s="798"/>
      <c r="P62" s="798"/>
      <c r="Q62" s="798"/>
      <c r="R62" s="798"/>
      <c r="S62" s="798"/>
      <c r="T62" s="780"/>
      <c r="U62" s="824"/>
      <c r="V62" s="822"/>
      <c r="W62" s="824"/>
      <c r="X62" s="822"/>
      <c r="Y62" s="824"/>
      <c r="Z62" s="822"/>
      <c r="AA62" s="824"/>
      <c r="AB62" s="822"/>
      <c r="AC62" s="824"/>
      <c r="AD62" s="822"/>
      <c r="AE62" s="825"/>
      <c r="AF62" s="822"/>
      <c r="AG62" s="825"/>
      <c r="AH62" s="822"/>
      <c r="AI62" s="825"/>
      <c r="AJ62" s="822"/>
      <c r="AK62" s="822"/>
      <c r="AL62" s="822"/>
      <c r="AM62" s="825"/>
      <c r="AN62" s="822"/>
      <c r="AO62" s="822"/>
      <c r="AP62" s="822"/>
      <c r="AQ62" s="822"/>
      <c r="AR62" s="822"/>
      <c r="AS62" s="822"/>
      <c r="AT62" s="822"/>
      <c r="AU62" s="822"/>
      <c r="AV62" s="822"/>
      <c r="AW62" s="822"/>
      <c r="AX62" s="822"/>
      <c r="AY62" s="797"/>
      <c r="BA62" s="822"/>
      <c r="BB62" s="822"/>
      <c r="BC62" s="822"/>
      <c r="BD62" s="822"/>
      <c r="BE62" s="822"/>
      <c r="BF62" s="822"/>
      <c r="BG62" s="822"/>
      <c r="BH62" s="822"/>
      <c r="BI62" s="822"/>
      <c r="BJ62" s="822"/>
      <c r="BK62" s="822"/>
      <c r="BL62" s="822"/>
      <c r="BM62" s="822"/>
      <c r="BN62" s="822"/>
      <c r="BO62" s="822"/>
      <c r="BP62" s="822"/>
      <c r="BQ62" s="822"/>
      <c r="BR62" s="822"/>
      <c r="BS62" s="822"/>
      <c r="BT62" s="822"/>
      <c r="BU62" s="822"/>
      <c r="BV62" s="822"/>
      <c r="BW62" s="822"/>
      <c r="BX62" s="822"/>
      <c r="BY62" s="822"/>
      <c r="BZ62" s="822"/>
      <c r="CA62" s="822"/>
      <c r="CB62" s="822"/>
      <c r="CC62" s="822"/>
      <c r="CD62" s="822"/>
      <c r="CE62" s="822"/>
      <c r="CF62" s="822"/>
      <c r="CG62" s="822"/>
      <c r="CH62" s="822"/>
      <c r="CI62" s="822"/>
      <c r="CJ62" s="822"/>
      <c r="CK62" s="822"/>
      <c r="CL62" s="822"/>
      <c r="CM62" s="822"/>
      <c r="CN62" s="822"/>
      <c r="CO62" s="822"/>
      <c r="CP62" s="822"/>
      <c r="CQ62" s="822"/>
      <c r="CR62" s="822"/>
      <c r="CS62" s="822"/>
      <c r="CV62" s="802"/>
      <c r="CW62" s="802"/>
      <c r="CX62" s="802"/>
      <c r="CY62" s="802"/>
      <c r="CZ62" s="802"/>
      <c r="DA62" s="802"/>
      <c r="DB62" s="802"/>
      <c r="DC62" s="802"/>
      <c r="DD62" s="802"/>
      <c r="DE62" s="802"/>
      <c r="DF62" s="802"/>
      <c r="DG62" s="802"/>
      <c r="DH62" s="802"/>
      <c r="DI62" s="802"/>
      <c r="DJ62" s="802"/>
      <c r="DK62" s="802"/>
      <c r="DL62" s="802"/>
      <c r="DM62" s="797"/>
      <c r="DN62" s="802"/>
      <c r="DO62" s="802"/>
      <c r="DP62" s="802"/>
      <c r="DQ62" s="802"/>
      <c r="DR62" s="802"/>
      <c r="DS62" s="802"/>
      <c r="DT62" s="802"/>
      <c r="DU62" s="802"/>
      <c r="DV62" s="802"/>
      <c r="DW62" s="802"/>
      <c r="DX62" s="802"/>
      <c r="DY62" s="802"/>
      <c r="DZ62" s="802"/>
      <c r="EA62" s="802"/>
      <c r="EB62" s="802"/>
      <c r="EC62" s="802"/>
      <c r="ED62" s="802"/>
      <c r="EE62" s="802"/>
      <c r="EF62" s="802"/>
      <c r="EG62" s="802"/>
      <c r="EH62" s="802"/>
      <c r="EI62" s="802"/>
      <c r="EJ62" s="802"/>
      <c r="EK62" s="802"/>
      <c r="EL62" s="802"/>
      <c r="EM62" s="802"/>
      <c r="EN62" s="802"/>
      <c r="EP62" s="235"/>
      <c r="ES62" s="216"/>
      <c r="EZ62" s="717"/>
      <c r="FK62" s="799"/>
      <c r="FL62" s="799"/>
      <c r="FM62" s="799"/>
      <c r="FN62" s="799"/>
      <c r="FO62" s="799"/>
      <c r="FP62" s="799"/>
    </row>
    <row r="63" spans="1:178" s="778" customFormat="1" ht="15.75" customHeight="1" outlineLevel="1">
      <c r="A63" s="1005" t="str">
        <f t="shared" si="253"/>
        <v>JUNIO  2026 2da QUINCENA</v>
      </c>
      <c r="B63" s="1005">
        <f t="shared" si="90"/>
        <v>2026</v>
      </c>
      <c r="C63" s="1006" t="str">
        <f t="shared" si="254"/>
        <v>JUNIO  2026 2da QUINCENA2026</v>
      </c>
      <c r="D63" s="776"/>
      <c r="E63" s="776">
        <v>202010</v>
      </c>
      <c r="F63" s="776"/>
      <c r="G63" s="779" t="s">
        <v>159</v>
      </c>
      <c r="H63" s="776"/>
      <c r="J63" s="823"/>
      <c r="K63" s="823"/>
      <c r="L63" s="823"/>
      <c r="M63" s="822"/>
      <c r="N63" s="798"/>
      <c r="O63" s="798"/>
      <c r="P63" s="798"/>
      <c r="Q63" s="798"/>
      <c r="R63" s="798"/>
      <c r="S63" s="798"/>
      <c r="T63" s="780"/>
      <c r="U63" s="824"/>
      <c r="V63" s="822"/>
      <c r="W63" s="824"/>
      <c r="X63" s="822"/>
      <c r="Y63" s="824"/>
      <c r="Z63" s="822"/>
      <c r="AA63" s="824"/>
      <c r="AB63" s="822"/>
      <c r="AC63" s="824"/>
      <c r="AD63" s="822"/>
      <c r="AE63" s="825"/>
      <c r="AF63" s="822"/>
      <c r="AG63" s="825"/>
      <c r="AH63" s="822"/>
      <c r="AI63" s="825"/>
      <c r="AJ63" s="822"/>
      <c r="AK63" s="822"/>
      <c r="AL63" s="822"/>
      <c r="AM63" s="825"/>
      <c r="AN63" s="822"/>
      <c r="AO63" s="822"/>
      <c r="AP63" s="822"/>
      <c r="AQ63" s="822"/>
      <c r="AR63" s="822"/>
      <c r="AS63" s="822"/>
      <c r="AT63" s="822"/>
      <c r="AU63" s="822"/>
      <c r="AV63" s="822"/>
      <c r="AW63" s="822"/>
      <c r="AX63" s="822"/>
      <c r="AY63" s="797"/>
      <c r="BA63" s="822"/>
      <c r="BB63" s="822"/>
      <c r="BC63" s="822"/>
      <c r="BD63" s="822"/>
      <c r="BE63" s="822"/>
      <c r="BF63" s="822"/>
      <c r="BG63" s="822"/>
      <c r="BH63" s="822"/>
      <c r="BI63" s="822"/>
      <c r="BJ63" s="822"/>
      <c r="BK63" s="822"/>
      <c r="BL63" s="822"/>
      <c r="BM63" s="822"/>
      <c r="BN63" s="822"/>
      <c r="BO63" s="822"/>
      <c r="BP63" s="822"/>
      <c r="BQ63" s="822"/>
      <c r="BR63" s="822"/>
      <c r="BS63" s="822"/>
      <c r="BT63" s="822"/>
      <c r="BU63" s="822"/>
      <c r="BV63" s="822"/>
      <c r="BW63" s="822"/>
      <c r="BX63" s="822"/>
      <c r="BY63" s="822"/>
      <c r="BZ63" s="822"/>
      <c r="CA63" s="822"/>
      <c r="CB63" s="822"/>
      <c r="CC63" s="822"/>
      <c r="CD63" s="822"/>
      <c r="CE63" s="822"/>
      <c r="CF63" s="822"/>
      <c r="CG63" s="822"/>
      <c r="CH63" s="822"/>
      <c r="CI63" s="822"/>
      <c r="CJ63" s="822"/>
      <c r="CK63" s="822"/>
      <c r="CL63" s="822"/>
      <c r="CM63" s="822"/>
      <c r="CN63" s="822"/>
      <c r="CO63" s="822"/>
      <c r="CP63" s="822"/>
      <c r="CQ63" s="822"/>
      <c r="CR63" s="822"/>
      <c r="CS63" s="822"/>
      <c r="CV63" s="802"/>
      <c r="CW63" s="802"/>
      <c r="CX63" s="802"/>
      <c r="CY63" s="802"/>
      <c r="CZ63" s="802"/>
      <c r="DA63" s="802"/>
      <c r="DB63" s="802"/>
      <c r="DC63" s="802"/>
      <c r="DD63" s="802"/>
      <c r="DE63" s="802"/>
      <c r="DF63" s="802"/>
      <c r="DG63" s="802"/>
      <c r="DH63" s="802"/>
      <c r="DI63" s="802"/>
      <c r="DJ63" s="802"/>
      <c r="DK63" s="802"/>
      <c r="DL63" s="802"/>
      <c r="DM63" s="797"/>
      <c r="DN63" s="802"/>
      <c r="DO63" s="802"/>
      <c r="DP63" s="802"/>
      <c r="DQ63" s="802"/>
      <c r="DR63" s="802"/>
      <c r="DS63" s="802"/>
      <c r="DT63" s="802"/>
      <c r="DU63" s="802"/>
      <c r="DV63" s="802"/>
      <c r="DW63" s="802"/>
      <c r="DX63" s="802"/>
      <c r="DY63" s="802"/>
      <c r="DZ63" s="802"/>
      <c r="EA63" s="802"/>
      <c r="EB63" s="802"/>
      <c r="EC63" s="802"/>
      <c r="ED63" s="802"/>
      <c r="EE63" s="802"/>
      <c r="EF63" s="802"/>
      <c r="EG63" s="802"/>
      <c r="EH63" s="802"/>
      <c r="EI63" s="802"/>
      <c r="EJ63" s="802"/>
      <c r="EK63" s="802"/>
      <c r="EL63" s="802"/>
      <c r="EM63" s="802"/>
      <c r="EN63" s="802"/>
      <c r="EP63" s="235"/>
      <c r="ES63" s="216"/>
      <c r="EZ63" s="717"/>
      <c r="FK63" s="799"/>
      <c r="FL63" s="799"/>
      <c r="FM63" s="799"/>
      <c r="FN63" s="799"/>
      <c r="FO63" s="799"/>
      <c r="FP63" s="799"/>
    </row>
    <row r="64" spans="1:178" s="778" customFormat="1" ht="15.75" customHeight="1" outlineLevel="1">
      <c r="A64" s="1005" t="str">
        <f t="shared" si="253"/>
        <v>JUNIO  2026 2da QUINCENA</v>
      </c>
      <c r="B64" s="1005">
        <f t="shared" si="90"/>
        <v>2026</v>
      </c>
      <c r="C64" s="1006" t="str">
        <f t="shared" si="254"/>
        <v>JUNIO  2026 2da QUINCENA2026</v>
      </c>
      <c r="D64" s="776"/>
      <c r="E64" s="776">
        <v>202010</v>
      </c>
      <c r="F64" s="776"/>
      <c r="G64" s="723" t="s">
        <v>622</v>
      </c>
      <c r="H64" s="776"/>
      <c r="J64" s="823"/>
      <c r="K64" s="823"/>
      <c r="L64" s="823"/>
      <c r="M64" s="822"/>
      <c r="N64" s="798"/>
      <c r="O64" s="798"/>
      <c r="P64" s="798"/>
      <c r="Q64" s="798"/>
      <c r="R64" s="798"/>
      <c r="S64" s="798"/>
      <c r="T64" s="780"/>
      <c r="U64" s="824"/>
      <c r="V64" s="822"/>
      <c r="W64" s="824"/>
      <c r="X64" s="822"/>
      <c r="Y64" s="824"/>
      <c r="Z64" s="822"/>
      <c r="AA64" s="824"/>
      <c r="AB64" s="822"/>
      <c r="AC64" s="824"/>
      <c r="AD64" s="822"/>
      <c r="AE64" s="825"/>
      <c r="AF64" s="822"/>
      <c r="AG64" s="825"/>
      <c r="AH64" s="822"/>
      <c r="AI64" s="825"/>
      <c r="AJ64" s="822"/>
      <c r="AK64" s="822"/>
      <c r="AL64" s="822"/>
      <c r="AM64" s="825"/>
      <c r="AN64" s="822"/>
      <c r="AO64" s="822"/>
      <c r="AP64" s="822"/>
      <c r="AQ64" s="822"/>
      <c r="AR64" s="822"/>
      <c r="AS64" s="822"/>
      <c r="AT64" s="822"/>
      <c r="AU64" s="822"/>
      <c r="AV64" s="822"/>
      <c r="AW64" s="822"/>
      <c r="AX64" s="822"/>
      <c r="AY64" s="797"/>
      <c r="BA64" s="822"/>
      <c r="BB64" s="822"/>
      <c r="BC64" s="822"/>
      <c r="BD64" s="822"/>
      <c r="BE64" s="822"/>
      <c r="BF64" s="822"/>
      <c r="BG64" s="822"/>
      <c r="BH64" s="822"/>
      <c r="BI64" s="822"/>
      <c r="BJ64" s="822"/>
      <c r="BK64" s="822"/>
      <c r="BL64" s="822"/>
      <c r="BM64" s="822"/>
      <c r="BN64" s="822"/>
      <c r="BO64" s="822"/>
      <c r="BP64" s="822"/>
      <c r="BQ64" s="822"/>
      <c r="BR64" s="822"/>
      <c r="BS64" s="822"/>
      <c r="BT64" s="822"/>
      <c r="BU64" s="822"/>
      <c r="BV64" s="822"/>
      <c r="BW64" s="822"/>
      <c r="BX64" s="822"/>
      <c r="BY64" s="822"/>
      <c r="BZ64" s="822"/>
      <c r="CA64" s="822"/>
      <c r="CB64" s="822"/>
      <c r="CC64" s="822"/>
      <c r="CD64" s="822"/>
      <c r="CE64" s="822"/>
      <c r="CF64" s="822"/>
      <c r="CG64" s="822"/>
      <c r="CH64" s="822"/>
      <c r="CI64" s="822"/>
      <c r="CJ64" s="822"/>
      <c r="CK64" s="822"/>
      <c r="CL64" s="822"/>
      <c r="CM64" s="822"/>
      <c r="CN64" s="822"/>
      <c r="CO64" s="822"/>
      <c r="CP64" s="822"/>
      <c r="CQ64" s="822"/>
      <c r="CR64" s="822"/>
      <c r="CS64" s="822"/>
      <c r="CV64" s="802"/>
      <c r="CW64" s="802"/>
      <c r="CX64" s="802"/>
      <c r="CY64" s="802"/>
      <c r="CZ64" s="802"/>
      <c r="DA64" s="802"/>
      <c r="DB64" s="802"/>
      <c r="DC64" s="802"/>
      <c r="DD64" s="802"/>
      <c r="DE64" s="802"/>
      <c r="DF64" s="802"/>
      <c r="DG64" s="802"/>
      <c r="DH64" s="802"/>
      <c r="DI64" s="802"/>
      <c r="DJ64" s="802"/>
      <c r="DK64" s="802"/>
      <c r="DL64" s="802"/>
      <c r="DM64" s="797"/>
      <c r="DN64" s="802"/>
      <c r="DO64" s="802"/>
      <c r="DP64" s="802"/>
      <c r="DQ64" s="802"/>
      <c r="DR64" s="802"/>
      <c r="DS64" s="802"/>
      <c r="DT64" s="802"/>
      <c r="DU64" s="802"/>
      <c r="DV64" s="802"/>
      <c r="DW64" s="802"/>
      <c r="DX64" s="802"/>
      <c r="DY64" s="802"/>
      <c r="DZ64" s="802"/>
      <c r="EA64" s="802"/>
      <c r="EB64" s="802"/>
      <c r="EC64" s="802"/>
      <c r="ED64" s="802"/>
      <c r="EE64" s="802"/>
      <c r="EF64" s="802"/>
      <c r="EG64" s="802"/>
      <c r="EH64" s="802"/>
      <c r="EI64" s="802"/>
      <c r="EJ64" s="802"/>
      <c r="EK64" s="802"/>
      <c r="EL64" s="802"/>
      <c r="EM64" s="802"/>
      <c r="EN64" s="802"/>
      <c r="EP64" s="235"/>
      <c r="ES64" s="216"/>
      <c r="EZ64" s="717"/>
      <c r="FK64" s="799"/>
      <c r="FL64" s="799"/>
      <c r="FM64" s="799"/>
      <c r="FN64" s="799"/>
      <c r="FO64" s="799"/>
      <c r="FP64" s="799"/>
    </row>
    <row r="65" spans="1:178" s="778" customFormat="1" ht="15.75" customHeight="1" outlineLevel="1">
      <c r="A65" s="1005" t="s">
        <v>52</v>
      </c>
      <c r="B65" s="1005" t="s">
        <v>52</v>
      </c>
      <c r="C65" s="1006" t="s">
        <v>52</v>
      </c>
      <c r="D65" s="776"/>
      <c r="E65" s="776"/>
      <c r="F65" s="776"/>
      <c r="G65" s="723"/>
      <c r="H65" s="717"/>
      <c r="J65" s="863"/>
      <c r="K65" s="840"/>
      <c r="L65" s="840"/>
      <c r="M65" s="828"/>
      <c r="N65" s="828"/>
      <c r="O65" s="828"/>
      <c r="P65" s="828"/>
      <c r="Q65" s="828"/>
      <c r="R65" s="828"/>
      <c r="S65" s="828"/>
      <c r="T65" s="780"/>
      <c r="U65" s="840"/>
      <c r="V65" s="840"/>
      <c r="W65" s="840"/>
      <c r="X65" s="840"/>
      <c r="Y65" s="840"/>
      <c r="Z65" s="840"/>
      <c r="AA65" s="840"/>
      <c r="AB65" s="840"/>
      <c r="AC65" s="840"/>
      <c r="AD65" s="840"/>
      <c r="AE65" s="840"/>
      <c r="AF65" s="840"/>
      <c r="AG65" s="840"/>
      <c r="AH65" s="840"/>
      <c r="AI65" s="840"/>
      <c r="AJ65" s="840"/>
      <c r="AK65" s="840"/>
      <c r="AL65" s="840"/>
      <c r="AM65" s="840"/>
      <c r="AN65" s="840"/>
      <c r="AO65" s="840"/>
      <c r="AP65" s="840"/>
      <c r="AQ65" s="840"/>
      <c r="AR65" s="840"/>
      <c r="AS65" s="840"/>
      <c r="AT65" s="840"/>
      <c r="AU65" s="840"/>
      <c r="AV65" s="840"/>
      <c r="AW65" s="840"/>
      <c r="AX65" s="840"/>
      <c r="AY65" s="840"/>
      <c r="AZ65" s="833"/>
      <c r="BA65" s="840"/>
      <c r="BB65" s="840"/>
      <c r="BC65" s="840"/>
      <c r="BD65" s="840"/>
      <c r="BE65" s="840"/>
      <c r="BF65" s="840"/>
      <c r="BG65" s="840"/>
      <c r="BH65" s="840"/>
      <c r="BI65" s="840"/>
      <c r="BJ65" s="840"/>
      <c r="BK65" s="840"/>
      <c r="BL65" s="840"/>
      <c r="BM65" s="840"/>
      <c r="BN65" s="840"/>
      <c r="BO65" s="840"/>
      <c r="BP65" s="840"/>
      <c r="BQ65" s="840"/>
      <c r="BR65" s="840"/>
      <c r="BS65" s="840"/>
      <c r="BT65" s="840"/>
      <c r="BU65" s="840"/>
      <c r="BV65" s="840"/>
      <c r="BW65" s="840"/>
      <c r="BX65" s="840"/>
      <c r="BY65" s="840"/>
      <c r="BZ65" s="840"/>
      <c r="CA65" s="840"/>
      <c r="CB65" s="828"/>
      <c r="CC65" s="828"/>
      <c r="CD65" s="828"/>
      <c r="CE65" s="828"/>
      <c r="CF65" s="828"/>
      <c r="CG65" s="828"/>
      <c r="CH65" s="828"/>
      <c r="CI65" s="828"/>
      <c r="CJ65" s="828"/>
      <c r="CK65" s="828"/>
      <c r="CL65" s="828"/>
      <c r="CM65" s="828"/>
      <c r="CN65" s="828"/>
      <c r="CO65" s="828"/>
      <c r="CP65" s="828"/>
      <c r="CQ65" s="828"/>
      <c r="CR65" s="828"/>
      <c r="CS65" s="828"/>
      <c r="CV65" s="828"/>
      <c r="CW65" s="828"/>
      <c r="CX65" s="828"/>
      <c r="CY65" s="828"/>
      <c r="CZ65" s="828"/>
      <c r="DA65" s="828"/>
      <c r="DB65" s="828"/>
      <c r="DC65" s="828"/>
      <c r="DD65" s="828"/>
      <c r="DE65" s="828"/>
      <c r="DF65" s="828"/>
      <c r="DG65" s="828"/>
      <c r="DH65" s="828"/>
      <c r="DI65" s="828"/>
      <c r="DJ65" s="828"/>
      <c r="DK65" s="828"/>
      <c r="DL65" s="828"/>
      <c r="DM65" s="828"/>
      <c r="DN65" s="828"/>
      <c r="DO65" s="828"/>
      <c r="DP65" s="828"/>
      <c r="DQ65" s="828"/>
      <c r="DR65" s="828"/>
      <c r="DS65" s="828"/>
      <c r="DT65" s="828"/>
      <c r="DU65" s="828"/>
      <c r="DV65" s="828"/>
      <c r="DW65" s="822"/>
      <c r="DX65" s="822"/>
      <c r="DY65" s="822"/>
      <c r="DZ65" s="822"/>
      <c r="EA65" s="822"/>
      <c r="EB65" s="822"/>
      <c r="EC65" s="822"/>
      <c r="ED65" s="822"/>
      <c r="EE65" s="822"/>
      <c r="EF65" s="822"/>
      <c r="EG65" s="822"/>
      <c r="EH65" s="822"/>
      <c r="EI65" s="822"/>
      <c r="EJ65" s="822"/>
      <c r="EK65" s="822"/>
      <c r="EL65" s="822"/>
      <c r="EM65" s="822"/>
      <c r="EN65" s="822"/>
      <c r="EP65" s="863"/>
      <c r="EQ65" s="840"/>
      <c r="ER65" s="840"/>
      <c r="ES65" s="863"/>
      <c r="ET65" s="840"/>
      <c r="EU65" s="840"/>
      <c r="EV65" s="840"/>
      <c r="EW65" s="840"/>
      <c r="EX65" s="840"/>
      <c r="EY65" s="840"/>
      <c r="EZ65" s="717"/>
      <c r="FA65" s="828"/>
      <c r="FB65" s="828"/>
      <c r="FC65" s="828"/>
      <c r="FD65" s="828"/>
      <c r="FE65" s="828"/>
      <c r="FF65" s="828"/>
      <c r="FG65" s="828"/>
      <c r="FH65" s="828"/>
      <c r="FI65" s="828"/>
      <c r="FJ65" s="828"/>
      <c r="FK65" s="799"/>
      <c r="FL65" s="799"/>
      <c r="FM65" s="799"/>
      <c r="FN65" s="799"/>
      <c r="FO65" s="799"/>
      <c r="FP65" s="799"/>
    </row>
    <row r="66" spans="1:178" s="778" customFormat="1" ht="15.75" customHeight="1" outlineLevel="1">
      <c r="A66" s="1005" t="str">
        <f t="shared" si="253"/>
        <v>JUNIO  2026 2da QUINCENA</v>
      </c>
      <c r="B66" s="1005">
        <f t="shared" si="90"/>
        <v>2026</v>
      </c>
      <c r="C66" s="1006" t="str">
        <f t="shared" si="254"/>
        <v>JUNIO  2026 2da QUINCENA2026</v>
      </c>
      <c r="D66" s="776"/>
      <c r="E66" s="776">
        <v>301010</v>
      </c>
      <c r="F66" s="776"/>
      <c r="G66" s="779" t="s">
        <v>195</v>
      </c>
      <c r="H66" s="717"/>
      <c r="J66" s="863"/>
      <c r="K66" s="840"/>
      <c r="L66" s="840"/>
      <c r="M66" s="828"/>
      <c r="N66" s="828"/>
      <c r="O66" s="828"/>
      <c r="P66" s="828"/>
      <c r="Q66" s="828"/>
      <c r="R66" s="828"/>
      <c r="S66" s="828"/>
      <c r="T66" s="780"/>
      <c r="U66" s="840"/>
      <c r="V66" s="840"/>
      <c r="W66" s="840"/>
      <c r="X66" s="840"/>
      <c r="Y66" s="840"/>
      <c r="Z66" s="840"/>
      <c r="AA66" s="840"/>
      <c r="AB66" s="840"/>
      <c r="AC66" s="840"/>
      <c r="AD66" s="840"/>
      <c r="AE66" s="840"/>
      <c r="AF66" s="840"/>
      <c r="AG66" s="840"/>
      <c r="AH66" s="840"/>
      <c r="AI66" s="840"/>
      <c r="AJ66" s="840"/>
      <c r="AK66" s="840"/>
      <c r="AL66" s="840"/>
      <c r="AM66" s="840"/>
      <c r="AN66" s="840"/>
      <c r="AO66" s="840"/>
      <c r="AP66" s="840"/>
      <c r="AQ66" s="840"/>
      <c r="AR66" s="840"/>
      <c r="AS66" s="840"/>
      <c r="AT66" s="840"/>
      <c r="AU66" s="840"/>
      <c r="AV66" s="840"/>
      <c r="AW66" s="840"/>
      <c r="AX66" s="840"/>
      <c r="AY66" s="840"/>
      <c r="AZ66" s="833"/>
      <c r="BA66" s="840"/>
      <c r="BB66" s="840"/>
      <c r="BC66" s="840"/>
      <c r="BD66" s="840"/>
      <c r="BE66" s="840"/>
      <c r="BF66" s="840"/>
      <c r="BG66" s="840"/>
      <c r="BH66" s="840"/>
      <c r="BI66" s="840"/>
      <c r="BJ66" s="840"/>
      <c r="BK66" s="840"/>
      <c r="BL66" s="840"/>
      <c r="BM66" s="840"/>
      <c r="BN66" s="840"/>
      <c r="BO66" s="840"/>
      <c r="BP66" s="840"/>
      <c r="BQ66" s="840"/>
      <c r="BR66" s="840"/>
      <c r="BS66" s="840"/>
      <c r="BT66" s="840"/>
      <c r="BU66" s="840"/>
      <c r="BV66" s="840"/>
      <c r="BW66" s="840"/>
      <c r="BX66" s="840"/>
      <c r="BY66" s="840"/>
      <c r="BZ66" s="840"/>
      <c r="CA66" s="840"/>
      <c r="CB66" s="828"/>
      <c r="CC66" s="828"/>
      <c r="CD66" s="828"/>
      <c r="CE66" s="828"/>
      <c r="CF66" s="828"/>
      <c r="CG66" s="828"/>
      <c r="CH66" s="828"/>
      <c r="CI66" s="828"/>
      <c r="CJ66" s="828"/>
      <c r="CK66" s="828"/>
      <c r="CL66" s="828"/>
      <c r="CM66" s="828"/>
      <c r="CN66" s="828"/>
      <c r="CO66" s="828"/>
      <c r="CP66" s="828"/>
      <c r="CQ66" s="828"/>
      <c r="CR66" s="828"/>
      <c r="CS66" s="828"/>
      <c r="CV66" s="828"/>
      <c r="CW66" s="828"/>
      <c r="CX66" s="828"/>
      <c r="CY66" s="828"/>
      <c r="CZ66" s="828"/>
      <c r="DA66" s="828"/>
      <c r="DB66" s="828"/>
      <c r="DC66" s="828"/>
      <c r="DD66" s="828"/>
      <c r="DE66" s="828"/>
      <c r="DF66" s="828"/>
      <c r="DG66" s="828"/>
      <c r="DH66" s="828"/>
      <c r="DI66" s="828"/>
      <c r="DJ66" s="828"/>
      <c r="DK66" s="828"/>
      <c r="DL66" s="828"/>
      <c r="DM66" s="828"/>
      <c r="DN66" s="828"/>
      <c r="DO66" s="828"/>
      <c r="DP66" s="828"/>
      <c r="DQ66" s="828"/>
      <c r="DR66" s="828"/>
      <c r="DS66" s="828"/>
      <c r="DT66" s="828"/>
      <c r="DU66" s="828"/>
      <c r="DV66" s="828"/>
      <c r="DW66" s="822"/>
      <c r="DX66" s="822"/>
      <c r="DY66" s="822"/>
      <c r="DZ66" s="822"/>
      <c r="EA66" s="822"/>
      <c r="EB66" s="822"/>
      <c r="EC66" s="822"/>
      <c r="ED66" s="822"/>
      <c r="EE66" s="822"/>
      <c r="EF66" s="822"/>
      <c r="EG66" s="822"/>
      <c r="EH66" s="822"/>
      <c r="EI66" s="822"/>
      <c r="EJ66" s="822"/>
      <c r="EK66" s="822"/>
      <c r="EL66" s="822"/>
      <c r="EM66" s="822"/>
      <c r="EN66" s="822"/>
      <c r="EP66" s="863"/>
      <c r="EQ66" s="840"/>
      <c r="ER66" s="840"/>
      <c r="ES66" s="863"/>
      <c r="ET66" s="840"/>
      <c r="EU66" s="840"/>
      <c r="EV66" s="840"/>
      <c r="EW66" s="840"/>
      <c r="EX66" s="840"/>
      <c r="EY66" s="840"/>
      <c r="EZ66" s="717"/>
      <c r="FA66" s="828"/>
      <c r="FB66" s="828"/>
      <c r="FC66" s="828"/>
      <c r="FD66" s="828"/>
      <c r="FE66" s="828"/>
      <c r="FF66" s="828"/>
      <c r="FG66" s="828"/>
      <c r="FH66" s="828"/>
      <c r="FI66" s="828"/>
      <c r="FJ66" s="828"/>
      <c r="FK66" s="799"/>
      <c r="FL66" s="799"/>
      <c r="FM66" s="799"/>
      <c r="FN66" s="799"/>
      <c r="FO66" s="799"/>
      <c r="FP66" s="799"/>
    </row>
    <row r="67" spans="1:178" s="778" customFormat="1" ht="15.75" customHeight="1" outlineLevel="1">
      <c r="A67" s="1005" t="str">
        <f t="shared" si="253"/>
        <v>JUNIO  2026 2da QUINCENA</v>
      </c>
      <c r="B67" s="1005">
        <f t="shared" si="90"/>
        <v>2026</v>
      </c>
      <c r="C67" s="1006" t="str">
        <f t="shared" si="254"/>
        <v>JUNIO  2026 2da QUINCENA2026</v>
      </c>
      <c r="D67" s="776" t="str">
        <f>+$G$66</f>
        <v>Produccion</v>
      </c>
      <c r="E67" s="776">
        <v>301010</v>
      </c>
      <c r="F67" s="776"/>
      <c r="G67" s="723" t="s">
        <v>622</v>
      </c>
      <c r="H67" s="717"/>
      <c r="J67" s="863"/>
      <c r="K67" s="840"/>
      <c r="L67" s="840"/>
      <c r="M67" s="828"/>
      <c r="N67" s="828"/>
      <c r="O67" s="828"/>
      <c r="P67" s="828"/>
      <c r="Q67" s="828"/>
      <c r="R67" s="828"/>
      <c r="S67" s="828"/>
      <c r="T67" s="780"/>
      <c r="U67" s="840"/>
      <c r="V67" s="840"/>
      <c r="W67" s="840"/>
      <c r="X67" s="840"/>
      <c r="Y67" s="840"/>
      <c r="Z67" s="840"/>
      <c r="AA67" s="840"/>
      <c r="AB67" s="840"/>
      <c r="AC67" s="840"/>
      <c r="AD67" s="840"/>
      <c r="AE67" s="840"/>
      <c r="AF67" s="840"/>
      <c r="AG67" s="840"/>
      <c r="AH67" s="840"/>
      <c r="AI67" s="840"/>
      <c r="AJ67" s="840"/>
      <c r="AK67" s="840"/>
      <c r="AL67" s="840"/>
      <c r="AM67" s="840"/>
      <c r="AN67" s="840"/>
      <c r="AO67" s="840"/>
      <c r="AP67" s="840"/>
      <c r="AQ67" s="840"/>
      <c r="AR67" s="840"/>
      <c r="AS67" s="840"/>
      <c r="AT67" s="840"/>
      <c r="AU67" s="840"/>
      <c r="AV67" s="840"/>
      <c r="AW67" s="840"/>
      <c r="AX67" s="840"/>
      <c r="AY67" s="840"/>
      <c r="AZ67" s="833"/>
      <c r="BA67" s="840"/>
      <c r="BB67" s="840"/>
      <c r="BC67" s="840"/>
      <c r="BD67" s="840"/>
      <c r="BE67" s="840"/>
      <c r="BF67" s="840"/>
      <c r="BG67" s="840"/>
      <c r="BH67" s="840"/>
      <c r="BI67" s="840"/>
      <c r="BJ67" s="840"/>
      <c r="BK67" s="840"/>
      <c r="BL67" s="840"/>
      <c r="BM67" s="840"/>
      <c r="BN67" s="840"/>
      <c r="BO67" s="840"/>
      <c r="BP67" s="840"/>
      <c r="BQ67" s="840"/>
      <c r="BR67" s="840"/>
      <c r="BS67" s="840"/>
      <c r="BT67" s="840"/>
      <c r="BU67" s="840"/>
      <c r="BV67" s="840"/>
      <c r="BW67" s="840"/>
      <c r="BX67" s="840"/>
      <c r="BY67" s="840"/>
      <c r="BZ67" s="840"/>
      <c r="CA67" s="840"/>
      <c r="CB67" s="828"/>
      <c r="CC67" s="828"/>
      <c r="CD67" s="828"/>
      <c r="CE67" s="828"/>
      <c r="CF67" s="828"/>
      <c r="CG67" s="828"/>
      <c r="CH67" s="828"/>
      <c r="CI67" s="828"/>
      <c r="CJ67" s="828"/>
      <c r="CK67" s="828"/>
      <c r="CL67" s="828"/>
      <c r="CM67" s="828"/>
      <c r="CN67" s="828"/>
      <c r="CO67" s="828"/>
      <c r="CP67" s="828"/>
      <c r="CQ67" s="828"/>
      <c r="CR67" s="828"/>
      <c r="CS67" s="828"/>
      <c r="CV67" s="828"/>
      <c r="CW67" s="828"/>
      <c r="CX67" s="828"/>
      <c r="CY67" s="828"/>
      <c r="CZ67" s="828"/>
      <c r="DA67" s="828"/>
      <c r="DB67" s="828"/>
      <c r="DC67" s="828"/>
      <c r="DD67" s="828"/>
      <c r="DE67" s="828"/>
      <c r="DF67" s="828"/>
      <c r="DG67" s="828"/>
      <c r="DH67" s="828"/>
      <c r="DI67" s="828"/>
      <c r="DJ67" s="828"/>
      <c r="DK67" s="828"/>
      <c r="DL67" s="828"/>
      <c r="DM67" s="828"/>
      <c r="DN67" s="828"/>
      <c r="DO67" s="828"/>
      <c r="DP67" s="828"/>
      <c r="DQ67" s="828"/>
      <c r="DR67" s="828"/>
      <c r="DS67" s="828"/>
      <c r="DT67" s="828"/>
      <c r="DU67" s="828"/>
      <c r="DV67" s="828"/>
      <c r="DW67" s="822"/>
      <c r="DX67" s="822"/>
      <c r="DY67" s="822"/>
      <c r="DZ67" s="822"/>
      <c r="EA67" s="822"/>
      <c r="EB67" s="822"/>
      <c r="EC67" s="822"/>
      <c r="ED67" s="822"/>
      <c r="EE67" s="822"/>
      <c r="EF67" s="822"/>
      <c r="EG67" s="822"/>
      <c r="EH67" s="822"/>
      <c r="EI67" s="822"/>
      <c r="EJ67" s="822"/>
      <c r="EK67" s="822"/>
      <c r="EL67" s="822"/>
      <c r="EM67" s="822"/>
      <c r="EN67" s="822"/>
      <c r="EP67" s="863"/>
      <c r="EQ67" s="840"/>
      <c r="ER67" s="840"/>
      <c r="ES67" s="863"/>
      <c r="ET67" s="840"/>
      <c r="EU67" s="840"/>
      <c r="EV67" s="840"/>
      <c r="EW67" s="840"/>
      <c r="EX67" s="840"/>
      <c r="EY67" s="840"/>
      <c r="EZ67" s="717"/>
      <c r="FA67" s="828"/>
      <c r="FB67" s="828"/>
      <c r="FC67" s="828"/>
      <c r="FD67" s="828"/>
      <c r="FE67" s="828"/>
      <c r="FF67" s="828"/>
      <c r="FG67" s="828"/>
      <c r="FH67" s="828"/>
      <c r="FI67" s="828"/>
      <c r="FJ67" s="828"/>
      <c r="FK67" s="799"/>
      <c r="FL67" s="799"/>
      <c r="FM67" s="799"/>
      <c r="FN67" s="799"/>
      <c r="FO67" s="799"/>
      <c r="FP67" s="799"/>
    </row>
    <row r="68" spans="1:178" s="216" customFormat="1" ht="15" customHeight="1" outlineLevel="1">
      <c r="A68" s="1005"/>
      <c r="B68" s="1005"/>
      <c r="C68" s="1006"/>
      <c r="D68" s="776"/>
      <c r="E68" s="776"/>
      <c r="F68" s="268"/>
      <c r="G68" s="199"/>
      <c r="H68" s="200"/>
      <c r="I68" s="201"/>
      <c r="J68" s="202"/>
      <c r="K68" s="202"/>
      <c r="L68" s="202"/>
      <c r="M68" s="203"/>
      <c r="N68" s="837"/>
      <c r="O68" s="270"/>
      <c r="P68" s="270"/>
      <c r="Q68" s="204"/>
      <c r="R68" s="204"/>
      <c r="S68" s="204"/>
      <c r="T68" s="205"/>
      <c r="U68" s="238"/>
      <c r="V68" s="203"/>
      <c r="W68" s="265"/>
      <c r="X68" s="239"/>
      <c r="Y68" s="865"/>
      <c r="Z68" s="239"/>
      <c r="AA68" s="265"/>
      <c r="AB68" s="203"/>
      <c r="AC68" s="207"/>
      <c r="AD68" s="203"/>
      <c r="AE68" s="208"/>
      <c r="AF68" s="203"/>
      <c r="AG68" s="208"/>
      <c r="AH68" s="203"/>
      <c r="AI68" s="208"/>
      <c r="AJ68" s="203"/>
      <c r="AK68" s="203"/>
      <c r="AL68" s="203"/>
      <c r="AM68" s="208"/>
      <c r="AN68" s="203"/>
      <c r="AO68" s="202"/>
      <c r="AP68" s="202"/>
      <c r="AQ68" s="202"/>
      <c r="AR68" s="202"/>
      <c r="AS68" s="202"/>
      <c r="AT68" s="202"/>
      <c r="AU68" s="202"/>
      <c r="AV68" s="202"/>
      <c r="AW68" s="202"/>
      <c r="AX68" s="202"/>
      <c r="AY68" s="202"/>
      <c r="AZ68" s="212"/>
      <c r="BA68" s="203"/>
      <c r="BB68" s="239"/>
      <c r="BC68" s="203"/>
      <c r="BD68" s="203"/>
      <c r="BE68" s="203"/>
      <c r="BF68" s="203"/>
      <c r="BG68" s="203"/>
      <c r="BH68" s="203"/>
      <c r="BI68" s="203"/>
      <c r="BJ68" s="239"/>
      <c r="BK68" s="239"/>
      <c r="BL68" s="203"/>
      <c r="BM68" s="203"/>
      <c r="BN68" s="203"/>
      <c r="BO68" s="203"/>
      <c r="BP68" s="203"/>
      <c r="BQ68" s="203"/>
      <c r="BR68" s="202"/>
      <c r="BS68" s="203"/>
      <c r="BT68" s="203"/>
      <c r="BU68" s="203"/>
      <c r="BV68" s="203"/>
      <c r="BW68" s="203"/>
      <c r="BX68" s="203"/>
      <c r="BY68" s="203"/>
      <c r="BZ68" s="203"/>
      <c r="CA68" s="203"/>
      <c r="CB68" s="241"/>
      <c r="CC68" s="242"/>
      <c r="CD68" s="242"/>
      <c r="CE68" s="242"/>
      <c r="CF68" s="242"/>
      <c r="CG68" s="242"/>
      <c r="CH68" s="242"/>
      <c r="CI68" s="242"/>
      <c r="CJ68" s="242"/>
      <c r="CK68" s="242"/>
      <c r="CL68" s="242"/>
      <c r="CM68" s="242"/>
      <c r="CN68" s="242"/>
      <c r="CO68" s="242"/>
      <c r="CP68" s="242"/>
      <c r="CQ68" s="242"/>
      <c r="CR68" s="242"/>
      <c r="CS68" s="243"/>
      <c r="CU68" s="201"/>
      <c r="CV68" s="203"/>
      <c r="CW68" s="203"/>
      <c r="CX68" s="203"/>
      <c r="CY68" s="203"/>
      <c r="CZ68" s="203"/>
      <c r="DA68" s="203"/>
      <c r="DB68" s="203"/>
      <c r="DC68" s="203"/>
      <c r="DD68" s="203"/>
      <c r="DE68" s="203"/>
      <c r="DF68" s="203"/>
      <c r="DG68" s="203"/>
      <c r="DH68" s="203"/>
      <c r="DI68" s="203"/>
      <c r="DJ68" s="203"/>
      <c r="DK68" s="203"/>
      <c r="DL68" s="203"/>
      <c r="DM68" s="203"/>
      <c r="DN68" s="210"/>
      <c r="DO68" s="210"/>
      <c r="DP68" s="210"/>
      <c r="DQ68" s="210"/>
      <c r="DR68" s="210"/>
      <c r="DS68" s="210"/>
      <c r="DT68" s="210"/>
      <c r="DU68" s="210"/>
      <c r="DV68" s="210"/>
      <c r="DW68" s="241"/>
      <c r="DX68" s="241"/>
      <c r="DY68" s="241"/>
      <c r="DZ68" s="241"/>
      <c r="EA68" s="241"/>
      <c r="EB68" s="241"/>
      <c r="EC68" s="241"/>
      <c r="ED68" s="241"/>
      <c r="EE68" s="242"/>
      <c r="EF68" s="203"/>
      <c r="EG68" s="242"/>
      <c r="EH68" s="203"/>
      <c r="EI68" s="203"/>
      <c r="EJ68" s="242"/>
      <c r="EK68" s="203"/>
      <c r="EL68" s="203"/>
      <c r="EM68" s="203"/>
      <c r="EN68" s="203"/>
      <c r="EP68" s="1191"/>
      <c r="EQ68" s="786"/>
      <c r="ER68" s="200"/>
      <c r="ES68" s="201"/>
      <c r="ET68" s="201"/>
      <c r="EU68" s="201"/>
      <c r="EV68" s="201"/>
      <c r="EW68" s="201"/>
      <c r="EX68" s="200"/>
      <c r="EY68" s="201"/>
      <c r="EZ68" s="820"/>
      <c r="FA68" s="207"/>
      <c r="FB68" s="207"/>
      <c r="FC68" s="207"/>
      <c r="FD68" s="207"/>
      <c r="FE68" s="207"/>
      <c r="FF68" s="207"/>
      <c r="FG68" s="207"/>
      <c r="FH68" s="207"/>
      <c r="FI68" s="207"/>
      <c r="FJ68" s="207"/>
      <c r="FK68" s="217"/>
      <c r="FL68" s="217"/>
      <c r="FM68" s="217"/>
      <c r="FN68" s="217"/>
      <c r="FO68" s="217"/>
      <c r="FP68" s="217"/>
      <c r="FR68" s="1177"/>
      <c r="FS68" s="1177"/>
      <c r="FT68" s="1178"/>
      <c r="FU68" s="1177"/>
      <c r="FV68" s="1181"/>
    </row>
    <row r="69" spans="1:178" s="843" customFormat="1" ht="15" customHeight="1" outlineLevel="1">
      <c r="A69" s="1005"/>
      <c r="B69" s="1005"/>
      <c r="C69" s="1006"/>
      <c r="D69" s="235"/>
      <c r="E69" s="776"/>
      <c r="F69" s="268"/>
      <c r="G69" s="199"/>
      <c r="H69" s="200"/>
      <c r="I69" s="201"/>
      <c r="J69" s="203"/>
      <c r="K69" s="881"/>
      <c r="L69" s="881"/>
      <c r="M69" s="203"/>
      <c r="N69" s="866"/>
      <c r="O69" s="866"/>
      <c r="P69" s="866"/>
      <c r="Q69" s="204"/>
      <c r="R69" s="819"/>
      <c r="S69" s="204"/>
      <c r="T69" s="235"/>
      <c r="U69" s="206"/>
      <c r="V69" s="203"/>
      <c r="W69" s="265"/>
      <c r="X69" s="239"/>
      <c r="Y69" s="265"/>
      <c r="Z69" s="239"/>
      <c r="AA69" s="265"/>
      <c r="AB69" s="203"/>
      <c r="AC69" s="207"/>
      <c r="AD69" s="203"/>
      <c r="AE69" s="208"/>
      <c r="AF69" s="203"/>
      <c r="AG69" s="208"/>
      <c r="AH69" s="203"/>
      <c r="AI69" s="208"/>
      <c r="AJ69" s="203"/>
      <c r="AK69" s="203"/>
      <c r="AL69" s="203"/>
      <c r="AM69" s="208"/>
      <c r="AN69" s="203"/>
      <c r="AO69" s="202"/>
      <c r="AP69" s="202"/>
      <c r="AQ69" s="202"/>
      <c r="AR69" s="202"/>
      <c r="AS69" s="202"/>
      <c r="AT69" s="203"/>
      <c r="AU69" s="202"/>
      <c r="AV69" s="202"/>
      <c r="AW69" s="202"/>
      <c r="AX69" s="202"/>
      <c r="AY69" s="202"/>
      <c r="AZ69" s="212"/>
      <c r="BA69" s="203"/>
      <c r="BB69" s="239"/>
      <c r="BC69" s="203"/>
      <c r="BD69" s="203"/>
      <c r="BE69" s="203"/>
      <c r="BF69" s="203"/>
      <c r="BG69" s="203"/>
      <c r="BH69" s="203"/>
      <c r="BI69" s="203"/>
      <c r="BJ69" s="239"/>
      <c r="BK69" s="239"/>
      <c r="BL69" s="203"/>
      <c r="BM69" s="203"/>
      <c r="BN69" s="203"/>
      <c r="BO69" s="203"/>
      <c r="BP69" s="203"/>
      <c r="BQ69" s="203"/>
      <c r="BR69" s="202"/>
      <c r="BS69" s="203"/>
      <c r="BT69" s="203"/>
      <c r="BU69" s="203"/>
      <c r="BV69" s="203"/>
      <c r="BW69" s="203"/>
      <c r="BX69" s="203"/>
      <c r="BY69" s="203"/>
      <c r="BZ69" s="203"/>
      <c r="CA69" s="203"/>
      <c r="CB69" s="241"/>
      <c r="CC69" s="242"/>
      <c r="CD69" s="242"/>
      <c r="CE69" s="242"/>
      <c r="CF69" s="242"/>
      <c r="CG69" s="242"/>
      <c r="CH69" s="242"/>
      <c r="CI69" s="242"/>
      <c r="CJ69" s="242"/>
      <c r="CK69" s="242"/>
      <c r="CL69" s="242"/>
      <c r="CM69" s="242"/>
      <c r="CN69" s="242"/>
      <c r="CO69" s="242"/>
      <c r="CP69" s="242"/>
      <c r="CQ69" s="242"/>
      <c r="CR69" s="242"/>
      <c r="CS69" s="243"/>
      <c r="CU69" s="201"/>
      <c r="CV69" s="203"/>
      <c r="CW69" s="203"/>
      <c r="CX69" s="203"/>
      <c r="CY69" s="203"/>
      <c r="CZ69" s="203"/>
      <c r="DA69" s="203"/>
      <c r="DB69" s="203"/>
      <c r="DC69" s="203"/>
      <c r="DD69" s="203"/>
      <c r="DE69" s="203"/>
      <c r="DF69" s="203"/>
      <c r="DG69" s="203"/>
      <c r="DH69" s="203"/>
      <c r="DI69" s="203"/>
      <c r="DJ69" s="203"/>
      <c r="DK69" s="203"/>
      <c r="DL69" s="203"/>
      <c r="DM69" s="203"/>
      <c r="DN69" s="210"/>
      <c r="DO69" s="210"/>
      <c r="DP69" s="210"/>
      <c r="DQ69" s="210"/>
      <c r="DR69" s="210"/>
      <c r="DS69" s="210"/>
      <c r="DT69" s="210"/>
      <c r="DU69" s="210"/>
      <c r="DV69" s="210"/>
      <c r="DW69" s="241"/>
      <c r="DX69" s="241"/>
      <c r="DY69" s="241"/>
      <c r="DZ69" s="241"/>
      <c r="EA69" s="241"/>
      <c r="EB69" s="241"/>
      <c r="EC69" s="241"/>
      <c r="ED69" s="241"/>
      <c r="EE69" s="242"/>
      <c r="EF69" s="203"/>
      <c r="EG69" s="242"/>
      <c r="EH69" s="203"/>
      <c r="EI69" s="203"/>
      <c r="EJ69" s="242"/>
      <c r="EK69" s="203"/>
      <c r="EL69" s="203"/>
      <c r="EM69" s="203"/>
      <c r="EN69" s="203"/>
      <c r="EP69" s="1192"/>
      <c r="EQ69" s="201"/>
      <c r="ER69" s="201"/>
      <c r="ES69" s="201"/>
      <c r="ET69" s="201"/>
      <c r="EU69" s="201"/>
      <c r="EV69" s="201"/>
      <c r="EW69" s="201"/>
      <c r="EX69" s="200"/>
      <c r="EY69" s="201"/>
      <c r="EZ69" s="820"/>
      <c r="FA69" s="207"/>
      <c r="FB69" s="207"/>
      <c r="FC69" s="207"/>
      <c r="FD69" s="207"/>
      <c r="FE69" s="207"/>
      <c r="FF69" s="207"/>
      <c r="FG69" s="207"/>
      <c r="FH69" s="207"/>
      <c r="FI69" s="207"/>
      <c r="FJ69" s="207"/>
      <c r="FK69" s="217"/>
      <c r="FL69" s="217"/>
      <c r="FM69" s="217"/>
      <c r="FN69" s="217"/>
      <c r="FO69" s="217"/>
      <c r="FP69" s="217"/>
      <c r="FQ69" s="216"/>
      <c r="FR69" s="1177"/>
      <c r="FS69" s="1177"/>
      <c r="FT69" s="1178"/>
      <c r="FU69" s="1177"/>
      <c r="FV69" s="1181"/>
    </row>
    <row r="70" spans="1:178" s="778" customFormat="1" ht="15.75" customHeight="1" outlineLevel="1">
      <c r="A70" s="1005" t="s">
        <v>52</v>
      </c>
      <c r="B70" s="1005" t="s">
        <v>52</v>
      </c>
      <c r="C70" s="1006" t="s">
        <v>52</v>
      </c>
      <c r="D70" s="776"/>
      <c r="E70" s="776">
        <v>301010</v>
      </c>
      <c r="F70" s="776"/>
      <c r="G70" s="723"/>
      <c r="H70" s="717"/>
      <c r="J70" s="863">
        <f>SUM(J68:J69)</f>
        <v>0</v>
      </c>
      <c r="K70" s="863">
        <f t="shared" ref="K70:L70" si="1538">SUM(K68:K69)</f>
        <v>0</v>
      </c>
      <c r="L70" s="863">
        <f t="shared" si="1538"/>
        <v>0</v>
      </c>
      <c r="M70" s="828"/>
      <c r="N70" s="828"/>
      <c r="O70" s="828"/>
      <c r="P70" s="828"/>
      <c r="Q70" s="828"/>
      <c r="R70" s="828"/>
      <c r="S70" s="828"/>
      <c r="T70" s="780"/>
      <c r="U70" s="863">
        <f t="shared" ref="U70:CF70" si="1539">SUM(U68:U69)</f>
        <v>0</v>
      </c>
      <c r="V70" s="863">
        <f t="shared" si="1539"/>
        <v>0</v>
      </c>
      <c r="W70" s="863">
        <f t="shared" si="1539"/>
        <v>0</v>
      </c>
      <c r="X70" s="863">
        <f t="shared" si="1539"/>
        <v>0</v>
      </c>
      <c r="Y70" s="863">
        <f t="shared" si="1539"/>
        <v>0</v>
      </c>
      <c r="Z70" s="863">
        <f t="shared" si="1539"/>
        <v>0</v>
      </c>
      <c r="AA70" s="863">
        <f t="shared" si="1539"/>
        <v>0</v>
      </c>
      <c r="AB70" s="863">
        <f t="shared" si="1539"/>
        <v>0</v>
      </c>
      <c r="AC70" s="863">
        <f t="shared" si="1539"/>
        <v>0</v>
      </c>
      <c r="AD70" s="863">
        <f t="shared" si="1539"/>
        <v>0</v>
      </c>
      <c r="AE70" s="863">
        <f t="shared" si="1539"/>
        <v>0</v>
      </c>
      <c r="AF70" s="863">
        <f t="shared" si="1539"/>
        <v>0</v>
      </c>
      <c r="AG70" s="863">
        <f t="shared" si="1539"/>
        <v>0</v>
      </c>
      <c r="AH70" s="863">
        <f t="shared" si="1539"/>
        <v>0</v>
      </c>
      <c r="AI70" s="863">
        <f t="shared" si="1539"/>
        <v>0</v>
      </c>
      <c r="AJ70" s="863">
        <f t="shared" si="1539"/>
        <v>0</v>
      </c>
      <c r="AK70" s="863">
        <f t="shared" si="1539"/>
        <v>0</v>
      </c>
      <c r="AL70" s="863">
        <f t="shared" si="1539"/>
        <v>0</v>
      </c>
      <c r="AM70" s="863">
        <f t="shared" si="1539"/>
        <v>0</v>
      </c>
      <c r="AN70" s="863">
        <f t="shared" si="1539"/>
        <v>0</v>
      </c>
      <c r="AO70" s="863">
        <f t="shared" si="1539"/>
        <v>0</v>
      </c>
      <c r="AP70" s="863">
        <f t="shared" si="1539"/>
        <v>0</v>
      </c>
      <c r="AQ70" s="863">
        <f t="shared" si="1539"/>
        <v>0</v>
      </c>
      <c r="AR70" s="863">
        <f t="shared" si="1539"/>
        <v>0</v>
      </c>
      <c r="AS70" s="863">
        <f t="shared" si="1539"/>
        <v>0</v>
      </c>
      <c r="AT70" s="863">
        <f t="shared" si="1539"/>
        <v>0</v>
      </c>
      <c r="AU70" s="863">
        <f t="shared" si="1539"/>
        <v>0</v>
      </c>
      <c r="AV70" s="863">
        <f t="shared" si="1539"/>
        <v>0</v>
      </c>
      <c r="AW70" s="863">
        <f t="shared" si="1539"/>
        <v>0</v>
      </c>
      <c r="AX70" s="863">
        <f t="shared" si="1539"/>
        <v>0</v>
      </c>
      <c r="AY70" s="863">
        <f t="shared" si="1539"/>
        <v>0</v>
      </c>
      <c r="AZ70" s="863">
        <f t="shared" si="1539"/>
        <v>0</v>
      </c>
      <c r="BA70" s="863">
        <f t="shared" si="1539"/>
        <v>0</v>
      </c>
      <c r="BB70" s="863">
        <f t="shared" si="1539"/>
        <v>0</v>
      </c>
      <c r="BC70" s="863">
        <f t="shared" si="1539"/>
        <v>0</v>
      </c>
      <c r="BD70" s="863">
        <f t="shared" si="1539"/>
        <v>0</v>
      </c>
      <c r="BE70" s="863">
        <f t="shared" si="1539"/>
        <v>0</v>
      </c>
      <c r="BF70" s="863">
        <f t="shared" si="1539"/>
        <v>0</v>
      </c>
      <c r="BG70" s="863">
        <f t="shared" si="1539"/>
        <v>0</v>
      </c>
      <c r="BH70" s="863">
        <f t="shared" si="1539"/>
        <v>0</v>
      </c>
      <c r="BI70" s="863">
        <f t="shared" si="1539"/>
        <v>0</v>
      </c>
      <c r="BJ70" s="863">
        <f t="shared" si="1539"/>
        <v>0</v>
      </c>
      <c r="BK70" s="863">
        <f t="shared" si="1539"/>
        <v>0</v>
      </c>
      <c r="BL70" s="863">
        <f t="shared" si="1539"/>
        <v>0</v>
      </c>
      <c r="BM70" s="863">
        <f t="shared" si="1539"/>
        <v>0</v>
      </c>
      <c r="BN70" s="863">
        <f t="shared" si="1539"/>
        <v>0</v>
      </c>
      <c r="BO70" s="863">
        <f t="shared" si="1539"/>
        <v>0</v>
      </c>
      <c r="BP70" s="863">
        <f t="shared" si="1539"/>
        <v>0</v>
      </c>
      <c r="BQ70" s="863">
        <f t="shared" si="1539"/>
        <v>0</v>
      </c>
      <c r="BR70" s="863">
        <f t="shared" si="1539"/>
        <v>0</v>
      </c>
      <c r="BS70" s="863">
        <f t="shared" si="1539"/>
        <v>0</v>
      </c>
      <c r="BT70" s="863">
        <f t="shared" si="1539"/>
        <v>0</v>
      </c>
      <c r="BU70" s="863">
        <f t="shared" si="1539"/>
        <v>0</v>
      </c>
      <c r="BV70" s="863">
        <f t="shared" si="1539"/>
        <v>0</v>
      </c>
      <c r="BW70" s="863">
        <f t="shared" si="1539"/>
        <v>0</v>
      </c>
      <c r="BX70" s="863">
        <f t="shared" si="1539"/>
        <v>0</v>
      </c>
      <c r="BY70" s="863">
        <f t="shared" si="1539"/>
        <v>0</v>
      </c>
      <c r="BZ70" s="863">
        <f t="shared" si="1539"/>
        <v>0</v>
      </c>
      <c r="CA70" s="863">
        <f t="shared" si="1539"/>
        <v>0</v>
      </c>
      <c r="CB70" s="863">
        <f t="shared" si="1539"/>
        <v>0</v>
      </c>
      <c r="CC70" s="863">
        <f t="shared" si="1539"/>
        <v>0</v>
      </c>
      <c r="CD70" s="863">
        <f t="shared" si="1539"/>
        <v>0</v>
      </c>
      <c r="CE70" s="863">
        <f t="shared" si="1539"/>
        <v>0</v>
      </c>
      <c r="CF70" s="863">
        <f t="shared" si="1539"/>
        <v>0</v>
      </c>
      <c r="CG70" s="863">
        <f t="shared" ref="CG70:ER70" si="1540">SUM(CG68:CG69)</f>
        <v>0</v>
      </c>
      <c r="CH70" s="863">
        <f t="shared" si="1540"/>
        <v>0</v>
      </c>
      <c r="CI70" s="863">
        <f t="shared" si="1540"/>
        <v>0</v>
      </c>
      <c r="CJ70" s="863">
        <f t="shared" si="1540"/>
        <v>0</v>
      </c>
      <c r="CK70" s="863">
        <f t="shared" si="1540"/>
        <v>0</v>
      </c>
      <c r="CL70" s="863">
        <f t="shared" si="1540"/>
        <v>0</v>
      </c>
      <c r="CM70" s="863">
        <f t="shared" si="1540"/>
        <v>0</v>
      </c>
      <c r="CN70" s="863">
        <f t="shared" si="1540"/>
        <v>0</v>
      </c>
      <c r="CO70" s="863">
        <f t="shared" si="1540"/>
        <v>0</v>
      </c>
      <c r="CP70" s="863">
        <f t="shared" si="1540"/>
        <v>0</v>
      </c>
      <c r="CQ70" s="863">
        <f t="shared" si="1540"/>
        <v>0</v>
      </c>
      <c r="CR70" s="863">
        <f t="shared" si="1540"/>
        <v>0</v>
      </c>
      <c r="CS70" s="863">
        <f t="shared" si="1540"/>
        <v>0</v>
      </c>
      <c r="CT70" s="863">
        <f t="shared" si="1540"/>
        <v>0</v>
      </c>
      <c r="CU70" s="863">
        <f t="shared" si="1540"/>
        <v>0</v>
      </c>
      <c r="CV70" s="863">
        <f t="shared" si="1540"/>
        <v>0</v>
      </c>
      <c r="CW70" s="863">
        <f t="shared" si="1540"/>
        <v>0</v>
      </c>
      <c r="CX70" s="863">
        <f t="shared" si="1540"/>
        <v>0</v>
      </c>
      <c r="CY70" s="863">
        <f t="shared" si="1540"/>
        <v>0</v>
      </c>
      <c r="CZ70" s="863">
        <f t="shared" si="1540"/>
        <v>0</v>
      </c>
      <c r="DA70" s="863">
        <f t="shared" si="1540"/>
        <v>0</v>
      </c>
      <c r="DB70" s="863">
        <f t="shared" si="1540"/>
        <v>0</v>
      </c>
      <c r="DC70" s="863">
        <f t="shared" si="1540"/>
        <v>0</v>
      </c>
      <c r="DD70" s="863">
        <f t="shared" si="1540"/>
        <v>0</v>
      </c>
      <c r="DE70" s="863">
        <f t="shared" si="1540"/>
        <v>0</v>
      </c>
      <c r="DF70" s="863">
        <f t="shared" si="1540"/>
        <v>0</v>
      </c>
      <c r="DG70" s="863">
        <f t="shared" si="1540"/>
        <v>0</v>
      </c>
      <c r="DH70" s="863">
        <f t="shared" si="1540"/>
        <v>0</v>
      </c>
      <c r="DI70" s="863">
        <f t="shared" si="1540"/>
        <v>0</v>
      </c>
      <c r="DJ70" s="863">
        <f t="shared" si="1540"/>
        <v>0</v>
      </c>
      <c r="DK70" s="863">
        <f t="shared" si="1540"/>
        <v>0</v>
      </c>
      <c r="DL70" s="863">
        <f t="shared" si="1540"/>
        <v>0</v>
      </c>
      <c r="DM70" s="863">
        <f t="shared" si="1540"/>
        <v>0</v>
      </c>
      <c r="DN70" s="863">
        <f t="shared" si="1540"/>
        <v>0</v>
      </c>
      <c r="DO70" s="863">
        <f t="shared" si="1540"/>
        <v>0</v>
      </c>
      <c r="DP70" s="863">
        <f t="shared" si="1540"/>
        <v>0</v>
      </c>
      <c r="DQ70" s="863">
        <f t="shared" si="1540"/>
        <v>0</v>
      </c>
      <c r="DR70" s="863">
        <f t="shared" si="1540"/>
        <v>0</v>
      </c>
      <c r="DS70" s="863">
        <f t="shared" si="1540"/>
        <v>0</v>
      </c>
      <c r="DT70" s="863">
        <f t="shared" si="1540"/>
        <v>0</v>
      </c>
      <c r="DU70" s="863">
        <f t="shared" si="1540"/>
        <v>0</v>
      </c>
      <c r="DV70" s="863">
        <f t="shared" si="1540"/>
        <v>0</v>
      </c>
      <c r="DW70" s="863">
        <f t="shared" si="1540"/>
        <v>0</v>
      </c>
      <c r="DX70" s="863">
        <f t="shared" si="1540"/>
        <v>0</v>
      </c>
      <c r="DY70" s="863">
        <f t="shared" si="1540"/>
        <v>0</v>
      </c>
      <c r="DZ70" s="863">
        <f t="shared" si="1540"/>
        <v>0</v>
      </c>
      <c r="EA70" s="863">
        <f t="shared" si="1540"/>
        <v>0</v>
      </c>
      <c r="EB70" s="863">
        <f t="shared" si="1540"/>
        <v>0</v>
      </c>
      <c r="EC70" s="863">
        <f t="shared" si="1540"/>
        <v>0</v>
      </c>
      <c r="ED70" s="863">
        <f t="shared" si="1540"/>
        <v>0</v>
      </c>
      <c r="EE70" s="863">
        <f t="shared" si="1540"/>
        <v>0</v>
      </c>
      <c r="EF70" s="863">
        <f t="shared" si="1540"/>
        <v>0</v>
      </c>
      <c r="EG70" s="863">
        <f t="shared" si="1540"/>
        <v>0</v>
      </c>
      <c r="EH70" s="863">
        <f t="shared" si="1540"/>
        <v>0</v>
      </c>
      <c r="EI70" s="863">
        <f t="shared" si="1540"/>
        <v>0</v>
      </c>
      <c r="EJ70" s="863">
        <f t="shared" si="1540"/>
        <v>0</v>
      </c>
      <c r="EK70" s="863">
        <f t="shared" si="1540"/>
        <v>0</v>
      </c>
      <c r="EL70" s="863">
        <f t="shared" si="1540"/>
        <v>0</v>
      </c>
      <c r="EM70" s="863">
        <f t="shared" si="1540"/>
        <v>0</v>
      </c>
      <c r="EN70" s="863">
        <f t="shared" si="1540"/>
        <v>0</v>
      </c>
      <c r="EO70" s="863"/>
      <c r="EP70" s="863">
        <f t="shared" si="1540"/>
        <v>0</v>
      </c>
      <c r="EQ70" s="863">
        <f t="shared" si="1540"/>
        <v>0</v>
      </c>
      <c r="ER70" s="863">
        <f t="shared" si="1540"/>
        <v>0</v>
      </c>
      <c r="ES70" s="863">
        <f t="shared" ref="ES70:FP70" si="1541">SUM(ES68:ES69)</f>
        <v>0</v>
      </c>
      <c r="ET70" s="863">
        <f t="shared" si="1541"/>
        <v>0</v>
      </c>
      <c r="EU70" s="863">
        <f t="shared" si="1541"/>
        <v>0</v>
      </c>
      <c r="EV70" s="863">
        <f t="shared" si="1541"/>
        <v>0</v>
      </c>
      <c r="EW70" s="863">
        <f t="shared" si="1541"/>
        <v>0</v>
      </c>
      <c r="EX70" s="863">
        <f t="shared" si="1541"/>
        <v>0</v>
      </c>
      <c r="EY70" s="863">
        <f t="shared" si="1541"/>
        <v>0</v>
      </c>
      <c r="EZ70" s="863"/>
      <c r="FA70" s="863">
        <f t="shared" si="1541"/>
        <v>0</v>
      </c>
      <c r="FB70" s="863">
        <f t="shared" si="1541"/>
        <v>0</v>
      </c>
      <c r="FC70" s="863">
        <f t="shared" si="1541"/>
        <v>0</v>
      </c>
      <c r="FD70" s="863">
        <f t="shared" si="1541"/>
        <v>0</v>
      </c>
      <c r="FE70" s="863">
        <f t="shared" si="1541"/>
        <v>0</v>
      </c>
      <c r="FF70" s="863">
        <f t="shared" si="1541"/>
        <v>0</v>
      </c>
      <c r="FG70" s="863">
        <f t="shared" si="1541"/>
        <v>0</v>
      </c>
      <c r="FH70" s="863">
        <f t="shared" si="1541"/>
        <v>0</v>
      </c>
      <c r="FI70" s="863">
        <f t="shared" si="1541"/>
        <v>0</v>
      </c>
      <c r="FJ70" s="863">
        <f t="shared" si="1541"/>
        <v>0</v>
      </c>
      <c r="FK70" s="863">
        <f t="shared" si="1541"/>
        <v>0</v>
      </c>
      <c r="FL70" s="863">
        <f t="shared" si="1541"/>
        <v>0</v>
      </c>
      <c r="FM70" s="863">
        <f t="shared" si="1541"/>
        <v>0</v>
      </c>
      <c r="FN70" s="863">
        <f t="shared" si="1541"/>
        <v>0</v>
      </c>
      <c r="FO70" s="863">
        <f t="shared" si="1541"/>
        <v>0</v>
      </c>
      <c r="FP70" s="863">
        <f t="shared" si="1541"/>
        <v>0</v>
      </c>
    </row>
    <row r="71" spans="1:178" s="216" customFormat="1" ht="15" customHeight="1" outlineLevel="1">
      <c r="A71" s="1005" t="str">
        <f t="shared" si="253"/>
        <v>JUNIO  2026 2da QUINCENA</v>
      </c>
      <c r="B71" s="1005">
        <f t="shared" si="90"/>
        <v>2026</v>
      </c>
      <c r="C71" s="1006" t="str">
        <f t="shared" si="254"/>
        <v>JUNIO  2026 2da QUINCENA2026</v>
      </c>
      <c r="D71" s="235"/>
      <c r="E71" s="235">
        <v>301020</v>
      </c>
      <c r="F71" s="268"/>
      <c r="G71" s="975" t="s">
        <v>640</v>
      </c>
      <c r="H71" s="235"/>
      <c r="J71" s="801"/>
      <c r="K71" s="801"/>
      <c r="L71" s="801"/>
      <c r="M71" s="801"/>
      <c r="N71" s="870"/>
      <c r="O71" s="957"/>
      <c r="P71" s="957"/>
      <c r="Q71" s="958"/>
      <c r="R71" s="958"/>
      <c r="S71" s="957"/>
      <c r="T71" s="701"/>
      <c r="U71" s="959"/>
      <c r="V71" s="801"/>
      <c r="W71" s="960"/>
      <c r="X71" s="801"/>
      <c r="Y71" s="960"/>
      <c r="Z71" s="801"/>
      <c r="AA71" s="960"/>
      <c r="AB71" s="880"/>
      <c r="AC71" s="960"/>
      <c r="AD71" s="801"/>
      <c r="AE71" s="961"/>
      <c r="AF71" s="801"/>
      <c r="AG71" s="972"/>
      <c r="AH71" s="801"/>
      <c r="AI71" s="973"/>
      <c r="AJ71" s="801"/>
      <c r="AK71" s="823"/>
      <c r="AL71" s="823"/>
      <c r="AM71" s="973"/>
      <c r="AN71" s="823"/>
      <c r="AO71" s="827"/>
      <c r="AP71" s="827"/>
      <c r="AQ71" s="827"/>
      <c r="AR71" s="827"/>
      <c r="AS71" s="827"/>
      <c r="AT71" s="827"/>
      <c r="AU71" s="827"/>
      <c r="AV71" s="827"/>
      <c r="AW71" s="827"/>
      <c r="AX71" s="827"/>
      <c r="AY71" s="860"/>
      <c r="AZ71" s="966"/>
      <c r="BA71" s="801"/>
      <c r="BB71" s="880"/>
      <c r="BC71" s="801"/>
      <c r="BD71" s="801"/>
      <c r="BE71" s="801"/>
      <c r="BF71" s="801"/>
      <c r="BG71" s="801"/>
      <c r="BH71" s="801"/>
      <c r="BI71" s="801"/>
      <c r="BJ71" s="801"/>
      <c r="BK71" s="801"/>
      <c r="BL71" s="801"/>
      <c r="BM71" s="801"/>
      <c r="BN71" s="801"/>
      <c r="BO71" s="801"/>
      <c r="BP71" s="801"/>
      <c r="BQ71" s="801"/>
      <c r="BR71" s="860"/>
      <c r="BS71" s="801"/>
      <c r="BT71" s="801"/>
      <c r="BU71" s="801"/>
      <c r="BV71" s="801"/>
      <c r="BW71" s="801"/>
      <c r="BX71" s="801"/>
      <c r="BY71" s="801"/>
      <c r="BZ71" s="801"/>
      <c r="CA71" s="801"/>
      <c r="CB71" s="801"/>
      <c r="CC71" s="801"/>
      <c r="CD71" s="801"/>
      <c r="CE71" s="801"/>
      <c r="CF71" s="801"/>
      <c r="CG71" s="801"/>
      <c r="CH71" s="801"/>
      <c r="CI71" s="801"/>
      <c r="CJ71" s="801"/>
      <c r="CK71" s="823"/>
      <c r="CL71" s="823"/>
      <c r="CM71" s="823"/>
      <c r="CN71" s="823"/>
      <c r="CO71" s="823"/>
      <c r="CP71" s="823"/>
      <c r="CQ71" s="823"/>
      <c r="CR71" s="823"/>
      <c r="CS71" s="823"/>
      <c r="CV71" s="801"/>
      <c r="CW71" s="801"/>
      <c r="CX71" s="801"/>
      <c r="CY71" s="801"/>
      <c r="CZ71" s="801"/>
      <c r="DA71" s="801"/>
      <c r="DB71" s="801"/>
      <c r="DC71" s="801"/>
      <c r="DD71" s="801"/>
      <c r="DE71" s="801"/>
      <c r="DF71" s="801"/>
      <c r="DG71" s="801"/>
      <c r="DH71" s="801"/>
      <c r="DI71" s="801"/>
      <c r="DJ71" s="801"/>
      <c r="DK71" s="801"/>
      <c r="DL71" s="801"/>
      <c r="DM71" s="801"/>
      <c r="DN71" s="823"/>
      <c r="DO71" s="823"/>
      <c r="DP71" s="823"/>
      <c r="DQ71" s="823"/>
      <c r="DR71" s="823"/>
      <c r="DS71" s="823"/>
      <c r="DT71" s="823"/>
      <c r="DU71" s="823"/>
      <c r="DV71" s="823"/>
      <c r="DW71" s="241" t="s">
        <v>52</v>
      </c>
      <c r="DX71" s="242" t="s">
        <v>52</v>
      </c>
      <c r="DY71" s="242" t="s">
        <v>52</v>
      </c>
      <c r="DZ71" s="242" t="s">
        <v>52</v>
      </c>
      <c r="EA71" s="242" t="s">
        <v>52</v>
      </c>
      <c r="EB71" s="242" t="s">
        <v>52</v>
      </c>
      <c r="EC71" s="242" t="s">
        <v>52</v>
      </c>
      <c r="ED71" s="242" t="s">
        <v>52</v>
      </c>
      <c r="EE71" s="242" t="s">
        <v>52</v>
      </c>
      <c r="EF71" s="242">
        <f t="shared" ref="EF71:EF74" si="1542">IF($CU71="CLEARTEC",$BA71+$BJ71+$BS71+$CB71+$CK71,0)</f>
        <v>0</v>
      </c>
      <c r="EG71" s="823"/>
      <c r="EH71" s="823"/>
      <c r="EI71" s="823"/>
      <c r="EJ71" s="823"/>
      <c r="EK71" s="823"/>
      <c r="EL71" s="823"/>
      <c r="EM71" s="823"/>
      <c r="EN71" s="823"/>
      <c r="EX71" s="820"/>
      <c r="EY71" s="960"/>
      <c r="FA71" s="960"/>
      <c r="FB71" s="960"/>
      <c r="FC71" s="960"/>
      <c r="FD71" s="960"/>
      <c r="FE71" s="960"/>
      <c r="FF71" s="960"/>
      <c r="FG71" s="960"/>
      <c r="FH71" s="960"/>
      <c r="FI71" s="960"/>
      <c r="FJ71" s="960"/>
      <c r="FK71" s="968"/>
      <c r="FL71" s="968"/>
      <c r="FM71" s="968"/>
      <c r="FN71" s="968"/>
      <c r="FO71" s="968"/>
      <c r="FP71" s="974"/>
    </row>
    <row r="72" spans="1:178" s="235" customFormat="1" ht="15" customHeight="1" outlineLevel="1">
      <c r="A72" s="1005"/>
      <c r="B72" s="1005"/>
      <c r="C72" s="1006"/>
      <c r="E72" s="235">
        <v>301020</v>
      </c>
      <c r="F72" s="805"/>
      <c r="G72" s="199"/>
      <c r="H72" s="200"/>
      <c r="I72" s="200"/>
      <c r="J72" s="1014"/>
      <c r="K72" s="1015"/>
      <c r="L72" s="836"/>
      <c r="M72" s="203"/>
      <c r="N72" s="837"/>
      <c r="O72" s="270"/>
      <c r="P72" s="270"/>
      <c r="Q72" s="204"/>
      <c r="R72" s="204"/>
      <c r="S72" s="270"/>
      <c r="T72" s="701"/>
      <c r="U72" s="238"/>
      <c r="V72" s="239"/>
      <c r="W72" s="265"/>
      <c r="X72" s="239"/>
      <c r="Y72" s="265"/>
      <c r="Z72" s="239"/>
      <c r="AA72" s="265"/>
      <c r="AB72" s="239"/>
      <c r="AC72" s="265"/>
      <c r="AD72" s="239"/>
      <c r="AE72" s="838"/>
      <c r="AF72" s="239"/>
      <c r="AG72" s="208"/>
      <c r="AH72" s="203"/>
      <c r="AI72" s="208"/>
      <c r="AJ72" s="203"/>
      <c r="AK72" s="203"/>
      <c r="AL72" s="203"/>
      <c r="AM72" s="208"/>
      <c r="AN72" s="203"/>
      <c r="AO72" s="202"/>
      <c r="AP72" s="202"/>
      <c r="AQ72" s="202"/>
      <c r="AR72" s="202"/>
      <c r="AS72" s="202"/>
      <c r="AT72" s="202"/>
      <c r="AU72" s="202"/>
      <c r="AV72" s="202"/>
      <c r="AW72" s="202"/>
      <c r="AX72" s="202"/>
      <c r="AY72" s="202"/>
      <c r="AZ72" s="240"/>
      <c r="BA72" s="239"/>
      <c r="BB72" s="239"/>
      <c r="BC72" s="239"/>
      <c r="BD72" s="239"/>
      <c r="BE72" s="239"/>
      <c r="BF72" s="239"/>
      <c r="BG72" s="239"/>
      <c r="BH72" s="239"/>
      <c r="BI72" s="239"/>
      <c r="BJ72" s="239"/>
      <c r="BK72" s="239"/>
      <c r="BL72" s="239"/>
      <c r="BM72" s="239"/>
      <c r="BN72" s="239"/>
      <c r="BO72" s="239"/>
      <c r="BP72" s="239"/>
      <c r="BQ72" s="239"/>
      <c r="BR72" s="836"/>
      <c r="BS72" s="239"/>
      <c r="BT72" s="239"/>
      <c r="BU72" s="239"/>
      <c r="BV72" s="239"/>
      <c r="BW72" s="239"/>
      <c r="BX72" s="239"/>
      <c r="BY72" s="239"/>
      <c r="BZ72" s="239"/>
      <c r="CA72" s="239"/>
      <c r="CB72" s="241"/>
      <c r="CC72" s="242"/>
      <c r="CD72" s="242"/>
      <c r="CE72" s="242"/>
      <c r="CF72" s="242"/>
      <c r="CG72" s="242"/>
      <c r="CH72" s="242"/>
      <c r="CI72" s="242"/>
      <c r="CJ72" s="242"/>
      <c r="CK72" s="242"/>
      <c r="CL72" s="242"/>
      <c r="CM72" s="242"/>
      <c r="CN72" s="242"/>
      <c r="CO72" s="242"/>
      <c r="CP72" s="242"/>
      <c r="CQ72" s="242"/>
      <c r="CR72" s="242"/>
      <c r="CS72" s="243"/>
      <c r="CU72" s="201"/>
      <c r="CV72" s="203"/>
      <c r="CW72" s="203"/>
      <c r="CX72" s="203"/>
      <c r="CY72" s="203"/>
      <c r="CZ72" s="203"/>
      <c r="DA72" s="203"/>
      <c r="DB72" s="203"/>
      <c r="DC72" s="203"/>
      <c r="DD72" s="203"/>
      <c r="DE72" s="203"/>
      <c r="DF72" s="203"/>
      <c r="DG72" s="239"/>
      <c r="DH72" s="239"/>
      <c r="DI72" s="239"/>
      <c r="DJ72" s="203"/>
      <c r="DK72" s="203"/>
      <c r="DL72" s="203"/>
      <c r="DM72" s="203"/>
      <c r="DN72" s="210"/>
      <c r="DO72" s="210"/>
      <c r="DP72" s="210"/>
      <c r="DQ72" s="210"/>
      <c r="DR72" s="210"/>
      <c r="DS72" s="210"/>
      <c r="DT72" s="210"/>
      <c r="DU72" s="210"/>
      <c r="DV72" s="210"/>
      <c r="DW72" s="241"/>
      <c r="DX72" s="241"/>
      <c r="DY72" s="241"/>
      <c r="DZ72" s="241"/>
      <c r="EA72" s="241"/>
      <c r="EB72" s="241"/>
      <c r="EC72" s="241"/>
      <c r="ED72" s="241"/>
      <c r="EE72" s="242"/>
      <c r="EF72" s="203">
        <v>0</v>
      </c>
      <c r="EG72" s="242">
        <f t="shared" ref="EG72" si="1543">IF($CU72="ECONACIONAL",$BB72+$BK72+$BT72+$CC72+$CL72,0)</f>
        <v>0</v>
      </c>
      <c r="EH72" s="203">
        <v>0</v>
      </c>
      <c r="EI72" s="203">
        <v>0</v>
      </c>
      <c r="EJ72" s="242">
        <f t="shared" ref="EJ72" si="1544">IF($CU72="CLEARTEC",$BE72+$BN72+$BW72+$CF72+$CO72,0)</f>
        <v>0</v>
      </c>
      <c r="EK72" s="203">
        <v>0</v>
      </c>
      <c r="EL72" s="203">
        <v>0</v>
      </c>
      <c r="EM72" s="203">
        <v>0</v>
      </c>
      <c r="EN72" s="203">
        <f t="shared" ref="EN72" si="1545">SUM(EF72:EM72)-EH72-EJ72</f>
        <v>0</v>
      </c>
      <c r="EP72" s="200"/>
      <c r="EQ72" s="200"/>
      <c r="ER72" s="200"/>
      <c r="ES72" s="201"/>
      <c r="ET72" s="200"/>
      <c r="EU72" s="201"/>
      <c r="EV72" s="201"/>
      <c r="EW72" s="201"/>
      <c r="EX72" s="201"/>
      <c r="EY72" s="201">
        <f t="shared" ref="EY72" si="1546">+ET72+EU72+EV72</f>
        <v>0</v>
      </c>
      <c r="FA72" s="265"/>
      <c r="FB72" s="265"/>
      <c r="FC72" s="265"/>
      <c r="FD72" s="265"/>
      <c r="FE72" s="265"/>
      <c r="FF72" s="265"/>
      <c r="FG72" s="265"/>
      <c r="FH72" s="265"/>
      <c r="FI72" s="265"/>
      <c r="FJ72" s="265"/>
      <c r="FK72" s="217"/>
      <c r="FL72" s="217"/>
      <c r="FM72" s="217"/>
      <c r="FN72" s="217"/>
      <c r="FO72" s="217"/>
      <c r="FP72" s="217"/>
      <c r="FR72" s="1177">
        <f>(((J72/30/8)*1.5)*(U72+Y72+AC72))-(BD72+BM72+BV72)</f>
        <v>0</v>
      </c>
      <c r="FS72" s="1177">
        <f t="shared" ref="FS72" si="1547">(((J72/30/8)*2)*(W72+AA72+AE72))-(BF72+BO72+BX72)</f>
        <v>0</v>
      </c>
      <c r="FT72" s="1178">
        <f>(SUM(BA72:CJ72))-(SUM(EF72:EN72))</f>
        <v>0</v>
      </c>
      <c r="FU72" s="1177">
        <f>(J72/30*M72)-(EF72)</f>
        <v>0</v>
      </c>
      <c r="FV72" s="1181">
        <f>(SUM(EP72:EY72))-((SUM(FA72:FJ72))*$FV$5)</f>
        <v>0</v>
      </c>
    </row>
    <row r="73" spans="1:178" s="216" customFormat="1" ht="15" customHeight="1" outlineLevel="1">
      <c r="A73" s="1005" t="str">
        <f t="shared" si="253"/>
        <v>JUNIO  2026 2da QUINCENA</v>
      </c>
      <c r="B73" s="1005">
        <f t="shared" si="90"/>
        <v>2026</v>
      </c>
      <c r="C73" s="1006" t="str">
        <f t="shared" si="254"/>
        <v>JUNIO  2026 2da QUINCENA2026</v>
      </c>
      <c r="D73" s="235"/>
      <c r="E73" s="235">
        <v>301020</v>
      </c>
      <c r="F73" s="268"/>
      <c r="G73" s="955"/>
      <c r="H73" s="235" t="s">
        <v>686</v>
      </c>
      <c r="J73" s="868">
        <f>SUM(J72:J72)</f>
        <v>0</v>
      </c>
      <c r="K73" s="868">
        <f>SUM(K72:K72)</f>
        <v>0</v>
      </c>
      <c r="L73" s="868">
        <f>SUM(L72:L72)</f>
        <v>0</v>
      </c>
      <c r="M73" s="801"/>
      <c r="N73" s="870"/>
      <c r="O73" s="957"/>
      <c r="P73" s="957"/>
      <c r="Q73" s="958"/>
      <c r="R73" s="958"/>
      <c r="S73" s="957"/>
      <c r="T73" s="701"/>
      <c r="U73" s="868">
        <f t="shared" ref="U73:CF73" si="1548">SUM(U72:U72)</f>
        <v>0</v>
      </c>
      <c r="V73" s="868">
        <f t="shared" si="1548"/>
        <v>0</v>
      </c>
      <c r="W73" s="868">
        <f t="shared" si="1548"/>
        <v>0</v>
      </c>
      <c r="X73" s="868">
        <f t="shared" si="1548"/>
        <v>0</v>
      </c>
      <c r="Y73" s="868">
        <f t="shared" si="1548"/>
        <v>0</v>
      </c>
      <c r="Z73" s="868">
        <f t="shared" si="1548"/>
        <v>0</v>
      </c>
      <c r="AA73" s="868">
        <f t="shared" si="1548"/>
        <v>0</v>
      </c>
      <c r="AB73" s="868">
        <f t="shared" si="1548"/>
        <v>0</v>
      </c>
      <c r="AC73" s="868">
        <f t="shared" si="1548"/>
        <v>0</v>
      </c>
      <c r="AD73" s="868">
        <f t="shared" si="1548"/>
        <v>0</v>
      </c>
      <c r="AE73" s="868">
        <f t="shared" si="1548"/>
        <v>0</v>
      </c>
      <c r="AF73" s="868">
        <f t="shared" si="1548"/>
        <v>0</v>
      </c>
      <c r="AG73" s="868">
        <f t="shared" si="1548"/>
        <v>0</v>
      </c>
      <c r="AH73" s="868">
        <f t="shared" si="1548"/>
        <v>0</v>
      </c>
      <c r="AI73" s="868">
        <f t="shared" si="1548"/>
        <v>0</v>
      </c>
      <c r="AJ73" s="868">
        <f t="shared" si="1548"/>
        <v>0</v>
      </c>
      <c r="AK73" s="868">
        <f t="shared" si="1548"/>
        <v>0</v>
      </c>
      <c r="AL73" s="868">
        <f t="shared" si="1548"/>
        <v>0</v>
      </c>
      <c r="AM73" s="868">
        <f t="shared" si="1548"/>
        <v>0</v>
      </c>
      <c r="AN73" s="868">
        <f t="shared" si="1548"/>
        <v>0</v>
      </c>
      <c r="AO73" s="868">
        <f t="shared" si="1548"/>
        <v>0</v>
      </c>
      <c r="AP73" s="868">
        <f t="shared" si="1548"/>
        <v>0</v>
      </c>
      <c r="AQ73" s="868">
        <f t="shared" si="1548"/>
        <v>0</v>
      </c>
      <c r="AR73" s="868">
        <f t="shared" si="1548"/>
        <v>0</v>
      </c>
      <c r="AS73" s="868">
        <f t="shared" si="1548"/>
        <v>0</v>
      </c>
      <c r="AT73" s="868">
        <f t="shared" si="1548"/>
        <v>0</v>
      </c>
      <c r="AU73" s="868">
        <f t="shared" si="1548"/>
        <v>0</v>
      </c>
      <c r="AV73" s="868">
        <f t="shared" si="1548"/>
        <v>0</v>
      </c>
      <c r="AW73" s="868">
        <f t="shared" si="1548"/>
        <v>0</v>
      </c>
      <c r="AX73" s="868">
        <f t="shared" si="1548"/>
        <v>0</v>
      </c>
      <c r="AY73" s="868">
        <f t="shared" si="1548"/>
        <v>0</v>
      </c>
      <c r="AZ73" s="868">
        <f t="shared" si="1548"/>
        <v>0</v>
      </c>
      <c r="BA73" s="868">
        <f t="shared" si="1548"/>
        <v>0</v>
      </c>
      <c r="BB73" s="868">
        <f t="shared" si="1548"/>
        <v>0</v>
      </c>
      <c r="BC73" s="868">
        <f t="shared" si="1548"/>
        <v>0</v>
      </c>
      <c r="BD73" s="868">
        <f t="shared" si="1548"/>
        <v>0</v>
      </c>
      <c r="BE73" s="868">
        <f t="shared" si="1548"/>
        <v>0</v>
      </c>
      <c r="BF73" s="868">
        <f t="shared" si="1548"/>
        <v>0</v>
      </c>
      <c r="BG73" s="868">
        <f t="shared" si="1548"/>
        <v>0</v>
      </c>
      <c r="BH73" s="868">
        <f t="shared" si="1548"/>
        <v>0</v>
      </c>
      <c r="BI73" s="868">
        <f t="shared" si="1548"/>
        <v>0</v>
      </c>
      <c r="BJ73" s="868">
        <f t="shared" si="1548"/>
        <v>0</v>
      </c>
      <c r="BK73" s="868">
        <f t="shared" si="1548"/>
        <v>0</v>
      </c>
      <c r="BL73" s="868">
        <f t="shared" si="1548"/>
        <v>0</v>
      </c>
      <c r="BM73" s="868">
        <f t="shared" si="1548"/>
        <v>0</v>
      </c>
      <c r="BN73" s="868">
        <f t="shared" si="1548"/>
        <v>0</v>
      </c>
      <c r="BO73" s="868">
        <f t="shared" si="1548"/>
        <v>0</v>
      </c>
      <c r="BP73" s="868">
        <f t="shared" si="1548"/>
        <v>0</v>
      </c>
      <c r="BQ73" s="868">
        <f t="shared" si="1548"/>
        <v>0</v>
      </c>
      <c r="BR73" s="868">
        <f t="shared" si="1548"/>
        <v>0</v>
      </c>
      <c r="BS73" s="868">
        <f t="shared" si="1548"/>
        <v>0</v>
      </c>
      <c r="BT73" s="868">
        <f t="shared" si="1548"/>
        <v>0</v>
      </c>
      <c r="BU73" s="868">
        <f t="shared" si="1548"/>
        <v>0</v>
      </c>
      <c r="BV73" s="868">
        <f t="shared" si="1548"/>
        <v>0</v>
      </c>
      <c r="BW73" s="868">
        <f t="shared" si="1548"/>
        <v>0</v>
      </c>
      <c r="BX73" s="868">
        <f t="shared" si="1548"/>
        <v>0</v>
      </c>
      <c r="BY73" s="868">
        <f t="shared" si="1548"/>
        <v>0</v>
      </c>
      <c r="BZ73" s="868">
        <f t="shared" si="1548"/>
        <v>0</v>
      </c>
      <c r="CA73" s="868">
        <f t="shared" si="1548"/>
        <v>0</v>
      </c>
      <c r="CB73" s="868">
        <f t="shared" si="1548"/>
        <v>0</v>
      </c>
      <c r="CC73" s="868">
        <f t="shared" si="1548"/>
        <v>0</v>
      </c>
      <c r="CD73" s="868">
        <f t="shared" si="1548"/>
        <v>0</v>
      </c>
      <c r="CE73" s="868">
        <f t="shared" si="1548"/>
        <v>0</v>
      </c>
      <c r="CF73" s="868">
        <f t="shared" si="1548"/>
        <v>0</v>
      </c>
      <c r="CG73" s="868">
        <f t="shared" ref="CG73:ER73" si="1549">SUM(CG72:CG72)</f>
        <v>0</v>
      </c>
      <c r="CH73" s="868">
        <f t="shared" si="1549"/>
        <v>0</v>
      </c>
      <c r="CI73" s="868">
        <f t="shared" si="1549"/>
        <v>0</v>
      </c>
      <c r="CJ73" s="868">
        <f t="shared" si="1549"/>
        <v>0</v>
      </c>
      <c r="CK73" s="868">
        <f t="shared" si="1549"/>
        <v>0</v>
      </c>
      <c r="CL73" s="868">
        <f t="shared" si="1549"/>
        <v>0</v>
      </c>
      <c r="CM73" s="868">
        <f t="shared" si="1549"/>
        <v>0</v>
      </c>
      <c r="CN73" s="868">
        <f t="shared" si="1549"/>
        <v>0</v>
      </c>
      <c r="CO73" s="868">
        <f t="shared" si="1549"/>
        <v>0</v>
      </c>
      <c r="CP73" s="868">
        <f t="shared" si="1549"/>
        <v>0</v>
      </c>
      <c r="CQ73" s="868">
        <f t="shared" si="1549"/>
        <v>0</v>
      </c>
      <c r="CR73" s="868">
        <f t="shared" si="1549"/>
        <v>0</v>
      </c>
      <c r="CS73" s="868">
        <f t="shared" si="1549"/>
        <v>0</v>
      </c>
      <c r="CT73" s="868">
        <f t="shared" si="1549"/>
        <v>0</v>
      </c>
      <c r="CU73" s="868">
        <f t="shared" si="1549"/>
        <v>0</v>
      </c>
      <c r="CV73" s="868">
        <f t="shared" si="1549"/>
        <v>0</v>
      </c>
      <c r="CW73" s="868">
        <f t="shared" si="1549"/>
        <v>0</v>
      </c>
      <c r="CX73" s="868">
        <f t="shared" si="1549"/>
        <v>0</v>
      </c>
      <c r="CY73" s="868">
        <f t="shared" si="1549"/>
        <v>0</v>
      </c>
      <c r="CZ73" s="868">
        <f t="shared" si="1549"/>
        <v>0</v>
      </c>
      <c r="DA73" s="868">
        <f t="shared" si="1549"/>
        <v>0</v>
      </c>
      <c r="DB73" s="868">
        <f t="shared" si="1549"/>
        <v>0</v>
      </c>
      <c r="DC73" s="868">
        <f t="shared" si="1549"/>
        <v>0</v>
      </c>
      <c r="DD73" s="868">
        <f t="shared" si="1549"/>
        <v>0</v>
      </c>
      <c r="DE73" s="868">
        <f t="shared" si="1549"/>
        <v>0</v>
      </c>
      <c r="DF73" s="868">
        <f t="shared" si="1549"/>
        <v>0</v>
      </c>
      <c r="DG73" s="868">
        <f t="shared" si="1549"/>
        <v>0</v>
      </c>
      <c r="DH73" s="868">
        <f t="shared" si="1549"/>
        <v>0</v>
      </c>
      <c r="DI73" s="868">
        <f t="shared" si="1549"/>
        <v>0</v>
      </c>
      <c r="DJ73" s="868">
        <f t="shared" si="1549"/>
        <v>0</v>
      </c>
      <c r="DK73" s="868">
        <f t="shared" si="1549"/>
        <v>0</v>
      </c>
      <c r="DL73" s="868">
        <f t="shared" si="1549"/>
        <v>0</v>
      </c>
      <c r="DM73" s="868">
        <f t="shared" si="1549"/>
        <v>0</v>
      </c>
      <c r="DN73" s="868">
        <f t="shared" si="1549"/>
        <v>0</v>
      </c>
      <c r="DO73" s="868">
        <f t="shared" si="1549"/>
        <v>0</v>
      </c>
      <c r="DP73" s="868">
        <f t="shared" si="1549"/>
        <v>0</v>
      </c>
      <c r="DQ73" s="868">
        <f t="shared" si="1549"/>
        <v>0</v>
      </c>
      <c r="DR73" s="868">
        <f t="shared" si="1549"/>
        <v>0</v>
      </c>
      <c r="DS73" s="868">
        <f t="shared" si="1549"/>
        <v>0</v>
      </c>
      <c r="DT73" s="868">
        <f t="shared" si="1549"/>
        <v>0</v>
      </c>
      <c r="DU73" s="868">
        <f t="shared" si="1549"/>
        <v>0</v>
      </c>
      <c r="DV73" s="868">
        <f t="shared" si="1549"/>
        <v>0</v>
      </c>
      <c r="DW73" s="868">
        <f t="shared" si="1549"/>
        <v>0</v>
      </c>
      <c r="DX73" s="868">
        <f t="shared" si="1549"/>
        <v>0</v>
      </c>
      <c r="DY73" s="868">
        <f t="shared" si="1549"/>
        <v>0</v>
      </c>
      <c r="DZ73" s="868">
        <f t="shared" si="1549"/>
        <v>0</v>
      </c>
      <c r="EA73" s="868">
        <f t="shared" si="1549"/>
        <v>0</v>
      </c>
      <c r="EB73" s="868">
        <f t="shared" si="1549"/>
        <v>0</v>
      </c>
      <c r="EC73" s="868">
        <f t="shared" si="1549"/>
        <v>0</v>
      </c>
      <c r="ED73" s="868">
        <f t="shared" si="1549"/>
        <v>0</v>
      </c>
      <c r="EE73" s="868">
        <f t="shared" si="1549"/>
        <v>0</v>
      </c>
      <c r="EF73" s="868">
        <f t="shared" si="1549"/>
        <v>0</v>
      </c>
      <c r="EG73" s="868">
        <f t="shared" si="1549"/>
        <v>0</v>
      </c>
      <c r="EH73" s="868">
        <f t="shared" si="1549"/>
        <v>0</v>
      </c>
      <c r="EI73" s="868">
        <f t="shared" si="1549"/>
        <v>0</v>
      </c>
      <c r="EJ73" s="868">
        <f t="shared" si="1549"/>
        <v>0</v>
      </c>
      <c r="EK73" s="868">
        <f t="shared" si="1549"/>
        <v>0</v>
      </c>
      <c r="EL73" s="868">
        <f t="shared" si="1549"/>
        <v>0</v>
      </c>
      <c r="EM73" s="868">
        <f t="shared" si="1549"/>
        <v>0</v>
      </c>
      <c r="EN73" s="868">
        <f t="shared" si="1549"/>
        <v>0</v>
      </c>
      <c r="EO73" s="868"/>
      <c r="EP73" s="868">
        <f t="shared" si="1549"/>
        <v>0</v>
      </c>
      <c r="EQ73" s="868">
        <f t="shared" si="1549"/>
        <v>0</v>
      </c>
      <c r="ER73" s="868">
        <f t="shared" si="1549"/>
        <v>0</v>
      </c>
      <c r="ES73" s="868">
        <f t="shared" ref="ES73:FP73" si="1550">SUM(ES72:ES72)</f>
        <v>0</v>
      </c>
      <c r="ET73" s="868">
        <f t="shared" si="1550"/>
        <v>0</v>
      </c>
      <c r="EU73" s="868">
        <f t="shared" si="1550"/>
        <v>0</v>
      </c>
      <c r="EV73" s="868">
        <f t="shared" si="1550"/>
        <v>0</v>
      </c>
      <c r="EW73" s="868">
        <f t="shared" si="1550"/>
        <v>0</v>
      </c>
      <c r="EX73" s="868">
        <f t="shared" si="1550"/>
        <v>0</v>
      </c>
      <c r="EY73" s="868">
        <f t="shared" si="1550"/>
        <v>0</v>
      </c>
      <c r="EZ73" s="868"/>
      <c r="FA73" s="868">
        <f t="shared" si="1550"/>
        <v>0</v>
      </c>
      <c r="FB73" s="868">
        <f t="shared" si="1550"/>
        <v>0</v>
      </c>
      <c r="FC73" s="868">
        <f t="shared" si="1550"/>
        <v>0</v>
      </c>
      <c r="FD73" s="868">
        <f t="shared" si="1550"/>
        <v>0</v>
      </c>
      <c r="FE73" s="868">
        <f t="shared" si="1550"/>
        <v>0</v>
      </c>
      <c r="FF73" s="868">
        <f t="shared" si="1550"/>
        <v>0</v>
      </c>
      <c r="FG73" s="868">
        <f t="shared" si="1550"/>
        <v>0</v>
      </c>
      <c r="FH73" s="868">
        <f t="shared" si="1550"/>
        <v>0</v>
      </c>
      <c r="FI73" s="868">
        <f t="shared" si="1550"/>
        <v>0</v>
      </c>
      <c r="FJ73" s="868">
        <f t="shared" si="1550"/>
        <v>0</v>
      </c>
      <c r="FK73" s="868">
        <f t="shared" si="1550"/>
        <v>0</v>
      </c>
      <c r="FL73" s="868">
        <f t="shared" si="1550"/>
        <v>0</v>
      </c>
      <c r="FM73" s="868">
        <f t="shared" si="1550"/>
        <v>0</v>
      </c>
      <c r="FN73" s="868">
        <f t="shared" si="1550"/>
        <v>0</v>
      </c>
      <c r="FO73" s="868">
        <f t="shared" si="1550"/>
        <v>0</v>
      </c>
      <c r="FP73" s="868">
        <f t="shared" si="1550"/>
        <v>0</v>
      </c>
    </row>
    <row r="74" spans="1:178" s="216" customFormat="1" ht="15" customHeight="1" outlineLevel="1">
      <c r="A74" s="1005" t="str">
        <f t="shared" si="253"/>
        <v>JUNIO  2026 2da QUINCENA</v>
      </c>
      <c r="B74" s="1005">
        <f t="shared" si="90"/>
        <v>2026</v>
      </c>
      <c r="C74" s="1006" t="str">
        <f t="shared" si="254"/>
        <v>JUNIO  2026 2da QUINCENA2026</v>
      </c>
      <c r="D74" s="235"/>
      <c r="E74" s="235">
        <v>301030</v>
      </c>
      <c r="F74" s="268"/>
      <c r="G74" s="975" t="s">
        <v>641</v>
      </c>
      <c r="H74" s="235"/>
      <c r="J74" s="801"/>
      <c r="K74" s="801"/>
      <c r="L74" s="801"/>
      <c r="M74" s="801"/>
      <c r="N74" s="870"/>
      <c r="O74" s="957"/>
      <c r="P74" s="957"/>
      <c r="Q74" s="958"/>
      <c r="R74" s="958"/>
      <c r="S74" s="957"/>
      <c r="T74" s="701"/>
      <c r="U74" s="959"/>
      <c r="V74" s="801"/>
      <c r="W74" s="960"/>
      <c r="X74" s="801"/>
      <c r="Y74" s="960"/>
      <c r="Z74" s="801"/>
      <c r="AA74" s="960"/>
      <c r="AB74" s="880"/>
      <c r="AC74" s="960"/>
      <c r="AD74" s="801"/>
      <c r="AE74" s="961"/>
      <c r="AF74" s="801"/>
      <c r="AG74" s="972"/>
      <c r="AH74" s="801"/>
      <c r="AI74" s="973"/>
      <c r="AJ74" s="801"/>
      <c r="AK74" s="823"/>
      <c r="AL74" s="823"/>
      <c r="AM74" s="973"/>
      <c r="AN74" s="823"/>
      <c r="AO74" s="827"/>
      <c r="AP74" s="827"/>
      <c r="AQ74" s="827"/>
      <c r="AR74" s="827"/>
      <c r="AS74" s="827"/>
      <c r="AT74" s="827"/>
      <c r="AU74" s="827"/>
      <c r="AV74" s="827"/>
      <c r="AW74" s="827"/>
      <c r="AX74" s="827"/>
      <c r="AY74" s="860"/>
      <c r="AZ74" s="966"/>
      <c r="BA74" s="801"/>
      <c r="BB74" s="880"/>
      <c r="BC74" s="801"/>
      <c r="BD74" s="801"/>
      <c r="BE74" s="801"/>
      <c r="BF74" s="801"/>
      <c r="BG74" s="801"/>
      <c r="BH74" s="801"/>
      <c r="BI74" s="801"/>
      <c r="BJ74" s="801"/>
      <c r="BK74" s="801"/>
      <c r="BL74" s="801"/>
      <c r="BM74" s="801"/>
      <c r="BN74" s="801"/>
      <c r="BO74" s="801"/>
      <c r="BP74" s="801"/>
      <c r="BQ74" s="801"/>
      <c r="BR74" s="860"/>
      <c r="BS74" s="801"/>
      <c r="BT74" s="801"/>
      <c r="BU74" s="801"/>
      <c r="BV74" s="801"/>
      <c r="BW74" s="801"/>
      <c r="BX74" s="801"/>
      <c r="BY74" s="801"/>
      <c r="BZ74" s="801"/>
      <c r="CA74" s="801"/>
      <c r="CB74" s="801"/>
      <c r="CC74" s="801"/>
      <c r="CD74" s="801"/>
      <c r="CE74" s="801"/>
      <c r="CF74" s="801"/>
      <c r="CG74" s="801"/>
      <c r="CH74" s="801"/>
      <c r="CI74" s="801"/>
      <c r="CJ74" s="801"/>
      <c r="CK74" s="823"/>
      <c r="CL74" s="823"/>
      <c r="CM74" s="823"/>
      <c r="CN74" s="823"/>
      <c r="CO74" s="823"/>
      <c r="CP74" s="823"/>
      <c r="CQ74" s="823"/>
      <c r="CR74" s="823"/>
      <c r="CS74" s="823"/>
      <c r="CV74" s="801"/>
      <c r="CW74" s="801"/>
      <c r="CX74" s="801"/>
      <c r="CY74" s="801"/>
      <c r="CZ74" s="801"/>
      <c r="DA74" s="801"/>
      <c r="DB74" s="801"/>
      <c r="DC74" s="801"/>
      <c r="DD74" s="801"/>
      <c r="DE74" s="801"/>
      <c r="DF74" s="801"/>
      <c r="DG74" s="801"/>
      <c r="DH74" s="801"/>
      <c r="DI74" s="801"/>
      <c r="DJ74" s="801"/>
      <c r="DK74" s="801"/>
      <c r="DL74" s="801"/>
      <c r="DM74" s="801"/>
      <c r="DN74" s="823"/>
      <c r="DO74" s="823"/>
      <c r="DP74" s="823"/>
      <c r="DQ74" s="823"/>
      <c r="DR74" s="823"/>
      <c r="DS74" s="823"/>
      <c r="DT74" s="823"/>
      <c r="DU74" s="823"/>
      <c r="DV74" s="823"/>
      <c r="DW74" s="241" t="s">
        <v>52</v>
      </c>
      <c r="DX74" s="242" t="s">
        <v>52</v>
      </c>
      <c r="DY74" s="242" t="s">
        <v>52</v>
      </c>
      <c r="DZ74" s="242" t="s">
        <v>52</v>
      </c>
      <c r="EA74" s="242" t="s">
        <v>52</v>
      </c>
      <c r="EB74" s="242" t="s">
        <v>52</v>
      </c>
      <c r="EC74" s="242" t="s">
        <v>52</v>
      </c>
      <c r="ED74" s="242" t="s">
        <v>52</v>
      </c>
      <c r="EE74" s="242" t="s">
        <v>52</v>
      </c>
      <c r="EF74" s="242">
        <f t="shared" si="1542"/>
        <v>0</v>
      </c>
      <c r="EG74" s="823"/>
      <c r="EH74" s="823"/>
      <c r="EI74" s="823"/>
      <c r="EJ74" s="823"/>
      <c r="EK74" s="823"/>
      <c r="EL74" s="823"/>
      <c r="EM74" s="823"/>
      <c r="EN74" s="823"/>
      <c r="EX74" s="820"/>
      <c r="EY74" s="960"/>
      <c r="FA74" s="960"/>
      <c r="FB74" s="960"/>
      <c r="FC74" s="960"/>
      <c r="FD74" s="960"/>
      <c r="FE74" s="960"/>
      <c r="FF74" s="960"/>
      <c r="FG74" s="960"/>
      <c r="FH74" s="960"/>
      <c r="FI74" s="960"/>
      <c r="FJ74" s="960"/>
      <c r="FK74" s="968"/>
      <c r="FL74" s="968"/>
      <c r="FM74" s="968"/>
      <c r="FN74" s="968"/>
      <c r="FO74" s="968"/>
      <c r="FP74" s="974"/>
    </row>
    <row r="75" spans="1:178" s="216" customFormat="1" ht="15" customHeight="1" outlineLevel="1">
      <c r="A75" s="1005"/>
      <c r="B75" s="1005"/>
      <c r="C75" s="1006"/>
      <c r="D75" s="235"/>
      <c r="E75" s="235">
        <v>301030</v>
      </c>
      <c r="F75" s="268"/>
      <c r="G75" s="199"/>
      <c r="H75" s="200"/>
      <c r="I75" s="200"/>
      <c r="J75" s="1014"/>
      <c r="K75" s="1016"/>
      <c r="L75" s="871"/>
      <c r="M75" s="203"/>
      <c r="N75" s="204"/>
      <c r="O75" s="204"/>
      <c r="P75" s="204"/>
      <c r="Q75" s="866"/>
      <c r="R75" s="204"/>
      <c r="S75" s="204"/>
      <c r="T75" s="701"/>
      <c r="U75" s="238"/>
      <c r="V75" s="239"/>
      <c r="W75" s="265"/>
      <c r="X75" s="239"/>
      <c r="Y75" s="238"/>
      <c r="Z75" s="239"/>
      <c r="AA75" s="265"/>
      <c r="AB75" s="239"/>
      <c r="AC75" s="265"/>
      <c r="AD75" s="239"/>
      <c r="AE75" s="838"/>
      <c r="AF75" s="239"/>
      <c r="AG75" s="239"/>
      <c r="AH75" s="838"/>
      <c r="AI75" s="836"/>
      <c r="AJ75" s="836"/>
      <c r="AK75" s="836"/>
      <c r="AL75" s="265"/>
      <c r="AM75" s="239"/>
      <c r="AN75" s="265"/>
      <c r="AO75" s="239"/>
      <c r="AP75" s="838"/>
      <c r="AQ75" s="239"/>
      <c r="AR75" s="239"/>
      <c r="AS75" s="838"/>
      <c r="AT75" s="836"/>
      <c r="AU75" s="836"/>
      <c r="AV75" s="836"/>
      <c r="AW75" s="265"/>
      <c r="AX75" s="239"/>
      <c r="AY75" s="265"/>
      <c r="AZ75" s="239"/>
      <c r="BA75" s="239"/>
      <c r="BB75" s="239"/>
      <c r="BC75" s="239"/>
      <c r="BD75" s="838"/>
      <c r="BE75" s="836"/>
      <c r="BF75" s="836"/>
      <c r="BG75" s="836"/>
      <c r="BH75" s="265"/>
      <c r="BI75" s="239"/>
      <c r="BJ75" s="239"/>
      <c r="BK75" s="239"/>
      <c r="BL75" s="239"/>
      <c r="BM75" s="239"/>
      <c r="BN75" s="239"/>
      <c r="BO75" s="239"/>
      <c r="BP75" s="239"/>
      <c r="BQ75" s="239"/>
      <c r="BR75" s="836"/>
      <c r="BS75" s="239"/>
      <c r="BT75" s="239"/>
      <c r="BU75" s="239"/>
      <c r="BV75" s="239"/>
      <c r="BW75" s="239"/>
      <c r="BX75" s="239"/>
      <c r="BY75" s="239"/>
      <c r="BZ75" s="239"/>
      <c r="CA75" s="239"/>
      <c r="CB75" s="874"/>
      <c r="CC75" s="875"/>
      <c r="CD75" s="875"/>
      <c r="CE75" s="875"/>
      <c r="CF75" s="875"/>
      <c r="CG75" s="875"/>
      <c r="CH75" s="875"/>
      <c r="CI75" s="875"/>
      <c r="CJ75" s="875"/>
      <c r="CK75" s="875"/>
      <c r="CL75" s="875"/>
      <c r="CM75" s="875"/>
      <c r="CN75" s="875"/>
      <c r="CO75" s="875"/>
      <c r="CP75" s="875"/>
      <c r="CQ75" s="875"/>
      <c r="CR75" s="875"/>
      <c r="CS75" s="876"/>
      <c r="CT75" s="235"/>
      <c r="CU75" s="201"/>
      <c r="CV75" s="203"/>
      <c r="CW75" s="203"/>
      <c r="CX75" s="203"/>
      <c r="CY75" s="203"/>
      <c r="CZ75" s="203"/>
      <c r="DA75" s="203"/>
      <c r="DB75" s="203"/>
      <c r="DC75" s="203"/>
      <c r="DD75" s="203"/>
      <c r="DE75" s="203"/>
      <c r="DF75" s="203"/>
      <c r="DG75" s="239"/>
      <c r="DH75" s="239"/>
      <c r="DI75" s="239"/>
      <c r="DJ75" s="203"/>
      <c r="DK75" s="203"/>
      <c r="DL75" s="203"/>
      <c r="DM75" s="203"/>
      <c r="DN75" s="210"/>
      <c r="DO75" s="210"/>
      <c r="DP75" s="210"/>
      <c r="DQ75" s="210"/>
      <c r="DR75" s="210"/>
      <c r="DS75" s="210"/>
      <c r="DT75" s="210"/>
      <c r="DU75" s="210"/>
      <c r="DV75" s="210"/>
      <c r="DW75" s="241"/>
      <c r="DX75" s="241"/>
      <c r="DY75" s="241"/>
      <c r="DZ75" s="241"/>
      <c r="EA75" s="241"/>
      <c r="EB75" s="241"/>
      <c r="EC75" s="241"/>
      <c r="ED75" s="241"/>
      <c r="EE75" s="242"/>
      <c r="EF75" s="203">
        <v>0</v>
      </c>
      <c r="EG75" s="242">
        <f t="shared" ref="EG75" si="1551">IF($CU75="ECONACIONAL",$BB75+$BK75+$BT75+$CC75+$CL75,0)</f>
        <v>0</v>
      </c>
      <c r="EH75" s="203">
        <v>0</v>
      </c>
      <c r="EI75" s="203">
        <v>0</v>
      </c>
      <c r="EJ75" s="242">
        <f t="shared" ref="EJ75" si="1552">IF($CU75="CLEARTEC",$BE75+$BN75+$BW75+$CF75+$CO75,0)</f>
        <v>0</v>
      </c>
      <c r="EK75" s="203">
        <v>0</v>
      </c>
      <c r="EL75" s="203">
        <v>0</v>
      </c>
      <c r="EM75" s="203">
        <v>0</v>
      </c>
      <c r="EN75" s="203">
        <f t="shared" ref="EN75" si="1553">SUM(EF75:EM75)-EH75-EJ75</f>
        <v>0</v>
      </c>
      <c r="EO75" s="235"/>
      <c r="EP75" s="200"/>
      <c r="EQ75" s="200"/>
      <c r="ER75" s="200"/>
      <c r="ES75" s="201"/>
      <c r="ET75" s="201"/>
      <c r="EU75" s="201"/>
      <c r="EV75" s="201"/>
      <c r="EW75" s="200"/>
      <c r="EX75" s="201"/>
      <c r="EY75" s="201">
        <f t="shared" ref="EY75" si="1554">+ET75+EU75+EV75</f>
        <v>0</v>
      </c>
      <c r="FA75" s="207"/>
      <c r="FB75" s="207"/>
      <c r="FC75" s="207"/>
      <c r="FD75" s="207"/>
      <c r="FE75" s="207"/>
      <c r="FF75" s="207"/>
      <c r="FG75" s="207"/>
      <c r="FH75" s="207"/>
      <c r="FI75" s="207"/>
      <c r="FJ75" s="207"/>
      <c r="FK75" s="217"/>
      <c r="FL75" s="217"/>
      <c r="FM75" s="217"/>
      <c r="FN75" s="217"/>
      <c r="FO75" s="217"/>
      <c r="FP75" s="217"/>
    </row>
    <row r="76" spans="1:178" s="216" customFormat="1" ht="15" customHeight="1" outlineLevel="1">
      <c r="A76" s="1005" t="s">
        <v>52</v>
      </c>
      <c r="B76" s="1005" t="s">
        <v>52</v>
      </c>
      <c r="C76" s="1006" t="s">
        <v>52</v>
      </c>
      <c r="D76" s="235"/>
      <c r="E76" s="235">
        <v>301030</v>
      </c>
      <c r="F76" s="268"/>
      <c r="G76" s="955"/>
      <c r="H76" s="235" t="s">
        <v>656</v>
      </c>
      <c r="J76" s="868">
        <f>SUM(J75:J75)</f>
        <v>0</v>
      </c>
      <c r="K76" s="868">
        <f>SUM(K75:K75)</f>
        <v>0</v>
      </c>
      <c r="L76" s="868">
        <f>SUM(L75:L75)</f>
        <v>0</v>
      </c>
      <c r="M76" s="801"/>
      <c r="N76" s="870"/>
      <c r="O76" s="957"/>
      <c r="P76" s="957"/>
      <c r="Q76" s="958"/>
      <c r="R76" s="958"/>
      <c r="S76" s="957"/>
      <c r="T76" s="701"/>
      <c r="U76" s="868">
        <f t="shared" ref="U76:AZ76" si="1555">SUM(U75:U75)</f>
        <v>0</v>
      </c>
      <c r="V76" s="868">
        <f t="shared" si="1555"/>
        <v>0</v>
      </c>
      <c r="W76" s="868">
        <f t="shared" si="1555"/>
        <v>0</v>
      </c>
      <c r="X76" s="868">
        <f t="shared" si="1555"/>
        <v>0</v>
      </c>
      <c r="Y76" s="868">
        <f t="shared" si="1555"/>
        <v>0</v>
      </c>
      <c r="Z76" s="868">
        <f t="shared" si="1555"/>
        <v>0</v>
      </c>
      <c r="AA76" s="868">
        <f t="shared" si="1555"/>
        <v>0</v>
      </c>
      <c r="AB76" s="868">
        <f t="shared" si="1555"/>
        <v>0</v>
      </c>
      <c r="AC76" s="868">
        <f t="shared" si="1555"/>
        <v>0</v>
      </c>
      <c r="AD76" s="868">
        <f t="shared" si="1555"/>
        <v>0</v>
      </c>
      <c r="AE76" s="868">
        <f t="shared" si="1555"/>
        <v>0</v>
      </c>
      <c r="AF76" s="868">
        <f t="shared" si="1555"/>
        <v>0</v>
      </c>
      <c r="AG76" s="868">
        <f t="shared" si="1555"/>
        <v>0</v>
      </c>
      <c r="AH76" s="868">
        <f t="shared" si="1555"/>
        <v>0</v>
      </c>
      <c r="AI76" s="868">
        <f t="shared" si="1555"/>
        <v>0</v>
      </c>
      <c r="AJ76" s="868">
        <f t="shared" si="1555"/>
        <v>0</v>
      </c>
      <c r="AK76" s="868">
        <f t="shared" si="1555"/>
        <v>0</v>
      </c>
      <c r="AL76" s="868">
        <f t="shared" si="1555"/>
        <v>0</v>
      </c>
      <c r="AM76" s="868">
        <f t="shared" si="1555"/>
        <v>0</v>
      </c>
      <c r="AN76" s="868">
        <f t="shared" si="1555"/>
        <v>0</v>
      </c>
      <c r="AO76" s="868">
        <f t="shared" si="1555"/>
        <v>0</v>
      </c>
      <c r="AP76" s="868">
        <f t="shared" si="1555"/>
        <v>0</v>
      </c>
      <c r="AQ76" s="868">
        <f t="shared" si="1555"/>
        <v>0</v>
      </c>
      <c r="AR76" s="868">
        <f t="shared" si="1555"/>
        <v>0</v>
      </c>
      <c r="AS76" s="868">
        <f t="shared" si="1555"/>
        <v>0</v>
      </c>
      <c r="AT76" s="868">
        <f t="shared" si="1555"/>
        <v>0</v>
      </c>
      <c r="AU76" s="868">
        <f t="shared" si="1555"/>
        <v>0</v>
      </c>
      <c r="AV76" s="868">
        <f t="shared" si="1555"/>
        <v>0</v>
      </c>
      <c r="AW76" s="868">
        <f t="shared" si="1555"/>
        <v>0</v>
      </c>
      <c r="AX76" s="868">
        <f t="shared" si="1555"/>
        <v>0</v>
      </c>
      <c r="AY76" s="868">
        <f t="shared" si="1555"/>
        <v>0</v>
      </c>
      <c r="AZ76" s="868">
        <f t="shared" si="1555"/>
        <v>0</v>
      </c>
      <c r="BA76" s="977">
        <f t="shared" ref="BA76:CF76" si="1556">SUM(BA75:BA75)</f>
        <v>0</v>
      </c>
      <c r="BB76" s="868">
        <f t="shared" si="1556"/>
        <v>0</v>
      </c>
      <c r="BC76" s="868">
        <f t="shared" si="1556"/>
        <v>0</v>
      </c>
      <c r="BD76" s="868">
        <f t="shared" si="1556"/>
        <v>0</v>
      </c>
      <c r="BE76" s="868">
        <f t="shared" si="1556"/>
        <v>0</v>
      </c>
      <c r="BF76" s="868">
        <f t="shared" si="1556"/>
        <v>0</v>
      </c>
      <c r="BG76" s="868">
        <f t="shared" si="1556"/>
        <v>0</v>
      </c>
      <c r="BH76" s="868">
        <f t="shared" si="1556"/>
        <v>0</v>
      </c>
      <c r="BI76" s="868">
        <f t="shared" si="1556"/>
        <v>0</v>
      </c>
      <c r="BJ76" s="868">
        <f t="shared" si="1556"/>
        <v>0</v>
      </c>
      <c r="BK76" s="868">
        <f t="shared" si="1556"/>
        <v>0</v>
      </c>
      <c r="BL76" s="868">
        <f t="shared" si="1556"/>
        <v>0</v>
      </c>
      <c r="BM76" s="868">
        <f t="shared" si="1556"/>
        <v>0</v>
      </c>
      <c r="BN76" s="868">
        <f t="shared" si="1556"/>
        <v>0</v>
      </c>
      <c r="BO76" s="868">
        <f t="shared" si="1556"/>
        <v>0</v>
      </c>
      <c r="BP76" s="868">
        <f t="shared" si="1556"/>
        <v>0</v>
      </c>
      <c r="BQ76" s="868">
        <f t="shared" si="1556"/>
        <v>0</v>
      </c>
      <c r="BR76" s="868">
        <f t="shared" si="1556"/>
        <v>0</v>
      </c>
      <c r="BS76" s="868">
        <f t="shared" si="1556"/>
        <v>0</v>
      </c>
      <c r="BT76" s="868">
        <f t="shared" si="1556"/>
        <v>0</v>
      </c>
      <c r="BU76" s="868">
        <f t="shared" si="1556"/>
        <v>0</v>
      </c>
      <c r="BV76" s="868">
        <f t="shared" si="1556"/>
        <v>0</v>
      </c>
      <c r="BW76" s="868">
        <f t="shared" si="1556"/>
        <v>0</v>
      </c>
      <c r="BX76" s="868">
        <f t="shared" si="1556"/>
        <v>0</v>
      </c>
      <c r="BY76" s="868">
        <f t="shared" si="1556"/>
        <v>0</v>
      </c>
      <c r="BZ76" s="868">
        <f t="shared" si="1556"/>
        <v>0</v>
      </c>
      <c r="CA76" s="868">
        <f t="shared" si="1556"/>
        <v>0</v>
      </c>
      <c r="CB76" s="868">
        <f t="shared" si="1556"/>
        <v>0</v>
      </c>
      <c r="CC76" s="868">
        <f t="shared" si="1556"/>
        <v>0</v>
      </c>
      <c r="CD76" s="868">
        <f t="shared" si="1556"/>
        <v>0</v>
      </c>
      <c r="CE76" s="868">
        <f t="shared" si="1556"/>
        <v>0</v>
      </c>
      <c r="CF76" s="868">
        <f t="shared" si="1556"/>
        <v>0</v>
      </c>
      <c r="CG76" s="868">
        <f t="shared" ref="CG76:DL76" si="1557">SUM(CG75:CG75)</f>
        <v>0</v>
      </c>
      <c r="CH76" s="868">
        <f t="shared" si="1557"/>
        <v>0</v>
      </c>
      <c r="CI76" s="868">
        <f t="shared" si="1557"/>
        <v>0</v>
      </c>
      <c r="CJ76" s="868">
        <f t="shared" si="1557"/>
        <v>0</v>
      </c>
      <c r="CK76" s="868">
        <f t="shared" si="1557"/>
        <v>0</v>
      </c>
      <c r="CL76" s="868">
        <f t="shared" si="1557"/>
        <v>0</v>
      </c>
      <c r="CM76" s="868">
        <f t="shared" si="1557"/>
        <v>0</v>
      </c>
      <c r="CN76" s="868">
        <f t="shared" si="1557"/>
        <v>0</v>
      </c>
      <c r="CO76" s="868">
        <f t="shared" si="1557"/>
        <v>0</v>
      </c>
      <c r="CP76" s="868">
        <f t="shared" si="1557"/>
        <v>0</v>
      </c>
      <c r="CQ76" s="868">
        <f t="shared" si="1557"/>
        <v>0</v>
      </c>
      <c r="CR76" s="868">
        <f t="shared" si="1557"/>
        <v>0</v>
      </c>
      <c r="CS76" s="868">
        <f t="shared" si="1557"/>
        <v>0</v>
      </c>
      <c r="CT76" s="868" t="s">
        <v>52</v>
      </c>
      <c r="CU76" s="868" t="s">
        <v>52</v>
      </c>
      <c r="CV76" s="868">
        <f t="shared" si="1557"/>
        <v>0</v>
      </c>
      <c r="CW76" s="868">
        <f t="shared" si="1557"/>
        <v>0</v>
      </c>
      <c r="CX76" s="868">
        <f t="shared" si="1557"/>
        <v>0</v>
      </c>
      <c r="CY76" s="868">
        <f t="shared" si="1557"/>
        <v>0</v>
      </c>
      <c r="CZ76" s="868">
        <f t="shared" si="1557"/>
        <v>0</v>
      </c>
      <c r="DA76" s="868">
        <f t="shared" si="1557"/>
        <v>0</v>
      </c>
      <c r="DB76" s="868">
        <f t="shared" si="1557"/>
        <v>0</v>
      </c>
      <c r="DC76" s="868">
        <f t="shared" si="1557"/>
        <v>0</v>
      </c>
      <c r="DD76" s="868">
        <f t="shared" si="1557"/>
        <v>0</v>
      </c>
      <c r="DE76" s="868">
        <f t="shared" si="1557"/>
        <v>0</v>
      </c>
      <c r="DF76" s="868">
        <f t="shared" si="1557"/>
        <v>0</v>
      </c>
      <c r="DG76" s="868">
        <f t="shared" si="1557"/>
        <v>0</v>
      </c>
      <c r="DH76" s="868">
        <f t="shared" si="1557"/>
        <v>0</v>
      </c>
      <c r="DI76" s="868">
        <f t="shared" si="1557"/>
        <v>0</v>
      </c>
      <c r="DJ76" s="868">
        <f t="shared" si="1557"/>
        <v>0</v>
      </c>
      <c r="DK76" s="868">
        <f t="shared" si="1557"/>
        <v>0</v>
      </c>
      <c r="DL76" s="868">
        <f t="shared" si="1557"/>
        <v>0</v>
      </c>
      <c r="DM76" s="868">
        <f t="shared" ref="DM76:ER76" si="1558">SUM(DM75:DM75)</f>
        <v>0</v>
      </c>
      <c r="DN76" s="868">
        <f t="shared" si="1558"/>
        <v>0</v>
      </c>
      <c r="DO76" s="868">
        <f t="shared" si="1558"/>
        <v>0</v>
      </c>
      <c r="DP76" s="868">
        <f t="shared" si="1558"/>
        <v>0</v>
      </c>
      <c r="DQ76" s="868">
        <f t="shared" si="1558"/>
        <v>0</v>
      </c>
      <c r="DR76" s="868">
        <f t="shared" si="1558"/>
        <v>0</v>
      </c>
      <c r="DS76" s="868">
        <f t="shared" si="1558"/>
        <v>0</v>
      </c>
      <c r="DT76" s="868">
        <f t="shared" si="1558"/>
        <v>0</v>
      </c>
      <c r="DU76" s="868">
        <f t="shared" si="1558"/>
        <v>0</v>
      </c>
      <c r="DV76" s="868">
        <f t="shared" si="1558"/>
        <v>0</v>
      </c>
      <c r="DW76" s="868">
        <f t="shared" si="1558"/>
        <v>0</v>
      </c>
      <c r="DX76" s="868">
        <f t="shared" si="1558"/>
        <v>0</v>
      </c>
      <c r="DY76" s="868">
        <f t="shared" si="1558"/>
        <v>0</v>
      </c>
      <c r="DZ76" s="868">
        <f t="shared" si="1558"/>
        <v>0</v>
      </c>
      <c r="EA76" s="868">
        <f t="shared" si="1558"/>
        <v>0</v>
      </c>
      <c r="EB76" s="868">
        <f t="shared" si="1558"/>
        <v>0</v>
      </c>
      <c r="EC76" s="868">
        <f t="shared" si="1558"/>
        <v>0</v>
      </c>
      <c r="ED76" s="868">
        <f t="shared" si="1558"/>
        <v>0</v>
      </c>
      <c r="EE76" s="868">
        <f t="shared" si="1558"/>
        <v>0</v>
      </c>
      <c r="EF76" s="868">
        <f t="shared" si="1558"/>
        <v>0</v>
      </c>
      <c r="EG76" s="868">
        <f t="shared" si="1558"/>
        <v>0</v>
      </c>
      <c r="EH76" s="868">
        <f t="shared" si="1558"/>
        <v>0</v>
      </c>
      <c r="EI76" s="868">
        <f t="shared" si="1558"/>
        <v>0</v>
      </c>
      <c r="EJ76" s="868">
        <f t="shared" si="1558"/>
        <v>0</v>
      </c>
      <c r="EK76" s="868">
        <f t="shared" si="1558"/>
        <v>0</v>
      </c>
      <c r="EL76" s="868">
        <f t="shared" si="1558"/>
        <v>0</v>
      </c>
      <c r="EM76" s="868">
        <f t="shared" si="1558"/>
        <v>0</v>
      </c>
      <c r="EN76" s="868">
        <f t="shared" si="1558"/>
        <v>0</v>
      </c>
      <c r="EO76" s="868"/>
      <c r="EP76" s="868">
        <f t="shared" si="1558"/>
        <v>0</v>
      </c>
      <c r="EQ76" s="868">
        <f t="shared" si="1558"/>
        <v>0</v>
      </c>
      <c r="ER76" s="868">
        <f t="shared" si="1558"/>
        <v>0</v>
      </c>
      <c r="ES76" s="868">
        <f t="shared" ref="ES76:FJ76" si="1559">SUM(ES75:ES75)</f>
        <v>0</v>
      </c>
      <c r="ET76" s="868">
        <f t="shared" si="1559"/>
        <v>0</v>
      </c>
      <c r="EU76" s="868">
        <f t="shared" si="1559"/>
        <v>0</v>
      </c>
      <c r="EV76" s="868">
        <f t="shared" si="1559"/>
        <v>0</v>
      </c>
      <c r="EW76" s="868">
        <f t="shared" si="1559"/>
        <v>0</v>
      </c>
      <c r="EX76" s="868">
        <f t="shared" si="1559"/>
        <v>0</v>
      </c>
      <c r="EY76" s="868">
        <f t="shared" si="1559"/>
        <v>0</v>
      </c>
      <c r="EZ76" s="868"/>
      <c r="FA76" s="868">
        <f t="shared" si="1559"/>
        <v>0</v>
      </c>
      <c r="FB76" s="868">
        <f t="shared" si="1559"/>
        <v>0</v>
      </c>
      <c r="FC76" s="868">
        <f t="shared" si="1559"/>
        <v>0</v>
      </c>
      <c r="FD76" s="868">
        <f t="shared" si="1559"/>
        <v>0</v>
      </c>
      <c r="FE76" s="868">
        <f t="shared" si="1559"/>
        <v>0</v>
      </c>
      <c r="FF76" s="868">
        <f t="shared" si="1559"/>
        <v>0</v>
      </c>
      <c r="FG76" s="868">
        <f t="shared" si="1559"/>
        <v>0</v>
      </c>
      <c r="FH76" s="868">
        <f t="shared" si="1559"/>
        <v>0</v>
      </c>
      <c r="FI76" s="868">
        <f t="shared" si="1559"/>
        <v>0</v>
      </c>
      <c r="FJ76" s="868">
        <f t="shared" si="1559"/>
        <v>0</v>
      </c>
      <c r="FK76" s="962"/>
      <c r="FL76" s="962"/>
      <c r="FM76" s="962"/>
      <c r="FN76" s="962"/>
      <c r="FO76" s="962"/>
      <c r="FP76" s="963"/>
    </row>
    <row r="77" spans="1:178" s="216" customFormat="1" ht="15" customHeight="1" outlineLevel="1">
      <c r="A77" s="1005" t="s">
        <v>52</v>
      </c>
      <c r="B77" s="1005" t="s">
        <v>52</v>
      </c>
      <c r="C77" s="1006" t="s">
        <v>52</v>
      </c>
      <c r="D77" s="235"/>
      <c r="E77" s="235"/>
      <c r="F77" s="268"/>
      <c r="G77" s="975" t="s">
        <v>642</v>
      </c>
      <c r="H77" s="235"/>
      <c r="J77" s="801"/>
      <c r="K77" s="801"/>
      <c r="L77" s="801"/>
      <c r="M77" s="801"/>
      <c r="N77" s="870"/>
      <c r="O77" s="957"/>
      <c r="P77" s="957"/>
      <c r="Q77" s="958"/>
      <c r="R77" s="958"/>
      <c r="S77" s="957"/>
      <c r="T77" s="701"/>
      <c r="U77" s="959"/>
      <c r="V77" s="801"/>
      <c r="W77" s="960"/>
      <c r="X77" s="801"/>
      <c r="Y77" s="960"/>
      <c r="Z77" s="801"/>
      <c r="AA77" s="960"/>
      <c r="AB77" s="880"/>
      <c r="AC77" s="960"/>
      <c r="AD77" s="801"/>
      <c r="AE77" s="961"/>
      <c r="AF77" s="801"/>
      <c r="AG77" s="972"/>
      <c r="AH77" s="801"/>
      <c r="AI77" s="973"/>
      <c r="AJ77" s="801"/>
      <c r="AK77" s="823"/>
      <c r="AL77" s="823"/>
      <c r="AM77" s="973"/>
      <c r="AN77" s="823"/>
      <c r="AO77" s="827"/>
      <c r="AP77" s="827"/>
      <c r="AQ77" s="827"/>
      <c r="AR77" s="827"/>
      <c r="AS77" s="827"/>
      <c r="AT77" s="827"/>
      <c r="AU77" s="827"/>
      <c r="AV77" s="827"/>
      <c r="AW77" s="827"/>
      <c r="AX77" s="827"/>
      <c r="AY77" s="860"/>
      <c r="AZ77" s="966"/>
      <c r="BA77" s="801"/>
      <c r="BB77" s="880"/>
      <c r="BC77" s="801"/>
      <c r="BD77" s="801"/>
      <c r="BE77" s="801"/>
      <c r="BF77" s="801"/>
      <c r="BG77" s="801"/>
      <c r="BH77" s="801"/>
      <c r="BI77" s="801"/>
      <c r="BJ77" s="801"/>
      <c r="BK77" s="801"/>
      <c r="BL77" s="801"/>
      <c r="BM77" s="801"/>
      <c r="BN77" s="801"/>
      <c r="BO77" s="801"/>
      <c r="BP77" s="801"/>
      <c r="BQ77" s="801"/>
      <c r="BR77" s="860"/>
      <c r="BS77" s="801"/>
      <c r="BT77" s="801"/>
      <c r="BU77" s="801"/>
      <c r="BV77" s="801"/>
      <c r="BW77" s="801"/>
      <c r="BX77" s="801"/>
      <c r="BY77" s="801"/>
      <c r="BZ77" s="801"/>
      <c r="CA77" s="801"/>
      <c r="CB77" s="801"/>
      <c r="CC77" s="801"/>
      <c r="CD77" s="801"/>
      <c r="CE77" s="801"/>
      <c r="CF77" s="801"/>
      <c r="CG77" s="801"/>
      <c r="CH77" s="801"/>
      <c r="CI77" s="801"/>
      <c r="CJ77" s="801"/>
      <c r="CK77" s="823"/>
      <c r="CL77" s="823"/>
      <c r="CM77" s="823"/>
      <c r="CN77" s="823"/>
      <c r="CO77" s="823"/>
      <c r="CP77" s="823"/>
      <c r="CQ77" s="823"/>
      <c r="CR77" s="823"/>
      <c r="CS77" s="823"/>
      <c r="CV77" s="801"/>
      <c r="CW77" s="801"/>
      <c r="CX77" s="801"/>
      <c r="CY77" s="801"/>
      <c r="CZ77" s="801"/>
      <c r="DA77" s="801"/>
      <c r="DB77" s="801"/>
      <c r="DC77" s="801"/>
      <c r="DD77" s="801"/>
      <c r="DE77" s="801"/>
      <c r="DF77" s="801"/>
      <c r="DG77" s="801"/>
      <c r="DH77" s="801"/>
      <c r="DI77" s="801"/>
      <c r="DJ77" s="801"/>
      <c r="DK77" s="801"/>
      <c r="DL77" s="801"/>
      <c r="DM77" s="801"/>
      <c r="DN77" s="823"/>
      <c r="DO77" s="823"/>
      <c r="DP77" s="823"/>
      <c r="DQ77" s="823"/>
      <c r="DR77" s="823"/>
      <c r="DS77" s="823"/>
      <c r="DT77" s="823"/>
      <c r="DU77" s="823"/>
      <c r="DV77" s="823"/>
      <c r="DW77" s="823"/>
      <c r="DX77" s="823"/>
      <c r="DY77" s="823"/>
      <c r="DZ77" s="823"/>
      <c r="EA77" s="823"/>
      <c r="EB77" s="823"/>
      <c r="EC77" s="823"/>
      <c r="ED77" s="823"/>
      <c r="EE77" s="823"/>
      <c r="EF77" s="823"/>
      <c r="EG77" s="823"/>
      <c r="EH77" s="823"/>
      <c r="EI77" s="823"/>
      <c r="EJ77" s="823"/>
      <c r="EK77" s="823"/>
      <c r="EL77" s="823"/>
      <c r="EM77" s="823"/>
      <c r="EN77" s="823"/>
      <c r="EX77" s="820"/>
      <c r="EY77" s="960"/>
      <c r="FA77" s="960"/>
      <c r="FB77" s="960"/>
      <c r="FC77" s="960"/>
      <c r="FD77" s="960"/>
      <c r="FE77" s="960"/>
      <c r="FF77" s="960"/>
      <c r="FG77" s="960"/>
      <c r="FH77" s="960"/>
      <c r="FI77" s="960"/>
      <c r="FJ77" s="960"/>
      <c r="FK77" s="968"/>
      <c r="FL77" s="968"/>
      <c r="FM77" s="968"/>
      <c r="FN77" s="968"/>
      <c r="FO77" s="968"/>
      <c r="FP77" s="974"/>
    </row>
    <row r="78" spans="1:178" s="216" customFormat="1" ht="15" customHeight="1" outlineLevel="1">
      <c r="A78" s="1005" t="s">
        <v>52</v>
      </c>
      <c r="B78" s="1005" t="s">
        <v>52</v>
      </c>
      <c r="C78" s="1006" t="s">
        <v>52</v>
      </c>
      <c r="D78" s="235"/>
      <c r="E78" s="235"/>
      <c r="F78" s="268"/>
      <c r="G78" s="975" t="s">
        <v>643</v>
      </c>
      <c r="H78" s="235"/>
      <c r="J78" s="801"/>
      <c r="K78" s="801"/>
      <c r="L78" s="801"/>
      <c r="M78" s="801"/>
      <c r="N78" s="870"/>
      <c r="O78" s="957"/>
      <c r="P78" s="957"/>
      <c r="Q78" s="958"/>
      <c r="R78" s="958"/>
      <c r="S78" s="957"/>
      <c r="T78" s="701"/>
      <c r="U78" s="959"/>
      <c r="V78" s="801"/>
      <c r="W78" s="960"/>
      <c r="X78" s="801"/>
      <c r="Y78" s="960"/>
      <c r="Z78" s="801"/>
      <c r="AA78" s="960"/>
      <c r="AB78" s="880"/>
      <c r="AC78" s="960"/>
      <c r="AD78" s="801"/>
      <c r="AE78" s="961"/>
      <c r="AF78" s="801"/>
      <c r="AG78" s="972"/>
      <c r="AH78" s="801"/>
      <c r="AI78" s="973"/>
      <c r="AJ78" s="801"/>
      <c r="AK78" s="823"/>
      <c r="AL78" s="823"/>
      <c r="AM78" s="973"/>
      <c r="AN78" s="823"/>
      <c r="AO78" s="827"/>
      <c r="AP78" s="827"/>
      <c r="AQ78" s="827"/>
      <c r="AR78" s="827"/>
      <c r="AS78" s="827"/>
      <c r="AT78" s="827"/>
      <c r="AU78" s="827"/>
      <c r="AV78" s="827"/>
      <c r="AW78" s="827"/>
      <c r="AX78" s="827"/>
      <c r="AY78" s="860"/>
      <c r="AZ78" s="966"/>
      <c r="BA78" s="801"/>
      <c r="BB78" s="880"/>
      <c r="BC78" s="801"/>
      <c r="BD78" s="801"/>
      <c r="BE78" s="801"/>
      <c r="BF78" s="801"/>
      <c r="BG78" s="801"/>
      <c r="BH78" s="801"/>
      <c r="BI78" s="801"/>
      <c r="BJ78" s="801"/>
      <c r="BK78" s="801"/>
      <c r="BL78" s="801"/>
      <c r="BM78" s="801"/>
      <c r="BN78" s="801"/>
      <c r="BO78" s="801"/>
      <c r="BP78" s="801"/>
      <c r="BQ78" s="801"/>
      <c r="BR78" s="860"/>
      <c r="BS78" s="801"/>
      <c r="BT78" s="801"/>
      <c r="BU78" s="801"/>
      <c r="BV78" s="801"/>
      <c r="BW78" s="801"/>
      <c r="BX78" s="801"/>
      <c r="BY78" s="801"/>
      <c r="BZ78" s="801"/>
      <c r="CA78" s="801"/>
      <c r="CB78" s="801"/>
      <c r="CC78" s="801"/>
      <c r="CD78" s="801"/>
      <c r="CE78" s="801"/>
      <c r="CF78" s="801"/>
      <c r="CG78" s="801"/>
      <c r="CH78" s="801"/>
      <c r="CI78" s="801"/>
      <c r="CJ78" s="801"/>
      <c r="CK78" s="823"/>
      <c r="CL78" s="823"/>
      <c r="CM78" s="823"/>
      <c r="CN78" s="823"/>
      <c r="CO78" s="823"/>
      <c r="CP78" s="823"/>
      <c r="CQ78" s="823"/>
      <c r="CR78" s="823"/>
      <c r="CS78" s="823"/>
      <c r="CV78" s="801"/>
      <c r="CW78" s="801"/>
      <c r="CX78" s="801"/>
      <c r="CY78" s="801"/>
      <c r="CZ78" s="801"/>
      <c r="DA78" s="801"/>
      <c r="DB78" s="801"/>
      <c r="DC78" s="801"/>
      <c r="DD78" s="801"/>
      <c r="DE78" s="801"/>
      <c r="DF78" s="801"/>
      <c r="DG78" s="801"/>
      <c r="DH78" s="801"/>
      <c r="DI78" s="801"/>
      <c r="DJ78" s="801"/>
      <c r="DK78" s="801"/>
      <c r="DL78" s="801"/>
      <c r="DM78" s="801"/>
      <c r="DN78" s="823"/>
      <c r="DO78" s="823"/>
      <c r="DP78" s="823"/>
      <c r="DQ78" s="823"/>
      <c r="DR78" s="823"/>
      <c r="DS78" s="823"/>
      <c r="DT78" s="823"/>
      <c r="DU78" s="823"/>
      <c r="DV78" s="823"/>
      <c r="DW78" s="823"/>
      <c r="DX78" s="823"/>
      <c r="DY78" s="823"/>
      <c r="DZ78" s="823"/>
      <c r="EA78" s="823"/>
      <c r="EB78" s="823"/>
      <c r="EC78" s="823"/>
      <c r="ED78" s="823"/>
      <c r="EE78" s="823"/>
      <c r="EF78" s="823"/>
      <c r="EG78" s="823"/>
      <c r="EH78" s="823"/>
      <c r="EI78" s="823"/>
      <c r="EJ78" s="823"/>
      <c r="EK78" s="823"/>
      <c r="EL78" s="823"/>
      <c r="EM78" s="823"/>
      <c r="EN78" s="823"/>
      <c r="EX78" s="820"/>
      <c r="EY78" s="960"/>
      <c r="FA78" s="960"/>
      <c r="FB78" s="960"/>
      <c r="FC78" s="960"/>
      <c r="FD78" s="960"/>
      <c r="FE78" s="960"/>
      <c r="FF78" s="960"/>
      <c r="FG78" s="960"/>
      <c r="FH78" s="960"/>
      <c r="FI78" s="960"/>
      <c r="FJ78" s="960"/>
      <c r="FK78" s="968"/>
      <c r="FL78" s="968"/>
      <c r="FM78" s="968"/>
      <c r="FN78" s="968"/>
      <c r="FO78" s="968"/>
      <c r="FP78" s="974"/>
    </row>
    <row r="79" spans="1:178" s="216" customFormat="1" ht="15" customHeight="1" outlineLevel="1" thickBot="1">
      <c r="A79" s="1005" t="s">
        <v>52</v>
      </c>
      <c r="B79" s="1005" t="s">
        <v>52</v>
      </c>
      <c r="C79" s="1006" t="s">
        <v>52</v>
      </c>
      <c r="D79" s="235"/>
      <c r="E79" s="235"/>
      <c r="F79" s="268"/>
      <c r="G79" s="975"/>
      <c r="H79" s="820" t="s">
        <v>687</v>
      </c>
      <c r="J79" s="867">
        <f>+J70+J73+J76</f>
        <v>0</v>
      </c>
      <c r="K79" s="867">
        <f t="shared" ref="K79:L79" si="1560">+K70+K73+K76</f>
        <v>0</v>
      </c>
      <c r="L79" s="867">
        <f t="shared" si="1560"/>
        <v>0</v>
      </c>
      <c r="M79" s="801"/>
      <c r="N79" s="870"/>
      <c r="O79" s="957"/>
      <c r="P79" s="957"/>
      <c r="Q79" s="958"/>
      <c r="R79" s="958"/>
      <c r="S79" s="957"/>
      <c r="T79" s="701"/>
      <c r="U79" s="867">
        <f t="shared" ref="U79:CF79" si="1561">+U70+U73+U76</f>
        <v>0</v>
      </c>
      <c r="V79" s="867">
        <f t="shared" si="1561"/>
        <v>0</v>
      </c>
      <c r="W79" s="867">
        <f t="shared" si="1561"/>
        <v>0</v>
      </c>
      <c r="X79" s="867">
        <f t="shared" si="1561"/>
        <v>0</v>
      </c>
      <c r="Y79" s="867">
        <f t="shared" si="1561"/>
        <v>0</v>
      </c>
      <c r="Z79" s="867">
        <f t="shared" si="1561"/>
        <v>0</v>
      </c>
      <c r="AA79" s="867">
        <f t="shared" si="1561"/>
        <v>0</v>
      </c>
      <c r="AB79" s="867">
        <f t="shared" si="1561"/>
        <v>0</v>
      </c>
      <c r="AC79" s="867">
        <f t="shared" si="1561"/>
        <v>0</v>
      </c>
      <c r="AD79" s="867">
        <f t="shared" si="1561"/>
        <v>0</v>
      </c>
      <c r="AE79" s="867">
        <f t="shared" si="1561"/>
        <v>0</v>
      </c>
      <c r="AF79" s="867">
        <f t="shared" si="1561"/>
        <v>0</v>
      </c>
      <c r="AG79" s="867">
        <f t="shared" si="1561"/>
        <v>0</v>
      </c>
      <c r="AH79" s="867">
        <f t="shared" si="1561"/>
        <v>0</v>
      </c>
      <c r="AI79" s="867">
        <f t="shared" si="1561"/>
        <v>0</v>
      </c>
      <c r="AJ79" s="867">
        <f t="shared" si="1561"/>
        <v>0</v>
      </c>
      <c r="AK79" s="867">
        <f t="shared" si="1561"/>
        <v>0</v>
      </c>
      <c r="AL79" s="867">
        <f t="shared" si="1561"/>
        <v>0</v>
      </c>
      <c r="AM79" s="867">
        <f t="shared" si="1561"/>
        <v>0</v>
      </c>
      <c r="AN79" s="867">
        <f t="shared" si="1561"/>
        <v>0</v>
      </c>
      <c r="AO79" s="867">
        <f t="shared" si="1561"/>
        <v>0</v>
      </c>
      <c r="AP79" s="867">
        <f t="shared" si="1561"/>
        <v>0</v>
      </c>
      <c r="AQ79" s="867">
        <f t="shared" si="1561"/>
        <v>0</v>
      </c>
      <c r="AR79" s="867">
        <f t="shared" si="1561"/>
        <v>0</v>
      </c>
      <c r="AS79" s="867">
        <f t="shared" si="1561"/>
        <v>0</v>
      </c>
      <c r="AT79" s="867">
        <f t="shared" si="1561"/>
        <v>0</v>
      </c>
      <c r="AU79" s="867">
        <f t="shared" si="1561"/>
        <v>0</v>
      </c>
      <c r="AV79" s="867">
        <f t="shared" si="1561"/>
        <v>0</v>
      </c>
      <c r="AW79" s="867">
        <f t="shared" si="1561"/>
        <v>0</v>
      </c>
      <c r="AX79" s="867">
        <f t="shared" si="1561"/>
        <v>0</v>
      </c>
      <c r="AY79" s="867">
        <f t="shared" si="1561"/>
        <v>0</v>
      </c>
      <c r="AZ79" s="867">
        <f t="shared" si="1561"/>
        <v>0</v>
      </c>
      <c r="BA79" s="867">
        <f t="shared" si="1561"/>
        <v>0</v>
      </c>
      <c r="BB79" s="867">
        <f t="shared" si="1561"/>
        <v>0</v>
      </c>
      <c r="BC79" s="867">
        <f t="shared" si="1561"/>
        <v>0</v>
      </c>
      <c r="BD79" s="867">
        <f t="shared" si="1561"/>
        <v>0</v>
      </c>
      <c r="BE79" s="867">
        <f t="shared" si="1561"/>
        <v>0</v>
      </c>
      <c r="BF79" s="867">
        <f t="shared" si="1561"/>
        <v>0</v>
      </c>
      <c r="BG79" s="867">
        <f t="shared" si="1561"/>
        <v>0</v>
      </c>
      <c r="BH79" s="867">
        <f t="shared" si="1561"/>
        <v>0</v>
      </c>
      <c r="BI79" s="867">
        <f t="shared" si="1561"/>
        <v>0</v>
      </c>
      <c r="BJ79" s="867">
        <f t="shared" si="1561"/>
        <v>0</v>
      </c>
      <c r="BK79" s="867">
        <f t="shared" si="1561"/>
        <v>0</v>
      </c>
      <c r="BL79" s="867">
        <f t="shared" si="1561"/>
        <v>0</v>
      </c>
      <c r="BM79" s="867">
        <f t="shared" si="1561"/>
        <v>0</v>
      </c>
      <c r="BN79" s="867">
        <f t="shared" si="1561"/>
        <v>0</v>
      </c>
      <c r="BO79" s="867">
        <f t="shared" si="1561"/>
        <v>0</v>
      </c>
      <c r="BP79" s="867">
        <f t="shared" si="1561"/>
        <v>0</v>
      </c>
      <c r="BQ79" s="867">
        <f t="shared" si="1561"/>
        <v>0</v>
      </c>
      <c r="BR79" s="867">
        <f t="shared" si="1561"/>
        <v>0</v>
      </c>
      <c r="BS79" s="867">
        <f t="shared" si="1561"/>
        <v>0</v>
      </c>
      <c r="BT79" s="867">
        <f t="shared" si="1561"/>
        <v>0</v>
      </c>
      <c r="BU79" s="867">
        <f t="shared" si="1561"/>
        <v>0</v>
      </c>
      <c r="BV79" s="867">
        <f t="shared" si="1561"/>
        <v>0</v>
      </c>
      <c r="BW79" s="867">
        <f t="shared" si="1561"/>
        <v>0</v>
      </c>
      <c r="BX79" s="867">
        <f t="shared" si="1561"/>
        <v>0</v>
      </c>
      <c r="BY79" s="867">
        <f t="shared" si="1561"/>
        <v>0</v>
      </c>
      <c r="BZ79" s="867">
        <f t="shared" si="1561"/>
        <v>0</v>
      </c>
      <c r="CA79" s="867">
        <f t="shared" si="1561"/>
        <v>0</v>
      </c>
      <c r="CB79" s="867">
        <f t="shared" si="1561"/>
        <v>0</v>
      </c>
      <c r="CC79" s="867">
        <f t="shared" si="1561"/>
        <v>0</v>
      </c>
      <c r="CD79" s="867">
        <f t="shared" si="1561"/>
        <v>0</v>
      </c>
      <c r="CE79" s="867">
        <f t="shared" si="1561"/>
        <v>0</v>
      </c>
      <c r="CF79" s="867">
        <f t="shared" si="1561"/>
        <v>0</v>
      </c>
      <c r="CG79" s="867">
        <f t="shared" ref="CG79:ER79" si="1562">+CG70+CG73+CG76</f>
        <v>0</v>
      </c>
      <c r="CH79" s="867">
        <f t="shared" si="1562"/>
        <v>0</v>
      </c>
      <c r="CI79" s="867">
        <f t="shared" si="1562"/>
        <v>0</v>
      </c>
      <c r="CJ79" s="867">
        <f t="shared" si="1562"/>
        <v>0</v>
      </c>
      <c r="CK79" s="867">
        <f t="shared" si="1562"/>
        <v>0</v>
      </c>
      <c r="CL79" s="867">
        <f t="shared" si="1562"/>
        <v>0</v>
      </c>
      <c r="CM79" s="867">
        <f t="shared" si="1562"/>
        <v>0</v>
      </c>
      <c r="CN79" s="867">
        <f t="shared" si="1562"/>
        <v>0</v>
      </c>
      <c r="CO79" s="867">
        <f t="shared" si="1562"/>
        <v>0</v>
      </c>
      <c r="CP79" s="867">
        <f t="shared" si="1562"/>
        <v>0</v>
      </c>
      <c r="CQ79" s="867">
        <f t="shared" si="1562"/>
        <v>0</v>
      </c>
      <c r="CR79" s="867">
        <f t="shared" si="1562"/>
        <v>0</v>
      </c>
      <c r="CS79" s="867">
        <f t="shared" si="1562"/>
        <v>0</v>
      </c>
      <c r="CT79" s="867" t="e">
        <f t="shared" si="1562"/>
        <v>#VALUE!</v>
      </c>
      <c r="CU79" s="867" t="e">
        <f t="shared" si="1562"/>
        <v>#VALUE!</v>
      </c>
      <c r="CV79" s="867">
        <f t="shared" si="1562"/>
        <v>0</v>
      </c>
      <c r="CW79" s="867">
        <f t="shared" si="1562"/>
        <v>0</v>
      </c>
      <c r="CX79" s="867">
        <f t="shared" si="1562"/>
        <v>0</v>
      </c>
      <c r="CY79" s="867">
        <f t="shared" si="1562"/>
        <v>0</v>
      </c>
      <c r="CZ79" s="867">
        <f t="shared" si="1562"/>
        <v>0</v>
      </c>
      <c r="DA79" s="867">
        <f t="shared" si="1562"/>
        <v>0</v>
      </c>
      <c r="DB79" s="867">
        <f t="shared" si="1562"/>
        <v>0</v>
      </c>
      <c r="DC79" s="867">
        <f t="shared" si="1562"/>
        <v>0</v>
      </c>
      <c r="DD79" s="867">
        <f t="shared" si="1562"/>
        <v>0</v>
      </c>
      <c r="DE79" s="867">
        <f t="shared" si="1562"/>
        <v>0</v>
      </c>
      <c r="DF79" s="867">
        <f t="shared" si="1562"/>
        <v>0</v>
      </c>
      <c r="DG79" s="867">
        <f t="shared" si="1562"/>
        <v>0</v>
      </c>
      <c r="DH79" s="867">
        <f t="shared" si="1562"/>
        <v>0</v>
      </c>
      <c r="DI79" s="867">
        <f t="shared" si="1562"/>
        <v>0</v>
      </c>
      <c r="DJ79" s="867">
        <f t="shared" si="1562"/>
        <v>0</v>
      </c>
      <c r="DK79" s="867">
        <f t="shared" si="1562"/>
        <v>0</v>
      </c>
      <c r="DL79" s="867">
        <f t="shared" si="1562"/>
        <v>0</v>
      </c>
      <c r="DM79" s="867">
        <f t="shared" si="1562"/>
        <v>0</v>
      </c>
      <c r="DN79" s="867">
        <f t="shared" si="1562"/>
        <v>0</v>
      </c>
      <c r="DO79" s="867">
        <f t="shared" si="1562"/>
        <v>0</v>
      </c>
      <c r="DP79" s="867">
        <f t="shared" si="1562"/>
        <v>0</v>
      </c>
      <c r="DQ79" s="867">
        <f t="shared" si="1562"/>
        <v>0</v>
      </c>
      <c r="DR79" s="867">
        <f t="shared" si="1562"/>
        <v>0</v>
      </c>
      <c r="DS79" s="867">
        <f t="shared" si="1562"/>
        <v>0</v>
      </c>
      <c r="DT79" s="867">
        <f t="shared" si="1562"/>
        <v>0</v>
      </c>
      <c r="DU79" s="867">
        <f t="shared" si="1562"/>
        <v>0</v>
      </c>
      <c r="DV79" s="867">
        <f t="shared" si="1562"/>
        <v>0</v>
      </c>
      <c r="DW79" s="867">
        <f t="shared" si="1562"/>
        <v>0</v>
      </c>
      <c r="DX79" s="867">
        <f t="shared" si="1562"/>
        <v>0</v>
      </c>
      <c r="DY79" s="867">
        <f t="shared" si="1562"/>
        <v>0</v>
      </c>
      <c r="DZ79" s="867">
        <f t="shared" si="1562"/>
        <v>0</v>
      </c>
      <c r="EA79" s="867">
        <f t="shared" si="1562"/>
        <v>0</v>
      </c>
      <c r="EB79" s="867">
        <f t="shared" si="1562"/>
        <v>0</v>
      </c>
      <c r="EC79" s="867">
        <f t="shared" si="1562"/>
        <v>0</v>
      </c>
      <c r="ED79" s="867">
        <f t="shared" si="1562"/>
        <v>0</v>
      </c>
      <c r="EE79" s="867">
        <f t="shared" si="1562"/>
        <v>0</v>
      </c>
      <c r="EF79" s="867">
        <f t="shared" si="1562"/>
        <v>0</v>
      </c>
      <c r="EG79" s="867">
        <f t="shared" si="1562"/>
        <v>0</v>
      </c>
      <c r="EH79" s="867">
        <f t="shared" si="1562"/>
        <v>0</v>
      </c>
      <c r="EI79" s="867">
        <f t="shared" si="1562"/>
        <v>0</v>
      </c>
      <c r="EJ79" s="867">
        <f t="shared" si="1562"/>
        <v>0</v>
      </c>
      <c r="EK79" s="867">
        <f t="shared" si="1562"/>
        <v>0</v>
      </c>
      <c r="EL79" s="867">
        <f t="shared" si="1562"/>
        <v>0</v>
      </c>
      <c r="EM79" s="867">
        <f t="shared" si="1562"/>
        <v>0</v>
      </c>
      <c r="EN79" s="867">
        <f t="shared" si="1562"/>
        <v>0</v>
      </c>
      <c r="EO79" s="867"/>
      <c r="EP79" s="867">
        <f t="shared" si="1562"/>
        <v>0</v>
      </c>
      <c r="EQ79" s="867">
        <f t="shared" si="1562"/>
        <v>0</v>
      </c>
      <c r="ER79" s="867">
        <f t="shared" si="1562"/>
        <v>0</v>
      </c>
      <c r="ES79" s="867">
        <f t="shared" ref="ES79:FJ79" si="1563">+ES70+ES73+ES76</f>
        <v>0</v>
      </c>
      <c r="ET79" s="867">
        <f t="shared" si="1563"/>
        <v>0</v>
      </c>
      <c r="EU79" s="867">
        <f t="shared" si="1563"/>
        <v>0</v>
      </c>
      <c r="EV79" s="867">
        <f t="shared" si="1563"/>
        <v>0</v>
      </c>
      <c r="EW79" s="867">
        <f t="shared" si="1563"/>
        <v>0</v>
      </c>
      <c r="EX79" s="867">
        <f t="shared" si="1563"/>
        <v>0</v>
      </c>
      <c r="EY79" s="867">
        <f t="shared" si="1563"/>
        <v>0</v>
      </c>
      <c r="EZ79" s="867"/>
      <c r="FA79" s="867">
        <f t="shared" si="1563"/>
        <v>0</v>
      </c>
      <c r="FB79" s="867">
        <f t="shared" si="1563"/>
        <v>0</v>
      </c>
      <c r="FC79" s="867">
        <f t="shared" si="1563"/>
        <v>0</v>
      </c>
      <c r="FD79" s="867">
        <f t="shared" si="1563"/>
        <v>0</v>
      </c>
      <c r="FE79" s="867">
        <f t="shared" si="1563"/>
        <v>0</v>
      </c>
      <c r="FF79" s="867">
        <f t="shared" si="1563"/>
        <v>0</v>
      </c>
      <c r="FG79" s="867">
        <f t="shared" si="1563"/>
        <v>0</v>
      </c>
      <c r="FH79" s="867">
        <f t="shared" si="1563"/>
        <v>0</v>
      </c>
      <c r="FI79" s="867">
        <f t="shared" si="1563"/>
        <v>0</v>
      </c>
      <c r="FJ79" s="867">
        <f t="shared" si="1563"/>
        <v>0</v>
      </c>
      <c r="FK79" s="968"/>
      <c r="FL79" s="968"/>
      <c r="FM79" s="968"/>
      <c r="FN79" s="968"/>
      <c r="FO79" s="968"/>
      <c r="FP79" s="974"/>
    </row>
    <row r="80" spans="1:178" s="216" customFormat="1" ht="15" customHeight="1" outlineLevel="1" thickTop="1">
      <c r="A80" s="1005" t="str">
        <f>$G$4</f>
        <v>JUNIO  2026 2da QUINCENA</v>
      </c>
      <c r="B80" s="1005">
        <f>+$G$5</f>
        <v>2026</v>
      </c>
      <c r="C80" s="1006" t="str">
        <f t="shared" ref="C80:C137" si="1564">A80 &amp; B80</f>
        <v>JUNIO  2026 2da QUINCENA2026</v>
      </c>
      <c r="D80" s="235"/>
      <c r="E80" s="235">
        <v>302010</v>
      </c>
      <c r="F80" s="268"/>
      <c r="G80" s="976" t="s">
        <v>99</v>
      </c>
      <c r="H80" s="235"/>
      <c r="J80" s="801"/>
      <c r="K80" s="801"/>
      <c r="L80" s="801"/>
      <c r="M80" s="801"/>
      <c r="N80" s="870"/>
      <c r="O80" s="957"/>
      <c r="P80" s="957"/>
      <c r="Q80" s="958"/>
      <c r="R80" s="958"/>
      <c r="S80" s="957"/>
      <c r="T80" s="701"/>
      <c r="U80" s="959"/>
      <c r="V80" s="801"/>
      <c r="W80" s="960"/>
      <c r="X80" s="801"/>
      <c r="Y80" s="960"/>
      <c r="Z80" s="801"/>
      <c r="AA80" s="960"/>
      <c r="AB80" s="880"/>
      <c r="AC80" s="960"/>
      <c r="AD80" s="801"/>
      <c r="AE80" s="961"/>
      <c r="AF80" s="801"/>
      <c r="AG80" s="972"/>
      <c r="AH80" s="801"/>
      <c r="AI80" s="973"/>
      <c r="AJ80" s="801"/>
      <c r="AK80" s="823"/>
      <c r="AL80" s="823"/>
      <c r="AM80" s="973"/>
      <c r="AN80" s="823"/>
      <c r="AO80" s="827"/>
      <c r="AP80" s="827"/>
      <c r="AQ80" s="827"/>
      <c r="AR80" s="827"/>
      <c r="AS80" s="827"/>
      <c r="AT80" s="827"/>
      <c r="AU80" s="827"/>
      <c r="AV80" s="827"/>
      <c r="AW80" s="827"/>
      <c r="AX80" s="827"/>
      <c r="AY80" s="860"/>
      <c r="AZ80" s="966"/>
      <c r="BA80" s="801"/>
      <c r="BB80" s="880"/>
      <c r="BC80" s="801"/>
      <c r="BD80" s="801"/>
      <c r="BE80" s="801"/>
      <c r="BF80" s="801"/>
      <c r="BG80" s="801"/>
      <c r="BH80" s="801"/>
      <c r="BI80" s="801"/>
      <c r="BJ80" s="801"/>
      <c r="BK80" s="801"/>
      <c r="BL80" s="801"/>
      <c r="BM80" s="801"/>
      <c r="BN80" s="801"/>
      <c r="BO80" s="801"/>
      <c r="BP80" s="801"/>
      <c r="BQ80" s="801"/>
      <c r="BR80" s="860"/>
      <c r="BS80" s="801"/>
      <c r="BT80" s="801"/>
      <c r="BU80" s="801"/>
      <c r="BV80" s="801"/>
      <c r="BW80" s="801"/>
      <c r="BX80" s="801"/>
      <c r="BY80" s="801"/>
      <c r="BZ80" s="801"/>
      <c r="CA80" s="801"/>
      <c r="CB80" s="801"/>
      <c r="CC80" s="801"/>
      <c r="CD80" s="801"/>
      <c r="CE80" s="801"/>
      <c r="CF80" s="801"/>
      <c r="CG80" s="801"/>
      <c r="CH80" s="801"/>
      <c r="CI80" s="801"/>
      <c r="CJ80" s="801"/>
      <c r="CK80" s="823"/>
      <c r="CL80" s="823"/>
      <c r="CM80" s="823"/>
      <c r="CN80" s="823"/>
      <c r="CO80" s="823"/>
      <c r="CP80" s="823"/>
      <c r="CQ80" s="823"/>
      <c r="CR80" s="823"/>
      <c r="CS80" s="823"/>
      <c r="CV80" s="801"/>
      <c r="CW80" s="801"/>
      <c r="CX80" s="801"/>
      <c r="CY80" s="801"/>
      <c r="CZ80" s="801"/>
      <c r="DA80" s="801"/>
      <c r="DB80" s="801"/>
      <c r="DC80" s="801"/>
      <c r="DD80" s="801"/>
      <c r="DE80" s="801"/>
      <c r="DF80" s="801"/>
      <c r="DG80" s="801"/>
      <c r="DH80" s="801"/>
      <c r="DI80" s="801"/>
      <c r="DJ80" s="801"/>
      <c r="DK80" s="801"/>
      <c r="DL80" s="801"/>
      <c r="DM80" s="801"/>
      <c r="DN80" s="823"/>
      <c r="DO80" s="823"/>
      <c r="DP80" s="823"/>
      <c r="DQ80" s="823"/>
      <c r="DR80" s="823"/>
      <c r="DS80" s="823"/>
      <c r="DT80" s="823"/>
      <c r="DU80" s="823"/>
      <c r="DV80" s="823"/>
      <c r="DW80" s="823"/>
      <c r="DX80" s="823"/>
      <c r="DY80" s="823"/>
      <c r="DZ80" s="823"/>
      <c r="EA80" s="823"/>
      <c r="EB80" s="823"/>
      <c r="EC80" s="823"/>
      <c r="ED80" s="823"/>
      <c r="EE80" s="823"/>
      <c r="EF80" s="823"/>
      <c r="EG80" s="823"/>
      <c r="EH80" s="823"/>
      <c r="EI80" s="823"/>
      <c r="EJ80" s="823"/>
      <c r="EK80" s="823"/>
      <c r="EL80" s="823"/>
      <c r="EM80" s="823"/>
      <c r="EN80" s="823"/>
      <c r="EX80" s="820"/>
      <c r="EY80" s="960"/>
      <c r="FA80" s="960"/>
      <c r="FB80" s="960"/>
      <c r="FC80" s="960"/>
      <c r="FD80" s="960"/>
      <c r="FE80" s="960"/>
      <c r="FF80" s="960"/>
      <c r="FG80" s="960"/>
      <c r="FH80" s="960"/>
      <c r="FI80" s="960"/>
      <c r="FJ80" s="960"/>
      <c r="FK80" s="968"/>
      <c r="FL80" s="968"/>
      <c r="FM80" s="968"/>
      <c r="FN80" s="968"/>
      <c r="FO80" s="968"/>
      <c r="FP80" s="974"/>
    </row>
    <row r="81" spans="1:184" s="216" customFormat="1" ht="15" customHeight="1" outlineLevel="1">
      <c r="A81" s="1005" t="str">
        <f>$G$4</f>
        <v>JUNIO  2026 2da QUINCENA</v>
      </c>
      <c r="B81" s="1005">
        <f>+$G$5</f>
        <v>2026</v>
      </c>
      <c r="C81" s="1006" t="str">
        <f t="shared" si="1564"/>
        <v>JUNIO  2026 2da QUINCENA2026</v>
      </c>
      <c r="D81" s="235"/>
      <c r="E81" s="235">
        <v>302010</v>
      </c>
      <c r="F81" s="268"/>
      <c r="G81" s="975" t="s">
        <v>622</v>
      </c>
      <c r="H81" s="235"/>
      <c r="J81" s="801"/>
      <c r="K81" s="801"/>
      <c r="L81" s="801"/>
      <c r="M81" s="801"/>
      <c r="N81" s="870"/>
      <c r="O81" s="957"/>
      <c r="P81" s="957"/>
      <c r="Q81" s="958"/>
      <c r="R81" s="958"/>
      <c r="S81" s="957"/>
      <c r="T81" s="701"/>
      <c r="U81" s="959"/>
      <c r="V81" s="801"/>
      <c r="W81" s="960"/>
      <c r="X81" s="801"/>
      <c r="Y81" s="960"/>
      <c r="Z81" s="801"/>
      <c r="AA81" s="960"/>
      <c r="AB81" s="880"/>
      <c r="AC81" s="960"/>
      <c r="AD81" s="801"/>
      <c r="AE81" s="961"/>
      <c r="AF81" s="801"/>
      <c r="AG81" s="972"/>
      <c r="AH81" s="801"/>
      <c r="AI81" s="973"/>
      <c r="AJ81" s="801"/>
      <c r="AK81" s="823"/>
      <c r="AL81" s="823"/>
      <c r="AM81" s="973"/>
      <c r="AN81" s="823"/>
      <c r="AO81" s="827"/>
      <c r="AP81" s="827"/>
      <c r="AQ81" s="827"/>
      <c r="AR81" s="827"/>
      <c r="AS81" s="827"/>
      <c r="AT81" s="827"/>
      <c r="AU81" s="827"/>
      <c r="AV81" s="827"/>
      <c r="AW81" s="827"/>
      <c r="AX81" s="827"/>
      <c r="AY81" s="860"/>
      <c r="AZ81" s="966"/>
      <c r="BA81" s="801"/>
      <c r="BB81" s="880"/>
      <c r="BC81" s="801"/>
      <c r="BD81" s="801"/>
      <c r="BE81" s="801"/>
      <c r="BF81" s="801"/>
      <c r="BG81" s="801"/>
      <c r="BH81" s="801"/>
      <c r="BI81" s="801"/>
      <c r="BJ81" s="801"/>
      <c r="BK81" s="801"/>
      <c r="BL81" s="801"/>
      <c r="BM81" s="801"/>
      <c r="BN81" s="801"/>
      <c r="BO81" s="801"/>
      <c r="BP81" s="801"/>
      <c r="BQ81" s="801"/>
      <c r="BR81" s="860"/>
      <c r="BS81" s="801"/>
      <c r="BT81" s="801"/>
      <c r="BU81" s="801"/>
      <c r="BV81" s="801"/>
      <c r="BW81" s="801"/>
      <c r="BX81" s="801"/>
      <c r="BY81" s="801"/>
      <c r="BZ81" s="801"/>
      <c r="CA81" s="801"/>
      <c r="CB81" s="801"/>
      <c r="CC81" s="801"/>
      <c r="CD81" s="801"/>
      <c r="CE81" s="801"/>
      <c r="CF81" s="801"/>
      <c r="CG81" s="801"/>
      <c r="CH81" s="801"/>
      <c r="CI81" s="801"/>
      <c r="CJ81" s="801"/>
      <c r="CK81" s="823"/>
      <c r="CL81" s="823"/>
      <c r="CM81" s="823"/>
      <c r="CN81" s="823"/>
      <c r="CO81" s="823"/>
      <c r="CP81" s="823"/>
      <c r="CQ81" s="823"/>
      <c r="CR81" s="823"/>
      <c r="CS81" s="823"/>
      <c r="CV81" s="801"/>
      <c r="CW81" s="801"/>
      <c r="CX81" s="801"/>
      <c r="CY81" s="801"/>
      <c r="CZ81" s="801"/>
      <c r="DA81" s="801"/>
      <c r="DB81" s="801"/>
      <c r="DC81" s="801"/>
      <c r="DD81" s="801"/>
      <c r="DE81" s="801"/>
      <c r="DF81" s="801"/>
      <c r="DG81" s="801"/>
      <c r="DH81" s="801"/>
      <c r="DI81" s="801"/>
      <c r="DJ81" s="801"/>
      <c r="DK81" s="801"/>
      <c r="DL81" s="801"/>
      <c r="DM81" s="801"/>
      <c r="DN81" s="823"/>
      <c r="DO81" s="823"/>
      <c r="DP81" s="823"/>
      <c r="DQ81" s="823"/>
      <c r="DR81" s="823"/>
      <c r="DS81" s="823"/>
      <c r="DT81" s="823"/>
      <c r="DU81" s="823"/>
      <c r="DV81" s="823"/>
      <c r="DW81" s="823"/>
      <c r="DX81" s="823"/>
      <c r="DY81" s="823"/>
      <c r="DZ81" s="823"/>
      <c r="EA81" s="823"/>
      <c r="EB81" s="823"/>
      <c r="EC81" s="823"/>
      <c r="ED81" s="823"/>
      <c r="EE81" s="823"/>
      <c r="EF81" s="823"/>
      <c r="EG81" s="823"/>
      <c r="EH81" s="823"/>
      <c r="EI81" s="823"/>
      <c r="EJ81" s="823"/>
      <c r="EK81" s="823"/>
      <c r="EL81" s="823"/>
      <c r="EM81" s="823"/>
      <c r="EN81" s="823"/>
      <c r="EX81" s="820"/>
      <c r="EY81" s="960"/>
      <c r="FA81" s="960"/>
      <c r="FB81" s="960"/>
      <c r="FC81" s="960"/>
      <c r="FD81" s="960"/>
      <c r="FE81" s="960"/>
      <c r="FF81" s="960"/>
      <c r="FG81" s="960"/>
      <c r="FH81" s="960"/>
      <c r="FI81" s="960"/>
      <c r="FJ81" s="960"/>
      <c r="FK81" s="968"/>
      <c r="FL81" s="968"/>
      <c r="FM81" s="968"/>
      <c r="FN81" s="968"/>
      <c r="FO81" s="968"/>
      <c r="FP81" s="974"/>
    </row>
    <row r="82" spans="1:184" s="1282" customFormat="1" ht="15" customHeight="1" outlineLevel="1">
      <c r="A82" s="1256"/>
      <c r="B82" s="1256"/>
      <c r="C82" s="1257"/>
      <c r="D82" s="1258"/>
      <c r="E82" s="1258">
        <v>302010</v>
      </c>
      <c r="F82" s="1259">
        <v>27</v>
      </c>
      <c r="G82" s="1260" t="s">
        <v>733</v>
      </c>
      <c r="H82" s="1193" t="s">
        <v>734</v>
      </c>
      <c r="I82" s="1193" t="s">
        <v>11</v>
      </c>
      <c r="J82" s="1261">
        <v>5500</v>
      </c>
      <c r="K82" s="1262">
        <v>3500</v>
      </c>
      <c r="L82" s="1262">
        <f t="shared" ref="L82" si="1565">+J82+K82</f>
        <v>9000</v>
      </c>
      <c r="M82" s="203">
        <v>30</v>
      </c>
      <c r="N82" s="1263">
        <v>0.35</v>
      </c>
      <c r="O82" s="1263">
        <v>0.45</v>
      </c>
      <c r="P82" s="1263">
        <v>0.2</v>
      </c>
      <c r="Q82" s="1264">
        <v>0</v>
      </c>
      <c r="R82" s="1264">
        <v>0</v>
      </c>
      <c r="S82" s="1264">
        <f t="shared" ref="S82" si="1566">SUM(N82:R82)</f>
        <v>1</v>
      </c>
      <c r="T82" s="1265" t="s">
        <v>754</v>
      </c>
      <c r="U82" s="1266"/>
      <c r="V82" s="1267">
        <f t="shared" ref="V82" si="1567">($J82/30/8*1.5)*U82</f>
        <v>0</v>
      </c>
      <c r="W82" s="1268"/>
      <c r="X82" s="1267">
        <f t="shared" ref="X82" si="1568">($J82/30/8*2)*W82</f>
        <v>0</v>
      </c>
      <c r="Y82" s="1269"/>
      <c r="Z82" s="1267">
        <f t="shared" ref="Z82" si="1569">($J82/30/8*1.5)*Y82</f>
        <v>0</v>
      </c>
      <c r="AA82" s="1268"/>
      <c r="AB82" s="1267">
        <f t="shared" ref="AB82" si="1570">($J82/30/8*2)*AA82</f>
        <v>0</v>
      </c>
      <c r="AC82" s="1268"/>
      <c r="AD82" s="1267">
        <f t="shared" ref="AD82" si="1571">(($J82/30/8)*1.5)*AC82</f>
        <v>0</v>
      </c>
      <c r="AE82" s="1270"/>
      <c r="AF82" s="1267">
        <f t="shared" ref="AF82" si="1572">(($J82/30/8)*2)*AE82</f>
        <v>0</v>
      </c>
      <c r="AG82" s="1262"/>
      <c r="AH82" s="1262">
        <f t="shared" ref="AH82" si="1573">(($J82/30/8)*1.5)*AG82</f>
        <v>0</v>
      </c>
      <c r="AI82" s="1262"/>
      <c r="AJ82" s="1262">
        <f t="shared" ref="AJ82" si="1574">(($J82/30/8)*2)*AI82</f>
        <v>0</v>
      </c>
      <c r="AK82" s="1262"/>
      <c r="AL82" s="1262">
        <f t="shared" ref="AL82" si="1575">(($J82/30/8)*1.5)*AK82</f>
        <v>0</v>
      </c>
      <c r="AM82" s="1271"/>
      <c r="AN82" s="1268">
        <f t="shared" ref="AN82" si="1576">(($J82/30/8)*2)*AM82</f>
        <v>0</v>
      </c>
      <c r="AO82" s="1267"/>
      <c r="AP82" s="1270"/>
      <c r="AQ82" s="1267"/>
      <c r="AR82" s="1262"/>
      <c r="AS82" s="1262"/>
      <c r="AT82" s="1262"/>
      <c r="AU82" s="1262"/>
      <c r="AV82" s="1262"/>
      <c r="AW82" s="1262"/>
      <c r="AX82" s="1271"/>
      <c r="AY82" s="1268"/>
      <c r="AZ82" s="1267"/>
      <c r="BA82" s="1270">
        <f t="shared" ref="BA82" si="1577">((J82/30)*M82)*$N82</f>
        <v>1924.9999999999998</v>
      </c>
      <c r="BB82" s="1267">
        <f>((K82/30)*M82)*$N82+350</f>
        <v>1575</v>
      </c>
      <c r="BC82" s="1262">
        <f t="shared" ref="BC82" si="1578">U82</f>
        <v>0</v>
      </c>
      <c r="BD82" s="1262">
        <f t="shared" ref="BD82" si="1579">V82</f>
        <v>0</v>
      </c>
      <c r="BE82" s="1262">
        <f t="shared" ref="BE82" si="1580">W82</f>
        <v>0</v>
      </c>
      <c r="BF82" s="1262">
        <f t="shared" ref="BF82" si="1581">X82</f>
        <v>0</v>
      </c>
      <c r="BG82" s="1262">
        <f t="shared" ref="BG82" si="1582">AO82+AT82</f>
        <v>0</v>
      </c>
      <c r="BH82" s="1261">
        <f t="shared" ref="BH82:BH83" si="1583">(BA82+BD82+BF82+BG82)*0.1267</f>
        <v>243.89749999999998</v>
      </c>
      <c r="BI82" s="1271">
        <f>SUM(BA82:BH82)-BC82-BE82</f>
        <v>3743.8975</v>
      </c>
      <c r="BJ82" s="1267">
        <f t="shared" ref="BJ82:BJ83" si="1584">(($J82/30)*$M82)*$O82</f>
        <v>2475</v>
      </c>
      <c r="BK82" s="1267">
        <f>(($K82/30)*$M82)*$O82+650</f>
        <v>2225</v>
      </c>
      <c r="BL82" s="1267">
        <f t="shared" ref="BL82" si="1585">Y82</f>
        <v>0</v>
      </c>
      <c r="BM82" s="1267">
        <f t="shared" ref="BM82" si="1586">Z82</f>
        <v>0</v>
      </c>
      <c r="BN82" s="1267">
        <f t="shared" ref="BN82" si="1587">AA82</f>
        <v>0</v>
      </c>
      <c r="BO82" s="1267">
        <f t="shared" ref="BO82" si="1588">AB82</f>
        <v>0</v>
      </c>
      <c r="BP82" s="1267">
        <v>0</v>
      </c>
      <c r="BQ82" s="1261">
        <f t="shared" ref="BQ82:BQ83" si="1589">(+BJ82+BM82+BO82+BP82)*0.1267</f>
        <v>313.58250000000004</v>
      </c>
      <c r="BR82" s="1262">
        <f t="shared" ref="BR82" si="1590">SUM(BJ82:BQ82)-BL82-BN82</f>
        <v>5013.5825000000004</v>
      </c>
      <c r="BS82" s="1267">
        <f t="shared" ref="BS82:BS83" si="1591">(($J82/30)*$M82)*$P82</f>
        <v>1100</v>
      </c>
      <c r="BT82" s="1267">
        <f>(($K82/30)*$M82)*$P82</f>
        <v>700</v>
      </c>
      <c r="BU82" s="1267">
        <f t="shared" ref="BU82" si="1592">AC82</f>
        <v>0</v>
      </c>
      <c r="BV82" s="1267">
        <f t="shared" ref="BV82" si="1593">AD82</f>
        <v>0</v>
      </c>
      <c r="BW82" s="1267">
        <f t="shared" ref="BW82" si="1594">AE82</f>
        <v>0</v>
      </c>
      <c r="BX82" s="1267">
        <f t="shared" ref="BX82" si="1595">AF82</f>
        <v>0</v>
      </c>
      <c r="BY82" s="1267">
        <f t="shared" ref="BY82" si="1596">AQ82+AV82</f>
        <v>0</v>
      </c>
      <c r="BZ82" s="1261">
        <f t="shared" ref="BZ82:BZ83" si="1597">(BS82+BV82+BX82+BY82)*0.1267</f>
        <v>139.37</v>
      </c>
      <c r="CA82" s="1267">
        <f t="shared" ref="CA82" si="1598">SUM(BS82:BZ82)-BU82-BW82</f>
        <v>1939.37</v>
      </c>
      <c r="CB82" s="1272">
        <f t="shared" ref="CB82:CB83" si="1599">(($J82/30)*$M82)*$Q82</f>
        <v>0</v>
      </c>
      <c r="CC82" s="1273">
        <f t="shared" ref="CC82:CC83" si="1600">(($K82/30)*$M82)*$Q82</f>
        <v>0</v>
      </c>
      <c r="CD82" s="1273">
        <f t="shared" ref="CD82" si="1601">AG82</f>
        <v>0</v>
      </c>
      <c r="CE82" s="1273">
        <f t="shared" ref="CE82" si="1602">AH82</f>
        <v>0</v>
      </c>
      <c r="CF82" s="1273">
        <f t="shared" ref="CF82" si="1603">AI82</f>
        <v>0</v>
      </c>
      <c r="CG82" s="1273">
        <f t="shared" ref="CG82" si="1604">AJ82</f>
        <v>0</v>
      </c>
      <c r="CH82" s="1273">
        <f t="shared" ref="CH82" si="1605">AR82+AW82</f>
        <v>0</v>
      </c>
      <c r="CI82" s="1274">
        <f t="shared" ref="CI82:CI83" si="1606">(CB82+CE82+CG82+CH82)*0.1267</f>
        <v>0</v>
      </c>
      <c r="CJ82" s="1273">
        <f t="shared" ref="CJ82" si="1607">SUM(CB82:CI82)-CD82-CF82</f>
        <v>0</v>
      </c>
      <c r="CK82" s="1273">
        <f t="shared" ref="CK82" si="1608">(($J82/30)*$M82)*R82</f>
        <v>0</v>
      </c>
      <c r="CL82" s="1273">
        <f t="shared" ref="CL82:CL83" si="1609">(($K82/30)*$M82)*$R82</f>
        <v>0</v>
      </c>
      <c r="CM82" s="1273">
        <f>+AK82</f>
        <v>0</v>
      </c>
      <c r="CN82" s="1273">
        <f t="shared" ref="CN82" si="1610">AL82</f>
        <v>0</v>
      </c>
      <c r="CO82" s="1273">
        <f t="shared" ref="CO82" si="1611">AM82</f>
        <v>0</v>
      </c>
      <c r="CP82" s="1273">
        <f t="shared" ref="CP82" si="1612">AN82</f>
        <v>0</v>
      </c>
      <c r="CQ82" s="1273">
        <f t="shared" ref="CQ82" si="1613">AS82+AX82</f>
        <v>0</v>
      </c>
      <c r="CR82" s="1273">
        <f t="shared" ref="CR82" si="1614">(CK82+CN82+CP82)*0.1267</f>
        <v>0</v>
      </c>
      <c r="CS82" s="1275">
        <f t="shared" ref="CS82" si="1615">SUM(CK82:CR82)-CM82-CO82</f>
        <v>0</v>
      </c>
      <c r="CT82" s="1258"/>
      <c r="CU82" s="1193" t="s">
        <v>11</v>
      </c>
      <c r="CV82" s="1261">
        <f t="shared" ref="CV82:CV83" si="1616">IF($CU82="PROQUIMA",$BA82+$BJ82+$BS82+$CB82+$CK82,0)</f>
        <v>0</v>
      </c>
      <c r="CW82" s="1261">
        <f t="shared" ref="CW82:CW83" si="1617">IF($CU82="PROQUIMA",$BB82+$BK82+$BT82+$CC82+$CL82,0)</f>
        <v>0</v>
      </c>
      <c r="CX82" s="1261">
        <f t="shared" ref="CX82:CX83" si="1618">IF($CU82="PROQUIMA",$BC82+$BL82+$BU82+$CD82+$CM82,0)</f>
        <v>0</v>
      </c>
      <c r="CY82" s="1261">
        <f t="shared" ref="CY82:CY83" si="1619">IF($CU82="PROQUIMA",$BD82+$BM82+$BV82+$CE82+$CN82,0)</f>
        <v>0</v>
      </c>
      <c r="CZ82" s="1261">
        <f t="shared" ref="CZ82:CZ83" si="1620">IF($CU82="PROQUIMA",$BE82+$BN82+$BW82+$CF82+$CO82,0)</f>
        <v>0</v>
      </c>
      <c r="DA82" s="1261">
        <f t="shared" ref="DA82:DA83" si="1621">IF($CU82="PROQUIMA",$BF82+$BO82+$BX82+$CG82+$CP82,0)</f>
        <v>0</v>
      </c>
      <c r="DB82" s="1261">
        <f t="shared" ref="DB82:DB83" si="1622">IF($CU82="PROQUIMA",$BG82+$BP82+$BY82+$CH82+$CQ82,0)</f>
        <v>0</v>
      </c>
      <c r="DC82" s="1261">
        <f t="shared" ref="DC82" si="1623">IF($CU82="PROQUIMA",$BH82+$BQ82+$BZ82+$CI82+CR82,0)</f>
        <v>0</v>
      </c>
      <c r="DD82" s="1261">
        <f t="shared" ref="DD82" si="1624">SUM(CV82:DC82)-CX82-CZ82</f>
        <v>0</v>
      </c>
      <c r="DE82" s="1261">
        <f t="shared" ref="DE82:DE83" si="1625">IF($CU82="UNHESA",$BA82+$BJ82+$BS82+$CB82+$CK82,0)</f>
        <v>0</v>
      </c>
      <c r="DF82" s="1261">
        <f t="shared" ref="DF82:DF83" si="1626">IF($CU82="UNHESA",$BB82+$BK82+$BT82+$CC82+$CL82,0)</f>
        <v>0</v>
      </c>
      <c r="DG82" s="1267">
        <f t="shared" ref="DG82:DG83" si="1627">IF($CU82="UNHESA",$BC82+$BL82+$BU82+$CD82+$CM82,0)</f>
        <v>0</v>
      </c>
      <c r="DH82" s="1267">
        <f t="shared" ref="DH82:DH83" si="1628">IF($CU82="UNHESA",$BD82+$BM82+$BV82+$CE82+$CN82,0)</f>
        <v>0</v>
      </c>
      <c r="DI82" s="1267">
        <f t="shared" ref="DI82:DI83" si="1629">IF($CU82="UNHESA",$BE82+$BN82+$BW82+$CF82+$CO82,0)</f>
        <v>0</v>
      </c>
      <c r="DJ82" s="1261">
        <f t="shared" ref="DJ82:DJ83" si="1630">IF($CU82="UNHESA",$BF82+$BO82+$BX82+$CG82+$CP82,0)</f>
        <v>0</v>
      </c>
      <c r="DK82" s="1261">
        <f t="shared" ref="DK82:DK83" si="1631">IF($CU82="UNHESA",$BG82+$BP82+$BY82+$CH82+$CQ82,0)</f>
        <v>0</v>
      </c>
      <c r="DL82" s="1261">
        <f t="shared" ref="DL82:DL83" si="1632">IF($CU82="UNHESA",$BH82+$BQ82+$BZ82+$CI82+$CR82,0)</f>
        <v>0</v>
      </c>
      <c r="DM82" s="1261">
        <f t="shared" ref="DM82" si="1633">SUM(DE82:DL82)-DG82-DI82</f>
        <v>0</v>
      </c>
      <c r="DN82" s="1276">
        <f t="shared" ref="DN82:DN83" si="1634">IF($CU82="UNHESA LIQUIDOS",$BA82+$BJ82+$BS82+$CB82+$CK82,0)</f>
        <v>0</v>
      </c>
      <c r="DO82" s="1276">
        <f t="shared" ref="DO82:DO83" si="1635">IF($CU82="UNHESA LIQUIDOS",$BB82+$BK82+$BT82+$CC82+$CL82,0)</f>
        <v>0</v>
      </c>
      <c r="DP82" s="1276">
        <f t="shared" ref="DP82:DP83" si="1636">IF($CU82="UNHESA LIQUIDOS",$BC82+$BL82+$BU82+$CD82+$CM82,0)</f>
        <v>0</v>
      </c>
      <c r="DQ82" s="1276">
        <f t="shared" ref="DQ82:DQ83" si="1637">IF($CU82="UNHESA LIQUIDOS",$BD82+$BM82+$BV82+$CE82+$CN82,0)</f>
        <v>0</v>
      </c>
      <c r="DR82" s="1276">
        <f t="shared" ref="DR82:DR83" si="1638">IF($CU82="UNHESA LIQUIDOS",$BE82+$BN82+$BW82+$CF82+$CO82,0)</f>
        <v>0</v>
      </c>
      <c r="DS82" s="1276">
        <f t="shared" ref="DS82:DS83" si="1639">IF($CU82="UNHESA LIQUIDOS",$BF82+$BO82+$BX82+$CG82+$CP82,0)</f>
        <v>0</v>
      </c>
      <c r="DT82" s="1276">
        <f t="shared" ref="DT82:DT83" si="1640">IF($CU82="UNHESA LIQUIDOS",$BG82+$BP82+$BY82+$CH82+$CQ82,0)</f>
        <v>0</v>
      </c>
      <c r="DU82" s="1276">
        <f t="shared" ref="DU82:DU83" si="1641">IF($CU82="UNHESA LIQUIDOS",$BH82+$BQ82+$BZ82+$CI82+$CR82,0)</f>
        <v>0</v>
      </c>
      <c r="DV82" s="1276">
        <f t="shared" ref="DV82" si="1642">SUM(DN82:DU82)-DP82-DR82</f>
        <v>0</v>
      </c>
      <c r="DW82" s="1277">
        <f>IF($CU82="CLEARTEC",$BA82+$BJ82+$BS82+$CB82+$CK82,0)</f>
        <v>0</v>
      </c>
      <c r="DX82" s="1277">
        <f t="shared" ref="DX82:ED83" si="1643">IF($CU82="CLEARTEC",$BA82+$BJ82+$BS82+$CB82+$CK82,0)</f>
        <v>0</v>
      </c>
      <c r="DY82" s="1277">
        <f t="shared" si="1643"/>
        <v>0</v>
      </c>
      <c r="DZ82" s="1277">
        <f t="shared" si="1643"/>
        <v>0</v>
      </c>
      <c r="EA82" s="1277">
        <f t="shared" si="1643"/>
        <v>0</v>
      </c>
      <c r="EB82" s="1277">
        <f t="shared" si="1643"/>
        <v>0</v>
      </c>
      <c r="EC82" s="1277">
        <f t="shared" si="1643"/>
        <v>0</v>
      </c>
      <c r="ED82" s="1277">
        <f t="shared" si="1643"/>
        <v>0</v>
      </c>
      <c r="EE82" s="1278">
        <f t="shared" ref="EE82" si="1644">SUM(DW82:ED82)-DY82-EA82</f>
        <v>0</v>
      </c>
      <c r="EF82" s="1261">
        <f t="shared" ref="EF82" si="1645">IF(CU82="ECONACIONAL",$BA82+$BJ82+$BS82+$CB82+$CK82)</f>
        <v>5500</v>
      </c>
      <c r="EG82" s="1278">
        <f t="shared" ref="EG82:EG83" si="1646">IF($CU82="ECONACIONAL",$BB82+$BK82+$BT82+$CC82+$CL82,0)</f>
        <v>4500</v>
      </c>
      <c r="EH82" s="1261">
        <f t="shared" ref="EH82" si="1647">IF(CU82="ECONACIONAL",$BC82+$BL82+$BU82+$CD82+$CM82)</f>
        <v>0</v>
      </c>
      <c r="EI82" s="1261">
        <f t="shared" ref="EI82" si="1648">IF(CU82="ECONACIONAL",$BD82+$DH82+$DQ82+$DZ82+BM82+BV82+CE82+CN82)</f>
        <v>0</v>
      </c>
      <c r="EJ82" s="1278">
        <f t="shared" ref="EJ82:EJ83" si="1649">IF($CU82="CLEARTEC",$BE82+$BN82+$BW82+$CF82+$CO82,0)</f>
        <v>0</v>
      </c>
      <c r="EK82" s="1261">
        <f t="shared" ref="EK82" si="1650">IF(CU82="ECONACIONAL",$BF82+$BO82+$BX82+$CG82+$CP82)</f>
        <v>0</v>
      </c>
      <c r="EL82" s="1261">
        <f t="shared" ref="EL82" si="1651">IF(CU82="ECONACIONAL",$BG82+$BP82+$BY82+$CH82+$CQ82)</f>
        <v>0</v>
      </c>
      <c r="EM82" s="1261">
        <f t="shared" ref="EM82" si="1652">IF(CU82="ECONACIONAL",BH82+BQ82+BZ82+CI82+CR82)</f>
        <v>696.85</v>
      </c>
      <c r="EN82" s="1261">
        <f t="shared" ref="EN82" si="1653">SUM(EF82:EM82)-EH82-EJ82</f>
        <v>10696.85</v>
      </c>
      <c r="EO82" s="1258"/>
      <c r="EP82" s="1193">
        <v>199.22</v>
      </c>
      <c r="EQ82" s="1193"/>
      <c r="ER82" s="1192"/>
      <c r="ES82" s="1193"/>
      <c r="ET82" s="1192"/>
      <c r="EU82" s="1192"/>
      <c r="EV82" s="1192"/>
      <c r="EW82" s="1192"/>
      <c r="EX82" s="1192"/>
      <c r="EY82" s="1192">
        <f t="shared" ref="EY82" si="1654">+ET82+EU82+EV82</f>
        <v>0</v>
      </c>
      <c r="EZ82" s="1279"/>
      <c r="FA82" s="1280">
        <f t="shared" ref="FA82" si="1655">IF($M82&lt;=15,EP82/2,EP82)</f>
        <v>199.22</v>
      </c>
      <c r="FB82" s="1280">
        <f t="shared" ref="FB82" si="1656">IF($M82&lt;=15,EQ82/2,EQ82)</f>
        <v>0</v>
      </c>
      <c r="FC82" s="1280">
        <f t="shared" ref="FC82" si="1657">IF($M82&lt;=15,ER82/2,ER82)</f>
        <v>0</v>
      </c>
      <c r="FD82" s="1280">
        <f t="shared" ref="FD82" si="1658">IF($M82&lt;=15,ES82/2,ES82)</f>
        <v>0</v>
      </c>
      <c r="FE82" s="1280">
        <f t="shared" ref="FE82" si="1659">IF($M82&lt;=15,ET82/2,ET82)</f>
        <v>0</v>
      </c>
      <c r="FF82" s="1280">
        <f t="shared" ref="FF82" si="1660">IF($M82&lt;=15,EU82/2,EU82)</f>
        <v>0</v>
      </c>
      <c r="FG82" s="1280">
        <f t="shared" ref="FG82" si="1661">IF($M82&lt;=15,EV82/2,EV82)</f>
        <v>0</v>
      </c>
      <c r="FH82" s="1280">
        <f t="shared" ref="FH82" si="1662">IF($M82&lt;=15,EW82/2,EW82)</f>
        <v>0</v>
      </c>
      <c r="FI82" s="1280">
        <f>IF($M82&lt;=15,EX82/2,EX82)</f>
        <v>0</v>
      </c>
      <c r="FJ82" s="1280">
        <f t="shared" ref="FJ82" si="1663">IF($M82&lt;=15,EY82/2,EY82)</f>
        <v>0</v>
      </c>
      <c r="FK82" s="1281"/>
      <c r="FL82" s="1281"/>
      <c r="FM82" s="1281"/>
      <c r="FN82" s="1281"/>
      <c r="FO82" s="1281"/>
      <c r="FP82" s="1281"/>
      <c r="FR82" s="1283">
        <f t="shared" ref="FR82" si="1664">(((J82/30/8)*1.5)*(U82+Y82+AC82))-(BD82+BM82+BV82)</f>
        <v>0</v>
      </c>
      <c r="FS82" s="1283">
        <f t="shared" ref="FS82" si="1665">(((J82/30/8)*2)*(W82+AA82+AE82))-(BF82+BO82+BX82)</f>
        <v>0</v>
      </c>
      <c r="FT82" s="1284">
        <f t="shared" ref="FT82" si="1666">(SUM(BA82:CJ82))-(SUM(EF82:EN82))</f>
        <v>0</v>
      </c>
      <c r="FU82" s="1283">
        <f t="shared" ref="FU82" si="1667">(J82/30*M82)-(EF82)</f>
        <v>0</v>
      </c>
      <c r="FV82" s="1285">
        <f t="shared" ref="FV82" si="1668">(SUM(EP82:EY82))-((SUM(FA82:FJ82))*$FV$5)</f>
        <v>-199.22</v>
      </c>
    </row>
    <row r="83" spans="1:184" s="216" customFormat="1" ht="15" customHeight="1" outlineLevel="1">
      <c r="A83" s="1005" t="str">
        <f>$G$4</f>
        <v>JUNIO  2026 2da QUINCENA</v>
      </c>
      <c r="B83" s="1005">
        <f>+$G$5</f>
        <v>2026</v>
      </c>
      <c r="C83" s="1006" t="str">
        <f t="shared" si="1564"/>
        <v>JUNIO  2026 2da QUINCENA2026</v>
      </c>
      <c r="D83" s="235" t="str">
        <f>+G80</f>
        <v>LOGISTICA</v>
      </c>
      <c r="E83" s="235">
        <v>302010</v>
      </c>
      <c r="F83" s="268">
        <v>28</v>
      </c>
      <c r="G83" s="199" t="s">
        <v>617</v>
      </c>
      <c r="H83" s="200" t="s">
        <v>618</v>
      </c>
      <c r="I83" s="200" t="s">
        <v>11</v>
      </c>
      <c r="J83" s="203">
        <v>4100</v>
      </c>
      <c r="K83" s="836">
        <v>250</v>
      </c>
      <c r="L83" s="836">
        <f t="shared" ref="L83" si="1669">+J83+K83</f>
        <v>4350</v>
      </c>
      <c r="M83" s="203">
        <v>30</v>
      </c>
      <c r="N83" s="866">
        <v>0.4</v>
      </c>
      <c r="O83" s="866">
        <v>0.4</v>
      </c>
      <c r="P83" s="866">
        <v>0.2</v>
      </c>
      <c r="Q83" s="204">
        <v>0</v>
      </c>
      <c r="R83" s="204">
        <v>0</v>
      </c>
      <c r="S83" s="204">
        <f t="shared" ref="S83" si="1670">SUM(N83:R83)</f>
        <v>1</v>
      </c>
      <c r="T83" s="813"/>
      <c r="U83" s="877"/>
      <c r="V83" s="239">
        <f t="shared" ref="V83" si="1671">($J83/30/8*1.5)*U83</f>
        <v>0</v>
      </c>
      <c r="W83" s="265"/>
      <c r="X83" s="239">
        <f t="shared" ref="X83" si="1672">($J83/30/8*2)*W83</f>
        <v>0</v>
      </c>
      <c r="Y83" s="238">
        <v>24</v>
      </c>
      <c r="Z83" s="239">
        <f t="shared" ref="Z83" si="1673">($J83/30/8*1.5)*Y83</f>
        <v>615</v>
      </c>
      <c r="AA83" s="265"/>
      <c r="AB83" s="239">
        <f t="shared" ref="AB83" si="1674">($J83/30/8*2)*AA83</f>
        <v>0</v>
      </c>
      <c r="AC83" s="265"/>
      <c r="AD83" s="239">
        <f t="shared" ref="AD83" si="1675">(($J83/30/8)*1.5)*AC83</f>
        <v>0</v>
      </c>
      <c r="AE83" s="838"/>
      <c r="AF83" s="239">
        <f t="shared" ref="AF83" si="1676">(($J83/30/8)*2)*AE83</f>
        <v>0</v>
      </c>
      <c r="AG83" s="836"/>
      <c r="AH83" s="836">
        <f t="shared" ref="AH83" si="1677">(($J83/30/8)*1.5)*AG83</f>
        <v>0</v>
      </c>
      <c r="AI83" s="836"/>
      <c r="AJ83" s="836">
        <f t="shared" ref="AJ83" si="1678">(($J83/30/8)*2)*AI83</f>
        <v>0</v>
      </c>
      <c r="AK83" s="836"/>
      <c r="AL83" s="836">
        <f t="shared" ref="AL83" si="1679">(($J83/30/8)*1.5)*AK83</f>
        <v>0</v>
      </c>
      <c r="AM83" s="873"/>
      <c r="AN83" s="265">
        <f t="shared" ref="AN83" si="1680">(($J83/30/8)*2)*AM83</f>
        <v>0</v>
      </c>
      <c r="AO83" s="239"/>
      <c r="AP83" s="838"/>
      <c r="AQ83" s="239"/>
      <c r="AR83" s="836"/>
      <c r="AS83" s="836"/>
      <c r="AT83" s="836"/>
      <c r="AU83" s="836"/>
      <c r="AV83" s="836"/>
      <c r="AW83" s="836"/>
      <c r="AX83" s="873"/>
      <c r="AY83" s="265"/>
      <c r="AZ83" s="239"/>
      <c r="BA83" s="838">
        <f t="shared" ref="BA83" si="1681">((J83/30)*M83)*$N83</f>
        <v>1640</v>
      </c>
      <c r="BB83" s="239">
        <f>((K83/30)*M83)*$N83+240</f>
        <v>340</v>
      </c>
      <c r="BC83" s="836">
        <f t="shared" ref="BC83" si="1682">U83</f>
        <v>0</v>
      </c>
      <c r="BD83" s="836">
        <f t="shared" ref="BD83" si="1683">V83</f>
        <v>0</v>
      </c>
      <c r="BE83" s="836">
        <f t="shared" ref="BE83" si="1684">W83</f>
        <v>0</v>
      </c>
      <c r="BF83" s="836">
        <f t="shared" ref="BF83" si="1685">X83</f>
        <v>0</v>
      </c>
      <c r="BG83" s="836">
        <f t="shared" ref="BG83" si="1686">AO83+AT83</f>
        <v>0</v>
      </c>
      <c r="BH83" s="203">
        <f t="shared" si="1583"/>
        <v>207.78800000000001</v>
      </c>
      <c r="BI83" s="873">
        <f>SUM(BA83:BH83)-BC83-BE83</f>
        <v>2187.788</v>
      </c>
      <c r="BJ83" s="239">
        <f t="shared" si="1584"/>
        <v>1640</v>
      </c>
      <c r="BK83" s="239">
        <f>(($K83/30)*$M83)*$O83+240</f>
        <v>340</v>
      </c>
      <c r="BL83" s="239">
        <f t="shared" ref="BL83" si="1687">Y83</f>
        <v>24</v>
      </c>
      <c r="BM83" s="239">
        <f t="shared" ref="BM83" si="1688">Z83</f>
        <v>615</v>
      </c>
      <c r="BN83" s="239">
        <f t="shared" ref="BN83" si="1689">AA83</f>
        <v>0</v>
      </c>
      <c r="BO83" s="239">
        <f t="shared" ref="BO83" si="1690">AB83</f>
        <v>0</v>
      </c>
      <c r="BP83" s="239">
        <v>0</v>
      </c>
      <c r="BQ83" s="203">
        <f t="shared" si="1589"/>
        <v>285.70850000000002</v>
      </c>
      <c r="BR83" s="836">
        <f t="shared" ref="BR83" si="1691">SUM(BJ83:BQ83)-BL83-BN83</f>
        <v>2880.7085000000002</v>
      </c>
      <c r="BS83" s="239">
        <f t="shared" si="1591"/>
        <v>820</v>
      </c>
      <c r="BT83" s="239">
        <f>(($K83/30)*$M83)*$P83</f>
        <v>50.000000000000007</v>
      </c>
      <c r="BU83" s="239">
        <f t="shared" ref="BU83" si="1692">AC83</f>
        <v>0</v>
      </c>
      <c r="BV83" s="239">
        <f t="shared" ref="BV83" si="1693">AD83</f>
        <v>0</v>
      </c>
      <c r="BW83" s="239">
        <f t="shared" ref="BW83" si="1694">AE83</f>
        <v>0</v>
      </c>
      <c r="BX83" s="239">
        <f t="shared" ref="BX83" si="1695">AF83</f>
        <v>0</v>
      </c>
      <c r="BY83" s="239">
        <f t="shared" ref="BY83" si="1696">AQ83+AV83</f>
        <v>0</v>
      </c>
      <c r="BZ83" s="203">
        <f t="shared" si="1597"/>
        <v>103.89400000000001</v>
      </c>
      <c r="CA83" s="239">
        <f t="shared" ref="CA83" si="1697">SUM(BS83:BZ83)-BU83-BW83</f>
        <v>973.89400000000001</v>
      </c>
      <c r="CB83" s="874">
        <f t="shared" si="1599"/>
        <v>0</v>
      </c>
      <c r="CC83" s="875">
        <f t="shared" si="1600"/>
        <v>0</v>
      </c>
      <c r="CD83" s="875">
        <f t="shared" ref="CD83" si="1698">AG83</f>
        <v>0</v>
      </c>
      <c r="CE83" s="875">
        <f t="shared" ref="CE83" si="1699">AH83</f>
        <v>0</v>
      </c>
      <c r="CF83" s="875">
        <f t="shared" ref="CF83" si="1700">AI83</f>
        <v>0</v>
      </c>
      <c r="CG83" s="875">
        <f t="shared" ref="CG83" si="1701">AJ83</f>
        <v>0</v>
      </c>
      <c r="CH83" s="875">
        <f t="shared" ref="CH83" si="1702">AR83+AW83</f>
        <v>0</v>
      </c>
      <c r="CI83" s="703">
        <f t="shared" si="1606"/>
        <v>0</v>
      </c>
      <c r="CJ83" s="875">
        <f t="shared" ref="CJ83" si="1703">SUM(CB83:CI83)-CD83-CF83</f>
        <v>0</v>
      </c>
      <c r="CK83" s="875">
        <f t="shared" ref="CK83" si="1704">(($J83/30)*$M83)*R83</f>
        <v>0</v>
      </c>
      <c r="CL83" s="875">
        <f t="shared" si="1609"/>
        <v>0</v>
      </c>
      <c r="CM83" s="875">
        <f>+AK83</f>
        <v>0</v>
      </c>
      <c r="CN83" s="875">
        <f t="shared" ref="CN83" si="1705">AL83</f>
        <v>0</v>
      </c>
      <c r="CO83" s="875">
        <f t="shared" ref="CO83" si="1706">AM83</f>
        <v>0</v>
      </c>
      <c r="CP83" s="875">
        <f t="shared" ref="CP83" si="1707">AN83</f>
        <v>0</v>
      </c>
      <c r="CQ83" s="875">
        <f t="shared" ref="CQ83" si="1708">AS83+AX83</f>
        <v>0</v>
      </c>
      <c r="CR83" s="875">
        <f t="shared" ref="CR83" si="1709">(CK83+CN83+CP83)*0.1267</f>
        <v>0</v>
      </c>
      <c r="CS83" s="876">
        <f t="shared" ref="CS83" si="1710">SUM(CK83:CR83)-CM83-CO83</f>
        <v>0</v>
      </c>
      <c r="CT83" s="235"/>
      <c r="CU83" s="200" t="s">
        <v>11</v>
      </c>
      <c r="CV83" s="203">
        <f t="shared" si="1616"/>
        <v>0</v>
      </c>
      <c r="CW83" s="203">
        <f t="shared" si="1617"/>
        <v>0</v>
      </c>
      <c r="CX83" s="203">
        <f t="shared" si="1618"/>
        <v>0</v>
      </c>
      <c r="CY83" s="203">
        <f t="shared" si="1619"/>
        <v>0</v>
      </c>
      <c r="CZ83" s="203">
        <f t="shared" si="1620"/>
        <v>0</v>
      </c>
      <c r="DA83" s="203">
        <f t="shared" si="1621"/>
        <v>0</v>
      </c>
      <c r="DB83" s="203">
        <f t="shared" si="1622"/>
        <v>0</v>
      </c>
      <c r="DC83" s="203">
        <f t="shared" ref="DC83" si="1711">IF($CU83="PROQUIMA",$BH83+$BQ83+$BZ83+$CI83+CR83,0)</f>
        <v>0</v>
      </c>
      <c r="DD83" s="203">
        <f t="shared" ref="DD83" si="1712">SUM(CV83:DC83)-CX83-CZ83</f>
        <v>0</v>
      </c>
      <c r="DE83" s="203">
        <f t="shared" si="1625"/>
        <v>0</v>
      </c>
      <c r="DF83" s="203">
        <f t="shared" si="1626"/>
        <v>0</v>
      </c>
      <c r="DG83" s="239">
        <f t="shared" si="1627"/>
        <v>0</v>
      </c>
      <c r="DH83" s="239">
        <f t="shared" si="1628"/>
        <v>0</v>
      </c>
      <c r="DI83" s="239">
        <f t="shared" si="1629"/>
        <v>0</v>
      </c>
      <c r="DJ83" s="203">
        <f t="shared" si="1630"/>
        <v>0</v>
      </c>
      <c r="DK83" s="203">
        <f t="shared" si="1631"/>
        <v>0</v>
      </c>
      <c r="DL83" s="203">
        <f t="shared" si="1632"/>
        <v>0</v>
      </c>
      <c r="DM83" s="203">
        <f t="shared" ref="DM83" si="1713">SUM(DE83:DL83)-DG83-DI83</f>
        <v>0</v>
      </c>
      <c r="DN83" s="210">
        <f t="shared" si="1634"/>
        <v>0</v>
      </c>
      <c r="DO83" s="210">
        <f t="shared" si="1635"/>
        <v>0</v>
      </c>
      <c r="DP83" s="210">
        <f t="shared" si="1636"/>
        <v>0</v>
      </c>
      <c r="DQ83" s="210">
        <f t="shared" si="1637"/>
        <v>0</v>
      </c>
      <c r="DR83" s="210">
        <f t="shared" si="1638"/>
        <v>0</v>
      </c>
      <c r="DS83" s="210">
        <f t="shared" si="1639"/>
        <v>0</v>
      </c>
      <c r="DT83" s="210">
        <f t="shared" si="1640"/>
        <v>0</v>
      </c>
      <c r="DU83" s="210">
        <f t="shared" si="1641"/>
        <v>0</v>
      </c>
      <c r="DV83" s="210">
        <f t="shared" ref="DV83" si="1714">SUM(DN83:DU83)-DP83-DR83</f>
        <v>0</v>
      </c>
      <c r="DW83" s="241">
        <f>IF($CU83="CLEARTEC",$BA83+$BJ83+$BS83+$CB83+$CK83,0)</f>
        <v>0</v>
      </c>
      <c r="DX83" s="241">
        <f t="shared" si="1643"/>
        <v>0</v>
      </c>
      <c r="DY83" s="241">
        <f t="shared" si="1643"/>
        <v>0</v>
      </c>
      <c r="DZ83" s="241">
        <f t="shared" si="1643"/>
        <v>0</v>
      </c>
      <c r="EA83" s="241">
        <f t="shared" si="1643"/>
        <v>0</v>
      </c>
      <c r="EB83" s="241">
        <f t="shared" si="1643"/>
        <v>0</v>
      </c>
      <c r="EC83" s="241">
        <f t="shared" si="1643"/>
        <v>0</v>
      </c>
      <c r="ED83" s="241">
        <f t="shared" si="1643"/>
        <v>0</v>
      </c>
      <c r="EE83" s="242">
        <f t="shared" ref="EE83" si="1715">SUM(DW83:ED83)-DY83-EA83</f>
        <v>0</v>
      </c>
      <c r="EF83" s="203">
        <f t="shared" ref="EF83" si="1716">IF(CU83="ECONACIONAL",$BA83+$BJ83+$BS83+$CB83+$CK83)</f>
        <v>4100</v>
      </c>
      <c r="EG83" s="242">
        <f t="shared" si="1646"/>
        <v>730</v>
      </c>
      <c r="EH83" s="203">
        <f t="shared" ref="EH83" si="1717">IF(CU83="ECONACIONAL",$BC83+$BL83+$BU83+$CD83+$CM83)</f>
        <v>24</v>
      </c>
      <c r="EI83" s="203">
        <f t="shared" ref="EI83" si="1718">IF(CU83="ECONACIONAL",$BD83+$DH83+$DQ83+$DZ83+BM83+BV83+CE83+CN83)</f>
        <v>615</v>
      </c>
      <c r="EJ83" s="242">
        <f t="shared" si="1649"/>
        <v>0</v>
      </c>
      <c r="EK83" s="203">
        <f t="shared" ref="EK83" si="1719">IF(CU83="ECONACIONAL",$BF83+$BO83+$BX83+$CG83+$CP83)</f>
        <v>0</v>
      </c>
      <c r="EL83" s="203">
        <f t="shared" ref="EL83" si="1720">IF(CU83="ECONACIONAL",$BG83+$BP83+$BY83+$CH83+$CQ83)</f>
        <v>0</v>
      </c>
      <c r="EM83" s="203">
        <f t="shared" ref="EM83" si="1721">IF(CU83="ECONACIONAL",BH83+BQ83+BZ83+CI83+CR83)</f>
        <v>597.39049999999997</v>
      </c>
      <c r="EN83" s="203">
        <f t="shared" ref="EN83" si="1722">SUM(EF83:EM83)-EH83-EJ83</f>
        <v>6042.3904999999995</v>
      </c>
      <c r="EO83" s="235"/>
      <c r="EP83" s="1193">
        <v>182</v>
      </c>
      <c r="EQ83" s="200"/>
      <c r="ER83" s="201"/>
      <c r="ES83" s="200"/>
      <c r="ET83" s="201"/>
      <c r="EU83" s="201"/>
      <c r="EV83" s="201"/>
      <c r="EW83" s="201"/>
      <c r="EX83" s="201"/>
      <c r="EY83" s="201">
        <f t="shared" ref="EY83" si="1723">+ET83+EU83+EV83</f>
        <v>0</v>
      </c>
      <c r="EZ83" s="820"/>
      <c r="FA83" s="207">
        <f t="shared" ref="FA83" si="1724">IF($M83&lt;=15,EP83/2,EP83)</f>
        <v>182</v>
      </c>
      <c r="FB83" s="207">
        <f t="shared" ref="FB83" si="1725">IF($M83&lt;=15,EQ83/2,EQ83)</f>
        <v>0</v>
      </c>
      <c r="FC83" s="207">
        <f t="shared" ref="FC83" si="1726">IF($M83&lt;=15,ER83/2,ER83)</f>
        <v>0</v>
      </c>
      <c r="FD83" s="207">
        <f t="shared" ref="FD83" si="1727">IF($M83&lt;=15,ES83/2,ES83)</f>
        <v>0</v>
      </c>
      <c r="FE83" s="207">
        <f t="shared" ref="FE83" si="1728">IF($M83&lt;=15,ET83/2,ET83)</f>
        <v>0</v>
      </c>
      <c r="FF83" s="207">
        <f t="shared" ref="FF83" si="1729">IF($M83&lt;=15,EU83/2,EU83)</f>
        <v>0</v>
      </c>
      <c r="FG83" s="207">
        <f t="shared" ref="FG83" si="1730">IF($M83&lt;=15,EV83/2,EV83)</f>
        <v>0</v>
      </c>
      <c r="FH83" s="207">
        <f t="shared" ref="FH83" si="1731">IF($M83&lt;=15,EW83/2,EW83)</f>
        <v>0</v>
      </c>
      <c r="FI83" s="878">
        <f>IF($M83&lt;=15,EX83/2,EX83)</f>
        <v>0</v>
      </c>
      <c r="FJ83" s="207">
        <f t="shared" ref="FJ83" si="1732">IF($M83&lt;=15,EY83/2,EY83)</f>
        <v>0</v>
      </c>
      <c r="FK83" s="217"/>
      <c r="FL83" s="217"/>
      <c r="FM83" s="217"/>
      <c r="FN83" s="217"/>
      <c r="FO83" s="217"/>
      <c r="FP83" s="217"/>
      <c r="FR83" s="1177">
        <f t="shared" ref="FR83" si="1733">(((J83/30/8)*1.5)*(U83+Y83+AC83))-(BD83+BM83+BV83)</f>
        <v>0</v>
      </c>
      <c r="FS83" s="1177">
        <f t="shared" ref="FS83" si="1734">(((J83/30/8)*2)*(W83+AA83+AE83))-(BF83+BO83+BX83)</f>
        <v>0</v>
      </c>
      <c r="FT83" s="1178">
        <f t="shared" ref="FT83" si="1735">(SUM(BA83:CJ83))-(SUM(EF83:EN83))</f>
        <v>0</v>
      </c>
      <c r="FU83" s="1177">
        <f t="shared" ref="FU83" si="1736">(J83/30*M83)-(EF83)</f>
        <v>0</v>
      </c>
      <c r="FV83" s="1181">
        <f t="shared" ref="FV83" si="1737">(SUM(EP83:EY83))-((SUM(FA83:FJ83))*$FV$5)</f>
        <v>-182</v>
      </c>
    </row>
    <row r="84" spans="1:184" s="216" customFormat="1" ht="15" customHeight="1" outlineLevel="1">
      <c r="A84" s="1005" t="s">
        <v>52</v>
      </c>
      <c r="B84" s="1005" t="s">
        <v>52</v>
      </c>
      <c r="C84" s="1006" t="s">
        <v>52</v>
      </c>
      <c r="D84" s="235"/>
      <c r="E84" s="235"/>
      <c r="F84" s="268"/>
      <c r="G84" s="955"/>
      <c r="H84" s="820" t="s">
        <v>685</v>
      </c>
      <c r="J84" s="868">
        <f>SUM(J82:J83)</f>
        <v>9600</v>
      </c>
      <c r="K84" s="868">
        <f t="shared" ref="K84:BV84" si="1738">SUM(K82:K83)</f>
        <v>3750</v>
      </c>
      <c r="L84" s="868">
        <f t="shared" si="1738"/>
        <v>13350</v>
      </c>
      <c r="M84" s="868" t="s">
        <v>52</v>
      </c>
      <c r="N84" s="868" t="s">
        <v>52</v>
      </c>
      <c r="O84" s="868" t="s">
        <v>52</v>
      </c>
      <c r="P84" s="868" t="s">
        <v>52</v>
      </c>
      <c r="Q84" s="868" t="s">
        <v>52</v>
      </c>
      <c r="R84" s="868" t="s">
        <v>52</v>
      </c>
      <c r="S84" s="868" t="s">
        <v>52</v>
      </c>
      <c r="T84" s="868"/>
      <c r="U84" s="868">
        <f t="shared" si="1738"/>
        <v>0</v>
      </c>
      <c r="V84" s="868">
        <f t="shared" si="1738"/>
        <v>0</v>
      </c>
      <c r="W84" s="868">
        <f t="shared" si="1738"/>
        <v>0</v>
      </c>
      <c r="X84" s="868">
        <f t="shared" si="1738"/>
        <v>0</v>
      </c>
      <c r="Y84" s="868">
        <f t="shared" si="1738"/>
        <v>24</v>
      </c>
      <c r="Z84" s="868">
        <f t="shared" si="1738"/>
        <v>615</v>
      </c>
      <c r="AA84" s="868">
        <f t="shared" si="1738"/>
        <v>0</v>
      </c>
      <c r="AB84" s="868">
        <f t="shared" si="1738"/>
        <v>0</v>
      </c>
      <c r="AC84" s="868">
        <f t="shared" si="1738"/>
        <v>0</v>
      </c>
      <c r="AD84" s="868">
        <f t="shared" si="1738"/>
        <v>0</v>
      </c>
      <c r="AE84" s="868">
        <f t="shared" si="1738"/>
        <v>0</v>
      </c>
      <c r="AF84" s="868">
        <f t="shared" si="1738"/>
        <v>0</v>
      </c>
      <c r="AG84" s="868">
        <f t="shared" si="1738"/>
        <v>0</v>
      </c>
      <c r="AH84" s="868">
        <f t="shared" si="1738"/>
        <v>0</v>
      </c>
      <c r="AI84" s="868">
        <f t="shared" si="1738"/>
        <v>0</v>
      </c>
      <c r="AJ84" s="868">
        <f t="shared" si="1738"/>
        <v>0</v>
      </c>
      <c r="AK84" s="868">
        <f t="shared" si="1738"/>
        <v>0</v>
      </c>
      <c r="AL84" s="868">
        <f t="shared" si="1738"/>
        <v>0</v>
      </c>
      <c r="AM84" s="868">
        <f t="shared" si="1738"/>
        <v>0</v>
      </c>
      <c r="AN84" s="868">
        <f t="shared" si="1738"/>
        <v>0</v>
      </c>
      <c r="AO84" s="868">
        <f t="shared" si="1738"/>
        <v>0</v>
      </c>
      <c r="AP84" s="868">
        <f t="shared" si="1738"/>
        <v>0</v>
      </c>
      <c r="AQ84" s="868">
        <f t="shared" si="1738"/>
        <v>0</v>
      </c>
      <c r="AR84" s="868">
        <f t="shared" si="1738"/>
        <v>0</v>
      </c>
      <c r="AS84" s="868">
        <f t="shared" si="1738"/>
        <v>0</v>
      </c>
      <c r="AT84" s="868">
        <f t="shared" si="1738"/>
        <v>0</v>
      </c>
      <c r="AU84" s="868">
        <f t="shared" si="1738"/>
        <v>0</v>
      </c>
      <c r="AV84" s="868">
        <f t="shared" si="1738"/>
        <v>0</v>
      </c>
      <c r="AW84" s="868">
        <f t="shared" si="1738"/>
        <v>0</v>
      </c>
      <c r="AX84" s="868">
        <f t="shared" si="1738"/>
        <v>0</v>
      </c>
      <c r="AY84" s="868">
        <f t="shared" si="1738"/>
        <v>0</v>
      </c>
      <c r="AZ84" s="868">
        <f t="shared" si="1738"/>
        <v>0</v>
      </c>
      <c r="BA84" s="868">
        <f t="shared" si="1738"/>
        <v>3565</v>
      </c>
      <c r="BB84" s="868">
        <f t="shared" si="1738"/>
        <v>1915</v>
      </c>
      <c r="BC84" s="868">
        <f t="shared" si="1738"/>
        <v>0</v>
      </c>
      <c r="BD84" s="868">
        <f t="shared" si="1738"/>
        <v>0</v>
      </c>
      <c r="BE84" s="868">
        <f t="shared" si="1738"/>
        <v>0</v>
      </c>
      <c r="BF84" s="868">
        <f t="shared" si="1738"/>
        <v>0</v>
      </c>
      <c r="BG84" s="868">
        <f t="shared" si="1738"/>
        <v>0</v>
      </c>
      <c r="BH84" s="868">
        <f t="shared" si="1738"/>
        <v>451.68549999999999</v>
      </c>
      <c r="BI84" s="868">
        <f t="shared" si="1738"/>
        <v>5931.6854999999996</v>
      </c>
      <c r="BJ84" s="868">
        <f t="shared" si="1738"/>
        <v>4115</v>
      </c>
      <c r="BK84" s="868">
        <f t="shared" si="1738"/>
        <v>2565</v>
      </c>
      <c r="BL84" s="868">
        <f t="shared" si="1738"/>
        <v>24</v>
      </c>
      <c r="BM84" s="868">
        <f t="shared" si="1738"/>
        <v>615</v>
      </c>
      <c r="BN84" s="868">
        <f t="shared" si="1738"/>
        <v>0</v>
      </c>
      <c r="BO84" s="868">
        <f t="shared" si="1738"/>
        <v>0</v>
      </c>
      <c r="BP84" s="868">
        <f t="shared" si="1738"/>
        <v>0</v>
      </c>
      <c r="BQ84" s="868">
        <f t="shared" si="1738"/>
        <v>599.29100000000005</v>
      </c>
      <c r="BR84" s="868">
        <f t="shared" si="1738"/>
        <v>7894.2910000000011</v>
      </c>
      <c r="BS84" s="868">
        <f t="shared" si="1738"/>
        <v>1920</v>
      </c>
      <c r="BT84" s="868">
        <f t="shared" si="1738"/>
        <v>750</v>
      </c>
      <c r="BU84" s="868">
        <f t="shared" si="1738"/>
        <v>0</v>
      </c>
      <c r="BV84" s="868">
        <f t="shared" si="1738"/>
        <v>0</v>
      </c>
      <c r="BW84" s="868">
        <f t="shared" ref="BW84:EH84" si="1739">SUM(BW82:BW83)</f>
        <v>0</v>
      </c>
      <c r="BX84" s="868">
        <f t="shared" si="1739"/>
        <v>0</v>
      </c>
      <c r="BY84" s="868">
        <f t="shared" si="1739"/>
        <v>0</v>
      </c>
      <c r="BZ84" s="868">
        <f t="shared" si="1739"/>
        <v>243.26400000000001</v>
      </c>
      <c r="CA84" s="868">
        <f t="shared" si="1739"/>
        <v>2913.2640000000001</v>
      </c>
      <c r="CB84" s="868">
        <f t="shared" si="1739"/>
        <v>0</v>
      </c>
      <c r="CC84" s="868">
        <f t="shared" si="1739"/>
        <v>0</v>
      </c>
      <c r="CD84" s="868">
        <f t="shared" si="1739"/>
        <v>0</v>
      </c>
      <c r="CE84" s="868">
        <f t="shared" si="1739"/>
        <v>0</v>
      </c>
      <c r="CF84" s="868">
        <f t="shared" si="1739"/>
        <v>0</v>
      </c>
      <c r="CG84" s="868">
        <f t="shared" si="1739"/>
        <v>0</v>
      </c>
      <c r="CH84" s="868">
        <f t="shared" si="1739"/>
        <v>0</v>
      </c>
      <c r="CI84" s="868">
        <f t="shared" si="1739"/>
        <v>0</v>
      </c>
      <c r="CJ84" s="868">
        <f t="shared" si="1739"/>
        <v>0</v>
      </c>
      <c r="CK84" s="868">
        <f t="shared" si="1739"/>
        <v>0</v>
      </c>
      <c r="CL84" s="868">
        <f t="shared" si="1739"/>
        <v>0</v>
      </c>
      <c r="CM84" s="868">
        <f t="shared" si="1739"/>
        <v>0</v>
      </c>
      <c r="CN84" s="868">
        <f t="shared" si="1739"/>
        <v>0</v>
      </c>
      <c r="CO84" s="868">
        <f t="shared" si="1739"/>
        <v>0</v>
      </c>
      <c r="CP84" s="868">
        <f t="shared" si="1739"/>
        <v>0</v>
      </c>
      <c r="CQ84" s="868">
        <f t="shared" si="1739"/>
        <v>0</v>
      </c>
      <c r="CR84" s="868">
        <f t="shared" si="1739"/>
        <v>0</v>
      </c>
      <c r="CS84" s="868">
        <f t="shared" si="1739"/>
        <v>0</v>
      </c>
      <c r="CT84" s="868">
        <f t="shared" si="1739"/>
        <v>0</v>
      </c>
      <c r="CU84" s="868">
        <f t="shared" si="1739"/>
        <v>0</v>
      </c>
      <c r="CV84" s="868">
        <f t="shared" si="1739"/>
        <v>0</v>
      </c>
      <c r="CW84" s="868">
        <f t="shared" si="1739"/>
        <v>0</v>
      </c>
      <c r="CX84" s="868">
        <f t="shared" si="1739"/>
        <v>0</v>
      </c>
      <c r="CY84" s="868">
        <f t="shared" si="1739"/>
        <v>0</v>
      </c>
      <c r="CZ84" s="868">
        <f t="shared" si="1739"/>
        <v>0</v>
      </c>
      <c r="DA84" s="868">
        <f t="shared" si="1739"/>
        <v>0</v>
      </c>
      <c r="DB84" s="868">
        <f t="shared" si="1739"/>
        <v>0</v>
      </c>
      <c r="DC84" s="868">
        <f t="shared" si="1739"/>
        <v>0</v>
      </c>
      <c r="DD84" s="868">
        <f t="shared" si="1739"/>
        <v>0</v>
      </c>
      <c r="DE84" s="868">
        <f t="shared" si="1739"/>
        <v>0</v>
      </c>
      <c r="DF84" s="868">
        <f t="shared" si="1739"/>
        <v>0</v>
      </c>
      <c r="DG84" s="868">
        <f t="shared" si="1739"/>
        <v>0</v>
      </c>
      <c r="DH84" s="868">
        <f t="shared" si="1739"/>
        <v>0</v>
      </c>
      <c r="DI84" s="868">
        <f t="shared" si="1739"/>
        <v>0</v>
      </c>
      <c r="DJ84" s="868">
        <f t="shared" si="1739"/>
        <v>0</v>
      </c>
      <c r="DK84" s="868">
        <f t="shared" si="1739"/>
        <v>0</v>
      </c>
      <c r="DL84" s="868">
        <f t="shared" si="1739"/>
        <v>0</v>
      </c>
      <c r="DM84" s="868">
        <f t="shared" si="1739"/>
        <v>0</v>
      </c>
      <c r="DN84" s="868">
        <f t="shared" si="1739"/>
        <v>0</v>
      </c>
      <c r="DO84" s="868">
        <f t="shared" si="1739"/>
        <v>0</v>
      </c>
      <c r="DP84" s="868">
        <f t="shared" si="1739"/>
        <v>0</v>
      </c>
      <c r="DQ84" s="868">
        <f t="shared" si="1739"/>
        <v>0</v>
      </c>
      <c r="DR84" s="868">
        <f t="shared" si="1739"/>
        <v>0</v>
      </c>
      <c r="DS84" s="868">
        <f t="shared" si="1739"/>
        <v>0</v>
      </c>
      <c r="DT84" s="868">
        <f t="shared" si="1739"/>
        <v>0</v>
      </c>
      <c r="DU84" s="868">
        <f t="shared" si="1739"/>
        <v>0</v>
      </c>
      <c r="DV84" s="868">
        <f t="shared" si="1739"/>
        <v>0</v>
      </c>
      <c r="DW84" s="868">
        <f t="shared" si="1739"/>
        <v>0</v>
      </c>
      <c r="DX84" s="868">
        <f t="shared" si="1739"/>
        <v>0</v>
      </c>
      <c r="DY84" s="868">
        <f t="shared" si="1739"/>
        <v>0</v>
      </c>
      <c r="DZ84" s="868">
        <f t="shared" si="1739"/>
        <v>0</v>
      </c>
      <c r="EA84" s="868">
        <f t="shared" si="1739"/>
        <v>0</v>
      </c>
      <c r="EB84" s="868">
        <f t="shared" si="1739"/>
        <v>0</v>
      </c>
      <c r="EC84" s="868">
        <f t="shared" si="1739"/>
        <v>0</v>
      </c>
      <c r="ED84" s="868">
        <f t="shared" si="1739"/>
        <v>0</v>
      </c>
      <c r="EE84" s="868">
        <f t="shared" si="1739"/>
        <v>0</v>
      </c>
      <c r="EF84" s="868">
        <f t="shared" si="1739"/>
        <v>9600</v>
      </c>
      <c r="EG84" s="868">
        <f t="shared" si="1739"/>
        <v>5230</v>
      </c>
      <c r="EH84" s="868">
        <f t="shared" si="1739"/>
        <v>24</v>
      </c>
      <c r="EI84" s="868">
        <f t="shared" ref="EI84:FP84" si="1740">SUM(EI82:EI83)</f>
        <v>615</v>
      </c>
      <c r="EJ84" s="868">
        <f t="shared" si="1740"/>
        <v>0</v>
      </c>
      <c r="EK84" s="868">
        <f t="shared" si="1740"/>
        <v>0</v>
      </c>
      <c r="EL84" s="868">
        <f t="shared" si="1740"/>
        <v>0</v>
      </c>
      <c r="EM84" s="868">
        <f t="shared" si="1740"/>
        <v>1294.2404999999999</v>
      </c>
      <c r="EN84" s="868">
        <f t="shared" si="1740"/>
        <v>16739.2405</v>
      </c>
      <c r="EO84" s="868"/>
      <c r="EP84" s="868">
        <f t="shared" si="1740"/>
        <v>381.22</v>
      </c>
      <c r="EQ84" s="868">
        <f t="shared" si="1740"/>
        <v>0</v>
      </c>
      <c r="ER84" s="868">
        <f t="shared" si="1740"/>
        <v>0</v>
      </c>
      <c r="ES84" s="868">
        <f t="shared" si="1740"/>
        <v>0</v>
      </c>
      <c r="ET84" s="868">
        <f t="shared" si="1740"/>
        <v>0</v>
      </c>
      <c r="EU84" s="868">
        <f t="shared" si="1740"/>
        <v>0</v>
      </c>
      <c r="EV84" s="868">
        <f t="shared" si="1740"/>
        <v>0</v>
      </c>
      <c r="EW84" s="868">
        <f t="shared" si="1740"/>
        <v>0</v>
      </c>
      <c r="EX84" s="868">
        <f t="shared" si="1740"/>
        <v>0</v>
      </c>
      <c r="EY84" s="868">
        <f t="shared" si="1740"/>
        <v>0</v>
      </c>
      <c r="EZ84" s="868"/>
      <c r="FA84" s="868">
        <f t="shared" si="1740"/>
        <v>381.22</v>
      </c>
      <c r="FB84" s="868">
        <f t="shared" si="1740"/>
        <v>0</v>
      </c>
      <c r="FC84" s="868">
        <f t="shared" si="1740"/>
        <v>0</v>
      </c>
      <c r="FD84" s="868">
        <f t="shared" si="1740"/>
        <v>0</v>
      </c>
      <c r="FE84" s="868">
        <f t="shared" si="1740"/>
        <v>0</v>
      </c>
      <c r="FF84" s="868">
        <f t="shared" si="1740"/>
        <v>0</v>
      </c>
      <c r="FG84" s="868">
        <f t="shared" si="1740"/>
        <v>0</v>
      </c>
      <c r="FH84" s="868">
        <f t="shared" si="1740"/>
        <v>0</v>
      </c>
      <c r="FI84" s="868">
        <f t="shared" si="1740"/>
        <v>0</v>
      </c>
      <c r="FJ84" s="868">
        <f t="shared" si="1740"/>
        <v>0</v>
      </c>
      <c r="FK84" s="868">
        <f t="shared" si="1740"/>
        <v>0</v>
      </c>
      <c r="FL84" s="868">
        <f t="shared" si="1740"/>
        <v>0</v>
      </c>
      <c r="FM84" s="868">
        <f t="shared" si="1740"/>
        <v>0</v>
      </c>
      <c r="FN84" s="868">
        <f t="shared" si="1740"/>
        <v>0</v>
      </c>
      <c r="FO84" s="868">
        <f t="shared" si="1740"/>
        <v>0</v>
      </c>
      <c r="FP84" s="868">
        <f t="shared" si="1740"/>
        <v>0</v>
      </c>
    </row>
    <row r="85" spans="1:184" s="216" customFormat="1" ht="15" customHeight="1" outlineLevel="1">
      <c r="A85" s="1005" t="s">
        <v>52</v>
      </c>
      <c r="B85" s="1005" t="s">
        <v>52</v>
      </c>
      <c r="C85" s="1006" t="s">
        <v>52</v>
      </c>
      <c r="D85" s="235"/>
      <c r="E85" s="235"/>
      <c r="F85" s="268"/>
      <c r="G85" s="975" t="s">
        <v>644</v>
      </c>
      <c r="H85" s="235"/>
      <c r="J85" s="801"/>
      <c r="K85" s="801"/>
      <c r="L85" s="801"/>
      <c r="M85" s="801"/>
      <c r="N85" s="870"/>
      <c r="O85" s="957"/>
      <c r="P85" s="957"/>
      <c r="Q85" s="958"/>
      <c r="R85" s="958"/>
      <c r="S85" s="957"/>
      <c r="T85" s="701"/>
      <c r="U85" s="959"/>
      <c r="V85" s="801"/>
      <c r="W85" s="960"/>
      <c r="X85" s="801"/>
      <c r="Y85" s="960"/>
      <c r="Z85" s="801"/>
      <c r="AA85" s="960"/>
      <c r="AB85" s="880"/>
      <c r="AC85" s="960"/>
      <c r="AD85" s="801"/>
      <c r="AE85" s="961"/>
      <c r="AF85" s="801"/>
      <c r="AG85" s="972"/>
      <c r="AH85" s="801"/>
      <c r="AI85" s="973"/>
      <c r="AJ85" s="801"/>
      <c r="AK85" s="823"/>
      <c r="AL85" s="823"/>
      <c r="AM85" s="973"/>
      <c r="AN85" s="823"/>
      <c r="AO85" s="827"/>
      <c r="AP85" s="827"/>
      <c r="AQ85" s="827"/>
      <c r="AR85" s="827"/>
      <c r="AS85" s="827"/>
      <c r="AT85" s="827"/>
      <c r="AU85" s="827"/>
      <c r="AV85" s="827"/>
      <c r="AW85" s="827"/>
      <c r="AX85" s="827"/>
      <c r="AY85" s="860"/>
      <c r="AZ85" s="966"/>
      <c r="BA85" s="801"/>
      <c r="BB85" s="880"/>
      <c r="BC85" s="801"/>
      <c r="BD85" s="801"/>
      <c r="BE85" s="801"/>
      <c r="BF85" s="801"/>
      <c r="BG85" s="801"/>
      <c r="BH85" s="801"/>
      <c r="BI85" s="801"/>
      <c r="BJ85" s="801"/>
      <c r="BK85" s="801"/>
      <c r="BL85" s="801"/>
      <c r="BM85" s="801"/>
      <c r="BN85" s="801"/>
      <c r="BO85" s="801"/>
      <c r="BP85" s="801"/>
      <c r="BQ85" s="801"/>
      <c r="BR85" s="860"/>
      <c r="BS85" s="801"/>
      <c r="BT85" s="801"/>
      <c r="BU85" s="801"/>
      <c r="BV85" s="801"/>
      <c r="BW85" s="801"/>
      <c r="BX85" s="801"/>
      <c r="BY85" s="801"/>
      <c r="BZ85" s="801"/>
      <c r="CA85" s="801"/>
      <c r="CB85" s="801"/>
      <c r="CC85" s="801"/>
      <c r="CD85" s="801"/>
      <c r="CE85" s="801"/>
      <c r="CF85" s="801"/>
      <c r="CG85" s="801"/>
      <c r="CH85" s="801"/>
      <c r="CI85" s="801"/>
      <c r="CJ85" s="801"/>
      <c r="CK85" s="823"/>
      <c r="CL85" s="823"/>
      <c r="CM85" s="823"/>
      <c r="CN85" s="823"/>
      <c r="CO85" s="823"/>
      <c r="CP85" s="823"/>
      <c r="CQ85" s="823"/>
      <c r="CR85" s="823"/>
      <c r="CS85" s="823"/>
      <c r="CV85" s="801"/>
      <c r="CW85" s="801"/>
      <c r="CX85" s="801"/>
      <c r="CY85" s="801"/>
      <c r="CZ85" s="801"/>
      <c r="DA85" s="801"/>
      <c r="DB85" s="801"/>
      <c r="DC85" s="801"/>
      <c r="DD85" s="801"/>
      <c r="DE85" s="801"/>
      <c r="DF85" s="801"/>
      <c r="DG85" s="801"/>
      <c r="DH85" s="801"/>
      <c r="DI85" s="801"/>
      <c r="DJ85" s="801"/>
      <c r="DK85" s="801"/>
      <c r="DL85" s="801"/>
      <c r="DM85" s="801"/>
      <c r="DN85" s="823"/>
      <c r="DO85" s="823"/>
      <c r="DP85" s="823"/>
      <c r="DQ85" s="823"/>
      <c r="DR85" s="823"/>
      <c r="DS85" s="823"/>
      <c r="DT85" s="823"/>
      <c r="DU85" s="823"/>
      <c r="DV85" s="823"/>
      <c r="DW85" s="823"/>
      <c r="DX85" s="823"/>
      <c r="DY85" s="823"/>
      <c r="DZ85" s="823"/>
      <c r="EA85" s="823"/>
      <c r="EB85" s="823"/>
      <c r="EC85" s="823"/>
      <c r="ED85" s="823"/>
      <c r="EE85" s="823"/>
      <c r="EF85" s="823"/>
      <c r="EG85" s="823"/>
      <c r="EH85" s="823"/>
      <c r="EI85" s="823"/>
      <c r="EJ85" s="823"/>
      <c r="EK85" s="823"/>
      <c r="EL85" s="823"/>
      <c r="EM85" s="823"/>
      <c r="EN85" s="823"/>
      <c r="EX85" s="820"/>
      <c r="EY85" s="960"/>
      <c r="FA85" s="960"/>
      <c r="FB85" s="960"/>
      <c r="FC85" s="960"/>
      <c r="FD85" s="960"/>
      <c r="FE85" s="960"/>
      <c r="FF85" s="960"/>
      <c r="FG85" s="960"/>
      <c r="FH85" s="960"/>
      <c r="FI85" s="960"/>
      <c r="FJ85" s="960"/>
      <c r="FK85" s="968"/>
      <c r="FL85" s="968"/>
      <c r="FM85" s="968"/>
      <c r="FN85" s="968"/>
      <c r="FO85" s="968"/>
      <c r="FP85" s="974"/>
    </row>
    <row r="86" spans="1:184" s="820" customFormat="1" ht="15" customHeight="1" outlineLevel="1">
      <c r="A86" s="1005" t="str">
        <f>$G$4</f>
        <v>JUNIO  2026 2da QUINCENA</v>
      </c>
      <c r="B86" s="1005">
        <f>+$G$5</f>
        <v>2026</v>
      </c>
      <c r="C86" s="1006" t="str">
        <f t="shared" si="1564"/>
        <v>JUNIO  2026 2da QUINCENA2026</v>
      </c>
      <c r="D86" s="235" t="str">
        <f>+$G$85</f>
        <v>BODEGA MP</v>
      </c>
      <c r="E86" s="235">
        <v>302020</v>
      </c>
      <c r="F86" s="268">
        <v>29</v>
      </c>
      <c r="G86" s="199" t="s">
        <v>425</v>
      </c>
      <c r="H86" s="200" t="s">
        <v>103</v>
      </c>
      <c r="I86" s="200" t="s">
        <v>11</v>
      </c>
      <c r="J86" s="203">
        <v>4500</v>
      </c>
      <c r="K86" s="836">
        <v>350</v>
      </c>
      <c r="L86" s="836">
        <f t="shared" ref="L86:L88" si="1741">+J86+K86</f>
        <v>4850</v>
      </c>
      <c r="M86" s="203">
        <v>26</v>
      </c>
      <c r="N86" s="204">
        <v>0.4</v>
      </c>
      <c r="O86" s="204">
        <v>0.4</v>
      </c>
      <c r="P86" s="204">
        <v>0.2</v>
      </c>
      <c r="Q86" s="866">
        <v>0</v>
      </c>
      <c r="R86" s="204">
        <v>0</v>
      </c>
      <c r="S86" s="204">
        <f t="shared" ref="S86" si="1742">SUM(N86:R86)</f>
        <v>1</v>
      </c>
      <c r="T86" s="205" t="s">
        <v>770</v>
      </c>
      <c r="U86" s="238">
        <v>8</v>
      </c>
      <c r="V86" s="239">
        <f t="shared" ref="V86" si="1743">($J86/30/8*1.5)*U86</f>
        <v>225</v>
      </c>
      <c r="W86" s="265"/>
      <c r="X86" s="239">
        <f t="shared" ref="X86" si="1744">($J86/30/8*2)*W86</f>
        <v>0</v>
      </c>
      <c r="Y86" s="238"/>
      <c r="Z86" s="239">
        <f t="shared" ref="Z86" si="1745">($J86/30/8*1.5)*Y86</f>
        <v>0</v>
      </c>
      <c r="AA86" s="265"/>
      <c r="AB86" s="239">
        <f t="shared" ref="AB86" si="1746">($J86/30/8*2)*AA86</f>
        <v>0</v>
      </c>
      <c r="AC86" s="865"/>
      <c r="AD86" s="203">
        <f t="shared" ref="AD86:AD87" si="1747">(($J86/30/8)*1.5)*AC86</f>
        <v>0</v>
      </c>
      <c r="AE86" s="208"/>
      <c r="AF86" s="203">
        <f t="shared" ref="AF86:AF87" si="1748">(($J86/30/8)*2)*AE86</f>
        <v>0</v>
      </c>
      <c r="AG86" s="208"/>
      <c r="AH86" s="203">
        <f t="shared" ref="AH86:AH87" si="1749">(($J86/30/8)*1.5)*AG86</f>
        <v>0</v>
      </c>
      <c r="AI86" s="208"/>
      <c r="AJ86" s="203">
        <f t="shared" ref="AJ86:AJ87" si="1750">(($J86/30/8)*2)*AI86</f>
        <v>0</v>
      </c>
      <c r="AK86" s="208"/>
      <c r="AL86" s="203">
        <f t="shared" ref="AL86:AL87" si="1751">(($J86/30/8)*1.5)*AK86</f>
        <v>0</v>
      </c>
      <c r="AM86" s="208"/>
      <c r="AN86" s="203">
        <f t="shared" ref="AN86:AN87" si="1752">(($J86/30/8)*2)*AM86</f>
        <v>0</v>
      </c>
      <c r="AO86" s="202"/>
      <c r="AP86" s="202"/>
      <c r="AQ86" s="202"/>
      <c r="AR86" s="202"/>
      <c r="AS86" s="202"/>
      <c r="AT86" s="202"/>
      <c r="AU86" s="202"/>
      <c r="AV86" s="202"/>
      <c r="AW86" s="202"/>
      <c r="AX86" s="202"/>
      <c r="AY86" s="202"/>
      <c r="AZ86" s="212"/>
      <c r="BA86" s="239">
        <f t="shared" ref="BA86:BA87" si="1753">((J86/30)*M86)*$N86</f>
        <v>1560</v>
      </c>
      <c r="BB86" s="239">
        <f>((K86/30)*M86)*$N86+240</f>
        <v>361.33333333333331</v>
      </c>
      <c r="BC86" s="836">
        <f t="shared" ref="BC86:BC87" si="1754">U86</f>
        <v>8</v>
      </c>
      <c r="BD86" s="239">
        <f t="shared" ref="BD86:BD87" si="1755">V86</f>
        <v>225</v>
      </c>
      <c r="BE86" s="239">
        <f t="shared" ref="BE86:BE87" si="1756">W86</f>
        <v>0</v>
      </c>
      <c r="BF86" s="239">
        <f t="shared" ref="BF86:BF87" si="1757">X86</f>
        <v>0</v>
      </c>
      <c r="BG86" s="239">
        <f t="shared" ref="BG86:BG87" si="1758">AO86+AT86</f>
        <v>0</v>
      </c>
      <c r="BH86" s="203">
        <f t="shared" ref="BH86:BH89" si="1759">(BA86+BD86+BF86+BG86)*0.1267</f>
        <v>226.15950000000001</v>
      </c>
      <c r="BI86" s="239">
        <f t="shared" ref="BI86:BI87" si="1760">SUM(BA86:BH86)-BC86-BE86</f>
        <v>2372.4928333333332</v>
      </c>
      <c r="BJ86" s="239">
        <f t="shared" ref="BJ86:BJ88" si="1761">(($J86/30)*$M86)*$O86</f>
        <v>1560</v>
      </c>
      <c r="BK86" s="239">
        <f>(($K86/30)*$M86)*$O86+480+1200</f>
        <v>1801.3333333333335</v>
      </c>
      <c r="BL86" s="239">
        <f t="shared" ref="BL86:BL87" si="1762">Y86</f>
        <v>0</v>
      </c>
      <c r="BM86" s="239">
        <f t="shared" ref="BM86:BM87" si="1763">Z86</f>
        <v>0</v>
      </c>
      <c r="BN86" s="239">
        <f t="shared" ref="BN86:BN87" si="1764">AA86</f>
        <v>0</v>
      </c>
      <c r="BO86" s="239">
        <f t="shared" ref="BO86:BO87" si="1765">AB86</f>
        <v>0</v>
      </c>
      <c r="BP86" s="239">
        <f t="shared" ref="BP86:BP87" si="1766">AP86+AU86</f>
        <v>0</v>
      </c>
      <c r="BQ86" s="203">
        <f t="shared" ref="BQ86:BQ89" si="1767">(+BJ86+BM86+BO86+BP86)*0.1267</f>
        <v>197.65200000000002</v>
      </c>
      <c r="BR86" s="836">
        <f t="shared" ref="BR86:BR87" si="1768">SUM(BJ86:BQ86)-BL86-BN86</f>
        <v>3558.9853333333335</v>
      </c>
      <c r="BS86" s="239">
        <f t="shared" ref="BS86:BS89" si="1769">(($J86/30)*$M86)*$P86</f>
        <v>780</v>
      </c>
      <c r="BT86" s="239">
        <f t="shared" ref="BT86" si="1770">(($K86/30)*$M86)*$P86</f>
        <v>60.666666666666664</v>
      </c>
      <c r="BU86" s="239">
        <f t="shared" ref="BU86:BU87" si="1771">AC86</f>
        <v>0</v>
      </c>
      <c r="BV86" s="239">
        <f t="shared" ref="BV86:BV87" si="1772">AD86</f>
        <v>0</v>
      </c>
      <c r="BW86" s="239">
        <f t="shared" ref="BW86:BW87" si="1773">AE86</f>
        <v>0</v>
      </c>
      <c r="BX86" s="239">
        <f t="shared" ref="BX86:BX87" si="1774">AF86</f>
        <v>0</v>
      </c>
      <c r="BY86" s="239">
        <f t="shared" ref="BY86:BY87" si="1775">AQ86+AV86</f>
        <v>0</v>
      </c>
      <c r="BZ86" s="203">
        <f t="shared" ref="BZ86:BZ89" si="1776">(BS86+BV86+BX86+BY86)*0.1267</f>
        <v>98.826000000000008</v>
      </c>
      <c r="CA86" s="239">
        <f t="shared" ref="CA86:CA87" si="1777">SUM(BS86:BZ86)-BU86-BW86</f>
        <v>939.49266666666665</v>
      </c>
      <c r="CB86" s="874">
        <f t="shared" ref="CB86:CB89" si="1778">(($J86/30)*$M86)*$Q86</f>
        <v>0</v>
      </c>
      <c r="CC86" s="875">
        <f t="shared" ref="CC86:CC89" si="1779">(($K86/30)*$M86)*$Q86</f>
        <v>0</v>
      </c>
      <c r="CD86" s="875">
        <f t="shared" ref="CD86:CD87" si="1780">AG86</f>
        <v>0</v>
      </c>
      <c r="CE86" s="875">
        <f t="shared" ref="CE86:CE87" si="1781">AH86</f>
        <v>0</v>
      </c>
      <c r="CF86" s="875">
        <f t="shared" ref="CF86:CF87" si="1782">AI86</f>
        <v>0</v>
      </c>
      <c r="CG86" s="875">
        <f t="shared" ref="CG86:CG87" si="1783">AJ86</f>
        <v>0</v>
      </c>
      <c r="CH86" s="875">
        <f t="shared" ref="CH86:CH87" si="1784">AR86+AW86</f>
        <v>0</v>
      </c>
      <c r="CI86" s="703">
        <f t="shared" ref="CI86:CI89" si="1785">(CB86+CE86+CG86+CH86)*0.1267</f>
        <v>0</v>
      </c>
      <c r="CJ86" s="875">
        <f t="shared" ref="CJ86:CJ87" si="1786">SUM(CB86:CI86)-CD86-CF86</f>
        <v>0</v>
      </c>
      <c r="CK86" s="875">
        <f t="shared" ref="CK86:CK87" si="1787">(($J86/30)*$M86)*R86</f>
        <v>0</v>
      </c>
      <c r="CL86" s="875">
        <f t="shared" ref="CL86:CL89" si="1788">(($K86/30)*$M86)*$R86</f>
        <v>0</v>
      </c>
      <c r="CM86" s="875">
        <f t="shared" ref="CM86:CM87" si="1789">+AK86</f>
        <v>0</v>
      </c>
      <c r="CN86" s="875">
        <f t="shared" ref="CN86:CN87" si="1790">AL86</f>
        <v>0</v>
      </c>
      <c r="CO86" s="875">
        <f t="shared" ref="CO86:CO87" si="1791">AM86</f>
        <v>0</v>
      </c>
      <c r="CP86" s="875">
        <f t="shared" ref="CP86:CP87" si="1792">AN86</f>
        <v>0</v>
      </c>
      <c r="CQ86" s="875">
        <f t="shared" ref="CQ86:CQ87" si="1793">AS86+AX86</f>
        <v>0</v>
      </c>
      <c r="CR86" s="875">
        <f t="shared" ref="CR86:CR87" si="1794">(CK86+CN86+CP86)*0.1267</f>
        <v>0</v>
      </c>
      <c r="CS86" s="876">
        <f t="shared" ref="CS86:CS87" si="1795">SUM(CK86:CR86)-CM86-CO86</f>
        <v>0</v>
      </c>
      <c r="CT86" s="235"/>
      <c r="CU86" s="201" t="s">
        <v>11</v>
      </c>
      <c r="CV86" s="203">
        <f t="shared" ref="CV86:CV89" si="1796">IF($CU86="PROQUIMA",$BA86+$BJ86+$BS86+$CB86+$CK86,0)</f>
        <v>0</v>
      </c>
      <c r="CW86" s="203">
        <f t="shared" ref="CW86:CW89" si="1797">IF($CU86="PROQUIMA",$BB86+$BK86+$BT86+$CC86+$CL86,0)</f>
        <v>0</v>
      </c>
      <c r="CX86" s="203">
        <f t="shared" ref="CX86:CX89" si="1798">IF($CU86="PROQUIMA",$BC86+$BL86+$BU86+$CD86+$CM86,0)</f>
        <v>0</v>
      </c>
      <c r="CY86" s="203">
        <f t="shared" ref="CY86:CY89" si="1799">IF($CU86="PROQUIMA",$BD86+$BM86+$BV86+$CE86+$CN86,0)</f>
        <v>0</v>
      </c>
      <c r="CZ86" s="203">
        <f t="shared" ref="CZ86:CZ89" si="1800">IF($CU86="PROQUIMA",$BE86+$BN86+$BW86+$CF86+$CO86,0)</f>
        <v>0</v>
      </c>
      <c r="DA86" s="203">
        <f t="shared" ref="DA86:DA89" si="1801">IF($CU86="PROQUIMA",$BF86+$BO86+$BX86+$CG86+$CP86,0)</f>
        <v>0</v>
      </c>
      <c r="DB86" s="203">
        <f t="shared" ref="DB86:DB89" si="1802">IF($CU86="PROQUIMA",$BG86+$BP86+$BY86+$CH86+$CQ86,0)</f>
        <v>0</v>
      </c>
      <c r="DC86" s="203">
        <f t="shared" ref="DC86:DC87" si="1803">IF($CU86="PROQUIMA",$BH86+$BQ86+$BZ86+$CI86+CR86,0)</f>
        <v>0</v>
      </c>
      <c r="DD86" s="203">
        <f t="shared" ref="DD86:DD87" si="1804">SUM(CV86:DC86)-CX86-CZ86</f>
        <v>0</v>
      </c>
      <c r="DE86" s="203">
        <f t="shared" ref="DE86:DE89" si="1805">IF($CU86="UNHESA",$BA86+$BJ86+$BS86+$CB86+$CK86,0)</f>
        <v>0</v>
      </c>
      <c r="DF86" s="203">
        <f t="shared" ref="DF86:DF89" si="1806">IF($CU86="UNHESA",$BB86+$BK86+$BT86+$CC86+$CL86,0)</f>
        <v>0</v>
      </c>
      <c r="DG86" s="239">
        <f t="shared" ref="DG86:DG89" si="1807">IF($CU86="UNHESA",$BC86+$BL86+$BU86+$CD86+$CM86,0)</f>
        <v>0</v>
      </c>
      <c r="DH86" s="239">
        <f t="shared" ref="DH86:DH89" si="1808">IF($CU86="UNHESA",$BD86+$BM86+$BV86+$CE86+$CN86,0)</f>
        <v>0</v>
      </c>
      <c r="DI86" s="239">
        <f t="shared" ref="DI86:DI89" si="1809">IF($CU86="UNHESA",$BE86+$BN86+$BW86+$CF86+$CO86,0)</f>
        <v>0</v>
      </c>
      <c r="DJ86" s="203">
        <f t="shared" ref="DJ86:DJ89" si="1810">IF($CU86="UNHESA",$BF86+$BO86+$BX86+$CG86+$CP86,0)</f>
        <v>0</v>
      </c>
      <c r="DK86" s="203">
        <f t="shared" ref="DK86:DK89" si="1811">IF($CU86="UNHESA",$BG86+$BP86+$BY86+$CH86+$CQ86,0)</f>
        <v>0</v>
      </c>
      <c r="DL86" s="203">
        <f t="shared" ref="DL86:DL89" si="1812">IF($CU86="UNHESA",$BH86+$BQ86+$BZ86+$CI86+$CR86,0)</f>
        <v>0</v>
      </c>
      <c r="DM86" s="203">
        <f t="shared" ref="DM86:DM87" si="1813">SUM(DE86:DL86)-DG86-DI86</f>
        <v>0</v>
      </c>
      <c r="DN86" s="210">
        <f t="shared" ref="DN86:DN89" si="1814">IF($CU86="UNHESA LIQUIDOS",$BA86+$BJ86+$BS86+$CB86+$CK86,0)</f>
        <v>0</v>
      </c>
      <c r="DO86" s="210">
        <f t="shared" ref="DO86:DO89" si="1815">IF($CU86="UNHESA LIQUIDOS",$BB86+$BK86+$BT86+$CC86+$CL86,0)</f>
        <v>0</v>
      </c>
      <c r="DP86" s="210">
        <f t="shared" ref="DP86:DP89" si="1816">IF($CU86="UNHESA LIQUIDOS",$BC86+$BL86+$BU86+$CD86+$CM86,0)</f>
        <v>0</v>
      </c>
      <c r="DQ86" s="210">
        <f t="shared" ref="DQ86:DQ89" si="1817">IF($CU86="UNHESA LIQUIDOS",$BD86+$BM86+$BV86+$CE86+$CN86,0)</f>
        <v>0</v>
      </c>
      <c r="DR86" s="210">
        <f t="shared" ref="DR86:DR89" si="1818">IF($CU86="UNHESA LIQUIDOS",$BE86+$BN86+$BW86+$CF86+$CO86,0)</f>
        <v>0</v>
      </c>
      <c r="DS86" s="210">
        <f t="shared" ref="DS86:DS89" si="1819">IF($CU86="UNHESA LIQUIDOS",$BF86+$BO86+$BX86+$CG86+$CP86,0)</f>
        <v>0</v>
      </c>
      <c r="DT86" s="210">
        <f t="shared" ref="DT86:DT89" si="1820">IF($CU86="UNHESA LIQUIDOS",$BG86+$BP86+$BY86+$CH86+$CQ86,0)</f>
        <v>0</v>
      </c>
      <c r="DU86" s="210">
        <f t="shared" ref="DU86:DU89" si="1821">IF($CU86="UNHESA LIQUIDOS",$BH86+$BQ86+$BZ86+$CI86+$CR86,0)</f>
        <v>0</v>
      </c>
      <c r="DV86" s="210">
        <f t="shared" ref="DV86:DV87" si="1822">SUM(DN86:DU86)-DP86-DR86</f>
        <v>0</v>
      </c>
      <c r="DW86" s="241">
        <f>IF($CU86="CLEARTEC",$BA86+$BJ86+$BS86+$CB86+$CK86,0)</f>
        <v>0</v>
      </c>
      <c r="DX86" s="241">
        <f t="shared" ref="DX86:ED89" si="1823">IF($CU86="CLEARTEC",$BA86+$BJ86+$BS86+$CB86+$CK86,0)</f>
        <v>0</v>
      </c>
      <c r="DY86" s="241">
        <f t="shared" si="1823"/>
        <v>0</v>
      </c>
      <c r="DZ86" s="241">
        <f t="shared" si="1823"/>
        <v>0</v>
      </c>
      <c r="EA86" s="241">
        <f t="shared" si="1823"/>
        <v>0</v>
      </c>
      <c r="EB86" s="241">
        <f t="shared" si="1823"/>
        <v>0</v>
      </c>
      <c r="EC86" s="241">
        <f t="shared" si="1823"/>
        <v>0</v>
      </c>
      <c r="ED86" s="241">
        <f t="shared" si="1823"/>
        <v>0</v>
      </c>
      <c r="EE86" s="242">
        <f t="shared" ref="EE86" si="1824">SUM(DW86:ED86)-DY86-EA86</f>
        <v>0</v>
      </c>
      <c r="EF86" s="203">
        <f t="shared" ref="EF86:EF87" si="1825">IF(CU86="ECONACIONAL",$BA86+$BJ86+$BS86+$CB86+$CK86)</f>
        <v>3900</v>
      </c>
      <c r="EG86" s="242">
        <f t="shared" ref="EG86" si="1826">IF($CU86="ECONACIONAL",$BB86+$BK86+$BT86+$CC86+$CL86,0)</f>
        <v>2223.3333333333335</v>
      </c>
      <c r="EH86" s="203">
        <f t="shared" ref="EH86:EH87" si="1827">IF(CU86="ECONACIONAL",$BC86+$BL86+$BU86+$CD86+$CM86)</f>
        <v>8</v>
      </c>
      <c r="EI86" s="203">
        <f t="shared" ref="EI86:EI87" si="1828">IF(CU86="ECONACIONAL",$BD86+$DH86+$DQ86+$DZ86+BM86+BV86+CE86+CN86)</f>
        <v>225</v>
      </c>
      <c r="EJ86" s="242">
        <f t="shared" ref="EJ86:EJ89" si="1829">IF($CU86="CLEARTEC",$BE86+$BN86+$BW86+$CF86+$CO86,0)</f>
        <v>0</v>
      </c>
      <c r="EK86" s="203">
        <f t="shared" ref="EK86:EK87" si="1830">IF(CU86="ECONACIONAL",$BF86+$BO86+$BX86+$CG86+$CP86)</f>
        <v>0</v>
      </c>
      <c r="EL86" s="203">
        <f t="shared" ref="EL86:EL87" si="1831">IF(CU86="ECONACIONAL",$BG86+$BP86+$BY86+$CH86+$CQ86)</f>
        <v>0</v>
      </c>
      <c r="EM86" s="203">
        <f t="shared" ref="EM86:EM87" si="1832">IF(CU86="ECONACIONAL",BH86+BQ86+BZ86+CI86+CR86)</f>
        <v>522.63750000000005</v>
      </c>
      <c r="EN86" s="203">
        <f t="shared" ref="EN86:EN87" si="1833">SUM(EF86:EM86)-EH86-EJ86</f>
        <v>6870.9708333333338</v>
      </c>
      <c r="EO86" s="235"/>
      <c r="EP86" s="1195">
        <v>290</v>
      </c>
      <c r="EQ86" s="786"/>
      <c r="ER86" s="786"/>
      <c r="ES86" s="201"/>
      <c r="ET86" s="200"/>
      <c r="EU86" s="200"/>
      <c r="EV86" s="200"/>
      <c r="EW86" s="786"/>
      <c r="EX86" s="786"/>
      <c r="EY86" s="201">
        <f t="shared" ref="EY86:EY87" si="1834">+ET86+EU86+EV86</f>
        <v>0</v>
      </c>
      <c r="FA86" s="207">
        <f t="shared" ref="FA86:FA87" si="1835">IF($M86&lt;=15,EP86/2,EP86)</f>
        <v>290</v>
      </c>
      <c r="FB86" s="207">
        <f t="shared" ref="FB86:FB87" si="1836">IF($M86&lt;=15,EQ86/2,EQ86)</f>
        <v>0</v>
      </c>
      <c r="FC86" s="207">
        <f t="shared" ref="FC86:FC87" si="1837">IF($M86&lt;=15,ER86/2,ER86)</f>
        <v>0</v>
      </c>
      <c r="FD86" s="207">
        <f t="shared" ref="FD86:FD87" si="1838">IF($M86&lt;=15,ES86/2,ES86)</f>
        <v>0</v>
      </c>
      <c r="FE86" s="207">
        <f t="shared" ref="FE86:FE87" si="1839">IF($M86&lt;=15,ET86/2,ET86)</f>
        <v>0</v>
      </c>
      <c r="FF86" s="207">
        <f t="shared" ref="FF86:FF87" si="1840">IF($M86&lt;=15,EU86/2,EU86)</f>
        <v>0</v>
      </c>
      <c r="FG86" s="207">
        <f t="shared" ref="FG86:FG87" si="1841">IF($M86&lt;=15,EV86/2,EV86)</f>
        <v>0</v>
      </c>
      <c r="FH86" s="207">
        <f t="shared" ref="FH86:FH87" si="1842">IF($M86&lt;=15,EW86/2,EW86)</f>
        <v>0</v>
      </c>
      <c r="FI86" s="207">
        <f t="shared" ref="FI86:FI87" si="1843">IF($M86&lt;=15,EX86/2,EX86)</f>
        <v>0</v>
      </c>
      <c r="FJ86" s="207">
        <f t="shared" ref="FJ86:FJ87" si="1844">IF($M86&lt;=15,EY86/2,EY86)</f>
        <v>0</v>
      </c>
      <c r="FK86" s="217">
        <v>0.4</v>
      </c>
      <c r="FL86" s="217">
        <v>0.4</v>
      </c>
      <c r="FM86" s="217">
        <v>0.2</v>
      </c>
      <c r="FN86" s="217">
        <v>0</v>
      </c>
      <c r="FO86" s="217">
        <v>0</v>
      </c>
      <c r="FP86" s="217">
        <f>FO86+FN86+FM86+FL86+FK86</f>
        <v>1</v>
      </c>
      <c r="FQ86" s="216"/>
      <c r="FR86" s="1177">
        <f t="shared" ref="FR86:FR87" si="1845">(((J86/30/8)*1.5)*(U86+Y86+AC86))-(BD86+BM86+BV86)</f>
        <v>0</v>
      </c>
      <c r="FS86" s="1177">
        <f t="shared" ref="FS86:FS87" si="1846">(((J86/30/8)*2)*(W86+AA86+AE86))-(BF86+BO86+BX86)</f>
        <v>0</v>
      </c>
      <c r="FT86" s="1178">
        <f t="shared" ref="FT86:FT87" si="1847">(SUM(BA86:CJ86))-(SUM(EF86:EN86))</f>
        <v>0</v>
      </c>
      <c r="FU86" s="1177">
        <f t="shared" ref="FU86:FU87" si="1848">(J86/30*M86)-(EF86)</f>
        <v>0</v>
      </c>
      <c r="FV86" s="1181">
        <f t="shared" ref="FV86:FV87" si="1849">(SUM(EP86:EY86))-((SUM(FA86:FJ86))*$FV$5)</f>
        <v>-290</v>
      </c>
    </row>
    <row r="87" spans="1:184" s="820" customFormat="1" ht="15" customHeight="1" outlineLevel="1">
      <c r="A87" s="1005" t="str">
        <f>$G$4</f>
        <v>JUNIO  2026 2da QUINCENA</v>
      </c>
      <c r="B87" s="1005">
        <f>+$G$5</f>
        <v>2026</v>
      </c>
      <c r="C87" s="1006" t="str">
        <f t="shared" si="1564"/>
        <v>JUNIO  2026 2da QUINCENA2026</v>
      </c>
      <c r="D87" s="235" t="str">
        <f t="shared" ref="D87" si="1850">+$G$85</f>
        <v>BODEGA MP</v>
      </c>
      <c r="E87" s="235">
        <v>302020</v>
      </c>
      <c r="F87" s="268">
        <f>+F86+1</f>
        <v>30</v>
      </c>
      <c r="G87" s="199" t="s">
        <v>608</v>
      </c>
      <c r="H87" s="200" t="s">
        <v>561</v>
      </c>
      <c r="I87" s="200" t="s">
        <v>11</v>
      </c>
      <c r="J87" s="203">
        <v>4500</v>
      </c>
      <c r="K87" s="836">
        <v>502.28</v>
      </c>
      <c r="L87" s="836">
        <f t="shared" si="1741"/>
        <v>5002.28</v>
      </c>
      <c r="M87" s="203">
        <v>30</v>
      </c>
      <c r="N87" s="204">
        <v>0.5</v>
      </c>
      <c r="O87" s="204">
        <v>0.3</v>
      </c>
      <c r="P87" s="204">
        <v>0.2</v>
      </c>
      <c r="Q87" s="866">
        <v>0</v>
      </c>
      <c r="R87" s="204">
        <v>0</v>
      </c>
      <c r="S87" s="204">
        <f t="shared" ref="S87:S88" si="1851">SUM(N87:R87)</f>
        <v>1</v>
      </c>
      <c r="T87" s="205"/>
      <c r="U87" s="238">
        <v>7</v>
      </c>
      <c r="V87" s="239">
        <f>($J87/30/8*1.5)*U87</f>
        <v>196.875</v>
      </c>
      <c r="W87" s="265"/>
      <c r="X87" s="239">
        <f>($J87/30/8*2)*W87</f>
        <v>0</v>
      </c>
      <c r="Y87" s="238"/>
      <c r="Z87" s="239">
        <f>($J87/30/8*1.5)*Y87</f>
        <v>0</v>
      </c>
      <c r="AA87" s="265"/>
      <c r="AB87" s="239">
        <f>($J87/30/8*2)*AA87</f>
        <v>0</v>
      </c>
      <c r="AC87" s="865"/>
      <c r="AD87" s="203">
        <f t="shared" si="1747"/>
        <v>0</v>
      </c>
      <c r="AE87" s="208"/>
      <c r="AF87" s="203">
        <f t="shared" si="1748"/>
        <v>0</v>
      </c>
      <c r="AG87" s="208"/>
      <c r="AH87" s="203">
        <f t="shared" si="1749"/>
        <v>0</v>
      </c>
      <c r="AI87" s="208"/>
      <c r="AJ87" s="203">
        <f t="shared" si="1750"/>
        <v>0</v>
      </c>
      <c r="AK87" s="208"/>
      <c r="AL87" s="203">
        <f t="shared" si="1751"/>
        <v>0</v>
      </c>
      <c r="AM87" s="208"/>
      <c r="AN87" s="203">
        <f t="shared" si="1752"/>
        <v>0</v>
      </c>
      <c r="AO87" s="202"/>
      <c r="AP87" s="202"/>
      <c r="AQ87" s="202"/>
      <c r="AR87" s="202"/>
      <c r="AS87" s="202"/>
      <c r="AT87" s="202"/>
      <c r="AU87" s="202"/>
      <c r="AV87" s="202"/>
      <c r="AW87" s="202"/>
      <c r="AX87" s="202"/>
      <c r="AY87" s="202"/>
      <c r="AZ87" s="212"/>
      <c r="BA87" s="239">
        <f t="shared" si="1753"/>
        <v>2250</v>
      </c>
      <c r="BB87" s="239">
        <f>((K87/30)*M87)*$N87+230</f>
        <v>481.14</v>
      </c>
      <c r="BC87" s="836">
        <f t="shared" si="1754"/>
        <v>7</v>
      </c>
      <c r="BD87" s="239">
        <f t="shared" si="1755"/>
        <v>196.875</v>
      </c>
      <c r="BE87" s="239">
        <f t="shared" si="1756"/>
        <v>0</v>
      </c>
      <c r="BF87" s="239">
        <f t="shared" si="1757"/>
        <v>0</v>
      </c>
      <c r="BG87" s="239">
        <f t="shared" si="1758"/>
        <v>0</v>
      </c>
      <c r="BH87" s="203">
        <f t="shared" si="1759"/>
        <v>310.01906250000002</v>
      </c>
      <c r="BI87" s="239">
        <f t="shared" si="1760"/>
        <v>3238.0340624999999</v>
      </c>
      <c r="BJ87" s="239">
        <f t="shared" si="1761"/>
        <v>1350</v>
      </c>
      <c r="BK87" s="239">
        <f>(($K87/30)*$M87)*$O87+230</f>
        <v>380.68399999999997</v>
      </c>
      <c r="BL87" s="239">
        <f t="shared" si="1762"/>
        <v>0</v>
      </c>
      <c r="BM87" s="239">
        <f t="shared" si="1763"/>
        <v>0</v>
      </c>
      <c r="BN87" s="239">
        <f t="shared" si="1764"/>
        <v>0</v>
      </c>
      <c r="BO87" s="239">
        <f t="shared" si="1765"/>
        <v>0</v>
      </c>
      <c r="BP87" s="239">
        <f t="shared" si="1766"/>
        <v>0</v>
      </c>
      <c r="BQ87" s="203">
        <f t="shared" si="1767"/>
        <v>171.04500000000002</v>
      </c>
      <c r="BR87" s="836">
        <f t="shared" si="1768"/>
        <v>1901.729</v>
      </c>
      <c r="BS87" s="239">
        <f t="shared" si="1769"/>
        <v>900</v>
      </c>
      <c r="BT87" s="239">
        <f>(($K87/30)*$M87)*$P87</f>
        <v>100.456</v>
      </c>
      <c r="BU87" s="239">
        <f t="shared" si="1771"/>
        <v>0</v>
      </c>
      <c r="BV87" s="239">
        <f t="shared" si="1772"/>
        <v>0</v>
      </c>
      <c r="BW87" s="239">
        <f t="shared" si="1773"/>
        <v>0</v>
      </c>
      <c r="BX87" s="239">
        <f t="shared" si="1774"/>
        <v>0</v>
      </c>
      <c r="BY87" s="239">
        <f t="shared" si="1775"/>
        <v>0</v>
      </c>
      <c r="BZ87" s="203">
        <f t="shared" si="1776"/>
        <v>114.03</v>
      </c>
      <c r="CA87" s="239">
        <f t="shared" si="1777"/>
        <v>1114.4860000000001</v>
      </c>
      <c r="CB87" s="874">
        <f t="shared" si="1778"/>
        <v>0</v>
      </c>
      <c r="CC87" s="875">
        <f t="shared" si="1779"/>
        <v>0</v>
      </c>
      <c r="CD87" s="875">
        <f t="shared" si="1780"/>
        <v>0</v>
      </c>
      <c r="CE87" s="875">
        <f t="shared" si="1781"/>
        <v>0</v>
      </c>
      <c r="CF87" s="875">
        <f t="shared" si="1782"/>
        <v>0</v>
      </c>
      <c r="CG87" s="875">
        <f t="shared" si="1783"/>
        <v>0</v>
      </c>
      <c r="CH87" s="875">
        <f t="shared" si="1784"/>
        <v>0</v>
      </c>
      <c r="CI87" s="703">
        <f t="shared" si="1785"/>
        <v>0</v>
      </c>
      <c r="CJ87" s="875">
        <f t="shared" si="1786"/>
        <v>0</v>
      </c>
      <c r="CK87" s="875">
        <f t="shared" si="1787"/>
        <v>0</v>
      </c>
      <c r="CL87" s="875">
        <f t="shared" si="1788"/>
        <v>0</v>
      </c>
      <c r="CM87" s="875">
        <f t="shared" si="1789"/>
        <v>0</v>
      </c>
      <c r="CN87" s="875">
        <f t="shared" si="1790"/>
        <v>0</v>
      </c>
      <c r="CO87" s="875">
        <f t="shared" si="1791"/>
        <v>0</v>
      </c>
      <c r="CP87" s="875">
        <f t="shared" si="1792"/>
        <v>0</v>
      </c>
      <c r="CQ87" s="875">
        <f t="shared" si="1793"/>
        <v>0</v>
      </c>
      <c r="CR87" s="875">
        <f t="shared" si="1794"/>
        <v>0</v>
      </c>
      <c r="CS87" s="876">
        <f t="shared" si="1795"/>
        <v>0</v>
      </c>
      <c r="CT87" s="235"/>
      <c r="CU87" s="201" t="s">
        <v>11</v>
      </c>
      <c r="CV87" s="203">
        <f t="shared" si="1796"/>
        <v>0</v>
      </c>
      <c r="CW87" s="203">
        <f t="shared" si="1797"/>
        <v>0</v>
      </c>
      <c r="CX87" s="203">
        <f t="shared" si="1798"/>
        <v>0</v>
      </c>
      <c r="CY87" s="203">
        <f t="shared" si="1799"/>
        <v>0</v>
      </c>
      <c r="CZ87" s="203">
        <f t="shared" si="1800"/>
        <v>0</v>
      </c>
      <c r="DA87" s="203">
        <f t="shared" si="1801"/>
        <v>0</v>
      </c>
      <c r="DB87" s="203">
        <f t="shared" si="1802"/>
        <v>0</v>
      </c>
      <c r="DC87" s="203">
        <f t="shared" si="1803"/>
        <v>0</v>
      </c>
      <c r="DD87" s="203">
        <f t="shared" si="1804"/>
        <v>0</v>
      </c>
      <c r="DE87" s="203">
        <f t="shared" si="1805"/>
        <v>0</v>
      </c>
      <c r="DF87" s="203">
        <f t="shared" si="1806"/>
        <v>0</v>
      </c>
      <c r="DG87" s="239">
        <f t="shared" si="1807"/>
        <v>0</v>
      </c>
      <c r="DH87" s="239">
        <f t="shared" si="1808"/>
        <v>0</v>
      </c>
      <c r="DI87" s="239">
        <f t="shared" si="1809"/>
        <v>0</v>
      </c>
      <c r="DJ87" s="203">
        <f t="shared" si="1810"/>
        <v>0</v>
      </c>
      <c r="DK87" s="203">
        <f t="shared" si="1811"/>
        <v>0</v>
      </c>
      <c r="DL87" s="203">
        <f t="shared" si="1812"/>
        <v>0</v>
      </c>
      <c r="DM87" s="203">
        <f t="shared" si="1813"/>
        <v>0</v>
      </c>
      <c r="DN87" s="210">
        <f t="shared" si="1814"/>
        <v>0</v>
      </c>
      <c r="DO87" s="210">
        <f t="shared" si="1815"/>
        <v>0</v>
      </c>
      <c r="DP87" s="210">
        <f t="shared" si="1816"/>
        <v>0</v>
      </c>
      <c r="DQ87" s="210">
        <f t="shared" si="1817"/>
        <v>0</v>
      </c>
      <c r="DR87" s="210">
        <f t="shared" si="1818"/>
        <v>0</v>
      </c>
      <c r="DS87" s="210">
        <f t="shared" si="1819"/>
        <v>0</v>
      </c>
      <c r="DT87" s="210">
        <f t="shared" si="1820"/>
        <v>0</v>
      </c>
      <c r="DU87" s="210">
        <f t="shared" si="1821"/>
        <v>0</v>
      </c>
      <c r="DV87" s="210">
        <f t="shared" si="1822"/>
        <v>0</v>
      </c>
      <c r="DW87" s="241">
        <f t="shared" ref="DW87:DW89" si="1852">IF($CU87="CLEARTEC",$BA87+$BJ87+$BS87+$CB87+$CK87,0)</f>
        <v>0</v>
      </c>
      <c r="DX87" s="241">
        <f t="shared" si="1823"/>
        <v>0</v>
      </c>
      <c r="DY87" s="241">
        <f t="shared" si="1823"/>
        <v>0</v>
      </c>
      <c r="DZ87" s="241">
        <f t="shared" si="1823"/>
        <v>0</v>
      </c>
      <c r="EA87" s="241">
        <f t="shared" si="1823"/>
        <v>0</v>
      </c>
      <c r="EB87" s="241">
        <f t="shared" si="1823"/>
        <v>0</v>
      </c>
      <c r="EC87" s="241">
        <f t="shared" si="1823"/>
        <v>0</v>
      </c>
      <c r="ED87" s="241">
        <f t="shared" si="1823"/>
        <v>0</v>
      </c>
      <c r="EE87" s="242">
        <f t="shared" ref="EE87" si="1853">SUM(DW87:ED87)-DY87-EA87</f>
        <v>0</v>
      </c>
      <c r="EF87" s="203">
        <f t="shared" si="1825"/>
        <v>4500</v>
      </c>
      <c r="EG87" s="242">
        <f>IF($CU87="ECONACIONAL",$BB87+$BK87+$BT87+$CC87+$CL87,0)</f>
        <v>962.28</v>
      </c>
      <c r="EH87" s="203">
        <f t="shared" si="1827"/>
        <v>7</v>
      </c>
      <c r="EI87" s="203">
        <f t="shared" si="1828"/>
        <v>196.875</v>
      </c>
      <c r="EJ87" s="242">
        <f t="shared" si="1829"/>
        <v>0</v>
      </c>
      <c r="EK87" s="203">
        <f t="shared" si="1830"/>
        <v>0</v>
      </c>
      <c r="EL87" s="203">
        <f t="shared" si="1831"/>
        <v>0</v>
      </c>
      <c r="EM87" s="203">
        <f t="shared" si="1832"/>
        <v>595.09406250000006</v>
      </c>
      <c r="EN87" s="203">
        <f t="shared" si="1833"/>
        <v>6254.2490625</v>
      </c>
      <c r="EO87" s="235"/>
      <c r="EP87" s="1227">
        <v>218</v>
      </c>
      <c r="EQ87" s="786"/>
      <c r="ER87" s="1309">
        <v>650</v>
      </c>
      <c r="ES87" s="200">
        <f>213.5+308.5</f>
        <v>522</v>
      </c>
      <c r="ET87" s="200"/>
      <c r="EU87" s="200"/>
      <c r="EV87" s="200"/>
      <c r="EW87" s="786"/>
      <c r="EX87" s="786"/>
      <c r="EY87" s="201">
        <f t="shared" si="1834"/>
        <v>0</v>
      </c>
      <c r="FA87" s="207">
        <f t="shared" si="1835"/>
        <v>218</v>
      </c>
      <c r="FB87" s="207">
        <f t="shared" si="1836"/>
        <v>0</v>
      </c>
      <c r="FC87" s="207">
        <f t="shared" si="1837"/>
        <v>650</v>
      </c>
      <c r="FD87" s="207">
        <f t="shared" si="1838"/>
        <v>522</v>
      </c>
      <c r="FE87" s="207">
        <f t="shared" si="1839"/>
        <v>0</v>
      </c>
      <c r="FF87" s="207">
        <f t="shared" si="1840"/>
        <v>0</v>
      </c>
      <c r="FG87" s="207">
        <f t="shared" si="1841"/>
        <v>0</v>
      </c>
      <c r="FH87" s="207">
        <f t="shared" si="1842"/>
        <v>0</v>
      </c>
      <c r="FI87" s="207">
        <f t="shared" si="1843"/>
        <v>0</v>
      </c>
      <c r="FJ87" s="207">
        <f t="shared" si="1844"/>
        <v>0</v>
      </c>
      <c r="FK87" s="217"/>
      <c r="FL87" s="217"/>
      <c r="FM87" s="217"/>
      <c r="FN87" s="217"/>
      <c r="FO87" s="217"/>
      <c r="FP87" s="217"/>
      <c r="FQ87" s="216"/>
      <c r="FR87" s="1184">
        <f t="shared" si="1845"/>
        <v>0</v>
      </c>
      <c r="FS87" s="1184">
        <f t="shared" si="1846"/>
        <v>0</v>
      </c>
      <c r="FT87" s="1185">
        <f t="shared" si="1847"/>
        <v>0</v>
      </c>
      <c r="FU87" s="1184">
        <f t="shared" si="1848"/>
        <v>0</v>
      </c>
      <c r="FV87" s="1186">
        <f t="shared" si="1849"/>
        <v>-1390</v>
      </c>
    </row>
    <row r="88" spans="1:184" s="820" customFormat="1" ht="15" customHeight="1" outlineLevel="1">
      <c r="A88" s="1005"/>
      <c r="B88" s="1005"/>
      <c r="C88" s="1006"/>
      <c r="D88" s="235"/>
      <c r="E88" s="235">
        <v>302020</v>
      </c>
      <c r="F88" s="268"/>
      <c r="G88" s="199" t="s">
        <v>736</v>
      </c>
      <c r="H88" s="200" t="s">
        <v>107</v>
      </c>
      <c r="I88" s="200" t="s">
        <v>11</v>
      </c>
      <c r="J88" s="203">
        <v>4002.28</v>
      </c>
      <c r="K88" s="836">
        <v>250</v>
      </c>
      <c r="L88" s="836">
        <f t="shared" si="1741"/>
        <v>4252.2800000000007</v>
      </c>
      <c r="M88" s="203">
        <v>30</v>
      </c>
      <c r="N88" s="866">
        <v>0.5</v>
      </c>
      <c r="O88" s="866">
        <v>0.3</v>
      </c>
      <c r="P88" s="866">
        <v>0.2</v>
      </c>
      <c r="Q88" s="204">
        <v>0</v>
      </c>
      <c r="R88" s="204">
        <v>0</v>
      </c>
      <c r="S88" s="204">
        <f t="shared" si="1851"/>
        <v>1</v>
      </c>
      <c r="T88" s="813"/>
      <c r="U88" s="877">
        <v>2</v>
      </c>
      <c r="V88" s="239">
        <f>($J88/30/8*1.5)*U88</f>
        <v>50.028500000000001</v>
      </c>
      <c r="W88" s="265"/>
      <c r="X88" s="239">
        <f t="shared" ref="X88" si="1854">($F88/30/8*2)*W88</f>
        <v>0</v>
      </c>
      <c r="Y88" s="238"/>
      <c r="Z88" s="239">
        <f>($J88/30/8*1.5)*Y88</f>
        <v>0</v>
      </c>
      <c r="AA88" s="265"/>
      <c r="AB88" s="239">
        <f t="shared" ref="AB88" si="1855">($F88/30/8*2)*AA88</f>
        <v>0</v>
      </c>
      <c r="AC88" s="265"/>
      <c r="AD88" s="239">
        <f t="shared" ref="AD88" si="1856">(($F88/30/8)*1.5)*AC88</f>
        <v>0</v>
      </c>
      <c r="AE88" s="838"/>
      <c r="AF88" s="239">
        <f t="shared" ref="AF88" si="1857">(($F88/30/8)*2)*AE88</f>
        <v>0</v>
      </c>
      <c r="AG88" s="836"/>
      <c r="AH88" s="836">
        <f t="shared" ref="AH88" si="1858">(($F88/30/8)*1.5)*AG88</f>
        <v>0</v>
      </c>
      <c r="AI88" s="836"/>
      <c r="AJ88" s="836">
        <f t="shared" ref="AJ88" si="1859">(($F88/30/8)*2)*AI88</f>
        <v>0</v>
      </c>
      <c r="AK88" s="836"/>
      <c r="AL88" s="836">
        <f t="shared" ref="AL88" si="1860">(($F88/30/8)*1.5)*AK88</f>
        <v>0</v>
      </c>
      <c r="AM88" s="873"/>
      <c r="AN88" s="265">
        <f t="shared" ref="AN88" si="1861">(($F88/30/8)*2)*AM88</f>
        <v>0</v>
      </c>
      <c r="AO88" s="239"/>
      <c r="AP88" s="838"/>
      <c r="AQ88" s="239"/>
      <c r="AR88" s="836"/>
      <c r="AS88" s="836"/>
      <c r="AT88" s="836"/>
      <c r="AU88" s="836"/>
      <c r="AV88" s="836"/>
      <c r="AW88" s="836"/>
      <c r="AX88" s="873"/>
      <c r="AY88" s="265"/>
      <c r="AZ88" s="239"/>
      <c r="BA88" s="239">
        <f t="shared" ref="BA88" si="1862">((J88/30)*M88)*$N88</f>
        <v>2001.14</v>
      </c>
      <c r="BB88" s="239">
        <f>((K88/30)*M88)*$N88+86.25</f>
        <v>211.25</v>
      </c>
      <c r="BC88" s="836">
        <f t="shared" ref="BC88" si="1863">U88</f>
        <v>2</v>
      </c>
      <c r="BD88" s="239">
        <f t="shared" ref="BD88" si="1864">V88</f>
        <v>50.028500000000001</v>
      </c>
      <c r="BE88" s="239">
        <f t="shared" ref="BE88" si="1865">W88</f>
        <v>0</v>
      </c>
      <c r="BF88" s="239">
        <f t="shared" ref="BF88" si="1866">X88</f>
        <v>0</v>
      </c>
      <c r="BG88" s="239">
        <f t="shared" ref="BG88" si="1867">AO88+AT88</f>
        <v>0</v>
      </c>
      <c r="BH88" s="203">
        <f t="shared" si="1759"/>
        <v>259.88304895000005</v>
      </c>
      <c r="BI88" s="239">
        <f t="shared" ref="BI88" si="1868">SUM(BA88:BH88)-BC88-BE88</f>
        <v>2522.3015489500003</v>
      </c>
      <c r="BJ88" s="239">
        <f t="shared" si="1761"/>
        <v>1200.684</v>
      </c>
      <c r="BK88" s="239">
        <f>(($K88/30)*$M88)*$O88+86.25</f>
        <v>161.25</v>
      </c>
      <c r="BL88" s="239">
        <f t="shared" ref="BL88" si="1869">Y88</f>
        <v>0</v>
      </c>
      <c r="BM88" s="239">
        <f t="shared" ref="BM88" si="1870">Z88</f>
        <v>0</v>
      </c>
      <c r="BN88" s="239">
        <f t="shared" ref="BN88" si="1871">AA88</f>
        <v>0</v>
      </c>
      <c r="BO88" s="239">
        <f t="shared" ref="BO88" si="1872">AB88</f>
        <v>0</v>
      </c>
      <c r="BP88" s="239">
        <f t="shared" ref="BP88" si="1873">AP88+AU88</f>
        <v>0</v>
      </c>
      <c r="BQ88" s="203">
        <f t="shared" si="1767"/>
        <v>152.12666279999999</v>
      </c>
      <c r="BR88" s="836">
        <f t="shared" ref="BR88" si="1874">SUM(BJ88:BQ88)-BL88-BN88</f>
        <v>1514.0606628</v>
      </c>
      <c r="BS88" s="239">
        <f t="shared" si="1769"/>
        <v>800.45600000000013</v>
      </c>
      <c r="BT88" s="239">
        <f>(($K88/30)*$M88)*$P88</f>
        <v>50.000000000000007</v>
      </c>
      <c r="BU88" s="239">
        <f t="shared" ref="BU88" si="1875">AC88</f>
        <v>0</v>
      </c>
      <c r="BV88" s="239">
        <f t="shared" ref="BV88" si="1876">AD88</f>
        <v>0</v>
      </c>
      <c r="BW88" s="239">
        <f t="shared" ref="BW88" si="1877">AE88</f>
        <v>0</v>
      </c>
      <c r="BX88" s="239">
        <f t="shared" ref="BX88" si="1878">AF88</f>
        <v>0</v>
      </c>
      <c r="BY88" s="239">
        <f t="shared" ref="BY88" si="1879">AQ88+AV88</f>
        <v>0</v>
      </c>
      <c r="BZ88" s="203">
        <f t="shared" si="1776"/>
        <v>101.41777520000002</v>
      </c>
      <c r="CA88" s="239">
        <f t="shared" ref="CA88" si="1880">SUM(BS88:BZ88)-BU88-BW88</f>
        <v>951.87377520000018</v>
      </c>
      <c r="CB88" s="874">
        <f t="shared" si="1778"/>
        <v>0</v>
      </c>
      <c r="CC88" s="875">
        <f t="shared" si="1779"/>
        <v>0</v>
      </c>
      <c r="CD88" s="875">
        <f t="shared" ref="CD88" si="1881">AG88</f>
        <v>0</v>
      </c>
      <c r="CE88" s="875">
        <f t="shared" ref="CE88" si="1882">AH88</f>
        <v>0</v>
      </c>
      <c r="CF88" s="875">
        <f t="shared" ref="CF88" si="1883">AI88</f>
        <v>0</v>
      </c>
      <c r="CG88" s="875">
        <f t="shared" ref="CG88" si="1884">AJ88</f>
        <v>0</v>
      </c>
      <c r="CH88" s="875">
        <f t="shared" ref="CH88" si="1885">AR88+AW88</f>
        <v>0</v>
      </c>
      <c r="CI88" s="703">
        <f t="shared" si="1785"/>
        <v>0</v>
      </c>
      <c r="CJ88" s="875">
        <f t="shared" ref="CJ88" si="1886">SUM(CB88:CI88)-CD88-CF88</f>
        <v>0</v>
      </c>
      <c r="CK88" s="875">
        <f t="shared" ref="CK88" si="1887">(($J88/30)*$M88)*R88</f>
        <v>0</v>
      </c>
      <c r="CL88" s="875">
        <f t="shared" si="1788"/>
        <v>0</v>
      </c>
      <c r="CM88" s="875">
        <f t="shared" ref="CM88" si="1888">+AK88</f>
        <v>0</v>
      </c>
      <c r="CN88" s="875">
        <f t="shared" ref="CN88" si="1889">AL88</f>
        <v>0</v>
      </c>
      <c r="CO88" s="875">
        <f t="shared" ref="CO88" si="1890">AM88</f>
        <v>0</v>
      </c>
      <c r="CP88" s="875">
        <f t="shared" ref="CP88" si="1891">AN88</f>
        <v>0</v>
      </c>
      <c r="CQ88" s="875">
        <f t="shared" ref="CQ88" si="1892">AS88+AX88</f>
        <v>0</v>
      </c>
      <c r="CR88" s="875">
        <f t="shared" ref="CR88" si="1893">(CK88+CN88+CP88)*0.1267</f>
        <v>0</v>
      </c>
      <c r="CS88" s="876">
        <f t="shared" ref="CS88" si="1894">SUM(CK88:CR88)-CM88-CO88</f>
        <v>0</v>
      </c>
      <c r="CT88" s="235"/>
      <c r="CU88" s="201" t="s">
        <v>11</v>
      </c>
      <c r="CV88" s="203">
        <f t="shared" si="1796"/>
        <v>0</v>
      </c>
      <c r="CW88" s="203">
        <f t="shared" si="1797"/>
        <v>0</v>
      </c>
      <c r="CX88" s="203">
        <f t="shared" si="1798"/>
        <v>0</v>
      </c>
      <c r="CY88" s="203">
        <f t="shared" si="1799"/>
        <v>0</v>
      </c>
      <c r="CZ88" s="203">
        <f t="shared" si="1800"/>
        <v>0</v>
      </c>
      <c r="DA88" s="203">
        <f t="shared" si="1801"/>
        <v>0</v>
      </c>
      <c r="DB88" s="203">
        <f t="shared" si="1802"/>
        <v>0</v>
      </c>
      <c r="DC88" s="203">
        <f t="shared" ref="DC88" si="1895">IF($CU88="PROQUIMA",$BH88+$BQ88+$BZ88+$CI88+CR88,0)</f>
        <v>0</v>
      </c>
      <c r="DD88" s="203">
        <f t="shared" ref="DD88" si="1896">SUM(CV88:DC88)-CX88-CZ88</f>
        <v>0</v>
      </c>
      <c r="DE88" s="203">
        <f t="shared" si="1805"/>
        <v>0</v>
      </c>
      <c r="DF88" s="203">
        <f t="shared" si="1806"/>
        <v>0</v>
      </c>
      <c r="DG88" s="239">
        <f t="shared" si="1807"/>
        <v>0</v>
      </c>
      <c r="DH88" s="239">
        <f t="shared" si="1808"/>
        <v>0</v>
      </c>
      <c r="DI88" s="239">
        <f t="shared" si="1809"/>
        <v>0</v>
      </c>
      <c r="DJ88" s="203">
        <f t="shared" si="1810"/>
        <v>0</v>
      </c>
      <c r="DK88" s="203">
        <f t="shared" si="1811"/>
        <v>0</v>
      </c>
      <c r="DL88" s="203">
        <f t="shared" si="1812"/>
        <v>0</v>
      </c>
      <c r="DM88" s="203">
        <f t="shared" ref="DM88" si="1897">SUM(DE88:DL88)-DG88-DI88</f>
        <v>0</v>
      </c>
      <c r="DN88" s="210">
        <f t="shared" si="1814"/>
        <v>0</v>
      </c>
      <c r="DO88" s="210">
        <f t="shared" si="1815"/>
        <v>0</v>
      </c>
      <c r="DP88" s="210">
        <f t="shared" si="1816"/>
        <v>0</v>
      </c>
      <c r="DQ88" s="210">
        <f t="shared" si="1817"/>
        <v>0</v>
      </c>
      <c r="DR88" s="210">
        <f t="shared" si="1818"/>
        <v>0</v>
      </c>
      <c r="DS88" s="210">
        <f t="shared" si="1819"/>
        <v>0</v>
      </c>
      <c r="DT88" s="210">
        <f t="shared" si="1820"/>
        <v>0</v>
      </c>
      <c r="DU88" s="210">
        <f t="shared" si="1821"/>
        <v>0</v>
      </c>
      <c r="DV88" s="210">
        <f t="shared" ref="DV88" si="1898">SUM(DN88:DU88)-DP88-DR88</f>
        <v>0</v>
      </c>
      <c r="DW88" s="241">
        <f t="shared" si="1852"/>
        <v>0</v>
      </c>
      <c r="DX88" s="241">
        <f t="shared" si="1823"/>
        <v>0</v>
      </c>
      <c r="DY88" s="241">
        <f t="shared" si="1823"/>
        <v>0</v>
      </c>
      <c r="DZ88" s="241">
        <f t="shared" si="1823"/>
        <v>0</v>
      </c>
      <c r="EA88" s="241">
        <f t="shared" si="1823"/>
        <v>0</v>
      </c>
      <c r="EB88" s="241">
        <f t="shared" si="1823"/>
        <v>0</v>
      </c>
      <c r="EC88" s="241">
        <f t="shared" si="1823"/>
        <v>0</v>
      </c>
      <c r="ED88" s="241">
        <f t="shared" si="1823"/>
        <v>0</v>
      </c>
      <c r="EE88" s="242">
        <f t="shared" ref="EE88" si="1899">SUM(DW88:ED88)-DY88-EA88</f>
        <v>0</v>
      </c>
      <c r="EF88" s="203">
        <f t="shared" ref="EF88" si="1900">IF(CU88="ECONACIONAL",$BA88+$BJ88+$BS88+$CB88+$CK88)</f>
        <v>4002.28</v>
      </c>
      <c r="EG88" s="242">
        <f t="shared" ref="EG88:EG89" si="1901">IF($CU88="ECONACIONAL",$BB88+$BK88+$BT88+$CC88+$CL88,0)</f>
        <v>422.5</v>
      </c>
      <c r="EH88" s="203">
        <f t="shared" ref="EH88" si="1902">IF(CU88="ECONACIONAL",$BC88+$BL88+$BU88+$CD88+$CM88)</f>
        <v>2</v>
      </c>
      <c r="EI88" s="203">
        <f t="shared" ref="EI88" si="1903">IF(CU88="ECONACIONAL",$BD88+$DH88+$DQ88+$DZ88+BM88+BV88+CE88+CN88)</f>
        <v>50.028500000000001</v>
      </c>
      <c r="EJ88" s="242">
        <f t="shared" si="1829"/>
        <v>0</v>
      </c>
      <c r="EK88" s="203">
        <f t="shared" ref="EK88" si="1904">IF(CU88="ECONACIONAL",$BF88+$BO88+$BX88+$CG88+$CP88)</f>
        <v>0</v>
      </c>
      <c r="EL88" s="203">
        <f t="shared" ref="EL88" si="1905">IF(CU88="ECONACIONAL",$BG88+$BP88+$BY88+$CH88+$CQ88)</f>
        <v>0</v>
      </c>
      <c r="EM88" s="203">
        <f t="shared" ref="EM88" si="1906">IF(CU88="ECONACIONAL",BH88+BQ88+BZ88+CI88+CR88)</f>
        <v>513.42748695000012</v>
      </c>
      <c r="EN88" s="203">
        <f t="shared" ref="EN88" si="1907">SUM(EF88:EM88)-EH88-EJ88</f>
        <v>4988.2359869500015</v>
      </c>
      <c r="EO88" s="235"/>
      <c r="EP88" s="786"/>
      <c r="EQ88" s="786"/>
      <c r="ER88" s="786"/>
      <c r="ES88" s="200">
        <f>43</f>
        <v>43</v>
      </c>
      <c r="ET88" s="200"/>
      <c r="EU88" s="200"/>
      <c r="EV88" s="200"/>
      <c r="EW88" s="786"/>
      <c r="EX88" s="786"/>
      <c r="EY88" s="201">
        <f t="shared" ref="EY88" si="1908">+ET88+EU88+EV88</f>
        <v>0</v>
      </c>
      <c r="FA88" s="207">
        <f t="shared" ref="FA88" si="1909">IF($M88&lt;=15,EP88/2,EP88)</f>
        <v>0</v>
      </c>
      <c r="FB88" s="207">
        <f t="shared" ref="FB88" si="1910">IF($M88&lt;=15,EQ88/2,EQ88)</f>
        <v>0</v>
      </c>
      <c r="FC88" s="207">
        <f t="shared" ref="FC88" si="1911">IF($M88&lt;=15,ER88/2,ER88)</f>
        <v>0</v>
      </c>
      <c r="FD88" s="207">
        <f t="shared" ref="FD88" si="1912">IF($M88&lt;=15,ES88/2,ES88)</f>
        <v>43</v>
      </c>
      <c r="FE88" s="207">
        <f t="shared" ref="FE88" si="1913">IF($M88&lt;=15,ET88/2,ET88)</f>
        <v>0</v>
      </c>
      <c r="FF88" s="207">
        <f t="shared" ref="FF88" si="1914">IF($M88&lt;=15,EU88/2,EU88)</f>
        <v>0</v>
      </c>
      <c r="FG88" s="207">
        <f t="shared" ref="FG88" si="1915">IF($M88&lt;=15,EV88/2,EV88)</f>
        <v>0</v>
      </c>
      <c r="FH88" s="207">
        <f t="shared" ref="FH88" si="1916">IF($M88&lt;=15,EW88/2,EW88)</f>
        <v>0</v>
      </c>
      <c r="FI88" s="207">
        <f t="shared" ref="FI88" si="1917">IF($M88&lt;=15,EX88/2,EX88)</f>
        <v>0</v>
      </c>
      <c r="FJ88" s="207">
        <f t="shared" ref="FJ88" si="1918">IF($M88&lt;=15,EY88/2,EY88)</f>
        <v>0</v>
      </c>
      <c r="FK88" s="217"/>
      <c r="FL88" s="217"/>
      <c r="FM88" s="217"/>
      <c r="FN88" s="217"/>
      <c r="FO88" s="217"/>
      <c r="FP88" s="217"/>
      <c r="FQ88" s="216"/>
      <c r="FR88" s="1177">
        <f t="shared" ref="FR88" si="1919">(((J88/30/8)*1.5)*(U88+Y88+AC88))-(BD88+BM88+BV88)</f>
        <v>0</v>
      </c>
      <c r="FS88" s="1177">
        <f t="shared" ref="FS88" si="1920">(((J88/30/8)*2)*(W88+AA88+AE88))-(BF88+BO88+BX88)</f>
        <v>0</v>
      </c>
      <c r="FT88" s="1178">
        <f t="shared" ref="FT88" si="1921">(SUM(BA88:CJ88))-(SUM(EF88:EN88))</f>
        <v>0</v>
      </c>
      <c r="FU88" s="1177">
        <f t="shared" ref="FU88" si="1922">(J88/30*M88)-(EF88)</f>
        <v>0</v>
      </c>
      <c r="FV88" s="1181">
        <f t="shared" ref="FV88" si="1923">(SUM(EP88:EY88))-((SUM(FA88:FJ88))*$FV$5)</f>
        <v>-43</v>
      </c>
    </row>
    <row r="89" spans="1:184" s="820" customFormat="1" ht="15" customHeight="1" outlineLevel="1">
      <c r="A89" s="1005"/>
      <c r="B89" s="1005"/>
      <c r="C89" s="1006"/>
      <c r="D89" s="235"/>
      <c r="E89" s="235">
        <v>302020</v>
      </c>
      <c r="F89" s="268">
        <f>+F87+1</f>
        <v>31</v>
      </c>
      <c r="G89" s="199" t="s">
        <v>729</v>
      </c>
      <c r="H89" s="200" t="s">
        <v>107</v>
      </c>
      <c r="I89" s="201" t="s">
        <v>11</v>
      </c>
      <c r="J89" s="203">
        <v>4002.28</v>
      </c>
      <c r="K89" s="202">
        <v>250</v>
      </c>
      <c r="L89" s="836">
        <f t="shared" ref="L89" si="1924">+J89+K89</f>
        <v>4252.2800000000007</v>
      </c>
      <c r="M89" s="203">
        <v>30</v>
      </c>
      <c r="N89" s="204">
        <v>0.5</v>
      </c>
      <c r="O89" s="819">
        <v>0.3</v>
      </c>
      <c r="P89" s="204">
        <v>0.2</v>
      </c>
      <c r="Q89" s="204">
        <v>0</v>
      </c>
      <c r="R89" s="204">
        <v>0</v>
      </c>
      <c r="S89" s="204">
        <f t="shared" ref="S89" si="1925">SUM(N89:R89)</f>
        <v>1</v>
      </c>
      <c r="T89" s="813"/>
      <c r="U89" s="238"/>
      <c r="V89" s="203">
        <f t="shared" ref="V89" si="1926">($J89/30/8*1.5)*U89</f>
        <v>0</v>
      </c>
      <c r="W89" s="207"/>
      <c r="X89" s="203">
        <f t="shared" ref="X89" si="1927">($J89/30/8*2)*W89</f>
        <v>0</v>
      </c>
      <c r="Y89" s="207">
        <v>7</v>
      </c>
      <c r="Z89" s="203">
        <f t="shared" ref="Z89" si="1928">($J89/30/8*1.5)*Y89</f>
        <v>175.09975</v>
      </c>
      <c r="AA89" s="206"/>
      <c r="AB89" s="203">
        <f t="shared" ref="AB89" si="1929">($J89/30/8*2)*AA89</f>
        <v>0</v>
      </c>
      <c r="AC89" s="207"/>
      <c r="AD89" s="203">
        <f t="shared" ref="AD89" si="1930">(($J89/30/8)*1.5)*AC89</f>
        <v>0</v>
      </c>
      <c r="AE89" s="208"/>
      <c r="AF89" s="203">
        <f t="shared" ref="AF89" si="1931">(($J89/30/8)*2)*AE89</f>
        <v>0</v>
      </c>
      <c r="AG89" s="208"/>
      <c r="AH89" s="203">
        <f t="shared" ref="AH89" si="1932">(($J89/30/8)*1.5)*AG89</f>
        <v>0</v>
      </c>
      <c r="AI89" s="208"/>
      <c r="AJ89" s="203">
        <f t="shared" ref="AJ89" si="1933">(($J89/30/8)*2)*AI89</f>
        <v>0</v>
      </c>
      <c r="AK89" s="203"/>
      <c r="AL89" s="203">
        <f t="shared" ref="AL89" si="1934">(($J89/30/8)*1.5)*AK89</f>
        <v>0</v>
      </c>
      <c r="AM89" s="208"/>
      <c r="AN89" s="203">
        <f t="shared" ref="AN89" si="1935">(($J89/30/8)*2)*AM89</f>
        <v>0</v>
      </c>
      <c r="AO89" s="202"/>
      <c r="AP89" s="202"/>
      <c r="AQ89" s="202"/>
      <c r="AR89" s="202"/>
      <c r="AS89" s="202"/>
      <c r="AT89" s="202"/>
      <c r="AU89" s="202"/>
      <c r="AV89" s="202"/>
      <c r="AW89" s="202"/>
      <c r="AX89" s="202"/>
      <c r="AY89" s="202"/>
      <c r="AZ89" s="240"/>
      <c r="BA89" s="239">
        <f t="shared" ref="BA89" si="1936">((J89/30)*M89)*$N89</f>
        <v>2001.14</v>
      </c>
      <c r="BB89" s="239">
        <f>((K89/30)*M89)*$N89+82.5</f>
        <v>207.5</v>
      </c>
      <c r="BC89" s="836">
        <f t="shared" ref="BC89" si="1937">U89</f>
        <v>0</v>
      </c>
      <c r="BD89" s="203">
        <f t="shared" ref="BD89" si="1938">V89</f>
        <v>0</v>
      </c>
      <c r="BE89" s="203">
        <f t="shared" ref="BE89" si="1939">W89</f>
        <v>0</v>
      </c>
      <c r="BF89" s="203">
        <f t="shared" ref="BF89" si="1940">X89</f>
        <v>0</v>
      </c>
      <c r="BG89" s="203">
        <f t="shared" ref="BG89" si="1941">AO89+AT89</f>
        <v>0</v>
      </c>
      <c r="BH89" s="203">
        <f t="shared" si="1759"/>
        <v>253.54443800000001</v>
      </c>
      <c r="BI89" s="203">
        <f t="shared" ref="BI89" si="1942">SUM(BA89:BH89)-BC89-BE89</f>
        <v>2462.1844380000002</v>
      </c>
      <c r="BJ89" s="203">
        <f>(($J89/30)*$M89)*$O89</f>
        <v>1200.684</v>
      </c>
      <c r="BK89" s="203">
        <f>(($K89/30)*$M89)*$O89+82.5</f>
        <v>157.5</v>
      </c>
      <c r="BL89" s="239">
        <f t="shared" ref="BL89" si="1943">Y89</f>
        <v>7</v>
      </c>
      <c r="BM89" s="203">
        <f t="shared" ref="BM89" si="1944">Z89</f>
        <v>175.09975</v>
      </c>
      <c r="BN89" s="203">
        <f t="shared" ref="BN89" si="1945">AA89</f>
        <v>0</v>
      </c>
      <c r="BO89" s="203">
        <f t="shared" ref="BO89" si="1946">AB89</f>
        <v>0</v>
      </c>
      <c r="BP89" s="203">
        <f t="shared" ref="BP89" si="1947">AP89+AU89</f>
        <v>0</v>
      </c>
      <c r="BQ89" s="203">
        <f t="shared" si="1767"/>
        <v>174.31180112500002</v>
      </c>
      <c r="BR89" s="202">
        <f t="shared" ref="BR89" si="1948">SUM(BJ89:BQ89)-BL89-BN89</f>
        <v>1707.5955511250002</v>
      </c>
      <c r="BS89" s="203">
        <f t="shared" si="1769"/>
        <v>800.45600000000013</v>
      </c>
      <c r="BT89" s="203">
        <f>(($K89/30)*$M89)*$P89</f>
        <v>50.000000000000007</v>
      </c>
      <c r="BU89" s="203">
        <f t="shared" ref="BU89" si="1949">AC89</f>
        <v>0</v>
      </c>
      <c r="BV89" s="203">
        <f t="shared" ref="BV89" si="1950">AD89</f>
        <v>0</v>
      </c>
      <c r="BW89" s="203">
        <f t="shared" ref="BW89" si="1951">AE89</f>
        <v>0</v>
      </c>
      <c r="BX89" s="203">
        <f t="shared" ref="BX89" si="1952">AF89</f>
        <v>0</v>
      </c>
      <c r="BY89" s="203">
        <f t="shared" ref="BY89" si="1953">AQ89+AV89</f>
        <v>0</v>
      </c>
      <c r="BZ89" s="203">
        <f t="shared" si="1776"/>
        <v>101.41777520000002</v>
      </c>
      <c r="CA89" s="203">
        <f t="shared" ref="CA89" si="1954">SUM(BS89:BZ89)-BU89-BW89</f>
        <v>951.87377520000018</v>
      </c>
      <c r="CB89" s="241">
        <f t="shared" si="1778"/>
        <v>0</v>
      </c>
      <c r="CC89" s="242">
        <f t="shared" si="1779"/>
        <v>0</v>
      </c>
      <c r="CD89" s="242">
        <f t="shared" ref="CD89" si="1955">AG89</f>
        <v>0</v>
      </c>
      <c r="CE89" s="242">
        <f t="shared" ref="CE89" si="1956">AH89</f>
        <v>0</v>
      </c>
      <c r="CF89" s="242">
        <f t="shared" ref="CF89" si="1957">AI89</f>
        <v>0</v>
      </c>
      <c r="CG89" s="242">
        <f t="shared" ref="CG89" si="1958">AJ89</f>
        <v>0</v>
      </c>
      <c r="CH89" s="242">
        <f t="shared" ref="CH89" si="1959">AR89+AW89</f>
        <v>0</v>
      </c>
      <c r="CI89" s="703">
        <f t="shared" si="1785"/>
        <v>0</v>
      </c>
      <c r="CJ89" s="242">
        <f t="shared" ref="CJ89" si="1960">SUM(CB89:CI89)-CD89-CF89</f>
        <v>0</v>
      </c>
      <c r="CK89" s="242">
        <f t="shared" ref="CK89" si="1961">(($J89/30)*$M89)*R89</f>
        <v>0</v>
      </c>
      <c r="CL89" s="242">
        <f t="shared" si="1788"/>
        <v>0</v>
      </c>
      <c r="CM89" s="242">
        <f>+AK89</f>
        <v>0</v>
      </c>
      <c r="CN89" s="242">
        <f t="shared" ref="CN89" si="1962">AL89</f>
        <v>0</v>
      </c>
      <c r="CO89" s="242">
        <f t="shared" ref="CO89" si="1963">AM89</f>
        <v>0</v>
      </c>
      <c r="CP89" s="242">
        <f t="shared" ref="CP89" si="1964">AN89</f>
        <v>0</v>
      </c>
      <c r="CQ89" s="242">
        <f t="shared" ref="CQ89" si="1965">AS89+AX89</f>
        <v>0</v>
      </c>
      <c r="CR89" s="242">
        <f t="shared" ref="CR89" si="1966">(CK89+CN89+CP89)*0.1267</f>
        <v>0</v>
      </c>
      <c r="CS89" s="243">
        <f t="shared" ref="CS89" si="1967">SUM(CK89:CR89)-CM89-CO89</f>
        <v>0</v>
      </c>
      <c r="CT89" s="216"/>
      <c r="CU89" s="201" t="s">
        <v>11</v>
      </c>
      <c r="CV89" s="203">
        <f t="shared" si="1796"/>
        <v>0</v>
      </c>
      <c r="CW89" s="203">
        <f t="shared" si="1797"/>
        <v>0</v>
      </c>
      <c r="CX89" s="203">
        <f t="shared" si="1798"/>
        <v>0</v>
      </c>
      <c r="CY89" s="203">
        <f t="shared" si="1799"/>
        <v>0</v>
      </c>
      <c r="CZ89" s="203">
        <f t="shared" si="1800"/>
        <v>0</v>
      </c>
      <c r="DA89" s="203">
        <f t="shared" si="1801"/>
        <v>0</v>
      </c>
      <c r="DB89" s="203">
        <f t="shared" si="1802"/>
        <v>0</v>
      </c>
      <c r="DC89" s="203">
        <f t="shared" ref="DC89" si="1968">IF($CU89="PROQUIMA",$BH89+$BQ89+$BZ89+$CI89+CR89,0)</f>
        <v>0</v>
      </c>
      <c r="DD89" s="203">
        <f t="shared" ref="DD89" si="1969">SUM(CV89:DC89)-CX89-CZ89</f>
        <v>0</v>
      </c>
      <c r="DE89" s="203">
        <f t="shared" si="1805"/>
        <v>0</v>
      </c>
      <c r="DF89" s="203">
        <f t="shared" si="1806"/>
        <v>0</v>
      </c>
      <c r="DG89" s="239">
        <f t="shared" si="1807"/>
        <v>0</v>
      </c>
      <c r="DH89" s="239">
        <f t="shared" si="1808"/>
        <v>0</v>
      </c>
      <c r="DI89" s="239">
        <f t="shared" si="1809"/>
        <v>0</v>
      </c>
      <c r="DJ89" s="203">
        <f t="shared" si="1810"/>
        <v>0</v>
      </c>
      <c r="DK89" s="203">
        <f t="shared" si="1811"/>
        <v>0</v>
      </c>
      <c r="DL89" s="203">
        <f t="shared" si="1812"/>
        <v>0</v>
      </c>
      <c r="DM89" s="203">
        <f t="shared" ref="DM89" si="1970">SUM(DE89:DL89)-DG89-DI89</f>
        <v>0</v>
      </c>
      <c r="DN89" s="210">
        <f t="shared" si="1814"/>
        <v>0</v>
      </c>
      <c r="DO89" s="210">
        <f t="shared" si="1815"/>
        <v>0</v>
      </c>
      <c r="DP89" s="210">
        <f t="shared" si="1816"/>
        <v>0</v>
      </c>
      <c r="DQ89" s="210">
        <f t="shared" si="1817"/>
        <v>0</v>
      </c>
      <c r="DR89" s="210">
        <f t="shared" si="1818"/>
        <v>0</v>
      </c>
      <c r="DS89" s="210">
        <f t="shared" si="1819"/>
        <v>0</v>
      </c>
      <c r="DT89" s="210">
        <f t="shared" si="1820"/>
        <v>0</v>
      </c>
      <c r="DU89" s="210">
        <f t="shared" si="1821"/>
        <v>0</v>
      </c>
      <c r="DV89" s="210">
        <f t="shared" ref="DV89" si="1971">SUM(DN89:DU89)-DP89-DR89</f>
        <v>0</v>
      </c>
      <c r="DW89" s="241">
        <f t="shared" si="1852"/>
        <v>0</v>
      </c>
      <c r="DX89" s="241">
        <f t="shared" si="1823"/>
        <v>0</v>
      </c>
      <c r="DY89" s="241">
        <f t="shared" si="1823"/>
        <v>0</v>
      </c>
      <c r="DZ89" s="241">
        <f t="shared" si="1823"/>
        <v>0</v>
      </c>
      <c r="EA89" s="241">
        <f t="shared" si="1823"/>
        <v>0</v>
      </c>
      <c r="EB89" s="241">
        <f t="shared" si="1823"/>
        <v>0</v>
      </c>
      <c r="EC89" s="241">
        <f t="shared" si="1823"/>
        <v>0</v>
      </c>
      <c r="ED89" s="241">
        <f t="shared" si="1823"/>
        <v>0</v>
      </c>
      <c r="EE89" s="242">
        <f t="shared" ref="EE89" si="1972">SUM(DW89:ED89)-DY89-EA89</f>
        <v>0</v>
      </c>
      <c r="EF89" s="203">
        <f t="shared" ref="EF89" si="1973">IF(CU89="ECONACIONAL",$BA89+$BJ89+$BS89+$CB89+$CK89)</f>
        <v>4002.28</v>
      </c>
      <c r="EG89" s="242">
        <f t="shared" si="1901"/>
        <v>415</v>
      </c>
      <c r="EH89" s="203">
        <f t="shared" ref="EH89" si="1974">IF(CU89="ECONACIONAL",$BC89+$BL89+$BU89+$CD89+$CM89)</f>
        <v>7</v>
      </c>
      <c r="EI89" s="203">
        <f t="shared" ref="EI89" si="1975">IF(CU89="ECONACIONAL",$BD89+$DH89+$DQ89+$DZ89+BM89+BV89+CE89+CN89)</f>
        <v>175.09975</v>
      </c>
      <c r="EJ89" s="242">
        <f t="shared" si="1829"/>
        <v>0</v>
      </c>
      <c r="EK89" s="203">
        <f t="shared" ref="EK89" si="1976">IF(CU89="ECONACIONAL",$BF89+$BO89+$BX89+$CG89+$CP89)</f>
        <v>0</v>
      </c>
      <c r="EL89" s="203">
        <f t="shared" ref="EL89" si="1977">IF(CU89="ECONACIONAL",$BG89+$BP89+$BY89+$CH89+$CQ89)</f>
        <v>0</v>
      </c>
      <c r="EM89" s="203">
        <f t="shared" ref="EM89" si="1978">IF(CU89="ECONACIONAL",BH89+BQ89+BZ89+CI89+CR89)</f>
        <v>529.27401432500005</v>
      </c>
      <c r="EN89" s="203">
        <f t="shared" ref="EN89" si="1979">SUM(EF89:EM89)-EH89-EJ89</f>
        <v>5121.6537643250012</v>
      </c>
      <c r="EO89" s="216"/>
      <c r="EP89" s="201"/>
      <c r="EQ89" s="201"/>
      <c r="ER89" s="201"/>
      <c r="ES89" s="812">
        <f>285.5+380</f>
        <v>665.5</v>
      </c>
      <c r="ET89" s="812"/>
      <c r="EU89" s="200"/>
      <c r="EV89" s="812"/>
      <c r="EW89" s="812"/>
      <c r="EX89" s="812"/>
      <c r="EY89" s="201">
        <f t="shared" ref="EY89" si="1980">+ET89+EU89+EV89</f>
        <v>0</v>
      </c>
      <c r="EZ89" s="216"/>
      <c r="FA89" s="207">
        <f t="shared" ref="FA89" si="1981">IF($M89&lt;=15,EP89/2,EP89)</f>
        <v>0</v>
      </c>
      <c r="FB89" s="207">
        <f t="shared" ref="FB89" si="1982">IF($M89&lt;=15,EQ89/2,EQ89)</f>
        <v>0</v>
      </c>
      <c r="FC89" s="207">
        <f t="shared" ref="FC89" si="1983">IF($M89&lt;=15,ER89/2,ER89)</f>
        <v>0</v>
      </c>
      <c r="FD89" s="207">
        <f t="shared" ref="FD89" si="1984">IF($M89&lt;=15,ES89/2,ES89)</f>
        <v>665.5</v>
      </c>
      <c r="FE89" s="207">
        <f t="shared" ref="FE89" si="1985">IF($M89&lt;=15,ET89/2,ET89)</f>
        <v>0</v>
      </c>
      <c r="FF89" s="207">
        <f t="shared" ref="FF89" si="1986">IF($M89&lt;=15,EU89/2,EU89)</f>
        <v>0</v>
      </c>
      <c r="FG89" s="207">
        <f t="shared" ref="FG89" si="1987">IF($M89&lt;=15,EV89/2,EV89)</f>
        <v>0</v>
      </c>
      <c r="FH89" s="207">
        <f t="shared" ref="FH89" si="1988">IF($M89&lt;=15,EW89/2,EW89)</f>
        <v>0</v>
      </c>
      <c r="FI89" s="207">
        <f t="shared" ref="FI89" si="1989">IF($M89&lt;=15,EX89/2,EX89)</f>
        <v>0</v>
      </c>
      <c r="FJ89" s="207">
        <f t="shared" ref="FJ89" si="1990">IF($M89&lt;=15,EY89/2,EY89)</f>
        <v>0</v>
      </c>
      <c r="FK89" s="217">
        <v>1</v>
      </c>
      <c r="FL89" s="217">
        <v>0</v>
      </c>
      <c r="FM89" s="217">
        <v>0</v>
      </c>
      <c r="FN89" s="217">
        <v>0</v>
      </c>
      <c r="FO89" s="217">
        <v>0</v>
      </c>
      <c r="FP89" s="217">
        <v>1</v>
      </c>
      <c r="FQ89" s="216"/>
      <c r="FR89" s="1177"/>
      <c r="FS89" s="1177"/>
      <c r="FT89" s="1178"/>
      <c r="FU89" s="1177"/>
      <c r="FV89" s="1181"/>
    </row>
    <row r="90" spans="1:184" s="235" customFormat="1" ht="15" customHeight="1" outlineLevel="1">
      <c r="A90" s="1005"/>
      <c r="B90" s="1005"/>
      <c r="C90" s="1006"/>
      <c r="F90" s="268"/>
      <c r="G90" s="199"/>
      <c r="H90" s="200"/>
      <c r="I90" s="200"/>
      <c r="J90" s="203"/>
      <c r="K90" s="836"/>
      <c r="L90" s="836"/>
      <c r="M90" s="203"/>
      <c r="N90" s="204"/>
      <c r="O90" s="204"/>
      <c r="P90" s="204"/>
      <c r="Q90" s="866"/>
      <c r="R90" s="204"/>
      <c r="S90" s="204"/>
      <c r="T90" s="701"/>
      <c r="U90" s="238"/>
      <c r="V90" s="239"/>
      <c r="W90" s="265"/>
      <c r="X90" s="239"/>
      <c r="Y90" s="238"/>
      <c r="Z90" s="239"/>
      <c r="AA90" s="265"/>
      <c r="AB90" s="239"/>
      <c r="AC90" s="265"/>
      <c r="AD90" s="239"/>
      <c r="AE90" s="838"/>
      <c r="AF90" s="239"/>
      <c r="AG90" s="838"/>
      <c r="AH90" s="239"/>
      <c r="AI90" s="838"/>
      <c r="AJ90" s="239"/>
      <c r="AK90" s="239"/>
      <c r="AL90" s="239"/>
      <c r="AM90" s="838"/>
      <c r="AN90" s="239"/>
      <c r="AO90" s="836"/>
      <c r="AP90" s="836"/>
      <c r="AQ90" s="836"/>
      <c r="AR90" s="836"/>
      <c r="AS90" s="836"/>
      <c r="AT90" s="836"/>
      <c r="AU90" s="836"/>
      <c r="AV90" s="836"/>
      <c r="AW90" s="836"/>
      <c r="AX90" s="836"/>
      <c r="AY90" s="836"/>
      <c r="AZ90" s="879"/>
      <c r="BA90" s="239"/>
      <c r="BB90" s="239"/>
      <c r="BC90" s="836"/>
      <c r="BD90" s="239"/>
      <c r="BE90" s="239"/>
      <c r="BF90" s="239"/>
      <c r="BG90" s="239"/>
      <c r="BH90" s="239"/>
      <c r="BI90" s="239"/>
      <c r="BJ90" s="239"/>
      <c r="BK90" s="239"/>
      <c r="BL90" s="239"/>
      <c r="BM90" s="239"/>
      <c r="BN90" s="239"/>
      <c r="BO90" s="239"/>
      <c r="BP90" s="239"/>
      <c r="BQ90" s="239"/>
      <c r="BR90" s="836"/>
      <c r="BS90" s="239"/>
      <c r="BT90" s="239"/>
      <c r="BU90" s="239"/>
      <c r="BV90" s="239"/>
      <c r="BW90" s="239"/>
      <c r="BX90" s="239"/>
      <c r="BY90" s="239"/>
      <c r="BZ90" s="239"/>
      <c r="CA90" s="239"/>
      <c r="CB90" s="874"/>
      <c r="CC90" s="875"/>
      <c r="CD90" s="875"/>
      <c r="CE90" s="875"/>
      <c r="CF90" s="875"/>
      <c r="CG90" s="875"/>
      <c r="CH90" s="875"/>
      <c r="CI90" s="875"/>
      <c r="CJ90" s="875"/>
      <c r="CK90" s="875"/>
      <c r="CL90" s="875"/>
      <c r="CM90" s="875"/>
      <c r="CN90" s="875"/>
      <c r="CO90" s="875"/>
      <c r="CP90" s="875"/>
      <c r="CQ90" s="875"/>
      <c r="CR90" s="875"/>
      <c r="CS90" s="876"/>
      <c r="CU90" s="201"/>
      <c r="CV90" s="203"/>
      <c r="CW90" s="203"/>
      <c r="CX90" s="203"/>
      <c r="CY90" s="203"/>
      <c r="CZ90" s="203"/>
      <c r="DA90" s="203"/>
      <c r="DB90" s="203"/>
      <c r="DC90" s="203"/>
      <c r="DD90" s="203"/>
      <c r="DE90" s="203"/>
      <c r="DF90" s="203"/>
      <c r="DG90" s="239"/>
      <c r="DH90" s="239"/>
      <c r="DI90" s="239"/>
      <c r="DJ90" s="203"/>
      <c r="DK90" s="203"/>
      <c r="DL90" s="203"/>
      <c r="DM90" s="203"/>
      <c r="DN90" s="210"/>
      <c r="DO90" s="210"/>
      <c r="DP90" s="210"/>
      <c r="DQ90" s="210"/>
      <c r="DR90" s="210"/>
      <c r="DS90" s="210"/>
      <c r="DT90" s="210"/>
      <c r="DU90" s="210"/>
      <c r="DV90" s="210"/>
      <c r="DW90" s="241"/>
      <c r="DX90" s="241"/>
      <c r="DY90" s="241"/>
      <c r="DZ90" s="241"/>
      <c r="EA90" s="241"/>
      <c r="EB90" s="241"/>
      <c r="EC90" s="241"/>
      <c r="ED90" s="241"/>
      <c r="EE90" s="242"/>
      <c r="EF90" s="203"/>
      <c r="EG90" s="242"/>
      <c r="EH90" s="203"/>
      <c r="EI90" s="203"/>
      <c r="EJ90" s="242"/>
      <c r="EK90" s="203"/>
      <c r="EL90" s="203"/>
      <c r="EM90" s="203"/>
      <c r="EN90" s="203"/>
      <c r="EP90" s="200"/>
      <c r="EQ90" s="200"/>
      <c r="ER90" s="200"/>
      <c r="ES90" s="200"/>
      <c r="ET90" s="201"/>
      <c r="EU90" s="200"/>
      <c r="EV90" s="200"/>
      <c r="EW90" s="200"/>
      <c r="EX90" s="200"/>
      <c r="EY90" s="201"/>
      <c r="FA90" s="207"/>
      <c r="FB90" s="207"/>
      <c r="FC90" s="207"/>
      <c r="FD90" s="207"/>
      <c r="FE90" s="207"/>
      <c r="FF90" s="207"/>
      <c r="FG90" s="207"/>
      <c r="FH90" s="207"/>
      <c r="FI90" s="207"/>
      <c r="FJ90" s="207"/>
      <c r="FK90" s="217"/>
      <c r="FL90" s="217"/>
      <c r="FM90" s="217"/>
      <c r="FN90" s="217"/>
      <c r="FO90" s="217"/>
      <c r="FP90" s="217"/>
      <c r="FQ90" s="216"/>
      <c r="FR90" s="1184"/>
      <c r="FS90" s="1184"/>
      <c r="FT90" s="1185"/>
      <c r="FU90" s="1184"/>
      <c r="FV90" s="1186"/>
    </row>
    <row r="91" spans="1:184" s="216" customFormat="1" ht="15" customHeight="1" outlineLevel="1">
      <c r="A91" s="1005" t="s">
        <v>52</v>
      </c>
      <c r="B91" s="1005" t="s">
        <v>52</v>
      </c>
      <c r="C91" s="1006" t="s">
        <v>52</v>
      </c>
      <c r="D91" s="235"/>
      <c r="E91" s="235"/>
      <c r="F91" s="268" t="s">
        <v>52</v>
      </c>
      <c r="G91" s="955"/>
      <c r="H91" s="820" t="s">
        <v>657</v>
      </c>
      <c r="J91" s="868">
        <f>SUM(J86:J90)</f>
        <v>17004.560000000001</v>
      </c>
      <c r="K91" s="868">
        <f>SUM(K86:K90)</f>
        <v>1352.28</v>
      </c>
      <c r="L91" s="868">
        <f>SUM(L86:L90)</f>
        <v>18356.84</v>
      </c>
      <c r="M91" s="801"/>
      <c r="N91" s="870"/>
      <c r="O91" s="957"/>
      <c r="P91" s="957"/>
      <c r="Q91" s="958"/>
      <c r="R91" s="958"/>
      <c r="S91" s="957"/>
      <c r="T91" s="701"/>
      <c r="U91" s="868">
        <f t="shared" ref="U91:AZ91" si="1991">SUM(U86:U90)</f>
        <v>17</v>
      </c>
      <c r="V91" s="868">
        <f t="shared" si="1991"/>
        <v>471.90350000000001</v>
      </c>
      <c r="W91" s="868">
        <f t="shared" si="1991"/>
        <v>0</v>
      </c>
      <c r="X91" s="868">
        <f t="shared" si="1991"/>
        <v>0</v>
      </c>
      <c r="Y91" s="868">
        <f t="shared" si="1991"/>
        <v>7</v>
      </c>
      <c r="Z91" s="868">
        <f t="shared" si="1991"/>
        <v>175.09975</v>
      </c>
      <c r="AA91" s="868">
        <f t="shared" si="1991"/>
        <v>0</v>
      </c>
      <c r="AB91" s="868">
        <f t="shared" si="1991"/>
        <v>0</v>
      </c>
      <c r="AC91" s="868">
        <f t="shared" si="1991"/>
        <v>0</v>
      </c>
      <c r="AD91" s="868">
        <f t="shared" si="1991"/>
        <v>0</v>
      </c>
      <c r="AE91" s="868">
        <f t="shared" si="1991"/>
        <v>0</v>
      </c>
      <c r="AF91" s="868">
        <f t="shared" si="1991"/>
        <v>0</v>
      </c>
      <c r="AG91" s="868">
        <f t="shared" si="1991"/>
        <v>0</v>
      </c>
      <c r="AH91" s="868">
        <f t="shared" si="1991"/>
        <v>0</v>
      </c>
      <c r="AI91" s="868">
        <f t="shared" si="1991"/>
        <v>0</v>
      </c>
      <c r="AJ91" s="868">
        <f t="shared" si="1991"/>
        <v>0</v>
      </c>
      <c r="AK91" s="868">
        <f t="shared" si="1991"/>
        <v>0</v>
      </c>
      <c r="AL91" s="868">
        <f t="shared" si="1991"/>
        <v>0</v>
      </c>
      <c r="AM91" s="868">
        <f t="shared" si="1991"/>
        <v>0</v>
      </c>
      <c r="AN91" s="868">
        <f t="shared" si="1991"/>
        <v>0</v>
      </c>
      <c r="AO91" s="868">
        <f t="shared" si="1991"/>
        <v>0</v>
      </c>
      <c r="AP91" s="868">
        <f t="shared" si="1991"/>
        <v>0</v>
      </c>
      <c r="AQ91" s="868">
        <f t="shared" si="1991"/>
        <v>0</v>
      </c>
      <c r="AR91" s="868">
        <f t="shared" si="1991"/>
        <v>0</v>
      </c>
      <c r="AS91" s="868">
        <f t="shared" si="1991"/>
        <v>0</v>
      </c>
      <c r="AT91" s="868">
        <f t="shared" si="1991"/>
        <v>0</v>
      </c>
      <c r="AU91" s="868">
        <f t="shared" si="1991"/>
        <v>0</v>
      </c>
      <c r="AV91" s="868">
        <f t="shared" si="1991"/>
        <v>0</v>
      </c>
      <c r="AW91" s="868">
        <f t="shared" si="1991"/>
        <v>0</v>
      </c>
      <c r="AX91" s="868">
        <f t="shared" si="1991"/>
        <v>0</v>
      </c>
      <c r="AY91" s="868">
        <f t="shared" si="1991"/>
        <v>0</v>
      </c>
      <c r="AZ91" s="868">
        <f t="shared" si="1991"/>
        <v>0</v>
      </c>
      <c r="BA91" s="868">
        <f t="shared" ref="BA91:BS91" si="1992">SUM(BA86:BA90)</f>
        <v>7812.2800000000007</v>
      </c>
      <c r="BB91" s="868">
        <f t="shared" si="1992"/>
        <v>1261.2233333333334</v>
      </c>
      <c r="BC91" s="868">
        <f t="shared" si="1992"/>
        <v>17</v>
      </c>
      <c r="BD91" s="868">
        <f t="shared" si="1992"/>
        <v>471.90350000000001</v>
      </c>
      <c r="BE91" s="868">
        <f t="shared" si="1992"/>
        <v>0</v>
      </c>
      <c r="BF91" s="868">
        <f t="shared" si="1992"/>
        <v>0</v>
      </c>
      <c r="BG91" s="868">
        <f t="shared" si="1992"/>
        <v>0</v>
      </c>
      <c r="BH91" s="868">
        <f t="shared" si="1992"/>
        <v>1049.6060494500002</v>
      </c>
      <c r="BI91" s="868">
        <f t="shared" si="1992"/>
        <v>10595.012882783332</v>
      </c>
      <c r="BJ91" s="868">
        <f t="shared" si="1992"/>
        <v>5311.3680000000004</v>
      </c>
      <c r="BK91" s="868">
        <f t="shared" si="1992"/>
        <v>2500.7673333333332</v>
      </c>
      <c r="BL91" s="868">
        <f t="shared" si="1992"/>
        <v>7</v>
      </c>
      <c r="BM91" s="868">
        <f t="shared" si="1992"/>
        <v>175.09975</v>
      </c>
      <c r="BN91" s="868">
        <f t="shared" si="1992"/>
        <v>0</v>
      </c>
      <c r="BO91" s="868">
        <f t="shared" si="1992"/>
        <v>0</v>
      </c>
      <c r="BP91" s="868">
        <f t="shared" si="1992"/>
        <v>0</v>
      </c>
      <c r="BQ91" s="868">
        <f t="shared" si="1992"/>
        <v>695.13546392499995</v>
      </c>
      <c r="BR91" s="868">
        <f t="shared" si="1992"/>
        <v>8682.3705472583333</v>
      </c>
      <c r="BS91" s="868">
        <f t="shared" si="1992"/>
        <v>3280.9120000000003</v>
      </c>
      <c r="BT91" s="868">
        <f>SUM(BT86:BT90)</f>
        <v>261.1226666666667</v>
      </c>
      <c r="BU91" s="868">
        <f t="shared" ref="BU91:EF91" si="1993">SUM(BU86:BU90)</f>
        <v>0</v>
      </c>
      <c r="BV91" s="868">
        <f t="shared" si="1993"/>
        <v>0</v>
      </c>
      <c r="BW91" s="868">
        <f t="shared" si="1993"/>
        <v>0</v>
      </c>
      <c r="BX91" s="868">
        <f t="shared" si="1993"/>
        <v>0</v>
      </c>
      <c r="BY91" s="868">
        <f t="shared" si="1993"/>
        <v>0</v>
      </c>
      <c r="BZ91" s="868">
        <f t="shared" si="1993"/>
        <v>415.6915504000001</v>
      </c>
      <c r="CA91" s="868">
        <f t="shared" si="1993"/>
        <v>3957.7262170666672</v>
      </c>
      <c r="CB91" s="868">
        <f t="shared" si="1993"/>
        <v>0</v>
      </c>
      <c r="CC91" s="868">
        <f t="shared" si="1993"/>
        <v>0</v>
      </c>
      <c r="CD91" s="868">
        <f t="shared" si="1993"/>
        <v>0</v>
      </c>
      <c r="CE91" s="868">
        <f t="shared" si="1993"/>
        <v>0</v>
      </c>
      <c r="CF91" s="868">
        <f t="shared" si="1993"/>
        <v>0</v>
      </c>
      <c r="CG91" s="868">
        <f t="shared" si="1993"/>
        <v>0</v>
      </c>
      <c r="CH91" s="868">
        <f t="shared" si="1993"/>
        <v>0</v>
      </c>
      <c r="CI91" s="868">
        <f t="shared" si="1993"/>
        <v>0</v>
      </c>
      <c r="CJ91" s="868">
        <f t="shared" si="1993"/>
        <v>0</v>
      </c>
      <c r="CK91" s="868">
        <f t="shared" si="1993"/>
        <v>0</v>
      </c>
      <c r="CL91" s="868">
        <f t="shared" si="1993"/>
        <v>0</v>
      </c>
      <c r="CM91" s="868">
        <f t="shared" si="1993"/>
        <v>0</v>
      </c>
      <c r="CN91" s="868">
        <f t="shared" si="1993"/>
        <v>0</v>
      </c>
      <c r="CO91" s="868">
        <f t="shared" si="1993"/>
        <v>0</v>
      </c>
      <c r="CP91" s="868">
        <f t="shared" si="1993"/>
        <v>0</v>
      </c>
      <c r="CQ91" s="868">
        <f t="shared" si="1993"/>
        <v>0</v>
      </c>
      <c r="CR91" s="868">
        <f t="shared" si="1993"/>
        <v>0</v>
      </c>
      <c r="CS91" s="868">
        <f t="shared" si="1993"/>
        <v>0</v>
      </c>
      <c r="CT91" s="868">
        <f t="shared" si="1993"/>
        <v>0</v>
      </c>
      <c r="CU91" s="868">
        <f t="shared" si="1993"/>
        <v>0</v>
      </c>
      <c r="CV91" s="868">
        <f t="shared" si="1993"/>
        <v>0</v>
      </c>
      <c r="CW91" s="868">
        <f t="shared" si="1993"/>
        <v>0</v>
      </c>
      <c r="CX91" s="868">
        <f t="shared" si="1993"/>
        <v>0</v>
      </c>
      <c r="CY91" s="868">
        <f t="shared" si="1993"/>
        <v>0</v>
      </c>
      <c r="CZ91" s="868">
        <f t="shared" si="1993"/>
        <v>0</v>
      </c>
      <c r="DA91" s="868">
        <f t="shared" si="1993"/>
        <v>0</v>
      </c>
      <c r="DB91" s="868">
        <f t="shared" si="1993"/>
        <v>0</v>
      </c>
      <c r="DC91" s="868">
        <f t="shared" si="1993"/>
        <v>0</v>
      </c>
      <c r="DD91" s="868">
        <f t="shared" si="1993"/>
        <v>0</v>
      </c>
      <c r="DE91" s="868">
        <f t="shared" si="1993"/>
        <v>0</v>
      </c>
      <c r="DF91" s="868">
        <f t="shared" si="1993"/>
        <v>0</v>
      </c>
      <c r="DG91" s="868">
        <f t="shared" si="1993"/>
        <v>0</v>
      </c>
      <c r="DH91" s="868">
        <f t="shared" si="1993"/>
        <v>0</v>
      </c>
      <c r="DI91" s="868">
        <f t="shared" si="1993"/>
        <v>0</v>
      </c>
      <c r="DJ91" s="868">
        <f t="shared" si="1993"/>
        <v>0</v>
      </c>
      <c r="DK91" s="868">
        <f t="shared" si="1993"/>
        <v>0</v>
      </c>
      <c r="DL91" s="868">
        <f t="shared" si="1993"/>
        <v>0</v>
      </c>
      <c r="DM91" s="868">
        <f t="shared" si="1993"/>
        <v>0</v>
      </c>
      <c r="DN91" s="868">
        <f t="shared" si="1993"/>
        <v>0</v>
      </c>
      <c r="DO91" s="868">
        <f t="shared" si="1993"/>
        <v>0</v>
      </c>
      <c r="DP91" s="868">
        <f t="shared" si="1993"/>
        <v>0</v>
      </c>
      <c r="DQ91" s="868">
        <f t="shared" si="1993"/>
        <v>0</v>
      </c>
      <c r="DR91" s="868">
        <f t="shared" si="1993"/>
        <v>0</v>
      </c>
      <c r="DS91" s="868">
        <f t="shared" si="1993"/>
        <v>0</v>
      </c>
      <c r="DT91" s="868">
        <f t="shared" si="1993"/>
        <v>0</v>
      </c>
      <c r="DU91" s="868">
        <f t="shared" si="1993"/>
        <v>0</v>
      </c>
      <c r="DV91" s="868">
        <f t="shared" si="1993"/>
        <v>0</v>
      </c>
      <c r="DW91" s="868">
        <f t="shared" si="1993"/>
        <v>0</v>
      </c>
      <c r="DX91" s="868">
        <f t="shared" si="1993"/>
        <v>0</v>
      </c>
      <c r="DY91" s="868">
        <f t="shared" si="1993"/>
        <v>0</v>
      </c>
      <c r="DZ91" s="868">
        <f t="shared" si="1993"/>
        <v>0</v>
      </c>
      <c r="EA91" s="868">
        <f t="shared" si="1993"/>
        <v>0</v>
      </c>
      <c r="EB91" s="868">
        <f t="shared" si="1993"/>
        <v>0</v>
      </c>
      <c r="EC91" s="868">
        <f t="shared" si="1993"/>
        <v>0</v>
      </c>
      <c r="ED91" s="868">
        <f t="shared" si="1993"/>
        <v>0</v>
      </c>
      <c r="EE91" s="868">
        <f t="shared" si="1993"/>
        <v>0</v>
      </c>
      <c r="EF91" s="868">
        <f t="shared" si="1993"/>
        <v>16404.560000000001</v>
      </c>
      <c r="EG91" s="868">
        <f t="shared" ref="EG91:GB91" si="1994">SUM(EG86:EG90)</f>
        <v>4023.1133333333337</v>
      </c>
      <c r="EH91" s="868">
        <f t="shared" si="1994"/>
        <v>24</v>
      </c>
      <c r="EI91" s="868">
        <f t="shared" si="1994"/>
        <v>647.00324999999998</v>
      </c>
      <c r="EJ91" s="868">
        <f t="shared" si="1994"/>
        <v>0</v>
      </c>
      <c r="EK91" s="868">
        <f t="shared" si="1994"/>
        <v>0</v>
      </c>
      <c r="EL91" s="868">
        <f t="shared" si="1994"/>
        <v>0</v>
      </c>
      <c r="EM91" s="868">
        <f t="shared" si="1994"/>
        <v>2160.4330637749999</v>
      </c>
      <c r="EN91" s="868">
        <f t="shared" si="1994"/>
        <v>23235.109647108337</v>
      </c>
      <c r="EO91" s="868">
        <f t="shared" si="1994"/>
        <v>0</v>
      </c>
      <c r="EP91" s="868">
        <f t="shared" si="1994"/>
        <v>508</v>
      </c>
      <c r="EQ91" s="868">
        <f t="shared" si="1994"/>
        <v>0</v>
      </c>
      <c r="ER91" s="868">
        <f t="shared" si="1994"/>
        <v>650</v>
      </c>
      <c r="ES91" s="868">
        <f t="shared" si="1994"/>
        <v>1230.5</v>
      </c>
      <c r="ET91" s="868">
        <f t="shared" si="1994"/>
        <v>0</v>
      </c>
      <c r="EU91" s="868">
        <f t="shared" si="1994"/>
        <v>0</v>
      </c>
      <c r="EV91" s="868">
        <f t="shared" si="1994"/>
        <v>0</v>
      </c>
      <c r="EW91" s="868">
        <f t="shared" si="1994"/>
        <v>0</v>
      </c>
      <c r="EX91" s="868">
        <f t="shared" si="1994"/>
        <v>0</v>
      </c>
      <c r="EY91" s="868">
        <f t="shared" si="1994"/>
        <v>0</v>
      </c>
      <c r="EZ91" s="868">
        <f t="shared" si="1994"/>
        <v>0</v>
      </c>
      <c r="FA91" s="868">
        <f t="shared" si="1994"/>
        <v>508</v>
      </c>
      <c r="FB91" s="868">
        <f t="shared" si="1994"/>
        <v>0</v>
      </c>
      <c r="FC91" s="868">
        <f t="shared" si="1994"/>
        <v>650</v>
      </c>
      <c r="FD91" s="868">
        <f t="shared" si="1994"/>
        <v>1230.5</v>
      </c>
      <c r="FE91" s="868">
        <f t="shared" si="1994"/>
        <v>0</v>
      </c>
      <c r="FF91" s="868">
        <f t="shared" si="1994"/>
        <v>0</v>
      </c>
      <c r="FG91" s="868">
        <f t="shared" si="1994"/>
        <v>0</v>
      </c>
      <c r="FH91" s="868">
        <f t="shared" si="1994"/>
        <v>0</v>
      </c>
      <c r="FI91" s="868">
        <f t="shared" si="1994"/>
        <v>0</v>
      </c>
      <c r="FJ91" s="868">
        <f t="shared" si="1994"/>
        <v>0</v>
      </c>
      <c r="FK91" s="868">
        <f t="shared" si="1994"/>
        <v>1.4</v>
      </c>
      <c r="FL91" s="868">
        <f t="shared" si="1994"/>
        <v>0.4</v>
      </c>
      <c r="FM91" s="868">
        <f t="shared" si="1994"/>
        <v>0.2</v>
      </c>
      <c r="FN91" s="868">
        <f t="shared" si="1994"/>
        <v>0</v>
      </c>
      <c r="FO91" s="868">
        <f t="shared" si="1994"/>
        <v>0</v>
      </c>
      <c r="FP91" s="868">
        <f t="shared" si="1994"/>
        <v>2</v>
      </c>
      <c r="FQ91" s="868">
        <f t="shared" si="1994"/>
        <v>0</v>
      </c>
      <c r="FR91" s="868">
        <f t="shared" si="1994"/>
        <v>0</v>
      </c>
      <c r="FS91" s="868">
        <f t="shared" si="1994"/>
        <v>0</v>
      </c>
      <c r="FT91" s="868">
        <f t="shared" si="1994"/>
        <v>0</v>
      </c>
      <c r="FU91" s="868">
        <f t="shared" si="1994"/>
        <v>0</v>
      </c>
      <c r="FV91" s="868">
        <f t="shared" si="1994"/>
        <v>-1723</v>
      </c>
      <c r="FW91" s="868">
        <f t="shared" si="1994"/>
        <v>0</v>
      </c>
      <c r="FX91" s="868">
        <f t="shared" si="1994"/>
        <v>0</v>
      </c>
      <c r="FY91" s="868">
        <f t="shared" si="1994"/>
        <v>0</v>
      </c>
      <c r="FZ91" s="868">
        <f t="shared" si="1994"/>
        <v>0</v>
      </c>
      <c r="GA91" s="868">
        <f t="shared" si="1994"/>
        <v>0</v>
      </c>
      <c r="GB91" s="868">
        <f t="shared" si="1994"/>
        <v>0</v>
      </c>
    </row>
    <row r="92" spans="1:184" s="216" customFormat="1" ht="15" customHeight="1" outlineLevel="1">
      <c r="A92" s="1005" t="str">
        <f>$G$4</f>
        <v>JUNIO  2026 2da QUINCENA</v>
      </c>
      <c r="B92" s="1005">
        <f>+$G$5</f>
        <v>2026</v>
      </c>
      <c r="C92" s="1006" t="str">
        <f t="shared" si="1564"/>
        <v>JUNIO  2026 2da QUINCENA2026</v>
      </c>
      <c r="D92" s="235"/>
      <c r="E92" s="235">
        <v>302030</v>
      </c>
      <c r="F92" s="268"/>
      <c r="G92" s="975" t="s">
        <v>645</v>
      </c>
      <c r="H92" s="235"/>
      <c r="J92" s="801"/>
      <c r="K92" s="801"/>
      <c r="L92" s="801"/>
      <c r="M92" s="801"/>
      <c r="N92" s="870"/>
      <c r="O92" s="957"/>
      <c r="P92" s="957"/>
      <c r="Q92" s="958"/>
      <c r="R92" s="958"/>
      <c r="S92" s="957"/>
      <c r="T92" s="701"/>
      <c r="U92" s="959"/>
      <c r="V92" s="801"/>
      <c r="W92" s="960"/>
      <c r="X92" s="801"/>
      <c r="Y92" s="960"/>
      <c r="Z92" s="801"/>
      <c r="AA92" s="960"/>
      <c r="AB92" s="880"/>
      <c r="AC92" s="960"/>
      <c r="AD92" s="801"/>
      <c r="AE92" s="961"/>
      <c r="AF92" s="801"/>
      <c r="AG92" s="972"/>
      <c r="AH92" s="801"/>
      <c r="AI92" s="973"/>
      <c r="AJ92" s="801"/>
      <c r="AK92" s="823"/>
      <c r="AL92" s="823"/>
      <c r="AM92" s="973"/>
      <c r="AN92" s="823"/>
      <c r="AO92" s="827"/>
      <c r="AP92" s="827"/>
      <c r="AQ92" s="827"/>
      <c r="AR92" s="827"/>
      <c r="AS92" s="827"/>
      <c r="AT92" s="827"/>
      <c r="AU92" s="827"/>
      <c r="AV92" s="827"/>
      <c r="AW92" s="827"/>
      <c r="AX92" s="827"/>
      <c r="AY92" s="860"/>
      <c r="AZ92" s="966"/>
      <c r="BA92" s="801"/>
      <c r="BB92" s="880"/>
      <c r="BC92" s="801"/>
      <c r="BD92" s="801"/>
      <c r="BE92" s="801"/>
      <c r="BF92" s="801"/>
      <c r="BG92" s="801"/>
      <c r="BH92" s="801"/>
      <c r="BI92" s="801"/>
      <c r="BJ92" s="801"/>
      <c r="BK92" s="801"/>
      <c r="BL92" s="801"/>
      <c r="BM92" s="801"/>
      <c r="BN92" s="801"/>
      <c r="BO92" s="801"/>
      <c r="BP92" s="801"/>
      <c r="BQ92" s="801"/>
      <c r="BR92" s="860"/>
      <c r="BS92" s="801"/>
      <c r="BT92" s="801"/>
      <c r="BU92" s="801"/>
      <c r="BV92" s="801"/>
      <c r="BW92" s="801"/>
      <c r="BX92" s="801"/>
      <c r="BY92" s="801"/>
      <c r="BZ92" s="801"/>
      <c r="CA92" s="801"/>
      <c r="CB92" s="801"/>
      <c r="CC92" s="801"/>
      <c r="CD92" s="801"/>
      <c r="CE92" s="801"/>
      <c r="CF92" s="801"/>
      <c r="CG92" s="801"/>
      <c r="CH92" s="801"/>
      <c r="CI92" s="801"/>
      <c r="CJ92" s="801"/>
      <c r="CK92" s="823"/>
      <c r="CL92" s="823"/>
      <c r="CM92" s="823"/>
      <c r="CN92" s="823"/>
      <c r="CO92" s="823"/>
      <c r="CP92" s="823"/>
      <c r="CQ92" s="823"/>
      <c r="CR92" s="823"/>
      <c r="CS92" s="823"/>
      <c r="CV92" s="801"/>
      <c r="CW92" s="801"/>
      <c r="CX92" s="801"/>
      <c r="CY92" s="801"/>
      <c r="CZ92" s="801"/>
      <c r="DA92" s="801"/>
      <c r="DB92" s="801"/>
      <c r="DC92" s="801"/>
      <c r="DD92" s="801"/>
      <c r="DE92" s="801"/>
      <c r="DF92" s="801"/>
      <c r="DG92" s="801"/>
      <c r="DH92" s="801"/>
      <c r="DI92" s="801"/>
      <c r="DJ92" s="801"/>
      <c r="DK92" s="801"/>
      <c r="DL92" s="801"/>
      <c r="DM92" s="801"/>
      <c r="DN92" s="823"/>
      <c r="DO92" s="823"/>
      <c r="DP92" s="823"/>
      <c r="DQ92" s="823"/>
      <c r="DR92" s="823"/>
      <c r="DS92" s="823"/>
      <c r="DT92" s="823"/>
      <c r="DU92" s="823"/>
      <c r="DV92" s="823"/>
      <c r="DW92" s="823"/>
      <c r="DX92" s="823"/>
      <c r="DY92" s="823"/>
      <c r="DZ92" s="823"/>
      <c r="EA92" s="823"/>
      <c r="EB92" s="823"/>
      <c r="EC92" s="823"/>
      <c r="ED92" s="823"/>
      <c r="EE92" s="823"/>
      <c r="EF92" s="823"/>
      <c r="EG92" s="823"/>
      <c r="EH92" s="823"/>
      <c r="EI92" s="823"/>
      <c r="EJ92" s="823"/>
      <c r="EK92" s="823"/>
      <c r="EL92" s="823"/>
      <c r="EM92" s="823"/>
      <c r="EN92" s="823"/>
      <c r="EX92" s="820"/>
      <c r="EY92" s="960"/>
      <c r="FA92" s="960"/>
      <c r="FB92" s="960"/>
      <c r="FC92" s="960"/>
      <c r="FD92" s="960"/>
      <c r="FE92" s="960"/>
      <c r="FF92" s="960"/>
      <c r="FG92" s="960"/>
      <c r="FH92" s="960"/>
      <c r="FI92" s="960"/>
      <c r="FJ92" s="960"/>
      <c r="FK92" s="968"/>
      <c r="FL92" s="968"/>
      <c r="FM92" s="968"/>
      <c r="FN92" s="968"/>
      <c r="FO92" s="968"/>
      <c r="FP92" s="974"/>
    </row>
    <row r="93" spans="1:184" s="235" customFormat="1" ht="15" customHeight="1" outlineLevel="1">
      <c r="A93" s="1005"/>
      <c r="B93" s="1005"/>
      <c r="C93" s="1006"/>
      <c r="E93" s="235">
        <v>302030</v>
      </c>
      <c r="F93" s="268"/>
      <c r="G93" s="199" t="s">
        <v>744</v>
      </c>
      <c r="H93" s="200" t="s">
        <v>107</v>
      </c>
      <c r="I93" s="200" t="s">
        <v>11</v>
      </c>
      <c r="J93" s="203">
        <v>4002.28</v>
      </c>
      <c r="K93" s="836">
        <v>250</v>
      </c>
      <c r="L93" s="836">
        <f t="shared" ref="L93" si="1995">+J93+K93</f>
        <v>4252.2800000000007</v>
      </c>
      <c r="M93" s="203">
        <v>27</v>
      </c>
      <c r="N93" s="204">
        <v>0.5</v>
      </c>
      <c r="O93" s="204">
        <v>0.25</v>
      </c>
      <c r="P93" s="204">
        <v>0.25</v>
      </c>
      <c r="Q93" s="866">
        <v>0</v>
      </c>
      <c r="R93" s="204">
        <v>0</v>
      </c>
      <c r="S93" s="204">
        <f t="shared" ref="S93:S96" si="1996">SUM(N93:R93)</f>
        <v>1</v>
      </c>
      <c r="T93" s="701" t="s">
        <v>779</v>
      </c>
      <c r="U93" s="238"/>
      <c r="V93" s="239">
        <f t="shared" ref="V93" si="1997">($J93/30/8*1.5)*U93</f>
        <v>0</v>
      </c>
      <c r="W93" s="265"/>
      <c r="X93" s="239">
        <f t="shared" ref="X93" si="1998">($J93/30/8*2)*W93</f>
        <v>0</v>
      </c>
      <c r="Y93" s="238">
        <v>34</v>
      </c>
      <c r="Z93" s="239">
        <f t="shared" ref="Z93" si="1999">($J93/30/8*1.5)*Y93</f>
        <v>850.48450000000003</v>
      </c>
      <c r="AA93" s="265"/>
      <c r="AB93" s="239">
        <f t="shared" ref="AB93" si="2000">($J93/30/8*2)*AA93</f>
        <v>0</v>
      </c>
      <c r="AC93" s="265"/>
      <c r="AD93" s="239">
        <f t="shared" ref="AD93" si="2001">(($J93/30/8)*1.5)*AC93</f>
        <v>0</v>
      </c>
      <c r="AE93" s="838"/>
      <c r="AF93" s="239">
        <f t="shared" ref="AF93" si="2002">(($J93/30/8)*2)*AE93</f>
        <v>0</v>
      </c>
      <c r="AG93" s="838"/>
      <c r="AH93" s="239">
        <f t="shared" ref="AH93" si="2003">(($J93/30/8)*1.5)*AG93</f>
        <v>0</v>
      </c>
      <c r="AI93" s="838"/>
      <c r="AJ93" s="239">
        <f t="shared" ref="AJ93" si="2004">(($J93/30/8)*2)*AI93</f>
        <v>0</v>
      </c>
      <c r="AK93" s="239"/>
      <c r="AL93" s="239">
        <f t="shared" ref="AL93" si="2005">(($J93/30/8)*1.5)*AK93</f>
        <v>0</v>
      </c>
      <c r="AM93" s="838"/>
      <c r="AN93" s="239">
        <f t="shared" ref="AN93" si="2006">(($J93/30/8)*2)*AM93</f>
        <v>0</v>
      </c>
      <c r="AO93" s="836"/>
      <c r="AP93" s="836"/>
      <c r="AQ93" s="836"/>
      <c r="AR93" s="836"/>
      <c r="AS93" s="836"/>
      <c r="AT93" s="836"/>
      <c r="AU93" s="836"/>
      <c r="AV93" s="836"/>
      <c r="AW93" s="836"/>
      <c r="AX93" s="836"/>
      <c r="AY93" s="836"/>
      <c r="AZ93" s="879"/>
      <c r="BA93" s="239">
        <f t="shared" ref="BA93" si="2007">((J93/30)*M93)*$N93</f>
        <v>1801.0260000000001</v>
      </c>
      <c r="BB93" s="239">
        <f>((K93/30)*M93)*$N93+75</f>
        <v>187.5</v>
      </c>
      <c r="BC93" s="836">
        <f t="shared" ref="BC93" si="2008">U93</f>
        <v>0</v>
      </c>
      <c r="BD93" s="239">
        <f t="shared" ref="BD93" si="2009">V93</f>
        <v>0</v>
      </c>
      <c r="BE93" s="239">
        <f t="shared" ref="BE93" si="2010">W93</f>
        <v>0</v>
      </c>
      <c r="BF93" s="239">
        <f t="shared" ref="BF93" si="2011">X93</f>
        <v>0</v>
      </c>
      <c r="BG93" s="239">
        <f t="shared" ref="BG93" si="2012">AO93+AT93</f>
        <v>0</v>
      </c>
      <c r="BH93" s="203">
        <f t="shared" ref="BH93:BH96" si="2013">(BA93+BD93+BF93+BG93)*0.1267</f>
        <v>228.18999420000003</v>
      </c>
      <c r="BI93" s="239">
        <f t="shared" ref="BI93" si="2014">SUM(BA93:BH93)-BC93-BE93</f>
        <v>2216.7159942000003</v>
      </c>
      <c r="BJ93" s="239">
        <f t="shared" ref="BJ93:BJ96" si="2015">(($J93/30)*$M93)*$O93</f>
        <v>900.51300000000003</v>
      </c>
      <c r="BK93" s="239">
        <f>(($K93/30)*$M93)*$O93+75+480</f>
        <v>611.25</v>
      </c>
      <c r="BL93" s="239">
        <f t="shared" ref="BL93" si="2016">Y93</f>
        <v>34</v>
      </c>
      <c r="BM93" s="239">
        <f t="shared" ref="BM93" si="2017">Z93</f>
        <v>850.48450000000003</v>
      </c>
      <c r="BN93" s="239">
        <f t="shared" ref="BN93" si="2018">AA93</f>
        <v>0</v>
      </c>
      <c r="BO93" s="239">
        <f t="shared" ref="BO93" si="2019">AB93</f>
        <v>0</v>
      </c>
      <c r="BP93" s="239">
        <f t="shared" ref="BP93" si="2020">AP93+AU93</f>
        <v>0</v>
      </c>
      <c r="BQ93" s="203">
        <f t="shared" ref="BQ93:BQ96" si="2021">(+BJ93+BM93+BO93+BP93)*0.1267</f>
        <v>221.85138325</v>
      </c>
      <c r="BR93" s="836">
        <f t="shared" ref="BR93" si="2022">SUM(BJ93:BQ93)-BL93-BN93</f>
        <v>2584.0988832499997</v>
      </c>
      <c r="BS93" s="239">
        <f t="shared" ref="BS93:BS96" si="2023">(($J93/30)*$M93)*$P93</f>
        <v>900.51300000000003</v>
      </c>
      <c r="BT93" s="239">
        <f>(($K93/30)*$M93)*$P93</f>
        <v>56.250000000000007</v>
      </c>
      <c r="BU93" s="239">
        <f t="shared" ref="BU93" si="2024">AC93</f>
        <v>0</v>
      </c>
      <c r="BV93" s="239">
        <f t="shared" ref="BV93" si="2025">AD93</f>
        <v>0</v>
      </c>
      <c r="BW93" s="239">
        <f t="shared" ref="BW93" si="2026">AE93</f>
        <v>0</v>
      </c>
      <c r="BX93" s="239">
        <f t="shared" ref="BX93" si="2027">AF93</f>
        <v>0</v>
      </c>
      <c r="BY93" s="239">
        <f t="shared" ref="BY93" si="2028">AQ93+AV93</f>
        <v>0</v>
      </c>
      <c r="BZ93" s="203">
        <f t="shared" ref="BZ93:BZ96" si="2029">(BS93+BV93+BX93+BY93)*0.1267</f>
        <v>114.09499710000001</v>
      </c>
      <c r="CA93" s="239">
        <f t="shared" ref="CA93" si="2030">SUM(BS93:BZ93)-BU93-BW93</f>
        <v>1070.8579971000001</v>
      </c>
      <c r="CB93" s="874">
        <f t="shared" ref="CB93:CB96" si="2031">(($J93/30)*$M93)*$Q93</f>
        <v>0</v>
      </c>
      <c r="CC93" s="875">
        <f t="shared" ref="CC93:CC96" si="2032">(($K93/30)*$M93)*$Q93</f>
        <v>0</v>
      </c>
      <c r="CD93" s="875">
        <f t="shared" ref="CD93" si="2033">AG93</f>
        <v>0</v>
      </c>
      <c r="CE93" s="875">
        <f t="shared" ref="CE93" si="2034">AH93</f>
        <v>0</v>
      </c>
      <c r="CF93" s="875">
        <f t="shared" ref="CF93" si="2035">AI93</f>
        <v>0</v>
      </c>
      <c r="CG93" s="875">
        <f t="shared" ref="CG93" si="2036">AJ93</f>
        <v>0</v>
      </c>
      <c r="CH93" s="875">
        <f t="shared" ref="CH93" si="2037">AR93+AW93</f>
        <v>0</v>
      </c>
      <c r="CI93" s="703">
        <f t="shared" ref="CI93:CI96" si="2038">(CB93+CE93+CG93+CH93)*0.1267</f>
        <v>0</v>
      </c>
      <c r="CJ93" s="875">
        <f t="shared" ref="CJ93" si="2039">SUM(CB93:CI93)-CD93-CF93</f>
        <v>0</v>
      </c>
      <c r="CK93" s="875">
        <f t="shared" ref="CK93" si="2040">(($J93/30)*$M93)*R93</f>
        <v>0</v>
      </c>
      <c r="CL93" s="875">
        <f t="shared" ref="CL93:CL96" si="2041">(($K93/30)*$M93)*$R93</f>
        <v>0</v>
      </c>
      <c r="CM93" s="875">
        <f t="shared" ref="CM93" si="2042">+AK93</f>
        <v>0</v>
      </c>
      <c r="CN93" s="875">
        <f t="shared" ref="CN93" si="2043">AL93</f>
        <v>0</v>
      </c>
      <c r="CO93" s="875">
        <f t="shared" ref="CO93" si="2044">AM93</f>
        <v>0</v>
      </c>
      <c r="CP93" s="875">
        <f t="shared" ref="CP93" si="2045">AN93</f>
        <v>0</v>
      </c>
      <c r="CQ93" s="875">
        <f t="shared" ref="CQ93" si="2046">AS93+AX93</f>
        <v>0</v>
      </c>
      <c r="CR93" s="875">
        <f t="shared" ref="CR93" si="2047">(CK93+CN93+CP93)*0.1267</f>
        <v>0</v>
      </c>
      <c r="CS93" s="876">
        <f t="shared" ref="CS93" si="2048">SUM(CK93:CR93)-CM93-CO93</f>
        <v>0</v>
      </c>
      <c r="CU93" s="201" t="s">
        <v>11</v>
      </c>
      <c r="CV93" s="203">
        <f t="shared" ref="CV93:CV96" si="2049">IF($CU93="PROQUIMA",$BA93+$BJ93+$BS93+$CB93+$CK93,0)</f>
        <v>0</v>
      </c>
      <c r="CW93" s="203">
        <f t="shared" ref="CW93:CW96" si="2050">IF($CU93="PROQUIMA",$BB93+$BK93+$BT93+$CC93+$CL93,0)</f>
        <v>0</v>
      </c>
      <c r="CX93" s="203">
        <f t="shared" ref="CX93:CX96" si="2051">IF($CU93="PROQUIMA",$BC93+$BL93+$BU93+$CD93+$CM93,0)</f>
        <v>0</v>
      </c>
      <c r="CY93" s="203">
        <f t="shared" ref="CY93:CY96" si="2052">IF($CU93="PROQUIMA",$BD93+$BM93+$BV93+$CE93+$CN93,0)</f>
        <v>0</v>
      </c>
      <c r="CZ93" s="203">
        <f t="shared" ref="CZ93:CZ96" si="2053">IF($CU93="PROQUIMA",$BE93+$BN93+$BW93+$CF93+$CO93,0)</f>
        <v>0</v>
      </c>
      <c r="DA93" s="203">
        <f t="shared" ref="DA93:DA96" si="2054">IF($CU93="PROQUIMA",$BF93+$BO93+$BX93+$CG93+$CP93,0)</f>
        <v>0</v>
      </c>
      <c r="DB93" s="203">
        <f t="shared" ref="DB93:DB96" si="2055">IF($CU93="PROQUIMA",$BG93+$BP93+$BY93+$CH93+$CQ93,0)</f>
        <v>0</v>
      </c>
      <c r="DC93" s="203">
        <f t="shared" ref="DC93" si="2056">IF($CU93="PROQUIMA",$BH93+$BQ93+$BZ93+$CI93+CR93,0)</f>
        <v>0</v>
      </c>
      <c r="DD93" s="203">
        <f t="shared" ref="DD93" si="2057">SUM(CV93:DC93)-CX93-CZ93</f>
        <v>0</v>
      </c>
      <c r="DE93" s="203">
        <f t="shared" ref="DE93:DE96" si="2058">IF($CU93="UNHESA",$BA93+$BJ93+$BS93+$CB93+$CK93,0)</f>
        <v>0</v>
      </c>
      <c r="DF93" s="203">
        <f t="shared" ref="DF93:DF96" si="2059">IF($CU93="UNHESA",$BB93+$BK93+$BT93+$CC93+$CL93,0)</f>
        <v>0</v>
      </c>
      <c r="DG93" s="239">
        <f t="shared" ref="DG93:DG96" si="2060">IF($CU93="UNHESA",$BC93+$BL93+$BU93+$CD93+$CM93,0)</f>
        <v>0</v>
      </c>
      <c r="DH93" s="239">
        <f t="shared" ref="DH93:DH96" si="2061">IF($CU93="UNHESA",$BD93+$BM93+$BV93+$CE93+$CN93,0)</f>
        <v>0</v>
      </c>
      <c r="DI93" s="239">
        <f t="shared" ref="DI93:DI96" si="2062">IF($CU93="UNHESA",$BE93+$BN93+$BW93+$CF93+$CO93,0)</f>
        <v>0</v>
      </c>
      <c r="DJ93" s="203">
        <f t="shared" ref="DJ93:DJ96" si="2063">IF($CU93="UNHESA",$BF93+$BO93+$BX93+$CG93+$CP93,0)</f>
        <v>0</v>
      </c>
      <c r="DK93" s="203">
        <f t="shared" ref="DK93:DK96" si="2064">IF($CU93="UNHESA",$BG93+$BP93+$BY93+$CH93+$CQ93,0)</f>
        <v>0</v>
      </c>
      <c r="DL93" s="203">
        <f t="shared" ref="DL93:DL96" si="2065">IF($CU93="UNHESA",$BH93+$BQ93+$BZ93+$CI93+$CR93,0)</f>
        <v>0</v>
      </c>
      <c r="DM93" s="203">
        <f t="shared" ref="DM93" si="2066">SUM(DE93:DL93)-DG93-DI93</f>
        <v>0</v>
      </c>
      <c r="DN93" s="210">
        <f t="shared" ref="DN93:DN96" si="2067">IF($CU93="UNHESA LIQUIDOS",$BA93+$BJ93+$BS93+$CB93+$CK93,0)</f>
        <v>0</v>
      </c>
      <c r="DO93" s="210">
        <f t="shared" ref="DO93:DO96" si="2068">IF($CU93="UNHESA LIQUIDOS",$BB93+$BK93+$BT93+$CC93+$CL93,0)</f>
        <v>0</v>
      </c>
      <c r="DP93" s="210">
        <f t="shared" ref="DP93:DP96" si="2069">IF($CU93="UNHESA LIQUIDOS",$BC93+$BL93+$BU93+$CD93+$CM93,0)</f>
        <v>0</v>
      </c>
      <c r="DQ93" s="210">
        <f t="shared" ref="DQ93:DQ96" si="2070">IF($CU93="UNHESA LIQUIDOS",$BD93+$BM93+$BV93+$CE93+$CN93,0)</f>
        <v>0</v>
      </c>
      <c r="DR93" s="210">
        <f t="shared" ref="DR93:DR96" si="2071">IF($CU93="UNHESA LIQUIDOS",$BE93+$BN93+$BW93+$CF93+$CO93,0)</f>
        <v>0</v>
      </c>
      <c r="DS93" s="210">
        <f t="shared" ref="DS93:DS96" si="2072">IF($CU93="UNHESA LIQUIDOS",$BF93+$BO93+$BX93+$CG93+$CP93,0)</f>
        <v>0</v>
      </c>
      <c r="DT93" s="210">
        <f t="shared" ref="DT93:DT96" si="2073">IF($CU93="UNHESA LIQUIDOS",$BG93+$BP93+$BY93+$CH93+$CQ93,0)</f>
        <v>0</v>
      </c>
      <c r="DU93" s="210">
        <f t="shared" ref="DU93:DU96" si="2074">IF($CU93="UNHESA LIQUIDOS",$BH93+$BQ93+$BZ93+$CI93+$CR93,0)</f>
        <v>0</v>
      </c>
      <c r="DV93" s="210">
        <f t="shared" ref="DV93" si="2075">SUM(DN93:DU93)-DP93-DR93</f>
        <v>0</v>
      </c>
      <c r="DW93" s="241">
        <f>IF($CU93="CLEARTEC",$BA93+$BJ93+$BS93+$CB93+$CK93,0)</f>
        <v>0</v>
      </c>
      <c r="DX93" s="241">
        <f t="shared" ref="DX93:ED96" si="2076">IF($CU93="CLEARTEC",$BA93+$BJ93+$BS93+$CB93+$CK93,0)</f>
        <v>0</v>
      </c>
      <c r="DY93" s="241">
        <f t="shared" si="2076"/>
        <v>0</v>
      </c>
      <c r="DZ93" s="241">
        <f t="shared" si="2076"/>
        <v>0</v>
      </c>
      <c r="EA93" s="241">
        <f t="shared" si="2076"/>
        <v>0</v>
      </c>
      <c r="EB93" s="241">
        <f t="shared" si="2076"/>
        <v>0</v>
      </c>
      <c r="EC93" s="241">
        <f t="shared" si="2076"/>
        <v>0</v>
      </c>
      <c r="ED93" s="241">
        <f t="shared" si="2076"/>
        <v>0</v>
      </c>
      <c r="EE93" s="242">
        <f t="shared" ref="EE93" si="2077">SUM(DW93:ED93)-DY93-EA93</f>
        <v>0</v>
      </c>
      <c r="EF93" s="203">
        <f t="shared" ref="EF93" si="2078">IF(CU93="ECONACIONAL",$BA93+$BJ93+$BS93+$CB93+$CK93)</f>
        <v>3602.0520000000001</v>
      </c>
      <c r="EG93" s="242">
        <f t="shared" ref="EG93:EG96" si="2079">IF($CU93="ECONACIONAL",$BB93+$BK93+$BT93+$CC93+$CL93,0)</f>
        <v>855</v>
      </c>
      <c r="EH93" s="203">
        <f t="shared" ref="EH93" si="2080">IF(CU93="ECONACIONAL",$BC93+$BL93+$BU93+$CD93+$CM93)</f>
        <v>34</v>
      </c>
      <c r="EI93" s="203">
        <f t="shared" ref="EI93" si="2081">IF(CU93="ECONACIONAL",$BD93+$DH93+$DQ93+$DZ93+BM93+BV93+CE93+CN93)</f>
        <v>850.48450000000003</v>
      </c>
      <c r="EJ93" s="242">
        <f t="shared" ref="EJ93:EJ96" si="2082">IF($CU93="CLEARTEC",$BE93+$BN93+$BW93+$CF93+$CO93,0)</f>
        <v>0</v>
      </c>
      <c r="EK93" s="203">
        <f t="shared" ref="EK93" si="2083">IF(CU93="ECONACIONAL",$BF93+$BO93+$BX93+$CG93+$CP93)</f>
        <v>0</v>
      </c>
      <c r="EL93" s="203">
        <f t="shared" ref="EL93" si="2084">IF(CU93="ECONACIONAL",$BG93+$BP93+$BY93+$CH93+$CQ93)</f>
        <v>0</v>
      </c>
      <c r="EM93" s="203">
        <f t="shared" ref="EM93" si="2085">IF(CU93="ECONACIONAL",BH93+BQ93+BZ93+CI93+CR93)</f>
        <v>564.13637455000003</v>
      </c>
      <c r="EN93" s="203">
        <f t="shared" ref="EN93" si="2086">SUM(EF93:EM93)-EH93-EJ93</f>
        <v>5871.6728745500004</v>
      </c>
      <c r="EP93" s="200"/>
      <c r="EQ93" s="200"/>
      <c r="ER93" s="200"/>
      <c r="ES93" s="200">
        <f>773+973.5</f>
        <v>1746.5</v>
      </c>
      <c r="ET93" s="200"/>
      <c r="EU93" s="200"/>
      <c r="EV93" s="201"/>
      <c r="EW93" s="201"/>
      <c r="EX93" s="201"/>
      <c r="EY93" s="201">
        <f t="shared" ref="EY93" si="2087">+ET93+EU93+EV93</f>
        <v>0</v>
      </c>
      <c r="FA93" s="207">
        <f t="shared" ref="FA93" si="2088">IF($M93&lt;=15,EP93/2,EP93)</f>
        <v>0</v>
      </c>
      <c r="FB93" s="207">
        <f t="shared" ref="FB93" si="2089">IF($M93&lt;=15,EQ93/2,EQ93)</f>
        <v>0</v>
      </c>
      <c r="FC93" s="207">
        <f t="shared" ref="FC93" si="2090">IF($M93&lt;=15,ER93/2,ER93)</f>
        <v>0</v>
      </c>
      <c r="FD93" s="207">
        <f t="shared" ref="FD93" si="2091">IF($M93&lt;=15,ES93/2,ES93)</f>
        <v>1746.5</v>
      </c>
      <c r="FE93" s="207">
        <f t="shared" ref="FE93" si="2092">IF($M93&lt;=15,ET93/2,ET93)</f>
        <v>0</v>
      </c>
      <c r="FF93" s="207">
        <f t="shared" ref="FF93" si="2093">IF($M93&lt;=15,EU93/2,EU93)</f>
        <v>0</v>
      </c>
      <c r="FG93" s="207">
        <f t="shared" ref="FG93" si="2094">IF($M93&lt;=15,EV93/2,EV93)</f>
        <v>0</v>
      </c>
      <c r="FH93" s="207">
        <f t="shared" ref="FH93" si="2095">IF($M93&lt;=15,EW93/2,EW93)</f>
        <v>0</v>
      </c>
      <c r="FI93" s="207">
        <f t="shared" ref="FI93" si="2096">IF($M93&lt;=15,EX93/2,EX93)</f>
        <v>0</v>
      </c>
      <c r="FJ93" s="207">
        <f t="shared" ref="FJ93" si="2097">IF($M93&lt;=15,EY93/2,EY93)</f>
        <v>0</v>
      </c>
      <c r="FK93" s="217"/>
      <c r="FL93" s="217"/>
      <c r="FM93" s="217"/>
      <c r="FN93" s="217"/>
      <c r="FO93" s="217"/>
      <c r="FP93" s="217"/>
      <c r="FQ93" s="216"/>
      <c r="FR93" s="1177">
        <f t="shared" ref="FR93" si="2098">(((J93/30/8)*1.5)*(U93+Y93+AC93))-(BD93+BM93+BV93)</f>
        <v>0</v>
      </c>
      <c r="FS93" s="1177">
        <f t="shared" ref="FS93" si="2099">(((J93/30/8)*2)*(W93+AA93+AE93))-(BF93+BO93+BX93)</f>
        <v>0</v>
      </c>
      <c r="FT93" s="1178">
        <f t="shared" ref="FT93" si="2100">(SUM(BA93:CJ93))-(SUM(EF93:EN93))</f>
        <v>0</v>
      </c>
      <c r="FU93" s="1177">
        <f t="shared" ref="FU93" si="2101">(J93/30*M93)-(EF93)</f>
        <v>0</v>
      </c>
      <c r="FV93" s="1181">
        <f t="shared" ref="FV93" si="2102">(SUM(EP93:EY93))-((SUM(FA93:FJ93))*$FV$5)</f>
        <v>-1746.5</v>
      </c>
    </row>
    <row r="94" spans="1:184" s="235" customFormat="1" ht="15" customHeight="1" outlineLevel="1">
      <c r="A94" s="1005"/>
      <c r="B94" s="1005"/>
      <c r="C94" s="1006"/>
      <c r="E94" s="235">
        <v>302030</v>
      </c>
      <c r="F94" s="268"/>
      <c r="G94" s="199" t="s">
        <v>767</v>
      </c>
      <c r="H94" s="200" t="s">
        <v>107</v>
      </c>
      <c r="I94" s="200" t="s">
        <v>11</v>
      </c>
      <c r="J94" s="203">
        <v>4002.28</v>
      </c>
      <c r="K94" s="836">
        <v>250</v>
      </c>
      <c r="L94" s="836">
        <f t="shared" ref="L94" si="2103">+J94+K94</f>
        <v>4252.2800000000007</v>
      </c>
      <c r="M94" s="203">
        <v>30</v>
      </c>
      <c r="N94" s="204">
        <v>0.5</v>
      </c>
      <c r="O94" s="204">
        <v>0.5</v>
      </c>
      <c r="P94" s="204">
        <v>0</v>
      </c>
      <c r="Q94" s="866">
        <v>0</v>
      </c>
      <c r="R94" s="204">
        <v>0</v>
      </c>
      <c r="S94" s="204">
        <f t="shared" ref="S94" si="2104">SUM(N94:R94)</f>
        <v>1</v>
      </c>
      <c r="T94" s="701" t="s">
        <v>768</v>
      </c>
      <c r="U94" s="238">
        <v>1</v>
      </c>
      <c r="V94" s="239">
        <f t="shared" ref="V94" si="2105">($J94/30/8*1.5)*U94</f>
        <v>25.014250000000001</v>
      </c>
      <c r="W94" s="265"/>
      <c r="X94" s="239">
        <f t="shared" ref="X94" si="2106">($J94/30/8*2)*W94</f>
        <v>0</v>
      </c>
      <c r="Y94" s="238">
        <v>45</v>
      </c>
      <c r="Z94" s="239">
        <f t="shared" ref="Z94" si="2107">($J94/30/8*1.5)*Y94</f>
        <v>1125.6412500000001</v>
      </c>
      <c r="AA94" s="265"/>
      <c r="AB94" s="239">
        <f t="shared" ref="AB94" si="2108">($J94/30/8*2)*AA94</f>
        <v>0</v>
      </c>
      <c r="AC94" s="265"/>
      <c r="AD94" s="239">
        <f t="shared" ref="AD94" si="2109">(($J94/30/8)*1.5)*AC94</f>
        <v>0</v>
      </c>
      <c r="AE94" s="838"/>
      <c r="AF94" s="239">
        <f t="shared" ref="AF94" si="2110">(($J94/30/8)*2)*AE94</f>
        <v>0</v>
      </c>
      <c r="AG94" s="838"/>
      <c r="AH94" s="239">
        <f t="shared" ref="AH94" si="2111">(($J94/30/8)*1.5)*AG94</f>
        <v>0</v>
      </c>
      <c r="AI94" s="838"/>
      <c r="AJ94" s="239">
        <f t="shared" ref="AJ94" si="2112">(($J94/30/8)*2)*AI94</f>
        <v>0</v>
      </c>
      <c r="AK94" s="239"/>
      <c r="AL94" s="239">
        <f t="shared" ref="AL94" si="2113">(($J94/30/8)*1.5)*AK94</f>
        <v>0</v>
      </c>
      <c r="AM94" s="838"/>
      <c r="AN94" s="239">
        <f t="shared" ref="AN94" si="2114">(($J94/30/8)*2)*AM94</f>
        <v>0</v>
      </c>
      <c r="AO94" s="836"/>
      <c r="AP94" s="836"/>
      <c r="AQ94" s="836"/>
      <c r="AR94" s="836"/>
      <c r="AS94" s="836"/>
      <c r="AT94" s="836"/>
      <c r="AU94" s="836"/>
      <c r="AV94" s="836"/>
      <c r="AW94" s="836"/>
      <c r="AX94" s="836"/>
      <c r="AY94" s="836"/>
      <c r="AZ94" s="879"/>
      <c r="BA94" s="239">
        <f t="shared" ref="BA94" si="2115">((J94/30)*M94)*$N94</f>
        <v>2001.14</v>
      </c>
      <c r="BB94" s="239">
        <f>((K94/30)*M94)*$N94+80</f>
        <v>205</v>
      </c>
      <c r="BC94" s="836">
        <f t="shared" ref="BC94" si="2116">U94</f>
        <v>1</v>
      </c>
      <c r="BD94" s="239">
        <f t="shared" ref="BD94" si="2117">V94</f>
        <v>25.014250000000001</v>
      </c>
      <c r="BE94" s="239">
        <f t="shared" ref="BE94" si="2118">W94</f>
        <v>0</v>
      </c>
      <c r="BF94" s="239">
        <f t="shared" ref="BF94" si="2119">X94</f>
        <v>0</v>
      </c>
      <c r="BG94" s="239">
        <f t="shared" ref="BG94" si="2120">AO94+AT94</f>
        <v>0</v>
      </c>
      <c r="BH94" s="203">
        <f t="shared" ref="BH94" si="2121">(BA94+BD94+BF94+BG94)*0.1267</f>
        <v>256.713743475</v>
      </c>
      <c r="BI94" s="239">
        <f t="shared" ref="BI94" si="2122">SUM(BA94:BH94)-BC94-BE94</f>
        <v>2487.8679934750007</v>
      </c>
      <c r="BJ94" s="239">
        <f t="shared" si="2015"/>
        <v>2001.14</v>
      </c>
      <c r="BK94" s="239">
        <f>(($K94/30)*$M94)*$O94+80+720</f>
        <v>925</v>
      </c>
      <c r="BL94" s="239">
        <f t="shared" ref="BL94" si="2123">Y94</f>
        <v>45</v>
      </c>
      <c r="BM94" s="239">
        <f t="shared" ref="BM94" si="2124">Z94</f>
        <v>1125.6412500000001</v>
      </c>
      <c r="BN94" s="239">
        <f t="shared" ref="BN94" si="2125">AA94</f>
        <v>0</v>
      </c>
      <c r="BO94" s="239">
        <f t="shared" ref="BO94" si="2126">AB94</f>
        <v>0</v>
      </c>
      <c r="BP94" s="239">
        <f t="shared" ref="BP94" si="2127">AP94+AU94</f>
        <v>0</v>
      </c>
      <c r="BQ94" s="203">
        <f t="shared" ref="BQ94" si="2128">(+BJ94+BM94+BO94+BP94)*0.1267</f>
        <v>396.16318437500001</v>
      </c>
      <c r="BR94" s="836">
        <f t="shared" ref="BR94" si="2129">SUM(BJ94:BQ94)-BL94-BN94</f>
        <v>4447.9444343750001</v>
      </c>
      <c r="BS94" s="239">
        <f t="shared" si="2023"/>
        <v>0</v>
      </c>
      <c r="BT94" s="239">
        <f>(($K94/30)*$M94)*$P94</f>
        <v>0</v>
      </c>
      <c r="BU94" s="239">
        <f t="shared" ref="BU94" si="2130">AC94</f>
        <v>0</v>
      </c>
      <c r="BV94" s="239">
        <f t="shared" ref="BV94" si="2131">AD94</f>
        <v>0</v>
      </c>
      <c r="BW94" s="239">
        <f t="shared" ref="BW94" si="2132">AE94</f>
        <v>0</v>
      </c>
      <c r="BX94" s="239">
        <f t="shared" ref="BX94" si="2133">AF94</f>
        <v>0</v>
      </c>
      <c r="BY94" s="239">
        <f t="shared" ref="BY94" si="2134">AQ94+AV94</f>
        <v>0</v>
      </c>
      <c r="BZ94" s="203">
        <f t="shared" ref="BZ94" si="2135">(BS94+BV94+BX94+BY94)*0.1267</f>
        <v>0</v>
      </c>
      <c r="CA94" s="239">
        <f t="shared" ref="CA94" si="2136">SUM(BS94:BZ94)-BU94-BW94</f>
        <v>0</v>
      </c>
      <c r="CB94" s="874">
        <f t="shared" si="2031"/>
        <v>0</v>
      </c>
      <c r="CC94" s="875">
        <f t="shared" si="2032"/>
        <v>0</v>
      </c>
      <c r="CD94" s="875">
        <f t="shared" ref="CD94" si="2137">AG94</f>
        <v>0</v>
      </c>
      <c r="CE94" s="875">
        <f t="shared" ref="CE94" si="2138">AH94</f>
        <v>0</v>
      </c>
      <c r="CF94" s="875">
        <f t="shared" ref="CF94" si="2139">AI94</f>
        <v>0</v>
      </c>
      <c r="CG94" s="875">
        <f t="shared" ref="CG94" si="2140">AJ94</f>
        <v>0</v>
      </c>
      <c r="CH94" s="875">
        <f t="shared" ref="CH94" si="2141">AR94+AW94</f>
        <v>0</v>
      </c>
      <c r="CI94" s="703">
        <f t="shared" ref="CI94" si="2142">(CB94+CE94+CG94+CH94)*0.1267</f>
        <v>0</v>
      </c>
      <c r="CJ94" s="875">
        <f t="shared" ref="CJ94" si="2143">SUM(CB94:CI94)-CD94-CF94</f>
        <v>0</v>
      </c>
      <c r="CK94" s="875">
        <f t="shared" ref="CK94" si="2144">(($J94/30)*$M94)*R94</f>
        <v>0</v>
      </c>
      <c r="CL94" s="875">
        <f t="shared" si="2041"/>
        <v>0</v>
      </c>
      <c r="CM94" s="875">
        <f t="shared" ref="CM94" si="2145">+AK94</f>
        <v>0</v>
      </c>
      <c r="CN94" s="875">
        <f t="shared" ref="CN94" si="2146">AL94</f>
        <v>0</v>
      </c>
      <c r="CO94" s="875">
        <f t="shared" ref="CO94" si="2147">AM94</f>
        <v>0</v>
      </c>
      <c r="CP94" s="875">
        <f t="shared" ref="CP94" si="2148">AN94</f>
        <v>0</v>
      </c>
      <c r="CQ94" s="875">
        <f t="shared" ref="CQ94" si="2149">AS94+AX94</f>
        <v>0</v>
      </c>
      <c r="CR94" s="875">
        <f t="shared" ref="CR94" si="2150">(CK94+CN94+CP94)*0.1267</f>
        <v>0</v>
      </c>
      <c r="CS94" s="876">
        <f t="shared" ref="CS94" si="2151">SUM(CK94:CR94)-CM94-CO94</f>
        <v>0</v>
      </c>
      <c r="CU94" s="201" t="s">
        <v>11</v>
      </c>
      <c r="CV94" s="203">
        <f t="shared" si="2049"/>
        <v>0</v>
      </c>
      <c r="CW94" s="203">
        <f t="shared" si="2050"/>
        <v>0</v>
      </c>
      <c r="CX94" s="203">
        <f t="shared" si="2051"/>
        <v>0</v>
      </c>
      <c r="CY94" s="203">
        <f t="shared" si="2052"/>
        <v>0</v>
      </c>
      <c r="CZ94" s="203">
        <f t="shared" si="2053"/>
        <v>0</v>
      </c>
      <c r="DA94" s="203">
        <f t="shared" si="2054"/>
        <v>0</v>
      </c>
      <c r="DB94" s="203">
        <f t="shared" si="2055"/>
        <v>0</v>
      </c>
      <c r="DC94" s="203">
        <f t="shared" ref="DC94" si="2152">IF($CU94="PROQUIMA",$BH94+$BQ94+$BZ94+$CI94+CR94,0)</f>
        <v>0</v>
      </c>
      <c r="DD94" s="203">
        <f t="shared" ref="DD94" si="2153">SUM(CV94:DC94)-CX94-CZ94</f>
        <v>0</v>
      </c>
      <c r="DE94" s="203">
        <f t="shared" si="2058"/>
        <v>0</v>
      </c>
      <c r="DF94" s="203">
        <f t="shared" si="2059"/>
        <v>0</v>
      </c>
      <c r="DG94" s="239">
        <f t="shared" si="2060"/>
        <v>0</v>
      </c>
      <c r="DH94" s="239">
        <f t="shared" si="2061"/>
        <v>0</v>
      </c>
      <c r="DI94" s="239">
        <f t="shared" si="2062"/>
        <v>0</v>
      </c>
      <c r="DJ94" s="203">
        <f t="shared" si="2063"/>
        <v>0</v>
      </c>
      <c r="DK94" s="203">
        <f t="shared" si="2064"/>
        <v>0</v>
      </c>
      <c r="DL94" s="203">
        <f t="shared" si="2065"/>
        <v>0</v>
      </c>
      <c r="DM94" s="203">
        <f t="shared" ref="DM94" si="2154">SUM(DE94:DL94)-DG94-DI94</f>
        <v>0</v>
      </c>
      <c r="DN94" s="210">
        <f t="shared" si="2067"/>
        <v>0</v>
      </c>
      <c r="DO94" s="210">
        <f t="shared" si="2068"/>
        <v>0</v>
      </c>
      <c r="DP94" s="210">
        <f t="shared" si="2069"/>
        <v>0</v>
      </c>
      <c r="DQ94" s="210">
        <f t="shared" si="2070"/>
        <v>0</v>
      </c>
      <c r="DR94" s="210">
        <f t="shared" si="2071"/>
        <v>0</v>
      </c>
      <c r="DS94" s="210">
        <f t="shared" si="2072"/>
        <v>0</v>
      </c>
      <c r="DT94" s="210">
        <f t="shared" si="2073"/>
        <v>0</v>
      </c>
      <c r="DU94" s="210">
        <f t="shared" si="2074"/>
        <v>0</v>
      </c>
      <c r="DV94" s="210">
        <f t="shared" ref="DV94" si="2155">SUM(DN94:DU94)-DP94-DR94</f>
        <v>0</v>
      </c>
      <c r="DW94" s="241">
        <f>IF($CU94="CLEARTEC",$BA94+$BJ94+$BS94+$CB94+$CK94,0)</f>
        <v>0</v>
      </c>
      <c r="DX94" s="241">
        <f t="shared" si="2076"/>
        <v>0</v>
      </c>
      <c r="DY94" s="241">
        <f t="shared" si="2076"/>
        <v>0</v>
      </c>
      <c r="DZ94" s="241">
        <f t="shared" si="2076"/>
        <v>0</v>
      </c>
      <c r="EA94" s="241">
        <f t="shared" si="2076"/>
        <v>0</v>
      </c>
      <c r="EB94" s="241">
        <f t="shared" si="2076"/>
        <v>0</v>
      </c>
      <c r="EC94" s="241">
        <f t="shared" si="2076"/>
        <v>0</v>
      </c>
      <c r="ED94" s="241">
        <f t="shared" si="2076"/>
        <v>0</v>
      </c>
      <c r="EE94" s="242">
        <f t="shared" ref="EE94" si="2156">SUM(DW94:ED94)-DY94-EA94</f>
        <v>0</v>
      </c>
      <c r="EF94" s="203">
        <f t="shared" ref="EF94" si="2157">IF(CU94="ECONACIONAL",$BA94+$BJ94+$BS94+$CB94+$CK94)</f>
        <v>4002.28</v>
      </c>
      <c r="EG94" s="242">
        <f t="shared" si="2079"/>
        <v>1130</v>
      </c>
      <c r="EH94" s="203">
        <f t="shared" ref="EH94" si="2158">IF(CU94="ECONACIONAL",$BC94+$BL94+$BU94+$CD94+$CM94)</f>
        <v>46</v>
      </c>
      <c r="EI94" s="203">
        <f t="shared" ref="EI94" si="2159">IF(CU94="ECONACIONAL",$BD94+$DH94+$DQ94+$DZ94+BM94+BV94+CE94+CN94)</f>
        <v>1150.6555000000001</v>
      </c>
      <c r="EJ94" s="242">
        <f t="shared" si="2082"/>
        <v>0</v>
      </c>
      <c r="EK94" s="203">
        <f t="shared" ref="EK94" si="2160">IF(CU94="ECONACIONAL",$BF94+$BO94+$BX94+$CG94+$CP94)</f>
        <v>0</v>
      </c>
      <c r="EL94" s="203">
        <f t="shared" ref="EL94" si="2161">IF(CU94="ECONACIONAL",$BG94+$BP94+$BY94+$CH94+$CQ94)</f>
        <v>0</v>
      </c>
      <c r="EM94" s="203">
        <f t="shared" ref="EM94" si="2162">IF(CU94="ECONACIONAL",BH94+BQ94+BZ94+CI94+CR94)</f>
        <v>652.87692785000002</v>
      </c>
      <c r="EN94" s="203">
        <f t="shared" ref="EN94" si="2163">SUM(EF94:EM94)-EH94-EJ94</f>
        <v>6935.8124278500009</v>
      </c>
      <c r="EP94" s="200"/>
      <c r="EQ94" s="200"/>
      <c r="ER94" s="200"/>
      <c r="ES94" s="200"/>
      <c r="ET94" s="200"/>
      <c r="EU94" s="200"/>
      <c r="EV94" s="201"/>
      <c r="EW94" s="201"/>
      <c r="EX94" s="201"/>
      <c r="EY94" s="201">
        <f t="shared" ref="EY94" si="2164">+ET94+EU94+EV94</f>
        <v>0</v>
      </c>
      <c r="FA94" s="207">
        <f t="shared" ref="FA94" si="2165">IF($M94&lt;=15,EP94/2,EP94)</f>
        <v>0</v>
      </c>
      <c r="FB94" s="207">
        <f t="shared" ref="FB94" si="2166">IF($M94&lt;=15,EQ94/2,EQ94)</f>
        <v>0</v>
      </c>
      <c r="FC94" s="207">
        <f t="shared" ref="FC94" si="2167">IF($M94&lt;=15,ER94/2,ER94)</f>
        <v>0</v>
      </c>
      <c r="FD94" s="207">
        <f t="shared" ref="FD94" si="2168">IF($M94&lt;=15,ES94/2,ES94)</f>
        <v>0</v>
      </c>
      <c r="FE94" s="207">
        <f t="shared" ref="FE94" si="2169">IF($M94&lt;=15,ET94/2,ET94)</f>
        <v>0</v>
      </c>
      <c r="FF94" s="207">
        <f t="shared" ref="FF94" si="2170">IF($M94&lt;=15,EU94/2,EU94)</f>
        <v>0</v>
      </c>
      <c r="FG94" s="207">
        <f t="shared" ref="FG94" si="2171">IF($M94&lt;=15,EV94/2,EV94)</f>
        <v>0</v>
      </c>
      <c r="FH94" s="207">
        <f t="shared" ref="FH94" si="2172">IF($M94&lt;=15,EW94/2,EW94)</f>
        <v>0</v>
      </c>
      <c r="FI94" s="207">
        <f t="shared" ref="FI94" si="2173">IF($M94&lt;=15,EX94/2,EX94)</f>
        <v>0</v>
      </c>
      <c r="FJ94" s="207">
        <f t="shared" ref="FJ94" si="2174">IF($M94&lt;=15,EY94/2,EY94)</f>
        <v>0</v>
      </c>
      <c r="FK94" s="217"/>
      <c r="FL94" s="217"/>
      <c r="FM94" s="217"/>
      <c r="FN94" s="217"/>
      <c r="FO94" s="217"/>
      <c r="FP94" s="217"/>
      <c r="FQ94" s="216"/>
      <c r="FR94" s="1177">
        <f t="shared" ref="FR94" si="2175">(((J94/30/8)*1.5)*(U94+Y94+AC94))-(BD94+BM94+BV94)</f>
        <v>0</v>
      </c>
      <c r="FS94" s="1177">
        <f t="shared" ref="FS94" si="2176">(((J94/30/8)*2)*(W94+AA94+AE94))-(BF94+BO94+BX94)</f>
        <v>0</v>
      </c>
      <c r="FT94" s="1178">
        <f t="shared" ref="FT94" si="2177">(SUM(BA94:CJ94))-(SUM(EF94:EN94))</f>
        <v>0</v>
      </c>
      <c r="FU94" s="1177">
        <f t="shared" ref="FU94" si="2178">(J94/30*M94)-(EF94)</f>
        <v>0</v>
      </c>
      <c r="FV94" s="1181">
        <f t="shared" ref="FV94" si="2179">(SUM(EP94:EY94))-((SUM(FA94:FJ94))*$FV$5)</f>
        <v>0</v>
      </c>
    </row>
    <row r="95" spans="1:184" s="235" customFormat="1" ht="15" customHeight="1" outlineLevel="1">
      <c r="A95" s="1005"/>
      <c r="B95" s="1005"/>
      <c r="C95" s="1006"/>
      <c r="E95" s="235">
        <v>302030</v>
      </c>
      <c r="F95" s="268">
        <f>+F93+1</f>
        <v>1</v>
      </c>
      <c r="G95" s="199" t="s">
        <v>428</v>
      </c>
      <c r="H95" s="200" t="s">
        <v>716</v>
      </c>
      <c r="I95" s="200" t="s">
        <v>11</v>
      </c>
      <c r="J95" s="203">
        <v>4250</v>
      </c>
      <c r="K95" s="836">
        <v>350</v>
      </c>
      <c r="L95" s="836">
        <f t="shared" ref="L95" si="2180">+J95+K95</f>
        <v>4600</v>
      </c>
      <c r="M95" s="203">
        <v>30</v>
      </c>
      <c r="N95" s="204">
        <v>0.4</v>
      </c>
      <c r="O95" s="204">
        <v>0.3</v>
      </c>
      <c r="P95" s="204">
        <v>0.3</v>
      </c>
      <c r="Q95" s="866">
        <v>0</v>
      </c>
      <c r="R95" s="204">
        <v>0</v>
      </c>
      <c r="S95" s="204">
        <f t="shared" si="1996"/>
        <v>1</v>
      </c>
      <c r="T95" s="701"/>
      <c r="U95" s="238">
        <v>3</v>
      </c>
      <c r="V95" s="239">
        <f t="shared" ref="V95" si="2181">($J95/30/8*1.5)*U95</f>
        <v>79.6875</v>
      </c>
      <c r="W95" s="265"/>
      <c r="X95" s="239">
        <f t="shared" ref="X95" si="2182">($J95/30/8*2)*W95</f>
        <v>0</v>
      </c>
      <c r="Y95" s="238">
        <v>25</v>
      </c>
      <c r="Z95" s="239">
        <f t="shared" ref="Z95" si="2183">($J95/30/8*1.5)*Y95</f>
        <v>664.0625</v>
      </c>
      <c r="AA95" s="265"/>
      <c r="AB95" s="239">
        <f t="shared" ref="AB95" si="2184">($J95/30/8*2)*AA95</f>
        <v>0</v>
      </c>
      <c r="AC95" s="265"/>
      <c r="AD95" s="239">
        <f t="shared" ref="AD95" si="2185">(($J95/30/8)*1.5)*AC95</f>
        <v>0</v>
      </c>
      <c r="AE95" s="838"/>
      <c r="AF95" s="239">
        <f t="shared" ref="AF95" si="2186">(($J95/30/8)*2)*AE95</f>
        <v>0</v>
      </c>
      <c r="AG95" s="838"/>
      <c r="AH95" s="239">
        <f t="shared" ref="AH95" si="2187">(($J95/30/8)*1.5)*AG95</f>
        <v>0</v>
      </c>
      <c r="AI95" s="838"/>
      <c r="AJ95" s="239">
        <f t="shared" ref="AJ95" si="2188">(($J95/30/8)*2)*AI95</f>
        <v>0</v>
      </c>
      <c r="AK95" s="239"/>
      <c r="AL95" s="239">
        <f t="shared" ref="AL95" si="2189">(($J95/30/8)*1.5)*AK95</f>
        <v>0</v>
      </c>
      <c r="AM95" s="838"/>
      <c r="AN95" s="239">
        <f t="shared" ref="AN95" si="2190">(($J95/30/8)*2)*AM95</f>
        <v>0</v>
      </c>
      <c r="AO95" s="836"/>
      <c r="AP95" s="836"/>
      <c r="AQ95" s="836"/>
      <c r="AR95" s="836"/>
      <c r="AS95" s="836"/>
      <c r="AT95" s="836"/>
      <c r="AU95" s="836"/>
      <c r="AV95" s="836"/>
      <c r="AW95" s="836"/>
      <c r="AX95" s="836"/>
      <c r="AY95" s="836"/>
      <c r="AZ95" s="879"/>
      <c r="BA95" s="239">
        <f t="shared" ref="BA95" si="2191">((J95/30)*M95)*$N95</f>
        <v>1700</v>
      </c>
      <c r="BB95" s="239">
        <f>((K95/30)*M95)*$N95</f>
        <v>140</v>
      </c>
      <c r="BC95" s="836">
        <f t="shared" ref="BC95" si="2192">U95</f>
        <v>3</v>
      </c>
      <c r="BD95" s="239">
        <f t="shared" ref="BD95" si="2193">V95</f>
        <v>79.6875</v>
      </c>
      <c r="BE95" s="239">
        <f t="shared" ref="BE95" si="2194">W95</f>
        <v>0</v>
      </c>
      <c r="BF95" s="239">
        <f t="shared" ref="BF95" si="2195">X95</f>
        <v>0</v>
      </c>
      <c r="BG95" s="239">
        <f t="shared" ref="BG95" si="2196">AO95+AT95</f>
        <v>0</v>
      </c>
      <c r="BH95" s="203">
        <f t="shared" si="2013"/>
        <v>225.48640625000002</v>
      </c>
      <c r="BI95" s="239">
        <f t="shared" ref="BI95" si="2197">SUM(BA95:BH95)-BC95-BE95</f>
        <v>2145.1739062500001</v>
      </c>
      <c r="BJ95" s="239">
        <f t="shared" si="2015"/>
        <v>1275</v>
      </c>
      <c r="BK95" s="239">
        <f>(($K95/30)*$M95)*$O95+720</f>
        <v>825</v>
      </c>
      <c r="BL95" s="239">
        <f t="shared" ref="BL95" si="2198">Y95</f>
        <v>25</v>
      </c>
      <c r="BM95" s="239">
        <f t="shared" ref="BM95" si="2199">Z95</f>
        <v>664.0625</v>
      </c>
      <c r="BN95" s="239">
        <f t="shared" ref="BN95" si="2200">AA95</f>
        <v>0</v>
      </c>
      <c r="BO95" s="239">
        <f t="shared" ref="BO95" si="2201">AB95</f>
        <v>0</v>
      </c>
      <c r="BP95" s="239">
        <f t="shared" ref="BP95" si="2202">AP95+AU95</f>
        <v>0</v>
      </c>
      <c r="BQ95" s="203">
        <f t="shared" si="2021"/>
        <v>245.67921875000002</v>
      </c>
      <c r="BR95" s="836">
        <f t="shared" ref="BR95" si="2203">SUM(BJ95:BQ95)-BL95-BN95</f>
        <v>3009.74171875</v>
      </c>
      <c r="BS95" s="239">
        <f t="shared" si="2023"/>
        <v>1275</v>
      </c>
      <c r="BT95" s="239">
        <f>(($K95/30)*$M95)*$P95</f>
        <v>105</v>
      </c>
      <c r="BU95" s="239">
        <f t="shared" ref="BU95" si="2204">AC95</f>
        <v>0</v>
      </c>
      <c r="BV95" s="239">
        <f t="shared" ref="BV95" si="2205">AD95</f>
        <v>0</v>
      </c>
      <c r="BW95" s="239">
        <f t="shared" ref="BW95" si="2206">AE95</f>
        <v>0</v>
      </c>
      <c r="BX95" s="239">
        <f t="shared" ref="BX95" si="2207">AF95</f>
        <v>0</v>
      </c>
      <c r="BY95" s="239">
        <f t="shared" ref="BY95" si="2208">AQ95+AV95</f>
        <v>0</v>
      </c>
      <c r="BZ95" s="203">
        <f t="shared" si="2029"/>
        <v>161.54250000000002</v>
      </c>
      <c r="CA95" s="239">
        <f t="shared" ref="CA95" si="2209">SUM(BS95:BZ95)-BU95-BW95</f>
        <v>1541.5425</v>
      </c>
      <c r="CB95" s="874">
        <f t="shared" si="2031"/>
        <v>0</v>
      </c>
      <c r="CC95" s="875">
        <f t="shared" si="2032"/>
        <v>0</v>
      </c>
      <c r="CD95" s="875">
        <f t="shared" ref="CD95" si="2210">AG95</f>
        <v>0</v>
      </c>
      <c r="CE95" s="875">
        <f t="shared" ref="CE95" si="2211">AH95</f>
        <v>0</v>
      </c>
      <c r="CF95" s="875">
        <f t="shared" ref="CF95" si="2212">AI95</f>
        <v>0</v>
      </c>
      <c r="CG95" s="875">
        <f t="shared" ref="CG95" si="2213">AJ95</f>
        <v>0</v>
      </c>
      <c r="CH95" s="875">
        <f t="shared" ref="CH95" si="2214">AR95+AW95</f>
        <v>0</v>
      </c>
      <c r="CI95" s="703">
        <f t="shared" si="2038"/>
        <v>0</v>
      </c>
      <c r="CJ95" s="875">
        <f t="shared" ref="CJ95" si="2215">SUM(CB95:CI95)-CD95-CF95</f>
        <v>0</v>
      </c>
      <c r="CK95" s="875">
        <f t="shared" ref="CK95" si="2216">(($J95/30)*$M95)*R95</f>
        <v>0</v>
      </c>
      <c r="CL95" s="875">
        <f t="shared" si="2041"/>
        <v>0</v>
      </c>
      <c r="CM95" s="875">
        <f t="shared" ref="CM95" si="2217">+AK95</f>
        <v>0</v>
      </c>
      <c r="CN95" s="875">
        <f t="shared" ref="CN95" si="2218">AL95</f>
        <v>0</v>
      </c>
      <c r="CO95" s="875">
        <f t="shared" ref="CO95" si="2219">AM95</f>
        <v>0</v>
      </c>
      <c r="CP95" s="875">
        <f t="shared" ref="CP95" si="2220">AN95</f>
        <v>0</v>
      </c>
      <c r="CQ95" s="875">
        <f t="shared" ref="CQ95" si="2221">AS95+AX95</f>
        <v>0</v>
      </c>
      <c r="CR95" s="875">
        <f t="shared" ref="CR95" si="2222">(CK95+CN95+CP95)*0.1267</f>
        <v>0</v>
      </c>
      <c r="CS95" s="876">
        <f t="shared" ref="CS95" si="2223">SUM(CK95:CR95)-CM95-CO95</f>
        <v>0</v>
      </c>
      <c r="CU95" s="201" t="s">
        <v>11</v>
      </c>
      <c r="CV95" s="203">
        <f t="shared" si="2049"/>
        <v>0</v>
      </c>
      <c r="CW95" s="203">
        <f t="shared" si="2050"/>
        <v>0</v>
      </c>
      <c r="CX95" s="203">
        <f t="shared" si="2051"/>
        <v>0</v>
      </c>
      <c r="CY95" s="203">
        <f t="shared" si="2052"/>
        <v>0</v>
      </c>
      <c r="CZ95" s="203">
        <f t="shared" si="2053"/>
        <v>0</v>
      </c>
      <c r="DA95" s="203">
        <f t="shared" si="2054"/>
        <v>0</v>
      </c>
      <c r="DB95" s="203">
        <f t="shared" si="2055"/>
        <v>0</v>
      </c>
      <c r="DC95" s="203">
        <f t="shared" ref="DC95" si="2224">IF($CU95="PROQUIMA",$BH95+$BQ95+$BZ95+$CI95+CR95,0)</f>
        <v>0</v>
      </c>
      <c r="DD95" s="203">
        <f t="shared" ref="DD95" si="2225">SUM(CV95:DC95)-CX95-CZ95</f>
        <v>0</v>
      </c>
      <c r="DE95" s="203">
        <f t="shared" si="2058"/>
        <v>0</v>
      </c>
      <c r="DF95" s="203">
        <f t="shared" si="2059"/>
        <v>0</v>
      </c>
      <c r="DG95" s="239">
        <f t="shared" si="2060"/>
        <v>0</v>
      </c>
      <c r="DH95" s="239">
        <f t="shared" si="2061"/>
        <v>0</v>
      </c>
      <c r="DI95" s="239">
        <f t="shared" si="2062"/>
        <v>0</v>
      </c>
      <c r="DJ95" s="203">
        <f t="shared" si="2063"/>
        <v>0</v>
      </c>
      <c r="DK95" s="203">
        <f t="shared" si="2064"/>
        <v>0</v>
      </c>
      <c r="DL95" s="203">
        <f t="shared" si="2065"/>
        <v>0</v>
      </c>
      <c r="DM95" s="203">
        <f t="shared" ref="DM95" si="2226">SUM(DE95:DL95)-DG95-DI95</f>
        <v>0</v>
      </c>
      <c r="DN95" s="210">
        <f t="shared" si="2067"/>
        <v>0</v>
      </c>
      <c r="DO95" s="210">
        <f t="shared" si="2068"/>
        <v>0</v>
      </c>
      <c r="DP95" s="210">
        <f t="shared" si="2069"/>
        <v>0</v>
      </c>
      <c r="DQ95" s="210">
        <f t="shared" si="2070"/>
        <v>0</v>
      </c>
      <c r="DR95" s="210">
        <f t="shared" si="2071"/>
        <v>0</v>
      </c>
      <c r="DS95" s="210">
        <f t="shared" si="2072"/>
        <v>0</v>
      </c>
      <c r="DT95" s="210">
        <f t="shared" si="2073"/>
        <v>0</v>
      </c>
      <c r="DU95" s="210">
        <f t="shared" si="2074"/>
        <v>0</v>
      </c>
      <c r="DV95" s="210">
        <f t="shared" ref="DV95" si="2227">SUM(DN95:DU95)-DP95-DR95</f>
        <v>0</v>
      </c>
      <c r="DW95" s="241">
        <f>IF($CU95="CLEARTEC",$BA95+$BJ95+$BS95+$CB95+$CK95,0)</f>
        <v>0</v>
      </c>
      <c r="DX95" s="241">
        <f t="shared" si="2076"/>
        <v>0</v>
      </c>
      <c r="DY95" s="241">
        <f t="shared" si="2076"/>
        <v>0</v>
      </c>
      <c r="DZ95" s="241">
        <f t="shared" si="2076"/>
        <v>0</v>
      </c>
      <c r="EA95" s="241">
        <f t="shared" si="2076"/>
        <v>0</v>
      </c>
      <c r="EB95" s="241">
        <f t="shared" si="2076"/>
        <v>0</v>
      </c>
      <c r="EC95" s="241">
        <f t="shared" si="2076"/>
        <v>0</v>
      </c>
      <c r="ED95" s="241">
        <f t="shared" si="2076"/>
        <v>0</v>
      </c>
      <c r="EE95" s="242">
        <f t="shared" ref="EE95" si="2228">SUM(DW95:ED95)-DY95-EA95</f>
        <v>0</v>
      </c>
      <c r="EF95" s="203">
        <f t="shared" ref="EF95" si="2229">IF(CU95="ECONACIONAL",$BA95+$BJ95+$BS95+$CB95+$CK95)</f>
        <v>4250</v>
      </c>
      <c r="EG95" s="242">
        <f t="shared" si="2079"/>
        <v>1070</v>
      </c>
      <c r="EH95" s="203">
        <f t="shared" ref="EH95" si="2230">IF(CU95="ECONACIONAL",$BC95+$BL95+$BU95+$CD95+$CM95)</f>
        <v>28</v>
      </c>
      <c r="EI95" s="203">
        <f t="shared" ref="EI95" si="2231">IF(CU95="ECONACIONAL",$BD95+$DH95+$DQ95+$DZ95+BM95+BV95+CE95+CN95)</f>
        <v>743.75</v>
      </c>
      <c r="EJ95" s="242">
        <f t="shared" si="2082"/>
        <v>0</v>
      </c>
      <c r="EK95" s="203">
        <f t="shared" ref="EK95" si="2232">IF(CU95="ECONACIONAL",$BF95+$BO95+$BX95+$CG95+$CP95)</f>
        <v>0</v>
      </c>
      <c r="EL95" s="203">
        <f t="shared" ref="EL95" si="2233">IF(CU95="ECONACIONAL",$BG95+$BP95+$BY95+$CH95+$CQ95)</f>
        <v>0</v>
      </c>
      <c r="EM95" s="203">
        <f t="shared" ref="EM95" si="2234">IF(CU95="ECONACIONAL",BH95+BQ95+BZ95+CI95+CR95)</f>
        <v>632.70812500000011</v>
      </c>
      <c r="EN95" s="203">
        <f t="shared" ref="EN95" si="2235">SUM(EF95:EM95)-EH95-EJ95</f>
        <v>6696.4581250000001</v>
      </c>
      <c r="EP95" s="1193">
        <v>192</v>
      </c>
      <c r="EQ95" s="200"/>
      <c r="ER95" s="200"/>
      <c r="ES95" s="200">
        <f>250.5+245</f>
        <v>495.5</v>
      </c>
      <c r="ET95" s="200">
        <v>187.2</v>
      </c>
      <c r="EU95" s="201"/>
      <c r="EV95" s="201"/>
      <c r="EW95" s="201"/>
      <c r="EX95" s="201"/>
      <c r="EY95" s="201">
        <f t="shared" ref="EY95" si="2236">+ET95+EU95+EV95</f>
        <v>187.2</v>
      </c>
      <c r="FA95" s="207">
        <f t="shared" ref="FA95" si="2237">IF($M95&lt;=15,EP95/2,EP95)</f>
        <v>192</v>
      </c>
      <c r="FB95" s="207">
        <f t="shared" ref="FB95" si="2238">IF($M95&lt;=15,EQ95/2,EQ95)</f>
        <v>0</v>
      </c>
      <c r="FC95" s="207">
        <f t="shared" ref="FC95" si="2239">IF($M95&lt;=15,ER95/2,ER95)</f>
        <v>0</v>
      </c>
      <c r="FD95" s="207">
        <f t="shared" ref="FD95" si="2240">IF($M95&lt;=15,ES95/2,ES95)</f>
        <v>495.5</v>
      </c>
      <c r="FE95" s="207">
        <f t="shared" ref="FE95" si="2241">IF($M95&lt;=15,ET95/2,ET95)</f>
        <v>187.2</v>
      </c>
      <c r="FF95" s="207">
        <f t="shared" ref="FF95" si="2242">IF($M95&lt;=15,EU95/2,EU95)</f>
        <v>0</v>
      </c>
      <c r="FG95" s="207">
        <f t="shared" ref="FG95" si="2243">IF($M95&lt;=15,EV95/2,EV95)</f>
        <v>0</v>
      </c>
      <c r="FH95" s="207">
        <f t="shared" ref="FH95" si="2244">IF($M95&lt;=15,EW95/2,EW95)</f>
        <v>0</v>
      </c>
      <c r="FI95" s="207">
        <f t="shared" ref="FI95" si="2245">IF($M95&lt;=15,EX95/2,EX95)</f>
        <v>0</v>
      </c>
      <c r="FJ95" s="207">
        <f t="shared" ref="FJ95" si="2246">IF($M95&lt;=15,EY95/2,EY95)</f>
        <v>187.2</v>
      </c>
      <c r="FK95" s="217"/>
      <c r="FL95" s="217"/>
      <c r="FM95" s="217"/>
      <c r="FN95" s="217"/>
      <c r="FO95" s="217"/>
      <c r="FP95" s="217"/>
      <c r="FQ95" s="216"/>
      <c r="FR95" s="1177">
        <f t="shared" ref="FR95:FR96" si="2247">(((J95/30/8)*1.5)*(U95+Y95+AC95))-(BD95+BM95+BV95)</f>
        <v>0</v>
      </c>
      <c r="FS95" s="1177">
        <f t="shared" ref="FS95:FS96" si="2248">(((J95/30/8)*2)*(W95+AA95+AE95))-(BF95+BO95+BX95)</f>
        <v>0</v>
      </c>
      <c r="FT95" s="1178">
        <f t="shared" ref="FT95:FT96" si="2249">(SUM(BA95:CJ95))-(SUM(EF95:EN95))</f>
        <v>0</v>
      </c>
      <c r="FU95" s="1177">
        <f t="shared" ref="FU95:FU96" si="2250">(J95/30*M95)-(EF95)</f>
        <v>0</v>
      </c>
      <c r="FV95" s="1181">
        <f t="shared" ref="FV95:FV96" si="2251">(SUM(EP95:EY95))-((SUM(FA95:FJ95))*$FV$5)</f>
        <v>-1061.9000000000001</v>
      </c>
    </row>
    <row r="96" spans="1:184" s="235" customFormat="1" ht="15" customHeight="1" outlineLevel="1">
      <c r="A96" s="1005"/>
      <c r="B96" s="1005"/>
      <c r="C96" s="1006"/>
      <c r="E96" s="235">
        <v>302030</v>
      </c>
      <c r="F96" s="268">
        <f>+F95+1</f>
        <v>2</v>
      </c>
      <c r="G96" s="199" t="s">
        <v>724</v>
      </c>
      <c r="H96" s="200" t="s">
        <v>723</v>
      </c>
      <c r="I96" s="200" t="s">
        <v>11</v>
      </c>
      <c r="J96" s="203">
        <v>4500</v>
      </c>
      <c r="K96" s="836">
        <v>502.28</v>
      </c>
      <c r="L96" s="836">
        <f t="shared" ref="L96" si="2252">+J96+K96</f>
        <v>5002.28</v>
      </c>
      <c r="M96" s="203">
        <v>30</v>
      </c>
      <c r="N96" s="204">
        <v>0.5</v>
      </c>
      <c r="O96" s="204">
        <v>0.25</v>
      </c>
      <c r="P96" s="204">
        <v>0.25</v>
      </c>
      <c r="Q96" s="866">
        <v>0</v>
      </c>
      <c r="R96" s="204">
        <v>0</v>
      </c>
      <c r="S96" s="204">
        <f t="shared" si="1996"/>
        <v>1</v>
      </c>
      <c r="T96" s="701"/>
      <c r="U96" s="238">
        <v>6</v>
      </c>
      <c r="V96" s="239">
        <f t="shared" ref="V96" si="2253">($J96/30/8*1.5)*U96</f>
        <v>168.75</v>
      </c>
      <c r="W96" s="265"/>
      <c r="X96" s="239">
        <f t="shared" ref="X96" si="2254">($J96/30/8*2)*W96</f>
        <v>0</v>
      </c>
      <c r="Y96" s="238">
        <v>46</v>
      </c>
      <c r="Z96" s="239">
        <f t="shared" ref="Z96" si="2255">($J96/30/8*1.5)*Y96</f>
        <v>1293.75</v>
      </c>
      <c r="AA96" s="265"/>
      <c r="AB96" s="239">
        <f t="shared" ref="AB96" si="2256">($J96/30/8*2)*AA96</f>
        <v>0</v>
      </c>
      <c r="AC96" s="265"/>
      <c r="AD96" s="239">
        <f t="shared" ref="AD96" si="2257">(($J96/30/8)*1.5)*AC96</f>
        <v>0</v>
      </c>
      <c r="AE96" s="838"/>
      <c r="AF96" s="239">
        <f t="shared" ref="AF96" si="2258">(($J96/30/8)*2)*AE96</f>
        <v>0</v>
      </c>
      <c r="AG96" s="838"/>
      <c r="AH96" s="239">
        <f t="shared" ref="AH96" si="2259">(($J96/30/8)*1.5)*AG96</f>
        <v>0</v>
      </c>
      <c r="AI96" s="838"/>
      <c r="AJ96" s="239">
        <f t="shared" ref="AJ96" si="2260">(($J96/30/8)*2)*AI96</f>
        <v>0</v>
      </c>
      <c r="AK96" s="239"/>
      <c r="AL96" s="239">
        <f t="shared" ref="AL96" si="2261">(($J96/30/8)*1.5)*AK96</f>
        <v>0</v>
      </c>
      <c r="AM96" s="838"/>
      <c r="AN96" s="239">
        <f t="shared" ref="AN96" si="2262">(($J96/30/8)*2)*AM96</f>
        <v>0</v>
      </c>
      <c r="AO96" s="836"/>
      <c r="AP96" s="836"/>
      <c r="AQ96" s="836"/>
      <c r="AR96" s="836"/>
      <c r="AS96" s="836"/>
      <c r="AT96" s="836"/>
      <c r="AU96" s="836"/>
      <c r="AV96" s="836"/>
      <c r="AW96" s="836"/>
      <c r="AX96" s="836"/>
      <c r="AY96" s="836"/>
      <c r="AZ96" s="879"/>
      <c r="BA96" s="239">
        <f t="shared" ref="BA96" si="2263">((J96/30)*M96)*$N96</f>
        <v>2250</v>
      </c>
      <c r="BB96" s="239">
        <f>((K96/30)*M96)*$N96+230</f>
        <v>481.14</v>
      </c>
      <c r="BC96" s="836">
        <f t="shared" ref="BC96" si="2264">U96</f>
        <v>6</v>
      </c>
      <c r="BD96" s="239">
        <f t="shared" ref="BD96" si="2265">V96</f>
        <v>168.75</v>
      </c>
      <c r="BE96" s="239">
        <f t="shared" ref="BE96" si="2266">W96</f>
        <v>0</v>
      </c>
      <c r="BF96" s="239">
        <f t="shared" ref="BF96" si="2267">X96</f>
        <v>0</v>
      </c>
      <c r="BG96" s="239">
        <f t="shared" ref="BG96" si="2268">AO96+AT96</f>
        <v>0</v>
      </c>
      <c r="BH96" s="203">
        <f t="shared" si="2013"/>
        <v>306.455625</v>
      </c>
      <c r="BI96" s="239">
        <f t="shared" ref="BI96" si="2269">SUM(BA96:BH96)-BC96-BE96</f>
        <v>3206.3456249999999</v>
      </c>
      <c r="BJ96" s="239">
        <f t="shared" si="2015"/>
        <v>1125</v>
      </c>
      <c r="BK96" s="239">
        <f>(($K96/30)*$M96)*$O96+230</f>
        <v>355.57</v>
      </c>
      <c r="BL96" s="239">
        <f t="shared" ref="BL96" si="2270">Y96</f>
        <v>46</v>
      </c>
      <c r="BM96" s="239">
        <f t="shared" ref="BM96" si="2271">Z96</f>
        <v>1293.75</v>
      </c>
      <c r="BN96" s="239">
        <f t="shared" ref="BN96" si="2272">AA96</f>
        <v>0</v>
      </c>
      <c r="BO96" s="239">
        <f t="shared" ref="BO96" si="2273">AB96</f>
        <v>0</v>
      </c>
      <c r="BP96" s="239">
        <f t="shared" ref="BP96" si="2274">AP96+AU96</f>
        <v>0</v>
      </c>
      <c r="BQ96" s="203">
        <f t="shared" si="2021"/>
        <v>306.455625</v>
      </c>
      <c r="BR96" s="836">
        <f t="shared" ref="BR96" si="2275">SUM(BJ96:BQ96)-BL96-BN96</f>
        <v>3080.7756249999998</v>
      </c>
      <c r="BS96" s="239">
        <f t="shared" si="2023"/>
        <v>1125</v>
      </c>
      <c r="BT96" s="239">
        <f>(($K96/30)*$M96)*$P96</f>
        <v>125.57</v>
      </c>
      <c r="BU96" s="239">
        <f t="shared" ref="BU96" si="2276">AC96</f>
        <v>0</v>
      </c>
      <c r="BV96" s="239">
        <f t="shared" ref="BV96" si="2277">AD96</f>
        <v>0</v>
      </c>
      <c r="BW96" s="239">
        <f t="shared" ref="BW96" si="2278">AE96</f>
        <v>0</v>
      </c>
      <c r="BX96" s="239">
        <f t="shared" ref="BX96" si="2279">AF96</f>
        <v>0</v>
      </c>
      <c r="BY96" s="239">
        <f t="shared" ref="BY96" si="2280">AQ96+AV96</f>
        <v>0</v>
      </c>
      <c r="BZ96" s="203">
        <f t="shared" si="2029"/>
        <v>142.53749999999999</v>
      </c>
      <c r="CA96" s="239">
        <f t="shared" ref="CA96" si="2281">SUM(BS96:BZ96)-BU96-BW96</f>
        <v>1393.1074999999998</v>
      </c>
      <c r="CB96" s="874">
        <f t="shared" si="2031"/>
        <v>0</v>
      </c>
      <c r="CC96" s="875">
        <f t="shared" si="2032"/>
        <v>0</v>
      </c>
      <c r="CD96" s="875">
        <f t="shared" ref="CD96" si="2282">AG96</f>
        <v>0</v>
      </c>
      <c r="CE96" s="875">
        <f t="shared" ref="CE96" si="2283">AH96</f>
        <v>0</v>
      </c>
      <c r="CF96" s="875">
        <f t="shared" ref="CF96" si="2284">AI96</f>
        <v>0</v>
      </c>
      <c r="CG96" s="875">
        <f t="shared" ref="CG96" si="2285">AJ96</f>
        <v>0</v>
      </c>
      <c r="CH96" s="875">
        <f t="shared" ref="CH96" si="2286">AR96+AW96</f>
        <v>0</v>
      </c>
      <c r="CI96" s="703">
        <f t="shared" si="2038"/>
        <v>0</v>
      </c>
      <c r="CJ96" s="875">
        <f t="shared" ref="CJ96" si="2287">SUM(CB96:CI96)-CD96-CF96</f>
        <v>0</v>
      </c>
      <c r="CK96" s="875">
        <f t="shared" ref="CK96" si="2288">(($J96/30)*$M96)*R96</f>
        <v>0</v>
      </c>
      <c r="CL96" s="875">
        <f t="shared" si="2041"/>
        <v>0</v>
      </c>
      <c r="CM96" s="875">
        <f t="shared" ref="CM96" si="2289">+AK96</f>
        <v>0</v>
      </c>
      <c r="CN96" s="875">
        <f t="shared" ref="CN96" si="2290">AL96</f>
        <v>0</v>
      </c>
      <c r="CO96" s="875">
        <f t="shared" ref="CO96" si="2291">AM96</f>
        <v>0</v>
      </c>
      <c r="CP96" s="875">
        <f t="shared" ref="CP96" si="2292">AN96</f>
        <v>0</v>
      </c>
      <c r="CQ96" s="875">
        <f t="shared" ref="CQ96" si="2293">AS96+AX96</f>
        <v>0</v>
      </c>
      <c r="CR96" s="875">
        <f t="shared" ref="CR96" si="2294">(CK96+CN96+CP96)*0.1267</f>
        <v>0</v>
      </c>
      <c r="CS96" s="876">
        <f t="shared" ref="CS96" si="2295">SUM(CK96:CR96)-CM96-CO96</f>
        <v>0</v>
      </c>
      <c r="CU96" s="201" t="s">
        <v>11</v>
      </c>
      <c r="CV96" s="203">
        <f t="shared" si="2049"/>
        <v>0</v>
      </c>
      <c r="CW96" s="203">
        <f t="shared" si="2050"/>
        <v>0</v>
      </c>
      <c r="CX96" s="203">
        <f t="shared" si="2051"/>
        <v>0</v>
      </c>
      <c r="CY96" s="203">
        <f t="shared" si="2052"/>
        <v>0</v>
      </c>
      <c r="CZ96" s="203">
        <f t="shared" si="2053"/>
        <v>0</v>
      </c>
      <c r="DA96" s="203">
        <f t="shared" si="2054"/>
        <v>0</v>
      </c>
      <c r="DB96" s="203">
        <f t="shared" si="2055"/>
        <v>0</v>
      </c>
      <c r="DC96" s="203">
        <f t="shared" ref="DC96" si="2296">IF($CU96="PROQUIMA",$BH96+$BQ96+$BZ96+$CI96+CR96,0)</f>
        <v>0</v>
      </c>
      <c r="DD96" s="203">
        <f t="shared" ref="DD96" si="2297">SUM(CV96:DC96)-CX96-CZ96</f>
        <v>0</v>
      </c>
      <c r="DE96" s="203">
        <f t="shared" si="2058"/>
        <v>0</v>
      </c>
      <c r="DF96" s="203">
        <f t="shared" si="2059"/>
        <v>0</v>
      </c>
      <c r="DG96" s="239">
        <f t="shared" si="2060"/>
        <v>0</v>
      </c>
      <c r="DH96" s="239">
        <f t="shared" si="2061"/>
        <v>0</v>
      </c>
      <c r="DI96" s="239">
        <f t="shared" si="2062"/>
        <v>0</v>
      </c>
      <c r="DJ96" s="203">
        <f t="shared" si="2063"/>
        <v>0</v>
      </c>
      <c r="DK96" s="203">
        <f t="shared" si="2064"/>
        <v>0</v>
      </c>
      <c r="DL96" s="203">
        <f t="shared" si="2065"/>
        <v>0</v>
      </c>
      <c r="DM96" s="203">
        <f t="shared" ref="DM96" si="2298">SUM(DE96:DL96)-DG96-DI96</f>
        <v>0</v>
      </c>
      <c r="DN96" s="210">
        <f t="shared" si="2067"/>
        <v>0</v>
      </c>
      <c r="DO96" s="210">
        <f t="shared" si="2068"/>
        <v>0</v>
      </c>
      <c r="DP96" s="210">
        <f t="shared" si="2069"/>
        <v>0</v>
      </c>
      <c r="DQ96" s="210">
        <f t="shared" si="2070"/>
        <v>0</v>
      </c>
      <c r="DR96" s="210">
        <f t="shared" si="2071"/>
        <v>0</v>
      </c>
      <c r="DS96" s="210">
        <f t="shared" si="2072"/>
        <v>0</v>
      </c>
      <c r="DT96" s="210">
        <f t="shared" si="2073"/>
        <v>0</v>
      </c>
      <c r="DU96" s="210">
        <f t="shared" si="2074"/>
        <v>0</v>
      </c>
      <c r="DV96" s="210">
        <f t="shared" ref="DV96" si="2299">SUM(DN96:DU96)-DP96-DR96</f>
        <v>0</v>
      </c>
      <c r="DW96" s="241">
        <f>IF($CU96="CLEARTEC",$BA96+$BJ96+$BS96+$CB96+$CK96,0)</f>
        <v>0</v>
      </c>
      <c r="DX96" s="241">
        <f t="shared" si="2076"/>
        <v>0</v>
      </c>
      <c r="DY96" s="241">
        <f t="shared" si="2076"/>
        <v>0</v>
      </c>
      <c r="DZ96" s="241">
        <f t="shared" si="2076"/>
        <v>0</v>
      </c>
      <c r="EA96" s="241">
        <f t="shared" si="2076"/>
        <v>0</v>
      </c>
      <c r="EB96" s="241">
        <f t="shared" si="2076"/>
        <v>0</v>
      </c>
      <c r="EC96" s="241">
        <f t="shared" si="2076"/>
        <v>0</v>
      </c>
      <c r="ED96" s="241">
        <f t="shared" si="2076"/>
        <v>0</v>
      </c>
      <c r="EE96" s="242">
        <f t="shared" ref="EE96" si="2300">SUM(DW96:ED96)-DY96-EA96</f>
        <v>0</v>
      </c>
      <c r="EF96" s="203">
        <f t="shared" ref="EF96" si="2301">IF(CU96="ECONACIONAL",$BA96+$BJ96+$BS96+$CB96+$CK96)</f>
        <v>4500</v>
      </c>
      <c r="EG96" s="242">
        <f t="shared" si="2079"/>
        <v>962.28</v>
      </c>
      <c r="EH96" s="203">
        <f t="shared" ref="EH96" si="2302">IF(CU96="ECONACIONAL",$BC96+$BL96+$BU96+$CD96+$CM96)</f>
        <v>52</v>
      </c>
      <c r="EI96" s="203">
        <f t="shared" ref="EI96" si="2303">IF(CU96="ECONACIONAL",$BD96+$DH96+$DQ96+$DZ96+BM96+BV96+CE96+CN96)</f>
        <v>1462.5</v>
      </c>
      <c r="EJ96" s="242">
        <f t="shared" si="2082"/>
        <v>0</v>
      </c>
      <c r="EK96" s="203">
        <f t="shared" ref="EK96" si="2304">IF(CU96="ECONACIONAL",$BF96+$BO96+$BX96+$CG96+$CP96)</f>
        <v>0</v>
      </c>
      <c r="EL96" s="203">
        <f t="shared" ref="EL96" si="2305">IF(CU96="ECONACIONAL",$BG96+$BP96+$BY96+$CH96+$CQ96)</f>
        <v>0</v>
      </c>
      <c r="EM96" s="203">
        <f t="shared" ref="EM96" si="2306">IF(CU96="ECONACIONAL",BH96+BQ96+BZ96+CI96+CR96)</f>
        <v>755.44875000000002</v>
      </c>
      <c r="EN96" s="203">
        <f t="shared" ref="EN96" si="2307">SUM(EF96:EM96)-EH96-EJ96</f>
        <v>7680.2287500000002</v>
      </c>
      <c r="EP96" s="200">
        <v>200</v>
      </c>
      <c r="EQ96" s="200"/>
      <c r="ER96" s="200"/>
      <c r="ES96" s="200"/>
      <c r="ET96" s="200"/>
      <c r="EU96" s="201"/>
      <c r="EV96" s="201"/>
      <c r="EW96" s="201"/>
      <c r="EX96" s="201"/>
      <c r="EY96" s="201">
        <f t="shared" ref="EY96" si="2308">+ET96+EU96+EV96</f>
        <v>0</v>
      </c>
      <c r="FA96" s="207">
        <f t="shared" ref="FA96" si="2309">IF($M96&lt;=15,EP96/2,EP96)</f>
        <v>200</v>
      </c>
      <c r="FB96" s="207">
        <f t="shared" ref="FB96" si="2310">IF($M96&lt;=15,EQ96/2,EQ96)</f>
        <v>0</v>
      </c>
      <c r="FC96" s="207">
        <f t="shared" ref="FC96" si="2311">IF($M96&lt;=15,ER96/2,ER96)</f>
        <v>0</v>
      </c>
      <c r="FD96" s="207">
        <f t="shared" ref="FD96" si="2312">IF($M96&lt;=15,ES96/2,ES96)</f>
        <v>0</v>
      </c>
      <c r="FE96" s="207">
        <f t="shared" ref="FE96" si="2313">IF($M96&lt;=15,ET96/2,ET96)</f>
        <v>0</v>
      </c>
      <c r="FF96" s="207">
        <f t="shared" ref="FF96" si="2314">IF($M96&lt;=15,EU96/2,EU96)</f>
        <v>0</v>
      </c>
      <c r="FG96" s="207">
        <f t="shared" ref="FG96" si="2315">IF($M96&lt;=15,EV96/2,EV96)</f>
        <v>0</v>
      </c>
      <c r="FH96" s="207">
        <f t="shared" ref="FH96" si="2316">IF($M96&lt;=15,EW96/2,EW96)</f>
        <v>0</v>
      </c>
      <c r="FI96" s="207">
        <f t="shared" ref="FI96" si="2317">IF($M96&lt;=15,EX96/2,EX96)</f>
        <v>0</v>
      </c>
      <c r="FJ96" s="207">
        <f t="shared" ref="FJ96" si="2318">IF($M96&lt;=15,EY96/2,EY96)</f>
        <v>0</v>
      </c>
      <c r="FK96" s="217"/>
      <c r="FL96" s="217"/>
      <c r="FM96" s="217"/>
      <c r="FN96" s="217"/>
      <c r="FO96" s="217"/>
      <c r="FP96" s="217"/>
      <c r="FQ96" s="216"/>
      <c r="FR96" s="1177">
        <f t="shared" si="2247"/>
        <v>0</v>
      </c>
      <c r="FS96" s="1177">
        <f t="shared" si="2248"/>
        <v>0</v>
      </c>
      <c r="FT96" s="1178">
        <f t="shared" si="2249"/>
        <v>0</v>
      </c>
      <c r="FU96" s="1177">
        <f t="shared" si="2250"/>
        <v>0</v>
      </c>
      <c r="FV96" s="1181">
        <f t="shared" si="2251"/>
        <v>-200</v>
      </c>
    </row>
    <row r="97" spans="1:184" s="216" customFormat="1" ht="15" customHeight="1" outlineLevel="1">
      <c r="A97" s="1005" t="s">
        <v>52</v>
      </c>
      <c r="B97" s="1005" t="s">
        <v>52</v>
      </c>
      <c r="C97" s="1006" t="s">
        <v>52</v>
      </c>
      <c r="D97" s="235"/>
      <c r="E97" s="235">
        <v>302030</v>
      </c>
      <c r="F97" s="268"/>
      <c r="G97" s="955"/>
      <c r="H97" s="820" t="s">
        <v>658</v>
      </c>
      <c r="I97" s="820"/>
      <c r="J97" s="868">
        <f>SUM(J93:J96)</f>
        <v>16754.560000000001</v>
      </c>
      <c r="K97" s="868">
        <f>SUM(K93:K96)</f>
        <v>1352.28</v>
      </c>
      <c r="L97" s="868">
        <f>SUM(L93:L96)</f>
        <v>18106.84</v>
      </c>
      <c r="M97" s="801"/>
      <c r="N97" s="870"/>
      <c r="O97" s="957"/>
      <c r="P97" s="957"/>
      <c r="Q97" s="958"/>
      <c r="R97" s="958"/>
      <c r="S97" s="957"/>
      <c r="T97" s="701"/>
      <c r="U97" s="868">
        <f t="shared" ref="U97:AZ97" si="2319">SUM(U93:U96)</f>
        <v>10</v>
      </c>
      <c r="V97" s="868">
        <f t="shared" si="2319"/>
        <v>273.45175</v>
      </c>
      <c r="W97" s="868">
        <f t="shared" si="2319"/>
        <v>0</v>
      </c>
      <c r="X97" s="868">
        <f t="shared" si="2319"/>
        <v>0</v>
      </c>
      <c r="Y97" s="868">
        <f t="shared" si="2319"/>
        <v>150</v>
      </c>
      <c r="Z97" s="868">
        <f t="shared" si="2319"/>
        <v>3933.9382500000002</v>
      </c>
      <c r="AA97" s="868">
        <f t="shared" si="2319"/>
        <v>0</v>
      </c>
      <c r="AB97" s="868">
        <f t="shared" si="2319"/>
        <v>0</v>
      </c>
      <c r="AC97" s="868">
        <f t="shared" si="2319"/>
        <v>0</v>
      </c>
      <c r="AD97" s="868">
        <f t="shared" si="2319"/>
        <v>0</v>
      </c>
      <c r="AE97" s="868">
        <f t="shared" si="2319"/>
        <v>0</v>
      </c>
      <c r="AF97" s="868">
        <f t="shared" si="2319"/>
        <v>0</v>
      </c>
      <c r="AG97" s="868">
        <f t="shared" si="2319"/>
        <v>0</v>
      </c>
      <c r="AH97" s="868">
        <f t="shared" si="2319"/>
        <v>0</v>
      </c>
      <c r="AI97" s="868">
        <f t="shared" si="2319"/>
        <v>0</v>
      </c>
      <c r="AJ97" s="868">
        <f t="shared" si="2319"/>
        <v>0</v>
      </c>
      <c r="AK97" s="868">
        <f t="shared" si="2319"/>
        <v>0</v>
      </c>
      <c r="AL97" s="868">
        <f t="shared" si="2319"/>
        <v>0</v>
      </c>
      <c r="AM97" s="868">
        <f t="shared" si="2319"/>
        <v>0</v>
      </c>
      <c r="AN97" s="868">
        <f t="shared" si="2319"/>
        <v>0</v>
      </c>
      <c r="AO97" s="868">
        <f t="shared" si="2319"/>
        <v>0</v>
      </c>
      <c r="AP97" s="868">
        <f t="shared" si="2319"/>
        <v>0</v>
      </c>
      <c r="AQ97" s="868">
        <f t="shared" si="2319"/>
        <v>0</v>
      </c>
      <c r="AR97" s="868">
        <f t="shared" si="2319"/>
        <v>0</v>
      </c>
      <c r="AS97" s="868">
        <f t="shared" si="2319"/>
        <v>0</v>
      </c>
      <c r="AT97" s="868">
        <f t="shared" si="2319"/>
        <v>0</v>
      </c>
      <c r="AU97" s="868">
        <f t="shared" si="2319"/>
        <v>0</v>
      </c>
      <c r="AV97" s="868">
        <f t="shared" si="2319"/>
        <v>0</v>
      </c>
      <c r="AW97" s="868">
        <f t="shared" si="2319"/>
        <v>0</v>
      </c>
      <c r="AX97" s="868">
        <f t="shared" si="2319"/>
        <v>0</v>
      </c>
      <c r="AY97" s="868">
        <f t="shared" si="2319"/>
        <v>0</v>
      </c>
      <c r="AZ97" s="868">
        <f t="shared" si="2319"/>
        <v>0</v>
      </c>
      <c r="BA97" s="868">
        <f t="shared" ref="BA97:CF97" si="2320">SUM(BA93:BA96)</f>
        <v>7752.1660000000002</v>
      </c>
      <c r="BB97" s="868">
        <f t="shared" si="2320"/>
        <v>1013.64</v>
      </c>
      <c r="BC97" s="868">
        <f t="shared" si="2320"/>
        <v>10</v>
      </c>
      <c r="BD97" s="868">
        <f t="shared" si="2320"/>
        <v>273.45175</v>
      </c>
      <c r="BE97" s="868">
        <f t="shared" si="2320"/>
        <v>0</v>
      </c>
      <c r="BF97" s="868">
        <f t="shared" si="2320"/>
        <v>0</v>
      </c>
      <c r="BG97" s="868">
        <f t="shared" si="2320"/>
        <v>0</v>
      </c>
      <c r="BH97" s="868">
        <f t="shared" si="2320"/>
        <v>1016.8457689250001</v>
      </c>
      <c r="BI97" s="868">
        <f t="shared" si="2320"/>
        <v>10056.103518925001</v>
      </c>
      <c r="BJ97" s="868">
        <f t="shared" si="2320"/>
        <v>5301.6530000000002</v>
      </c>
      <c r="BK97" s="868">
        <f t="shared" si="2320"/>
        <v>2716.82</v>
      </c>
      <c r="BL97" s="868">
        <f t="shared" si="2320"/>
        <v>150</v>
      </c>
      <c r="BM97" s="868">
        <f t="shared" si="2320"/>
        <v>3933.9382500000002</v>
      </c>
      <c r="BN97" s="868">
        <f t="shared" si="2320"/>
        <v>0</v>
      </c>
      <c r="BO97" s="868">
        <f t="shared" si="2320"/>
        <v>0</v>
      </c>
      <c r="BP97" s="868">
        <f t="shared" si="2320"/>
        <v>0</v>
      </c>
      <c r="BQ97" s="868">
        <f t="shared" si="2320"/>
        <v>1170.149411375</v>
      </c>
      <c r="BR97" s="868">
        <f t="shared" si="2320"/>
        <v>13122.560661375001</v>
      </c>
      <c r="BS97" s="868">
        <f t="shared" si="2320"/>
        <v>3300.5129999999999</v>
      </c>
      <c r="BT97" s="868">
        <f t="shared" si="2320"/>
        <v>286.82</v>
      </c>
      <c r="BU97" s="868">
        <f t="shared" si="2320"/>
        <v>0</v>
      </c>
      <c r="BV97" s="868">
        <f t="shared" si="2320"/>
        <v>0</v>
      </c>
      <c r="BW97" s="868">
        <f t="shared" si="2320"/>
        <v>0</v>
      </c>
      <c r="BX97" s="868">
        <f t="shared" si="2320"/>
        <v>0</v>
      </c>
      <c r="BY97" s="868">
        <f t="shared" si="2320"/>
        <v>0</v>
      </c>
      <c r="BZ97" s="868">
        <f t="shared" si="2320"/>
        <v>418.17499710000004</v>
      </c>
      <c r="CA97" s="868">
        <f t="shared" si="2320"/>
        <v>4005.5079971000005</v>
      </c>
      <c r="CB97" s="868">
        <f t="shared" si="2320"/>
        <v>0</v>
      </c>
      <c r="CC97" s="868">
        <f t="shared" si="2320"/>
        <v>0</v>
      </c>
      <c r="CD97" s="868">
        <f t="shared" si="2320"/>
        <v>0</v>
      </c>
      <c r="CE97" s="868">
        <f t="shared" si="2320"/>
        <v>0</v>
      </c>
      <c r="CF97" s="868">
        <f t="shared" si="2320"/>
        <v>0</v>
      </c>
      <c r="CG97" s="868">
        <f t="shared" ref="CG97:DL97" si="2321">SUM(CG93:CG96)</f>
        <v>0</v>
      </c>
      <c r="CH97" s="868">
        <f t="shared" si="2321"/>
        <v>0</v>
      </c>
      <c r="CI97" s="868">
        <f t="shared" si="2321"/>
        <v>0</v>
      </c>
      <c r="CJ97" s="868">
        <f t="shared" si="2321"/>
        <v>0</v>
      </c>
      <c r="CK97" s="868">
        <f t="shared" si="2321"/>
        <v>0</v>
      </c>
      <c r="CL97" s="868">
        <f t="shared" si="2321"/>
        <v>0</v>
      </c>
      <c r="CM97" s="868">
        <f t="shared" si="2321"/>
        <v>0</v>
      </c>
      <c r="CN97" s="868">
        <f t="shared" si="2321"/>
        <v>0</v>
      </c>
      <c r="CO97" s="868">
        <f t="shared" si="2321"/>
        <v>0</v>
      </c>
      <c r="CP97" s="868">
        <f t="shared" si="2321"/>
        <v>0</v>
      </c>
      <c r="CQ97" s="868">
        <f t="shared" si="2321"/>
        <v>0</v>
      </c>
      <c r="CR97" s="868">
        <f t="shared" si="2321"/>
        <v>0</v>
      </c>
      <c r="CS97" s="868">
        <f t="shared" si="2321"/>
        <v>0</v>
      </c>
      <c r="CT97" s="868">
        <f t="shared" si="2321"/>
        <v>0</v>
      </c>
      <c r="CU97" s="868">
        <f t="shared" si="2321"/>
        <v>0</v>
      </c>
      <c r="CV97" s="868">
        <f t="shared" si="2321"/>
        <v>0</v>
      </c>
      <c r="CW97" s="868">
        <f t="shared" si="2321"/>
        <v>0</v>
      </c>
      <c r="CX97" s="868">
        <f t="shared" si="2321"/>
        <v>0</v>
      </c>
      <c r="CY97" s="868">
        <f t="shared" si="2321"/>
        <v>0</v>
      </c>
      <c r="CZ97" s="868">
        <f t="shared" si="2321"/>
        <v>0</v>
      </c>
      <c r="DA97" s="868">
        <f t="shared" si="2321"/>
        <v>0</v>
      </c>
      <c r="DB97" s="868">
        <f t="shared" si="2321"/>
        <v>0</v>
      </c>
      <c r="DC97" s="868">
        <f t="shared" si="2321"/>
        <v>0</v>
      </c>
      <c r="DD97" s="868">
        <f t="shared" si="2321"/>
        <v>0</v>
      </c>
      <c r="DE97" s="868">
        <f t="shared" si="2321"/>
        <v>0</v>
      </c>
      <c r="DF97" s="868">
        <f t="shared" si="2321"/>
        <v>0</v>
      </c>
      <c r="DG97" s="868">
        <f t="shared" si="2321"/>
        <v>0</v>
      </c>
      <c r="DH97" s="868">
        <f t="shared" si="2321"/>
        <v>0</v>
      </c>
      <c r="DI97" s="868">
        <f t="shared" si="2321"/>
        <v>0</v>
      </c>
      <c r="DJ97" s="868">
        <f t="shared" si="2321"/>
        <v>0</v>
      </c>
      <c r="DK97" s="868">
        <f t="shared" si="2321"/>
        <v>0</v>
      </c>
      <c r="DL97" s="868">
        <f t="shared" si="2321"/>
        <v>0</v>
      </c>
      <c r="DM97" s="868">
        <f t="shared" ref="DM97:EN97" si="2322">SUM(DM93:DM96)</f>
        <v>0</v>
      </c>
      <c r="DN97" s="868">
        <f t="shared" si="2322"/>
        <v>0</v>
      </c>
      <c r="DO97" s="868">
        <f t="shared" si="2322"/>
        <v>0</v>
      </c>
      <c r="DP97" s="868">
        <f t="shared" si="2322"/>
        <v>0</v>
      </c>
      <c r="DQ97" s="868">
        <f t="shared" si="2322"/>
        <v>0</v>
      </c>
      <c r="DR97" s="868">
        <f t="shared" si="2322"/>
        <v>0</v>
      </c>
      <c r="DS97" s="868">
        <f t="shared" si="2322"/>
        <v>0</v>
      </c>
      <c r="DT97" s="868">
        <f t="shared" si="2322"/>
        <v>0</v>
      </c>
      <c r="DU97" s="868">
        <f t="shared" si="2322"/>
        <v>0</v>
      </c>
      <c r="DV97" s="868">
        <f t="shared" si="2322"/>
        <v>0</v>
      </c>
      <c r="DW97" s="868">
        <f t="shared" si="2322"/>
        <v>0</v>
      </c>
      <c r="DX97" s="868">
        <f t="shared" si="2322"/>
        <v>0</v>
      </c>
      <c r="DY97" s="868">
        <f t="shared" si="2322"/>
        <v>0</v>
      </c>
      <c r="DZ97" s="868">
        <f t="shared" si="2322"/>
        <v>0</v>
      </c>
      <c r="EA97" s="868">
        <f t="shared" si="2322"/>
        <v>0</v>
      </c>
      <c r="EB97" s="868">
        <f t="shared" si="2322"/>
        <v>0</v>
      </c>
      <c r="EC97" s="868">
        <f t="shared" si="2322"/>
        <v>0</v>
      </c>
      <c r="ED97" s="868">
        <f t="shared" si="2322"/>
        <v>0</v>
      </c>
      <c r="EE97" s="868">
        <f t="shared" si="2322"/>
        <v>0</v>
      </c>
      <c r="EF97" s="868">
        <f t="shared" si="2322"/>
        <v>16354.332</v>
      </c>
      <c r="EG97" s="868">
        <f t="shared" si="2322"/>
        <v>4017.2799999999997</v>
      </c>
      <c r="EH97" s="868">
        <f t="shared" si="2322"/>
        <v>160</v>
      </c>
      <c r="EI97" s="868">
        <f t="shared" si="2322"/>
        <v>4207.3900000000003</v>
      </c>
      <c r="EJ97" s="868">
        <f t="shared" si="2322"/>
        <v>0</v>
      </c>
      <c r="EK97" s="868">
        <f t="shared" si="2322"/>
        <v>0</v>
      </c>
      <c r="EL97" s="868">
        <f t="shared" si="2322"/>
        <v>0</v>
      </c>
      <c r="EM97" s="868">
        <f t="shared" si="2322"/>
        <v>2605.1701774000003</v>
      </c>
      <c r="EN97" s="868">
        <f t="shared" si="2322"/>
        <v>27184.172177400003</v>
      </c>
      <c r="EO97" s="868"/>
      <c r="EP97" s="868">
        <f t="shared" ref="EP97:EY97" si="2323">SUM(EP93:EP96)</f>
        <v>392</v>
      </c>
      <c r="EQ97" s="868">
        <f t="shared" si="2323"/>
        <v>0</v>
      </c>
      <c r="ER97" s="868">
        <f t="shared" si="2323"/>
        <v>0</v>
      </c>
      <c r="ES97" s="868">
        <f t="shared" si="2323"/>
        <v>2242</v>
      </c>
      <c r="ET97" s="868">
        <f t="shared" si="2323"/>
        <v>187.2</v>
      </c>
      <c r="EU97" s="868">
        <f t="shared" si="2323"/>
        <v>0</v>
      </c>
      <c r="EV97" s="868">
        <f t="shared" si="2323"/>
        <v>0</v>
      </c>
      <c r="EW97" s="868">
        <f t="shared" si="2323"/>
        <v>0</v>
      </c>
      <c r="EX97" s="868">
        <f t="shared" si="2323"/>
        <v>0</v>
      </c>
      <c r="EY97" s="868">
        <f t="shared" si="2323"/>
        <v>187.2</v>
      </c>
      <c r="EZ97" s="868"/>
      <c r="FA97" s="868">
        <f t="shared" ref="FA97:FP97" si="2324">SUM(FA93:FA96)</f>
        <v>392</v>
      </c>
      <c r="FB97" s="868">
        <f t="shared" si="2324"/>
        <v>0</v>
      </c>
      <c r="FC97" s="868">
        <f t="shared" si="2324"/>
        <v>0</v>
      </c>
      <c r="FD97" s="868">
        <f t="shared" si="2324"/>
        <v>2242</v>
      </c>
      <c r="FE97" s="868">
        <f t="shared" si="2324"/>
        <v>187.2</v>
      </c>
      <c r="FF97" s="868">
        <f t="shared" si="2324"/>
        <v>0</v>
      </c>
      <c r="FG97" s="868">
        <f t="shared" si="2324"/>
        <v>0</v>
      </c>
      <c r="FH97" s="868">
        <f t="shared" si="2324"/>
        <v>0</v>
      </c>
      <c r="FI97" s="868">
        <f t="shared" si="2324"/>
        <v>0</v>
      </c>
      <c r="FJ97" s="868">
        <f t="shared" si="2324"/>
        <v>187.2</v>
      </c>
      <c r="FK97" s="868">
        <f t="shared" si="2324"/>
        <v>0</v>
      </c>
      <c r="FL97" s="868">
        <f t="shared" si="2324"/>
        <v>0</v>
      </c>
      <c r="FM97" s="868">
        <f t="shared" si="2324"/>
        <v>0</v>
      </c>
      <c r="FN97" s="868">
        <f t="shared" si="2324"/>
        <v>0</v>
      </c>
      <c r="FO97" s="868">
        <f t="shared" si="2324"/>
        <v>0</v>
      </c>
      <c r="FP97" s="868">
        <f t="shared" si="2324"/>
        <v>0</v>
      </c>
    </row>
    <row r="98" spans="1:184" s="216" customFormat="1" ht="15" customHeight="1" outlineLevel="1">
      <c r="A98" s="1005" t="s">
        <v>52</v>
      </c>
      <c r="B98" s="1005" t="s">
        <v>52</v>
      </c>
      <c r="C98" s="1006" t="s">
        <v>52</v>
      </c>
      <c r="D98" s="235"/>
      <c r="E98" s="235"/>
      <c r="F98" s="268"/>
      <c r="G98" s="975" t="s">
        <v>646</v>
      </c>
      <c r="H98" s="235"/>
      <c r="J98" s="801"/>
      <c r="K98" s="801"/>
      <c r="L98" s="801"/>
      <c r="M98" s="801"/>
      <c r="N98" s="870"/>
      <c r="O98" s="957"/>
      <c r="P98" s="957"/>
      <c r="Q98" s="958"/>
      <c r="R98" s="958"/>
      <c r="S98" s="957"/>
      <c r="T98" s="701"/>
      <c r="U98" s="959"/>
      <c r="V98" s="801"/>
      <c r="W98" s="960"/>
      <c r="X98" s="801"/>
      <c r="Y98" s="960"/>
      <c r="Z98" s="801"/>
      <c r="AA98" s="960"/>
      <c r="AB98" s="880"/>
      <c r="AC98" s="960"/>
      <c r="AD98" s="801"/>
      <c r="AE98" s="961"/>
      <c r="AF98" s="801"/>
      <c r="AG98" s="972"/>
      <c r="AH98" s="801"/>
      <c r="AI98" s="973"/>
      <c r="AJ98" s="801"/>
      <c r="AK98" s="823"/>
      <c r="AL98" s="823"/>
      <c r="AM98" s="973"/>
      <c r="AN98" s="823"/>
      <c r="AO98" s="827"/>
      <c r="AP98" s="827"/>
      <c r="AQ98" s="827"/>
      <c r="AR98" s="827"/>
      <c r="AS98" s="827"/>
      <c r="AT98" s="827"/>
      <c r="AU98" s="827"/>
      <c r="AV98" s="827"/>
      <c r="AW98" s="827"/>
      <c r="AX98" s="827"/>
      <c r="AY98" s="860"/>
      <c r="AZ98" s="966"/>
      <c r="BA98" s="801"/>
      <c r="BB98" s="880"/>
      <c r="BC98" s="801"/>
      <c r="BD98" s="801"/>
      <c r="BE98" s="801"/>
      <c r="BF98" s="801"/>
      <c r="BG98" s="801"/>
      <c r="BH98" s="801"/>
      <c r="BI98" s="801"/>
      <c r="BJ98" s="801"/>
      <c r="BK98" s="801"/>
      <c r="BL98" s="801"/>
      <c r="BM98" s="801"/>
      <c r="BN98" s="801"/>
      <c r="BO98" s="801"/>
      <c r="BP98" s="801"/>
      <c r="BQ98" s="801"/>
      <c r="BR98" s="860"/>
      <c r="BS98" s="801"/>
      <c r="BT98" s="801"/>
      <c r="BU98" s="801"/>
      <c r="BV98" s="801"/>
      <c r="BW98" s="801"/>
      <c r="BX98" s="801"/>
      <c r="BY98" s="801"/>
      <c r="BZ98" s="801"/>
      <c r="CA98" s="801"/>
      <c r="CB98" s="801"/>
      <c r="CC98" s="801"/>
      <c r="CD98" s="801"/>
      <c r="CE98" s="801"/>
      <c r="CF98" s="801"/>
      <c r="CG98" s="801"/>
      <c r="CH98" s="801"/>
      <c r="CI98" s="801"/>
      <c r="CJ98" s="801"/>
      <c r="CK98" s="823"/>
      <c r="CL98" s="823"/>
      <c r="CM98" s="823"/>
      <c r="CN98" s="823"/>
      <c r="CO98" s="823"/>
      <c r="CP98" s="823"/>
      <c r="CQ98" s="823"/>
      <c r="CR98" s="823"/>
      <c r="CS98" s="823"/>
      <c r="CV98" s="801"/>
      <c r="CW98" s="801"/>
      <c r="CX98" s="801"/>
      <c r="CY98" s="801"/>
      <c r="CZ98" s="801"/>
      <c r="DA98" s="801"/>
      <c r="DB98" s="801"/>
      <c r="DC98" s="801"/>
      <c r="DD98" s="801"/>
      <c r="DE98" s="801"/>
      <c r="DF98" s="801"/>
      <c r="DG98" s="801"/>
      <c r="DH98" s="801"/>
      <c r="DI98" s="801"/>
      <c r="DJ98" s="801"/>
      <c r="DK98" s="801"/>
      <c r="DL98" s="801"/>
      <c r="DM98" s="801"/>
      <c r="DN98" s="823"/>
      <c r="DO98" s="823"/>
      <c r="DP98" s="823"/>
      <c r="DQ98" s="823"/>
      <c r="DR98" s="823"/>
      <c r="DS98" s="823"/>
      <c r="DT98" s="823"/>
      <c r="DU98" s="823"/>
      <c r="DV98" s="823"/>
      <c r="DW98" s="823"/>
      <c r="DX98" s="823"/>
      <c r="DY98" s="823"/>
      <c r="DZ98" s="823"/>
      <c r="EA98" s="823"/>
      <c r="EB98" s="823"/>
      <c r="EC98" s="823"/>
      <c r="ED98" s="823"/>
      <c r="EE98" s="823"/>
      <c r="EF98" s="823"/>
      <c r="EG98" s="823"/>
      <c r="EH98" s="823"/>
      <c r="EI98" s="823"/>
      <c r="EJ98" s="823"/>
      <c r="EK98" s="823"/>
      <c r="EL98" s="823"/>
      <c r="EM98" s="823"/>
      <c r="EN98" s="823"/>
      <c r="EX98" s="820"/>
      <c r="EY98" s="960"/>
      <c r="FA98" s="960"/>
      <c r="FB98" s="960"/>
      <c r="FC98" s="960"/>
      <c r="FD98" s="960"/>
      <c r="FE98" s="960"/>
      <c r="FF98" s="960"/>
      <c r="FG98" s="960"/>
      <c r="FH98" s="960"/>
      <c r="FI98" s="960"/>
      <c r="FJ98" s="960"/>
      <c r="FK98" s="968"/>
      <c r="FL98" s="968"/>
      <c r="FM98" s="968"/>
      <c r="FN98" s="968"/>
      <c r="FO98" s="968"/>
      <c r="FP98" s="974"/>
    </row>
    <row r="99" spans="1:184" s="216" customFormat="1" ht="15" customHeight="1" outlineLevel="1">
      <c r="A99" s="1005" t="s">
        <v>52</v>
      </c>
      <c r="B99" s="1005" t="s">
        <v>52</v>
      </c>
      <c r="C99" s="1006" t="s">
        <v>52</v>
      </c>
      <c r="D99" s="235"/>
      <c r="E99" s="235">
        <v>302060</v>
      </c>
      <c r="F99" s="268"/>
      <c r="G99" s="975" t="s">
        <v>647</v>
      </c>
      <c r="H99" s="235"/>
      <c r="J99" s="801"/>
      <c r="K99" s="801"/>
      <c r="L99" s="801"/>
      <c r="M99" s="801"/>
      <c r="N99" s="870"/>
      <c r="O99" s="957"/>
      <c r="P99" s="957"/>
      <c r="Q99" s="958"/>
      <c r="R99" s="958"/>
      <c r="S99" s="957"/>
      <c r="T99" s="701"/>
      <c r="U99" s="959"/>
      <c r="V99" s="801"/>
      <c r="W99" s="960"/>
      <c r="X99" s="801"/>
      <c r="Y99" s="960"/>
      <c r="Z99" s="801"/>
      <c r="AA99" s="960"/>
      <c r="AB99" s="880"/>
      <c r="AC99" s="960"/>
      <c r="AD99" s="801"/>
      <c r="AE99" s="961"/>
      <c r="AF99" s="801"/>
      <c r="AG99" s="972"/>
      <c r="AH99" s="801"/>
      <c r="AI99" s="973"/>
      <c r="AJ99" s="801"/>
      <c r="AK99" s="823"/>
      <c r="AL99" s="823"/>
      <c r="AM99" s="973"/>
      <c r="AN99" s="823"/>
      <c r="AO99" s="827"/>
      <c r="AP99" s="827"/>
      <c r="AQ99" s="827"/>
      <c r="AR99" s="827"/>
      <c r="AS99" s="827"/>
      <c r="AT99" s="827"/>
      <c r="AU99" s="827"/>
      <c r="AV99" s="827"/>
      <c r="AW99" s="827"/>
      <c r="AX99" s="827"/>
      <c r="AY99" s="860"/>
      <c r="AZ99" s="966"/>
      <c r="BA99" s="801"/>
      <c r="BB99" s="880"/>
      <c r="BC99" s="801"/>
      <c r="BD99" s="801"/>
      <c r="BE99" s="801"/>
      <c r="BF99" s="801"/>
      <c r="BG99" s="801"/>
      <c r="BH99" s="801"/>
      <c r="BI99" s="801"/>
      <c r="BJ99" s="801"/>
      <c r="BK99" s="801"/>
      <c r="BL99" s="801"/>
      <c r="BM99" s="801"/>
      <c r="BN99" s="801"/>
      <c r="BO99" s="801"/>
      <c r="BP99" s="801"/>
      <c r="BQ99" s="801"/>
      <c r="BR99" s="860"/>
      <c r="BS99" s="801"/>
      <c r="BT99" s="801"/>
      <c r="BU99" s="801"/>
      <c r="BV99" s="801"/>
      <c r="BW99" s="801"/>
      <c r="BX99" s="801"/>
      <c r="BY99" s="801"/>
      <c r="BZ99" s="801"/>
      <c r="CA99" s="801"/>
      <c r="CB99" s="801"/>
      <c r="CC99" s="801"/>
      <c r="CD99" s="801"/>
      <c r="CE99" s="801"/>
      <c r="CF99" s="801"/>
      <c r="CG99" s="801"/>
      <c r="CH99" s="801"/>
      <c r="CI99" s="801"/>
      <c r="CJ99" s="801"/>
      <c r="CK99" s="823"/>
      <c r="CL99" s="823"/>
      <c r="CM99" s="823"/>
      <c r="CN99" s="823"/>
      <c r="CO99" s="823"/>
      <c r="CP99" s="823"/>
      <c r="CQ99" s="823"/>
      <c r="CR99" s="823"/>
      <c r="CS99" s="823"/>
      <c r="CV99" s="801"/>
      <c r="CW99" s="801"/>
      <c r="CX99" s="801"/>
      <c r="CY99" s="801"/>
      <c r="CZ99" s="801"/>
      <c r="DA99" s="801"/>
      <c r="DB99" s="801"/>
      <c r="DC99" s="801"/>
      <c r="DD99" s="801"/>
      <c r="DE99" s="801"/>
      <c r="DF99" s="801"/>
      <c r="DG99" s="801"/>
      <c r="DH99" s="801"/>
      <c r="DI99" s="801"/>
      <c r="DJ99" s="801"/>
      <c r="DK99" s="801"/>
      <c r="DL99" s="801"/>
      <c r="DM99" s="801"/>
      <c r="DN99" s="823"/>
      <c r="DO99" s="823"/>
      <c r="DP99" s="823"/>
      <c r="DQ99" s="823"/>
      <c r="DR99" s="823"/>
      <c r="DS99" s="823"/>
      <c r="DT99" s="823"/>
      <c r="DU99" s="823"/>
      <c r="DV99" s="823"/>
      <c r="DW99" s="823"/>
      <c r="DX99" s="823"/>
      <c r="DY99" s="823"/>
      <c r="DZ99" s="823"/>
      <c r="EA99" s="823"/>
      <c r="EB99" s="823"/>
      <c r="EC99" s="823"/>
      <c r="ED99" s="823"/>
      <c r="EE99" s="823"/>
      <c r="EF99" s="823"/>
      <c r="EG99" s="823"/>
      <c r="EH99" s="823"/>
      <c r="EI99" s="823"/>
      <c r="EJ99" s="823"/>
      <c r="EK99" s="823"/>
      <c r="EL99" s="823"/>
      <c r="EM99" s="823"/>
      <c r="EN99" s="823"/>
      <c r="EX99" s="820"/>
      <c r="EY99" s="960"/>
      <c r="FA99" s="960"/>
      <c r="FB99" s="960"/>
      <c r="FC99" s="960"/>
      <c r="FD99" s="960"/>
      <c r="FE99" s="960"/>
      <c r="FF99" s="960"/>
      <c r="FG99" s="960"/>
      <c r="FH99" s="960"/>
      <c r="FI99" s="960"/>
      <c r="FJ99" s="960"/>
      <c r="FK99" s="968"/>
      <c r="FL99" s="968"/>
      <c r="FM99" s="968"/>
      <c r="FN99" s="968"/>
      <c r="FO99" s="968"/>
      <c r="FP99" s="974"/>
    </row>
    <row r="100" spans="1:184" s="216" customFormat="1" ht="15" customHeight="1" outlineLevel="1">
      <c r="A100" s="1005" t="s">
        <v>52</v>
      </c>
      <c r="B100" s="1005" t="s">
        <v>52</v>
      </c>
      <c r="C100" s="1006" t="s">
        <v>52</v>
      </c>
      <c r="D100" s="235"/>
      <c r="E100" s="235"/>
      <c r="F100" s="268"/>
      <c r="G100" s="975" t="s">
        <v>648</v>
      </c>
      <c r="H100" s="235"/>
      <c r="J100" s="801"/>
      <c r="K100" s="801"/>
      <c r="L100" s="801"/>
      <c r="M100" s="801"/>
      <c r="N100" s="870"/>
      <c r="O100" s="957"/>
      <c r="P100" s="957"/>
      <c r="Q100" s="958"/>
      <c r="R100" s="958"/>
      <c r="S100" s="957"/>
      <c r="T100" s="701"/>
      <c r="U100" s="959"/>
      <c r="V100" s="801"/>
      <c r="W100" s="960"/>
      <c r="X100" s="801"/>
      <c r="Y100" s="960"/>
      <c r="Z100" s="801"/>
      <c r="AA100" s="960"/>
      <c r="AB100" s="880"/>
      <c r="AC100" s="960"/>
      <c r="AD100" s="801"/>
      <c r="AE100" s="961"/>
      <c r="AF100" s="801"/>
      <c r="AG100" s="972"/>
      <c r="AH100" s="801"/>
      <c r="AI100" s="973"/>
      <c r="AJ100" s="801"/>
      <c r="AK100" s="823"/>
      <c r="AL100" s="823"/>
      <c r="AM100" s="973"/>
      <c r="AN100" s="823"/>
      <c r="AO100" s="827"/>
      <c r="AP100" s="827"/>
      <c r="AQ100" s="827"/>
      <c r="AR100" s="827"/>
      <c r="AS100" s="827"/>
      <c r="AT100" s="827"/>
      <c r="AU100" s="827"/>
      <c r="AV100" s="827"/>
      <c r="AW100" s="827"/>
      <c r="AX100" s="827"/>
      <c r="AY100" s="860"/>
      <c r="AZ100" s="966"/>
      <c r="BA100" s="801"/>
      <c r="BB100" s="880"/>
      <c r="BC100" s="801"/>
      <c r="BD100" s="801"/>
      <c r="BE100" s="801"/>
      <c r="BF100" s="801"/>
      <c r="BG100" s="801"/>
      <c r="BH100" s="801"/>
      <c r="BI100" s="801"/>
      <c r="BJ100" s="801"/>
      <c r="BK100" s="801"/>
      <c r="BL100" s="801"/>
      <c r="BM100" s="801"/>
      <c r="BN100" s="801"/>
      <c r="BO100" s="801"/>
      <c r="BP100" s="801"/>
      <c r="BQ100" s="801"/>
      <c r="BR100" s="860"/>
      <c r="BS100" s="801"/>
      <c r="BT100" s="801"/>
      <c r="BU100" s="801"/>
      <c r="BV100" s="801"/>
      <c r="BW100" s="801"/>
      <c r="BX100" s="801"/>
      <c r="BY100" s="801"/>
      <c r="BZ100" s="801"/>
      <c r="CA100" s="801"/>
      <c r="CB100" s="801"/>
      <c r="CC100" s="801"/>
      <c r="CD100" s="801"/>
      <c r="CE100" s="801"/>
      <c r="CF100" s="801"/>
      <c r="CG100" s="801"/>
      <c r="CH100" s="801"/>
      <c r="CI100" s="801"/>
      <c r="CJ100" s="801"/>
      <c r="CK100" s="823"/>
      <c r="CL100" s="823"/>
      <c r="CM100" s="823"/>
      <c r="CN100" s="823"/>
      <c r="CO100" s="823"/>
      <c r="CP100" s="823"/>
      <c r="CQ100" s="823"/>
      <c r="CR100" s="823"/>
      <c r="CS100" s="823"/>
      <c r="CV100" s="801"/>
      <c r="CW100" s="801"/>
      <c r="CX100" s="801"/>
      <c r="CY100" s="801"/>
      <c r="CZ100" s="801"/>
      <c r="DA100" s="801"/>
      <c r="DB100" s="801"/>
      <c r="DC100" s="801"/>
      <c r="DD100" s="801"/>
      <c r="DE100" s="801"/>
      <c r="DF100" s="801"/>
      <c r="DG100" s="801"/>
      <c r="DH100" s="801"/>
      <c r="DI100" s="801"/>
      <c r="DJ100" s="801"/>
      <c r="DK100" s="801"/>
      <c r="DL100" s="801"/>
      <c r="DM100" s="801"/>
      <c r="DN100" s="823"/>
      <c r="DO100" s="823"/>
      <c r="DP100" s="823"/>
      <c r="DQ100" s="823"/>
      <c r="DR100" s="823"/>
      <c r="DS100" s="823"/>
      <c r="DT100" s="823"/>
      <c r="DU100" s="823"/>
      <c r="DV100" s="823"/>
      <c r="DW100" s="823"/>
      <c r="DX100" s="823"/>
      <c r="DY100" s="823"/>
      <c r="DZ100" s="823"/>
      <c r="EA100" s="823"/>
      <c r="EB100" s="823"/>
      <c r="EC100" s="823"/>
      <c r="ED100" s="823"/>
      <c r="EE100" s="823"/>
      <c r="EF100" s="823"/>
      <c r="EG100" s="823"/>
      <c r="EH100" s="823"/>
      <c r="EI100" s="823"/>
      <c r="EJ100" s="823"/>
      <c r="EK100" s="823"/>
      <c r="EL100" s="823"/>
      <c r="EM100" s="823"/>
      <c r="EN100" s="823"/>
      <c r="EX100" s="820"/>
      <c r="EY100" s="960"/>
      <c r="FA100" s="960"/>
      <c r="FB100" s="960"/>
      <c r="FC100" s="960"/>
      <c r="FD100" s="960"/>
      <c r="FE100" s="960"/>
      <c r="FF100" s="960"/>
      <c r="FG100" s="960"/>
      <c r="FH100" s="960"/>
      <c r="FI100" s="960"/>
      <c r="FJ100" s="960"/>
      <c r="FK100" s="968"/>
      <c r="FL100" s="968"/>
      <c r="FM100" s="968"/>
      <c r="FN100" s="968"/>
      <c r="FO100" s="968"/>
      <c r="FP100" s="974"/>
    </row>
    <row r="101" spans="1:184" s="216" customFormat="1" ht="15" customHeight="1" outlineLevel="1" thickBot="1">
      <c r="A101" s="1005" t="s">
        <v>52</v>
      </c>
      <c r="B101" s="1005" t="s">
        <v>52</v>
      </c>
      <c r="C101" s="1006" t="s">
        <v>52</v>
      </c>
      <c r="D101" s="235"/>
      <c r="E101" s="235"/>
      <c r="F101" s="268"/>
      <c r="G101" s="955"/>
      <c r="H101" s="820" t="s">
        <v>109</v>
      </c>
      <c r="J101" s="867">
        <f>+J84+J91+J97</f>
        <v>43359.12</v>
      </c>
      <c r="K101" s="867">
        <f>+K84+K91+K97</f>
        <v>6454.5599999999995</v>
      </c>
      <c r="L101" s="867">
        <f>+L84+L91+L97</f>
        <v>49813.68</v>
      </c>
      <c r="M101" s="801"/>
      <c r="N101" s="870"/>
      <c r="O101" s="957"/>
      <c r="P101" s="957"/>
      <c r="Q101" s="958"/>
      <c r="R101" s="958"/>
      <c r="S101" s="957"/>
      <c r="T101" s="701"/>
      <c r="U101" s="867">
        <f t="shared" ref="U101:AZ101" si="2325">+U84+U91+U97</f>
        <v>27</v>
      </c>
      <c r="V101" s="867">
        <f t="shared" si="2325"/>
        <v>745.35525000000007</v>
      </c>
      <c r="W101" s="867">
        <f t="shared" si="2325"/>
        <v>0</v>
      </c>
      <c r="X101" s="867">
        <f t="shared" si="2325"/>
        <v>0</v>
      </c>
      <c r="Y101" s="867">
        <f t="shared" si="2325"/>
        <v>181</v>
      </c>
      <c r="Z101" s="867">
        <f t="shared" si="2325"/>
        <v>4724.0380000000005</v>
      </c>
      <c r="AA101" s="867">
        <f t="shared" si="2325"/>
        <v>0</v>
      </c>
      <c r="AB101" s="867">
        <f t="shared" si="2325"/>
        <v>0</v>
      </c>
      <c r="AC101" s="867">
        <f t="shared" si="2325"/>
        <v>0</v>
      </c>
      <c r="AD101" s="867">
        <f t="shared" si="2325"/>
        <v>0</v>
      </c>
      <c r="AE101" s="867">
        <f t="shared" si="2325"/>
        <v>0</v>
      </c>
      <c r="AF101" s="867">
        <f t="shared" si="2325"/>
        <v>0</v>
      </c>
      <c r="AG101" s="867">
        <f t="shared" si="2325"/>
        <v>0</v>
      </c>
      <c r="AH101" s="867">
        <f t="shared" si="2325"/>
        <v>0</v>
      </c>
      <c r="AI101" s="867">
        <f t="shared" si="2325"/>
        <v>0</v>
      </c>
      <c r="AJ101" s="867">
        <f t="shared" si="2325"/>
        <v>0</v>
      </c>
      <c r="AK101" s="867">
        <f t="shared" si="2325"/>
        <v>0</v>
      </c>
      <c r="AL101" s="867">
        <f t="shared" si="2325"/>
        <v>0</v>
      </c>
      <c r="AM101" s="867">
        <f t="shared" si="2325"/>
        <v>0</v>
      </c>
      <c r="AN101" s="867">
        <f t="shared" si="2325"/>
        <v>0</v>
      </c>
      <c r="AO101" s="867">
        <f t="shared" si="2325"/>
        <v>0</v>
      </c>
      <c r="AP101" s="867">
        <f t="shared" si="2325"/>
        <v>0</v>
      </c>
      <c r="AQ101" s="867">
        <f t="shared" si="2325"/>
        <v>0</v>
      </c>
      <c r="AR101" s="867">
        <f t="shared" si="2325"/>
        <v>0</v>
      </c>
      <c r="AS101" s="867">
        <f t="shared" si="2325"/>
        <v>0</v>
      </c>
      <c r="AT101" s="867">
        <f t="shared" si="2325"/>
        <v>0</v>
      </c>
      <c r="AU101" s="867">
        <f t="shared" si="2325"/>
        <v>0</v>
      </c>
      <c r="AV101" s="867">
        <f t="shared" si="2325"/>
        <v>0</v>
      </c>
      <c r="AW101" s="867">
        <f t="shared" si="2325"/>
        <v>0</v>
      </c>
      <c r="AX101" s="867">
        <f t="shared" si="2325"/>
        <v>0</v>
      </c>
      <c r="AY101" s="867">
        <f t="shared" si="2325"/>
        <v>0</v>
      </c>
      <c r="AZ101" s="867">
        <f t="shared" si="2325"/>
        <v>0</v>
      </c>
      <c r="BA101" s="867">
        <f t="shared" ref="BA101:CF101" si="2326">+BA84+BA91+BA97</f>
        <v>19129.446</v>
      </c>
      <c r="BB101" s="867">
        <f t="shared" si="2326"/>
        <v>4189.8633333333337</v>
      </c>
      <c r="BC101" s="867">
        <f t="shared" si="2326"/>
        <v>27</v>
      </c>
      <c r="BD101" s="867">
        <f t="shared" si="2326"/>
        <v>745.35525000000007</v>
      </c>
      <c r="BE101" s="867">
        <f t="shared" si="2326"/>
        <v>0</v>
      </c>
      <c r="BF101" s="867">
        <f t="shared" si="2326"/>
        <v>0</v>
      </c>
      <c r="BG101" s="867">
        <f t="shared" si="2326"/>
        <v>0</v>
      </c>
      <c r="BH101" s="867">
        <f t="shared" si="2326"/>
        <v>2518.1373183750002</v>
      </c>
      <c r="BI101" s="867">
        <f t="shared" si="2326"/>
        <v>26582.801901708335</v>
      </c>
      <c r="BJ101" s="867">
        <f t="shared" si="2326"/>
        <v>14728.021000000001</v>
      </c>
      <c r="BK101" s="867">
        <f t="shared" si="2326"/>
        <v>7782.5873333333329</v>
      </c>
      <c r="BL101" s="867">
        <f t="shared" si="2326"/>
        <v>181</v>
      </c>
      <c r="BM101" s="867">
        <f t="shared" si="2326"/>
        <v>4724.0380000000005</v>
      </c>
      <c r="BN101" s="867">
        <f t="shared" si="2326"/>
        <v>0</v>
      </c>
      <c r="BO101" s="867">
        <f t="shared" si="2326"/>
        <v>0</v>
      </c>
      <c r="BP101" s="867">
        <f t="shared" si="2326"/>
        <v>0</v>
      </c>
      <c r="BQ101" s="867">
        <f t="shared" si="2326"/>
        <v>2464.5758753</v>
      </c>
      <c r="BR101" s="867">
        <f t="shared" si="2326"/>
        <v>29699.222208633335</v>
      </c>
      <c r="BS101" s="867">
        <f t="shared" si="2326"/>
        <v>8501.4249999999993</v>
      </c>
      <c r="BT101" s="867">
        <f t="shared" si="2326"/>
        <v>1297.9426666666666</v>
      </c>
      <c r="BU101" s="867">
        <f t="shared" si="2326"/>
        <v>0</v>
      </c>
      <c r="BV101" s="867">
        <f t="shared" si="2326"/>
        <v>0</v>
      </c>
      <c r="BW101" s="867">
        <f t="shared" si="2326"/>
        <v>0</v>
      </c>
      <c r="BX101" s="867">
        <f t="shared" si="2326"/>
        <v>0</v>
      </c>
      <c r="BY101" s="867">
        <f t="shared" si="2326"/>
        <v>0</v>
      </c>
      <c r="BZ101" s="867">
        <f t="shared" si="2326"/>
        <v>1077.1305475000001</v>
      </c>
      <c r="CA101" s="867">
        <f t="shared" si="2326"/>
        <v>10876.498214166668</v>
      </c>
      <c r="CB101" s="867">
        <f t="shared" si="2326"/>
        <v>0</v>
      </c>
      <c r="CC101" s="867">
        <f t="shared" si="2326"/>
        <v>0</v>
      </c>
      <c r="CD101" s="867">
        <f t="shared" si="2326"/>
        <v>0</v>
      </c>
      <c r="CE101" s="867">
        <f t="shared" si="2326"/>
        <v>0</v>
      </c>
      <c r="CF101" s="867">
        <f t="shared" si="2326"/>
        <v>0</v>
      </c>
      <c r="CG101" s="867">
        <f t="shared" ref="CG101:DL101" si="2327">+CG84+CG91+CG97</f>
        <v>0</v>
      </c>
      <c r="CH101" s="867">
        <f t="shared" si="2327"/>
        <v>0</v>
      </c>
      <c r="CI101" s="867">
        <f t="shared" si="2327"/>
        <v>0</v>
      </c>
      <c r="CJ101" s="867">
        <f t="shared" si="2327"/>
        <v>0</v>
      </c>
      <c r="CK101" s="867">
        <f t="shared" si="2327"/>
        <v>0</v>
      </c>
      <c r="CL101" s="867">
        <f t="shared" si="2327"/>
        <v>0</v>
      </c>
      <c r="CM101" s="867">
        <f t="shared" si="2327"/>
        <v>0</v>
      </c>
      <c r="CN101" s="867">
        <f t="shared" si="2327"/>
        <v>0</v>
      </c>
      <c r="CO101" s="867">
        <f t="shared" si="2327"/>
        <v>0</v>
      </c>
      <c r="CP101" s="867">
        <f t="shared" si="2327"/>
        <v>0</v>
      </c>
      <c r="CQ101" s="867">
        <f t="shared" si="2327"/>
        <v>0</v>
      </c>
      <c r="CR101" s="867">
        <f t="shared" si="2327"/>
        <v>0</v>
      </c>
      <c r="CS101" s="867">
        <f t="shared" si="2327"/>
        <v>0</v>
      </c>
      <c r="CT101" s="867">
        <f t="shared" si="2327"/>
        <v>0</v>
      </c>
      <c r="CU101" s="867">
        <f t="shared" si="2327"/>
        <v>0</v>
      </c>
      <c r="CV101" s="867">
        <f t="shared" si="2327"/>
        <v>0</v>
      </c>
      <c r="CW101" s="867">
        <f t="shared" si="2327"/>
        <v>0</v>
      </c>
      <c r="CX101" s="867">
        <f t="shared" si="2327"/>
        <v>0</v>
      </c>
      <c r="CY101" s="867">
        <f t="shared" si="2327"/>
        <v>0</v>
      </c>
      <c r="CZ101" s="867">
        <f t="shared" si="2327"/>
        <v>0</v>
      </c>
      <c r="DA101" s="867">
        <f t="shared" si="2327"/>
        <v>0</v>
      </c>
      <c r="DB101" s="867">
        <f t="shared" si="2327"/>
        <v>0</v>
      </c>
      <c r="DC101" s="867">
        <f t="shared" si="2327"/>
        <v>0</v>
      </c>
      <c r="DD101" s="867">
        <f t="shared" si="2327"/>
        <v>0</v>
      </c>
      <c r="DE101" s="867">
        <f t="shared" si="2327"/>
        <v>0</v>
      </c>
      <c r="DF101" s="867">
        <f t="shared" si="2327"/>
        <v>0</v>
      </c>
      <c r="DG101" s="867">
        <f t="shared" si="2327"/>
        <v>0</v>
      </c>
      <c r="DH101" s="867">
        <f t="shared" si="2327"/>
        <v>0</v>
      </c>
      <c r="DI101" s="867">
        <f t="shared" si="2327"/>
        <v>0</v>
      </c>
      <c r="DJ101" s="867">
        <f t="shared" si="2327"/>
        <v>0</v>
      </c>
      <c r="DK101" s="867">
        <f t="shared" si="2327"/>
        <v>0</v>
      </c>
      <c r="DL101" s="867">
        <f t="shared" si="2327"/>
        <v>0</v>
      </c>
      <c r="DM101" s="867">
        <f t="shared" ref="DM101:EN101" si="2328">+DM84+DM91+DM97</f>
        <v>0</v>
      </c>
      <c r="DN101" s="867">
        <f t="shared" si="2328"/>
        <v>0</v>
      </c>
      <c r="DO101" s="867">
        <f t="shared" si="2328"/>
        <v>0</v>
      </c>
      <c r="DP101" s="867">
        <f t="shared" si="2328"/>
        <v>0</v>
      </c>
      <c r="DQ101" s="867">
        <f t="shared" si="2328"/>
        <v>0</v>
      </c>
      <c r="DR101" s="867">
        <f t="shared" si="2328"/>
        <v>0</v>
      </c>
      <c r="DS101" s="867">
        <f t="shared" si="2328"/>
        <v>0</v>
      </c>
      <c r="DT101" s="867">
        <f t="shared" si="2328"/>
        <v>0</v>
      </c>
      <c r="DU101" s="867">
        <f t="shared" si="2328"/>
        <v>0</v>
      </c>
      <c r="DV101" s="867">
        <f t="shared" si="2328"/>
        <v>0</v>
      </c>
      <c r="DW101" s="867">
        <f t="shared" si="2328"/>
        <v>0</v>
      </c>
      <c r="DX101" s="867">
        <f t="shared" si="2328"/>
        <v>0</v>
      </c>
      <c r="DY101" s="867">
        <f t="shared" si="2328"/>
        <v>0</v>
      </c>
      <c r="DZ101" s="867">
        <f t="shared" si="2328"/>
        <v>0</v>
      </c>
      <c r="EA101" s="867">
        <f t="shared" si="2328"/>
        <v>0</v>
      </c>
      <c r="EB101" s="867">
        <f t="shared" si="2328"/>
        <v>0</v>
      </c>
      <c r="EC101" s="867">
        <f t="shared" si="2328"/>
        <v>0</v>
      </c>
      <c r="ED101" s="867">
        <f t="shared" si="2328"/>
        <v>0</v>
      </c>
      <c r="EE101" s="867">
        <f t="shared" si="2328"/>
        <v>0</v>
      </c>
      <c r="EF101" s="867">
        <f t="shared" si="2328"/>
        <v>42358.892</v>
      </c>
      <c r="EG101" s="867">
        <f t="shared" si="2328"/>
        <v>13270.393333333333</v>
      </c>
      <c r="EH101" s="867">
        <f t="shared" si="2328"/>
        <v>208</v>
      </c>
      <c r="EI101" s="867">
        <f t="shared" si="2328"/>
        <v>5469.3932500000001</v>
      </c>
      <c r="EJ101" s="867">
        <f t="shared" si="2328"/>
        <v>0</v>
      </c>
      <c r="EK101" s="867">
        <f t="shared" si="2328"/>
        <v>0</v>
      </c>
      <c r="EL101" s="867">
        <f t="shared" si="2328"/>
        <v>0</v>
      </c>
      <c r="EM101" s="867">
        <f t="shared" si="2328"/>
        <v>6059.8437411750001</v>
      </c>
      <c r="EN101" s="867">
        <f t="shared" si="2328"/>
        <v>67158.522324508347</v>
      </c>
      <c r="EO101" s="867"/>
      <c r="EP101" s="867">
        <f t="shared" ref="EP101:EY101" si="2329">+EP84+EP91+EP97</f>
        <v>1281.22</v>
      </c>
      <c r="EQ101" s="867">
        <f t="shared" si="2329"/>
        <v>0</v>
      </c>
      <c r="ER101" s="867">
        <f t="shared" si="2329"/>
        <v>650</v>
      </c>
      <c r="ES101" s="867">
        <f t="shared" si="2329"/>
        <v>3472.5</v>
      </c>
      <c r="ET101" s="867">
        <f t="shared" si="2329"/>
        <v>187.2</v>
      </c>
      <c r="EU101" s="867">
        <f t="shared" si="2329"/>
        <v>0</v>
      </c>
      <c r="EV101" s="867">
        <f t="shared" si="2329"/>
        <v>0</v>
      </c>
      <c r="EW101" s="867">
        <f t="shared" si="2329"/>
        <v>0</v>
      </c>
      <c r="EX101" s="867">
        <f t="shared" si="2329"/>
        <v>0</v>
      </c>
      <c r="EY101" s="867">
        <f t="shared" si="2329"/>
        <v>187.2</v>
      </c>
      <c r="EZ101" s="867"/>
      <c r="FA101" s="867">
        <f t="shared" ref="FA101:FP101" si="2330">+FA84+FA91+FA97</f>
        <v>1281.22</v>
      </c>
      <c r="FB101" s="867">
        <f t="shared" si="2330"/>
        <v>0</v>
      </c>
      <c r="FC101" s="867">
        <f t="shared" si="2330"/>
        <v>650</v>
      </c>
      <c r="FD101" s="867">
        <f t="shared" si="2330"/>
        <v>3472.5</v>
      </c>
      <c r="FE101" s="867">
        <f t="shared" si="2330"/>
        <v>187.2</v>
      </c>
      <c r="FF101" s="867">
        <f t="shared" si="2330"/>
        <v>0</v>
      </c>
      <c r="FG101" s="867">
        <f t="shared" si="2330"/>
        <v>0</v>
      </c>
      <c r="FH101" s="867">
        <f t="shared" si="2330"/>
        <v>0</v>
      </c>
      <c r="FI101" s="867">
        <f t="shared" si="2330"/>
        <v>0</v>
      </c>
      <c r="FJ101" s="867">
        <f t="shared" si="2330"/>
        <v>187.2</v>
      </c>
      <c r="FK101" s="867">
        <f t="shared" si="2330"/>
        <v>1.4</v>
      </c>
      <c r="FL101" s="867">
        <f t="shared" si="2330"/>
        <v>0.4</v>
      </c>
      <c r="FM101" s="867">
        <f t="shared" si="2330"/>
        <v>0.2</v>
      </c>
      <c r="FN101" s="867">
        <f t="shared" si="2330"/>
        <v>0</v>
      </c>
      <c r="FO101" s="867">
        <f t="shared" si="2330"/>
        <v>0</v>
      </c>
      <c r="FP101" s="867">
        <f t="shared" si="2330"/>
        <v>2</v>
      </c>
    </row>
    <row r="102" spans="1:184" s="216" customFormat="1" ht="15" customHeight="1" outlineLevel="1" thickTop="1">
      <c r="A102" s="1005" t="str">
        <f t="shared" ref="A102:A113" si="2331">$G$4</f>
        <v>JUNIO  2026 2da QUINCENA</v>
      </c>
      <c r="B102" s="1005">
        <f t="shared" ref="B102:B113" si="2332">+$G$5</f>
        <v>2026</v>
      </c>
      <c r="C102" s="1006" t="str">
        <f t="shared" si="1564"/>
        <v>JUNIO  2026 2da QUINCENA2026</v>
      </c>
      <c r="D102" s="235"/>
      <c r="E102" s="235">
        <v>303010</v>
      </c>
      <c r="F102" s="268"/>
      <c r="G102" s="976" t="s">
        <v>144</v>
      </c>
      <c r="H102" s="235"/>
      <c r="J102" s="801"/>
      <c r="K102" s="801"/>
      <c r="L102" s="801"/>
      <c r="M102" s="801"/>
      <c r="N102" s="870"/>
      <c r="O102" s="957"/>
      <c r="P102" s="957"/>
      <c r="Q102" s="958"/>
      <c r="R102" s="958"/>
      <c r="S102" s="957"/>
      <c r="T102" s="701"/>
      <c r="U102" s="959"/>
      <c r="V102" s="801"/>
      <c r="W102" s="960"/>
      <c r="X102" s="801"/>
      <c r="Y102" s="960"/>
      <c r="Z102" s="801"/>
      <c r="AA102" s="960"/>
      <c r="AB102" s="880"/>
      <c r="AC102" s="960"/>
      <c r="AD102" s="801"/>
      <c r="AE102" s="961"/>
      <c r="AF102" s="801"/>
      <c r="AG102" s="972"/>
      <c r="AH102" s="801"/>
      <c r="AI102" s="973"/>
      <c r="AJ102" s="801"/>
      <c r="AK102" s="823"/>
      <c r="AL102" s="823"/>
      <c r="AM102" s="973"/>
      <c r="AN102" s="823"/>
      <c r="AO102" s="827"/>
      <c r="AP102" s="827"/>
      <c r="AQ102" s="827"/>
      <c r="AR102" s="827"/>
      <c r="AS102" s="827"/>
      <c r="AT102" s="827"/>
      <c r="AU102" s="827"/>
      <c r="AV102" s="827"/>
      <c r="AW102" s="827"/>
      <c r="AX102" s="827"/>
      <c r="AY102" s="860"/>
      <c r="AZ102" s="966"/>
      <c r="BA102" s="801"/>
      <c r="BB102" s="880"/>
      <c r="BC102" s="801"/>
      <c r="BD102" s="801"/>
      <c r="BE102" s="801"/>
      <c r="BF102" s="801"/>
      <c r="BG102" s="801"/>
      <c r="BH102" s="801"/>
      <c r="BI102" s="801"/>
      <c r="BJ102" s="801"/>
      <c r="BK102" s="801"/>
      <c r="BL102" s="801"/>
      <c r="BM102" s="801"/>
      <c r="BN102" s="801"/>
      <c r="BO102" s="801"/>
      <c r="BP102" s="801"/>
      <c r="BQ102" s="801"/>
      <c r="BR102" s="860"/>
      <c r="BS102" s="801"/>
      <c r="BT102" s="801"/>
      <c r="BU102" s="801"/>
      <c r="BV102" s="801"/>
      <c r="BW102" s="801"/>
      <c r="BX102" s="801"/>
      <c r="BY102" s="801"/>
      <c r="BZ102" s="801"/>
      <c r="CA102" s="801"/>
      <c r="CB102" s="801"/>
      <c r="CC102" s="801"/>
      <c r="CD102" s="801"/>
      <c r="CE102" s="801"/>
      <c r="CF102" s="801"/>
      <c r="CG102" s="801"/>
      <c r="CH102" s="801"/>
      <c r="CI102" s="801"/>
      <c r="CJ102" s="801"/>
      <c r="CK102" s="823"/>
      <c r="CL102" s="823"/>
      <c r="CM102" s="823"/>
      <c r="CN102" s="823"/>
      <c r="CO102" s="823"/>
      <c r="CP102" s="823"/>
      <c r="CQ102" s="823"/>
      <c r="CR102" s="823"/>
      <c r="CS102" s="823"/>
      <c r="CV102" s="801"/>
      <c r="CW102" s="801"/>
      <c r="CX102" s="801"/>
      <c r="CY102" s="801"/>
      <c r="CZ102" s="801"/>
      <c r="DA102" s="801"/>
      <c r="DB102" s="801"/>
      <c r="DC102" s="801"/>
      <c r="DD102" s="801"/>
      <c r="DE102" s="801"/>
      <c r="DF102" s="801"/>
      <c r="DG102" s="801"/>
      <c r="DH102" s="801"/>
      <c r="DI102" s="801"/>
      <c r="DJ102" s="801"/>
      <c r="DK102" s="801"/>
      <c r="DL102" s="801"/>
      <c r="DM102" s="801"/>
      <c r="DN102" s="823"/>
      <c r="DO102" s="823"/>
      <c r="DP102" s="823"/>
      <c r="DQ102" s="823"/>
      <c r="DR102" s="823"/>
      <c r="DS102" s="823"/>
      <c r="DT102" s="823"/>
      <c r="DU102" s="823"/>
      <c r="DV102" s="823"/>
      <c r="DW102" s="823"/>
      <c r="DX102" s="823"/>
      <c r="DY102" s="823"/>
      <c r="DZ102" s="823"/>
      <c r="EA102" s="823"/>
      <c r="EB102" s="823"/>
      <c r="EC102" s="823"/>
      <c r="ED102" s="823"/>
      <c r="EE102" s="823"/>
      <c r="EF102" s="823"/>
      <c r="EG102" s="823"/>
      <c r="EH102" s="823"/>
      <c r="EI102" s="823"/>
      <c r="EJ102" s="823"/>
      <c r="EK102" s="823"/>
      <c r="EL102" s="823"/>
      <c r="EM102" s="823"/>
      <c r="EN102" s="823"/>
      <c r="EX102" s="820"/>
      <c r="EY102" s="960"/>
      <c r="FA102" s="960"/>
      <c r="FB102" s="960"/>
      <c r="FC102" s="960"/>
      <c r="FD102" s="960"/>
      <c r="FE102" s="960"/>
      <c r="FF102" s="960"/>
      <c r="FG102" s="960"/>
      <c r="FH102" s="960"/>
      <c r="FI102" s="960"/>
      <c r="FJ102" s="960"/>
      <c r="FK102" s="968"/>
      <c r="FL102" s="968"/>
      <c r="FM102" s="968"/>
      <c r="FN102" s="968"/>
      <c r="FO102" s="968"/>
      <c r="FP102" s="974"/>
    </row>
    <row r="103" spans="1:184" s="216" customFormat="1" ht="15" customHeight="1" outlineLevel="1">
      <c r="A103" s="1005" t="str">
        <f t="shared" si="2331"/>
        <v>JUNIO  2026 2da QUINCENA</v>
      </c>
      <c r="B103" s="1005">
        <f t="shared" si="2332"/>
        <v>2026</v>
      </c>
      <c r="C103" s="1006" t="str">
        <f t="shared" si="1564"/>
        <v>JUNIO  2026 2da QUINCENA2026</v>
      </c>
      <c r="D103" s="235" t="str">
        <f>+$G$102</f>
        <v>Compras</v>
      </c>
      <c r="E103" s="235">
        <v>303010</v>
      </c>
      <c r="F103" s="268"/>
      <c r="G103" s="975" t="s">
        <v>622</v>
      </c>
      <c r="H103" s="235"/>
      <c r="J103" s="801"/>
      <c r="K103" s="801"/>
      <c r="L103" s="801"/>
      <c r="M103" s="801"/>
      <c r="N103" s="870"/>
      <c r="O103" s="957"/>
      <c r="P103" s="957"/>
      <c r="Q103" s="958"/>
      <c r="R103" s="958"/>
      <c r="S103" s="957"/>
      <c r="T103" s="701"/>
      <c r="U103" s="959"/>
      <c r="V103" s="801"/>
      <c r="W103" s="960"/>
      <c r="X103" s="801"/>
      <c r="Y103" s="960"/>
      <c r="Z103" s="801"/>
      <c r="AA103" s="960"/>
      <c r="AB103" s="880"/>
      <c r="AC103" s="960"/>
      <c r="AD103" s="801"/>
      <c r="AE103" s="961"/>
      <c r="AF103" s="801"/>
      <c r="AG103" s="972"/>
      <c r="AH103" s="801"/>
      <c r="AI103" s="973"/>
      <c r="AJ103" s="801"/>
      <c r="AK103" s="823"/>
      <c r="AL103" s="823"/>
      <c r="AM103" s="973"/>
      <c r="AN103" s="823"/>
      <c r="AO103" s="827"/>
      <c r="AP103" s="827"/>
      <c r="AQ103" s="827"/>
      <c r="AR103" s="827"/>
      <c r="AS103" s="827"/>
      <c r="AT103" s="827"/>
      <c r="AU103" s="827"/>
      <c r="AV103" s="827"/>
      <c r="AW103" s="827"/>
      <c r="AX103" s="827"/>
      <c r="AY103" s="860"/>
      <c r="AZ103" s="966"/>
      <c r="BA103" s="801"/>
      <c r="BB103" s="880"/>
      <c r="BC103" s="801"/>
      <c r="BD103" s="801"/>
      <c r="BE103" s="801"/>
      <c r="BF103" s="801"/>
      <c r="BG103" s="801"/>
      <c r="BH103" s="801"/>
      <c r="BI103" s="801"/>
      <c r="BJ103" s="801"/>
      <c r="BK103" s="801"/>
      <c r="BL103" s="801"/>
      <c r="BM103" s="801"/>
      <c r="BN103" s="801"/>
      <c r="BO103" s="801"/>
      <c r="BP103" s="801"/>
      <c r="BQ103" s="801"/>
      <c r="BR103" s="860"/>
      <c r="BS103" s="801"/>
      <c r="BT103" s="801"/>
      <c r="BU103" s="801"/>
      <c r="BV103" s="801"/>
      <c r="BW103" s="801"/>
      <c r="BX103" s="801"/>
      <c r="BY103" s="801"/>
      <c r="BZ103" s="801"/>
      <c r="CA103" s="801"/>
      <c r="CB103" s="801"/>
      <c r="CC103" s="801"/>
      <c r="CD103" s="801"/>
      <c r="CE103" s="801"/>
      <c r="CF103" s="801"/>
      <c r="CG103" s="801"/>
      <c r="CH103" s="801"/>
      <c r="CI103" s="801"/>
      <c r="CJ103" s="801"/>
      <c r="CK103" s="823"/>
      <c r="CL103" s="823"/>
      <c r="CM103" s="823"/>
      <c r="CN103" s="823"/>
      <c r="CO103" s="823"/>
      <c r="CP103" s="823"/>
      <c r="CQ103" s="823"/>
      <c r="CR103" s="823"/>
      <c r="CS103" s="823"/>
      <c r="CV103" s="801"/>
      <c r="CW103" s="801"/>
      <c r="CX103" s="801"/>
      <c r="CY103" s="801"/>
      <c r="CZ103" s="801"/>
      <c r="DA103" s="801"/>
      <c r="DB103" s="801"/>
      <c r="DC103" s="801"/>
      <c r="DD103" s="801"/>
      <c r="DE103" s="801"/>
      <c r="DF103" s="801"/>
      <c r="DG103" s="801"/>
      <c r="DH103" s="801"/>
      <c r="DI103" s="801"/>
      <c r="DJ103" s="801"/>
      <c r="DK103" s="801"/>
      <c r="DL103" s="801"/>
      <c r="DM103" s="801"/>
      <c r="DN103" s="823"/>
      <c r="DO103" s="823"/>
      <c r="DP103" s="823"/>
      <c r="DQ103" s="823"/>
      <c r="DR103" s="823"/>
      <c r="DS103" s="823"/>
      <c r="DT103" s="823"/>
      <c r="DU103" s="823"/>
      <c r="DV103" s="823"/>
      <c r="DW103" s="823"/>
      <c r="DX103" s="823"/>
      <c r="DY103" s="823"/>
      <c r="DZ103" s="823"/>
      <c r="EA103" s="823"/>
      <c r="EB103" s="823"/>
      <c r="EC103" s="823"/>
      <c r="ED103" s="823"/>
      <c r="EE103" s="823"/>
      <c r="EF103" s="823"/>
      <c r="EG103" s="823"/>
      <c r="EH103" s="823"/>
      <c r="EI103" s="823"/>
      <c r="EJ103" s="823"/>
      <c r="EK103" s="823"/>
      <c r="EL103" s="823"/>
      <c r="EM103" s="823"/>
      <c r="EN103" s="823"/>
      <c r="EX103" s="820"/>
      <c r="EY103" s="960"/>
      <c r="FA103" s="960"/>
      <c r="FB103" s="960"/>
      <c r="FC103" s="960"/>
      <c r="FD103" s="960"/>
      <c r="FE103" s="960"/>
      <c r="FF103" s="960"/>
      <c r="FG103" s="960"/>
      <c r="FH103" s="960"/>
      <c r="FI103" s="960"/>
      <c r="FJ103" s="960"/>
      <c r="FK103" s="968"/>
      <c r="FL103" s="968"/>
      <c r="FM103" s="968"/>
      <c r="FN103" s="968"/>
      <c r="FO103" s="968"/>
      <c r="FP103" s="974"/>
    </row>
    <row r="104" spans="1:184" s="216" customFormat="1" ht="15" customHeight="1" outlineLevel="1">
      <c r="A104" s="1005"/>
      <c r="B104" s="1005"/>
      <c r="C104" s="1006"/>
      <c r="D104" s="235"/>
      <c r="E104" s="235">
        <v>303010</v>
      </c>
      <c r="F104" s="268"/>
      <c r="G104" s="199" t="s">
        <v>740</v>
      </c>
      <c r="H104" s="200" t="s">
        <v>741</v>
      </c>
      <c r="I104" s="200" t="s">
        <v>11</v>
      </c>
      <c r="J104" s="203">
        <v>13000</v>
      </c>
      <c r="K104" s="836">
        <v>2000</v>
      </c>
      <c r="L104" s="836">
        <f t="shared" ref="L104" si="2333">+J104+K104</f>
        <v>15000</v>
      </c>
      <c r="M104" s="203">
        <v>30</v>
      </c>
      <c r="N104" s="204">
        <v>0.4</v>
      </c>
      <c r="O104" s="204">
        <v>0.48</v>
      </c>
      <c r="P104" s="204">
        <v>0.12</v>
      </c>
      <c r="Q104" s="866">
        <v>0</v>
      </c>
      <c r="R104" s="204">
        <v>0</v>
      </c>
      <c r="S104" s="204">
        <f t="shared" ref="S104:S106" si="2334">SUM(N104:R104)</f>
        <v>1</v>
      </c>
      <c r="T104" s="701"/>
      <c r="U104" s="238"/>
      <c r="V104" s="239">
        <f t="shared" ref="V104" si="2335">($J104/30/8*1.5)*U104</f>
        <v>0</v>
      </c>
      <c r="W104" s="265"/>
      <c r="X104" s="239">
        <f t="shared" ref="X104" si="2336">($J104/30/8*2)*W104</f>
        <v>0</v>
      </c>
      <c r="Y104" s="238"/>
      <c r="Z104" s="239">
        <f t="shared" ref="Z104" si="2337">($J104/30/8*1.5)*Y104</f>
        <v>0</v>
      </c>
      <c r="AA104" s="265"/>
      <c r="AB104" s="239">
        <f t="shared" ref="AB104" si="2338">($J104/30/8*2)*AA104</f>
        <v>0</v>
      </c>
      <c r="AC104" s="265"/>
      <c r="AD104" s="239">
        <f t="shared" ref="AD104" si="2339">(($J104/30/8)*1.5)*AC104</f>
        <v>0</v>
      </c>
      <c r="AE104" s="838"/>
      <c r="AF104" s="239">
        <f t="shared" ref="AF104" si="2340">(($J104/30/8)*2)*AE104</f>
        <v>0</v>
      </c>
      <c r="AG104" s="838"/>
      <c r="AH104" s="239">
        <f t="shared" ref="AH104" si="2341">(($J104/30/8)*1.5)*AG104</f>
        <v>0</v>
      </c>
      <c r="AI104" s="838"/>
      <c r="AJ104" s="239">
        <f t="shared" ref="AJ104" si="2342">(($J104/30/8)*2)*AI104</f>
        <v>0</v>
      </c>
      <c r="AK104" s="239"/>
      <c r="AL104" s="239">
        <f t="shared" ref="AL104" si="2343">(($J104/30/8)*1.5)*AK104</f>
        <v>0</v>
      </c>
      <c r="AM104" s="838"/>
      <c r="AN104" s="239">
        <f t="shared" ref="AN104" si="2344">(($J104/30/8)*2)*AM104</f>
        <v>0</v>
      </c>
      <c r="AO104" s="836"/>
      <c r="AP104" s="836"/>
      <c r="AQ104" s="836"/>
      <c r="AR104" s="836"/>
      <c r="AS104" s="836"/>
      <c r="AT104" s="836"/>
      <c r="AU104" s="836"/>
      <c r="AV104" s="836"/>
      <c r="AW104" s="836"/>
      <c r="AX104" s="836"/>
      <c r="AY104" s="836"/>
      <c r="AZ104" s="879"/>
      <c r="BA104" s="239">
        <f t="shared" ref="BA104" si="2345">((J104/30)*M104)*$N104</f>
        <v>5200</v>
      </c>
      <c r="BB104" s="239">
        <f>((K104/30)*M104)*$N104</f>
        <v>800.00000000000011</v>
      </c>
      <c r="BC104" s="836">
        <f t="shared" ref="BC104" si="2346">U104</f>
        <v>0</v>
      </c>
      <c r="BD104" s="239">
        <f t="shared" ref="BD104" si="2347">V104</f>
        <v>0</v>
      </c>
      <c r="BE104" s="239">
        <f t="shared" ref="BE104" si="2348">W104</f>
        <v>0</v>
      </c>
      <c r="BF104" s="239">
        <f t="shared" ref="BF104" si="2349">X104</f>
        <v>0</v>
      </c>
      <c r="BG104" s="239">
        <f t="shared" ref="BG104" si="2350">AO104+AT104</f>
        <v>0</v>
      </c>
      <c r="BH104" s="203">
        <f t="shared" ref="BH104" si="2351">(BA104+BD104+BF104+BG104)*0.1267</f>
        <v>658.84</v>
      </c>
      <c r="BI104" s="239">
        <f t="shared" ref="BI104" si="2352">SUM(BA104:BH104)-BC104-BE104</f>
        <v>6658.84</v>
      </c>
      <c r="BJ104" s="239">
        <f t="shared" ref="BJ104" si="2353">(($J104/30)*$M104)*$O104</f>
        <v>6240</v>
      </c>
      <c r="BK104" s="239">
        <f>(($K104/30)*$M104)*$O104</f>
        <v>960.00000000000011</v>
      </c>
      <c r="BL104" s="239">
        <f t="shared" ref="BL104" si="2354">Y104</f>
        <v>0</v>
      </c>
      <c r="BM104" s="239">
        <f t="shared" ref="BM104" si="2355">Z104</f>
        <v>0</v>
      </c>
      <c r="BN104" s="239">
        <f t="shared" ref="BN104" si="2356">AA104</f>
        <v>0</v>
      </c>
      <c r="BO104" s="239">
        <f t="shared" ref="BO104" si="2357">AB104</f>
        <v>0</v>
      </c>
      <c r="BP104" s="239">
        <f t="shared" ref="BP104" si="2358">AP104+AU104</f>
        <v>0</v>
      </c>
      <c r="BQ104" s="203">
        <f t="shared" ref="BQ104" si="2359">(+BJ104+BM104+BO104+BP104)*0.1267</f>
        <v>790.60800000000006</v>
      </c>
      <c r="BR104" s="836">
        <f t="shared" ref="BR104" si="2360">SUM(BJ104:BQ104)-BL104-BN104</f>
        <v>7990.6080000000002</v>
      </c>
      <c r="BS104" s="239">
        <f t="shared" ref="BS104" si="2361">(($J104/30)*$M104)*$P104</f>
        <v>1560</v>
      </c>
      <c r="BT104" s="239">
        <f>(($K104/30)*$M104)*$P104</f>
        <v>240.00000000000003</v>
      </c>
      <c r="BU104" s="239">
        <f t="shared" ref="BU104" si="2362">AC104</f>
        <v>0</v>
      </c>
      <c r="BV104" s="239">
        <f t="shared" ref="BV104" si="2363">AD104</f>
        <v>0</v>
      </c>
      <c r="BW104" s="239">
        <f t="shared" ref="BW104" si="2364">AE104</f>
        <v>0</v>
      </c>
      <c r="BX104" s="239">
        <f t="shared" ref="BX104" si="2365">AF104</f>
        <v>0</v>
      </c>
      <c r="BY104" s="239">
        <f t="shared" ref="BY104" si="2366">AQ104+AV104</f>
        <v>0</v>
      </c>
      <c r="BZ104" s="203">
        <f t="shared" ref="BZ104" si="2367">(BS104+BV104+BX104+BY104)*0.1267</f>
        <v>197.65200000000002</v>
      </c>
      <c r="CA104" s="239">
        <f t="shared" ref="CA104" si="2368">SUM(BS104:BZ104)-BU104-BW104</f>
        <v>1997.652</v>
      </c>
      <c r="CB104" s="874">
        <f t="shared" ref="CB104" si="2369">(($J104/30)*$M104)*$Q104</f>
        <v>0</v>
      </c>
      <c r="CC104" s="875">
        <f t="shared" ref="CC104" si="2370">(($K104/30)*$M104)*$Q104</f>
        <v>0</v>
      </c>
      <c r="CD104" s="875">
        <f t="shared" ref="CD104" si="2371">AG104</f>
        <v>0</v>
      </c>
      <c r="CE104" s="875">
        <f t="shared" ref="CE104" si="2372">AH104</f>
        <v>0</v>
      </c>
      <c r="CF104" s="875">
        <f t="shared" ref="CF104" si="2373">AI104</f>
        <v>0</v>
      </c>
      <c r="CG104" s="875">
        <f t="shared" ref="CG104" si="2374">AJ104</f>
        <v>0</v>
      </c>
      <c r="CH104" s="875">
        <f t="shared" ref="CH104" si="2375">AR104+AW104</f>
        <v>0</v>
      </c>
      <c r="CI104" s="703">
        <f t="shared" ref="CI104" si="2376">(CB104+CE104+CG104+CH104)*0.1267</f>
        <v>0</v>
      </c>
      <c r="CJ104" s="875">
        <f t="shared" ref="CJ104" si="2377">SUM(CB104:CI104)-CD104-CF104</f>
        <v>0</v>
      </c>
      <c r="CK104" s="875">
        <f t="shared" ref="CK104" si="2378">(($J104/30)*$M104)*R104</f>
        <v>0</v>
      </c>
      <c r="CL104" s="875">
        <f t="shared" ref="CL104" si="2379">(($K104/30)*$M104)*$R104</f>
        <v>0</v>
      </c>
      <c r="CM104" s="875">
        <f t="shared" ref="CM104" si="2380">+AK104</f>
        <v>0</v>
      </c>
      <c r="CN104" s="875">
        <f t="shared" ref="CN104" si="2381">AL104</f>
        <v>0</v>
      </c>
      <c r="CO104" s="875">
        <f t="shared" ref="CO104" si="2382">AM104</f>
        <v>0</v>
      </c>
      <c r="CP104" s="875">
        <f t="shared" ref="CP104" si="2383">AN104</f>
        <v>0</v>
      </c>
      <c r="CQ104" s="875">
        <f t="shared" ref="CQ104" si="2384">AS104+AX104</f>
        <v>0</v>
      </c>
      <c r="CR104" s="875">
        <f t="shared" ref="CR104" si="2385">(CK104+CN104+CP104)*0.1267</f>
        <v>0</v>
      </c>
      <c r="CS104" s="876">
        <f t="shared" ref="CS104" si="2386">SUM(CK104:CR104)-CM104-CO104</f>
        <v>0</v>
      </c>
      <c r="CT104" s="235"/>
      <c r="CU104" s="201" t="s">
        <v>11</v>
      </c>
      <c r="CV104" s="203">
        <f t="shared" ref="CV104" si="2387">IF($CU104="PROQUIMA",$BA104+$BJ104+$BS104+$CB104+$CK104,0)</f>
        <v>0</v>
      </c>
      <c r="CW104" s="203">
        <f t="shared" ref="CW104" si="2388">IF($CU104="PROQUIMA",$BB104+$BK104+$BT104+$CC104+$CL104,0)</f>
        <v>0</v>
      </c>
      <c r="CX104" s="203">
        <f t="shared" ref="CX104" si="2389">IF($CU104="PROQUIMA",$BC104+$BL104+$BU104+$CD104+$CM104,0)</f>
        <v>0</v>
      </c>
      <c r="CY104" s="203">
        <f t="shared" ref="CY104" si="2390">IF($CU104="PROQUIMA",$BD104+$BM104+$BV104+$CE104+$CN104,0)</f>
        <v>0</v>
      </c>
      <c r="CZ104" s="203">
        <f t="shared" ref="CZ104" si="2391">IF($CU104="PROQUIMA",$BE104+$BN104+$BW104+$CF104+$CO104,0)</f>
        <v>0</v>
      </c>
      <c r="DA104" s="203">
        <f t="shared" ref="DA104" si="2392">IF($CU104="PROQUIMA",$BF104+$BO104+$BX104+$CG104+$CP104,0)</f>
        <v>0</v>
      </c>
      <c r="DB104" s="203">
        <f t="shared" ref="DB104" si="2393">IF($CU104="PROQUIMA",$BG104+$BP104+$BY104+$CH104+$CQ104,0)</f>
        <v>0</v>
      </c>
      <c r="DC104" s="203">
        <f t="shared" ref="DC104" si="2394">IF($CU104="PROQUIMA",$BH104+$BQ104+$BZ104+$CI104+CR104,0)</f>
        <v>0</v>
      </c>
      <c r="DD104" s="203">
        <f t="shared" ref="DD104" si="2395">SUM(CV104:DC104)-CX104-CZ104</f>
        <v>0</v>
      </c>
      <c r="DE104" s="203">
        <f t="shared" ref="DE104" si="2396">IF($CU104="UNHESA",$BA104+$BJ104+$BS104+$CB104+$CK104,0)</f>
        <v>0</v>
      </c>
      <c r="DF104" s="203">
        <f t="shared" ref="DF104" si="2397">IF($CU104="UNHESA",$BB104+$BK104+$BT104+$CC104+$CL104,0)</f>
        <v>0</v>
      </c>
      <c r="DG104" s="239">
        <f t="shared" ref="DG104" si="2398">IF($CU104="UNHESA",$BC104+$BL104+$BU104+$CD104+$CM104,0)</f>
        <v>0</v>
      </c>
      <c r="DH104" s="239">
        <f t="shared" ref="DH104" si="2399">IF($CU104="UNHESA",$BD104+$BM104+$BV104+$CE104+$CN104,0)</f>
        <v>0</v>
      </c>
      <c r="DI104" s="239">
        <f t="shared" ref="DI104" si="2400">IF($CU104="UNHESA",$BE104+$BN104+$BW104+$CF104+$CO104,0)</f>
        <v>0</v>
      </c>
      <c r="DJ104" s="203">
        <f t="shared" ref="DJ104" si="2401">IF($CU104="UNHESA",$BF104+$BO104+$BX104+$CG104+$CP104,0)</f>
        <v>0</v>
      </c>
      <c r="DK104" s="203">
        <f t="shared" ref="DK104" si="2402">IF($CU104="UNHESA",$BG104+$BP104+$BY104+$CH104+$CQ104,0)</f>
        <v>0</v>
      </c>
      <c r="DL104" s="203">
        <f t="shared" ref="DL104" si="2403">IF($CU104="UNHESA",$BH104+$BQ104+$BZ104+$CI104+$CR104,0)</f>
        <v>0</v>
      </c>
      <c r="DM104" s="203">
        <f t="shared" ref="DM104" si="2404">SUM(DE104:DL104)-DG104-DI104</f>
        <v>0</v>
      </c>
      <c r="DN104" s="210">
        <f t="shared" ref="DN104" si="2405">IF($CU104="UNHESA LIQUIDOS",$BA104+$BJ104+$BS104+$CB104+$CK104,0)</f>
        <v>0</v>
      </c>
      <c r="DO104" s="210">
        <f t="shared" ref="DO104" si="2406">IF($CU104="UNHESA LIQUIDOS",$BB104+$BK104+$BT104+$CC104+$CL104,0)</f>
        <v>0</v>
      </c>
      <c r="DP104" s="210">
        <f t="shared" ref="DP104" si="2407">IF($CU104="UNHESA LIQUIDOS",$BC104+$BL104+$BU104+$CD104+$CM104,0)</f>
        <v>0</v>
      </c>
      <c r="DQ104" s="210">
        <f t="shared" ref="DQ104" si="2408">IF($CU104="UNHESA LIQUIDOS",$BD104+$BM104+$BV104+$CE104+$CN104,0)</f>
        <v>0</v>
      </c>
      <c r="DR104" s="210">
        <f t="shared" ref="DR104" si="2409">IF($CU104="UNHESA LIQUIDOS",$BE104+$BN104+$BW104+$CF104+$CO104,0)</f>
        <v>0</v>
      </c>
      <c r="DS104" s="210">
        <f t="shared" ref="DS104" si="2410">IF($CU104="UNHESA LIQUIDOS",$BF104+$BO104+$BX104+$CG104+$CP104,0)</f>
        <v>0</v>
      </c>
      <c r="DT104" s="210">
        <f t="shared" ref="DT104" si="2411">IF($CU104="UNHESA LIQUIDOS",$BG104+$BP104+$BY104+$CH104+$CQ104,0)</f>
        <v>0</v>
      </c>
      <c r="DU104" s="210">
        <f t="shared" ref="DU104" si="2412">IF($CU104="UNHESA LIQUIDOS",$BH104+$BQ104+$BZ104+$CI104+$CR104,0)</f>
        <v>0</v>
      </c>
      <c r="DV104" s="210">
        <f t="shared" ref="DV104" si="2413">SUM(DN104:DU104)-DP104-DR104</f>
        <v>0</v>
      </c>
      <c r="DW104" s="241">
        <f>IF($CU104="CLEARTEC",$BA104+$BJ104+$BS104+$CB104+$CK104,0)</f>
        <v>0</v>
      </c>
      <c r="DX104" s="241">
        <f t="shared" ref="DX104:ED104" si="2414">IF($CU104="CLEARTEC",$BA104+$BJ104+$BS104+$CB104+$CK104,0)</f>
        <v>0</v>
      </c>
      <c r="DY104" s="241">
        <f t="shared" si="2414"/>
        <v>0</v>
      </c>
      <c r="DZ104" s="241">
        <f t="shared" si="2414"/>
        <v>0</v>
      </c>
      <c r="EA104" s="241">
        <f t="shared" si="2414"/>
        <v>0</v>
      </c>
      <c r="EB104" s="241">
        <f t="shared" si="2414"/>
        <v>0</v>
      </c>
      <c r="EC104" s="241">
        <f t="shared" si="2414"/>
        <v>0</v>
      </c>
      <c r="ED104" s="241">
        <f t="shared" si="2414"/>
        <v>0</v>
      </c>
      <c r="EE104" s="242">
        <f t="shared" ref="EE104" si="2415">SUM(DW104:ED104)-DY104-EA104</f>
        <v>0</v>
      </c>
      <c r="EF104" s="203">
        <f t="shared" ref="EF104" si="2416">IF(CU104="ECONACIONAL",$BA104+$BJ104+$BS104+$CB104+$CK104)</f>
        <v>13000</v>
      </c>
      <c r="EG104" s="242">
        <f t="shared" ref="EG104" si="2417">IF($CU104="ECONACIONAL",$BB104+$BK104+$BT104+$CC104+$CL104,0)</f>
        <v>2000.0000000000002</v>
      </c>
      <c r="EH104" s="203">
        <f t="shared" ref="EH104" si="2418">IF(CU104="ECONACIONAL",$BC104+$BL104+$BU104+$CD104+$CM104)</f>
        <v>0</v>
      </c>
      <c r="EI104" s="203">
        <f t="shared" ref="EI104" si="2419">IF(CU104="ECONACIONAL",$BD104+$DH104+$DQ104+$DZ104+BM104+BV104+CE104+CN104)</f>
        <v>0</v>
      </c>
      <c r="EJ104" s="242">
        <f t="shared" ref="EJ104" si="2420">IF($CU104="CLEARTEC",$BE104+$BN104+$BW104+$CF104+$CO104,0)</f>
        <v>0</v>
      </c>
      <c r="EK104" s="203">
        <f t="shared" ref="EK104" si="2421">IF(CU104="ECONACIONAL",$BF104+$BO104+$BX104+$CG104+$CP104)</f>
        <v>0</v>
      </c>
      <c r="EL104" s="203">
        <f t="shared" ref="EL104" si="2422">IF(CU104="ECONACIONAL",$BG104+$BP104+$BY104+$CH104+$CQ104)</f>
        <v>0</v>
      </c>
      <c r="EM104" s="203">
        <f t="shared" ref="EM104" si="2423">IF(CU104="ECONACIONAL",BH104+BQ104+BZ104+CI104+CR104)</f>
        <v>1647.1000000000001</v>
      </c>
      <c r="EN104" s="203">
        <f t="shared" ref="EN104" si="2424">SUM(EF104:EM104)-EH104-EJ104</f>
        <v>16647.099999999999</v>
      </c>
      <c r="EO104" s="235"/>
      <c r="EP104" s="200">
        <v>622.33000000000004</v>
      </c>
      <c r="EQ104" s="200"/>
      <c r="ER104" s="200"/>
      <c r="ES104" s="200"/>
      <c r="ET104" s="200"/>
      <c r="EU104" s="200"/>
      <c r="EV104" s="201"/>
      <c r="EW104" s="201"/>
      <c r="EX104" s="201"/>
      <c r="EY104" s="201">
        <f t="shared" ref="EY104" si="2425">+ET104+EU104+EV104</f>
        <v>0</v>
      </c>
      <c r="EZ104" s="235"/>
      <c r="FA104" s="207">
        <f t="shared" ref="FA104" si="2426">IF($M104&lt;=15,EP104/2,EP104)</f>
        <v>622.33000000000004</v>
      </c>
      <c r="FB104" s="207">
        <f t="shared" ref="FB104" si="2427">IF($M104&lt;=15,EQ104/2,EQ104)</f>
        <v>0</v>
      </c>
      <c r="FC104" s="207">
        <f t="shared" ref="FC104" si="2428">IF($M104&lt;=15,ER104/2,ER104)</f>
        <v>0</v>
      </c>
      <c r="FD104" s="207">
        <f t="shared" ref="FD104" si="2429">IF($M104&lt;=15,ES104/2,ES104)</f>
        <v>0</v>
      </c>
      <c r="FE104" s="207">
        <f t="shared" ref="FE104" si="2430">IF($M104&lt;=15,ET104/2,ET104)</f>
        <v>0</v>
      </c>
      <c r="FF104" s="207">
        <f t="shared" ref="FF104" si="2431">IF($M104&lt;=15,EU104/2,EU104)</f>
        <v>0</v>
      </c>
      <c r="FG104" s="207">
        <f t="shared" ref="FG104" si="2432">IF($M104&lt;=15,EV104/2,EV104)</f>
        <v>0</v>
      </c>
      <c r="FH104" s="207">
        <f t="shared" ref="FH104" si="2433">IF($M104&lt;=15,EW104/2,EW104)</f>
        <v>0</v>
      </c>
      <c r="FI104" s="207">
        <f t="shared" ref="FI104" si="2434">IF($M104&lt;=15,EX104/2,EX104)</f>
        <v>0</v>
      </c>
      <c r="FJ104" s="207">
        <f t="shared" ref="FJ104" si="2435">IF($M104&lt;=15,EY104/2,EY104)</f>
        <v>0</v>
      </c>
      <c r="FK104" s="217"/>
      <c r="FL104" s="217"/>
      <c r="FM104" s="217"/>
      <c r="FN104" s="217"/>
      <c r="FO104" s="217"/>
      <c r="FP104" s="217"/>
      <c r="FR104" s="1177">
        <f t="shared" ref="FR104" si="2436">(((J104/30/8)*1.5)*(U104+Y104+AC104))-(BD104+BM104+BV104)</f>
        <v>0</v>
      </c>
      <c r="FS104" s="1177">
        <f t="shared" ref="FS104" si="2437">(((J104/30/8)*2)*(W104+AA104+AE104))-(BF104+BO104+BX104)</f>
        <v>0</v>
      </c>
      <c r="FT104" s="1178">
        <f t="shared" ref="FT104" si="2438">(SUM(BA104:CJ104))-(SUM(EF104:EN104))</f>
        <v>0</v>
      </c>
      <c r="FU104" s="1177">
        <f t="shared" ref="FU104" si="2439">(J104/30*M104)-(EF104)</f>
        <v>0</v>
      </c>
      <c r="FV104" s="1181">
        <f t="shared" ref="FV104" si="2440">(SUM(EP104:EY104))-((SUM(FA104:FJ104))*$FV$5)</f>
        <v>-622.33000000000004</v>
      </c>
      <c r="FW104" s="235"/>
      <c r="FX104" s="235"/>
      <c r="FY104" s="235"/>
      <c r="FZ104" s="235"/>
      <c r="GA104" s="235"/>
      <c r="GB104" s="235"/>
    </row>
    <row r="105" spans="1:184" s="216" customFormat="1" ht="15" customHeight="1" outlineLevel="1">
      <c r="A105" s="1005" t="str">
        <f t="shared" si="2331"/>
        <v>JUNIO  2026 2da QUINCENA</v>
      </c>
      <c r="B105" s="1005">
        <f t="shared" si="2332"/>
        <v>2026</v>
      </c>
      <c r="C105" s="1006" t="str">
        <f t="shared" si="1564"/>
        <v>JUNIO  2026 2da QUINCENA2026</v>
      </c>
      <c r="D105" s="235"/>
      <c r="E105" s="235">
        <v>303020</v>
      </c>
      <c r="F105" s="268"/>
      <c r="G105" s="975" t="s">
        <v>649</v>
      </c>
      <c r="H105" s="235"/>
      <c r="J105" s="801"/>
      <c r="K105" s="801"/>
      <c r="L105" s="801"/>
      <c r="M105" s="801"/>
      <c r="N105" s="870"/>
      <c r="O105" s="957"/>
      <c r="P105" s="957"/>
      <c r="Q105" s="958"/>
      <c r="R105" s="988"/>
      <c r="S105" s="957"/>
      <c r="T105" s="701"/>
      <c r="U105" s="959"/>
      <c r="V105" s="801"/>
      <c r="W105" s="960"/>
      <c r="X105" s="801"/>
      <c r="Y105" s="960"/>
      <c r="Z105" s="801"/>
      <c r="AA105" s="960"/>
      <c r="AB105" s="880"/>
      <c r="AC105" s="960"/>
      <c r="AD105" s="801"/>
      <c r="AE105" s="961"/>
      <c r="AF105" s="801"/>
      <c r="AG105" s="972"/>
      <c r="AH105" s="801"/>
      <c r="AI105" s="973"/>
      <c r="AJ105" s="801"/>
      <c r="AK105" s="823"/>
      <c r="AL105" s="823"/>
      <c r="AM105" s="973"/>
      <c r="AN105" s="823"/>
      <c r="AO105" s="827"/>
      <c r="AP105" s="827"/>
      <c r="AQ105" s="827"/>
      <c r="AR105" s="827"/>
      <c r="AS105" s="827"/>
      <c r="AT105" s="827"/>
      <c r="AU105" s="827"/>
      <c r="AV105" s="827"/>
      <c r="AW105" s="827"/>
      <c r="AX105" s="827"/>
      <c r="AY105" s="860"/>
      <c r="AZ105" s="966"/>
      <c r="BA105" s="801"/>
      <c r="BB105" s="880"/>
      <c r="BC105" s="801"/>
      <c r="BD105" s="801"/>
      <c r="BE105" s="801"/>
      <c r="BF105" s="801"/>
      <c r="BG105" s="801"/>
      <c r="BH105" s="801"/>
      <c r="BI105" s="801"/>
      <c r="BJ105" s="801"/>
      <c r="BK105" s="801"/>
      <c r="BL105" s="801"/>
      <c r="BM105" s="801"/>
      <c r="BN105" s="801"/>
      <c r="BO105" s="801"/>
      <c r="BP105" s="801"/>
      <c r="BQ105" s="801"/>
      <c r="BR105" s="860"/>
      <c r="BS105" s="801"/>
      <c r="BT105" s="801"/>
      <c r="BU105" s="801"/>
      <c r="BV105" s="801"/>
      <c r="BW105" s="801"/>
      <c r="BX105" s="801"/>
      <c r="BY105" s="801"/>
      <c r="BZ105" s="801"/>
      <c r="CA105" s="801"/>
      <c r="CB105" s="801"/>
      <c r="CC105" s="801"/>
      <c r="CD105" s="801"/>
      <c r="CE105" s="801"/>
      <c r="CF105" s="801"/>
      <c r="CG105" s="801"/>
      <c r="CH105" s="801"/>
      <c r="CI105" s="801"/>
      <c r="CJ105" s="801"/>
      <c r="CK105" s="823"/>
      <c r="CL105" s="823"/>
      <c r="CM105" s="823"/>
      <c r="CN105" s="823"/>
      <c r="CO105" s="823"/>
      <c r="CP105" s="823"/>
      <c r="CQ105" s="823"/>
      <c r="CR105" s="823"/>
      <c r="CS105" s="823"/>
      <c r="CV105" s="801"/>
      <c r="CW105" s="801"/>
      <c r="CX105" s="801"/>
      <c r="CY105" s="801"/>
      <c r="CZ105" s="801"/>
      <c r="DA105" s="801"/>
      <c r="DB105" s="801"/>
      <c r="DC105" s="801"/>
      <c r="DD105" s="801"/>
      <c r="DE105" s="801"/>
      <c r="DF105" s="801"/>
      <c r="DG105" s="801"/>
      <c r="DH105" s="801"/>
      <c r="DI105" s="801"/>
      <c r="DJ105" s="801"/>
      <c r="DK105" s="801"/>
      <c r="DL105" s="801"/>
      <c r="DM105" s="801"/>
      <c r="DN105" s="823"/>
      <c r="DO105" s="823"/>
      <c r="DP105" s="823"/>
      <c r="DQ105" s="823"/>
      <c r="DR105" s="823"/>
      <c r="DS105" s="823"/>
      <c r="DT105" s="823"/>
      <c r="DU105" s="823"/>
      <c r="DV105" s="823"/>
      <c r="DW105" s="823"/>
      <c r="DX105" s="823"/>
      <c r="DY105" s="823"/>
      <c r="DZ105" s="823"/>
      <c r="EA105" s="823"/>
      <c r="EB105" s="823"/>
      <c r="EC105" s="823"/>
      <c r="ED105" s="823"/>
      <c r="EE105" s="823"/>
      <c r="EF105" s="823"/>
      <c r="EG105" s="823"/>
      <c r="EH105" s="823"/>
      <c r="EI105" s="823"/>
      <c r="EJ105" s="823"/>
      <c r="EK105" s="823"/>
      <c r="EL105" s="823"/>
      <c r="EM105" s="823"/>
      <c r="EN105" s="823"/>
      <c r="EP105" s="851"/>
      <c r="EQ105" s="851"/>
      <c r="ER105" s="851"/>
      <c r="ES105" s="851"/>
      <c r="ET105" s="851"/>
      <c r="EU105" s="851"/>
      <c r="EV105" s="851"/>
      <c r="EW105" s="851"/>
      <c r="EX105" s="851"/>
      <c r="EY105" s="201"/>
      <c r="FA105" s="960"/>
      <c r="FB105" s="960"/>
      <c r="FC105" s="960"/>
      <c r="FD105" s="960"/>
      <c r="FE105" s="960"/>
      <c r="FF105" s="960"/>
      <c r="FG105" s="960"/>
      <c r="FH105" s="960"/>
      <c r="FI105" s="960"/>
      <c r="FJ105" s="960"/>
      <c r="FK105" s="968"/>
      <c r="FL105" s="968"/>
      <c r="FM105" s="968"/>
      <c r="FN105" s="968"/>
      <c r="FO105" s="968"/>
      <c r="FP105" s="974"/>
    </row>
    <row r="106" spans="1:184" s="216" customFormat="1" ht="14.25" customHeight="1" outlineLevel="1">
      <c r="A106" s="1005"/>
      <c r="B106" s="1005"/>
      <c r="C106" s="1006"/>
      <c r="D106" s="235"/>
      <c r="E106" s="235">
        <v>303020</v>
      </c>
      <c r="F106" s="268"/>
      <c r="G106" s="199" t="s">
        <v>759</v>
      </c>
      <c r="H106" s="200" t="s">
        <v>760</v>
      </c>
      <c r="I106" s="201" t="s">
        <v>11</v>
      </c>
      <c r="J106" s="203">
        <v>6500</v>
      </c>
      <c r="K106" s="203">
        <v>1000</v>
      </c>
      <c r="L106" s="202">
        <f t="shared" ref="L106" si="2441">+J106+K106</f>
        <v>7500</v>
      </c>
      <c r="M106" s="203">
        <v>30</v>
      </c>
      <c r="N106" s="971">
        <v>0.6</v>
      </c>
      <c r="O106" s="819">
        <v>0.35</v>
      </c>
      <c r="P106" s="819">
        <v>0.05</v>
      </c>
      <c r="Q106" s="204">
        <v>0</v>
      </c>
      <c r="R106" s="866">
        <v>0</v>
      </c>
      <c r="S106" s="204">
        <f t="shared" si="2334"/>
        <v>1</v>
      </c>
      <c r="T106" s="813" t="s">
        <v>761</v>
      </c>
      <c r="U106" s="206"/>
      <c r="V106" s="203">
        <f t="shared" ref="V106" si="2442">($J106/30/8*1.5)*U106</f>
        <v>0</v>
      </c>
      <c r="W106" s="207"/>
      <c r="X106" s="203">
        <f t="shared" ref="X106" si="2443">($J106/30/8*2)*W106</f>
        <v>0</v>
      </c>
      <c r="Y106" s="207"/>
      <c r="Z106" s="203">
        <f t="shared" ref="Z106" si="2444">($J106/30/8*1.5)*Y106</f>
        <v>0</v>
      </c>
      <c r="AA106" s="207"/>
      <c r="AB106" s="203">
        <f t="shared" ref="AB106" si="2445">($J106/30/8*2)*AA106</f>
        <v>0</v>
      </c>
      <c r="AC106" s="207"/>
      <c r="AD106" s="203">
        <f t="shared" ref="AD106" si="2446">(($J106/30/8)*1.5)*AC106</f>
        <v>0</v>
      </c>
      <c r="AE106" s="208"/>
      <c r="AF106" s="203">
        <f t="shared" ref="AF106" si="2447">(($J106/30/8)*2)*AE106</f>
        <v>0</v>
      </c>
      <c r="AG106" s="208"/>
      <c r="AH106" s="203">
        <f t="shared" ref="AH106" si="2448">(($J106/30/8)*1.5)*AG106</f>
        <v>0</v>
      </c>
      <c r="AI106" s="208"/>
      <c r="AJ106" s="203">
        <f t="shared" ref="AJ106" si="2449">(($J106/30/8)*2)*AI106</f>
        <v>0</v>
      </c>
      <c r="AK106" s="203"/>
      <c r="AL106" s="203">
        <f t="shared" ref="AL106" si="2450">(($J106/30/8)*1.5)*AK106</f>
        <v>0</v>
      </c>
      <c r="AM106" s="208"/>
      <c r="AN106" s="203">
        <f t="shared" ref="AN106" si="2451">(($J106/30/8)*2)*AM106</f>
        <v>0</v>
      </c>
      <c r="AO106" s="202"/>
      <c r="AP106" s="202"/>
      <c r="AQ106" s="202"/>
      <c r="AR106" s="202"/>
      <c r="AS106" s="202"/>
      <c r="AT106" s="202"/>
      <c r="AU106" s="202"/>
      <c r="AV106" s="202"/>
      <c r="AW106" s="202"/>
      <c r="AX106" s="202"/>
      <c r="AY106" s="202"/>
      <c r="AZ106" s="212"/>
      <c r="BA106" s="203">
        <f>((J106/30)*M106)*$N106</f>
        <v>3900</v>
      </c>
      <c r="BB106" s="203">
        <f>((K106/30)*M106)*$N106+900+855</f>
        <v>2355</v>
      </c>
      <c r="BC106" s="203">
        <f t="shared" ref="BC106" si="2452">U106</f>
        <v>0</v>
      </c>
      <c r="BD106" s="203">
        <f t="shared" ref="BD106" si="2453">V106</f>
        <v>0</v>
      </c>
      <c r="BE106" s="203">
        <f t="shared" ref="BE106" si="2454">W106</f>
        <v>0</v>
      </c>
      <c r="BF106" s="203">
        <f t="shared" ref="BF106" si="2455">X106</f>
        <v>0</v>
      </c>
      <c r="BG106" s="203">
        <f>AO106+AT106</f>
        <v>0</v>
      </c>
      <c r="BH106" s="203">
        <f t="shared" ref="BH106" si="2456">(BA106+BD106+BF106+BG106)*0.1267</f>
        <v>494.13000000000005</v>
      </c>
      <c r="BI106" s="203">
        <f t="shared" ref="BI106" si="2457">SUM(BA106:BH106)-BC106-BE106</f>
        <v>6749.13</v>
      </c>
      <c r="BJ106" s="203">
        <f t="shared" ref="BJ106" si="2458">(($J106/30)*$M106)*$O106</f>
        <v>2275</v>
      </c>
      <c r="BK106" s="203">
        <f>(($K106/30)*$M106)*$O106+450+427.5</f>
        <v>1227.5</v>
      </c>
      <c r="BL106" s="203">
        <f t="shared" ref="BL106" si="2459">Y106</f>
        <v>0</v>
      </c>
      <c r="BM106" s="203">
        <f t="shared" ref="BM106" si="2460">Z106</f>
        <v>0</v>
      </c>
      <c r="BN106" s="203">
        <f t="shared" ref="BN106" si="2461">AA106</f>
        <v>0</v>
      </c>
      <c r="BO106" s="203">
        <f t="shared" ref="BO106" si="2462">AB106</f>
        <v>0</v>
      </c>
      <c r="BP106" s="203">
        <f t="shared" ref="BP106" si="2463">AP106+AU106</f>
        <v>0</v>
      </c>
      <c r="BQ106" s="203">
        <f t="shared" ref="BQ106" si="2464">(+BJ106+BM106+BO106+BP106)*0.1267</f>
        <v>288.24250000000001</v>
      </c>
      <c r="BR106" s="202">
        <f t="shared" ref="BR106" si="2465">SUM(BJ106:BQ106)-BL106-BN106</f>
        <v>3790.7424999999998</v>
      </c>
      <c r="BS106" s="203">
        <f t="shared" ref="BS106" si="2466">(($J106/30)*$M106)*$P106</f>
        <v>325</v>
      </c>
      <c r="BT106" s="203">
        <f>(($K106/30)*$M106)*$P106+150+142.5</f>
        <v>342.5</v>
      </c>
      <c r="BU106" s="203">
        <f t="shared" ref="BU106" si="2467">AC106</f>
        <v>0</v>
      </c>
      <c r="BV106" s="203">
        <f t="shared" ref="BV106" si="2468">AD106</f>
        <v>0</v>
      </c>
      <c r="BW106" s="203">
        <f t="shared" ref="BW106" si="2469">AE106</f>
        <v>0</v>
      </c>
      <c r="BX106" s="203">
        <f t="shared" ref="BX106" si="2470">AF106</f>
        <v>0</v>
      </c>
      <c r="BY106" s="203">
        <f t="shared" ref="BY106" si="2471">AQ106+AV106</f>
        <v>0</v>
      </c>
      <c r="BZ106" s="203">
        <f t="shared" ref="BZ106" si="2472">(BS106+BV106+BX106+BY106)*0.1267</f>
        <v>41.177500000000002</v>
      </c>
      <c r="CA106" s="203">
        <f t="shared" ref="CA106" si="2473">SUM(BS106:BZ106)-BU106-BW106</f>
        <v>708.67750000000001</v>
      </c>
      <c r="CB106" s="241">
        <f>(($J106/30)*$M106)*$Q106</f>
        <v>0</v>
      </c>
      <c r="CC106" s="242">
        <f>(($K106/30)*$M106)*$Q106</f>
        <v>0</v>
      </c>
      <c r="CD106" s="242">
        <f t="shared" ref="CD106" si="2474">AG106</f>
        <v>0</v>
      </c>
      <c r="CE106" s="242">
        <f t="shared" ref="CE106" si="2475">AH106</f>
        <v>0</v>
      </c>
      <c r="CF106" s="242">
        <f t="shared" ref="CF106" si="2476">AI106</f>
        <v>0</v>
      </c>
      <c r="CG106" s="242">
        <f t="shared" ref="CG106" si="2477">AJ106</f>
        <v>0</v>
      </c>
      <c r="CH106" s="242">
        <f t="shared" ref="CH106" si="2478">AR106+AW106</f>
        <v>0</v>
      </c>
      <c r="CI106" s="703">
        <f t="shared" ref="CI106" si="2479">(CB106+CE106+CG106+CH106)*0.1267</f>
        <v>0</v>
      </c>
      <c r="CJ106" s="242">
        <f>SUM(CB106:CI106)-CD106-CF106</f>
        <v>0</v>
      </c>
      <c r="CK106" s="242">
        <f t="shared" ref="CK106" si="2480">(($J106/30)*$M106)*R106</f>
        <v>0</v>
      </c>
      <c r="CL106" s="242">
        <f t="shared" ref="CL106" si="2481">(($K106/30)*$M106)*$R106</f>
        <v>0</v>
      </c>
      <c r="CM106" s="242">
        <f t="shared" ref="CM106" si="2482">+AK106</f>
        <v>0</v>
      </c>
      <c r="CN106" s="242">
        <f t="shared" ref="CN106" si="2483">AL106</f>
        <v>0</v>
      </c>
      <c r="CO106" s="242">
        <f t="shared" ref="CO106" si="2484">AM106</f>
        <v>0</v>
      </c>
      <c r="CP106" s="242">
        <f t="shared" ref="CP106" si="2485">AN106</f>
        <v>0</v>
      </c>
      <c r="CQ106" s="242">
        <f t="shared" ref="CQ106" si="2486">AS106+AX106</f>
        <v>0</v>
      </c>
      <c r="CR106" s="242">
        <f t="shared" ref="CR106" si="2487">(CK106+CN106+CP106)*0.1267</f>
        <v>0</v>
      </c>
      <c r="CS106" s="243">
        <f t="shared" ref="CS106" si="2488">SUM(CK106:CR106)-CM106-CO106</f>
        <v>0</v>
      </c>
      <c r="CU106" s="201" t="s">
        <v>11</v>
      </c>
      <c r="CV106" s="203">
        <f t="shared" ref="CV106" si="2489">IF($CU106="PROQUIMA",$BA106+$BJ106+$BS106+$CB106+$CK106,0)</f>
        <v>0</v>
      </c>
      <c r="CW106" s="203">
        <f t="shared" ref="CW106" si="2490">IF($CU106="PROQUIMA",$BB106+$BK106+$BT106+$CC106+$CL106,0)</f>
        <v>0</v>
      </c>
      <c r="CX106" s="203">
        <f t="shared" ref="CX106" si="2491">IF($CU106="PROQUIMA",$BC106+$BL106+$BU106+$CD106+$CM106,0)</f>
        <v>0</v>
      </c>
      <c r="CY106" s="203">
        <f t="shared" ref="CY106" si="2492">IF($CU106="PROQUIMA",$BD106+$BM106+$BV106+$CE106+$CN106,0)</f>
        <v>0</v>
      </c>
      <c r="CZ106" s="203">
        <f t="shared" ref="CZ106" si="2493">IF($CU106="PROQUIMA",$BE106+$BN106+$BW106+$CF106+$CO106,0)</f>
        <v>0</v>
      </c>
      <c r="DA106" s="203">
        <f t="shared" ref="DA106" si="2494">IF($CU106="PROQUIMA",$BF106+$BO106+$BX106+$CG106+$CP106,0)</f>
        <v>0</v>
      </c>
      <c r="DB106" s="203">
        <f t="shared" ref="DB106" si="2495">IF($CU106="PROQUIMA",$BG106+$BP106+$BY106+$CH106+$CQ106,0)</f>
        <v>0</v>
      </c>
      <c r="DC106" s="203">
        <f t="shared" ref="DC106" si="2496">IF($CU106="PROQUIMA",$BH106+$BQ106+$BZ106+$CI106+CR106,0)</f>
        <v>0</v>
      </c>
      <c r="DD106" s="203">
        <f t="shared" ref="DD106" si="2497">SUM(CV106:DC106)-CX106-CZ106</f>
        <v>0</v>
      </c>
      <c r="DE106" s="203">
        <f t="shared" ref="DE106" si="2498">IF($CU106="UNHESA",$BA106+$BJ106+$BS106+$CB106+$CK106,0)</f>
        <v>0</v>
      </c>
      <c r="DF106" s="203">
        <f t="shared" ref="DF106" si="2499">IF($CU106="UNHESA",$BB106+$BK106+$BT106+$CC106+$CL106,0)</f>
        <v>0</v>
      </c>
      <c r="DG106" s="239">
        <f t="shared" ref="DG106" si="2500">IF($CU106="UNHESA",$BC106+$BL106+$BU106+$CD106+$CM106,0)</f>
        <v>0</v>
      </c>
      <c r="DH106" s="239">
        <f t="shared" ref="DH106" si="2501">IF($CU106="UNHESA",$BD106+$BM106+$BV106+$CE106+$CN106,0)</f>
        <v>0</v>
      </c>
      <c r="DI106" s="239">
        <f t="shared" ref="DI106" si="2502">IF($CU106="UNHESA",$BE106+$BN106+$BW106+$CF106+$CO106,0)</f>
        <v>0</v>
      </c>
      <c r="DJ106" s="203">
        <f t="shared" ref="DJ106" si="2503">IF($CU106="UNHESA",$BF106+$BO106+$BX106+$CG106+$CP106,0)</f>
        <v>0</v>
      </c>
      <c r="DK106" s="203">
        <f t="shared" ref="DK106" si="2504">IF($CU106="UNHESA",$BG106+$BP106+$BY106+$CH106+$CQ106,0)</f>
        <v>0</v>
      </c>
      <c r="DL106" s="203">
        <f t="shared" ref="DL106" si="2505">IF($CU106="UNHESA",$BH106+$BQ106+$BZ106+$CI106+$CR106,0)</f>
        <v>0</v>
      </c>
      <c r="DM106" s="203">
        <f t="shared" ref="DM106" si="2506">SUM(DE106:DL106)-DG106-DI106</f>
        <v>0</v>
      </c>
      <c r="DN106" s="210">
        <f t="shared" ref="DN106" si="2507">IF($CU106="UNHESA LIQUIDOS",$BA106+$BJ106+$BS106+$CB106+$CK106,0)</f>
        <v>0</v>
      </c>
      <c r="DO106" s="210">
        <f t="shared" ref="DO106" si="2508">IF($CU106="UNHESA LIQUIDOS",$BB106+$BK106+$BT106+$CC106+$CL106,0)</f>
        <v>0</v>
      </c>
      <c r="DP106" s="210">
        <f t="shared" ref="DP106" si="2509">IF($CU106="UNHESA LIQUIDOS",$BC106+$BL106+$BU106+$CD106+$CM106,0)</f>
        <v>0</v>
      </c>
      <c r="DQ106" s="210">
        <f t="shared" ref="DQ106" si="2510">IF($CU106="UNHESA LIQUIDOS",$BD106+$BM106+$BV106+$CE106+$CN106,0)</f>
        <v>0</v>
      </c>
      <c r="DR106" s="210">
        <f t="shared" ref="DR106" si="2511">IF($CU106="UNHESA LIQUIDOS",$BE106+$BN106+$BW106+$CF106+$CO106,0)</f>
        <v>0</v>
      </c>
      <c r="DS106" s="210">
        <f t="shared" ref="DS106" si="2512">IF($CU106="UNHESA LIQUIDOS",$BF106+$BO106+$BX106+$CG106+$CP106,0)</f>
        <v>0</v>
      </c>
      <c r="DT106" s="210">
        <f t="shared" ref="DT106" si="2513">IF($CU106="UNHESA LIQUIDOS",$BG106+$BP106+$BY106+$CH106+$CQ106,0)</f>
        <v>0</v>
      </c>
      <c r="DU106" s="210">
        <f t="shared" ref="DU106" si="2514">IF($CU106="UNHESA LIQUIDOS",$BH106+$BQ106+$BZ106+$CI106+$CR106,0)</f>
        <v>0</v>
      </c>
      <c r="DV106" s="210">
        <f t="shared" ref="DV106" si="2515">SUM(DN106:DU106)-DP106-DR106</f>
        <v>0</v>
      </c>
      <c r="DW106" s="241">
        <f>IF($CU106="CLEARTEC",$BA106+$BJ106+$BS106+$CB106+$CK106,0)</f>
        <v>0</v>
      </c>
      <c r="DX106" s="241">
        <f t="shared" ref="DX106:ED106" si="2516">IF($CU106="CLEARTEC",$BA106+$BJ106+$BS106+$CB106+$CK106,0)</f>
        <v>0</v>
      </c>
      <c r="DY106" s="241">
        <f t="shared" si="2516"/>
        <v>0</v>
      </c>
      <c r="DZ106" s="241">
        <f t="shared" si="2516"/>
        <v>0</v>
      </c>
      <c r="EA106" s="241">
        <f t="shared" si="2516"/>
        <v>0</v>
      </c>
      <c r="EB106" s="241">
        <f t="shared" si="2516"/>
        <v>0</v>
      </c>
      <c r="EC106" s="241">
        <f t="shared" si="2516"/>
        <v>0</v>
      </c>
      <c r="ED106" s="241">
        <f t="shared" si="2516"/>
        <v>0</v>
      </c>
      <c r="EE106" s="242">
        <f t="shared" ref="EE106" si="2517">SUM(DW106:ED106)-DY106-EA106</f>
        <v>0</v>
      </c>
      <c r="EF106" s="203">
        <f t="shared" ref="EF106" si="2518">IF(CU106="ECONACIONAL",$BA106+$BJ106+$BS106+$CB106+$CK106)</f>
        <v>6500</v>
      </c>
      <c r="EG106" s="242">
        <f t="shared" ref="EG106" si="2519">IF($CU106="ECONACIONAL",$BB106+$BK106+$BT106+$CC106+$CL106,0)</f>
        <v>3925</v>
      </c>
      <c r="EH106" s="203">
        <f t="shared" ref="EH106" si="2520">IF(CU106="ECONACIONAL",$BC106+$BL106+$BU106+$CD106+$CM106)</f>
        <v>0</v>
      </c>
      <c r="EI106" s="203">
        <f t="shared" ref="EI106" si="2521">IF(CU106="ECONACIONAL",$BD106+$DH106+$DQ106+$DZ106+BM106+BV106+CE106+CN106)</f>
        <v>0</v>
      </c>
      <c r="EJ106" s="242">
        <f t="shared" ref="EJ106" si="2522">IF($CU106="CLEARTEC",$BE106+$BN106+$BW106+$CF106+$CO106,0)</f>
        <v>0</v>
      </c>
      <c r="EK106" s="203">
        <f t="shared" ref="EK106" si="2523">IF(CU106="ECONACIONAL",$BF106+$BO106+$BX106+$CG106+$CP106)</f>
        <v>0</v>
      </c>
      <c r="EL106" s="203">
        <f t="shared" ref="EL106" si="2524">IF(CU106="ECONACIONAL",$BG106+$BP106+$BY106+$CH106+$CQ106)</f>
        <v>0</v>
      </c>
      <c r="EM106" s="203">
        <f t="shared" ref="EM106" si="2525">IF(CU106="ECONACIONAL",BH106+BQ106+BZ106+CI106+CR106)</f>
        <v>823.55000000000007</v>
      </c>
      <c r="EN106" s="203">
        <f t="shared" ref="EN106" si="2526">SUM(EF106:EM106)-EH106-EJ106</f>
        <v>11248.55</v>
      </c>
      <c r="EP106" s="851">
        <v>175</v>
      </c>
      <c r="EQ106" s="851"/>
      <c r="ER106" s="851"/>
      <c r="ES106" s="201"/>
      <c r="ET106" s="201"/>
      <c r="EU106" s="201"/>
      <c r="EV106" s="851"/>
      <c r="EW106" s="201"/>
      <c r="EX106" s="201"/>
      <c r="EY106" s="201">
        <f t="shared" ref="EY106" si="2527">+ET106+EU106+EV106</f>
        <v>0</v>
      </c>
      <c r="EZ106" s="820"/>
      <c r="FA106" s="207">
        <f t="shared" ref="FA106" si="2528">IF($M106&lt;=15,EP106/2,EP106)</f>
        <v>175</v>
      </c>
      <c r="FB106" s="207">
        <f t="shared" ref="FB106" si="2529">IF($M106&lt;=15,EQ106/2,EQ106)</f>
        <v>0</v>
      </c>
      <c r="FC106" s="207">
        <f t="shared" ref="FC106" si="2530">IF($M106&lt;=15,ER106/2,ER106)</f>
        <v>0</v>
      </c>
      <c r="FD106" s="207">
        <f t="shared" ref="FD106" si="2531">IF($M106&lt;=15,ES106/2,ES106)</f>
        <v>0</v>
      </c>
      <c r="FE106" s="207">
        <f t="shared" ref="FE106" si="2532">IF($M106&lt;=15,ET106/2,ET106)</f>
        <v>0</v>
      </c>
      <c r="FF106" s="207">
        <f t="shared" ref="FF106" si="2533">IF($M106&lt;=15,EU106/2,EU106)</f>
        <v>0</v>
      </c>
      <c r="FG106" s="207">
        <f t="shared" ref="FG106" si="2534">IF($M106&lt;=15,EV106/2,EV106)</f>
        <v>0</v>
      </c>
      <c r="FH106" s="207">
        <f t="shared" ref="FH106" si="2535">IF($M106&lt;=15,EW106/2,EW106)</f>
        <v>0</v>
      </c>
      <c r="FI106" s="207">
        <f t="shared" ref="FI106" si="2536">IF($M106&lt;=15,EX106/2,EX106)</f>
        <v>0</v>
      </c>
      <c r="FJ106" s="207">
        <f>IF($M106&lt;=15,EY106/2,EY106)</f>
        <v>0</v>
      </c>
      <c r="FK106" s="217"/>
      <c r="FL106" s="217"/>
      <c r="FM106" s="217"/>
      <c r="FN106" s="217"/>
      <c r="FO106" s="217"/>
      <c r="FP106" s="217"/>
    </row>
    <row r="107" spans="1:184" s="216" customFormat="1" ht="14.25" customHeight="1" outlineLevel="1">
      <c r="A107" s="1005"/>
      <c r="B107" s="1005"/>
      <c r="C107" s="1006"/>
      <c r="D107" s="235"/>
      <c r="E107" s="235"/>
      <c r="F107" s="268"/>
      <c r="G107" s="199"/>
      <c r="H107" s="200"/>
      <c r="I107" s="201"/>
      <c r="J107" s="203"/>
      <c r="K107" s="203"/>
      <c r="L107" s="202"/>
      <c r="M107" s="203"/>
      <c r="N107" s="971"/>
      <c r="O107" s="819"/>
      <c r="P107" s="819"/>
      <c r="Q107" s="204"/>
      <c r="R107" s="866"/>
      <c r="S107" s="204"/>
      <c r="T107" s="813"/>
      <c r="U107" s="206"/>
      <c r="V107" s="203"/>
      <c r="W107" s="207"/>
      <c r="X107" s="203"/>
      <c r="Y107" s="207"/>
      <c r="Z107" s="203"/>
      <c r="AA107" s="207"/>
      <c r="AB107" s="203"/>
      <c r="AC107" s="207"/>
      <c r="AD107" s="203"/>
      <c r="AE107" s="208"/>
      <c r="AF107" s="203"/>
      <c r="AG107" s="208"/>
      <c r="AH107" s="203"/>
      <c r="AI107" s="208"/>
      <c r="AJ107" s="203"/>
      <c r="AK107" s="203"/>
      <c r="AL107" s="203"/>
      <c r="AM107" s="208"/>
      <c r="AN107" s="203"/>
      <c r="AO107" s="202"/>
      <c r="AP107" s="202"/>
      <c r="AQ107" s="202"/>
      <c r="AR107" s="202"/>
      <c r="AS107" s="202"/>
      <c r="AT107" s="202"/>
      <c r="AU107" s="202"/>
      <c r="AV107" s="202"/>
      <c r="AW107" s="202"/>
      <c r="AX107" s="202"/>
      <c r="AY107" s="202"/>
      <c r="AZ107" s="212"/>
      <c r="BA107" s="203"/>
      <c r="BB107" s="203"/>
      <c r="BC107" s="203"/>
      <c r="BD107" s="203"/>
      <c r="BE107" s="203"/>
      <c r="BF107" s="203"/>
      <c r="BG107" s="203"/>
      <c r="BH107" s="203"/>
      <c r="BI107" s="203"/>
      <c r="BJ107" s="203"/>
      <c r="BK107" s="203"/>
      <c r="BL107" s="203"/>
      <c r="BM107" s="203"/>
      <c r="BN107" s="203"/>
      <c r="BO107" s="203"/>
      <c r="BP107" s="203"/>
      <c r="BQ107" s="203"/>
      <c r="BR107" s="202"/>
      <c r="BS107" s="203"/>
      <c r="BT107" s="203"/>
      <c r="BU107" s="203"/>
      <c r="BV107" s="203"/>
      <c r="BW107" s="203"/>
      <c r="BX107" s="203"/>
      <c r="BY107" s="203"/>
      <c r="BZ107" s="203"/>
      <c r="CA107" s="203"/>
      <c r="CB107" s="241"/>
      <c r="CC107" s="242"/>
      <c r="CD107" s="242"/>
      <c r="CE107" s="242"/>
      <c r="CF107" s="242"/>
      <c r="CG107" s="242"/>
      <c r="CH107" s="242"/>
      <c r="CI107" s="703"/>
      <c r="CJ107" s="242"/>
      <c r="CK107" s="242"/>
      <c r="CL107" s="242"/>
      <c r="CM107" s="242"/>
      <c r="CN107" s="242"/>
      <c r="CO107" s="242"/>
      <c r="CP107" s="242"/>
      <c r="CQ107" s="242"/>
      <c r="CR107" s="242"/>
      <c r="CS107" s="243"/>
      <c r="CU107" s="201"/>
      <c r="CV107" s="203"/>
      <c r="CW107" s="203"/>
      <c r="CX107" s="203"/>
      <c r="CY107" s="203"/>
      <c r="CZ107" s="203"/>
      <c r="DA107" s="203"/>
      <c r="DB107" s="203"/>
      <c r="DC107" s="203"/>
      <c r="DD107" s="203"/>
      <c r="DE107" s="203"/>
      <c r="DF107" s="203"/>
      <c r="DG107" s="239"/>
      <c r="DH107" s="239"/>
      <c r="DI107" s="239"/>
      <c r="DJ107" s="203"/>
      <c r="DK107" s="203"/>
      <c r="DL107" s="203"/>
      <c r="DM107" s="203"/>
      <c r="DN107" s="210"/>
      <c r="DO107" s="210"/>
      <c r="DP107" s="210"/>
      <c r="DQ107" s="210"/>
      <c r="DR107" s="210"/>
      <c r="DS107" s="210"/>
      <c r="DT107" s="210"/>
      <c r="DU107" s="210"/>
      <c r="DV107" s="210"/>
      <c r="DW107" s="241"/>
      <c r="DX107" s="241"/>
      <c r="DY107" s="241"/>
      <c r="DZ107" s="241"/>
      <c r="EA107" s="241"/>
      <c r="EB107" s="241"/>
      <c r="EC107" s="241"/>
      <c r="ED107" s="241"/>
      <c r="EE107" s="242"/>
      <c r="EF107" s="203"/>
      <c r="EG107" s="242"/>
      <c r="EH107" s="203"/>
      <c r="EI107" s="203"/>
      <c r="EJ107" s="242"/>
      <c r="EK107" s="203"/>
      <c r="EL107" s="203"/>
      <c r="EM107" s="203"/>
      <c r="EN107" s="203"/>
      <c r="EP107" s="851"/>
      <c r="EQ107" s="851"/>
      <c r="ER107" s="851"/>
      <c r="ES107" s="201"/>
      <c r="ET107" s="201"/>
      <c r="EU107" s="201"/>
      <c r="EV107" s="201"/>
      <c r="EW107" s="201"/>
      <c r="EX107" s="851"/>
      <c r="EY107" s="201"/>
      <c r="EZ107" s="820"/>
      <c r="FA107" s="207"/>
      <c r="FB107" s="207"/>
      <c r="FC107" s="207"/>
      <c r="FD107" s="207"/>
      <c r="FE107" s="207"/>
      <c r="FF107" s="207"/>
      <c r="FG107" s="207"/>
      <c r="FH107" s="207"/>
      <c r="FI107" s="207"/>
      <c r="FJ107" s="207"/>
      <c r="FK107" s="217"/>
      <c r="FL107" s="217"/>
      <c r="FM107" s="217"/>
      <c r="FN107" s="217"/>
      <c r="FO107" s="217"/>
      <c r="FP107" s="217"/>
      <c r="FR107" s="1184"/>
      <c r="FS107" s="1184"/>
      <c r="FT107" s="1185"/>
      <c r="FU107" s="1184"/>
      <c r="FV107" s="1186"/>
    </row>
    <row r="108" spans="1:184" s="216" customFormat="1" ht="15" customHeight="1" outlineLevel="1">
      <c r="A108" s="1005" t="str">
        <f t="shared" si="2331"/>
        <v>JUNIO  2026 2da QUINCENA</v>
      </c>
      <c r="B108" s="1005">
        <f t="shared" si="2332"/>
        <v>2026</v>
      </c>
      <c r="C108" s="1006" t="str">
        <f t="shared" si="1564"/>
        <v>JUNIO  2026 2da QUINCENA2026</v>
      </c>
      <c r="D108" s="235"/>
      <c r="E108" s="235">
        <v>303030</v>
      </c>
      <c r="F108" s="268"/>
      <c r="G108" s="975" t="s">
        <v>636</v>
      </c>
      <c r="H108" s="235"/>
      <c r="J108" s="801"/>
      <c r="K108" s="801"/>
      <c r="L108" s="801"/>
      <c r="M108" s="801"/>
      <c r="N108" s="870"/>
      <c r="O108" s="957"/>
      <c r="P108" s="957"/>
      <c r="Q108" s="958"/>
      <c r="R108" s="988"/>
      <c r="S108" s="957"/>
      <c r="T108" s="701"/>
      <c r="U108" s="801"/>
      <c r="V108" s="801"/>
      <c r="W108" s="801"/>
      <c r="X108" s="801"/>
      <c r="Y108" s="801"/>
      <c r="Z108" s="801"/>
      <c r="AA108" s="801"/>
      <c r="AB108" s="801"/>
      <c r="AC108" s="801"/>
      <c r="AD108" s="801"/>
      <c r="AE108" s="801"/>
      <c r="AF108" s="801"/>
      <c r="AG108" s="801"/>
      <c r="AH108" s="801"/>
      <c r="AI108" s="801"/>
      <c r="AJ108" s="801"/>
      <c r="AK108" s="801"/>
      <c r="AL108" s="801"/>
      <c r="AM108" s="801"/>
      <c r="AN108" s="801"/>
      <c r="AO108" s="801"/>
      <c r="AP108" s="801"/>
      <c r="AQ108" s="801"/>
      <c r="AR108" s="801"/>
      <c r="AS108" s="801"/>
      <c r="AT108" s="801"/>
      <c r="AU108" s="801"/>
      <c r="AV108" s="801"/>
      <c r="AW108" s="801"/>
      <c r="AX108" s="801"/>
      <c r="AY108" s="801"/>
      <c r="AZ108" s="801"/>
      <c r="BA108" s="801"/>
      <c r="BB108" s="801"/>
      <c r="BC108" s="801"/>
      <c r="BD108" s="801"/>
      <c r="BE108" s="801"/>
      <c r="BF108" s="801"/>
      <c r="BG108" s="801"/>
      <c r="BH108" s="801"/>
      <c r="BI108" s="801"/>
      <c r="BJ108" s="801"/>
      <c r="BK108" s="801"/>
      <c r="BL108" s="801"/>
      <c r="BM108" s="801"/>
      <c r="BN108" s="801"/>
      <c r="BO108" s="801"/>
      <c r="BP108" s="801"/>
      <c r="BQ108" s="801"/>
      <c r="BR108" s="801"/>
      <c r="BS108" s="801"/>
      <c r="BT108" s="801"/>
      <c r="BU108" s="801"/>
      <c r="BV108" s="801"/>
      <c r="BW108" s="801"/>
      <c r="BX108" s="801"/>
      <c r="BY108" s="801"/>
      <c r="BZ108" s="801"/>
      <c r="CA108" s="801"/>
      <c r="CB108" s="801"/>
      <c r="CC108" s="801"/>
      <c r="CD108" s="801"/>
      <c r="CE108" s="801"/>
      <c r="CF108" s="801"/>
      <c r="CG108" s="801"/>
      <c r="CH108" s="801"/>
      <c r="CI108" s="801"/>
      <c r="CJ108" s="801"/>
      <c r="CK108" s="801"/>
      <c r="CL108" s="801"/>
      <c r="CM108" s="801"/>
      <c r="CN108" s="801"/>
      <c r="CO108" s="801"/>
      <c r="CP108" s="801"/>
      <c r="CQ108" s="801"/>
      <c r="CR108" s="801"/>
      <c r="CS108" s="801"/>
      <c r="CT108" s="801"/>
      <c r="CU108" s="801"/>
      <c r="CV108" s="801"/>
      <c r="CW108" s="801"/>
      <c r="CX108" s="801"/>
      <c r="CY108" s="801"/>
      <c r="CZ108" s="801"/>
      <c r="DA108" s="801"/>
      <c r="DB108" s="801"/>
      <c r="DC108" s="801"/>
      <c r="DD108" s="801"/>
      <c r="DE108" s="801"/>
      <c r="DF108" s="801"/>
      <c r="DG108" s="801"/>
      <c r="DH108" s="801"/>
      <c r="DI108" s="801"/>
      <c r="DJ108" s="801"/>
      <c r="DK108" s="801"/>
      <c r="DL108" s="801"/>
      <c r="DM108" s="801"/>
      <c r="DN108" s="801"/>
      <c r="DO108" s="801"/>
      <c r="DP108" s="801"/>
      <c r="DQ108" s="801"/>
      <c r="DR108" s="801"/>
      <c r="DS108" s="801"/>
      <c r="DT108" s="801"/>
      <c r="DU108" s="801"/>
      <c r="DV108" s="801"/>
      <c r="DW108" s="801"/>
      <c r="DX108" s="801"/>
      <c r="DY108" s="801"/>
      <c r="DZ108" s="801"/>
      <c r="EA108" s="801"/>
      <c r="EB108" s="801"/>
      <c r="EC108" s="801"/>
      <c r="ED108" s="801"/>
      <c r="EE108" s="801"/>
      <c r="EF108" s="801"/>
      <c r="EG108" s="801"/>
      <c r="EH108" s="801"/>
      <c r="EI108" s="801"/>
      <c r="EJ108" s="801"/>
      <c r="EK108" s="801"/>
      <c r="EL108" s="801"/>
      <c r="EM108" s="801"/>
      <c r="EN108" s="801"/>
      <c r="EO108" s="801"/>
      <c r="EP108" s="801"/>
      <c r="EQ108" s="801"/>
      <c r="ER108" s="801"/>
      <c r="ES108" s="801"/>
      <c r="ET108" s="801"/>
      <c r="EU108" s="801"/>
      <c r="EV108" s="801"/>
      <c r="EW108" s="801"/>
      <c r="EX108" s="801"/>
      <c r="EY108" s="801"/>
      <c r="EZ108" s="801"/>
      <c r="FA108" s="801"/>
      <c r="FB108" s="801"/>
      <c r="FC108" s="801"/>
      <c r="FD108" s="801"/>
      <c r="FE108" s="801"/>
      <c r="FF108" s="801"/>
      <c r="FG108" s="801"/>
      <c r="FH108" s="801"/>
      <c r="FI108" s="801"/>
      <c r="FJ108" s="801"/>
      <c r="FK108" s="801"/>
      <c r="FL108" s="801"/>
      <c r="FM108" s="801"/>
      <c r="FN108" s="801"/>
      <c r="FO108" s="801"/>
      <c r="FP108" s="801"/>
    </row>
    <row r="109" spans="1:184" s="216" customFormat="1" ht="14.25" customHeight="1" outlineLevel="1">
      <c r="A109" s="1005"/>
      <c r="B109" s="1005"/>
      <c r="C109" s="1006"/>
      <c r="D109" s="235"/>
      <c r="E109" s="235"/>
      <c r="F109" s="268"/>
      <c r="G109" s="199"/>
      <c r="H109" s="200"/>
      <c r="I109" s="201"/>
      <c r="J109" s="203"/>
      <c r="K109" s="203"/>
      <c r="L109" s="202"/>
      <c r="M109" s="203"/>
      <c r="N109" s="971"/>
      <c r="O109" s="819"/>
      <c r="P109" s="819"/>
      <c r="Q109" s="204"/>
      <c r="R109" s="866"/>
      <c r="S109" s="204"/>
      <c r="T109" s="813"/>
      <c r="U109" s="206"/>
      <c r="V109" s="203"/>
      <c r="W109" s="207"/>
      <c r="X109" s="203"/>
      <c r="Y109" s="207"/>
      <c r="Z109" s="203"/>
      <c r="AA109" s="207"/>
      <c r="AB109" s="203"/>
      <c r="AC109" s="207"/>
      <c r="AD109" s="203"/>
      <c r="AE109" s="208"/>
      <c r="AF109" s="203"/>
      <c r="AG109" s="208"/>
      <c r="AH109" s="203"/>
      <c r="AI109" s="208"/>
      <c r="AJ109" s="203"/>
      <c r="AK109" s="203"/>
      <c r="AL109" s="203"/>
      <c r="AM109" s="208"/>
      <c r="AN109" s="203"/>
      <c r="AO109" s="202"/>
      <c r="AP109" s="202"/>
      <c r="AQ109" s="202"/>
      <c r="AR109" s="202"/>
      <c r="AS109" s="202"/>
      <c r="AT109" s="202"/>
      <c r="AU109" s="202"/>
      <c r="AV109" s="202"/>
      <c r="AW109" s="202"/>
      <c r="AX109" s="202"/>
      <c r="AY109" s="202"/>
      <c r="AZ109" s="212"/>
      <c r="BA109" s="203"/>
      <c r="BB109" s="203"/>
      <c r="BC109" s="203"/>
      <c r="BD109" s="203"/>
      <c r="BE109" s="203"/>
      <c r="BF109" s="203"/>
      <c r="BG109" s="203"/>
      <c r="BH109" s="203"/>
      <c r="BI109" s="203"/>
      <c r="BJ109" s="203"/>
      <c r="BK109" s="203"/>
      <c r="BL109" s="203"/>
      <c r="BM109" s="203"/>
      <c r="BN109" s="203"/>
      <c r="BO109" s="203"/>
      <c r="BP109" s="203"/>
      <c r="BQ109" s="203"/>
      <c r="BR109" s="202"/>
      <c r="BS109" s="203"/>
      <c r="BT109" s="203"/>
      <c r="BU109" s="203"/>
      <c r="BV109" s="203"/>
      <c r="BW109" s="203"/>
      <c r="BX109" s="203"/>
      <c r="BY109" s="203"/>
      <c r="BZ109" s="203"/>
      <c r="CA109" s="203"/>
      <c r="CB109" s="241"/>
      <c r="CC109" s="242"/>
      <c r="CD109" s="242"/>
      <c r="CE109" s="242"/>
      <c r="CF109" s="242"/>
      <c r="CG109" s="242"/>
      <c r="CH109" s="242"/>
      <c r="CI109" s="703"/>
      <c r="CJ109" s="242"/>
      <c r="CK109" s="242"/>
      <c r="CL109" s="242"/>
      <c r="CM109" s="242"/>
      <c r="CN109" s="242"/>
      <c r="CO109" s="242"/>
      <c r="CP109" s="242"/>
      <c r="CQ109" s="242"/>
      <c r="CR109" s="242"/>
      <c r="CS109" s="243"/>
      <c r="CU109" s="201"/>
      <c r="CV109" s="203"/>
      <c r="CW109" s="203"/>
      <c r="CX109" s="203"/>
      <c r="CY109" s="203"/>
      <c r="CZ109" s="203"/>
      <c r="DA109" s="203"/>
      <c r="DB109" s="203"/>
      <c r="DC109" s="203"/>
      <c r="DD109" s="203"/>
      <c r="DE109" s="203"/>
      <c r="DF109" s="203"/>
      <c r="DG109" s="239"/>
      <c r="DH109" s="239"/>
      <c r="DI109" s="239"/>
      <c r="DJ109" s="203"/>
      <c r="DK109" s="203"/>
      <c r="DL109" s="203"/>
      <c r="DM109" s="203"/>
      <c r="DN109" s="210"/>
      <c r="DO109" s="210"/>
      <c r="DP109" s="210"/>
      <c r="DQ109" s="210"/>
      <c r="DR109" s="210"/>
      <c r="DS109" s="210"/>
      <c r="DT109" s="210"/>
      <c r="DU109" s="210"/>
      <c r="DV109" s="210"/>
      <c r="DW109" s="241"/>
      <c r="DX109" s="241"/>
      <c r="DY109" s="241"/>
      <c r="DZ109" s="241"/>
      <c r="EA109" s="241"/>
      <c r="EB109" s="241"/>
      <c r="EC109" s="241"/>
      <c r="ED109" s="241"/>
      <c r="EE109" s="242"/>
      <c r="EF109" s="203"/>
      <c r="EG109" s="242"/>
      <c r="EH109" s="203"/>
      <c r="EI109" s="203"/>
      <c r="EJ109" s="242"/>
      <c r="EK109" s="203"/>
      <c r="EL109" s="203"/>
      <c r="EM109" s="203"/>
      <c r="EN109" s="203"/>
      <c r="EP109" s="851"/>
      <c r="EQ109" s="851"/>
      <c r="ER109" s="851"/>
      <c r="ES109" s="201"/>
      <c r="ET109" s="201"/>
      <c r="EU109" s="201"/>
      <c r="EV109" s="201"/>
      <c r="EW109" s="201"/>
      <c r="EX109" s="201"/>
      <c r="EY109" s="201"/>
      <c r="EZ109" s="820"/>
      <c r="FA109" s="207"/>
      <c r="FB109" s="207"/>
      <c r="FC109" s="207"/>
      <c r="FD109" s="207"/>
      <c r="FE109" s="207"/>
      <c r="FF109" s="207"/>
      <c r="FG109" s="207"/>
      <c r="FH109" s="207"/>
      <c r="FI109" s="207"/>
      <c r="FJ109" s="207"/>
      <c r="FK109" s="217"/>
      <c r="FL109" s="217"/>
      <c r="FM109" s="217"/>
      <c r="FN109" s="217"/>
      <c r="FO109" s="217"/>
      <c r="FP109" s="217"/>
    </row>
    <row r="110" spans="1:184" s="216" customFormat="1" ht="14.25" customHeight="1" outlineLevel="1">
      <c r="A110" s="1005"/>
      <c r="B110" s="1005"/>
      <c r="C110" s="1006"/>
      <c r="D110" s="235"/>
      <c r="E110" s="235"/>
      <c r="F110" s="268"/>
      <c r="G110" s="955" t="s">
        <v>764</v>
      </c>
      <c r="H110" s="200" t="s">
        <v>771</v>
      </c>
      <c r="I110" s="201" t="s">
        <v>11</v>
      </c>
      <c r="J110" s="203">
        <v>6200</v>
      </c>
      <c r="K110" s="203">
        <v>1300</v>
      </c>
      <c r="L110" s="202">
        <f t="shared" ref="L110" si="2537">+J110+K110</f>
        <v>7500</v>
      </c>
      <c r="M110" s="203">
        <v>30</v>
      </c>
      <c r="N110" s="971">
        <v>0.4</v>
      </c>
      <c r="O110" s="819">
        <v>0.45</v>
      </c>
      <c r="P110" s="819">
        <v>0.15</v>
      </c>
      <c r="Q110" s="204">
        <v>0</v>
      </c>
      <c r="R110" s="866">
        <v>0</v>
      </c>
      <c r="S110" s="204">
        <f t="shared" ref="S110" si="2538">SUM(N110:R110)</f>
        <v>1</v>
      </c>
      <c r="T110" s="813" t="s">
        <v>765</v>
      </c>
      <c r="U110" s="206"/>
      <c r="V110" s="203">
        <f t="shared" ref="V110" si="2539">($J110/30/8*1.5)*U110</f>
        <v>0</v>
      </c>
      <c r="W110" s="207"/>
      <c r="X110" s="203">
        <f t="shared" ref="X110" si="2540">($J110/30/8*2)*W110</f>
        <v>0</v>
      </c>
      <c r="Y110" s="207"/>
      <c r="Z110" s="203">
        <f t="shared" ref="Z110" si="2541">($J110/30/8*1.5)*Y110</f>
        <v>0</v>
      </c>
      <c r="AA110" s="207"/>
      <c r="AB110" s="203">
        <f t="shared" ref="AB110" si="2542">($J110/30/8*2)*AA110</f>
        <v>0</v>
      </c>
      <c r="AC110" s="207"/>
      <c r="AD110" s="203">
        <f t="shared" ref="AD110" si="2543">(($J110/30/8)*1.5)*AC110</f>
        <v>0</v>
      </c>
      <c r="AE110" s="208"/>
      <c r="AF110" s="203">
        <f t="shared" ref="AF110" si="2544">(($J110/30/8)*2)*AE110</f>
        <v>0</v>
      </c>
      <c r="AG110" s="208"/>
      <c r="AH110" s="203">
        <f t="shared" ref="AH110" si="2545">(($J110/30/8)*1.5)*AG110</f>
        <v>0</v>
      </c>
      <c r="AI110" s="208"/>
      <c r="AJ110" s="203">
        <f t="shared" ref="AJ110" si="2546">(($J110/30/8)*2)*AI110</f>
        <v>0</v>
      </c>
      <c r="AK110" s="203"/>
      <c r="AL110" s="203">
        <f t="shared" ref="AL110" si="2547">(($J110/30/8)*1.5)*AK110</f>
        <v>0</v>
      </c>
      <c r="AM110" s="208"/>
      <c r="AN110" s="203">
        <f t="shared" ref="AN110" si="2548">(($J110/30/8)*2)*AM110</f>
        <v>0</v>
      </c>
      <c r="AO110" s="202"/>
      <c r="AP110" s="202"/>
      <c r="AQ110" s="202"/>
      <c r="AR110" s="202"/>
      <c r="AS110" s="202"/>
      <c r="AT110" s="202"/>
      <c r="AU110" s="202"/>
      <c r="AV110" s="202"/>
      <c r="AW110" s="202"/>
      <c r="AX110" s="202"/>
      <c r="AY110" s="202"/>
      <c r="AZ110" s="212"/>
      <c r="BA110" s="203">
        <f>((J110/30)*M110)*$N110</f>
        <v>2480</v>
      </c>
      <c r="BB110" s="203">
        <f>((K110/30)*M110)*$N110</f>
        <v>520</v>
      </c>
      <c r="BC110" s="203">
        <f t="shared" ref="BC110" si="2549">U110</f>
        <v>0</v>
      </c>
      <c r="BD110" s="203">
        <f t="shared" ref="BD110" si="2550">V110</f>
        <v>0</v>
      </c>
      <c r="BE110" s="203">
        <f t="shared" ref="BE110" si="2551">W110</f>
        <v>0</v>
      </c>
      <c r="BF110" s="203">
        <f t="shared" ref="BF110" si="2552">X110</f>
        <v>0</v>
      </c>
      <c r="BG110" s="203">
        <f>AO110+AT110</f>
        <v>0</v>
      </c>
      <c r="BH110" s="203">
        <f t="shared" ref="BH110" si="2553">(BA110+BD110+BF110+BG110)*0.1267</f>
        <v>314.21600000000001</v>
      </c>
      <c r="BI110" s="203">
        <f t="shared" ref="BI110" si="2554">SUM(BA110:BH110)-BC110-BE110</f>
        <v>3314.2159999999999</v>
      </c>
      <c r="BJ110" s="203">
        <f t="shared" ref="BJ110" si="2555">(($J110/30)*$M110)*$O110</f>
        <v>2790</v>
      </c>
      <c r="BK110" s="203">
        <f>(($K110/30)*$M110)*$O110</f>
        <v>585</v>
      </c>
      <c r="BL110" s="203">
        <f t="shared" ref="BL110" si="2556">Y110</f>
        <v>0</v>
      </c>
      <c r="BM110" s="203">
        <f t="shared" ref="BM110" si="2557">Z110</f>
        <v>0</v>
      </c>
      <c r="BN110" s="203">
        <f t="shared" ref="BN110" si="2558">AA110</f>
        <v>0</v>
      </c>
      <c r="BO110" s="203">
        <f t="shared" ref="BO110" si="2559">AB110</f>
        <v>0</v>
      </c>
      <c r="BP110" s="203">
        <f t="shared" ref="BP110" si="2560">AP110+AU110</f>
        <v>0</v>
      </c>
      <c r="BQ110" s="203">
        <f t="shared" ref="BQ110" si="2561">(+BJ110+BM110+BO110+BP110)*0.1267</f>
        <v>353.49299999999999</v>
      </c>
      <c r="BR110" s="202">
        <f t="shared" ref="BR110" si="2562">SUM(BJ110:BQ110)-BL110-BN110</f>
        <v>3728.4929999999999</v>
      </c>
      <c r="BS110" s="203">
        <f t="shared" ref="BS110" si="2563">(($J110/30)*$M110)*$P110</f>
        <v>930</v>
      </c>
      <c r="BT110" s="203">
        <f t="shared" ref="BT110" si="2564">(($K110/30)*$M110)*$P110</f>
        <v>195</v>
      </c>
      <c r="BU110" s="203">
        <f t="shared" ref="BU110" si="2565">AC110</f>
        <v>0</v>
      </c>
      <c r="BV110" s="203">
        <f t="shared" ref="BV110" si="2566">AD110</f>
        <v>0</v>
      </c>
      <c r="BW110" s="203">
        <f t="shared" ref="BW110" si="2567">AE110</f>
        <v>0</v>
      </c>
      <c r="BX110" s="203">
        <f t="shared" ref="BX110" si="2568">AF110</f>
        <v>0</v>
      </c>
      <c r="BY110" s="203">
        <f t="shared" ref="BY110" si="2569">AQ110+AV110</f>
        <v>0</v>
      </c>
      <c r="BZ110" s="203">
        <f t="shared" ref="BZ110" si="2570">(BS110+BV110+BX110+BY110)*0.1267</f>
        <v>117.831</v>
      </c>
      <c r="CA110" s="203">
        <f t="shared" ref="CA110" si="2571">SUM(BS110:BZ110)-BU110-BW110</f>
        <v>1242.8309999999999</v>
      </c>
      <c r="CB110" s="241">
        <f>(($J110/30)*$M110)*$Q110</f>
        <v>0</v>
      </c>
      <c r="CC110" s="242">
        <f>(($K110/30)*$M110)*$Q110</f>
        <v>0</v>
      </c>
      <c r="CD110" s="242">
        <f t="shared" ref="CD110" si="2572">AG110</f>
        <v>0</v>
      </c>
      <c r="CE110" s="242">
        <f t="shared" ref="CE110" si="2573">AH110</f>
        <v>0</v>
      </c>
      <c r="CF110" s="242">
        <f t="shared" ref="CF110" si="2574">AI110</f>
        <v>0</v>
      </c>
      <c r="CG110" s="242">
        <f t="shared" ref="CG110" si="2575">AJ110</f>
        <v>0</v>
      </c>
      <c r="CH110" s="242">
        <f t="shared" ref="CH110" si="2576">AR110+AW110</f>
        <v>0</v>
      </c>
      <c r="CI110" s="703">
        <f t="shared" ref="CI110" si="2577">(CB110+CE110+CG110+CH110)*0.1267</f>
        <v>0</v>
      </c>
      <c r="CJ110" s="242">
        <f>SUM(CB110:CI110)-CD110-CF110</f>
        <v>0</v>
      </c>
      <c r="CK110" s="242">
        <f t="shared" ref="CK110" si="2578">(($J110/30)*$M110)*R110</f>
        <v>0</v>
      </c>
      <c r="CL110" s="242">
        <f t="shared" ref="CL110" si="2579">(($K110/30)*$M110)*$R110</f>
        <v>0</v>
      </c>
      <c r="CM110" s="242">
        <f t="shared" ref="CM110" si="2580">+AK110</f>
        <v>0</v>
      </c>
      <c r="CN110" s="242">
        <f t="shared" ref="CN110" si="2581">AL110</f>
        <v>0</v>
      </c>
      <c r="CO110" s="242">
        <f t="shared" ref="CO110" si="2582">AM110</f>
        <v>0</v>
      </c>
      <c r="CP110" s="242">
        <f t="shared" ref="CP110" si="2583">AN110</f>
        <v>0</v>
      </c>
      <c r="CQ110" s="242">
        <f t="shared" ref="CQ110" si="2584">AS110+AX110</f>
        <v>0</v>
      </c>
      <c r="CR110" s="242">
        <f t="shared" ref="CR110" si="2585">(CK110+CN110+CP110)*0.1267</f>
        <v>0</v>
      </c>
      <c r="CS110" s="243">
        <f t="shared" ref="CS110" si="2586">SUM(CK110:CR110)-CM110-CO110</f>
        <v>0</v>
      </c>
      <c r="CU110" s="201" t="s">
        <v>11</v>
      </c>
      <c r="CV110" s="203">
        <f t="shared" ref="CV110" si="2587">IF($CU110="PROQUIMA",$BA110+$BJ110+$BS110+$CB110+$CK110,0)</f>
        <v>0</v>
      </c>
      <c r="CW110" s="203">
        <f t="shared" ref="CW110" si="2588">IF($CU110="PROQUIMA",$BB110+$BK110+$BT110+$CC110+$CL110,0)</f>
        <v>0</v>
      </c>
      <c r="CX110" s="203">
        <f t="shared" ref="CX110" si="2589">IF($CU110="PROQUIMA",$BC110+$BL110+$BU110+$CD110+$CM110,0)</f>
        <v>0</v>
      </c>
      <c r="CY110" s="203">
        <f t="shared" ref="CY110" si="2590">IF($CU110="PROQUIMA",$BD110+$BM110+$BV110+$CE110+$CN110,0)</f>
        <v>0</v>
      </c>
      <c r="CZ110" s="203">
        <f t="shared" ref="CZ110" si="2591">IF($CU110="PROQUIMA",$BE110+$BN110+$BW110+$CF110+$CO110,0)</f>
        <v>0</v>
      </c>
      <c r="DA110" s="203">
        <f t="shared" ref="DA110" si="2592">IF($CU110="PROQUIMA",$BF110+$BO110+$BX110+$CG110+$CP110,0)</f>
        <v>0</v>
      </c>
      <c r="DB110" s="203">
        <f t="shared" ref="DB110" si="2593">IF($CU110="PROQUIMA",$BG110+$BP110+$BY110+$CH110+$CQ110,0)</f>
        <v>0</v>
      </c>
      <c r="DC110" s="203">
        <f t="shared" ref="DC110" si="2594">IF($CU110="PROQUIMA",$BH110+$BQ110+$BZ110+$CI110+CR110,0)</f>
        <v>0</v>
      </c>
      <c r="DD110" s="203">
        <f t="shared" ref="DD110" si="2595">SUM(CV110:DC110)-CX110-CZ110</f>
        <v>0</v>
      </c>
      <c r="DE110" s="203">
        <f t="shared" ref="DE110" si="2596">IF($CU110="UNHESA",$BA110+$BJ110+$BS110+$CB110+$CK110,0)</f>
        <v>0</v>
      </c>
      <c r="DF110" s="203">
        <f t="shared" ref="DF110" si="2597">IF($CU110="UNHESA",$BB110+$BK110+$BT110+$CC110+$CL110,0)</f>
        <v>0</v>
      </c>
      <c r="DG110" s="239">
        <f t="shared" ref="DG110" si="2598">IF($CU110="UNHESA",$BC110+$BL110+$BU110+$CD110+$CM110,0)</f>
        <v>0</v>
      </c>
      <c r="DH110" s="239">
        <f t="shared" ref="DH110" si="2599">IF($CU110="UNHESA",$BD110+$BM110+$BV110+$CE110+$CN110,0)</f>
        <v>0</v>
      </c>
      <c r="DI110" s="239">
        <f t="shared" ref="DI110" si="2600">IF($CU110="UNHESA",$BE110+$BN110+$BW110+$CF110+$CO110,0)</f>
        <v>0</v>
      </c>
      <c r="DJ110" s="203">
        <f t="shared" ref="DJ110" si="2601">IF($CU110="UNHESA",$BF110+$BO110+$BX110+$CG110+$CP110,0)</f>
        <v>0</v>
      </c>
      <c r="DK110" s="203">
        <f t="shared" ref="DK110" si="2602">IF($CU110="UNHESA",$BG110+$BP110+$BY110+$CH110+$CQ110,0)</f>
        <v>0</v>
      </c>
      <c r="DL110" s="203">
        <f t="shared" ref="DL110" si="2603">IF($CU110="UNHESA",$BH110+$BQ110+$BZ110+$CI110+$CR110,0)</f>
        <v>0</v>
      </c>
      <c r="DM110" s="203">
        <f t="shared" ref="DM110" si="2604">SUM(DE110:DL110)-DG110-DI110</f>
        <v>0</v>
      </c>
      <c r="DN110" s="210">
        <f t="shared" ref="DN110" si="2605">IF($CU110="UNHESA LIQUIDOS",$BA110+$BJ110+$BS110+$CB110+$CK110,0)</f>
        <v>0</v>
      </c>
      <c r="DO110" s="210">
        <f t="shared" ref="DO110" si="2606">IF($CU110="UNHESA LIQUIDOS",$BB110+$BK110+$BT110+$CC110+$CL110,0)</f>
        <v>0</v>
      </c>
      <c r="DP110" s="210">
        <f t="shared" ref="DP110" si="2607">IF($CU110="UNHESA LIQUIDOS",$BC110+$BL110+$BU110+$CD110+$CM110,0)</f>
        <v>0</v>
      </c>
      <c r="DQ110" s="210">
        <f t="shared" ref="DQ110" si="2608">IF($CU110="UNHESA LIQUIDOS",$BD110+$BM110+$BV110+$CE110+$CN110,0)</f>
        <v>0</v>
      </c>
      <c r="DR110" s="210">
        <f t="shared" ref="DR110" si="2609">IF($CU110="UNHESA LIQUIDOS",$BE110+$BN110+$BW110+$CF110+$CO110,0)</f>
        <v>0</v>
      </c>
      <c r="DS110" s="210">
        <f t="shared" ref="DS110" si="2610">IF($CU110="UNHESA LIQUIDOS",$BF110+$BO110+$BX110+$CG110+$CP110,0)</f>
        <v>0</v>
      </c>
      <c r="DT110" s="210">
        <f t="shared" ref="DT110" si="2611">IF($CU110="UNHESA LIQUIDOS",$BG110+$BP110+$BY110+$CH110+$CQ110,0)</f>
        <v>0</v>
      </c>
      <c r="DU110" s="210">
        <f t="shared" ref="DU110" si="2612">IF($CU110="UNHESA LIQUIDOS",$BH110+$BQ110+$BZ110+$CI110+$CR110,0)</f>
        <v>0</v>
      </c>
      <c r="DV110" s="210">
        <f t="shared" ref="DV110" si="2613">SUM(DN110:DU110)-DP110-DR110</f>
        <v>0</v>
      </c>
      <c r="DW110" s="241">
        <f>IF($CU110="CLEARTEC",$BA110+$BJ110+$BS110+$CB110+$CK110,0)</f>
        <v>0</v>
      </c>
      <c r="DX110" s="241">
        <f t="shared" ref="DX110:ED110" si="2614">IF($CU110="CLEARTEC",$BA110+$BJ110+$BS110+$CB110+$CK110,0)</f>
        <v>0</v>
      </c>
      <c r="DY110" s="241">
        <f t="shared" si="2614"/>
        <v>0</v>
      </c>
      <c r="DZ110" s="241">
        <f t="shared" si="2614"/>
        <v>0</v>
      </c>
      <c r="EA110" s="241">
        <f t="shared" si="2614"/>
        <v>0</v>
      </c>
      <c r="EB110" s="241">
        <f t="shared" si="2614"/>
        <v>0</v>
      </c>
      <c r="EC110" s="241">
        <f t="shared" si="2614"/>
        <v>0</v>
      </c>
      <c r="ED110" s="241">
        <f t="shared" si="2614"/>
        <v>0</v>
      </c>
      <c r="EE110" s="242">
        <f t="shared" ref="EE110" si="2615">SUM(DW110:ED110)-DY110-EA110</f>
        <v>0</v>
      </c>
      <c r="EF110" s="203">
        <f t="shared" ref="EF110" si="2616">IF(CU110="ECONACIONAL",$BA110+$BJ110+$BS110+$CB110+$CK110)</f>
        <v>6200</v>
      </c>
      <c r="EG110" s="242">
        <f t="shared" ref="EG110:EG113" si="2617">IF($CU110="ECONACIONAL",$BB110+$BK110+$BT110+$CC110+$CL110,0)</f>
        <v>1300</v>
      </c>
      <c r="EH110" s="203">
        <f t="shared" ref="EH110" si="2618">IF(CU110="ECONACIONAL",$BC110+$BL110+$BU110+$CD110+$CM110)</f>
        <v>0</v>
      </c>
      <c r="EI110" s="203">
        <f t="shared" ref="EI110" si="2619">IF(CU110="ECONACIONAL",$BD110+$DH110+$DQ110+$DZ110+BM110+BV110+CE110+CN110)</f>
        <v>0</v>
      </c>
      <c r="EJ110" s="242">
        <f t="shared" ref="EJ110:EJ113" si="2620">IF($CU110="CLEARTEC",$BE110+$BN110+$BW110+$CF110+$CO110,0)</f>
        <v>0</v>
      </c>
      <c r="EK110" s="203">
        <f t="shared" ref="EK110" si="2621">IF(CU110="ECONACIONAL",$BF110+$BO110+$BX110+$CG110+$CP110)</f>
        <v>0</v>
      </c>
      <c r="EL110" s="203">
        <f t="shared" ref="EL110" si="2622">IF(CU110="ECONACIONAL",$BG110+$BP110+$BY110+$CH110+$CQ110)</f>
        <v>0</v>
      </c>
      <c r="EM110" s="203">
        <f t="shared" ref="EM110" si="2623">IF(CU110="ECONACIONAL",BH110+BQ110+BZ110+CI110+CR110)</f>
        <v>785.54000000000008</v>
      </c>
      <c r="EN110" s="203">
        <f t="shared" ref="EN110" si="2624">SUM(EF110:EM110)-EH110-EJ110</f>
        <v>8285.5400000000009</v>
      </c>
      <c r="EP110" s="851"/>
      <c r="EQ110" s="851"/>
      <c r="ER110" s="851"/>
      <c r="ES110" s="201"/>
      <c r="ET110" s="201"/>
      <c r="EU110" s="201"/>
      <c r="EV110" s="201"/>
      <c r="EW110" s="201"/>
      <c r="EX110" s="201"/>
      <c r="EY110" s="201">
        <f t="shared" ref="EY110" si="2625">+ET110+EU110+EV110</f>
        <v>0</v>
      </c>
      <c r="EZ110" s="820"/>
      <c r="FA110" s="207">
        <f t="shared" ref="FA110" si="2626">IF($M110&lt;=15,EP110/2,EP110)</f>
        <v>0</v>
      </c>
      <c r="FB110" s="207">
        <f t="shared" ref="FB110" si="2627">IF($M110&lt;=15,EQ110/2,EQ110)</f>
        <v>0</v>
      </c>
      <c r="FC110" s="207">
        <f t="shared" ref="FC110" si="2628">IF($M110&lt;=15,ER110/2,ER110)</f>
        <v>0</v>
      </c>
      <c r="FD110" s="207">
        <f t="shared" ref="FD110" si="2629">IF($M110&lt;=15,ES110/2,ES110)</f>
        <v>0</v>
      </c>
      <c r="FE110" s="207">
        <f t="shared" ref="FE110" si="2630">IF($M110&lt;=15,ET110/2,ET110)</f>
        <v>0</v>
      </c>
      <c r="FF110" s="207">
        <f t="shared" ref="FF110" si="2631">IF($M110&lt;=15,EU110/2,EU110)</f>
        <v>0</v>
      </c>
      <c r="FG110" s="207">
        <f t="shared" ref="FG110" si="2632">IF($M110&lt;=15,EV110/2,EV110)</f>
        <v>0</v>
      </c>
      <c r="FH110" s="207">
        <f t="shared" ref="FH110" si="2633">IF($M110&lt;=15,EW110/2,EW110)</f>
        <v>0</v>
      </c>
      <c r="FI110" s="207">
        <f t="shared" ref="FI110" si="2634">IF($M110&lt;=15,EX110/2,EX110)</f>
        <v>0</v>
      </c>
      <c r="FJ110" s="207">
        <f>IF($M110&lt;=15,EY110/2,EY110)</f>
        <v>0</v>
      </c>
      <c r="FK110" s="217"/>
      <c r="FL110" s="217"/>
      <c r="FM110" s="217"/>
      <c r="FN110" s="217"/>
      <c r="FO110" s="217"/>
      <c r="FP110" s="217"/>
    </row>
    <row r="111" spans="1:184" s="216" customFormat="1" ht="15" customHeight="1" outlineLevel="1">
      <c r="A111" s="1005" t="str">
        <f t="shared" si="2331"/>
        <v>JUNIO  2026 2da QUINCENA</v>
      </c>
      <c r="B111" s="1005">
        <f t="shared" si="2332"/>
        <v>2026</v>
      </c>
      <c r="C111" s="1006" t="str">
        <f t="shared" si="1564"/>
        <v>JUNIO  2026 2da QUINCENA2026</v>
      </c>
      <c r="D111" s="235"/>
      <c r="E111" s="235">
        <v>303050</v>
      </c>
      <c r="F111" s="268"/>
      <c r="G111" s="975" t="s">
        <v>749</v>
      </c>
      <c r="H111" s="235"/>
      <c r="J111" s="801"/>
      <c r="K111" s="801"/>
      <c r="L111" s="801"/>
      <c r="M111" s="801"/>
      <c r="N111" s="870"/>
      <c r="O111" s="957"/>
      <c r="P111" s="957"/>
      <c r="Q111" s="958"/>
      <c r="R111" s="958"/>
      <c r="S111" s="957"/>
      <c r="T111" s="701"/>
      <c r="U111" s="959"/>
      <c r="V111" s="801"/>
      <c r="W111" s="960"/>
      <c r="X111" s="801"/>
      <c r="Y111" s="960"/>
      <c r="Z111" s="801"/>
      <c r="AA111" s="960"/>
      <c r="AB111" s="880"/>
      <c r="AC111" s="960"/>
      <c r="AD111" s="801"/>
      <c r="AE111" s="961"/>
      <c r="AF111" s="801"/>
      <c r="AG111" s="972"/>
      <c r="AH111" s="801"/>
      <c r="AI111" s="973"/>
      <c r="AJ111" s="801"/>
      <c r="AK111" s="823"/>
      <c r="AL111" s="823"/>
      <c r="AM111" s="973"/>
      <c r="AN111" s="823"/>
      <c r="AO111" s="827"/>
      <c r="AP111" s="827"/>
      <c r="AQ111" s="827"/>
      <c r="AR111" s="827"/>
      <c r="AS111" s="827"/>
      <c r="AT111" s="827"/>
      <c r="AU111" s="827"/>
      <c r="AV111" s="827"/>
      <c r="AW111" s="827"/>
      <c r="AX111" s="827"/>
      <c r="AY111" s="860"/>
      <c r="AZ111" s="966"/>
      <c r="BA111" s="801"/>
      <c r="BB111" s="880"/>
      <c r="BC111" s="801"/>
      <c r="BD111" s="801"/>
      <c r="BE111" s="801"/>
      <c r="BF111" s="801"/>
      <c r="BG111" s="801"/>
      <c r="BH111" s="801"/>
      <c r="BI111" s="801"/>
      <c r="BJ111" s="801"/>
      <c r="BK111" s="801"/>
      <c r="BL111" s="801"/>
      <c r="BM111" s="801"/>
      <c r="BN111" s="801"/>
      <c r="BO111" s="801"/>
      <c r="BP111" s="801"/>
      <c r="BQ111" s="801"/>
      <c r="BR111" s="860"/>
      <c r="BS111" s="801"/>
      <c r="BT111" s="801"/>
      <c r="BU111" s="801"/>
      <c r="BV111" s="801"/>
      <c r="BW111" s="801"/>
      <c r="BX111" s="801"/>
      <c r="BY111" s="801"/>
      <c r="BZ111" s="801"/>
      <c r="CA111" s="801"/>
      <c r="CB111" s="801"/>
      <c r="CC111" s="801"/>
      <c r="CD111" s="801"/>
      <c r="CE111" s="801"/>
      <c r="CF111" s="801"/>
      <c r="CG111" s="801"/>
      <c r="CH111" s="801"/>
      <c r="CI111" s="801"/>
      <c r="CJ111" s="801"/>
      <c r="CK111" s="823"/>
      <c r="CL111" s="823"/>
      <c r="CM111" s="823"/>
      <c r="CN111" s="823"/>
      <c r="CO111" s="823"/>
      <c r="CP111" s="823"/>
      <c r="CQ111" s="823"/>
      <c r="CR111" s="823"/>
      <c r="CS111" s="823"/>
      <c r="CV111" s="801"/>
      <c r="CW111" s="801"/>
      <c r="CX111" s="801"/>
      <c r="CY111" s="801"/>
      <c r="CZ111" s="801"/>
      <c r="DA111" s="801"/>
      <c r="DB111" s="801"/>
      <c r="DC111" s="801"/>
      <c r="DD111" s="801"/>
      <c r="DE111" s="801"/>
      <c r="DF111" s="801"/>
      <c r="DG111" s="801"/>
      <c r="DH111" s="801"/>
      <c r="DI111" s="801"/>
      <c r="DJ111" s="801"/>
      <c r="DK111" s="801"/>
      <c r="DL111" s="801"/>
      <c r="DM111" s="801"/>
      <c r="DN111" s="823"/>
      <c r="DO111" s="823"/>
      <c r="DP111" s="823"/>
      <c r="DQ111" s="823"/>
      <c r="DR111" s="823"/>
      <c r="DS111" s="823"/>
      <c r="DT111" s="823"/>
      <c r="DU111" s="823"/>
      <c r="DV111" s="823"/>
      <c r="DW111" s="823"/>
      <c r="DX111" s="823"/>
      <c r="DY111" s="823"/>
      <c r="DZ111" s="823"/>
      <c r="EA111" s="823"/>
      <c r="EB111" s="823"/>
      <c r="EC111" s="823"/>
      <c r="ED111" s="823"/>
      <c r="EE111" s="823"/>
      <c r="EF111" s="823"/>
      <c r="EG111" s="823"/>
      <c r="EH111" s="823"/>
      <c r="EI111" s="823"/>
      <c r="EJ111" s="823"/>
      <c r="EK111" s="823"/>
      <c r="EL111" s="823"/>
      <c r="EM111" s="823"/>
      <c r="EN111" s="823"/>
      <c r="EP111" s="851"/>
      <c r="EQ111" s="851" t="s">
        <v>332</v>
      </c>
      <c r="ER111" s="851"/>
      <c r="ES111" s="201"/>
      <c r="ET111" s="201"/>
      <c r="EU111" s="201"/>
      <c r="EV111" s="201"/>
      <c r="EW111" s="201"/>
      <c r="EX111" s="201"/>
      <c r="EY111" s="201"/>
      <c r="FA111" s="960"/>
      <c r="FB111" s="960"/>
      <c r="FC111" s="960"/>
      <c r="FD111" s="960"/>
      <c r="FE111" s="960"/>
      <c r="FF111" s="960"/>
      <c r="FG111" s="960"/>
      <c r="FH111" s="960"/>
      <c r="FI111" s="960"/>
      <c r="FJ111" s="960"/>
      <c r="FK111" s="968"/>
      <c r="FL111" s="968"/>
      <c r="FM111" s="968"/>
      <c r="FN111" s="968"/>
      <c r="FO111" s="968"/>
      <c r="FP111" s="974"/>
    </row>
    <row r="112" spans="1:184" s="216" customFormat="1" ht="14.25" customHeight="1" outlineLevel="1">
      <c r="A112" s="1005"/>
      <c r="B112" s="1005"/>
      <c r="C112" s="1006"/>
      <c r="D112" s="235"/>
      <c r="E112" s="235"/>
      <c r="F112" s="268"/>
      <c r="G112" s="199"/>
      <c r="H112" s="200"/>
      <c r="I112" s="201"/>
      <c r="J112" s="203"/>
      <c r="K112" s="203"/>
      <c r="L112" s="202"/>
      <c r="M112" s="203"/>
      <c r="N112" s="204"/>
      <c r="O112" s="204"/>
      <c r="P112" s="204"/>
      <c r="Q112" s="204"/>
      <c r="R112" s="204"/>
      <c r="S112" s="204"/>
      <c r="T112" s="701"/>
      <c r="U112" s="207"/>
      <c r="V112" s="203"/>
      <c r="W112" s="207"/>
      <c r="X112" s="203"/>
      <c r="Y112" s="207"/>
      <c r="Z112" s="203"/>
      <c r="AA112" s="207"/>
      <c r="AB112" s="203"/>
      <c r="AC112" s="207"/>
      <c r="AD112" s="203"/>
      <c r="AE112" s="208"/>
      <c r="AF112" s="203"/>
      <c r="AG112" s="208"/>
      <c r="AH112" s="203"/>
      <c r="AI112" s="208"/>
      <c r="AJ112" s="203"/>
      <c r="AK112" s="203"/>
      <c r="AL112" s="203"/>
      <c r="AM112" s="208"/>
      <c r="AN112" s="203"/>
      <c r="AO112" s="203"/>
      <c r="AP112" s="203"/>
      <c r="AQ112" s="203"/>
      <c r="AR112" s="203"/>
      <c r="AS112" s="203"/>
      <c r="AT112" s="202"/>
      <c r="AU112" s="203"/>
      <c r="AV112" s="203"/>
      <c r="AW112" s="203"/>
      <c r="AX112" s="203"/>
      <c r="AY112" s="203"/>
      <c r="AZ112" s="201"/>
      <c r="BA112" s="267"/>
      <c r="BB112" s="267"/>
      <c r="BC112" s="267"/>
      <c r="BD112" s="267"/>
      <c r="BE112" s="267"/>
      <c r="BF112" s="267"/>
      <c r="BG112" s="203"/>
      <c r="BH112" s="267"/>
      <c r="BI112" s="267"/>
      <c r="BJ112" s="267"/>
      <c r="BK112" s="267"/>
      <c r="BL112" s="267"/>
      <c r="BM112" s="267"/>
      <c r="BN112" s="267"/>
      <c r="BO112" s="267"/>
      <c r="BP112" s="267"/>
      <c r="BQ112" s="267"/>
      <c r="BR112" s="881"/>
      <c r="BS112" s="267"/>
      <c r="BT112" s="267"/>
      <c r="BU112" s="267"/>
      <c r="BV112" s="267"/>
      <c r="BW112" s="267"/>
      <c r="BX112" s="267"/>
      <c r="BY112" s="267"/>
      <c r="BZ112" s="267"/>
      <c r="CA112" s="267"/>
      <c r="CB112" s="1236"/>
      <c r="CC112" s="989"/>
      <c r="CD112" s="989"/>
      <c r="CE112" s="989"/>
      <c r="CF112" s="989"/>
      <c r="CG112" s="989"/>
      <c r="CH112" s="989"/>
      <c r="CI112" s="990"/>
      <c r="CJ112" s="1237"/>
      <c r="CK112" s="1238"/>
      <c r="CL112" s="989"/>
      <c r="CM112" s="989"/>
      <c r="CN112" s="989"/>
      <c r="CO112" s="989"/>
      <c r="CP112" s="989"/>
      <c r="CQ112" s="989"/>
      <c r="CR112" s="990"/>
      <c r="CS112" s="990"/>
      <c r="CU112" s="201"/>
      <c r="CV112" s="267"/>
      <c r="CW112" s="267"/>
      <c r="CX112" s="267"/>
      <c r="CY112" s="267"/>
      <c r="CZ112" s="267"/>
      <c r="DA112" s="267"/>
      <c r="DB112" s="267"/>
      <c r="DC112" s="267"/>
      <c r="DD112" s="267"/>
      <c r="DE112" s="267"/>
      <c r="DF112" s="267"/>
      <c r="DG112" s="1239"/>
      <c r="DH112" s="1239"/>
      <c r="DI112" s="1239"/>
      <c r="DJ112" s="267"/>
      <c r="DK112" s="267"/>
      <c r="DL112" s="267"/>
      <c r="DM112" s="267"/>
      <c r="DN112" s="1240"/>
      <c r="DO112" s="1240"/>
      <c r="DP112" s="1240"/>
      <c r="DQ112" s="1240"/>
      <c r="DR112" s="1240"/>
      <c r="DS112" s="1240"/>
      <c r="DT112" s="1240"/>
      <c r="DU112" s="1240"/>
      <c r="DV112" s="1240"/>
      <c r="DW112" s="1241"/>
      <c r="DX112" s="1241"/>
      <c r="DY112" s="1241"/>
      <c r="DZ112" s="1241"/>
      <c r="EA112" s="1241"/>
      <c r="EB112" s="1241"/>
      <c r="EC112" s="1241"/>
      <c r="ED112" s="1241"/>
      <c r="EE112" s="1242"/>
      <c r="EF112" s="203"/>
      <c r="EG112" s="242"/>
      <c r="EH112" s="203"/>
      <c r="EI112" s="203"/>
      <c r="EJ112" s="242"/>
      <c r="EK112" s="203"/>
      <c r="EL112" s="203"/>
      <c r="EM112" s="203"/>
      <c r="EN112" s="203"/>
      <c r="EP112" s="851"/>
      <c r="EQ112" s="851"/>
      <c r="ER112" s="851"/>
      <c r="ES112" s="201"/>
      <c r="ET112" s="201"/>
      <c r="EU112" s="201"/>
      <c r="EV112" s="201"/>
      <c r="EW112" s="201"/>
      <c r="EX112" s="201"/>
      <c r="EY112" s="201"/>
      <c r="FA112" s="207"/>
      <c r="FB112" s="207"/>
      <c r="FC112" s="207"/>
      <c r="FD112" s="207"/>
      <c r="FE112" s="207"/>
      <c r="FF112" s="207"/>
      <c r="FG112" s="207"/>
      <c r="FH112" s="207"/>
      <c r="FI112" s="207"/>
      <c r="FJ112" s="207"/>
      <c r="FK112" s="217"/>
      <c r="FL112" s="217"/>
      <c r="FM112" s="217"/>
      <c r="FN112" s="217"/>
      <c r="FO112" s="217"/>
      <c r="FP112" s="217"/>
      <c r="FR112" s="1184"/>
      <c r="FS112" s="1184"/>
      <c r="FT112" s="1185"/>
      <c r="FU112" s="1184"/>
      <c r="FV112" s="1186"/>
    </row>
    <row r="113" spans="1:185" s="216" customFormat="1" ht="14.25" customHeight="1" outlineLevel="1">
      <c r="A113" s="1005" t="str">
        <f t="shared" si="2331"/>
        <v>JUNIO  2026 2da QUINCENA</v>
      </c>
      <c r="B113" s="1005">
        <f t="shared" si="2332"/>
        <v>2026</v>
      </c>
      <c r="C113" s="1006" t="str">
        <f t="shared" ref="C113" si="2635">A113 &amp; B113</f>
        <v>JUNIO  2026 2da QUINCENA2026</v>
      </c>
      <c r="D113" s="235" t="s">
        <v>144</v>
      </c>
      <c r="E113" s="235">
        <v>303050</v>
      </c>
      <c r="F113" s="268">
        <v>40</v>
      </c>
      <c r="G113" s="199" t="s">
        <v>750</v>
      </c>
      <c r="H113" s="200" t="s">
        <v>751</v>
      </c>
      <c r="I113" s="201" t="s">
        <v>11</v>
      </c>
      <c r="J113" s="203">
        <v>4002.28</v>
      </c>
      <c r="K113" s="203">
        <f>747.72+250</f>
        <v>997.72</v>
      </c>
      <c r="L113" s="202">
        <f t="shared" ref="L113" si="2636">+J113+K113</f>
        <v>5000</v>
      </c>
      <c r="M113" s="203">
        <v>23</v>
      </c>
      <c r="N113" s="204">
        <v>0.35</v>
      </c>
      <c r="O113" s="204">
        <v>0.4</v>
      </c>
      <c r="P113" s="204">
        <v>0.1</v>
      </c>
      <c r="Q113" s="204">
        <v>0.15</v>
      </c>
      <c r="R113" s="204">
        <v>0</v>
      </c>
      <c r="S113" s="204">
        <f t="shared" ref="S113" si="2637">SUM(N113:R113)</f>
        <v>1</v>
      </c>
      <c r="T113" s="701" t="s">
        <v>784</v>
      </c>
      <c r="U113" s="207"/>
      <c r="V113" s="203">
        <f t="shared" ref="V113" si="2638">($J113/30/8*1.5)*U113</f>
        <v>0</v>
      </c>
      <c r="W113" s="207"/>
      <c r="X113" s="203">
        <f t="shared" ref="X113" si="2639">($J113/30/8*2)*W113</f>
        <v>0</v>
      </c>
      <c r="Y113" s="207"/>
      <c r="Z113" s="203">
        <f t="shared" ref="Z113" si="2640">($J113/30/8*1.5)*Y113</f>
        <v>0</v>
      </c>
      <c r="AA113" s="207"/>
      <c r="AB113" s="203">
        <f t="shared" ref="AB113" si="2641">($J113/30/8*2)*AA113</f>
        <v>0</v>
      </c>
      <c r="AC113" s="207"/>
      <c r="AD113" s="203">
        <f t="shared" ref="AD113" si="2642">(($J113/30/8)*1.5)*AC113</f>
        <v>0</v>
      </c>
      <c r="AE113" s="208"/>
      <c r="AF113" s="203">
        <f t="shared" ref="AF113" si="2643">(($J113/30/8)*2)*AE113</f>
        <v>0</v>
      </c>
      <c r="AG113" s="208"/>
      <c r="AH113" s="203">
        <f t="shared" ref="AH113" si="2644">(($J113/30/8)*1.5)*AG113</f>
        <v>0</v>
      </c>
      <c r="AI113" s="208"/>
      <c r="AJ113" s="203">
        <f t="shared" ref="AJ113" si="2645">(($J113/30/8)*2)*AI113</f>
        <v>0</v>
      </c>
      <c r="AK113" s="203"/>
      <c r="AL113" s="203">
        <f t="shared" ref="AL113" si="2646">(($J113/30/8)*1.5)*AK113</f>
        <v>0</v>
      </c>
      <c r="AM113" s="208"/>
      <c r="AN113" s="203">
        <f t="shared" ref="AN113" si="2647">(($J113/30/8)*2)*AM113</f>
        <v>0</v>
      </c>
      <c r="AO113" s="203">
        <v>0</v>
      </c>
      <c r="AP113" s="203">
        <v>0</v>
      </c>
      <c r="AQ113" s="203"/>
      <c r="AR113" s="203">
        <v>0</v>
      </c>
      <c r="AS113" s="203"/>
      <c r="AT113" s="202"/>
      <c r="AU113" s="203"/>
      <c r="AV113" s="203"/>
      <c r="AW113" s="203"/>
      <c r="AX113" s="203"/>
      <c r="AY113" s="203"/>
      <c r="AZ113" s="201"/>
      <c r="BA113" s="267">
        <f t="shared" ref="BA113" si="2648">((J113/30)*M113)*$N113</f>
        <v>1073.9451333333332</v>
      </c>
      <c r="BB113" s="267">
        <f>((K113/30)*M113)*$N113+350</f>
        <v>617.72153333333335</v>
      </c>
      <c r="BC113" s="267">
        <f t="shared" ref="BC113" si="2649">U113</f>
        <v>0</v>
      </c>
      <c r="BD113" s="267">
        <f t="shared" ref="BD113" si="2650">V113</f>
        <v>0</v>
      </c>
      <c r="BE113" s="267">
        <f t="shared" ref="BE113" si="2651">W113</f>
        <v>0</v>
      </c>
      <c r="BF113" s="267">
        <f t="shared" ref="BF113" si="2652">X113</f>
        <v>0</v>
      </c>
      <c r="BG113" s="203">
        <f>AO113+AT113</f>
        <v>0</v>
      </c>
      <c r="BH113" s="203">
        <f t="shared" ref="BH113" si="2653">(BA113+BD113+BF113+BG113)*0.1267</f>
        <v>136.06884839333333</v>
      </c>
      <c r="BI113" s="267">
        <f t="shared" ref="BI113" si="2654">SUM(BA113:BH113)-BC113-BE113</f>
        <v>1827.7355150599999</v>
      </c>
      <c r="BJ113" s="267">
        <f t="shared" ref="BJ113" si="2655">(($J113/30)*$M113)*$O113</f>
        <v>1227.3658666666668</v>
      </c>
      <c r="BK113" s="267">
        <f>(($K113/30)*$M113)*$O113+500</f>
        <v>805.96746666666672</v>
      </c>
      <c r="BL113" s="267">
        <f t="shared" ref="BL113" si="2656">Y113</f>
        <v>0</v>
      </c>
      <c r="BM113" s="267">
        <f t="shared" ref="BM113" si="2657">Z113</f>
        <v>0</v>
      </c>
      <c r="BN113" s="267">
        <f t="shared" ref="BN113" si="2658">AA113</f>
        <v>0</v>
      </c>
      <c r="BO113" s="267">
        <f t="shared" ref="BO113" si="2659">AB113</f>
        <v>0</v>
      </c>
      <c r="BP113" s="267">
        <f t="shared" ref="BP113" si="2660">AP113+AU113</f>
        <v>0</v>
      </c>
      <c r="BQ113" s="203">
        <f t="shared" ref="BQ113" si="2661">(+BJ113+BM113+BO113+BP113)*0.1267</f>
        <v>155.50725530666668</v>
      </c>
      <c r="BR113" s="881">
        <f t="shared" ref="BR113" si="2662">SUM(BJ113:BQ113)-BL113-BN113</f>
        <v>2188.8405886400001</v>
      </c>
      <c r="BS113" s="267">
        <f t="shared" ref="BS113" si="2663">(($J113/30)*$M113)*$P113</f>
        <v>306.84146666666669</v>
      </c>
      <c r="BT113" s="267">
        <f t="shared" ref="BT113" si="2664">(($K113/30)*$M113)*$P113</f>
        <v>76.491866666666667</v>
      </c>
      <c r="BU113" s="267">
        <f t="shared" ref="BU113" si="2665">AC113</f>
        <v>0</v>
      </c>
      <c r="BV113" s="267">
        <f t="shared" ref="BV113" si="2666">AD113</f>
        <v>0</v>
      </c>
      <c r="BW113" s="267">
        <f t="shared" ref="BW113" si="2667">AE113</f>
        <v>0</v>
      </c>
      <c r="BX113" s="267">
        <f t="shared" ref="BX113" si="2668">AF113</f>
        <v>0</v>
      </c>
      <c r="BY113" s="267">
        <f t="shared" ref="BY113" si="2669">AQ113+AV113</f>
        <v>0</v>
      </c>
      <c r="BZ113" s="203">
        <f t="shared" ref="BZ113" si="2670">(BS113+BV113+BX113+BY113)*0.1267</f>
        <v>38.87681382666667</v>
      </c>
      <c r="CA113" s="267">
        <f t="shared" ref="CA113" si="2671">SUM(BS113:BZ113)-BU113-BW113</f>
        <v>422.21014716000002</v>
      </c>
      <c r="CB113" s="1236">
        <f t="shared" ref="CB113" si="2672">(($J113/30)*$M113)*$Q113</f>
        <v>460.26219999999995</v>
      </c>
      <c r="CC113" s="989">
        <f>(($K113/30)*$M113)*$Q113+150</f>
        <v>264.73779999999999</v>
      </c>
      <c r="CD113" s="989">
        <f t="shared" ref="CD113" si="2673">AG113</f>
        <v>0</v>
      </c>
      <c r="CE113" s="989">
        <f t="shared" ref="CE113" si="2674">AH113</f>
        <v>0</v>
      </c>
      <c r="CF113" s="989">
        <f t="shared" ref="CF113" si="2675">AI113</f>
        <v>0</v>
      </c>
      <c r="CG113" s="989">
        <f t="shared" ref="CG113" si="2676">AJ113</f>
        <v>0</v>
      </c>
      <c r="CH113" s="989">
        <f t="shared" ref="CH113" si="2677">AR113+AW113</f>
        <v>0</v>
      </c>
      <c r="CI113" s="703">
        <f t="shared" ref="CI113" si="2678">(CB113+CE113+CG113+CH113)*0.1267</f>
        <v>58.315220739999994</v>
      </c>
      <c r="CJ113" s="1237">
        <f>SUM(CB113:CI113)-CD113-CF113</f>
        <v>783.31522073999997</v>
      </c>
      <c r="CK113" s="1238">
        <f t="shared" ref="CK113" si="2679">(($J113/30)*$M113)*R113</f>
        <v>0</v>
      </c>
      <c r="CL113" s="989">
        <f t="shared" ref="CL113" si="2680">(($K113/30)*$M113)*$R113</f>
        <v>0</v>
      </c>
      <c r="CM113" s="989">
        <f t="shared" ref="CM113" si="2681">+AK113</f>
        <v>0</v>
      </c>
      <c r="CN113" s="989">
        <f t="shared" ref="CN113" si="2682">AL113</f>
        <v>0</v>
      </c>
      <c r="CO113" s="989">
        <f t="shared" ref="CO113" si="2683">AM113</f>
        <v>0</v>
      </c>
      <c r="CP113" s="989">
        <f t="shared" ref="CP113" si="2684">AN113</f>
        <v>0</v>
      </c>
      <c r="CQ113" s="989">
        <f t="shared" ref="CQ113" si="2685">AS113+AX113</f>
        <v>0</v>
      </c>
      <c r="CR113" s="990">
        <f t="shared" ref="CR113" si="2686">(CK113+CN113+CP113)*0.1267</f>
        <v>0</v>
      </c>
      <c r="CS113" s="990">
        <f t="shared" ref="CS113" si="2687">SUM(CK113:CR113)-CM113-CO113</f>
        <v>0</v>
      </c>
      <c r="CU113" s="201" t="s">
        <v>11</v>
      </c>
      <c r="CV113" s="267">
        <f t="shared" ref="CV113" si="2688">IF($CU113="PROQUIMA",$BA113+$BJ113+$BS113+$CB113+$CK113,0)</f>
        <v>0</v>
      </c>
      <c r="CW113" s="267">
        <f t="shared" ref="CW113" si="2689">IF($CU113="PROQUIMA",$BB113+$BK113+$BT113+$CC113+$CL113,0)</f>
        <v>0</v>
      </c>
      <c r="CX113" s="267">
        <f t="shared" ref="CX113" si="2690">IF($CU113="PROQUIMA",$BC113+$BL113+$BU113+$CD113+$CM113,0)</f>
        <v>0</v>
      </c>
      <c r="CY113" s="267">
        <f t="shared" ref="CY113" si="2691">IF($CU113="PROQUIMA",$BD113+$BM113+$BV113+$CE113+$CN113,0)</f>
        <v>0</v>
      </c>
      <c r="CZ113" s="267">
        <f t="shared" ref="CZ113" si="2692">IF($CU113="PROQUIMA",$BE113+$BN113+$BW113+$CF113+$CO113,0)</f>
        <v>0</v>
      </c>
      <c r="DA113" s="267">
        <f t="shared" ref="DA113" si="2693">IF($CU113="PROQUIMA",$BF113+$BO113+$BX113+$CG113+$CP113,0)</f>
        <v>0</v>
      </c>
      <c r="DB113" s="267">
        <f t="shared" ref="DB113" si="2694">IF($CU113="PROQUIMA",$BG113+$BP113+$BY113+$CH113+$CQ113,0)</f>
        <v>0</v>
      </c>
      <c r="DC113" s="267">
        <f t="shared" ref="DC113" si="2695">IF($CU113="PROQUIMA",$BH113+$BQ113+$BZ113+$CI113+CR113,0)</f>
        <v>0</v>
      </c>
      <c r="DD113" s="267">
        <f t="shared" ref="DD113" si="2696">SUM(CV113:DC113)-CX113-CZ113</f>
        <v>0</v>
      </c>
      <c r="DE113" s="267">
        <f t="shared" ref="DE113" si="2697">IF($CU113="UNHESA",$BA113+$BJ113+$BS113+$CB113+$CK113,0)</f>
        <v>0</v>
      </c>
      <c r="DF113" s="267">
        <f t="shared" ref="DF113" si="2698">IF($CU113="UNHESA",$BB113+$BK113+$BT113+$CC113+$CL113,0)</f>
        <v>0</v>
      </c>
      <c r="DG113" s="1239">
        <f t="shared" ref="DG113" si="2699">IF($CU113="UNHESA",$BC113+$BL113+$BU113+$CD113+$CM113,0)</f>
        <v>0</v>
      </c>
      <c r="DH113" s="1239">
        <f t="shared" ref="DH113" si="2700">IF($CU113="UNHESA",$BD113+$BM113+$BV113+$CE113+$CN113,0)</f>
        <v>0</v>
      </c>
      <c r="DI113" s="1239">
        <f t="shared" ref="DI113" si="2701">IF($CU113="UNHESA",$BE113+$BN113+$BW113+$CF113+$CO113,0)</f>
        <v>0</v>
      </c>
      <c r="DJ113" s="267">
        <f t="shared" ref="DJ113" si="2702">IF($CU113="UNHESA",$BF113+$BO113+$BX113+$CG113+$CP113,0)</f>
        <v>0</v>
      </c>
      <c r="DK113" s="267">
        <f t="shared" ref="DK113" si="2703">IF($CU113="UNHESA",$BG113+$BP113+$BY113+$CH113+$CQ113,0)</f>
        <v>0</v>
      </c>
      <c r="DL113" s="267">
        <f t="shared" ref="DL113" si="2704">IF($CU113="UNHESA",$BH113+$BQ113+$BZ113+$CI113+$CR113,0)</f>
        <v>0</v>
      </c>
      <c r="DM113" s="267">
        <f t="shared" ref="DM113" si="2705">SUM(DE113:DL113)-DG113-DI113</f>
        <v>0</v>
      </c>
      <c r="DN113" s="1240">
        <f t="shared" ref="DN113" si="2706">IF($CU113="UNHESA LIQUIDOS",$BA113+$BJ113+$BS113+$CB113+$CK113,0)</f>
        <v>0</v>
      </c>
      <c r="DO113" s="1240">
        <f t="shared" ref="DO113" si="2707">IF($CU113="UNHESA LIQUIDOS",$BB113+$BK113+$BT113+$CC113+$CL113,0)</f>
        <v>0</v>
      </c>
      <c r="DP113" s="1240">
        <f t="shared" ref="DP113" si="2708">IF($CU113="UNHESA LIQUIDOS",$BC113+$BL113+$BU113+$CD113+$CM113,0)</f>
        <v>0</v>
      </c>
      <c r="DQ113" s="1240">
        <f t="shared" ref="DQ113" si="2709">IF($CU113="UNHESA LIQUIDOS",$BD113+$BM113+$BV113+$CE113+$CN113,0)</f>
        <v>0</v>
      </c>
      <c r="DR113" s="1240">
        <f t="shared" ref="DR113" si="2710">IF($CU113="UNHESA LIQUIDOS",$BE113+$BN113+$BW113+$CF113+$CO113,0)</f>
        <v>0</v>
      </c>
      <c r="DS113" s="1240">
        <f t="shared" ref="DS113" si="2711">IF($CU113="UNHESA LIQUIDOS",$BF113+$BO113+$BX113+$CG113+$CP113,0)</f>
        <v>0</v>
      </c>
      <c r="DT113" s="1240">
        <f t="shared" ref="DT113" si="2712">IF($CU113="UNHESA LIQUIDOS",$BG113+$BP113+$BY113+$CH113+$CQ113,0)</f>
        <v>0</v>
      </c>
      <c r="DU113" s="1240">
        <f t="shared" ref="DU113" si="2713">IF($CU113="UNHESA LIQUIDOS",$BH113+$BQ113+$BZ113+$CI113+$CR113,0)</f>
        <v>0</v>
      </c>
      <c r="DV113" s="1240">
        <f t="shared" ref="DV113" si="2714">SUM(DN113:DU113)-DP113-DR113</f>
        <v>0</v>
      </c>
      <c r="DW113" s="1241">
        <f>IF($CU113="CLEARTEC",$BA113+$BJ113+$BS113+$CB113+$CK113,0)</f>
        <v>0</v>
      </c>
      <c r="DX113" s="1241">
        <f t="shared" ref="DX113:ED113" si="2715">IF($CU113="CLEARTEC",$BA113+$BJ113+$BS113+$CB113+$CK113,0)</f>
        <v>0</v>
      </c>
      <c r="DY113" s="1241">
        <f t="shared" si="2715"/>
        <v>0</v>
      </c>
      <c r="DZ113" s="1241">
        <f t="shared" si="2715"/>
        <v>0</v>
      </c>
      <c r="EA113" s="1241">
        <f t="shared" si="2715"/>
        <v>0</v>
      </c>
      <c r="EB113" s="1241">
        <f t="shared" si="2715"/>
        <v>0</v>
      </c>
      <c r="EC113" s="1241">
        <f t="shared" si="2715"/>
        <v>0</v>
      </c>
      <c r="ED113" s="1241">
        <f t="shared" si="2715"/>
        <v>0</v>
      </c>
      <c r="EE113" s="1242">
        <f t="shared" ref="EE113" si="2716">SUM(DW113:ED113)-DY113-EA113</f>
        <v>0</v>
      </c>
      <c r="EF113" s="203">
        <f t="shared" ref="EF113" si="2717">IF(CU113="ECONACIONAL",$BA113+$BJ113+$BS113+$CB113+$CK113)</f>
        <v>3068.4146666666666</v>
      </c>
      <c r="EG113" s="242">
        <f t="shared" si="2617"/>
        <v>1764.9186666666669</v>
      </c>
      <c r="EH113" s="203">
        <f t="shared" ref="EH113" si="2718">IF(CU113="ECONACIONAL",$BC113+$BL113+$BU113+$CD113+$CM113)</f>
        <v>0</v>
      </c>
      <c r="EI113" s="203">
        <f t="shared" ref="EI113" si="2719">IF(CU113="ECONACIONAL",$BD113+$DH113+$DQ113+$DZ113+BM113+BV113+CE113+CN113)</f>
        <v>0</v>
      </c>
      <c r="EJ113" s="242">
        <f t="shared" si="2620"/>
        <v>0</v>
      </c>
      <c r="EK113" s="203">
        <f t="shared" ref="EK113" si="2720">IF(CU113="ECONACIONAL",$BF113+$BO113+$BX113+$CG113+$CP113)</f>
        <v>0</v>
      </c>
      <c r="EL113" s="203">
        <f t="shared" ref="EL113" si="2721">IF(CU113="ECONACIONAL",$BG113+$BP113+$BY113+$CH113+$CQ113)</f>
        <v>0</v>
      </c>
      <c r="EM113" s="203">
        <f t="shared" ref="EM113" si="2722">IF(CU113="ECONACIONAL",BH113+BQ113+BZ113+CI113+CR113)</f>
        <v>388.7681382666666</v>
      </c>
      <c r="EN113" s="203">
        <f t="shared" ref="EN113" si="2723">SUM(EF113:EM113)-EH113-EJ113</f>
        <v>5222.1014716000009</v>
      </c>
      <c r="EP113" s="851"/>
      <c r="EQ113" s="851"/>
      <c r="ER113" s="851"/>
      <c r="ES113" s="851"/>
      <c r="ET113" s="201"/>
      <c r="EU113" s="201"/>
      <c r="EV113" s="201"/>
      <c r="EW113" s="201"/>
      <c r="EX113" s="201"/>
      <c r="EY113" s="201">
        <f t="shared" ref="EY113" si="2724">+ET113+EU113+EV113</f>
        <v>0</v>
      </c>
      <c r="FA113" s="207">
        <f t="shared" ref="FA113" si="2725">IF($M113&lt;=15,EP113/2,EP113)</f>
        <v>0</v>
      </c>
      <c r="FB113" s="207">
        <f t="shared" ref="FB113" si="2726">IF($M113&lt;=15,EQ113/2,EQ113)</f>
        <v>0</v>
      </c>
      <c r="FC113" s="207">
        <f t="shared" ref="FC113" si="2727">IF($M113&lt;=15,ER113/2,ER113)</f>
        <v>0</v>
      </c>
      <c r="FD113" s="207">
        <f t="shared" ref="FD113" si="2728">IF($M113&lt;=15,ES113/2,ES113)</f>
        <v>0</v>
      </c>
      <c r="FE113" s="207">
        <f t="shared" ref="FE113" si="2729">IF($M113&lt;=15,ET113/2,ET113)</f>
        <v>0</v>
      </c>
      <c r="FF113" s="207">
        <f t="shared" ref="FF113" si="2730">IF($M113&lt;=15,EU113/2,EU113)</f>
        <v>0</v>
      </c>
      <c r="FG113" s="207">
        <f>IF($M113&lt;=15,EV113/2,EV113)</f>
        <v>0</v>
      </c>
      <c r="FH113" s="207">
        <f t="shared" ref="FH113" si="2731">IF($M113&lt;=15,EW113/2,EW113)</f>
        <v>0</v>
      </c>
      <c r="FI113" s="207">
        <f>IF($M113&lt;=15,EX113/2,EX113)</f>
        <v>0</v>
      </c>
      <c r="FJ113" s="207">
        <f t="shared" ref="FJ113" si="2732">IF($M113&lt;=15,EY113/2,EY113)</f>
        <v>0</v>
      </c>
      <c r="FK113" s="217"/>
      <c r="FL113" s="217"/>
      <c r="FM113" s="217"/>
      <c r="FN113" s="217"/>
      <c r="FO113" s="217"/>
      <c r="FP113" s="217"/>
      <c r="FR113" s="1184">
        <f>(((J113/30/8)*1.5)*(U113+Y113+AC113))-(BD113+BM113+BV113)</f>
        <v>0</v>
      </c>
      <c r="FS113" s="1184">
        <f t="shared" ref="FS113" si="2733">(((J113/30/8)*2)*(W113+AA113+AE113))-(BF113+BO113+BX113)</f>
        <v>0</v>
      </c>
      <c r="FT113" s="1185">
        <f>(SUM(BA113:CJ113))-(SUM(EF113:EN113))</f>
        <v>0</v>
      </c>
      <c r="FU113" s="1184">
        <f>(J113/30*M113)-(EF113)</f>
        <v>0</v>
      </c>
      <c r="FV113" s="1186">
        <f>(SUM(EP113:EY113))-((SUM(FA113:FJ113))*$FV$5)</f>
        <v>0</v>
      </c>
    </row>
    <row r="114" spans="1:185" s="216" customFormat="1" ht="15" customHeight="1" outlineLevel="1" thickBot="1">
      <c r="A114" s="1005" t="s">
        <v>52</v>
      </c>
      <c r="B114" s="1005" t="s">
        <v>52</v>
      </c>
      <c r="C114" s="1006" t="s">
        <v>52</v>
      </c>
      <c r="D114" s="235"/>
      <c r="E114" s="235"/>
      <c r="F114" s="268"/>
      <c r="G114" s="955"/>
      <c r="H114" s="820" t="s">
        <v>688</v>
      </c>
      <c r="J114" s="981">
        <f>SUM(J112:J113)</f>
        <v>4002.28</v>
      </c>
      <c r="K114" s="981">
        <f t="shared" ref="K114:L114" si="2734">SUM(K112:K113)</f>
        <v>997.72</v>
      </c>
      <c r="L114" s="981">
        <f t="shared" si="2734"/>
        <v>5000</v>
      </c>
      <c r="M114" s="203"/>
      <c r="N114" s="801"/>
      <c r="O114" s="801"/>
      <c r="P114" s="801"/>
      <c r="Q114" s="801"/>
      <c r="R114" s="801"/>
      <c r="S114" s="801"/>
      <c r="T114" s="801"/>
      <c r="U114" s="981">
        <f t="shared" ref="U114" si="2735">SUM(U112:U113)</f>
        <v>0</v>
      </c>
      <c r="V114" s="981">
        <f t="shared" ref="V114" si="2736">SUM(V112:V113)</f>
        <v>0</v>
      </c>
      <c r="W114" s="981">
        <f t="shared" ref="W114" si="2737">SUM(W112:W113)</f>
        <v>0</v>
      </c>
      <c r="X114" s="981">
        <f t="shared" ref="X114" si="2738">SUM(X112:X113)</f>
        <v>0</v>
      </c>
      <c r="Y114" s="981">
        <f t="shared" ref="Y114" si="2739">SUM(Y112:Y113)</f>
        <v>0</v>
      </c>
      <c r="Z114" s="981">
        <f t="shared" ref="Z114" si="2740">SUM(Z112:Z113)</f>
        <v>0</v>
      </c>
      <c r="AA114" s="981">
        <f t="shared" ref="AA114" si="2741">SUM(AA112:AA113)</f>
        <v>0</v>
      </c>
      <c r="AB114" s="981">
        <f t="shared" ref="AB114" si="2742">SUM(AB112:AB113)</f>
        <v>0</v>
      </c>
      <c r="AC114" s="981">
        <f t="shared" ref="AC114" si="2743">SUM(AC112:AC113)</f>
        <v>0</v>
      </c>
      <c r="AD114" s="981">
        <f t="shared" ref="AD114" si="2744">SUM(AD112:AD113)</f>
        <v>0</v>
      </c>
      <c r="AE114" s="981">
        <f t="shared" ref="AE114" si="2745">SUM(AE112:AE113)</f>
        <v>0</v>
      </c>
      <c r="AF114" s="981">
        <f t="shared" ref="AF114" si="2746">SUM(AF112:AF113)</f>
        <v>0</v>
      </c>
      <c r="AG114" s="981">
        <f t="shared" ref="AG114" si="2747">SUM(AG112:AG113)</f>
        <v>0</v>
      </c>
      <c r="AH114" s="981">
        <f t="shared" ref="AH114" si="2748">SUM(AH112:AH113)</f>
        <v>0</v>
      </c>
      <c r="AI114" s="981">
        <f t="shared" ref="AI114" si="2749">SUM(AI112:AI113)</f>
        <v>0</v>
      </c>
      <c r="AJ114" s="981">
        <f t="shared" ref="AJ114" si="2750">SUM(AJ112:AJ113)</f>
        <v>0</v>
      </c>
      <c r="AK114" s="981">
        <f t="shared" ref="AK114" si="2751">SUM(AK112:AK113)</f>
        <v>0</v>
      </c>
      <c r="AL114" s="981">
        <f t="shared" ref="AL114" si="2752">SUM(AL112:AL113)</f>
        <v>0</v>
      </c>
      <c r="AM114" s="981">
        <f t="shared" ref="AM114" si="2753">SUM(AM112:AM113)</f>
        <v>0</v>
      </c>
      <c r="AN114" s="981">
        <f t="shared" ref="AN114" si="2754">SUM(AN112:AN113)</f>
        <v>0</v>
      </c>
      <c r="AO114" s="981">
        <f t="shared" ref="AO114" si="2755">SUM(AO112:AO113)</f>
        <v>0</v>
      </c>
      <c r="AP114" s="981">
        <f t="shared" ref="AP114" si="2756">SUM(AP112:AP113)</f>
        <v>0</v>
      </c>
      <c r="AQ114" s="981">
        <f t="shared" ref="AQ114" si="2757">SUM(AQ112:AQ113)</f>
        <v>0</v>
      </c>
      <c r="AR114" s="981">
        <f t="shared" ref="AR114" si="2758">SUM(AR112:AR113)</f>
        <v>0</v>
      </c>
      <c r="AS114" s="981">
        <f t="shared" ref="AS114" si="2759">SUM(AS112:AS113)</f>
        <v>0</v>
      </c>
      <c r="AT114" s="981">
        <f t="shared" ref="AT114" si="2760">SUM(AT112:AT113)</f>
        <v>0</v>
      </c>
      <c r="AU114" s="981">
        <f t="shared" ref="AU114" si="2761">SUM(AU112:AU113)</f>
        <v>0</v>
      </c>
      <c r="AV114" s="981">
        <f t="shared" ref="AV114" si="2762">SUM(AV112:AV113)</f>
        <v>0</v>
      </c>
      <c r="AW114" s="981">
        <f t="shared" ref="AW114" si="2763">SUM(AW112:AW113)</f>
        <v>0</v>
      </c>
      <c r="AX114" s="981">
        <f t="shared" ref="AX114" si="2764">SUM(AX112:AX113)</f>
        <v>0</v>
      </c>
      <c r="AY114" s="981">
        <f t="shared" ref="AY114" si="2765">SUM(AY112:AY113)</f>
        <v>0</v>
      </c>
      <c r="AZ114" s="981">
        <f t="shared" ref="AZ114" si="2766">SUM(AZ112:AZ113)</f>
        <v>0</v>
      </c>
      <c r="BA114" s="981">
        <f>SUM(BA104:BA113)</f>
        <v>12653.945133333333</v>
      </c>
      <c r="BB114" s="981">
        <f t="shared" ref="BB114:DM114" si="2767">SUM(BB104:BB113)</f>
        <v>4292.7215333333334</v>
      </c>
      <c r="BC114" s="981">
        <f t="shared" si="2767"/>
        <v>0</v>
      </c>
      <c r="BD114" s="981">
        <f t="shared" si="2767"/>
        <v>0</v>
      </c>
      <c r="BE114" s="981">
        <f t="shared" si="2767"/>
        <v>0</v>
      </c>
      <c r="BF114" s="981">
        <f t="shared" si="2767"/>
        <v>0</v>
      </c>
      <c r="BG114" s="981">
        <f t="shared" si="2767"/>
        <v>0</v>
      </c>
      <c r="BH114" s="981">
        <f t="shared" si="2767"/>
        <v>1603.2548483933335</v>
      </c>
      <c r="BI114" s="981">
        <f t="shared" si="2767"/>
        <v>18549.921515060003</v>
      </c>
      <c r="BJ114" s="981">
        <f t="shared" si="2767"/>
        <v>12532.365866666667</v>
      </c>
      <c r="BK114" s="981">
        <f t="shared" si="2767"/>
        <v>3578.467466666667</v>
      </c>
      <c r="BL114" s="981">
        <f t="shared" si="2767"/>
        <v>0</v>
      </c>
      <c r="BM114" s="981">
        <f t="shared" si="2767"/>
        <v>0</v>
      </c>
      <c r="BN114" s="981">
        <f t="shared" si="2767"/>
        <v>0</v>
      </c>
      <c r="BO114" s="981">
        <f t="shared" si="2767"/>
        <v>0</v>
      </c>
      <c r="BP114" s="981">
        <f t="shared" si="2767"/>
        <v>0</v>
      </c>
      <c r="BQ114" s="981">
        <f t="shared" si="2767"/>
        <v>1587.8507553066665</v>
      </c>
      <c r="BR114" s="981">
        <f t="shared" si="2767"/>
        <v>17698.684088640002</v>
      </c>
      <c r="BS114" s="981">
        <f t="shared" si="2767"/>
        <v>3121.8414666666667</v>
      </c>
      <c r="BT114" s="981">
        <f t="shared" si="2767"/>
        <v>853.99186666666662</v>
      </c>
      <c r="BU114" s="981">
        <f t="shared" si="2767"/>
        <v>0</v>
      </c>
      <c r="BV114" s="981">
        <f t="shared" si="2767"/>
        <v>0</v>
      </c>
      <c r="BW114" s="981">
        <f t="shared" si="2767"/>
        <v>0</v>
      </c>
      <c r="BX114" s="981">
        <f t="shared" si="2767"/>
        <v>0</v>
      </c>
      <c r="BY114" s="981">
        <f t="shared" si="2767"/>
        <v>0</v>
      </c>
      <c r="BZ114" s="981">
        <f t="shared" si="2767"/>
        <v>395.53731382666666</v>
      </c>
      <c r="CA114" s="981">
        <f t="shared" si="2767"/>
        <v>4371.3706471599999</v>
      </c>
      <c r="CB114" s="981">
        <f t="shared" si="2767"/>
        <v>460.26219999999995</v>
      </c>
      <c r="CC114" s="981">
        <f t="shared" si="2767"/>
        <v>264.73779999999999</v>
      </c>
      <c r="CD114" s="981">
        <f t="shared" si="2767"/>
        <v>0</v>
      </c>
      <c r="CE114" s="981">
        <f t="shared" si="2767"/>
        <v>0</v>
      </c>
      <c r="CF114" s="981">
        <f t="shared" si="2767"/>
        <v>0</v>
      </c>
      <c r="CG114" s="981">
        <f t="shared" si="2767"/>
        <v>0</v>
      </c>
      <c r="CH114" s="981">
        <f t="shared" si="2767"/>
        <v>0</v>
      </c>
      <c r="CI114" s="981">
        <f t="shared" si="2767"/>
        <v>58.315220739999994</v>
      </c>
      <c r="CJ114" s="981">
        <f t="shared" si="2767"/>
        <v>783.31522073999997</v>
      </c>
      <c r="CK114" s="981">
        <f t="shared" si="2767"/>
        <v>0</v>
      </c>
      <c r="CL114" s="981">
        <f t="shared" si="2767"/>
        <v>0</v>
      </c>
      <c r="CM114" s="981">
        <f t="shared" si="2767"/>
        <v>0</v>
      </c>
      <c r="CN114" s="981">
        <f t="shared" si="2767"/>
        <v>0</v>
      </c>
      <c r="CO114" s="981">
        <f t="shared" si="2767"/>
        <v>0</v>
      </c>
      <c r="CP114" s="981">
        <f t="shared" si="2767"/>
        <v>0</v>
      </c>
      <c r="CQ114" s="981">
        <f t="shared" si="2767"/>
        <v>0</v>
      </c>
      <c r="CR114" s="981">
        <f t="shared" si="2767"/>
        <v>0</v>
      </c>
      <c r="CS114" s="981">
        <f t="shared" si="2767"/>
        <v>0</v>
      </c>
      <c r="CT114" s="981">
        <f t="shared" si="2767"/>
        <v>0</v>
      </c>
      <c r="CU114" s="981">
        <f t="shared" si="2767"/>
        <v>0</v>
      </c>
      <c r="CV114" s="981">
        <f t="shared" si="2767"/>
        <v>0</v>
      </c>
      <c r="CW114" s="981">
        <f t="shared" si="2767"/>
        <v>0</v>
      </c>
      <c r="CX114" s="981">
        <f t="shared" si="2767"/>
        <v>0</v>
      </c>
      <c r="CY114" s="981">
        <f t="shared" si="2767"/>
        <v>0</v>
      </c>
      <c r="CZ114" s="981">
        <f t="shared" si="2767"/>
        <v>0</v>
      </c>
      <c r="DA114" s="981">
        <f t="shared" si="2767"/>
        <v>0</v>
      </c>
      <c r="DB114" s="981">
        <f t="shared" si="2767"/>
        <v>0</v>
      </c>
      <c r="DC114" s="981">
        <f t="shared" si="2767"/>
        <v>0</v>
      </c>
      <c r="DD114" s="981">
        <f t="shared" si="2767"/>
        <v>0</v>
      </c>
      <c r="DE114" s="981">
        <f t="shared" si="2767"/>
        <v>0</v>
      </c>
      <c r="DF114" s="981">
        <f t="shared" si="2767"/>
        <v>0</v>
      </c>
      <c r="DG114" s="981">
        <f t="shared" si="2767"/>
        <v>0</v>
      </c>
      <c r="DH114" s="981">
        <f t="shared" si="2767"/>
        <v>0</v>
      </c>
      <c r="DI114" s="981">
        <f t="shared" si="2767"/>
        <v>0</v>
      </c>
      <c r="DJ114" s="981">
        <f t="shared" si="2767"/>
        <v>0</v>
      </c>
      <c r="DK114" s="981">
        <f t="shared" si="2767"/>
        <v>0</v>
      </c>
      <c r="DL114" s="981">
        <f t="shared" si="2767"/>
        <v>0</v>
      </c>
      <c r="DM114" s="981">
        <f t="shared" si="2767"/>
        <v>0</v>
      </c>
      <c r="DN114" s="981">
        <f t="shared" ref="DN114:FY114" si="2768">SUM(DN104:DN113)</f>
        <v>0</v>
      </c>
      <c r="DO114" s="981">
        <f t="shared" si="2768"/>
        <v>0</v>
      </c>
      <c r="DP114" s="981">
        <f t="shared" si="2768"/>
        <v>0</v>
      </c>
      <c r="DQ114" s="981">
        <f t="shared" si="2768"/>
        <v>0</v>
      </c>
      <c r="DR114" s="981">
        <f t="shared" si="2768"/>
        <v>0</v>
      </c>
      <c r="DS114" s="981">
        <f t="shared" si="2768"/>
        <v>0</v>
      </c>
      <c r="DT114" s="981">
        <f t="shared" si="2768"/>
        <v>0</v>
      </c>
      <c r="DU114" s="981">
        <f t="shared" si="2768"/>
        <v>0</v>
      </c>
      <c r="DV114" s="981">
        <f t="shared" si="2768"/>
        <v>0</v>
      </c>
      <c r="DW114" s="981">
        <f t="shared" si="2768"/>
        <v>0</v>
      </c>
      <c r="DX114" s="981">
        <f t="shared" si="2768"/>
        <v>0</v>
      </c>
      <c r="DY114" s="981">
        <f t="shared" si="2768"/>
        <v>0</v>
      </c>
      <c r="DZ114" s="981">
        <f t="shared" si="2768"/>
        <v>0</v>
      </c>
      <c r="EA114" s="981">
        <f t="shared" si="2768"/>
        <v>0</v>
      </c>
      <c r="EB114" s="981">
        <f t="shared" si="2768"/>
        <v>0</v>
      </c>
      <c r="EC114" s="981">
        <f t="shared" si="2768"/>
        <v>0</v>
      </c>
      <c r="ED114" s="981">
        <f t="shared" si="2768"/>
        <v>0</v>
      </c>
      <c r="EE114" s="981">
        <f t="shared" si="2768"/>
        <v>0</v>
      </c>
      <c r="EF114" s="981">
        <f t="shared" si="2768"/>
        <v>28768.414666666667</v>
      </c>
      <c r="EG114" s="981">
        <f t="shared" si="2768"/>
        <v>8989.9186666666665</v>
      </c>
      <c r="EH114" s="981">
        <f t="shared" si="2768"/>
        <v>0</v>
      </c>
      <c r="EI114" s="981">
        <f t="shared" si="2768"/>
        <v>0</v>
      </c>
      <c r="EJ114" s="981">
        <f t="shared" si="2768"/>
        <v>0</v>
      </c>
      <c r="EK114" s="981">
        <f t="shared" si="2768"/>
        <v>0</v>
      </c>
      <c r="EL114" s="981">
        <f t="shared" si="2768"/>
        <v>0</v>
      </c>
      <c r="EM114" s="981">
        <f t="shared" si="2768"/>
        <v>3644.9581382666665</v>
      </c>
      <c r="EN114" s="981">
        <f t="shared" si="2768"/>
        <v>41403.291471600001</v>
      </c>
      <c r="EO114" s="981">
        <f t="shared" si="2768"/>
        <v>0</v>
      </c>
      <c r="EP114" s="981">
        <f t="shared" si="2768"/>
        <v>797.33</v>
      </c>
      <c r="EQ114" s="981">
        <f t="shared" si="2768"/>
        <v>0</v>
      </c>
      <c r="ER114" s="981">
        <f t="shared" si="2768"/>
        <v>0</v>
      </c>
      <c r="ES114" s="981">
        <f t="shared" si="2768"/>
        <v>0</v>
      </c>
      <c r="ET114" s="981">
        <f t="shared" si="2768"/>
        <v>0</v>
      </c>
      <c r="EU114" s="981">
        <f t="shared" si="2768"/>
        <v>0</v>
      </c>
      <c r="EV114" s="981">
        <f t="shared" si="2768"/>
        <v>0</v>
      </c>
      <c r="EW114" s="981">
        <f t="shared" si="2768"/>
        <v>0</v>
      </c>
      <c r="EX114" s="981">
        <f t="shared" si="2768"/>
        <v>0</v>
      </c>
      <c r="EY114" s="981">
        <f t="shared" si="2768"/>
        <v>0</v>
      </c>
      <c r="EZ114" s="981">
        <f t="shared" si="2768"/>
        <v>0</v>
      </c>
      <c r="FA114" s="981">
        <f t="shared" si="2768"/>
        <v>797.33</v>
      </c>
      <c r="FB114" s="981">
        <f t="shared" si="2768"/>
        <v>0</v>
      </c>
      <c r="FC114" s="981">
        <f t="shared" si="2768"/>
        <v>0</v>
      </c>
      <c r="FD114" s="981">
        <f t="shared" si="2768"/>
        <v>0</v>
      </c>
      <c r="FE114" s="981">
        <f t="shared" si="2768"/>
        <v>0</v>
      </c>
      <c r="FF114" s="981">
        <f t="shared" si="2768"/>
        <v>0</v>
      </c>
      <c r="FG114" s="981">
        <f t="shared" si="2768"/>
        <v>0</v>
      </c>
      <c r="FH114" s="981">
        <f t="shared" si="2768"/>
        <v>0</v>
      </c>
      <c r="FI114" s="981">
        <f t="shared" si="2768"/>
        <v>0</v>
      </c>
      <c r="FJ114" s="981">
        <f t="shared" si="2768"/>
        <v>0</v>
      </c>
      <c r="FK114" s="981">
        <f t="shared" si="2768"/>
        <v>0</v>
      </c>
      <c r="FL114" s="981">
        <f t="shared" si="2768"/>
        <v>0</v>
      </c>
      <c r="FM114" s="981">
        <f t="shared" si="2768"/>
        <v>0</v>
      </c>
      <c r="FN114" s="981">
        <f t="shared" si="2768"/>
        <v>0</v>
      </c>
      <c r="FO114" s="981">
        <f t="shared" si="2768"/>
        <v>0</v>
      </c>
      <c r="FP114" s="981">
        <f t="shared" si="2768"/>
        <v>0</v>
      </c>
      <c r="FQ114" s="981">
        <f t="shared" si="2768"/>
        <v>0</v>
      </c>
      <c r="FR114" s="981">
        <f t="shared" si="2768"/>
        <v>0</v>
      </c>
      <c r="FS114" s="981">
        <f t="shared" si="2768"/>
        <v>0</v>
      </c>
      <c r="FT114" s="981">
        <f t="shared" si="2768"/>
        <v>0</v>
      </c>
      <c r="FU114" s="981">
        <f t="shared" si="2768"/>
        <v>0</v>
      </c>
      <c r="FV114" s="981">
        <f t="shared" si="2768"/>
        <v>-622.33000000000004</v>
      </c>
      <c r="FW114" s="981">
        <f t="shared" si="2768"/>
        <v>0</v>
      </c>
      <c r="FX114" s="981">
        <f t="shared" si="2768"/>
        <v>0</v>
      </c>
      <c r="FY114" s="981">
        <f t="shared" si="2768"/>
        <v>0</v>
      </c>
      <c r="FZ114" s="981">
        <f t="shared" ref="FZ114:GC114" si="2769">SUM(FZ104:FZ113)</f>
        <v>0</v>
      </c>
      <c r="GA114" s="981">
        <f t="shared" si="2769"/>
        <v>0</v>
      </c>
      <c r="GB114" s="981">
        <f t="shared" si="2769"/>
        <v>0</v>
      </c>
      <c r="GC114" s="981">
        <f t="shared" si="2769"/>
        <v>0</v>
      </c>
    </row>
    <row r="115" spans="1:185" s="828" customFormat="1" ht="15" customHeight="1" outlineLevel="1" thickTop="1">
      <c r="A115" s="1005" t="str">
        <f t="shared" ref="A115:A125" si="2770">$G$4</f>
        <v>JUNIO  2026 2da QUINCENA</v>
      </c>
      <c r="B115" s="1005">
        <f t="shared" ref="B115:B125" si="2771">+$G$5</f>
        <v>2026</v>
      </c>
      <c r="C115" s="1006" t="str">
        <f t="shared" si="1564"/>
        <v>JUNIO  2026 2da QUINCENA2026</v>
      </c>
      <c r="D115" s="840"/>
      <c r="E115" s="840"/>
      <c r="F115" s="826"/>
      <c r="G115" s="779" t="s">
        <v>650</v>
      </c>
      <c r="H115" s="776"/>
      <c r="I115" s="778"/>
      <c r="J115" s="827"/>
      <c r="N115" s="829"/>
      <c r="O115" s="829"/>
      <c r="P115" s="829"/>
      <c r="Q115" s="829"/>
      <c r="R115" s="829"/>
      <c r="S115" s="829"/>
      <c r="T115" s="780"/>
      <c r="U115" s="830"/>
      <c r="W115" s="830"/>
      <c r="Y115" s="830"/>
      <c r="AA115" s="830"/>
      <c r="AC115" s="830"/>
      <c r="AE115" s="831"/>
      <c r="AG115" s="831"/>
      <c r="AI115" s="831"/>
      <c r="AM115" s="831"/>
      <c r="AZ115" s="832"/>
      <c r="CT115" s="778"/>
      <c r="CU115" s="778"/>
      <c r="EO115" s="778"/>
      <c r="EP115" s="235"/>
      <c r="EQ115" s="778"/>
      <c r="ER115" s="778"/>
      <c r="ES115" s="216"/>
      <c r="ET115" s="778"/>
      <c r="EU115" s="778"/>
      <c r="EV115" s="778"/>
      <c r="EW115" s="778"/>
      <c r="EX115" s="778"/>
      <c r="EY115" s="778"/>
      <c r="EZ115" s="717"/>
      <c r="FA115" s="778"/>
      <c r="FB115" s="778"/>
      <c r="FC115" s="778"/>
      <c r="FD115" s="778"/>
      <c r="FE115" s="778"/>
      <c r="FF115" s="778"/>
      <c r="FG115" s="778"/>
      <c r="FH115" s="778"/>
      <c r="FI115" s="778"/>
      <c r="FJ115" s="778"/>
      <c r="FK115" s="799"/>
      <c r="FL115" s="799"/>
      <c r="FM115" s="799"/>
      <c r="FN115" s="799"/>
      <c r="FO115" s="799"/>
      <c r="FP115" s="799"/>
      <c r="FQ115" s="778"/>
      <c r="FR115" s="778"/>
      <c r="FS115" s="778"/>
      <c r="FT115" s="778"/>
      <c r="FU115" s="778"/>
    </row>
    <row r="116" spans="1:185" s="828" customFormat="1" ht="15" customHeight="1" outlineLevel="1">
      <c r="A116" s="1005" t="str">
        <f t="shared" si="2770"/>
        <v>JUNIO  2026 2da QUINCENA</v>
      </c>
      <c r="B116" s="1005">
        <f t="shared" si="2771"/>
        <v>2026</v>
      </c>
      <c r="C116" s="1006" t="str">
        <f t="shared" si="1564"/>
        <v>JUNIO  2026 2da QUINCENA2026</v>
      </c>
      <c r="D116" s="840"/>
      <c r="E116" s="235">
        <v>304010</v>
      </c>
      <c r="F116" s="826"/>
      <c r="G116" s="723" t="s">
        <v>622</v>
      </c>
      <c r="H116" s="776"/>
      <c r="I116" s="778"/>
      <c r="J116" s="827"/>
      <c r="N116" s="829"/>
      <c r="O116" s="829"/>
      <c r="P116" s="829"/>
      <c r="Q116" s="829"/>
      <c r="R116" s="829"/>
      <c r="S116" s="829"/>
      <c r="T116" s="780"/>
      <c r="U116" s="830"/>
      <c r="W116" s="830"/>
      <c r="Y116" s="830"/>
      <c r="AA116" s="830"/>
      <c r="AC116" s="830"/>
      <c r="AE116" s="831"/>
      <c r="AG116" s="831"/>
      <c r="AI116" s="831"/>
      <c r="AM116" s="831"/>
      <c r="AZ116" s="832"/>
      <c r="CT116" s="778"/>
      <c r="CU116" s="778"/>
      <c r="EO116" s="778"/>
      <c r="EP116" s="235"/>
      <c r="EQ116" s="778"/>
      <c r="ER116" s="778"/>
      <c r="ES116" s="216"/>
      <c r="ET116" s="778"/>
      <c r="EU116" s="778"/>
      <c r="EV116" s="778"/>
      <c r="EW116" s="778"/>
      <c r="EX116" s="778"/>
      <c r="EY116" s="778"/>
      <c r="EZ116" s="717"/>
      <c r="FA116" s="778"/>
      <c r="FB116" s="778"/>
      <c r="FC116" s="778"/>
      <c r="FD116" s="778"/>
      <c r="FE116" s="778"/>
      <c r="FF116" s="778"/>
      <c r="FG116" s="778"/>
      <c r="FH116" s="778"/>
      <c r="FI116" s="778"/>
      <c r="FJ116" s="778"/>
      <c r="FK116" s="799"/>
      <c r="FL116" s="799"/>
      <c r="FM116" s="799"/>
      <c r="FN116" s="799"/>
      <c r="FO116" s="799"/>
      <c r="FP116" s="799"/>
      <c r="FQ116" s="778"/>
      <c r="FR116" s="778"/>
      <c r="FS116" s="778"/>
      <c r="FT116" s="778"/>
      <c r="FU116" s="778"/>
    </row>
    <row r="117" spans="1:185" s="216" customFormat="1" ht="15" customHeight="1" outlineLevel="1">
      <c r="A117" s="1005" t="str">
        <f t="shared" si="2770"/>
        <v>JUNIO  2026 2da QUINCENA</v>
      </c>
      <c r="B117" s="1005">
        <f t="shared" si="2771"/>
        <v>2026</v>
      </c>
      <c r="C117" s="1006" t="str">
        <f t="shared" si="1564"/>
        <v>JUNIO  2026 2da QUINCENA2026</v>
      </c>
      <c r="D117" s="235" t="str">
        <f>+$G$115</f>
        <v>Calidades</v>
      </c>
      <c r="E117" s="235">
        <v>304010</v>
      </c>
      <c r="F117" s="805">
        <v>41</v>
      </c>
      <c r="G117" s="199" t="s">
        <v>610</v>
      </c>
      <c r="H117" s="200" t="s">
        <v>512</v>
      </c>
      <c r="I117" s="201" t="s">
        <v>11</v>
      </c>
      <c r="J117" s="202">
        <v>6520</v>
      </c>
      <c r="K117" s="836">
        <v>3200</v>
      </c>
      <c r="L117" s="202">
        <f t="shared" ref="L117" si="2772">+J117+K117</f>
        <v>9720</v>
      </c>
      <c r="M117" s="203">
        <v>30</v>
      </c>
      <c r="N117" s="237">
        <v>0.5</v>
      </c>
      <c r="O117" s="204">
        <v>0.25</v>
      </c>
      <c r="P117" s="204">
        <v>0.2</v>
      </c>
      <c r="Q117" s="204">
        <v>0.05</v>
      </c>
      <c r="R117" s="204">
        <v>0</v>
      </c>
      <c r="S117" s="204">
        <f t="shared" ref="S117" si="2773">SUM(N117:R117)</f>
        <v>1</v>
      </c>
      <c r="T117" s="701"/>
      <c r="U117" s="238"/>
      <c r="V117" s="203">
        <f t="shared" ref="V117" si="2774">($J117/30/8*1.5)*U117</f>
        <v>0</v>
      </c>
      <c r="W117" s="207">
        <v>0</v>
      </c>
      <c r="X117" s="203">
        <f t="shared" ref="X117" si="2775">($J117/30/8*2)*W117</f>
        <v>0</v>
      </c>
      <c r="Y117" s="207"/>
      <c r="Z117" s="239">
        <f t="shared" ref="Z117" si="2776">($J117/30/8*1.5)*Y117</f>
        <v>0</v>
      </c>
      <c r="AA117" s="207"/>
      <c r="AB117" s="203">
        <f t="shared" ref="AB117" si="2777">($J117/30/8*2)*AA117</f>
        <v>0</v>
      </c>
      <c r="AC117" s="207"/>
      <c r="AD117" s="203">
        <f t="shared" ref="AD117" si="2778">(($J117/30/8)*1.5)*AC117</f>
        <v>0</v>
      </c>
      <c r="AE117" s="208"/>
      <c r="AF117" s="203">
        <f t="shared" ref="AF117" si="2779">(($J117/30/8)*2)*AE117</f>
        <v>0</v>
      </c>
      <c r="AG117" s="208"/>
      <c r="AH117" s="203">
        <f t="shared" ref="AH117" si="2780">(($J117/30/8)*1.5)*AG117</f>
        <v>0</v>
      </c>
      <c r="AI117" s="208"/>
      <c r="AJ117" s="203">
        <f t="shared" ref="AJ117" si="2781">(($J117/30/8)*2)*AI117</f>
        <v>0</v>
      </c>
      <c r="AK117" s="203"/>
      <c r="AL117" s="203">
        <f t="shared" ref="AL117" si="2782">(($J117/30/8)*1.5)*AK117</f>
        <v>0</v>
      </c>
      <c r="AM117" s="208"/>
      <c r="AN117" s="203">
        <f t="shared" ref="AN117" si="2783">(($J117/30/8)*2)*AM117</f>
        <v>0</v>
      </c>
      <c r="AO117" s="202"/>
      <c r="AP117" s="202"/>
      <c r="AQ117" s="202"/>
      <c r="AR117" s="202"/>
      <c r="AS117" s="202"/>
      <c r="AT117" s="202"/>
      <c r="AU117" s="202"/>
      <c r="AV117" s="202"/>
      <c r="AW117" s="202"/>
      <c r="AX117" s="202"/>
      <c r="AY117" s="202"/>
      <c r="AZ117" s="240"/>
      <c r="BA117" s="203">
        <f t="shared" ref="BA117" si="2784">((J117/30)*M117)*$N117</f>
        <v>3260</v>
      </c>
      <c r="BB117" s="203">
        <f>((K117/30)*M117)*$N117</f>
        <v>1600</v>
      </c>
      <c r="BC117" s="203">
        <f t="shared" ref="BC117" si="2785">U117</f>
        <v>0</v>
      </c>
      <c r="BD117" s="203">
        <f t="shared" ref="BD117" si="2786">V117</f>
        <v>0</v>
      </c>
      <c r="BE117" s="203">
        <f t="shared" ref="BE117" si="2787">W117</f>
        <v>0</v>
      </c>
      <c r="BF117" s="203">
        <f t="shared" ref="BF117" si="2788">X117</f>
        <v>0</v>
      </c>
      <c r="BG117" s="203">
        <f t="shared" ref="BG117" si="2789">AO117+AT117</f>
        <v>0</v>
      </c>
      <c r="BH117" s="203">
        <f t="shared" ref="BH117:BH125" si="2790">(BA117+BD117+BF117+BG117)*0.1267</f>
        <v>413.04200000000003</v>
      </c>
      <c r="BI117" s="203">
        <f t="shared" ref="BI117" si="2791">SUM(BA117:BH117)-BC117-BE117</f>
        <v>5273.0420000000004</v>
      </c>
      <c r="BJ117" s="203">
        <f t="shared" ref="BJ117:BJ125" si="2792">(($J117/30)*$M117)*$O117</f>
        <v>1630</v>
      </c>
      <c r="BK117" s="203">
        <f t="shared" ref="BK117" si="2793">(($K117/30)*$M117)*$O117</f>
        <v>800</v>
      </c>
      <c r="BL117" s="203">
        <f t="shared" ref="BL117" si="2794">Y117</f>
        <v>0</v>
      </c>
      <c r="BM117" s="203">
        <f t="shared" ref="BM117" si="2795">Z117</f>
        <v>0</v>
      </c>
      <c r="BN117" s="203">
        <f t="shared" ref="BN117" si="2796">AA117</f>
        <v>0</v>
      </c>
      <c r="BO117" s="203">
        <f t="shared" ref="BO117" si="2797">AB117</f>
        <v>0</v>
      </c>
      <c r="BP117" s="203">
        <f t="shared" ref="BP117" si="2798">AP117+AU117</f>
        <v>0</v>
      </c>
      <c r="BQ117" s="203">
        <f t="shared" ref="BQ117:BQ125" si="2799">(+BJ117+BM117+BO117+BP117)*0.1267</f>
        <v>206.52100000000002</v>
      </c>
      <c r="BR117" s="202">
        <f t="shared" ref="BR117" si="2800">SUM(BJ117:BQ117)-BL117-BN117</f>
        <v>2636.5210000000002</v>
      </c>
      <c r="BS117" s="203">
        <f t="shared" ref="BS117:BS125" si="2801">(($J117/30)*$M117)*$P117</f>
        <v>1304</v>
      </c>
      <c r="BT117" s="203">
        <f>(($K117/30)*$M117)*$P117</f>
        <v>640</v>
      </c>
      <c r="BU117" s="203">
        <f t="shared" ref="BU117" si="2802">AC117</f>
        <v>0</v>
      </c>
      <c r="BV117" s="203">
        <f t="shared" ref="BV117" si="2803">AD117</f>
        <v>0</v>
      </c>
      <c r="BW117" s="203">
        <f t="shared" ref="BW117" si="2804">AE117</f>
        <v>0</v>
      </c>
      <c r="BX117" s="203">
        <f t="shared" ref="BX117" si="2805">AF117</f>
        <v>0</v>
      </c>
      <c r="BY117" s="203">
        <f t="shared" ref="BY117" si="2806">AQ117+AV117</f>
        <v>0</v>
      </c>
      <c r="BZ117" s="203">
        <f t="shared" ref="BZ117:BZ125" si="2807">(BS117+BV117+BX117+BY117)*0.1267</f>
        <v>165.21680000000001</v>
      </c>
      <c r="CA117" s="203">
        <f t="shared" ref="CA117" si="2808">SUM(BS117:BZ117)-BU117-BW117</f>
        <v>2109.2168000000001</v>
      </c>
      <c r="CB117" s="241">
        <f t="shared" ref="CB117:CB125" si="2809">(($J117/30)*$M117)*$Q117</f>
        <v>326</v>
      </c>
      <c r="CC117" s="242">
        <f t="shared" ref="CC117:CC125" si="2810">(($K117/30)*$M117)*$Q117</f>
        <v>160</v>
      </c>
      <c r="CD117" s="242"/>
      <c r="CE117" s="242">
        <f t="shared" ref="CE117" si="2811">AH117</f>
        <v>0</v>
      </c>
      <c r="CF117" s="242"/>
      <c r="CG117" s="242">
        <f>AJ117</f>
        <v>0</v>
      </c>
      <c r="CH117" s="242"/>
      <c r="CI117" s="703">
        <f t="shared" ref="CI117:CI125" si="2812">(CB117+CE117+CG117+CH117)*0.1267</f>
        <v>41.304200000000002</v>
      </c>
      <c r="CJ117" s="242">
        <f>SUM(CB117:CI117)</f>
        <v>527.30420000000004</v>
      </c>
      <c r="CK117" s="242">
        <f t="shared" ref="CK117" si="2813">(($J117/30)*$M117)*R117</f>
        <v>0</v>
      </c>
      <c r="CL117" s="242">
        <f t="shared" ref="CL117:CL125" si="2814">(($K117/30)*$M117)*$R117</f>
        <v>0</v>
      </c>
      <c r="CM117" s="989">
        <f t="shared" ref="CM117" si="2815">+AK117</f>
        <v>0</v>
      </c>
      <c r="CN117" s="242">
        <f t="shared" ref="CN117" si="2816">AL117</f>
        <v>0</v>
      </c>
      <c r="CO117" s="242"/>
      <c r="CP117" s="242">
        <f t="shared" ref="CP117" si="2817">AN117</f>
        <v>0</v>
      </c>
      <c r="CQ117" s="242"/>
      <c r="CR117" s="242">
        <f t="shared" ref="CR117" si="2818">(CK117+CN117+CP117)*0.1267</f>
        <v>0</v>
      </c>
      <c r="CS117" s="990">
        <f t="shared" ref="CS117" si="2819">SUM(CK117:CR117)-CM117-CO117</f>
        <v>0</v>
      </c>
      <c r="CU117" s="201" t="s">
        <v>11</v>
      </c>
      <c r="CV117" s="203">
        <f t="shared" ref="CV117:CV125" si="2820">IF($CU117="PROQUIMA",$BA117+$BJ117+$BS117+$CB117+$CK117,0)</f>
        <v>0</v>
      </c>
      <c r="CW117" s="203">
        <f t="shared" ref="CW117:CW125" si="2821">IF($CU117="PROQUIMA",$BB117+$BK117+$BT117+$CC117+$CL117,0)</f>
        <v>0</v>
      </c>
      <c r="CX117" s="203">
        <f t="shared" ref="CX117:CX125" si="2822">IF($CU117="PROQUIMA",$BC117+$BL117+$BU117+$CD117+$CM117,0)</f>
        <v>0</v>
      </c>
      <c r="CY117" s="203">
        <f t="shared" ref="CY117:CY125" si="2823">IF($CU117="PROQUIMA",$BD117+$BM117+$BV117+$CE117+$CN117,0)</f>
        <v>0</v>
      </c>
      <c r="CZ117" s="203">
        <f t="shared" ref="CZ117:CZ125" si="2824">IF($CU117="PROQUIMA",$BE117+$BN117+$BW117+$CF117+$CO117,0)</f>
        <v>0</v>
      </c>
      <c r="DA117" s="203">
        <f t="shared" ref="DA117:DA125" si="2825">IF($CU117="PROQUIMA",$BF117+$BO117+$BX117+$CG117+$CP117,0)</f>
        <v>0</v>
      </c>
      <c r="DB117" s="203">
        <f t="shared" ref="DB117:DB125" si="2826">IF($CU117="PROQUIMA",$BG117+$BP117+$BY117+$CH117+$CQ117,0)</f>
        <v>0</v>
      </c>
      <c r="DC117" s="203">
        <f t="shared" ref="DC117" si="2827">IF($CU117="PROQUIMA",$BH117+$BQ117+$BZ117+$CI117+CR117,0)</f>
        <v>0</v>
      </c>
      <c r="DD117" s="203">
        <f t="shared" ref="DD117" si="2828">SUM(CV117:DC117)-CX117-CZ117</f>
        <v>0</v>
      </c>
      <c r="DE117" s="203">
        <f t="shared" ref="DE117:DE125" si="2829">IF($CU117="UNHESA",$BA117+$BJ117+$BS117+$CB117+$CK117,0)</f>
        <v>0</v>
      </c>
      <c r="DF117" s="203">
        <f t="shared" ref="DF117:DF125" si="2830">IF($CU117="UNHESA",$BB117+$BK117+$BT117+$CC117+$CL117,0)</f>
        <v>0</v>
      </c>
      <c r="DG117" s="239">
        <f t="shared" ref="DG117:DG125" si="2831">IF($CU117="UNHESA",$BC117+$BL117+$BU117+$CD117+$CM117,0)</f>
        <v>0</v>
      </c>
      <c r="DH117" s="239">
        <f t="shared" ref="DH117:DH125" si="2832">IF($CU117="UNHESA",$BD117+$BM117+$BV117+$CE117+$CN117,0)</f>
        <v>0</v>
      </c>
      <c r="DI117" s="239">
        <f t="shared" ref="DI117:DI125" si="2833">IF($CU117="UNHESA",$BE117+$BN117+$BW117+$CF117+$CO117,0)</f>
        <v>0</v>
      </c>
      <c r="DJ117" s="203">
        <f t="shared" ref="DJ117:DJ125" si="2834">IF($CU117="UNHESA",$BF117+$BO117+$BX117+$CG117+$CP117,0)</f>
        <v>0</v>
      </c>
      <c r="DK117" s="203">
        <f t="shared" ref="DK117:DK125" si="2835">IF($CU117="UNHESA",$BG117+$BP117+$BY117+$CH117+$CQ117,0)</f>
        <v>0</v>
      </c>
      <c r="DL117" s="203">
        <f t="shared" ref="DL117:DL125" si="2836">IF($CU117="UNHESA",$BH117+$BQ117+$BZ117+$CI117+$CR117,0)</f>
        <v>0</v>
      </c>
      <c r="DM117" s="203">
        <f t="shared" ref="DM117" si="2837">SUM(DE117:DL117)-DG117-DI117</f>
        <v>0</v>
      </c>
      <c r="DN117" s="210">
        <f t="shared" ref="DN117:DN125" si="2838">IF($CU117="UNHESA LIQUIDOS",$BA117+$BJ117+$BS117+$CB117+$CK117,0)</f>
        <v>0</v>
      </c>
      <c r="DO117" s="210">
        <f t="shared" ref="DO117:DO125" si="2839">IF($CU117="UNHESA LIQUIDOS",$BB117+$BK117+$BT117+$CC117+$CL117,0)</f>
        <v>0</v>
      </c>
      <c r="DP117" s="210">
        <f t="shared" ref="DP117:DP125" si="2840">IF($CU117="UNHESA LIQUIDOS",$BC117+$BL117+$BU117+$CD117+$CM117,0)</f>
        <v>0</v>
      </c>
      <c r="DQ117" s="210">
        <f t="shared" ref="DQ117:DQ125" si="2841">IF($CU117="UNHESA LIQUIDOS",$BD117+$BM117+$BV117+$CE117+$CN117,0)</f>
        <v>0</v>
      </c>
      <c r="DR117" s="210">
        <f t="shared" ref="DR117:DR125" si="2842">IF($CU117="UNHESA LIQUIDOS",$BE117+$BN117+$BW117+$CF117+$CO117,0)</f>
        <v>0</v>
      </c>
      <c r="DS117" s="210">
        <f t="shared" ref="DS117:DS125" si="2843">IF($CU117="UNHESA LIQUIDOS",$BF117+$BO117+$BX117+$CG117+$CP117,0)</f>
        <v>0</v>
      </c>
      <c r="DT117" s="210">
        <f t="shared" ref="DT117:DT125" si="2844">IF($CU117="UNHESA LIQUIDOS",$BG117+$BP117+$BY117+$CH117+$CQ117,0)</f>
        <v>0</v>
      </c>
      <c r="DU117" s="210">
        <f t="shared" ref="DU117:DU125" si="2845">IF($CU117="UNHESA LIQUIDOS",$BH117+$BQ117+$BZ117+$CI117+$CR117,0)</f>
        <v>0</v>
      </c>
      <c r="DV117" s="210">
        <f t="shared" ref="DV117" si="2846">SUM(DN117:DU117)-DP117-DR117</f>
        <v>0</v>
      </c>
      <c r="DW117" s="241">
        <f>IF($CU117="CLEARTEC",$BA117+$BJ117+$BS117+$CB117+$CK117,0)</f>
        <v>0</v>
      </c>
      <c r="DX117" s="241">
        <f t="shared" ref="DX117:ED117" si="2847">IF($CU117="CLEARTEC",$BA117+$BJ117+$BS117+$CB117+$CK117,0)</f>
        <v>0</v>
      </c>
      <c r="DY117" s="241">
        <f t="shared" si="2847"/>
        <v>0</v>
      </c>
      <c r="DZ117" s="241">
        <f t="shared" si="2847"/>
        <v>0</v>
      </c>
      <c r="EA117" s="241">
        <f t="shared" si="2847"/>
        <v>0</v>
      </c>
      <c r="EB117" s="241">
        <f t="shared" si="2847"/>
        <v>0</v>
      </c>
      <c r="EC117" s="241">
        <f t="shared" si="2847"/>
        <v>0</v>
      </c>
      <c r="ED117" s="241">
        <f t="shared" si="2847"/>
        <v>0</v>
      </c>
      <c r="EE117" s="242">
        <f t="shared" ref="EE117" si="2848">SUM(DW117:ED117)-DY117-EA117</f>
        <v>0</v>
      </c>
      <c r="EF117" s="203">
        <f t="shared" ref="EF117" si="2849">IF(CU117="ECONACIONAL",$BA117+$BJ117+$BS117+$CB117+$CK117)</f>
        <v>6520</v>
      </c>
      <c r="EG117" s="242">
        <f t="shared" ref="EG117:EG125" si="2850">IF($CU117="ECONACIONAL",$BB117+$BK117+$BT117+$CC117+$CL117,0)</f>
        <v>3200</v>
      </c>
      <c r="EH117" s="203">
        <f t="shared" ref="EH117:EH125" si="2851">IF(CU117="ECONACIONAL",$BC117+$BL117+$BU117+$CD117+$CM117)</f>
        <v>0</v>
      </c>
      <c r="EI117" s="203">
        <f t="shared" ref="EI117:EI125" si="2852">IF(CU117="ECONACIONAL",$BD117+$DH117+$DQ117+$DZ117+BM117+BV117+CE117+CN117)</f>
        <v>0</v>
      </c>
      <c r="EJ117" s="242">
        <f t="shared" ref="EJ117:EJ125" si="2853">IF($CU117="CLEARTEC",$BE117+$BN117+$BW117+$CF117+$CO117,0)</f>
        <v>0</v>
      </c>
      <c r="EK117" s="203">
        <f t="shared" ref="EK117" si="2854">IF(CU117="ECONACIONAL",$BF117+$BO117+$BX117+$CG117+$CP117)</f>
        <v>0</v>
      </c>
      <c r="EL117" s="203">
        <f t="shared" ref="EL117" si="2855">IF(CU117="ECONACIONAL",$BG117+$BP117+$BY117+$CH117+$CQ117)</f>
        <v>0</v>
      </c>
      <c r="EM117" s="203">
        <f t="shared" ref="EM117" si="2856">IF(CU117="ECONACIONAL",BH117+BQ117+BZ117+CI117+CR117)</f>
        <v>826.08400000000017</v>
      </c>
      <c r="EN117" s="203">
        <f t="shared" ref="EN117" si="2857">SUM(EF117:EM117)-EH117-EJ117</f>
        <v>10546.084000000001</v>
      </c>
      <c r="EP117" s="1192">
        <v>245.51</v>
      </c>
      <c r="EQ117" s="201"/>
      <c r="ER117" s="201"/>
      <c r="ES117" s="201">
        <f>445.75+589.5</f>
        <v>1035.25</v>
      </c>
      <c r="ET117" s="201"/>
      <c r="EU117" s="201"/>
      <c r="EV117" s="201"/>
      <c r="EW117" s="201"/>
      <c r="EX117" s="201"/>
      <c r="EY117" s="201">
        <f t="shared" ref="EY117:EY125" si="2858">+ET117+EU117+EV117</f>
        <v>0</v>
      </c>
      <c r="EZ117" s="820"/>
      <c r="FA117" s="207">
        <f t="shared" ref="FA117" si="2859">IF($M117&lt;=15,EP117/2,EP117)</f>
        <v>245.51</v>
      </c>
      <c r="FB117" s="207">
        <f t="shared" ref="FB117" si="2860">IF($M117&lt;=15,EQ117/2,EQ117)</f>
        <v>0</v>
      </c>
      <c r="FC117" s="207">
        <f t="shared" ref="FC117" si="2861">IF($M117&lt;=15,ER117/2,ER117)</f>
        <v>0</v>
      </c>
      <c r="FD117" s="207">
        <f t="shared" ref="FD117" si="2862">IF($M117&lt;=15,ES117/2,ES117)</f>
        <v>1035.25</v>
      </c>
      <c r="FE117" s="207">
        <f t="shared" ref="FE117" si="2863">IF($M117&lt;=15,ET117/2,ET117)</f>
        <v>0</v>
      </c>
      <c r="FF117" s="207">
        <f t="shared" ref="FF117" si="2864">IF($M117&lt;=15,EU117/2,EU117)</f>
        <v>0</v>
      </c>
      <c r="FG117" s="207">
        <f>IF($M117&lt;=15,EV117/2,EV117)</f>
        <v>0</v>
      </c>
      <c r="FH117" s="207">
        <f t="shared" ref="FH117" si="2865">IF($M117&lt;=15,EW117/2,EW117)</f>
        <v>0</v>
      </c>
      <c r="FI117" s="207">
        <f>IF($M117&lt;=15,EX117/2,EX117)</f>
        <v>0</v>
      </c>
      <c r="FJ117" s="207">
        <f>IF($M117&lt;=15,EY117/2,EY117)</f>
        <v>0</v>
      </c>
      <c r="FK117" s="217"/>
      <c r="FL117" s="217"/>
      <c r="FM117" s="217"/>
      <c r="FN117" s="217"/>
      <c r="FO117" s="217"/>
      <c r="FP117" s="217"/>
      <c r="FR117" s="1177">
        <f>(((J117/30/8)*1.5)*(U117+Y117+AC117))-(BD117+BM117+BV117)</f>
        <v>0</v>
      </c>
      <c r="FS117" s="1177">
        <f t="shared" ref="FS117" si="2866">(((J117/30/8)*2)*(W117+AA117+AE117))-(BF117+BO117+BX117)</f>
        <v>0</v>
      </c>
      <c r="FT117" s="1178">
        <f>(SUM(BA117:CJ117))-(SUM(EF117:EN117))</f>
        <v>0</v>
      </c>
      <c r="FU117" s="1177">
        <f>(J117/30*M117)-(EF117)</f>
        <v>0</v>
      </c>
      <c r="FV117" s="1181">
        <f>(SUM(EP117:EY117))-((SUM(FA117:FJ117))*$FV$5)</f>
        <v>-1280.76</v>
      </c>
    </row>
    <row r="118" spans="1:185" s="216" customFormat="1" ht="15" customHeight="1" outlineLevel="1">
      <c r="A118" s="1005" t="str">
        <f t="shared" si="2770"/>
        <v>JUNIO  2026 2da QUINCENA</v>
      </c>
      <c r="B118" s="1005">
        <f t="shared" si="2771"/>
        <v>2026</v>
      </c>
      <c r="C118" s="1006" t="str">
        <f t="shared" si="1564"/>
        <v>JUNIO  2026 2da QUINCENA2026</v>
      </c>
      <c r="D118" s="235"/>
      <c r="E118" s="235">
        <v>304020</v>
      </c>
      <c r="F118" s="805"/>
      <c r="G118" s="723" t="s">
        <v>651</v>
      </c>
      <c r="H118" s="200"/>
      <c r="I118" s="201"/>
      <c r="J118" s="202"/>
      <c r="K118" s="202"/>
      <c r="L118" s="202"/>
      <c r="M118" s="203"/>
      <c r="N118" s="237"/>
      <c r="O118" s="204"/>
      <c r="P118" s="204"/>
      <c r="Q118" s="204"/>
      <c r="R118" s="204"/>
      <c r="S118" s="204"/>
      <c r="T118" s="701"/>
      <c r="U118" s="238"/>
      <c r="V118" s="203"/>
      <c r="W118" s="207"/>
      <c r="X118" s="203"/>
      <c r="Y118" s="207"/>
      <c r="Z118" s="239"/>
      <c r="AA118" s="207"/>
      <c r="AB118" s="203"/>
      <c r="AC118" s="207"/>
      <c r="AD118" s="203"/>
      <c r="AE118" s="208"/>
      <c r="AF118" s="203"/>
      <c r="AG118" s="208"/>
      <c r="AH118" s="203"/>
      <c r="AI118" s="208"/>
      <c r="AJ118" s="203"/>
      <c r="AK118" s="203"/>
      <c r="AL118" s="203"/>
      <c r="AM118" s="208"/>
      <c r="AN118" s="203"/>
      <c r="AO118" s="202"/>
      <c r="AP118" s="202"/>
      <c r="AQ118" s="202"/>
      <c r="AR118" s="202"/>
      <c r="AS118" s="202"/>
      <c r="AT118" s="202"/>
      <c r="AU118" s="202"/>
      <c r="AV118" s="202"/>
      <c r="AW118" s="202"/>
      <c r="AX118" s="202"/>
      <c r="AY118" s="202"/>
      <c r="AZ118" s="240"/>
      <c r="BA118" s="203"/>
      <c r="BB118" s="203"/>
      <c r="BC118" s="203"/>
      <c r="BD118" s="203"/>
      <c r="BE118" s="203"/>
      <c r="BF118" s="203"/>
      <c r="BG118" s="203"/>
      <c r="BH118" s="203"/>
      <c r="BI118" s="203"/>
      <c r="BJ118" s="203"/>
      <c r="BK118" s="203"/>
      <c r="BL118" s="203"/>
      <c r="BM118" s="203"/>
      <c r="BN118" s="203"/>
      <c r="BO118" s="203"/>
      <c r="BP118" s="203"/>
      <c r="BQ118" s="203"/>
      <c r="BR118" s="202"/>
      <c r="BS118" s="203"/>
      <c r="BT118" s="203"/>
      <c r="BU118" s="203"/>
      <c r="BV118" s="203"/>
      <c r="BW118" s="203"/>
      <c r="BX118" s="203"/>
      <c r="BY118" s="203"/>
      <c r="BZ118" s="203"/>
      <c r="CA118" s="203"/>
      <c r="CB118" s="241"/>
      <c r="CC118" s="242"/>
      <c r="CD118" s="242"/>
      <c r="CE118" s="242"/>
      <c r="CF118" s="242"/>
      <c r="CG118" s="242"/>
      <c r="CH118" s="242"/>
      <c r="CI118" s="242"/>
      <c r="CJ118" s="242"/>
      <c r="CK118" s="242"/>
      <c r="CL118" s="242"/>
      <c r="CM118" s="242"/>
      <c r="CN118" s="242"/>
      <c r="CO118" s="242"/>
      <c r="CP118" s="242"/>
      <c r="CQ118" s="242"/>
      <c r="CR118" s="242"/>
      <c r="CS118" s="243"/>
      <c r="CU118" s="201"/>
      <c r="CV118" s="203"/>
      <c r="CW118" s="203"/>
      <c r="CX118" s="203"/>
      <c r="CY118" s="203"/>
      <c r="CZ118" s="203"/>
      <c r="DA118" s="203"/>
      <c r="DB118" s="203"/>
      <c r="DC118" s="203"/>
      <c r="DD118" s="203"/>
      <c r="DE118" s="203"/>
      <c r="DF118" s="203"/>
      <c r="DG118" s="203"/>
      <c r="DH118" s="203"/>
      <c r="DI118" s="203"/>
      <c r="DJ118" s="203"/>
      <c r="DK118" s="203"/>
      <c r="DL118" s="203"/>
      <c r="DM118" s="203"/>
      <c r="DN118" s="203"/>
      <c r="DO118" s="203"/>
      <c r="DP118" s="203"/>
      <c r="DQ118" s="203"/>
      <c r="DR118" s="203"/>
      <c r="DS118" s="203"/>
      <c r="DT118" s="203"/>
      <c r="DU118" s="203"/>
      <c r="DV118" s="203"/>
      <c r="DW118" s="241"/>
      <c r="DX118" s="242"/>
      <c r="DY118" s="242"/>
      <c r="DZ118" s="242"/>
      <c r="EA118" s="242"/>
      <c r="EB118" s="242"/>
      <c r="EC118" s="242"/>
      <c r="ED118" s="242"/>
      <c r="EE118" s="242"/>
      <c r="EF118" s="242"/>
      <c r="EG118" s="242"/>
      <c r="EH118" s="242"/>
      <c r="EI118" s="242"/>
      <c r="EJ118" s="242"/>
      <c r="EK118" s="242"/>
      <c r="EL118" s="242"/>
      <c r="EM118" s="242"/>
      <c r="EN118" s="243"/>
      <c r="EP118" s="201"/>
      <c r="EQ118" s="201"/>
      <c r="ER118" s="201"/>
      <c r="ES118" s="201"/>
      <c r="ET118" s="201"/>
      <c r="EU118" s="201"/>
      <c r="EV118" s="201"/>
      <c r="EW118" s="201"/>
      <c r="EX118" s="201"/>
      <c r="EY118" s="201"/>
      <c r="EZ118" s="820"/>
      <c r="FA118" s="207"/>
      <c r="FB118" s="207"/>
      <c r="FC118" s="207"/>
      <c r="FD118" s="207"/>
      <c r="FE118" s="207"/>
      <c r="FF118" s="207"/>
      <c r="FG118" s="207"/>
      <c r="FH118" s="207"/>
      <c r="FI118" s="207"/>
      <c r="FJ118" s="207"/>
      <c r="FK118" s="217"/>
      <c r="FL118" s="217"/>
      <c r="FM118" s="217"/>
      <c r="FN118" s="217"/>
      <c r="FO118" s="217"/>
      <c r="FP118" s="217"/>
    </row>
    <row r="119" spans="1:185" s="216" customFormat="1" ht="15" customHeight="1" outlineLevel="1">
      <c r="A119" s="1005"/>
      <c r="B119" s="1005"/>
      <c r="C119" s="1006"/>
      <c r="D119" s="235"/>
      <c r="E119" s="235">
        <v>304020</v>
      </c>
      <c r="F119" s="201">
        <v>42</v>
      </c>
      <c r="G119" s="199" t="s">
        <v>732</v>
      </c>
      <c r="H119" s="200" t="s">
        <v>731</v>
      </c>
      <c r="I119" s="200" t="s">
        <v>11</v>
      </c>
      <c r="J119" s="203">
        <v>4800</v>
      </c>
      <c r="K119" s="836">
        <v>1000</v>
      </c>
      <c r="L119" s="872">
        <f>+J119+K119</f>
        <v>5800</v>
      </c>
      <c r="M119" s="203">
        <v>30</v>
      </c>
      <c r="N119" s="270">
        <v>0.44</v>
      </c>
      <c r="O119" s="204">
        <v>0.33</v>
      </c>
      <c r="P119" s="270">
        <v>0.18</v>
      </c>
      <c r="Q119" s="204">
        <v>0.05</v>
      </c>
      <c r="R119" s="204">
        <v>0</v>
      </c>
      <c r="S119" s="204">
        <f>+N119+O119+P119+Q119+R119</f>
        <v>1</v>
      </c>
      <c r="T119" s="813"/>
      <c r="U119" s="238">
        <v>1</v>
      </c>
      <c r="V119" s="203">
        <f t="shared" ref="V119" si="2867">($J119/30/8*1.5)*U119</f>
        <v>30</v>
      </c>
      <c r="W119" s="265"/>
      <c r="X119" s="203">
        <f t="shared" ref="X119" si="2868">($J119/30/8*2)*W119</f>
        <v>0</v>
      </c>
      <c r="Y119" s="207">
        <v>10.5</v>
      </c>
      <c r="Z119" s="239">
        <f t="shared" ref="Z119" si="2869">($J119/30/8*1.5)*Y119</f>
        <v>315</v>
      </c>
      <c r="AA119" s="207"/>
      <c r="AB119" s="203">
        <f t="shared" ref="AB119" si="2870">($J119/30/8*2)*AA119</f>
        <v>0</v>
      </c>
      <c r="AC119" s="207"/>
      <c r="AD119" s="203">
        <f t="shared" ref="AD119" si="2871">(($J119/30/8)*1.5)*AC119</f>
        <v>0</v>
      </c>
      <c r="AE119" s="208"/>
      <c r="AF119" s="203">
        <f t="shared" ref="AF119" si="2872">(($J119/30/8)*2)*AE119</f>
        <v>0</v>
      </c>
      <c r="AG119" s="208"/>
      <c r="AH119" s="203">
        <f t="shared" ref="AH119" si="2873">(($J119/30/8)*1.5)*AG119</f>
        <v>0</v>
      </c>
      <c r="AI119" s="208"/>
      <c r="AJ119" s="203">
        <f t="shared" ref="AJ119" si="2874">(($J119/30/8)*2)*AI119</f>
        <v>0</v>
      </c>
      <c r="AK119" s="203"/>
      <c r="AL119" s="203">
        <f t="shared" ref="AL119" si="2875">(($J119/30/8)*1.5)*AK119</f>
        <v>0</v>
      </c>
      <c r="AM119" s="208"/>
      <c r="AN119" s="203">
        <f t="shared" ref="AN119" si="2876">(($J119/30/8)*2)*AM119</f>
        <v>0</v>
      </c>
      <c r="AO119" s="202"/>
      <c r="AP119" s="202"/>
      <c r="AQ119" s="202"/>
      <c r="AR119" s="202"/>
      <c r="AS119" s="202"/>
      <c r="AT119" s="202"/>
      <c r="AU119" s="202"/>
      <c r="AV119" s="202"/>
      <c r="AW119" s="202"/>
      <c r="AX119" s="202"/>
      <c r="AY119" s="202"/>
      <c r="AZ119" s="240"/>
      <c r="BA119" s="203">
        <f t="shared" ref="BA119" si="2877">((J119/30)*M119)*$N119</f>
        <v>2112</v>
      </c>
      <c r="BB119" s="787">
        <f>((K119/30)*M119)*$N119</f>
        <v>440.00000000000006</v>
      </c>
      <c r="BC119" s="203">
        <f t="shared" ref="BC119" si="2878">U119</f>
        <v>1</v>
      </c>
      <c r="BD119" s="203">
        <f t="shared" ref="BD119" si="2879">V119</f>
        <v>30</v>
      </c>
      <c r="BE119" s="203">
        <f t="shared" ref="BE119" si="2880">W119</f>
        <v>0</v>
      </c>
      <c r="BF119" s="203">
        <f t="shared" ref="BF119" si="2881">X119</f>
        <v>0</v>
      </c>
      <c r="BG119" s="203">
        <f t="shared" ref="BG119" si="2882">AO119+AT119</f>
        <v>0</v>
      </c>
      <c r="BH119" s="203">
        <f t="shared" si="2790"/>
        <v>271.39140000000003</v>
      </c>
      <c r="BI119" s="203">
        <f t="shared" ref="BI119" si="2883">SUM(BA119:BH119)-BC119-BE119</f>
        <v>2853.3914</v>
      </c>
      <c r="BJ119" s="203">
        <f t="shared" si="2792"/>
        <v>1584</v>
      </c>
      <c r="BK119" s="203">
        <f>(($K119/30)*$M119)*$O119</f>
        <v>330.00000000000006</v>
      </c>
      <c r="BL119" s="203">
        <f t="shared" ref="BL119" si="2884">Y119</f>
        <v>10.5</v>
      </c>
      <c r="BM119" s="203">
        <f t="shared" ref="BM119" si="2885">Z119</f>
        <v>315</v>
      </c>
      <c r="BN119" s="203">
        <f t="shared" ref="BN119" si="2886">AA119</f>
        <v>0</v>
      </c>
      <c r="BO119" s="203">
        <f t="shared" ref="BO119" si="2887">AB119</f>
        <v>0</v>
      </c>
      <c r="BP119" s="203">
        <f t="shared" ref="BP119" si="2888">AP119+AU119</f>
        <v>0</v>
      </c>
      <c r="BQ119" s="203">
        <f t="shared" si="2799"/>
        <v>240.60330000000002</v>
      </c>
      <c r="BR119" s="202">
        <f t="shared" ref="BR119" si="2889">SUM(BJ119:BQ119)-BL119-BN119</f>
        <v>2469.6033000000002</v>
      </c>
      <c r="BS119" s="203">
        <f t="shared" si="2801"/>
        <v>864</v>
      </c>
      <c r="BT119" s="203">
        <f>(($K119/30)*$M119)*$P119</f>
        <v>180</v>
      </c>
      <c r="BU119" s="203">
        <f t="shared" ref="BU119" si="2890">AC119</f>
        <v>0</v>
      </c>
      <c r="BV119" s="203">
        <f t="shared" ref="BV119" si="2891">AD119</f>
        <v>0</v>
      </c>
      <c r="BW119" s="203">
        <f t="shared" ref="BW119" si="2892">AE119</f>
        <v>0</v>
      </c>
      <c r="BX119" s="203">
        <f t="shared" ref="BX119" si="2893">AF119</f>
        <v>0</v>
      </c>
      <c r="BY119" s="203">
        <f t="shared" ref="BY119" si="2894">AQ119+AV119</f>
        <v>0</v>
      </c>
      <c r="BZ119" s="203">
        <f t="shared" si="2807"/>
        <v>109.4688</v>
      </c>
      <c r="CA119" s="203">
        <f t="shared" ref="CA119" si="2895">SUM(BS119:BZ119)-BU119-BW119</f>
        <v>1153.4688000000001</v>
      </c>
      <c r="CB119" s="241">
        <f t="shared" si="2809"/>
        <v>240</v>
      </c>
      <c r="CC119" s="242">
        <f>(($K119/30)*$M119)*$Q119</f>
        <v>50.000000000000007</v>
      </c>
      <c r="CD119" s="242"/>
      <c r="CE119" s="242">
        <f t="shared" ref="CE119" si="2896">AH119</f>
        <v>0</v>
      </c>
      <c r="CF119" s="242"/>
      <c r="CG119" s="242">
        <f t="shared" ref="CG119" si="2897">AJ119</f>
        <v>0</v>
      </c>
      <c r="CH119" s="242">
        <f>+AS119</f>
        <v>0</v>
      </c>
      <c r="CI119" s="703">
        <f t="shared" si="2812"/>
        <v>30.408000000000001</v>
      </c>
      <c r="CJ119" s="242">
        <f t="shared" ref="CJ119" si="2898">SUM(CB119:CI119)</f>
        <v>320.40800000000002</v>
      </c>
      <c r="CK119" s="242">
        <f t="shared" ref="CK119" si="2899">(($J119/30)*$M119)*R119</f>
        <v>0</v>
      </c>
      <c r="CL119" s="242">
        <f t="shared" si="2814"/>
        <v>0</v>
      </c>
      <c r="CM119" s="989">
        <f t="shared" ref="CM119" si="2900">+AK119</f>
        <v>0</v>
      </c>
      <c r="CN119" s="242">
        <f t="shared" ref="CN119" si="2901">AL119</f>
        <v>0</v>
      </c>
      <c r="CO119" s="242"/>
      <c r="CP119" s="242">
        <f t="shared" ref="CP119" si="2902">AN119</f>
        <v>0</v>
      </c>
      <c r="CQ119" s="242"/>
      <c r="CR119" s="242">
        <f t="shared" ref="CR119" si="2903">(CK119+CN119+CP119)*0.1267</f>
        <v>0</v>
      </c>
      <c r="CS119" s="990">
        <f t="shared" ref="CS119" si="2904">SUM(CK119:CR119)-CM119-CO119</f>
        <v>0</v>
      </c>
      <c r="CU119" s="201" t="s">
        <v>11</v>
      </c>
      <c r="CV119" s="203">
        <f t="shared" si="2820"/>
        <v>0</v>
      </c>
      <c r="CW119" s="203">
        <f t="shared" si="2821"/>
        <v>0</v>
      </c>
      <c r="CX119" s="203">
        <f t="shared" si="2822"/>
        <v>0</v>
      </c>
      <c r="CY119" s="203">
        <f t="shared" si="2823"/>
        <v>0</v>
      </c>
      <c r="CZ119" s="203">
        <f t="shared" si="2824"/>
        <v>0</v>
      </c>
      <c r="DA119" s="203">
        <f t="shared" si="2825"/>
        <v>0</v>
      </c>
      <c r="DB119" s="203">
        <f t="shared" si="2826"/>
        <v>0</v>
      </c>
      <c r="DC119" s="203">
        <f t="shared" ref="DC119" si="2905">IF($CU119="PROQUIMA",$BH119+$BQ119+$BZ119+$CI119+CR119,0)</f>
        <v>0</v>
      </c>
      <c r="DD119" s="203">
        <f t="shared" ref="DD119" si="2906">SUM(CV119:DC119)-CX119-CZ119</f>
        <v>0</v>
      </c>
      <c r="DE119" s="203">
        <f t="shared" si="2829"/>
        <v>0</v>
      </c>
      <c r="DF119" s="203">
        <f t="shared" si="2830"/>
        <v>0</v>
      </c>
      <c r="DG119" s="239">
        <f t="shared" si="2831"/>
        <v>0</v>
      </c>
      <c r="DH119" s="239">
        <f t="shared" si="2832"/>
        <v>0</v>
      </c>
      <c r="DI119" s="239">
        <f t="shared" si="2833"/>
        <v>0</v>
      </c>
      <c r="DJ119" s="203">
        <f t="shared" si="2834"/>
        <v>0</v>
      </c>
      <c r="DK119" s="203">
        <f t="shared" si="2835"/>
        <v>0</v>
      </c>
      <c r="DL119" s="203">
        <f t="shared" si="2836"/>
        <v>0</v>
      </c>
      <c r="DM119" s="203">
        <f t="shared" ref="DM119" si="2907">SUM(DE119:DL119)-DG119-DI119</f>
        <v>0</v>
      </c>
      <c r="DN119" s="210">
        <f t="shared" si="2838"/>
        <v>0</v>
      </c>
      <c r="DO119" s="210">
        <f t="shared" si="2839"/>
        <v>0</v>
      </c>
      <c r="DP119" s="210">
        <f t="shared" si="2840"/>
        <v>0</v>
      </c>
      <c r="DQ119" s="210">
        <f t="shared" si="2841"/>
        <v>0</v>
      </c>
      <c r="DR119" s="210">
        <f t="shared" si="2842"/>
        <v>0</v>
      </c>
      <c r="DS119" s="210">
        <f t="shared" si="2843"/>
        <v>0</v>
      </c>
      <c r="DT119" s="210">
        <f t="shared" si="2844"/>
        <v>0</v>
      </c>
      <c r="DU119" s="210">
        <f t="shared" si="2845"/>
        <v>0</v>
      </c>
      <c r="DV119" s="210">
        <f t="shared" ref="DV119" si="2908">SUM(DN119:DU119)-DP119-DR119</f>
        <v>0</v>
      </c>
      <c r="DW119" s="241">
        <f>IF($CU119="CLEARTEC",$BA119+$BJ119+$BS119+$CB119+$CK119,0)</f>
        <v>0</v>
      </c>
      <c r="DX119" s="241">
        <f t="shared" ref="DX119:ED125" si="2909">IF($CU119="CLEARTEC",$BA119+$BJ119+$BS119+$CB119+$CK119,0)</f>
        <v>0</v>
      </c>
      <c r="DY119" s="241">
        <f t="shared" si="2909"/>
        <v>0</v>
      </c>
      <c r="DZ119" s="241">
        <f t="shared" si="2909"/>
        <v>0</v>
      </c>
      <c r="EA119" s="241">
        <f t="shared" si="2909"/>
        <v>0</v>
      </c>
      <c r="EB119" s="241">
        <f t="shared" si="2909"/>
        <v>0</v>
      </c>
      <c r="EC119" s="241">
        <f t="shared" si="2909"/>
        <v>0</v>
      </c>
      <c r="ED119" s="241">
        <f t="shared" si="2909"/>
        <v>0</v>
      </c>
      <c r="EE119" s="242">
        <f t="shared" ref="EE119" si="2910">SUM(DW119:ED119)-DY119-EA119</f>
        <v>0</v>
      </c>
      <c r="EF119" s="203">
        <f t="shared" ref="EF119" si="2911">IF(CU119="ECONACIONAL",$BA119+$BJ119+$BS119+$CB119+$CK119)</f>
        <v>4800</v>
      </c>
      <c r="EG119" s="242">
        <f t="shared" si="2850"/>
        <v>1000.0000000000001</v>
      </c>
      <c r="EH119" s="203">
        <f t="shared" ref="EH119" si="2912">IF(CU119="ECONACIONAL",$BC119+$BL119+$BU119+$CD119+$CM119)</f>
        <v>11.5</v>
      </c>
      <c r="EI119" s="203">
        <f t="shared" ref="EI119" si="2913">IF(CU119="ECONACIONAL",$BD119+$DH119+$DQ119+$DZ119+BM119+BV119+CE119+CN119)</f>
        <v>345</v>
      </c>
      <c r="EJ119" s="242">
        <f t="shared" si="2853"/>
        <v>0</v>
      </c>
      <c r="EK119" s="203">
        <f t="shared" ref="EK119" si="2914">IF(CU119="ECONACIONAL",$BF119+$BO119+$BX119+$CG119+$CP119)</f>
        <v>0</v>
      </c>
      <c r="EL119" s="203">
        <f>IF(CU119="ECONACIONAL",$BG119+$BP119+$BY119+$CH119+$CQ119)</f>
        <v>0</v>
      </c>
      <c r="EM119" s="203">
        <f t="shared" ref="EM119" si="2915">IF(CU119="ECONACIONAL",BH119+BQ119+BZ119+CI119+CR119)</f>
        <v>651.87150000000008</v>
      </c>
      <c r="EN119" s="203">
        <f t="shared" ref="EN119" si="2916">SUM(EF119:EM119)-EH119-EJ119</f>
        <v>6796.8715000000002</v>
      </c>
      <c r="EP119" s="201">
        <v>161</v>
      </c>
      <c r="EQ119" s="201"/>
      <c r="ER119" s="201"/>
      <c r="ES119" s="201"/>
      <c r="ET119" s="201">
        <v>82.5</v>
      </c>
      <c r="EU119" s="201"/>
      <c r="EV119" s="201"/>
      <c r="EW119" s="201"/>
      <c r="EX119" s="201"/>
      <c r="EY119" s="201">
        <f t="shared" ref="EY119" si="2917">+ET119+EU119+EV119</f>
        <v>82.5</v>
      </c>
      <c r="EZ119" s="820"/>
      <c r="FA119" s="207">
        <f t="shared" ref="FA119" si="2918">IF($M119&lt;=15,EP119/2,EP119)</f>
        <v>161</v>
      </c>
      <c r="FB119" s="207">
        <f t="shared" ref="FB119" si="2919">IF($M119&lt;=15,EQ119/2,EQ119)</f>
        <v>0</v>
      </c>
      <c r="FC119" s="207">
        <f t="shared" ref="FC119" si="2920">IF($M119&lt;=15,ER119/2,ER119)</f>
        <v>0</v>
      </c>
      <c r="FD119" s="207">
        <f t="shared" ref="FD119" si="2921">IF($M119&lt;=15,ES119/2,ES119)</f>
        <v>0</v>
      </c>
      <c r="FE119" s="207">
        <f t="shared" ref="FE119" si="2922">IF($M119&lt;=15,ET119/2,ET119)</f>
        <v>82.5</v>
      </c>
      <c r="FF119" s="207">
        <f t="shared" ref="FF119" si="2923">IF($M119&lt;=15,EU119/2,EU119)</f>
        <v>0</v>
      </c>
      <c r="FG119" s="207">
        <f t="shared" ref="FG119" si="2924">IF($M119&lt;=15,EV119/2,EV119)</f>
        <v>0</v>
      </c>
      <c r="FH119" s="207">
        <f t="shared" ref="FH119" si="2925">IF($M119&lt;=15,EW119/2,EW119)</f>
        <v>0</v>
      </c>
      <c r="FI119" s="207">
        <f t="shared" ref="FI119" si="2926">IF($M119&lt;=15,EX119/2,EX119)</f>
        <v>0</v>
      </c>
      <c r="FJ119" s="207">
        <f t="shared" ref="FJ119" si="2927">IF($M119&lt;=15,EY119/2,EY119)</f>
        <v>82.5</v>
      </c>
      <c r="FK119" s="217"/>
      <c r="FL119" s="217"/>
      <c r="FM119" s="217"/>
      <c r="FN119" s="217"/>
      <c r="FO119" s="217"/>
      <c r="FP119" s="217"/>
      <c r="FR119" s="1184">
        <f t="shared" ref="FR119" si="2928">(((J119/30/8)*1.5)*(U119+Y119+AC119))-(BD119+BM119+BV119)</f>
        <v>0</v>
      </c>
      <c r="FS119" s="1184">
        <f t="shared" ref="FS119" si="2929">(((J119/30/8)*2)*(W119+AA119+AE119))-(BF119+BO119+BX119)</f>
        <v>0</v>
      </c>
      <c r="FT119" s="1185">
        <f t="shared" ref="FT119" si="2930">(SUM(BA119:CJ119))-(SUM(EF119:EN119))</f>
        <v>0</v>
      </c>
      <c r="FU119" s="1184">
        <f t="shared" ref="FU119" si="2931">(J119/30*M119)-(EF119)</f>
        <v>0</v>
      </c>
      <c r="FV119" s="1186">
        <f t="shared" ref="FV119" si="2932">(SUM(EP119:EY119))-((SUM(FA119:FJ119))*$FV$5)</f>
        <v>-326</v>
      </c>
    </row>
    <row r="120" spans="1:185" s="216" customFormat="1" ht="15" customHeight="1" outlineLevel="1">
      <c r="A120" s="1005" t="str">
        <f t="shared" si="2770"/>
        <v>JUNIO  2026 2da QUINCENA</v>
      </c>
      <c r="B120" s="1005">
        <f t="shared" si="2771"/>
        <v>2026</v>
      </c>
      <c r="C120" s="1006" t="str">
        <f t="shared" si="1564"/>
        <v>JUNIO  2026 2da QUINCENA2026</v>
      </c>
      <c r="D120" s="235"/>
      <c r="E120" s="235">
        <v>304030</v>
      </c>
      <c r="F120" s="805"/>
      <c r="G120" s="723" t="s">
        <v>652</v>
      </c>
      <c r="H120" s="200"/>
      <c r="I120" s="201"/>
      <c r="J120" s="202"/>
      <c r="K120" s="202"/>
      <c r="L120" s="202"/>
      <c r="M120" s="203"/>
      <c r="N120" s="237"/>
      <c r="O120" s="204"/>
      <c r="P120" s="204"/>
      <c r="Q120" s="204"/>
      <c r="R120" s="204"/>
      <c r="S120" s="204"/>
      <c r="T120" s="701"/>
      <c r="U120" s="238"/>
      <c r="V120" s="203"/>
      <c r="W120" s="265"/>
      <c r="X120" s="203"/>
      <c r="Y120" s="207"/>
      <c r="Z120" s="239"/>
      <c r="AA120" s="207"/>
      <c r="AB120" s="203"/>
      <c r="AC120" s="207"/>
      <c r="AD120" s="203"/>
      <c r="AE120" s="208"/>
      <c r="AF120" s="203"/>
      <c r="AG120" s="208"/>
      <c r="AH120" s="203"/>
      <c r="AI120" s="208"/>
      <c r="AJ120" s="203"/>
      <c r="AK120" s="203"/>
      <c r="AL120" s="203"/>
      <c r="AM120" s="208"/>
      <c r="AN120" s="203"/>
      <c r="AO120" s="202"/>
      <c r="AP120" s="202"/>
      <c r="AQ120" s="202"/>
      <c r="AR120" s="202"/>
      <c r="AS120" s="202"/>
      <c r="AT120" s="202"/>
      <c r="AU120" s="202"/>
      <c r="AV120" s="202"/>
      <c r="AW120" s="202"/>
      <c r="AX120" s="202"/>
      <c r="AY120" s="202"/>
      <c r="AZ120" s="240"/>
      <c r="BA120" s="203"/>
      <c r="BB120" s="787"/>
      <c r="BC120" s="203"/>
      <c r="BD120" s="203"/>
      <c r="BE120" s="203"/>
      <c r="BF120" s="203"/>
      <c r="BG120" s="203"/>
      <c r="BH120" s="203"/>
      <c r="BI120" s="203"/>
      <c r="BJ120" s="203"/>
      <c r="BK120" s="203"/>
      <c r="BL120" s="203"/>
      <c r="BM120" s="203"/>
      <c r="BN120" s="203"/>
      <c r="BO120" s="203"/>
      <c r="BP120" s="203"/>
      <c r="BQ120" s="203"/>
      <c r="BR120" s="202"/>
      <c r="BS120" s="203"/>
      <c r="BT120" s="203"/>
      <c r="BU120" s="203"/>
      <c r="BV120" s="203"/>
      <c r="BW120" s="203"/>
      <c r="BX120" s="203"/>
      <c r="BY120" s="203"/>
      <c r="BZ120" s="203"/>
      <c r="CA120" s="203"/>
      <c r="CB120" s="241"/>
      <c r="CC120" s="242"/>
      <c r="CD120" s="242"/>
      <c r="CE120" s="242"/>
      <c r="CF120" s="242"/>
      <c r="CG120" s="242"/>
      <c r="CH120" s="242"/>
      <c r="CI120" s="242"/>
      <c r="CJ120" s="242"/>
      <c r="CK120" s="242"/>
      <c r="CL120" s="242"/>
      <c r="CM120" s="242"/>
      <c r="CN120" s="242"/>
      <c r="CO120" s="242"/>
      <c r="CP120" s="242"/>
      <c r="CQ120" s="242"/>
      <c r="CR120" s="242"/>
      <c r="CS120" s="243"/>
      <c r="CU120" s="201"/>
      <c r="CV120" s="203"/>
      <c r="CW120" s="203"/>
      <c r="CX120" s="203"/>
      <c r="CY120" s="203"/>
      <c r="CZ120" s="203"/>
      <c r="DA120" s="203"/>
      <c r="DB120" s="203"/>
      <c r="DC120" s="203"/>
      <c r="DD120" s="203"/>
      <c r="DE120" s="203"/>
      <c r="DF120" s="203"/>
      <c r="DG120" s="203"/>
      <c r="DH120" s="203"/>
      <c r="DI120" s="203"/>
      <c r="DJ120" s="203"/>
      <c r="DK120" s="203"/>
      <c r="DL120" s="203"/>
      <c r="DM120" s="203"/>
      <c r="DN120" s="203"/>
      <c r="DO120" s="203"/>
      <c r="DP120" s="203"/>
      <c r="DQ120" s="203"/>
      <c r="DR120" s="203"/>
      <c r="DS120" s="203"/>
      <c r="DT120" s="203"/>
      <c r="DU120" s="203"/>
      <c r="DV120" s="203"/>
      <c r="DW120" s="241"/>
      <c r="DX120" s="242"/>
      <c r="DY120" s="242"/>
      <c r="DZ120" s="242"/>
      <c r="EA120" s="242"/>
      <c r="EB120" s="242"/>
      <c r="EC120" s="242"/>
      <c r="ED120" s="242"/>
      <c r="EE120" s="242"/>
      <c r="EF120" s="242"/>
      <c r="EG120" s="242"/>
      <c r="EH120" s="242"/>
      <c r="EI120" s="242"/>
      <c r="EJ120" s="242"/>
      <c r="EK120" s="242"/>
      <c r="EL120" s="242"/>
      <c r="EM120" s="242"/>
      <c r="EN120" s="243"/>
      <c r="EP120" s="201"/>
      <c r="EQ120" s="201"/>
      <c r="ER120" s="201"/>
      <c r="ES120" s="786"/>
      <c r="ET120" s="201"/>
      <c r="EU120" s="201"/>
      <c r="EV120" s="200"/>
      <c r="EW120" s="201"/>
      <c r="EX120" s="201"/>
      <c r="EY120" s="201"/>
      <c r="EZ120" s="820"/>
      <c r="FA120" s="207"/>
      <c r="FB120" s="207"/>
      <c r="FC120" s="207"/>
      <c r="FD120" s="207"/>
      <c r="FE120" s="207"/>
      <c r="FF120" s="207"/>
      <c r="FG120" s="207"/>
      <c r="FH120" s="207"/>
      <c r="FI120" s="207"/>
      <c r="FJ120" s="207"/>
      <c r="FK120" s="217"/>
      <c r="FL120" s="217"/>
      <c r="FM120" s="217"/>
      <c r="FN120" s="217"/>
      <c r="FO120" s="217"/>
      <c r="FP120" s="217"/>
    </row>
    <row r="121" spans="1:185" s="216" customFormat="1" ht="15" customHeight="1" outlineLevel="1">
      <c r="A121" s="1005" t="str">
        <f t="shared" si="2770"/>
        <v>JUNIO  2026 2da QUINCENA</v>
      </c>
      <c r="B121" s="1005">
        <f t="shared" si="2771"/>
        <v>2026</v>
      </c>
      <c r="C121" s="1006" t="str">
        <f t="shared" si="1564"/>
        <v>JUNIO  2026 2da QUINCENA2026</v>
      </c>
      <c r="D121" s="235" t="s">
        <v>650</v>
      </c>
      <c r="E121" s="235">
        <v>304030</v>
      </c>
      <c r="F121" s="268">
        <v>43</v>
      </c>
      <c r="G121" s="199" t="s">
        <v>671</v>
      </c>
      <c r="H121" s="200" t="s">
        <v>614</v>
      </c>
      <c r="I121" s="200" t="s">
        <v>11</v>
      </c>
      <c r="J121" s="203">
        <v>5000</v>
      </c>
      <c r="K121" s="836">
        <v>1100</v>
      </c>
      <c r="L121" s="872">
        <f>+J121+K121</f>
        <v>6100</v>
      </c>
      <c r="M121" s="203">
        <v>30</v>
      </c>
      <c r="N121" s="270">
        <v>0.4</v>
      </c>
      <c r="O121" s="204">
        <v>0.45</v>
      </c>
      <c r="P121" s="270">
        <v>0.15</v>
      </c>
      <c r="Q121" s="204">
        <v>0</v>
      </c>
      <c r="R121" s="204">
        <v>0</v>
      </c>
      <c r="S121" s="204">
        <f>+N121+O121+P121+Q121+R121</f>
        <v>1</v>
      </c>
      <c r="T121" s="813"/>
      <c r="U121" s="238">
        <v>5</v>
      </c>
      <c r="V121" s="203">
        <f t="shared" ref="V121:V123" si="2933">($J121/30/8*1.5)*U121</f>
        <v>156.25</v>
      </c>
      <c r="W121" s="265"/>
      <c r="X121" s="203">
        <f t="shared" ref="X121:X123" si="2934">($J121/30/8*2)*W121</f>
        <v>0</v>
      </c>
      <c r="Y121" s="207">
        <v>47</v>
      </c>
      <c r="Z121" s="239">
        <f t="shared" ref="Z121:Z123" si="2935">($J121/30/8*1.5)*Y121</f>
        <v>1468.75</v>
      </c>
      <c r="AA121" s="207"/>
      <c r="AB121" s="203">
        <f t="shared" ref="AB121:AB123" si="2936">($J121/30/8*2)*AA121</f>
        <v>0</v>
      </c>
      <c r="AC121" s="207"/>
      <c r="AD121" s="203">
        <f t="shared" ref="AD121:AD123" si="2937">(($J121/30/8)*1.5)*AC121</f>
        <v>0</v>
      </c>
      <c r="AE121" s="208"/>
      <c r="AF121" s="203">
        <f t="shared" ref="AF121:AF123" si="2938">(($J121/30/8)*2)*AE121</f>
        <v>0</v>
      </c>
      <c r="AG121" s="208"/>
      <c r="AH121" s="203">
        <f t="shared" ref="AH121:AH123" si="2939">(($J121/30/8)*1.5)*AG121</f>
        <v>0</v>
      </c>
      <c r="AI121" s="208"/>
      <c r="AJ121" s="203">
        <f t="shared" ref="AJ121:AJ123" si="2940">(($J121/30/8)*2)*AI121</f>
        <v>0</v>
      </c>
      <c r="AK121" s="203"/>
      <c r="AL121" s="203">
        <f t="shared" ref="AL121:AL123" si="2941">(($J121/30/8)*1.5)*AK121</f>
        <v>0</v>
      </c>
      <c r="AM121" s="208"/>
      <c r="AN121" s="203">
        <f t="shared" ref="AN121:AN123" si="2942">(($J121/30/8)*2)*AM121</f>
        <v>0</v>
      </c>
      <c r="AO121" s="202"/>
      <c r="AP121" s="202"/>
      <c r="AQ121" s="202"/>
      <c r="AR121" s="202"/>
      <c r="AS121" s="202"/>
      <c r="AT121" s="202"/>
      <c r="AU121" s="202"/>
      <c r="AV121" s="202"/>
      <c r="AW121" s="202"/>
      <c r="AX121" s="202"/>
      <c r="AY121" s="202"/>
      <c r="AZ121" s="240"/>
      <c r="BA121" s="203">
        <f t="shared" ref="BA121:BA123" si="2943">((J121/30)*M121)*$N121</f>
        <v>2000</v>
      </c>
      <c r="BB121" s="787">
        <f t="shared" ref="BB121:BB125" si="2944">((K121/30)*M121)*$N121</f>
        <v>440</v>
      </c>
      <c r="BC121" s="203">
        <f t="shared" ref="BC121:BC125" si="2945">U121</f>
        <v>5</v>
      </c>
      <c r="BD121" s="203">
        <f t="shared" ref="BD121:BD123" si="2946">V121</f>
        <v>156.25</v>
      </c>
      <c r="BE121" s="203">
        <f t="shared" ref="BE121:BE123" si="2947">W121</f>
        <v>0</v>
      </c>
      <c r="BF121" s="203">
        <f t="shared" ref="BF121:BF123" si="2948">X121</f>
        <v>0</v>
      </c>
      <c r="BG121" s="203">
        <f t="shared" ref="BG121:BG123" si="2949">AO121+AT121</f>
        <v>0</v>
      </c>
      <c r="BH121" s="203">
        <f t="shared" si="2790"/>
        <v>273.19687500000003</v>
      </c>
      <c r="BI121" s="203">
        <f t="shared" ref="BI121:BI123" si="2950">SUM(BA121:BH121)-BC121-BE121</f>
        <v>2869.4468750000001</v>
      </c>
      <c r="BJ121" s="203">
        <f t="shared" si="2792"/>
        <v>2250</v>
      </c>
      <c r="BK121" s="203">
        <f t="shared" ref="BK121:BK124" si="2951">(($K121/30)*$M121)*$O121</f>
        <v>495</v>
      </c>
      <c r="BL121" s="203">
        <f t="shared" ref="BL121:BL123" si="2952">Y121</f>
        <v>47</v>
      </c>
      <c r="BM121" s="203">
        <f t="shared" ref="BM121:BM123" si="2953">Z121</f>
        <v>1468.75</v>
      </c>
      <c r="BN121" s="203">
        <f t="shared" ref="BN121:BN123" si="2954">AA121</f>
        <v>0</v>
      </c>
      <c r="BO121" s="203">
        <f t="shared" ref="BO121:BO123" si="2955">AB121</f>
        <v>0</v>
      </c>
      <c r="BP121" s="203">
        <f t="shared" ref="BP121:BP125" si="2956">AP121+AU121</f>
        <v>0</v>
      </c>
      <c r="BQ121" s="203">
        <f t="shared" si="2799"/>
        <v>471.16562500000003</v>
      </c>
      <c r="BR121" s="202">
        <f t="shared" ref="BR121:BR125" si="2957">SUM(BJ121:BQ121)-BL121-BN121</f>
        <v>4684.9156249999996</v>
      </c>
      <c r="BS121" s="203">
        <f t="shared" si="2801"/>
        <v>750</v>
      </c>
      <c r="BT121" s="203">
        <f t="shared" ref="BT121:BT124" si="2958">(($K121/30)*$M121)*$P121</f>
        <v>165</v>
      </c>
      <c r="BU121" s="203">
        <f t="shared" ref="BU121:BU123" si="2959">AC121</f>
        <v>0</v>
      </c>
      <c r="BV121" s="203">
        <f t="shared" ref="BV121:BV123" si="2960">AD121</f>
        <v>0</v>
      </c>
      <c r="BW121" s="203">
        <f t="shared" ref="BW121:BW123" si="2961">AE121</f>
        <v>0</v>
      </c>
      <c r="BX121" s="203">
        <f t="shared" ref="BX121:BX123" si="2962">AF121</f>
        <v>0</v>
      </c>
      <c r="BY121" s="203">
        <f t="shared" ref="BY121:BY123" si="2963">AQ121+AV121</f>
        <v>0</v>
      </c>
      <c r="BZ121" s="203">
        <f t="shared" si="2807"/>
        <v>95.025000000000006</v>
      </c>
      <c r="CA121" s="203">
        <f t="shared" ref="CA121:CA123" si="2964">SUM(BS121:BZ121)-BU121-BW121</f>
        <v>1010.025</v>
      </c>
      <c r="CB121" s="241">
        <f t="shared" si="2809"/>
        <v>0</v>
      </c>
      <c r="CC121" s="242">
        <f t="shared" si="2810"/>
        <v>0</v>
      </c>
      <c r="CD121" s="242"/>
      <c r="CE121" s="242">
        <f t="shared" ref="CE121:CE123" si="2965">AH121</f>
        <v>0</v>
      </c>
      <c r="CF121" s="242"/>
      <c r="CG121" s="242">
        <f t="shared" ref="CG121:CG123" si="2966">AJ121</f>
        <v>0</v>
      </c>
      <c r="CH121" s="242"/>
      <c r="CI121" s="703">
        <f t="shared" si="2812"/>
        <v>0</v>
      </c>
      <c r="CJ121" s="242">
        <f t="shared" ref="CJ121" si="2967">SUM(CB121:CI121)</f>
        <v>0</v>
      </c>
      <c r="CK121" s="242">
        <f t="shared" ref="CK121:CK123" si="2968">(($J121/30)*$M121)*R121</f>
        <v>0</v>
      </c>
      <c r="CL121" s="242">
        <f t="shared" si="2814"/>
        <v>0</v>
      </c>
      <c r="CM121" s="989">
        <f t="shared" ref="CM121:CM125" si="2969">+AK121</f>
        <v>0</v>
      </c>
      <c r="CN121" s="242">
        <f t="shared" ref="CN121:CN123" si="2970">AL121</f>
        <v>0</v>
      </c>
      <c r="CO121" s="242"/>
      <c r="CP121" s="242">
        <f t="shared" ref="CP121:CP123" si="2971">AN121</f>
        <v>0</v>
      </c>
      <c r="CQ121" s="242"/>
      <c r="CR121" s="242">
        <f t="shared" ref="CR121:CR123" si="2972">(CK121+CN121+CP121)*0.1267</f>
        <v>0</v>
      </c>
      <c r="CS121" s="990">
        <f t="shared" ref="CS121:CS125" si="2973">SUM(CK121:CR121)-CM121-CO121</f>
        <v>0</v>
      </c>
      <c r="CU121" s="201" t="s">
        <v>11</v>
      </c>
      <c r="CV121" s="203">
        <f t="shared" si="2820"/>
        <v>0</v>
      </c>
      <c r="CW121" s="203">
        <f t="shared" si="2821"/>
        <v>0</v>
      </c>
      <c r="CX121" s="203">
        <f t="shared" si="2822"/>
        <v>0</v>
      </c>
      <c r="CY121" s="203">
        <f t="shared" si="2823"/>
        <v>0</v>
      </c>
      <c r="CZ121" s="203">
        <f t="shared" si="2824"/>
        <v>0</v>
      </c>
      <c r="DA121" s="203">
        <f t="shared" si="2825"/>
        <v>0</v>
      </c>
      <c r="DB121" s="203">
        <f t="shared" si="2826"/>
        <v>0</v>
      </c>
      <c r="DC121" s="203">
        <f t="shared" ref="DC121:DC125" si="2974">IF($CU121="PROQUIMA",$BH121+$BQ121+$BZ121+$CI121+CR121,0)</f>
        <v>0</v>
      </c>
      <c r="DD121" s="203">
        <f t="shared" ref="DD121:DD125" si="2975">SUM(CV121:DC121)-CX121-CZ121</f>
        <v>0</v>
      </c>
      <c r="DE121" s="203">
        <f t="shared" si="2829"/>
        <v>0</v>
      </c>
      <c r="DF121" s="203">
        <f t="shared" si="2830"/>
        <v>0</v>
      </c>
      <c r="DG121" s="239">
        <f t="shared" si="2831"/>
        <v>0</v>
      </c>
      <c r="DH121" s="239">
        <f t="shared" si="2832"/>
        <v>0</v>
      </c>
      <c r="DI121" s="239">
        <f t="shared" si="2833"/>
        <v>0</v>
      </c>
      <c r="DJ121" s="203">
        <f t="shared" si="2834"/>
        <v>0</v>
      </c>
      <c r="DK121" s="203">
        <f t="shared" si="2835"/>
        <v>0</v>
      </c>
      <c r="DL121" s="203">
        <f t="shared" si="2836"/>
        <v>0</v>
      </c>
      <c r="DM121" s="203">
        <f t="shared" ref="DM121:DM125" si="2976">SUM(DE121:DL121)-DG121-DI121</f>
        <v>0</v>
      </c>
      <c r="DN121" s="210">
        <f t="shared" si="2838"/>
        <v>0</v>
      </c>
      <c r="DO121" s="210">
        <f t="shared" si="2839"/>
        <v>0</v>
      </c>
      <c r="DP121" s="210">
        <f t="shared" si="2840"/>
        <v>0</v>
      </c>
      <c r="DQ121" s="210">
        <f t="shared" si="2841"/>
        <v>0</v>
      </c>
      <c r="DR121" s="210">
        <f t="shared" si="2842"/>
        <v>0</v>
      </c>
      <c r="DS121" s="210">
        <f t="shared" si="2843"/>
        <v>0</v>
      </c>
      <c r="DT121" s="210">
        <f t="shared" si="2844"/>
        <v>0</v>
      </c>
      <c r="DU121" s="210">
        <f t="shared" si="2845"/>
        <v>0</v>
      </c>
      <c r="DV121" s="210">
        <f t="shared" ref="DV121:DV125" si="2977">SUM(DN121:DU121)-DP121-DR121</f>
        <v>0</v>
      </c>
      <c r="DW121" s="241">
        <f>IF($CU121="CLEARTEC",$BA121+$BJ121+$BS121+$CB121+$CK121,0)</f>
        <v>0</v>
      </c>
      <c r="DX121" s="241">
        <f t="shared" si="2909"/>
        <v>0</v>
      </c>
      <c r="DY121" s="241">
        <f t="shared" si="2909"/>
        <v>0</v>
      </c>
      <c r="DZ121" s="241">
        <f t="shared" si="2909"/>
        <v>0</v>
      </c>
      <c r="EA121" s="241">
        <f t="shared" si="2909"/>
        <v>0</v>
      </c>
      <c r="EB121" s="241">
        <f t="shared" si="2909"/>
        <v>0</v>
      </c>
      <c r="EC121" s="241">
        <f t="shared" si="2909"/>
        <v>0</v>
      </c>
      <c r="ED121" s="241">
        <f t="shared" si="2909"/>
        <v>0</v>
      </c>
      <c r="EE121" s="242">
        <f t="shared" ref="EE121:EE123" si="2978">SUM(DW121:ED121)-DY121-EA121</f>
        <v>0</v>
      </c>
      <c r="EF121" s="203">
        <f t="shared" ref="EF121:EF125" si="2979">IF(CU121="ECONACIONAL",$BA121+$BJ121+$BS121+$CB121+$CK121)</f>
        <v>5000</v>
      </c>
      <c r="EG121" s="242">
        <f t="shared" si="2850"/>
        <v>1100</v>
      </c>
      <c r="EH121" s="203">
        <f t="shared" si="2851"/>
        <v>52</v>
      </c>
      <c r="EI121" s="203">
        <f t="shared" si="2852"/>
        <v>1625</v>
      </c>
      <c r="EJ121" s="242">
        <f t="shared" si="2853"/>
        <v>0</v>
      </c>
      <c r="EK121" s="203">
        <f t="shared" ref="EK121:EK125" si="2980">IF(CU121="ECONACIONAL",$BF121+$BO121+$BX121+$CG121+$CP121)</f>
        <v>0</v>
      </c>
      <c r="EL121" s="203">
        <f t="shared" ref="EL121:EL125" si="2981">IF(CU121="ECONACIONAL",$BG121+$BP121+$BY121+$CH121+$CQ121)</f>
        <v>0</v>
      </c>
      <c r="EM121" s="203">
        <f t="shared" ref="EM121:EM125" si="2982">IF(CU121="ECONACIONAL",BH121+BQ121+BZ121+CI121+CR121)</f>
        <v>839.38750000000005</v>
      </c>
      <c r="EN121" s="203">
        <f t="shared" ref="EN121:EN125" si="2983">SUM(EF121:EM121)-EH121-EJ121</f>
        <v>8564.3875000000007</v>
      </c>
      <c r="EP121" s="201">
        <v>170</v>
      </c>
      <c r="EQ121" s="201"/>
      <c r="ER121" s="201"/>
      <c r="ES121" s="201"/>
      <c r="ET121" s="201"/>
      <c r="EU121" s="201"/>
      <c r="EV121" s="201"/>
      <c r="EW121" s="200"/>
      <c r="EX121" s="201"/>
      <c r="EY121" s="201">
        <f t="shared" si="2858"/>
        <v>0</v>
      </c>
      <c r="EZ121" s="820"/>
      <c r="FA121" s="207">
        <f t="shared" ref="FA121:FA123" si="2984">IF($M121&lt;=15,EP121/2,EP121)</f>
        <v>170</v>
      </c>
      <c r="FB121" s="207">
        <f t="shared" ref="FB121:FB123" si="2985">IF($M121&lt;=15,EQ121/2,EQ121)</f>
        <v>0</v>
      </c>
      <c r="FC121" s="207">
        <f t="shared" ref="FC121:FC123" si="2986">IF($M121&lt;=15,ER121/2,ER121)</f>
        <v>0</v>
      </c>
      <c r="FD121" s="207">
        <f t="shared" ref="FD121:FD123" si="2987">IF($M121&lt;=15,ES121/2,ES121)</f>
        <v>0</v>
      </c>
      <c r="FE121" s="207">
        <f t="shared" ref="FE121:FE123" si="2988">IF($M121&lt;=15,ET121/2,ET121)</f>
        <v>0</v>
      </c>
      <c r="FF121" s="207">
        <f t="shared" ref="FF121:FF123" si="2989">IF($M121&lt;=15,EU121/2,EU121)</f>
        <v>0</v>
      </c>
      <c r="FG121" s="207">
        <f t="shared" ref="FG121:FG123" si="2990">IF($M121&lt;=15,EV121/2,EV121)</f>
        <v>0</v>
      </c>
      <c r="FH121" s="207">
        <f t="shared" ref="FH121:FH123" si="2991">IF($M121&lt;=15,EW121/2,EW121)</f>
        <v>0</v>
      </c>
      <c r="FI121" s="207">
        <f t="shared" ref="FI121:FI123" si="2992">IF($M121&lt;=15,EX121/2,EX121)</f>
        <v>0</v>
      </c>
      <c r="FJ121" s="207">
        <f t="shared" ref="FJ121:FJ125" si="2993">IF($M121&lt;=15,EY121/2,EY121)</f>
        <v>0</v>
      </c>
      <c r="FK121" s="217"/>
      <c r="FL121" s="217"/>
      <c r="FM121" s="217"/>
      <c r="FN121" s="217"/>
      <c r="FO121" s="217"/>
      <c r="FP121" s="217"/>
      <c r="FR121" s="1184">
        <f t="shared" ref="FR121:FR125" si="2994">(((J121/30/8)*1.5)*(U121+Y121+AC121))-(BD121+BM121+BV121)</f>
        <v>0</v>
      </c>
      <c r="FS121" s="1184">
        <f t="shared" ref="FS121:FS125" si="2995">(((J121/30/8)*2)*(W121+AA121+AE121))-(BF121+BO121+BX121)</f>
        <v>0</v>
      </c>
      <c r="FT121" s="1185">
        <f t="shared" ref="FT121:FT125" si="2996">(SUM(BA121:CJ121))-(SUM(EF121:EN121))</f>
        <v>0</v>
      </c>
      <c r="FU121" s="1184">
        <f t="shared" ref="FU121:FU125" si="2997">(J121/30*M121)-(EF121)</f>
        <v>0</v>
      </c>
      <c r="FV121" s="1186">
        <f t="shared" ref="FV121:FV125" si="2998">(SUM(EP121:EY121))-((SUM(FA121:FJ121))*$FV$5)</f>
        <v>-170</v>
      </c>
    </row>
    <row r="122" spans="1:185" s="216" customFormat="1" ht="15" customHeight="1" outlineLevel="1">
      <c r="A122" s="1005"/>
      <c r="B122" s="1005"/>
      <c r="C122" s="1006"/>
      <c r="D122" s="235"/>
      <c r="E122" s="235">
        <v>304030</v>
      </c>
      <c r="F122" s="268"/>
      <c r="G122" s="199" t="s">
        <v>738</v>
      </c>
      <c r="H122" s="200" t="s">
        <v>336</v>
      </c>
      <c r="I122" s="200" t="s">
        <v>11</v>
      </c>
      <c r="J122" s="203">
        <v>4387.55</v>
      </c>
      <c r="K122" s="836">
        <v>1112.45</v>
      </c>
      <c r="L122" s="872">
        <f>+J122+K122</f>
        <v>5500</v>
      </c>
      <c r="M122" s="203">
        <v>21</v>
      </c>
      <c r="N122" s="270">
        <v>0.5</v>
      </c>
      <c r="O122" s="204">
        <v>0.3</v>
      </c>
      <c r="P122" s="270">
        <v>0.2</v>
      </c>
      <c r="Q122" s="204">
        <v>0</v>
      </c>
      <c r="R122" s="204">
        <v>0</v>
      </c>
      <c r="S122" s="204">
        <f>+N122+O122+P122+Q122+R122</f>
        <v>1</v>
      </c>
      <c r="T122" s="813" t="s">
        <v>777</v>
      </c>
      <c r="U122" s="238">
        <v>14</v>
      </c>
      <c r="V122" s="203">
        <f t="shared" ref="V122" si="2999">($J122/30/8*1.5)*U122</f>
        <v>383.91062499999998</v>
      </c>
      <c r="W122" s="265"/>
      <c r="X122" s="203">
        <f t="shared" ref="X122" si="3000">($J122/30/8*2)*W122</f>
        <v>0</v>
      </c>
      <c r="Y122" s="207">
        <v>14</v>
      </c>
      <c r="Z122" s="239">
        <f t="shared" ref="Z122" si="3001">($J122/30/8*1.5)*Y122</f>
        <v>383.91062499999998</v>
      </c>
      <c r="AA122" s="207"/>
      <c r="AB122" s="203">
        <f t="shared" ref="AB122" si="3002">($J122/30/8*2)*AA122</f>
        <v>0</v>
      </c>
      <c r="AC122" s="207"/>
      <c r="AD122" s="203">
        <f t="shared" ref="AD122" si="3003">(($J122/30/8)*1.5)*AC122</f>
        <v>0</v>
      </c>
      <c r="AE122" s="208"/>
      <c r="AF122" s="203">
        <f t="shared" ref="AF122" si="3004">(($J122/30/8)*2)*AE122</f>
        <v>0</v>
      </c>
      <c r="AG122" s="208"/>
      <c r="AH122" s="203">
        <f t="shared" ref="AH122" si="3005">(($J122/30/8)*1.5)*AG122</f>
        <v>0</v>
      </c>
      <c r="AI122" s="208"/>
      <c r="AJ122" s="203">
        <f t="shared" ref="AJ122" si="3006">(($J122/30/8)*2)*AI122</f>
        <v>0</v>
      </c>
      <c r="AK122" s="203"/>
      <c r="AL122" s="203">
        <f t="shared" ref="AL122" si="3007">(($J122/30/8)*1.5)*AK122</f>
        <v>0</v>
      </c>
      <c r="AM122" s="208"/>
      <c r="AN122" s="203">
        <f t="shared" ref="AN122" si="3008">(($J122/30/8)*2)*AM122</f>
        <v>0</v>
      </c>
      <c r="AO122" s="202"/>
      <c r="AP122" s="202"/>
      <c r="AQ122" s="202"/>
      <c r="AR122" s="202"/>
      <c r="AS122" s="202"/>
      <c r="AT122" s="202"/>
      <c r="AU122" s="202"/>
      <c r="AV122" s="202"/>
      <c r="AW122" s="202"/>
      <c r="AX122" s="202"/>
      <c r="AY122" s="202"/>
      <c r="AZ122" s="240"/>
      <c r="BA122" s="203">
        <f t="shared" ref="BA122" si="3009">((J122/30)*M122)*$N122</f>
        <v>1535.6424999999999</v>
      </c>
      <c r="BB122" s="787">
        <f>((K122/30)*M122)*$N122</f>
        <v>389.35750000000002</v>
      </c>
      <c r="BC122" s="203">
        <f t="shared" ref="BC122" si="3010">U122</f>
        <v>14</v>
      </c>
      <c r="BD122" s="203">
        <f t="shared" ref="BD122" si="3011">V122</f>
        <v>383.91062499999998</v>
      </c>
      <c r="BE122" s="203">
        <f t="shared" ref="BE122" si="3012">W122</f>
        <v>0</v>
      </c>
      <c r="BF122" s="203">
        <f t="shared" ref="BF122" si="3013">X122</f>
        <v>0</v>
      </c>
      <c r="BG122" s="203">
        <f t="shared" ref="BG122" si="3014">AO122+AT122</f>
        <v>0</v>
      </c>
      <c r="BH122" s="203">
        <f t="shared" si="2790"/>
        <v>243.20738093750001</v>
      </c>
      <c r="BI122" s="203">
        <f t="shared" ref="BI122" si="3015">SUM(BA122:BH122)-BC122-BE122</f>
        <v>2552.1180059375001</v>
      </c>
      <c r="BJ122" s="203">
        <f t="shared" si="2792"/>
        <v>921.38549999999987</v>
      </c>
      <c r="BK122" s="203">
        <f>(($K122/30)*$M122)*$O122</f>
        <v>233.61449999999999</v>
      </c>
      <c r="BL122" s="203">
        <f t="shared" ref="BL122" si="3016">Y122</f>
        <v>14</v>
      </c>
      <c r="BM122" s="203">
        <f t="shared" ref="BM122" si="3017">Z122</f>
        <v>383.91062499999998</v>
      </c>
      <c r="BN122" s="203">
        <f t="shared" ref="BN122" si="3018">AA122</f>
        <v>0</v>
      </c>
      <c r="BO122" s="203">
        <f t="shared" ref="BO122" si="3019">AB122</f>
        <v>0</v>
      </c>
      <c r="BP122" s="203">
        <f t="shared" ref="BP122" si="3020">AP122+AU122</f>
        <v>0</v>
      </c>
      <c r="BQ122" s="203">
        <f t="shared" si="2799"/>
        <v>165.38101903749998</v>
      </c>
      <c r="BR122" s="202">
        <f t="shared" ref="BR122" si="3021">SUM(BJ122:BQ122)-BL122-BN122</f>
        <v>1704.2916440374997</v>
      </c>
      <c r="BS122" s="203">
        <f t="shared" si="2801"/>
        <v>614.25700000000006</v>
      </c>
      <c r="BT122" s="203">
        <f t="shared" si="2958"/>
        <v>155.74300000000002</v>
      </c>
      <c r="BU122" s="203">
        <f t="shared" ref="BU122" si="3022">AC122</f>
        <v>0</v>
      </c>
      <c r="BV122" s="203">
        <f t="shared" ref="BV122" si="3023">AD122</f>
        <v>0</v>
      </c>
      <c r="BW122" s="203">
        <f t="shared" ref="BW122" si="3024">AE122</f>
        <v>0</v>
      </c>
      <c r="BX122" s="203">
        <f t="shared" ref="BX122" si="3025">AF122</f>
        <v>0</v>
      </c>
      <c r="BY122" s="203">
        <f t="shared" ref="BY122" si="3026">AQ122+AV122</f>
        <v>0</v>
      </c>
      <c r="BZ122" s="203">
        <f t="shared" si="2807"/>
        <v>77.826361900000009</v>
      </c>
      <c r="CA122" s="203">
        <f t="shared" ref="CA122" si="3027">SUM(BS122:BZ122)-BU122-BW122</f>
        <v>847.82636190000017</v>
      </c>
      <c r="CB122" s="241">
        <f t="shared" si="2809"/>
        <v>0</v>
      </c>
      <c r="CC122" s="242">
        <f t="shared" si="2810"/>
        <v>0</v>
      </c>
      <c r="CD122" s="242"/>
      <c r="CE122" s="242">
        <f t="shared" ref="CE122" si="3028">AH122</f>
        <v>0</v>
      </c>
      <c r="CF122" s="242"/>
      <c r="CG122" s="242">
        <f t="shared" ref="CG122" si="3029">AJ122</f>
        <v>0</v>
      </c>
      <c r="CH122" s="242"/>
      <c r="CI122" s="703">
        <f t="shared" si="2812"/>
        <v>0</v>
      </c>
      <c r="CJ122" s="242">
        <f t="shared" ref="CJ122" si="3030">SUM(CB122:CI122)</f>
        <v>0</v>
      </c>
      <c r="CK122" s="242">
        <f t="shared" ref="CK122" si="3031">(($J122/30)*$M122)*R122</f>
        <v>0</v>
      </c>
      <c r="CL122" s="242">
        <f t="shared" si="2814"/>
        <v>0</v>
      </c>
      <c r="CM122" s="989">
        <f t="shared" ref="CM122" si="3032">+AK122</f>
        <v>0</v>
      </c>
      <c r="CN122" s="242">
        <f t="shared" ref="CN122" si="3033">AL122</f>
        <v>0</v>
      </c>
      <c r="CO122" s="242"/>
      <c r="CP122" s="242">
        <f t="shared" ref="CP122" si="3034">AN122</f>
        <v>0</v>
      </c>
      <c r="CQ122" s="242"/>
      <c r="CR122" s="242">
        <f t="shared" ref="CR122" si="3035">(CK122+CN122+CP122)*0.1267</f>
        <v>0</v>
      </c>
      <c r="CS122" s="990">
        <f t="shared" ref="CS122" si="3036">SUM(CK122:CR122)-CM122-CO122</f>
        <v>0</v>
      </c>
      <c r="CU122" s="201" t="s">
        <v>11</v>
      </c>
      <c r="CV122" s="203">
        <f t="shared" si="2820"/>
        <v>0</v>
      </c>
      <c r="CW122" s="203">
        <f t="shared" si="2821"/>
        <v>0</v>
      </c>
      <c r="CX122" s="203">
        <f t="shared" si="2822"/>
        <v>0</v>
      </c>
      <c r="CY122" s="203">
        <f t="shared" si="2823"/>
        <v>0</v>
      </c>
      <c r="CZ122" s="203">
        <f t="shared" si="2824"/>
        <v>0</v>
      </c>
      <c r="DA122" s="203">
        <f t="shared" si="2825"/>
        <v>0</v>
      </c>
      <c r="DB122" s="203">
        <f t="shared" si="2826"/>
        <v>0</v>
      </c>
      <c r="DC122" s="203">
        <f t="shared" ref="DC122" si="3037">IF($CU122="PROQUIMA",$BH122+$BQ122+$BZ122+$CI122+CR122,0)</f>
        <v>0</v>
      </c>
      <c r="DD122" s="203">
        <f t="shared" ref="DD122" si="3038">SUM(CV122:DC122)-CX122-CZ122</f>
        <v>0</v>
      </c>
      <c r="DE122" s="203">
        <f t="shared" si="2829"/>
        <v>0</v>
      </c>
      <c r="DF122" s="203">
        <f t="shared" si="2830"/>
        <v>0</v>
      </c>
      <c r="DG122" s="239">
        <f t="shared" si="2831"/>
        <v>0</v>
      </c>
      <c r="DH122" s="239">
        <f t="shared" si="2832"/>
        <v>0</v>
      </c>
      <c r="DI122" s="239">
        <f t="shared" si="2833"/>
        <v>0</v>
      </c>
      <c r="DJ122" s="203">
        <f t="shared" si="2834"/>
        <v>0</v>
      </c>
      <c r="DK122" s="203">
        <f t="shared" si="2835"/>
        <v>0</v>
      </c>
      <c r="DL122" s="203">
        <f t="shared" si="2836"/>
        <v>0</v>
      </c>
      <c r="DM122" s="203">
        <f t="shared" ref="DM122" si="3039">SUM(DE122:DL122)-DG122-DI122</f>
        <v>0</v>
      </c>
      <c r="DN122" s="210">
        <f t="shared" si="2838"/>
        <v>0</v>
      </c>
      <c r="DO122" s="210">
        <f t="shared" si="2839"/>
        <v>0</v>
      </c>
      <c r="DP122" s="210">
        <f t="shared" si="2840"/>
        <v>0</v>
      </c>
      <c r="DQ122" s="210">
        <f t="shared" si="2841"/>
        <v>0</v>
      </c>
      <c r="DR122" s="210">
        <f t="shared" si="2842"/>
        <v>0</v>
      </c>
      <c r="DS122" s="210">
        <f t="shared" si="2843"/>
        <v>0</v>
      </c>
      <c r="DT122" s="210">
        <f t="shared" si="2844"/>
        <v>0</v>
      </c>
      <c r="DU122" s="210">
        <f t="shared" si="2845"/>
        <v>0</v>
      </c>
      <c r="DV122" s="210">
        <f t="shared" ref="DV122" si="3040">SUM(DN122:DU122)-DP122-DR122</f>
        <v>0</v>
      </c>
      <c r="DW122" s="241">
        <f>IF($CU122="CLEARTEC",$BA122+$BJ122+$BS122+$CB122+$CK122,0)</f>
        <v>0</v>
      </c>
      <c r="DX122" s="241">
        <f t="shared" si="2909"/>
        <v>0</v>
      </c>
      <c r="DY122" s="241">
        <f t="shared" si="2909"/>
        <v>0</v>
      </c>
      <c r="DZ122" s="241">
        <f t="shared" si="2909"/>
        <v>0</v>
      </c>
      <c r="EA122" s="241">
        <f t="shared" si="2909"/>
        <v>0</v>
      </c>
      <c r="EB122" s="241">
        <f t="shared" si="2909"/>
        <v>0</v>
      </c>
      <c r="EC122" s="241">
        <f t="shared" si="2909"/>
        <v>0</v>
      </c>
      <c r="ED122" s="241">
        <f t="shared" si="2909"/>
        <v>0</v>
      </c>
      <c r="EE122" s="242">
        <f t="shared" ref="EE122" si="3041">SUM(DW122:ED122)-DY122-EA122</f>
        <v>0</v>
      </c>
      <c r="EF122" s="203">
        <f t="shared" ref="EF122" si="3042">IF(CU122="ECONACIONAL",$BA122+$BJ122+$BS122+$CB122+$CK122)</f>
        <v>3071.2849999999999</v>
      </c>
      <c r="EG122" s="242">
        <f t="shared" si="2850"/>
        <v>778.71500000000003</v>
      </c>
      <c r="EH122" s="203">
        <f t="shared" ref="EH122" si="3043">IF(CU122="ECONACIONAL",$BC122+$BL122+$BU122+$CD122+$CM122)</f>
        <v>28</v>
      </c>
      <c r="EI122" s="203">
        <f t="shared" ref="EI122" si="3044">IF(CU122="ECONACIONAL",$BD122+$DH122+$DQ122+$DZ122+BM122+BV122+CE122+CN122)</f>
        <v>767.82124999999996</v>
      </c>
      <c r="EJ122" s="242">
        <f t="shared" si="2853"/>
        <v>0</v>
      </c>
      <c r="EK122" s="203">
        <f t="shared" ref="EK122" si="3045">IF(CU122="ECONACIONAL",$BF122+$BO122+$BX122+$CG122+$CP122)</f>
        <v>0</v>
      </c>
      <c r="EL122" s="203">
        <f t="shared" ref="EL122" si="3046">IF(CU122="ECONACIONAL",$BG122+$BP122+$BY122+$CH122+$CQ122)</f>
        <v>0</v>
      </c>
      <c r="EM122" s="203">
        <f t="shared" ref="EM122" si="3047">IF(CU122="ECONACIONAL",BH122+BQ122+BZ122+CI122+CR122)</f>
        <v>486.41476187500001</v>
      </c>
      <c r="EN122" s="203">
        <f t="shared" ref="EN122" si="3048">SUM(EF122:EM122)-EH122-EJ122</f>
        <v>5104.2360118750003</v>
      </c>
      <c r="EP122" s="201"/>
      <c r="EQ122" s="201"/>
      <c r="ER122" s="201"/>
      <c r="ES122" s="201"/>
      <c r="ET122" s="201"/>
      <c r="EU122" s="201"/>
      <c r="EV122" s="201"/>
      <c r="EW122" s="200"/>
      <c r="EX122" s="200"/>
      <c r="EY122" s="201">
        <f t="shared" ref="EY122" si="3049">+ET122+EU122+EV122</f>
        <v>0</v>
      </c>
      <c r="EZ122" s="820"/>
      <c r="FA122" s="207">
        <f t="shared" ref="FA122" si="3050">IF($M122&lt;=15,EP122/2,EP122)</f>
        <v>0</v>
      </c>
      <c r="FB122" s="207">
        <f t="shared" ref="FB122" si="3051">IF($M122&lt;=15,EQ122/2,EQ122)</f>
        <v>0</v>
      </c>
      <c r="FC122" s="207">
        <f t="shared" ref="FC122" si="3052">IF($M122&lt;=15,ER122/2,ER122)</f>
        <v>0</v>
      </c>
      <c r="FD122" s="207">
        <f t="shared" ref="FD122" si="3053">IF($M122&lt;=15,ES122/2,ES122)</f>
        <v>0</v>
      </c>
      <c r="FE122" s="207">
        <f t="shared" ref="FE122" si="3054">IF($M122&lt;=15,ET122/2,ET122)</f>
        <v>0</v>
      </c>
      <c r="FF122" s="207">
        <f t="shared" ref="FF122" si="3055">IF($M122&lt;=15,EU122/2,EU122)</f>
        <v>0</v>
      </c>
      <c r="FG122" s="207">
        <f t="shared" ref="FG122" si="3056">IF($M122&lt;=15,EV122/2,EV122)</f>
        <v>0</v>
      </c>
      <c r="FH122" s="207">
        <f t="shared" ref="FH122" si="3057">IF($M122&lt;=15,EW122/2,EW122)</f>
        <v>0</v>
      </c>
      <c r="FI122" s="207">
        <f t="shared" ref="FI122" si="3058">IF($M122&lt;=15,EX122/2,EX122)</f>
        <v>0</v>
      </c>
      <c r="FJ122" s="207">
        <f t="shared" ref="FJ122" si="3059">IF($M122&lt;=15,EY122/2,EY122)</f>
        <v>0</v>
      </c>
      <c r="FK122" s="217"/>
      <c r="FL122" s="217"/>
      <c r="FM122" s="217"/>
      <c r="FN122" s="217"/>
      <c r="FO122" s="217"/>
      <c r="FP122" s="217"/>
      <c r="FR122" s="1184">
        <f t="shared" ref="FR122" si="3060">(((J122/30/8)*1.5)*(U122+Y122+AC122))-(BD122+BM122+BV122)</f>
        <v>0</v>
      </c>
      <c r="FS122" s="1184">
        <f t="shared" ref="FS122" si="3061">(((J122/30/8)*2)*(W122+AA122+AE122))-(BF122+BO122+BX122)</f>
        <v>0</v>
      </c>
      <c r="FT122" s="1185">
        <f t="shared" ref="FT122" si="3062">(SUM(BA122:CJ122))-(SUM(EF122:EN122))</f>
        <v>0</v>
      </c>
      <c r="FU122" s="1184">
        <f t="shared" ref="FU122" si="3063">(J122/30*M122)-(EF122)</f>
        <v>0</v>
      </c>
      <c r="FV122" s="1186">
        <f t="shared" ref="FV122" si="3064">(SUM(EP122:EY122))-((SUM(FA122:FJ122))*$FV$5)</f>
        <v>0</v>
      </c>
    </row>
    <row r="123" spans="1:185" s="216" customFormat="1" ht="15" customHeight="1" outlineLevel="1">
      <c r="A123" s="1005" t="str">
        <f>$G$4</f>
        <v>JUNIO  2026 2da QUINCENA</v>
      </c>
      <c r="B123" s="1005">
        <f>+$G$5</f>
        <v>2026</v>
      </c>
      <c r="C123" s="1006" t="str">
        <f t="shared" ref="C123" si="3065">A123 &amp; B123</f>
        <v>JUNIO  2026 2da QUINCENA2026</v>
      </c>
      <c r="D123" s="235" t="str">
        <f t="shared" ref="D123" si="3066">+$G$85</f>
        <v>BODEGA MP</v>
      </c>
      <c r="E123" s="235">
        <v>304030</v>
      </c>
      <c r="F123" s="268">
        <f t="shared" ref="F123" si="3067">+F121+1</f>
        <v>44</v>
      </c>
      <c r="G123" s="199" t="s">
        <v>670</v>
      </c>
      <c r="H123" s="200" t="s">
        <v>614</v>
      </c>
      <c r="I123" s="201" t="s">
        <v>11</v>
      </c>
      <c r="J123" s="203">
        <v>4100</v>
      </c>
      <c r="K123" s="202">
        <v>550</v>
      </c>
      <c r="L123" s="836">
        <f t="shared" ref="L123" si="3068">+J123+K123</f>
        <v>4650</v>
      </c>
      <c r="M123" s="203">
        <v>30</v>
      </c>
      <c r="N123" s="204">
        <v>0.5</v>
      </c>
      <c r="O123" s="819">
        <v>0.3</v>
      </c>
      <c r="P123" s="204">
        <v>0.2</v>
      </c>
      <c r="Q123" s="204">
        <v>0</v>
      </c>
      <c r="R123" s="204">
        <v>0</v>
      </c>
      <c r="S123" s="204">
        <f t="shared" ref="S123" si="3069">SUM(N123:R123)</f>
        <v>1</v>
      </c>
      <c r="T123" s="813"/>
      <c r="U123" s="238">
        <v>12</v>
      </c>
      <c r="V123" s="203">
        <f t="shared" si="2933"/>
        <v>307.5</v>
      </c>
      <c r="W123" s="207"/>
      <c r="X123" s="203">
        <f t="shared" si="2934"/>
        <v>0</v>
      </c>
      <c r="Y123" s="207">
        <v>1</v>
      </c>
      <c r="Z123" s="203">
        <f t="shared" si="2935"/>
        <v>25.625</v>
      </c>
      <c r="AA123" s="206"/>
      <c r="AB123" s="203">
        <f t="shared" si="2936"/>
        <v>0</v>
      </c>
      <c r="AC123" s="207"/>
      <c r="AD123" s="203">
        <f t="shared" si="2937"/>
        <v>0</v>
      </c>
      <c r="AE123" s="208"/>
      <c r="AF123" s="203">
        <f t="shared" si="2938"/>
        <v>0</v>
      </c>
      <c r="AG123" s="208"/>
      <c r="AH123" s="203">
        <f t="shared" si="2939"/>
        <v>0</v>
      </c>
      <c r="AI123" s="208"/>
      <c r="AJ123" s="203">
        <f t="shared" si="2940"/>
        <v>0</v>
      </c>
      <c r="AK123" s="203"/>
      <c r="AL123" s="203">
        <f t="shared" si="2941"/>
        <v>0</v>
      </c>
      <c r="AM123" s="208"/>
      <c r="AN123" s="203">
        <f t="shared" si="2942"/>
        <v>0</v>
      </c>
      <c r="AO123" s="202"/>
      <c r="AP123" s="202"/>
      <c r="AQ123" s="202"/>
      <c r="AR123" s="202"/>
      <c r="AS123" s="202"/>
      <c r="AT123" s="202"/>
      <c r="AU123" s="202"/>
      <c r="AV123" s="202"/>
      <c r="AW123" s="202"/>
      <c r="AX123" s="202"/>
      <c r="AY123" s="202"/>
      <c r="AZ123" s="240"/>
      <c r="BA123" s="239">
        <f t="shared" si="2943"/>
        <v>2050</v>
      </c>
      <c r="BB123" s="239">
        <f>((K123/30)*M123)*$N123</f>
        <v>275</v>
      </c>
      <c r="BC123" s="836">
        <f t="shared" si="2945"/>
        <v>12</v>
      </c>
      <c r="BD123" s="203">
        <f t="shared" si="2946"/>
        <v>307.5</v>
      </c>
      <c r="BE123" s="203">
        <f t="shared" si="2947"/>
        <v>0</v>
      </c>
      <c r="BF123" s="203">
        <f t="shared" si="2948"/>
        <v>0</v>
      </c>
      <c r="BG123" s="203">
        <f t="shared" si="2949"/>
        <v>0</v>
      </c>
      <c r="BH123" s="203">
        <f t="shared" si="2790"/>
        <v>298.69525000000004</v>
      </c>
      <c r="BI123" s="203">
        <f t="shared" si="2950"/>
        <v>2931.1952500000002</v>
      </c>
      <c r="BJ123" s="203">
        <f>(($J123/30)*$M123)*$O123</f>
        <v>1230</v>
      </c>
      <c r="BK123" s="203">
        <f>(($K123/30)*$M123)*$O123</f>
        <v>165</v>
      </c>
      <c r="BL123" s="239">
        <f t="shared" si="2952"/>
        <v>1</v>
      </c>
      <c r="BM123" s="203">
        <f t="shared" si="2953"/>
        <v>25.625</v>
      </c>
      <c r="BN123" s="203">
        <f t="shared" si="2954"/>
        <v>0</v>
      </c>
      <c r="BO123" s="203">
        <f t="shared" si="2955"/>
        <v>0</v>
      </c>
      <c r="BP123" s="203">
        <f t="shared" si="2956"/>
        <v>0</v>
      </c>
      <c r="BQ123" s="203">
        <f t="shared" si="2799"/>
        <v>159.08768750000002</v>
      </c>
      <c r="BR123" s="202">
        <f t="shared" si="2957"/>
        <v>1579.7126874999999</v>
      </c>
      <c r="BS123" s="203">
        <f t="shared" si="2801"/>
        <v>820</v>
      </c>
      <c r="BT123" s="203">
        <f>(($K123/30)*$M123)*$P123</f>
        <v>110</v>
      </c>
      <c r="BU123" s="203">
        <f t="shared" si="2959"/>
        <v>0</v>
      </c>
      <c r="BV123" s="203">
        <f t="shared" si="2960"/>
        <v>0</v>
      </c>
      <c r="BW123" s="203">
        <f t="shared" si="2961"/>
        <v>0</v>
      </c>
      <c r="BX123" s="203">
        <f t="shared" si="2962"/>
        <v>0</v>
      </c>
      <c r="BY123" s="203">
        <f t="shared" si="2963"/>
        <v>0</v>
      </c>
      <c r="BZ123" s="203">
        <f t="shared" si="2807"/>
        <v>103.89400000000001</v>
      </c>
      <c r="CA123" s="203">
        <f t="shared" si="2964"/>
        <v>1033.894</v>
      </c>
      <c r="CB123" s="241">
        <f t="shared" si="2809"/>
        <v>0</v>
      </c>
      <c r="CC123" s="242">
        <f t="shared" si="2810"/>
        <v>0</v>
      </c>
      <c r="CD123" s="242">
        <f t="shared" ref="CD123" si="3070">AG123</f>
        <v>0</v>
      </c>
      <c r="CE123" s="242">
        <f t="shared" si="2965"/>
        <v>0</v>
      </c>
      <c r="CF123" s="242">
        <f t="shared" ref="CF123" si="3071">AI123</f>
        <v>0</v>
      </c>
      <c r="CG123" s="242">
        <f t="shared" si="2966"/>
        <v>0</v>
      </c>
      <c r="CH123" s="242">
        <f t="shared" ref="CH123" si="3072">AR123+AW123</f>
        <v>0</v>
      </c>
      <c r="CI123" s="703">
        <f t="shared" si="2812"/>
        <v>0</v>
      </c>
      <c r="CJ123" s="242">
        <f t="shared" ref="CJ123" si="3073">SUM(CB123:CI123)-CD123-CF123</f>
        <v>0</v>
      </c>
      <c r="CK123" s="242">
        <f t="shared" si="2968"/>
        <v>0</v>
      </c>
      <c r="CL123" s="242">
        <f t="shared" si="2814"/>
        <v>0</v>
      </c>
      <c r="CM123" s="242">
        <f>+AK123</f>
        <v>0</v>
      </c>
      <c r="CN123" s="242">
        <f t="shared" si="2970"/>
        <v>0</v>
      </c>
      <c r="CO123" s="242">
        <f t="shared" ref="CO123" si="3074">AM123</f>
        <v>0</v>
      </c>
      <c r="CP123" s="242">
        <f t="shared" si="2971"/>
        <v>0</v>
      </c>
      <c r="CQ123" s="242">
        <f t="shared" ref="CQ123" si="3075">AS123+AX123</f>
        <v>0</v>
      </c>
      <c r="CR123" s="242">
        <f t="shared" si="2972"/>
        <v>0</v>
      </c>
      <c r="CS123" s="243">
        <f t="shared" si="2973"/>
        <v>0</v>
      </c>
      <c r="CU123" s="201" t="s">
        <v>11</v>
      </c>
      <c r="CV123" s="203">
        <f t="shared" si="2820"/>
        <v>0</v>
      </c>
      <c r="CW123" s="203">
        <f t="shared" si="2821"/>
        <v>0</v>
      </c>
      <c r="CX123" s="203">
        <f t="shared" si="2822"/>
        <v>0</v>
      </c>
      <c r="CY123" s="203">
        <f t="shared" si="2823"/>
        <v>0</v>
      </c>
      <c r="CZ123" s="203">
        <f t="shared" si="2824"/>
        <v>0</v>
      </c>
      <c r="DA123" s="203">
        <f t="shared" si="2825"/>
        <v>0</v>
      </c>
      <c r="DB123" s="203">
        <f t="shared" si="2826"/>
        <v>0</v>
      </c>
      <c r="DC123" s="203">
        <f t="shared" si="2974"/>
        <v>0</v>
      </c>
      <c r="DD123" s="203">
        <f t="shared" si="2975"/>
        <v>0</v>
      </c>
      <c r="DE123" s="203">
        <f t="shared" si="2829"/>
        <v>0</v>
      </c>
      <c r="DF123" s="203">
        <f t="shared" si="2830"/>
        <v>0</v>
      </c>
      <c r="DG123" s="239">
        <f t="shared" si="2831"/>
        <v>0</v>
      </c>
      <c r="DH123" s="239">
        <f t="shared" si="2832"/>
        <v>0</v>
      </c>
      <c r="DI123" s="239">
        <f t="shared" si="2833"/>
        <v>0</v>
      </c>
      <c r="DJ123" s="203">
        <f t="shared" si="2834"/>
        <v>0</v>
      </c>
      <c r="DK123" s="203">
        <f t="shared" si="2835"/>
        <v>0</v>
      </c>
      <c r="DL123" s="203">
        <f t="shared" si="2836"/>
        <v>0</v>
      </c>
      <c r="DM123" s="203">
        <f t="shared" ref="DM123" si="3076">SUM(DE123:DL123)-DG123-DI123</f>
        <v>0</v>
      </c>
      <c r="DN123" s="210">
        <f t="shared" si="2838"/>
        <v>0</v>
      </c>
      <c r="DO123" s="210">
        <f t="shared" si="2839"/>
        <v>0</v>
      </c>
      <c r="DP123" s="210">
        <f t="shared" si="2840"/>
        <v>0</v>
      </c>
      <c r="DQ123" s="210">
        <f t="shared" si="2841"/>
        <v>0</v>
      </c>
      <c r="DR123" s="210">
        <f t="shared" si="2842"/>
        <v>0</v>
      </c>
      <c r="DS123" s="210">
        <f t="shared" si="2843"/>
        <v>0</v>
      </c>
      <c r="DT123" s="210">
        <f t="shared" si="2844"/>
        <v>0</v>
      </c>
      <c r="DU123" s="210">
        <f t="shared" si="2845"/>
        <v>0</v>
      </c>
      <c r="DV123" s="210">
        <f t="shared" ref="DV123" si="3077">SUM(DN123:DU123)-DP123-DR123</f>
        <v>0</v>
      </c>
      <c r="DW123" s="241">
        <f t="shared" ref="DW123" si="3078">IF($CU123="CLEARTEC",$BA123+$BJ123+$BS123+$CB123+$CK123,0)</f>
        <v>0</v>
      </c>
      <c r="DX123" s="241">
        <f t="shared" si="2909"/>
        <v>0</v>
      </c>
      <c r="DY123" s="241">
        <f t="shared" si="2909"/>
        <v>0</v>
      </c>
      <c r="DZ123" s="241">
        <f t="shared" si="2909"/>
        <v>0</v>
      </c>
      <c r="EA123" s="241">
        <f t="shared" si="2909"/>
        <v>0</v>
      </c>
      <c r="EB123" s="241">
        <f t="shared" si="2909"/>
        <v>0</v>
      </c>
      <c r="EC123" s="241">
        <f t="shared" si="2909"/>
        <v>0</v>
      </c>
      <c r="ED123" s="241">
        <f t="shared" si="2909"/>
        <v>0</v>
      </c>
      <c r="EE123" s="242">
        <f t="shared" si="2978"/>
        <v>0</v>
      </c>
      <c r="EF123" s="203">
        <f t="shared" si="2979"/>
        <v>4100</v>
      </c>
      <c r="EG123" s="242">
        <f t="shared" si="2850"/>
        <v>550</v>
      </c>
      <c r="EH123" s="203">
        <f t="shared" si="2851"/>
        <v>13</v>
      </c>
      <c r="EI123" s="203">
        <f t="shared" si="2852"/>
        <v>333.125</v>
      </c>
      <c r="EJ123" s="242">
        <f t="shared" si="2853"/>
        <v>0</v>
      </c>
      <c r="EK123" s="203">
        <f t="shared" si="2980"/>
        <v>0</v>
      </c>
      <c r="EL123" s="203">
        <f t="shared" si="2981"/>
        <v>0</v>
      </c>
      <c r="EM123" s="203">
        <f t="shared" si="2982"/>
        <v>561.67693750000012</v>
      </c>
      <c r="EN123" s="203">
        <f t="shared" si="2983"/>
        <v>5544.8019375000003</v>
      </c>
      <c r="EP123" s="201">
        <v>98</v>
      </c>
      <c r="EQ123" s="201"/>
      <c r="ER123" s="201"/>
      <c r="ES123" s="201"/>
      <c r="ET123" s="851"/>
      <c r="EU123" s="200"/>
      <c r="EV123" s="200"/>
      <c r="EW123" s="201"/>
      <c r="EX123" s="201"/>
      <c r="EY123" s="201">
        <f t="shared" si="2858"/>
        <v>0</v>
      </c>
      <c r="FA123" s="207">
        <f t="shared" si="2984"/>
        <v>98</v>
      </c>
      <c r="FB123" s="207">
        <f t="shared" si="2985"/>
        <v>0</v>
      </c>
      <c r="FC123" s="207">
        <f t="shared" si="2986"/>
        <v>0</v>
      </c>
      <c r="FD123" s="207">
        <f t="shared" si="2987"/>
        <v>0</v>
      </c>
      <c r="FE123" s="207">
        <f t="shared" si="2988"/>
        <v>0</v>
      </c>
      <c r="FF123" s="207">
        <f t="shared" si="2989"/>
        <v>0</v>
      </c>
      <c r="FG123" s="207">
        <f t="shared" si="2990"/>
        <v>0</v>
      </c>
      <c r="FH123" s="207">
        <f t="shared" si="2991"/>
        <v>0</v>
      </c>
      <c r="FI123" s="207">
        <f t="shared" si="2992"/>
        <v>0</v>
      </c>
      <c r="FJ123" s="207">
        <f t="shared" si="2993"/>
        <v>0</v>
      </c>
      <c r="FK123" s="217">
        <v>1</v>
      </c>
      <c r="FL123" s="217">
        <v>0</v>
      </c>
      <c r="FM123" s="217">
        <v>0</v>
      </c>
      <c r="FN123" s="217">
        <v>0</v>
      </c>
      <c r="FO123" s="217">
        <v>0</v>
      </c>
      <c r="FP123" s="217">
        <v>1</v>
      </c>
      <c r="FR123" s="1184">
        <f t="shared" si="2994"/>
        <v>0</v>
      </c>
      <c r="FS123" s="1184">
        <f t="shared" si="2995"/>
        <v>0</v>
      </c>
      <c r="FT123" s="1185">
        <f t="shared" si="2996"/>
        <v>0</v>
      </c>
      <c r="FU123" s="1184">
        <f t="shared" si="2997"/>
        <v>0</v>
      </c>
      <c r="FV123" s="1186">
        <f t="shared" si="2998"/>
        <v>-98</v>
      </c>
    </row>
    <row r="124" spans="1:185" s="216" customFormat="1" ht="15" customHeight="1" outlineLevel="1">
      <c r="A124" s="1005"/>
      <c r="B124" s="1005"/>
      <c r="C124" s="1006"/>
      <c r="D124" s="235"/>
      <c r="E124" s="235">
        <v>304030</v>
      </c>
      <c r="F124" s="268">
        <f>+F121+1</f>
        <v>44</v>
      </c>
      <c r="G124" s="199" t="s">
        <v>730</v>
      </c>
      <c r="H124" s="200" t="s">
        <v>614</v>
      </c>
      <c r="I124" s="200" t="s">
        <v>11</v>
      </c>
      <c r="J124" s="203">
        <v>4100</v>
      </c>
      <c r="K124" s="836">
        <v>300</v>
      </c>
      <c r="L124" s="872">
        <f>+J124+K124</f>
        <v>4400</v>
      </c>
      <c r="M124" s="203">
        <v>30</v>
      </c>
      <c r="N124" s="270">
        <v>0.7</v>
      </c>
      <c r="O124" s="204">
        <v>0.15</v>
      </c>
      <c r="P124" s="270">
        <v>0.15</v>
      </c>
      <c r="Q124" s="204">
        <v>0</v>
      </c>
      <c r="R124" s="204">
        <v>0</v>
      </c>
      <c r="S124" s="204">
        <f>+N124+O124+P124+Q124+R124</f>
        <v>1</v>
      </c>
      <c r="T124" s="813"/>
      <c r="U124" s="238">
        <v>25</v>
      </c>
      <c r="V124" s="203">
        <f t="shared" ref="V124" si="3079">($J124/30/8*1.5)*U124</f>
        <v>640.625</v>
      </c>
      <c r="W124" s="265"/>
      <c r="X124" s="203">
        <f t="shared" ref="X124" si="3080">($J124/30/8*2)*W124</f>
        <v>0</v>
      </c>
      <c r="Y124" s="207">
        <v>9</v>
      </c>
      <c r="Z124" s="239">
        <f t="shared" ref="Z124" si="3081">($J124/30/8*1.5)*Y124</f>
        <v>230.625</v>
      </c>
      <c r="AA124" s="207"/>
      <c r="AB124" s="203">
        <f t="shared" ref="AB124" si="3082">($J124/30/8*2)*AA124</f>
        <v>0</v>
      </c>
      <c r="AC124" s="207"/>
      <c r="AD124" s="203">
        <f t="shared" ref="AD124" si="3083">(($J124/30/8)*1.5)*AC124</f>
        <v>0</v>
      </c>
      <c r="AE124" s="208"/>
      <c r="AF124" s="203">
        <f t="shared" ref="AF124" si="3084">(($J124/30/8)*2)*AE124</f>
        <v>0</v>
      </c>
      <c r="AG124" s="208"/>
      <c r="AH124" s="203">
        <f t="shared" ref="AH124" si="3085">(($J124/30/8)*1.5)*AG124</f>
        <v>0</v>
      </c>
      <c r="AI124" s="208"/>
      <c r="AJ124" s="203">
        <f t="shared" ref="AJ124" si="3086">(($J124/30/8)*2)*AI124</f>
        <v>0</v>
      </c>
      <c r="AK124" s="203"/>
      <c r="AL124" s="203">
        <f t="shared" ref="AL124" si="3087">(($J124/30/8)*1.5)*AK124</f>
        <v>0</v>
      </c>
      <c r="AM124" s="208"/>
      <c r="AN124" s="203">
        <f t="shared" ref="AN124" si="3088">(($J124/30/8)*2)*AM124</f>
        <v>0</v>
      </c>
      <c r="AO124" s="202"/>
      <c r="AP124" s="202"/>
      <c r="AQ124" s="202"/>
      <c r="AR124" s="202"/>
      <c r="AS124" s="202"/>
      <c r="AT124" s="202"/>
      <c r="AU124" s="202"/>
      <c r="AV124" s="202"/>
      <c r="AW124" s="202"/>
      <c r="AX124" s="202"/>
      <c r="AY124" s="202"/>
      <c r="AZ124" s="240"/>
      <c r="BA124" s="203">
        <f t="shared" ref="BA124" si="3089">((J124/30)*M124)*$N124</f>
        <v>2870</v>
      </c>
      <c r="BB124" s="787">
        <f t="shared" ref="BB124" si="3090">((K124/30)*M124)*$N124</f>
        <v>210</v>
      </c>
      <c r="BC124" s="203">
        <f t="shared" ref="BC124" si="3091">U124</f>
        <v>25</v>
      </c>
      <c r="BD124" s="203">
        <f t="shared" ref="BD124" si="3092">V124</f>
        <v>640.625</v>
      </c>
      <c r="BE124" s="203">
        <f t="shared" ref="BE124" si="3093">W124</f>
        <v>0</v>
      </c>
      <c r="BF124" s="203">
        <f t="shared" ref="BF124" si="3094">X124</f>
        <v>0</v>
      </c>
      <c r="BG124" s="203">
        <f t="shared" ref="BG124" si="3095">AO124+AT124</f>
        <v>0</v>
      </c>
      <c r="BH124" s="203">
        <f t="shared" si="2790"/>
        <v>444.79618750000003</v>
      </c>
      <c r="BI124" s="203">
        <f t="shared" ref="BI124" si="3096">SUM(BA124:BH124)-BC124-BE124</f>
        <v>4165.4211875000001</v>
      </c>
      <c r="BJ124" s="203">
        <f t="shared" si="2792"/>
        <v>615</v>
      </c>
      <c r="BK124" s="203">
        <f t="shared" si="2951"/>
        <v>45</v>
      </c>
      <c r="BL124" s="203">
        <f t="shared" ref="BL124" si="3097">Y124</f>
        <v>9</v>
      </c>
      <c r="BM124" s="203">
        <f t="shared" ref="BM124" si="3098">Z124</f>
        <v>230.625</v>
      </c>
      <c r="BN124" s="203">
        <f t="shared" ref="BN124" si="3099">AA124</f>
        <v>0</v>
      </c>
      <c r="BO124" s="203">
        <f t="shared" ref="BO124" si="3100">AB124</f>
        <v>0</v>
      </c>
      <c r="BP124" s="203">
        <f t="shared" ref="BP124" si="3101">AP124+AU124</f>
        <v>0</v>
      </c>
      <c r="BQ124" s="203">
        <f t="shared" si="2799"/>
        <v>107.14068750000001</v>
      </c>
      <c r="BR124" s="202">
        <f t="shared" ref="BR124" si="3102">SUM(BJ124:BQ124)-BL124-BN124</f>
        <v>997.76568750000001</v>
      </c>
      <c r="BS124" s="203">
        <f t="shared" si="2801"/>
        <v>615</v>
      </c>
      <c r="BT124" s="203">
        <f t="shared" si="2958"/>
        <v>45</v>
      </c>
      <c r="BU124" s="203">
        <f t="shared" ref="BU124" si="3103">AC124</f>
        <v>0</v>
      </c>
      <c r="BV124" s="203">
        <f t="shared" ref="BV124" si="3104">AD124</f>
        <v>0</v>
      </c>
      <c r="BW124" s="203">
        <f t="shared" ref="BW124" si="3105">AE124</f>
        <v>0</v>
      </c>
      <c r="BX124" s="203">
        <f t="shared" ref="BX124" si="3106">AF124</f>
        <v>0</v>
      </c>
      <c r="BY124" s="203">
        <f t="shared" ref="BY124" si="3107">AQ124+AV124</f>
        <v>0</v>
      </c>
      <c r="BZ124" s="203">
        <f t="shared" si="2807"/>
        <v>77.920500000000004</v>
      </c>
      <c r="CA124" s="203">
        <f t="shared" ref="CA124" si="3108">SUM(BS124:BZ124)-BU124-BW124</f>
        <v>737.92049999999995</v>
      </c>
      <c r="CB124" s="241">
        <f t="shared" si="2809"/>
        <v>0</v>
      </c>
      <c r="CC124" s="242">
        <f t="shared" si="2810"/>
        <v>0</v>
      </c>
      <c r="CD124" s="242"/>
      <c r="CE124" s="242">
        <f t="shared" ref="CE124" si="3109">AH124</f>
        <v>0</v>
      </c>
      <c r="CF124" s="242"/>
      <c r="CG124" s="242">
        <f t="shared" ref="CG124" si="3110">AJ124</f>
        <v>0</v>
      </c>
      <c r="CH124" s="242"/>
      <c r="CI124" s="703">
        <f t="shared" si="2812"/>
        <v>0</v>
      </c>
      <c r="CJ124" s="242">
        <f t="shared" ref="CJ124" si="3111">SUM(CB124:CI124)</f>
        <v>0</v>
      </c>
      <c r="CK124" s="242">
        <f t="shared" ref="CK124" si="3112">(($J124/30)*$M124)*R124</f>
        <v>0</v>
      </c>
      <c r="CL124" s="242">
        <f t="shared" si="2814"/>
        <v>0</v>
      </c>
      <c r="CM124" s="989">
        <f t="shared" ref="CM124" si="3113">+AK124</f>
        <v>0</v>
      </c>
      <c r="CN124" s="242">
        <f t="shared" ref="CN124" si="3114">AL124</f>
        <v>0</v>
      </c>
      <c r="CO124" s="242"/>
      <c r="CP124" s="242">
        <f t="shared" ref="CP124" si="3115">AN124</f>
        <v>0</v>
      </c>
      <c r="CQ124" s="242"/>
      <c r="CR124" s="242">
        <f t="shared" ref="CR124" si="3116">(CK124+CN124+CP124)*0.1267</f>
        <v>0</v>
      </c>
      <c r="CS124" s="990">
        <f t="shared" ref="CS124" si="3117">SUM(CK124:CR124)-CM124-CO124</f>
        <v>0</v>
      </c>
      <c r="CU124" s="201" t="s">
        <v>11</v>
      </c>
      <c r="CV124" s="203">
        <f t="shared" si="2820"/>
        <v>0</v>
      </c>
      <c r="CW124" s="203">
        <f t="shared" si="2821"/>
        <v>0</v>
      </c>
      <c r="CX124" s="203">
        <f t="shared" si="2822"/>
        <v>0</v>
      </c>
      <c r="CY124" s="203">
        <f t="shared" si="2823"/>
        <v>0</v>
      </c>
      <c r="CZ124" s="203">
        <f t="shared" si="2824"/>
        <v>0</v>
      </c>
      <c r="DA124" s="203">
        <f t="shared" si="2825"/>
        <v>0</v>
      </c>
      <c r="DB124" s="203">
        <f t="shared" si="2826"/>
        <v>0</v>
      </c>
      <c r="DC124" s="203">
        <f t="shared" ref="DC124" si="3118">IF($CU124="PROQUIMA",$BH124+$BQ124+$BZ124+$CI124+CR124,0)</f>
        <v>0</v>
      </c>
      <c r="DD124" s="203">
        <f t="shared" ref="DD124" si="3119">SUM(CV124:DC124)-CX124-CZ124</f>
        <v>0</v>
      </c>
      <c r="DE124" s="203">
        <f t="shared" si="2829"/>
        <v>0</v>
      </c>
      <c r="DF124" s="203">
        <f t="shared" si="2830"/>
        <v>0</v>
      </c>
      <c r="DG124" s="239">
        <f t="shared" si="2831"/>
        <v>0</v>
      </c>
      <c r="DH124" s="239">
        <f t="shared" si="2832"/>
        <v>0</v>
      </c>
      <c r="DI124" s="239">
        <f t="shared" si="2833"/>
        <v>0</v>
      </c>
      <c r="DJ124" s="203">
        <f t="shared" si="2834"/>
        <v>0</v>
      </c>
      <c r="DK124" s="203">
        <f t="shared" si="2835"/>
        <v>0</v>
      </c>
      <c r="DL124" s="203">
        <f t="shared" si="2836"/>
        <v>0</v>
      </c>
      <c r="DM124" s="203">
        <f t="shared" ref="DM124" si="3120">SUM(DE124:DL124)-DG124-DI124</f>
        <v>0</v>
      </c>
      <c r="DN124" s="210">
        <f t="shared" si="2838"/>
        <v>0</v>
      </c>
      <c r="DO124" s="210">
        <f t="shared" si="2839"/>
        <v>0</v>
      </c>
      <c r="DP124" s="210">
        <f t="shared" si="2840"/>
        <v>0</v>
      </c>
      <c r="DQ124" s="210">
        <f t="shared" si="2841"/>
        <v>0</v>
      </c>
      <c r="DR124" s="210">
        <f t="shared" si="2842"/>
        <v>0</v>
      </c>
      <c r="DS124" s="210">
        <f t="shared" si="2843"/>
        <v>0</v>
      </c>
      <c r="DT124" s="210">
        <f t="shared" si="2844"/>
        <v>0</v>
      </c>
      <c r="DU124" s="210">
        <f t="shared" si="2845"/>
        <v>0</v>
      </c>
      <c r="DV124" s="210">
        <f t="shared" ref="DV124" si="3121">SUM(DN124:DU124)-DP124-DR124</f>
        <v>0</v>
      </c>
      <c r="DW124" s="241">
        <f t="shared" ref="DW124:DW125" si="3122">IF($CU124="CLEARTEC",$BA124+$BJ124+$BS124+$CB124+$CK124,0)</f>
        <v>0</v>
      </c>
      <c r="DX124" s="241">
        <f t="shared" si="2909"/>
        <v>0</v>
      </c>
      <c r="DY124" s="241">
        <f t="shared" si="2909"/>
        <v>0</v>
      </c>
      <c r="DZ124" s="241">
        <f t="shared" si="2909"/>
        <v>0</v>
      </c>
      <c r="EA124" s="241">
        <f t="shared" si="2909"/>
        <v>0</v>
      </c>
      <c r="EB124" s="241">
        <f t="shared" si="2909"/>
        <v>0</v>
      </c>
      <c r="EC124" s="241">
        <f t="shared" si="2909"/>
        <v>0</v>
      </c>
      <c r="ED124" s="241">
        <f t="shared" si="2909"/>
        <v>0</v>
      </c>
      <c r="EE124" s="242">
        <f t="shared" ref="EE124" si="3123">SUM(DW124:ED124)-DY124-EA124</f>
        <v>0</v>
      </c>
      <c r="EF124" s="203">
        <f t="shared" ref="EF124" si="3124">IF(CU124="ECONACIONAL",$BA124+$BJ124+$BS124+$CB124+$CK124)</f>
        <v>4100</v>
      </c>
      <c r="EG124" s="242">
        <f t="shared" si="2850"/>
        <v>300</v>
      </c>
      <c r="EH124" s="203">
        <f t="shared" ref="EH124" si="3125">IF(CU124="ECONACIONAL",$BC124+$BL124+$BU124+$CD124+$CM124)</f>
        <v>34</v>
      </c>
      <c r="EI124" s="203">
        <f t="shared" ref="EI124" si="3126">IF(CU124="ECONACIONAL",$BD124+$DH124+$DQ124+$DZ124+BM124+BV124+CE124+CN124)</f>
        <v>871.25</v>
      </c>
      <c r="EJ124" s="242">
        <f t="shared" si="2853"/>
        <v>0</v>
      </c>
      <c r="EK124" s="203">
        <f t="shared" ref="EK124" si="3127">IF(CU124="ECONACIONAL",$BF124+$BO124+$BX124+$CG124+$CP124)</f>
        <v>0</v>
      </c>
      <c r="EL124" s="203">
        <f t="shared" ref="EL124" si="3128">IF(CU124="ECONACIONAL",$BG124+$BP124+$BY124+$CH124+$CQ124)</f>
        <v>0</v>
      </c>
      <c r="EM124" s="203">
        <f t="shared" ref="EM124" si="3129">IF(CU124="ECONACIONAL",BH124+BQ124+BZ124+CI124+CR124)</f>
        <v>629.85737500000005</v>
      </c>
      <c r="EN124" s="203">
        <f t="shared" ref="EN124" si="3130">SUM(EF124:EM124)-EH124-EJ124</f>
        <v>5901.1073749999996</v>
      </c>
      <c r="EP124" s="201"/>
      <c r="EQ124" s="201"/>
      <c r="ER124" s="201"/>
      <c r="ES124" s="201">
        <f>173.5+250</f>
        <v>423.5</v>
      </c>
      <c r="ET124" s="201"/>
      <c r="EU124" s="201"/>
      <c r="EV124" s="201"/>
      <c r="EW124" s="201"/>
      <c r="EX124" s="201"/>
      <c r="EY124" s="201">
        <f t="shared" ref="EY124" si="3131">+ET124+EU124+EV124</f>
        <v>0</v>
      </c>
      <c r="EZ124" s="820"/>
      <c r="FA124" s="207">
        <f t="shared" ref="FA124" si="3132">IF($M124&lt;=15,EP124/2,EP124)</f>
        <v>0</v>
      </c>
      <c r="FB124" s="207">
        <f t="shared" ref="FB124" si="3133">IF($M124&lt;=15,EQ124/2,EQ124)</f>
        <v>0</v>
      </c>
      <c r="FC124" s="207">
        <f t="shared" ref="FC124" si="3134">IF($M124&lt;=15,ER124/2,ER124)</f>
        <v>0</v>
      </c>
      <c r="FD124" s="207">
        <f t="shared" ref="FD124" si="3135">IF($M124&lt;=15,ES124/2,ES124)</f>
        <v>423.5</v>
      </c>
      <c r="FE124" s="207">
        <f t="shared" ref="FE124" si="3136">IF($M124&lt;=15,ET124/2,ET124)</f>
        <v>0</v>
      </c>
      <c r="FF124" s="207">
        <f t="shared" ref="FF124" si="3137">IF($M124&lt;=15,EU124/2,EU124)</f>
        <v>0</v>
      </c>
      <c r="FG124" s="207">
        <f t="shared" ref="FG124" si="3138">IF($M124&lt;=15,EV124/2,EV124)</f>
        <v>0</v>
      </c>
      <c r="FH124" s="207">
        <f t="shared" ref="FH124" si="3139">IF($M124&lt;=15,EW124/2,EW124)</f>
        <v>0</v>
      </c>
      <c r="FI124" s="207">
        <f t="shared" ref="FI124" si="3140">IF($M124&lt;=15,EX124/2,EX124)</f>
        <v>0</v>
      </c>
      <c r="FJ124" s="207">
        <f t="shared" ref="FJ124" si="3141">IF($M124&lt;=15,EY124/2,EY124)</f>
        <v>0</v>
      </c>
      <c r="FK124" s="217"/>
      <c r="FL124" s="217"/>
      <c r="FM124" s="217"/>
      <c r="FN124" s="217"/>
      <c r="FO124" s="217"/>
      <c r="FP124" s="217"/>
      <c r="FR124" s="1184">
        <f t="shared" si="2994"/>
        <v>0</v>
      </c>
      <c r="FS124" s="1184"/>
      <c r="FT124" s="1185"/>
      <c r="FU124" s="1184"/>
      <c r="FV124" s="1186"/>
    </row>
    <row r="125" spans="1:185" s="235" customFormat="1" ht="15" customHeight="1" outlineLevel="1">
      <c r="A125" s="1005" t="str">
        <f t="shared" si="2770"/>
        <v>JUNIO  2026 2da QUINCENA</v>
      </c>
      <c r="B125" s="1005">
        <f t="shared" si="2771"/>
        <v>2026</v>
      </c>
      <c r="C125" s="1006" t="str">
        <f t="shared" si="1564"/>
        <v>JUNIO  2026 2da QUINCENA2026</v>
      </c>
      <c r="D125" s="235" t="s">
        <v>650</v>
      </c>
      <c r="E125" s="235">
        <v>304030</v>
      </c>
      <c r="F125" s="268" t="e">
        <f>+#REF!+1</f>
        <v>#REF!</v>
      </c>
      <c r="G125" s="199" t="s">
        <v>612</v>
      </c>
      <c r="H125" s="200" t="s">
        <v>614</v>
      </c>
      <c r="I125" s="200" t="s">
        <v>11</v>
      </c>
      <c r="J125" s="203">
        <v>4100</v>
      </c>
      <c r="K125" s="836">
        <v>600</v>
      </c>
      <c r="L125" s="872">
        <f>+J125+K125</f>
        <v>4700</v>
      </c>
      <c r="M125" s="203">
        <v>30</v>
      </c>
      <c r="N125" s="270">
        <v>0.7</v>
      </c>
      <c r="O125" s="204">
        <v>0.15</v>
      </c>
      <c r="P125" s="270">
        <v>0.15</v>
      </c>
      <c r="Q125" s="204">
        <v>0</v>
      </c>
      <c r="R125" s="204">
        <v>0</v>
      </c>
      <c r="S125" s="204">
        <f t="shared" ref="S125" si="3142">+N125+O125+P125+Q125+R125</f>
        <v>1</v>
      </c>
      <c r="T125" s="813"/>
      <c r="U125" s="238">
        <v>15</v>
      </c>
      <c r="V125" s="203">
        <f t="shared" ref="V125" si="3143">($J125/30/8*1.5)*U125</f>
        <v>384.375</v>
      </c>
      <c r="W125" s="265"/>
      <c r="X125" s="203">
        <f t="shared" ref="X125" si="3144">($J125/30/8*2)*W125</f>
        <v>0</v>
      </c>
      <c r="Y125" s="207">
        <v>16</v>
      </c>
      <c r="Z125" s="239">
        <f t="shared" ref="Z125" si="3145">($J125/30/8*1.5)*Y125</f>
        <v>410</v>
      </c>
      <c r="AA125" s="207"/>
      <c r="AB125" s="203">
        <f t="shared" ref="AB125" si="3146">($J125/30/8*2)*AA125</f>
        <v>0</v>
      </c>
      <c r="AC125" s="207"/>
      <c r="AD125" s="203">
        <f t="shared" ref="AD125" si="3147">(($J125/30/8)*1.5)*AC125</f>
        <v>0</v>
      </c>
      <c r="AE125" s="208"/>
      <c r="AF125" s="203">
        <f t="shared" ref="AF125" si="3148">(($J125/30/8)*2)*AE125</f>
        <v>0</v>
      </c>
      <c r="AG125" s="208"/>
      <c r="AH125" s="203">
        <f t="shared" ref="AH125" si="3149">(($J125/30/8)*1.5)*AG125</f>
        <v>0</v>
      </c>
      <c r="AI125" s="208"/>
      <c r="AJ125" s="203">
        <f t="shared" ref="AJ125" si="3150">(($J125/30/8)*2)*AI125</f>
        <v>0</v>
      </c>
      <c r="AK125" s="203"/>
      <c r="AL125" s="203">
        <f t="shared" ref="AL125" si="3151">(($J125/30/8)*1.5)*AK125</f>
        <v>0</v>
      </c>
      <c r="AM125" s="208"/>
      <c r="AN125" s="203">
        <f t="shared" ref="AN125" si="3152">(($J125/30/8)*2)*AM125</f>
        <v>0</v>
      </c>
      <c r="AO125" s="202"/>
      <c r="AP125" s="202"/>
      <c r="AQ125" s="202"/>
      <c r="AR125" s="202"/>
      <c r="AS125" s="202"/>
      <c r="AT125" s="202"/>
      <c r="AU125" s="202"/>
      <c r="AV125" s="202"/>
      <c r="AW125" s="202"/>
      <c r="AX125" s="202"/>
      <c r="AY125" s="202"/>
      <c r="AZ125" s="240"/>
      <c r="BA125" s="203">
        <f t="shared" ref="BA125" si="3153">((J125/30)*M125)*$N125</f>
        <v>2870</v>
      </c>
      <c r="BB125" s="787">
        <f t="shared" si="2944"/>
        <v>420</v>
      </c>
      <c r="BC125" s="203">
        <f t="shared" si="2945"/>
        <v>15</v>
      </c>
      <c r="BD125" s="203">
        <f t="shared" ref="BD125" si="3154">V125</f>
        <v>384.375</v>
      </c>
      <c r="BE125" s="203">
        <f t="shared" ref="BE125" si="3155">W125</f>
        <v>0</v>
      </c>
      <c r="BF125" s="203">
        <f t="shared" ref="BF125" si="3156">X125</f>
        <v>0</v>
      </c>
      <c r="BG125" s="203">
        <f t="shared" ref="BG125" si="3157">AO125+AT125</f>
        <v>0</v>
      </c>
      <c r="BH125" s="203">
        <f t="shared" si="2790"/>
        <v>412.32931250000001</v>
      </c>
      <c r="BI125" s="203">
        <f t="shared" ref="BI125" si="3158">SUM(BA125:BH125)-BC125-BE125</f>
        <v>4086.7043125</v>
      </c>
      <c r="BJ125" s="203">
        <f t="shared" si="2792"/>
        <v>615</v>
      </c>
      <c r="BK125" s="203">
        <f>(($K125/30)*$M125)*$O125</f>
        <v>90</v>
      </c>
      <c r="BL125" s="203">
        <f t="shared" ref="BL125" si="3159">Y125</f>
        <v>16</v>
      </c>
      <c r="BM125" s="203">
        <f t="shared" ref="BM125" si="3160">Z125</f>
        <v>410</v>
      </c>
      <c r="BN125" s="203">
        <f t="shared" ref="BN125" si="3161">AA125</f>
        <v>0</v>
      </c>
      <c r="BO125" s="203">
        <f t="shared" ref="BO125" si="3162">AB125</f>
        <v>0</v>
      </c>
      <c r="BP125" s="203">
        <f t="shared" si="2956"/>
        <v>0</v>
      </c>
      <c r="BQ125" s="203">
        <f t="shared" si="2799"/>
        <v>129.86750000000001</v>
      </c>
      <c r="BR125" s="202">
        <f t="shared" si="2957"/>
        <v>1244.8675000000001</v>
      </c>
      <c r="BS125" s="203">
        <f t="shared" si="2801"/>
        <v>615</v>
      </c>
      <c r="BT125" s="203">
        <f>(($K125/30)*$M125)*$P125</f>
        <v>90</v>
      </c>
      <c r="BU125" s="203">
        <f t="shared" ref="BU125" si="3163">AC125</f>
        <v>0</v>
      </c>
      <c r="BV125" s="203">
        <f t="shared" ref="BV125" si="3164">AD125</f>
        <v>0</v>
      </c>
      <c r="BW125" s="203">
        <f t="shared" ref="BW125" si="3165">AE125</f>
        <v>0</v>
      </c>
      <c r="BX125" s="203">
        <f t="shared" ref="BX125" si="3166">AF125</f>
        <v>0</v>
      </c>
      <c r="BY125" s="203">
        <f t="shared" ref="BY125" si="3167">AQ125+AV125</f>
        <v>0</v>
      </c>
      <c r="BZ125" s="203">
        <f t="shared" si="2807"/>
        <v>77.920500000000004</v>
      </c>
      <c r="CA125" s="203">
        <f t="shared" ref="CA125" si="3168">SUM(BS125:BZ125)-BU125-BW125</f>
        <v>782.92049999999995</v>
      </c>
      <c r="CB125" s="241">
        <f t="shared" si="2809"/>
        <v>0</v>
      </c>
      <c r="CC125" s="242">
        <f t="shared" si="2810"/>
        <v>0</v>
      </c>
      <c r="CD125" s="242"/>
      <c r="CE125" s="242">
        <f t="shared" ref="CE125" si="3169">AH125</f>
        <v>0</v>
      </c>
      <c r="CF125" s="242"/>
      <c r="CG125" s="242">
        <f t="shared" ref="CG125" si="3170">AJ125</f>
        <v>0</v>
      </c>
      <c r="CH125" s="242"/>
      <c r="CI125" s="703">
        <f t="shared" si="2812"/>
        <v>0</v>
      </c>
      <c r="CJ125" s="242">
        <f t="shared" ref="CJ125" si="3171">SUM(CB125:CI125)</f>
        <v>0</v>
      </c>
      <c r="CK125" s="242">
        <f t="shared" ref="CK125" si="3172">(($J125/30)*$M125)*R125</f>
        <v>0</v>
      </c>
      <c r="CL125" s="242">
        <f t="shared" si="2814"/>
        <v>0</v>
      </c>
      <c r="CM125" s="989">
        <f t="shared" si="2969"/>
        <v>0</v>
      </c>
      <c r="CN125" s="242">
        <f t="shared" ref="CN125" si="3173">AL125</f>
        <v>0</v>
      </c>
      <c r="CO125" s="242"/>
      <c r="CP125" s="242">
        <f t="shared" ref="CP125" si="3174">AN125</f>
        <v>0</v>
      </c>
      <c r="CQ125" s="242"/>
      <c r="CR125" s="242">
        <f t="shared" ref="CR125" si="3175">(CK125+CN125+CP125)*0.1267</f>
        <v>0</v>
      </c>
      <c r="CS125" s="990">
        <f t="shared" si="2973"/>
        <v>0</v>
      </c>
      <c r="CT125" s="216"/>
      <c r="CU125" s="1244" t="s">
        <v>11</v>
      </c>
      <c r="CV125" s="203">
        <f t="shared" si="2820"/>
        <v>0</v>
      </c>
      <c r="CW125" s="203">
        <f t="shared" si="2821"/>
        <v>0</v>
      </c>
      <c r="CX125" s="203">
        <f t="shared" si="2822"/>
        <v>0</v>
      </c>
      <c r="CY125" s="203">
        <f t="shared" si="2823"/>
        <v>0</v>
      </c>
      <c r="CZ125" s="203">
        <f t="shared" si="2824"/>
        <v>0</v>
      </c>
      <c r="DA125" s="203">
        <f t="shared" si="2825"/>
        <v>0</v>
      </c>
      <c r="DB125" s="203">
        <f t="shared" si="2826"/>
        <v>0</v>
      </c>
      <c r="DC125" s="203">
        <f t="shared" si="2974"/>
        <v>0</v>
      </c>
      <c r="DD125" s="203">
        <f t="shared" si="2975"/>
        <v>0</v>
      </c>
      <c r="DE125" s="203">
        <f t="shared" si="2829"/>
        <v>0</v>
      </c>
      <c r="DF125" s="203">
        <f t="shared" si="2830"/>
        <v>0</v>
      </c>
      <c r="DG125" s="239">
        <f t="shared" si="2831"/>
        <v>0</v>
      </c>
      <c r="DH125" s="239">
        <f t="shared" si="2832"/>
        <v>0</v>
      </c>
      <c r="DI125" s="239">
        <f t="shared" si="2833"/>
        <v>0</v>
      </c>
      <c r="DJ125" s="203">
        <f t="shared" si="2834"/>
        <v>0</v>
      </c>
      <c r="DK125" s="203">
        <f t="shared" si="2835"/>
        <v>0</v>
      </c>
      <c r="DL125" s="203">
        <f t="shared" si="2836"/>
        <v>0</v>
      </c>
      <c r="DM125" s="203">
        <f t="shared" si="2976"/>
        <v>0</v>
      </c>
      <c r="DN125" s="210">
        <f t="shared" si="2838"/>
        <v>0</v>
      </c>
      <c r="DO125" s="210">
        <f t="shared" si="2839"/>
        <v>0</v>
      </c>
      <c r="DP125" s="210">
        <f t="shared" si="2840"/>
        <v>0</v>
      </c>
      <c r="DQ125" s="210">
        <f t="shared" si="2841"/>
        <v>0</v>
      </c>
      <c r="DR125" s="210">
        <f t="shared" si="2842"/>
        <v>0</v>
      </c>
      <c r="DS125" s="210">
        <f t="shared" si="2843"/>
        <v>0</v>
      </c>
      <c r="DT125" s="210">
        <f t="shared" si="2844"/>
        <v>0</v>
      </c>
      <c r="DU125" s="210">
        <f t="shared" si="2845"/>
        <v>0</v>
      </c>
      <c r="DV125" s="210">
        <f t="shared" si="2977"/>
        <v>0</v>
      </c>
      <c r="DW125" s="241">
        <f t="shared" si="3122"/>
        <v>0</v>
      </c>
      <c r="DX125" s="241">
        <f t="shared" si="2909"/>
        <v>0</v>
      </c>
      <c r="DY125" s="241">
        <f t="shared" si="2909"/>
        <v>0</v>
      </c>
      <c r="DZ125" s="241">
        <f t="shared" si="2909"/>
        <v>0</v>
      </c>
      <c r="EA125" s="241">
        <f t="shared" si="2909"/>
        <v>0</v>
      </c>
      <c r="EB125" s="241">
        <f t="shared" si="2909"/>
        <v>0</v>
      </c>
      <c r="EC125" s="241">
        <f t="shared" si="2909"/>
        <v>0</v>
      </c>
      <c r="ED125" s="241">
        <f t="shared" si="2909"/>
        <v>0</v>
      </c>
      <c r="EE125" s="242">
        <f t="shared" ref="EE125" si="3176">SUM(DW125:ED125)-DY125-EA125</f>
        <v>0</v>
      </c>
      <c r="EF125" s="203">
        <f t="shared" si="2979"/>
        <v>4100</v>
      </c>
      <c r="EG125" s="242">
        <f t="shared" si="2850"/>
        <v>600</v>
      </c>
      <c r="EH125" s="203">
        <f t="shared" si="2851"/>
        <v>31</v>
      </c>
      <c r="EI125" s="203">
        <f t="shared" si="2852"/>
        <v>794.375</v>
      </c>
      <c r="EJ125" s="242">
        <f t="shared" si="2853"/>
        <v>0</v>
      </c>
      <c r="EK125" s="203">
        <f t="shared" si="2980"/>
        <v>0</v>
      </c>
      <c r="EL125" s="203">
        <f t="shared" si="2981"/>
        <v>0</v>
      </c>
      <c r="EM125" s="203">
        <f t="shared" si="2982"/>
        <v>620.11731250000003</v>
      </c>
      <c r="EN125" s="203">
        <f t="shared" si="2983"/>
        <v>6114.4923125000005</v>
      </c>
      <c r="EO125" s="216"/>
      <c r="EP125" s="1244">
        <v>170</v>
      </c>
      <c r="EQ125" s="1244"/>
      <c r="ER125" s="1244"/>
      <c r="ES125" s="1244"/>
      <c r="ET125" s="1244"/>
      <c r="EU125" s="1244"/>
      <c r="EV125" s="1244"/>
      <c r="EW125" s="201"/>
      <c r="EX125" s="201"/>
      <c r="EY125" s="201">
        <f t="shared" si="2858"/>
        <v>0</v>
      </c>
      <c r="EZ125" s="820"/>
      <c r="FA125" s="1245">
        <f t="shared" ref="FA125" si="3177">IF($M125&lt;=15,EP125/2,EP125)</f>
        <v>170</v>
      </c>
      <c r="FB125" s="1245">
        <f t="shared" ref="FB125" si="3178">IF($M125&lt;=15,EQ125/2,EQ125)</f>
        <v>0</v>
      </c>
      <c r="FC125" s="1245">
        <f t="shared" ref="FC125" si="3179">IF($M125&lt;=15,ER125/2,ER125)</f>
        <v>0</v>
      </c>
      <c r="FD125" s="1245">
        <f t="shared" ref="FD125" si="3180">IF($M125&lt;=15,ES125/2,ES125)</f>
        <v>0</v>
      </c>
      <c r="FE125" s="1245">
        <f t="shared" ref="FE125" si="3181">IF($M125&lt;=15,ET125/2,ET125)</f>
        <v>0</v>
      </c>
      <c r="FF125" s="1245">
        <f t="shared" ref="FF125" si="3182">IF($M125&lt;=15,EU125/2,EU125)</f>
        <v>0</v>
      </c>
      <c r="FG125" s="1245">
        <f t="shared" ref="FG125" si="3183">IF($M125&lt;=15,EV125/2,EV125)</f>
        <v>0</v>
      </c>
      <c r="FH125" s="1245">
        <f t="shared" ref="FH125" si="3184">IF($M125&lt;=15,EW125/2,EW125)</f>
        <v>0</v>
      </c>
      <c r="FI125" s="1245">
        <f t="shared" ref="FI125" si="3185">IF($M125&lt;=15,EX125/2,EX125)</f>
        <v>0</v>
      </c>
      <c r="FJ125" s="1245">
        <f t="shared" si="2993"/>
        <v>0</v>
      </c>
      <c r="FK125" s="217"/>
      <c r="FL125" s="217"/>
      <c r="FM125" s="217"/>
      <c r="FN125" s="217"/>
      <c r="FO125" s="217"/>
      <c r="FP125" s="217"/>
      <c r="FR125" s="1184">
        <f t="shared" si="2994"/>
        <v>0</v>
      </c>
      <c r="FS125" s="1184">
        <f t="shared" si="2995"/>
        <v>0</v>
      </c>
      <c r="FT125" s="1185">
        <f t="shared" si="2996"/>
        <v>0</v>
      </c>
      <c r="FU125" s="1184">
        <f t="shared" si="2997"/>
        <v>0</v>
      </c>
      <c r="FV125" s="1186">
        <f t="shared" si="2998"/>
        <v>-170</v>
      </c>
    </row>
    <row r="126" spans="1:185" s="778" customFormat="1" ht="15.75" customHeight="1" outlineLevel="1" thickBot="1">
      <c r="A126" s="1005" t="s">
        <v>52</v>
      </c>
      <c r="B126" s="1005" t="s">
        <v>52</v>
      </c>
      <c r="C126" s="1006" t="s">
        <v>52</v>
      </c>
      <c r="D126" s="776"/>
      <c r="E126" s="776"/>
      <c r="F126" s="776"/>
      <c r="G126" s="723"/>
      <c r="H126" s="776" t="s">
        <v>73</v>
      </c>
      <c r="J126" s="839">
        <f>SUM(J117:J125)</f>
        <v>33007.550000000003</v>
      </c>
      <c r="K126" s="839">
        <f>SUM(K117:K125)</f>
        <v>7862.45</v>
      </c>
      <c r="L126" s="839">
        <f>SUM(L117:L125)</f>
        <v>40870</v>
      </c>
      <c r="M126" s="203"/>
      <c r="N126" s="835"/>
      <c r="O126" s="835"/>
      <c r="P126" s="835"/>
      <c r="Q126" s="835"/>
      <c r="R126" s="835"/>
      <c r="S126" s="835"/>
      <c r="T126" s="780"/>
      <c r="U126" s="839">
        <f t="shared" ref="U126:AZ126" si="3186">SUM(U117:U125)</f>
        <v>72</v>
      </c>
      <c r="V126" s="839">
        <f t="shared" si="3186"/>
        <v>1902.660625</v>
      </c>
      <c r="W126" s="839">
        <f t="shared" si="3186"/>
        <v>0</v>
      </c>
      <c r="X126" s="839">
        <f t="shared" si="3186"/>
        <v>0</v>
      </c>
      <c r="Y126" s="839">
        <f t="shared" si="3186"/>
        <v>97.5</v>
      </c>
      <c r="Z126" s="839">
        <f t="shared" si="3186"/>
        <v>2833.910625</v>
      </c>
      <c r="AA126" s="839">
        <f t="shared" si="3186"/>
        <v>0</v>
      </c>
      <c r="AB126" s="839">
        <f t="shared" si="3186"/>
        <v>0</v>
      </c>
      <c r="AC126" s="839">
        <f t="shared" si="3186"/>
        <v>0</v>
      </c>
      <c r="AD126" s="839">
        <f t="shared" si="3186"/>
        <v>0</v>
      </c>
      <c r="AE126" s="839">
        <f t="shared" si="3186"/>
        <v>0</v>
      </c>
      <c r="AF126" s="839">
        <f t="shared" si="3186"/>
        <v>0</v>
      </c>
      <c r="AG126" s="839">
        <f t="shared" si="3186"/>
        <v>0</v>
      </c>
      <c r="AH126" s="839">
        <f t="shared" si="3186"/>
        <v>0</v>
      </c>
      <c r="AI126" s="839">
        <f t="shared" si="3186"/>
        <v>0</v>
      </c>
      <c r="AJ126" s="839">
        <f t="shared" si="3186"/>
        <v>0</v>
      </c>
      <c r="AK126" s="839">
        <f t="shared" si="3186"/>
        <v>0</v>
      </c>
      <c r="AL126" s="839">
        <f t="shared" si="3186"/>
        <v>0</v>
      </c>
      <c r="AM126" s="839">
        <f t="shared" si="3186"/>
        <v>0</v>
      </c>
      <c r="AN126" s="839">
        <f t="shared" si="3186"/>
        <v>0</v>
      </c>
      <c r="AO126" s="839">
        <f t="shared" si="3186"/>
        <v>0</v>
      </c>
      <c r="AP126" s="839">
        <f t="shared" si="3186"/>
        <v>0</v>
      </c>
      <c r="AQ126" s="839">
        <f t="shared" si="3186"/>
        <v>0</v>
      </c>
      <c r="AR126" s="839">
        <f t="shared" si="3186"/>
        <v>0</v>
      </c>
      <c r="AS126" s="839">
        <f t="shared" si="3186"/>
        <v>0</v>
      </c>
      <c r="AT126" s="839">
        <f t="shared" si="3186"/>
        <v>0</v>
      </c>
      <c r="AU126" s="839">
        <f t="shared" si="3186"/>
        <v>0</v>
      </c>
      <c r="AV126" s="839">
        <f t="shared" si="3186"/>
        <v>0</v>
      </c>
      <c r="AW126" s="839">
        <f t="shared" si="3186"/>
        <v>0</v>
      </c>
      <c r="AX126" s="839">
        <f t="shared" si="3186"/>
        <v>0</v>
      </c>
      <c r="AY126" s="839">
        <f t="shared" si="3186"/>
        <v>0</v>
      </c>
      <c r="AZ126" s="839">
        <f t="shared" si="3186"/>
        <v>0</v>
      </c>
      <c r="BA126" s="839">
        <f>SUM(BA117:BA125)</f>
        <v>16697.642500000002</v>
      </c>
      <c r="BB126" s="839">
        <f t="shared" ref="BB126:CF126" si="3187">SUM(BB117:BB125)</f>
        <v>3774.3575000000001</v>
      </c>
      <c r="BC126" s="839">
        <f t="shared" si="3187"/>
        <v>72</v>
      </c>
      <c r="BD126" s="839">
        <f t="shared" si="3187"/>
        <v>1902.660625</v>
      </c>
      <c r="BE126" s="839">
        <f t="shared" si="3187"/>
        <v>0</v>
      </c>
      <c r="BF126" s="839">
        <f t="shared" si="3187"/>
        <v>0</v>
      </c>
      <c r="BG126" s="839">
        <f t="shared" si="3187"/>
        <v>0</v>
      </c>
      <c r="BH126" s="839">
        <f t="shared" si="3187"/>
        <v>2356.6584059375</v>
      </c>
      <c r="BI126" s="839">
        <f t="shared" si="3187"/>
        <v>24731.319030937499</v>
      </c>
      <c r="BJ126" s="839">
        <f t="shared" si="3187"/>
        <v>8845.3855000000003</v>
      </c>
      <c r="BK126" s="839">
        <f t="shared" si="3187"/>
        <v>2158.6144999999997</v>
      </c>
      <c r="BL126" s="839">
        <f t="shared" si="3187"/>
        <v>97.5</v>
      </c>
      <c r="BM126" s="839">
        <f t="shared" si="3187"/>
        <v>2833.910625</v>
      </c>
      <c r="BN126" s="839">
        <f t="shared" si="3187"/>
        <v>0</v>
      </c>
      <c r="BO126" s="839">
        <f t="shared" si="3187"/>
        <v>0</v>
      </c>
      <c r="BP126" s="839">
        <f t="shared" si="3187"/>
        <v>0</v>
      </c>
      <c r="BQ126" s="839">
        <f t="shared" si="3187"/>
        <v>1479.7668190375002</v>
      </c>
      <c r="BR126" s="839">
        <f t="shared" si="3187"/>
        <v>15317.677444037499</v>
      </c>
      <c r="BS126" s="839">
        <f t="shared" si="3187"/>
        <v>5582.2569999999996</v>
      </c>
      <c r="BT126" s="839">
        <f t="shared" si="3187"/>
        <v>1385.7429999999999</v>
      </c>
      <c r="BU126" s="839">
        <f t="shared" si="3187"/>
        <v>0</v>
      </c>
      <c r="BV126" s="839">
        <f t="shared" si="3187"/>
        <v>0</v>
      </c>
      <c r="BW126" s="839">
        <f t="shared" si="3187"/>
        <v>0</v>
      </c>
      <c r="BX126" s="839">
        <f t="shared" si="3187"/>
        <v>0</v>
      </c>
      <c r="BY126" s="839">
        <f t="shared" si="3187"/>
        <v>0</v>
      </c>
      <c r="BZ126" s="839">
        <f t="shared" si="3187"/>
        <v>707.27196189999995</v>
      </c>
      <c r="CA126" s="839">
        <f t="shared" si="3187"/>
        <v>7675.2719619000009</v>
      </c>
      <c r="CB126" s="839">
        <f t="shared" si="3187"/>
        <v>566</v>
      </c>
      <c r="CC126" s="839">
        <f t="shared" si="3187"/>
        <v>210</v>
      </c>
      <c r="CD126" s="839">
        <f t="shared" si="3187"/>
        <v>0</v>
      </c>
      <c r="CE126" s="839">
        <f t="shared" si="3187"/>
        <v>0</v>
      </c>
      <c r="CF126" s="839">
        <f t="shared" si="3187"/>
        <v>0</v>
      </c>
      <c r="CG126" s="839">
        <f t="shared" ref="CG126:DL126" si="3188">SUM(CG117:CG125)</f>
        <v>0</v>
      </c>
      <c r="CH126" s="839">
        <f t="shared" si="3188"/>
        <v>0</v>
      </c>
      <c r="CI126" s="839">
        <f t="shared" si="3188"/>
        <v>71.712199999999996</v>
      </c>
      <c r="CJ126" s="839">
        <f t="shared" si="3188"/>
        <v>847.71220000000005</v>
      </c>
      <c r="CK126" s="839">
        <f t="shared" si="3188"/>
        <v>0</v>
      </c>
      <c r="CL126" s="839">
        <f t="shared" si="3188"/>
        <v>0</v>
      </c>
      <c r="CM126" s="839">
        <f t="shared" si="3188"/>
        <v>0</v>
      </c>
      <c r="CN126" s="839">
        <f t="shared" si="3188"/>
        <v>0</v>
      </c>
      <c r="CO126" s="839">
        <f t="shared" si="3188"/>
        <v>0</v>
      </c>
      <c r="CP126" s="839">
        <f t="shared" si="3188"/>
        <v>0</v>
      </c>
      <c r="CQ126" s="839">
        <f t="shared" si="3188"/>
        <v>0</v>
      </c>
      <c r="CR126" s="839">
        <f t="shared" si="3188"/>
        <v>0</v>
      </c>
      <c r="CS126" s="839">
        <f t="shared" si="3188"/>
        <v>0</v>
      </c>
      <c r="CT126" s="839">
        <f t="shared" si="3188"/>
        <v>0</v>
      </c>
      <c r="CU126" s="839">
        <f t="shared" si="3188"/>
        <v>0</v>
      </c>
      <c r="CV126" s="839">
        <f t="shared" si="3188"/>
        <v>0</v>
      </c>
      <c r="CW126" s="839">
        <f t="shared" si="3188"/>
        <v>0</v>
      </c>
      <c r="CX126" s="839">
        <f t="shared" si="3188"/>
        <v>0</v>
      </c>
      <c r="CY126" s="839">
        <f t="shared" si="3188"/>
        <v>0</v>
      </c>
      <c r="CZ126" s="839">
        <f t="shared" si="3188"/>
        <v>0</v>
      </c>
      <c r="DA126" s="839">
        <f t="shared" si="3188"/>
        <v>0</v>
      </c>
      <c r="DB126" s="839">
        <f t="shared" si="3188"/>
        <v>0</v>
      </c>
      <c r="DC126" s="839">
        <f t="shared" si="3188"/>
        <v>0</v>
      </c>
      <c r="DD126" s="839">
        <f t="shared" si="3188"/>
        <v>0</v>
      </c>
      <c r="DE126" s="839">
        <f t="shared" si="3188"/>
        <v>0</v>
      </c>
      <c r="DF126" s="839">
        <f t="shared" si="3188"/>
        <v>0</v>
      </c>
      <c r="DG126" s="839">
        <f t="shared" si="3188"/>
        <v>0</v>
      </c>
      <c r="DH126" s="839">
        <f t="shared" si="3188"/>
        <v>0</v>
      </c>
      <c r="DI126" s="839">
        <f t="shared" si="3188"/>
        <v>0</v>
      </c>
      <c r="DJ126" s="839">
        <f t="shared" si="3188"/>
        <v>0</v>
      </c>
      <c r="DK126" s="839">
        <f t="shared" si="3188"/>
        <v>0</v>
      </c>
      <c r="DL126" s="839">
        <f t="shared" si="3188"/>
        <v>0</v>
      </c>
      <c r="DM126" s="839">
        <f t="shared" ref="DM126:EN126" si="3189">SUM(DM117:DM125)</f>
        <v>0</v>
      </c>
      <c r="DN126" s="839">
        <f t="shared" si="3189"/>
        <v>0</v>
      </c>
      <c r="DO126" s="839">
        <f t="shared" si="3189"/>
        <v>0</v>
      </c>
      <c r="DP126" s="839">
        <f t="shared" si="3189"/>
        <v>0</v>
      </c>
      <c r="DQ126" s="839">
        <f t="shared" si="3189"/>
        <v>0</v>
      </c>
      <c r="DR126" s="839">
        <f t="shared" si="3189"/>
        <v>0</v>
      </c>
      <c r="DS126" s="839">
        <f t="shared" si="3189"/>
        <v>0</v>
      </c>
      <c r="DT126" s="839">
        <f t="shared" si="3189"/>
        <v>0</v>
      </c>
      <c r="DU126" s="839">
        <f t="shared" si="3189"/>
        <v>0</v>
      </c>
      <c r="DV126" s="839">
        <f t="shared" si="3189"/>
        <v>0</v>
      </c>
      <c r="DW126" s="839">
        <f t="shared" si="3189"/>
        <v>0</v>
      </c>
      <c r="DX126" s="839">
        <f t="shared" si="3189"/>
        <v>0</v>
      </c>
      <c r="DY126" s="839">
        <f t="shared" si="3189"/>
        <v>0</v>
      </c>
      <c r="DZ126" s="839">
        <f t="shared" si="3189"/>
        <v>0</v>
      </c>
      <c r="EA126" s="839">
        <f t="shared" si="3189"/>
        <v>0</v>
      </c>
      <c r="EB126" s="839">
        <f t="shared" si="3189"/>
        <v>0</v>
      </c>
      <c r="EC126" s="839">
        <f t="shared" si="3189"/>
        <v>0</v>
      </c>
      <c r="ED126" s="839">
        <f t="shared" si="3189"/>
        <v>0</v>
      </c>
      <c r="EE126" s="839">
        <f t="shared" si="3189"/>
        <v>0</v>
      </c>
      <c r="EF126" s="839">
        <f t="shared" si="3189"/>
        <v>31691.285</v>
      </c>
      <c r="EG126" s="839">
        <f t="shared" si="3189"/>
        <v>7528.7150000000001</v>
      </c>
      <c r="EH126" s="839">
        <f t="shared" si="3189"/>
        <v>169.5</v>
      </c>
      <c r="EI126" s="839">
        <f t="shared" si="3189"/>
        <v>4736.57125</v>
      </c>
      <c r="EJ126" s="839">
        <f t="shared" si="3189"/>
        <v>0</v>
      </c>
      <c r="EK126" s="839">
        <f t="shared" si="3189"/>
        <v>0</v>
      </c>
      <c r="EL126" s="839">
        <f t="shared" si="3189"/>
        <v>0</v>
      </c>
      <c r="EM126" s="839">
        <f t="shared" si="3189"/>
        <v>4615.4093868750006</v>
      </c>
      <c r="EN126" s="839">
        <f t="shared" si="3189"/>
        <v>48571.980636875</v>
      </c>
      <c r="EO126" s="839"/>
      <c r="EP126" s="839">
        <f t="shared" ref="EP126:EY126" si="3190">SUM(EP117:EP125)</f>
        <v>844.51</v>
      </c>
      <c r="EQ126" s="839">
        <f t="shared" si="3190"/>
        <v>0</v>
      </c>
      <c r="ER126" s="839">
        <f t="shared" si="3190"/>
        <v>0</v>
      </c>
      <c r="ES126" s="839">
        <f t="shared" si="3190"/>
        <v>1458.75</v>
      </c>
      <c r="ET126" s="839">
        <f t="shared" si="3190"/>
        <v>82.5</v>
      </c>
      <c r="EU126" s="839">
        <f t="shared" si="3190"/>
        <v>0</v>
      </c>
      <c r="EV126" s="839">
        <f t="shared" si="3190"/>
        <v>0</v>
      </c>
      <c r="EW126" s="839">
        <f t="shared" si="3190"/>
        <v>0</v>
      </c>
      <c r="EX126" s="1190">
        <f t="shared" si="3190"/>
        <v>0</v>
      </c>
      <c r="EY126" s="839">
        <f t="shared" si="3190"/>
        <v>82.5</v>
      </c>
      <c r="EZ126" s="839"/>
      <c r="FA126" s="839">
        <f t="shared" ref="FA126:FP126" si="3191">SUM(FA117:FA125)</f>
        <v>844.51</v>
      </c>
      <c r="FB126" s="839">
        <f t="shared" si="3191"/>
        <v>0</v>
      </c>
      <c r="FC126" s="839">
        <f t="shared" si="3191"/>
        <v>0</v>
      </c>
      <c r="FD126" s="839">
        <f t="shared" si="3191"/>
        <v>1458.75</v>
      </c>
      <c r="FE126" s="839">
        <f t="shared" si="3191"/>
        <v>82.5</v>
      </c>
      <c r="FF126" s="839">
        <f t="shared" si="3191"/>
        <v>0</v>
      </c>
      <c r="FG126" s="839">
        <f t="shared" si="3191"/>
        <v>0</v>
      </c>
      <c r="FH126" s="839">
        <f t="shared" si="3191"/>
        <v>0</v>
      </c>
      <c r="FI126" s="839">
        <f t="shared" si="3191"/>
        <v>0</v>
      </c>
      <c r="FJ126" s="839">
        <f t="shared" si="3191"/>
        <v>82.5</v>
      </c>
      <c r="FK126" s="839">
        <f t="shared" si="3191"/>
        <v>1</v>
      </c>
      <c r="FL126" s="839">
        <f t="shared" si="3191"/>
        <v>0</v>
      </c>
      <c r="FM126" s="839">
        <f t="shared" si="3191"/>
        <v>0</v>
      </c>
      <c r="FN126" s="839">
        <f t="shared" si="3191"/>
        <v>0</v>
      </c>
      <c r="FO126" s="839">
        <f t="shared" si="3191"/>
        <v>0</v>
      </c>
      <c r="FP126" s="839">
        <f t="shared" si="3191"/>
        <v>1</v>
      </c>
    </row>
    <row r="127" spans="1:185" s="778" customFormat="1" ht="15.75" customHeight="1" outlineLevel="1" thickTop="1">
      <c r="A127" s="1005" t="str">
        <f t="shared" ref="A127:A134" si="3192">$G$4</f>
        <v>JUNIO  2026 2da QUINCENA</v>
      </c>
      <c r="B127" s="1005">
        <f t="shared" ref="B127:B134" si="3193">+$G$5</f>
        <v>2026</v>
      </c>
      <c r="C127" s="1006" t="str">
        <f t="shared" si="1564"/>
        <v>JUNIO  2026 2da QUINCENA2026</v>
      </c>
      <c r="D127" s="776"/>
      <c r="E127" s="776"/>
      <c r="F127" s="776"/>
      <c r="G127" s="779" t="s">
        <v>112</v>
      </c>
      <c r="H127" s="776"/>
      <c r="J127" s="855"/>
      <c r="K127" s="834"/>
      <c r="L127" s="834"/>
      <c r="M127" s="834"/>
      <c r="N127" s="854"/>
      <c r="O127" s="854"/>
      <c r="P127" s="854"/>
      <c r="Q127" s="854"/>
      <c r="R127" s="854"/>
      <c r="S127" s="854"/>
      <c r="U127" s="824"/>
      <c r="V127" s="834"/>
      <c r="W127" s="824"/>
      <c r="X127" s="834"/>
      <c r="Y127" s="824"/>
      <c r="Z127" s="834"/>
      <c r="AA127" s="824"/>
      <c r="AB127" s="834"/>
      <c r="AC127" s="824"/>
      <c r="AD127" s="834"/>
      <c r="AE127" s="825"/>
      <c r="AF127" s="834"/>
      <c r="AG127" s="825"/>
      <c r="AH127" s="834"/>
      <c r="AI127" s="825"/>
      <c r="AJ127" s="834"/>
      <c r="AK127" s="825"/>
      <c r="AL127" s="834"/>
      <c r="AM127" s="825"/>
      <c r="AN127" s="834"/>
      <c r="AO127" s="834"/>
      <c r="AP127" s="834"/>
      <c r="AQ127" s="834"/>
      <c r="AR127" s="834"/>
      <c r="AS127" s="834"/>
      <c r="AT127" s="834"/>
      <c r="AU127" s="834"/>
      <c r="AV127" s="834"/>
      <c r="AW127" s="834"/>
      <c r="AX127" s="834"/>
      <c r="AY127" s="834"/>
      <c r="BA127" s="834"/>
      <c r="BB127" s="834"/>
      <c r="BC127" s="834"/>
      <c r="BD127" s="834"/>
      <c r="BE127" s="834"/>
      <c r="BF127" s="834"/>
      <c r="BG127" s="834"/>
      <c r="BH127" s="834"/>
      <c r="BI127" s="834"/>
      <c r="BJ127" s="834"/>
      <c r="BK127" s="834"/>
      <c r="BL127" s="834"/>
      <c r="BM127" s="834"/>
      <c r="BN127" s="834"/>
      <c r="BO127" s="834"/>
      <c r="BP127" s="834"/>
      <c r="BQ127" s="834"/>
      <c r="BR127" s="834"/>
      <c r="BS127" s="834"/>
      <c r="BT127" s="834"/>
      <c r="BU127" s="834"/>
      <c r="BV127" s="834"/>
      <c r="BW127" s="834"/>
      <c r="BX127" s="834"/>
      <c r="BY127" s="834"/>
      <c r="BZ127" s="834"/>
      <c r="CA127" s="834"/>
      <c r="CB127" s="834"/>
      <c r="CC127" s="834"/>
      <c r="CD127" s="834"/>
      <c r="CE127" s="834"/>
      <c r="CF127" s="834"/>
      <c r="CG127" s="834"/>
      <c r="CH127" s="834"/>
      <c r="CI127" s="834"/>
      <c r="CJ127" s="834"/>
      <c r="CK127" s="834"/>
      <c r="CL127" s="834"/>
      <c r="CM127" s="834"/>
      <c r="CN127" s="834"/>
      <c r="CO127" s="834"/>
      <c r="CP127" s="834"/>
      <c r="CQ127" s="834"/>
      <c r="CR127" s="834"/>
      <c r="CS127" s="834"/>
      <c r="CV127" s="822"/>
      <c r="CW127" s="822"/>
      <c r="CX127" s="822"/>
      <c r="CY127" s="822"/>
      <c r="CZ127" s="822"/>
      <c r="DA127" s="822"/>
      <c r="DB127" s="822"/>
      <c r="DC127" s="822"/>
      <c r="DD127" s="822"/>
      <c r="DE127" s="822"/>
      <c r="DF127" s="822"/>
      <c r="DG127" s="822"/>
      <c r="DH127" s="822"/>
      <c r="DI127" s="822"/>
      <c r="DJ127" s="822"/>
      <c r="DK127" s="822"/>
      <c r="DL127" s="822"/>
      <c r="DM127" s="822"/>
      <c r="DN127" s="822"/>
      <c r="DO127" s="822"/>
      <c r="DP127" s="822"/>
      <c r="DQ127" s="822"/>
      <c r="DR127" s="822"/>
      <c r="DS127" s="822"/>
      <c r="DT127" s="822"/>
      <c r="DU127" s="822"/>
      <c r="DV127" s="822"/>
      <c r="DW127" s="822"/>
      <c r="DX127" s="822"/>
      <c r="DY127" s="822"/>
      <c r="DZ127" s="822"/>
      <c r="EA127" s="822"/>
      <c r="EB127" s="822"/>
      <c r="EC127" s="822"/>
      <c r="ED127" s="822"/>
      <c r="EE127" s="822"/>
      <c r="EF127" s="822"/>
      <c r="EG127" s="822"/>
      <c r="EH127" s="822"/>
      <c r="EI127" s="822"/>
      <c r="EJ127" s="822"/>
      <c r="EK127" s="822"/>
      <c r="EL127" s="822"/>
      <c r="EM127" s="822"/>
      <c r="EN127" s="822"/>
      <c r="EP127" s="235"/>
      <c r="ES127" s="216"/>
      <c r="EV127" s="778" t="s">
        <v>52</v>
      </c>
      <c r="FK127" s="799"/>
      <c r="FL127" s="799"/>
      <c r="FM127" s="799"/>
      <c r="FN127" s="799"/>
      <c r="FO127" s="799"/>
      <c r="FP127" s="799"/>
    </row>
    <row r="128" spans="1:185" s="778" customFormat="1" ht="15.75" customHeight="1" outlineLevel="1">
      <c r="A128" s="1005" t="str">
        <f t="shared" si="3192"/>
        <v>JUNIO  2026 2da QUINCENA</v>
      </c>
      <c r="B128" s="1005">
        <f t="shared" si="3193"/>
        <v>2026</v>
      </c>
      <c r="C128" s="1006" t="str">
        <f t="shared" si="1564"/>
        <v>JUNIO  2026 2da QUINCENA2026</v>
      </c>
      <c r="D128" s="776" t="str">
        <f>+$G$127</f>
        <v>Mantenimiento</v>
      </c>
      <c r="E128" s="776">
        <v>305010</v>
      </c>
      <c r="F128" s="776"/>
      <c r="G128" s="723" t="s">
        <v>622</v>
      </c>
      <c r="H128" s="776"/>
      <c r="J128" s="855"/>
      <c r="K128" s="834"/>
      <c r="L128" s="834"/>
      <c r="M128" s="834"/>
      <c r="N128" s="854"/>
      <c r="O128" s="854"/>
      <c r="P128" s="854"/>
      <c r="Q128" s="854"/>
      <c r="R128" s="854"/>
      <c r="S128" s="854"/>
      <c r="U128" s="824"/>
      <c r="V128" s="834"/>
      <c r="W128" s="824"/>
      <c r="X128" s="834"/>
      <c r="Y128" s="824"/>
      <c r="Z128" s="834"/>
      <c r="AA128" s="824"/>
      <c r="AB128" s="834"/>
      <c r="AC128" s="824"/>
      <c r="AD128" s="834"/>
      <c r="AE128" s="825"/>
      <c r="AF128" s="834"/>
      <c r="AG128" s="825"/>
      <c r="AH128" s="834"/>
      <c r="AI128" s="825"/>
      <c r="AJ128" s="834"/>
      <c r="AK128" s="825"/>
      <c r="AL128" s="834"/>
      <c r="AM128" s="825"/>
      <c r="AN128" s="834"/>
      <c r="AO128" s="834"/>
      <c r="AP128" s="834"/>
      <c r="AQ128" s="834"/>
      <c r="AR128" s="834"/>
      <c r="AS128" s="834"/>
      <c r="AT128" s="834"/>
      <c r="AU128" s="834"/>
      <c r="AV128" s="834"/>
      <c r="AW128" s="834"/>
      <c r="AX128" s="834"/>
      <c r="AY128" s="834"/>
      <c r="BA128" s="834"/>
      <c r="BB128" s="834"/>
      <c r="BC128" s="834"/>
      <c r="BD128" s="834"/>
      <c r="BE128" s="834"/>
      <c r="BF128" s="834"/>
      <c r="BG128" s="834"/>
      <c r="BH128" s="834"/>
      <c r="BI128" s="834"/>
      <c r="BJ128" s="834"/>
      <c r="BK128" s="834"/>
      <c r="BL128" s="834"/>
      <c r="BM128" s="834"/>
      <c r="BN128" s="834"/>
      <c r="BO128" s="834"/>
      <c r="BP128" s="834"/>
      <c r="BQ128" s="834"/>
      <c r="BR128" s="834"/>
      <c r="BS128" s="834"/>
      <c r="BT128" s="834"/>
      <c r="BU128" s="834"/>
      <c r="BV128" s="834"/>
      <c r="BW128" s="834"/>
      <c r="BX128" s="834"/>
      <c r="BY128" s="834"/>
      <c r="BZ128" s="834"/>
      <c r="CA128" s="834"/>
      <c r="CB128" s="834"/>
      <c r="CC128" s="834"/>
      <c r="CD128" s="834"/>
      <c r="CE128" s="834"/>
      <c r="CF128" s="834"/>
      <c r="CG128" s="834"/>
      <c r="CH128" s="834"/>
      <c r="CI128" s="834"/>
      <c r="CJ128" s="834"/>
      <c r="CK128" s="834"/>
      <c r="CL128" s="834"/>
      <c r="CM128" s="834"/>
      <c r="CN128" s="834"/>
      <c r="CO128" s="834"/>
      <c r="CP128" s="834"/>
      <c r="CQ128" s="834"/>
      <c r="CR128" s="834"/>
      <c r="CS128" s="834"/>
      <c r="CV128" s="822"/>
      <c r="CW128" s="822"/>
      <c r="CX128" s="822"/>
      <c r="CY128" s="822"/>
      <c r="CZ128" s="822"/>
      <c r="DA128" s="822"/>
      <c r="DB128" s="822"/>
      <c r="DC128" s="822"/>
      <c r="DD128" s="822"/>
      <c r="DE128" s="822"/>
      <c r="DF128" s="822"/>
      <c r="DG128" s="822"/>
      <c r="DH128" s="822"/>
      <c r="DI128" s="822"/>
      <c r="DJ128" s="822"/>
      <c r="DK128" s="822"/>
      <c r="DL128" s="822"/>
      <c r="DM128" s="822"/>
      <c r="DN128" s="822"/>
      <c r="DO128" s="822"/>
      <c r="DP128" s="822"/>
      <c r="DQ128" s="822"/>
      <c r="DR128" s="822"/>
      <c r="DS128" s="822"/>
      <c r="DT128" s="822"/>
      <c r="DU128" s="822"/>
      <c r="DV128" s="822"/>
      <c r="DW128" s="822"/>
      <c r="DX128" s="822"/>
      <c r="DY128" s="822"/>
      <c r="DZ128" s="822"/>
      <c r="EA128" s="822"/>
      <c r="EB128" s="822"/>
      <c r="EC128" s="822"/>
      <c r="ED128" s="822"/>
      <c r="EE128" s="822"/>
      <c r="EF128" s="822"/>
      <c r="EG128" s="822"/>
      <c r="EH128" s="822"/>
      <c r="EI128" s="822"/>
      <c r="EJ128" s="822"/>
      <c r="EK128" s="822"/>
      <c r="EL128" s="822"/>
      <c r="EM128" s="822"/>
      <c r="EN128" s="822"/>
      <c r="EP128" s="235"/>
      <c r="ES128" s="216"/>
      <c r="FK128" s="799"/>
      <c r="FL128" s="799"/>
      <c r="FM128" s="799"/>
      <c r="FN128" s="799"/>
      <c r="FO128" s="799"/>
      <c r="FP128" s="799"/>
    </row>
    <row r="129" spans="1:188" s="216" customFormat="1" ht="15" customHeight="1" outlineLevel="1">
      <c r="A129" s="1005" t="str">
        <f t="shared" si="3192"/>
        <v>JUNIO  2026 2da QUINCENA</v>
      </c>
      <c r="B129" s="1005">
        <f t="shared" si="3193"/>
        <v>2026</v>
      </c>
      <c r="C129" s="1006" t="str">
        <f t="shared" si="1564"/>
        <v>JUNIO  2026 2da QUINCENA2026</v>
      </c>
      <c r="D129" s="776" t="str">
        <f>+$G$127</f>
        <v>Mantenimiento</v>
      </c>
      <c r="E129" s="776">
        <v>305010</v>
      </c>
      <c r="F129" s="268">
        <v>47</v>
      </c>
      <c r="G129" s="199" t="s">
        <v>421</v>
      </c>
      <c r="H129" s="200" t="s">
        <v>669</v>
      </c>
      <c r="I129" s="201" t="s">
        <v>11</v>
      </c>
      <c r="J129" s="202">
        <v>6500</v>
      </c>
      <c r="K129" s="202">
        <v>800</v>
      </c>
      <c r="L129" s="202">
        <f>+J129+K129</f>
        <v>7300</v>
      </c>
      <c r="M129" s="203">
        <v>30</v>
      </c>
      <c r="N129" s="819">
        <v>0.45</v>
      </c>
      <c r="O129" s="819">
        <v>0.4</v>
      </c>
      <c r="P129" s="819">
        <v>0.1</v>
      </c>
      <c r="Q129" s="204">
        <v>0.05</v>
      </c>
      <c r="R129" s="819">
        <v>0</v>
      </c>
      <c r="S129" s="204">
        <f>SUM(N129:R129)</f>
        <v>1</v>
      </c>
      <c r="T129" s="205"/>
      <c r="U129" s="238"/>
      <c r="V129" s="203">
        <f>($J129/30/8*1.5)*U129</f>
        <v>0</v>
      </c>
      <c r="W129" s="207">
        <v>0</v>
      </c>
      <c r="X129" s="203">
        <f>($J129/30/8*2)*W129</f>
        <v>0</v>
      </c>
      <c r="Y129" s="207"/>
      <c r="Z129" s="203">
        <f>($J129/30/8*1.5)*Y129</f>
        <v>0</v>
      </c>
      <c r="AA129" s="207"/>
      <c r="AB129" s="203">
        <f>($J129/30/8*2)*AA129</f>
        <v>0</v>
      </c>
      <c r="AC129" s="207">
        <v>0</v>
      </c>
      <c r="AD129" s="203">
        <f>(($J129/30/8)*1.5)*AC129</f>
        <v>0</v>
      </c>
      <c r="AE129" s="208"/>
      <c r="AF129" s="203">
        <f>(($J129/30/8)*2)*AE129</f>
        <v>0</v>
      </c>
      <c r="AG129" s="838"/>
      <c r="AH129" s="203">
        <f>(($J129/30/8)*1.5)*AG129</f>
        <v>0</v>
      </c>
      <c r="AI129" s="208"/>
      <c r="AJ129" s="203">
        <f>(($J129/30/8)*2)*AI129</f>
        <v>0</v>
      </c>
      <c r="AK129" s="203"/>
      <c r="AL129" s="203">
        <f>(($J129/30/8)*1.5)*AK129</f>
        <v>0</v>
      </c>
      <c r="AM129" s="208"/>
      <c r="AN129" s="203">
        <f>(($J129/30/8)*2)*AM129</f>
        <v>0</v>
      </c>
      <c r="AO129" s="202"/>
      <c r="AP129" s="202"/>
      <c r="AQ129" s="202"/>
      <c r="AR129" s="202"/>
      <c r="AS129" s="202"/>
      <c r="AT129" s="202"/>
      <c r="AU129" s="202"/>
      <c r="AV129" s="202"/>
      <c r="AW129" s="202"/>
      <c r="AX129" s="202"/>
      <c r="AY129" s="202"/>
      <c r="AZ129" s="212"/>
      <c r="BA129" s="239">
        <f>((J129/30)*M129)*$N129</f>
        <v>2925</v>
      </c>
      <c r="BB129" s="269">
        <f>((K129/30)*M129)*$N129+450</f>
        <v>810</v>
      </c>
      <c r="BC129" s="203">
        <f t="shared" ref="BC129:BC132" si="3194">U129</f>
        <v>0</v>
      </c>
      <c r="BD129" s="203">
        <f t="shared" ref="BD129" si="3195">V129</f>
        <v>0</v>
      </c>
      <c r="BE129" s="203">
        <f t="shared" ref="BE129" si="3196">W129</f>
        <v>0</v>
      </c>
      <c r="BF129" s="203">
        <f t="shared" ref="BF129" si="3197">X129</f>
        <v>0</v>
      </c>
      <c r="BG129" s="203">
        <f>AO129+AT129</f>
        <v>0</v>
      </c>
      <c r="BH129" s="203">
        <f t="shared" ref="BH129:BH134" si="3198">(BA129+BD129+BF129+BG129)*0.1267</f>
        <v>370.59750000000003</v>
      </c>
      <c r="BI129" s="203">
        <f>SUM(BA129:BH129)-BC129-BE129</f>
        <v>4105.5974999999999</v>
      </c>
      <c r="BJ129" s="203">
        <f>(($J129/30)*$M129)*$O129</f>
        <v>2600</v>
      </c>
      <c r="BK129" s="864">
        <f>(($K129/30)*$M129)*$O129+500</f>
        <v>820</v>
      </c>
      <c r="BL129" s="203">
        <f t="shared" ref="BL129" si="3199">Y129</f>
        <v>0</v>
      </c>
      <c r="BM129" s="203">
        <f t="shared" ref="BM129" si="3200">Z129</f>
        <v>0</v>
      </c>
      <c r="BN129" s="203">
        <f t="shared" ref="BN129" si="3201">AA129</f>
        <v>0</v>
      </c>
      <c r="BO129" s="203">
        <f t="shared" ref="BO129" si="3202">AB129</f>
        <v>0</v>
      </c>
      <c r="BP129" s="203">
        <f>AP129+AU129</f>
        <v>0</v>
      </c>
      <c r="BQ129" s="203">
        <f t="shared" ref="BQ129:BQ134" si="3203">(+BJ129+BM129+BO129+BP129)*0.1267</f>
        <v>329.42</v>
      </c>
      <c r="BR129" s="202">
        <f>SUM(BJ129:BQ129)-BL129-BN129</f>
        <v>3749.42</v>
      </c>
      <c r="BS129" s="203">
        <f>(($J129/30)*$M129)*$P129</f>
        <v>650</v>
      </c>
      <c r="BT129" s="239">
        <f>(($K129/30)*$M129)*$P129</f>
        <v>80</v>
      </c>
      <c r="BU129" s="203">
        <f t="shared" ref="BU129" si="3204">AC129</f>
        <v>0</v>
      </c>
      <c r="BV129" s="203">
        <f t="shared" ref="BV129" si="3205">AD129</f>
        <v>0</v>
      </c>
      <c r="BW129" s="203">
        <f t="shared" ref="BW129" si="3206">AE129</f>
        <v>0</v>
      </c>
      <c r="BX129" s="203">
        <f>AF129</f>
        <v>0</v>
      </c>
      <c r="BY129" s="203">
        <f>AQ129+AV129</f>
        <v>0</v>
      </c>
      <c r="BZ129" s="203">
        <f t="shared" ref="BZ129:BZ134" si="3207">(BS129+BV129+BX129+BY129)*0.1267</f>
        <v>82.355000000000004</v>
      </c>
      <c r="CA129" s="203">
        <f>SUM(BS129:BZ129)-BU129-BW129</f>
        <v>812.35500000000002</v>
      </c>
      <c r="CB129" s="241">
        <f>(($J129/30)*$M129)*$Q129</f>
        <v>325</v>
      </c>
      <c r="CC129" s="242">
        <f>(($K129/30)*$M129)*$Q129</f>
        <v>40</v>
      </c>
      <c r="CD129" s="242">
        <f t="shared" ref="CD129" si="3208">AG129</f>
        <v>0</v>
      </c>
      <c r="CE129" s="242">
        <f t="shared" ref="CE129" si="3209">AH129</f>
        <v>0</v>
      </c>
      <c r="CF129" s="242">
        <f t="shared" ref="CF129" si="3210">AI129</f>
        <v>0</v>
      </c>
      <c r="CG129" s="242">
        <f t="shared" ref="CG129" si="3211">AJ129</f>
        <v>0</v>
      </c>
      <c r="CH129" s="242">
        <f>AR129+AW129</f>
        <v>0</v>
      </c>
      <c r="CI129" s="703">
        <f t="shared" ref="CI129:CI134" si="3212">(CB129+CE129+CG129+CH129)*0.1267</f>
        <v>41.177500000000002</v>
      </c>
      <c r="CJ129" s="242">
        <f>SUM(CB129:CI129)-CD129-CF129</f>
        <v>406.17750000000001</v>
      </c>
      <c r="CK129" s="242">
        <f>(($J129/30)*$M129)*R129</f>
        <v>0</v>
      </c>
      <c r="CL129" s="242">
        <f>(($K129/30)*$M129)*$R129</f>
        <v>0</v>
      </c>
      <c r="CM129" s="242">
        <f>+AK129</f>
        <v>0</v>
      </c>
      <c r="CN129" s="242">
        <f t="shared" ref="CN129" si="3213">AL129</f>
        <v>0</v>
      </c>
      <c r="CO129" s="242">
        <f t="shared" ref="CO129" si="3214">AM129</f>
        <v>0</v>
      </c>
      <c r="CP129" s="242">
        <f t="shared" ref="CP129" si="3215">AN129</f>
        <v>0</v>
      </c>
      <c r="CQ129" s="242">
        <f>AS129+AX129</f>
        <v>0</v>
      </c>
      <c r="CR129" s="242">
        <f>(CK129+CN129+CP129)*0.1267</f>
        <v>0</v>
      </c>
      <c r="CS129" s="243">
        <f>SUM(CK129:CR129)-CM129-CO129</f>
        <v>0</v>
      </c>
      <c r="CU129" s="201" t="s">
        <v>11</v>
      </c>
      <c r="CV129" s="203">
        <f t="shared" ref="CV129" si="3216">IF($CU129="PROQUIMA",$BA129+$BJ129+$BS129+$CB129+$CK129,0)</f>
        <v>0</v>
      </c>
      <c r="CW129" s="203">
        <f t="shared" ref="CW129" si="3217">IF($CU129="PROQUIMA",$BB129+$BK129+$BT129+$CC129+$CL129,0)</f>
        <v>0</v>
      </c>
      <c r="CX129" s="203">
        <f t="shared" ref="CX129" si="3218">IF($CU129="PROQUIMA",$BC129+$BL129+$BU129+$CD129+$CM129,0)</f>
        <v>0</v>
      </c>
      <c r="CY129" s="203">
        <f t="shared" ref="CY129" si="3219">IF($CU129="PROQUIMA",$BD129+$BM129+$BV129+$CE129+$CN129,0)</f>
        <v>0</v>
      </c>
      <c r="CZ129" s="203">
        <f t="shared" ref="CZ129" si="3220">IF($CU129="PROQUIMA",$BE129+$BN129+$BW129+$CF129+$CO129,0)</f>
        <v>0</v>
      </c>
      <c r="DA129" s="203">
        <f t="shared" ref="DA129" si="3221">IF($CU129="PROQUIMA",$BF129+$BO129+$BX129+$CG129+$CP129,0)</f>
        <v>0</v>
      </c>
      <c r="DB129" s="203">
        <f t="shared" ref="DB129" si="3222">IF($CU129="PROQUIMA",$BG129+$BP129+$BY129+$CH129+$CQ129,0)</f>
        <v>0</v>
      </c>
      <c r="DC129" s="203">
        <f t="shared" ref="DC129" si="3223">IF($CU129="PROQUIMA",$BH129+$BQ129+$BZ129+$CI129+CR129,0)</f>
        <v>0</v>
      </c>
      <c r="DD129" s="203">
        <f t="shared" ref="DD129" si="3224">SUM(CV129:DC129)-CX129-CZ129</f>
        <v>0</v>
      </c>
      <c r="DE129" s="203">
        <f t="shared" ref="DE129" si="3225">IF($CU129="UNHESA",$BA129+$BJ129+$BS129+$CB129+$CK129,0)</f>
        <v>0</v>
      </c>
      <c r="DF129" s="203">
        <f t="shared" ref="DF129" si="3226">IF($CU129="UNHESA",$BB129+$BK129+$BT129+$CC129+$CL129,0)</f>
        <v>0</v>
      </c>
      <c r="DG129" s="239">
        <f t="shared" ref="DG129" si="3227">IF($CU129="UNHESA",$BC129+$BL129+$BU129+$CD129+$CM129,0)</f>
        <v>0</v>
      </c>
      <c r="DH129" s="239">
        <f t="shared" ref="DH129" si="3228">IF($CU129="UNHESA",$BD129+$BM129+$BV129+$CE129+$CN129,0)</f>
        <v>0</v>
      </c>
      <c r="DI129" s="239">
        <f t="shared" ref="DI129" si="3229">IF($CU129="UNHESA",$BE129+$BN129+$BW129+$CF129+$CO129,0)</f>
        <v>0</v>
      </c>
      <c r="DJ129" s="203">
        <f t="shared" ref="DJ129" si="3230">IF($CU129="UNHESA",$BF129+$BO129+$BX129+$CG129+$CP129,0)</f>
        <v>0</v>
      </c>
      <c r="DK129" s="203">
        <f t="shared" ref="DK129" si="3231">IF($CU129="UNHESA",$BG129+$BP129+$BY129+$CH129+$CQ129,0)</f>
        <v>0</v>
      </c>
      <c r="DL129" s="203">
        <f t="shared" ref="DL129" si="3232">IF($CU129="UNHESA",$BH129+$BQ129+$BZ129+$CI129+$CR129,0)</f>
        <v>0</v>
      </c>
      <c r="DM129" s="203">
        <f t="shared" ref="DM129" si="3233">SUM(DE129:DL129)-DG129-DI129</f>
        <v>0</v>
      </c>
      <c r="DN129" s="210">
        <f t="shared" ref="DN129" si="3234">IF($CU129="UNHESA LIQUIDOS",$BA129+$BJ129+$BS129+$CB129+$CK129,0)</f>
        <v>0</v>
      </c>
      <c r="DO129" s="210">
        <f t="shared" ref="DO129" si="3235">IF($CU129="UNHESA LIQUIDOS",$BB129+$BK129+$BT129+$CC129+$CL129,0)</f>
        <v>0</v>
      </c>
      <c r="DP129" s="210">
        <f t="shared" ref="DP129" si="3236">IF($CU129="UNHESA LIQUIDOS",$BC129+$BL129+$BU129+$CD129+$CM129,0)</f>
        <v>0</v>
      </c>
      <c r="DQ129" s="210">
        <f t="shared" ref="DQ129" si="3237">IF($CU129="UNHESA LIQUIDOS",$BD129+$BM129+$BV129+$CE129+$CN129,0)</f>
        <v>0</v>
      </c>
      <c r="DR129" s="210">
        <f t="shared" ref="DR129" si="3238">IF($CU129="UNHESA LIQUIDOS",$BE129+$BN129+$BW129+$CF129+$CO129,0)</f>
        <v>0</v>
      </c>
      <c r="DS129" s="210">
        <f t="shared" ref="DS129" si="3239">IF($CU129="UNHESA LIQUIDOS",$BF129+$BO129+$BX129+$CG129+$CP129,0)</f>
        <v>0</v>
      </c>
      <c r="DT129" s="210">
        <f t="shared" ref="DT129" si="3240">IF($CU129="UNHESA LIQUIDOS",$BG129+$BP129+$BY129+$CH129+$CQ129,0)</f>
        <v>0</v>
      </c>
      <c r="DU129" s="210">
        <f t="shared" ref="DU129" si="3241">IF($CU129="UNHESA LIQUIDOS",$BH129+$BQ129+$BZ129+$CI129+$CR129,0)</f>
        <v>0</v>
      </c>
      <c r="DV129" s="210">
        <f t="shared" ref="DV129" si="3242">SUM(DN129:DU129)-DP129-DR129</f>
        <v>0</v>
      </c>
      <c r="DW129" s="241">
        <f>IF($CU129="CLEARTEC",$BA129+$BJ129+$BS129+$CB129+$CK129,0)</f>
        <v>0</v>
      </c>
      <c r="DX129" s="241">
        <f t="shared" ref="DX129:ED129" si="3243">IF($CU129="CLEARTEC",$BA129+$BJ129+$BS129+$CB129+$CK129,0)</f>
        <v>0</v>
      </c>
      <c r="DY129" s="241">
        <f t="shared" si="3243"/>
        <v>0</v>
      </c>
      <c r="DZ129" s="241">
        <f t="shared" si="3243"/>
        <v>0</v>
      </c>
      <c r="EA129" s="241">
        <f t="shared" si="3243"/>
        <v>0</v>
      </c>
      <c r="EB129" s="241">
        <f t="shared" si="3243"/>
        <v>0</v>
      </c>
      <c r="EC129" s="241">
        <f t="shared" si="3243"/>
        <v>0</v>
      </c>
      <c r="ED129" s="241">
        <f t="shared" si="3243"/>
        <v>0</v>
      </c>
      <c r="EE129" s="242">
        <f t="shared" ref="EE129" si="3244">SUM(DW129:ED129)-DY129-EA129</f>
        <v>0</v>
      </c>
      <c r="EF129" s="203">
        <f t="shared" ref="EF129" si="3245">IF(CU129="ECONACIONAL",$BA129+$BJ129+$BS129+$CB129+$CK129)</f>
        <v>6500</v>
      </c>
      <c r="EG129" s="242">
        <f t="shared" ref="EG129:EG134" si="3246">IF($CU129="ECONACIONAL",$BB129+$BK129+$BT129+$CC129+$CL129,0)</f>
        <v>1750</v>
      </c>
      <c r="EH129" s="203">
        <f t="shared" ref="EH129:EH134" si="3247">IF(CU129="ECONACIONAL",$BC129+$BL129+$BU129+$CD129+$CM129)</f>
        <v>0</v>
      </c>
      <c r="EI129" s="203">
        <f t="shared" ref="EI129:EI134" si="3248">IF(CU129="ECONACIONAL",$BD129+$DH129+$DQ129+$DZ129+BM129+BV129+CE129+CN129)</f>
        <v>0</v>
      </c>
      <c r="EJ129" s="242">
        <f t="shared" ref="EJ129:EJ134" si="3249">IF($CU129="CLEARTEC",$BE129+$BN129+$BW129+$CF129+$CO129,0)</f>
        <v>0</v>
      </c>
      <c r="EK129" s="203">
        <f t="shared" ref="EK129" si="3250">IF(CU129="ECONACIONAL",$BF129+$BO129+$BX129+$CG129+$CP129)</f>
        <v>0</v>
      </c>
      <c r="EL129" s="203">
        <f t="shared" ref="EL129" si="3251">IF(CU129="ECONACIONAL",$BG129+$BP129+$BY129+$CH129+$CQ129)</f>
        <v>0</v>
      </c>
      <c r="EM129" s="203">
        <f t="shared" ref="EM129" si="3252">IF(CU129="ECONACIONAL",BH129+BQ129+BZ129+CI129+CR129)</f>
        <v>823.55000000000007</v>
      </c>
      <c r="EN129" s="203">
        <f t="shared" ref="EN129" si="3253">SUM(EF129:EM129)-EH129-EJ129</f>
        <v>9073.5499999999993</v>
      </c>
      <c r="EP129" s="1192">
        <v>213</v>
      </c>
      <c r="EQ129" s="201"/>
      <c r="ER129" s="201"/>
      <c r="ES129" s="201">
        <f>267+285.75</f>
        <v>552.75</v>
      </c>
      <c r="ET129" s="201"/>
      <c r="EU129" s="200"/>
      <c r="EV129" s="200">
        <v>350</v>
      </c>
      <c r="EW129" s="201"/>
      <c r="EX129" s="201"/>
      <c r="EY129" s="201">
        <f t="shared" ref="EY129:EY134" si="3254">+ET129+EU129+EV129</f>
        <v>350</v>
      </c>
      <c r="FA129" s="207">
        <f t="shared" ref="FA129:FJ129" si="3255">IF($M129&lt;=15,EP129/2,EP129)</f>
        <v>213</v>
      </c>
      <c r="FB129" s="207">
        <f t="shared" si="3255"/>
        <v>0</v>
      </c>
      <c r="FC129" s="207">
        <f t="shared" si="3255"/>
        <v>0</v>
      </c>
      <c r="FD129" s="207">
        <f t="shared" si="3255"/>
        <v>552.75</v>
      </c>
      <c r="FE129" s="207">
        <f t="shared" si="3255"/>
        <v>0</v>
      </c>
      <c r="FF129" s="207">
        <f t="shared" si="3255"/>
        <v>0</v>
      </c>
      <c r="FG129" s="207">
        <f t="shared" si="3255"/>
        <v>350</v>
      </c>
      <c r="FH129" s="207">
        <f t="shared" si="3255"/>
        <v>0</v>
      </c>
      <c r="FI129" s="207">
        <f t="shared" si="3255"/>
        <v>0</v>
      </c>
      <c r="FJ129" s="207">
        <f t="shared" si="3255"/>
        <v>350</v>
      </c>
      <c r="FK129" s="217">
        <v>0.5</v>
      </c>
      <c r="FL129" s="217">
        <v>0.25</v>
      </c>
      <c r="FM129" s="217">
        <v>0.25</v>
      </c>
      <c r="FN129" s="217">
        <v>0</v>
      </c>
      <c r="FO129" s="217">
        <v>0</v>
      </c>
      <c r="FP129" s="217">
        <v>1</v>
      </c>
      <c r="FR129" s="1177">
        <f>(((J129/30/8)*1.5)*(U129+Y129+AC129))-(BD129+BM129+BV129)</f>
        <v>0</v>
      </c>
      <c r="FS129" s="1177">
        <f t="shared" ref="FS129" si="3256">(((J129/30/8)*2)*(W129+AA129+AE129))-(BF129+BO129+BX129)</f>
        <v>0</v>
      </c>
      <c r="FT129" s="1178">
        <f>(SUM(BA129:CJ129))-(SUM(EF129:EN129))</f>
        <v>0</v>
      </c>
      <c r="FU129" s="1177">
        <f>(J129/30*M129)-(EF129)</f>
        <v>0</v>
      </c>
      <c r="FV129" s="1181">
        <f>(SUM(EP129:EY129))-((SUM(FA129:FJ129))*$FV$5)</f>
        <v>-1465.75</v>
      </c>
    </row>
    <row r="130" spans="1:188" s="216" customFormat="1" ht="15" customHeight="1" outlineLevel="1">
      <c r="A130" s="1005" t="str">
        <f t="shared" si="3192"/>
        <v>JUNIO  2026 2da QUINCENA</v>
      </c>
      <c r="B130" s="1005">
        <f t="shared" si="3193"/>
        <v>2026</v>
      </c>
      <c r="C130" s="1006" t="str">
        <f t="shared" si="1564"/>
        <v>JUNIO  2026 2da QUINCENA2026</v>
      </c>
      <c r="D130" s="235"/>
      <c r="E130" s="776">
        <v>305010</v>
      </c>
      <c r="F130" s="268"/>
      <c r="G130" s="723" t="s">
        <v>655</v>
      </c>
      <c r="H130" s="235"/>
      <c r="J130" s="860"/>
      <c r="K130" s="860" t="s">
        <v>52</v>
      </c>
      <c r="L130" s="860"/>
      <c r="M130" s="801"/>
      <c r="N130" s="870"/>
      <c r="O130" s="870"/>
      <c r="P130" s="870"/>
      <c r="Q130" s="957"/>
      <c r="R130" s="870"/>
      <c r="S130" s="957"/>
      <c r="T130" s="205"/>
      <c r="U130" s="959"/>
      <c r="V130" s="801"/>
      <c r="W130" s="960"/>
      <c r="X130" s="801"/>
      <c r="Y130" s="960"/>
      <c r="Z130" s="801"/>
      <c r="AA130" s="960"/>
      <c r="AB130" s="801"/>
      <c r="AC130" s="960"/>
      <c r="AD130" s="801"/>
      <c r="AE130" s="961"/>
      <c r="AF130" s="801"/>
      <c r="AG130" s="965"/>
      <c r="AH130" s="801"/>
      <c r="AI130" s="961"/>
      <c r="AJ130" s="801"/>
      <c r="AK130" s="801"/>
      <c r="AL130" s="801"/>
      <c r="AM130" s="961"/>
      <c r="AN130" s="801"/>
      <c r="AO130" s="860"/>
      <c r="AP130" s="860"/>
      <c r="AQ130" s="860"/>
      <c r="AR130" s="860"/>
      <c r="AS130" s="860"/>
      <c r="AT130" s="860"/>
      <c r="AU130" s="860"/>
      <c r="AV130" s="860"/>
      <c r="AW130" s="860"/>
      <c r="AX130" s="860"/>
      <c r="AY130" s="860"/>
      <c r="AZ130" s="966"/>
      <c r="BA130" s="880"/>
      <c r="BB130" s="880"/>
      <c r="BC130" s="801"/>
      <c r="BD130" s="801"/>
      <c r="BE130" s="801"/>
      <c r="BF130" s="801"/>
      <c r="BG130" s="801"/>
      <c r="BH130" s="801"/>
      <c r="BI130" s="801"/>
      <c r="BJ130" s="801"/>
      <c r="BK130" s="801"/>
      <c r="BL130" s="801"/>
      <c r="BM130" s="801"/>
      <c r="BN130" s="801"/>
      <c r="BO130" s="801"/>
      <c r="BP130" s="801"/>
      <c r="BQ130" s="801"/>
      <c r="BR130" s="860"/>
      <c r="BS130" s="801"/>
      <c r="BT130" s="880"/>
      <c r="BU130" s="801"/>
      <c r="BV130" s="801"/>
      <c r="BW130" s="801"/>
      <c r="BX130" s="801"/>
      <c r="BY130" s="801"/>
      <c r="BZ130" s="801"/>
      <c r="CA130" s="801"/>
      <c r="CB130" s="801"/>
      <c r="CC130" s="801"/>
      <c r="CD130" s="801"/>
      <c r="CE130" s="801"/>
      <c r="CF130" s="801"/>
      <c r="CG130" s="801"/>
      <c r="CH130" s="801"/>
      <c r="CI130" s="801"/>
      <c r="CJ130" s="801"/>
      <c r="CK130" s="801"/>
      <c r="CL130" s="801"/>
      <c r="CM130" s="801"/>
      <c r="CN130" s="801"/>
      <c r="CO130" s="801"/>
      <c r="CP130" s="801"/>
      <c r="CQ130" s="801"/>
      <c r="CR130" s="801"/>
      <c r="CS130" s="801"/>
      <c r="CV130" s="801"/>
      <c r="CW130" s="801"/>
      <c r="CX130" s="801"/>
      <c r="CY130" s="801"/>
      <c r="CZ130" s="801"/>
      <c r="DA130" s="801"/>
      <c r="DB130" s="801"/>
      <c r="DC130" s="801"/>
      <c r="DD130" s="801"/>
      <c r="DE130" s="801"/>
      <c r="DF130" s="801"/>
      <c r="DG130" s="801"/>
      <c r="DH130" s="801"/>
      <c r="DI130" s="801"/>
      <c r="DJ130" s="801"/>
      <c r="DK130" s="801"/>
      <c r="DL130" s="801"/>
      <c r="DM130" s="801"/>
      <c r="DN130" s="801"/>
      <c r="DO130" s="801"/>
      <c r="DP130" s="801"/>
      <c r="DQ130" s="801"/>
      <c r="DR130" s="801"/>
      <c r="DS130" s="801"/>
      <c r="DT130" s="801"/>
      <c r="DU130" s="801"/>
      <c r="DV130" s="801"/>
      <c r="DW130" s="801"/>
      <c r="DX130" s="801"/>
      <c r="DY130" s="801"/>
      <c r="DZ130" s="801"/>
      <c r="EA130" s="801"/>
      <c r="EB130" s="801"/>
      <c r="EC130" s="801"/>
      <c r="ED130" s="801"/>
      <c r="EE130" s="801"/>
      <c r="EF130" s="801"/>
      <c r="EG130" s="801"/>
      <c r="EH130" s="801"/>
      <c r="EI130" s="801"/>
      <c r="EJ130" s="801"/>
      <c r="EK130" s="801"/>
      <c r="EL130" s="801"/>
      <c r="EM130" s="801"/>
      <c r="EN130" s="801"/>
      <c r="EV130" s="235"/>
      <c r="EX130" s="235"/>
      <c r="FA130" s="960"/>
      <c r="FB130" s="960"/>
      <c r="FC130" s="960"/>
      <c r="FD130" s="960"/>
      <c r="FE130" s="960"/>
      <c r="FF130" s="960"/>
      <c r="FG130" s="960"/>
      <c r="FH130" s="960"/>
      <c r="FI130" s="960"/>
      <c r="FJ130" s="960"/>
      <c r="FK130" s="968"/>
      <c r="FL130" s="968"/>
      <c r="FM130" s="968"/>
      <c r="FN130" s="968"/>
      <c r="FO130" s="968"/>
      <c r="FP130" s="968"/>
    </row>
    <row r="131" spans="1:188" s="216" customFormat="1" ht="15" outlineLevel="1">
      <c r="A131" s="1005"/>
      <c r="B131" s="1005"/>
      <c r="C131" s="1006"/>
      <c r="D131" s="235"/>
      <c r="E131" s="235">
        <v>305020</v>
      </c>
      <c r="F131" s="268"/>
      <c r="G131" s="199" t="s">
        <v>772</v>
      </c>
      <c r="H131" s="200" t="s">
        <v>773</v>
      </c>
      <c r="I131" s="201" t="s">
        <v>11</v>
      </c>
      <c r="J131" s="203">
        <v>4200</v>
      </c>
      <c r="K131" s="984">
        <f>550+250</f>
        <v>800</v>
      </c>
      <c r="L131" s="202">
        <f>+J131+K131</f>
        <v>5000</v>
      </c>
      <c r="M131" s="203">
        <v>30</v>
      </c>
      <c r="N131" s="819">
        <v>0.5</v>
      </c>
      <c r="O131" s="819">
        <v>0.25</v>
      </c>
      <c r="P131" s="819">
        <v>0.25</v>
      </c>
      <c r="Q131" s="204">
        <v>0</v>
      </c>
      <c r="R131" s="819">
        <v>0</v>
      </c>
      <c r="S131" s="204">
        <f>SUM(N131:R131)</f>
        <v>1</v>
      </c>
      <c r="T131" s="205" t="s">
        <v>774</v>
      </c>
      <c r="U131" s="238"/>
      <c r="V131" s="203">
        <f>($J131/30/8*1.5)*U131</f>
        <v>0</v>
      </c>
      <c r="W131" s="207">
        <v>0</v>
      </c>
      <c r="X131" s="203">
        <f>($J131/30/8*2)*W131</f>
        <v>0</v>
      </c>
      <c r="Y131" s="265"/>
      <c r="Z131" s="239">
        <f>($J131/30/8*1.5)*Y131</f>
        <v>0</v>
      </c>
      <c r="AA131" s="265"/>
      <c r="AB131" s="203">
        <f>($J131/30/8*2)*AA131</f>
        <v>0</v>
      </c>
      <c r="AC131" s="207">
        <v>0</v>
      </c>
      <c r="AD131" s="203">
        <f>(($J131/30/8)*1.5)*AC131</f>
        <v>0</v>
      </c>
      <c r="AE131" s="208"/>
      <c r="AF131" s="203">
        <f>(($J131/30/8)*2)*AE131</f>
        <v>0</v>
      </c>
      <c r="AG131" s="838">
        <v>0</v>
      </c>
      <c r="AH131" s="203">
        <f>(($J131/30/8)*1.5)*AG131</f>
        <v>0</v>
      </c>
      <c r="AI131" s="208"/>
      <c r="AJ131" s="203">
        <f>(($J131/30/8)*2)*AI131</f>
        <v>0</v>
      </c>
      <c r="AK131" s="203"/>
      <c r="AL131" s="203">
        <f>(($J131/30/8)*1.5)*AK131</f>
        <v>0</v>
      </c>
      <c r="AM131" s="208"/>
      <c r="AN131" s="203">
        <f>(($J131/30/8)*2)*AM131</f>
        <v>0</v>
      </c>
      <c r="AO131" s="202">
        <f>700*50%</f>
        <v>350</v>
      </c>
      <c r="AP131" s="202">
        <f>700*25%</f>
        <v>175</v>
      </c>
      <c r="AQ131" s="202">
        <v>175</v>
      </c>
      <c r="AR131" s="202"/>
      <c r="AS131" s="202"/>
      <c r="AT131" s="202"/>
      <c r="AU131" s="202"/>
      <c r="AV131" s="202"/>
      <c r="AW131" s="202"/>
      <c r="AX131" s="202"/>
      <c r="AY131" s="202"/>
      <c r="AZ131" s="212"/>
      <c r="BA131" s="239">
        <f>((J131/30)*M131)*$N131</f>
        <v>2100</v>
      </c>
      <c r="BB131" s="269">
        <f>((K131/30)*M131)*$N131+66.665</f>
        <v>466.66500000000002</v>
      </c>
      <c r="BC131" s="203">
        <f t="shared" ref="BC131" si="3257">U131</f>
        <v>0</v>
      </c>
      <c r="BD131" s="203">
        <f t="shared" ref="BD131" si="3258">V131</f>
        <v>0</v>
      </c>
      <c r="BE131" s="203">
        <f t="shared" ref="BE131" si="3259">W131</f>
        <v>0</v>
      </c>
      <c r="BF131" s="203">
        <f t="shared" ref="BF131" si="3260">X131</f>
        <v>0</v>
      </c>
      <c r="BG131" s="203">
        <f>AO131+AT131</f>
        <v>350</v>
      </c>
      <c r="BH131" s="203">
        <f t="shared" ref="BH131" si="3261">(BA131+BD131+BF131+BG131)*0.1267</f>
        <v>310.41500000000002</v>
      </c>
      <c r="BI131" s="203">
        <f>SUM(BA131:BH131)-BC131-BE131</f>
        <v>3227.08</v>
      </c>
      <c r="BJ131" s="203">
        <f>(($J131/30)*$M131)*$O131</f>
        <v>1050</v>
      </c>
      <c r="BK131" s="269">
        <f>(($K131/30)*$M131)*$O131+33.33</f>
        <v>233.32999999999998</v>
      </c>
      <c r="BL131" s="203">
        <f t="shared" ref="BL131" si="3262">Y131</f>
        <v>0</v>
      </c>
      <c r="BM131" s="203">
        <f t="shared" ref="BM131" si="3263">Z131</f>
        <v>0</v>
      </c>
      <c r="BN131" s="203">
        <f t="shared" ref="BN131" si="3264">AA131</f>
        <v>0</v>
      </c>
      <c r="BO131" s="203">
        <f t="shared" ref="BO131" si="3265">AB131</f>
        <v>0</v>
      </c>
      <c r="BP131" s="203">
        <f>AP131+AU131</f>
        <v>175</v>
      </c>
      <c r="BQ131" s="203">
        <f t="shared" ref="BQ131" si="3266">(+BJ131+BM131+BO131+BP131)*0.1267</f>
        <v>155.20750000000001</v>
      </c>
      <c r="BR131" s="202">
        <f>SUM(BJ131:BQ131)-BL131-BN131</f>
        <v>1613.5374999999999</v>
      </c>
      <c r="BS131" s="203">
        <f>(($J131/30)*$M131)*$P131</f>
        <v>1050</v>
      </c>
      <c r="BT131" s="203">
        <f>(($K131/30)*$M131)*$P131+33.33</f>
        <v>233.32999999999998</v>
      </c>
      <c r="BU131" s="203">
        <f t="shared" ref="BU131" si="3267">AC131</f>
        <v>0</v>
      </c>
      <c r="BV131" s="203">
        <f t="shared" ref="BV131" si="3268">AD131</f>
        <v>0</v>
      </c>
      <c r="BW131" s="203">
        <f t="shared" ref="BW131" si="3269">AE131</f>
        <v>0</v>
      </c>
      <c r="BX131" s="203">
        <f>AF131</f>
        <v>0</v>
      </c>
      <c r="BY131" s="203">
        <f>AQ131+AV131</f>
        <v>175</v>
      </c>
      <c r="BZ131" s="203">
        <f t="shared" ref="BZ131" si="3270">(BS131+BV131+BX131+BY131)*0.1267</f>
        <v>155.20750000000001</v>
      </c>
      <c r="CA131" s="203">
        <f>SUM(BS131:BZ131)-BU131-BW131</f>
        <v>1613.5374999999999</v>
      </c>
      <c r="CB131" s="241">
        <f>(($J131/30)*$M131)*$Q131</f>
        <v>0</v>
      </c>
      <c r="CC131" s="242">
        <f>(($K131/30)*$M131)*$Q131</f>
        <v>0</v>
      </c>
      <c r="CD131" s="242">
        <f t="shared" ref="CD131" si="3271">AG131</f>
        <v>0</v>
      </c>
      <c r="CE131" s="242">
        <f t="shared" ref="CE131" si="3272">AH131</f>
        <v>0</v>
      </c>
      <c r="CF131" s="242">
        <f t="shared" ref="CF131" si="3273">AI131</f>
        <v>0</v>
      </c>
      <c r="CG131" s="242">
        <f t="shared" ref="CG131" si="3274">AJ131</f>
        <v>0</v>
      </c>
      <c r="CH131" s="242">
        <f>AR131+AW131</f>
        <v>0</v>
      </c>
      <c r="CI131" s="703">
        <f t="shared" ref="CI131" si="3275">(CB131+CE131+CG131+CH131)*0.1267</f>
        <v>0</v>
      </c>
      <c r="CJ131" s="242">
        <f>SUM(CB131:CI131)-CD131-CF131</f>
        <v>0</v>
      </c>
      <c r="CK131" s="242">
        <f>(($J131/30)*$M131)*R131</f>
        <v>0</v>
      </c>
      <c r="CL131" s="242">
        <f>(($K131/30)*$M131)*$R131</f>
        <v>0</v>
      </c>
      <c r="CM131" s="242">
        <f>+AK131</f>
        <v>0</v>
      </c>
      <c r="CN131" s="242">
        <f t="shared" ref="CN131" si="3276">AL131</f>
        <v>0</v>
      </c>
      <c r="CO131" s="242">
        <f t="shared" ref="CO131" si="3277">AM131</f>
        <v>0</v>
      </c>
      <c r="CP131" s="242">
        <f t="shared" ref="CP131" si="3278">AN131</f>
        <v>0</v>
      </c>
      <c r="CQ131" s="242">
        <f>AS131+AX131</f>
        <v>0</v>
      </c>
      <c r="CR131" s="242">
        <f>(CK131+CN131+CP131)*0.1267</f>
        <v>0</v>
      </c>
      <c r="CS131" s="243">
        <f>SUM(CK131:CR131)-CM131-CO131</f>
        <v>0</v>
      </c>
      <c r="CU131" s="201" t="s">
        <v>11</v>
      </c>
      <c r="CV131" s="203">
        <f t="shared" ref="CV131:CV132" si="3279">IF($CU131="PROQUIMA",$BA131+$BJ131+$BS131+$CB131+$CK131,0)</f>
        <v>0</v>
      </c>
      <c r="CW131" s="203">
        <f t="shared" ref="CW131:CW132" si="3280">IF($CU131="PROQUIMA",$BB131+$BK131+$BT131+$CC131+$CL131,0)</f>
        <v>0</v>
      </c>
      <c r="CX131" s="203">
        <f t="shared" ref="CX131:CX132" si="3281">IF($CU131="PROQUIMA",$BC131+$BL131+$BU131+$CD131+$CM131,0)</f>
        <v>0</v>
      </c>
      <c r="CY131" s="203">
        <f t="shared" ref="CY131:CY132" si="3282">IF($CU131="PROQUIMA",$BD131+$BM131+$BV131+$CE131+$CN131,0)</f>
        <v>0</v>
      </c>
      <c r="CZ131" s="203">
        <f t="shared" ref="CZ131:CZ132" si="3283">IF($CU131="PROQUIMA",$BE131+$BN131+$BW131+$CF131+$CO131,0)</f>
        <v>0</v>
      </c>
      <c r="DA131" s="203">
        <f t="shared" ref="DA131:DA132" si="3284">IF($CU131="PROQUIMA",$BF131+$BO131+$BX131+$CG131+$CP131,0)</f>
        <v>0</v>
      </c>
      <c r="DB131" s="203">
        <f t="shared" ref="DB131:DB132" si="3285">IF($CU131="PROQUIMA",$BG131+$BP131+$BY131+$CH131+$CQ131,0)</f>
        <v>0</v>
      </c>
      <c r="DC131" s="203">
        <f>IF($CU131="PROQUIMA",$BH131+$BQ131+$BZ131+$CI131+CR131,0)</f>
        <v>0</v>
      </c>
      <c r="DD131" s="203">
        <f t="shared" ref="DD131" si="3286">SUM(CV131:DC131)-CX131-CZ131</f>
        <v>0</v>
      </c>
      <c r="DE131" s="203">
        <f t="shared" ref="DE131:DE132" si="3287">IF($CU131="UNHESA",$BA131+$BJ131+$BS131+$CB131+$CK131,0)</f>
        <v>0</v>
      </c>
      <c r="DF131" s="203">
        <f t="shared" ref="DF131:DF132" si="3288">IF($CU131="UNHESA",$BB131+$BK131+$BT131+$CC131+$CL131,0)</f>
        <v>0</v>
      </c>
      <c r="DG131" s="239">
        <f t="shared" ref="DG131:DG132" si="3289">IF($CU131="UNHESA",$BC131+$BL131+$BU131+$CD131+$CM131,0)</f>
        <v>0</v>
      </c>
      <c r="DH131" s="239">
        <f t="shared" ref="DH131:DH132" si="3290">IF($CU131="UNHESA",$BD131+$BM131+$BV131+$CE131+$CN131,0)</f>
        <v>0</v>
      </c>
      <c r="DI131" s="239">
        <f t="shared" ref="DI131:DI132" si="3291">IF($CU131="UNHESA",$BE131+$BN131+$BW131+$CF131+$CO131,0)</f>
        <v>0</v>
      </c>
      <c r="DJ131" s="203">
        <f t="shared" ref="DJ131:DJ132" si="3292">IF($CU131="UNHESA",$BF131+$BO131+$BX131+$CG131+$CP131,0)</f>
        <v>0</v>
      </c>
      <c r="DK131" s="203">
        <f t="shared" ref="DK131:DK132" si="3293">IF($CU131="UNHESA",$BG131+$BP131+$BY131+$CH131+$CQ131,0)</f>
        <v>0</v>
      </c>
      <c r="DL131" s="203">
        <f t="shared" ref="DL131:DL132" si="3294">IF($CU131="UNHESA",$BH131+$BQ131+$BZ131+$CI131+$CR131,0)</f>
        <v>0</v>
      </c>
      <c r="DM131" s="203">
        <f t="shared" ref="DM131" si="3295">SUM(DE131:DL131)-DG131-DI131</f>
        <v>0</v>
      </c>
      <c r="DN131" s="210">
        <f t="shared" ref="DN131:DN132" si="3296">IF($CU131="UNHESA LIQUIDOS",$BA131+$BJ131+$BS131+$CB131+$CK131,0)</f>
        <v>0</v>
      </c>
      <c r="DO131" s="210">
        <f t="shared" ref="DO131:DO132" si="3297">IF($CU131="UNHESA LIQUIDOS",$BB131+$BK131+$BT131+$CC131+$CL131,0)</f>
        <v>0</v>
      </c>
      <c r="DP131" s="210">
        <f t="shared" ref="DP131:DP132" si="3298">IF($CU131="UNHESA LIQUIDOS",$BC131+$BL131+$BU131+$CD131+$CM131,0)</f>
        <v>0</v>
      </c>
      <c r="DQ131" s="210">
        <f t="shared" ref="DQ131:DQ132" si="3299">IF($CU131="UNHESA LIQUIDOS",$BD131+$BM131+$BV131+$CE131+$CN131,0)</f>
        <v>0</v>
      </c>
      <c r="DR131" s="210">
        <f t="shared" ref="DR131:DR132" si="3300">IF($CU131="UNHESA LIQUIDOS",$BE131+$BN131+$BW131+$CF131+$CO131,0)</f>
        <v>0</v>
      </c>
      <c r="DS131" s="210">
        <f t="shared" ref="DS131:DS132" si="3301">IF($CU131="UNHESA LIQUIDOS",$BF131+$BO131+$BX131+$CG131+$CP131,0)</f>
        <v>0</v>
      </c>
      <c r="DT131" s="210">
        <f t="shared" ref="DT131:DT132" si="3302">IF($CU131="UNHESA LIQUIDOS",$BG131+$BP131+$BY131+$CH131+$CQ131,0)</f>
        <v>0</v>
      </c>
      <c r="DU131" s="210">
        <f t="shared" ref="DU131:DU132" si="3303">IF($CU131="UNHESA LIQUIDOS",$BH131+$BQ131+$BZ131+$CI131+$CR131,0)</f>
        <v>0</v>
      </c>
      <c r="DV131" s="210">
        <f t="shared" ref="DV131" si="3304">SUM(DN131:DU131)-DP131-DR131</f>
        <v>0</v>
      </c>
      <c r="DW131" s="241">
        <f>IF($CU131="CLEARTEC",$BA131+$BJ131+$BS131+$CB131+$CK131,0)</f>
        <v>0</v>
      </c>
      <c r="DX131" s="241">
        <f t="shared" ref="DX131:ED132" si="3305">IF($CU131="CLEARTEC",$BA131+$BJ131+$BS131+$CB131+$CK131,0)</f>
        <v>0</v>
      </c>
      <c r="DY131" s="241">
        <f t="shared" si="3305"/>
        <v>0</v>
      </c>
      <c r="DZ131" s="241">
        <f t="shared" si="3305"/>
        <v>0</v>
      </c>
      <c r="EA131" s="241">
        <f t="shared" si="3305"/>
        <v>0</v>
      </c>
      <c r="EB131" s="241">
        <f t="shared" si="3305"/>
        <v>0</v>
      </c>
      <c r="EC131" s="241">
        <f t="shared" si="3305"/>
        <v>0</v>
      </c>
      <c r="ED131" s="241">
        <f t="shared" si="3305"/>
        <v>0</v>
      </c>
      <c r="EE131" s="242">
        <f t="shared" ref="EE131" si="3306">SUM(DW131:ED131)-DY131-EA131</f>
        <v>0</v>
      </c>
      <c r="EF131" s="203">
        <f t="shared" ref="EF131" si="3307">IF(CU131="ECONACIONAL",$BA131+$BJ131+$BS131+$CB131+$CK131)</f>
        <v>4200</v>
      </c>
      <c r="EG131" s="242">
        <f t="shared" si="3246"/>
        <v>933.32500000000005</v>
      </c>
      <c r="EH131" s="203">
        <f t="shared" ref="EH131" si="3308">IF(CU131="ECONACIONAL",$BC131+$BL131+$BU131+$CD131+$CM131)</f>
        <v>0</v>
      </c>
      <c r="EI131" s="203">
        <f t="shared" ref="EI131" si="3309">IF(CU131="ECONACIONAL",$BD131+$DH131+$DQ131+$DZ131+BM131+BV131+CE131+CN131)</f>
        <v>0</v>
      </c>
      <c r="EJ131" s="242">
        <f t="shared" si="3249"/>
        <v>0</v>
      </c>
      <c r="EK131" s="203">
        <f t="shared" ref="EK131" si="3310">IF(CU131="ECONACIONAL",$BF131+$BO131+$BX131+$CG131+$CP131)</f>
        <v>0</v>
      </c>
      <c r="EL131" s="203">
        <f t="shared" ref="EL131" si="3311">IF(CU131="ECONACIONAL",$BG131+$BP131+$BY131+$CH131+$CQ131)</f>
        <v>700</v>
      </c>
      <c r="EM131" s="203">
        <f t="shared" ref="EM131" si="3312">IF(CU131="ECONACIONAL",BH131+BQ131+BZ131+CI131+CR131)</f>
        <v>620.83000000000004</v>
      </c>
      <c r="EN131" s="203">
        <f t="shared" ref="EN131" si="3313">SUM(EF131:EM131)-EH131-EJ131</f>
        <v>6454.1549999999997</v>
      </c>
      <c r="EP131" s="1191">
        <v>96</v>
      </c>
      <c r="EQ131" s="201"/>
      <c r="ER131" s="201"/>
      <c r="ES131" s="201"/>
      <c r="ET131" s="201"/>
      <c r="EU131" s="200"/>
      <c r="EV131" s="200"/>
      <c r="EW131" s="201"/>
      <c r="EX131" s="201"/>
      <c r="EY131" s="201">
        <f t="shared" ref="EY131" si="3314">+ET131+EU131+EV131</f>
        <v>0</v>
      </c>
      <c r="FA131" s="207">
        <f>IF($M131&lt;=15,EP131/2,EP131)</f>
        <v>96</v>
      </c>
      <c r="FB131" s="207">
        <f t="shared" ref="FB131" si="3315">IF($M131&lt;=15,EQ131/2,EQ131)</f>
        <v>0</v>
      </c>
      <c r="FC131" s="207">
        <f t="shared" ref="FC131" si="3316">IF($M131&lt;=15,ER131/2,ER131)</f>
        <v>0</v>
      </c>
      <c r="FD131" s="207">
        <f>IF($M131&lt;=15,ES131/2,ES131)</f>
        <v>0</v>
      </c>
      <c r="FE131" s="207">
        <f t="shared" ref="FE131" si="3317">IF($M131&lt;=15,ET131/2,ET131)</f>
        <v>0</v>
      </c>
      <c r="FF131" s="207">
        <f t="shared" ref="FF131" si="3318">IF($M131&lt;=15,EU131/2,EU131)</f>
        <v>0</v>
      </c>
      <c r="FG131" s="207">
        <f t="shared" ref="FG131" si="3319">IF($M131&lt;=15,EV131/2,EV131)</f>
        <v>0</v>
      </c>
      <c r="FH131" s="207">
        <f t="shared" ref="FH131" si="3320">IF($M131&lt;=15,EW131/2,EW131)</f>
        <v>0</v>
      </c>
      <c r="FI131" s="207">
        <f t="shared" ref="FI131" si="3321">IF($M131&lt;=15,EX131/2,EX131)</f>
        <v>0</v>
      </c>
      <c r="FJ131" s="207">
        <f t="shared" ref="FJ131" si="3322">IF($M131&lt;=15,EY131/2,EY131)</f>
        <v>0</v>
      </c>
      <c r="FK131" s="217">
        <v>0.5</v>
      </c>
      <c r="FL131" s="217">
        <v>0.25</v>
      </c>
      <c r="FM131" s="217">
        <v>0.25</v>
      </c>
      <c r="FN131" s="217">
        <v>0</v>
      </c>
      <c r="FO131" s="217">
        <v>0</v>
      </c>
      <c r="FP131" s="217">
        <v>1</v>
      </c>
      <c r="FR131" s="1177">
        <f>(((J131/30/8)*1.5)*(U131+Y131+AC131))-(BD131+BM131+BV131)</f>
        <v>0</v>
      </c>
      <c r="FS131" s="1177">
        <f t="shared" ref="FS131" si="3323">(((J131/30/8)*2)*(W131+AA131+AE131))-(BF131+BO131+BX131)</f>
        <v>0</v>
      </c>
      <c r="FT131" s="1178">
        <f>(SUM(BA131:CJ131))-(SUM(EF131:EN131))</f>
        <v>0</v>
      </c>
      <c r="FU131" s="1177">
        <f>(J131/30*M131)-(EF131)</f>
        <v>0</v>
      </c>
      <c r="FV131" s="1181">
        <f>(SUM(EP131:EY131))-((SUM(FA131:FJ131))*$FV$5)</f>
        <v>-96</v>
      </c>
    </row>
    <row r="132" spans="1:188" s="216" customFormat="1" ht="15" outlineLevel="1">
      <c r="A132" s="1005" t="str">
        <f t="shared" si="3192"/>
        <v>JUNIO  2026 2da QUINCENA</v>
      </c>
      <c r="B132" s="1005">
        <f t="shared" si="3193"/>
        <v>2026</v>
      </c>
      <c r="C132" s="1006" t="str">
        <f t="shared" si="1564"/>
        <v>JUNIO  2026 2da QUINCENA2026</v>
      </c>
      <c r="D132" s="235" t="s">
        <v>112</v>
      </c>
      <c r="E132" s="235">
        <v>305020</v>
      </c>
      <c r="F132" s="268">
        <v>48</v>
      </c>
      <c r="G132" s="199" t="s">
        <v>673</v>
      </c>
      <c r="H132" s="200" t="s">
        <v>674</v>
      </c>
      <c r="I132" s="201" t="s">
        <v>11</v>
      </c>
      <c r="J132" s="203">
        <v>4200</v>
      </c>
      <c r="K132" s="984">
        <v>800</v>
      </c>
      <c r="L132" s="202">
        <f>+J132+K132</f>
        <v>5000</v>
      </c>
      <c r="M132" s="203">
        <v>30</v>
      </c>
      <c r="N132" s="819">
        <v>0.5</v>
      </c>
      <c r="O132" s="819">
        <v>0.3</v>
      </c>
      <c r="P132" s="819">
        <v>0.2</v>
      </c>
      <c r="Q132" s="204">
        <v>0</v>
      </c>
      <c r="R132" s="819">
        <v>0</v>
      </c>
      <c r="S132" s="204">
        <f>SUM(N132:R132)</f>
        <v>1</v>
      </c>
      <c r="T132" s="205"/>
      <c r="U132" s="238"/>
      <c r="V132" s="203">
        <f>($J132/30/8*1.5)*U132</f>
        <v>0</v>
      </c>
      <c r="W132" s="207">
        <v>0</v>
      </c>
      <c r="X132" s="203">
        <f>($J132/30/8*2)*W132</f>
        <v>0</v>
      </c>
      <c r="Y132" s="265">
        <v>2</v>
      </c>
      <c r="Z132" s="239">
        <f>($J132/30/8*1.5)*Y132</f>
        <v>52.5</v>
      </c>
      <c r="AA132" s="265"/>
      <c r="AB132" s="203">
        <f>($J132/30/8*2)*AA132</f>
        <v>0</v>
      </c>
      <c r="AC132" s="207">
        <v>0</v>
      </c>
      <c r="AD132" s="203">
        <f>(($J132/30/8)*1.5)*AC132</f>
        <v>0</v>
      </c>
      <c r="AE132" s="208"/>
      <c r="AF132" s="203">
        <f>(($J132/30/8)*2)*AE132</f>
        <v>0</v>
      </c>
      <c r="AG132" s="838">
        <v>0</v>
      </c>
      <c r="AH132" s="203">
        <f>(($J132/30/8)*1.5)*AG132</f>
        <v>0</v>
      </c>
      <c r="AI132" s="208"/>
      <c r="AJ132" s="203">
        <f>(($J132/30/8)*2)*AI132</f>
        <v>0</v>
      </c>
      <c r="AK132" s="203"/>
      <c r="AL132" s="203">
        <f>(($J132/30/8)*1.5)*AK132</f>
        <v>0</v>
      </c>
      <c r="AM132" s="208"/>
      <c r="AN132" s="203">
        <f>(($J132/30/8)*2)*AM132</f>
        <v>0</v>
      </c>
      <c r="AO132" s="202"/>
      <c r="AP132" s="202"/>
      <c r="AQ132" s="202"/>
      <c r="AR132" s="202"/>
      <c r="AS132" s="202"/>
      <c r="AT132" s="202"/>
      <c r="AU132" s="202"/>
      <c r="AV132" s="202"/>
      <c r="AW132" s="202"/>
      <c r="AX132" s="202"/>
      <c r="AY132" s="202"/>
      <c r="AZ132" s="212"/>
      <c r="BA132" s="239">
        <f>((J132/30)*M132)*$N132</f>
        <v>2100</v>
      </c>
      <c r="BB132" s="269">
        <f>((K132/30)*M132)*$N132+1325</f>
        <v>1725</v>
      </c>
      <c r="BC132" s="203">
        <f t="shared" si="3194"/>
        <v>0</v>
      </c>
      <c r="BD132" s="203">
        <f t="shared" ref="BD132" si="3324">V132</f>
        <v>0</v>
      </c>
      <c r="BE132" s="203">
        <f t="shared" ref="BE132" si="3325">W132</f>
        <v>0</v>
      </c>
      <c r="BF132" s="203">
        <f t="shared" ref="BF132" si="3326">X132</f>
        <v>0</v>
      </c>
      <c r="BG132" s="203">
        <f>AO132+AT132</f>
        <v>0</v>
      </c>
      <c r="BH132" s="203">
        <f t="shared" si="3198"/>
        <v>266.07</v>
      </c>
      <c r="BI132" s="203">
        <f>SUM(BA132:BH132)-BC132-BE132</f>
        <v>4091.07</v>
      </c>
      <c r="BJ132" s="203">
        <f>(($J132/30)*$M132)*$O132</f>
        <v>1260</v>
      </c>
      <c r="BK132" s="269">
        <f>(($K132/30)*$M132)*$O132+1525</f>
        <v>1765</v>
      </c>
      <c r="BL132" s="203">
        <f t="shared" ref="BL132" si="3327">Y132</f>
        <v>2</v>
      </c>
      <c r="BM132" s="203">
        <f t="shared" ref="BM132" si="3328">Z132</f>
        <v>52.5</v>
      </c>
      <c r="BN132" s="203">
        <f t="shared" ref="BN132" si="3329">AA132</f>
        <v>0</v>
      </c>
      <c r="BO132" s="203">
        <f t="shared" ref="BO132" si="3330">AB132</f>
        <v>0</v>
      </c>
      <c r="BP132" s="203">
        <f>AP132+AU132</f>
        <v>0</v>
      </c>
      <c r="BQ132" s="203">
        <f t="shared" si="3203"/>
        <v>166.29375000000002</v>
      </c>
      <c r="BR132" s="202">
        <f>SUM(BJ132:BQ132)-BL132-BN132</f>
        <v>3243.7937499999998</v>
      </c>
      <c r="BS132" s="203">
        <f>(($J132/30)*$M132)*$P132</f>
        <v>840</v>
      </c>
      <c r="BT132" s="203">
        <f>(($K132/30)*$M132)*$P132</f>
        <v>160</v>
      </c>
      <c r="BU132" s="203">
        <f t="shared" ref="BU132" si="3331">AC132</f>
        <v>0</v>
      </c>
      <c r="BV132" s="203">
        <f t="shared" ref="BV132" si="3332">AD132</f>
        <v>0</v>
      </c>
      <c r="BW132" s="203">
        <f t="shared" ref="BW132" si="3333">AE132</f>
        <v>0</v>
      </c>
      <c r="BX132" s="203">
        <f>AF132</f>
        <v>0</v>
      </c>
      <c r="BY132" s="203">
        <f>AQ132+AV132</f>
        <v>0</v>
      </c>
      <c r="BZ132" s="203">
        <f t="shared" si="3207"/>
        <v>106.42800000000001</v>
      </c>
      <c r="CA132" s="203">
        <f>SUM(BS132:BZ132)-BU132-BW132</f>
        <v>1106.4280000000001</v>
      </c>
      <c r="CB132" s="241">
        <f>(($J132/30)*$M132)*$Q132</f>
        <v>0</v>
      </c>
      <c r="CC132" s="242">
        <f>(($K132/30)*$M132)*$Q132</f>
        <v>0</v>
      </c>
      <c r="CD132" s="242">
        <f t="shared" ref="CD132" si="3334">AG132</f>
        <v>0</v>
      </c>
      <c r="CE132" s="242">
        <f t="shared" ref="CE132" si="3335">AH132</f>
        <v>0</v>
      </c>
      <c r="CF132" s="242">
        <f t="shared" ref="CF132" si="3336">AI132</f>
        <v>0</v>
      </c>
      <c r="CG132" s="242">
        <f t="shared" ref="CG132" si="3337">AJ132</f>
        <v>0</v>
      </c>
      <c r="CH132" s="242">
        <f>AR132+AW132</f>
        <v>0</v>
      </c>
      <c r="CI132" s="703">
        <f t="shared" si="3212"/>
        <v>0</v>
      </c>
      <c r="CJ132" s="242">
        <f>SUM(CB132:CI132)-CD132-CF132</f>
        <v>0</v>
      </c>
      <c r="CK132" s="242">
        <f>(($J132/30)*$M132)*R132</f>
        <v>0</v>
      </c>
      <c r="CL132" s="242">
        <f>(($K132/30)*$M132)*$R132</f>
        <v>0</v>
      </c>
      <c r="CM132" s="242">
        <f>+AK132</f>
        <v>0</v>
      </c>
      <c r="CN132" s="242">
        <f t="shared" ref="CN132" si="3338">AL132</f>
        <v>0</v>
      </c>
      <c r="CO132" s="242">
        <f t="shared" ref="CO132" si="3339">AM132</f>
        <v>0</v>
      </c>
      <c r="CP132" s="242">
        <f t="shared" ref="CP132" si="3340">AN132</f>
        <v>0</v>
      </c>
      <c r="CQ132" s="242">
        <f>AS132+AX132</f>
        <v>0</v>
      </c>
      <c r="CR132" s="242">
        <f>(CK132+CN132+CP132)*0.1267</f>
        <v>0</v>
      </c>
      <c r="CS132" s="243">
        <f>SUM(CK132:CR132)-CM132-CO132</f>
        <v>0</v>
      </c>
      <c r="CU132" s="201" t="s">
        <v>11</v>
      </c>
      <c r="CV132" s="203">
        <f t="shared" si="3279"/>
        <v>0</v>
      </c>
      <c r="CW132" s="203">
        <f t="shared" si="3280"/>
        <v>0</v>
      </c>
      <c r="CX132" s="203">
        <f t="shared" si="3281"/>
        <v>0</v>
      </c>
      <c r="CY132" s="203">
        <f t="shared" si="3282"/>
        <v>0</v>
      </c>
      <c r="CZ132" s="203">
        <f t="shared" si="3283"/>
        <v>0</v>
      </c>
      <c r="DA132" s="203">
        <f t="shared" si="3284"/>
        <v>0</v>
      </c>
      <c r="DB132" s="203">
        <f t="shared" si="3285"/>
        <v>0</v>
      </c>
      <c r="DC132" s="203">
        <f>IF($CU132="PROQUIMA",$BH132+$BQ132+$BZ132+$CI132+CR132,0)</f>
        <v>0</v>
      </c>
      <c r="DD132" s="203">
        <f t="shared" ref="DD132" si="3341">SUM(CV132:DC132)-CX132-CZ132</f>
        <v>0</v>
      </c>
      <c r="DE132" s="203">
        <f t="shared" si="3287"/>
        <v>0</v>
      </c>
      <c r="DF132" s="203">
        <f t="shared" si="3288"/>
        <v>0</v>
      </c>
      <c r="DG132" s="239">
        <f t="shared" si="3289"/>
        <v>0</v>
      </c>
      <c r="DH132" s="239">
        <f t="shared" si="3290"/>
        <v>0</v>
      </c>
      <c r="DI132" s="239">
        <f t="shared" si="3291"/>
        <v>0</v>
      </c>
      <c r="DJ132" s="203">
        <f t="shared" si="3292"/>
        <v>0</v>
      </c>
      <c r="DK132" s="203">
        <f t="shared" si="3293"/>
        <v>0</v>
      </c>
      <c r="DL132" s="203">
        <f t="shared" si="3294"/>
        <v>0</v>
      </c>
      <c r="DM132" s="203">
        <f t="shared" ref="DM132" si="3342">SUM(DE132:DL132)-DG132-DI132</f>
        <v>0</v>
      </c>
      <c r="DN132" s="210">
        <f t="shared" si="3296"/>
        <v>0</v>
      </c>
      <c r="DO132" s="210">
        <f t="shared" si="3297"/>
        <v>0</v>
      </c>
      <c r="DP132" s="210">
        <f t="shared" si="3298"/>
        <v>0</v>
      </c>
      <c r="DQ132" s="210">
        <f t="shared" si="3299"/>
        <v>0</v>
      </c>
      <c r="DR132" s="210">
        <f t="shared" si="3300"/>
        <v>0</v>
      </c>
      <c r="DS132" s="210">
        <f t="shared" si="3301"/>
        <v>0</v>
      </c>
      <c r="DT132" s="210">
        <f t="shared" si="3302"/>
        <v>0</v>
      </c>
      <c r="DU132" s="210">
        <f t="shared" si="3303"/>
        <v>0</v>
      </c>
      <c r="DV132" s="210">
        <f t="shared" ref="DV132" si="3343">SUM(DN132:DU132)-DP132-DR132</f>
        <v>0</v>
      </c>
      <c r="DW132" s="241">
        <f>IF($CU132="CLEARTEC",$BA132+$BJ132+$BS132+$CB132+$CK132,0)</f>
        <v>0</v>
      </c>
      <c r="DX132" s="241">
        <f t="shared" si="3305"/>
        <v>0</v>
      </c>
      <c r="DY132" s="241">
        <f t="shared" si="3305"/>
        <v>0</v>
      </c>
      <c r="DZ132" s="241">
        <f t="shared" si="3305"/>
        <v>0</v>
      </c>
      <c r="EA132" s="241">
        <f t="shared" si="3305"/>
        <v>0</v>
      </c>
      <c r="EB132" s="241">
        <f t="shared" si="3305"/>
        <v>0</v>
      </c>
      <c r="EC132" s="241">
        <f t="shared" si="3305"/>
        <v>0</v>
      </c>
      <c r="ED132" s="241">
        <f t="shared" si="3305"/>
        <v>0</v>
      </c>
      <c r="EE132" s="242">
        <f t="shared" ref="EE132" si="3344">SUM(DW132:ED132)-DY132-EA132</f>
        <v>0</v>
      </c>
      <c r="EF132" s="203">
        <f t="shared" ref="EF132" si="3345">IF(CU132="ECONACIONAL",$BA132+$BJ132+$BS132+$CB132+$CK132)</f>
        <v>4200</v>
      </c>
      <c r="EG132" s="242">
        <f t="shared" si="3246"/>
        <v>3650</v>
      </c>
      <c r="EH132" s="203">
        <f t="shared" si="3247"/>
        <v>2</v>
      </c>
      <c r="EI132" s="203">
        <f t="shared" si="3248"/>
        <v>52.5</v>
      </c>
      <c r="EJ132" s="242">
        <f t="shared" si="3249"/>
        <v>0</v>
      </c>
      <c r="EK132" s="203">
        <f t="shared" ref="EK132" si="3346">IF(CU132="ECONACIONAL",$BF132+$BO132+$BX132+$CG132+$CP132)</f>
        <v>0</v>
      </c>
      <c r="EL132" s="203">
        <f t="shared" ref="EL132" si="3347">IF(CU132="ECONACIONAL",$BG132+$BP132+$BY132+$CH132+$CQ132)</f>
        <v>0</v>
      </c>
      <c r="EM132" s="203">
        <f t="shared" ref="EM132" si="3348">IF(CU132="ECONACIONAL",BH132+BQ132+BZ132+CI132+CR132)</f>
        <v>538.79174999999998</v>
      </c>
      <c r="EN132" s="203">
        <f t="shared" ref="EN132" si="3349">SUM(EF132:EM132)-EH132-EJ132</f>
        <v>8441.2917500000003</v>
      </c>
      <c r="EP132" s="1191">
        <v>190</v>
      </c>
      <c r="EQ132" s="201"/>
      <c r="ER132" s="201"/>
      <c r="ES132" s="201"/>
      <c r="ET132" s="201"/>
      <c r="EU132" s="200"/>
      <c r="EV132" s="200"/>
      <c r="EW132" s="201"/>
      <c r="EX132" s="201"/>
      <c r="EY132" s="201">
        <f t="shared" si="3254"/>
        <v>0</v>
      </c>
      <c r="FA132" s="207">
        <f>IF($M132&lt;=15,EP132/2,EP132)</f>
        <v>190</v>
      </c>
      <c r="FB132" s="207">
        <f t="shared" ref="FB132:FJ132" si="3350">IF($M132&lt;=15,EQ132/2,EQ132)</f>
        <v>0</v>
      </c>
      <c r="FC132" s="207">
        <f t="shared" si="3350"/>
        <v>0</v>
      </c>
      <c r="FD132" s="207">
        <f>IF($M132&lt;=15,ES132/2,ES132)</f>
        <v>0</v>
      </c>
      <c r="FE132" s="207">
        <f t="shared" si="3350"/>
        <v>0</v>
      </c>
      <c r="FF132" s="207">
        <f t="shared" si="3350"/>
        <v>0</v>
      </c>
      <c r="FG132" s="207">
        <f t="shared" si="3350"/>
        <v>0</v>
      </c>
      <c r="FH132" s="207">
        <f t="shared" si="3350"/>
        <v>0</v>
      </c>
      <c r="FI132" s="207">
        <f t="shared" si="3350"/>
        <v>0</v>
      </c>
      <c r="FJ132" s="207">
        <f t="shared" si="3350"/>
        <v>0</v>
      </c>
      <c r="FK132" s="217">
        <v>0.5</v>
      </c>
      <c r="FL132" s="217">
        <v>0.25</v>
      </c>
      <c r="FM132" s="217">
        <v>0.25</v>
      </c>
      <c r="FN132" s="217">
        <v>0</v>
      </c>
      <c r="FO132" s="217">
        <v>0</v>
      </c>
      <c r="FP132" s="217">
        <v>1</v>
      </c>
      <c r="FR132" s="1177">
        <f>(((J132/30/8)*1.5)*(U132+Y132+AC132))-(BD132+BM132+BV132)</f>
        <v>0</v>
      </c>
      <c r="FS132" s="1177">
        <f t="shared" ref="FS132" si="3351">(((J132/30/8)*2)*(W132+AA132+AE132))-(BF132+BO132+BX132)</f>
        <v>0</v>
      </c>
      <c r="FT132" s="1178">
        <f>(SUM(BA132:CJ132))-(SUM(EF132:EN132))</f>
        <v>0</v>
      </c>
      <c r="FU132" s="1177">
        <f>(J132/30*M132)-(EF132)</f>
        <v>0</v>
      </c>
      <c r="FV132" s="1181">
        <f>(SUM(EP132:EY132))-((SUM(FA132:FJ132))*$FV$5)</f>
        <v>-190</v>
      </c>
    </row>
    <row r="133" spans="1:188" s="216" customFormat="1" ht="15" customHeight="1" outlineLevel="1">
      <c r="A133" s="1005" t="str">
        <f t="shared" si="3192"/>
        <v>JUNIO  2026 2da QUINCENA</v>
      </c>
      <c r="B133" s="1005">
        <f t="shared" si="3193"/>
        <v>2026</v>
      </c>
      <c r="C133" s="1006" t="str">
        <f t="shared" si="1564"/>
        <v>JUNIO  2026 2da QUINCENA2026</v>
      </c>
      <c r="D133" s="235"/>
      <c r="E133" s="235">
        <v>305040</v>
      </c>
      <c r="F133" s="268"/>
      <c r="G133" s="723" t="s">
        <v>653</v>
      </c>
      <c r="H133" s="235"/>
      <c r="J133" s="801"/>
      <c r="K133" s="860"/>
      <c r="L133" s="860"/>
      <c r="M133" s="801"/>
      <c r="N133" s="870"/>
      <c r="O133" s="870"/>
      <c r="P133" s="870"/>
      <c r="Q133" s="957"/>
      <c r="R133" s="870"/>
      <c r="S133" s="957"/>
      <c r="T133" s="205"/>
      <c r="U133" s="959"/>
      <c r="V133" s="801"/>
      <c r="W133" s="960"/>
      <c r="X133" s="801"/>
      <c r="Y133" s="964"/>
      <c r="Z133" s="880"/>
      <c r="AA133" s="964"/>
      <c r="AB133" s="801"/>
      <c r="AC133" s="960"/>
      <c r="AD133" s="801"/>
      <c r="AE133" s="961"/>
      <c r="AF133" s="801"/>
      <c r="AG133" s="965"/>
      <c r="AH133" s="801"/>
      <c r="AI133" s="961"/>
      <c r="AJ133" s="801"/>
      <c r="AK133" s="801"/>
      <c r="AL133" s="801"/>
      <c r="AM133" s="961"/>
      <c r="AN133" s="801"/>
      <c r="AO133" s="860"/>
      <c r="AP133" s="860"/>
      <c r="AQ133" s="860"/>
      <c r="AR133" s="860"/>
      <c r="AS133" s="860"/>
      <c r="AT133" s="860"/>
      <c r="AU133" s="860"/>
      <c r="AV133" s="860"/>
      <c r="AW133" s="860"/>
      <c r="AX133" s="860"/>
      <c r="AY133" s="860"/>
      <c r="AZ133" s="966"/>
      <c r="BA133" s="880"/>
      <c r="BB133" s="967"/>
      <c r="BC133" s="801"/>
      <c r="BD133" s="801"/>
      <c r="BE133" s="801"/>
      <c r="BF133" s="801"/>
      <c r="BG133" s="801"/>
      <c r="BH133" s="801"/>
      <c r="BI133" s="801"/>
      <c r="BJ133" s="801"/>
      <c r="BK133" s="967"/>
      <c r="BL133" s="801"/>
      <c r="BM133" s="801"/>
      <c r="BN133" s="801"/>
      <c r="BO133" s="801"/>
      <c r="BP133" s="801"/>
      <c r="BQ133" s="801"/>
      <c r="BR133" s="860"/>
      <c r="BS133" s="801"/>
      <c r="BT133" s="801"/>
      <c r="BU133" s="801"/>
      <c r="BV133" s="801"/>
      <c r="BW133" s="801"/>
      <c r="BX133" s="801"/>
      <c r="BY133" s="801"/>
      <c r="BZ133" s="801"/>
      <c r="CA133" s="801"/>
      <c r="CB133" s="801"/>
      <c r="CC133" s="801"/>
      <c r="CD133" s="801"/>
      <c r="CE133" s="801"/>
      <c r="CF133" s="801"/>
      <c r="CG133" s="801"/>
      <c r="CH133" s="801"/>
      <c r="CI133" s="801"/>
      <c r="CJ133" s="801"/>
      <c r="CK133" s="801"/>
      <c r="CL133" s="801"/>
      <c r="CM133" s="801"/>
      <c r="CN133" s="801"/>
      <c r="CO133" s="801"/>
      <c r="CP133" s="801"/>
      <c r="CQ133" s="801"/>
      <c r="CR133" s="801"/>
      <c r="CS133" s="801"/>
      <c r="CV133" s="801"/>
      <c r="CW133" s="801"/>
      <c r="CX133" s="801"/>
      <c r="CY133" s="801"/>
      <c r="CZ133" s="801"/>
      <c r="DA133" s="801"/>
      <c r="DB133" s="801"/>
      <c r="DC133" s="801"/>
      <c r="DD133" s="801"/>
      <c r="DE133" s="801"/>
      <c r="DF133" s="801"/>
      <c r="DG133" s="801"/>
      <c r="DH133" s="801"/>
      <c r="DI133" s="801"/>
      <c r="DJ133" s="801"/>
      <c r="DK133" s="801"/>
      <c r="DL133" s="801"/>
      <c r="DM133" s="801"/>
      <c r="DN133" s="801"/>
      <c r="DO133" s="801"/>
      <c r="DP133" s="801"/>
      <c r="DQ133" s="801"/>
      <c r="DR133" s="801"/>
      <c r="DS133" s="801"/>
      <c r="DT133" s="801"/>
      <c r="DU133" s="801"/>
      <c r="DV133" s="801"/>
      <c r="DW133" s="801"/>
      <c r="DX133" s="801"/>
      <c r="DY133" s="801"/>
      <c r="DZ133" s="801"/>
      <c r="EA133" s="801"/>
      <c r="EB133" s="801"/>
      <c r="EC133" s="801"/>
      <c r="ED133" s="801"/>
      <c r="EE133" s="801"/>
      <c r="EF133" s="801"/>
      <c r="EG133" s="801"/>
      <c r="EH133" s="801"/>
      <c r="EI133" s="801"/>
      <c r="EJ133" s="801"/>
      <c r="EK133" s="801"/>
      <c r="EL133" s="801"/>
      <c r="EM133" s="801"/>
      <c r="EN133" s="801"/>
      <c r="ES133" s="235"/>
      <c r="FA133" s="960"/>
      <c r="FB133" s="960"/>
      <c r="FC133" s="960"/>
      <c r="FD133" s="960"/>
      <c r="FE133" s="960"/>
      <c r="FF133" s="960"/>
      <c r="FG133" s="960"/>
      <c r="FH133" s="960"/>
      <c r="FI133" s="960"/>
      <c r="FJ133" s="960"/>
      <c r="FK133" s="968"/>
      <c r="FL133" s="968"/>
      <c r="FM133" s="968"/>
      <c r="FN133" s="968"/>
      <c r="FO133" s="968"/>
      <c r="FP133" s="968"/>
    </row>
    <row r="134" spans="1:188" s="216" customFormat="1" ht="15" outlineLevel="1">
      <c r="A134" s="1005" t="str">
        <f t="shared" si="3192"/>
        <v>JUNIO  2026 2da QUINCENA</v>
      </c>
      <c r="B134" s="1005">
        <f t="shared" si="3193"/>
        <v>2026</v>
      </c>
      <c r="C134" s="1006" t="str">
        <f t="shared" si="1564"/>
        <v>JUNIO  2026 2da QUINCENA2026</v>
      </c>
      <c r="D134" s="235" t="s">
        <v>112</v>
      </c>
      <c r="E134" s="235">
        <v>305040</v>
      </c>
      <c r="F134" s="268">
        <v>49</v>
      </c>
      <c r="G134" s="199" t="s">
        <v>672</v>
      </c>
      <c r="H134" s="200" t="s">
        <v>487</v>
      </c>
      <c r="I134" s="201" t="s">
        <v>11</v>
      </c>
      <c r="J134" s="203">
        <v>4002.28</v>
      </c>
      <c r="K134" s="202">
        <v>300</v>
      </c>
      <c r="L134" s="202">
        <f>+J134+K134</f>
        <v>4302.2800000000007</v>
      </c>
      <c r="M134" s="203">
        <v>30</v>
      </c>
      <c r="N134" s="819">
        <v>0.5</v>
      </c>
      <c r="O134" s="819">
        <v>0.25</v>
      </c>
      <c r="P134" s="819">
        <v>0.25</v>
      </c>
      <c r="Q134" s="204">
        <v>0</v>
      </c>
      <c r="R134" s="819">
        <v>0</v>
      </c>
      <c r="S134" s="204">
        <f>SUM(N134:R134)</f>
        <v>1</v>
      </c>
      <c r="T134" s="205"/>
      <c r="U134" s="238">
        <v>2</v>
      </c>
      <c r="V134" s="203">
        <f>($J134/30/8*1.5)*U134</f>
        <v>50.028500000000001</v>
      </c>
      <c r="W134" s="207">
        <v>0</v>
      </c>
      <c r="X134" s="203">
        <f>($J134/30/8*2)*W134</f>
        <v>0</v>
      </c>
      <c r="Y134" s="265">
        <v>2</v>
      </c>
      <c r="Z134" s="239">
        <f>($J134/30/8*1.5)*Y134</f>
        <v>50.028500000000001</v>
      </c>
      <c r="AA134" s="265"/>
      <c r="AB134" s="203">
        <f>($J134/30/8*2)*AA134</f>
        <v>0</v>
      </c>
      <c r="AC134" s="207">
        <v>0</v>
      </c>
      <c r="AD134" s="203">
        <f>(($J134/30/8)*1.5)*AC134</f>
        <v>0</v>
      </c>
      <c r="AE134" s="208"/>
      <c r="AF134" s="203">
        <f>(($J134/30/8)*2)*AE134</f>
        <v>0</v>
      </c>
      <c r="AG134" s="838">
        <v>0</v>
      </c>
      <c r="AH134" s="203">
        <f>(($J134/30/8)*1.5)*AG134</f>
        <v>0</v>
      </c>
      <c r="AI134" s="208"/>
      <c r="AJ134" s="203">
        <f>(($J134/30/8)*2)*AI134</f>
        <v>0</v>
      </c>
      <c r="AK134" s="203"/>
      <c r="AL134" s="203">
        <f>(($J134/30/8)*1.5)*AK134</f>
        <v>0</v>
      </c>
      <c r="AM134" s="208"/>
      <c r="AN134" s="203">
        <f>(($J134/30/8)*2)*AM134</f>
        <v>0</v>
      </c>
      <c r="AO134" s="860"/>
      <c r="AP134" s="860"/>
      <c r="AQ134" s="202"/>
      <c r="AR134" s="202"/>
      <c r="AS134" s="202"/>
      <c r="AT134" s="202"/>
      <c r="AU134" s="202"/>
      <c r="AV134" s="202"/>
      <c r="AW134" s="202"/>
      <c r="AX134" s="202"/>
      <c r="AY134" s="202"/>
      <c r="AZ134" s="212"/>
      <c r="BA134" s="239">
        <f>((J134/30)*M134)*$N134</f>
        <v>2001.14</v>
      </c>
      <c r="BB134" s="269">
        <f>((K134/30)*M134)*$N134+550</f>
        <v>700</v>
      </c>
      <c r="BC134" s="203">
        <f>U134</f>
        <v>2</v>
      </c>
      <c r="BD134" s="203">
        <f t="shared" ref="BD134" si="3352">V134</f>
        <v>50.028500000000001</v>
      </c>
      <c r="BE134" s="203">
        <f t="shared" ref="BE134" si="3353">W134</f>
        <v>0</v>
      </c>
      <c r="BF134" s="203">
        <f t="shared" ref="BF134" si="3354">X134</f>
        <v>0</v>
      </c>
      <c r="BG134" s="203">
        <f>AO134+AT134</f>
        <v>0</v>
      </c>
      <c r="BH134" s="203">
        <f t="shared" si="3198"/>
        <v>259.88304895000005</v>
      </c>
      <c r="BI134" s="203">
        <f>SUM(BA134:BH134)-BC134-BE134</f>
        <v>3011.0515489500003</v>
      </c>
      <c r="BJ134" s="203">
        <f>(($J134/30)*$M134)*$O134</f>
        <v>1000.57</v>
      </c>
      <c r="BK134" s="269">
        <f>(($K134/30)*$M134)*$O134+500</f>
        <v>575</v>
      </c>
      <c r="BL134" s="203">
        <f t="shared" ref="BL134" si="3355">Y134</f>
        <v>2</v>
      </c>
      <c r="BM134" s="203">
        <f t="shared" ref="BM134" si="3356">Z134</f>
        <v>50.028500000000001</v>
      </c>
      <c r="BN134" s="203">
        <f t="shared" ref="BN134" si="3357">AA134</f>
        <v>0</v>
      </c>
      <c r="BO134" s="203">
        <f t="shared" ref="BO134" si="3358">AB134</f>
        <v>0</v>
      </c>
      <c r="BP134" s="203">
        <f>AP134+AU134</f>
        <v>0</v>
      </c>
      <c r="BQ134" s="203">
        <f t="shared" si="3203"/>
        <v>133.11082995000001</v>
      </c>
      <c r="BR134" s="202">
        <f>SUM(BJ134:BQ134)-BL134-BN134</f>
        <v>1758.70932995</v>
      </c>
      <c r="BS134" s="203">
        <f>(($J134/30)*$M134)*$P134</f>
        <v>1000.57</v>
      </c>
      <c r="BT134" s="203">
        <f>(($K134/30)*$M134)*$P134</f>
        <v>75</v>
      </c>
      <c r="BU134" s="203">
        <f t="shared" ref="BU134" si="3359">AC134</f>
        <v>0</v>
      </c>
      <c r="BV134" s="203">
        <f t="shared" ref="BV134" si="3360">AD134</f>
        <v>0</v>
      </c>
      <c r="BW134" s="203">
        <f t="shared" ref="BW134" si="3361">AE134</f>
        <v>0</v>
      </c>
      <c r="BX134" s="203">
        <f>AF134</f>
        <v>0</v>
      </c>
      <c r="BY134" s="203">
        <f>AQ134+AV134</f>
        <v>0</v>
      </c>
      <c r="BZ134" s="203">
        <f t="shared" si="3207"/>
        <v>126.77221900000001</v>
      </c>
      <c r="CA134" s="203">
        <f>SUM(BS134:BZ134)-BU134-BW134</f>
        <v>1202.3422190000001</v>
      </c>
      <c r="CB134" s="241">
        <f>(($J134/30)*$M134)*$Q134</f>
        <v>0</v>
      </c>
      <c r="CC134" s="242">
        <f>(($K134/30)*$M134)*$Q134</f>
        <v>0</v>
      </c>
      <c r="CD134" s="242">
        <f t="shared" ref="CD134" si="3362">AG134</f>
        <v>0</v>
      </c>
      <c r="CE134" s="242">
        <f t="shared" ref="CE134" si="3363">AH134</f>
        <v>0</v>
      </c>
      <c r="CF134" s="242">
        <f t="shared" ref="CF134" si="3364">AI134</f>
        <v>0</v>
      </c>
      <c r="CG134" s="242">
        <f t="shared" ref="CG134" si="3365">AJ134</f>
        <v>0</v>
      </c>
      <c r="CH134" s="242">
        <f>AR134+AW134</f>
        <v>0</v>
      </c>
      <c r="CI134" s="703">
        <f t="shared" si="3212"/>
        <v>0</v>
      </c>
      <c r="CJ134" s="242">
        <f>SUM(CB134:CI134)-CD134-CF134</f>
        <v>0</v>
      </c>
      <c r="CK134" s="242">
        <f>(($J134/30)*$M134)*R134</f>
        <v>0</v>
      </c>
      <c r="CL134" s="242">
        <f>(($K134/30)*$M134)*$R134</f>
        <v>0</v>
      </c>
      <c r="CM134" s="242">
        <f>+AK134</f>
        <v>0</v>
      </c>
      <c r="CN134" s="242">
        <f t="shared" ref="CN134" si="3366">AL134</f>
        <v>0</v>
      </c>
      <c r="CO134" s="242">
        <f t="shared" ref="CO134" si="3367">AM134</f>
        <v>0</v>
      </c>
      <c r="CP134" s="242">
        <f t="shared" ref="CP134" si="3368">AN134</f>
        <v>0</v>
      </c>
      <c r="CQ134" s="242">
        <f>AS134+AX134</f>
        <v>0</v>
      </c>
      <c r="CR134" s="242">
        <f>(CK134+CN134+CP134)*0.1267</f>
        <v>0</v>
      </c>
      <c r="CS134" s="243">
        <f>SUM(CK134:CR134)-CM134-CO134</f>
        <v>0</v>
      </c>
      <c r="CU134" s="201" t="s">
        <v>11</v>
      </c>
      <c r="CV134" s="203">
        <f t="shared" ref="CV134" si="3369">IF($CU134="PROQUIMA",$BA134+$BJ134+$BS134+$CB134+$CK134,0)</f>
        <v>0</v>
      </c>
      <c r="CW134" s="203">
        <f t="shared" ref="CW134" si="3370">IF($CU134="PROQUIMA",$BB134+$BK134+$BT134+$CC134+$CL134,0)</f>
        <v>0</v>
      </c>
      <c r="CX134" s="203">
        <f t="shared" ref="CX134" si="3371">IF($CU134="PROQUIMA",$BC134+$BL134+$BU134+$CD134+$CM134,0)</f>
        <v>0</v>
      </c>
      <c r="CY134" s="203">
        <f t="shared" ref="CY134" si="3372">IF($CU134="PROQUIMA",$BD134+$BM134+$BV134+$CE134+$CN134,0)</f>
        <v>0</v>
      </c>
      <c r="CZ134" s="203">
        <f t="shared" ref="CZ134" si="3373">IF($CU134="PROQUIMA",$BE134+$BN134+$BW134+$CF134+$CO134,0)</f>
        <v>0</v>
      </c>
      <c r="DA134" s="203">
        <f t="shared" ref="DA134" si="3374">IF($CU134="PROQUIMA",$BF134+$BO134+$BX134+$CG134+$CP134,0)</f>
        <v>0</v>
      </c>
      <c r="DB134" s="203">
        <f t="shared" ref="DB134" si="3375">IF($CU134="PROQUIMA",$BG134+$BP134+$BY134+$CH134+$CQ134,0)</f>
        <v>0</v>
      </c>
      <c r="DC134" s="203">
        <f t="shared" ref="DC134" si="3376">IF($CU134="PROQUIMA",$BH134+$BQ134+$BZ134+$CI134+CR134,0)</f>
        <v>0</v>
      </c>
      <c r="DD134" s="203">
        <f t="shared" ref="DD134" si="3377">SUM(CV134:DC134)-CX134-CZ134</f>
        <v>0</v>
      </c>
      <c r="DE134" s="203">
        <f t="shared" ref="DE134" si="3378">IF($CU134="UNHESA",$BA134+$BJ134+$BS134+$CB134+$CK134,0)</f>
        <v>0</v>
      </c>
      <c r="DF134" s="203">
        <f t="shared" ref="DF134" si="3379">IF($CU134="UNHESA",$BB134+$BK134+$BT134+$CC134+$CL134,0)</f>
        <v>0</v>
      </c>
      <c r="DG134" s="239">
        <f t="shared" ref="DG134" si="3380">IF($CU134="UNHESA",$BC134+$BL134+$BU134+$CD134+$CM134,0)</f>
        <v>0</v>
      </c>
      <c r="DH134" s="239">
        <f t="shared" ref="DH134" si="3381">IF($CU134="UNHESA",$BD134+$BM134+$BV134+$CE134+$CN134,0)</f>
        <v>0</v>
      </c>
      <c r="DI134" s="239">
        <f t="shared" ref="DI134" si="3382">IF($CU134="UNHESA",$BE134+$BN134+$BW134+$CF134+$CO134,0)</f>
        <v>0</v>
      </c>
      <c r="DJ134" s="203">
        <f t="shared" ref="DJ134" si="3383">IF($CU134="UNHESA",$BF134+$BO134+$BX134+$CG134+$CP134,0)</f>
        <v>0</v>
      </c>
      <c r="DK134" s="203">
        <f t="shared" ref="DK134" si="3384">IF($CU134="UNHESA",$BG134+$BP134+$BY134+$CH134+$CQ134,0)</f>
        <v>0</v>
      </c>
      <c r="DL134" s="203">
        <f t="shared" ref="DL134" si="3385">IF($CU134="UNHESA",$BH134+$BQ134+$BZ134+$CI134+$CR134,0)</f>
        <v>0</v>
      </c>
      <c r="DM134" s="203">
        <f t="shared" ref="DM134" si="3386">SUM(DE134:DL134)-DG134-DI134</f>
        <v>0</v>
      </c>
      <c r="DN134" s="210">
        <f t="shared" ref="DN134" si="3387">IF($CU134="UNHESA LIQUIDOS",$BA134+$BJ134+$BS134+$CB134+$CK134,0)</f>
        <v>0</v>
      </c>
      <c r="DO134" s="210">
        <f t="shared" ref="DO134" si="3388">IF($CU134="UNHESA LIQUIDOS",$BB134+$BK134+$BT134+$CC134+$CL134,0)</f>
        <v>0</v>
      </c>
      <c r="DP134" s="210">
        <f t="shared" ref="DP134" si="3389">IF($CU134="UNHESA LIQUIDOS",$BC134+$BL134+$BU134+$CD134+$CM134,0)</f>
        <v>0</v>
      </c>
      <c r="DQ134" s="210">
        <f t="shared" ref="DQ134" si="3390">IF($CU134="UNHESA LIQUIDOS",$BD134+$BM134+$BV134+$CE134+$CN134,0)</f>
        <v>0</v>
      </c>
      <c r="DR134" s="210">
        <f t="shared" ref="DR134" si="3391">IF($CU134="UNHESA LIQUIDOS",$BE134+$BN134+$BW134+$CF134+$CO134,0)</f>
        <v>0</v>
      </c>
      <c r="DS134" s="210">
        <f t="shared" ref="DS134" si="3392">IF($CU134="UNHESA LIQUIDOS",$BF134+$BO134+$BX134+$CG134+$CP134,0)</f>
        <v>0</v>
      </c>
      <c r="DT134" s="210">
        <f t="shared" ref="DT134" si="3393">IF($CU134="UNHESA LIQUIDOS",$BG134+$BP134+$BY134+$CH134+$CQ134,0)</f>
        <v>0</v>
      </c>
      <c r="DU134" s="210">
        <f t="shared" ref="DU134" si="3394">IF($CU134="UNHESA LIQUIDOS",$BH134+$BQ134+$BZ134+$CI134+$CR134,0)</f>
        <v>0</v>
      </c>
      <c r="DV134" s="210">
        <f t="shared" ref="DV134" si="3395">SUM(DN134:DU134)-DP134-DR134</f>
        <v>0</v>
      </c>
      <c r="DW134" s="241">
        <f>IF($CU134="CLEARTEC",$BA134+$BJ134+$BS134+$CB134+$CK134,0)</f>
        <v>0</v>
      </c>
      <c r="DX134" s="241">
        <f t="shared" ref="DX134:ED134" si="3396">IF($CU134="CLEARTEC",$BA134+$BJ134+$BS134+$CB134+$CK134,0)</f>
        <v>0</v>
      </c>
      <c r="DY134" s="241">
        <f t="shared" si="3396"/>
        <v>0</v>
      </c>
      <c r="DZ134" s="241">
        <f t="shared" si="3396"/>
        <v>0</v>
      </c>
      <c r="EA134" s="241">
        <f t="shared" si="3396"/>
        <v>0</v>
      </c>
      <c r="EB134" s="241">
        <f t="shared" si="3396"/>
        <v>0</v>
      </c>
      <c r="EC134" s="241">
        <f t="shared" si="3396"/>
        <v>0</v>
      </c>
      <c r="ED134" s="241">
        <f t="shared" si="3396"/>
        <v>0</v>
      </c>
      <c r="EE134" s="242">
        <f t="shared" ref="EE134" si="3397">SUM(DW134:ED134)-DY134-EA134</f>
        <v>0</v>
      </c>
      <c r="EF134" s="203">
        <f t="shared" ref="EF134" si="3398">IF(CU134="ECONACIONAL",$BA134+$BJ134+$BS134+$CB134+$CK134)</f>
        <v>4002.28</v>
      </c>
      <c r="EG134" s="242">
        <f t="shared" si="3246"/>
        <v>1350</v>
      </c>
      <c r="EH134" s="203">
        <f t="shared" si="3247"/>
        <v>4</v>
      </c>
      <c r="EI134" s="203">
        <f t="shared" si="3248"/>
        <v>100.057</v>
      </c>
      <c r="EJ134" s="242">
        <f t="shared" si="3249"/>
        <v>0</v>
      </c>
      <c r="EK134" s="203">
        <f t="shared" ref="EK134" si="3399">IF(CU134="ECONACIONAL",$BF134+$BO134+$BX134+$CG134+$CP134)</f>
        <v>0</v>
      </c>
      <c r="EL134" s="203">
        <f t="shared" ref="EL134" si="3400">IF(CU134="ECONACIONAL",$BG134+$BP134+$BY134+$CH134+$CQ134)</f>
        <v>0</v>
      </c>
      <c r="EM134" s="203">
        <f t="shared" ref="EM134" si="3401">IF(CU134="ECONACIONAL",BH134+BQ134+BZ134+CI134+CR134)</f>
        <v>519.76609789999998</v>
      </c>
      <c r="EN134" s="203">
        <f t="shared" ref="EN134" si="3402">SUM(EF134:EM134)-EH134-EJ134</f>
        <v>5972.1030979000006</v>
      </c>
      <c r="EP134" s="1191">
        <v>217</v>
      </c>
      <c r="EQ134" s="201"/>
      <c r="ER134" s="201"/>
      <c r="ES134" s="201"/>
      <c r="ET134" s="201"/>
      <c r="EU134" s="201"/>
      <c r="EV134" s="201"/>
      <c r="EW134" s="201"/>
      <c r="EX134" s="201"/>
      <c r="EY134" s="201">
        <f t="shared" si="3254"/>
        <v>0</v>
      </c>
      <c r="FA134" s="207">
        <f t="shared" ref="FA134:FJ134" si="3403">IF($M134&lt;=15,EP134/2,EP134)</f>
        <v>217</v>
      </c>
      <c r="FB134" s="207">
        <f t="shared" si="3403"/>
        <v>0</v>
      </c>
      <c r="FC134" s="207">
        <f t="shared" si="3403"/>
        <v>0</v>
      </c>
      <c r="FD134" s="207">
        <f t="shared" si="3403"/>
        <v>0</v>
      </c>
      <c r="FE134" s="207">
        <f t="shared" si="3403"/>
        <v>0</v>
      </c>
      <c r="FF134" s="207">
        <f t="shared" si="3403"/>
        <v>0</v>
      </c>
      <c r="FG134" s="207">
        <f t="shared" si="3403"/>
        <v>0</v>
      </c>
      <c r="FH134" s="207">
        <f t="shared" si="3403"/>
        <v>0</v>
      </c>
      <c r="FI134" s="207">
        <f t="shared" si="3403"/>
        <v>0</v>
      </c>
      <c r="FJ134" s="207">
        <f t="shared" si="3403"/>
        <v>0</v>
      </c>
      <c r="FK134" s="217"/>
      <c r="FL134" s="217"/>
      <c r="FM134" s="217"/>
      <c r="FN134" s="217"/>
      <c r="FO134" s="217"/>
      <c r="FP134" s="217"/>
      <c r="FR134" s="1177">
        <f>(((J134/30/8)*1.5)*(U134+Y134+AC134))-(BD134+BM134+BV134)</f>
        <v>0</v>
      </c>
      <c r="FS134" s="1177">
        <f t="shared" ref="FS134" si="3404">(((J134/30/8)*2)*(W134+AA134+AE134))-(BF134+BO134+BX134)</f>
        <v>0</v>
      </c>
      <c r="FT134" s="1178">
        <f>(SUM(BA134:CJ134))-(SUM(EF134:EN134))</f>
        <v>0</v>
      </c>
      <c r="FU134" s="1177">
        <f>(J134/30*M134)-(EF134)</f>
        <v>0</v>
      </c>
      <c r="FV134" s="1181">
        <f>(SUM(EP134:EY134))-((SUM(FA134:FJ134))*$FV$5)</f>
        <v>-217</v>
      </c>
    </row>
    <row r="135" spans="1:188" s="778" customFormat="1" ht="15.75" customHeight="1" outlineLevel="1" thickBot="1">
      <c r="A135" s="1005" t="s">
        <v>52</v>
      </c>
      <c r="B135" s="1005" t="s">
        <v>52</v>
      </c>
      <c r="C135" s="1006" t="s">
        <v>52</v>
      </c>
      <c r="D135" s="776"/>
      <c r="E135" s="235">
        <v>305040</v>
      </c>
      <c r="F135" s="776"/>
      <c r="G135" s="723"/>
      <c r="H135" s="717" t="s">
        <v>689</v>
      </c>
      <c r="J135" s="985">
        <f>SUM(J129:J134)</f>
        <v>18902.28</v>
      </c>
      <c r="K135" s="985">
        <f t="shared" ref="K135" si="3405">SUM(K129:K134)</f>
        <v>2700</v>
      </c>
      <c r="L135" s="985">
        <f>SUM(L129:L134)</f>
        <v>21602.28</v>
      </c>
      <c r="M135" s="828"/>
      <c r="N135" s="835"/>
      <c r="O135" s="835"/>
      <c r="P135" s="835"/>
      <c r="Q135" s="835"/>
      <c r="R135" s="835"/>
      <c r="S135" s="835"/>
      <c r="T135" s="780"/>
      <c r="U135" s="985">
        <f t="shared" ref="U135:CF135" si="3406">SUM(U129:U134)</f>
        <v>2</v>
      </c>
      <c r="V135" s="985">
        <f t="shared" si="3406"/>
        <v>50.028500000000001</v>
      </c>
      <c r="W135" s="985">
        <f t="shared" si="3406"/>
        <v>0</v>
      </c>
      <c r="X135" s="985">
        <f t="shared" si="3406"/>
        <v>0</v>
      </c>
      <c r="Y135" s="985">
        <f t="shared" si="3406"/>
        <v>4</v>
      </c>
      <c r="Z135" s="985">
        <f t="shared" si="3406"/>
        <v>102.52850000000001</v>
      </c>
      <c r="AA135" s="985">
        <f t="shared" si="3406"/>
        <v>0</v>
      </c>
      <c r="AB135" s="985">
        <f t="shared" si="3406"/>
        <v>0</v>
      </c>
      <c r="AC135" s="985">
        <f t="shared" si="3406"/>
        <v>0</v>
      </c>
      <c r="AD135" s="985">
        <f t="shared" si="3406"/>
        <v>0</v>
      </c>
      <c r="AE135" s="985">
        <f t="shared" si="3406"/>
        <v>0</v>
      </c>
      <c r="AF135" s="985">
        <f t="shared" si="3406"/>
        <v>0</v>
      </c>
      <c r="AG135" s="985">
        <f t="shared" si="3406"/>
        <v>0</v>
      </c>
      <c r="AH135" s="985">
        <f t="shared" si="3406"/>
        <v>0</v>
      </c>
      <c r="AI135" s="985">
        <f t="shared" si="3406"/>
        <v>0</v>
      </c>
      <c r="AJ135" s="985">
        <f t="shared" si="3406"/>
        <v>0</v>
      </c>
      <c r="AK135" s="985">
        <f t="shared" si="3406"/>
        <v>0</v>
      </c>
      <c r="AL135" s="985">
        <f t="shared" si="3406"/>
        <v>0</v>
      </c>
      <c r="AM135" s="985">
        <f t="shared" si="3406"/>
        <v>0</v>
      </c>
      <c r="AN135" s="985">
        <f t="shared" si="3406"/>
        <v>0</v>
      </c>
      <c r="AO135" s="985">
        <f t="shared" si="3406"/>
        <v>350</v>
      </c>
      <c r="AP135" s="985">
        <f t="shared" si="3406"/>
        <v>175</v>
      </c>
      <c r="AQ135" s="985">
        <f t="shared" si="3406"/>
        <v>175</v>
      </c>
      <c r="AR135" s="985">
        <f t="shared" si="3406"/>
        <v>0</v>
      </c>
      <c r="AS135" s="985">
        <f t="shared" si="3406"/>
        <v>0</v>
      </c>
      <c r="AT135" s="985">
        <f t="shared" si="3406"/>
        <v>0</v>
      </c>
      <c r="AU135" s="985">
        <f t="shared" si="3406"/>
        <v>0</v>
      </c>
      <c r="AV135" s="985">
        <f t="shared" si="3406"/>
        <v>0</v>
      </c>
      <c r="AW135" s="985">
        <f t="shared" si="3406"/>
        <v>0</v>
      </c>
      <c r="AX135" s="985">
        <f t="shared" si="3406"/>
        <v>0</v>
      </c>
      <c r="AY135" s="985">
        <f t="shared" si="3406"/>
        <v>0</v>
      </c>
      <c r="AZ135" s="985">
        <f t="shared" si="3406"/>
        <v>0</v>
      </c>
      <c r="BA135" s="985">
        <f>SUM(BA129:BA134)</f>
        <v>9126.14</v>
      </c>
      <c r="BB135" s="985">
        <f t="shared" si="3406"/>
        <v>3701.665</v>
      </c>
      <c r="BC135" s="985">
        <f t="shared" si="3406"/>
        <v>2</v>
      </c>
      <c r="BD135" s="985">
        <f t="shared" si="3406"/>
        <v>50.028500000000001</v>
      </c>
      <c r="BE135" s="985">
        <f t="shared" si="3406"/>
        <v>0</v>
      </c>
      <c r="BF135" s="985">
        <f t="shared" si="3406"/>
        <v>0</v>
      </c>
      <c r="BG135" s="985">
        <f t="shared" si="3406"/>
        <v>350</v>
      </c>
      <c r="BH135" s="985">
        <f t="shared" si="3406"/>
        <v>1206.9655489500001</v>
      </c>
      <c r="BI135" s="985">
        <f t="shared" si="3406"/>
        <v>14434.799048950001</v>
      </c>
      <c r="BJ135" s="985">
        <f t="shared" si="3406"/>
        <v>5910.57</v>
      </c>
      <c r="BK135" s="985">
        <f t="shared" si="3406"/>
        <v>3393.33</v>
      </c>
      <c r="BL135" s="985">
        <f t="shared" si="3406"/>
        <v>4</v>
      </c>
      <c r="BM135" s="985">
        <f t="shared" si="3406"/>
        <v>102.52850000000001</v>
      </c>
      <c r="BN135" s="985">
        <f t="shared" si="3406"/>
        <v>0</v>
      </c>
      <c r="BO135" s="985">
        <f t="shared" si="3406"/>
        <v>0</v>
      </c>
      <c r="BP135" s="985">
        <f t="shared" si="3406"/>
        <v>175</v>
      </c>
      <c r="BQ135" s="985">
        <f t="shared" si="3406"/>
        <v>784.03207995000014</v>
      </c>
      <c r="BR135" s="985">
        <f t="shared" si="3406"/>
        <v>10365.46057995</v>
      </c>
      <c r="BS135" s="985">
        <f t="shared" si="3406"/>
        <v>3540.57</v>
      </c>
      <c r="BT135" s="985">
        <f t="shared" si="3406"/>
        <v>548.32999999999993</v>
      </c>
      <c r="BU135" s="985">
        <f t="shared" si="3406"/>
        <v>0</v>
      </c>
      <c r="BV135" s="985">
        <f t="shared" si="3406"/>
        <v>0</v>
      </c>
      <c r="BW135" s="985">
        <f t="shared" si="3406"/>
        <v>0</v>
      </c>
      <c r="BX135" s="985">
        <f t="shared" si="3406"/>
        <v>0</v>
      </c>
      <c r="BY135" s="985">
        <f t="shared" si="3406"/>
        <v>175</v>
      </c>
      <c r="BZ135" s="985">
        <f t="shared" si="3406"/>
        <v>470.762719</v>
      </c>
      <c r="CA135" s="985">
        <f t="shared" si="3406"/>
        <v>4734.6627189999999</v>
      </c>
      <c r="CB135" s="985">
        <f t="shared" si="3406"/>
        <v>325</v>
      </c>
      <c r="CC135" s="985">
        <f t="shared" si="3406"/>
        <v>40</v>
      </c>
      <c r="CD135" s="985">
        <f t="shared" si="3406"/>
        <v>0</v>
      </c>
      <c r="CE135" s="985">
        <f t="shared" si="3406"/>
        <v>0</v>
      </c>
      <c r="CF135" s="985">
        <f t="shared" si="3406"/>
        <v>0</v>
      </c>
      <c r="CG135" s="985">
        <f t="shared" ref="CG135:ER135" si="3407">SUM(CG129:CG134)</f>
        <v>0</v>
      </c>
      <c r="CH135" s="985">
        <f t="shared" si="3407"/>
        <v>0</v>
      </c>
      <c r="CI135" s="985">
        <f t="shared" si="3407"/>
        <v>41.177500000000002</v>
      </c>
      <c r="CJ135" s="985">
        <f t="shared" si="3407"/>
        <v>406.17750000000001</v>
      </c>
      <c r="CK135" s="985">
        <f t="shared" si="3407"/>
        <v>0</v>
      </c>
      <c r="CL135" s="985">
        <f t="shared" si="3407"/>
        <v>0</v>
      </c>
      <c r="CM135" s="985">
        <f t="shared" si="3407"/>
        <v>0</v>
      </c>
      <c r="CN135" s="985">
        <f t="shared" si="3407"/>
        <v>0</v>
      </c>
      <c r="CO135" s="985">
        <f t="shared" si="3407"/>
        <v>0</v>
      </c>
      <c r="CP135" s="985">
        <f t="shared" si="3407"/>
        <v>0</v>
      </c>
      <c r="CQ135" s="985">
        <f t="shared" si="3407"/>
        <v>0</v>
      </c>
      <c r="CR135" s="985">
        <f t="shared" si="3407"/>
        <v>0</v>
      </c>
      <c r="CS135" s="985">
        <f t="shared" si="3407"/>
        <v>0</v>
      </c>
      <c r="CT135" s="985">
        <f t="shared" si="3407"/>
        <v>0</v>
      </c>
      <c r="CU135" s="985">
        <f t="shared" si="3407"/>
        <v>0</v>
      </c>
      <c r="CV135" s="985">
        <f t="shared" si="3407"/>
        <v>0</v>
      </c>
      <c r="CW135" s="985">
        <f t="shared" si="3407"/>
        <v>0</v>
      </c>
      <c r="CX135" s="985">
        <f t="shared" si="3407"/>
        <v>0</v>
      </c>
      <c r="CY135" s="985">
        <f t="shared" si="3407"/>
        <v>0</v>
      </c>
      <c r="CZ135" s="985">
        <f t="shared" si="3407"/>
        <v>0</v>
      </c>
      <c r="DA135" s="985">
        <f t="shared" si="3407"/>
        <v>0</v>
      </c>
      <c r="DB135" s="985">
        <f t="shared" si="3407"/>
        <v>0</v>
      </c>
      <c r="DC135" s="985">
        <f t="shared" si="3407"/>
        <v>0</v>
      </c>
      <c r="DD135" s="985">
        <f t="shared" si="3407"/>
        <v>0</v>
      </c>
      <c r="DE135" s="985">
        <f t="shared" si="3407"/>
        <v>0</v>
      </c>
      <c r="DF135" s="985">
        <f t="shared" si="3407"/>
        <v>0</v>
      </c>
      <c r="DG135" s="985">
        <f t="shared" si="3407"/>
        <v>0</v>
      </c>
      <c r="DH135" s="985">
        <f t="shared" si="3407"/>
        <v>0</v>
      </c>
      <c r="DI135" s="985">
        <f t="shared" si="3407"/>
        <v>0</v>
      </c>
      <c r="DJ135" s="985">
        <f t="shared" si="3407"/>
        <v>0</v>
      </c>
      <c r="DK135" s="985">
        <f t="shared" si="3407"/>
        <v>0</v>
      </c>
      <c r="DL135" s="985">
        <f t="shared" si="3407"/>
        <v>0</v>
      </c>
      <c r="DM135" s="985">
        <f t="shared" si="3407"/>
        <v>0</v>
      </c>
      <c r="DN135" s="985">
        <f t="shared" si="3407"/>
        <v>0</v>
      </c>
      <c r="DO135" s="985">
        <f t="shared" si="3407"/>
        <v>0</v>
      </c>
      <c r="DP135" s="985">
        <f t="shared" si="3407"/>
        <v>0</v>
      </c>
      <c r="DQ135" s="985">
        <f t="shared" si="3407"/>
        <v>0</v>
      </c>
      <c r="DR135" s="985">
        <f t="shared" si="3407"/>
        <v>0</v>
      </c>
      <c r="DS135" s="985">
        <f t="shared" si="3407"/>
        <v>0</v>
      </c>
      <c r="DT135" s="985">
        <f t="shared" si="3407"/>
        <v>0</v>
      </c>
      <c r="DU135" s="985">
        <f t="shared" si="3407"/>
        <v>0</v>
      </c>
      <c r="DV135" s="985">
        <f t="shared" si="3407"/>
        <v>0</v>
      </c>
      <c r="DW135" s="985">
        <f t="shared" si="3407"/>
        <v>0</v>
      </c>
      <c r="DX135" s="985">
        <f t="shared" si="3407"/>
        <v>0</v>
      </c>
      <c r="DY135" s="985">
        <f t="shared" si="3407"/>
        <v>0</v>
      </c>
      <c r="DZ135" s="985">
        <f t="shared" si="3407"/>
        <v>0</v>
      </c>
      <c r="EA135" s="985">
        <f t="shared" si="3407"/>
        <v>0</v>
      </c>
      <c r="EB135" s="985">
        <f t="shared" si="3407"/>
        <v>0</v>
      </c>
      <c r="EC135" s="985">
        <f t="shared" si="3407"/>
        <v>0</v>
      </c>
      <c r="ED135" s="985">
        <f t="shared" si="3407"/>
        <v>0</v>
      </c>
      <c r="EE135" s="985">
        <f t="shared" si="3407"/>
        <v>0</v>
      </c>
      <c r="EF135" s="985">
        <f t="shared" si="3407"/>
        <v>18902.28</v>
      </c>
      <c r="EG135" s="985">
        <f t="shared" si="3407"/>
        <v>7683.3249999999998</v>
      </c>
      <c r="EH135" s="985">
        <f t="shared" si="3407"/>
        <v>6</v>
      </c>
      <c r="EI135" s="985">
        <f t="shared" si="3407"/>
        <v>152.55700000000002</v>
      </c>
      <c r="EJ135" s="985">
        <f t="shared" si="3407"/>
        <v>0</v>
      </c>
      <c r="EK135" s="985">
        <f t="shared" si="3407"/>
        <v>0</v>
      </c>
      <c r="EL135" s="985">
        <f t="shared" si="3407"/>
        <v>700</v>
      </c>
      <c r="EM135" s="985">
        <f t="shared" si="3407"/>
        <v>2502.9378478999997</v>
      </c>
      <c r="EN135" s="985">
        <f t="shared" si="3407"/>
        <v>29941.099847899997</v>
      </c>
      <c r="EO135" s="985"/>
      <c r="EP135" s="985">
        <f t="shared" si="3407"/>
        <v>716</v>
      </c>
      <c r="EQ135" s="985">
        <f t="shared" si="3407"/>
        <v>0</v>
      </c>
      <c r="ER135" s="985">
        <f t="shared" si="3407"/>
        <v>0</v>
      </c>
      <c r="ES135" s="985">
        <f t="shared" ref="ES135:FJ135" si="3408">SUM(ES129:ES134)</f>
        <v>552.75</v>
      </c>
      <c r="ET135" s="985">
        <f t="shared" si="3408"/>
        <v>0</v>
      </c>
      <c r="EU135" s="985">
        <f t="shared" si="3408"/>
        <v>0</v>
      </c>
      <c r="EV135" s="985">
        <f t="shared" si="3408"/>
        <v>350</v>
      </c>
      <c r="EW135" s="985">
        <f t="shared" si="3408"/>
        <v>0</v>
      </c>
      <c r="EX135" s="985">
        <f t="shared" si="3408"/>
        <v>0</v>
      </c>
      <c r="EY135" s="985">
        <f t="shared" si="3408"/>
        <v>350</v>
      </c>
      <c r="EZ135" s="985"/>
      <c r="FA135" s="985">
        <f t="shared" si="3408"/>
        <v>716</v>
      </c>
      <c r="FB135" s="985">
        <f t="shared" si="3408"/>
        <v>0</v>
      </c>
      <c r="FC135" s="985">
        <f t="shared" si="3408"/>
        <v>0</v>
      </c>
      <c r="FD135" s="985">
        <f t="shared" si="3408"/>
        <v>552.75</v>
      </c>
      <c r="FE135" s="985">
        <f t="shared" si="3408"/>
        <v>0</v>
      </c>
      <c r="FF135" s="985">
        <f t="shared" si="3408"/>
        <v>0</v>
      </c>
      <c r="FG135" s="985">
        <f t="shared" si="3408"/>
        <v>350</v>
      </c>
      <c r="FH135" s="985">
        <f t="shared" si="3408"/>
        <v>0</v>
      </c>
      <c r="FI135" s="985">
        <f t="shared" si="3408"/>
        <v>0</v>
      </c>
      <c r="FJ135" s="985">
        <f t="shared" si="3408"/>
        <v>350</v>
      </c>
      <c r="FK135" s="985">
        <f t="shared" ref="FK135:FP135" si="3409">SUM(FK129:FK134)</f>
        <v>1.5</v>
      </c>
      <c r="FL135" s="985">
        <f t="shared" si="3409"/>
        <v>0.75</v>
      </c>
      <c r="FM135" s="985">
        <f t="shared" si="3409"/>
        <v>0.75</v>
      </c>
      <c r="FN135" s="985">
        <f t="shared" si="3409"/>
        <v>0</v>
      </c>
      <c r="FO135" s="985">
        <f t="shared" si="3409"/>
        <v>0</v>
      </c>
      <c r="FP135" s="985">
        <f t="shared" si="3409"/>
        <v>3</v>
      </c>
    </row>
    <row r="136" spans="1:188" s="717" customFormat="1" ht="16.5" customHeight="1" outlineLevel="1" thickTop="1">
      <c r="A136" s="1005" t="str">
        <f>$G$4</f>
        <v>JUNIO  2026 2da QUINCENA</v>
      </c>
      <c r="B136" s="1005">
        <f>+$G$5</f>
        <v>2026</v>
      </c>
      <c r="C136" s="1006" t="str">
        <f t="shared" si="1564"/>
        <v>JUNIO  2026 2da QUINCENA2026</v>
      </c>
      <c r="F136" s="776"/>
      <c r="G136" s="777" t="s">
        <v>616</v>
      </c>
      <c r="J136" s="863"/>
      <c r="K136" s="840"/>
      <c r="L136" s="840"/>
      <c r="M136" s="840"/>
      <c r="N136" s="859"/>
      <c r="O136" s="859"/>
      <c r="P136" s="859"/>
      <c r="Q136" s="859"/>
      <c r="R136" s="859"/>
      <c r="S136" s="859"/>
      <c r="T136" s="806"/>
      <c r="U136" s="840"/>
      <c r="V136" s="840"/>
      <c r="W136" s="840"/>
      <c r="X136" s="840"/>
      <c r="Y136" s="840"/>
      <c r="Z136" s="840"/>
      <c r="AA136" s="840"/>
      <c r="AB136" s="840"/>
      <c r="AC136" s="840"/>
      <c r="AD136" s="840"/>
      <c r="AE136" s="840"/>
      <c r="AF136" s="840"/>
      <c r="AG136" s="840"/>
      <c r="AH136" s="840"/>
      <c r="AI136" s="840"/>
      <c r="AJ136" s="840"/>
      <c r="AK136" s="840"/>
      <c r="AL136" s="840"/>
      <c r="AM136" s="840"/>
      <c r="AN136" s="840"/>
      <c r="AO136" s="840"/>
      <c r="AP136" s="840"/>
      <c r="AQ136" s="840"/>
      <c r="AR136" s="840"/>
      <c r="AS136" s="840"/>
      <c r="AT136" s="840"/>
      <c r="AU136" s="840"/>
      <c r="AV136" s="840"/>
      <c r="AW136" s="840"/>
      <c r="AX136" s="840"/>
      <c r="AY136" s="840"/>
      <c r="AZ136" s="840"/>
      <c r="BA136" s="840"/>
      <c r="BB136" s="840"/>
      <c r="BC136" s="840"/>
      <c r="BD136" s="840"/>
      <c r="BE136" s="840"/>
      <c r="BF136" s="840"/>
      <c r="BG136" s="840"/>
      <c r="BH136" s="840"/>
      <c r="BI136" s="840"/>
      <c r="BJ136" s="840"/>
      <c r="BK136" s="840"/>
      <c r="BL136" s="840"/>
      <c r="BM136" s="840"/>
      <c r="BN136" s="840"/>
      <c r="BO136" s="840"/>
      <c r="BP136" s="840"/>
      <c r="BQ136" s="840"/>
      <c r="BR136" s="840"/>
      <c r="BS136" s="840"/>
      <c r="BT136" s="840"/>
      <c r="BU136" s="840"/>
      <c r="BV136" s="840"/>
      <c r="BW136" s="840"/>
      <c r="BX136" s="840"/>
      <c r="BY136" s="840"/>
      <c r="BZ136" s="840"/>
      <c r="CA136" s="840"/>
      <c r="CB136" s="840"/>
      <c r="CC136" s="840"/>
      <c r="CD136" s="840"/>
      <c r="CE136" s="840"/>
      <c r="CF136" s="840"/>
      <c r="CG136" s="840"/>
      <c r="CH136" s="840"/>
      <c r="CI136" s="840"/>
      <c r="CJ136" s="840"/>
      <c r="CK136" s="840"/>
      <c r="CL136" s="840"/>
      <c r="CM136" s="840"/>
      <c r="CN136" s="840"/>
      <c r="CO136" s="840"/>
      <c r="CP136" s="840"/>
      <c r="CQ136" s="840"/>
      <c r="CR136" s="840"/>
      <c r="CS136" s="840"/>
      <c r="CT136" s="840"/>
      <c r="CU136" s="840"/>
      <c r="CV136" s="840"/>
      <c r="CW136" s="840"/>
      <c r="CX136" s="840"/>
      <c r="CY136" s="840"/>
      <c r="CZ136" s="840"/>
      <c r="DA136" s="840"/>
      <c r="DB136" s="840"/>
      <c r="DC136" s="840"/>
      <c r="DD136" s="840"/>
      <c r="DE136" s="840"/>
      <c r="DF136" s="840"/>
      <c r="DG136" s="840"/>
      <c r="DH136" s="840"/>
      <c r="DI136" s="840"/>
      <c r="DJ136" s="840"/>
      <c r="DK136" s="840"/>
      <c r="DL136" s="840"/>
      <c r="DM136" s="840"/>
      <c r="DN136" s="840"/>
      <c r="DO136" s="840"/>
      <c r="DP136" s="840"/>
      <c r="DQ136" s="840"/>
      <c r="DR136" s="840"/>
      <c r="DS136" s="840"/>
      <c r="DT136" s="840"/>
      <c r="DU136" s="840"/>
      <c r="DV136" s="840"/>
      <c r="DW136" s="840"/>
      <c r="DX136" s="840"/>
      <c r="DY136" s="840"/>
      <c r="DZ136" s="840"/>
      <c r="EA136" s="840"/>
      <c r="EB136" s="840"/>
      <c r="EC136" s="840"/>
      <c r="ED136" s="840"/>
      <c r="EE136" s="840"/>
      <c r="EF136" s="840"/>
      <c r="EG136" s="840"/>
      <c r="EH136" s="840"/>
      <c r="EI136" s="840"/>
      <c r="EJ136" s="840"/>
      <c r="EK136" s="840"/>
      <c r="EL136" s="840"/>
      <c r="EM136" s="840"/>
      <c r="EN136" s="840"/>
      <c r="EO136" s="840"/>
      <c r="EP136" s="863"/>
      <c r="EQ136" s="840"/>
      <c r="ER136" s="840"/>
      <c r="ES136" s="863"/>
      <c r="ET136" s="840"/>
      <c r="EU136" s="840"/>
      <c r="EV136" s="840"/>
      <c r="EW136" s="840"/>
      <c r="EX136" s="840"/>
      <c r="EY136" s="840"/>
      <c r="FA136" s="840"/>
      <c r="FB136" s="840"/>
      <c r="FC136" s="840"/>
      <c r="FD136" s="840"/>
      <c r="FE136" s="840"/>
      <c r="FF136" s="840"/>
      <c r="FG136" s="840"/>
      <c r="FH136" s="840"/>
      <c r="FI136" s="840"/>
      <c r="FJ136" s="840"/>
      <c r="FK136" s="799"/>
      <c r="FL136" s="799"/>
      <c r="FM136" s="799"/>
      <c r="FN136" s="799"/>
      <c r="FO136" s="799"/>
      <c r="FP136" s="799"/>
      <c r="FQ136" s="778"/>
    </row>
    <row r="137" spans="1:188" s="802" customFormat="1" ht="15" customHeight="1" outlineLevel="1">
      <c r="A137" s="1005" t="str">
        <f>$G$4</f>
        <v>JUNIO  2026 2da QUINCENA</v>
      </c>
      <c r="B137" s="1005">
        <f>+$G$5</f>
        <v>2026</v>
      </c>
      <c r="C137" s="1006" t="str">
        <f t="shared" si="1564"/>
        <v>JUNIO  2026 2da QUINCENA2026</v>
      </c>
      <c r="D137" s="826"/>
      <c r="E137" s="235">
        <v>306010</v>
      </c>
      <c r="F137" s="826"/>
      <c r="G137" s="779" t="s">
        <v>654</v>
      </c>
      <c r="H137" s="776"/>
      <c r="I137" s="778"/>
      <c r="J137" s="860"/>
      <c r="N137" s="854"/>
      <c r="O137" s="854"/>
      <c r="P137" s="854"/>
      <c r="Q137" s="854"/>
      <c r="R137" s="854"/>
      <c r="S137" s="854"/>
      <c r="T137" s="780"/>
      <c r="U137" s="861"/>
      <c r="W137" s="861"/>
      <c r="Y137" s="861"/>
      <c r="AA137" s="861"/>
      <c r="AC137" s="861"/>
      <c r="AE137" s="862"/>
      <c r="AG137" s="862"/>
      <c r="AI137" s="862"/>
      <c r="AM137" s="862"/>
      <c r="AZ137" s="832"/>
      <c r="CT137" s="778"/>
      <c r="CU137" s="778"/>
      <c r="EO137" s="778"/>
      <c r="EP137" s="235"/>
      <c r="EQ137" s="778"/>
      <c r="ER137" s="778"/>
      <c r="ES137" s="216"/>
      <c r="ET137" s="778"/>
      <c r="EU137" s="778"/>
      <c r="EV137" s="778"/>
      <c r="EW137" s="778"/>
      <c r="EX137" s="778"/>
      <c r="EY137" s="778"/>
      <c r="EZ137" s="778"/>
      <c r="FA137" s="778"/>
      <c r="FB137" s="778"/>
      <c r="FC137" s="778"/>
      <c r="FD137" s="778"/>
      <c r="FE137" s="778"/>
      <c r="FF137" s="778"/>
      <c r="FG137" s="778"/>
      <c r="FH137" s="778"/>
      <c r="FI137" s="778"/>
      <c r="FJ137" s="778"/>
      <c r="FK137" s="799"/>
      <c r="FL137" s="799"/>
      <c r="FM137" s="799"/>
      <c r="FN137" s="799"/>
      <c r="FO137" s="799"/>
      <c r="FP137" s="799"/>
      <c r="FQ137" s="778"/>
      <c r="FR137" s="778"/>
      <c r="FS137" s="778"/>
      <c r="FT137" s="778"/>
      <c r="FU137" s="778"/>
    </row>
    <row r="138" spans="1:188" s="1218" customFormat="1" ht="15" customHeight="1" outlineLevel="1">
      <c r="A138" s="1203" t="str">
        <f>$G$4</f>
        <v>JUNIO  2026 2da QUINCENA</v>
      </c>
      <c r="B138" s="1203">
        <f>+$G$5</f>
        <v>2026</v>
      </c>
      <c r="C138" s="1204" t="str">
        <f t="shared" ref="C138" si="3410">A138 &amp; B138</f>
        <v>JUNIO  2026 2da QUINCENA2026</v>
      </c>
      <c r="D138" s="1205" t="s">
        <v>112</v>
      </c>
      <c r="E138" s="1205">
        <v>306010</v>
      </c>
      <c r="F138" s="1206">
        <v>50</v>
      </c>
      <c r="G138" s="1207" t="s">
        <v>739</v>
      </c>
      <c r="H138" s="1208" t="s">
        <v>86</v>
      </c>
      <c r="I138" s="1209" t="s">
        <v>11</v>
      </c>
      <c r="J138" s="1211">
        <v>19000</v>
      </c>
      <c r="K138" s="1211">
        <v>5000</v>
      </c>
      <c r="L138" s="1211">
        <f t="shared" ref="L138" si="3411">+J138+K138</f>
        <v>24000</v>
      </c>
      <c r="M138" s="203">
        <v>30</v>
      </c>
      <c r="N138" s="1228">
        <v>0.4</v>
      </c>
      <c r="O138" s="1228">
        <v>0.45</v>
      </c>
      <c r="P138" s="1228">
        <v>0.1</v>
      </c>
      <c r="Q138" s="1246">
        <v>0.05</v>
      </c>
      <c r="R138" s="1228">
        <v>0</v>
      </c>
      <c r="S138" s="1212">
        <f t="shared" ref="S138" si="3412">SUM(N138:R138)</f>
        <v>1</v>
      </c>
      <c r="T138" s="1213" t="s">
        <v>778</v>
      </c>
      <c r="U138" s="1235"/>
      <c r="V138" s="1210">
        <f t="shared" ref="V138" si="3413">($J138/30/8*1.5)*U138</f>
        <v>0</v>
      </c>
      <c r="W138" s="1224"/>
      <c r="X138" s="1223">
        <f t="shared" ref="X138" si="3414">($J138/30/8*2)*W138</f>
        <v>0</v>
      </c>
      <c r="Y138" s="1224"/>
      <c r="Z138" s="1223">
        <f t="shared" ref="Z138" si="3415">($J138/30/8*1.5)*Y138</f>
        <v>0</v>
      </c>
      <c r="AA138" s="1224"/>
      <c r="AB138" s="1210">
        <f t="shared" ref="AB138" si="3416">($J138/30/8*2)*AA138</f>
        <v>0</v>
      </c>
      <c r="AC138" s="1214"/>
      <c r="AD138" s="1210">
        <f t="shared" ref="AD138" si="3417">(($J138/30/8)*1.5)*AC138</f>
        <v>0</v>
      </c>
      <c r="AE138" s="1215"/>
      <c r="AF138" s="1210">
        <f t="shared" ref="AF138" si="3418">(($J138/30/8)*2)*AE138</f>
        <v>0</v>
      </c>
      <c r="AG138" s="1247"/>
      <c r="AH138" s="1226">
        <f t="shared" ref="AH138" si="3419">(($J138/30/8)*1.5)*AG138</f>
        <v>0</v>
      </c>
      <c r="AI138" s="1247"/>
      <c r="AJ138" s="1226">
        <f t="shared" ref="AJ138" si="3420">(($J138/30/8)*2)*AI138</f>
        <v>0</v>
      </c>
      <c r="AK138" s="1226"/>
      <c r="AL138" s="1226">
        <f>(($J138/30/8)*1.5)*AK138</f>
        <v>0</v>
      </c>
      <c r="AM138" s="1247"/>
      <c r="AN138" s="1226">
        <f>(($J138/30/8)*2)*AM138</f>
        <v>0</v>
      </c>
      <c r="AO138" s="1248"/>
      <c r="AP138" s="1248"/>
      <c r="AQ138" s="1248"/>
      <c r="AR138" s="1248"/>
      <c r="AS138" s="1248"/>
      <c r="AT138" s="1248"/>
      <c r="AU138" s="1248"/>
      <c r="AV138" s="1248"/>
      <c r="AW138" s="1248"/>
      <c r="AX138" s="1248"/>
      <c r="AY138" s="1211"/>
      <c r="AZ138" s="1225"/>
      <c r="BA138" s="1210">
        <f t="shared" ref="BA138" si="3421">((J138/30)*M138)*$N138</f>
        <v>7600</v>
      </c>
      <c r="BB138" s="1229">
        <f>((K138/30)*M138)*$N138</f>
        <v>2000</v>
      </c>
      <c r="BC138" s="1210">
        <f t="shared" ref="BC138" si="3422">U138</f>
        <v>0</v>
      </c>
      <c r="BD138" s="1210">
        <f t="shared" ref="BD138" si="3423">V138</f>
        <v>0</v>
      </c>
      <c r="BE138" s="1210">
        <f t="shared" ref="BE138" si="3424">W138</f>
        <v>0</v>
      </c>
      <c r="BF138" s="1210">
        <f t="shared" ref="BF138" si="3425">X138</f>
        <v>0</v>
      </c>
      <c r="BG138" s="1210">
        <f t="shared" ref="BG138" si="3426">AO138+AT138</f>
        <v>0</v>
      </c>
      <c r="BH138" s="203">
        <f t="shared" ref="BH138" si="3427">(BA138+BD138+BF138+BG138)*0.1267</f>
        <v>962.92000000000007</v>
      </c>
      <c r="BI138" s="1210">
        <f t="shared" ref="BI138" si="3428">SUM(BA138:BH138)-BC138-BE138</f>
        <v>10562.92</v>
      </c>
      <c r="BJ138" s="1223">
        <f t="shared" ref="BJ138:BJ139" si="3429">(($J138/30)*$M138)*$O138</f>
        <v>8550</v>
      </c>
      <c r="BK138" s="1223">
        <f>(($K138/30)*$M138)*$O138</f>
        <v>2250</v>
      </c>
      <c r="BL138" s="1210">
        <f t="shared" ref="BL138" si="3430">Y138</f>
        <v>0</v>
      </c>
      <c r="BM138" s="1210">
        <f t="shared" ref="BM138" si="3431">Z138</f>
        <v>0</v>
      </c>
      <c r="BN138" s="1210">
        <f t="shared" ref="BN138" si="3432">AA138</f>
        <v>0</v>
      </c>
      <c r="BO138" s="1210">
        <f t="shared" ref="BO138" si="3433">AB138</f>
        <v>0</v>
      </c>
      <c r="BP138" s="1210">
        <f t="shared" ref="BP138" si="3434">AP138+AU138</f>
        <v>0</v>
      </c>
      <c r="BQ138" s="203">
        <f t="shared" ref="BQ138" si="3435">(+BJ138+BM138+BO138+BP138)*0.1267</f>
        <v>1083.2850000000001</v>
      </c>
      <c r="BR138" s="1211">
        <f t="shared" ref="BR138" si="3436">SUM(BJ138:BQ138)-BL138-BN138</f>
        <v>11883.285</v>
      </c>
      <c r="BS138" s="1223">
        <f t="shared" ref="BS138:BS139" si="3437">(($J138/30)*$M138)*$P138</f>
        <v>1900</v>
      </c>
      <c r="BT138" s="1223">
        <f>(($K138/30)*$M138)*$P138</f>
        <v>500</v>
      </c>
      <c r="BU138" s="1210">
        <f t="shared" ref="BU138" si="3438">AC138</f>
        <v>0</v>
      </c>
      <c r="BV138" s="1210">
        <f t="shared" ref="BV138" si="3439">AD138</f>
        <v>0</v>
      </c>
      <c r="BW138" s="1210">
        <f t="shared" ref="BW138" si="3440">AE138</f>
        <v>0</v>
      </c>
      <c r="BX138" s="1210">
        <f t="shared" ref="BX138" si="3441">AF138</f>
        <v>0</v>
      </c>
      <c r="BY138" s="1210">
        <f t="shared" ref="BY138" si="3442">AQ138+AV138</f>
        <v>0</v>
      </c>
      <c r="BZ138" s="203">
        <f t="shared" ref="BZ138" si="3443">(BS138+BV138+BX138+BY138)*0.1267</f>
        <v>240.73000000000002</v>
      </c>
      <c r="CA138" s="1210">
        <f t="shared" ref="CA138" si="3444">SUM(BS138:BZ138)-BU138-BW138</f>
        <v>2640.73</v>
      </c>
      <c r="CB138" s="1249">
        <f>(($J138/30)*$M138)*$Q138</f>
        <v>950</v>
      </c>
      <c r="CC138" s="1250">
        <f>(($K138/30)*$M138)*$Q138</f>
        <v>250</v>
      </c>
      <c r="CD138" s="1250">
        <f t="shared" ref="CD138:CG138" si="3445">AG138</f>
        <v>0</v>
      </c>
      <c r="CE138" s="1250">
        <f t="shared" si="3445"/>
        <v>0</v>
      </c>
      <c r="CF138" s="1250">
        <f t="shared" si="3445"/>
        <v>0</v>
      </c>
      <c r="CG138" s="1250">
        <f t="shared" si="3445"/>
        <v>0</v>
      </c>
      <c r="CH138" s="1250">
        <f>AR138+AW138</f>
        <v>0</v>
      </c>
      <c r="CI138" s="703">
        <f t="shared" ref="CI138" si="3446">(CB138+CE138+CG138+CH138)*0.1267</f>
        <v>120.36500000000001</v>
      </c>
      <c r="CJ138" s="1250">
        <f>SUM(CB138:CI138)-CD138-CF138</f>
        <v>1320.365</v>
      </c>
      <c r="CK138" s="1250">
        <f>(($J138/30)*$M138)*R138</f>
        <v>0</v>
      </c>
      <c r="CL138" s="1250">
        <f>(($K138/30)*$M138)*$R138</f>
        <v>0</v>
      </c>
      <c r="CM138" s="1250">
        <f>+AK138</f>
        <v>0</v>
      </c>
      <c r="CN138" s="1250">
        <f t="shared" ref="CN138:CP138" si="3447">AL138</f>
        <v>0</v>
      </c>
      <c r="CO138" s="1250">
        <f t="shared" si="3447"/>
        <v>0</v>
      </c>
      <c r="CP138" s="1250">
        <f t="shared" si="3447"/>
        <v>0</v>
      </c>
      <c r="CQ138" s="1250">
        <f>AS138+AX138</f>
        <v>0</v>
      </c>
      <c r="CR138" s="1250">
        <f>(CK138+CN138+CP138)*0.1267</f>
        <v>0</v>
      </c>
      <c r="CS138" s="1251">
        <f>SUM(CK138:CR138)-CM138-CO138</f>
        <v>0</v>
      </c>
      <c r="CU138" s="1209" t="s">
        <v>11</v>
      </c>
      <c r="CV138" s="1210">
        <f t="shared" ref="CV138:CV139" si="3448">IF($CU138="PROQUIMA",$BA138+$BJ138+$BS138+$CB138+$CK138,0)</f>
        <v>0</v>
      </c>
      <c r="CW138" s="1210">
        <f t="shared" ref="CW138:CW139" si="3449">IF($CU138="PROQUIMA",$BB138+$BK138+$BT138+$CC138+$CL138,0)</f>
        <v>0</v>
      </c>
      <c r="CX138" s="1210">
        <f t="shared" ref="CX138:CX139" si="3450">IF($CU138="PROQUIMA",$BC138+$BL138+$BU138+$CD138+$CM138,0)</f>
        <v>0</v>
      </c>
      <c r="CY138" s="1210">
        <f t="shared" ref="CY138:CY139" si="3451">IF($CU138="PROQUIMA",$BD138+$BM138+$BV138+$CE138+$CN138,0)</f>
        <v>0</v>
      </c>
      <c r="CZ138" s="1210">
        <f t="shared" ref="CZ138:CZ139" si="3452">IF($CU138="PROQUIMA",$BE138+$BN138+$BW138+$CF138+$CO138,0)</f>
        <v>0</v>
      </c>
      <c r="DA138" s="1210">
        <f t="shared" ref="DA138:DA139" si="3453">IF($CU138="PROQUIMA",$BF138+$BO138+$BX138+$CG138+$CP138,0)</f>
        <v>0</v>
      </c>
      <c r="DB138" s="1210">
        <f t="shared" ref="DB138:DB139" si="3454">IF($CU138="PROQUIMA",$BG138+$BP138+$BY138+$CH138+$CQ138,0)</f>
        <v>0</v>
      </c>
      <c r="DC138" s="1210">
        <f t="shared" ref="DC138" si="3455">IF($CU138="PROQUIMA",$BH138+$BQ138+$BZ138+$CI138+CR138,0)</f>
        <v>0</v>
      </c>
      <c r="DD138" s="1210">
        <f t="shared" ref="DD138" si="3456">SUM(CV138:DC138)-CX138-CZ138</f>
        <v>0</v>
      </c>
      <c r="DE138" s="1210">
        <f t="shared" ref="DE138:DE139" si="3457">IF($CU138="UNHESA",$BA138+$BJ138+$BS138+$CB138+$CK138,0)</f>
        <v>0</v>
      </c>
      <c r="DF138" s="1210">
        <f t="shared" ref="DF138:DF139" si="3458">IF($CU138="UNHESA",$BB138+$BK138+$BT138+$CC138+$CL138,0)</f>
        <v>0</v>
      </c>
      <c r="DG138" s="1223">
        <f t="shared" ref="DG138:DG139" si="3459">IF($CU138="UNHESA",$BC138+$BL138+$BU138+$CD138+$CM138,0)</f>
        <v>0</v>
      </c>
      <c r="DH138" s="1223">
        <f t="shared" ref="DH138:DH139" si="3460">IF($CU138="UNHESA",$BD138+$BM138+$BV138+$CE138+$CN138,0)</f>
        <v>0</v>
      </c>
      <c r="DI138" s="1223">
        <f t="shared" ref="DI138:DI139" si="3461">IF($CU138="UNHESA",$BE138+$BN138+$BW138+$CF138+$CO138,0)</f>
        <v>0</v>
      </c>
      <c r="DJ138" s="1210">
        <f t="shared" ref="DJ138:DJ139" si="3462">IF($CU138="UNHESA",$BF138+$BO138+$BX138+$CG138+$CP138,0)</f>
        <v>0</v>
      </c>
      <c r="DK138" s="1210">
        <f t="shared" ref="DK138:DK139" si="3463">IF($CU138="UNHESA",$BG138+$BP138+$BY138+$CH138+$CQ138,0)</f>
        <v>0</v>
      </c>
      <c r="DL138" s="1210">
        <f t="shared" ref="DL138:DL139" si="3464">IF($CU138="UNHESA",$BH138+$BQ138+$BZ138+$CI138+$CR138,0)</f>
        <v>0</v>
      </c>
      <c r="DM138" s="1210">
        <f t="shared" ref="DM138" si="3465">SUM(DE138:DL138)-DG138-DI138</f>
        <v>0</v>
      </c>
      <c r="DN138" s="1226">
        <f t="shared" ref="DN138:DN139" si="3466">IF($CU138="UNHESA LIQUIDOS",$BA138+$BJ138+$BS138+$CB138+$CK138,0)</f>
        <v>0</v>
      </c>
      <c r="DO138" s="1226">
        <f t="shared" ref="DO138:DO139" si="3467">IF($CU138="UNHESA LIQUIDOS",$BB138+$BK138+$BT138+$CC138+$CL138,0)</f>
        <v>0</v>
      </c>
      <c r="DP138" s="1226">
        <f t="shared" ref="DP138:DP139" si="3468">IF($CU138="UNHESA LIQUIDOS",$BC138+$BL138+$BU138+$CD138+$CM138,0)</f>
        <v>0</v>
      </c>
      <c r="DQ138" s="1226">
        <f t="shared" ref="DQ138:DQ139" si="3469">IF($CU138="UNHESA LIQUIDOS",$BD138+$BM138+$BV138+$CE138+$CN138,0)</f>
        <v>0</v>
      </c>
      <c r="DR138" s="1226">
        <f t="shared" ref="DR138:DR139" si="3470">IF($CU138="UNHESA LIQUIDOS",$BE138+$BN138+$BW138+$CF138+$CO138,0)</f>
        <v>0</v>
      </c>
      <c r="DS138" s="1226">
        <f t="shared" ref="DS138:DS139" si="3471">IF($CU138="UNHESA LIQUIDOS",$BF138+$BO138+$BX138+$CG138+$CP138,0)</f>
        <v>0</v>
      </c>
      <c r="DT138" s="1226">
        <f t="shared" ref="DT138:DT139" si="3472">IF($CU138="UNHESA LIQUIDOS",$BG138+$BP138+$BY138+$CH138+$CQ138,0)</f>
        <v>0</v>
      </c>
      <c r="DU138" s="1226">
        <f t="shared" ref="DU138:DU139" si="3473">IF($CU138="UNHESA LIQUIDOS",$BH138+$BQ138+$BZ138+$CI138+$CR138,0)</f>
        <v>0</v>
      </c>
      <c r="DV138" s="1226">
        <f t="shared" ref="DV138" si="3474">SUM(DN138:DU138)-DP138-DR138</f>
        <v>0</v>
      </c>
      <c r="DW138" s="1216">
        <f>IF($CU138="CLEARTEC",$BA138+$BJ138+$BS138+$CB138+$CK138,0)</f>
        <v>0</v>
      </c>
      <c r="DX138" s="1216">
        <f t="shared" ref="DX138:ED139" si="3475">IF($CU138="CLEARTEC",$BA138+$BJ138+$BS138+$CB138+$CK138,0)</f>
        <v>0</v>
      </c>
      <c r="DY138" s="1216">
        <f t="shared" si="3475"/>
        <v>0</v>
      </c>
      <c r="DZ138" s="1216">
        <f t="shared" si="3475"/>
        <v>0</v>
      </c>
      <c r="EA138" s="1216">
        <f t="shared" si="3475"/>
        <v>0</v>
      </c>
      <c r="EB138" s="1216">
        <f t="shared" si="3475"/>
        <v>0</v>
      </c>
      <c r="EC138" s="1216">
        <f t="shared" si="3475"/>
        <v>0</v>
      </c>
      <c r="ED138" s="1216">
        <f t="shared" si="3475"/>
        <v>0</v>
      </c>
      <c r="EE138" s="1217">
        <f t="shared" ref="EE138" si="3476">SUM(DW138:ED138)-DY138-EA138</f>
        <v>0</v>
      </c>
      <c r="EF138" s="1210">
        <f t="shared" ref="EF138" si="3477">IF(CU138="ECONACIONAL",$BA138+$BJ138+$BS138+$CB138+$CK138)</f>
        <v>19000</v>
      </c>
      <c r="EG138" s="1217">
        <f t="shared" ref="EG138:EG139" si="3478">IF($CU138="ECONACIONAL",$BB138+$BK138+$BT138+$CC138+$CL138,0)</f>
        <v>5000</v>
      </c>
      <c r="EH138" s="1210">
        <f t="shared" ref="EH138" si="3479">IF(CU138="ECONACIONAL",$BC138+$BL138+$BU138+$CD138+$CM138)</f>
        <v>0</v>
      </c>
      <c r="EI138" s="1210">
        <f t="shared" ref="EI138" si="3480">IF(CU138="ECONACIONAL",$BD138+$DH138+$DQ138+$DZ138+BM138+BV138+CE138+CN138)</f>
        <v>0</v>
      </c>
      <c r="EJ138" s="1217">
        <f t="shared" ref="EJ138:EJ139" si="3481">IF($CU138="CLEARTEC",$BE138+$BN138+$BW138+$CF138+$CO138,0)</f>
        <v>0</v>
      </c>
      <c r="EK138" s="1210">
        <f t="shared" ref="EK138" si="3482">IF(CU138="ECONACIONAL",$BF138+$BO138+$BX138+$CG138+$CP138)</f>
        <v>0</v>
      </c>
      <c r="EL138" s="1210">
        <f t="shared" ref="EL138" si="3483">IF(CU138="ECONACIONAL",$BG138+$BP138+$BY138+$CH138+$CQ138)</f>
        <v>0</v>
      </c>
      <c r="EM138" s="1210">
        <f t="shared" ref="EM138" si="3484">IF(CU138="ECONACIONAL",BH138+BQ138+BZ138+CI138+CR138)</f>
        <v>2407.3000000000002</v>
      </c>
      <c r="EN138" s="1210">
        <f t="shared" ref="EN138" si="3485">SUM(EF138:EM138)-EH138-EJ138</f>
        <v>26407.3</v>
      </c>
      <c r="EP138" s="1209">
        <v>1144.94</v>
      </c>
      <c r="EQ138" s="1209"/>
      <c r="ER138" s="1209"/>
      <c r="ES138" s="1209"/>
      <c r="ET138" s="1209"/>
      <c r="EU138" s="1209"/>
      <c r="EV138" s="1209"/>
      <c r="EW138" s="1209"/>
      <c r="EX138" s="1209"/>
      <c r="EY138" s="1209">
        <f t="shared" ref="EY138" si="3486">+ET138+EU138+EV138</f>
        <v>0</v>
      </c>
      <c r="FA138" s="1214">
        <f t="shared" ref="FA138" si="3487">IF($M138&lt;=15,EP138/2,EP138)</f>
        <v>1144.94</v>
      </c>
      <c r="FB138" s="1214">
        <f t="shared" ref="FB138" si="3488">IF($M138&lt;=15,EQ138/2,EQ138)</f>
        <v>0</v>
      </c>
      <c r="FC138" s="1214">
        <f t="shared" ref="FC138" si="3489">IF($M138&lt;=15,ER138/2,ER138)</f>
        <v>0</v>
      </c>
      <c r="FD138" s="1214">
        <f t="shared" ref="FD138" si="3490">IF($M138&lt;=15,ES138/2,ES138)</f>
        <v>0</v>
      </c>
      <c r="FE138" s="1214">
        <f t="shared" ref="FE138" si="3491">IF($M138&lt;=15,ET138/2,ET138)</f>
        <v>0</v>
      </c>
      <c r="FF138" s="1214">
        <f t="shared" ref="FF138" si="3492">IF($M138&lt;=15,EU138/2,EU138)</f>
        <v>0</v>
      </c>
      <c r="FG138" s="1214">
        <f>IF($M138&lt;=15,EV138/2,EV138)</f>
        <v>0</v>
      </c>
      <c r="FH138" s="1214">
        <f t="shared" ref="FH138" si="3493">IF($M138&lt;=15,EW138/2,EW138)</f>
        <v>0</v>
      </c>
      <c r="FI138" s="1214">
        <f t="shared" ref="FI138" si="3494">IF($M138&lt;=15,EX138/2,EX138)</f>
        <v>0</v>
      </c>
      <c r="FJ138" s="1214">
        <f t="shared" ref="FJ138" si="3495">IF($M138&lt;=15,EY138/2,EY138)</f>
        <v>0</v>
      </c>
      <c r="FK138" s="1219">
        <v>0.6</v>
      </c>
      <c r="FL138" s="1219">
        <v>0.4</v>
      </c>
      <c r="FM138" s="1219">
        <v>0</v>
      </c>
      <c r="FN138" s="1219">
        <v>0</v>
      </c>
      <c r="FO138" s="1219">
        <v>0</v>
      </c>
      <c r="FP138" s="1230">
        <v>1</v>
      </c>
      <c r="FR138" s="1220">
        <f>(((J138/30/8)*1.5)*(U138+Y138+AC138))-(BD138+BM138+BV138)</f>
        <v>0</v>
      </c>
      <c r="FS138" s="1220">
        <f t="shared" ref="FS138" si="3496">(((J138/30/8)*2)*(W138+AA138+AE138))-(BF138+BO138+BX138)</f>
        <v>0</v>
      </c>
      <c r="FT138" s="1221">
        <f>(SUM(BA138:CJ138))-(SUM(EF138:EN138))</f>
        <v>0</v>
      </c>
      <c r="FU138" s="1220">
        <f>(J138/30*M138)-(EF138)</f>
        <v>0</v>
      </c>
      <c r="FV138" s="1222">
        <f>(SUM(EP138:EY138))-((SUM(FA138:FJ138))*$FV$5)</f>
        <v>-1144.94</v>
      </c>
    </row>
    <row r="139" spans="1:188" s="1218" customFormat="1" ht="15" customHeight="1" outlineLevel="1">
      <c r="A139" s="1203"/>
      <c r="B139" s="1203"/>
      <c r="C139" s="1204"/>
      <c r="D139" s="1205"/>
      <c r="E139" s="1205">
        <v>306010</v>
      </c>
      <c r="F139" s="1206"/>
      <c r="G139" s="1310" t="s">
        <v>780</v>
      </c>
      <c r="H139" s="1208" t="s">
        <v>86</v>
      </c>
      <c r="I139" s="1209" t="s">
        <v>11</v>
      </c>
      <c r="J139" s="1211">
        <v>19500</v>
      </c>
      <c r="K139" s="1211">
        <v>5500</v>
      </c>
      <c r="L139" s="1211">
        <f t="shared" ref="L139" si="3497">+J139+K139</f>
        <v>25000</v>
      </c>
      <c r="M139" s="203">
        <v>9</v>
      </c>
      <c r="N139" s="1228">
        <v>0.4</v>
      </c>
      <c r="O139" s="1228">
        <v>0.45</v>
      </c>
      <c r="P139" s="1228">
        <v>0.1</v>
      </c>
      <c r="Q139" s="1246">
        <v>0.05</v>
      </c>
      <c r="R139" s="1228">
        <v>0</v>
      </c>
      <c r="S139" s="1212">
        <f t="shared" ref="S139" si="3498">SUM(N139:R139)</f>
        <v>1</v>
      </c>
      <c r="T139" s="1213" t="s">
        <v>781</v>
      </c>
      <c r="U139" s="1235"/>
      <c r="V139" s="1210">
        <f t="shared" ref="V139" si="3499">($J139/30/8*1.5)*U139</f>
        <v>0</v>
      </c>
      <c r="W139" s="1224"/>
      <c r="X139" s="1223">
        <f t="shared" ref="X139" si="3500">($J139/30/8*2)*W139</f>
        <v>0</v>
      </c>
      <c r="Y139" s="1224"/>
      <c r="Z139" s="1223">
        <f t="shared" ref="Z139" si="3501">($J139/30/8*1.5)*Y139</f>
        <v>0</v>
      </c>
      <c r="AA139" s="1224"/>
      <c r="AB139" s="1210">
        <f t="shared" ref="AB139" si="3502">($J139/30/8*2)*AA139</f>
        <v>0</v>
      </c>
      <c r="AC139" s="1214"/>
      <c r="AD139" s="1210">
        <f t="shared" ref="AD139" si="3503">(($J139/30/8)*1.5)*AC139</f>
        <v>0</v>
      </c>
      <c r="AE139" s="1215"/>
      <c r="AF139" s="1210">
        <f t="shared" ref="AF139" si="3504">(($J139/30/8)*2)*AE139</f>
        <v>0</v>
      </c>
      <c r="AG139" s="1247"/>
      <c r="AH139" s="1226">
        <f t="shared" ref="AH139" si="3505">(($J139/30/8)*1.5)*AG139</f>
        <v>0</v>
      </c>
      <c r="AI139" s="1247"/>
      <c r="AJ139" s="1226">
        <f t="shared" ref="AJ139" si="3506">(($J139/30/8)*2)*AI139</f>
        <v>0</v>
      </c>
      <c r="AK139" s="1226"/>
      <c r="AL139" s="1226">
        <f>(($J139/30/8)*1.5)*AK139</f>
        <v>0</v>
      </c>
      <c r="AM139" s="1247"/>
      <c r="AN139" s="1226">
        <f>(($J139/30/8)*2)*AM139</f>
        <v>0</v>
      </c>
      <c r="AO139" s="1248"/>
      <c r="AP139" s="1248"/>
      <c r="AQ139" s="1248"/>
      <c r="AR139" s="1248"/>
      <c r="AS139" s="1248"/>
      <c r="AT139" s="1248"/>
      <c r="AU139" s="1248"/>
      <c r="AV139" s="1248"/>
      <c r="AW139" s="1248"/>
      <c r="AX139" s="1248"/>
      <c r="AY139" s="1211"/>
      <c r="AZ139" s="1225"/>
      <c r="BA139" s="1210">
        <f t="shared" ref="BA139" si="3507">((J139/30)*M139)*$N139</f>
        <v>2340</v>
      </c>
      <c r="BB139" s="1229">
        <f>((K139/30)*M139)*$N139</f>
        <v>660</v>
      </c>
      <c r="BC139" s="1210">
        <f t="shared" ref="BC139" si="3508">U139</f>
        <v>0</v>
      </c>
      <c r="BD139" s="1210">
        <f t="shared" ref="BD139" si="3509">V139</f>
        <v>0</v>
      </c>
      <c r="BE139" s="1210">
        <f t="shared" ref="BE139" si="3510">W139</f>
        <v>0</v>
      </c>
      <c r="BF139" s="1210">
        <f t="shared" ref="BF139" si="3511">X139</f>
        <v>0</v>
      </c>
      <c r="BG139" s="1210">
        <f t="shared" ref="BG139" si="3512">AO139+AT139</f>
        <v>0</v>
      </c>
      <c r="BH139" s="203">
        <f t="shared" ref="BH139" si="3513">(BA139+BD139+BF139+BG139)*0.1267</f>
        <v>296.47800000000001</v>
      </c>
      <c r="BI139" s="1210">
        <f t="shared" ref="BI139" si="3514">SUM(BA139:BH139)-BC139-BE139</f>
        <v>3296.4780000000001</v>
      </c>
      <c r="BJ139" s="1223">
        <f t="shared" si="3429"/>
        <v>2632.5</v>
      </c>
      <c r="BK139" s="1223">
        <f>(($K139/30)*$M139)*$O139</f>
        <v>742.5</v>
      </c>
      <c r="BL139" s="1210">
        <f t="shared" ref="BL139" si="3515">Y139</f>
        <v>0</v>
      </c>
      <c r="BM139" s="1210">
        <f t="shared" ref="BM139" si="3516">Z139</f>
        <v>0</v>
      </c>
      <c r="BN139" s="1210">
        <f t="shared" ref="BN139" si="3517">AA139</f>
        <v>0</v>
      </c>
      <c r="BO139" s="1210">
        <f t="shared" ref="BO139" si="3518">AB139</f>
        <v>0</v>
      </c>
      <c r="BP139" s="1210">
        <f t="shared" ref="BP139" si="3519">AP139+AU139</f>
        <v>0</v>
      </c>
      <c r="BQ139" s="203">
        <f t="shared" ref="BQ139" si="3520">(+BJ139+BM139+BO139+BP139)*0.1267</f>
        <v>333.53775000000002</v>
      </c>
      <c r="BR139" s="1211">
        <f t="shared" ref="BR139" si="3521">SUM(BJ139:BQ139)-BL139-BN139</f>
        <v>3708.53775</v>
      </c>
      <c r="BS139" s="1223">
        <f t="shared" si="3437"/>
        <v>585</v>
      </c>
      <c r="BT139" s="1223">
        <f>(($K139/30)*$M139)*$P139</f>
        <v>165</v>
      </c>
      <c r="BU139" s="1210">
        <f t="shared" ref="BU139" si="3522">AC139</f>
        <v>0</v>
      </c>
      <c r="BV139" s="1210">
        <f t="shared" ref="BV139" si="3523">AD139</f>
        <v>0</v>
      </c>
      <c r="BW139" s="1210">
        <f t="shared" ref="BW139" si="3524">AE139</f>
        <v>0</v>
      </c>
      <c r="BX139" s="1210">
        <f t="shared" ref="BX139" si="3525">AF139</f>
        <v>0</v>
      </c>
      <c r="BY139" s="1210">
        <f t="shared" ref="BY139" si="3526">AQ139+AV139</f>
        <v>0</v>
      </c>
      <c r="BZ139" s="203">
        <f t="shared" ref="BZ139" si="3527">(BS139+BV139+BX139+BY139)*0.1267</f>
        <v>74.119500000000002</v>
      </c>
      <c r="CA139" s="1210">
        <f t="shared" ref="CA139" si="3528">SUM(BS139:BZ139)-BU139-BW139</f>
        <v>824.11950000000002</v>
      </c>
      <c r="CB139" s="1249">
        <f>(($J139/30)*$M139)*$Q139</f>
        <v>292.5</v>
      </c>
      <c r="CC139" s="1250">
        <f>(($K139/30)*$M139)*$Q139</f>
        <v>82.5</v>
      </c>
      <c r="CD139" s="1250">
        <f t="shared" ref="CD139" si="3529">AG139</f>
        <v>0</v>
      </c>
      <c r="CE139" s="1250">
        <f t="shared" ref="CE139" si="3530">AH139</f>
        <v>0</v>
      </c>
      <c r="CF139" s="1250">
        <f t="shared" ref="CF139" si="3531">AI139</f>
        <v>0</v>
      </c>
      <c r="CG139" s="1250">
        <f t="shared" ref="CG139" si="3532">AJ139</f>
        <v>0</v>
      </c>
      <c r="CH139" s="1250">
        <f>AR139+AW139</f>
        <v>0</v>
      </c>
      <c r="CI139" s="703">
        <f t="shared" ref="CI139" si="3533">(CB139+CE139+CG139+CH139)*0.1267</f>
        <v>37.059750000000001</v>
      </c>
      <c r="CJ139" s="1250">
        <f>SUM(CB139:CI139)-CD139-CF139</f>
        <v>412.05975000000001</v>
      </c>
      <c r="CK139" s="1250">
        <f>(($J139/30)*$M139)*R139</f>
        <v>0</v>
      </c>
      <c r="CL139" s="1250">
        <f>(($K139/30)*$M139)*$R139</f>
        <v>0</v>
      </c>
      <c r="CM139" s="1250">
        <f>+AK139</f>
        <v>0</v>
      </c>
      <c r="CN139" s="1250">
        <f t="shared" ref="CN139" si="3534">AL139</f>
        <v>0</v>
      </c>
      <c r="CO139" s="1250">
        <f t="shared" ref="CO139" si="3535">AM139</f>
        <v>0</v>
      </c>
      <c r="CP139" s="1250">
        <f t="shared" ref="CP139" si="3536">AN139</f>
        <v>0</v>
      </c>
      <c r="CQ139" s="1250">
        <f>AS139+AX139</f>
        <v>0</v>
      </c>
      <c r="CR139" s="1250">
        <f>(CK139+CN139+CP139)*0.1267</f>
        <v>0</v>
      </c>
      <c r="CS139" s="1251">
        <f>SUM(CK139:CR139)-CM139-CO139</f>
        <v>0</v>
      </c>
      <c r="CU139" s="1209" t="s">
        <v>11</v>
      </c>
      <c r="CV139" s="1210">
        <f t="shared" si="3448"/>
        <v>0</v>
      </c>
      <c r="CW139" s="1210">
        <f t="shared" si="3449"/>
        <v>0</v>
      </c>
      <c r="CX139" s="1210">
        <f t="shared" si="3450"/>
        <v>0</v>
      </c>
      <c r="CY139" s="1210">
        <f t="shared" si="3451"/>
        <v>0</v>
      </c>
      <c r="CZ139" s="1210">
        <f t="shared" si="3452"/>
        <v>0</v>
      </c>
      <c r="DA139" s="1210">
        <f t="shared" si="3453"/>
        <v>0</v>
      </c>
      <c r="DB139" s="1210">
        <f t="shared" si="3454"/>
        <v>0</v>
      </c>
      <c r="DC139" s="1210">
        <f t="shared" ref="DC139" si="3537">IF($CU139="PROQUIMA",$BH139+$BQ139+$BZ139+$CI139+CR139,0)</f>
        <v>0</v>
      </c>
      <c r="DD139" s="1210">
        <f t="shared" ref="DD139" si="3538">SUM(CV139:DC139)-CX139-CZ139</f>
        <v>0</v>
      </c>
      <c r="DE139" s="1210">
        <f t="shared" si="3457"/>
        <v>0</v>
      </c>
      <c r="DF139" s="1210">
        <f t="shared" si="3458"/>
        <v>0</v>
      </c>
      <c r="DG139" s="1223">
        <f t="shared" si="3459"/>
        <v>0</v>
      </c>
      <c r="DH139" s="1223">
        <f t="shared" si="3460"/>
        <v>0</v>
      </c>
      <c r="DI139" s="1223">
        <f t="shared" si="3461"/>
        <v>0</v>
      </c>
      <c r="DJ139" s="1210">
        <f t="shared" si="3462"/>
        <v>0</v>
      </c>
      <c r="DK139" s="1210">
        <f t="shared" si="3463"/>
        <v>0</v>
      </c>
      <c r="DL139" s="1210">
        <f t="shared" si="3464"/>
        <v>0</v>
      </c>
      <c r="DM139" s="1210">
        <f t="shared" ref="DM139" si="3539">SUM(DE139:DL139)-DG139-DI139</f>
        <v>0</v>
      </c>
      <c r="DN139" s="1226">
        <f t="shared" si="3466"/>
        <v>0</v>
      </c>
      <c r="DO139" s="1226">
        <f t="shared" si="3467"/>
        <v>0</v>
      </c>
      <c r="DP139" s="1226">
        <f t="shared" si="3468"/>
        <v>0</v>
      </c>
      <c r="DQ139" s="1226">
        <f t="shared" si="3469"/>
        <v>0</v>
      </c>
      <c r="DR139" s="1226">
        <f t="shared" si="3470"/>
        <v>0</v>
      </c>
      <c r="DS139" s="1226">
        <f t="shared" si="3471"/>
        <v>0</v>
      </c>
      <c r="DT139" s="1226">
        <f t="shared" si="3472"/>
        <v>0</v>
      </c>
      <c r="DU139" s="1226">
        <f t="shared" si="3473"/>
        <v>0</v>
      </c>
      <c r="DV139" s="1226">
        <f t="shared" ref="DV139" si="3540">SUM(DN139:DU139)-DP139-DR139</f>
        <v>0</v>
      </c>
      <c r="DW139" s="1216">
        <f>IF($CU139="CLEARTEC",$BA139+$BJ139+$BS139+$CB139+$CK139,0)</f>
        <v>0</v>
      </c>
      <c r="DX139" s="1216">
        <f t="shared" si="3475"/>
        <v>0</v>
      </c>
      <c r="DY139" s="1216">
        <f t="shared" si="3475"/>
        <v>0</v>
      </c>
      <c r="DZ139" s="1216">
        <f t="shared" si="3475"/>
        <v>0</v>
      </c>
      <c r="EA139" s="1216">
        <f t="shared" si="3475"/>
        <v>0</v>
      </c>
      <c r="EB139" s="1216">
        <f t="shared" si="3475"/>
        <v>0</v>
      </c>
      <c r="EC139" s="1216">
        <f t="shared" si="3475"/>
        <v>0</v>
      </c>
      <c r="ED139" s="1216">
        <f t="shared" si="3475"/>
        <v>0</v>
      </c>
      <c r="EE139" s="1217">
        <f t="shared" ref="EE139" si="3541">SUM(DW139:ED139)-DY139-EA139</f>
        <v>0</v>
      </c>
      <c r="EF139" s="1210">
        <f t="shared" ref="EF139" si="3542">IF(CU139="ECONACIONAL",$BA139+$BJ139+$BS139+$CB139+$CK139)</f>
        <v>5850</v>
      </c>
      <c r="EG139" s="1217">
        <f t="shared" si="3478"/>
        <v>1650</v>
      </c>
      <c r="EH139" s="1210">
        <f t="shared" ref="EH139" si="3543">IF(CU139="ECONACIONAL",$BC139+$BL139+$BU139+$CD139+$CM139)</f>
        <v>0</v>
      </c>
      <c r="EI139" s="1210">
        <f t="shared" ref="EI139" si="3544">IF(CU139="ECONACIONAL",$BD139+$DH139+$DQ139+$DZ139+BM139+BV139+CE139+CN139)</f>
        <v>0</v>
      </c>
      <c r="EJ139" s="1217">
        <f t="shared" si="3481"/>
        <v>0</v>
      </c>
      <c r="EK139" s="1210">
        <f t="shared" ref="EK139" si="3545">IF(CU139="ECONACIONAL",$BF139+$BO139+$BX139+$CG139+$CP139)</f>
        <v>0</v>
      </c>
      <c r="EL139" s="1210">
        <f t="shared" ref="EL139" si="3546">IF(CU139="ECONACIONAL",$BG139+$BP139+$BY139+$CH139+$CQ139)</f>
        <v>0</v>
      </c>
      <c r="EM139" s="1210">
        <f t="shared" ref="EM139" si="3547">IF(CU139="ECONACIONAL",BH139+BQ139+BZ139+CI139+CR139)</f>
        <v>741.19500000000005</v>
      </c>
      <c r="EN139" s="1210">
        <f t="shared" ref="EN139" si="3548">SUM(EF139:EM139)-EH139-EJ139</f>
        <v>8241.1949999999997</v>
      </c>
      <c r="EP139" s="1209">
        <v>739.75</v>
      </c>
      <c r="EQ139" s="1209"/>
      <c r="ER139" s="1209"/>
      <c r="ES139" s="1209"/>
      <c r="ET139" s="1209"/>
      <c r="EU139" s="1209"/>
      <c r="EV139" s="1209"/>
      <c r="EW139" s="1209"/>
      <c r="EX139" s="1209"/>
      <c r="EY139" s="1209">
        <f t="shared" ref="EY139" si="3549">+ET139+EU139+EV139</f>
        <v>0</v>
      </c>
      <c r="FA139" s="1214">
        <f t="shared" ref="FA139" si="3550">IF($M139&lt;=15,EP139/2,EP139)</f>
        <v>369.875</v>
      </c>
      <c r="FB139" s="1214">
        <f t="shared" ref="FB139" si="3551">IF($M139&lt;=15,EQ139/2,EQ139)</f>
        <v>0</v>
      </c>
      <c r="FC139" s="1214">
        <f t="shared" ref="FC139" si="3552">IF($M139&lt;=15,ER139/2,ER139)</f>
        <v>0</v>
      </c>
      <c r="FD139" s="1214">
        <f t="shared" ref="FD139" si="3553">IF($M139&lt;=15,ES139/2,ES139)</f>
        <v>0</v>
      </c>
      <c r="FE139" s="1214">
        <f t="shared" ref="FE139" si="3554">IF($M139&lt;=15,ET139/2,ET139)</f>
        <v>0</v>
      </c>
      <c r="FF139" s="1214">
        <f t="shared" ref="FF139" si="3555">IF($M139&lt;=15,EU139/2,EU139)</f>
        <v>0</v>
      </c>
      <c r="FG139" s="1214">
        <f>IF($M139&lt;=15,EV139/2,EV139)</f>
        <v>0</v>
      </c>
      <c r="FH139" s="1214">
        <f t="shared" ref="FH139" si="3556">IF($M139&lt;=15,EW139/2,EW139)</f>
        <v>0</v>
      </c>
      <c r="FI139" s="1214">
        <f t="shared" ref="FI139" si="3557">IF($M139&lt;=15,EX139/2,EX139)</f>
        <v>0</v>
      </c>
      <c r="FJ139" s="1214">
        <f t="shared" ref="FJ139" si="3558">IF($M139&lt;=15,EY139/2,EY139)</f>
        <v>0</v>
      </c>
      <c r="FK139" s="1219">
        <v>0.6</v>
      </c>
      <c r="FL139" s="1219">
        <v>0.4</v>
      </c>
      <c r="FM139" s="1219">
        <v>0</v>
      </c>
      <c r="FN139" s="1219">
        <v>0</v>
      </c>
      <c r="FO139" s="1219">
        <v>0</v>
      </c>
      <c r="FP139" s="1230">
        <v>1</v>
      </c>
      <c r="FR139" s="1220">
        <f>(((J139/30/8)*1.5)*(U139+Y139+AC139))-(BD139+BM139+BV139)</f>
        <v>0</v>
      </c>
      <c r="FS139" s="1220">
        <f t="shared" ref="FS139" si="3559">(((J139/30/8)*2)*(W139+AA139+AE139))-(BF139+BO139+BX139)</f>
        <v>0</v>
      </c>
      <c r="FT139" s="1221">
        <f>(SUM(BA139:CJ139))-(SUM(EF139:EN139))</f>
        <v>0</v>
      </c>
      <c r="FU139" s="1220">
        <f>(J139/30*M139)-(EF139)</f>
        <v>0</v>
      </c>
      <c r="FV139" s="1222">
        <f>(SUM(EP139:EY139))-((SUM(FA139:FJ139))*$FV$5)</f>
        <v>0</v>
      </c>
    </row>
    <row r="140" spans="1:188" s="820" customFormat="1" ht="15.75" customHeight="1" outlineLevel="1" thickBot="1">
      <c r="A140" s="1001"/>
      <c r="B140" s="1001"/>
      <c r="E140" s="235">
        <v>306010</v>
      </c>
      <c r="F140" s="235"/>
      <c r="G140" s="723"/>
      <c r="J140" s="867">
        <f>SUM(J138:J139)</f>
        <v>38500</v>
      </c>
      <c r="K140" s="867">
        <f t="shared" ref="K140:L140" si="3560">SUM(K138:K139)</f>
        <v>10500</v>
      </c>
      <c r="L140" s="867">
        <f t="shared" si="3560"/>
        <v>49000</v>
      </c>
      <c r="M140" s="868"/>
      <c r="N140" s="869"/>
      <c r="O140" s="869"/>
      <c r="P140" s="869"/>
      <c r="Q140" s="869"/>
      <c r="R140" s="869"/>
      <c r="S140" s="869"/>
      <c r="T140" s="813"/>
      <c r="U140" s="867">
        <f t="shared" ref="U140" si="3561">SUM(U138:U139)</f>
        <v>0</v>
      </c>
      <c r="V140" s="867">
        <f t="shared" ref="V140" si="3562">SUM(V138:V139)</f>
        <v>0</v>
      </c>
      <c r="W140" s="867">
        <f t="shared" ref="W140" si="3563">SUM(W138:W139)</f>
        <v>0</v>
      </c>
      <c r="X140" s="867">
        <f t="shared" ref="X140" si="3564">SUM(X138:X139)</f>
        <v>0</v>
      </c>
      <c r="Y140" s="867">
        <f t="shared" ref="Y140" si="3565">SUM(Y138:Y139)</f>
        <v>0</v>
      </c>
      <c r="Z140" s="867">
        <f t="shared" ref="Z140" si="3566">SUM(Z138:Z139)</f>
        <v>0</v>
      </c>
      <c r="AA140" s="867">
        <f t="shared" ref="AA140" si="3567">SUM(AA138:AA139)</f>
        <v>0</v>
      </c>
      <c r="AB140" s="867">
        <f t="shared" ref="AB140" si="3568">SUM(AB138:AB139)</f>
        <v>0</v>
      </c>
      <c r="AC140" s="867">
        <f t="shared" ref="AC140" si="3569">SUM(AC138:AC139)</f>
        <v>0</v>
      </c>
      <c r="AD140" s="867">
        <f t="shared" ref="AD140" si="3570">SUM(AD138:AD139)</f>
        <v>0</v>
      </c>
      <c r="AE140" s="867">
        <f t="shared" ref="AE140" si="3571">SUM(AE138:AE139)</f>
        <v>0</v>
      </c>
      <c r="AF140" s="867">
        <f t="shared" ref="AF140" si="3572">SUM(AF138:AF139)</f>
        <v>0</v>
      </c>
      <c r="AG140" s="867">
        <f t="shared" ref="AG140" si="3573">SUM(AG138:AG139)</f>
        <v>0</v>
      </c>
      <c r="AH140" s="867">
        <f t="shared" ref="AH140" si="3574">SUM(AH138:AH139)</f>
        <v>0</v>
      </c>
      <c r="AI140" s="867">
        <f t="shared" ref="AI140" si="3575">SUM(AI138:AI139)</f>
        <v>0</v>
      </c>
      <c r="AJ140" s="867">
        <f t="shared" ref="AJ140" si="3576">SUM(AJ138:AJ139)</f>
        <v>0</v>
      </c>
      <c r="AK140" s="867">
        <f t="shared" ref="AK140" si="3577">SUM(AK138:AK139)</f>
        <v>0</v>
      </c>
      <c r="AL140" s="867">
        <f t="shared" ref="AL140" si="3578">SUM(AL138:AL139)</f>
        <v>0</v>
      </c>
      <c r="AM140" s="867">
        <f t="shared" ref="AM140" si="3579">SUM(AM138:AM139)</f>
        <v>0</v>
      </c>
      <c r="AN140" s="867">
        <f t="shared" ref="AN140" si="3580">SUM(AN138:AN139)</f>
        <v>0</v>
      </c>
      <c r="AO140" s="867">
        <f t="shared" ref="AO140" si="3581">SUM(AO138:AO139)</f>
        <v>0</v>
      </c>
      <c r="AP140" s="867">
        <f t="shared" ref="AP140" si="3582">SUM(AP138:AP139)</f>
        <v>0</v>
      </c>
      <c r="AQ140" s="867">
        <f t="shared" ref="AQ140" si="3583">SUM(AQ138:AQ139)</f>
        <v>0</v>
      </c>
      <c r="AR140" s="867">
        <f t="shared" ref="AR140" si="3584">SUM(AR138:AR139)</f>
        <v>0</v>
      </c>
      <c r="AS140" s="867">
        <f t="shared" ref="AS140" si="3585">SUM(AS138:AS139)</f>
        <v>0</v>
      </c>
      <c r="AT140" s="867">
        <f t="shared" ref="AT140" si="3586">SUM(AT138:AT139)</f>
        <v>0</v>
      </c>
      <c r="AU140" s="867">
        <f t="shared" ref="AU140" si="3587">SUM(AU138:AU139)</f>
        <v>0</v>
      </c>
      <c r="AV140" s="867">
        <f t="shared" ref="AV140" si="3588">SUM(AV138:AV139)</f>
        <v>0</v>
      </c>
      <c r="AW140" s="867">
        <f t="shared" ref="AW140" si="3589">SUM(AW138:AW139)</f>
        <v>0</v>
      </c>
      <c r="AX140" s="867">
        <f t="shared" ref="AX140" si="3590">SUM(AX138:AX139)</f>
        <v>0</v>
      </c>
      <c r="AY140" s="867">
        <f t="shared" ref="AY140" si="3591">SUM(AY138:AY139)</f>
        <v>0</v>
      </c>
      <c r="AZ140" s="867">
        <f t="shared" ref="AZ140" si="3592">SUM(AZ138:AZ139)</f>
        <v>0</v>
      </c>
      <c r="BA140" s="867">
        <f t="shared" ref="BA140" si="3593">SUM(BA138:BA139)</f>
        <v>9940</v>
      </c>
      <c r="BB140" s="867">
        <f t="shared" ref="BB140" si="3594">SUM(BB138:BB139)</f>
        <v>2660</v>
      </c>
      <c r="BC140" s="867">
        <f t="shared" ref="BC140" si="3595">SUM(BC138:BC139)</f>
        <v>0</v>
      </c>
      <c r="BD140" s="867">
        <f t="shared" ref="BD140" si="3596">SUM(BD138:BD139)</f>
        <v>0</v>
      </c>
      <c r="BE140" s="867">
        <f t="shared" ref="BE140" si="3597">SUM(BE138:BE139)</f>
        <v>0</v>
      </c>
      <c r="BF140" s="867">
        <f t="shared" ref="BF140" si="3598">SUM(BF138:BF139)</f>
        <v>0</v>
      </c>
      <c r="BG140" s="867">
        <f t="shared" ref="BG140" si="3599">SUM(BG138:BG139)</f>
        <v>0</v>
      </c>
      <c r="BH140" s="867">
        <f t="shared" ref="BH140" si="3600">SUM(BH138:BH139)</f>
        <v>1259.3980000000001</v>
      </c>
      <c r="BI140" s="867">
        <f t="shared" ref="BI140" si="3601">SUM(BI138:BI139)</f>
        <v>13859.398000000001</v>
      </c>
      <c r="BJ140" s="867">
        <f t="shared" ref="BJ140" si="3602">SUM(BJ138:BJ139)</f>
        <v>11182.5</v>
      </c>
      <c r="BK140" s="867">
        <f t="shared" ref="BK140" si="3603">SUM(BK138:BK139)</f>
        <v>2992.5</v>
      </c>
      <c r="BL140" s="867">
        <f t="shared" ref="BL140" si="3604">SUM(BL138:BL139)</f>
        <v>0</v>
      </c>
      <c r="BM140" s="867">
        <f t="shared" ref="BM140" si="3605">SUM(BM138:BM139)</f>
        <v>0</v>
      </c>
      <c r="BN140" s="867">
        <f t="shared" ref="BN140" si="3606">SUM(BN138:BN139)</f>
        <v>0</v>
      </c>
      <c r="BO140" s="867">
        <f t="shared" ref="BO140" si="3607">SUM(BO138:BO139)</f>
        <v>0</v>
      </c>
      <c r="BP140" s="867">
        <f t="shared" ref="BP140" si="3608">SUM(BP138:BP139)</f>
        <v>0</v>
      </c>
      <c r="BQ140" s="867">
        <f t="shared" ref="BQ140" si="3609">SUM(BQ138:BQ139)</f>
        <v>1416.82275</v>
      </c>
      <c r="BR140" s="867">
        <f t="shared" ref="BR140" si="3610">SUM(BR138:BR139)</f>
        <v>15591.822749999999</v>
      </c>
      <c r="BS140" s="867">
        <f t="shared" ref="BS140" si="3611">SUM(BS138:BS139)</f>
        <v>2485</v>
      </c>
      <c r="BT140" s="867">
        <f t="shared" ref="BT140" si="3612">SUM(BT138:BT139)</f>
        <v>665</v>
      </c>
      <c r="BU140" s="867">
        <f t="shared" ref="BU140" si="3613">SUM(BU138:BU139)</f>
        <v>0</v>
      </c>
      <c r="BV140" s="867">
        <f t="shared" ref="BV140" si="3614">SUM(BV138:BV139)</f>
        <v>0</v>
      </c>
      <c r="BW140" s="867">
        <f t="shared" ref="BW140" si="3615">SUM(BW138:BW139)</f>
        <v>0</v>
      </c>
      <c r="BX140" s="867">
        <f t="shared" ref="BX140" si="3616">SUM(BX138:BX139)</f>
        <v>0</v>
      </c>
      <c r="BY140" s="867">
        <f t="shared" ref="BY140" si="3617">SUM(BY138:BY139)</f>
        <v>0</v>
      </c>
      <c r="BZ140" s="867">
        <f t="shared" ref="BZ140" si="3618">SUM(BZ138:BZ139)</f>
        <v>314.84950000000003</v>
      </c>
      <c r="CA140" s="867">
        <f t="shared" ref="CA140" si="3619">SUM(CA138:CA139)</f>
        <v>3464.8495000000003</v>
      </c>
      <c r="CB140" s="867">
        <f t="shared" ref="CB140" si="3620">SUM(CB138:CB139)</f>
        <v>1242.5</v>
      </c>
      <c r="CC140" s="867">
        <f t="shared" ref="CC140" si="3621">SUM(CC138:CC139)</f>
        <v>332.5</v>
      </c>
      <c r="CD140" s="867">
        <f t="shared" ref="CD140" si="3622">SUM(CD138:CD139)</f>
        <v>0</v>
      </c>
      <c r="CE140" s="867">
        <f t="shared" ref="CE140" si="3623">SUM(CE138:CE139)</f>
        <v>0</v>
      </c>
      <c r="CF140" s="867">
        <f t="shared" ref="CF140" si="3624">SUM(CF138:CF139)</f>
        <v>0</v>
      </c>
      <c r="CG140" s="867">
        <f t="shared" ref="CG140" si="3625">SUM(CG138:CG139)</f>
        <v>0</v>
      </c>
      <c r="CH140" s="867">
        <f t="shared" ref="CH140" si="3626">SUM(CH138:CH139)</f>
        <v>0</v>
      </c>
      <c r="CI140" s="867">
        <f t="shared" ref="CI140" si="3627">SUM(CI138:CI139)</f>
        <v>157.42475000000002</v>
      </c>
      <c r="CJ140" s="867">
        <f t="shared" ref="CJ140" si="3628">SUM(CJ138:CJ139)</f>
        <v>1732.4247500000001</v>
      </c>
      <c r="CK140" s="867">
        <f t="shared" ref="CK140" si="3629">SUM(CK138:CK139)</f>
        <v>0</v>
      </c>
      <c r="CL140" s="867">
        <f t="shared" ref="CL140" si="3630">SUM(CL138:CL139)</f>
        <v>0</v>
      </c>
      <c r="CM140" s="867">
        <f t="shared" ref="CM140" si="3631">SUM(CM138:CM139)</f>
        <v>0</v>
      </c>
      <c r="CN140" s="867">
        <f t="shared" ref="CN140" si="3632">SUM(CN138:CN139)</f>
        <v>0</v>
      </c>
      <c r="CO140" s="867">
        <f t="shared" ref="CO140" si="3633">SUM(CO138:CO139)</f>
        <v>0</v>
      </c>
      <c r="CP140" s="867">
        <f t="shared" ref="CP140" si="3634">SUM(CP138:CP139)</f>
        <v>0</v>
      </c>
      <c r="CQ140" s="867">
        <f t="shared" ref="CQ140" si="3635">SUM(CQ138:CQ139)</f>
        <v>0</v>
      </c>
      <c r="CR140" s="867">
        <f t="shared" ref="CR140" si="3636">SUM(CR138:CR139)</f>
        <v>0</v>
      </c>
      <c r="CS140" s="867">
        <f t="shared" ref="CS140" si="3637">SUM(CS138:CS139)</f>
        <v>0</v>
      </c>
      <c r="CT140" s="867">
        <f t="shared" ref="CT140" si="3638">SUM(CT138:CT139)</f>
        <v>0</v>
      </c>
      <c r="CU140" s="867">
        <f t="shared" ref="CU140" si="3639">SUM(CU138:CU139)</f>
        <v>0</v>
      </c>
      <c r="CV140" s="867">
        <f t="shared" ref="CV140" si="3640">SUM(CV138:CV139)</f>
        <v>0</v>
      </c>
      <c r="CW140" s="867">
        <f t="shared" ref="CW140" si="3641">SUM(CW138:CW139)</f>
        <v>0</v>
      </c>
      <c r="CX140" s="867">
        <f t="shared" ref="CX140" si="3642">SUM(CX138:CX139)</f>
        <v>0</v>
      </c>
      <c r="CY140" s="867">
        <f t="shared" ref="CY140" si="3643">SUM(CY138:CY139)</f>
        <v>0</v>
      </c>
      <c r="CZ140" s="867">
        <f t="shared" ref="CZ140" si="3644">SUM(CZ138:CZ139)</f>
        <v>0</v>
      </c>
      <c r="DA140" s="867">
        <f t="shared" ref="DA140" si="3645">SUM(DA138:DA139)</f>
        <v>0</v>
      </c>
      <c r="DB140" s="867">
        <f t="shared" ref="DB140" si="3646">SUM(DB138:DB139)</f>
        <v>0</v>
      </c>
      <c r="DC140" s="867">
        <f t="shared" ref="DC140" si="3647">SUM(DC138:DC139)</f>
        <v>0</v>
      </c>
      <c r="DD140" s="867">
        <f t="shared" ref="DD140" si="3648">SUM(DD138:DD139)</f>
        <v>0</v>
      </c>
      <c r="DE140" s="867">
        <f t="shared" ref="DE140" si="3649">SUM(DE138:DE139)</f>
        <v>0</v>
      </c>
      <c r="DF140" s="867">
        <f t="shared" ref="DF140" si="3650">SUM(DF138:DF139)</f>
        <v>0</v>
      </c>
      <c r="DG140" s="867">
        <f t="shared" ref="DG140" si="3651">SUM(DG138:DG139)</f>
        <v>0</v>
      </c>
      <c r="DH140" s="867">
        <f t="shared" ref="DH140" si="3652">SUM(DH138:DH139)</f>
        <v>0</v>
      </c>
      <c r="DI140" s="867">
        <f t="shared" ref="DI140" si="3653">SUM(DI138:DI139)</f>
        <v>0</v>
      </c>
      <c r="DJ140" s="867">
        <f t="shared" ref="DJ140" si="3654">SUM(DJ138:DJ139)</f>
        <v>0</v>
      </c>
      <c r="DK140" s="867">
        <f t="shared" ref="DK140" si="3655">SUM(DK138:DK139)</f>
        <v>0</v>
      </c>
      <c r="DL140" s="867">
        <f t="shared" ref="DL140" si="3656">SUM(DL138:DL139)</f>
        <v>0</v>
      </c>
      <c r="DM140" s="867">
        <f t="shared" ref="DM140" si="3657">SUM(DM138:DM139)</f>
        <v>0</v>
      </c>
      <c r="DN140" s="867">
        <f t="shared" ref="DN140" si="3658">SUM(DN138:DN139)</f>
        <v>0</v>
      </c>
      <c r="DO140" s="867">
        <f t="shared" ref="DO140" si="3659">SUM(DO138:DO139)</f>
        <v>0</v>
      </c>
      <c r="DP140" s="867">
        <f t="shared" ref="DP140" si="3660">SUM(DP138:DP139)</f>
        <v>0</v>
      </c>
      <c r="DQ140" s="867">
        <f t="shared" ref="DQ140" si="3661">SUM(DQ138:DQ139)</f>
        <v>0</v>
      </c>
      <c r="DR140" s="867">
        <f t="shared" ref="DR140" si="3662">SUM(DR138:DR139)</f>
        <v>0</v>
      </c>
      <c r="DS140" s="867">
        <f t="shared" ref="DS140" si="3663">SUM(DS138:DS139)</f>
        <v>0</v>
      </c>
      <c r="DT140" s="867">
        <f t="shared" ref="DT140" si="3664">SUM(DT138:DT139)</f>
        <v>0</v>
      </c>
      <c r="DU140" s="867">
        <f t="shared" ref="DU140" si="3665">SUM(DU138:DU139)</f>
        <v>0</v>
      </c>
      <c r="DV140" s="867">
        <f t="shared" ref="DV140" si="3666">SUM(DV138:DV139)</f>
        <v>0</v>
      </c>
      <c r="DW140" s="867">
        <f t="shared" ref="DW140" si="3667">SUM(DW138:DW139)</f>
        <v>0</v>
      </c>
      <c r="DX140" s="867">
        <f t="shared" ref="DX140" si="3668">SUM(DX138:DX139)</f>
        <v>0</v>
      </c>
      <c r="DY140" s="867">
        <f t="shared" ref="DY140" si="3669">SUM(DY138:DY139)</f>
        <v>0</v>
      </c>
      <c r="DZ140" s="867">
        <f t="shared" ref="DZ140" si="3670">SUM(DZ138:DZ139)</f>
        <v>0</v>
      </c>
      <c r="EA140" s="867">
        <f t="shared" ref="EA140" si="3671">SUM(EA138:EA139)</f>
        <v>0</v>
      </c>
      <c r="EB140" s="867">
        <f t="shared" ref="EB140" si="3672">SUM(EB138:EB139)</f>
        <v>0</v>
      </c>
      <c r="EC140" s="867">
        <f t="shared" ref="EC140" si="3673">SUM(EC138:EC139)</f>
        <v>0</v>
      </c>
      <c r="ED140" s="867">
        <f t="shared" ref="ED140" si="3674">SUM(ED138:ED139)</f>
        <v>0</v>
      </c>
      <c r="EE140" s="867">
        <f t="shared" ref="EE140" si="3675">SUM(EE138:EE139)</f>
        <v>0</v>
      </c>
      <c r="EF140" s="867">
        <f t="shared" ref="EF140" si="3676">SUM(EF138:EF139)</f>
        <v>24850</v>
      </c>
      <c r="EG140" s="867">
        <f t="shared" ref="EG140" si="3677">SUM(EG138:EG139)</f>
        <v>6650</v>
      </c>
      <c r="EH140" s="867">
        <f t="shared" ref="EH140" si="3678">SUM(EH138:EH139)</f>
        <v>0</v>
      </c>
      <c r="EI140" s="867">
        <f t="shared" ref="EI140" si="3679">SUM(EI138:EI139)</f>
        <v>0</v>
      </c>
      <c r="EJ140" s="867">
        <f t="shared" ref="EJ140" si="3680">SUM(EJ138:EJ139)</f>
        <v>0</v>
      </c>
      <c r="EK140" s="867">
        <f t="shared" ref="EK140" si="3681">SUM(EK138:EK139)</f>
        <v>0</v>
      </c>
      <c r="EL140" s="867">
        <f t="shared" ref="EL140" si="3682">SUM(EL138:EL139)</f>
        <v>0</v>
      </c>
      <c r="EM140" s="867">
        <f t="shared" ref="EM140" si="3683">SUM(EM138:EM139)</f>
        <v>3148.4950000000003</v>
      </c>
      <c r="EN140" s="867">
        <f t="shared" ref="EN140" si="3684">SUM(EN138:EN139)</f>
        <v>34648.494999999995</v>
      </c>
      <c r="EO140" s="867">
        <f t="shared" ref="EO140" si="3685">SUM(EO138:EO139)</f>
        <v>0</v>
      </c>
      <c r="EP140" s="867">
        <f t="shared" ref="EP140" si="3686">SUM(EP138:EP139)</f>
        <v>1884.69</v>
      </c>
      <c r="EQ140" s="867">
        <f t="shared" ref="EQ140" si="3687">SUM(EQ138:EQ139)</f>
        <v>0</v>
      </c>
      <c r="ER140" s="867">
        <f t="shared" ref="ER140" si="3688">SUM(ER138:ER139)</f>
        <v>0</v>
      </c>
      <c r="ES140" s="867">
        <f t="shared" ref="ES140" si="3689">SUM(ES138:ES139)</f>
        <v>0</v>
      </c>
      <c r="ET140" s="867">
        <f t="shared" ref="ET140" si="3690">SUM(ET138:ET139)</f>
        <v>0</v>
      </c>
      <c r="EU140" s="867">
        <f t="shared" ref="EU140" si="3691">SUM(EU138:EU139)</f>
        <v>0</v>
      </c>
      <c r="EV140" s="867">
        <f t="shared" ref="EV140" si="3692">SUM(EV138:EV139)</f>
        <v>0</v>
      </c>
      <c r="EW140" s="867">
        <f t="shared" ref="EW140" si="3693">SUM(EW138:EW139)</f>
        <v>0</v>
      </c>
      <c r="EX140" s="867">
        <f t="shared" ref="EX140" si="3694">SUM(EX138:EX139)</f>
        <v>0</v>
      </c>
      <c r="EY140" s="867">
        <f t="shared" ref="EY140" si="3695">SUM(EY138:EY139)</f>
        <v>0</v>
      </c>
      <c r="EZ140" s="867">
        <f t="shared" ref="EZ140" si="3696">SUM(EZ138:EZ139)</f>
        <v>0</v>
      </c>
      <c r="FA140" s="867">
        <f t="shared" ref="FA140" si="3697">SUM(FA138:FA139)</f>
        <v>1514.8150000000001</v>
      </c>
      <c r="FB140" s="867">
        <f t="shared" ref="FB140" si="3698">SUM(FB138:FB139)</f>
        <v>0</v>
      </c>
      <c r="FC140" s="867">
        <f t="shared" ref="FC140" si="3699">SUM(FC138:FC139)</f>
        <v>0</v>
      </c>
      <c r="FD140" s="867">
        <f t="shared" ref="FD140" si="3700">SUM(FD138:FD139)</f>
        <v>0</v>
      </c>
      <c r="FE140" s="867">
        <f t="shared" ref="FE140" si="3701">SUM(FE138:FE139)</f>
        <v>0</v>
      </c>
      <c r="FF140" s="867">
        <f t="shared" ref="FF140" si="3702">SUM(FF138:FF139)</f>
        <v>0</v>
      </c>
      <c r="FG140" s="867">
        <f t="shared" ref="FG140" si="3703">SUM(FG138:FG139)</f>
        <v>0</v>
      </c>
      <c r="FH140" s="867">
        <f t="shared" ref="FH140" si="3704">SUM(FH138:FH139)</f>
        <v>0</v>
      </c>
      <c r="FI140" s="867">
        <f t="shared" ref="FI140" si="3705">SUM(FI138:FI139)</f>
        <v>0</v>
      </c>
      <c r="FJ140" s="867">
        <f t="shared" ref="FJ140" si="3706">SUM(FJ138:FJ139)</f>
        <v>0</v>
      </c>
      <c r="FK140" s="867">
        <f t="shared" ref="FK140" si="3707">SUM(FK138:FK139)</f>
        <v>1.2</v>
      </c>
      <c r="FL140" s="867">
        <f t="shared" ref="FL140" si="3708">SUM(FL138:FL139)</f>
        <v>0.8</v>
      </c>
      <c r="FM140" s="867">
        <f t="shared" ref="FM140" si="3709">SUM(FM138:FM139)</f>
        <v>0</v>
      </c>
      <c r="FN140" s="867">
        <f t="shared" ref="FN140" si="3710">SUM(FN138:FN139)</f>
        <v>0</v>
      </c>
      <c r="FO140" s="867">
        <f t="shared" ref="FO140" si="3711">SUM(FO138:FO139)</f>
        <v>0</v>
      </c>
      <c r="FP140" s="867">
        <f t="shared" ref="FP140" si="3712">SUM(FP138:FP139)</f>
        <v>2</v>
      </c>
      <c r="FQ140" s="867">
        <f t="shared" ref="FQ140" si="3713">SUM(FQ138:FQ139)</f>
        <v>0</v>
      </c>
      <c r="FR140" s="867">
        <f t="shared" ref="FR140" si="3714">SUM(FR138:FR139)</f>
        <v>0</v>
      </c>
      <c r="FS140" s="867">
        <f t="shared" ref="FS140" si="3715">SUM(FS138:FS139)</f>
        <v>0</v>
      </c>
      <c r="FT140" s="867">
        <f t="shared" ref="FT140" si="3716">SUM(FT138:FT139)</f>
        <v>0</v>
      </c>
      <c r="FU140" s="867">
        <f t="shared" ref="FU140" si="3717">SUM(FU138:FU139)</f>
        <v>0</v>
      </c>
      <c r="FV140" s="867">
        <f t="shared" ref="FV140" si="3718">SUM(FV138:FV139)</f>
        <v>-1144.94</v>
      </c>
      <c r="FW140" s="867">
        <f t="shared" ref="FW140" si="3719">SUM(FW138:FW139)</f>
        <v>0</v>
      </c>
      <c r="FX140" s="867">
        <f t="shared" ref="FX140" si="3720">SUM(FX138:FX139)</f>
        <v>0</v>
      </c>
      <c r="FY140" s="867">
        <f t="shared" ref="FY140" si="3721">SUM(FY138:FY139)</f>
        <v>0</v>
      </c>
      <c r="FZ140" s="867">
        <f t="shared" ref="FZ140" si="3722">SUM(FZ138:FZ139)</f>
        <v>0</v>
      </c>
      <c r="GA140" s="867">
        <f t="shared" ref="GA140" si="3723">SUM(GA138:GA139)</f>
        <v>0</v>
      </c>
      <c r="GB140" s="867">
        <f t="shared" ref="GB140" si="3724">SUM(GB138:GB139)</f>
        <v>0</v>
      </c>
      <c r="GC140" s="867">
        <f t="shared" ref="GC140" si="3725">SUM(GC138:GC139)</f>
        <v>0</v>
      </c>
      <c r="GD140" s="867">
        <f t="shared" ref="GD140" si="3726">SUM(GD138:GD139)</f>
        <v>0</v>
      </c>
      <c r="GE140" s="867">
        <f t="shared" ref="GE140" si="3727">SUM(GE138:GE139)</f>
        <v>0</v>
      </c>
      <c r="GF140" s="867">
        <f t="shared" ref="GF140" si="3728">SUM(GF138:GF139)</f>
        <v>0</v>
      </c>
    </row>
    <row r="141" spans="1:188" s="820" customFormat="1" ht="15.75" customHeight="1" outlineLevel="1" thickTop="1">
      <c r="A141" s="1001"/>
      <c r="B141" s="1001"/>
      <c r="F141" s="235"/>
      <c r="G141" s="723"/>
      <c r="J141" s="868"/>
      <c r="K141" s="868"/>
      <c r="L141" s="868"/>
      <c r="M141" s="868"/>
      <c r="N141" s="869"/>
      <c r="O141" s="869"/>
      <c r="P141" s="869"/>
      <c r="Q141" s="869"/>
      <c r="R141" s="869"/>
      <c r="S141" s="869"/>
      <c r="T141" s="813"/>
      <c r="U141" s="868"/>
      <c r="V141" s="868"/>
      <c r="W141" s="868"/>
      <c r="X141" s="868"/>
      <c r="Y141" s="868"/>
      <c r="Z141" s="868"/>
      <c r="AA141" s="868"/>
      <c r="AB141" s="868"/>
      <c r="AC141" s="868"/>
      <c r="AD141" s="868"/>
      <c r="AE141" s="868"/>
      <c r="AF141" s="868"/>
      <c r="AG141" s="868"/>
      <c r="AH141" s="868"/>
      <c r="AI141" s="868"/>
      <c r="AJ141" s="868"/>
      <c r="AK141" s="868"/>
      <c r="AL141" s="868"/>
      <c r="AM141" s="868"/>
      <c r="AN141" s="868"/>
      <c r="AO141" s="868"/>
      <c r="AP141" s="868"/>
      <c r="AQ141" s="868"/>
      <c r="AR141" s="868"/>
      <c r="AS141" s="868"/>
      <c r="AT141" s="868"/>
      <c r="AU141" s="868"/>
      <c r="AV141" s="868"/>
      <c r="AW141" s="868"/>
      <c r="AX141" s="868"/>
      <c r="AY141" s="868"/>
      <c r="AZ141" s="868"/>
      <c r="BA141" s="977"/>
      <c r="BB141" s="868"/>
      <c r="BC141" s="868"/>
      <c r="BD141" s="868"/>
      <c r="BE141" s="868"/>
      <c r="BF141" s="868"/>
      <c r="BG141" s="868"/>
      <c r="BH141" s="868"/>
      <c r="BI141" s="868"/>
      <c r="BJ141" s="868"/>
      <c r="BK141" s="868"/>
      <c r="BL141" s="868"/>
      <c r="BM141" s="868"/>
      <c r="BN141" s="868"/>
      <c r="BO141" s="868"/>
      <c r="BP141" s="868"/>
      <c r="BQ141" s="868"/>
      <c r="BR141" s="868"/>
      <c r="BS141" s="868"/>
      <c r="BT141" s="868"/>
      <c r="BU141" s="868"/>
      <c r="BV141" s="868"/>
      <c r="BW141" s="868"/>
      <c r="BX141" s="868"/>
      <c r="BY141" s="868"/>
      <c r="BZ141" s="868"/>
      <c r="CA141" s="868"/>
      <c r="CB141" s="868"/>
      <c r="CC141" s="868"/>
      <c r="CD141" s="868"/>
      <c r="CE141" s="868"/>
      <c r="CF141" s="868"/>
      <c r="CG141" s="868"/>
      <c r="CH141" s="868"/>
      <c r="CI141" s="868"/>
      <c r="CJ141" s="868"/>
      <c r="CK141" s="868"/>
      <c r="CL141" s="868"/>
      <c r="CM141" s="868"/>
      <c r="CN141" s="868"/>
      <c r="CO141" s="868"/>
      <c r="CP141" s="868"/>
      <c r="CQ141" s="868"/>
      <c r="CR141" s="868"/>
      <c r="CS141" s="868"/>
      <c r="CT141" s="868"/>
      <c r="CU141" s="868"/>
      <c r="CV141" s="868"/>
      <c r="CW141" s="868"/>
      <c r="CX141" s="868"/>
      <c r="CY141" s="868"/>
      <c r="CZ141" s="868"/>
      <c r="DA141" s="868"/>
      <c r="DB141" s="868"/>
      <c r="DC141" s="868"/>
      <c r="DD141" s="868"/>
      <c r="DE141" s="868"/>
      <c r="DF141" s="868"/>
      <c r="DG141" s="868"/>
      <c r="DH141" s="868"/>
      <c r="DI141" s="868"/>
      <c r="DJ141" s="868"/>
      <c r="DK141" s="868"/>
      <c r="DL141" s="868"/>
      <c r="DM141" s="868"/>
      <c r="DN141" s="868"/>
      <c r="DO141" s="868"/>
      <c r="DP141" s="868"/>
      <c r="DQ141" s="868"/>
      <c r="DR141" s="868"/>
      <c r="DS141" s="868"/>
      <c r="DT141" s="868"/>
      <c r="DU141" s="868"/>
      <c r="DV141" s="868"/>
      <c r="DW141" s="868"/>
      <c r="DX141" s="868"/>
      <c r="DY141" s="868"/>
      <c r="DZ141" s="868"/>
      <c r="EA141" s="868"/>
      <c r="EB141" s="868"/>
      <c r="EC141" s="868"/>
      <c r="ED141" s="868"/>
      <c r="EE141" s="868"/>
      <c r="EF141" s="868"/>
      <c r="EG141" s="868"/>
      <c r="EH141" s="868"/>
      <c r="EI141" s="868"/>
      <c r="EJ141" s="868"/>
      <c r="EK141" s="868"/>
      <c r="EL141" s="868"/>
      <c r="EM141" s="868"/>
      <c r="EN141" s="868"/>
      <c r="EO141" s="868"/>
      <c r="EP141" s="868"/>
      <c r="EQ141" s="868"/>
      <c r="ER141" s="868"/>
      <c r="ES141" s="868"/>
      <c r="ET141" s="868"/>
      <c r="EU141" s="868"/>
      <c r="EV141" s="868"/>
      <c r="EW141" s="868"/>
      <c r="EX141" s="868"/>
      <c r="EY141" s="868"/>
      <c r="EZ141" s="868"/>
      <c r="FA141" s="868"/>
      <c r="FB141" s="868"/>
      <c r="FC141" s="868"/>
      <c r="FD141" s="868"/>
      <c r="FE141" s="868"/>
      <c r="FF141" s="868"/>
      <c r="FG141" s="868"/>
      <c r="FH141" s="868"/>
      <c r="FI141" s="868"/>
      <c r="FJ141" s="868"/>
      <c r="FK141" s="799"/>
      <c r="FL141" s="799"/>
      <c r="FM141" s="799"/>
      <c r="FN141" s="799"/>
      <c r="FO141" s="799"/>
      <c r="FP141" s="799"/>
      <c r="FQ141" s="778"/>
    </row>
    <row r="142" spans="1:188" s="820" customFormat="1" ht="15.75" customHeight="1" outlineLevel="1">
      <c r="A142" s="1001"/>
      <c r="B142" s="1001"/>
      <c r="F142" s="235"/>
      <c r="G142" s="723"/>
      <c r="J142" s="868"/>
      <c r="K142" s="868"/>
      <c r="L142" s="868"/>
      <c r="M142" s="868"/>
      <c r="N142" s="869"/>
      <c r="O142" s="869"/>
      <c r="P142" s="869"/>
      <c r="Q142" s="869"/>
      <c r="R142" s="869"/>
      <c r="S142" s="869"/>
      <c r="T142" s="813"/>
      <c r="U142" s="868"/>
      <c r="V142" s="868"/>
      <c r="W142" s="868"/>
      <c r="X142" s="868"/>
      <c r="Y142" s="868"/>
      <c r="Z142" s="868"/>
      <c r="AA142" s="868"/>
      <c r="AB142" s="868"/>
      <c r="AC142" s="868"/>
      <c r="AD142" s="868"/>
      <c r="AE142" s="868"/>
      <c r="AF142" s="868"/>
      <c r="AG142" s="868"/>
      <c r="AH142" s="868"/>
      <c r="AI142" s="868"/>
      <c r="AJ142" s="868"/>
      <c r="AK142" s="868"/>
      <c r="AL142" s="868"/>
      <c r="AM142" s="868"/>
      <c r="AN142" s="868"/>
      <c r="AO142" s="868"/>
      <c r="AP142" s="868"/>
      <c r="AQ142" s="868"/>
      <c r="AR142" s="868"/>
      <c r="AS142" s="868"/>
      <c r="AT142" s="868"/>
      <c r="AU142" s="868"/>
      <c r="AV142" s="868"/>
      <c r="AW142" s="868"/>
      <c r="AX142" s="868"/>
      <c r="AY142" s="868"/>
      <c r="AZ142" s="868"/>
      <c r="BA142" s="977"/>
      <c r="BB142" s="868"/>
      <c r="BC142" s="868"/>
      <c r="BD142" s="868"/>
      <c r="BE142" s="868"/>
      <c r="BF142" s="868"/>
      <c r="BG142" s="868"/>
      <c r="BH142" s="868"/>
      <c r="BI142" s="868"/>
      <c r="BJ142" s="868"/>
      <c r="BK142" s="868"/>
      <c r="BL142" s="868"/>
      <c r="BM142" s="868"/>
      <c r="BN142" s="868"/>
      <c r="BO142" s="868"/>
      <c r="BP142" s="868"/>
      <c r="BQ142" s="868"/>
      <c r="BR142" s="868"/>
      <c r="BS142" s="868"/>
      <c r="BT142" s="868"/>
      <c r="BU142" s="868"/>
      <c r="BV142" s="868"/>
      <c r="BW142" s="868"/>
      <c r="BX142" s="868"/>
      <c r="BY142" s="868"/>
      <c r="BZ142" s="868"/>
      <c r="CA142" s="868"/>
      <c r="CB142" s="868"/>
      <c r="CC142" s="868"/>
      <c r="CD142" s="868"/>
      <c r="CE142" s="868"/>
      <c r="CF142" s="868"/>
      <c r="CG142" s="868"/>
      <c r="CH142" s="868"/>
      <c r="CI142" s="868"/>
      <c r="CJ142" s="868"/>
      <c r="CK142" s="868"/>
      <c r="CL142" s="868"/>
      <c r="CM142" s="868"/>
      <c r="CN142" s="868"/>
      <c r="CO142" s="868"/>
      <c r="CP142" s="868"/>
      <c r="CQ142" s="868"/>
      <c r="CR142" s="868"/>
      <c r="CS142" s="868"/>
      <c r="CT142" s="868"/>
      <c r="CU142" s="868"/>
      <c r="CV142" s="868"/>
      <c r="CW142" s="868"/>
      <c r="CX142" s="868"/>
      <c r="CY142" s="868"/>
      <c r="CZ142" s="868"/>
      <c r="DA142" s="868"/>
      <c r="DB142" s="868"/>
      <c r="DC142" s="868"/>
      <c r="DD142" s="868"/>
      <c r="DE142" s="868"/>
      <c r="DF142" s="868"/>
      <c r="DG142" s="868"/>
      <c r="DH142" s="868"/>
      <c r="DI142" s="868"/>
      <c r="DJ142" s="868"/>
      <c r="DK142" s="868"/>
      <c r="DL142" s="868"/>
      <c r="DM142" s="868"/>
      <c r="DN142" s="868"/>
      <c r="DO142" s="868"/>
      <c r="DP142" s="868"/>
      <c r="DQ142" s="868"/>
      <c r="DR142" s="868"/>
      <c r="DS142" s="868"/>
      <c r="DT142" s="868"/>
      <c r="DU142" s="868"/>
      <c r="DV142" s="868"/>
      <c r="DW142" s="868"/>
      <c r="DX142" s="868"/>
      <c r="DY142" s="868"/>
      <c r="DZ142" s="868"/>
      <c r="EA142" s="868"/>
      <c r="EB142" s="868"/>
      <c r="EC142" s="868"/>
      <c r="ED142" s="868"/>
      <c r="EE142" s="868"/>
      <c r="EF142" s="868"/>
      <c r="EG142" s="868"/>
      <c r="EH142" s="868"/>
      <c r="EI142" s="868"/>
      <c r="EJ142" s="868"/>
      <c r="EK142" s="868"/>
      <c r="EL142" s="868"/>
      <c r="EM142" s="868"/>
      <c r="EN142" s="868"/>
      <c r="EO142" s="868"/>
      <c r="EP142" s="868"/>
      <c r="EQ142" s="868"/>
      <c r="ER142" s="868"/>
      <c r="ES142" s="868"/>
      <c r="ET142" s="868"/>
      <c r="EU142" s="868"/>
      <c r="EV142" s="868"/>
      <c r="EW142" s="868"/>
      <c r="EX142" s="868"/>
      <c r="EY142" s="868"/>
      <c r="EZ142" s="868"/>
      <c r="FA142" s="868"/>
      <c r="FB142" s="868"/>
      <c r="FC142" s="868"/>
      <c r="FD142" s="868"/>
      <c r="FE142" s="868"/>
      <c r="FF142" s="868"/>
      <c r="FG142" s="868"/>
      <c r="FH142" s="868"/>
      <c r="FI142" s="868"/>
      <c r="FJ142" s="868"/>
      <c r="FK142" s="799"/>
      <c r="FL142" s="799"/>
      <c r="FM142" s="799"/>
      <c r="FN142" s="799"/>
      <c r="FO142" s="799"/>
      <c r="FP142" s="799"/>
      <c r="FQ142" s="778"/>
    </row>
    <row r="143" spans="1:188" s="820" customFormat="1" ht="15.75" customHeight="1" outlineLevel="1">
      <c r="A143" s="1001"/>
      <c r="B143" s="1001"/>
      <c r="E143" s="235">
        <v>301060</v>
      </c>
      <c r="F143" s="235"/>
      <c r="G143" s="777" t="s">
        <v>362</v>
      </c>
      <c r="J143" s="868"/>
      <c r="K143" s="868"/>
      <c r="L143" s="868"/>
      <c r="M143" s="868"/>
      <c r="N143" s="869"/>
      <c r="O143" s="869"/>
      <c r="P143" s="869"/>
      <c r="Q143" s="869"/>
      <c r="R143" s="869"/>
      <c r="S143" s="869"/>
      <c r="T143" s="813"/>
      <c r="U143" s="868"/>
      <c r="V143" s="868"/>
      <c r="W143" s="868"/>
      <c r="X143" s="868"/>
      <c r="Y143" s="868"/>
      <c r="Z143" s="868"/>
      <c r="AA143" s="868"/>
      <c r="AB143" s="868"/>
      <c r="AC143" s="868"/>
      <c r="AD143" s="868"/>
      <c r="AE143" s="868"/>
      <c r="AF143" s="868"/>
      <c r="AG143" s="868"/>
      <c r="AH143" s="868"/>
      <c r="AI143" s="868"/>
      <c r="AJ143" s="868"/>
      <c r="AK143" s="868"/>
      <c r="AL143" s="868"/>
      <c r="AM143" s="868"/>
      <c r="AN143" s="868"/>
      <c r="AO143" s="868"/>
      <c r="AP143" s="868"/>
      <c r="AQ143" s="868"/>
      <c r="AR143" s="868"/>
      <c r="AS143" s="868"/>
      <c r="AT143" s="868"/>
      <c r="AU143" s="868"/>
      <c r="AV143" s="868"/>
      <c r="AW143" s="868"/>
      <c r="AX143" s="868"/>
      <c r="AY143" s="868"/>
      <c r="AZ143" s="868"/>
      <c r="BA143" s="977"/>
      <c r="BB143" s="868"/>
      <c r="BC143" s="868"/>
      <c r="BD143" s="868"/>
      <c r="BE143" s="868"/>
      <c r="BF143" s="868"/>
      <c r="BG143" s="868"/>
      <c r="BH143" s="868"/>
      <c r="BI143" s="868"/>
      <c r="BJ143" s="868"/>
      <c r="BK143" s="868"/>
      <c r="BL143" s="868"/>
      <c r="BM143" s="868"/>
      <c r="BN143" s="868"/>
      <c r="BO143" s="868"/>
      <c r="BP143" s="868"/>
      <c r="BQ143" s="868"/>
      <c r="BR143" s="868"/>
      <c r="BS143" s="868"/>
      <c r="BT143" s="868"/>
      <c r="BU143" s="868"/>
      <c r="BV143" s="868"/>
      <c r="BW143" s="868"/>
      <c r="BX143" s="868"/>
      <c r="BY143" s="868"/>
      <c r="BZ143" s="868"/>
      <c r="CA143" s="868"/>
      <c r="CB143" s="868"/>
      <c r="CC143" s="868"/>
      <c r="CD143" s="868"/>
      <c r="CE143" s="868"/>
      <c r="CF143" s="868"/>
      <c r="CG143" s="868"/>
      <c r="CH143" s="868"/>
      <c r="CI143" s="868"/>
      <c r="CJ143" s="868"/>
      <c r="CK143" s="868"/>
      <c r="CL143" s="868"/>
      <c r="CM143" s="868"/>
      <c r="CN143" s="868"/>
      <c r="CO143" s="868"/>
      <c r="CP143" s="868"/>
      <c r="CQ143" s="868"/>
      <c r="CR143" s="868"/>
      <c r="CS143" s="868"/>
      <c r="CT143" s="868"/>
      <c r="CU143" s="868"/>
      <c r="CV143" s="868"/>
      <c r="CW143" s="868"/>
      <c r="CX143" s="868"/>
      <c r="CY143" s="868"/>
      <c r="CZ143" s="868"/>
      <c r="DA143" s="868"/>
      <c r="DB143" s="868"/>
      <c r="DC143" s="868"/>
      <c r="DD143" s="868"/>
      <c r="DE143" s="868"/>
      <c r="DF143" s="868"/>
      <c r="DG143" s="868"/>
      <c r="DH143" s="868"/>
      <c r="DI143" s="868"/>
      <c r="DJ143" s="868"/>
      <c r="DK143" s="868"/>
      <c r="DL143" s="868"/>
      <c r="DM143" s="868"/>
      <c r="DN143" s="868"/>
      <c r="DO143" s="868"/>
      <c r="DP143" s="868"/>
      <c r="DQ143" s="868"/>
      <c r="DR143" s="868"/>
      <c r="DS143" s="868"/>
      <c r="DT143" s="868"/>
      <c r="DU143" s="868"/>
      <c r="DV143" s="868"/>
      <c r="DW143" s="868"/>
      <c r="DX143" s="868"/>
      <c r="DY143" s="868"/>
      <c r="DZ143" s="868"/>
      <c r="EA143" s="868"/>
      <c r="EB143" s="868"/>
      <c r="EC143" s="868"/>
      <c r="ED143" s="868"/>
      <c r="EE143" s="868"/>
      <c r="EF143" s="868"/>
      <c r="EG143" s="868"/>
      <c r="EH143" s="868"/>
      <c r="EI143" s="868"/>
      <c r="EJ143" s="868"/>
      <c r="EK143" s="868"/>
      <c r="EL143" s="868"/>
      <c r="EM143" s="868"/>
      <c r="EN143" s="868"/>
      <c r="EO143" s="868"/>
      <c r="EP143" s="868"/>
      <c r="EQ143" s="868"/>
      <c r="ER143" s="868"/>
      <c r="ES143" s="868"/>
      <c r="ET143" s="868"/>
      <c r="EU143" s="868"/>
      <c r="EV143" s="868"/>
      <c r="EW143" s="868"/>
      <c r="EX143" s="868"/>
      <c r="EY143" s="868"/>
      <c r="EZ143" s="868"/>
      <c r="FA143" s="868"/>
      <c r="FB143" s="868"/>
      <c r="FC143" s="868"/>
      <c r="FD143" s="868"/>
      <c r="FE143" s="868"/>
      <c r="FF143" s="868"/>
      <c r="FG143" s="868"/>
      <c r="FH143" s="868"/>
      <c r="FI143" s="868"/>
      <c r="FJ143" s="868"/>
      <c r="FK143" s="799"/>
      <c r="FL143" s="799"/>
      <c r="FM143" s="799"/>
      <c r="FN143" s="799"/>
      <c r="FO143" s="799"/>
      <c r="FP143" s="799"/>
      <c r="FQ143" s="778"/>
    </row>
    <row r="144" spans="1:188" s="820" customFormat="1" ht="15.75" customHeight="1" outlineLevel="1">
      <c r="A144" s="1001"/>
      <c r="B144" s="1001"/>
      <c r="E144" s="235">
        <v>301060</v>
      </c>
      <c r="F144" s="235">
        <v>51</v>
      </c>
      <c r="G144" s="167" t="s">
        <v>465</v>
      </c>
      <c r="H144" s="200" t="s">
        <v>363</v>
      </c>
      <c r="I144" s="201" t="s">
        <v>11</v>
      </c>
      <c r="J144" s="203">
        <v>4002.28</v>
      </c>
      <c r="K144" s="202">
        <v>300</v>
      </c>
      <c r="L144" s="202">
        <f t="shared" ref="L144:L145" si="3729">+J144+K144</f>
        <v>4302.2800000000007</v>
      </c>
      <c r="M144" s="203">
        <v>30</v>
      </c>
      <c r="N144" s="204">
        <v>0.2</v>
      </c>
      <c r="O144" s="819">
        <v>0.6</v>
      </c>
      <c r="P144" s="204">
        <v>0.2</v>
      </c>
      <c r="Q144" s="204">
        <v>0</v>
      </c>
      <c r="R144" s="204">
        <v>0</v>
      </c>
      <c r="S144" s="204">
        <f t="shared" ref="S144:S145" si="3730">SUM(N144:R144)</f>
        <v>1</v>
      </c>
      <c r="T144" s="813"/>
      <c r="U144" s="206"/>
      <c r="V144" s="203">
        <f t="shared" ref="V144" si="3731">($J144/30/8*1.5)*U144</f>
        <v>0</v>
      </c>
      <c r="W144" s="265"/>
      <c r="X144" s="239">
        <f t="shared" ref="X144" si="3732">($J144/30/8*2)*W144</f>
        <v>0</v>
      </c>
      <c r="Y144" s="265"/>
      <c r="Z144" s="239">
        <f t="shared" ref="Z144" si="3733">($J144/30/8*1.5)*Y144</f>
        <v>0</v>
      </c>
      <c r="AA144" s="265"/>
      <c r="AB144" s="203">
        <f t="shared" ref="AB144" si="3734">($J144/30/8*2)*AA144</f>
        <v>0</v>
      </c>
      <c r="AC144" s="207"/>
      <c r="AD144" s="203">
        <f t="shared" ref="AD144" si="3735">(($J144/30/8)*1.5)*AC144</f>
        <v>0</v>
      </c>
      <c r="AE144" s="208"/>
      <c r="AF144" s="203">
        <f t="shared" ref="AF144" si="3736">(($J144/30/8)*2)*AE144</f>
        <v>0</v>
      </c>
      <c r="AG144" s="209"/>
      <c r="AH144" s="210">
        <f t="shared" ref="AH144" si="3737">(($J144/30/8)*1.5)*AG144</f>
        <v>0</v>
      </c>
      <c r="AI144" s="209"/>
      <c r="AJ144" s="210">
        <f t="shared" ref="AJ144" si="3738">(($J144/30/8)*2)*AI144</f>
        <v>0</v>
      </c>
      <c r="AK144" s="210"/>
      <c r="AL144" s="210">
        <f>(($J144/30/8)*1.5)*AK144</f>
        <v>0</v>
      </c>
      <c r="AM144" s="209"/>
      <c r="AN144" s="210">
        <f>(($J144/30/8)*2)*AM144</f>
        <v>0</v>
      </c>
      <c r="AO144" s="211"/>
      <c r="AP144" s="211"/>
      <c r="AQ144" s="211"/>
      <c r="AR144" s="211"/>
      <c r="AS144" s="211"/>
      <c r="AT144" s="211"/>
      <c r="AU144" s="211"/>
      <c r="AV144" s="211"/>
      <c r="AW144" s="211"/>
      <c r="AX144" s="211"/>
      <c r="AY144" s="202"/>
      <c r="AZ144" s="212"/>
      <c r="BA144" s="203">
        <f t="shared" ref="BA144" si="3739">((J144/30)*M144)*$N144</f>
        <v>800.45600000000013</v>
      </c>
      <c r="BB144" s="787">
        <f>((K144/30)*M144)*$N144</f>
        <v>60</v>
      </c>
      <c r="BC144" s="203">
        <f t="shared" ref="BC144" si="3740">U144</f>
        <v>0</v>
      </c>
      <c r="BD144" s="203">
        <f t="shared" ref="BD144" si="3741">V144</f>
        <v>0</v>
      </c>
      <c r="BE144" s="203">
        <f t="shared" ref="BE144" si="3742">W144</f>
        <v>0</v>
      </c>
      <c r="BF144" s="203">
        <f t="shared" ref="BF144" si="3743">X144</f>
        <v>0</v>
      </c>
      <c r="BG144" s="203">
        <f t="shared" ref="BG144" si="3744">AO144+AT144</f>
        <v>0</v>
      </c>
      <c r="BH144" s="203">
        <f t="shared" ref="BH144:BH145" si="3745">(BA144+BD144+BF144+BG144)*0.1267</f>
        <v>101.41777520000002</v>
      </c>
      <c r="BI144" s="203">
        <f t="shared" ref="BI144" si="3746">SUM(BA144:BH144)-BC144-BE144</f>
        <v>961.87377520000018</v>
      </c>
      <c r="BJ144" s="239">
        <f t="shared" ref="BJ144:BJ145" si="3747">(($J144/30)*$M144)*$O144</f>
        <v>2401.3679999999999</v>
      </c>
      <c r="BK144" s="239">
        <f>(($K144/30)*$M144)*$O144</f>
        <v>180</v>
      </c>
      <c r="BL144" s="203">
        <f t="shared" ref="BL144" si="3748">Y144</f>
        <v>0</v>
      </c>
      <c r="BM144" s="203">
        <f t="shared" ref="BM144" si="3749">Z144</f>
        <v>0</v>
      </c>
      <c r="BN144" s="203">
        <f t="shared" ref="BN144" si="3750">AA144</f>
        <v>0</v>
      </c>
      <c r="BO144" s="203">
        <f t="shared" ref="BO144" si="3751">AB144</f>
        <v>0</v>
      </c>
      <c r="BP144" s="203">
        <f t="shared" ref="BP144" si="3752">AP144+AU144</f>
        <v>0</v>
      </c>
      <c r="BQ144" s="203">
        <f t="shared" ref="BQ144:BQ145" si="3753">(+BJ144+BM144+BO144+BP144)*0.1267</f>
        <v>304.25332559999998</v>
      </c>
      <c r="BR144" s="202">
        <f t="shared" ref="BR144" si="3754">SUM(BJ144:BQ144)-BL144-BN144</f>
        <v>2885.6213256000001</v>
      </c>
      <c r="BS144" s="239">
        <f>(($J144/30)*$M144)*$P144</f>
        <v>800.45600000000013</v>
      </c>
      <c r="BT144" s="239">
        <f>(($K144/30)*$M144)*$P144</f>
        <v>60</v>
      </c>
      <c r="BU144" s="203">
        <f t="shared" ref="BU144" si="3755">AC144</f>
        <v>0</v>
      </c>
      <c r="BV144" s="203">
        <f t="shared" ref="BV144" si="3756">AD144</f>
        <v>0</v>
      </c>
      <c r="BW144" s="203">
        <f t="shared" ref="BW144" si="3757">AE144</f>
        <v>0</v>
      </c>
      <c r="BX144" s="203">
        <f t="shared" ref="BX144" si="3758">AF144</f>
        <v>0</v>
      </c>
      <c r="BY144" s="203">
        <f t="shared" ref="BY144" si="3759">AQ144+AV144</f>
        <v>0</v>
      </c>
      <c r="BZ144" s="203">
        <f t="shared" ref="BZ144:BZ145" si="3760">(BS144+BV144+BX144+BY144)*0.1267</f>
        <v>101.41777520000002</v>
      </c>
      <c r="CA144" s="203">
        <f t="shared" ref="CA144" si="3761">SUM(BS144:BZ144)-BU144-BW144</f>
        <v>961.87377520000018</v>
      </c>
      <c r="CB144" s="213">
        <f>(($J144/30)*$M144)*$Q144</f>
        <v>0</v>
      </c>
      <c r="CC144" s="214">
        <f>(($K144/30)*$M144)*$Q144</f>
        <v>0</v>
      </c>
      <c r="CD144" s="214">
        <f t="shared" ref="CD144:CG145" si="3762">AG144</f>
        <v>0</v>
      </c>
      <c r="CE144" s="214">
        <f t="shared" si="3762"/>
        <v>0</v>
      </c>
      <c r="CF144" s="214">
        <f t="shared" si="3762"/>
        <v>0</v>
      </c>
      <c r="CG144" s="214">
        <f t="shared" si="3762"/>
        <v>0</v>
      </c>
      <c r="CH144" s="214">
        <f>AR144+AW144</f>
        <v>0</v>
      </c>
      <c r="CI144" s="703">
        <f t="shared" ref="CI144:CI145" si="3763">(CB144+CE144+CG144+CH144)*0.1267</f>
        <v>0</v>
      </c>
      <c r="CJ144" s="214">
        <f>SUM(CB144:CI144)-CD144-CF144</f>
        <v>0</v>
      </c>
      <c r="CK144" s="214">
        <f>(($J144/30)*$M144)*R144</f>
        <v>0</v>
      </c>
      <c r="CL144" s="214">
        <f>(($K144/30)*$M144)*$R144</f>
        <v>0</v>
      </c>
      <c r="CM144" s="214">
        <f>+AK144</f>
        <v>0</v>
      </c>
      <c r="CN144" s="214">
        <f t="shared" ref="CN144:CP145" si="3764">AL144</f>
        <v>0</v>
      </c>
      <c r="CO144" s="214">
        <f t="shared" si="3764"/>
        <v>0</v>
      </c>
      <c r="CP144" s="214">
        <f t="shared" si="3764"/>
        <v>0</v>
      </c>
      <c r="CQ144" s="214">
        <f>AS144+AX144</f>
        <v>0</v>
      </c>
      <c r="CR144" s="214">
        <f>(CK144+CN144+CP144)*0.1267</f>
        <v>0</v>
      </c>
      <c r="CS144" s="215">
        <f>SUM(CK144:CR144)-CM144-CO144</f>
        <v>0</v>
      </c>
      <c r="CT144" s="216"/>
      <c r="CU144" s="201" t="s">
        <v>11</v>
      </c>
      <c r="CV144" s="203">
        <f t="shared" ref="CV144:CV145" si="3765">IF($CU144="PROQUIMA",$BA144+$BJ144+$BS144+$CB144+$CK144,0)</f>
        <v>0</v>
      </c>
      <c r="CW144" s="203">
        <f t="shared" ref="CW144:CW145" si="3766">IF($CU144="PROQUIMA",$BB144+$BK144+$BT144+$CC144+$CL144,0)</f>
        <v>0</v>
      </c>
      <c r="CX144" s="203">
        <f t="shared" ref="CX144:CX145" si="3767">IF($CU144="PROQUIMA",$BC144+$BL144+$BU144+$CD144+$CM144,0)</f>
        <v>0</v>
      </c>
      <c r="CY144" s="203">
        <f t="shared" ref="CY144:CY145" si="3768">IF($CU144="PROQUIMA",$BD144+$BM144+$BV144+$CE144+$CN144,0)</f>
        <v>0</v>
      </c>
      <c r="CZ144" s="203">
        <f t="shared" ref="CZ144:CZ145" si="3769">IF($CU144="PROQUIMA",$BE144+$BN144+$BW144+$CF144+$CO144,0)</f>
        <v>0</v>
      </c>
      <c r="DA144" s="203">
        <f t="shared" ref="DA144:DA145" si="3770">IF($CU144="PROQUIMA",$BF144+$BO144+$BX144+$CG144+$CP144,0)</f>
        <v>0</v>
      </c>
      <c r="DB144" s="203">
        <f t="shared" ref="DB144:DB145" si="3771">IF($CU144="PROQUIMA",$BG144+$BP144+$BY144+$CH144+$CQ144,0)</f>
        <v>0</v>
      </c>
      <c r="DC144" s="203">
        <f t="shared" ref="DC144" si="3772">IF($CU144="PROQUIMA",$BH144+$BQ144+$BZ144+$CI144+CR144,0)</f>
        <v>0</v>
      </c>
      <c r="DD144" s="203">
        <f t="shared" ref="DD144" si="3773">SUM(CV144:DC144)-CX144-CZ144</f>
        <v>0</v>
      </c>
      <c r="DE144" s="203">
        <f t="shared" ref="DE144:DE145" si="3774">IF($CU144="UNHESA",$BA144+$BJ144+$BS144+$CB144+$CK144,0)</f>
        <v>0</v>
      </c>
      <c r="DF144" s="203">
        <f t="shared" ref="DF144:DF145" si="3775">IF($CU144="UNHESA",$BB144+$BK144+$BT144+$CC144+$CL144,0)</f>
        <v>0</v>
      </c>
      <c r="DG144" s="239">
        <f t="shared" ref="DG144:DG145" si="3776">IF($CU144="UNHESA",$BC144+$BL144+$BU144+$CD144+$CM144,0)</f>
        <v>0</v>
      </c>
      <c r="DH144" s="239">
        <f t="shared" ref="DH144:DH145" si="3777">IF($CU144="UNHESA",$BD144+$BM144+$BV144+$CE144+$CN144,0)</f>
        <v>0</v>
      </c>
      <c r="DI144" s="239">
        <f t="shared" ref="DI144:DI145" si="3778">IF($CU144="UNHESA",$BE144+$BN144+$BW144+$CF144+$CO144,0)</f>
        <v>0</v>
      </c>
      <c r="DJ144" s="203">
        <f t="shared" ref="DJ144:DJ145" si="3779">IF($CU144="UNHESA",$BF144+$BO144+$BX144+$CG144+$CP144,0)</f>
        <v>0</v>
      </c>
      <c r="DK144" s="203">
        <f t="shared" ref="DK144:DK145" si="3780">IF($CU144="UNHESA",$BG144+$BP144+$BY144+$CH144+$CQ144,0)</f>
        <v>0</v>
      </c>
      <c r="DL144" s="203">
        <f t="shared" ref="DL144:DL145" si="3781">IF($CU144="UNHESA",$BH144+$BQ144+$BZ144+$CI144+$CR144,0)</f>
        <v>0</v>
      </c>
      <c r="DM144" s="203">
        <f t="shared" ref="DM144" si="3782">SUM(DE144:DL144)-DG144-DI144</f>
        <v>0</v>
      </c>
      <c r="DN144" s="210">
        <f t="shared" ref="DN144:DN145" si="3783">IF($CU144="UNHESA LIQUIDOS",$BA144+$BJ144+$BS144+$CB144+$CK144,0)</f>
        <v>0</v>
      </c>
      <c r="DO144" s="210">
        <f t="shared" ref="DO144:DO145" si="3784">IF($CU144="UNHESA LIQUIDOS",$BB144+$BK144+$BT144+$CC144+$CL144,0)</f>
        <v>0</v>
      </c>
      <c r="DP144" s="210">
        <f t="shared" ref="DP144:DP145" si="3785">IF($CU144="UNHESA LIQUIDOS",$BC144+$BL144+$BU144+$CD144+$CM144,0)</f>
        <v>0</v>
      </c>
      <c r="DQ144" s="210">
        <f t="shared" ref="DQ144:DQ145" si="3786">IF($CU144="UNHESA LIQUIDOS",$BD144+$BM144+$BV144+$CE144+$CN144,0)</f>
        <v>0</v>
      </c>
      <c r="DR144" s="210">
        <f t="shared" ref="DR144:DR145" si="3787">IF($CU144="UNHESA LIQUIDOS",$BE144+$BN144+$BW144+$CF144+$CO144,0)</f>
        <v>0</v>
      </c>
      <c r="DS144" s="210">
        <f t="shared" ref="DS144:DS145" si="3788">IF($CU144="UNHESA LIQUIDOS",$BF144+$BO144+$BX144+$CG144+$CP144,0)</f>
        <v>0</v>
      </c>
      <c r="DT144" s="210">
        <f t="shared" ref="DT144:DT145" si="3789">IF($CU144="UNHESA LIQUIDOS",$BG144+$BP144+$BY144+$CH144+$CQ144,0)</f>
        <v>0</v>
      </c>
      <c r="DU144" s="210">
        <f t="shared" ref="DU144:DU145" si="3790">IF($CU144="UNHESA LIQUIDOS",$BH144+$BQ144+$BZ144+$CI144+$CR144,0)</f>
        <v>0</v>
      </c>
      <c r="DV144" s="210">
        <f t="shared" ref="DV144" si="3791">SUM(DN144:DU144)-DP144-DR144</f>
        <v>0</v>
      </c>
      <c r="DW144" s="241">
        <f>IF($CU144="CLEARTEC",$BA144+$BJ144+$BS144+$CB144+$CK144,0)</f>
        <v>0</v>
      </c>
      <c r="DX144" s="241">
        <f t="shared" ref="DX144:ED145" si="3792">IF($CU144="CLEARTEC",$BA144+$BJ144+$BS144+$CB144+$CK144,0)</f>
        <v>0</v>
      </c>
      <c r="DY144" s="241">
        <f t="shared" si="3792"/>
        <v>0</v>
      </c>
      <c r="DZ144" s="241">
        <f t="shared" si="3792"/>
        <v>0</v>
      </c>
      <c r="EA144" s="241">
        <f t="shared" si="3792"/>
        <v>0</v>
      </c>
      <c r="EB144" s="241">
        <f t="shared" si="3792"/>
        <v>0</v>
      </c>
      <c r="EC144" s="241">
        <f t="shared" si="3792"/>
        <v>0</v>
      </c>
      <c r="ED144" s="241">
        <f t="shared" si="3792"/>
        <v>0</v>
      </c>
      <c r="EE144" s="242">
        <f t="shared" ref="EE144" si="3793">SUM(DW144:ED144)-DY144-EA144</f>
        <v>0</v>
      </c>
      <c r="EF144" s="203">
        <f t="shared" ref="EF144" si="3794">IF(CU144="ECONACIONAL",$BA144+$BJ144+$BS144+$CB144+$CK144)</f>
        <v>4002.28</v>
      </c>
      <c r="EG144" s="242">
        <f t="shared" ref="EG144:EG145" si="3795">IF($CU144="ECONACIONAL",$BB144+$BK144+$BT144+$CC144+$CL144,0)</f>
        <v>300</v>
      </c>
      <c r="EH144" s="203">
        <f t="shared" ref="EH144" si="3796">IF(CU144="ECONACIONAL",$BC144+$BL144+$BU144+$CD144+$CM144)</f>
        <v>0</v>
      </c>
      <c r="EI144" s="203">
        <f t="shared" ref="EI144" si="3797">IF(CU144="ECONACIONAL",$BD144+$DH144+$DQ144+$DZ144+BM144+BV144+CE144+CN144)</f>
        <v>0</v>
      </c>
      <c r="EJ144" s="242">
        <f t="shared" ref="EJ144:EJ145" si="3798">IF($CU144="CLEARTEC",$BE144+$BN144+$BW144+$CF144+$CO144,0)</f>
        <v>0</v>
      </c>
      <c r="EK144" s="203">
        <f t="shared" ref="EK144" si="3799">IF(CU144="ECONACIONAL",$BF144+$BO144+$BX144+$CG144+$CP144)</f>
        <v>0</v>
      </c>
      <c r="EL144" s="203">
        <f t="shared" ref="EL144" si="3800">IF(CU144="ECONACIONAL",$BG144+$BP144+$BY144+$CH144+$CQ144)</f>
        <v>0</v>
      </c>
      <c r="EM144" s="203">
        <f t="shared" ref="EM144" si="3801">IF(CU144="ECONACIONAL",BH144+BQ144+BZ144+CI144+CR144)</f>
        <v>507.08887600000003</v>
      </c>
      <c r="EN144" s="203">
        <f t="shared" ref="EN144" si="3802">SUM(EF144:EM144)-EH144-EJ144</f>
        <v>4809.3688760000005</v>
      </c>
      <c r="EO144" s="216"/>
      <c r="EP144" s="201"/>
      <c r="EQ144" s="201"/>
      <c r="ER144" s="201"/>
      <c r="ES144" s="201">
        <f>127.5+57</f>
        <v>184.5</v>
      </c>
      <c r="ET144" s="201"/>
      <c r="EU144" s="201"/>
      <c r="EV144" s="201"/>
      <c r="EW144" s="201"/>
      <c r="EX144" s="201"/>
      <c r="EY144" s="201">
        <f t="shared" ref="EY144:EY145" si="3803">+ET144+EU144+EV144</f>
        <v>0</v>
      </c>
      <c r="EZ144" s="216"/>
      <c r="FA144" s="207">
        <f t="shared" ref="FA144" si="3804">IF($M144&lt;=15,EP144/2,EP144)</f>
        <v>0</v>
      </c>
      <c r="FB144" s="207">
        <f t="shared" ref="FB144" si="3805">IF($M144&lt;=15,EQ144/2,EQ144)</f>
        <v>0</v>
      </c>
      <c r="FC144" s="207">
        <f t="shared" ref="FC144" si="3806">IF($M144&lt;=15,ER144/2,ER144)</f>
        <v>0</v>
      </c>
      <c r="FD144" s="207">
        <f t="shared" ref="FD144" si="3807">IF($M144&lt;=15,ES144/2,ES144)</f>
        <v>184.5</v>
      </c>
      <c r="FE144" s="207">
        <f t="shared" ref="FE144" si="3808">IF($M144&lt;=15,ET144/2,ET144)</f>
        <v>0</v>
      </c>
      <c r="FF144" s="207">
        <f t="shared" ref="FF144" si="3809">IF($M144&lt;=15,EU144/2,EU144)</f>
        <v>0</v>
      </c>
      <c r="FG144" s="207">
        <f>IF($M144&lt;=15,EV144/2,EV144)</f>
        <v>0</v>
      </c>
      <c r="FH144" s="207">
        <f t="shared" ref="FH144" si="3810">IF($M144&lt;=15,EW144/2,EW144)</f>
        <v>0</v>
      </c>
      <c r="FI144" s="207">
        <f t="shared" ref="FI144" si="3811">IF($M144&lt;=15,EX144/2,EX144)</f>
        <v>0</v>
      </c>
      <c r="FJ144" s="207">
        <f t="shared" ref="FJ144" si="3812">IF($M144&lt;=15,EY144/2,EY144)</f>
        <v>0</v>
      </c>
      <c r="FK144" s="799"/>
      <c r="FL144" s="799"/>
      <c r="FM144" s="799"/>
      <c r="FN144" s="799"/>
      <c r="FO144" s="799"/>
      <c r="FP144" s="799"/>
      <c r="FQ144" s="778"/>
      <c r="FR144" s="1177">
        <f t="shared" ref="FR144:FR145" si="3813">(((J144/30/8)*1.5)*(U144+Y144+AC144))-(BD144+BM144+BV144)</f>
        <v>0</v>
      </c>
      <c r="FS144" s="1177">
        <f t="shared" ref="FS144:FS145" si="3814">(((J144/30/8)*2)*(W144+AA144+AE144))-(BF144+BO144+BX144)</f>
        <v>0</v>
      </c>
      <c r="FT144" s="1178">
        <f t="shared" ref="FT144:FT145" si="3815">(SUM(BA144:CJ144))-(SUM(EF144:EN144))</f>
        <v>0</v>
      </c>
      <c r="FU144" s="1177">
        <f t="shared" ref="FU144:FU145" si="3816">(J144/30*M144)-(EF144)</f>
        <v>0</v>
      </c>
      <c r="FV144" s="1181">
        <f t="shared" ref="FV144:FV145" si="3817">(SUM(EP144:EY144))-((SUM(FA144:FJ144))*$FV$5)</f>
        <v>-184.5</v>
      </c>
    </row>
    <row r="145" spans="1:178" s="820" customFormat="1" ht="15.75" customHeight="1" outlineLevel="1">
      <c r="A145" s="1001"/>
      <c r="B145" s="1001"/>
      <c r="E145" s="235">
        <v>301060</v>
      </c>
      <c r="F145" s="235">
        <v>52</v>
      </c>
      <c r="G145" s="199" t="s">
        <v>718</v>
      </c>
      <c r="H145" s="200" t="s">
        <v>363</v>
      </c>
      <c r="I145" s="201" t="s">
        <v>11</v>
      </c>
      <c r="J145" s="203">
        <v>4002.28</v>
      </c>
      <c r="K145" s="202">
        <v>250</v>
      </c>
      <c r="L145" s="202">
        <f t="shared" si="3729"/>
        <v>4252.2800000000007</v>
      </c>
      <c r="M145" s="203">
        <v>30</v>
      </c>
      <c r="N145" s="819">
        <v>0.8</v>
      </c>
      <c r="O145" s="204">
        <v>0.1</v>
      </c>
      <c r="P145" s="204">
        <v>0.1</v>
      </c>
      <c r="Q145" s="204">
        <v>0</v>
      </c>
      <c r="R145" s="204">
        <v>0</v>
      </c>
      <c r="S145" s="204">
        <f t="shared" si="3730"/>
        <v>1</v>
      </c>
      <c r="T145" s="813"/>
      <c r="U145" s="206"/>
      <c r="V145" s="203">
        <f t="shared" ref="V145" si="3818">($J145/30/8*1.5)*U145</f>
        <v>0</v>
      </c>
      <c r="W145" s="265"/>
      <c r="X145" s="239">
        <f t="shared" ref="X145" si="3819">($J145/30/8*2)*W145</f>
        <v>0</v>
      </c>
      <c r="Y145" s="265"/>
      <c r="Z145" s="239">
        <f t="shared" ref="Z145" si="3820">($J145/30/8*1.5)*Y145</f>
        <v>0</v>
      </c>
      <c r="AA145" s="265"/>
      <c r="AB145" s="203">
        <f t="shared" ref="AB145" si="3821">($J145/30/8*2)*AA145</f>
        <v>0</v>
      </c>
      <c r="AC145" s="207"/>
      <c r="AD145" s="203">
        <f t="shared" ref="AD145" si="3822">(($J145/30/8)*1.5)*AC145</f>
        <v>0</v>
      </c>
      <c r="AE145" s="208"/>
      <c r="AF145" s="203">
        <f t="shared" ref="AF145" si="3823">(($J145/30/8)*2)*AE145</f>
        <v>0</v>
      </c>
      <c r="AG145" s="209"/>
      <c r="AH145" s="210">
        <f t="shared" ref="AH145" si="3824">(($J145/30/8)*1.5)*AG145</f>
        <v>0</v>
      </c>
      <c r="AI145" s="209"/>
      <c r="AJ145" s="210">
        <f t="shared" ref="AJ145" si="3825">(($J145/30/8)*2)*AI145</f>
        <v>0</v>
      </c>
      <c r="AK145" s="210"/>
      <c r="AL145" s="210">
        <f>(($J145/30/8)*1.5)*AK145</f>
        <v>0</v>
      </c>
      <c r="AM145" s="209"/>
      <c r="AN145" s="210">
        <f>(($J145/30/8)*2)*AM145</f>
        <v>0</v>
      </c>
      <c r="AO145" s="211"/>
      <c r="AP145" s="211"/>
      <c r="AQ145" s="211"/>
      <c r="AR145" s="211"/>
      <c r="AS145" s="211"/>
      <c r="AT145" s="211"/>
      <c r="AU145" s="211"/>
      <c r="AV145" s="211"/>
      <c r="AW145" s="211"/>
      <c r="AX145" s="211"/>
      <c r="AY145" s="202"/>
      <c r="AZ145" s="212"/>
      <c r="BA145" s="203">
        <f t="shared" ref="BA145" si="3826">((J145/30)*M145)*$N145</f>
        <v>3201.8240000000005</v>
      </c>
      <c r="BB145" s="787">
        <f>((K145/30)*M145)*$N145+275+1125</f>
        <v>1600</v>
      </c>
      <c r="BC145" s="203">
        <f t="shared" ref="BC145" si="3827">U145</f>
        <v>0</v>
      </c>
      <c r="BD145" s="203">
        <f t="shared" ref="BD145" si="3828">V145</f>
        <v>0</v>
      </c>
      <c r="BE145" s="203">
        <f t="shared" ref="BE145" si="3829">W145</f>
        <v>0</v>
      </c>
      <c r="BF145" s="203">
        <f t="shared" ref="BF145" si="3830">X145</f>
        <v>0</v>
      </c>
      <c r="BG145" s="203">
        <f t="shared" ref="BG145" si="3831">AO145+AT145</f>
        <v>0</v>
      </c>
      <c r="BH145" s="203">
        <f t="shared" si="3745"/>
        <v>405.67110080000009</v>
      </c>
      <c r="BI145" s="203">
        <f>SUM(BA145:BH145)-BC145-BE145</f>
        <v>5207.4951008000007</v>
      </c>
      <c r="BJ145" s="239">
        <f t="shared" si="3747"/>
        <v>400.22800000000007</v>
      </c>
      <c r="BK145" s="787">
        <f>(($K145/30)*$M145)*$O145+450</f>
        <v>475</v>
      </c>
      <c r="BL145" s="203">
        <f t="shared" ref="BL145" si="3832">Y145</f>
        <v>0</v>
      </c>
      <c r="BM145" s="203">
        <f t="shared" ref="BM145" si="3833">Z145</f>
        <v>0</v>
      </c>
      <c r="BN145" s="203">
        <f t="shared" ref="BN145" si="3834">AA145</f>
        <v>0</v>
      </c>
      <c r="BO145" s="203">
        <f t="shared" ref="BO145" si="3835">AB145</f>
        <v>0</v>
      </c>
      <c r="BP145" s="203">
        <f t="shared" ref="BP145" si="3836">AP145+AU145</f>
        <v>0</v>
      </c>
      <c r="BQ145" s="203">
        <f t="shared" si="3753"/>
        <v>50.708887600000011</v>
      </c>
      <c r="BR145" s="202">
        <f t="shared" ref="BR145" si="3837">SUM(BJ145:BQ145)-BL145-BN145</f>
        <v>925.93688760000009</v>
      </c>
      <c r="BS145" s="239">
        <f t="shared" ref="BS145" si="3838">(($J145/30)*$M145)*$P145</f>
        <v>400.22800000000007</v>
      </c>
      <c r="BT145" s="239">
        <f>(($K145/30)*$M145)*$P145</f>
        <v>25.000000000000004</v>
      </c>
      <c r="BU145" s="203">
        <f t="shared" ref="BU145" si="3839">AC145</f>
        <v>0</v>
      </c>
      <c r="BV145" s="203">
        <f t="shared" ref="BV145" si="3840">AD145</f>
        <v>0</v>
      </c>
      <c r="BW145" s="203">
        <f t="shared" ref="BW145" si="3841">AE145</f>
        <v>0</v>
      </c>
      <c r="BX145" s="203">
        <f t="shared" ref="BX145" si="3842">AF145</f>
        <v>0</v>
      </c>
      <c r="BY145" s="203">
        <f t="shared" ref="BY145" si="3843">AQ145+AV145</f>
        <v>0</v>
      </c>
      <c r="BZ145" s="203">
        <f t="shared" si="3760"/>
        <v>50.708887600000011</v>
      </c>
      <c r="CA145" s="203">
        <f t="shared" ref="CA145" si="3844">SUM(BS145:BZ145)-BU145-BW145</f>
        <v>475.93688760000009</v>
      </c>
      <c r="CB145" s="213">
        <f>(($J145/30)*$M145)*$Q145</f>
        <v>0</v>
      </c>
      <c r="CC145" s="214">
        <f>(($K145/30)*$M145)*$Q145</f>
        <v>0</v>
      </c>
      <c r="CD145" s="214">
        <f t="shared" si="3762"/>
        <v>0</v>
      </c>
      <c r="CE145" s="214">
        <f t="shared" si="3762"/>
        <v>0</v>
      </c>
      <c r="CF145" s="214">
        <f t="shared" si="3762"/>
        <v>0</v>
      </c>
      <c r="CG145" s="214">
        <f t="shared" si="3762"/>
        <v>0</v>
      </c>
      <c r="CH145" s="214">
        <f>AR145+AW145</f>
        <v>0</v>
      </c>
      <c r="CI145" s="703">
        <f t="shared" si="3763"/>
        <v>0</v>
      </c>
      <c r="CJ145" s="214">
        <f>SUM(CB145:CI145)-CD145-CF145</f>
        <v>0</v>
      </c>
      <c r="CK145" s="214">
        <f>(($J145/30)*$M145)*R145</f>
        <v>0</v>
      </c>
      <c r="CL145" s="214">
        <f>(($K145/30)*$M145)*$R145</f>
        <v>0</v>
      </c>
      <c r="CM145" s="214">
        <f>+AK145</f>
        <v>0</v>
      </c>
      <c r="CN145" s="214">
        <f t="shared" si="3764"/>
        <v>0</v>
      </c>
      <c r="CO145" s="214">
        <f t="shared" si="3764"/>
        <v>0</v>
      </c>
      <c r="CP145" s="214">
        <f t="shared" si="3764"/>
        <v>0</v>
      </c>
      <c r="CQ145" s="214">
        <f>AS145+AX145</f>
        <v>0</v>
      </c>
      <c r="CR145" s="214">
        <f>(CK145+CN145+CP145)*0.1267</f>
        <v>0</v>
      </c>
      <c r="CS145" s="215">
        <f>SUM(CK145:CR145)-CM145-CO145</f>
        <v>0</v>
      </c>
      <c r="CT145" s="216"/>
      <c r="CU145" s="201" t="s">
        <v>11</v>
      </c>
      <c r="CV145" s="203">
        <f t="shared" si="3765"/>
        <v>0</v>
      </c>
      <c r="CW145" s="203">
        <f t="shared" si="3766"/>
        <v>0</v>
      </c>
      <c r="CX145" s="203">
        <f t="shared" si="3767"/>
        <v>0</v>
      </c>
      <c r="CY145" s="203">
        <f t="shared" si="3768"/>
        <v>0</v>
      </c>
      <c r="CZ145" s="203">
        <f t="shared" si="3769"/>
        <v>0</v>
      </c>
      <c r="DA145" s="203">
        <f t="shared" si="3770"/>
        <v>0</v>
      </c>
      <c r="DB145" s="203">
        <f t="shared" si="3771"/>
        <v>0</v>
      </c>
      <c r="DC145" s="203">
        <f t="shared" ref="DC145" si="3845">IF($CU145="PROQUIMA",$BH145+$BQ145+$BZ145+$CI145+CR145,0)</f>
        <v>0</v>
      </c>
      <c r="DD145" s="203">
        <f t="shared" ref="DD145" si="3846">SUM(CV145:DC145)-CX145-CZ145</f>
        <v>0</v>
      </c>
      <c r="DE145" s="203">
        <f t="shared" si="3774"/>
        <v>0</v>
      </c>
      <c r="DF145" s="203">
        <f t="shared" si="3775"/>
        <v>0</v>
      </c>
      <c r="DG145" s="239">
        <f t="shared" si="3776"/>
        <v>0</v>
      </c>
      <c r="DH145" s="239">
        <f t="shared" si="3777"/>
        <v>0</v>
      </c>
      <c r="DI145" s="239">
        <f t="shared" si="3778"/>
        <v>0</v>
      </c>
      <c r="DJ145" s="203">
        <f t="shared" si="3779"/>
        <v>0</v>
      </c>
      <c r="DK145" s="203">
        <f t="shared" si="3780"/>
        <v>0</v>
      </c>
      <c r="DL145" s="203">
        <f t="shared" si="3781"/>
        <v>0</v>
      </c>
      <c r="DM145" s="203">
        <f t="shared" ref="DM145" si="3847">SUM(DE145:DL145)-DG145-DI145</f>
        <v>0</v>
      </c>
      <c r="DN145" s="210">
        <f t="shared" si="3783"/>
        <v>0</v>
      </c>
      <c r="DO145" s="210">
        <f t="shared" si="3784"/>
        <v>0</v>
      </c>
      <c r="DP145" s="210">
        <f t="shared" si="3785"/>
        <v>0</v>
      </c>
      <c r="DQ145" s="210">
        <f t="shared" si="3786"/>
        <v>0</v>
      </c>
      <c r="DR145" s="210">
        <f t="shared" si="3787"/>
        <v>0</v>
      </c>
      <c r="DS145" s="210">
        <f t="shared" si="3788"/>
        <v>0</v>
      </c>
      <c r="DT145" s="210">
        <f t="shared" si="3789"/>
        <v>0</v>
      </c>
      <c r="DU145" s="210">
        <f t="shared" si="3790"/>
        <v>0</v>
      </c>
      <c r="DV145" s="210">
        <f t="shared" ref="DV145" si="3848">SUM(DN145:DU145)-DP145-DR145</f>
        <v>0</v>
      </c>
      <c r="DW145" s="241">
        <f>IF($CU145="CLEARTEC",$BA145+$BJ145+$BS145+$CB145+$CK145,0)</f>
        <v>0</v>
      </c>
      <c r="DX145" s="241">
        <f t="shared" si="3792"/>
        <v>0</v>
      </c>
      <c r="DY145" s="241">
        <f t="shared" si="3792"/>
        <v>0</v>
      </c>
      <c r="DZ145" s="241">
        <f t="shared" si="3792"/>
        <v>0</v>
      </c>
      <c r="EA145" s="241">
        <f t="shared" si="3792"/>
        <v>0</v>
      </c>
      <c r="EB145" s="241">
        <f t="shared" si="3792"/>
        <v>0</v>
      </c>
      <c r="EC145" s="241">
        <f t="shared" si="3792"/>
        <v>0</v>
      </c>
      <c r="ED145" s="241">
        <f t="shared" si="3792"/>
        <v>0</v>
      </c>
      <c r="EE145" s="242">
        <f t="shared" ref="EE145" si="3849">SUM(DW145:ED145)-DY145-EA145</f>
        <v>0</v>
      </c>
      <c r="EF145" s="203">
        <f t="shared" ref="EF145" si="3850">IF(CU145="ECONACIONAL",$BA145+$BJ145+$BS145+$CB145+$CK145)</f>
        <v>4002.2800000000007</v>
      </c>
      <c r="EG145" s="242">
        <f t="shared" si="3795"/>
        <v>2100</v>
      </c>
      <c r="EH145" s="203">
        <f t="shared" ref="EH145" si="3851">IF(CU145="ECONACIONAL",$BC145+$BL145+$BU145+$CD145+$CM145)</f>
        <v>0</v>
      </c>
      <c r="EI145" s="203">
        <f t="shared" ref="EI145" si="3852">IF(CU145="ECONACIONAL",$BD145+$DH145+$DQ145+$DZ145+BM145+BV145+CE145+CN145)</f>
        <v>0</v>
      </c>
      <c r="EJ145" s="242">
        <f t="shared" si="3798"/>
        <v>0</v>
      </c>
      <c r="EK145" s="203">
        <f t="shared" ref="EK145" si="3853">IF(CU145="ECONACIONAL",$BF145+$BO145+$BX145+$CG145+$CP145)</f>
        <v>0</v>
      </c>
      <c r="EL145" s="203">
        <f t="shared" ref="EL145" si="3854">IF(CU145="ECONACIONAL",$BG145+$BP145+$BY145+$CH145+$CQ145)</f>
        <v>0</v>
      </c>
      <c r="EM145" s="203">
        <f t="shared" ref="EM145" si="3855">IF(CU145="ECONACIONAL",BH145+BQ145+BZ145+CI145+CR145)</f>
        <v>507.08887600000014</v>
      </c>
      <c r="EN145" s="203">
        <f t="shared" ref="EN145" si="3856">SUM(EF145:EM145)-EH145-EJ145</f>
        <v>6609.3688760000005</v>
      </c>
      <c r="EO145" s="216"/>
      <c r="EP145" s="201"/>
      <c r="EQ145" s="201"/>
      <c r="ER145" s="201"/>
      <c r="ES145" s="201"/>
      <c r="ET145" s="201"/>
      <c r="EU145" s="201"/>
      <c r="EV145" s="201"/>
      <c r="EW145" s="201"/>
      <c r="EX145" s="201"/>
      <c r="EY145" s="201">
        <f t="shared" si="3803"/>
        <v>0</v>
      </c>
      <c r="EZ145" s="216"/>
      <c r="FA145" s="207">
        <f t="shared" ref="FA145" si="3857">IF($M145&lt;=15,EP145/2,EP145)</f>
        <v>0</v>
      </c>
      <c r="FB145" s="207">
        <f t="shared" ref="FB145" si="3858">IF($M145&lt;=15,EQ145/2,EQ145)</f>
        <v>0</v>
      </c>
      <c r="FC145" s="207">
        <f t="shared" ref="FC145" si="3859">IF($M145&lt;=15,ER145/2,ER145)</f>
        <v>0</v>
      </c>
      <c r="FD145" s="207">
        <f t="shared" ref="FD145" si="3860">IF($M145&lt;=15,ES145/2,ES145)</f>
        <v>0</v>
      </c>
      <c r="FE145" s="207">
        <f t="shared" ref="FE145" si="3861">IF($M145&lt;=15,ET145/2,ET145)</f>
        <v>0</v>
      </c>
      <c r="FF145" s="207">
        <f t="shared" ref="FF145" si="3862">IF($M145&lt;=15,EU145/2,EU145)</f>
        <v>0</v>
      </c>
      <c r="FG145" s="207">
        <f>IF($M145&lt;=15,EV145/2,EV145)</f>
        <v>0</v>
      </c>
      <c r="FH145" s="207">
        <f t="shared" ref="FH145" si="3863">IF($M145&lt;=15,EW145/2,EW145)</f>
        <v>0</v>
      </c>
      <c r="FI145" s="207">
        <f t="shared" ref="FI145" si="3864">IF($M145&lt;=15,EX145/2,EX145)</f>
        <v>0</v>
      </c>
      <c r="FJ145" s="207">
        <f t="shared" ref="FJ145" si="3865">IF($M145&lt;=15,EY145/2,EY145)</f>
        <v>0</v>
      </c>
      <c r="FK145" s="799"/>
      <c r="FL145" s="799"/>
      <c r="FM145" s="799"/>
      <c r="FN145" s="799"/>
      <c r="FO145" s="799"/>
      <c r="FP145" s="799"/>
      <c r="FQ145" s="778"/>
      <c r="FR145" s="1177">
        <f t="shared" si="3813"/>
        <v>0</v>
      </c>
      <c r="FS145" s="1177">
        <f t="shared" si="3814"/>
        <v>0</v>
      </c>
      <c r="FT145" s="1178">
        <f t="shared" si="3815"/>
        <v>0</v>
      </c>
      <c r="FU145" s="1177">
        <f t="shared" si="3816"/>
        <v>0</v>
      </c>
      <c r="FV145" s="1181">
        <f t="shared" si="3817"/>
        <v>0</v>
      </c>
    </row>
    <row r="146" spans="1:178" s="820" customFormat="1" ht="15.75" customHeight="1" outlineLevel="1" thickBot="1">
      <c r="A146" s="1001"/>
      <c r="B146" s="1001"/>
      <c r="E146" s="235">
        <v>301060</v>
      </c>
      <c r="F146" s="235"/>
      <c r="G146" s="723"/>
      <c r="J146" s="867">
        <f>SUM(J144:J145)</f>
        <v>8004.56</v>
      </c>
      <c r="K146" s="867">
        <f t="shared" ref="K146:L146" si="3866">SUM(K144:K145)</f>
        <v>550</v>
      </c>
      <c r="L146" s="867">
        <f t="shared" si="3866"/>
        <v>8554.5600000000013</v>
      </c>
      <c r="M146" s="868"/>
      <c r="N146" s="869"/>
      <c r="O146" s="869"/>
      <c r="P146" s="869"/>
      <c r="Q146" s="869"/>
      <c r="R146" s="869"/>
      <c r="S146" s="869"/>
      <c r="T146" s="813"/>
      <c r="U146" s="867">
        <f t="shared" ref="U146:CF146" si="3867">SUM(U144:U145)</f>
        <v>0</v>
      </c>
      <c r="V146" s="867">
        <f t="shared" si="3867"/>
        <v>0</v>
      </c>
      <c r="W146" s="867">
        <f t="shared" si="3867"/>
        <v>0</v>
      </c>
      <c r="X146" s="867">
        <f t="shared" si="3867"/>
        <v>0</v>
      </c>
      <c r="Y146" s="867">
        <f t="shared" si="3867"/>
        <v>0</v>
      </c>
      <c r="Z146" s="867">
        <f t="shared" si="3867"/>
        <v>0</v>
      </c>
      <c r="AA146" s="867">
        <f t="shared" si="3867"/>
        <v>0</v>
      </c>
      <c r="AB146" s="867">
        <f t="shared" si="3867"/>
        <v>0</v>
      </c>
      <c r="AC146" s="867">
        <f t="shared" si="3867"/>
        <v>0</v>
      </c>
      <c r="AD146" s="867">
        <f t="shared" si="3867"/>
        <v>0</v>
      </c>
      <c r="AE146" s="867">
        <f t="shared" si="3867"/>
        <v>0</v>
      </c>
      <c r="AF146" s="867">
        <f t="shared" si="3867"/>
        <v>0</v>
      </c>
      <c r="AG146" s="867">
        <f t="shared" si="3867"/>
        <v>0</v>
      </c>
      <c r="AH146" s="867">
        <f t="shared" si="3867"/>
        <v>0</v>
      </c>
      <c r="AI146" s="867">
        <f t="shared" si="3867"/>
        <v>0</v>
      </c>
      <c r="AJ146" s="867">
        <f t="shared" si="3867"/>
        <v>0</v>
      </c>
      <c r="AK146" s="867">
        <f t="shared" si="3867"/>
        <v>0</v>
      </c>
      <c r="AL146" s="867">
        <f t="shared" si="3867"/>
        <v>0</v>
      </c>
      <c r="AM146" s="867">
        <f t="shared" si="3867"/>
        <v>0</v>
      </c>
      <c r="AN146" s="867">
        <f t="shared" si="3867"/>
        <v>0</v>
      </c>
      <c r="AO146" s="867">
        <f t="shared" si="3867"/>
        <v>0</v>
      </c>
      <c r="AP146" s="867">
        <f t="shared" si="3867"/>
        <v>0</v>
      </c>
      <c r="AQ146" s="867">
        <f t="shared" si="3867"/>
        <v>0</v>
      </c>
      <c r="AR146" s="867">
        <f t="shared" si="3867"/>
        <v>0</v>
      </c>
      <c r="AS146" s="867">
        <f t="shared" si="3867"/>
        <v>0</v>
      </c>
      <c r="AT146" s="867">
        <f t="shared" si="3867"/>
        <v>0</v>
      </c>
      <c r="AU146" s="867">
        <f t="shared" si="3867"/>
        <v>0</v>
      </c>
      <c r="AV146" s="867">
        <f t="shared" si="3867"/>
        <v>0</v>
      </c>
      <c r="AW146" s="867">
        <f t="shared" si="3867"/>
        <v>0</v>
      </c>
      <c r="AX146" s="867">
        <f t="shared" si="3867"/>
        <v>0</v>
      </c>
      <c r="AY146" s="867">
        <f t="shared" si="3867"/>
        <v>0</v>
      </c>
      <c r="AZ146" s="867">
        <f t="shared" si="3867"/>
        <v>0</v>
      </c>
      <c r="BA146" s="867">
        <f>SUM(BA144:BA145)</f>
        <v>4002.2800000000007</v>
      </c>
      <c r="BB146" s="867">
        <f t="shared" si="3867"/>
        <v>1660</v>
      </c>
      <c r="BC146" s="867">
        <f t="shared" si="3867"/>
        <v>0</v>
      </c>
      <c r="BD146" s="867">
        <f t="shared" si="3867"/>
        <v>0</v>
      </c>
      <c r="BE146" s="867">
        <f t="shared" si="3867"/>
        <v>0</v>
      </c>
      <c r="BF146" s="867">
        <f t="shared" si="3867"/>
        <v>0</v>
      </c>
      <c r="BG146" s="867">
        <f t="shared" si="3867"/>
        <v>0</v>
      </c>
      <c r="BH146" s="867">
        <f t="shared" si="3867"/>
        <v>507.08887600000014</v>
      </c>
      <c r="BI146" s="867">
        <f t="shared" si="3867"/>
        <v>6169.3688760000005</v>
      </c>
      <c r="BJ146" s="867">
        <f t="shared" si="3867"/>
        <v>2801.596</v>
      </c>
      <c r="BK146" s="867">
        <f t="shared" si="3867"/>
        <v>655</v>
      </c>
      <c r="BL146" s="867">
        <f t="shared" si="3867"/>
        <v>0</v>
      </c>
      <c r="BM146" s="867">
        <f t="shared" si="3867"/>
        <v>0</v>
      </c>
      <c r="BN146" s="867">
        <f t="shared" si="3867"/>
        <v>0</v>
      </c>
      <c r="BO146" s="867">
        <f t="shared" si="3867"/>
        <v>0</v>
      </c>
      <c r="BP146" s="867">
        <f t="shared" si="3867"/>
        <v>0</v>
      </c>
      <c r="BQ146" s="867">
        <f t="shared" si="3867"/>
        <v>354.96221320000001</v>
      </c>
      <c r="BR146" s="867">
        <f t="shared" si="3867"/>
        <v>3811.5582132</v>
      </c>
      <c r="BS146" s="867">
        <f t="shared" si="3867"/>
        <v>1200.6840000000002</v>
      </c>
      <c r="BT146" s="867">
        <f t="shared" si="3867"/>
        <v>85</v>
      </c>
      <c r="BU146" s="867">
        <f t="shared" si="3867"/>
        <v>0</v>
      </c>
      <c r="BV146" s="867">
        <f t="shared" si="3867"/>
        <v>0</v>
      </c>
      <c r="BW146" s="867">
        <f t="shared" si="3867"/>
        <v>0</v>
      </c>
      <c r="BX146" s="867">
        <f t="shared" si="3867"/>
        <v>0</v>
      </c>
      <c r="BY146" s="867">
        <f t="shared" si="3867"/>
        <v>0</v>
      </c>
      <c r="BZ146" s="867">
        <f t="shared" si="3867"/>
        <v>152.12666280000002</v>
      </c>
      <c r="CA146" s="867">
        <f t="shared" si="3867"/>
        <v>1437.8106628000003</v>
      </c>
      <c r="CB146" s="867">
        <f t="shared" si="3867"/>
        <v>0</v>
      </c>
      <c r="CC146" s="867">
        <f t="shared" si="3867"/>
        <v>0</v>
      </c>
      <c r="CD146" s="867">
        <f t="shared" si="3867"/>
        <v>0</v>
      </c>
      <c r="CE146" s="867">
        <f t="shared" si="3867"/>
        <v>0</v>
      </c>
      <c r="CF146" s="867">
        <f t="shared" si="3867"/>
        <v>0</v>
      </c>
      <c r="CG146" s="867">
        <f t="shared" ref="CG146:ER146" si="3868">SUM(CG144:CG145)</f>
        <v>0</v>
      </c>
      <c r="CH146" s="867">
        <f t="shared" si="3868"/>
        <v>0</v>
      </c>
      <c r="CI146" s="867">
        <f t="shared" si="3868"/>
        <v>0</v>
      </c>
      <c r="CJ146" s="867">
        <f t="shared" si="3868"/>
        <v>0</v>
      </c>
      <c r="CK146" s="867">
        <f t="shared" si="3868"/>
        <v>0</v>
      </c>
      <c r="CL146" s="867">
        <f t="shared" si="3868"/>
        <v>0</v>
      </c>
      <c r="CM146" s="867">
        <f t="shared" si="3868"/>
        <v>0</v>
      </c>
      <c r="CN146" s="867">
        <f t="shared" si="3868"/>
        <v>0</v>
      </c>
      <c r="CO146" s="867">
        <f t="shared" si="3868"/>
        <v>0</v>
      </c>
      <c r="CP146" s="867">
        <f t="shared" si="3868"/>
        <v>0</v>
      </c>
      <c r="CQ146" s="867">
        <f t="shared" si="3868"/>
        <v>0</v>
      </c>
      <c r="CR146" s="867">
        <f t="shared" si="3868"/>
        <v>0</v>
      </c>
      <c r="CS146" s="867">
        <f t="shared" si="3868"/>
        <v>0</v>
      </c>
      <c r="CT146" s="867">
        <f t="shared" si="3868"/>
        <v>0</v>
      </c>
      <c r="CU146" s="867">
        <f t="shared" si="3868"/>
        <v>0</v>
      </c>
      <c r="CV146" s="867">
        <f t="shared" si="3868"/>
        <v>0</v>
      </c>
      <c r="CW146" s="867">
        <f t="shared" si="3868"/>
        <v>0</v>
      </c>
      <c r="CX146" s="867">
        <f t="shared" si="3868"/>
        <v>0</v>
      </c>
      <c r="CY146" s="867">
        <f t="shared" si="3868"/>
        <v>0</v>
      </c>
      <c r="CZ146" s="867">
        <f t="shared" si="3868"/>
        <v>0</v>
      </c>
      <c r="DA146" s="867">
        <f t="shared" si="3868"/>
        <v>0</v>
      </c>
      <c r="DB146" s="867">
        <f t="shared" si="3868"/>
        <v>0</v>
      </c>
      <c r="DC146" s="867">
        <f t="shared" si="3868"/>
        <v>0</v>
      </c>
      <c r="DD146" s="867">
        <f t="shared" si="3868"/>
        <v>0</v>
      </c>
      <c r="DE146" s="867">
        <f t="shared" si="3868"/>
        <v>0</v>
      </c>
      <c r="DF146" s="867">
        <f t="shared" si="3868"/>
        <v>0</v>
      </c>
      <c r="DG146" s="867">
        <f t="shared" si="3868"/>
        <v>0</v>
      </c>
      <c r="DH146" s="867">
        <f t="shared" si="3868"/>
        <v>0</v>
      </c>
      <c r="DI146" s="867">
        <f t="shared" si="3868"/>
        <v>0</v>
      </c>
      <c r="DJ146" s="867">
        <f t="shared" si="3868"/>
        <v>0</v>
      </c>
      <c r="DK146" s="867">
        <f t="shared" si="3868"/>
        <v>0</v>
      </c>
      <c r="DL146" s="867">
        <f t="shared" si="3868"/>
        <v>0</v>
      </c>
      <c r="DM146" s="867">
        <f t="shared" si="3868"/>
        <v>0</v>
      </c>
      <c r="DN146" s="867">
        <f t="shared" si="3868"/>
        <v>0</v>
      </c>
      <c r="DO146" s="867">
        <f t="shared" si="3868"/>
        <v>0</v>
      </c>
      <c r="DP146" s="867">
        <f t="shared" si="3868"/>
        <v>0</v>
      </c>
      <c r="DQ146" s="867">
        <f t="shared" si="3868"/>
        <v>0</v>
      </c>
      <c r="DR146" s="867">
        <f t="shared" si="3868"/>
        <v>0</v>
      </c>
      <c r="DS146" s="867">
        <f t="shared" si="3868"/>
        <v>0</v>
      </c>
      <c r="DT146" s="867">
        <f t="shared" si="3868"/>
        <v>0</v>
      </c>
      <c r="DU146" s="867">
        <f t="shared" si="3868"/>
        <v>0</v>
      </c>
      <c r="DV146" s="867">
        <f t="shared" si="3868"/>
        <v>0</v>
      </c>
      <c r="DW146" s="867">
        <f t="shared" si="3868"/>
        <v>0</v>
      </c>
      <c r="DX146" s="867">
        <f t="shared" si="3868"/>
        <v>0</v>
      </c>
      <c r="DY146" s="867">
        <f t="shared" si="3868"/>
        <v>0</v>
      </c>
      <c r="DZ146" s="867">
        <f t="shared" si="3868"/>
        <v>0</v>
      </c>
      <c r="EA146" s="867">
        <f t="shared" si="3868"/>
        <v>0</v>
      </c>
      <c r="EB146" s="867">
        <f t="shared" si="3868"/>
        <v>0</v>
      </c>
      <c r="EC146" s="867">
        <f t="shared" si="3868"/>
        <v>0</v>
      </c>
      <c r="ED146" s="867">
        <f t="shared" si="3868"/>
        <v>0</v>
      </c>
      <c r="EE146" s="867">
        <f t="shared" si="3868"/>
        <v>0</v>
      </c>
      <c r="EF146" s="867">
        <f>SUM(EF144:EF145)</f>
        <v>8004.5600000000013</v>
      </c>
      <c r="EG146" s="867">
        <f t="shared" si="3868"/>
        <v>2400</v>
      </c>
      <c r="EH146" s="867">
        <f t="shared" si="3868"/>
        <v>0</v>
      </c>
      <c r="EI146" s="867">
        <f t="shared" si="3868"/>
        <v>0</v>
      </c>
      <c r="EJ146" s="867">
        <f t="shared" si="3868"/>
        <v>0</v>
      </c>
      <c r="EK146" s="867">
        <f t="shared" si="3868"/>
        <v>0</v>
      </c>
      <c r="EL146" s="867">
        <f t="shared" si="3868"/>
        <v>0</v>
      </c>
      <c r="EM146" s="867">
        <f t="shared" si="3868"/>
        <v>1014.1777520000002</v>
      </c>
      <c r="EN146" s="867">
        <f t="shared" si="3868"/>
        <v>11418.737752000001</v>
      </c>
      <c r="EO146" s="867"/>
      <c r="EP146" s="867">
        <f t="shared" si="3868"/>
        <v>0</v>
      </c>
      <c r="EQ146" s="867">
        <f t="shared" si="3868"/>
        <v>0</v>
      </c>
      <c r="ER146" s="867">
        <f t="shared" si="3868"/>
        <v>0</v>
      </c>
      <c r="ES146" s="867">
        <f t="shared" ref="ES146:FJ146" si="3869">SUM(ES144:ES145)</f>
        <v>184.5</v>
      </c>
      <c r="ET146" s="867">
        <f t="shared" si="3869"/>
        <v>0</v>
      </c>
      <c r="EU146" s="867">
        <f t="shared" si="3869"/>
        <v>0</v>
      </c>
      <c r="EV146" s="867">
        <f t="shared" si="3869"/>
        <v>0</v>
      </c>
      <c r="EW146" s="867">
        <f t="shared" si="3869"/>
        <v>0</v>
      </c>
      <c r="EX146" s="867">
        <f t="shared" si="3869"/>
        <v>0</v>
      </c>
      <c r="EY146" s="867">
        <f t="shared" si="3869"/>
        <v>0</v>
      </c>
      <c r="EZ146" s="867"/>
      <c r="FA146" s="867">
        <f t="shared" si="3869"/>
        <v>0</v>
      </c>
      <c r="FB146" s="867">
        <f t="shared" si="3869"/>
        <v>0</v>
      </c>
      <c r="FC146" s="867">
        <f t="shared" si="3869"/>
        <v>0</v>
      </c>
      <c r="FD146" s="867">
        <f t="shared" si="3869"/>
        <v>184.5</v>
      </c>
      <c r="FE146" s="867">
        <f t="shared" si="3869"/>
        <v>0</v>
      </c>
      <c r="FF146" s="867">
        <f t="shared" si="3869"/>
        <v>0</v>
      </c>
      <c r="FG146" s="867">
        <f t="shared" si="3869"/>
        <v>0</v>
      </c>
      <c r="FH146" s="867">
        <f t="shared" si="3869"/>
        <v>0</v>
      </c>
      <c r="FI146" s="867">
        <f t="shared" si="3869"/>
        <v>0</v>
      </c>
      <c r="FJ146" s="867">
        <f t="shared" si="3869"/>
        <v>0</v>
      </c>
      <c r="FK146" s="799"/>
      <c r="FL146" s="799"/>
      <c r="FM146" s="799"/>
      <c r="FN146" s="799"/>
      <c r="FO146" s="799"/>
      <c r="FP146" s="799"/>
      <c r="FQ146" s="778"/>
    </row>
    <row r="147" spans="1:178" s="820" customFormat="1" ht="15.75" customHeight="1" outlineLevel="1" thickTop="1">
      <c r="A147" s="1001"/>
      <c r="B147" s="1001"/>
      <c r="F147" s="235"/>
      <c r="G147" s="723"/>
      <c r="J147" s="868"/>
      <c r="K147" s="868"/>
      <c r="L147" s="868"/>
      <c r="M147" s="868"/>
      <c r="N147" s="869"/>
      <c r="O147" s="869"/>
      <c r="P147" s="869"/>
      <c r="Q147" s="869"/>
      <c r="R147" s="869"/>
      <c r="S147" s="869"/>
      <c r="T147" s="813"/>
      <c r="U147" s="868"/>
      <c r="V147" s="868"/>
      <c r="W147" s="868"/>
      <c r="X147" s="868"/>
      <c r="Y147" s="868"/>
      <c r="Z147" s="868"/>
      <c r="AA147" s="868"/>
      <c r="AB147" s="868"/>
      <c r="AC147" s="868"/>
      <c r="AD147" s="868"/>
      <c r="AE147" s="868"/>
      <c r="AF147" s="868"/>
      <c r="AG147" s="868"/>
      <c r="AH147" s="868"/>
      <c r="AI147" s="868"/>
      <c r="AJ147" s="868"/>
      <c r="AK147" s="868"/>
      <c r="AL147" s="868"/>
      <c r="AM147" s="868"/>
      <c r="AN147" s="868"/>
      <c r="AO147" s="868"/>
      <c r="AP147" s="868"/>
      <c r="AQ147" s="868"/>
      <c r="AR147" s="868"/>
      <c r="AS147" s="868"/>
      <c r="AT147" s="868"/>
      <c r="AU147" s="868"/>
      <c r="AV147" s="868"/>
      <c r="AW147" s="868"/>
      <c r="AX147" s="868"/>
      <c r="AY147" s="868"/>
      <c r="AZ147" s="868"/>
      <c r="BA147" s="977"/>
      <c r="BB147" s="868"/>
      <c r="BC147" s="868"/>
      <c r="BD147" s="868"/>
      <c r="BE147" s="868"/>
      <c r="BF147" s="868"/>
      <c r="BG147" s="868"/>
      <c r="BH147" s="868"/>
      <c r="BI147" s="868"/>
      <c r="BJ147" s="868"/>
      <c r="BK147" s="868"/>
      <c r="BL147" s="868"/>
      <c r="BM147" s="868"/>
      <c r="BN147" s="868"/>
      <c r="BO147" s="868"/>
      <c r="BP147" s="868"/>
      <c r="BQ147" s="868"/>
      <c r="BR147" s="868"/>
      <c r="BS147" s="868"/>
      <c r="BT147" s="868"/>
      <c r="BU147" s="868"/>
      <c r="BV147" s="868"/>
      <c r="BW147" s="868"/>
      <c r="BX147" s="868"/>
      <c r="BY147" s="868"/>
      <c r="BZ147" s="868"/>
      <c r="CA147" s="868"/>
      <c r="CB147" s="868"/>
      <c r="CC147" s="868"/>
      <c r="CD147" s="868"/>
      <c r="CE147" s="868"/>
      <c r="CF147" s="868"/>
      <c r="CG147" s="868"/>
      <c r="CH147" s="868"/>
      <c r="CI147" s="868"/>
      <c r="CJ147" s="868"/>
      <c r="CK147" s="868"/>
      <c r="CL147" s="868"/>
      <c r="CM147" s="868"/>
      <c r="CN147" s="868"/>
      <c r="CO147" s="868"/>
      <c r="CP147" s="868"/>
      <c r="CQ147" s="868"/>
      <c r="CR147" s="868"/>
      <c r="CS147" s="868"/>
      <c r="CT147" s="868"/>
      <c r="CU147" s="868"/>
      <c r="CV147" s="868"/>
      <c r="CW147" s="868"/>
      <c r="CX147" s="868"/>
      <c r="CY147" s="868"/>
      <c r="CZ147" s="868"/>
      <c r="DA147" s="868"/>
      <c r="DB147" s="868"/>
      <c r="DC147" s="868"/>
      <c r="DD147" s="868"/>
      <c r="DE147" s="868"/>
      <c r="DF147" s="868"/>
      <c r="DG147" s="868"/>
      <c r="DH147" s="868"/>
      <c r="DI147" s="868"/>
      <c r="DJ147" s="868"/>
      <c r="DK147" s="868"/>
      <c r="DL147" s="868"/>
      <c r="DM147" s="868"/>
      <c r="DN147" s="868"/>
      <c r="DO147" s="868"/>
      <c r="DP147" s="868"/>
      <c r="DQ147" s="868"/>
      <c r="DR147" s="868"/>
      <c r="DS147" s="868"/>
      <c r="DT147" s="868"/>
      <c r="DU147" s="868"/>
      <c r="DV147" s="868"/>
      <c r="DW147" s="868"/>
      <c r="DX147" s="868"/>
      <c r="DY147" s="868"/>
      <c r="DZ147" s="868"/>
      <c r="EA147" s="868"/>
      <c r="EB147" s="868"/>
      <c r="EC147" s="868"/>
      <c r="ED147" s="868"/>
      <c r="EE147" s="868"/>
      <c r="EF147" s="868"/>
      <c r="EG147" s="868"/>
      <c r="EH147" s="868"/>
      <c r="EI147" s="868"/>
      <c r="EJ147" s="868"/>
      <c r="EK147" s="868"/>
      <c r="EL147" s="868"/>
      <c r="EM147" s="868"/>
      <c r="EN147" s="868"/>
      <c r="EO147" s="868"/>
      <c r="EP147" s="868"/>
      <c r="EQ147" s="868"/>
      <c r="ER147" s="868"/>
      <c r="ES147" s="868"/>
      <c r="ET147" s="868"/>
      <c r="EU147" s="868"/>
      <c r="EV147" s="868"/>
      <c r="EW147" s="868"/>
      <c r="EX147" s="868"/>
      <c r="EY147" s="868"/>
      <c r="EZ147" s="868"/>
      <c r="FA147" s="868"/>
      <c r="FB147" s="868"/>
      <c r="FC147" s="868"/>
      <c r="FD147" s="868"/>
      <c r="FE147" s="868"/>
      <c r="FF147" s="868"/>
      <c r="FG147" s="868"/>
      <c r="FH147" s="868"/>
      <c r="FI147" s="868"/>
      <c r="FJ147" s="868"/>
      <c r="FK147" s="799"/>
      <c r="FL147" s="799"/>
      <c r="FM147" s="799"/>
      <c r="FN147" s="799"/>
      <c r="FO147" s="799"/>
      <c r="FP147" s="799"/>
      <c r="FQ147" s="778"/>
    </row>
    <row r="148" spans="1:178" s="820" customFormat="1" ht="15.75" customHeight="1" outlineLevel="1">
      <c r="A148" s="1001"/>
      <c r="B148" s="1001"/>
      <c r="F148" s="235"/>
      <c r="G148" s="723"/>
      <c r="J148" s="868"/>
      <c r="K148" s="868"/>
      <c r="L148" s="868"/>
      <c r="M148" s="868"/>
      <c r="N148" s="869"/>
      <c r="O148" s="869"/>
      <c r="P148" s="869"/>
      <c r="Q148" s="869"/>
      <c r="R148" s="869"/>
      <c r="S148" s="869"/>
      <c r="T148" s="813"/>
      <c r="U148" s="868"/>
      <c r="V148" s="868"/>
      <c r="W148" s="868"/>
      <c r="X148" s="868"/>
      <c r="Y148" s="868"/>
      <c r="Z148" s="868"/>
      <c r="AA148" s="868"/>
      <c r="AB148" s="868"/>
      <c r="AC148" s="868"/>
      <c r="AD148" s="868"/>
      <c r="AE148" s="868"/>
      <c r="AF148" s="868"/>
      <c r="AG148" s="868"/>
      <c r="AH148" s="868"/>
      <c r="AI148" s="868"/>
      <c r="AJ148" s="868"/>
      <c r="AK148" s="868"/>
      <c r="AL148" s="868"/>
      <c r="AM148" s="868"/>
      <c r="AN148" s="868"/>
      <c r="AO148" s="868"/>
      <c r="AP148" s="868"/>
      <c r="AQ148" s="868"/>
      <c r="AR148" s="868"/>
      <c r="AS148" s="868"/>
      <c r="AT148" s="868"/>
      <c r="AU148" s="868"/>
      <c r="AV148" s="868"/>
      <c r="AW148" s="868"/>
      <c r="AX148" s="868"/>
      <c r="AY148" s="868"/>
      <c r="AZ148" s="868"/>
      <c r="BA148" s="977"/>
      <c r="BB148" s="868"/>
      <c r="BC148" s="868"/>
      <c r="BD148" s="868"/>
      <c r="BE148" s="868"/>
      <c r="BF148" s="868"/>
      <c r="BG148" s="868"/>
      <c r="BH148" s="868"/>
      <c r="BI148" s="868"/>
      <c r="BJ148" s="868"/>
      <c r="BK148" s="868"/>
      <c r="BL148" s="868"/>
      <c r="BM148" s="868"/>
      <c r="BN148" s="868"/>
      <c r="BO148" s="868"/>
      <c r="BP148" s="868"/>
      <c r="BQ148" s="868"/>
      <c r="BR148" s="868"/>
      <c r="BS148" s="868"/>
      <c r="BT148" s="868"/>
      <c r="BU148" s="868"/>
      <c r="BV148" s="868"/>
      <c r="BW148" s="868"/>
      <c r="BX148" s="868"/>
      <c r="BY148" s="868"/>
      <c r="BZ148" s="868"/>
      <c r="CA148" s="868"/>
      <c r="CB148" s="868"/>
      <c r="CC148" s="868"/>
      <c r="CD148" s="868"/>
      <c r="CE148" s="868"/>
      <c r="CF148" s="868"/>
      <c r="CG148" s="868"/>
      <c r="CH148" s="868"/>
      <c r="CI148" s="868"/>
      <c r="CJ148" s="868"/>
      <c r="CK148" s="868"/>
      <c r="CL148" s="868"/>
      <c r="CM148" s="868"/>
      <c r="CN148" s="868"/>
      <c r="CO148" s="868"/>
      <c r="CP148" s="868"/>
      <c r="CQ148" s="868"/>
      <c r="CR148" s="868"/>
      <c r="CS148" s="868"/>
      <c r="CT148" s="868"/>
      <c r="CU148" s="868"/>
      <c r="CV148" s="868"/>
      <c r="CW148" s="868"/>
      <c r="CX148" s="868"/>
      <c r="CY148" s="868"/>
      <c r="CZ148" s="868"/>
      <c r="DA148" s="868"/>
      <c r="DB148" s="868"/>
      <c r="DC148" s="868"/>
      <c r="DD148" s="868"/>
      <c r="DE148" s="868"/>
      <c r="DF148" s="868"/>
      <c r="DG148" s="868"/>
      <c r="DH148" s="868"/>
      <c r="DI148" s="868"/>
      <c r="DJ148" s="868"/>
      <c r="DK148" s="868"/>
      <c r="DL148" s="868"/>
      <c r="DM148" s="868"/>
      <c r="DN148" s="868"/>
      <c r="DO148" s="868"/>
      <c r="DP148" s="868"/>
      <c r="DQ148" s="868"/>
      <c r="DR148" s="868"/>
      <c r="DS148" s="868"/>
      <c r="DT148" s="868"/>
      <c r="DU148" s="868"/>
      <c r="DV148" s="868"/>
      <c r="DW148" s="868"/>
      <c r="DX148" s="868"/>
      <c r="DY148" s="868"/>
      <c r="DZ148" s="868"/>
      <c r="EA148" s="868"/>
      <c r="EB148" s="868"/>
      <c r="EC148" s="868"/>
      <c r="ED148" s="868"/>
      <c r="EE148" s="868"/>
      <c r="EF148" s="868"/>
      <c r="EG148" s="868"/>
      <c r="EH148" s="868"/>
      <c r="EI148" s="868"/>
      <c r="EJ148" s="868"/>
      <c r="EK148" s="868"/>
      <c r="EL148" s="868"/>
      <c r="EM148" s="868"/>
      <c r="EN148" s="868"/>
      <c r="EO148" s="868"/>
      <c r="EP148" s="868"/>
      <c r="EQ148" s="868"/>
      <c r="ER148" s="868"/>
      <c r="ES148" s="868"/>
      <c r="ET148" s="868"/>
      <c r="EU148" s="868"/>
      <c r="EV148" s="868"/>
      <c r="EW148" s="868"/>
      <c r="EX148" s="868"/>
      <c r="EY148" s="868"/>
      <c r="EZ148" s="868"/>
      <c r="FA148" s="868"/>
      <c r="FB148" s="868"/>
      <c r="FC148" s="868"/>
      <c r="FD148" s="868"/>
      <c r="FE148" s="868"/>
      <c r="FF148" s="868"/>
      <c r="FG148" s="868"/>
      <c r="FH148" s="868"/>
      <c r="FI148" s="868"/>
      <c r="FJ148" s="868"/>
      <c r="FK148" s="799"/>
      <c r="FL148" s="799"/>
      <c r="FM148" s="799"/>
      <c r="FN148" s="799"/>
      <c r="FO148" s="799"/>
      <c r="FP148" s="799"/>
      <c r="FQ148" s="778"/>
    </row>
    <row r="149" spans="1:178" s="820" customFormat="1" ht="15.75" customHeight="1" outlineLevel="1" thickBot="1">
      <c r="A149" s="1001"/>
      <c r="B149" s="1001"/>
      <c r="F149" s="235"/>
      <c r="G149" s="723"/>
      <c r="H149" s="820" t="s">
        <v>171</v>
      </c>
      <c r="J149" s="867">
        <f>+J19+J26+J32+J38+J58+J79+J101+J114+J126+J135+J140+J146</f>
        <v>280459.94</v>
      </c>
      <c r="K149" s="867">
        <f>+K19+K26+K32+K38+K58+K79+K101+K114+K126+K135+K140+K146</f>
        <v>71989.89</v>
      </c>
      <c r="L149" s="867">
        <f>+L19+L26+L32+L38+L58+L79+L101+L114+L126+L135+L140+L146</f>
        <v>352449.83</v>
      </c>
      <c r="M149" s="868"/>
      <c r="N149" s="869"/>
      <c r="O149" s="869"/>
      <c r="P149" s="869"/>
      <c r="Q149" s="869"/>
      <c r="R149" s="869"/>
      <c r="S149" s="869"/>
      <c r="T149" s="813"/>
      <c r="U149" s="867">
        <f t="shared" ref="U149:AZ149" si="3870">+U19+U26+U32+U38+U58+U79+U101+U114+U126+U135+U140+U146</f>
        <v>101</v>
      </c>
      <c r="V149" s="867">
        <f t="shared" si="3870"/>
        <v>2698.0443749999999</v>
      </c>
      <c r="W149" s="867">
        <f t="shared" si="3870"/>
        <v>0</v>
      </c>
      <c r="X149" s="867">
        <f t="shared" si="3870"/>
        <v>0</v>
      </c>
      <c r="Y149" s="867">
        <f t="shared" si="3870"/>
        <v>282.5</v>
      </c>
      <c r="Z149" s="867">
        <f t="shared" si="3870"/>
        <v>7660.4771250000013</v>
      </c>
      <c r="AA149" s="867">
        <f t="shared" si="3870"/>
        <v>0</v>
      </c>
      <c r="AB149" s="867">
        <f t="shared" si="3870"/>
        <v>0</v>
      </c>
      <c r="AC149" s="867">
        <f t="shared" si="3870"/>
        <v>0</v>
      </c>
      <c r="AD149" s="867">
        <f t="shared" si="3870"/>
        <v>0</v>
      </c>
      <c r="AE149" s="867">
        <f t="shared" si="3870"/>
        <v>0</v>
      </c>
      <c r="AF149" s="867">
        <f t="shared" si="3870"/>
        <v>0</v>
      </c>
      <c r="AG149" s="867">
        <f t="shared" si="3870"/>
        <v>0</v>
      </c>
      <c r="AH149" s="867">
        <f t="shared" si="3870"/>
        <v>0</v>
      </c>
      <c r="AI149" s="867">
        <f t="shared" si="3870"/>
        <v>0</v>
      </c>
      <c r="AJ149" s="867">
        <f t="shared" si="3870"/>
        <v>0</v>
      </c>
      <c r="AK149" s="867">
        <f t="shared" si="3870"/>
        <v>0</v>
      </c>
      <c r="AL149" s="867">
        <f t="shared" si="3870"/>
        <v>0</v>
      </c>
      <c r="AM149" s="867">
        <f t="shared" si="3870"/>
        <v>0</v>
      </c>
      <c r="AN149" s="867">
        <f t="shared" si="3870"/>
        <v>0</v>
      </c>
      <c r="AO149" s="867">
        <f t="shared" si="3870"/>
        <v>350</v>
      </c>
      <c r="AP149" s="867">
        <f t="shared" si="3870"/>
        <v>175</v>
      </c>
      <c r="AQ149" s="867">
        <f t="shared" si="3870"/>
        <v>175</v>
      </c>
      <c r="AR149" s="867">
        <f t="shared" si="3870"/>
        <v>0</v>
      </c>
      <c r="AS149" s="867">
        <f t="shared" si="3870"/>
        <v>0</v>
      </c>
      <c r="AT149" s="867">
        <f t="shared" si="3870"/>
        <v>0</v>
      </c>
      <c r="AU149" s="867">
        <f t="shared" si="3870"/>
        <v>0</v>
      </c>
      <c r="AV149" s="867">
        <f t="shared" si="3870"/>
        <v>0</v>
      </c>
      <c r="AW149" s="867">
        <f t="shared" si="3870"/>
        <v>0</v>
      </c>
      <c r="AX149" s="867">
        <f t="shared" si="3870"/>
        <v>0</v>
      </c>
      <c r="AY149" s="867">
        <f t="shared" si="3870"/>
        <v>0</v>
      </c>
      <c r="AZ149" s="867">
        <f t="shared" si="3870"/>
        <v>0</v>
      </c>
      <c r="BA149" s="867">
        <f>+BA19+BA26+BA32+BA38+BA58+BA79+BA101+BA114+BA126+BA135+BA140+BA146</f>
        <v>134645.57103333334</v>
      </c>
      <c r="BB149" s="867">
        <f t="shared" ref="BB149:CF149" si="3871">+BB19+BB26+BB32+BB38+BB58+BB79+BB101+BB114+BB126+BB135+BB140+BB146</f>
        <v>42580.20616666667</v>
      </c>
      <c r="BC149" s="867">
        <f t="shared" si="3871"/>
        <v>101</v>
      </c>
      <c r="BD149" s="867">
        <f t="shared" si="3871"/>
        <v>2698.0443749999999</v>
      </c>
      <c r="BE149" s="867">
        <f t="shared" si="3871"/>
        <v>0</v>
      </c>
      <c r="BF149" s="867">
        <f t="shared" si="3871"/>
        <v>0</v>
      </c>
      <c r="BG149" s="867">
        <f t="shared" si="3871"/>
        <v>350</v>
      </c>
      <c r="BH149" s="867">
        <f t="shared" si="3871"/>
        <v>17445.781072235837</v>
      </c>
      <c r="BI149" s="867">
        <f t="shared" si="3871"/>
        <v>197719.60264723585</v>
      </c>
      <c r="BJ149" s="867">
        <f t="shared" si="3871"/>
        <v>105006.41666666667</v>
      </c>
      <c r="BK149" s="867">
        <f t="shared" si="3871"/>
        <v>38155.8465</v>
      </c>
      <c r="BL149" s="867">
        <f t="shared" si="3871"/>
        <v>282.5</v>
      </c>
      <c r="BM149" s="867">
        <f t="shared" si="3871"/>
        <v>7660.4771250000013</v>
      </c>
      <c r="BN149" s="867">
        <f t="shared" si="3871"/>
        <v>0</v>
      </c>
      <c r="BO149" s="867">
        <f t="shared" si="3871"/>
        <v>0</v>
      </c>
      <c r="BP149" s="867">
        <f t="shared" si="3871"/>
        <v>175</v>
      </c>
      <c r="BQ149" s="867">
        <f t="shared" si="3871"/>
        <v>14297.067943404167</v>
      </c>
      <c r="BR149" s="867">
        <f t="shared" si="3871"/>
        <v>165294.80823507084</v>
      </c>
      <c r="BS149" s="867">
        <f t="shared" si="3871"/>
        <v>31219.735766666665</v>
      </c>
      <c r="BT149" s="867">
        <f t="shared" si="3871"/>
        <v>7083.1115333333328</v>
      </c>
      <c r="BU149" s="867">
        <f t="shared" si="3871"/>
        <v>0</v>
      </c>
      <c r="BV149" s="867">
        <f t="shared" si="3871"/>
        <v>0</v>
      </c>
      <c r="BW149" s="867">
        <f t="shared" si="3871"/>
        <v>0</v>
      </c>
      <c r="BX149" s="867">
        <f t="shared" si="3871"/>
        <v>0</v>
      </c>
      <c r="BY149" s="867">
        <f t="shared" si="3871"/>
        <v>175</v>
      </c>
      <c r="BZ149" s="867">
        <f t="shared" si="3871"/>
        <v>3954.2116334766665</v>
      </c>
      <c r="CA149" s="867">
        <f t="shared" si="3871"/>
        <v>42432.058933476677</v>
      </c>
      <c r="CB149" s="867">
        <f t="shared" si="3871"/>
        <v>15586.262199999999</v>
      </c>
      <c r="CC149" s="867">
        <f t="shared" si="3871"/>
        <v>5361.8678</v>
      </c>
      <c r="CD149" s="867">
        <f t="shared" si="3871"/>
        <v>0</v>
      </c>
      <c r="CE149" s="867">
        <f t="shared" si="3871"/>
        <v>0</v>
      </c>
      <c r="CF149" s="867">
        <f t="shared" si="3871"/>
        <v>0</v>
      </c>
      <c r="CG149" s="867">
        <f t="shared" ref="CG149:DL149" si="3872">+CG19+CG26+CG32+CG38+CG58+CG79+CG101+CG114+CG126+CG135+CG140+CG146</f>
        <v>0</v>
      </c>
      <c r="CH149" s="867">
        <f t="shared" si="3872"/>
        <v>0</v>
      </c>
      <c r="CI149" s="867">
        <f t="shared" si="3872"/>
        <v>1974.7794207400002</v>
      </c>
      <c r="CJ149" s="867">
        <f t="shared" si="3872"/>
        <v>22922.909420740005</v>
      </c>
      <c r="CK149" s="867">
        <f t="shared" si="3872"/>
        <v>0</v>
      </c>
      <c r="CL149" s="867">
        <f t="shared" si="3872"/>
        <v>0</v>
      </c>
      <c r="CM149" s="867">
        <f t="shared" si="3872"/>
        <v>0</v>
      </c>
      <c r="CN149" s="867">
        <f t="shared" si="3872"/>
        <v>0</v>
      </c>
      <c r="CO149" s="867">
        <f t="shared" si="3872"/>
        <v>0</v>
      </c>
      <c r="CP149" s="867">
        <f t="shared" si="3872"/>
        <v>0</v>
      </c>
      <c r="CQ149" s="867">
        <f t="shared" si="3872"/>
        <v>0</v>
      </c>
      <c r="CR149" s="867">
        <f t="shared" si="3872"/>
        <v>0</v>
      </c>
      <c r="CS149" s="867">
        <f t="shared" si="3872"/>
        <v>0</v>
      </c>
      <c r="CT149" s="867" t="e">
        <f t="shared" si="3872"/>
        <v>#VALUE!</v>
      </c>
      <c r="CU149" s="867" t="e">
        <f t="shared" si="3872"/>
        <v>#VALUE!</v>
      </c>
      <c r="CV149" s="867">
        <f t="shared" si="3872"/>
        <v>0</v>
      </c>
      <c r="CW149" s="867">
        <f t="shared" si="3872"/>
        <v>0</v>
      </c>
      <c r="CX149" s="867">
        <f t="shared" si="3872"/>
        <v>0</v>
      </c>
      <c r="CY149" s="867">
        <f t="shared" si="3872"/>
        <v>0</v>
      </c>
      <c r="CZ149" s="867">
        <f t="shared" si="3872"/>
        <v>0</v>
      </c>
      <c r="DA149" s="867">
        <f t="shared" si="3872"/>
        <v>0</v>
      </c>
      <c r="DB149" s="867">
        <f t="shared" si="3872"/>
        <v>0</v>
      </c>
      <c r="DC149" s="867">
        <f t="shared" si="3872"/>
        <v>0</v>
      </c>
      <c r="DD149" s="867">
        <f t="shared" si="3872"/>
        <v>0</v>
      </c>
      <c r="DE149" s="867">
        <f t="shared" si="3872"/>
        <v>0</v>
      </c>
      <c r="DF149" s="867">
        <f t="shared" si="3872"/>
        <v>0</v>
      </c>
      <c r="DG149" s="867">
        <f t="shared" si="3872"/>
        <v>0</v>
      </c>
      <c r="DH149" s="867">
        <f t="shared" si="3872"/>
        <v>0</v>
      </c>
      <c r="DI149" s="867">
        <f t="shared" si="3872"/>
        <v>0</v>
      </c>
      <c r="DJ149" s="867">
        <f t="shared" si="3872"/>
        <v>0</v>
      </c>
      <c r="DK149" s="867">
        <f t="shared" si="3872"/>
        <v>0</v>
      </c>
      <c r="DL149" s="867">
        <f t="shared" si="3872"/>
        <v>0</v>
      </c>
      <c r="DM149" s="867">
        <f t="shared" ref="DM149:ER149" si="3873">+DM19+DM26+DM32+DM38+DM58+DM79+DM101+DM114+DM126+DM135+DM140+DM146</f>
        <v>0</v>
      </c>
      <c r="DN149" s="867">
        <f t="shared" si="3873"/>
        <v>0</v>
      </c>
      <c r="DO149" s="867">
        <f t="shared" si="3873"/>
        <v>0</v>
      </c>
      <c r="DP149" s="867">
        <f t="shared" si="3873"/>
        <v>0</v>
      </c>
      <c r="DQ149" s="867">
        <f t="shared" si="3873"/>
        <v>0</v>
      </c>
      <c r="DR149" s="867">
        <f t="shared" si="3873"/>
        <v>0</v>
      </c>
      <c r="DS149" s="867">
        <f t="shared" si="3873"/>
        <v>0</v>
      </c>
      <c r="DT149" s="867">
        <f t="shared" si="3873"/>
        <v>0</v>
      </c>
      <c r="DU149" s="867">
        <f t="shared" si="3873"/>
        <v>0</v>
      </c>
      <c r="DV149" s="867">
        <f t="shared" si="3873"/>
        <v>0</v>
      </c>
      <c r="DW149" s="867">
        <f t="shared" si="3873"/>
        <v>0</v>
      </c>
      <c r="DX149" s="867">
        <f t="shared" si="3873"/>
        <v>0</v>
      </c>
      <c r="DY149" s="867">
        <f t="shared" si="3873"/>
        <v>0</v>
      </c>
      <c r="DZ149" s="867">
        <f t="shared" si="3873"/>
        <v>0</v>
      </c>
      <c r="EA149" s="867">
        <f t="shared" si="3873"/>
        <v>0</v>
      </c>
      <c r="EB149" s="867">
        <f t="shared" si="3873"/>
        <v>0</v>
      </c>
      <c r="EC149" s="867">
        <f t="shared" si="3873"/>
        <v>0</v>
      </c>
      <c r="ED149" s="867">
        <f t="shared" si="3873"/>
        <v>0</v>
      </c>
      <c r="EE149" s="867">
        <f t="shared" si="3873"/>
        <v>0</v>
      </c>
      <c r="EF149" s="867">
        <f t="shared" si="3873"/>
        <v>286457.9856666667</v>
      </c>
      <c r="EG149" s="867">
        <f t="shared" si="3873"/>
        <v>93181.031999999992</v>
      </c>
      <c r="EH149" s="867">
        <f t="shared" si="3873"/>
        <v>383.5</v>
      </c>
      <c r="EI149" s="867">
        <f t="shared" si="3873"/>
        <v>10358.521500000001</v>
      </c>
      <c r="EJ149" s="867">
        <f t="shared" si="3873"/>
        <v>0</v>
      </c>
      <c r="EK149" s="867">
        <f t="shared" si="3873"/>
        <v>0</v>
      </c>
      <c r="EL149" s="867">
        <f t="shared" si="3873"/>
        <v>700</v>
      </c>
      <c r="EM149" s="867">
        <f t="shared" si="3873"/>
        <v>37671.840069856669</v>
      </c>
      <c r="EN149" s="867">
        <f t="shared" si="3873"/>
        <v>428369.37923652329</v>
      </c>
      <c r="EO149" s="867">
        <f t="shared" si="3873"/>
        <v>0</v>
      </c>
      <c r="EP149" s="867">
        <f t="shared" si="3873"/>
        <v>9580.1500000000015</v>
      </c>
      <c r="EQ149" s="867">
        <f t="shared" si="3873"/>
        <v>12153.59</v>
      </c>
      <c r="ER149" s="867">
        <f t="shared" si="3873"/>
        <v>850</v>
      </c>
      <c r="ES149" s="867">
        <f t="shared" ref="ES149:FS149" si="3874">+ES19+ES26+ES32+ES38+ES58+ES79+ES101+ES114+ES126+ES135+ES140+ES146</f>
        <v>7892.5</v>
      </c>
      <c r="ET149" s="867">
        <f t="shared" si="3874"/>
        <v>352.2</v>
      </c>
      <c r="EU149" s="867">
        <f t="shared" si="3874"/>
        <v>0</v>
      </c>
      <c r="EV149" s="867">
        <f t="shared" si="3874"/>
        <v>3868</v>
      </c>
      <c r="EW149" s="867">
        <f t="shared" si="3874"/>
        <v>0</v>
      </c>
      <c r="EX149" s="867">
        <f t="shared" si="3874"/>
        <v>626.86</v>
      </c>
      <c r="EY149" s="867">
        <f t="shared" si="3874"/>
        <v>4220.2</v>
      </c>
      <c r="EZ149" s="867">
        <f t="shared" si="3874"/>
        <v>0</v>
      </c>
      <c r="FA149" s="867">
        <f t="shared" si="3874"/>
        <v>9210.2750000000015</v>
      </c>
      <c r="FB149" s="867">
        <f t="shared" si="3874"/>
        <v>12153.59</v>
      </c>
      <c r="FC149" s="867">
        <f t="shared" si="3874"/>
        <v>850</v>
      </c>
      <c r="FD149" s="867">
        <f t="shared" si="3874"/>
        <v>7892.5</v>
      </c>
      <c r="FE149" s="867">
        <f t="shared" si="3874"/>
        <v>352.2</v>
      </c>
      <c r="FF149" s="867">
        <f t="shared" si="3874"/>
        <v>0</v>
      </c>
      <c r="FG149" s="867">
        <f t="shared" si="3874"/>
        <v>3868</v>
      </c>
      <c r="FH149" s="867">
        <f t="shared" si="3874"/>
        <v>0</v>
      </c>
      <c r="FI149" s="867">
        <f t="shared" si="3874"/>
        <v>626.86</v>
      </c>
      <c r="FJ149" s="867">
        <f t="shared" si="3874"/>
        <v>4220.2</v>
      </c>
      <c r="FK149" s="867">
        <f t="shared" si="3874"/>
        <v>8.35</v>
      </c>
      <c r="FL149" s="867">
        <f t="shared" si="3874"/>
        <v>3.7</v>
      </c>
      <c r="FM149" s="867">
        <f t="shared" si="3874"/>
        <v>0.95</v>
      </c>
      <c r="FN149" s="867">
        <f t="shared" si="3874"/>
        <v>0</v>
      </c>
      <c r="FO149" s="867">
        <f t="shared" si="3874"/>
        <v>0</v>
      </c>
      <c r="FP149" s="867">
        <f t="shared" si="3874"/>
        <v>13</v>
      </c>
      <c r="FQ149" s="867">
        <f t="shared" si="3874"/>
        <v>0</v>
      </c>
      <c r="FR149" s="867">
        <f t="shared" si="3874"/>
        <v>0</v>
      </c>
      <c r="FS149" s="867">
        <f t="shared" si="3874"/>
        <v>0</v>
      </c>
    </row>
    <row r="150" spans="1:178" s="820" customFormat="1" ht="15.75" customHeight="1" outlineLevel="1" thickTop="1">
      <c r="A150" s="1001"/>
      <c r="B150" s="1001"/>
      <c r="F150" s="235"/>
      <c r="G150" s="723"/>
      <c r="J150" s="868"/>
      <c r="K150" s="868"/>
      <c r="L150" s="868"/>
      <c r="M150" s="868"/>
      <c r="N150" s="869"/>
      <c r="O150" s="869"/>
      <c r="P150" s="869"/>
      <c r="Q150" s="869"/>
      <c r="R150" s="869"/>
      <c r="S150" s="869"/>
      <c r="T150" s="813"/>
      <c r="U150" s="868"/>
      <c r="V150" s="868"/>
      <c r="W150" s="868"/>
      <c r="X150" s="868"/>
      <c r="Y150" s="868"/>
      <c r="Z150" s="868"/>
      <c r="AA150" s="868"/>
      <c r="AB150" s="868"/>
      <c r="AC150" s="868"/>
      <c r="AD150" s="868"/>
      <c r="AE150" s="868"/>
      <c r="AF150" s="868"/>
      <c r="AG150" s="868"/>
      <c r="AH150" s="868"/>
      <c r="AI150" s="868"/>
      <c r="AJ150" s="868"/>
      <c r="AK150" s="868"/>
      <c r="AL150" s="868"/>
      <c r="AM150" s="868"/>
      <c r="AN150" s="868"/>
      <c r="AO150" s="868"/>
      <c r="AP150" s="868"/>
      <c r="AQ150" s="868"/>
      <c r="AR150" s="868"/>
      <c r="AS150" s="868"/>
      <c r="AT150" s="868"/>
      <c r="AU150" s="868"/>
      <c r="AV150" s="868"/>
      <c r="AW150" s="868"/>
      <c r="AX150" s="868"/>
      <c r="AY150" s="868"/>
      <c r="AZ150" s="868"/>
      <c r="BA150" s="868"/>
      <c r="BB150" s="868"/>
      <c r="BC150" s="868"/>
      <c r="BD150" s="868"/>
      <c r="BE150" s="868"/>
      <c r="BF150" s="868"/>
      <c r="BG150" s="868"/>
      <c r="BH150" s="868"/>
      <c r="BI150" s="868"/>
      <c r="BJ150" s="868"/>
      <c r="BK150" s="868"/>
      <c r="BL150" s="868"/>
      <c r="BM150" s="868"/>
      <c r="BN150" s="868"/>
      <c r="BO150" s="868"/>
      <c r="BP150" s="868"/>
      <c r="BQ150" s="868"/>
      <c r="BR150" s="868"/>
      <c r="BS150" s="868"/>
      <c r="BT150" s="868"/>
      <c r="BU150" s="868"/>
      <c r="BV150" s="868"/>
      <c r="BW150" s="868"/>
      <c r="BX150" s="868"/>
      <c r="BY150" s="868"/>
      <c r="BZ150" s="868"/>
      <c r="CA150" s="868"/>
      <c r="CB150" s="868"/>
      <c r="CC150" s="868"/>
      <c r="CD150" s="868"/>
      <c r="CE150" s="868"/>
      <c r="CF150" s="868"/>
      <c r="CG150" s="868"/>
      <c r="CH150" s="868"/>
      <c r="CI150" s="868"/>
      <c r="CJ150" s="868"/>
      <c r="CK150" s="868"/>
      <c r="CL150" s="868"/>
      <c r="CM150" s="868"/>
      <c r="CN150" s="868"/>
      <c r="CO150" s="868"/>
      <c r="CP150" s="868"/>
      <c r="CQ150" s="868"/>
      <c r="CR150" s="868"/>
      <c r="CS150" s="868"/>
      <c r="CT150" s="868"/>
      <c r="CU150" s="868"/>
      <c r="CV150" s="868"/>
      <c r="CW150" s="868"/>
      <c r="CX150" s="868"/>
      <c r="CY150" s="868"/>
      <c r="CZ150" s="868"/>
      <c r="DA150" s="868"/>
      <c r="DB150" s="868"/>
      <c r="DC150" s="868"/>
      <c r="DD150" s="868"/>
      <c r="DE150" s="868"/>
      <c r="DF150" s="868"/>
      <c r="DG150" s="868"/>
      <c r="DH150" s="868"/>
      <c r="DI150" s="868"/>
      <c r="DJ150" s="868"/>
      <c r="DK150" s="868"/>
      <c r="DL150" s="868"/>
      <c r="DM150" s="868"/>
      <c r="DN150" s="868"/>
      <c r="DO150" s="868"/>
      <c r="DP150" s="868"/>
      <c r="DQ150" s="868"/>
      <c r="DR150" s="868"/>
      <c r="DS150" s="868"/>
      <c r="DT150" s="868"/>
      <c r="DU150" s="868"/>
      <c r="DV150" s="868"/>
      <c r="DW150" s="868"/>
      <c r="DX150" s="868"/>
      <c r="DY150" s="868"/>
      <c r="DZ150" s="868"/>
      <c r="EA150" s="868"/>
      <c r="EB150" s="868"/>
      <c r="EC150" s="868"/>
      <c r="ED150" s="868"/>
      <c r="EE150" s="868"/>
      <c r="EF150" s="868"/>
      <c r="EG150" s="868"/>
      <c r="EH150" s="868"/>
      <c r="EI150" s="868"/>
      <c r="EJ150" s="868"/>
      <c r="EK150" s="868"/>
      <c r="EL150" s="868"/>
      <c r="EM150" s="868"/>
      <c r="EN150" s="868"/>
      <c r="EO150" s="868"/>
      <c r="EP150" s="868"/>
      <c r="EQ150" s="868"/>
      <c r="ER150" s="868"/>
      <c r="ES150" s="868"/>
      <c r="ET150" s="868"/>
      <c r="EU150" s="868"/>
      <c r="EV150" s="868"/>
      <c r="EW150" s="868"/>
      <c r="EX150" s="868"/>
      <c r="EY150" s="868"/>
      <c r="EZ150" s="868"/>
      <c r="FA150" s="868"/>
      <c r="FB150" s="868"/>
      <c r="FC150" s="868"/>
      <c r="FD150" s="868"/>
      <c r="FE150" s="868"/>
      <c r="FF150" s="868"/>
      <c r="FG150" s="868"/>
      <c r="FH150" s="868"/>
      <c r="FI150" s="868"/>
      <c r="FJ150" s="868"/>
      <c r="FK150" s="868"/>
      <c r="FL150" s="868"/>
      <c r="FM150" s="799"/>
      <c r="FN150" s="799"/>
      <c r="FO150" s="799"/>
      <c r="FP150" s="799"/>
      <c r="FQ150" s="778"/>
    </row>
    <row r="151" spans="1:178" s="820" customFormat="1" ht="15.75" customHeight="1" outlineLevel="1">
      <c r="A151" s="1001"/>
      <c r="B151" s="1001"/>
      <c r="F151" s="235"/>
      <c r="G151" s="723"/>
      <c r="J151" s="868">
        <f>SUM(J8:J149)-J12-J15-J18-J19-J26-J32-J38-J48-J51-J54-J57-J58-J70-J73-J76-J79-J84-J91-J97-J101-J114-J126-J135-J140-J149-J146-J108</f>
        <v>306159.94000000018</v>
      </c>
      <c r="K151" s="868">
        <f>SUM(K8:K149)-K12-K15-K18-K19-K26-K32-K38-K48-K51-K54-K57-K58-K70-K73-K76-K79-K84-K91-K97-K101-K114-K126-K135-K140-K149-K146-K108</f>
        <v>76289.89</v>
      </c>
      <c r="L151" s="868">
        <f>SUM(L8:L149)-L12-L15-L18-L19-L26-L32-L38-L48-L51-L54-L57-L58-L70-L73-L76-L79-L84-L91-L97-L101-L114-L126-L135-L140-L149-L146-L108</f>
        <v>382449.83000000031</v>
      </c>
      <c r="M151" s="868"/>
      <c r="N151" s="868"/>
      <c r="O151" s="868"/>
      <c r="P151" s="868"/>
      <c r="Q151" s="868"/>
      <c r="R151" s="868"/>
      <c r="S151" s="868"/>
      <c r="T151" s="868">
        <f>SUM(T9:T149)--T12-T15-T19-T18-T26-T32-T38-T48-T51-T54-T57-T58-T70-T73-T76-T79-T84-T91-T97-T101-T114-T126-T135-T140-T149</f>
        <v>0</v>
      </c>
      <c r="U151" s="868">
        <f t="shared" ref="U151:AZ151" si="3875">SUM(U8:U149)-U12-U15-U18-U19-U26-U32-U38-U48-U51-U54-U57-U58-U70-U73-U76-U79-U84-U91-U97-U101-U114-U126-U135-U140-U149-U146-U108</f>
        <v>101</v>
      </c>
      <c r="V151" s="868">
        <f t="shared" si="3875"/>
        <v>2698.044374999999</v>
      </c>
      <c r="W151" s="868">
        <f t="shared" si="3875"/>
        <v>0</v>
      </c>
      <c r="X151" s="868">
        <f t="shared" si="3875"/>
        <v>0</v>
      </c>
      <c r="Y151" s="868">
        <f t="shared" si="3875"/>
        <v>282.5</v>
      </c>
      <c r="Z151" s="868">
        <f t="shared" si="3875"/>
        <v>7660.4771250000013</v>
      </c>
      <c r="AA151" s="868">
        <f t="shared" si="3875"/>
        <v>0</v>
      </c>
      <c r="AB151" s="868">
        <f t="shared" si="3875"/>
        <v>0</v>
      </c>
      <c r="AC151" s="868">
        <f t="shared" si="3875"/>
        <v>0</v>
      </c>
      <c r="AD151" s="868">
        <f t="shared" si="3875"/>
        <v>0</v>
      </c>
      <c r="AE151" s="868">
        <f t="shared" si="3875"/>
        <v>0</v>
      </c>
      <c r="AF151" s="868">
        <f t="shared" si="3875"/>
        <v>0</v>
      </c>
      <c r="AG151" s="868">
        <f t="shared" si="3875"/>
        <v>0</v>
      </c>
      <c r="AH151" s="868">
        <f t="shared" si="3875"/>
        <v>0</v>
      </c>
      <c r="AI151" s="868">
        <f t="shared" si="3875"/>
        <v>0</v>
      </c>
      <c r="AJ151" s="868">
        <f t="shared" si="3875"/>
        <v>0</v>
      </c>
      <c r="AK151" s="868">
        <f t="shared" si="3875"/>
        <v>0</v>
      </c>
      <c r="AL151" s="868">
        <f t="shared" si="3875"/>
        <v>0</v>
      </c>
      <c r="AM151" s="868">
        <f t="shared" si="3875"/>
        <v>0</v>
      </c>
      <c r="AN151" s="868">
        <f t="shared" si="3875"/>
        <v>0</v>
      </c>
      <c r="AO151" s="868">
        <f t="shared" si="3875"/>
        <v>350</v>
      </c>
      <c r="AP151" s="868">
        <f t="shared" si="3875"/>
        <v>175</v>
      </c>
      <c r="AQ151" s="868">
        <f t="shared" si="3875"/>
        <v>175</v>
      </c>
      <c r="AR151" s="868">
        <f t="shared" si="3875"/>
        <v>0</v>
      </c>
      <c r="AS151" s="868">
        <f t="shared" si="3875"/>
        <v>0</v>
      </c>
      <c r="AT151" s="868">
        <f t="shared" si="3875"/>
        <v>0</v>
      </c>
      <c r="AU151" s="868">
        <f t="shared" si="3875"/>
        <v>0</v>
      </c>
      <c r="AV151" s="868">
        <f t="shared" si="3875"/>
        <v>0</v>
      </c>
      <c r="AW151" s="868">
        <f t="shared" si="3875"/>
        <v>0</v>
      </c>
      <c r="AX151" s="868">
        <f t="shared" si="3875"/>
        <v>0</v>
      </c>
      <c r="AY151" s="868">
        <f t="shared" si="3875"/>
        <v>0</v>
      </c>
      <c r="AZ151" s="868">
        <f t="shared" si="3875"/>
        <v>0</v>
      </c>
      <c r="BA151" s="868">
        <f>SUM(BA8:BA149)-BA149-BA146-BA140-BA135-BA126-BA114-BA101-BA58-BA38-BA32-BA26-BA19-BA97-BA91-BA84-BA57-BA54-BA51-BA48-BA15-BA12-BA18</f>
        <v>134645.57103333343</v>
      </c>
      <c r="BB151" s="868">
        <f t="shared" ref="BB151:CG151" si="3876">SUM(BB8:BB149)-BB12-BB15-BB18-BB19-BB26-BB32-BB38-BB48-BB51-BB54-BB57-BB58-BB70-BB73-BB76-BB79-BB84-BB91-BB97-BB101-BB114-BB126-BB135-BB140-BB149-BB146-BB108</f>
        <v>42580.206166666641</v>
      </c>
      <c r="BC151" s="868">
        <f t="shared" si="3876"/>
        <v>101</v>
      </c>
      <c r="BD151" s="868">
        <f t="shared" si="3876"/>
        <v>2698.044374999999</v>
      </c>
      <c r="BE151" s="868">
        <f t="shared" si="3876"/>
        <v>0</v>
      </c>
      <c r="BF151" s="868">
        <f t="shared" si="3876"/>
        <v>0</v>
      </c>
      <c r="BG151" s="868">
        <f t="shared" si="3876"/>
        <v>350</v>
      </c>
      <c r="BH151" s="868">
        <f t="shared" si="3876"/>
        <v>17445.781072235852</v>
      </c>
      <c r="BI151" s="868">
        <f t="shared" si="3876"/>
        <v>197719.60264723602</v>
      </c>
      <c r="BJ151" s="868">
        <f t="shared" si="3876"/>
        <v>105006.41666666657</v>
      </c>
      <c r="BK151" s="868">
        <f t="shared" si="3876"/>
        <v>38155.8465</v>
      </c>
      <c r="BL151" s="868">
        <f t="shared" si="3876"/>
        <v>282.5</v>
      </c>
      <c r="BM151" s="868">
        <f t="shared" si="3876"/>
        <v>7660.4771250000013</v>
      </c>
      <c r="BN151" s="868">
        <f t="shared" si="3876"/>
        <v>0</v>
      </c>
      <c r="BO151" s="868">
        <f t="shared" si="3876"/>
        <v>0</v>
      </c>
      <c r="BP151" s="868">
        <f t="shared" si="3876"/>
        <v>175</v>
      </c>
      <c r="BQ151" s="868">
        <f t="shared" si="3876"/>
        <v>14297.067943404174</v>
      </c>
      <c r="BR151" s="868">
        <f t="shared" si="3876"/>
        <v>165294.80823507084</v>
      </c>
      <c r="BS151" s="868">
        <f t="shared" si="3876"/>
        <v>31219.735766666658</v>
      </c>
      <c r="BT151" s="868">
        <f t="shared" si="3876"/>
        <v>7083.1115333333328</v>
      </c>
      <c r="BU151" s="868">
        <f t="shared" si="3876"/>
        <v>0</v>
      </c>
      <c r="BV151" s="868">
        <f t="shared" si="3876"/>
        <v>0</v>
      </c>
      <c r="BW151" s="868">
        <f t="shared" si="3876"/>
        <v>0</v>
      </c>
      <c r="BX151" s="868">
        <f t="shared" si="3876"/>
        <v>0</v>
      </c>
      <c r="BY151" s="868">
        <f t="shared" si="3876"/>
        <v>175</v>
      </c>
      <c r="BZ151" s="868">
        <f t="shared" si="3876"/>
        <v>3954.2116334766665</v>
      </c>
      <c r="CA151" s="868">
        <f t="shared" si="3876"/>
        <v>42432.058933476699</v>
      </c>
      <c r="CB151" s="868">
        <f t="shared" si="3876"/>
        <v>15586.262199999996</v>
      </c>
      <c r="CC151" s="868">
        <f t="shared" si="3876"/>
        <v>5361.8678000000018</v>
      </c>
      <c r="CD151" s="868">
        <f t="shared" si="3876"/>
        <v>0</v>
      </c>
      <c r="CE151" s="868">
        <f t="shared" si="3876"/>
        <v>0</v>
      </c>
      <c r="CF151" s="868">
        <f t="shared" si="3876"/>
        <v>0</v>
      </c>
      <c r="CG151" s="868">
        <f t="shared" si="3876"/>
        <v>0</v>
      </c>
      <c r="CH151" s="868">
        <f t="shared" ref="CH151:DM151" si="3877">SUM(CH8:CH149)-CH12-CH15-CH18-CH19-CH26-CH32-CH38-CH48-CH51-CH54-CH57-CH58-CH70-CH73-CH76-CH79-CH84-CH91-CH97-CH101-CH114-CH126-CH135-CH140-CH149-CH146-CH108</f>
        <v>0</v>
      </c>
      <c r="CI151" s="868">
        <f t="shared" si="3877"/>
        <v>1974.7794207400002</v>
      </c>
      <c r="CJ151" s="868">
        <f t="shared" si="3877"/>
        <v>22922.909420739998</v>
      </c>
      <c r="CK151" s="868">
        <f t="shared" si="3877"/>
        <v>0</v>
      </c>
      <c r="CL151" s="868">
        <f t="shared" si="3877"/>
        <v>0</v>
      </c>
      <c r="CM151" s="868">
        <f t="shared" si="3877"/>
        <v>0</v>
      </c>
      <c r="CN151" s="868">
        <f t="shared" si="3877"/>
        <v>0</v>
      </c>
      <c r="CO151" s="868">
        <f t="shared" si="3877"/>
        <v>0</v>
      </c>
      <c r="CP151" s="868">
        <f t="shared" si="3877"/>
        <v>0</v>
      </c>
      <c r="CQ151" s="868">
        <f t="shared" si="3877"/>
        <v>0</v>
      </c>
      <c r="CR151" s="868">
        <f t="shared" si="3877"/>
        <v>0</v>
      </c>
      <c r="CS151" s="868">
        <f t="shared" si="3877"/>
        <v>0</v>
      </c>
      <c r="CT151" s="868" t="e">
        <f t="shared" si="3877"/>
        <v>#VALUE!</v>
      </c>
      <c r="CU151" s="868" t="e">
        <f t="shared" si="3877"/>
        <v>#VALUE!</v>
      </c>
      <c r="CV151" s="868">
        <f t="shared" si="3877"/>
        <v>0</v>
      </c>
      <c r="CW151" s="868">
        <f t="shared" si="3877"/>
        <v>0</v>
      </c>
      <c r="CX151" s="868">
        <f t="shared" si="3877"/>
        <v>0</v>
      </c>
      <c r="CY151" s="868">
        <f t="shared" si="3877"/>
        <v>0</v>
      </c>
      <c r="CZ151" s="868">
        <f t="shared" si="3877"/>
        <v>0</v>
      </c>
      <c r="DA151" s="868">
        <f t="shared" si="3877"/>
        <v>0</v>
      </c>
      <c r="DB151" s="868">
        <f t="shared" si="3877"/>
        <v>0</v>
      </c>
      <c r="DC151" s="868">
        <f t="shared" si="3877"/>
        <v>0</v>
      </c>
      <c r="DD151" s="868">
        <f t="shared" si="3877"/>
        <v>0</v>
      </c>
      <c r="DE151" s="868">
        <f t="shared" si="3877"/>
        <v>0</v>
      </c>
      <c r="DF151" s="868">
        <f t="shared" si="3877"/>
        <v>0</v>
      </c>
      <c r="DG151" s="868">
        <f t="shared" si="3877"/>
        <v>0</v>
      </c>
      <c r="DH151" s="868">
        <f t="shared" si="3877"/>
        <v>0</v>
      </c>
      <c r="DI151" s="868">
        <f t="shared" si="3877"/>
        <v>0</v>
      </c>
      <c r="DJ151" s="868">
        <f t="shared" si="3877"/>
        <v>0</v>
      </c>
      <c r="DK151" s="868">
        <f t="shared" si="3877"/>
        <v>0</v>
      </c>
      <c r="DL151" s="868">
        <f t="shared" si="3877"/>
        <v>0</v>
      </c>
      <c r="DM151" s="868">
        <f t="shared" si="3877"/>
        <v>0</v>
      </c>
      <c r="DN151" s="868">
        <f t="shared" ref="DN151:EN151" si="3878">SUM(DN8:DN149)-DN12-DN15-DN18-DN19-DN26-DN32-DN38-DN48-DN51-DN54-DN57-DN58-DN70-DN73-DN76-DN79-DN84-DN91-DN97-DN101-DN114-DN126-DN135-DN140-DN149-DN146-DN108</f>
        <v>0</v>
      </c>
      <c r="DO151" s="868">
        <f t="shared" si="3878"/>
        <v>0</v>
      </c>
      <c r="DP151" s="868">
        <f t="shared" si="3878"/>
        <v>0</v>
      </c>
      <c r="DQ151" s="868">
        <f t="shared" si="3878"/>
        <v>0</v>
      </c>
      <c r="DR151" s="868">
        <f t="shared" si="3878"/>
        <v>0</v>
      </c>
      <c r="DS151" s="868">
        <f t="shared" si="3878"/>
        <v>0</v>
      </c>
      <c r="DT151" s="868">
        <f t="shared" si="3878"/>
        <v>0</v>
      </c>
      <c r="DU151" s="868">
        <f t="shared" si="3878"/>
        <v>0</v>
      </c>
      <c r="DV151" s="868">
        <f t="shared" si="3878"/>
        <v>0</v>
      </c>
      <c r="DW151" s="868">
        <f t="shared" si="3878"/>
        <v>0</v>
      </c>
      <c r="DX151" s="868">
        <f t="shared" si="3878"/>
        <v>0</v>
      </c>
      <c r="DY151" s="868">
        <f t="shared" si="3878"/>
        <v>0</v>
      </c>
      <c r="DZ151" s="868">
        <f t="shared" si="3878"/>
        <v>0</v>
      </c>
      <c r="EA151" s="868">
        <f t="shared" si="3878"/>
        <v>0</v>
      </c>
      <c r="EB151" s="868">
        <f t="shared" si="3878"/>
        <v>0</v>
      </c>
      <c r="EC151" s="868">
        <f t="shared" si="3878"/>
        <v>0</v>
      </c>
      <c r="ED151" s="868">
        <f t="shared" si="3878"/>
        <v>0</v>
      </c>
      <c r="EE151" s="868">
        <f t="shared" si="3878"/>
        <v>0</v>
      </c>
      <c r="EF151" s="868">
        <f t="shared" si="3878"/>
        <v>286457.98566666676</v>
      </c>
      <c r="EG151" s="868">
        <f t="shared" si="3878"/>
        <v>93181.03200000005</v>
      </c>
      <c r="EH151" s="868">
        <f t="shared" si="3878"/>
        <v>383.5</v>
      </c>
      <c r="EI151" s="868">
        <f t="shared" si="3878"/>
        <v>10358.521499999997</v>
      </c>
      <c r="EJ151" s="868">
        <f t="shared" si="3878"/>
        <v>0</v>
      </c>
      <c r="EK151" s="868">
        <f t="shared" si="3878"/>
        <v>0</v>
      </c>
      <c r="EL151" s="868">
        <f t="shared" si="3878"/>
        <v>700</v>
      </c>
      <c r="EM151" s="868">
        <f t="shared" si="3878"/>
        <v>37671.840069856698</v>
      </c>
      <c r="EN151" s="868">
        <f t="shared" si="3878"/>
        <v>428369.37923652376</v>
      </c>
      <c r="EO151" s="868"/>
      <c r="EP151" s="868">
        <f t="shared" ref="EP151:EY151" si="3879">SUM(EP8:EP149)-EP12-EP15-EP18-EP19-EP26-EP32-EP38-EP48-EP51-EP54-EP57-EP58-EP70-EP73-EP76-EP79-EP84-EP91-EP97-EP101-EP114-EP126-EP135-EP140-EP149-EP146-EP108</f>
        <v>9580.1499999999978</v>
      </c>
      <c r="EQ151" s="868">
        <f t="shared" si="3879"/>
        <v>12153.590000000004</v>
      </c>
      <c r="ER151" s="868">
        <f t="shared" si="3879"/>
        <v>850</v>
      </c>
      <c r="ES151" s="868">
        <f t="shared" si="3879"/>
        <v>7892.5</v>
      </c>
      <c r="ET151" s="868">
        <f t="shared" si="3879"/>
        <v>352.19999999999987</v>
      </c>
      <c r="EU151" s="868">
        <f t="shared" si="3879"/>
        <v>0</v>
      </c>
      <c r="EV151" s="868">
        <f t="shared" si="3879"/>
        <v>3868</v>
      </c>
      <c r="EW151" s="868">
        <f t="shared" si="3879"/>
        <v>0</v>
      </c>
      <c r="EX151" s="868">
        <f t="shared" si="3879"/>
        <v>626.85999999999979</v>
      </c>
      <c r="EY151" s="868">
        <f t="shared" si="3879"/>
        <v>4220.2000000000016</v>
      </c>
      <c r="EZ151" s="868"/>
      <c r="FA151" s="868">
        <f t="shared" ref="FA151:FJ151" si="3880">SUM(FA8:FA149)-FA12-FA15-FA18-FA19-FA26-FA32-FA38-FA48-FA51-FA54-FA57-FA58-FA70-FA73-FA76-FA79-FA84-FA91-FA97-FA101-FA114-FA126-FA135-FA140-FA149-FA146-FA108</f>
        <v>9210.2749999999978</v>
      </c>
      <c r="FB151" s="868">
        <f t="shared" si="3880"/>
        <v>12153.590000000004</v>
      </c>
      <c r="FC151" s="868">
        <f t="shared" si="3880"/>
        <v>850</v>
      </c>
      <c r="FD151" s="868">
        <f t="shared" si="3880"/>
        <v>7892.5</v>
      </c>
      <c r="FE151" s="868">
        <f t="shared" si="3880"/>
        <v>352.19999999999987</v>
      </c>
      <c r="FF151" s="868">
        <f t="shared" si="3880"/>
        <v>0</v>
      </c>
      <c r="FG151" s="868">
        <f t="shared" si="3880"/>
        <v>3868</v>
      </c>
      <c r="FH151" s="868">
        <f t="shared" si="3880"/>
        <v>0</v>
      </c>
      <c r="FI151" s="868">
        <f t="shared" si="3880"/>
        <v>626.85999999999979</v>
      </c>
      <c r="FJ151" s="868">
        <f t="shared" si="3880"/>
        <v>4220.2000000000016</v>
      </c>
      <c r="FK151" s="868"/>
      <c r="FL151" s="868"/>
      <c r="FM151" s="799"/>
      <c r="FN151" s="799"/>
      <c r="FO151" s="799"/>
      <c r="FP151" s="799"/>
      <c r="FQ151" s="778"/>
    </row>
    <row r="152" spans="1:178" s="820" customFormat="1" ht="15.75" customHeight="1" outlineLevel="1">
      <c r="A152" s="1001"/>
      <c r="B152" s="1001"/>
      <c r="F152" s="235"/>
      <c r="G152" s="723"/>
      <c r="J152" s="868">
        <f>J151-J149</f>
        <v>25700.000000000175</v>
      </c>
      <c r="K152" s="868">
        <f t="shared" ref="K152:L152" si="3881">K151-K149</f>
        <v>4300</v>
      </c>
      <c r="L152" s="868">
        <f t="shared" si="3881"/>
        <v>30000.000000000291</v>
      </c>
      <c r="M152" s="868"/>
      <c r="N152" s="868"/>
      <c r="O152" s="868"/>
      <c r="P152" s="868"/>
      <c r="Q152" s="868"/>
      <c r="R152" s="868"/>
      <c r="S152" s="868"/>
      <c r="T152" s="868"/>
      <c r="U152" s="868">
        <f t="shared" ref="U152" si="3882">U151-U149</f>
        <v>0</v>
      </c>
      <c r="V152" s="868">
        <f t="shared" ref="V152" si="3883">V151-V149</f>
        <v>0</v>
      </c>
      <c r="W152" s="868">
        <f t="shared" ref="W152" si="3884">W151-W149</f>
        <v>0</v>
      </c>
      <c r="X152" s="868">
        <f t="shared" ref="X152" si="3885">X151-X149</f>
        <v>0</v>
      </c>
      <c r="Y152" s="868">
        <f t="shared" ref="Y152" si="3886">Y151-Y149</f>
        <v>0</v>
      </c>
      <c r="Z152" s="868">
        <f t="shared" ref="Z152" si="3887">Z151-Z149</f>
        <v>0</v>
      </c>
      <c r="AA152" s="868">
        <f t="shared" ref="AA152" si="3888">AA151-AA149</f>
        <v>0</v>
      </c>
      <c r="AB152" s="868">
        <f t="shared" ref="AB152" si="3889">AB151-AB149</f>
        <v>0</v>
      </c>
      <c r="AC152" s="868">
        <f t="shared" ref="AC152" si="3890">AC151-AC149</f>
        <v>0</v>
      </c>
      <c r="AD152" s="868">
        <f t="shared" ref="AD152" si="3891">AD151-AD149</f>
        <v>0</v>
      </c>
      <c r="AE152" s="868">
        <f t="shared" ref="AE152" si="3892">AE151-AE149</f>
        <v>0</v>
      </c>
      <c r="AF152" s="868">
        <f t="shared" ref="AF152" si="3893">AF151-AF149</f>
        <v>0</v>
      </c>
      <c r="AG152" s="868">
        <f t="shared" ref="AG152" si="3894">AG151-AG149</f>
        <v>0</v>
      </c>
      <c r="AH152" s="868">
        <f t="shared" ref="AH152" si="3895">AH151-AH149</f>
        <v>0</v>
      </c>
      <c r="AI152" s="868">
        <f t="shared" ref="AI152" si="3896">AI151-AI149</f>
        <v>0</v>
      </c>
      <c r="AJ152" s="868">
        <f t="shared" ref="AJ152" si="3897">AJ151-AJ149</f>
        <v>0</v>
      </c>
      <c r="AK152" s="868">
        <f t="shared" ref="AK152" si="3898">AK151-AK149</f>
        <v>0</v>
      </c>
      <c r="AL152" s="868">
        <f t="shared" ref="AL152" si="3899">AL151-AL149</f>
        <v>0</v>
      </c>
      <c r="AM152" s="868">
        <f t="shared" ref="AM152" si="3900">AM151-AM149</f>
        <v>0</v>
      </c>
      <c r="AN152" s="868">
        <f t="shared" ref="AN152" si="3901">AN151-AN149</f>
        <v>0</v>
      </c>
      <c r="AO152" s="868">
        <f t="shared" ref="AO152" si="3902">AO151-AO149</f>
        <v>0</v>
      </c>
      <c r="AP152" s="868">
        <f t="shared" ref="AP152" si="3903">AP151-AP149</f>
        <v>0</v>
      </c>
      <c r="AQ152" s="868">
        <f t="shared" ref="AQ152" si="3904">AQ151-AQ149</f>
        <v>0</v>
      </c>
      <c r="AR152" s="868">
        <f t="shared" ref="AR152" si="3905">AR151-AR149</f>
        <v>0</v>
      </c>
      <c r="AS152" s="868">
        <f t="shared" ref="AS152" si="3906">AS151-AS149</f>
        <v>0</v>
      </c>
      <c r="AT152" s="868">
        <f t="shared" ref="AT152" si="3907">AT151-AT149</f>
        <v>0</v>
      </c>
      <c r="AU152" s="868">
        <f t="shared" ref="AU152" si="3908">AU151-AU149</f>
        <v>0</v>
      </c>
      <c r="AV152" s="868">
        <f t="shared" ref="AV152" si="3909">AV151-AV149</f>
        <v>0</v>
      </c>
      <c r="AW152" s="868">
        <f t="shared" ref="AW152" si="3910">AW151-AW149</f>
        <v>0</v>
      </c>
      <c r="AX152" s="868">
        <f t="shared" ref="AX152" si="3911">AX151-AX149</f>
        <v>0</v>
      </c>
      <c r="AY152" s="868">
        <f t="shared" ref="AY152" si="3912">AY151-AY149</f>
        <v>0</v>
      </c>
      <c r="AZ152" s="868">
        <f t="shared" ref="AZ152" si="3913">AZ151-AZ149</f>
        <v>0</v>
      </c>
      <c r="BA152" s="868">
        <f t="shared" ref="BA152:CS152" si="3914">BA151-BA149</f>
        <v>0</v>
      </c>
      <c r="BB152" s="868">
        <f t="shared" si="3914"/>
        <v>0</v>
      </c>
      <c r="BC152" s="868">
        <f t="shared" si="3914"/>
        <v>0</v>
      </c>
      <c r="BD152" s="868">
        <f t="shared" si="3914"/>
        <v>0</v>
      </c>
      <c r="BE152" s="868">
        <f t="shared" si="3914"/>
        <v>0</v>
      </c>
      <c r="BF152" s="868">
        <f t="shared" si="3914"/>
        <v>0</v>
      </c>
      <c r="BG152" s="868">
        <f t="shared" si="3914"/>
        <v>0</v>
      </c>
      <c r="BH152" s="868">
        <f t="shared" si="3914"/>
        <v>0</v>
      </c>
      <c r="BI152" s="868">
        <f t="shared" si="3914"/>
        <v>0</v>
      </c>
      <c r="BJ152" s="868">
        <f t="shared" si="3914"/>
        <v>0</v>
      </c>
      <c r="BK152" s="868">
        <f t="shared" si="3914"/>
        <v>0</v>
      </c>
      <c r="BL152" s="868">
        <f t="shared" si="3914"/>
        <v>0</v>
      </c>
      <c r="BM152" s="868">
        <f t="shared" si="3914"/>
        <v>0</v>
      </c>
      <c r="BN152" s="868">
        <f t="shared" si="3914"/>
        <v>0</v>
      </c>
      <c r="BO152" s="868">
        <f t="shared" si="3914"/>
        <v>0</v>
      </c>
      <c r="BP152" s="868">
        <f t="shared" si="3914"/>
        <v>0</v>
      </c>
      <c r="BQ152" s="868">
        <f t="shared" si="3914"/>
        <v>0</v>
      </c>
      <c r="BR152" s="868">
        <f t="shared" si="3914"/>
        <v>0</v>
      </c>
      <c r="BS152" s="868">
        <f t="shared" si="3914"/>
        <v>0</v>
      </c>
      <c r="BT152" s="868">
        <f t="shared" si="3914"/>
        <v>0</v>
      </c>
      <c r="BU152" s="868">
        <f t="shared" si="3914"/>
        <v>0</v>
      </c>
      <c r="BV152" s="868">
        <f t="shared" si="3914"/>
        <v>0</v>
      </c>
      <c r="BW152" s="868">
        <f t="shared" si="3914"/>
        <v>0</v>
      </c>
      <c r="BX152" s="868">
        <f t="shared" si="3914"/>
        <v>0</v>
      </c>
      <c r="BY152" s="868">
        <f t="shared" si="3914"/>
        <v>0</v>
      </c>
      <c r="BZ152" s="868">
        <f t="shared" si="3914"/>
        <v>0</v>
      </c>
      <c r="CA152" s="868">
        <f t="shared" si="3914"/>
        <v>0</v>
      </c>
      <c r="CB152" s="868">
        <f t="shared" si="3914"/>
        <v>0</v>
      </c>
      <c r="CC152" s="868">
        <f t="shared" si="3914"/>
        <v>0</v>
      </c>
      <c r="CD152" s="868">
        <f t="shared" si="3914"/>
        <v>0</v>
      </c>
      <c r="CE152" s="868">
        <f t="shared" si="3914"/>
        <v>0</v>
      </c>
      <c r="CF152" s="868">
        <f t="shared" si="3914"/>
        <v>0</v>
      </c>
      <c r="CG152" s="868">
        <f t="shared" si="3914"/>
        <v>0</v>
      </c>
      <c r="CH152" s="868">
        <f t="shared" si="3914"/>
        <v>0</v>
      </c>
      <c r="CI152" s="868">
        <f t="shared" si="3914"/>
        <v>0</v>
      </c>
      <c r="CJ152" s="868">
        <f t="shared" si="3914"/>
        <v>0</v>
      </c>
      <c r="CK152" s="868">
        <f t="shared" si="3914"/>
        <v>0</v>
      </c>
      <c r="CL152" s="868">
        <f t="shared" si="3914"/>
        <v>0</v>
      </c>
      <c r="CM152" s="868">
        <f t="shared" si="3914"/>
        <v>0</v>
      </c>
      <c r="CN152" s="868">
        <f t="shared" si="3914"/>
        <v>0</v>
      </c>
      <c r="CO152" s="868">
        <f t="shared" si="3914"/>
        <v>0</v>
      </c>
      <c r="CP152" s="868">
        <f t="shared" si="3914"/>
        <v>0</v>
      </c>
      <c r="CQ152" s="868">
        <f t="shared" si="3914"/>
        <v>0</v>
      </c>
      <c r="CR152" s="868">
        <f t="shared" si="3914"/>
        <v>0</v>
      </c>
      <c r="CS152" s="868">
        <f t="shared" si="3914"/>
        <v>0</v>
      </c>
      <c r="CT152" s="868" t="e">
        <f t="shared" ref="CT152" si="3915">CT151-CT149</f>
        <v>#VALUE!</v>
      </c>
      <c r="CU152" s="868" t="e">
        <f t="shared" ref="CU152" si="3916">CU151-CU149</f>
        <v>#VALUE!</v>
      </c>
      <c r="CV152" s="868">
        <f t="shared" ref="CV152" si="3917">CV151-CV149</f>
        <v>0</v>
      </c>
      <c r="CW152" s="868">
        <f t="shared" ref="CW152" si="3918">CW151-CW149</f>
        <v>0</v>
      </c>
      <c r="CX152" s="868">
        <f t="shared" ref="CX152" si="3919">CX151-CX149</f>
        <v>0</v>
      </c>
      <c r="CY152" s="868">
        <f t="shared" ref="CY152" si="3920">CY151-CY149</f>
        <v>0</v>
      </c>
      <c r="CZ152" s="868">
        <f t="shared" ref="CZ152" si="3921">CZ151-CZ149</f>
        <v>0</v>
      </c>
      <c r="DA152" s="868">
        <f t="shared" ref="DA152" si="3922">DA151-DA149</f>
        <v>0</v>
      </c>
      <c r="DB152" s="868">
        <f t="shared" ref="DB152" si="3923">DB151-DB149</f>
        <v>0</v>
      </c>
      <c r="DC152" s="868">
        <f t="shared" ref="DC152" si="3924">DC151-DC149</f>
        <v>0</v>
      </c>
      <c r="DD152" s="868">
        <f t="shared" ref="DD152" si="3925">DD151-DD149</f>
        <v>0</v>
      </c>
      <c r="DE152" s="868">
        <f t="shared" ref="DE152" si="3926">DE151-DE149</f>
        <v>0</v>
      </c>
      <c r="DF152" s="868">
        <f t="shared" ref="DF152" si="3927">DF151-DF149</f>
        <v>0</v>
      </c>
      <c r="DG152" s="868">
        <f t="shared" ref="DG152" si="3928">DG151-DG149</f>
        <v>0</v>
      </c>
      <c r="DH152" s="868">
        <f t="shared" ref="DH152" si="3929">DH151-DH149</f>
        <v>0</v>
      </c>
      <c r="DI152" s="868">
        <f t="shared" ref="DI152" si="3930">DI151-DI149</f>
        <v>0</v>
      </c>
      <c r="DJ152" s="868">
        <f t="shared" ref="DJ152" si="3931">DJ151-DJ149</f>
        <v>0</v>
      </c>
      <c r="DK152" s="868">
        <f t="shared" ref="DK152" si="3932">DK151-DK149</f>
        <v>0</v>
      </c>
      <c r="DL152" s="868">
        <f t="shared" ref="DL152" si="3933">DL151-DL149</f>
        <v>0</v>
      </c>
      <c r="DM152" s="868">
        <f t="shared" ref="DM152" si="3934">DM151-DM149</f>
        <v>0</v>
      </c>
      <c r="DN152" s="868">
        <f t="shared" ref="DN152" si="3935">DN151-DN149</f>
        <v>0</v>
      </c>
      <c r="DO152" s="868">
        <f t="shared" ref="DO152" si="3936">DO151-DO149</f>
        <v>0</v>
      </c>
      <c r="DP152" s="868">
        <f t="shared" ref="DP152" si="3937">DP151-DP149</f>
        <v>0</v>
      </c>
      <c r="DQ152" s="868">
        <f t="shared" ref="DQ152" si="3938">DQ151-DQ149</f>
        <v>0</v>
      </c>
      <c r="DR152" s="868">
        <f t="shared" ref="DR152" si="3939">DR151-DR149</f>
        <v>0</v>
      </c>
      <c r="DS152" s="868">
        <f t="shared" ref="DS152" si="3940">DS151-DS149</f>
        <v>0</v>
      </c>
      <c r="DT152" s="868">
        <f t="shared" ref="DT152" si="3941">DT151-DT149</f>
        <v>0</v>
      </c>
      <c r="DU152" s="868">
        <f t="shared" ref="DU152" si="3942">DU151-DU149</f>
        <v>0</v>
      </c>
      <c r="DV152" s="868">
        <f t="shared" ref="DV152" si="3943">DV151-DV149</f>
        <v>0</v>
      </c>
      <c r="DW152" s="868">
        <f t="shared" ref="DW152" si="3944">DW151-DW149</f>
        <v>0</v>
      </c>
      <c r="DX152" s="868">
        <f t="shared" ref="DX152" si="3945">DX151-DX149</f>
        <v>0</v>
      </c>
      <c r="DY152" s="868">
        <f t="shared" ref="DY152" si="3946">DY151-DY149</f>
        <v>0</v>
      </c>
      <c r="DZ152" s="868">
        <f t="shared" ref="DZ152" si="3947">DZ151-DZ149</f>
        <v>0</v>
      </c>
      <c r="EA152" s="868">
        <f t="shared" ref="EA152" si="3948">EA151-EA149</f>
        <v>0</v>
      </c>
      <c r="EB152" s="868">
        <f t="shared" ref="EB152" si="3949">EB151-EB149</f>
        <v>0</v>
      </c>
      <c r="EC152" s="868">
        <f t="shared" ref="EC152" si="3950">EC151-EC149</f>
        <v>0</v>
      </c>
      <c r="ED152" s="868">
        <f t="shared" ref="ED152" si="3951">ED151-ED149</f>
        <v>0</v>
      </c>
      <c r="EE152" s="868">
        <f t="shared" ref="EE152" si="3952">EE151-EE149</f>
        <v>0</v>
      </c>
      <c r="EF152" s="868">
        <f t="shared" ref="EF152" si="3953">EF151-EF149</f>
        <v>0</v>
      </c>
      <c r="EG152" s="868">
        <f t="shared" ref="EG152" si="3954">EG151-EG149</f>
        <v>0</v>
      </c>
      <c r="EH152" s="868">
        <f t="shared" ref="EH152" si="3955">EH151-EH149</f>
        <v>0</v>
      </c>
      <c r="EI152" s="868">
        <f t="shared" ref="EI152" si="3956">EI151-EI149</f>
        <v>0</v>
      </c>
      <c r="EJ152" s="868">
        <f t="shared" ref="EJ152" si="3957">EJ151-EJ149</f>
        <v>0</v>
      </c>
      <c r="EK152" s="868">
        <f t="shared" ref="EK152" si="3958">EK151-EK149</f>
        <v>0</v>
      </c>
      <c r="EL152" s="868">
        <f t="shared" ref="EL152" si="3959">EL151-EL149</f>
        <v>0</v>
      </c>
      <c r="EM152" s="868">
        <f t="shared" ref="EM152" si="3960">EM151-EM149</f>
        <v>0</v>
      </c>
      <c r="EN152" s="868">
        <f t="shared" ref="EN152" si="3961">EN151-EN149</f>
        <v>4.6566128730773926E-10</v>
      </c>
      <c r="EO152" s="868"/>
      <c r="EP152" s="868">
        <f t="shared" ref="EP152" si="3962">EP151-EP149</f>
        <v>0</v>
      </c>
      <c r="EQ152" s="868">
        <f t="shared" ref="EQ152" si="3963">EQ151-EQ149</f>
        <v>0</v>
      </c>
      <c r="ER152" s="868">
        <f t="shared" ref="ER152" si="3964">ER151-ER149</f>
        <v>0</v>
      </c>
      <c r="ES152" s="868">
        <f t="shared" ref="ES152" si="3965">ES151-ES149</f>
        <v>0</v>
      </c>
      <c r="ET152" s="868">
        <f t="shared" ref="ET152" si="3966">ET151-ET149</f>
        <v>0</v>
      </c>
      <c r="EU152" s="868">
        <f t="shared" ref="EU152" si="3967">EU151-EU149</f>
        <v>0</v>
      </c>
      <c r="EV152" s="868">
        <f t="shared" ref="EV152" si="3968">EV151-EV149</f>
        <v>0</v>
      </c>
      <c r="EW152" s="868">
        <f t="shared" ref="EW152" si="3969">EW151-EW149</f>
        <v>0</v>
      </c>
      <c r="EX152" s="868">
        <f t="shared" ref="EX152" si="3970">EX151-EX149</f>
        <v>0</v>
      </c>
      <c r="EY152" s="868">
        <f t="shared" ref="EY152" si="3971">EY151-EY149</f>
        <v>0</v>
      </c>
      <c r="EZ152" s="868"/>
      <c r="FA152" s="868">
        <f t="shared" ref="FA152" si="3972">FA151-FA149</f>
        <v>0</v>
      </c>
      <c r="FB152" s="868">
        <f t="shared" ref="FB152" si="3973">FB151-FB149</f>
        <v>0</v>
      </c>
      <c r="FC152" s="868">
        <f t="shared" ref="FC152" si="3974">FC151-FC149</f>
        <v>0</v>
      </c>
      <c r="FD152" s="868">
        <f t="shared" ref="FD152" si="3975">FD151-FD149</f>
        <v>0</v>
      </c>
      <c r="FE152" s="868">
        <f t="shared" ref="FE152" si="3976">FE151-FE149</f>
        <v>0</v>
      </c>
      <c r="FF152" s="868">
        <f t="shared" ref="FF152" si="3977">FF151-FF149</f>
        <v>0</v>
      </c>
      <c r="FG152" s="868">
        <f t="shared" ref="FG152" si="3978">FG151-FG149</f>
        <v>0</v>
      </c>
      <c r="FH152" s="868">
        <f t="shared" ref="FH152" si="3979">FH151-FH149</f>
        <v>0</v>
      </c>
      <c r="FI152" s="868">
        <f t="shared" ref="FI152" si="3980">FI151-FI149</f>
        <v>0</v>
      </c>
      <c r="FJ152" s="868">
        <f t="shared" ref="FJ152" si="3981">FJ151-FJ149</f>
        <v>0</v>
      </c>
      <c r="FK152" s="868"/>
      <c r="FL152" s="868"/>
      <c r="FM152" s="799"/>
      <c r="FN152" s="799"/>
      <c r="FO152" s="799"/>
      <c r="FP152" s="799"/>
      <c r="FQ152" s="778"/>
    </row>
    <row r="153" spans="1:178" s="820" customFormat="1" ht="15.75" customHeight="1" outlineLevel="1">
      <c r="A153" s="1001"/>
      <c r="B153" s="1001"/>
      <c r="F153" s="235"/>
      <c r="G153" s="723"/>
      <c r="M153" s="868"/>
      <c r="N153" s="869"/>
      <c r="O153" s="869"/>
      <c r="P153" s="869"/>
      <c r="Q153" s="869"/>
      <c r="R153" s="869"/>
      <c r="S153" s="869"/>
      <c r="T153" s="813"/>
      <c r="U153" s="868"/>
      <c r="V153" s="868"/>
      <c r="W153" s="868"/>
      <c r="X153" s="868"/>
      <c r="Y153" s="868"/>
      <c r="Z153" s="868"/>
      <c r="AA153" s="868"/>
      <c r="AB153" s="868"/>
      <c r="AC153" s="868"/>
      <c r="AD153" s="868"/>
      <c r="AE153" s="868"/>
      <c r="AF153" s="868"/>
      <c r="AG153" s="868"/>
      <c r="AH153" s="868"/>
      <c r="AI153" s="868"/>
      <c r="AJ153" s="868"/>
      <c r="AK153" s="868"/>
      <c r="AL153" s="868"/>
      <c r="AM153" s="868"/>
      <c r="AN153" s="868"/>
      <c r="AO153" s="868"/>
      <c r="AP153" s="868"/>
      <c r="AQ153" s="868"/>
      <c r="AR153" s="868"/>
      <c r="AS153" s="868"/>
      <c r="AT153" s="868"/>
      <c r="AU153" s="868"/>
      <c r="AV153" s="868"/>
      <c r="AW153" s="868"/>
      <c r="AX153" s="868"/>
      <c r="AY153" s="868"/>
      <c r="AZ153" s="868"/>
      <c r="BA153" s="977"/>
      <c r="BB153" s="868"/>
      <c r="BC153" s="868"/>
      <c r="BD153" s="868"/>
      <c r="BE153" s="868" t="s">
        <v>713</v>
      </c>
      <c r="BF153" s="868"/>
      <c r="BG153" s="868"/>
      <c r="BH153" s="868"/>
      <c r="BI153" s="868"/>
      <c r="BJ153" s="868"/>
      <c r="BK153" s="868"/>
      <c r="BL153" s="868"/>
      <c r="BM153" s="868"/>
      <c r="BN153" s="868"/>
      <c r="BO153" s="868"/>
      <c r="BP153" s="868"/>
      <c r="BQ153" s="868"/>
      <c r="BR153" s="868"/>
      <c r="BS153" s="868"/>
      <c r="BT153" s="868"/>
      <c r="BU153" s="868"/>
      <c r="BV153" s="868"/>
      <c r="BW153" s="868" t="s">
        <v>713</v>
      </c>
      <c r="BX153" s="868"/>
      <c r="BY153" s="868"/>
      <c r="BZ153" s="868"/>
      <c r="CA153" s="868"/>
      <c r="CB153" s="868"/>
      <c r="CC153" s="868"/>
      <c r="CD153" s="868"/>
      <c r="CE153" s="868"/>
      <c r="CF153" s="868"/>
      <c r="CG153" s="868"/>
      <c r="CH153" s="868"/>
      <c r="CI153" s="868"/>
      <c r="CJ153" s="868"/>
      <c r="CK153" s="868"/>
      <c r="CL153" s="868"/>
      <c r="CM153" s="868"/>
      <c r="CN153" s="868"/>
      <c r="CO153" s="868"/>
      <c r="CP153" s="868"/>
      <c r="CQ153" s="868"/>
      <c r="CR153" s="868"/>
      <c r="CS153" s="868"/>
      <c r="CT153" s="868"/>
      <c r="CU153" s="868"/>
      <c r="CV153" s="868"/>
      <c r="CW153" s="868"/>
      <c r="CX153" s="868"/>
      <c r="CY153" s="868"/>
      <c r="CZ153" s="868"/>
      <c r="DA153" s="868"/>
      <c r="DB153" s="868"/>
      <c r="DC153" s="868"/>
      <c r="DD153" s="868"/>
      <c r="DE153" s="868"/>
      <c r="DF153" s="868"/>
      <c r="DG153" s="868"/>
      <c r="DH153" s="868"/>
      <c r="DI153" s="868"/>
      <c r="DJ153" s="868"/>
      <c r="DK153" s="868"/>
      <c r="DL153" s="868"/>
      <c r="DM153" s="868"/>
      <c r="DN153" s="868"/>
      <c r="DO153" s="868"/>
      <c r="DP153" s="868"/>
      <c r="DQ153" s="868"/>
      <c r="DR153" s="868"/>
      <c r="DS153" s="868"/>
      <c r="DT153" s="868"/>
      <c r="DU153" s="868"/>
      <c r="DV153" s="868"/>
      <c r="DW153" s="868"/>
      <c r="DX153" s="868"/>
      <c r="DY153" s="868"/>
      <c r="DZ153" s="868"/>
      <c r="EA153" s="868"/>
      <c r="EB153" s="868"/>
      <c r="EC153" s="868"/>
      <c r="ED153" s="868"/>
      <c r="EE153" s="868"/>
      <c r="EF153" s="868"/>
      <c r="EG153" s="868"/>
      <c r="EH153" s="868"/>
      <c r="EI153" s="868"/>
      <c r="EJ153" s="868"/>
      <c r="EK153" s="868"/>
      <c r="EL153" s="868"/>
      <c r="EM153" s="868"/>
      <c r="EN153" s="868"/>
      <c r="EO153" s="868"/>
      <c r="EP153" s="868"/>
      <c r="EQ153" s="868"/>
      <c r="ER153" s="868"/>
      <c r="ES153" s="868"/>
      <c r="ET153" s="868"/>
      <c r="EU153" s="868"/>
      <c r="EV153" s="868"/>
      <c r="EW153" s="868"/>
      <c r="EX153" s="868"/>
      <c r="EY153" s="868"/>
      <c r="EZ153" s="868"/>
      <c r="FA153" s="868"/>
      <c r="FB153" s="868"/>
      <c r="FC153" s="868"/>
      <c r="FD153" s="868"/>
      <c r="FE153" s="868"/>
      <c r="FF153" s="868"/>
      <c r="FG153" s="868"/>
      <c r="FH153" s="868"/>
      <c r="FI153" s="868"/>
      <c r="FJ153" s="868"/>
      <c r="FK153" s="799"/>
      <c r="FL153" s="799"/>
      <c r="FM153" s="799"/>
      <c r="FN153" s="799"/>
      <c r="FO153" s="799"/>
      <c r="FP153" s="799"/>
      <c r="FQ153" s="778"/>
    </row>
    <row r="154" spans="1:178" ht="15">
      <c r="BA154" s="1007" t="s">
        <v>37</v>
      </c>
      <c r="BB154" s="1007" t="s">
        <v>38</v>
      </c>
      <c r="BC154" s="1007" t="s">
        <v>44</v>
      </c>
      <c r="BD154" s="1007" t="s">
        <v>343</v>
      </c>
      <c r="BE154" s="1007" t="s">
        <v>45</v>
      </c>
      <c r="BF154" s="1007" t="s">
        <v>344</v>
      </c>
      <c r="BG154" s="1007" t="s">
        <v>46</v>
      </c>
      <c r="BH154" s="1007" t="s">
        <v>47</v>
      </c>
      <c r="BI154" s="1008"/>
      <c r="BJ154" s="1007" t="s">
        <v>37</v>
      </c>
      <c r="BK154" s="1007" t="s">
        <v>38</v>
      </c>
      <c r="BL154" s="1007" t="s">
        <v>44</v>
      </c>
      <c r="BM154" s="1007" t="s">
        <v>343</v>
      </c>
      <c r="BN154" s="1007" t="s">
        <v>45</v>
      </c>
      <c r="BO154" s="1007" t="s">
        <v>344</v>
      </c>
      <c r="BP154" s="1007" t="s">
        <v>46</v>
      </c>
      <c r="BQ154" s="1007" t="s">
        <v>47</v>
      </c>
      <c r="BR154" s="1008"/>
      <c r="BS154" s="1007" t="s">
        <v>37</v>
      </c>
      <c r="BT154" s="1007" t="s">
        <v>38</v>
      </c>
      <c r="BU154" s="1007" t="s">
        <v>44</v>
      </c>
      <c r="BV154" s="1007" t="s">
        <v>343</v>
      </c>
      <c r="BW154" s="1007" t="s">
        <v>45</v>
      </c>
      <c r="BX154" s="1007" t="s">
        <v>344</v>
      </c>
      <c r="BY154" s="1007" t="s">
        <v>46</v>
      </c>
      <c r="BZ154" s="1007" t="s">
        <v>47</v>
      </c>
      <c r="CA154" s="1008"/>
      <c r="CB154" s="1007" t="s">
        <v>37</v>
      </c>
      <c r="CC154" s="1007" t="s">
        <v>38</v>
      </c>
      <c r="CD154" s="1007" t="s">
        <v>44</v>
      </c>
      <c r="CE154" s="1007" t="s">
        <v>343</v>
      </c>
      <c r="CF154" s="1007" t="s">
        <v>45</v>
      </c>
      <c r="CG154" s="1007" t="s">
        <v>344</v>
      </c>
      <c r="CH154" s="1007" t="s">
        <v>46</v>
      </c>
      <c r="CI154" s="1007" t="s">
        <v>47</v>
      </c>
      <c r="CJ154" s="1008"/>
      <c r="CK154" s="1007" t="s">
        <v>37</v>
      </c>
      <c r="CL154" s="1007" t="s">
        <v>38</v>
      </c>
      <c r="CM154" s="1007" t="s">
        <v>44</v>
      </c>
      <c r="CN154" s="1007" t="s">
        <v>343</v>
      </c>
      <c r="CO154" s="1007" t="s">
        <v>45</v>
      </c>
      <c r="CP154" s="1007" t="s">
        <v>344</v>
      </c>
      <c r="CQ154" s="1007" t="s">
        <v>46</v>
      </c>
      <c r="CR154" s="1007" t="s">
        <v>47</v>
      </c>
      <c r="CS154" s="1008"/>
      <c r="EF154" s="720">
        <f>+BA151+BJ149+BS149+CB149+CK149-EF149</f>
        <v>0</v>
      </c>
      <c r="EG154" s="720">
        <f>+BB151+BK149+BT149+CC149+CL149-EG149</f>
        <v>0</v>
      </c>
      <c r="EH154" s="720">
        <f>+BC149+BL149+BU149+CM149</f>
        <v>383.5</v>
      </c>
      <c r="EI154" s="720">
        <f>+BD149+BM149+BV149+CE149+CN149</f>
        <v>10358.521500000001</v>
      </c>
      <c r="EJ154" s="720">
        <f t="shared" ref="EJ154:EL154" si="3982">EJ149-BE149-BN149-BW149-CF149-CO149</f>
        <v>0</v>
      </c>
      <c r="EK154" s="720">
        <f t="shared" si="3982"/>
        <v>0</v>
      </c>
      <c r="EL154" s="720">
        <f t="shared" si="3982"/>
        <v>0</v>
      </c>
      <c r="FA154" s="1183">
        <f>FA149-ECONACIONAL!S166</f>
        <v>-4.9999999991996447E-3</v>
      </c>
      <c r="FB154" s="1183">
        <f>FB149-ECONACIONAL!T166</f>
        <v>0</v>
      </c>
      <c r="FC154" s="1183">
        <f>FC149-ECONACIONAL!U166</f>
        <v>0</v>
      </c>
      <c r="FD154" s="1183">
        <f>FD149-ECONACIONAL!X166</f>
        <v>0</v>
      </c>
      <c r="FE154" s="1183"/>
      <c r="FH154" s="1182">
        <f>FH149-ECONACIONAL!W166</f>
        <v>0</v>
      </c>
      <c r="FI154" s="1182">
        <f>FI149-ECONACIONAL!V166</f>
        <v>0</v>
      </c>
      <c r="FJ154" s="1182">
        <f>FJ149-ECONACIONAL!Y166</f>
        <v>0</v>
      </c>
    </row>
    <row r="155" spans="1:178" ht="12.75">
      <c r="G155" s="719">
        <v>1</v>
      </c>
      <c r="H155" s="898" t="s">
        <v>51</v>
      </c>
      <c r="EF155" s="720">
        <f>ECONACIONAL!H166-EF149</f>
        <v>-5.6666667223908007E-3</v>
      </c>
      <c r="EG155" s="720">
        <f>ECONACIONAL!I166-EG149</f>
        <v>8.0000000161817297E-3</v>
      </c>
      <c r="EH155" s="720">
        <f>ECONACIONAL!K166-EH149</f>
        <v>0</v>
      </c>
      <c r="EI155" s="720">
        <f>ECONACIONAL!L166-EI149</f>
        <v>1.8499999998311978E-2</v>
      </c>
      <c r="EJ155" s="720">
        <f>ECONACIONAL!M166-EJ149</f>
        <v>0</v>
      </c>
      <c r="EK155" s="720">
        <f>ECONACIONAL!N166-EK149</f>
        <v>0</v>
      </c>
      <c r="EL155" s="720">
        <f>ECONACIONAL!O166+ECONACIONAL!P166-EL149</f>
        <v>0</v>
      </c>
      <c r="FA155" s="712">
        <f>+EP151/2</f>
        <v>4790.0749999999989</v>
      </c>
    </row>
    <row r="156" spans="1:178" ht="12.75">
      <c r="G156" s="719" t="s">
        <v>728</v>
      </c>
      <c r="H156" s="714" t="s">
        <v>53</v>
      </c>
    </row>
    <row r="157" spans="1:178" ht="12.75">
      <c r="G157" s="719">
        <v>3</v>
      </c>
      <c r="H157" s="714" t="s">
        <v>58</v>
      </c>
      <c r="BA157" s="720">
        <f t="shared" ref="BA157:CS157" si="3983">+BA12+BA15+BA18</f>
        <v>7102.6220000000003</v>
      </c>
      <c r="BB157" s="720">
        <f t="shared" si="3983"/>
        <v>805.50000000000011</v>
      </c>
      <c r="BC157" s="720">
        <f t="shared" si="3983"/>
        <v>0</v>
      </c>
      <c r="BD157" s="720">
        <f t="shared" si="3983"/>
        <v>0</v>
      </c>
      <c r="BE157" s="720">
        <f t="shared" si="3983"/>
        <v>0</v>
      </c>
      <c r="BF157" s="720">
        <f t="shared" si="3983"/>
        <v>0</v>
      </c>
      <c r="BG157" s="720">
        <f t="shared" si="3983"/>
        <v>0</v>
      </c>
      <c r="BH157" s="720">
        <f t="shared" si="3983"/>
        <v>899.90220740000007</v>
      </c>
      <c r="BI157" s="720">
        <f t="shared" si="3983"/>
        <v>8808.0242073999998</v>
      </c>
      <c r="BJ157" s="720">
        <f t="shared" si="3983"/>
        <v>5962.2572000000009</v>
      </c>
      <c r="BK157" s="720">
        <f t="shared" si="3983"/>
        <v>658.30000000000007</v>
      </c>
      <c r="BL157" s="720">
        <f t="shared" si="3983"/>
        <v>0</v>
      </c>
      <c r="BM157" s="720">
        <f t="shared" si="3983"/>
        <v>0</v>
      </c>
      <c r="BN157" s="720">
        <f t="shared" si="3983"/>
        <v>0</v>
      </c>
      <c r="BO157" s="720">
        <f t="shared" si="3983"/>
        <v>0</v>
      </c>
      <c r="BP157" s="720">
        <f t="shared" si="3983"/>
        <v>0</v>
      </c>
      <c r="BQ157" s="720">
        <f t="shared" si="3983"/>
        <v>755.41798724000012</v>
      </c>
      <c r="BR157" s="720">
        <f t="shared" si="3983"/>
        <v>7375.9751872400002</v>
      </c>
      <c r="BS157" s="720">
        <f t="shared" si="3983"/>
        <v>1140.3648000000001</v>
      </c>
      <c r="BT157" s="720">
        <f t="shared" si="3983"/>
        <v>147.20000000000002</v>
      </c>
      <c r="BU157" s="720">
        <f t="shared" si="3983"/>
        <v>0</v>
      </c>
      <c r="BV157" s="720">
        <f t="shared" si="3983"/>
        <v>0</v>
      </c>
      <c r="BW157" s="720">
        <f t="shared" si="3983"/>
        <v>0</v>
      </c>
      <c r="BX157" s="720">
        <f t="shared" si="3983"/>
        <v>0</v>
      </c>
      <c r="BY157" s="720">
        <f t="shared" si="3983"/>
        <v>0</v>
      </c>
      <c r="BZ157" s="720">
        <f t="shared" si="3983"/>
        <v>120.982832</v>
      </c>
      <c r="CA157" s="720">
        <f t="shared" si="3983"/>
        <v>1408.547632</v>
      </c>
      <c r="CB157" s="720">
        <f t="shared" si="3983"/>
        <v>0</v>
      </c>
      <c r="CC157" s="720">
        <f t="shared" si="3983"/>
        <v>0</v>
      </c>
      <c r="CD157" s="720">
        <f t="shared" si="3983"/>
        <v>0</v>
      </c>
      <c r="CE157" s="720">
        <f t="shared" si="3983"/>
        <v>0</v>
      </c>
      <c r="CF157" s="720">
        <f t="shared" si="3983"/>
        <v>0</v>
      </c>
      <c r="CG157" s="720">
        <f t="shared" si="3983"/>
        <v>0</v>
      </c>
      <c r="CH157" s="720">
        <f t="shared" si="3983"/>
        <v>0</v>
      </c>
      <c r="CI157" s="720">
        <f t="shared" si="3983"/>
        <v>0</v>
      </c>
      <c r="CJ157" s="720">
        <f t="shared" si="3983"/>
        <v>0</v>
      </c>
      <c r="CK157" s="720">
        <f t="shared" si="3983"/>
        <v>0</v>
      </c>
      <c r="CL157" s="720">
        <f t="shared" si="3983"/>
        <v>0</v>
      </c>
      <c r="CM157" s="720">
        <f t="shared" si="3983"/>
        <v>0</v>
      </c>
      <c r="CN157" s="720">
        <f t="shared" si="3983"/>
        <v>0</v>
      </c>
      <c r="CO157" s="720">
        <f t="shared" si="3983"/>
        <v>0</v>
      </c>
      <c r="CP157" s="720">
        <f t="shared" si="3983"/>
        <v>0</v>
      </c>
      <c r="CQ157" s="720">
        <f t="shared" si="3983"/>
        <v>0</v>
      </c>
      <c r="CR157" s="720">
        <f t="shared" si="3983"/>
        <v>0</v>
      </c>
      <c r="CS157" s="720">
        <f t="shared" si="3983"/>
        <v>0</v>
      </c>
      <c r="CT157" s="720"/>
    </row>
    <row r="158" spans="1:178" ht="12.75">
      <c r="G158" s="719">
        <f>+G157+1</f>
        <v>4</v>
      </c>
      <c r="H158" s="714" t="s">
        <v>64</v>
      </c>
      <c r="BA158" s="720">
        <f t="shared" ref="BA158:CS158" si="3984">BA48+BA51+BA54+BA38+BA57</f>
        <v>38388.4804</v>
      </c>
      <c r="BB158" s="720">
        <f t="shared" si="3984"/>
        <v>14251.0988</v>
      </c>
      <c r="BC158" s="720">
        <f t="shared" si="3984"/>
        <v>0</v>
      </c>
      <c r="BD158" s="720">
        <f t="shared" si="3984"/>
        <v>0</v>
      </c>
      <c r="BE158" s="720">
        <f t="shared" si="3984"/>
        <v>0</v>
      </c>
      <c r="BF158" s="720">
        <f t="shared" si="3984"/>
        <v>0</v>
      </c>
      <c r="BG158" s="720">
        <f t="shared" si="3984"/>
        <v>0</v>
      </c>
      <c r="BH158" s="720">
        <f t="shared" si="3984"/>
        <v>4863.8204666800002</v>
      </c>
      <c r="BI158" s="720">
        <f t="shared" si="3984"/>
        <v>57503.399666680001</v>
      </c>
      <c r="BJ158" s="720">
        <f t="shared" si="3984"/>
        <v>27533.457600000002</v>
      </c>
      <c r="BK158" s="720">
        <f t="shared" si="3984"/>
        <v>10507.547200000001</v>
      </c>
      <c r="BL158" s="720">
        <f t="shared" si="3984"/>
        <v>0</v>
      </c>
      <c r="BM158" s="720">
        <f t="shared" si="3984"/>
        <v>0</v>
      </c>
      <c r="BN158" s="720">
        <f t="shared" si="3984"/>
        <v>0</v>
      </c>
      <c r="BO158" s="720">
        <f t="shared" si="3984"/>
        <v>0</v>
      </c>
      <c r="BP158" s="720">
        <f t="shared" si="3984"/>
        <v>0</v>
      </c>
      <c r="BQ158" s="720">
        <f t="shared" si="3984"/>
        <v>3488.4890779200005</v>
      </c>
      <c r="BR158" s="720">
        <f t="shared" si="3984"/>
        <v>41529.493877919995</v>
      </c>
      <c r="BS158" s="720">
        <f t="shared" si="3984"/>
        <v>3762.8420000000001</v>
      </c>
      <c r="BT158" s="720">
        <f t="shared" si="3984"/>
        <v>1314.404</v>
      </c>
      <c r="BU158" s="720">
        <f t="shared" si="3984"/>
        <v>0</v>
      </c>
      <c r="BV158" s="720">
        <f t="shared" si="3984"/>
        <v>0</v>
      </c>
      <c r="BW158" s="720">
        <f t="shared" si="3984"/>
        <v>0</v>
      </c>
      <c r="BX158" s="720">
        <f t="shared" si="3984"/>
        <v>0</v>
      </c>
      <c r="BY158" s="720">
        <f t="shared" si="3984"/>
        <v>0</v>
      </c>
      <c r="BZ158" s="720">
        <f t="shared" si="3984"/>
        <v>476.75208140000001</v>
      </c>
      <c r="CA158" s="720">
        <f t="shared" si="3984"/>
        <v>5553.9980814</v>
      </c>
      <c r="CB158" s="720">
        <f t="shared" si="3984"/>
        <v>8617.5</v>
      </c>
      <c r="CC158" s="720">
        <f t="shared" si="3984"/>
        <v>3024.63</v>
      </c>
      <c r="CD158" s="720">
        <f t="shared" si="3984"/>
        <v>0</v>
      </c>
      <c r="CE158" s="720">
        <f t="shared" si="3984"/>
        <v>0</v>
      </c>
      <c r="CF158" s="720">
        <f t="shared" si="3984"/>
        <v>0</v>
      </c>
      <c r="CG158" s="720">
        <f t="shared" si="3984"/>
        <v>0</v>
      </c>
      <c r="CH158" s="720">
        <f t="shared" si="3984"/>
        <v>0</v>
      </c>
      <c r="CI158" s="720">
        <f t="shared" si="3984"/>
        <v>1091.83725</v>
      </c>
      <c r="CJ158" s="720">
        <f t="shared" si="3984"/>
        <v>12733.96725</v>
      </c>
      <c r="CK158" s="720">
        <f t="shared" si="3984"/>
        <v>0</v>
      </c>
      <c r="CL158" s="720">
        <f t="shared" si="3984"/>
        <v>0</v>
      </c>
      <c r="CM158" s="720">
        <f t="shared" si="3984"/>
        <v>0</v>
      </c>
      <c r="CN158" s="720">
        <f t="shared" si="3984"/>
        <v>0</v>
      </c>
      <c r="CO158" s="720">
        <f t="shared" si="3984"/>
        <v>0</v>
      </c>
      <c r="CP158" s="720">
        <f t="shared" si="3984"/>
        <v>0</v>
      </c>
      <c r="CQ158" s="720">
        <f t="shared" si="3984"/>
        <v>0</v>
      </c>
      <c r="CR158" s="720">
        <f t="shared" si="3984"/>
        <v>0</v>
      </c>
      <c r="CS158" s="720">
        <f t="shared" si="3984"/>
        <v>0</v>
      </c>
      <c r="CT158" s="720"/>
      <c r="CU158" s="720"/>
      <c r="EI158" s="720">
        <f>3779.15-3590.33</f>
        <v>188.82000000000016</v>
      </c>
    </row>
    <row r="159" spans="1:178" ht="12.75">
      <c r="G159" s="719">
        <f t="shared" ref="G159:G186" si="3985">+G158+1</f>
        <v>5</v>
      </c>
      <c r="H159" s="714" t="s">
        <v>69</v>
      </c>
    </row>
    <row r="160" spans="1:178" ht="12.75">
      <c r="G160" s="719">
        <f t="shared" si="3985"/>
        <v>6</v>
      </c>
      <c r="H160" s="714" t="s">
        <v>71</v>
      </c>
      <c r="BA160" s="720">
        <f t="shared" ref="BA160:CS160" si="3986">BA126</f>
        <v>16697.642500000002</v>
      </c>
      <c r="BB160" s="720">
        <f t="shared" si="3986"/>
        <v>3774.3575000000001</v>
      </c>
      <c r="BC160" s="720">
        <f t="shared" si="3986"/>
        <v>72</v>
      </c>
      <c r="BD160" s="720">
        <f t="shared" si="3986"/>
        <v>1902.660625</v>
      </c>
      <c r="BE160" s="720">
        <f t="shared" si="3986"/>
        <v>0</v>
      </c>
      <c r="BF160" s="720">
        <f t="shared" si="3986"/>
        <v>0</v>
      </c>
      <c r="BG160" s="720">
        <f t="shared" si="3986"/>
        <v>0</v>
      </c>
      <c r="BH160" s="720">
        <f t="shared" si="3986"/>
        <v>2356.6584059375</v>
      </c>
      <c r="BI160" s="720">
        <f t="shared" si="3986"/>
        <v>24731.319030937499</v>
      </c>
      <c r="BJ160" s="720">
        <f t="shared" si="3986"/>
        <v>8845.3855000000003</v>
      </c>
      <c r="BK160" s="720">
        <f t="shared" si="3986"/>
        <v>2158.6144999999997</v>
      </c>
      <c r="BL160" s="720">
        <f t="shared" si="3986"/>
        <v>97.5</v>
      </c>
      <c r="BM160" s="720">
        <f t="shared" si="3986"/>
        <v>2833.910625</v>
      </c>
      <c r="BN160" s="720">
        <f t="shared" si="3986"/>
        <v>0</v>
      </c>
      <c r="BO160" s="720">
        <f t="shared" si="3986"/>
        <v>0</v>
      </c>
      <c r="BP160" s="720">
        <f t="shared" si="3986"/>
        <v>0</v>
      </c>
      <c r="BQ160" s="720">
        <f t="shared" si="3986"/>
        <v>1479.7668190375002</v>
      </c>
      <c r="BR160" s="720">
        <f t="shared" si="3986"/>
        <v>15317.677444037499</v>
      </c>
      <c r="BS160" s="720">
        <f t="shared" si="3986"/>
        <v>5582.2569999999996</v>
      </c>
      <c r="BT160" s="720">
        <f t="shared" si="3986"/>
        <v>1385.7429999999999</v>
      </c>
      <c r="BU160" s="720">
        <f t="shared" si="3986"/>
        <v>0</v>
      </c>
      <c r="BV160" s="720">
        <f t="shared" si="3986"/>
        <v>0</v>
      </c>
      <c r="BW160" s="720">
        <f t="shared" si="3986"/>
        <v>0</v>
      </c>
      <c r="BX160" s="720">
        <f t="shared" si="3986"/>
        <v>0</v>
      </c>
      <c r="BY160" s="720">
        <f t="shared" si="3986"/>
        <v>0</v>
      </c>
      <c r="BZ160" s="720">
        <f t="shared" si="3986"/>
        <v>707.27196189999995</v>
      </c>
      <c r="CA160" s="720">
        <f t="shared" si="3986"/>
        <v>7675.2719619000009</v>
      </c>
      <c r="CB160" s="720">
        <f t="shared" si="3986"/>
        <v>566</v>
      </c>
      <c r="CC160" s="720">
        <f t="shared" si="3986"/>
        <v>210</v>
      </c>
      <c r="CD160" s="720">
        <f t="shared" si="3986"/>
        <v>0</v>
      </c>
      <c r="CE160" s="720">
        <f t="shared" si="3986"/>
        <v>0</v>
      </c>
      <c r="CF160" s="720">
        <f t="shared" si="3986"/>
        <v>0</v>
      </c>
      <c r="CG160" s="720">
        <f t="shared" si="3986"/>
        <v>0</v>
      </c>
      <c r="CH160" s="720">
        <f t="shared" si="3986"/>
        <v>0</v>
      </c>
      <c r="CI160" s="720">
        <f t="shared" si="3986"/>
        <v>71.712199999999996</v>
      </c>
      <c r="CJ160" s="720">
        <f t="shared" si="3986"/>
        <v>847.71220000000005</v>
      </c>
      <c r="CK160" s="720">
        <f t="shared" si="3986"/>
        <v>0</v>
      </c>
      <c r="CL160" s="720">
        <f t="shared" si="3986"/>
        <v>0</v>
      </c>
      <c r="CM160" s="720">
        <f t="shared" si="3986"/>
        <v>0</v>
      </c>
      <c r="CN160" s="720">
        <f t="shared" si="3986"/>
        <v>0</v>
      </c>
      <c r="CO160" s="720">
        <f t="shared" si="3986"/>
        <v>0</v>
      </c>
      <c r="CP160" s="720">
        <f t="shared" si="3986"/>
        <v>0</v>
      </c>
      <c r="CQ160" s="720">
        <f t="shared" si="3986"/>
        <v>0</v>
      </c>
      <c r="CR160" s="720">
        <f t="shared" si="3986"/>
        <v>0</v>
      </c>
      <c r="CS160" s="720">
        <f t="shared" si="3986"/>
        <v>0</v>
      </c>
    </row>
    <row r="161" spans="7:98" ht="12.75">
      <c r="G161" s="719">
        <f t="shared" si="3985"/>
        <v>7</v>
      </c>
      <c r="H161" s="714" t="s">
        <v>74</v>
      </c>
      <c r="BA161" s="720">
        <f t="shared" ref="BA161:CS161" si="3987">+BA32</f>
        <v>7990</v>
      </c>
      <c r="BB161" s="720">
        <f t="shared" si="3987"/>
        <v>4320</v>
      </c>
      <c r="BC161" s="720">
        <f t="shared" si="3987"/>
        <v>0</v>
      </c>
      <c r="BD161" s="720">
        <f t="shared" si="3987"/>
        <v>0</v>
      </c>
      <c r="BE161" s="720">
        <f t="shared" si="3987"/>
        <v>0</v>
      </c>
      <c r="BF161" s="720">
        <f t="shared" si="3987"/>
        <v>0</v>
      </c>
      <c r="BG161" s="720">
        <f t="shared" si="3987"/>
        <v>0</v>
      </c>
      <c r="BH161" s="720">
        <f t="shared" si="3987"/>
        <v>1012.3330000000001</v>
      </c>
      <c r="BI161" s="720">
        <f t="shared" si="3987"/>
        <v>13322.332999999999</v>
      </c>
      <c r="BJ161" s="720">
        <f t="shared" si="3987"/>
        <v>7044</v>
      </c>
      <c r="BK161" s="720">
        <f t="shared" si="3987"/>
        <v>3867</v>
      </c>
      <c r="BL161" s="720">
        <f t="shared" si="3987"/>
        <v>0</v>
      </c>
      <c r="BM161" s="720">
        <f t="shared" si="3987"/>
        <v>0</v>
      </c>
      <c r="BN161" s="720">
        <f t="shared" si="3987"/>
        <v>0</v>
      </c>
      <c r="BO161" s="720">
        <f t="shared" si="3987"/>
        <v>0</v>
      </c>
      <c r="BP161" s="720">
        <f t="shared" si="3987"/>
        <v>0</v>
      </c>
      <c r="BQ161" s="720">
        <f t="shared" si="3987"/>
        <v>892.47480000000007</v>
      </c>
      <c r="BR161" s="720">
        <f t="shared" si="3987"/>
        <v>11803.4748</v>
      </c>
      <c r="BS161" s="720">
        <f t="shared" si="3987"/>
        <v>736</v>
      </c>
      <c r="BT161" s="720">
        <f t="shared" si="3987"/>
        <v>423</v>
      </c>
      <c r="BU161" s="720">
        <f t="shared" si="3987"/>
        <v>0</v>
      </c>
      <c r="BV161" s="720">
        <f t="shared" si="3987"/>
        <v>0</v>
      </c>
      <c r="BW161" s="720">
        <f t="shared" si="3987"/>
        <v>0</v>
      </c>
      <c r="BX161" s="720">
        <f t="shared" si="3987"/>
        <v>0</v>
      </c>
      <c r="BY161" s="720">
        <f t="shared" si="3987"/>
        <v>0</v>
      </c>
      <c r="BZ161" s="720">
        <f t="shared" si="3987"/>
        <v>93.251200000000011</v>
      </c>
      <c r="CA161" s="720">
        <f t="shared" si="3987"/>
        <v>1252.2512000000002</v>
      </c>
      <c r="CB161" s="720">
        <f t="shared" si="3987"/>
        <v>630</v>
      </c>
      <c r="CC161" s="720">
        <f t="shared" si="3987"/>
        <v>90</v>
      </c>
      <c r="CD161" s="720">
        <f t="shared" si="3987"/>
        <v>0</v>
      </c>
      <c r="CE161" s="720">
        <f t="shared" si="3987"/>
        <v>0</v>
      </c>
      <c r="CF161" s="720">
        <f t="shared" si="3987"/>
        <v>0</v>
      </c>
      <c r="CG161" s="720">
        <f t="shared" si="3987"/>
        <v>0</v>
      </c>
      <c r="CH161" s="720">
        <f t="shared" si="3987"/>
        <v>0</v>
      </c>
      <c r="CI161" s="720">
        <f t="shared" si="3987"/>
        <v>79.820999999999998</v>
      </c>
      <c r="CJ161" s="720">
        <f t="shared" si="3987"/>
        <v>799.82100000000003</v>
      </c>
      <c r="CK161" s="720">
        <f t="shared" si="3987"/>
        <v>0</v>
      </c>
      <c r="CL161" s="720">
        <f t="shared" si="3987"/>
        <v>0</v>
      </c>
      <c r="CM161" s="720">
        <f t="shared" si="3987"/>
        <v>0</v>
      </c>
      <c r="CN161" s="720">
        <f t="shared" si="3987"/>
        <v>0</v>
      </c>
      <c r="CO161" s="720">
        <f t="shared" si="3987"/>
        <v>0</v>
      </c>
      <c r="CP161" s="720">
        <f t="shared" si="3987"/>
        <v>0</v>
      </c>
      <c r="CQ161" s="720">
        <f t="shared" si="3987"/>
        <v>0</v>
      </c>
      <c r="CR161" s="720">
        <f t="shared" si="3987"/>
        <v>0</v>
      </c>
      <c r="CS161" s="720">
        <f t="shared" si="3987"/>
        <v>0</v>
      </c>
    </row>
    <row r="162" spans="7:98" ht="12.75">
      <c r="G162" s="719">
        <f t="shared" si="3985"/>
        <v>8</v>
      </c>
      <c r="H162" s="714" t="s">
        <v>76</v>
      </c>
      <c r="BA162" s="720">
        <f t="shared" ref="BA162:CS162" si="3988">+BA26</f>
        <v>9615.0149999999994</v>
      </c>
      <c r="BB162" s="720">
        <f t="shared" si="3988"/>
        <v>2925</v>
      </c>
      <c r="BC162" s="720">
        <f t="shared" si="3988"/>
        <v>0</v>
      </c>
      <c r="BD162" s="720">
        <f t="shared" si="3988"/>
        <v>0</v>
      </c>
      <c r="BE162" s="720">
        <f t="shared" si="3988"/>
        <v>0</v>
      </c>
      <c r="BF162" s="720">
        <f t="shared" si="3988"/>
        <v>0</v>
      </c>
      <c r="BG162" s="720">
        <f t="shared" si="3988"/>
        <v>0</v>
      </c>
      <c r="BH162" s="720">
        <f t="shared" si="3988"/>
        <v>1218.2224005</v>
      </c>
      <c r="BI162" s="720">
        <f t="shared" si="3988"/>
        <v>13758.2374005</v>
      </c>
      <c r="BJ162" s="720">
        <f t="shared" si="3988"/>
        <v>8466.2635000000009</v>
      </c>
      <c r="BK162" s="720">
        <f t="shared" si="3988"/>
        <v>2562.5</v>
      </c>
      <c r="BL162" s="720">
        <f t="shared" si="3988"/>
        <v>0</v>
      </c>
      <c r="BM162" s="720">
        <f t="shared" si="3988"/>
        <v>0</v>
      </c>
      <c r="BN162" s="720">
        <f t="shared" si="3988"/>
        <v>0</v>
      </c>
      <c r="BO162" s="720">
        <f t="shared" si="3988"/>
        <v>0</v>
      </c>
      <c r="BP162" s="720">
        <f t="shared" si="3988"/>
        <v>0</v>
      </c>
      <c r="BQ162" s="720">
        <f t="shared" si="3988"/>
        <v>1072.6755854500002</v>
      </c>
      <c r="BR162" s="720">
        <f t="shared" si="3988"/>
        <v>12101.439085450002</v>
      </c>
      <c r="BS162" s="720">
        <f t="shared" si="3988"/>
        <v>1148.7514999999999</v>
      </c>
      <c r="BT162" s="720">
        <f t="shared" si="3988"/>
        <v>362.5</v>
      </c>
      <c r="BU162" s="720">
        <f t="shared" si="3988"/>
        <v>0</v>
      </c>
      <c r="BV162" s="720">
        <f t="shared" si="3988"/>
        <v>0</v>
      </c>
      <c r="BW162" s="720">
        <f t="shared" si="3988"/>
        <v>0</v>
      </c>
      <c r="BX162" s="720">
        <f t="shared" si="3988"/>
        <v>0</v>
      </c>
      <c r="BY162" s="720">
        <f t="shared" si="3988"/>
        <v>0</v>
      </c>
      <c r="BZ162" s="720">
        <f t="shared" si="3988"/>
        <v>145.54681504999999</v>
      </c>
      <c r="CA162" s="720">
        <f t="shared" si="3988"/>
        <v>1656.7983150499999</v>
      </c>
      <c r="CB162" s="720">
        <f t="shared" si="3988"/>
        <v>3745</v>
      </c>
      <c r="CC162" s="720">
        <f t="shared" si="3988"/>
        <v>1400</v>
      </c>
      <c r="CD162" s="720">
        <f t="shared" si="3988"/>
        <v>0</v>
      </c>
      <c r="CE162" s="720">
        <f t="shared" si="3988"/>
        <v>0</v>
      </c>
      <c r="CF162" s="720">
        <f t="shared" si="3988"/>
        <v>0</v>
      </c>
      <c r="CG162" s="720">
        <f t="shared" si="3988"/>
        <v>0</v>
      </c>
      <c r="CH162" s="720">
        <f t="shared" si="3988"/>
        <v>0</v>
      </c>
      <c r="CI162" s="720">
        <f t="shared" si="3988"/>
        <v>474.49149999999997</v>
      </c>
      <c r="CJ162" s="720">
        <f t="shared" si="3988"/>
        <v>5619.4915000000001</v>
      </c>
      <c r="CK162" s="720">
        <f t="shared" si="3988"/>
        <v>0</v>
      </c>
      <c r="CL162" s="720">
        <f t="shared" si="3988"/>
        <v>0</v>
      </c>
      <c r="CM162" s="720">
        <f t="shared" si="3988"/>
        <v>0</v>
      </c>
      <c r="CN162" s="720">
        <f t="shared" si="3988"/>
        <v>0</v>
      </c>
      <c r="CO162" s="720">
        <f t="shared" si="3988"/>
        <v>0</v>
      </c>
      <c r="CP162" s="720">
        <f t="shared" si="3988"/>
        <v>0</v>
      </c>
      <c r="CQ162" s="720">
        <f t="shared" si="3988"/>
        <v>0</v>
      </c>
      <c r="CR162" s="720">
        <f t="shared" si="3988"/>
        <v>0</v>
      </c>
      <c r="CS162" s="720">
        <f t="shared" si="3988"/>
        <v>0</v>
      </c>
    </row>
    <row r="163" spans="7:98" ht="12.75">
      <c r="G163" s="719">
        <f t="shared" si="3985"/>
        <v>9</v>
      </c>
      <c r="H163" s="714" t="s">
        <v>80</v>
      </c>
      <c r="CT163" s="720"/>
    </row>
    <row r="164" spans="7:98" ht="12.75">
      <c r="G164" s="719">
        <f t="shared" si="3985"/>
        <v>10</v>
      </c>
      <c r="H164" s="714" t="s">
        <v>81</v>
      </c>
      <c r="BA164" s="720">
        <f t="shared" ref="BA164:CS164" si="3989">+BA114</f>
        <v>12653.945133333333</v>
      </c>
      <c r="BB164" s="720">
        <f t="shared" si="3989"/>
        <v>4292.7215333333334</v>
      </c>
      <c r="BC164" s="720">
        <f t="shared" si="3989"/>
        <v>0</v>
      </c>
      <c r="BD164" s="720">
        <f t="shared" si="3989"/>
        <v>0</v>
      </c>
      <c r="BE164" s="720">
        <f t="shared" si="3989"/>
        <v>0</v>
      </c>
      <c r="BF164" s="720">
        <f t="shared" si="3989"/>
        <v>0</v>
      </c>
      <c r="BG164" s="720">
        <f t="shared" si="3989"/>
        <v>0</v>
      </c>
      <c r="BH164" s="720">
        <f t="shared" si="3989"/>
        <v>1603.2548483933335</v>
      </c>
      <c r="BI164" s="720">
        <f t="shared" si="3989"/>
        <v>18549.921515060003</v>
      </c>
      <c r="BJ164" s="720">
        <f t="shared" si="3989"/>
        <v>12532.365866666667</v>
      </c>
      <c r="BK164" s="720">
        <f t="shared" si="3989"/>
        <v>3578.467466666667</v>
      </c>
      <c r="BL164" s="720">
        <f t="shared" si="3989"/>
        <v>0</v>
      </c>
      <c r="BM164" s="720">
        <f t="shared" si="3989"/>
        <v>0</v>
      </c>
      <c r="BN164" s="720">
        <f t="shared" si="3989"/>
        <v>0</v>
      </c>
      <c r="BO164" s="720">
        <f t="shared" si="3989"/>
        <v>0</v>
      </c>
      <c r="BP164" s="720">
        <f t="shared" si="3989"/>
        <v>0</v>
      </c>
      <c r="BQ164" s="720">
        <f t="shared" si="3989"/>
        <v>1587.8507553066665</v>
      </c>
      <c r="BR164" s="720">
        <f t="shared" si="3989"/>
        <v>17698.684088640002</v>
      </c>
      <c r="BS164" s="720">
        <f t="shared" si="3989"/>
        <v>3121.8414666666667</v>
      </c>
      <c r="BT164" s="720">
        <f t="shared" si="3989"/>
        <v>853.99186666666662</v>
      </c>
      <c r="BU164" s="720">
        <f t="shared" si="3989"/>
        <v>0</v>
      </c>
      <c r="BV164" s="720">
        <f t="shared" si="3989"/>
        <v>0</v>
      </c>
      <c r="BW164" s="720">
        <f t="shared" si="3989"/>
        <v>0</v>
      </c>
      <c r="BX164" s="720">
        <f t="shared" si="3989"/>
        <v>0</v>
      </c>
      <c r="BY164" s="720">
        <f t="shared" si="3989"/>
        <v>0</v>
      </c>
      <c r="BZ164" s="720">
        <f t="shared" si="3989"/>
        <v>395.53731382666666</v>
      </c>
      <c r="CA164" s="720">
        <f t="shared" si="3989"/>
        <v>4371.3706471599999</v>
      </c>
      <c r="CB164" s="720">
        <f t="shared" si="3989"/>
        <v>460.26219999999995</v>
      </c>
      <c r="CC164" s="720">
        <f t="shared" si="3989"/>
        <v>264.73779999999999</v>
      </c>
      <c r="CD164" s="720">
        <f t="shared" si="3989"/>
        <v>0</v>
      </c>
      <c r="CE164" s="720">
        <f t="shared" si="3989"/>
        <v>0</v>
      </c>
      <c r="CF164" s="720">
        <f t="shared" si="3989"/>
        <v>0</v>
      </c>
      <c r="CG164" s="720">
        <f t="shared" si="3989"/>
        <v>0</v>
      </c>
      <c r="CH164" s="720">
        <f t="shared" si="3989"/>
        <v>0</v>
      </c>
      <c r="CI164" s="720">
        <f t="shared" si="3989"/>
        <v>58.315220739999994</v>
      </c>
      <c r="CJ164" s="720">
        <f t="shared" si="3989"/>
        <v>783.31522073999997</v>
      </c>
      <c r="CK164" s="720">
        <f t="shared" si="3989"/>
        <v>0</v>
      </c>
      <c r="CL164" s="720">
        <f t="shared" si="3989"/>
        <v>0</v>
      </c>
      <c r="CM164" s="720">
        <f t="shared" si="3989"/>
        <v>0</v>
      </c>
      <c r="CN164" s="720">
        <f t="shared" si="3989"/>
        <v>0</v>
      </c>
      <c r="CO164" s="720">
        <f t="shared" si="3989"/>
        <v>0</v>
      </c>
      <c r="CP164" s="720">
        <f t="shared" si="3989"/>
        <v>0</v>
      </c>
      <c r="CQ164" s="720">
        <f t="shared" si="3989"/>
        <v>0</v>
      </c>
      <c r="CR164" s="720">
        <f t="shared" si="3989"/>
        <v>0</v>
      </c>
      <c r="CS164" s="720">
        <f t="shared" si="3989"/>
        <v>0</v>
      </c>
      <c r="CT164" s="720"/>
    </row>
    <row r="165" spans="7:98" ht="12.75">
      <c r="G165" s="719">
        <f t="shared" si="3985"/>
        <v>11</v>
      </c>
      <c r="H165" s="714" t="s">
        <v>662</v>
      </c>
      <c r="BA165" s="720">
        <f t="shared" ref="BA165:CS165" si="3990">+BA70</f>
        <v>0</v>
      </c>
      <c r="BB165" s="720">
        <f t="shared" si="3990"/>
        <v>0</v>
      </c>
      <c r="BC165" s="720">
        <f t="shared" si="3990"/>
        <v>0</v>
      </c>
      <c r="BD165" s="720">
        <f t="shared" si="3990"/>
        <v>0</v>
      </c>
      <c r="BE165" s="720">
        <f t="shared" si="3990"/>
        <v>0</v>
      </c>
      <c r="BF165" s="720">
        <f t="shared" si="3990"/>
        <v>0</v>
      </c>
      <c r="BG165" s="720">
        <f t="shared" si="3990"/>
        <v>0</v>
      </c>
      <c r="BH165" s="720">
        <f t="shared" si="3990"/>
        <v>0</v>
      </c>
      <c r="BI165" s="720">
        <f t="shared" si="3990"/>
        <v>0</v>
      </c>
      <c r="BJ165" s="720">
        <f t="shared" si="3990"/>
        <v>0</v>
      </c>
      <c r="BK165" s="720">
        <f t="shared" si="3990"/>
        <v>0</v>
      </c>
      <c r="BL165" s="720">
        <f t="shared" si="3990"/>
        <v>0</v>
      </c>
      <c r="BM165" s="720">
        <f t="shared" si="3990"/>
        <v>0</v>
      </c>
      <c r="BN165" s="720">
        <f t="shared" si="3990"/>
        <v>0</v>
      </c>
      <c r="BO165" s="720">
        <f t="shared" si="3990"/>
        <v>0</v>
      </c>
      <c r="BP165" s="720">
        <f t="shared" si="3990"/>
        <v>0</v>
      </c>
      <c r="BQ165" s="720">
        <f t="shared" si="3990"/>
        <v>0</v>
      </c>
      <c r="BR165" s="720">
        <f t="shared" si="3990"/>
        <v>0</v>
      </c>
      <c r="BS165" s="720">
        <f t="shared" si="3990"/>
        <v>0</v>
      </c>
      <c r="BT165" s="720">
        <f t="shared" si="3990"/>
        <v>0</v>
      </c>
      <c r="BU165" s="720">
        <f t="shared" si="3990"/>
        <v>0</v>
      </c>
      <c r="BV165" s="720">
        <f t="shared" si="3990"/>
        <v>0</v>
      </c>
      <c r="BW165" s="720">
        <f t="shared" si="3990"/>
        <v>0</v>
      </c>
      <c r="BX165" s="720">
        <f t="shared" si="3990"/>
        <v>0</v>
      </c>
      <c r="BY165" s="720">
        <f t="shared" si="3990"/>
        <v>0</v>
      </c>
      <c r="BZ165" s="720">
        <f t="shared" si="3990"/>
        <v>0</v>
      </c>
      <c r="CA165" s="720">
        <f t="shared" si="3990"/>
        <v>0</v>
      </c>
      <c r="CB165" s="720">
        <f t="shared" si="3990"/>
        <v>0</v>
      </c>
      <c r="CC165" s="720">
        <f t="shared" si="3990"/>
        <v>0</v>
      </c>
      <c r="CD165" s="720">
        <f t="shared" si="3990"/>
        <v>0</v>
      </c>
      <c r="CE165" s="720">
        <f t="shared" si="3990"/>
        <v>0</v>
      </c>
      <c r="CF165" s="720">
        <f t="shared" si="3990"/>
        <v>0</v>
      </c>
      <c r="CG165" s="720">
        <f t="shared" si="3990"/>
        <v>0</v>
      </c>
      <c r="CH165" s="720">
        <f t="shared" si="3990"/>
        <v>0</v>
      </c>
      <c r="CI165" s="720">
        <f t="shared" si="3990"/>
        <v>0</v>
      </c>
      <c r="CJ165" s="720">
        <f t="shared" si="3990"/>
        <v>0</v>
      </c>
      <c r="CK165" s="720">
        <f t="shared" si="3990"/>
        <v>0</v>
      </c>
      <c r="CL165" s="720">
        <f t="shared" si="3990"/>
        <v>0</v>
      </c>
      <c r="CM165" s="720">
        <f t="shared" si="3990"/>
        <v>0</v>
      </c>
      <c r="CN165" s="720">
        <f t="shared" si="3990"/>
        <v>0</v>
      </c>
      <c r="CO165" s="720">
        <f t="shared" si="3990"/>
        <v>0</v>
      </c>
      <c r="CP165" s="720">
        <f t="shared" si="3990"/>
        <v>0</v>
      </c>
      <c r="CQ165" s="720">
        <f t="shared" si="3990"/>
        <v>0</v>
      </c>
      <c r="CR165" s="720">
        <f t="shared" si="3990"/>
        <v>0</v>
      </c>
      <c r="CS165" s="720">
        <f t="shared" si="3990"/>
        <v>0</v>
      </c>
      <c r="CT165" s="720"/>
    </row>
    <row r="166" spans="7:98" ht="12.75">
      <c r="G166" s="719">
        <f t="shared" si="3985"/>
        <v>12</v>
      </c>
      <c r="H166" s="714" t="s">
        <v>85</v>
      </c>
      <c r="BA166" s="720">
        <f t="shared" ref="BA166:BK166" si="3991">BA140</f>
        <v>9940</v>
      </c>
      <c r="BB166" s="720">
        <f t="shared" si="3991"/>
        <v>2660</v>
      </c>
      <c r="BC166" s="720">
        <f t="shared" si="3991"/>
        <v>0</v>
      </c>
      <c r="BD166" s="720">
        <f t="shared" si="3991"/>
        <v>0</v>
      </c>
      <c r="BE166" s="720">
        <f t="shared" si="3991"/>
        <v>0</v>
      </c>
      <c r="BF166" s="720">
        <f t="shared" si="3991"/>
        <v>0</v>
      </c>
      <c r="BG166" s="720">
        <f t="shared" si="3991"/>
        <v>0</v>
      </c>
      <c r="BH166" s="720">
        <f t="shared" si="3991"/>
        <v>1259.3980000000001</v>
      </c>
      <c r="BI166" s="720">
        <f t="shared" si="3991"/>
        <v>13859.398000000001</v>
      </c>
      <c r="BJ166" s="720">
        <f t="shared" si="3991"/>
        <v>11182.5</v>
      </c>
      <c r="BK166" s="720">
        <f t="shared" si="3991"/>
        <v>2992.5</v>
      </c>
      <c r="BL166" s="720">
        <f t="shared" ref="BL166:BM166" si="3992">BL140</f>
        <v>0</v>
      </c>
      <c r="BM166" s="720">
        <f t="shared" si="3992"/>
        <v>0</v>
      </c>
      <c r="BN166" s="720">
        <f t="shared" ref="BN166" si="3993">BN140</f>
        <v>0</v>
      </c>
      <c r="BO166" s="720">
        <f>BO140+BO149</f>
        <v>0</v>
      </c>
      <c r="BP166" s="720">
        <f>BP140+BP146</f>
        <v>0</v>
      </c>
      <c r="BQ166" s="720">
        <f>+BQ140</f>
        <v>1416.82275</v>
      </c>
      <c r="BR166" s="720">
        <f>+BR140</f>
        <v>15591.822749999999</v>
      </c>
      <c r="BS166" s="720">
        <f>+BS140</f>
        <v>2485</v>
      </c>
      <c r="BT166" s="720">
        <f t="shared" ref="BT166:CA166" si="3994">+BT140</f>
        <v>665</v>
      </c>
      <c r="BU166" s="720">
        <f t="shared" si="3994"/>
        <v>0</v>
      </c>
      <c r="BV166" s="720">
        <f t="shared" si="3994"/>
        <v>0</v>
      </c>
      <c r="BW166" s="720">
        <f t="shared" si="3994"/>
        <v>0</v>
      </c>
      <c r="BX166" s="720">
        <f t="shared" si="3994"/>
        <v>0</v>
      </c>
      <c r="BY166" s="720">
        <f t="shared" si="3994"/>
        <v>0</v>
      </c>
      <c r="BZ166" s="720">
        <f t="shared" si="3994"/>
        <v>314.84950000000003</v>
      </c>
      <c r="CA166" s="720">
        <f t="shared" si="3994"/>
        <v>3464.8495000000003</v>
      </c>
      <c r="CB166" s="720">
        <f>CB140</f>
        <v>1242.5</v>
      </c>
      <c r="CC166" s="720">
        <f>CC140</f>
        <v>332.5</v>
      </c>
      <c r="CD166" s="720">
        <f>CD140+CD149</f>
        <v>0</v>
      </c>
      <c r="CE166" s="720">
        <f>CE140+CE149</f>
        <v>0</v>
      </c>
      <c r="CF166" s="720">
        <f>CF140+CF149</f>
        <v>0</v>
      </c>
      <c r="CG166" s="720">
        <f>CG140+CG149</f>
        <v>0</v>
      </c>
      <c r="CH166" s="720">
        <f>CH140+CH146</f>
        <v>0</v>
      </c>
      <c r="CI166" s="720">
        <f>CI140</f>
        <v>157.42475000000002</v>
      </c>
      <c r="CJ166" s="720">
        <f>CJ140</f>
        <v>1732.4247500000001</v>
      </c>
      <c r="CK166" s="720">
        <f t="shared" ref="CK166:CS166" si="3995">CK140+CK149</f>
        <v>0</v>
      </c>
      <c r="CL166" s="720">
        <f t="shared" si="3995"/>
        <v>0</v>
      </c>
      <c r="CM166" s="720">
        <f t="shared" si="3995"/>
        <v>0</v>
      </c>
      <c r="CN166" s="720">
        <f t="shared" si="3995"/>
        <v>0</v>
      </c>
      <c r="CO166" s="720">
        <f t="shared" si="3995"/>
        <v>0</v>
      </c>
      <c r="CP166" s="720">
        <f t="shared" si="3995"/>
        <v>0</v>
      </c>
      <c r="CQ166" s="720">
        <f t="shared" si="3995"/>
        <v>0</v>
      </c>
      <c r="CR166" s="720">
        <f t="shared" si="3995"/>
        <v>0</v>
      </c>
      <c r="CS166" s="720">
        <f t="shared" si="3995"/>
        <v>0</v>
      </c>
      <c r="CT166" s="720"/>
    </row>
    <row r="167" spans="7:98" ht="12.75">
      <c r="G167" s="719">
        <f t="shared" si="3985"/>
        <v>13</v>
      </c>
      <c r="H167" s="714" t="s">
        <v>9</v>
      </c>
      <c r="BA167" s="720">
        <f t="shared" ref="BA167:CS167" si="3996">+BA73</f>
        <v>0</v>
      </c>
      <c r="BB167" s="720">
        <f t="shared" si="3996"/>
        <v>0</v>
      </c>
      <c r="BC167" s="720">
        <f t="shared" si="3996"/>
        <v>0</v>
      </c>
      <c r="BD167" s="720">
        <f t="shared" si="3996"/>
        <v>0</v>
      </c>
      <c r="BE167" s="720">
        <f t="shared" si="3996"/>
        <v>0</v>
      </c>
      <c r="BF167" s="720">
        <f t="shared" si="3996"/>
        <v>0</v>
      </c>
      <c r="BG167" s="720">
        <f t="shared" si="3996"/>
        <v>0</v>
      </c>
      <c r="BH167" s="720">
        <f t="shared" si="3996"/>
        <v>0</v>
      </c>
      <c r="BI167" s="720">
        <f t="shared" si="3996"/>
        <v>0</v>
      </c>
      <c r="BJ167" s="720">
        <f t="shared" si="3996"/>
        <v>0</v>
      </c>
      <c r="BK167" s="720">
        <f t="shared" si="3996"/>
        <v>0</v>
      </c>
      <c r="BL167" s="720">
        <f t="shared" si="3996"/>
        <v>0</v>
      </c>
      <c r="BM167" s="720">
        <f t="shared" si="3996"/>
        <v>0</v>
      </c>
      <c r="BN167" s="720">
        <f t="shared" si="3996"/>
        <v>0</v>
      </c>
      <c r="BO167" s="720">
        <f t="shared" si="3996"/>
        <v>0</v>
      </c>
      <c r="BP167" s="720">
        <f t="shared" si="3996"/>
        <v>0</v>
      </c>
      <c r="BQ167" s="720">
        <f t="shared" si="3996"/>
        <v>0</v>
      </c>
      <c r="BR167" s="720">
        <f t="shared" si="3996"/>
        <v>0</v>
      </c>
      <c r="BS167" s="720">
        <f t="shared" si="3996"/>
        <v>0</v>
      </c>
      <c r="BT167" s="720">
        <f t="shared" si="3996"/>
        <v>0</v>
      </c>
      <c r="BU167" s="720">
        <f t="shared" si="3996"/>
        <v>0</v>
      </c>
      <c r="BV167" s="720">
        <f t="shared" si="3996"/>
        <v>0</v>
      </c>
      <c r="BW167" s="720">
        <f t="shared" si="3996"/>
        <v>0</v>
      </c>
      <c r="BX167" s="720">
        <f t="shared" si="3996"/>
        <v>0</v>
      </c>
      <c r="BY167" s="720">
        <f t="shared" si="3996"/>
        <v>0</v>
      </c>
      <c r="BZ167" s="720">
        <f t="shared" si="3996"/>
        <v>0</v>
      </c>
      <c r="CA167" s="720">
        <f t="shared" si="3996"/>
        <v>0</v>
      </c>
      <c r="CB167" s="720">
        <f t="shared" si="3996"/>
        <v>0</v>
      </c>
      <c r="CC167" s="720">
        <f t="shared" si="3996"/>
        <v>0</v>
      </c>
      <c r="CD167" s="720">
        <f t="shared" si="3996"/>
        <v>0</v>
      </c>
      <c r="CE167" s="720">
        <f t="shared" si="3996"/>
        <v>0</v>
      </c>
      <c r="CF167" s="720">
        <f t="shared" si="3996"/>
        <v>0</v>
      </c>
      <c r="CG167" s="720">
        <f t="shared" si="3996"/>
        <v>0</v>
      </c>
      <c r="CH167" s="720">
        <f t="shared" si="3996"/>
        <v>0</v>
      </c>
      <c r="CI167" s="720">
        <f t="shared" si="3996"/>
        <v>0</v>
      </c>
      <c r="CJ167" s="720">
        <f t="shared" si="3996"/>
        <v>0</v>
      </c>
      <c r="CK167" s="720">
        <f t="shared" si="3996"/>
        <v>0</v>
      </c>
      <c r="CL167" s="720">
        <f t="shared" si="3996"/>
        <v>0</v>
      </c>
      <c r="CM167" s="720">
        <f t="shared" si="3996"/>
        <v>0</v>
      </c>
      <c r="CN167" s="720">
        <f t="shared" si="3996"/>
        <v>0</v>
      </c>
      <c r="CO167" s="720">
        <f t="shared" si="3996"/>
        <v>0</v>
      </c>
      <c r="CP167" s="720">
        <f t="shared" si="3996"/>
        <v>0</v>
      </c>
      <c r="CQ167" s="720">
        <f t="shared" si="3996"/>
        <v>0</v>
      </c>
      <c r="CR167" s="720">
        <f t="shared" si="3996"/>
        <v>0</v>
      </c>
      <c r="CS167" s="720">
        <f t="shared" si="3996"/>
        <v>0</v>
      </c>
    </row>
    <row r="168" spans="7:98" ht="12.75">
      <c r="G168" s="719">
        <f t="shared" si="3985"/>
        <v>14</v>
      </c>
      <c r="H168" s="714" t="s">
        <v>663</v>
      </c>
      <c r="BA168" s="720">
        <f t="shared" ref="BA168:CS168" si="3997">+BA76</f>
        <v>0</v>
      </c>
      <c r="BB168" s="720">
        <f t="shared" si="3997"/>
        <v>0</v>
      </c>
      <c r="BC168" s="720">
        <f t="shared" si="3997"/>
        <v>0</v>
      </c>
      <c r="BD168" s="720">
        <f t="shared" si="3997"/>
        <v>0</v>
      </c>
      <c r="BE168" s="720">
        <f t="shared" si="3997"/>
        <v>0</v>
      </c>
      <c r="BF168" s="720">
        <f t="shared" si="3997"/>
        <v>0</v>
      </c>
      <c r="BG168" s="720">
        <f t="shared" si="3997"/>
        <v>0</v>
      </c>
      <c r="BH168" s="720">
        <f t="shared" si="3997"/>
        <v>0</v>
      </c>
      <c r="BI168" s="720">
        <f t="shared" si="3997"/>
        <v>0</v>
      </c>
      <c r="BJ168" s="720">
        <f t="shared" si="3997"/>
        <v>0</v>
      </c>
      <c r="BK168" s="720">
        <f t="shared" si="3997"/>
        <v>0</v>
      </c>
      <c r="BL168" s="720">
        <f t="shared" si="3997"/>
        <v>0</v>
      </c>
      <c r="BM168" s="720">
        <f t="shared" si="3997"/>
        <v>0</v>
      </c>
      <c r="BN168" s="720">
        <f t="shared" si="3997"/>
        <v>0</v>
      </c>
      <c r="BO168" s="720">
        <f t="shared" si="3997"/>
        <v>0</v>
      </c>
      <c r="BP168" s="720">
        <f t="shared" si="3997"/>
        <v>0</v>
      </c>
      <c r="BQ168" s="720">
        <f t="shared" si="3997"/>
        <v>0</v>
      </c>
      <c r="BR168" s="720">
        <f t="shared" si="3997"/>
        <v>0</v>
      </c>
      <c r="BS168" s="720">
        <f t="shared" si="3997"/>
        <v>0</v>
      </c>
      <c r="BT168" s="720">
        <f t="shared" si="3997"/>
        <v>0</v>
      </c>
      <c r="BU168" s="720">
        <f t="shared" si="3997"/>
        <v>0</v>
      </c>
      <c r="BV168" s="720">
        <f t="shared" si="3997"/>
        <v>0</v>
      </c>
      <c r="BW168" s="720">
        <f t="shared" si="3997"/>
        <v>0</v>
      </c>
      <c r="BX168" s="720">
        <f t="shared" si="3997"/>
        <v>0</v>
      </c>
      <c r="BY168" s="720">
        <f t="shared" si="3997"/>
        <v>0</v>
      </c>
      <c r="BZ168" s="720">
        <f t="shared" si="3997"/>
        <v>0</v>
      </c>
      <c r="CA168" s="720">
        <f t="shared" si="3997"/>
        <v>0</v>
      </c>
      <c r="CB168" s="720">
        <f t="shared" si="3997"/>
        <v>0</v>
      </c>
      <c r="CC168" s="720">
        <f t="shared" si="3997"/>
        <v>0</v>
      </c>
      <c r="CD168" s="720">
        <f t="shared" si="3997"/>
        <v>0</v>
      </c>
      <c r="CE168" s="720">
        <f t="shared" si="3997"/>
        <v>0</v>
      </c>
      <c r="CF168" s="720">
        <f t="shared" si="3997"/>
        <v>0</v>
      </c>
      <c r="CG168" s="720">
        <f t="shared" si="3997"/>
        <v>0</v>
      </c>
      <c r="CH168" s="720">
        <f t="shared" si="3997"/>
        <v>0</v>
      </c>
      <c r="CI168" s="720">
        <f t="shared" si="3997"/>
        <v>0</v>
      </c>
      <c r="CJ168" s="720">
        <f t="shared" si="3997"/>
        <v>0</v>
      </c>
      <c r="CK168" s="720">
        <f t="shared" si="3997"/>
        <v>0</v>
      </c>
      <c r="CL168" s="720">
        <f t="shared" si="3997"/>
        <v>0</v>
      </c>
      <c r="CM168" s="720">
        <f t="shared" si="3997"/>
        <v>0</v>
      </c>
      <c r="CN168" s="720">
        <f t="shared" si="3997"/>
        <v>0</v>
      </c>
      <c r="CO168" s="720">
        <f t="shared" si="3997"/>
        <v>0</v>
      </c>
      <c r="CP168" s="720">
        <f t="shared" si="3997"/>
        <v>0</v>
      </c>
      <c r="CQ168" s="720">
        <f t="shared" si="3997"/>
        <v>0</v>
      </c>
      <c r="CR168" s="720">
        <f t="shared" si="3997"/>
        <v>0</v>
      </c>
      <c r="CS168" s="720">
        <f t="shared" si="3997"/>
        <v>0</v>
      </c>
      <c r="CT168" s="720"/>
    </row>
    <row r="169" spans="7:98" ht="12.75">
      <c r="G169" s="719">
        <f t="shared" si="3985"/>
        <v>15</v>
      </c>
      <c r="H169" s="714" t="s">
        <v>8</v>
      </c>
    </row>
    <row r="170" spans="7:98" ht="12.75">
      <c r="G170" s="719">
        <f t="shared" si="3985"/>
        <v>16</v>
      </c>
      <c r="H170" s="714" t="s">
        <v>8</v>
      </c>
      <c r="CT170" s="720"/>
    </row>
    <row r="171" spans="7:98" ht="12.75">
      <c r="G171" s="719">
        <f t="shared" si="3985"/>
        <v>17</v>
      </c>
      <c r="H171" s="714" t="s">
        <v>366</v>
      </c>
      <c r="BA171" s="720">
        <f>+BA146</f>
        <v>4002.2800000000007</v>
      </c>
      <c r="BB171" s="720">
        <f t="shared" ref="BB171:CT171" si="3998">+BB146</f>
        <v>1660</v>
      </c>
      <c r="BC171" s="720">
        <f t="shared" si="3998"/>
        <v>0</v>
      </c>
      <c r="BD171" s="720">
        <f t="shared" si="3998"/>
        <v>0</v>
      </c>
      <c r="BE171" s="720">
        <f t="shared" si="3998"/>
        <v>0</v>
      </c>
      <c r="BF171" s="720">
        <f t="shared" si="3998"/>
        <v>0</v>
      </c>
      <c r="BG171" s="720">
        <f t="shared" si="3998"/>
        <v>0</v>
      </c>
      <c r="BH171" s="720">
        <f t="shared" si="3998"/>
        <v>507.08887600000014</v>
      </c>
      <c r="BI171" s="720">
        <f t="shared" si="3998"/>
        <v>6169.3688760000005</v>
      </c>
      <c r="BJ171" s="720">
        <f t="shared" si="3998"/>
        <v>2801.596</v>
      </c>
      <c r="BK171" s="720">
        <f t="shared" si="3998"/>
        <v>655</v>
      </c>
      <c r="BL171" s="720">
        <f t="shared" si="3998"/>
        <v>0</v>
      </c>
      <c r="BM171" s="720">
        <f t="shared" si="3998"/>
        <v>0</v>
      </c>
      <c r="BN171" s="720">
        <f t="shared" si="3998"/>
        <v>0</v>
      </c>
      <c r="BO171" s="720">
        <f t="shared" si="3998"/>
        <v>0</v>
      </c>
      <c r="BP171" s="720">
        <f t="shared" si="3998"/>
        <v>0</v>
      </c>
      <c r="BQ171" s="720">
        <f t="shared" si="3998"/>
        <v>354.96221320000001</v>
      </c>
      <c r="BR171" s="720">
        <f t="shared" si="3998"/>
        <v>3811.5582132</v>
      </c>
      <c r="BS171" s="720">
        <f>+BS146</f>
        <v>1200.6840000000002</v>
      </c>
      <c r="BT171" s="720">
        <f t="shared" si="3998"/>
        <v>85</v>
      </c>
      <c r="BU171" s="720">
        <f t="shared" si="3998"/>
        <v>0</v>
      </c>
      <c r="BV171" s="720">
        <f t="shared" si="3998"/>
        <v>0</v>
      </c>
      <c r="BW171" s="720">
        <f t="shared" si="3998"/>
        <v>0</v>
      </c>
      <c r="BX171" s="720">
        <f t="shared" si="3998"/>
        <v>0</v>
      </c>
      <c r="BY171" s="720">
        <f t="shared" si="3998"/>
        <v>0</v>
      </c>
      <c r="BZ171" s="720">
        <f t="shared" si="3998"/>
        <v>152.12666280000002</v>
      </c>
      <c r="CA171" s="720">
        <f t="shared" si="3998"/>
        <v>1437.8106628000003</v>
      </c>
      <c r="CB171" s="720">
        <f t="shared" si="3998"/>
        <v>0</v>
      </c>
      <c r="CC171" s="720">
        <f t="shared" si="3998"/>
        <v>0</v>
      </c>
      <c r="CD171" s="720">
        <f t="shared" si="3998"/>
        <v>0</v>
      </c>
      <c r="CE171" s="720">
        <f t="shared" si="3998"/>
        <v>0</v>
      </c>
      <c r="CF171" s="720">
        <f t="shared" si="3998"/>
        <v>0</v>
      </c>
      <c r="CG171" s="720">
        <f t="shared" si="3998"/>
        <v>0</v>
      </c>
      <c r="CH171" s="720">
        <f t="shared" si="3998"/>
        <v>0</v>
      </c>
      <c r="CI171" s="720">
        <f t="shared" si="3998"/>
        <v>0</v>
      </c>
      <c r="CJ171" s="720">
        <f t="shared" si="3998"/>
        <v>0</v>
      </c>
      <c r="CK171" s="720">
        <f t="shared" si="3998"/>
        <v>0</v>
      </c>
      <c r="CL171" s="720">
        <f t="shared" si="3998"/>
        <v>0</v>
      </c>
      <c r="CM171" s="720">
        <f t="shared" si="3998"/>
        <v>0</v>
      </c>
      <c r="CN171" s="720">
        <f t="shared" si="3998"/>
        <v>0</v>
      </c>
      <c r="CO171" s="720">
        <f t="shared" si="3998"/>
        <v>0</v>
      </c>
      <c r="CP171" s="720">
        <f t="shared" si="3998"/>
        <v>0</v>
      </c>
      <c r="CQ171" s="720">
        <f t="shared" si="3998"/>
        <v>0</v>
      </c>
      <c r="CR171" s="720">
        <f t="shared" si="3998"/>
        <v>0</v>
      </c>
      <c r="CS171" s="720">
        <f t="shared" si="3998"/>
        <v>0</v>
      </c>
      <c r="CT171" s="720">
        <f t="shared" si="3998"/>
        <v>0</v>
      </c>
    </row>
    <row r="172" spans="7:98" ht="12.75">
      <c r="G172" s="719">
        <f t="shared" si="3985"/>
        <v>18</v>
      </c>
      <c r="H172" s="714" t="s">
        <v>99</v>
      </c>
      <c r="BA172" s="720">
        <f t="shared" ref="BA172:CS172" si="3999">+BA84</f>
        <v>3565</v>
      </c>
      <c r="BB172" s="720">
        <f t="shared" si="3999"/>
        <v>1915</v>
      </c>
      <c r="BC172" s="720">
        <f t="shared" si="3999"/>
        <v>0</v>
      </c>
      <c r="BD172" s="720">
        <f t="shared" si="3999"/>
        <v>0</v>
      </c>
      <c r="BE172" s="720">
        <f t="shared" si="3999"/>
        <v>0</v>
      </c>
      <c r="BF172" s="720">
        <f t="shared" si="3999"/>
        <v>0</v>
      </c>
      <c r="BG172" s="720">
        <f t="shared" si="3999"/>
        <v>0</v>
      </c>
      <c r="BH172" s="720">
        <f t="shared" si="3999"/>
        <v>451.68549999999999</v>
      </c>
      <c r="BI172" s="720">
        <f t="shared" si="3999"/>
        <v>5931.6854999999996</v>
      </c>
      <c r="BJ172" s="720">
        <f t="shared" si="3999"/>
        <v>4115</v>
      </c>
      <c r="BK172" s="720">
        <f t="shared" si="3999"/>
        <v>2565</v>
      </c>
      <c r="BL172" s="720">
        <f t="shared" si="3999"/>
        <v>24</v>
      </c>
      <c r="BM172" s="720">
        <f t="shared" si="3999"/>
        <v>615</v>
      </c>
      <c r="BN172" s="720">
        <f t="shared" si="3999"/>
        <v>0</v>
      </c>
      <c r="BO172" s="720">
        <f t="shared" si="3999"/>
        <v>0</v>
      </c>
      <c r="BP172" s="720">
        <f t="shared" si="3999"/>
        <v>0</v>
      </c>
      <c r="BQ172" s="720">
        <f t="shared" si="3999"/>
        <v>599.29100000000005</v>
      </c>
      <c r="BR172" s="720">
        <f t="shared" si="3999"/>
        <v>7894.2910000000011</v>
      </c>
      <c r="BS172" s="720">
        <f t="shared" si="3999"/>
        <v>1920</v>
      </c>
      <c r="BT172" s="720">
        <f t="shared" si="3999"/>
        <v>750</v>
      </c>
      <c r="BU172" s="720">
        <f t="shared" si="3999"/>
        <v>0</v>
      </c>
      <c r="BV172" s="720">
        <f t="shared" si="3999"/>
        <v>0</v>
      </c>
      <c r="BW172" s="720">
        <f t="shared" si="3999"/>
        <v>0</v>
      </c>
      <c r="BX172" s="720">
        <f t="shared" si="3999"/>
        <v>0</v>
      </c>
      <c r="BY172" s="720">
        <f t="shared" si="3999"/>
        <v>0</v>
      </c>
      <c r="BZ172" s="720">
        <f t="shared" si="3999"/>
        <v>243.26400000000001</v>
      </c>
      <c r="CA172" s="720">
        <f t="shared" si="3999"/>
        <v>2913.2640000000001</v>
      </c>
      <c r="CB172" s="720">
        <f t="shared" si="3999"/>
        <v>0</v>
      </c>
      <c r="CC172" s="720">
        <f t="shared" si="3999"/>
        <v>0</v>
      </c>
      <c r="CD172" s="720">
        <f t="shared" si="3999"/>
        <v>0</v>
      </c>
      <c r="CE172" s="720">
        <f t="shared" si="3999"/>
        <v>0</v>
      </c>
      <c r="CF172" s="720">
        <f t="shared" si="3999"/>
        <v>0</v>
      </c>
      <c r="CG172" s="720">
        <f t="shared" si="3999"/>
        <v>0</v>
      </c>
      <c r="CH172" s="720">
        <f t="shared" si="3999"/>
        <v>0</v>
      </c>
      <c r="CI172" s="720">
        <f t="shared" si="3999"/>
        <v>0</v>
      </c>
      <c r="CJ172" s="720">
        <f t="shared" si="3999"/>
        <v>0</v>
      </c>
      <c r="CK172" s="720">
        <f t="shared" si="3999"/>
        <v>0</v>
      </c>
      <c r="CL172" s="720">
        <f t="shared" si="3999"/>
        <v>0</v>
      </c>
      <c r="CM172" s="720">
        <f t="shared" si="3999"/>
        <v>0</v>
      </c>
      <c r="CN172" s="720">
        <f t="shared" si="3999"/>
        <v>0</v>
      </c>
      <c r="CO172" s="720">
        <f t="shared" si="3999"/>
        <v>0</v>
      </c>
      <c r="CP172" s="720">
        <f t="shared" si="3999"/>
        <v>0</v>
      </c>
      <c r="CQ172" s="720">
        <f t="shared" si="3999"/>
        <v>0</v>
      </c>
      <c r="CR172" s="720">
        <f t="shared" si="3999"/>
        <v>0</v>
      </c>
      <c r="CS172" s="720">
        <f t="shared" si="3999"/>
        <v>0</v>
      </c>
      <c r="CT172" s="720"/>
    </row>
    <row r="173" spans="7:98" ht="12.75">
      <c r="G173" s="719">
        <f t="shared" si="3985"/>
        <v>19</v>
      </c>
      <c r="H173" s="900" t="s">
        <v>100</v>
      </c>
      <c r="BA173" s="720">
        <f t="shared" ref="BA173:CS173" si="4000">+BA97</f>
        <v>7752.1660000000002</v>
      </c>
      <c r="BB173" s="720">
        <f t="shared" si="4000"/>
        <v>1013.64</v>
      </c>
      <c r="BC173" s="720">
        <f t="shared" si="4000"/>
        <v>10</v>
      </c>
      <c r="BD173" s="720">
        <f t="shared" si="4000"/>
        <v>273.45175</v>
      </c>
      <c r="BE173" s="720">
        <f t="shared" si="4000"/>
        <v>0</v>
      </c>
      <c r="BF173" s="720">
        <f t="shared" si="4000"/>
        <v>0</v>
      </c>
      <c r="BG173" s="720">
        <f t="shared" si="4000"/>
        <v>0</v>
      </c>
      <c r="BH173" s="720">
        <f t="shared" si="4000"/>
        <v>1016.8457689250001</v>
      </c>
      <c r="BI173" s="720">
        <f t="shared" si="4000"/>
        <v>10056.103518925001</v>
      </c>
      <c r="BJ173" s="720">
        <f t="shared" si="4000"/>
        <v>5301.6530000000002</v>
      </c>
      <c r="BK173" s="720">
        <f t="shared" si="4000"/>
        <v>2716.82</v>
      </c>
      <c r="BL173" s="720">
        <f t="shared" si="4000"/>
        <v>150</v>
      </c>
      <c r="BM173" s="720">
        <f t="shared" si="4000"/>
        <v>3933.9382500000002</v>
      </c>
      <c r="BN173" s="720">
        <f t="shared" si="4000"/>
        <v>0</v>
      </c>
      <c r="BO173" s="720">
        <f t="shared" si="4000"/>
        <v>0</v>
      </c>
      <c r="BP173" s="720">
        <f t="shared" si="4000"/>
        <v>0</v>
      </c>
      <c r="BQ173" s="720">
        <f t="shared" si="4000"/>
        <v>1170.149411375</v>
      </c>
      <c r="BR173" s="720">
        <f t="shared" si="4000"/>
        <v>13122.560661375001</v>
      </c>
      <c r="BS173" s="720">
        <f t="shared" si="4000"/>
        <v>3300.5129999999999</v>
      </c>
      <c r="BT173" s="720">
        <f t="shared" si="4000"/>
        <v>286.82</v>
      </c>
      <c r="BU173" s="720">
        <f t="shared" si="4000"/>
        <v>0</v>
      </c>
      <c r="BV173" s="720">
        <f t="shared" si="4000"/>
        <v>0</v>
      </c>
      <c r="BW173" s="720">
        <f t="shared" si="4000"/>
        <v>0</v>
      </c>
      <c r="BX173" s="720">
        <f t="shared" si="4000"/>
        <v>0</v>
      </c>
      <c r="BY173" s="720">
        <f t="shared" si="4000"/>
        <v>0</v>
      </c>
      <c r="BZ173" s="720">
        <f t="shared" si="4000"/>
        <v>418.17499710000004</v>
      </c>
      <c r="CA173" s="720">
        <f t="shared" si="4000"/>
        <v>4005.5079971000005</v>
      </c>
      <c r="CB173" s="720">
        <f t="shared" si="4000"/>
        <v>0</v>
      </c>
      <c r="CC173" s="720">
        <f t="shared" si="4000"/>
        <v>0</v>
      </c>
      <c r="CD173" s="720">
        <f t="shared" si="4000"/>
        <v>0</v>
      </c>
      <c r="CE173" s="720">
        <f t="shared" si="4000"/>
        <v>0</v>
      </c>
      <c r="CF173" s="720">
        <f t="shared" si="4000"/>
        <v>0</v>
      </c>
      <c r="CG173" s="720">
        <f t="shared" si="4000"/>
        <v>0</v>
      </c>
      <c r="CH173" s="720">
        <f t="shared" si="4000"/>
        <v>0</v>
      </c>
      <c r="CI173" s="720">
        <f t="shared" si="4000"/>
        <v>0</v>
      </c>
      <c r="CJ173" s="720">
        <f t="shared" si="4000"/>
        <v>0</v>
      </c>
      <c r="CK173" s="720">
        <f t="shared" si="4000"/>
        <v>0</v>
      </c>
      <c r="CL173" s="720">
        <f t="shared" si="4000"/>
        <v>0</v>
      </c>
      <c r="CM173" s="720">
        <f t="shared" si="4000"/>
        <v>0</v>
      </c>
      <c r="CN173" s="720">
        <f t="shared" si="4000"/>
        <v>0</v>
      </c>
      <c r="CO173" s="720">
        <f t="shared" si="4000"/>
        <v>0</v>
      </c>
      <c r="CP173" s="720">
        <f t="shared" si="4000"/>
        <v>0</v>
      </c>
      <c r="CQ173" s="720">
        <f t="shared" si="4000"/>
        <v>0</v>
      </c>
      <c r="CR173" s="720">
        <f t="shared" si="4000"/>
        <v>0</v>
      </c>
      <c r="CS173" s="720">
        <f t="shared" si="4000"/>
        <v>0</v>
      </c>
    </row>
    <row r="174" spans="7:98" ht="12.75">
      <c r="G174" s="719">
        <f t="shared" si="3985"/>
        <v>20</v>
      </c>
      <c r="H174" s="900" t="s">
        <v>106</v>
      </c>
      <c r="BA174" s="720">
        <f t="shared" ref="BA174:CA174" si="4001">+BA91</f>
        <v>7812.2800000000007</v>
      </c>
      <c r="BB174" s="720">
        <f t="shared" si="4001"/>
        <v>1261.2233333333334</v>
      </c>
      <c r="BC174" s="720">
        <f t="shared" si="4001"/>
        <v>17</v>
      </c>
      <c r="BD174" s="720">
        <f t="shared" si="4001"/>
        <v>471.90350000000001</v>
      </c>
      <c r="BE174" s="720">
        <f t="shared" si="4001"/>
        <v>0</v>
      </c>
      <c r="BF174" s="720">
        <f t="shared" si="4001"/>
        <v>0</v>
      </c>
      <c r="BG174" s="720">
        <f t="shared" si="4001"/>
        <v>0</v>
      </c>
      <c r="BH174" s="720">
        <f t="shared" si="4001"/>
        <v>1049.6060494500002</v>
      </c>
      <c r="BI174" s="720">
        <f t="shared" si="4001"/>
        <v>10595.012882783332</v>
      </c>
      <c r="BJ174" s="720">
        <f t="shared" si="4001"/>
        <v>5311.3680000000004</v>
      </c>
      <c r="BK174" s="720">
        <f t="shared" si="4001"/>
        <v>2500.7673333333332</v>
      </c>
      <c r="BL174" s="720">
        <f t="shared" si="4001"/>
        <v>7</v>
      </c>
      <c r="BM174" s="720">
        <f t="shared" si="4001"/>
        <v>175.09975</v>
      </c>
      <c r="BN174" s="720">
        <f t="shared" si="4001"/>
        <v>0</v>
      </c>
      <c r="BO174" s="720">
        <f t="shared" si="4001"/>
        <v>0</v>
      </c>
      <c r="BP174" s="720">
        <f t="shared" si="4001"/>
        <v>0</v>
      </c>
      <c r="BQ174" s="720">
        <f t="shared" si="4001"/>
        <v>695.13546392499995</v>
      </c>
      <c r="BR174" s="720">
        <f t="shared" si="4001"/>
        <v>8682.3705472583333</v>
      </c>
      <c r="BS174" s="720">
        <f t="shared" si="4001"/>
        <v>3280.9120000000003</v>
      </c>
      <c r="BT174" s="720">
        <f t="shared" si="4001"/>
        <v>261.1226666666667</v>
      </c>
      <c r="BU174" s="720">
        <f t="shared" si="4001"/>
        <v>0</v>
      </c>
      <c r="BV174" s="720">
        <f t="shared" si="4001"/>
        <v>0</v>
      </c>
      <c r="BW174" s="720">
        <f t="shared" si="4001"/>
        <v>0</v>
      </c>
      <c r="BX174" s="720">
        <f t="shared" si="4001"/>
        <v>0</v>
      </c>
      <c r="BY174" s="720">
        <f t="shared" si="4001"/>
        <v>0</v>
      </c>
      <c r="BZ174" s="720">
        <f t="shared" si="4001"/>
        <v>415.6915504000001</v>
      </c>
      <c r="CA174" s="720">
        <f t="shared" si="4001"/>
        <v>3957.7262170666672</v>
      </c>
      <c r="CB174" s="720">
        <f t="shared" ref="CB174:CS174" si="4002">+CB98</f>
        <v>0</v>
      </c>
      <c r="CC174" s="720">
        <f t="shared" si="4002"/>
        <v>0</v>
      </c>
      <c r="CD174" s="720">
        <f t="shared" si="4002"/>
        <v>0</v>
      </c>
      <c r="CE174" s="720">
        <f t="shared" si="4002"/>
        <v>0</v>
      </c>
      <c r="CF174" s="720">
        <f t="shared" si="4002"/>
        <v>0</v>
      </c>
      <c r="CG174" s="720">
        <f t="shared" si="4002"/>
        <v>0</v>
      </c>
      <c r="CH174" s="720">
        <f t="shared" si="4002"/>
        <v>0</v>
      </c>
      <c r="CI174" s="720">
        <f t="shared" si="4002"/>
        <v>0</v>
      </c>
      <c r="CJ174" s="720">
        <f t="shared" si="4002"/>
        <v>0</v>
      </c>
      <c r="CK174" s="720">
        <f t="shared" si="4002"/>
        <v>0</v>
      </c>
      <c r="CL174" s="720">
        <f t="shared" si="4002"/>
        <v>0</v>
      </c>
      <c r="CM174" s="720">
        <f t="shared" si="4002"/>
        <v>0</v>
      </c>
      <c r="CN174" s="720">
        <f t="shared" si="4002"/>
        <v>0</v>
      </c>
      <c r="CO174" s="720">
        <f t="shared" si="4002"/>
        <v>0</v>
      </c>
      <c r="CP174" s="720">
        <f t="shared" si="4002"/>
        <v>0</v>
      </c>
      <c r="CQ174" s="720">
        <f t="shared" si="4002"/>
        <v>0</v>
      </c>
      <c r="CR174" s="720">
        <f t="shared" si="4002"/>
        <v>0</v>
      </c>
      <c r="CS174" s="720">
        <f t="shared" si="4002"/>
        <v>0</v>
      </c>
      <c r="CT174" s="720"/>
    </row>
    <row r="175" spans="7:98" ht="12.75">
      <c r="G175" s="719">
        <f t="shared" si="3985"/>
        <v>21</v>
      </c>
      <c r="H175" s="714" t="s">
        <v>110</v>
      </c>
      <c r="BA175" s="720">
        <f t="shared" ref="BA175:CS175" si="4003">+BA135</f>
        <v>9126.14</v>
      </c>
      <c r="BB175" s="720">
        <f t="shared" si="4003"/>
        <v>3701.665</v>
      </c>
      <c r="BC175" s="720">
        <f t="shared" si="4003"/>
        <v>2</v>
      </c>
      <c r="BD175" s="720">
        <f t="shared" si="4003"/>
        <v>50.028500000000001</v>
      </c>
      <c r="BE175" s="720">
        <f t="shared" si="4003"/>
        <v>0</v>
      </c>
      <c r="BF175" s="720">
        <f t="shared" si="4003"/>
        <v>0</v>
      </c>
      <c r="BG175" s="720">
        <f t="shared" si="4003"/>
        <v>350</v>
      </c>
      <c r="BH175" s="720">
        <f t="shared" si="4003"/>
        <v>1206.9655489500001</v>
      </c>
      <c r="BI175" s="720">
        <f t="shared" si="4003"/>
        <v>14434.799048950001</v>
      </c>
      <c r="BJ175" s="720">
        <f t="shared" si="4003"/>
        <v>5910.57</v>
      </c>
      <c r="BK175" s="720">
        <f t="shared" si="4003"/>
        <v>3393.33</v>
      </c>
      <c r="BL175" s="720">
        <f t="shared" si="4003"/>
        <v>4</v>
      </c>
      <c r="BM175" s="720">
        <f t="shared" si="4003"/>
        <v>102.52850000000001</v>
      </c>
      <c r="BN175" s="720">
        <f t="shared" si="4003"/>
        <v>0</v>
      </c>
      <c r="BO175" s="720">
        <f t="shared" si="4003"/>
        <v>0</v>
      </c>
      <c r="BP175" s="720">
        <f t="shared" si="4003"/>
        <v>175</v>
      </c>
      <c r="BQ175" s="720">
        <f t="shared" si="4003"/>
        <v>784.03207995000014</v>
      </c>
      <c r="BR175" s="720">
        <f t="shared" si="4003"/>
        <v>10365.46057995</v>
      </c>
      <c r="BS175" s="720">
        <f t="shared" si="4003"/>
        <v>3540.57</v>
      </c>
      <c r="BT175" s="720">
        <f t="shared" si="4003"/>
        <v>548.32999999999993</v>
      </c>
      <c r="BU175" s="720">
        <f t="shared" si="4003"/>
        <v>0</v>
      </c>
      <c r="BV175" s="720">
        <f t="shared" si="4003"/>
        <v>0</v>
      </c>
      <c r="BW175" s="720">
        <f t="shared" si="4003"/>
        <v>0</v>
      </c>
      <c r="BX175" s="720">
        <f t="shared" si="4003"/>
        <v>0</v>
      </c>
      <c r="BY175" s="720">
        <f t="shared" si="4003"/>
        <v>175</v>
      </c>
      <c r="BZ175" s="720">
        <f t="shared" si="4003"/>
        <v>470.762719</v>
      </c>
      <c r="CA175" s="720">
        <f t="shared" si="4003"/>
        <v>4734.6627189999999</v>
      </c>
      <c r="CB175" s="720">
        <f t="shared" si="4003"/>
        <v>325</v>
      </c>
      <c r="CC175" s="720">
        <f t="shared" si="4003"/>
        <v>40</v>
      </c>
      <c r="CD175" s="720">
        <f t="shared" si="4003"/>
        <v>0</v>
      </c>
      <c r="CE175" s="720">
        <f t="shared" si="4003"/>
        <v>0</v>
      </c>
      <c r="CF175" s="720">
        <f t="shared" si="4003"/>
        <v>0</v>
      </c>
      <c r="CG175" s="720">
        <f t="shared" si="4003"/>
        <v>0</v>
      </c>
      <c r="CH175" s="720">
        <f t="shared" si="4003"/>
        <v>0</v>
      </c>
      <c r="CI175" s="720">
        <f t="shared" si="4003"/>
        <v>41.177500000000002</v>
      </c>
      <c r="CJ175" s="720">
        <f t="shared" si="4003"/>
        <v>406.17750000000001</v>
      </c>
      <c r="CK175" s="720">
        <f t="shared" si="4003"/>
        <v>0</v>
      </c>
      <c r="CL175" s="720">
        <f t="shared" si="4003"/>
        <v>0</v>
      </c>
      <c r="CM175" s="720">
        <f t="shared" si="4003"/>
        <v>0</v>
      </c>
      <c r="CN175" s="720">
        <f t="shared" si="4003"/>
        <v>0</v>
      </c>
      <c r="CO175" s="720">
        <f t="shared" si="4003"/>
        <v>0</v>
      </c>
      <c r="CP175" s="720">
        <f t="shared" si="4003"/>
        <v>0</v>
      </c>
      <c r="CQ175" s="720">
        <f t="shared" si="4003"/>
        <v>0</v>
      </c>
      <c r="CR175" s="720">
        <f t="shared" si="4003"/>
        <v>0</v>
      </c>
      <c r="CS175" s="720">
        <f t="shared" si="4003"/>
        <v>0</v>
      </c>
      <c r="CT175" s="720"/>
    </row>
    <row r="176" spans="7:98" ht="12.75">
      <c r="G176" s="719">
        <f t="shared" si="3985"/>
        <v>22</v>
      </c>
      <c r="H176" s="714" t="s">
        <v>115</v>
      </c>
      <c r="CT176" s="720"/>
    </row>
    <row r="177" spans="1:266" ht="12.75">
      <c r="G177" s="719">
        <f t="shared" si="3985"/>
        <v>23</v>
      </c>
      <c r="H177" s="714" t="s">
        <v>116</v>
      </c>
    </row>
    <row r="178" spans="1:266" ht="12.75">
      <c r="G178" s="719">
        <f t="shared" si="3985"/>
        <v>24</v>
      </c>
      <c r="H178" s="714" t="s">
        <v>193</v>
      </c>
      <c r="CT178" s="720"/>
    </row>
    <row r="179" spans="1:266" ht="12.75">
      <c r="G179" s="719">
        <f t="shared" si="3985"/>
        <v>25</v>
      </c>
      <c r="H179" s="714" t="s">
        <v>345</v>
      </c>
      <c r="CT179" s="720"/>
    </row>
    <row r="180" spans="1:266" ht="12.75">
      <c r="G180" s="719">
        <f t="shared" si="3985"/>
        <v>26</v>
      </c>
      <c r="H180" s="714" t="s">
        <v>121</v>
      </c>
    </row>
    <row r="181" spans="1:266" ht="12.75">
      <c r="G181" s="719">
        <f t="shared" si="3985"/>
        <v>27</v>
      </c>
      <c r="H181" s="714" t="s">
        <v>122</v>
      </c>
    </row>
    <row r="182" spans="1:266" ht="12.75">
      <c r="G182" s="719" t="e">
        <f>+#REF!+1</f>
        <v>#REF!</v>
      </c>
      <c r="H182" s="901" t="str">
        <f>+G63</f>
        <v>Mercadeo</v>
      </c>
      <c r="BA182" s="720" t="s">
        <v>52</v>
      </c>
      <c r="BB182" s="720" t="s">
        <v>52</v>
      </c>
      <c r="BC182" s="720" t="s">
        <v>52</v>
      </c>
      <c r="BD182" s="720" t="s">
        <v>52</v>
      </c>
      <c r="BE182" s="720" t="s">
        <v>52</v>
      </c>
      <c r="BF182" s="720" t="s">
        <v>52</v>
      </c>
      <c r="BG182" s="720" t="s">
        <v>52</v>
      </c>
      <c r="BH182" s="720" t="s">
        <v>52</v>
      </c>
      <c r="BI182" s="720" t="s">
        <v>52</v>
      </c>
      <c r="BJ182" s="720" t="s">
        <v>52</v>
      </c>
      <c r="BK182" s="720" t="s">
        <v>52</v>
      </c>
      <c r="BL182" s="720" t="s">
        <v>52</v>
      </c>
      <c r="BM182" s="720" t="s">
        <v>52</v>
      </c>
      <c r="BN182" s="720" t="s">
        <v>52</v>
      </c>
      <c r="BO182" s="720" t="s">
        <v>52</v>
      </c>
      <c r="BP182" s="720" t="s">
        <v>52</v>
      </c>
      <c r="BQ182" s="720" t="s">
        <v>52</v>
      </c>
      <c r="BR182" s="720" t="s">
        <v>52</v>
      </c>
      <c r="BS182" s="720" t="s">
        <v>52</v>
      </c>
      <c r="BT182" s="720" t="s">
        <v>52</v>
      </c>
      <c r="BU182" s="720" t="s">
        <v>52</v>
      </c>
      <c r="BV182" s="720" t="s">
        <v>52</v>
      </c>
      <c r="BW182" s="720" t="s">
        <v>52</v>
      </c>
      <c r="BX182" s="720" t="s">
        <v>52</v>
      </c>
      <c r="BY182" s="720" t="s">
        <v>52</v>
      </c>
      <c r="BZ182" s="720" t="s">
        <v>52</v>
      </c>
      <c r="CA182" s="720" t="s">
        <v>52</v>
      </c>
      <c r="CB182" s="720" t="s">
        <v>52</v>
      </c>
      <c r="CC182" s="720" t="s">
        <v>52</v>
      </c>
      <c r="CD182" s="720" t="s">
        <v>52</v>
      </c>
      <c r="CE182" s="720" t="s">
        <v>52</v>
      </c>
      <c r="CF182" s="720" t="s">
        <v>52</v>
      </c>
      <c r="CG182" s="720" t="s">
        <v>52</v>
      </c>
      <c r="CH182" s="720" t="s">
        <v>52</v>
      </c>
      <c r="CI182" s="720" t="s">
        <v>52</v>
      </c>
      <c r="CJ182" s="720" t="s">
        <v>52</v>
      </c>
      <c r="CK182" s="720" t="s">
        <v>52</v>
      </c>
      <c r="CL182" s="720" t="s">
        <v>52</v>
      </c>
      <c r="CM182" s="720" t="s">
        <v>52</v>
      </c>
      <c r="CN182" s="720" t="s">
        <v>52</v>
      </c>
      <c r="CO182" s="720" t="s">
        <v>52</v>
      </c>
      <c r="CP182" s="720" t="s">
        <v>52</v>
      </c>
      <c r="CQ182" s="720" t="s">
        <v>52</v>
      </c>
      <c r="CR182" s="720" t="s">
        <v>52</v>
      </c>
      <c r="CS182" s="720" t="s">
        <v>52</v>
      </c>
    </row>
    <row r="183" spans="1:266" s="902" customFormat="1" ht="12.75">
      <c r="A183" s="724"/>
      <c r="B183" s="724"/>
      <c r="F183" s="707"/>
      <c r="G183" s="719" t="e">
        <f t="shared" si="3985"/>
        <v>#REF!</v>
      </c>
      <c r="H183" s="901" t="str">
        <f>+G64</f>
        <v>Administracion</v>
      </c>
      <c r="I183" s="712"/>
      <c r="J183" s="720"/>
      <c r="K183" s="720"/>
      <c r="L183" s="720"/>
      <c r="M183" s="720"/>
      <c r="N183" s="721"/>
      <c r="O183" s="721"/>
      <c r="P183" s="721"/>
      <c r="Q183" s="721"/>
      <c r="R183" s="721"/>
      <c r="S183" s="721"/>
      <c r="T183" s="720"/>
      <c r="U183" s="720"/>
      <c r="V183" s="720"/>
      <c r="W183" s="720"/>
      <c r="X183" s="720"/>
      <c r="Y183" s="720"/>
      <c r="Z183" s="720"/>
      <c r="AA183" s="720"/>
      <c r="AB183" s="720"/>
      <c r="AC183" s="720"/>
      <c r="AD183" s="720"/>
      <c r="AE183" s="720"/>
      <c r="AF183" s="720"/>
      <c r="AG183" s="720"/>
      <c r="AH183" s="720"/>
      <c r="AI183" s="720"/>
      <c r="AJ183" s="720"/>
      <c r="AK183" s="780"/>
      <c r="AL183" s="780"/>
      <c r="AM183" s="780"/>
      <c r="AN183" s="780"/>
      <c r="AO183" s="720"/>
      <c r="AP183" s="720"/>
      <c r="AQ183" s="720"/>
      <c r="AR183" s="720"/>
      <c r="AS183" s="720"/>
      <c r="AT183" s="720"/>
      <c r="AU183" s="720"/>
      <c r="AV183" s="720"/>
      <c r="AW183" s="720"/>
      <c r="AX183" s="720"/>
      <c r="AY183" s="720"/>
      <c r="AZ183" s="712"/>
      <c r="BA183" s="720" t="s">
        <v>52</v>
      </c>
      <c r="BB183" s="720" t="s">
        <v>52</v>
      </c>
      <c r="BC183" s="720" t="s">
        <v>52</v>
      </c>
      <c r="BD183" s="720" t="s">
        <v>52</v>
      </c>
      <c r="BE183" s="720" t="s">
        <v>52</v>
      </c>
      <c r="BF183" s="720" t="s">
        <v>52</v>
      </c>
      <c r="BG183" s="720" t="s">
        <v>52</v>
      </c>
      <c r="BH183" s="720" t="s">
        <v>52</v>
      </c>
      <c r="BI183" s="720" t="s">
        <v>52</v>
      </c>
      <c r="BJ183" s="720" t="s">
        <v>52</v>
      </c>
      <c r="BK183" s="720" t="s">
        <v>52</v>
      </c>
      <c r="BL183" s="720" t="s">
        <v>52</v>
      </c>
      <c r="BM183" s="720" t="s">
        <v>52</v>
      </c>
      <c r="BN183" s="720" t="s">
        <v>52</v>
      </c>
      <c r="BO183" s="720" t="s">
        <v>52</v>
      </c>
      <c r="BP183" s="720" t="s">
        <v>52</v>
      </c>
      <c r="BQ183" s="720" t="s">
        <v>52</v>
      </c>
      <c r="BR183" s="720" t="s">
        <v>52</v>
      </c>
      <c r="BS183" s="720" t="s">
        <v>52</v>
      </c>
      <c r="BT183" s="720" t="s">
        <v>52</v>
      </c>
      <c r="BU183" s="720" t="s">
        <v>52</v>
      </c>
      <c r="BV183" s="720" t="s">
        <v>52</v>
      </c>
      <c r="BW183" s="720" t="s">
        <v>52</v>
      </c>
      <c r="BX183" s="720" t="s">
        <v>52</v>
      </c>
      <c r="BY183" s="720" t="s">
        <v>52</v>
      </c>
      <c r="BZ183" s="720" t="s">
        <v>52</v>
      </c>
      <c r="CA183" s="720" t="s">
        <v>52</v>
      </c>
      <c r="CB183" s="720" t="s">
        <v>52</v>
      </c>
      <c r="CC183" s="720" t="s">
        <v>52</v>
      </c>
      <c r="CD183" s="720" t="s">
        <v>52</v>
      </c>
      <c r="CE183" s="720" t="s">
        <v>52</v>
      </c>
      <c r="CF183" s="720" t="s">
        <v>52</v>
      </c>
      <c r="CG183" s="720" t="s">
        <v>52</v>
      </c>
      <c r="CH183" s="720" t="s">
        <v>52</v>
      </c>
      <c r="CI183" s="720" t="s">
        <v>52</v>
      </c>
      <c r="CJ183" s="720" t="s">
        <v>52</v>
      </c>
      <c r="CK183" s="720" t="s">
        <v>52</v>
      </c>
      <c r="CL183" s="720" t="s">
        <v>52</v>
      </c>
      <c r="CM183" s="720" t="s">
        <v>52</v>
      </c>
      <c r="CN183" s="720" t="s">
        <v>52</v>
      </c>
      <c r="CO183" s="720" t="s">
        <v>52</v>
      </c>
      <c r="CP183" s="720" t="s">
        <v>52</v>
      </c>
      <c r="CQ183" s="720" t="s">
        <v>52</v>
      </c>
      <c r="CR183" s="720" t="s">
        <v>52</v>
      </c>
      <c r="CS183" s="720" t="s">
        <v>52</v>
      </c>
      <c r="CT183" s="712"/>
      <c r="CU183" s="712"/>
      <c r="CV183" s="720"/>
      <c r="CW183" s="720"/>
      <c r="CX183" s="720"/>
      <c r="CY183" s="720"/>
      <c r="CZ183" s="720"/>
      <c r="DA183" s="720"/>
      <c r="DB183" s="720"/>
      <c r="DC183" s="720"/>
      <c r="DD183" s="720"/>
      <c r="DE183" s="720"/>
      <c r="DF183" s="720"/>
      <c r="DG183" s="720"/>
      <c r="DH183" s="720"/>
      <c r="DI183" s="720"/>
      <c r="DJ183" s="720"/>
      <c r="DK183" s="720"/>
      <c r="DL183" s="720"/>
      <c r="DM183" s="720"/>
      <c r="DN183" s="720"/>
      <c r="DO183" s="720"/>
      <c r="DP183" s="720"/>
      <c r="DQ183" s="720"/>
      <c r="DR183" s="720"/>
      <c r="DS183" s="720"/>
      <c r="DT183" s="720"/>
      <c r="DU183" s="720"/>
      <c r="DV183" s="720"/>
      <c r="DW183" s="720"/>
      <c r="DX183" s="720"/>
      <c r="DY183" s="720"/>
      <c r="DZ183" s="720"/>
      <c r="EA183" s="720"/>
      <c r="EB183" s="720"/>
      <c r="EC183" s="720"/>
      <c r="ED183" s="720"/>
      <c r="EE183" s="720"/>
      <c r="EF183" s="720"/>
      <c r="EG183" s="720"/>
      <c r="EH183" s="720"/>
      <c r="EI183" s="720"/>
      <c r="EJ183" s="720"/>
      <c r="EK183" s="720"/>
      <c r="EL183" s="720"/>
      <c r="EM183" s="720"/>
      <c r="EN183" s="720"/>
      <c r="EO183" s="712"/>
      <c r="EP183" s="945"/>
      <c r="EQ183" s="712"/>
      <c r="ER183" s="712"/>
      <c r="ES183" s="712"/>
      <c r="ET183" s="712"/>
      <c r="EU183" s="712"/>
      <c r="EV183" s="712"/>
      <c r="EW183" s="712"/>
      <c r="EX183" s="712"/>
      <c r="EY183" s="712"/>
      <c r="EZ183" s="712"/>
      <c r="FA183" s="712"/>
      <c r="FB183" s="712"/>
      <c r="FC183" s="712"/>
      <c r="FD183" s="712"/>
      <c r="FE183" s="712"/>
      <c r="FF183" s="712"/>
      <c r="FG183" s="712"/>
      <c r="FH183" s="712"/>
      <c r="FI183" s="712"/>
      <c r="FJ183" s="712"/>
      <c r="FK183" s="712"/>
      <c r="FL183" s="712"/>
      <c r="FM183" s="712"/>
      <c r="FN183" s="712"/>
      <c r="FO183" s="712"/>
      <c r="FP183" s="712"/>
      <c r="FQ183" s="712"/>
      <c r="FR183" s="712"/>
      <c r="FS183" s="712"/>
      <c r="FT183" s="712"/>
      <c r="FU183" s="712"/>
      <c r="FV183" s="712"/>
      <c r="FW183" s="712"/>
      <c r="FX183" s="712"/>
      <c r="FY183" s="712"/>
      <c r="FZ183" s="712"/>
      <c r="GA183" s="712"/>
      <c r="GB183" s="712"/>
      <c r="GC183" s="712"/>
      <c r="GD183" s="712"/>
      <c r="GE183" s="712"/>
      <c r="GF183" s="712"/>
      <c r="GG183" s="712"/>
      <c r="GH183" s="712"/>
      <c r="GI183" s="712"/>
      <c r="GJ183" s="712"/>
      <c r="GK183" s="712"/>
      <c r="GL183" s="712"/>
      <c r="GM183" s="712"/>
      <c r="GN183" s="712"/>
      <c r="GO183" s="712"/>
      <c r="GP183" s="712"/>
      <c r="GQ183" s="712"/>
      <c r="GR183" s="712"/>
      <c r="GS183" s="712"/>
      <c r="GT183" s="712"/>
      <c r="GU183" s="712"/>
      <c r="GV183" s="712"/>
      <c r="GW183" s="712"/>
      <c r="GX183" s="712"/>
      <c r="GY183" s="712"/>
      <c r="GZ183" s="712"/>
      <c r="HA183" s="712"/>
      <c r="HB183" s="712"/>
      <c r="HC183" s="712"/>
      <c r="HD183" s="712"/>
      <c r="HE183" s="712"/>
      <c r="HF183" s="712"/>
      <c r="HG183" s="712"/>
      <c r="HH183" s="712"/>
      <c r="HI183" s="712"/>
      <c r="HJ183" s="712"/>
      <c r="HK183" s="712"/>
      <c r="HL183" s="712"/>
      <c r="HM183" s="712"/>
      <c r="HN183" s="712"/>
      <c r="HO183" s="712"/>
      <c r="HP183" s="712"/>
      <c r="HQ183" s="712"/>
      <c r="HR183" s="712"/>
      <c r="HS183" s="712"/>
      <c r="HT183" s="712"/>
      <c r="HU183" s="712"/>
      <c r="HV183" s="712"/>
      <c r="HW183" s="712"/>
      <c r="HX183" s="712"/>
      <c r="HY183" s="712"/>
      <c r="HZ183" s="712"/>
      <c r="IA183" s="712"/>
      <c r="IB183" s="712"/>
      <c r="IC183" s="712"/>
      <c r="ID183" s="712"/>
      <c r="IE183" s="712"/>
      <c r="IF183" s="712"/>
      <c r="IG183" s="712"/>
      <c r="IH183" s="712"/>
      <c r="II183" s="712"/>
      <c r="IJ183" s="712"/>
      <c r="IK183" s="712"/>
      <c r="IL183" s="712"/>
      <c r="IM183" s="712"/>
      <c r="IN183" s="712"/>
      <c r="IO183" s="712"/>
      <c r="IP183" s="712"/>
      <c r="IQ183" s="712"/>
      <c r="IR183" s="712"/>
      <c r="IS183" s="712"/>
      <c r="IT183" s="712"/>
      <c r="IU183" s="712"/>
      <c r="IV183" s="712"/>
      <c r="IW183" s="712"/>
      <c r="IX183" s="712"/>
      <c r="IY183" s="712"/>
      <c r="IZ183" s="712"/>
      <c r="JA183" s="712"/>
      <c r="JB183" s="712"/>
      <c r="JC183" s="712"/>
      <c r="JD183" s="712"/>
      <c r="JE183" s="712"/>
      <c r="JF183" s="712"/>
    </row>
    <row r="184" spans="1:266" ht="12.75">
      <c r="G184" s="719" t="e">
        <f t="shared" si="3985"/>
        <v>#REF!</v>
      </c>
      <c r="H184" s="714" t="s">
        <v>664</v>
      </c>
      <c r="BA184" s="720" t="s">
        <v>52</v>
      </c>
      <c r="BB184" s="720" t="s">
        <v>52</v>
      </c>
      <c r="BC184" s="720" t="s">
        <v>52</v>
      </c>
      <c r="BD184" s="720" t="s">
        <v>52</v>
      </c>
      <c r="BE184" s="720" t="s">
        <v>52</v>
      </c>
      <c r="BF184" s="720" t="s">
        <v>52</v>
      </c>
      <c r="BG184" s="720" t="s">
        <v>52</v>
      </c>
      <c r="BH184" s="720" t="s">
        <v>52</v>
      </c>
      <c r="BI184" s="720" t="s">
        <v>52</v>
      </c>
      <c r="BJ184" s="720" t="s">
        <v>52</v>
      </c>
      <c r="BK184" s="720" t="s">
        <v>52</v>
      </c>
      <c r="BL184" s="720" t="s">
        <v>52</v>
      </c>
      <c r="BM184" s="720" t="s">
        <v>52</v>
      </c>
      <c r="BN184" s="720" t="s">
        <v>52</v>
      </c>
      <c r="BO184" s="720" t="s">
        <v>52</v>
      </c>
      <c r="BP184" s="720" t="s">
        <v>52</v>
      </c>
      <c r="BQ184" s="720" t="s">
        <v>52</v>
      </c>
      <c r="BR184" s="720" t="s">
        <v>52</v>
      </c>
      <c r="BS184" s="720" t="s">
        <v>52</v>
      </c>
      <c r="BT184" s="720" t="s">
        <v>52</v>
      </c>
      <c r="BU184" s="720" t="s">
        <v>52</v>
      </c>
      <c r="BV184" s="720" t="s">
        <v>52</v>
      </c>
      <c r="BW184" s="720" t="s">
        <v>52</v>
      </c>
      <c r="BX184" s="720" t="s">
        <v>52</v>
      </c>
      <c r="BY184" s="720" t="s">
        <v>52</v>
      </c>
      <c r="BZ184" s="720" t="s">
        <v>52</v>
      </c>
      <c r="CA184" s="720" t="s">
        <v>52</v>
      </c>
      <c r="CB184" s="720" t="s">
        <v>52</v>
      </c>
      <c r="CC184" s="720" t="s">
        <v>52</v>
      </c>
      <c r="CD184" s="720" t="s">
        <v>52</v>
      </c>
      <c r="CE184" s="720" t="s">
        <v>52</v>
      </c>
      <c r="CF184" s="720" t="s">
        <v>52</v>
      </c>
      <c r="CG184" s="720" t="s">
        <v>52</v>
      </c>
      <c r="CH184" s="720" t="s">
        <v>52</v>
      </c>
      <c r="CI184" s="720" t="s">
        <v>52</v>
      </c>
      <c r="CJ184" s="720" t="s">
        <v>52</v>
      </c>
      <c r="CK184" s="720" t="s">
        <v>52</v>
      </c>
      <c r="CL184" s="720" t="s">
        <v>52</v>
      </c>
      <c r="CM184" s="720" t="s">
        <v>52</v>
      </c>
      <c r="CN184" s="720" t="s">
        <v>52</v>
      </c>
      <c r="CO184" s="720" t="s">
        <v>52</v>
      </c>
      <c r="CP184" s="720" t="s">
        <v>52</v>
      </c>
      <c r="CQ184" s="720" t="s">
        <v>52</v>
      </c>
      <c r="CR184" s="720" t="s">
        <v>52</v>
      </c>
      <c r="CS184" s="720" t="s">
        <v>52</v>
      </c>
    </row>
    <row r="185" spans="1:266" ht="12.75">
      <c r="G185" s="719" t="e">
        <f t="shared" si="3985"/>
        <v>#REF!</v>
      </c>
      <c r="H185" s="901" t="s">
        <v>52</v>
      </c>
      <c r="BA185" s="720" t="s">
        <v>52</v>
      </c>
      <c r="BB185" s="720" t="s">
        <v>52</v>
      </c>
      <c r="BC185" s="720" t="s">
        <v>52</v>
      </c>
      <c r="BD185" s="720" t="s">
        <v>52</v>
      </c>
      <c r="BE185" s="720" t="s">
        <v>52</v>
      </c>
      <c r="BF185" s="720" t="s">
        <v>52</v>
      </c>
      <c r="BG185" s="720" t="s">
        <v>52</v>
      </c>
      <c r="BH185" s="720" t="s">
        <v>52</v>
      </c>
      <c r="BI185" s="720" t="s">
        <v>52</v>
      </c>
      <c r="BJ185" s="720" t="s">
        <v>52</v>
      </c>
      <c r="BK185" s="720" t="s">
        <v>52</v>
      </c>
      <c r="BL185" s="720" t="s">
        <v>52</v>
      </c>
      <c r="BM185" s="720" t="s">
        <v>52</v>
      </c>
      <c r="BN185" s="720" t="s">
        <v>52</v>
      </c>
      <c r="BO185" s="720" t="s">
        <v>52</v>
      </c>
      <c r="BP185" s="720" t="s">
        <v>52</v>
      </c>
      <c r="BQ185" s="720" t="s">
        <v>52</v>
      </c>
      <c r="BR185" s="720" t="s">
        <v>52</v>
      </c>
      <c r="BS185" s="720" t="s">
        <v>52</v>
      </c>
      <c r="BT185" s="720" t="s">
        <v>52</v>
      </c>
      <c r="BU185" s="720" t="s">
        <v>52</v>
      </c>
      <c r="BV185" s="720" t="s">
        <v>52</v>
      </c>
      <c r="BW185" s="720" t="s">
        <v>52</v>
      </c>
      <c r="BX185" s="720" t="s">
        <v>52</v>
      </c>
      <c r="BY185" s="720" t="s">
        <v>52</v>
      </c>
      <c r="BZ185" s="720" t="s">
        <v>52</v>
      </c>
      <c r="CA185" s="720" t="s">
        <v>52</v>
      </c>
      <c r="CB185" s="720" t="s">
        <v>52</v>
      </c>
      <c r="CC185" s="720" t="s">
        <v>52</v>
      </c>
      <c r="CD185" s="720" t="s">
        <v>52</v>
      </c>
      <c r="CE185" s="720" t="s">
        <v>52</v>
      </c>
      <c r="CF185" s="720" t="s">
        <v>52</v>
      </c>
      <c r="CG185" s="720" t="s">
        <v>52</v>
      </c>
      <c r="CH185" s="720" t="s">
        <v>52</v>
      </c>
      <c r="CI185" s="720" t="s">
        <v>52</v>
      </c>
      <c r="CJ185" s="720" t="s">
        <v>52</v>
      </c>
      <c r="CK185" s="720" t="s">
        <v>52</v>
      </c>
      <c r="CL185" s="720" t="s">
        <v>52</v>
      </c>
      <c r="CM185" s="720" t="s">
        <v>52</v>
      </c>
      <c r="CN185" s="720" t="s">
        <v>52</v>
      </c>
      <c r="CO185" s="720" t="s">
        <v>52</v>
      </c>
      <c r="CP185" s="720" t="s">
        <v>52</v>
      </c>
      <c r="CQ185" s="720" t="s">
        <v>52</v>
      </c>
      <c r="CR185" s="720" t="s">
        <v>52</v>
      </c>
      <c r="CS185" s="720" t="s">
        <v>52</v>
      </c>
    </row>
    <row r="186" spans="1:266" ht="12.75">
      <c r="G186" s="719" t="e">
        <f t="shared" si="3985"/>
        <v>#REF!</v>
      </c>
      <c r="H186" s="901" t="s">
        <v>665</v>
      </c>
      <c r="BA186" s="720" t="s">
        <v>52</v>
      </c>
      <c r="BB186" s="720" t="s">
        <v>52</v>
      </c>
      <c r="BC186" s="720" t="s">
        <v>52</v>
      </c>
      <c r="BD186" s="720" t="s">
        <v>52</v>
      </c>
      <c r="BE186" s="720" t="s">
        <v>52</v>
      </c>
      <c r="BF186" s="720" t="s">
        <v>52</v>
      </c>
      <c r="BG186" s="720" t="s">
        <v>52</v>
      </c>
      <c r="BH186" s="720" t="s">
        <v>52</v>
      </c>
      <c r="BI186" s="720" t="s">
        <v>52</v>
      </c>
      <c r="BJ186" s="720" t="s">
        <v>52</v>
      </c>
      <c r="BK186" s="720" t="s">
        <v>52</v>
      </c>
      <c r="BL186" s="720" t="s">
        <v>52</v>
      </c>
      <c r="BM186" s="720" t="s">
        <v>52</v>
      </c>
      <c r="BN186" s="720" t="s">
        <v>52</v>
      </c>
      <c r="BO186" s="720" t="s">
        <v>52</v>
      </c>
      <c r="BP186" s="720" t="s">
        <v>52</v>
      </c>
      <c r="BQ186" s="720" t="s">
        <v>52</v>
      </c>
      <c r="BR186" s="720" t="s">
        <v>52</v>
      </c>
      <c r="BS186" s="720" t="s">
        <v>52</v>
      </c>
      <c r="BT186" s="720" t="s">
        <v>52</v>
      </c>
      <c r="BU186" s="720" t="s">
        <v>52</v>
      </c>
      <c r="BV186" s="720" t="s">
        <v>52</v>
      </c>
      <c r="BW186" s="720" t="s">
        <v>52</v>
      </c>
      <c r="BX186" s="720" t="s">
        <v>52</v>
      </c>
      <c r="BY186" s="720" t="s">
        <v>52</v>
      </c>
      <c r="BZ186" s="720" t="s">
        <v>52</v>
      </c>
      <c r="CA186" s="720" t="s">
        <v>52</v>
      </c>
      <c r="CB186" s="720" t="s">
        <v>52</v>
      </c>
      <c r="CC186" s="720" t="s">
        <v>52</v>
      </c>
      <c r="CD186" s="720" t="s">
        <v>52</v>
      </c>
      <c r="CE186" s="720" t="s">
        <v>52</v>
      </c>
      <c r="CF186" s="720" t="s">
        <v>52</v>
      </c>
      <c r="CG186" s="720" t="s">
        <v>52</v>
      </c>
      <c r="CH186" s="720" t="s">
        <v>52</v>
      </c>
      <c r="CI186" s="720" t="s">
        <v>52</v>
      </c>
      <c r="CJ186" s="720" t="s">
        <v>52</v>
      </c>
      <c r="CK186" s="720" t="s">
        <v>52</v>
      </c>
      <c r="CL186" s="720" t="s">
        <v>52</v>
      </c>
      <c r="CM186" s="720" t="s">
        <v>52</v>
      </c>
      <c r="CN186" s="720" t="s">
        <v>52</v>
      </c>
      <c r="CO186" s="720" t="s">
        <v>52</v>
      </c>
      <c r="CP186" s="720" t="s">
        <v>52</v>
      </c>
      <c r="CQ186" s="720" t="s">
        <v>52</v>
      </c>
      <c r="CR186" s="720" t="s">
        <v>52</v>
      </c>
      <c r="CS186" s="720" t="s">
        <v>52</v>
      </c>
      <c r="CT186" s="720"/>
    </row>
    <row r="187" spans="1:266" ht="13.5" thickBot="1">
      <c r="G187" s="714" t="s">
        <v>171</v>
      </c>
      <c r="H187" s="903" t="s">
        <v>171</v>
      </c>
      <c r="I187" s="902"/>
      <c r="J187" s="904"/>
      <c r="K187" s="904"/>
      <c r="L187" s="904"/>
      <c r="M187" s="904"/>
      <c r="N187" s="905"/>
      <c r="O187" s="905"/>
      <c r="P187" s="905"/>
      <c r="Q187" s="905"/>
      <c r="R187" s="905"/>
      <c r="S187" s="905"/>
      <c r="T187" s="904"/>
      <c r="U187" s="904"/>
      <c r="V187" s="904"/>
      <c r="W187" s="904"/>
      <c r="X187" s="904"/>
      <c r="Y187" s="904"/>
      <c r="Z187" s="904"/>
      <c r="AA187" s="904"/>
      <c r="AB187" s="904"/>
      <c r="AC187" s="904"/>
      <c r="AD187" s="904"/>
      <c r="AE187" s="904"/>
      <c r="AF187" s="904"/>
      <c r="AG187" s="904"/>
      <c r="AH187" s="904"/>
      <c r="AI187" s="904"/>
      <c r="AJ187" s="904"/>
      <c r="AK187" s="806"/>
      <c r="AL187" s="806"/>
      <c r="AM187" s="806"/>
      <c r="AN187" s="806"/>
      <c r="AO187" s="904"/>
      <c r="AP187" s="904"/>
      <c r="AQ187" s="904"/>
      <c r="AR187" s="904"/>
      <c r="AS187" s="904"/>
      <c r="AT187" s="904"/>
      <c r="AU187" s="904"/>
      <c r="AV187" s="904"/>
      <c r="AW187" s="904"/>
      <c r="AX187" s="904"/>
      <c r="AY187" s="904"/>
      <c r="AZ187" s="902"/>
      <c r="BA187" s="906">
        <f>SUM(BA156:BA186)</f>
        <v>134645.57103333331</v>
      </c>
      <c r="BB187" s="906">
        <f t="shared" ref="BB187:CS187" si="4004">SUM(BB156:BB186)</f>
        <v>42580.20616666667</v>
      </c>
      <c r="BC187" s="906">
        <f t="shared" si="4004"/>
        <v>101</v>
      </c>
      <c r="BD187" s="906">
        <f t="shared" si="4004"/>
        <v>2698.0443749999999</v>
      </c>
      <c r="BE187" s="906">
        <f t="shared" si="4004"/>
        <v>0</v>
      </c>
      <c r="BF187" s="906">
        <f t="shared" si="4004"/>
        <v>0</v>
      </c>
      <c r="BG187" s="906">
        <f t="shared" si="4004"/>
        <v>350</v>
      </c>
      <c r="BH187" s="906">
        <f t="shared" si="4004"/>
        <v>17445.781072235834</v>
      </c>
      <c r="BI187" s="906">
        <f t="shared" si="4004"/>
        <v>197719.60264723585</v>
      </c>
      <c r="BJ187" s="906">
        <f t="shared" si="4004"/>
        <v>105006.41666666669</v>
      </c>
      <c r="BK187" s="906">
        <f t="shared" si="4004"/>
        <v>38155.8465</v>
      </c>
      <c r="BL187" s="906">
        <f>SUM(BL156:BL186)</f>
        <v>282.5</v>
      </c>
      <c r="BM187" s="906">
        <f t="shared" si="4004"/>
        <v>7660.4771250000003</v>
      </c>
      <c r="BN187" s="906">
        <f t="shared" si="4004"/>
        <v>0</v>
      </c>
      <c r="BO187" s="906">
        <f t="shared" si="4004"/>
        <v>0</v>
      </c>
      <c r="BP187" s="906">
        <f t="shared" si="4004"/>
        <v>175</v>
      </c>
      <c r="BQ187" s="906">
        <f t="shared" si="4004"/>
        <v>14297.067943404167</v>
      </c>
      <c r="BR187" s="906">
        <f t="shared" si="4004"/>
        <v>165294.80823507084</v>
      </c>
      <c r="BS187" s="906">
        <f>SUM(BS156:BS186)</f>
        <v>31219.735766666668</v>
      </c>
      <c r="BT187" s="906">
        <f t="shared" si="4004"/>
        <v>7083.1115333333328</v>
      </c>
      <c r="BU187" s="906">
        <f t="shared" si="4004"/>
        <v>0</v>
      </c>
      <c r="BV187" s="906">
        <f t="shared" si="4004"/>
        <v>0</v>
      </c>
      <c r="BW187" s="906">
        <f t="shared" si="4004"/>
        <v>0</v>
      </c>
      <c r="BX187" s="906">
        <f t="shared" si="4004"/>
        <v>0</v>
      </c>
      <c r="BY187" s="906">
        <f t="shared" si="4004"/>
        <v>175</v>
      </c>
      <c r="BZ187" s="906">
        <f>SUM(BZ156:BZ186)</f>
        <v>3954.2116334766665</v>
      </c>
      <c r="CA187" s="906">
        <f>SUM(CA156:CA186)</f>
        <v>42432.058933476663</v>
      </c>
      <c r="CB187" s="906">
        <f t="shared" si="4004"/>
        <v>15586.262199999999</v>
      </c>
      <c r="CC187" s="906">
        <f t="shared" si="4004"/>
        <v>5361.8678</v>
      </c>
      <c r="CD187" s="906">
        <f t="shared" si="4004"/>
        <v>0</v>
      </c>
      <c r="CE187" s="906">
        <f t="shared" si="4004"/>
        <v>0</v>
      </c>
      <c r="CF187" s="906">
        <f t="shared" si="4004"/>
        <v>0</v>
      </c>
      <c r="CG187" s="906">
        <f t="shared" si="4004"/>
        <v>0</v>
      </c>
      <c r="CH187" s="906">
        <f>SUM(CH156:CH186)</f>
        <v>0</v>
      </c>
      <c r="CI187" s="906">
        <f t="shared" si="4004"/>
        <v>1974.77942074</v>
      </c>
      <c r="CJ187" s="906">
        <f t="shared" si="4004"/>
        <v>22922.909420740001</v>
      </c>
      <c r="CK187" s="906">
        <f t="shared" si="4004"/>
        <v>0</v>
      </c>
      <c r="CL187" s="906">
        <f t="shared" si="4004"/>
        <v>0</v>
      </c>
      <c r="CM187" s="906">
        <f t="shared" si="4004"/>
        <v>0</v>
      </c>
      <c r="CN187" s="906">
        <f t="shared" si="4004"/>
        <v>0</v>
      </c>
      <c r="CO187" s="906">
        <f t="shared" si="4004"/>
        <v>0</v>
      </c>
      <c r="CP187" s="906">
        <f t="shared" si="4004"/>
        <v>0</v>
      </c>
      <c r="CQ187" s="906">
        <f t="shared" si="4004"/>
        <v>0</v>
      </c>
      <c r="CR187" s="906">
        <f t="shared" si="4004"/>
        <v>0</v>
      </c>
      <c r="CS187" s="906">
        <f t="shared" si="4004"/>
        <v>0</v>
      </c>
      <c r="CT187" s="906"/>
      <c r="CU187" s="902"/>
      <c r="CV187" s="904"/>
      <c r="CW187" s="904"/>
      <c r="CX187" s="904"/>
      <c r="CY187" s="904"/>
      <c r="CZ187" s="904"/>
      <c r="DA187" s="904"/>
      <c r="DB187" s="904"/>
      <c r="DC187" s="904"/>
      <c r="DD187" s="904"/>
      <c r="DE187" s="904"/>
      <c r="DF187" s="904"/>
      <c r="DG187" s="904"/>
      <c r="DH187" s="904"/>
      <c r="DI187" s="904"/>
      <c r="DJ187" s="904"/>
      <c r="DK187" s="904"/>
      <c r="DL187" s="904"/>
      <c r="DM187" s="904"/>
      <c r="DN187" s="904"/>
      <c r="DO187" s="904"/>
      <c r="DP187" s="904"/>
      <c r="DQ187" s="904"/>
      <c r="DR187" s="904"/>
      <c r="DS187" s="904"/>
      <c r="DT187" s="904"/>
      <c r="DU187" s="904"/>
      <c r="DV187" s="904"/>
      <c r="DW187" s="904"/>
      <c r="DX187" s="904"/>
      <c r="DY187" s="904"/>
      <c r="DZ187" s="904"/>
      <c r="EA187" s="904"/>
      <c r="EB187" s="904"/>
      <c r="EC187" s="904"/>
      <c r="ED187" s="904"/>
      <c r="EE187" s="904"/>
      <c r="EF187" s="904"/>
      <c r="EG187" s="904"/>
      <c r="EH187" s="904"/>
      <c r="EI187" s="904"/>
      <c r="EJ187" s="904"/>
      <c r="EK187" s="904"/>
      <c r="EL187" s="904"/>
      <c r="EM187" s="904"/>
      <c r="EN187" s="904"/>
      <c r="EO187" s="902"/>
      <c r="EP187" s="948"/>
      <c r="EQ187" s="902"/>
      <c r="ER187" s="902"/>
      <c r="ES187" s="902"/>
      <c r="ET187" s="902"/>
      <c r="EU187" s="902"/>
      <c r="EV187" s="902"/>
      <c r="EW187" s="902"/>
      <c r="EX187" s="902"/>
      <c r="EY187" s="902"/>
      <c r="EZ187" s="902"/>
      <c r="FA187" s="902"/>
      <c r="FB187" s="902"/>
      <c r="FC187" s="902"/>
      <c r="FD187" s="902"/>
      <c r="FE187" s="902"/>
      <c r="FF187" s="902"/>
      <c r="FG187" s="902"/>
      <c r="FH187" s="902"/>
      <c r="FI187" s="902"/>
      <c r="FJ187" s="902"/>
      <c r="FK187" s="902"/>
      <c r="FL187" s="902"/>
      <c r="FM187" s="902"/>
      <c r="FN187" s="902"/>
      <c r="FO187" s="902"/>
      <c r="FP187" s="902"/>
      <c r="FQ187" s="902"/>
      <c r="FR187" s="902"/>
      <c r="FS187" s="902"/>
      <c r="FT187" s="902"/>
      <c r="FU187" s="902"/>
      <c r="FV187" s="902"/>
      <c r="FW187" s="902"/>
      <c r="FX187" s="902"/>
      <c r="FY187" s="902"/>
      <c r="FZ187" s="902"/>
      <c r="GA187" s="902"/>
      <c r="GB187" s="902"/>
      <c r="GC187" s="902"/>
      <c r="GD187" s="902"/>
      <c r="GE187" s="902"/>
      <c r="GF187" s="902"/>
      <c r="GG187" s="902"/>
      <c r="GH187" s="902"/>
      <c r="GI187" s="902"/>
      <c r="GJ187" s="902"/>
      <c r="GK187" s="902"/>
      <c r="GL187" s="902"/>
      <c r="GM187" s="902"/>
      <c r="GN187" s="902"/>
      <c r="GO187" s="902"/>
      <c r="GP187" s="902"/>
      <c r="GQ187" s="902"/>
      <c r="GR187" s="902"/>
      <c r="GS187" s="902"/>
      <c r="GT187" s="902"/>
      <c r="GU187" s="902"/>
      <c r="GV187" s="902"/>
      <c r="GW187" s="902"/>
      <c r="GX187" s="902"/>
      <c r="GY187" s="902"/>
      <c r="GZ187" s="902"/>
      <c r="HA187" s="902"/>
      <c r="HB187" s="902"/>
      <c r="HC187" s="902"/>
      <c r="HD187" s="902"/>
      <c r="HE187" s="902"/>
      <c r="HF187" s="902"/>
      <c r="HG187" s="902"/>
      <c r="HH187" s="902"/>
      <c r="HI187" s="902"/>
      <c r="HJ187" s="902"/>
      <c r="HK187" s="902"/>
      <c r="HL187" s="902"/>
      <c r="HM187" s="902"/>
      <c r="HN187" s="902"/>
      <c r="HO187" s="902"/>
      <c r="HP187" s="902"/>
      <c r="HQ187" s="902"/>
      <c r="HR187" s="902"/>
      <c r="HS187" s="902"/>
      <c r="HT187" s="902"/>
      <c r="HU187" s="902"/>
      <c r="HV187" s="902"/>
      <c r="HW187" s="902"/>
      <c r="HX187" s="902"/>
      <c r="HY187" s="902"/>
      <c r="HZ187" s="902"/>
      <c r="IA187" s="902"/>
      <c r="IB187" s="902"/>
      <c r="IC187" s="902"/>
      <c r="ID187" s="902"/>
      <c r="IE187" s="902"/>
      <c r="IF187" s="902"/>
      <c r="IG187" s="902"/>
      <c r="IH187" s="902"/>
      <c r="II187" s="902"/>
      <c r="IJ187" s="902"/>
      <c r="IK187" s="902"/>
      <c r="IL187" s="902"/>
      <c r="IM187" s="902"/>
      <c r="IN187" s="902"/>
      <c r="IO187" s="902"/>
      <c r="IP187" s="902"/>
      <c r="IQ187" s="902"/>
      <c r="IR187" s="902"/>
      <c r="IS187" s="902"/>
      <c r="IT187" s="902"/>
      <c r="IU187" s="902"/>
      <c r="IV187" s="902"/>
      <c r="IW187" s="902"/>
      <c r="IX187" s="902"/>
      <c r="IY187" s="902"/>
      <c r="IZ187" s="902"/>
      <c r="JA187" s="902"/>
      <c r="JB187" s="902"/>
      <c r="JC187" s="902"/>
      <c r="JD187" s="902"/>
      <c r="JE187" s="902"/>
      <c r="JF187" s="902"/>
    </row>
    <row r="188" spans="1:266" ht="12" thickTop="1">
      <c r="BA188" s="720">
        <f>BA149-BA187</f>
        <v>0</v>
      </c>
      <c r="BB188" s="720">
        <f t="shared" ref="BB188:CS188" si="4005">BB149-BB187</f>
        <v>0</v>
      </c>
      <c r="BC188" s="720">
        <f t="shared" si="4005"/>
        <v>0</v>
      </c>
      <c r="BD188" s="720">
        <f t="shared" si="4005"/>
        <v>0</v>
      </c>
      <c r="BE188" s="720">
        <f t="shared" si="4005"/>
        <v>0</v>
      </c>
      <c r="BF188" s="720">
        <f t="shared" si="4005"/>
        <v>0</v>
      </c>
      <c r="BG188" s="720">
        <f t="shared" si="4005"/>
        <v>0</v>
      </c>
      <c r="BH188" s="720">
        <f t="shared" si="4005"/>
        <v>0</v>
      </c>
      <c r="BI188" s="720">
        <f t="shared" si="4005"/>
        <v>0</v>
      </c>
      <c r="BJ188" s="720">
        <f t="shared" si="4005"/>
        <v>0</v>
      </c>
      <c r="BK188" s="720">
        <f t="shared" si="4005"/>
        <v>0</v>
      </c>
      <c r="BL188" s="720">
        <f t="shared" si="4005"/>
        <v>0</v>
      </c>
      <c r="BM188" s="720">
        <f t="shared" si="4005"/>
        <v>0</v>
      </c>
      <c r="BN188" s="720">
        <f t="shared" si="4005"/>
        <v>0</v>
      </c>
      <c r="BO188" s="720">
        <f t="shared" si="4005"/>
        <v>0</v>
      </c>
      <c r="BP188" s="720">
        <f t="shared" si="4005"/>
        <v>0</v>
      </c>
      <c r="BQ188" s="720">
        <f t="shared" si="4005"/>
        <v>0</v>
      </c>
      <c r="BR188" s="720">
        <f t="shared" si="4005"/>
        <v>0</v>
      </c>
      <c r="BS188" s="720">
        <f t="shared" si="4005"/>
        <v>0</v>
      </c>
      <c r="BT188" s="720">
        <f>BT149-BT187</f>
        <v>0</v>
      </c>
      <c r="BU188" s="720">
        <f t="shared" si="4005"/>
        <v>0</v>
      </c>
      <c r="BV188" s="720">
        <f t="shared" si="4005"/>
        <v>0</v>
      </c>
      <c r="BW188" s="720">
        <f t="shared" si="4005"/>
        <v>0</v>
      </c>
      <c r="BX188" s="720">
        <f t="shared" si="4005"/>
        <v>0</v>
      </c>
      <c r="BY188" s="720">
        <f t="shared" si="4005"/>
        <v>0</v>
      </c>
      <c r="BZ188" s="720">
        <f t="shared" si="4005"/>
        <v>0</v>
      </c>
      <c r="CA188" s="720">
        <f t="shared" si="4005"/>
        <v>0</v>
      </c>
      <c r="CB188" s="720">
        <f t="shared" si="4005"/>
        <v>0</v>
      </c>
      <c r="CC188" s="720">
        <f t="shared" si="4005"/>
        <v>0</v>
      </c>
      <c r="CD188" s="720">
        <f t="shared" si="4005"/>
        <v>0</v>
      </c>
      <c r="CE188" s="720">
        <f t="shared" si="4005"/>
        <v>0</v>
      </c>
      <c r="CF188" s="720">
        <f t="shared" si="4005"/>
        <v>0</v>
      </c>
      <c r="CG188" s="720">
        <f t="shared" si="4005"/>
        <v>0</v>
      </c>
      <c r="CH188" s="720">
        <f t="shared" si="4005"/>
        <v>0</v>
      </c>
      <c r="CI188" s="720">
        <f t="shared" si="4005"/>
        <v>0</v>
      </c>
      <c r="CJ188" s="720">
        <f t="shared" si="4005"/>
        <v>0</v>
      </c>
      <c r="CK188" s="720">
        <f t="shared" si="4005"/>
        <v>0</v>
      </c>
      <c r="CL188" s="720">
        <f t="shared" si="4005"/>
        <v>0</v>
      </c>
      <c r="CM188" s="720">
        <f t="shared" si="4005"/>
        <v>0</v>
      </c>
      <c r="CN188" s="720">
        <f t="shared" si="4005"/>
        <v>0</v>
      </c>
      <c r="CO188" s="720">
        <f t="shared" si="4005"/>
        <v>0</v>
      </c>
      <c r="CP188" s="720">
        <f t="shared" si="4005"/>
        <v>0</v>
      </c>
      <c r="CQ188" s="720">
        <f t="shared" si="4005"/>
        <v>0</v>
      </c>
      <c r="CR188" s="720">
        <f t="shared" si="4005"/>
        <v>0</v>
      </c>
      <c r="CS188" s="720">
        <f t="shared" si="4005"/>
        <v>0</v>
      </c>
    </row>
    <row r="189" spans="1:266">
      <c r="BA189" s="720" t="str">
        <f>IF(BA188&lt;&gt;0,"ERROR VERIFICAR TRASLADO DE DATOS DE DISTRIBUCIÓN A CUADRO","")</f>
        <v/>
      </c>
      <c r="BB189" s="720" t="str">
        <f>IF(BB188&lt;&gt;0,"ERROR VERIFICAR TRASLADO DE DATOS DE DISTRIBUCIÓN A CUADRO","")</f>
        <v/>
      </c>
      <c r="BC189" s="720" t="str">
        <f t="shared" ref="BC189:CS189" si="4006">IF(BC188&lt;&gt;0,"ERROR VERIFICAR TRASLADO DE DATOS DE DISTRIBUCIÓN A CUADRO","")</f>
        <v/>
      </c>
      <c r="BD189" s="720" t="str">
        <f t="shared" si="4006"/>
        <v/>
      </c>
      <c r="BE189" s="720" t="str">
        <f t="shared" si="4006"/>
        <v/>
      </c>
      <c r="BF189" s="720" t="str">
        <f t="shared" si="4006"/>
        <v/>
      </c>
      <c r="BG189" s="720" t="str">
        <f t="shared" si="4006"/>
        <v/>
      </c>
      <c r="BH189" s="720" t="str">
        <f t="shared" si="4006"/>
        <v/>
      </c>
      <c r="BI189" s="720" t="str">
        <f t="shared" si="4006"/>
        <v/>
      </c>
      <c r="BJ189" s="720" t="str">
        <f t="shared" si="4006"/>
        <v/>
      </c>
      <c r="BK189" s="720" t="str">
        <f t="shared" si="4006"/>
        <v/>
      </c>
      <c r="BL189" s="720" t="str">
        <f t="shared" si="4006"/>
        <v/>
      </c>
      <c r="BM189" s="720" t="str">
        <f t="shared" si="4006"/>
        <v/>
      </c>
      <c r="BN189" s="720" t="str">
        <f t="shared" si="4006"/>
        <v/>
      </c>
      <c r="BO189" s="720" t="str">
        <f t="shared" si="4006"/>
        <v/>
      </c>
      <c r="BP189" s="720" t="str">
        <f t="shared" si="4006"/>
        <v/>
      </c>
      <c r="BQ189" s="720" t="str">
        <f t="shared" si="4006"/>
        <v/>
      </c>
      <c r="BR189" s="720" t="str">
        <f t="shared" si="4006"/>
        <v/>
      </c>
      <c r="BS189" s="720" t="str">
        <f t="shared" si="4006"/>
        <v/>
      </c>
      <c r="BT189" s="720" t="str">
        <f t="shared" si="4006"/>
        <v/>
      </c>
      <c r="BU189" s="720" t="str">
        <f t="shared" si="4006"/>
        <v/>
      </c>
      <c r="BV189" s="720" t="str">
        <f t="shared" si="4006"/>
        <v/>
      </c>
      <c r="BW189" s="720" t="str">
        <f t="shared" si="4006"/>
        <v/>
      </c>
      <c r="BX189" s="720" t="str">
        <f t="shared" si="4006"/>
        <v/>
      </c>
      <c r="BY189" s="720" t="str">
        <f t="shared" si="4006"/>
        <v/>
      </c>
      <c r="BZ189" s="720" t="str">
        <f t="shared" si="4006"/>
        <v/>
      </c>
      <c r="CA189" s="720" t="str">
        <f t="shared" si="4006"/>
        <v/>
      </c>
      <c r="CB189" s="720" t="str">
        <f t="shared" si="4006"/>
        <v/>
      </c>
      <c r="CC189" s="720" t="str">
        <f t="shared" si="4006"/>
        <v/>
      </c>
      <c r="CD189" s="720" t="str">
        <f t="shared" si="4006"/>
        <v/>
      </c>
      <c r="CE189" s="720" t="str">
        <f t="shared" si="4006"/>
        <v/>
      </c>
      <c r="CF189" s="720" t="str">
        <f t="shared" si="4006"/>
        <v/>
      </c>
      <c r="CG189" s="720" t="str">
        <f t="shared" si="4006"/>
        <v/>
      </c>
      <c r="CH189" s="720" t="str">
        <f t="shared" si="4006"/>
        <v/>
      </c>
      <c r="CI189" s="720" t="str">
        <f t="shared" si="4006"/>
        <v/>
      </c>
      <c r="CJ189" s="720" t="str">
        <f t="shared" si="4006"/>
        <v/>
      </c>
      <c r="CK189" s="720" t="str">
        <f t="shared" si="4006"/>
        <v/>
      </c>
      <c r="CL189" s="720" t="str">
        <f t="shared" si="4006"/>
        <v/>
      </c>
      <c r="CM189" s="720" t="str">
        <f t="shared" si="4006"/>
        <v/>
      </c>
      <c r="CN189" s="720" t="str">
        <f t="shared" si="4006"/>
        <v/>
      </c>
      <c r="CO189" s="720" t="str">
        <f t="shared" si="4006"/>
        <v/>
      </c>
      <c r="CP189" s="720" t="str">
        <f t="shared" si="4006"/>
        <v/>
      </c>
      <c r="CQ189" s="720" t="str">
        <f t="shared" si="4006"/>
        <v/>
      </c>
      <c r="CR189" s="720" t="str">
        <f t="shared" si="4006"/>
        <v/>
      </c>
      <c r="CS189" s="720" t="str">
        <f t="shared" si="4006"/>
        <v/>
      </c>
    </row>
    <row r="190" spans="1:266" ht="12" thickBot="1">
      <c r="BA190" s="1345" t="s">
        <v>346</v>
      </c>
      <c r="BB190" s="1345"/>
      <c r="BC190" s="1345"/>
      <c r="BD190" s="1345"/>
      <c r="BE190" s="1345"/>
      <c r="BF190" s="1345"/>
      <c r="BG190" s="1345"/>
      <c r="BH190" s="1345"/>
      <c r="BI190" s="1345"/>
      <c r="BJ190" s="1345" t="s">
        <v>346</v>
      </c>
      <c r="BK190" s="1345"/>
      <c r="BL190" s="1345"/>
      <c r="BM190" s="1345"/>
      <c r="BN190" s="1345"/>
      <c r="BO190" s="1345"/>
      <c r="BP190" s="1345"/>
      <c r="BQ190" s="1345"/>
      <c r="BR190" s="1345"/>
      <c r="BS190" s="1345" t="s">
        <v>346</v>
      </c>
      <c r="BT190" s="1345"/>
      <c r="BU190" s="1345"/>
      <c r="BV190" s="1345"/>
      <c r="BW190" s="1345"/>
      <c r="BX190" s="1345"/>
      <c r="BY190" s="1345"/>
      <c r="BZ190" s="1345"/>
      <c r="CA190" s="1345"/>
      <c r="CB190" s="1345" t="s">
        <v>346</v>
      </c>
      <c r="CC190" s="1345"/>
      <c r="CD190" s="1345"/>
      <c r="CE190" s="1345"/>
      <c r="CF190" s="1345"/>
      <c r="CG190" s="1345"/>
      <c r="CH190" s="1345"/>
      <c r="CI190" s="1345"/>
      <c r="CJ190" s="1345"/>
      <c r="CK190" s="1345" t="s">
        <v>346</v>
      </c>
      <c r="CL190" s="1345"/>
      <c r="CM190" s="1345"/>
      <c r="CN190" s="1345"/>
      <c r="CO190" s="1345"/>
      <c r="CP190" s="1345"/>
      <c r="CQ190" s="1345"/>
      <c r="CR190" s="1345"/>
      <c r="CS190" s="1345"/>
    </row>
    <row r="191" spans="1:266">
      <c r="BA191" s="887" t="s">
        <v>15</v>
      </c>
      <c r="BB191" s="888" t="s">
        <v>16</v>
      </c>
      <c r="BC191" s="888" t="s">
        <v>24</v>
      </c>
      <c r="BD191" s="889" t="s">
        <v>25</v>
      </c>
      <c r="BE191" s="889" t="s">
        <v>24</v>
      </c>
      <c r="BF191" s="889" t="s">
        <v>25</v>
      </c>
      <c r="BG191" s="890" t="s">
        <v>26</v>
      </c>
      <c r="BH191" s="890" t="s">
        <v>27</v>
      </c>
      <c r="BI191" s="891" t="s">
        <v>17</v>
      </c>
      <c r="BJ191" s="887" t="s">
        <v>15</v>
      </c>
      <c r="BK191" s="888" t="s">
        <v>16</v>
      </c>
      <c r="BL191" s="888" t="s">
        <v>24</v>
      </c>
      <c r="BM191" s="889" t="s">
        <v>25</v>
      </c>
      <c r="BN191" s="889" t="s">
        <v>24</v>
      </c>
      <c r="BO191" s="889" t="s">
        <v>25</v>
      </c>
      <c r="BP191" s="890" t="s">
        <v>26</v>
      </c>
      <c r="BQ191" s="890" t="s">
        <v>27</v>
      </c>
      <c r="BR191" s="891" t="s">
        <v>17</v>
      </c>
      <c r="BS191" s="887" t="s">
        <v>15</v>
      </c>
      <c r="BT191" s="888" t="s">
        <v>16</v>
      </c>
      <c r="BU191" s="888" t="s">
        <v>24</v>
      </c>
      <c r="BV191" s="889" t="s">
        <v>25</v>
      </c>
      <c r="BW191" s="889" t="s">
        <v>24</v>
      </c>
      <c r="BX191" s="889" t="s">
        <v>25</v>
      </c>
      <c r="BY191" s="890" t="s">
        <v>26</v>
      </c>
      <c r="BZ191" s="890" t="s">
        <v>27</v>
      </c>
      <c r="CA191" s="891" t="s">
        <v>17</v>
      </c>
      <c r="CB191" s="887" t="s">
        <v>15</v>
      </c>
      <c r="CC191" s="888" t="s">
        <v>16</v>
      </c>
      <c r="CD191" s="888" t="s">
        <v>24</v>
      </c>
      <c r="CE191" s="889" t="s">
        <v>25</v>
      </c>
      <c r="CF191" s="889" t="s">
        <v>24</v>
      </c>
      <c r="CG191" s="889" t="s">
        <v>25</v>
      </c>
      <c r="CH191" s="890" t="s">
        <v>26</v>
      </c>
      <c r="CI191" s="890" t="s">
        <v>27</v>
      </c>
      <c r="CJ191" s="891" t="s">
        <v>17</v>
      </c>
      <c r="CK191" s="887" t="s">
        <v>15</v>
      </c>
      <c r="CL191" s="888" t="s">
        <v>16</v>
      </c>
      <c r="CM191" s="888" t="s">
        <v>24</v>
      </c>
      <c r="CN191" s="889" t="s">
        <v>25</v>
      </c>
      <c r="CO191" s="889" t="s">
        <v>24</v>
      </c>
      <c r="CP191" s="889" t="s">
        <v>25</v>
      </c>
      <c r="CQ191" s="890" t="s">
        <v>26</v>
      </c>
      <c r="CR191" s="890" t="s">
        <v>27</v>
      </c>
      <c r="CS191" s="892" t="s">
        <v>17</v>
      </c>
    </row>
    <row r="192" spans="1:266">
      <c r="BA192" s="893" t="s">
        <v>37</v>
      </c>
      <c r="BB192" s="894" t="s">
        <v>38</v>
      </c>
      <c r="BC192" s="894" t="s">
        <v>44</v>
      </c>
      <c r="BD192" s="894" t="s">
        <v>343</v>
      </c>
      <c r="BE192" s="894" t="s">
        <v>45</v>
      </c>
      <c r="BF192" s="894" t="s">
        <v>344</v>
      </c>
      <c r="BG192" s="895" t="s">
        <v>46</v>
      </c>
      <c r="BH192" s="895" t="s">
        <v>47</v>
      </c>
      <c r="BI192" s="896"/>
      <c r="BJ192" s="893" t="s">
        <v>37</v>
      </c>
      <c r="BK192" s="894" t="s">
        <v>38</v>
      </c>
      <c r="BL192" s="894" t="s">
        <v>44</v>
      </c>
      <c r="BM192" s="894" t="s">
        <v>343</v>
      </c>
      <c r="BN192" s="894" t="s">
        <v>45</v>
      </c>
      <c r="BO192" s="894" t="s">
        <v>344</v>
      </c>
      <c r="BP192" s="895" t="s">
        <v>46</v>
      </c>
      <c r="BQ192" s="895" t="s">
        <v>47</v>
      </c>
      <c r="BR192" s="896"/>
      <c r="BS192" s="893" t="s">
        <v>37</v>
      </c>
      <c r="BT192" s="894" t="s">
        <v>38</v>
      </c>
      <c r="BU192" s="894" t="s">
        <v>44</v>
      </c>
      <c r="BV192" s="894" t="s">
        <v>343</v>
      </c>
      <c r="BW192" s="894" t="s">
        <v>45</v>
      </c>
      <c r="BX192" s="894" t="s">
        <v>344</v>
      </c>
      <c r="BY192" s="895" t="s">
        <v>46</v>
      </c>
      <c r="BZ192" s="895" t="s">
        <v>47</v>
      </c>
      <c r="CA192" s="896"/>
      <c r="CB192" s="893" t="s">
        <v>37</v>
      </c>
      <c r="CC192" s="894" t="s">
        <v>38</v>
      </c>
      <c r="CD192" s="894" t="s">
        <v>44</v>
      </c>
      <c r="CE192" s="894" t="s">
        <v>343</v>
      </c>
      <c r="CF192" s="894" t="s">
        <v>45</v>
      </c>
      <c r="CG192" s="894" t="s">
        <v>344</v>
      </c>
      <c r="CH192" s="895" t="s">
        <v>46</v>
      </c>
      <c r="CI192" s="895" t="s">
        <v>47</v>
      </c>
      <c r="CJ192" s="896"/>
      <c r="CK192" s="893" t="s">
        <v>37</v>
      </c>
      <c r="CL192" s="894" t="s">
        <v>38</v>
      </c>
      <c r="CM192" s="894" t="s">
        <v>44</v>
      </c>
      <c r="CN192" s="894" t="s">
        <v>343</v>
      </c>
      <c r="CO192" s="894" t="s">
        <v>45</v>
      </c>
      <c r="CP192" s="894" t="s">
        <v>344</v>
      </c>
      <c r="CQ192" s="895" t="s">
        <v>46</v>
      </c>
      <c r="CR192" s="895" t="s">
        <v>47</v>
      </c>
      <c r="CS192" s="897"/>
    </row>
    <row r="193" spans="7:146" ht="12.75">
      <c r="H193" s="898" t="s">
        <v>51</v>
      </c>
      <c r="BA193" s="712"/>
      <c r="BB193" s="712"/>
      <c r="BJ193" s="712"/>
      <c r="BK193" s="712"/>
      <c r="BS193" s="712"/>
      <c r="BT193" s="712"/>
      <c r="CB193" s="712"/>
      <c r="CC193" s="712"/>
      <c r="CK193" s="712"/>
      <c r="CL193" s="712"/>
      <c r="CV193" s="712"/>
      <c r="CW193" s="712"/>
      <c r="CX193" s="712"/>
      <c r="CY193" s="712"/>
      <c r="CZ193" s="712"/>
      <c r="DA193" s="712"/>
      <c r="DB193" s="712"/>
      <c r="DC193" s="712"/>
      <c r="DD193" s="712"/>
      <c r="DE193" s="712"/>
      <c r="DF193" s="712"/>
      <c r="DG193" s="712"/>
      <c r="DH193" s="712"/>
      <c r="DI193" s="712"/>
      <c r="DJ193" s="712"/>
      <c r="DK193" s="712"/>
      <c r="DL193" s="712"/>
      <c r="DM193" s="712"/>
      <c r="DN193" s="712"/>
      <c r="DO193" s="712"/>
      <c r="DP193" s="712"/>
      <c r="DQ193" s="712"/>
      <c r="DR193" s="712"/>
      <c r="DS193" s="712"/>
      <c r="DT193" s="712"/>
      <c r="DU193" s="712"/>
      <c r="DV193" s="712"/>
      <c r="DW193" s="712"/>
      <c r="DX193" s="712"/>
      <c r="DY193" s="712"/>
      <c r="DZ193" s="712"/>
      <c r="EA193" s="712"/>
      <c r="EB193" s="712"/>
      <c r="EC193" s="712"/>
      <c r="ED193" s="712"/>
      <c r="EE193" s="712"/>
      <c r="EF193" s="712"/>
      <c r="EG193" s="712"/>
      <c r="EH193" s="712"/>
      <c r="EI193" s="712"/>
      <c r="EJ193" s="712"/>
      <c r="EK193" s="712"/>
      <c r="EL193" s="712"/>
      <c r="EM193" s="712"/>
      <c r="EN193" s="712"/>
      <c r="EP193" s="946"/>
    </row>
    <row r="194" spans="7:146" ht="12.75">
      <c r="G194" s="719">
        <v>1</v>
      </c>
      <c r="H194" s="714" t="s">
        <v>53</v>
      </c>
      <c r="BA194" s="720">
        <v>0</v>
      </c>
      <c r="BB194" s="720">
        <v>0</v>
      </c>
      <c r="BC194" s="720">
        <v>0</v>
      </c>
      <c r="BD194" s="720">
        <v>0</v>
      </c>
      <c r="BE194" s="720">
        <v>0</v>
      </c>
      <c r="BF194" s="720">
        <v>0</v>
      </c>
      <c r="BG194" s="720">
        <v>0</v>
      </c>
      <c r="BH194" s="720">
        <v>0</v>
      </c>
      <c r="BI194" s="720">
        <v>0</v>
      </c>
      <c r="BJ194" s="720">
        <v>0</v>
      </c>
      <c r="BK194" s="720">
        <v>0</v>
      </c>
      <c r="BL194" s="720">
        <v>0</v>
      </c>
      <c r="BM194" s="720">
        <v>0</v>
      </c>
      <c r="BN194" s="720">
        <v>0</v>
      </c>
      <c r="BO194" s="720">
        <v>0</v>
      </c>
      <c r="BP194" s="720">
        <v>0</v>
      </c>
      <c r="BQ194" s="720">
        <v>0</v>
      </c>
      <c r="BR194" s="720">
        <v>0</v>
      </c>
      <c r="BS194" s="720">
        <v>0</v>
      </c>
      <c r="BT194" s="720">
        <v>0</v>
      </c>
      <c r="BU194" s="720">
        <v>0</v>
      </c>
      <c r="BV194" s="720">
        <v>0</v>
      </c>
      <c r="BW194" s="720">
        <v>0</v>
      </c>
      <c r="BX194" s="720">
        <v>0</v>
      </c>
      <c r="BY194" s="720">
        <v>0</v>
      </c>
      <c r="BZ194" s="720">
        <v>0</v>
      </c>
      <c r="CA194" s="720">
        <v>0</v>
      </c>
      <c r="CB194" s="720">
        <v>0</v>
      </c>
      <c r="CC194" s="720">
        <v>0</v>
      </c>
      <c r="CD194" s="720">
        <v>0</v>
      </c>
      <c r="CE194" s="720">
        <v>0</v>
      </c>
      <c r="CF194" s="720">
        <v>0</v>
      </c>
      <c r="CG194" s="720">
        <v>0</v>
      </c>
      <c r="CH194" s="720">
        <v>0</v>
      </c>
      <c r="CI194" s="720">
        <v>0</v>
      </c>
      <c r="CJ194" s="720">
        <v>0</v>
      </c>
      <c r="CK194" s="720">
        <v>0</v>
      </c>
      <c r="CL194" s="720">
        <v>0</v>
      </c>
      <c r="CM194" s="720">
        <v>0</v>
      </c>
      <c r="CN194" s="720">
        <v>0</v>
      </c>
      <c r="CO194" s="720">
        <v>0</v>
      </c>
      <c r="CP194" s="720">
        <v>0</v>
      </c>
      <c r="CQ194" s="720">
        <v>0</v>
      </c>
      <c r="CR194" s="720">
        <v>0</v>
      </c>
      <c r="CS194" s="720">
        <v>0</v>
      </c>
      <c r="CT194" s="720">
        <v>0</v>
      </c>
      <c r="CV194" s="712"/>
      <c r="CW194" s="712"/>
      <c r="CX194" s="712"/>
      <c r="CY194" s="712"/>
      <c r="CZ194" s="712"/>
      <c r="DA194" s="712"/>
      <c r="DB194" s="712"/>
      <c r="DC194" s="712"/>
      <c r="DD194" s="712"/>
      <c r="DE194" s="712"/>
      <c r="DF194" s="712"/>
      <c r="DG194" s="712"/>
      <c r="DH194" s="712"/>
      <c r="DI194" s="712"/>
      <c r="DJ194" s="712"/>
      <c r="DK194" s="712"/>
      <c r="DL194" s="712"/>
      <c r="DM194" s="712"/>
      <c r="DN194" s="712"/>
      <c r="DO194" s="712"/>
      <c r="DP194" s="712"/>
      <c r="DQ194" s="712"/>
      <c r="DR194" s="712"/>
      <c r="DS194" s="712"/>
      <c r="DT194" s="712"/>
      <c r="DU194" s="712"/>
      <c r="DV194" s="712"/>
      <c r="DW194" s="712"/>
      <c r="DX194" s="712"/>
      <c r="DY194" s="712"/>
      <c r="DZ194" s="712"/>
      <c r="EA194" s="712"/>
      <c r="EB194" s="712"/>
      <c r="EC194" s="712"/>
      <c r="ED194" s="712"/>
      <c r="EE194" s="712"/>
      <c r="EF194" s="712"/>
      <c r="EG194" s="712"/>
      <c r="EH194" s="712"/>
      <c r="EI194" s="712"/>
      <c r="EJ194" s="712"/>
      <c r="EK194" s="712"/>
      <c r="EL194" s="712"/>
      <c r="EM194" s="712"/>
      <c r="EN194" s="712"/>
      <c r="EP194" s="946"/>
    </row>
    <row r="195" spans="7:146" ht="12.75">
      <c r="G195" s="719">
        <v>2</v>
      </c>
      <c r="H195" s="714" t="s">
        <v>58</v>
      </c>
      <c r="BA195" s="720">
        <f t="shared" ref="BA195:CS195" si="4007">+CV12+CV15+CV18</f>
        <v>0</v>
      </c>
      <c r="BB195" s="720">
        <f t="shared" si="4007"/>
        <v>0</v>
      </c>
      <c r="BC195" s="720">
        <f t="shared" si="4007"/>
        <v>0</v>
      </c>
      <c r="BD195" s="720">
        <f t="shared" si="4007"/>
        <v>0</v>
      </c>
      <c r="BE195" s="720">
        <f t="shared" si="4007"/>
        <v>0</v>
      </c>
      <c r="BF195" s="720">
        <f t="shared" si="4007"/>
        <v>0</v>
      </c>
      <c r="BG195" s="720">
        <f t="shared" si="4007"/>
        <v>0</v>
      </c>
      <c r="BH195" s="720">
        <f t="shared" si="4007"/>
        <v>0</v>
      </c>
      <c r="BI195" s="720">
        <f t="shared" si="4007"/>
        <v>0</v>
      </c>
      <c r="BJ195" s="720">
        <f t="shared" si="4007"/>
        <v>0</v>
      </c>
      <c r="BK195" s="720">
        <f t="shared" si="4007"/>
        <v>0</v>
      </c>
      <c r="BL195" s="720">
        <f t="shared" si="4007"/>
        <v>0</v>
      </c>
      <c r="BM195" s="720">
        <f t="shared" si="4007"/>
        <v>0</v>
      </c>
      <c r="BN195" s="720">
        <f t="shared" si="4007"/>
        <v>0</v>
      </c>
      <c r="BO195" s="720">
        <f t="shared" si="4007"/>
        <v>0</v>
      </c>
      <c r="BP195" s="720">
        <f t="shared" si="4007"/>
        <v>0</v>
      </c>
      <c r="BQ195" s="720">
        <f t="shared" si="4007"/>
        <v>0</v>
      </c>
      <c r="BR195" s="720">
        <f t="shared" si="4007"/>
        <v>0</v>
      </c>
      <c r="BS195" s="720">
        <f t="shared" si="4007"/>
        <v>0</v>
      </c>
      <c r="BT195" s="720">
        <f t="shared" si="4007"/>
        <v>0</v>
      </c>
      <c r="BU195" s="720">
        <f t="shared" si="4007"/>
        <v>0</v>
      </c>
      <c r="BV195" s="720">
        <f t="shared" si="4007"/>
        <v>0</v>
      </c>
      <c r="BW195" s="720">
        <f t="shared" si="4007"/>
        <v>0</v>
      </c>
      <c r="BX195" s="720">
        <f t="shared" si="4007"/>
        <v>0</v>
      </c>
      <c r="BY195" s="720">
        <f t="shared" si="4007"/>
        <v>0</v>
      </c>
      <c r="BZ195" s="720">
        <f t="shared" si="4007"/>
        <v>0</v>
      </c>
      <c r="CA195" s="720">
        <f t="shared" si="4007"/>
        <v>0</v>
      </c>
      <c r="CB195" s="720">
        <f t="shared" si="4007"/>
        <v>0</v>
      </c>
      <c r="CC195" s="720">
        <f t="shared" si="4007"/>
        <v>0</v>
      </c>
      <c r="CD195" s="720">
        <f t="shared" si="4007"/>
        <v>0</v>
      </c>
      <c r="CE195" s="720">
        <f t="shared" si="4007"/>
        <v>0</v>
      </c>
      <c r="CF195" s="720">
        <f t="shared" si="4007"/>
        <v>0</v>
      </c>
      <c r="CG195" s="720">
        <f t="shared" si="4007"/>
        <v>0</v>
      </c>
      <c r="CH195" s="720">
        <f t="shared" si="4007"/>
        <v>0</v>
      </c>
      <c r="CI195" s="720">
        <f t="shared" si="4007"/>
        <v>0</v>
      </c>
      <c r="CJ195" s="720">
        <f t="shared" si="4007"/>
        <v>0</v>
      </c>
      <c r="CK195" s="720">
        <f t="shared" si="4007"/>
        <v>14205.244000000001</v>
      </c>
      <c r="CL195" s="720">
        <f t="shared" si="4007"/>
        <v>1611.0000000000002</v>
      </c>
      <c r="CM195" s="720">
        <f t="shared" si="4007"/>
        <v>0</v>
      </c>
      <c r="CN195" s="720">
        <f t="shared" si="4007"/>
        <v>0</v>
      </c>
      <c r="CO195" s="720">
        <f t="shared" si="4007"/>
        <v>0</v>
      </c>
      <c r="CP195" s="720">
        <f t="shared" si="4007"/>
        <v>0</v>
      </c>
      <c r="CQ195" s="720">
        <f t="shared" si="4007"/>
        <v>0</v>
      </c>
      <c r="CR195" s="720">
        <f t="shared" si="4007"/>
        <v>1776.3030266400001</v>
      </c>
      <c r="CS195" s="720">
        <f t="shared" si="4007"/>
        <v>17592.547026640001</v>
      </c>
      <c r="CT195" s="720"/>
      <c r="CV195" s="712"/>
      <c r="CW195" s="712"/>
      <c r="CX195" s="712"/>
      <c r="CY195" s="712"/>
      <c r="CZ195" s="712"/>
      <c r="DA195" s="712"/>
      <c r="DB195" s="712"/>
      <c r="DC195" s="712"/>
      <c r="DD195" s="712"/>
      <c r="DE195" s="712"/>
      <c r="DF195" s="712"/>
      <c r="DG195" s="712"/>
      <c r="DH195" s="712"/>
      <c r="DI195" s="712"/>
      <c r="DJ195" s="712"/>
      <c r="DK195" s="712"/>
      <c r="DL195" s="712"/>
      <c r="DM195" s="712"/>
      <c r="DN195" s="712"/>
      <c r="DO195" s="712"/>
      <c r="DP195" s="712"/>
      <c r="DQ195" s="712"/>
      <c r="DR195" s="712"/>
      <c r="DS195" s="712"/>
      <c r="DT195" s="712"/>
      <c r="DU195" s="712"/>
      <c r="DV195" s="712"/>
      <c r="DW195" s="712"/>
      <c r="DX195" s="712"/>
      <c r="DY195" s="712"/>
      <c r="DZ195" s="712"/>
      <c r="EA195" s="712"/>
      <c r="EB195" s="712"/>
      <c r="EC195" s="712"/>
      <c r="ED195" s="712"/>
      <c r="EE195" s="712"/>
      <c r="EF195" s="712"/>
      <c r="EG195" s="712"/>
      <c r="EH195" s="712"/>
      <c r="EI195" s="712"/>
      <c r="EJ195" s="712"/>
      <c r="EK195" s="712"/>
      <c r="EL195" s="712"/>
      <c r="EM195" s="712"/>
      <c r="EN195" s="712"/>
      <c r="EP195" s="946"/>
    </row>
    <row r="196" spans="7:146" ht="12.75">
      <c r="G196" s="719">
        <v>3</v>
      </c>
      <c r="H196" s="714" t="s">
        <v>64</v>
      </c>
      <c r="BA196" s="720">
        <f t="shared" ref="BA196:BJ197" si="4008">CV48+CV38+CV51+CV54+CV56</f>
        <v>0</v>
      </c>
      <c r="BB196" s="720">
        <f t="shared" si="4008"/>
        <v>0</v>
      </c>
      <c r="BC196" s="720">
        <f t="shared" si="4008"/>
        <v>0</v>
      </c>
      <c r="BD196" s="720">
        <f t="shared" si="4008"/>
        <v>0</v>
      </c>
      <c r="BE196" s="720">
        <f t="shared" si="4008"/>
        <v>0</v>
      </c>
      <c r="BF196" s="720">
        <f t="shared" si="4008"/>
        <v>0</v>
      </c>
      <c r="BG196" s="720">
        <f t="shared" si="4008"/>
        <v>0</v>
      </c>
      <c r="BH196" s="720">
        <f t="shared" si="4008"/>
        <v>0</v>
      </c>
      <c r="BI196" s="720">
        <f t="shared" si="4008"/>
        <v>0</v>
      </c>
      <c r="BJ196" s="720">
        <f t="shared" si="4008"/>
        <v>0</v>
      </c>
      <c r="BK196" s="720">
        <f t="shared" ref="BK196:BT197" si="4009">DF48+DF38+DF51+DF54+DF56</f>
        <v>0</v>
      </c>
      <c r="BL196" s="720">
        <f t="shared" si="4009"/>
        <v>0</v>
      </c>
      <c r="BM196" s="720">
        <f t="shared" si="4009"/>
        <v>0</v>
      </c>
      <c r="BN196" s="720">
        <f t="shared" si="4009"/>
        <v>0</v>
      </c>
      <c r="BO196" s="720">
        <f t="shared" si="4009"/>
        <v>0</v>
      </c>
      <c r="BP196" s="720">
        <f t="shared" si="4009"/>
        <v>0</v>
      </c>
      <c r="BQ196" s="720">
        <f t="shared" si="4009"/>
        <v>0</v>
      </c>
      <c r="BR196" s="720">
        <f t="shared" si="4009"/>
        <v>0</v>
      </c>
      <c r="BS196" s="720">
        <f t="shared" si="4009"/>
        <v>0</v>
      </c>
      <c r="BT196" s="720">
        <f t="shared" si="4009"/>
        <v>0</v>
      </c>
      <c r="BU196" s="720">
        <f t="shared" ref="BU196:CD197" si="4010">DP48+DP38+DP51+DP54+DP56</f>
        <v>0</v>
      </c>
      <c r="BV196" s="720">
        <f t="shared" si="4010"/>
        <v>0</v>
      </c>
      <c r="BW196" s="720">
        <f t="shared" si="4010"/>
        <v>0</v>
      </c>
      <c r="BX196" s="720">
        <f t="shared" si="4010"/>
        <v>0</v>
      </c>
      <c r="BY196" s="720">
        <f t="shared" si="4010"/>
        <v>0</v>
      </c>
      <c r="BZ196" s="720">
        <f t="shared" si="4010"/>
        <v>0</v>
      </c>
      <c r="CA196" s="720">
        <f t="shared" si="4010"/>
        <v>0</v>
      </c>
      <c r="CB196" s="720">
        <f t="shared" si="4010"/>
        <v>0</v>
      </c>
      <c r="CC196" s="720">
        <f t="shared" si="4010"/>
        <v>0</v>
      </c>
      <c r="CD196" s="720">
        <f t="shared" si="4010"/>
        <v>0</v>
      </c>
      <c r="CE196" s="720">
        <f t="shared" ref="CE196:CJ197" si="4011">DZ48+DZ38+DZ51+DZ54+DZ56</f>
        <v>0</v>
      </c>
      <c r="CF196" s="720">
        <f t="shared" si="4011"/>
        <v>0</v>
      </c>
      <c r="CG196" s="720">
        <f t="shared" si="4011"/>
        <v>0</v>
      </c>
      <c r="CH196" s="720">
        <f t="shared" si="4011"/>
        <v>0</v>
      </c>
      <c r="CI196" s="720">
        <f t="shared" si="4011"/>
        <v>0</v>
      </c>
      <c r="CJ196" s="720">
        <f t="shared" si="4011"/>
        <v>0</v>
      </c>
      <c r="CK196" s="720">
        <f>+EF38+EF48+EF51+EF54+EF57</f>
        <v>78302.28</v>
      </c>
      <c r="CL196" s="720">
        <f t="shared" ref="CL196:CS196" si="4012">EG48+EG38+EG51+EG54+EG56</f>
        <v>29097.68</v>
      </c>
      <c r="CM196" s="720">
        <f t="shared" si="4012"/>
        <v>0</v>
      </c>
      <c r="CN196" s="720">
        <f t="shared" si="4012"/>
        <v>0</v>
      </c>
      <c r="CO196" s="720">
        <f t="shared" si="4012"/>
        <v>0</v>
      </c>
      <c r="CP196" s="720">
        <f t="shared" si="4012"/>
        <v>0</v>
      </c>
      <c r="CQ196" s="720">
        <f t="shared" si="4012"/>
        <v>0</v>
      </c>
      <c r="CR196" s="720">
        <f t="shared" si="4012"/>
        <v>9920.8988759999993</v>
      </c>
      <c r="CS196" s="720">
        <f t="shared" si="4012"/>
        <v>117320.85887599998</v>
      </c>
      <c r="CT196" s="720"/>
      <c r="CU196" s="720"/>
      <c r="EP196" s="946"/>
    </row>
    <row r="197" spans="7:146" ht="12.75">
      <c r="G197" s="719">
        <v>4</v>
      </c>
      <c r="H197" s="714" t="s">
        <v>69</v>
      </c>
      <c r="BA197" s="720">
        <f t="shared" si="4008"/>
        <v>0</v>
      </c>
      <c r="BB197" s="720">
        <f t="shared" si="4008"/>
        <v>0</v>
      </c>
      <c r="BC197" s="720">
        <f t="shared" si="4008"/>
        <v>0</v>
      </c>
      <c r="BD197" s="720">
        <f t="shared" si="4008"/>
        <v>0</v>
      </c>
      <c r="BE197" s="720">
        <f t="shared" si="4008"/>
        <v>0</v>
      </c>
      <c r="BF197" s="720">
        <f t="shared" si="4008"/>
        <v>0</v>
      </c>
      <c r="BG197" s="720">
        <f t="shared" si="4008"/>
        <v>0</v>
      </c>
      <c r="BH197" s="720">
        <f t="shared" si="4008"/>
        <v>0</v>
      </c>
      <c r="BI197" s="720">
        <f t="shared" si="4008"/>
        <v>0</v>
      </c>
      <c r="BJ197" s="720">
        <f t="shared" si="4008"/>
        <v>0</v>
      </c>
      <c r="BK197" s="720">
        <f t="shared" si="4009"/>
        <v>0</v>
      </c>
      <c r="BL197" s="720">
        <f t="shared" si="4009"/>
        <v>0</v>
      </c>
      <c r="BM197" s="720">
        <f t="shared" si="4009"/>
        <v>0</v>
      </c>
      <c r="BN197" s="720">
        <f t="shared" si="4009"/>
        <v>0</v>
      </c>
      <c r="BO197" s="720">
        <f t="shared" si="4009"/>
        <v>0</v>
      </c>
      <c r="BP197" s="720">
        <f t="shared" si="4009"/>
        <v>0</v>
      </c>
      <c r="BQ197" s="720">
        <f t="shared" si="4009"/>
        <v>0</v>
      </c>
      <c r="BR197" s="720">
        <f t="shared" si="4009"/>
        <v>0</v>
      </c>
      <c r="BS197" s="720">
        <f t="shared" si="4009"/>
        <v>0</v>
      </c>
      <c r="BT197" s="720">
        <f t="shared" si="4009"/>
        <v>0</v>
      </c>
      <c r="BU197" s="720">
        <f t="shared" si="4010"/>
        <v>0</v>
      </c>
      <c r="BV197" s="720">
        <f t="shared" si="4010"/>
        <v>0</v>
      </c>
      <c r="BW197" s="720">
        <f t="shared" si="4010"/>
        <v>0</v>
      </c>
      <c r="BX197" s="720">
        <f t="shared" si="4010"/>
        <v>0</v>
      </c>
      <c r="BY197" s="720">
        <f t="shared" si="4010"/>
        <v>0</v>
      </c>
      <c r="BZ197" s="720">
        <f t="shared" si="4010"/>
        <v>0</v>
      </c>
      <c r="CA197" s="720">
        <f t="shared" si="4010"/>
        <v>0</v>
      </c>
      <c r="CB197" s="720">
        <f t="shared" si="4010"/>
        <v>0</v>
      </c>
      <c r="CC197" s="720">
        <f t="shared" si="4010"/>
        <v>0</v>
      </c>
      <c r="CD197" s="720">
        <f t="shared" si="4010"/>
        <v>0</v>
      </c>
      <c r="CE197" s="720">
        <f t="shared" si="4011"/>
        <v>0</v>
      </c>
      <c r="CF197" s="720">
        <f t="shared" si="4011"/>
        <v>0</v>
      </c>
      <c r="CG197" s="720">
        <f t="shared" si="4011"/>
        <v>0</v>
      </c>
      <c r="CH197" s="720">
        <f t="shared" si="4011"/>
        <v>0</v>
      </c>
      <c r="CI197" s="720">
        <f t="shared" si="4011"/>
        <v>0</v>
      </c>
      <c r="CJ197" s="720">
        <f t="shared" si="4011"/>
        <v>0</v>
      </c>
      <c r="CK197" s="720">
        <v>0</v>
      </c>
      <c r="CL197" s="720">
        <v>0</v>
      </c>
      <c r="CM197" s="720">
        <f>EH49+EH39+EH52+EH55+EH57</f>
        <v>0</v>
      </c>
      <c r="CN197" s="720">
        <f>EI49+EI39+EI52+EI55+EI57</f>
        <v>0</v>
      </c>
      <c r="CO197" s="720">
        <f>EJ49+EJ39+EJ52+EJ55+EJ57</f>
        <v>0</v>
      </c>
      <c r="CP197" s="720">
        <f>EK49+EK39+EK52+EK55+EK57</f>
        <v>0</v>
      </c>
      <c r="CQ197" s="720">
        <f>EL49+EL39+EL52+EL55+EL57</f>
        <v>0</v>
      </c>
      <c r="CR197" s="720">
        <v>0</v>
      </c>
      <c r="CS197" s="720">
        <v>0</v>
      </c>
      <c r="CT197" s="720"/>
      <c r="CV197" s="712"/>
      <c r="CW197" s="712"/>
      <c r="CX197" s="712"/>
      <c r="CY197" s="712"/>
      <c r="CZ197" s="712"/>
      <c r="DA197" s="712"/>
      <c r="DB197" s="712"/>
      <c r="DC197" s="712"/>
      <c r="DD197" s="712"/>
      <c r="DE197" s="712"/>
      <c r="DF197" s="712"/>
      <c r="DG197" s="712"/>
      <c r="DH197" s="712"/>
      <c r="DI197" s="712"/>
      <c r="DJ197" s="712"/>
      <c r="DK197" s="712"/>
      <c r="DL197" s="712"/>
      <c r="DM197" s="712"/>
      <c r="DN197" s="712"/>
      <c r="DO197" s="712"/>
      <c r="DP197" s="712"/>
      <c r="DQ197" s="712"/>
      <c r="DR197" s="712"/>
      <c r="DS197" s="712"/>
      <c r="DT197" s="712"/>
      <c r="DU197" s="712"/>
      <c r="DV197" s="712"/>
      <c r="DW197" s="712"/>
      <c r="DX197" s="712"/>
      <c r="DY197" s="712"/>
      <c r="DZ197" s="712"/>
      <c r="EA197" s="712"/>
      <c r="EB197" s="712"/>
      <c r="EC197" s="712"/>
      <c r="ED197" s="712"/>
      <c r="EE197" s="712"/>
      <c r="EF197" s="712"/>
      <c r="EG197" s="712"/>
      <c r="EH197" s="712"/>
      <c r="EI197" s="712"/>
      <c r="EJ197" s="712"/>
      <c r="EK197" s="712"/>
      <c r="EL197" s="712"/>
      <c r="EM197" s="712"/>
      <c r="EN197" s="712"/>
      <c r="EP197" s="946"/>
    </row>
    <row r="198" spans="7:146" ht="12.75">
      <c r="G198" s="719">
        <v>5</v>
      </c>
      <c r="H198" s="714" t="s">
        <v>71</v>
      </c>
      <c r="BA198" s="720">
        <f t="shared" ref="BA198:BK198" si="4013">CV50+CV40+CV53+CV56+CV58</f>
        <v>0</v>
      </c>
      <c r="BB198" s="720">
        <f t="shared" si="4013"/>
        <v>0</v>
      </c>
      <c r="BC198" s="720">
        <f t="shared" si="4013"/>
        <v>0</v>
      </c>
      <c r="BD198" s="720">
        <f t="shared" si="4013"/>
        <v>0</v>
      </c>
      <c r="BE198" s="720">
        <f t="shared" si="4013"/>
        <v>0</v>
      </c>
      <c r="BF198" s="720">
        <f t="shared" si="4013"/>
        <v>0</v>
      </c>
      <c r="BG198" s="720">
        <f t="shared" si="4013"/>
        <v>0</v>
      </c>
      <c r="BH198" s="720">
        <f t="shared" si="4013"/>
        <v>0</v>
      </c>
      <c r="BI198" s="720">
        <f t="shared" si="4013"/>
        <v>0</v>
      </c>
      <c r="BJ198" s="720">
        <f t="shared" si="4013"/>
        <v>0</v>
      </c>
      <c r="BK198" s="720">
        <f t="shared" si="4013"/>
        <v>0</v>
      </c>
      <c r="BL198" s="720">
        <f t="shared" ref="BL198:CS198" si="4014">DG126</f>
        <v>0</v>
      </c>
      <c r="BM198" s="720">
        <f t="shared" si="4014"/>
        <v>0</v>
      </c>
      <c r="BN198" s="720">
        <f t="shared" si="4014"/>
        <v>0</v>
      </c>
      <c r="BO198" s="720">
        <f t="shared" si="4014"/>
        <v>0</v>
      </c>
      <c r="BP198" s="720">
        <f t="shared" si="4014"/>
        <v>0</v>
      </c>
      <c r="BQ198" s="720">
        <f t="shared" si="4014"/>
        <v>0</v>
      </c>
      <c r="BR198" s="720">
        <f t="shared" si="4014"/>
        <v>0</v>
      </c>
      <c r="BS198" s="720">
        <f t="shared" si="4014"/>
        <v>0</v>
      </c>
      <c r="BT198" s="720">
        <f t="shared" si="4014"/>
        <v>0</v>
      </c>
      <c r="BU198" s="720">
        <f t="shared" si="4014"/>
        <v>0</v>
      </c>
      <c r="BV198" s="720">
        <f t="shared" si="4014"/>
        <v>0</v>
      </c>
      <c r="BW198" s="720">
        <f t="shared" si="4014"/>
        <v>0</v>
      </c>
      <c r="BX198" s="720">
        <f t="shared" si="4014"/>
        <v>0</v>
      </c>
      <c r="BY198" s="720">
        <f t="shared" si="4014"/>
        <v>0</v>
      </c>
      <c r="BZ198" s="720">
        <f t="shared" si="4014"/>
        <v>0</v>
      </c>
      <c r="CA198" s="720">
        <f t="shared" si="4014"/>
        <v>0</v>
      </c>
      <c r="CB198" s="720">
        <f t="shared" si="4014"/>
        <v>0</v>
      </c>
      <c r="CC198" s="720">
        <f t="shared" si="4014"/>
        <v>0</v>
      </c>
      <c r="CD198" s="720">
        <f t="shared" si="4014"/>
        <v>0</v>
      </c>
      <c r="CE198" s="720">
        <f t="shared" si="4014"/>
        <v>0</v>
      </c>
      <c r="CF198" s="720">
        <f t="shared" si="4014"/>
        <v>0</v>
      </c>
      <c r="CG198" s="720">
        <f t="shared" si="4014"/>
        <v>0</v>
      </c>
      <c r="CH198" s="720">
        <f t="shared" si="4014"/>
        <v>0</v>
      </c>
      <c r="CI198" s="720">
        <f t="shared" si="4014"/>
        <v>0</v>
      </c>
      <c r="CJ198" s="720">
        <f t="shared" si="4014"/>
        <v>0</v>
      </c>
      <c r="CK198" s="720">
        <f t="shared" si="4014"/>
        <v>31691.285</v>
      </c>
      <c r="CL198" s="720">
        <f t="shared" si="4014"/>
        <v>7528.7150000000001</v>
      </c>
      <c r="CM198" s="720">
        <f t="shared" si="4014"/>
        <v>169.5</v>
      </c>
      <c r="CN198" s="720">
        <f t="shared" si="4014"/>
        <v>4736.57125</v>
      </c>
      <c r="CO198" s="720">
        <f t="shared" si="4014"/>
        <v>0</v>
      </c>
      <c r="CP198" s="720">
        <f t="shared" si="4014"/>
        <v>0</v>
      </c>
      <c r="CQ198" s="720">
        <f t="shared" si="4014"/>
        <v>0</v>
      </c>
      <c r="CR198" s="720">
        <f t="shared" si="4014"/>
        <v>4615.4093868750006</v>
      </c>
      <c r="CS198" s="720">
        <f t="shared" si="4014"/>
        <v>48571.980636875</v>
      </c>
      <c r="CT198" s="720"/>
      <c r="CV198" s="712"/>
      <c r="CW198" s="712"/>
      <c r="CX198" s="712"/>
      <c r="CY198" s="712"/>
      <c r="CZ198" s="712"/>
      <c r="DA198" s="712"/>
      <c r="DB198" s="712"/>
      <c r="DC198" s="712"/>
      <c r="DD198" s="712"/>
      <c r="DE198" s="712"/>
      <c r="DF198" s="712"/>
      <c r="DG198" s="712"/>
      <c r="DH198" s="712"/>
      <c r="DI198" s="712"/>
      <c r="DJ198" s="712"/>
      <c r="DK198" s="712"/>
      <c r="DL198" s="712"/>
      <c r="DM198" s="712"/>
      <c r="DN198" s="712"/>
      <c r="DO198" s="712"/>
      <c r="DP198" s="712"/>
      <c r="DQ198" s="712"/>
      <c r="DR198" s="712"/>
      <c r="DS198" s="712"/>
      <c r="DT198" s="712"/>
      <c r="DU198" s="712"/>
      <c r="DV198" s="712"/>
      <c r="DW198" s="712"/>
      <c r="DX198" s="712"/>
      <c r="DY198" s="712"/>
      <c r="DZ198" s="712"/>
      <c r="EA198" s="712"/>
      <c r="EB198" s="712"/>
      <c r="EC198" s="712"/>
      <c r="ED198" s="712"/>
      <c r="EE198" s="712"/>
      <c r="EF198" s="712"/>
      <c r="EG198" s="712"/>
      <c r="EH198" s="712"/>
      <c r="EI198" s="712"/>
      <c r="EJ198" s="712"/>
      <c r="EK198" s="712"/>
      <c r="EL198" s="712"/>
      <c r="EM198" s="712"/>
      <c r="EN198" s="712"/>
      <c r="EP198" s="946"/>
    </row>
    <row r="199" spans="7:146" ht="12.75">
      <c r="G199" s="719">
        <v>6</v>
      </c>
      <c r="H199" s="714" t="s">
        <v>74</v>
      </c>
      <c r="BA199" s="720">
        <f>+CV32</f>
        <v>0</v>
      </c>
      <c r="BB199" s="720">
        <f>+CW32</f>
        <v>0</v>
      </c>
      <c r="BC199" s="720">
        <f>+CX32</f>
        <v>0</v>
      </c>
      <c r="BD199" s="720">
        <f>+CY32</f>
        <v>0</v>
      </c>
      <c r="BE199" s="720">
        <f>CZ51+CZ41+CZ54+CZ57+CZ59</f>
        <v>0</v>
      </c>
      <c r="BF199" s="720">
        <f>DA51+DA41+DA54+DA57+DA59</f>
        <v>0</v>
      </c>
      <c r="BG199" s="720">
        <f t="shared" ref="BG199:CS199" si="4015">+DB32</f>
        <v>0</v>
      </c>
      <c r="BH199" s="720">
        <f t="shared" si="4015"/>
        <v>0</v>
      </c>
      <c r="BI199" s="720">
        <f t="shared" si="4015"/>
        <v>0</v>
      </c>
      <c r="BJ199" s="720">
        <f t="shared" si="4015"/>
        <v>0</v>
      </c>
      <c r="BK199" s="720">
        <f t="shared" si="4015"/>
        <v>0</v>
      </c>
      <c r="BL199" s="720">
        <f t="shared" si="4015"/>
        <v>0</v>
      </c>
      <c r="BM199" s="720">
        <f t="shared" si="4015"/>
        <v>0</v>
      </c>
      <c r="BN199" s="720">
        <f t="shared" si="4015"/>
        <v>0</v>
      </c>
      <c r="BO199" s="720">
        <f t="shared" si="4015"/>
        <v>0</v>
      </c>
      <c r="BP199" s="720">
        <f t="shared" si="4015"/>
        <v>0</v>
      </c>
      <c r="BQ199" s="720">
        <f t="shared" si="4015"/>
        <v>0</v>
      </c>
      <c r="BR199" s="720">
        <f t="shared" si="4015"/>
        <v>0</v>
      </c>
      <c r="BS199" s="720">
        <f t="shared" si="4015"/>
        <v>0</v>
      </c>
      <c r="BT199" s="720">
        <f t="shared" si="4015"/>
        <v>0</v>
      </c>
      <c r="BU199" s="720">
        <f t="shared" si="4015"/>
        <v>0</v>
      </c>
      <c r="BV199" s="720">
        <f t="shared" si="4015"/>
        <v>0</v>
      </c>
      <c r="BW199" s="720">
        <f t="shared" si="4015"/>
        <v>0</v>
      </c>
      <c r="BX199" s="720">
        <f t="shared" si="4015"/>
        <v>0</v>
      </c>
      <c r="BY199" s="720">
        <f t="shared" si="4015"/>
        <v>0</v>
      </c>
      <c r="BZ199" s="720">
        <f t="shared" si="4015"/>
        <v>0</v>
      </c>
      <c r="CA199" s="720">
        <f t="shared" si="4015"/>
        <v>0</v>
      </c>
      <c r="CB199" s="720">
        <f t="shared" si="4015"/>
        <v>0</v>
      </c>
      <c r="CC199" s="720">
        <f t="shared" si="4015"/>
        <v>0</v>
      </c>
      <c r="CD199" s="720">
        <f t="shared" si="4015"/>
        <v>0</v>
      </c>
      <c r="CE199" s="720">
        <f t="shared" si="4015"/>
        <v>0</v>
      </c>
      <c r="CF199" s="720">
        <f t="shared" si="4015"/>
        <v>0</v>
      </c>
      <c r="CG199" s="720">
        <f t="shared" si="4015"/>
        <v>0</v>
      </c>
      <c r="CH199" s="720">
        <f t="shared" si="4015"/>
        <v>0</v>
      </c>
      <c r="CI199" s="720">
        <f t="shared" si="4015"/>
        <v>0</v>
      </c>
      <c r="CJ199" s="720">
        <f t="shared" si="4015"/>
        <v>0</v>
      </c>
      <c r="CK199" s="720">
        <f t="shared" si="4015"/>
        <v>16400</v>
      </c>
      <c r="CL199" s="720">
        <f t="shared" si="4015"/>
        <v>8700</v>
      </c>
      <c r="CM199" s="720">
        <f t="shared" si="4015"/>
        <v>0</v>
      </c>
      <c r="CN199" s="720">
        <f t="shared" si="4015"/>
        <v>0</v>
      </c>
      <c r="CO199" s="720">
        <f t="shared" si="4015"/>
        <v>0</v>
      </c>
      <c r="CP199" s="720">
        <f t="shared" si="4015"/>
        <v>0</v>
      </c>
      <c r="CQ199" s="720">
        <f t="shared" si="4015"/>
        <v>0</v>
      </c>
      <c r="CR199" s="720">
        <f t="shared" si="4015"/>
        <v>2077.88</v>
      </c>
      <c r="CS199" s="720">
        <f t="shared" si="4015"/>
        <v>27177.879999999997</v>
      </c>
      <c r="CT199" s="720"/>
      <c r="CV199" s="712"/>
      <c r="CW199" s="712"/>
      <c r="CX199" s="712"/>
      <c r="CY199" s="712"/>
      <c r="CZ199" s="712"/>
      <c r="DA199" s="712"/>
      <c r="DB199" s="712"/>
      <c r="DC199" s="712"/>
      <c r="DD199" s="712"/>
      <c r="DE199" s="712"/>
      <c r="DF199" s="712"/>
      <c r="DG199" s="712"/>
      <c r="DH199" s="712"/>
      <c r="DI199" s="712"/>
      <c r="DJ199" s="712"/>
      <c r="DK199" s="712"/>
      <c r="DL199" s="712"/>
      <c r="DM199" s="712"/>
      <c r="DN199" s="712"/>
      <c r="DO199" s="712"/>
      <c r="DP199" s="712"/>
      <c r="DQ199" s="712"/>
      <c r="DR199" s="712"/>
      <c r="DS199" s="712"/>
      <c r="DT199" s="712"/>
      <c r="DU199" s="712"/>
      <c r="DV199" s="712"/>
      <c r="DW199" s="712"/>
      <c r="DX199" s="712"/>
      <c r="DY199" s="712"/>
      <c r="DZ199" s="712"/>
      <c r="EA199" s="712"/>
      <c r="EB199" s="712"/>
      <c r="EC199" s="712"/>
      <c r="ED199" s="712"/>
      <c r="EE199" s="712"/>
      <c r="EF199" s="712"/>
      <c r="EG199" s="712"/>
      <c r="EH199" s="712"/>
      <c r="EI199" s="712"/>
      <c r="EJ199" s="712"/>
      <c r="EK199" s="712"/>
      <c r="EL199" s="712"/>
      <c r="EM199" s="712"/>
      <c r="EN199" s="712"/>
      <c r="EP199" s="946"/>
    </row>
    <row r="200" spans="7:146" ht="12.75">
      <c r="G200" s="719">
        <v>7</v>
      </c>
      <c r="H200" s="714" t="s">
        <v>76</v>
      </c>
      <c r="BA200" s="720">
        <f t="shared" ref="BA200:CS200" si="4016">+CV26</f>
        <v>0</v>
      </c>
      <c r="BB200" s="720">
        <f t="shared" si="4016"/>
        <v>0</v>
      </c>
      <c r="BC200" s="720">
        <f t="shared" si="4016"/>
        <v>0</v>
      </c>
      <c r="BD200" s="720">
        <f t="shared" si="4016"/>
        <v>0</v>
      </c>
      <c r="BE200" s="720">
        <f t="shared" si="4016"/>
        <v>0</v>
      </c>
      <c r="BF200" s="720">
        <f t="shared" si="4016"/>
        <v>0</v>
      </c>
      <c r="BG200" s="720">
        <f t="shared" si="4016"/>
        <v>0</v>
      </c>
      <c r="BH200" s="720">
        <f t="shared" si="4016"/>
        <v>0</v>
      </c>
      <c r="BI200" s="720">
        <f t="shared" si="4016"/>
        <v>0</v>
      </c>
      <c r="BJ200" s="720">
        <f t="shared" si="4016"/>
        <v>0</v>
      </c>
      <c r="BK200" s="720">
        <f t="shared" si="4016"/>
        <v>0</v>
      </c>
      <c r="BL200" s="720">
        <f t="shared" si="4016"/>
        <v>0</v>
      </c>
      <c r="BM200" s="720">
        <f t="shared" si="4016"/>
        <v>0</v>
      </c>
      <c r="BN200" s="720">
        <f t="shared" si="4016"/>
        <v>0</v>
      </c>
      <c r="BO200" s="720">
        <f t="shared" si="4016"/>
        <v>0</v>
      </c>
      <c r="BP200" s="720">
        <f t="shared" si="4016"/>
        <v>0</v>
      </c>
      <c r="BQ200" s="720">
        <f t="shared" si="4016"/>
        <v>0</v>
      </c>
      <c r="BR200" s="720">
        <f t="shared" si="4016"/>
        <v>0</v>
      </c>
      <c r="BS200" s="720">
        <f t="shared" si="4016"/>
        <v>0</v>
      </c>
      <c r="BT200" s="720">
        <f t="shared" si="4016"/>
        <v>0</v>
      </c>
      <c r="BU200" s="720">
        <f t="shared" si="4016"/>
        <v>0</v>
      </c>
      <c r="BV200" s="720">
        <f t="shared" si="4016"/>
        <v>0</v>
      </c>
      <c r="BW200" s="720">
        <f t="shared" si="4016"/>
        <v>0</v>
      </c>
      <c r="BX200" s="720">
        <f t="shared" si="4016"/>
        <v>0</v>
      </c>
      <c r="BY200" s="720">
        <f t="shared" si="4016"/>
        <v>0</v>
      </c>
      <c r="BZ200" s="720">
        <f t="shared" si="4016"/>
        <v>0</v>
      </c>
      <c r="CA200" s="720">
        <f t="shared" si="4016"/>
        <v>0</v>
      </c>
      <c r="CB200" s="720">
        <f t="shared" si="4016"/>
        <v>0</v>
      </c>
      <c r="CC200" s="720">
        <f t="shared" si="4016"/>
        <v>0</v>
      </c>
      <c r="CD200" s="720">
        <f t="shared" si="4016"/>
        <v>0</v>
      </c>
      <c r="CE200" s="720">
        <f t="shared" si="4016"/>
        <v>0</v>
      </c>
      <c r="CF200" s="720">
        <f t="shared" si="4016"/>
        <v>0</v>
      </c>
      <c r="CG200" s="720">
        <f t="shared" si="4016"/>
        <v>0</v>
      </c>
      <c r="CH200" s="720">
        <f t="shared" si="4016"/>
        <v>0</v>
      </c>
      <c r="CI200" s="720">
        <f t="shared" si="4016"/>
        <v>0</v>
      </c>
      <c r="CJ200" s="720">
        <f t="shared" si="4016"/>
        <v>0</v>
      </c>
      <c r="CK200" s="720">
        <f t="shared" si="4016"/>
        <v>22975.03</v>
      </c>
      <c r="CL200" s="720">
        <f t="shared" si="4016"/>
        <v>7250</v>
      </c>
      <c r="CM200" s="720">
        <f t="shared" si="4016"/>
        <v>0</v>
      </c>
      <c r="CN200" s="720">
        <f t="shared" si="4016"/>
        <v>0</v>
      </c>
      <c r="CO200" s="720">
        <f t="shared" si="4016"/>
        <v>0</v>
      </c>
      <c r="CP200" s="720">
        <f t="shared" si="4016"/>
        <v>0</v>
      </c>
      <c r="CQ200" s="720">
        <f t="shared" si="4016"/>
        <v>0</v>
      </c>
      <c r="CR200" s="720">
        <f t="shared" si="4016"/>
        <v>2910.9363010000006</v>
      </c>
      <c r="CS200" s="720">
        <f t="shared" si="4016"/>
        <v>33135.966301</v>
      </c>
      <c r="CT200" s="720"/>
      <c r="CV200" s="712"/>
      <c r="CW200" s="712"/>
      <c r="CX200" s="712"/>
      <c r="CY200" s="712"/>
      <c r="CZ200" s="712"/>
      <c r="DA200" s="712"/>
      <c r="DB200" s="712"/>
      <c r="DC200" s="712"/>
      <c r="DD200" s="712"/>
      <c r="DE200" s="712"/>
      <c r="DF200" s="712"/>
      <c r="DG200" s="712"/>
      <c r="DH200" s="712"/>
      <c r="DI200" s="712"/>
      <c r="DJ200" s="712"/>
      <c r="DK200" s="712"/>
      <c r="DL200" s="712"/>
      <c r="DM200" s="712"/>
      <c r="DN200" s="712"/>
      <c r="DO200" s="712"/>
      <c r="DP200" s="712"/>
      <c r="DQ200" s="712"/>
      <c r="DR200" s="712"/>
      <c r="DS200" s="712"/>
      <c r="DT200" s="712"/>
      <c r="DU200" s="712"/>
      <c r="DV200" s="712"/>
      <c r="DW200" s="712"/>
      <c r="DX200" s="712"/>
      <c r="DY200" s="712"/>
      <c r="DZ200" s="712"/>
      <c r="EA200" s="712"/>
      <c r="EB200" s="712"/>
      <c r="EC200" s="712"/>
      <c r="ED200" s="712"/>
      <c r="EE200" s="712"/>
      <c r="EF200" s="712"/>
      <c r="EG200" s="712"/>
      <c r="EH200" s="712"/>
      <c r="EI200" s="712"/>
      <c r="EJ200" s="712"/>
      <c r="EK200" s="712"/>
      <c r="EL200" s="712"/>
      <c r="EM200" s="712"/>
      <c r="EN200" s="712"/>
      <c r="EP200" s="946"/>
    </row>
    <row r="201" spans="7:146" ht="12.75">
      <c r="G201" s="719">
        <v>8</v>
      </c>
      <c r="H201" s="714" t="s">
        <v>80</v>
      </c>
      <c r="BA201" s="720">
        <f t="shared" ref="BA201:BL202" si="4017">+CV27</f>
        <v>0</v>
      </c>
      <c r="BB201" s="720">
        <f t="shared" si="4017"/>
        <v>0</v>
      </c>
      <c r="BC201" s="720">
        <f t="shared" si="4017"/>
        <v>0</v>
      </c>
      <c r="BD201" s="720">
        <f t="shared" si="4017"/>
        <v>0</v>
      </c>
      <c r="BE201" s="720">
        <f t="shared" si="4017"/>
        <v>0</v>
      </c>
      <c r="BF201" s="720">
        <f t="shared" si="4017"/>
        <v>0</v>
      </c>
      <c r="BG201" s="720">
        <f t="shared" si="4017"/>
        <v>0</v>
      </c>
      <c r="BH201" s="720">
        <f t="shared" si="4017"/>
        <v>0</v>
      </c>
      <c r="BI201" s="720">
        <f t="shared" si="4017"/>
        <v>0</v>
      </c>
      <c r="BJ201" s="720">
        <f t="shared" si="4017"/>
        <v>0</v>
      </c>
      <c r="BK201" s="720">
        <f t="shared" si="4017"/>
        <v>0</v>
      </c>
      <c r="BL201" s="720">
        <f t="shared" si="4017"/>
        <v>0</v>
      </c>
      <c r="CT201" s="720"/>
      <c r="CV201" s="712"/>
      <c r="CW201" s="712"/>
      <c r="CX201" s="712"/>
      <c r="CY201" s="712"/>
      <c r="CZ201" s="712"/>
      <c r="DA201" s="712"/>
      <c r="DB201" s="712"/>
      <c r="DC201" s="712"/>
      <c r="DD201" s="712"/>
      <c r="DE201" s="712"/>
      <c r="DF201" s="712"/>
      <c r="DG201" s="712"/>
      <c r="DH201" s="712"/>
      <c r="DI201" s="712"/>
      <c r="DJ201" s="712"/>
      <c r="DK201" s="712"/>
      <c r="DL201" s="712"/>
      <c r="DM201" s="712"/>
      <c r="DN201" s="712"/>
      <c r="DO201" s="712"/>
      <c r="DP201" s="712"/>
      <c r="DQ201" s="712"/>
      <c r="DR201" s="712"/>
      <c r="DS201" s="712"/>
      <c r="DT201" s="712"/>
      <c r="DU201" s="712"/>
      <c r="DV201" s="712"/>
      <c r="DW201" s="712"/>
      <c r="DX201" s="712"/>
      <c r="DY201" s="712"/>
      <c r="DZ201" s="712"/>
      <c r="EA201" s="712"/>
      <c r="EB201" s="712"/>
      <c r="EC201" s="712"/>
      <c r="ED201" s="712"/>
      <c r="EE201" s="712"/>
      <c r="EF201" s="712"/>
      <c r="EG201" s="712"/>
      <c r="EH201" s="712"/>
      <c r="EI201" s="712"/>
      <c r="EJ201" s="712"/>
      <c r="EK201" s="712"/>
      <c r="EL201" s="712"/>
      <c r="EM201" s="712"/>
      <c r="EN201" s="712"/>
      <c r="EP201" s="946"/>
    </row>
    <row r="202" spans="7:146" ht="12.75">
      <c r="G202" s="719">
        <v>9</v>
      </c>
      <c r="H202" s="714" t="s">
        <v>81</v>
      </c>
      <c r="BA202" s="720">
        <f t="shared" si="4017"/>
        <v>0</v>
      </c>
      <c r="BB202" s="720">
        <f t="shared" si="4017"/>
        <v>0</v>
      </c>
      <c r="BC202" s="720">
        <f t="shared" si="4017"/>
        <v>0</v>
      </c>
      <c r="BD202" s="720">
        <f t="shared" si="4017"/>
        <v>0</v>
      </c>
      <c r="BE202" s="720">
        <f t="shared" si="4017"/>
        <v>0</v>
      </c>
      <c r="BF202" s="720">
        <f t="shared" si="4017"/>
        <v>0</v>
      </c>
      <c r="BG202" s="720">
        <f t="shared" si="4017"/>
        <v>0</v>
      </c>
      <c r="BH202" s="720">
        <f t="shared" si="4017"/>
        <v>0</v>
      </c>
      <c r="BI202" s="720">
        <f t="shared" si="4017"/>
        <v>0</v>
      </c>
      <c r="BJ202" s="720">
        <f t="shared" si="4017"/>
        <v>0</v>
      </c>
      <c r="BK202" s="720">
        <f t="shared" si="4017"/>
        <v>0</v>
      </c>
      <c r="BL202" s="720">
        <f t="shared" si="4017"/>
        <v>0</v>
      </c>
      <c r="BM202" s="720">
        <f t="shared" ref="BM202:CJ202" si="4018">+DH28</f>
        <v>0</v>
      </c>
      <c r="BN202" s="720">
        <f t="shared" si="4018"/>
        <v>0</v>
      </c>
      <c r="BO202" s="720">
        <f t="shared" si="4018"/>
        <v>0</v>
      </c>
      <c r="BP202" s="720">
        <f t="shared" si="4018"/>
        <v>0</v>
      </c>
      <c r="BQ202" s="720">
        <f t="shared" si="4018"/>
        <v>0</v>
      </c>
      <c r="BR202" s="720">
        <f t="shared" si="4018"/>
        <v>0</v>
      </c>
      <c r="BS202" s="720">
        <f t="shared" si="4018"/>
        <v>0</v>
      </c>
      <c r="BT202" s="720">
        <f t="shared" si="4018"/>
        <v>0</v>
      </c>
      <c r="BU202" s="720">
        <f t="shared" si="4018"/>
        <v>0</v>
      </c>
      <c r="BV202" s="720">
        <f t="shared" si="4018"/>
        <v>0</v>
      </c>
      <c r="BW202" s="720">
        <f t="shared" si="4018"/>
        <v>0</v>
      </c>
      <c r="BX202" s="720">
        <f t="shared" si="4018"/>
        <v>0</v>
      </c>
      <c r="BY202" s="720">
        <f t="shared" si="4018"/>
        <v>0</v>
      </c>
      <c r="BZ202" s="720">
        <f t="shared" si="4018"/>
        <v>0</v>
      </c>
      <c r="CA202" s="720">
        <f t="shared" si="4018"/>
        <v>0</v>
      </c>
      <c r="CB202" s="720">
        <f t="shared" si="4018"/>
        <v>0</v>
      </c>
      <c r="CC202" s="720">
        <f t="shared" si="4018"/>
        <v>0</v>
      </c>
      <c r="CD202" s="720">
        <f t="shared" si="4018"/>
        <v>0</v>
      </c>
      <c r="CE202" s="720">
        <f t="shared" si="4018"/>
        <v>0</v>
      </c>
      <c r="CF202" s="720">
        <f t="shared" si="4018"/>
        <v>0</v>
      </c>
      <c r="CG202" s="720">
        <f t="shared" si="4018"/>
        <v>0</v>
      </c>
      <c r="CH202" s="720">
        <f t="shared" si="4018"/>
        <v>0</v>
      </c>
      <c r="CI202" s="720">
        <f t="shared" si="4018"/>
        <v>0</v>
      </c>
      <c r="CJ202" s="720">
        <f t="shared" si="4018"/>
        <v>0</v>
      </c>
      <c r="CK202" s="720">
        <f t="shared" ref="CK202:CS202" si="4019">+EF114</f>
        <v>28768.414666666667</v>
      </c>
      <c r="CL202" s="720">
        <f t="shared" si="4019"/>
        <v>8989.9186666666665</v>
      </c>
      <c r="CM202" s="720">
        <f t="shared" si="4019"/>
        <v>0</v>
      </c>
      <c r="CN202" s="720">
        <f t="shared" si="4019"/>
        <v>0</v>
      </c>
      <c r="CO202" s="720">
        <f t="shared" si="4019"/>
        <v>0</v>
      </c>
      <c r="CP202" s="720">
        <f t="shared" si="4019"/>
        <v>0</v>
      </c>
      <c r="CQ202" s="720">
        <f t="shared" si="4019"/>
        <v>0</v>
      </c>
      <c r="CR202" s="720">
        <f t="shared" si="4019"/>
        <v>3644.9581382666665</v>
      </c>
      <c r="CS202" s="720">
        <f t="shared" si="4019"/>
        <v>41403.291471600001</v>
      </c>
      <c r="CT202" s="720"/>
      <c r="CV202" s="712"/>
      <c r="CW202" s="712"/>
      <c r="CX202" s="712"/>
      <c r="CY202" s="712"/>
      <c r="CZ202" s="712"/>
      <c r="DA202" s="712"/>
      <c r="DB202" s="712"/>
      <c r="DC202" s="712"/>
      <c r="DD202" s="712"/>
      <c r="DE202" s="712"/>
      <c r="DF202" s="712"/>
      <c r="DG202" s="712"/>
      <c r="DH202" s="712"/>
      <c r="DI202" s="712"/>
      <c r="DJ202" s="712"/>
      <c r="DK202" s="712"/>
      <c r="DL202" s="712"/>
      <c r="DM202" s="712"/>
      <c r="DN202" s="712"/>
      <c r="DO202" s="712"/>
      <c r="DP202" s="712"/>
      <c r="DQ202" s="712"/>
      <c r="DR202" s="712"/>
      <c r="DS202" s="712"/>
      <c r="DT202" s="712"/>
      <c r="DU202" s="712"/>
      <c r="DV202" s="712"/>
      <c r="DW202" s="712"/>
      <c r="DX202" s="712"/>
      <c r="DY202" s="712"/>
      <c r="DZ202" s="712"/>
      <c r="EA202" s="712"/>
      <c r="EB202" s="712"/>
      <c r="EC202" s="712"/>
      <c r="ED202" s="712"/>
      <c r="EE202" s="712"/>
      <c r="EF202" s="712"/>
      <c r="EG202" s="712"/>
      <c r="EH202" s="712"/>
      <c r="EI202" s="712"/>
      <c r="EJ202" s="712"/>
      <c r="EK202" s="712"/>
      <c r="EL202" s="712"/>
      <c r="EM202" s="712"/>
      <c r="EN202" s="712"/>
      <c r="EP202" s="946"/>
    </row>
    <row r="203" spans="7:146" ht="12.75">
      <c r="G203" s="719">
        <v>10</v>
      </c>
      <c r="H203" s="714" t="s">
        <v>666</v>
      </c>
      <c r="BA203" s="720">
        <f t="shared" ref="BA203:BG203" si="4020">+CV29</f>
        <v>0</v>
      </c>
      <c r="BB203" s="720">
        <f t="shared" si="4020"/>
        <v>0</v>
      </c>
      <c r="BC203" s="720">
        <f t="shared" si="4020"/>
        <v>0</v>
      </c>
      <c r="BD203" s="720">
        <f t="shared" si="4020"/>
        <v>0</v>
      </c>
      <c r="BE203" s="720">
        <f t="shared" si="4020"/>
        <v>0</v>
      </c>
      <c r="BF203" s="720">
        <f t="shared" si="4020"/>
        <v>0</v>
      </c>
      <c r="BG203" s="720">
        <f t="shared" si="4020"/>
        <v>0</v>
      </c>
      <c r="BH203" s="720">
        <f>+DC70</f>
        <v>0</v>
      </c>
      <c r="BI203" s="720">
        <f>+DD29</f>
        <v>0</v>
      </c>
      <c r="BJ203" s="720">
        <f>+DE29</f>
        <v>0</v>
      </c>
      <c r="BK203" s="720">
        <f>+DF29</f>
        <v>0</v>
      </c>
      <c r="BL203" s="720">
        <f>+DG29</f>
        <v>0</v>
      </c>
      <c r="BM203" s="720">
        <f t="shared" ref="BM203:CS203" si="4021">+DH70</f>
        <v>0</v>
      </c>
      <c r="BN203" s="720">
        <f t="shared" si="4021"/>
        <v>0</v>
      </c>
      <c r="BO203" s="720">
        <f t="shared" si="4021"/>
        <v>0</v>
      </c>
      <c r="BP203" s="720">
        <f t="shared" si="4021"/>
        <v>0</v>
      </c>
      <c r="BQ203" s="720">
        <f t="shared" si="4021"/>
        <v>0</v>
      </c>
      <c r="BR203" s="720">
        <f t="shared" si="4021"/>
        <v>0</v>
      </c>
      <c r="BS203" s="720">
        <f t="shared" si="4021"/>
        <v>0</v>
      </c>
      <c r="BT203" s="720">
        <f t="shared" si="4021"/>
        <v>0</v>
      </c>
      <c r="BU203" s="720">
        <f t="shared" si="4021"/>
        <v>0</v>
      </c>
      <c r="BV203" s="720">
        <f t="shared" si="4021"/>
        <v>0</v>
      </c>
      <c r="BW203" s="720">
        <f t="shared" si="4021"/>
        <v>0</v>
      </c>
      <c r="BX203" s="720">
        <f t="shared" si="4021"/>
        <v>0</v>
      </c>
      <c r="BY203" s="720">
        <f t="shared" si="4021"/>
        <v>0</v>
      </c>
      <c r="BZ203" s="720">
        <f t="shared" si="4021"/>
        <v>0</v>
      </c>
      <c r="CA203" s="720">
        <f t="shared" si="4021"/>
        <v>0</v>
      </c>
      <c r="CB203" s="720">
        <f t="shared" si="4021"/>
        <v>0</v>
      </c>
      <c r="CC203" s="720">
        <f t="shared" si="4021"/>
        <v>0</v>
      </c>
      <c r="CD203" s="720">
        <f t="shared" si="4021"/>
        <v>0</v>
      </c>
      <c r="CE203" s="720">
        <f t="shared" si="4021"/>
        <v>0</v>
      </c>
      <c r="CF203" s="720">
        <f t="shared" si="4021"/>
        <v>0</v>
      </c>
      <c r="CG203" s="720">
        <f t="shared" si="4021"/>
        <v>0</v>
      </c>
      <c r="CH203" s="720">
        <f t="shared" si="4021"/>
        <v>0</v>
      </c>
      <c r="CI203" s="720">
        <f t="shared" si="4021"/>
        <v>0</v>
      </c>
      <c r="CJ203" s="720">
        <f t="shared" si="4021"/>
        <v>0</v>
      </c>
      <c r="CK203" s="720">
        <f t="shared" si="4021"/>
        <v>0</v>
      </c>
      <c r="CL203" s="720">
        <f t="shared" si="4021"/>
        <v>0</v>
      </c>
      <c r="CM203" s="720">
        <f t="shared" si="4021"/>
        <v>0</v>
      </c>
      <c r="CN203" s="720">
        <f t="shared" si="4021"/>
        <v>0</v>
      </c>
      <c r="CO203" s="720">
        <f t="shared" si="4021"/>
        <v>0</v>
      </c>
      <c r="CP203" s="720">
        <f t="shared" si="4021"/>
        <v>0</v>
      </c>
      <c r="CQ203" s="720">
        <f t="shared" si="4021"/>
        <v>0</v>
      </c>
      <c r="CR203" s="720">
        <f t="shared" si="4021"/>
        <v>0</v>
      </c>
      <c r="CS203" s="720">
        <f t="shared" si="4021"/>
        <v>0</v>
      </c>
      <c r="CT203" s="720"/>
      <c r="CV203" s="712"/>
      <c r="CW203" s="712"/>
      <c r="CX203" s="712"/>
      <c r="CY203" s="712"/>
      <c r="CZ203" s="712"/>
      <c r="DA203" s="712"/>
      <c r="DB203" s="712"/>
      <c r="DC203" s="712"/>
      <c r="DD203" s="712"/>
      <c r="DE203" s="712"/>
      <c r="DF203" s="712"/>
      <c r="DG203" s="712"/>
      <c r="DH203" s="712"/>
      <c r="DI203" s="712"/>
      <c r="DJ203" s="712"/>
      <c r="DK203" s="712"/>
      <c r="DL203" s="712"/>
      <c r="DM203" s="712"/>
      <c r="DN203" s="712"/>
      <c r="DO203" s="712"/>
      <c r="DP203" s="712"/>
      <c r="DQ203" s="712"/>
      <c r="DR203" s="712"/>
      <c r="DS203" s="712"/>
      <c r="DT203" s="712"/>
      <c r="DU203" s="712"/>
      <c r="DV203" s="712"/>
      <c r="DW203" s="712"/>
      <c r="DX203" s="712"/>
      <c r="DY203" s="712"/>
      <c r="DZ203" s="712"/>
      <c r="EA203" s="712"/>
      <c r="EB203" s="712"/>
      <c r="EC203" s="712"/>
      <c r="ED203" s="712"/>
      <c r="EE203" s="712"/>
      <c r="EF203" s="712"/>
      <c r="EG203" s="712"/>
      <c r="EH203" s="712"/>
      <c r="EI203" s="712"/>
      <c r="EJ203" s="712"/>
      <c r="EK203" s="712"/>
      <c r="EL203" s="712"/>
      <c r="EM203" s="712"/>
      <c r="EN203" s="712"/>
      <c r="EP203" s="946"/>
    </row>
    <row r="204" spans="7:146" ht="12.75">
      <c r="G204" s="719">
        <v>11</v>
      </c>
      <c r="H204" s="714" t="s">
        <v>85</v>
      </c>
      <c r="BA204" s="720">
        <f t="shared" ref="BA204:CJ204" si="4022">CV140+CV149</f>
        <v>0</v>
      </c>
      <c r="BB204" s="720">
        <f t="shared" si="4022"/>
        <v>0</v>
      </c>
      <c r="BC204" s="720">
        <f t="shared" si="4022"/>
        <v>0</v>
      </c>
      <c r="BD204" s="720">
        <f t="shared" si="4022"/>
        <v>0</v>
      </c>
      <c r="BE204" s="720">
        <f t="shared" si="4022"/>
        <v>0</v>
      </c>
      <c r="BF204" s="720">
        <f t="shared" si="4022"/>
        <v>0</v>
      </c>
      <c r="BG204" s="720">
        <f t="shared" si="4022"/>
        <v>0</v>
      </c>
      <c r="BH204" s="720">
        <f t="shared" si="4022"/>
        <v>0</v>
      </c>
      <c r="BI204" s="720">
        <f t="shared" si="4022"/>
        <v>0</v>
      </c>
      <c r="BJ204" s="720">
        <f t="shared" si="4022"/>
        <v>0</v>
      </c>
      <c r="BK204" s="720">
        <f t="shared" si="4022"/>
        <v>0</v>
      </c>
      <c r="BL204" s="720">
        <f t="shared" si="4022"/>
        <v>0</v>
      </c>
      <c r="BM204" s="720">
        <f t="shared" si="4022"/>
        <v>0</v>
      </c>
      <c r="BN204" s="720">
        <f t="shared" si="4022"/>
        <v>0</v>
      </c>
      <c r="BO204" s="720">
        <f t="shared" si="4022"/>
        <v>0</v>
      </c>
      <c r="BP204" s="720">
        <f t="shared" si="4022"/>
        <v>0</v>
      </c>
      <c r="BQ204" s="720">
        <f t="shared" si="4022"/>
        <v>0</v>
      </c>
      <c r="BR204" s="720">
        <f t="shared" si="4022"/>
        <v>0</v>
      </c>
      <c r="BS204" s="720">
        <f t="shared" si="4022"/>
        <v>0</v>
      </c>
      <c r="BT204" s="720">
        <f t="shared" si="4022"/>
        <v>0</v>
      </c>
      <c r="BU204" s="720">
        <f t="shared" si="4022"/>
        <v>0</v>
      </c>
      <c r="BV204" s="720">
        <f t="shared" si="4022"/>
        <v>0</v>
      </c>
      <c r="BW204" s="720">
        <f t="shared" si="4022"/>
        <v>0</v>
      </c>
      <c r="BX204" s="720">
        <f t="shared" si="4022"/>
        <v>0</v>
      </c>
      <c r="BY204" s="720">
        <f t="shared" si="4022"/>
        <v>0</v>
      </c>
      <c r="BZ204" s="720">
        <f t="shared" si="4022"/>
        <v>0</v>
      </c>
      <c r="CA204" s="720">
        <f t="shared" si="4022"/>
        <v>0</v>
      </c>
      <c r="CB204" s="720">
        <f t="shared" si="4022"/>
        <v>0</v>
      </c>
      <c r="CC204" s="720">
        <f t="shared" si="4022"/>
        <v>0</v>
      </c>
      <c r="CD204" s="720">
        <f t="shared" si="4022"/>
        <v>0</v>
      </c>
      <c r="CE204" s="720">
        <f t="shared" si="4022"/>
        <v>0</v>
      </c>
      <c r="CF204" s="720">
        <f t="shared" si="4022"/>
        <v>0</v>
      </c>
      <c r="CG204" s="720">
        <f t="shared" si="4022"/>
        <v>0</v>
      </c>
      <c r="CH204" s="720">
        <f t="shared" si="4022"/>
        <v>0</v>
      </c>
      <c r="CI204" s="720">
        <f t="shared" si="4022"/>
        <v>0</v>
      </c>
      <c r="CJ204" s="720">
        <f t="shared" si="4022"/>
        <v>0</v>
      </c>
      <c r="CK204" s="720">
        <f>EF140</f>
        <v>24850</v>
      </c>
      <c r="CL204" s="720">
        <f t="shared" ref="CL204:CS204" si="4023">EG140</f>
        <v>6650</v>
      </c>
      <c r="CM204" s="720">
        <f t="shared" si="4023"/>
        <v>0</v>
      </c>
      <c r="CN204" s="720">
        <f t="shared" si="4023"/>
        <v>0</v>
      </c>
      <c r="CO204" s="720">
        <f t="shared" si="4023"/>
        <v>0</v>
      </c>
      <c r="CP204" s="720">
        <f t="shared" si="4023"/>
        <v>0</v>
      </c>
      <c r="CQ204" s="720">
        <f t="shared" si="4023"/>
        <v>0</v>
      </c>
      <c r="CR204" s="720">
        <f t="shared" si="4023"/>
        <v>3148.4950000000003</v>
      </c>
      <c r="CS204" s="720">
        <f t="shared" si="4023"/>
        <v>34648.494999999995</v>
      </c>
      <c r="CT204" s="720"/>
      <c r="CV204" s="712"/>
      <c r="CW204" s="712"/>
      <c r="CX204" s="712"/>
      <c r="CY204" s="712"/>
      <c r="CZ204" s="712"/>
      <c r="DA204" s="712"/>
      <c r="DB204" s="712"/>
      <c r="DC204" s="712"/>
      <c r="DD204" s="712"/>
      <c r="DE204" s="712"/>
      <c r="DF204" s="712"/>
      <c r="DG204" s="712"/>
      <c r="DH204" s="712"/>
      <c r="DI204" s="712"/>
      <c r="DJ204" s="712"/>
      <c r="DK204" s="712"/>
      <c r="DL204" s="712"/>
      <c r="DM204" s="712"/>
      <c r="DN204" s="712"/>
      <c r="DO204" s="712"/>
      <c r="DP204" s="712"/>
      <c r="DQ204" s="712"/>
      <c r="DR204" s="712"/>
      <c r="DS204" s="712"/>
      <c r="DT204" s="712"/>
      <c r="DU204" s="712"/>
      <c r="DV204" s="712"/>
      <c r="DW204" s="712"/>
      <c r="DX204" s="712"/>
      <c r="DY204" s="712"/>
      <c r="DZ204" s="712"/>
      <c r="EA204" s="712"/>
      <c r="EB204" s="712"/>
      <c r="EC204" s="712"/>
      <c r="ED204" s="712"/>
      <c r="EE204" s="712"/>
      <c r="EF204" s="712"/>
      <c r="EG204" s="712"/>
      <c r="EH204" s="712"/>
      <c r="EI204" s="712"/>
      <c r="EJ204" s="712"/>
      <c r="EK204" s="712"/>
      <c r="EL204" s="712"/>
      <c r="EM204" s="712"/>
      <c r="EN204" s="712"/>
      <c r="EP204" s="946"/>
    </row>
    <row r="205" spans="7:146" ht="12.75">
      <c r="G205" s="719">
        <v>12</v>
      </c>
      <c r="H205" s="714" t="s">
        <v>9</v>
      </c>
      <c r="BA205" s="720">
        <f t="shared" ref="BA205:CS205" si="4024">+CV73</f>
        <v>0</v>
      </c>
      <c r="BB205" s="720">
        <f t="shared" si="4024"/>
        <v>0</v>
      </c>
      <c r="BC205" s="720">
        <f t="shared" si="4024"/>
        <v>0</v>
      </c>
      <c r="BD205" s="720">
        <f t="shared" si="4024"/>
        <v>0</v>
      </c>
      <c r="BE205" s="720">
        <f t="shared" si="4024"/>
        <v>0</v>
      </c>
      <c r="BF205" s="720">
        <f t="shared" si="4024"/>
        <v>0</v>
      </c>
      <c r="BG205" s="720">
        <f t="shared" si="4024"/>
        <v>0</v>
      </c>
      <c r="BH205" s="720">
        <f t="shared" si="4024"/>
        <v>0</v>
      </c>
      <c r="BI205" s="720">
        <f t="shared" si="4024"/>
        <v>0</v>
      </c>
      <c r="BJ205" s="720">
        <f t="shared" si="4024"/>
        <v>0</v>
      </c>
      <c r="BK205" s="720">
        <f t="shared" si="4024"/>
        <v>0</v>
      </c>
      <c r="BL205" s="720">
        <f t="shared" si="4024"/>
        <v>0</v>
      </c>
      <c r="BM205" s="720">
        <f t="shared" si="4024"/>
        <v>0</v>
      </c>
      <c r="BN205" s="720">
        <f t="shared" si="4024"/>
        <v>0</v>
      </c>
      <c r="BO205" s="720">
        <f t="shared" si="4024"/>
        <v>0</v>
      </c>
      <c r="BP205" s="720">
        <f t="shared" si="4024"/>
        <v>0</v>
      </c>
      <c r="BQ205" s="720">
        <f t="shared" si="4024"/>
        <v>0</v>
      </c>
      <c r="BR205" s="720">
        <f t="shared" si="4024"/>
        <v>0</v>
      </c>
      <c r="BS205" s="720">
        <f t="shared" si="4024"/>
        <v>0</v>
      </c>
      <c r="BT205" s="720">
        <f t="shared" si="4024"/>
        <v>0</v>
      </c>
      <c r="BU205" s="720">
        <f t="shared" si="4024"/>
        <v>0</v>
      </c>
      <c r="BV205" s="720">
        <f t="shared" si="4024"/>
        <v>0</v>
      </c>
      <c r="BW205" s="720">
        <f t="shared" si="4024"/>
        <v>0</v>
      </c>
      <c r="BX205" s="720">
        <f t="shared" si="4024"/>
        <v>0</v>
      </c>
      <c r="BY205" s="720">
        <f t="shared" si="4024"/>
        <v>0</v>
      </c>
      <c r="BZ205" s="720">
        <f t="shared" si="4024"/>
        <v>0</v>
      </c>
      <c r="CA205" s="720">
        <f t="shared" si="4024"/>
        <v>0</v>
      </c>
      <c r="CB205" s="720">
        <f t="shared" si="4024"/>
        <v>0</v>
      </c>
      <c r="CC205" s="720">
        <f t="shared" si="4024"/>
        <v>0</v>
      </c>
      <c r="CD205" s="720">
        <f t="shared" si="4024"/>
        <v>0</v>
      </c>
      <c r="CE205" s="720">
        <f t="shared" si="4024"/>
        <v>0</v>
      </c>
      <c r="CF205" s="720">
        <f t="shared" si="4024"/>
        <v>0</v>
      </c>
      <c r="CG205" s="720">
        <f t="shared" si="4024"/>
        <v>0</v>
      </c>
      <c r="CH205" s="720">
        <f t="shared" si="4024"/>
        <v>0</v>
      </c>
      <c r="CI205" s="720">
        <f t="shared" si="4024"/>
        <v>0</v>
      </c>
      <c r="CJ205" s="720">
        <f t="shared" si="4024"/>
        <v>0</v>
      </c>
      <c r="CK205" s="720">
        <f t="shared" si="4024"/>
        <v>0</v>
      </c>
      <c r="CL205" s="720">
        <f t="shared" si="4024"/>
        <v>0</v>
      </c>
      <c r="CM205" s="720">
        <f t="shared" si="4024"/>
        <v>0</v>
      </c>
      <c r="CN205" s="720">
        <f t="shared" si="4024"/>
        <v>0</v>
      </c>
      <c r="CO205" s="720">
        <f t="shared" si="4024"/>
        <v>0</v>
      </c>
      <c r="CP205" s="720">
        <f t="shared" si="4024"/>
        <v>0</v>
      </c>
      <c r="CQ205" s="720">
        <f t="shared" si="4024"/>
        <v>0</v>
      </c>
      <c r="CR205" s="720">
        <f t="shared" si="4024"/>
        <v>0</v>
      </c>
      <c r="CS205" s="720">
        <f t="shared" si="4024"/>
        <v>0</v>
      </c>
      <c r="CT205" s="720"/>
      <c r="CV205" s="712"/>
      <c r="CW205" s="712"/>
      <c r="CX205" s="712"/>
      <c r="CY205" s="712"/>
      <c r="CZ205" s="712"/>
      <c r="DA205" s="712"/>
      <c r="DB205" s="712"/>
      <c r="DC205" s="712"/>
      <c r="DD205" s="712"/>
      <c r="DE205" s="712"/>
      <c r="DF205" s="712"/>
      <c r="DG205" s="712"/>
      <c r="DH205" s="712"/>
      <c r="DI205" s="712"/>
      <c r="DJ205" s="712"/>
      <c r="DK205" s="712"/>
      <c r="DL205" s="712"/>
      <c r="DM205" s="712"/>
      <c r="DN205" s="712"/>
      <c r="DO205" s="712"/>
      <c r="DP205" s="712"/>
      <c r="DQ205" s="712"/>
      <c r="DR205" s="712"/>
      <c r="DS205" s="712"/>
      <c r="DT205" s="712"/>
      <c r="DU205" s="712"/>
      <c r="DV205" s="712"/>
      <c r="DW205" s="712"/>
      <c r="DX205" s="712"/>
      <c r="DY205" s="712"/>
      <c r="DZ205" s="712"/>
      <c r="EA205" s="712"/>
      <c r="EB205" s="712"/>
      <c r="EC205" s="712"/>
      <c r="ED205" s="712"/>
      <c r="EE205" s="712"/>
      <c r="EF205" s="712"/>
      <c r="EG205" s="712"/>
      <c r="EH205" s="712"/>
      <c r="EI205" s="712"/>
      <c r="EJ205" s="712"/>
      <c r="EK205" s="712"/>
      <c r="EL205" s="712"/>
      <c r="EM205" s="712"/>
      <c r="EN205" s="712"/>
      <c r="EP205" s="946"/>
    </row>
    <row r="206" spans="7:146" ht="12.75">
      <c r="G206" s="719">
        <v>13</v>
      </c>
      <c r="H206" s="714" t="s">
        <v>10</v>
      </c>
      <c r="BA206" s="720">
        <f t="shared" ref="BA206:CS206" si="4025">+CV76</f>
        <v>0</v>
      </c>
      <c r="BB206" s="720">
        <f t="shared" si="4025"/>
        <v>0</v>
      </c>
      <c r="BC206" s="720">
        <f t="shared" si="4025"/>
        <v>0</v>
      </c>
      <c r="BD206" s="720">
        <f t="shared" si="4025"/>
        <v>0</v>
      </c>
      <c r="BE206" s="720">
        <f t="shared" si="4025"/>
        <v>0</v>
      </c>
      <c r="BF206" s="720">
        <f t="shared" si="4025"/>
        <v>0</v>
      </c>
      <c r="BG206" s="720">
        <f t="shared" si="4025"/>
        <v>0</v>
      </c>
      <c r="BH206" s="720">
        <f t="shared" si="4025"/>
        <v>0</v>
      </c>
      <c r="BI206" s="720">
        <f t="shared" si="4025"/>
        <v>0</v>
      </c>
      <c r="BJ206" s="720">
        <f t="shared" si="4025"/>
        <v>0</v>
      </c>
      <c r="BK206" s="720">
        <f t="shared" si="4025"/>
        <v>0</v>
      </c>
      <c r="BL206" s="720">
        <f t="shared" si="4025"/>
        <v>0</v>
      </c>
      <c r="BM206" s="720">
        <f t="shared" si="4025"/>
        <v>0</v>
      </c>
      <c r="BN206" s="720">
        <f t="shared" si="4025"/>
        <v>0</v>
      </c>
      <c r="BO206" s="720">
        <f t="shared" si="4025"/>
        <v>0</v>
      </c>
      <c r="BP206" s="720">
        <f t="shared" si="4025"/>
        <v>0</v>
      </c>
      <c r="BQ206" s="720">
        <f t="shared" si="4025"/>
        <v>0</v>
      </c>
      <c r="BR206" s="720">
        <f t="shared" si="4025"/>
        <v>0</v>
      </c>
      <c r="BS206" s="720">
        <f t="shared" si="4025"/>
        <v>0</v>
      </c>
      <c r="BT206" s="720">
        <f t="shared" si="4025"/>
        <v>0</v>
      </c>
      <c r="BU206" s="720">
        <f t="shared" si="4025"/>
        <v>0</v>
      </c>
      <c r="BV206" s="720">
        <f t="shared" si="4025"/>
        <v>0</v>
      </c>
      <c r="BW206" s="720">
        <f t="shared" si="4025"/>
        <v>0</v>
      </c>
      <c r="BX206" s="720">
        <f t="shared" si="4025"/>
        <v>0</v>
      </c>
      <c r="BY206" s="720">
        <f t="shared" si="4025"/>
        <v>0</v>
      </c>
      <c r="BZ206" s="720">
        <f t="shared" si="4025"/>
        <v>0</v>
      </c>
      <c r="CA206" s="720">
        <f t="shared" si="4025"/>
        <v>0</v>
      </c>
      <c r="CB206" s="720">
        <f t="shared" si="4025"/>
        <v>0</v>
      </c>
      <c r="CC206" s="720">
        <f t="shared" si="4025"/>
        <v>0</v>
      </c>
      <c r="CD206" s="720">
        <f t="shared" si="4025"/>
        <v>0</v>
      </c>
      <c r="CE206" s="720">
        <f t="shared" si="4025"/>
        <v>0</v>
      </c>
      <c r="CF206" s="720">
        <f t="shared" si="4025"/>
        <v>0</v>
      </c>
      <c r="CG206" s="720">
        <f t="shared" si="4025"/>
        <v>0</v>
      </c>
      <c r="CH206" s="720">
        <f t="shared" si="4025"/>
        <v>0</v>
      </c>
      <c r="CI206" s="720">
        <f t="shared" si="4025"/>
        <v>0</v>
      </c>
      <c r="CJ206" s="720">
        <f t="shared" si="4025"/>
        <v>0</v>
      </c>
      <c r="CK206" s="720">
        <f t="shared" si="4025"/>
        <v>0</v>
      </c>
      <c r="CL206" s="720">
        <f t="shared" si="4025"/>
        <v>0</v>
      </c>
      <c r="CM206" s="720">
        <f t="shared" si="4025"/>
        <v>0</v>
      </c>
      <c r="CN206" s="720">
        <f t="shared" si="4025"/>
        <v>0</v>
      </c>
      <c r="CO206" s="720">
        <f t="shared" si="4025"/>
        <v>0</v>
      </c>
      <c r="CP206" s="720">
        <f t="shared" si="4025"/>
        <v>0</v>
      </c>
      <c r="CQ206" s="720">
        <f t="shared" si="4025"/>
        <v>0</v>
      </c>
      <c r="CR206" s="720">
        <f t="shared" si="4025"/>
        <v>0</v>
      </c>
      <c r="CS206" s="720">
        <f t="shared" si="4025"/>
        <v>0</v>
      </c>
      <c r="CT206" s="720"/>
      <c r="CV206" s="712"/>
      <c r="CW206" s="712"/>
      <c r="CX206" s="712"/>
      <c r="CY206" s="712"/>
      <c r="CZ206" s="712"/>
      <c r="DA206" s="712"/>
      <c r="DB206" s="712"/>
      <c r="DC206" s="712"/>
      <c r="DD206" s="712"/>
      <c r="DE206" s="712"/>
      <c r="DF206" s="712"/>
      <c r="DG206" s="712"/>
      <c r="DH206" s="712"/>
      <c r="DI206" s="712"/>
      <c r="DJ206" s="712"/>
      <c r="DK206" s="712"/>
      <c r="DL206" s="712"/>
      <c r="DM206" s="712"/>
      <c r="DN206" s="712"/>
      <c r="DO206" s="712"/>
      <c r="DP206" s="712"/>
      <c r="DQ206" s="712"/>
      <c r="DR206" s="712"/>
      <c r="DS206" s="712"/>
      <c r="DT206" s="712"/>
      <c r="DU206" s="712"/>
      <c r="DV206" s="712"/>
      <c r="DW206" s="712"/>
      <c r="DX206" s="712"/>
      <c r="DY206" s="712"/>
      <c r="DZ206" s="712"/>
      <c r="EA206" s="712"/>
      <c r="EB206" s="712"/>
      <c r="EC206" s="712"/>
      <c r="ED206" s="712"/>
      <c r="EE206" s="712"/>
      <c r="EF206" s="712"/>
      <c r="EG206" s="712"/>
      <c r="EH206" s="712"/>
      <c r="EI206" s="712"/>
      <c r="EJ206" s="712"/>
      <c r="EK206" s="712"/>
      <c r="EL206" s="712"/>
      <c r="EM206" s="712"/>
      <c r="EN206" s="712"/>
      <c r="EP206" s="946"/>
    </row>
    <row r="207" spans="7:146" ht="12.75">
      <c r="G207" s="719">
        <v>14</v>
      </c>
      <c r="H207" s="714" t="s">
        <v>8</v>
      </c>
      <c r="BA207" s="720">
        <f t="shared" ref="BA207:BA218" si="4026">+CV77</f>
        <v>0</v>
      </c>
      <c r="BB207" s="720">
        <f t="shared" ref="BB207:BB218" si="4027">+CW77</f>
        <v>0</v>
      </c>
      <c r="BC207" s="720">
        <f t="shared" ref="BC207:BC218" si="4028">+CX77</f>
        <v>0</v>
      </c>
      <c r="BD207" s="720">
        <f t="shared" ref="BD207:BD218" si="4029">+CY77</f>
        <v>0</v>
      </c>
      <c r="BE207" s="720">
        <f t="shared" ref="BE207:BE218" si="4030">+CZ77</f>
        <v>0</v>
      </c>
      <c r="BF207" s="720">
        <f t="shared" ref="BF207:BF218" si="4031">+DA77</f>
        <v>0</v>
      </c>
      <c r="BG207" s="720">
        <f t="shared" ref="BG207:BG218" si="4032">+DB77</f>
        <v>0</v>
      </c>
      <c r="BH207" s="720">
        <f t="shared" ref="BH207:BH218" si="4033">+DC77</f>
        <v>0</v>
      </c>
      <c r="BI207" s="720">
        <f t="shared" ref="BI207:BI218" si="4034">+DD77</f>
        <v>0</v>
      </c>
      <c r="BJ207" s="720">
        <f t="shared" ref="BJ207:BJ218" si="4035">+DE77</f>
        <v>0</v>
      </c>
      <c r="BK207" s="720">
        <f t="shared" ref="BK207:BK218" si="4036">+DF77</f>
        <v>0</v>
      </c>
      <c r="BL207" s="720">
        <f t="shared" ref="BL207:BL218" si="4037">+DG77</f>
        <v>0</v>
      </c>
      <c r="BM207" s="720">
        <f t="shared" ref="BM207:BM218" si="4038">+DH77</f>
        <v>0</v>
      </c>
      <c r="BN207" s="720">
        <f t="shared" ref="BN207:BN218" si="4039">+DI77</f>
        <v>0</v>
      </c>
      <c r="BO207" s="720">
        <f t="shared" ref="BO207:BO218" si="4040">+DJ77</f>
        <v>0</v>
      </c>
      <c r="BP207" s="720">
        <f t="shared" ref="BP207:BP218" si="4041">+DK77</f>
        <v>0</v>
      </c>
      <c r="BQ207" s="720">
        <f t="shared" ref="BQ207:BQ218" si="4042">+DL77</f>
        <v>0</v>
      </c>
      <c r="BR207" s="720">
        <f t="shared" ref="BR207:BR218" si="4043">+DM77</f>
        <v>0</v>
      </c>
      <c r="BS207" s="720">
        <f t="shared" ref="BS207:BS218" si="4044">+DN77</f>
        <v>0</v>
      </c>
      <c r="BT207" s="720">
        <f t="shared" ref="BT207:BT218" si="4045">+DO77</f>
        <v>0</v>
      </c>
      <c r="BU207" s="720">
        <f t="shared" ref="BU207:BU218" si="4046">+DP77</f>
        <v>0</v>
      </c>
      <c r="BV207" s="720">
        <f t="shared" ref="BV207:BV218" si="4047">+DQ77</f>
        <v>0</v>
      </c>
      <c r="BW207" s="720">
        <f t="shared" ref="BW207:BW218" si="4048">+DR77</f>
        <v>0</v>
      </c>
      <c r="BX207" s="720">
        <f t="shared" ref="BX207:BX218" si="4049">+DS77</f>
        <v>0</v>
      </c>
      <c r="BY207" s="720">
        <f t="shared" ref="BY207:BY218" si="4050">+DT77</f>
        <v>0</v>
      </c>
      <c r="BZ207" s="720">
        <f t="shared" ref="BZ207:BZ218" si="4051">+DU77</f>
        <v>0</v>
      </c>
      <c r="CA207" s="720">
        <f t="shared" ref="CA207:CA218" si="4052">+DV77</f>
        <v>0</v>
      </c>
      <c r="CB207" s="720">
        <f t="shared" ref="CB207:CB218" si="4053">+DW77</f>
        <v>0</v>
      </c>
      <c r="CC207" s="720">
        <f t="shared" ref="CC207:CC218" si="4054">+DX77</f>
        <v>0</v>
      </c>
      <c r="CD207" s="720">
        <f t="shared" ref="CD207:CD218" si="4055">+DY77</f>
        <v>0</v>
      </c>
      <c r="CE207" s="720">
        <f t="shared" ref="CE207:CE218" si="4056">+DZ77</f>
        <v>0</v>
      </c>
      <c r="CF207" s="720">
        <f t="shared" ref="CF207:CF218" si="4057">+EA77</f>
        <v>0</v>
      </c>
      <c r="CG207" s="720">
        <f t="shared" ref="CG207:CG218" si="4058">+EB77</f>
        <v>0</v>
      </c>
      <c r="CH207" s="720">
        <f t="shared" ref="CH207:CH218" si="4059">+EC77</f>
        <v>0</v>
      </c>
      <c r="CI207" s="720">
        <f t="shared" ref="CI207:CI218" si="4060">+ED77</f>
        <v>0</v>
      </c>
      <c r="CJ207" s="720">
        <f t="shared" ref="CJ207:CJ218" si="4061">+EE77</f>
        <v>0</v>
      </c>
      <c r="CT207" s="720"/>
      <c r="CV207" s="712"/>
      <c r="CW207" s="712"/>
      <c r="CX207" s="712"/>
      <c r="CY207" s="712"/>
      <c r="CZ207" s="712"/>
      <c r="DA207" s="712"/>
      <c r="DB207" s="712"/>
      <c r="DC207" s="712"/>
      <c r="DD207" s="712"/>
      <c r="DE207" s="712"/>
      <c r="DF207" s="712"/>
      <c r="DG207" s="712"/>
      <c r="DH207" s="712"/>
      <c r="DI207" s="712"/>
      <c r="DJ207" s="712"/>
      <c r="DK207" s="712"/>
      <c r="DL207" s="712"/>
      <c r="DM207" s="712"/>
      <c r="DN207" s="712"/>
      <c r="DO207" s="712"/>
      <c r="DP207" s="712"/>
      <c r="DQ207" s="712"/>
      <c r="DR207" s="712"/>
      <c r="DS207" s="712"/>
      <c r="DT207" s="712"/>
      <c r="DU207" s="712"/>
      <c r="DV207" s="712"/>
      <c r="DW207" s="712"/>
      <c r="DX207" s="712"/>
      <c r="DY207" s="712"/>
      <c r="DZ207" s="712"/>
      <c r="EA207" s="712"/>
      <c r="EB207" s="712"/>
      <c r="EC207" s="712"/>
      <c r="ED207" s="712"/>
      <c r="EE207" s="712"/>
      <c r="EF207" s="712"/>
      <c r="EG207" s="712"/>
      <c r="EH207" s="712"/>
      <c r="EI207" s="712"/>
      <c r="EJ207" s="712"/>
      <c r="EK207" s="712"/>
      <c r="EL207" s="712"/>
      <c r="EM207" s="712"/>
      <c r="EN207" s="712"/>
      <c r="EP207" s="946"/>
    </row>
    <row r="208" spans="7:146" ht="12.75">
      <c r="G208" s="719">
        <v>15</v>
      </c>
      <c r="H208" s="714" t="s">
        <v>8</v>
      </c>
      <c r="BA208" s="720">
        <f t="shared" si="4026"/>
        <v>0</v>
      </c>
      <c r="BB208" s="720">
        <f t="shared" si="4027"/>
        <v>0</v>
      </c>
      <c r="BC208" s="720">
        <f t="shared" si="4028"/>
        <v>0</v>
      </c>
      <c r="BD208" s="720">
        <f t="shared" si="4029"/>
        <v>0</v>
      </c>
      <c r="BE208" s="720">
        <f t="shared" si="4030"/>
        <v>0</v>
      </c>
      <c r="BF208" s="720">
        <f t="shared" si="4031"/>
        <v>0</v>
      </c>
      <c r="BG208" s="720">
        <f t="shared" si="4032"/>
        <v>0</v>
      </c>
      <c r="BH208" s="720">
        <f t="shared" si="4033"/>
        <v>0</v>
      </c>
      <c r="BI208" s="720">
        <f t="shared" si="4034"/>
        <v>0</v>
      </c>
      <c r="BJ208" s="720">
        <f t="shared" si="4035"/>
        <v>0</v>
      </c>
      <c r="BK208" s="720">
        <f t="shared" si="4036"/>
        <v>0</v>
      </c>
      <c r="BL208" s="720">
        <f t="shared" si="4037"/>
        <v>0</v>
      </c>
      <c r="BM208" s="720">
        <f t="shared" si="4038"/>
        <v>0</v>
      </c>
      <c r="BN208" s="720">
        <f t="shared" si="4039"/>
        <v>0</v>
      </c>
      <c r="BO208" s="720">
        <f t="shared" si="4040"/>
        <v>0</v>
      </c>
      <c r="BP208" s="720">
        <f t="shared" si="4041"/>
        <v>0</v>
      </c>
      <c r="BQ208" s="720">
        <f t="shared" si="4042"/>
        <v>0</v>
      </c>
      <c r="BR208" s="720">
        <f t="shared" si="4043"/>
        <v>0</v>
      </c>
      <c r="BS208" s="720">
        <f t="shared" si="4044"/>
        <v>0</v>
      </c>
      <c r="BT208" s="720">
        <f t="shared" si="4045"/>
        <v>0</v>
      </c>
      <c r="BU208" s="720">
        <f t="shared" si="4046"/>
        <v>0</v>
      </c>
      <c r="BV208" s="720">
        <f t="shared" si="4047"/>
        <v>0</v>
      </c>
      <c r="BW208" s="720">
        <f t="shared" si="4048"/>
        <v>0</v>
      </c>
      <c r="BX208" s="720">
        <f t="shared" si="4049"/>
        <v>0</v>
      </c>
      <c r="BY208" s="720">
        <f t="shared" si="4050"/>
        <v>0</v>
      </c>
      <c r="BZ208" s="720">
        <f t="shared" si="4051"/>
        <v>0</v>
      </c>
      <c r="CA208" s="720">
        <f t="shared" si="4052"/>
        <v>0</v>
      </c>
      <c r="CB208" s="720">
        <f t="shared" si="4053"/>
        <v>0</v>
      </c>
      <c r="CC208" s="720">
        <f t="shared" si="4054"/>
        <v>0</v>
      </c>
      <c r="CD208" s="720">
        <f t="shared" si="4055"/>
        <v>0</v>
      </c>
      <c r="CE208" s="720">
        <f t="shared" si="4056"/>
        <v>0</v>
      </c>
      <c r="CF208" s="720">
        <f t="shared" si="4057"/>
        <v>0</v>
      </c>
      <c r="CG208" s="720">
        <f t="shared" si="4058"/>
        <v>0</v>
      </c>
      <c r="CH208" s="720">
        <f t="shared" si="4059"/>
        <v>0</v>
      </c>
      <c r="CI208" s="720">
        <f t="shared" si="4060"/>
        <v>0</v>
      </c>
      <c r="CJ208" s="720">
        <f t="shared" si="4061"/>
        <v>0</v>
      </c>
      <c r="CK208" s="720" t="s">
        <v>52</v>
      </c>
      <c r="CL208" s="720" t="s">
        <v>52</v>
      </c>
      <c r="CM208" s="720" t="s">
        <v>52</v>
      </c>
      <c r="CN208" s="720" t="s">
        <v>52</v>
      </c>
      <c r="CO208" s="720" t="s">
        <v>52</v>
      </c>
      <c r="CP208" s="720" t="s">
        <v>52</v>
      </c>
      <c r="CQ208" s="720" t="s">
        <v>52</v>
      </c>
      <c r="CR208" s="720" t="s">
        <v>52</v>
      </c>
      <c r="CS208" s="720" t="s">
        <v>52</v>
      </c>
      <c r="CT208" s="720"/>
      <c r="CV208" s="712"/>
      <c r="CW208" s="712"/>
      <c r="CX208" s="712"/>
      <c r="CY208" s="712"/>
      <c r="CZ208" s="712"/>
      <c r="DA208" s="712"/>
      <c r="DB208" s="712"/>
      <c r="DC208" s="712"/>
      <c r="DD208" s="712"/>
      <c r="DE208" s="712"/>
      <c r="DF208" s="712"/>
      <c r="DG208" s="712"/>
      <c r="DH208" s="712"/>
      <c r="DI208" s="712"/>
      <c r="DJ208" s="712"/>
      <c r="DK208" s="712"/>
      <c r="DL208" s="712"/>
      <c r="DM208" s="712"/>
      <c r="DN208" s="712"/>
      <c r="DO208" s="712"/>
      <c r="DP208" s="712"/>
      <c r="DQ208" s="712"/>
      <c r="DR208" s="712"/>
      <c r="DS208" s="712"/>
      <c r="DT208" s="712"/>
      <c r="DU208" s="712"/>
      <c r="DV208" s="712"/>
      <c r="DW208" s="712"/>
      <c r="DX208" s="712"/>
      <c r="DY208" s="712"/>
      <c r="DZ208" s="712"/>
      <c r="EA208" s="712"/>
      <c r="EB208" s="712"/>
      <c r="EC208" s="712"/>
      <c r="ED208" s="712"/>
      <c r="EE208" s="712"/>
      <c r="EF208" s="712"/>
      <c r="EG208" s="712"/>
      <c r="EH208" s="712"/>
      <c r="EI208" s="712"/>
      <c r="EJ208" s="712"/>
      <c r="EK208" s="712"/>
      <c r="EL208" s="712"/>
      <c r="EM208" s="712"/>
      <c r="EN208" s="712"/>
      <c r="EP208" s="946"/>
    </row>
    <row r="209" spans="7:146" ht="12.75">
      <c r="G209" s="719">
        <v>16</v>
      </c>
      <c r="H209" s="714" t="s">
        <v>366</v>
      </c>
      <c r="BA209" s="720">
        <f t="shared" si="4026"/>
        <v>0</v>
      </c>
      <c r="BB209" s="720">
        <f t="shared" si="4027"/>
        <v>0</v>
      </c>
      <c r="BC209" s="720">
        <f t="shared" si="4028"/>
        <v>0</v>
      </c>
      <c r="BD209" s="720">
        <f t="shared" si="4029"/>
        <v>0</v>
      </c>
      <c r="BE209" s="720">
        <f t="shared" si="4030"/>
        <v>0</v>
      </c>
      <c r="BF209" s="720">
        <f t="shared" si="4031"/>
        <v>0</v>
      </c>
      <c r="BG209" s="720">
        <f t="shared" si="4032"/>
        <v>0</v>
      </c>
      <c r="BH209" s="720">
        <f t="shared" si="4033"/>
        <v>0</v>
      </c>
      <c r="BI209" s="720">
        <f t="shared" si="4034"/>
        <v>0</v>
      </c>
      <c r="BJ209" s="720">
        <f t="shared" si="4035"/>
        <v>0</v>
      </c>
      <c r="BK209" s="720">
        <f t="shared" si="4036"/>
        <v>0</v>
      </c>
      <c r="BL209" s="720">
        <f t="shared" si="4037"/>
        <v>0</v>
      </c>
      <c r="BM209" s="720">
        <f t="shared" si="4038"/>
        <v>0</v>
      </c>
      <c r="BN209" s="720">
        <f t="shared" si="4039"/>
        <v>0</v>
      </c>
      <c r="BO209" s="720">
        <f t="shared" si="4040"/>
        <v>0</v>
      </c>
      <c r="BP209" s="720">
        <f t="shared" si="4041"/>
        <v>0</v>
      </c>
      <c r="BQ209" s="720">
        <f t="shared" si="4042"/>
        <v>0</v>
      </c>
      <c r="BR209" s="720">
        <f t="shared" si="4043"/>
        <v>0</v>
      </c>
      <c r="BS209" s="720">
        <f t="shared" si="4044"/>
        <v>0</v>
      </c>
      <c r="BT209" s="720">
        <f t="shared" si="4045"/>
        <v>0</v>
      </c>
      <c r="BU209" s="720">
        <f t="shared" si="4046"/>
        <v>0</v>
      </c>
      <c r="BV209" s="720">
        <f t="shared" si="4047"/>
        <v>0</v>
      </c>
      <c r="BW209" s="720">
        <f t="shared" si="4048"/>
        <v>0</v>
      </c>
      <c r="BX209" s="720">
        <f t="shared" si="4049"/>
        <v>0</v>
      </c>
      <c r="BY209" s="720">
        <f t="shared" si="4050"/>
        <v>0</v>
      </c>
      <c r="BZ209" s="720">
        <f t="shared" si="4051"/>
        <v>0</v>
      </c>
      <c r="CA209" s="720">
        <f t="shared" si="4052"/>
        <v>0</v>
      </c>
      <c r="CB209" s="720">
        <f t="shared" si="4053"/>
        <v>0</v>
      </c>
      <c r="CC209" s="720">
        <f t="shared" si="4054"/>
        <v>0</v>
      </c>
      <c r="CD209" s="720">
        <f t="shared" si="4055"/>
        <v>0</v>
      </c>
      <c r="CE209" s="720">
        <f t="shared" si="4056"/>
        <v>0</v>
      </c>
      <c r="CF209" s="720">
        <f t="shared" si="4057"/>
        <v>0</v>
      </c>
      <c r="CG209" s="720">
        <f t="shared" si="4058"/>
        <v>0</v>
      </c>
      <c r="CH209" s="720">
        <f t="shared" si="4059"/>
        <v>0</v>
      </c>
      <c r="CI209" s="720">
        <f t="shared" si="4060"/>
        <v>0</v>
      </c>
      <c r="CJ209" s="720">
        <f t="shared" si="4061"/>
        <v>0</v>
      </c>
      <c r="CK209" s="720">
        <f>+EF146</f>
        <v>8004.5600000000013</v>
      </c>
      <c r="CL209" s="720">
        <f t="shared" ref="CL209:CS209" si="4062">+EG146</f>
        <v>2400</v>
      </c>
      <c r="CM209" s="720">
        <f t="shared" si="4062"/>
        <v>0</v>
      </c>
      <c r="CN209" s="720">
        <f t="shared" si="4062"/>
        <v>0</v>
      </c>
      <c r="CO209" s="720">
        <f t="shared" si="4062"/>
        <v>0</v>
      </c>
      <c r="CP209" s="720">
        <f t="shared" si="4062"/>
        <v>0</v>
      </c>
      <c r="CQ209" s="720">
        <f t="shared" si="4062"/>
        <v>0</v>
      </c>
      <c r="CR209" s="720">
        <f t="shared" si="4062"/>
        <v>1014.1777520000002</v>
      </c>
      <c r="CS209" s="720">
        <f t="shared" si="4062"/>
        <v>11418.737752000001</v>
      </c>
      <c r="CT209" s="720"/>
      <c r="CV209" s="712"/>
      <c r="CW209" s="712"/>
      <c r="CX209" s="712"/>
      <c r="CY209" s="712"/>
      <c r="CZ209" s="712"/>
      <c r="DA209" s="712"/>
      <c r="DB209" s="712"/>
      <c r="DC209" s="712"/>
      <c r="DD209" s="712"/>
      <c r="DE209" s="712"/>
      <c r="DF209" s="712"/>
      <c r="DG209" s="712"/>
      <c r="DH209" s="712"/>
      <c r="DI209" s="712"/>
      <c r="DJ209" s="712"/>
      <c r="DK209" s="712"/>
      <c r="DL209" s="712"/>
      <c r="DM209" s="712"/>
      <c r="DN209" s="712"/>
      <c r="DO209" s="712"/>
      <c r="DP209" s="712"/>
      <c r="DQ209" s="712"/>
      <c r="DR209" s="712"/>
      <c r="DS209" s="712"/>
      <c r="DT209" s="712"/>
      <c r="DU209" s="712"/>
      <c r="DV209" s="712"/>
      <c r="DW209" s="712"/>
      <c r="DX209" s="712"/>
      <c r="DY209" s="712"/>
      <c r="DZ209" s="712"/>
      <c r="EA209" s="712"/>
      <c r="EB209" s="712"/>
      <c r="EC209" s="712"/>
      <c r="ED209" s="712"/>
      <c r="EE209" s="712"/>
      <c r="EF209" s="712"/>
      <c r="EG209" s="712"/>
      <c r="EH209" s="712"/>
      <c r="EI209" s="712"/>
      <c r="EJ209" s="712"/>
      <c r="EK209" s="712"/>
      <c r="EL209" s="712"/>
      <c r="EM209" s="712"/>
      <c r="EN209" s="712"/>
      <c r="EP209" s="946"/>
    </row>
    <row r="210" spans="7:146" ht="12.75">
      <c r="G210" s="719">
        <v>17</v>
      </c>
      <c r="H210" s="714" t="s">
        <v>99</v>
      </c>
      <c r="BA210" s="720">
        <f t="shared" si="4026"/>
        <v>0</v>
      </c>
      <c r="BB210" s="720">
        <f t="shared" si="4027"/>
        <v>0</v>
      </c>
      <c r="BC210" s="720">
        <f t="shared" si="4028"/>
        <v>0</v>
      </c>
      <c r="BD210" s="720">
        <f t="shared" si="4029"/>
        <v>0</v>
      </c>
      <c r="BE210" s="720">
        <f t="shared" si="4030"/>
        <v>0</v>
      </c>
      <c r="BF210" s="720">
        <f t="shared" si="4031"/>
        <v>0</v>
      </c>
      <c r="BG210" s="720">
        <f t="shared" si="4032"/>
        <v>0</v>
      </c>
      <c r="BH210" s="720">
        <f t="shared" si="4033"/>
        <v>0</v>
      </c>
      <c r="BI210" s="720">
        <f t="shared" si="4034"/>
        <v>0</v>
      </c>
      <c r="BJ210" s="720">
        <f t="shared" si="4035"/>
        <v>0</v>
      </c>
      <c r="BK210" s="720">
        <f t="shared" si="4036"/>
        <v>0</v>
      </c>
      <c r="BL210" s="720">
        <f t="shared" si="4037"/>
        <v>0</v>
      </c>
      <c r="BM210" s="720">
        <f t="shared" si="4038"/>
        <v>0</v>
      </c>
      <c r="BN210" s="720">
        <f t="shared" si="4039"/>
        <v>0</v>
      </c>
      <c r="BO210" s="720">
        <f t="shared" si="4040"/>
        <v>0</v>
      </c>
      <c r="BP210" s="720">
        <f t="shared" si="4041"/>
        <v>0</v>
      </c>
      <c r="BQ210" s="720">
        <f t="shared" si="4042"/>
        <v>0</v>
      </c>
      <c r="BR210" s="720">
        <f t="shared" si="4043"/>
        <v>0</v>
      </c>
      <c r="BS210" s="720">
        <f t="shared" si="4044"/>
        <v>0</v>
      </c>
      <c r="BT210" s="720">
        <f t="shared" si="4045"/>
        <v>0</v>
      </c>
      <c r="BU210" s="720">
        <f t="shared" si="4046"/>
        <v>0</v>
      </c>
      <c r="BV210" s="720">
        <f t="shared" si="4047"/>
        <v>0</v>
      </c>
      <c r="BW210" s="720">
        <f t="shared" si="4048"/>
        <v>0</v>
      </c>
      <c r="BX210" s="720">
        <f t="shared" si="4049"/>
        <v>0</v>
      </c>
      <c r="BY210" s="720">
        <f t="shared" si="4050"/>
        <v>0</v>
      </c>
      <c r="BZ210" s="720">
        <f t="shared" si="4051"/>
        <v>0</v>
      </c>
      <c r="CA210" s="720">
        <f t="shared" si="4052"/>
        <v>0</v>
      </c>
      <c r="CB210" s="720">
        <f t="shared" si="4053"/>
        <v>0</v>
      </c>
      <c r="CC210" s="720">
        <f t="shared" si="4054"/>
        <v>0</v>
      </c>
      <c r="CD210" s="720">
        <f t="shared" si="4055"/>
        <v>0</v>
      </c>
      <c r="CE210" s="720">
        <f t="shared" si="4056"/>
        <v>0</v>
      </c>
      <c r="CF210" s="720">
        <f t="shared" si="4057"/>
        <v>0</v>
      </c>
      <c r="CG210" s="720">
        <f t="shared" si="4058"/>
        <v>0</v>
      </c>
      <c r="CH210" s="720">
        <f t="shared" si="4059"/>
        <v>0</v>
      </c>
      <c r="CI210" s="720">
        <f t="shared" si="4060"/>
        <v>0</v>
      </c>
      <c r="CJ210" s="720">
        <f t="shared" si="4061"/>
        <v>0</v>
      </c>
      <c r="CK210" s="720">
        <f t="shared" ref="CK210:CS210" si="4063">+EF84</f>
        <v>9600</v>
      </c>
      <c r="CL210" s="720">
        <f t="shared" si="4063"/>
        <v>5230</v>
      </c>
      <c r="CM210" s="720">
        <f t="shared" si="4063"/>
        <v>24</v>
      </c>
      <c r="CN210" s="720">
        <f t="shared" si="4063"/>
        <v>615</v>
      </c>
      <c r="CO210" s="720">
        <f t="shared" si="4063"/>
        <v>0</v>
      </c>
      <c r="CP210" s="720">
        <f t="shared" si="4063"/>
        <v>0</v>
      </c>
      <c r="CQ210" s="720">
        <f t="shared" si="4063"/>
        <v>0</v>
      </c>
      <c r="CR210" s="720">
        <f t="shared" si="4063"/>
        <v>1294.2404999999999</v>
      </c>
      <c r="CS210" s="720">
        <f t="shared" si="4063"/>
        <v>16739.2405</v>
      </c>
      <c r="CT210" s="720"/>
      <c r="CV210" s="712"/>
      <c r="CW210" s="712"/>
      <c r="CX210" s="712"/>
      <c r="CY210" s="712"/>
      <c r="CZ210" s="712"/>
      <c r="DA210" s="712"/>
      <c r="DB210" s="712"/>
      <c r="DC210" s="712"/>
      <c r="DD210" s="712"/>
      <c r="DE210" s="712"/>
      <c r="DF210" s="712"/>
      <c r="DG210" s="712"/>
      <c r="DH210" s="712"/>
      <c r="DI210" s="712"/>
      <c r="DJ210" s="712"/>
      <c r="DK210" s="712"/>
      <c r="DL210" s="712"/>
      <c r="DM210" s="712"/>
      <c r="DN210" s="712"/>
      <c r="DO210" s="712"/>
      <c r="DP210" s="712"/>
      <c r="DQ210" s="712"/>
      <c r="DR210" s="712"/>
      <c r="DS210" s="712"/>
      <c r="DT210" s="712"/>
      <c r="DU210" s="712"/>
      <c r="DV210" s="712"/>
      <c r="DW210" s="712"/>
      <c r="DX210" s="712"/>
      <c r="DY210" s="712"/>
      <c r="DZ210" s="712"/>
      <c r="EA210" s="712"/>
      <c r="EB210" s="712"/>
      <c r="EC210" s="712"/>
      <c r="ED210" s="712"/>
      <c r="EE210" s="712"/>
      <c r="EF210" s="712"/>
      <c r="EG210" s="712"/>
      <c r="EH210" s="712"/>
      <c r="EI210" s="712"/>
      <c r="EJ210" s="712"/>
      <c r="EK210" s="712"/>
      <c r="EL210" s="712"/>
      <c r="EM210" s="712"/>
      <c r="EN210" s="712"/>
      <c r="EP210" s="946"/>
    </row>
    <row r="211" spans="7:146" ht="12.75">
      <c r="G211" s="719">
        <v>18</v>
      </c>
      <c r="H211" s="900" t="s">
        <v>100</v>
      </c>
      <c r="BA211" s="720">
        <f t="shared" si="4026"/>
        <v>0</v>
      </c>
      <c r="BB211" s="720">
        <f t="shared" si="4027"/>
        <v>0</v>
      </c>
      <c r="BC211" s="720">
        <f t="shared" si="4028"/>
        <v>0</v>
      </c>
      <c r="BD211" s="720">
        <f t="shared" si="4029"/>
        <v>0</v>
      </c>
      <c r="BE211" s="720">
        <f t="shared" si="4030"/>
        <v>0</v>
      </c>
      <c r="BF211" s="720">
        <f t="shared" si="4031"/>
        <v>0</v>
      </c>
      <c r="BG211" s="720">
        <f t="shared" si="4032"/>
        <v>0</v>
      </c>
      <c r="BH211" s="720">
        <f t="shared" si="4033"/>
        <v>0</v>
      </c>
      <c r="BI211" s="720">
        <f t="shared" si="4034"/>
        <v>0</v>
      </c>
      <c r="BJ211" s="720">
        <f t="shared" si="4035"/>
        <v>0</v>
      </c>
      <c r="BK211" s="720">
        <f t="shared" si="4036"/>
        <v>0</v>
      </c>
      <c r="BL211" s="720">
        <f t="shared" si="4037"/>
        <v>0</v>
      </c>
      <c r="BM211" s="720">
        <f t="shared" si="4038"/>
        <v>0</v>
      </c>
      <c r="BN211" s="720">
        <f t="shared" si="4039"/>
        <v>0</v>
      </c>
      <c r="BO211" s="720">
        <f t="shared" si="4040"/>
        <v>0</v>
      </c>
      <c r="BP211" s="720">
        <f t="shared" si="4041"/>
        <v>0</v>
      </c>
      <c r="BQ211" s="720">
        <f t="shared" si="4042"/>
        <v>0</v>
      </c>
      <c r="BR211" s="720">
        <f t="shared" si="4043"/>
        <v>0</v>
      </c>
      <c r="BS211" s="720">
        <f t="shared" si="4044"/>
        <v>0</v>
      </c>
      <c r="BT211" s="720">
        <f t="shared" si="4045"/>
        <v>0</v>
      </c>
      <c r="BU211" s="720">
        <f t="shared" si="4046"/>
        <v>0</v>
      </c>
      <c r="BV211" s="720">
        <f t="shared" si="4047"/>
        <v>0</v>
      </c>
      <c r="BW211" s="720">
        <f t="shared" si="4048"/>
        <v>0</v>
      </c>
      <c r="BX211" s="720">
        <f t="shared" si="4049"/>
        <v>0</v>
      </c>
      <c r="BY211" s="720">
        <f t="shared" si="4050"/>
        <v>0</v>
      </c>
      <c r="BZ211" s="720">
        <f t="shared" si="4051"/>
        <v>0</v>
      </c>
      <c r="CA211" s="720">
        <f t="shared" si="4052"/>
        <v>0</v>
      </c>
      <c r="CB211" s="720">
        <f t="shared" si="4053"/>
        <v>0</v>
      </c>
      <c r="CC211" s="720">
        <f t="shared" si="4054"/>
        <v>0</v>
      </c>
      <c r="CD211" s="720">
        <f t="shared" si="4055"/>
        <v>0</v>
      </c>
      <c r="CE211" s="720">
        <f t="shared" si="4056"/>
        <v>0</v>
      </c>
      <c r="CF211" s="720">
        <f t="shared" si="4057"/>
        <v>0</v>
      </c>
      <c r="CG211" s="720">
        <f t="shared" si="4058"/>
        <v>0</v>
      </c>
      <c r="CH211" s="720">
        <f t="shared" si="4059"/>
        <v>0</v>
      </c>
      <c r="CI211" s="720">
        <f t="shared" si="4060"/>
        <v>0</v>
      </c>
      <c r="CJ211" s="720">
        <f t="shared" si="4061"/>
        <v>0</v>
      </c>
      <c r="CK211" s="720">
        <f t="shared" ref="CK211:CS211" si="4064">+EF97</f>
        <v>16354.332</v>
      </c>
      <c r="CL211" s="720">
        <f t="shared" si="4064"/>
        <v>4017.2799999999997</v>
      </c>
      <c r="CM211" s="720">
        <f t="shared" si="4064"/>
        <v>160</v>
      </c>
      <c r="CN211" s="720">
        <f t="shared" si="4064"/>
        <v>4207.3900000000003</v>
      </c>
      <c r="CO211" s="720">
        <f t="shared" si="4064"/>
        <v>0</v>
      </c>
      <c r="CP211" s="720">
        <f t="shared" si="4064"/>
        <v>0</v>
      </c>
      <c r="CQ211" s="720">
        <f t="shared" si="4064"/>
        <v>0</v>
      </c>
      <c r="CR211" s="720">
        <f t="shared" si="4064"/>
        <v>2605.1701774000003</v>
      </c>
      <c r="CS211" s="720">
        <f t="shared" si="4064"/>
        <v>27184.172177400003</v>
      </c>
      <c r="CT211" s="720"/>
      <c r="CV211" s="712"/>
      <c r="CW211" s="712"/>
      <c r="CX211" s="712"/>
      <c r="CY211" s="712"/>
      <c r="CZ211" s="712"/>
      <c r="DA211" s="712"/>
      <c r="DB211" s="712"/>
      <c r="DC211" s="712"/>
      <c r="DD211" s="712"/>
      <c r="DE211" s="712"/>
      <c r="DF211" s="712"/>
      <c r="DG211" s="712"/>
      <c r="DH211" s="712"/>
      <c r="DI211" s="712"/>
      <c r="DJ211" s="712"/>
      <c r="DK211" s="712"/>
      <c r="DL211" s="712"/>
      <c r="DM211" s="712"/>
      <c r="DN211" s="712"/>
      <c r="DO211" s="712"/>
      <c r="DP211" s="712"/>
      <c r="DQ211" s="712"/>
      <c r="DR211" s="712"/>
      <c r="DS211" s="712"/>
      <c r="DT211" s="712"/>
      <c r="DU211" s="712"/>
      <c r="DV211" s="712"/>
      <c r="DW211" s="712"/>
      <c r="DX211" s="712"/>
      <c r="DY211" s="712"/>
      <c r="DZ211" s="712"/>
      <c r="EA211" s="712"/>
      <c r="EB211" s="712"/>
      <c r="EC211" s="712"/>
      <c r="ED211" s="712"/>
      <c r="EE211" s="712"/>
      <c r="EF211" s="712"/>
      <c r="EG211" s="712"/>
      <c r="EH211" s="712"/>
      <c r="EI211" s="712"/>
      <c r="EJ211" s="712"/>
      <c r="EK211" s="712"/>
      <c r="EL211" s="712"/>
      <c r="EM211" s="712"/>
      <c r="EN211" s="712"/>
      <c r="EP211" s="946"/>
    </row>
    <row r="212" spans="7:146" ht="12.75">
      <c r="G212" s="719">
        <v>19</v>
      </c>
      <c r="H212" s="900" t="s">
        <v>106</v>
      </c>
      <c r="BA212" s="720">
        <f t="shared" si="4026"/>
        <v>0</v>
      </c>
      <c r="BB212" s="720">
        <f t="shared" si="4027"/>
        <v>0</v>
      </c>
      <c r="BC212" s="720">
        <f t="shared" si="4028"/>
        <v>0</v>
      </c>
      <c r="BD212" s="720">
        <f t="shared" si="4029"/>
        <v>0</v>
      </c>
      <c r="BE212" s="720">
        <f t="shared" si="4030"/>
        <v>0</v>
      </c>
      <c r="BF212" s="720">
        <f t="shared" si="4031"/>
        <v>0</v>
      </c>
      <c r="BG212" s="720">
        <f t="shared" si="4032"/>
        <v>0</v>
      </c>
      <c r="BH212" s="720">
        <f t="shared" si="4033"/>
        <v>0</v>
      </c>
      <c r="BI212" s="720">
        <f t="shared" si="4034"/>
        <v>0</v>
      </c>
      <c r="BJ212" s="720">
        <f t="shared" si="4035"/>
        <v>0</v>
      </c>
      <c r="BK212" s="720">
        <f t="shared" si="4036"/>
        <v>0</v>
      </c>
      <c r="BL212" s="720">
        <f t="shared" si="4037"/>
        <v>0</v>
      </c>
      <c r="BM212" s="720">
        <f t="shared" si="4038"/>
        <v>0</v>
      </c>
      <c r="BN212" s="720">
        <f t="shared" si="4039"/>
        <v>0</v>
      </c>
      <c r="BO212" s="720">
        <f t="shared" si="4040"/>
        <v>0</v>
      </c>
      <c r="BP212" s="720">
        <f t="shared" si="4041"/>
        <v>0</v>
      </c>
      <c r="BQ212" s="720">
        <f t="shared" si="4042"/>
        <v>0</v>
      </c>
      <c r="BR212" s="720">
        <f t="shared" si="4043"/>
        <v>0</v>
      </c>
      <c r="BS212" s="720">
        <f t="shared" si="4044"/>
        <v>0</v>
      </c>
      <c r="BT212" s="720">
        <f t="shared" si="4045"/>
        <v>0</v>
      </c>
      <c r="BU212" s="720">
        <f t="shared" si="4046"/>
        <v>0</v>
      </c>
      <c r="BV212" s="720">
        <f t="shared" si="4047"/>
        <v>0</v>
      </c>
      <c r="BW212" s="720">
        <f t="shared" si="4048"/>
        <v>0</v>
      </c>
      <c r="BX212" s="720">
        <f t="shared" si="4049"/>
        <v>0</v>
      </c>
      <c r="BY212" s="720">
        <f t="shared" si="4050"/>
        <v>0</v>
      </c>
      <c r="BZ212" s="720">
        <f t="shared" si="4051"/>
        <v>0</v>
      </c>
      <c r="CA212" s="720">
        <f t="shared" si="4052"/>
        <v>0</v>
      </c>
      <c r="CB212" s="720">
        <f t="shared" si="4053"/>
        <v>0</v>
      </c>
      <c r="CC212" s="720">
        <f t="shared" si="4054"/>
        <v>0</v>
      </c>
      <c r="CD212" s="720">
        <f t="shared" si="4055"/>
        <v>0</v>
      </c>
      <c r="CE212" s="720">
        <f t="shared" si="4056"/>
        <v>0</v>
      </c>
      <c r="CF212" s="720">
        <f t="shared" si="4057"/>
        <v>0</v>
      </c>
      <c r="CG212" s="720">
        <f t="shared" si="4058"/>
        <v>0</v>
      </c>
      <c r="CH212" s="720">
        <f t="shared" si="4059"/>
        <v>0</v>
      </c>
      <c r="CI212" s="720">
        <f t="shared" si="4060"/>
        <v>0</v>
      </c>
      <c r="CJ212" s="720">
        <f t="shared" si="4061"/>
        <v>0</v>
      </c>
      <c r="CK212" s="720">
        <f t="shared" ref="CK212:CS212" si="4065">+EF91</f>
        <v>16404.560000000001</v>
      </c>
      <c r="CL212" s="720">
        <f t="shared" si="4065"/>
        <v>4023.1133333333337</v>
      </c>
      <c r="CM212" s="720">
        <f t="shared" si="4065"/>
        <v>24</v>
      </c>
      <c r="CN212" s="720">
        <f t="shared" si="4065"/>
        <v>647.00324999999998</v>
      </c>
      <c r="CO212" s="720">
        <f t="shared" si="4065"/>
        <v>0</v>
      </c>
      <c r="CP212" s="720">
        <f t="shared" si="4065"/>
        <v>0</v>
      </c>
      <c r="CQ212" s="720">
        <f t="shared" si="4065"/>
        <v>0</v>
      </c>
      <c r="CR212" s="720">
        <f t="shared" si="4065"/>
        <v>2160.4330637749999</v>
      </c>
      <c r="CS212" s="720">
        <f t="shared" si="4065"/>
        <v>23235.109647108337</v>
      </c>
      <c r="CT212" s="720"/>
      <c r="CV212" s="712"/>
      <c r="CW212" s="712"/>
      <c r="CX212" s="712"/>
      <c r="CY212" s="712"/>
      <c r="CZ212" s="712"/>
      <c r="DA212" s="712"/>
      <c r="DB212" s="712"/>
      <c r="DC212" s="712"/>
      <c r="DD212" s="712"/>
      <c r="DE212" s="712"/>
      <c r="DF212" s="712"/>
      <c r="DG212" s="712"/>
      <c r="DH212" s="712"/>
      <c r="DI212" s="712"/>
      <c r="DJ212" s="712"/>
      <c r="DK212" s="712"/>
      <c r="DL212" s="712"/>
      <c r="DM212" s="712"/>
      <c r="DN212" s="712"/>
      <c r="DO212" s="712"/>
      <c r="DP212" s="712"/>
      <c r="DQ212" s="712"/>
      <c r="DR212" s="712"/>
      <c r="DS212" s="712"/>
      <c r="DT212" s="712"/>
      <c r="DU212" s="712"/>
      <c r="DV212" s="712"/>
      <c r="DW212" s="712"/>
      <c r="DX212" s="712"/>
      <c r="DY212" s="712"/>
      <c r="DZ212" s="712"/>
      <c r="EA212" s="712"/>
      <c r="EB212" s="712"/>
      <c r="EC212" s="712"/>
      <c r="ED212" s="712"/>
      <c r="EE212" s="712"/>
      <c r="EF212" s="712"/>
      <c r="EG212" s="712"/>
      <c r="EH212" s="712"/>
      <c r="EI212" s="712"/>
      <c r="EJ212" s="712"/>
      <c r="EK212" s="712"/>
      <c r="EL212" s="712"/>
      <c r="EM212" s="712"/>
      <c r="EN212" s="712"/>
      <c r="EP212" s="946"/>
    </row>
    <row r="213" spans="7:146" ht="12.75">
      <c r="G213" s="719">
        <v>20</v>
      </c>
      <c r="H213" s="714" t="s">
        <v>110</v>
      </c>
      <c r="BA213" s="720">
        <f t="shared" si="4026"/>
        <v>0</v>
      </c>
      <c r="BB213" s="720">
        <f t="shared" si="4027"/>
        <v>0</v>
      </c>
      <c r="BC213" s="720">
        <f t="shared" si="4028"/>
        <v>0</v>
      </c>
      <c r="BD213" s="720">
        <f t="shared" si="4029"/>
        <v>0</v>
      </c>
      <c r="BE213" s="720">
        <f t="shared" si="4030"/>
        <v>0</v>
      </c>
      <c r="BF213" s="720">
        <f t="shared" si="4031"/>
        <v>0</v>
      </c>
      <c r="BG213" s="720">
        <f t="shared" si="4032"/>
        <v>0</v>
      </c>
      <c r="BH213" s="720">
        <f t="shared" si="4033"/>
        <v>0</v>
      </c>
      <c r="BI213" s="720">
        <f t="shared" si="4034"/>
        <v>0</v>
      </c>
      <c r="BJ213" s="720">
        <f t="shared" si="4035"/>
        <v>0</v>
      </c>
      <c r="BK213" s="720">
        <f t="shared" si="4036"/>
        <v>0</v>
      </c>
      <c r="BL213" s="720">
        <f t="shared" si="4037"/>
        <v>0</v>
      </c>
      <c r="BM213" s="720">
        <f t="shared" si="4038"/>
        <v>0</v>
      </c>
      <c r="BN213" s="720">
        <f t="shared" si="4039"/>
        <v>0</v>
      </c>
      <c r="BO213" s="720">
        <f t="shared" si="4040"/>
        <v>0</v>
      </c>
      <c r="BP213" s="720">
        <f t="shared" si="4041"/>
        <v>0</v>
      </c>
      <c r="BQ213" s="720">
        <f t="shared" si="4042"/>
        <v>0</v>
      </c>
      <c r="BR213" s="720">
        <f t="shared" si="4043"/>
        <v>0</v>
      </c>
      <c r="BS213" s="720">
        <f t="shared" si="4044"/>
        <v>0</v>
      </c>
      <c r="BT213" s="720">
        <f t="shared" si="4045"/>
        <v>0</v>
      </c>
      <c r="BU213" s="720">
        <f t="shared" si="4046"/>
        <v>0</v>
      </c>
      <c r="BV213" s="720">
        <f t="shared" si="4047"/>
        <v>0</v>
      </c>
      <c r="BW213" s="720">
        <f t="shared" si="4048"/>
        <v>0</v>
      </c>
      <c r="BX213" s="720">
        <f t="shared" si="4049"/>
        <v>0</v>
      </c>
      <c r="BY213" s="720">
        <f t="shared" si="4050"/>
        <v>0</v>
      </c>
      <c r="BZ213" s="720">
        <f t="shared" si="4051"/>
        <v>0</v>
      </c>
      <c r="CA213" s="720">
        <f t="shared" si="4052"/>
        <v>0</v>
      </c>
      <c r="CB213" s="720">
        <f t="shared" si="4053"/>
        <v>0</v>
      </c>
      <c r="CC213" s="720">
        <f t="shared" si="4054"/>
        <v>0</v>
      </c>
      <c r="CD213" s="720">
        <f t="shared" si="4055"/>
        <v>0</v>
      </c>
      <c r="CE213" s="720">
        <f t="shared" si="4056"/>
        <v>0</v>
      </c>
      <c r="CF213" s="720">
        <f t="shared" si="4057"/>
        <v>0</v>
      </c>
      <c r="CG213" s="720">
        <f t="shared" si="4058"/>
        <v>0</v>
      </c>
      <c r="CH213" s="720">
        <f t="shared" si="4059"/>
        <v>0</v>
      </c>
      <c r="CI213" s="720">
        <f t="shared" si="4060"/>
        <v>0</v>
      </c>
      <c r="CJ213" s="720">
        <f t="shared" si="4061"/>
        <v>0</v>
      </c>
      <c r="CK213" s="720">
        <f t="shared" ref="CK213:CS213" si="4066">+EF135</f>
        <v>18902.28</v>
      </c>
      <c r="CL213" s="720">
        <f t="shared" si="4066"/>
        <v>7683.3249999999998</v>
      </c>
      <c r="CM213" s="720">
        <f t="shared" si="4066"/>
        <v>6</v>
      </c>
      <c r="CN213" s="720">
        <f t="shared" si="4066"/>
        <v>152.55700000000002</v>
      </c>
      <c r="CO213" s="720">
        <f t="shared" si="4066"/>
        <v>0</v>
      </c>
      <c r="CP213" s="720">
        <f t="shared" si="4066"/>
        <v>0</v>
      </c>
      <c r="CQ213" s="720">
        <f t="shared" si="4066"/>
        <v>700</v>
      </c>
      <c r="CR213" s="720">
        <f t="shared" si="4066"/>
        <v>2502.9378478999997</v>
      </c>
      <c r="CS213" s="720">
        <f t="shared" si="4066"/>
        <v>29941.099847899997</v>
      </c>
      <c r="CT213" s="720"/>
      <c r="CV213" s="712"/>
      <c r="CW213" s="712"/>
      <c r="CX213" s="712"/>
      <c r="CY213" s="712"/>
      <c r="CZ213" s="712"/>
      <c r="DA213" s="712"/>
      <c r="DB213" s="712"/>
      <c r="DC213" s="712"/>
      <c r="DD213" s="712"/>
      <c r="DE213" s="712"/>
      <c r="DF213" s="712"/>
      <c r="DG213" s="712"/>
      <c r="DH213" s="712"/>
      <c r="DI213" s="712"/>
      <c r="DJ213" s="712"/>
      <c r="DK213" s="712"/>
      <c r="DL213" s="712"/>
      <c r="DM213" s="712"/>
      <c r="DN213" s="712"/>
      <c r="DO213" s="712"/>
      <c r="DP213" s="712"/>
      <c r="DQ213" s="712"/>
      <c r="DR213" s="712"/>
      <c r="DS213" s="712"/>
      <c r="DT213" s="712"/>
      <c r="DU213" s="712"/>
      <c r="DV213" s="712"/>
      <c r="DW213" s="712"/>
      <c r="DX213" s="712"/>
      <c r="DY213" s="712"/>
      <c r="DZ213" s="712"/>
      <c r="EA213" s="712"/>
      <c r="EB213" s="712"/>
      <c r="EC213" s="712"/>
      <c r="ED213" s="712"/>
      <c r="EE213" s="712"/>
      <c r="EF213" s="712"/>
      <c r="EG213" s="712"/>
      <c r="EH213" s="712"/>
      <c r="EI213" s="712"/>
      <c r="EJ213" s="712"/>
      <c r="EK213" s="712"/>
      <c r="EL213" s="712"/>
      <c r="EM213" s="712"/>
      <c r="EN213" s="712"/>
      <c r="EP213" s="946"/>
    </row>
    <row r="214" spans="7:146" ht="12.75">
      <c r="G214" s="719">
        <v>21</v>
      </c>
      <c r="H214" s="714" t="s">
        <v>115</v>
      </c>
      <c r="BA214" s="720">
        <f t="shared" si="4026"/>
        <v>0</v>
      </c>
      <c r="BB214" s="720">
        <f t="shared" si="4027"/>
        <v>0</v>
      </c>
      <c r="BC214" s="720">
        <f t="shared" si="4028"/>
        <v>0</v>
      </c>
      <c r="BD214" s="720">
        <f t="shared" si="4029"/>
        <v>0</v>
      </c>
      <c r="BE214" s="720">
        <f t="shared" si="4030"/>
        <v>0</v>
      </c>
      <c r="BF214" s="720">
        <f t="shared" si="4031"/>
        <v>0</v>
      </c>
      <c r="BG214" s="720">
        <f t="shared" si="4032"/>
        <v>0</v>
      </c>
      <c r="BH214" s="720">
        <f t="shared" si="4033"/>
        <v>0</v>
      </c>
      <c r="BI214" s="720">
        <f t="shared" si="4034"/>
        <v>0</v>
      </c>
      <c r="BJ214" s="720">
        <f t="shared" si="4035"/>
        <v>0</v>
      </c>
      <c r="BK214" s="720">
        <f t="shared" si="4036"/>
        <v>0</v>
      </c>
      <c r="BL214" s="720">
        <f t="shared" si="4037"/>
        <v>0</v>
      </c>
      <c r="BM214" s="720">
        <f t="shared" si="4038"/>
        <v>0</v>
      </c>
      <c r="BN214" s="720">
        <f t="shared" si="4039"/>
        <v>0</v>
      </c>
      <c r="BO214" s="720">
        <f t="shared" si="4040"/>
        <v>0</v>
      </c>
      <c r="BP214" s="720">
        <f t="shared" si="4041"/>
        <v>0</v>
      </c>
      <c r="BQ214" s="720">
        <f t="shared" si="4042"/>
        <v>0</v>
      </c>
      <c r="BR214" s="720">
        <f t="shared" si="4043"/>
        <v>0</v>
      </c>
      <c r="BS214" s="720">
        <f t="shared" si="4044"/>
        <v>0</v>
      </c>
      <c r="BT214" s="720">
        <f t="shared" si="4045"/>
        <v>0</v>
      </c>
      <c r="BU214" s="720">
        <f t="shared" si="4046"/>
        <v>0</v>
      </c>
      <c r="BV214" s="720">
        <f t="shared" si="4047"/>
        <v>0</v>
      </c>
      <c r="BW214" s="720">
        <f t="shared" si="4048"/>
        <v>0</v>
      </c>
      <c r="BX214" s="720">
        <f t="shared" si="4049"/>
        <v>0</v>
      </c>
      <c r="BY214" s="720">
        <f t="shared" si="4050"/>
        <v>0</v>
      </c>
      <c r="BZ214" s="720">
        <f t="shared" si="4051"/>
        <v>0</v>
      </c>
      <c r="CA214" s="720">
        <f t="shared" si="4052"/>
        <v>0</v>
      </c>
      <c r="CB214" s="720">
        <f t="shared" si="4053"/>
        <v>0</v>
      </c>
      <c r="CC214" s="720">
        <f t="shared" si="4054"/>
        <v>0</v>
      </c>
      <c r="CD214" s="720">
        <f t="shared" si="4055"/>
        <v>0</v>
      </c>
      <c r="CE214" s="720">
        <f t="shared" si="4056"/>
        <v>0</v>
      </c>
      <c r="CF214" s="720">
        <f t="shared" si="4057"/>
        <v>0</v>
      </c>
      <c r="CG214" s="720">
        <f t="shared" si="4058"/>
        <v>0</v>
      </c>
      <c r="CH214" s="720">
        <f t="shared" si="4059"/>
        <v>0</v>
      </c>
      <c r="CI214" s="720">
        <f t="shared" si="4060"/>
        <v>0</v>
      </c>
      <c r="CJ214" s="720">
        <f t="shared" si="4061"/>
        <v>0</v>
      </c>
      <c r="CK214" s="720" t="s">
        <v>52</v>
      </c>
      <c r="CL214" s="720" t="s">
        <v>52</v>
      </c>
      <c r="CM214" s="720" t="s">
        <v>52</v>
      </c>
      <c r="CN214" s="720" t="s">
        <v>52</v>
      </c>
      <c r="CO214" s="720" t="s">
        <v>52</v>
      </c>
      <c r="CP214" s="720" t="s">
        <v>52</v>
      </c>
      <c r="CQ214" s="720" t="s">
        <v>52</v>
      </c>
      <c r="CR214" s="720" t="s">
        <v>52</v>
      </c>
      <c r="CS214" s="720" t="s">
        <v>52</v>
      </c>
      <c r="CT214" s="720"/>
      <c r="CV214" s="712"/>
      <c r="CW214" s="712"/>
      <c r="CX214" s="712"/>
      <c r="CY214" s="712"/>
      <c r="CZ214" s="712"/>
      <c r="DA214" s="712"/>
      <c r="DB214" s="712"/>
      <c r="DC214" s="712"/>
      <c r="DD214" s="712"/>
      <c r="DE214" s="712"/>
      <c r="DF214" s="712"/>
      <c r="DG214" s="712"/>
      <c r="DH214" s="712"/>
      <c r="DI214" s="712"/>
      <c r="DJ214" s="712"/>
      <c r="DK214" s="712"/>
      <c r="DL214" s="712"/>
      <c r="DM214" s="712"/>
      <c r="DN214" s="712"/>
      <c r="DO214" s="712"/>
      <c r="DP214" s="712"/>
      <c r="DQ214" s="712"/>
      <c r="DR214" s="712"/>
      <c r="DS214" s="712"/>
      <c r="DT214" s="712"/>
      <c r="DU214" s="712"/>
      <c r="DV214" s="712"/>
      <c r="DW214" s="712"/>
      <c r="DX214" s="712"/>
      <c r="DY214" s="712"/>
      <c r="DZ214" s="712"/>
      <c r="EA214" s="712"/>
      <c r="EB214" s="712"/>
      <c r="EC214" s="712"/>
      <c r="ED214" s="712"/>
      <c r="EE214" s="712"/>
      <c r="EF214" s="712"/>
      <c r="EG214" s="712"/>
      <c r="EH214" s="712"/>
      <c r="EI214" s="712"/>
      <c r="EJ214" s="712"/>
      <c r="EK214" s="712"/>
      <c r="EL214" s="712"/>
      <c r="EM214" s="712"/>
      <c r="EN214" s="712"/>
      <c r="EP214" s="946"/>
    </row>
    <row r="215" spans="7:146" ht="12.75">
      <c r="G215" s="719">
        <v>22</v>
      </c>
      <c r="H215" s="714" t="s">
        <v>116</v>
      </c>
      <c r="BA215" s="720">
        <f t="shared" si="4026"/>
        <v>0</v>
      </c>
      <c r="BB215" s="720">
        <f t="shared" si="4027"/>
        <v>0</v>
      </c>
      <c r="BC215" s="720">
        <f t="shared" si="4028"/>
        <v>0</v>
      </c>
      <c r="BD215" s="720">
        <f t="shared" si="4029"/>
        <v>0</v>
      </c>
      <c r="BE215" s="720">
        <f t="shared" si="4030"/>
        <v>0</v>
      </c>
      <c r="BF215" s="720">
        <f t="shared" si="4031"/>
        <v>0</v>
      </c>
      <c r="BG215" s="720">
        <f t="shared" si="4032"/>
        <v>0</v>
      </c>
      <c r="BH215" s="720">
        <f t="shared" si="4033"/>
        <v>0</v>
      </c>
      <c r="BI215" s="720">
        <f t="shared" si="4034"/>
        <v>0</v>
      </c>
      <c r="BJ215" s="720">
        <f t="shared" si="4035"/>
        <v>0</v>
      </c>
      <c r="BK215" s="720">
        <f t="shared" si="4036"/>
        <v>0</v>
      </c>
      <c r="BL215" s="720">
        <f t="shared" si="4037"/>
        <v>0</v>
      </c>
      <c r="BM215" s="720">
        <f t="shared" si="4038"/>
        <v>0</v>
      </c>
      <c r="BN215" s="720">
        <f t="shared" si="4039"/>
        <v>0</v>
      </c>
      <c r="BO215" s="720">
        <f t="shared" si="4040"/>
        <v>0</v>
      </c>
      <c r="BP215" s="720">
        <f t="shared" si="4041"/>
        <v>0</v>
      </c>
      <c r="BQ215" s="720">
        <f t="shared" si="4042"/>
        <v>0</v>
      </c>
      <c r="BR215" s="720">
        <f t="shared" si="4043"/>
        <v>0</v>
      </c>
      <c r="BS215" s="720">
        <f t="shared" si="4044"/>
        <v>0</v>
      </c>
      <c r="BT215" s="720">
        <f t="shared" si="4045"/>
        <v>0</v>
      </c>
      <c r="BU215" s="720">
        <f t="shared" si="4046"/>
        <v>0</v>
      </c>
      <c r="BV215" s="720">
        <f t="shared" si="4047"/>
        <v>0</v>
      </c>
      <c r="BW215" s="720">
        <f t="shared" si="4048"/>
        <v>0</v>
      </c>
      <c r="BX215" s="720">
        <f t="shared" si="4049"/>
        <v>0</v>
      </c>
      <c r="BY215" s="720">
        <f t="shared" si="4050"/>
        <v>0</v>
      </c>
      <c r="BZ215" s="720">
        <f t="shared" si="4051"/>
        <v>0</v>
      </c>
      <c r="CA215" s="720">
        <f t="shared" si="4052"/>
        <v>0</v>
      </c>
      <c r="CB215" s="720">
        <f t="shared" si="4053"/>
        <v>0</v>
      </c>
      <c r="CC215" s="720">
        <f t="shared" si="4054"/>
        <v>0</v>
      </c>
      <c r="CD215" s="720">
        <f t="shared" si="4055"/>
        <v>0</v>
      </c>
      <c r="CE215" s="720">
        <f t="shared" si="4056"/>
        <v>0</v>
      </c>
      <c r="CF215" s="720">
        <f t="shared" si="4057"/>
        <v>0</v>
      </c>
      <c r="CG215" s="720">
        <f t="shared" si="4058"/>
        <v>0</v>
      </c>
      <c r="CH215" s="720">
        <f t="shared" si="4059"/>
        <v>0</v>
      </c>
      <c r="CI215" s="720">
        <f t="shared" si="4060"/>
        <v>0</v>
      </c>
      <c r="CJ215" s="720">
        <f t="shared" si="4061"/>
        <v>0</v>
      </c>
      <c r="CL215" s="720" t="s">
        <v>52</v>
      </c>
      <c r="CM215" s="720" t="s">
        <v>52</v>
      </c>
      <c r="CN215" s="720" t="s">
        <v>52</v>
      </c>
      <c r="CO215" s="720" t="s">
        <v>52</v>
      </c>
      <c r="CP215" s="720" t="s">
        <v>52</v>
      </c>
      <c r="CQ215" s="720" t="s">
        <v>52</v>
      </c>
      <c r="CR215" s="720" t="s">
        <v>52</v>
      </c>
      <c r="CS215" s="720" t="s">
        <v>52</v>
      </c>
      <c r="CT215" s="720"/>
      <c r="CV215" s="712"/>
      <c r="CW215" s="712"/>
      <c r="CX215" s="712"/>
      <c r="CY215" s="712"/>
      <c r="CZ215" s="712"/>
      <c r="DA215" s="712"/>
      <c r="DB215" s="712"/>
      <c r="DC215" s="712"/>
      <c r="DD215" s="712"/>
      <c r="DE215" s="712"/>
      <c r="DF215" s="712"/>
      <c r="DG215" s="712"/>
      <c r="DH215" s="712"/>
      <c r="DI215" s="712"/>
      <c r="DJ215" s="712"/>
      <c r="DK215" s="712"/>
      <c r="DL215" s="712"/>
      <c r="DM215" s="712"/>
      <c r="DN215" s="712"/>
      <c r="DO215" s="712"/>
      <c r="DP215" s="712"/>
      <c r="DQ215" s="712"/>
      <c r="DR215" s="712"/>
      <c r="DS215" s="712"/>
      <c r="DT215" s="712"/>
      <c r="DU215" s="712"/>
      <c r="DV215" s="712"/>
      <c r="DW215" s="712"/>
      <c r="DX215" s="712"/>
      <c r="DY215" s="712"/>
      <c r="DZ215" s="712"/>
      <c r="EA215" s="712"/>
      <c r="EB215" s="712"/>
      <c r="EC215" s="712"/>
      <c r="ED215" s="712"/>
      <c r="EE215" s="712"/>
      <c r="EF215" s="712"/>
      <c r="EG215" s="712"/>
      <c r="EH215" s="712"/>
      <c r="EI215" s="712"/>
      <c r="EJ215" s="712"/>
      <c r="EK215" s="712"/>
      <c r="EL215" s="712"/>
      <c r="EM215" s="712"/>
      <c r="EN215" s="712"/>
      <c r="EP215" s="946"/>
    </row>
    <row r="216" spans="7:146" ht="12.75">
      <c r="G216" s="719">
        <v>23</v>
      </c>
      <c r="H216" s="714" t="s">
        <v>193</v>
      </c>
      <c r="BA216" s="720">
        <f t="shared" si="4026"/>
        <v>0</v>
      </c>
      <c r="BB216" s="720">
        <f t="shared" si="4027"/>
        <v>0</v>
      </c>
      <c r="BC216" s="720">
        <f t="shared" si="4028"/>
        <v>0</v>
      </c>
      <c r="BD216" s="720">
        <f t="shared" si="4029"/>
        <v>0</v>
      </c>
      <c r="BE216" s="720">
        <f t="shared" si="4030"/>
        <v>0</v>
      </c>
      <c r="BF216" s="720">
        <f t="shared" si="4031"/>
        <v>0</v>
      </c>
      <c r="BG216" s="720">
        <f t="shared" si="4032"/>
        <v>0</v>
      </c>
      <c r="BH216" s="720">
        <f t="shared" si="4033"/>
        <v>0</v>
      </c>
      <c r="BI216" s="720">
        <f t="shared" si="4034"/>
        <v>0</v>
      </c>
      <c r="BJ216" s="720">
        <f t="shared" si="4035"/>
        <v>0</v>
      </c>
      <c r="BK216" s="720">
        <f t="shared" si="4036"/>
        <v>0</v>
      </c>
      <c r="BL216" s="720">
        <f t="shared" si="4037"/>
        <v>0</v>
      </c>
      <c r="BM216" s="720">
        <f t="shared" si="4038"/>
        <v>0</v>
      </c>
      <c r="BN216" s="720">
        <f t="shared" si="4039"/>
        <v>0</v>
      </c>
      <c r="BO216" s="720">
        <f t="shared" si="4040"/>
        <v>0</v>
      </c>
      <c r="BP216" s="720">
        <f t="shared" si="4041"/>
        <v>0</v>
      </c>
      <c r="BQ216" s="720">
        <f t="shared" si="4042"/>
        <v>0</v>
      </c>
      <c r="BR216" s="720">
        <f t="shared" si="4043"/>
        <v>0</v>
      </c>
      <c r="BS216" s="720">
        <f t="shared" si="4044"/>
        <v>0</v>
      </c>
      <c r="BT216" s="720">
        <f t="shared" si="4045"/>
        <v>0</v>
      </c>
      <c r="BU216" s="720">
        <f t="shared" si="4046"/>
        <v>0</v>
      </c>
      <c r="BV216" s="720">
        <f t="shared" si="4047"/>
        <v>0</v>
      </c>
      <c r="BW216" s="720">
        <f t="shared" si="4048"/>
        <v>0</v>
      </c>
      <c r="BX216" s="720">
        <f t="shared" si="4049"/>
        <v>0</v>
      </c>
      <c r="BY216" s="720">
        <f t="shared" si="4050"/>
        <v>0</v>
      </c>
      <c r="BZ216" s="720">
        <f t="shared" si="4051"/>
        <v>0</v>
      </c>
      <c r="CA216" s="720">
        <f t="shared" si="4052"/>
        <v>0</v>
      </c>
      <c r="CB216" s="720">
        <f t="shared" si="4053"/>
        <v>0</v>
      </c>
      <c r="CC216" s="720">
        <f t="shared" si="4054"/>
        <v>0</v>
      </c>
      <c r="CD216" s="720">
        <f t="shared" si="4055"/>
        <v>0</v>
      </c>
      <c r="CE216" s="720">
        <f t="shared" si="4056"/>
        <v>0</v>
      </c>
      <c r="CF216" s="720">
        <f t="shared" si="4057"/>
        <v>0</v>
      </c>
      <c r="CG216" s="720">
        <f t="shared" si="4058"/>
        <v>0</v>
      </c>
      <c r="CH216" s="720">
        <f t="shared" si="4059"/>
        <v>0</v>
      </c>
      <c r="CI216" s="720">
        <f t="shared" si="4060"/>
        <v>0</v>
      </c>
      <c r="CJ216" s="720">
        <f t="shared" si="4061"/>
        <v>0</v>
      </c>
      <c r="CL216" s="720" t="s">
        <v>52</v>
      </c>
      <c r="CM216" s="720" t="s">
        <v>52</v>
      </c>
      <c r="CN216" s="720" t="s">
        <v>52</v>
      </c>
      <c r="CO216" s="720" t="s">
        <v>52</v>
      </c>
      <c r="CP216" s="720" t="s">
        <v>52</v>
      </c>
      <c r="CQ216" s="720" t="s">
        <v>52</v>
      </c>
      <c r="CR216" s="720" t="s">
        <v>52</v>
      </c>
      <c r="CS216" s="720" t="s">
        <v>52</v>
      </c>
      <c r="CT216" s="720"/>
      <c r="CV216" s="712"/>
      <c r="CW216" s="712"/>
      <c r="CX216" s="712"/>
      <c r="CY216" s="712"/>
      <c r="CZ216" s="712"/>
      <c r="DA216" s="712"/>
      <c r="DB216" s="712"/>
      <c r="DC216" s="712"/>
      <c r="DD216" s="712"/>
      <c r="DE216" s="712"/>
      <c r="DF216" s="712"/>
      <c r="DG216" s="712"/>
      <c r="DH216" s="712"/>
      <c r="DI216" s="712"/>
      <c r="DJ216" s="712"/>
      <c r="DK216" s="712"/>
      <c r="DL216" s="712"/>
      <c r="DM216" s="712"/>
      <c r="DN216" s="712"/>
      <c r="DO216" s="712"/>
      <c r="DP216" s="712"/>
      <c r="DQ216" s="712"/>
      <c r="DR216" s="712"/>
      <c r="DS216" s="712"/>
      <c r="DT216" s="712"/>
      <c r="DU216" s="712"/>
      <c r="DV216" s="712"/>
      <c r="DW216" s="712"/>
      <c r="DX216" s="712"/>
      <c r="DY216" s="712"/>
      <c r="DZ216" s="712"/>
      <c r="EA216" s="712"/>
      <c r="EB216" s="712"/>
      <c r="EC216" s="712"/>
      <c r="ED216" s="712"/>
      <c r="EE216" s="712"/>
      <c r="EF216" s="712"/>
      <c r="EG216" s="712"/>
      <c r="EH216" s="712"/>
      <c r="EI216" s="712"/>
      <c r="EJ216" s="712"/>
      <c r="EK216" s="712"/>
      <c r="EL216" s="712"/>
      <c r="EM216" s="712"/>
      <c r="EN216" s="712"/>
      <c r="EP216" s="946"/>
    </row>
    <row r="217" spans="7:146" ht="12.75">
      <c r="G217" s="719">
        <v>24</v>
      </c>
      <c r="H217" s="714" t="s">
        <v>345</v>
      </c>
      <c r="BA217" s="720">
        <f t="shared" si="4026"/>
        <v>0</v>
      </c>
      <c r="BB217" s="720">
        <f t="shared" si="4027"/>
        <v>0</v>
      </c>
      <c r="BC217" s="720">
        <f t="shared" si="4028"/>
        <v>0</v>
      </c>
      <c r="BD217" s="720">
        <f t="shared" si="4029"/>
        <v>0</v>
      </c>
      <c r="BE217" s="720">
        <f t="shared" si="4030"/>
        <v>0</v>
      </c>
      <c r="BF217" s="720">
        <f t="shared" si="4031"/>
        <v>0</v>
      </c>
      <c r="BG217" s="720">
        <f t="shared" si="4032"/>
        <v>0</v>
      </c>
      <c r="BH217" s="720">
        <f t="shared" si="4033"/>
        <v>0</v>
      </c>
      <c r="BI217" s="720">
        <f t="shared" si="4034"/>
        <v>0</v>
      </c>
      <c r="BJ217" s="720">
        <f t="shared" si="4035"/>
        <v>0</v>
      </c>
      <c r="BK217" s="720">
        <f t="shared" si="4036"/>
        <v>0</v>
      </c>
      <c r="BL217" s="720">
        <f t="shared" si="4037"/>
        <v>0</v>
      </c>
      <c r="BM217" s="720">
        <f t="shared" si="4038"/>
        <v>0</v>
      </c>
      <c r="BN217" s="720">
        <f t="shared" si="4039"/>
        <v>0</v>
      </c>
      <c r="BO217" s="720">
        <f t="shared" si="4040"/>
        <v>0</v>
      </c>
      <c r="BP217" s="720">
        <f t="shared" si="4041"/>
        <v>0</v>
      </c>
      <c r="BQ217" s="720">
        <f t="shared" si="4042"/>
        <v>0</v>
      </c>
      <c r="BR217" s="720">
        <f t="shared" si="4043"/>
        <v>0</v>
      </c>
      <c r="BS217" s="720">
        <f t="shared" si="4044"/>
        <v>0</v>
      </c>
      <c r="BT217" s="720">
        <f t="shared" si="4045"/>
        <v>0</v>
      </c>
      <c r="BU217" s="720">
        <f t="shared" si="4046"/>
        <v>0</v>
      </c>
      <c r="BV217" s="720">
        <f t="shared" si="4047"/>
        <v>0</v>
      </c>
      <c r="BW217" s="720">
        <f t="shared" si="4048"/>
        <v>0</v>
      </c>
      <c r="BX217" s="720">
        <f t="shared" si="4049"/>
        <v>0</v>
      </c>
      <c r="BY217" s="720">
        <f t="shared" si="4050"/>
        <v>0</v>
      </c>
      <c r="BZ217" s="720">
        <f t="shared" si="4051"/>
        <v>0</v>
      </c>
      <c r="CA217" s="720">
        <f t="shared" si="4052"/>
        <v>0</v>
      </c>
      <c r="CB217" s="720">
        <f t="shared" si="4053"/>
        <v>0</v>
      </c>
      <c r="CC217" s="720">
        <f t="shared" si="4054"/>
        <v>0</v>
      </c>
      <c r="CD217" s="720">
        <f t="shared" si="4055"/>
        <v>0</v>
      </c>
      <c r="CE217" s="720">
        <f t="shared" si="4056"/>
        <v>0</v>
      </c>
      <c r="CF217" s="720">
        <f t="shared" si="4057"/>
        <v>0</v>
      </c>
      <c r="CG217" s="720">
        <f t="shared" si="4058"/>
        <v>0</v>
      </c>
      <c r="CH217" s="720">
        <f t="shared" si="4059"/>
        <v>0</v>
      </c>
      <c r="CI217" s="720">
        <f t="shared" si="4060"/>
        <v>0</v>
      </c>
      <c r="CJ217" s="720">
        <f t="shared" si="4061"/>
        <v>0</v>
      </c>
      <c r="CL217" s="720" t="s">
        <v>52</v>
      </c>
      <c r="CM217" s="720" t="s">
        <v>52</v>
      </c>
      <c r="CN217" s="720" t="s">
        <v>52</v>
      </c>
      <c r="CO217" s="720" t="s">
        <v>52</v>
      </c>
      <c r="CP217" s="720" t="s">
        <v>52</v>
      </c>
      <c r="CQ217" s="720" t="s">
        <v>52</v>
      </c>
      <c r="CR217" s="720" t="s">
        <v>52</v>
      </c>
      <c r="CS217" s="720" t="s">
        <v>52</v>
      </c>
      <c r="CT217" s="720"/>
      <c r="CV217" s="712"/>
      <c r="CW217" s="712"/>
      <c r="CX217" s="712"/>
      <c r="CY217" s="712"/>
      <c r="CZ217" s="712"/>
      <c r="DA217" s="712"/>
      <c r="DB217" s="712"/>
      <c r="DC217" s="712"/>
      <c r="DD217" s="712"/>
      <c r="DE217" s="712"/>
      <c r="DF217" s="712"/>
      <c r="DG217" s="712"/>
      <c r="DH217" s="712"/>
      <c r="DI217" s="712"/>
      <c r="DJ217" s="712"/>
      <c r="DK217" s="712"/>
      <c r="DL217" s="712"/>
      <c r="DM217" s="712"/>
      <c r="DN217" s="712"/>
      <c r="DO217" s="712"/>
      <c r="DP217" s="712"/>
      <c r="DQ217" s="712"/>
      <c r="DR217" s="712"/>
      <c r="DS217" s="712"/>
      <c r="DT217" s="712"/>
      <c r="DU217" s="712"/>
      <c r="DV217" s="712"/>
      <c r="DW217" s="712"/>
      <c r="DX217" s="712"/>
      <c r="DY217" s="712"/>
      <c r="DZ217" s="712"/>
      <c r="EA217" s="712"/>
      <c r="EB217" s="712"/>
      <c r="EC217" s="712"/>
      <c r="ED217" s="712"/>
      <c r="EE217" s="712"/>
      <c r="EF217" s="712"/>
      <c r="EG217" s="712"/>
      <c r="EH217" s="712"/>
      <c r="EI217" s="712"/>
      <c r="EJ217" s="712"/>
      <c r="EK217" s="712"/>
      <c r="EL217" s="712"/>
      <c r="EM217" s="712"/>
      <c r="EN217" s="712"/>
      <c r="EP217" s="946"/>
    </row>
    <row r="218" spans="7:146" ht="12.75">
      <c r="G218" s="719">
        <v>25</v>
      </c>
      <c r="H218" s="714" t="s">
        <v>121</v>
      </c>
      <c r="BA218" s="720">
        <f t="shared" si="4026"/>
        <v>0</v>
      </c>
      <c r="BB218" s="720">
        <f t="shared" si="4027"/>
        <v>0</v>
      </c>
      <c r="BC218" s="720">
        <f t="shared" si="4028"/>
        <v>0</v>
      </c>
      <c r="BD218" s="720">
        <f t="shared" si="4029"/>
        <v>0</v>
      </c>
      <c r="BE218" s="720">
        <f t="shared" si="4030"/>
        <v>0</v>
      </c>
      <c r="BF218" s="720">
        <f t="shared" si="4031"/>
        <v>0</v>
      </c>
      <c r="BG218" s="720">
        <f t="shared" si="4032"/>
        <v>0</v>
      </c>
      <c r="BH218" s="720">
        <f t="shared" si="4033"/>
        <v>0</v>
      </c>
      <c r="BI218" s="720">
        <f t="shared" si="4034"/>
        <v>0</v>
      </c>
      <c r="BJ218" s="720">
        <f t="shared" si="4035"/>
        <v>0</v>
      </c>
      <c r="BK218" s="720">
        <f t="shared" si="4036"/>
        <v>0</v>
      </c>
      <c r="BL218" s="720">
        <f t="shared" si="4037"/>
        <v>0</v>
      </c>
      <c r="BM218" s="720">
        <f t="shared" si="4038"/>
        <v>0</v>
      </c>
      <c r="BN218" s="720">
        <f t="shared" si="4039"/>
        <v>0</v>
      </c>
      <c r="BO218" s="720">
        <f t="shared" si="4040"/>
        <v>0</v>
      </c>
      <c r="BP218" s="720">
        <f t="shared" si="4041"/>
        <v>0</v>
      </c>
      <c r="BQ218" s="720">
        <f t="shared" si="4042"/>
        <v>0</v>
      </c>
      <c r="BR218" s="720">
        <f t="shared" si="4043"/>
        <v>0</v>
      </c>
      <c r="BS218" s="720">
        <f t="shared" si="4044"/>
        <v>0</v>
      </c>
      <c r="BT218" s="720">
        <f t="shared" si="4045"/>
        <v>0</v>
      </c>
      <c r="BU218" s="720">
        <f t="shared" si="4046"/>
        <v>0</v>
      </c>
      <c r="BV218" s="720">
        <f t="shared" si="4047"/>
        <v>0</v>
      </c>
      <c r="BW218" s="720">
        <f t="shared" si="4048"/>
        <v>0</v>
      </c>
      <c r="BX218" s="720">
        <f t="shared" si="4049"/>
        <v>0</v>
      </c>
      <c r="BY218" s="720">
        <f t="shared" si="4050"/>
        <v>0</v>
      </c>
      <c r="BZ218" s="720">
        <f t="shared" si="4051"/>
        <v>0</v>
      </c>
      <c r="CA218" s="720">
        <f t="shared" si="4052"/>
        <v>0</v>
      </c>
      <c r="CB218" s="720">
        <f t="shared" si="4053"/>
        <v>0</v>
      </c>
      <c r="CC218" s="720">
        <f t="shared" si="4054"/>
        <v>0</v>
      </c>
      <c r="CD218" s="720">
        <f t="shared" si="4055"/>
        <v>0</v>
      </c>
      <c r="CE218" s="720">
        <f t="shared" si="4056"/>
        <v>0</v>
      </c>
      <c r="CF218" s="720">
        <f t="shared" si="4057"/>
        <v>0</v>
      </c>
      <c r="CG218" s="720">
        <f t="shared" si="4058"/>
        <v>0</v>
      </c>
      <c r="CH218" s="720">
        <f t="shared" si="4059"/>
        <v>0</v>
      </c>
      <c r="CI218" s="720">
        <f t="shared" si="4060"/>
        <v>0</v>
      </c>
      <c r="CJ218" s="720">
        <f t="shared" si="4061"/>
        <v>0</v>
      </c>
      <c r="CL218" s="720" t="s">
        <v>52</v>
      </c>
      <c r="CM218" s="720" t="s">
        <v>52</v>
      </c>
      <c r="CN218" s="720" t="s">
        <v>52</v>
      </c>
      <c r="CO218" s="720" t="s">
        <v>52</v>
      </c>
      <c r="CP218" s="720" t="s">
        <v>52</v>
      </c>
      <c r="CQ218" s="720" t="s">
        <v>52</v>
      </c>
      <c r="CR218" s="720" t="s">
        <v>52</v>
      </c>
      <c r="CS218" s="720" t="s">
        <v>52</v>
      </c>
      <c r="CT218" s="720"/>
      <c r="CV218" s="712"/>
      <c r="CW218" s="712"/>
      <c r="CX218" s="712"/>
      <c r="CY218" s="712"/>
      <c r="CZ218" s="712"/>
      <c r="DA218" s="712"/>
      <c r="DB218" s="712"/>
      <c r="DC218" s="712"/>
      <c r="DD218" s="712"/>
      <c r="DE218" s="712"/>
      <c r="DF218" s="712"/>
      <c r="DG218" s="712"/>
      <c r="DH218" s="712"/>
      <c r="DI218" s="712"/>
      <c r="DJ218" s="712"/>
      <c r="DK218" s="712"/>
      <c r="DL218" s="712"/>
      <c r="DM218" s="712"/>
      <c r="DN218" s="712"/>
      <c r="DO218" s="712"/>
      <c r="DP218" s="712"/>
      <c r="DQ218" s="712"/>
      <c r="DR218" s="712"/>
      <c r="DS218" s="712"/>
      <c r="DT218" s="712"/>
      <c r="DU218" s="712"/>
      <c r="DV218" s="712"/>
      <c r="DW218" s="712"/>
      <c r="DX218" s="712"/>
      <c r="DY218" s="712"/>
      <c r="DZ218" s="712"/>
      <c r="EA218" s="712"/>
      <c r="EB218" s="712"/>
      <c r="EC218" s="712"/>
      <c r="ED218" s="712"/>
      <c r="EE218" s="712"/>
      <c r="EF218" s="712"/>
      <c r="EG218" s="712"/>
      <c r="EH218" s="712"/>
      <c r="EI218" s="712"/>
      <c r="EJ218" s="712"/>
      <c r="EK218" s="712"/>
      <c r="EL218" s="712"/>
      <c r="EM218" s="712"/>
      <c r="EN218" s="712"/>
      <c r="EP218" s="946"/>
    </row>
    <row r="219" spans="7:146" ht="12.75">
      <c r="G219" s="719">
        <v>26</v>
      </c>
      <c r="H219" s="714" t="s">
        <v>122</v>
      </c>
      <c r="BA219" s="720">
        <f t="shared" ref="BA219:CJ219" si="4067">+CV90</f>
        <v>0</v>
      </c>
      <c r="BB219" s="720">
        <f t="shared" si="4067"/>
        <v>0</v>
      </c>
      <c r="BC219" s="720">
        <f t="shared" si="4067"/>
        <v>0</v>
      </c>
      <c r="BD219" s="720">
        <f t="shared" si="4067"/>
        <v>0</v>
      </c>
      <c r="BE219" s="720">
        <f t="shared" si="4067"/>
        <v>0</v>
      </c>
      <c r="BF219" s="720">
        <f t="shared" si="4067"/>
        <v>0</v>
      </c>
      <c r="BG219" s="720">
        <f t="shared" si="4067"/>
        <v>0</v>
      </c>
      <c r="BH219" s="720">
        <f t="shared" si="4067"/>
        <v>0</v>
      </c>
      <c r="BI219" s="720">
        <f t="shared" si="4067"/>
        <v>0</v>
      </c>
      <c r="BJ219" s="720">
        <f t="shared" si="4067"/>
        <v>0</v>
      </c>
      <c r="BK219" s="720">
        <f t="shared" si="4067"/>
        <v>0</v>
      </c>
      <c r="BL219" s="720">
        <f t="shared" si="4067"/>
        <v>0</v>
      </c>
      <c r="BM219" s="720">
        <f t="shared" si="4067"/>
        <v>0</v>
      </c>
      <c r="BN219" s="720">
        <f t="shared" si="4067"/>
        <v>0</v>
      </c>
      <c r="BO219" s="720">
        <f t="shared" si="4067"/>
        <v>0</v>
      </c>
      <c r="BP219" s="720">
        <f t="shared" si="4067"/>
        <v>0</v>
      </c>
      <c r="BQ219" s="720">
        <f t="shared" si="4067"/>
        <v>0</v>
      </c>
      <c r="BR219" s="720">
        <f t="shared" si="4067"/>
        <v>0</v>
      </c>
      <c r="BS219" s="720">
        <f t="shared" si="4067"/>
        <v>0</v>
      </c>
      <c r="BT219" s="720">
        <f t="shared" si="4067"/>
        <v>0</v>
      </c>
      <c r="BU219" s="720">
        <f t="shared" si="4067"/>
        <v>0</v>
      </c>
      <c r="BV219" s="720">
        <f t="shared" si="4067"/>
        <v>0</v>
      </c>
      <c r="BW219" s="720">
        <f t="shared" si="4067"/>
        <v>0</v>
      </c>
      <c r="BX219" s="720">
        <f t="shared" si="4067"/>
        <v>0</v>
      </c>
      <c r="BY219" s="720">
        <f t="shared" si="4067"/>
        <v>0</v>
      </c>
      <c r="BZ219" s="720">
        <f t="shared" si="4067"/>
        <v>0</v>
      </c>
      <c r="CA219" s="720">
        <f t="shared" si="4067"/>
        <v>0</v>
      </c>
      <c r="CB219" s="720">
        <f t="shared" si="4067"/>
        <v>0</v>
      </c>
      <c r="CC219" s="720">
        <f t="shared" si="4067"/>
        <v>0</v>
      </c>
      <c r="CD219" s="720">
        <f t="shared" si="4067"/>
        <v>0</v>
      </c>
      <c r="CE219" s="720">
        <f t="shared" si="4067"/>
        <v>0</v>
      </c>
      <c r="CF219" s="720">
        <f t="shared" si="4067"/>
        <v>0</v>
      </c>
      <c r="CG219" s="720">
        <f t="shared" si="4067"/>
        <v>0</v>
      </c>
      <c r="CH219" s="720">
        <f t="shared" si="4067"/>
        <v>0</v>
      </c>
      <c r="CI219" s="720">
        <f t="shared" si="4067"/>
        <v>0</v>
      </c>
      <c r="CJ219" s="720">
        <f t="shared" si="4067"/>
        <v>0</v>
      </c>
      <c r="CL219" s="720" t="s">
        <v>52</v>
      </c>
      <c r="CM219" s="720" t="s">
        <v>52</v>
      </c>
      <c r="CN219" s="720" t="s">
        <v>52</v>
      </c>
      <c r="CO219" s="720" t="s">
        <v>52</v>
      </c>
      <c r="CP219" s="720" t="s">
        <v>52</v>
      </c>
      <c r="CQ219" s="720" t="s">
        <v>52</v>
      </c>
      <c r="CR219" s="720" t="s">
        <v>52</v>
      </c>
      <c r="CS219" s="720" t="s">
        <v>52</v>
      </c>
      <c r="CT219" s="720"/>
      <c r="CV219" s="712"/>
      <c r="CW219" s="712"/>
      <c r="CX219" s="712"/>
      <c r="CY219" s="712"/>
      <c r="CZ219" s="712"/>
      <c r="DA219" s="712"/>
      <c r="DB219" s="712"/>
      <c r="DC219" s="712"/>
      <c r="DD219" s="712"/>
      <c r="DE219" s="712"/>
      <c r="DF219" s="712"/>
      <c r="DG219" s="712"/>
      <c r="DH219" s="712"/>
      <c r="DI219" s="712"/>
      <c r="DJ219" s="712"/>
      <c r="DK219" s="712"/>
      <c r="DL219" s="712"/>
      <c r="DM219" s="712"/>
      <c r="DN219" s="712"/>
      <c r="DO219" s="712"/>
      <c r="DP219" s="712"/>
      <c r="DQ219" s="712"/>
      <c r="DR219" s="712"/>
      <c r="DS219" s="712"/>
      <c r="DT219" s="712"/>
      <c r="DU219" s="712"/>
      <c r="DV219" s="712"/>
      <c r="DW219" s="712"/>
      <c r="DX219" s="712"/>
      <c r="DY219" s="712"/>
      <c r="DZ219" s="712"/>
      <c r="EA219" s="712"/>
      <c r="EB219" s="712"/>
      <c r="EC219" s="712"/>
      <c r="ED219" s="712"/>
      <c r="EE219" s="712"/>
      <c r="EF219" s="712"/>
      <c r="EG219" s="712"/>
      <c r="EH219" s="712"/>
      <c r="EI219" s="712"/>
      <c r="EJ219" s="712"/>
      <c r="EK219" s="712"/>
      <c r="EL219" s="712"/>
      <c r="EM219" s="712"/>
      <c r="EN219" s="712"/>
      <c r="EP219" s="946"/>
    </row>
    <row r="220" spans="7:146" ht="12.75">
      <c r="G220" s="719">
        <v>27</v>
      </c>
      <c r="H220" s="901" t="s">
        <v>629</v>
      </c>
      <c r="BA220" s="720">
        <v>0</v>
      </c>
      <c r="BB220" s="720">
        <v>0</v>
      </c>
      <c r="BC220" s="720">
        <v>0</v>
      </c>
      <c r="BD220" s="720">
        <v>0</v>
      </c>
      <c r="BE220" s="720">
        <v>0</v>
      </c>
      <c r="BF220" s="720">
        <v>0</v>
      </c>
      <c r="BG220" s="720">
        <v>0</v>
      </c>
      <c r="BH220" s="720">
        <v>0</v>
      </c>
      <c r="BI220" s="720">
        <v>0</v>
      </c>
      <c r="BJ220" s="720">
        <v>0</v>
      </c>
      <c r="BK220" s="720">
        <v>0</v>
      </c>
      <c r="BL220" s="720">
        <v>0</v>
      </c>
      <c r="BM220" s="720">
        <v>0</v>
      </c>
      <c r="BN220" s="720">
        <v>0</v>
      </c>
      <c r="BO220" s="720">
        <v>0</v>
      </c>
      <c r="BP220" s="720">
        <v>0</v>
      </c>
      <c r="BQ220" s="720">
        <v>0</v>
      </c>
      <c r="BR220" s="720">
        <v>0</v>
      </c>
      <c r="BS220" s="720">
        <v>0</v>
      </c>
      <c r="BT220" s="720">
        <v>0</v>
      </c>
      <c r="BU220" s="720">
        <v>0</v>
      </c>
      <c r="BV220" s="720">
        <v>0</v>
      </c>
      <c r="BW220" s="720">
        <v>0</v>
      </c>
      <c r="BX220" s="720">
        <v>0</v>
      </c>
      <c r="BY220" s="720">
        <v>0</v>
      </c>
      <c r="BZ220" s="720">
        <v>0</v>
      </c>
      <c r="CA220" s="720">
        <v>0</v>
      </c>
      <c r="CB220" s="720">
        <v>0</v>
      </c>
      <c r="CC220" s="720">
        <v>0</v>
      </c>
      <c r="CD220" s="720">
        <v>0</v>
      </c>
      <c r="CE220" s="720">
        <v>0</v>
      </c>
      <c r="CF220" s="720">
        <v>0</v>
      </c>
      <c r="CG220" s="720">
        <v>0</v>
      </c>
      <c r="CH220" s="720">
        <v>0</v>
      </c>
      <c r="CI220" s="720">
        <v>0</v>
      </c>
      <c r="CJ220" s="720">
        <v>0</v>
      </c>
      <c r="CL220" s="720" t="s">
        <v>52</v>
      </c>
      <c r="CM220" s="720" t="s">
        <v>52</v>
      </c>
      <c r="CN220" s="720" t="s">
        <v>52</v>
      </c>
      <c r="CO220" s="720" t="s">
        <v>52</v>
      </c>
      <c r="CP220" s="720" t="s">
        <v>52</v>
      </c>
      <c r="CQ220" s="720" t="s">
        <v>52</v>
      </c>
      <c r="CR220" s="720" t="s">
        <v>52</v>
      </c>
      <c r="CS220" s="720" t="s">
        <v>52</v>
      </c>
      <c r="CT220" s="720"/>
      <c r="CV220" s="712"/>
      <c r="CW220" s="712"/>
      <c r="CX220" s="712"/>
      <c r="CY220" s="712"/>
      <c r="CZ220" s="712"/>
      <c r="DA220" s="712"/>
      <c r="DB220" s="712"/>
      <c r="DC220" s="712"/>
      <c r="DD220" s="712"/>
      <c r="DE220" s="712"/>
      <c r="DF220" s="712"/>
      <c r="DG220" s="712"/>
      <c r="DH220" s="712"/>
      <c r="DI220" s="712"/>
      <c r="DJ220" s="712"/>
      <c r="DK220" s="712"/>
      <c r="DL220" s="712"/>
      <c r="DM220" s="712"/>
      <c r="DN220" s="712"/>
      <c r="DO220" s="712"/>
      <c r="DP220" s="712"/>
      <c r="DQ220" s="712"/>
      <c r="DR220" s="712"/>
      <c r="DS220" s="712"/>
      <c r="DT220" s="712"/>
      <c r="DU220" s="712"/>
      <c r="DV220" s="712"/>
      <c r="DW220" s="712"/>
      <c r="DX220" s="712"/>
      <c r="DY220" s="712"/>
      <c r="DZ220" s="712"/>
      <c r="EA220" s="712"/>
      <c r="EB220" s="712"/>
      <c r="EC220" s="712"/>
      <c r="ED220" s="712"/>
      <c r="EE220" s="712"/>
      <c r="EF220" s="712"/>
      <c r="EG220" s="712"/>
      <c r="EH220" s="712"/>
      <c r="EI220" s="712"/>
      <c r="EJ220" s="712"/>
      <c r="EK220" s="712"/>
      <c r="EL220" s="712"/>
      <c r="EM220" s="712"/>
      <c r="EN220" s="712"/>
      <c r="EP220" s="946"/>
    </row>
    <row r="221" spans="7:146" ht="12.75">
      <c r="G221" s="719">
        <v>28</v>
      </c>
      <c r="H221" s="901" t="s">
        <v>628</v>
      </c>
      <c r="BA221" s="720">
        <f t="shared" ref="BA221:BJ223" si="4068">+CV91</f>
        <v>0</v>
      </c>
      <c r="BB221" s="720">
        <f t="shared" si="4068"/>
        <v>0</v>
      </c>
      <c r="BC221" s="720">
        <f t="shared" si="4068"/>
        <v>0</v>
      </c>
      <c r="BD221" s="720">
        <f t="shared" si="4068"/>
        <v>0</v>
      </c>
      <c r="BE221" s="720">
        <f t="shared" si="4068"/>
        <v>0</v>
      </c>
      <c r="BF221" s="720">
        <f t="shared" si="4068"/>
        <v>0</v>
      </c>
      <c r="BG221" s="720">
        <f t="shared" si="4068"/>
        <v>0</v>
      </c>
      <c r="BH221" s="720">
        <f t="shared" si="4068"/>
        <v>0</v>
      </c>
      <c r="BI221" s="720">
        <f t="shared" si="4068"/>
        <v>0</v>
      </c>
      <c r="BJ221" s="720">
        <f t="shared" si="4068"/>
        <v>0</v>
      </c>
      <c r="BK221" s="720">
        <f t="shared" ref="BK221:BT223" si="4069">+DF91</f>
        <v>0</v>
      </c>
      <c r="BL221" s="720">
        <f t="shared" si="4069"/>
        <v>0</v>
      </c>
      <c r="BM221" s="720">
        <f t="shared" si="4069"/>
        <v>0</v>
      </c>
      <c r="BN221" s="720">
        <f t="shared" si="4069"/>
        <v>0</v>
      </c>
      <c r="BO221" s="720">
        <f t="shared" si="4069"/>
        <v>0</v>
      </c>
      <c r="BP221" s="720">
        <f t="shared" si="4069"/>
        <v>0</v>
      </c>
      <c r="BQ221" s="720">
        <f t="shared" si="4069"/>
        <v>0</v>
      </c>
      <c r="BR221" s="720">
        <f t="shared" si="4069"/>
        <v>0</v>
      </c>
      <c r="BS221" s="720">
        <f t="shared" si="4069"/>
        <v>0</v>
      </c>
      <c r="BT221" s="720">
        <f t="shared" si="4069"/>
        <v>0</v>
      </c>
      <c r="BU221" s="720">
        <f t="shared" ref="BU221:CD223" si="4070">+DP91</f>
        <v>0</v>
      </c>
      <c r="BV221" s="720">
        <f t="shared" si="4070"/>
        <v>0</v>
      </c>
      <c r="BW221" s="720">
        <f t="shared" si="4070"/>
        <v>0</v>
      </c>
      <c r="BX221" s="720">
        <f t="shared" si="4070"/>
        <v>0</v>
      </c>
      <c r="BY221" s="720">
        <f t="shared" si="4070"/>
        <v>0</v>
      </c>
      <c r="BZ221" s="720">
        <f t="shared" si="4070"/>
        <v>0</v>
      </c>
      <c r="CA221" s="720">
        <f t="shared" si="4070"/>
        <v>0</v>
      </c>
      <c r="CB221" s="720">
        <f t="shared" si="4070"/>
        <v>0</v>
      </c>
      <c r="CC221" s="720">
        <f t="shared" si="4070"/>
        <v>0</v>
      </c>
      <c r="CD221" s="720">
        <f t="shared" si="4070"/>
        <v>0</v>
      </c>
      <c r="CE221" s="720">
        <f t="shared" ref="CE221:CJ223" si="4071">+DZ91</f>
        <v>0</v>
      </c>
      <c r="CF221" s="720">
        <f t="shared" si="4071"/>
        <v>0</v>
      </c>
      <c r="CG221" s="720">
        <f t="shared" si="4071"/>
        <v>0</v>
      </c>
      <c r="CH221" s="720">
        <f t="shared" si="4071"/>
        <v>0</v>
      </c>
      <c r="CI221" s="720">
        <f t="shared" si="4071"/>
        <v>0</v>
      </c>
      <c r="CJ221" s="720">
        <f t="shared" si="4071"/>
        <v>0</v>
      </c>
      <c r="CL221" s="720" t="s">
        <v>52</v>
      </c>
      <c r="CM221" s="720" t="s">
        <v>52</v>
      </c>
      <c r="CN221" s="720" t="s">
        <v>52</v>
      </c>
      <c r="CO221" s="720" t="s">
        <v>52</v>
      </c>
      <c r="CP221" s="720" t="s">
        <v>52</v>
      </c>
      <c r="CQ221" s="720" t="s">
        <v>52</v>
      </c>
      <c r="CR221" s="720" t="s">
        <v>52</v>
      </c>
      <c r="CS221" s="720" t="s">
        <v>52</v>
      </c>
      <c r="CT221" s="720"/>
      <c r="CV221" s="712"/>
      <c r="CW221" s="712"/>
      <c r="CX221" s="712"/>
      <c r="CY221" s="712"/>
      <c r="CZ221" s="712"/>
      <c r="DA221" s="712"/>
      <c r="DB221" s="712"/>
      <c r="DC221" s="712"/>
      <c r="DD221" s="712"/>
      <c r="DE221" s="712"/>
      <c r="DF221" s="712"/>
      <c r="DG221" s="712"/>
      <c r="DH221" s="712"/>
      <c r="DI221" s="712"/>
      <c r="DJ221" s="712"/>
      <c r="DK221" s="712"/>
      <c r="DL221" s="712"/>
      <c r="DM221" s="712"/>
      <c r="DN221" s="712"/>
      <c r="DO221" s="712"/>
      <c r="DP221" s="712"/>
      <c r="DQ221" s="712"/>
      <c r="DR221" s="712"/>
      <c r="DS221" s="712"/>
      <c r="DT221" s="712"/>
      <c r="DU221" s="712"/>
      <c r="DV221" s="712"/>
      <c r="DW221" s="712"/>
      <c r="DX221" s="712"/>
      <c r="DY221" s="712"/>
      <c r="DZ221" s="712"/>
      <c r="EA221" s="712"/>
      <c r="EB221" s="712"/>
      <c r="EC221" s="712"/>
      <c r="ED221" s="712"/>
      <c r="EE221" s="712"/>
      <c r="EF221" s="712"/>
      <c r="EG221" s="712"/>
      <c r="EH221" s="712"/>
      <c r="EI221" s="712"/>
      <c r="EJ221" s="712"/>
      <c r="EK221" s="712"/>
      <c r="EL221" s="712"/>
      <c r="EM221" s="712"/>
      <c r="EN221" s="712"/>
      <c r="EP221" s="946"/>
    </row>
    <row r="222" spans="7:146" ht="12.75">
      <c r="G222" s="719">
        <v>29</v>
      </c>
      <c r="H222" s="901" t="s">
        <v>630</v>
      </c>
      <c r="BA222" s="720">
        <f t="shared" si="4068"/>
        <v>0</v>
      </c>
      <c r="BB222" s="720">
        <f t="shared" si="4068"/>
        <v>0</v>
      </c>
      <c r="BC222" s="720">
        <f t="shared" si="4068"/>
        <v>0</v>
      </c>
      <c r="BD222" s="720">
        <f t="shared" si="4068"/>
        <v>0</v>
      </c>
      <c r="BE222" s="720">
        <f t="shared" si="4068"/>
        <v>0</v>
      </c>
      <c r="BF222" s="720">
        <f t="shared" si="4068"/>
        <v>0</v>
      </c>
      <c r="BG222" s="720">
        <f t="shared" si="4068"/>
        <v>0</v>
      </c>
      <c r="BH222" s="720">
        <f t="shared" si="4068"/>
        <v>0</v>
      </c>
      <c r="BI222" s="720">
        <f t="shared" si="4068"/>
        <v>0</v>
      </c>
      <c r="BJ222" s="720">
        <f t="shared" si="4068"/>
        <v>0</v>
      </c>
      <c r="BK222" s="720">
        <f t="shared" si="4069"/>
        <v>0</v>
      </c>
      <c r="BL222" s="720">
        <f t="shared" si="4069"/>
        <v>0</v>
      </c>
      <c r="BM222" s="720">
        <f t="shared" si="4069"/>
        <v>0</v>
      </c>
      <c r="BN222" s="720">
        <f t="shared" si="4069"/>
        <v>0</v>
      </c>
      <c r="BO222" s="720">
        <f t="shared" si="4069"/>
        <v>0</v>
      </c>
      <c r="BP222" s="720">
        <f t="shared" si="4069"/>
        <v>0</v>
      </c>
      <c r="BQ222" s="720">
        <f t="shared" si="4069"/>
        <v>0</v>
      </c>
      <c r="BR222" s="720">
        <f t="shared" si="4069"/>
        <v>0</v>
      </c>
      <c r="BS222" s="720">
        <f t="shared" si="4069"/>
        <v>0</v>
      </c>
      <c r="BT222" s="720">
        <f t="shared" si="4069"/>
        <v>0</v>
      </c>
      <c r="BU222" s="720">
        <f t="shared" si="4070"/>
        <v>0</v>
      </c>
      <c r="BV222" s="720">
        <f t="shared" si="4070"/>
        <v>0</v>
      </c>
      <c r="BW222" s="720">
        <f t="shared" si="4070"/>
        <v>0</v>
      </c>
      <c r="BX222" s="720">
        <f t="shared" si="4070"/>
        <v>0</v>
      </c>
      <c r="BY222" s="720">
        <f t="shared" si="4070"/>
        <v>0</v>
      </c>
      <c r="BZ222" s="720">
        <f t="shared" si="4070"/>
        <v>0</v>
      </c>
      <c r="CA222" s="720">
        <f t="shared" si="4070"/>
        <v>0</v>
      </c>
      <c r="CB222" s="720">
        <f t="shared" si="4070"/>
        <v>0</v>
      </c>
      <c r="CC222" s="720">
        <f t="shared" si="4070"/>
        <v>0</v>
      </c>
      <c r="CD222" s="720">
        <f t="shared" si="4070"/>
        <v>0</v>
      </c>
      <c r="CE222" s="720">
        <f t="shared" si="4071"/>
        <v>0</v>
      </c>
      <c r="CF222" s="720">
        <f t="shared" si="4071"/>
        <v>0</v>
      </c>
      <c r="CG222" s="720">
        <f t="shared" si="4071"/>
        <v>0</v>
      </c>
      <c r="CH222" s="720">
        <f t="shared" si="4071"/>
        <v>0</v>
      </c>
      <c r="CI222" s="720">
        <f t="shared" si="4071"/>
        <v>0</v>
      </c>
      <c r="CJ222" s="720">
        <f t="shared" si="4071"/>
        <v>0</v>
      </c>
      <c r="CL222" s="720" t="s">
        <v>52</v>
      </c>
      <c r="CM222" s="720" t="s">
        <v>52</v>
      </c>
      <c r="CN222" s="720" t="s">
        <v>52</v>
      </c>
      <c r="CO222" s="720" t="s">
        <v>52</v>
      </c>
      <c r="CP222" s="720" t="s">
        <v>52</v>
      </c>
      <c r="CQ222" s="720" t="s">
        <v>52</v>
      </c>
      <c r="CR222" s="720" t="s">
        <v>52</v>
      </c>
      <c r="CS222" s="720" t="s">
        <v>52</v>
      </c>
      <c r="CT222" s="720"/>
    </row>
    <row r="223" spans="7:146" ht="12.75">
      <c r="G223" s="719">
        <v>30</v>
      </c>
      <c r="H223" s="901" t="s">
        <v>631</v>
      </c>
      <c r="BA223" s="720">
        <f t="shared" si="4068"/>
        <v>0</v>
      </c>
      <c r="BB223" s="720">
        <f t="shared" si="4068"/>
        <v>0</v>
      </c>
      <c r="BC223" s="720">
        <f t="shared" si="4068"/>
        <v>0</v>
      </c>
      <c r="BD223" s="720">
        <f t="shared" si="4068"/>
        <v>0</v>
      </c>
      <c r="BE223" s="720">
        <f t="shared" si="4068"/>
        <v>0</v>
      </c>
      <c r="BF223" s="720">
        <f t="shared" si="4068"/>
        <v>0</v>
      </c>
      <c r="BG223" s="720">
        <f t="shared" si="4068"/>
        <v>0</v>
      </c>
      <c r="BH223" s="720">
        <f t="shared" si="4068"/>
        <v>0</v>
      </c>
      <c r="BI223" s="720">
        <f t="shared" si="4068"/>
        <v>0</v>
      </c>
      <c r="BJ223" s="720">
        <f t="shared" si="4068"/>
        <v>0</v>
      </c>
      <c r="BK223" s="720">
        <f t="shared" si="4069"/>
        <v>0</v>
      </c>
      <c r="BL223" s="720">
        <f t="shared" si="4069"/>
        <v>0</v>
      </c>
      <c r="BM223" s="720">
        <f t="shared" si="4069"/>
        <v>0</v>
      </c>
      <c r="BN223" s="720">
        <f t="shared" si="4069"/>
        <v>0</v>
      </c>
      <c r="BO223" s="720">
        <f t="shared" si="4069"/>
        <v>0</v>
      </c>
      <c r="BP223" s="720">
        <f t="shared" si="4069"/>
        <v>0</v>
      </c>
      <c r="BQ223" s="720">
        <f t="shared" si="4069"/>
        <v>0</v>
      </c>
      <c r="BR223" s="720">
        <f t="shared" si="4069"/>
        <v>0</v>
      </c>
      <c r="BS223" s="720">
        <f t="shared" si="4069"/>
        <v>0</v>
      </c>
      <c r="BT223" s="720">
        <f t="shared" si="4069"/>
        <v>0</v>
      </c>
      <c r="BU223" s="720">
        <f t="shared" si="4070"/>
        <v>0</v>
      </c>
      <c r="BV223" s="720">
        <f t="shared" si="4070"/>
        <v>0</v>
      </c>
      <c r="BW223" s="720">
        <f t="shared" si="4070"/>
        <v>0</v>
      </c>
      <c r="BX223" s="720">
        <f t="shared" si="4070"/>
        <v>0</v>
      </c>
      <c r="BY223" s="720">
        <f t="shared" si="4070"/>
        <v>0</v>
      </c>
      <c r="BZ223" s="720">
        <f t="shared" si="4070"/>
        <v>0</v>
      </c>
      <c r="CA223" s="720">
        <f t="shared" si="4070"/>
        <v>0</v>
      </c>
      <c r="CB223" s="720">
        <f t="shared" si="4070"/>
        <v>0</v>
      </c>
      <c r="CC223" s="720">
        <f t="shared" si="4070"/>
        <v>0</v>
      </c>
      <c r="CD223" s="720">
        <f t="shared" si="4070"/>
        <v>0</v>
      </c>
      <c r="CE223" s="720">
        <f t="shared" si="4071"/>
        <v>0</v>
      </c>
      <c r="CF223" s="720">
        <f t="shared" si="4071"/>
        <v>0</v>
      </c>
      <c r="CG223" s="720">
        <f t="shared" si="4071"/>
        <v>0</v>
      </c>
      <c r="CH223" s="720">
        <f t="shared" si="4071"/>
        <v>0</v>
      </c>
      <c r="CI223" s="720">
        <f t="shared" si="4071"/>
        <v>0</v>
      </c>
      <c r="CJ223" s="720">
        <f t="shared" si="4071"/>
        <v>0</v>
      </c>
      <c r="CL223" s="720" t="s">
        <v>52</v>
      </c>
      <c r="CM223" s="720" t="s">
        <v>52</v>
      </c>
      <c r="CN223" s="720" t="s">
        <v>52</v>
      </c>
      <c r="CO223" s="720" t="s">
        <v>52</v>
      </c>
      <c r="CP223" s="720" t="s">
        <v>52</v>
      </c>
      <c r="CQ223" s="720" t="s">
        <v>52</v>
      </c>
      <c r="CR223" s="720" t="s">
        <v>52</v>
      </c>
      <c r="CS223" s="720" t="s">
        <v>52</v>
      </c>
      <c r="CT223" s="720"/>
    </row>
    <row r="224" spans="7:146" ht="12.75">
      <c r="G224" s="719">
        <v>31</v>
      </c>
      <c r="H224" s="901" t="s">
        <v>632</v>
      </c>
      <c r="CK224" s="720" t="s">
        <v>52</v>
      </c>
      <c r="CL224" s="720" t="s">
        <v>52</v>
      </c>
      <c r="CM224" s="720" t="s">
        <v>52</v>
      </c>
      <c r="CN224" s="720" t="s">
        <v>52</v>
      </c>
      <c r="CO224" s="720" t="s">
        <v>52</v>
      </c>
      <c r="CP224" s="720" t="s">
        <v>52</v>
      </c>
      <c r="CQ224" s="720" t="s">
        <v>52</v>
      </c>
      <c r="CR224" s="720" t="s">
        <v>52</v>
      </c>
      <c r="CS224" s="720" t="s">
        <v>52</v>
      </c>
      <c r="CT224" s="720"/>
    </row>
    <row r="225" spans="7:266" ht="12.75">
      <c r="G225" s="719">
        <v>32</v>
      </c>
      <c r="H225" s="901"/>
      <c r="CT225" s="720"/>
    </row>
    <row r="226" spans="7:266" ht="12.75">
      <c r="G226" s="719">
        <v>33</v>
      </c>
      <c r="H226" s="714" t="s">
        <v>633</v>
      </c>
      <c r="CT226" s="720"/>
    </row>
    <row r="227" spans="7:266" ht="12.75">
      <c r="G227" s="719">
        <v>34</v>
      </c>
      <c r="H227" s="901" t="s">
        <v>634</v>
      </c>
      <c r="BA227" s="720">
        <f t="shared" ref="BA227:BJ230" si="4072">+CV97</f>
        <v>0</v>
      </c>
      <c r="BB227" s="720">
        <f t="shared" si="4072"/>
        <v>0</v>
      </c>
      <c r="BC227" s="720">
        <f t="shared" si="4072"/>
        <v>0</v>
      </c>
      <c r="BD227" s="720">
        <f t="shared" si="4072"/>
        <v>0</v>
      </c>
      <c r="BE227" s="720">
        <f t="shared" si="4072"/>
        <v>0</v>
      </c>
      <c r="BF227" s="720">
        <f t="shared" si="4072"/>
        <v>0</v>
      </c>
      <c r="BG227" s="720">
        <f t="shared" si="4072"/>
        <v>0</v>
      </c>
      <c r="BH227" s="720">
        <f t="shared" si="4072"/>
        <v>0</v>
      </c>
      <c r="BI227" s="720">
        <f t="shared" si="4072"/>
        <v>0</v>
      </c>
      <c r="BJ227" s="720">
        <f t="shared" si="4072"/>
        <v>0</v>
      </c>
      <c r="BK227" s="720">
        <f t="shared" ref="BK227:BT230" si="4073">+DF97</f>
        <v>0</v>
      </c>
      <c r="BL227" s="720">
        <f t="shared" si="4073"/>
        <v>0</v>
      </c>
      <c r="BM227" s="720">
        <f t="shared" si="4073"/>
        <v>0</v>
      </c>
      <c r="BN227" s="720">
        <f t="shared" si="4073"/>
        <v>0</v>
      </c>
      <c r="BO227" s="720">
        <f t="shared" si="4073"/>
        <v>0</v>
      </c>
      <c r="BP227" s="720">
        <f t="shared" si="4073"/>
        <v>0</v>
      </c>
      <c r="BQ227" s="720">
        <f t="shared" si="4073"/>
        <v>0</v>
      </c>
      <c r="BR227" s="720">
        <f t="shared" si="4073"/>
        <v>0</v>
      </c>
      <c r="BS227" s="720">
        <f t="shared" si="4073"/>
        <v>0</v>
      </c>
      <c r="BT227" s="720">
        <f t="shared" si="4073"/>
        <v>0</v>
      </c>
      <c r="BU227" s="720">
        <f t="shared" ref="BU227:CD230" si="4074">+DP97</f>
        <v>0</v>
      </c>
      <c r="BV227" s="720">
        <f t="shared" si="4074"/>
        <v>0</v>
      </c>
      <c r="BW227" s="720">
        <f t="shared" si="4074"/>
        <v>0</v>
      </c>
      <c r="BX227" s="720">
        <f t="shared" si="4074"/>
        <v>0</v>
      </c>
      <c r="BY227" s="720">
        <f t="shared" si="4074"/>
        <v>0</v>
      </c>
      <c r="BZ227" s="720">
        <f t="shared" si="4074"/>
        <v>0</v>
      </c>
      <c r="CA227" s="720">
        <f t="shared" si="4074"/>
        <v>0</v>
      </c>
      <c r="CB227" s="720">
        <f t="shared" si="4074"/>
        <v>0</v>
      </c>
      <c r="CC227" s="720">
        <f t="shared" si="4074"/>
        <v>0</v>
      </c>
      <c r="CD227" s="720">
        <f t="shared" si="4074"/>
        <v>0</v>
      </c>
      <c r="CE227" s="720">
        <f t="shared" ref="CE227:CJ230" si="4075">+DZ97</f>
        <v>0</v>
      </c>
      <c r="CF227" s="720">
        <f t="shared" si="4075"/>
        <v>0</v>
      </c>
      <c r="CG227" s="720">
        <f t="shared" si="4075"/>
        <v>0</v>
      </c>
      <c r="CH227" s="720">
        <f t="shared" si="4075"/>
        <v>0</v>
      </c>
      <c r="CI227" s="720">
        <f t="shared" si="4075"/>
        <v>0</v>
      </c>
      <c r="CJ227" s="720">
        <f t="shared" si="4075"/>
        <v>0</v>
      </c>
      <c r="CT227" s="720"/>
      <c r="CU227" s="720"/>
    </row>
    <row r="228" spans="7:266" ht="12.75">
      <c r="G228" s="719">
        <v>35</v>
      </c>
      <c r="H228" s="901" t="s">
        <v>635</v>
      </c>
      <c r="BA228" s="720">
        <f t="shared" si="4072"/>
        <v>0</v>
      </c>
      <c r="BB228" s="720">
        <f t="shared" si="4072"/>
        <v>0</v>
      </c>
      <c r="BC228" s="720">
        <f t="shared" si="4072"/>
        <v>0</v>
      </c>
      <c r="BD228" s="720">
        <f t="shared" si="4072"/>
        <v>0</v>
      </c>
      <c r="BE228" s="720">
        <f t="shared" si="4072"/>
        <v>0</v>
      </c>
      <c r="BF228" s="720">
        <f t="shared" si="4072"/>
        <v>0</v>
      </c>
      <c r="BG228" s="720">
        <f t="shared" si="4072"/>
        <v>0</v>
      </c>
      <c r="BH228" s="720">
        <f t="shared" si="4072"/>
        <v>0</v>
      </c>
      <c r="BI228" s="720">
        <f t="shared" si="4072"/>
        <v>0</v>
      </c>
      <c r="BJ228" s="720">
        <f t="shared" si="4072"/>
        <v>0</v>
      </c>
      <c r="BK228" s="720">
        <f t="shared" si="4073"/>
        <v>0</v>
      </c>
      <c r="BL228" s="720">
        <f t="shared" si="4073"/>
        <v>0</v>
      </c>
      <c r="BM228" s="720">
        <f t="shared" si="4073"/>
        <v>0</v>
      </c>
      <c r="BN228" s="720">
        <f t="shared" si="4073"/>
        <v>0</v>
      </c>
      <c r="BO228" s="720">
        <f t="shared" si="4073"/>
        <v>0</v>
      </c>
      <c r="BP228" s="720">
        <f t="shared" si="4073"/>
        <v>0</v>
      </c>
      <c r="BQ228" s="720">
        <f t="shared" si="4073"/>
        <v>0</v>
      </c>
      <c r="BR228" s="720">
        <f t="shared" si="4073"/>
        <v>0</v>
      </c>
      <c r="BS228" s="720">
        <f t="shared" si="4073"/>
        <v>0</v>
      </c>
      <c r="BT228" s="720">
        <f t="shared" si="4073"/>
        <v>0</v>
      </c>
      <c r="BU228" s="720">
        <f t="shared" si="4074"/>
        <v>0</v>
      </c>
      <c r="BV228" s="720">
        <f t="shared" si="4074"/>
        <v>0</v>
      </c>
      <c r="BW228" s="720">
        <f t="shared" si="4074"/>
        <v>0</v>
      </c>
      <c r="BX228" s="720">
        <f t="shared" si="4074"/>
        <v>0</v>
      </c>
      <c r="BY228" s="720">
        <f t="shared" si="4074"/>
        <v>0</v>
      </c>
      <c r="BZ228" s="720">
        <f t="shared" si="4074"/>
        <v>0</v>
      </c>
      <c r="CA228" s="720">
        <f t="shared" si="4074"/>
        <v>0</v>
      </c>
      <c r="CB228" s="720">
        <f t="shared" si="4074"/>
        <v>0</v>
      </c>
      <c r="CC228" s="720">
        <f t="shared" si="4074"/>
        <v>0</v>
      </c>
      <c r="CD228" s="720">
        <f t="shared" si="4074"/>
        <v>0</v>
      </c>
      <c r="CE228" s="720">
        <f t="shared" si="4075"/>
        <v>0</v>
      </c>
      <c r="CF228" s="720">
        <f t="shared" si="4075"/>
        <v>0</v>
      </c>
      <c r="CG228" s="720">
        <f t="shared" si="4075"/>
        <v>0</v>
      </c>
      <c r="CH228" s="720">
        <f t="shared" si="4075"/>
        <v>0</v>
      </c>
      <c r="CI228" s="720">
        <f t="shared" si="4075"/>
        <v>0</v>
      </c>
      <c r="CJ228" s="720">
        <f t="shared" si="4075"/>
        <v>0</v>
      </c>
      <c r="CT228" s="720"/>
    </row>
    <row r="229" spans="7:266" ht="12.75">
      <c r="G229" s="719">
        <v>36</v>
      </c>
      <c r="H229" s="901" t="s">
        <v>159</v>
      </c>
      <c r="BA229" s="720">
        <f t="shared" si="4072"/>
        <v>0</v>
      </c>
      <c r="BB229" s="720">
        <f t="shared" si="4072"/>
        <v>0</v>
      </c>
      <c r="BC229" s="720">
        <f t="shared" si="4072"/>
        <v>0</v>
      </c>
      <c r="BD229" s="720">
        <f t="shared" si="4072"/>
        <v>0</v>
      </c>
      <c r="BE229" s="720">
        <f t="shared" si="4072"/>
        <v>0</v>
      </c>
      <c r="BF229" s="720">
        <f t="shared" si="4072"/>
        <v>0</v>
      </c>
      <c r="BG229" s="720">
        <f t="shared" si="4072"/>
        <v>0</v>
      </c>
      <c r="BH229" s="720">
        <f t="shared" si="4072"/>
        <v>0</v>
      </c>
      <c r="BI229" s="720">
        <f t="shared" si="4072"/>
        <v>0</v>
      </c>
      <c r="BJ229" s="720">
        <f t="shared" si="4072"/>
        <v>0</v>
      </c>
      <c r="BK229" s="720">
        <f t="shared" si="4073"/>
        <v>0</v>
      </c>
      <c r="BL229" s="720">
        <f t="shared" si="4073"/>
        <v>0</v>
      </c>
      <c r="BM229" s="720">
        <f t="shared" si="4073"/>
        <v>0</v>
      </c>
      <c r="BN229" s="720">
        <f t="shared" si="4073"/>
        <v>0</v>
      </c>
      <c r="BO229" s="720">
        <f t="shared" si="4073"/>
        <v>0</v>
      </c>
      <c r="BP229" s="720">
        <f t="shared" si="4073"/>
        <v>0</v>
      </c>
      <c r="BQ229" s="720">
        <f t="shared" si="4073"/>
        <v>0</v>
      </c>
      <c r="BR229" s="720">
        <f t="shared" si="4073"/>
        <v>0</v>
      </c>
      <c r="BS229" s="720">
        <f t="shared" si="4073"/>
        <v>0</v>
      </c>
      <c r="BT229" s="720">
        <f t="shared" si="4073"/>
        <v>0</v>
      </c>
      <c r="BU229" s="720">
        <f t="shared" si="4074"/>
        <v>0</v>
      </c>
      <c r="BV229" s="720">
        <f t="shared" si="4074"/>
        <v>0</v>
      </c>
      <c r="BW229" s="720">
        <f t="shared" si="4074"/>
        <v>0</v>
      </c>
      <c r="BX229" s="720">
        <f t="shared" si="4074"/>
        <v>0</v>
      </c>
      <c r="BY229" s="720">
        <f t="shared" si="4074"/>
        <v>0</v>
      </c>
      <c r="BZ229" s="720">
        <f t="shared" si="4074"/>
        <v>0</v>
      </c>
      <c r="CA229" s="720">
        <f t="shared" si="4074"/>
        <v>0</v>
      </c>
      <c r="CB229" s="720">
        <f t="shared" si="4074"/>
        <v>0</v>
      </c>
      <c r="CC229" s="720">
        <f t="shared" si="4074"/>
        <v>0</v>
      </c>
      <c r="CD229" s="720">
        <f t="shared" si="4074"/>
        <v>0</v>
      </c>
      <c r="CE229" s="720">
        <f t="shared" si="4075"/>
        <v>0</v>
      </c>
      <c r="CF229" s="720">
        <f t="shared" si="4075"/>
        <v>0</v>
      </c>
      <c r="CG229" s="720">
        <f t="shared" si="4075"/>
        <v>0</v>
      </c>
      <c r="CH229" s="720">
        <f t="shared" si="4075"/>
        <v>0</v>
      </c>
      <c r="CI229" s="720">
        <f t="shared" si="4075"/>
        <v>0</v>
      </c>
      <c r="CJ229" s="720">
        <f t="shared" si="4075"/>
        <v>0</v>
      </c>
      <c r="CT229" s="720"/>
    </row>
    <row r="230" spans="7:266" ht="12.75">
      <c r="G230" s="719">
        <v>37</v>
      </c>
      <c r="H230" s="901" t="s">
        <v>622</v>
      </c>
      <c r="BA230" s="720">
        <f t="shared" si="4072"/>
        <v>0</v>
      </c>
      <c r="BB230" s="720">
        <f t="shared" si="4072"/>
        <v>0</v>
      </c>
      <c r="BC230" s="720">
        <f t="shared" si="4072"/>
        <v>0</v>
      </c>
      <c r="BD230" s="720">
        <f t="shared" si="4072"/>
        <v>0</v>
      </c>
      <c r="BE230" s="720">
        <f t="shared" si="4072"/>
        <v>0</v>
      </c>
      <c r="BF230" s="720">
        <f t="shared" si="4072"/>
        <v>0</v>
      </c>
      <c r="BG230" s="720">
        <f t="shared" si="4072"/>
        <v>0</v>
      </c>
      <c r="BH230" s="720">
        <f t="shared" si="4072"/>
        <v>0</v>
      </c>
      <c r="BI230" s="720">
        <f t="shared" si="4072"/>
        <v>0</v>
      </c>
      <c r="BJ230" s="720">
        <f t="shared" si="4072"/>
        <v>0</v>
      </c>
      <c r="BK230" s="720">
        <f t="shared" si="4073"/>
        <v>0</v>
      </c>
      <c r="BL230" s="720">
        <f t="shared" si="4073"/>
        <v>0</v>
      </c>
      <c r="BM230" s="720">
        <f t="shared" si="4073"/>
        <v>0</v>
      </c>
      <c r="BN230" s="720">
        <f t="shared" si="4073"/>
        <v>0</v>
      </c>
      <c r="BO230" s="720">
        <f t="shared" si="4073"/>
        <v>0</v>
      </c>
      <c r="BP230" s="720">
        <f t="shared" si="4073"/>
        <v>0</v>
      </c>
      <c r="BQ230" s="720">
        <f t="shared" si="4073"/>
        <v>0</v>
      </c>
      <c r="BR230" s="720">
        <f t="shared" si="4073"/>
        <v>0</v>
      </c>
      <c r="BS230" s="720">
        <f t="shared" si="4073"/>
        <v>0</v>
      </c>
      <c r="BT230" s="720">
        <f t="shared" si="4073"/>
        <v>0</v>
      </c>
      <c r="BU230" s="720">
        <f t="shared" si="4074"/>
        <v>0</v>
      </c>
      <c r="BV230" s="720">
        <f t="shared" si="4074"/>
        <v>0</v>
      </c>
      <c r="BW230" s="720">
        <f t="shared" si="4074"/>
        <v>0</v>
      </c>
      <c r="BX230" s="720">
        <f t="shared" si="4074"/>
        <v>0</v>
      </c>
      <c r="BY230" s="720">
        <f t="shared" si="4074"/>
        <v>0</v>
      </c>
      <c r="BZ230" s="720">
        <f t="shared" si="4074"/>
        <v>0</v>
      </c>
      <c r="CA230" s="720">
        <f t="shared" si="4074"/>
        <v>0</v>
      </c>
      <c r="CB230" s="720">
        <f t="shared" si="4074"/>
        <v>0</v>
      </c>
      <c r="CC230" s="720">
        <f t="shared" si="4074"/>
        <v>0</v>
      </c>
      <c r="CD230" s="720">
        <f t="shared" si="4074"/>
        <v>0</v>
      </c>
      <c r="CE230" s="720">
        <f t="shared" si="4075"/>
        <v>0</v>
      </c>
      <c r="CF230" s="720">
        <f t="shared" si="4075"/>
        <v>0</v>
      </c>
      <c r="CG230" s="720">
        <f t="shared" si="4075"/>
        <v>0</v>
      </c>
      <c r="CH230" s="720">
        <f t="shared" si="4075"/>
        <v>0</v>
      </c>
      <c r="CI230" s="720">
        <f t="shared" si="4075"/>
        <v>0</v>
      </c>
      <c r="CJ230" s="720">
        <f t="shared" si="4075"/>
        <v>0</v>
      </c>
      <c r="CT230" s="720"/>
    </row>
    <row r="231" spans="7:266" ht="12.75">
      <c r="G231" s="719">
        <v>38</v>
      </c>
      <c r="H231" s="714" t="s">
        <v>664</v>
      </c>
      <c r="CT231" s="720"/>
    </row>
    <row r="232" spans="7:266" ht="12.75">
      <c r="G232" s="719">
        <v>39</v>
      </c>
      <c r="H232" s="901" t="s">
        <v>627</v>
      </c>
      <c r="BA232" s="720">
        <f t="shared" ref="BA232:BJ233" si="4076">+CV102</f>
        <v>0</v>
      </c>
      <c r="BB232" s="720">
        <f t="shared" si="4076"/>
        <v>0</v>
      </c>
      <c r="BC232" s="720">
        <f t="shared" si="4076"/>
        <v>0</v>
      </c>
      <c r="BD232" s="720">
        <f t="shared" si="4076"/>
        <v>0</v>
      </c>
      <c r="BE232" s="720">
        <f t="shared" si="4076"/>
        <v>0</v>
      </c>
      <c r="BF232" s="720">
        <f t="shared" si="4076"/>
        <v>0</v>
      </c>
      <c r="BG232" s="720">
        <f t="shared" si="4076"/>
        <v>0</v>
      </c>
      <c r="BH232" s="720">
        <f t="shared" si="4076"/>
        <v>0</v>
      </c>
      <c r="BI232" s="720">
        <f t="shared" si="4076"/>
        <v>0</v>
      </c>
      <c r="BJ232" s="720">
        <f t="shared" si="4076"/>
        <v>0</v>
      </c>
      <c r="BK232" s="720">
        <f t="shared" ref="BK232:BT233" si="4077">+DF102</f>
        <v>0</v>
      </c>
      <c r="BL232" s="720">
        <f t="shared" si="4077"/>
        <v>0</v>
      </c>
      <c r="BM232" s="720">
        <f t="shared" si="4077"/>
        <v>0</v>
      </c>
      <c r="BN232" s="720">
        <f t="shared" si="4077"/>
        <v>0</v>
      </c>
      <c r="BO232" s="720">
        <f t="shared" si="4077"/>
        <v>0</v>
      </c>
      <c r="BP232" s="720">
        <f t="shared" si="4077"/>
        <v>0</v>
      </c>
      <c r="BQ232" s="720">
        <f t="shared" si="4077"/>
        <v>0</v>
      </c>
      <c r="BR232" s="720">
        <f t="shared" si="4077"/>
        <v>0</v>
      </c>
      <c r="BS232" s="720">
        <f t="shared" si="4077"/>
        <v>0</v>
      </c>
      <c r="BT232" s="720">
        <f t="shared" si="4077"/>
        <v>0</v>
      </c>
      <c r="BU232" s="720">
        <f t="shared" ref="BU232:CD233" si="4078">+DP102</f>
        <v>0</v>
      </c>
      <c r="BV232" s="720">
        <f t="shared" si="4078"/>
        <v>0</v>
      </c>
      <c r="BW232" s="720">
        <f t="shared" si="4078"/>
        <v>0</v>
      </c>
      <c r="BX232" s="720">
        <f t="shared" si="4078"/>
        <v>0</v>
      </c>
      <c r="BY232" s="720">
        <f t="shared" si="4078"/>
        <v>0</v>
      </c>
      <c r="BZ232" s="720">
        <f t="shared" si="4078"/>
        <v>0</v>
      </c>
      <c r="CA232" s="720">
        <f t="shared" si="4078"/>
        <v>0</v>
      </c>
      <c r="CB232" s="720">
        <f t="shared" si="4078"/>
        <v>0</v>
      </c>
      <c r="CC232" s="720">
        <f t="shared" si="4078"/>
        <v>0</v>
      </c>
      <c r="CD232" s="720">
        <f t="shared" si="4078"/>
        <v>0</v>
      </c>
      <c r="CE232" s="720">
        <f t="shared" ref="CE232:CJ233" si="4079">+DZ102</f>
        <v>0</v>
      </c>
      <c r="CF232" s="720">
        <f t="shared" si="4079"/>
        <v>0</v>
      </c>
      <c r="CG232" s="720">
        <f t="shared" si="4079"/>
        <v>0</v>
      </c>
      <c r="CH232" s="720">
        <f t="shared" si="4079"/>
        <v>0</v>
      </c>
      <c r="CI232" s="720">
        <f t="shared" si="4079"/>
        <v>0</v>
      </c>
      <c r="CJ232" s="720">
        <f t="shared" si="4079"/>
        <v>0</v>
      </c>
      <c r="CT232" s="720"/>
    </row>
    <row r="233" spans="7:266" ht="12.75">
      <c r="G233" s="719">
        <v>40</v>
      </c>
      <c r="H233" s="901" t="s">
        <v>665</v>
      </c>
      <c r="BA233" s="720">
        <f t="shared" si="4076"/>
        <v>0</v>
      </c>
      <c r="BB233" s="720">
        <f t="shared" si="4076"/>
        <v>0</v>
      </c>
      <c r="BC233" s="720">
        <f t="shared" si="4076"/>
        <v>0</v>
      </c>
      <c r="BD233" s="720">
        <f t="shared" si="4076"/>
        <v>0</v>
      </c>
      <c r="BE233" s="720">
        <f t="shared" si="4076"/>
        <v>0</v>
      </c>
      <c r="BF233" s="720">
        <f t="shared" si="4076"/>
        <v>0</v>
      </c>
      <c r="BG233" s="720">
        <f t="shared" si="4076"/>
        <v>0</v>
      </c>
      <c r="BH233" s="720">
        <f t="shared" si="4076"/>
        <v>0</v>
      </c>
      <c r="BI233" s="720">
        <f t="shared" si="4076"/>
        <v>0</v>
      </c>
      <c r="BJ233" s="720">
        <f t="shared" si="4076"/>
        <v>0</v>
      </c>
      <c r="BK233" s="720">
        <f t="shared" si="4077"/>
        <v>0</v>
      </c>
      <c r="BL233" s="720">
        <f t="shared" si="4077"/>
        <v>0</v>
      </c>
      <c r="BM233" s="720">
        <f t="shared" si="4077"/>
        <v>0</v>
      </c>
      <c r="BN233" s="720">
        <f t="shared" si="4077"/>
        <v>0</v>
      </c>
      <c r="BO233" s="720">
        <f t="shared" si="4077"/>
        <v>0</v>
      </c>
      <c r="BP233" s="720">
        <f t="shared" si="4077"/>
        <v>0</v>
      </c>
      <c r="BQ233" s="720">
        <f t="shared" si="4077"/>
        <v>0</v>
      </c>
      <c r="BR233" s="720">
        <f t="shared" si="4077"/>
        <v>0</v>
      </c>
      <c r="BS233" s="720">
        <f t="shared" si="4077"/>
        <v>0</v>
      </c>
      <c r="BT233" s="720">
        <f t="shared" si="4077"/>
        <v>0</v>
      </c>
      <c r="BU233" s="720">
        <f t="shared" si="4078"/>
        <v>0</v>
      </c>
      <c r="BV233" s="720">
        <f t="shared" si="4078"/>
        <v>0</v>
      </c>
      <c r="BW233" s="720">
        <f t="shared" si="4078"/>
        <v>0</v>
      </c>
      <c r="BX233" s="720">
        <f t="shared" si="4078"/>
        <v>0</v>
      </c>
      <c r="BY233" s="720">
        <f t="shared" si="4078"/>
        <v>0</v>
      </c>
      <c r="BZ233" s="720">
        <f t="shared" si="4078"/>
        <v>0</v>
      </c>
      <c r="CA233" s="720">
        <f t="shared" si="4078"/>
        <v>0</v>
      </c>
      <c r="CB233" s="720">
        <f t="shared" si="4078"/>
        <v>0</v>
      </c>
      <c r="CC233" s="720">
        <f t="shared" si="4078"/>
        <v>0</v>
      </c>
      <c r="CD233" s="720">
        <f t="shared" si="4078"/>
        <v>0</v>
      </c>
      <c r="CE233" s="720">
        <f t="shared" si="4079"/>
        <v>0</v>
      </c>
      <c r="CF233" s="720">
        <f t="shared" si="4079"/>
        <v>0</v>
      </c>
      <c r="CG233" s="720">
        <f t="shared" si="4079"/>
        <v>0</v>
      </c>
      <c r="CH233" s="720">
        <f t="shared" si="4079"/>
        <v>0</v>
      </c>
      <c r="CI233" s="720">
        <f t="shared" si="4079"/>
        <v>0</v>
      </c>
      <c r="CJ233" s="720">
        <f t="shared" si="4079"/>
        <v>0</v>
      </c>
      <c r="CT233" s="720"/>
    </row>
    <row r="234" spans="7:266" ht="13.5" thickBot="1">
      <c r="H234" s="903" t="s">
        <v>171</v>
      </c>
      <c r="I234" s="902"/>
      <c r="J234" s="904"/>
      <c r="K234" s="904"/>
      <c r="L234" s="904"/>
      <c r="M234" s="904"/>
      <c r="N234" s="905"/>
      <c r="O234" s="905"/>
      <c r="P234" s="905"/>
      <c r="Q234" s="905"/>
      <c r="R234" s="905"/>
      <c r="S234" s="905"/>
      <c r="T234" s="904"/>
      <c r="U234" s="904"/>
      <c r="V234" s="904"/>
      <c r="W234" s="904"/>
      <c r="X234" s="904"/>
      <c r="Y234" s="904"/>
      <c r="Z234" s="904"/>
      <c r="AA234" s="904"/>
      <c r="AB234" s="904"/>
      <c r="AC234" s="904"/>
      <c r="AD234" s="904"/>
      <c r="AE234" s="904"/>
      <c r="AF234" s="904"/>
      <c r="AG234" s="904"/>
      <c r="AH234" s="904"/>
      <c r="AI234" s="904"/>
      <c r="AJ234" s="904"/>
      <c r="AK234" s="806"/>
      <c r="AL234" s="806"/>
      <c r="AM234" s="806"/>
      <c r="AN234" s="806"/>
      <c r="AO234" s="904"/>
      <c r="AP234" s="904"/>
      <c r="AQ234" s="904"/>
      <c r="AR234" s="904"/>
      <c r="AS234" s="904"/>
      <c r="AT234" s="904"/>
      <c r="AU234" s="904"/>
      <c r="AV234" s="904"/>
      <c r="AW234" s="904"/>
      <c r="AX234" s="904"/>
      <c r="AY234" s="904"/>
      <c r="AZ234" s="902"/>
      <c r="BA234" s="906">
        <f>SUM(BA194:BA233)</f>
        <v>0</v>
      </c>
      <c r="BB234" s="906">
        <f>SUM(BB194:BB233)</f>
        <v>0</v>
      </c>
      <c r="BC234" s="906">
        <f t="shared" ref="BC234:CS234" si="4080">SUM(BC194:BC233)</f>
        <v>0</v>
      </c>
      <c r="BD234" s="906">
        <f t="shared" si="4080"/>
        <v>0</v>
      </c>
      <c r="BE234" s="906">
        <f t="shared" si="4080"/>
        <v>0</v>
      </c>
      <c r="BF234" s="906">
        <f t="shared" si="4080"/>
        <v>0</v>
      </c>
      <c r="BG234" s="906">
        <f t="shared" si="4080"/>
        <v>0</v>
      </c>
      <c r="BH234" s="906">
        <f t="shared" si="4080"/>
        <v>0</v>
      </c>
      <c r="BI234" s="906">
        <f t="shared" si="4080"/>
        <v>0</v>
      </c>
      <c r="BJ234" s="906">
        <f>SUM(BJ194:BJ233)</f>
        <v>0</v>
      </c>
      <c r="BK234" s="906">
        <f t="shared" si="4080"/>
        <v>0</v>
      </c>
      <c r="BL234" s="906">
        <f t="shared" si="4080"/>
        <v>0</v>
      </c>
      <c r="BM234" s="906">
        <f t="shared" si="4080"/>
        <v>0</v>
      </c>
      <c r="BN234" s="906">
        <f t="shared" si="4080"/>
        <v>0</v>
      </c>
      <c r="BO234" s="906">
        <f t="shared" si="4080"/>
        <v>0</v>
      </c>
      <c r="BP234" s="906">
        <f t="shared" si="4080"/>
        <v>0</v>
      </c>
      <c r="BQ234" s="906">
        <f t="shared" si="4080"/>
        <v>0</v>
      </c>
      <c r="BR234" s="906">
        <f t="shared" si="4080"/>
        <v>0</v>
      </c>
      <c r="BS234" s="906">
        <f t="shared" si="4080"/>
        <v>0</v>
      </c>
      <c r="BT234" s="906">
        <f t="shared" si="4080"/>
        <v>0</v>
      </c>
      <c r="BU234" s="906">
        <f t="shared" si="4080"/>
        <v>0</v>
      </c>
      <c r="BV234" s="906">
        <f t="shared" si="4080"/>
        <v>0</v>
      </c>
      <c r="BW234" s="906">
        <f t="shared" si="4080"/>
        <v>0</v>
      </c>
      <c r="BX234" s="906">
        <f t="shared" si="4080"/>
        <v>0</v>
      </c>
      <c r="BY234" s="906">
        <f t="shared" si="4080"/>
        <v>0</v>
      </c>
      <c r="BZ234" s="906">
        <f t="shared" si="4080"/>
        <v>0</v>
      </c>
      <c r="CA234" s="906">
        <f t="shared" si="4080"/>
        <v>0</v>
      </c>
      <c r="CB234" s="906">
        <f t="shared" si="4080"/>
        <v>0</v>
      </c>
      <c r="CC234" s="906">
        <f t="shared" si="4080"/>
        <v>0</v>
      </c>
      <c r="CD234" s="906">
        <f t="shared" si="4080"/>
        <v>0</v>
      </c>
      <c r="CE234" s="906">
        <f t="shared" si="4080"/>
        <v>0</v>
      </c>
      <c r="CF234" s="906">
        <f t="shared" si="4080"/>
        <v>0</v>
      </c>
      <c r="CG234" s="906">
        <f t="shared" si="4080"/>
        <v>0</v>
      </c>
      <c r="CH234" s="906">
        <f t="shared" si="4080"/>
        <v>0</v>
      </c>
      <c r="CI234" s="906">
        <f t="shared" si="4080"/>
        <v>0</v>
      </c>
      <c r="CJ234" s="906">
        <f t="shared" si="4080"/>
        <v>0</v>
      </c>
      <c r="CK234" s="906">
        <f>SUM(CK194:CK233)</f>
        <v>286457.98566666665</v>
      </c>
      <c r="CL234" s="906">
        <f t="shared" si="4080"/>
        <v>93181.031999999992</v>
      </c>
      <c r="CM234" s="906">
        <f t="shared" si="4080"/>
        <v>383.5</v>
      </c>
      <c r="CN234" s="906">
        <f t="shared" si="4080"/>
        <v>10358.521500000001</v>
      </c>
      <c r="CO234" s="906">
        <f t="shared" si="4080"/>
        <v>0</v>
      </c>
      <c r="CP234" s="906">
        <f t="shared" si="4080"/>
        <v>0</v>
      </c>
      <c r="CQ234" s="906">
        <f t="shared" si="4080"/>
        <v>700</v>
      </c>
      <c r="CR234" s="906">
        <f t="shared" si="4080"/>
        <v>37671.840069856669</v>
      </c>
      <c r="CS234" s="906">
        <f t="shared" si="4080"/>
        <v>428369.37923652329</v>
      </c>
      <c r="CT234" s="902"/>
      <c r="CU234" s="902"/>
      <c r="CV234" s="904"/>
      <c r="CW234" s="904"/>
      <c r="CX234" s="904"/>
      <c r="CY234" s="904"/>
      <c r="CZ234" s="904"/>
      <c r="DA234" s="904"/>
      <c r="DB234" s="904"/>
      <c r="DC234" s="904"/>
      <c r="DD234" s="904"/>
      <c r="DE234" s="904"/>
      <c r="DF234" s="904"/>
      <c r="DG234" s="904"/>
      <c r="DH234" s="904"/>
      <c r="DI234" s="904"/>
      <c r="DJ234" s="904"/>
      <c r="DK234" s="904"/>
      <c r="DL234" s="904"/>
      <c r="DM234" s="904"/>
      <c r="DN234" s="904"/>
      <c r="DO234" s="904"/>
      <c r="DP234" s="904"/>
      <c r="DQ234" s="904"/>
      <c r="DR234" s="904"/>
      <c r="DS234" s="904"/>
      <c r="DT234" s="904"/>
      <c r="DU234" s="904"/>
      <c r="DV234" s="904"/>
      <c r="DW234" s="904"/>
      <c r="DX234" s="904"/>
      <c r="DY234" s="904"/>
      <c r="DZ234" s="904"/>
      <c r="EA234" s="904"/>
      <c r="EB234" s="904"/>
      <c r="EC234" s="904"/>
      <c r="ED234" s="904"/>
      <c r="EE234" s="904"/>
      <c r="EF234" s="904"/>
      <c r="EG234" s="904"/>
      <c r="EH234" s="904"/>
      <c r="EI234" s="904"/>
      <c r="EJ234" s="904"/>
      <c r="EK234" s="904"/>
      <c r="EL234" s="904"/>
      <c r="EM234" s="904"/>
      <c r="EN234" s="904"/>
      <c r="EO234" s="902"/>
      <c r="EP234" s="948"/>
      <c r="EQ234" s="902"/>
      <c r="ER234" s="902"/>
      <c r="ES234" s="902"/>
      <c r="ET234" s="902"/>
      <c r="EU234" s="902"/>
      <c r="EV234" s="902"/>
      <c r="EW234" s="902"/>
      <c r="EX234" s="902"/>
      <c r="EY234" s="902"/>
      <c r="EZ234" s="902"/>
      <c r="FA234" s="902"/>
      <c r="FB234" s="902"/>
      <c r="FC234" s="902"/>
      <c r="FD234" s="902"/>
      <c r="FE234" s="902"/>
      <c r="FF234" s="902"/>
      <c r="FG234" s="902"/>
      <c r="FH234" s="902"/>
      <c r="FI234" s="902"/>
      <c r="FJ234" s="902"/>
      <c r="FK234" s="902"/>
      <c r="FL234" s="902"/>
      <c r="FM234" s="902"/>
      <c r="FN234" s="902"/>
      <c r="FO234" s="902"/>
      <c r="FP234" s="902"/>
      <c r="FQ234" s="902"/>
      <c r="FR234" s="902"/>
      <c r="FS234" s="902"/>
      <c r="FT234" s="902"/>
      <c r="FU234" s="902"/>
      <c r="FV234" s="902"/>
      <c r="FW234" s="902"/>
      <c r="FX234" s="902"/>
      <c r="FY234" s="902"/>
      <c r="FZ234" s="902"/>
      <c r="GA234" s="902"/>
      <c r="GB234" s="902"/>
      <c r="GC234" s="902"/>
      <c r="GD234" s="902"/>
      <c r="GE234" s="902"/>
      <c r="GF234" s="902"/>
      <c r="GG234" s="902"/>
      <c r="GH234" s="902"/>
      <c r="GI234" s="902"/>
      <c r="GJ234" s="902"/>
      <c r="GK234" s="902"/>
      <c r="GL234" s="902"/>
      <c r="GM234" s="902"/>
      <c r="GN234" s="902"/>
      <c r="GO234" s="902"/>
      <c r="GP234" s="902"/>
      <c r="GQ234" s="902"/>
      <c r="GR234" s="902"/>
      <c r="GS234" s="902"/>
      <c r="GT234" s="902"/>
      <c r="GU234" s="902"/>
      <c r="GV234" s="902"/>
      <c r="GW234" s="902"/>
      <c r="GX234" s="902"/>
      <c r="GY234" s="902"/>
      <c r="GZ234" s="902"/>
      <c r="HA234" s="902"/>
      <c r="HB234" s="902"/>
      <c r="HC234" s="902"/>
      <c r="HD234" s="902"/>
      <c r="HE234" s="902"/>
      <c r="HF234" s="902"/>
      <c r="HG234" s="902"/>
      <c r="HH234" s="902"/>
      <c r="HI234" s="902"/>
      <c r="HJ234" s="902"/>
      <c r="HK234" s="902"/>
      <c r="HL234" s="902"/>
      <c r="HM234" s="902"/>
      <c r="HN234" s="902"/>
      <c r="HO234" s="902"/>
      <c r="HP234" s="902"/>
      <c r="HQ234" s="902"/>
      <c r="HR234" s="902"/>
      <c r="HS234" s="902"/>
      <c r="HT234" s="902"/>
      <c r="HU234" s="902"/>
      <c r="HV234" s="902"/>
      <c r="HW234" s="902"/>
      <c r="HX234" s="902"/>
      <c r="HY234" s="902"/>
      <c r="HZ234" s="902"/>
      <c r="IA234" s="902"/>
      <c r="IB234" s="902"/>
      <c r="IC234" s="902"/>
      <c r="ID234" s="902"/>
      <c r="IE234" s="902"/>
      <c r="IF234" s="902"/>
      <c r="IG234" s="902"/>
      <c r="IH234" s="902"/>
      <c r="II234" s="902"/>
      <c r="IJ234" s="902"/>
      <c r="IK234" s="902"/>
      <c r="IL234" s="902"/>
      <c r="IM234" s="902"/>
      <c r="IN234" s="902"/>
      <c r="IO234" s="902"/>
      <c r="IP234" s="902"/>
      <c r="IQ234" s="902"/>
      <c r="IR234" s="902"/>
      <c r="IS234" s="902"/>
      <c r="IT234" s="902"/>
      <c r="IU234" s="902"/>
      <c r="IV234" s="902"/>
      <c r="IW234" s="902"/>
      <c r="IX234" s="902"/>
      <c r="IY234" s="902"/>
      <c r="IZ234" s="902"/>
      <c r="JA234" s="902"/>
      <c r="JB234" s="902"/>
      <c r="JC234" s="902"/>
      <c r="JD234" s="902"/>
      <c r="JE234" s="902"/>
      <c r="JF234" s="902"/>
    </row>
    <row r="235" spans="7:266" ht="12" thickTop="1">
      <c r="BA235" s="720">
        <f>+BA234</f>
        <v>0</v>
      </c>
      <c r="BB235" s="720">
        <f t="shared" ref="BB235:CS235" si="4081">+BB234</f>
        <v>0</v>
      </c>
      <c r="BC235" s="720">
        <f t="shared" si="4081"/>
        <v>0</v>
      </c>
      <c r="BD235" s="720">
        <f t="shared" si="4081"/>
        <v>0</v>
      </c>
      <c r="BE235" s="720">
        <f t="shared" si="4081"/>
        <v>0</v>
      </c>
      <c r="BF235" s="720">
        <f t="shared" si="4081"/>
        <v>0</v>
      </c>
      <c r="BG235" s="720">
        <f t="shared" si="4081"/>
        <v>0</v>
      </c>
      <c r="BH235" s="720">
        <f t="shared" si="4081"/>
        <v>0</v>
      </c>
      <c r="BI235" s="720">
        <f t="shared" si="4081"/>
        <v>0</v>
      </c>
      <c r="BJ235" s="720">
        <f t="shared" si="4081"/>
        <v>0</v>
      </c>
      <c r="BK235" s="720">
        <f t="shared" si="4081"/>
        <v>0</v>
      </c>
      <c r="BL235" s="720">
        <f t="shared" si="4081"/>
        <v>0</v>
      </c>
      <c r="BM235" s="720">
        <f t="shared" si="4081"/>
        <v>0</v>
      </c>
      <c r="BN235" s="720">
        <f t="shared" si="4081"/>
        <v>0</v>
      </c>
      <c r="BO235" s="720">
        <f t="shared" si="4081"/>
        <v>0</v>
      </c>
      <c r="BP235" s="720">
        <f t="shared" si="4081"/>
        <v>0</v>
      </c>
      <c r="BQ235" s="720">
        <f t="shared" si="4081"/>
        <v>0</v>
      </c>
      <c r="BR235" s="720">
        <f t="shared" si="4081"/>
        <v>0</v>
      </c>
      <c r="BS235" s="720">
        <f t="shared" si="4081"/>
        <v>0</v>
      </c>
      <c r="BT235" s="720">
        <f t="shared" si="4081"/>
        <v>0</v>
      </c>
      <c r="BU235" s="720">
        <f t="shared" si="4081"/>
        <v>0</v>
      </c>
      <c r="BV235" s="720">
        <f t="shared" si="4081"/>
        <v>0</v>
      </c>
      <c r="BW235" s="720">
        <f t="shared" si="4081"/>
        <v>0</v>
      </c>
      <c r="BX235" s="720">
        <f t="shared" si="4081"/>
        <v>0</v>
      </c>
      <c r="BY235" s="720">
        <f t="shared" si="4081"/>
        <v>0</v>
      </c>
      <c r="BZ235" s="720">
        <f t="shared" si="4081"/>
        <v>0</v>
      </c>
      <c r="CA235" s="720">
        <f t="shared" si="4081"/>
        <v>0</v>
      </c>
      <c r="CB235" s="720">
        <f t="shared" si="4081"/>
        <v>0</v>
      </c>
      <c r="CC235" s="720">
        <f t="shared" si="4081"/>
        <v>0</v>
      </c>
      <c r="CD235" s="720">
        <f t="shared" si="4081"/>
        <v>0</v>
      </c>
      <c r="CE235" s="720">
        <f t="shared" si="4081"/>
        <v>0</v>
      </c>
      <c r="CF235" s="720">
        <f t="shared" si="4081"/>
        <v>0</v>
      </c>
      <c r="CG235" s="720">
        <f t="shared" si="4081"/>
        <v>0</v>
      </c>
      <c r="CH235" s="720">
        <f t="shared" si="4081"/>
        <v>0</v>
      </c>
      <c r="CI235" s="720">
        <f t="shared" si="4081"/>
        <v>0</v>
      </c>
      <c r="CJ235" s="720">
        <f t="shared" si="4081"/>
        <v>0</v>
      </c>
      <c r="CK235" s="720">
        <f>+CK234</f>
        <v>286457.98566666665</v>
      </c>
      <c r="CL235" s="720">
        <f t="shared" si="4081"/>
        <v>93181.031999999992</v>
      </c>
      <c r="CM235" s="720">
        <f t="shared" si="4081"/>
        <v>383.5</v>
      </c>
      <c r="CN235" s="720">
        <f t="shared" si="4081"/>
        <v>10358.521500000001</v>
      </c>
      <c r="CO235" s="720">
        <f t="shared" si="4081"/>
        <v>0</v>
      </c>
      <c r="CP235" s="720">
        <f t="shared" si="4081"/>
        <v>0</v>
      </c>
      <c r="CQ235" s="720">
        <f t="shared" si="4081"/>
        <v>700</v>
      </c>
      <c r="CR235" s="720">
        <f t="shared" si="4081"/>
        <v>37671.840069856669</v>
      </c>
      <c r="CS235" s="720">
        <f t="shared" si="4081"/>
        <v>428369.37923652329</v>
      </c>
      <c r="CV235" s="712"/>
      <c r="CW235" s="712"/>
      <c r="CX235" s="712"/>
      <c r="CY235" s="712"/>
      <c r="CZ235" s="712"/>
      <c r="DA235" s="712"/>
      <c r="DB235" s="712"/>
      <c r="DC235" s="712"/>
      <c r="DD235" s="712"/>
      <c r="DE235" s="712"/>
      <c r="DF235" s="712"/>
      <c r="DG235" s="712"/>
      <c r="DH235" s="712"/>
      <c r="DI235" s="712"/>
      <c r="DJ235" s="712"/>
      <c r="DK235" s="712"/>
      <c r="DL235" s="712"/>
      <c r="DM235" s="712"/>
      <c r="DN235" s="712"/>
      <c r="DO235" s="712"/>
      <c r="DP235" s="712"/>
      <c r="DQ235" s="712"/>
      <c r="DR235" s="712"/>
      <c r="DS235" s="712"/>
      <c r="DT235" s="712"/>
      <c r="DU235" s="712"/>
      <c r="DV235" s="712"/>
      <c r="DW235" s="712"/>
      <c r="DX235" s="712"/>
      <c r="DY235" s="712"/>
      <c r="DZ235" s="712"/>
      <c r="EA235" s="712"/>
      <c r="EB235" s="712"/>
      <c r="EC235" s="712"/>
      <c r="ED235" s="712"/>
      <c r="EE235" s="712"/>
      <c r="EF235" s="712"/>
      <c r="EG235" s="712"/>
      <c r="EH235" s="712"/>
      <c r="EI235" s="712"/>
      <c r="EJ235" s="712"/>
      <c r="EK235" s="712"/>
      <c r="EL235" s="712"/>
      <c r="EM235" s="712"/>
      <c r="EN235" s="712"/>
      <c r="EP235" s="946"/>
    </row>
    <row r="236" spans="7:266">
      <c r="BA236" s="720" t="str">
        <f>IF(BA235&lt;&gt;0,"ERROR VERIFICAR TRASLADO DE DATOS DE DISTRIBUCIÓN A CUADRO","")</f>
        <v/>
      </c>
      <c r="BB236" s="720" t="str">
        <f t="shared" ref="BB236:CS236" si="4082">IF(BB235&lt;&gt;0,"ERROR VERIFICAR TRASLADO DE DATOS DE DISTRIBUCIÓN A CUADRO","")</f>
        <v/>
      </c>
      <c r="BC236" s="720" t="str">
        <f t="shared" si="4082"/>
        <v/>
      </c>
      <c r="BD236" s="720" t="str">
        <f t="shared" si="4082"/>
        <v/>
      </c>
      <c r="BE236" s="720" t="str">
        <f t="shared" si="4082"/>
        <v/>
      </c>
      <c r="BF236" s="720" t="str">
        <f t="shared" si="4082"/>
        <v/>
      </c>
      <c r="BG236" s="720" t="str">
        <f t="shared" si="4082"/>
        <v/>
      </c>
      <c r="BH236" s="720" t="str">
        <f t="shared" si="4082"/>
        <v/>
      </c>
      <c r="BI236" s="720" t="str">
        <f t="shared" si="4082"/>
        <v/>
      </c>
      <c r="BJ236" s="720" t="str">
        <f t="shared" si="4082"/>
        <v/>
      </c>
      <c r="BK236" s="720" t="str">
        <f t="shared" si="4082"/>
        <v/>
      </c>
      <c r="BL236" s="720" t="str">
        <f t="shared" si="4082"/>
        <v/>
      </c>
      <c r="BM236" s="720" t="str">
        <f t="shared" si="4082"/>
        <v/>
      </c>
      <c r="BN236" s="720" t="str">
        <f t="shared" si="4082"/>
        <v/>
      </c>
      <c r="BO236" s="720" t="str">
        <f t="shared" si="4082"/>
        <v/>
      </c>
      <c r="BP236" s="720" t="str">
        <f t="shared" si="4082"/>
        <v/>
      </c>
      <c r="BQ236" s="720" t="str">
        <f t="shared" si="4082"/>
        <v/>
      </c>
      <c r="BR236" s="720" t="str">
        <f t="shared" si="4082"/>
        <v/>
      </c>
      <c r="BS236" s="720" t="str">
        <f t="shared" si="4082"/>
        <v/>
      </c>
      <c r="BT236" s="720" t="str">
        <f t="shared" si="4082"/>
        <v/>
      </c>
      <c r="BU236" s="720" t="str">
        <f t="shared" si="4082"/>
        <v/>
      </c>
      <c r="BV236" s="720" t="str">
        <f t="shared" si="4082"/>
        <v/>
      </c>
      <c r="BW236" s="720" t="str">
        <f t="shared" si="4082"/>
        <v/>
      </c>
      <c r="BX236" s="720" t="str">
        <f t="shared" si="4082"/>
        <v/>
      </c>
      <c r="BY236" s="720" t="str">
        <f t="shared" si="4082"/>
        <v/>
      </c>
      <c r="BZ236" s="720" t="str">
        <f t="shared" si="4082"/>
        <v/>
      </c>
      <c r="CA236" s="720" t="str">
        <f t="shared" si="4082"/>
        <v/>
      </c>
      <c r="CB236" s="720" t="str">
        <f t="shared" si="4082"/>
        <v/>
      </c>
      <c r="CC236" s="720" t="str">
        <f t="shared" si="4082"/>
        <v/>
      </c>
      <c r="CD236" s="720" t="str">
        <f t="shared" si="4082"/>
        <v/>
      </c>
      <c r="CE236" s="720" t="str">
        <f t="shared" si="4082"/>
        <v/>
      </c>
      <c r="CF236" s="720" t="str">
        <f t="shared" si="4082"/>
        <v/>
      </c>
      <c r="CG236" s="720" t="str">
        <f t="shared" si="4082"/>
        <v/>
      </c>
      <c r="CH236" s="720" t="str">
        <f t="shared" si="4082"/>
        <v/>
      </c>
      <c r="CI236" s="720" t="str">
        <f t="shared" si="4082"/>
        <v/>
      </c>
      <c r="CJ236" s="720" t="str">
        <f t="shared" si="4082"/>
        <v/>
      </c>
      <c r="CK236" s="720" t="str">
        <f>IF(CK235&lt;&gt;0,"ERROR VERIFICAR TRASLADO DE DATOS DE DISTRIBUCIÓN A CUADRO","")</f>
        <v>ERROR VERIFICAR TRASLADO DE DATOS DE DISTRIBUCIÓN A CUADRO</v>
      </c>
      <c r="CL236" s="720" t="str">
        <f t="shared" si="4082"/>
        <v>ERROR VERIFICAR TRASLADO DE DATOS DE DISTRIBUCIÓN A CUADRO</v>
      </c>
      <c r="CM236" s="720" t="str">
        <f t="shared" si="4082"/>
        <v>ERROR VERIFICAR TRASLADO DE DATOS DE DISTRIBUCIÓN A CUADRO</v>
      </c>
      <c r="CN236" s="720" t="str">
        <f t="shared" si="4082"/>
        <v>ERROR VERIFICAR TRASLADO DE DATOS DE DISTRIBUCIÓN A CUADRO</v>
      </c>
      <c r="CO236" s="720" t="str">
        <f t="shared" si="4082"/>
        <v/>
      </c>
      <c r="CP236" s="720" t="str">
        <f t="shared" si="4082"/>
        <v/>
      </c>
      <c r="CQ236" s="720" t="str">
        <f t="shared" si="4082"/>
        <v>ERROR VERIFICAR TRASLADO DE DATOS DE DISTRIBUCIÓN A CUADRO</v>
      </c>
      <c r="CR236" s="720" t="str">
        <f t="shared" si="4082"/>
        <v>ERROR VERIFICAR TRASLADO DE DATOS DE DISTRIBUCIÓN A CUADRO</v>
      </c>
      <c r="CS236" s="720" t="str">
        <f t="shared" si="4082"/>
        <v>ERROR VERIFICAR TRASLADO DE DATOS DE DISTRIBUCIÓN A CUADRO</v>
      </c>
      <c r="CV236" s="712"/>
      <c r="CW236" s="712"/>
      <c r="CX236" s="712"/>
      <c r="CY236" s="712"/>
      <c r="CZ236" s="712"/>
      <c r="DA236" s="712"/>
      <c r="DB236" s="712"/>
      <c r="DC236" s="712"/>
      <c r="DD236" s="712"/>
      <c r="DE236" s="712"/>
      <c r="DF236" s="712"/>
      <c r="DG236" s="712"/>
      <c r="DH236" s="712"/>
      <c r="DI236" s="712"/>
      <c r="DJ236" s="712"/>
      <c r="DK236" s="712"/>
      <c r="DL236" s="712"/>
      <c r="DM236" s="712"/>
      <c r="DN236" s="712"/>
      <c r="DO236" s="712"/>
      <c r="DP236" s="712"/>
      <c r="DQ236" s="712"/>
      <c r="DR236" s="712"/>
      <c r="DS236" s="712"/>
      <c r="DT236" s="712"/>
      <c r="DU236" s="712"/>
      <c r="DV236" s="712"/>
      <c r="DW236" s="712"/>
      <c r="DX236" s="712"/>
      <c r="DY236" s="712"/>
      <c r="DZ236" s="712"/>
      <c r="EA236" s="712"/>
      <c r="EB236" s="712"/>
      <c r="EC236" s="712"/>
      <c r="ED236" s="712"/>
      <c r="EE236" s="712"/>
      <c r="EF236" s="712"/>
      <c r="EG236" s="712"/>
      <c r="EH236" s="712"/>
      <c r="EI236" s="712"/>
      <c r="EJ236" s="712"/>
      <c r="EK236" s="712"/>
      <c r="EL236" s="712"/>
      <c r="EM236" s="712"/>
      <c r="EN236" s="712"/>
      <c r="EP236" s="946"/>
    </row>
    <row r="237" spans="7:266">
      <c r="CV237" s="712"/>
      <c r="CW237" s="712"/>
      <c r="CX237" s="712"/>
      <c r="CY237" s="712"/>
      <c r="CZ237" s="712"/>
      <c r="DA237" s="712"/>
      <c r="DB237" s="712"/>
      <c r="DC237" s="712"/>
      <c r="DD237" s="712"/>
      <c r="DE237" s="712"/>
      <c r="DF237" s="712"/>
      <c r="DG237" s="712"/>
      <c r="DH237" s="712"/>
      <c r="DI237" s="712"/>
      <c r="DJ237" s="712"/>
      <c r="DK237" s="712"/>
      <c r="DL237" s="712"/>
      <c r="DM237" s="712"/>
      <c r="DN237" s="712"/>
      <c r="DO237" s="712"/>
      <c r="DP237" s="712"/>
      <c r="DQ237" s="712"/>
      <c r="DR237" s="712"/>
      <c r="DS237" s="712"/>
      <c r="DT237" s="712"/>
      <c r="DU237" s="712"/>
      <c r="DV237" s="712"/>
      <c r="DW237" s="712"/>
      <c r="DX237" s="712"/>
      <c r="DY237" s="712"/>
      <c r="DZ237" s="712"/>
      <c r="EA237" s="712"/>
      <c r="EB237" s="712"/>
      <c r="EC237" s="712"/>
      <c r="ED237" s="712"/>
      <c r="EE237" s="712"/>
      <c r="EF237" s="712"/>
      <c r="EG237" s="712"/>
      <c r="EH237" s="712"/>
      <c r="EI237" s="712"/>
      <c r="EJ237" s="712"/>
      <c r="EK237" s="712"/>
      <c r="EL237" s="712"/>
      <c r="EM237" s="712"/>
      <c r="EN237" s="712"/>
      <c r="EP237" s="946"/>
    </row>
    <row r="238" spans="7:266" ht="12" thickBot="1">
      <c r="BA238" s="1345" t="s">
        <v>347</v>
      </c>
      <c r="BB238" s="1345"/>
      <c r="BC238" s="1345"/>
      <c r="BD238" s="1345"/>
      <c r="BE238" s="1345"/>
      <c r="BF238" s="1345"/>
      <c r="BG238" s="1345"/>
      <c r="BH238" s="1345"/>
      <c r="BI238" s="1345"/>
      <c r="BJ238" s="1345" t="s">
        <v>347</v>
      </c>
      <c r="BK238" s="1345"/>
      <c r="BL238" s="1345"/>
      <c r="BM238" s="1345"/>
      <c r="BN238" s="1345"/>
      <c r="BO238" s="1345"/>
      <c r="BP238" s="1345"/>
      <c r="BQ238" s="1345"/>
      <c r="BR238" s="1345"/>
      <c r="BS238" s="1345" t="s">
        <v>347</v>
      </c>
      <c r="BT238" s="1345"/>
      <c r="BU238" s="1345"/>
      <c r="BV238" s="1345"/>
      <c r="BW238" s="1345"/>
      <c r="BX238" s="1345"/>
      <c r="BY238" s="1345"/>
      <c r="BZ238" s="1345"/>
      <c r="CA238" s="1345"/>
      <c r="CB238" s="1345" t="s">
        <v>347</v>
      </c>
      <c r="CC238" s="1345"/>
      <c r="CD238" s="1345"/>
      <c r="CE238" s="1345"/>
      <c r="CF238" s="1345"/>
      <c r="CG238" s="1345"/>
      <c r="CH238" s="1345"/>
      <c r="CI238" s="1345"/>
      <c r="CJ238" s="1345"/>
      <c r="CK238" s="1345" t="s">
        <v>347</v>
      </c>
      <c r="CL238" s="1345"/>
      <c r="CM238" s="1345"/>
      <c r="CN238" s="1345"/>
      <c r="CO238" s="1345"/>
      <c r="CP238" s="1345"/>
      <c r="CQ238" s="1345"/>
      <c r="CR238" s="1345"/>
      <c r="CS238" s="1345"/>
      <c r="CV238" s="712"/>
      <c r="CW238" s="712"/>
      <c r="CX238" s="712"/>
      <c r="CY238" s="712"/>
      <c r="CZ238" s="712"/>
      <c r="DA238" s="712"/>
      <c r="DB238" s="712"/>
      <c r="DC238" s="712"/>
      <c r="DD238" s="712"/>
      <c r="DE238" s="712"/>
      <c r="DF238" s="712"/>
      <c r="DG238" s="712"/>
      <c r="DH238" s="712"/>
      <c r="DI238" s="712"/>
      <c r="DJ238" s="712"/>
      <c r="DK238" s="712"/>
      <c r="DL238" s="712"/>
      <c r="DM238" s="712"/>
      <c r="DN238" s="712"/>
      <c r="DO238" s="712"/>
      <c r="DP238" s="712"/>
      <c r="DQ238" s="712"/>
      <c r="DR238" s="712"/>
      <c r="DS238" s="712"/>
      <c r="DT238" s="712"/>
      <c r="DU238" s="712"/>
      <c r="DV238" s="712"/>
      <c r="DW238" s="712"/>
      <c r="DX238" s="712"/>
      <c r="DY238" s="712"/>
      <c r="DZ238" s="712"/>
      <c r="EA238" s="712"/>
      <c r="EB238" s="712"/>
      <c r="EC238" s="712"/>
      <c r="ED238" s="712"/>
      <c r="EE238" s="712"/>
      <c r="EF238" s="712"/>
      <c r="EG238" s="712"/>
      <c r="EH238" s="712"/>
      <c r="EI238" s="712"/>
      <c r="EJ238" s="712"/>
      <c r="EK238" s="712"/>
      <c r="EL238" s="712"/>
      <c r="EM238" s="712"/>
      <c r="EN238" s="712"/>
      <c r="EP238" s="946"/>
    </row>
    <row r="239" spans="7:266">
      <c r="BA239" s="887" t="s">
        <v>15</v>
      </c>
      <c r="BB239" s="888" t="s">
        <v>16</v>
      </c>
      <c r="BC239" s="888" t="s">
        <v>24</v>
      </c>
      <c r="BD239" s="889" t="s">
        <v>25</v>
      </c>
      <c r="BE239" s="889" t="s">
        <v>24</v>
      </c>
      <c r="BF239" s="889" t="s">
        <v>25</v>
      </c>
      <c r="BG239" s="890" t="s">
        <v>26</v>
      </c>
      <c r="BH239" s="890" t="s">
        <v>27</v>
      </c>
      <c r="BI239" s="891" t="s">
        <v>17</v>
      </c>
      <c r="BJ239" s="887" t="s">
        <v>15</v>
      </c>
      <c r="BK239" s="888" t="s">
        <v>16</v>
      </c>
      <c r="BL239" s="888" t="s">
        <v>24</v>
      </c>
      <c r="BM239" s="889" t="s">
        <v>25</v>
      </c>
      <c r="BN239" s="889" t="s">
        <v>24</v>
      </c>
      <c r="BO239" s="889" t="s">
        <v>25</v>
      </c>
      <c r="BP239" s="890" t="s">
        <v>26</v>
      </c>
      <c r="BQ239" s="890" t="s">
        <v>27</v>
      </c>
      <c r="BR239" s="891" t="s">
        <v>17</v>
      </c>
      <c r="BS239" s="887" t="s">
        <v>15</v>
      </c>
      <c r="BT239" s="888" t="s">
        <v>16</v>
      </c>
      <c r="BU239" s="888" t="s">
        <v>24</v>
      </c>
      <c r="BV239" s="889" t="s">
        <v>25</v>
      </c>
      <c r="BW239" s="889" t="s">
        <v>24</v>
      </c>
      <c r="BX239" s="889" t="s">
        <v>25</v>
      </c>
      <c r="BY239" s="890" t="s">
        <v>26</v>
      </c>
      <c r="BZ239" s="890" t="s">
        <v>27</v>
      </c>
      <c r="CA239" s="891" t="s">
        <v>17</v>
      </c>
      <c r="CB239" s="887" t="s">
        <v>15</v>
      </c>
      <c r="CC239" s="888" t="s">
        <v>16</v>
      </c>
      <c r="CD239" s="888" t="s">
        <v>24</v>
      </c>
      <c r="CE239" s="889" t="s">
        <v>25</v>
      </c>
      <c r="CF239" s="889" t="s">
        <v>24</v>
      </c>
      <c r="CG239" s="889" t="s">
        <v>25</v>
      </c>
      <c r="CH239" s="890" t="s">
        <v>26</v>
      </c>
      <c r="CI239" s="890" t="s">
        <v>27</v>
      </c>
      <c r="CJ239" s="891" t="s">
        <v>17</v>
      </c>
      <c r="CK239" s="887" t="s">
        <v>15</v>
      </c>
      <c r="CL239" s="888" t="s">
        <v>16</v>
      </c>
      <c r="CM239" s="888" t="s">
        <v>24</v>
      </c>
      <c r="CN239" s="889" t="s">
        <v>25</v>
      </c>
      <c r="CO239" s="889" t="s">
        <v>24</v>
      </c>
      <c r="CP239" s="889" t="s">
        <v>25</v>
      </c>
      <c r="CQ239" s="890" t="s">
        <v>26</v>
      </c>
      <c r="CR239" s="890" t="s">
        <v>27</v>
      </c>
      <c r="CS239" s="892" t="s">
        <v>17</v>
      </c>
      <c r="CV239" s="712"/>
      <c r="CW239" s="712"/>
      <c r="CX239" s="712"/>
      <c r="CY239" s="712"/>
      <c r="CZ239" s="712"/>
      <c r="DA239" s="712"/>
      <c r="DB239" s="712"/>
      <c r="DC239" s="712"/>
      <c r="DD239" s="712"/>
      <c r="DE239" s="712"/>
      <c r="DF239" s="712"/>
      <c r="DG239" s="712"/>
      <c r="DH239" s="712"/>
      <c r="DI239" s="712"/>
      <c r="DJ239" s="712"/>
      <c r="DK239" s="712"/>
      <c r="DL239" s="712"/>
      <c r="DM239" s="712"/>
      <c r="DN239" s="712"/>
      <c r="DO239" s="712"/>
      <c r="DP239" s="712"/>
      <c r="DQ239" s="712"/>
      <c r="DR239" s="712"/>
      <c r="DS239" s="712"/>
      <c r="DT239" s="712"/>
      <c r="DU239" s="712"/>
      <c r="DV239" s="712"/>
      <c r="DW239" s="712"/>
      <c r="DX239" s="712"/>
      <c r="DY239" s="712"/>
      <c r="DZ239" s="712"/>
      <c r="EA239" s="712"/>
      <c r="EB239" s="712"/>
      <c r="EC239" s="712"/>
      <c r="ED239" s="712"/>
      <c r="EE239" s="712"/>
      <c r="EF239" s="712"/>
      <c r="EG239" s="712"/>
      <c r="EH239" s="712"/>
      <c r="EI239" s="712"/>
      <c r="EJ239" s="712"/>
      <c r="EK239" s="712"/>
      <c r="EL239" s="712"/>
      <c r="EM239" s="712"/>
      <c r="EN239" s="712"/>
      <c r="EP239" s="946"/>
    </row>
    <row r="240" spans="7:266">
      <c r="BA240" s="893" t="s">
        <v>37</v>
      </c>
      <c r="BB240" s="894" t="s">
        <v>38</v>
      </c>
      <c r="BC240" s="894" t="s">
        <v>44</v>
      </c>
      <c r="BD240" s="894" t="s">
        <v>343</v>
      </c>
      <c r="BE240" s="894" t="s">
        <v>45</v>
      </c>
      <c r="BF240" s="894" t="s">
        <v>344</v>
      </c>
      <c r="BG240" s="895" t="s">
        <v>46</v>
      </c>
      <c r="BH240" s="895" t="s">
        <v>47</v>
      </c>
      <c r="BI240" s="896"/>
      <c r="BJ240" s="893" t="s">
        <v>37</v>
      </c>
      <c r="BK240" s="894" t="s">
        <v>38</v>
      </c>
      <c r="BL240" s="894" t="s">
        <v>44</v>
      </c>
      <c r="BM240" s="894" t="s">
        <v>343</v>
      </c>
      <c r="BN240" s="894" t="s">
        <v>45</v>
      </c>
      <c r="BO240" s="894" t="s">
        <v>344</v>
      </c>
      <c r="BP240" s="895" t="s">
        <v>46</v>
      </c>
      <c r="BQ240" s="895" t="s">
        <v>47</v>
      </c>
      <c r="BR240" s="896"/>
      <c r="BS240" s="893" t="s">
        <v>37</v>
      </c>
      <c r="BT240" s="894" t="s">
        <v>38</v>
      </c>
      <c r="BU240" s="894" t="s">
        <v>44</v>
      </c>
      <c r="BV240" s="894" t="s">
        <v>343</v>
      </c>
      <c r="BW240" s="894" t="s">
        <v>45</v>
      </c>
      <c r="BX240" s="894" t="s">
        <v>344</v>
      </c>
      <c r="BY240" s="895" t="s">
        <v>46</v>
      </c>
      <c r="BZ240" s="895" t="s">
        <v>47</v>
      </c>
      <c r="CA240" s="896"/>
      <c r="CB240" s="893" t="s">
        <v>37</v>
      </c>
      <c r="CC240" s="894" t="s">
        <v>38</v>
      </c>
      <c r="CD240" s="894" t="s">
        <v>44</v>
      </c>
      <c r="CE240" s="894" t="s">
        <v>343</v>
      </c>
      <c r="CF240" s="894" t="s">
        <v>45</v>
      </c>
      <c r="CG240" s="894" t="s">
        <v>344</v>
      </c>
      <c r="CH240" s="895" t="s">
        <v>46</v>
      </c>
      <c r="CI240" s="895" t="s">
        <v>47</v>
      </c>
      <c r="CJ240" s="896"/>
      <c r="CK240" s="893" t="s">
        <v>37</v>
      </c>
      <c r="CL240" s="894" t="s">
        <v>38</v>
      </c>
      <c r="CM240" s="894" t="s">
        <v>44</v>
      </c>
      <c r="CN240" s="894" t="s">
        <v>343</v>
      </c>
      <c r="CO240" s="894" t="s">
        <v>45</v>
      </c>
      <c r="CP240" s="894" t="s">
        <v>344</v>
      </c>
      <c r="CQ240" s="895" t="s">
        <v>46</v>
      </c>
      <c r="CR240" s="895" t="s">
        <v>47</v>
      </c>
      <c r="CS240" s="897"/>
      <c r="CV240" s="712"/>
      <c r="CW240" s="712"/>
      <c r="CX240" s="712"/>
      <c r="CY240" s="712"/>
      <c r="CZ240" s="712"/>
      <c r="DA240" s="712"/>
      <c r="DB240" s="712"/>
      <c r="DC240" s="712"/>
      <c r="DD240" s="712"/>
      <c r="DE240" s="712"/>
      <c r="DF240" s="712"/>
      <c r="DG240" s="712"/>
      <c r="DH240" s="712"/>
      <c r="DI240" s="712"/>
      <c r="DJ240" s="712"/>
      <c r="DK240" s="712"/>
      <c r="DL240" s="712"/>
      <c r="DM240" s="712"/>
      <c r="DN240" s="712"/>
      <c r="DO240" s="712"/>
      <c r="DP240" s="712"/>
      <c r="DQ240" s="712"/>
      <c r="DR240" s="712"/>
      <c r="DS240" s="712"/>
      <c r="DT240" s="712"/>
      <c r="DU240" s="712"/>
      <c r="DV240" s="712"/>
      <c r="DW240" s="712"/>
      <c r="DX240" s="712"/>
      <c r="DY240" s="712"/>
      <c r="DZ240" s="712"/>
      <c r="EA240" s="712"/>
      <c r="EB240" s="712"/>
      <c r="EC240" s="712"/>
      <c r="ED240" s="712"/>
      <c r="EE240" s="712"/>
      <c r="EF240" s="712"/>
      <c r="EG240" s="712"/>
      <c r="EH240" s="712"/>
      <c r="EI240" s="712"/>
      <c r="EJ240" s="712"/>
      <c r="EK240" s="712"/>
      <c r="EL240" s="712"/>
      <c r="EM240" s="712"/>
      <c r="EN240" s="712"/>
      <c r="EP240" s="946"/>
    </row>
    <row r="241" spans="7:146" ht="12.75">
      <c r="G241" s="714"/>
      <c r="H241" s="898" t="s">
        <v>51</v>
      </c>
      <c r="BA241" s="712"/>
      <c r="BB241" s="712"/>
      <c r="BJ241" s="712"/>
      <c r="BK241" s="712"/>
      <c r="BS241" s="712"/>
      <c r="BT241" s="712"/>
      <c r="CB241" s="712"/>
      <c r="CC241" s="712"/>
      <c r="CK241" s="712"/>
      <c r="CL241" s="712"/>
      <c r="CV241" s="712"/>
      <c r="CW241" s="712"/>
      <c r="CX241" s="712"/>
      <c r="CY241" s="712"/>
      <c r="CZ241" s="712"/>
      <c r="DA241" s="712"/>
      <c r="DB241" s="712"/>
      <c r="DC241" s="712"/>
      <c r="DD241" s="712"/>
      <c r="DE241" s="712"/>
      <c r="DF241" s="712"/>
      <c r="DG241" s="712"/>
      <c r="DH241" s="712"/>
      <c r="DI241" s="712"/>
      <c r="DJ241" s="712"/>
      <c r="DK241" s="712"/>
      <c r="DL241" s="712"/>
      <c r="DM241" s="712"/>
      <c r="DN241" s="712"/>
      <c r="DO241" s="712"/>
      <c r="DP241" s="712"/>
      <c r="DQ241" s="712"/>
      <c r="DR241" s="712"/>
      <c r="DS241" s="712"/>
      <c r="DT241" s="712"/>
      <c r="DU241" s="712"/>
      <c r="DV241" s="712"/>
      <c r="DW241" s="712"/>
      <c r="DX241" s="712"/>
      <c r="DY241" s="712"/>
      <c r="DZ241" s="712"/>
      <c r="EA241" s="712"/>
      <c r="EB241" s="712"/>
      <c r="EC241" s="712"/>
      <c r="ED241" s="712"/>
      <c r="EE241" s="712"/>
      <c r="EF241" s="712"/>
      <c r="EG241" s="712"/>
      <c r="EH241" s="712"/>
      <c r="EI241" s="712"/>
      <c r="EJ241" s="712"/>
      <c r="EK241" s="712"/>
      <c r="EL241" s="712"/>
      <c r="EM241" s="712"/>
      <c r="EN241" s="712"/>
      <c r="EP241" s="946"/>
    </row>
    <row r="242" spans="7:146" ht="12.75">
      <c r="G242" s="714"/>
      <c r="H242" s="714" t="s">
        <v>53</v>
      </c>
      <c r="BA242" s="720">
        <f>BA194-BA156</f>
        <v>0</v>
      </c>
      <c r="BB242" s="720">
        <f t="shared" ref="BB242:CS242" si="4083">BB194-BB156</f>
        <v>0</v>
      </c>
      <c r="BC242" s="720">
        <f t="shared" si="4083"/>
        <v>0</v>
      </c>
      <c r="BD242" s="720">
        <f t="shared" si="4083"/>
        <v>0</v>
      </c>
      <c r="BE242" s="720">
        <f t="shared" si="4083"/>
        <v>0</v>
      </c>
      <c r="BF242" s="720">
        <f t="shared" si="4083"/>
        <v>0</v>
      </c>
      <c r="BG242" s="720">
        <f t="shared" si="4083"/>
        <v>0</v>
      </c>
      <c r="BH242" s="720">
        <f t="shared" si="4083"/>
        <v>0</v>
      </c>
      <c r="BI242" s="720">
        <f t="shared" si="4083"/>
        <v>0</v>
      </c>
      <c r="BJ242" s="720">
        <f t="shared" si="4083"/>
        <v>0</v>
      </c>
      <c r="BK242" s="720">
        <f t="shared" si="4083"/>
        <v>0</v>
      </c>
      <c r="BL242" s="720">
        <f t="shared" si="4083"/>
        <v>0</v>
      </c>
      <c r="BM242" s="720">
        <f t="shared" si="4083"/>
        <v>0</v>
      </c>
      <c r="BN242" s="720">
        <f t="shared" si="4083"/>
        <v>0</v>
      </c>
      <c r="BO242" s="720">
        <f t="shared" si="4083"/>
        <v>0</v>
      </c>
      <c r="BP242" s="720">
        <f t="shared" si="4083"/>
        <v>0</v>
      </c>
      <c r="BQ242" s="720">
        <f t="shared" si="4083"/>
        <v>0</v>
      </c>
      <c r="BR242" s="720">
        <f t="shared" si="4083"/>
        <v>0</v>
      </c>
      <c r="BS242" s="720">
        <f t="shared" si="4083"/>
        <v>0</v>
      </c>
      <c r="BT242" s="720">
        <f t="shared" si="4083"/>
        <v>0</v>
      </c>
      <c r="BU242" s="720">
        <f t="shared" si="4083"/>
        <v>0</v>
      </c>
      <c r="BV242" s="720">
        <f t="shared" si="4083"/>
        <v>0</v>
      </c>
      <c r="BW242" s="720">
        <f t="shared" si="4083"/>
        <v>0</v>
      </c>
      <c r="BX242" s="720">
        <f t="shared" si="4083"/>
        <v>0</v>
      </c>
      <c r="BY242" s="720">
        <f t="shared" si="4083"/>
        <v>0</v>
      </c>
      <c r="BZ242" s="720">
        <f t="shared" si="4083"/>
        <v>0</v>
      </c>
      <c r="CA242" s="720">
        <f t="shared" si="4083"/>
        <v>0</v>
      </c>
      <c r="CB242" s="720">
        <f t="shared" si="4083"/>
        <v>0</v>
      </c>
      <c r="CC242" s="720">
        <f t="shared" si="4083"/>
        <v>0</v>
      </c>
      <c r="CD242" s="720">
        <f t="shared" si="4083"/>
        <v>0</v>
      </c>
      <c r="CE242" s="720">
        <f t="shared" si="4083"/>
        <v>0</v>
      </c>
      <c r="CF242" s="720">
        <f t="shared" si="4083"/>
        <v>0</v>
      </c>
      <c r="CG242" s="720">
        <f t="shared" si="4083"/>
        <v>0</v>
      </c>
      <c r="CH242" s="720">
        <f t="shared" si="4083"/>
        <v>0</v>
      </c>
      <c r="CI242" s="720">
        <f t="shared" si="4083"/>
        <v>0</v>
      </c>
      <c r="CJ242" s="720">
        <f t="shared" si="4083"/>
        <v>0</v>
      </c>
      <c r="CK242" s="720">
        <f t="shared" si="4083"/>
        <v>0</v>
      </c>
      <c r="CL242" s="720">
        <f t="shared" si="4083"/>
        <v>0</v>
      </c>
      <c r="CM242" s="720">
        <f t="shared" si="4083"/>
        <v>0</v>
      </c>
      <c r="CN242" s="720">
        <f t="shared" si="4083"/>
        <v>0</v>
      </c>
      <c r="CO242" s="720">
        <f t="shared" si="4083"/>
        <v>0</v>
      </c>
      <c r="CP242" s="720">
        <f t="shared" si="4083"/>
        <v>0</v>
      </c>
      <c r="CQ242" s="720">
        <f t="shared" si="4083"/>
        <v>0</v>
      </c>
      <c r="CR242" s="720">
        <f t="shared" si="4083"/>
        <v>0</v>
      </c>
      <c r="CS242" s="720">
        <f t="shared" si="4083"/>
        <v>0</v>
      </c>
      <c r="CV242" s="712"/>
      <c r="CW242" s="712"/>
      <c r="CX242" s="712"/>
      <c r="CY242" s="712"/>
      <c r="CZ242" s="712"/>
      <c r="DA242" s="712"/>
      <c r="DB242" s="712"/>
      <c r="DC242" s="712"/>
      <c r="DD242" s="712"/>
      <c r="DE242" s="712"/>
      <c r="DF242" s="712"/>
      <c r="DG242" s="712"/>
      <c r="DH242" s="712"/>
      <c r="DI242" s="712"/>
      <c r="DJ242" s="712"/>
      <c r="DK242" s="712"/>
      <c r="DL242" s="712"/>
      <c r="DM242" s="712"/>
      <c r="DN242" s="712"/>
      <c r="DO242" s="712"/>
      <c r="DP242" s="712"/>
      <c r="DQ242" s="712"/>
      <c r="DR242" s="712"/>
      <c r="DS242" s="712"/>
      <c r="DT242" s="712"/>
      <c r="DU242" s="712"/>
      <c r="DV242" s="712"/>
      <c r="DW242" s="712"/>
      <c r="DX242" s="712"/>
      <c r="DY242" s="712"/>
      <c r="DZ242" s="712"/>
      <c r="EA242" s="712"/>
      <c r="EB242" s="712"/>
      <c r="EC242" s="712"/>
      <c r="ED242" s="712"/>
      <c r="EE242" s="712"/>
      <c r="EF242" s="712"/>
      <c r="EG242" s="712"/>
      <c r="EH242" s="712"/>
      <c r="EI242" s="712"/>
      <c r="EJ242" s="712"/>
      <c r="EK242" s="712"/>
      <c r="EL242" s="712"/>
      <c r="EM242" s="712"/>
      <c r="EN242" s="712"/>
      <c r="EP242" s="946"/>
    </row>
    <row r="243" spans="7:146" ht="12.75">
      <c r="G243" s="714"/>
      <c r="H243" s="714" t="s">
        <v>58</v>
      </c>
      <c r="BA243" s="720">
        <f t="shared" ref="BA243:CS243" si="4084">BA195-BA157</f>
        <v>-7102.6220000000003</v>
      </c>
      <c r="BB243" s="720">
        <f t="shared" si="4084"/>
        <v>-805.50000000000011</v>
      </c>
      <c r="BC243" s="720">
        <f t="shared" si="4084"/>
        <v>0</v>
      </c>
      <c r="BD243" s="720">
        <f t="shared" si="4084"/>
        <v>0</v>
      </c>
      <c r="BE243" s="720">
        <f t="shared" si="4084"/>
        <v>0</v>
      </c>
      <c r="BF243" s="720">
        <f t="shared" si="4084"/>
        <v>0</v>
      </c>
      <c r="BG243" s="720">
        <f t="shared" si="4084"/>
        <v>0</v>
      </c>
      <c r="BH243" s="720">
        <f t="shared" si="4084"/>
        <v>-899.90220740000007</v>
      </c>
      <c r="BI243" s="720">
        <f t="shared" si="4084"/>
        <v>-8808.0242073999998</v>
      </c>
      <c r="BJ243" s="720">
        <f t="shared" si="4084"/>
        <v>-5962.2572000000009</v>
      </c>
      <c r="BK243" s="720">
        <f t="shared" si="4084"/>
        <v>-658.30000000000007</v>
      </c>
      <c r="BL243" s="720">
        <f t="shared" si="4084"/>
        <v>0</v>
      </c>
      <c r="BM243" s="720">
        <f t="shared" si="4084"/>
        <v>0</v>
      </c>
      <c r="BN243" s="720">
        <f t="shared" si="4084"/>
        <v>0</v>
      </c>
      <c r="BO243" s="720">
        <f t="shared" si="4084"/>
        <v>0</v>
      </c>
      <c r="BP243" s="720">
        <f t="shared" si="4084"/>
        <v>0</v>
      </c>
      <c r="BQ243" s="720">
        <f t="shared" si="4084"/>
        <v>-755.41798724000012</v>
      </c>
      <c r="BR243" s="720">
        <f t="shared" si="4084"/>
        <v>-7375.9751872400002</v>
      </c>
      <c r="BS243" s="720">
        <f t="shared" si="4084"/>
        <v>-1140.3648000000001</v>
      </c>
      <c r="BT243" s="720">
        <f t="shared" si="4084"/>
        <v>-147.20000000000002</v>
      </c>
      <c r="BU243" s="720">
        <f t="shared" si="4084"/>
        <v>0</v>
      </c>
      <c r="BV243" s="720">
        <f t="shared" si="4084"/>
        <v>0</v>
      </c>
      <c r="BW243" s="720">
        <f t="shared" si="4084"/>
        <v>0</v>
      </c>
      <c r="BX243" s="720">
        <f t="shared" si="4084"/>
        <v>0</v>
      </c>
      <c r="BY243" s="720">
        <f t="shared" si="4084"/>
        <v>0</v>
      </c>
      <c r="BZ243" s="720">
        <f t="shared" si="4084"/>
        <v>-120.982832</v>
      </c>
      <c r="CA243" s="720">
        <f t="shared" si="4084"/>
        <v>-1408.547632</v>
      </c>
      <c r="CB243" s="720">
        <f t="shared" si="4084"/>
        <v>0</v>
      </c>
      <c r="CC243" s="720">
        <f t="shared" si="4084"/>
        <v>0</v>
      </c>
      <c r="CD243" s="720">
        <f t="shared" si="4084"/>
        <v>0</v>
      </c>
      <c r="CE243" s="720">
        <f t="shared" si="4084"/>
        <v>0</v>
      </c>
      <c r="CF243" s="720">
        <f t="shared" si="4084"/>
        <v>0</v>
      </c>
      <c r="CG243" s="720">
        <f t="shared" si="4084"/>
        <v>0</v>
      </c>
      <c r="CH243" s="720">
        <f t="shared" si="4084"/>
        <v>0</v>
      </c>
      <c r="CI243" s="720">
        <f t="shared" si="4084"/>
        <v>0</v>
      </c>
      <c r="CJ243" s="720">
        <f t="shared" si="4084"/>
        <v>0</v>
      </c>
      <c r="CK243" s="720">
        <f t="shared" si="4084"/>
        <v>14205.244000000001</v>
      </c>
      <c r="CL243" s="720">
        <f t="shared" si="4084"/>
        <v>1611.0000000000002</v>
      </c>
      <c r="CM243" s="720">
        <f t="shared" si="4084"/>
        <v>0</v>
      </c>
      <c r="CN243" s="720">
        <f t="shared" si="4084"/>
        <v>0</v>
      </c>
      <c r="CO243" s="720">
        <f t="shared" si="4084"/>
        <v>0</v>
      </c>
      <c r="CP243" s="720">
        <f t="shared" si="4084"/>
        <v>0</v>
      </c>
      <c r="CQ243" s="720">
        <f t="shared" si="4084"/>
        <v>0</v>
      </c>
      <c r="CR243" s="720">
        <f t="shared" si="4084"/>
        <v>1776.3030266400001</v>
      </c>
      <c r="CS243" s="720">
        <f t="shared" si="4084"/>
        <v>17592.547026640001</v>
      </c>
      <c r="CV243" s="712"/>
      <c r="CW243" s="712"/>
      <c r="CX243" s="712"/>
      <c r="CY243" s="712"/>
      <c r="CZ243" s="712"/>
      <c r="DA243" s="712"/>
      <c r="DB243" s="712"/>
      <c r="DC243" s="712"/>
      <c r="DD243" s="712"/>
      <c r="DE243" s="712"/>
      <c r="DF243" s="712"/>
      <c r="DG243" s="712"/>
      <c r="DH243" s="712"/>
      <c r="DI243" s="712"/>
      <c r="DJ243" s="712"/>
      <c r="DK243" s="712"/>
      <c r="DL243" s="712"/>
      <c r="DM243" s="712"/>
      <c r="DN243" s="712"/>
      <c r="DO243" s="712"/>
      <c r="DP243" s="712"/>
      <c r="DQ243" s="712"/>
      <c r="DR243" s="712"/>
      <c r="DS243" s="712"/>
      <c r="DT243" s="712"/>
      <c r="DU243" s="712"/>
      <c r="DV243" s="712"/>
      <c r="DW243" s="712"/>
      <c r="DX243" s="712"/>
      <c r="DY243" s="712"/>
      <c r="DZ243" s="712"/>
      <c r="EA243" s="712"/>
      <c r="EB243" s="712"/>
      <c r="EC243" s="712"/>
      <c r="ED243" s="712"/>
      <c r="EE243" s="712"/>
      <c r="EF243" s="712"/>
      <c r="EG243" s="712"/>
      <c r="EH243" s="712"/>
      <c r="EI243" s="712"/>
      <c r="EJ243" s="712"/>
      <c r="EK243" s="712"/>
      <c r="EL243" s="712"/>
      <c r="EM243" s="712"/>
      <c r="EN243" s="712"/>
      <c r="EP243" s="946"/>
    </row>
    <row r="244" spans="7:146" ht="12.75">
      <c r="G244" s="714"/>
      <c r="H244" s="714" t="s">
        <v>64</v>
      </c>
      <c r="BA244" s="720">
        <f t="shared" ref="BA244:CS244" si="4085">BA196-BA158</f>
        <v>-38388.4804</v>
      </c>
      <c r="BB244" s="720">
        <f t="shared" si="4085"/>
        <v>-14251.0988</v>
      </c>
      <c r="BC244" s="720">
        <f t="shared" si="4085"/>
        <v>0</v>
      </c>
      <c r="BD244" s="720">
        <f t="shared" si="4085"/>
        <v>0</v>
      </c>
      <c r="BE244" s="720">
        <f t="shared" si="4085"/>
        <v>0</v>
      </c>
      <c r="BF244" s="720">
        <f t="shared" si="4085"/>
        <v>0</v>
      </c>
      <c r="BG244" s="720">
        <f t="shared" si="4085"/>
        <v>0</v>
      </c>
      <c r="BH244" s="720">
        <f t="shared" si="4085"/>
        <v>-4863.8204666800002</v>
      </c>
      <c r="BI244" s="720">
        <f t="shared" si="4085"/>
        <v>-57503.399666680001</v>
      </c>
      <c r="BJ244" s="720">
        <f t="shared" si="4085"/>
        <v>-27533.457600000002</v>
      </c>
      <c r="BK244" s="720">
        <f t="shared" si="4085"/>
        <v>-10507.547200000001</v>
      </c>
      <c r="BL244" s="720">
        <f t="shared" si="4085"/>
        <v>0</v>
      </c>
      <c r="BM244" s="720">
        <f t="shared" si="4085"/>
        <v>0</v>
      </c>
      <c r="BN244" s="720">
        <f t="shared" si="4085"/>
        <v>0</v>
      </c>
      <c r="BO244" s="720">
        <f t="shared" si="4085"/>
        <v>0</v>
      </c>
      <c r="BP244" s="720">
        <f t="shared" si="4085"/>
        <v>0</v>
      </c>
      <c r="BQ244" s="720">
        <f t="shared" si="4085"/>
        <v>-3488.4890779200005</v>
      </c>
      <c r="BR244" s="720">
        <f t="shared" si="4085"/>
        <v>-41529.493877919995</v>
      </c>
      <c r="BS244" s="720">
        <f t="shared" si="4085"/>
        <v>-3762.8420000000001</v>
      </c>
      <c r="BT244" s="720">
        <f t="shared" si="4085"/>
        <v>-1314.404</v>
      </c>
      <c r="BU244" s="720">
        <f t="shared" si="4085"/>
        <v>0</v>
      </c>
      <c r="BV244" s="720">
        <f t="shared" si="4085"/>
        <v>0</v>
      </c>
      <c r="BW244" s="720">
        <f t="shared" si="4085"/>
        <v>0</v>
      </c>
      <c r="BX244" s="720">
        <f t="shared" si="4085"/>
        <v>0</v>
      </c>
      <c r="BY244" s="720">
        <f t="shared" si="4085"/>
        <v>0</v>
      </c>
      <c r="BZ244" s="720">
        <f t="shared" si="4085"/>
        <v>-476.75208140000001</v>
      </c>
      <c r="CA244" s="720">
        <f t="shared" si="4085"/>
        <v>-5553.9980814</v>
      </c>
      <c r="CB244" s="720">
        <f t="shared" si="4085"/>
        <v>-8617.5</v>
      </c>
      <c r="CC244" s="720">
        <f t="shared" si="4085"/>
        <v>-3024.63</v>
      </c>
      <c r="CD244" s="720">
        <f t="shared" si="4085"/>
        <v>0</v>
      </c>
      <c r="CE244" s="720">
        <f t="shared" si="4085"/>
        <v>0</v>
      </c>
      <c r="CF244" s="720">
        <f t="shared" si="4085"/>
        <v>0</v>
      </c>
      <c r="CG244" s="720">
        <f t="shared" si="4085"/>
        <v>0</v>
      </c>
      <c r="CH244" s="720">
        <f t="shared" si="4085"/>
        <v>0</v>
      </c>
      <c r="CI244" s="720">
        <f t="shared" si="4085"/>
        <v>-1091.83725</v>
      </c>
      <c r="CJ244" s="720">
        <f t="shared" si="4085"/>
        <v>-12733.96725</v>
      </c>
      <c r="CK244" s="720">
        <f t="shared" si="4085"/>
        <v>78302.28</v>
      </c>
      <c r="CL244" s="720">
        <f t="shared" si="4085"/>
        <v>29097.68</v>
      </c>
      <c r="CM244" s="720">
        <f t="shared" si="4085"/>
        <v>0</v>
      </c>
      <c r="CN244" s="720">
        <f t="shared" si="4085"/>
        <v>0</v>
      </c>
      <c r="CO244" s="720">
        <f t="shared" si="4085"/>
        <v>0</v>
      </c>
      <c r="CP244" s="720">
        <f t="shared" si="4085"/>
        <v>0</v>
      </c>
      <c r="CQ244" s="720">
        <f t="shared" si="4085"/>
        <v>0</v>
      </c>
      <c r="CR244" s="720">
        <f t="shared" si="4085"/>
        <v>9920.8988759999993</v>
      </c>
      <c r="CS244" s="720">
        <f t="shared" si="4085"/>
        <v>117320.85887599998</v>
      </c>
      <c r="CV244" s="712"/>
      <c r="CW244" s="712"/>
      <c r="CX244" s="712"/>
      <c r="CY244" s="712"/>
      <c r="CZ244" s="712"/>
      <c r="DA244" s="712"/>
      <c r="DB244" s="712"/>
      <c r="DC244" s="712"/>
      <c r="DD244" s="712"/>
      <c r="DE244" s="712"/>
      <c r="DF244" s="712"/>
      <c r="DG244" s="712"/>
      <c r="DH244" s="712"/>
      <c r="DI244" s="712"/>
      <c r="DJ244" s="712"/>
      <c r="DK244" s="712"/>
      <c r="DL244" s="712"/>
      <c r="DM244" s="712"/>
      <c r="DN244" s="712"/>
      <c r="DO244" s="712"/>
      <c r="DP244" s="712"/>
      <c r="DQ244" s="712"/>
      <c r="DR244" s="712"/>
      <c r="DS244" s="712"/>
      <c r="DT244" s="712"/>
      <c r="DU244" s="712"/>
      <c r="DV244" s="712"/>
      <c r="DW244" s="712"/>
      <c r="DX244" s="712"/>
      <c r="DY244" s="712"/>
      <c r="DZ244" s="712"/>
      <c r="EA244" s="712"/>
      <c r="EB244" s="712"/>
      <c r="EC244" s="712"/>
      <c r="ED244" s="712"/>
      <c r="EE244" s="712"/>
      <c r="EF244" s="712"/>
      <c r="EG244" s="712"/>
      <c r="EH244" s="712"/>
      <c r="EI244" s="712"/>
      <c r="EJ244" s="712"/>
      <c r="EK244" s="712"/>
      <c r="EL244" s="712"/>
      <c r="EM244" s="712"/>
      <c r="EN244" s="712"/>
      <c r="EP244" s="946"/>
    </row>
    <row r="245" spans="7:146" ht="12.75">
      <c r="G245" s="714"/>
      <c r="H245" s="714" t="s">
        <v>69</v>
      </c>
      <c r="BA245" s="720">
        <f t="shared" ref="BA245:CS245" si="4086">BA197-BA159</f>
        <v>0</v>
      </c>
      <c r="BB245" s="720">
        <f t="shared" si="4086"/>
        <v>0</v>
      </c>
      <c r="BC245" s="720">
        <f t="shared" si="4086"/>
        <v>0</v>
      </c>
      <c r="BD245" s="720">
        <f t="shared" si="4086"/>
        <v>0</v>
      </c>
      <c r="BE245" s="720">
        <f t="shared" si="4086"/>
        <v>0</v>
      </c>
      <c r="BF245" s="720">
        <f t="shared" si="4086"/>
        <v>0</v>
      </c>
      <c r="BG245" s="720">
        <f t="shared" si="4086"/>
        <v>0</v>
      </c>
      <c r="BH245" s="720">
        <f t="shared" si="4086"/>
        <v>0</v>
      </c>
      <c r="BI245" s="720">
        <f t="shared" si="4086"/>
        <v>0</v>
      </c>
      <c r="BJ245" s="720">
        <f t="shared" si="4086"/>
        <v>0</v>
      </c>
      <c r="BK245" s="720">
        <f t="shared" si="4086"/>
        <v>0</v>
      </c>
      <c r="BL245" s="720">
        <f t="shared" si="4086"/>
        <v>0</v>
      </c>
      <c r="BM245" s="720">
        <f t="shared" si="4086"/>
        <v>0</v>
      </c>
      <c r="BN245" s="720">
        <f t="shared" si="4086"/>
        <v>0</v>
      </c>
      <c r="BO245" s="720">
        <f t="shared" si="4086"/>
        <v>0</v>
      </c>
      <c r="BP245" s="720">
        <f t="shared" si="4086"/>
        <v>0</v>
      </c>
      <c r="BQ245" s="720">
        <f t="shared" si="4086"/>
        <v>0</v>
      </c>
      <c r="BR245" s="720">
        <f t="shared" si="4086"/>
        <v>0</v>
      </c>
      <c r="BS245" s="720">
        <f t="shared" si="4086"/>
        <v>0</v>
      </c>
      <c r="BT245" s="720">
        <f t="shared" si="4086"/>
        <v>0</v>
      </c>
      <c r="BU245" s="720">
        <f t="shared" si="4086"/>
        <v>0</v>
      </c>
      <c r="BV245" s="720">
        <f t="shared" si="4086"/>
        <v>0</v>
      </c>
      <c r="BW245" s="720">
        <f t="shared" si="4086"/>
        <v>0</v>
      </c>
      <c r="BX245" s="720">
        <f t="shared" si="4086"/>
        <v>0</v>
      </c>
      <c r="BY245" s="720">
        <f t="shared" si="4086"/>
        <v>0</v>
      </c>
      <c r="BZ245" s="720">
        <f t="shared" si="4086"/>
        <v>0</v>
      </c>
      <c r="CA245" s="720">
        <f t="shared" si="4086"/>
        <v>0</v>
      </c>
      <c r="CB245" s="720">
        <f t="shared" si="4086"/>
        <v>0</v>
      </c>
      <c r="CC245" s="720">
        <f t="shared" si="4086"/>
        <v>0</v>
      </c>
      <c r="CD245" s="720">
        <f t="shared" si="4086"/>
        <v>0</v>
      </c>
      <c r="CE245" s="720">
        <f t="shared" si="4086"/>
        <v>0</v>
      </c>
      <c r="CF245" s="720">
        <f t="shared" si="4086"/>
        <v>0</v>
      </c>
      <c r="CG245" s="720">
        <f t="shared" si="4086"/>
        <v>0</v>
      </c>
      <c r="CH245" s="720">
        <f t="shared" si="4086"/>
        <v>0</v>
      </c>
      <c r="CI245" s="720">
        <f t="shared" si="4086"/>
        <v>0</v>
      </c>
      <c r="CJ245" s="720">
        <f t="shared" si="4086"/>
        <v>0</v>
      </c>
      <c r="CK245" s="720">
        <f>CK197-CK159</f>
        <v>0</v>
      </c>
      <c r="CL245" s="720">
        <f t="shared" si="4086"/>
        <v>0</v>
      </c>
      <c r="CM245" s="720">
        <f t="shared" si="4086"/>
        <v>0</v>
      </c>
      <c r="CN245" s="720">
        <f t="shared" si="4086"/>
        <v>0</v>
      </c>
      <c r="CO245" s="720">
        <f t="shared" si="4086"/>
        <v>0</v>
      </c>
      <c r="CP245" s="720">
        <f t="shared" si="4086"/>
        <v>0</v>
      </c>
      <c r="CQ245" s="720">
        <f t="shared" si="4086"/>
        <v>0</v>
      </c>
      <c r="CR245" s="720">
        <f t="shared" si="4086"/>
        <v>0</v>
      </c>
      <c r="CS245" s="720">
        <f t="shared" si="4086"/>
        <v>0</v>
      </c>
      <c r="CV245" s="712"/>
      <c r="CW245" s="712"/>
      <c r="CX245" s="712"/>
      <c r="CY245" s="712"/>
      <c r="CZ245" s="712"/>
      <c r="DA245" s="712"/>
      <c r="DB245" s="712"/>
      <c r="DC245" s="712"/>
      <c r="DD245" s="712"/>
      <c r="DE245" s="712"/>
      <c r="DF245" s="712"/>
      <c r="DG245" s="712"/>
      <c r="DH245" s="712"/>
      <c r="DI245" s="712"/>
      <c r="DJ245" s="712"/>
      <c r="DK245" s="712"/>
      <c r="DL245" s="712"/>
      <c r="DM245" s="712"/>
      <c r="DN245" s="712"/>
      <c r="DO245" s="712"/>
      <c r="DP245" s="712"/>
      <c r="DQ245" s="712"/>
      <c r="DR245" s="712"/>
      <c r="DS245" s="712"/>
      <c r="DT245" s="712"/>
      <c r="DU245" s="712"/>
      <c r="DV245" s="712"/>
      <c r="DW245" s="712"/>
      <c r="DX245" s="712"/>
      <c r="DY245" s="712"/>
      <c r="DZ245" s="712"/>
      <c r="EA245" s="712"/>
      <c r="EB245" s="712"/>
      <c r="EC245" s="712"/>
      <c r="ED245" s="712"/>
      <c r="EE245" s="712"/>
      <c r="EF245" s="712"/>
      <c r="EG245" s="712"/>
      <c r="EH245" s="712"/>
      <c r="EI245" s="712"/>
      <c r="EJ245" s="712"/>
      <c r="EK245" s="712"/>
      <c r="EL245" s="712"/>
      <c r="EM245" s="712"/>
      <c r="EN245" s="712"/>
      <c r="EP245" s="946"/>
    </row>
    <row r="246" spans="7:146" ht="12.75">
      <c r="G246" s="714"/>
      <c r="H246" s="714" t="s">
        <v>71</v>
      </c>
      <c r="BA246" s="720">
        <f t="shared" ref="BA246:CS246" si="4087">BA198-BA160</f>
        <v>-16697.642500000002</v>
      </c>
      <c r="BB246" s="720">
        <f t="shared" si="4087"/>
        <v>-3774.3575000000001</v>
      </c>
      <c r="BC246" s="720">
        <f t="shared" si="4087"/>
        <v>-72</v>
      </c>
      <c r="BD246" s="720">
        <f t="shared" si="4087"/>
        <v>-1902.660625</v>
      </c>
      <c r="BE246" s="720">
        <f t="shared" si="4087"/>
        <v>0</v>
      </c>
      <c r="BF246" s="720">
        <f t="shared" si="4087"/>
        <v>0</v>
      </c>
      <c r="BG246" s="720">
        <f t="shared" si="4087"/>
        <v>0</v>
      </c>
      <c r="BH246" s="720">
        <f t="shared" si="4087"/>
        <v>-2356.6584059375</v>
      </c>
      <c r="BI246" s="720">
        <f t="shared" si="4087"/>
        <v>-24731.319030937499</v>
      </c>
      <c r="BJ246" s="720">
        <f t="shared" si="4087"/>
        <v>-8845.3855000000003</v>
      </c>
      <c r="BK246" s="720">
        <f t="shared" si="4087"/>
        <v>-2158.6144999999997</v>
      </c>
      <c r="BL246" s="720">
        <f t="shared" si="4087"/>
        <v>-97.5</v>
      </c>
      <c r="BM246" s="720">
        <f t="shared" si="4087"/>
        <v>-2833.910625</v>
      </c>
      <c r="BN246" s="720">
        <f t="shared" si="4087"/>
        <v>0</v>
      </c>
      <c r="BO246" s="720">
        <f t="shared" si="4087"/>
        <v>0</v>
      </c>
      <c r="BP246" s="720">
        <f t="shared" si="4087"/>
        <v>0</v>
      </c>
      <c r="BQ246" s="720">
        <f t="shared" si="4087"/>
        <v>-1479.7668190375002</v>
      </c>
      <c r="BR246" s="720">
        <f t="shared" si="4087"/>
        <v>-15317.677444037499</v>
      </c>
      <c r="BS246" s="720">
        <f t="shared" si="4087"/>
        <v>-5582.2569999999996</v>
      </c>
      <c r="BT246" s="720">
        <f t="shared" si="4087"/>
        <v>-1385.7429999999999</v>
      </c>
      <c r="BU246" s="720">
        <f t="shared" si="4087"/>
        <v>0</v>
      </c>
      <c r="BV246" s="720">
        <f t="shared" si="4087"/>
        <v>0</v>
      </c>
      <c r="BW246" s="720">
        <f t="shared" si="4087"/>
        <v>0</v>
      </c>
      <c r="BX246" s="720">
        <f t="shared" si="4087"/>
        <v>0</v>
      </c>
      <c r="BY246" s="720">
        <f t="shared" si="4087"/>
        <v>0</v>
      </c>
      <c r="BZ246" s="720">
        <f t="shared" si="4087"/>
        <v>-707.27196189999995</v>
      </c>
      <c r="CA246" s="720">
        <f t="shared" si="4087"/>
        <v>-7675.2719619000009</v>
      </c>
      <c r="CB246" s="720">
        <f t="shared" si="4087"/>
        <v>-566</v>
      </c>
      <c r="CC246" s="720">
        <f t="shared" si="4087"/>
        <v>-210</v>
      </c>
      <c r="CD246" s="720">
        <f t="shared" si="4087"/>
        <v>0</v>
      </c>
      <c r="CE246" s="720">
        <f t="shared" si="4087"/>
        <v>0</v>
      </c>
      <c r="CF246" s="720">
        <f t="shared" si="4087"/>
        <v>0</v>
      </c>
      <c r="CG246" s="720">
        <f t="shared" si="4087"/>
        <v>0</v>
      </c>
      <c r="CH246" s="720">
        <f t="shared" si="4087"/>
        <v>0</v>
      </c>
      <c r="CI246" s="720">
        <f t="shared" si="4087"/>
        <v>-71.712199999999996</v>
      </c>
      <c r="CJ246" s="720">
        <f t="shared" si="4087"/>
        <v>-847.71220000000005</v>
      </c>
      <c r="CK246" s="720">
        <f t="shared" si="4087"/>
        <v>31691.285</v>
      </c>
      <c r="CL246" s="720">
        <f t="shared" si="4087"/>
        <v>7528.7150000000001</v>
      </c>
      <c r="CM246" s="720">
        <f t="shared" si="4087"/>
        <v>169.5</v>
      </c>
      <c r="CN246" s="720">
        <f t="shared" si="4087"/>
        <v>4736.57125</v>
      </c>
      <c r="CO246" s="720">
        <f t="shared" si="4087"/>
        <v>0</v>
      </c>
      <c r="CP246" s="720">
        <f t="shared" si="4087"/>
        <v>0</v>
      </c>
      <c r="CQ246" s="720">
        <f t="shared" si="4087"/>
        <v>0</v>
      </c>
      <c r="CR246" s="720">
        <f t="shared" si="4087"/>
        <v>4615.4093868750006</v>
      </c>
      <c r="CS246" s="720">
        <f t="shared" si="4087"/>
        <v>48571.980636875</v>
      </c>
      <c r="CV246" s="712"/>
      <c r="CW246" s="712"/>
      <c r="CX246" s="712"/>
      <c r="CY246" s="712"/>
      <c r="CZ246" s="712"/>
      <c r="DA246" s="712"/>
      <c r="DB246" s="712"/>
      <c r="DC246" s="712"/>
      <c r="DD246" s="712"/>
      <c r="DE246" s="712"/>
      <c r="DF246" s="712"/>
      <c r="DG246" s="712"/>
      <c r="DH246" s="712"/>
      <c r="DI246" s="712"/>
      <c r="DJ246" s="712"/>
      <c r="DK246" s="712"/>
      <c r="DL246" s="712"/>
      <c r="DM246" s="712"/>
      <c r="DN246" s="712"/>
      <c r="DO246" s="712"/>
      <c r="DP246" s="712"/>
      <c r="DQ246" s="712"/>
      <c r="DR246" s="712"/>
      <c r="DS246" s="712"/>
      <c r="DT246" s="712"/>
      <c r="DU246" s="712"/>
      <c r="DV246" s="712"/>
      <c r="DW246" s="712"/>
      <c r="DX246" s="712"/>
      <c r="DY246" s="712"/>
      <c r="DZ246" s="712"/>
      <c r="EA246" s="712"/>
      <c r="EB246" s="712"/>
      <c r="EC246" s="712"/>
      <c r="ED246" s="712"/>
      <c r="EE246" s="712"/>
      <c r="EF246" s="712"/>
      <c r="EG246" s="712"/>
      <c r="EH246" s="712"/>
      <c r="EI246" s="712"/>
      <c r="EJ246" s="712"/>
      <c r="EK246" s="712"/>
      <c r="EL246" s="712"/>
      <c r="EM246" s="712"/>
      <c r="EN246" s="712"/>
      <c r="EP246" s="946"/>
    </row>
    <row r="247" spans="7:146" ht="12.75">
      <c r="G247" s="714"/>
      <c r="H247" s="714" t="s">
        <v>74</v>
      </c>
      <c r="BA247" s="720">
        <f t="shared" ref="BA247:CS247" si="4088">BA199-BA161</f>
        <v>-7990</v>
      </c>
      <c r="BB247" s="720">
        <f t="shared" si="4088"/>
        <v>-4320</v>
      </c>
      <c r="BC247" s="720">
        <f t="shared" si="4088"/>
        <v>0</v>
      </c>
      <c r="BD247" s="720">
        <f t="shared" si="4088"/>
        <v>0</v>
      </c>
      <c r="BE247" s="720">
        <f t="shared" si="4088"/>
        <v>0</v>
      </c>
      <c r="BF247" s="720">
        <f t="shared" si="4088"/>
        <v>0</v>
      </c>
      <c r="BG247" s="720">
        <f t="shared" si="4088"/>
        <v>0</v>
      </c>
      <c r="BH247" s="720">
        <f t="shared" si="4088"/>
        <v>-1012.3330000000001</v>
      </c>
      <c r="BI247" s="720">
        <f t="shared" si="4088"/>
        <v>-13322.332999999999</v>
      </c>
      <c r="BJ247" s="720">
        <f t="shared" si="4088"/>
        <v>-7044</v>
      </c>
      <c r="BK247" s="720">
        <f t="shared" si="4088"/>
        <v>-3867</v>
      </c>
      <c r="BL247" s="720">
        <f t="shared" si="4088"/>
        <v>0</v>
      </c>
      <c r="BM247" s="720">
        <f t="shared" si="4088"/>
        <v>0</v>
      </c>
      <c r="BN247" s="720">
        <f t="shared" si="4088"/>
        <v>0</v>
      </c>
      <c r="BO247" s="720">
        <f t="shared" si="4088"/>
        <v>0</v>
      </c>
      <c r="BP247" s="720">
        <f t="shared" si="4088"/>
        <v>0</v>
      </c>
      <c r="BQ247" s="720">
        <f t="shared" si="4088"/>
        <v>-892.47480000000007</v>
      </c>
      <c r="BR247" s="720">
        <f t="shared" si="4088"/>
        <v>-11803.4748</v>
      </c>
      <c r="BS247" s="720">
        <f t="shared" si="4088"/>
        <v>-736</v>
      </c>
      <c r="BT247" s="720">
        <f t="shared" si="4088"/>
        <v>-423</v>
      </c>
      <c r="BU247" s="720">
        <f t="shared" si="4088"/>
        <v>0</v>
      </c>
      <c r="BV247" s="720">
        <f t="shared" si="4088"/>
        <v>0</v>
      </c>
      <c r="BW247" s="720">
        <f t="shared" si="4088"/>
        <v>0</v>
      </c>
      <c r="BX247" s="720">
        <f t="shared" si="4088"/>
        <v>0</v>
      </c>
      <c r="BY247" s="720">
        <f t="shared" si="4088"/>
        <v>0</v>
      </c>
      <c r="BZ247" s="720">
        <f t="shared" si="4088"/>
        <v>-93.251200000000011</v>
      </c>
      <c r="CA247" s="720">
        <f t="shared" si="4088"/>
        <v>-1252.2512000000002</v>
      </c>
      <c r="CB247" s="720">
        <f t="shared" si="4088"/>
        <v>-630</v>
      </c>
      <c r="CC247" s="720">
        <f t="shared" si="4088"/>
        <v>-90</v>
      </c>
      <c r="CD247" s="720">
        <f t="shared" si="4088"/>
        <v>0</v>
      </c>
      <c r="CE247" s="720">
        <f t="shared" si="4088"/>
        <v>0</v>
      </c>
      <c r="CF247" s="720">
        <f t="shared" si="4088"/>
        <v>0</v>
      </c>
      <c r="CG247" s="720">
        <f t="shared" si="4088"/>
        <v>0</v>
      </c>
      <c r="CH247" s="720">
        <f t="shared" si="4088"/>
        <v>0</v>
      </c>
      <c r="CI247" s="720">
        <f t="shared" si="4088"/>
        <v>-79.820999999999998</v>
      </c>
      <c r="CJ247" s="720">
        <f t="shared" si="4088"/>
        <v>-799.82100000000003</v>
      </c>
      <c r="CK247" s="720">
        <f t="shared" si="4088"/>
        <v>16400</v>
      </c>
      <c r="CL247" s="720">
        <f t="shared" si="4088"/>
        <v>8700</v>
      </c>
      <c r="CM247" s="720">
        <f t="shared" si="4088"/>
        <v>0</v>
      </c>
      <c r="CN247" s="720">
        <f t="shared" si="4088"/>
        <v>0</v>
      </c>
      <c r="CO247" s="720">
        <f t="shared" si="4088"/>
        <v>0</v>
      </c>
      <c r="CP247" s="720">
        <f t="shared" si="4088"/>
        <v>0</v>
      </c>
      <c r="CQ247" s="720">
        <f t="shared" si="4088"/>
        <v>0</v>
      </c>
      <c r="CR247" s="720">
        <f t="shared" si="4088"/>
        <v>2077.88</v>
      </c>
      <c r="CS247" s="720">
        <f t="shared" si="4088"/>
        <v>27177.879999999997</v>
      </c>
      <c r="CV247" s="712"/>
      <c r="CW247" s="712"/>
      <c r="CX247" s="712"/>
      <c r="CY247" s="712"/>
      <c r="CZ247" s="712"/>
      <c r="DA247" s="712"/>
      <c r="DB247" s="712"/>
      <c r="DC247" s="712"/>
      <c r="DD247" s="712"/>
      <c r="DE247" s="712"/>
      <c r="DF247" s="712"/>
      <c r="DG247" s="712"/>
      <c r="DH247" s="712"/>
      <c r="DI247" s="712"/>
      <c r="DJ247" s="712"/>
      <c r="DK247" s="712"/>
      <c r="DL247" s="712"/>
      <c r="DM247" s="712"/>
      <c r="DN247" s="712"/>
      <c r="DO247" s="712"/>
      <c r="DP247" s="712"/>
      <c r="DQ247" s="712"/>
      <c r="DR247" s="712"/>
      <c r="DS247" s="712"/>
      <c r="DT247" s="712"/>
      <c r="DU247" s="712"/>
      <c r="DV247" s="712"/>
      <c r="DW247" s="712"/>
      <c r="DX247" s="712"/>
      <c r="DY247" s="712"/>
      <c r="DZ247" s="712"/>
      <c r="EA247" s="712"/>
      <c r="EB247" s="712"/>
      <c r="EC247" s="712"/>
      <c r="ED247" s="712"/>
      <c r="EE247" s="712"/>
      <c r="EF247" s="712"/>
      <c r="EG247" s="712"/>
      <c r="EH247" s="712"/>
      <c r="EI247" s="712"/>
      <c r="EJ247" s="712"/>
      <c r="EK247" s="712"/>
      <c r="EL247" s="712"/>
      <c r="EM247" s="712"/>
      <c r="EN247" s="712"/>
      <c r="EP247" s="946"/>
    </row>
    <row r="248" spans="7:146" ht="12.75">
      <c r="G248" s="714"/>
      <c r="H248" s="714" t="s">
        <v>76</v>
      </c>
      <c r="BA248" s="720">
        <f t="shared" ref="BA248:CS248" si="4089">BA200-BA162</f>
        <v>-9615.0149999999994</v>
      </c>
      <c r="BB248" s="720">
        <f t="shared" si="4089"/>
        <v>-2925</v>
      </c>
      <c r="BC248" s="720">
        <f t="shared" si="4089"/>
        <v>0</v>
      </c>
      <c r="BD248" s="720">
        <f t="shared" si="4089"/>
        <v>0</v>
      </c>
      <c r="BE248" s="720">
        <f t="shared" si="4089"/>
        <v>0</v>
      </c>
      <c r="BF248" s="720">
        <f t="shared" si="4089"/>
        <v>0</v>
      </c>
      <c r="BG248" s="720">
        <f t="shared" si="4089"/>
        <v>0</v>
      </c>
      <c r="BH248" s="720">
        <f t="shared" si="4089"/>
        <v>-1218.2224005</v>
      </c>
      <c r="BI248" s="720">
        <f t="shared" si="4089"/>
        <v>-13758.2374005</v>
      </c>
      <c r="BJ248" s="720">
        <f t="shared" si="4089"/>
        <v>-8466.2635000000009</v>
      </c>
      <c r="BK248" s="720">
        <f t="shared" si="4089"/>
        <v>-2562.5</v>
      </c>
      <c r="BL248" s="720">
        <f t="shared" si="4089"/>
        <v>0</v>
      </c>
      <c r="BM248" s="720">
        <f t="shared" si="4089"/>
        <v>0</v>
      </c>
      <c r="BN248" s="720">
        <f t="shared" si="4089"/>
        <v>0</v>
      </c>
      <c r="BO248" s="720">
        <f t="shared" si="4089"/>
        <v>0</v>
      </c>
      <c r="BP248" s="720">
        <f t="shared" si="4089"/>
        <v>0</v>
      </c>
      <c r="BQ248" s="720">
        <f t="shared" si="4089"/>
        <v>-1072.6755854500002</v>
      </c>
      <c r="BR248" s="720">
        <f t="shared" si="4089"/>
        <v>-12101.439085450002</v>
      </c>
      <c r="BS248" s="720">
        <f t="shared" si="4089"/>
        <v>-1148.7514999999999</v>
      </c>
      <c r="BT248" s="720">
        <f t="shared" si="4089"/>
        <v>-362.5</v>
      </c>
      <c r="BU248" s="720">
        <f t="shared" si="4089"/>
        <v>0</v>
      </c>
      <c r="BV248" s="720">
        <f t="shared" si="4089"/>
        <v>0</v>
      </c>
      <c r="BW248" s="720">
        <f t="shared" si="4089"/>
        <v>0</v>
      </c>
      <c r="BX248" s="720">
        <f t="shared" si="4089"/>
        <v>0</v>
      </c>
      <c r="BY248" s="720">
        <f t="shared" si="4089"/>
        <v>0</v>
      </c>
      <c r="BZ248" s="720">
        <f t="shared" si="4089"/>
        <v>-145.54681504999999</v>
      </c>
      <c r="CA248" s="720">
        <f t="shared" si="4089"/>
        <v>-1656.7983150499999</v>
      </c>
      <c r="CB248" s="720">
        <f t="shared" si="4089"/>
        <v>-3745</v>
      </c>
      <c r="CC248" s="720">
        <f t="shared" si="4089"/>
        <v>-1400</v>
      </c>
      <c r="CD248" s="720">
        <f t="shared" si="4089"/>
        <v>0</v>
      </c>
      <c r="CE248" s="720">
        <f t="shared" si="4089"/>
        <v>0</v>
      </c>
      <c r="CF248" s="720">
        <f t="shared" si="4089"/>
        <v>0</v>
      </c>
      <c r="CG248" s="720">
        <f t="shared" si="4089"/>
        <v>0</v>
      </c>
      <c r="CH248" s="720">
        <f t="shared" si="4089"/>
        <v>0</v>
      </c>
      <c r="CI248" s="720">
        <f t="shared" si="4089"/>
        <v>-474.49149999999997</v>
      </c>
      <c r="CJ248" s="720">
        <f t="shared" si="4089"/>
        <v>-5619.4915000000001</v>
      </c>
      <c r="CK248" s="720">
        <f t="shared" si="4089"/>
        <v>22975.03</v>
      </c>
      <c r="CL248" s="720">
        <f t="shared" si="4089"/>
        <v>7250</v>
      </c>
      <c r="CM248" s="720">
        <f t="shared" si="4089"/>
        <v>0</v>
      </c>
      <c r="CN248" s="720">
        <f t="shared" si="4089"/>
        <v>0</v>
      </c>
      <c r="CO248" s="720">
        <f t="shared" si="4089"/>
        <v>0</v>
      </c>
      <c r="CP248" s="720">
        <f t="shared" si="4089"/>
        <v>0</v>
      </c>
      <c r="CQ248" s="720">
        <f t="shared" si="4089"/>
        <v>0</v>
      </c>
      <c r="CR248" s="720">
        <f t="shared" si="4089"/>
        <v>2910.9363010000006</v>
      </c>
      <c r="CS248" s="720">
        <f t="shared" si="4089"/>
        <v>33135.966301</v>
      </c>
      <c r="CV248" s="712"/>
      <c r="CW248" s="712"/>
      <c r="CX248" s="712"/>
      <c r="CY248" s="712"/>
      <c r="CZ248" s="712"/>
      <c r="DA248" s="712"/>
      <c r="DB248" s="712"/>
      <c r="DC248" s="712"/>
      <c r="DD248" s="712"/>
      <c r="DE248" s="712"/>
      <c r="DF248" s="712"/>
      <c r="DG248" s="712"/>
      <c r="DH248" s="712"/>
      <c r="DI248" s="712"/>
      <c r="DJ248" s="712"/>
      <c r="DK248" s="712"/>
      <c r="DL248" s="712"/>
      <c r="DM248" s="712"/>
      <c r="DN248" s="712"/>
      <c r="DO248" s="712"/>
      <c r="DP248" s="712"/>
      <c r="DQ248" s="712"/>
      <c r="DR248" s="712"/>
      <c r="DS248" s="712"/>
      <c r="DT248" s="712"/>
      <c r="DU248" s="712"/>
      <c r="DV248" s="712"/>
      <c r="DW248" s="712"/>
      <c r="DX248" s="712"/>
      <c r="DY248" s="712"/>
      <c r="DZ248" s="712"/>
      <c r="EA248" s="712"/>
      <c r="EB248" s="712"/>
      <c r="EC248" s="712"/>
      <c r="ED248" s="712"/>
      <c r="EE248" s="712"/>
      <c r="EF248" s="712"/>
      <c r="EG248" s="712"/>
      <c r="EH248" s="712"/>
      <c r="EI248" s="712"/>
      <c r="EJ248" s="712"/>
      <c r="EK248" s="712"/>
      <c r="EL248" s="712"/>
      <c r="EM248" s="712"/>
      <c r="EN248" s="712"/>
      <c r="EP248" s="946"/>
    </row>
    <row r="249" spans="7:146" ht="12.75">
      <c r="G249" s="714"/>
      <c r="H249" s="714" t="s">
        <v>80</v>
      </c>
      <c r="BA249" s="720">
        <f t="shared" ref="BA249:CS249" si="4090">BA201-BA163</f>
        <v>0</v>
      </c>
      <c r="BB249" s="720">
        <f t="shared" si="4090"/>
        <v>0</v>
      </c>
      <c r="BC249" s="720">
        <f t="shared" si="4090"/>
        <v>0</v>
      </c>
      <c r="BD249" s="720">
        <f t="shared" si="4090"/>
        <v>0</v>
      </c>
      <c r="BE249" s="720">
        <f t="shared" si="4090"/>
        <v>0</v>
      </c>
      <c r="BF249" s="720">
        <f t="shared" si="4090"/>
        <v>0</v>
      </c>
      <c r="BG249" s="720">
        <f t="shared" si="4090"/>
        <v>0</v>
      </c>
      <c r="BH249" s="720">
        <f t="shared" si="4090"/>
        <v>0</v>
      </c>
      <c r="BI249" s="720">
        <f t="shared" si="4090"/>
        <v>0</v>
      </c>
      <c r="BJ249" s="720">
        <f t="shared" si="4090"/>
        <v>0</v>
      </c>
      <c r="BK249" s="720">
        <f t="shared" si="4090"/>
        <v>0</v>
      </c>
      <c r="BL249" s="720">
        <f t="shared" si="4090"/>
        <v>0</v>
      </c>
      <c r="BM249" s="720">
        <f t="shared" si="4090"/>
        <v>0</v>
      </c>
      <c r="BN249" s="720">
        <f t="shared" si="4090"/>
        <v>0</v>
      </c>
      <c r="BO249" s="720">
        <f t="shared" si="4090"/>
        <v>0</v>
      </c>
      <c r="BP249" s="720">
        <f t="shared" si="4090"/>
        <v>0</v>
      </c>
      <c r="BQ249" s="720">
        <f t="shared" si="4090"/>
        <v>0</v>
      </c>
      <c r="BR249" s="720">
        <f t="shared" si="4090"/>
        <v>0</v>
      </c>
      <c r="BS249" s="720">
        <f t="shared" si="4090"/>
        <v>0</v>
      </c>
      <c r="BT249" s="720">
        <f t="shared" si="4090"/>
        <v>0</v>
      </c>
      <c r="BU249" s="720">
        <f t="shared" si="4090"/>
        <v>0</v>
      </c>
      <c r="BV249" s="720">
        <f t="shared" si="4090"/>
        <v>0</v>
      </c>
      <c r="BW249" s="720">
        <f t="shared" si="4090"/>
        <v>0</v>
      </c>
      <c r="BX249" s="720">
        <f t="shared" si="4090"/>
        <v>0</v>
      </c>
      <c r="BY249" s="720">
        <f t="shared" si="4090"/>
        <v>0</v>
      </c>
      <c r="BZ249" s="720">
        <f t="shared" si="4090"/>
        <v>0</v>
      </c>
      <c r="CA249" s="720">
        <f t="shared" si="4090"/>
        <v>0</v>
      </c>
      <c r="CB249" s="720">
        <f t="shared" si="4090"/>
        <v>0</v>
      </c>
      <c r="CC249" s="720">
        <f t="shared" si="4090"/>
        <v>0</v>
      </c>
      <c r="CD249" s="720">
        <f t="shared" si="4090"/>
        <v>0</v>
      </c>
      <c r="CE249" s="720">
        <f t="shared" si="4090"/>
        <v>0</v>
      </c>
      <c r="CF249" s="720">
        <f t="shared" si="4090"/>
        <v>0</v>
      </c>
      <c r="CG249" s="720">
        <f t="shared" si="4090"/>
        <v>0</v>
      </c>
      <c r="CH249" s="720">
        <f t="shared" si="4090"/>
        <v>0</v>
      </c>
      <c r="CI249" s="720">
        <f t="shared" si="4090"/>
        <v>0</v>
      </c>
      <c r="CJ249" s="720">
        <f t="shared" si="4090"/>
        <v>0</v>
      </c>
      <c r="CK249" s="720">
        <f t="shared" si="4090"/>
        <v>0</v>
      </c>
      <c r="CL249" s="720">
        <f t="shared" si="4090"/>
        <v>0</v>
      </c>
      <c r="CM249" s="720">
        <f t="shared" si="4090"/>
        <v>0</v>
      </c>
      <c r="CN249" s="720">
        <f t="shared" si="4090"/>
        <v>0</v>
      </c>
      <c r="CO249" s="720">
        <f t="shared" si="4090"/>
        <v>0</v>
      </c>
      <c r="CP249" s="720">
        <f t="shared" si="4090"/>
        <v>0</v>
      </c>
      <c r="CQ249" s="720">
        <f t="shared" si="4090"/>
        <v>0</v>
      </c>
      <c r="CR249" s="720">
        <f t="shared" si="4090"/>
        <v>0</v>
      </c>
      <c r="CS249" s="720">
        <f t="shared" si="4090"/>
        <v>0</v>
      </c>
      <c r="CV249" s="712"/>
      <c r="CW249" s="712"/>
      <c r="CX249" s="712"/>
      <c r="CY249" s="712"/>
      <c r="CZ249" s="712"/>
      <c r="DA249" s="712"/>
      <c r="DB249" s="712"/>
      <c r="DC249" s="712"/>
      <c r="DD249" s="712"/>
      <c r="DE249" s="712"/>
      <c r="DF249" s="712"/>
      <c r="DG249" s="712"/>
      <c r="DH249" s="712"/>
      <c r="DI249" s="712"/>
      <c r="DJ249" s="712"/>
      <c r="DK249" s="712"/>
      <c r="DL249" s="712"/>
      <c r="DM249" s="712"/>
      <c r="DN249" s="712"/>
      <c r="DO249" s="712"/>
      <c r="DP249" s="712"/>
      <c r="DQ249" s="712"/>
      <c r="DR249" s="712"/>
      <c r="DS249" s="712"/>
      <c r="DT249" s="712"/>
      <c r="DU249" s="712"/>
      <c r="DV249" s="712"/>
      <c r="DW249" s="712"/>
      <c r="DX249" s="712"/>
      <c r="DY249" s="712"/>
      <c r="DZ249" s="712"/>
      <c r="EA249" s="712"/>
      <c r="EB249" s="712"/>
      <c r="EC249" s="712"/>
      <c r="ED249" s="712"/>
      <c r="EE249" s="712"/>
      <c r="EF249" s="712"/>
      <c r="EG249" s="712"/>
      <c r="EH249" s="712"/>
      <c r="EI249" s="712"/>
      <c r="EJ249" s="712"/>
      <c r="EK249" s="712"/>
      <c r="EL249" s="712"/>
      <c r="EM249" s="712"/>
      <c r="EN249" s="712"/>
      <c r="EP249" s="946"/>
    </row>
    <row r="250" spans="7:146" ht="12.75">
      <c r="G250" s="714"/>
      <c r="H250" s="714" t="s">
        <v>81</v>
      </c>
      <c r="BA250" s="720">
        <f t="shared" ref="BA250:CS250" si="4091">BA202-BA164</f>
        <v>-12653.945133333333</v>
      </c>
      <c r="BB250" s="720">
        <f t="shared" si="4091"/>
        <v>-4292.7215333333334</v>
      </c>
      <c r="BC250" s="720">
        <f t="shared" si="4091"/>
        <v>0</v>
      </c>
      <c r="BD250" s="720">
        <f t="shared" si="4091"/>
        <v>0</v>
      </c>
      <c r="BE250" s="720">
        <f t="shared" si="4091"/>
        <v>0</v>
      </c>
      <c r="BF250" s="720">
        <f t="shared" si="4091"/>
        <v>0</v>
      </c>
      <c r="BG250" s="720">
        <f t="shared" si="4091"/>
        <v>0</v>
      </c>
      <c r="BH250" s="720">
        <f t="shared" si="4091"/>
        <v>-1603.2548483933335</v>
      </c>
      <c r="BI250" s="720">
        <f t="shared" si="4091"/>
        <v>-18549.921515060003</v>
      </c>
      <c r="BJ250" s="720">
        <f t="shared" si="4091"/>
        <v>-12532.365866666667</v>
      </c>
      <c r="BK250" s="720">
        <f t="shared" si="4091"/>
        <v>-3578.467466666667</v>
      </c>
      <c r="BL250" s="720">
        <f t="shared" si="4091"/>
        <v>0</v>
      </c>
      <c r="BM250" s="720">
        <f t="shared" si="4091"/>
        <v>0</v>
      </c>
      <c r="BN250" s="720">
        <f t="shared" si="4091"/>
        <v>0</v>
      </c>
      <c r="BO250" s="720">
        <f t="shared" si="4091"/>
        <v>0</v>
      </c>
      <c r="BP250" s="720">
        <f t="shared" si="4091"/>
        <v>0</v>
      </c>
      <c r="BQ250" s="720">
        <f t="shared" si="4091"/>
        <v>-1587.8507553066665</v>
      </c>
      <c r="BR250" s="720">
        <f t="shared" si="4091"/>
        <v>-17698.684088640002</v>
      </c>
      <c r="BS250" s="720">
        <f t="shared" si="4091"/>
        <v>-3121.8414666666667</v>
      </c>
      <c r="BT250" s="720">
        <f t="shared" si="4091"/>
        <v>-853.99186666666662</v>
      </c>
      <c r="BU250" s="720">
        <f t="shared" si="4091"/>
        <v>0</v>
      </c>
      <c r="BV250" s="720">
        <f t="shared" si="4091"/>
        <v>0</v>
      </c>
      <c r="BW250" s="720">
        <f t="shared" si="4091"/>
        <v>0</v>
      </c>
      <c r="BX250" s="720">
        <f t="shared" si="4091"/>
        <v>0</v>
      </c>
      <c r="BY250" s="720">
        <f t="shared" si="4091"/>
        <v>0</v>
      </c>
      <c r="BZ250" s="720">
        <f t="shared" si="4091"/>
        <v>-395.53731382666666</v>
      </c>
      <c r="CA250" s="720">
        <f t="shared" si="4091"/>
        <v>-4371.3706471599999</v>
      </c>
      <c r="CB250" s="720">
        <f t="shared" si="4091"/>
        <v>-460.26219999999995</v>
      </c>
      <c r="CC250" s="720">
        <f t="shared" si="4091"/>
        <v>-264.73779999999999</v>
      </c>
      <c r="CD250" s="720">
        <f t="shared" si="4091"/>
        <v>0</v>
      </c>
      <c r="CE250" s="720">
        <f t="shared" si="4091"/>
        <v>0</v>
      </c>
      <c r="CF250" s="720">
        <f t="shared" si="4091"/>
        <v>0</v>
      </c>
      <c r="CG250" s="720">
        <f t="shared" si="4091"/>
        <v>0</v>
      </c>
      <c r="CH250" s="720">
        <f t="shared" si="4091"/>
        <v>0</v>
      </c>
      <c r="CI250" s="720">
        <f t="shared" si="4091"/>
        <v>-58.315220739999994</v>
      </c>
      <c r="CJ250" s="720">
        <f t="shared" si="4091"/>
        <v>-783.31522073999997</v>
      </c>
      <c r="CK250" s="720">
        <f t="shared" si="4091"/>
        <v>28768.414666666667</v>
      </c>
      <c r="CL250" s="720">
        <f t="shared" si="4091"/>
        <v>8989.9186666666665</v>
      </c>
      <c r="CM250" s="720">
        <f t="shared" si="4091"/>
        <v>0</v>
      </c>
      <c r="CN250" s="720">
        <f t="shared" si="4091"/>
        <v>0</v>
      </c>
      <c r="CO250" s="720">
        <f t="shared" si="4091"/>
        <v>0</v>
      </c>
      <c r="CP250" s="720">
        <f t="shared" si="4091"/>
        <v>0</v>
      </c>
      <c r="CQ250" s="720">
        <f t="shared" si="4091"/>
        <v>0</v>
      </c>
      <c r="CR250" s="720">
        <f t="shared" si="4091"/>
        <v>3644.9581382666665</v>
      </c>
      <c r="CS250" s="720">
        <f t="shared" si="4091"/>
        <v>41403.291471600001</v>
      </c>
      <c r="CV250" s="712"/>
      <c r="CW250" s="712"/>
      <c r="CX250" s="712"/>
      <c r="CY250" s="712"/>
      <c r="CZ250" s="712"/>
      <c r="DA250" s="712"/>
      <c r="DB250" s="712"/>
      <c r="DC250" s="712"/>
      <c r="DD250" s="712"/>
      <c r="DE250" s="712"/>
      <c r="DF250" s="712"/>
      <c r="DG250" s="712"/>
      <c r="DH250" s="712"/>
      <c r="DI250" s="712"/>
      <c r="DJ250" s="712"/>
      <c r="DK250" s="712"/>
      <c r="DL250" s="712"/>
      <c r="DM250" s="712"/>
      <c r="DN250" s="712"/>
      <c r="DO250" s="712"/>
      <c r="DP250" s="712"/>
      <c r="DQ250" s="712"/>
      <c r="DR250" s="712"/>
      <c r="DS250" s="712"/>
      <c r="DT250" s="712"/>
      <c r="DU250" s="712"/>
      <c r="DV250" s="712"/>
      <c r="DW250" s="712"/>
      <c r="DX250" s="712"/>
      <c r="DY250" s="712"/>
      <c r="DZ250" s="712"/>
      <c r="EA250" s="712"/>
      <c r="EB250" s="712"/>
      <c r="EC250" s="712"/>
      <c r="ED250" s="712"/>
      <c r="EE250" s="712"/>
      <c r="EF250" s="712"/>
      <c r="EG250" s="712"/>
      <c r="EH250" s="712"/>
      <c r="EI250" s="712"/>
      <c r="EJ250" s="712"/>
      <c r="EK250" s="712"/>
      <c r="EL250" s="712"/>
      <c r="EM250" s="712"/>
      <c r="EN250" s="712"/>
      <c r="EP250" s="946"/>
    </row>
    <row r="251" spans="7:146" ht="12.75">
      <c r="G251" s="714"/>
      <c r="H251" s="714" t="s">
        <v>84</v>
      </c>
      <c r="BA251" s="720">
        <f t="shared" ref="BA251:CS251" si="4092">BA203-BA165</f>
        <v>0</v>
      </c>
      <c r="BB251" s="720">
        <f t="shared" si="4092"/>
        <v>0</v>
      </c>
      <c r="BC251" s="720">
        <f t="shared" si="4092"/>
        <v>0</v>
      </c>
      <c r="BD251" s="720">
        <f t="shared" si="4092"/>
        <v>0</v>
      </c>
      <c r="BE251" s="720">
        <f t="shared" si="4092"/>
        <v>0</v>
      </c>
      <c r="BF251" s="720">
        <f t="shared" si="4092"/>
        <v>0</v>
      </c>
      <c r="BG251" s="720">
        <f t="shared" si="4092"/>
        <v>0</v>
      </c>
      <c r="BH251" s="720">
        <f t="shared" si="4092"/>
        <v>0</v>
      </c>
      <c r="BI251" s="720">
        <f t="shared" si="4092"/>
        <v>0</v>
      </c>
      <c r="BJ251" s="720">
        <f t="shared" si="4092"/>
        <v>0</v>
      </c>
      <c r="BK251" s="720">
        <f t="shared" si="4092"/>
        <v>0</v>
      </c>
      <c r="BL251" s="720">
        <f t="shared" si="4092"/>
        <v>0</v>
      </c>
      <c r="BM251" s="720">
        <f t="shared" si="4092"/>
        <v>0</v>
      </c>
      <c r="BN251" s="720">
        <f t="shared" si="4092"/>
        <v>0</v>
      </c>
      <c r="BO251" s="720">
        <f t="shared" si="4092"/>
        <v>0</v>
      </c>
      <c r="BP251" s="720">
        <f t="shared" si="4092"/>
        <v>0</v>
      </c>
      <c r="BQ251" s="720">
        <f t="shared" si="4092"/>
        <v>0</v>
      </c>
      <c r="BR251" s="720">
        <f t="shared" si="4092"/>
        <v>0</v>
      </c>
      <c r="BS251" s="720">
        <f t="shared" si="4092"/>
        <v>0</v>
      </c>
      <c r="BT251" s="720">
        <f t="shared" si="4092"/>
        <v>0</v>
      </c>
      <c r="BU251" s="720">
        <f t="shared" si="4092"/>
        <v>0</v>
      </c>
      <c r="BV251" s="720">
        <f t="shared" si="4092"/>
        <v>0</v>
      </c>
      <c r="BW251" s="720">
        <f t="shared" si="4092"/>
        <v>0</v>
      </c>
      <c r="BX251" s="720">
        <f t="shared" si="4092"/>
        <v>0</v>
      </c>
      <c r="BY251" s="720">
        <f t="shared" si="4092"/>
        <v>0</v>
      </c>
      <c r="BZ251" s="720">
        <f t="shared" si="4092"/>
        <v>0</v>
      </c>
      <c r="CA251" s="720">
        <f t="shared" si="4092"/>
        <v>0</v>
      </c>
      <c r="CB251" s="720">
        <f t="shared" si="4092"/>
        <v>0</v>
      </c>
      <c r="CC251" s="720">
        <f t="shared" si="4092"/>
        <v>0</v>
      </c>
      <c r="CD251" s="720">
        <f t="shared" si="4092"/>
        <v>0</v>
      </c>
      <c r="CE251" s="720">
        <f t="shared" si="4092"/>
        <v>0</v>
      </c>
      <c r="CF251" s="720">
        <f t="shared" si="4092"/>
        <v>0</v>
      </c>
      <c r="CG251" s="720">
        <f t="shared" si="4092"/>
        <v>0</v>
      </c>
      <c r="CH251" s="720">
        <f t="shared" si="4092"/>
        <v>0</v>
      </c>
      <c r="CI251" s="720">
        <f t="shared" si="4092"/>
        <v>0</v>
      </c>
      <c r="CJ251" s="720">
        <f t="shared" si="4092"/>
        <v>0</v>
      </c>
      <c r="CK251" s="720">
        <f t="shared" si="4092"/>
        <v>0</v>
      </c>
      <c r="CL251" s="720">
        <f t="shared" si="4092"/>
        <v>0</v>
      </c>
      <c r="CM251" s="720">
        <f t="shared" si="4092"/>
        <v>0</v>
      </c>
      <c r="CN251" s="720">
        <f t="shared" si="4092"/>
        <v>0</v>
      </c>
      <c r="CO251" s="720">
        <f t="shared" si="4092"/>
        <v>0</v>
      </c>
      <c r="CP251" s="720">
        <f t="shared" si="4092"/>
        <v>0</v>
      </c>
      <c r="CQ251" s="720">
        <f t="shared" si="4092"/>
        <v>0</v>
      </c>
      <c r="CR251" s="720">
        <f t="shared" si="4092"/>
        <v>0</v>
      </c>
      <c r="CS251" s="720">
        <f t="shared" si="4092"/>
        <v>0</v>
      </c>
      <c r="CV251" s="712"/>
      <c r="CW251" s="712"/>
      <c r="CX251" s="712"/>
      <c r="CY251" s="712"/>
      <c r="CZ251" s="712"/>
      <c r="DA251" s="712"/>
      <c r="DB251" s="712"/>
      <c r="DC251" s="712"/>
      <c r="DD251" s="712"/>
      <c r="DE251" s="712"/>
      <c r="DF251" s="712"/>
      <c r="DG251" s="712"/>
      <c r="DH251" s="712"/>
      <c r="DI251" s="712"/>
      <c r="DJ251" s="712"/>
      <c r="DK251" s="712"/>
      <c r="DL251" s="712"/>
      <c r="DM251" s="712"/>
      <c r="DN251" s="712"/>
      <c r="DO251" s="712"/>
      <c r="DP251" s="712"/>
      <c r="DQ251" s="712"/>
      <c r="DR251" s="712"/>
      <c r="DS251" s="712"/>
      <c r="DT251" s="712"/>
      <c r="DU251" s="712"/>
      <c r="DV251" s="712"/>
      <c r="DW251" s="712"/>
      <c r="DX251" s="712"/>
      <c r="DY251" s="712"/>
      <c r="DZ251" s="712"/>
      <c r="EA251" s="712"/>
      <c r="EB251" s="712"/>
      <c r="EC251" s="712"/>
      <c r="ED251" s="712"/>
      <c r="EE251" s="712"/>
      <c r="EF251" s="712"/>
      <c r="EG251" s="712"/>
      <c r="EH251" s="712"/>
      <c r="EI251" s="712"/>
      <c r="EJ251" s="712"/>
      <c r="EK251" s="712"/>
      <c r="EL251" s="712"/>
      <c r="EM251" s="712"/>
      <c r="EN251" s="712"/>
      <c r="EP251" s="946"/>
    </row>
    <row r="252" spans="7:146" ht="12.75">
      <c r="G252" s="714"/>
      <c r="H252" s="714" t="s">
        <v>85</v>
      </c>
      <c r="BA252" s="720">
        <f t="shared" ref="BA252:CS252" si="4093">BA204-BA166</f>
        <v>-9940</v>
      </c>
      <c r="BB252" s="720">
        <f t="shared" si="4093"/>
        <v>-2660</v>
      </c>
      <c r="BC252" s="720">
        <f t="shared" si="4093"/>
        <v>0</v>
      </c>
      <c r="BD252" s="720">
        <f t="shared" si="4093"/>
        <v>0</v>
      </c>
      <c r="BE252" s="720">
        <f t="shared" si="4093"/>
        <v>0</v>
      </c>
      <c r="BF252" s="720">
        <f t="shared" si="4093"/>
        <v>0</v>
      </c>
      <c r="BG252" s="720">
        <f t="shared" si="4093"/>
        <v>0</v>
      </c>
      <c r="BH252" s="720">
        <f t="shared" si="4093"/>
        <v>-1259.3980000000001</v>
      </c>
      <c r="BI252" s="720">
        <f t="shared" si="4093"/>
        <v>-13859.398000000001</v>
      </c>
      <c r="BJ252" s="720">
        <f t="shared" si="4093"/>
        <v>-11182.5</v>
      </c>
      <c r="BK252" s="720">
        <f t="shared" si="4093"/>
        <v>-2992.5</v>
      </c>
      <c r="BL252" s="720">
        <f t="shared" si="4093"/>
        <v>0</v>
      </c>
      <c r="BM252" s="720">
        <f t="shared" si="4093"/>
        <v>0</v>
      </c>
      <c r="BN252" s="720">
        <f t="shared" si="4093"/>
        <v>0</v>
      </c>
      <c r="BO252" s="720">
        <f t="shared" si="4093"/>
        <v>0</v>
      </c>
      <c r="BP252" s="720">
        <f t="shared" si="4093"/>
        <v>0</v>
      </c>
      <c r="BQ252" s="720">
        <f t="shared" si="4093"/>
        <v>-1416.82275</v>
      </c>
      <c r="BR252" s="720">
        <f t="shared" si="4093"/>
        <v>-15591.822749999999</v>
      </c>
      <c r="BS252" s="720">
        <f t="shared" si="4093"/>
        <v>-2485</v>
      </c>
      <c r="BT252" s="720">
        <f t="shared" si="4093"/>
        <v>-665</v>
      </c>
      <c r="BU252" s="720">
        <f t="shared" si="4093"/>
        <v>0</v>
      </c>
      <c r="BV252" s="720">
        <f t="shared" si="4093"/>
        <v>0</v>
      </c>
      <c r="BW252" s="720">
        <f t="shared" si="4093"/>
        <v>0</v>
      </c>
      <c r="BX252" s="720">
        <f t="shared" si="4093"/>
        <v>0</v>
      </c>
      <c r="BY252" s="720">
        <f t="shared" si="4093"/>
        <v>0</v>
      </c>
      <c r="BZ252" s="720">
        <f t="shared" si="4093"/>
        <v>-314.84950000000003</v>
      </c>
      <c r="CA252" s="720">
        <f t="shared" si="4093"/>
        <v>-3464.8495000000003</v>
      </c>
      <c r="CB252" s="720">
        <f t="shared" si="4093"/>
        <v>-1242.5</v>
      </c>
      <c r="CC252" s="720">
        <f t="shared" si="4093"/>
        <v>-332.5</v>
      </c>
      <c r="CD252" s="720">
        <f t="shared" si="4093"/>
        <v>0</v>
      </c>
      <c r="CE252" s="720">
        <f t="shared" si="4093"/>
        <v>0</v>
      </c>
      <c r="CF252" s="720">
        <f t="shared" si="4093"/>
        <v>0</v>
      </c>
      <c r="CG252" s="720">
        <f t="shared" si="4093"/>
        <v>0</v>
      </c>
      <c r="CH252" s="720">
        <f t="shared" si="4093"/>
        <v>0</v>
      </c>
      <c r="CI252" s="720">
        <f t="shared" si="4093"/>
        <v>-157.42475000000002</v>
      </c>
      <c r="CJ252" s="720">
        <f t="shared" si="4093"/>
        <v>-1732.4247500000001</v>
      </c>
      <c r="CK252" s="720">
        <f t="shared" si="4093"/>
        <v>24850</v>
      </c>
      <c r="CL252" s="720">
        <f t="shared" si="4093"/>
        <v>6650</v>
      </c>
      <c r="CM252" s="720">
        <f t="shared" si="4093"/>
        <v>0</v>
      </c>
      <c r="CN252" s="720">
        <f t="shared" si="4093"/>
        <v>0</v>
      </c>
      <c r="CO252" s="720">
        <f t="shared" si="4093"/>
        <v>0</v>
      </c>
      <c r="CP252" s="720">
        <f t="shared" si="4093"/>
        <v>0</v>
      </c>
      <c r="CQ252" s="720">
        <f t="shared" si="4093"/>
        <v>0</v>
      </c>
      <c r="CR252" s="720">
        <f t="shared" si="4093"/>
        <v>3148.4950000000003</v>
      </c>
      <c r="CS252" s="720">
        <f t="shared" si="4093"/>
        <v>34648.494999999995</v>
      </c>
      <c r="CV252" s="712"/>
      <c r="CW252" s="712"/>
      <c r="CX252" s="712"/>
      <c r="CY252" s="712"/>
      <c r="CZ252" s="712"/>
      <c r="DA252" s="712"/>
      <c r="DB252" s="712"/>
      <c r="DC252" s="712"/>
      <c r="DD252" s="712"/>
      <c r="DE252" s="712"/>
      <c r="DF252" s="712"/>
      <c r="DG252" s="712"/>
      <c r="DH252" s="712"/>
      <c r="DI252" s="712"/>
      <c r="DJ252" s="712"/>
      <c r="DK252" s="712"/>
      <c r="DL252" s="712"/>
      <c r="DM252" s="712"/>
      <c r="DN252" s="712"/>
      <c r="DO252" s="712"/>
      <c r="DP252" s="712"/>
      <c r="DQ252" s="712"/>
      <c r="DR252" s="712"/>
      <c r="DS252" s="712"/>
      <c r="DT252" s="712"/>
      <c r="DU252" s="712"/>
      <c r="DV252" s="712"/>
      <c r="DW252" s="712"/>
      <c r="DX252" s="712"/>
      <c r="DY252" s="712"/>
      <c r="DZ252" s="712"/>
      <c r="EA252" s="712"/>
      <c r="EB252" s="712"/>
      <c r="EC252" s="712"/>
      <c r="ED252" s="712"/>
      <c r="EE252" s="712"/>
      <c r="EF252" s="712"/>
      <c r="EG252" s="712"/>
      <c r="EH252" s="712"/>
      <c r="EI252" s="712"/>
      <c r="EJ252" s="712"/>
      <c r="EK252" s="712"/>
      <c r="EL252" s="712"/>
      <c r="EM252" s="712"/>
      <c r="EN252" s="712"/>
      <c r="EP252" s="946"/>
    </row>
    <row r="253" spans="7:146" ht="12.75">
      <c r="G253" s="714"/>
      <c r="H253" s="714" t="s">
        <v>9</v>
      </c>
      <c r="BA253" s="720">
        <f t="shared" ref="BA253:CS253" si="4094">BA205-BA167</f>
        <v>0</v>
      </c>
      <c r="BB253" s="720">
        <f t="shared" si="4094"/>
        <v>0</v>
      </c>
      <c r="BC253" s="720">
        <f t="shared" si="4094"/>
        <v>0</v>
      </c>
      <c r="BD253" s="720">
        <f t="shared" si="4094"/>
        <v>0</v>
      </c>
      <c r="BE253" s="720">
        <f t="shared" si="4094"/>
        <v>0</v>
      </c>
      <c r="BF253" s="720">
        <f t="shared" si="4094"/>
        <v>0</v>
      </c>
      <c r="BG253" s="720">
        <f t="shared" si="4094"/>
        <v>0</v>
      </c>
      <c r="BH253" s="720">
        <f t="shared" si="4094"/>
        <v>0</v>
      </c>
      <c r="BI253" s="720">
        <f t="shared" si="4094"/>
        <v>0</v>
      </c>
      <c r="BJ253" s="720">
        <f t="shared" si="4094"/>
        <v>0</v>
      </c>
      <c r="BK253" s="720">
        <f t="shared" si="4094"/>
        <v>0</v>
      </c>
      <c r="BL253" s="720">
        <f t="shared" si="4094"/>
        <v>0</v>
      </c>
      <c r="BM253" s="720">
        <f t="shared" si="4094"/>
        <v>0</v>
      </c>
      <c r="BN253" s="720">
        <f t="shared" si="4094"/>
        <v>0</v>
      </c>
      <c r="BO253" s="720">
        <f t="shared" si="4094"/>
        <v>0</v>
      </c>
      <c r="BP253" s="720">
        <f t="shared" si="4094"/>
        <v>0</v>
      </c>
      <c r="BQ253" s="720">
        <f t="shared" si="4094"/>
        <v>0</v>
      </c>
      <c r="BR253" s="720">
        <f t="shared" si="4094"/>
        <v>0</v>
      </c>
      <c r="BS253" s="720">
        <f t="shared" si="4094"/>
        <v>0</v>
      </c>
      <c r="BT253" s="720">
        <f t="shared" si="4094"/>
        <v>0</v>
      </c>
      <c r="BU253" s="720">
        <f t="shared" si="4094"/>
        <v>0</v>
      </c>
      <c r="BV253" s="720">
        <f t="shared" si="4094"/>
        <v>0</v>
      </c>
      <c r="BW253" s="720">
        <f t="shared" si="4094"/>
        <v>0</v>
      </c>
      <c r="BX253" s="720">
        <f t="shared" si="4094"/>
        <v>0</v>
      </c>
      <c r="BY253" s="720">
        <f t="shared" si="4094"/>
        <v>0</v>
      </c>
      <c r="BZ253" s="720">
        <f t="shared" si="4094"/>
        <v>0</v>
      </c>
      <c r="CA253" s="720">
        <f t="shared" si="4094"/>
        <v>0</v>
      </c>
      <c r="CB253" s="720">
        <f t="shared" si="4094"/>
        <v>0</v>
      </c>
      <c r="CC253" s="720">
        <f t="shared" si="4094"/>
        <v>0</v>
      </c>
      <c r="CD253" s="720">
        <f t="shared" si="4094"/>
        <v>0</v>
      </c>
      <c r="CE253" s="720">
        <f t="shared" si="4094"/>
        <v>0</v>
      </c>
      <c r="CF253" s="720">
        <f t="shared" si="4094"/>
        <v>0</v>
      </c>
      <c r="CG253" s="720">
        <f t="shared" si="4094"/>
        <v>0</v>
      </c>
      <c r="CH253" s="720">
        <f t="shared" si="4094"/>
        <v>0</v>
      </c>
      <c r="CI253" s="720">
        <f t="shared" si="4094"/>
        <v>0</v>
      </c>
      <c r="CJ253" s="720">
        <f t="shared" si="4094"/>
        <v>0</v>
      </c>
      <c r="CK253" s="720">
        <f t="shared" si="4094"/>
        <v>0</v>
      </c>
      <c r="CL253" s="720">
        <f t="shared" si="4094"/>
        <v>0</v>
      </c>
      <c r="CM253" s="720">
        <f t="shared" si="4094"/>
        <v>0</v>
      </c>
      <c r="CN253" s="720">
        <f t="shared" si="4094"/>
        <v>0</v>
      </c>
      <c r="CO253" s="720">
        <f t="shared" si="4094"/>
        <v>0</v>
      </c>
      <c r="CP253" s="720">
        <f t="shared" si="4094"/>
        <v>0</v>
      </c>
      <c r="CQ253" s="720">
        <f t="shared" si="4094"/>
        <v>0</v>
      </c>
      <c r="CR253" s="720">
        <f t="shared" si="4094"/>
        <v>0</v>
      </c>
      <c r="CS253" s="720">
        <f t="shared" si="4094"/>
        <v>0</v>
      </c>
      <c r="CV253" s="712"/>
      <c r="CW253" s="712"/>
      <c r="CX253" s="712"/>
      <c r="CY253" s="712"/>
      <c r="CZ253" s="712"/>
      <c r="DA253" s="712"/>
      <c r="DB253" s="712"/>
      <c r="DC253" s="712"/>
      <c r="DD253" s="712"/>
      <c r="DE253" s="712"/>
      <c r="DF253" s="712"/>
      <c r="DG253" s="712"/>
      <c r="DH253" s="712"/>
      <c r="DI253" s="712"/>
      <c r="DJ253" s="712"/>
      <c r="DK253" s="712"/>
      <c r="DL253" s="712"/>
      <c r="DM253" s="712"/>
      <c r="DN253" s="712"/>
      <c r="DO253" s="712"/>
      <c r="DP253" s="712"/>
      <c r="DQ253" s="712"/>
      <c r="DR253" s="712"/>
      <c r="DS253" s="712"/>
      <c r="DT253" s="712"/>
      <c r="DU253" s="712"/>
      <c r="DV253" s="712"/>
      <c r="DW253" s="712"/>
      <c r="DX253" s="712"/>
      <c r="DY253" s="712"/>
      <c r="DZ253" s="712"/>
      <c r="EA253" s="712"/>
      <c r="EB253" s="712"/>
      <c r="EC253" s="712"/>
      <c r="ED253" s="712"/>
      <c r="EE253" s="712"/>
      <c r="EF253" s="712"/>
      <c r="EG253" s="712"/>
      <c r="EH253" s="712"/>
      <c r="EI253" s="712"/>
      <c r="EJ253" s="712"/>
      <c r="EK253" s="712"/>
      <c r="EL253" s="712"/>
      <c r="EM253" s="712"/>
      <c r="EN253" s="712"/>
      <c r="EP253" s="946"/>
    </row>
    <row r="254" spans="7:146" ht="12.75">
      <c r="G254" s="714"/>
      <c r="H254" s="714" t="s">
        <v>10</v>
      </c>
      <c r="BA254" s="720">
        <f t="shared" ref="BA254:CS254" si="4095">BA206-BA168</f>
        <v>0</v>
      </c>
      <c r="BB254" s="720">
        <f t="shared" si="4095"/>
        <v>0</v>
      </c>
      <c r="BC254" s="720">
        <f t="shared" si="4095"/>
        <v>0</v>
      </c>
      <c r="BD254" s="720">
        <f t="shared" si="4095"/>
        <v>0</v>
      </c>
      <c r="BE254" s="720">
        <f t="shared" si="4095"/>
        <v>0</v>
      </c>
      <c r="BF254" s="720">
        <f t="shared" si="4095"/>
        <v>0</v>
      </c>
      <c r="BG254" s="720">
        <f t="shared" si="4095"/>
        <v>0</v>
      </c>
      <c r="BH254" s="720">
        <f t="shared" si="4095"/>
        <v>0</v>
      </c>
      <c r="BI254" s="720">
        <f t="shared" si="4095"/>
        <v>0</v>
      </c>
      <c r="BJ254" s="720">
        <f t="shared" si="4095"/>
        <v>0</v>
      </c>
      <c r="BK254" s="720">
        <f t="shared" si="4095"/>
        <v>0</v>
      </c>
      <c r="BL254" s="720">
        <f t="shared" si="4095"/>
        <v>0</v>
      </c>
      <c r="BM254" s="720">
        <f t="shared" si="4095"/>
        <v>0</v>
      </c>
      <c r="BN254" s="720">
        <f t="shared" si="4095"/>
        <v>0</v>
      </c>
      <c r="BO254" s="720">
        <f t="shared" si="4095"/>
        <v>0</v>
      </c>
      <c r="BP254" s="720">
        <f t="shared" si="4095"/>
        <v>0</v>
      </c>
      <c r="BQ254" s="720">
        <f t="shared" si="4095"/>
        <v>0</v>
      </c>
      <c r="BR254" s="720">
        <f t="shared" si="4095"/>
        <v>0</v>
      </c>
      <c r="BS254" s="720">
        <f t="shared" si="4095"/>
        <v>0</v>
      </c>
      <c r="BT254" s="720">
        <f t="shared" si="4095"/>
        <v>0</v>
      </c>
      <c r="BU254" s="720">
        <f t="shared" si="4095"/>
        <v>0</v>
      </c>
      <c r="BV254" s="720">
        <f t="shared" si="4095"/>
        <v>0</v>
      </c>
      <c r="BW254" s="720">
        <f t="shared" si="4095"/>
        <v>0</v>
      </c>
      <c r="BX254" s="720">
        <f t="shared" si="4095"/>
        <v>0</v>
      </c>
      <c r="BY254" s="720">
        <f t="shared" si="4095"/>
        <v>0</v>
      </c>
      <c r="BZ254" s="720">
        <f t="shared" si="4095"/>
        <v>0</v>
      </c>
      <c r="CA254" s="720">
        <f t="shared" si="4095"/>
        <v>0</v>
      </c>
      <c r="CB254" s="720">
        <f t="shared" si="4095"/>
        <v>0</v>
      </c>
      <c r="CC254" s="720">
        <f t="shared" si="4095"/>
        <v>0</v>
      </c>
      <c r="CD254" s="720">
        <f t="shared" si="4095"/>
        <v>0</v>
      </c>
      <c r="CE254" s="720">
        <f t="shared" si="4095"/>
        <v>0</v>
      </c>
      <c r="CF254" s="720">
        <f t="shared" si="4095"/>
        <v>0</v>
      </c>
      <c r="CG254" s="720">
        <f t="shared" si="4095"/>
        <v>0</v>
      </c>
      <c r="CH254" s="720">
        <f t="shared" si="4095"/>
        <v>0</v>
      </c>
      <c r="CI254" s="720">
        <f t="shared" si="4095"/>
        <v>0</v>
      </c>
      <c r="CJ254" s="720">
        <f t="shared" si="4095"/>
        <v>0</v>
      </c>
      <c r="CK254" s="720">
        <f t="shared" si="4095"/>
        <v>0</v>
      </c>
      <c r="CL254" s="720">
        <f t="shared" si="4095"/>
        <v>0</v>
      </c>
      <c r="CM254" s="720">
        <f t="shared" si="4095"/>
        <v>0</v>
      </c>
      <c r="CN254" s="720">
        <f t="shared" si="4095"/>
        <v>0</v>
      </c>
      <c r="CO254" s="720">
        <f t="shared" si="4095"/>
        <v>0</v>
      </c>
      <c r="CP254" s="720">
        <f t="shared" si="4095"/>
        <v>0</v>
      </c>
      <c r="CQ254" s="720">
        <f t="shared" si="4095"/>
        <v>0</v>
      </c>
      <c r="CR254" s="720">
        <f t="shared" si="4095"/>
        <v>0</v>
      </c>
      <c r="CS254" s="720">
        <f t="shared" si="4095"/>
        <v>0</v>
      </c>
      <c r="CV254" s="712"/>
      <c r="CW254" s="712"/>
      <c r="CX254" s="712"/>
      <c r="CY254" s="712"/>
      <c r="CZ254" s="712"/>
      <c r="DA254" s="712"/>
      <c r="DB254" s="712"/>
      <c r="DC254" s="712"/>
      <c r="DD254" s="712"/>
      <c r="DE254" s="712"/>
      <c r="DF254" s="712"/>
      <c r="DG254" s="712"/>
      <c r="DH254" s="712"/>
      <c r="DI254" s="712"/>
      <c r="DJ254" s="712"/>
      <c r="DK254" s="712"/>
      <c r="DL254" s="712"/>
      <c r="DM254" s="712"/>
      <c r="DN254" s="712"/>
      <c r="DO254" s="712"/>
      <c r="DP254" s="712"/>
      <c r="DQ254" s="712"/>
      <c r="DR254" s="712"/>
      <c r="DS254" s="712"/>
      <c r="DT254" s="712"/>
      <c r="DU254" s="712"/>
      <c r="DV254" s="712"/>
      <c r="DW254" s="712"/>
      <c r="DX254" s="712"/>
      <c r="DY254" s="712"/>
      <c r="DZ254" s="712"/>
      <c r="EA254" s="712"/>
      <c r="EB254" s="712"/>
      <c r="EC254" s="712"/>
      <c r="ED254" s="712"/>
      <c r="EE254" s="712"/>
      <c r="EF254" s="712"/>
      <c r="EG254" s="712"/>
      <c r="EH254" s="712"/>
      <c r="EI254" s="712"/>
      <c r="EJ254" s="712"/>
      <c r="EK254" s="712"/>
      <c r="EL254" s="712"/>
      <c r="EM254" s="712"/>
      <c r="EN254" s="712"/>
      <c r="EP254" s="946"/>
    </row>
    <row r="255" spans="7:146" ht="12.75">
      <c r="G255" s="714"/>
      <c r="H255" s="714" t="s">
        <v>8</v>
      </c>
      <c r="BA255" s="720">
        <f t="shared" ref="BA255:CS255" si="4096">BA207-BA169</f>
        <v>0</v>
      </c>
      <c r="BB255" s="720">
        <f t="shared" si="4096"/>
        <v>0</v>
      </c>
      <c r="BC255" s="720">
        <f t="shared" si="4096"/>
        <v>0</v>
      </c>
      <c r="BD255" s="720">
        <f t="shared" si="4096"/>
        <v>0</v>
      </c>
      <c r="BE255" s="720">
        <f t="shared" si="4096"/>
        <v>0</v>
      </c>
      <c r="BF255" s="720">
        <f t="shared" si="4096"/>
        <v>0</v>
      </c>
      <c r="BG255" s="720">
        <f t="shared" si="4096"/>
        <v>0</v>
      </c>
      <c r="BH255" s="720">
        <f t="shared" si="4096"/>
        <v>0</v>
      </c>
      <c r="BI255" s="720">
        <f t="shared" si="4096"/>
        <v>0</v>
      </c>
      <c r="BJ255" s="720">
        <f t="shared" si="4096"/>
        <v>0</v>
      </c>
      <c r="BK255" s="720">
        <f t="shared" si="4096"/>
        <v>0</v>
      </c>
      <c r="BL255" s="720">
        <f t="shared" si="4096"/>
        <v>0</v>
      </c>
      <c r="BM255" s="720">
        <f t="shared" si="4096"/>
        <v>0</v>
      </c>
      <c r="BN255" s="720">
        <f t="shared" si="4096"/>
        <v>0</v>
      </c>
      <c r="BO255" s="720">
        <f t="shared" si="4096"/>
        <v>0</v>
      </c>
      <c r="BP255" s="720">
        <f t="shared" si="4096"/>
        <v>0</v>
      </c>
      <c r="BQ255" s="720">
        <f t="shared" si="4096"/>
        <v>0</v>
      </c>
      <c r="BR255" s="720">
        <f t="shared" si="4096"/>
        <v>0</v>
      </c>
      <c r="BS255" s="720">
        <f t="shared" si="4096"/>
        <v>0</v>
      </c>
      <c r="BT255" s="720">
        <f t="shared" si="4096"/>
        <v>0</v>
      </c>
      <c r="BU255" s="720">
        <f t="shared" si="4096"/>
        <v>0</v>
      </c>
      <c r="BV255" s="720">
        <f t="shared" si="4096"/>
        <v>0</v>
      </c>
      <c r="BW255" s="720">
        <f t="shared" si="4096"/>
        <v>0</v>
      </c>
      <c r="BX255" s="720">
        <f t="shared" si="4096"/>
        <v>0</v>
      </c>
      <c r="BY255" s="720">
        <f t="shared" si="4096"/>
        <v>0</v>
      </c>
      <c r="BZ255" s="720">
        <f t="shared" si="4096"/>
        <v>0</v>
      </c>
      <c r="CA255" s="720">
        <f t="shared" si="4096"/>
        <v>0</v>
      </c>
      <c r="CB255" s="720">
        <f t="shared" si="4096"/>
        <v>0</v>
      </c>
      <c r="CC255" s="720">
        <f t="shared" si="4096"/>
        <v>0</v>
      </c>
      <c r="CD255" s="720">
        <f t="shared" si="4096"/>
        <v>0</v>
      </c>
      <c r="CE255" s="720">
        <f t="shared" si="4096"/>
        <v>0</v>
      </c>
      <c r="CF255" s="720">
        <f t="shared" si="4096"/>
        <v>0</v>
      </c>
      <c r="CG255" s="720">
        <f t="shared" si="4096"/>
        <v>0</v>
      </c>
      <c r="CH255" s="720">
        <f t="shared" si="4096"/>
        <v>0</v>
      </c>
      <c r="CI255" s="720">
        <f t="shared" si="4096"/>
        <v>0</v>
      </c>
      <c r="CJ255" s="720">
        <f t="shared" si="4096"/>
        <v>0</v>
      </c>
      <c r="CK255" s="720">
        <f t="shared" si="4096"/>
        <v>0</v>
      </c>
      <c r="CL255" s="720">
        <f t="shared" si="4096"/>
        <v>0</v>
      </c>
      <c r="CM255" s="720">
        <f t="shared" si="4096"/>
        <v>0</v>
      </c>
      <c r="CN255" s="720">
        <f t="shared" si="4096"/>
        <v>0</v>
      </c>
      <c r="CO255" s="720">
        <f t="shared" si="4096"/>
        <v>0</v>
      </c>
      <c r="CP255" s="720">
        <f t="shared" si="4096"/>
        <v>0</v>
      </c>
      <c r="CQ255" s="720">
        <f t="shared" si="4096"/>
        <v>0</v>
      </c>
      <c r="CR255" s="720">
        <f t="shared" si="4096"/>
        <v>0</v>
      </c>
      <c r="CS255" s="720">
        <f t="shared" si="4096"/>
        <v>0</v>
      </c>
      <c r="CV255" s="712"/>
      <c r="CW255" s="712"/>
      <c r="CX255" s="712"/>
      <c r="CY255" s="712"/>
      <c r="CZ255" s="712"/>
      <c r="DA255" s="712"/>
      <c r="DB255" s="712"/>
      <c r="DC255" s="712"/>
      <c r="DD255" s="712"/>
      <c r="DE255" s="712"/>
      <c r="DF255" s="712"/>
      <c r="DG255" s="712"/>
      <c r="DH255" s="712"/>
      <c r="DI255" s="712"/>
      <c r="DJ255" s="712"/>
      <c r="DK255" s="712"/>
      <c r="DL255" s="712"/>
      <c r="DM255" s="712"/>
      <c r="DN255" s="712"/>
      <c r="DO255" s="712"/>
      <c r="DP255" s="712"/>
      <c r="DQ255" s="712"/>
      <c r="DR255" s="712"/>
      <c r="DS255" s="712"/>
      <c r="DT255" s="712"/>
      <c r="DU255" s="712"/>
      <c r="DV255" s="712"/>
      <c r="DW255" s="712"/>
      <c r="DX255" s="712"/>
      <c r="DY255" s="712"/>
      <c r="DZ255" s="712"/>
      <c r="EA255" s="712"/>
      <c r="EB255" s="712"/>
      <c r="EC255" s="712"/>
      <c r="ED255" s="712"/>
      <c r="EE255" s="712"/>
      <c r="EF255" s="712"/>
      <c r="EG255" s="712"/>
      <c r="EH255" s="712"/>
      <c r="EI255" s="712"/>
      <c r="EJ255" s="712"/>
      <c r="EK255" s="712"/>
      <c r="EL255" s="712"/>
      <c r="EM255" s="712"/>
      <c r="EN255" s="712"/>
      <c r="EP255" s="946"/>
    </row>
    <row r="256" spans="7:146" ht="12.75">
      <c r="G256" s="714"/>
      <c r="H256" s="714" t="s">
        <v>8</v>
      </c>
      <c r="BA256" s="720">
        <f t="shared" ref="BA256:CJ256" si="4097">BA208-BA170</f>
        <v>0</v>
      </c>
      <c r="BB256" s="720">
        <f t="shared" si="4097"/>
        <v>0</v>
      </c>
      <c r="BC256" s="720">
        <f t="shared" si="4097"/>
        <v>0</v>
      </c>
      <c r="BD256" s="720">
        <f t="shared" si="4097"/>
        <v>0</v>
      </c>
      <c r="BE256" s="720">
        <f t="shared" si="4097"/>
        <v>0</v>
      </c>
      <c r="BF256" s="720">
        <f t="shared" si="4097"/>
        <v>0</v>
      </c>
      <c r="BG256" s="720">
        <f t="shared" si="4097"/>
        <v>0</v>
      </c>
      <c r="BH256" s="720">
        <f t="shared" si="4097"/>
        <v>0</v>
      </c>
      <c r="BI256" s="720">
        <f t="shared" si="4097"/>
        <v>0</v>
      </c>
      <c r="BJ256" s="720">
        <f t="shared" si="4097"/>
        <v>0</v>
      </c>
      <c r="BK256" s="720">
        <f t="shared" si="4097"/>
        <v>0</v>
      </c>
      <c r="BL256" s="720">
        <f t="shared" si="4097"/>
        <v>0</v>
      </c>
      <c r="BM256" s="720">
        <f t="shared" si="4097"/>
        <v>0</v>
      </c>
      <c r="BN256" s="720">
        <f t="shared" si="4097"/>
        <v>0</v>
      </c>
      <c r="BO256" s="720">
        <f t="shared" si="4097"/>
        <v>0</v>
      </c>
      <c r="BP256" s="720">
        <f t="shared" si="4097"/>
        <v>0</v>
      </c>
      <c r="BQ256" s="720">
        <f t="shared" si="4097"/>
        <v>0</v>
      </c>
      <c r="BR256" s="720">
        <f t="shared" si="4097"/>
        <v>0</v>
      </c>
      <c r="BS256" s="720">
        <f t="shared" si="4097"/>
        <v>0</v>
      </c>
      <c r="BT256" s="720">
        <f t="shared" si="4097"/>
        <v>0</v>
      </c>
      <c r="BU256" s="720">
        <f t="shared" si="4097"/>
        <v>0</v>
      </c>
      <c r="BV256" s="720">
        <f t="shared" si="4097"/>
        <v>0</v>
      </c>
      <c r="BW256" s="720">
        <f t="shared" si="4097"/>
        <v>0</v>
      </c>
      <c r="BX256" s="720">
        <f t="shared" si="4097"/>
        <v>0</v>
      </c>
      <c r="BY256" s="720">
        <f t="shared" si="4097"/>
        <v>0</v>
      </c>
      <c r="BZ256" s="720">
        <f t="shared" si="4097"/>
        <v>0</v>
      </c>
      <c r="CA256" s="720">
        <f t="shared" si="4097"/>
        <v>0</v>
      </c>
      <c r="CB256" s="720">
        <f t="shared" si="4097"/>
        <v>0</v>
      </c>
      <c r="CC256" s="720">
        <f t="shared" si="4097"/>
        <v>0</v>
      </c>
      <c r="CD256" s="720">
        <f t="shared" si="4097"/>
        <v>0</v>
      </c>
      <c r="CE256" s="720">
        <f t="shared" si="4097"/>
        <v>0</v>
      </c>
      <c r="CF256" s="720">
        <f t="shared" si="4097"/>
        <v>0</v>
      </c>
      <c r="CG256" s="720">
        <f t="shared" si="4097"/>
        <v>0</v>
      </c>
      <c r="CH256" s="720">
        <f t="shared" si="4097"/>
        <v>0</v>
      </c>
      <c r="CI256" s="720">
        <f t="shared" si="4097"/>
        <v>0</v>
      </c>
      <c r="CJ256" s="720">
        <f t="shared" si="4097"/>
        <v>0</v>
      </c>
      <c r="CK256" s="720">
        <v>0</v>
      </c>
      <c r="CL256" s="720">
        <v>0</v>
      </c>
      <c r="CM256" s="720">
        <v>0</v>
      </c>
      <c r="CN256" s="720">
        <v>0</v>
      </c>
      <c r="CO256" s="720">
        <v>0</v>
      </c>
      <c r="CP256" s="720">
        <v>0</v>
      </c>
      <c r="CQ256" s="720">
        <v>0</v>
      </c>
      <c r="CR256" s="720">
        <v>0</v>
      </c>
      <c r="CS256" s="720">
        <v>0</v>
      </c>
      <c r="CV256" s="712"/>
      <c r="CW256" s="712"/>
      <c r="CX256" s="712"/>
      <c r="CY256" s="712"/>
      <c r="CZ256" s="712"/>
      <c r="DA256" s="712"/>
      <c r="DB256" s="712"/>
      <c r="DC256" s="712"/>
      <c r="DD256" s="712"/>
      <c r="DE256" s="712"/>
      <c r="DF256" s="712"/>
      <c r="DG256" s="712"/>
      <c r="DH256" s="712"/>
      <c r="DI256" s="712"/>
      <c r="DJ256" s="712"/>
      <c r="DK256" s="712"/>
      <c r="DL256" s="712"/>
      <c r="DM256" s="712"/>
      <c r="DN256" s="712"/>
      <c r="DO256" s="712"/>
      <c r="DP256" s="712"/>
      <c r="DQ256" s="712"/>
      <c r="DR256" s="712"/>
      <c r="DS256" s="712"/>
      <c r="DT256" s="712"/>
      <c r="DU256" s="712"/>
      <c r="DV256" s="712"/>
      <c r="DW256" s="712"/>
      <c r="DX256" s="712"/>
      <c r="DY256" s="712"/>
      <c r="DZ256" s="712"/>
      <c r="EA256" s="712"/>
      <c r="EB256" s="712"/>
      <c r="EC256" s="712"/>
      <c r="ED256" s="712"/>
      <c r="EE256" s="712"/>
      <c r="EF256" s="712"/>
      <c r="EG256" s="712"/>
      <c r="EH256" s="712"/>
      <c r="EI256" s="712"/>
      <c r="EJ256" s="712"/>
      <c r="EK256" s="712"/>
      <c r="EL256" s="712"/>
      <c r="EM256" s="712"/>
      <c r="EN256" s="712"/>
      <c r="EP256" s="946"/>
    </row>
    <row r="257" spans="7:146" ht="12.75">
      <c r="G257" s="714"/>
      <c r="H257" s="714" t="s">
        <v>366</v>
      </c>
      <c r="BA257" s="720">
        <f t="shared" ref="BA257:CA257" si="4098">BA209-BA171</f>
        <v>-4002.2800000000007</v>
      </c>
      <c r="BB257" s="720">
        <f t="shared" si="4098"/>
        <v>-1660</v>
      </c>
      <c r="BC257" s="720">
        <f t="shared" si="4098"/>
        <v>0</v>
      </c>
      <c r="BD257" s="720">
        <f t="shared" si="4098"/>
        <v>0</v>
      </c>
      <c r="BE257" s="720">
        <f t="shared" si="4098"/>
        <v>0</v>
      </c>
      <c r="BF257" s="720">
        <f t="shared" si="4098"/>
        <v>0</v>
      </c>
      <c r="BG257" s="720">
        <f t="shared" si="4098"/>
        <v>0</v>
      </c>
      <c r="BH257" s="720">
        <f t="shared" si="4098"/>
        <v>-507.08887600000014</v>
      </c>
      <c r="BI257" s="720">
        <f t="shared" si="4098"/>
        <v>-6169.3688760000005</v>
      </c>
      <c r="BJ257" s="720">
        <f t="shared" si="4098"/>
        <v>-2801.596</v>
      </c>
      <c r="BK257" s="720">
        <f t="shared" si="4098"/>
        <v>-655</v>
      </c>
      <c r="BL257" s="720">
        <f t="shared" si="4098"/>
        <v>0</v>
      </c>
      <c r="BM257" s="720">
        <f t="shared" si="4098"/>
        <v>0</v>
      </c>
      <c r="BN257" s="720">
        <f t="shared" si="4098"/>
        <v>0</v>
      </c>
      <c r="BO257" s="720">
        <f t="shared" si="4098"/>
        <v>0</v>
      </c>
      <c r="BP257" s="720">
        <f t="shared" si="4098"/>
        <v>0</v>
      </c>
      <c r="BQ257" s="720">
        <f t="shared" si="4098"/>
        <v>-354.96221320000001</v>
      </c>
      <c r="BR257" s="720">
        <f t="shared" si="4098"/>
        <v>-3811.5582132</v>
      </c>
      <c r="BS257" s="720">
        <f t="shared" si="4098"/>
        <v>-1200.6840000000002</v>
      </c>
      <c r="BT257" s="720">
        <f t="shared" si="4098"/>
        <v>-85</v>
      </c>
      <c r="BU257" s="720">
        <f t="shared" si="4098"/>
        <v>0</v>
      </c>
      <c r="BV257" s="720">
        <f t="shared" si="4098"/>
        <v>0</v>
      </c>
      <c r="BW257" s="720">
        <f t="shared" si="4098"/>
        <v>0</v>
      </c>
      <c r="BX257" s="720">
        <f t="shared" si="4098"/>
        <v>0</v>
      </c>
      <c r="BY257" s="720">
        <f t="shared" si="4098"/>
        <v>0</v>
      </c>
      <c r="BZ257" s="720">
        <f t="shared" si="4098"/>
        <v>-152.12666280000002</v>
      </c>
      <c r="CA257" s="720">
        <f t="shared" si="4098"/>
        <v>-1437.8106628000003</v>
      </c>
      <c r="CB257" s="720">
        <f t="shared" ref="CB257:CJ257" si="4099">+CB171-CB209</f>
        <v>0</v>
      </c>
      <c r="CC257" s="720">
        <f t="shared" si="4099"/>
        <v>0</v>
      </c>
      <c r="CD257" s="720">
        <f t="shared" si="4099"/>
        <v>0</v>
      </c>
      <c r="CE257" s="720">
        <f t="shared" si="4099"/>
        <v>0</v>
      </c>
      <c r="CF257" s="720">
        <f t="shared" si="4099"/>
        <v>0</v>
      </c>
      <c r="CG257" s="720">
        <f t="shared" si="4099"/>
        <v>0</v>
      </c>
      <c r="CH257" s="720">
        <f t="shared" si="4099"/>
        <v>0</v>
      </c>
      <c r="CI257" s="720">
        <f t="shared" si="4099"/>
        <v>0</v>
      </c>
      <c r="CJ257" s="720">
        <f t="shared" si="4099"/>
        <v>0</v>
      </c>
      <c r="CK257" s="720">
        <f>+EF146</f>
        <v>8004.5600000000013</v>
      </c>
      <c r="CL257" s="720">
        <f t="shared" ref="CL257:CS257" si="4100">+EG146</f>
        <v>2400</v>
      </c>
      <c r="CM257" s="720">
        <f t="shared" si="4100"/>
        <v>0</v>
      </c>
      <c r="CN257" s="720">
        <f t="shared" si="4100"/>
        <v>0</v>
      </c>
      <c r="CO257" s="720">
        <f t="shared" si="4100"/>
        <v>0</v>
      </c>
      <c r="CP257" s="720">
        <f t="shared" si="4100"/>
        <v>0</v>
      </c>
      <c r="CQ257" s="720">
        <f t="shared" si="4100"/>
        <v>0</v>
      </c>
      <c r="CR257" s="720">
        <f t="shared" si="4100"/>
        <v>1014.1777520000002</v>
      </c>
      <c r="CS257" s="720">
        <f t="shared" si="4100"/>
        <v>11418.737752000001</v>
      </c>
      <c r="CV257" s="712"/>
      <c r="CW257" s="712"/>
      <c r="CX257" s="712"/>
      <c r="CY257" s="712"/>
      <c r="CZ257" s="712"/>
      <c r="DA257" s="712"/>
      <c r="DB257" s="712"/>
      <c r="DC257" s="712"/>
      <c r="DD257" s="712"/>
      <c r="DE257" s="712"/>
      <c r="DF257" s="712"/>
      <c r="DG257" s="712"/>
      <c r="DH257" s="712"/>
      <c r="DI257" s="712"/>
      <c r="DJ257" s="712"/>
      <c r="DK257" s="712"/>
      <c r="DL257" s="712"/>
      <c r="DM257" s="712"/>
      <c r="DN257" s="712"/>
      <c r="DO257" s="712"/>
      <c r="DP257" s="712"/>
      <c r="DQ257" s="712"/>
      <c r="DR257" s="712"/>
      <c r="DS257" s="712"/>
      <c r="DT257" s="712"/>
      <c r="DU257" s="712"/>
      <c r="DV257" s="712"/>
      <c r="DW257" s="712"/>
      <c r="DX257" s="712"/>
      <c r="DY257" s="712"/>
      <c r="DZ257" s="712"/>
      <c r="EA257" s="712"/>
      <c r="EB257" s="712"/>
      <c r="EC257" s="712"/>
      <c r="ED257" s="712"/>
      <c r="EE257" s="712"/>
      <c r="EF257" s="712"/>
      <c r="EG257" s="712"/>
      <c r="EH257" s="712"/>
      <c r="EI257" s="712"/>
      <c r="EJ257" s="712"/>
      <c r="EK257" s="712"/>
      <c r="EL257" s="712"/>
      <c r="EM257" s="712"/>
      <c r="EN257" s="712"/>
      <c r="EP257" s="946"/>
    </row>
    <row r="258" spans="7:146" ht="12.75">
      <c r="G258" s="714"/>
      <c r="H258" s="714" t="s">
        <v>99</v>
      </c>
      <c r="BA258" s="720">
        <f t="shared" ref="BA258:CA258" si="4101">BA210-BA172</f>
        <v>-3565</v>
      </c>
      <c r="BB258" s="720">
        <f t="shared" si="4101"/>
        <v>-1915</v>
      </c>
      <c r="BC258" s="720">
        <f t="shared" si="4101"/>
        <v>0</v>
      </c>
      <c r="BD258" s="720">
        <f t="shared" si="4101"/>
        <v>0</v>
      </c>
      <c r="BE258" s="720">
        <f t="shared" si="4101"/>
        <v>0</v>
      </c>
      <c r="BF258" s="720">
        <f t="shared" si="4101"/>
        <v>0</v>
      </c>
      <c r="BG258" s="720">
        <f t="shared" si="4101"/>
        <v>0</v>
      </c>
      <c r="BH258" s="720">
        <f t="shared" si="4101"/>
        <v>-451.68549999999999</v>
      </c>
      <c r="BI258" s="720">
        <f t="shared" si="4101"/>
        <v>-5931.6854999999996</v>
      </c>
      <c r="BJ258" s="720">
        <f t="shared" si="4101"/>
        <v>-4115</v>
      </c>
      <c r="BK258" s="720">
        <f t="shared" si="4101"/>
        <v>-2565</v>
      </c>
      <c r="BL258" s="720">
        <f t="shared" si="4101"/>
        <v>-24</v>
      </c>
      <c r="BM258" s="720">
        <f t="shared" si="4101"/>
        <v>-615</v>
      </c>
      <c r="BN258" s="720">
        <f t="shared" si="4101"/>
        <v>0</v>
      </c>
      <c r="BO258" s="720">
        <f t="shared" si="4101"/>
        <v>0</v>
      </c>
      <c r="BP258" s="720">
        <f t="shared" si="4101"/>
        <v>0</v>
      </c>
      <c r="BQ258" s="720">
        <f t="shared" si="4101"/>
        <v>-599.29100000000005</v>
      </c>
      <c r="BR258" s="720">
        <f t="shared" si="4101"/>
        <v>-7894.2910000000011</v>
      </c>
      <c r="BS258" s="720">
        <f t="shared" si="4101"/>
        <v>-1920</v>
      </c>
      <c r="BT258" s="720">
        <f t="shared" si="4101"/>
        <v>-750</v>
      </c>
      <c r="BU258" s="720">
        <f t="shared" si="4101"/>
        <v>0</v>
      </c>
      <c r="BV258" s="720">
        <f t="shared" si="4101"/>
        <v>0</v>
      </c>
      <c r="BW258" s="720">
        <f t="shared" si="4101"/>
        <v>0</v>
      </c>
      <c r="BX258" s="720">
        <f t="shared" si="4101"/>
        <v>0</v>
      </c>
      <c r="BY258" s="720">
        <f t="shared" si="4101"/>
        <v>0</v>
      </c>
      <c r="BZ258" s="720">
        <f t="shared" si="4101"/>
        <v>-243.26400000000001</v>
      </c>
      <c r="CA258" s="720">
        <f t="shared" si="4101"/>
        <v>-2913.2640000000001</v>
      </c>
      <c r="CB258" s="720">
        <f t="shared" ref="CB258:CS258" si="4102">CB210-CB172</f>
        <v>0</v>
      </c>
      <c r="CC258" s="720">
        <f t="shared" si="4102"/>
        <v>0</v>
      </c>
      <c r="CD258" s="720">
        <f t="shared" si="4102"/>
        <v>0</v>
      </c>
      <c r="CE258" s="720">
        <f t="shared" si="4102"/>
        <v>0</v>
      </c>
      <c r="CF258" s="720">
        <f t="shared" si="4102"/>
        <v>0</v>
      </c>
      <c r="CG258" s="720">
        <f t="shared" si="4102"/>
        <v>0</v>
      </c>
      <c r="CH258" s="720">
        <f t="shared" si="4102"/>
        <v>0</v>
      </c>
      <c r="CI258" s="720">
        <f t="shared" si="4102"/>
        <v>0</v>
      </c>
      <c r="CJ258" s="720">
        <f t="shared" si="4102"/>
        <v>0</v>
      </c>
      <c r="CK258" s="720">
        <f t="shared" si="4102"/>
        <v>9600</v>
      </c>
      <c r="CL258" s="720">
        <f t="shared" si="4102"/>
        <v>5230</v>
      </c>
      <c r="CM258" s="720">
        <f t="shared" si="4102"/>
        <v>24</v>
      </c>
      <c r="CN258" s="720">
        <f t="shared" si="4102"/>
        <v>615</v>
      </c>
      <c r="CO258" s="720">
        <f t="shared" si="4102"/>
        <v>0</v>
      </c>
      <c r="CP258" s="720">
        <f t="shared" si="4102"/>
        <v>0</v>
      </c>
      <c r="CQ258" s="720">
        <f t="shared" si="4102"/>
        <v>0</v>
      </c>
      <c r="CR258" s="720">
        <f t="shared" si="4102"/>
        <v>1294.2404999999999</v>
      </c>
      <c r="CS258" s="720">
        <f t="shared" si="4102"/>
        <v>16739.2405</v>
      </c>
      <c r="CV258" s="712"/>
      <c r="CW258" s="712"/>
      <c r="CX258" s="712"/>
      <c r="CY258" s="712"/>
      <c r="CZ258" s="712"/>
      <c r="DA258" s="712"/>
      <c r="DB258" s="712"/>
      <c r="DC258" s="712"/>
      <c r="DD258" s="712"/>
      <c r="DE258" s="712"/>
      <c r="DF258" s="712"/>
      <c r="DG258" s="712"/>
      <c r="DH258" s="712"/>
      <c r="DI258" s="712"/>
      <c r="DJ258" s="712"/>
      <c r="DK258" s="712"/>
      <c r="DL258" s="712"/>
      <c r="DM258" s="712"/>
      <c r="DN258" s="712"/>
      <c r="DO258" s="712"/>
      <c r="DP258" s="712"/>
      <c r="DQ258" s="712"/>
      <c r="DR258" s="712"/>
      <c r="DS258" s="712"/>
      <c r="DT258" s="712"/>
      <c r="DU258" s="712"/>
      <c r="DV258" s="712"/>
      <c r="DW258" s="712"/>
      <c r="DX258" s="712"/>
      <c r="DY258" s="712"/>
      <c r="DZ258" s="712"/>
      <c r="EA258" s="712"/>
      <c r="EB258" s="712"/>
      <c r="EC258" s="712"/>
      <c r="ED258" s="712"/>
      <c r="EE258" s="712"/>
      <c r="EF258" s="712"/>
      <c r="EG258" s="712"/>
      <c r="EH258" s="712"/>
      <c r="EI258" s="712"/>
      <c r="EJ258" s="712"/>
      <c r="EK258" s="712"/>
      <c r="EL258" s="712"/>
      <c r="EM258" s="712"/>
      <c r="EN258" s="712"/>
      <c r="EP258" s="946"/>
    </row>
    <row r="259" spans="7:146" ht="12.75">
      <c r="G259" s="900"/>
      <c r="H259" s="900" t="s">
        <v>100</v>
      </c>
      <c r="BA259" s="720">
        <f t="shared" ref="BA259:CA259" si="4103">BA211-BA173</f>
        <v>-7752.1660000000002</v>
      </c>
      <c r="BB259" s="720">
        <f t="shared" si="4103"/>
        <v>-1013.64</v>
      </c>
      <c r="BC259" s="720">
        <f t="shared" si="4103"/>
        <v>-10</v>
      </c>
      <c r="BD259" s="720">
        <f t="shared" si="4103"/>
        <v>-273.45175</v>
      </c>
      <c r="BE259" s="720">
        <f t="shared" si="4103"/>
        <v>0</v>
      </c>
      <c r="BF259" s="720">
        <f t="shared" si="4103"/>
        <v>0</v>
      </c>
      <c r="BG259" s="720">
        <f t="shared" si="4103"/>
        <v>0</v>
      </c>
      <c r="BH259" s="720">
        <f t="shared" si="4103"/>
        <v>-1016.8457689250001</v>
      </c>
      <c r="BI259" s="720">
        <f t="shared" si="4103"/>
        <v>-10056.103518925001</v>
      </c>
      <c r="BJ259" s="720">
        <f t="shared" si="4103"/>
        <v>-5301.6530000000002</v>
      </c>
      <c r="BK259" s="720">
        <f t="shared" si="4103"/>
        <v>-2716.82</v>
      </c>
      <c r="BL259" s="720">
        <f t="shared" si="4103"/>
        <v>-150</v>
      </c>
      <c r="BM259" s="720">
        <f t="shared" si="4103"/>
        <v>-3933.9382500000002</v>
      </c>
      <c r="BN259" s="720">
        <f t="shared" si="4103"/>
        <v>0</v>
      </c>
      <c r="BO259" s="720">
        <f t="shared" si="4103"/>
        <v>0</v>
      </c>
      <c r="BP259" s="720">
        <f t="shared" si="4103"/>
        <v>0</v>
      </c>
      <c r="BQ259" s="720">
        <f t="shared" si="4103"/>
        <v>-1170.149411375</v>
      </c>
      <c r="BR259" s="720">
        <f t="shared" si="4103"/>
        <v>-13122.560661375001</v>
      </c>
      <c r="BS259" s="720">
        <f t="shared" si="4103"/>
        <v>-3300.5129999999999</v>
      </c>
      <c r="BT259" s="720">
        <f t="shared" si="4103"/>
        <v>-286.82</v>
      </c>
      <c r="BU259" s="720">
        <f t="shared" si="4103"/>
        <v>0</v>
      </c>
      <c r="BV259" s="720">
        <f t="shared" si="4103"/>
        <v>0</v>
      </c>
      <c r="BW259" s="720">
        <f t="shared" si="4103"/>
        <v>0</v>
      </c>
      <c r="BX259" s="720">
        <f t="shared" si="4103"/>
        <v>0</v>
      </c>
      <c r="BY259" s="720">
        <f t="shared" si="4103"/>
        <v>0</v>
      </c>
      <c r="BZ259" s="720">
        <f t="shared" si="4103"/>
        <v>-418.17499710000004</v>
      </c>
      <c r="CA259" s="720">
        <f t="shared" si="4103"/>
        <v>-4005.5079971000005</v>
      </c>
      <c r="CB259" s="720">
        <f t="shared" ref="CB259:CS259" si="4104">CB211-CB173</f>
        <v>0</v>
      </c>
      <c r="CC259" s="720">
        <f t="shared" si="4104"/>
        <v>0</v>
      </c>
      <c r="CD259" s="720">
        <f t="shared" si="4104"/>
        <v>0</v>
      </c>
      <c r="CE259" s="720">
        <f t="shared" si="4104"/>
        <v>0</v>
      </c>
      <c r="CF259" s="720">
        <f t="shared" si="4104"/>
        <v>0</v>
      </c>
      <c r="CG259" s="720">
        <f t="shared" si="4104"/>
        <v>0</v>
      </c>
      <c r="CH259" s="720">
        <f t="shared" si="4104"/>
        <v>0</v>
      </c>
      <c r="CI259" s="720">
        <f t="shared" si="4104"/>
        <v>0</v>
      </c>
      <c r="CJ259" s="720">
        <f t="shared" si="4104"/>
        <v>0</v>
      </c>
      <c r="CK259" s="720">
        <f t="shared" si="4104"/>
        <v>16354.332</v>
      </c>
      <c r="CL259" s="720">
        <f t="shared" si="4104"/>
        <v>4017.2799999999997</v>
      </c>
      <c r="CM259" s="720">
        <f t="shared" si="4104"/>
        <v>160</v>
      </c>
      <c r="CN259" s="720">
        <f t="shared" si="4104"/>
        <v>4207.3900000000003</v>
      </c>
      <c r="CO259" s="720">
        <f t="shared" si="4104"/>
        <v>0</v>
      </c>
      <c r="CP259" s="720">
        <f t="shared" si="4104"/>
        <v>0</v>
      </c>
      <c r="CQ259" s="720">
        <f t="shared" si="4104"/>
        <v>0</v>
      </c>
      <c r="CR259" s="720">
        <f t="shared" si="4104"/>
        <v>2605.1701774000003</v>
      </c>
      <c r="CS259" s="720">
        <f t="shared" si="4104"/>
        <v>27184.172177400003</v>
      </c>
      <c r="CV259" s="712"/>
      <c r="CW259" s="712"/>
      <c r="CX259" s="712"/>
      <c r="CY259" s="712"/>
      <c r="CZ259" s="712"/>
      <c r="DA259" s="712"/>
      <c r="DB259" s="712"/>
      <c r="DC259" s="712"/>
      <c r="DD259" s="712"/>
      <c r="DE259" s="712"/>
      <c r="DF259" s="712"/>
      <c r="DG259" s="712"/>
      <c r="DH259" s="712"/>
      <c r="DI259" s="712"/>
      <c r="DJ259" s="712"/>
      <c r="DK259" s="712"/>
      <c r="DL259" s="712"/>
      <c r="DM259" s="712"/>
      <c r="DN259" s="712"/>
      <c r="DO259" s="712"/>
      <c r="DP259" s="712"/>
      <c r="DQ259" s="712"/>
      <c r="DR259" s="712"/>
      <c r="DS259" s="712"/>
      <c r="DT259" s="712"/>
      <c r="DU259" s="712"/>
      <c r="DV259" s="712"/>
      <c r="DW259" s="712"/>
      <c r="DX259" s="712"/>
      <c r="DY259" s="712"/>
      <c r="DZ259" s="712"/>
      <c r="EA259" s="712"/>
      <c r="EB259" s="712"/>
      <c r="EC259" s="712"/>
      <c r="ED259" s="712"/>
      <c r="EE259" s="712"/>
      <c r="EF259" s="712"/>
      <c r="EG259" s="712"/>
      <c r="EH259" s="712"/>
      <c r="EI259" s="712"/>
      <c r="EJ259" s="712"/>
      <c r="EK259" s="712"/>
      <c r="EL259" s="712"/>
      <c r="EM259" s="712"/>
      <c r="EN259" s="712"/>
      <c r="EP259" s="946"/>
    </row>
    <row r="260" spans="7:146" ht="12.75">
      <c r="G260" s="900"/>
      <c r="H260" s="900" t="s">
        <v>106</v>
      </c>
      <c r="BA260" s="720">
        <f t="shared" ref="BA260:CA260" si="4105">BA212-BA174</f>
        <v>-7812.2800000000007</v>
      </c>
      <c r="BB260" s="720">
        <f t="shared" si="4105"/>
        <v>-1261.2233333333334</v>
      </c>
      <c r="BC260" s="720">
        <f t="shared" si="4105"/>
        <v>-17</v>
      </c>
      <c r="BD260" s="720">
        <f t="shared" si="4105"/>
        <v>-471.90350000000001</v>
      </c>
      <c r="BE260" s="720">
        <f t="shared" si="4105"/>
        <v>0</v>
      </c>
      <c r="BF260" s="720">
        <f t="shared" si="4105"/>
        <v>0</v>
      </c>
      <c r="BG260" s="720">
        <f t="shared" si="4105"/>
        <v>0</v>
      </c>
      <c r="BH260" s="720">
        <f t="shared" si="4105"/>
        <v>-1049.6060494500002</v>
      </c>
      <c r="BI260" s="720">
        <f t="shared" si="4105"/>
        <v>-10595.012882783332</v>
      </c>
      <c r="BJ260" s="720">
        <f t="shared" si="4105"/>
        <v>-5311.3680000000004</v>
      </c>
      <c r="BK260" s="720">
        <f t="shared" si="4105"/>
        <v>-2500.7673333333332</v>
      </c>
      <c r="BL260" s="720">
        <f t="shared" si="4105"/>
        <v>-7</v>
      </c>
      <c r="BM260" s="720">
        <f t="shared" si="4105"/>
        <v>-175.09975</v>
      </c>
      <c r="BN260" s="720">
        <f t="shared" si="4105"/>
        <v>0</v>
      </c>
      <c r="BO260" s="720">
        <f t="shared" si="4105"/>
        <v>0</v>
      </c>
      <c r="BP260" s="720">
        <f t="shared" si="4105"/>
        <v>0</v>
      </c>
      <c r="BQ260" s="720">
        <f t="shared" si="4105"/>
        <v>-695.13546392499995</v>
      </c>
      <c r="BR260" s="720">
        <f t="shared" si="4105"/>
        <v>-8682.3705472583333</v>
      </c>
      <c r="BS260" s="720">
        <f t="shared" si="4105"/>
        <v>-3280.9120000000003</v>
      </c>
      <c r="BT260" s="720">
        <f>BT212-BT174</f>
        <v>-261.1226666666667</v>
      </c>
      <c r="BU260" s="720">
        <f t="shared" si="4105"/>
        <v>0</v>
      </c>
      <c r="BV260" s="720">
        <f t="shared" si="4105"/>
        <v>0</v>
      </c>
      <c r="BW260" s="720">
        <f t="shared" si="4105"/>
        <v>0</v>
      </c>
      <c r="BX260" s="720">
        <f t="shared" si="4105"/>
        <v>0</v>
      </c>
      <c r="BY260" s="720">
        <f t="shared" si="4105"/>
        <v>0</v>
      </c>
      <c r="BZ260" s="720">
        <f t="shared" si="4105"/>
        <v>-415.6915504000001</v>
      </c>
      <c r="CA260" s="720">
        <f t="shared" si="4105"/>
        <v>-3957.7262170666672</v>
      </c>
      <c r="CB260" s="720">
        <f t="shared" ref="CB260:CS260" si="4106">CB212-CB174</f>
        <v>0</v>
      </c>
      <c r="CC260" s="720">
        <f t="shared" si="4106"/>
        <v>0</v>
      </c>
      <c r="CD260" s="720">
        <f t="shared" si="4106"/>
        <v>0</v>
      </c>
      <c r="CE260" s="720">
        <f t="shared" si="4106"/>
        <v>0</v>
      </c>
      <c r="CF260" s="720">
        <f t="shared" si="4106"/>
        <v>0</v>
      </c>
      <c r="CG260" s="720">
        <f t="shared" si="4106"/>
        <v>0</v>
      </c>
      <c r="CH260" s="720">
        <f t="shared" si="4106"/>
        <v>0</v>
      </c>
      <c r="CI260" s="720">
        <f t="shared" si="4106"/>
        <v>0</v>
      </c>
      <c r="CJ260" s="720">
        <f t="shared" si="4106"/>
        <v>0</v>
      </c>
      <c r="CK260" s="720">
        <f t="shared" si="4106"/>
        <v>16404.560000000001</v>
      </c>
      <c r="CL260" s="720">
        <f t="shared" si="4106"/>
        <v>4023.1133333333337</v>
      </c>
      <c r="CM260" s="720">
        <f t="shared" si="4106"/>
        <v>24</v>
      </c>
      <c r="CN260" s="720">
        <f t="shared" si="4106"/>
        <v>647.00324999999998</v>
      </c>
      <c r="CO260" s="720">
        <f t="shared" si="4106"/>
        <v>0</v>
      </c>
      <c r="CP260" s="720">
        <f t="shared" si="4106"/>
        <v>0</v>
      </c>
      <c r="CQ260" s="720">
        <f t="shared" si="4106"/>
        <v>0</v>
      </c>
      <c r="CR260" s="720">
        <f t="shared" si="4106"/>
        <v>2160.4330637749999</v>
      </c>
      <c r="CS260" s="720">
        <f t="shared" si="4106"/>
        <v>23235.109647108337</v>
      </c>
      <c r="CV260" s="712"/>
      <c r="CW260" s="712"/>
      <c r="CX260" s="712"/>
      <c r="CY260" s="712"/>
      <c r="CZ260" s="712"/>
      <c r="DA260" s="712"/>
      <c r="DB260" s="712"/>
      <c r="DC260" s="712"/>
      <c r="DD260" s="712"/>
      <c r="DE260" s="712"/>
      <c r="DF260" s="712"/>
      <c r="DG260" s="712"/>
      <c r="DH260" s="712"/>
      <c r="DI260" s="712"/>
      <c r="DJ260" s="712"/>
      <c r="DK260" s="712"/>
      <c r="DL260" s="712"/>
      <c r="DM260" s="712"/>
      <c r="DN260" s="712"/>
      <c r="DO260" s="712"/>
      <c r="DP260" s="712"/>
      <c r="DQ260" s="712"/>
      <c r="DR260" s="712"/>
      <c r="DS260" s="712"/>
      <c r="DT260" s="712"/>
      <c r="DU260" s="712"/>
      <c r="DV260" s="712"/>
      <c r="DW260" s="712"/>
      <c r="DX260" s="712"/>
      <c r="DY260" s="712"/>
      <c r="DZ260" s="712"/>
      <c r="EA260" s="712"/>
      <c r="EB260" s="712"/>
      <c r="EC260" s="712"/>
      <c r="ED260" s="712"/>
      <c r="EE260" s="712"/>
      <c r="EF260" s="712"/>
      <c r="EG260" s="712"/>
      <c r="EH260" s="712"/>
      <c r="EI260" s="712"/>
      <c r="EJ260" s="712"/>
      <c r="EK260" s="712"/>
      <c r="EL260" s="712"/>
      <c r="EM260" s="712"/>
      <c r="EN260" s="712"/>
      <c r="EP260" s="946"/>
    </row>
    <row r="261" spans="7:146" ht="12.75">
      <c r="G261" s="714"/>
      <c r="H261" s="714" t="s">
        <v>110</v>
      </c>
      <c r="BA261" s="720">
        <f t="shared" ref="BA261:CA261" si="4107">BA213-BA175</f>
        <v>-9126.14</v>
      </c>
      <c r="BB261" s="720">
        <f t="shared" si="4107"/>
        <v>-3701.665</v>
      </c>
      <c r="BC261" s="720">
        <f t="shared" si="4107"/>
        <v>-2</v>
      </c>
      <c r="BD261" s="720">
        <f t="shared" si="4107"/>
        <v>-50.028500000000001</v>
      </c>
      <c r="BE261" s="720">
        <f t="shared" si="4107"/>
        <v>0</v>
      </c>
      <c r="BF261" s="720">
        <f t="shared" si="4107"/>
        <v>0</v>
      </c>
      <c r="BG261" s="720">
        <f t="shared" si="4107"/>
        <v>-350</v>
      </c>
      <c r="BH261" s="720">
        <f t="shared" si="4107"/>
        <v>-1206.9655489500001</v>
      </c>
      <c r="BI261" s="720">
        <f t="shared" si="4107"/>
        <v>-14434.799048950001</v>
      </c>
      <c r="BJ261" s="720">
        <f t="shared" si="4107"/>
        <v>-5910.57</v>
      </c>
      <c r="BK261" s="720">
        <f t="shared" si="4107"/>
        <v>-3393.33</v>
      </c>
      <c r="BL261" s="720">
        <f t="shared" si="4107"/>
        <v>-4</v>
      </c>
      <c r="BM261" s="720">
        <f t="shared" si="4107"/>
        <v>-102.52850000000001</v>
      </c>
      <c r="BN261" s="720">
        <f t="shared" si="4107"/>
        <v>0</v>
      </c>
      <c r="BO261" s="720">
        <f t="shared" si="4107"/>
        <v>0</v>
      </c>
      <c r="BP261" s="720">
        <f t="shared" si="4107"/>
        <v>-175</v>
      </c>
      <c r="BQ261" s="720">
        <f t="shared" si="4107"/>
        <v>-784.03207995000014</v>
      </c>
      <c r="BR261" s="720">
        <f t="shared" si="4107"/>
        <v>-10365.46057995</v>
      </c>
      <c r="BS261" s="720">
        <f t="shared" si="4107"/>
        <v>-3540.57</v>
      </c>
      <c r="BT261" s="720">
        <f t="shared" si="4107"/>
        <v>-548.32999999999993</v>
      </c>
      <c r="BU261" s="720">
        <f t="shared" si="4107"/>
        <v>0</v>
      </c>
      <c r="BV261" s="720">
        <f t="shared" si="4107"/>
        <v>0</v>
      </c>
      <c r="BW261" s="720">
        <f t="shared" si="4107"/>
        <v>0</v>
      </c>
      <c r="BX261" s="720">
        <f t="shared" si="4107"/>
        <v>0</v>
      </c>
      <c r="BY261" s="720">
        <f t="shared" si="4107"/>
        <v>-175</v>
      </c>
      <c r="BZ261" s="720">
        <f t="shared" si="4107"/>
        <v>-470.762719</v>
      </c>
      <c r="CA261" s="720">
        <f t="shared" si="4107"/>
        <v>-4734.6627189999999</v>
      </c>
      <c r="CB261" s="720">
        <f t="shared" ref="CB261:CS261" si="4108">CB213-CB175</f>
        <v>-325</v>
      </c>
      <c r="CC261" s="720">
        <f t="shared" si="4108"/>
        <v>-40</v>
      </c>
      <c r="CD261" s="720">
        <f t="shared" si="4108"/>
        <v>0</v>
      </c>
      <c r="CE261" s="720">
        <f t="shared" si="4108"/>
        <v>0</v>
      </c>
      <c r="CF261" s="720">
        <f t="shared" si="4108"/>
        <v>0</v>
      </c>
      <c r="CG261" s="720">
        <f t="shared" si="4108"/>
        <v>0</v>
      </c>
      <c r="CH261" s="720">
        <f t="shared" si="4108"/>
        <v>0</v>
      </c>
      <c r="CI261" s="720">
        <f t="shared" si="4108"/>
        <v>-41.177500000000002</v>
      </c>
      <c r="CJ261" s="720">
        <f t="shared" si="4108"/>
        <v>-406.17750000000001</v>
      </c>
      <c r="CK261" s="720">
        <f t="shared" si="4108"/>
        <v>18902.28</v>
      </c>
      <c r="CL261" s="720">
        <f t="shared" si="4108"/>
        <v>7683.3249999999998</v>
      </c>
      <c r="CM261" s="720">
        <f t="shared" si="4108"/>
        <v>6</v>
      </c>
      <c r="CN261" s="720">
        <f t="shared" si="4108"/>
        <v>152.55700000000002</v>
      </c>
      <c r="CO261" s="720">
        <f t="shared" si="4108"/>
        <v>0</v>
      </c>
      <c r="CP261" s="720">
        <f t="shared" si="4108"/>
        <v>0</v>
      </c>
      <c r="CQ261" s="720">
        <f t="shared" si="4108"/>
        <v>700</v>
      </c>
      <c r="CR261" s="720">
        <f t="shared" si="4108"/>
        <v>2502.9378478999997</v>
      </c>
      <c r="CS261" s="720">
        <f t="shared" si="4108"/>
        <v>29941.099847899997</v>
      </c>
      <c r="CV261" s="712"/>
      <c r="CW261" s="712"/>
      <c r="CX261" s="712"/>
      <c r="CY261" s="712"/>
      <c r="CZ261" s="712"/>
      <c r="DA261" s="712"/>
      <c r="DB261" s="712"/>
      <c r="DC261" s="712"/>
      <c r="DD261" s="712"/>
      <c r="DE261" s="712"/>
      <c r="DF261" s="712"/>
      <c r="DG261" s="712"/>
      <c r="DH261" s="712"/>
      <c r="DI261" s="712"/>
      <c r="DJ261" s="712"/>
      <c r="DK261" s="712"/>
      <c r="DL261" s="712"/>
      <c r="DM261" s="712"/>
      <c r="DN261" s="712"/>
      <c r="DO261" s="712"/>
      <c r="DP261" s="712"/>
      <c r="DQ261" s="712"/>
      <c r="DR261" s="712"/>
      <c r="DS261" s="712"/>
      <c r="DT261" s="712"/>
      <c r="DU261" s="712"/>
      <c r="DV261" s="712"/>
      <c r="DW261" s="712"/>
      <c r="DX261" s="712"/>
      <c r="DY261" s="712"/>
      <c r="DZ261" s="712"/>
      <c r="EA261" s="712"/>
      <c r="EB261" s="712"/>
      <c r="EC261" s="712"/>
      <c r="ED261" s="712"/>
      <c r="EE261" s="712"/>
      <c r="EF261" s="712"/>
      <c r="EG261" s="712"/>
      <c r="EH261" s="712"/>
      <c r="EI261" s="712"/>
      <c r="EJ261" s="712"/>
      <c r="EK261" s="712"/>
      <c r="EL261" s="712"/>
      <c r="EM261" s="712"/>
      <c r="EN261" s="712"/>
      <c r="EP261" s="946"/>
    </row>
    <row r="262" spans="7:146" ht="12.75">
      <c r="G262" s="714"/>
      <c r="H262" s="714" t="s">
        <v>115</v>
      </c>
      <c r="BA262" s="720">
        <f t="shared" ref="BA262:CA262" si="4109">BA214-BA176</f>
        <v>0</v>
      </c>
      <c r="BB262" s="720">
        <f t="shared" si="4109"/>
        <v>0</v>
      </c>
      <c r="BC262" s="720">
        <f t="shared" si="4109"/>
        <v>0</v>
      </c>
      <c r="BD262" s="720">
        <f t="shared" si="4109"/>
        <v>0</v>
      </c>
      <c r="BE262" s="720">
        <f t="shared" si="4109"/>
        <v>0</v>
      </c>
      <c r="BF262" s="720">
        <f t="shared" si="4109"/>
        <v>0</v>
      </c>
      <c r="BG262" s="720">
        <f t="shared" si="4109"/>
        <v>0</v>
      </c>
      <c r="BH262" s="720">
        <f t="shared" si="4109"/>
        <v>0</v>
      </c>
      <c r="BI262" s="720">
        <f t="shared" si="4109"/>
        <v>0</v>
      </c>
      <c r="BJ262" s="720">
        <f t="shared" si="4109"/>
        <v>0</v>
      </c>
      <c r="BK262" s="720">
        <f t="shared" si="4109"/>
        <v>0</v>
      </c>
      <c r="BL262" s="720">
        <f t="shared" si="4109"/>
        <v>0</v>
      </c>
      <c r="BM262" s="720">
        <f t="shared" si="4109"/>
        <v>0</v>
      </c>
      <c r="BN262" s="720">
        <f t="shared" si="4109"/>
        <v>0</v>
      </c>
      <c r="BO262" s="720">
        <f t="shared" si="4109"/>
        <v>0</v>
      </c>
      <c r="BP262" s="720">
        <f t="shared" si="4109"/>
        <v>0</v>
      </c>
      <c r="BQ262" s="720">
        <f t="shared" si="4109"/>
        <v>0</v>
      </c>
      <c r="BR262" s="720">
        <f t="shared" si="4109"/>
        <v>0</v>
      </c>
      <c r="BS262" s="720">
        <f t="shared" si="4109"/>
        <v>0</v>
      </c>
      <c r="BT262" s="720">
        <f t="shared" si="4109"/>
        <v>0</v>
      </c>
      <c r="BU262" s="720">
        <f t="shared" si="4109"/>
        <v>0</v>
      </c>
      <c r="BV262" s="720">
        <f t="shared" si="4109"/>
        <v>0</v>
      </c>
      <c r="BW262" s="720">
        <f t="shared" si="4109"/>
        <v>0</v>
      </c>
      <c r="BX262" s="720">
        <f t="shared" si="4109"/>
        <v>0</v>
      </c>
      <c r="BY262" s="720">
        <f t="shared" si="4109"/>
        <v>0</v>
      </c>
      <c r="BZ262" s="720">
        <f t="shared" si="4109"/>
        <v>0</v>
      </c>
      <c r="CA262" s="720">
        <f t="shared" si="4109"/>
        <v>0</v>
      </c>
      <c r="CB262" s="720">
        <f t="shared" ref="CB262:CJ262" si="4110">CB214-CB176</f>
        <v>0</v>
      </c>
      <c r="CC262" s="720">
        <f t="shared" si="4110"/>
        <v>0</v>
      </c>
      <c r="CD262" s="720">
        <f t="shared" si="4110"/>
        <v>0</v>
      </c>
      <c r="CE262" s="720">
        <f t="shared" si="4110"/>
        <v>0</v>
      </c>
      <c r="CF262" s="720">
        <f t="shared" si="4110"/>
        <v>0</v>
      </c>
      <c r="CG262" s="720">
        <f t="shared" si="4110"/>
        <v>0</v>
      </c>
      <c r="CH262" s="720">
        <f t="shared" si="4110"/>
        <v>0</v>
      </c>
      <c r="CI262" s="720">
        <f t="shared" si="4110"/>
        <v>0</v>
      </c>
      <c r="CJ262" s="720">
        <f t="shared" si="4110"/>
        <v>0</v>
      </c>
      <c r="CK262" s="720">
        <v>0</v>
      </c>
      <c r="CL262" s="720">
        <v>0</v>
      </c>
      <c r="CM262" s="720">
        <v>0</v>
      </c>
      <c r="CN262" s="720">
        <v>0</v>
      </c>
      <c r="CO262" s="720">
        <v>0</v>
      </c>
      <c r="CP262" s="720">
        <v>0</v>
      </c>
      <c r="CQ262" s="720">
        <v>0</v>
      </c>
      <c r="CR262" s="720">
        <v>0</v>
      </c>
      <c r="CS262" s="720">
        <v>0</v>
      </c>
      <c r="CV262" s="712"/>
      <c r="CW262" s="712"/>
      <c r="CX262" s="712"/>
      <c r="CY262" s="712"/>
      <c r="CZ262" s="712"/>
      <c r="DA262" s="712"/>
      <c r="DB262" s="712"/>
      <c r="DC262" s="712"/>
      <c r="DD262" s="712"/>
      <c r="DE262" s="712"/>
      <c r="DF262" s="712"/>
      <c r="DG262" s="712"/>
      <c r="DH262" s="712"/>
      <c r="DI262" s="712"/>
      <c r="DJ262" s="712"/>
      <c r="DK262" s="712"/>
      <c r="DL262" s="712"/>
      <c r="DM262" s="712"/>
      <c r="DN262" s="712"/>
      <c r="DO262" s="712"/>
      <c r="DP262" s="712"/>
      <c r="DQ262" s="712"/>
      <c r="DR262" s="712"/>
      <c r="DS262" s="712"/>
      <c r="DT262" s="712"/>
      <c r="DU262" s="712"/>
      <c r="DV262" s="712"/>
      <c r="DW262" s="712"/>
      <c r="DX262" s="712"/>
      <c r="DY262" s="712"/>
      <c r="DZ262" s="712"/>
      <c r="EA262" s="712"/>
      <c r="EB262" s="712"/>
      <c r="EC262" s="712"/>
      <c r="ED262" s="712"/>
      <c r="EE262" s="712"/>
      <c r="EF262" s="712"/>
      <c r="EG262" s="712"/>
      <c r="EH262" s="712"/>
      <c r="EI262" s="712"/>
      <c r="EJ262" s="712"/>
      <c r="EK262" s="712"/>
      <c r="EL262" s="712"/>
      <c r="EM262" s="712"/>
      <c r="EN262" s="712"/>
      <c r="EP262" s="946"/>
    </row>
    <row r="263" spans="7:146" ht="12.75">
      <c r="G263" s="714"/>
      <c r="H263" s="714" t="s">
        <v>116</v>
      </c>
      <c r="BA263" s="720">
        <f t="shared" ref="BA263:CA263" si="4111">BA215-BA177</f>
        <v>0</v>
      </c>
      <c r="BB263" s="720">
        <f t="shared" si="4111"/>
        <v>0</v>
      </c>
      <c r="BC263" s="720">
        <f t="shared" si="4111"/>
        <v>0</v>
      </c>
      <c r="BD263" s="720">
        <f t="shared" si="4111"/>
        <v>0</v>
      </c>
      <c r="BE263" s="720">
        <f t="shared" si="4111"/>
        <v>0</v>
      </c>
      <c r="BF263" s="720">
        <f t="shared" si="4111"/>
        <v>0</v>
      </c>
      <c r="BG263" s="720">
        <f t="shared" si="4111"/>
        <v>0</v>
      </c>
      <c r="BH263" s="720">
        <f t="shared" si="4111"/>
        <v>0</v>
      </c>
      <c r="BI263" s="720">
        <f t="shared" si="4111"/>
        <v>0</v>
      </c>
      <c r="BJ263" s="720">
        <f t="shared" si="4111"/>
        <v>0</v>
      </c>
      <c r="BK263" s="720">
        <f t="shared" si="4111"/>
        <v>0</v>
      </c>
      <c r="BL263" s="720">
        <f t="shared" si="4111"/>
        <v>0</v>
      </c>
      <c r="BM263" s="720">
        <f t="shared" si="4111"/>
        <v>0</v>
      </c>
      <c r="BN263" s="720">
        <f t="shared" si="4111"/>
        <v>0</v>
      </c>
      <c r="BO263" s="720">
        <f t="shared" si="4111"/>
        <v>0</v>
      </c>
      <c r="BP263" s="720">
        <f t="shared" si="4111"/>
        <v>0</v>
      </c>
      <c r="BQ263" s="720">
        <f t="shared" si="4111"/>
        <v>0</v>
      </c>
      <c r="BR263" s="720">
        <f t="shared" si="4111"/>
        <v>0</v>
      </c>
      <c r="BS263" s="720">
        <f t="shared" si="4111"/>
        <v>0</v>
      </c>
      <c r="BT263" s="720">
        <f t="shared" si="4111"/>
        <v>0</v>
      </c>
      <c r="BU263" s="720">
        <f t="shared" si="4111"/>
        <v>0</v>
      </c>
      <c r="BV263" s="720">
        <f t="shared" si="4111"/>
        <v>0</v>
      </c>
      <c r="BW263" s="720">
        <f t="shared" si="4111"/>
        <v>0</v>
      </c>
      <c r="BX263" s="720">
        <f t="shared" si="4111"/>
        <v>0</v>
      </c>
      <c r="BY263" s="720">
        <f t="shared" si="4111"/>
        <v>0</v>
      </c>
      <c r="BZ263" s="720">
        <f t="shared" si="4111"/>
        <v>0</v>
      </c>
      <c r="CA263" s="720">
        <f t="shared" si="4111"/>
        <v>0</v>
      </c>
      <c r="CB263" s="720">
        <f t="shared" ref="CB263:CJ263" si="4112">CB215-CB177</f>
        <v>0</v>
      </c>
      <c r="CC263" s="720">
        <f t="shared" si="4112"/>
        <v>0</v>
      </c>
      <c r="CD263" s="720">
        <f t="shared" si="4112"/>
        <v>0</v>
      </c>
      <c r="CE263" s="720">
        <f t="shared" si="4112"/>
        <v>0</v>
      </c>
      <c r="CF263" s="720">
        <f t="shared" si="4112"/>
        <v>0</v>
      </c>
      <c r="CG263" s="720">
        <f t="shared" si="4112"/>
        <v>0</v>
      </c>
      <c r="CH263" s="720">
        <f t="shared" si="4112"/>
        <v>0</v>
      </c>
      <c r="CI263" s="720">
        <f t="shared" si="4112"/>
        <v>0</v>
      </c>
      <c r="CJ263" s="720">
        <f t="shared" si="4112"/>
        <v>0</v>
      </c>
      <c r="CK263" s="720">
        <f>CK215-CK177</f>
        <v>0</v>
      </c>
      <c r="CL263" s="720">
        <v>0</v>
      </c>
      <c r="CM263" s="720">
        <v>0</v>
      </c>
      <c r="CN263" s="720">
        <v>0</v>
      </c>
      <c r="CO263" s="720">
        <v>0</v>
      </c>
      <c r="CP263" s="720">
        <v>0</v>
      </c>
      <c r="CQ263" s="720">
        <v>0</v>
      </c>
      <c r="CR263" s="720">
        <v>0</v>
      </c>
      <c r="CS263" s="720">
        <v>0</v>
      </c>
      <c r="CV263" s="712"/>
      <c r="CW263" s="712"/>
      <c r="CX263" s="712"/>
      <c r="CY263" s="712"/>
      <c r="CZ263" s="712"/>
      <c r="DA263" s="712"/>
      <c r="DB263" s="712"/>
      <c r="DC263" s="712"/>
      <c r="DD263" s="712"/>
      <c r="DE263" s="712"/>
      <c r="DF263" s="712"/>
      <c r="DG263" s="712"/>
      <c r="DH263" s="712"/>
      <c r="DI263" s="712"/>
      <c r="DJ263" s="712"/>
      <c r="DK263" s="712"/>
      <c r="DL263" s="712"/>
      <c r="DM263" s="712"/>
      <c r="DN263" s="712"/>
      <c r="DO263" s="712"/>
      <c r="DP263" s="712"/>
      <c r="DQ263" s="712"/>
      <c r="DR263" s="712"/>
      <c r="DS263" s="712"/>
      <c r="DT263" s="712"/>
      <c r="DU263" s="712"/>
      <c r="DV263" s="712"/>
      <c r="DW263" s="712"/>
      <c r="DX263" s="712"/>
      <c r="DY263" s="712"/>
      <c r="DZ263" s="712"/>
      <c r="EA263" s="712"/>
      <c r="EB263" s="712"/>
      <c r="EC263" s="712"/>
      <c r="ED263" s="712"/>
      <c r="EE263" s="712"/>
      <c r="EF263" s="712"/>
      <c r="EG263" s="712"/>
      <c r="EH263" s="712"/>
      <c r="EI263" s="712"/>
      <c r="EJ263" s="712"/>
      <c r="EK263" s="712"/>
      <c r="EL263" s="712"/>
      <c r="EM263" s="712"/>
      <c r="EN263" s="712"/>
      <c r="EP263" s="946"/>
    </row>
    <row r="264" spans="7:146" ht="12.75">
      <c r="G264" s="714"/>
      <c r="H264" s="714" t="s">
        <v>193</v>
      </c>
      <c r="BA264" s="720">
        <f t="shared" ref="BA264:CA264" si="4113">BA216-BA178</f>
        <v>0</v>
      </c>
      <c r="BB264" s="720">
        <f t="shared" si="4113"/>
        <v>0</v>
      </c>
      <c r="BC264" s="720">
        <f t="shared" si="4113"/>
        <v>0</v>
      </c>
      <c r="BD264" s="720">
        <f t="shared" si="4113"/>
        <v>0</v>
      </c>
      <c r="BE264" s="720">
        <f t="shared" si="4113"/>
        <v>0</v>
      </c>
      <c r="BF264" s="720">
        <f t="shared" si="4113"/>
        <v>0</v>
      </c>
      <c r="BG264" s="720">
        <f t="shared" si="4113"/>
        <v>0</v>
      </c>
      <c r="BH264" s="720">
        <f t="shared" si="4113"/>
        <v>0</v>
      </c>
      <c r="BI264" s="720">
        <f t="shared" si="4113"/>
        <v>0</v>
      </c>
      <c r="BJ264" s="720">
        <f t="shared" si="4113"/>
        <v>0</v>
      </c>
      <c r="BK264" s="720">
        <f t="shared" si="4113"/>
        <v>0</v>
      </c>
      <c r="BL264" s="720">
        <f t="shared" si="4113"/>
        <v>0</v>
      </c>
      <c r="BM264" s="720">
        <f t="shared" si="4113"/>
        <v>0</v>
      </c>
      <c r="BN264" s="720">
        <f t="shared" si="4113"/>
        <v>0</v>
      </c>
      <c r="BO264" s="720">
        <f t="shared" si="4113"/>
        <v>0</v>
      </c>
      <c r="BP264" s="720">
        <f t="shared" si="4113"/>
        <v>0</v>
      </c>
      <c r="BQ264" s="720">
        <f t="shared" si="4113"/>
        <v>0</v>
      </c>
      <c r="BR264" s="720">
        <f t="shared" si="4113"/>
        <v>0</v>
      </c>
      <c r="BS264" s="720">
        <f t="shared" si="4113"/>
        <v>0</v>
      </c>
      <c r="BT264" s="720">
        <f t="shared" si="4113"/>
        <v>0</v>
      </c>
      <c r="BU264" s="720">
        <f t="shared" si="4113"/>
        <v>0</v>
      </c>
      <c r="BV264" s="720">
        <f t="shared" si="4113"/>
        <v>0</v>
      </c>
      <c r="BW264" s="720">
        <f t="shared" si="4113"/>
        <v>0</v>
      </c>
      <c r="BX264" s="720">
        <f t="shared" si="4113"/>
        <v>0</v>
      </c>
      <c r="BY264" s="720">
        <f t="shared" si="4113"/>
        <v>0</v>
      </c>
      <c r="BZ264" s="720">
        <f t="shared" si="4113"/>
        <v>0</v>
      </c>
      <c r="CA264" s="720">
        <f t="shared" si="4113"/>
        <v>0</v>
      </c>
      <c r="CB264" s="720">
        <f t="shared" ref="CB264:CK264" si="4114">CB216-CB178</f>
        <v>0</v>
      </c>
      <c r="CC264" s="720">
        <f t="shared" si="4114"/>
        <v>0</v>
      </c>
      <c r="CD264" s="720">
        <f t="shared" si="4114"/>
        <v>0</v>
      </c>
      <c r="CE264" s="720">
        <f t="shared" si="4114"/>
        <v>0</v>
      </c>
      <c r="CF264" s="720">
        <f t="shared" si="4114"/>
        <v>0</v>
      </c>
      <c r="CG264" s="720">
        <f t="shared" si="4114"/>
        <v>0</v>
      </c>
      <c r="CH264" s="720">
        <f t="shared" si="4114"/>
        <v>0</v>
      </c>
      <c r="CI264" s="720">
        <f t="shared" si="4114"/>
        <v>0</v>
      </c>
      <c r="CJ264" s="720">
        <f t="shared" si="4114"/>
        <v>0</v>
      </c>
      <c r="CK264" s="720">
        <f t="shared" si="4114"/>
        <v>0</v>
      </c>
      <c r="CL264" s="720">
        <v>0</v>
      </c>
      <c r="CM264" s="720">
        <v>0</v>
      </c>
      <c r="CN264" s="720">
        <v>0</v>
      </c>
      <c r="CO264" s="720">
        <v>0</v>
      </c>
      <c r="CP264" s="720">
        <v>0</v>
      </c>
      <c r="CQ264" s="720">
        <v>0</v>
      </c>
      <c r="CR264" s="720">
        <v>0</v>
      </c>
      <c r="CS264" s="720">
        <v>0</v>
      </c>
      <c r="CV264" s="712"/>
      <c r="CW264" s="712"/>
      <c r="CX264" s="712"/>
      <c r="CY264" s="712"/>
      <c r="CZ264" s="712"/>
      <c r="DA264" s="712"/>
      <c r="DB264" s="712"/>
      <c r="DC264" s="712"/>
      <c r="DD264" s="712"/>
      <c r="DE264" s="712"/>
      <c r="DF264" s="712"/>
      <c r="DG264" s="712"/>
      <c r="DH264" s="712"/>
      <c r="DI264" s="712"/>
      <c r="DJ264" s="712"/>
      <c r="DK264" s="712"/>
      <c r="DL264" s="712"/>
      <c r="DM264" s="712"/>
      <c r="DN264" s="712"/>
      <c r="DO264" s="712"/>
      <c r="DP264" s="712"/>
      <c r="DQ264" s="712"/>
      <c r="DR264" s="712"/>
      <c r="DS264" s="712"/>
      <c r="DT264" s="712"/>
      <c r="DU264" s="712"/>
      <c r="DV264" s="712"/>
      <c r="DW264" s="712"/>
      <c r="DX264" s="712"/>
      <c r="DY264" s="712"/>
      <c r="DZ264" s="712"/>
      <c r="EA264" s="712"/>
      <c r="EB264" s="712"/>
      <c r="EC264" s="712"/>
      <c r="ED264" s="712"/>
      <c r="EE264" s="712"/>
      <c r="EF264" s="712"/>
      <c r="EG264" s="712"/>
      <c r="EH264" s="712"/>
      <c r="EI264" s="712"/>
      <c r="EJ264" s="712"/>
      <c r="EK264" s="712"/>
      <c r="EL264" s="712"/>
      <c r="EM264" s="712"/>
      <c r="EN264" s="712"/>
      <c r="EP264" s="946"/>
    </row>
    <row r="265" spans="7:146" ht="12.75">
      <c r="G265" s="714"/>
      <c r="H265" s="714" t="s">
        <v>345</v>
      </c>
      <c r="BA265" s="720">
        <f t="shared" ref="BA265:CA265" si="4115">BA217-BA179</f>
        <v>0</v>
      </c>
      <c r="BB265" s="720">
        <f t="shared" si="4115"/>
        <v>0</v>
      </c>
      <c r="BC265" s="720">
        <f t="shared" si="4115"/>
        <v>0</v>
      </c>
      <c r="BD265" s="720">
        <f t="shared" si="4115"/>
        <v>0</v>
      </c>
      <c r="BE265" s="720">
        <f t="shared" si="4115"/>
        <v>0</v>
      </c>
      <c r="BF265" s="720">
        <f t="shared" si="4115"/>
        <v>0</v>
      </c>
      <c r="BG265" s="720">
        <f t="shared" si="4115"/>
        <v>0</v>
      </c>
      <c r="BH265" s="720">
        <f t="shared" si="4115"/>
        <v>0</v>
      </c>
      <c r="BI265" s="720">
        <f t="shared" si="4115"/>
        <v>0</v>
      </c>
      <c r="BJ265" s="720">
        <f t="shared" si="4115"/>
        <v>0</v>
      </c>
      <c r="BK265" s="720">
        <f t="shared" si="4115"/>
        <v>0</v>
      </c>
      <c r="BL265" s="720">
        <f t="shared" si="4115"/>
        <v>0</v>
      </c>
      <c r="BM265" s="720">
        <f t="shared" si="4115"/>
        <v>0</v>
      </c>
      <c r="BN265" s="720">
        <f t="shared" si="4115"/>
        <v>0</v>
      </c>
      <c r="BO265" s="720">
        <f t="shared" si="4115"/>
        <v>0</v>
      </c>
      <c r="BP265" s="720">
        <f t="shared" si="4115"/>
        <v>0</v>
      </c>
      <c r="BQ265" s="720">
        <f t="shared" si="4115"/>
        <v>0</v>
      </c>
      <c r="BR265" s="720">
        <f t="shared" si="4115"/>
        <v>0</v>
      </c>
      <c r="BS265" s="720">
        <f t="shared" si="4115"/>
        <v>0</v>
      </c>
      <c r="BT265" s="720">
        <f t="shared" si="4115"/>
        <v>0</v>
      </c>
      <c r="BU265" s="720">
        <f t="shared" si="4115"/>
        <v>0</v>
      </c>
      <c r="BV265" s="720">
        <f t="shared" si="4115"/>
        <v>0</v>
      </c>
      <c r="BW265" s="720">
        <f t="shared" si="4115"/>
        <v>0</v>
      </c>
      <c r="BX265" s="720">
        <f t="shared" si="4115"/>
        <v>0</v>
      </c>
      <c r="BY265" s="720">
        <f t="shared" si="4115"/>
        <v>0</v>
      </c>
      <c r="BZ265" s="720">
        <f t="shared" si="4115"/>
        <v>0</v>
      </c>
      <c r="CA265" s="720">
        <f t="shared" si="4115"/>
        <v>0</v>
      </c>
      <c r="CB265" s="720">
        <f t="shared" ref="CB265:CK265" si="4116">CB217-CB179</f>
        <v>0</v>
      </c>
      <c r="CC265" s="720">
        <f t="shared" si="4116"/>
        <v>0</v>
      </c>
      <c r="CD265" s="720">
        <f t="shared" si="4116"/>
        <v>0</v>
      </c>
      <c r="CE265" s="720">
        <f t="shared" si="4116"/>
        <v>0</v>
      </c>
      <c r="CF265" s="720">
        <f t="shared" si="4116"/>
        <v>0</v>
      </c>
      <c r="CG265" s="720">
        <f t="shared" si="4116"/>
        <v>0</v>
      </c>
      <c r="CH265" s="720">
        <f t="shared" si="4116"/>
        <v>0</v>
      </c>
      <c r="CI265" s="720">
        <f t="shared" si="4116"/>
        <v>0</v>
      </c>
      <c r="CJ265" s="720">
        <f t="shared" si="4116"/>
        <v>0</v>
      </c>
      <c r="CK265" s="720">
        <f t="shared" si="4116"/>
        <v>0</v>
      </c>
      <c r="CL265" s="720">
        <v>0</v>
      </c>
      <c r="CM265" s="720">
        <v>0</v>
      </c>
      <c r="CN265" s="720">
        <v>0</v>
      </c>
      <c r="CO265" s="720">
        <v>0</v>
      </c>
      <c r="CP265" s="720">
        <v>0</v>
      </c>
      <c r="CQ265" s="720">
        <v>0</v>
      </c>
      <c r="CR265" s="720">
        <v>0</v>
      </c>
      <c r="CS265" s="720">
        <v>0</v>
      </c>
      <c r="CV265" s="712"/>
      <c r="CW265" s="712"/>
      <c r="CX265" s="712"/>
      <c r="CY265" s="712"/>
      <c r="CZ265" s="712"/>
      <c r="DA265" s="712"/>
      <c r="DB265" s="712"/>
      <c r="DC265" s="712"/>
      <c r="DD265" s="712"/>
      <c r="DE265" s="712"/>
      <c r="DF265" s="712"/>
      <c r="DG265" s="712"/>
      <c r="DH265" s="712"/>
      <c r="DI265" s="712"/>
      <c r="DJ265" s="712"/>
      <c r="DK265" s="712"/>
      <c r="DL265" s="712"/>
      <c r="DM265" s="712"/>
      <c r="DN265" s="712"/>
      <c r="DO265" s="712"/>
      <c r="DP265" s="712"/>
      <c r="DQ265" s="712"/>
      <c r="DR265" s="712"/>
      <c r="DS265" s="712"/>
      <c r="DT265" s="712"/>
      <c r="DU265" s="712"/>
      <c r="DV265" s="712"/>
      <c r="DW265" s="712"/>
      <c r="DX265" s="712"/>
      <c r="DY265" s="712"/>
      <c r="DZ265" s="712"/>
      <c r="EA265" s="712"/>
      <c r="EB265" s="712"/>
      <c r="EC265" s="712"/>
      <c r="ED265" s="712"/>
      <c r="EE265" s="712"/>
      <c r="EF265" s="712"/>
      <c r="EG265" s="712"/>
      <c r="EH265" s="712"/>
      <c r="EI265" s="712"/>
      <c r="EJ265" s="712"/>
      <c r="EK265" s="712"/>
      <c r="EL265" s="712"/>
      <c r="EM265" s="712"/>
      <c r="EN265" s="712"/>
      <c r="EP265" s="946"/>
    </row>
    <row r="266" spans="7:146" ht="12.75">
      <c r="G266" s="714"/>
      <c r="H266" s="714" t="s">
        <v>121</v>
      </c>
      <c r="BA266" s="720">
        <f t="shared" ref="BA266:CA266" si="4117">BA218-BA180</f>
        <v>0</v>
      </c>
      <c r="BB266" s="720">
        <f t="shared" si="4117"/>
        <v>0</v>
      </c>
      <c r="BC266" s="720">
        <f t="shared" si="4117"/>
        <v>0</v>
      </c>
      <c r="BD266" s="720">
        <f t="shared" si="4117"/>
        <v>0</v>
      </c>
      <c r="BE266" s="720">
        <f t="shared" si="4117"/>
        <v>0</v>
      </c>
      <c r="BF266" s="720">
        <f t="shared" si="4117"/>
        <v>0</v>
      </c>
      <c r="BG266" s="720">
        <f t="shared" si="4117"/>
        <v>0</v>
      </c>
      <c r="BH266" s="720">
        <f t="shared" si="4117"/>
        <v>0</v>
      </c>
      <c r="BI266" s="720">
        <f t="shared" si="4117"/>
        <v>0</v>
      </c>
      <c r="BJ266" s="720">
        <f t="shared" si="4117"/>
        <v>0</v>
      </c>
      <c r="BK266" s="720">
        <f t="shared" si="4117"/>
        <v>0</v>
      </c>
      <c r="BL266" s="720">
        <f t="shared" si="4117"/>
        <v>0</v>
      </c>
      <c r="BM266" s="720">
        <f t="shared" si="4117"/>
        <v>0</v>
      </c>
      <c r="BN266" s="720">
        <f t="shared" si="4117"/>
        <v>0</v>
      </c>
      <c r="BO266" s="720">
        <f t="shared" si="4117"/>
        <v>0</v>
      </c>
      <c r="BP266" s="720">
        <f t="shared" si="4117"/>
        <v>0</v>
      </c>
      <c r="BQ266" s="720">
        <f t="shared" si="4117"/>
        <v>0</v>
      </c>
      <c r="BR266" s="720">
        <f t="shared" si="4117"/>
        <v>0</v>
      </c>
      <c r="BS266" s="720">
        <f t="shared" si="4117"/>
        <v>0</v>
      </c>
      <c r="BT266" s="720">
        <f t="shared" si="4117"/>
        <v>0</v>
      </c>
      <c r="BU266" s="720">
        <f t="shared" si="4117"/>
        <v>0</v>
      </c>
      <c r="BV266" s="720">
        <f t="shared" si="4117"/>
        <v>0</v>
      </c>
      <c r="BW266" s="720">
        <f t="shared" si="4117"/>
        <v>0</v>
      </c>
      <c r="BX266" s="720">
        <f t="shared" si="4117"/>
        <v>0</v>
      </c>
      <c r="BY266" s="720">
        <f t="shared" si="4117"/>
        <v>0</v>
      </c>
      <c r="BZ266" s="720">
        <f t="shared" si="4117"/>
        <v>0</v>
      </c>
      <c r="CA266" s="720">
        <f t="shared" si="4117"/>
        <v>0</v>
      </c>
      <c r="CB266" s="720">
        <f t="shared" ref="CB266:CK266" si="4118">CB218-CB180</f>
        <v>0</v>
      </c>
      <c r="CC266" s="720">
        <f t="shared" si="4118"/>
        <v>0</v>
      </c>
      <c r="CD266" s="720">
        <f t="shared" si="4118"/>
        <v>0</v>
      </c>
      <c r="CE266" s="720">
        <f t="shared" si="4118"/>
        <v>0</v>
      </c>
      <c r="CF266" s="720">
        <f t="shared" si="4118"/>
        <v>0</v>
      </c>
      <c r="CG266" s="720">
        <f t="shared" si="4118"/>
        <v>0</v>
      </c>
      <c r="CH266" s="720">
        <f t="shared" si="4118"/>
        <v>0</v>
      </c>
      <c r="CI266" s="720">
        <f t="shared" si="4118"/>
        <v>0</v>
      </c>
      <c r="CJ266" s="720">
        <f t="shared" si="4118"/>
        <v>0</v>
      </c>
      <c r="CK266" s="720">
        <f t="shared" si="4118"/>
        <v>0</v>
      </c>
      <c r="CL266" s="720">
        <v>0</v>
      </c>
      <c r="CM266" s="720">
        <v>0</v>
      </c>
      <c r="CN266" s="720">
        <v>0</v>
      </c>
      <c r="CO266" s="720">
        <v>0</v>
      </c>
      <c r="CP266" s="720">
        <v>0</v>
      </c>
      <c r="CQ266" s="720">
        <v>0</v>
      </c>
      <c r="CR266" s="720">
        <v>0</v>
      </c>
      <c r="CS266" s="720">
        <v>0</v>
      </c>
      <c r="CV266" s="712"/>
      <c r="CW266" s="712"/>
      <c r="CX266" s="712"/>
      <c r="CY266" s="712"/>
      <c r="CZ266" s="712"/>
      <c r="DA266" s="712"/>
      <c r="DB266" s="712"/>
      <c r="DC266" s="712"/>
      <c r="DD266" s="712"/>
      <c r="DE266" s="712"/>
      <c r="DF266" s="712"/>
      <c r="DG266" s="712"/>
      <c r="DH266" s="712"/>
      <c r="DI266" s="712"/>
      <c r="DJ266" s="712"/>
      <c r="DK266" s="712"/>
      <c r="DL266" s="712"/>
      <c r="DM266" s="712"/>
      <c r="DN266" s="712"/>
      <c r="DO266" s="712"/>
      <c r="DP266" s="712"/>
      <c r="DQ266" s="712"/>
      <c r="DR266" s="712"/>
      <c r="DS266" s="712"/>
      <c r="DT266" s="712"/>
      <c r="DU266" s="712"/>
      <c r="DV266" s="712"/>
      <c r="DW266" s="712"/>
      <c r="DX266" s="712"/>
      <c r="DY266" s="712"/>
      <c r="DZ266" s="712"/>
      <c r="EA266" s="712"/>
      <c r="EB266" s="712"/>
      <c r="EC266" s="712"/>
      <c r="ED266" s="712"/>
      <c r="EE266" s="712"/>
      <c r="EF266" s="712"/>
      <c r="EG266" s="712"/>
      <c r="EH266" s="712"/>
      <c r="EI266" s="712"/>
      <c r="EJ266" s="712"/>
      <c r="EK266" s="712"/>
      <c r="EL266" s="712"/>
      <c r="EM266" s="712"/>
      <c r="EN266" s="712"/>
      <c r="EP266" s="946"/>
    </row>
    <row r="267" spans="7:146" ht="12.75">
      <c r="G267" s="714"/>
      <c r="H267" s="714" t="s">
        <v>122</v>
      </c>
      <c r="BA267" s="720">
        <f t="shared" ref="BA267:CA267" si="4119">BA219-BA181</f>
        <v>0</v>
      </c>
      <c r="BB267" s="720">
        <f t="shared" si="4119"/>
        <v>0</v>
      </c>
      <c r="BC267" s="720">
        <f t="shared" si="4119"/>
        <v>0</v>
      </c>
      <c r="BD267" s="720">
        <f t="shared" si="4119"/>
        <v>0</v>
      </c>
      <c r="BE267" s="720">
        <f t="shared" si="4119"/>
        <v>0</v>
      </c>
      <c r="BF267" s="720">
        <f t="shared" si="4119"/>
        <v>0</v>
      </c>
      <c r="BG267" s="720">
        <f t="shared" si="4119"/>
        <v>0</v>
      </c>
      <c r="BH267" s="720">
        <f t="shared" si="4119"/>
        <v>0</v>
      </c>
      <c r="BI267" s="720">
        <f t="shared" si="4119"/>
        <v>0</v>
      </c>
      <c r="BJ267" s="720">
        <f t="shared" si="4119"/>
        <v>0</v>
      </c>
      <c r="BK267" s="720">
        <f t="shared" si="4119"/>
        <v>0</v>
      </c>
      <c r="BL267" s="720">
        <f t="shared" si="4119"/>
        <v>0</v>
      </c>
      <c r="BM267" s="720">
        <f t="shared" si="4119"/>
        <v>0</v>
      </c>
      <c r="BN267" s="720">
        <f t="shared" si="4119"/>
        <v>0</v>
      </c>
      <c r="BO267" s="720">
        <f t="shared" si="4119"/>
        <v>0</v>
      </c>
      <c r="BP267" s="720">
        <f t="shared" si="4119"/>
        <v>0</v>
      </c>
      <c r="BQ267" s="720">
        <f t="shared" si="4119"/>
        <v>0</v>
      </c>
      <c r="BR267" s="720">
        <f t="shared" si="4119"/>
        <v>0</v>
      </c>
      <c r="BS267" s="720">
        <f t="shared" si="4119"/>
        <v>0</v>
      </c>
      <c r="BT267" s="720">
        <f t="shared" si="4119"/>
        <v>0</v>
      </c>
      <c r="BU267" s="720">
        <f t="shared" si="4119"/>
        <v>0</v>
      </c>
      <c r="BV267" s="720">
        <f t="shared" si="4119"/>
        <v>0</v>
      </c>
      <c r="BW267" s="720">
        <f t="shared" si="4119"/>
        <v>0</v>
      </c>
      <c r="BX267" s="720">
        <f t="shared" si="4119"/>
        <v>0</v>
      </c>
      <c r="BY267" s="720">
        <f t="shared" si="4119"/>
        <v>0</v>
      </c>
      <c r="BZ267" s="720">
        <f t="shared" si="4119"/>
        <v>0</v>
      </c>
      <c r="CA267" s="720">
        <f t="shared" si="4119"/>
        <v>0</v>
      </c>
      <c r="CB267" s="720">
        <f t="shared" ref="CB267:CK267" si="4120">CB219-CB181</f>
        <v>0</v>
      </c>
      <c r="CC267" s="720">
        <f t="shared" si="4120"/>
        <v>0</v>
      </c>
      <c r="CD267" s="720">
        <f t="shared" si="4120"/>
        <v>0</v>
      </c>
      <c r="CE267" s="720">
        <f t="shared" si="4120"/>
        <v>0</v>
      </c>
      <c r="CF267" s="720">
        <f t="shared" si="4120"/>
        <v>0</v>
      </c>
      <c r="CG267" s="720">
        <f t="shared" si="4120"/>
        <v>0</v>
      </c>
      <c r="CH267" s="720">
        <f t="shared" si="4120"/>
        <v>0</v>
      </c>
      <c r="CI267" s="720">
        <f t="shared" si="4120"/>
        <v>0</v>
      </c>
      <c r="CJ267" s="720">
        <f t="shared" si="4120"/>
        <v>0</v>
      </c>
      <c r="CK267" s="720">
        <f t="shared" si="4120"/>
        <v>0</v>
      </c>
      <c r="CL267" s="720">
        <v>0</v>
      </c>
      <c r="CM267" s="720">
        <v>0</v>
      </c>
      <c r="CN267" s="720">
        <v>0</v>
      </c>
      <c r="CO267" s="720">
        <v>0</v>
      </c>
      <c r="CP267" s="720">
        <v>0</v>
      </c>
      <c r="CQ267" s="720">
        <v>0</v>
      </c>
      <c r="CR267" s="720">
        <v>0</v>
      </c>
      <c r="CS267" s="720">
        <v>0</v>
      </c>
      <c r="CV267" s="712"/>
      <c r="CW267" s="712"/>
      <c r="CX267" s="712"/>
      <c r="CY267" s="712"/>
      <c r="CZ267" s="712"/>
      <c r="DA267" s="712"/>
      <c r="DB267" s="712"/>
      <c r="DC267" s="712"/>
      <c r="DD267" s="712"/>
      <c r="DE267" s="712"/>
      <c r="DF267" s="712"/>
      <c r="DG267" s="712"/>
      <c r="DH267" s="712"/>
      <c r="DI267" s="712"/>
      <c r="DJ267" s="712"/>
      <c r="DK267" s="712"/>
      <c r="DL267" s="712"/>
      <c r="DM267" s="712"/>
      <c r="DN267" s="712"/>
      <c r="DO267" s="712"/>
      <c r="DP267" s="712"/>
      <c r="DQ267" s="712"/>
      <c r="DR267" s="712"/>
      <c r="DS267" s="712"/>
      <c r="DT267" s="712"/>
      <c r="DU267" s="712"/>
      <c r="DV267" s="712"/>
      <c r="DW267" s="712"/>
      <c r="DX267" s="712"/>
      <c r="DY267" s="712"/>
      <c r="DZ267" s="712"/>
      <c r="EA267" s="712"/>
      <c r="EB267" s="712"/>
      <c r="EC267" s="712"/>
      <c r="ED267" s="712"/>
      <c r="EE267" s="712"/>
      <c r="EF267" s="712"/>
      <c r="EG267" s="712"/>
      <c r="EH267" s="712"/>
      <c r="EI267" s="712"/>
      <c r="EJ267" s="712"/>
      <c r="EK267" s="712"/>
      <c r="EL267" s="712"/>
      <c r="EM267" s="712"/>
      <c r="EN267" s="712"/>
      <c r="EP267" s="946"/>
    </row>
    <row r="268" spans="7:146" ht="12.75">
      <c r="G268" s="901"/>
      <c r="H268" s="901" t="s">
        <v>629</v>
      </c>
      <c r="BA268" s="720">
        <v>0</v>
      </c>
      <c r="BB268" s="720">
        <v>0</v>
      </c>
      <c r="BC268" s="720">
        <v>0</v>
      </c>
      <c r="BD268" s="720">
        <v>0</v>
      </c>
      <c r="BE268" s="720">
        <v>0</v>
      </c>
      <c r="BF268" s="720">
        <v>0</v>
      </c>
      <c r="BG268" s="720">
        <v>0</v>
      </c>
      <c r="BH268" s="720">
        <v>0</v>
      </c>
      <c r="BI268" s="720">
        <v>0</v>
      </c>
      <c r="BJ268" s="720">
        <v>0</v>
      </c>
      <c r="BK268" s="720">
        <v>0</v>
      </c>
      <c r="BL268" s="720">
        <v>0</v>
      </c>
      <c r="BM268" s="720">
        <v>0</v>
      </c>
      <c r="BN268" s="720">
        <v>0</v>
      </c>
      <c r="BO268" s="720">
        <v>0</v>
      </c>
      <c r="BP268" s="720">
        <v>0</v>
      </c>
      <c r="BQ268" s="720">
        <v>0</v>
      </c>
      <c r="BR268" s="720">
        <v>0</v>
      </c>
      <c r="BS268" s="720">
        <v>0</v>
      </c>
      <c r="BT268" s="720">
        <v>0</v>
      </c>
      <c r="BU268" s="720">
        <v>0</v>
      </c>
      <c r="BV268" s="720">
        <v>0</v>
      </c>
      <c r="BW268" s="720">
        <v>0</v>
      </c>
      <c r="BX268" s="720">
        <v>0</v>
      </c>
      <c r="BY268" s="720">
        <v>0</v>
      </c>
      <c r="BZ268" s="720">
        <v>0</v>
      </c>
      <c r="CA268" s="720">
        <v>0</v>
      </c>
      <c r="CB268" s="720">
        <v>0</v>
      </c>
      <c r="CC268" s="720">
        <v>0</v>
      </c>
      <c r="CD268" s="720">
        <v>0</v>
      </c>
      <c r="CE268" s="720">
        <v>0</v>
      </c>
      <c r="CF268" s="720">
        <v>0</v>
      </c>
      <c r="CG268" s="720">
        <v>0</v>
      </c>
      <c r="CH268" s="720">
        <v>0</v>
      </c>
      <c r="CI268" s="720">
        <v>0</v>
      </c>
      <c r="CJ268" s="720">
        <v>0</v>
      </c>
      <c r="CK268" s="720">
        <v>0</v>
      </c>
      <c r="CL268" s="720">
        <v>0</v>
      </c>
      <c r="CM268" s="720">
        <v>0</v>
      </c>
      <c r="CN268" s="720">
        <v>0</v>
      </c>
      <c r="CO268" s="720">
        <v>0</v>
      </c>
      <c r="CP268" s="720">
        <v>0</v>
      </c>
      <c r="CQ268" s="720">
        <v>0</v>
      </c>
      <c r="CR268" s="720">
        <v>0</v>
      </c>
      <c r="CS268" s="720">
        <v>0</v>
      </c>
      <c r="CT268" s="720">
        <v>0</v>
      </c>
      <c r="CV268" s="712"/>
      <c r="CW268" s="712"/>
      <c r="CX268" s="712"/>
      <c r="CY268" s="712"/>
      <c r="CZ268" s="712"/>
      <c r="DA268" s="712"/>
      <c r="DB268" s="712"/>
      <c r="DC268" s="712"/>
      <c r="DD268" s="712"/>
      <c r="DE268" s="712"/>
      <c r="DF268" s="712"/>
      <c r="DG268" s="712"/>
      <c r="DH268" s="712"/>
      <c r="DI268" s="712"/>
      <c r="DJ268" s="712"/>
      <c r="DK268" s="712"/>
      <c r="DL268" s="712"/>
      <c r="DM268" s="712"/>
      <c r="DN268" s="712"/>
      <c r="DO268" s="712"/>
      <c r="DP268" s="712"/>
      <c r="DQ268" s="712"/>
      <c r="DR268" s="712"/>
      <c r="DS268" s="712"/>
      <c r="DT268" s="712"/>
      <c r="DU268" s="712"/>
      <c r="DV268" s="712"/>
      <c r="DW268" s="712"/>
      <c r="DX268" s="712"/>
      <c r="DY268" s="712"/>
      <c r="DZ268" s="712"/>
      <c r="EA268" s="712"/>
      <c r="EB268" s="712"/>
      <c r="EC268" s="712"/>
      <c r="ED268" s="712"/>
      <c r="EE268" s="712"/>
      <c r="EF268" s="712"/>
      <c r="EG268" s="712"/>
      <c r="EH268" s="712"/>
      <c r="EI268" s="712"/>
      <c r="EJ268" s="712"/>
      <c r="EK268" s="712"/>
      <c r="EL268" s="712"/>
      <c r="EM268" s="712"/>
      <c r="EN268" s="712"/>
      <c r="EP268" s="946"/>
    </row>
    <row r="269" spans="7:146" ht="12.75">
      <c r="G269" s="901"/>
      <c r="H269" s="901" t="s">
        <v>628</v>
      </c>
      <c r="BA269" s="720">
        <v>0</v>
      </c>
      <c r="BB269" s="720">
        <v>0</v>
      </c>
      <c r="BC269" s="720">
        <v>0</v>
      </c>
      <c r="BD269" s="720">
        <v>0</v>
      </c>
      <c r="BE269" s="720">
        <v>0</v>
      </c>
      <c r="BF269" s="720">
        <v>0</v>
      </c>
      <c r="BG269" s="720">
        <v>0</v>
      </c>
      <c r="BH269" s="720">
        <v>0</v>
      </c>
      <c r="BI269" s="720">
        <v>0</v>
      </c>
      <c r="BJ269" s="720">
        <v>0</v>
      </c>
      <c r="BK269" s="720">
        <v>0</v>
      </c>
      <c r="BL269" s="720">
        <v>0</v>
      </c>
      <c r="BM269" s="720">
        <v>0</v>
      </c>
      <c r="BN269" s="720">
        <v>0</v>
      </c>
      <c r="BO269" s="720">
        <v>0</v>
      </c>
      <c r="BP269" s="720">
        <v>0</v>
      </c>
      <c r="BQ269" s="720">
        <v>0</v>
      </c>
      <c r="BR269" s="720">
        <v>0</v>
      </c>
      <c r="BS269" s="720">
        <v>0</v>
      </c>
      <c r="BT269" s="720">
        <v>0</v>
      </c>
      <c r="BU269" s="720">
        <v>0</v>
      </c>
      <c r="BV269" s="720">
        <v>0</v>
      </c>
      <c r="BW269" s="720">
        <v>0</v>
      </c>
      <c r="BX269" s="720">
        <v>0</v>
      </c>
      <c r="BY269" s="720">
        <v>0</v>
      </c>
      <c r="BZ269" s="720">
        <v>0</v>
      </c>
      <c r="CA269" s="720">
        <v>0</v>
      </c>
      <c r="CB269" s="720">
        <v>0</v>
      </c>
      <c r="CC269" s="720">
        <v>0</v>
      </c>
      <c r="CD269" s="720">
        <v>0</v>
      </c>
      <c r="CE269" s="720">
        <v>0</v>
      </c>
      <c r="CF269" s="720">
        <v>0</v>
      </c>
      <c r="CG269" s="720">
        <v>0</v>
      </c>
      <c r="CH269" s="720">
        <v>0</v>
      </c>
      <c r="CI269" s="720">
        <v>0</v>
      </c>
      <c r="CJ269" s="720">
        <v>0</v>
      </c>
      <c r="CK269" s="720">
        <v>0</v>
      </c>
      <c r="CL269" s="720">
        <v>0</v>
      </c>
      <c r="CM269" s="720">
        <v>0</v>
      </c>
      <c r="CN269" s="720">
        <v>0</v>
      </c>
      <c r="CO269" s="720">
        <v>0</v>
      </c>
      <c r="CP269" s="720">
        <v>0</v>
      </c>
      <c r="CQ269" s="720">
        <v>0</v>
      </c>
      <c r="CR269" s="720">
        <v>0</v>
      </c>
      <c r="CS269" s="720">
        <v>0</v>
      </c>
      <c r="CT269" s="720">
        <v>0</v>
      </c>
      <c r="CV269" s="712"/>
      <c r="CW269" s="712"/>
      <c r="CX269" s="712"/>
      <c r="CY269" s="712"/>
      <c r="CZ269" s="712"/>
      <c r="DA269" s="712"/>
      <c r="DB269" s="712"/>
      <c r="DC269" s="712"/>
      <c r="DD269" s="712"/>
      <c r="DE269" s="712"/>
      <c r="DF269" s="712"/>
      <c r="DG269" s="712"/>
      <c r="DH269" s="712"/>
      <c r="DI269" s="712"/>
      <c r="DJ269" s="712"/>
      <c r="DK269" s="712"/>
      <c r="DL269" s="712"/>
      <c r="DM269" s="712"/>
      <c r="DN269" s="712"/>
      <c r="DO269" s="712"/>
      <c r="DP269" s="712"/>
      <c r="DQ269" s="712"/>
      <c r="DR269" s="712"/>
      <c r="DS269" s="712"/>
      <c r="DT269" s="712"/>
      <c r="DU269" s="712"/>
      <c r="DV269" s="712"/>
      <c r="DW269" s="712"/>
      <c r="DX269" s="712"/>
      <c r="DY269" s="712"/>
      <c r="DZ269" s="712"/>
      <c r="EA269" s="712"/>
      <c r="EB269" s="712"/>
      <c r="EC269" s="712"/>
      <c r="ED269" s="712"/>
      <c r="EE269" s="712"/>
      <c r="EF269" s="712"/>
      <c r="EG269" s="712"/>
      <c r="EH269" s="712"/>
      <c r="EI269" s="712"/>
      <c r="EJ269" s="712"/>
      <c r="EK269" s="712"/>
      <c r="EL269" s="712"/>
      <c r="EM269" s="712"/>
      <c r="EN269" s="712"/>
      <c r="EP269" s="946"/>
    </row>
    <row r="270" spans="7:146" ht="12.75">
      <c r="G270" s="901"/>
      <c r="H270" s="901" t="s">
        <v>630</v>
      </c>
      <c r="BA270" s="720">
        <v>0</v>
      </c>
      <c r="BB270" s="720">
        <v>0</v>
      </c>
      <c r="BC270" s="720">
        <v>0</v>
      </c>
      <c r="BD270" s="720">
        <v>0</v>
      </c>
      <c r="BE270" s="720">
        <v>0</v>
      </c>
      <c r="BF270" s="720">
        <v>0</v>
      </c>
      <c r="BG270" s="720">
        <v>0</v>
      </c>
      <c r="BH270" s="720">
        <v>0</v>
      </c>
      <c r="BI270" s="720">
        <v>0</v>
      </c>
      <c r="BJ270" s="720">
        <v>0</v>
      </c>
      <c r="BK270" s="720">
        <v>0</v>
      </c>
      <c r="BL270" s="720">
        <v>0</v>
      </c>
      <c r="BM270" s="720">
        <v>0</v>
      </c>
      <c r="BN270" s="720">
        <v>0</v>
      </c>
      <c r="BO270" s="720">
        <v>0</v>
      </c>
      <c r="BP270" s="720">
        <v>0</v>
      </c>
      <c r="BQ270" s="720">
        <v>0</v>
      </c>
      <c r="BR270" s="720">
        <v>0</v>
      </c>
      <c r="BS270" s="720">
        <v>0</v>
      </c>
      <c r="BT270" s="720">
        <v>0</v>
      </c>
      <c r="BU270" s="720">
        <v>0</v>
      </c>
      <c r="BV270" s="720">
        <v>0</v>
      </c>
      <c r="BW270" s="720">
        <v>0</v>
      </c>
      <c r="BX270" s="720">
        <v>0</v>
      </c>
      <c r="BY270" s="720">
        <v>0</v>
      </c>
      <c r="BZ270" s="720">
        <v>0</v>
      </c>
      <c r="CA270" s="720">
        <v>0</v>
      </c>
      <c r="CB270" s="720">
        <v>0</v>
      </c>
      <c r="CC270" s="720">
        <v>0</v>
      </c>
      <c r="CD270" s="720">
        <v>0</v>
      </c>
      <c r="CE270" s="720">
        <v>0</v>
      </c>
      <c r="CF270" s="720">
        <v>0</v>
      </c>
      <c r="CG270" s="720">
        <v>0</v>
      </c>
      <c r="CH270" s="720">
        <v>0</v>
      </c>
      <c r="CI270" s="720">
        <v>0</v>
      </c>
      <c r="CJ270" s="720">
        <v>0</v>
      </c>
      <c r="CK270" s="720">
        <v>0</v>
      </c>
      <c r="CL270" s="720">
        <v>0</v>
      </c>
      <c r="CM270" s="720">
        <v>0</v>
      </c>
      <c r="CN270" s="720">
        <v>0</v>
      </c>
      <c r="CO270" s="720">
        <v>0</v>
      </c>
      <c r="CP270" s="720">
        <v>0</v>
      </c>
      <c r="CQ270" s="720">
        <v>0</v>
      </c>
      <c r="CR270" s="720">
        <v>0</v>
      </c>
      <c r="CS270" s="720">
        <v>0</v>
      </c>
      <c r="CT270" s="720">
        <v>0</v>
      </c>
      <c r="CV270" s="712"/>
      <c r="CW270" s="712"/>
      <c r="CX270" s="712"/>
      <c r="CY270" s="712"/>
      <c r="CZ270" s="712"/>
      <c r="DA270" s="712"/>
      <c r="DB270" s="712"/>
      <c r="DC270" s="712"/>
      <c r="DD270" s="712"/>
      <c r="DE270" s="712"/>
      <c r="DF270" s="712"/>
      <c r="DG270" s="712"/>
      <c r="DH270" s="712"/>
      <c r="DI270" s="712"/>
      <c r="DJ270" s="712"/>
      <c r="DK270" s="712"/>
      <c r="DL270" s="712"/>
      <c r="DM270" s="712"/>
      <c r="DN270" s="712"/>
      <c r="DO270" s="712"/>
      <c r="DP270" s="712"/>
      <c r="DQ270" s="712"/>
      <c r="DR270" s="712"/>
      <c r="DS270" s="712"/>
      <c r="DT270" s="712"/>
      <c r="DU270" s="712"/>
      <c r="DV270" s="712"/>
      <c r="DW270" s="712"/>
      <c r="DX270" s="712"/>
      <c r="DY270" s="712"/>
      <c r="DZ270" s="712"/>
      <c r="EA270" s="712"/>
      <c r="EB270" s="712"/>
      <c r="EC270" s="712"/>
      <c r="ED270" s="712"/>
      <c r="EE270" s="712"/>
      <c r="EF270" s="712"/>
      <c r="EG270" s="712"/>
      <c r="EH270" s="712"/>
      <c r="EI270" s="712"/>
      <c r="EJ270" s="712"/>
      <c r="EK270" s="712"/>
      <c r="EL270" s="712"/>
      <c r="EM270" s="712"/>
      <c r="EN270" s="712"/>
      <c r="EP270" s="946"/>
    </row>
    <row r="271" spans="7:146" ht="12.75">
      <c r="G271" s="901"/>
      <c r="H271" s="901" t="s">
        <v>631</v>
      </c>
      <c r="BA271" s="720">
        <v>0</v>
      </c>
      <c r="BB271" s="720">
        <v>0</v>
      </c>
      <c r="BC271" s="720">
        <v>0</v>
      </c>
      <c r="BD271" s="720">
        <v>0</v>
      </c>
      <c r="BE271" s="720">
        <v>0</v>
      </c>
      <c r="BF271" s="720">
        <v>0</v>
      </c>
      <c r="BG271" s="720">
        <v>0</v>
      </c>
      <c r="BH271" s="720">
        <v>0</v>
      </c>
      <c r="BI271" s="720">
        <v>0</v>
      </c>
      <c r="BJ271" s="720">
        <v>0</v>
      </c>
      <c r="BK271" s="720">
        <v>0</v>
      </c>
      <c r="BL271" s="720">
        <v>0</v>
      </c>
      <c r="BM271" s="720">
        <v>0</v>
      </c>
      <c r="BN271" s="720">
        <v>0</v>
      </c>
      <c r="BO271" s="720">
        <v>0</v>
      </c>
      <c r="BP271" s="720">
        <v>0</v>
      </c>
      <c r="BQ271" s="720">
        <v>0</v>
      </c>
      <c r="BR271" s="720">
        <v>0</v>
      </c>
      <c r="BS271" s="720">
        <v>0</v>
      </c>
      <c r="BT271" s="720">
        <v>0</v>
      </c>
      <c r="BU271" s="720">
        <v>0</v>
      </c>
      <c r="BV271" s="720">
        <v>0</v>
      </c>
      <c r="BW271" s="720">
        <v>0</v>
      </c>
      <c r="BX271" s="720">
        <v>0</v>
      </c>
      <c r="BY271" s="720">
        <v>0</v>
      </c>
      <c r="BZ271" s="720">
        <v>0</v>
      </c>
      <c r="CA271" s="720">
        <v>0</v>
      </c>
      <c r="CB271" s="720">
        <v>0</v>
      </c>
      <c r="CC271" s="720">
        <v>0</v>
      </c>
      <c r="CD271" s="720">
        <v>0</v>
      </c>
      <c r="CE271" s="720">
        <v>0</v>
      </c>
      <c r="CF271" s="720">
        <v>0</v>
      </c>
      <c r="CG271" s="720">
        <v>0</v>
      </c>
      <c r="CH271" s="720">
        <v>0</v>
      </c>
      <c r="CI271" s="720">
        <v>0</v>
      </c>
      <c r="CJ271" s="720">
        <v>0</v>
      </c>
      <c r="CK271" s="720">
        <v>0</v>
      </c>
      <c r="CL271" s="720">
        <v>0</v>
      </c>
      <c r="CM271" s="720">
        <v>0</v>
      </c>
      <c r="CN271" s="720">
        <v>0</v>
      </c>
      <c r="CO271" s="720">
        <v>0</v>
      </c>
      <c r="CP271" s="720">
        <v>0</v>
      </c>
      <c r="CQ271" s="720">
        <v>0</v>
      </c>
      <c r="CR271" s="720">
        <v>0</v>
      </c>
      <c r="CS271" s="720">
        <v>0</v>
      </c>
      <c r="CT271" s="720">
        <v>0</v>
      </c>
      <c r="CV271" s="712"/>
      <c r="CW271" s="712"/>
      <c r="CX271" s="712"/>
      <c r="CY271" s="712"/>
      <c r="CZ271" s="712"/>
      <c r="DA271" s="712"/>
      <c r="DB271" s="712"/>
      <c r="DC271" s="712"/>
      <c r="DD271" s="712"/>
      <c r="DE271" s="712"/>
      <c r="DF271" s="712"/>
      <c r="DG271" s="712"/>
      <c r="DH271" s="712"/>
      <c r="DI271" s="712"/>
      <c r="DJ271" s="712"/>
      <c r="DK271" s="712"/>
      <c r="DL271" s="712"/>
      <c r="DM271" s="712"/>
      <c r="DN271" s="712"/>
      <c r="DO271" s="712"/>
      <c r="DP271" s="712"/>
      <c r="DQ271" s="712"/>
      <c r="DR271" s="712"/>
      <c r="DS271" s="712"/>
      <c r="DT271" s="712"/>
      <c r="DU271" s="712"/>
      <c r="DV271" s="712"/>
      <c r="DW271" s="712"/>
      <c r="DX271" s="712"/>
      <c r="DY271" s="712"/>
      <c r="DZ271" s="712"/>
      <c r="EA271" s="712"/>
      <c r="EB271" s="712"/>
      <c r="EC271" s="712"/>
      <c r="ED271" s="712"/>
      <c r="EE271" s="712"/>
      <c r="EF271" s="712"/>
      <c r="EG271" s="712"/>
      <c r="EH271" s="712"/>
      <c r="EI271" s="712"/>
      <c r="EJ271" s="712"/>
      <c r="EK271" s="712"/>
      <c r="EL271" s="712"/>
      <c r="EM271" s="712"/>
      <c r="EN271" s="712"/>
      <c r="EP271" s="946"/>
    </row>
    <row r="272" spans="7:146" ht="12.75">
      <c r="G272" s="901"/>
      <c r="H272" s="901" t="s">
        <v>632</v>
      </c>
      <c r="BA272" s="720">
        <v>0</v>
      </c>
      <c r="BB272" s="720">
        <v>0</v>
      </c>
      <c r="BC272" s="720">
        <v>0</v>
      </c>
      <c r="BD272" s="720">
        <v>0</v>
      </c>
      <c r="BE272" s="720">
        <v>0</v>
      </c>
      <c r="BF272" s="720">
        <v>0</v>
      </c>
      <c r="BG272" s="720">
        <v>0</v>
      </c>
      <c r="BH272" s="720">
        <v>0</v>
      </c>
      <c r="BI272" s="720">
        <v>0</v>
      </c>
      <c r="BJ272" s="720">
        <v>0</v>
      </c>
      <c r="BK272" s="720">
        <v>0</v>
      </c>
      <c r="BL272" s="720">
        <v>0</v>
      </c>
      <c r="BM272" s="720">
        <v>0</v>
      </c>
      <c r="BN272" s="720">
        <v>0</v>
      </c>
      <c r="BO272" s="720">
        <v>0</v>
      </c>
      <c r="BP272" s="720">
        <v>0</v>
      </c>
      <c r="BQ272" s="720">
        <v>0</v>
      </c>
      <c r="BR272" s="720">
        <v>0</v>
      </c>
      <c r="BS272" s="720">
        <v>0</v>
      </c>
      <c r="BT272" s="720">
        <v>0</v>
      </c>
      <c r="BU272" s="720">
        <v>0</v>
      </c>
      <c r="BV272" s="720">
        <v>0</v>
      </c>
      <c r="BW272" s="720">
        <v>0</v>
      </c>
      <c r="BX272" s="720">
        <v>0</v>
      </c>
      <c r="BY272" s="720">
        <v>0</v>
      </c>
      <c r="BZ272" s="720">
        <v>0</v>
      </c>
      <c r="CA272" s="720">
        <v>0</v>
      </c>
      <c r="CB272" s="720">
        <v>0</v>
      </c>
      <c r="CC272" s="720">
        <v>0</v>
      </c>
      <c r="CD272" s="720">
        <v>0</v>
      </c>
      <c r="CE272" s="720">
        <v>0</v>
      </c>
      <c r="CF272" s="720">
        <v>0</v>
      </c>
      <c r="CG272" s="720">
        <v>0</v>
      </c>
      <c r="CH272" s="720">
        <v>0</v>
      </c>
      <c r="CI272" s="720">
        <v>0</v>
      </c>
      <c r="CJ272" s="720">
        <v>0</v>
      </c>
      <c r="CK272" s="720">
        <v>0</v>
      </c>
      <c r="CL272" s="720">
        <v>0</v>
      </c>
      <c r="CM272" s="720">
        <v>0</v>
      </c>
      <c r="CN272" s="720">
        <v>0</v>
      </c>
      <c r="CO272" s="720">
        <v>0</v>
      </c>
      <c r="CP272" s="720">
        <v>0</v>
      </c>
      <c r="CQ272" s="720">
        <v>0</v>
      </c>
      <c r="CR272" s="720">
        <v>0</v>
      </c>
      <c r="CS272" s="720">
        <v>0</v>
      </c>
      <c r="CT272" s="720">
        <v>0</v>
      </c>
      <c r="CV272" s="712"/>
      <c r="CW272" s="712"/>
      <c r="CX272" s="712"/>
      <c r="CY272" s="712"/>
      <c r="CZ272" s="712"/>
      <c r="DA272" s="712"/>
      <c r="DB272" s="712"/>
      <c r="DC272" s="712"/>
      <c r="DD272" s="712"/>
      <c r="DE272" s="712"/>
      <c r="DF272" s="712"/>
      <c r="DG272" s="712"/>
      <c r="DH272" s="712"/>
      <c r="DI272" s="712"/>
      <c r="DJ272" s="712"/>
      <c r="DK272" s="712"/>
      <c r="DL272" s="712"/>
      <c r="DM272" s="712"/>
      <c r="DN272" s="712"/>
      <c r="DO272" s="712"/>
      <c r="DP272" s="712"/>
      <c r="DQ272" s="712"/>
      <c r="DR272" s="712"/>
      <c r="DS272" s="712"/>
      <c r="DT272" s="712"/>
      <c r="DU272" s="712"/>
      <c r="DV272" s="712"/>
      <c r="DW272" s="712"/>
      <c r="DX272" s="712"/>
      <c r="DY272" s="712"/>
      <c r="DZ272" s="712"/>
      <c r="EA272" s="712"/>
      <c r="EB272" s="712"/>
      <c r="EC272" s="712"/>
      <c r="ED272" s="712"/>
      <c r="EE272" s="712"/>
      <c r="EF272" s="712"/>
      <c r="EG272" s="712"/>
      <c r="EH272" s="712"/>
      <c r="EI272" s="712"/>
      <c r="EJ272" s="712"/>
      <c r="EK272" s="712"/>
      <c r="EL272" s="712"/>
      <c r="EM272" s="712"/>
      <c r="EN272" s="712"/>
      <c r="EP272" s="946"/>
    </row>
    <row r="273" spans="7:146" ht="12.75">
      <c r="G273" s="714"/>
      <c r="H273" s="714"/>
      <c r="BA273" s="720">
        <v>0</v>
      </c>
      <c r="BB273" s="720">
        <v>0</v>
      </c>
      <c r="BC273" s="720">
        <v>0</v>
      </c>
      <c r="BD273" s="720">
        <v>0</v>
      </c>
      <c r="BE273" s="720">
        <v>0</v>
      </c>
      <c r="BF273" s="720">
        <v>0</v>
      </c>
      <c r="BG273" s="720">
        <v>0</v>
      </c>
      <c r="BH273" s="720">
        <v>0</v>
      </c>
      <c r="BI273" s="720">
        <v>0</v>
      </c>
      <c r="BJ273" s="720">
        <v>0</v>
      </c>
      <c r="BK273" s="720">
        <v>0</v>
      </c>
      <c r="BL273" s="720">
        <v>0</v>
      </c>
      <c r="BM273" s="720">
        <v>0</v>
      </c>
      <c r="BN273" s="720">
        <v>0</v>
      </c>
      <c r="BO273" s="720">
        <v>0</v>
      </c>
      <c r="BP273" s="720">
        <v>0</v>
      </c>
      <c r="BQ273" s="720">
        <v>0</v>
      </c>
      <c r="BR273" s="720">
        <v>0</v>
      </c>
      <c r="BS273" s="720">
        <v>0</v>
      </c>
      <c r="BT273" s="720">
        <v>0</v>
      </c>
      <c r="BU273" s="720">
        <v>0</v>
      </c>
      <c r="BV273" s="720">
        <v>0</v>
      </c>
      <c r="BW273" s="720">
        <v>0</v>
      </c>
      <c r="BX273" s="720">
        <v>0</v>
      </c>
      <c r="BY273" s="720">
        <v>0</v>
      </c>
      <c r="BZ273" s="720">
        <v>0</v>
      </c>
      <c r="CA273" s="720">
        <v>0</v>
      </c>
      <c r="CB273" s="720">
        <v>0</v>
      </c>
      <c r="CC273" s="720">
        <v>0</v>
      </c>
      <c r="CD273" s="720">
        <v>0</v>
      </c>
      <c r="CE273" s="720">
        <v>0</v>
      </c>
      <c r="CF273" s="720">
        <v>0</v>
      </c>
      <c r="CG273" s="720">
        <v>0</v>
      </c>
      <c r="CH273" s="720">
        <v>0</v>
      </c>
      <c r="CI273" s="720">
        <v>0</v>
      </c>
      <c r="CJ273" s="720">
        <v>0</v>
      </c>
      <c r="CK273" s="720">
        <v>0</v>
      </c>
      <c r="CL273" s="720">
        <v>0</v>
      </c>
      <c r="CM273" s="720">
        <v>0</v>
      </c>
      <c r="CN273" s="720">
        <v>0</v>
      </c>
      <c r="CO273" s="720">
        <v>0</v>
      </c>
      <c r="CP273" s="720">
        <v>0</v>
      </c>
      <c r="CQ273" s="720">
        <v>0</v>
      </c>
      <c r="CR273" s="720">
        <v>0</v>
      </c>
      <c r="CS273" s="720">
        <v>0</v>
      </c>
      <c r="CT273" s="720">
        <v>0</v>
      </c>
      <c r="CV273" s="712"/>
      <c r="CW273" s="712"/>
      <c r="CX273" s="712"/>
      <c r="CY273" s="712"/>
      <c r="CZ273" s="712"/>
      <c r="DA273" s="712"/>
      <c r="DB273" s="712"/>
      <c r="DC273" s="712"/>
      <c r="DD273" s="712"/>
      <c r="DE273" s="712"/>
      <c r="DF273" s="712"/>
      <c r="DG273" s="712"/>
      <c r="DH273" s="712"/>
      <c r="DI273" s="712"/>
      <c r="DJ273" s="712"/>
      <c r="DK273" s="712"/>
      <c r="DL273" s="712"/>
      <c r="DM273" s="712"/>
      <c r="DN273" s="712"/>
      <c r="DO273" s="712"/>
      <c r="DP273" s="712"/>
      <c r="DQ273" s="712"/>
      <c r="DR273" s="712"/>
      <c r="DS273" s="712"/>
      <c r="DT273" s="712"/>
      <c r="DU273" s="712"/>
      <c r="DV273" s="712"/>
      <c r="DW273" s="712"/>
      <c r="DX273" s="712"/>
      <c r="DY273" s="712"/>
      <c r="DZ273" s="712"/>
      <c r="EA273" s="712"/>
      <c r="EB273" s="712"/>
      <c r="EC273" s="712"/>
      <c r="ED273" s="712"/>
      <c r="EE273" s="712"/>
      <c r="EF273" s="712"/>
      <c r="EG273" s="712"/>
      <c r="EH273" s="712"/>
      <c r="EI273" s="712"/>
      <c r="EJ273" s="712"/>
      <c r="EK273" s="712"/>
      <c r="EL273" s="712"/>
      <c r="EM273" s="712"/>
      <c r="EN273" s="712"/>
      <c r="EP273" s="946"/>
    </row>
    <row r="274" spans="7:146" ht="12.75">
      <c r="G274" s="901"/>
      <c r="H274" s="901" t="s">
        <v>633</v>
      </c>
      <c r="BA274" s="720">
        <v>0</v>
      </c>
      <c r="BB274" s="720">
        <v>0</v>
      </c>
      <c r="BC274" s="720">
        <v>0</v>
      </c>
      <c r="BD274" s="720">
        <v>0</v>
      </c>
      <c r="BE274" s="720">
        <v>0</v>
      </c>
      <c r="BF274" s="720">
        <v>0</v>
      </c>
      <c r="BG274" s="720">
        <v>0</v>
      </c>
      <c r="BH274" s="720">
        <v>0</v>
      </c>
      <c r="BI274" s="720">
        <v>0</v>
      </c>
      <c r="BJ274" s="720">
        <v>0</v>
      </c>
      <c r="BK274" s="720">
        <v>0</v>
      </c>
      <c r="BL274" s="720">
        <v>0</v>
      </c>
      <c r="BM274" s="720">
        <v>0</v>
      </c>
      <c r="BN274" s="720">
        <v>0</v>
      </c>
      <c r="BO274" s="720">
        <v>0</v>
      </c>
      <c r="BP274" s="720">
        <v>0</v>
      </c>
      <c r="BQ274" s="720">
        <v>0</v>
      </c>
      <c r="BR274" s="720">
        <v>0</v>
      </c>
      <c r="BS274" s="720">
        <v>0</v>
      </c>
      <c r="BT274" s="720">
        <v>0</v>
      </c>
      <c r="BU274" s="720">
        <v>0</v>
      </c>
      <c r="BV274" s="720">
        <v>0</v>
      </c>
      <c r="BW274" s="720">
        <v>0</v>
      </c>
      <c r="BX274" s="720">
        <v>0</v>
      </c>
      <c r="BY274" s="720">
        <v>0</v>
      </c>
      <c r="BZ274" s="720">
        <v>0</v>
      </c>
      <c r="CA274" s="720">
        <v>0</v>
      </c>
      <c r="CB274" s="720">
        <v>0</v>
      </c>
      <c r="CC274" s="720">
        <v>0</v>
      </c>
      <c r="CD274" s="720">
        <v>0</v>
      </c>
      <c r="CE274" s="720">
        <v>0</v>
      </c>
      <c r="CF274" s="720">
        <v>0</v>
      </c>
      <c r="CG274" s="720">
        <v>0</v>
      </c>
      <c r="CH274" s="720">
        <v>0</v>
      </c>
      <c r="CI274" s="720">
        <v>0</v>
      </c>
      <c r="CJ274" s="720">
        <v>0</v>
      </c>
      <c r="CK274" s="720">
        <v>0</v>
      </c>
      <c r="CL274" s="720">
        <v>0</v>
      </c>
      <c r="CM274" s="720">
        <v>0</v>
      </c>
      <c r="CN274" s="720">
        <v>0</v>
      </c>
      <c r="CO274" s="720">
        <v>0</v>
      </c>
      <c r="CP274" s="720">
        <v>0</v>
      </c>
      <c r="CQ274" s="720">
        <v>0</v>
      </c>
      <c r="CR274" s="720">
        <v>0</v>
      </c>
      <c r="CS274" s="720">
        <v>0</v>
      </c>
      <c r="CT274" s="720">
        <v>0</v>
      </c>
      <c r="CV274" s="712"/>
      <c r="CW274" s="712"/>
      <c r="CX274" s="712"/>
      <c r="CY274" s="712"/>
      <c r="CZ274" s="712"/>
      <c r="DA274" s="712"/>
      <c r="DB274" s="712"/>
      <c r="DC274" s="712"/>
      <c r="DD274" s="712"/>
      <c r="DE274" s="712"/>
      <c r="DF274" s="712"/>
      <c r="DG274" s="712"/>
      <c r="DH274" s="712"/>
      <c r="DI274" s="712"/>
      <c r="DJ274" s="712"/>
      <c r="DK274" s="712"/>
      <c r="DL274" s="712"/>
      <c r="DM274" s="712"/>
      <c r="DN274" s="712"/>
      <c r="DO274" s="712"/>
      <c r="DP274" s="712"/>
      <c r="DQ274" s="712"/>
      <c r="DR274" s="712"/>
      <c r="DS274" s="712"/>
      <c r="DT274" s="712"/>
      <c r="DU274" s="712"/>
      <c r="DV274" s="712"/>
      <c r="DW274" s="712"/>
      <c r="DX274" s="712"/>
      <c r="DY274" s="712"/>
      <c r="DZ274" s="712"/>
      <c r="EA274" s="712"/>
      <c r="EB274" s="712"/>
      <c r="EC274" s="712"/>
      <c r="ED274" s="712"/>
      <c r="EE274" s="712"/>
      <c r="EF274" s="712"/>
      <c r="EG274" s="712"/>
      <c r="EH274" s="712"/>
      <c r="EI274" s="712"/>
      <c r="EJ274" s="712"/>
      <c r="EK274" s="712"/>
      <c r="EL274" s="712"/>
      <c r="EM274" s="712"/>
      <c r="EN274" s="712"/>
      <c r="EP274" s="946"/>
    </row>
    <row r="275" spans="7:146" ht="12.75">
      <c r="G275" s="901"/>
      <c r="H275" s="901" t="s">
        <v>634</v>
      </c>
      <c r="BA275" s="720">
        <v>0</v>
      </c>
      <c r="BB275" s="720">
        <v>0</v>
      </c>
      <c r="BC275" s="720">
        <v>0</v>
      </c>
      <c r="BD275" s="720">
        <v>0</v>
      </c>
      <c r="BE275" s="720">
        <v>0</v>
      </c>
      <c r="BF275" s="720">
        <v>0</v>
      </c>
      <c r="BG275" s="720">
        <v>0</v>
      </c>
      <c r="BH275" s="720">
        <v>0</v>
      </c>
      <c r="BI275" s="720">
        <v>0</v>
      </c>
      <c r="BJ275" s="720">
        <v>0</v>
      </c>
      <c r="BK275" s="720">
        <v>0</v>
      </c>
      <c r="BL275" s="720">
        <v>0</v>
      </c>
      <c r="BM275" s="720">
        <v>0</v>
      </c>
      <c r="BN275" s="720">
        <v>0</v>
      </c>
      <c r="BO275" s="720">
        <v>0</v>
      </c>
      <c r="BP275" s="720">
        <v>0</v>
      </c>
      <c r="BQ275" s="720">
        <v>0</v>
      </c>
      <c r="BR275" s="720">
        <v>0</v>
      </c>
      <c r="BS275" s="720">
        <v>0</v>
      </c>
      <c r="BT275" s="720">
        <v>0</v>
      </c>
      <c r="BU275" s="720">
        <v>0</v>
      </c>
      <c r="BV275" s="720">
        <v>0</v>
      </c>
      <c r="BW275" s="720">
        <v>0</v>
      </c>
      <c r="BX275" s="720">
        <v>0</v>
      </c>
      <c r="BY275" s="720">
        <v>0</v>
      </c>
      <c r="BZ275" s="720">
        <v>0</v>
      </c>
      <c r="CA275" s="720">
        <v>0</v>
      </c>
      <c r="CB275" s="720">
        <v>0</v>
      </c>
      <c r="CC275" s="720">
        <v>0</v>
      </c>
      <c r="CD275" s="720">
        <v>0</v>
      </c>
      <c r="CE275" s="720">
        <v>0</v>
      </c>
      <c r="CF275" s="720">
        <v>0</v>
      </c>
      <c r="CG275" s="720">
        <v>0</v>
      </c>
      <c r="CH275" s="720">
        <v>0</v>
      </c>
      <c r="CI275" s="720">
        <v>0</v>
      </c>
      <c r="CJ275" s="720">
        <v>0</v>
      </c>
      <c r="CK275" s="720">
        <v>0</v>
      </c>
      <c r="CL275" s="720">
        <v>0</v>
      </c>
      <c r="CM275" s="720">
        <v>0</v>
      </c>
      <c r="CN275" s="720">
        <v>0</v>
      </c>
      <c r="CO275" s="720">
        <v>0</v>
      </c>
      <c r="CP275" s="720">
        <v>0</v>
      </c>
      <c r="CQ275" s="720">
        <v>0</v>
      </c>
      <c r="CR275" s="720">
        <v>0</v>
      </c>
      <c r="CS275" s="720">
        <v>0</v>
      </c>
      <c r="CT275" s="720">
        <v>0</v>
      </c>
      <c r="CV275" s="712"/>
      <c r="CW275" s="712"/>
      <c r="CX275" s="712"/>
      <c r="CY275" s="712"/>
      <c r="CZ275" s="712"/>
      <c r="DA275" s="712"/>
      <c r="DB275" s="712"/>
      <c r="DC275" s="712"/>
      <c r="DD275" s="712"/>
      <c r="DE275" s="712"/>
      <c r="DF275" s="712"/>
      <c r="DG275" s="712"/>
      <c r="DH275" s="712"/>
      <c r="DI275" s="712"/>
      <c r="DJ275" s="712"/>
      <c r="DK275" s="712"/>
      <c r="DL275" s="712"/>
      <c r="DM275" s="712"/>
      <c r="DN275" s="712"/>
      <c r="DO275" s="712"/>
      <c r="DP275" s="712"/>
      <c r="DQ275" s="712"/>
      <c r="DR275" s="712"/>
      <c r="DS275" s="712"/>
      <c r="DT275" s="712"/>
      <c r="DU275" s="712"/>
      <c r="DV275" s="712"/>
      <c r="DW275" s="712"/>
      <c r="DX275" s="712"/>
      <c r="DY275" s="712"/>
      <c r="DZ275" s="712"/>
      <c r="EA275" s="712"/>
      <c r="EB275" s="712"/>
      <c r="EC275" s="712"/>
      <c r="ED275" s="712"/>
      <c r="EE275" s="712"/>
      <c r="EF275" s="712"/>
      <c r="EG275" s="712"/>
      <c r="EH275" s="712"/>
      <c r="EI275" s="712"/>
      <c r="EJ275" s="712"/>
      <c r="EK275" s="712"/>
      <c r="EL275" s="712"/>
      <c r="EM275" s="712"/>
      <c r="EN275" s="712"/>
      <c r="EP275" s="946"/>
    </row>
    <row r="276" spans="7:146" ht="12.75">
      <c r="G276" s="901"/>
      <c r="H276" s="901" t="s">
        <v>635</v>
      </c>
      <c r="BA276" s="720">
        <v>0</v>
      </c>
      <c r="BB276" s="720">
        <v>0</v>
      </c>
      <c r="BC276" s="720">
        <v>0</v>
      </c>
      <c r="BD276" s="720">
        <v>0</v>
      </c>
      <c r="BE276" s="720">
        <v>0</v>
      </c>
      <c r="BF276" s="720">
        <v>0</v>
      </c>
      <c r="BG276" s="720">
        <v>0</v>
      </c>
      <c r="BH276" s="720">
        <v>0</v>
      </c>
      <c r="BI276" s="720">
        <v>0</v>
      </c>
      <c r="BJ276" s="720">
        <v>0</v>
      </c>
      <c r="BK276" s="720">
        <v>0</v>
      </c>
      <c r="BL276" s="720">
        <v>0</v>
      </c>
      <c r="BM276" s="720">
        <v>0</v>
      </c>
      <c r="BN276" s="720">
        <v>0</v>
      </c>
      <c r="BO276" s="720">
        <v>0</v>
      </c>
      <c r="BP276" s="720">
        <v>0</v>
      </c>
      <c r="BQ276" s="720">
        <v>0</v>
      </c>
      <c r="BR276" s="720">
        <v>0</v>
      </c>
      <c r="BS276" s="720">
        <v>0</v>
      </c>
      <c r="BT276" s="720">
        <v>0</v>
      </c>
      <c r="BU276" s="720">
        <v>0</v>
      </c>
      <c r="BV276" s="720">
        <v>0</v>
      </c>
      <c r="BW276" s="720">
        <v>0</v>
      </c>
      <c r="BX276" s="720">
        <v>0</v>
      </c>
      <c r="BY276" s="720">
        <v>0</v>
      </c>
      <c r="BZ276" s="720">
        <v>0</v>
      </c>
      <c r="CA276" s="720">
        <v>0</v>
      </c>
      <c r="CB276" s="720">
        <v>0</v>
      </c>
      <c r="CC276" s="720">
        <v>0</v>
      </c>
      <c r="CD276" s="720">
        <v>0</v>
      </c>
      <c r="CE276" s="720">
        <v>0</v>
      </c>
      <c r="CF276" s="720">
        <v>0</v>
      </c>
      <c r="CG276" s="720">
        <v>0</v>
      </c>
      <c r="CH276" s="720">
        <v>0</v>
      </c>
      <c r="CI276" s="720">
        <v>0</v>
      </c>
      <c r="CJ276" s="720">
        <v>0</v>
      </c>
      <c r="CK276" s="720">
        <v>0</v>
      </c>
      <c r="CL276" s="720">
        <v>0</v>
      </c>
      <c r="CM276" s="720">
        <v>0</v>
      </c>
      <c r="CN276" s="720">
        <v>0</v>
      </c>
      <c r="CO276" s="720">
        <v>0</v>
      </c>
      <c r="CP276" s="720">
        <v>0</v>
      </c>
      <c r="CQ276" s="720">
        <v>0</v>
      </c>
      <c r="CR276" s="720">
        <v>0</v>
      </c>
      <c r="CS276" s="720">
        <v>0</v>
      </c>
      <c r="CT276" s="720">
        <v>0</v>
      </c>
      <c r="CV276" s="712"/>
      <c r="CW276" s="712"/>
      <c r="CX276" s="712"/>
      <c r="CY276" s="712"/>
      <c r="CZ276" s="712"/>
      <c r="DA276" s="712"/>
      <c r="DB276" s="712"/>
      <c r="DC276" s="712"/>
      <c r="DD276" s="712"/>
      <c r="DE276" s="712"/>
      <c r="DF276" s="712"/>
      <c r="DG276" s="712"/>
      <c r="DH276" s="712"/>
      <c r="DI276" s="712"/>
      <c r="DJ276" s="712"/>
      <c r="DK276" s="712"/>
      <c r="DL276" s="712"/>
      <c r="DM276" s="712"/>
      <c r="DN276" s="712"/>
      <c r="DO276" s="712"/>
      <c r="DP276" s="712"/>
      <c r="DQ276" s="712"/>
      <c r="DR276" s="712"/>
      <c r="DS276" s="712"/>
      <c r="DT276" s="712"/>
      <c r="DU276" s="712"/>
      <c r="DV276" s="712"/>
      <c r="DW276" s="712"/>
      <c r="DX276" s="712"/>
      <c r="DY276" s="712"/>
      <c r="DZ276" s="712"/>
      <c r="EA276" s="712"/>
      <c r="EB276" s="712"/>
      <c r="EC276" s="712"/>
      <c r="ED276" s="712"/>
      <c r="EE276" s="712"/>
      <c r="EF276" s="712"/>
      <c r="EG276" s="712"/>
      <c r="EH276" s="712"/>
      <c r="EI276" s="712"/>
      <c r="EJ276" s="712"/>
      <c r="EK276" s="712"/>
      <c r="EL276" s="712"/>
      <c r="EM276" s="712"/>
      <c r="EN276" s="712"/>
      <c r="EP276" s="946"/>
    </row>
    <row r="277" spans="7:146" ht="12.75">
      <c r="G277" s="901"/>
      <c r="H277" s="901" t="s">
        <v>159</v>
      </c>
      <c r="BA277" s="720">
        <v>0</v>
      </c>
      <c r="BB277" s="720">
        <v>0</v>
      </c>
      <c r="BC277" s="720">
        <v>0</v>
      </c>
      <c r="BD277" s="720">
        <v>0</v>
      </c>
      <c r="BE277" s="720">
        <v>0</v>
      </c>
      <c r="BF277" s="720">
        <v>0</v>
      </c>
      <c r="BG277" s="720">
        <v>0</v>
      </c>
      <c r="BH277" s="720">
        <v>0</v>
      </c>
      <c r="BI277" s="720">
        <v>0</v>
      </c>
      <c r="BJ277" s="720">
        <v>0</v>
      </c>
      <c r="BK277" s="720">
        <v>0</v>
      </c>
      <c r="BL277" s="720">
        <v>0</v>
      </c>
      <c r="BM277" s="720">
        <v>0</v>
      </c>
      <c r="BN277" s="720">
        <v>0</v>
      </c>
      <c r="BO277" s="720">
        <v>0</v>
      </c>
      <c r="BP277" s="720">
        <v>0</v>
      </c>
      <c r="BQ277" s="720">
        <v>0</v>
      </c>
      <c r="BR277" s="720">
        <v>0</v>
      </c>
      <c r="BS277" s="720">
        <v>0</v>
      </c>
      <c r="BT277" s="720">
        <v>0</v>
      </c>
      <c r="BU277" s="720">
        <v>0</v>
      </c>
      <c r="BV277" s="720">
        <v>0</v>
      </c>
      <c r="BW277" s="720">
        <v>0</v>
      </c>
      <c r="BX277" s="720">
        <v>0</v>
      </c>
      <c r="BY277" s="720">
        <v>0</v>
      </c>
      <c r="BZ277" s="720">
        <v>0</v>
      </c>
      <c r="CA277" s="720">
        <v>0</v>
      </c>
      <c r="CB277" s="720">
        <v>0</v>
      </c>
      <c r="CC277" s="720">
        <v>0</v>
      </c>
      <c r="CD277" s="720">
        <v>0</v>
      </c>
      <c r="CE277" s="720">
        <v>0</v>
      </c>
      <c r="CF277" s="720">
        <v>0</v>
      </c>
      <c r="CG277" s="720">
        <v>0</v>
      </c>
      <c r="CH277" s="720">
        <v>0</v>
      </c>
      <c r="CI277" s="720">
        <v>0</v>
      </c>
      <c r="CJ277" s="720">
        <v>0</v>
      </c>
      <c r="CK277" s="720">
        <v>0</v>
      </c>
      <c r="CL277" s="720">
        <v>0</v>
      </c>
      <c r="CM277" s="720">
        <v>0</v>
      </c>
      <c r="CN277" s="720">
        <v>0</v>
      </c>
      <c r="CO277" s="720">
        <v>0</v>
      </c>
      <c r="CP277" s="720">
        <v>0</v>
      </c>
      <c r="CQ277" s="720">
        <v>0</v>
      </c>
      <c r="CR277" s="720">
        <v>0</v>
      </c>
      <c r="CS277" s="720">
        <v>0</v>
      </c>
      <c r="CT277" s="720">
        <v>0</v>
      </c>
      <c r="CV277" s="712"/>
      <c r="CW277" s="712"/>
      <c r="CX277" s="712"/>
      <c r="CY277" s="712"/>
      <c r="CZ277" s="712"/>
      <c r="DA277" s="712"/>
      <c r="DB277" s="712"/>
      <c r="DC277" s="712"/>
      <c r="DD277" s="712"/>
      <c r="DE277" s="712"/>
      <c r="DF277" s="712"/>
      <c r="DG277" s="712"/>
      <c r="DH277" s="712"/>
      <c r="DI277" s="712"/>
      <c r="DJ277" s="712"/>
      <c r="DK277" s="712"/>
      <c r="DL277" s="712"/>
      <c r="DM277" s="712"/>
      <c r="DN277" s="712"/>
      <c r="DO277" s="712"/>
      <c r="DP277" s="712"/>
      <c r="DQ277" s="712"/>
      <c r="DR277" s="712"/>
      <c r="DS277" s="712"/>
      <c r="DT277" s="712"/>
      <c r="DU277" s="712"/>
      <c r="DV277" s="712"/>
      <c r="DW277" s="712"/>
      <c r="DX277" s="712"/>
      <c r="DY277" s="712"/>
      <c r="DZ277" s="712"/>
      <c r="EA277" s="712"/>
      <c r="EB277" s="712"/>
      <c r="EC277" s="712"/>
      <c r="ED277" s="712"/>
      <c r="EE277" s="712"/>
      <c r="EF277" s="712"/>
      <c r="EG277" s="712"/>
      <c r="EH277" s="712"/>
      <c r="EI277" s="712"/>
      <c r="EJ277" s="712"/>
      <c r="EK277" s="712"/>
      <c r="EL277" s="712"/>
      <c r="EM277" s="712"/>
      <c r="EN277" s="712"/>
      <c r="EP277" s="946"/>
    </row>
    <row r="278" spans="7:146" ht="12.75">
      <c r="G278" s="714"/>
      <c r="H278" s="714" t="s">
        <v>622</v>
      </c>
      <c r="BA278" s="720">
        <v>0</v>
      </c>
      <c r="BB278" s="720">
        <v>0</v>
      </c>
      <c r="BC278" s="720">
        <v>0</v>
      </c>
      <c r="BD278" s="720">
        <v>0</v>
      </c>
      <c r="BE278" s="720">
        <v>0</v>
      </c>
      <c r="BF278" s="720">
        <v>0</v>
      </c>
      <c r="BG278" s="720">
        <v>0</v>
      </c>
      <c r="BH278" s="720">
        <v>0</v>
      </c>
      <c r="BI278" s="720">
        <v>0</v>
      </c>
      <c r="BJ278" s="720">
        <v>0</v>
      </c>
      <c r="BK278" s="720">
        <v>0</v>
      </c>
      <c r="BL278" s="720">
        <v>0</v>
      </c>
      <c r="BM278" s="720">
        <v>0</v>
      </c>
      <c r="BN278" s="720">
        <v>0</v>
      </c>
      <c r="BO278" s="720">
        <v>0</v>
      </c>
      <c r="BP278" s="720">
        <v>0</v>
      </c>
      <c r="BQ278" s="720">
        <v>0</v>
      </c>
      <c r="BR278" s="720">
        <v>0</v>
      </c>
      <c r="BS278" s="720">
        <v>0</v>
      </c>
      <c r="BT278" s="720">
        <v>0</v>
      </c>
      <c r="BU278" s="720">
        <v>0</v>
      </c>
      <c r="BV278" s="720">
        <v>0</v>
      </c>
      <c r="BW278" s="720">
        <v>0</v>
      </c>
      <c r="BX278" s="720">
        <v>0</v>
      </c>
      <c r="BY278" s="720">
        <v>0</v>
      </c>
      <c r="BZ278" s="720">
        <v>0</v>
      </c>
      <c r="CA278" s="720">
        <v>0</v>
      </c>
      <c r="CB278" s="720">
        <v>0</v>
      </c>
      <c r="CC278" s="720">
        <v>0</v>
      </c>
      <c r="CD278" s="720">
        <v>0</v>
      </c>
      <c r="CE278" s="720">
        <v>0</v>
      </c>
      <c r="CF278" s="720">
        <v>0</v>
      </c>
      <c r="CG278" s="720">
        <v>0</v>
      </c>
      <c r="CH278" s="720">
        <v>0</v>
      </c>
      <c r="CI278" s="720">
        <v>0</v>
      </c>
      <c r="CJ278" s="720">
        <v>0</v>
      </c>
      <c r="CK278" s="720">
        <v>0</v>
      </c>
      <c r="CL278" s="720">
        <v>0</v>
      </c>
      <c r="CM278" s="720">
        <v>0</v>
      </c>
      <c r="CN278" s="720">
        <v>0</v>
      </c>
      <c r="CO278" s="720">
        <v>0</v>
      </c>
      <c r="CP278" s="720">
        <v>0</v>
      </c>
      <c r="CQ278" s="720">
        <v>0</v>
      </c>
      <c r="CR278" s="720">
        <v>0</v>
      </c>
      <c r="CS278" s="720">
        <v>0</v>
      </c>
      <c r="CT278" s="720">
        <v>0</v>
      </c>
      <c r="CV278" s="712"/>
      <c r="CW278" s="712"/>
      <c r="CX278" s="712"/>
      <c r="CY278" s="712"/>
      <c r="CZ278" s="712"/>
      <c r="DA278" s="712"/>
      <c r="DB278" s="712"/>
      <c r="DC278" s="712"/>
      <c r="DD278" s="712"/>
      <c r="DE278" s="712"/>
      <c r="DF278" s="712"/>
      <c r="DG278" s="712"/>
      <c r="DH278" s="712"/>
      <c r="DI278" s="712"/>
      <c r="DJ278" s="712"/>
      <c r="DK278" s="712"/>
      <c r="DL278" s="712"/>
      <c r="DM278" s="712"/>
      <c r="DN278" s="712"/>
      <c r="DO278" s="712"/>
      <c r="DP278" s="712"/>
      <c r="DQ278" s="712"/>
      <c r="DR278" s="712"/>
      <c r="DS278" s="712"/>
      <c r="DT278" s="712"/>
      <c r="DU278" s="712"/>
      <c r="DV278" s="712"/>
      <c r="DW278" s="712"/>
      <c r="DX278" s="712"/>
      <c r="DY278" s="712"/>
      <c r="DZ278" s="712"/>
      <c r="EA278" s="712"/>
      <c r="EB278" s="712"/>
      <c r="EC278" s="712"/>
      <c r="ED278" s="712"/>
      <c r="EE278" s="712"/>
      <c r="EF278" s="712"/>
      <c r="EG278" s="712"/>
      <c r="EH278" s="712"/>
      <c r="EI278" s="712"/>
      <c r="EJ278" s="712"/>
      <c r="EK278" s="712"/>
      <c r="EL278" s="712"/>
      <c r="EM278" s="712"/>
      <c r="EN278" s="712"/>
      <c r="EP278" s="946"/>
    </row>
    <row r="279" spans="7:146" ht="12.75">
      <c r="G279" s="901"/>
      <c r="H279" s="901" t="s">
        <v>664</v>
      </c>
      <c r="BA279" s="720">
        <v>0</v>
      </c>
      <c r="BB279" s="720">
        <v>0</v>
      </c>
      <c r="BC279" s="720">
        <v>0</v>
      </c>
      <c r="BD279" s="720">
        <v>0</v>
      </c>
      <c r="BE279" s="720">
        <v>0</v>
      </c>
      <c r="BF279" s="720">
        <v>0</v>
      </c>
      <c r="BG279" s="720">
        <v>0</v>
      </c>
      <c r="BH279" s="720">
        <v>0</v>
      </c>
      <c r="BI279" s="720">
        <v>0</v>
      </c>
      <c r="BJ279" s="720">
        <v>0</v>
      </c>
      <c r="BK279" s="720">
        <v>0</v>
      </c>
      <c r="BL279" s="720">
        <v>0</v>
      </c>
      <c r="BM279" s="720">
        <v>0</v>
      </c>
      <c r="BN279" s="720">
        <v>0</v>
      </c>
      <c r="BO279" s="720">
        <v>0</v>
      </c>
      <c r="BP279" s="720">
        <v>0</v>
      </c>
      <c r="BQ279" s="720">
        <v>0</v>
      </c>
      <c r="BR279" s="720">
        <v>0</v>
      </c>
      <c r="BS279" s="720">
        <v>0</v>
      </c>
      <c r="BT279" s="720">
        <v>0</v>
      </c>
      <c r="BU279" s="720">
        <v>0</v>
      </c>
      <c r="BV279" s="720">
        <v>0</v>
      </c>
      <c r="BW279" s="720">
        <v>0</v>
      </c>
      <c r="BX279" s="720">
        <v>0</v>
      </c>
      <c r="BY279" s="720">
        <v>0</v>
      </c>
      <c r="BZ279" s="720">
        <v>0</v>
      </c>
      <c r="CA279" s="720">
        <v>0</v>
      </c>
      <c r="CB279" s="720">
        <v>0</v>
      </c>
      <c r="CC279" s="720">
        <v>0</v>
      </c>
      <c r="CD279" s="720">
        <v>0</v>
      </c>
      <c r="CE279" s="720">
        <v>0</v>
      </c>
      <c r="CF279" s="720">
        <v>0</v>
      </c>
      <c r="CG279" s="720">
        <v>0</v>
      </c>
      <c r="CH279" s="720">
        <v>0</v>
      </c>
      <c r="CI279" s="720">
        <v>0</v>
      </c>
      <c r="CJ279" s="720">
        <v>0</v>
      </c>
      <c r="CK279" s="720">
        <v>0</v>
      </c>
      <c r="CL279" s="720">
        <v>0</v>
      </c>
      <c r="CM279" s="720">
        <v>0</v>
      </c>
      <c r="CN279" s="720">
        <v>0</v>
      </c>
      <c r="CO279" s="720">
        <v>0</v>
      </c>
      <c r="CP279" s="720">
        <v>0</v>
      </c>
      <c r="CQ279" s="720">
        <v>0</v>
      </c>
      <c r="CR279" s="720">
        <v>0</v>
      </c>
      <c r="CS279" s="720">
        <v>0</v>
      </c>
      <c r="CT279" s="720">
        <v>0</v>
      </c>
      <c r="CV279" s="712"/>
      <c r="CW279" s="712"/>
      <c r="CX279" s="712"/>
      <c r="CY279" s="712"/>
      <c r="CZ279" s="712"/>
      <c r="DA279" s="712"/>
      <c r="DB279" s="712"/>
      <c r="DC279" s="712"/>
      <c r="DD279" s="712"/>
      <c r="DE279" s="712"/>
      <c r="DF279" s="712"/>
      <c r="DG279" s="712"/>
      <c r="DH279" s="712"/>
      <c r="DI279" s="712"/>
      <c r="DJ279" s="712"/>
      <c r="DK279" s="712"/>
      <c r="DL279" s="712"/>
      <c r="DM279" s="712"/>
      <c r="DN279" s="712"/>
      <c r="DO279" s="712"/>
      <c r="DP279" s="712"/>
      <c r="DQ279" s="712"/>
      <c r="DR279" s="712"/>
      <c r="DS279" s="712"/>
      <c r="DT279" s="712"/>
      <c r="DU279" s="712"/>
      <c r="DV279" s="712"/>
      <c r="DW279" s="712"/>
      <c r="DX279" s="712"/>
      <c r="DY279" s="712"/>
      <c r="DZ279" s="712"/>
      <c r="EA279" s="712"/>
      <c r="EB279" s="712"/>
      <c r="EC279" s="712"/>
      <c r="ED279" s="712"/>
      <c r="EE279" s="712"/>
      <c r="EF279" s="712"/>
      <c r="EG279" s="712"/>
      <c r="EH279" s="712"/>
      <c r="EI279" s="712"/>
      <c r="EJ279" s="712"/>
      <c r="EK279" s="712"/>
      <c r="EL279" s="712"/>
      <c r="EM279" s="712"/>
      <c r="EN279" s="712"/>
      <c r="EP279" s="946"/>
    </row>
    <row r="280" spans="7:146" ht="12.75">
      <c r="G280" s="901"/>
      <c r="H280" s="901" t="s">
        <v>627</v>
      </c>
      <c r="BA280" s="720">
        <v>0</v>
      </c>
      <c r="BB280" s="720">
        <v>0</v>
      </c>
      <c r="BC280" s="720">
        <v>0</v>
      </c>
      <c r="BD280" s="720">
        <v>0</v>
      </c>
      <c r="BE280" s="720">
        <v>0</v>
      </c>
      <c r="BF280" s="720">
        <v>0</v>
      </c>
      <c r="BG280" s="720">
        <v>0</v>
      </c>
      <c r="BH280" s="720">
        <v>0</v>
      </c>
      <c r="BI280" s="720">
        <v>0</v>
      </c>
      <c r="BJ280" s="720">
        <v>0</v>
      </c>
      <c r="BK280" s="720">
        <v>0</v>
      </c>
      <c r="BL280" s="720">
        <v>0</v>
      </c>
      <c r="BM280" s="720">
        <v>0</v>
      </c>
      <c r="BN280" s="720">
        <v>0</v>
      </c>
      <c r="BO280" s="720">
        <v>0</v>
      </c>
      <c r="BP280" s="720">
        <v>0</v>
      </c>
      <c r="BQ280" s="720">
        <v>0</v>
      </c>
      <c r="BR280" s="720">
        <v>0</v>
      </c>
      <c r="BS280" s="720">
        <v>0</v>
      </c>
      <c r="BT280" s="720">
        <v>0</v>
      </c>
      <c r="BU280" s="720">
        <v>0</v>
      </c>
      <c r="BV280" s="720">
        <v>0</v>
      </c>
      <c r="BW280" s="720">
        <v>0</v>
      </c>
      <c r="BX280" s="720">
        <v>0</v>
      </c>
      <c r="BY280" s="720">
        <v>0</v>
      </c>
      <c r="BZ280" s="720">
        <v>0</v>
      </c>
      <c r="CA280" s="720">
        <v>0</v>
      </c>
      <c r="CB280" s="720">
        <v>0</v>
      </c>
      <c r="CC280" s="720">
        <v>0</v>
      </c>
      <c r="CD280" s="720">
        <v>0</v>
      </c>
      <c r="CE280" s="720">
        <v>0</v>
      </c>
      <c r="CF280" s="720">
        <v>0</v>
      </c>
      <c r="CG280" s="720">
        <v>0</v>
      </c>
      <c r="CH280" s="720">
        <v>0</v>
      </c>
      <c r="CI280" s="720">
        <v>0</v>
      </c>
      <c r="CJ280" s="720">
        <v>0</v>
      </c>
      <c r="CK280" s="720">
        <v>0</v>
      </c>
      <c r="CL280" s="720">
        <v>0</v>
      </c>
      <c r="CM280" s="720">
        <v>0</v>
      </c>
      <c r="CN280" s="720">
        <v>0</v>
      </c>
      <c r="CO280" s="720">
        <v>0</v>
      </c>
      <c r="CP280" s="720">
        <v>0</v>
      </c>
      <c r="CQ280" s="720">
        <v>0</v>
      </c>
      <c r="CR280" s="720">
        <v>0</v>
      </c>
      <c r="CS280" s="720">
        <v>0</v>
      </c>
      <c r="CT280" s="720">
        <v>0</v>
      </c>
      <c r="CV280" s="712"/>
      <c r="CW280" s="712"/>
      <c r="CX280" s="712"/>
      <c r="CY280" s="712"/>
      <c r="CZ280" s="712"/>
      <c r="DA280" s="712"/>
      <c r="DB280" s="712"/>
      <c r="DC280" s="712"/>
      <c r="DD280" s="712"/>
      <c r="DE280" s="712"/>
      <c r="DF280" s="712"/>
      <c r="DG280" s="712"/>
      <c r="DH280" s="712"/>
      <c r="DI280" s="712"/>
      <c r="DJ280" s="712"/>
      <c r="DK280" s="712"/>
      <c r="DL280" s="712"/>
      <c r="DM280" s="712"/>
      <c r="DN280" s="712"/>
      <c r="DO280" s="712"/>
      <c r="DP280" s="712"/>
      <c r="DQ280" s="712"/>
      <c r="DR280" s="712"/>
      <c r="DS280" s="712"/>
      <c r="DT280" s="712"/>
      <c r="DU280" s="712"/>
      <c r="DV280" s="712"/>
      <c r="DW280" s="712"/>
      <c r="DX280" s="712"/>
      <c r="DY280" s="712"/>
      <c r="DZ280" s="712"/>
      <c r="EA280" s="712"/>
      <c r="EB280" s="712"/>
      <c r="EC280" s="712"/>
      <c r="ED280" s="712"/>
      <c r="EE280" s="712"/>
      <c r="EF280" s="712"/>
      <c r="EG280" s="712"/>
      <c r="EH280" s="712"/>
      <c r="EI280" s="712"/>
      <c r="EJ280" s="712"/>
      <c r="EK280" s="712"/>
      <c r="EL280" s="712"/>
      <c r="EM280" s="712"/>
      <c r="EN280" s="712"/>
      <c r="EP280" s="946"/>
    </row>
    <row r="281" spans="7:146" ht="13.5" thickBot="1">
      <c r="H281" s="903" t="s">
        <v>665</v>
      </c>
      <c r="I281" s="902"/>
      <c r="J281" s="904"/>
      <c r="K281" s="904"/>
      <c r="L281" s="904"/>
      <c r="M281" s="904"/>
      <c r="N281" s="905"/>
      <c r="O281" s="905"/>
      <c r="P281" s="905"/>
      <c r="Q281" s="905"/>
      <c r="R281" s="905"/>
      <c r="S281" s="905"/>
      <c r="T281" s="904"/>
      <c r="U281" s="904"/>
      <c r="V281" s="904"/>
      <c r="W281" s="904"/>
      <c r="X281" s="904"/>
      <c r="Y281" s="904"/>
      <c r="Z281" s="904"/>
      <c r="AA281" s="904"/>
      <c r="AB281" s="904"/>
      <c r="AC281" s="904"/>
      <c r="AD281" s="904"/>
      <c r="AE281" s="904"/>
      <c r="AF281" s="904"/>
      <c r="AG281" s="904"/>
      <c r="AH281" s="904"/>
      <c r="AI281" s="904"/>
      <c r="AJ281" s="904"/>
      <c r="AK281" s="806"/>
      <c r="AL281" s="806"/>
      <c r="AM281" s="806"/>
      <c r="AN281" s="806"/>
      <c r="AO281" s="904"/>
      <c r="AP281" s="904"/>
      <c r="AQ281" s="904"/>
      <c r="AR281" s="904"/>
      <c r="AS281" s="904"/>
      <c r="AT281" s="904"/>
      <c r="AU281" s="904"/>
      <c r="AV281" s="904"/>
      <c r="AW281" s="904"/>
      <c r="AX281" s="904"/>
      <c r="AY281" s="904"/>
      <c r="AZ281" s="902"/>
      <c r="BA281" s="906">
        <f>SUM(BA242:BA280)</f>
        <v>-134645.57103333331</v>
      </c>
      <c r="BB281" s="906">
        <f t="shared" ref="BB281:CS281" si="4121">SUM(BB242:BB278)</f>
        <v>-42580.20616666667</v>
      </c>
      <c r="BC281" s="906">
        <f t="shared" si="4121"/>
        <v>-101</v>
      </c>
      <c r="BD281" s="906">
        <f t="shared" si="4121"/>
        <v>-2698.0443749999999</v>
      </c>
      <c r="BE281" s="906">
        <f t="shared" si="4121"/>
        <v>0</v>
      </c>
      <c r="BF281" s="906">
        <f t="shared" si="4121"/>
        <v>0</v>
      </c>
      <c r="BG281" s="906">
        <f t="shared" si="4121"/>
        <v>-350</v>
      </c>
      <c r="BH281" s="906">
        <f t="shared" si="4121"/>
        <v>-17445.781072235834</v>
      </c>
      <c r="BI281" s="906">
        <f>SUM(BI242:BI280)</f>
        <v>-197719.60264723585</v>
      </c>
      <c r="BJ281" s="906">
        <f t="shared" si="4121"/>
        <v>-105006.41666666669</v>
      </c>
      <c r="BK281" s="906">
        <f>SUM(BK242:BK280)</f>
        <v>-38155.8465</v>
      </c>
      <c r="BL281" s="906">
        <f t="shared" si="4121"/>
        <v>-282.5</v>
      </c>
      <c r="BM281" s="906">
        <f t="shared" si="4121"/>
        <v>-7660.4771250000003</v>
      </c>
      <c r="BN281" s="906">
        <f t="shared" si="4121"/>
        <v>0</v>
      </c>
      <c r="BO281" s="906">
        <f t="shared" si="4121"/>
        <v>0</v>
      </c>
      <c r="BP281" s="906">
        <f t="shared" si="4121"/>
        <v>-175</v>
      </c>
      <c r="BQ281" s="906">
        <f t="shared" si="4121"/>
        <v>-14297.067943404167</v>
      </c>
      <c r="BR281" s="906">
        <f t="shared" si="4121"/>
        <v>-165294.80823507084</v>
      </c>
      <c r="BS281" s="906">
        <f t="shared" si="4121"/>
        <v>-31219.735766666668</v>
      </c>
      <c r="BT281" s="906">
        <f t="shared" si="4121"/>
        <v>-7083.1115333333328</v>
      </c>
      <c r="BU281" s="906">
        <f t="shared" si="4121"/>
        <v>0</v>
      </c>
      <c r="BV281" s="906">
        <f t="shared" si="4121"/>
        <v>0</v>
      </c>
      <c r="BW281" s="906">
        <f t="shared" si="4121"/>
        <v>0</v>
      </c>
      <c r="BX281" s="906">
        <f t="shared" si="4121"/>
        <v>0</v>
      </c>
      <c r="BY281" s="906">
        <f t="shared" si="4121"/>
        <v>-175</v>
      </c>
      <c r="BZ281" s="906">
        <f t="shared" si="4121"/>
        <v>-3954.2116334766665</v>
      </c>
      <c r="CA281" s="906">
        <f>SUM(CA242:CA280)</f>
        <v>-42432.058933476663</v>
      </c>
      <c r="CB281" s="906">
        <f>SUM(CB241:CB280)</f>
        <v>-15586.262199999999</v>
      </c>
      <c r="CC281" s="906">
        <f t="shared" ref="CC281:CI281" si="4122">SUM(CC241:CC280)</f>
        <v>-5361.8678</v>
      </c>
      <c r="CD281" s="906">
        <f t="shared" si="4122"/>
        <v>0</v>
      </c>
      <c r="CE281" s="906">
        <f t="shared" si="4122"/>
        <v>0</v>
      </c>
      <c r="CF281" s="906">
        <f t="shared" si="4122"/>
        <v>0</v>
      </c>
      <c r="CG281" s="906">
        <f t="shared" si="4122"/>
        <v>0</v>
      </c>
      <c r="CH281" s="906">
        <f t="shared" si="4122"/>
        <v>0</v>
      </c>
      <c r="CI281" s="906">
        <f t="shared" si="4122"/>
        <v>-1974.77942074</v>
      </c>
      <c r="CJ281" s="906">
        <f>SUM(CJ241:CJ280)</f>
        <v>-22922.909420740001</v>
      </c>
      <c r="CK281" s="906">
        <f>SUM(CK242:CK278)</f>
        <v>286457.98566666665</v>
      </c>
      <c r="CL281" s="906">
        <f t="shared" si="4121"/>
        <v>93181.031999999992</v>
      </c>
      <c r="CM281" s="906">
        <f t="shared" si="4121"/>
        <v>383.5</v>
      </c>
      <c r="CN281" s="906">
        <f t="shared" si="4121"/>
        <v>10358.521500000001</v>
      </c>
      <c r="CO281" s="906">
        <f t="shared" si="4121"/>
        <v>0</v>
      </c>
      <c r="CP281" s="906">
        <f t="shared" si="4121"/>
        <v>0</v>
      </c>
      <c r="CQ281" s="906">
        <f t="shared" si="4121"/>
        <v>700</v>
      </c>
      <c r="CR281" s="906">
        <f t="shared" si="4121"/>
        <v>37671.840069856669</v>
      </c>
      <c r="CS281" s="906">
        <f t="shared" si="4121"/>
        <v>428369.37923652329</v>
      </c>
      <c r="CV281" s="712"/>
      <c r="CW281" s="712"/>
      <c r="CX281" s="712"/>
      <c r="CY281" s="712"/>
      <c r="CZ281" s="712"/>
      <c r="DA281" s="712"/>
      <c r="DB281" s="712"/>
      <c r="DC281" s="712"/>
      <c r="DD281" s="712"/>
      <c r="DE281" s="712"/>
      <c r="DF281" s="712"/>
      <c r="DG281" s="712"/>
      <c r="DH281" s="712"/>
      <c r="DI281" s="712"/>
      <c r="DJ281" s="712"/>
      <c r="DK281" s="712"/>
      <c r="DL281" s="712"/>
      <c r="DM281" s="712"/>
      <c r="DN281" s="712"/>
      <c r="DO281" s="712"/>
      <c r="DP281" s="712"/>
      <c r="DQ281" s="712"/>
      <c r="DR281" s="712"/>
      <c r="DS281" s="712"/>
      <c r="DT281" s="712"/>
      <c r="DU281" s="712"/>
      <c r="DV281" s="712"/>
      <c r="DW281" s="712"/>
      <c r="DX281" s="712"/>
      <c r="DY281" s="712"/>
      <c r="DZ281" s="712"/>
      <c r="EA281" s="712"/>
      <c r="EB281" s="712"/>
      <c r="EC281" s="712"/>
      <c r="ED281" s="712"/>
      <c r="EE281" s="712"/>
      <c r="EF281" s="712"/>
      <c r="EG281" s="712"/>
      <c r="EH281" s="712"/>
      <c r="EI281" s="712"/>
      <c r="EJ281" s="712"/>
      <c r="EK281" s="712"/>
      <c r="EL281" s="712"/>
      <c r="EM281" s="712"/>
      <c r="EN281" s="712"/>
      <c r="EP281" s="946"/>
    </row>
    <row r="282" spans="7:146" ht="12" thickTop="1">
      <c r="BA282" s="720">
        <f t="shared" ref="BA282:CS282" si="4123">BA234-BA187-BA281</f>
        <v>0</v>
      </c>
      <c r="BB282" s="720">
        <f t="shared" si="4123"/>
        <v>0</v>
      </c>
      <c r="BC282" s="720">
        <f t="shared" si="4123"/>
        <v>0</v>
      </c>
      <c r="BD282" s="720">
        <f t="shared" si="4123"/>
        <v>0</v>
      </c>
      <c r="BE282" s="720">
        <f t="shared" si="4123"/>
        <v>0</v>
      </c>
      <c r="BF282" s="720">
        <f t="shared" si="4123"/>
        <v>0</v>
      </c>
      <c r="BG282" s="720">
        <f t="shared" si="4123"/>
        <v>0</v>
      </c>
      <c r="BH282" s="720">
        <f t="shared" si="4123"/>
        <v>0</v>
      </c>
      <c r="BI282" s="720">
        <f t="shared" si="4123"/>
        <v>0</v>
      </c>
      <c r="BJ282" s="720">
        <f t="shared" si="4123"/>
        <v>0</v>
      </c>
      <c r="BK282" s="720">
        <f>BK234-BK187-BK281</f>
        <v>0</v>
      </c>
      <c r="BL282" s="720">
        <f t="shared" si="4123"/>
        <v>0</v>
      </c>
      <c r="BM282" s="720">
        <f t="shared" si="4123"/>
        <v>0</v>
      </c>
      <c r="BN282" s="720">
        <f t="shared" si="4123"/>
        <v>0</v>
      </c>
      <c r="BO282" s="720">
        <f t="shared" si="4123"/>
        <v>0</v>
      </c>
      <c r="BP282" s="720">
        <f t="shared" si="4123"/>
        <v>0</v>
      </c>
      <c r="BQ282" s="720">
        <f t="shared" si="4123"/>
        <v>0</v>
      </c>
      <c r="BR282" s="720">
        <f t="shared" si="4123"/>
        <v>0</v>
      </c>
      <c r="BS282" s="720">
        <f t="shared" si="4123"/>
        <v>0</v>
      </c>
      <c r="BT282" s="720">
        <f t="shared" si="4123"/>
        <v>0</v>
      </c>
      <c r="BU282" s="720">
        <f t="shared" si="4123"/>
        <v>0</v>
      </c>
      <c r="BV282" s="720">
        <f t="shared" si="4123"/>
        <v>0</v>
      </c>
      <c r="BW282" s="720">
        <f t="shared" si="4123"/>
        <v>0</v>
      </c>
      <c r="BX282" s="720">
        <f t="shared" si="4123"/>
        <v>0</v>
      </c>
      <c r="BY282" s="720">
        <f t="shared" si="4123"/>
        <v>0</v>
      </c>
      <c r="BZ282" s="720">
        <f t="shared" si="4123"/>
        <v>0</v>
      </c>
      <c r="CA282" s="720">
        <f t="shared" si="4123"/>
        <v>0</v>
      </c>
      <c r="CB282" s="720">
        <f t="shared" si="4123"/>
        <v>0</v>
      </c>
      <c r="CC282" s="720">
        <f t="shared" si="4123"/>
        <v>0</v>
      </c>
      <c r="CD282" s="720">
        <f t="shared" si="4123"/>
        <v>0</v>
      </c>
      <c r="CE282" s="720">
        <f t="shared" si="4123"/>
        <v>0</v>
      </c>
      <c r="CF282" s="720">
        <f t="shared" si="4123"/>
        <v>0</v>
      </c>
      <c r="CG282" s="720">
        <f t="shared" si="4123"/>
        <v>0</v>
      </c>
      <c r="CH282" s="720">
        <f t="shared" si="4123"/>
        <v>0</v>
      </c>
      <c r="CI282" s="720">
        <f t="shared" si="4123"/>
        <v>0</v>
      </c>
      <c r="CJ282" s="720">
        <f>CJ234-CJ187-CJ281</f>
        <v>0</v>
      </c>
      <c r="CK282" s="720">
        <f>CK234-CK187-CK281</f>
        <v>0</v>
      </c>
      <c r="CL282" s="720">
        <f t="shared" si="4123"/>
        <v>0</v>
      </c>
      <c r="CM282" s="720">
        <f t="shared" si="4123"/>
        <v>0</v>
      </c>
      <c r="CN282" s="720">
        <f t="shared" si="4123"/>
        <v>0</v>
      </c>
      <c r="CO282" s="720">
        <f t="shared" si="4123"/>
        <v>0</v>
      </c>
      <c r="CP282" s="720">
        <f t="shared" si="4123"/>
        <v>0</v>
      </c>
      <c r="CQ282" s="720">
        <f t="shared" si="4123"/>
        <v>0</v>
      </c>
      <c r="CR282" s="720">
        <f t="shared" si="4123"/>
        <v>0</v>
      </c>
      <c r="CS282" s="720">
        <f t="shared" si="4123"/>
        <v>0</v>
      </c>
      <c r="CV282" s="712"/>
      <c r="CW282" s="712"/>
      <c r="CX282" s="712"/>
      <c r="CY282" s="712"/>
      <c r="CZ282" s="712"/>
      <c r="DA282" s="712"/>
      <c r="DB282" s="712"/>
      <c r="DC282" s="712"/>
      <c r="DD282" s="712"/>
      <c r="DE282" s="712"/>
      <c r="DF282" s="712"/>
      <c r="DG282" s="712"/>
      <c r="DH282" s="712"/>
      <c r="DI282" s="712"/>
      <c r="DJ282" s="712"/>
      <c r="DK282" s="712"/>
      <c r="DL282" s="712"/>
      <c r="DM282" s="712"/>
      <c r="DN282" s="712"/>
      <c r="DO282" s="712"/>
      <c r="DP282" s="712"/>
      <c r="DQ282" s="712"/>
      <c r="DR282" s="712"/>
      <c r="DS282" s="712"/>
      <c r="DT282" s="712"/>
      <c r="DU282" s="712"/>
      <c r="DV282" s="712"/>
      <c r="DW282" s="712"/>
      <c r="DX282" s="712"/>
      <c r="DY282" s="712"/>
      <c r="DZ282" s="712"/>
      <c r="EA282" s="712"/>
      <c r="EB282" s="712"/>
      <c r="EC282" s="712"/>
      <c r="ED282" s="712"/>
      <c r="EE282" s="712"/>
      <c r="EF282" s="712"/>
      <c r="EG282" s="712"/>
      <c r="EH282" s="712"/>
      <c r="EI282" s="712"/>
      <c r="EJ282" s="712"/>
      <c r="EK282" s="712"/>
      <c r="EL282" s="712"/>
      <c r="EM282" s="712"/>
      <c r="EN282" s="712"/>
      <c r="EP282" s="946"/>
    </row>
    <row r="283" spans="7:146">
      <c r="BA283" s="720" t="str">
        <f>IF(BA282&lt;&gt;0,"ERROR VERIFICAR TRASLADO DE DATOS DE DISTRIBUCIÓN A CUADRO","")</f>
        <v/>
      </c>
      <c r="BB283" s="720" t="str">
        <f t="shared" ref="BB283:CS283" si="4124">IF(BB282&lt;&gt;0,"ERROR VERIFICAR TRASLADO DE DATOS DE DISTRIBUCIÓN A CUADRO","")</f>
        <v/>
      </c>
      <c r="BC283" s="720" t="str">
        <f t="shared" si="4124"/>
        <v/>
      </c>
      <c r="BD283" s="720" t="str">
        <f t="shared" si="4124"/>
        <v/>
      </c>
      <c r="BE283" s="720" t="str">
        <f t="shared" si="4124"/>
        <v/>
      </c>
      <c r="BF283" s="720" t="str">
        <f t="shared" si="4124"/>
        <v/>
      </c>
      <c r="BG283" s="720" t="str">
        <f t="shared" si="4124"/>
        <v/>
      </c>
      <c r="BH283" s="720" t="str">
        <f>IF(BH282&lt;&gt;0,"ERROR VERIFICAR TRASLADO DE DATOS DE DISTRIBUCIÓN A CUADRO","")</f>
        <v/>
      </c>
      <c r="BI283" s="720" t="str">
        <f t="shared" si="4124"/>
        <v/>
      </c>
      <c r="BJ283" s="720" t="str">
        <f t="shared" si="4124"/>
        <v/>
      </c>
      <c r="BK283" s="720" t="str">
        <f t="shared" si="4124"/>
        <v/>
      </c>
      <c r="BL283" s="720" t="str">
        <f t="shared" si="4124"/>
        <v/>
      </c>
      <c r="BM283" s="720" t="str">
        <f t="shared" si="4124"/>
        <v/>
      </c>
      <c r="BN283" s="720" t="str">
        <f t="shared" si="4124"/>
        <v/>
      </c>
      <c r="BO283" s="720" t="str">
        <f t="shared" si="4124"/>
        <v/>
      </c>
      <c r="BP283" s="720" t="str">
        <f t="shared" si="4124"/>
        <v/>
      </c>
      <c r="BQ283" s="720" t="str">
        <f>IF(BQ282&lt;&gt;0,"ERROR VERIFICAR TRASLADO DE DATOS DE DISTRIBUCIÓN A CUADRO","")</f>
        <v/>
      </c>
      <c r="BR283" s="720" t="str">
        <f t="shared" si="4124"/>
        <v/>
      </c>
      <c r="BS283" s="720" t="str">
        <f t="shared" si="4124"/>
        <v/>
      </c>
      <c r="BT283" s="720" t="str">
        <f t="shared" si="4124"/>
        <v/>
      </c>
      <c r="BU283" s="720" t="str">
        <f t="shared" si="4124"/>
        <v/>
      </c>
      <c r="BV283" s="720" t="str">
        <f t="shared" si="4124"/>
        <v/>
      </c>
      <c r="BW283" s="720" t="str">
        <f t="shared" si="4124"/>
        <v/>
      </c>
      <c r="BX283" s="720" t="str">
        <f t="shared" si="4124"/>
        <v/>
      </c>
      <c r="BY283" s="720" t="str">
        <f t="shared" si="4124"/>
        <v/>
      </c>
      <c r="BZ283" s="720" t="str">
        <f t="shared" si="4124"/>
        <v/>
      </c>
      <c r="CA283" s="720" t="str">
        <f t="shared" si="4124"/>
        <v/>
      </c>
      <c r="CB283" s="720" t="str">
        <f t="shared" si="4124"/>
        <v/>
      </c>
      <c r="CC283" s="720" t="str">
        <f t="shared" si="4124"/>
        <v/>
      </c>
      <c r="CD283" s="720" t="str">
        <f t="shared" si="4124"/>
        <v/>
      </c>
      <c r="CE283" s="720" t="str">
        <f t="shared" si="4124"/>
        <v/>
      </c>
      <c r="CF283" s="720" t="str">
        <f t="shared" si="4124"/>
        <v/>
      </c>
      <c r="CG283" s="720" t="str">
        <f t="shared" si="4124"/>
        <v/>
      </c>
      <c r="CH283" s="720" t="str">
        <f t="shared" si="4124"/>
        <v/>
      </c>
      <c r="CI283" s="720" t="str">
        <f t="shared" si="4124"/>
        <v/>
      </c>
      <c r="CJ283" s="720" t="str">
        <f t="shared" si="4124"/>
        <v/>
      </c>
      <c r="CK283" s="720" t="str">
        <f t="shared" si="4124"/>
        <v/>
      </c>
      <c r="CL283" s="720" t="str">
        <f t="shared" si="4124"/>
        <v/>
      </c>
      <c r="CM283" s="720" t="str">
        <f t="shared" si="4124"/>
        <v/>
      </c>
      <c r="CN283" s="720" t="str">
        <f t="shared" si="4124"/>
        <v/>
      </c>
      <c r="CO283" s="720" t="str">
        <f t="shared" si="4124"/>
        <v/>
      </c>
      <c r="CP283" s="720" t="str">
        <f t="shared" si="4124"/>
        <v/>
      </c>
      <c r="CQ283" s="720" t="str">
        <f t="shared" si="4124"/>
        <v/>
      </c>
      <c r="CR283" s="720" t="str">
        <f t="shared" si="4124"/>
        <v/>
      </c>
      <c r="CS283" s="720" t="str">
        <f t="shared" si="4124"/>
        <v/>
      </c>
    </row>
    <row r="285" spans="7:146" ht="12" thickBot="1">
      <c r="BA285" s="1345" t="s">
        <v>348</v>
      </c>
      <c r="BB285" s="1345"/>
      <c r="BC285" s="1345"/>
      <c r="BD285" s="1345"/>
      <c r="BE285" s="1345"/>
      <c r="BF285" s="1345"/>
      <c r="BG285" s="1345"/>
      <c r="BH285" s="1345"/>
      <c r="BI285" s="1345"/>
      <c r="CV285" s="712"/>
      <c r="CW285" s="712"/>
      <c r="CX285" s="712"/>
      <c r="CY285" s="712"/>
      <c r="CZ285" s="712"/>
      <c r="DA285" s="712"/>
      <c r="DB285" s="712"/>
      <c r="DC285" s="712"/>
      <c r="DD285" s="712"/>
      <c r="DE285" s="712"/>
      <c r="DF285" s="712"/>
      <c r="DG285" s="712"/>
      <c r="DH285" s="712"/>
      <c r="DI285" s="712"/>
      <c r="DJ285" s="712"/>
      <c r="DK285" s="712"/>
      <c r="DL285" s="712"/>
      <c r="DM285" s="712"/>
      <c r="DN285" s="712"/>
      <c r="DO285" s="712"/>
      <c r="DP285" s="712"/>
      <c r="DQ285" s="712"/>
      <c r="DR285" s="712"/>
      <c r="DS285" s="712"/>
      <c r="DT285" s="712"/>
      <c r="DU285" s="712"/>
      <c r="DV285" s="712"/>
      <c r="DW285" s="712"/>
      <c r="DX285" s="712"/>
      <c r="DY285" s="712"/>
      <c r="DZ285" s="712"/>
      <c r="EA285" s="712"/>
      <c r="EB285" s="712"/>
      <c r="EC285" s="712"/>
      <c r="ED285" s="712"/>
      <c r="EE285" s="712"/>
      <c r="EF285" s="712"/>
      <c r="EG285" s="712"/>
      <c r="EH285" s="712"/>
      <c r="EI285" s="712"/>
      <c r="EJ285" s="712"/>
      <c r="EK285" s="712"/>
      <c r="EL285" s="712"/>
      <c r="EM285" s="712"/>
      <c r="EN285" s="712"/>
      <c r="EP285" s="946"/>
    </row>
    <row r="286" spans="7:146">
      <c r="BA286" s="887" t="s">
        <v>15</v>
      </c>
      <c r="BB286" s="888" t="s">
        <v>16</v>
      </c>
      <c r="BC286" s="888" t="s">
        <v>24</v>
      </c>
      <c r="BD286" s="889" t="s">
        <v>25</v>
      </c>
      <c r="BE286" s="889" t="s">
        <v>24</v>
      </c>
      <c r="BF286" s="889" t="s">
        <v>25</v>
      </c>
      <c r="BG286" s="890" t="s">
        <v>26</v>
      </c>
      <c r="BH286" s="890" t="s">
        <v>27</v>
      </c>
      <c r="BI286" s="891" t="s">
        <v>17</v>
      </c>
      <c r="CV286" s="712"/>
      <c r="CW286" s="712"/>
      <c r="CX286" s="712"/>
      <c r="CY286" s="712"/>
      <c r="CZ286" s="712"/>
      <c r="DA286" s="712"/>
      <c r="DB286" s="712"/>
      <c r="DC286" s="712"/>
      <c r="DD286" s="712"/>
      <c r="DE286" s="712"/>
      <c r="DF286" s="712"/>
      <c r="DG286" s="712"/>
      <c r="DH286" s="712"/>
      <c r="DI286" s="712"/>
      <c r="DJ286" s="712"/>
      <c r="DK286" s="712"/>
      <c r="DL286" s="712"/>
      <c r="DM286" s="712"/>
      <c r="DN286" s="712"/>
      <c r="DO286" s="712"/>
      <c r="DP286" s="712"/>
      <c r="DQ286" s="712"/>
      <c r="DR286" s="712"/>
      <c r="DS286" s="712"/>
      <c r="DT286" s="712"/>
      <c r="DU286" s="712"/>
      <c r="DV286" s="712"/>
      <c r="DW286" s="712"/>
      <c r="DX286" s="712"/>
      <c r="DY286" s="712"/>
      <c r="DZ286" s="712"/>
      <c r="EA286" s="712"/>
      <c r="EB286" s="712"/>
      <c r="EC286" s="712"/>
      <c r="ED286" s="712"/>
      <c r="EE286" s="712"/>
      <c r="EF286" s="712"/>
      <c r="EG286" s="712"/>
      <c r="EH286" s="712"/>
      <c r="EI286" s="712"/>
      <c r="EJ286" s="712"/>
      <c r="EK286" s="712"/>
      <c r="EL286" s="712"/>
      <c r="EM286" s="712"/>
      <c r="EN286" s="712"/>
      <c r="EP286" s="946"/>
    </row>
    <row r="287" spans="7:146">
      <c r="BA287" s="893" t="s">
        <v>37</v>
      </c>
      <c r="BB287" s="894" t="s">
        <v>38</v>
      </c>
      <c r="BC287" s="894" t="s">
        <v>44</v>
      </c>
      <c r="BD287" s="894" t="s">
        <v>343</v>
      </c>
      <c r="BE287" s="894" t="s">
        <v>45</v>
      </c>
      <c r="BF287" s="894" t="s">
        <v>344</v>
      </c>
      <c r="BG287" s="895" t="s">
        <v>46</v>
      </c>
      <c r="BH287" s="895" t="s">
        <v>47</v>
      </c>
      <c r="BI287" s="896"/>
      <c r="CV287" s="712"/>
      <c r="CW287" s="712"/>
      <c r="CX287" s="712"/>
      <c r="CY287" s="712"/>
      <c r="CZ287" s="712"/>
      <c r="DA287" s="712"/>
      <c r="DB287" s="712"/>
      <c r="DC287" s="712"/>
      <c r="DD287" s="712"/>
      <c r="DE287" s="712"/>
      <c r="DF287" s="712"/>
      <c r="DG287" s="712"/>
      <c r="DH287" s="712"/>
      <c r="DI287" s="712"/>
      <c r="DJ287" s="712"/>
      <c r="DK287" s="712"/>
      <c r="DL287" s="712"/>
      <c r="DM287" s="712"/>
      <c r="DN287" s="712"/>
      <c r="DO287" s="712"/>
      <c r="DP287" s="712"/>
      <c r="DQ287" s="712"/>
      <c r="DR287" s="712"/>
      <c r="DS287" s="712"/>
      <c r="DT287" s="712"/>
      <c r="DU287" s="712"/>
      <c r="DV287" s="712"/>
      <c r="DW287" s="712"/>
      <c r="DX287" s="712"/>
      <c r="DY287" s="712"/>
      <c r="DZ287" s="712"/>
      <c r="EA287" s="712"/>
      <c r="EB287" s="712"/>
      <c r="EC287" s="712"/>
      <c r="ED287" s="712"/>
      <c r="EE287" s="712"/>
      <c r="EF287" s="712"/>
      <c r="EG287" s="712"/>
      <c r="EH287" s="712"/>
      <c r="EI287" s="712"/>
      <c r="EJ287" s="712"/>
      <c r="EK287" s="712"/>
      <c r="EL287" s="712"/>
      <c r="EM287" s="712"/>
      <c r="EN287" s="712"/>
      <c r="EP287" s="946"/>
    </row>
    <row r="288" spans="7:146">
      <c r="H288" s="707" t="s">
        <v>8</v>
      </c>
      <c r="BA288" s="720">
        <f>BA281</f>
        <v>-134645.57103333331</v>
      </c>
      <c r="BB288" s="720">
        <f>BB281</f>
        <v>-42580.20616666667</v>
      </c>
      <c r="BC288" s="720">
        <f t="shared" ref="BC288:BH288" si="4125">BC281</f>
        <v>-101</v>
      </c>
      <c r="BD288" s="720">
        <f t="shared" si="4125"/>
        <v>-2698.0443749999999</v>
      </c>
      <c r="BE288" s="720">
        <f t="shared" si="4125"/>
        <v>0</v>
      </c>
      <c r="BF288" s="720">
        <f t="shared" si="4125"/>
        <v>0</v>
      </c>
      <c r="BG288" s="720">
        <f t="shared" si="4125"/>
        <v>-350</v>
      </c>
      <c r="BH288" s="720">
        <f t="shared" si="4125"/>
        <v>-17445.781072235834</v>
      </c>
      <c r="BI288" s="720">
        <f>BI281</f>
        <v>-197719.60264723585</v>
      </c>
      <c r="BK288" s="720" t="s">
        <v>679</v>
      </c>
      <c r="CV288" s="712"/>
      <c r="CW288" s="712"/>
      <c r="CX288" s="712"/>
      <c r="CY288" s="712"/>
      <c r="CZ288" s="712"/>
      <c r="DA288" s="712"/>
      <c r="DB288" s="712"/>
      <c r="DC288" s="712"/>
      <c r="DD288" s="712"/>
      <c r="DE288" s="712"/>
      <c r="DF288" s="712"/>
      <c r="DG288" s="712"/>
      <c r="DH288" s="712"/>
      <c r="DI288" s="712"/>
      <c r="DJ288" s="712"/>
      <c r="DK288" s="712"/>
      <c r="DL288" s="712"/>
      <c r="DM288" s="712"/>
      <c r="DN288" s="712"/>
      <c r="DO288" s="712"/>
      <c r="DP288" s="712"/>
      <c r="DQ288" s="712"/>
      <c r="DR288" s="712"/>
      <c r="DS288" s="712"/>
      <c r="DT288" s="712"/>
      <c r="DU288" s="712"/>
      <c r="DV288" s="712"/>
      <c r="DW288" s="712"/>
      <c r="DX288" s="712"/>
      <c r="DY288" s="712"/>
      <c r="DZ288" s="712"/>
      <c r="EA288" s="712"/>
      <c r="EB288" s="712"/>
      <c r="EC288" s="712"/>
      <c r="ED288" s="712"/>
      <c r="EE288" s="712"/>
      <c r="EF288" s="712"/>
      <c r="EG288" s="712"/>
      <c r="EH288" s="712"/>
      <c r="EI288" s="712"/>
      <c r="EJ288" s="712"/>
      <c r="EK288" s="712"/>
      <c r="EL288" s="712"/>
      <c r="EM288" s="712"/>
      <c r="EN288" s="712"/>
      <c r="EP288" s="946"/>
    </row>
    <row r="289" spans="8:146">
      <c r="H289" s="707" t="s">
        <v>9</v>
      </c>
      <c r="BA289" s="720">
        <f>BJ281</f>
        <v>-105006.41666666669</v>
      </c>
      <c r="BB289" s="720">
        <f>BK281</f>
        <v>-38155.8465</v>
      </c>
      <c r="BC289" s="720">
        <f t="shared" ref="BC289:BH289" si="4126">BL281</f>
        <v>-282.5</v>
      </c>
      <c r="BD289" s="720">
        <f t="shared" si="4126"/>
        <v>-7660.4771250000003</v>
      </c>
      <c r="BE289" s="720">
        <f t="shared" si="4126"/>
        <v>0</v>
      </c>
      <c r="BF289" s="720">
        <f t="shared" si="4126"/>
        <v>0</v>
      </c>
      <c r="BG289" s="720">
        <f t="shared" si="4126"/>
        <v>-175</v>
      </c>
      <c r="BH289" s="720">
        <f t="shared" si="4126"/>
        <v>-14297.067943404167</v>
      </c>
      <c r="BI289" s="720">
        <f>BR281</f>
        <v>-165294.80823507084</v>
      </c>
      <c r="BJ289" s="720">
        <f>199909.58+4788.31</f>
        <v>204697.88999999998</v>
      </c>
      <c r="CV289" s="712"/>
      <c r="CW289" s="712"/>
      <c r="CX289" s="712"/>
      <c r="CY289" s="712"/>
      <c r="CZ289" s="712"/>
      <c r="DA289" s="712"/>
      <c r="DB289" s="712"/>
      <c r="DC289" s="712"/>
      <c r="DD289" s="712"/>
      <c r="DE289" s="712"/>
      <c r="DF289" s="712"/>
      <c r="DG289" s="712"/>
      <c r="DH289" s="712"/>
      <c r="DI289" s="712"/>
      <c r="DJ289" s="712"/>
      <c r="DK289" s="712"/>
      <c r="DL289" s="712"/>
      <c r="DM289" s="712"/>
      <c r="DN289" s="712"/>
      <c r="DO289" s="712"/>
      <c r="DP289" s="712"/>
      <c r="DQ289" s="712"/>
      <c r="DR289" s="712"/>
      <c r="DS289" s="712"/>
      <c r="DT289" s="712"/>
      <c r="DU289" s="712"/>
      <c r="DV289" s="712"/>
      <c r="DW289" s="712"/>
      <c r="DX289" s="712"/>
      <c r="DY289" s="712"/>
      <c r="DZ289" s="712"/>
      <c r="EA289" s="712"/>
      <c r="EB289" s="712"/>
      <c r="EC289" s="712"/>
      <c r="ED289" s="712"/>
      <c r="EE289" s="712"/>
      <c r="EF289" s="712"/>
      <c r="EG289" s="712"/>
      <c r="EH289" s="712"/>
      <c r="EI289" s="712"/>
      <c r="EJ289" s="712"/>
      <c r="EK289" s="712"/>
      <c r="EL289" s="712"/>
      <c r="EM289" s="712"/>
      <c r="EN289" s="712"/>
      <c r="EP289" s="946"/>
    </row>
    <row r="290" spans="8:146">
      <c r="H290" s="707" t="s">
        <v>349</v>
      </c>
      <c r="BA290" s="720">
        <f>BS281</f>
        <v>-31219.735766666668</v>
      </c>
      <c r="BB290" s="720">
        <f>BT281</f>
        <v>-7083.1115333333328</v>
      </c>
      <c r="BC290" s="720">
        <f t="shared" ref="BC290:BH290" si="4127">BU281</f>
        <v>0</v>
      </c>
      <c r="BD290" s="720">
        <f t="shared" si="4127"/>
        <v>0</v>
      </c>
      <c r="BE290" s="720">
        <f t="shared" si="4127"/>
        <v>0</v>
      </c>
      <c r="BF290" s="720">
        <f t="shared" si="4127"/>
        <v>0</v>
      </c>
      <c r="BG290" s="720">
        <f t="shared" si="4127"/>
        <v>-175</v>
      </c>
      <c r="BH290" s="720">
        <f t="shared" si="4127"/>
        <v>-3954.2116334766665</v>
      </c>
      <c r="BI290" s="720">
        <f>CA281</f>
        <v>-42432.058933476663</v>
      </c>
      <c r="BJ290" s="720">
        <f>+BI290/2</f>
        <v>-21216.029466738331</v>
      </c>
      <c r="CV290" s="712"/>
      <c r="CW290" s="712"/>
      <c r="CX290" s="712"/>
      <c r="CY290" s="712"/>
      <c r="CZ290" s="712"/>
      <c r="DA290" s="712"/>
      <c r="DB290" s="712"/>
      <c r="DC290" s="712"/>
      <c r="DD290" s="712"/>
      <c r="DE290" s="712"/>
      <c r="DF290" s="712"/>
      <c r="DG290" s="712"/>
      <c r="DH290" s="712"/>
      <c r="DI290" s="712"/>
      <c r="DJ290" s="712"/>
      <c r="DK290" s="712"/>
      <c r="DL290" s="712"/>
      <c r="DM290" s="712"/>
      <c r="DN290" s="712"/>
      <c r="DO290" s="712"/>
      <c r="DP290" s="712"/>
      <c r="DQ290" s="712"/>
      <c r="DR290" s="712"/>
      <c r="DS290" s="712"/>
      <c r="DT290" s="712"/>
      <c r="DU290" s="712"/>
      <c r="DV290" s="712"/>
      <c r="DW290" s="712"/>
      <c r="DX290" s="712"/>
      <c r="DY290" s="712"/>
      <c r="DZ290" s="712"/>
      <c r="EA290" s="712"/>
      <c r="EB290" s="712"/>
      <c r="EC290" s="712"/>
      <c r="ED290" s="712"/>
      <c r="EE290" s="712"/>
      <c r="EF290" s="712"/>
      <c r="EG290" s="712"/>
      <c r="EH290" s="712"/>
      <c r="EI290" s="712"/>
      <c r="EJ290" s="712"/>
      <c r="EK290" s="712"/>
      <c r="EL290" s="712"/>
      <c r="EM290" s="712"/>
      <c r="EN290" s="712"/>
      <c r="EP290" s="946"/>
    </row>
    <row r="291" spans="8:146">
      <c r="H291" s="707" t="s">
        <v>692</v>
      </c>
      <c r="BA291" s="720">
        <f>+CB281</f>
        <v>-15586.262199999999</v>
      </c>
      <c r="BB291" s="720">
        <f>+CC281</f>
        <v>-5361.8678</v>
      </c>
      <c r="BC291" s="720">
        <f>+BL281</f>
        <v>-282.5</v>
      </c>
      <c r="BD291" s="720">
        <f>+CD281</f>
        <v>0</v>
      </c>
      <c r="BE291" s="720">
        <f>+CF281</f>
        <v>0</v>
      </c>
      <c r="BF291" s="720">
        <f>+CG281</f>
        <v>0</v>
      </c>
      <c r="BG291" s="720">
        <f>+CH281</f>
        <v>0</v>
      </c>
      <c r="BH291" s="720">
        <f>+CI281</f>
        <v>-1974.77942074</v>
      </c>
      <c r="BI291" s="899">
        <f>+CJ281</f>
        <v>-22922.909420740001</v>
      </c>
      <c r="BJ291" s="720">
        <f>+BI291/2</f>
        <v>-11461.454710370001</v>
      </c>
      <c r="CV291" s="712"/>
      <c r="CW291" s="712"/>
      <c r="CX291" s="712"/>
      <c r="CY291" s="712"/>
      <c r="CZ291" s="712"/>
      <c r="DA291" s="712"/>
      <c r="DB291" s="712"/>
      <c r="DC291" s="712"/>
      <c r="DD291" s="712"/>
      <c r="DE291" s="712"/>
      <c r="DF291" s="712"/>
      <c r="DG291" s="712"/>
      <c r="DH291" s="712"/>
      <c r="DI291" s="712"/>
      <c r="DJ291" s="712"/>
      <c r="DK291" s="712"/>
      <c r="DL291" s="712"/>
      <c r="DM291" s="712"/>
      <c r="DN291" s="712"/>
      <c r="DO291" s="712"/>
      <c r="DP291" s="712"/>
      <c r="DQ291" s="712"/>
      <c r="DR291" s="712"/>
      <c r="DS291" s="712"/>
      <c r="DT291" s="712"/>
      <c r="DU291" s="712"/>
      <c r="DV291" s="712"/>
      <c r="DW291" s="712"/>
      <c r="DX291" s="712"/>
      <c r="DY291" s="712"/>
      <c r="DZ291" s="712"/>
      <c r="EA291" s="712"/>
      <c r="EB291" s="712"/>
      <c r="EC291" s="712"/>
      <c r="ED291" s="712"/>
      <c r="EE291" s="712"/>
      <c r="EF291" s="712"/>
      <c r="EG291" s="712"/>
      <c r="EH291" s="712"/>
      <c r="EI291" s="712"/>
      <c r="EJ291" s="712"/>
      <c r="EK291" s="712"/>
      <c r="EL291" s="712"/>
      <c r="EM291" s="712"/>
      <c r="EN291" s="712"/>
      <c r="EP291" s="946"/>
    </row>
    <row r="292" spans="8:146" ht="12" thickBot="1">
      <c r="H292" s="707" t="s">
        <v>11</v>
      </c>
      <c r="CV292" s="712"/>
      <c r="CW292" s="712"/>
      <c r="CX292" s="712"/>
      <c r="CY292" s="712"/>
      <c r="CZ292" s="712"/>
      <c r="DA292" s="712"/>
      <c r="DB292" s="712"/>
      <c r="DC292" s="712"/>
      <c r="DD292" s="712"/>
      <c r="DE292" s="712"/>
      <c r="DF292" s="712"/>
      <c r="DG292" s="712"/>
      <c r="DH292" s="712"/>
      <c r="DI292" s="712"/>
      <c r="DJ292" s="712"/>
      <c r="DK292" s="712"/>
      <c r="DL292" s="712"/>
      <c r="DM292" s="712"/>
      <c r="DN292" s="712"/>
      <c r="DO292" s="712"/>
      <c r="DP292" s="712"/>
      <c r="DQ292" s="712"/>
      <c r="DR292" s="712"/>
      <c r="DS292" s="712"/>
      <c r="DT292" s="712"/>
      <c r="DU292" s="712"/>
      <c r="DV292" s="712"/>
      <c r="DW292" s="712"/>
      <c r="DX292" s="712"/>
      <c r="DY292" s="712"/>
      <c r="DZ292" s="712"/>
      <c r="EA292" s="712"/>
      <c r="EB292" s="712"/>
      <c r="EC292" s="712"/>
      <c r="ED292" s="712"/>
      <c r="EE292" s="712"/>
      <c r="EF292" s="712"/>
      <c r="EG292" s="712"/>
      <c r="EH292" s="712"/>
      <c r="EI292" s="712"/>
      <c r="EJ292" s="712"/>
      <c r="EK292" s="712"/>
      <c r="EL292" s="712"/>
      <c r="EM292" s="712"/>
      <c r="EN292" s="712"/>
      <c r="EP292" s="946"/>
    </row>
    <row r="293" spans="8:146" ht="13.5" thickBot="1">
      <c r="H293" s="903" t="s">
        <v>171</v>
      </c>
      <c r="I293" s="902"/>
      <c r="J293" s="904"/>
      <c r="K293" s="904"/>
      <c r="L293" s="904"/>
      <c r="M293" s="904"/>
      <c r="N293" s="905"/>
      <c r="O293" s="905"/>
      <c r="P293" s="905"/>
      <c r="Q293" s="905"/>
      <c r="R293" s="905"/>
      <c r="S293" s="905"/>
      <c r="T293" s="904"/>
      <c r="U293" s="904"/>
      <c r="V293" s="904"/>
      <c r="W293" s="904"/>
      <c r="X293" s="904"/>
      <c r="Y293" s="904"/>
      <c r="Z293" s="904"/>
      <c r="AA293" s="904"/>
      <c r="AB293" s="904"/>
      <c r="AC293" s="904"/>
      <c r="AD293" s="904"/>
      <c r="AE293" s="904"/>
      <c r="AF293" s="904"/>
      <c r="AG293" s="904"/>
      <c r="AH293" s="904"/>
      <c r="AI293" s="904"/>
      <c r="AJ293" s="904"/>
      <c r="AK293" s="806"/>
      <c r="AL293" s="806"/>
      <c r="AM293" s="806"/>
      <c r="AN293" s="806"/>
      <c r="AO293" s="904"/>
      <c r="AP293" s="904"/>
      <c r="AQ293" s="904"/>
      <c r="AR293" s="904"/>
      <c r="AS293" s="904"/>
      <c r="AT293" s="904"/>
      <c r="AU293" s="904"/>
      <c r="AV293" s="904"/>
      <c r="AW293" s="904"/>
      <c r="AX293" s="904"/>
      <c r="AY293" s="904"/>
      <c r="AZ293" s="902"/>
      <c r="BA293" s="907">
        <f>SUM(BA288:BA292)</f>
        <v>-286457.98566666665</v>
      </c>
      <c r="BB293" s="908">
        <f>SUM(BB288:BB292)</f>
        <v>-93181.032000000007</v>
      </c>
      <c r="BC293" s="908">
        <f t="shared" ref="BC293:BH293" si="4128">SUM(BC288:BC292)</f>
        <v>-666</v>
      </c>
      <c r="BD293" s="908">
        <f t="shared" si="4128"/>
        <v>-10358.521500000001</v>
      </c>
      <c r="BE293" s="908">
        <f t="shared" si="4128"/>
        <v>0</v>
      </c>
      <c r="BF293" s="908">
        <f t="shared" si="4128"/>
        <v>0</v>
      </c>
      <c r="BG293" s="908">
        <f t="shared" si="4128"/>
        <v>-700</v>
      </c>
      <c r="BH293" s="908">
        <f t="shared" si="4128"/>
        <v>-37671.840069856669</v>
      </c>
      <c r="BI293" s="909">
        <f>SUM(BI288:BI292)</f>
        <v>-428369.37923652335</v>
      </c>
      <c r="BJ293" s="712"/>
      <c r="BK293" s="712"/>
      <c r="BL293" s="712"/>
      <c r="BM293" s="712"/>
      <c r="BN293" s="712"/>
      <c r="BO293" s="712"/>
      <c r="BP293" s="712"/>
      <c r="BQ293" s="712"/>
      <c r="BR293" s="712"/>
      <c r="BS293" s="712"/>
      <c r="BT293" s="712"/>
      <c r="BU293" s="712"/>
      <c r="BV293" s="712"/>
      <c r="BW293" s="712"/>
      <c r="BX293" s="712"/>
      <c r="BY293" s="712"/>
      <c r="BZ293" s="712"/>
      <c r="CA293" s="712"/>
      <c r="CB293" s="712"/>
      <c r="CC293" s="712"/>
      <c r="CD293" s="712"/>
      <c r="CE293" s="712"/>
      <c r="CF293" s="712"/>
      <c r="CG293" s="712"/>
      <c r="CH293" s="712"/>
      <c r="CI293" s="712"/>
      <c r="CJ293" s="712"/>
      <c r="CK293" s="712"/>
      <c r="CL293" s="712"/>
      <c r="CM293" s="712"/>
      <c r="CN293" s="712"/>
      <c r="CO293" s="712"/>
      <c r="CP293" s="712"/>
      <c r="CQ293" s="712"/>
      <c r="CR293" s="712"/>
      <c r="CS293" s="712"/>
      <c r="CV293" s="712"/>
      <c r="CW293" s="712"/>
      <c r="CX293" s="712"/>
      <c r="CY293" s="712"/>
      <c r="CZ293" s="712"/>
      <c r="DA293" s="712"/>
      <c r="DB293" s="712"/>
      <c r="DC293" s="712"/>
      <c r="DD293" s="712"/>
      <c r="DE293" s="712"/>
      <c r="DF293" s="712"/>
      <c r="DG293" s="712"/>
      <c r="DH293" s="712"/>
      <c r="DI293" s="712"/>
      <c r="DJ293" s="712"/>
      <c r="DK293" s="712"/>
      <c r="DL293" s="712"/>
      <c r="DM293" s="712"/>
      <c r="DN293" s="712"/>
      <c r="DO293" s="712"/>
      <c r="DP293" s="712"/>
      <c r="DQ293" s="712"/>
      <c r="DR293" s="712"/>
      <c r="DS293" s="712"/>
      <c r="DT293" s="712"/>
      <c r="DU293" s="712"/>
      <c r="DV293" s="712"/>
      <c r="DW293" s="712"/>
      <c r="DX293" s="712"/>
      <c r="DY293" s="712"/>
      <c r="DZ293" s="712"/>
      <c r="EA293" s="712"/>
      <c r="EB293" s="712"/>
      <c r="EC293" s="712"/>
      <c r="ED293" s="712"/>
      <c r="EE293" s="712"/>
      <c r="EF293" s="712"/>
      <c r="EG293" s="712"/>
      <c r="EH293" s="712"/>
      <c r="EI293" s="712"/>
      <c r="EJ293" s="712"/>
      <c r="EK293" s="712"/>
      <c r="EL293" s="712"/>
      <c r="EM293" s="712"/>
      <c r="EN293" s="712"/>
      <c r="EP293" s="946"/>
    </row>
    <row r="294" spans="8:146">
      <c r="AY294" s="712" t="s">
        <v>8</v>
      </c>
      <c r="BA294" s="910">
        <f>BA281-BA288</f>
        <v>0</v>
      </c>
      <c r="BB294" s="720">
        <f t="shared" ref="BB294:BI294" si="4129">BB281-BB288</f>
        <v>0</v>
      </c>
      <c r="BC294" s="720">
        <f t="shared" si="4129"/>
        <v>0</v>
      </c>
      <c r="BD294" s="720">
        <f t="shared" si="4129"/>
        <v>0</v>
      </c>
      <c r="BE294" s="720">
        <f t="shared" si="4129"/>
        <v>0</v>
      </c>
      <c r="BF294" s="720">
        <f t="shared" si="4129"/>
        <v>0</v>
      </c>
      <c r="BG294" s="720">
        <f t="shared" si="4129"/>
        <v>0</v>
      </c>
      <c r="BH294" s="720">
        <f t="shared" si="4129"/>
        <v>0</v>
      </c>
      <c r="BI294" s="911">
        <f t="shared" si="4129"/>
        <v>0</v>
      </c>
      <c r="BJ294" s="712"/>
      <c r="BK294" s="712"/>
      <c r="BL294" s="712"/>
      <c r="BM294" s="712"/>
      <c r="BN294" s="712"/>
      <c r="BO294" s="712"/>
      <c r="BP294" s="712"/>
      <c r="BQ294" s="712"/>
      <c r="BR294" s="712"/>
      <c r="BS294" s="712"/>
      <c r="BT294" s="712"/>
      <c r="BU294" s="712"/>
      <c r="BV294" s="712"/>
      <c r="BW294" s="712"/>
      <c r="BX294" s="712"/>
      <c r="BY294" s="712"/>
      <c r="BZ294" s="712"/>
      <c r="CA294" s="712"/>
      <c r="CB294" s="712"/>
      <c r="CC294" s="712"/>
      <c r="CD294" s="712"/>
      <c r="CE294" s="712"/>
      <c r="CF294" s="712"/>
      <c r="CG294" s="712"/>
      <c r="CH294" s="712"/>
      <c r="CI294" s="712"/>
      <c r="CJ294" s="712"/>
      <c r="CK294" s="712"/>
      <c r="CL294" s="712"/>
      <c r="CM294" s="712"/>
      <c r="CN294" s="712"/>
      <c r="CO294" s="712"/>
      <c r="CP294" s="712"/>
      <c r="CQ294" s="712"/>
      <c r="CR294" s="712"/>
      <c r="CS294" s="712"/>
      <c r="CV294" s="712"/>
      <c r="CW294" s="712"/>
      <c r="CX294" s="712"/>
      <c r="CY294" s="712"/>
      <c r="CZ294" s="712"/>
      <c r="DA294" s="712"/>
      <c r="DB294" s="712"/>
      <c r="DC294" s="712"/>
      <c r="DD294" s="712"/>
      <c r="DE294" s="712"/>
      <c r="DF294" s="712"/>
      <c r="DG294" s="712"/>
      <c r="DH294" s="712"/>
      <c r="DI294" s="712"/>
      <c r="DJ294" s="712"/>
      <c r="DK294" s="712"/>
      <c r="DL294" s="712"/>
      <c r="DM294" s="712"/>
      <c r="DN294" s="712"/>
      <c r="DO294" s="712"/>
      <c r="DP294" s="712"/>
      <c r="DQ294" s="712"/>
      <c r="DR294" s="712"/>
      <c r="DS294" s="712"/>
      <c r="DT294" s="712"/>
      <c r="DU294" s="712"/>
      <c r="DV294" s="712"/>
      <c r="DW294" s="712"/>
      <c r="DX294" s="712"/>
      <c r="DY294" s="712"/>
      <c r="DZ294" s="712"/>
      <c r="EA294" s="712"/>
      <c r="EB294" s="712"/>
      <c r="EC294" s="712"/>
      <c r="ED294" s="712"/>
      <c r="EE294" s="712"/>
      <c r="EF294" s="712"/>
      <c r="EG294" s="712"/>
      <c r="EH294" s="712"/>
      <c r="EI294" s="712"/>
      <c r="EJ294" s="712"/>
      <c r="EK294" s="712"/>
      <c r="EL294" s="712"/>
      <c r="EM294" s="712"/>
      <c r="EN294" s="712"/>
      <c r="EP294" s="946"/>
    </row>
    <row r="295" spans="8:146">
      <c r="BA295" s="912" t="str">
        <f>IF(BA294&lt;&gt;0,"ERROR VERIFICAR TRASLADO DE DATOS DE DISTRIBUCIÓN A CUADRO","")</f>
        <v/>
      </c>
      <c r="BB295" s="913" t="str">
        <f t="shared" ref="BB295:BI295" si="4130">IF(BB294&lt;&gt;0,"ERROR VERIFICAR TRASLADO DE DATOS DE DISTRIBUCIÓN A CUADRO","")</f>
        <v/>
      </c>
      <c r="BC295" s="913" t="str">
        <f t="shared" si="4130"/>
        <v/>
      </c>
      <c r="BD295" s="913" t="str">
        <f t="shared" si="4130"/>
        <v/>
      </c>
      <c r="BE295" s="913" t="str">
        <f t="shared" si="4130"/>
        <v/>
      </c>
      <c r="BF295" s="913" t="str">
        <f t="shared" si="4130"/>
        <v/>
      </c>
      <c r="BG295" s="913" t="str">
        <f t="shared" si="4130"/>
        <v/>
      </c>
      <c r="BH295" s="913" t="str">
        <f t="shared" si="4130"/>
        <v/>
      </c>
      <c r="BI295" s="914" t="str">
        <f t="shared" si="4130"/>
        <v/>
      </c>
    </row>
    <row r="296" spans="8:146">
      <c r="AY296" s="712" t="s">
        <v>9</v>
      </c>
      <c r="BA296" s="915">
        <f>BA289-BJ281</f>
        <v>0</v>
      </c>
      <c r="BB296" s="916">
        <f t="shared" ref="BB296:BI296" si="4131">BB289-BK281</f>
        <v>0</v>
      </c>
      <c r="BC296" s="916">
        <f t="shared" si="4131"/>
        <v>0</v>
      </c>
      <c r="BD296" s="916">
        <f t="shared" si="4131"/>
        <v>0</v>
      </c>
      <c r="BE296" s="916">
        <f t="shared" si="4131"/>
        <v>0</v>
      </c>
      <c r="BF296" s="916">
        <f t="shared" si="4131"/>
        <v>0</v>
      </c>
      <c r="BG296" s="916">
        <f t="shared" si="4131"/>
        <v>0</v>
      </c>
      <c r="BH296" s="916">
        <f t="shared" si="4131"/>
        <v>0</v>
      </c>
      <c r="BI296" s="917">
        <f t="shared" si="4131"/>
        <v>0</v>
      </c>
    </row>
    <row r="297" spans="8:146">
      <c r="BA297" s="912" t="str">
        <f>IF(BA296&lt;&gt;0,"ERROR VERIFICAR TRASLADO DE DATOS DE DISTRIBUCIÓN A CUADRO","")</f>
        <v/>
      </c>
      <c r="BB297" s="913" t="str">
        <f t="shared" ref="BB297:BI297" si="4132">IF(BB296&lt;&gt;0,"ERROR VERIFICAR TRASLADO DE DATOS DE DISTRIBUCIÓN A CUADRO","")</f>
        <v/>
      </c>
      <c r="BC297" s="913" t="str">
        <f t="shared" si="4132"/>
        <v/>
      </c>
      <c r="BD297" s="913" t="str">
        <f t="shared" si="4132"/>
        <v/>
      </c>
      <c r="BE297" s="913" t="str">
        <f t="shared" si="4132"/>
        <v/>
      </c>
      <c r="BF297" s="913" t="str">
        <f t="shared" si="4132"/>
        <v/>
      </c>
      <c r="BG297" s="913" t="str">
        <f t="shared" si="4132"/>
        <v/>
      </c>
      <c r="BH297" s="913" t="str">
        <f t="shared" si="4132"/>
        <v/>
      </c>
      <c r="BI297" s="914" t="str">
        <f t="shared" si="4132"/>
        <v/>
      </c>
    </row>
    <row r="298" spans="8:146">
      <c r="AY298" s="712" t="s">
        <v>349</v>
      </c>
      <c r="BA298" s="915">
        <f>BA290-BS281</f>
        <v>0</v>
      </c>
      <c r="BB298" s="916">
        <f t="shared" ref="BB298:BH298" si="4133">BB290-BT281</f>
        <v>0</v>
      </c>
      <c r="BC298" s="916">
        <f t="shared" si="4133"/>
        <v>0</v>
      </c>
      <c r="BD298" s="916">
        <f t="shared" si="4133"/>
        <v>0</v>
      </c>
      <c r="BE298" s="916">
        <f t="shared" si="4133"/>
        <v>0</v>
      </c>
      <c r="BF298" s="916">
        <f t="shared" si="4133"/>
        <v>0</v>
      </c>
      <c r="BG298" s="916">
        <f t="shared" si="4133"/>
        <v>0</v>
      </c>
      <c r="BH298" s="916">
        <f t="shared" si="4133"/>
        <v>0</v>
      </c>
      <c r="BI298" s="917">
        <f>BI290-CA281</f>
        <v>0</v>
      </c>
    </row>
    <row r="299" spans="8:146">
      <c r="BA299" s="912" t="str">
        <f>IF(BA298&lt;&gt;0,"ERROR VERIFICAR TRASLADO DE DATOS DE DISTRIBUCIÓN A CUADRO","")</f>
        <v/>
      </c>
      <c r="BB299" s="913" t="str">
        <f t="shared" ref="BB299:BH299" si="4134">IF(BB298&lt;&gt;0,"ERROR VERIFICAR TRASLADO DE DATOS DE DISTRIBUCIÓN A CUADRO","")</f>
        <v/>
      </c>
      <c r="BC299" s="913" t="str">
        <f t="shared" si="4134"/>
        <v/>
      </c>
      <c r="BD299" s="913" t="str">
        <f t="shared" si="4134"/>
        <v/>
      </c>
      <c r="BE299" s="913" t="str">
        <f t="shared" si="4134"/>
        <v/>
      </c>
      <c r="BF299" s="913" t="str">
        <f t="shared" si="4134"/>
        <v/>
      </c>
      <c r="BG299" s="913" t="str">
        <f t="shared" si="4134"/>
        <v/>
      </c>
      <c r="BH299" s="913" t="str">
        <f t="shared" si="4134"/>
        <v/>
      </c>
      <c r="BI299" s="914" t="str">
        <f>IF(BI298&lt;&gt;0,"ERROR VERIFICAR TRASLADO DE DATOS DE DISTRIBUCIÓN A CUADRO","")</f>
        <v/>
      </c>
    </row>
    <row r="300" spans="8:146">
      <c r="AY300" s="712" t="s">
        <v>11</v>
      </c>
      <c r="BA300" s="915"/>
      <c r="BB300" s="916"/>
      <c r="BC300" s="916"/>
      <c r="BD300" s="916"/>
      <c r="BE300" s="916"/>
      <c r="BF300" s="916"/>
      <c r="BG300" s="916"/>
      <c r="BH300" s="916"/>
      <c r="BI300" s="917"/>
    </row>
    <row r="301" spans="8:146">
      <c r="BA301" s="912"/>
      <c r="BB301" s="913"/>
      <c r="BC301" s="913"/>
      <c r="BD301" s="913"/>
      <c r="BE301" s="913"/>
      <c r="BF301" s="913"/>
      <c r="BG301" s="913"/>
      <c r="BH301" s="913"/>
      <c r="BI301" s="914"/>
    </row>
    <row r="302" spans="8:146">
      <c r="AY302" s="712" t="s">
        <v>338</v>
      </c>
      <c r="BA302" s="915"/>
      <c r="BB302" s="916"/>
      <c r="BC302" s="916"/>
      <c r="BD302" s="916"/>
      <c r="BE302" s="916"/>
      <c r="BF302" s="916"/>
      <c r="BG302" s="916"/>
      <c r="BH302" s="916"/>
      <c r="BI302" s="917"/>
    </row>
    <row r="303" spans="8:146">
      <c r="BA303" s="912"/>
      <c r="BB303" s="913"/>
      <c r="BC303" s="913"/>
      <c r="BD303" s="913"/>
      <c r="BE303" s="913"/>
      <c r="BF303" s="913"/>
      <c r="BG303" s="913"/>
      <c r="BH303" s="913"/>
      <c r="BI303" s="914"/>
    </row>
    <row r="304" spans="8:146" ht="12" thickBot="1"/>
    <row r="305" spans="56:146">
      <c r="BD305" s="918" t="s">
        <v>367</v>
      </c>
      <c r="BE305" s="919"/>
      <c r="BF305" s="920"/>
    </row>
    <row r="306" spans="56:146" ht="15">
      <c r="BD306" s="921" t="str">
        <f>IF(BI288&gt;0,"Facturar desde PROQUIMA","")</f>
        <v/>
      </c>
      <c r="BF306" s="922"/>
    </row>
    <row r="307" spans="56:146">
      <c r="BD307" s="923" t="str">
        <f>IF((BI289+BI290)&gt;0,"Facturar desde UNHESA","")</f>
        <v/>
      </c>
      <c r="BF307" s="922"/>
    </row>
    <row r="308" spans="56:146" ht="15">
      <c r="BD308" s="921" t="str">
        <f>IF(BI291&gt;0,"Facturar desde ECONACIONAL","")</f>
        <v/>
      </c>
      <c r="BF308" s="922"/>
    </row>
    <row r="309" spans="56:146" ht="15.75" thickBot="1">
      <c r="BD309" s="924" t="str">
        <f>IF(BI292&gt;0,"Facturar desde ECOMEZCLAS","")</f>
        <v/>
      </c>
      <c r="BE309" s="925"/>
      <c r="BF309" s="926"/>
    </row>
    <row r="310" spans="56:146" ht="12">
      <c r="BN310" s="927" t="str">
        <f>+BD311</f>
        <v>FACTURAR CON FECHA JUNIO SERVICIOS DE RRHH  DE JUNIO 2026 DE ECONACIONAL A PROQUIMA</v>
      </c>
      <c r="BO310" s="928"/>
      <c r="BP310" s="928"/>
      <c r="BQ310" s="928"/>
      <c r="BR310" s="929"/>
      <c r="BS310" s="928"/>
      <c r="BT310" s="712"/>
      <c r="BU310" s="712"/>
    </row>
    <row r="311" spans="56:146" ht="14.25">
      <c r="BD311" s="927" t="s">
        <v>786</v>
      </c>
      <c r="BE311" s="928"/>
      <c r="BF311" s="928"/>
      <c r="BG311" s="928"/>
      <c r="BH311" s="929"/>
      <c r="BI311" s="928"/>
      <c r="BJ311" s="707"/>
      <c r="BK311" s="707"/>
      <c r="BL311" s="938">
        <f>+BI288-BG321</f>
        <v>-198178.06064723586</v>
      </c>
      <c r="BM311" s="712"/>
      <c r="BN311" s="885"/>
      <c r="BO311" s="884"/>
      <c r="BP311" s="884"/>
      <c r="BQ311" s="884"/>
      <c r="BR311" s="884"/>
      <c r="BS311" s="884"/>
      <c r="BT311" s="712"/>
      <c r="BU311" s="712"/>
      <c r="BV311" s="712"/>
      <c r="BW311" s="712"/>
      <c r="BX311" s="712"/>
      <c r="BY311" s="712"/>
      <c r="BZ311" s="712"/>
      <c r="CA311" s="712"/>
      <c r="CB311" s="712"/>
      <c r="CC311" s="712"/>
      <c r="CD311" s="712"/>
      <c r="CE311" s="712"/>
      <c r="CF311" s="712"/>
      <c r="CG311" s="712"/>
      <c r="CH311" s="712"/>
      <c r="CI311" s="712"/>
      <c r="CJ311" s="712"/>
      <c r="CK311" s="712"/>
      <c r="CL311" s="712"/>
      <c r="CM311" s="712"/>
      <c r="CN311" s="712"/>
      <c r="CO311" s="712"/>
      <c r="CP311" s="712"/>
      <c r="CQ311" s="712"/>
      <c r="CR311" s="712"/>
      <c r="CS311" s="712"/>
      <c r="CV311" s="712"/>
      <c r="CW311" s="712"/>
      <c r="CX311" s="712"/>
      <c r="CY311" s="712"/>
      <c r="CZ311" s="712"/>
      <c r="DA311" s="712"/>
      <c r="DB311" s="712"/>
      <c r="DC311" s="712"/>
      <c r="DD311" s="712"/>
      <c r="DE311" s="712"/>
      <c r="DF311" s="712"/>
      <c r="DG311" s="712"/>
      <c r="DH311" s="712"/>
      <c r="DI311" s="712"/>
      <c r="DJ311" s="712"/>
      <c r="DK311" s="712"/>
      <c r="DL311" s="712"/>
      <c r="DM311" s="712"/>
      <c r="DN311" s="712"/>
      <c r="DO311" s="712"/>
      <c r="DP311" s="712"/>
      <c r="DQ311" s="712"/>
      <c r="DR311" s="712"/>
      <c r="DS311" s="712"/>
      <c r="DT311" s="712"/>
      <c r="DU311" s="712"/>
      <c r="DV311" s="712"/>
      <c r="DW311" s="712"/>
      <c r="DX311" s="712"/>
      <c r="DY311" s="712"/>
      <c r="DZ311" s="712"/>
      <c r="EA311" s="712"/>
      <c r="EB311" s="712"/>
      <c r="EC311" s="712"/>
      <c r="ED311" s="712"/>
      <c r="EE311" s="712"/>
      <c r="EF311" s="712"/>
      <c r="EG311" s="712"/>
      <c r="EH311" s="712"/>
      <c r="EI311" s="712"/>
      <c r="EJ311" s="712"/>
      <c r="EK311" s="712"/>
      <c r="EL311" s="712"/>
      <c r="EM311" s="712"/>
      <c r="EN311" s="712"/>
      <c r="EP311" s="946"/>
    </row>
    <row r="312" spans="56:146" ht="14.25">
      <c r="BD312" s="885"/>
      <c r="BE312" s="884"/>
      <c r="BF312" s="884"/>
      <c r="BG312" s="884"/>
      <c r="BH312" s="884"/>
      <c r="BI312" s="884"/>
      <c r="BJ312" s="707"/>
      <c r="BK312" s="707"/>
      <c r="BL312" s="939">
        <f>+BI288-BG321</f>
        <v>-198178.06064723586</v>
      </c>
      <c r="BM312" s="712"/>
      <c r="BN312" s="885"/>
      <c r="BO312" s="884"/>
      <c r="BP312" s="884"/>
      <c r="BQ312" s="930" t="s">
        <v>169</v>
      </c>
      <c r="BR312" s="930" t="s">
        <v>170</v>
      </c>
      <c r="BS312" s="930" t="s">
        <v>171</v>
      </c>
      <c r="BT312" s="712"/>
      <c r="BU312" s="931"/>
      <c r="BV312" s="712"/>
      <c r="BW312" s="712"/>
      <c r="BX312" s="712"/>
      <c r="BY312" s="712"/>
      <c r="BZ312" s="712"/>
      <c r="CA312" s="712"/>
      <c r="CB312" s="712"/>
      <c r="CC312" s="712"/>
      <c r="CD312" s="712"/>
      <c r="CE312" s="712"/>
      <c r="CF312" s="712"/>
      <c r="CG312" s="712"/>
      <c r="CH312" s="712"/>
      <c r="CI312" s="712"/>
      <c r="CJ312" s="712"/>
      <c r="CK312" s="712"/>
      <c r="CL312" s="712"/>
      <c r="CM312" s="712"/>
      <c r="CN312" s="712"/>
      <c r="CO312" s="712"/>
      <c r="CP312" s="712"/>
      <c r="CQ312" s="712"/>
      <c r="CR312" s="712"/>
      <c r="CS312" s="712"/>
      <c r="CV312" s="712"/>
      <c r="CW312" s="712"/>
      <c r="CX312" s="712"/>
      <c r="CY312" s="712"/>
      <c r="CZ312" s="712"/>
      <c r="DA312" s="712"/>
      <c r="DB312" s="712"/>
      <c r="DC312" s="712"/>
      <c r="DD312" s="712"/>
      <c r="DE312" s="712"/>
      <c r="DF312" s="712"/>
      <c r="DG312" s="712"/>
      <c r="DH312" s="712"/>
      <c r="DI312" s="712"/>
      <c r="DJ312" s="712"/>
      <c r="DK312" s="712"/>
      <c r="DL312" s="712"/>
      <c r="DM312" s="712"/>
      <c r="DN312" s="712"/>
      <c r="DO312" s="712"/>
      <c r="DP312" s="712"/>
      <c r="DQ312" s="712"/>
      <c r="DR312" s="712"/>
      <c r="DS312" s="712"/>
      <c r="DT312" s="712"/>
      <c r="DU312" s="712"/>
      <c r="DV312" s="712"/>
      <c r="DW312" s="712"/>
      <c r="DX312" s="712"/>
      <c r="DY312" s="712"/>
      <c r="DZ312" s="712"/>
      <c r="EA312" s="712"/>
      <c r="EB312" s="712"/>
      <c r="EC312" s="712"/>
      <c r="ED312" s="712"/>
      <c r="EE312" s="712"/>
      <c r="EF312" s="712"/>
      <c r="EG312" s="712"/>
      <c r="EH312" s="712"/>
      <c r="EI312" s="712"/>
      <c r="EJ312" s="712"/>
      <c r="EK312" s="712"/>
      <c r="EL312" s="712"/>
      <c r="EM312" s="712"/>
      <c r="EN312" s="712"/>
      <c r="EP312" s="946"/>
    </row>
    <row r="313" spans="56:146" ht="14.25">
      <c r="BD313" s="885"/>
      <c r="BE313" s="884"/>
      <c r="BF313" s="930" t="s">
        <v>169</v>
      </c>
      <c r="BG313" s="930" t="s">
        <v>717</v>
      </c>
      <c r="BH313" s="930" t="s">
        <v>170</v>
      </c>
      <c r="BI313" s="930" t="s">
        <v>171</v>
      </c>
      <c r="BJ313" s="707"/>
      <c r="BK313" s="1161"/>
      <c r="BL313" s="940"/>
      <c r="BM313" s="712"/>
      <c r="BN313" s="883"/>
      <c r="BO313" s="883"/>
      <c r="BP313" s="882"/>
      <c r="BQ313" s="932">
        <f>+BG316</f>
        <v>7908.7841058894346</v>
      </c>
      <c r="BR313" s="932">
        <f>+BH316</f>
        <v>24675.406410375035</v>
      </c>
      <c r="BS313" s="932">
        <f>+BI316</f>
        <v>230303.79316350032</v>
      </c>
      <c r="BT313" s="712"/>
      <c r="BU313" s="712"/>
      <c r="BV313" s="712"/>
      <c r="BW313" s="712"/>
      <c r="BX313" s="712"/>
      <c r="BY313" s="712"/>
      <c r="BZ313" s="712"/>
      <c r="CA313" s="712"/>
      <c r="CB313" s="712"/>
      <c r="CC313" s="712"/>
      <c r="CD313" s="712"/>
      <c r="CE313" s="712"/>
      <c r="CF313" s="712"/>
      <c r="CG313" s="712"/>
      <c r="CH313" s="712"/>
      <c r="CI313" s="712"/>
      <c r="CJ313" s="712"/>
      <c r="CK313" s="712"/>
      <c r="CL313" s="712"/>
      <c r="CM313" s="712"/>
      <c r="CN313" s="712"/>
      <c r="CO313" s="712"/>
      <c r="CP313" s="712"/>
      <c r="CQ313" s="712"/>
      <c r="CR313" s="712"/>
      <c r="CS313" s="712"/>
      <c r="CV313" s="712"/>
      <c r="CW313" s="712"/>
      <c r="CX313" s="712"/>
      <c r="CY313" s="712"/>
      <c r="CZ313" s="712"/>
      <c r="DA313" s="712"/>
      <c r="DB313" s="712"/>
      <c r="DC313" s="712"/>
      <c r="DD313" s="712"/>
      <c r="DE313" s="712"/>
      <c r="DF313" s="712"/>
      <c r="DG313" s="712"/>
      <c r="DH313" s="712"/>
      <c r="DI313" s="712"/>
      <c r="DJ313" s="712"/>
      <c r="DK313" s="712"/>
      <c r="DL313" s="712"/>
      <c r="DM313" s="712"/>
      <c r="DN313" s="712"/>
      <c r="DO313" s="712"/>
      <c r="DP313" s="712"/>
      <c r="DQ313" s="712"/>
      <c r="DR313" s="712"/>
      <c r="DS313" s="712"/>
      <c r="DT313" s="712"/>
      <c r="DU313" s="712"/>
      <c r="DV313" s="712"/>
      <c r="DW313" s="712"/>
      <c r="DX313" s="712"/>
      <c r="DY313" s="712"/>
      <c r="DZ313" s="712"/>
      <c r="EA313" s="712"/>
      <c r="EB313" s="712"/>
      <c r="EC313" s="712"/>
      <c r="ED313" s="712"/>
      <c r="EE313" s="712"/>
      <c r="EF313" s="712"/>
      <c r="EG313" s="712"/>
      <c r="EH313" s="712"/>
      <c r="EI313" s="712"/>
      <c r="EJ313" s="712"/>
      <c r="EK313" s="712"/>
      <c r="EL313" s="712"/>
      <c r="EM313" s="712"/>
      <c r="EN313" s="712"/>
      <c r="EP313" s="946"/>
    </row>
    <row r="314" spans="56:146" ht="14.25" hidden="1">
      <c r="BD314" s="883"/>
      <c r="BE314" s="883"/>
      <c r="BF314" s="932"/>
      <c r="BG314" s="932"/>
      <c r="BH314" s="932"/>
      <c r="BI314" s="932"/>
      <c r="BJ314" s="707"/>
      <c r="BK314" s="707"/>
      <c r="BL314" s="940"/>
      <c r="BM314" s="712"/>
      <c r="BN314" s="883" t="s">
        <v>11</v>
      </c>
      <c r="BO314" s="883"/>
      <c r="BP314" s="882"/>
      <c r="BQ314" s="932">
        <f>-BS290</f>
        <v>0</v>
      </c>
      <c r="BR314" s="932">
        <f>+BQ314*0.12</f>
        <v>0</v>
      </c>
      <c r="BS314" s="932">
        <f>+BQ314+BR314</f>
        <v>0</v>
      </c>
      <c r="BT314" s="712"/>
      <c r="BU314" s="712"/>
      <c r="BV314" s="712"/>
      <c r="BW314" s="712"/>
      <c r="BX314" s="712"/>
      <c r="BY314" s="712"/>
      <c r="BZ314" s="712"/>
      <c r="CA314" s="712"/>
      <c r="CB314" s="712"/>
      <c r="CC314" s="712"/>
      <c r="CD314" s="712"/>
      <c r="CE314" s="712"/>
      <c r="CF314" s="712"/>
      <c r="CG314" s="712"/>
      <c r="CH314" s="712"/>
      <c r="CI314" s="712"/>
      <c r="CJ314" s="712"/>
      <c r="CK314" s="712"/>
      <c r="CL314" s="712"/>
      <c r="CM314" s="712"/>
      <c r="CN314" s="712"/>
      <c r="CO314" s="712"/>
      <c r="CP314" s="712"/>
      <c r="CQ314" s="712"/>
      <c r="CR314" s="712"/>
      <c r="CS314" s="712"/>
      <c r="CV314" s="712"/>
      <c r="CW314" s="712"/>
      <c r="CX314" s="712"/>
      <c r="CY314" s="712"/>
      <c r="CZ314" s="712"/>
      <c r="DA314" s="712"/>
      <c r="DB314" s="712"/>
      <c r="DC314" s="712"/>
      <c r="DD314" s="712"/>
      <c r="DE314" s="712"/>
      <c r="DF314" s="712"/>
      <c r="DG314" s="712"/>
      <c r="DH314" s="712"/>
      <c r="DI314" s="712"/>
      <c r="DJ314" s="712"/>
      <c r="DK314" s="712"/>
      <c r="DL314" s="712"/>
      <c r="DM314" s="712"/>
      <c r="DN314" s="712"/>
      <c r="DO314" s="712"/>
      <c r="DP314" s="712"/>
      <c r="DQ314" s="712"/>
      <c r="DR314" s="712"/>
      <c r="DS314" s="712"/>
      <c r="DT314" s="712"/>
      <c r="DU314" s="712"/>
      <c r="DV314" s="712"/>
      <c r="DW314" s="712"/>
      <c r="DX314" s="712"/>
      <c r="DY314" s="712"/>
      <c r="DZ314" s="712"/>
      <c r="EA314" s="712"/>
      <c r="EB314" s="712"/>
      <c r="EC314" s="712"/>
      <c r="ED314" s="712"/>
      <c r="EE314" s="712"/>
      <c r="EF314" s="712"/>
      <c r="EG314" s="712"/>
      <c r="EH314" s="712"/>
      <c r="EI314" s="712"/>
      <c r="EJ314" s="712"/>
      <c r="EK314" s="712"/>
      <c r="EL314" s="712"/>
      <c r="EM314" s="712"/>
      <c r="EN314" s="712"/>
      <c r="EP314" s="946"/>
    </row>
    <row r="315" spans="56:146" ht="14.25" hidden="1">
      <c r="BD315" s="883" t="s">
        <v>11</v>
      </c>
      <c r="BE315" s="883"/>
      <c r="BF315" s="932">
        <f>-BH291</f>
        <v>1974.77942074</v>
      </c>
      <c r="BG315" s="932">
        <f>-BI291</f>
        <v>22922.909420740001</v>
      </c>
      <c r="BH315" s="932">
        <f>+BG315*0.12</f>
        <v>2750.7491304887999</v>
      </c>
      <c r="BI315" s="932">
        <f>+BG315+BH315</f>
        <v>25673.6585512288</v>
      </c>
      <c r="BJ315" s="707"/>
      <c r="BK315" s="707"/>
      <c r="BL315" s="940"/>
      <c r="BM315" s="712"/>
      <c r="BN315" s="883"/>
      <c r="BO315" s="883"/>
      <c r="BP315" s="882"/>
      <c r="BQ315" s="932">
        <v>9796.06</v>
      </c>
      <c r="BR315" s="932">
        <f>+BQ315*0.12</f>
        <v>1175.5272</v>
      </c>
      <c r="BS315" s="932">
        <f>+BQ315+BR315</f>
        <v>10971.5872</v>
      </c>
      <c r="BT315" s="712"/>
      <c r="BU315" s="931"/>
      <c r="BV315" s="712"/>
      <c r="BW315" s="712"/>
      <c r="BX315" s="712"/>
      <c r="BY315" s="712"/>
      <c r="BZ315" s="712"/>
      <c r="CA315" s="712"/>
      <c r="CB315" s="712"/>
      <c r="CC315" s="712"/>
      <c r="CD315" s="712"/>
      <c r="CE315" s="712"/>
      <c r="CF315" s="712"/>
      <c r="CG315" s="712"/>
      <c r="CH315" s="712"/>
      <c r="CI315" s="712"/>
      <c r="CJ315" s="712"/>
      <c r="CK315" s="712"/>
      <c r="CL315" s="712"/>
      <c r="CM315" s="712"/>
      <c r="CN315" s="712"/>
      <c r="CO315" s="712"/>
      <c r="CP315" s="712"/>
      <c r="CQ315" s="712"/>
      <c r="CR315" s="712"/>
      <c r="CS315" s="712"/>
      <c r="CV315" s="712"/>
      <c r="CW315" s="712"/>
      <c r="CX315" s="712"/>
      <c r="CY315" s="712"/>
      <c r="CZ315" s="712"/>
      <c r="DA315" s="712"/>
      <c r="DB315" s="712"/>
      <c r="DC315" s="712"/>
      <c r="DD315" s="712"/>
      <c r="DE315" s="712"/>
      <c r="DF315" s="712"/>
      <c r="DG315" s="712"/>
      <c r="DH315" s="712"/>
      <c r="DI315" s="712"/>
      <c r="DJ315" s="712"/>
      <c r="DK315" s="712"/>
      <c r="DL315" s="712"/>
      <c r="DM315" s="712"/>
      <c r="DN315" s="712"/>
      <c r="DO315" s="712"/>
      <c r="DP315" s="712"/>
      <c r="DQ315" s="712"/>
      <c r="DR315" s="712"/>
      <c r="DS315" s="712"/>
      <c r="DT315" s="712"/>
      <c r="DU315" s="712"/>
      <c r="DV315" s="712"/>
      <c r="DW315" s="712"/>
      <c r="DX315" s="712"/>
      <c r="DY315" s="712"/>
      <c r="DZ315" s="712"/>
      <c r="EA315" s="712"/>
      <c r="EB315" s="712"/>
      <c r="EC315" s="712"/>
      <c r="ED315" s="712"/>
      <c r="EE315" s="712"/>
      <c r="EF315" s="712"/>
      <c r="EG315" s="712"/>
      <c r="EH315" s="712"/>
      <c r="EI315" s="712"/>
      <c r="EJ315" s="712"/>
      <c r="EK315" s="712"/>
      <c r="EL315" s="712"/>
      <c r="EM315" s="712"/>
      <c r="EN315" s="712"/>
      <c r="EP315" s="946"/>
    </row>
    <row r="316" spans="56:146" ht="14.25">
      <c r="BD316" s="883"/>
      <c r="BE316" s="883"/>
      <c r="BF316" s="932">
        <f>+BI149</f>
        <v>197719.60264723585</v>
      </c>
      <c r="BG316" s="932">
        <f>+BF316*4%</f>
        <v>7908.7841058894346</v>
      </c>
      <c r="BH316" s="932">
        <f>+(BG316+BF316)*0.12</f>
        <v>24675.406410375035</v>
      </c>
      <c r="BI316" s="932">
        <f>+BG316+BH316+BF316</f>
        <v>230303.79316350032</v>
      </c>
      <c r="BJ316" s="707"/>
      <c r="BK316" s="1161"/>
      <c r="BL316" s="941"/>
      <c r="BM316" s="712"/>
      <c r="BN316" s="883"/>
      <c r="BO316" s="883"/>
      <c r="BP316" s="882"/>
      <c r="BQ316" s="886"/>
      <c r="BR316" s="886"/>
      <c r="BS316" s="886"/>
      <c r="BT316" s="712"/>
      <c r="BU316" s="712"/>
      <c r="BV316" s="712"/>
      <c r="BW316" s="712"/>
      <c r="BX316" s="712"/>
      <c r="BY316" s="712"/>
      <c r="BZ316" s="712"/>
      <c r="CA316" s="712"/>
      <c r="CB316" s="712"/>
      <c r="CC316" s="712"/>
      <c r="CD316" s="712"/>
      <c r="CE316" s="712"/>
      <c r="CF316" s="712"/>
      <c r="CG316" s="712"/>
      <c r="CH316" s="712"/>
      <c r="CI316" s="712"/>
      <c r="CJ316" s="712"/>
      <c r="CK316" s="712"/>
      <c r="CL316" s="712"/>
      <c r="CM316" s="712"/>
      <c r="CN316" s="712"/>
      <c r="CO316" s="712"/>
      <c r="CP316" s="712"/>
      <c r="CQ316" s="712"/>
      <c r="CR316" s="712"/>
      <c r="CS316" s="712"/>
      <c r="CV316" s="712"/>
      <c r="CW316" s="712"/>
      <c r="CX316" s="712"/>
      <c r="CY316" s="712"/>
      <c r="CZ316" s="712"/>
      <c r="DA316" s="712"/>
      <c r="DB316" s="712"/>
      <c r="DC316" s="712"/>
      <c r="DD316" s="712"/>
      <c r="DE316" s="712"/>
      <c r="DF316" s="712"/>
      <c r="DG316" s="712"/>
      <c r="DH316" s="712"/>
      <c r="DI316" s="712"/>
      <c r="DJ316" s="712"/>
      <c r="DK316" s="712"/>
      <c r="DL316" s="712"/>
      <c r="DM316" s="712"/>
      <c r="DN316" s="712"/>
      <c r="DO316" s="712"/>
      <c r="DP316" s="712"/>
      <c r="DQ316" s="712"/>
      <c r="DR316" s="712"/>
      <c r="DS316" s="712"/>
      <c r="DT316" s="712"/>
      <c r="DU316" s="712"/>
      <c r="DV316" s="712"/>
      <c r="DW316" s="712"/>
      <c r="DX316" s="712"/>
      <c r="DY316" s="712"/>
      <c r="DZ316" s="712"/>
      <c r="EA316" s="712"/>
      <c r="EB316" s="712"/>
      <c r="EC316" s="712"/>
      <c r="ED316" s="712"/>
      <c r="EE316" s="712"/>
      <c r="EF316" s="712"/>
      <c r="EG316" s="712"/>
      <c r="EH316" s="712"/>
      <c r="EI316" s="712"/>
      <c r="EJ316" s="712"/>
      <c r="EK316" s="712"/>
      <c r="EL316" s="712"/>
      <c r="EM316" s="712"/>
      <c r="EN316" s="712"/>
      <c r="EP316" s="946"/>
    </row>
    <row r="317" spans="56:146" ht="14.25">
      <c r="BD317" s="883"/>
      <c r="BE317" s="883"/>
      <c r="BF317" s="882"/>
      <c r="BG317" s="886"/>
      <c r="BH317" s="886"/>
      <c r="BI317" s="886"/>
      <c r="BJ317" s="707"/>
      <c r="BK317" s="707"/>
      <c r="BL317" s="940"/>
      <c r="BM317" s="712"/>
      <c r="BN317" s="927" t="str">
        <f>+BD318</f>
        <v>FACTURAR CON FECHA JUNIO SERVICIOS DE RRHH DE  JUNIO  2026 DE ECONACIONAL  A CLEARTEC</v>
      </c>
      <c r="BR317" s="886"/>
      <c r="BS317" s="886"/>
      <c r="BV317" s="712"/>
      <c r="BW317" s="712"/>
      <c r="BX317" s="712"/>
      <c r="BY317" s="712"/>
      <c r="BZ317" s="712"/>
      <c r="CA317" s="712"/>
      <c r="CB317" s="712"/>
      <c r="CC317" s="712"/>
      <c r="CD317" s="712"/>
      <c r="CE317" s="712"/>
      <c r="CF317" s="712"/>
      <c r="CG317" s="712"/>
      <c r="CH317" s="712"/>
      <c r="CI317" s="712"/>
      <c r="CJ317" s="712"/>
      <c r="CK317" s="712"/>
      <c r="CL317" s="712"/>
      <c r="CM317" s="712"/>
      <c r="CN317" s="712"/>
      <c r="CO317" s="712"/>
      <c r="CP317" s="712"/>
      <c r="CQ317" s="712"/>
      <c r="CR317" s="712"/>
      <c r="CS317" s="712"/>
      <c r="CV317" s="712"/>
      <c r="CW317" s="712"/>
      <c r="CX317" s="712"/>
      <c r="CY317" s="712"/>
      <c r="CZ317" s="712"/>
      <c r="DA317" s="712"/>
      <c r="DB317" s="712"/>
      <c r="DC317" s="712"/>
      <c r="DD317" s="712"/>
      <c r="DE317" s="712"/>
      <c r="DF317" s="712"/>
      <c r="DG317" s="712"/>
      <c r="DH317" s="712"/>
      <c r="DI317" s="712"/>
      <c r="DJ317" s="712"/>
      <c r="DK317" s="712"/>
      <c r="DL317" s="712"/>
      <c r="DM317" s="712"/>
      <c r="DN317" s="712"/>
      <c r="DO317" s="712"/>
      <c r="DP317" s="712"/>
      <c r="DQ317" s="712"/>
      <c r="DR317" s="712"/>
      <c r="DS317" s="712"/>
      <c r="DT317" s="712"/>
      <c r="DU317" s="712"/>
      <c r="DV317" s="712"/>
      <c r="DW317" s="712"/>
      <c r="DX317" s="712"/>
      <c r="DY317" s="712"/>
      <c r="DZ317" s="712"/>
      <c r="EA317" s="712"/>
      <c r="EB317" s="712"/>
      <c r="EC317" s="712"/>
      <c r="ED317" s="712"/>
      <c r="EE317" s="712"/>
      <c r="EF317" s="712"/>
      <c r="EG317" s="712"/>
      <c r="EH317" s="712"/>
      <c r="EI317" s="712"/>
      <c r="EJ317" s="712"/>
      <c r="EK317" s="712"/>
      <c r="EL317" s="712"/>
      <c r="EM317" s="712"/>
      <c r="EN317" s="712"/>
      <c r="EP317" s="946"/>
    </row>
    <row r="318" spans="56:146" ht="14.25">
      <c r="BD318" s="927" t="s">
        <v>787</v>
      </c>
      <c r="BE318" s="1162"/>
      <c r="BF318" s="1162"/>
      <c r="BG318" s="1162"/>
      <c r="BH318" s="886"/>
      <c r="BI318" s="886"/>
      <c r="BJ318" s="1162"/>
      <c r="BK318" s="1162"/>
      <c r="BL318" s="942">
        <f>+BG321+BG339</f>
        <v>8767.5328000000009</v>
      </c>
      <c r="BN318" s="720" t="s">
        <v>332</v>
      </c>
    </row>
    <row r="319" spans="56:146" ht="14.25">
      <c r="BD319" s="1162" t="s">
        <v>332</v>
      </c>
      <c r="BE319" s="1162"/>
      <c r="BF319" s="1162"/>
      <c r="BG319" s="1162"/>
      <c r="BH319" s="1162"/>
      <c r="BI319" s="1162"/>
      <c r="BJ319" s="1162"/>
      <c r="BK319" s="1162"/>
      <c r="BL319" s="942"/>
      <c r="BO319" s="712"/>
    </row>
    <row r="320" spans="56:146" ht="14.25">
      <c r="BD320" s="1162"/>
      <c r="BE320" s="707"/>
      <c r="BF320" s="930" t="s">
        <v>169</v>
      </c>
      <c r="BG320" s="930" t="s">
        <v>717</v>
      </c>
      <c r="BH320" s="930" t="s">
        <v>170</v>
      </c>
      <c r="BI320" s="930" t="s">
        <v>171</v>
      </c>
      <c r="BJ320" s="1162"/>
      <c r="BK320" s="1162"/>
      <c r="BL320" s="942"/>
    </row>
    <row r="321" spans="56:71" ht="14.25">
      <c r="BD321" s="1162"/>
      <c r="BE321" s="1162"/>
      <c r="BF321" s="933">
        <v>11461.45</v>
      </c>
      <c r="BG321" s="933">
        <f>+BF321*4%</f>
        <v>458.45800000000003</v>
      </c>
      <c r="BH321" s="932">
        <v>0</v>
      </c>
      <c r="BI321" s="932">
        <f>+BG321+BH321+BF321</f>
        <v>11919.908000000001</v>
      </c>
      <c r="BJ321" s="1162"/>
      <c r="BK321" s="1162"/>
      <c r="BL321" s="942">
        <f>+BG316+BG321</f>
        <v>8367.2421058894342</v>
      </c>
      <c r="BQ321" s="930" t="s">
        <v>169</v>
      </c>
      <c r="BR321" s="930" t="s">
        <v>170</v>
      </c>
      <c r="BS321" s="930" t="s">
        <v>171</v>
      </c>
    </row>
    <row r="322" spans="56:71" ht="14.25">
      <c r="BD322" s="1162"/>
      <c r="BE322" s="1162"/>
      <c r="BJ322" s="1162"/>
      <c r="BK322" s="1162"/>
      <c r="BL322" s="942"/>
      <c r="BQ322" s="933" t="e">
        <f>+#REF!+CT129+CT116+CT105+CT56+#REF!+CT34+CT28+CT29+CT22+CT23+CT16</f>
        <v>#REF!</v>
      </c>
      <c r="BR322" s="932">
        <v>0</v>
      </c>
      <c r="BS322" s="932" t="e">
        <f>+BQ322+BR322</f>
        <v>#REF!</v>
      </c>
    </row>
    <row r="323" spans="56:71" ht="14.25">
      <c r="BD323" s="1162"/>
      <c r="BE323" s="1162"/>
      <c r="BJ323" s="1162"/>
      <c r="BK323" s="1162"/>
      <c r="BL323" s="942"/>
      <c r="BQ323" s="934"/>
      <c r="BR323" s="886"/>
      <c r="BS323" s="886"/>
    </row>
    <row r="324" spans="56:71" ht="12">
      <c r="BD324" s="1162"/>
      <c r="BE324" s="1162"/>
      <c r="BF324" s="1162"/>
      <c r="BG324" s="934"/>
      <c r="BH324" s="886"/>
      <c r="BI324" s="886"/>
      <c r="BJ324" s="1162"/>
      <c r="BK324" s="1162"/>
      <c r="BN324" s="927" t="s">
        <v>680</v>
      </c>
      <c r="BQ324" s="886"/>
      <c r="BR324" s="886"/>
      <c r="BS324" s="886"/>
    </row>
    <row r="325" spans="56:71" ht="12">
      <c r="BD325" s="927" t="s">
        <v>788</v>
      </c>
      <c r="BE325" s="1162"/>
      <c r="BF325" s="1162"/>
      <c r="BG325" s="1162"/>
      <c r="BH325" s="886"/>
      <c r="BI325" s="886"/>
      <c r="BJ325" s="1162"/>
      <c r="BK325" s="1162"/>
      <c r="BN325" s="927"/>
      <c r="BQ325" s="886"/>
      <c r="BR325" s="886"/>
      <c r="BS325" s="886"/>
    </row>
    <row r="326" spans="56:71" ht="12">
      <c r="BD326" s="1162"/>
      <c r="BE326" s="1162"/>
      <c r="BF326" s="1162"/>
      <c r="BG326" s="934"/>
      <c r="BH326" s="886"/>
      <c r="BI326" s="886"/>
      <c r="BJ326" s="1162"/>
      <c r="BK326" s="1162"/>
      <c r="BN326" s="927"/>
      <c r="BQ326" s="886"/>
      <c r="BR326" s="886"/>
      <c r="BS326" s="886"/>
    </row>
    <row r="327" spans="56:71" ht="12">
      <c r="BD327" s="1162"/>
      <c r="BE327" s="1162"/>
      <c r="BF327" s="1162"/>
      <c r="BG327" s="934"/>
      <c r="BH327" s="886"/>
      <c r="BI327" s="886"/>
      <c r="BJ327" s="1162"/>
      <c r="BK327" s="1162"/>
      <c r="BN327" s="927"/>
      <c r="BQ327" s="886"/>
      <c r="BR327" s="886"/>
      <c r="BS327" s="886"/>
    </row>
    <row r="328" spans="56:71" ht="12">
      <c r="BD328" s="1162"/>
      <c r="BE328" s="1162"/>
      <c r="BF328" s="930" t="s">
        <v>169</v>
      </c>
      <c r="BG328" s="930" t="s">
        <v>717</v>
      </c>
      <c r="BH328" s="930" t="s">
        <v>790</v>
      </c>
      <c r="BI328" s="930" t="s">
        <v>171</v>
      </c>
      <c r="BJ328" s="1162"/>
      <c r="BK328" s="1162"/>
      <c r="BN328" s="927"/>
      <c r="BQ328" s="886"/>
      <c r="BR328" s="886"/>
      <c r="BS328" s="886"/>
    </row>
    <row r="329" spans="56:71" ht="12">
      <c r="BD329" s="1162"/>
      <c r="BE329" s="1162"/>
      <c r="BF329" s="933">
        <v>11461.45</v>
      </c>
      <c r="BG329" s="933">
        <f>+BF329*4%</f>
        <v>458.45800000000003</v>
      </c>
      <c r="BH329" s="932">
        <v>0</v>
      </c>
      <c r="BI329" s="932">
        <f>+BG329+BH329+BF329</f>
        <v>11919.908000000001</v>
      </c>
      <c r="BJ329" s="1162"/>
      <c r="BK329" s="1162"/>
      <c r="BN329" s="927"/>
      <c r="BQ329" s="886"/>
      <c r="BR329" s="886"/>
      <c r="BS329" s="886"/>
    </row>
    <row r="330" spans="56:71" ht="12">
      <c r="BD330" s="1162"/>
      <c r="BE330" s="1162"/>
      <c r="BF330" s="1162"/>
      <c r="BG330" s="934"/>
      <c r="BH330" s="886"/>
      <c r="BI330" s="886"/>
      <c r="BJ330" s="1162"/>
      <c r="BK330" s="1162"/>
      <c r="BN330" s="927"/>
      <c r="BQ330" s="886"/>
      <c r="BR330" s="886"/>
      <c r="BS330" s="886"/>
    </row>
    <row r="331" spans="56:71" ht="12">
      <c r="BD331" s="1162"/>
      <c r="BE331" s="1162"/>
      <c r="BF331" s="1162"/>
      <c r="BG331" s="934"/>
      <c r="BH331" s="886"/>
      <c r="BI331" s="886"/>
      <c r="BJ331" s="1162"/>
      <c r="BK331" s="1162"/>
      <c r="BN331" s="927"/>
      <c r="BQ331" s="886"/>
      <c r="BR331" s="886"/>
      <c r="BS331" s="886"/>
    </row>
    <row r="332" spans="56:71" ht="12">
      <c r="BD332" s="1162"/>
      <c r="BE332" s="1162"/>
      <c r="BF332" s="1162"/>
      <c r="BG332" s="934"/>
      <c r="BH332" s="886"/>
      <c r="BI332" s="886"/>
      <c r="BJ332" s="1162"/>
      <c r="BK332" s="1162"/>
      <c r="BN332" s="927"/>
      <c r="BQ332" s="886"/>
      <c r="BR332" s="886"/>
      <c r="BS332" s="886"/>
    </row>
    <row r="333" spans="56:71" ht="12">
      <c r="BD333" s="1162"/>
      <c r="BE333" s="1162"/>
      <c r="BF333" s="1162"/>
      <c r="BG333" s="934"/>
      <c r="BH333" s="886"/>
      <c r="BI333" s="886"/>
      <c r="BJ333" s="1162"/>
      <c r="BK333" s="1162"/>
      <c r="BN333" s="927"/>
      <c r="BQ333" s="886"/>
      <c r="BR333" s="886"/>
      <c r="BS333" s="886"/>
    </row>
    <row r="334" spans="56:71" ht="12">
      <c r="BD334" s="1162"/>
      <c r="BE334" s="1162"/>
      <c r="BF334" s="1162"/>
      <c r="BG334" s="934"/>
      <c r="BH334" s="886"/>
      <c r="BI334" s="886"/>
      <c r="BJ334" s="1162"/>
      <c r="BK334" s="1162"/>
      <c r="BN334" s="927"/>
      <c r="BQ334" s="886"/>
      <c r="BR334" s="886"/>
      <c r="BS334" s="886"/>
    </row>
    <row r="335" spans="56:71" ht="12">
      <c r="BD335" s="927" t="s">
        <v>789</v>
      </c>
      <c r="BE335" s="1162"/>
      <c r="BF335" s="1162"/>
      <c r="BG335" s="886"/>
      <c r="BH335" s="886"/>
      <c r="BI335" s="886"/>
      <c r="BJ335" s="1162"/>
      <c r="BK335" s="1162"/>
      <c r="BL335" s="720">
        <f>+BL318-BI291</f>
        <v>31690.442220740002</v>
      </c>
    </row>
    <row r="336" spans="56:71">
      <c r="BD336" s="1162"/>
      <c r="BE336" s="1162"/>
      <c r="BF336" s="1162"/>
      <c r="BG336" s="1162"/>
      <c r="BH336" s="1162"/>
      <c r="BI336" s="1162"/>
      <c r="BJ336" s="1162"/>
      <c r="BK336" s="1162"/>
    </row>
    <row r="337" spans="56:71">
      <c r="BD337" s="1162"/>
      <c r="BE337" s="1162"/>
      <c r="BF337" s="1162"/>
      <c r="BG337" s="1162"/>
      <c r="BH337" s="1162"/>
      <c r="BI337" s="1162"/>
      <c r="BJ337" s="1162"/>
      <c r="BK337" s="1162"/>
      <c r="BQ337" s="935" t="s">
        <v>169</v>
      </c>
      <c r="BR337" s="935" t="s">
        <v>170</v>
      </c>
      <c r="BS337" s="935" t="s">
        <v>171</v>
      </c>
    </row>
    <row r="338" spans="56:71" ht="12">
      <c r="BD338" s="1162"/>
      <c r="BE338" s="1162"/>
      <c r="BF338" s="1163" t="s">
        <v>169</v>
      </c>
      <c r="BG338" s="1163" t="s">
        <v>169</v>
      </c>
      <c r="BH338" s="1163" t="s">
        <v>170</v>
      </c>
      <c r="BI338" s="1163" t="s">
        <v>171</v>
      </c>
      <c r="BJ338" s="1162"/>
      <c r="BK338" s="1162"/>
      <c r="BQ338" s="932">
        <f>+BG339</f>
        <v>8309.0748000000003</v>
      </c>
      <c r="BR338" s="932">
        <f>+BQ338*0.12</f>
        <v>997.088976</v>
      </c>
      <c r="BS338" s="932">
        <f>+BQ338+BR338</f>
        <v>9306.1637760000012</v>
      </c>
    </row>
    <row r="339" spans="56:71" ht="12">
      <c r="BD339" s="1162"/>
      <c r="BE339" s="1162"/>
      <c r="BF339" s="932">
        <v>207726.87</v>
      </c>
      <c r="BG339" s="932">
        <f>+BF339*4%</f>
        <v>8309.0748000000003</v>
      </c>
      <c r="BH339" s="932">
        <f>+(BG339+BF339)*0.12</f>
        <v>25924.313375999998</v>
      </c>
      <c r="BI339" s="932">
        <f>+BG339+BH339+BF339</f>
        <v>241960.258176</v>
      </c>
      <c r="BJ339" s="1162"/>
      <c r="BK339" s="1162"/>
      <c r="BQ339" s="886"/>
    </row>
    <row r="340" spans="56:71" ht="12">
      <c r="BD340" s="1162"/>
      <c r="BE340" s="1162"/>
      <c r="BF340" s="1162"/>
      <c r="BG340" s="886"/>
      <c r="BH340" s="1162"/>
      <c r="BI340" s="1162"/>
      <c r="BJ340" s="1162"/>
      <c r="BK340" s="1162"/>
    </row>
    <row r="341" spans="56:71">
      <c r="BD341" s="1162"/>
      <c r="BE341" s="1162"/>
      <c r="BF341" s="1162"/>
      <c r="BG341" s="1162"/>
      <c r="BH341" s="1162"/>
      <c r="BI341" s="1162"/>
      <c r="BJ341" s="1162"/>
      <c r="BK341" s="1162"/>
    </row>
  </sheetData>
  <sheetProtection selectLockedCells="1" selectUnlockedCells="1"/>
  <autoFilter ref="F7:JF153" xr:uid="{00000000-0009-0000-0000-000000000000}"/>
  <mergeCells count="45">
    <mergeCell ref="G3:H3"/>
    <mergeCell ref="CK190:CS190"/>
    <mergeCell ref="CK238:CS238"/>
    <mergeCell ref="BA285:BI285"/>
    <mergeCell ref="BS190:CA190"/>
    <mergeCell ref="BS238:CA238"/>
    <mergeCell ref="CB190:CJ190"/>
    <mergeCell ref="CB238:CJ238"/>
    <mergeCell ref="BA190:BI190"/>
    <mergeCell ref="BA238:BI238"/>
    <mergeCell ref="BJ190:BR190"/>
    <mergeCell ref="BJ238:BR238"/>
    <mergeCell ref="AX6:AX7"/>
    <mergeCell ref="AO5:AS5"/>
    <mergeCell ref="FK5:FP5"/>
    <mergeCell ref="AO6:AO7"/>
    <mergeCell ref="AP6:AP7"/>
    <mergeCell ref="AQ6:AQ7"/>
    <mergeCell ref="AR6:AR7"/>
    <mergeCell ref="AS6:AS7"/>
    <mergeCell ref="AT6:AT7"/>
    <mergeCell ref="AU6:AU7"/>
    <mergeCell ref="AV6:AV7"/>
    <mergeCell ref="AW6:AW7"/>
    <mergeCell ref="DE5:DM5"/>
    <mergeCell ref="DN5:DV5"/>
    <mergeCell ref="DW5:EE5"/>
    <mergeCell ref="EF5:EN5"/>
    <mergeCell ref="EP6:EX6"/>
    <mergeCell ref="FA6:FJ6"/>
    <mergeCell ref="CV5:DD5"/>
    <mergeCell ref="I6:S6"/>
    <mergeCell ref="BA4:CS4"/>
    <mergeCell ref="CV4:EN4"/>
    <mergeCell ref="U5:X5"/>
    <mergeCell ref="Y5:AB5"/>
    <mergeCell ref="AC5:AF5"/>
    <mergeCell ref="AG5:AJ5"/>
    <mergeCell ref="AK5:AN5"/>
    <mergeCell ref="AT5:AX5"/>
    <mergeCell ref="BA5:BI5"/>
    <mergeCell ref="BJ5:BR5"/>
    <mergeCell ref="BS5:CA5"/>
    <mergeCell ref="CB5:CJ5"/>
    <mergeCell ref="CK5:CS5"/>
  </mergeCells>
  <conditionalFormatting sqref="F25">
    <cfRule type="duplicateValues" dxfId="522" priority="368"/>
  </conditionalFormatting>
  <conditionalFormatting sqref="F35:F37">
    <cfRule type="duplicateValues" dxfId="521" priority="16710"/>
  </conditionalFormatting>
  <conditionalFormatting sqref="F41:F42">
    <cfRule type="duplicateValues" dxfId="520" priority="365"/>
  </conditionalFormatting>
  <conditionalFormatting sqref="F44:F47">
    <cfRule type="duplicateValues" dxfId="519" priority="16946"/>
  </conditionalFormatting>
  <conditionalFormatting sqref="F50">
    <cfRule type="duplicateValues" dxfId="518" priority="364"/>
  </conditionalFormatting>
  <conditionalFormatting sqref="F53">
    <cfRule type="duplicateValues" dxfId="517" priority="363"/>
  </conditionalFormatting>
  <conditionalFormatting sqref="F56">
    <cfRule type="duplicateValues" dxfId="516" priority="53"/>
  </conditionalFormatting>
  <conditionalFormatting sqref="F68:F69">
    <cfRule type="duplicateValues" dxfId="515" priority="328"/>
    <cfRule type="duplicateValues" dxfId="514" priority="329"/>
  </conditionalFormatting>
  <conditionalFormatting sqref="F72">
    <cfRule type="duplicateValues" dxfId="513" priority="63"/>
  </conditionalFormatting>
  <conditionalFormatting sqref="F75">
    <cfRule type="duplicateValues" dxfId="512" priority="81"/>
  </conditionalFormatting>
  <conditionalFormatting sqref="F82">
    <cfRule type="duplicateValues" dxfId="511" priority="218"/>
  </conditionalFormatting>
  <conditionalFormatting sqref="F83">
    <cfRule type="duplicateValues" dxfId="510" priority="55"/>
  </conditionalFormatting>
  <conditionalFormatting sqref="F86:F90">
    <cfRule type="duplicateValues" dxfId="509" priority="16679"/>
  </conditionalFormatting>
  <conditionalFormatting sqref="F93:F96">
    <cfRule type="duplicateValues" dxfId="508" priority="16840"/>
    <cfRule type="duplicateValues" dxfId="507" priority="16839"/>
  </conditionalFormatting>
  <conditionalFormatting sqref="F104">
    <cfRule type="duplicateValues" dxfId="506" priority="15342"/>
    <cfRule type="duplicateValues" dxfId="505" priority="15341"/>
  </conditionalFormatting>
  <conditionalFormatting sqref="F106:F107">
    <cfRule type="duplicateValues" dxfId="504" priority="65"/>
  </conditionalFormatting>
  <conditionalFormatting sqref="F109:F110">
    <cfRule type="duplicateValues" dxfId="503" priority="15467"/>
  </conditionalFormatting>
  <conditionalFormatting sqref="F112:F113">
    <cfRule type="duplicateValues" dxfId="502" priority="139"/>
  </conditionalFormatting>
  <conditionalFormatting sqref="F114 F111 F71 F73:F74 F76:F81 F84:F85 F91:F92 F97:F103 F105 F108">
    <cfRule type="duplicateValues" dxfId="501" priority="15492"/>
    <cfRule type="duplicateValues" dxfId="500" priority="15491"/>
  </conditionalFormatting>
  <conditionalFormatting sqref="F117:F118 F120:F122 F124:F125">
    <cfRule type="duplicateValues" dxfId="499" priority="16549"/>
  </conditionalFormatting>
  <conditionalFormatting sqref="F123">
    <cfRule type="duplicateValues" dxfId="498" priority="4"/>
    <cfRule type="duplicateValues" dxfId="497" priority="5"/>
  </conditionalFormatting>
  <conditionalFormatting sqref="F126:F130 F115:F116 F26:F34 F38:F40 F51:F52 F54:F55 F70 F57:F67 F43:F49 F135:F1048576 F1:F24">
    <cfRule type="duplicateValues" dxfId="496" priority="15287"/>
  </conditionalFormatting>
  <conditionalFormatting sqref="F131:F134">
    <cfRule type="duplicateValues" dxfId="495" priority="15515"/>
    <cfRule type="duplicateValues" dxfId="494" priority="15514"/>
  </conditionalFormatting>
  <conditionalFormatting sqref="F143:F145 G134 F129:G129 G117 G44:G47 F26:G34 G34:G37 F38:G40 F43:G43 G41:G42 F48:G49 F51:G52 F54:G55 G68:G69 F115:G115 F116 G121:G122 F126:G127 F128 F130 F70:G70 G131:G132 F57:G67 G119 F146:G1048576 G124 F135:G142 F1:G24">
    <cfRule type="duplicateValues" dxfId="493" priority="15300"/>
  </conditionalFormatting>
  <conditionalFormatting sqref="F25:G25">
    <cfRule type="duplicateValues" dxfId="492" priority="372"/>
  </conditionalFormatting>
  <conditionalFormatting sqref="F82:G82">
    <cfRule type="duplicateValues" dxfId="491" priority="217"/>
  </conditionalFormatting>
  <conditionalFormatting sqref="F83:G83">
    <cfRule type="duplicateValues" dxfId="490" priority="57"/>
  </conditionalFormatting>
  <conditionalFormatting sqref="F86:G87 G89 F88:F90">
    <cfRule type="duplicateValues" dxfId="489" priority="16709"/>
  </conditionalFormatting>
  <conditionalFormatting sqref="F104:G104">
    <cfRule type="duplicateValues" dxfId="488" priority="15363"/>
  </conditionalFormatting>
  <conditionalFormatting sqref="F106:G107">
    <cfRule type="duplicateValues" dxfId="487" priority="67"/>
  </conditionalFormatting>
  <conditionalFormatting sqref="F109:G110">
    <cfRule type="duplicateValues" dxfId="486" priority="15488"/>
  </conditionalFormatting>
  <conditionalFormatting sqref="F112:G113">
    <cfRule type="duplicateValues" dxfId="485" priority="141"/>
  </conditionalFormatting>
  <conditionalFormatting sqref="G25">
    <cfRule type="duplicateValues" dxfId="484" priority="371"/>
    <cfRule type="duplicateValues" dxfId="483" priority="370"/>
    <cfRule type="duplicateValues" dxfId="482" priority="369"/>
    <cfRule type="duplicateValues" dxfId="481" priority="367"/>
  </conditionalFormatting>
  <conditionalFormatting sqref="G50">
    <cfRule type="duplicateValues" dxfId="480" priority="10"/>
    <cfRule type="duplicateValues" dxfId="479" priority="9"/>
    <cfRule type="duplicateValues" dxfId="478" priority="11"/>
  </conditionalFormatting>
  <conditionalFormatting sqref="G53">
    <cfRule type="duplicateValues" dxfId="477" priority="362"/>
  </conditionalFormatting>
  <conditionalFormatting sqref="G56">
    <cfRule type="duplicateValues" dxfId="476" priority="52"/>
  </conditionalFormatting>
  <conditionalFormatting sqref="G71">
    <cfRule type="duplicateValues" dxfId="475" priority="286"/>
    <cfRule type="duplicateValues" dxfId="474" priority="289"/>
    <cfRule type="duplicateValues" dxfId="473" priority="288"/>
    <cfRule type="duplicateValues" dxfId="472" priority="287"/>
  </conditionalFormatting>
  <conditionalFormatting sqref="G72">
    <cfRule type="duplicateValues" dxfId="471" priority="58"/>
    <cfRule type="duplicateValues" dxfId="470" priority="59"/>
    <cfRule type="duplicateValues" dxfId="469" priority="60"/>
    <cfRule type="duplicateValues" dxfId="468" priority="61"/>
    <cfRule type="duplicateValues" dxfId="467" priority="62"/>
  </conditionalFormatting>
  <conditionalFormatting sqref="G74">
    <cfRule type="duplicateValues" dxfId="466" priority="260"/>
    <cfRule type="duplicateValues" dxfId="465" priority="259"/>
    <cfRule type="duplicateValues" dxfId="464" priority="258"/>
    <cfRule type="duplicateValues" dxfId="463" priority="257"/>
  </conditionalFormatting>
  <conditionalFormatting sqref="G75">
    <cfRule type="duplicateValues" dxfId="462" priority="76"/>
    <cfRule type="duplicateValues" dxfId="461" priority="78"/>
    <cfRule type="duplicateValues" dxfId="460" priority="77"/>
    <cfRule type="duplicateValues" dxfId="459" priority="80"/>
    <cfRule type="duplicateValues" dxfId="458" priority="79"/>
  </conditionalFormatting>
  <conditionalFormatting sqref="G77">
    <cfRule type="duplicateValues" dxfId="457" priority="229"/>
    <cfRule type="duplicateValues" dxfId="456" priority="230"/>
    <cfRule type="duplicateValues" dxfId="455" priority="228"/>
    <cfRule type="duplicateValues" dxfId="454" priority="227"/>
  </conditionalFormatting>
  <conditionalFormatting sqref="G78:G79">
    <cfRule type="duplicateValues" dxfId="453" priority="224"/>
    <cfRule type="duplicateValues" dxfId="452" priority="225"/>
    <cfRule type="duplicateValues" dxfId="451" priority="226"/>
    <cfRule type="duplicateValues" dxfId="450" priority="223"/>
  </conditionalFormatting>
  <conditionalFormatting sqref="G80">
    <cfRule type="duplicateValues" dxfId="449" priority="220"/>
    <cfRule type="duplicateValues" dxfId="448" priority="219"/>
    <cfRule type="duplicateValues" dxfId="447" priority="221"/>
    <cfRule type="duplicateValues" dxfId="446" priority="222"/>
  </conditionalFormatting>
  <conditionalFormatting sqref="G81">
    <cfRule type="duplicateValues" dxfId="445" priority="89"/>
    <cfRule type="duplicateValues" dxfId="444" priority="88"/>
    <cfRule type="duplicateValues" dxfId="443" priority="87"/>
  </conditionalFormatting>
  <conditionalFormatting sqref="G82">
    <cfRule type="duplicateValues" dxfId="442" priority="216"/>
    <cfRule type="duplicateValues" dxfId="441" priority="215"/>
    <cfRule type="duplicateValues" dxfId="440" priority="214"/>
  </conditionalFormatting>
  <conditionalFormatting sqref="G83">
    <cfRule type="duplicateValues" dxfId="439" priority="56"/>
    <cfRule type="duplicateValues" dxfId="438" priority="54"/>
  </conditionalFormatting>
  <conditionalFormatting sqref="G85">
    <cfRule type="duplicateValues" dxfId="437" priority="208"/>
    <cfRule type="duplicateValues" dxfId="436" priority="207"/>
    <cfRule type="duplicateValues" dxfId="435" priority="205"/>
    <cfRule type="duplicateValues" dxfId="434" priority="206"/>
  </conditionalFormatting>
  <conditionalFormatting sqref="G86:G87 G89">
    <cfRule type="duplicateValues" dxfId="433" priority="14693"/>
    <cfRule type="duplicateValues" dxfId="432" priority="14692"/>
    <cfRule type="duplicateValues" dxfId="431" priority="14691"/>
  </conditionalFormatting>
  <conditionalFormatting sqref="G88">
    <cfRule type="duplicateValues" dxfId="430" priority="8"/>
    <cfRule type="duplicateValues" dxfId="429" priority="7"/>
    <cfRule type="duplicateValues" dxfId="428" priority="6"/>
  </conditionalFormatting>
  <conditionalFormatting sqref="G90">
    <cfRule type="duplicateValues" dxfId="427" priority="16012"/>
    <cfRule type="duplicateValues" dxfId="426" priority="16013"/>
    <cfRule type="duplicateValues" dxfId="425" priority="16014"/>
  </conditionalFormatting>
  <conditionalFormatting sqref="G92">
    <cfRule type="duplicateValues" dxfId="424" priority="193"/>
    <cfRule type="duplicateValues" dxfId="423" priority="192"/>
    <cfRule type="duplicateValues" dxfId="422" priority="191"/>
    <cfRule type="duplicateValues" dxfId="421" priority="194"/>
  </conditionalFormatting>
  <conditionalFormatting sqref="G93:G96">
    <cfRule type="duplicateValues" dxfId="420" priority="16900"/>
    <cfRule type="duplicateValues" dxfId="419" priority="16901"/>
    <cfRule type="duplicateValues" dxfId="418" priority="16902"/>
  </conditionalFormatting>
  <conditionalFormatting sqref="G98">
    <cfRule type="duplicateValues" dxfId="417" priority="180"/>
    <cfRule type="duplicateValues" dxfId="416" priority="179"/>
    <cfRule type="duplicateValues" dxfId="415" priority="178"/>
    <cfRule type="duplicateValues" dxfId="414" priority="177"/>
  </conditionalFormatting>
  <conditionalFormatting sqref="G99">
    <cfRule type="duplicateValues" dxfId="413" priority="176"/>
    <cfRule type="duplicateValues" dxfId="412" priority="175"/>
    <cfRule type="duplicateValues" dxfId="411" priority="174"/>
    <cfRule type="duplicateValues" dxfId="410" priority="173"/>
  </conditionalFormatting>
  <conditionalFormatting sqref="G100">
    <cfRule type="duplicateValues" dxfId="409" priority="167"/>
    <cfRule type="duplicateValues" dxfId="408" priority="168"/>
    <cfRule type="duplicateValues" dxfId="407" priority="165"/>
    <cfRule type="duplicateValues" dxfId="406" priority="166"/>
  </conditionalFormatting>
  <conditionalFormatting sqref="G102">
    <cfRule type="duplicateValues" dxfId="405" priority="157"/>
    <cfRule type="duplicateValues" dxfId="404" priority="158"/>
    <cfRule type="duplicateValues" dxfId="403" priority="159"/>
    <cfRule type="duplicateValues" dxfId="402" priority="160"/>
  </conditionalFormatting>
  <conditionalFormatting sqref="G103">
    <cfRule type="duplicateValues" dxfId="401" priority="133"/>
    <cfRule type="duplicateValues" dxfId="400" priority="134"/>
    <cfRule type="duplicateValues" dxfId="399" priority="135"/>
    <cfRule type="duplicateValues" dxfId="398" priority="136"/>
  </conditionalFormatting>
  <conditionalFormatting sqref="G104">
    <cfRule type="duplicateValues" dxfId="397" priority="15365"/>
    <cfRule type="duplicateValues" dxfId="396" priority="15364"/>
  </conditionalFormatting>
  <conditionalFormatting sqref="G105">
    <cfRule type="duplicateValues" dxfId="395" priority="129"/>
    <cfRule type="duplicateValues" dxfId="394" priority="131"/>
    <cfRule type="duplicateValues" dxfId="393" priority="132"/>
    <cfRule type="duplicateValues" dxfId="392" priority="130"/>
  </conditionalFormatting>
  <conditionalFormatting sqref="G106:G107">
    <cfRule type="duplicateValues" dxfId="391" priority="66"/>
    <cfRule type="duplicateValues" dxfId="390" priority="64"/>
  </conditionalFormatting>
  <conditionalFormatting sqref="G108">
    <cfRule type="duplicateValues" dxfId="389" priority="125"/>
    <cfRule type="duplicateValues" dxfId="388" priority="126"/>
    <cfRule type="duplicateValues" dxfId="387" priority="127"/>
    <cfRule type="duplicateValues" dxfId="386" priority="128"/>
  </conditionalFormatting>
  <conditionalFormatting sqref="G109:G110">
    <cfRule type="duplicateValues" dxfId="385" priority="15489"/>
    <cfRule type="duplicateValues" dxfId="384" priority="15490"/>
  </conditionalFormatting>
  <conditionalFormatting sqref="G111">
    <cfRule type="duplicateValues" dxfId="383" priority="121"/>
    <cfRule type="duplicateValues" dxfId="382" priority="122"/>
    <cfRule type="duplicateValues" dxfId="381" priority="123"/>
    <cfRule type="duplicateValues" dxfId="380" priority="124"/>
  </conditionalFormatting>
  <conditionalFormatting sqref="G112:G113">
    <cfRule type="duplicateValues" dxfId="379" priority="140"/>
    <cfRule type="duplicateValues" dxfId="378" priority="138"/>
  </conditionalFormatting>
  <conditionalFormatting sqref="G114 G73 G76 G84 G91 G97 G101">
    <cfRule type="duplicateValues" dxfId="377" priority="15513"/>
  </conditionalFormatting>
  <conditionalFormatting sqref="G116">
    <cfRule type="duplicateValues" dxfId="376" priority="84"/>
    <cfRule type="duplicateValues" dxfId="375" priority="85"/>
    <cfRule type="duplicateValues" dxfId="374" priority="86"/>
  </conditionalFormatting>
  <conditionalFormatting sqref="G118">
    <cfRule type="duplicateValues" dxfId="373" priority="115"/>
    <cfRule type="duplicateValues" dxfId="372" priority="114"/>
    <cfRule type="duplicateValues" dxfId="371" priority="113"/>
    <cfRule type="duplicateValues" dxfId="370" priority="116"/>
  </conditionalFormatting>
  <conditionalFormatting sqref="G120">
    <cfRule type="duplicateValues" dxfId="369" priority="112"/>
    <cfRule type="duplicateValues" dxfId="368" priority="111"/>
    <cfRule type="duplicateValues" dxfId="367" priority="110"/>
    <cfRule type="duplicateValues" dxfId="366" priority="109"/>
  </conditionalFormatting>
  <conditionalFormatting sqref="G123">
    <cfRule type="duplicateValues" dxfId="365" priority="2"/>
    <cfRule type="duplicateValues" dxfId="364" priority="3"/>
    <cfRule type="duplicateValues" dxfId="363" priority="1"/>
  </conditionalFormatting>
  <conditionalFormatting sqref="G125">
    <cfRule type="duplicateValues" dxfId="362" priority="378"/>
  </conditionalFormatting>
  <conditionalFormatting sqref="G128">
    <cfRule type="duplicateValues" dxfId="361" priority="107"/>
    <cfRule type="duplicateValues" dxfId="360" priority="105"/>
    <cfRule type="duplicateValues" dxfId="359" priority="104"/>
    <cfRule type="duplicateValues" dxfId="358" priority="106"/>
  </conditionalFormatting>
  <conditionalFormatting sqref="G129">
    <cfRule type="duplicateValues" dxfId="357" priority="15522"/>
  </conditionalFormatting>
  <conditionalFormatting sqref="G130">
    <cfRule type="duplicateValues" dxfId="356" priority="103"/>
    <cfRule type="duplicateValues" dxfId="355" priority="102"/>
    <cfRule type="duplicateValues" dxfId="354" priority="101"/>
    <cfRule type="duplicateValues" dxfId="353" priority="100"/>
  </conditionalFormatting>
  <conditionalFormatting sqref="G133">
    <cfRule type="duplicateValues" dxfId="352" priority="15519"/>
    <cfRule type="duplicateValues" dxfId="351" priority="15520"/>
    <cfRule type="duplicateValues" dxfId="350" priority="15521"/>
    <cfRule type="duplicateValues" dxfId="349" priority="15518"/>
  </conditionalFormatting>
  <conditionalFormatting sqref="G134 G131:G132">
    <cfRule type="duplicateValues" dxfId="348" priority="97"/>
  </conditionalFormatting>
  <conditionalFormatting sqref="G143">
    <cfRule type="duplicateValues" dxfId="347" priority="23"/>
    <cfRule type="duplicateValues" dxfId="346" priority="25"/>
    <cfRule type="duplicateValues" dxfId="345" priority="24"/>
  </conditionalFormatting>
  <conditionalFormatting sqref="G144">
    <cfRule type="duplicateValues" dxfId="344" priority="22"/>
    <cfRule type="duplicateValues" dxfId="343" priority="21"/>
    <cfRule type="duplicateValues" dxfId="342" priority="20"/>
  </conditionalFormatting>
  <conditionalFormatting sqref="G145">
    <cfRule type="duplicateValues" dxfId="341" priority="19"/>
    <cfRule type="duplicateValues" dxfId="340" priority="18"/>
    <cfRule type="duplicateValues" dxfId="339" priority="17"/>
    <cfRule type="duplicateValues" dxfId="338" priority="16"/>
    <cfRule type="duplicateValues" dxfId="337" priority="15"/>
  </conditionalFormatting>
  <conditionalFormatting sqref="G146:G1048576 G129 G115 G117 G121:G122 G126:G127 G131:G132 G119 G26:G49 G51:G70 G124 G134:G142 G1:G24">
    <cfRule type="duplicateValues" dxfId="336" priority="15340"/>
  </conditionalFormatting>
  <conditionalFormatting sqref="G146:G1048576 G129 G126:G127 G115 G117 G121:G122 G131:G132 G119 G26:G49 G51:G70 G124 G134:G142 G1:G24">
    <cfRule type="duplicateValues" dxfId="335" priority="15328"/>
  </conditionalFormatting>
  <conditionalFormatting sqref="G154:G1048576">
    <cfRule type="duplicateValues" dxfId="334" priority="15946"/>
  </conditionalFormatting>
  <pageMargins left="0.7" right="0.7" top="0.75" bottom="0.75" header="0.51180555555555551" footer="0.51180555555555551"/>
  <pageSetup scale="56" firstPageNumber="0" orientation="portrait" horizontalDpi="4294967293" verticalDpi="300" r:id="rId1"/>
  <headerFooter alignWithMargins="0"/>
  <colBreaks count="1" manualBreakCount="1">
    <brk id="13" max="1048575" man="1"/>
  </col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tabColor indexed="57"/>
  </sheetPr>
  <dimension ref="A1:I309"/>
  <sheetViews>
    <sheetView showGridLines="0" view="pageBreakPreview" zoomScale="50" zoomScaleNormal="95" zoomScaleSheetLayoutView="50" workbookViewId="0">
      <pane xSplit="3" ySplit="7" topLeftCell="D131" activePane="bottomRight" state="frozen"/>
      <selection activeCell="H25" sqref="H25"/>
      <selection pane="topRight" activeCell="H25" sqref="H25"/>
      <selection pane="bottomLeft" activeCell="H25" sqref="H25"/>
      <selection pane="bottomRight" activeCell="B134" sqref="B134"/>
    </sheetView>
  </sheetViews>
  <sheetFormatPr baseColWidth="10" defaultColWidth="35.7109375" defaultRowHeight="39.950000000000003" customHeight="1" outlineLevelRow="1" outlineLevelCol="1"/>
  <cols>
    <col min="1" max="1" width="14.28515625" style="536" customWidth="1"/>
    <col min="2" max="2" width="129.28515625" style="549" customWidth="1"/>
    <col min="3" max="3" width="83.42578125" style="536" customWidth="1"/>
    <col min="4" max="4" width="61.85546875" style="541" customWidth="1"/>
    <col min="5" max="5" width="49.7109375" style="550" customWidth="1" outlineLevel="1"/>
    <col min="6" max="6" width="50" style="550" customWidth="1" outlineLevel="1"/>
    <col min="7" max="7" width="52.7109375" style="550" customWidth="1" outlineLevel="1"/>
    <col min="8" max="8" width="48" style="550" customWidth="1" outlineLevel="1"/>
    <col min="9" max="16384" width="35.7109375" style="541"/>
  </cols>
  <sheetData>
    <row r="1" spans="1:9" ht="32.25" customHeight="1">
      <c r="B1" s="537">
        <v>1</v>
      </c>
      <c r="C1" s="538">
        <v>2</v>
      </c>
      <c r="D1" s="539">
        <v>3</v>
      </c>
      <c r="E1" s="540">
        <v>4</v>
      </c>
      <c r="F1" s="539">
        <v>5</v>
      </c>
      <c r="G1" s="540">
        <v>6</v>
      </c>
      <c r="H1" s="540">
        <v>6</v>
      </c>
    </row>
    <row r="2" spans="1:9" s="546" customFormat="1" ht="56.25" customHeight="1">
      <c r="A2" s="542"/>
      <c r="B2" s="543" t="s">
        <v>0</v>
      </c>
      <c r="C2" s="544"/>
      <c r="D2" s="545"/>
      <c r="I2" s="541"/>
    </row>
    <row r="3" spans="1:9" ht="63.75" customHeight="1">
      <c r="B3" s="547" t="s">
        <v>589</v>
      </c>
      <c r="C3" s="548"/>
      <c r="E3" s="541"/>
      <c r="F3" s="541"/>
      <c r="G3" s="541"/>
      <c r="H3" s="541"/>
    </row>
    <row r="4" spans="1:9" ht="24.95" customHeight="1">
      <c r="C4" s="544"/>
    </row>
    <row r="5" spans="1:9" s="553" customFormat="1" ht="24.95" customHeight="1">
      <c r="A5" s="551"/>
      <c r="B5" s="552"/>
      <c r="C5" s="551" t="s">
        <v>52</v>
      </c>
      <c r="E5" s="553">
        <v>5</v>
      </c>
      <c r="F5" s="553">
        <v>6</v>
      </c>
    </row>
    <row r="6" spans="1:9" s="556" customFormat="1" ht="53.25" customHeight="1" thickBot="1">
      <c r="A6" s="554"/>
      <c r="B6" s="543"/>
      <c r="C6" s="555"/>
      <c r="D6" s="1349" t="s">
        <v>1</v>
      </c>
      <c r="E6" s="1349"/>
      <c r="F6" s="1349"/>
      <c r="G6" s="1349"/>
    </row>
    <row r="7" spans="1:9" ht="94.5" customHeight="1" thickBot="1">
      <c r="B7" s="557" t="s">
        <v>35</v>
      </c>
      <c r="C7" s="558" t="s">
        <v>36</v>
      </c>
      <c r="D7" s="559" t="s">
        <v>381</v>
      </c>
      <c r="E7" s="559" t="s">
        <v>380</v>
      </c>
      <c r="F7" s="559" t="s">
        <v>382</v>
      </c>
      <c r="G7" s="559" t="s">
        <v>17</v>
      </c>
      <c r="H7" s="560" t="s">
        <v>602</v>
      </c>
    </row>
    <row r="8" spans="1:9" s="566" customFormat="1" ht="50.1" customHeight="1">
      <c r="A8" s="561"/>
      <c r="B8" s="543" t="s">
        <v>51</v>
      </c>
      <c r="C8" s="562"/>
      <c r="D8" s="563"/>
      <c r="E8" s="564"/>
      <c r="F8" s="564"/>
      <c r="G8" s="565"/>
      <c r="H8" s="565"/>
    </row>
    <row r="9" spans="1:9" s="566" customFormat="1" ht="50.1" customHeight="1">
      <c r="A9" s="561"/>
      <c r="B9" s="567" t="s">
        <v>53</v>
      </c>
      <c r="C9" s="562"/>
      <c r="D9" s="568"/>
      <c r="E9" s="568"/>
      <c r="F9" s="569"/>
      <c r="G9" s="570" t="s">
        <v>353</v>
      </c>
      <c r="H9" s="570" t="s">
        <v>353</v>
      </c>
    </row>
    <row r="10" spans="1:9" s="575" customFormat="1" ht="50.1" customHeight="1" outlineLevel="1">
      <c r="A10" s="561">
        <v>1</v>
      </c>
      <c r="B10" s="571" t="s">
        <v>534</v>
      </c>
      <c r="C10" s="572" t="s">
        <v>55</v>
      </c>
      <c r="D10" s="572" t="s">
        <v>9</v>
      </c>
      <c r="E10" s="573">
        <v>3750</v>
      </c>
      <c r="F10" s="573">
        <f>2000+250</f>
        <v>2250</v>
      </c>
      <c r="G10" s="574">
        <f>+E10+F10</f>
        <v>6000</v>
      </c>
      <c r="H10" s="574">
        <v>50</v>
      </c>
    </row>
    <row r="11" spans="1:9" s="566" customFormat="1" ht="50.1" customHeight="1" outlineLevel="1">
      <c r="A11" s="561">
        <f>+A10+1</f>
        <v>2</v>
      </c>
      <c r="B11" s="576" t="s">
        <v>473</v>
      </c>
      <c r="C11" s="577" t="s">
        <v>54</v>
      </c>
      <c r="D11" s="578" t="s">
        <v>9</v>
      </c>
      <c r="E11" s="579">
        <v>2959.24</v>
      </c>
      <c r="F11" s="580">
        <v>250</v>
      </c>
      <c r="G11" s="581">
        <f>+E11+F11</f>
        <v>3209.24</v>
      </c>
      <c r="H11" s="581">
        <v>50</v>
      </c>
    </row>
    <row r="12" spans="1:9" s="586" customFormat="1" ht="50.1" customHeight="1" outlineLevel="1">
      <c r="A12" s="561">
        <f>+A11+1</f>
        <v>3</v>
      </c>
      <c r="B12" s="571" t="s">
        <v>517</v>
      </c>
      <c r="C12" s="582" t="s">
        <v>54</v>
      </c>
      <c r="D12" s="583" t="s">
        <v>8</v>
      </c>
      <c r="E12" s="579">
        <v>3250</v>
      </c>
      <c r="F12" s="584">
        <v>250</v>
      </c>
      <c r="G12" s="585">
        <f>+E12+F12</f>
        <v>3500</v>
      </c>
      <c r="H12" s="585">
        <v>50</v>
      </c>
    </row>
    <row r="13" spans="1:9" s="566" customFormat="1" ht="50.1" customHeight="1" outlineLevel="1" thickBot="1">
      <c r="A13" s="561"/>
      <c r="B13" s="549"/>
      <c r="C13" s="587" t="s">
        <v>57</v>
      </c>
      <c r="E13" s="588">
        <f>SUM(E10:E12)</f>
        <v>9959.24</v>
      </c>
      <c r="F13" s="588">
        <f>SUM(F10:F12)</f>
        <v>2750</v>
      </c>
      <c r="G13" s="588">
        <f>SUM(G10:G12)</f>
        <v>12709.24</v>
      </c>
      <c r="H13" s="588">
        <f>SUM(H10:H12)</f>
        <v>150</v>
      </c>
    </row>
    <row r="14" spans="1:9" s="591" customFormat="1" ht="50.1" customHeight="1" outlineLevel="1" thickTop="1">
      <c r="A14" s="589"/>
      <c r="B14" s="549"/>
      <c r="C14" s="561"/>
      <c r="D14" s="566"/>
      <c r="E14" s="590"/>
      <c r="G14" s="592"/>
      <c r="H14" s="592"/>
      <c r="I14" s="566"/>
    </row>
    <row r="15" spans="1:9" s="566" customFormat="1" ht="50.1" customHeight="1" outlineLevel="1">
      <c r="A15" s="561"/>
      <c r="B15" s="567" t="s">
        <v>58</v>
      </c>
      <c r="C15" s="561"/>
      <c r="D15" s="561"/>
      <c r="E15" s="590"/>
      <c r="F15" s="591"/>
      <c r="G15" s="591"/>
      <c r="H15" s="591"/>
    </row>
    <row r="16" spans="1:9" s="586" customFormat="1" ht="50.1" customHeight="1" outlineLevel="1">
      <c r="A16" s="593">
        <f>A12+1</f>
        <v>4</v>
      </c>
      <c r="B16" s="571" t="s">
        <v>423</v>
      </c>
      <c r="C16" s="582" t="s">
        <v>59</v>
      </c>
      <c r="D16" s="583" t="s">
        <v>8</v>
      </c>
      <c r="E16" s="579">
        <v>3262.5</v>
      </c>
      <c r="F16" s="584">
        <v>2250</v>
      </c>
      <c r="G16" s="585">
        <f t="shared" ref="G16:G21" si="0">+E16+F16</f>
        <v>5512.5</v>
      </c>
      <c r="H16" s="585">
        <v>50</v>
      </c>
    </row>
    <row r="17" spans="1:9" s="586" customFormat="1" ht="50.1" customHeight="1" outlineLevel="1">
      <c r="A17" s="593">
        <f>+A16+1</f>
        <v>5</v>
      </c>
      <c r="B17" s="571" t="s">
        <v>544</v>
      </c>
      <c r="C17" s="582" t="s">
        <v>492</v>
      </c>
      <c r="D17" s="583" t="s">
        <v>8</v>
      </c>
      <c r="E17" s="579">
        <v>2959.24</v>
      </c>
      <c r="F17" s="584">
        <v>725</v>
      </c>
      <c r="G17" s="585">
        <f t="shared" si="0"/>
        <v>3684.24</v>
      </c>
      <c r="H17" s="585">
        <v>50</v>
      </c>
    </row>
    <row r="18" spans="1:9" s="539" customFormat="1" ht="50.1" customHeight="1" outlineLevel="1">
      <c r="A18" s="593">
        <f>+A17+1</f>
        <v>6</v>
      </c>
      <c r="B18" s="571" t="s">
        <v>431</v>
      </c>
      <c r="C18" s="582" t="s">
        <v>60</v>
      </c>
      <c r="D18" s="582" t="s">
        <v>8</v>
      </c>
      <c r="E18" s="579">
        <v>2959.24</v>
      </c>
      <c r="F18" s="594">
        <v>250</v>
      </c>
      <c r="G18" s="595">
        <f t="shared" si="0"/>
        <v>3209.24</v>
      </c>
      <c r="H18" s="585">
        <v>50</v>
      </c>
    </row>
    <row r="19" spans="1:9" s="599" customFormat="1" ht="50.1" customHeight="1" outlineLevel="1">
      <c r="A19" s="593">
        <f>+A18+1</f>
        <v>7</v>
      </c>
      <c r="B19" s="596" t="s">
        <v>458</v>
      </c>
      <c r="C19" s="572" t="s">
        <v>61</v>
      </c>
      <c r="D19" s="597" t="s">
        <v>9</v>
      </c>
      <c r="E19" s="579">
        <v>2959.24</v>
      </c>
      <c r="F19" s="579">
        <v>250</v>
      </c>
      <c r="G19" s="598">
        <f t="shared" si="0"/>
        <v>3209.24</v>
      </c>
      <c r="H19" s="585">
        <v>50</v>
      </c>
    </row>
    <row r="20" spans="1:9" s="599" customFormat="1" ht="50.1" customHeight="1" outlineLevel="1">
      <c r="A20" s="593">
        <f>+A19+1</f>
        <v>8</v>
      </c>
      <c r="B20" s="596" t="s">
        <v>437</v>
      </c>
      <c r="C20" s="572" t="s">
        <v>62</v>
      </c>
      <c r="D20" s="597" t="s">
        <v>8</v>
      </c>
      <c r="E20" s="579">
        <v>2959.24</v>
      </c>
      <c r="F20" s="579">
        <f>250+120</f>
        <v>370</v>
      </c>
      <c r="G20" s="598">
        <f t="shared" si="0"/>
        <v>3329.24</v>
      </c>
      <c r="H20" s="585">
        <v>50</v>
      </c>
    </row>
    <row r="21" spans="1:9" s="566" customFormat="1" ht="50.1" customHeight="1" outlineLevel="1">
      <c r="A21" s="593">
        <f>+A20+1</f>
        <v>9</v>
      </c>
      <c r="B21" s="571" t="s">
        <v>432</v>
      </c>
      <c r="C21" s="582" t="s">
        <v>62</v>
      </c>
      <c r="D21" s="578" t="s">
        <v>8</v>
      </c>
      <c r="E21" s="579">
        <v>2959.24</v>
      </c>
      <c r="F21" s="580">
        <v>370</v>
      </c>
      <c r="G21" s="581">
        <f t="shared" si="0"/>
        <v>3329.24</v>
      </c>
      <c r="H21" s="585">
        <v>50</v>
      </c>
    </row>
    <row r="22" spans="1:9" s="566" customFormat="1" ht="50.1" customHeight="1" outlineLevel="1" thickBot="1">
      <c r="A22" s="561"/>
      <c r="B22" s="600"/>
      <c r="C22" s="601" t="s">
        <v>63</v>
      </c>
      <c r="E22" s="588">
        <f>SUM(E16:E21)</f>
        <v>18058.699999999997</v>
      </c>
      <c r="F22" s="602">
        <f>SUM(F16:F21)</f>
        <v>4215</v>
      </c>
      <c r="G22" s="602">
        <f>SUM(G16:G21)</f>
        <v>22273.699999999997</v>
      </c>
      <c r="H22" s="602">
        <f>SUM(H16:H21)</f>
        <v>300</v>
      </c>
    </row>
    <row r="23" spans="1:9" s="591" customFormat="1" ht="50.1" customHeight="1" outlineLevel="1" thickTop="1">
      <c r="A23" s="589"/>
      <c r="B23" s="600"/>
      <c r="C23" s="593"/>
      <c r="D23" s="566"/>
      <c r="E23" s="590"/>
      <c r="G23" s="592"/>
      <c r="H23" s="592"/>
      <c r="I23" s="566"/>
    </row>
    <row r="24" spans="1:9" s="566" customFormat="1" ht="50.1" customHeight="1" outlineLevel="1">
      <c r="A24" s="561"/>
      <c r="B24" s="567" t="s">
        <v>64</v>
      </c>
      <c r="C24" s="593"/>
      <c r="E24" s="590"/>
      <c r="F24" s="591"/>
      <c r="G24" s="591"/>
      <c r="H24" s="591"/>
    </row>
    <row r="25" spans="1:9" s="566" customFormat="1" ht="50.1" customHeight="1" outlineLevel="1">
      <c r="A25" s="561">
        <f>A21+1</f>
        <v>10</v>
      </c>
      <c r="B25" s="571" t="s">
        <v>461</v>
      </c>
      <c r="C25" s="582" t="s">
        <v>65</v>
      </c>
      <c r="D25" s="578" t="s">
        <v>9</v>
      </c>
      <c r="E25" s="579">
        <v>2959.24</v>
      </c>
      <c r="F25" s="580">
        <v>250</v>
      </c>
      <c r="G25" s="581">
        <f t="shared" ref="G25:G33" si="1">+E25+F25</f>
        <v>3209.24</v>
      </c>
      <c r="H25" s="581">
        <v>50</v>
      </c>
    </row>
    <row r="26" spans="1:9" s="566" customFormat="1" ht="50.1" customHeight="1" outlineLevel="1">
      <c r="A26" s="561">
        <f>A25+1</f>
        <v>11</v>
      </c>
      <c r="B26" s="571" t="s">
        <v>481</v>
      </c>
      <c r="C26" s="582" t="s">
        <v>482</v>
      </c>
      <c r="D26" s="578" t="s">
        <v>9</v>
      </c>
      <c r="E26" s="603">
        <v>4200</v>
      </c>
      <c r="F26" s="580">
        <v>2800</v>
      </c>
      <c r="G26" s="581">
        <f t="shared" si="1"/>
        <v>7000</v>
      </c>
      <c r="H26" s="581">
        <v>75</v>
      </c>
    </row>
    <row r="27" spans="1:9" s="566" customFormat="1" ht="50.1" customHeight="1" outlineLevel="1">
      <c r="A27" s="561">
        <f t="shared" ref="A27:A33" si="2">A26+1</f>
        <v>12</v>
      </c>
      <c r="B27" s="571" t="s">
        <v>434</v>
      </c>
      <c r="C27" s="582" t="s">
        <v>333</v>
      </c>
      <c r="D27" s="578" t="s">
        <v>8</v>
      </c>
      <c r="E27" s="603">
        <v>13000</v>
      </c>
      <c r="F27" s="580">
        <v>7000</v>
      </c>
      <c r="G27" s="581">
        <f t="shared" si="1"/>
        <v>20000</v>
      </c>
      <c r="H27" s="581">
        <v>150</v>
      </c>
    </row>
    <row r="28" spans="1:9" s="606" customFormat="1" ht="50.1" customHeight="1" outlineLevel="1">
      <c r="A28" s="561">
        <f t="shared" si="2"/>
        <v>13</v>
      </c>
      <c r="B28" s="571" t="s">
        <v>466</v>
      </c>
      <c r="C28" s="572" t="s">
        <v>410</v>
      </c>
      <c r="D28" s="604" t="s">
        <v>9</v>
      </c>
      <c r="E28" s="603">
        <v>3250</v>
      </c>
      <c r="F28" s="603">
        <v>750</v>
      </c>
      <c r="G28" s="605">
        <f t="shared" si="1"/>
        <v>4000</v>
      </c>
      <c r="H28" s="605">
        <v>50</v>
      </c>
    </row>
    <row r="29" spans="1:9" s="566" customFormat="1" ht="50.1" customHeight="1" outlineLevel="1">
      <c r="A29" s="561">
        <f t="shared" si="2"/>
        <v>14</v>
      </c>
      <c r="B29" s="571" t="s">
        <v>433</v>
      </c>
      <c r="C29" s="582" t="s">
        <v>356</v>
      </c>
      <c r="D29" s="578" t="s">
        <v>8</v>
      </c>
      <c r="E29" s="605">
        <v>3500</v>
      </c>
      <c r="F29" s="580">
        <v>500</v>
      </c>
      <c r="G29" s="605">
        <f t="shared" si="1"/>
        <v>4000</v>
      </c>
      <c r="H29" s="605">
        <v>50</v>
      </c>
    </row>
    <row r="30" spans="1:9" s="566" customFormat="1" ht="50.1" customHeight="1" outlineLevel="1">
      <c r="A30" s="561">
        <f t="shared" si="2"/>
        <v>15</v>
      </c>
      <c r="B30" s="571" t="s">
        <v>426</v>
      </c>
      <c r="C30" s="582" t="s">
        <v>66</v>
      </c>
      <c r="D30" s="578" t="s">
        <v>8</v>
      </c>
      <c r="E30" s="603">
        <v>3500</v>
      </c>
      <c r="F30" s="580">
        <f>1000</f>
        <v>1000</v>
      </c>
      <c r="G30" s="581">
        <f t="shared" si="1"/>
        <v>4500</v>
      </c>
      <c r="H30" s="605">
        <v>50</v>
      </c>
    </row>
    <row r="31" spans="1:9" s="566" customFormat="1" ht="50.1" customHeight="1" outlineLevel="1">
      <c r="A31" s="561">
        <f>A30+1</f>
        <v>16</v>
      </c>
      <c r="B31" s="571" t="s">
        <v>474</v>
      </c>
      <c r="C31" s="582" t="s">
        <v>66</v>
      </c>
      <c r="D31" s="578" t="s">
        <v>9</v>
      </c>
      <c r="E31" s="579">
        <v>2959.24</v>
      </c>
      <c r="F31" s="580">
        <v>250</v>
      </c>
      <c r="G31" s="581">
        <f t="shared" si="1"/>
        <v>3209.24</v>
      </c>
      <c r="H31" s="605">
        <v>50</v>
      </c>
    </row>
    <row r="32" spans="1:9" s="606" customFormat="1" ht="50.1" customHeight="1" outlineLevel="1">
      <c r="A32" s="561">
        <f t="shared" si="2"/>
        <v>17</v>
      </c>
      <c r="B32" s="596" t="s">
        <v>418</v>
      </c>
      <c r="C32" s="572" t="s">
        <v>67</v>
      </c>
      <c r="D32" s="604" t="s">
        <v>8</v>
      </c>
      <c r="E32" s="603">
        <v>5055</v>
      </c>
      <c r="F32" s="603">
        <v>3045</v>
      </c>
      <c r="G32" s="605">
        <f t="shared" si="1"/>
        <v>8100</v>
      </c>
      <c r="H32" s="605">
        <v>75</v>
      </c>
    </row>
    <row r="33" spans="1:9" s="593" customFormat="1" ht="50.1" customHeight="1" outlineLevel="1">
      <c r="A33" s="593">
        <f t="shared" si="2"/>
        <v>18</v>
      </c>
      <c r="B33" s="571" t="s">
        <v>533</v>
      </c>
      <c r="C33" s="582" t="s">
        <v>66</v>
      </c>
      <c r="D33" s="582" t="s">
        <v>9</v>
      </c>
      <c r="E33" s="573">
        <v>3250</v>
      </c>
      <c r="F33" s="594">
        <v>750</v>
      </c>
      <c r="G33" s="607">
        <f t="shared" si="1"/>
        <v>4000</v>
      </c>
      <c r="H33" s="605">
        <v>50</v>
      </c>
    </row>
    <row r="34" spans="1:9" s="566" customFormat="1" ht="50.1" customHeight="1" outlineLevel="1" thickBot="1">
      <c r="A34" s="561"/>
      <c r="B34" s="543"/>
      <c r="C34" s="601" t="s">
        <v>68</v>
      </c>
      <c r="E34" s="588">
        <f>SUM(E25:E33)</f>
        <v>41673.479999999996</v>
      </c>
      <c r="F34" s="588">
        <f>SUM(F25:F33)</f>
        <v>16345</v>
      </c>
      <c r="G34" s="588">
        <f>SUM(G25:G33)</f>
        <v>58018.479999999996</v>
      </c>
      <c r="H34" s="588">
        <f>SUM(H25:H33)</f>
        <v>600</v>
      </c>
    </row>
    <row r="35" spans="1:9" s="566" customFormat="1" ht="50.1" customHeight="1" outlineLevel="1" thickTop="1">
      <c r="A35" s="561"/>
      <c r="B35" s="543"/>
      <c r="C35" s="593"/>
      <c r="E35" s="608"/>
      <c r="F35" s="609"/>
      <c r="G35" s="609"/>
      <c r="H35" s="609"/>
    </row>
    <row r="36" spans="1:9" s="612" customFormat="1" ht="50.1" customHeight="1" outlineLevel="1">
      <c r="A36" s="610"/>
      <c r="B36" s="567" t="s">
        <v>69</v>
      </c>
      <c r="C36" s="561"/>
      <c r="D36" s="566"/>
      <c r="E36" s="611"/>
      <c r="I36" s="566"/>
    </row>
    <row r="37" spans="1:9" s="618" customFormat="1" ht="50.1" customHeight="1" outlineLevel="1">
      <c r="A37" s="613">
        <f>A33+1</f>
        <v>19</v>
      </c>
      <c r="B37" s="614" t="s">
        <v>516</v>
      </c>
      <c r="C37" s="615" t="s">
        <v>478</v>
      </c>
      <c r="D37" s="616" t="s">
        <v>8</v>
      </c>
      <c r="E37" s="617">
        <v>5000</v>
      </c>
      <c r="F37" s="598">
        <f>250+750</f>
        <v>1000</v>
      </c>
      <c r="G37" s="598">
        <f>+E37+F37</f>
        <v>6000</v>
      </c>
      <c r="H37" s="598">
        <v>50</v>
      </c>
    </row>
    <row r="38" spans="1:9" s="618" customFormat="1" ht="50.1" customHeight="1" outlineLevel="1">
      <c r="A38" s="613">
        <f>+A37+1</f>
        <v>20</v>
      </c>
      <c r="B38" s="614" t="s">
        <v>562</v>
      </c>
      <c r="C38" s="615" t="s">
        <v>563</v>
      </c>
      <c r="D38" s="616" t="s">
        <v>8</v>
      </c>
      <c r="E38" s="617">
        <v>4000</v>
      </c>
      <c r="F38" s="619">
        <v>500</v>
      </c>
      <c r="G38" s="598">
        <f>+E38+F38</f>
        <v>4500</v>
      </c>
      <c r="H38" s="598">
        <v>50</v>
      </c>
    </row>
    <row r="39" spans="1:9" s="618" customFormat="1" ht="50.1" customHeight="1" outlineLevel="1">
      <c r="A39" s="613">
        <f>+A38+1</f>
        <v>21</v>
      </c>
      <c r="B39" s="614" t="s">
        <v>554</v>
      </c>
      <c r="C39" s="615" t="s">
        <v>558</v>
      </c>
      <c r="D39" s="616" t="s">
        <v>8</v>
      </c>
      <c r="E39" s="579">
        <v>2959.24</v>
      </c>
      <c r="F39" s="598">
        <v>250</v>
      </c>
      <c r="G39" s="598">
        <f>+E39+F39</f>
        <v>3209.24</v>
      </c>
      <c r="H39" s="598">
        <v>50</v>
      </c>
    </row>
    <row r="40" spans="1:9" s="566" customFormat="1" ht="50.1" customHeight="1" outlineLevel="1" thickBot="1">
      <c r="A40" s="561"/>
      <c r="B40" s="543"/>
      <c r="C40" s="601" t="s">
        <v>70</v>
      </c>
      <c r="E40" s="620">
        <f>SUM(E37:E39)</f>
        <v>11959.24</v>
      </c>
      <c r="F40" s="621">
        <f>SUM(F37:F39)</f>
        <v>1750</v>
      </c>
      <c r="G40" s="621">
        <f>SUM(G37:G39)</f>
        <v>13709.24</v>
      </c>
      <c r="H40" s="621">
        <f>SUM(H37:H39)</f>
        <v>150</v>
      </c>
    </row>
    <row r="41" spans="1:9" s="566" customFormat="1" ht="50.1" customHeight="1" outlineLevel="1" thickTop="1">
      <c r="A41" s="561"/>
      <c r="B41" s="543"/>
      <c r="C41" s="601"/>
      <c r="E41" s="611"/>
      <c r="F41" s="612"/>
      <c r="G41" s="622"/>
      <c r="H41" s="622"/>
    </row>
    <row r="42" spans="1:9" s="612" customFormat="1" ht="50.1" customHeight="1" outlineLevel="1">
      <c r="A42" s="610"/>
      <c r="B42" s="567" t="s">
        <v>71</v>
      </c>
      <c r="C42" s="561"/>
      <c r="D42" s="566"/>
      <c r="E42" s="611"/>
      <c r="I42" s="566"/>
    </row>
    <row r="43" spans="1:9" s="606" customFormat="1" ht="50.1" customHeight="1" outlineLevel="1">
      <c r="A43" s="623">
        <v>22</v>
      </c>
      <c r="B43" s="624" t="s">
        <v>415</v>
      </c>
      <c r="C43" s="625" t="s">
        <v>512</v>
      </c>
      <c r="D43" s="604" t="s">
        <v>8</v>
      </c>
      <c r="E43" s="598">
        <f>4250+500</f>
        <v>4750</v>
      </c>
      <c r="F43" s="598">
        <f>250+2000</f>
        <v>2250</v>
      </c>
      <c r="G43" s="605">
        <f>+E43+F43</f>
        <v>7000</v>
      </c>
      <c r="H43" s="605">
        <v>75</v>
      </c>
    </row>
    <row r="44" spans="1:9" s="599" customFormat="1" ht="50.1" customHeight="1" outlineLevel="1">
      <c r="A44" s="575">
        <f>+A43+1</f>
        <v>23</v>
      </c>
      <c r="B44" s="596" t="s">
        <v>504</v>
      </c>
      <c r="C44" s="572" t="s">
        <v>336</v>
      </c>
      <c r="D44" s="597" t="s">
        <v>8</v>
      </c>
      <c r="E44" s="598">
        <f>4250+250</f>
        <v>4500</v>
      </c>
      <c r="F44" s="598">
        <f>250+250</f>
        <v>500</v>
      </c>
      <c r="G44" s="598">
        <f>+E44+F44</f>
        <v>5000</v>
      </c>
      <c r="H44" s="598">
        <v>50</v>
      </c>
    </row>
    <row r="45" spans="1:9" s="599" customFormat="1" ht="50.1" customHeight="1" outlineLevel="1">
      <c r="A45" s="575">
        <f>+A44+1</f>
        <v>24</v>
      </c>
      <c r="B45" s="596" t="s">
        <v>514</v>
      </c>
      <c r="C45" s="572" t="s">
        <v>336</v>
      </c>
      <c r="D45" s="597" t="s">
        <v>9</v>
      </c>
      <c r="E45" s="598">
        <v>4250</v>
      </c>
      <c r="F45" s="598">
        <v>750</v>
      </c>
      <c r="G45" s="598">
        <f>+E45+F45</f>
        <v>5000</v>
      </c>
      <c r="H45" s="598">
        <v>50</v>
      </c>
    </row>
    <row r="46" spans="1:9" s="599" customFormat="1" ht="50.1" customHeight="1" outlineLevel="1">
      <c r="A46" s="575">
        <f>+A45+1</f>
        <v>25</v>
      </c>
      <c r="B46" s="596" t="s">
        <v>424</v>
      </c>
      <c r="C46" s="572" t="s">
        <v>503</v>
      </c>
      <c r="D46" s="597" t="s">
        <v>8</v>
      </c>
      <c r="E46" s="579">
        <v>2959.24</v>
      </c>
      <c r="F46" s="598">
        <v>400</v>
      </c>
      <c r="G46" s="598">
        <f>+E46+F46</f>
        <v>3359.24</v>
      </c>
      <c r="H46" s="598">
        <v>50</v>
      </c>
    </row>
    <row r="47" spans="1:9" s="575" customFormat="1" ht="50.1" customHeight="1" outlineLevel="1">
      <c r="A47" s="575">
        <f>+A46+1</f>
        <v>26</v>
      </c>
      <c r="B47" s="596" t="s">
        <v>522</v>
      </c>
      <c r="C47" s="572" t="s">
        <v>503</v>
      </c>
      <c r="D47" s="572" t="s">
        <v>8</v>
      </c>
      <c r="E47" s="579">
        <v>2959.24</v>
      </c>
      <c r="F47" s="574">
        <v>250</v>
      </c>
      <c r="G47" s="574">
        <f>+E47+F47</f>
        <v>3209.24</v>
      </c>
      <c r="H47" s="574">
        <v>50</v>
      </c>
    </row>
    <row r="48" spans="1:9" s="566" customFormat="1" ht="50.1" customHeight="1" outlineLevel="1" thickBot="1">
      <c r="A48" s="561"/>
      <c r="B48" s="543"/>
      <c r="C48" s="601" t="s">
        <v>73</v>
      </c>
      <c r="E48" s="626">
        <f>SUM(E43:E47)</f>
        <v>19418.479999999996</v>
      </c>
      <c r="F48" s="626">
        <f>SUM(F43:F47)</f>
        <v>4150</v>
      </c>
      <c r="G48" s="626">
        <f>SUM(G43:G47)</f>
        <v>23568.479999999996</v>
      </c>
      <c r="H48" s="626">
        <f>SUM(H43:H47)</f>
        <v>275</v>
      </c>
    </row>
    <row r="49" spans="1:9" s="612" customFormat="1" ht="50.1" customHeight="1" outlineLevel="1" thickTop="1">
      <c r="A49" s="610"/>
      <c r="B49" s="543"/>
      <c r="C49" s="601"/>
      <c r="D49" s="566"/>
      <c r="E49" s="611"/>
      <c r="I49" s="566"/>
    </row>
    <row r="50" spans="1:9" s="612" customFormat="1" ht="50.1" customHeight="1" outlineLevel="1">
      <c r="A50" s="610"/>
      <c r="B50" s="567" t="s">
        <v>74</v>
      </c>
      <c r="C50" s="587"/>
      <c r="D50" s="627"/>
      <c r="E50" s="611"/>
      <c r="I50" s="627"/>
    </row>
    <row r="51" spans="1:9" s="627" customFormat="1" ht="50.1" customHeight="1" outlineLevel="1">
      <c r="A51" s="561">
        <f>A47+1</f>
        <v>27</v>
      </c>
      <c r="B51" s="576" t="s">
        <v>419</v>
      </c>
      <c r="C51" s="577" t="s">
        <v>75</v>
      </c>
      <c r="D51" s="578" t="s">
        <v>8</v>
      </c>
      <c r="E51" s="605">
        <v>5775</v>
      </c>
      <c r="F51" s="581">
        <v>5250</v>
      </c>
      <c r="G51" s="581">
        <f>+E51+F51</f>
        <v>11025</v>
      </c>
      <c r="H51" s="581">
        <v>100</v>
      </c>
    </row>
    <row r="52" spans="1:9" s="627" customFormat="1" ht="50.1" customHeight="1" outlineLevel="1">
      <c r="A52" s="561">
        <f>+A51+1</f>
        <v>28</v>
      </c>
      <c r="B52" s="576" t="s">
        <v>435</v>
      </c>
      <c r="C52" s="577" t="s">
        <v>520</v>
      </c>
      <c r="D52" s="578" t="s">
        <v>8</v>
      </c>
      <c r="E52" s="605">
        <v>5250</v>
      </c>
      <c r="F52" s="605">
        <f>1900+715</f>
        <v>2615</v>
      </c>
      <c r="G52" s="605">
        <f>+E52+F52</f>
        <v>7865</v>
      </c>
      <c r="H52" s="605">
        <v>75</v>
      </c>
    </row>
    <row r="53" spans="1:9" s="539" customFormat="1" ht="50.1" customHeight="1" outlineLevel="1">
      <c r="A53" s="561">
        <v>29</v>
      </c>
      <c r="B53" s="571" t="s">
        <v>452</v>
      </c>
      <c r="C53" s="582" t="s">
        <v>377</v>
      </c>
      <c r="D53" s="582" t="s">
        <v>8</v>
      </c>
      <c r="E53" s="579">
        <v>2959.24</v>
      </c>
      <c r="F53" s="574">
        <v>250</v>
      </c>
      <c r="G53" s="574">
        <f>+E53+F53</f>
        <v>3209.24</v>
      </c>
      <c r="H53" s="574">
        <v>50</v>
      </c>
    </row>
    <row r="54" spans="1:9" s="627" customFormat="1" ht="50.1" customHeight="1" outlineLevel="1" thickBot="1">
      <c r="A54" s="561"/>
      <c r="B54" s="549"/>
      <c r="C54" s="587" t="s">
        <v>375</v>
      </c>
      <c r="D54" s="566"/>
      <c r="E54" s="628">
        <f>+SUM(E51:E53)</f>
        <v>13984.24</v>
      </c>
      <c r="F54" s="629">
        <f>+SUM(F51:F53)</f>
        <v>8115</v>
      </c>
      <c r="G54" s="629">
        <f>+SUM(G51:G53)</f>
        <v>22099.239999999998</v>
      </c>
      <c r="H54" s="629">
        <f>+SUM(H51:H53)</f>
        <v>225</v>
      </c>
    </row>
    <row r="55" spans="1:9" s="566" customFormat="1" ht="50.1" customHeight="1" outlineLevel="1" thickTop="1">
      <c r="A55" s="561"/>
      <c r="B55" s="543"/>
      <c r="C55" s="561"/>
      <c r="E55" s="630"/>
      <c r="F55" s="622"/>
      <c r="G55" s="622"/>
      <c r="H55" s="622"/>
    </row>
    <row r="56" spans="1:9" s="612" customFormat="1" ht="50.1" customHeight="1" outlineLevel="1">
      <c r="A56" s="610"/>
      <c r="B56" s="567" t="s">
        <v>76</v>
      </c>
      <c r="C56" s="587"/>
      <c r="D56" s="627"/>
      <c r="E56" s="611"/>
      <c r="I56" s="566"/>
    </row>
    <row r="57" spans="1:9" s="566" customFormat="1" ht="50.1" customHeight="1" outlineLevel="1">
      <c r="A57" s="561">
        <f>A53+1</f>
        <v>30</v>
      </c>
      <c r="B57" s="576" t="s">
        <v>455</v>
      </c>
      <c r="C57" s="577" t="s">
        <v>77</v>
      </c>
      <c r="D57" s="578" t="s">
        <v>9</v>
      </c>
      <c r="E57" s="605">
        <v>7025</v>
      </c>
      <c r="F57" s="581">
        <v>4000</v>
      </c>
      <c r="G57" s="581">
        <f>+E57+F57</f>
        <v>11025</v>
      </c>
      <c r="H57" s="581">
        <v>100</v>
      </c>
    </row>
    <row r="58" spans="1:9" s="566" customFormat="1" ht="50.1" customHeight="1" outlineLevel="1">
      <c r="A58" s="561">
        <f>+A57+1</f>
        <v>31</v>
      </c>
      <c r="B58" s="576" t="s">
        <v>553</v>
      </c>
      <c r="C58" s="577" t="s">
        <v>479</v>
      </c>
      <c r="D58" s="578" t="s">
        <v>8</v>
      </c>
      <c r="E58" s="605">
        <v>3500</v>
      </c>
      <c r="F58" s="581">
        <v>825</v>
      </c>
      <c r="G58" s="581">
        <f>+E58+F58</f>
        <v>4325</v>
      </c>
      <c r="H58" s="581">
        <v>50</v>
      </c>
    </row>
    <row r="59" spans="1:9" s="566" customFormat="1" ht="50.1" customHeight="1" outlineLevel="1">
      <c r="A59" s="561">
        <f>+A58+1</f>
        <v>32</v>
      </c>
      <c r="B59" s="576" t="s">
        <v>567</v>
      </c>
      <c r="C59" s="577" t="s">
        <v>568</v>
      </c>
      <c r="D59" s="578" t="s">
        <v>8</v>
      </c>
      <c r="E59" s="605">
        <v>3750</v>
      </c>
      <c r="F59" s="581">
        <v>250</v>
      </c>
      <c r="G59" s="581">
        <f>+E59+F59</f>
        <v>4000</v>
      </c>
      <c r="H59" s="581">
        <v>50</v>
      </c>
    </row>
    <row r="60" spans="1:9" s="627" customFormat="1" ht="50.1" customHeight="1" outlineLevel="1" thickBot="1">
      <c r="A60" s="561"/>
      <c r="B60" s="543"/>
      <c r="C60" s="601" t="s">
        <v>78</v>
      </c>
      <c r="E60" s="631">
        <f>SUM(E57:E59)</f>
        <v>14275</v>
      </c>
      <c r="F60" s="631">
        <f>SUM(F57:F59)</f>
        <v>5075</v>
      </c>
      <c r="G60" s="631">
        <f>SUM(G57:G59)</f>
        <v>19350</v>
      </c>
      <c r="H60" s="631">
        <f>SUM(H57:H59)</f>
        <v>200</v>
      </c>
    </row>
    <row r="61" spans="1:9" s="627" customFormat="1" ht="50.1" customHeight="1" outlineLevel="1" thickTop="1">
      <c r="A61" s="561"/>
      <c r="B61" s="543"/>
      <c r="C61" s="601" t="s">
        <v>79</v>
      </c>
      <c r="E61" s="632">
        <f>SUM(E13+E22+E34+E40+E48+E54+E60)</f>
        <v>129328.37999999999</v>
      </c>
      <c r="F61" s="633">
        <f>SUM(F13+F22+F34+F40+F48+F54+F60)</f>
        <v>42400</v>
      </c>
      <c r="G61" s="633">
        <f>SUM(G13+G22+G34+G40+G48+G54+G60)</f>
        <v>171728.37999999998</v>
      </c>
      <c r="H61" s="633">
        <f>SUM(H13+H22+H34+H40+H48+H54+H60)</f>
        <v>1900</v>
      </c>
    </row>
    <row r="62" spans="1:9" s="566" customFormat="1" ht="50.1" customHeight="1" outlineLevel="1">
      <c r="A62" s="561"/>
      <c r="B62" s="543"/>
      <c r="C62" s="601"/>
      <c r="E62" s="630"/>
      <c r="F62" s="622"/>
      <c r="G62" s="622"/>
      <c r="H62" s="622"/>
    </row>
    <row r="63" spans="1:9" s="592" customFormat="1" ht="50.1" customHeight="1" outlineLevel="1">
      <c r="A63" s="610"/>
      <c r="B63" s="567" t="s">
        <v>486</v>
      </c>
      <c r="C63" s="561"/>
      <c r="D63" s="566"/>
      <c r="E63" s="634"/>
      <c r="I63" s="566"/>
    </row>
    <row r="64" spans="1:9" s="641" customFormat="1" ht="50.1" customHeight="1" outlineLevel="1">
      <c r="A64" s="635">
        <v>33</v>
      </c>
      <c r="B64" s="636" t="s">
        <v>541</v>
      </c>
      <c r="C64" s="637" t="s">
        <v>334</v>
      </c>
      <c r="D64" s="638" t="s">
        <v>9</v>
      </c>
      <c r="E64" s="639">
        <v>3450</v>
      </c>
      <c r="F64" s="639">
        <v>550</v>
      </c>
      <c r="G64" s="640">
        <f>+E64+F64</f>
        <v>4000</v>
      </c>
      <c r="H64" s="640">
        <v>50</v>
      </c>
    </row>
    <row r="65" spans="1:9" s="566" customFormat="1" ht="50.1" customHeight="1" outlineLevel="1">
      <c r="A65" s="561">
        <f>A64+1</f>
        <v>34</v>
      </c>
      <c r="B65" s="571" t="s">
        <v>444</v>
      </c>
      <c r="C65" s="577" t="s">
        <v>82</v>
      </c>
      <c r="D65" s="578" t="s">
        <v>8</v>
      </c>
      <c r="E65" s="603">
        <v>4550</v>
      </c>
      <c r="F65" s="603">
        <v>950</v>
      </c>
      <c r="G65" s="581">
        <f>+E65+F65</f>
        <v>5500</v>
      </c>
      <c r="H65" s="581">
        <v>50</v>
      </c>
    </row>
    <row r="66" spans="1:9" s="539" customFormat="1" ht="50.1" customHeight="1" outlineLevel="1">
      <c r="A66" s="593">
        <f>A65+1</f>
        <v>35</v>
      </c>
      <c r="B66" s="571" t="s">
        <v>463</v>
      </c>
      <c r="C66" s="582" t="s">
        <v>82</v>
      </c>
      <c r="D66" s="582" t="s">
        <v>9</v>
      </c>
      <c r="E66" s="642">
        <v>4400</v>
      </c>
      <c r="F66" s="595">
        <v>1100</v>
      </c>
      <c r="G66" s="581">
        <f>+E66+F66</f>
        <v>5500</v>
      </c>
      <c r="H66" s="581">
        <v>50</v>
      </c>
    </row>
    <row r="67" spans="1:9" s="566" customFormat="1" ht="50.1" customHeight="1" outlineLevel="1">
      <c r="A67" s="561">
        <f>A66+1</f>
        <v>36</v>
      </c>
      <c r="B67" s="576" t="s">
        <v>462</v>
      </c>
      <c r="C67" s="577" t="s">
        <v>475</v>
      </c>
      <c r="D67" s="578" t="s">
        <v>9</v>
      </c>
      <c r="E67" s="605">
        <v>10000</v>
      </c>
      <c r="F67" s="581">
        <v>3000</v>
      </c>
      <c r="G67" s="581">
        <f>+E67+F67</f>
        <v>13000</v>
      </c>
      <c r="H67" s="581">
        <v>150</v>
      </c>
    </row>
    <row r="68" spans="1:9" s="587" customFormat="1" ht="50.1" customHeight="1" outlineLevel="1" thickBot="1">
      <c r="A68" s="561"/>
      <c r="B68" s="543"/>
      <c r="C68" s="601" t="s">
        <v>83</v>
      </c>
      <c r="E68" s="620">
        <f>SUM(E64:E67)</f>
        <v>22400</v>
      </c>
      <c r="F68" s="621">
        <f>SUM(F64:F67)</f>
        <v>5600</v>
      </c>
      <c r="G68" s="621">
        <f>SUM(G64:G67)</f>
        <v>28000</v>
      </c>
      <c r="H68" s="621">
        <f>SUM(H64:H67)</f>
        <v>300</v>
      </c>
    </row>
    <row r="69" spans="1:9" s="587" customFormat="1" ht="50.1" customHeight="1" outlineLevel="1" thickTop="1">
      <c r="A69" s="561"/>
      <c r="B69" s="543" t="s">
        <v>80</v>
      </c>
      <c r="C69" s="601"/>
      <c r="E69" s="643"/>
      <c r="F69" s="644"/>
      <c r="G69" s="644"/>
      <c r="H69" s="644"/>
    </row>
    <row r="70" spans="1:9" s="592" customFormat="1" ht="50.1" customHeight="1" outlineLevel="1">
      <c r="A70" s="610"/>
      <c r="B70" s="567" t="s">
        <v>84</v>
      </c>
      <c r="C70" s="561"/>
      <c r="D70" s="566"/>
      <c r="E70" s="634"/>
      <c r="I70" s="566"/>
    </row>
    <row r="71" spans="1:9" s="592" customFormat="1" ht="50.1" customHeight="1" outlineLevel="1">
      <c r="A71" s="610"/>
      <c r="B71" s="543" t="s">
        <v>85</v>
      </c>
      <c r="C71" s="561"/>
      <c r="D71" s="566"/>
      <c r="E71" s="634"/>
      <c r="I71" s="566"/>
    </row>
    <row r="72" spans="1:9" s="618" customFormat="1" ht="50.1" customHeight="1" outlineLevel="1">
      <c r="A72" s="613">
        <f>+A67+1</f>
        <v>37</v>
      </c>
      <c r="B72" s="645" t="s">
        <v>440</v>
      </c>
      <c r="C72" s="615" t="s">
        <v>86</v>
      </c>
      <c r="D72" s="616" t="s">
        <v>8</v>
      </c>
      <c r="E72" s="598">
        <f>13000</f>
        <v>13000</v>
      </c>
      <c r="F72" s="598">
        <v>9000</v>
      </c>
      <c r="G72" s="617">
        <f>+E72+F72</f>
        <v>22000</v>
      </c>
      <c r="H72" s="617">
        <v>150</v>
      </c>
    </row>
    <row r="73" spans="1:9" s="599" customFormat="1" ht="50.1" customHeight="1" outlineLevel="1">
      <c r="A73" s="613">
        <f>+A72+1</f>
        <v>38</v>
      </c>
      <c r="B73" s="624" t="s">
        <v>441</v>
      </c>
      <c r="C73" s="615" t="s">
        <v>564</v>
      </c>
      <c r="D73" s="597" t="s">
        <v>8</v>
      </c>
      <c r="E73" s="579">
        <v>2959.24</v>
      </c>
      <c r="F73" s="598">
        <v>250</v>
      </c>
      <c r="G73" s="598">
        <f>+E73+F73</f>
        <v>3209.24</v>
      </c>
      <c r="H73" s="598">
        <v>50</v>
      </c>
    </row>
    <row r="74" spans="1:9" s="599" customFormat="1" ht="50.1" customHeight="1" outlineLevel="1">
      <c r="A74" s="613">
        <v>39</v>
      </c>
      <c r="B74" s="624" t="s">
        <v>603</v>
      </c>
      <c r="C74" s="615" t="s">
        <v>564</v>
      </c>
      <c r="D74" s="597" t="s">
        <v>9</v>
      </c>
      <c r="E74" s="579">
        <v>3450</v>
      </c>
      <c r="F74" s="598">
        <v>450</v>
      </c>
      <c r="G74" s="598">
        <v>3900</v>
      </c>
      <c r="H74" s="598">
        <v>50</v>
      </c>
    </row>
    <row r="75" spans="1:9" s="599" customFormat="1" ht="50.1" customHeight="1" outlineLevel="1">
      <c r="A75" s="613">
        <v>40</v>
      </c>
      <c r="B75" s="624" t="s">
        <v>604</v>
      </c>
      <c r="C75" s="615" t="s">
        <v>564</v>
      </c>
      <c r="D75" s="597" t="s">
        <v>9</v>
      </c>
      <c r="E75" s="579">
        <v>3450</v>
      </c>
      <c r="F75" s="598">
        <v>450</v>
      </c>
      <c r="G75" s="598">
        <v>3900</v>
      </c>
      <c r="H75" s="598">
        <v>50</v>
      </c>
    </row>
    <row r="76" spans="1:9" s="606" customFormat="1" ht="50.1" customHeight="1" outlineLevel="1">
      <c r="A76" s="613">
        <v>41</v>
      </c>
      <c r="B76" s="624" t="s">
        <v>485</v>
      </c>
      <c r="C76" s="625" t="s">
        <v>417</v>
      </c>
      <c r="D76" s="604" t="s">
        <v>8</v>
      </c>
      <c r="E76" s="605">
        <v>5000</v>
      </c>
      <c r="F76" s="605">
        <v>1500</v>
      </c>
      <c r="G76" s="605">
        <f>+E76+F76</f>
        <v>6500</v>
      </c>
      <c r="H76" s="605">
        <v>75</v>
      </c>
    </row>
    <row r="77" spans="1:9" s="646" customFormat="1" ht="50.1" customHeight="1" outlineLevel="1">
      <c r="A77" s="613">
        <f>+A76+1</f>
        <v>42</v>
      </c>
      <c r="B77" s="624" t="s">
        <v>447</v>
      </c>
      <c r="C77" s="625" t="s">
        <v>390</v>
      </c>
      <c r="D77" s="604" t="s">
        <v>8</v>
      </c>
      <c r="E77" s="605">
        <v>3250</v>
      </c>
      <c r="F77" s="605">
        <v>750</v>
      </c>
      <c r="G77" s="605">
        <f>+E77+F77</f>
        <v>4000</v>
      </c>
      <c r="H77" s="605">
        <v>50</v>
      </c>
    </row>
    <row r="78" spans="1:9" s="647" customFormat="1" ht="50.1" customHeight="1" outlineLevel="1" thickBot="1">
      <c r="A78" s="623"/>
      <c r="B78" s="543"/>
      <c r="E78" s="648">
        <f>SUM(E72:E77)</f>
        <v>31109.239999999998</v>
      </c>
      <c r="F78" s="648">
        <f>SUM(F72:F77)</f>
        <v>12400</v>
      </c>
      <c r="G78" s="648">
        <f>SUM(G72:G77)</f>
        <v>43509.24</v>
      </c>
      <c r="H78" s="648">
        <f>SUM(H72:H77)</f>
        <v>425</v>
      </c>
    </row>
    <row r="79" spans="1:9" s="606" customFormat="1" ht="50.1" customHeight="1" outlineLevel="1" thickTop="1">
      <c r="A79" s="623"/>
      <c r="B79" s="567" t="s">
        <v>9</v>
      </c>
      <c r="C79" s="623"/>
      <c r="E79" s="649"/>
      <c r="F79" s="649"/>
      <c r="G79" s="649"/>
      <c r="H79" s="649"/>
    </row>
    <row r="80" spans="1:9" s="606" customFormat="1" ht="50.1" customHeight="1" outlineLevel="1">
      <c r="A80" s="623">
        <f>+A77+1</f>
        <v>43</v>
      </c>
      <c r="B80" s="596" t="s">
        <v>471</v>
      </c>
      <c r="C80" s="625" t="s">
        <v>506</v>
      </c>
      <c r="D80" s="625" t="s">
        <v>9</v>
      </c>
      <c r="E80" s="579">
        <v>2959.24</v>
      </c>
      <c r="F80" s="605">
        <v>250</v>
      </c>
      <c r="G80" s="650">
        <f t="shared" ref="G80:G86" si="3">+E80+F80</f>
        <v>3209.24</v>
      </c>
      <c r="H80" s="650">
        <v>50</v>
      </c>
    </row>
    <row r="81" spans="1:8" s="599" customFormat="1" ht="50.1" customHeight="1" outlineLevel="1">
      <c r="A81" s="575">
        <f>+A80+1</f>
        <v>44</v>
      </c>
      <c r="B81" s="596" t="s">
        <v>472</v>
      </c>
      <c r="C81" s="572" t="s">
        <v>506</v>
      </c>
      <c r="D81" s="572" t="s">
        <v>9</v>
      </c>
      <c r="E81" s="579">
        <v>2959.24</v>
      </c>
      <c r="F81" s="598">
        <v>250</v>
      </c>
      <c r="G81" s="651">
        <f t="shared" si="3"/>
        <v>3209.24</v>
      </c>
      <c r="H81" s="650">
        <v>50</v>
      </c>
    </row>
    <row r="82" spans="1:8" s="606" customFormat="1" ht="50.1" customHeight="1" outlineLevel="1">
      <c r="A82" s="575">
        <f t="shared" ref="A82:A96" si="4">+A81+1</f>
        <v>45</v>
      </c>
      <c r="B82" s="596" t="s">
        <v>464</v>
      </c>
      <c r="C82" s="625" t="s">
        <v>508</v>
      </c>
      <c r="D82" s="625" t="s">
        <v>9</v>
      </c>
      <c r="E82" s="579">
        <v>2959.24</v>
      </c>
      <c r="F82" s="605">
        <v>250</v>
      </c>
      <c r="G82" s="650">
        <f t="shared" si="3"/>
        <v>3209.24</v>
      </c>
      <c r="H82" s="650">
        <v>50</v>
      </c>
    </row>
    <row r="83" spans="1:8" s="599" customFormat="1" ht="50.1" customHeight="1" outlineLevel="1">
      <c r="A83" s="575">
        <f t="shared" si="4"/>
        <v>46</v>
      </c>
      <c r="B83" s="596" t="s">
        <v>495</v>
      </c>
      <c r="C83" s="625" t="s">
        <v>508</v>
      </c>
      <c r="D83" s="572" t="s">
        <v>9</v>
      </c>
      <c r="E83" s="579">
        <v>2959.24</v>
      </c>
      <c r="F83" s="598">
        <f>250</f>
        <v>250</v>
      </c>
      <c r="G83" s="651">
        <f t="shared" si="3"/>
        <v>3209.24</v>
      </c>
      <c r="H83" s="650">
        <v>50</v>
      </c>
    </row>
    <row r="84" spans="1:8" s="599" customFormat="1" ht="50.1" customHeight="1" outlineLevel="1">
      <c r="A84" s="575">
        <f t="shared" si="4"/>
        <v>47</v>
      </c>
      <c r="B84" s="596" t="s">
        <v>430</v>
      </c>
      <c r="C84" s="572" t="s">
        <v>509</v>
      </c>
      <c r="D84" s="572" t="s">
        <v>9</v>
      </c>
      <c r="E84" s="579">
        <v>2959.24</v>
      </c>
      <c r="F84" s="598">
        <f>250</f>
        <v>250</v>
      </c>
      <c r="G84" s="651">
        <f t="shared" si="3"/>
        <v>3209.24</v>
      </c>
      <c r="H84" s="650">
        <v>50</v>
      </c>
    </row>
    <row r="85" spans="1:8" s="599" customFormat="1" ht="50.1" customHeight="1" outlineLevel="1">
      <c r="A85" s="575">
        <f t="shared" si="4"/>
        <v>48</v>
      </c>
      <c r="B85" s="596" t="s">
        <v>498</v>
      </c>
      <c r="C85" s="572" t="s">
        <v>509</v>
      </c>
      <c r="D85" s="572" t="s">
        <v>9</v>
      </c>
      <c r="E85" s="579">
        <v>2959.24</v>
      </c>
      <c r="F85" s="598">
        <v>250</v>
      </c>
      <c r="G85" s="651">
        <f t="shared" si="3"/>
        <v>3209.24</v>
      </c>
      <c r="H85" s="650">
        <v>50</v>
      </c>
    </row>
    <row r="86" spans="1:8" s="599" customFormat="1" ht="50.1" customHeight="1" outlineLevel="1">
      <c r="A86" s="575">
        <f t="shared" si="4"/>
        <v>49</v>
      </c>
      <c r="B86" s="596" t="s">
        <v>500</v>
      </c>
      <c r="C86" s="572" t="s">
        <v>509</v>
      </c>
      <c r="D86" s="572" t="s">
        <v>9</v>
      </c>
      <c r="E86" s="579">
        <v>2959.24</v>
      </c>
      <c r="F86" s="574">
        <v>250</v>
      </c>
      <c r="G86" s="652">
        <f t="shared" si="3"/>
        <v>3209.24</v>
      </c>
      <c r="H86" s="650">
        <v>50</v>
      </c>
    </row>
    <row r="87" spans="1:8" s="599" customFormat="1" ht="50.1" customHeight="1" outlineLevel="1">
      <c r="A87" s="575">
        <f t="shared" si="4"/>
        <v>50</v>
      </c>
      <c r="B87" s="596" t="s">
        <v>499</v>
      </c>
      <c r="C87" s="572" t="s">
        <v>484</v>
      </c>
      <c r="D87" s="572" t="s">
        <v>9</v>
      </c>
      <c r="E87" s="579">
        <v>2959.24</v>
      </c>
      <c r="F87" s="598">
        <v>250</v>
      </c>
      <c r="G87" s="652">
        <f>+E87+F87</f>
        <v>3209.24</v>
      </c>
      <c r="H87" s="650">
        <v>50</v>
      </c>
    </row>
    <row r="88" spans="1:8" s="599" customFormat="1" ht="50.1" customHeight="1" outlineLevel="1">
      <c r="A88" s="575">
        <f t="shared" si="4"/>
        <v>51</v>
      </c>
      <c r="B88" s="596" t="s">
        <v>526</v>
      </c>
      <c r="C88" s="572" t="s">
        <v>527</v>
      </c>
      <c r="D88" s="572" t="s">
        <v>9</v>
      </c>
      <c r="E88" s="579">
        <v>2959.24</v>
      </c>
      <c r="F88" s="598">
        <v>250</v>
      </c>
      <c r="G88" s="651">
        <f>+E88+F88</f>
        <v>3209.24</v>
      </c>
      <c r="H88" s="650">
        <v>50</v>
      </c>
    </row>
    <row r="89" spans="1:8" s="599" customFormat="1" ht="50.1" customHeight="1" outlineLevel="1">
      <c r="A89" s="575">
        <f t="shared" si="4"/>
        <v>52</v>
      </c>
      <c r="B89" s="596" t="s">
        <v>528</v>
      </c>
      <c r="C89" s="572" t="s">
        <v>89</v>
      </c>
      <c r="D89" s="572" t="s">
        <v>9</v>
      </c>
      <c r="E89" s="579">
        <v>2959.24</v>
      </c>
      <c r="F89" s="598">
        <v>250</v>
      </c>
      <c r="G89" s="651">
        <f>+E89+F89</f>
        <v>3209.24</v>
      </c>
      <c r="H89" s="650">
        <v>50</v>
      </c>
    </row>
    <row r="90" spans="1:8" s="575" customFormat="1" ht="50.1" customHeight="1" outlineLevel="1">
      <c r="A90" s="575">
        <f t="shared" si="4"/>
        <v>53</v>
      </c>
      <c r="B90" s="596" t="s">
        <v>538</v>
      </c>
      <c r="C90" s="572" t="s">
        <v>88</v>
      </c>
      <c r="D90" s="572" t="s">
        <v>9</v>
      </c>
      <c r="E90" s="579">
        <v>2959.24</v>
      </c>
      <c r="F90" s="574">
        <v>250</v>
      </c>
      <c r="G90" s="652">
        <f t="shared" ref="G90:G96" si="5">+E90+F90</f>
        <v>3209.24</v>
      </c>
      <c r="H90" s="650">
        <v>50</v>
      </c>
    </row>
    <row r="91" spans="1:8" s="575" customFormat="1" ht="50.1" customHeight="1" outlineLevel="1">
      <c r="A91" s="575">
        <f t="shared" si="4"/>
        <v>54</v>
      </c>
      <c r="B91" s="596" t="s">
        <v>542</v>
      </c>
      <c r="C91" s="572" t="s">
        <v>88</v>
      </c>
      <c r="D91" s="572" t="s">
        <v>9</v>
      </c>
      <c r="E91" s="579">
        <v>2959.24</v>
      </c>
      <c r="F91" s="574">
        <v>250</v>
      </c>
      <c r="G91" s="652">
        <f t="shared" si="5"/>
        <v>3209.24</v>
      </c>
      <c r="H91" s="650">
        <v>50</v>
      </c>
    </row>
    <row r="92" spans="1:8" s="575" customFormat="1" ht="50.1" customHeight="1" outlineLevel="1">
      <c r="A92" s="575">
        <f t="shared" si="4"/>
        <v>55</v>
      </c>
      <c r="B92" s="596" t="s">
        <v>543</v>
      </c>
      <c r="C92" s="572" t="s">
        <v>88</v>
      </c>
      <c r="D92" s="572" t="s">
        <v>9</v>
      </c>
      <c r="E92" s="579">
        <v>2959.24</v>
      </c>
      <c r="F92" s="574">
        <v>250</v>
      </c>
      <c r="G92" s="652">
        <f t="shared" si="5"/>
        <v>3209.24</v>
      </c>
      <c r="H92" s="650">
        <v>50</v>
      </c>
    </row>
    <row r="93" spans="1:8" s="575" customFormat="1" ht="50.1" customHeight="1" outlineLevel="1">
      <c r="A93" s="575">
        <f t="shared" si="4"/>
        <v>56</v>
      </c>
      <c r="B93" s="596" t="s">
        <v>548</v>
      </c>
      <c r="C93" s="572" t="s">
        <v>88</v>
      </c>
      <c r="D93" s="572" t="s">
        <v>9</v>
      </c>
      <c r="E93" s="579">
        <v>2959.24</v>
      </c>
      <c r="F93" s="574">
        <v>250</v>
      </c>
      <c r="G93" s="652">
        <f t="shared" si="5"/>
        <v>3209.24</v>
      </c>
      <c r="H93" s="650">
        <v>50</v>
      </c>
    </row>
    <row r="94" spans="1:8" s="575" customFormat="1" ht="50.1" customHeight="1" outlineLevel="1">
      <c r="A94" s="575">
        <f t="shared" si="4"/>
        <v>57</v>
      </c>
      <c r="B94" s="596" t="s">
        <v>549</v>
      </c>
      <c r="C94" s="572" t="s">
        <v>88</v>
      </c>
      <c r="D94" s="572" t="s">
        <v>9</v>
      </c>
      <c r="E94" s="579">
        <v>2959.24</v>
      </c>
      <c r="F94" s="574">
        <v>250</v>
      </c>
      <c r="G94" s="652">
        <f t="shared" si="5"/>
        <v>3209.24</v>
      </c>
      <c r="H94" s="650">
        <v>50</v>
      </c>
    </row>
    <row r="95" spans="1:8" s="575" customFormat="1" ht="50.1" customHeight="1" outlineLevel="1">
      <c r="A95" s="575">
        <f t="shared" si="4"/>
        <v>58</v>
      </c>
      <c r="B95" s="596" t="s">
        <v>550</v>
      </c>
      <c r="C95" s="572" t="s">
        <v>88</v>
      </c>
      <c r="D95" s="572" t="s">
        <v>9</v>
      </c>
      <c r="E95" s="579">
        <v>2959.24</v>
      </c>
      <c r="F95" s="574">
        <v>250</v>
      </c>
      <c r="G95" s="652">
        <f t="shared" si="5"/>
        <v>3209.24</v>
      </c>
      <c r="H95" s="650">
        <v>50</v>
      </c>
    </row>
    <row r="96" spans="1:8" s="575" customFormat="1" ht="50.1" customHeight="1" outlineLevel="1">
      <c r="A96" s="575">
        <f t="shared" si="4"/>
        <v>59</v>
      </c>
      <c r="B96" s="596" t="s">
        <v>539</v>
      </c>
      <c r="C96" s="572" t="s">
        <v>515</v>
      </c>
      <c r="D96" s="572" t="s">
        <v>9</v>
      </c>
      <c r="E96" s="579">
        <v>2959.24</v>
      </c>
      <c r="F96" s="574">
        <v>250</v>
      </c>
      <c r="G96" s="652">
        <f t="shared" si="5"/>
        <v>3209.24</v>
      </c>
      <c r="H96" s="650">
        <v>50</v>
      </c>
    </row>
    <row r="97" spans="1:8" s="646" customFormat="1" ht="50.1" customHeight="1" outlineLevel="1" thickBot="1">
      <c r="A97" s="623"/>
      <c r="B97" s="653"/>
      <c r="C97" s="647" t="s">
        <v>91</v>
      </c>
      <c r="D97" s="654"/>
      <c r="E97" s="648">
        <f>SUM(E80:E96)</f>
        <v>50307.07999999998</v>
      </c>
      <c r="F97" s="648">
        <f>SUM(F80:F96)</f>
        <v>4250</v>
      </c>
      <c r="G97" s="648">
        <f>SUM(G80:G96)</f>
        <v>54557.07999999998</v>
      </c>
      <c r="H97" s="648">
        <f>SUM(H80:H96)</f>
        <v>850</v>
      </c>
    </row>
    <row r="98" spans="1:8" s="566" customFormat="1" ht="50.1" customHeight="1" outlineLevel="1" thickTop="1">
      <c r="A98" s="561"/>
      <c r="B98" s="549"/>
      <c r="C98" s="587"/>
      <c r="D98" s="593"/>
      <c r="E98" s="590"/>
      <c r="F98" s="591"/>
      <c r="G98" s="591"/>
      <c r="H98" s="591"/>
    </row>
    <row r="99" spans="1:8" s="566" customFormat="1" ht="50.1" customHeight="1" outlineLevel="1">
      <c r="A99" s="561"/>
      <c r="B99" s="567" t="s">
        <v>340</v>
      </c>
      <c r="C99" s="561"/>
      <c r="D99" s="593"/>
      <c r="E99" s="634"/>
      <c r="F99" s="592"/>
      <c r="G99" s="592"/>
      <c r="H99" s="592"/>
    </row>
    <row r="100" spans="1:8" s="606" customFormat="1" ht="50.1" customHeight="1" outlineLevel="1">
      <c r="A100" s="623">
        <f>A96+1</f>
        <v>60</v>
      </c>
      <c r="B100" s="596" t="s">
        <v>448</v>
      </c>
      <c r="C100" s="625" t="s">
        <v>89</v>
      </c>
      <c r="D100" s="604" t="s">
        <v>8</v>
      </c>
      <c r="E100" s="579">
        <v>2959.24</v>
      </c>
      <c r="F100" s="605">
        <v>250</v>
      </c>
      <c r="G100" s="650">
        <f t="shared" ref="G100:G107" si="6">+E100+F100</f>
        <v>3209.24</v>
      </c>
      <c r="H100" s="650">
        <v>50</v>
      </c>
    </row>
    <row r="101" spans="1:8" s="606" customFormat="1" ht="50.1" customHeight="1" outlineLevel="1">
      <c r="A101" s="623">
        <f t="shared" ref="A101:A111" si="7">A100+1</f>
        <v>61</v>
      </c>
      <c r="B101" s="596" t="s">
        <v>449</v>
      </c>
      <c r="C101" s="625" t="s">
        <v>89</v>
      </c>
      <c r="D101" s="604" t="s">
        <v>8</v>
      </c>
      <c r="E101" s="579">
        <v>2959.24</v>
      </c>
      <c r="F101" s="605">
        <v>250</v>
      </c>
      <c r="G101" s="650">
        <f t="shared" si="6"/>
        <v>3209.24</v>
      </c>
      <c r="H101" s="650">
        <v>50</v>
      </c>
    </row>
    <row r="102" spans="1:8" s="606" customFormat="1" ht="50.1" customHeight="1" outlineLevel="1">
      <c r="A102" s="623">
        <f t="shared" si="7"/>
        <v>62</v>
      </c>
      <c r="B102" s="596" t="s">
        <v>450</v>
      </c>
      <c r="C102" s="625" t="s">
        <v>89</v>
      </c>
      <c r="D102" s="604" t="s">
        <v>8</v>
      </c>
      <c r="E102" s="579">
        <v>2959.24</v>
      </c>
      <c r="F102" s="605">
        <v>250</v>
      </c>
      <c r="G102" s="650">
        <f t="shared" si="6"/>
        <v>3209.24</v>
      </c>
      <c r="H102" s="650">
        <v>50</v>
      </c>
    </row>
    <row r="103" spans="1:8" s="606" customFormat="1" ht="50.1" customHeight="1" outlineLevel="1">
      <c r="A103" s="623">
        <f t="shared" si="7"/>
        <v>63</v>
      </c>
      <c r="B103" s="596" t="s">
        <v>451</v>
      </c>
      <c r="C103" s="625" t="s">
        <v>89</v>
      </c>
      <c r="D103" s="604" t="s">
        <v>8</v>
      </c>
      <c r="E103" s="579">
        <v>2959.24</v>
      </c>
      <c r="F103" s="605">
        <v>250</v>
      </c>
      <c r="G103" s="650">
        <f t="shared" si="6"/>
        <v>3209.24</v>
      </c>
      <c r="H103" s="650">
        <v>50</v>
      </c>
    </row>
    <row r="104" spans="1:8" s="606" customFormat="1" ht="50.1" customHeight="1" outlineLevel="1">
      <c r="A104" s="623">
        <f t="shared" si="7"/>
        <v>64</v>
      </c>
      <c r="B104" s="596" t="s">
        <v>470</v>
      </c>
      <c r="C104" s="625" t="s">
        <v>88</v>
      </c>
      <c r="D104" s="625" t="s">
        <v>8</v>
      </c>
      <c r="E104" s="579">
        <v>2959.24</v>
      </c>
      <c r="F104" s="605">
        <v>250</v>
      </c>
      <c r="G104" s="650">
        <f t="shared" si="6"/>
        <v>3209.24</v>
      </c>
      <c r="H104" s="650">
        <v>50</v>
      </c>
    </row>
    <row r="105" spans="1:8" s="606" customFormat="1" ht="50.1" customHeight="1" outlineLevel="1">
      <c r="A105" s="623">
        <f t="shared" si="7"/>
        <v>65</v>
      </c>
      <c r="B105" s="596" t="s">
        <v>511</v>
      </c>
      <c r="C105" s="625" t="s">
        <v>88</v>
      </c>
      <c r="D105" s="625" t="s">
        <v>8</v>
      </c>
      <c r="E105" s="579">
        <v>2959.24</v>
      </c>
      <c r="F105" s="605">
        <v>250</v>
      </c>
      <c r="G105" s="650">
        <f t="shared" si="6"/>
        <v>3209.24</v>
      </c>
      <c r="H105" s="650">
        <v>50</v>
      </c>
    </row>
    <row r="106" spans="1:8" s="606" customFormat="1" ht="50.1" customHeight="1" outlineLevel="1">
      <c r="A106" s="623">
        <f t="shared" si="7"/>
        <v>66</v>
      </c>
      <c r="B106" s="624" t="s">
        <v>442</v>
      </c>
      <c r="C106" s="625" t="s">
        <v>89</v>
      </c>
      <c r="D106" s="604" t="s">
        <v>8</v>
      </c>
      <c r="E106" s="579">
        <v>2959.24</v>
      </c>
      <c r="F106" s="605">
        <f>250</f>
        <v>250</v>
      </c>
      <c r="G106" s="650">
        <f t="shared" si="6"/>
        <v>3209.24</v>
      </c>
      <c r="H106" s="650">
        <v>50</v>
      </c>
    </row>
    <row r="107" spans="1:8" s="606" customFormat="1" ht="50.1" customHeight="1" outlineLevel="1">
      <c r="A107" s="623">
        <f t="shared" si="7"/>
        <v>67</v>
      </c>
      <c r="B107" s="624" t="s">
        <v>443</v>
      </c>
      <c r="C107" s="625" t="s">
        <v>89</v>
      </c>
      <c r="D107" s="604" t="s">
        <v>8</v>
      </c>
      <c r="E107" s="579">
        <v>2959.24</v>
      </c>
      <c r="F107" s="605">
        <f>250</f>
        <v>250</v>
      </c>
      <c r="G107" s="650">
        <f t="shared" si="6"/>
        <v>3209.24</v>
      </c>
      <c r="H107" s="650">
        <v>50</v>
      </c>
    </row>
    <row r="108" spans="1:8" s="657" customFormat="1" ht="50.1" customHeight="1" outlineLevel="1">
      <c r="A108" s="623">
        <f t="shared" si="7"/>
        <v>68</v>
      </c>
      <c r="B108" s="596" t="s">
        <v>521</v>
      </c>
      <c r="C108" s="572" t="s">
        <v>89</v>
      </c>
      <c r="D108" s="572" t="s">
        <v>8</v>
      </c>
      <c r="E108" s="579">
        <v>2959.24</v>
      </c>
      <c r="F108" s="655">
        <f>250</f>
        <v>250</v>
      </c>
      <c r="G108" s="656">
        <f>+E108+F108</f>
        <v>3209.24</v>
      </c>
      <c r="H108" s="650">
        <v>50</v>
      </c>
    </row>
    <row r="109" spans="1:8" s="657" customFormat="1" ht="50.1" customHeight="1" outlineLevel="1">
      <c r="A109" s="623">
        <f t="shared" si="7"/>
        <v>69</v>
      </c>
      <c r="B109" s="596" t="s">
        <v>523</v>
      </c>
      <c r="C109" s="572" t="s">
        <v>89</v>
      </c>
      <c r="D109" s="572" t="s">
        <v>8</v>
      </c>
      <c r="E109" s="579">
        <v>2959.24</v>
      </c>
      <c r="F109" s="655">
        <f>250</f>
        <v>250</v>
      </c>
      <c r="G109" s="656">
        <f>+E109+F109</f>
        <v>3209.24</v>
      </c>
      <c r="H109" s="650">
        <v>50</v>
      </c>
    </row>
    <row r="110" spans="1:8" s="657" customFormat="1" ht="50.1" customHeight="1" outlineLevel="1">
      <c r="A110" s="623">
        <f t="shared" si="7"/>
        <v>70</v>
      </c>
      <c r="B110" s="596" t="s">
        <v>524</v>
      </c>
      <c r="C110" s="572" t="s">
        <v>89</v>
      </c>
      <c r="D110" s="572" t="s">
        <v>8</v>
      </c>
      <c r="E110" s="579">
        <v>2959.24</v>
      </c>
      <c r="F110" s="655">
        <f>250</f>
        <v>250</v>
      </c>
      <c r="G110" s="656">
        <f>+E110+F110</f>
        <v>3209.24</v>
      </c>
      <c r="H110" s="650">
        <v>50</v>
      </c>
    </row>
    <row r="111" spans="1:8" s="657" customFormat="1" ht="50.1" customHeight="1" outlineLevel="1">
      <c r="A111" s="623">
        <f t="shared" si="7"/>
        <v>71</v>
      </c>
      <c r="B111" s="596" t="s">
        <v>525</v>
      </c>
      <c r="C111" s="572" t="s">
        <v>89</v>
      </c>
      <c r="D111" s="572" t="s">
        <v>8</v>
      </c>
      <c r="E111" s="579">
        <v>2959.24</v>
      </c>
      <c r="F111" s="655">
        <f>250</f>
        <v>250</v>
      </c>
      <c r="G111" s="656">
        <f>+E111+F111</f>
        <v>3209.24</v>
      </c>
      <c r="H111" s="650">
        <v>50</v>
      </c>
    </row>
    <row r="112" spans="1:8" s="647" customFormat="1" ht="50.1" customHeight="1" outlineLevel="1" thickBot="1">
      <c r="A112" s="623"/>
      <c r="B112" s="653"/>
      <c r="C112" s="647" t="s">
        <v>92</v>
      </c>
      <c r="E112" s="648">
        <f>SUM(E100:E111)</f>
        <v>35510.87999999999</v>
      </c>
      <c r="F112" s="648">
        <f>SUM(F100:F111)</f>
        <v>3000</v>
      </c>
      <c r="G112" s="648">
        <f>SUM(G100:G111)</f>
        <v>38510.87999999999</v>
      </c>
      <c r="H112" s="648">
        <f>SUM(H100:H111)</f>
        <v>600</v>
      </c>
    </row>
    <row r="113" spans="1:9" s="606" customFormat="1" ht="50.1" customHeight="1" outlineLevel="1" thickTop="1">
      <c r="A113" s="623"/>
      <c r="B113" s="549"/>
      <c r="C113" s="654"/>
      <c r="E113" s="643"/>
      <c r="F113" s="643"/>
      <c r="G113" s="643"/>
      <c r="H113" s="643"/>
    </row>
    <row r="114" spans="1:9" s="606" customFormat="1" ht="50.1" customHeight="1" outlineLevel="1">
      <c r="A114" s="623"/>
      <c r="B114" s="567" t="s">
        <v>362</v>
      </c>
      <c r="C114" s="654"/>
      <c r="E114" s="643"/>
      <c r="F114" s="643"/>
      <c r="G114" s="643"/>
      <c r="H114" s="643"/>
    </row>
    <row r="115" spans="1:9" s="606" customFormat="1" ht="50.1" customHeight="1" outlineLevel="1">
      <c r="A115" s="623">
        <f>A111+1</f>
        <v>72</v>
      </c>
      <c r="B115" s="571" t="s">
        <v>465</v>
      </c>
      <c r="C115" s="625" t="s">
        <v>363</v>
      </c>
      <c r="D115" s="604" t="s">
        <v>9</v>
      </c>
      <c r="E115" s="579">
        <v>2959.24</v>
      </c>
      <c r="F115" s="605">
        <v>250</v>
      </c>
      <c r="G115" s="650">
        <f>+E115+F115</f>
        <v>3209.24</v>
      </c>
      <c r="H115" s="650">
        <v>50</v>
      </c>
    </row>
    <row r="116" spans="1:9" s="599" customFormat="1" ht="50.1" customHeight="1" outlineLevel="1">
      <c r="A116" s="575">
        <f>A115+1</f>
        <v>73</v>
      </c>
      <c r="B116" s="596" t="s">
        <v>532</v>
      </c>
      <c r="C116" s="596" t="s">
        <v>363</v>
      </c>
      <c r="D116" s="572" t="s">
        <v>8</v>
      </c>
      <c r="E116" s="579">
        <v>2959.24</v>
      </c>
      <c r="F116" s="598">
        <f>250</f>
        <v>250</v>
      </c>
      <c r="G116" s="651">
        <f>+E116+F116</f>
        <v>3209.24</v>
      </c>
      <c r="H116" s="651">
        <v>50</v>
      </c>
    </row>
    <row r="117" spans="1:9" s="647" customFormat="1" ht="50.1" customHeight="1" outlineLevel="1">
      <c r="A117" s="623"/>
      <c r="B117" s="543"/>
      <c r="C117" s="647" t="s">
        <v>364</v>
      </c>
      <c r="E117" s="658">
        <f>SUM(E115:E116)</f>
        <v>5918.48</v>
      </c>
      <c r="F117" s="658">
        <f>SUM(F115:F116)</f>
        <v>500</v>
      </c>
      <c r="G117" s="658">
        <f>SUM(G115:G116)</f>
        <v>6418.48</v>
      </c>
      <c r="H117" s="658">
        <f>SUM(H115:H116)</f>
        <v>100</v>
      </c>
    </row>
    <row r="118" spans="1:9" s="606" customFormat="1" ht="50.1" customHeight="1" outlineLevel="1" thickBot="1">
      <c r="A118" s="623"/>
      <c r="B118" s="549"/>
      <c r="C118" s="654" t="s">
        <v>365</v>
      </c>
      <c r="E118" s="659">
        <f>SUM(E97+E112+E117)</f>
        <v>91736.439999999959</v>
      </c>
      <c r="F118" s="659">
        <f>SUM(F97+F112+F117)</f>
        <v>7750</v>
      </c>
      <c r="G118" s="659">
        <f>SUM(G97+G112+G117)</f>
        <v>99486.439999999959</v>
      </c>
      <c r="H118" s="659">
        <f>SUM(H97+H112+H117)</f>
        <v>1550</v>
      </c>
    </row>
    <row r="119" spans="1:9" s="634" customFormat="1" ht="50.1" customHeight="1" outlineLevel="1" thickTop="1">
      <c r="A119" s="660"/>
      <c r="B119" s="567" t="s">
        <v>99</v>
      </c>
      <c r="C119" s="623"/>
      <c r="D119" s="606"/>
      <c r="I119" s="606"/>
    </row>
    <row r="120" spans="1:9" s="634" customFormat="1" ht="50.1" customHeight="1" outlineLevel="1">
      <c r="A120" s="660"/>
      <c r="B120" s="661" t="s">
        <v>100</v>
      </c>
      <c r="C120" s="623"/>
      <c r="D120" s="606"/>
      <c r="I120" s="606"/>
    </row>
    <row r="121" spans="1:9" s="606" customFormat="1" ht="50.1" customHeight="1" outlineLevel="1">
      <c r="A121" s="575">
        <f>A116+1</f>
        <v>74</v>
      </c>
      <c r="B121" s="624" t="s">
        <v>101</v>
      </c>
      <c r="C121" s="625" t="s">
        <v>102</v>
      </c>
      <c r="D121" s="625" t="s">
        <v>9</v>
      </c>
      <c r="E121" s="662">
        <v>6000</v>
      </c>
      <c r="F121" s="662">
        <v>2000</v>
      </c>
      <c r="G121" s="662">
        <f t="shared" ref="G121:G127" si="8">+E121+F121</f>
        <v>8000</v>
      </c>
      <c r="H121" s="662">
        <v>75</v>
      </c>
    </row>
    <row r="122" spans="1:9" s="606" customFormat="1" ht="50.1" customHeight="1" outlineLevel="1">
      <c r="A122" s="575">
        <f>A121+1</f>
        <v>75</v>
      </c>
      <c r="B122" s="624" t="s">
        <v>469</v>
      </c>
      <c r="C122" s="625" t="s">
        <v>411</v>
      </c>
      <c r="D122" s="625" t="s">
        <v>9</v>
      </c>
      <c r="E122" s="662">
        <v>3000</v>
      </c>
      <c r="F122" s="662">
        <v>1000</v>
      </c>
      <c r="G122" s="662">
        <f t="shared" si="8"/>
        <v>4000</v>
      </c>
      <c r="H122" s="662">
        <v>50</v>
      </c>
    </row>
    <row r="123" spans="1:9" s="606" customFormat="1" ht="50.1" customHeight="1" outlineLevel="1">
      <c r="A123" s="575">
        <f t="shared" ref="A123:A129" si="9">A122+1</f>
        <v>76</v>
      </c>
      <c r="B123" s="596" t="s">
        <v>428</v>
      </c>
      <c r="C123" s="625" t="s">
        <v>107</v>
      </c>
      <c r="D123" s="604" t="s">
        <v>8</v>
      </c>
      <c r="E123" s="579">
        <v>2959.24</v>
      </c>
      <c r="F123" s="605">
        <v>450</v>
      </c>
      <c r="G123" s="605">
        <f t="shared" si="8"/>
        <v>3409.24</v>
      </c>
      <c r="H123" s="662">
        <v>50</v>
      </c>
    </row>
    <row r="124" spans="1:9" s="606" customFormat="1" ht="50.1" customHeight="1" outlineLevel="1">
      <c r="A124" s="575">
        <f>A123+1</f>
        <v>77</v>
      </c>
      <c r="B124" s="624" t="s">
        <v>438</v>
      </c>
      <c r="C124" s="625" t="s">
        <v>54</v>
      </c>
      <c r="D124" s="604" t="s">
        <v>8</v>
      </c>
      <c r="E124" s="579">
        <v>2959.24</v>
      </c>
      <c r="F124" s="605">
        <v>1400</v>
      </c>
      <c r="G124" s="650">
        <f t="shared" si="8"/>
        <v>4359.24</v>
      </c>
      <c r="H124" s="662">
        <v>50</v>
      </c>
    </row>
    <row r="125" spans="1:9" s="606" customFormat="1" ht="50.1" customHeight="1" outlineLevel="1">
      <c r="A125" s="575">
        <f t="shared" si="9"/>
        <v>78</v>
      </c>
      <c r="B125" s="596" t="s">
        <v>439</v>
      </c>
      <c r="C125" s="625" t="s">
        <v>337</v>
      </c>
      <c r="D125" s="604" t="s">
        <v>8</v>
      </c>
      <c r="E125" s="579">
        <v>2959.24</v>
      </c>
      <c r="F125" s="605">
        <v>750</v>
      </c>
      <c r="G125" s="650">
        <f t="shared" si="8"/>
        <v>3709.24</v>
      </c>
      <c r="H125" s="662">
        <v>50</v>
      </c>
    </row>
    <row r="126" spans="1:9" s="606" customFormat="1" ht="50.1" customHeight="1" outlineLevel="1">
      <c r="A126" s="575">
        <f t="shared" si="9"/>
        <v>79</v>
      </c>
      <c r="B126" s="596" t="s">
        <v>429</v>
      </c>
      <c r="C126" s="625" t="s">
        <v>337</v>
      </c>
      <c r="D126" s="604" t="s">
        <v>8</v>
      </c>
      <c r="E126" s="579">
        <v>2959.24</v>
      </c>
      <c r="F126" s="605">
        <v>750</v>
      </c>
      <c r="G126" s="650">
        <f t="shared" si="8"/>
        <v>3709.24</v>
      </c>
      <c r="H126" s="662">
        <v>50</v>
      </c>
    </row>
    <row r="127" spans="1:9" s="657" customFormat="1" ht="50.1" customHeight="1" outlineLevel="1">
      <c r="A127" s="575">
        <f t="shared" si="9"/>
        <v>80</v>
      </c>
      <c r="B127" s="596" t="s">
        <v>493</v>
      </c>
      <c r="C127" s="572" t="s">
        <v>488</v>
      </c>
      <c r="D127" s="572" t="s">
        <v>9</v>
      </c>
      <c r="E127" s="663">
        <v>3000</v>
      </c>
      <c r="F127" s="655">
        <v>250</v>
      </c>
      <c r="G127" s="655">
        <f t="shared" si="8"/>
        <v>3250</v>
      </c>
      <c r="H127" s="662">
        <v>50</v>
      </c>
    </row>
    <row r="128" spans="1:9" s="575" customFormat="1" ht="50.1" customHeight="1" outlineLevel="1">
      <c r="A128" s="575">
        <f t="shared" si="9"/>
        <v>81</v>
      </c>
      <c r="B128" s="596" t="s">
        <v>502</v>
      </c>
      <c r="C128" s="572" t="s">
        <v>54</v>
      </c>
      <c r="D128" s="572" t="s">
        <v>8</v>
      </c>
      <c r="E128" s="579">
        <v>2959.24</v>
      </c>
      <c r="F128" s="574">
        <f>1150+250</f>
        <v>1400</v>
      </c>
      <c r="G128" s="652">
        <f>+E128+F128</f>
        <v>4359.24</v>
      </c>
      <c r="H128" s="662">
        <v>50</v>
      </c>
    </row>
    <row r="129" spans="1:8" s="599" customFormat="1" ht="50.1" customHeight="1" outlineLevel="1">
      <c r="A129" s="575">
        <f t="shared" si="9"/>
        <v>82</v>
      </c>
      <c r="B129" s="596" t="s">
        <v>518</v>
      </c>
      <c r="C129" s="572" t="s">
        <v>107</v>
      </c>
      <c r="D129" s="572" t="s">
        <v>8</v>
      </c>
      <c r="E129" s="579">
        <v>2959.24</v>
      </c>
      <c r="F129" s="598">
        <f>250+150</f>
        <v>400</v>
      </c>
      <c r="G129" s="651">
        <f>+E129+F129</f>
        <v>3359.24</v>
      </c>
      <c r="H129" s="662">
        <v>50</v>
      </c>
    </row>
    <row r="130" spans="1:8" s="646" customFormat="1" ht="50.1" customHeight="1" outlineLevel="1" thickBot="1">
      <c r="A130" s="623"/>
      <c r="B130" s="653"/>
      <c r="C130" s="647" t="s">
        <v>105</v>
      </c>
      <c r="E130" s="648">
        <f>SUM(E121:E129)</f>
        <v>29755.439999999995</v>
      </c>
      <c r="F130" s="648">
        <f>SUM(F121:F129)</f>
        <v>8400</v>
      </c>
      <c r="G130" s="648">
        <f>SUM(G121:G129)</f>
        <v>38155.439999999995</v>
      </c>
      <c r="H130" s="648">
        <f>SUM(H121:H129)</f>
        <v>475</v>
      </c>
    </row>
    <row r="131" spans="1:8" s="606" customFormat="1" ht="50.1" customHeight="1" outlineLevel="1" thickTop="1">
      <c r="A131" s="623"/>
      <c r="B131" s="661" t="s">
        <v>277</v>
      </c>
      <c r="C131" s="623"/>
      <c r="E131" s="634"/>
      <c r="F131" s="634"/>
      <c r="G131" s="634"/>
      <c r="H131" s="634"/>
    </row>
    <row r="132" spans="1:8" s="647" customFormat="1" ht="50.1" customHeight="1" outlineLevel="1">
      <c r="A132" s="575">
        <f>A129+1</f>
        <v>83</v>
      </c>
      <c r="B132" s="624" t="s">
        <v>425</v>
      </c>
      <c r="C132" s="625" t="s">
        <v>103</v>
      </c>
      <c r="D132" s="625" t="s">
        <v>8</v>
      </c>
      <c r="E132" s="579">
        <v>2959.24</v>
      </c>
      <c r="F132" s="662">
        <f>500</f>
        <v>500</v>
      </c>
      <c r="G132" s="662">
        <f t="shared" ref="G132:G137" si="10">+E132+F132</f>
        <v>3459.24</v>
      </c>
      <c r="H132" s="662">
        <v>50</v>
      </c>
    </row>
    <row r="133" spans="1:8" s="647" customFormat="1" ht="50.1" customHeight="1" outlineLevel="1">
      <c r="A133" s="575">
        <f>+A132+1</f>
        <v>84</v>
      </c>
      <c r="B133" s="624" t="s">
        <v>560</v>
      </c>
      <c r="C133" s="625" t="s">
        <v>561</v>
      </c>
      <c r="D133" s="625" t="s">
        <v>8</v>
      </c>
      <c r="E133" s="662">
        <v>3000</v>
      </c>
      <c r="F133" s="664">
        <f>1000</f>
        <v>1000</v>
      </c>
      <c r="G133" s="662">
        <f t="shared" si="10"/>
        <v>4000</v>
      </c>
      <c r="H133" s="662">
        <v>50</v>
      </c>
    </row>
    <row r="134" spans="1:8" s="575" customFormat="1" ht="50.1" customHeight="1" outlineLevel="1">
      <c r="A134" s="575">
        <f>+A133+1</f>
        <v>85</v>
      </c>
      <c r="B134" s="596" t="s">
        <v>519</v>
      </c>
      <c r="C134" s="572" t="s">
        <v>107</v>
      </c>
      <c r="D134" s="572" t="s">
        <v>9</v>
      </c>
      <c r="E134" s="579">
        <v>2959.24</v>
      </c>
      <c r="F134" s="574">
        <f>250+150</f>
        <v>400</v>
      </c>
      <c r="G134" s="574">
        <f t="shared" si="10"/>
        <v>3359.24</v>
      </c>
      <c r="H134" s="662">
        <v>50</v>
      </c>
    </row>
    <row r="135" spans="1:8" s="575" customFormat="1" ht="50.1" customHeight="1" outlineLevel="1">
      <c r="A135" s="575">
        <f>+A134+1</f>
        <v>86</v>
      </c>
      <c r="B135" s="596" t="s">
        <v>566</v>
      </c>
      <c r="C135" s="572" t="s">
        <v>107</v>
      </c>
      <c r="D135" s="572" t="s">
        <v>8</v>
      </c>
      <c r="E135" s="579">
        <v>2959.24</v>
      </c>
      <c r="F135" s="574">
        <v>250</v>
      </c>
      <c r="G135" s="574">
        <f t="shared" si="10"/>
        <v>3209.24</v>
      </c>
      <c r="H135" s="662">
        <v>50</v>
      </c>
    </row>
    <row r="136" spans="1:8" s="654" customFormat="1" ht="50.1" customHeight="1" outlineLevel="1">
      <c r="A136" s="575">
        <f>+A135+1</f>
        <v>87</v>
      </c>
      <c r="B136" s="596" t="s">
        <v>537</v>
      </c>
      <c r="C136" s="572" t="s">
        <v>103</v>
      </c>
      <c r="D136" s="572" t="s">
        <v>8</v>
      </c>
      <c r="E136" s="579">
        <v>2959.24</v>
      </c>
      <c r="F136" s="574">
        <f>500</f>
        <v>500</v>
      </c>
      <c r="G136" s="574">
        <f t="shared" si="10"/>
        <v>3459.24</v>
      </c>
      <c r="H136" s="662">
        <v>50</v>
      </c>
    </row>
    <row r="137" spans="1:8" s="613" customFormat="1" ht="50.1" customHeight="1" outlineLevel="1">
      <c r="A137" s="575">
        <f>+A136+1</f>
        <v>88</v>
      </c>
      <c r="B137" s="645" t="s">
        <v>540</v>
      </c>
      <c r="C137" s="615" t="s">
        <v>501</v>
      </c>
      <c r="D137" s="615" t="s">
        <v>8</v>
      </c>
      <c r="E137" s="579">
        <v>2959.24</v>
      </c>
      <c r="F137" s="664">
        <v>250</v>
      </c>
      <c r="G137" s="664">
        <f t="shared" si="10"/>
        <v>3209.24</v>
      </c>
      <c r="H137" s="662">
        <v>50</v>
      </c>
    </row>
    <row r="138" spans="1:8" s="647" customFormat="1" ht="50.1" customHeight="1" outlineLevel="1">
      <c r="A138" s="623"/>
      <c r="B138" s="653"/>
      <c r="C138" s="654" t="s">
        <v>108</v>
      </c>
      <c r="E138" s="665">
        <f>SUM(E132:E137)</f>
        <v>17796.199999999997</v>
      </c>
      <c r="F138" s="665">
        <f>SUM(F132:F137)</f>
        <v>2900</v>
      </c>
      <c r="G138" s="665">
        <f>SUM(G132:G137)</f>
        <v>20696.199999999997</v>
      </c>
      <c r="H138" s="665">
        <f>SUM(H132:H137)</f>
        <v>300</v>
      </c>
    </row>
    <row r="139" spans="1:8" s="647" customFormat="1" ht="50.1" customHeight="1" outlineLevel="1" thickBot="1">
      <c r="A139" s="623"/>
      <c r="B139" s="543"/>
      <c r="C139" s="654" t="s">
        <v>109</v>
      </c>
      <c r="E139" s="666">
        <f>SUM(E130+E138)</f>
        <v>47551.639999999992</v>
      </c>
      <c r="F139" s="666">
        <f>SUM(F130+F138)</f>
        <v>11300</v>
      </c>
      <c r="G139" s="666">
        <f>SUM(G130+G138)</f>
        <v>58851.639999999992</v>
      </c>
      <c r="H139" s="666">
        <f>SUM(H130+H138)</f>
        <v>775</v>
      </c>
    </row>
    <row r="140" spans="1:8" s="606" customFormat="1" ht="50.1" customHeight="1" outlineLevel="1" thickTop="1">
      <c r="A140" s="623"/>
      <c r="B140" s="567" t="s">
        <v>110</v>
      </c>
      <c r="C140" s="623"/>
      <c r="E140" s="634"/>
      <c r="F140" s="634"/>
      <c r="G140" s="634"/>
      <c r="H140" s="634"/>
    </row>
    <row r="141" spans="1:8" s="606" customFormat="1" ht="50.1" customHeight="1" outlineLevel="1">
      <c r="A141" s="623">
        <f>+A137+1</f>
        <v>89</v>
      </c>
      <c r="B141" s="624" t="s">
        <v>421</v>
      </c>
      <c r="C141" s="625" t="s">
        <v>111</v>
      </c>
      <c r="D141" s="604" t="s">
        <v>8</v>
      </c>
      <c r="E141" s="605">
        <v>3500</v>
      </c>
      <c r="F141" s="605">
        <v>700</v>
      </c>
      <c r="G141" s="605">
        <f>+E141+F141</f>
        <v>4200</v>
      </c>
      <c r="H141" s="605">
        <v>50</v>
      </c>
    </row>
    <row r="142" spans="1:8" s="606" customFormat="1" ht="50.1" customHeight="1" outlineLevel="1">
      <c r="A142" s="623">
        <f>+A141+1</f>
        <v>90</v>
      </c>
      <c r="B142" s="624" t="s">
        <v>422</v>
      </c>
      <c r="C142" s="625" t="s">
        <v>112</v>
      </c>
      <c r="D142" s="604" t="s">
        <v>8</v>
      </c>
      <c r="E142" s="603">
        <v>2975</v>
      </c>
      <c r="F142" s="605">
        <f>700</f>
        <v>700</v>
      </c>
      <c r="G142" s="605">
        <f>+E142+F142</f>
        <v>3675</v>
      </c>
      <c r="H142" s="605">
        <v>50</v>
      </c>
    </row>
    <row r="143" spans="1:8" s="606" customFormat="1" ht="50.1" customHeight="1" outlineLevel="1">
      <c r="A143" s="623">
        <f>+A142+1</f>
        <v>91</v>
      </c>
      <c r="B143" s="624" t="s">
        <v>468</v>
      </c>
      <c r="C143" s="625" t="s">
        <v>487</v>
      </c>
      <c r="D143" s="604" t="s">
        <v>9</v>
      </c>
      <c r="E143" s="579">
        <v>2959.24</v>
      </c>
      <c r="F143" s="605">
        <v>250</v>
      </c>
      <c r="G143" s="650">
        <f>+E143+F143</f>
        <v>3209.24</v>
      </c>
      <c r="H143" s="650">
        <v>50</v>
      </c>
    </row>
    <row r="144" spans="1:8" s="627" customFormat="1" ht="50.1" customHeight="1" outlineLevel="1" thickBot="1">
      <c r="A144" s="561"/>
      <c r="B144" s="543"/>
      <c r="C144" s="601" t="s">
        <v>113</v>
      </c>
      <c r="E144" s="620">
        <f>SUM(E141:E143)</f>
        <v>9434.24</v>
      </c>
      <c r="F144" s="621">
        <f>SUM(F141:F143)</f>
        <v>1650</v>
      </c>
      <c r="G144" s="621">
        <f>SUM(G141:G143)</f>
        <v>11084.24</v>
      </c>
      <c r="H144" s="621">
        <f>SUM(H141:H143)</f>
        <v>150</v>
      </c>
    </row>
    <row r="145" spans="1:9" s="612" customFormat="1" ht="50.1" customHeight="1" outlineLevel="1" thickTop="1">
      <c r="A145" s="610"/>
      <c r="B145" s="543"/>
      <c r="C145" s="601" t="s">
        <v>114</v>
      </c>
      <c r="D145" s="627"/>
      <c r="E145" s="643">
        <f>SUM(E68+E78+E97+E112+E117+E130+E138+E144)</f>
        <v>202231.55999999994</v>
      </c>
      <c r="F145" s="643">
        <f>SUM(F68+F78+F97+F112+F117+F130+F138+F144)</f>
        <v>38700</v>
      </c>
      <c r="G145" s="643">
        <f>SUM(G68+G78+G97+G112+G117+G130+G138+G144)</f>
        <v>240931.55999999994</v>
      </c>
      <c r="H145" s="643">
        <f>SUM(H68+H78+H97+H112+H117+H130+H138+H144)</f>
        <v>3200</v>
      </c>
      <c r="I145" s="627"/>
    </row>
    <row r="146" spans="1:9" s="612" customFormat="1" ht="50.1" customHeight="1" outlineLevel="1">
      <c r="A146" s="610"/>
      <c r="B146" s="543"/>
      <c r="C146" s="601"/>
      <c r="D146" s="627"/>
      <c r="E146" s="611"/>
      <c r="I146" s="627"/>
    </row>
    <row r="147" spans="1:9" s="612" customFormat="1" ht="50.1" customHeight="1" outlineLevel="1">
      <c r="A147" s="610"/>
      <c r="B147" s="543" t="s">
        <v>115</v>
      </c>
      <c r="C147" s="601"/>
      <c r="D147" s="627"/>
      <c r="E147" s="611"/>
      <c r="I147" s="627"/>
    </row>
    <row r="148" spans="1:9" s="612" customFormat="1" ht="50.1" customHeight="1" outlineLevel="1">
      <c r="A148" s="610"/>
      <c r="B148" s="567" t="s">
        <v>116</v>
      </c>
      <c r="C148" s="587"/>
      <c r="D148" s="627"/>
      <c r="E148" s="611"/>
      <c r="I148" s="627"/>
    </row>
    <row r="149" spans="1:9" s="612" customFormat="1" ht="50.1" customHeight="1" outlineLevel="1">
      <c r="A149" s="610"/>
      <c r="B149" s="567" t="s">
        <v>198</v>
      </c>
      <c r="C149" s="587"/>
      <c r="D149" s="627"/>
      <c r="E149" s="611"/>
      <c r="I149" s="627"/>
    </row>
    <row r="150" spans="1:9" s="586" customFormat="1" ht="50.1" customHeight="1" outlineLevel="1">
      <c r="A150" s="593">
        <f>A143+1</f>
        <v>92</v>
      </c>
      <c r="B150" s="596" t="s">
        <v>467</v>
      </c>
      <c r="C150" s="572" t="s">
        <v>374</v>
      </c>
      <c r="D150" s="667" t="s">
        <v>9</v>
      </c>
      <c r="E150" s="574">
        <v>19460</v>
      </c>
      <c r="F150" s="585">
        <v>250</v>
      </c>
      <c r="G150" s="585">
        <f t="shared" ref="G150:G156" si="11">+E150+F150</f>
        <v>19710</v>
      </c>
      <c r="H150" s="585">
        <v>150</v>
      </c>
    </row>
    <row r="151" spans="1:9" s="539" customFormat="1" ht="50.1" customHeight="1" outlineLevel="1">
      <c r="A151" s="593">
        <f>A150+1</f>
        <v>93</v>
      </c>
      <c r="B151" s="596" t="s">
        <v>513</v>
      </c>
      <c r="C151" s="572" t="s">
        <v>374</v>
      </c>
      <c r="D151" s="582" t="s">
        <v>8</v>
      </c>
      <c r="E151" s="574">
        <v>10000</v>
      </c>
      <c r="F151" s="595">
        <f>3750+250</f>
        <v>4000</v>
      </c>
      <c r="G151" s="595">
        <f t="shared" si="11"/>
        <v>14000</v>
      </c>
      <c r="H151" s="595">
        <v>150</v>
      </c>
    </row>
    <row r="152" spans="1:9" s="539" customFormat="1" ht="50.1" customHeight="1" outlineLevel="1">
      <c r="A152" s="593">
        <f>A151+1</f>
        <v>94</v>
      </c>
      <c r="B152" s="571" t="s">
        <v>370</v>
      </c>
      <c r="C152" s="582" t="s">
        <v>412</v>
      </c>
      <c r="D152" s="582" t="s">
        <v>8</v>
      </c>
      <c r="E152" s="574">
        <v>3000</v>
      </c>
      <c r="F152" s="595">
        <f>250+1500</f>
        <v>1750</v>
      </c>
      <c r="G152" s="595">
        <f t="shared" si="11"/>
        <v>4750</v>
      </c>
      <c r="H152" s="595">
        <v>50</v>
      </c>
    </row>
    <row r="153" spans="1:9" s="657" customFormat="1" ht="50.1" customHeight="1" outlineLevel="1">
      <c r="A153" s="593">
        <f>A152+1</f>
        <v>95</v>
      </c>
      <c r="B153" s="596" t="s">
        <v>427</v>
      </c>
      <c r="C153" s="572" t="s">
        <v>477</v>
      </c>
      <c r="D153" s="572" t="s">
        <v>8</v>
      </c>
      <c r="E153" s="574">
        <v>4000</v>
      </c>
      <c r="F153" s="598">
        <v>550</v>
      </c>
      <c r="G153" s="598">
        <f t="shared" si="11"/>
        <v>4550</v>
      </c>
      <c r="H153" s="595">
        <v>50</v>
      </c>
    </row>
    <row r="154" spans="1:9" s="657" customFormat="1" ht="50.1" customHeight="1" outlineLevel="1">
      <c r="A154" s="593">
        <f>A153+1</f>
        <v>96</v>
      </c>
      <c r="B154" s="596" t="s">
        <v>546</v>
      </c>
      <c r="C154" s="572" t="s">
        <v>547</v>
      </c>
      <c r="D154" s="572" t="s">
        <v>9</v>
      </c>
      <c r="E154" s="579">
        <v>2959.24</v>
      </c>
      <c r="F154" s="598">
        <v>250</v>
      </c>
      <c r="G154" s="598">
        <f t="shared" si="11"/>
        <v>3209.24</v>
      </c>
      <c r="H154" s="595">
        <v>50</v>
      </c>
    </row>
    <row r="155" spans="1:9" s="657" customFormat="1" ht="50.1" customHeight="1" outlineLevel="1">
      <c r="A155" s="593">
        <v>97</v>
      </c>
      <c r="B155" s="596" t="s">
        <v>597</v>
      </c>
      <c r="C155" s="572" t="s">
        <v>547</v>
      </c>
      <c r="D155" s="572" t="s">
        <v>9</v>
      </c>
      <c r="E155" s="579">
        <v>2959.24</v>
      </c>
      <c r="F155" s="598">
        <v>250</v>
      </c>
      <c r="G155" s="598">
        <f t="shared" si="11"/>
        <v>3209.24</v>
      </c>
      <c r="H155" s="595">
        <v>50</v>
      </c>
    </row>
    <row r="156" spans="1:9" s="657" customFormat="1" ht="50.1" customHeight="1" outlineLevel="1">
      <c r="A156" s="593">
        <v>98</v>
      </c>
      <c r="B156" s="571" t="s">
        <v>459</v>
      </c>
      <c r="C156" s="572" t="s">
        <v>476</v>
      </c>
      <c r="D156" s="572" t="s">
        <v>9</v>
      </c>
      <c r="E156" s="574">
        <v>4150</v>
      </c>
      <c r="F156" s="598">
        <v>500</v>
      </c>
      <c r="G156" s="598">
        <f t="shared" si="11"/>
        <v>4650</v>
      </c>
      <c r="H156" s="595">
        <v>50</v>
      </c>
    </row>
    <row r="157" spans="1:9" s="587" customFormat="1" ht="50.1" customHeight="1" outlineLevel="1">
      <c r="A157" s="561"/>
      <c r="B157" s="543"/>
      <c r="C157" s="587" t="s">
        <v>117</v>
      </c>
      <c r="E157" s="658">
        <f>+SUM(E150:E156)</f>
        <v>46528.479999999996</v>
      </c>
      <c r="F157" s="668">
        <f>+SUM(F150:F156)</f>
        <v>7550</v>
      </c>
      <c r="G157" s="668">
        <f>+SUM(G150:G156)</f>
        <v>54078.479999999996</v>
      </c>
      <c r="H157" s="668">
        <f>+SUM(H150:H156)</f>
        <v>550</v>
      </c>
    </row>
    <row r="158" spans="1:9" s="591" customFormat="1" ht="50.1" customHeight="1" outlineLevel="1">
      <c r="A158" s="561"/>
      <c r="B158" s="549"/>
      <c r="C158" s="561"/>
      <c r="D158" s="566"/>
      <c r="E158" s="590"/>
      <c r="I158" s="566"/>
    </row>
    <row r="159" spans="1:9" s="539" customFormat="1" ht="50.1" customHeight="1" outlineLevel="1">
      <c r="A159" s="593">
        <f>A156+1</f>
        <v>99</v>
      </c>
      <c r="B159" s="571" t="s">
        <v>420</v>
      </c>
      <c r="C159" s="582" t="s">
        <v>358</v>
      </c>
      <c r="D159" s="583" t="s">
        <v>8</v>
      </c>
      <c r="E159" s="598">
        <v>5000</v>
      </c>
      <c r="F159" s="585">
        <f>250</f>
        <v>250</v>
      </c>
      <c r="G159" s="585">
        <f>+E159+F159</f>
        <v>5250</v>
      </c>
      <c r="H159" s="585">
        <v>50</v>
      </c>
    </row>
    <row r="160" spans="1:9" s="539" customFormat="1" ht="50.1" customHeight="1" outlineLevel="1">
      <c r="A160" s="593">
        <f>+A159+1</f>
        <v>100</v>
      </c>
      <c r="B160" s="571" t="s">
        <v>446</v>
      </c>
      <c r="C160" s="582" t="s">
        <v>358</v>
      </c>
      <c r="D160" s="582" t="s">
        <v>8</v>
      </c>
      <c r="E160" s="655">
        <v>10000</v>
      </c>
      <c r="F160" s="595">
        <v>250</v>
      </c>
      <c r="G160" s="595">
        <f>+E160+F160</f>
        <v>10250</v>
      </c>
      <c r="H160" s="595">
        <v>100</v>
      </c>
    </row>
    <row r="161" spans="1:9" s="587" customFormat="1" ht="50.1" customHeight="1" outlineLevel="1">
      <c r="A161" s="561"/>
      <c r="B161" s="543"/>
      <c r="C161" s="562" t="s">
        <v>118</v>
      </c>
      <c r="E161" s="658">
        <f>SUM(E159:E160)</f>
        <v>15000</v>
      </c>
      <c r="F161" s="668">
        <f>SUM(F159:F160)</f>
        <v>500</v>
      </c>
      <c r="G161" s="668">
        <f>SUM(G159:G160)</f>
        <v>15500</v>
      </c>
      <c r="H161" s="668">
        <f>SUM(H159:H160)</f>
        <v>150</v>
      </c>
    </row>
    <row r="162" spans="1:9" s="627" customFormat="1" ht="50.1" customHeight="1" outlineLevel="1" thickBot="1">
      <c r="A162" s="561"/>
      <c r="B162" s="549"/>
      <c r="C162" s="562" t="s">
        <v>119</v>
      </c>
      <c r="D162" s="566"/>
      <c r="E162" s="659">
        <f>SUM(E157+E161)</f>
        <v>61528.479999999996</v>
      </c>
      <c r="F162" s="669">
        <f>SUM(F157+F161)</f>
        <v>8050</v>
      </c>
      <c r="G162" s="669">
        <f>SUM(G157+G161)</f>
        <v>69578.48</v>
      </c>
      <c r="H162" s="669">
        <f>SUM(H157+H161)</f>
        <v>700</v>
      </c>
    </row>
    <row r="163" spans="1:9" s="591" customFormat="1" ht="50.1" customHeight="1" outlineLevel="1" thickTop="1">
      <c r="A163" s="589"/>
      <c r="B163" s="567" t="s">
        <v>120</v>
      </c>
      <c r="C163" s="561"/>
      <c r="D163" s="566"/>
      <c r="E163" s="634"/>
      <c r="F163" s="592"/>
      <c r="G163" s="592"/>
      <c r="H163" s="592"/>
      <c r="I163" s="627"/>
    </row>
    <row r="164" spans="1:9" s="592" customFormat="1" ht="50.1" customHeight="1" outlineLevel="1">
      <c r="A164" s="610"/>
      <c r="B164" s="567" t="s">
        <v>121</v>
      </c>
      <c r="C164" s="561"/>
      <c r="D164" s="566"/>
      <c r="E164" s="634"/>
      <c r="I164" s="627"/>
    </row>
    <row r="165" spans="1:9" s="592" customFormat="1" ht="50.1" customHeight="1" outlineLevel="1">
      <c r="A165" s="610"/>
      <c r="B165" s="567" t="s">
        <v>278</v>
      </c>
      <c r="C165" s="561"/>
      <c r="D165" s="566"/>
      <c r="E165" s="634"/>
      <c r="I165" s="627"/>
    </row>
    <row r="166" spans="1:9" s="627" customFormat="1" ht="50.1" customHeight="1" outlineLevel="1">
      <c r="A166" s="561"/>
      <c r="B166" s="543" t="s">
        <v>378</v>
      </c>
      <c r="C166" s="561"/>
      <c r="D166" s="566"/>
      <c r="E166" s="643"/>
      <c r="F166" s="644"/>
      <c r="G166" s="644"/>
      <c r="H166" s="644"/>
    </row>
    <row r="167" spans="1:9" s="675" customFormat="1" ht="50.1" customHeight="1" outlineLevel="1">
      <c r="A167" s="670">
        <f>A160+1</f>
        <v>101</v>
      </c>
      <c r="B167" s="671" t="s">
        <v>454</v>
      </c>
      <c r="C167" s="672" t="s">
        <v>124</v>
      </c>
      <c r="D167" s="673" t="s">
        <v>9</v>
      </c>
      <c r="E167" s="674">
        <v>3000</v>
      </c>
      <c r="F167" s="674">
        <f>250</f>
        <v>250</v>
      </c>
      <c r="G167" s="674">
        <f>+E167+F167</f>
        <v>3250</v>
      </c>
      <c r="H167" s="674">
        <v>50</v>
      </c>
    </row>
    <row r="168" spans="1:9" s="539" customFormat="1" ht="50.1" customHeight="1" outlineLevel="1" thickBot="1">
      <c r="A168" s="593"/>
      <c r="B168" s="676"/>
      <c r="C168" s="676" t="s">
        <v>341</v>
      </c>
      <c r="E168" s="677">
        <f>+E167</f>
        <v>3000</v>
      </c>
      <c r="F168" s="678">
        <f>+F167</f>
        <v>250</v>
      </c>
      <c r="G168" s="678">
        <f>+G167</f>
        <v>3250</v>
      </c>
      <c r="H168" s="678">
        <f>+H167</f>
        <v>50</v>
      </c>
    </row>
    <row r="169" spans="1:9" s="668" customFormat="1" ht="50.1" customHeight="1" outlineLevel="1" thickTop="1">
      <c r="A169" s="589"/>
      <c r="B169" s="567" t="s">
        <v>125</v>
      </c>
      <c r="C169" s="561"/>
      <c r="D169" s="566"/>
      <c r="E169" s="658"/>
      <c r="I169" s="627"/>
    </row>
    <row r="170" spans="1:9" s="668" customFormat="1" ht="50.1" customHeight="1" outlineLevel="1">
      <c r="A170" s="589"/>
      <c r="B170" s="543" t="s">
        <v>126</v>
      </c>
      <c r="C170" s="561"/>
      <c r="D170" s="566"/>
      <c r="E170" s="658"/>
      <c r="I170" s="627"/>
    </row>
    <row r="171" spans="1:9" s="657" customFormat="1" ht="50.1" customHeight="1" outlineLevel="1">
      <c r="A171" s="575">
        <f>+A167+1</f>
        <v>102</v>
      </c>
      <c r="B171" s="679" t="s">
        <v>496</v>
      </c>
      <c r="C171" s="680" t="s">
        <v>497</v>
      </c>
      <c r="D171" s="681" t="s">
        <v>9</v>
      </c>
      <c r="E171" s="682">
        <v>4750</v>
      </c>
      <c r="F171" s="682">
        <f>250+1000</f>
        <v>1250</v>
      </c>
      <c r="G171" s="682">
        <f>+E171+F171</f>
        <v>6000</v>
      </c>
      <c r="H171" s="682">
        <v>50</v>
      </c>
    </row>
    <row r="172" spans="1:9" s="627" customFormat="1" ht="50.1" customHeight="1" outlineLevel="1">
      <c r="A172" s="561"/>
      <c r="B172" s="683"/>
      <c r="C172" s="684" t="s">
        <v>128</v>
      </c>
      <c r="D172" s="578"/>
      <c r="E172" s="685">
        <f>SUM(E171:E171)</f>
        <v>4750</v>
      </c>
      <c r="F172" s="686">
        <f>SUM(F171:F171)</f>
        <v>1250</v>
      </c>
      <c r="G172" s="686">
        <f>SUM(G171:G171)</f>
        <v>6000</v>
      </c>
      <c r="H172" s="686">
        <f>SUM(H171:H171)</f>
        <v>50</v>
      </c>
    </row>
    <row r="173" spans="1:9" s="612" customFormat="1" ht="50.1" customHeight="1" outlineLevel="1">
      <c r="A173" s="610"/>
      <c r="B173" s="543"/>
      <c r="C173" s="601"/>
      <c r="D173" s="627"/>
      <c r="E173" s="611"/>
      <c r="I173" s="627"/>
    </row>
    <row r="174" spans="1:9" s="612" customFormat="1" ht="50.1" customHeight="1" outlineLevel="1">
      <c r="A174" s="610"/>
      <c r="B174" s="567" t="s">
        <v>350</v>
      </c>
      <c r="C174" s="601"/>
      <c r="D174" s="627"/>
      <c r="E174" s="611"/>
      <c r="I174" s="627"/>
    </row>
    <row r="175" spans="1:9" s="566" customFormat="1" ht="50.1" customHeight="1" outlineLevel="1">
      <c r="A175" s="561"/>
      <c r="B175" s="687" t="s">
        <v>351</v>
      </c>
      <c r="C175" s="561"/>
      <c r="D175" s="593"/>
      <c r="E175" s="634"/>
      <c r="F175" s="592"/>
      <c r="G175" s="592"/>
      <c r="H175" s="592"/>
    </row>
    <row r="176" spans="1:9" s="606" customFormat="1" ht="50.1" customHeight="1" outlineLevel="1">
      <c r="A176" s="623">
        <v>103</v>
      </c>
      <c r="B176" s="596" t="s">
        <v>457</v>
      </c>
      <c r="C176" s="625" t="s">
        <v>507</v>
      </c>
      <c r="D176" s="625" t="s">
        <v>9</v>
      </c>
      <c r="E176" s="579">
        <v>2959.24</v>
      </c>
      <c r="F176" s="605">
        <v>250</v>
      </c>
      <c r="G176" s="650">
        <f t="shared" ref="G176:G184" si="12">+E176+F176</f>
        <v>3209.24</v>
      </c>
      <c r="H176" s="650">
        <v>50</v>
      </c>
    </row>
    <row r="177" spans="1:9" s="606" customFormat="1" ht="50.1" customHeight="1" outlineLevel="1">
      <c r="A177" s="623">
        <f t="shared" ref="A177:A184" si="13">A176+1</f>
        <v>104</v>
      </c>
      <c r="B177" s="624" t="s">
        <v>453</v>
      </c>
      <c r="C177" s="625" t="s">
        <v>507</v>
      </c>
      <c r="D177" s="625" t="s">
        <v>9</v>
      </c>
      <c r="E177" s="579">
        <f>2959.24+40.37</f>
        <v>2999.6099999999997</v>
      </c>
      <c r="F177" s="605">
        <v>450</v>
      </c>
      <c r="G177" s="605">
        <f t="shared" si="12"/>
        <v>3449.6099999999997</v>
      </c>
      <c r="H177" s="650">
        <v>50</v>
      </c>
    </row>
    <row r="178" spans="1:9" s="606" customFormat="1" ht="50.1" customHeight="1" outlineLevel="1">
      <c r="A178" s="623">
        <f t="shared" si="13"/>
        <v>105</v>
      </c>
      <c r="B178" s="596" t="s">
        <v>335</v>
      </c>
      <c r="C178" s="625" t="s">
        <v>507</v>
      </c>
      <c r="D178" s="625" t="s">
        <v>9</v>
      </c>
      <c r="E178" s="579">
        <v>2959.24</v>
      </c>
      <c r="F178" s="605">
        <v>250</v>
      </c>
      <c r="G178" s="650">
        <f t="shared" si="12"/>
        <v>3209.24</v>
      </c>
      <c r="H178" s="650">
        <v>50</v>
      </c>
    </row>
    <row r="179" spans="1:9" s="599" customFormat="1" ht="50.1" customHeight="1" outlineLevel="1">
      <c r="A179" s="623">
        <f t="shared" si="13"/>
        <v>106</v>
      </c>
      <c r="B179" s="596" t="s">
        <v>489</v>
      </c>
      <c r="C179" s="625" t="s">
        <v>505</v>
      </c>
      <c r="D179" s="572" t="s">
        <v>9</v>
      </c>
      <c r="E179" s="579">
        <v>2959.24</v>
      </c>
      <c r="F179" s="598">
        <f>250</f>
        <v>250</v>
      </c>
      <c r="G179" s="651">
        <f t="shared" si="12"/>
        <v>3209.24</v>
      </c>
      <c r="H179" s="650">
        <v>50</v>
      </c>
    </row>
    <row r="180" spans="1:9" s="599" customFormat="1" ht="50.1" customHeight="1" outlineLevel="1">
      <c r="A180" s="623">
        <f t="shared" si="13"/>
        <v>107</v>
      </c>
      <c r="B180" s="596" t="s">
        <v>536</v>
      </c>
      <c r="C180" s="625" t="s">
        <v>507</v>
      </c>
      <c r="D180" s="572" t="s">
        <v>9</v>
      </c>
      <c r="E180" s="579">
        <v>2959.24</v>
      </c>
      <c r="F180" s="598">
        <f>250</f>
        <v>250</v>
      </c>
      <c r="G180" s="651">
        <f t="shared" si="12"/>
        <v>3209.24</v>
      </c>
      <c r="H180" s="650">
        <v>50</v>
      </c>
    </row>
    <row r="181" spans="1:9" s="599" customFormat="1" ht="50.1" customHeight="1" outlineLevel="1">
      <c r="A181" s="623">
        <f t="shared" si="13"/>
        <v>108</v>
      </c>
      <c r="B181" s="596" t="s">
        <v>491</v>
      </c>
      <c r="C181" s="625" t="s">
        <v>505</v>
      </c>
      <c r="D181" s="572" t="s">
        <v>9</v>
      </c>
      <c r="E181" s="579">
        <v>2959.24</v>
      </c>
      <c r="F181" s="598">
        <f>250</f>
        <v>250</v>
      </c>
      <c r="G181" s="651">
        <f t="shared" si="12"/>
        <v>3209.24</v>
      </c>
      <c r="H181" s="650">
        <v>50</v>
      </c>
    </row>
    <row r="182" spans="1:9" s="599" customFormat="1" ht="50.1" customHeight="1" outlineLevel="1">
      <c r="A182" s="623">
        <f t="shared" si="13"/>
        <v>109</v>
      </c>
      <c r="B182" s="596" t="s">
        <v>535</v>
      </c>
      <c r="C182" s="625" t="s">
        <v>505</v>
      </c>
      <c r="D182" s="572" t="s">
        <v>9</v>
      </c>
      <c r="E182" s="579">
        <v>2959.24</v>
      </c>
      <c r="F182" s="598">
        <f>250</f>
        <v>250</v>
      </c>
      <c r="G182" s="651">
        <f t="shared" si="12"/>
        <v>3209.24</v>
      </c>
      <c r="H182" s="650">
        <v>50</v>
      </c>
    </row>
    <row r="183" spans="1:9" s="606" customFormat="1" ht="50.1" customHeight="1" outlineLevel="1">
      <c r="A183" s="623">
        <f>+A182+1</f>
        <v>110</v>
      </c>
      <c r="B183" s="624" t="s">
        <v>445</v>
      </c>
      <c r="C183" s="625" t="s">
        <v>505</v>
      </c>
      <c r="D183" s="625" t="s">
        <v>9</v>
      </c>
      <c r="E183" s="579">
        <v>2959.24</v>
      </c>
      <c r="F183" s="605">
        <v>250</v>
      </c>
      <c r="G183" s="650">
        <f t="shared" si="12"/>
        <v>3209.24</v>
      </c>
      <c r="H183" s="650">
        <v>50</v>
      </c>
    </row>
    <row r="184" spans="1:9" s="606" customFormat="1" ht="50.1" customHeight="1" outlineLevel="1">
      <c r="A184" s="623">
        <f t="shared" si="13"/>
        <v>111</v>
      </c>
      <c r="B184" s="596" t="s">
        <v>436</v>
      </c>
      <c r="C184" s="625" t="s">
        <v>510</v>
      </c>
      <c r="D184" s="625" t="s">
        <v>9</v>
      </c>
      <c r="E184" s="579">
        <v>2959.24</v>
      </c>
      <c r="F184" s="605">
        <f>250</f>
        <v>250</v>
      </c>
      <c r="G184" s="650">
        <f t="shared" si="12"/>
        <v>3209.24</v>
      </c>
      <c r="H184" s="650">
        <v>50</v>
      </c>
    </row>
    <row r="185" spans="1:9" s="647" customFormat="1" ht="50.1" customHeight="1" outlineLevel="1" thickBot="1">
      <c r="A185" s="623"/>
      <c r="B185" s="653"/>
      <c r="C185" s="647" t="s">
        <v>339</v>
      </c>
      <c r="D185" s="654"/>
      <c r="E185" s="648">
        <f>SUM(E176:E184)</f>
        <v>26673.529999999992</v>
      </c>
      <c r="F185" s="648">
        <f>SUM(F176:F184)</f>
        <v>2450</v>
      </c>
      <c r="G185" s="648">
        <f>SUM(G176:G184)</f>
        <v>29123.529999999992</v>
      </c>
      <c r="H185" s="648">
        <f>SUM(H176:H184)</f>
        <v>450</v>
      </c>
    </row>
    <row r="186" spans="1:9" s="612" customFormat="1" ht="50.1" customHeight="1" outlineLevel="1" thickTop="1">
      <c r="A186" s="610"/>
      <c r="B186" s="543"/>
      <c r="C186" s="601"/>
      <c r="D186" s="627"/>
      <c r="E186" s="611"/>
      <c r="I186" s="627"/>
    </row>
    <row r="187" spans="1:9" s="612" customFormat="1" ht="50.1" customHeight="1" outlineLevel="1">
      <c r="A187" s="610"/>
      <c r="B187" s="543"/>
      <c r="C187" s="601"/>
      <c r="D187" s="627"/>
      <c r="E187" s="611"/>
      <c r="I187" s="627"/>
    </row>
    <row r="188" spans="1:9" s="612" customFormat="1" ht="50.1" customHeight="1" outlineLevel="1">
      <c r="A188" s="610"/>
      <c r="B188" s="567" t="s">
        <v>373</v>
      </c>
      <c r="C188" s="688"/>
      <c r="D188" s="627"/>
      <c r="E188" s="611"/>
      <c r="I188" s="627"/>
    </row>
    <row r="189" spans="1:9" s="694" customFormat="1" ht="50.1" customHeight="1" outlineLevel="1">
      <c r="A189" s="689">
        <f>A184+1</f>
        <v>112</v>
      </c>
      <c r="B189" s="690" t="s">
        <v>456</v>
      </c>
      <c r="C189" s="691" t="s">
        <v>359</v>
      </c>
      <c r="D189" s="692" t="s">
        <v>9</v>
      </c>
      <c r="E189" s="693">
        <v>3000</v>
      </c>
      <c r="F189" s="693">
        <f>500</f>
        <v>500</v>
      </c>
      <c r="G189" s="693">
        <f>+E189+F189</f>
        <v>3500</v>
      </c>
      <c r="H189" s="693">
        <v>50</v>
      </c>
    </row>
    <row r="190" spans="1:9" s="566" customFormat="1" ht="50.1" customHeight="1" outlineLevel="1">
      <c r="A190" s="561">
        <f>A189+1</f>
        <v>113</v>
      </c>
      <c r="B190" s="576" t="s">
        <v>460</v>
      </c>
      <c r="C190" s="577" t="s">
        <v>359</v>
      </c>
      <c r="D190" s="578" t="s">
        <v>9</v>
      </c>
      <c r="E190" s="603">
        <v>3000</v>
      </c>
      <c r="F190" s="581">
        <v>250</v>
      </c>
      <c r="G190" s="581">
        <f>+E190+F190</f>
        <v>3250</v>
      </c>
      <c r="H190" s="581">
        <v>50</v>
      </c>
    </row>
    <row r="191" spans="1:9" s="586" customFormat="1" ht="50.1" customHeight="1" outlineLevel="1">
      <c r="A191" s="593">
        <f>A190+1</f>
        <v>114</v>
      </c>
      <c r="B191" s="571" t="s">
        <v>531</v>
      </c>
      <c r="C191" s="582" t="s">
        <v>359</v>
      </c>
      <c r="D191" s="583" t="s">
        <v>9</v>
      </c>
      <c r="E191" s="579">
        <v>3000</v>
      </c>
      <c r="F191" s="585">
        <v>250</v>
      </c>
      <c r="G191" s="585">
        <f>+E191+F191</f>
        <v>3250</v>
      </c>
      <c r="H191" s="585">
        <v>50</v>
      </c>
    </row>
    <row r="192" spans="1:9" s="644" customFormat="1" ht="50.1" customHeight="1" thickBot="1">
      <c r="A192" s="610"/>
      <c r="B192" s="543"/>
      <c r="C192" s="593" t="s">
        <v>376</v>
      </c>
      <c r="D192" s="587"/>
      <c r="E192" s="629">
        <f>SUM(E189:E191)</f>
        <v>9000</v>
      </c>
      <c r="F192" s="629">
        <f>SUM(F189:F191)</f>
        <v>1000</v>
      </c>
      <c r="G192" s="629">
        <f>SUM(G189:G191)</f>
        <v>10000</v>
      </c>
      <c r="H192" s="629">
        <f>SUM(H189:H191)</f>
        <v>150</v>
      </c>
      <c r="I192" s="587"/>
    </row>
    <row r="193" spans="1:9" s="612" customFormat="1" ht="50.1" customHeight="1" thickTop="1">
      <c r="A193" s="610"/>
      <c r="B193" s="543"/>
      <c r="C193" s="601"/>
      <c r="D193" s="627"/>
      <c r="I193" s="627"/>
    </row>
    <row r="194" spans="1:9" s="612" customFormat="1" ht="50.1" customHeight="1">
      <c r="A194" s="610"/>
      <c r="B194" s="543"/>
      <c r="C194" s="601"/>
      <c r="D194" s="627"/>
      <c r="I194" s="627"/>
    </row>
    <row r="195" spans="1:9" s="627" customFormat="1" ht="50.1" customHeight="1" thickBot="1">
      <c r="A195" s="561"/>
      <c r="B195" s="543"/>
      <c r="C195" s="593" t="s">
        <v>129</v>
      </c>
      <c r="E195" s="695"/>
      <c r="F195" s="695"/>
      <c r="G195" s="695"/>
      <c r="H195" s="695">
        <f>+H13+H40+H48+H60+H68+H78+H97+H112+H117+H130+H138+H144+H157+H161+H168+H172+H185+H192+H54+H34+H22</f>
        <v>6500</v>
      </c>
    </row>
    <row r="196" spans="1:9" s="612" customFormat="1" ht="50.1" customHeight="1" thickTop="1">
      <c r="A196" s="610"/>
      <c r="B196" s="543"/>
      <c r="C196" s="601"/>
      <c r="D196" s="627"/>
      <c r="I196" s="627"/>
    </row>
    <row r="197" spans="1:9" s="612" customFormat="1" ht="35.1" customHeight="1">
      <c r="A197" s="610"/>
      <c r="B197" s="543"/>
      <c r="C197" s="601"/>
      <c r="D197" s="627"/>
      <c r="G197" s="627"/>
      <c r="H197" s="627"/>
      <c r="I197" s="627"/>
    </row>
    <row r="198" spans="1:9" s="612" customFormat="1" ht="39.950000000000003" customHeight="1">
      <c r="A198" s="610"/>
      <c r="B198" s="543"/>
      <c r="C198" s="601"/>
      <c r="D198" s="627"/>
      <c r="G198" s="627"/>
      <c r="H198" s="627"/>
      <c r="I198" s="627"/>
    </row>
    <row r="199" spans="1:9" s="698" customFormat="1" ht="39.950000000000003" customHeight="1">
      <c r="A199" s="696"/>
      <c r="B199" s="697"/>
      <c r="C199" s="696"/>
      <c r="E199" s="699"/>
      <c r="F199" s="699"/>
      <c r="G199" s="566"/>
    </row>
    <row r="200" spans="1:9" s="698" customFormat="1" ht="39.950000000000003" customHeight="1">
      <c r="A200" s="696"/>
      <c r="B200" s="697"/>
      <c r="C200" s="696"/>
      <c r="E200" s="696"/>
      <c r="F200" s="696"/>
    </row>
    <row r="201" spans="1:9" s="698" customFormat="1" ht="39.950000000000003" customHeight="1">
      <c r="A201" s="696"/>
      <c r="B201" s="697"/>
      <c r="C201" s="696"/>
      <c r="E201" s="696"/>
      <c r="F201" s="696"/>
    </row>
    <row r="202" spans="1:9" s="698" customFormat="1" ht="39.950000000000003" customHeight="1">
      <c r="A202" s="696"/>
      <c r="B202" s="697"/>
      <c r="C202" s="696"/>
      <c r="E202" s="696"/>
      <c r="F202" s="696"/>
    </row>
    <row r="203" spans="1:9" s="698" customFormat="1" ht="39.950000000000003" customHeight="1">
      <c r="A203" s="696"/>
      <c r="B203" s="697"/>
      <c r="C203" s="696"/>
      <c r="E203" s="696"/>
      <c r="F203" s="696"/>
    </row>
    <row r="204" spans="1:9" s="698" customFormat="1" ht="39.950000000000003" customHeight="1">
      <c r="A204" s="696"/>
      <c r="B204" s="700"/>
      <c r="C204" s="561"/>
      <c r="D204" s="566"/>
      <c r="E204" s="696"/>
      <c r="F204" s="696"/>
    </row>
    <row r="205" spans="1:9" s="698" customFormat="1" ht="39.950000000000003" customHeight="1">
      <c r="A205" s="696"/>
      <c r="B205" s="700"/>
      <c r="C205" s="561"/>
      <c r="D205" s="566"/>
      <c r="E205" s="696"/>
      <c r="F205" s="696"/>
    </row>
    <row r="206" spans="1:9" s="698" customFormat="1" ht="39.950000000000003" customHeight="1">
      <c r="A206" s="696"/>
      <c r="B206" s="700"/>
      <c r="C206" s="561"/>
      <c r="D206" s="566"/>
      <c r="E206" s="696"/>
      <c r="F206" s="696"/>
    </row>
    <row r="207" spans="1:9" s="698" customFormat="1" ht="39.950000000000003" customHeight="1">
      <c r="A207" s="696"/>
      <c r="B207" s="700"/>
      <c r="C207" s="561"/>
      <c r="D207" s="566"/>
      <c r="E207" s="696"/>
      <c r="F207" s="696"/>
    </row>
    <row r="208" spans="1:9" s="698" customFormat="1" ht="39.950000000000003" customHeight="1">
      <c r="A208" s="696"/>
      <c r="B208" s="700"/>
      <c r="C208" s="561"/>
      <c r="D208" s="566"/>
      <c r="E208" s="696"/>
      <c r="F208" s="696"/>
    </row>
    <row r="209" spans="1:6" s="698" customFormat="1" ht="39.950000000000003" customHeight="1">
      <c r="A209" s="696"/>
      <c r="B209" s="700"/>
      <c r="C209" s="561"/>
      <c r="D209" s="566"/>
      <c r="E209" s="696"/>
      <c r="F209" s="696"/>
    </row>
    <row r="210" spans="1:6" s="698" customFormat="1" ht="39.950000000000003" customHeight="1">
      <c r="A210" s="696"/>
      <c r="B210" s="700"/>
      <c r="C210" s="561"/>
      <c r="D210" s="566"/>
      <c r="E210" s="696"/>
      <c r="F210" s="696"/>
    </row>
    <row r="211" spans="1:6" s="698" customFormat="1" ht="39.950000000000003" customHeight="1">
      <c r="A211" s="696"/>
      <c r="B211" s="700"/>
      <c r="C211" s="561"/>
      <c r="D211" s="566"/>
      <c r="E211" s="696"/>
      <c r="F211" s="696"/>
    </row>
    <row r="212" spans="1:6" s="698" customFormat="1" ht="39.950000000000003" customHeight="1">
      <c r="A212" s="696"/>
      <c r="B212" s="700"/>
      <c r="C212" s="561"/>
      <c r="D212" s="566"/>
      <c r="E212" s="696"/>
      <c r="F212" s="696"/>
    </row>
    <row r="213" spans="1:6" s="698" customFormat="1" ht="39.950000000000003" customHeight="1">
      <c r="A213" s="696"/>
      <c r="B213" s="700"/>
      <c r="C213" s="561"/>
      <c r="D213" s="566"/>
      <c r="E213" s="696"/>
      <c r="F213" s="696"/>
    </row>
    <row r="214" spans="1:6" s="698" customFormat="1" ht="39.950000000000003" customHeight="1">
      <c r="A214" s="696"/>
      <c r="B214" s="700"/>
      <c r="C214" s="561"/>
      <c r="D214" s="566"/>
      <c r="E214" s="696"/>
      <c r="F214" s="696"/>
    </row>
    <row r="215" spans="1:6" s="698" customFormat="1" ht="39.950000000000003" customHeight="1">
      <c r="A215" s="696"/>
      <c r="B215" s="700"/>
      <c r="C215" s="561"/>
      <c r="D215" s="566"/>
      <c r="E215" s="696"/>
      <c r="F215" s="696"/>
    </row>
    <row r="216" spans="1:6" s="566" customFormat="1" ht="39.950000000000003" customHeight="1">
      <c r="A216" s="561"/>
      <c r="B216" s="549"/>
      <c r="C216" s="561"/>
      <c r="E216" s="699"/>
      <c r="F216" s="699"/>
    </row>
    <row r="217" spans="1:6" s="566" customFormat="1" ht="39.950000000000003" customHeight="1">
      <c r="A217" s="561"/>
      <c r="B217" s="549"/>
      <c r="C217" s="561"/>
      <c r="E217" s="696"/>
      <c r="F217" s="696"/>
    </row>
    <row r="218" spans="1:6" s="566" customFormat="1" ht="39.950000000000003" customHeight="1">
      <c r="A218" s="561"/>
      <c r="B218" s="549"/>
      <c r="C218" s="561"/>
      <c r="E218" s="696"/>
      <c r="F218" s="696"/>
    </row>
    <row r="219" spans="1:6" s="566" customFormat="1" ht="39.950000000000003" customHeight="1">
      <c r="A219" s="561"/>
      <c r="B219" s="549"/>
      <c r="C219" s="561"/>
      <c r="E219" s="696"/>
      <c r="F219" s="696"/>
    </row>
    <row r="220" spans="1:6" s="698" customFormat="1" ht="39.950000000000003" customHeight="1">
      <c r="A220" s="696"/>
      <c r="B220" s="700"/>
      <c r="C220" s="561"/>
      <c r="D220" s="566"/>
      <c r="E220" s="696"/>
      <c r="F220" s="696"/>
    </row>
    <row r="221" spans="1:6" s="698" customFormat="1" ht="39.950000000000003" customHeight="1">
      <c r="A221" s="696"/>
      <c r="B221" s="700"/>
      <c r="C221" s="561"/>
      <c r="D221" s="566"/>
      <c r="E221" s="696"/>
      <c r="F221" s="696"/>
    </row>
    <row r="222" spans="1:6" s="698" customFormat="1" ht="39.950000000000003" customHeight="1">
      <c r="A222" s="696"/>
      <c r="B222" s="697"/>
      <c r="C222" s="696"/>
      <c r="E222" s="696"/>
      <c r="F222" s="696"/>
    </row>
    <row r="223" spans="1:6" s="698" customFormat="1" ht="39.950000000000003" customHeight="1">
      <c r="A223" s="696"/>
      <c r="B223" s="697"/>
      <c r="C223" s="696"/>
      <c r="E223" s="696"/>
      <c r="F223" s="696"/>
    </row>
    <row r="224" spans="1:6" s="698" customFormat="1" ht="39.950000000000003" customHeight="1">
      <c r="A224" s="696"/>
      <c r="B224" s="697"/>
      <c r="C224" s="696"/>
      <c r="E224" s="696"/>
      <c r="F224" s="696"/>
    </row>
    <row r="225" spans="1:6" s="698" customFormat="1" ht="39.950000000000003" customHeight="1">
      <c r="A225" s="696"/>
      <c r="B225" s="700"/>
      <c r="C225" s="561"/>
      <c r="D225" s="566"/>
      <c r="E225" s="696"/>
      <c r="F225" s="696"/>
    </row>
    <row r="226" spans="1:6" s="698" customFormat="1" ht="39.950000000000003" customHeight="1">
      <c r="A226" s="696"/>
      <c r="B226" s="700"/>
      <c r="C226" s="561"/>
      <c r="D226" s="566"/>
      <c r="E226" s="696"/>
      <c r="F226" s="696"/>
    </row>
    <row r="227" spans="1:6" s="698" customFormat="1" ht="39.950000000000003" customHeight="1">
      <c r="A227" s="696"/>
      <c r="B227" s="697"/>
      <c r="C227" s="696"/>
      <c r="E227" s="696"/>
      <c r="F227" s="696"/>
    </row>
    <row r="228" spans="1:6" s="698" customFormat="1" ht="39.950000000000003" customHeight="1">
      <c r="A228" s="696"/>
      <c r="B228" s="697"/>
      <c r="C228" s="696"/>
      <c r="E228" s="696"/>
      <c r="F228" s="696"/>
    </row>
    <row r="229" spans="1:6" s="698" customFormat="1" ht="39.950000000000003" customHeight="1">
      <c r="A229" s="696"/>
      <c r="B229" s="697"/>
      <c r="C229" s="696"/>
      <c r="E229" s="696"/>
      <c r="F229" s="696"/>
    </row>
    <row r="230" spans="1:6" s="698" customFormat="1" ht="39.950000000000003" customHeight="1">
      <c r="A230" s="696"/>
      <c r="B230" s="700"/>
      <c r="C230" s="561"/>
      <c r="D230" s="566"/>
      <c r="E230" s="696"/>
      <c r="F230" s="696"/>
    </row>
    <row r="231" spans="1:6" s="698" customFormat="1" ht="39.950000000000003" customHeight="1">
      <c r="A231" s="696"/>
      <c r="B231" s="700"/>
      <c r="C231" s="561"/>
      <c r="D231" s="566"/>
      <c r="E231" s="696"/>
      <c r="F231" s="696"/>
    </row>
    <row r="232" spans="1:6" s="698" customFormat="1" ht="39.950000000000003" customHeight="1">
      <c r="A232" s="696"/>
      <c r="B232" s="700"/>
      <c r="C232" s="561"/>
      <c r="D232" s="566"/>
      <c r="E232" s="696"/>
      <c r="F232" s="696"/>
    </row>
    <row r="233" spans="1:6" s="698" customFormat="1" ht="39.950000000000003" customHeight="1">
      <c r="A233" s="696"/>
      <c r="B233" s="700"/>
      <c r="C233" s="561"/>
      <c r="D233" s="566"/>
      <c r="E233" s="696"/>
      <c r="F233" s="696"/>
    </row>
    <row r="234" spans="1:6" s="698" customFormat="1" ht="39.950000000000003" customHeight="1">
      <c r="A234" s="696"/>
      <c r="B234" s="700"/>
      <c r="C234" s="561"/>
      <c r="D234" s="566"/>
      <c r="E234" s="696"/>
      <c r="F234" s="696"/>
    </row>
    <row r="235" spans="1:6" s="698" customFormat="1" ht="39.950000000000003" customHeight="1">
      <c r="A235" s="696"/>
      <c r="B235" s="700"/>
      <c r="C235" s="561"/>
      <c r="D235" s="566"/>
      <c r="E235" s="696"/>
      <c r="F235" s="696"/>
    </row>
    <row r="236" spans="1:6" s="698" customFormat="1" ht="39.950000000000003" customHeight="1">
      <c r="A236" s="696"/>
      <c r="B236" s="700"/>
      <c r="C236" s="561"/>
      <c r="D236" s="566"/>
      <c r="E236" s="696"/>
      <c r="F236" s="696"/>
    </row>
    <row r="237" spans="1:6" s="698" customFormat="1" ht="39.950000000000003" customHeight="1">
      <c r="A237" s="696"/>
      <c r="B237" s="700"/>
      <c r="C237" s="561"/>
      <c r="D237" s="566"/>
      <c r="E237" s="696"/>
      <c r="F237" s="696"/>
    </row>
    <row r="238" spans="1:6" s="698" customFormat="1" ht="39.950000000000003" customHeight="1">
      <c r="A238" s="696"/>
      <c r="B238" s="700"/>
      <c r="C238" s="561"/>
      <c r="D238" s="566"/>
      <c r="E238" s="696"/>
      <c r="F238" s="696"/>
    </row>
    <row r="239" spans="1:6" s="698" customFormat="1" ht="39.950000000000003" customHeight="1">
      <c r="A239" s="696"/>
      <c r="B239" s="700"/>
      <c r="C239" s="561"/>
      <c r="D239" s="566"/>
      <c r="E239" s="696"/>
      <c r="F239" s="696"/>
    </row>
    <row r="240" spans="1:6" s="698" customFormat="1" ht="39.950000000000003" customHeight="1">
      <c r="A240" s="696"/>
      <c r="B240" s="700"/>
      <c r="C240" s="561"/>
      <c r="D240" s="566"/>
      <c r="E240" s="696"/>
      <c r="F240" s="696"/>
    </row>
    <row r="241" spans="1:6" s="698" customFormat="1" ht="39.950000000000003" customHeight="1">
      <c r="A241" s="696"/>
      <c r="B241" s="700"/>
      <c r="C241" s="561"/>
      <c r="D241" s="566"/>
      <c r="E241" s="696"/>
      <c r="F241" s="696"/>
    </row>
    <row r="242" spans="1:6" s="698" customFormat="1" ht="39.950000000000003" customHeight="1">
      <c r="A242" s="696"/>
      <c r="B242" s="700"/>
      <c r="C242" s="561"/>
      <c r="D242" s="566"/>
      <c r="E242" s="696"/>
      <c r="F242" s="696"/>
    </row>
    <row r="243" spans="1:6" s="566" customFormat="1" ht="39.950000000000003" customHeight="1">
      <c r="A243" s="561"/>
      <c r="B243" s="549"/>
      <c r="C243" s="561"/>
      <c r="E243" s="696"/>
      <c r="F243" s="696"/>
    </row>
    <row r="244" spans="1:6" s="698" customFormat="1" ht="39.950000000000003" customHeight="1">
      <c r="A244" s="696"/>
      <c r="B244" s="700"/>
      <c r="C244" s="561"/>
      <c r="D244" s="566"/>
      <c r="E244" s="696"/>
      <c r="F244" s="696"/>
    </row>
    <row r="245" spans="1:6" s="698" customFormat="1" ht="39.950000000000003" customHeight="1">
      <c r="A245" s="696"/>
      <c r="B245" s="700"/>
      <c r="C245" s="561"/>
      <c r="D245" s="566"/>
      <c r="E245" s="696"/>
      <c r="F245" s="696"/>
    </row>
    <row r="246" spans="1:6" s="698" customFormat="1" ht="39.950000000000003" customHeight="1">
      <c r="A246" s="696"/>
      <c r="B246" s="700"/>
      <c r="C246" s="561"/>
      <c r="D246" s="566"/>
      <c r="E246" s="696"/>
      <c r="F246" s="696"/>
    </row>
    <row r="247" spans="1:6" s="566" customFormat="1" ht="39.950000000000003" customHeight="1">
      <c r="A247" s="561"/>
      <c r="B247" s="549"/>
      <c r="C247" s="696"/>
      <c r="D247" s="698"/>
      <c r="E247" s="696"/>
      <c r="F247" s="696"/>
    </row>
    <row r="248" spans="1:6" s="566" customFormat="1" ht="39.950000000000003" customHeight="1">
      <c r="A248" s="561"/>
      <c r="B248" s="549"/>
      <c r="C248" s="696"/>
      <c r="D248" s="698"/>
      <c r="E248" s="696"/>
      <c r="F248" s="696"/>
    </row>
    <row r="249" spans="1:6" s="566" customFormat="1" ht="39.950000000000003" customHeight="1">
      <c r="A249" s="561"/>
      <c r="B249" s="549"/>
      <c r="C249" s="561"/>
      <c r="E249" s="699"/>
      <c r="F249" s="699"/>
    </row>
    <row r="250" spans="1:6" s="566" customFormat="1" ht="39.950000000000003" customHeight="1">
      <c r="A250" s="561"/>
      <c r="B250" s="549"/>
      <c r="C250" s="561"/>
      <c r="E250" s="699"/>
      <c r="F250" s="699"/>
    </row>
    <row r="251" spans="1:6" s="566" customFormat="1" ht="39.950000000000003" customHeight="1">
      <c r="A251" s="561"/>
      <c r="B251" s="549"/>
      <c r="C251" s="561"/>
      <c r="E251" s="699"/>
      <c r="F251" s="699"/>
    </row>
    <row r="252" spans="1:6" s="566" customFormat="1" ht="39.950000000000003" customHeight="1">
      <c r="A252" s="561"/>
      <c r="B252" s="549"/>
      <c r="C252" s="561"/>
      <c r="E252" s="699"/>
      <c r="F252" s="699"/>
    </row>
    <row r="253" spans="1:6" s="566" customFormat="1" ht="39.950000000000003" customHeight="1">
      <c r="A253" s="561"/>
      <c r="B253" s="549"/>
      <c r="C253" s="696"/>
      <c r="E253" s="696"/>
      <c r="F253" s="696"/>
    </row>
    <row r="254" spans="1:6" s="566" customFormat="1" ht="39.950000000000003" customHeight="1">
      <c r="A254" s="561"/>
      <c r="B254" s="549"/>
      <c r="C254" s="561"/>
      <c r="E254" s="696"/>
      <c r="F254" s="696"/>
    </row>
    <row r="255" spans="1:6" s="566" customFormat="1" ht="39.950000000000003" customHeight="1">
      <c r="A255" s="561"/>
      <c r="B255" s="549"/>
      <c r="C255" s="561"/>
      <c r="E255" s="696"/>
      <c r="F255" s="696"/>
    </row>
    <row r="256" spans="1:6" s="566" customFormat="1" ht="39.950000000000003" customHeight="1">
      <c r="A256" s="561"/>
      <c r="B256" s="549"/>
      <c r="C256" s="561"/>
      <c r="E256" s="696"/>
      <c r="F256" s="696"/>
    </row>
    <row r="257" spans="1:6" s="566" customFormat="1" ht="39.950000000000003" customHeight="1">
      <c r="A257" s="561"/>
      <c r="B257" s="549"/>
      <c r="C257" s="561"/>
      <c r="E257" s="696"/>
      <c r="F257" s="696"/>
    </row>
    <row r="258" spans="1:6" s="566" customFormat="1" ht="39.950000000000003" customHeight="1">
      <c r="A258" s="561"/>
      <c r="B258" s="549"/>
      <c r="C258" s="696"/>
      <c r="E258" s="696"/>
      <c r="F258" s="696"/>
    </row>
    <row r="259" spans="1:6" s="566" customFormat="1" ht="39.950000000000003" customHeight="1">
      <c r="A259" s="561"/>
      <c r="B259" s="549"/>
      <c r="C259" s="561"/>
      <c r="E259" s="696"/>
      <c r="F259" s="696"/>
    </row>
    <row r="260" spans="1:6" s="566" customFormat="1" ht="39.950000000000003" customHeight="1">
      <c r="A260" s="561"/>
      <c r="B260" s="549"/>
      <c r="C260" s="561"/>
      <c r="E260" s="696"/>
      <c r="F260" s="696"/>
    </row>
    <row r="261" spans="1:6" s="566" customFormat="1" ht="39.950000000000003" customHeight="1">
      <c r="A261" s="561"/>
      <c r="B261" s="549"/>
      <c r="C261" s="561"/>
      <c r="E261" s="696"/>
      <c r="F261" s="696"/>
    </row>
    <row r="262" spans="1:6" s="566" customFormat="1" ht="39.950000000000003" customHeight="1">
      <c r="A262" s="561"/>
      <c r="B262" s="549"/>
      <c r="C262" s="561"/>
      <c r="E262" s="696"/>
      <c r="F262" s="696"/>
    </row>
    <row r="263" spans="1:6" s="566" customFormat="1" ht="39.950000000000003" customHeight="1">
      <c r="A263" s="561"/>
      <c r="B263" s="549"/>
      <c r="C263" s="561"/>
      <c r="E263" s="696"/>
      <c r="F263" s="696"/>
    </row>
    <row r="264" spans="1:6" s="566" customFormat="1" ht="39.950000000000003" customHeight="1">
      <c r="A264" s="561"/>
      <c r="B264" s="549"/>
      <c r="C264" s="561"/>
      <c r="E264" s="696"/>
      <c r="F264" s="696"/>
    </row>
    <row r="265" spans="1:6" s="566" customFormat="1" ht="39.950000000000003" customHeight="1">
      <c r="A265" s="561"/>
      <c r="B265" s="549"/>
      <c r="C265" s="561"/>
      <c r="E265" s="696"/>
      <c r="F265" s="696"/>
    </row>
    <row r="266" spans="1:6" s="566" customFormat="1" ht="39.950000000000003" customHeight="1">
      <c r="A266" s="561"/>
      <c r="B266" s="549"/>
      <c r="C266" s="561"/>
      <c r="E266" s="696"/>
      <c r="F266" s="696"/>
    </row>
    <row r="267" spans="1:6" s="566" customFormat="1" ht="39.950000000000003" customHeight="1">
      <c r="A267" s="561"/>
      <c r="B267" s="549"/>
      <c r="C267" s="561"/>
      <c r="E267" s="696"/>
      <c r="F267" s="696"/>
    </row>
    <row r="268" spans="1:6" s="566" customFormat="1" ht="39.950000000000003" customHeight="1">
      <c r="A268" s="561"/>
      <c r="B268" s="549"/>
      <c r="C268" s="561"/>
      <c r="E268" s="696"/>
      <c r="F268" s="696"/>
    </row>
    <row r="269" spans="1:6" s="566" customFormat="1" ht="39.950000000000003" customHeight="1">
      <c r="A269" s="561"/>
      <c r="B269" s="549"/>
      <c r="C269" s="561"/>
      <c r="E269" s="696"/>
      <c r="F269" s="696"/>
    </row>
    <row r="270" spans="1:6" s="566" customFormat="1" ht="39.950000000000003" customHeight="1">
      <c r="A270" s="561"/>
      <c r="B270" s="549"/>
      <c r="C270" s="561"/>
      <c r="E270" s="696"/>
      <c r="F270" s="696"/>
    </row>
    <row r="271" spans="1:6" s="566" customFormat="1" ht="39.950000000000003" customHeight="1">
      <c r="A271" s="561"/>
      <c r="B271" s="549"/>
      <c r="C271" s="561"/>
      <c r="E271" s="696"/>
      <c r="F271" s="696"/>
    </row>
    <row r="272" spans="1:6" s="566" customFormat="1" ht="39.950000000000003" customHeight="1">
      <c r="A272" s="561"/>
      <c r="B272" s="549"/>
      <c r="C272" s="561"/>
      <c r="E272" s="696"/>
      <c r="F272" s="696"/>
    </row>
    <row r="273" spans="1:6" s="566" customFormat="1" ht="39.950000000000003" customHeight="1">
      <c r="A273" s="561"/>
      <c r="B273" s="549"/>
      <c r="C273" s="561"/>
      <c r="E273" s="696"/>
      <c r="F273" s="696"/>
    </row>
    <row r="274" spans="1:6" s="566" customFormat="1" ht="39.950000000000003" customHeight="1">
      <c r="A274" s="561"/>
      <c r="B274" s="549"/>
      <c r="C274" s="561"/>
      <c r="E274" s="696"/>
      <c r="F274" s="696"/>
    </row>
    <row r="275" spans="1:6" s="566" customFormat="1" ht="39.950000000000003" customHeight="1">
      <c r="A275" s="561"/>
      <c r="B275" s="549"/>
      <c r="C275" s="561"/>
      <c r="E275" s="696"/>
      <c r="F275" s="696"/>
    </row>
    <row r="276" spans="1:6" s="566" customFormat="1" ht="39.950000000000003" customHeight="1">
      <c r="A276" s="561"/>
      <c r="B276" s="549"/>
      <c r="C276" s="561"/>
      <c r="E276" s="696"/>
      <c r="F276" s="696"/>
    </row>
    <row r="277" spans="1:6" s="566" customFormat="1" ht="39.950000000000003" customHeight="1">
      <c r="A277" s="561"/>
      <c r="B277" s="549"/>
      <c r="C277" s="561"/>
      <c r="E277" s="696"/>
      <c r="F277" s="696"/>
    </row>
    <row r="278" spans="1:6" s="566" customFormat="1" ht="39.950000000000003" customHeight="1">
      <c r="A278" s="561"/>
      <c r="B278" s="549"/>
      <c r="C278" s="561"/>
      <c r="E278" s="696"/>
      <c r="F278" s="696"/>
    </row>
    <row r="279" spans="1:6" s="566" customFormat="1" ht="39.950000000000003" customHeight="1">
      <c r="A279" s="561"/>
      <c r="B279" s="549"/>
      <c r="C279" s="561"/>
      <c r="E279" s="696"/>
      <c r="F279" s="696"/>
    </row>
    <row r="280" spans="1:6" s="566" customFormat="1" ht="39.950000000000003" customHeight="1">
      <c r="A280" s="561"/>
      <c r="B280" s="549"/>
      <c r="C280" s="561"/>
      <c r="E280" s="696"/>
      <c r="F280" s="696"/>
    </row>
    <row r="281" spans="1:6" s="566" customFormat="1" ht="39.950000000000003" customHeight="1">
      <c r="A281" s="561"/>
      <c r="B281" s="549"/>
      <c r="C281" s="561"/>
      <c r="E281" s="696"/>
      <c r="F281" s="696"/>
    </row>
    <row r="282" spans="1:6" s="566" customFormat="1" ht="39.950000000000003" customHeight="1">
      <c r="A282" s="561"/>
      <c r="B282" s="549"/>
      <c r="C282" s="561"/>
      <c r="E282" s="699"/>
      <c r="F282" s="699"/>
    </row>
    <row r="283" spans="1:6" s="566" customFormat="1" ht="39.950000000000003" customHeight="1">
      <c r="A283" s="561"/>
      <c r="B283" s="549"/>
      <c r="C283" s="561"/>
      <c r="E283" s="699"/>
      <c r="F283" s="699"/>
    </row>
    <row r="284" spans="1:6" s="566" customFormat="1" ht="39.950000000000003" customHeight="1">
      <c r="A284" s="561"/>
      <c r="B284" s="549"/>
      <c r="C284" s="561"/>
      <c r="E284" s="561"/>
      <c r="F284" s="561"/>
    </row>
    <row r="285" spans="1:6" s="566" customFormat="1" ht="39.950000000000003" customHeight="1">
      <c r="A285" s="561"/>
      <c r="B285" s="549"/>
      <c r="C285" s="561"/>
      <c r="E285" s="561"/>
      <c r="F285" s="561"/>
    </row>
    <row r="286" spans="1:6" s="566" customFormat="1" ht="39.950000000000003" customHeight="1">
      <c r="A286" s="561"/>
      <c r="B286" s="549"/>
      <c r="C286" s="561"/>
      <c r="E286" s="561"/>
      <c r="F286" s="561"/>
    </row>
    <row r="287" spans="1:6" s="566" customFormat="1" ht="39.950000000000003" customHeight="1">
      <c r="A287" s="561"/>
      <c r="B287" s="549"/>
      <c r="C287" s="561"/>
      <c r="E287" s="561"/>
      <c r="F287" s="561"/>
    </row>
    <row r="288" spans="1:6" s="566" customFormat="1" ht="39.950000000000003" customHeight="1">
      <c r="A288" s="561"/>
      <c r="B288" s="549"/>
      <c r="C288" s="561"/>
      <c r="E288" s="561"/>
      <c r="F288" s="561"/>
    </row>
    <row r="289" spans="1:8" s="566" customFormat="1" ht="39.950000000000003" customHeight="1">
      <c r="A289" s="561"/>
      <c r="B289" s="549"/>
      <c r="C289" s="561"/>
      <c r="E289" s="561"/>
      <c r="F289" s="561"/>
    </row>
    <row r="290" spans="1:8" s="566" customFormat="1" ht="39.950000000000003" customHeight="1">
      <c r="A290" s="561"/>
      <c r="B290" s="549"/>
      <c r="C290" s="561"/>
      <c r="E290" s="561"/>
      <c r="F290" s="561"/>
    </row>
    <row r="291" spans="1:8" s="566" customFormat="1" ht="39.950000000000003" customHeight="1">
      <c r="A291" s="561"/>
      <c r="B291" s="549"/>
      <c r="C291" s="561"/>
      <c r="E291" s="561"/>
      <c r="F291" s="561"/>
    </row>
    <row r="292" spans="1:8" s="566" customFormat="1" ht="39.950000000000003" customHeight="1">
      <c r="A292" s="561"/>
      <c r="B292" s="549"/>
      <c r="C292" s="561"/>
      <c r="E292" s="699"/>
      <c r="F292" s="699"/>
    </row>
    <row r="293" spans="1:8" s="566" customFormat="1" ht="39.950000000000003" customHeight="1">
      <c r="A293" s="561"/>
      <c r="B293" s="549"/>
      <c r="C293" s="561"/>
      <c r="E293" s="699"/>
      <c r="F293" s="699"/>
    </row>
    <row r="294" spans="1:8" s="566" customFormat="1" ht="39.950000000000003" customHeight="1">
      <c r="A294" s="561"/>
      <c r="B294" s="549"/>
      <c r="C294" s="561"/>
      <c r="E294" s="699"/>
      <c r="F294" s="699"/>
    </row>
    <row r="295" spans="1:8" s="566" customFormat="1" ht="39.950000000000003" customHeight="1">
      <c r="A295" s="561"/>
      <c r="B295" s="549"/>
      <c r="C295" s="561"/>
      <c r="E295" s="699"/>
      <c r="F295" s="699"/>
    </row>
    <row r="296" spans="1:8" s="566" customFormat="1" ht="39.950000000000003" customHeight="1">
      <c r="A296" s="561"/>
      <c r="B296" s="549"/>
      <c r="C296" s="561"/>
      <c r="E296" s="699"/>
      <c r="F296" s="699"/>
    </row>
    <row r="297" spans="1:8" s="566" customFormat="1" ht="39.950000000000003" customHeight="1">
      <c r="A297" s="561"/>
      <c r="B297" s="549"/>
      <c r="C297" s="561"/>
      <c r="E297" s="699"/>
      <c r="F297" s="699"/>
    </row>
    <row r="298" spans="1:8" s="566" customFormat="1" ht="39.950000000000003" customHeight="1">
      <c r="A298" s="561"/>
      <c r="B298" s="549"/>
      <c r="C298" s="561"/>
      <c r="E298" s="561"/>
      <c r="F298" s="561"/>
    </row>
    <row r="299" spans="1:8" s="566" customFormat="1" ht="39.950000000000003" customHeight="1">
      <c r="A299" s="561"/>
      <c r="B299" s="549"/>
      <c r="C299" s="561"/>
      <c r="E299" s="561"/>
      <c r="F299" s="561"/>
    </row>
    <row r="300" spans="1:8" s="566" customFormat="1" ht="39.950000000000003" customHeight="1">
      <c r="A300" s="561"/>
      <c r="B300" s="549"/>
      <c r="C300" s="561"/>
      <c r="E300" s="696"/>
      <c r="F300" s="696"/>
    </row>
    <row r="301" spans="1:8" s="566" customFormat="1" ht="39.950000000000003" customHeight="1">
      <c r="A301" s="561"/>
      <c r="B301" s="549"/>
      <c r="C301" s="561"/>
      <c r="E301" s="696"/>
      <c r="F301" s="696"/>
    </row>
    <row r="302" spans="1:8" s="566" customFormat="1" ht="39.950000000000003" customHeight="1">
      <c r="A302" s="561"/>
      <c r="B302" s="549"/>
      <c r="C302" s="561"/>
      <c r="E302" s="698"/>
      <c r="F302" s="698"/>
    </row>
    <row r="303" spans="1:8" s="566" customFormat="1" ht="39.950000000000003" customHeight="1">
      <c r="A303" s="561"/>
      <c r="B303" s="549"/>
      <c r="C303" s="561"/>
      <c r="E303" s="698"/>
      <c r="F303" s="698"/>
    </row>
    <row r="304" spans="1:8" ht="39.950000000000003" customHeight="1">
      <c r="G304" s="541"/>
      <c r="H304" s="541"/>
    </row>
    <row r="305" spans="7:8" ht="39.950000000000003" customHeight="1">
      <c r="G305" s="541"/>
      <c r="H305" s="541"/>
    </row>
    <row r="306" spans="7:8" ht="39.950000000000003" customHeight="1">
      <c r="G306" s="541"/>
      <c r="H306" s="541"/>
    </row>
    <row r="307" spans="7:8" ht="39.950000000000003" customHeight="1">
      <c r="G307" s="541"/>
      <c r="H307" s="541"/>
    </row>
    <row r="308" spans="7:8" ht="39.950000000000003" customHeight="1">
      <c r="G308" s="541"/>
      <c r="H308" s="541"/>
    </row>
    <row r="309" spans="7:8" ht="39.950000000000003" customHeight="1">
      <c r="G309" s="541"/>
      <c r="H309" s="541"/>
    </row>
  </sheetData>
  <sheetProtection selectLockedCells="1" selectUnlockedCells="1"/>
  <autoFilter ref="A7:J197" xr:uid="{00000000-0009-0000-0000-000001000000}"/>
  <mergeCells count="1">
    <mergeCell ref="D6:G6"/>
  </mergeCells>
  <conditionalFormatting sqref="A33">
    <cfRule type="duplicateValues" dxfId="333" priority="29"/>
  </conditionalFormatting>
  <conditionalFormatting sqref="A44">
    <cfRule type="duplicateValues" dxfId="332" priority="63"/>
  </conditionalFormatting>
  <conditionalFormatting sqref="A45:A47">
    <cfRule type="duplicateValues" dxfId="331" priority="76"/>
  </conditionalFormatting>
  <conditionalFormatting sqref="A59">
    <cfRule type="duplicateValues" dxfId="330" priority="3"/>
  </conditionalFormatting>
  <conditionalFormatting sqref="A65">
    <cfRule type="duplicateValues" dxfId="329" priority="58"/>
  </conditionalFormatting>
  <conditionalFormatting sqref="A73:A77">
    <cfRule type="duplicateValues" dxfId="328" priority="9"/>
  </conditionalFormatting>
  <conditionalFormatting sqref="A151 A153:A156">
    <cfRule type="duplicateValues" dxfId="327" priority="60"/>
  </conditionalFormatting>
  <conditionalFormatting sqref="A191">
    <cfRule type="duplicateValues" dxfId="326" priority="34"/>
  </conditionalFormatting>
  <conditionalFormatting sqref="A192:A1048576 A152 A66:A72 A157:A190 A48:A58 A34:A43 A60:A64 A1:A32 A78:A150">
    <cfRule type="duplicateValues" dxfId="325" priority="62"/>
  </conditionalFormatting>
  <conditionalFormatting sqref="A33:B33">
    <cfRule type="duplicateValues" dxfId="324" priority="28"/>
  </conditionalFormatting>
  <conditionalFormatting sqref="A59:B59">
    <cfRule type="duplicateValues" dxfId="323" priority="7"/>
  </conditionalFormatting>
  <conditionalFormatting sqref="A65:B65">
    <cfRule type="duplicateValues" dxfId="322" priority="57"/>
  </conditionalFormatting>
  <conditionalFormatting sqref="A73:B75 A76:A77">
    <cfRule type="duplicateValues" dxfId="321" priority="13"/>
  </conditionalFormatting>
  <conditionalFormatting sqref="A151:B151 A153:A156">
    <cfRule type="duplicateValues" dxfId="320" priority="59"/>
  </conditionalFormatting>
  <conditionalFormatting sqref="A191:B191">
    <cfRule type="duplicateValues" dxfId="319" priority="33"/>
  </conditionalFormatting>
  <conditionalFormatting sqref="A192:B1048576 A152:B152 A66:B72 A130:B133 A97:B102 A112:B123 A1:B9 B103:B107 B124:B128 A124:A129 B153:B156 A157:B190 B11:B12 A138:B150 A48:B58 A34:B44 A78:B81 B76:B77 B82:B86 A82:A96 A60:B64 A134:A137 A10:A12 A13:B32 A103:A111">
    <cfRule type="duplicateValues" dxfId="318" priority="71"/>
  </conditionalFormatting>
  <conditionalFormatting sqref="B10">
    <cfRule type="duplicateValues" dxfId="317" priority="20"/>
    <cfRule type="duplicateValues" dxfId="316" priority="21"/>
    <cfRule type="duplicateValues" dxfId="315" priority="22"/>
    <cfRule type="duplicateValues" dxfId="314" priority="23"/>
    <cfRule type="duplicateValues" dxfId="313" priority="24"/>
    <cfRule type="duplicateValues" dxfId="312" priority="25"/>
  </conditionalFormatting>
  <conditionalFormatting sqref="B33">
    <cfRule type="duplicateValues" dxfId="311" priority="30"/>
    <cfRule type="duplicateValues" dxfId="310" priority="31"/>
    <cfRule type="duplicateValues" dxfId="309" priority="32"/>
  </conditionalFormatting>
  <conditionalFormatting sqref="B45">
    <cfRule type="duplicateValues" dxfId="308" priority="75"/>
  </conditionalFormatting>
  <conditionalFormatting sqref="B46">
    <cfRule type="duplicateValues" dxfId="307" priority="74"/>
  </conditionalFormatting>
  <conditionalFormatting sqref="B47">
    <cfRule type="duplicateValues" dxfId="306" priority="47"/>
    <cfRule type="duplicateValues" dxfId="305" priority="46"/>
    <cfRule type="duplicateValues" dxfId="304" priority="45"/>
    <cfRule type="duplicateValues" dxfId="303" priority="44"/>
  </conditionalFormatting>
  <conditionalFormatting sqref="B59">
    <cfRule type="duplicateValues" dxfId="302" priority="4"/>
    <cfRule type="duplicateValues" dxfId="301" priority="5"/>
    <cfRule type="duplicateValues" dxfId="300" priority="6"/>
    <cfRule type="duplicateValues" dxfId="299" priority="2"/>
  </conditionalFormatting>
  <conditionalFormatting sqref="B73:B75">
    <cfRule type="duplicateValues" dxfId="298" priority="8"/>
    <cfRule type="duplicateValues" dxfId="297" priority="10"/>
    <cfRule type="duplicateValues" dxfId="296" priority="12"/>
    <cfRule type="duplicateValues" dxfId="295" priority="11"/>
  </conditionalFormatting>
  <conditionalFormatting sqref="B87">
    <cfRule type="duplicateValues" dxfId="294" priority="49"/>
    <cfRule type="duplicateValues" dxfId="293" priority="50"/>
    <cfRule type="duplicateValues" dxfId="292" priority="48"/>
  </conditionalFormatting>
  <conditionalFormatting sqref="B88:B89">
    <cfRule type="duplicateValues" dxfId="291" priority="40"/>
    <cfRule type="duplicateValues" dxfId="290" priority="41"/>
    <cfRule type="duplicateValues" dxfId="289" priority="38"/>
    <cfRule type="duplicateValues" dxfId="288" priority="39"/>
  </conditionalFormatting>
  <conditionalFormatting sqref="B90:B95">
    <cfRule type="duplicateValues" dxfId="287" priority="72"/>
  </conditionalFormatting>
  <conditionalFormatting sqref="B96">
    <cfRule type="duplicateValues" dxfId="286" priority="14"/>
    <cfRule type="duplicateValues" dxfId="285" priority="15"/>
    <cfRule type="duplicateValues" dxfId="284" priority="16"/>
    <cfRule type="duplicateValues" dxfId="283" priority="17"/>
    <cfRule type="duplicateValues" dxfId="282" priority="18"/>
    <cfRule type="duplicateValues" dxfId="281" priority="19"/>
  </conditionalFormatting>
  <conditionalFormatting sqref="B108">
    <cfRule type="duplicateValues" dxfId="280" priority="68"/>
    <cfRule type="duplicateValues" dxfId="279" priority="67"/>
  </conditionalFormatting>
  <conditionalFormatting sqref="B109:B111">
    <cfRule type="duplicateValues" dxfId="278" priority="42"/>
    <cfRule type="duplicateValues" dxfId="277" priority="43"/>
  </conditionalFormatting>
  <conditionalFormatting sqref="B129">
    <cfRule type="duplicateValues" dxfId="276" priority="55"/>
    <cfRule type="duplicateValues" dxfId="275" priority="54"/>
    <cfRule type="duplicateValues" dxfId="274" priority="56"/>
  </conditionalFormatting>
  <conditionalFormatting sqref="B134:B135">
    <cfRule type="duplicateValues" dxfId="273" priority="53"/>
    <cfRule type="duplicateValues" dxfId="272" priority="52"/>
    <cfRule type="duplicateValues" dxfId="271" priority="51"/>
  </conditionalFormatting>
  <conditionalFormatting sqref="B136">
    <cfRule type="duplicateValues" dxfId="270" priority="69"/>
    <cfRule type="duplicateValues" dxfId="269" priority="70"/>
  </conditionalFormatting>
  <conditionalFormatting sqref="B137">
    <cfRule type="duplicateValues" dxfId="268" priority="73"/>
  </conditionalFormatting>
  <conditionalFormatting sqref="B138:B1048576 B1:B9 B11:B58 B97:B135 B76:B89 B60:B72">
    <cfRule type="duplicateValues" dxfId="267" priority="27"/>
  </conditionalFormatting>
  <conditionalFormatting sqref="B138:B1048576">
    <cfRule type="duplicateValues" dxfId="266" priority="26"/>
  </conditionalFormatting>
  <conditionalFormatting sqref="B191">
    <cfRule type="duplicateValues" dxfId="265" priority="35"/>
    <cfRule type="duplicateValues" dxfId="264" priority="36"/>
    <cfRule type="duplicateValues" dxfId="263" priority="37"/>
  </conditionalFormatting>
  <conditionalFormatting sqref="B192:B1048576 B1:B9 B97:B107 B34:B46 B48:B58 B11:B32 B138:B190 B112:B135 B76:B87 B60:B72">
    <cfRule type="duplicateValues" dxfId="262" priority="66"/>
  </conditionalFormatting>
  <conditionalFormatting sqref="B192:B1048576 B1:B9 B97:B107 B112:B128 B130:B133 B34:B46 B48:B58 B11:B32 B138:B190 B76:B86 B60:B72">
    <cfRule type="duplicateValues" dxfId="261" priority="65"/>
  </conditionalFormatting>
  <conditionalFormatting sqref="B192:B1048576 B48:B58 B1:B9 B97:B107 B112:B128 B130:B133 B34:B46 B11:B32 B138:B190 B76:B86 B60:B72">
    <cfRule type="duplicateValues" dxfId="260" priority="64"/>
  </conditionalFormatting>
  <pageMargins left="0.7" right="0.7" top="0.75" bottom="0.75" header="0.51180555555555551" footer="0.51180555555555551"/>
  <pageSetup scale="14" firstPageNumber="0" fitToWidth="0" fitToHeight="2" orientation="portrait" horizontalDpi="4294967293" verticalDpi="300" r:id="rId1"/>
  <headerFooter alignWithMargins="0"/>
  <rowBreaks count="2" manualBreakCount="2">
    <brk id="98" max="96" man="1"/>
    <brk id="197" max="96"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tabColor indexed="57"/>
  </sheetPr>
  <dimension ref="A1:CX251"/>
  <sheetViews>
    <sheetView showGridLines="0" view="pageBreakPreview" zoomScale="60" zoomScaleNormal="95" workbookViewId="0">
      <pane xSplit="3" ySplit="7" topLeftCell="D94" activePane="bottomRight" state="frozen"/>
      <selection activeCell="H25" sqref="H25"/>
      <selection pane="topRight" activeCell="H25" sqref="H25"/>
      <selection pane="bottomLeft" activeCell="H25" sqref="H25"/>
      <selection pane="bottomRight" activeCell="B100" sqref="B100"/>
    </sheetView>
  </sheetViews>
  <sheetFormatPr baseColWidth="10" defaultColWidth="11.42578125" defaultRowHeight="23.25" outlineLevelRow="1" outlineLevelCol="1"/>
  <cols>
    <col min="1" max="1" width="7.140625" style="317" customWidth="1"/>
    <col min="2" max="2" width="36.28515625" style="331" customWidth="1"/>
    <col min="3" max="3" width="25.28515625" style="317" customWidth="1"/>
    <col min="4" max="4" width="12" style="322" customWidth="1"/>
    <col min="5" max="5" width="11.28515625" style="332" customWidth="1" outlineLevel="1"/>
    <col min="6" max="6" width="13.42578125" style="332" customWidth="1" outlineLevel="1"/>
    <col min="7" max="7" width="10.7109375" style="332" customWidth="1" outlineLevel="1"/>
    <col min="8" max="8" width="12" style="333" customWidth="1" outlineLevel="1"/>
    <col min="9" max="9" width="13" style="333" customWidth="1" outlineLevel="1"/>
    <col min="10" max="10" width="19.42578125" style="333" bestFit="1" customWidth="1" outlineLevel="1"/>
    <col min="11" max="11" width="21.140625" style="333" bestFit="1" customWidth="1" outlineLevel="1"/>
    <col min="12" max="12" width="11.85546875" style="322" bestFit="1" customWidth="1"/>
    <col min="13" max="13" width="51.5703125" style="331" customWidth="1"/>
    <col min="14" max="14" width="28.42578125" style="295" customWidth="1"/>
    <col min="15" max="15" width="27.140625" style="322" customWidth="1"/>
    <col min="16" max="16" width="21.5703125" style="505" customWidth="1" outlineLevel="1"/>
    <col min="17" max="17" width="20.5703125" style="505" customWidth="1" outlineLevel="1"/>
    <col min="18" max="18" width="28.140625" style="505" customWidth="1" outlineLevel="1"/>
    <col min="19" max="21" width="11.140625" style="333" customWidth="1" outlineLevel="1"/>
    <col min="22" max="22" width="11.28515625" style="333" customWidth="1" outlineLevel="1"/>
    <col min="23" max="16384" width="11.42578125" style="322"/>
  </cols>
  <sheetData>
    <row r="1" spans="1:22">
      <c r="B1" s="318">
        <v>1</v>
      </c>
      <c r="C1" s="319">
        <v>2</v>
      </c>
      <c r="D1" s="320">
        <v>3</v>
      </c>
      <c r="E1" s="321">
        <v>4</v>
      </c>
      <c r="F1" s="320">
        <v>5</v>
      </c>
      <c r="G1" s="321">
        <v>6</v>
      </c>
      <c r="H1" s="321">
        <v>8</v>
      </c>
      <c r="I1" s="320">
        <v>9</v>
      </c>
      <c r="J1" s="321">
        <v>10</v>
      </c>
      <c r="K1" s="320">
        <v>13</v>
      </c>
      <c r="M1" s="318">
        <v>1</v>
      </c>
      <c r="N1" s="296">
        <v>2</v>
      </c>
      <c r="O1" s="320">
        <v>3</v>
      </c>
      <c r="P1" s="503">
        <v>4</v>
      </c>
      <c r="Q1" s="504">
        <v>5</v>
      </c>
      <c r="R1" s="503">
        <v>6</v>
      </c>
      <c r="S1" s="321">
        <v>8</v>
      </c>
      <c r="T1" s="320">
        <v>9</v>
      </c>
      <c r="U1" s="321">
        <v>10</v>
      </c>
      <c r="V1" s="320">
        <v>13</v>
      </c>
    </row>
    <row r="2" spans="1:22" s="327" customFormat="1">
      <c r="A2" s="323"/>
      <c r="B2" s="324" t="s">
        <v>0</v>
      </c>
      <c r="C2" s="325"/>
      <c r="D2" s="326"/>
      <c r="H2" s="328"/>
      <c r="I2" s="328"/>
      <c r="J2" s="328"/>
      <c r="K2" s="328"/>
      <c r="L2" s="322"/>
      <c r="M2" s="324" t="s">
        <v>0</v>
      </c>
      <c r="N2" s="297"/>
      <c r="O2" s="326"/>
      <c r="P2" s="503"/>
      <c r="Q2" s="503"/>
      <c r="R2" s="503"/>
      <c r="S2" s="328"/>
      <c r="T2" s="328"/>
      <c r="U2" s="328"/>
      <c r="V2" s="328"/>
    </row>
    <row r="3" spans="1:22">
      <c r="B3" s="329" t="s">
        <v>589</v>
      </c>
      <c r="C3" s="330"/>
      <c r="E3" s="322"/>
      <c r="F3" s="322"/>
      <c r="G3" s="322"/>
      <c r="H3" s="322"/>
      <c r="I3" s="322"/>
      <c r="J3" s="322"/>
      <c r="K3" s="322"/>
      <c r="M3" s="329" t="s">
        <v>589</v>
      </c>
      <c r="N3" s="298"/>
      <c r="S3" s="322"/>
      <c r="T3" s="322"/>
      <c r="U3" s="322"/>
      <c r="V3" s="322"/>
    </row>
    <row r="4" spans="1:22" ht="12.75" customHeight="1">
      <c r="C4" s="325"/>
      <c r="N4" s="297"/>
    </row>
    <row r="5" spans="1:22" s="336" customFormat="1" ht="15" customHeight="1">
      <c r="A5" s="334"/>
      <c r="B5" s="335"/>
      <c r="C5" s="334" t="s">
        <v>52</v>
      </c>
      <c r="E5" s="336">
        <v>5</v>
      </c>
      <c r="F5" s="336">
        <v>6</v>
      </c>
      <c r="H5" s="337"/>
      <c r="I5" s="337"/>
      <c r="J5" s="337"/>
      <c r="K5" s="337"/>
      <c r="M5" s="335"/>
      <c r="N5" s="299" t="s">
        <v>52</v>
      </c>
      <c r="P5" s="505">
        <v>5</v>
      </c>
      <c r="Q5" s="505">
        <v>6</v>
      </c>
      <c r="R5" s="505"/>
      <c r="S5" s="337"/>
      <c r="T5" s="337"/>
      <c r="U5" s="337"/>
      <c r="V5" s="337"/>
    </row>
    <row r="6" spans="1:22" s="340" customFormat="1" ht="30" customHeight="1" thickBot="1">
      <c r="A6" s="338"/>
      <c r="B6" s="324"/>
      <c r="C6" s="339"/>
      <c r="D6" s="1353" t="s">
        <v>1</v>
      </c>
      <c r="E6" s="1353"/>
      <c r="F6" s="1353"/>
      <c r="G6" s="1353"/>
      <c r="H6" s="1353"/>
      <c r="I6" s="1353"/>
      <c r="J6" s="1353"/>
      <c r="K6" s="1353"/>
      <c r="M6" s="324"/>
      <c r="N6" s="300"/>
      <c r="O6" s="1353" t="s">
        <v>1</v>
      </c>
      <c r="P6" s="1353"/>
      <c r="Q6" s="1353"/>
      <c r="R6" s="1353"/>
      <c r="S6" s="1353"/>
      <c r="T6" s="1353"/>
      <c r="U6" s="1353"/>
      <c r="V6" s="1353"/>
    </row>
    <row r="7" spans="1:22" ht="30" customHeight="1" thickBot="1">
      <c r="B7" s="341" t="s">
        <v>35</v>
      </c>
      <c r="C7" s="342" t="s">
        <v>36</v>
      </c>
      <c r="D7" s="343" t="s">
        <v>381</v>
      </c>
      <c r="E7" s="343" t="s">
        <v>380</v>
      </c>
      <c r="F7" s="343" t="s">
        <v>382</v>
      </c>
      <c r="G7" s="343" t="s">
        <v>17</v>
      </c>
      <c r="H7" s="343" t="s">
        <v>384</v>
      </c>
      <c r="I7" s="343" t="s">
        <v>19</v>
      </c>
      <c r="J7" s="343" t="s">
        <v>385</v>
      </c>
      <c r="K7" s="343" t="s">
        <v>388</v>
      </c>
      <c r="M7" s="341" t="s">
        <v>35</v>
      </c>
      <c r="N7" s="301" t="s">
        <v>36</v>
      </c>
      <c r="O7" s="343" t="s">
        <v>381</v>
      </c>
      <c r="P7" s="506" t="s">
        <v>380</v>
      </c>
      <c r="Q7" s="506" t="s">
        <v>382</v>
      </c>
      <c r="R7" s="506" t="s">
        <v>17</v>
      </c>
      <c r="S7" s="343" t="s">
        <v>384</v>
      </c>
      <c r="T7" s="343" t="s">
        <v>19</v>
      </c>
      <c r="U7" s="343" t="s">
        <v>385</v>
      </c>
      <c r="V7" s="343" t="s">
        <v>388</v>
      </c>
    </row>
    <row r="8" spans="1:22" s="350" customFormat="1" ht="30" customHeight="1">
      <c r="A8" s="344"/>
      <c r="B8" s="324" t="s">
        <v>51</v>
      </c>
      <c r="C8" s="345"/>
      <c r="D8" s="346"/>
      <c r="E8" s="347"/>
      <c r="F8" s="347"/>
      <c r="G8" s="348"/>
      <c r="H8" s="349"/>
      <c r="I8" s="349"/>
      <c r="J8" s="349"/>
      <c r="K8" s="349"/>
      <c r="M8" s="324" t="s">
        <v>51</v>
      </c>
      <c r="N8" s="303"/>
      <c r="O8" s="346"/>
      <c r="P8" s="507"/>
      <c r="Q8" s="507"/>
      <c r="R8" s="508"/>
      <c r="S8" s="349"/>
      <c r="T8" s="349"/>
      <c r="U8" s="349"/>
      <c r="V8" s="349"/>
    </row>
    <row r="9" spans="1:22" s="350" customFormat="1" ht="30" customHeight="1">
      <c r="A9" s="344"/>
      <c r="B9" s="351" t="s">
        <v>53</v>
      </c>
      <c r="C9" s="345"/>
      <c r="D9" s="352"/>
      <c r="E9" s="352"/>
      <c r="F9" s="353"/>
      <c r="G9" s="354" t="s">
        <v>353</v>
      </c>
      <c r="H9" s="353"/>
      <c r="I9" s="355"/>
      <c r="J9" s="355"/>
      <c r="K9" s="355"/>
      <c r="M9" s="351" t="s">
        <v>53</v>
      </c>
      <c r="N9" s="303"/>
      <c r="O9" s="352"/>
      <c r="P9" s="507"/>
      <c r="Q9" s="507"/>
      <c r="R9" s="508" t="s">
        <v>353</v>
      </c>
      <c r="S9" s="353"/>
      <c r="T9" s="355"/>
      <c r="U9" s="355"/>
      <c r="V9" s="355"/>
    </row>
    <row r="10" spans="1:22" s="356" customFormat="1" ht="30" customHeight="1" outlineLevel="1">
      <c r="A10" s="356">
        <v>2</v>
      </c>
      <c r="B10" s="357" t="s">
        <v>490</v>
      </c>
      <c r="C10" s="358" t="s">
        <v>358</v>
      </c>
      <c r="D10" s="358" t="s">
        <v>8</v>
      </c>
      <c r="E10" s="359">
        <v>2825.1</v>
      </c>
      <c r="F10" s="359">
        <v>250</v>
      </c>
      <c r="G10" s="360">
        <f>+E10+F10</f>
        <v>3075.1</v>
      </c>
      <c r="H10" s="361">
        <v>1</v>
      </c>
      <c r="I10" s="361">
        <v>0</v>
      </c>
      <c r="J10" s="361">
        <v>0</v>
      </c>
      <c r="K10" s="361">
        <f>SUM(H10:J10)</f>
        <v>1</v>
      </c>
      <c r="M10" s="357" t="s">
        <v>490</v>
      </c>
      <c r="N10" s="305" t="s">
        <v>358</v>
      </c>
      <c r="O10" s="358" t="s">
        <v>8</v>
      </c>
      <c r="P10" s="509">
        <v>2959.24</v>
      </c>
      <c r="Q10" s="509">
        <v>250</v>
      </c>
      <c r="R10" s="510">
        <f>+P10+Q10</f>
        <v>3209.24</v>
      </c>
      <c r="S10" s="361">
        <v>1</v>
      </c>
      <c r="T10" s="361">
        <v>0</v>
      </c>
      <c r="U10" s="361">
        <v>0</v>
      </c>
      <c r="V10" s="361">
        <f>SUM(S10:U10)</f>
        <v>1</v>
      </c>
    </row>
    <row r="11" spans="1:22" s="366" customFormat="1" ht="30" customHeight="1" outlineLevel="1">
      <c r="A11" s="356"/>
      <c r="B11" s="357" t="s">
        <v>569</v>
      </c>
      <c r="C11" s="358" t="s">
        <v>358</v>
      </c>
      <c r="D11" s="362" t="s">
        <v>8</v>
      </c>
      <c r="E11" s="363">
        <v>2825.1</v>
      </c>
      <c r="F11" s="363">
        <v>250</v>
      </c>
      <c r="G11" s="364">
        <f>+E11+F11</f>
        <v>3075.1</v>
      </c>
      <c r="H11" s="365">
        <v>1</v>
      </c>
      <c r="I11" s="365">
        <v>0</v>
      </c>
      <c r="J11" s="365">
        <v>0</v>
      </c>
      <c r="K11" s="365">
        <f>SUM(H11:J11)</f>
        <v>1</v>
      </c>
      <c r="M11" s="357" t="s">
        <v>569</v>
      </c>
      <c r="N11" s="305" t="s">
        <v>358</v>
      </c>
      <c r="O11" s="362" t="s">
        <v>8</v>
      </c>
      <c r="P11" s="509">
        <v>2959.24</v>
      </c>
      <c r="Q11" s="509">
        <v>250</v>
      </c>
      <c r="R11" s="510">
        <f>+P11+Q11</f>
        <v>3209.24</v>
      </c>
      <c r="S11" s="365">
        <v>1</v>
      </c>
      <c r="T11" s="365">
        <v>0</v>
      </c>
      <c r="U11" s="365">
        <v>0</v>
      </c>
      <c r="V11" s="365">
        <f>SUM(S11:U11)</f>
        <v>1</v>
      </c>
    </row>
    <row r="12" spans="1:22" s="350" customFormat="1" ht="30" customHeight="1" outlineLevel="1">
      <c r="A12" s="344">
        <v>5</v>
      </c>
      <c r="B12" s="367" t="s">
        <v>473</v>
      </c>
      <c r="C12" s="368" t="s">
        <v>54</v>
      </c>
      <c r="D12" s="369" t="s">
        <v>9</v>
      </c>
      <c r="E12" s="370">
        <v>2825.1</v>
      </c>
      <c r="F12" s="371">
        <v>250</v>
      </c>
      <c r="G12" s="372">
        <f>+E12+F12</f>
        <v>3075.1</v>
      </c>
      <c r="H12" s="373">
        <v>0</v>
      </c>
      <c r="I12" s="373">
        <v>1</v>
      </c>
      <c r="J12" s="373">
        <v>0</v>
      </c>
      <c r="K12" s="373">
        <f>SUM(H12:J12)</f>
        <v>1</v>
      </c>
      <c r="M12" s="367" t="s">
        <v>473</v>
      </c>
      <c r="N12" s="306" t="s">
        <v>54</v>
      </c>
      <c r="O12" s="369" t="s">
        <v>9</v>
      </c>
      <c r="P12" s="509">
        <v>2959.24</v>
      </c>
      <c r="Q12" s="511">
        <v>250</v>
      </c>
      <c r="R12" s="512">
        <f>+P12+Q12</f>
        <v>3209.24</v>
      </c>
      <c r="S12" s="373">
        <v>0</v>
      </c>
      <c r="T12" s="373">
        <v>1</v>
      </c>
      <c r="U12" s="373">
        <v>0</v>
      </c>
      <c r="V12" s="373">
        <f>SUM(S12:U12)</f>
        <v>1</v>
      </c>
    </row>
    <row r="13" spans="1:22" s="350" customFormat="1" ht="30" customHeight="1" outlineLevel="1" thickBot="1">
      <c r="A13" s="344"/>
      <c r="B13" s="331"/>
      <c r="C13" s="374" t="s">
        <v>57</v>
      </c>
      <c r="E13" s="375">
        <f>SUM(E10:E12)</f>
        <v>8475.2999999999993</v>
      </c>
      <c r="F13" s="375">
        <f>SUM(F10:F12)</f>
        <v>750</v>
      </c>
      <c r="G13" s="375">
        <f>SUM(G10:G12)</f>
        <v>9225.2999999999993</v>
      </c>
      <c r="H13" s="376"/>
      <c r="J13" s="376"/>
      <c r="K13" s="376"/>
      <c r="M13" s="331"/>
      <c r="N13" s="307" t="s">
        <v>57</v>
      </c>
      <c r="P13" s="513">
        <f>SUM(P10:P12)</f>
        <v>8877.7199999999993</v>
      </c>
      <c r="Q13" s="513">
        <f>SUM(Q10:Q12)</f>
        <v>750</v>
      </c>
      <c r="R13" s="513">
        <f>SUM(R10:R12)</f>
        <v>9627.7199999999993</v>
      </c>
      <c r="S13" s="376"/>
      <c r="U13" s="376"/>
      <c r="V13" s="376"/>
    </row>
    <row r="14" spans="1:22" s="350" customFormat="1" ht="30" customHeight="1" outlineLevel="1" thickTop="1">
      <c r="A14" s="344"/>
      <c r="B14" s="331"/>
      <c r="C14" s="374"/>
      <c r="E14" s="377"/>
      <c r="F14" s="377"/>
      <c r="G14" s="377"/>
      <c r="H14" s="376"/>
      <c r="J14" s="376"/>
      <c r="K14" s="376"/>
      <c r="M14" s="331"/>
      <c r="N14" s="307"/>
      <c r="P14" s="514"/>
      <c r="Q14" s="514"/>
      <c r="R14" s="514"/>
      <c r="S14" s="376"/>
      <c r="U14" s="376"/>
      <c r="V14" s="376"/>
    </row>
    <row r="15" spans="1:22" s="350" customFormat="1" ht="30" customHeight="1" outlineLevel="1">
      <c r="A15" s="344"/>
      <c r="B15" s="331"/>
      <c r="C15" s="374"/>
      <c r="E15" s="377"/>
      <c r="F15" s="377"/>
      <c r="G15" s="377"/>
      <c r="H15" s="376"/>
      <c r="J15" s="376"/>
      <c r="K15" s="376"/>
      <c r="M15" s="331"/>
      <c r="N15" s="307"/>
      <c r="P15" s="514"/>
      <c r="Q15" s="514"/>
      <c r="R15" s="514"/>
      <c r="S15" s="376"/>
      <c r="U15" s="376"/>
      <c r="V15" s="376"/>
    </row>
    <row r="16" spans="1:22" s="380" customFormat="1" ht="30" customHeight="1" outlineLevel="1">
      <c r="A16" s="378"/>
      <c r="B16" s="331"/>
      <c r="C16" s="344"/>
      <c r="D16" s="350"/>
      <c r="E16" s="379"/>
      <c r="G16" s="381"/>
      <c r="H16" s="376"/>
      <c r="I16" s="350"/>
      <c r="J16" s="376"/>
      <c r="K16" s="376"/>
      <c r="L16" s="350"/>
      <c r="M16" s="331"/>
      <c r="N16" s="302"/>
      <c r="O16" s="350"/>
      <c r="P16" s="514"/>
      <c r="Q16" s="515"/>
      <c r="R16" s="516"/>
      <c r="S16" s="376"/>
      <c r="T16" s="350"/>
      <c r="U16" s="376"/>
      <c r="V16" s="376"/>
    </row>
    <row r="17" spans="1:22" s="350" customFormat="1" ht="30" customHeight="1" outlineLevel="1">
      <c r="A17" s="344"/>
      <c r="B17" s="351" t="s">
        <v>58</v>
      </c>
      <c r="C17" s="344"/>
      <c r="D17" s="344"/>
      <c r="E17" s="379"/>
      <c r="F17" s="380"/>
      <c r="G17" s="380"/>
      <c r="M17" s="351" t="s">
        <v>58</v>
      </c>
      <c r="N17" s="302"/>
      <c r="O17" s="344"/>
      <c r="P17" s="514"/>
      <c r="Q17" s="515"/>
      <c r="R17" s="515"/>
    </row>
    <row r="18" spans="1:22" s="389" customFormat="1" ht="30" customHeight="1" outlineLevel="1">
      <c r="A18" s="382">
        <v>8</v>
      </c>
      <c r="B18" s="383" t="s">
        <v>544</v>
      </c>
      <c r="C18" s="384" t="s">
        <v>492</v>
      </c>
      <c r="D18" s="385" t="s">
        <v>8</v>
      </c>
      <c r="E18" s="363">
        <v>2825.1</v>
      </c>
      <c r="F18" s="386">
        <v>725</v>
      </c>
      <c r="G18" s="387">
        <f>+E18+F18</f>
        <v>3550.1</v>
      </c>
      <c r="H18" s="388">
        <v>0.5</v>
      </c>
      <c r="I18" s="388">
        <v>0.5</v>
      </c>
      <c r="J18" s="388">
        <v>0</v>
      </c>
      <c r="K18" s="388">
        <f>SUM(H18:J18)</f>
        <v>1</v>
      </c>
      <c r="M18" s="383" t="s">
        <v>544</v>
      </c>
      <c r="N18" s="308" t="s">
        <v>492</v>
      </c>
      <c r="O18" s="385" t="s">
        <v>8</v>
      </c>
      <c r="P18" s="509">
        <v>2959.24</v>
      </c>
      <c r="Q18" s="511">
        <v>725</v>
      </c>
      <c r="R18" s="512">
        <f>+P18+Q18</f>
        <v>3684.24</v>
      </c>
      <c r="S18" s="388">
        <v>0.5</v>
      </c>
      <c r="T18" s="388">
        <v>0.5</v>
      </c>
      <c r="U18" s="388">
        <v>0</v>
      </c>
      <c r="V18" s="388">
        <f>SUM(S18:U18)</f>
        <v>1</v>
      </c>
    </row>
    <row r="19" spans="1:22" s="320" customFormat="1" ht="30" customHeight="1" outlineLevel="1">
      <c r="A19" s="382">
        <v>9</v>
      </c>
      <c r="B19" s="383" t="s">
        <v>431</v>
      </c>
      <c r="C19" s="384" t="s">
        <v>60</v>
      </c>
      <c r="D19" s="384" t="s">
        <v>8</v>
      </c>
      <c r="E19" s="359">
        <v>2825.1</v>
      </c>
      <c r="F19" s="390">
        <v>250</v>
      </c>
      <c r="G19" s="391">
        <f>+E19+F19</f>
        <v>3075.1</v>
      </c>
      <c r="H19" s="392">
        <v>0.5</v>
      </c>
      <c r="I19" s="392">
        <v>0.5</v>
      </c>
      <c r="J19" s="392">
        <v>0</v>
      </c>
      <c r="K19" s="392">
        <f>SUM(H19:J19)</f>
        <v>1</v>
      </c>
      <c r="M19" s="383" t="s">
        <v>431</v>
      </c>
      <c r="N19" s="308" t="s">
        <v>60</v>
      </c>
      <c r="O19" s="384" t="s">
        <v>8</v>
      </c>
      <c r="P19" s="509">
        <v>2959.24</v>
      </c>
      <c r="Q19" s="511">
        <v>250</v>
      </c>
      <c r="R19" s="512">
        <f>+P19+Q19</f>
        <v>3209.24</v>
      </c>
      <c r="S19" s="392">
        <v>0.5</v>
      </c>
      <c r="T19" s="392">
        <v>0.5</v>
      </c>
      <c r="U19" s="392">
        <v>0</v>
      </c>
      <c r="V19" s="392">
        <f>SUM(S19:U19)</f>
        <v>1</v>
      </c>
    </row>
    <row r="20" spans="1:22" s="366" customFormat="1" ht="30" customHeight="1" outlineLevel="1">
      <c r="A20" s="382">
        <v>10</v>
      </c>
      <c r="B20" s="357" t="s">
        <v>458</v>
      </c>
      <c r="C20" s="358" t="s">
        <v>61</v>
      </c>
      <c r="D20" s="362" t="s">
        <v>9</v>
      </c>
      <c r="E20" s="363">
        <v>2825.1</v>
      </c>
      <c r="F20" s="363">
        <v>250</v>
      </c>
      <c r="G20" s="364">
        <f>+E20+F20</f>
        <v>3075.1</v>
      </c>
      <c r="H20" s="365">
        <v>0</v>
      </c>
      <c r="I20" s="365">
        <v>1</v>
      </c>
      <c r="J20" s="365">
        <v>0</v>
      </c>
      <c r="K20" s="365">
        <f>SUM(H20:J20)</f>
        <v>1</v>
      </c>
      <c r="M20" s="357" t="s">
        <v>458</v>
      </c>
      <c r="N20" s="305" t="s">
        <v>61</v>
      </c>
      <c r="O20" s="362" t="s">
        <v>9</v>
      </c>
      <c r="P20" s="509">
        <v>2959.24</v>
      </c>
      <c r="Q20" s="509">
        <v>250</v>
      </c>
      <c r="R20" s="510">
        <f>+P20+Q20</f>
        <v>3209.24</v>
      </c>
      <c r="S20" s="365">
        <v>0</v>
      </c>
      <c r="T20" s="365">
        <v>1</v>
      </c>
      <c r="U20" s="365">
        <v>0</v>
      </c>
      <c r="V20" s="365">
        <f>SUM(S20:U20)</f>
        <v>1</v>
      </c>
    </row>
    <row r="21" spans="1:22" s="366" customFormat="1" ht="30" customHeight="1" outlineLevel="1">
      <c r="A21" s="382">
        <v>11</v>
      </c>
      <c r="B21" s="357" t="s">
        <v>437</v>
      </c>
      <c r="C21" s="358" t="s">
        <v>62</v>
      </c>
      <c r="D21" s="362" t="s">
        <v>8</v>
      </c>
      <c r="E21" s="363">
        <v>2825.1</v>
      </c>
      <c r="F21" s="363">
        <f>250+120</f>
        <v>370</v>
      </c>
      <c r="G21" s="364">
        <f>+E21+F21</f>
        <v>3195.1</v>
      </c>
      <c r="H21" s="365">
        <v>1</v>
      </c>
      <c r="I21" s="365">
        <v>0</v>
      </c>
      <c r="J21" s="365">
        <v>0</v>
      </c>
      <c r="K21" s="365">
        <f>SUM(H21:J21)</f>
        <v>1</v>
      </c>
      <c r="M21" s="357" t="s">
        <v>437</v>
      </c>
      <c r="N21" s="305" t="s">
        <v>62</v>
      </c>
      <c r="O21" s="362" t="s">
        <v>8</v>
      </c>
      <c r="P21" s="509">
        <v>2959.24</v>
      </c>
      <c r="Q21" s="509">
        <f>250+120</f>
        <v>370</v>
      </c>
      <c r="R21" s="510">
        <f>+P21+Q21</f>
        <v>3329.24</v>
      </c>
      <c r="S21" s="365">
        <v>1</v>
      </c>
      <c r="T21" s="365">
        <v>0</v>
      </c>
      <c r="U21" s="365">
        <v>0</v>
      </c>
      <c r="V21" s="365">
        <f>SUM(S21:U21)</f>
        <v>1</v>
      </c>
    </row>
    <row r="22" spans="1:22" s="350" customFormat="1" ht="30" customHeight="1" outlineLevel="1">
      <c r="A22" s="382">
        <v>12</v>
      </c>
      <c r="B22" s="383" t="s">
        <v>432</v>
      </c>
      <c r="C22" s="384" t="s">
        <v>62</v>
      </c>
      <c r="D22" s="369" t="s">
        <v>8</v>
      </c>
      <c r="E22" s="370">
        <v>2825.1</v>
      </c>
      <c r="F22" s="371">
        <v>370</v>
      </c>
      <c r="G22" s="372">
        <f>+E22+F22</f>
        <v>3195.1</v>
      </c>
      <c r="H22" s="373">
        <v>1</v>
      </c>
      <c r="I22" s="373">
        <v>0</v>
      </c>
      <c r="J22" s="373">
        <v>0</v>
      </c>
      <c r="K22" s="373">
        <f>SUM(H22:J22)</f>
        <v>1</v>
      </c>
      <c r="M22" s="383" t="s">
        <v>432</v>
      </c>
      <c r="N22" s="308" t="s">
        <v>62</v>
      </c>
      <c r="O22" s="369" t="s">
        <v>8</v>
      </c>
      <c r="P22" s="509">
        <v>2959.24</v>
      </c>
      <c r="Q22" s="511">
        <v>370</v>
      </c>
      <c r="R22" s="512">
        <f>+P22+Q22</f>
        <v>3329.24</v>
      </c>
      <c r="S22" s="373">
        <v>1</v>
      </c>
      <c r="T22" s="373">
        <v>0</v>
      </c>
      <c r="U22" s="373">
        <v>0</v>
      </c>
      <c r="V22" s="373">
        <f>SUM(S22:U22)</f>
        <v>1</v>
      </c>
    </row>
    <row r="23" spans="1:22" s="350" customFormat="1" ht="30" customHeight="1" outlineLevel="1" thickBot="1">
      <c r="A23" s="344"/>
      <c r="B23" s="393"/>
      <c r="C23" s="394" t="s">
        <v>63</v>
      </c>
      <c r="E23" s="375">
        <f>SUM(E18:E22)</f>
        <v>14125.5</v>
      </c>
      <c r="F23" s="395">
        <f>SUM(F18:F22)</f>
        <v>1965</v>
      </c>
      <c r="G23" s="395">
        <f>SUM(G18:G22)</f>
        <v>16090.5</v>
      </c>
      <c r="H23" s="376"/>
      <c r="M23" s="393"/>
      <c r="N23" s="309" t="s">
        <v>63</v>
      </c>
      <c r="P23" s="513">
        <f>SUM(P18:P22)</f>
        <v>14796.199999999999</v>
      </c>
      <c r="Q23" s="517">
        <f>SUM(Q18:Q22)</f>
        <v>1965</v>
      </c>
      <c r="R23" s="517">
        <f>SUM(R18:R22)</f>
        <v>16761.199999999997</v>
      </c>
      <c r="S23" s="376"/>
    </row>
    <row r="24" spans="1:22" s="380" customFormat="1" ht="30" customHeight="1" outlineLevel="1" thickTop="1">
      <c r="A24" s="378"/>
      <c r="B24" s="393"/>
      <c r="C24" s="382"/>
      <c r="D24" s="350"/>
      <c r="E24" s="379"/>
      <c r="G24" s="381"/>
      <c r="H24" s="376"/>
      <c r="I24" s="350"/>
      <c r="J24" s="350"/>
      <c r="K24" s="350"/>
      <c r="L24" s="350"/>
      <c r="M24" s="393"/>
      <c r="N24" s="310"/>
      <c r="O24" s="350"/>
      <c r="P24" s="514"/>
      <c r="Q24" s="515"/>
      <c r="R24" s="516"/>
      <c r="S24" s="376"/>
      <c r="T24" s="350"/>
      <c r="U24" s="350"/>
      <c r="V24" s="350"/>
    </row>
    <row r="25" spans="1:22" s="350" customFormat="1" ht="30" customHeight="1" outlineLevel="1">
      <c r="A25" s="344"/>
      <c r="B25" s="351" t="s">
        <v>64</v>
      </c>
      <c r="C25" s="382"/>
      <c r="E25" s="379"/>
      <c r="F25" s="380"/>
      <c r="G25" s="380"/>
      <c r="M25" s="351" t="s">
        <v>64</v>
      </c>
      <c r="N25" s="310"/>
      <c r="P25" s="514"/>
      <c r="Q25" s="515"/>
      <c r="R25" s="515"/>
    </row>
    <row r="26" spans="1:22" s="350" customFormat="1" ht="30" customHeight="1" outlineLevel="1">
      <c r="A26" s="344">
        <f>A22+1</f>
        <v>13</v>
      </c>
      <c r="B26" s="383" t="s">
        <v>461</v>
      </c>
      <c r="C26" s="384" t="s">
        <v>65</v>
      </c>
      <c r="D26" s="369" t="s">
        <v>9</v>
      </c>
      <c r="E26" s="370">
        <v>2825.1</v>
      </c>
      <c r="F26" s="371">
        <v>250</v>
      </c>
      <c r="G26" s="372">
        <f>+E26+F26</f>
        <v>3075.1</v>
      </c>
      <c r="H26" s="373">
        <v>0.65</v>
      </c>
      <c r="I26" s="373">
        <v>0.35</v>
      </c>
      <c r="J26" s="373">
        <v>0</v>
      </c>
      <c r="K26" s="373">
        <f>SUM(H26:J26)</f>
        <v>1</v>
      </c>
      <c r="M26" s="383" t="s">
        <v>461</v>
      </c>
      <c r="N26" s="308" t="s">
        <v>65</v>
      </c>
      <c r="O26" s="369" t="s">
        <v>9</v>
      </c>
      <c r="P26" s="509">
        <v>2959.24</v>
      </c>
      <c r="Q26" s="511">
        <v>250</v>
      </c>
      <c r="R26" s="512">
        <f>+P26+Q26</f>
        <v>3209.24</v>
      </c>
      <c r="S26" s="373">
        <v>0.65</v>
      </c>
      <c r="T26" s="373">
        <v>0.35</v>
      </c>
      <c r="U26" s="373">
        <v>0</v>
      </c>
      <c r="V26" s="373">
        <f>SUM(S26:U26)</f>
        <v>1</v>
      </c>
    </row>
    <row r="27" spans="1:22" s="350" customFormat="1" ht="30" customHeight="1" outlineLevel="1">
      <c r="A27" s="344" t="e">
        <f>#REF!+1</f>
        <v>#REF!</v>
      </c>
      <c r="B27" s="383" t="s">
        <v>474</v>
      </c>
      <c r="C27" s="384" t="s">
        <v>66</v>
      </c>
      <c r="D27" s="369" t="s">
        <v>9</v>
      </c>
      <c r="E27" s="370">
        <v>2825.1</v>
      </c>
      <c r="F27" s="371">
        <v>250</v>
      </c>
      <c r="G27" s="372">
        <f>+E27+F27</f>
        <v>3075.1</v>
      </c>
      <c r="H27" s="373">
        <v>0.5</v>
      </c>
      <c r="I27" s="373">
        <v>0.5</v>
      </c>
      <c r="J27" s="373">
        <v>0</v>
      </c>
      <c r="K27" s="373">
        <f>SUM(H27:J27)</f>
        <v>1</v>
      </c>
      <c r="M27" s="383" t="s">
        <v>474</v>
      </c>
      <c r="N27" s="308" t="s">
        <v>66</v>
      </c>
      <c r="O27" s="369" t="s">
        <v>9</v>
      </c>
      <c r="P27" s="509">
        <v>2959.24</v>
      </c>
      <c r="Q27" s="511">
        <v>250</v>
      </c>
      <c r="R27" s="512">
        <f>+P27+Q27</f>
        <v>3209.24</v>
      </c>
      <c r="S27" s="373">
        <v>0.5</v>
      </c>
      <c r="T27" s="373">
        <v>0.5</v>
      </c>
      <c r="U27" s="373">
        <v>0</v>
      </c>
      <c r="V27" s="373">
        <f>SUM(S27:U27)</f>
        <v>1</v>
      </c>
    </row>
    <row r="28" spans="1:22" s="350" customFormat="1" ht="30" customHeight="1" outlineLevel="1" thickBot="1">
      <c r="A28" s="344"/>
      <c r="B28" s="324"/>
      <c r="C28" s="394" t="s">
        <v>68</v>
      </c>
      <c r="E28" s="375">
        <f>SUM(E26:E27)</f>
        <v>5650.2</v>
      </c>
      <c r="F28" s="375">
        <f>SUM(F26:F27)</f>
        <v>500</v>
      </c>
      <c r="G28" s="375">
        <f>SUM(G26:G27)</f>
        <v>6150.2</v>
      </c>
      <c r="H28" s="376"/>
      <c r="I28" s="376"/>
      <c r="J28" s="376"/>
      <c r="K28" s="376"/>
      <c r="M28" s="324"/>
      <c r="N28" s="309" t="s">
        <v>68</v>
      </c>
      <c r="P28" s="513">
        <f>SUM(P26:P27)</f>
        <v>5918.48</v>
      </c>
      <c r="Q28" s="513">
        <f>SUM(Q26:Q27)</f>
        <v>500</v>
      </c>
      <c r="R28" s="513">
        <f>SUM(R26:R27)</f>
        <v>6418.48</v>
      </c>
      <c r="S28" s="376"/>
      <c r="T28" s="376"/>
      <c r="U28" s="376"/>
      <c r="V28" s="376"/>
    </row>
    <row r="29" spans="1:22" s="350" customFormat="1" ht="30" customHeight="1" outlineLevel="1" thickTop="1">
      <c r="A29" s="344"/>
      <c r="B29" s="324"/>
      <c r="C29" s="382"/>
      <c r="E29" s="396"/>
      <c r="F29" s="397"/>
      <c r="G29" s="397"/>
      <c r="H29" s="376"/>
      <c r="I29" s="376"/>
      <c r="J29" s="376"/>
      <c r="K29" s="376"/>
      <c r="M29" s="324"/>
      <c r="N29" s="310"/>
      <c r="P29" s="514"/>
      <c r="Q29" s="515"/>
      <c r="R29" s="515"/>
      <c r="S29" s="376"/>
      <c r="T29" s="376"/>
      <c r="U29" s="376"/>
      <c r="V29" s="376"/>
    </row>
    <row r="30" spans="1:22" s="400" customFormat="1" ht="30" customHeight="1" outlineLevel="1">
      <c r="A30" s="398"/>
      <c r="B30" s="351" t="s">
        <v>69</v>
      </c>
      <c r="C30" s="344"/>
      <c r="D30" s="350"/>
      <c r="E30" s="399"/>
      <c r="H30" s="401"/>
      <c r="I30" s="401"/>
      <c r="J30" s="401"/>
      <c r="K30" s="401"/>
      <c r="L30" s="350"/>
      <c r="M30" s="351" t="s">
        <v>69</v>
      </c>
      <c r="N30" s="302"/>
      <c r="O30" s="350"/>
      <c r="P30" s="518"/>
      <c r="Q30" s="516"/>
      <c r="R30" s="516"/>
      <c r="S30" s="401"/>
      <c r="T30" s="401"/>
      <c r="U30" s="401"/>
      <c r="V30" s="401"/>
    </row>
    <row r="31" spans="1:22" s="409" customFormat="1" ht="30" customHeight="1" outlineLevel="1">
      <c r="A31" s="402" t="e">
        <f>+#REF!+1</f>
        <v>#REF!</v>
      </c>
      <c r="B31" s="403" t="s">
        <v>554</v>
      </c>
      <c r="C31" s="404" t="s">
        <v>558</v>
      </c>
      <c r="D31" s="405" t="s">
        <v>8</v>
      </c>
      <c r="E31" s="406">
        <v>2825.1</v>
      </c>
      <c r="F31" s="364">
        <v>250</v>
      </c>
      <c r="G31" s="364">
        <f>+E31+F31</f>
        <v>3075.1</v>
      </c>
      <c r="H31" s="407">
        <v>1</v>
      </c>
      <c r="I31" s="408">
        <v>0</v>
      </c>
      <c r="J31" s="408">
        <v>0</v>
      </c>
      <c r="K31" s="408">
        <f>SUM(H31:J31)</f>
        <v>1</v>
      </c>
      <c r="M31" s="403" t="s">
        <v>554</v>
      </c>
      <c r="N31" s="311" t="s">
        <v>558</v>
      </c>
      <c r="O31" s="405" t="s">
        <v>8</v>
      </c>
      <c r="P31" s="509">
        <v>2959.24</v>
      </c>
      <c r="Q31" s="510">
        <v>250</v>
      </c>
      <c r="R31" s="510">
        <f>+P31+Q31</f>
        <v>3209.24</v>
      </c>
      <c r="S31" s="407">
        <v>1</v>
      </c>
      <c r="T31" s="408">
        <v>0</v>
      </c>
      <c r="U31" s="408">
        <v>0</v>
      </c>
      <c r="V31" s="408">
        <f>SUM(S31:U31)</f>
        <v>1</v>
      </c>
    </row>
    <row r="32" spans="1:22" s="350" customFormat="1" ht="30" customHeight="1" outlineLevel="1" thickBot="1">
      <c r="A32" s="344"/>
      <c r="B32" s="324"/>
      <c r="C32" s="394" t="s">
        <v>70</v>
      </c>
      <c r="E32" s="410">
        <f>SUM(E31:E31)</f>
        <v>2825.1</v>
      </c>
      <c r="F32" s="411">
        <f>SUM(F31:F31)</f>
        <v>250</v>
      </c>
      <c r="G32" s="411">
        <f>SUM(G31:G31)</f>
        <v>3075.1</v>
      </c>
      <c r="H32" s="400"/>
      <c r="I32" s="400"/>
      <c r="J32" s="400"/>
      <c r="K32" s="400"/>
      <c r="M32" s="324"/>
      <c r="N32" s="309" t="s">
        <v>70</v>
      </c>
      <c r="P32" s="519">
        <f>SUM(P31:P31)</f>
        <v>2959.24</v>
      </c>
      <c r="Q32" s="520">
        <f>SUM(Q31:Q31)</f>
        <v>250</v>
      </c>
      <c r="R32" s="520">
        <f>SUM(R31:R31)</f>
        <v>3209.24</v>
      </c>
      <c r="S32" s="400"/>
      <c r="T32" s="400"/>
      <c r="U32" s="400"/>
      <c r="V32" s="400"/>
    </row>
    <row r="33" spans="1:102" s="350" customFormat="1" ht="30" customHeight="1" outlineLevel="1" thickTop="1">
      <c r="A33" s="344"/>
      <c r="B33" s="324"/>
      <c r="C33" s="394"/>
      <c r="E33" s="399"/>
      <c r="F33" s="400"/>
      <c r="G33" s="412"/>
      <c r="H33" s="413"/>
      <c r="I33" s="413"/>
      <c r="J33" s="413"/>
      <c r="K33" s="413"/>
      <c r="M33" s="324"/>
      <c r="N33" s="309"/>
      <c r="P33" s="518"/>
      <c r="Q33" s="516"/>
      <c r="R33" s="515"/>
      <c r="S33" s="413"/>
      <c r="T33" s="413"/>
      <c r="U33" s="413"/>
      <c r="V33" s="413"/>
    </row>
    <row r="34" spans="1:102" s="400" customFormat="1" ht="30" customHeight="1" outlineLevel="1">
      <c r="A34" s="398"/>
      <c r="B34" s="351" t="s">
        <v>71</v>
      </c>
      <c r="C34" s="344"/>
      <c r="D34" s="350"/>
      <c r="E34" s="399"/>
      <c r="H34" s="401"/>
      <c r="I34" s="401"/>
      <c r="J34" s="401"/>
      <c r="K34" s="401"/>
      <c r="L34" s="350"/>
      <c r="M34" s="351" t="s">
        <v>71</v>
      </c>
      <c r="N34" s="302"/>
      <c r="O34" s="350"/>
      <c r="P34" s="518"/>
      <c r="Q34" s="516"/>
      <c r="R34" s="516"/>
      <c r="S34" s="401"/>
      <c r="T34" s="401"/>
      <c r="U34" s="401"/>
      <c r="V34" s="401"/>
    </row>
    <row r="35" spans="1:102" s="366" customFormat="1" ht="30" customHeight="1" outlineLevel="1">
      <c r="A35" s="356" t="e">
        <f>+#REF!+1</f>
        <v>#REF!</v>
      </c>
      <c r="B35" s="357" t="s">
        <v>424</v>
      </c>
      <c r="C35" s="358" t="s">
        <v>503</v>
      </c>
      <c r="D35" s="362" t="s">
        <v>8</v>
      </c>
      <c r="E35" s="364">
        <v>2825.1</v>
      </c>
      <c r="F35" s="364">
        <v>400</v>
      </c>
      <c r="G35" s="364">
        <f>+E35+F35</f>
        <v>3225.1</v>
      </c>
      <c r="H35" s="414">
        <v>0.6</v>
      </c>
      <c r="I35" s="365">
        <v>0.4</v>
      </c>
      <c r="J35" s="365">
        <v>0</v>
      </c>
      <c r="K35" s="365">
        <f>SUM(H35:J35)</f>
        <v>1</v>
      </c>
      <c r="M35" s="357" t="s">
        <v>424</v>
      </c>
      <c r="N35" s="305" t="s">
        <v>503</v>
      </c>
      <c r="O35" s="362" t="s">
        <v>8</v>
      </c>
      <c r="P35" s="509">
        <v>2959.24</v>
      </c>
      <c r="Q35" s="510">
        <v>400</v>
      </c>
      <c r="R35" s="510">
        <f>+P35+Q35</f>
        <v>3359.24</v>
      </c>
      <c r="S35" s="414">
        <v>0.6</v>
      </c>
      <c r="T35" s="365">
        <v>0.4</v>
      </c>
      <c r="U35" s="365">
        <v>0</v>
      </c>
      <c r="V35" s="365">
        <f>SUM(S35:U35)</f>
        <v>1</v>
      </c>
    </row>
    <row r="36" spans="1:102" s="356" customFormat="1" ht="30" customHeight="1" outlineLevel="1">
      <c r="A36" s="356" t="e">
        <f>+A35+1</f>
        <v>#REF!</v>
      </c>
      <c r="B36" s="357" t="s">
        <v>522</v>
      </c>
      <c r="C36" s="358" t="s">
        <v>503</v>
      </c>
      <c r="D36" s="358" t="s">
        <v>8</v>
      </c>
      <c r="E36" s="360">
        <v>2825.1</v>
      </c>
      <c r="F36" s="360">
        <v>250</v>
      </c>
      <c r="G36" s="360">
        <f>+E36+F36</f>
        <v>3075.1</v>
      </c>
      <c r="H36" s="415">
        <v>0.6</v>
      </c>
      <c r="I36" s="361">
        <v>0.4</v>
      </c>
      <c r="J36" s="361">
        <v>0</v>
      </c>
      <c r="K36" s="361">
        <f>SUM(H36:J36)</f>
        <v>1</v>
      </c>
      <c r="M36" s="357" t="s">
        <v>522</v>
      </c>
      <c r="N36" s="305" t="s">
        <v>503</v>
      </c>
      <c r="O36" s="358" t="s">
        <v>8</v>
      </c>
      <c r="P36" s="509">
        <v>2959.24</v>
      </c>
      <c r="Q36" s="510">
        <v>250</v>
      </c>
      <c r="R36" s="510">
        <f>+P36+Q36</f>
        <v>3209.24</v>
      </c>
      <c r="S36" s="415">
        <v>0.6</v>
      </c>
      <c r="T36" s="361">
        <v>0.4</v>
      </c>
      <c r="U36" s="361">
        <v>0</v>
      </c>
      <c r="V36" s="361">
        <f>SUM(S36:U36)</f>
        <v>1</v>
      </c>
    </row>
    <row r="37" spans="1:102" s="350" customFormat="1" ht="30" customHeight="1" outlineLevel="1" thickBot="1">
      <c r="A37" s="344"/>
      <c r="B37" s="324"/>
      <c r="C37" s="394" t="s">
        <v>73</v>
      </c>
      <c r="E37" s="416">
        <f>SUM(E35:E36)</f>
        <v>5650.2</v>
      </c>
      <c r="F37" s="416">
        <f>SUM(F35:F36)</f>
        <v>650</v>
      </c>
      <c r="G37" s="416">
        <f>SUM(G35:G36)</f>
        <v>6300.2</v>
      </c>
      <c r="H37" s="413"/>
      <c r="I37" s="413"/>
      <c r="J37" s="413"/>
      <c r="K37" s="413"/>
      <c r="M37" s="324"/>
      <c r="N37" s="309" t="s">
        <v>73</v>
      </c>
      <c r="P37" s="519">
        <f>SUM(P35:P36)</f>
        <v>5918.48</v>
      </c>
      <c r="Q37" s="519">
        <f>SUM(Q35:Q36)</f>
        <v>650</v>
      </c>
      <c r="R37" s="519">
        <f>SUM(R35:R36)</f>
        <v>6568.48</v>
      </c>
      <c r="S37" s="413"/>
      <c r="T37" s="413"/>
      <c r="U37" s="413"/>
      <c r="V37" s="413"/>
    </row>
    <row r="38" spans="1:102" s="400" customFormat="1" ht="30" customHeight="1" outlineLevel="1" thickTop="1">
      <c r="A38" s="398"/>
      <c r="B38" s="324"/>
      <c r="C38" s="394"/>
      <c r="D38" s="350"/>
      <c r="E38" s="399"/>
      <c r="H38" s="413"/>
      <c r="I38" s="413"/>
      <c r="J38" s="413"/>
      <c r="K38" s="413"/>
      <c r="L38" s="350"/>
      <c r="M38" s="324"/>
      <c r="N38" s="309"/>
      <c r="O38" s="350"/>
      <c r="P38" s="518"/>
      <c r="Q38" s="516"/>
      <c r="R38" s="516"/>
      <c r="S38" s="413"/>
      <c r="T38" s="413"/>
      <c r="U38" s="413"/>
      <c r="V38" s="413"/>
      <c r="W38" s="350"/>
      <c r="X38" s="350"/>
      <c r="Y38" s="350"/>
      <c r="Z38" s="350"/>
      <c r="AA38" s="350"/>
      <c r="AB38" s="350"/>
      <c r="AC38" s="350"/>
      <c r="AD38" s="350"/>
      <c r="AE38" s="350"/>
      <c r="AF38" s="350"/>
      <c r="AG38" s="350"/>
      <c r="AH38" s="350"/>
      <c r="AI38" s="350"/>
      <c r="AJ38" s="350"/>
      <c r="AK38" s="350"/>
      <c r="AL38" s="350"/>
      <c r="AM38" s="350"/>
      <c r="AN38" s="350"/>
      <c r="AO38" s="350"/>
      <c r="AP38" s="350"/>
      <c r="AQ38" s="350"/>
      <c r="AR38" s="350"/>
      <c r="AS38" s="350"/>
      <c r="AT38" s="350"/>
      <c r="AU38" s="350"/>
      <c r="AV38" s="350"/>
      <c r="AW38" s="350"/>
      <c r="AX38" s="350"/>
      <c r="AY38" s="350"/>
      <c r="AZ38" s="350"/>
      <c r="BA38" s="350"/>
      <c r="BB38" s="350"/>
      <c r="BC38" s="350"/>
      <c r="BD38" s="350"/>
      <c r="BE38" s="350"/>
      <c r="BF38" s="350"/>
      <c r="BG38" s="350"/>
      <c r="BH38" s="350"/>
      <c r="BI38" s="350"/>
      <c r="BJ38" s="350"/>
      <c r="BK38" s="350"/>
      <c r="BL38" s="350"/>
      <c r="BM38" s="350"/>
      <c r="BN38" s="350"/>
      <c r="BO38" s="350"/>
      <c r="BP38" s="350"/>
      <c r="BQ38" s="350"/>
      <c r="BR38" s="350"/>
      <c r="BS38" s="350"/>
      <c r="BT38" s="350"/>
      <c r="BU38" s="350"/>
      <c r="BV38" s="350"/>
      <c r="BW38" s="350"/>
      <c r="BX38" s="350"/>
      <c r="BY38" s="350"/>
      <c r="BZ38" s="350"/>
      <c r="CA38" s="350"/>
      <c r="CB38" s="350"/>
      <c r="CC38" s="350"/>
      <c r="CD38" s="350"/>
      <c r="CE38" s="350"/>
      <c r="CF38" s="350"/>
      <c r="CG38" s="350"/>
      <c r="CH38" s="350"/>
      <c r="CI38" s="350"/>
      <c r="CJ38" s="350"/>
      <c r="CK38" s="350"/>
      <c r="CL38" s="350"/>
      <c r="CM38" s="350"/>
      <c r="CN38" s="350"/>
      <c r="CO38" s="350"/>
      <c r="CP38" s="350"/>
      <c r="CQ38" s="350"/>
      <c r="CR38" s="350"/>
      <c r="CS38" s="350"/>
      <c r="CT38" s="350"/>
      <c r="CU38" s="350"/>
      <c r="CV38" s="350"/>
      <c r="CW38" s="350"/>
      <c r="CX38" s="350"/>
    </row>
    <row r="39" spans="1:102" s="400" customFormat="1" ht="30" customHeight="1" outlineLevel="1">
      <c r="A39" s="398"/>
      <c r="B39" s="351" t="s">
        <v>74</v>
      </c>
      <c r="C39" s="374"/>
      <c r="D39" s="417"/>
      <c r="E39" s="399"/>
      <c r="H39" s="401"/>
      <c r="I39" s="401"/>
      <c r="J39" s="401"/>
      <c r="K39" s="401"/>
      <c r="L39" s="417"/>
      <c r="M39" s="351" t="s">
        <v>74</v>
      </c>
      <c r="N39" s="307"/>
      <c r="O39" s="417"/>
      <c r="P39" s="518"/>
      <c r="Q39" s="516"/>
      <c r="R39" s="516"/>
      <c r="S39" s="401"/>
      <c r="T39" s="401"/>
      <c r="U39" s="401"/>
      <c r="V39" s="401"/>
    </row>
    <row r="40" spans="1:102" s="417" customFormat="1" ht="30" customHeight="1" outlineLevel="1">
      <c r="A40" s="344" t="e">
        <f>+#REF!+1</f>
        <v>#REF!</v>
      </c>
      <c r="B40" s="367" t="s">
        <v>555</v>
      </c>
      <c r="C40" s="368" t="s">
        <v>377</v>
      </c>
      <c r="D40" s="369" t="s">
        <v>9</v>
      </c>
      <c r="E40" s="418">
        <v>2825.1</v>
      </c>
      <c r="F40" s="418">
        <v>250</v>
      </c>
      <c r="G40" s="418">
        <f>+E40+F40</f>
        <v>3075.1</v>
      </c>
      <c r="H40" s="419">
        <v>0.5</v>
      </c>
      <c r="I40" s="419">
        <v>0.5</v>
      </c>
      <c r="J40" s="419">
        <v>0</v>
      </c>
      <c r="K40" s="373">
        <f>SUM(H40:J40)</f>
        <v>1</v>
      </c>
      <c r="M40" s="367" t="s">
        <v>555</v>
      </c>
      <c r="N40" s="306" t="s">
        <v>377</v>
      </c>
      <c r="O40" s="369" t="s">
        <v>9</v>
      </c>
      <c r="P40" s="509">
        <v>2959.24</v>
      </c>
      <c r="Q40" s="510">
        <v>250</v>
      </c>
      <c r="R40" s="510">
        <f>+P40+Q40</f>
        <v>3209.24</v>
      </c>
      <c r="S40" s="419">
        <v>0.5</v>
      </c>
      <c r="T40" s="419">
        <v>0.5</v>
      </c>
      <c r="U40" s="419">
        <v>0</v>
      </c>
      <c r="V40" s="373">
        <f>SUM(S40:U40)</f>
        <v>1</v>
      </c>
    </row>
    <row r="41" spans="1:102" s="417" customFormat="1" ht="30" customHeight="1" outlineLevel="1">
      <c r="A41" s="344" t="e">
        <f>+A40+1</f>
        <v>#REF!</v>
      </c>
      <c r="B41" s="367" t="s">
        <v>556</v>
      </c>
      <c r="C41" s="368" t="s">
        <v>377</v>
      </c>
      <c r="D41" s="369" t="s">
        <v>9</v>
      </c>
      <c r="E41" s="418">
        <v>2825.1</v>
      </c>
      <c r="F41" s="418">
        <v>250</v>
      </c>
      <c r="G41" s="418">
        <f>+E41+F41</f>
        <v>3075.1</v>
      </c>
      <c r="H41" s="419">
        <v>0.5</v>
      </c>
      <c r="I41" s="419">
        <v>0.5</v>
      </c>
      <c r="J41" s="419">
        <v>0</v>
      </c>
      <c r="K41" s="373">
        <f>SUM(H41:J41)</f>
        <v>1</v>
      </c>
      <c r="M41" s="367" t="s">
        <v>556</v>
      </c>
      <c r="N41" s="306" t="s">
        <v>377</v>
      </c>
      <c r="O41" s="369" t="s">
        <v>9</v>
      </c>
      <c r="P41" s="509">
        <v>2959.24</v>
      </c>
      <c r="Q41" s="510">
        <v>250</v>
      </c>
      <c r="R41" s="510">
        <f>+P41+Q41</f>
        <v>3209.24</v>
      </c>
      <c r="S41" s="419">
        <v>0.5</v>
      </c>
      <c r="T41" s="419">
        <v>0.5</v>
      </c>
      <c r="U41" s="419">
        <v>0</v>
      </c>
      <c r="V41" s="373">
        <f>SUM(S41:U41)</f>
        <v>1</v>
      </c>
    </row>
    <row r="42" spans="1:102" s="417" customFormat="1" ht="30" customHeight="1" outlineLevel="1">
      <c r="A42" s="344" t="e">
        <f>+A41+1</f>
        <v>#REF!</v>
      </c>
      <c r="B42" s="367" t="s">
        <v>557</v>
      </c>
      <c r="C42" s="368" t="s">
        <v>377</v>
      </c>
      <c r="D42" s="369" t="s">
        <v>9</v>
      </c>
      <c r="E42" s="418">
        <v>2825.1</v>
      </c>
      <c r="F42" s="418">
        <v>250</v>
      </c>
      <c r="G42" s="418">
        <f>+E42+F42</f>
        <v>3075.1</v>
      </c>
      <c r="H42" s="419">
        <v>0.5</v>
      </c>
      <c r="I42" s="419">
        <v>0.5</v>
      </c>
      <c r="J42" s="419">
        <v>0</v>
      </c>
      <c r="K42" s="373">
        <f>SUM(H42:J42)</f>
        <v>1</v>
      </c>
      <c r="M42" s="367" t="s">
        <v>557</v>
      </c>
      <c r="N42" s="306" t="s">
        <v>377</v>
      </c>
      <c r="O42" s="369" t="s">
        <v>9</v>
      </c>
      <c r="P42" s="509">
        <v>2959.24</v>
      </c>
      <c r="Q42" s="510">
        <v>250</v>
      </c>
      <c r="R42" s="510">
        <f>+P42+Q42</f>
        <v>3209.24</v>
      </c>
      <c r="S42" s="419">
        <v>0.5</v>
      </c>
      <c r="T42" s="419">
        <v>0.5</v>
      </c>
      <c r="U42" s="419">
        <v>0</v>
      </c>
      <c r="V42" s="373">
        <f>SUM(S42:U42)</f>
        <v>1</v>
      </c>
    </row>
    <row r="43" spans="1:102" s="320" customFormat="1" ht="30" customHeight="1" outlineLevel="1">
      <c r="A43" s="344" t="e">
        <f>+A42+1</f>
        <v>#REF!</v>
      </c>
      <c r="B43" s="383" t="s">
        <v>452</v>
      </c>
      <c r="C43" s="384" t="s">
        <v>377</v>
      </c>
      <c r="D43" s="384" t="s">
        <v>8</v>
      </c>
      <c r="E43" s="360">
        <v>2825.1</v>
      </c>
      <c r="F43" s="360">
        <v>250</v>
      </c>
      <c r="G43" s="360">
        <f>+E43+F43</f>
        <v>3075.1</v>
      </c>
      <c r="H43" s="420">
        <v>0.5</v>
      </c>
      <c r="I43" s="420">
        <v>0.5</v>
      </c>
      <c r="J43" s="420">
        <v>0</v>
      </c>
      <c r="K43" s="421">
        <f>SUM(H43:J43)</f>
        <v>1</v>
      </c>
      <c r="M43" s="383" t="s">
        <v>452</v>
      </c>
      <c r="N43" s="308" t="s">
        <v>377</v>
      </c>
      <c r="O43" s="384" t="s">
        <v>8</v>
      </c>
      <c r="P43" s="509">
        <v>2959.24</v>
      </c>
      <c r="Q43" s="510">
        <v>250</v>
      </c>
      <c r="R43" s="510">
        <f>+P43+Q43</f>
        <v>3209.24</v>
      </c>
      <c r="S43" s="420">
        <v>0.5</v>
      </c>
      <c r="T43" s="420">
        <v>0.5</v>
      </c>
      <c r="U43" s="420">
        <v>0</v>
      </c>
      <c r="V43" s="421">
        <f>SUM(S43:U43)</f>
        <v>1</v>
      </c>
    </row>
    <row r="44" spans="1:102" s="417" customFormat="1" ht="30" customHeight="1" outlineLevel="1" thickBot="1">
      <c r="A44" s="344"/>
      <c r="B44" s="331"/>
      <c r="C44" s="374" t="s">
        <v>375</v>
      </c>
      <c r="D44" s="350"/>
      <c r="E44" s="422">
        <f>+SUM(E40:E43)</f>
        <v>11300.4</v>
      </c>
      <c r="F44" s="423">
        <f>+SUM(F40:F43)</f>
        <v>1000</v>
      </c>
      <c r="G44" s="423">
        <f>+SUM(G40:G43)</f>
        <v>12300.4</v>
      </c>
      <c r="H44" s="424"/>
      <c r="I44" s="424"/>
      <c r="J44" s="424"/>
      <c r="K44" s="376"/>
      <c r="M44" s="331"/>
      <c r="N44" s="307" t="s">
        <v>375</v>
      </c>
      <c r="O44" s="350"/>
      <c r="P44" s="521">
        <f>+SUM(P40:P43)</f>
        <v>11836.96</v>
      </c>
      <c r="Q44" s="522">
        <f>+SUM(Q40:Q43)</f>
        <v>1000</v>
      </c>
      <c r="R44" s="522">
        <f>+SUM(R40:R43)</f>
        <v>12836.96</v>
      </c>
      <c r="S44" s="424"/>
      <c r="T44" s="424"/>
      <c r="U44" s="424"/>
      <c r="V44" s="376"/>
    </row>
    <row r="45" spans="1:102" s="374" customFormat="1" ht="30" customHeight="1" outlineLevel="1" thickTop="1">
      <c r="A45" s="344"/>
      <c r="B45" s="324" t="s">
        <v>80</v>
      </c>
      <c r="C45" s="394"/>
      <c r="E45" s="425"/>
      <c r="F45" s="426"/>
      <c r="G45" s="426"/>
      <c r="H45" s="427"/>
      <c r="I45" s="427"/>
      <c r="J45" s="427"/>
      <c r="K45" s="427"/>
      <c r="M45" s="324" t="s">
        <v>80</v>
      </c>
      <c r="N45" s="309"/>
      <c r="P45" s="518"/>
      <c r="Q45" s="516"/>
      <c r="R45" s="516"/>
      <c r="S45" s="427"/>
      <c r="T45" s="427"/>
      <c r="U45" s="427"/>
      <c r="V45" s="427"/>
    </row>
    <row r="46" spans="1:102" s="381" customFormat="1" ht="30" customHeight="1" outlineLevel="1">
      <c r="A46" s="398"/>
      <c r="B46" s="351" t="s">
        <v>84</v>
      </c>
      <c r="C46" s="344"/>
      <c r="D46" s="350"/>
      <c r="E46" s="428"/>
      <c r="H46" s="424"/>
      <c r="I46" s="424"/>
      <c r="J46" s="424"/>
      <c r="K46" s="424"/>
      <c r="L46" s="350"/>
      <c r="M46" s="351" t="s">
        <v>84</v>
      </c>
      <c r="N46" s="302"/>
      <c r="O46" s="350"/>
      <c r="P46" s="518"/>
      <c r="Q46" s="516"/>
      <c r="R46" s="516"/>
      <c r="S46" s="424"/>
      <c r="T46" s="424"/>
      <c r="U46" s="424"/>
      <c r="V46" s="424"/>
    </row>
    <row r="47" spans="1:102" s="381" customFormat="1" ht="30" customHeight="1" outlineLevel="1">
      <c r="A47" s="398"/>
      <c r="B47" s="324" t="s">
        <v>85</v>
      </c>
      <c r="C47" s="344"/>
      <c r="D47" s="350"/>
      <c r="E47" s="428"/>
      <c r="H47" s="424"/>
      <c r="I47" s="424"/>
      <c r="J47" s="424"/>
      <c r="K47" s="424"/>
      <c r="L47" s="350"/>
      <c r="M47" s="324" t="s">
        <v>85</v>
      </c>
      <c r="N47" s="302"/>
      <c r="O47" s="350"/>
      <c r="P47" s="518"/>
      <c r="Q47" s="516"/>
      <c r="R47" s="516"/>
      <c r="S47" s="424"/>
      <c r="T47" s="424"/>
      <c r="U47" s="424"/>
      <c r="V47" s="424"/>
    </row>
    <row r="48" spans="1:102" s="366" customFormat="1" ht="30" customHeight="1" outlineLevel="1">
      <c r="A48" s="402" t="e">
        <f>+#REF!+1</f>
        <v>#REF!</v>
      </c>
      <c r="B48" s="429" t="s">
        <v>441</v>
      </c>
      <c r="C48" s="404" t="s">
        <v>564</v>
      </c>
      <c r="D48" s="362" t="s">
        <v>8</v>
      </c>
      <c r="E48" s="364">
        <v>2825.1</v>
      </c>
      <c r="F48" s="364">
        <v>250</v>
      </c>
      <c r="G48" s="364">
        <f>+E48+F48</f>
        <v>3075.1</v>
      </c>
      <c r="H48" s="414">
        <v>1</v>
      </c>
      <c r="I48" s="365">
        <v>0</v>
      </c>
      <c r="J48" s="365">
        <v>0</v>
      </c>
      <c r="K48" s="365">
        <f>SUM(H48:J48)</f>
        <v>1</v>
      </c>
      <c r="M48" s="429" t="s">
        <v>441</v>
      </c>
      <c r="N48" s="311" t="s">
        <v>564</v>
      </c>
      <c r="O48" s="362" t="s">
        <v>8</v>
      </c>
      <c r="P48" s="509">
        <v>2959.24</v>
      </c>
      <c r="Q48" s="510">
        <v>250</v>
      </c>
      <c r="R48" s="510">
        <f>+P48+Q48</f>
        <v>3209.24</v>
      </c>
      <c r="S48" s="414">
        <v>1</v>
      </c>
      <c r="T48" s="365">
        <v>0</v>
      </c>
      <c r="U48" s="365">
        <v>0</v>
      </c>
      <c r="V48" s="365">
        <f>SUM(S48:U48)</f>
        <v>1</v>
      </c>
    </row>
    <row r="49" spans="1:22" s="431" customFormat="1" ht="30" customHeight="1" outlineLevel="1" thickBot="1">
      <c r="A49" s="430"/>
      <c r="B49" s="324"/>
      <c r="E49" s="432">
        <f>SUM(E48:E48)</f>
        <v>2825.1</v>
      </c>
      <c r="F49" s="432">
        <f>SUM(F48:F48)</f>
        <v>250</v>
      </c>
      <c r="G49" s="432">
        <f>SUM(G48:G48)</f>
        <v>3075.1</v>
      </c>
      <c r="H49" s="433"/>
      <c r="I49" s="433"/>
      <c r="J49" s="433"/>
      <c r="K49" s="433"/>
      <c r="M49" s="324"/>
      <c r="N49" s="313"/>
      <c r="P49" s="523">
        <f>SUM(P48:P48)</f>
        <v>2959.24</v>
      </c>
      <c r="Q49" s="523">
        <f>SUM(Q48:Q48)</f>
        <v>250</v>
      </c>
      <c r="R49" s="523">
        <f>SUM(R48:R48)</f>
        <v>3209.24</v>
      </c>
      <c r="S49" s="433"/>
      <c r="T49" s="433"/>
      <c r="U49" s="433"/>
      <c r="V49" s="433"/>
    </row>
    <row r="50" spans="1:22" s="434" customFormat="1" ht="30" customHeight="1" outlineLevel="1" thickTop="1">
      <c r="A50" s="430"/>
      <c r="B50" s="351" t="s">
        <v>9</v>
      </c>
      <c r="C50" s="430"/>
      <c r="E50" s="435"/>
      <c r="F50" s="435"/>
      <c r="G50" s="435"/>
      <c r="H50" s="436"/>
      <c r="I50" s="436"/>
      <c r="J50" s="436"/>
      <c r="K50" s="436"/>
      <c r="M50" s="351" t="s">
        <v>9</v>
      </c>
      <c r="N50" s="312"/>
      <c r="P50" s="524"/>
      <c r="Q50" s="524"/>
      <c r="R50" s="524"/>
      <c r="S50" s="436"/>
      <c r="T50" s="436"/>
      <c r="U50" s="436"/>
      <c r="V50" s="436"/>
    </row>
    <row r="51" spans="1:22" s="434" customFormat="1" ht="30" customHeight="1" outlineLevel="1">
      <c r="A51" s="430" t="e">
        <f>+#REF!+1</f>
        <v>#REF!</v>
      </c>
      <c r="B51" s="357" t="s">
        <v>471</v>
      </c>
      <c r="C51" s="437" t="s">
        <v>506</v>
      </c>
      <c r="D51" s="437" t="s">
        <v>9</v>
      </c>
      <c r="E51" s="370">
        <v>2825.1</v>
      </c>
      <c r="F51" s="418">
        <v>250</v>
      </c>
      <c r="G51" s="438">
        <f t="shared" ref="G51:G57" si="0">+E51+F51</f>
        <v>3075.1</v>
      </c>
      <c r="H51" s="439">
        <v>0</v>
      </c>
      <c r="I51" s="440">
        <v>1</v>
      </c>
      <c r="J51" s="439">
        <v>0</v>
      </c>
      <c r="K51" s="439">
        <f t="shared" ref="K51:K67" si="1">SUM(H51:J51)</f>
        <v>1</v>
      </c>
      <c r="M51" s="357" t="s">
        <v>471</v>
      </c>
      <c r="N51" s="314" t="s">
        <v>506</v>
      </c>
      <c r="O51" s="437" t="s">
        <v>9</v>
      </c>
      <c r="P51" s="509">
        <v>2959.24</v>
      </c>
      <c r="Q51" s="510">
        <v>250</v>
      </c>
      <c r="R51" s="510">
        <f t="shared" ref="R51:R57" si="2">+P51+Q51</f>
        <v>3209.24</v>
      </c>
      <c r="S51" s="439">
        <v>0</v>
      </c>
      <c r="T51" s="440">
        <v>1</v>
      </c>
      <c r="U51" s="439">
        <v>0</v>
      </c>
      <c r="V51" s="439">
        <f t="shared" ref="V51:V67" si="3">SUM(S51:U51)</f>
        <v>1</v>
      </c>
    </row>
    <row r="52" spans="1:22" s="366" customFormat="1" ht="30" customHeight="1" outlineLevel="1">
      <c r="A52" s="356" t="e">
        <f>+A51+1</f>
        <v>#REF!</v>
      </c>
      <c r="B52" s="357" t="s">
        <v>472</v>
      </c>
      <c r="C52" s="358" t="s">
        <v>506</v>
      </c>
      <c r="D52" s="358" t="s">
        <v>9</v>
      </c>
      <c r="E52" s="363">
        <v>2825.1</v>
      </c>
      <c r="F52" s="364">
        <v>250</v>
      </c>
      <c r="G52" s="441">
        <f t="shared" si="0"/>
        <v>3075.1</v>
      </c>
      <c r="H52" s="365">
        <v>0</v>
      </c>
      <c r="I52" s="442">
        <v>1</v>
      </c>
      <c r="J52" s="365">
        <v>0</v>
      </c>
      <c r="K52" s="365">
        <f t="shared" si="1"/>
        <v>1</v>
      </c>
      <c r="M52" s="357" t="s">
        <v>472</v>
      </c>
      <c r="N52" s="305" t="s">
        <v>506</v>
      </c>
      <c r="O52" s="358" t="s">
        <v>9</v>
      </c>
      <c r="P52" s="509">
        <v>2959.24</v>
      </c>
      <c r="Q52" s="510">
        <v>250</v>
      </c>
      <c r="R52" s="510">
        <f t="shared" si="2"/>
        <v>3209.24</v>
      </c>
      <c r="S52" s="365">
        <v>0</v>
      </c>
      <c r="T52" s="442">
        <v>1</v>
      </c>
      <c r="U52" s="365">
        <v>0</v>
      </c>
      <c r="V52" s="365">
        <f t="shared" si="3"/>
        <v>1</v>
      </c>
    </row>
    <row r="53" spans="1:22" s="434" customFormat="1" ht="30" customHeight="1" outlineLevel="1">
      <c r="A53" s="356" t="e">
        <f t="shared" ref="A53:A67" si="4">+A52+1</f>
        <v>#REF!</v>
      </c>
      <c r="B53" s="357" t="s">
        <v>464</v>
      </c>
      <c r="C53" s="437" t="s">
        <v>508</v>
      </c>
      <c r="D53" s="437" t="s">
        <v>9</v>
      </c>
      <c r="E53" s="370">
        <v>2825.1</v>
      </c>
      <c r="F53" s="418">
        <v>250</v>
      </c>
      <c r="G53" s="438">
        <f t="shared" si="0"/>
        <v>3075.1</v>
      </c>
      <c r="H53" s="439">
        <v>0</v>
      </c>
      <c r="I53" s="440">
        <v>1</v>
      </c>
      <c r="J53" s="439">
        <v>0</v>
      </c>
      <c r="K53" s="439">
        <f t="shared" si="1"/>
        <v>1</v>
      </c>
      <c r="M53" s="357" t="s">
        <v>464</v>
      </c>
      <c r="N53" s="314" t="s">
        <v>508</v>
      </c>
      <c r="O53" s="437" t="s">
        <v>9</v>
      </c>
      <c r="P53" s="509">
        <v>2959.24</v>
      </c>
      <c r="Q53" s="510">
        <v>250</v>
      </c>
      <c r="R53" s="510">
        <f t="shared" si="2"/>
        <v>3209.24</v>
      </c>
      <c r="S53" s="439">
        <v>0</v>
      </c>
      <c r="T53" s="440">
        <v>1</v>
      </c>
      <c r="U53" s="439">
        <v>0</v>
      </c>
      <c r="V53" s="439">
        <f t="shared" si="3"/>
        <v>1</v>
      </c>
    </row>
    <row r="54" spans="1:22" s="366" customFormat="1" ht="30" customHeight="1" outlineLevel="1">
      <c r="A54" s="356" t="e">
        <f t="shared" si="4"/>
        <v>#REF!</v>
      </c>
      <c r="B54" s="357" t="s">
        <v>495</v>
      </c>
      <c r="C54" s="437" t="s">
        <v>508</v>
      </c>
      <c r="D54" s="358" t="s">
        <v>9</v>
      </c>
      <c r="E54" s="363">
        <v>2825.1</v>
      </c>
      <c r="F54" s="364">
        <f>250</f>
        <v>250</v>
      </c>
      <c r="G54" s="441">
        <f t="shared" si="0"/>
        <v>3075.1</v>
      </c>
      <c r="H54" s="365">
        <v>0</v>
      </c>
      <c r="I54" s="442">
        <v>1</v>
      </c>
      <c r="J54" s="365">
        <v>0</v>
      </c>
      <c r="K54" s="365">
        <f t="shared" si="1"/>
        <v>1</v>
      </c>
      <c r="L54" s="366">
        <v>450</v>
      </c>
      <c r="M54" s="357" t="s">
        <v>495</v>
      </c>
      <c r="N54" s="314" t="s">
        <v>508</v>
      </c>
      <c r="O54" s="358" t="s">
        <v>9</v>
      </c>
      <c r="P54" s="509">
        <v>2959.24</v>
      </c>
      <c r="Q54" s="510">
        <f>250</f>
        <v>250</v>
      </c>
      <c r="R54" s="510">
        <f t="shared" si="2"/>
        <v>3209.24</v>
      </c>
      <c r="S54" s="365">
        <v>0</v>
      </c>
      <c r="T54" s="442">
        <v>1</v>
      </c>
      <c r="U54" s="365">
        <v>0</v>
      </c>
      <c r="V54" s="365">
        <f t="shared" si="3"/>
        <v>1</v>
      </c>
    </row>
    <row r="55" spans="1:22" s="366" customFormat="1" ht="30" customHeight="1" outlineLevel="1">
      <c r="A55" s="356" t="e">
        <f t="shared" si="4"/>
        <v>#REF!</v>
      </c>
      <c r="B55" s="357" t="s">
        <v>430</v>
      </c>
      <c r="C55" s="358" t="s">
        <v>509</v>
      </c>
      <c r="D55" s="358" t="s">
        <v>9</v>
      </c>
      <c r="E55" s="363">
        <v>2825.1</v>
      </c>
      <c r="F55" s="364">
        <f>250</f>
        <v>250</v>
      </c>
      <c r="G55" s="441">
        <f t="shared" si="0"/>
        <v>3075.1</v>
      </c>
      <c r="H55" s="443">
        <v>0</v>
      </c>
      <c r="I55" s="361">
        <v>1</v>
      </c>
      <c r="J55" s="365">
        <v>0</v>
      </c>
      <c r="K55" s="365">
        <f t="shared" si="1"/>
        <v>1</v>
      </c>
      <c r="M55" s="357" t="s">
        <v>430</v>
      </c>
      <c r="N55" s="305" t="s">
        <v>509</v>
      </c>
      <c r="O55" s="358" t="s">
        <v>9</v>
      </c>
      <c r="P55" s="509">
        <v>2959.24</v>
      </c>
      <c r="Q55" s="510">
        <f>250</f>
        <v>250</v>
      </c>
      <c r="R55" s="510">
        <f t="shared" si="2"/>
        <v>3209.24</v>
      </c>
      <c r="S55" s="443">
        <v>0</v>
      </c>
      <c r="T55" s="361">
        <v>1</v>
      </c>
      <c r="U55" s="365">
        <v>0</v>
      </c>
      <c r="V55" s="365">
        <f t="shared" si="3"/>
        <v>1</v>
      </c>
    </row>
    <row r="56" spans="1:22" s="366" customFormat="1" ht="30" customHeight="1" outlineLevel="1">
      <c r="A56" s="356" t="e">
        <f t="shared" si="4"/>
        <v>#REF!</v>
      </c>
      <c r="B56" s="357" t="s">
        <v>498</v>
      </c>
      <c r="C56" s="358" t="s">
        <v>509</v>
      </c>
      <c r="D56" s="358" t="s">
        <v>9</v>
      </c>
      <c r="E56" s="363">
        <v>2825.1</v>
      </c>
      <c r="F56" s="364">
        <v>250</v>
      </c>
      <c r="G56" s="441">
        <f t="shared" si="0"/>
        <v>3075.1</v>
      </c>
      <c r="H56" s="443">
        <v>0</v>
      </c>
      <c r="I56" s="361">
        <v>1</v>
      </c>
      <c r="J56" s="365">
        <v>0</v>
      </c>
      <c r="K56" s="365">
        <f t="shared" si="1"/>
        <v>1</v>
      </c>
      <c r="M56" s="357" t="s">
        <v>498</v>
      </c>
      <c r="N56" s="305" t="s">
        <v>509</v>
      </c>
      <c r="O56" s="358" t="s">
        <v>9</v>
      </c>
      <c r="P56" s="509">
        <v>2959.24</v>
      </c>
      <c r="Q56" s="510">
        <v>250</v>
      </c>
      <c r="R56" s="510">
        <f t="shared" si="2"/>
        <v>3209.24</v>
      </c>
      <c r="S56" s="443">
        <v>0</v>
      </c>
      <c r="T56" s="361">
        <v>1</v>
      </c>
      <c r="U56" s="365">
        <v>0</v>
      </c>
      <c r="V56" s="365">
        <f t="shared" si="3"/>
        <v>1</v>
      </c>
    </row>
    <row r="57" spans="1:22" s="366" customFormat="1" ht="30" customHeight="1" outlineLevel="1">
      <c r="A57" s="356" t="e">
        <f t="shared" si="4"/>
        <v>#REF!</v>
      </c>
      <c r="B57" s="357" t="s">
        <v>500</v>
      </c>
      <c r="C57" s="358" t="s">
        <v>509</v>
      </c>
      <c r="D57" s="358" t="s">
        <v>9</v>
      </c>
      <c r="E57" s="359">
        <v>2825.1</v>
      </c>
      <c r="F57" s="360">
        <v>250</v>
      </c>
      <c r="G57" s="444">
        <f t="shared" si="0"/>
        <v>3075.1</v>
      </c>
      <c r="H57" s="442">
        <v>0</v>
      </c>
      <c r="I57" s="361">
        <v>1</v>
      </c>
      <c r="J57" s="361">
        <v>0</v>
      </c>
      <c r="K57" s="365">
        <f t="shared" si="1"/>
        <v>1</v>
      </c>
      <c r="M57" s="357" t="s">
        <v>500</v>
      </c>
      <c r="N57" s="305" t="s">
        <v>509</v>
      </c>
      <c r="O57" s="358" t="s">
        <v>9</v>
      </c>
      <c r="P57" s="509">
        <v>2959.24</v>
      </c>
      <c r="Q57" s="510">
        <v>250</v>
      </c>
      <c r="R57" s="510">
        <f t="shared" si="2"/>
        <v>3209.24</v>
      </c>
      <c r="S57" s="442">
        <v>0</v>
      </c>
      <c r="T57" s="361">
        <v>1</v>
      </c>
      <c r="U57" s="361">
        <v>0</v>
      </c>
      <c r="V57" s="365">
        <f t="shared" si="3"/>
        <v>1</v>
      </c>
    </row>
    <row r="58" spans="1:22" s="366" customFormat="1" ht="30" customHeight="1" outlineLevel="1">
      <c r="A58" s="356" t="e">
        <f t="shared" si="4"/>
        <v>#REF!</v>
      </c>
      <c r="B58" s="357" t="s">
        <v>499</v>
      </c>
      <c r="C58" s="358" t="s">
        <v>484</v>
      </c>
      <c r="D58" s="358" t="s">
        <v>9</v>
      </c>
      <c r="E58" s="363">
        <v>2825.1</v>
      </c>
      <c r="F58" s="364">
        <v>250</v>
      </c>
      <c r="G58" s="441">
        <v>3075.1</v>
      </c>
      <c r="H58" s="443">
        <v>0</v>
      </c>
      <c r="I58" s="361">
        <v>1</v>
      </c>
      <c r="J58" s="365">
        <v>0</v>
      </c>
      <c r="K58" s="365">
        <f t="shared" si="1"/>
        <v>1</v>
      </c>
      <c r="M58" s="357" t="s">
        <v>499</v>
      </c>
      <c r="N58" s="305" t="s">
        <v>484</v>
      </c>
      <c r="O58" s="358" t="s">
        <v>9</v>
      </c>
      <c r="P58" s="509">
        <v>2959.24</v>
      </c>
      <c r="Q58" s="510">
        <v>250</v>
      </c>
      <c r="R58" s="510">
        <v>3075.1</v>
      </c>
      <c r="S58" s="443">
        <v>0</v>
      </c>
      <c r="T58" s="361">
        <v>1</v>
      </c>
      <c r="U58" s="365">
        <v>0</v>
      </c>
      <c r="V58" s="365">
        <f t="shared" si="3"/>
        <v>1</v>
      </c>
    </row>
    <row r="59" spans="1:22" s="366" customFormat="1" ht="30" customHeight="1" outlineLevel="1">
      <c r="A59" s="356" t="e">
        <f t="shared" si="4"/>
        <v>#REF!</v>
      </c>
      <c r="B59" s="357" t="s">
        <v>526</v>
      </c>
      <c r="C59" s="358" t="s">
        <v>527</v>
      </c>
      <c r="D59" s="358" t="s">
        <v>9</v>
      </c>
      <c r="E59" s="363">
        <v>2825.1</v>
      </c>
      <c r="F59" s="364">
        <v>250</v>
      </c>
      <c r="G59" s="441">
        <f t="shared" ref="G59:G66" si="5">+E59+F59</f>
        <v>3075.1</v>
      </c>
      <c r="H59" s="365">
        <v>0</v>
      </c>
      <c r="I59" s="442">
        <v>1</v>
      </c>
      <c r="J59" s="365">
        <v>0</v>
      </c>
      <c r="K59" s="365">
        <f t="shared" si="1"/>
        <v>1</v>
      </c>
      <c r="M59" s="357" t="s">
        <v>526</v>
      </c>
      <c r="N59" s="305" t="s">
        <v>527</v>
      </c>
      <c r="O59" s="358" t="s">
        <v>9</v>
      </c>
      <c r="P59" s="509">
        <v>2959.24</v>
      </c>
      <c r="Q59" s="510">
        <v>250</v>
      </c>
      <c r="R59" s="510">
        <f t="shared" ref="R59:R66" si="6">+P59+Q59</f>
        <v>3209.24</v>
      </c>
      <c r="S59" s="365">
        <v>0</v>
      </c>
      <c r="T59" s="442">
        <v>1</v>
      </c>
      <c r="U59" s="365">
        <v>0</v>
      </c>
      <c r="V59" s="365">
        <f t="shared" si="3"/>
        <v>1</v>
      </c>
    </row>
    <row r="60" spans="1:22" s="366" customFormat="1" ht="30" customHeight="1" outlineLevel="1">
      <c r="A60" s="356" t="e">
        <f t="shared" si="4"/>
        <v>#REF!</v>
      </c>
      <c r="B60" s="357" t="s">
        <v>528</v>
      </c>
      <c r="C60" s="358" t="s">
        <v>89</v>
      </c>
      <c r="D60" s="358" t="s">
        <v>9</v>
      </c>
      <c r="E60" s="363">
        <v>2825.1</v>
      </c>
      <c r="F60" s="364">
        <v>250</v>
      </c>
      <c r="G60" s="441">
        <f t="shared" si="5"/>
        <v>3075.1</v>
      </c>
      <c r="H60" s="365">
        <v>0</v>
      </c>
      <c r="I60" s="442">
        <v>1</v>
      </c>
      <c r="J60" s="365">
        <v>0</v>
      </c>
      <c r="K60" s="365">
        <f t="shared" si="1"/>
        <v>1</v>
      </c>
      <c r="M60" s="357" t="s">
        <v>528</v>
      </c>
      <c r="N60" s="305" t="s">
        <v>89</v>
      </c>
      <c r="O60" s="358" t="s">
        <v>9</v>
      </c>
      <c r="P60" s="509">
        <v>2959.24</v>
      </c>
      <c r="Q60" s="510">
        <v>250</v>
      </c>
      <c r="R60" s="510">
        <f t="shared" si="6"/>
        <v>3209.24</v>
      </c>
      <c r="S60" s="365">
        <v>0</v>
      </c>
      <c r="T60" s="442">
        <v>1</v>
      </c>
      <c r="U60" s="365">
        <v>0</v>
      </c>
      <c r="V60" s="365">
        <f t="shared" si="3"/>
        <v>1</v>
      </c>
    </row>
    <row r="61" spans="1:22" s="356" customFormat="1" ht="30" customHeight="1" outlineLevel="1">
      <c r="A61" s="356" t="e">
        <f t="shared" si="4"/>
        <v>#REF!</v>
      </c>
      <c r="B61" s="357" t="s">
        <v>538</v>
      </c>
      <c r="C61" s="358" t="s">
        <v>88</v>
      </c>
      <c r="D61" s="358" t="s">
        <v>9</v>
      </c>
      <c r="E61" s="359">
        <v>2825.1</v>
      </c>
      <c r="F61" s="360">
        <v>250</v>
      </c>
      <c r="G61" s="444">
        <f t="shared" si="5"/>
        <v>3075.1</v>
      </c>
      <c r="H61" s="361">
        <v>0</v>
      </c>
      <c r="I61" s="442">
        <v>1</v>
      </c>
      <c r="J61" s="361">
        <v>0</v>
      </c>
      <c r="K61" s="361">
        <f t="shared" si="1"/>
        <v>1</v>
      </c>
      <c r="M61" s="357" t="s">
        <v>538</v>
      </c>
      <c r="N61" s="305" t="s">
        <v>88</v>
      </c>
      <c r="O61" s="358" t="s">
        <v>9</v>
      </c>
      <c r="P61" s="509">
        <v>2959.24</v>
      </c>
      <c r="Q61" s="510">
        <v>250</v>
      </c>
      <c r="R61" s="510">
        <f t="shared" si="6"/>
        <v>3209.24</v>
      </c>
      <c r="S61" s="361">
        <v>0</v>
      </c>
      <c r="T61" s="442">
        <v>1</v>
      </c>
      <c r="U61" s="361">
        <v>0</v>
      </c>
      <c r="V61" s="361">
        <f t="shared" si="3"/>
        <v>1</v>
      </c>
    </row>
    <row r="62" spans="1:22" s="356" customFormat="1" ht="30" customHeight="1" outlineLevel="1">
      <c r="A62" s="356" t="e">
        <f t="shared" si="4"/>
        <v>#REF!</v>
      </c>
      <c r="B62" s="357" t="s">
        <v>542</v>
      </c>
      <c r="C62" s="358" t="s">
        <v>88</v>
      </c>
      <c r="D62" s="358" t="s">
        <v>9</v>
      </c>
      <c r="E62" s="359">
        <v>2825.1</v>
      </c>
      <c r="F62" s="360">
        <v>250</v>
      </c>
      <c r="G62" s="444">
        <f t="shared" si="5"/>
        <v>3075.1</v>
      </c>
      <c r="H62" s="361">
        <v>0</v>
      </c>
      <c r="I62" s="442">
        <v>1</v>
      </c>
      <c r="J62" s="361">
        <v>0</v>
      </c>
      <c r="K62" s="361">
        <f t="shared" si="1"/>
        <v>1</v>
      </c>
      <c r="M62" s="357" t="s">
        <v>542</v>
      </c>
      <c r="N62" s="305" t="s">
        <v>88</v>
      </c>
      <c r="O62" s="358" t="s">
        <v>9</v>
      </c>
      <c r="P62" s="509">
        <v>2959.24</v>
      </c>
      <c r="Q62" s="510">
        <v>250</v>
      </c>
      <c r="R62" s="510">
        <f t="shared" si="6"/>
        <v>3209.24</v>
      </c>
      <c r="S62" s="361">
        <v>0</v>
      </c>
      <c r="T62" s="442">
        <v>1</v>
      </c>
      <c r="U62" s="361">
        <v>0</v>
      </c>
      <c r="V62" s="361">
        <f t="shared" si="3"/>
        <v>1</v>
      </c>
    </row>
    <row r="63" spans="1:22" s="356" customFormat="1" ht="30" customHeight="1" outlineLevel="1">
      <c r="A63" s="356" t="e">
        <f t="shared" si="4"/>
        <v>#REF!</v>
      </c>
      <c r="B63" s="357" t="s">
        <v>543</v>
      </c>
      <c r="C63" s="358" t="s">
        <v>88</v>
      </c>
      <c r="D63" s="358" t="s">
        <v>9</v>
      </c>
      <c r="E63" s="359">
        <v>2825.1</v>
      </c>
      <c r="F63" s="360">
        <v>250</v>
      </c>
      <c r="G63" s="444">
        <f t="shared" si="5"/>
        <v>3075.1</v>
      </c>
      <c r="H63" s="361">
        <v>0</v>
      </c>
      <c r="I63" s="442">
        <v>1</v>
      </c>
      <c r="J63" s="361">
        <v>0</v>
      </c>
      <c r="K63" s="361">
        <f t="shared" si="1"/>
        <v>1</v>
      </c>
      <c r="M63" s="357" t="s">
        <v>543</v>
      </c>
      <c r="N63" s="305" t="s">
        <v>88</v>
      </c>
      <c r="O63" s="358" t="s">
        <v>9</v>
      </c>
      <c r="P63" s="509">
        <v>2959.24</v>
      </c>
      <c r="Q63" s="510">
        <v>250</v>
      </c>
      <c r="R63" s="510">
        <f t="shared" si="6"/>
        <v>3209.24</v>
      </c>
      <c r="S63" s="361">
        <v>0</v>
      </c>
      <c r="T63" s="442">
        <v>1</v>
      </c>
      <c r="U63" s="361">
        <v>0</v>
      </c>
      <c r="V63" s="361">
        <f t="shared" si="3"/>
        <v>1</v>
      </c>
    </row>
    <row r="64" spans="1:22" s="356" customFormat="1" ht="30" customHeight="1" outlineLevel="1">
      <c r="A64" s="356" t="e">
        <f t="shared" si="4"/>
        <v>#REF!</v>
      </c>
      <c r="B64" s="357" t="s">
        <v>548</v>
      </c>
      <c r="C64" s="358" t="s">
        <v>88</v>
      </c>
      <c r="D64" s="358" t="s">
        <v>9</v>
      </c>
      <c r="E64" s="359">
        <v>2825.1</v>
      </c>
      <c r="F64" s="360">
        <v>250</v>
      </c>
      <c r="G64" s="444">
        <f t="shared" si="5"/>
        <v>3075.1</v>
      </c>
      <c r="H64" s="361">
        <v>0</v>
      </c>
      <c r="I64" s="442">
        <v>1</v>
      </c>
      <c r="J64" s="361">
        <v>0</v>
      </c>
      <c r="K64" s="361">
        <f t="shared" si="1"/>
        <v>1</v>
      </c>
      <c r="M64" s="357" t="s">
        <v>548</v>
      </c>
      <c r="N64" s="305" t="s">
        <v>88</v>
      </c>
      <c r="O64" s="358" t="s">
        <v>9</v>
      </c>
      <c r="P64" s="509">
        <v>2959.24</v>
      </c>
      <c r="Q64" s="510">
        <v>250</v>
      </c>
      <c r="R64" s="510">
        <f t="shared" si="6"/>
        <v>3209.24</v>
      </c>
      <c r="S64" s="361">
        <v>0</v>
      </c>
      <c r="T64" s="442">
        <v>1</v>
      </c>
      <c r="U64" s="361">
        <v>0</v>
      </c>
      <c r="V64" s="361">
        <f t="shared" si="3"/>
        <v>1</v>
      </c>
    </row>
    <row r="65" spans="1:22" s="356" customFormat="1" ht="30" customHeight="1" outlineLevel="1">
      <c r="A65" s="356" t="e">
        <f t="shared" si="4"/>
        <v>#REF!</v>
      </c>
      <c r="B65" s="357" t="s">
        <v>549</v>
      </c>
      <c r="C65" s="358" t="s">
        <v>88</v>
      </c>
      <c r="D65" s="358" t="s">
        <v>9</v>
      </c>
      <c r="E65" s="359">
        <v>2825.1</v>
      </c>
      <c r="F65" s="360">
        <v>250</v>
      </c>
      <c r="G65" s="444">
        <f t="shared" si="5"/>
        <v>3075.1</v>
      </c>
      <c r="H65" s="361">
        <v>0</v>
      </c>
      <c r="I65" s="442">
        <v>1</v>
      </c>
      <c r="J65" s="361">
        <v>0</v>
      </c>
      <c r="K65" s="361">
        <f t="shared" si="1"/>
        <v>1</v>
      </c>
      <c r="M65" s="357" t="s">
        <v>549</v>
      </c>
      <c r="N65" s="305" t="s">
        <v>88</v>
      </c>
      <c r="O65" s="358" t="s">
        <v>9</v>
      </c>
      <c r="P65" s="509">
        <v>2959.24</v>
      </c>
      <c r="Q65" s="510">
        <v>250</v>
      </c>
      <c r="R65" s="510">
        <f t="shared" si="6"/>
        <v>3209.24</v>
      </c>
      <c r="S65" s="361">
        <v>0</v>
      </c>
      <c r="T65" s="442">
        <v>1</v>
      </c>
      <c r="U65" s="361">
        <v>0</v>
      </c>
      <c r="V65" s="361">
        <f t="shared" si="3"/>
        <v>1</v>
      </c>
    </row>
    <row r="66" spans="1:22" s="356" customFormat="1" ht="30" customHeight="1" outlineLevel="1">
      <c r="A66" s="356" t="e">
        <f t="shared" si="4"/>
        <v>#REF!</v>
      </c>
      <c r="B66" s="357" t="s">
        <v>550</v>
      </c>
      <c r="C66" s="358" t="s">
        <v>88</v>
      </c>
      <c r="D66" s="358" t="s">
        <v>9</v>
      </c>
      <c r="E66" s="359">
        <v>2825.1</v>
      </c>
      <c r="F66" s="360">
        <v>250</v>
      </c>
      <c r="G66" s="444">
        <f t="shared" si="5"/>
        <v>3075.1</v>
      </c>
      <c r="H66" s="361">
        <v>0</v>
      </c>
      <c r="I66" s="442">
        <v>1</v>
      </c>
      <c r="J66" s="361">
        <v>0</v>
      </c>
      <c r="K66" s="361">
        <f t="shared" si="1"/>
        <v>1</v>
      </c>
      <c r="M66" s="357" t="s">
        <v>550</v>
      </c>
      <c r="N66" s="305" t="s">
        <v>88</v>
      </c>
      <c r="O66" s="358" t="s">
        <v>9</v>
      </c>
      <c r="P66" s="509">
        <v>2959.24</v>
      </c>
      <c r="Q66" s="510">
        <v>250</v>
      </c>
      <c r="R66" s="510">
        <f t="shared" si="6"/>
        <v>3209.24</v>
      </c>
      <c r="S66" s="361">
        <v>0</v>
      </c>
      <c r="T66" s="442">
        <v>1</v>
      </c>
      <c r="U66" s="361">
        <v>0</v>
      </c>
      <c r="V66" s="361">
        <f t="shared" si="3"/>
        <v>1</v>
      </c>
    </row>
    <row r="67" spans="1:22" s="356" customFormat="1" ht="30" customHeight="1" outlineLevel="1">
      <c r="A67" s="356" t="e">
        <f t="shared" si="4"/>
        <v>#REF!</v>
      </c>
      <c r="B67" s="357" t="s">
        <v>539</v>
      </c>
      <c r="C67" s="358" t="s">
        <v>515</v>
      </c>
      <c r="D67" s="358" t="s">
        <v>9</v>
      </c>
      <c r="E67" s="359">
        <v>2825.1</v>
      </c>
      <c r="F67" s="360">
        <v>250</v>
      </c>
      <c r="G67" s="444">
        <v>3075.1</v>
      </c>
      <c r="H67" s="361">
        <v>0</v>
      </c>
      <c r="I67" s="442">
        <v>1</v>
      </c>
      <c r="J67" s="361">
        <v>0</v>
      </c>
      <c r="K67" s="361">
        <f t="shared" si="1"/>
        <v>1</v>
      </c>
      <c r="M67" s="357" t="s">
        <v>539</v>
      </c>
      <c r="N67" s="305" t="s">
        <v>515</v>
      </c>
      <c r="O67" s="358" t="s">
        <v>9</v>
      </c>
      <c r="P67" s="509">
        <v>2959.24</v>
      </c>
      <c r="Q67" s="510">
        <v>250</v>
      </c>
      <c r="R67" s="510">
        <v>3075.1</v>
      </c>
      <c r="S67" s="361">
        <v>0</v>
      </c>
      <c r="T67" s="442">
        <v>1</v>
      </c>
      <c r="U67" s="361">
        <v>0</v>
      </c>
      <c r="V67" s="361">
        <f t="shared" si="3"/>
        <v>1</v>
      </c>
    </row>
    <row r="68" spans="1:22" s="448" customFormat="1" ht="30" customHeight="1" outlineLevel="1" thickBot="1">
      <c r="A68" s="430"/>
      <c r="B68" s="445"/>
      <c r="C68" s="431" t="s">
        <v>91</v>
      </c>
      <c r="D68" s="446"/>
      <c r="E68" s="432">
        <f>SUM(E51:E67)</f>
        <v>48026.699999999983</v>
      </c>
      <c r="F68" s="432">
        <f>SUM(F51:F67)</f>
        <v>4250</v>
      </c>
      <c r="G68" s="432">
        <f>SUM(G51:G67)</f>
        <v>52276.699999999983</v>
      </c>
      <c r="H68" s="433"/>
      <c r="I68" s="433"/>
      <c r="J68" s="433"/>
      <c r="K68" s="447"/>
      <c r="M68" s="445"/>
      <c r="N68" s="313" t="s">
        <v>91</v>
      </c>
      <c r="O68" s="446"/>
      <c r="P68" s="523">
        <f>SUM(P51:P67)</f>
        <v>50307.07999999998</v>
      </c>
      <c r="Q68" s="523">
        <f>SUM(Q51:Q67)</f>
        <v>4250</v>
      </c>
      <c r="R68" s="523">
        <f>SUM(R51:R67)</f>
        <v>54288.799999999981</v>
      </c>
      <c r="S68" s="433"/>
      <c r="T68" s="433"/>
      <c r="U68" s="433"/>
      <c r="V68" s="447"/>
    </row>
    <row r="69" spans="1:22" s="350" customFormat="1" ht="30" customHeight="1" outlineLevel="1" thickTop="1">
      <c r="A69" s="344"/>
      <c r="B69" s="331"/>
      <c r="C69" s="374"/>
      <c r="D69" s="382"/>
      <c r="E69" s="379"/>
      <c r="F69" s="380"/>
      <c r="G69" s="380"/>
      <c r="H69" s="427"/>
      <c r="I69" s="427"/>
      <c r="J69" s="427"/>
      <c r="K69" s="424"/>
      <c r="M69" s="331"/>
      <c r="N69" s="307"/>
      <c r="O69" s="382"/>
      <c r="P69" s="514"/>
      <c r="Q69" s="515"/>
      <c r="R69" s="515"/>
      <c r="S69" s="427"/>
      <c r="T69" s="427"/>
      <c r="U69" s="427"/>
      <c r="V69" s="424"/>
    </row>
    <row r="70" spans="1:22" s="350" customFormat="1" ht="30" customHeight="1" outlineLevel="1">
      <c r="A70" s="344"/>
      <c r="B70" s="351" t="s">
        <v>340</v>
      </c>
      <c r="C70" s="344"/>
      <c r="D70" s="382"/>
      <c r="E70" s="428"/>
      <c r="F70" s="381"/>
      <c r="G70" s="381"/>
      <c r="H70" s="427"/>
      <c r="I70" s="427"/>
      <c r="J70" s="427"/>
      <c r="K70" s="424"/>
      <c r="M70" s="351" t="s">
        <v>340</v>
      </c>
      <c r="N70" s="302"/>
      <c r="O70" s="382"/>
      <c r="P70" s="518"/>
      <c r="Q70" s="516"/>
      <c r="R70" s="516"/>
      <c r="S70" s="427"/>
      <c r="T70" s="427"/>
      <c r="U70" s="427"/>
      <c r="V70" s="424"/>
    </row>
    <row r="71" spans="1:22" s="434" customFormat="1" ht="30" customHeight="1" outlineLevel="1">
      <c r="A71" s="430" t="e">
        <f>A67+1</f>
        <v>#REF!</v>
      </c>
      <c r="B71" s="357" t="s">
        <v>448</v>
      </c>
      <c r="C71" s="437" t="s">
        <v>89</v>
      </c>
      <c r="D71" s="449" t="s">
        <v>8</v>
      </c>
      <c r="E71" s="370">
        <v>2825.1</v>
      </c>
      <c r="F71" s="418">
        <v>250</v>
      </c>
      <c r="G71" s="438">
        <f t="shared" ref="G71:G78" si="7">+E71+F71</f>
        <v>3075.1</v>
      </c>
      <c r="H71" s="450">
        <v>1</v>
      </c>
      <c r="I71" s="439">
        <v>0</v>
      </c>
      <c r="J71" s="439">
        <v>0</v>
      </c>
      <c r="K71" s="439">
        <f t="shared" ref="K71:K82" si="8">SUM(H71:J71)</f>
        <v>1</v>
      </c>
      <c r="M71" s="357" t="s">
        <v>448</v>
      </c>
      <c r="N71" s="314" t="s">
        <v>89</v>
      </c>
      <c r="O71" s="449" t="s">
        <v>8</v>
      </c>
      <c r="P71" s="509">
        <v>2959.24</v>
      </c>
      <c r="Q71" s="510">
        <v>250</v>
      </c>
      <c r="R71" s="510">
        <f t="shared" ref="R71:R78" si="9">+P71+Q71</f>
        <v>3209.24</v>
      </c>
      <c r="S71" s="450">
        <v>1</v>
      </c>
      <c r="T71" s="439">
        <v>0</v>
      </c>
      <c r="U71" s="439">
        <v>0</v>
      </c>
      <c r="V71" s="439">
        <f t="shared" ref="V71:V82" si="10">SUM(S71:U71)</f>
        <v>1</v>
      </c>
    </row>
    <row r="72" spans="1:22" s="434" customFormat="1" ht="30" customHeight="1" outlineLevel="1">
      <c r="A72" s="430" t="e">
        <f t="shared" ref="A72:A82" si="11">A71+1</f>
        <v>#REF!</v>
      </c>
      <c r="B72" s="357" t="s">
        <v>449</v>
      </c>
      <c r="C72" s="437" t="s">
        <v>89</v>
      </c>
      <c r="D72" s="449" t="s">
        <v>8</v>
      </c>
      <c r="E72" s="370">
        <v>2825.1</v>
      </c>
      <c r="F72" s="418">
        <v>250</v>
      </c>
      <c r="G72" s="438">
        <f t="shared" si="7"/>
        <v>3075.1</v>
      </c>
      <c r="H72" s="450">
        <v>1</v>
      </c>
      <c r="I72" s="439">
        <v>0</v>
      </c>
      <c r="J72" s="439">
        <v>0</v>
      </c>
      <c r="K72" s="439">
        <f t="shared" si="8"/>
        <v>1</v>
      </c>
      <c r="M72" s="357" t="s">
        <v>449</v>
      </c>
      <c r="N72" s="314" t="s">
        <v>89</v>
      </c>
      <c r="O72" s="449" t="s">
        <v>8</v>
      </c>
      <c r="P72" s="509">
        <v>2959.24</v>
      </c>
      <c r="Q72" s="510">
        <v>250</v>
      </c>
      <c r="R72" s="510">
        <f t="shared" si="9"/>
        <v>3209.24</v>
      </c>
      <c r="S72" s="450">
        <v>1</v>
      </c>
      <c r="T72" s="439">
        <v>0</v>
      </c>
      <c r="U72" s="439">
        <v>0</v>
      </c>
      <c r="V72" s="439">
        <f t="shared" si="10"/>
        <v>1</v>
      </c>
    </row>
    <row r="73" spans="1:22" s="434" customFormat="1" ht="30" customHeight="1" outlineLevel="1">
      <c r="A73" s="430" t="e">
        <f t="shared" si="11"/>
        <v>#REF!</v>
      </c>
      <c r="B73" s="357" t="s">
        <v>450</v>
      </c>
      <c r="C73" s="437" t="s">
        <v>89</v>
      </c>
      <c r="D73" s="449" t="s">
        <v>8</v>
      </c>
      <c r="E73" s="370">
        <v>2825.1</v>
      </c>
      <c r="F73" s="418">
        <v>250</v>
      </c>
      <c r="G73" s="438">
        <f t="shared" si="7"/>
        <v>3075.1</v>
      </c>
      <c r="H73" s="450">
        <v>1</v>
      </c>
      <c r="I73" s="439">
        <v>0</v>
      </c>
      <c r="J73" s="439">
        <v>0</v>
      </c>
      <c r="K73" s="439">
        <f t="shared" si="8"/>
        <v>1</v>
      </c>
      <c r="M73" s="357" t="s">
        <v>450</v>
      </c>
      <c r="N73" s="314" t="s">
        <v>89</v>
      </c>
      <c r="O73" s="449" t="s">
        <v>8</v>
      </c>
      <c r="P73" s="509">
        <v>2959.24</v>
      </c>
      <c r="Q73" s="510">
        <v>250</v>
      </c>
      <c r="R73" s="510">
        <f t="shared" si="9"/>
        <v>3209.24</v>
      </c>
      <c r="S73" s="450">
        <v>1</v>
      </c>
      <c r="T73" s="439">
        <v>0</v>
      </c>
      <c r="U73" s="439">
        <v>0</v>
      </c>
      <c r="V73" s="439">
        <f t="shared" si="10"/>
        <v>1</v>
      </c>
    </row>
    <row r="74" spans="1:22" s="434" customFormat="1" ht="30" customHeight="1" outlineLevel="1">
      <c r="A74" s="430" t="e">
        <f t="shared" si="11"/>
        <v>#REF!</v>
      </c>
      <c r="B74" s="357" t="s">
        <v>451</v>
      </c>
      <c r="C74" s="437" t="s">
        <v>89</v>
      </c>
      <c r="D74" s="449" t="s">
        <v>8</v>
      </c>
      <c r="E74" s="370">
        <v>2825.1</v>
      </c>
      <c r="F74" s="418">
        <v>250</v>
      </c>
      <c r="G74" s="438">
        <f t="shared" si="7"/>
        <v>3075.1</v>
      </c>
      <c r="H74" s="450">
        <v>1</v>
      </c>
      <c r="I74" s="439">
        <v>0</v>
      </c>
      <c r="J74" s="439">
        <v>0</v>
      </c>
      <c r="K74" s="439">
        <f t="shared" si="8"/>
        <v>1</v>
      </c>
      <c r="M74" s="357" t="s">
        <v>451</v>
      </c>
      <c r="N74" s="314" t="s">
        <v>89</v>
      </c>
      <c r="O74" s="449" t="s">
        <v>8</v>
      </c>
      <c r="P74" s="509">
        <v>2959.24</v>
      </c>
      <c r="Q74" s="510">
        <v>250</v>
      </c>
      <c r="R74" s="510">
        <f t="shared" si="9"/>
        <v>3209.24</v>
      </c>
      <c r="S74" s="450">
        <v>1</v>
      </c>
      <c r="T74" s="439">
        <v>0</v>
      </c>
      <c r="U74" s="439">
        <v>0</v>
      </c>
      <c r="V74" s="439">
        <f t="shared" si="10"/>
        <v>1</v>
      </c>
    </row>
    <row r="75" spans="1:22" s="434" customFormat="1" ht="30" customHeight="1" outlineLevel="1">
      <c r="A75" s="430" t="e">
        <f t="shared" si="11"/>
        <v>#REF!</v>
      </c>
      <c r="B75" s="357" t="s">
        <v>470</v>
      </c>
      <c r="C75" s="437" t="s">
        <v>88</v>
      </c>
      <c r="D75" s="437" t="s">
        <v>8</v>
      </c>
      <c r="E75" s="370">
        <v>2825.1</v>
      </c>
      <c r="F75" s="418">
        <v>250</v>
      </c>
      <c r="G75" s="438">
        <f t="shared" si="7"/>
        <v>3075.1</v>
      </c>
      <c r="H75" s="451">
        <v>1</v>
      </c>
      <c r="I75" s="450">
        <v>0</v>
      </c>
      <c r="J75" s="439">
        <v>0</v>
      </c>
      <c r="K75" s="439">
        <f t="shared" si="8"/>
        <v>1</v>
      </c>
      <c r="M75" s="357" t="s">
        <v>470</v>
      </c>
      <c r="N75" s="314" t="s">
        <v>88</v>
      </c>
      <c r="O75" s="437" t="s">
        <v>8</v>
      </c>
      <c r="P75" s="509">
        <v>2959.24</v>
      </c>
      <c r="Q75" s="510">
        <v>250</v>
      </c>
      <c r="R75" s="510">
        <f t="shared" si="9"/>
        <v>3209.24</v>
      </c>
      <c r="S75" s="451">
        <v>1</v>
      </c>
      <c r="T75" s="450">
        <v>0</v>
      </c>
      <c r="U75" s="439">
        <v>0</v>
      </c>
      <c r="V75" s="439">
        <f t="shared" si="10"/>
        <v>1</v>
      </c>
    </row>
    <row r="76" spans="1:22" s="434" customFormat="1" ht="30" customHeight="1" outlineLevel="1">
      <c r="A76" s="430" t="e">
        <f t="shared" si="11"/>
        <v>#REF!</v>
      </c>
      <c r="B76" s="357" t="s">
        <v>511</v>
      </c>
      <c r="C76" s="437" t="s">
        <v>88</v>
      </c>
      <c r="D76" s="437" t="s">
        <v>8</v>
      </c>
      <c r="E76" s="370">
        <v>2825.1</v>
      </c>
      <c r="F76" s="418">
        <v>250</v>
      </c>
      <c r="G76" s="438">
        <f t="shared" si="7"/>
        <v>3075.1</v>
      </c>
      <c r="H76" s="451">
        <v>1</v>
      </c>
      <c r="I76" s="439">
        <v>0</v>
      </c>
      <c r="J76" s="439">
        <v>0</v>
      </c>
      <c r="K76" s="439">
        <f t="shared" si="8"/>
        <v>1</v>
      </c>
      <c r="M76" s="357" t="s">
        <v>511</v>
      </c>
      <c r="N76" s="314" t="s">
        <v>88</v>
      </c>
      <c r="O76" s="437" t="s">
        <v>8</v>
      </c>
      <c r="P76" s="509">
        <v>2959.24</v>
      </c>
      <c r="Q76" s="510">
        <v>250</v>
      </c>
      <c r="R76" s="510">
        <f t="shared" si="9"/>
        <v>3209.24</v>
      </c>
      <c r="S76" s="451">
        <v>1</v>
      </c>
      <c r="T76" s="439">
        <v>0</v>
      </c>
      <c r="U76" s="439">
        <v>0</v>
      </c>
      <c r="V76" s="439">
        <f t="shared" si="10"/>
        <v>1</v>
      </c>
    </row>
    <row r="77" spans="1:22" s="434" customFormat="1" ht="30" customHeight="1" outlineLevel="1">
      <c r="A77" s="430" t="e">
        <f t="shared" si="11"/>
        <v>#REF!</v>
      </c>
      <c r="B77" s="429" t="s">
        <v>442</v>
      </c>
      <c r="C77" s="437" t="s">
        <v>89</v>
      </c>
      <c r="D77" s="449" t="s">
        <v>8</v>
      </c>
      <c r="E77" s="370">
        <v>2825.1</v>
      </c>
      <c r="F77" s="418">
        <f>250</f>
        <v>250</v>
      </c>
      <c r="G77" s="438">
        <f t="shared" si="7"/>
        <v>3075.1</v>
      </c>
      <c r="H77" s="450">
        <v>1</v>
      </c>
      <c r="I77" s="439">
        <v>0</v>
      </c>
      <c r="J77" s="439">
        <v>0</v>
      </c>
      <c r="K77" s="439">
        <f t="shared" si="8"/>
        <v>1</v>
      </c>
      <c r="M77" s="429" t="s">
        <v>442</v>
      </c>
      <c r="N77" s="314" t="s">
        <v>89</v>
      </c>
      <c r="O77" s="449" t="s">
        <v>8</v>
      </c>
      <c r="P77" s="509">
        <v>2959.24</v>
      </c>
      <c r="Q77" s="510">
        <f>250</f>
        <v>250</v>
      </c>
      <c r="R77" s="510">
        <f t="shared" si="9"/>
        <v>3209.24</v>
      </c>
      <c r="S77" s="450">
        <v>1</v>
      </c>
      <c r="T77" s="439">
        <v>0</v>
      </c>
      <c r="U77" s="439">
        <v>0</v>
      </c>
      <c r="V77" s="439">
        <f t="shared" si="10"/>
        <v>1</v>
      </c>
    </row>
    <row r="78" spans="1:22" s="434" customFormat="1" ht="30" customHeight="1" outlineLevel="1">
      <c r="A78" s="430">
        <v>73</v>
      </c>
      <c r="B78" s="429" t="s">
        <v>443</v>
      </c>
      <c r="C78" s="437" t="s">
        <v>89</v>
      </c>
      <c r="D78" s="449" t="s">
        <v>8</v>
      </c>
      <c r="E78" s="370">
        <v>2825.1</v>
      </c>
      <c r="F78" s="418">
        <f>250</f>
        <v>250</v>
      </c>
      <c r="G78" s="438">
        <f t="shared" si="7"/>
        <v>3075.1</v>
      </c>
      <c r="H78" s="450">
        <v>1</v>
      </c>
      <c r="I78" s="439">
        <v>0</v>
      </c>
      <c r="J78" s="439">
        <v>0</v>
      </c>
      <c r="K78" s="439">
        <f t="shared" si="8"/>
        <v>1</v>
      </c>
      <c r="M78" s="429" t="s">
        <v>443</v>
      </c>
      <c r="N78" s="314" t="s">
        <v>89</v>
      </c>
      <c r="O78" s="449" t="s">
        <v>8</v>
      </c>
      <c r="P78" s="509">
        <v>2959.24</v>
      </c>
      <c r="Q78" s="510">
        <f>250</f>
        <v>250</v>
      </c>
      <c r="R78" s="510">
        <f t="shared" si="9"/>
        <v>3209.24</v>
      </c>
      <c r="S78" s="450">
        <v>1</v>
      </c>
      <c r="T78" s="439">
        <v>0</v>
      </c>
      <c r="U78" s="439">
        <v>0</v>
      </c>
      <c r="V78" s="439">
        <f t="shared" si="10"/>
        <v>1</v>
      </c>
    </row>
    <row r="79" spans="1:22" s="457" customFormat="1" ht="30" customHeight="1" outlineLevel="1">
      <c r="A79" s="430">
        <f t="shared" si="11"/>
        <v>74</v>
      </c>
      <c r="B79" s="357" t="s">
        <v>521</v>
      </c>
      <c r="C79" s="358" t="s">
        <v>89</v>
      </c>
      <c r="D79" s="358" t="s">
        <v>8</v>
      </c>
      <c r="E79" s="452">
        <v>2825.1</v>
      </c>
      <c r="F79" s="453">
        <f>250</f>
        <v>250</v>
      </c>
      <c r="G79" s="454">
        <f>+E79+F79</f>
        <v>3075.1</v>
      </c>
      <c r="H79" s="455">
        <v>1</v>
      </c>
      <c r="I79" s="456">
        <v>0</v>
      </c>
      <c r="J79" s="456">
        <v>0</v>
      </c>
      <c r="K79" s="456">
        <f t="shared" si="8"/>
        <v>1</v>
      </c>
      <c r="M79" s="357" t="s">
        <v>521</v>
      </c>
      <c r="N79" s="305" t="s">
        <v>89</v>
      </c>
      <c r="O79" s="358" t="s">
        <v>8</v>
      </c>
      <c r="P79" s="509">
        <v>2959.24</v>
      </c>
      <c r="Q79" s="510">
        <f>250</f>
        <v>250</v>
      </c>
      <c r="R79" s="510">
        <f>+P79+Q79</f>
        <v>3209.24</v>
      </c>
      <c r="S79" s="455">
        <v>1</v>
      </c>
      <c r="T79" s="456">
        <v>0</v>
      </c>
      <c r="U79" s="456">
        <v>0</v>
      </c>
      <c r="V79" s="456">
        <f t="shared" si="10"/>
        <v>1</v>
      </c>
    </row>
    <row r="80" spans="1:22" s="457" customFormat="1" ht="30" customHeight="1" outlineLevel="1">
      <c r="A80" s="430">
        <f t="shared" si="11"/>
        <v>75</v>
      </c>
      <c r="B80" s="357" t="s">
        <v>523</v>
      </c>
      <c r="C80" s="358" t="s">
        <v>89</v>
      </c>
      <c r="D80" s="358" t="s">
        <v>8</v>
      </c>
      <c r="E80" s="452">
        <v>2825.1</v>
      </c>
      <c r="F80" s="453">
        <f>250</f>
        <v>250</v>
      </c>
      <c r="G80" s="454">
        <f>+E80+F80</f>
        <v>3075.1</v>
      </c>
      <c r="H80" s="455">
        <v>1</v>
      </c>
      <c r="I80" s="456">
        <v>0</v>
      </c>
      <c r="J80" s="456">
        <v>0</v>
      </c>
      <c r="K80" s="456">
        <f t="shared" si="8"/>
        <v>1</v>
      </c>
      <c r="M80" s="357" t="s">
        <v>523</v>
      </c>
      <c r="N80" s="305" t="s">
        <v>89</v>
      </c>
      <c r="O80" s="358" t="s">
        <v>8</v>
      </c>
      <c r="P80" s="509">
        <v>2959.24</v>
      </c>
      <c r="Q80" s="510">
        <f>250</f>
        <v>250</v>
      </c>
      <c r="R80" s="510">
        <f>+P80+Q80</f>
        <v>3209.24</v>
      </c>
      <c r="S80" s="455">
        <v>1</v>
      </c>
      <c r="T80" s="456">
        <v>0</v>
      </c>
      <c r="U80" s="456">
        <v>0</v>
      </c>
      <c r="V80" s="456">
        <f t="shared" si="10"/>
        <v>1</v>
      </c>
    </row>
    <row r="81" spans="1:22" s="457" customFormat="1" ht="30" customHeight="1" outlineLevel="1">
      <c r="A81" s="430">
        <f t="shared" si="11"/>
        <v>76</v>
      </c>
      <c r="B81" s="357" t="s">
        <v>524</v>
      </c>
      <c r="C81" s="358" t="s">
        <v>89</v>
      </c>
      <c r="D81" s="358" t="s">
        <v>8</v>
      </c>
      <c r="E81" s="452">
        <v>2825.1</v>
      </c>
      <c r="F81" s="453">
        <f>250</f>
        <v>250</v>
      </c>
      <c r="G81" s="454">
        <f>+E81+F81</f>
        <v>3075.1</v>
      </c>
      <c r="H81" s="455">
        <v>1</v>
      </c>
      <c r="I81" s="456">
        <v>0</v>
      </c>
      <c r="J81" s="456">
        <v>0</v>
      </c>
      <c r="K81" s="456">
        <f t="shared" si="8"/>
        <v>1</v>
      </c>
      <c r="M81" s="357" t="s">
        <v>524</v>
      </c>
      <c r="N81" s="305" t="s">
        <v>89</v>
      </c>
      <c r="O81" s="358" t="s">
        <v>8</v>
      </c>
      <c r="P81" s="509">
        <v>2959.24</v>
      </c>
      <c r="Q81" s="510">
        <f>250</f>
        <v>250</v>
      </c>
      <c r="R81" s="510">
        <f>+P81+Q81</f>
        <v>3209.24</v>
      </c>
      <c r="S81" s="455">
        <v>1</v>
      </c>
      <c r="T81" s="456">
        <v>0</v>
      </c>
      <c r="U81" s="456">
        <v>0</v>
      </c>
      <c r="V81" s="456">
        <f t="shared" si="10"/>
        <v>1</v>
      </c>
    </row>
    <row r="82" spans="1:22" s="457" customFormat="1" ht="30" customHeight="1" outlineLevel="1">
      <c r="A82" s="430">
        <f t="shared" si="11"/>
        <v>77</v>
      </c>
      <c r="B82" s="357" t="s">
        <v>525</v>
      </c>
      <c r="C82" s="358" t="s">
        <v>89</v>
      </c>
      <c r="D82" s="358" t="s">
        <v>8</v>
      </c>
      <c r="E82" s="452">
        <v>2825.1</v>
      </c>
      <c r="F82" s="453">
        <f>250</f>
        <v>250</v>
      </c>
      <c r="G82" s="454">
        <f>+E82+F82</f>
        <v>3075.1</v>
      </c>
      <c r="H82" s="455">
        <v>1</v>
      </c>
      <c r="I82" s="456">
        <v>0</v>
      </c>
      <c r="J82" s="456">
        <v>0</v>
      </c>
      <c r="K82" s="456">
        <f t="shared" si="8"/>
        <v>1</v>
      </c>
      <c r="M82" s="357" t="s">
        <v>525</v>
      </c>
      <c r="N82" s="305" t="s">
        <v>89</v>
      </c>
      <c r="O82" s="358" t="s">
        <v>8</v>
      </c>
      <c r="P82" s="509">
        <v>2959.24</v>
      </c>
      <c r="Q82" s="510">
        <f>250</f>
        <v>250</v>
      </c>
      <c r="R82" s="510">
        <f>+P82+Q82</f>
        <v>3209.24</v>
      </c>
      <c r="S82" s="455">
        <v>1</v>
      </c>
      <c r="T82" s="456">
        <v>0</v>
      </c>
      <c r="U82" s="456">
        <v>0</v>
      </c>
      <c r="V82" s="456">
        <f t="shared" si="10"/>
        <v>1</v>
      </c>
    </row>
    <row r="83" spans="1:22" s="431" customFormat="1" ht="30" customHeight="1" outlineLevel="1" thickBot="1">
      <c r="A83" s="430"/>
      <c r="B83" s="445"/>
      <c r="C83" s="431" t="s">
        <v>92</v>
      </c>
      <c r="E83" s="432">
        <f>SUM(E71:E82)</f>
        <v>33901.19999999999</v>
      </c>
      <c r="F83" s="432">
        <f>SUM(F71:F82)</f>
        <v>3000</v>
      </c>
      <c r="G83" s="432">
        <f>SUM(G71:G82)</f>
        <v>36901.19999999999</v>
      </c>
      <c r="H83" s="433"/>
      <c r="I83" s="433"/>
      <c r="J83" s="433"/>
      <c r="K83" s="433"/>
      <c r="M83" s="445"/>
      <c r="N83" s="313" t="s">
        <v>92</v>
      </c>
      <c r="P83" s="523">
        <f>SUM(P71:P82)</f>
        <v>35510.87999999999</v>
      </c>
      <c r="Q83" s="523">
        <f>SUM(Q71:Q82)</f>
        <v>3000</v>
      </c>
      <c r="R83" s="523">
        <f>SUM(R71:R82)</f>
        <v>38510.87999999999</v>
      </c>
      <c r="S83" s="433"/>
      <c r="T83" s="433"/>
      <c r="U83" s="433"/>
      <c r="V83" s="433"/>
    </row>
    <row r="84" spans="1:22" s="434" customFormat="1" ht="30" customHeight="1" outlineLevel="1" thickTop="1">
      <c r="A84" s="430"/>
      <c r="B84" s="331"/>
      <c r="C84" s="446"/>
      <c r="E84" s="425"/>
      <c r="F84" s="425"/>
      <c r="G84" s="425"/>
      <c r="H84" s="436"/>
      <c r="I84" s="436"/>
      <c r="J84" s="436"/>
      <c r="K84" s="436"/>
      <c r="M84" s="331"/>
      <c r="N84" s="315"/>
      <c r="P84" s="518"/>
      <c r="Q84" s="518"/>
      <c r="R84" s="518"/>
      <c r="S84" s="436"/>
      <c r="T84" s="436"/>
      <c r="U84" s="436"/>
      <c r="V84" s="436"/>
    </row>
    <row r="85" spans="1:22" s="434" customFormat="1" ht="30" customHeight="1" outlineLevel="1">
      <c r="A85" s="430"/>
      <c r="B85" s="351" t="s">
        <v>362</v>
      </c>
      <c r="C85" s="446"/>
      <c r="E85" s="425"/>
      <c r="F85" s="425"/>
      <c r="G85" s="425"/>
      <c r="H85" s="436"/>
      <c r="I85" s="436"/>
      <c r="J85" s="436"/>
      <c r="K85" s="436"/>
      <c r="M85" s="351" t="s">
        <v>362</v>
      </c>
      <c r="N85" s="315"/>
      <c r="P85" s="518"/>
      <c r="Q85" s="518"/>
      <c r="R85" s="518"/>
      <c r="S85" s="436"/>
      <c r="T85" s="436"/>
      <c r="U85" s="436"/>
      <c r="V85" s="436"/>
    </row>
    <row r="86" spans="1:22" s="434" customFormat="1" ht="30" customHeight="1" outlineLevel="1">
      <c r="A86" s="430">
        <f>A82+1</f>
        <v>78</v>
      </c>
      <c r="B86" s="383" t="s">
        <v>465</v>
      </c>
      <c r="C86" s="437" t="s">
        <v>363</v>
      </c>
      <c r="D86" s="449" t="s">
        <v>9</v>
      </c>
      <c r="E86" s="370">
        <v>2825.1</v>
      </c>
      <c r="F86" s="418">
        <v>250</v>
      </c>
      <c r="G86" s="438">
        <f>+E86+F86</f>
        <v>3075.1</v>
      </c>
      <c r="H86" s="439">
        <v>0</v>
      </c>
      <c r="I86" s="450">
        <v>1</v>
      </c>
      <c r="J86" s="439">
        <v>0</v>
      </c>
      <c r="K86" s="439">
        <f>SUM(H86:J86)</f>
        <v>1</v>
      </c>
      <c r="M86" s="383" t="s">
        <v>465</v>
      </c>
      <c r="N86" s="314" t="s">
        <v>363</v>
      </c>
      <c r="O86" s="449" t="s">
        <v>9</v>
      </c>
      <c r="P86" s="509">
        <v>2959.24</v>
      </c>
      <c r="Q86" s="510">
        <v>250</v>
      </c>
      <c r="R86" s="510">
        <f>+P86+Q86</f>
        <v>3209.24</v>
      </c>
      <c r="S86" s="439">
        <v>0</v>
      </c>
      <c r="T86" s="450">
        <v>1</v>
      </c>
      <c r="U86" s="439">
        <v>0</v>
      </c>
      <c r="V86" s="439">
        <f>SUM(S86:U86)</f>
        <v>1</v>
      </c>
    </row>
    <row r="87" spans="1:22" s="366" customFormat="1" ht="30" customHeight="1" outlineLevel="1">
      <c r="A87" s="356">
        <f>A86+1</f>
        <v>79</v>
      </c>
      <c r="B87" s="357" t="s">
        <v>532</v>
      </c>
      <c r="C87" s="357" t="s">
        <v>363</v>
      </c>
      <c r="D87" s="358" t="s">
        <v>8</v>
      </c>
      <c r="E87" s="363">
        <v>2825.1</v>
      </c>
      <c r="F87" s="364">
        <f>250</f>
        <v>250</v>
      </c>
      <c r="G87" s="441">
        <f>+E87+F87</f>
        <v>3075.1</v>
      </c>
      <c r="H87" s="361">
        <v>1</v>
      </c>
      <c r="I87" s="443">
        <v>0</v>
      </c>
      <c r="J87" s="365">
        <v>0</v>
      </c>
      <c r="K87" s="365">
        <f>SUM(H87:J87)</f>
        <v>1</v>
      </c>
      <c r="M87" s="357" t="s">
        <v>532</v>
      </c>
      <c r="N87" s="304" t="s">
        <v>363</v>
      </c>
      <c r="O87" s="358" t="s">
        <v>8</v>
      </c>
      <c r="P87" s="509">
        <v>2959.24</v>
      </c>
      <c r="Q87" s="510">
        <f>250</f>
        <v>250</v>
      </c>
      <c r="R87" s="510">
        <f>+P87+Q87</f>
        <v>3209.24</v>
      </c>
      <c r="S87" s="361">
        <v>1</v>
      </c>
      <c r="T87" s="443">
        <v>0</v>
      </c>
      <c r="U87" s="365">
        <v>0</v>
      </c>
      <c r="V87" s="365">
        <f>SUM(S87:U87)</f>
        <v>1</v>
      </c>
    </row>
    <row r="88" spans="1:22" s="431" customFormat="1" ht="30" customHeight="1" outlineLevel="1">
      <c r="A88" s="430"/>
      <c r="B88" s="324"/>
      <c r="C88" s="431" t="s">
        <v>364</v>
      </c>
      <c r="E88" s="377">
        <f>SUM(E86:E87)</f>
        <v>5650.2</v>
      </c>
      <c r="F88" s="377">
        <f>SUM(F86:F87)</f>
        <v>500</v>
      </c>
      <c r="G88" s="377">
        <f>SUM(G86:G87)</f>
        <v>6150.2</v>
      </c>
      <c r="H88" s="433"/>
      <c r="I88" s="433"/>
      <c r="J88" s="433"/>
      <c r="K88" s="433"/>
      <c r="M88" s="324"/>
      <c r="N88" s="313" t="s">
        <v>364</v>
      </c>
      <c r="P88" s="514">
        <f>SUM(P86:P87)</f>
        <v>5918.48</v>
      </c>
      <c r="Q88" s="514">
        <f>SUM(Q86:Q87)</f>
        <v>500</v>
      </c>
      <c r="R88" s="514">
        <f>SUM(R86:R87)</f>
        <v>6418.48</v>
      </c>
      <c r="S88" s="433"/>
      <c r="T88" s="433"/>
      <c r="U88" s="433"/>
      <c r="V88" s="433"/>
    </row>
    <row r="89" spans="1:22" s="428" customFormat="1" ht="30" customHeight="1" outlineLevel="1">
      <c r="A89" s="458"/>
      <c r="B89" s="351" t="s">
        <v>99</v>
      </c>
      <c r="C89" s="430"/>
      <c r="D89" s="434"/>
      <c r="H89" s="436"/>
      <c r="I89" s="436"/>
      <c r="J89" s="436"/>
      <c r="K89" s="436"/>
      <c r="L89" s="434"/>
      <c r="M89" s="351" t="s">
        <v>99</v>
      </c>
      <c r="N89" s="312"/>
      <c r="O89" s="434"/>
      <c r="P89" s="518"/>
      <c r="Q89" s="518"/>
      <c r="R89" s="518"/>
      <c r="S89" s="436"/>
      <c r="T89" s="436"/>
      <c r="U89" s="436"/>
      <c r="V89" s="436"/>
    </row>
    <row r="90" spans="1:22" s="428" customFormat="1" ht="30" customHeight="1" outlineLevel="1">
      <c r="A90" s="458"/>
      <c r="B90" s="459" t="s">
        <v>100</v>
      </c>
      <c r="C90" s="430"/>
      <c r="D90" s="434"/>
      <c r="H90" s="436"/>
      <c r="I90" s="436"/>
      <c r="J90" s="436"/>
      <c r="K90" s="436"/>
      <c r="L90" s="434"/>
      <c r="M90" s="459" t="s">
        <v>100</v>
      </c>
      <c r="N90" s="312"/>
      <c r="O90" s="434"/>
      <c r="P90" s="518"/>
      <c r="Q90" s="518"/>
      <c r="R90" s="518"/>
      <c r="S90" s="436"/>
      <c r="T90" s="436"/>
      <c r="U90" s="436"/>
      <c r="V90" s="436"/>
    </row>
    <row r="91" spans="1:22" s="434" customFormat="1" ht="30" customHeight="1" outlineLevel="1">
      <c r="A91" s="356" t="e">
        <f>#REF!+1</f>
        <v>#REF!</v>
      </c>
      <c r="B91" s="357" t="s">
        <v>428</v>
      </c>
      <c r="C91" s="437" t="s">
        <v>107</v>
      </c>
      <c r="D91" s="449" t="s">
        <v>8</v>
      </c>
      <c r="E91" s="418">
        <v>2831.25</v>
      </c>
      <c r="F91" s="418">
        <v>450</v>
      </c>
      <c r="G91" s="418">
        <f t="shared" ref="G91:G96" si="12">+E91+F91</f>
        <v>3281.25</v>
      </c>
      <c r="H91" s="439">
        <v>0.6</v>
      </c>
      <c r="I91" s="439">
        <v>0.2</v>
      </c>
      <c r="J91" s="439">
        <v>0.2</v>
      </c>
      <c r="K91" s="439">
        <f t="shared" ref="K91:K96" si="13">SUM(H91:J91)</f>
        <v>1</v>
      </c>
      <c r="M91" s="357" t="s">
        <v>428</v>
      </c>
      <c r="N91" s="314" t="s">
        <v>107</v>
      </c>
      <c r="O91" s="449" t="s">
        <v>8</v>
      </c>
      <c r="P91" s="509">
        <v>2959.24</v>
      </c>
      <c r="Q91" s="510">
        <v>450</v>
      </c>
      <c r="R91" s="510">
        <f t="shared" ref="R91:R96" si="14">+P91+Q91</f>
        <v>3409.24</v>
      </c>
      <c r="S91" s="439">
        <v>0.6</v>
      </c>
      <c r="T91" s="439">
        <v>0.2</v>
      </c>
      <c r="U91" s="439">
        <v>0.2</v>
      </c>
      <c r="V91" s="439">
        <f t="shared" ref="V91:V96" si="15">SUM(S91:U91)</f>
        <v>1</v>
      </c>
    </row>
    <row r="92" spans="1:22" s="434" customFormat="1" ht="30" customHeight="1" outlineLevel="1">
      <c r="A92" s="356" t="e">
        <f>A91+1</f>
        <v>#REF!</v>
      </c>
      <c r="B92" s="429" t="s">
        <v>438</v>
      </c>
      <c r="C92" s="437" t="s">
        <v>54</v>
      </c>
      <c r="D92" s="449" t="s">
        <v>8</v>
      </c>
      <c r="E92" s="370">
        <v>2825.1</v>
      </c>
      <c r="F92" s="418">
        <v>1400</v>
      </c>
      <c r="G92" s="438">
        <f t="shared" si="12"/>
        <v>4225.1000000000004</v>
      </c>
      <c r="H92" s="439">
        <v>1</v>
      </c>
      <c r="I92" s="450">
        <v>0</v>
      </c>
      <c r="J92" s="439">
        <v>0</v>
      </c>
      <c r="K92" s="439">
        <f t="shared" si="13"/>
        <v>1</v>
      </c>
      <c r="M92" s="429" t="s">
        <v>438</v>
      </c>
      <c r="N92" s="314" t="s">
        <v>54</v>
      </c>
      <c r="O92" s="449" t="s">
        <v>8</v>
      </c>
      <c r="P92" s="509">
        <v>2959.24</v>
      </c>
      <c r="Q92" s="510">
        <v>1400</v>
      </c>
      <c r="R92" s="510">
        <f t="shared" si="14"/>
        <v>4359.24</v>
      </c>
      <c r="S92" s="439">
        <v>1</v>
      </c>
      <c r="T92" s="450">
        <v>0</v>
      </c>
      <c r="U92" s="439">
        <v>0</v>
      </c>
      <c r="V92" s="439">
        <f t="shared" si="15"/>
        <v>1</v>
      </c>
    </row>
    <row r="93" spans="1:22" s="434" customFormat="1" ht="30" customHeight="1" outlineLevel="1">
      <c r="A93" s="356" t="e">
        <f>A92+1</f>
        <v>#REF!</v>
      </c>
      <c r="B93" s="357" t="s">
        <v>439</v>
      </c>
      <c r="C93" s="437" t="s">
        <v>337</v>
      </c>
      <c r="D93" s="449" t="s">
        <v>8</v>
      </c>
      <c r="E93" s="370">
        <v>2825.1</v>
      </c>
      <c r="F93" s="418">
        <v>750</v>
      </c>
      <c r="G93" s="438">
        <f t="shared" si="12"/>
        <v>3575.1</v>
      </c>
      <c r="H93" s="439">
        <v>1</v>
      </c>
      <c r="I93" s="450">
        <v>0</v>
      </c>
      <c r="J93" s="439">
        <v>0</v>
      </c>
      <c r="K93" s="439">
        <f t="shared" si="13"/>
        <v>1</v>
      </c>
      <c r="M93" s="357" t="s">
        <v>439</v>
      </c>
      <c r="N93" s="314" t="s">
        <v>337</v>
      </c>
      <c r="O93" s="449" t="s">
        <v>8</v>
      </c>
      <c r="P93" s="509">
        <v>2959.24</v>
      </c>
      <c r="Q93" s="510">
        <v>750</v>
      </c>
      <c r="R93" s="510">
        <f t="shared" si="14"/>
        <v>3709.24</v>
      </c>
      <c r="S93" s="439">
        <v>1</v>
      </c>
      <c r="T93" s="450">
        <v>0</v>
      </c>
      <c r="U93" s="439">
        <v>0</v>
      </c>
      <c r="V93" s="439">
        <f t="shared" si="15"/>
        <v>1</v>
      </c>
    </row>
    <row r="94" spans="1:22" s="434" customFormat="1" ht="30" customHeight="1" outlineLevel="1">
      <c r="A94" s="356" t="e">
        <f>A93+1</f>
        <v>#REF!</v>
      </c>
      <c r="B94" s="357" t="s">
        <v>429</v>
      </c>
      <c r="C94" s="437" t="s">
        <v>337</v>
      </c>
      <c r="D94" s="449" t="s">
        <v>8</v>
      </c>
      <c r="E94" s="370">
        <v>2825.1</v>
      </c>
      <c r="F94" s="418">
        <v>750</v>
      </c>
      <c r="G94" s="438">
        <f t="shared" si="12"/>
        <v>3575.1</v>
      </c>
      <c r="H94" s="439">
        <v>1</v>
      </c>
      <c r="I94" s="450">
        <v>0</v>
      </c>
      <c r="J94" s="439">
        <v>0</v>
      </c>
      <c r="K94" s="439">
        <f t="shared" si="13"/>
        <v>1</v>
      </c>
      <c r="M94" s="357" t="s">
        <v>429</v>
      </c>
      <c r="N94" s="314" t="s">
        <v>337</v>
      </c>
      <c r="O94" s="449" t="s">
        <v>8</v>
      </c>
      <c r="P94" s="509">
        <v>2959.24</v>
      </c>
      <c r="Q94" s="510">
        <v>750</v>
      </c>
      <c r="R94" s="510">
        <f t="shared" si="14"/>
        <v>3709.24</v>
      </c>
      <c r="S94" s="439">
        <v>1</v>
      </c>
      <c r="T94" s="450">
        <v>0</v>
      </c>
      <c r="U94" s="439">
        <v>0</v>
      </c>
      <c r="V94" s="439">
        <f t="shared" si="15"/>
        <v>1</v>
      </c>
    </row>
    <row r="95" spans="1:22" s="356" customFormat="1" ht="30" customHeight="1" outlineLevel="1">
      <c r="A95" s="356" t="e">
        <f>#REF!+1</f>
        <v>#REF!</v>
      </c>
      <c r="B95" s="357" t="s">
        <v>502</v>
      </c>
      <c r="C95" s="358" t="s">
        <v>54</v>
      </c>
      <c r="D95" s="358" t="s">
        <v>8</v>
      </c>
      <c r="E95" s="359">
        <v>2825.1</v>
      </c>
      <c r="F95" s="360">
        <f>1150+250</f>
        <v>1400</v>
      </c>
      <c r="G95" s="444">
        <f t="shared" si="12"/>
        <v>4225.1000000000004</v>
      </c>
      <c r="H95" s="361">
        <v>1</v>
      </c>
      <c r="I95" s="361">
        <v>0</v>
      </c>
      <c r="J95" s="361">
        <v>0</v>
      </c>
      <c r="K95" s="361">
        <f t="shared" si="13"/>
        <v>1</v>
      </c>
      <c r="M95" s="357" t="s">
        <v>502</v>
      </c>
      <c r="N95" s="305" t="s">
        <v>54</v>
      </c>
      <c r="O95" s="358" t="s">
        <v>8</v>
      </c>
      <c r="P95" s="509">
        <v>2959.24</v>
      </c>
      <c r="Q95" s="510">
        <f>1150+250</f>
        <v>1400</v>
      </c>
      <c r="R95" s="510">
        <f t="shared" si="14"/>
        <v>4359.24</v>
      </c>
      <c r="S95" s="361">
        <v>1</v>
      </c>
      <c r="T95" s="361">
        <v>0</v>
      </c>
      <c r="U95" s="361">
        <v>0</v>
      </c>
      <c r="V95" s="361">
        <f t="shared" si="15"/>
        <v>1</v>
      </c>
    </row>
    <row r="96" spans="1:22" s="366" customFormat="1" ht="30" customHeight="1" outlineLevel="1">
      <c r="A96" s="356" t="e">
        <f>A95+1</f>
        <v>#REF!</v>
      </c>
      <c r="B96" s="357" t="s">
        <v>518</v>
      </c>
      <c r="C96" s="358" t="s">
        <v>107</v>
      </c>
      <c r="D96" s="358" t="s">
        <v>8</v>
      </c>
      <c r="E96" s="363">
        <v>2825.1</v>
      </c>
      <c r="F96" s="364">
        <f>250+150</f>
        <v>400</v>
      </c>
      <c r="G96" s="441">
        <f t="shared" si="12"/>
        <v>3225.1</v>
      </c>
      <c r="H96" s="365">
        <v>1</v>
      </c>
      <c r="I96" s="365">
        <v>0</v>
      </c>
      <c r="J96" s="365">
        <v>0</v>
      </c>
      <c r="K96" s="365">
        <f t="shared" si="13"/>
        <v>1</v>
      </c>
      <c r="M96" s="357" t="s">
        <v>518</v>
      </c>
      <c r="N96" s="305" t="s">
        <v>107</v>
      </c>
      <c r="O96" s="358" t="s">
        <v>8</v>
      </c>
      <c r="P96" s="509">
        <v>2959.24</v>
      </c>
      <c r="Q96" s="510">
        <f>250+150</f>
        <v>400</v>
      </c>
      <c r="R96" s="510">
        <f t="shared" si="14"/>
        <v>3359.24</v>
      </c>
      <c r="S96" s="365">
        <v>1</v>
      </c>
      <c r="T96" s="365">
        <v>0</v>
      </c>
      <c r="U96" s="365">
        <v>0</v>
      </c>
      <c r="V96" s="365">
        <f t="shared" si="15"/>
        <v>1</v>
      </c>
    </row>
    <row r="97" spans="1:22" s="448" customFormat="1" ht="30" customHeight="1" outlineLevel="1" thickBot="1">
      <c r="A97" s="430"/>
      <c r="B97" s="445"/>
      <c r="C97" s="431" t="s">
        <v>105</v>
      </c>
      <c r="E97" s="432">
        <f>SUM(E91:E96)</f>
        <v>16956.75</v>
      </c>
      <c r="F97" s="432">
        <f>SUM(F91:F96)</f>
        <v>5150</v>
      </c>
      <c r="G97" s="432">
        <f>SUM(G91:G96)</f>
        <v>22106.75</v>
      </c>
      <c r="H97" s="396"/>
      <c r="I97" s="396"/>
      <c r="J97" s="396"/>
      <c r="K97" s="396"/>
      <c r="M97" s="445"/>
      <c r="N97" s="313" t="s">
        <v>105</v>
      </c>
      <c r="P97" s="523">
        <f>SUM(P91:P96)</f>
        <v>17755.439999999999</v>
      </c>
      <c r="Q97" s="523">
        <f>SUM(Q91:Q96)</f>
        <v>5150</v>
      </c>
      <c r="R97" s="523">
        <f>SUM(R91:R96)</f>
        <v>22905.439999999995</v>
      </c>
      <c r="S97" s="396"/>
      <c r="T97" s="396"/>
      <c r="U97" s="396"/>
      <c r="V97" s="396"/>
    </row>
    <row r="98" spans="1:22" s="434" customFormat="1" ht="30" customHeight="1" outlineLevel="1" thickTop="1">
      <c r="A98" s="430"/>
      <c r="B98" s="459" t="s">
        <v>277</v>
      </c>
      <c r="C98" s="430"/>
      <c r="E98" s="428"/>
      <c r="F98" s="428"/>
      <c r="G98" s="428"/>
      <c r="H98" s="436"/>
      <c r="I98" s="436"/>
      <c r="J98" s="436"/>
      <c r="K98" s="436"/>
      <c r="M98" s="459" t="s">
        <v>277</v>
      </c>
      <c r="N98" s="312"/>
      <c r="P98" s="518"/>
      <c r="Q98" s="518"/>
      <c r="R98" s="518"/>
      <c r="S98" s="436"/>
      <c r="T98" s="436"/>
      <c r="U98" s="436"/>
      <c r="V98" s="436"/>
    </row>
    <row r="99" spans="1:22" s="431" customFormat="1" ht="30" customHeight="1" outlineLevel="1">
      <c r="A99" s="356" t="e">
        <f>A96+1</f>
        <v>#REF!</v>
      </c>
      <c r="B99" s="429" t="s">
        <v>425</v>
      </c>
      <c r="C99" s="437" t="s">
        <v>103</v>
      </c>
      <c r="D99" s="437" t="s">
        <v>8</v>
      </c>
      <c r="E99" s="460">
        <v>2856.35</v>
      </c>
      <c r="F99" s="460">
        <f>500</f>
        <v>500</v>
      </c>
      <c r="G99" s="460">
        <f>+E99+F99</f>
        <v>3356.35</v>
      </c>
      <c r="H99" s="439">
        <v>0.4</v>
      </c>
      <c r="I99" s="439">
        <v>0.4</v>
      </c>
      <c r="J99" s="439">
        <v>0.2</v>
      </c>
      <c r="K99" s="439">
        <f>SUM(H99:J99)</f>
        <v>1</v>
      </c>
      <c r="M99" s="429" t="s">
        <v>425</v>
      </c>
      <c r="N99" s="314" t="s">
        <v>103</v>
      </c>
      <c r="O99" s="437" t="s">
        <v>8</v>
      </c>
      <c r="P99" s="509">
        <v>2959.24</v>
      </c>
      <c r="Q99" s="510">
        <f>500</f>
        <v>500</v>
      </c>
      <c r="R99" s="510">
        <f>+P99+Q99</f>
        <v>3459.24</v>
      </c>
      <c r="S99" s="439">
        <v>0.4</v>
      </c>
      <c r="T99" s="439">
        <v>0.4</v>
      </c>
      <c r="U99" s="439">
        <v>0.2</v>
      </c>
      <c r="V99" s="439">
        <f>SUM(S99:U99)</f>
        <v>1</v>
      </c>
    </row>
    <row r="100" spans="1:22" s="356" customFormat="1" ht="30" customHeight="1" outlineLevel="1">
      <c r="A100" s="356" t="e">
        <f>+#REF!+1</f>
        <v>#REF!</v>
      </c>
      <c r="B100" s="357" t="s">
        <v>519</v>
      </c>
      <c r="C100" s="358" t="s">
        <v>107</v>
      </c>
      <c r="D100" s="358" t="s">
        <v>9</v>
      </c>
      <c r="E100" s="360">
        <v>2825.1</v>
      </c>
      <c r="F100" s="360">
        <f>250+150</f>
        <v>400</v>
      </c>
      <c r="G100" s="360">
        <f>+E100+F100</f>
        <v>3225.1</v>
      </c>
      <c r="H100" s="365">
        <v>0</v>
      </c>
      <c r="I100" s="365">
        <v>1</v>
      </c>
      <c r="J100" s="365">
        <v>0</v>
      </c>
      <c r="K100" s="365">
        <f>SUM(H100:J100)</f>
        <v>1</v>
      </c>
      <c r="M100" s="357" t="s">
        <v>519</v>
      </c>
      <c r="N100" s="305" t="s">
        <v>107</v>
      </c>
      <c r="O100" s="358" t="s">
        <v>9</v>
      </c>
      <c r="P100" s="509">
        <v>2959.24</v>
      </c>
      <c r="Q100" s="510">
        <f>250+150</f>
        <v>400</v>
      </c>
      <c r="R100" s="510">
        <f>+P100+Q100</f>
        <v>3359.24</v>
      </c>
      <c r="S100" s="365">
        <v>0</v>
      </c>
      <c r="T100" s="365">
        <v>1</v>
      </c>
      <c r="U100" s="365">
        <v>0</v>
      </c>
      <c r="V100" s="365">
        <f>SUM(S100:U100)</f>
        <v>1</v>
      </c>
    </row>
    <row r="101" spans="1:22" s="356" customFormat="1" ht="30" customHeight="1" outlineLevel="1">
      <c r="A101" s="356" t="e">
        <f>+A100+1</f>
        <v>#REF!</v>
      </c>
      <c r="B101" s="357" t="s">
        <v>566</v>
      </c>
      <c r="C101" s="358" t="s">
        <v>107</v>
      </c>
      <c r="D101" s="358" t="s">
        <v>8</v>
      </c>
      <c r="E101" s="360">
        <v>2825.1</v>
      </c>
      <c r="F101" s="360">
        <v>250</v>
      </c>
      <c r="G101" s="360">
        <f>+E101+F101</f>
        <v>3075.1</v>
      </c>
      <c r="H101" s="365">
        <v>0.6</v>
      </c>
      <c r="I101" s="365">
        <v>0.4</v>
      </c>
      <c r="J101" s="365">
        <v>0</v>
      </c>
      <c r="K101" s="365">
        <f>SUM(H101:J101)</f>
        <v>1</v>
      </c>
      <c r="M101" s="357" t="s">
        <v>566</v>
      </c>
      <c r="N101" s="305" t="s">
        <v>107</v>
      </c>
      <c r="O101" s="358" t="s">
        <v>8</v>
      </c>
      <c r="P101" s="509">
        <v>2959.24</v>
      </c>
      <c r="Q101" s="510">
        <v>250</v>
      </c>
      <c r="R101" s="510">
        <f>+P101+Q101</f>
        <v>3209.24</v>
      </c>
      <c r="S101" s="365">
        <v>0.6</v>
      </c>
      <c r="T101" s="365">
        <v>0.4</v>
      </c>
      <c r="U101" s="365">
        <v>0</v>
      </c>
      <c r="V101" s="365">
        <f>SUM(S101:U101)</f>
        <v>1</v>
      </c>
    </row>
    <row r="102" spans="1:22" s="446" customFormat="1" ht="30" customHeight="1" outlineLevel="1">
      <c r="A102" s="356" t="e">
        <f>+A101+1</f>
        <v>#REF!</v>
      </c>
      <c r="B102" s="357" t="s">
        <v>537</v>
      </c>
      <c r="C102" s="358" t="s">
        <v>103</v>
      </c>
      <c r="D102" s="358" t="s">
        <v>8</v>
      </c>
      <c r="E102" s="360">
        <v>2856.35</v>
      </c>
      <c r="F102" s="360">
        <f>500</f>
        <v>500</v>
      </c>
      <c r="G102" s="360">
        <f>+E102+F102</f>
        <v>3356.35</v>
      </c>
      <c r="H102" s="361">
        <v>1</v>
      </c>
      <c r="I102" s="361">
        <v>0</v>
      </c>
      <c r="J102" s="361">
        <v>0</v>
      </c>
      <c r="K102" s="361">
        <f>SUM(H102:J102)</f>
        <v>1</v>
      </c>
      <c r="M102" s="357" t="s">
        <v>537</v>
      </c>
      <c r="N102" s="305" t="s">
        <v>103</v>
      </c>
      <c r="O102" s="358" t="s">
        <v>8</v>
      </c>
      <c r="P102" s="509">
        <v>2959.24</v>
      </c>
      <c r="Q102" s="510">
        <f>500</f>
        <v>500</v>
      </c>
      <c r="R102" s="510">
        <f>+P102+Q102</f>
        <v>3459.24</v>
      </c>
      <c r="S102" s="361">
        <v>1</v>
      </c>
      <c r="T102" s="361">
        <v>0</v>
      </c>
      <c r="U102" s="361">
        <v>0</v>
      </c>
      <c r="V102" s="361">
        <f>SUM(S102:U102)</f>
        <v>1</v>
      </c>
    </row>
    <row r="103" spans="1:22" s="402" customFormat="1" ht="30" customHeight="1" outlineLevel="1">
      <c r="A103" s="356" t="e">
        <f>+A102+1</f>
        <v>#REF!</v>
      </c>
      <c r="B103" s="461" t="s">
        <v>540</v>
      </c>
      <c r="C103" s="404" t="s">
        <v>501</v>
      </c>
      <c r="D103" s="404" t="s">
        <v>8</v>
      </c>
      <c r="E103" s="462">
        <v>2825.1</v>
      </c>
      <c r="F103" s="462">
        <v>250</v>
      </c>
      <c r="G103" s="462">
        <f>+E103+F103</f>
        <v>3075.1</v>
      </c>
      <c r="H103" s="408">
        <v>1</v>
      </c>
      <c r="I103" s="408">
        <v>0</v>
      </c>
      <c r="J103" s="408">
        <v>0</v>
      </c>
      <c r="K103" s="408">
        <f>SUM(H103:J103)</f>
        <v>1</v>
      </c>
      <c r="M103" s="461" t="s">
        <v>540</v>
      </c>
      <c r="N103" s="311" t="s">
        <v>501</v>
      </c>
      <c r="O103" s="404" t="s">
        <v>8</v>
      </c>
      <c r="P103" s="509">
        <v>2959.24</v>
      </c>
      <c r="Q103" s="510">
        <v>250</v>
      </c>
      <c r="R103" s="510">
        <f>+P103+Q103</f>
        <v>3209.24</v>
      </c>
      <c r="S103" s="408">
        <v>1</v>
      </c>
      <c r="T103" s="408">
        <v>0</v>
      </c>
      <c r="U103" s="408">
        <v>0</v>
      </c>
      <c r="V103" s="408">
        <f>SUM(S103:U103)</f>
        <v>1</v>
      </c>
    </row>
    <row r="104" spans="1:22" s="431" customFormat="1" ht="30" customHeight="1" outlineLevel="1">
      <c r="A104" s="430"/>
      <c r="B104" s="445"/>
      <c r="C104" s="446" t="s">
        <v>108</v>
      </c>
      <c r="E104" s="463">
        <f>SUM(E99:E103)</f>
        <v>14188</v>
      </c>
      <c r="F104" s="463">
        <f>SUM(F99:F103)</f>
        <v>1900</v>
      </c>
      <c r="G104" s="463">
        <f>SUM(G99:G103)</f>
        <v>16088</v>
      </c>
      <c r="H104" s="433"/>
      <c r="I104" s="433"/>
      <c r="J104" s="433"/>
      <c r="K104" s="433" t="s">
        <v>52</v>
      </c>
      <c r="M104" s="445"/>
      <c r="N104" s="315" t="s">
        <v>108</v>
      </c>
      <c r="P104" s="514">
        <f>SUM(P99:P103)</f>
        <v>14796.199999999999</v>
      </c>
      <c r="Q104" s="514">
        <f>SUM(Q99:Q103)</f>
        <v>1900</v>
      </c>
      <c r="R104" s="514">
        <f>SUM(R99:R103)</f>
        <v>16696.199999999997</v>
      </c>
      <c r="S104" s="433"/>
      <c r="T104" s="433"/>
      <c r="U104" s="433"/>
      <c r="V104" s="433" t="s">
        <v>52</v>
      </c>
    </row>
    <row r="105" spans="1:22" s="431" customFormat="1" ht="30" customHeight="1" outlineLevel="1" thickBot="1">
      <c r="A105" s="430"/>
      <c r="B105" s="324"/>
      <c r="C105" s="446" t="s">
        <v>109</v>
      </c>
      <c r="E105" s="464">
        <f>SUM(E97+E104)</f>
        <v>31144.75</v>
      </c>
      <c r="F105" s="464">
        <f>SUM(F97+F104)</f>
        <v>7050</v>
      </c>
      <c r="G105" s="464">
        <f>SUM(G97+G104)</f>
        <v>38194.75</v>
      </c>
      <c r="H105" s="433"/>
      <c r="I105" s="433"/>
      <c r="J105" s="433"/>
      <c r="K105" s="433" t="s">
        <v>52</v>
      </c>
      <c r="M105" s="324"/>
      <c r="N105" s="315" t="s">
        <v>109</v>
      </c>
      <c r="P105" s="513">
        <f>SUM(P97+P104)</f>
        <v>32551.64</v>
      </c>
      <c r="Q105" s="513">
        <f>SUM(Q97+Q104)</f>
        <v>7050</v>
      </c>
      <c r="R105" s="513">
        <f>SUM(R97+R104)</f>
        <v>39601.639999999992</v>
      </c>
      <c r="S105" s="433"/>
      <c r="T105" s="433"/>
      <c r="U105" s="433"/>
      <c r="V105" s="433" t="s">
        <v>52</v>
      </c>
    </row>
    <row r="106" spans="1:22" s="434" customFormat="1" ht="30" customHeight="1" outlineLevel="1" thickTop="1">
      <c r="A106" s="430"/>
      <c r="B106" s="351" t="s">
        <v>110</v>
      </c>
      <c r="C106" s="430"/>
      <c r="E106" s="428"/>
      <c r="F106" s="428"/>
      <c r="G106" s="428"/>
      <c r="H106" s="436"/>
      <c r="I106" s="436"/>
      <c r="J106" s="436"/>
      <c r="K106" s="436">
        <f>SUM(H106:J106)</f>
        <v>0</v>
      </c>
      <c r="M106" s="351" t="s">
        <v>110</v>
      </c>
      <c r="N106" s="312"/>
      <c r="P106" s="518"/>
      <c r="Q106" s="518"/>
      <c r="R106" s="518"/>
      <c r="S106" s="436"/>
      <c r="T106" s="436"/>
      <c r="U106" s="436"/>
      <c r="V106" s="436">
        <f>SUM(S106:U106)</f>
        <v>0</v>
      </c>
    </row>
    <row r="107" spans="1:22" s="434" customFormat="1" ht="30" customHeight="1" outlineLevel="1">
      <c r="A107" s="430" t="e">
        <f>+#REF!+1</f>
        <v>#REF!</v>
      </c>
      <c r="B107" s="429" t="s">
        <v>468</v>
      </c>
      <c r="C107" s="437" t="s">
        <v>487</v>
      </c>
      <c r="D107" s="449" t="s">
        <v>9</v>
      </c>
      <c r="E107" s="370">
        <v>2825.1</v>
      </c>
      <c r="F107" s="418">
        <v>250</v>
      </c>
      <c r="G107" s="438">
        <f>+E107+F107</f>
        <v>3075.1</v>
      </c>
      <c r="H107" s="450">
        <v>0.5</v>
      </c>
      <c r="I107" s="450">
        <v>0.25</v>
      </c>
      <c r="J107" s="450">
        <v>0.25</v>
      </c>
      <c r="K107" s="439">
        <f>SUM(H107:J107)</f>
        <v>1</v>
      </c>
      <c r="M107" s="429" t="s">
        <v>468</v>
      </c>
      <c r="N107" s="314" t="s">
        <v>487</v>
      </c>
      <c r="O107" s="449" t="s">
        <v>9</v>
      </c>
      <c r="P107" s="509">
        <v>2959.24</v>
      </c>
      <c r="Q107" s="510">
        <v>250</v>
      </c>
      <c r="R107" s="510">
        <f>+P107+Q107</f>
        <v>3209.24</v>
      </c>
      <c r="S107" s="450">
        <v>0.5</v>
      </c>
      <c r="T107" s="450">
        <v>0.25</v>
      </c>
      <c r="U107" s="450">
        <v>0.25</v>
      </c>
      <c r="V107" s="439">
        <f>SUM(S107:U107)</f>
        <v>1</v>
      </c>
    </row>
    <row r="108" spans="1:22" s="417" customFormat="1" ht="30" customHeight="1" outlineLevel="1" thickBot="1">
      <c r="A108" s="344"/>
      <c r="B108" s="324"/>
      <c r="C108" s="394" t="s">
        <v>113</v>
      </c>
      <c r="E108" s="410">
        <f>SUM(E107:E107)</f>
        <v>2825.1</v>
      </c>
      <c r="F108" s="411">
        <f>SUM(F107:F107)</f>
        <v>250</v>
      </c>
      <c r="G108" s="411">
        <f>SUM(G107:G107)</f>
        <v>3075.1</v>
      </c>
      <c r="H108" s="401"/>
      <c r="I108" s="401"/>
      <c r="J108" s="401"/>
      <c r="K108" s="401"/>
      <c r="M108" s="324"/>
      <c r="N108" s="309" t="s">
        <v>113</v>
      </c>
      <c r="P108" s="519">
        <f>SUM(P107:P107)</f>
        <v>2959.24</v>
      </c>
      <c r="Q108" s="520">
        <f>SUM(Q107:Q107)</f>
        <v>250</v>
      </c>
      <c r="R108" s="520">
        <f>SUM(R107:R107)</f>
        <v>3209.24</v>
      </c>
      <c r="S108" s="401"/>
      <c r="T108" s="401"/>
      <c r="U108" s="401"/>
      <c r="V108" s="401"/>
    </row>
    <row r="109" spans="1:22" s="400" customFormat="1" ht="30" customHeight="1" outlineLevel="1" thickTop="1">
      <c r="A109" s="398"/>
      <c r="B109" s="324"/>
      <c r="C109" s="394" t="s">
        <v>114</v>
      </c>
      <c r="D109" s="417"/>
      <c r="E109" s="425"/>
      <c r="F109" s="425"/>
      <c r="G109" s="425"/>
      <c r="H109" s="401"/>
      <c r="I109" s="401"/>
      <c r="J109" s="401"/>
      <c r="K109" s="401"/>
      <c r="L109" s="417"/>
      <c r="M109" s="324"/>
      <c r="N109" s="309" t="s">
        <v>114</v>
      </c>
      <c r="O109" s="417"/>
      <c r="P109" s="518">
        <f>SUM(+P49+P68+P83+P88+P97+P104+P108)</f>
        <v>130206.55999999997</v>
      </c>
      <c r="Q109" s="518">
        <f>SUM(+Q49+Q68+Q83+Q88+Q97+Q104+Q108)</f>
        <v>15300</v>
      </c>
      <c r="R109" s="518">
        <f>SUM(+R49+R68+R83+R88+R97+R104+R108)</f>
        <v>145238.27999999997</v>
      </c>
      <c r="S109" s="401"/>
      <c r="T109" s="401"/>
      <c r="U109" s="401"/>
      <c r="V109" s="401"/>
    </row>
    <row r="110" spans="1:22" s="400" customFormat="1" ht="30" customHeight="1" outlineLevel="1">
      <c r="A110" s="398"/>
      <c r="B110" s="324"/>
      <c r="C110" s="394"/>
      <c r="D110" s="417"/>
      <c r="E110" s="399"/>
      <c r="H110" s="401"/>
      <c r="I110" s="401"/>
      <c r="J110" s="401"/>
      <c r="K110" s="401"/>
      <c r="L110" s="417"/>
      <c r="M110" s="324"/>
      <c r="N110" s="309"/>
      <c r="O110" s="417"/>
      <c r="P110" s="518"/>
      <c r="Q110" s="516"/>
      <c r="R110" s="516"/>
      <c r="S110" s="401"/>
      <c r="T110" s="401"/>
      <c r="U110" s="401"/>
      <c r="V110" s="401"/>
    </row>
    <row r="111" spans="1:22" s="400" customFormat="1" ht="30" customHeight="1" outlineLevel="1">
      <c r="A111" s="398"/>
      <c r="B111" s="324" t="s">
        <v>115</v>
      </c>
      <c r="C111" s="394"/>
      <c r="D111" s="417"/>
      <c r="E111" s="399"/>
      <c r="H111" s="401"/>
      <c r="I111" s="401"/>
      <c r="J111" s="401"/>
      <c r="K111" s="401"/>
      <c r="L111" s="417"/>
      <c r="M111" s="324" t="s">
        <v>115</v>
      </c>
      <c r="N111" s="309"/>
      <c r="O111" s="417"/>
      <c r="P111" s="518"/>
      <c r="Q111" s="516"/>
      <c r="R111" s="516"/>
      <c r="S111" s="401"/>
      <c r="T111" s="401"/>
      <c r="U111" s="401"/>
      <c r="V111" s="401"/>
    </row>
    <row r="112" spans="1:22" s="400" customFormat="1" ht="30" customHeight="1" outlineLevel="1">
      <c r="A112" s="398"/>
      <c r="B112" s="351" t="s">
        <v>116</v>
      </c>
      <c r="C112" s="374"/>
      <c r="D112" s="417"/>
      <c r="E112" s="399"/>
      <c r="H112" s="401"/>
      <c r="I112" s="401"/>
      <c r="J112" s="401"/>
      <c r="K112" s="401"/>
      <c r="L112" s="417"/>
      <c r="M112" s="351" t="s">
        <v>116</v>
      </c>
      <c r="N112" s="307"/>
      <c r="O112" s="417"/>
      <c r="P112" s="518"/>
      <c r="Q112" s="516"/>
      <c r="R112" s="516"/>
      <c r="S112" s="401"/>
      <c r="T112" s="401"/>
      <c r="U112" s="401"/>
      <c r="V112" s="401"/>
    </row>
    <row r="113" spans="1:102" s="400" customFormat="1" ht="30" customHeight="1" outlineLevel="1">
      <c r="A113" s="398"/>
      <c r="B113" s="351" t="s">
        <v>198</v>
      </c>
      <c r="C113" s="374"/>
      <c r="D113" s="417"/>
      <c r="E113" s="399"/>
      <c r="H113" s="401"/>
      <c r="I113" s="401"/>
      <c r="J113" s="401"/>
      <c r="K113" s="401"/>
      <c r="L113" s="417"/>
      <c r="M113" s="351" t="s">
        <v>198</v>
      </c>
      <c r="N113" s="307"/>
      <c r="O113" s="417"/>
      <c r="P113" s="518"/>
      <c r="Q113" s="516"/>
      <c r="R113" s="516"/>
      <c r="S113" s="401"/>
      <c r="T113" s="401"/>
      <c r="U113" s="401"/>
      <c r="V113" s="401"/>
    </row>
    <row r="114" spans="1:102" s="457" customFormat="1" ht="30" customHeight="1" outlineLevel="1">
      <c r="A114" s="382" t="e">
        <f>#REF!+1</f>
        <v>#REF!</v>
      </c>
      <c r="B114" s="357" t="s">
        <v>546</v>
      </c>
      <c r="C114" s="358" t="s">
        <v>547</v>
      </c>
      <c r="D114" s="358" t="s">
        <v>9</v>
      </c>
      <c r="E114" s="360">
        <v>2825.1</v>
      </c>
      <c r="F114" s="364">
        <v>250</v>
      </c>
      <c r="G114" s="364">
        <f>+E114+F114</f>
        <v>3075.1</v>
      </c>
      <c r="H114" s="443"/>
      <c r="I114" s="443">
        <v>1</v>
      </c>
      <c r="J114" s="443"/>
      <c r="K114" s="365">
        <f>SUM(H114:J114)</f>
        <v>1</v>
      </c>
      <c r="M114" s="357" t="s">
        <v>546</v>
      </c>
      <c r="N114" s="305" t="s">
        <v>547</v>
      </c>
      <c r="O114" s="358" t="s">
        <v>9</v>
      </c>
      <c r="P114" s="509">
        <v>2959.24</v>
      </c>
      <c r="Q114" s="510">
        <v>250</v>
      </c>
      <c r="R114" s="510">
        <f>+P114+Q114</f>
        <v>3209.24</v>
      </c>
      <c r="S114" s="443"/>
      <c r="T114" s="443">
        <v>1</v>
      </c>
      <c r="U114" s="443"/>
      <c r="V114" s="365">
        <f>SUM(S114:U114)</f>
        <v>1</v>
      </c>
    </row>
    <row r="115" spans="1:102" s="374" customFormat="1" ht="30" customHeight="1" outlineLevel="1">
      <c r="A115" s="344"/>
      <c r="B115" s="324"/>
      <c r="C115" s="374" t="s">
        <v>117</v>
      </c>
      <c r="E115" s="377">
        <f>+SUM(E114:E114)</f>
        <v>2825.1</v>
      </c>
      <c r="F115" s="465">
        <f>+SUM(F114:F114)</f>
        <v>250</v>
      </c>
      <c r="G115" s="465">
        <f>+SUM(G114:G114)</f>
        <v>3075.1</v>
      </c>
      <c r="H115" s="466"/>
      <c r="J115" s="466"/>
      <c r="K115" s="427"/>
      <c r="M115" s="324"/>
      <c r="N115" s="307" t="s">
        <v>117</v>
      </c>
      <c r="P115" s="514">
        <f>+SUM(P114:P114)</f>
        <v>2959.24</v>
      </c>
      <c r="Q115" s="515">
        <f>+SUM(Q114:Q114)</f>
        <v>250</v>
      </c>
      <c r="R115" s="515">
        <f>+SUM(R114:R114)</f>
        <v>3209.24</v>
      </c>
      <c r="S115" s="466"/>
      <c r="U115" s="466"/>
      <c r="V115" s="427"/>
    </row>
    <row r="116" spans="1:102" s="380" customFormat="1" ht="30" customHeight="1" outlineLevel="1">
      <c r="A116" s="344"/>
      <c r="B116" s="331"/>
      <c r="C116" s="344"/>
      <c r="D116" s="350"/>
      <c r="E116" s="379"/>
      <c r="H116" s="376"/>
      <c r="I116" s="350"/>
      <c r="J116" s="376"/>
      <c r="K116" s="424"/>
      <c r="L116" s="350"/>
      <c r="M116" s="331"/>
      <c r="N116" s="302"/>
      <c r="O116" s="350"/>
      <c r="P116" s="514"/>
      <c r="Q116" s="515"/>
      <c r="R116" s="515"/>
      <c r="S116" s="376"/>
      <c r="T116" s="350"/>
      <c r="U116" s="376"/>
      <c r="V116" s="424"/>
      <c r="W116" s="350"/>
      <c r="X116" s="350"/>
      <c r="Y116" s="350"/>
      <c r="Z116" s="350"/>
      <c r="AA116" s="350"/>
      <c r="AB116" s="350"/>
      <c r="AC116" s="350"/>
      <c r="AD116" s="350"/>
      <c r="AE116" s="350"/>
      <c r="AF116" s="350"/>
      <c r="AG116" s="350"/>
      <c r="AH116" s="350"/>
      <c r="AI116" s="350"/>
      <c r="AJ116" s="350"/>
      <c r="AK116" s="350"/>
      <c r="AL116" s="350"/>
      <c r="AM116" s="350"/>
      <c r="AN116" s="350"/>
      <c r="AO116" s="350"/>
      <c r="AP116" s="350"/>
      <c r="AQ116" s="350"/>
      <c r="AR116" s="350"/>
      <c r="AS116" s="350"/>
      <c r="AT116" s="350"/>
      <c r="AU116" s="350"/>
      <c r="AV116" s="350"/>
      <c r="AW116" s="350"/>
      <c r="AX116" s="350"/>
      <c r="AY116" s="350"/>
      <c r="AZ116" s="350"/>
      <c r="BA116" s="350"/>
      <c r="BB116" s="350"/>
      <c r="BC116" s="350"/>
      <c r="BD116" s="350"/>
      <c r="BE116" s="350"/>
      <c r="BF116" s="350"/>
      <c r="BG116" s="350"/>
      <c r="BH116" s="350"/>
      <c r="BI116" s="350"/>
      <c r="BJ116" s="350"/>
      <c r="BK116" s="350"/>
      <c r="BL116" s="350"/>
      <c r="BM116" s="350"/>
      <c r="BN116" s="350"/>
      <c r="BO116" s="350"/>
      <c r="BP116" s="350"/>
      <c r="BQ116" s="350"/>
      <c r="BR116" s="350"/>
      <c r="BS116" s="350"/>
      <c r="BT116" s="350"/>
      <c r="BU116" s="350"/>
      <c r="BV116" s="350"/>
      <c r="BW116" s="350"/>
      <c r="BX116" s="350"/>
      <c r="BY116" s="350"/>
      <c r="BZ116" s="350"/>
      <c r="CA116" s="350"/>
      <c r="CB116" s="350"/>
      <c r="CC116" s="350"/>
      <c r="CD116" s="350"/>
      <c r="CE116" s="350"/>
      <c r="CF116" s="350"/>
      <c r="CG116" s="350"/>
      <c r="CH116" s="350"/>
      <c r="CI116" s="350"/>
      <c r="CJ116" s="350"/>
      <c r="CK116" s="350"/>
      <c r="CL116" s="350"/>
      <c r="CM116" s="350"/>
      <c r="CN116" s="350"/>
      <c r="CO116" s="350"/>
      <c r="CP116" s="350"/>
      <c r="CQ116" s="350"/>
      <c r="CR116" s="350"/>
      <c r="CS116" s="350"/>
      <c r="CT116" s="350"/>
      <c r="CU116" s="350"/>
      <c r="CV116" s="350"/>
      <c r="CW116" s="350"/>
      <c r="CX116" s="350"/>
    </row>
    <row r="117" spans="1:102" s="400" customFormat="1" ht="30" customHeight="1" outlineLevel="1">
      <c r="A117" s="398"/>
      <c r="B117" s="324"/>
      <c r="C117" s="394"/>
      <c r="D117" s="417"/>
      <c r="E117" s="399"/>
      <c r="H117" s="401"/>
      <c r="I117" s="401"/>
      <c r="J117" s="401"/>
      <c r="K117" s="401"/>
      <c r="L117" s="417"/>
      <c r="M117" s="324"/>
      <c r="N117" s="309"/>
      <c r="O117" s="417"/>
      <c r="P117" s="518"/>
      <c r="Q117" s="516"/>
      <c r="R117" s="516"/>
      <c r="S117" s="401"/>
      <c r="T117" s="401"/>
      <c r="U117" s="401"/>
      <c r="V117" s="401"/>
      <c r="W117" s="417"/>
      <c r="X117" s="417"/>
      <c r="Y117" s="417"/>
      <c r="Z117" s="417"/>
      <c r="AA117" s="417"/>
      <c r="AB117" s="417"/>
      <c r="AC117" s="417"/>
      <c r="AD117" s="417"/>
      <c r="AE117" s="417"/>
      <c r="AF117" s="417"/>
      <c r="AG117" s="417"/>
      <c r="AH117" s="417"/>
      <c r="AI117" s="417"/>
      <c r="AJ117" s="417"/>
      <c r="AK117" s="417"/>
      <c r="AL117" s="417"/>
      <c r="AM117" s="417"/>
      <c r="AN117" s="417"/>
      <c r="AO117" s="417"/>
      <c r="AP117" s="417"/>
      <c r="AQ117" s="417"/>
      <c r="AR117" s="417"/>
      <c r="AS117" s="417"/>
      <c r="AT117" s="417"/>
      <c r="AU117" s="417"/>
      <c r="AV117" s="417"/>
      <c r="AW117" s="417"/>
      <c r="AX117" s="417"/>
      <c r="AY117" s="417"/>
      <c r="AZ117" s="417"/>
      <c r="BA117" s="417"/>
      <c r="BB117" s="417"/>
      <c r="BC117" s="417"/>
      <c r="BD117" s="417"/>
      <c r="BE117" s="417"/>
      <c r="BF117" s="417"/>
      <c r="BG117" s="417"/>
      <c r="BH117" s="417"/>
      <c r="BI117" s="417"/>
      <c r="BJ117" s="417"/>
      <c r="BK117" s="417"/>
      <c r="BL117" s="417"/>
      <c r="BM117" s="417"/>
      <c r="BN117" s="417"/>
      <c r="BO117" s="417"/>
      <c r="BP117" s="417"/>
      <c r="BQ117" s="417"/>
      <c r="BR117" s="417"/>
      <c r="BS117" s="417"/>
      <c r="BT117" s="417"/>
      <c r="BU117" s="417"/>
      <c r="BV117" s="417"/>
      <c r="BW117" s="417"/>
      <c r="BX117" s="417"/>
      <c r="BY117" s="417"/>
      <c r="BZ117" s="417"/>
      <c r="CA117" s="417"/>
      <c r="CB117" s="417"/>
      <c r="CC117" s="417"/>
      <c r="CD117" s="417"/>
      <c r="CE117" s="417"/>
      <c r="CF117" s="417"/>
      <c r="CG117" s="417"/>
      <c r="CH117" s="417"/>
      <c r="CI117" s="417"/>
      <c r="CJ117" s="417"/>
      <c r="CK117" s="417"/>
      <c r="CL117" s="417"/>
      <c r="CM117" s="417"/>
      <c r="CN117" s="417"/>
      <c r="CO117" s="417"/>
      <c r="CP117" s="417"/>
      <c r="CQ117" s="417"/>
      <c r="CR117" s="417"/>
      <c r="CS117" s="417"/>
      <c r="CT117" s="417"/>
      <c r="CU117" s="417"/>
      <c r="CV117" s="417"/>
      <c r="CW117" s="417"/>
      <c r="CX117" s="417"/>
    </row>
    <row r="118" spans="1:102" s="400" customFormat="1" ht="30" customHeight="1" outlineLevel="1">
      <c r="A118" s="398"/>
      <c r="B118" s="351" t="s">
        <v>350</v>
      </c>
      <c r="C118" s="394"/>
      <c r="D118" s="417"/>
      <c r="E118" s="399"/>
      <c r="H118" s="401"/>
      <c r="I118" s="401"/>
      <c r="J118" s="401"/>
      <c r="K118" s="401"/>
      <c r="L118" s="417"/>
      <c r="M118" s="351" t="s">
        <v>350</v>
      </c>
      <c r="N118" s="309"/>
      <c r="O118" s="417"/>
      <c r="P118" s="518"/>
      <c r="Q118" s="516"/>
      <c r="R118" s="516"/>
      <c r="S118" s="401"/>
      <c r="T118" s="401"/>
      <c r="U118" s="401"/>
      <c r="V118" s="401"/>
      <c r="W118" s="417"/>
      <c r="X118" s="417"/>
      <c r="Y118" s="417"/>
      <c r="Z118" s="417"/>
      <c r="AA118" s="417"/>
      <c r="AB118" s="417"/>
      <c r="AC118" s="417"/>
      <c r="AD118" s="417"/>
      <c r="AE118" s="417"/>
      <c r="AF118" s="417"/>
      <c r="AG118" s="417"/>
      <c r="AH118" s="417"/>
      <c r="AI118" s="417"/>
      <c r="AJ118" s="417"/>
      <c r="AK118" s="417"/>
      <c r="AL118" s="417"/>
      <c r="AM118" s="417"/>
      <c r="AN118" s="417"/>
      <c r="AO118" s="417"/>
      <c r="AP118" s="417"/>
      <c r="AQ118" s="417"/>
      <c r="AR118" s="417"/>
      <c r="AS118" s="417"/>
      <c r="AT118" s="417"/>
      <c r="AU118" s="417"/>
      <c r="AV118" s="417"/>
      <c r="AW118" s="417"/>
      <c r="AX118" s="417"/>
      <c r="AY118" s="417"/>
      <c r="AZ118" s="417"/>
      <c r="BA118" s="417"/>
      <c r="BB118" s="417"/>
      <c r="BC118" s="417"/>
      <c r="BD118" s="417"/>
      <c r="BE118" s="417"/>
      <c r="BF118" s="417"/>
      <c r="BG118" s="417"/>
      <c r="BH118" s="417"/>
      <c r="BI118" s="417"/>
      <c r="BJ118" s="417"/>
      <c r="BK118" s="417"/>
      <c r="BL118" s="417"/>
      <c r="BM118" s="417"/>
      <c r="BN118" s="417"/>
      <c r="BO118" s="417"/>
      <c r="BP118" s="417"/>
      <c r="BQ118" s="417"/>
      <c r="BR118" s="417"/>
      <c r="BS118" s="417"/>
      <c r="BT118" s="417"/>
      <c r="BU118" s="417"/>
      <c r="BV118" s="417"/>
      <c r="BW118" s="417"/>
      <c r="BX118" s="417"/>
      <c r="BY118" s="417"/>
      <c r="BZ118" s="417"/>
      <c r="CA118" s="417"/>
      <c r="CB118" s="417"/>
      <c r="CC118" s="417"/>
      <c r="CD118" s="417"/>
      <c r="CE118" s="417"/>
      <c r="CF118" s="417"/>
      <c r="CG118" s="417"/>
      <c r="CH118" s="417"/>
      <c r="CI118" s="417"/>
      <c r="CJ118" s="417"/>
      <c r="CK118" s="417"/>
      <c r="CL118" s="417"/>
      <c r="CM118" s="417"/>
      <c r="CN118" s="417"/>
      <c r="CO118" s="417"/>
      <c r="CP118" s="417"/>
      <c r="CQ118" s="417"/>
      <c r="CR118" s="417"/>
      <c r="CS118" s="417"/>
      <c r="CT118" s="417"/>
      <c r="CU118" s="417"/>
      <c r="CV118" s="417"/>
      <c r="CW118" s="417"/>
      <c r="CX118" s="417"/>
    </row>
    <row r="119" spans="1:102" s="350" customFormat="1" ht="30" customHeight="1" outlineLevel="1">
      <c r="A119" s="344"/>
      <c r="B119" s="467" t="s">
        <v>351</v>
      </c>
      <c r="C119" s="344"/>
      <c r="D119" s="382"/>
      <c r="E119" s="428"/>
      <c r="F119" s="381"/>
      <c r="G119" s="381"/>
      <c r="H119" s="427"/>
      <c r="I119" s="427"/>
      <c r="J119" s="427"/>
      <c r="K119" s="424"/>
      <c r="M119" s="467" t="s">
        <v>351</v>
      </c>
      <c r="N119" s="302"/>
      <c r="O119" s="382"/>
      <c r="P119" s="518"/>
      <c r="Q119" s="516"/>
      <c r="R119" s="516"/>
      <c r="S119" s="427"/>
      <c r="T119" s="427"/>
      <c r="U119" s="427"/>
      <c r="V119" s="424"/>
    </row>
    <row r="120" spans="1:102" s="434" customFormat="1" ht="30" customHeight="1" outlineLevel="1">
      <c r="A120" s="430" t="e">
        <f>#REF!+1</f>
        <v>#REF!</v>
      </c>
      <c r="B120" s="357" t="s">
        <v>457</v>
      </c>
      <c r="C120" s="437" t="s">
        <v>507</v>
      </c>
      <c r="D120" s="437" t="s">
        <v>9</v>
      </c>
      <c r="E120" s="370">
        <v>2825.1</v>
      </c>
      <c r="F120" s="418">
        <v>250</v>
      </c>
      <c r="G120" s="438">
        <f t="shared" ref="G120:G128" si="16">+E120+F120</f>
        <v>3075.1</v>
      </c>
      <c r="H120" s="439">
        <v>0</v>
      </c>
      <c r="I120" s="439">
        <v>0</v>
      </c>
      <c r="J120" s="439">
        <v>1</v>
      </c>
      <c r="K120" s="439">
        <f t="shared" ref="K120:K128" si="17">SUM(H120:J120)</f>
        <v>1</v>
      </c>
      <c r="M120" s="357" t="s">
        <v>457</v>
      </c>
      <c r="N120" s="314" t="s">
        <v>507</v>
      </c>
      <c r="O120" s="437" t="s">
        <v>9</v>
      </c>
      <c r="P120" s="509">
        <v>2959.24</v>
      </c>
      <c r="Q120" s="510">
        <v>250</v>
      </c>
      <c r="R120" s="510">
        <f t="shared" ref="R120:R128" si="18">+P120+Q120</f>
        <v>3209.24</v>
      </c>
      <c r="S120" s="439">
        <v>0</v>
      </c>
      <c r="T120" s="439">
        <v>0</v>
      </c>
      <c r="U120" s="439">
        <v>1</v>
      </c>
      <c r="V120" s="439">
        <f t="shared" ref="V120:V128" si="19">SUM(S120:U120)</f>
        <v>1</v>
      </c>
    </row>
    <row r="121" spans="1:102" s="434" customFormat="1" ht="30" customHeight="1" outlineLevel="1">
      <c r="A121" s="430" t="e">
        <f t="shared" ref="A121:A128" si="20">A120+1</f>
        <v>#REF!</v>
      </c>
      <c r="B121" s="429" t="s">
        <v>453</v>
      </c>
      <c r="C121" s="437" t="s">
        <v>507</v>
      </c>
      <c r="D121" s="437" t="s">
        <v>9</v>
      </c>
      <c r="E121" s="370">
        <v>2865.97</v>
      </c>
      <c r="F121" s="418">
        <v>450</v>
      </c>
      <c r="G121" s="418">
        <f t="shared" si="16"/>
        <v>3315.97</v>
      </c>
      <c r="H121" s="439">
        <v>0</v>
      </c>
      <c r="I121" s="450">
        <v>0</v>
      </c>
      <c r="J121" s="451">
        <v>1</v>
      </c>
      <c r="K121" s="439">
        <f t="shared" si="17"/>
        <v>1</v>
      </c>
      <c r="M121" s="429" t="s">
        <v>453</v>
      </c>
      <c r="N121" s="314" t="s">
        <v>507</v>
      </c>
      <c r="O121" s="437" t="s">
        <v>9</v>
      </c>
      <c r="P121" s="509">
        <v>2959.24</v>
      </c>
      <c r="Q121" s="510">
        <v>450</v>
      </c>
      <c r="R121" s="510">
        <f t="shared" si="18"/>
        <v>3409.24</v>
      </c>
      <c r="S121" s="439">
        <v>0</v>
      </c>
      <c r="T121" s="450">
        <v>0</v>
      </c>
      <c r="U121" s="451">
        <v>1</v>
      </c>
      <c r="V121" s="439">
        <f t="shared" si="19"/>
        <v>1</v>
      </c>
    </row>
    <row r="122" spans="1:102" s="434" customFormat="1" ht="30" customHeight="1" outlineLevel="1">
      <c r="A122" s="430" t="e">
        <f t="shared" si="20"/>
        <v>#REF!</v>
      </c>
      <c r="B122" s="357" t="s">
        <v>335</v>
      </c>
      <c r="C122" s="437" t="s">
        <v>507</v>
      </c>
      <c r="D122" s="437" t="s">
        <v>9</v>
      </c>
      <c r="E122" s="370">
        <v>2825.1</v>
      </c>
      <c r="F122" s="418">
        <v>250</v>
      </c>
      <c r="G122" s="438">
        <f t="shared" si="16"/>
        <v>3075.1</v>
      </c>
      <c r="H122" s="439">
        <v>0</v>
      </c>
      <c r="I122" s="439">
        <v>0</v>
      </c>
      <c r="J122" s="451">
        <v>1</v>
      </c>
      <c r="K122" s="439">
        <f t="shared" si="17"/>
        <v>1</v>
      </c>
      <c r="M122" s="357" t="s">
        <v>335</v>
      </c>
      <c r="N122" s="314" t="s">
        <v>507</v>
      </c>
      <c r="O122" s="437" t="s">
        <v>9</v>
      </c>
      <c r="P122" s="509">
        <v>2959.24</v>
      </c>
      <c r="Q122" s="510">
        <v>250</v>
      </c>
      <c r="R122" s="510">
        <f t="shared" si="18"/>
        <v>3209.24</v>
      </c>
      <c r="S122" s="439">
        <v>0</v>
      </c>
      <c r="T122" s="439">
        <v>0</v>
      </c>
      <c r="U122" s="451">
        <v>1</v>
      </c>
      <c r="V122" s="439">
        <f t="shared" si="19"/>
        <v>1</v>
      </c>
    </row>
    <row r="123" spans="1:102" s="366" customFormat="1" ht="30" customHeight="1" outlineLevel="1">
      <c r="A123" s="430" t="e">
        <f t="shared" si="20"/>
        <v>#REF!</v>
      </c>
      <c r="B123" s="357" t="s">
        <v>489</v>
      </c>
      <c r="C123" s="437" t="s">
        <v>505</v>
      </c>
      <c r="D123" s="358" t="s">
        <v>9</v>
      </c>
      <c r="E123" s="363">
        <v>2825.1</v>
      </c>
      <c r="F123" s="364">
        <f>250</f>
        <v>250</v>
      </c>
      <c r="G123" s="441">
        <f t="shared" si="16"/>
        <v>3075.1</v>
      </c>
      <c r="H123" s="365">
        <v>0</v>
      </c>
      <c r="I123" s="443">
        <v>0</v>
      </c>
      <c r="J123" s="361">
        <v>1</v>
      </c>
      <c r="K123" s="365">
        <f t="shared" si="17"/>
        <v>1</v>
      </c>
      <c r="M123" s="357" t="s">
        <v>489</v>
      </c>
      <c r="N123" s="314" t="s">
        <v>505</v>
      </c>
      <c r="O123" s="358" t="s">
        <v>9</v>
      </c>
      <c r="P123" s="509">
        <v>2959.24</v>
      </c>
      <c r="Q123" s="510">
        <f>250</f>
        <v>250</v>
      </c>
      <c r="R123" s="510">
        <f t="shared" si="18"/>
        <v>3209.24</v>
      </c>
      <c r="S123" s="365">
        <v>0</v>
      </c>
      <c r="T123" s="443">
        <v>0</v>
      </c>
      <c r="U123" s="361">
        <v>1</v>
      </c>
      <c r="V123" s="365">
        <f t="shared" si="19"/>
        <v>1</v>
      </c>
    </row>
    <row r="124" spans="1:102" s="366" customFormat="1" ht="30" customHeight="1" outlineLevel="1">
      <c r="A124" s="430" t="e">
        <f t="shared" si="20"/>
        <v>#REF!</v>
      </c>
      <c r="B124" s="357" t="s">
        <v>536</v>
      </c>
      <c r="C124" s="437" t="s">
        <v>507</v>
      </c>
      <c r="D124" s="358" t="s">
        <v>9</v>
      </c>
      <c r="E124" s="363">
        <v>2825.1</v>
      </c>
      <c r="F124" s="364">
        <f>250</f>
        <v>250</v>
      </c>
      <c r="G124" s="441">
        <f t="shared" si="16"/>
        <v>3075.1</v>
      </c>
      <c r="H124" s="365">
        <v>0</v>
      </c>
      <c r="I124" s="443">
        <v>0</v>
      </c>
      <c r="J124" s="361">
        <v>1</v>
      </c>
      <c r="K124" s="365">
        <f t="shared" si="17"/>
        <v>1</v>
      </c>
      <c r="L124" s="468"/>
      <c r="M124" s="357" t="s">
        <v>536</v>
      </c>
      <c r="N124" s="314" t="s">
        <v>507</v>
      </c>
      <c r="O124" s="358" t="s">
        <v>9</v>
      </c>
      <c r="P124" s="509">
        <v>2959.24</v>
      </c>
      <c r="Q124" s="510">
        <f>250</f>
        <v>250</v>
      </c>
      <c r="R124" s="510">
        <f t="shared" si="18"/>
        <v>3209.24</v>
      </c>
      <c r="S124" s="365">
        <v>0</v>
      </c>
      <c r="T124" s="443">
        <v>0</v>
      </c>
      <c r="U124" s="361">
        <v>1</v>
      </c>
      <c r="V124" s="365">
        <f t="shared" si="19"/>
        <v>1</v>
      </c>
    </row>
    <row r="125" spans="1:102" s="366" customFormat="1" ht="30" customHeight="1" outlineLevel="1">
      <c r="A125" s="430" t="e">
        <f t="shared" si="20"/>
        <v>#REF!</v>
      </c>
      <c r="B125" s="357" t="s">
        <v>491</v>
      </c>
      <c r="C125" s="437" t="s">
        <v>505</v>
      </c>
      <c r="D125" s="358" t="s">
        <v>9</v>
      </c>
      <c r="E125" s="363">
        <v>2825.1</v>
      </c>
      <c r="F125" s="364">
        <f>250</f>
        <v>250</v>
      </c>
      <c r="G125" s="441">
        <f t="shared" si="16"/>
        <v>3075.1</v>
      </c>
      <c r="H125" s="365">
        <v>0</v>
      </c>
      <c r="I125" s="443">
        <v>0</v>
      </c>
      <c r="J125" s="361">
        <v>1</v>
      </c>
      <c r="K125" s="365">
        <f t="shared" si="17"/>
        <v>1</v>
      </c>
      <c r="M125" s="357" t="s">
        <v>491</v>
      </c>
      <c r="N125" s="314" t="s">
        <v>505</v>
      </c>
      <c r="O125" s="358" t="s">
        <v>9</v>
      </c>
      <c r="P125" s="509">
        <v>2959.24</v>
      </c>
      <c r="Q125" s="510">
        <f>250</f>
        <v>250</v>
      </c>
      <c r="R125" s="510">
        <f t="shared" si="18"/>
        <v>3209.24</v>
      </c>
      <c r="S125" s="365">
        <v>0</v>
      </c>
      <c r="T125" s="443">
        <v>0</v>
      </c>
      <c r="U125" s="361">
        <v>1</v>
      </c>
      <c r="V125" s="365">
        <f t="shared" si="19"/>
        <v>1</v>
      </c>
    </row>
    <row r="126" spans="1:102" s="366" customFormat="1" ht="30" customHeight="1" outlineLevel="1">
      <c r="A126" s="430" t="e">
        <f t="shared" si="20"/>
        <v>#REF!</v>
      </c>
      <c r="B126" s="357" t="s">
        <v>535</v>
      </c>
      <c r="C126" s="437" t="s">
        <v>505</v>
      </c>
      <c r="D126" s="358" t="s">
        <v>9</v>
      </c>
      <c r="E126" s="363">
        <v>2825.1</v>
      </c>
      <c r="F126" s="364">
        <f>250</f>
        <v>250</v>
      </c>
      <c r="G126" s="441">
        <f t="shared" si="16"/>
        <v>3075.1</v>
      </c>
      <c r="H126" s="365">
        <v>0</v>
      </c>
      <c r="I126" s="443">
        <v>0</v>
      </c>
      <c r="J126" s="361">
        <v>1</v>
      </c>
      <c r="K126" s="365">
        <f t="shared" si="17"/>
        <v>1</v>
      </c>
      <c r="M126" s="357" t="s">
        <v>535</v>
      </c>
      <c r="N126" s="314" t="s">
        <v>505</v>
      </c>
      <c r="O126" s="358" t="s">
        <v>9</v>
      </c>
      <c r="P126" s="509">
        <v>2959.24</v>
      </c>
      <c r="Q126" s="510">
        <f>250</f>
        <v>250</v>
      </c>
      <c r="R126" s="510">
        <f t="shared" si="18"/>
        <v>3209.24</v>
      </c>
      <c r="S126" s="365">
        <v>0</v>
      </c>
      <c r="T126" s="443">
        <v>0</v>
      </c>
      <c r="U126" s="361">
        <v>1</v>
      </c>
      <c r="V126" s="365">
        <f t="shared" si="19"/>
        <v>1</v>
      </c>
    </row>
    <row r="127" spans="1:102" s="434" customFormat="1" ht="30" customHeight="1" outlineLevel="1">
      <c r="A127" s="430" t="e">
        <f>+A126+1</f>
        <v>#REF!</v>
      </c>
      <c r="B127" s="429" t="s">
        <v>445</v>
      </c>
      <c r="C127" s="437" t="s">
        <v>505</v>
      </c>
      <c r="D127" s="437" t="s">
        <v>9</v>
      </c>
      <c r="E127" s="370">
        <v>2825.1</v>
      </c>
      <c r="F127" s="418">
        <v>250</v>
      </c>
      <c r="G127" s="438">
        <f t="shared" si="16"/>
        <v>3075.1</v>
      </c>
      <c r="H127" s="450">
        <v>0</v>
      </c>
      <c r="I127" s="439">
        <v>0</v>
      </c>
      <c r="J127" s="451">
        <v>1</v>
      </c>
      <c r="K127" s="439">
        <f t="shared" si="17"/>
        <v>1</v>
      </c>
      <c r="M127" s="429" t="s">
        <v>445</v>
      </c>
      <c r="N127" s="314" t="s">
        <v>505</v>
      </c>
      <c r="O127" s="437" t="s">
        <v>9</v>
      </c>
      <c r="P127" s="509">
        <v>2959.24</v>
      </c>
      <c r="Q127" s="510">
        <v>250</v>
      </c>
      <c r="R127" s="510">
        <f t="shared" si="18"/>
        <v>3209.24</v>
      </c>
      <c r="S127" s="450">
        <v>0</v>
      </c>
      <c r="T127" s="439">
        <v>0</v>
      </c>
      <c r="U127" s="451">
        <v>1</v>
      </c>
      <c r="V127" s="439">
        <f t="shared" si="19"/>
        <v>1</v>
      </c>
    </row>
    <row r="128" spans="1:102" s="434" customFormat="1" ht="30" customHeight="1" outlineLevel="1">
      <c r="A128" s="430" t="e">
        <f t="shared" si="20"/>
        <v>#REF!</v>
      </c>
      <c r="B128" s="357" t="s">
        <v>436</v>
      </c>
      <c r="C128" s="437" t="s">
        <v>510</v>
      </c>
      <c r="D128" s="437" t="s">
        <v>9</v>
      </c>
      <c r="E128" s="370">
        <v>2825.1</v>
      </c>
      <c r="F128" s="418">
        <f>250</f>
        <v>250</v>
      </c>
      <c r="G128" s="438">
        <f t="shared" si="16"/>
        <v>3075.1</v>
      </c>
      <c r="H128" s="439">
        <v>0</v>
      </c>
      <c r="I128" s="439">
        <v>0</v>
      </c>
      <c r="J128" s="451">
        <v>1</v>
      </c>
      <c r="K128" s="439">
        <f t="shared" si="17"/>
        <v>1</v>
      </c>
      <c r="M128" s="357" t="s">
        <v>436</v>
      </c>
      <c r="N128" s="314" t="s">
        <v>510</v>
      </c>
      <c r="O128" s="437" t="s">
        <v>9</v>
      </c>
      <c r="P128" s="509">
        <v>2959.24</v>
      </c>
      <c r="Q128" s="510">
        <f>250</f>
        <v>250</v>
      </c>
      <c r="R128" s="510">
        <f t="shared" si="18"/>
        <v>3209.24</v>
      </c>
      <c r="S128" s="439">
        <v>0</v>
      </c>
      <c r="T128" s="439">
        <v>0</v>
      </c>
      <c r="U128" s="451">
        <v>1</v>
      </c>
      <c r="V128" s="439">
        <f t="shared" si="19"/>
        <v>1</v>
      </c>
    </row>
    <row r="129" spans="1:102" s="431" customFormat="1" ht="30" customHeight="1" outlineLevel="1" thickBot="1">
      <c r="A129" s="430"/>
      <c r="B129" s="445"/>
      <c r="C129" s="431" t="s">
        <v>339</v>
      </c>
      <c r="D129" s="446"/>
      <c r="E129" s="432">
        <f>SUM(E120:E128)</f>
        <v>25466.769999999997</v>
      </c>
      <c r="F129" s="432">
        <f>SUM(F120:F128)</f>
        <v>2450</v>
      </c>
      <c r="G129" s="432">
        <f>SUM(G120:G128)</f>
        <v>27916.769999999997</v>
      </c>
      <c r="H129" s="433"/>
      <c r="I129" s="433"/>
      <c r="J129" s="433"/>
      <c r="K129" s="433"/>
      <c r="M129" s="445"/>
      <c r="N129" s="313" t="s">
        <v>339</v>
      </c>
      <c r="O129" s="446"/>
      <c r="P129" s="523">
        <f>SUM(P120:P128)</f>
        <v>26633.159999999996</v>
      </c>
      <c r="Q129" s="523">
        <f>SUM(Q120:Q128)</f>
        <v>2450</v>
      </c>
      <c r="R129" s="523">
        <f>SUM(R120:R128)</f>
        <v>29083.159999999996</v>
      </c>
      <c r="S129" s="433"/>
      <c r="T129" s="433"/>
      <c r="U129" s="433"/>
      <c r="V129" s="433"/>
    </row>
    <row r="130" spans="1:102" s="400" customFormat="1" ht="30" customHeight="1" thickTop="1">
      <c r="A130" s="398"/>
      <c r="B130" s="324"/>
      <c r="C130" s="394"/>
      <c r="D130" s="417"/>
      <c r="H130" s="401"/>
      <c r="I130" s="401"/>
      <c r="J130" s="401"/>
      <c r="K130" s="401"/>
      <c r="L130" s="417"/>
      <c r="M130" s="324"/>
      <c r="N130" s="309"/>
      <c r="O130" s="417"/>
      <c r="P130" s="516"/>
      <c r="Q130" s="516"/>
      <c r="R130" s="516"/>
      <c r="S130" s="401"/>
      <c r="T130" s="401"/>
      <c r="U130" s="401"/>
      <c r="V130" s="401"/>
      <c r="W130" s="417"/>
      <c r="X130" s="417"/>
      <c r="Y130" s="417"/>
      <c r="Z130" s="417"/>
      <c r="AA130" s="417"/>
      <c r="AB130" s="417"/>
      <c r="AC130" s="417"/>
      <c r="AD130" s="417"/>
      <c r="AE130" s="417"/>
      <c r="AF130" s="417"/>
      <c r="AG130" s="417"/>
      <c r="AH130" s="417"/>
      <c r="AI130" s="417"/>
      <c r="AJ130" s="417"/>
      <c r="AK130" s="417"/>
      <c r="AL130" s="417"/>
      <c r="AM130" s="417"/>
      <c r="AN130" s="417"/>
      <c r="AO130" s="417"/>
      <c r="AP130" s="417"/>
      <c r="AQ130" s="417"/>
      <c r="AR130" s="417"/>
      <c r="AS130" s="417"/>
      <c r="AT130" s="417"/>
      <c r="AU130" s="417"/>
      <c r="AV130" s="417"/>
      <c r="AW130" s="417"/>
      <c r="AX130" s="417"/>
      <c r="AY130" s="417"/>
      <c r="AZ130" s="417"/>
      <c r="BA130" s="417"/>
      <c r="BB130" s="417"/>
      <c r="BC130" s="417"/>
      <c r="BD130" s="417"/>
      <c r="BE130" s="417"/>
      <c r="BF130" s="417"/>
      <c r="BG130" s="417"/>
      <c r="BH130" s="417"/>
      <c r="BI130" s="417"/>
      <c r="BJ130" s="417"/>
      <c r="BK130" s="417"/>
      <c r="BL130" s="417"/>
      <c r="BM130" s="417"/>
      <c r="BN130" s="417"/>
      <c r="BO130" s="417"/>
      <c r="BP130" s="417"/>
      <c r="BQ130" s="417"/>
      <c r="BR130" s="417"/>
      <c r="BS130" s="417"/>
      <c r="BT130" s="417"/>
      <c r="BU130" s="417"/>
      <c r="BV130" s="417"/>
      <c r="BW130" s="417"/>
      <c r="BX130" s="417"/>
      <c r="BY130" s="417"/>
      <c r="BZ130" s="417"/>
      <c r="CA130" s="417"/>
      <c r="CB130" s="417"/>
      <c r="CC130" s="417"/>
      <c r="CD130" s="417"/>
      <c r="CE130" s="417"/>
      <c r="CF130" s="417"/>
      <c r="CG130" s="417"/>
      <c r="CH130" s="417"/>
      <c r="CI130" s="417"/>
      <c r="CJ130" s="417"/>
      <c r="CK130" s="417"/>
      <c r="CL130" s="417"/>
      <c r="CM130" s="417"/>
      <c r="CN130" s="417"/>
      <c r="CO130" s="417"/>
      <c r="CP130" s="417"/>
      <c r="CQ130" s="417"/>
      <c r="CR130" s="417"/>
      <c r="CS130" s="417"/>
      <c r="CT130" s="417"/>
      <c r="CU130" s="417"/>
      <c r="CV130" s="417"/>
      <c r="CW130" s="417"/>
      <c r="CX130" s="417"/>
    </row>
    <row r="131" spans="1:102" s="417" customFormat="1" ht="30" customHeight="1" thickBot="1">
      <c r="A131" s="344"/>
      <c r="B131" s="324"/>
      <c r="C131" s="382" t="s">
        <v>129</v>
      </c>
      <c r="E131" s="469">
        <f>+E13+E23+E28+E32+E37+E44+E49+E68+E83+E88+E105+E108+E115+E129</f>
        <v>200691.61999999997</v>
      </c>
      <c r="F131" s="469">
        <f>+F13+F23+F28+F32+F37+F44+F49+F68+F83+F88+F105+F108+F115+F129</f>
        <v>23115</v>
      </c>
      <c r="G131" s="469">
        <f>+G13+G23+G28+G32+G37+G44+G49+G68+G83+G88+G105+G108+G115+G129</f>
        <v>223806.61999999997</v>
      </c>
      <c r="H131" s="401"/>
      <c r="I131" s="401"/>
      <c r="J131" s="401"/>
      <c r="K131" s="401"/>
      <c r="M131" s="324"/>
      <c r="N131" s="310" t="s">
        <v>129</v>
      </c>
      <c r="P131" s="520">
        <f>+P13+P23+P28+P32+P37+P44+P49+P68+P83+P88+P105+P108+P115+P129</f>
        <v>210106.03999999995</v>
      </c>
      <c r="Q131" s="520">
        <f>+Q13+Q23+Q28+Q32+Q37+Q44+Q49+Q68+Q83+Q88+Q105+Q108+Q115+Q129</f>
        <v>23115</v>
      </c>
      <c r="R131" s="520">
        <f>+R13+R23+R28+R32+R37+R44+R49+R68+R83+R88+R105+R108+R115+R129</f>
        <v>232952.75999999992</v>
      </c>
      <c r="S131" s="401"/>
      <c r="T131" s="401"/>
      <c r="U131" s="401"/>
      <c r="V131" s="401"/>
    </row>
    <row r="132" spans="1:102" s="417" customFormat="1" ht="12" customHeight="1" thickTop="1">
      <c r="A132" s="344"/>
      <c r="B132" s="324"/>
      <c r="C132" s="382"/>
      <c r="E132" s="470"/>
      <c r="F132" s="470"/>
      <c r="G132" s="470"/>
      <c r="H132" s="401"/>
      <c r="I132" s="401"/>
      <c r="J132" s="401"/>
      <c r="K132" s="401"/>
      <c r="M132" s="324"/>
      <c r="N132" s="310"/>
      <c r="P132" s="516"/>
      <c r="Q132" s="516"/>
      <c r="R132" s="516"/>
      <c r="S132" s="401"/>
      <c r="T132" s="401"/>
      <c r="U132" s="401"/>
      <c r="V132" s="401"/>
    </row>
    <row r="133" spans="1:102" s="400" customFormat="1" ht="12" customHeight="1">
      <c r="A133" s="398"/>
      <c r="B133" s="324"/>
      <c r="C133" s="394"/>
      <c r="D133" s="417"/>
      <c r="H133" s="401"/>
      <c r="I133" s="401"/>
      <c r="J133" s="401"/>
      <c r="K133" s="401"/>
      <c r="L133" s="417"/>
      <c r="M133" s="324"/>
      <c r="N133" s="309"/>
      <c r="O133" s="417"/>
      <c r="P133" s="516"/>
      <c r="Q133" s="516"/>
      <c r="R133" s="516"/>
      <c r="S133" s="401"/>
      <c r="T133" s="401"/>
      <c r="U133" s="401"/>
      <c r="V133" s="401"/>
      <c r="W133" s="417"/>
      <c r="X133" s="417"/>
      <c r="Y133" s="417"/>
      <c r="Z133" s="417"/>
      <c r="AA133" s="417"/>
      <c r="AB133" s="417"/>
      <c r="AC133" s="417"/>
      <c r="AD133" s="417"/>
      <c r="AE133" s="417"/>
      <c r="AF133" s="417"/>
      <c r="AG133" s="417"/>
      <c r="AH133" s="417"/>
      <c r="AI133" s="417"/>
      <c r="AJ133" s="417"/>
      <c r="AK133" s="417"/>
      <c r="AL133" s="417"/>
      <c r="AM133" s="417"/>
      <c r="AN133" s="417"/>
      <c r="AO133" s="417"/>
      <c r="AP133" s="417"/>
      <c r="AQ133" s="417"/>
      <c r="AR133" s="417"/>
      <c r="AS133" s="417"/>
      <c r="AT133" s="417"/>
      <c r="AU133" s="417"/>
      <c r="AV133" s="417"/>
      <c r="AW133" s="417"/>
      <c r="AX133" s="417"/>
      <c r="AY133" s="417"/>
      <c r="AZ133" s="417"/>
      <c r="BA133" s="417"/>
      <c r="BB133" s="417"/>
      <c r="BC133" s="417"/>
      <c r="BD133" s="417"/>
      <c r="BE133" s="417"/>
      <c r="BF133" s="417"/>
      <c r="BG133" s="417"/>
      <c r="BH133" s="417"/>
      <c r="BI133" s="417"/>
      <c r="BJ133" s="417"/>
      <c r="BK133" s="417"/>
      <c r="BL133" s="417"/>
      <c r="BM133" s="417"/>
      <c r="BN133" s="417"/>
      <c r="BO133" s="417"/>
      <c r="BP133" s="417"/>
      <c r="BQ133" s="417"/>
      <c r="BR133" s="417"/>
      <c r="BS133" s="417"/>
      <c r="BT133" s="417"/>
      <c r="BU133" s="417"/>
      <c r="BV133" s="417"/>
      <c r="BW133" s="417"/>
      <c r="BX133" s="417"/>
      <c r="BY133" s="417"/>
      <c r="BZ133" s="417"/>
      <c r="CA133" s="417"/>
      <c r="CB133" s="417"/>
      <c r="CC133" s="417"/>
      <c r="CD133" s="417"/>
      <c r="CE133" s="417"/>
      <c r="CF133" s="417"/>
      <c r="CG133" s="417"/>
      <c r="CH133" s="417"/>
      <c r="CI133" s="417"/>
      <c r="CJ133" s="417"/>
      <c r="CK133" s="417"/>
      <c r="CL133" s="417"/>
      <c r="CM133" s="417"/>
      <c r="CN133" s="417"/>
      <c r="CO133" s="417"/>
      <c r="CP133" s="417"/>
      <c r="CQ133" s="417"/>
      <c r="CR133" s="417"/>
      <c r="CS133" s="417"/>
      <c r="CT133" s="417"/>
      <c r="CU133" s="417"/>
      <c r="CV133" s="417"/>
      <c r="CW133" s="417"/>
      <c r="CX133" s="417"/>
    </row>
    <row r="134" spans="1:102" s="400" customFormat="1" ht="11.25" customHeight="1">
      <c r="A134" s="398"/>
      <c r="B134" s="324"/>
      <c r="C134" s="394"/>
      <c r="D134" s="417"/>
      <c r="H134" s="401"/>
      <c r="I134" s="401"/>
      <c r="J134" s="401"/>
      <c r="K134" s="401"/>
      <c r="L134" s="417"/>
      <c r="M134" s="324"/>
      <c r="N134" s="309"/>
      <c r="O134" s="417"/>
      <c r="P134" s="516"/>
      <c r="Q134" s="516"/>
      <c r="R134" s="516"/>
      <c r="S134" s="401"/>
      <c r="T134" s="401"/>
      <c r="U134" s="401"/>
      <c r="V134" s="401"/>
      <c r="W134" s="417"/>
      <c r="X134" s="417"/>
      <c r="Y134" s="417"/>
      <c r="Z134" s="417"/>
      <c r="AA134" s="417"/>
      <c r="AB134" s="417"/>
      <c r="AC134" s="417"/>
      <c r="AD134" s="417"/>
      <c r="AE134" s="417"/>
      <c r="AF134" s="417"/>
      <c r="AG134" s="417"/>
      <c r="AH134" s="417"/>
      <c r="AI134" s="417"/>
      <c r="AJ134" s="417"/>
      <c r="AK134" s="417"/>
      <c r="AL134" s="417"/>
      <c r="AM134" s="417"/>
      <c r="AN134" s="417"/>
      <c r="AO134" s="417"/>
      <c r="AP134" s="417"/>
      <c r="AQ134" s="417"/>
      <c r="AR134" s="417"/>
      <c r="AS134" s="417"/>
      <c r="AT134" s="417"/>
      <c r="AU134" s="417"/>
      <c r="AV134" s="417"/>
      <c r="AW134" s="417"/>
      <c r="AX134" s="417"/>
      <c r="AY134" s="417"/>
      <c r="AZ134" s="417"/>
      <c r="BA134" s="417"/>
      <c r="BB134" s="417"/>
      <c r="BC134" s="417"/>
      <c r="BD134" s="417"/>
      <c r="BE134" s="417"/>
      <c r="BF134" s="417"/>
      <c r="BG134" s="417"/>
      <c r="BH134" s="417"/>
      <c r="BI134" s="417"/>
      <c r="BJ134" s="417"/>
      <c r="BK134" s="417"/>
      <c r="BL134" s="417"/>
      <c r="BM134" s="417"/>
      <c r="BN134" s="417"/>
      <c r="BO134" s="417"/>
      <c r="BP134" s="417"/>
      <c r="BQ134" s="417"/>
      <c r="BR134" s="417"/>
      <c r="BS134" s="417"/>
      <c r="BT134" s="417"/>
      <c r="BU134" s="417"/>
      <c r="BV134" s="417"/>
      <c r="BW134" s="417"/>
      <c r="BX134" s="417"/>
      <c r="BY134" s="417"/>
      <c r="BZ134" s="417"/>
      <c r="CA134" s="417"/>
      <c r="CB134" s="417"/>
      <c r="CC134" s="417"/>
      <c r="CD134" s="417"/>
      <c r="CE134" s="417"/>
      <c r="CF134" s="417"/>
      <c r="CG134" s="417"/>
      <c r="CH134" s="417"/>
      <c r="CI134" s="417"/>
      <c r="CJ134" s="417"/>
      <c r="CK134" s="417"/>
      <c r="CL134" s="417"/>
      <c r="CM134" s="417"/>
      <c r="CN134" s="417"/>
      <c r="CO134" s="417"/>
      <c r="CP134" s="417"/>
      <c r="CQ134" s="417"/>
      <c r="CR134" s="417"/>
      <c r="CS134" s="417"/>
      <c r="CT134" s="417"/>
      <c r="CU134" s="417"/>
      <c r="CV134" s="417"/>
      <c r="CW134" s="417"/>
      <c r="CX134" s="417"/>
    </row>
    <row r="135" spans="1:102" s="473" customFormat="1" hidden="1">
      <c r="A135" s="471"/>
      <c r="B135" s="472"/>
      <c r="C135" s="344"/>
      <c r="D135" s="350"/>
      <c r="E135" s="381"/>
      <c r="F135" s="398" t="s">
        <v>153</v>
      </c>
      <c r="G135" s="471"/>
      <c r="H135" s="378" t="e">
        <f>#REF!</f>
        <v>#REF!</v>
      </c>
      <c r="I135" s="378" t="e">
        <f>#REF!</f>
        <v>#REF!</v>
      </c>
      <c r="J135" s="378" t="e">
        <f>#REF!</f>
        <v>#REF!</v>
      </c>
      <c r="K135" s="378" t="e">
        <f t="shared" ref="K135:K141" si="21">SUM(H135:J135)</f>
        <v>#REF!</v>
      </c>
      <c r="M135" s="472"/>
      <c r="N135" s="302"/>
      <c r="O135" s="350"/>
      <c r="P135" s="516"/>
      <c r="Q135" s="516" t="s">
        <v>153</v>
      </c>
      <c r="R135" s="525"/>
      <c r="S135" s="378" t="e">
        <f>#REF!</f>
        <v>#REF!</v>
      </c>
      <c r="T135" s="378" t="e">
        <f>#REF!</f>
        <v>#REF!</v>
      </c>
      <c r="U135" s="378" t="e">
        <f>#REF!</f>
        <v>#REF!</v>
      </c>
      <c r="V135" s="378" t="e">
        <f t="shared" ref="V135:V141" si="22">SUM(S135:U135)</f>
        <v>#REF!</v>
      </c>
    </row>
    <row r="136" spans="1:102" s="473" customFormat="1" hidden="1">
      <c r="A136" s="471"/>
      <c r="B136" s="472"/>
      <c r="C136" s="344"/>
      <c r="D136" s="350"/>
      <c r="E136" s="381"/>
      <c r="F136" s="398" t="s">
        <v>154</v>
      </c>
      <c r="G136" s="471"/>
      <c r="H136" s="378" t="e">
        <f>#REF!</f>
        <v>#REF!</v>
      </c>
      <c r="I136" s="378" t="e">
        <f>#REF!</f>
        <v>#REF!</v>
      </c>
      <c r="J136" s="378" t="e">
        <f>#REF!</f>
        <v>#REF!</v>
      </c>
      <c r="K136" s="378" t="e">
        <f t="shared" si="21"/>
        <v>#REF!</v>
      </c>
      <c r="M136" s="472"/>
      <c r="N136" s="302"/>
      <c r="O136" s="350"/>
      <c r="P136" s="516"/>
      <c r="Q136" s="516" t="s">
        <v>154</v>
      </c>
      <c r="R136" s="525"/>
      <c r="S136" s="378" t="e">
        <f>#REF!</f>
        <v>#REF!</v>
      </c>
      <c r="T136" s="378" t="e">
        <f>#REF!</f>
        <v>#REF!</v>
      </c>
      <c r="U136" s="378" t="e">
        <f>#REF!</f>
        <v>#REF!</v>
      </c>
      <c r="V136" s="378" t="e">
        <f t="shared" si="22"/>
        <v>#REF!</v>
      </c>
    </row>
    <row r="137" spans="1:102" s="473" customFormat="1" hidden="1">
      <c r="A137" s="471"/>
      <c r="B137" s="472"/>
      <c r="C137" s="344"/>
      <c r="D137" s="350"/>
      <c r="E137" s="381"/>
      <c r="F137" s="398" t="s">
        <v>155</v>
      </c>
      <c r="G137" s="471"/>
      <c r="H137" s="378" t="e">
        <f>#REF!</f>
        <v>#REF!</v>
      </c>
      <c r="I137" s="378" t="e">
        <f>#REF!</f>
        <v>#REF!</v>
      </c>
      <c r="J137" s="378" t="e">
        <f>#REF!</f>
        <v>#REF!</v>
      </c>
      <c r="K137" s="378" t="e">
        <f t="shared" si="21"/>
        <v>#REF!</v>
      </c>
      <c r="M137" s="472"/>
      <c r="N137" s="302"/>
      <c r="O137" s="350"/>
      <c r="P137" s="516"/>
      <c r="Q137" s="516" t="s">
        <v>155</v>
      </c>
      <c r="R137" s="525"/>
      <c r="S137" s="378" t="e">
        <f>#REF!</f>
        <v>#REF!</v>
      </c>
      <c r="T137" s="378" t="e">
        <f>#REF!</f>
        <v>#REF!</v>
      </c>
      <c r="U137" s="378" t="e">
        <f>#REF!</f>
        <v>#REF!</v>
      </c>
      <c r="V137" s="378" t="e">
        <f t="shared" si="22"/>
        <v>#REF!</v>
      </c>
    </row>
    <row r="138" spans="1:102" s="473" customFormat="1" hidden="1">
      <c r="A138" s="471"/>
      <c r="B138" s="472"/>
      <c r="C138" s="344"/>
      <c r="D138" s="350"/>
      <c r="E138" s="381"/>
      <c r="F138" s="398" t="s">
        <v>156</v>
      </c>
      <c r="G138" s="471"/>
      <c r="H138" s="378" t="e">
        <f>#REF!</f>
        <v>#REF!</v>
      </c>
      <c r="I138" s="378" t="e">
        <f>#REF!</f>
        <v>#REF!</v>
      </c>
      <c r="J138" s="378" t="e">
        <f>#REF!</f>
        <v>#REF!</v>
      </c>
      <c r="K138" s="378" t="e">
        <f t="shared" si="21"/>
        <v>#REF!</v>
      </c>
      <c r="M138" s="472"/>
      <c r="N138" s="302"/>
      <c r="O138" s="350"/>
      <c r="P138" s="516"/>
      <c r="Q138" s="516" t="s">
        <v>156</v>
      </c>
      <c r="R138" s="525"/>
      <c r="S138" s="378" t="e">
        <f>#REF!</f>
        <v>#REF!</v>
      </c>
      <c r="T138" s="378" t="e">
        <f>#REF!</f>
        <v>#REF!</v>
      </c>
      <c r="U138" s="378" t="e">
        <f>#REF!</f>
        <v>#REF!</v>
      </c>
      <c r="V138" s="378" t="e">
        <f t="shared" si="22"/>
        <v>#REF!</v>
      </c>
    </row>
    <row r="139" spans="1:102" s="473" customFormat="1" hidden="1">
      <c r="A139" s="471"/>
      <c r="B139" s="472"/>
      <c r="C139" s="344"/>
      <c r="D139" s="350"/>
      <c r="E139" s="381"/>
      <c r="F139" s="398" t="s">
        <v>157</v>
      </c>
      <c r="G139" s="471"/>
      <c r="H139" s="378" t="e">
        <f>#REF!</f>
        <v>#REF!</v>
      </c>
      <c r="I139" s="378" t="e">
        <f>#REF!</f>
        <v>#REF!</v>
      </c>
      <c r="J139" s="378" t="e">
        <f>#REF!</f>
        <v>#REF!</v>
      </c>
      <c r="K139" s="378" t="e">
        <f t="shared" si="21"/>
        <v>#REF!</v>
      </c>
      <c r="M139" s="472"/>
      <c r="N139" s="302"/>
      <c r="O139" s="350"/>
      <c r="P139" s="516"/>
      <c r="Q139" s="516" t="s">
        <v>157</v>
      </c>
      <c r="R139" s="525"/>
      <c r="S139" s="378" t="e">
        <f>#REF!</f>
        <v>#REF!</v>
      </c>
      <c r="T139" s="378" t="e">
        <f>#REF!</f>
        <v>#REF!</v>
      </c>
      <c r="U139" s="378" t="e">
        <f>#REF!</f>
        <v>#REF!</v>
      </c>
      <c r="V139" s="378" t="e">
        <f t="shared" si="22"/>
        <v>#REF!</v>
      </c>
    </row>
    <row r="140" spans="1:102" s="473" customFormat="1" hidden="1">
      <c r="A140" s="471"/>
      <c r="B140" s="472"/>
      <c r="C140" s="344"/>
      <c r="D140" s="350"/>
      <c r="E140" s="381"/>
      <c r="F140" s="398" t="s">
        <v>158</v>
      </c>
      <c r="G140" s="471"/>
      <c r="H140" s="378" t="e">
        <f>#REF!</f>
        <v>#REF!</v>
      </c>
      <c r="I140" s="378" t="e">
        <f>#REF!</f>
        <v>#REF!</v>
      </c>
      <c r="J140" s="378" t="e">
        <f>#REF!</f>
        <v>#REF!</v>
      </c>
      <c r="K140" s="378" t="e">
        <f t="shared" si="21"/>
        <v>#REF!</v>
      </c>
      <c r="M140" s="472"/>
      <c r="N140" s="302"/>
      <c r="O140" s="350"/>
      <c r="P140" s="516"/>
      <c r="Q140" s="516" t="s">
        <v>158</v>
      </c>
      <c r="R140" s="525"/>
      <c r="S140" s="378" t="e">
        <f>#REF!</f>
        <v>#REF!</v>
      </c>
      <c r="T140" s="378" t="e">
        <f>#REF!</f>
        <v>#REF!</v>
      </c>
      <c r="U140" s="378" t="e">
        <f>#REF!</f>
        <v>#REF!</v>
      </c>
      <c r="V140" s="378" t="e">
        <f t="shared" si="22"/>
        <v>#REF!</v>
      </c>
    </row>
    <row r="141" spans="1:102" s="473" customFormat="1" hidden="1">
      <c r="A141" s="471"/>
      <c r="B141" s="472"/>
      <c r="C141" s="344"/>
      <c r="D141" s="350"/>
      <c r="E141" s="381"/>
      <c r="F141" s="398" t="s">
        <v>159</v>
      </c>
      <c r="G141" s="471"/>
      <c r="H141" s="378" t="e">
        <f>#REF!</f>
        <v>#REF!</v>
      </c>
      <c r="I141" s="378" t="e">
        <f>#REF!</f>
        <v>#REF!</v>
      </c>
      <c r="J141" s="378" t="e">
        <f>#REF!</f>
        <v>#REF!</v>
      </c>
      <c r="K141" s="378" t="e">
        <f t="shared" si="21"/>
        <v>#REF!</v>
      </c>
      <c r="M141" s="472"/>
      <c r="N141" s="302"/>
      <c r="O141" s="350"/>
      <c r="P141" s="516"/>
      <c r="Q141" s="516" t="s">
        <v>159</v>
      </c>
      <c r="R141" s="525"/>
      <c r="S141" s="378" t="e">
        <f>#REF!</f>
        <v>#REF!</v>
      </c>
      <c r="T141" s="378" t="e">
        <f>#REF!</f>
        <v>#REF!</v>
      </c>
      <c r="U141" s="378" t="e">
        <f>#REF!</f>
        <v>#REF!</v>
      </c>
      <c r="V141" s="378" t="e">
        <f t="shared" si="22"/>
        <v>#REF!</v>
      </c>
    </row>
    <row r="142" spans="1:102" s="473" customFormat="1" ht="24" hidden="1" thickBot="1">
      <c r="A142" s="471"/>
      <c r="B142" s="472"/>
      <c r="C142" s="344"/>
      <c r="D142" s="350"/>
      <c r="E142" s="381"/>
      <c r="F142" s="398" t="s">
        <v>160</v>
      </c>
      <c r="G142" s="471"/>
      <c r="H142" s="474" t="e">
        <f>SUM(H135:H141)</f>
        <v>#REF!</v>
      </c>
      <c r="I142" s="474" t="e">
        <f>SUM(I135:I141)</f>
        <v>#REF!</v>
      </c>
      <c r="J142" s="474" t="e">
        <f>SUM(J135:J141)</f>
        <v>#REF!</v>
      </c>
      <c r="K142" s="474" t="e">
        <f>SUM(K135:K141)</f>
        <v>#REF!</v>
      </c>
      <c r="M142" s="472"/>
      <c r="N142" s="302"/>
      <c r="O142" s="350"/>
      <c r="P142" s="516"/>
      <c r="Q142" s="516" t="s">
        <v>160</v>
      </c>
      <c r="R142" s="525"/>
      <c r="S142" s="474" t="e">
        <f>SUM(S135:S141)</f>
        <v>#REF!</v>
      </c>
      <c r="T142" s="474" t="e">
        <f>SUM(T135:T141)</f>
        <v>#REF!</v>
      </c>
      <c r="U142" s="474" t="e">
        <f>SUM(U135:U141)</f>
        <v>#REF!</v>
      </c>
      <c r="V142" s="474" t="e">
        <f>SUM(V135:V141)</f>
        <v>#REF!</v>
      </c>
    </row>
    <row r="143" spans="1:102" s="473" customFormat="1" hidden="1">
      <c r="A143" s="471"/>
      <c r="B143" s="472"/>
      <c r="C143" s="344"/>
      <c r="D143" s="350"/>
      <c r="E143" s="381"/>
      <c r="F143" s="471" t="s">
        <v>161</v>
      </c>
      <c r="G143" s="471"/>
      <c r="H143" s="378" t="e">
        <f>+H142-#REF!</f>
        <v>#REF!</v>
      </c>
      <c r="I143" s="378" t="e">
        <f>+I142-#REF!</f>
        <v>#REF!</v>
      </c>
      <c r="J143" s="378" t="e">
        <f>+J142-#REF!</f>
        <v>#REF!</v>
      </c>
      <c r="K143" s="471" t="e">
        <f>+K142-(+#REF!+#REF!+#REF!+#REF!+#REF!)</f>
        <v>#REF!</v>
      </c>
      <c r="M143" s="472"/>
      <c r="N143" s="302"/>
      <c r="O143" s="350"/>
      <c r="P143" s="516"/>
      <c r="Q143" s="525" t="s">
        <v>161</v>
      </c>
      <c r="R143" s="525"/>
      <c r="S143" s="378" t="e">
        <f>+S142-#REF!</f>
        <v>#REF!</v>
      </c>
      <c r="T143" s="378" t="e">
        <f>+T142-#REF!</f>
        <v>#REF!</v>
      </c>
      <c r="U143" s="378" t="e">
        <f>+U142-#REF!</f>
        <v>#REF!</v>
      </c>
      <c r="V143" s="471" t="e">
        <f>+V142-(+#REF!+#REF!+#REF!+#REF!+#REF!)</f>
        <v>#REF!</v>
      </c>
    </row>
    <row r="144" spans="1:102" s="473" customFormat="1" hidden="1">
      <c r="A144" s="471"/>
      <c r="B144" s="472"/>
      <c r="C144" s="344"/>
      <c r="D144" s="350"/>
      <c r="E144" s="381"/>
      <c r="F144" s="398"/>
      <c r="G144" s="471"/>
      <c r="H144" s="378"/>
      <c r="I144" s="471"/>
      <c r="J144" s="378"/>
      <c r="K144" s="471"/>
      <c r="M144" s="472"/>
      <c r="N144" s="302"/>
      <c r="O144" s="350"/>
      <c r="P144" s="516"/>
      <c r="Q144" s="516"/>
      <c r="R144" s="525"/>
      <c r="S144" s="378"/>
      <c r="T144" s="471"/>
      <c r="U144" s="378"/>
      <c r="V144" s="471"/>
    </row>
    <row r="145" spans="1:22" s="350" customFormat="1" hidden="1">
      <c r="A145" s="344"/>
      <c r="B145" s="331"/>
      <c r="C145" s="344"/>
      <c r="E145" s="473"/>
      <c r="F145" s="471"/>
      <c r="G145" s="475"/>
      <c r="H145" s="475"/>
      <c r="I145" s="475"/>
      <c r="J145" s="475"/>
      <c r="K145" s="471"/>
      <c r="M145" s="331"/>
      <c r="N145" s="302"/>
      <c r="P145" s="525"/>
      <c r="Q145" s="525"/>
      <c r="R145" s="516"/>
      <c r="S145" s="475"/>
      <c r="T145" s="475"/>
      <c r="U145" s="475"/>
      <c r="V145" s="471"/>
    </row>
    <row r="146" spans="1:22" s="350" customFormat="1" hidden="1">
      <c r="A146" s="344"/>
      <c r="B146" s="331"/>
      <c r="C146" s="344"/>
      <c r="F146" s="476"/>
      <c r="G146" s="471"/>
      <c r="H146" s="378"/>
      <c r="I146" s="475"/>
      <c r="J146" s="378"/>
      <c r="K146" s="378"/>
      <c r="M146" s="331"/>
      <c r="N146" s="302"/>
      <c r="P146" s="525"/>
      <c r="Q146" s="516"/>
      <c r="R146" s="525"/>
      <c r="S146" s="378"/>
      <c r="T146" s="475"/>
      <c r="U146" s="378"/>
      <c r="V146" s="378"/>
    </row>
    <row r="147" spans="1:22" s="350" customFormat="1" ht="12" hidden="1" customHeight="1">
      <c r="A147" s="344"/>
      <c r="B147" s="331"/>
      <c r="C147" s="344"/>
      <c r="F147" s="476" t="s">
        <v>162</v>
      </c>
      <c r="G147" s="471"/>
      <c r="H147" s="1352" t="s">
        <v>8</v>
      </c>
      <c r="I147" s="1352"/>
      <c r="J147" s="477" t="s">
        <v>9</v>
      </c>
      <c r="K147" s="478" t="s">
        <v>136</v>
      </c>
      <c r="M147" s="331"/>
      <c r="N147" s="302"/>
      <c r="P147" s="525"/>
      <c r="Q147" s="516" t="s">
        <v>162</v>
      </c>
      <c r="R147" s="525"/>
      <c r="S147" s="1352" t="s">
        <v>8</v>
      </c>
      <c r="T147" s="1352"/>
      <c r="U147" s="477" t="s">
        <v>9</v>
      </c>
      <c r="V147" s="478" t="s">
        <v>136</v>
      </c>
    </row>
    <row r="148" spans="1:22" s="350" customFormat="1" hidden="1">
      <c r="A148" s="344"/>
      <c r="B148" s="331"/>
      <c r="C148" s="344"/>
      <c r="F148" s="398"/>
      <c r="G148" s="471"/>
      <c r="H148" s="479" t="s">
        <v>39</v>
      </c>
      <c r="I148" s="480" t="s">
        <v>133</v>
      </c>
      <c r="J148" s="481" t="s">
        <v>40</v>
      </c>
      <c r="K148" s="479"/>
      <c r="M148" s="331"/>
      <c r="N148" s="302"/>
      <c r="P148" s="525"/>
      <c r="Q148" s="516"/>
      <c r="R148" s="525"/>
      <c r="S148" s="479" t="s">
        <v>39</v>
      </c>
      <c r="T148" s="480" t="s">
        <v>133</v>
      </c>
      <c r="U148" s="481" t="s">
        <v>40</v>
      </c>
      <c r="V148" s="479"/>
    </row>
    <row r="149" spans="1:22" s="473" customFormat="1" hidden="1">
      <c r="A149" s="471"/>
      <c r="B149" s="472"/>
      <c r="C149" s="344"/>
      <c r="D149" s="350"/>
      <c r="E149" s="381"/>
      <c r="F149" s="398" t="s">
        <v>137</v>
      </c>
      <c r="G149" s="471"/>
      <c r="H149" s="378" t="e">
        <f>#REF!</f>
        <v>#REF!</v>
      </c>
      <c r="I149" s="378" t="e">
        <f>#REF!</f>
        <v>#REF!</v>
      </c>
      <c r="J149" s="378" t="e">
        <f>#REF!</f>
        <v>#REF!</v>
      </c>
      <c r="K149" s="378" t="e">
        <f t="shared" ref="K149:K172" si="23">SUM(H149:J149)</f>
        <v>#REF!</v>
      </c>
      <c r="M149" s="472"/>
      <c r="N149" s="302"/>
      <c r="O149" s="350"/>
      <c r="P149" s="516"/>
      <c r="Q149" s="516" t="s">
        <v>137</v>
      </c>
      <c r="R149" s="525"/>
      <c r="S149" s="378" t="e">
        <f>#REF!</f>
        <v>#REF!</v>
      </c>
      <c r="T149" s="378" t="e">
        <f>#REF!</f>
        <v>#REF!</v>
      </c>
      <c r="U149" s="378" t="e">
        <f>#REF!</f>
        <v>#REF!</v>
      </c>
      <c r="V149" s="378" t="e">
        <f t="shared" ref="V149:V172" si="24">SUM(S149:U149)</f>
        <v>#REF!</v>
      </c>
    </row>
    <row r="150" spans="1:22" s="473" customFormat="1" hidden="1">
      <c r="A150" s="471"/>
      <c r="B150" s="472"/>
      <c r="C150" s="344"/>
      <c r="D150" s="350"/>
      <c r="E150" s="381"/>
      <c r="F150" s="398" t="s">
        <v>138</v>
      </c>
      <c r="G150" s="471"/>
      <c r="H150" s="378" t="e">
        <f>#REF!</f>
        <v>#REF!</v>
      </c>
      <c r="I150" s="378" t="e">
        <f>#REF!</f>
        <v>#REF!</v>
      </c>
      <c r="J150" s="378" t="e">
        <f>#REF!</f>
        <v>#REF!</v>
      </c>
      <c r="K150" s="378" t="e">
        <f t="shared" si="23"/>
        <v>#REF!</v>
      </c>
      <c r="M150" s="472"/>
      <c r="N150" s="302"/>
      <c r="O150" s="350"/>
      <c r="P150" s="516"/>
      <c r="Q150" s="516" t="s">
        <v>138</v>
      </c>
      <c r="R150" s="525"/>
      <c r="S150" s="378" t="e">
        <f>#REF!</f>
        <v>#REF!</v>
      </c>
      <c r="T150" s="378" t="e">
        <f>#REF!</f>
        <v>#REF!</v>
      </c>
      <c r="U150" s="378" t="e">
        <f>#REF!</f>
        <v>#REF!</v>
      </c>
      <c r="V150" s="378" t="e">
        <f t="shared" si="24"/>
        <v>#REF!</v>
      </c>
    </row>
    <row r="151" spans="1:22" s="473" customFormat="1" hidden="1">
      <c r="A151" s="471"/>
      <c r="B151" s="482"/>
      <c r="C151" s="471"/>
      <c r="E151" s="381"/>
      <c r="F151" s="398" t="s">
        <v>139</v>
      </c>
      <c r="G151" s="471"/>
      <c r="H151" s="378" t="e">
        <f>#REF!</f>
        <v>#REF!</v>
      </c>
      <c r="I151" s="378" t="e">
        <f>#REF!</f>
        <v>#REF!</v>
      </c>
      <c r="J151" s="378" t="e">
        <f>#REF!</f>
        <v>#REF!</v>
      </c>
      <c r="K151" s="378" t="e">
        <f t="shared" si="23"/>
        <v>#REF!</v>
      </c>
      <c r="M151" s="482"/>
      <c r="N151" s="316"/>
      <c r="P151" s="516"/>
      <c r="Q151" s="516" t="s">
        <v>139</v>
      </c>
      <c r="R151" s="525"/>
      <c r="S151" s="378" t="e">
        <f>#REF!</f>
        <v>#REF!</v>
      </c>
      <c r="T151" s="378" t="e">
        <f>#REF!</f>
        <v>#REF!</v>
      </c>
      <c r="U151" s="378" t="e">
        <f>#REF!</f>
        <v>#REF!</v>
      </c>
      <c r="V151" s="378" t="e">
        <f t="shared" si="24"/>
        <v>#REF!</v>
      </c>
    </row>
    <row r="152" spans="1:22" s="473" customFormat="1" hidden="1">
      <c r="A152" s="471"/>
      <c r="B152" s="482"/>
      <c r="C152" s="471"/>
      <c r="E152" s="381"/>
      <c r="F152" s="398" t="s">
        <v>140</v>
      </c>
      <c r="G152" s="471"/>
      <c r="H152" s="378" t="e">
        <f>#REF!</f>
        <v>#REF!</v>
      </c>
      <c r="I152" s="378" t="e">
        <f>#REF!</f>
        <v>#REF!</v>
      </c>
      <c r="J152" s="378" t="e">
        <f>#REF!</f>
        <v>#REF!</v>
      </c>
      <c r="K152" s="378" t="e">
        <f t="shared" si="23"/>
        <v>#REF!</v>
      </c>
      <c r="M152" s="482"/>
      <c r="N152" s="316"/>
      <c r="P152" s="516"/>
      <c r="Q152" s="516" t="s">
        <v>140</v>
      </c>
      <c r="R152" s="525"/>
      <c r="S152" s="378" t="e">
        <f>#REF!</f>
        <v>#REF!</v>
      </c>
      <c r="T152" s="378" t="e">
        <f>#REF!</f>
        <v>#REF!</v>
      </c>
      <c r="U152" s="378" t="e">
        <f>#REF!</f>
        <v>#REF!</v>
      </c>
      <c r="V152" s="378" t="e">
        <f t="shared" si="24"/>
        <v>#REF!</v>
      </c>
    </row>
    <row r="153" spans="1:22" s="473" customFormat="1" hidden="1">
      <c r="A153" s="471"/>
      <c r="B153" s="482"/>
      <c r="C153" s="471"/>
      <c r="E153" s="381"/>
      <c r="F153" s="398" t="s">
        <v>141</v>
      </c>
      <c r="G153" s="471"/>
      <c r="H153" s="378" t="e">
        <f>#REF!</f>
        <v>#REF!</v>
      </c>
      <c r="I153" s="378" t="e">
        <f>#REF!</f>
        <v>#REF!</v>
      </c>
      <c r="J153" s="378" t="e">
        <f>#REF!</f>
        <v>#REF!</v>
      </c>
      <c r="K153" s="378" t="e">
        <f t="shared" si="23"/>
        <v>#REF!</v>
      </c>
      <c r="M153" s="482"/>
      <c r="N153" s="316"/>
      <c r="P153" s="516"/>
      <c r="Q153" s="516" t="s">
        <v>141</v>
      </c>
      <c r="R153" s="525"/>
      <c r="S153" s="378" t="e">
        <f>#REF!</f>
        <v>#REF!</v>
      </c>
      <c r="T153" s="378" t="e">
        <f>#REF!</f>
        <v>#REF!</v>
      </c>
      <c r="U153" s="378" t="e">
        <f>#REF!</f>
        <v>#REF!</v>
      </c>
      <c r="V153" s="378" t="e">
        <f t="shared" si="24"/>
        <v>#REF!</v>
      </c>
    </row>
    <row r="154" spans="1:22" s="473" customFormat="1" hidden="1">
      <c r="A154" s="471"/>
      <c r="B154" s="472"/>
      <c r="C154" s="344"/>
      <c r="D154" s="350"/>
      <c r="E154" s="381"/>
      <c r="F154" s="398" t="s">
        <v>142</v>
      </c>
      <c r="G154" s="471"/>
      <c r="H154" s="378" t="e">
        <f>#REF!</f>
        <v>#REF!</v>
      </c>
      <c r="I154" s="378" t="e">
        <f>#REF!</f>
        <v>#REF!</v>
      </c>
      <c r="J154" s="378" t="e">
        <f>#REF!</f>
        <v>#REF!</v>
      </c>
      <c r="K154" s="378" t="e">
        <f t="shared" si="23"/>
        <v>#REF!</v>
      </c>
      <c r="M154" s="472"/>
      <c r="N154" s="302"/>
      <c r="O154" s="350"/>
      <c r="P154" s="516"/>
      <c r="Q154" s="516" t="s">
        <v>142</v>
      </c>
      <c r="R154" s="525"/>
      <c r="S154" s="378" t="e">
        <f>#REF!</f>
        <v>#REF!</v>
      </c>
      <c r="T154" s="378" t="e">
        <f>#REF!</f>
        <v>#REF!</v>
      </c>
      <c r="U154" s="378" t="e">
        <f>#REF!</f>
        <v>#REF!</v>
      </c>
      <c r="V154" s="378" t="e">
        <f t="shared" si="24"/>
        <v>#REF!</v>
      </c>
    </row>
    <row r="155" spans="1:22" s="473" customFormat="1" hidden="1">
      <c r="A155" s="471"/>
      <c r="B155" s="472"/>
      <c r="C155" s="344"/>
      <c r="D155" s="350"/>
      <c r="F155" s="398" t="s">
        <v>143</v>
      </c>
      <c r="G155" s="471"/>
      <c r="H155" s="378" t="e">
        <f>#REF!</f>
        <v>#REF!</v>
      </c>
      <c r="I155" s="378" t="e">
        <f>#REF!</f>
        <v>#REF!</v>
      </c>
      <c r="J155" s="378" t="e">
        <f>#REF!</f>
        <v>#REF!</v>
      </c>
      <c r="K155" s="378" t="e">
        <f t="shared" si="23"/>
        <v>#REF!</v>
      </c>
      <c r="M155" s="472"/>
      <c r="N155" s="302"/>
      <c r="O155" s="350"/>
      <c r="P155" s="525"/>
      <c r="Q155" s="516" t="s">
        <v>143</v>
      </c>
      <c r="R155" s="525"/>
      <c r="S155" s="378" t="e">
        <f>#REF!</f>
        <v>#REF!</v>
      </c>
      <c r="T155" s="378" t="e">
        <f>#REF!</f>
        <v>#REF!</v>
      </c>
      <c r="U155" s="378" t="e">
        <f>#REF!</f>
        <v>#REF!</v>
      </c>
      <c r="V155" s="378" t="e">
        <f t="shared" si="24"/>
        <v>#REF!</v>
      </c>
    </row>
    <row r="156" spans="1:22" s="473" customFormat="1" hidden="1">
      <c r="A156" s="471"/>
      <c r="B156" s="482"/>
      <c r="C156" s="471"/>
      <c r="E156" s="381"/>
      <c r="F156" s="398" t="s">
        <v>144</v>
      </c>
      <c r="G156" s="471"/>
      <c r="H156" s="378" t="e">
        <f>#REF!</f>
        <v>#REF!</v>
      </c>
      <c r="I156" s="378" t="e">
        <f>#REF!</f>
        <v>#REF!</v>
      </c>
      <c r="J156" s="378" t="e">
        <f>#REF!</f>
        <v>#REF!</v>
      </c>
      <c r="K156" s="378" t="e">
        <f t="shared" si="23"/>
        <v>#REF!</v>
      </c>
      <c r="M156" s="482"/>
      <c r="N156" s="316"/>
      <c r="P156" s="516"/>
      <c r="Q156" s="516" t="s">
        <v>144</v>
      </c>
      <c r="R156" s="525"/>
      <c r="S156" s="378" t="e">
        <f>#REF!</f>
        <v>#REF!</v>
      </c>
      <c r="T156" s="378" t="e">
        <f>#REF!</f>
        <v>#REF!</v>
      </c>
      <c r="U156" s="378" t="e">
        <f>#REF!</f>
        <v>#REF!</v>
      </c>
      <c r="V156" s="378" t="e">
        <f t="shared" si="24"/>
        <v>#REF!</v>
      </c>
    </row>
    <row r="157" spans="1:22" s="473" customFormat="1" hidden="1">
      <c r="A157" s="471"/>
      <c r="B157" s="482"/>
      <c r="C157" s="471"/>
      <c r="F157" s="398" t="s">
        <v>145</v>
      </c>
      <c r="G157" s="471"/>
      <c r="H157" s="378" t="e">
        <f>#REF!</f>
        <v>#REF!</v>
      </c>
      <c r="I157" s="378" t="e">
        <f>#REF!</f>
        <v>#REF!</v>
      </c>
      <c r="J157" s="378" t="e">
        <f>#REF!</f>
        <v>#REF!</v>
      </c>
      <c r="K157" s="378" t="e">
        <f t="shared" si="23"/>
        <v>#REF!</v>
      </c>
      <c r="M157" s="482"/>
      <c r="N157" s="316"/>
      <c r="P157" s="525"/>
      <c r="Q157" s="516" t="s">
        <v>145</v>
      </c>
      <c r="R157" s="525"/>
      <c r="S157" s="378" t="e">
        <f>#REF!</f>
        <v>#REF!</v>
      </c>
      <c r="T157" s="378" t="e">
        <f>#REF!</f>
        <v>#REF!</v>
      </c>
      <c r="U157" s="378" t="e">
        <f>#REF!</f>
        <v>#REF!</v>
      </c>
      <c r="V157" s="378" t="e">
        <f t="shared" si="24"/>
        <v>#REF!</v>
      </c>
    </row>
    <row r="158" spans="1:22" s="473" customFormat="1" hidden="1">
      <c r="A158" s="471"/>
      <c r="B158" s="482"/>
      <c r="C158" s="471"/>
      <c r="F158" s="398" t="s">
        <v>146</v>
      </c>
      <c r="G158" s="471"/>
      <c r="H158" s="378" t="e">
        <f>#REF!</f>
        <v>#REF!</v>
      </c>
      <c r="I158" s="378" t="e">
        <f>#REF!</f>
        <v>#REF!</v>
      </c>
      <c r="J158" s="378" t="e">
        <f>#REF!</f>
        <v>#REF!</v>
      </c>
      <c r="K158" s="378" t="e">
        <f t="shared" si="23"/>
        <v>#REF!</v>
      </c>
      <c r="M158" s="482"/>
      <c r="N158" s="316"/>
      <c r="P158" s="525"/>
      <c r="Q158" s="516" t="s">
        <v>146</v>
      </c>
      <c r="R158" s="525"/>
      <c r="S158" s="378" t="e">
        <f>#REF!</f>
        <v>#REF!</v>
      </c>
      <c r="T158" s="378" t="e">
        <f>#REF!</f>
        <v>#REF!</v>
      </c>
      <c r="U158" s="378" t="e">
        <f>#REF!</f>
        <v>#REF!</v>
      </c>
      <c r="V158" s="378" t="e">
        <f t="shared" si="24"/>
        <v>#REF!</v>
      </c>
    </row>
    <row r="159" spans="1:22" s="473" customFormat="1" hidden="1">
      <c r="A159" s="471"/>
      <c r="B159" s="472"/>
      <c r="C159" s="344"/>
      <c r="D159" s="350"/>
      <c r="E159" s="381"/>
      <c r="F159" s="398" t="s">
        <v>147</v>
      </c>
      <c r="G159" s="471"/>
      <c r="H159" s="378" t="e">
        <f>#REF!</f>
        <v>#REF!</v>
      </c>
      <c r="I159" s="378" t="e">
        <f>#REF!</f>
        <v>#REF!</v>
      </c>
      <c r="J159" s="378" t="e">
        <f>#REF!</f>
        <v>#REF!</v>
      </c>
      <c r="K159" s="378" t="e">
        <f t="shared" si="23"/>
        <v>#REF!</v>
      </c>
      <c r="M159" s="472"/>
      <c r="N159" s="302"/>
      <c r="O159" s="350"/>
      <c r="P159" s="516"/>
      <c r="Q159" s="516" t="s">
        <v>147</v>
      </c>
      <c r="R159" s="525"/>
      <c r="S159" s="378" t="e">
        <f>#REF!</f>
        <v>#REF!</v>
      </c>
      <c r="T159" s="378" t="e">
        <f>#REF!</f>
        <v>#REF!</v>
      </c>
      <c r="U159" s="378" t="e">
        <f>#REF!</f>
        <v>#REF!</v>
      </c>
      <c r="V159" s="378" t="e">
        <f t="shared" si="24"/>
        <v>#REF!</v>
      </c>
    </row>
    <row r="160" spans="1:22" s="473" customFormat="1" hidden="1">
      <c r="A160" s="471"/>
      <c r="B160" s="472"/>
      <c r="C160" s="344"/>
      <c r="D160" s="350"/>
      <c r="E160" s="381"/>
      <c r="F160" s="398" t="s">
        <v>112</v>
      </c>
      <c r="G160" s="471"/>
      <c r="H160" s="378" t="e">
        <f>#REF!</f>
        <v>#REF!</v>
      </c>
      <c r="I160" s="378" t="e">
        <f>#REF!</f>
        <v>#REF!</v>
      </c>
      <c r="J160" s="378" t="e">
        <f>#REF!</f>
        <v>#REF!</v>
      </c>
      <c r="K160" s="378" t="e">
        <f t="shared" si="23"/>
        <v>#REF!</v>
      </c>
      <c r="M160" s="472"/>
      <c r="N160" s="302"/>
      <c r="O160" s="350"/>
      <c r="P160" s="516"/>
      <c r="Q160" s="516" t="s">
        <v>112</v>
      </c>
      <c r="R160" s="525"/>
      <c r="S160" s="378" t="e">
        <f>#REF!</f>
        <v>#REF!</v>
      </c>
      <c r="T160" s="378" t="e">
        <f>#REF!</f>
        <v>#REF!</v>
      </c>
      <c r="U160" s="378" t="e">
        <f>#REF!</f>
        <v>#REF!</v>
      </c>
      <c r="V160" s="378" t="e">
        <f t="shared" si="24"/>
        <v>#REF!</v>
      </c>
    </row>
    <row r="161" spans="1:22" s="473" customFormat="1" hidden="1">
      <c r="A161" s="471"/>
      <c r="B161" s="472"/>
      <c r="C161" s="344"/>
      <c r="D161" s="350"/>
      <c r="E161" s="381"/>
      <c r="F161" s="398" t="s">
        <v>148</v>
      </c>
      <c r="G161" s="471"/>
      <c r="H161" s="378" t="e">
        <f>#REF!</f>
        <v>#REF!</v>
      </c>
      <c r="I161" s="378" t="e">
        <f>#REF!</f>
        <v>#REF!</v>
      </c>
      <c r="J161" s="378" t="e">
        <f>#REF!</f>
        <v>#REF!</v>
      </c>
      <c r="K161" s="378" t="e">
        <f t="shared" si="23"/>
        <v>#REF!</v>
      </c>
      <c r="M161" s="472"/>
      <c r="N161" s="302"/>
      <c r="O161" s="350"/>
      <c r="P161" s="516"/>
      <c r="Q161" s="516" t="s">
        <v>148</v>
      </c>
      <c r="R161" s="525"/>
      <c r="S161" s="378" t="e">
        <f>#REF!</f>
        <v>#REF!</v>
      </c>
      <c r="T161" s="378" t="e">
        <f>#REF!</f>
        <v>#REF!</v>
      </c>
      <c r="U161" s="378" t="e">
        <f>#REF!</f>
        <v>#REF!</v>
      </c>
      <c r="V161" s="378" t="e">
        <f t="shared" si="24"/>
        <v>#REF!</v>
      </c>
    </row>
    <row r="162" spans="1:22" s="473" customFormat="1" hidden="1">
      <c r="A162" s="471"/>
      <c r="B162" s="472"/>
      <c r="C162" s="344"/>
      <c r="D162" s="350"/>
      <c r="E162" s="426"/>
      <c r="F162" s="398" t="s">
        <v>149</v>
      </c>
      <c r="G162" s="471"/>
      <c r="H162" s="378" t="e">
        <f>#REF!</f>
        <v>#REF!</v>
      </c>
      <c r="I162" s="378" t="e">
        <f>#REF!</f>
        <v>#REF!</v>
      </c>
      <c r="J162" s="378" t="e">
        <f>#REF!</f>
        <v>#REF!</v>
      </c>
      <c r="K162" s="378" t="e">
        <f t="shared" si="23"/>
        <v>#REF!</v>
      </c>
      <c r="M162" s="472"/>
      <c r="N162" s="302"/>
      <c r="O162" s="350"/>
      <c r="P162" s="516"/>
      <c r="Q162" s="516" t="s">
        <v>149</v>
      </c>
      <c r="R162" s="525"/>
      <c r="S162" s="378" t="e">
        <f>#REF!</f>
        <v>#REF!</v>
      </c>
      <c r="T162" s="378" t="e">
        <f>#REF!</f>
        <v>#REF!</v>
      </c>
      <c r="U162" s="378" t="e">
        <f>#REF!</f>
        <v>#REF!</v>
      </c>
      <c r="V162" s="378" t="e">
        <f t="shared" si="24"/>
        <v>#REF!</v>
      </c>
    </row>
    <row r="163" spans="1:22" s="473" customFormat="1" hidden="1">
      <c r="A163" s="471"/>
      <c r="B163" s="472"/>
      <c r="C163" s="344"/>
      <c r="D163" s="350"/>
      <c r="E163" s="381"/>
      <c r="F163" s="398" t="s">
        <v>150</v>
      </c>
      <c r="G163" s="471"/>
      <c r="H163" s="378" t="e">
        <f>#REF!</f>
        <v>#REF!</v>
      </c>
      <c r="I163" s="378" t="e">
        <f>#REF!</f>
        <v>#REF!</v>
      </c>
      <c r="J163" s="378" t="e">
        <f>#REF!</f>
        <v>#REF!</v>
      </c>
      <c r="K163" s="378" t="e">
        <f t="shared" si="23"/>
        <v>#REF!</v>
      </c>
      <c r="M163" s="472"/>
      <c r="N163" s="302"/>
      <c r="O163" s="350"/>
      <c r="P163" s="516"/>
      <c r="Q163" s="516" t="s">
        <v>150</v>
      </c>
      <c r="R163" s="525"/>
      <c r="S163" s="378" t="e">
        <f>#REF!</f>
        <v>#REF!</v>
      </c>
      <c r="T163" s="378" t="e">
        <f>#REF!</f>
        <v>#REF!</v>
      </c>
      <c r="U163" s="378" t="e">
        <f>#REF!</f>
        <v>#REF!</v>
      </c>
      <c r="V163" s="378" t="e">
        <f t="shared" si="24"/>
        <v>#REF!</v>
      </c>
    </row>
    <row r="164" spans="1:22" s="473" customFormat="1" hidden="1">
      <c r="A164" s="471"/>
      <c r="B164" s="472"/>
      <c r="C164" s="344"/>
      <c r="D164" s="350"/>
      <c r="E164" s="381"/>
      <c r="F164" s="398" t="s">
        <v>151</v>
      </c>
      <c r="G164" s="471"/>
      <c r="H164" s="378" t="e">
        <f>#REF!</f>
        <v>#REF!</v>
      </c>
      <c r="I164" s="378" t="e">
        <f>#REF!</f>
        <v>#REF!</v>
      </c>
      <c r="J164" s="378" t="e">
        <f>#REF!</f>
        <v>#REF!</v>
      </c>
      <c r="K164" s="378" t="e">
        <f t="shared" si="23"/>
        <v>#REF!</v>
      </c>
      <c r="M164" s="472"/>
      <c r="N164" s="302"/>
      <c r="O164" s="350"/>
      <c r="P164" s="516"/>
      <c r="Q164" s="516" t="s">
        <v>151</v>
      </c>
      <c r="R164" s="525"/>
      <c r="S164" s="378" t="e">
        <f>#REF!</f>
        <v>#REF!</v>
      </c>
      <c r="T164" s="378" t="e">
        <f>#REF!</f>
        <v>#REF!</v>
      </c>
      <c r="U164" s="378" t="e">
        <f>#REF!</f>
        <v>#REF!</v>
      </c>
      <c r="V164" s="378" t="e">
        <f t="shared" si="24"/>
        <v>#REF!</v>
      </c>
    </row>
    <row r="165" spans="1:22" s="473" customFormat="1" hidden="1">
      <c r="A165" s="471"/>
      <c r="B165" s="472"/>
      <c r="C165" s="344"/>
      <c r="D165" s="350"/>
      <c r="E165" s="381"/>
      <c r="F165" s="398" t="s">
        <v>152</v>
      </c>
      <c r="G165" s="471"/>
      <c r="H165" s="378" t="e">
        <f>#REF!</f>
        <v>#REF!</v>
      </c>
      <c r="I165" s="378" t="e">
        <f>#REF!</f>
        <v>#REF!</v>
      </c>
      <c r="J165" s="378" t="e">
        <f>#REF!</f>
        <v>#REF!</v>
      </c>
      <c r="K165" s="378" t="e">
        <f t="shared" si="23"/>
        <v>#REF!</v>
      </c>
      <c r="M165" s="472"/>
      <c r="N165" s="302"/>
      <c r="O165" s="350"/>
      <c r="P165" s="516"/>
      <c r="Q165" s="516" t="s">
        <v>152</v>
      </c>
      <c r="R165" s="525"/>
      <c r="S165" s="378" t="e">
        <f>#REF!</f>
        <v>#REF!</v>
      </c>
      <c r="T165" s="378" t="e">
        <f>#REF!</f>
        <v>#REF!</v>
      </c>
      <c r="U165" s="378" t="e">
        <f>#REF!</f>
        <v>#REF!</v>
      </c>
      <c r="V165" s="378" t="e">
        <f t="shared" si="24"/>
        <v>#REF!</v>
      </c>
    </row>
    <row r="166" spans="1:22" s="473" customFormat="1" hidden="1">
      <c r="A166" s="471"/>
      <c r="B166" s="472"/>
      <c r="C166" s="344"/>
      <c r="D166" s="350"/>
      <c r="E166" s="381"/>
      <c r="F166" s="398" t="s">
        <v>153</v>
      </c>
      <c r="G166" s="471"/>
      <c r="H166" s="378" t="e">
        <f>#REF!</f>
        <v>#REF!</v>
      </c>
      <c r="I166" s="378" t="e">
        <f>#REF!</f>
        <v>#REF!</v>
      </c>
      <c r="J166" s="378" t="e">
        <f>#REF!</f>
        <v>#REF!</v>
      </c>
      <c r="K166" s="378" t="e">
        <f t="shared" si="23"/>
        <v>#REF!</v>
      </c>
      <c r="M166" s="472"/>
      <c r="N166" s="302"/>
      <c r="O166" s="350"/>
      <c r="P166" s="516"/>
      <c r="Q166" s="516" t="s">
        <v>153</v>
      </c>
      <c r="R166" s="525"/>
      <c r="S166" s="378" t="e">
        <f>#REF!</f>
        <v>#REF!</v>
      </c>
      <c r="T166" s="378" t="e">
        <f>#REF!</f>
        <v>#REF!</v>
      </c>
      <c r="U166" s="378" t="e">
        <f>#REF!</f>
        <v>#REF!</v>
      </c>
      <c r="V166" s="378" t="e">
        <f t="shared" si="24"/>
        <v>#REF!</v>
      </c>
    </row>
    <row r="167" spans="1:22" s="473" customFormat="1" hidden="1">
      <c r="A167" s="471"/>
      <c r="B167" s="472"/>
      <c r="C167" s="344"/>
      <c r="D167" s="350"/>
      <c r="E167" s="381"/>
      <c r="F167" s="398" t="s">
        <v>154</v>
      </c>
      <c r="G167" s="471"/>
      <c r="H167" s="378" t="e">
        <f>#REF!</f>
        <v>#REF!</v>
      </c>
      <c r="I167" s="378" t="e">
        <f>#REF!</f>
        <v>#REF!</v>
      </c>
      <c r="J167" s="378" t="e">
        <f>#REF!</f>
        <v>#REF!</v>
      </c>
      <c r="K167" s="378" t="e">
        <f t="shared" si="23"/>
        <v>#REF!</v>
      </c>
      <c r="M167" s="472"/>
      <c r="N167" s="302"/>
      <c r="O167" s="350"/>
      <c r="P167" s="516"/>
      <c r="Q167" s="516" t="s">
        <v>154</v>
      </c>
      <c r="R167" s="525"/>
      <c r="S167" s="378" t="e">
        <f>#REF!</f>
        <v>#REF!</v>
      </c>
      <c r="T167" s="378" t="e">
        <f>#REF!</f>
        <v>#REF!</v>
      </c>
      <c r="U167" s="378" t="e">
        <f>#REF!</f>
        <v>#REF!</v>
      </c>
      <c r="V167" s="378" t="e">
        <f t="shared" si="24"/>
        <v>#REF!</v>
      </c>
    </row>
    <row r="168" spans="1:22" s="473" customFormat="1" hidden="1">
      <c r="A168" s="471"/>
      <c r="B168" s="472"/>
      <c r="C168" s="344"/>
      <c r="D168" s="350"/>
      <c r="E168" s="381"/>
      <c r="F168" s="398" t="s">
        <v>155</v>
      </c>
      <c r="G168" s="471"/>
      <c r="H168" s="378" t="e">
        <f>#REF!</f>
        <v>#REF!</v>
      </c>
      <c r="I168" s="378" t="e">
        <f>#REF!</f>
        <v>#REF!</v>
      </c>
      <c r="J168" s="378" t="e">
        <f>#REF!</f>
        <v>#REF!</v>
      </c>
      <c r="K168" s="378" t="e">
        <f t="shared" si="23"/>
        <v>#REF!</v>
      </c>
      <c r="M168" s="472"/>
      <c r="N168" s="302"/>
      <c r="O168" s="350"/>
      <c r="P168" s="516"/>
      <c r="Q168" s="516" t="s">
        <v>155</v>
      </c>
      <c r="R168" s="525"/>
      <c r="S168" s="378" t="e">
        <f>#REF!</f>
        <v>#REF!</v>
      </c>
      <c r="T168" s="378" t="e">
        <f>#REF!</f>
        <v>#REF!</v>
      </c>
      <c r="U168" s="378" t="e">
        <f>#REF!</f>
        <v>#REF!</v>
      </c>
      <c r="V168" s="378" t="e">
        <f t="shared" si="24"/>
        <v>#REF!</v>
      </c>
    </row>
    <row r="169" spans="1:22" s="473" customFormat="1" hidden="1">
      <c r="A169" s="471"/>
      <c r="B169" s="472"/>
      <c r="C169" s="344"/>
      <c r="D169" s="350"/>
      <c r="E169" s="381"/>
      <c r="F169" s="398" t="s">
        <v>156</v>
      </c>
      <c r="G169" s="471"/>
      <c r="H169" s="378" t="e">
        <f>#REF!</f>
        <v>#REF!</v>
      </c>
      <c r="I169" s="378" t="e">
        <f>#REF!</f>
        <v>#REF!</v>
      </c>
      <c r="J169" s="378" t="e">
        <f>#REF!</f>
        <v>#REF!</v>
      </c>
      <c r="K169" s="378" t="e">
        <f t="shared" si="23"/>
        <v>#REF!</v>
      </c>
      <c r="M169" s="472"/>
      <c r="N169" s="302"/>
      <c r="O169" s="350"/>
      <c r="P169" s="516"/>
      <c r="Q169" s="516" t="s">
        <v>156</v>
      </c>
      <c r="R169" s="525"/>
      <c r="S169" s="378" t="e">
        <f>#REF!</f>
        <v>#REF!</v>
      </c>
      <c r="T169" s="378" t="e">
        <f>#REF!</f>
        <v>#REF!</v>
      </c>
      <c r="U169" s="378" t="e">
        <f>#REF!</f>
        <v>#REF!</v>
      </c>
      <c r="V169" s="378" t="e">
        <f t="shared" si="24"/>
        <v>#REF!</v>
      </c>
    </row>
    <row r="170" spans="1:22" s="473" customFormat="1" hidden="1">
      <c r="A170" s="471"/>
      <c r="B170" s="472"/>
      <c r="C170" s="344"/>
      <c r="D170" s="350"/>
      <c r="E170" s="381"/>
      <c r="F170" s="398" t="s">
        <v>157</v>
      </c>
      <c r="G170" s="471"/>
      <c r="H170" s="378" t="e">
        <f>#REF!</f>
        <v>#REF!</v>
      </c>
      <c r="I170" s="378" t="e">
        <f>#REF!</f>
        <v>#REF!</v>
      </c>
      <c r="J170" s="378" t="e">
        <f>#REF!</f>
        <v>#REF!</v>
      </c>
      <c r="K170" s="378" t="e">
        <f t="shared" si="23"/>
        <v>#REF!</v>
      </c>
      <c r="M170" s="472"/>
      <c r="N170" s="302"/>
      <c r="O170" s="350"/>
      <c r="P170" s="516"/>
      <c r="Q170" s="516" t="s">
        <v>157</v>
      </c>
      <c r="R170" s="525"/>
      <c r="S170" s="378" t="e">
        <f>#REF!</f>
        <v>#REF!</v>
      </c>
      <c r="T170" s="378" t="e">
        <f>#REF!</f>
        <v>#REF!</v>
      </c>
      <c r="U170" s="378" t="e">
        <f>#REF!</f>
        <v>#REF!</v>
      </c>
      <c r="V170" s="378" t="e">
        <f t="shared" si="24"/>
        <v>#REF!</v>
      </c>
    </row>
    <row r="171" spans="1:22" s="473" customFormat="1" hidden="1">
      <c r="A171" s="471"/>
      <c r="B171" s="472"/>
      <c r="C171" s="344"/>
      <c r="D171" s="350"/>
      <c r="E171" s="381"/>
      <c r="F171" s="398" t="s">
        <v>158</v>
      </c>
      <c r="G171" s="471"/>
      <c r="H171" s="378" t="e">
        <f>#REF!</f>
        <v>#REF!</v>
      </c>
      <c r="I171" s="378" t="e">
        <f>#REF!</f>
        <v>#REF!</v>
      </c>
      <c r="J171" s="378" t="e">
        <f>#REF!</f>
        <v>#REF!</v>
      </c>
      <c r="K171" s="378" t="e">
        <f t="shared" si="23"/>
        <v>#REF!</v>
      </c>
      <c r="M171" s="472"/>
      <c r="N171" s="302"/>
      <c r="O171" s="350"/>
      <c r="P171" s="516"/>
      <c r="Q171" s="516" t="s">
        <v>158</v>
      </c>
      <c r="R171" s="525"/>
      <c r="S171" s="378" t="e">
        <f>#REF!</f>
        <v>#REF!</v>
      </c>
      <c r="T171" s="378" t="e">
        <f>#REF!</f>
        <v>#REF!</v>
      </c>
      <c r="U171" s="378" t="e">
        <f>#REF!</f>
        <v>#REF!</v>
      </c>
      <c r="V171" s="378" t="e">
        <f t="shared" si="24"/>
        <v>#REF!</v>
      </c>
    </row>
    <row r="172" spans="1:22" s="350" customFormat="1" hidden="1">
      <c r="A172" s="344"/>
      <c r="B172" s="331"/>
      <c r="C172" s="344"/>
      <c r="E172" s="473"/>
      <c r="F172" s="398" t="s">
        <v>159</v>
      </c>
      <c r="G172" s="471"/>
      <c r="H172" s="378" t="e">
        <f>#REF!</f>
        <v>#REF!</v>
      </c>
      <c r="I172" s="378" t="e">
        <f>#REF!</f>
        <v>#REF!</v>
      </c>
      <c r="J172" s="378" t="e">
        <f>#REF!</f>
        <v>#REF!</v>
      </c>
      <c r="K172" s="378" t="e">
        <f t="shared" si="23"/>
        <v>#REF!</v>
      </c>
      <c r="M172" s="331"/>
      <c r="N172" s="302"/>
      <c r="P172" s="525"/>
      <c r="Q172" s="516" t="s">
        <v>159</v>
      </c>
      <c r="R172" s="525"/>
      <c r="S172" s="378" t="e">
        <f>#REF!</f>
        <v>#REF!</v>
      </c>
      <c r="T172" s="378" t="e">
        <f>#REF!</f>
        <v>#REF!</v>
      </c>
      <c r="U172" s="378" t="e">
        <f>#REF!</f>
        <v>#REF!</v>
      </c>
      <c r="V172" s="378" t="e">
        <f t="shared" si="24"/>
        <v>#REF!</v>
      </c>
    </row>
    <row r="173" spans="1:22" s="473" customFormat="1" hidden="1">
      <c r="A173" s="471"/>
      <c r="B173" s="472"/>
      <c r="C173" s="344"/>
      <c r="D173" s="350"/>
      <c r="E173" s="381"/>
      <c r="F173" s="398" t="s">
        <v>160</v>
      </c>
      <c r="G173" s="471"/>
      <c r="H173" s="483" t="e">
        <f>SUM(H149:H172)</f>
        <v>#REF!</v>
      </c>
      <c r="I173" s="483" t="e">
        <f>SUM(I149:I172)</f>
        <v>#REF!</v>
      </c>
      <c r="J173" s="484" t="e">
        <f>SUM(J149:J172)</f>
        <v>#REF!</v>
      </c>
      <c r="K173" s="483" t="e">
        <f>SUM(K149:K172)</f>
        <v>#REF!</v>
      </c>
      <c r="M173" s="472"/>
      <c r="N173" s="302"/>
      <c r="O173" s="350"/>
      <c r="P173" s="516"/>
      <c r="Q173" s="516" t="s">
        <v>160</v>
      </c>
      <c r="R173" s="525"/>
      <c r="S173" s="483" t="e">
        <f>SUM(S149:S172)</f>
        <v>#REF!</v>
      </c>
      <c r="T173" s="483" t="e">
        <f>SUM(T149:T172)</f>
        <v>#REF!</v>
      </c>
      <c r="U173" s="484" t="e">
        <f>SUM(U149:U172)</f>
        <v>#REF!</v>
      </c>
      <c r="V173" s="483" t="e">
        <f>SUM(V149:V172)</f>
        <v>#REF!</v>
      </c>
    </row>
    <row r="174" spans="1:22" s="473" customFormat="1" hidden="1">
      <c r="A174" s="471"/>
      <c r="B174" s="472"/>
      <c r="C174" s="344"/>
      <c r="D174" s="350"/>
      <c r="E174" s="381"/>
      <c r="F174" s="471" t="s">
        <v>161</v>
      </c>
      <c r="G174" s="471"/>
      <c r="H174" s="485" t="e">
        <f>+H173-#REF!</f>
        <v>#REF!</v>
      </c>
      <c r="I174" s="484" t="e">
        <f>+I173-#REF!</f>
        <v>#REF!</v>
      </c>
      <c r="J174" s="484" t="e">
        <f>+J173-#REF!</f>
        <v>#REF!</v>
      </c>
      <c r="K174" s="484" t="e">
        <f>+K173-(+#REF!+#REF!+#REF!+#REF!+#REF!)</f>
        <v>#REF!</v>
      </c>
      <c r="M174" s="472"/>
      <c r="N174" s="302"/>
      <c r="O174" s="350"/>
      <c r="P174" s="516"/>
      <c r="Q174" s="525" t="s">
        <v>161</v>
      </c>
      <c r="R174" s="525"/>
      <c r="S174" s="485" t="e">
        <f>+S173-#REF!</f>
        <v>#REF!</v>
      </c>
      <c r="T174" s="484" t="e">
        <f>+T173-#REF!</f>
        <v>#REF!</v>
      </c>
      <c r="U174" s="484" t="e">
        <f>+U173-#REF!</f>
        <v>#REF!</v>
      </c>
      <c r="V174" s="484" t="e">
        <f>+V173-(+#REF!+#REF!+#REF!+#REF!+#REF!)</f>
        <v>#REF!</v>
      </c>
    </row>
    <row r="175" spans="1:22" s="473" customFormat="1" hidden="1">
      <c r="A175" s="471"/>
      <c r="B175" s="472"/>
      <c r="C175" s="344"/>
      <c r="D175" s="350"/>
      <c r="E175" s="381"/>
      <c r="F175" s="398"/>
      <c r="G175" s="471"/>
      <c r="H175" s="378"/>
      <c r="I175" s="471"/>
      <c r="J175" s="486"/>
      <c r="K175" s="378"/>
      <c r="M175" s="472"/>
      <c r="N175" s="302"/>
      <c r="O175" s="350"/>
      <c r="P175" s="516"/>
      <c r="Q175" s="516"/>
      <c r="R175" s="525"/>
      <c r="S175" s="378"/>
      <c r="T175" s="471"/>
      <c r="U175" s="486"/>
      <c r="V175" s="378"/>
    </row>
    <row r="176" spans="1:22" s="350" customFormat="1" hidden="1">
      <c r="A176" s="344"/>
      <c r="B176" s="331"/>
      <c r="C176" s="471"/>
      <c r="D176" s="473"/>
      <c r="E176" s="473"/>
      <c r="F176" s="398"/>
      <c r="G176" s="471"/>
      <c r="H176" s="378"/>
      <c r="I176" s="475"/>
      <c r="J176" s="378"/>
      <c r="K176" s="378"/>
      <c r="M176" s="331"/>
      <c r="N176" s="316"/>
      <c r="O176" s="473"/>
      <c r="P176" s="525"/>
      <c r="Q176" s="516"/>
      <c r="R176" s="525"/>
      <c r="S176" s="378"/>
      <c r="T176" s="475"/>
      <c r="U176" s="378"/>
      <c r="V176" s="378"/>
    </row>
    <row r="177" spans="1:22" s="350" customFormat="1" hidden="1">
      <c r="A177" s="344"/>
      <c r="B177" s="331"/>
      <c r="C177" s="471"/>
      <c r="D177" s="473"/>
      <c r="E177" s="473"/>
      <c r="F177" s="398"/>
      <c r="G177" s="471"/>
      <c r="H177" s="378"/>
      <c r="I177" s="475"/>
      <c r="J177" s="378"/>
      <c r="K177" s="378"/>
      <c r="M177" s="331"/>
      <c r="N177" s="316"/>
      <c r="O177" s="473"/>
      <c r="P177" s="525"/>
      <c r="Q177" s="516"/>
      <c r="R177" s="525"/>
      <c r="S177" s="378"/>
      <c r="T177" s="475"/>
      <c r="U177" s="378"/>
      <c r="V177" s="378"/>
    </row>
    <row r="178" spans="1:22" s="350" customFormat="1" hidden="1">
      <c r="A178" s="344"/>
      <c r="B178" s="331"/>
      <c r="C178" s="344"/>
      <c r="E178" s="473"/>
      <c r="F178" s="487" t="s">
        <v>163</v>
      </c>
      <c r="G178" s="475"/>
      <c r="H178" s="475"/>
      <c r="I178" s="475"/>
      <c r="J178" s="475"/>
      <c r="K178" s="475"/>
      <c r="M178" s="331"/>
      <c r="N178" s="302"/>
      <c r="P178" s="525"/>
      <c r="Q178" s="516" t="s">
        <v>163</v>
      </c>
      <c r="R178" s="516"/>
      <c r="S178" s="475"/>
      <c r="T178" s="475"/>
      <c r="U178" s="475"/>
      <c r="V178" s="475"/>
    </row>
    <row r="179" spans="1:22" s="350" customFormat="1" hidden="1">
      <c r="A179" s="344"/>
      <c r="B179" s="331"/>
      <c r="C179" s="344"/>
      <c r="E179" s="473"/>
      <c r="F179" s="487"/>
      <c r="G179" s="475"/>
      <c r="H179" s="475"/>
      <c r="I179" s="475"/>
      <c r="J179" s="475"/>
      <c r="K179" s="475"/>
      <c r="M179" s="331"/>
      <c r="N179" s="302"/>
      <c r="P179" s="525"/>
      <c r="Q179" s="516"/>
      <c r="R179" s="516"/>
      <c r="S179" s="475"/>
      <c r="T179" s="475"/>
      <c r="U179" s="475"/>
      <c r="V179" s="475"/>
    </row>
    <row r="180" spans="1:22" s="350" customFormat="1" ht="12" hidden="1" customHeight="1">
      <c r="A180" s="344"/>
      <c r="B180" s="331"/>
      <c r="C180" s="344"/>
      <c r="E180" s="473"/>
      <c r="F180" s="487"/>
      <c r="G180" s="475"/>
      <c r="H180" s="1352" t="s">
        <v>8</v>
      </c>
      <c r="I180" s="1352"/>
      <c r="J180" s="477" t="s">
        <v>9</v>
      </c>
      <c r="K180" s="478" t="s">
        <v>136</v>
      </c>
      <c r="M180" s="331"/>
      <c r="N180" s="302"/>
      <c r="P180" s="525"/>
      <c r="Q180" s="516"/>
      <c r="R180" s="516"/>
      <c r="S180" s="1352" t="s">
        <v>8</v>
      </c>
      <c r="T180" s="1352"/>
      <c r="U180" s="477" t="s">
        <v>9</v>
      </c>
      <c r="V180" s="478" t="s">
        <v>136</v>
      </c>
    </row>
    <row r="181" spans="1:22" s="350" customFormat="1" hidden="1">
      <c r="A181" s="344"/>
      <c r="B181" s="331"/>
      <c r="C181" s="344"/>
      <c r="E181" s="473"/>
      <c r="F181" s="487"/>
      <c r="G181" s="475"/>
      <c r="H181" s="479" t="s">
        <v>39</v>
      </c>
      <c r="I181" s="480" t="s">
        <v>133</v>
      </c>
      <c r="J181" s="481" t="s">
        <v>40</v>
      </c>
      <c r="K181" s="479"/>
      <c r="M181" s="331"/>
      <c r="N181" s="302"/>
      <c r="P181" s="525"/>
      <c r="Q181" s="516"/>
      <c r="R181" s="516"/>
      <c r="S181" s="479" t="s">
        <v>39</v>
      </c>
      <c r="T181" s="480" t="s">
        <v>133</v>
      </c>
      <c r="U181" s="481" t="s">
        <v>40</v>
      </c>
      <c r="V181" s="479"/>
    </row>
    <row r="182" spans="1:22" s="350" customFormat="1" hidden="1">
      <c r="A182" s="344"/>
      <c r="B182" s="331"/>
      <c r="C182" s="471"/>
      <c r="E182" s="473"/>
      <c r="F182" s="398" t="s">
        <v>137</v>
      </c>
      <c r="G182" s="471"/>
      <c r="H182" s="378" t="e">
        <f>+H149-#REF!</f>
        <v>#REF!</v>
      </c>
      <c r="I182" s="378" t="e">
        <f>+I149-#REF!</f>
        <v>#REF!</v>
      </c>
      <c r="J182" s="378" t="e">
        <f>+J149-#REF!</f>
        <v>#REF!</v>
      </c>
      <c r="K182" s="378" t="e">
        <f t="shared" ref="K182:K205" si="25">SUM(H182:J182)</f>
        <v>#REF!</v>
      </c>
      <c r="M182" s="331"/>
      <c r="N182" s="316"/>
      <c r="P182" s="525"/>
      <c r="Q182" s="516" t="s">
        <v>137</v>
      </c>
      <c r="R182" s="525"/>
      <c r="S182" s="378" t="e">
        <f>+S149-#REF!</f>
        <v>#REF!</v>
      </c>
      <c r="T182" s="378" t="e">
        <f>+T149-#REF!</f>
        <v>#REF!</v>
      </c>
      <c r="U182" s="378" t="e">
        <f>+U149-#REF!</f>
        <v>#REF!</v>
      </c>
      <c r="V182" s="378" t="e">
        <f t="shared" ref="V182:V205" si="26">SUM(S182:U182)</f>
        <v>#REF!</v>
      </c>
    </row>
    <row r="183" spans="1:22" s="350" customFormat="1" hidden="1">
      <c r="A183" s="344"/>
      <c r="B183" s="331"/>
      <c r="C183" s="344"/>
      <c r="E183" s="473"/>
      <c r="F183" s="398" t="s">
        <v>138</v>
      </c>
      <c r="G183" s="471"/>
      <c r="H183" s="378" t="e">
        <f>+H150-#REF!</f>
        <v>#REF!</v>
      </c>
      <c r="I183" s="378" t="e">
        <f>+I150-#REF!</f>
        <v>#REF!</v>
      </c>
      <c r="J183" s="378" t="e">
        <f>+J150-#REF!</f>
        <v>#REF!</v>
      </c>
      <c r="K183" s="378" t="e">
        <f t="shared" si="25"/>
        <v>#REF!</v>
      </c>
      <c r="M183" s="331"/>
      <c r="N183" s="302"/>
      <c r="P183" s="525"/>
      <c r="Q183" s="516" t="s">
        <v>138</v>
      </c>
      <c r="R183" s="525"/>
      <c r="S183" s="378" t="e">
        <f>+S150-#REF!</f>
        <v>#REF!</v>
      </c>
      <c r="T183" s="378" t="e">
        <f>+T150-#REF!</f>
        <v>#REF!</v>
      </c>
      <c r="U183" s="378" t="e">
        <f>+U150-#REF!</f>
        <v>#REF!</v>
      </c>
      <c r="V183" s="378" t="e">
        <f t="shared" si="26"/>
        <v>#REF!</v>
      </c>
    </row>
    <row r="184" spans="1:22" s="350" customFormat="1" hidden="1">
      <c r="A184" s="344"/>
      <c r="B184" s="331"/>
      <c r="C184" s="344"/>
      <c r="E184" s="473"/>
      <c r="F184" s="398" t="s">
        <v>139</v>
      </c>
      <c r="G184" s="471"/>
      <c r="H184" s="378" t="e">
        <f>+H151-#REF!</f>
        <v>#REF!</v>
      </c>
      <c r="I184" s="378" t="e">
        <f>+I151-#REF!</f>
        <v>#REF!</v>
      </c>
      <c r="J184" s="378" t="e">
        <f>+J151-#REF!</f>
        <v>#REF!</v>
      </c>
      <c r="K184" s="378" t="e">
        <f t="shared" si="25"/>
        <v>#REF!</v>
      </c>
      <c r="M184" s="331"/>
      <c r="N184" s="302"/>
      <c r="P184" s="525"/>
      <c r="Q184" s="516" t="s">
        <v>139</v>
      </c>
      <c r="R184" s="525"/>
      <c r="S184" s="378" t="e">
        <f>+S151-#REF!</f>
        <v>#REF!</v>
      </c>
      <c r="T184" s="378" t="e">
        <f>+T151-#REF!</f>
        <v>#REF!</v>
      </c>
      <c r="U184" s="378" t="e">
        <f>+U151-#REF!</f>
        <v>#REF!</v>
      </c>
      <c r="V184" s="378" t="e">
        <f t="shared" si="26"/>
        <v>#REF!</v>
      </c>
    </row>
    <row r="185" spans="1:22" s="350" customFormat="1" hidden="1">
      <c r="A185" s="344"/>
      <c r="B185" s="331"/>
      <c r="C185" s="344"/>
      <c r="E185" s="473"/>
      <c r="F185" s="398" t="s">
        <v>140</v>
      </c>
      <c r="G185" s="471"/>
      <c r="H185" s="378" t="e">
        <f>+H152-#REF!</f>
        <v>#REF!</v>
      </c>
      <c r="I185" s="378" t="e">
        <f>+I152-#REF!</f>
        <v>#REF!</v>
      </c>
      <c r="J185" s="378" t="e">
        <f>+J152-#REF!</f>
        <v>#REF!</v>
      </c>
      <c r="K185" s="378" t="e">
        <f t="shared" si="25"/>
        <v>#REF!</v>
      </c>
      <c r="M185" s="331"/>
      <c r="N185" s="302"/>
      <c r="P185" s="525"/>
      <c r="Q185" s="516" t="s">
        <v>140</v>
      </c>
      <c r="R185" s="525"/>
      <c r="S185" s="378" t="e">
        <f>+S152-#REF!</f>
        <v>#REF!</v>
      </c>
      <c r="T185" s="378" t="e">
        <f>+T152-#REF!</f>
        <v>#REF!</v>
      </c>
      <c r="U185" s="378" t="e">
        <f>+U152-#REF!</f>
        <v>#REF!</v>
      </c>
      <c r="V185" s="378" t="e">
        <f t="shared" si="26"/>
        <v>#REF!</v>
      </c>
    </row>
    <row r="186" spans="1:22" s="350" customFormat="1" hidden="1">
      <c r="A186" s="344"/>
      <c r="B186" s="331"/>
      <c r="C186" s="344"/>
      <c r="E186" s="473"/>
      <c r="F186" s="398" t="s">
        <v>141</v>
      </c>
      <c r="G186" s="471"/>
      <c r="H186" s="378" t="e">
        <f>+H153-#REF!</f>
        <v>#REF!</v>
      </c>
      <c r="I186" s="378" t="e">
        <f>+I153-#REF!</f>
        <v>#REF!</v>
      </c>
      <c r="J186" s="378" t="e">
        <f>+J153-#REF!</f>
        <v>#REF!</v>
      </c>
      <c r="K186" s="378" t="e">
        <f t="shared" si="25"/>
        <v>#REF!</v>
      </c>
      <c r="M186" s="331"/>
      <c r="N186" s="302"/>
      <c r="P186" s="525"/>
      <c r="Q186" s="516" t="s">
        <v>141</v>
      </c>
      <c r="R186" s="525"/>
      <c r="S186" s="378" t="e">
        <f>+S153-#REF!</f>
        <v>#REF!</v>
      </c>
      <c r="T186" s="378" t="e">
        <f>+T153-#REF!</f>
        <v>#REF!</v>
      </c>
      <c r="U186" s="378" t="e">
        <f>+U153-#REF!</f>
        <v>#REF!</v>
      </c>
      <c r="V186" s="378" t="e">
        <f t="shared" si="26"/>
        <v>#REF!</v>
      </c>
    </row>
    <row r="187" spans="1:22" s="350" customFormat="1" hidden="1">
      <c r="A187" s="344"/>
      <c r="B187" s="331"/>
      <c r="C187" s="471"/>
      <c r="E187" s="473"/>
      <c r="F187" s="398" t="s">
        <v>142</v>
      </c>
      <c r="G187" s="471"/>
      <c r="H187" s="378" t="e">
        <f>+H154-#REF!</f>
        <v>#REF!</v>
      </c>
      <c r="I187" s="378" t="e">
        <f>+I154-#REF!</f>
        <v>#REF!</v>
      </c>
      <c r="J187" s="378" t="e">
        <f>+J154-#REF!</f>
        <v>#REF!</v>
      </c>
      <c r="K187" s="378" t="e">
        <f t="shared" si="25"/>
        <v>#REF!</v>
      </c>
      <c r="M187" s="331"/>
      <c r="N187" s="316"/>
      <c r="P187" s="525"/>
      <c r="Q187" s="516" t="s">
        <v>142</v>
      </c>
      <c r="R187" s="525"/>
      <c r="S187" s="378" t="e">
        <f>+S154-#REF!</f>
        <v>#REF!</v>
      </c>
      <c r="T187" s="378" t="e">
        <f>+T154-#REF!</f>
        <v>#REF!</v>
      </c>
      <c r="U187" s="378" t="e">
        <f>+U154-#REF!</f>
        <v>#REF!</v>
      </c>
      <c r="V187" s="378" t="e">
        <f t="shared" si="26"/>
        <v>#REF!</v>
      </c>
    </row>
    <row r="188" spans="1:22" s="350" customFormat="1" hidden="1">
      <c r="A188" s="344"/>
      <c r="B188" s="331"/>
      <c r="C188" s="344"/>
      <c r="E188" s="473"/>
      <c r="F188" s="398" t="s">
        <v>143</v>
      </c>
      <c r="G188" s="471"/>
      <c r="H188" s="378" t="e">
        <f>+H155-#REF!</f>
        <v>#REF!</v>
      </c>
      <c r="I188" s="378" t="e">
        <f>+I155-#REF!</f>
        <v>#REF!</v>
      </c>
      <c r="J188" s="378" t="e">
        <f>+J155-#REF!</f>
        <v>#REF!</v>
      </c>
      <c r="K188" s="378" t="e">
        <f t="shared" si="25"/>
        <v>#REF!</v>
      </c>
      <c r="M188" s="331"/>
      <c r="N188" s="302"/>
      <c r="P188" s="525"/>
      <c r="Q188" s="516" t="s">
        <v>143</v>
      </c>
      <c r="R188" s="525"/>
      <c r="S188" s="378" t="e">
        <f>+S155-#REF!</f>
        <v>#REF!</v>
      </c>
      <c r="T188" s="378" t="e">
        <f>+T155-#REF!</f>
        <v>#REF!</v>
      </c>
      <c r="U188" s="378" t="e">
        <f>+U155-#REF!</f>
        <v>#REF!</v>
      </c>
      <c r="V188" s="378" t="e">
        <f t="shared" si="26"/>
        <v>#REF!</v>
      </c>
    </row>
    <row r="189" spans="1:22" s="350" customFormat="1" hidden="1">
      <c r="A189" s="344"/>
      <c r="B189" s="331"/>
      <c r="C189" s="344"/>
      <c r="E189" s="473"/>
      <c r="F189" s="398" t="s">
        <v>144</v>
      </c>
      <c r="G189" s="471"/>
      <c r="H189" s="378" t="e">
        <f>+H156-#REF!</f>
        <v>#REF!</v>
      </c>
      <c r="I189" s="378" t="e">
        <f>+I156-#REF!</f>
        <v>#REF!</v>
      </c>
      <c r="J189" s="378" t="e">
        <f>+J156-#REF!</f>
        <v>#REF!</v>
      </c>
      <c r="K189" s="378" t="e">
        <f t="shared" si="25"/>
        <v>#REF!</v>
      </c>
      <c r="M189" s="331"/>
      <c r="N189" s="302"/>
      <c r="P189" s="525"/>
      <c r="Q189" s="516" t="s">
        <v>144</v>
      </c>
      <c r="R189" s="525"/>
      <c r="S189" s="378" t="e">
        <f>+S156-#REF!</f>
        <v>#REF!</v>
      </c>
      <c r="T189" s="378" t="e">
        <f>+T156-#REF!</f>
        <v>#REF!</v>
      </c>
      <c r="U189" s="378" t="e">
        <f>+U156-#REF!</f>
        <v>#REF!</v>
      </c>
      <c r="V189" s="378" t="e">
        <f t="shared" si="26"/>
        <v>#REF!</v>
      </c>
    </row>
    <row r="190" spans="1:22" s="350" customFormat="1" hidden="1">
      <c r="A190" s="344"/>
      <c r="B190" s="331"/>
      <c r="C190" s="344"/>
      <c r="E190" s="473"/>
      <c r="F190" s="398" t="s">
        <v>145</v>
      </c>
      <c r="G190" s="471"/>
      <c r="H190" s="378" t="e">
        <f>+H157-#REF!</f>
        <v>#REF!</v>
      </c>
      <c r="I190" s="378" t="e">
        <f>+I157-#REF!</f>
        <v>#REF!</v>
      </c>
      <c r="J190" s="378" t="e">
        <f>+J157-#REF!</f>
        <v>#REF!</v>
      </c>
      <c r="K190" s="378" t="e">
        <f t="shared" si="25"/>
        <v>#REF!</v>
      </c>
      <c r="M190" s="331"/>
      <c r="N190" s="302"/>
      <c r="P190" s="525"/>
      <c r="Q190" s="516" t="s">
        <v>145</v>
      </c>
      <c r="R190" s="525"/>
      <c r="S190" s="378" t="e">
        <f>+S157-#REF!</f>
        <v>#REF!</v>
      </c>
      <c r="T190" s="378" t="e">
        <f>+T157-#REF!</f>
        <v>#REF!</v>
      </c>
      <c r="U190" s="378" t="e">
        <f>+U157-#REF!</f>
        <v>#REF!</v>
      </c>
      <c r="V190" s="378" t="e">
        <f t="shared" si="26"/>
        <v>#REF!</v>
      </c>
    </row>
    <row r="191" spans="1:22" s="350" customFormat="1" hidden="1">
      <c r="A191" s="344"/>
      <c r="B191" s="331"/>
      <c r="C191" s="344"/>
      <c r="E191" s="473"/>
      <c r="F191" s="398" t="s">
        <v>146</v>
      </c>
      <c r="G191" s="471"/>
      <c r="H191" s="378" t="e">
        <f>+H158-#REF!</f>
        <v>#REF!</v>
      </c>
      <c r="I191" s="378" t="e">
        <f>+I158-#REF!</f>
        <v>#REF!</v>
      </c>
      <c r="J191" s="378" t="e">
        <f>+J158-#REF!</f>
        <v>#REF!</v>
      </c>
      <c r="K191" s="378" t="e">
        <f t="shared" si="25"/>
        <v>#REF!</v>
      </c>
      <c r="M191" s="331"/>
      <c r="N191" s="302"/>
      <c r="P191" s="525"/>
      <c r="Q191" s="516" t="s">
        <v>146</v>
      </c>
      <c r="R191" s="525"/>
      <c r="S191" s="378" t="e">
        <f>+S158-#REF!</f>
        <v>#REF!</v>
      </c>
      <c r="T191" s="378" t="e">
        <f>+T158-#REF!</f>
        <v>#REF!</v>
      </c>
      <c r="U191" s="378" t="e">
        <f>+U158-#REF!</f>
        <v>#REF!</v>
      </c>
      <c r="V191" s="378" t="e">
        <f t="shared" si="26"/>
        <v>#REF!</v>
      </c>
    </row>
    <row r="192" spans="1:22" s="350" customFormat="1" hidden="1">
      <c r="A192" s="344"/>
      <c r="B192" s="331"/>
      <c r="C192" s="344"/>
      <c r="E192" s="473"/>
      <c r="F192" s="398" t="s">
        <v>147</v>
      </c>
      <c r="G192" s="471"/>
      <c r="H192" s="378" t="e">
        <f>+H159-#REF!</f>
        <v>#REF!</v>
      </c>
      <c r="I192" s="378" t="e">
        <f>+I159-#REF!</f>
        <v>#REF!</v>
      </c>
      <c r="J192" s="378" t="e">
        <f>+J159-#REF!</f>
        <v>#REF!</v>
      </c>
      <c r="K192" s="378" t="e">
        <f t="shared" si="25"/>
        <v>#REF!</v>
      </c>
      <c r="M192" s="331"/>
      <c r="N192" s="302"/>
      <c r="P192" s="525"/>
      <c r="Q192" s="516" t="s">
        <v>147</v>
      </c>
      <c r="R192" s="525"/>
      <c r="S192" s="378" t="e">
        <f>+S159-#REF!</f>
        <v>#REF!</v>
      </c>
      <c r="T192" s="378" t="e">
        <f>+T159-#REF!</f>
        <v>#REF!</v>
      </c>
      <c r="U192" s="378" t="e">
        <f>+U159-#REF!</f>
        <v>#REF!</v>
      </c>
      <c r="V192" s="378" t="e">
        <f t="shared" si="26"/>
        <v>#REF!</v>
      </c>
    </row>
    <row r="193" spans="1:22" s="350" customFormat="1" hidden="1">
      <c r="A193" s="344"/>
      <c r="B193" s="331"/>
      <c r="C193" s="344"/>
      <c r="E193" s="473"/>
      <c r="F193" s="398" t="s">
        <v>112</v>
      </c>
      <c r="G193" s="471"/>
      <c r="H193" s="378" t="e">
        <f>+H160-#REF!</f>
        <v>#REF!</v>
      </c>
      <c r="I193" s="378" t="e">
        <f>+I160-#REF!</f>
        <v>#REF!</v>
      </c>
      <c r="J193" s="378" t="e">
        <f>+J160-#REF!</f>
        <v>#REF!</v>
      </c>
      <c r="K193" s="378" t="e">
        <f t="shared" si="25"/>
        <v>#REF!</v>
      </c>
      <c r="M193" s="331"/>
      <c r="N193" s="302"/>
      <c r="P193" s="525"/>
      <c r="Q193" s="516" t="s">
        <v>112</v>
      </c>
      <c r="R193" s="525"/>
      <c r="S193" s="378" t="e">
        <f>+S160-#REF!</f>
        <v>#REF!</v>
      </c>
      <c r="T193" s="378" t="e">
        <f>+T160-#REF!</f>
        <v>#REF!</v>
      </c>
      <c r="U193" s="378" t="e">
        <f>+U160-#REF!</f>
        <v>#REF!</v>
      </c>
      <c r="V193" s="378" t="e">
        <f t="shared" si="26"/>
        <v>#REF!</v>
      </c>
    </row>
    <row r="194" spans="1:22" s="350" customFormat="1" hidden="1">
      <c r="A194" s="344"/>
      <c r="B194" s="331"/>
      <c r="C194" s="344"/>
      <c r="E194" s="473"/>
      <c r="F194" s="398" t="s">
        <v>148</v>
      </c>
      <c r="G194" s="471"/>
      <c r="H194" s="378" t="e">
        <f>+H161-#REF!</f>
        <v>#REF!</v>
      </c>
      <c r="I194" s="378" t="e">
        <f>+I161-#REF!</f>
        <v>#REF!</v>
      </c>
      <c r="J194" s="378" t="e">
        <f>+J161-#REF!</f>
        <v>#REF!</v>
      </c>
      <c r="K194" s="378" t="e">
        <f t="shared" si="25"/>
        <v>#REF!</v>
      </c>
      <c r="M194" s="331"/>
      <c r="N194" s="302"/>
      <c r="P194" s="525"/>
      <c r="Q194" s="516" t="s">
        <v>148</v>
      </c>
      <c r="R194" s="525"/>
      <c r="S194" s="378" t="e">
        <f>+S161-#REF!</f>
        <v>#REF!</v>
      </c>
      <c r="T194" s="378" t="e">
        <f>+T161-#REF!</f>
        <v>#REF!</v>
      </c>
      <c r="U194" s="378" t="e">
        <f>+U161-#REF!</f>
        <v>#REF!</v>
      </c>
      <c r="V194" s="378" t="e">
        <f t="shared" si="26"/>
        <v>#REF!</v>
      </c>
    </row>
    <row r="195" spans="1:22" s="350" customFormat="1" hidden="1">
      <c r="A195" s="344"/>
      <c r="B195" s="331"/>
      <c r="C195" s="344"/>
      <c r="E195" s="473"/>
      <c r="F195" s="398" t="s">
        <v>149</v>
      </c>
      <c r="G195" s="471"/>
      <c r="H195" s="378" t="e">
        <f>+H162-#REF!</f>
        <v>#REF!</v>
      </c>
      <c r="I195" s="378" t="e">
        <f>+I162-#REF!</f>
        <v>#REF!</v>
      </c>
      <c r="J195" s="378" t="e">
        <f>+J162-#REF!</f>
        <v>#REF!</v>
      </c>
      <c r="K195" s="378" t="e">
        <f t="shared" si="25"/>
        <v>#REF!</v>
      </c>
      <c r="M195" s="331"/>
      <c r="N195" s="302"/>
      <c r="P195" s="525"/>
      <c r="Q195" s="516" t="s">
        <v>149</v>
      </c>
      <c r="R195" s="525"/>
      <c r="S195" s="378" t="e">
        <f>+S162-#REF!</f>
        <v>#REF!</v>
      </c>
      <c r="T195" s="378" t="e">
        <f>+T162-#REF!</f>
        <v>#REF!</v>
      </c>
      <c r="U195" s="378" t="e">
        <f>+U162-#REF!</f>
        <v>#REF!</v>
      </c>
      <c r="V195" s="378" t="e">
        <f t="shared" si="26"/>
        <v>#REF!</v>
      </c>
    </row>
    <row r="196" spans="1:22" s="350" customFormat="1" hidden="1">
      <c r="A196" s="344"/>
      <c r="B196" s="331"/>
      <c r="C196" s="344"/>
      <c r="E196" s="473"/>
      <c r="F196" s="398" t="s">
        <v>150</v>
      </c>
      <c r="G196" s="471"/>
      <c r="H196" s="378" t="e">
        <f>+H163-#REF!</f>
        <v>#REF!</v>
      </c>
      <c r="I196" s="378" t="e">
        <f>+I163-#REF!</f>
        <v>#REF!</v>
      </c>
      <c r="J196" s="378" t="e">
        <f>+J163-#REF!</f>
        <v>#REF!</v>
      </c>
      <c r="K196" s="378" t="e">
        <f t="shared" si="25"/>
        <v>#REF!</v>
      </c>
      <c r="M196" s="331"/>
      <c r="N196" s="302"/>
      <c r="P196" s="525"/>
      <c r="Q196" s="516" t="s">
        <v>150</v>
      </c>
      <c r="R196" s="525"/>
      <c r="S196" s="378" t="e">
        <f>+S163-#REF!</f>
        <v>#REF!</v>
      </c>
      <c r="T196" s="378" t="e">
        <f>+T163-#REF!</f>
        <v>#REF!</v>
      </c>
      <c r="U196" s="378" t="e">
        <f>+U163-#REF!</f>
        <v>#REF!</v>
      </c>
      <c r="V196" s="378" t="e">
        <f t="shared" si="26"/>
        <v>#REF!</v>
      </c>
    </row>
    <row r="197" spans="1:22" s="350" customFormat="1" hidden="1">
      <c r="A197" s="344"/>
      <c r="B197" s="331"/>
      <c r="C197" s="344"/>
      <c r="E197" s="473"/>
      <c r="F197" s="398" t="s">
        <v>151</v>
      </c>
      <c r="G197" s="471"/>
      <c r="H197" s="378" t="e">
        <f>+H164-#REF!</f>
        <v>#REF!</v>
      </c>
      <c r="I197" s="378" t="e">
        <f>+I164-#REF!</f>
        <v>#REF!</v>
      </c>
      <c r="J197" s="378" t="e">
        <f>+J164-#REF!</f>
        <v>#REF!</v>
      </c>
      <c r="K197" s="378" t="e">
        <f t="shared" si="25"/>
        <v>#REF!</v>
      </c>
      <c r="M197" s="331"/>
      <c r="N197" s="302"/>
      <c r="P197" s="525"/>
      <c r="Q197" s="516" t="s">
        <v>151</v>
      </c>
      <c r="R197" s="525"/>
      <c r="S197" s="378" t="e">
        <f>+S164-#REF!</f>
        <v>#REF!</v>
      </c>
      <c r="T197" s="378" t="e">
        <f>+T164-#REF!</f>
        <v>#REF!</v>
      </c>
      <c r="U197" s="378" t="e">
        <f>+U164-#REF!</f>
        <v>#REF!</v>
      </c>
      <c r="V197" s="378" t="e">
        <f t="shared" si="26"/>
        <v>#REF!</v>
      </c>
    </row>
    <row r="198" spans="1:22" s="350" customFormat="1" hidden="1">
      <c r="A198" s="344"/>
      <c r="B198" s="331"/>
      <c r="C198" s="344"/>
      <c r="E198" s="473"/>
      <c r="F198" s="398" t="s">
        <v>152</v>
      </c>
      <c r="G198" s="471"/>
      <c r="H198" s="378" t="e">
        <f>+H165-#REF!</f>
        <v>#REF!</v>
      </c>
      <c r="I198" s="378" t="e">
        <f>+I165-#REF!</f>
        <v>#REF!</v>
      </c>
      <c r="J198" s="378" t="e">
        <f>+J165-#REF!</f>
        <v>#REF!</v>
      </c>
      <c r="K198" s="378" t="e">
        <f t="shared" si="25"/>
        <v>#REF!</v>
      </c>
      <c r="M198" s="331"/>
      <c r="N198" s="302"/>
      <c r="P198" s="525"/>
      <c r="Q198" s="516" t="s">
        <v>152</v>
      </c>
      <c r="R198" s="525"/>
      <c r="S198" s="378" t="e">
        <f>+S165-#REF!</f>
        <v>#REF!</v>
      </c>
      <c r="T198" s="378" t="e">
        <f>+T165-#REF!</f>
        <v>#REF!</v>
      </c>
      <c r="U198" s="378" t="e">
        <f>+U165-#REF!</f>
        <v>#REF!</v>
      </c>
      <c r="V198" s="378" t="e">
        <f t="shared" si="26"/>
        <v>#REF!</v>
      </c>
    </row>
    <row r="199" spans="1:22" s="350" customFormat="1" hidden="1">
      <c r="A199" s="344"/>
      <c r="B199" s="331"/>
      <c r="C199" s="344"/>
      <c r="E199" s="473"/>
      <c r="F199" s="398" t="s">
        <v>153</v>
      </c>
      <c r="G199" s="471"/>
      <c r="H199" s="378" t="e">
        <f t="shared" ref="H199:J205" si="27">+H166-H135</f>
        <v>#REF!</v>
      </c>
      <c r="I199" s="378" t="e">
        <f t="shared" si="27"/>
        <v>#REF!</v>
      </c>
      <c r="J199" s="378" t="e">
        <f t="shared" si="27"/>
        <v>#REF!</v>
      </c>
      <c r="K199" s="378" t="e">
        <f t="shared" si="25"/>
        <v>#REF!</v>
      </c>
      <c r="M199" s="331"/>
      <c r="N199" s="302"/>
      <c r="P199" s="525"/>
      <c r="Q199" s="516" t="s">
        <v>153</v>
      </c>
      <c r="R199" s="525"/>
      <c r="S199" s="378" t="e">
        <f t="shared" ref="S199:U205" si="28">+S166-S135</f>
        <v>#REF!</v>
      </c>
      <c r="T199" s="378" t="e">
        <f t="shared" si="28"/>
        <v>#REF!</v>
      </c>
      <c r="U199" s="378" t="e">
        <f t="shared" si="28"/>
        <v>#REF!</v>
      </c>
      <c r="V199" s="378" t="e">
        <f t="shared" si="26"/>
        <v>#REF!</v>
      </c>
    </row>
    <row r="200" spans="1:22" s="350" customFormat="1" hidden="1">
      <c r="A200" s="344"/>
      <c r="B200" s="331"/>
      <c r="C200" s="344"/>
      <c r="E200" s="473"/>
      <c r="F200" s="398" t="s">
        <v>154</v>
      </c>
      <c r="G200" s="471"/>
      <c r="H200" s="378" t="e">
        <f t="shared" si="27"/>
        <v>#REF!</v>
      </c>
      <c r="I200" s="378" t="e">
        <f t="shared" si="27"/>
        <v>#REF!</v>
      </c>
      <c r="J200" s="378" t="e">
        <f t="shared" si="27"/>
        <v>#REF!</v>
      </c>
      <c r="K200" s="378" t="e">
        <f t="shared" si="25"/>
        <v>#REF!</v>
      </c>
      <c r="M200" s="331"/>
      <c r="N200" s="302"/>
      <c r="P200" s="525"/>
      <c r="Q200" s="516" t="s">
        <v>154</v>
      </c>
      <c r="R200" s="525"/>
      <c r="S200" s="378" t="e">
        <f t="shared" si="28"/>
        <v>#REF!</v>
      </c>
      <c r="T200" s="378" t="e">
        <f t="shared" si="28"/>
        <v>#REF!</v>
      </c>
      <c r="U200" s="378" t="e">
        <f t="shared" si="28"/>
        <v>#REF!</v>
      </c>
      <c r="V200" s="378" t="e">
        <f t="shared" si="26"/>
        <v>#REF!</v>
      </c>
    </row>
    <row r="201" spans="1:22" s="350" customFormat="1" hidden="1">
      <c r="A201" s="344"/>
      <c r="B201" s="331"/>
      <c r="C201" s="344"/>
      <c r="E201" s="473"/>
      <c r="F201" s="398" t="s">
        <v>155</v>
      </c>
      <c r="G201" s="471"/>
      <c r="H201" s="378" t="e">
        <f t="shared" si="27"/>
        <v>#REF!</v>
      </c>
      <c r="I201" s="378" t="e">
        <f t="shared" si="27"/>
        <v>#REF!</v>
      </c>
      <c r="J201" s="378" t="e">
        <f t="shared" si="27"/>
        <v>#REF!</v>
      </c>
      <c r="K201" s="378" t="e">
        <f t="shared" si="25"/>
        <v>#REF!</v>
      </c>
      <c r="M201" s="331"/>
      <c r="N201" s="302"/>
      <c r="P201" s="525"/>
      <c r="Q201" s="516" t="s">
        <v>155</v>
      </c>
      <c r="R201" s="525"/>
      <c r="S201" s="378" t="e">
        <f t="shared" si="28"/>
        <v>#REF!</v>
      </c>
      <c r="T201" s="378" t="e">
        <f t="shared" si="28"/>
        <v>#REF!</v>
      </c>
      <c r="U201" s="378" t="e">
        <f t="shared" si="28"/>
        <v>#REF!</v>
      </c>
      <c r="V201" s="378" t="e">
        <f t="shared" si="26"/>
        <v>#REF!</v>
      </c>
    </row>
    <row r="202" spans="1:22" s="350" customFormat="1" hidden="1">
      <c r="A202" s="344"/>
      <c r="B202" s="331"/>
      <c r="C202" s="344"/>
      <c r="E202" s="473"/>
      <c r="F202" s="398" t="s">
        <v>156</v>
      </c>
      <c r="G202" s="471"/>
      <c r="H202" s="378" t="e">
        <f t="shared" si="27"/>
        <v>#REF!</v>
      </c>
      <c r="I202" s="378" t="e">
        <f t="shared" si="27"/>
        <v>#REF!</v>
      </c>
      <c r="J202" s="378" t="e">
        <f t="shared" si="27"/>
        <v>#REF!</v>
      </c>
      <c r="K202" s="378" t="e">
        <f t="shared" si="25"/>
        <v>#REF!</v>
      </c>
      <c r="M202" s="331"/>
      <c r="N202" s="302"/>
      <c r="P202" s="525"/>
      <c r="Q202" s="516" t="s">
        <v>156</v>
      </c>
      <c r="R202" s="525"/>
      <c r="S202" s="378" t="e">
        <f t="shared" si="28"/>
        <v>#REF!</v>
      </c>
      <c r="T202" s="378" t="e">
        <f t="shared" si="28"/>
        <v>#REF!</v>
      </c>
      <c r="U202" s="378" t="e">
        <f t="shared" si="28"/>
        <v>#REF!</v>
      </c>
      <c r="V202" s="378" t="e">
        <f t="shared" si="26"/>
        <v>#REF!</v>
      </c>
    </row>
    <row r="203" spans="1:22" s="350" customFormat="1" hidden="1">
      <c r="A203" s="344"/>
      <c r="B203" s="331"/>
      <c r="C203" s="344"/>
      <c r="E203" s="473"/>
      <c r="F203" s="398" t="s">
        <v>157</v>
      </c>
      <c r="G203" s="471"/>
      <c r="H203" s="378" t="e">
        <f t="shared" si="27"/>
        <v>#REF!</v>
      </c>
      <c r="I203" s="378" t="e">
        <f t="shared" si="27"/>
        <v>#REF!</v>
      </c>
      <c r="J203" s="378" t="e">
        <f t="shared" si="27"/>
        <v>#REF!</v>
      </c>
      <c r="K203" s="378" t="e">
        <f t="shared" si="25"/>
        <v>#REF!</v>
      </c>
      <c r="M203" s="331"/>
      <c r="N203" s="302"/>
      <c r="P203" s="525"/>
      <c r="Q203" s="516" t="s">
        <v>157</v>
      </c>
      <c r="R203" s="525"/>
      <c r="S203" s="378" t="e">
        <f t="shared" si="28"/>
        <v>#REF!</v>
      </c>
      <c r="T203" s="378" t="e">
        <f t="shared" si="28"/>
        <v>#REF!</v>
      </c>
      <c r="U203" s="378" t="e">
        <f t="shared" si="28"/>
        <v>#REF!</v>
      </c>
      <c r="V203" s="378" t="e">
        <f t="shared" si="26"/>
        <v>#REF!</v>
      </c>
    </row>
    <row r="204" spans="1:22" s="350" customFormat="1" hidden="1">
      <c r="A204" s="344"/>
      <c r="B204" s="331"/>
      <c r="C204" s="344"/>
      <c r="E204" s="473"/>
      <c r="F204" s="398" t="s">
        <v>158</v>
      </c>
      <c r="G204" s="471"/>
      <c r="H204" s="378" t="e">
        <f t="shared" si="27"/>
        <v>#REF!</v>
      </c>
      <c r="I204" s="378" t="e">
        <f t="shared" si="27"/>
        <v>#REF!</v>
      </c>
      <c r="J204" s="378" t="e">
        <f t="shared" si="27"/>
        <v>#REF!</v>
      </c>
      <c r="K204" s="378" t="e">
        <f t="shared" si="25"/>
        <v>#REF!</v>
      </c>
      <c r="M204" s="331"/>
      <c r="N204" s="302"/>
      <c r="P204" s="525"/>
      <c r="Q204" s="516" t="s">
        <v>158</v>
      </c>
      <c r="R204" s="525"/>
      <c r="S204" s="378" t="e">
        <f t="shared" si="28"/>
        <v>#REF!</v>
      </c>
      <c r="T204" s="378" t="e">
        <f t="shared" si="28"/>
        <v>#REF!</v>
      </c>
      <c r="U204" s="378" t="e">
        <f t="shared" si="28"/>
        <v>#REF!</v>
      </c>
      <c r="V204" s="378" t="e">
        <f t="shared" si="26"/>
        <v>#REF!</v>
      </c>
    </row>
    <row r="205" spans="1:22" s="350" customFormat="1" hidden="1">
      <c r="A205" s="344"/>
      <c r="B205" s="331"/>
      <c r="C205" s="344"/>
      <c r="E205" s="473"/>
      <c r="F205" s="398" t="s">
        <v>159</v>
      </c>
      <c r="G205" s="471"/>
      <c r="H205" s="378" t="e">
        <f t="shared" si="27"/>
        <v>#REF!</v>
      </c>
      <c r="I205" s="378" t="e">
        <f t="shared" si="27"/>
        <v>#REF!</v>
      </c>
      <c r="J205" s="378" t="e">
        <f t="shared" si="27"/>
        <v>#REF!</v>
      </c>
      <c r="K205" s="378" t="e">
        <f t="shared" si="25"/>
        <v>#REF!</v>
      </c>
      <c r="M205" s="331"/>
      <c r="N205" s="302"/>
      <c r="P205" s="525"/>
      <c r="Q205" s="516" t="s">
        <v>159</v>
      </c>
      <c r="R205" s="525"/>
      <c r="S205" s="378" t="e">
        <f t="shared" si="28"/>
        <v>#REF!</v>
      </c>
      <c r="T205" s="378" t="e">
        <f t="shared" si="28"/>
        <v>#REF!</v>
      </c>
      <c r="U205" s="378" t="e">
        <f t="shared" si="28"/>
        <v>#REF!</v>
      </c>
      <c r="V205" s="378" t="e">
        <f t="shared" si="26"/>
        <v>#REF!</v>
      </c>
    </row>
    <row r="206" spans="1:22" s="350" customFormat="1" hidden="1">
      <c r="A206" s="344"/>
      <c r="B206" s="331"/>
      <c r="C206" s="344"/>
      <c r="E206" s="473"/>
      <c r="F206" s="471" t="s">
        <v>132</v>
      </c>
      <c r="G206" s="471"/>
      <c r="H206" s="488" t="e">
        <f>SUM(H182:H205)</f>
        <v>#REF!</v>
      </c>
      <c r="I206" s="488" t="e">
        <f>SUM(I182:I205)</f>
        <v>#REF!</v>
      </c>
      <c r="J206" s="488" t="e">
        <f>SUM(J182:J205)</f>
        <v>#REF!</v>
      </c>
      <c r="K206" s="488" t="e">
        <f>SUM(K182:K205)</f>
        <v>#REF!</v>
      </c>
      <c r="M206" s="331"/>
      <c r="N206" s="302"/>
      <c r="P206" s="525"/>
      <c r="Q206" s="525" t="s">
        <v>132</v>
      </c>
      <c r="R206" s="525"/>
      <c r="S206" s="488" t="e">
        <f>SUM(S182:S205)</f>
        <v>#REF!</v>
      </c>
      <c r="T206" s="488" t="e">
        <f>SUM(T182:T205)</f>
        <v>#REF!</v>
      </c>
      <c r="U206" s="488" t="e">
        <f>SUM(U182:U205)</f>
        <v>#REF!</v>
      </c>
      <c r="V206" s="488" t="e">
        <f>SUM(V182:V205)</f>
        <v>#REF!</v>
      </c>
    </row>
    <row r="207" spans="1:22" s="350" customFormat="1" hidden="1">
      <c r="A207" s="344"/>
      <c r="B207" s="331"/>
      <c r="C207" s="344"/>
      <c r="E207" s="473"/>
      <c r="F207" s="471"/>
      <c r="G207" s="471"/>
      <c r="H207" s="488"/>
      <c r="I207" s="488"/>
      <c r="J207" s="488"/>
      <c r="K207" s="488"/>
      <c r="M207" s="331"/>
      <c r="N207" s="302"/>
      <c r="P207" s="525"/>
      <c r="Q207" s="525"/>
      <c r="R207" s="525"/>
      <c r="S207" s="488"/>
      <c r="T207" s="488"/>
      <c r="U207" s="488"/>
      <c r="V207" s="488"/>
    </row>
    <row r="208" spans="1:22" s="350" customFormat="1" ht="24" hidden="1" thickBot="1">
      <c r="A208" s="344"/>
      <c r="B208" s="331"/>
      <c r="C208" s="344"/>
      <c r="E208" s="473"/>
      <c r="F208" s="471" t="s">
        <v>164</v>
      </c>
      <c r="G208" s="471"/>
      <c r="H208" s="474" t="e">
        <f>+H206+I206</f>
        <v>#REF!</v>
      </c>
      <c r="I208" s="474"/>
      <c r="J208" s="474" t="e">
        <f>+J206+#REF!</f>
        <v>#REF!</v>
      </c>
      <c r="K208" s="474"/>
      <c r="M208" s="331"/>
      <c r="N208" s="302"/>
      <c r="P208" s="525"/>
      <c r="Q208" s="525" t="s">
        <v>164</v>
      </c>
      <c r="R208" s="525"/>
      <c r="S208" s="474" t="e">
        <f>+S206+T206</f>
        <v>#REF!</v>
      </c>
      <c r="T208" s="474"/>
      <c r="U208" s="474" t="e">
        <f>+U206+#REF!</f>
        <v>#REF!</v>
      </c>
      <c r="V208" s="474"/>
    </row>
    <row r="209" spans="1:22" s="350" customFormat="1" hidden="1">
      <c r="A209" s="344"/>
      <c r="B209" s="331"/>
      <c r="C209" s="344"/>
      <c r="E209" s="473"/>
      <c r="F209" s="471"/>
      <c r="G209" s="471"/>
      <c r="H209" s="378"/>
      <c r="I209" s="378"/>
      <c r="J209" s="378"/>
      <c r="K209" s="378"/>
      <c r="M209" s="331"/>
      <c r="N209" s="302"/>
      <c r="P209" s="525"/>
      <c r="Q209" s="525"/>
      <c r="R209" s="525"/>
      <c r="S209" s="378"/>
      <c r="T209" s="378"/>
      <c r="U209" s="378"/>
      <c r="V209" s="378"/>
    </row>
    <row r="210" spans="1:22" s="350" customFormat="1" hidden="1">
      <c r="A210" s="344"/>
      <c r="B210" s="331"/>
      <c r="C210" s="344"/>
      <c r="E210" s="473"/>
      <c r="F210" s="471"/>
      <c r="G210" s="471"/>
      <c r="H210" s="378"/>
      <c r="I210" s="378"/>
      <c r="J210" s="378"/>
      <c r="K210" s="378"/>
      <c r="M210" s="331"/>
      <c r="N210" s="302"/>
      <c r="P210" s="525"/>
      <c r="Q210" s="525"/>
      <c r="R210" s="525"/>
      <c r="S210" s="378"/>
      <c r="T210" s="378"/>
      <c r="U210" s="378"/>
      <c r="V210" s="378"/>
    </row>
    <row r="211" spans="1:22" s="350" customFormat="1" hidden="1">
      <c r="A211" s="344"/>
      <c r="B211" s="331"/>
      <c r="C211" s="344"/>
      <c r="E211" s="473"/>
      <c r="F211" s="489" t="s">
        <v>165</v>
      </c>
      <c r="G211" s="475"/>
      <c r="H211" s="475"/>
      <c r="I211" s="471"/>
      <c r="J211" s="475"/>
      <c r="K211" s="471"/>
      <c r="M211" s="331"/>
      <c r="N211" s="302"/>
      <c r="P211" s="525"/>
      <c r="Q211" s="525" t="s">
        <v>165</v>
      </c>
      <c r="R211" s="516"/>
      <c r="S211" s="475"/>
      <c r="T211" s="471"/>
      <c r="U211" s="475"/>
      <c r="V211" s="471"/>
    </row>
    <row r="212" spans="1:22" s="350" customFormat="1" hidden="1">
      <c r="A212" s="344"/>
      <c r="B212" s="331"/>
      <c r="C212" s="344"/>
      <c r="E212" s="473"/>
      <c r="F212" s="471"/>
      <c r="G212" s="475"/>
      <c r="H212" s="490"/>
      <c r="I212" s="471"/>
      <c r="J212" s="490"/>
      <c r="K212" s="471"/>
      <c r="M212" s="331"/>
      <c r="N212" s="302"/>
      <c r="P212" s="525"/>
      <c r="Q212" s="525"/>
      <c r="R212" s="516"/>
      <c r="S212" s="490"/>
      <c r="T212" s="471"/>
      <c r="U212" s="490"/>
      <c r="V212" s="471"/>
    </row>
    <row r="213" spans="1:22" s="350" customFormat="1" hidden="1">
      <c r="A213" s="344"/>
      <c r="B213" s="331"/>
      <c r="C213" s="344"/>
      <c r="F213" s="344"/>
      <c r="G213" s="344"/>
      <c r="H213" s="344"/>
      <c r="I213" s="344"/>
      <c r="J213" s="344"/>
      <c r="K213" s="344"/>
      <c r="M213" s="331"/>
      <c r="N213" s="302"/>
      <c r="P213" s="525"/>
      <c r="Q213" s="525"/>
      <c r="R213" s="525"/>
      <c r="S213" s="344"/>
      <c r="T213" s="344"/>
      <c r="U213" s="344"/>
      <c r="V213" s="344"/>
    </row>
    <row r="214" spans="1:22" s="350" customFormat="1" hidden="1">
      <c r="A214" s="344"/>
      <c r="B214" s="331"/>
      <c r="C214" s="344"/>
      <c r="F214" s="487" t="s">
        <v>166</v>
      </c>
      <c r="G214" s="344"/>
      <c r="H214" s="344"/>
      <c r="I214" s="344"/>
      <c r="J214" s="344"/>
      <c r="K214" s="344"/>
      <c r="M214" s="331"/>
      <c r="N214" s="302"/>
      <c r="P214" s="525"/>
      <c r="Q214" s="516" t="s">
        <v>166</v>
      </c>
      <c r="R214" s="525"/>
      <c r="S214" s="344"/>
      <c r="T214" s="344"/>
      <c r="U214" s="344"/>
      <c r="V214" s="344"/>
    </row>
    <row r="215" spans="1:22" s="350" customFormat="1" ht="12" hidden="1" customHeight="1">
      <c r="A215" s="344"/>
      <c r="B215" s="331"/>
      <c r="C215" s="344"/>
      <c r="F215" s="487"/>
      <c r="G215" s="344"/>
      <c r="H215" s="1352" t="s">
        <v>8</v>
      </c>
      <c r="I215" s="1352"/>
      <c r="J215" s="477" t="s">
        <v>9</v>
      </c>
      <c r="K215" s="478" t="s">
        <v>136</v>
      </c>
      <c r="M215" s="331"/>
      <c r="N215" s="302"/>
      <c r="P215" s="525"/>
      <c r="Q215" s="516"/>
      <c r="R215" s="525"/>
      <c r="S215" s="1352" t="s">
        <v>8</v>
      </c>
      <c r="T215" s="1352"/>
      <c r="U215" s="477" t="s">
        <v>9</v>
      </c>
      <c r="V215" s="478" t="s">
        <v>136</v>
      </c>
    </row>
    <row r="216" spans="1:22" s="350" customFormat="1" hidden="1">
      <c r="A216" s="344"/>
      <c r="B216" s="331"/>
      <c r="C216" s="344"/>
      <c r="F216" s="487"/>
      <c r="G216" s="344"/>
      <c r="H216" s="479" t="s">
        <v>39</v>
      </c>
      <c r="I216" s="480" t="s">
        <v>133</v>
      </c>
      <c r="J216" s="481" t="s">
        <v>40</v>
      </c>
      <c r="K216" s="479"/>
      <c r="M216" s="331"/>
      <c r="N216" s="302"/>
      <c r="P216" s="525"/>
      <c r="Q216" s="516"/>
      <c r="R216" s="525"/>
      <c r="S216" s="479" t="s">
        <v>39</v>
      </c>
      <c r="T216" s="480" t="s">
        <v>133</v>
      </c>
      <c r="U216" s="481" t="s">
        <v>40</v>
      </c>
      <c r="V216" s="479"/>
    </row>
    <row r="217" spans="1:22" s="350" customFormat="1" hidden="1">
      <c r="A217" s="344"/>
      <c r="B217" s="331"/>
      <c r="C217" s="344"/>
      <c r="F217" s="398" t="s">
        <v>167</v>
      </c>
      <c r="G217" s="344"/>
      <c r="H217" s="491" t="e">
        <f>#REF!</f>
        <v>#REF!</v>
      </c>
      <c r="I217" s="491" t="e">
        <f>#REF!</f>
        <v>#REF!</v>
      </c>
      <c r="J217" s="491" t="e">
        <f>#REF!</f>
        <v>#REF!</v>
      </c>
      <c r="K217" s="491" t="e">
        <f>SUM(H217:J217)</f>
        <v>#REF!</v>
      </c>
      <c r="M217" s="331"/>
      <c r="N217" s="302"/>
      <c r="P217" s="525"/>
      <c r="Q217" s="516" t="s">
        <v>167</v>
      </c>
      <c r="R217" s="525"/>
      <c r="S217" s="491" t="e">
        <f>#REF!</f>
        <v>#REF!</v>
      </c>
      <c r="T217" s="491" t="e">
        <f>#REF!</f>
        <v>#REF!</v>
      </c>
      <c r="U217" s="491" t="e">
        <f>#REF!</f>
        <v>#REF!</v>
      </c>
      <c r="V217" s="491" t="e">
        <f>SUM(S217:U217)</f>
        <v>#REF!</v>
      </c>
    </row>
    <row r="218" spans="1:22" s="350" customFormat="1" hidden="1">
      <c r="A218" s="344"/>
      <c r="B218" s="331"/>
      <c r="C218" s="344"/>
      <c r="F218" s="398" t="s">
        <v>168</v>
      </c>
      <c r="G218" s="344"/>
      <c r="H218" s="491" t="e">
        <f>#REF!</f>
        <v>#REF!</v>
      </c>
      <c r="I218" s="491" t="e">
        <f>#REF!</f>
        <v>#REF!</v>
      </c>
      <c r="J218" s="491" t="e">
        <f>#REF!</f>
        <v>#REF!</v>
      </c>
      <c r="K218" s="491" t="e">
        <f>SUM(H218:J218)</f>
        <v>#REF!</v>
      </c>
      <c r="M218" s="331"/>
      <c r="N218" s="302"/>
      <c r="P218" s="525"/>
      <c r="Q218" s="516" t="s">
        <v>168</v>
      </c>
      <c r="R218" s="525"/>
      <c r="S218" s="491" t="e">
        <f>#REF!</f>
        <v>#REF!</v>
      </c>
      <c r="T218" s="491" t="e">
        <f>#REF!</f>
        <v>#REF!</v>
      </c>
      <c r="U218" s="491" t="e">
        <f>#REF!</f>
        <v>#REF!</v>
      </c>
      <c r="V218" s="491" t="e">
        <f>SUM(S218:U218)</f>
        <v>#REF!</v>
      </c>
    </row>
    <row r="219" spans="1:22" s="350" customFormat="1" ht="24" hidden="1" thickBot="1">
      <c r="A219" s="344"/>
      <c r="B219" s="331"/>
      <c r="C219" s="344"/>
      <c r="F219" s="398" t="s">
        <v>132</v>
      </c>
      <c r="G219" s="344"/>
      <c r="H219" s="492" t="e">
        <f>+H218-H217</f>
        <v>#REF!</v>
      </c>
      <c r="I219" s="492" t="e">
        <f>+I218-I217</f>
        <v>#REF!</v>
      </c>
      <c r="J219" s="492" t="e">
        <f>+J218-J217</f>
        <v>#REF!</v>
      </c>
      <c r="K219" s="492" t="e">
        <f>+K218-K217</f>
        <v>#REF!</v>
      </c>
      <c r="M219" s="331"/>
      <c r="N219" s="302"/>
      <c r="P219" s="525"/>
      <c r="Q219" s="516" t="s">
        <v>132</v>
      </c>
      <c r="R219" s="525"/>
      <c r="S219" s="492" t="e">
        <f>+S218-S217</f>
        <v>#REF!</v>
      </c>
      <c r="T219" s="492" t="e">
        <f>+T218-T217</f>
        <v>#REF!</v>
      </c>
      <c r="U219" s="492" t="e">
        <f>+U218-U217</f>
        <v>#REF!</v>
      </c>
      <c r="V219" s="492" t="e">
        <f>+V218-V217</f>
        <v>#REF!</v>
      </c>
    </row>
    <row r="220" spans="1:22" s="350" customFormat="1" hidden="1">
      <c r="A220" s="344"/>
      <c r="B220" s="331"/>
      <c r="C220" s="344"/>
      <c r="F220" s="398"/>
      <c r="G220" s="344"/>
      <c r="H220" s="491"/>
      <c r="I220" s="491"/>
      <c r="J220" s="491"/>
      <c r="K220" s="491"/>
      <c r="M220" s="331"/>
      <c r="N220" s="302"/>
      <c r="P220" s="525"/>
      <c r="Q220" s="516"/>
      <c r="R220" s="525"/>
      <c r="S220" s="491"/>
      <c r="T220" s="491"/>
      <c r="U220" s="491"/>
      <c r="V220" s="491"/>
    </row>
    <row r="221" spans="1:22" s="350" customFormat="1" hidden="1">
      <c r="A221" s="344"/>
      <c r="B221" s="331"/>
      <c r="C221" s="344"/>
      <c r="E221" s="473"/>
      <c r="F221" s="398" t="s">
        <v>132</v>
      </c>
      <c r="G221" s="475"/>
      <c r="H221" s="486" t="e">
        <f>+H206-H219</f>
        <v>#REF!</v>
      </c>
      <c r="I221" s="486" t="e">
        <f>+I206-I219</f>
        <v>#REF!</v>
      </c>
      <c r="J221" s="486" t="e">
        <f>+J206-J219</f>
        <v>#REF!</v>
      </c>
      <c r="K221" s="486" t="e">
        <f>+K206-K219</f>
        <v>#REF!</v>
      </c>
      <c r="M221" s="331"/>
      <c r="N221" s="302"/>
      <c r="P221" s="525"/>
      <c r="Q221" s="516" t="s">
        <v>132</v>
      </c>
      <c r="R221" s="516"/>
      <c r="S221" s="486" t="e">
        <f>+S206-S219</f>
        <v>#REF!</v>
      </c>
      <c r="T221" s="486" t="e">
        <f>+T206-T219</f>
        <v>#REF!</v>
      </c>
      <c r="U221" s="486" t="e">
        <f>+U206-U219</f>
        <v>#REF!</v>
      </c>
      <c r="V221" s="486" t="e">
        <f>+V206-V219</f>
        <v>#REF!</v>
      </c>
    </row>
    <row r="222" spans="1:22" s="350" customFormat="1" hidden="1">
      <c r="A222" s="344"/>
      <c r="B222" s="331"/>
      <c r="C222" s="344"/>
      <c r="E222" s="473"/>
      <c r="F222" s="426"/>
      <c r="G222" s="475"/>
      <c r="H222" s="486"/>
      <c r="I222" s="486"/>
      <c r="J222" s="486"/>
      <c r="K222" s="486"/>
      <c r="M222" s="331"/>
      <c r="N222" s="302"/>
      <c r="P222" s="525"/>
      <c r="Q222" s="516"/>
      <c r="R222" s="516"/>
      <c r="S222" s="486"/>
      <c r="T222" s="486"/>
      <c r="U222" s="486"/>
      <c r="V222" s="486"/>
    </row>
    <row r="223" spans="1:22" s="350" customFormat="1" hidden="1">
      <c r="A223" s="344"/>
      <c r="B223" s="331"/>
      <c r="C223" s="344"/>
      <c r="E223" s="473"/>
      <c r="F223" s="426"/>
      <c r="G223" s="475"/>
      <c r="H223" s="486"/>
      <c r="I223" s="486"/>
      <c r="J223" s="486"/>
      <c r="K223" s="486"/>
      <c r="M223" s="331"/>
      <c r="N223" s="302"/>
      <c r="P223" s="525"/>
      <c r="Q223" s="516"/>
      <c r="R223" s="516"/>
      <c r="S223" s="486"/>
      <c r="T223" s="486"/>
      <c r="U223" s="486"/>
      <c r="V223" s="486"/>
    </row>
    <row r="224" spans="1:22" s="350" customFormat="1" hidden="1">
      <c r="A224" s="344"/>
      <c r="B224" s="331"/>
      <c r="C224" s="344"/>
      <c r="E224" s="473"/>
      <c r="F224" s="487"/>
      <c r="G224" s="475"/>
      <c r="H224" s="378"/>
      <c r="I224" s="378"/>
      <c r="J224" s="378"/>
      <c r="K224" s="471"/>
      <c r="M224" s="331"/>
      <c r="N224" s="302"/>
      <c r="P224" s="525"/>
      <c r="Q224" s="516"/>
      <c r="R224" s="516"/>
      <c r="S224" s="378"/>
      <c r="T224" s="378"/>
      <c r="U224" s="378"/>
      <c r="V224" s="471"/>
    </row>
    <row r="225" spans="1:22" s="350" customFormat="1" hidden="1">
      <c r="A225" s="344"/>
      <c r="B225" s="331"/>
      <c r="C225" s="344"/>
      <c r="E225" s="473"/>
      <c r="F225" s="426"/>
      <c r="G225" s="475"/>
      <c r="H225" s="493"/>
      <c r="I225" s="489"/>
      <c r="J225" s="489"/>
      <c r="K225" s="471"/>
      <c r="M225" s="331"/>
      <c r="N225" s="302"/>
      <c r="P225" s="525"/>
      <c r="Q225" s="516"/>
      <c r="R225" s="516"/>
      <c r="S225" s="493"/>
      <c r="T225" s="489"/>
      <c r="U225" s="489"/>
      <c r="V225" s="471"/>
    </row>
    <row r="226" spans="1:22" s="350" customFormat="1" hidden="1">
      <c r="A226" s="344"/>
      <c r="B226" s="331"/>
      <c r="C226" s="344"/>
      <c r="E226" s="473"/>
      <c r="F226" s="398" t="s">
        <v>416</v>
      </c>
      <c r="G226" s="475"/>
      <c r="H226" s="475"/>
      <c r="I226" s="471"/>
      <c r="J226" s="475"/>
      <c r="K226" s="471"/>
      <c r="M226" s="331"/>
      <c r="N226" s="302"/>
      <c r="P226" s="525"/>
      <c r="Q226" s="516" t="s">
        <v>416</v>
      </c>
      <c r="R226" s="516"/>
      <c r="S226" s="475"/>
      <c r="T226" s="471"/>
      <c r="U226" s="475"/>
      <c r="V226" s="471"/>
    </row>
    <row r="227" spans="1:22" s="350" customFormat="1" hidden="1">
      <c r="A227" s="344"/>
      <c r="B227" s="331"/>
      <c r="C227" s="344"/>
      <c r="F227" s="398"/>
      <c r="G227" s="344"/>
      <c r="H227" s="344"/>
      <c r="I227" s="344"/>
      <c r="J227" s="344"/>
      <c r="K227" s="344"/>
      <c r="M227" s="331"/>
      <c r="N227" s="302"/>
      <c r="P227" s="525"/>
      <c r="Q227" s="516"/>
      <c r="R227" s="525"/>
      <c r="S227" s="344"/>
      <c r="T227" s="344"/>
      <c r="U227" s="344"/>
      <c r="V227" s="344"/>
    </row>
    <row r="228" spans="1:22" s="350" customFormat="1" hidden="1">
      <c r="A228" s="344"/>
      <c r="B228" s="331"/>
      <c r="C228" s="344"/>
      <c r="F228" s="398"/>
      <c r="G228" s="344"/>
      <c r="H228" s="494" t="s">
        <v>169</v>
      </c>
      <c r="I228" s="494" t="s">
        <v>170</v>
      </c>
      <c r="J228" s="494" t="s">
        <v>171</v>
      </c>
      <c r="K228" s="344"/>
      <c r="M228" s="331"/>
      <c r="N228" s="302"/>
      <c r="P228" s="525"/>
      <c r="Q228" s="516"/>
      <c r="R228" s="525"/>
      <c r="S228" s="494" t="s">
        <v>169</v>
      </c>
      <c r="T228" s="494" t="s">
        <v>170</v>
      </c>
      <c r="U228" s="494" t="s">
        <v>171</v>
      </c>
      <c r="V228" s="344"/>
    </row>
    <row r="229" spans="1:22" s="350" customFormat="1" hidden="1">
      <c r="A229" s="344"/>
      <c r="B229" s="331"/>
      <c r="C229" s="344"/>
      <c r="E229" s="473"/>
      <c r="F229" s="471" t="s">
        <v>9</v>
      </c>
      <c r="G229" s="471"/>
      <c r="H229" s="491" t="e">
        <f>-J208</f>
        <v>#REF!</v>
      </c>
      <c r="I229" s="491" t="e">
        <f>+H229*0.12</f>
        <v>#REF!</v>
      </c>
      <c r="J229" s="491" t="e">
        <f>+H229+I229</f>
        <v>#REF!</v>
      </c>
      <c r="K229" s="475"/>
      <c r="M229" s="331"/>
      <c r="N229" s="302"/>
      <c r="P229" s="525"/>
      <c r="Q229" s="525" t="s">
        <v>9</v>
      </c>
      <c r="R229" s="525"/>
      <c r="S229" s="491" t="e">
        <f>-U208</f>
        <v>#REF!</v>
      </c>
      <c r="T229" s="491" t="e">
        <f>+S229*0.12</f>
        <v>#REF!</v>
      </c>
      <c r="U229" s="491" t="e">
        <f>+S229+T229</f>
        <v>#REF!</v>
      </c>
      <c r="V229" s="475"/>
    </row>
    <row r="230" spans="1:22" s="350" customFormat="1" hidden="1">
      <c r="A230" s="344"/>
      <c r="B230" s="331"/>
      <c r="C230" s="344"/>
      <c r="E230" s="473"/>
      <c r="F230" s="471" t="s">
        <v>11</v>
      </c>
      <c r="G230" s="471"/>
      <c r="H230" s="491" t="e">
        <f>-#REF!</f>
        <v>#REF!</v>
      </c>
      <c r="I230" s="491" t="e">
        <f>+H230*0.12</f>
        <v>#REF!</v>
      </c>
      <c r="J230" s="491" t="e">
        <f>+H230+I230</f>
        <v>#REF!</v>
      </c>
      <c r="K230" s="475"/>
      <c r="M230" s="331"/>
      <c r="N230" s="302"/>
      <c r="P230" s="525"/>
      <c r="Q230" s="525" t="s">
        <v>11</v>
      </c>
      <c r="R230" s="525"/>
      <c r="S230" s="491" t="e">
        <f>-#REF!</f>
        <v>#REF!</v>
      </c>
      <c r="T230" s="491" t="e">
        <f>+S230*0.12</f>
        <v>#REF!</v>
      </c>
      <c r="U230" s="491" t="e">
        <f>+S230+T230</f>
        <v>#REF!</v>
      </c>
      <c r="V230" s="475"/>
    </row>
    <row r="231" spans="1:22" s="350" customFormat="1" hidden="1">
      <c r="A231" s="344"/>
      <c r="B231" s="331"/>
      <c r="C231" s="344"/>
      <c r="E231" s="473"/>
      <c r="F231" s="473"/>
      <c r="G231" s="473"/>
      <c r="H231" s="491"/>
      <c r="I231" s="491"/>
      <c r="J231" s="491"/>
      <c r="K231" s="424"/>
      <c r="M231" s="331"/>
      <c r="N231" s="302"/>
      <c r="P231" s="525"/>
      <c r="Q231" s="525"/>
      <c r="R231" s="525"/>
      <c r="S231" s="491"/>
      <c r="T231" s="491"/>
      <c r="U231" s="491"/>
      <c r="V231" s="424"/>
    </row>
    <row r="232" spans="1:22" s="350" customFormat="1" hidden="1">
      <c r="A232" s="344"/>
      <c r="B232" s="331"/>
      <c r="C232" s="344"/>
      <c r="E232" s="473"/>
      <c r="F232" s="473"/>
      <c r="G232" s="473"/>
      <c r="H232" s="491"/>
      <c r="I232" s="491"/>
      <c r="J232" s="491"/>
      <c r="K232" s="424"/>
      <c r="M232" s="331"/>
      <c r="N232" s="302"/>
      <c r="P232" s="525"/>
      <c r="Q232" s="525"/>
      <c r="R232" s="525"/>
      <c r="S232" s="491"/>
      <c r="T232" s="491"/>
      <c r="U232" s="491"/>
      <c r="V232" s="424"/>
    </row>
    <row r="233" spans="1:22" ht="26.25">
      <c r="I233" s="1355" t="s">
        <v>595</v>
      </c>
      <c r="J233" s="1355"/>
      <c r="K233" s="1355"/>
      <c r="O233" s="333"/>
      <c r="P233" s="1358" t="s">
        <v>595</v>
      </c>
      <c r="Q233" s="1358"/>
      <c r="R233" s="1358"/>
      <c r="S233" s="322"/>
    </row>
    <row r="234" spans="1:22" ht="26.25">
      <c r="I234" s="495" t="s">
        <v>134</v>
      </c>
      <c r="J234" s="495" t="s">
        <v>593</v>
      </c>
      <c r="K234" s="495" t="s">
        <v>594</v>
      </c>
      <c r="O234" s="333"/>
      <c r="P234" s="532" t="s">
        <v>134</v>
      </c>
      <c r="Q234" s="532" t="s">
        <v>593</v>
      </c>
      <c r="R234" s="532" t="s">
        <v>594</v>
      </c>
      <c r="S234" s="322"/>
    </row>
    <row r="235" spans="1:22">
      <c r="E235" s="322"/>
      <c r="F235" s="322"/>
      <c r="G235" s="322"/>
      <c r="H235" s="322"/>
      <c r="I235" s="322"/>
      <c r="J235" s="322"/>
      <c r="R235" s="526"/>
      <c r="S235" s="322"/>
      <c r="T235" s="322"/>
      <c r="U235" s="322"/>
    </row>
    <row r="236" spans="1:22" ht="39.75" customHeight="1">
      <c r="E236" s="322"/>
      <c r="F236" s="322"/>
      <c r="G236" s="322"/>
      <c r="H236" s="496" t="s">
        <v>590</v>
      </c>
      <c r="I236" s="497">
        <f>+E131</f>
        <v>200691.61999999997</v>
      </c>
      <c r="J236" s="497">
        <f>+F131</f>
        <v>23115</v>
      </c>
      <c r="K236" s="498">
        <f>+G131</f>
        <v>223806.61999999997</v>
      </c>
      <c r="O236" s="496" t="s">
        <v>590</v>
      </c>
      <c r="P236" s="533">
        <f>+E131</f>
        <v>200691.61999999997</v>
      </c>
      <c r="Q236" s="533">
        <f>+F131</f>
        <v>23115</v>
      </c>
      <c r="R236" s="534">
        <f>+G131</f>
        <v>223806.61999999997</v>
      </c>
      <c r="S236" s="322"/>
      <c r="T236" s="322"/>
      <c r="U236" s="322"/>
    </row>
    <row r="237" spans="1:22" ht="48.75" customHeight="1">
      <c r="H237" s="499" t="s">
        <v>591</v>
      </c>
      <c r="I237" s="498">
        <f>+P131</f>
        <v>210106.03999999995</v>
      </c>
      <c r="J237" s="498">
        <v>23115</v>
      </c>
      <c r="K237" s="498">
        <f>+R131</f>
        <v>232952.75999999992</v>
      </c>
      <c r="O237" s="499" t="s">
        <v>591</v>
      </c>
      <c r="P237" s="534">
        <f>+P131</f>
        <v>210106.03999999995</v>
      </c>
      <c r="Q237" s="534">
        <v>23115</v>
      </c>
      <c r="R237" s="534">
        <f>+R131</f>
        <v>232952.75999999992</v>
      </c>
      <c r="S237" s="322"/>
    </row>
    <row r="238" spans="1:22" ht="63.75" customHeight="1" thickBot="1">
      <c r="H238" s="499" t="s">
        <v>592</v>
      </c>
      <c r="I238" s="500">
        <f>+I237-I236</f>
        <v>9414.4199999999837</v>
      </c>
      <c r="J238" s="500">
        <f>+J237-J236</f>
        <v>0</v>
      </c>
      <c r="K238" s="500">
        <f>+K237-K236</f>
        <v>9146.1399999999558</v>
      </c>
      <c r="O238" s="499" t="s">
        <v>592</v>
      </c>
      <c r="P238" s="535">
        <f>+P237-P236</f>
        <v>9414.4199999999837</v>
      </c>
      <c r="Q238" s="535">
        <f>+Q237-Q236</f>
        <v>0</v>
      </c>
      <c r="R238" s="535">
        <f>+R237-R236</f>
        <v>9146.1399999999558</v>
      </c>
      <c r="S238" s="322"/>
    </row>
    <row r="239" spans="1:22" ht="24" thickTop="1">
      <c r="O239" s="333"/>
      <c r="P239" s="526"/>
      <c r="Q239" s="526"/>
      <c r="R239" s="526"/>
      <c r="S239" s="322"/>
    </row>
    <row r="240" spans="1:22">
      <c r="O240" s="333"/>
      <c r="P240" s="526"/>
      <c r="Q240" s="526"/>
      <c r="R240" s="526"/>
      <c r="S240" s="322"/>
    </row>
    <row r="241" spans="8:23">
      <c r="O241" s="333"/>
      <c r="P241" s="526"/>
      <c r="Q241" s="526"/>
      <c r="R241" s="526"/>
      <c r="S241" s="322"/>
    </row>
    <row r="242" spans="8:23" ht="26.25">
      <c r="I242" s="1356" t="s">
        <v>596</v>
      </c>
      <c r="J242" s="1356"/>
      <c r="K242" s="1356"/>
      <c r="O242" s="333"/>
      <c r="P242" s="1359" t="s">
        <v>596</v>
      </c>
      <c r="Q242" s="1359"/>
      <c r="R242" s="1359"/>
      <c r="S242" s="322"/>
    </row>
    <row r="243" spans="8:23" ht="26.25">
      <c r="H243" s="332"/>
      <c r="I243" s="501" t="s">
        <v>8</v>
      </c>
      <c r="J243" s="1357">
        <v>100614.16</v>
      </c>
      <c r="K243" s="1357"/>
      <c r="O243" s="332"/>
      <c r="P243" s="530" t="s">
        <v>8</v>
      </c>
      <c r="Q243" s="1350">
        <v>100614.16</v>
      </c>
      <c r="R243" s="1350"/>
      <c r="S243" s="322"/>
    </row>
    <row r="244" spans="8:23" ht="26.25">
      <c r="H244" s="332"/>
      <c r="I244" s="502" t="s">
        <v>9</v>
      </c>
      <c r="J244" s="1357">
        <v>109491.88</v>
      </c>
      <c r="K244" s="1357"/>
      <c r="O244" s="332"/>
      <c r="P244" s="531" t="s">
        <v>9</v>
      </c>
      <c r="Q244" s="1350">
        <v>109491.88</v>
      </c>
      <c r="R244" s="1350"/>
      <c r="S244" s="322"/>
    </row>
    <row r="245" spans="8:23" ht="26.25">
      <c r="I245" s="502" t="s">
        <v>171</v>
      </c>
      <c r="J245" s="1354">
        <f>+J243+J244</f>
        <v>210106.04</v>
      </c>
      <c r="K245" s="1354"/>
      <c r="O245" s="333"/>
      <c r="P245" s="531" t="s">
        <v>171</v>
      </c>
      <c r="Q245" s="1351">
        <f>+Q243+Q244</f>
        <v>210106.04</v>
      </c>
      <c r="R245" s="1351"/>
      <c r="S245" s="322"/>
    </row>
    <row r="246" spans="8:23">
      <c r="O246" s="333"/>
      <c r="P246" s="526"/>
      <c r="Q246" s="526"/>
      <c r="R246" s="526"/>
      <c r="S246" s="322"/>
    </row>
    <row r="247" spans="8:23">
      <c r="M247" s="527" t="s">
        <v>600</v>
      </c>
      <c r="O247" s="333"/>
      <c r="P247" s="526"/>
      <c r="Q247" s="526"/>
      <c r="R247" s="526"/>
      <c r="S247" s="322"/>
      <c r="T247" s="529" t="s">
        <v>598</v>
      </c>
      <c r="U247" s="529"/>
      <c r="V247" s="529"/>
      <c r="W247" s="528"/>
    </row>
    <row r="248" spans="8:23">
      <c r="O248" s="333"/>
      <c r="P248" s="526"/>
      <c r="Q248" s="526"/>
      <c r="R248" s="526"/>
      <c r="S248" s="322"/>
    </row>
    <row r="250" spans="8:23">
      <c r="T250" s="529" t="s">
        <v>599</v>
      </c>
      <c r="U250" s="529"/>
      <c r="V250" s="529"/>
      <c r="W250" s="528"/>
    </row>
    <row r="251" spans="8:23">
      <c r="M251" s="528" t="s">
        <v>601</v>
      </c>
    </row>
  </sheetData>
  <sheetProtection selectLockedCells="1" selectUnlockedCells="1"/>
  <autoFilter ref="A7:CY134" xr:uid="{00000000-0009-0000-0000-000002000000}"/>
  <mergeCells count="18">
    <mergeCell ref="P242:R242"/>
    <mergeCell ref="Q243:R243"/>
    <mergeCell ref="Q244:R244"/>
    <mergeCell ref="Q245:R245"/>
    <mergeCell ref="H147:I147"/>
    <mergeCell ref="O6:V6"/>
    <mergeCell ref="S147:T147"/>
    <mergeCell ref="D6:K6"/>
    <mergeCell ref="J245:K245"/>
    <mergeCell ref="S180:T180"/>
    <mergeCell ref="S215:T215"/>
    <mergeCell ref="I233:K233"/>
    <mergeCell ref="I242:K242"/>
    <mergeCell ref="J243:K243"/>
    <mergeCell ref="J244:K244"/>
    <mergeCell ref="H180:I180"/>
    <mergeCell ref="H215:I215"/>
    <mergeCell ref="P233:R233"/>
  </mergeCells>
  <conditionalFormatting sqref="A35:A36">
    <cfRule type="duplicateValues" dxfId="259" priority="2231"/>
  </conditionalFormatting>
  <conditionalFormatting sqref="A48">
    <cfRule type="duplicateValues" dxfId="258" priority="2320"/>
  </conditionalFormatting>
  <conditionalFormatting sqref="A114">
    <cfRule type="duplicateValues" dxfId="257" priority="2375"/>
  </conditionalFormatting>
  <conditionalFormatting sqref="A115:A1048576 A1:A34 A37:A47 A49:A113">
    <cfRule type="duplicateValues" dxfId="256" priority="104"/>
  </conditionalFormatting>
  <conditionalFormatting sqref="A48:B48">
    <cfRule type="duplicateValues" dxfId="255" priority="2321"/>
  </conditionalFormatting>
  <conditionalFormatting sqref="A97:B99 A68:B73 A83:B91 B74:B78 B92:B95 A92:A96 B114 A115:B1048576 A104:B113 A1:B34 A49:B52 B53:B57 A53:A67 A74:A82 A37:B47 A100:A103">
    <cfRule type="duplicateValues" dxfId="254" priority="113"/>
  </conditionalFormatting>
  <conditionalFormatting sqref="B35">
    <cfRule type="duplicateValues" dxfId="253" priority="116"/>
  </conditionalFormatting>
  <conditionalFormatting sqref="B36">
    <cfRule type="duplicateValues" dxfId="252" priority="89"/>
    <cfRule type="duplicateValues" dxfId="251" priority="88"/>
    <cfRule type="duplicateValues" dxfId="250" priority="87"/>
    <cfRule type="duplicateValues" dxfId="249" priority="86"/>
  </conditionalFormatting>
  <conditionalFormatting sqref="B48">
    <cfRule type="duplicateValues" dxfId="248" priority="54"/>
    <cfRule type="duplicateValues" dxfId="247" priority="50"/>
    <cfRule type="duplicateValues" dxfId="246" priority="52"/>
    <cfRule type="duplicateValues" dxfId="245" priority="53"/>
  </conditionalFormatting>
  <conditionalFormatting sqref="B58">
    <cfRule type="duplicateValues" dxfId="244" priority="91"/>
    <cfRule type="duplicateValues" dxfId="243" priority="90"/>
    <cfRule type="duplicateValues" dxfId="242" priority="92"/>
  </conditionalFormatting>
  <conditionalFormatting sqref="B59:B60">
    <cfRule type="duplicateValues" dxfId="241" priority="80"/>
    <cfRule type="duplicateValues" dxfId="240" priority="82"/>
    <cfRule type="duplicateValues" dxfId="239" priority="83"/>
    <cfRule type="duplicateValues" dxfId="238" priority="81"/>
  </conditionalFormatting>
  <conditionalFormatting sqref="B61:B66">
    <cfRule type="duplicateValues" dxfId="237" priority="114"/>
  </conditionalFormatting>
  <conditionalFormatting sqref="B67">
    <cfRule type="duplicateValues" dxfId="236" priority="61"/>
    <cfRule type="duplicateValues" dxfId="235" priority="56"/>
    <cfRule type="duplicateValues" dxfId="234" priority="59"/>
    <cfRule type="duplicateValues" dxfId="233" priority="60"/>
    <cfRule type="duplicateValues" dxfId="232" priority="58"/>
    <cfRule type="duplicateValues" dxfId="231" priority="57"/>
  </conditionalFormatting>
  <conditionalFormatting sqref="B79">
    <cfRule type="duplicateValues" dxfId="230" priority="110"/>
    <cfRule type="duplicateValues" dxfId="229" priority="109"/>
  </conditionalFormatting>
  <conditionalFormatting sqref="B80:B82">
    <cfRule type="duplicateValues" dxfId="228" priority="85"/>
    <cfRule type="duplicateValues" dxfId="227" priority="84"/>
  </conditionalFormatting>
  <conditionalFormatting sqref="B96">
    <cfRule type="duplicateValues" dxfId="226" priority="96"/>
    <cfRule type="duplicateValues" dxfId="225" priority="98"/>
    <cfRule type="duplicateValues" dxfId="224" priority="97"/>
  </conditionalFormatting>
  <conditionalFormatting sqref="B97:B99 B68:B78 B83:B95 B1:B35 B104:B1048576 B49:B57 B37:B47">
    <cfRule type="duplicateValues" dxfId="223" priority="106"/>
  </conditionalFormatting>
  <conditionalFormatting sqref="B100:B101">
    <cfRule type="duplicateValues" dxfId="222" priority="93"/>
    <cfRule type="duplicateValues" dxfId="221" priority="94"/>
    <cfRule type="duplicateValues" dxfId="220" priority="95"/>
  </conditionalFormatting>
  <conditionalFormatting sqref="B102">
    <cfRule type="duplicateValues" dxfId="219" priority="112"/>
    <cfRule type="duplicateValues" dxfId="218" priority="111"/>
  </conditionalFormatting>
  <conditionalFormatting sqref="B103">
    <cfRule type="duplicateValues" dxfId="217" priority="115"/>
  </conditionalFormatting>
  <conditionalFormatting sqref="B104:B1048576 B68:B78 B1:B35 B83:B101 B49:B58 B37:B47">
    <cfRule type="duplicateValues" dxfId="216" priority="108"/>
  </conditionalFormatting>
  <conditionalFormatting sqref="B104:B1048576 B68:B101 B49:B60 B1:B47">
    <cfRule type="duplicateValues" dxfId="215" priority="69"/>
  </conditionalFormatting>
  <conditionalFormatting sqref="B104:B1048576">
    <cfRule type="duplicateValues" dxfId="214" priority="68"/>
  </conditionalFormatting>
  <conditionalFormatting sqref="B130:B1048576">
    <cfRule type="duplicateValues" dxfId="213" priority="107"/>
  </conditionalFormatting>
  <conditionalFormatting sqref="M35">
    <cfRule type="duplicateValues" dxfId="212" priority="42"/>
  </conditionalFormatting>
  <conditionalFormatting sqref="M36">
    <cfRule type="duplicateValues" dxfId="211" priority="22"/>
    <cfRule type="duplicateValues" dxfId="210" priority="21"/>
    <cfRule type="duplicateValues" dxfId="209" priority="20"/>
    <cfRule type="duplicateValues" dxfId="208" priority="19"/>
  </conditionalFormatting>
  <conditionalFormatting sqref="M48">
    <cfRule type="duplicateValues" dxfId="207" priority="2"/>
    <cfRule type="duplicateValues" dxfId="206" priority="3"/>
    <cfRule type="duplicateValues" dxfId="205" priority="4"/>
    <cfRule type="duplicateValues" dxfId="204" priority="43"/>
    <cfRule type="duplicateValues" dxfId="203" priority="1"/>
  </conditionalFormatting>
  <conditionalFormatting sqref="M58">
    <cfRule type="duplicateValues" dxfId="202" priority="24"/>
    <cfRule type="duplicateValues" dxfId="201" priority="25"/>
    <cfRule type="duplicateValues" dxfId="200" priority="23"/>
  </conditionalFormatting>
  <conditionalFormatting sqref="M59:M60">
    <cfRule type="duplicateValues" dxfId="199" priority="16"/>
    <cfRule type="duplicateValues" dxfId="198" priority="15"/>
    <cfRule type="duplicateValues" dxfId="197" priority="14"/>
    <cfRule type="duplicateValues" dxfId="196" priority="13"/>
  </conditionalFormatting>
  <conditionalFormatting sqref="M61:M66">
    <cfRule type="duplicateValues" dxfId="195" priority="40"/>
  </conditionalFormatting>
  <conditionalFormatting sqref="M67">
    <cfRule type="duplicateValues" dxfId="194" priority="7"/>
    <cfRule type="duplicateValues" dxfId="193" priority="8"/>
    <cfRule type="duplicateValues" dxfId="192" priority="10"/>
    <cfRule type="duplicateValues" dxfId="191" priority="9"/>
    <cfRule type="duplicateValues" dxfId="190" priority="5"/>
    <cfRule type="duplicateValues" dxfId="189" priority="6"/>
  </conditionalFormatting>
  <conditionalFormatting sqref="M79">
    <cfRule type="duplicateValues" dxfId="188" priority="36"/>
    <cfRule type="duplicateValues" dxfId="187" priority="35"/>
  </conditionalFormatting>
  <conditionalFormatting sqref="M80:M82">
    <cfRule type="duplicateValues" dxfId="186" priority="18"/>
    <cfRule type="duplicateValues" dxfId="185" priority="17"/>
  </conditionalFormatting>
  <conditionalFormatting sqref="M96">
    <cfRule type="duplicateValues" dxfId="184" priority="31"/>
    <cfRule type="duplicateValues" dxfId="183" priority="30"/>
    <cfRule type="duplicateValues" dxfId="182" priority="29"/>
  </conditionalFormatting>
  <conditionalFormatting sqref="M100:M101">
    <cfRule type="duplicateValues" dxfId="181" priority="26"/>
    <cfRule type="duplicateValues" dxfId="180" priority="28"/>
    <cfRule type="duplicateValues" dxfId="179" priority="27"/>
  </conditionalFormatting>
  <conditionalFormatting sqref="M102">
    <cfRule type="duplicateValues" dxfId="178" priority="38"/>
    <cfRule type="duplicateValues" dxfId="177" priority="37"/>
  </conditionalFormatting>
  <conditionalFormatting sqref="M103">
    <cfRule type="duplicateValues" dxfId="176" priority="41"/>
  </conditionalFormatting>
  <conditionalFormatting sqref="M252:M1048576 M97:M99 M68:M78 M83:M95 M1:M35 M104:M250 M49:M57 M37:M47">
    <cfRule type="duplicateValues" dxfId="175" priority="32"/>
  </conditionalFormatting>
  <conditionalFormatting sqref="M252:M1048576 M97:M99 M68:M78 M83:M95 M104:M250 M1:M34 M49:M57 M37:M47">
    <cfRule type="duplicateValues" dxfId="174" priority="39"/>
  </conditionalFormatting>
  <conditionalFormatting sqref="M252:M1048576 M104:M250 M68:M78 M1:M35 M83:M101 M49:M58 M37:M47">
    <cfRule type="duplicateValues" dxfId="173" priority="34"/>
  </conditionalFormatting>
  <conditionalFormatting sqref="M252:M1048576 M104:M250 M68:M101 M49:M60 M1:M47">
    <cfRule type="duplicateValues" dxfId="172" priority="12"/>
  </conditionalFormatting>
  <conditionalFormatting sqref="M252:M1048576 M104:M250">
    <cfRule type="duplicateValues" dxfId="171" priority="11"/>
  </conditionalFormatting>
  <conditionalFormatting sqref="M252:M1048576 M130:M250">
    <cfRule type="duplicateValues" dxfId="170" priority="33"/>
  </conditionalFormatting>
  <pageMargins left="0.7" right="0.7" top="0.75" bottom="0.75" header="0.51180555555555551" footer="0.51180555555555551"/>
  <pageSetup scale="28" firstPageNumber="0" orientation="portrait" horizontalDpi="4294967293" verticalDpi="300" r:id="rId1"/>
  <headerFooter alignWithMargins="0"/>
  <rowBreaks count="2" manualBreakCount="2">
    <brk id="68" max="16383" man="1"/>
    <brk id="252" max="101" man="1"/>
  </rowBreaks>
  <colBreaks count="2" manualBreakCount="2">
    <brk id="11" max="1048575" man="1"/>
    <brk id="24" max="1048575" man="1"/>
  </col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3"/>
  <dimension ref="A2:J39"/>
  <sheetViews>
    <sheetView workbookViewId="0">
      <selection activeCell="E7" sqref="E7"/>
    </sheetView>
  </sheetViews>
  <sheetFormatPr baseColWidth="10" defaultRowHeight="15"/>
  <cols>
    <col min="1" max="1" width="29.7109375" bestFit="1" customWidth="1"/>
    <col min="5" max="5" width="28" bestFit="1" customWidth="1"/>
    <col min="6" max="6" width="22.85546875" bestFit="1" customWidth="1"/>
  </cols>
  <sheetData>
    <row r="2" spans="1:9" ht="45">
      <c r="A2" t="s">
        <v>570</v>
      </c>
      <c r="E2" s="283" t="s">
        <v>35</v>
      </c>
      <c r="F2" s="284" t="s">
        <v>36</v>
      </c>
      <c r="G2" s="285" t="s">
        <v>381</v>
      </c>
      <c r="H2" s="285" t="s">
        <v>582</v>
      </c>
      <c r="I2" s="285" t="s">
        <v>583</v>
      </c>
    </row>
    <row r="3" spans="1:9">
      <c r="A3" t="s">
        <v>571</v>
      </c>
      <c r="B3">
        <v>120</v>
      </c>
      <c r="E3" s="199" t="s">
        <v>514</v>
      </c>
      <c r="F3" s="200" t="s">
        <v>336</v>
      </c>
      <c r="G3" s="201" t="s">
        <v>9</v>
      </c>
      <c r="H3" s="286"/>
      <c r="I3" s="286">
        <v>175</v>
      </c>
    </row>
    <row r="4" spans="1:9">
      <c r="A4" t="s">
        <v>572</v>
      </c>
      <c r="B4">
        <v>240</v>
      </c>
      <c r="E4" s="199" t="s">
        <v>565</v>
      </c>
      <c r="F4" s="200" t="s">
        <v>336</v>
      </c>
      <c r="G4" s="201" t="s">
        <v>9</v>
      </c>
      <c r="H4" s="286"/>
      <c r="I4" s="287">
        <v>87.5</v>
      </c>
    </row>
    <row r="5" spans="1:9">
      <c r="A5" t="s">
        <v>573</v>
      </c>
      <c r="B5">
        <v>240</v>
      </c>
      <c r="E5" s="199" t="s">
        <v>471</v>
      </c>
      <c r="F5" s="200" t="s">
        <v>506</v>
      </c>
      <c r="G5" s="200" t="s">
        <v>9</v>
      </c>
      <c r="H5" s="288">
        <v>150</v>
      </c>
      <c r="I5" s="286"/>
    </row>
    <row r="6" spans="1:9">
      <c r="B6" s="282">
        <f>SUM(B3:B5)</f>
        <v>600</v>
      </c>
      <c r="E6" s="199" t="s">
        <v>472</v>
      </c>
      <c r="F6" s="200" t="s">
        <v>506</v>
      </c>
      <c r="G6" s="200" t="s">
        <v>9</v>
      </c>
      <c r="H6" s="288">
        <v>150</v>
      </c>
      <c r="I6" s="286"/>
    </row>
    <row r="7" spans="1:9">
      <c r="E7" s="199" t="s">
        <v>464</v>
      </c>
      <c r="F7" s="200" t="s">
        <v>508</v>
      </c>
      <c r="G7" s="200" t="s">
        <v>9</v>
      </c>
      <c r="H7" s="288">
        <v>150</v>
      </c>
      <c r="I7" s="286"/>
    </row>
    <row r="8" spans="1:9">
      <c r="E8" s="199" t="s">
        <v>495</v>
      </c>
      <c r="F8" s="200" t="s">
        <v>508</v>
      </c>
      <c r="G8" s="200" t="s">
        <v>9</v>
      </c>
      <c r="H8" s="286"/>
      <c r="I8" s="286">
        <v>175</v>
      </c>
    </row>
    <row r="9" spans="1:9">
      <c r="A9" t="s">
        <v>574</v>
      </c>
      <c r="E9" s="199" t="s">
        <v>430</v>
      </c>
      <c r="F9" s="200" t="s">
        <v>509</v>
      </c>
      <c r="G9" s="200" t="s">
        <v>9</v>
      </c>
      <c r="H9" s="286">
        <v>150</v>
      </c>
      <c r="I9" s="286"/>
    </row>
    <row r="10" spans="1:9">
      <c r="A10" t="s">
        <v>586</v>
      </c>
      <c r="B10">
        <v>60</v>
      </c>
      <c r="E10" s="199" t="s">
        <v>498</v>
      </c>
      <c r="F10" s="200" t="s">
        <v>509</v>
      </c>
      <c r="G10" s="200" t="s">
        <v>9</v>
      </c>
      <c r="H10" s="286"/>
      <c r="I10" s="286">
        <v>175</v>
      </c>
    </row>
    <row r="11" spans="1:9">
      <c r="A11" t="s">
        <v>576</v>
      </c>
      <c r="B11">
        <v>125</v>
      </c>
      <c r="E11" s="199" t="s">
        <v>500</v>
      </c>
      <c r="F11" s="200" t="s">
        <v>509</v>
      </c>
      <c r="G11" s="200" t="s">
        <v>9</v>
      </c>
      <c r="H11" s="286"/>
      <c r="I11" s="286">
        <v>175</v>
      </c>
    </row>
    <row r="12" spans="1:9">
      <c r="A12" t="s">
        <v>587</v>
      </c>
      <c r="B12">
        <v>120</v>
      </c>
      <c r="E12" s="199" t="s">
        <v>499</v>
      </c>
      <c r="F12" s="200" t="s">
        <v>484</v>
      </c>
      <c r="G12" s="200" t="s">
        <v>9</v>
      </c>
      <c r="H12" s="286"/>
      <c r="I12" s="286">
        <v>175</v>
      </c>
    </row>
    <row r="13" spans="1:9">
      <c r="A13" t="s">
        <v>575</v>
      </c>
      <c r="B13">
        <v>55</v>
      </c>
      <c r="E13" s="199" t="s">
        <v>526</v>
      </c>
      <c r="F13" s="200" t="s">
        <v>527</v>
      </c>
      <c r="G13" s="200" t="s">
        <v>9</v>
      </c>
      <c r="H13" s="286"/>
      <c r="I13" s="286">
        <v>175</v>
      </c>
    </row>
    <row r="14" spans="1:9">
      <c r="B14" s="282">
        <f>+B10+B11+B12+B13</f>
        <v>360</v>
      </c>
      <c r="E14" s="199" t="s">
        <v>528</v>
      </c>
      <c r="F14" s="200" t="s">
        <v>89</v>
      </c>
      <c r="G14" s="200" t="s">
        <v>9</v>
      </c>
      <c r="H14" s="286"/>
      <c r="I14" s="286">
        <v>175</v>
      </c>
    </row>
    <row r="15" spans="1:9">
      <c r="E15" s="199" t="s">
        <v>538</v>
      </c>
      <c r="F15" s="200" t="s">
        <v>88</v>
      </c>
      <c r="G15" s="200" t="s">
        <v>9</v>
      </c>
      <c r="H15" s="288"/>
      <c r="I15" s="286">
        <v>175</v>
      </c>
    </row>
    <row r="16" spans="1:9">
      <c r="E16" s="199" t="s">
        <v>542</v>
      </c>
      <c r="F16" s="200" t="s">
        <v>88</v>
      </c>
      <c r="G16" s="200" t="s">
        <v>9</v>
      </c>
      <c r="H16" s="288"/>
      <c r="I16" s="286">
        <v>175</v>
      </c>
    </row>
    <row r="17" spans="1:9">
      <c r="A17" t="s">
        <v>579</v>
      </c>
      <c r="B17" s="282">
        <v>39.29</v>
      </c>
      <c r="E17" s="199" t="s">
        <v>543</v>
      </c>
      <c r="F17" s="200" t="s">
        <v>88</v>
      </c>
      <c r="G17" s="200" t="s">
        <v>9</v>
      </c>
      <c r="H17" s="288"/>
      <c r="I17" s="286">
        <v>175</v>
      </c>
    </row>
    <row r="18" spans="1:9">
      <c r="E18" s="199" t="s">
        <v>539</v>
      </c>
      <c r="F18" s="200" t="s">
        <v>515</v>
      </c>
      <c r="G18" s="200" t="s">
        <v>9</v>
      </c>
      <c r="H18" s="288"/>
      <c r="I18" s="286">
        <v>175</v>
      </c>
    </row>
    <row r="19" spans="1:9">
      <c r="E19" s="199" t="s">
        <v>465</v>
      </c>
      <c r="F19" s="200" t="s">
        <v>363</v>
      </c>
      <c r="G19" s="201" t="s">
        <v>9</v>
      </c>
      <c r="H19" s="286">
        <v>150</v>
      </c>
      <c r="I19" s="286"/>
    </row>
    <row r="20" spans="1:9">
      <c r="E20" s="199" t="s">
        <v>101</v>
      </c>
      <c r="F20" s="200" t="s">
        <v>102</v>
      </c>
      <c r="G20" s="200" t="s">
        <v>9</v>
      </c>
      <c r="H20" s="286">
        <v>150</v>
      </c>
      <c r="I20" s="286"/>
    </row>
    <row r="21" spans="1:9">
      <c r="A21" t="s">
        <v>577</v>
      </c>
      <c r="B21" s="282">
        <v>500</v>
      </c>
      <c r="E21" s="199" t="s">
        <v>469</v>
      </c>
      <c r="F21" s="200" t="s">
        <v>411</v>
      </c>
      <c r="G21" s="200" t="s">
        <v>9</v>
      </c>
      <c r="H21" s="286">
        <v>150</v>
      </c>
      <c r="I21" s="286"/>
    </row>
    <row r="22" spans="1:9">
      <c r="E22" s="199" t="s">
        <v>493</v>
      </c>
      <c r="F22" s="200" t="s">
        <v>488</v>
      </c>
      <c r="G22" s="200" t="s">
        <v>9</v>
      </c>
      <c r="H22" s="289"/>
      <c r="I22" s="288">
        <v>175</v>
      </c>
    </row>
    <row r="23" spans="1:9">
      <c r="A23" t="s">
        <v>578</v>
      </c>
      <c r="E23" s="199" t="s">
        <v>519</v>
      </c>
      <c r="F23" s="200" t="s">
        <v>107</v>
      </c>
      <c r="G23" s="200" t="s">
        <v>9</v>
      </c>
      <c r="H23" s="286">
        <v>150</v>
      </c>
      <c r="I23" s="286"/>
    </row>
    <row r="24" spans="1:9">
      <c r="A24" t="s">
        <v>580</v>
      </c>
      <c r="B24">
        <v>1076.28</v>
      </c>
      <c r="E24" s="199" t="s">
        <v>468</v>
      </c>
      <c r="F24" s="200" t="s">
        <v>487</v>
      </c>
      <c r="G24" s="201" t="s">
        <v>9</v>
      </c>
      <c r="H24" s="286">
        <v>150</v>
      </c>
      <c r="I24" s="286"/>
    </row>
    <row r="25" spans="1:9">
      <c r="A25" t="s">
        <v>581</v>
      </c>
      <c r="B25">
        <v>1076.29</v>
      </c>
      <c r="E25" s="199" t="s">
        <v>457</v>
      </c>
      <c r="F25" s="200" t="s">
        <v>507</v>
      </c>
      <c r="G25" s="200" t="s">
        <v>9</v>
      </c>
      <c r="H25" s="286">
        <v>150</v>
      </c>
      <c r="I25" s="286"/>
    </row>
    <row r="26" spans="1:9">
      <c r="B26" s="282">
        <f>SUM(B24:B25)</f>
        <v>2152.5699999999997</v>
      </c>
      <c r="E26" s="199" t="s">
        <v>453</v>
      </c>
      <c r="F26" s="200" t="s">
        <v>507</v>
      </c>
      <c r="G26" s="200" t="s">
        <v>9</v>
      </c>
      <c r="H26" s="286">
        <v>150</v>
      </c>
      <c r="I26" s="286"/>
    </row>
    <row r="27" spans="1:9">
      <c r="E27" s="199" t="s">
        <v>335</v>
      </c>
      <c r="F27" s="200" t="s">
        <v>507</v>
      </c>
      <c r="G27" s="200" t="s">
        <v>9</v>
      </c>
      <c r="H27" s="286">
        <v>150</v>
      </c>
      <c r="I27" s="286"/>
    </row>
    <row r="28" spans="1:9">
      <c r="E28" s="199" t="s">
        <v>489</v>
      </c>
      <c r="F28" s="200" t="s">
        <v>505</v>
      </c>
      <c r="G28" s="200" t="s">
        <v>9</v>
      </c>
      <c r="H28" s="286"/>
      <c r="I28" s="288">
        <v>175</v>
      </c>
    </row>
    <row r="29" spans="1:9">
      <c r="A29" t="s">
        <v>584</v>
      </c>
      <c r="B29" s="293">
        <f>+J33</f>
        <v>4812.5</v>
      </c>
      <c r="E29" s="199" t="s">
        <v>491</v>
      </c>
      <c r="F29" s="200" t="s">
        <v>505</v>
      </c>
      <c r="G29" s="200" t="s">
        <v>9</v>
      </c>
      <c r="H29" s="286"/>
      <c r="I29" s="288">
        <v>175</v>
      </c>
    </row>
    <row r="30" spans="1:9">
      <c r="E30" s="199" t="s">
        <v>535</v>
      </c>
      <c r="F30" s="200" t="s">
        <v>505</v>
      </c>
      <c r="G30" s="200" t="s">
        <v>9</v>
      </c>
      <c r="H30" s="286"/>
      <c r="I30" s="288">
        <v>175</v>
      </c>
    </row>
    <row r="31" spans="1:9">
      <c r="E31" s="199" t="s">
        <v>445</v>
      </c>
      <c r="F31" s="200" t="s">
        <v>505</v>
      </c>
      <c r="G31" s="200" t="s">
        <v>9</v>
      </c>
      <c r="H31" s="286">
        <v>150</v>
      </c>
      <c r="I31" s="286"/>
    </row>
    <row r="32" spans="1:9">
      <c r="A32" t="s">
        <v>588</v>
      </c>
      <c r="B32" s="282">
        <v>82.5</v>
      </c>
      <c r="E32" s="199" t="s">
        <v>436</v>
      </c>
      <c r="F32" s="200" t="s">
        <v>510</v>
      </c>
      <c r="G32" s="200" t="s">
        <v>9</v>
      </c>
      <c r="H32" s="286">
        <v>150</v>
      </c>
      <c r="I32" s="286"/>
    </row>
    <row r="33" spans="1:10" ht="15.75" thickBot="1">
      <c r="E33" s="290"/>
      <c r="F33" s="290"/>
      <c r="G33" s="290"/>
      <c r="H33" s="291">
        <f>SUM(H3:H32)</f>
        <v>2100</v>
      </c>
      <c r="I33" s="291">
        <f>SUM(I3:I32)</f>
        <v>2712.5</v>
      </c>
      <c r="J33" s="292">
        <f>+H33+I33</f>
        <v>4812.5</v>
      </c>
    </row>
    <row r="34" spans="1:10" ht="15.75" thickTop="1">
      <c r="A34" t="s">
        <v>585</v>
      </c>
      <c r="B34" s="294">
        <f>+B6+B14+B17+B21+B26+B29+J39+B32</f>
        <v>8546.86</v>
      </c>
    </row>
    <row r="37" spans="1:10">
      <c r="B37">
        <v>8546.86</v>
      </c>
      <c r="C37" s="292">
        <f>+B37-B34</f>
        <v>0</v>
      </c>
    </row>
    <row r="39" spans="1:10">
      <c r="J39" s="292"/>
    </row>
  </sheetData>
  <conditionalFormatting sqref="E3:E4">
    <cfRule type="duplicateValues" dxfId="169" priority="19"/>
  </conditionalFormatting>
  <conditionalFormatting sqref="E12">
    <cfRule type="duplicateValues" dxfId="168" priority="15"/>
    <cfRule type="duplicateValues" dxfId="167" priority="16"/>
    <cfRule type="duplicateValues" dxfId="166" priority="17"/>
  </conditionalFormatting>
  <conditionalFormatting sqref="E13:E14">
    <cfRule type="duplicateValues" dxfId="165" priority="2022"/>
  </conditionalFormatting>
  <conditionalFormatting sqref="E15:E17">
    <cfRule type="duplicateValues" dxfId="164" priority="2030"/>
  </conditionalFormatting>
  <conditionalFormatting sqref="E18">
    <cfRule type="duplicateValues" dxfId="163" priority="5"/>
    <cfRule type="duplicateValues" dxfId="162" priority="6"/>
    <cfRule type="duplicateValues" dxfId="161" priority="7"/>
    <cfRule type="duplicateValues" dxfId="160" priority="8"/>
    <cfRule type="duplicateValues" dxfId="159" priority="9"/>
    <cfRule type="duplicateValues" dxfId="158" priority="10"/>
  </conditionalFormatting>
  <conditionalFormatting sqref="E19:E32 E2:E12">
    <cfRule type="duplicateValues" dxfId="157" priority="2040"/>
  </conditionalFormatting>
  <conditionalFormatting sqref="E19:E32 E2:E14">
    <cfRule type="duplicateValues" dxfId="156" priority="2043"/>
  </conditionalFormatting>
  <conditionalFormatting sqref="E23">
    <cfRule type="duplicateValues" dxfId="155" priority="2"/>
    <cfRule type="duplicateValues" dxfId="154" priority="3"/>
    <cfRule type="duplicateValues" dxfId="153" priority="4"/>
  </conditionalFormatting>
  <conditionalFormatting sqref="E24:E32 E19:E22 E2:E11">
    <cfRule type="duplicateValues" dxfId="152" priority="2036"/>
  </conditionalFormatting>
  <conditionalFormatting sqref="E24:E32 E19:E22 E5:E11 E2">
    <cfRule type="duplicateValues" dxfId="151" priority="2031"/>
  </conditionalFormatting>
  <conditionalFormatting sqref="E24:E32">
    <cfRule type="duplicateValues" dxfId="150" priority="2046"/>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N201"/>
  <sheetViews>
    <sheetView showGridLines="0" tabSelected="1" view="pageBreakPreview" zoomScale="46" zoomScaleNormal="39" zoomScaleSheetLayoutView="46" workbookViewId="0">
      <pane xSplit="4" ySplit="7" topLeftCell="X161" activePane="bottomRight" state="frozen"/>
      <selection activeCell="O19" activeCellId="1" sqref="O16 O19"/>
      <selection pane="topRight" activeCell="O19" activeCellId="1" sqref="O16 O19"/>
      <selection pane="bottomLeft" activeCell="O19" activeCellId="1" sqref="O16 O19"/>
      <selection pane="bottomRight" activeCell="Y168" sqref="Y168"/>
    </sheetView>
  </sheetViews>
  <sheetFormatPr baseColWidth="10" defaultColWidth="11.42578125" defaultRowHeight="30"/>
  <cols>
    <col min="1" max="1" width="11.42578125" style="1029"/>
    <col min="2" max="2" width="7.5703125" style="1017" customWidth="1"/>
    <col min="3" max="3" width="102.7109375" style="1018" customWidth="1"/>
    <col min="4" max="4" width="85.140625" style="1029" customWidth="1"/>
    <col min="5" max="5" width="25.140625" style="1032" hidden="1" customWidth="1"/>
    <col min="6" max="6" width="15.5703125" style="1029" customWidth="1"/>
    <col min="7" max="7" width="15.28515625" style="1029" hidden="1" customWidth="1"/>
    <col min="8" max="9" width="29" style="1033" bestFit="1" customWidth="1"/>
    <col min="10" max="10" width="28.140625" style="1033" customWidth="1"/>
    <col min="11" max="11" width="21" style="1033" bestFit="1" customWidth="1"/>
    <col min="12" max="12" width="23.42578125" style="1033" bestFit="1" customWidth="1"/>
    <col min="13" max="13" width="20.42578125" style="1033" bestFit="1" customWidth="1"/>
    <col min="14" max="14" width="22.7109375" style="1033" customWidth="1"/>
    <col min="15" max="15" width="21.140625" style="1033" customWidth="1"/>
    <col min="16" max="16" width="22.140625" style="1033" bestFit="1" customWidth="1"/>
    <col min="17" max="17" width="29" style="1033" bestFit="1" customWidth="1"/>
    <col min="18" max="18" width="26.42578125" style="1033" bestFit="1" customWidth="1"/>
    <col min="19" max="19" width="23.7109375" style="1033" bestFit="1" customWidth="1"/>
    <col min="20" max="20" width="25.85546875" style="1033" customWidth="1"/>
    <col min="21" max="21" width="23.42578125" style="1033" bestFit="1" customWidth="1"/>
    <col min="22" max="22" width="26.7109375" style="1033" bestFit="1" customWidth="1"/>
    <col min="23" max="23" width="20.7109375" style="1033" customWidth="1"/>
    <col min="24" max="24" width="26.7109375" style="1033" bestFit="1" customWidth="1"/>
    <col min="25" max="25" width="26.85546875" style="1033" customWidth="1"/>
    <col min="26" max="26" width="32.28515625" style="1039" bestFit="1" customWidth="1"/>
    <col min="27" max="27" width="30" style="1039" customWidth="1"/>
    <col min="28" max="28" width="32.85546875" style="1039" customWidth="1"/>
    <col min="29" max="29" width="32.7109375" style="1043" customWidth="1"/>
    <col min="30" max="30" width="25.28515625" style="1029" customWidth="1"/>
    <col min="31" max="31" width="23.140625" style="1029" bestFit="1" customWidth="1"/>
    <col min="32" max="32" width="20.42578125" style="1029" bestFit="1" customWidth="1"/>
    <col min="33" max="33" width="18" style="1029" bestFit="1" customWidth="1"/>
    <col min="34" max="16384" width="11.42578125" style="1029"/>
  </cols>
  <sheetData>
    <row r="1" spans="2:33">
      <c r="C1" s="1018">
        <v>1</v>
      </c>
      <c r="D1" s="1029">
        <v>2</v>
      </c>
      <c r="E1" s="1029">
        <v>3</v>
      </c>
      <c r="F1" s="1029">
        <v>4</v>
      </c>
      <c r="G1" s="1029">
        <v>5</v>
      </c>
      <c r="H1" s="1029">
        <v>6</v>
      </c>
      <c r="I1" s="1029">
        <v>7</v>
      </c>
      <c r="J1" s="1029">
        <v>8</v>
      </c>
      <c r="K1" s="1029">
        <v>9</v>
      </c>
      <c r="L1" s="1029">
        <v>10</v>
      </c>
      <c r="M1" s="1029">
        <v>11</v>
      </c>
      <c r="N1" s="1029">
        <v>12</v>
      </c>
      <c r="O1" s="1029">
        <v>13</v>
      </c>
      <c r="P1" s="1029">
        <v>14</v>
      </c>
      <c r="Q1" s="1029">
        <v>15</v>
      </c>
      <c r="R1" s="1029">
        <v>16</v>
      </c>
      <c r="S1" s="1029">
        <v>17</v>
      </c>
      <c r="T1" s="1029">
        <v>18</v>
      </c>
      <c r="U1" s="1029">
        <v>19</v>
      </c>
      <c r="V1" s="1029">
        <v>20</v>
      </c>
      <c r="W1" s="1029">
        <v>21</v>
      </c>
      <c r="X1" s="1029">
        <v>22</v>
      </c>
      <c r="Y1" s="1029">
        <v>23</v>
      </c>
      <c r="Z1" s="1029">
        <v>24</v>
      </c>
      <c r="AA1" s="1029">
        <v>25</v>
      </c>
      <c r="AB1" s="1039">
        <v>26</v>
      </c>
      <c r="AC1" s="1039">
        <v>27</v>
      </c>
    </row>
    <row r="2" spans="2:33" ht="25.5" customHeight="1">
      <c r="B2" s="1368" t="s">
        <v>712</v>
      </c>
      <c r="C2" s="1368"/>
      <c r="D2" s="1019"/>
      <c r="H2" s="1041"/>
      <c r="I2" s="1041"/>
      <c r="J2" s="1041"/>
      <c r="K2" s="1041"/>
      <c r="L2" s="1041"/>
      <c r="M2" s="1041"/>
      <c r="N2" s="1041"/>
      <c r="O2" s="1041"/>
      <c r="P2" s="1041"/>
      <c r="Q2" s="1041"/>
      <c r="R2" s="1041"/>
      <c r="S2" s="1041"/>
      <c r="T2" s="1041"/>
      <c r="U2" s="1041"/>
      <c r="V2" s="1041"/>
      <c r="W2" s="1041"/>
      <c r="X2" s="1041"/>
      <c r="Y2" s="1041"/>
      <c r="Z2" s="1042"/>
      <c r="AA2" s="1042"/>
      <c r="AB2" s="1042"/>
    </row>
    <row r="3" spans="2:33" ht="33" customHeight="1">
      <c r="B3" s="1367" t="str">
        <f>+distribucion!G4  &amp;  distribucion!G5</f>
        <v>JUNIO  2026 2da QUINCENA2026</v>
      </c>
      <c r="C3" s="1367"/>
      <c r="D3" s="1044"/>
      <c r="H3" s="1041"/>
      <c r="I3" s="1041"/>
      <c r="J3" s="1041"/>
      <c r="K3" s="1041"/>
      <c r="L3" s="1041"/>
      <c r="M3" s="1041"/>
      <c r="N3" s="1041"/>
      <c r="O3" s="1041"/>
      <c r="P3" s="1041"/>
      <c r="Q3" s="1041"/>
      <c r="R3" s="1041"/>
      <c r="S3" s="1041"/>
      <c r="T3" s="1041"/>
      <c r="U3" s="1041"/>
      <c r="V3" s="1041"/>
      <c r="W3" s="1041"/>
      <c r="X3" s="1041"/>
      <c r="Y3" s="1041"/>
      <c r="Z3" s="1042"/>
      <c r="AA3" s="1042"/>
      <c r="AB3" s="1042"/>
    </row>
    <row r="4" spans="2:33" ht="33" customHeight="1">
      <c r="B4" s="1045"/>
      <c r="C4" s="1045"/>
      <c r="D4" s="1044"/>
      <c r="H4" s="1041"/>
      <c r="I4" s="1041"/>
      <c r="J4" s="1041"/>
      <c r="K4" s="1041"/>
      <c r="L4" s="1041"/>
      <c r="M4" s="1041"/>
      <c r="N4" s="1041"/>
      <c r="O4" s="1041"/>
      <c r="P4" s="1041"/>
      <c r="Q4" s="1041"/>
      <c r="R4" s="1041"/>
      <c r="S4" s="1041"/>
      <c r="T4" s="1041"/>
      <c r="U4" s="1041"/>
      <c r="V4" s="1041"/>
      <c r="W4" s="1041"/>
      <c r="X4" s="1041"/>
      <c r="Y4" s="1041"/>
      <c r="Z4" s="1042"/>
      <c r="AA4" s="1042"/>
      <c r="AB4" s="1042"/>
    </row>
    <row r="5" spans="2:33" s="1047" customFormat="1" ht="20.100000000000001" customHeight="1">
      <c r="B5" s="1370" t="s">
        <v>173</v>
      </c>
      <c r="C5" s="1371" t="s">
        <v>35</v>
      </c>
      <c r="D5" s="1371" t="s">
        <v>36</v>
      </c>
      <c r="E5" s="1372" t="s">
        <v>174</v>
      </c>
      <c r="F5" s="1373" t="s">
        <v>175</v>
      </c>
      <c r="G5" s="1369" t="s">
        <v>176</v>
      </c>
      <c r="H5" s="1365" t="s">
        <v>177</v>
      </c>
      <c r="I5" s="1364" t="s">
        <v>695</v>
      </c>
      <c r="J5" s="1366" t="s">
        <v>179</v>
      </c>
      <c r="K5" s="1366" t="s">
        <v>180</v>
      </c>
      <c r="L5" s="1364" t="s">
        <v>181</v>
      </c>
      <c r="M5" s="1366" t="s">
        <v>182</v>
      </c>
      <c r="N5" s="1366" t="s">
        <v>183</v>
      </c>
      <c r="O5" s="1362" t="s">
        <v>274</v>
      </c>
      <c r="P5" s="1046"/>
      <c r="Q5" s="1362" t="s">
        <v>185</v>
      </c>
      <c r="R5" s="1362" t="s">
        <v>186</v>
      </c>
      <c r="S5" s="1362" t="s">
        <v>29</v>
      </c>
      <c r="T5" s="1364" t="s">
        <v>389</v>
      </c>
      <c r="U5" s="1362" t="s">
        <v>187</v>
      </c>
      <c r="V5" s="1362" t="s">
        <v>275</v>
      </c>
      <c r="W5" s="1362" t="s">
        <v>32</v>
      </c>
      <c r="X5" s="1362" t="s">
        <v>31</v>
      </c>
      <c r="Y5" s="1362" t="s">
        <v>188</v>
      </c>
      <c r="Z5" s="1363" t="s">
        <v>189</v>
      </c>
      <c r="AA5" s="1360" t="s">
        <v>190</v>
      </c>
      <c r="AB5" s="1360" t="s">
        <v>191</v>
      </c>
      <c r="AC5" s="1361" t="s">
        <v>192</v>
      </c>
    </row>
    <row r="6" spans="2:33" ht="20.100000000000001" customHeight="1">
      <c r="B6" s="1370"/>
      <c r="C6" s="1371"/>
      <c r="D6" s="1371"/>
      <c r="E6" s="1372"/>
      <c r="F6" s="1373"/>
      <c r="G6" s="1369"/>
      <c r="H6" s="1365"/>
      <c r="I6" s="1364"/>
      <c r="J6" s="1366"/>
      <c r="K6" s="1366"/>
      <c r="L6" s="1364"/>
      <c r="M6" s="1366"/>
      <c r="N6" s="1366"/>
      <c r="O6" s="1362"/>
      <c r="P6" s="1048" t="s">
        <v>276</v>
      </c>
      <c r="Q6" s="1362"/>
      <c r="R6" s="1362"/>
      <c r="S6" s="1362"/>
      <c r="T6" s="1364"/>
      <c r="U6" s="1362"/>
      <c r="V6" s="1362"/>
      <c r="W6" s="1362"/>
      <c r="X6" s="1362"/>
      <c r="Y6" s="1362"/>
      <c r="Z6" s="1363"/>
      <c r="AA6" s="1360"/>
      <c r="AB6" s="1360"/>
      <c r="AC6" s="1361"/>
    </row>
    <row r="7" spans="2:33" ht="54" customHeight="1">
      <c r="B7" s="1370"/>
      <c r="C7" s="1371"/>
      <c r="D7" s="1371"/>
      <c r="E7" s="1372"/>
      <c r="F7" s="1373"/>
      <c r="G7" s="1369"/>
      <c r="H7" s="1365"/>
      <c r="I7" s="1364"/>
      <c r="J7" s="1366"/>
      <c r="K7" s="1366"/>
      <c r="L7" s="1364"/>
      <c r="M7" s="1366"/>
      <c r="N7" s="1366"/>
      <c r="O7" s="1362"/>
      <c r="P7" s="1049"/>
      <c r="Q7" s="1362"/>
      <c r="R7" s="1362"/>
      <c r="S7" s="1362"/>
      <c r="T7" s="1364"/>
      <c r="U7" s="1362"/>
      <c r="V7" s="1362"/>
      <c r="W7" s="1362"/>
      <c r="X7" s="1362"/>
      <c r="Y7" s="1362"/>
      <c r="Z7" s="1363"/>
      <c r="AA7" s="1360"/>
      <c r="AB7" s="1360"/>
      <c r="AC7" s="1361"/>
    </row>
    <row r="8" spans="2:33" ht="25.15" customHeight="1">
      <c r="B8" s="1050"/>
      <c r="C8" s="980" t="s">
        <v>51</v>
      </c>
      <c r="D8" s="1051"/>
      <c r="E8" s="1052"/>
      <c r="F8" s="1053"/>
      <c r="G8" s="1054"/>
      <c r="H8" s="1055"/>
      <c r="I8" s="1055"/>
      <c r="J8" s="1055"/>
      <c r="K8" s="1055"/>
      <c r="L8" s="1055"/>
      <c r="M8" s="1055"/>
      <c r="N8" s="1055"/>
      <c r="O8" s="1048"/>
      <c r="P8" s="1048"/>
      <c r="Q8" s="1048"/>
      <c r="R8" s="1048"/>
      <c r="S8" s="1048"/>
      <c r="T8" s="1048"/>
      <c r="U8" s="1048"/>
      <c r="V8" s="1048"/>
      <c r="W8" s="1048"/>
      <c r="X8" s="1048"/>
      <c r="Y8" s="1048"/>
      <c r="Z8" s="1056"/>
      <c r="AA8" s="1057"/>
      <c r="AB8" s="1057"/>
      <c r="AC8" s="1058"/>
    </row>
    <row r="9" spans="2:33" s="1069" customFormat="1" ht="25.15" customHeight="1">
      <c r="B9" s="1017"/>
      <c r="C9" s="1059" t="s">
        <v>619</v>
      </c>
      <c r="D9" s="1060"/>
      <c r="E9" s="1061"/>
      <c r="F9" s="1062"/>
      <c r="G9" s="1063"/>
      <c r="H9" s="1064"/>
      <c r="I9" s="1064"/>
      <c r="J9" s="1064"/>
      <c r="K9" s="1064"/>
      <c r="L9" s="1064"/>
      <c r="M9" s="1064"/>
      <c r="N9" s="1064"/>
      <c r="O9" s="1064"/>
      <c r="P9" s="1064"/>
      <c r="Q9" s="1064"/>
      <c r="R9" s="1064"/>
      <c r="S9" s="1064"/>
      <c r="T9" s="1064"/>
      <c r="U9" s="1064"/>
      <c r="V9" s="1064"/>
      <c r="W9" s="1064"/>
      <c r="X9" s="1064"/>
      <c r="Y9" s="1064"/>
      <c r="Z9" s="1065"/>
      <c r="AA9" s="1064"/>
      <c r="AB9" s="1066"/>
      <c r="AC9" s="1067"/>
      <c r="AD9" s="1068"/>
      <c r="AE9" s="1068"/>
    </row>
    <row r="10" spans="2:33" ht="30" customHeight="1">
      <c r="B10" s="1017">
        <v>1</v>
      </c>
      <c r="C10" s="1018" t="str">
        <f>+distribucion!G9</f>
        <v>Hernandez Maria Andrea</v>
      </c>
      <c r="D10" s="1070" t="str">
        <f>VLOOKUP(C10,distribucion!G$8:FP$153,2,0)</f>
        <v>Asistente de Gerencia General</v>
      </c>
      <c r="E10" s="1071">
        <f t="shared" ref="E10:E12" si="0">H10+L10+N10+O10</f>
        <v>5000</v>
      </c>
      <c r="F10" s="1072">
        <f>VLOOKUP(C10,distribucion!G9:M154,7,FALSE)</f>
        <v>30</v>
      </c>
      <c r="G10" s="1063">
        <f>VLOOKUP(C10,distribucion!$G$8:$DV$153,14,0)</f>
        <v>0</v>
      </c>
      <c r="H10" s="1064">
        <f>ROUND((VLOOKUP(C10,distribucion!G$1:FP$153,130,0)),2)</f>
        <v>5000</v>
      </c>
      <c r="I10" s="1064">
        <f>ROUND((VLOOKUP(C10,distribucion!G$8:FO$153,131,0)),2)</f>
        <v>1000</v>
      </c>
      <c r="J10" s="1064">
        <f t="shared" ref="J10" si="1">H10+I10</f>
        <v>6000</v>
      </c>
      <c r="K10" s="1064">
        <f>VLOOKUP(C10,distribucion!G$8:FP$153,132,0)</f>
        <v>0</v>
      </c>
      <c r="L10" s="1064">
        <f>ROUND((VLOOKUP(C10,distribucion!G$8:FP$153,133,0)),2)</f>
        <v>0</v>
      </c>
      <c r="M10" s="1064">
        <f>VLOOKUP(C10,distribucion!G$8:FP$153,134,0)</f>
        <v>0</v>
      </c>
      <c r="N10" s="1064">
        <f>ROUND((VLOOKUP(C10,distribucion!G$8:FP$153,135,0)),2)</f>
        <v>0</v>
      </c>
      <c r="O10" s="1064">
        <v>0</v>
      </c>
      <c r="P10" s="1064">
        <f>ROUND((VLOOKUP(C10,distribucion!G$8:FP$153,136,0)),2)</f>
        <v>0</v>
      </c>
      <c r="Q10" s="1064">
        <f>SUM(J10:P10)-K10-M10</f>
        <v>6000</v>
      </c>
      <c r="R10" s="1064">
        <f>ROUND(((H10+L10+N10+O10+P10)*0.0483),2)</f>
        <v>241.5</v>
      </c>
      <c r="S10" s="1064">
        <f>ROUND((VLOOKUP(C10,distribucion!G$8:FP$153,151,0)),2)</f>
        <v>87.92</v>
      </c>
      <c r="T10" s="1064">
        <f>ROUND((VLOOKUP(C10,distribucion!G$8:FP$153,152,0)),2)</f>
        <v>0</v>
      </c>
      <c r="U10" s="1064">
        <f>ROUND((VLOOKUP(C10,distribucion!G$8:FP$153,153,0)),2)</f>
        <v>0</v>
      </c>
      <c r="V10" s="1064">
        <f>ROUND((VLOOKUP(C10,distribucion!$G$1:$FJ$153,159,0)),2)</f>
        <v>0</v>
      </c>
      <c r="W10" s="1064">
        <f>ROUND((VLOOKUP(C10,distribucion!$G$1:$FJ$153,158,0)),2)</f>
        <v>0</v>
      </c>
      <c r="X10" s="1064">
        <f>ROUND((VLOOKUP(C10,distribucion!$G$1:$FJ$153,154,0)),2)</f>
        <v>225</v>
      </c>
      <c r="Y10" s="1064">
        <f>ROUND((VLOOKUP(C10,distribucion!G$8:FP$153,160,0)),2)</f>
        <v>350</v>
      </c>
      <c r="Z10" s="1065">
        <f t="shared" ref="Z10" si="2">SUM(R10:Y10)</f>
        <v>904.42000000000007</v>
      </c>
      <c r="AA10" s="1064">
        <f t="shared" ref="AA10" si="3">Q10-Z10</f>
        <v>5095.58</v>
      </c>
      <c r="AB10" s="1066">
        <v>2495.29</v>
      </c>
      <c r="AC10" s="1067">
        <f>+AA10-AB10</f>
        <v>2600.29</v>
      </c>
      <c r="AD10" s="1066">
        <f>AA10-AB10-AC10</f>
        <v>0</v>
      </c>
      <c r="AE10" s="1066">
        <f>((I10+H10+L10+O10++P10)-SUM(R10:Y10))-AA10</f>
        <v>0</v>
      </c>
    </row>
    <row r="11" spans="2:33" ht="30" customHeight="1">
      <c r="B11" s="1017">
        <v>2</v>
      </c>
      <c r="C11" s="1018" t="str">
        <f>+distribucion!G11</f>
        <v>Choc Abrego  Enma Leticia</v>
      </c>
      <c r="D11" s="1070" t="str">
        <f>VLOOKUP(C11,distribucion!G$8:FP$153,2,0)</f>
        <v>Conserje</v>
      </c>
      <c r="E11" s="1071">
        <f t="shared" ref="E11" si="4">H11+L11+N11+O11</f>
        <v>4002.28</v>
      </c>
      <c r="F11" s="1072">
        <f>VLOOKUP(C11,distribucion!G10:M155,7,FALSE)</f>
        <v>30</v>
      </c>
      <c r="G11" s="1063" t="str">
        <f>VLOOKUP(C11,distribucion!$G$8:$DV$153,14,0)</f>
        <v>A.23/3</v>
      </c>
      <c r="H11" s="1064">
        <f>ROUND((VLOOKUP(C11,distribucion!G$1:FP$153,130,0)),2)</f>
        <v>4002.28</v>
      </c>
      <c r="I11" s="1064">
        <f>ROUND((VLOOKUP(C11,distribucion!G$8:FO$153,131,0)),2)</f>
        <v>250</v>
      </c>
      <c r="J11" s="1064">
        <f t="shared" ref="J11" si="5">H11+I11</f>
        <v>4252.2800000000007</v>
      </c>
      <c r="K11" s="1064">
        <f>VLOOKUP(C11,distribucion!G$8:FP$153,132,0)</f>
        <v>0</v>
      </c>
      <c r="L11" s="1064">
        <f>ROUND((VLOOKUP(C11,distribucion!G$8:FP$153,133,0)),2)</f>
        <v>0</v>
      </c>
      <c r="M11" s="1064">
        <f>VLOOKUP(C11,distribucion!G$8:FP$153,134,0)</f>
        <v>0</v>
      </c>
      <c r="N11" s="1064">
        <f>ROUND((VLOOKUP(C11,distribucion!G$8:FP$153,135,0)),2)</f>
        <v>0</v>
      </c>
      <c r="O11" s="1064">
        <v>0</v>
      </c>
      <c r="P11" s="1064">
        <f>ROUND((VLOOKUP(C11,distribucion!G$8:FP$153,136,0)),2)</f>
        <v>0</v>
      </c>
      <c r="Q11" s="1064">
        <f>SUM(J11:P11)-K11-M11</f>
        <v>4252.2800000000007</v>
      </c>
      <c r="R11" s="1064">
        <f>ROUND(((H11+L11+N11+O11+P11)*0.0483),2)</f>
        <v>193.31</v>
      </c>
      <c r="S11" s="1064">
        <f>ROUND((VLOOKUP(C11,distribucion!G$8:FP$153,151,0)),2)</f>
        <v>0</v>
      </c>
      <c r="T11" s="1064">
        <f>ROUND((VLOOKUP(C11,distribucion!G$8:FP$153,152,0)),2)</f>
        <v>0</v>
      </c>
      <c r="U11" s="1064">
        <f>ROUND((VLOOKUP(C11,distribucion!G$8:FP$153,153,0)),2)</f>
        <v>0</v>
      </c>
      <c r="V11" s="1064">
        <f>ROUND((VLOOKUP(C11,distribucion!$G$1:$FJ$153,159,0)),2)</f>
        <v>0</v>
      </c>
      <c r="W11" s="1064">
        <f>ROUND((VLOOKUP(C11,distribucion!$G$1:$FJ$153,158,0)),2)</f>
        <v>0</v>
      </c>
      <c r="X11" s="1064">
        <f>ROUND((VLOOKUP(C11,distribucion!$G$1:$FJ$153,154,0)),2)</f>
        <v>0</v>
      </c>
      <c r="Y11" s="1064">
        <f>ROUND((VLOOKUP(C11,distribucion!G$8:FP$153,160,0)),2)</f>
        <v>0</v>
      </c>
      <c r="Z11" s="1065">
        <f t="shared" ref="Z11" si="6">SUM(R11:Y11)</f>
        <v>193.31</v>
      </c>
      <c r="AA11" s="1064">
        <f t="shared" ref="AA11" si="7">Q11-Z11</f>
        <v>4058.9700000000007</v>
      </c>
      <c r="AB11" s="1066">
        <v>2029.4800000000002</v>
      </c>
      <c r="AC11" s="1067">
        <f t="shared" ref="AC11:AC12" si="8">+AA11-AB11</f>
        <v>2029.4900000000005</v>
      </c>
      <c r="AD11" s="1066"/>
      <c r="AE11" s="1066"/>
    </row>
    <row r="12" spans="2:33" ht="30" customHeight="1">
      <c r="B12" s="1017">
        <v>3</v>
      </c>
      <c r="C12" s="979" t="s">
        <v>431</v>
      </c>
      <c r="D12" s="1070" t="str">
        <f>VLOOKUP(C12,distribucion!G$8:FP$153,2,0)</f>
        <v>Conserje</v>
      </c>
      <c r="E12" s="1071">
        <f t="shared" si="0"/>
        <v>4002.28</v>
      </c>
      <c r="F12" s="1072">
        <f>VLOOKUP(C12,distribucion!G8:M153,7,FALSE)</f>
        <v>30</v>
      </c>
      <c r="G12" s="1063"/>
      <c r="H12" s="1064">
        <f>ROUND((VLOOKUP(C12,distribucion!G$1:FP$153,130,0)),2)</f>
        <v>4002.28</v>
      </c>
      <c r="I12" s="1064">
        <f>ROUND((VLOOKUP(C12,distribucion!G$8:FO$153,131,0)),2)</f>
        <v>250</v>
      </c>
      <c r="J12" s="1064">
        <f t="shared" ref="J12" si="9">H12+I12</f>
        <v>4252.2800000000007</v>
      </c>
      <c r="K12" s="1064">
        <f>VLOOKUP(C12,distribucion!G$8:FP$153,132,0)</f>
        <v>0</v>
      </c>
      <c r="L12" s="1064">
        <f>ROUND((VLOOKUP(C12,distribucion!G$8:FP$153,133,0)),2)</f>
        <v>0</v>
      </c>
      <c r="M12" s="1064">
        <f>VLOOKUP(C12,distribucion!G$8:FP$153,134,0)</f>
        <v>0</v>
      </c>
      <c r="N12" s="1064">
        <f>ROUND((VLOOKUP(C12,distribucion!G$8:FP$153,135,0)),2)</f>
        <v>0</v>
      </c>
      <c r="O12" s="1064">
        <v>0</v>
      </c>
      <c r="P12" s="1064">
        <f>ROUND((VLOOKUP(C12,distribucion!G$8:FP$153,36,0)),2)</f>
        <v>0</v>
      </c>
      <c r="Q12" s="1064">
        <f t="shared" ref="Q12" si="10">SUM(J12:P12)-K12-M12</f>
        <v>4252.2800000000007</v>
      </c>
      <c r="R12" s="1064">
        <f>ROUND(((H12+L12+N12+O12+P12)*3%),2)</f>
        <v>120.07</v>
      </c>
      <c r="S12" s="1064">
        <f>ROUND((VLOOKUP(C12,distribucion!G$8:FP$153,151,0)),2)</f>
        <v>0</v>
      </c>
      <c r="T12" s="1064">
        <f>ROUND((VLOOKUP(C12,distribucion!G$8:FP$153,152,0)),2)</f>
        <v>0</v>
      </c>
      <c r="U12" s="1064">
        <f>ROUND((VLOOKUP(C12,distribucion!G$8:FP$153,153,0)),2)</f>
        <v>0</v>
      </c>
      <c r="V12" s="1064">
        <f>ROUND((VLOOKUP(C12,distribucion!$G$1:$FJ$153,159,0)),2)</f>
        <v>0</v>
      </c>
      <c r="W12" s="1064">
        <f>ROUND((VLOOKUP(C12,distribucion!$G$1:$FJ$153,158,0)),2)</f>
        <v>0</v>
      </c>
      <c r="X12" s="1064">
        <f>ROUND((VLOOKUP(C12,distribucion!$G$1:$FJ$153,154,0)),2)</f>
        <v>0</v>
      </c>
      <c r="Y12" s="1064">
        <f>ROUND((VLOOKUP(C12,distribucion!G$8:FP$153,160,0)),2)</f>
        <v>0</v>
      </c>
      <c r="Z12" s="1065">
        <f t="shared" ref="Z12" si="11">SUM(R12:Y12)</f>
        <v>120.07</v>
      </c>
      <c r="AA12" s="1064">
        <f t="shared" ref="AA12" si="12">Q12-Z12</f>
        <v>4132.2100000000009</v>
      </c>
      <c r="AB12" s="1066">
        <v>2066.11</v>
      </c>
      <c r="AC12" s="1067">
        <f t="shared" si="8"/>
        <v>2066.1000000000008</v>
      </c>
      <c r="AD12" s="1066">
        <f t="shared" ref="AD12:AD75" si="13">AA12-AB12-AC12</f>
        <v>0</v>
      </c>
      <c r="AE12" s="1066">
        <f t="shared" ref="AE12:AE75" si="14">((I12+H12+L12+O12++P12)-SUM(R12:Y12))-AA12</f>
        <v>0</v>
      </c>
    </row>
    <row r="13" spans="2:33" s="1173" customFormat="1" ht="30" customHeight="1">
      <c r="B13" s="1164"/>
      <c r="C13" s="1169"/>
      <c r="D13" s="1170" t="s">
        <v>171</v>
      </c>
      <c r="E13" s="1171" t="s">
        <v>171</v>
      </c>
      <c r="F13" s="1172"/>
      <c r="G13" s="1167"/>
      <c r="H13" s="1083">
        <f t="shared" ref="H13:AC13" si="15">SUM(H10:H12)</f>
        <v>13004.560000000001</v>
      </c>
      <c r="I13" s="1083">
        <f t="shared" si="15"/>
        <v>1500</v>
      </c>
      <c r="J13" s="1083">
        <f t="shared" si="15"/>
        <v>14504.560000000001</v>
      </c>
      <c r="K13" s="1083">
        <f t="shared" si="15"/>
        <v>0</v>
      </c>
      <c r="L13" s="1083">
        <f t="shared" si="15"/>
        <v>0</v>
      </c>
      <c r="M13" s="1083">
        <f t="shared" si="15"/>
        <v>0</v>
      </c>
      <c r="N13" s="1083">
        <f t="shared" si="15"/>
        <v>0</v>
      </c>
      <c r="O13" s="1083">
        <f t="shared" si="15"/>
        <v>0</v>
      </c>
      <c r="P13" s="1083">
        <f t="shared" si="15"/>
        <v>0</v>
      </c>
      <c r="Q13" s="1083">
        <f t="shared" si="15"/>
        <v>14504.560000000001</v>
      </c>
      <c r="R13" s="1083">
        <f t="shared" si="15"/>
        <v>554.88</v>
      </c>
      <c r="S13" s="1083">
        <f t="shared" si="15"/>
        <v>87.92</v>
      </c>
      <c r="T13" s="1083">
        <f t="shared" si="15"/>
        <v>0</v>
      </c>
      <c r="U13" s="1083">
        <f t="shared" si="15"/>
        <v>0</v>
      </c>
      <c r="V13" s="1083">
        <f t="shared" si="15"/>
        <v>0</v>
      </c>
      <c r="W13" s="1083">
        <f t="shared" si="15"/>
        <v>0</v>
      </c>
      <c r="X13" s="1083">
        <f t="shared" si="15"/>
        <v>225</v>
      </c>
      <c r="Y13" s="1083">
        <f t="shared" si="15"/>
        <v>350</v>
      </c>
      <c r="Z13" s="1083">
        <f t="shared" si="15"/>
        <v>1217.8</v>
      </c>
      <c r="AA13" s="1083">
        <f t="shared" si="15"/>
        <v>13286.760000000002</v>
      </c>
      <c r="AB13" s="1083">
        <f t="shared" si="15"/>
        <v>6590.880000000001</v>
      </c>
      <c r="AC13" s="1083">
        <f t="shared" si="15"/>
        <v>6695.880000000001</v>
      </c>
      <c r="AD13" s="1066">
        <f t="shared" si="13"/>
        <v>0</v>
      </c>
      <c r="AE13" s="1066">
        <f t="shared" si="14"/>
        <v>0</v>
      </c>
      <c r="AG13" s="1168"/>
    </row>
    <row r="14" spans="2:33" s="1080" customFormat="1" ht="30" customHeight="1">
      <c r="B14" s="1017"/>
      <c r="C14" s="1075"/>
      <c r="D14" s="1076"/>
      <c r="E14" s="1077"/>
      <c r="F14" s="1078"/>
      <c r="G14" s="1073"/>
      <c r="H14" s="1079"/>
      <c r="I14" s="1079"/>
      <c r="J14" s="1079"/>
      <c r="K14" s="1079"/>
      <c r="L14" s="1079"/>
      <c r="M14" s="1079"/>
      <c r="N14" s="1079"/>
      <c r="O14" s="1079"/>
      <c r="P14" s="1079"/>
      <c r="Q14" s="1079"/>
      <c r="R14" s="1079"/>
      <c r="S14" s="1079"/>
      <c r="T14" s="1079"/>
      <c r="U14" s="1079"/>
      <c r="V14" s="1079"/>
      <c r="W14" s="1079"/>
      <c r="X14" s="1079"/>
      <c r="Y14" s="1079"/>
      <c r="Z14" s="1079"/>
      <c r="AA14" s="1079"/>
      <c r="AB14" s="1079"/>
      <c r="AC14" s="1079"/>
      <c r="AD14" s="1066">
        <f t="shared" si="13"/>
        <v>0</v>
      </c>
      <c r="AE14" s="1066">
        <f t="shared" si="14"/>
        <v>0</v>
      </c>
      <c r="AG14" s="1029"/>
    </row>
    <row r="15" spans="2:33" s="1080" customFormat="1" ht="30" customHeight="1">
      <c r="B15" s="1017"/>
      <c r="C15" s="1081" t="s">
        <v>620</v>
      </c>
      <c r="D15" s="1076"/>
      <c r="E15" s="1077"/>
      <c r="F15" s="1078"/>
      <c r="G15" s="1073"/>
      <c r="H15" s="1079"/>
      <c r="I15" s="1079"/>
      <c r="J15" s="1079"/>
      <c r="K15" s="1079"/>
      <c r="L15" s="1079"/>
      <c r="M15" s="1079"/>
      <c r="N15" s="1079"/>
      <c r="O15" s="1079"/>
      <c r="P15" s="1079"/>
      <c r="Q15" s="1079"/>
      <c r="R15" s="1079"/>
      <c r="S15" s="1079"/>
      <c r="T15" s="1079"/>
      <c r="U15" s="1079"/>
      <c r="V15" s="1079"/>
      <c r="W15" s="1079"/>
      <c r="X15" s="1079"/>
      <c r="Y15" s="1079"/>
      <c r="Z15" s="1079"/>
      <c r="AA15" s="1079"/>
      <c r="AB15" s="1079"/>
      <c r="AC15" s="1079"/>
      <c r="AD15" s="1066">
        <f t="shared" si="13"/>
        <v>0</v>
      </c>
      <c r="AE15" s="1066">
        <f t="shared" si="14"/>
        <v>0</v>
      </c>
      <c r="AG15" s="1029"/>
    </row>
    <row r="16" spans="2:33" s="1080" customFormat="1" ht="30" customHeight="1">
      <c r="B16" s="1017"/>
      <c r="C16" s="979"/>
      <c r="D16" s="1070"/>
      <c r="E16" s="1071"/>
      <c r="F16" s="1072"/>
      <c r="G16" s="1063"/>
      <c r="H16" s="1064"/>
      <c r="I16" s="1064"/>
      <c r="J16" s="1064"/>
      <c r="K16" s="1064"/>
      <c r="L16" s="1064"/>
      <c r="M16" s="1064"/>
      <c r="N16" s="1064"/>
      <c r="O16" s="1064"/>
      <c r="P16" s="1064"/>
      <c r="Q16" s="1064"/>
      <c r="R16" s="1064"/>
      <c r="S16" s="1064"/>
      <c r="T16" s="1064"/>
      <c r="U16" s="1064"/>
      <c r="V16" s="1064"/>
      <c r="W16" s="1064"/>
      <c r="X16" s="1064"/>
      <c r="Y16" s="1064"/>
      <c r="Z16" s="1065"/>
      <c r="AA16" s="1064"/>
      <c r="AB16" s="1066"/>
      <c r="AC16" s="1067"/>
      <c r="AD16" s="1066"/>
      <c r="AE16" s="1066"/>
      <c r="AG16" s="1029"/>
    </row>
    <row r="17" spans="2:34" s="1173" customFormat="1" ht="30" customHeight="1">
      <c r="B17" s="1164"/>
      <c r="C17" s="1174"/>
      <c r="D17" s="1170" t="s">
        <v>171</v>
      </c>
      <c r="E17" s="1171"/>
      <c r="F17" s="1172"/>
      <c r="G17" s="1167"/>
      <c r="H17" s="1083">
        <f t="shared" ref="H17:AC17" si="16">SUM(H16:H16)</f>
        <v>0</v>
      </c>
      <c r="I17" s="1083">
        <f t="shared" si="16"/>
        <v>0</v>
      </c>
      <c r="J17" s="1083">
        <f t="shared" si="16"/>
        <v>0</v>
      </c>
      <c r="K17" s="1083">
        <f t="shared" si="16"/>
        <v>0</v>
      </c>
      <c r="L17" s="1083">
        <f t="shared" si="16"/>
        <v>0</v>
      </c>
      <c r="M17" s="1083">
        <f t="shared" si="16"/>
        <v>0</v>
      </c>
      <c r="N17" s="1083">
        <f t="shared" si="16"/>
        <v>0</v>
      </c>
      <c r="O17" s="1083">
        <f t="shared" si="16"/>
        <v>0</v>
      </c>
      <c r="P17" s="1083">
        <f t="shared" si="16"/>
        <v>0</v>
      </c>
      <c r="Q17" s="1083">
        <f t="shared" si="16"/>
        <v>0</v>
      </c>
      <c r="R17" s="1083">
        <f t="shared" si="16"/>
        <v>0</v>
      </c>
      <c r="S17" s="1083">
        <f t="shared" si="16"/>
        <v>0</v>
      </c>
      <c r="T17" s="1083">
        <f t="shared" si="16"/>
        <v>0</v>
      </c>
      <c r="U17" s="1083">
        <f t="shared" si="16"/>
        <v>0</v>
      </c>
      <c r="V17" s="1083">
        <f t="shared" si="16"/>
        <v>0</v>
      </c>
      <c r="W17" s="1083">
        <f t="shared" si="16"/>
        <v>0</v>
      </c>
      <c r="X17" s="1083">
        <f t="shared" si="16"/>
        <v>0</v>
      </c>
      <c r="Y17" s="1083">
        <f t="shared" si="16"/>
        <v>0</v>
      </c>
      <c r="Z17" s="1083">
        <f t="shared" si="16"/>
        <v>0</v>
      </c>
      <c r="AA17" s="1083">
        <f t="shared" si="16"/>
        <v>0</v>
      </c>
      <c r="AB17" s="1083">
        <f t="shared" si="16"/>
        <v>0</v>
      </c>
      <c r="AC17" s="1083">
        <f t="shared" si="16"/>
        <v>0</v>
      </c>
      <c r="AD17" s="1066">
        <f t="shared" si="13"/>
        <v>0</v>
      </c>
      <c r="AE17" s="1066">
        <f t="shared" si="14"/>
        <v>0</v>
      </c>
      <c r="AG17" s="1168"/>
    </row>
    <row r="18" spans="2:34" s="1080" customFormat="1" ht="30" customHeight="1">
      <c r="B18" s="1017"/>
      <c r="C18" s="979"/>
      <c r="D18" s="1076"/>
      <c r="E18" s="1077"/>
      <c r="F18" s="1078"/>
      <c r="G18" s="1073"/>
      <c r="H18" s="1079"/>
      <c r="I18" s="1079"/>
      <c r="J18" s="1079"/>
      <c r="K18" s="1079"/>
      <c r="L18" s="1079"/>
      <c r="M18" s="1079"/>
      <c r="N18" s="1079"/>
      <c r="O18" s="1079"/>
      <c r="P18" s="1079"/>
      <c r="Q18" s="1079"/>
      <c r="R18" s="1079"/>
      <c r="S18" s="1079"/>
      <c r="T18" s="1079"/>
      <c r="U18" s="1079"/>
      <c r="V18" s="1079"/>
      <c r="W18" s="1079"/>
      <c r="X18" s="1079"/>
      <c r="Y18" s="1079"/>
      <c r="Z18" s="1079"/>
      <c r="AA18" s="1079"/>
      <c r="AB18" s="1079"/>
      <c r="AC18" s="1079"/>
      <c r="AD18" s="1066">
        <f t="shared" si="13"/>
        <v>0</v>
      </c>
      <c r="AE18" s="1066">
        <f t="shared" si="14"/>
        <v>0</v>
      </c>
      <c r="AG18" s="1029"/>
    </row>
    <row r="19" spans="2:34" s="1080" customFormat="1" ht="30" customHeight="1">
      <c r="B19" s="1017"/>
      <c r="C19" s="1081" t="s">
        <v>782</v>
      </c>
      <c r="D19" s="1076"/>
      <c r="E19" s="1077"/>
      <c r="F19" s="1078"/>
      <c r="G19" s="1073"/>
      <c r="H19" s="1079"/>
      <c r="I19" s="1079"/>
      <c r="J19" s="1079"/>
      <c r="K19" s="1079"/>
      <c r="L19" s="1079"/>
      <c r="M19" s="1079"/>
      <c r="N19" s="1079"/>
      <c r="O19" s="1079"/>
      <c r="P19" s="1079"/>
      <c r="Q19" s="1079"/>
      <c r="R19" s="1079"/>
      <c r="S19" s="1079"/>
      <c r="T19" s="1079"/>
      <c r="U19" s="1079"/>
      <c r="V19" s="1079"/>
      <c r="W19" s="1079"/>
      <c r="X19" s="1079"/>
      <c r="Y19" s="1079"/>
      <c r="Z19" s="1079"/>
      <c r="AA19" s="1079"/>
      <c r="AB19" s="1079"/>
      <c r="AC19" s="1079"/>
      <c r="AD19" s="1066">
        <f t="shared" si="13"/>
        <v>0</v>
      </c>
      <c r="AE19" s="1066">
        <f t="shared" si="14"/>
        <v>0</v>
      </c>
      <c r="AG19" s="1029"/>
    </row>
    <row r="20" spans="2:34" s="1080" customFormat="1" ht="30" customHeight="1">
      <c r="B20" s="1017">
        <v>4</v>
      </c>
      <c r="C20" s="1082" t="str">
        <f>+distribucion!G17</f>
        <v>Julaj Ixcotoyac Angel Estuardo</v>
      </c>
      <c r="D20" s="1070" t="str">
        <f>VLOOKUP(C20,distribucion!G$8:FP$153,2,0)</f>
        <v>Mensajero</v>
      </c>
      <c r="E20" s="1071">
        <f t="shared" ref="E20" si="17">H20+L20+N20+O20</f>
        <v>1200.68</v>
      </c>
      <c r="F20" s="1072">
        <f>VLOOKUP(C20,distribucion!G16:M161,7,FALSE)</f>
        <v>9</v>
      </c>
      <c r="G20" s="1063"/>
      <c r="H20" s="1064">
        <f>ROUND((VLOOKUP(C20,distribucion!G$1:FP$153,130,0)),2)</f>
        <v>1200.68</v>
      </c>
      <c r="I20" s="1064">
        <f>ROUND((VLOOKUP(C20,distribucion!G$8:FO$153,131,0)),2)</f>
        <v>111</v>
      </c>
      <c r="J20" s="1064">
        <f t="shared" ref="J20" si="18">H20+I20</f>
        <v>1311.68</v>
      </c>
      <c r="K20" s="1064">
        <f>VLOOKUP(C20,distribucion!G$8:FP$153,132,0)</f>
        <v>0</v>
      </c>
      <c r="L20" s="1064">
        <f>ROUND((VLOOKUP(C20,distribucion!G$8:FP$153,133,0)),2)</f>
        <v>0</v>
      </c>
      <c r="M20" s="1064">
        <f>VLOOKUP(C20,distribucion!G$8:FP$153,134,0)</f>
        <v>0</v>
      </c>
      <c r="N20" s="1064">
        <f>ROUND((VLOOKUP(C20,distribucion!G$8:FP$153,135,0)),2)</f>
        <v>0</v>
      </c>
      <c r="O20" s="1064">
        <v>0</v>
      </c>
      <c r="P20" s="1064">
        <f>ROUND((VLOOKUP(C20,distribucion!G$8:FP$153,36,0)),2)</f>
        <v>0</v>
      </c>
      <c r="Q20" s="1064">
        <f t="shared" ref="Q20" si="19">SUM(J20:P20)-K20-M20</f>
        <v>1311.68</v>
      </c>
      <c r="R20" s="1064">
        <f>ROUND(((H20+L20+N20+O20+P20)*4.83%),2)</f>
        <v>57.99</v>
      </c>
      <c r="S20" s="1064">
        <f>ROUND((VLOOKUP(C20,distribucion!G$8:FP$153,151,0)),2)</f>
        <v>0</v>
      </c>
      <c r="T20" s="1064">
        <f>ROUND((VLOOKUP(C20,distribucion!G$8:FP$153,152,0)),2)</f>
        <v>0</v>
      </c>
      <c r="U20" s="1064">
        <f>ROUND((VLOOKUP(C20,distribucion!G$8:FP$153,153,0)),2)</f>
        <v>0</v>
      </c>
      <c r="V20" s="1064">
        <f>ROUND((VLOOKUP(C20,distribucion!$G$1:$FJ$153,159,0)),2)</f>
        <v>0</v>
      </c>
      <c r="W20" s="1064">
        <f>ROUND((VLOOKUP(C20,distribucion!$G$1:$FJ$153,158,0)),2)</f>
        <v>0</v>
      </c>
      <c r="X20" s="1064">
        <f>ROUND((VLOOKUP(C20,distribucion!$G$1:$FJ$153,154,0)),2)</f>
        <v>0</v>
      </c>
      <c r="Y20" s="1064">
        <f>ROUND((VLOOKUP(C20,distribucion!G$8:FP$153,160,0)),2)</f>
        <v>0</v>
      </c>
      <c r="Z20" s="1065">
        <f t="shared" ref="Z20" si="20">SUM(R20:Y20)</f>
        <v>57.99</v>
      </c>
      <c r="AA20" s="1064">
        <f t="shared" ref="AA20" si="21">Q20-Z20</f>
        <v>1253.69</v>
      </c>
      <c r="AB20" s="1066">
        <v>0</v>
      </c>
      <c r="AC20" s="1067">
        <f t="shared" ref="AC20" si="22">+AA20-AB20</f>
        <v>1253.69</v>
      </c>
      <c r="AD20" s="1066">
        <f t="shared" ref="AD20" si="23">AA20-AB20-AC20</f>
        <v>0</v>
      </c>
      <c r="AE20" s="1066">
        <f t="shared" ref="AE20" si="24">((I20+H20+L20+O20++P20)-SUM(R20:Y20))-AA20</f>
        <v>0</v>
      </c>
      <c r="AF20" s="1029"/>
      <c r="AG20" s="1029"/>
      <c r="AH20" s="1029"/>
    </row>
    <row r="21" spans="2:34" s="1080" customFormat="1" ht="30" customHeight="1">
      <c r="B21" s="1017"/>
      <c r="C21" s="979"/>
      <c r="D21" s="1076" t="s">
        <v>171</v>
      </c>
      <c r="E21" s="1077"/>
      <c r="F21" s="1078"/>
      <c r="G21" s="1073"/>
      <c r="H21" s="1079">
        <f>SUM(H20)</f>
        <v>1200.68</v>
      </c>
      <c r="I21" s="1079">
        <f t="shared" ref="I21:AB21" si="25">SUM(I20)</f>
        <v>111</v>
      </c>
      <c r="J21" s="1079">
        <f t="shared" si="25"/>
        <v>1311.68</v>
      </c>
      <c r="K21" s="1079">
        <f t="shared" si="25"/>
        <v>0</v>
      </c>
      <c r="L21" s="1079">
        <f t="shared" si="25"/>
        <v>0</v>
      </c>
      <c r="M21" s="1079">
        <f t="shared" si="25"/>
        <v>0</v>
      </c>
      <c r="N21" s="1079">
        <f t="shared" si="25"/>
        <v>0</v>
      </c>
      <c r="O21" s="1079">
        <f t="shared" si="25"/>
        <v>0</v>
      </c>
      <c r="P21" s="1079">
        <f t="shared" si="25"/>
        <v>0</v>
      </c>
      <c r="Q21" s="1079">
        <f t="shared" si="25"/>
        <v>1311.68</v>
      </c>
      <c r="R21" s="1079">
        <f t="shared" si="25"/>
        <v>57.99</v>
      </c>
      <c r="S21" s="1079">
        <f t="shared" si="25"/>
        <v>0</v>
      </c>
      <c r="T21" s="1079">
        <f t="shared" si="25"/>
        <v>0</v>
      </c>
      <c r="U21" s="1079">
        <f t="shared" si="25"/>
        <v>0</v>
      </c>
      <c r="V21" s="1079">
        <f t="shared" si="25"/>
        <v>0</v>
      </c>
      <c r="W21" s="1079">
        <f t="shared" si="25"/>
        <v>0</v>
      </c>
      <c r="X21" s="1079">
        <f t="shared" si="25"/>
        <v>0</v>
      </c>
      <c r="Y21" s="1079">
        <f t="shared" si="25"/>
        <v>0</v>
      </c>
      <c r="Z21" s="1079">
        <f t="shared" si="25"/>
        <v>57.99</v>
      </c>
      <c r="AA21" s="1079">
        <f t="shared" si="25"/>
        <v>1253.69</v>
      </c>
      <c r="AB21" s="1079">
        <f t="shared" si="25"/>
        <v>0</v>
      </c>
      <c r="AC21" s="1067">
        <f t="shared" ref="AC21" si="26">+AA21-AB21</f>
        <v>1253.69</v>
      </c>
      <c r="AD21" s="1066">
        <f t="shared" si="13"/>
        <v>0</v>
      </c>
      <c r="AE21" s="1066">
        <f t="shared" si="14"/>
        <v>0</v>
      </c>
      <c r="AG21" s="1029"/>
    </row>
    <row r="22" spans="2:34" s="1080" customFormat="1" ht="30" customHeight="1">
      <c r="B22" s="1017"/>
      <c r="C22" s="979"/>
      <c r="D22" s="1076"/>
      <c r="E22" s="1077"/>
      <c r="F22" s="1078"/>
      <c r="G22" s="1073"/>
      <c r="H22" s="1079"/>
      <c r="I22" s="1079"/>
      <c r="J22" s="1079"/>
      <c r="K22" s="1079"/>
      <c r="L22" s="1079"/>
      <c r="M22" s="1079"/>
      <c r="N22" s="1079"/>
      <c r="O22" s="1079"/>
      <c r="P22" s="1079"/>
      <c r="Q22" s="1079"/>
      <c r="R22" s="1079"/>
      <c r="S22" s="1079"/>
      <c r="T22" s="1079"/>
      <c r="U22" s="1079"/>
      <c r="V22" s="1079"/>
      <c r="W22" s="1079"/>
      <c r="X22" s="1079"/>
      <c r="Y22" s="1079"/>
      <c r="Z22" s="1079"/>
      <c r="AA22" s="1079"/>
      <c r="AB22" s="1079"/>
      <c r="AC22" s="1079"/>
      <c r="AD22" s="1066">
        <f t="shared" si="13"/>
        <v>0</v>
      </c>
      <c r="AE22" s="1066">
        <f t="shared" si="14"/>
        <v>0</v>
      </c>
      <c r="AG22" s="1029"/>
    </row>
    <row r="23" spans="2:34" s="1173" customFormat="1" ht="30" customHeight="1">
      <c r="B23" s="1164"/>
      <c r="C23" s="1174"/>
      <c r="D23" s="1170" t="s">
        <v>694</v>
      </c>
      <c r="E23" s="1171"/>
      <c r="F23" s="1172"/>
      <c r="G23" s="1167"/>
      <c r="H23" s="1083">
        <f t="shared" ref="H23:AC23" si="27">+H13+H17+H21</f>
        <v>14205.240000000002</v>
      </c>
      <c r="I23" s="1083">
        <f t="shared" si="27"/>
        <v>1611</v>
      </c>
      <c r="J23" s="1083">
        <f t="shared" si="27"/>
        <v>15816.240000000002</v>
      </c>
      <c r="K23" s="1083">
        <f t="shared" si="27"/>
        <v>0</v>
      </c>
      <c r="L23" s="1083">
        <f t="shared" si="27"/>
        <v>0</v>
      </c>
      <c r="M23" s="1083">
        <f t="shared" si="27"/>
        <v>0</v>
      </c>
      <c r="N23" s="1083">
        <f t="shared" si="27"/>
        <v>0</v>
      </c>
      <c r="O23" s="1083">
        <f t="shared" si="27"/>
        <v>0</v>
      </c>
      <c r="P23" s="1083">
        <f t="shared" si="27"/>
        <v>0</v>
      </c>
      <c r="Q23" s="1083">
        <f t="shared" si="27"/>
        <v>15816.240000000002</v>
      </c>
      <c r="R23" s="1083">
        <f t="shared" si="27"/>
        <v>612.87</v>
      </c>
      <c r="S23" s="1083">
        <f t="shared" si="27"/>
        <v>87.92</v>
      </c>
      <c r="T23" s="1083">
        <f t="shared" si="27"/>
        <v>0</v>
      </c>
      <c r="U23" s="1083">
        <f t="shared" si="27"/>
        <v>0</v>
      </c>
      <c r="V23" s="1083">
        <f t="shared" si="27"/>
        <v>0</v>
      </c>
      <c r="W23" s="1083">
        <f t="shared" si="27"/>
        <v>0</v>
      </c>
      <c r="X23" s="1083">
        <f t="shared" si="27"/>
        <v>225</v>
      </c>
      <c r="Y23" s="1083">
        <f t="shared" si="27"/>
        <v>350</v>
      </c>
      <c r="Z23" s="1083">
        <f t="shared" si="27"/>
        <v>1275.79</v>
      </c>
      <c r="AA23" s="1083">
        <f t="shared" si="27"/>
        <v>14540.450000000003</v>
      </c>
      <c r="AB23" s="1083">
        <f t="shared" si="27"/>
        <v>6590.880000000001</v>
      </c>
      <c r="AC23" s="1083">
        <f t="shared" si="27"/>
        <v>7949.5700000000015</v>
      </c>
      <c r="AD23" s="1066">
        <f t="shared" si="13"/>
        <v>0</v>
      </c>
      <c r="AE23" s="1066">
        <f t="shared" si="14"/>
        <v>0</v>
      </c>
      <c r="AG23" s="1168"/>
    </row>
    <row r="24" spans="2:34" s="1080" customFormat="1" ht="30" customHeight="1">
      <c r="B24" s="1017"/>
      <c r="C24" s="992" t="s">
        <v>143</v>
      </c>
      <c r="D24" s="1076"/>
      <c r="E24" s="1077"/>
      <c r="F24" s="1078"/>
      <c r="G24" s="1073"/>
      <c r="H24" s="1079"/>
      <c r="I24" s="1079"/>
      <c r="J24" s="1079"/>
      <c r="K24" s="1079"/>
      <c r="L24" s="1079"/>
      <c r="M24" s="1079"/>
      <c r="N24" s="1079"/>
      <c r="O24" s="1079"/>
      <c r="P24" s="1079"/>
      <c r="Q24" s="1079"/>
      <c r="R24" s="1079"/>
      <c r="S24" s="1079"/>
      <c r="T24" s="1079"/>
      <c r="U24" s="1079"/>
      <c r="V24" s="1079"/>
      <c r="W24" s="1079"/>
      <c r="X24" s="1079"/>
      <c r="Y24" s="1079"/>
      <c r="Z24" s="1079"/>
      <c r="AA24" s="1079"/>
      <c r="AB24" s="1084"/>
      <c r="AC24" s="1084"/>
      <c r="AD24" s="1066">
        <f t="shared" si="13"/>
        <v>0</v>
      </c>
      <c r="AE24" s="1066">
        <f t="shared" si="14"/>
        <v>0</v>
      </c>
      <c r="AG24" s="1029"/>
    </row>
    <row r="25" spans="2:34" s="1080" customFormat="1" ht="30" customHeight="1">
      <c r="B25" s="1017"/>
      <c r="C25" s="1059" t="s">
        <v>619</v>
      </c>
      <c r="D25" s="1076"/>
      <c r="E25" s="1077"/>
      <c r="F25" s="1078"/>
      <c r="G25" s="1073"/>
      <c r="H25" s="1079"/>
      <c r="I25" s="1079"/>
      <c r="J25" s="1079"/>
      <c r="K25" s="1079"/>
      <c r="L25" s="1079"/>
      <c r="M25" s="1079"/>
      <c r="N25" s="1079"/>
      <c r="O25" s="1079"/>
      <c r="P25" s="1079"/>
      <c r="Q25" s="1079"/>
      <c r="R25" s="1079"/>
      <c r="S25" s="1079"/>
      <c r="T25" s="1079"/>
      <c r="U25" s="1079"/>
      <c r="V25" s="1079"/>
      <c r="W25" s="1079"/>
      <c r="X25" s="1079"/>
      <c r="Y25" s="1079"/>
      <c r="Z25" s="1079"/>
      <c r="AA25" s="1079"/>
      <c r="AB25" s="1066"/>
      <c r="AC25" s="1084"/>
      <c r="AD25" s="1066">
        <f t="shared" si="13"/>
        <v>0</v>
      </c>
      <c r="AE25" s="1066">
        <f t="shared" si="14"/>
        <v>0</v>
      </c>
      <c r="AG25" s="1029"/>
    </row>
    <row r="26" spans="2:34" s="1080" customFormat="1" ht="30" customHeight="1">
      <c r="B26" s="1017">
        <v>5</v>
      </c>
      <c r="C26" s="1085" t="s">
        <v>455</v>
      </c>
      <c r="D26" s="1070" t="str">
        <f>VLOOKUP(C26,distribucion!G$8:FP$153,2,0)</f>
        <v>Jefe de Recursos Humanos</v>
      </c>
      <c r="E26" s="1071">
        <f t="shared" ref="E26:E29" si="28">H26+L26+N26+O26</f>
        <v>9150</v>
      </c>
      <c r="F26" s="1072">
        <f>VLOOKUP(C26,distribucion!G8:M153,7,FALSE)</f>
        <v>30</v>
      </c>
      <c r="G26" s="1073">
        <f>VLOOKUP(C26,distribucion!$G$8:$DV$153,14,0)</f>
        <v>0</v>
      </c>
      <c r="H26" s="1064">
        <f>ROUND((VLOOKUP(C26,distribucion!G$1:FP$153,130,0)),2)</f>
        <v>9150</v>
      </c>
      <c r="I26" s="1064">
        <f>ROUND((VLOOKUP(C26,distribucion!G$8:FO$153,131,0)),2)</f>
        <v>4500</v>
      </c>
      <c r="J26" s="1064">
        <f t="shared" ref="J26" si="29">H26+I26</f>
        <v>13650</v>
      </c>
      <c r="K26" s="1064">
        <f>VLOOKUP(C26,distribucion!G$8:FP$153,132,0)</f>
        <v>0</v>
      </c>
      <c r="L26" s="1064">
        <f>ROUND((VLOOKUP(C26,distribucion!G$8:FP$153,133,0)),2)</f>
        <v>0</v>
      </c>
      <c r="M26" s="1064">
        <f>VLOOKUP(C26,distribucion!G$8:FP$153,134,0)</f>
        <v>0</v>
      </c>
      <c r="N26" s="1064">
        <f>ROUND((VLOOKUP(C26,distribucion!G$8:FP$153,135,0)),2)</f>
        <v>0</v>
      </c>
      <c r="O26" s="1027">
        <v>0</v>
      </c>
      <c r="P26" s="1074">
        <f>ROUND((VLOOKUP(C26,distribucion!G$8:FP$153,36,0)),2)</f>
        <v>0</v>
      </c>
      <c r="Q26" s="1027">
        <f>SUM(J26:P26)-K26-M26</f>
        <v>13650</v>
      </c>
      <c r="R26" s="1027">
        <f>ROUND(((H26+L26+N26+O26+P26)*0.0483),2)</f>
        <v>441.95</v>
      </c>
      <c r="S26" s="1027">
        <f>ROUND((VLOOKUP(C26,distribucion!G$8:FP$153,151,0)),2)</f>
        <v>429.5</v>
      </c>
      <c r="T26" s="1027">
        <f>ROUND((VLOOKUP(C26,distribucion!G$8:FP$153,152,0)),2)</f>
        <v>0</v>
      </c>
      <c r="U26" s="1027">
        <f>ROUND((VLOOKUP(C26,distribucion!G$8:FP$153,153,0)),2)</f>
        <v>0</v>
      </c>
      <c r="V26" s="1027">
        <f>ROUND((VLOOKUP(C26,distribucion!$G$1:$FJ$153,159,0)),2)</f>
        <v>0</v>
      </c>
      <c r="W26" s="1027">
        <f>ROUND((VLOOKUP(C26,distribucion!$G$1:$FJ$153,158,0)),2)</f>
        <v>0</v>
      </c>
      <c r="X26" s="1086">
        <f>ROUND((VLOOKUP(C26,distribucion!$G$1:$FJ$153,154,0)),2)</f>
        <v>602</v>
      </c>
      <c r="Y26" s="1027">
        <f>ROUND((VLOOKUP(C26,distribucion!G$8:FP$153,160,0)),2)</f>
        <v>0</v>
      </c>
      <c r="Z26" s="1066">
        <f>SUM(R26:Y26)</f>
        <v>1473.45</v>
      </c>
      <c r="AA26" s="1027">
        <f>Q26-Z26</f>
        <v>12176.55</v>
      </c>
      <c r="AB26" s="1066">
        <v>6089.28</v>
      </c>
      <c r="AC26" s="1067">
        <f t="shared" ref="AC26:AC29" si="30">+AA26-AB26</f>
        <v>6087.2699999999995</v>
      </c>
      <c r="AD26" s="1066">
        <f t="shared" si="13"/>
        <v>0</v>
      </c>
      <c r="AE26" s="1066">
        <f t="shared" si="14"/>
        <v>0</v>
      </c>
      <c r="AG26" s="1029"/>
    </row>
    <row r="27" spans="2:34" s="1080" customFormat="1" ht="30" customHeight="1">
      <c r="B27" s="1017">
        <v>6</v>
      </c>
      <c r="C27" s="979" t="s">
        <v>553</v>
      </c>
      <c r="D27" s="1070" t="str">
        <f>VLOOKUP(C27,distribucion!G$8:FP$153,2,0)</f>
        <v>Asistente de Recursos Humanos</v>
      </c>
      <c r="E27" s="1071">
        <f t="shared" si="28"/>
        <v>4850</v>
      </c>
      <c r="F27" s="1072">
        <f>VLOOKUP(C27,distribucion!G8:M153,7,FALSE)</f>
        <v>30</v>
      </c>
      <c r="G27" s="1073">
        <f>VLOOKUP(C27,distribucion!$G$8:$DV$153,14,0)</f>
        <v>0</v>
      </c>
      <c r="H27" s="1064">
        <f>ROUND((VLOOKUP(C27,distribucion!G$1:FP$153,130,0)),2)</f>
        <v>4850</v>
      </c>
      <c r="I27" s="1064">
        <f>ROUND((VLOOKUP(C27,distribucion!G$8:FO$153,131,0)),2)</f>
        <v>1500</v>
      </c>
      <c r="J27" s="1064">
        <f t="shared" ref="J27:J29" si="31">H27+I27</f>
        <v>6350</v>
      </c>
      <c r="K27" s="1064">
        <f>VLOOKUP(C27,distribucion!G$8:FP$153,132,0)</f>
        <v>0</v>
      </c>
      <c r="L27" s="1064">
        <f>ROUND((VLOOKUP(C27,distribucion!G$8:FP$153,133,0)),2)</f>
        <v>0</v>
      </c>
      <c r="M27" s="1064">
        <f>VLOOKUP(C27,distribucion!G$8:FP$153,134,0)</f>
        <v>0</v>
      </c>
      <c r="N27" s="1064">
        <f>ROUND((VLOOKUP(C27,distribucion!G$8:FP$153,135,0)),2)</f>
        <v>0</v>
      </c>
      <c r="O27" s="1027">
        <v>0</v>
      </c>
      <c r="P27" s="1074">
        <f>ROUND((VLOOKUP(C27,distribucion!G$8:FP$153,36,0)),2)</f>
        <v>0</v>
      </c>
      <c r="Q27" s="1027">
        <f t="shared" ref="Q27:Q29" si="32">SUM(J27:P27)-K27-M27</f>
        <v>6350</v>
      </c>
      <c r="R27" s="1027">
        <f t="shared" ref="R27:R29" si="33">ROUND(((H27+L27+N27+O27+P27)*0.0483),2)</f>
        <v>234.26</v>
      </c>
      <c r="S27" s="1027">
        <f>ROUND((VLOOKUP(C27,distribucion!G$8:FP$153,151,0)),2)</f>
        <v>115.97</v>
      </c>
      <c r="T27" s="1027">
        <f>ROUND((VLOOKUP(C27,distribucion!G$8:FP$153,152,0)),2)</f>
        <v>0</v>
      </c>
      <c r="U27" s="1027">
        <f>ROUND((VLOOKUP(C27,distribucion!G$8:FP$153,153,0)),2)</f>
        <v>0</v>
      </c>
      <c r="V27" s="1027">
        <f>ROUND((VLOOKUP(C27,distribucion!$G$1:$FJ$153,159,0)),2)</f>
        <v>313.43</v>
      </c>
      <c r="W27" s="1027">
        <f>ROUND((VLOOKUP(C27,distribucion!$G$1:$FJ$153,158,0)),2)</f>
        <v>0</v>
      </c>
      <c r="X27" s="1086">
        <f>ROUND((VLOOKUP(C27,distribucion!$G$1:$FJ$153,154,0)),2)</f>
        <v>205.5</v>
      </c>
      <c r="Y27" s="1027">
        <f>ROUND((VLOOKUP(C27,distribucion!G$8:FP$153,160,0)),2)</f>
        <v>350</v>
      </c>
      <c r="Z27" s="1066">
        <f t="shared" ref="Z27:Z29" si="34">SUM(R27:Y27)</f>
        <v>1219.1600000000001</v>
      </c>
      <c r="AA27" s="1027">
        <f t="shared" ref="AA27:AA29" si="35">Q27-Z27</f>
        <v>5130.84</v>
      </c>
      <c r="AB27" s="1066">
        <v>2475.6</v>
      </c>
      <c r="AC27" s="1067">
        <f t="shared" si="30"/>
        <v>2655.2400000000002</v>
      </c>
      <c r="AD27" s="1066">
        <f t="shared" si="13"/>
        <v>0</v>
      </c>
      <c r="AE27" s="1066">
        <f t="shared" si="14"/>
        <v>0</v>
      </c>
      <c r="AG27" s="1029"/>
    </row>
    <row r="28" spans="2:34" s="1080" customFormat="1" ht="30" customHeight="1">
      <c r="B28" s="1017">
        <v>7</v>
      </c>
      <c r="C28" s="979" t="str">
        <f>+distribucion!G24</f>
        <v>Saenz Lemus Dulce Maria</v>
      </c>
      <c r="D28" s="1070" t="str">
        <f>VLOOKUP(C28,distribucion!G$8:FP$153,2,0)</f>
        <v>Recepcionista</v>
      </c>
      <c r="E28" s="1071">
        <f t="shared" ref="E28" si="36">H28+L28+N28+O28</f>
        <v>4250.03</v>
      </c>
      <c r="F28" s="1072">
        <f>VLOOKUP(C28,distribucion!G9:M154,7,FALSE)</f>
        <v>30</v>
      </c>
      <c r="G28" s="1073">
        <f>VLOOKUP(C28,distribucion!$G$8:$DV$153,14,0)</f>
        <v>0</v>
      </c>
      <c r="H28" s="1064">
        <f>ROUND((VLOOKUP(C28,distribucion!G$1:FP$153,130,0)),2)</f>
        <v>4250.03</v>
      </c>
      <c r="I28" s="1064">
        <f>ROUND((VLOOKUP(C28,distribucion!G$8:FO$153,131,0)),2)</f>
        <v>250</v>
      </c>
      <c r="J28" s="1064">
        <f t="shared" ref="J28" si="37">H28+I28</f>
        <v>4500.03</v>
      </c>
      <c r="K28" s="1064">
        <f>VLOOKUP(C28,distribucion!G$8:FP$153,132,0)</f>
        <v>0</v>
      </c>
      <c r="L28" s="1064">
        <f>ROUND((VLOOKUP(C28,distribucion!G$8:FP$153,133,0)),2)</f>
        <v>0</v>
      </c>
      <c r="M28" s="1064">
        <f>VLOOKUP(C28,distribucion!G$8:FP$153,134,0)</f>
        <v>0</v>
      </c>
      <c r="N28" s="1064">
        <f>ROUND((VLOOKUP(C28,distribucion!G$8:FP$153,135,0)),2)</f>
        <v>0</v>
      </c>
      <c r="O28" s="1027">
        <v>0</v>
      </c>
      <c r="P28" s="1074">
        <f>ROUND((VLOOKUP(C28,distribucion!G$8:FP$153,36,0)),2)</f>
        <v>0</v>
      </c>
      <c r="Q28" s="1027">
        <f t="shared" ref="Q28" si="38">SUM(J28:P28)-K28-M28</f>
        <v>4500.03</v>
      </c>
      <c r="R28" s="1027">
        <f t="shared" ref="R28" si="39">ROUND(((H28+L28+N28+O28+P28)*0.0483),2)</f>
        <v>205.28</v>
      </c>
      <c r="S28" s="1027">
        <f>ROUND((VLOOKUP(C28,distribucion!G$8:FP$153,151,0)),2)</f>
        <v>4.51</v>
      </c>
      <c r="T28" s="1027">
        <f>ROUND((VLOOKUP(C28,distribucion!G$8:FP$153,152,0)),2)</f>
        <v>0</v>
      </c>
      <c r="U28" s="1027">
        <f>ROUND((VLOOKUP(C28,distribucion!G$8:FP$153,153,0)),2)</f>
        <v>0</v>
      </c>
      <c r="V28" s="1027">
        <f>ROUND((VLOOKUP(C28,distribucion!$G$1:$FJ$153,159,0)),2)</f>
        <v>0</v>
      </c>
      <c r="W28" s="1027">
        <f>ROUND((VLOOKUP(C28,distribucion!$G$1:$FJ$153,158,0)),2)</f>
        <v>0</v>
      </c>
      <c r="X28" s="1086">
        <f>ROUND((VLOOKUP(C28,distribucion!$G$1:$FJ$153,154,0)),2)</f>
        <v>224</v>
      </c>
      <c r="Y28" s="1027">
        <f>ROUND((VLOOKUP(C28,distribucion!G$8:FP$153,160,0)),2)</f>
        <v>0</v>
      </c>
      <c r="Z28" s="1066">
        <f t="shared" ref="Z28" si="40">SUM(R28:Y28)</f>
        <v>433.78999999999996</v>
      </c>
      <c r="AA28" s="1027">
        <f t="shared" ref="AA28" si="41">Q28-Z28</f>
        <v>4066.24</v>
      </c>
      <c r="AB28" s="1066">
        <v>2009.62</v>
      </c>
      <c r="AC28" s="1067">
        <f t="shared" si="30"/>
        <v>2056.62</v>
      </c>
      <c r="AD28" s="1066"/>
      <c r="AE28" s="1066"/>
      <c r="AG28" s="1029"/>
    </row>
    <row r="29" spans="2:34" s="1080" customFormat="1" ht="30" customHeight="1">
      <c r="B29" s="1017">
        <v>8</v>
      </c>
      <c r="C29" s="979" t="s">
        <v>678</v>
      </c>
      <c r="D29" s="1070" t="str">
        <f>VLOOKUP(C29,distribucion!G$8:FP$153,2,0)</f>
        <v>Asistente de Reclutamiento</v>
      </c>
      <c r="E29" s="1071">
        <f t="shared" si="28"/>
        <v>4725</v>
      </c>
      <c r="F29" s="1072">
        <f>VLOOKUP(C29,distribucion!G9:M153,7,FALSE)</f>
        <v>30</v>
      </c>
      <c r="G29" s="1073">
        <f>VLOOKUP(C29,distribucion!$G$8:$DV$153,14,0)</f>
        <v>0</v>
      </c>
      <c r="H29" s="1064">
        <f>ROUND((VLOOKUP(C29,distribucion!G$1:FP$153,130,0)),2)</f>
        <v>4725</v>
      </c>
      <c r="I29" s="1064">
        <f>ROUND((VLOOKUP(C29,distribucion!G$8:FO$153,131,0)),2)</f>
        <v>1000</v>
      </c>
      <c r="J29" s="1064">
        <f t="shared" si="31"/>
        <v>5725</v>
      </c>
      <c r="K29" s="1064">
        <f>VLOOKUP(C29,distribucion!G$8:FP$153,132,0)</f>
        <v>0</v>
      </c>
      <c r="L29" s="1064">
        <f>ROUND((VLOOKUP(C29,distribucion!G$8:FP$153,133,0)),2)</f>
        <v>0</v>
      </c>
      <c r="M29" s="1064">
        <f>VLOOKUP(C29,distribucion!G$8:FP$153,134,0)</f>
        <v>0</v>
      </c>
      <c r="N29" s="1064">
        <f>ROUND((VLOOKUP(C29,distribucion!G$8:FP$153,135,0)),2)</f>
        <v>0</v>
      </c>
      <c r="O29" s="1027">
        <v>0</v>
      </c>
      <c r="P29" s="1074">
        <f>ROUND((VLOOKUP(C29,distribucion!G$8:FP$153,36,0)),2)</f>
        <v>0</v>
      </c>
      <c r="Q29" s="1027">
        <f t="shared" si="32"/>
        <v>5725</v>
      </c>
      <c r="R29" s="1027">
        <f t="shared" si="33"/>
        <v>228.22</v>
      </c>
      <c r="S29" s="1027">
        <f>ROUND((VLOOKUP(C29,distribucion!G$8:FP$153,151,0)),2)</f>
        <v>61.78</v>
      </c>
      <c r="T29" s="1027">
        <f>ROUND((VLOOKUP(C29,distribucion!G$8:FP$153,152,0)),2)</f>
        <v>0</v>
      </c>
      <c r="U29" s="1027">
        <f>ROUND((VLOOKUP(C29,distribucion!G$8:FP$153,153,0)),2)</f>
        <v>0</v>
      </c>
      <c r="V29" s="1027">
        <f>ROUND((VLOOKUP(C29,distribucion!$G$1:$FJ$153,159,0)),2)</f>
        <v>313.43</v>
      </c>
      <c r="W29" s="1027">
        <f>ROUND((VLOOKUP(C29,distribucion!$G$1:$FJ$153,158,0)),2)</f>
        <v>0</v>
      </c>
      <c r="X29" s="1086">
        <f>ROUND((VLOOKUP(C29,distribucion!$G$1:$FJ$153,154,0)),2)</f>
        <v>445.5</v>
      </c>
      <c r="Y29" s="1027">
        <f>ROUND((VLOOKUP(C29,distribucion!G$8:FP$153,160,0)),2)</f>
        <v>82.5</v>
      </c>
      <c r="Z29" s="1066">
        <f t="shared" si="34"/>
        <v>1131.43</v>
      </c>
      <c r="AA29" s="1027">
        <f t="shared" si="35"/>
        <v>4593.57</v>
      </c>
      <c r="AB29" s="1066">
        <v>2502</v>
      </c>
      <c r="AC29" s="1067">
        <f t="shared" si="30"/>
        <v>2091.5699999999997</v>
      </c>
      <c r="AD29" s="1066">
        <f t="shared" si="13"/>
        <v>0</v>
      </c>
      <c r="AE29" s="1066">
        <f t="shared" si="14"/>
        <v>0</v>
      </c>
      <c r="AG29" s="1029"/>
    </row>
    <row r="30" spans="2:34" s="1173" customFormat="1" ht="30" customHeight="1">
      <c r="B30" s="1164"/>
      <c r="C30" s="1169"/>
      <c r="D30" s="1170" t="s">
        <v>171</v>
      </c>
      <c r="E30" s="1171"/>
      <c r="F30" s="1172"/>
      <c r="G30" s="1167"/>
      <c r="H30" s="1083">
        <f>SUM(H26:H29)</f>
        <v>22975.03</v>
      </c>
      <c r="I30" s="1083">
        <f t="shared" ref="I30:AB30" si="42">SUM(I26:I29)</f>
        <v>7250</v>
      </c>
      <c r="J30" s="1083">
        <f t="shared" si="42"/>
        <v>30225.03</v>
      </c>
      <c r="K30" s="1083">
        <f t="shared" si="42"/>
        <v>0</v>
      </c>
      <c r="L30" s="1083">
        <f t="shared" si="42"/>
        <v>0</v>
      </c>
      <c r="M30" s="1083">
        <f t="shared" si="42"/>
        <v>0</v>
      </c>
      <c r="N30" s="1083">
        <f t="shared" si="42"/>
        <v>0</v>
      </c>
      <c r="O30" s="1083">
        <f t="shared" si="42"/>
        <v>0</v>
      </c>
      <c r="P30" s="1083">
        <f t="shared" si="42"/>
        <v>0</v>
      </c>
      <c r="Q30" s="1083">
        <f t="shared" si="42"/>
        <v>30225.03</v>
      </c>
      <c r="R30" s="1083">
        <f t="shared" si="42"/>
        <v>1109.71</v>
      </c>
      <c r="S30" s="1083">
        <f t="shared" si="42"/>
        <v>611.76</v>
      </c>
      <c r="T30" s="1083">
        <f t="shared" si="42"/>
        <v>0</v>
      </c>
      <c r="U30" s="1083">
        <f t="shared" si="42"/>
        <v>0</v>
      </c>
      <c r="V30" s="1083">
        <f t="shared" si="42"/>
        <v>626.86</v>
      </c>
      <c r="W30" s="1083">
        <f t="shared" si="42"/>
        <v>0</v>
      </c>
      <c r="X30" s="1083">
        <f t="shared" si="42"/>
        <v>1477</v>
      </c>
      <c r="Y30" s="1083">
        <f t="shared" si="42"/>
        <v>432.5</v>
      </c>
      <c r="Z30" s="1083">
        <f t="shared" si="42"/>
        <v>4257.83</v>
      </c>
      <c r="AA30" s="1083">
        <f t="shared" si="42"/>
        <v>25967.199999999997</v>
      </c>
      <c r="AB30" s="1083">
        <f t="shared" si="42"/>
        <v>13076.5</v>
      </c>
      <c r="AC30" s="1083">
        <f>SUM(AC26:AC29)</f>
        <v>12890.7</v>
      </c>
      <c r="AD30" s="1066">
        <f t="shared" si="13"/>
        <v>0</v>
      </c>
      <c r="AE30" s="1066">
        <f t="shared" si="14"/>
        <v>0</v>
      </c>
      <c r="AG30" s="1168"/>
    </row>
    <row r="31" spans="2:34" s="1080" customFormat="1" ht="30" customHeight="1">
      <c r="B31" s="1017"/>
      <c r="C31" s="1075"/>
      <c r="D31" s="1076"/>
      <c r="E31" s="1077"/>
      <c r="F31" s="1078"/>
      <c r="G31" s="1073"/>
      <c r="H31" s="1079"/>
      <c r="I31" s="1088"/>
      <c r="J31" s="1088"/>
      <c r="K31" s="1088"/>
      <c r="L31" s="1088"/>
      <c r="M31" s="1088"/>
      <c r="N31" s="1088"/>
      <c r="O31" s="1088"/>
      <c r="P31" s="1088"/>
      <c r="Q31" s="1088"/>
      <c r="R31" s="1088"/>
      <c r="S31" s="1088"/>
      <c r="T31" s="1088"/>
      <c r="U31" s="1088"/>
      <c r="V31" s="1088"/>
      <c r="W31" s="1088"/>
      <c r="X31" s="1088"/>
      <c r="Y31" s="1088"/>
      <c r="Z31" s="1088"/>
      <c r="AA31" s="1088"/>
      <c r="AB31" s="1089"/>
      <c r="AC31" s="1090"/>
      <c r="AD31" s="1066">
        <f t="shared" si="13"/>
        <v>0</v>
      </c>
      <c r="AE31" s="1066">
        <f t="shared" si="14"/>
        <v>0</v>
      </c>
      <c r="AG31" s="1029"/>
    </row>
    <row r="32" spans="2:34" s="1080" customFormat="1" ht="30" customHeight="1">
      <c r="B32" s="1017"/>
      <c r="C32" s="992" t="s">
        <v>142</v>
      </c>
      <c r="D32" s="1076"/>
      <c r="E32" s="1077"/>
      <c r="F32" s="1078"/>
      <c r="G32" s="1073"/>
      <c r="H32" s="1079"/>
      <c r="I32" s="1088"/>
      <c r="J32" s="1088"/>
      <c r="K32" s="1088"/>
      <c r="L32" s="1088"/>
      <c r="M32" s="1088"/>
      <c r="N32" s="1088"/>
      <c r="O32" s="1088"/>
      <c r="P32" s="1088"/>
      <c r="Q32" s="1088"/>
      <c r="R32" s="1088"/>
      <c r="S32" s="1088"/>
      <c r="T32" s="1088"/>
      <c r="U32" s="1088"/>
      <c r="V32" s="1088"/>
      <c r="W32" s="1088"/>
      <c r="X32" s="1088"/>
      <c r="Y32" s="1088"/>
      <c r="Z32" s="1088"/>
      <c r="AA32" s="1088"/>
      <c r="AB32" s="1089"/>
      <c r="AC32" s="1090"/>
      <c r="AD32" s="1066">
        <f t="shared" si="13"/>
        <v>0</v>
      </c>
      <c r="AE32" s="1066">
        <f t="shared" si="14"/>
        <v>0</v>
      </c>
      <c r="AG32" s="1029"/>
    </row>
    <row r="33" spans="2:33" s="1080" customFormat="1" ht="30" customHeight="1">
      <c r="B33" s="1017">
        <v>9</v>
      </c>
      <c r="C33" s="979" t="s">
        <v>419</v>
      </c>
      <c r="D33" s="1070" t="str">
        <f>VLOOKUP(C33,distribucion!G$8:FP$153,2,0)</f>
        <v>Jefe de Informática</v>
      </c>
      <c r="E33" s="1071">
        <f t="shared" ref="E33" si="43">H33+L33+N33+O33</f>
        <v>8000</v>
      </c>
      <c r="F33" s="1072">
        <f>VLOOKUP(C33,distribucion!G9:M153,7,FALSE)</f>
        <v>30</v>
      </c>
      <c r="G33" s="1073"/>
      <c r="H33" s="1064">
        <f>ROUND((VLOOKUP(C33,distribucion!G$1:FP$153,130,0)),2)</f>
        <v>8000</v>
      </c>
      <c r="I33" s="1064">
        <f>ROUND((VLOOKUP(C33,distribucion!G$8:FO$153,131,0)),2)</f>
        <v>7500</v>
      </c>
      <c r="J33" s="1064">
        <f t="shared" ref="J33" si="44">H33+I33</f>
        <v>15500</v>
      </c>
      <c r="K33" s="1064">
        <f>VLOOKUP(C33,distribucion!G$8:FP$153,132,0)</f>
        <v>0</v>
      </c>
      <c r="L33" s="1064">
        <f>ROUND((VLOOKUP(C33,distribucion!G$8:FP$153,133,0)),2)</f>
        <v>0</v>
      </c>
      <c r="M33" s="1064">
        <f>VLOOKUP(C33,distribucion!G$8:FP$153,134,0)</f>
        <v>0</v>
      </c>
      <c r="N33" s="1064">
        <f>ROUND((VLOOKUP(C33,distribucion!G$8:FP$153,135,0)),2)</f>
        <v>0</v>
      </c>
      <c r="O33" s="1027">
        <v>0</v>
      </c>
      <c r="P33" s="1074">
        <f>ROUND((VLOOKUP(C33,distribucion!G$8:FP$153,36,0)),2)</f>
        <v>0</v>
      </c>
      <c r="Q33" s="1027">
        <f>SUM(J33:P33)-K33-M33</f>
        <v>15500</v>
      </c>
      <c r="R33" s="1027">
        <f>ROUND(((H33+L33+N33+O33+P33)*0.0483),2)</f>
        <v>386.4</v>
      </c>
      <c r="S33" s="1027">
        <f>ROUND((VLOOKUP(C33,distribucion!G$8:FP$153,151,0)),2)</f>
        <v>493.18</v>
      </c>
      <c r="T33" s="1027">
        <f>ROUND((VLOOKUP(C33,distribucion!G$8:FP$153,152,0)),2)</f>
        <v>2633.75</v>
      </c>
      <c r="U33" s="1064">
        <f>ROUND((VLOOKUP(C33,distribucion!G$8:FP$153,153,0)),2)</f>
        <v>0</v>
      </c>
      <c r="V33" s="1027">
        <f>ROUND((VLOOKUP(C33,distribucion!$G$1:$FJ$153,159,0)),2)</f>
        <v>0</v>
      </c>
      <c r="W33" s="1027">
        <f>ROUND((VLOOKUP(C33,distribucion!$G$1:$FJ$153,158,0)),2)</f>
        <v>0</v>
      </c>
      <c r="X33" s="1027">
        <f>ROUND((VLOOKUP(C33,distribucion!$G$1:$FJ$153,154,0)),2)</f>
        <v>0</v>
      </c>
      <c r="Y33" s="1027">
        <f>ROUND((VLOOKUP(C33,distribucion!G$8:FP$153,160,0)),2)</f>
        <v>0</v>
      </c>
      <c r="Z33" s="1066">
        <f>SUM(R33:Y33)</f>
        <v>3513.33</v>
      </c>
      <c r="AA33" s="1027">
        <f>Q33-Z33</f>
        <v>11986.67</v>
      </c>
      <c r="AB33" s="1066">
        <v>5993.33</v>
      </c>
      <c r="AC33" s="1067">
        <f t="shared" ref="AC33:AC35" si="45">+AA33-AB33</f>
        <v>5993.34</v>
      </c>
      <c r="AD33" s="1066">
        <f t="shared" si="13"/>
        <v>0</v>
      </c>
      <c r="AE33" s="1066">
        <f t="shared" si="14"/>
        <v>0</v>
      </c>
      <c r="AG33" s="1029"/>
    </row>
    <row r="34" spans="2:33" ht="30" customHeight="1">
      <c r="B34" s="1017">
        <v>10</v>
      </c>
      <c r="C34" s="979" t="s">
        <v>681</v>
      </c>
      <c r="D34" s="1070" t="str">
        <f>VLOOKUP(C34,distribucion!G$8:FP$153,2,0)</f>
        <v>Analista Programador</v>
      </c>
      <c r="E34" s="1071">
        <f>H34+L34+N34+O34</f>
        <v>4200</v>
      </c>
      <c r="F34" s="1072">
        <f>VLOOKUP(C34,distribucion!G10:M153,7,FALSE)</f>
        <v>30</v>
      </c>
      <c r="G34" s="1073">
        <f>VLOOKUP(C34,distribucion!$G$8:$DV$153,14,0)</f>
        <v>0</v>
      </c>
      <c r="H34" s="1064">
        <f>ROUND((VLOOKUP(C34,distribucion!G$1:FP$153,130,0)),2)</f>
        <v>4200</v>
      </c>
      <c r="I34" s="1064">
        <f>ROUND((VLOOKUP(C34,distribucion!G$8:FO$153,131,0)),2)</f>
        <v>600</v>
      </c>
      <c r="J34" s="1064">
        <f t="shared" ref="J34:J35" si="46">H34+I34</f>
        <v>4800</v>
      </c>
      <c r="K34" s="1064">
        <f>VLOOKUP(C34,distribucion!G$8:FP$153,132,0)</f>
        <v>0</v>
      </c>
      <c r="L34" s="1064">
        <f>ROUND((VLOOKUP(C34,distribucion!G$8:FP$153,133,0)),2)</f>
        <v>0</v>
      </c>
      <c r="M34" s="1064">
        <f>VLOOKUP(C34,distribucion!G$8:FP$153,134,0)</f>
        <v>0</v>
      </c>
      <c r="N34" s="1064">
        <f>ROUND((VLOOKUP(C34,distribucion!G$8:FP$153,135,0)),2)</f>
        <v>0</v>
      </c>
      <c r="O34" s="1027">
        <v>0</v>
      </c>
      <c r="P34" s="1074">
        <f>ROUND((VLOOKUP(C34,distribucion!G$8:FP$153,36,0)),2)</f>
        <v>0</v>
      </c>
      <c r="Q34" s="1027">
        <f>SUM(J34:P34)-K34-M34</f>
        <v>4800</v>
      </c>
      <c r="R34" s="1027">
        <f>ROUND(((H34+L34+N34+O34+P34)*0.0483),2)</f>
        <v>202.86</v>
      </c>
      <c r="S34" s="1027">
        <f>ROUND((VLOOKUP(C34,distribucion!G$8:FP$153,151,0)),2)</f>
        <v>21</v>
      </c>
      <c r="T34" s="1027">
        <f>ROUND((VLOOKUP(C34,distribucion!G$8:FP$153,152,0)),2)</f>
        <v>0</v>
      </c>
      <c r="U34" s="1027">
        <f>ROUND((VLOOKUP(C34,distribucion!G$8:FP$153,153,0)),2)</f>
        <v>0</v>
      </c>
      <c r="V34" s="1027">
        <f>ROUND((VLOOKUP(C34,distribucion!$G$1:$FJ$153,159,0)),2)</f>
        <v>0</v>
      </c>
      <c r="W34" s="1027">
        <f>ROUND((VLOOKUP(C34,distribucion!$G$1:$FJ$153,158,0)),2)</f>
        <v>0</v>
      </c>
      <c r="X34" s="1027">
        <f>ROUND((VLOOKUP(C34,distribucion!$G$1:$FJ$153,154,0)),2)</f>
        <v>0</v>
      </c>
      <c r="Y34" s="1027">
        <f>ROUND((VLOOKUP(C34,distribucion!G$8:FP$153,160,0)),2)</f>
        <v>0</v>
      </c>
      <c r="Z34" s="1066">
        <f>SUM(R34:Y34)</f>
        <v>223.86</v>
      </c>
      <c r="AA34" s="1027">
        <f>Q34-Z34</f>
        <v>4576.1400000000003</v>
      </c>
      <c r="AB34" s="1066">
        <v>2288.0700000000002</v>
      </c>
      <c r="AC34" s="1067">
        <f t="shared" si="45"/>
        <v>2288.0700000000002</v>
      </c>
      <c r="AD34" s="1066">
        <f t="shared" si="13"/>
        <v>0</v>
      </c>
      <c r="AE34" s="1066">
        <f t="shared" si="14"/>
        <v>0</v>
      </c>
    </row>
    <row r="35" spans="2:33" ht="30" customHeight="1">
      <c r="B35" s="1017">
        <v>11</v>
      </c>
      <c r="C35" s="1018" t="str">
        <f>+distribucion!G31</f>
        <v>Vega Ortega Cesar Javier Arnoldo</v>
      </c>
      <c r="D35" s="1070" t="str">
        <f>VLOOKUP(C35,distribucion!G$8:FP$153,2,0)</f>
        <v>Analista Programador</v>
      </c>
      <c r="E35" s="1071">
        <f>H35+L35+N35+O35</f>
        <v>4200</v>
      </c>
      <c r="F35" s="1072">
        <f>VLOOKUP(C35,distribucion!G10:M153,7,FALSE)</f>
        <v>30</v>
      </c>
      <c r="G35" s="1073">
        <f>VLOOKUP(C35,distribucion!$G$8:$DV$153,14,0)</f>
        <v>0</v>
      </c>
      <c r="H35" s="1064">
        <f>ROUND((VLOOKUP(C35,distribucion!G$1:FP$153,130,0)),2)</f>
        <v>4200</v>
      </c>
      <c r="I35" s="1064">
        <f>ROUND((VLOOKUP(C35,distribucion!G$8:FO$153,131,0)),2)</f>
        <v>600</v>
      </c>
      <c r="J35" s="1064">
        <f t="shared" si="46"/>
        <v>4800</v>
      </c>
      <c r="K35" s="1064">
        <f>VLOOKUP(C35,distribucion!G$8:FP$153,132,0)</f>
        <v>0</v>
      </c>
      <c r="L35" s="1064">
        <f>ROUND((VLOOKUP(C35,distribucion!G$8:FP$153,133,0)),2)</f>
        <v>0</v>
      </c>
      <c r="M35" s="1064">
        <f>VLOOKUP(C35,distribucion!G$8:FP$153,134,0)</f>
        <v>0</v>
      </c>
      <c r="N35" s="1064">
        <f>ROUND((VLOOKUP(C35,distribucion!G$8:FP$153,135,0)),2)</f>
        <v>0</v>
      </c>
      <c r="O35" s="1027">
        <v>0</v>
      </c>
      <c r="P35" s="1074">
        <f>ROUND((VLOOKUP(C35,distribucion!G$8:FP$153,36,0)),2)</f>
        <v>0</v>
      </c>
      <c r="Q35" s="1027">
        <f>SUM(J35:P35)-K35-M35</f>
        <v>4800</v>
      </c>
      <c r="R35" s="1027">
        <f>ROUND(((H35+L35+N35+O35+P35)*0.0483),2)</f>
        <v>202.86</v>
      </c>
      <c r="S35" s="1027">
        <f>ROUND((VLOOKUP(C35,distribucion!G$8:FP$153,151,0)),2)</f>
        <v>21</v>
      </c>
      <c r="T35" s="1027">
        <f>ROUND((VLOOKUP(C35,distribucion!G$8:FP$153,152,0)),2)</f>
        <v>0</v>
      </c>
      <c r="U35" s="1027">
        <f>ROUND((VLOOKUP(C35,distribucion!G$8:FP$153,153,0)),2)</f>
        <v>0</v>
      </c>
      <c r="V35" s="1027">
        <f>ROUND((VLOOKUP(C35,distribucion!$G$1:$FJ$153,159,0)),2)</f>
        <v>0</v>
      </c>
      <c r="W35" s="1027">
        <f>ROUND((VLOOKUP(C35,distribucion!$G$1:$FJ$153,158,0)),2)</f>
        <v>0</v>
      </c>
      <c r="X35" s="1027">
        <f>ROUND((VLOOKUP(C35,distribucion!$G$1:$FJ$153,154,0)),2)</f>
        <v>0</v>
      </c>
      <c r="Y35" s="1027">
        <f>ROUND((VLOOKUP(C35,distribucion!G$8:FP$153,160,0)),2)</f>
        <v>0</v>
      </c>
      <c r="Z35" s="1066">
        <f>SUM(R35:Y35)</f>
        <v>223.86</v>
      </c>
      <c r="AA35" s="1027">
        <f>Q35-Z35</f>
        <v>4576.1400000000003</v>
      </c>
      <c r="AB35" s="1066">
        <v>2288.0700000000002</v>
      </c>
      <c r="AC35" s="1067">
        <f t="shared" si="45"/>
        <v>2288.0700000000002</v>
      </c>
      <c r="AD35" s="1066">
        <f t="shared" si="13"/>
        <v>0</v>
      </c>
      <c r="AE35" s="1066">
        <f t="shared" si="14"/>
        <v>0</v>
      </c>
    </row>
    <row r="36" spans="2:33" s="1173" customFormat="1" ht="30" customHeight="1">
      <c r="B36" s="1164"/>
      <c r="C36" s="1169"/>
      <c r="D36" s="1170" t="s">
        <v>171</v>
      </c>
      <c r="E36" s="1171" t="s">
        <v>171</v>
      </c>
      <c r="F36" s="1172"/>
      <c r="G36" s="1167"/>
      <c r="H36" s="1083">
        <f>SUM(H33:H35)</f>
        <v>16400</v>
      </c>
      <c r="I36" s="1083">
        <f t="shared" ref="I36:AC36" si="47">SUM(I33:I35)</f>
        <v>8700</v>
      </c>
      <c r="J36" s="1083">
        <f t="shared" si="47"/>
        <v>25100</v>
      </c>
      <c r="K36" s="1083">
        <f t="shared" si="47"/>
        <v>0</v>
      </c>
      <c r="L36" s="1083">
        <f t="shared" si="47"/>
        <v>0</v>
      </c>
      <c r="M36" s="1083">
        <f t="shared" si="47"/>
        <v>0</v>
      </c>
      <c r="N36" s="1083">
        <f t="shared" si="47"/>
        <v>0</v>
      </c>
      <c r="O36" s="1083">
        <f t="shared" si="47"/>
        <v>0</v>
      </c>
      <c r="P36" s="1083">
        <f t="shared" si="47"/>
        <v>0</v>
      </c>
      <c r="Q36" s="1083">
        <f t="shared" si="47"/>
        <v>25100</v>
      </c>
      <c r="R36" s="1083">
        <f t="shared" si="47"/>
        <v>792.12</v>
      </c>
      <c r="S36" s="1083">
        <f t="shared" si="47"/>
        <v>535.18000000000006</v>
      </c>
      <c r="T36" s="1083">
        <f t="shared" si="47"/>
        <v>2633.75</v>
      </c>
      <c r="U36" s="1083">
        <f t="shared" si="47"/>
        <v>0</v>
      </c>
      <c r="V36" s="1083">
        <f t="shared" si="47"/>
        <v>0</v>
      </c>
      <c r="W36" s="1083">
        <f t="shared" si="47"/>
        <v>0</v>
      </c>
      <c r="X36" s="1083">
        <f t="shared" si="47"/>
        <v>0</v>
      </c>
      <c r="Y36" s="1083">
        <f t="shared" si="47"/>
        <v>0</v>
      </c>
      <c r="Z36" s="1083">
        <f t="shared" si="47"/>
        <v>3961.05</v>
      </c>
      <c r="AA36" s="1083">
        <f>SUM(AA33:AA35)</f>
        <v>21138.95</v>
      </c>
      <c r="AB36" s="1083">
        <f t="shared" si="47"/>
        <v>10569.47</v>
      </c>
      <c r="AC36" s="1083">
        <f t="shared" si="47"/>
        <v>10569.48</v>
      </c>
      <c r="AD36" s="1066">
        <f t="shared" si="13"/>
        <v>0</v>
      </c>
      <c r="AE36" s="1066">
        <f t="shared" si="14"/>
        <v>0</v>
      </c>
      <c r="AG36" s="1168"/>
    </row>
    <row r="37" spans="2:33" s="1080" customFormat="1" ht="30" customHeight="1">
      <c r="B37" s="1017"/>
      <c r="C37" s="1075"/>
      <c r="D37" s="1076"/>
      <c r="E37" s="1077"/>
      <c r="F37" s="1078"/>
      <c r="G37" s="1073"/>
      <c r="H37" s="1079"/>
      <c r="I37" s="1079"/>
      <c r="J37" s="1079"/>
      <c r="K37" s="1079"/>
      <c r="L37" s="1079"/>
      <c r="M37" s="1079"/>
      <c r="N37" s="1079"/>
      <c r="O37" s="1079"/>
      <c r="P37" s="1079"/>
      <c r="Q37" s="1079"/>
      <c r="R37" s="1079"/>
      <c r="S37" s="1079"/>
      <c r="T37" s="1079"/>
      <c r="U37" s="1079"/>
      <c r="V37" s="1079"/>
      <c r="W37" s="1079"/>
      <c r="X37" s="1079"/>
      <c r="Y37" s="1079"/>
      <c r="Z37" s="1079"/>
      <c r="AA37" s="1079"/>
      <c r="AB37" s="1084"/>
      <c r="AC37" s="1084"/>
      <c r="AD37" s="1066">
        <f t="shared" si="13"/>
        <v>0</v>
      </c>
      <c r="AE37" s="1066">
        <f t="shared" si="14"/>
        <v>0</v>
      </c>
      <c r="AG37" s="1029"/>
    </row>
    <row r="38" spans="2:33" s="1080" customFormat="1" ht="30" customHeight="1">
      <c r="B38" s="1017"/>
      <c r="C38" s="992" t="s">
        <v>621</v>
      </c>
      <c r="D38" s="1076"/>
      <c r="E38" s="1077"/>
      <c r="F38" s="1078"/>
      <c r="G38" s="1073"/>
      <c r="H38" s="1079"/>
      <c r="I38" s="1079"/>
      <c r="J38" s="1079"/>
      <c r="K38" s="1079"/>
      <c r="L38" s="1079"/>
      <c r="M38" s="1079"/>
      <c r="N38" s="1079"/>
      <c r="O38" s="1079"/>
      <c r="P38" s="1079"/>
      <c r="Q38" s="1079"/>
      <c r="R38" s="1079"/>
      <c r="S38" s="1079"/>
      <c r="T38" s="1079"/>
      <c r="U38" s="1079"/>
      <c r="V38" s="1079"/>
      <c r="W38" s="1079"/>
      <c r="X38" s="1079"/>
      <c r="Y38" s="1079"/>
      <c r="Z38" s="1079"/>
      <c r="AA38" s="1079"/>
      <c r="AB38" s="1084"/>
      <c r="AC38" s="1084"/>
      <c r="AD38" s="1066">
        <f t="shared" si="13"/>
        <v>0</v>
      </c>
      <c r="AE38" s="1066">
        <f t="shared" si="14"/>
        <v>0</v>
      </c>
      <c r="AG38" s="1029"/>
    </row>
    <row r="39" spans="2:33" s="1080" customFormat="1" ht="30" customHeight="1">
      <c r="B39" s="1017"/>
      <c r="C39" s="1059" t="s">
        <v>619</v>
      </c>
      <c r="D39" s="1076"/>
      <c r="E39" s="1077"/>
      <c r="F39" s="1078"/>
      <c r="G39" s="1073"/>
      <c r="H39" s="1079"/>
      <c r="I39" s="1079"/>
      <c r="J39" s="1079"/>
      <c r="K39" s="1079"/>
      <c r="L39" s="1079"/>
      <c r="M39" s="1079"/>
      <c r="N39" s="1079"/>
      <c r="O39" s="1079"/>
      <c r="P39" s="1079"/>
      <c r="Q39" s="1079"/>
      <c r="R39" s="1079"/>
      <c r="S39" s="1079"/>
      <c r="T39" s="1079"/>
      <c r="U39" s="1079"/>
      <c r="V39" s="1079"/>
      <c r="W39" s="1079"/>
      <c r="X39" s="1079"/>
      <c r="Y39" s="1079"/>
      <c r="Z39" s="1079"/>
      <c r="AA39" s="1079"/>
      <c r="AB39" s="1084"/>
      <c r="AC39" s="1084"/>
      <c r="AD39" s="1066">
        <f t="shared" si="13"/>
        <v>0</v>
      </c>
      <c r="AE39" s="1066">
        <f t="shared" si="14"/>
        <v>0</v>
      </c>
      <c r="AG39" s="1029"/>
    </row>
    <row r="40" spans="2:33" s="1080" customFormat="1" ht="30" customHeight="1">
      <c r="B40" s="1017">
        <v>12</v>
      </c>
      <c r="C40" s="1082" t="s">
        <v>418</v>
      </c>
      <c r="D40" s="1070" t="str">
        <f>VLOOKUP(C40,distribucion!G$8:FP$153,2,0)</f>
        <v>Auditor interno</v>
      </c>
      <c r="E40" s="1071">
        <f t="shared" ref="E40" si="48">H40+L40+N40+O40</f>
        <v>8000</v>
      </c>
      <c r="F40" s="1072">
        <f>VLOOKUP(C40,distribucion!G12:M153,7,FALSE)</f>
        <v>30</v>
      </c>
      <c r="G40" s="1073" t="str">
        <f>VLOOKUP(C40,distribucion!$G$8:$DV$153,14,0)</f>
        <v xml:space="preserve"> </v>
      </c>
      <c r="H40" s="1064">
        <f>ROUND((VLOOKUP(C40,distribucion!G$1:FP$153,130,0)),2)</f>
        <v>8000</v>
      </c>
      <c r="I40" s="1064">
        <f>ROUND((VLOOKUP(C40,distribucion!G$8:FO$153,131,0)),2)</f>
        <v>4000</v>
      </c>
      <c r="J40" s="1064">
        <f t="shared" ref="J40" si="49">H40+I40</f>
        <v>12000</v>
      </c>
      <c r="K40" s="1064">
        <f>VLOOKUP(C40,distribucion!G$8:FP$153,132,0)</f>
        <v>0</v>
      </c>
      <c r="L40" s="1064">
        <f>ROUND((VLOOKUP(C40,distribucion!G$8:FP$153,133,0)),2)</f>
        <v>0</v>
      </c>
      <c r="M40" s="1064">
        <f>VLOOKUP(C40,distribucion!G$8:FP$153,134,0)</f>
        <v>0</v>
      </c>
      <c r="N40" s="1064">
        <f>ROUND((VLOOKUP(C40,distribucion!G$8:FP$153,135,0)),2)</f>
        <v>0</v>
      </c>
      <c r="O40" s="1027">
        <v>0</v>
      </c>
      <c r="P40" s="1074">
        <f>ROUND((VLOOKUP(C40,distribucion!G$8:FP$153,36,0)),2)</f>
        <v>0</v>
      </c>
      <c r="Q40" s="1027">
        <f>SUM(J40:P40)-K40-M40</f>
        <v>12000</v>
      </c>
      <c r="R40" s="1027">
        <f>ROUND(((H40+L40+N40+O40+P40)*0.0483),2)</f>
        <v>386.4</v>
      </c>
      <c r="S40" s="1027">
        <f>ROUND((VLOOKUP(C40,distribucion!G$8:FP$153,151,0)),2)</f>
        <v>358.88</v>
      </c>
      <c r="T40" s="1027">
        <f>ROUND((VLOOKUP(C40,distribucion!G$8:FP$153,152,0)),2)</f>
        <v>0</v>
      </c>
      <c r="U40" s="1027">
        <f>ROUND((VLOOKUP(C40,distribucion!G$8:FP$153,153,0)),2)</f>
        <v>0</v>
      </c>
      <c r="V40" s="1027">
        <f>ROUND((VLOOKUP(C40,distribucion!$G$1:$FJ$153,159,0)),2)</f>
        <v>0</v>
      </c>
      <c r="W40" s="1027">
        <f>ROUND((VLOOKUP(C40,distribucion!$G$1:$FJ$153,158,0)),2)</f>
        <v>0</v>
      </c>
      <c r="X40" s="1027">
        <f>ROUND((VLOOKUP(C40,distribucion!$G$1:$FJ$153,154,0)),2)</f>
        <v>0</v>
      </c>
      <c r="Y40" s="1027">
        <f>ROUND((VLOOKUP(C40,distribucion!G$8:FP$153,160,0)),2)</f>
        <v>350</v>
      </c>
      <c r="Z40" s="1066">
        <f>SUM(R40:Y40)</f>
        <v>1095.28</v>
      </c>
      <c r="AA40" s="1027">
        <f>Q40-Z40</f>
        <v>10904.72</v>
      </c>
      <c r="AB40" s="1066">
        <v>5452.36</v>
      </c>
      <c r="AC40" s="1067">
        <f t="shared" ref="AC40:AC42" si="50">+AA40-AB40</f>
        <v>5452.36</v>
      </c>
      <c r="AD40" s="1066">
        <f t="shared" si="13"/>
        <v>0</v>
      </c>
      <c r="AE40" s="1066">
        <f t="shared" si="14"/>
        <v>0</v>
      </c>
      <c r="AG40" s="1029"/>
    </row>
    <row r="41" spans="2:33" s="1080" customFormat="1" ht="30" customHeight="1">
      <c r="B41" s="1017">
        <v>13</v>
      </c>
      <c r="C41" s="1082" t="str">
        <f>+distribucion!G36</f>
        <v>Roman Morales Mirta de los Angeles</v>
      </c>
      <c r="D41" s="1070" t="str">
        <f>VLOOKUP(C41,distribucion!G$8:FP$153,2,0)</f>
        <v>Operador de Monitoreo</v>
      </c>
      <c r="E41" s="1071">
        <f t="shared" ref="E41" si="51">H41+L41+N41+O41</f>
        <v>4200</v>
      </c>
      <c r="F41" s="1072">
        <f>VLOOKUP(C41,distribucion!G13:M154,7,FALSE)</f>
        <v>30</v>
      </c>
      <c r="G41" s="1073">
        <f>VLOOKUP(C41,distribucion!$G$8:$DV$153,14,0)</f>
        <v>0</v>
      </c>
      <c r="H41" s="1064">
        <f>ROUND((VLOOKUP(C41,distribucion!G$1:FP$153,130,0)),2)</f>
        <v>4200</v>
      </c>
      <c r="I41" s="1064">
        <f>ROUND((VLOOKUP(C41,distribucion!G$8:FO$153,131,0)),2)</f>
        <v>250</v>
      </c>
      <c r="J41" s="1064">
        <f t="shared" ref="J41" si="52">H41+I41</f>
        <v>4450</v>
      </c>
      <c r="K41" s="1064">
        <f>VLOOKUP(C41,distribucion!G$8:FP$153,132,0)</f>
        <v>0</v>
      </c>
      <c r="L41" s="1064">
        <f>ROUND((VLOOKUP(C41,distribucion!G$8:FP$153,133,0)),2)</f>
        <v>0</v>
      </c>
      <c r="M41" s="1064">
        <f>VLOOKUP(C41,distribucion!G$8:FP$153,134,0)</f>
        <v>0</v>
      </c>
      <c r="N41" s="1064">
        <f>ROUND((VLOOKUP(C41,distribucion!G$8:FP$153,135,0)),2)</f>
        <v>0</v>
      </c>
      <c r="O41" s="1027">
        <v>0</v>
      </c>
      <c r="P41" s="1074">
        <f>ROUND((VLOOKUP(C41,distribucion!G$8:FP$153,36,0)),2)</f>
        <v>0</v>
      </c>
      <c r="Q41" s="1027">
        <f>SUM(J41:P41)-K41-M41</f>
        <v>4450</v>
      </c>
      <c r="R41" s="1027">
        <f>ROUND(((H41+L41+N41+O41+P41)*0.0483),2)</f>
        <v>202.86</v>
      </c>
      <c r="S41" s="1027">
        <f>ROUND((VLOOKUP(C41,distribucion!G$8:FP$153,151,0)),2)</f>
        <v>0</v>
      </c>
      <c r="T41" s="1027">
        <f>ROUND((VLOOKUP(C41,distribucion!G$8:FP$153,152,0)),2)</f>
        <v>0</v>
      </c>
      <c r="U41" s="1027">
        <f>ROUND((VLOOKUP(C41,distribucion!G$8:FP$153,153,0)),2)</f>
        <v>0</v>
      </c>
      <c r="V41" s="1027">
        <f>ROUND((VLOOKUP(C41,distribucion!$G$1:$FJ$153,159,0)),2)</f>
        <v>0</v>
      </c>
      <c r="W41" s="1027">
        <f>ROUND((VLOOKUP(C41,distribucion!$G$1:$FJ$153,158,0)),2)</f>
        <v>0</v>
      </c>
      <c r="X41" s="1027">
        <f>ROUND((VLOOKUP(C41,distribucion!$G$1:$FJ$153,154,0)),2)</f>
        <v>0</v>
      </c>
      <c r="Y41" s="1027">
        <f>ROUND((VLOOKUP(C41,distribucion!G$8:FP$153,160,0)),2)</f>
        <v>0</v>
      </c>
      <c r="Z41" s="1066">
        <f>SUM(R41:Y41)</f>
        <v>202.86</v>
      </c>
      <c r="AA41" s="1027">
        <f>Q41-Z41</f>
        <v>4247.1400000000003</v>
      </c>
      <c r="AB41" s="1066">
        <v>2123.5700000000002</v>
      </c>
      <c r="AC41" s="1067">
        <f t="shared" si="50"/>
        <v>2123.5700000000002</v>
      </c>
      <c r="AD41" s="1066"/>
      <c r="AE41" s="1066"/>
      <c r="AG41" s="1029"/>
    </row>
    <row r="42" spans="2:33" s="1080" customFormat="1" ht="30" customHeight="1">
      <c r="B42" s="1017">
        <v>14</v>
      </c>
      <c r="C42" s="1018" t="str">
        <f>+distribucion!G37</f>
        <v>Apen Escalante Ami Adriana</v>
      </c>
      <c r="D42" s="1070" t="str">
        <f>VLOOKUP(C42,distribucion!G$8:FP$153,2,0)</f>
        <v>Asistente de Auditoria Interna</v>
      </c>
      <c r="E42" s="1071">
        <f t="shared" ref="E42" si="53">H42+L42+N42+O42</f>
        <v>4500</v>
      </c>
      <c r="F42" s="1072">
        <f>VLOOKUP(C42,distribucion!G13:M154,7,FALSE)</f>
        <v>30</v>
      </c>
      <c r="G42" s="1073">
        <f>VLOOKUP(C42,distribucion!$G$8:$DV$153,14,0)</f>
        <v>0</v>
      </c>
      <c r="H42" s="1064">
        <f>ROUND((VLOOKUP(C42,distribucion!G$1:FP$153,130,0)),2)</f>
        <v>4500</v>
      </c>
      <c r="I42" s="1064">
        <f>ROUND((VLOOKUP(C42,distribucion!G$8:FO$153,131,0)),2)</f>
        <v>500</v>
      </c>
      <c r="J42" s="1064">
        <f t="shared" ref="J42" si="54">H42+I42</f>
        <v>5000</v>
      </c>
      <c r="K42" s="1064">
        <f>VLOOKUP(C42,distribucion!G$8:FP$153,132,0)</f>
        <v>0</v>
      </c>
      <c r="L42" s="1064">
        <f>ROUND((VLOOKUP(C42,distribucion!G$8:FP$153,133,0)),2)</f>
        <v>0</v>
      </c>
      <c r="M42" s="1064">
        <f>VLOOKUP(C42,distribucion!G$8:FP$153,134,0)</f>
        <v>0</v>
      </c>
      <c r="N42" s="1064">
        <f>ROUND((VLOOKUP(C42,distribucion!G$8:FP$153,135,0)),2)</f>
        <v>0</v>
      </c>
      <c r="O42" s="1027">
        <v>0</v>
      </c>
      <c r="P42" s="1074">
        <f>ROUND((VLOOKUP(C42,distribucion!G$8:FP$153,36,0)),2)</f>
        <v>0</v>
      </c>
      <c r="Q42" s="1027">
        <f>SUM(J42:P42)-K42-M42</f>
        <v>5000</v>
      </c>
      <c r="R42" s="1027">
        <f>ROUND(((H42+L42+N42+O42+P42)*0.0483),2)</f>
        <v>217.35</v>
      </c>
      <c r="S42" s="1027">
        <f>ROUND((VLOOKUP(C42,distribucion!G$8:FP$153,151,0)),2)</f>
        <v>0</v>
      </c>
      <c r="T42" s="1027">
        <f>ROUND((VLOOKUP(C42,distribucion!G$8:FP$153,152,0)),2)</f>
        <v>0</v>
      </c>
      <c r="U42" s="1027">
        <f>ROUND((VLOOKUP(C42,distribucion!G$8:FP$153,153,0)),2)</f>
        <v>0</v>
      </c>
      <c r="V42" s="1027">
        <f>ROUND((VLOOKUP(C42,distribucion!$G$1:$FJ$153,159,0)),2)</f>
        <v>0</v>
      </c>
      <c r="W42" s="1027">
        <f>ROUND((VLOOKUP(C42,distribucion!$G$1:$FJ$153,158,0)),2)</f>
        <v>0</v>
      </c>
      <c r="X42" s="1027">
        <f>ROUND((VLOOKUP(C42,distribucion!$G$1:$FJ$153,154,0)),2)</f>
        <v>0</v>
      </c>
      <c r="Y42" s="1027">
        <f>ROUND((VLOOKUP(C42,distribucion!G$8:FP$153,160,0)),2)</f>
        <v>350</v>
      </c>
      <c r="Z42" s="1066">
        <f>SUM(R42:Y42)</f>
        <v>567.35</v>
      </c>
      <c r="AA42" s="1027">
        <f>Q42-Z42</f>
        <v>4432.6499999999996</v>
      </c>
      <c r="AB42" s="1066">
        <v>2216.3200000000002</v>
      </c>
      <c r="AC42" s="1067">
        <f t="shared" si="50"/>
        <v>2216.3299999999995</v>
      </c>
      <c r="AD42" s="1066"/>
      <c r="AE42" s="1066"/>
      <c r="AG42" s="1029"/>
    </row>
    <row r="43" spans="2:33" s="1080" customFormat="1" ht="31.5">
      <c r="B43" s="1017"/>
      <c r="C43" s="1075"/>
      <c r="D43" s="1076" t="s">
        <v>171</v>
      </c>
      <c r="E43" s="1077"/>
      <c r="F43" s="1078"/>
      <c r="G43" s="1073"/>
      <c r="H43" s="1087">
        <f t="shared" ref="H43:AC43" si="55">SUM(H40:H42)</f>
        <v>16700</v>
      </c>
      <c r="I43" s="1087">
        <f t="shared" si="55"/>
        <v>4750</v>
      </c>
      <c r="J43" s="1087">
        <f t="shared" si="55"/>
        <v>21450</v>
      </c>
      <c r="K43" s="1087">
        <f t="shared" si="55"/>
        <v>0</v>
      </c>
      <c r="L43" s="1087">
        <f t="shared" si="55"/>
        <v>0</v>
      </c>
      <c r="M43" s="1087">
        <f t="shared" si="55"/>
        <v>0</v>
      </c>
      <c r="N43" s="1087">
        <f t="shared" si="55"/>
        <v>0</v>
      </c>
      <c r="O43" s="1087">
        <f t="shared" si="55"/>
        <v>0</v>
      </c>
      <c r="P43" s="1087">
        <f t="shared" si="55"/>
        <v>0</v>
      </c>
      <c r="Q43" s="1087">
        <f t="shared" si="55"/>
        <v>21450</v>
      </c>
      <c r="R43" s="1087">
        <f t="shared" si="55"/>
        <v>806.61</v>
      </c>
      <c r="S43" s="1087">
        <f t="shared" si="55"/>
        <v>358.88</v>
      </c>
      <c r="T43" s="1087">
        <f t="shared" si="55"/>
        <v>0</v>
      </c>
      <c r="U43" s="1087">
        <f t="shared" si="55"/>
        <v>0</v>
      </c>
      <c r="V43" s="1087">
        <f t="shared" si="55"/>
        <v>0</v>
      </c>
      <c r="W43" s="1087">
        <f t="shared" si="55"/>
        <v>0</v>
      </c>
      <c r="X43" s="1087">
        <f t="shared" si="55"/>
        <v>0</v>
      </c>
      <c r="Y43" s="1087">
        <f t="shared" si="55"/>
        <v>700</v>
      </c>
      <c r="Z43" s="1087">
        <f t="shared" si="55"/>
        <v>1865.4899999999998</v>
      </c>
      <c r="AA43" s="1087">
        <f t="shared" si="55"/>
        <v>19584.510000000002</v>
      </c>
      <c r="AB43" s="1087">
        <f t="shared" si="55"/>
        <v>9792.25</v>
      </c>
      <c r="AC43" s="1087">
        <f t="shared" si="55"/>
        <v>9792.26</v>
      </c>
      <c r="AD43" s="1066">
        <f t="shared" si="13"/>
        <v>0</v>
      </c>
      <c r="AE43" s="1066">
        <f t="shared" si="14"/>
        <v>0</v>
      </c>
      <c r="AG43" s="1029"/>
    </row>
    <row r="44" spans="2:33" s="1080" customFormat="1" ht="30" customHeight="1">
      <c r="B44" s="1017"/>
      <c r="C44" s="1075"/>
      <c r="D44" s="1091"/>
      <c r="E44" s="1092"/>
      <c r="F44" s="1093"/>
      <c r="G44" s="1094"/>
      <c r="H44" s="1074"/>
      <c r="I44" s="1074"/>
      <c r="J44" s="1074"/>
      <c r="K44" s="1074"/>
      <c r="L44" s="1074"/>
      <c r="M44" s="1074"/>
      <c r="N44" s="1074"/>
      <c r="O44" s="1074"/>
      <c r="P44" s="1074"/>
      <c r="Q44" s="1074"/>
      <c r="R44" s="1074"/>
      <c r="S44" s="1074"/>
      <c r="T44" s="1074"/>
      <c r="U44" s="1074"/>
      <c r="V44" s="1074"/>
      <c r="W44" s="1074"/>
      <c r="X44" s="1074"/>
      <c r="Y44" s="1074"/>
      <c r="Z44" s="1095"/>
      <c r="AA44" s="1074"/>
      <c r="AB44" s="1066"/>
      <c r="AC44" s="1067"/>
      <c r="AD44" s="1066">
        <f t="shared" si="13"/>
        <v>0</v>
      </c>
      <c r="AE44" s="1066">
        <f t="shared" si="14"/>
        <v>0</v>
      </c>
      <c r="AG44" s="1029"/>
    </row>
    <row r="45" spans="2:33" s="1080" customFormat="1" ht="30" customHeight="1">
      <c r="B45" s="1017"/>
      <c r="C45" s="992" t="s">
        <v>623</v>
      </c>
      <c r="D45" s="1096"/>
      <c r="E45" s="1032"/>
      <c r="F45" s="1072"/>
      <c r="G45" s="1073"/>
      <c r="H45" s="1027"/>
      <c r="I45" s="1027"/>
      <c r="J45" s="1027"/>
      <c r="K45" s="1027"/>
      <c r="L45" s="1027"/>
      <c r="M45" s="1027"/>
      <c r="N45" s="1027"/>
      <c r="O45" s="1027"/>
      <c r="P45" s="1027"/>
      <c r="Q45" s="1027"/>
      <c r="R45" s="1027"/>
      <c r="S45" s="1027"/>
      <c r="T45" s="1027"/>
      <c r="U45" s="1027"/>
      <c r="V45" s="1027"/>
      <c r="W45" s="1027"/>
      <c r="X45" s="1027"/>
      <c r="Y45" s="1027"/>
      <c r="Z45" s="1066"/>
      <c r="AA45" s="1027"/>
      <c r="AB45" s="1066"/>
      <c r="AC45" s="1067"/>
      <c r="AD45" s="1066">
        <f t="shared" si="13"/>
        <v>0</v>
      </c>
      <c r="AE45" s="1066">
        <f t="shared" si="14"/>
        <v>0</v>
      </c>
      <c r="AG45" s="1029"/>
    </row>
    <row r="46" spans="2:33" s="1080" customFormat="1" ht="30" customHeight="1">
      <c r="B46" s="1017"/>
      <c r="C46" s="1059" t="s">
        <v>619</v>
      </c>
      <c r="D46" s="1096"/>
      <c r="E46" s="1032"/>
      <c r="F46" s="1072"/>
      <c r="G46" s="1073"/>
      <c r="H46" s="1027"/>
      <c r="I46" s="1027"/>
      <c r="J46" s="1027"/>
      <c r="K46" s="1027"/>
      <c r="L46" s="1027"/>
      <c r="M46" s="1027"/>
      <c r="N46" s="1027"/>
      <c r="O46" s="1027"/>
      <c r="P46" s="1027"/>
      <c r="Q46" s="1027"/>
      <c r="R46" s="1027"/>
      <c r="S46" s="1027"/>
      <c r="T46" s="1027"/>
      <c r="U46" s="1027"/>
      <c r="V46" s="1027"/>
      <c r="W46" s="1027"/>
      <c r="X46" s="1027"/>
      <c r="Y46" s="1027"/>
      <c r="Z46" s="1066"/>
      <c r="AA46" s="1027"/>
      <c r="AB46" s="1066"/>
      <c r="AC46" s="1067"/>
      <c r="AD46" s="1066">
        <f t="shared" si="13"/>
        <v>0</v>
      </c>
      <c r="AE46" s="1066">
        <f t="shared" si="14"/>
        <v>0</v>
      </c>
      <c r="AG46" s="1029"/>
    </row>
    <row r="47" spans="2:33" s="1080" customFormat="1" ht="30" customHeight="1">
      <c r="B47" s="1017">
        <v>15</v>
      </c>
      <c r="C47" s="1085" t="str">
        <f>+distribucion!G41</f>
        <v>Lorenzana Gonzalez Cesar Leonel</v>
      </c>
      <c r="D47" s="1070" t="str">
        <f>VLOOKUP(C47,distribucion!G$8:FP$153,2,0)</f>
        <v>Gerente Financiero</v>
      </c>
      <c r="E47" s="1071">
        <f t="shared" ref="E47" si="56">H47+L47+N47+O47</f>
        <v>20000</v>
      </c>
      <c r="F47" s="1072">
        <f>VLOOKUP(C47,distribucion!G13:M153,7,FALSE)</f>
        <v>30</v>
      </c>
      <c r="G47" s="1073">
        <f>VLOOKUP(C47,distribucion!$G$8:$DV$153,14,0)</f>
        <v>0</v>
      </c>
      <c r="H47" s="1064">
        <f>ROUND((VLOOKUP(C47,distribucion!G$1:FP$153,130,0)),2)</f>
        <v>20000</v>
      </c>
      <c r="I47" s="1064">
        <f>ROUND((VLOOKUP(C47,distribucion!G$8:FO$153,131,0)),2)</f>
        <v>7000</v>
      </c>
      <c r="J47" s="1064">
        <f t="shared" ref="J47" si="57">H47+I47</f>
        <v>27000</v>
      </c>
      <c r="K47" s="1064">
        <f>VLOOKUP(C47,distribucion!G$8:FP$153,132,0)</f>
        <v>0</v>
      </c>
      <c r="L47" s="1064">
        <f>ROUND((VLOOKUP(C47,distribucion!G$8:FP$153,133,0)),2)</f>
        <v>0</v>
      </c>
      <c r="M47" s="1064">
        <f>VLOOKUP(C47,distribucion!G$8:FP$153,134,0)</f>
        <v>0</v>
      </c>
      <c r="N47" s="1064">
        <f>ROUND((VLOOKUP(C47,distribucion!G$8:FP$153,135,0)),2)</f>
        <v>0</v>
      </c>
      <c r="O47" s="1097">
        <v>0</v>
      </c>
      <c r="P47" s="1098">
        <f>ROUND((VLOOKUP(C47,distribucion!G$8:FP$153,36,0)),2)</f>
        <v>0</v>
      </c>
      <c r="Q47" s="1097">
        <f t="shared" ref="Q47:Q50" si="58">SUM(J47:P47)-K47-M47</f>
        <v>27000</v>
      </c>
      <c r="R47" s="1097">
        <f t="shared" ref="R47:R50" si="59">ROUND(((H47+L47+N47+O47+P47)*0.0483),2)</f>
        <v>966</v>
      </c>
      <c r="S47" s="1097">
        <f>ROUND((VLOOKUP(C47,distribucion!G$8:FP$153,151,0)),2)</f>
        <v>1108.97</v>
      </c>
      <c r="T47" s="1097">
        <f>ROUND((VLOOKUP(C47,distribucion!G$8:FP$153,152,0)),2)</f>
        <v>9519.84</v>
      </c>
      <c r="U47" s="1097">
        <f>ROUND((VLOOKUP(C47,distribucion!G$8:FP$153,153,0)),2)</f>
        <v>0</v>
      </c>
      <c r="V47" s="1097">
        <f>ROUND((VLOOKUP(C47,distribucion!G8:FJ153,159,0)),2)</f>
        <v>0</v>
      </c>
      <c r="W47" s="1097">
        <f>ROUND((VLOOKUP(C47,distribucion!G8:FJ153,158,0)),2)</f>
        <v>0</v>
      </c>
      <c r="X47" s="1097">
        <f>ROUND((VLOOKUP(C47,distribucion!G8:FJ153,154,0)),2)</f>
        <v>0</v>
      </c>
      <c r="Y47" s="1097">
        <f>ROUND((VLOOKUP(C47,distribucion!G$8:FP$153,160,0)),2)</f>
        <v>0</v>
      </c>
      <c r="Z47" s="1099">
        <f t="shared" ref="Z47:Z50" si="60">SUM(R47:Y47)</f>
        <v>11594.810000000001</v>
      </c>
      <c r="AA47" s="1097">
        <f t="shared" ref="AA47:AA50" si="61">Q47-Z47</f>
        <v>15405.189999999999</v>
      </c>
      <c r="AB47" s="1066">
        <v>7702.59</v>
      </c>
      <c r="AC47" s="1067">
        <f t="shared" ref="AC47" si="62">+AA47-AB47</f>
        <v>7702.5999999999985</v>
      </c>
      <c r="AD47" s="1066">
        <f t="shared" si="13"/>
        <v>0</v>
      </c>
      <c r="AE47" s="1066">
        <f t="shared" si="14"/>
        <v>0</v>
      </c>
      <c r="AG47" s="1029"/>
    </row>
    <row r="48" spans="2:33" s="1080" customFormat="1" ht="30" customHeight="1">
      <c r="B48" s="1017"/>
      <c r="C48" s="1085"/>
      <c r="D48" s="1076" t="s">
        <v>171</v>
      </c>
      <c r="E48" s="1071"/>
      <c r="F48" s="1072"/>
      <c r="G48" s="1073"/>
      <c r="H48" s="1100">
        <f>SUM(H47)</f>
        <v>20000</v>
      </c>
      <c r="I48" s="1100">
        <f t="shared" ref="I48:AB48" si="63">SUM(I47)</f>
        <v>7000</v>
      </c>
      <c r="J48" s="1100">
        <f t="shared" si="63"/>
        <v>27000</v>
      </c>
      <c r="K48" s="1100">
        <f t="shared" si="63"/>
        <v>0</v>
      </c>
      <c r="L48" s="1100">
        <f t="shared" si="63"/>
        <v>0</v>
      </c>
      <c r="M48" s="1100">
        <f t="shared" si="63"/>
        <v>0</v>
      </c>
      <c r="N48" s="1100">
        <f t="shared" si="63"/>
        <v>0</v>
      </c>
      <c r="O48" s="1100">
        <f t="shared" si="63"/>
        <v>0</v>
      </c>
      <c r="P48" s="1100">
        <f t="shared" si="63"/>
        <v>0</v>
      </c>
      <c r="Q48" s="1100">
        <f t="shared" si="63"/>
        <v>27000</v>
      </c>
      <c r="R48" s="1100">
        <f t="shared" si="63"/>
        <v>966</v>
      </c>
      <c r="S48" s="1100">
        <f t="shared" si="63"/>
        <v>1108.97</v>
      </c>
      <c r="T48" s="1100">
        <f t="shared" si="63"/>
        <v>9519.84</v>
      </c>
      <c r="U48" s="1100">
        <f t="shared" si="63"/>
        <v>0</v>
      </c>
      <c r="V48" s="1100">
        <f t="shared" si="63"/>
        <v>0</v>
      </c>
      <c r="W48" s="1100">
        <f t="shared" si="63"/>
        <v>0</v>
      </c>
      <c r="X48" s="1100">
        <f t="shared" si="63"/>
        <v>0</v>
      </c>
      <c r="Y48" s="1100">
        <f t="shared" si="63"/>
        <v>0</v>
      </c>
      <c r="Z48" s="1100">
        <f t="shared" si="63"/>
        <v>11594.810000000001</v>
      </c>
      <c r="AA48" s="1100">
        <f t="shared" si="63"/>
        <v>15405.189999999999</v>
      </c>
      <c r="AB48" s="1100">
        <f t="shared" si="63"/>
        <v>7702.59</v>
      </c>
      <c r="AC48" s="1100">
        <f>SUM(AC47)</f>
        <v>7702.5999999999985</v>
      </c>
      <c r="AD48" s="1066">
        <f t="shared" si="13"/>
        <v>0</v>
      </c>
      <c r="AE48" s="1066">
        <f t="shared" si="14"/>
        <v>0</v>
      </c>
      <c r="AG48" s="1029"/>
    </row>
    <row r="49" spans="2:33" s="1080" customFormat="1" ht="30" customHeight="1">
      <c r="B49" s="1017"/>
      <c r="C49" s="1059" t="s">
        <v>139</v>
      </c>
      <c r="D49" s="1070"/>
      <c r="E49" s="1071"/>
      <c r="F49" s="1072" t="s">
        <v>52</v>
      </c>
      <c r="G49" s="1073"/>
      <c r="H49" s="1027"/>
      <c r="I49" s="1027"/>
      <c r="J49" s="1027"/>
      <c r="K49" s="1027"/>
      <c r="L49" s="1027"/>
      <c r="M49" s="1027"/>
      <c r="N49" s="1027"/>
      <c r="O49" s="1027"/>
      <c r="P49" s="1074"/>
      <c r="Q49" s="1027"/>
      <c r="R49" s="1027"/>
      <c r="S49" s="1027"/>
      <c r="T49" s="1027"/>
      <c r="U49" s="1027"/>
      <c r="V49" s="1027"/>
      <c r="W49" s="1027"/>
      <c r="X49" s="1027"/>
      <c r="Y49" s="1027"/>
      <c r="Z49" s="1066"/>
      <c r="AA49" s="1027"/>
      <c r="AB49" s="1066"/>
      <c r="AC49" s="1067"/>
      <c r="AD49" s="1066">
        <f t="shared" si="13"/>
        <v>0</v>
      </c>
      <c r="AE49" s="1066">
        <f t="shared" si="14"/>
        <v>0</v>
      </c>
      <c r="AG49" s="1029"/>
    </row>
    <row r="50" spans="2:33" s="1080" customFormat="1" ht="30" customHeight="1">
      <c r="B50" s="1017">
        <v>16</v>
      </c>
      <c r="C50" s="1085" t="s">
        <v>461</v>
      </c>
      <c r="D50" s="1070" t="str">
        <f>VLOOKUP(C50,distribucion!G$8:FP$153,2,0)</f>
        <v>Jefe de Operaciones Contables</v>
      </c>
      <c r="E50" s="1071">
        <f t="shared" ref="E50:E53" si="64">H50+L50+N50+O50</f>
        <v>10500</v>
      </c>
      <c r="F50" s="1072">
        <f>VLOOKUP(C50,distribucion!G15:M153,7,FALSE)</f>
        <v>30</v>
      </c>
      <c r="G50" s="1073">
        <f>VLOOKUP(C50,distribucion!$G$8:$DV$153,14,0)</f>
        <v>0</v>
      </c>
      <c r="H50" s="1064">
        <f>ROUND((VLOOKUP(C50,distribucion!G$1:FP$153,130,0)),2)</f>
        <v>10500</v>
      </c>
      <c r="I50" s="1064">
        <f>ROUND((VLOOKUP(C50,distribucion!G$8:FO$153,131,0)),2)</f>
        <v>1800</v>
      </c>
      <c r="J50" s="1064">
        <f t="shared" ref="J50" si="65">H50+I50</f>
        <v>12300</v>
      </c>
      <c r="K50" s="1064">
        <f>VLOOKUP(C50,distribucion!G$8:FP$153,132,0)</f>
        <v>0</v>
      </c>
      <c r="L50" s="1064">
        <f>ROUND((VLOOKUP(C50,distribucion!G$8:FP$153,133,0)),2)</f>
        <v>0</v>
      </c>
      <c r="M50" s="1064">
        <f>VLOOKUP(C50,distribucion!G$8:FP$153,134,0)</f>
        <v>0</v>
      </c>
      <c r="N50" s="1064">
        <f>ROUND((VLOOKUP(C50,distribucion!G$8:FP$153,135,0)),2)</f>
        <v>0</v>
      </c>
      <c r="O50" s="1027">
        <v>0</v>
      </c>
      <c r="P50" s="1074">
        <f>ROUND((VLOOKUP(C50,distribucion!G$8:FP$153,36,0)),2)</f>
        <v>0</v>
      </c>
      <c r="Q50" s="1027">
        <f t="shared" si="58"/>
        <v>12300</v>
      </c>
      <c r="R50" s="1027">
        <f t="shared" si="59"/>
        <v>507.15</v>
      </c>
      <c r="S50" s="1027">
        <f>ROUND((VLOOKUP(C50,distribucion!G$8:FP$153,151,0)),2)</f>
        <v>393.64</v>
      </c>
      <c r="T50" s="1027">
        <f>ROUND((VLOOKUP(C50,distribucion!G$8:FP$153,152,0)),2)</f>
        <v>0</v>
      </c>
      <c r="U50" s="1027">
        <f>ROUND((VLOOKUP(C50,distribucion!G$8:FP$153,153,0)),2)</f>
        <v>200</v>
      </c>
      <c r="V50" s="1027">
        <f>ROUND((VLOOKUP(C50,distribucion!G13:FJ153,159,0)),2)</f>
        <v>0</v>
      </c>
      <c r="W50" s="1027">
        <f>ROUND((VLOOKUP(C50,distribucion!G13:FJ153,158,0)),2)</f>
        <v>0</v>
      </c>
      <c r="X50" s="1027">
        <f>ROUND((VLOOKUP(C50,distribucion!G13:FJ153,154,0)),2)</f>
        <v>0</v>
      </c>
      <c r="Y50" s="1027">
        <f>ROUND((VLOOKUP(C50,distribucion!G$8:FP$153,160,0)),2)</f>
        <v>1068</v>
      </c>
      <c r="Z50" s="1066">
        <f t="shared" si="60"/>
        <v>2168.79</v>
      </c>
      <c r="AA50" s="1027">
        <f t="shared" si="61"/>
        <v>10131.209999999999</v>
      </c>
      <c r="AB50" s="1066">
        <v>5699.6</v>
      </c>
      <c r="AC50" s="1067">
        <f t="shared" ref="AC50:AC59" si="66">+AA50-AB50</f>
        <v>4431.6099999999988</v>
      </c>
      <c r="AD50" s="1066">
        <f t="shared" si="13"/>
        <v>0</v>
      </c>
      <c r="AE50" s="1066">
        <f t="shared" si="14"/>
        <v>0</v>
      </c>
      <c r="AG50" s="1029"/>
    </row>
    <row r="51" spans="2:33" s="1080" customFormat="1" ht="30" customHeight="1">
      <c r="B51" s="1017">
        <f>+B50+1</f>
        <v>17</v>
      </c>
      <c r="C51" s="1085" t="str">
        <f>+distribucion!G46</f>
        <v>Perez Rivera Yoselyn Carolina</v>
      </c>
      <c r="D51" s="1070" t="str">
        <f>VLOOKUP(C51,distribucion!G$8:FP$153,2,0)</f>
        <v>Auxiliar Contable (digitador)</v>
      </c>
      <c r="E51" s="1071">
        <f t="shared" ref="E51" si="67">H51+L51+N51+O51</f>
        <v>4002.28</v>
      </c>
      <c r="F51" s="1072">
        <f>VLOOKUP(C51,distribucion!G17:M154,7,FALSE)</f>
        <v>30</v>
      </c>
      <c r="G51" s="1072">
        <f>VLOOKUP(D51,distribucion!H17:N154,7,FALSE)</f>
        <v>0.43</v>
      </c>
      <c r="H51" s="1064">
        <f>ROUND((VLOOKUP(C51,distribucion!G$1:FP$153,130,0)),2)</f>
        <v>4002.28</v>
      </c>
      <c r="I51" s="1064">
        <f>ROUND((VLOOKUP(C51,distribucion!G$8:FO$153,131,0)),2)</f>
        <v>405.16</v>
      </c>
      <c r="J51" s="1064">
        <f t="shared" ref="J51" si="68">H51+I51</f>
        <v>4407.4400000000005</v>
      </c>
      <c r="K51" s="1064">
        <f>VLOOKUP(C51,distribucion!G$8:FP$153,132,0)</f>
        <v>0</v>
      </c>
      <c r="L51" s="1064">
        <f>ROUND((VLOOKUP(C51,distribucion!G$8:FP$153,133,0)),2)</f>
        <v>0</v>
      </c>
      <c r="M51" s="1064">
        <f>VLOOKUP(C51,distribucion!G$8:FP$153,134,0)</f>
        <v>0</v>
      </c>
      <c r="N51" s="1064">
        <f>ROUND((VLOOKUP(C51,distribucion!G$8:FP$153,135,0)),2)</f>
        <v>0</v>
      </c>
      <c r="O51" s="1027">
        <v>0</v>
      </c>
      <c r="P51" s="1074">
        <f>ROUND((VLOOKUP(C51,distribucion!G$8:FP$153,36,0)),2)</f>
        <v>0</v>
      </c>
      <c r="Q51" s="1027">
        <f t="shared" ref="Q51" si="69">SUM(J51:P51)-K51-M51</f>
        <v>4407.4400000000005</v>
      </c>
      <c r="R51" s="1027">
        <f t="shared" ref="R51" si="70">ROUND(((H51+L51+N51+O51+P51)*0.0483),2)</f>
        <v>193.31</v>
      </c>
      <c r="S51" s="1027">
        <f>ROUND((VLOOKUP(C51,distribucion!G$8:FP$153,151,0)),2)</f>
        <v>0</v>
      </c>
      <c r="T51" s="1027">
        <f>ROUND((VLOOKUP(C51,distribucion!G$8:FP$153,152,0)),2)</f>
        <v>0</v>
      </c>
      <c r="U51" s="1027">
        <f>ROUND((VLOOKUP(C51,distribucion!G$8:FP$153,153,0)),2)</f>
        <v>0</v>
      </c>
      <c r="V51" s="1027">
        <f>ROUND((VLOOKUP(C51,distribucion!G15:FJ154,159,0)),2)</f>
        <v>0</v>
      </c>
      <c r="W51" s="1027">
        <f>ROUND((VLOOKUP(C51,distribucion!G14:FJ154,158,0)),2)</f>
        <v>0</v>
      </c>
      <c r="X51" s="1027">
        <f>ROUND((VLOOKUP(C51,distribucion!G14:FJ154,154,0)),2)</f>
        <v>0</v>
      </c>
      <c r="Y51" s="1027">
        <f>ROUND((VLOOKUP(C51,distribucion!G$8:FP$153,160,0)),2)</f>
        <v>0</v>
      </c>
      <c r="Z51" s="1066">
        <f t="shared" ref="Z51" si="71">SUM(R51:Y51)</f>
        <v>193.31</v>
      </c>
      <c r="AA51" s="1027">
        <f t="shared" ref="AA51" si="72">Q51-Z51</f>
        <v>4214.13</v>
      </c>
      <c r="AB51" s="1066">
        <v>2107.0600000000004</v>
      </c>
      <c r="AC51" s="1067">
        <f t="shared" si="66"/>
        <v>2107.0699999999997</v>
      </c>
      <c r="AD51" s="1066"/>
      <c r="AE51" s="1066"/>
      <c r="AG51" s="1029"/>
    </row>
    <row r="52" spans="2:33" s="1080" customFormat="1" ht="30" customHeight="1">
      <c r="B52" s="1017">
        <f t="shared" ref="B52:B53" si="73">+B51+1</f>
        <v>18</v>
      </c>
      <c r="C52" s="979" t="str">
        <f>+distribucion!G44</f>
        <v>Sumale Pelen Elio Rene</v>
      </c>
      <c r="D52" s="1070" t="str">
        <f>VLOOKUP(C52,distribucion!G$8:FP$153,2,0)</f>
        <v>Contador</v>
      </c>
      <c r="E52" s="1071">
        <f t="shared" ref="E52" si="74">H52+L52+N52+O52</f>
        <v>5250</v>
      </c>
      <c r="F52" s="1072">
        <f>VLOOKUP(C52,distribucion!G17:M154,7,FALSE)</f>
        <v>30</v>
      </c>
      <c r="G52" s="1073"/>
      <c r="H52" s="1064">
        <f>ROUND((VLOOKUP(C52,distribucion!G$1:FP$153,130,0)),2)</f>
        <v>5250</v>
      </c>
      <c r="I52" s="1064">
        <f>ROUND((VLOOKUP(C52,distribucion!G$8:FO$153,131,0)),2)</f>
        <v>1750</v>
      </c>
      <c r="J52" s="1064">
        <f t="shared" ref="J52" si="75">H52+I52</f>
        <v>7000</v>
      </c>
      <c r="K52" s="1064">
        <f>VLOOKUP(C52,distribucion!G$8:FP$153,132,0)</f>
        <v>0</v>
      </c>
      <c r="L52" s="1064">
        <f>ROUND((VLOOKUP(C52,distribucion!G$8:FP$153,133,0)),2)</f>
        <v>0</v>
      </c>
      <c r="M52" s="1064">
        <f>VLOOKUP(C52,distribucion!G$8:FP$153,134,0)</f>
        <v>0</v>
      </c>
      <c r="N52" s="1064">
        <f>ROUND((VLOOKUP(C52,distribucion!G$8:FP$153,135,0)),2)</f>
        <v>0</v>
      </c>
      <c r="O52" s="1027">
        <v>0</v>
      </c>
      <c r="P52" s="1074">
        <f>ROUND((VLOOKUP(C52,distribucion!G$8:FP$153,36,0)),2)</f>
        <v>0</v>
      </c>
      <c r="Q52" s="1027">
        <f t="shared" ref="Q52" si="76">SUM(J52:P52)-K52-M52</f>
        <v>7000</v>
      </c>
      <c r="R52" s="1027">
        <f t="shared" ref="R52" si="77">ROUND(((H52+L52+N52+O52+P52)*0.0483),2)</f>
        <v>253.58</v>
      </c>
      <c r="S52" s="1027">
        <f>ROUND((VLOOKUP(C52,distribucion!G$8:FP$153,151,0)),2)</f>
        <v>0</v>
      </c>
      <c r="T52" s="1027">
        <f>ROUND((VLOOKUP(C52,distribucion!G$8:FP$153,152,0)),2)</f>
        <v>0</v>
      </c>
      <c r="U52" s="1027">
        <f>ROUND((VLOOKUP(C52,distribucion!G$8:FP$153,153,0)),2)</f>
        <v>0</v>
      </c>
      <c r="V52" s="1027">
        <f>ROUND((VLOOKUP(C52,distribucion!G16:FJ154,159,0)),2)</f>
        <v>0</v>
      </c>
      <c r="W52" s="1027">
        <f>ROUND((VLOOKUP(C52,distribucion!G14:FJ154,158,0)),2)</f>
        <v>0</v>
      </c>
      <c r="X52" s="1027">
        <f>ROUND((VLOOKUP(C52,distribucion!G14:FJ154,154,0)),2)</f>
        <v>0</v>
      </c>
      <c r="Y52" s="1027">
        <f>ROUND((VLOOKUP(C52,distribucion!G$8:FP$153,160,0)),2)</f>
        <v>0</v>
      </c>
      <c r="Z52" s="1066">
        <f t="shared" ref="Z52" si="78">SUM(R52:Y52)</f>
        <v>253.58</v>
      </c>
      <c r="AA52" s="1027">
        <f t="shared" ref="AA52" si="79">Q52-Z52</f>
        <v>6746.42</v>
      </c>
      <c r="AB52" s="1066">
        <v>3284.21</v>
      </c>
      <c r="AC52" s="1067">
        <f t="shared" si="66"/>
        <v>3462.21</v>
      </c>
      <c r="AD52" s="1066">
        <f t="shared" ref="AD52" si="80">AA52-AB52-AC52</f>
        <v>0</v>
      </c>
      <c r="AE52" s="1066">
        <f t="shared" ref="AE52" si="81">((I52+H52+L52+O52++P52)-SUM(R52:Y52))-AA52</f>
        <v>0</v>
      </c>
      <c r="AG52" s="1029"/>
    </row>
    <row r="53" spans="2:33" s="1080" customFormat="1" ht="30" customHeight="1">
      <c r="B53" s="1017">
        <f t="shared" si="73"/>
        <v>19</v>
      </c>
      <c r="C53" s="1082" t="s">
        <v>677</v>
      </c>
      <c r="D53" s="1070" t="str">
        <f>VLOOKUP(C53,distribucion!G$8:FP$153,2,0)</f>
        <v>Contador General</v>
      </c>
      <c r="E53" s="1071">
        <f t="shared" si="64"/>
        <v>6000</v>
      </c>
      <c r="F53" s="1072">
        <f>VLOOKUP(C53,distribucion!G18:M153,7,FALSE)</f>
        <v>30</v>
      </c>
      <c r="G53" s="1073"/>
      <c r="H53" s="1064">
        <f>ROUND((VLOOKUP(C53,distribucion!G$1:FP$153,130,0)),2)</f>
        <v>6000</v>
      </c>
      <c r="I53" s="1064">
        <f>ROUND((VLOOKUP(C53,distribucion!G$8:FO$153,131,0)),2)</f>
        <v>4000</v>
      </c>
      <c r="J53" s="1064">
        <f t="shared" ref="J53" si="82">H53+I53</f>
        <v>10000</v>
      </c>
      <c r="K53" s="1064">
        <f>VLOOKUP(C53,distribucion!G$8:FP$153,132,0)</f>
        <v>0</v>
      </c>
      <c r="L53" s="1064">
        <f>ROUND((VLOOKUP(C53,distribucion!G$8:FP$153,133,0)),2)</f>
        <v>0</v>
      </c>
      <c r="M53" s="1064">
        <f>VLOOKUP(C53,distribucion!G$8:FP$153,134,0)</f>
        <v>0</v>
      </c>
      <c r="N53" s="1064">
        <f>ROUND((VLOOKUP(C53,distribucion!G$8:FP$153,135,0)),2)</f>
        <v>0</v>
      </c>
      <c r="O53" s="1027">
        <v>0</v>
      </c>
      <c r="P53" s="1074">
        <f>ROUND((VLOOKUP(C53,distribucion!G$8:FP$153,36,0)),2)</f>
        <v>0</v>
      </c>
      <c r="Q53" s="1027">
        <f t="shared" ref="Q53" si="83">SUM(J53:P53)-K53-M53</f>
        <v>10000</v>
      </c>
      <c r="R53" s="1027">
        <f t="shared" ref="R53" si="84">ROUND(((H53+L53+N53+O53+P53)*0.0483),2)</f>
        <v>289.8</v>
      </c>
      <c r="S53" s="1027">
        <f>ROUND((VLOOKUP(C53,distribucion!G$8:FP$153,151,0)),2)</f>
        <v>289.94</v>
      </c>
      <c r="T53" s="1027">
        <f>ROUND((VLOOKUP(C53,distribucion!G$8:FP$153,152,0)),2)</f>
        <v>0</v>
      </c>
      <c r="U53" s="1027">
        <f>ROUND((VLOOKUP(C53,distribucion!G$8:FP$153,153,0)),2)</f>
        <v>0</v>
      </c>
      <c r="V53" s="1027">
        <f>ROUND((VLOOKUP(C53,distribucion!G17:FJ153,159,0)),2)</f>
        <v>0</v>
      </c>
      <c r="W53" s="1027">
        <f>ROUND((VLOOKUP(C53,distribucion!G15:FJ153,158,0)),2)</f>
        <v>0</v>
      </c>
      <c r="X53" s="1027">
        <f>ROUND((VLOOKUP(C53,distribucion!G15:FJ153,154,0)),2)</f>
        <v>0</v>
      </c>
      <c r="Y53" s="1027">
        <f>ROUND((VLOOKUP(C53,distribucion!G$8:FP$153,160,0)),2)</f>
        <v>350</v>
      </c>
      <c r="Z53" s="1066">
        <f t="shared" ref="Z53" si="85">SUM(R53:Y53)</f>
        <v>929.74</v>
      </c>
      <c r="AA53" s="1027">
        <f t="shared" ref="AA53" si="86">Q53-Z53</f>
        <v>9070.26</v>
      </c>
      <c r="AB53" s="1066">
        <v>4035.13</v>
      </c>
      <c r="AC53" s="1067">
        <f t="shared" si="66"/>
        <v>5035.13</v>
      </c>
      <c r="AD53" s="1066">
        <f t="shared" si="13"/>
        <v>0</v>
      </c>
      <c r="AE53" s="1066">
        <f t="shared" si="14"/>
        <v>0</v>
      </c>
      <c r="AG53" s="1029"/>
    </row>
    <row r="54" spans="2:33" ht="30" customHeight="1">
      <c r="C54" s="1059" t="s">
        <v>624</v>
      </c>
      <c r="D54" s="1076"/>
      <c r="E54" s="1077"/>
      <c r="F54" s="1078"/>
      <c r="G54" s="1073"/>
      <c r="H54" s="1079"/>
      <c r="I54" s="1079"/>
      <c r="J54" s="1079"/>
      <c r="K54" s="1079"/>
      <c r="L54" s="1079"/>
      <c r="M54" s="1079"/>
      <c r="N54" s="1079"/>
      <c r="O54" s="1079"/>
      <c r="P54" s="1079"/>
      <c r="Q54" s="1079"/>
      <c r="R54" s="1079"/>
      <c r="S54" s="1079"/>
      <c r="T54" s="1079"/>
      <c r="U54" s="1079"/>
      <c r="V54" s="1079"/>
      <c r="W54" s="1079"/>
      <c r="X54" s="1079"/>
      <c r="Y54" s="1079"/>
      <c r="Z54" s="1079"/>
      <c r="AA54" s="1079"/>
      <c r="AB54" s="1066"/>
      <c r="AC54" s="1067"/>
      <c r="AD54" s="1066">
        <f t="shared" si="13"/>
        <v>0</v>
      </c>
      <c r="AE54" s="1066">
        <f t="shared" si="14"/>
        <v>0</v>
      </c>
    </row>
    <row r="55" spans="2:33" s="1080" customFormat="1" ht="30" customHeight="1">
      <c r="B55" s="1017">
        <v>20</v>
      </c>
      <c r="C55" s="1085" t="str">
        <f>+distribucion!G50</f>
        <v>Cruz Salguero Aramis Antonio</v>
      </c>
      <c r="D55" s="1070" t="str">
        <f>VLOOKUP(C55,distribucion!G$8:FP$153,2,0)</f>
        <v>Tesorero-Contador</v>
      </c>
      <c r="E55" s="1071">
        <f t="shared" ref="E55" si="87">H55+L55+N55+O55</f>
        <v>4850</v>
      </c>
      <c r="F55" s="1072">
        <f>VLOOKUP(C55,distribucion!G20:M155,7,FALSE)</f>
        <v>30</v>
      </c>
      <c r="G55" s="1073"/>
      <c r="H55" s="1064">
        <f>ROUND((VLOOKUP(C55,distribucion!G$1:FP$153,130,0)),2)</f>
        <v>4850</v>
      </c>
      <c r="I55" s="1064">
        <f>ROUND((VLOOKUP(C55,distribucion!G$8:FO$153,131,0)),2)</f>
        <v>1900</v>
      </c>
      <c r="J55" s="1064">
        <f t="shared" ref="J55" si="88">H55+I55</f>
        <v>6750</v>
      </c>
      <c r="K55" s="1064">
        <f>VLOOKUP(C55,distribucion!G$8:FP$153,132,0)</f>
        <v>0</v>
      </c>
      <c r="L55" s="1064">
        <f>ROUND((VLOOKUP(C55,distribucion!G$8:FP$153,133,0)),2)</f>
        <v>0</v>
      </c>
      <c r="M55" s="1064">
        <f>VLOOKUP(C55,distribucion!G$8:FP$153,134,0)</f>
        <v>0</v>
      </c>
      <c r="N55" s="1064">
        <f>ROUND((VLOOKUP(C55,distribucion!G$8:FP$153,135,0)),2)</f>
        <v>0</v>
      </c>
      <c r="O55" s="1027">
        <v>0</v>
      </c>
      <c r="P55" s="1074">
        <f>ROUND((VLOOKUP(C55,distribucion!G$8:FP$153,36,0)),2)</f>
        <v>0</v>
      </c>
      <c r="Q55" s="1027">
        <f t="shared" ref="Q55" si="89">SUM(J55:P55)-K55-M55</f>
        <v>6750</v>
      </c>
      <c r="R55" s="1027">
        <f t="shared" ref="R55" si="90">ROUND(((H55+L55+N55+O55+P55)*0.0483),2)</f>
        <v>234.26</v>
      </c>
      <c r="S55" s="1027">
        <f>ROUND((VLOOKUP(C55,distribucion!G$8:FP$153,151,0)),2)</f>
        <v>141.36000000000001</v>
      </c>
      <c r="T55" s="1027">
        <f>ROUND((VLOOKUP(C55,distribucion!G$8:FP$153,152,0)),2)</f>
        <v>0</v>
      </c>
      <c r="U55" s="1027">
        <f>ROUND((VLOOKUP(C55,distribucion!G$8:FP$153,153,0)),2)</f>
        <v>0</v>
      </c>
      <c r="V55" s="1027">
        <f>ROUND((VLOOKUP(C55,distribucion!G19:FJ155,159,0)),2)</f>
        <v>0</v>
      </c>
      <c r="W55" s="1027">
        <f>ROUND((VLOOKUP(C55,distribucion!G17:FJ155,158,0)),2)</f>
        <v>0</v>
      </c>
      <c r="X55" s="1027">
        <f>ROUND((VLOOKUP(C55,distribucion!G17:FJ155,154,0)),2)</f>
        <v>522</v>
      </c>
      <c r="Y55" s="1027">
        <f>ROUND((VLOOKUP(C55,distribucion!G$8:FP$153,160,0)),2)</f>
        <v>350</v>
      </c>
      <c r="Z55" s="1066">
        <f t="shared" ref="Z55" si="91">SUM(R55:Y55)</f>
        <v>1247.6199999999999</v>
      </c>
      <c r="AA55" s="1027">
        <f t="shared" ref="AA55" si="92">Q55-Z55</f>
        <v>5502.38</v>
      </c>
      <c r="AB55" s="1066">
        <v>2213.19</v>
      </c>
      <c r="AC55" s="1067">
        <f t="shared" si="66"/>
        <v>3289.19</v>
      </c>
      <c r="AD55" s="1066">
        <f t="shared" si="13"/>
        <v>0</v>
      </c>
      <c r="AE55" s="1066">
        <f t="shared" si="14"/>
        <v>0</v>
      </c>
      <c r="AG55" s="1029"/>
    </row>
    <row r="56" spans="2:33" ht="30" customHeight="1">
      <c r="C56" s="1081" t="s">
        <v>625</v>
      </c>
      <c r="D56" s="1076"/>
      <c r="E56" s="1077"/>
      <c r="F56" s="1078"/>
      <c r="G56" s="1073"/>
      <c r="H56" s="1079"/>
      <c r="I56" s="1079"/>
      <c r="J56" s="1079"/>
      <c r="K56" s="1079"/>
      <c r="L56" s="1079"/>
      <c r="M56" s="1079"/>
      <c r="N56" s="1079"/>
      <c r="O56" s="1079"/>
      <c r="P56" s="1079"/>
      <c r="Q56" s="1079"/>
      <c r="R56" s="1079"/>
      <c r="S56" s="1079"/>
      <c r="T56" s="1079"/>
      <c r="U56" s="1079"/>
      <c r="V56" s="1079"/>
      <c r="W56" s="1079"/>
      <c r="X56" s="1079"/>
      <c r="Y56" s="1079"/>
      <c r="Z56" s="1079"/>
      <c r="AA56" s="1079"/>
      <c r="AB56" s="1066"/>
      <c r="AC56" s="1067"/>
      <c r="AD56" s="1066">
        <f t="shared" si="13"/>
        <v>0</v>
      </c>
      <c r="AE56" s="1066">
        <f t="shared" si="14"/>
        <v>0</v>
      </c>
    </row>
    <row r="57" spans="2:33" s="1032" customFormat="1" ht="30" customHeight="1">
      <c r="B57" s="1025">
        <v>21</v>
      </c>
      <c r="C57" s="1082" t="s">
        <v>609</v>
      </c>
      <c r="D57" s="1071" t="str">
        <f>VLOOKUP(C57,distribucion!G$8:FP$153,2,0)</f>
        <v>Asistente Legal Administrativo</v>
      </c>
      <c r="E57" s="1071">
        <f t="shared" ref="E57:E59" si="93">H57+L57+N57+O57</f>
        <v>4500</v>
      </c>
      <c r="F57" s="1231">
        <f>VLOOKUP(C57,distribucion!G23:M153,7,FALSE)</f>
        <v>30</v>
      </c>
      <c r="G57" s="1232"/>
      <c r="H57" s="1233">
        <f>ROUND((VLOOKUP(C57,distribucion!G$1:FP$153,130,0)),2)</f>
        <v>4500</v>
      </c>
      <c r="I57" s="1233">
        <f>ROUND((VLOOKUP(C57,distribucion!G$8:FO$153,131,0)),2)</f>
        <v>2500</v>
      </c>
      <c r="J57" s="1233">
        <f t="shared" ref="J57" si="94">H57+I57</f>
        <v>7000</v>
      </c>
      <c r="K57" s="1233">
        <f>VLOOKUP(C57,distribucion!G$8:FP$153,132,0)</f>
        <v>0</v>
      </c>
      <c r="L57" s="1233">
        <f>ROUND((VLOOKUP(C57,distribucion!G$8:FP$153,133,0)),2)</f>
        <v>0</v>
      </c>
      <c r="M57" s="1233">
        <f>VLOOKUP(C57,distribucion!G$8:FP$153,134,0)</f>
        <v>0</v>
      </c>
      <c r="N57" s="1233">
        <f>ROUND((VLOOKUP(C57,distribucion!G$8:FP$153,135,0)),2)</f>
        <v>0</v>
      </c>
      <c r="O57" s="1086">
        <v>0</v>
      </c>
      <c r="P57" s="1234">
        <f>+distribucion!EL53</f>
        <v>0</v>
      </c>
      <c r="Q57" s="1086">
        <f t="shared" ref="Q57" si="95">SUM(J57:P57)-K57-M57</f>
        <v>7000</v>
      </c>
      <c r="R57" s="1086">
        <f>ROUND(((H57+L57+N57+O57+P57)*0.0483),2)</f>
        <v>217.35</v>
      </c>
      <c r="S57" s="1086">
        <f>ROUND((VLOOKUP(C57,distribucion!G$8:FP$153,151,0)),2)</f>
        <v>161.31</v>
      </c>
      <c r="T57" s="1086">
        <f>ROUND((VLOOKUP(C57,distribucion!G$8:FP$153,152,0)),2)</f>
        <v>0</v>
      </c>
      <c r="U57" s="1086">
        <f>ROUND((VLOOKUP(C57,distribucion!G$8:FP$153,153,0)),2)</f>
        <v>0</v>
      </c>
      <c r="V57" s="1086">
        <f>ROUND((VLOOKUP(C57,distribucion!G10:FJ153,159,0)),2)</f>
        <v>0</v>
      </c>
      <c r="W57" s="1086">
        <f>ROUND((VLOOKUP(C57,distribucion!G10:FJ153,158,0)),2)</f>
        <v>0</v>
      </c>
      <c r="X57" s="1086">
        <f>ROUND((VLOOKUP(C57,distribucion!G10:FJ153,154,0)),2)</f>
        <v>0</v>
      </c>
      <c r="Y57" s="1086">
        <f>ROUND((VLOOKUP(C57,distribucion!G$8:FP$153,160,0)),2)</f>
        <v>0</v>
      </c>
      <c r="Z57" s="1067">
        <f t="shared" ref="Z57" si="96">SUM(R57:Y57)</f>
        <v>378.65999999999997</v>
      </c>
      <c r="AA57" s="1086">
        <f t="shared" ref="AA57" si="97">Q57-Z57</f>
        <v>6621.34</v>
      </c>
      <c r="AB57" s="1066">
        <v>3060.66</v>
      </c>
      <c r="AC57" s="1067">
        <f t="shared" si="66"/>
        <v>3560.6800000000003</v>
      </c>
      <c r="AD57" s="1067">
        <f t="shared" si="13"/>
        <v>0</v>
      </c>
      <c r="AE57" s="1067">
        <f t="shared" si="14"/>
        <v>0</v>
      </c>
    </row>
    <row r="58" spans="2:33" ht="30" customHeight="1">
      <c r="C58" s="1081" t="s">
        <v>626</v>
      </c>
      <c r="D58" s="1076"/>
      <c r="E58" s="1077"/>
      <c r="F58" s="1078"/>
      <c r="G58" s="1073"/>
      <c r="H58" s="1079"/>
      <c r="I58" s="1079"/>
      <c r="J58" s="1079"/>
      <c r="K58" s="1079"/>
      <c r="L58" s="1079"/>
      <c r="M58" s="1079"/>
      <c r="N58" s="1079"/>
      <c r="O58" s="1079"/>
      <c r="P58" s="1079"/>
      <c r="Q58" s="1079"/>
      <c r="R58" s="1079"/>
      <c r="S58" s="1079"/>
      <c r="T58" s="1079"/>
      <c r="U58" s="1079"/>
      <c r="V58" s="1079"/>
      <c r="W58" s="1079"/>
      <c r="X58" s="1079"/>
      <c r="Y58" s="1079"/>
      <c r="Z58" s="1079"/>
      <c r="AA58" s="1079"/>
      <c r="AB58" s="1066"/>
      <c r="AC58" s="1067"/>
      <c r="AD58" s="1066">
        <f t="shared" si="13"/>
        <v>0</v>
      </c>
      <c r="AE58" s="1066">
        <f t="shared" si="14"/>
        <v>0</v>
      </c>
    </row>
    <row r="59" spans="2:33" ht="30" customHeight="1">
      <c r="B59" s="1017">
        <v>22</v>
      </c>
      <c r="C59" s="1082" t="str">
        <f>+distribucion!G56</f>
        <v>Ordoñez Corado Paola Maritza</v>
      </c>
      <c r="D59" s="1070" t="str">
        <f>VLOOKUP(C59,distribucion!G$8:FP$153,2,0)</f>
        <v>Analista Financiera</v>
      </c>
      <c r="E59" s="1071">
        <f t="shared" si="93"/>
        <v>6500</v>
      </c>
      <c r="F59" s="1072">
        <f>VLOOKUP(C59,distribucion!G26:M155,7,FALSE)</f>
        <v>30</v>
      </c>
      <c r="G59" s="1073"/>
      <c r="H59" s="1064">
        <f>ROUND((VLOOKUP(C59,distribucion!G$1:FP$153,130,0)),2)</f>
        <v>6500</v>
      </c>
      <c r="I59" s="1064">
        <f>ROUND((VLOOKUP(C59,distribucion!G$8:FO$153,131,0)),2)</f>
        <v>4992.5200000000004</v>
      </c>
      <c r="J59" s="1064">
        <f t="shared" ref="J59" si="98">H59+I59</f>
        <v>11492.52</v>
      </c>
      <c r="K59" s="1064">
        <f>VLOOKUP(C59,distribucion!G$8:FP$153,132,0)</f>
        <v>0</v>
      </c>
      <c r="L59" s="1064">
        <f>ROUND((VLOOKUP(C59,distribucion!G$8:FP$153,133,0)),2)</f>
        <v>0</v>
      </c>
      <c r="M59" s="1064">
        <f>VLOOKUP(C59,distribucion!G$8:FP$153,134,0)</f>
        <v>0</v>
      </c>
      <c r="N59" s="1064">
        <f>ROUND((VLOOKUP(C59,distribucion!G$8:FP$153,135,0)),2)</f>
        <v>0</v>
      </c>
      <c r="O59" s="1027">
        <v>0</v>
      </c>
      <c r="P59" s="1074">
        <f>ROUND((VLOOKUP(C59,distribucion!G$8:FP$153,36,0)),2)</f>
        <v>0</v>
      </c>
      <c r="Q59" s="1027">
        <f t="shared" ref="Q59" si="99">SUM(J59:P59)-K59-M59</f>
        <v>11492.52</v>
      </c>
      <c r="R59" s="1027">
        <f t="shared" ref="R59" si="100">ROUND(((H59+L59+N59+O59+P59)*0.0483),2)</f>
        <v>313.95</v>
      </c>
      <c r="S59" s="1027">
        <f>ROUND((VLOOKUP(C59,distribucion!G$8:FP$153,151,0)),2)</f>
        <v>367.44</v>
      </c>
      <c r="T59" s="1027">
        <f>ROUND((VLOOKUP(C59,distribucion!G$8:FP$153,152,0)),2)</f>
        <v>0</v>
      </c>
      <c r="U59" s="1027">
        <f>ROUND((VLOOKUP(C59,distribucion!G$8:FP$153,153,0)),2)</f>
        <v>0</v>
      </c>
      <c r="V59" s="1027">
        <f>ROUND((VLOOKUP(C59,distribucion!G12:FJ155,159,0)),2)</f>
        <v>0</v>
      </c>
      <c r="W59" s="1027">
        <f>ROUND((VLOOKUP(C59,distribucion!G12:FJ155,158,0)),2)</f>
        <v>0</v>
      </c>
      <c r="X59" s="1086">
        <f>ROUND((VLOOKUP(C59,distribucion!G12:FJ155,154,0)),2)</f>
        <v>0</v>
      </c>
      <c r="Y59" s="1027">
        <f>ROUND((VLOOKUP(C59,distribucion!G$8:FP$153,160,0)),2)</f>
        <v>350</v>
      </c>
      <c r="Z59" s="1066">
        <f t="shared" ref="Z59" si="101">SUM(R59:Y59)</f>
        <v>1031.3899999999999</v>
      </c>
      <c r="AA59" s="1027">
        <f t="shared" ref="AA59" si="102">Q59-Z59</f>
        <v>10461.130000000001</v>
      </c>
      <c r="AB59" s="1066">
        <v>4559.3</v>
      </c>
      <c r="AC59" s="1067">
        <f t="shared" si="66"/>
        <v>5901.8300000000008</v>
      </c>
      <c r="AD59" s="1066">
        <v>3872.75</v>
      </c>
      <c r="AE59" s="1066">
        <f>+AC59-AD59</f>
        <v>2029.0800000000008</v>
      </c>
    </row>
    <row r="60" spans="2:33" ht="30" customHeight="1">
      <c r="C60" s="1075"/>
      <c r="D60" s="1076" t="s">
        <v>171</v>
      </c>
      <c r="E60" s="1077"/>
      <c r="F60" s="1078"/>
      <c r="G60" s="1073"/>
      <c r="H60" s="1087">
        <f t="shared" ref="H60:AC60" si="103">SUM(H50:H59)</f>
        <v>41602.28</v>
      </c>
      <c r="I60" s="1087">
        <f t="shared" si="103"/>
        <v>17347.68</v>
      </c>
      <c r="J60" s="1087">
        <f t="shared" si="103"/>
        <v>58949.960000000006</v>
      </c>
      <c r="K60" s="1087">
        <f t="shared" si="103"/>
        <v>0</v>
      </c>
      <c r="L60" s="1087">
        <f t="shared" si="103"/>
        <v>0</v>
      </c>
      <c r="M60" s="1087">
        <f t="shared" si="103"/>
        <v>0</v>
      </c>
      <c r="N60" s="1087">
        <f t="shared" si="103"/>
        <v>0</v>
      </c>
      <c r="O60" s="1087">
        <f t="shared" si="103"/>
        <v>0</v>
      </c>
      <c r="P60" s="1087">
        <f t="shared" si="103"/>
        <v>0</v>
      </c>
      <c r="Q60" s="1087">
        <f t="shared" si="103"/>
        <v>58949.960000000006</v>
      </c>
      <c r="R60" s="1087">
        <f t="shared" si="103"/>
        <v>2009.4</v>
      </c>
      <c r="S60" s="1087">
        <f t="shared" si="103"/>
        <v>1353.69</v>
      </c>
      <c r="T60" s="1087">
        <f t="shared" si="103"/>
        <v>0</v>
      </c>
      <c r="U60" s="1087">
        <f t="shared" si="103"/>
        <v>200</v>
      </c>
      <c r="V60" s="1087">
        <f t="shared" si="103"/>
        <v>0</v>
      </c>
      <c r="W60" s="1087">
        <f t="shared" si="103"/>
        <v>0</v>
      </c>
      <c r="X60" s="1087">
        <f t="shared" si="103"/>
        <v>522</v>
      </c>
      <c r="Y60" s="1087">
        <f t="shared" si="103"/>
        <v>2118</v>
      </c>
      <c r="Z60" s="1087">
        <f t="shared" si="103"/>
        <v>6203.09</v>
      </c>
      <c r="AA60" s="1087">
        <f t="shared" si="103"/>
        <v>52746.87000000001</v>
      </c>
      <c r="AB60" s="1087">
        <f t="shared" si="103"/>
        <v>24959.149999999998</v>
      </c>
      <c r="AC60" s="1087">
        <f t="shared" si="103"/>
        <v>27787.72</v>
      </c>
      <c r="AD60" s="1066">
        <f t="shared" si="13"/>
        <v>0</v>
      </c>
      <c r="AE60" s="1066">
        <f t="shared" si="14"/>
        <v>0</v>
      </c>
    </row>
    <row r="61" spans="2:33" ht="30" customHeight="1">
      <c r="C61" s="993" t="s">
        <v>195</v>
      </c>
      <c r="D61" s="993"/>
      <c r="E61" s="1077"/>
      <c r="F61" s="1078"/>
      <c r="G61" s="1073"/>
      <c r="H61" s="1079"/>
      <c r="I61" s="1079"/>
      <c r="J61" s="1079"/>
      <c r="K61" s="1079"/>
      <c r="L61" s="1079"/>
      <c r="M61" s="1079"/>
      <c r="N61" s="1079"/>
      <c r="O61" s="1079"/>
      <c r="P61" s="1079"/>
      <c r="Q61" s="1079"/>
      <c r="R61" s="1079"/>
      <c r="S61" s="1079"/>
      <c r="T61" s="1079"/>
      <c r="U61" s="1079"/>
      <c r="V61" s="1079"/>
      <c r="W61" s="1079"/>
      <c r="X61" s="1079"/>
      <c r="Y61" s="1079"/>
      <c r="Z61" s="1079"/>
      <c r="AA61" s="1079"/>
      <c r="AB61" s="1084"/>
      <c r="AC61" s="1084"/>
      <c r="AD61" s="1066">
        <f t="shared" si="13"/>
        <v>0</v>
      </c>
      <c r="AE61" s="1066">
        <f t="shared" si="14"/>
        <v>0</v>
      </c>
    </row>
    <row r="62" spans="2:33" ht="30" customHeight="1">
      <c r="C62" s="1081" t="s">
        <v>622</v>
      </c>
      <c r="D62" s="993"/>
      <c r="E62" s="1077"/>
      <c r="F62" s="1078"/>
      <c r="G62" s="1073"/>
      <c r="H62" s="1079"/>
      <c r="I62" s="1079"/>
      <c r="J62" s="1079"/>
      <c r="K62" s="1079"/>
      <c r="L62" s="1079"/>
      <c r="M62" s="1079"/>
      <c r="N62" s="1079"/>
      <c r="O62" s="1079"/>
      <c r="P62" s="1079"/>
      <c r="Q62" s="1079"/>
      <c r="R62" s="1079"/>
      <c r="S62" s="1079"/>
      <c r="T62" s="1079"/>
      <c r="U62" s="1079"/>
      <c r="V62" s="1079"/>
      <c r="W62" s="1079"/>
      <c r="X62" s="1079"/>
      <c r="Y62" s="1079"/>
      <c r="Z62" s="1079"/>
      <c r="AA62" s="1079"/>
      <c r="AB62" s="1084"/>
      <c r="AC62" s="1084"/>
      <c r="AD62" s="1066">
        <f t="shared" si="13"/>
        <v>0</v>
      </c>
      <c r="AE62" s="1066">
        <f t="shared" si="14"/>
        <v>0</v>
      </c>
    </row>
    <row r="63" spans="2:33" ht="30" customHeight="1">
      <c r="C63" s="1082"/>
      <c r="D63" s="1070"/>
      <c r="E63" s="1071"/>
      <c r="F63" s="1072"/>
      <c r="G63" s="1073"/>
      <c r="H63" s="1064"/>
      <c r="I63" s="1064"/>
      <c r="J63" s="1064"/>
      <c r="K63" s="1064"/>
      <c r="L63" s="1064"/>
      <c r="M63" s="1064"/>
      <c r="N63" s="1064"/>
      <c r="O63" s="1027"/>
      <c r="P63" s="1074"/>
      <c r="Q63" s="1027"/>
      <c r="R63" s="1027"/>
      <c r="S63" s="1027"/>
      <c r="T63" s="1027"/>
      <c r="U63" s="1027"/>
      <c r="V63" s="1027"/>
      <c r="W63" s="1027"/>
      <c r="X63" s="1086"/>
      <c r="Y63" s="1027"/>
      <c r="Z63" s="1066"/>
      <c r="AA63" s="1027"/>
      <c r="AB63" s="1066"/>
      <c r="AC63" s="1067"/>
      <c r="AD63" s="1066"/>
      <c r="AE63" s="1066"/>
      <c r="AF63" s="1068"/>
    </row>
    <row r="64" spans="2:33" ht="30" customHeight="1">
      <c r="C64" s="1082"/>
      <c r="D64" s="1070"/>
      <c r="E64" s="1071"/>
      <c r="F64" s="1072"/>
      <c r="G64" s="1101"/>
      <c r="H64" s="1064"/>
      <c r="I64" s="1064"/>
      <c r="J64" s="1064"/>
      <c r="K64" s="1064"/>
      <c r="L64" s="1064"/>
      <c r="M64" s="1064"/>
      <c r="N64" s="1064"/>
      <c r="O64" s="1027"/>
      <c r="P64" s="1074"/>
      <c r="Q64" s="1027"/>
      <c r="R64" s="1027"/>
      <c r="S64" s="1027"/>
      <c r="T64" s="1027"/>
      <c r="U64" s="1027"/>
      <c r="V64" s="1027"/>
      <c r="W64" s="1027"/>
      <c r="X64" s="1086"/>
      <c r="Y64" s="1027"/>
      <c r="Z64" s="1066"/>
      <c r="AA64" s="1027"/>
      <c r="AB64" s="1066"/>
      <c r="AC64" s="1067"/>
      <c r="AD64" s="1066"/>
      <c r="AE64" s="1066"/>
      <c r="AF64" s="1068"/>
    </row>
    <row r="65" spans="2:33" ht="30" customHeight="1">
      <c r="C65" s="1102" t="s">
        <v>640</v>
      </c>
      <c r="D65" s="1103"/>
      <c r="E65" s="1077"/>
      <c r="F65" s="1078"/>
      <c r="G65" s="1073"/>
      <c r="H65" s="1079"/>
      <c r="I65" s="1079"/>
      <c r="J65" s="1079"/>
      <c r="K65" s="1079"/>
      <c r="L65" s="1079"/>
      <c r="M65" s="1079"/>
      <c r="N65" s="1079"/>
      <c r="O65" s="1079"/>
      <c r="P65" s="1079"/>
      <c r="Q65" s="1079"/>
      <c r="R65" s="1079"/>
      <c r="S65" s="1079"/>
      <c r="T65" s="1079"/>
      <c r="U65" s="1079"/>
      <c r="V65" s="1079"/>
      <c r="W65" s="1079"/>
      <c r="X65" s="1079"/>
      <c r="Y65" s="1079"/>
      <c r="Z65" s="1079"/>
      <c r="AA65" s="1079"/>
      <c r="AB65" s="1084"/>
      <c r="AC65" s="1084"/>
      <c r="AD65" s="1066">
        <f t="shared" si="13"/>
        <v>0</v>
      </c>
      <c r="AE65" s="1066">
        <f t="shared" si="14"/>
        <v>0</v>
      </c>
    </row>
    <row r="66" spans="2:33" ht="30" customHeight="1">
      <c r="C66" s="1082"/>
      <c r="D66" s="1070"/>
      <c r="E66" s="1077"/>
      <c r="F66" s="1072"/>
      <c r="G66" s="1073"/>
      <c r="H66" s="1064"/>
      <c r="I66" s="1064"/>
      <c r="J66" s="1064"/>
      <c r="K66" s="1064"/>
      <c r="L66" s="1064"/>
      <c r="M66" s="1064"/>
      <c r="N66" s="1064"/>
      <c r="O66" s="1027"/>
      <c r="P66" s="1074"/>
      <c r="Q66" s="1027"/>
      <c r="R66" s="1027"/>
      <c r="S66" s="1027"/>
      <c r="T66" s="1027"/>
      <c r="U66" s="1027"/>
      <c r="V66" s="1027"/>
      <c r="W66" s="1027"/>
      <c r="X66" s="1086"/>
      <c r="Y66" s="1027"/>
      <c r="Z66" s="1066"/>
      <c r="AA66" s="1027"/>
      <c r="AB66" s="1066"/>
      <c r="AC66" s="1067"/>
      <c r="AD66" s="1066">
        <f t="shared" si="13"/>
        <v>0</v>
      </c>
      <c r="AE66" s="1066">
        <f t="shared" si="14"/>
        <v>0</v>
      </c>
    </row>
    <row r="67" spans="2:33" ht="30" customHeight="1">
      <c r="C67" s="1102" t="s">
        <v>641</v>
      </c>
      <c r="D67" s="1103"/>
      <c r="E67" s="1077"/>
      <c r="F67" s="1078"/>
      <c r="G67" s="1073"/>
      <c r="H67" s="1079"/>
      <c r="I67" s="1079"/>
      <c r="J67" s="1079"/>
      <c r="K67" s="1079"/>
      <c r="L67" s="1079"/>
      <c r="M67" s="1079"/>
      <c r="N67" s="1079"/>
      <c r="O67" s="1079"/>
      <c r="P67" s="1079"/>
      <c r="Q67" s="1079"/>
      <c r="R67" s="1079"/>
      <c r="S67" s="1079"/>
      <c r="T67" s="1079"/>
      <c r="U67" s="1079"/>
      <c r="V67" s="1079"/>
      <c r="W67" s="1079"/>
      <c r="X67" s="1079"/>
      <c r="Y67" s="1079"/>
      <c r="Z67" s="1079"/>
      <c r="AA67" s="1079"/>
      <c r="AB67" s="1084"/>
      <c r="AC67" s="1084"/>
      <c r="AD67" s="1066">
        <f t="shared" si="13"/>
        <v>0</v>
      </c>
      <c r="AE67" s="1066">
        <f t="shared" si="14"/>
        <v>0</v>
      </c>
    </row>
    <row r="68" spans="2:33" ht="30" customHeight="1">
      <c r="C68" s="1082"/>
      <c r="D68" s="1070"/>
      <c r="E68" s="1077"/>
      <c r="F68" s="1072"/>
      <c r="G68" s="1073"/>
      <c r="H68" s="1064"/>
      <c r="I68" s="1064"/>
      <c r="J68" s="1064"/>
      <c r="K68" s="1064"/>
      <c r="L68" s="1064"/>
      <c r="M68" s="1064"/>
      <c r="N68" s="1064"/>
      <c r="O68" s="1027"/>
      <c r="P68" s="1074"/>
      <c r="Q68" s="1027"/>
      <c r="R68" s="1027"/>
      <c r="S68" s="1027"/>
      <c r="T68" s="1027"/>
      <c r="U68" s="1027"/>
      <c r="V68" s="1027"/>
      <c r="W68" s="1027"/>
      <c r="X68" s="1086"/>
      <c r="Y68" s="1027"/>
      <c r="Z68" s="1066"/>
      <c r="AA68" s="1027"/>
      <c r="AB68" s="1066"/>
      <c r="AC68" s="1067"/>
      <c r="AD68" s="1066">
        <f t="shared" si="13"/>
        <v>0</v>
      </c>
      <c r="AE68" s="1066">
        <f t="shared" si="14"/>
        <v>0</v>
      </c>
    </row>
    <row r="69" spans="2:33" ht="30" customHeight="1">
      <c r="B69" s="1017" t="s">
        <v>52</v>
      </c>
      <c r="C69" s="1104"/>
      <c r="D69" s="1076" t="s">
        <v>171</v>
      </c>
      <c r="E69" s="1077"/>
      <c r="F69" s="1078"/>
      <c r="G69" s="1073"/>
      <c r="H69" s="1087">
        <f t="shared" ref="H69:AC69" si="104">SUM(H63:H68)</f>
        <v>0</v>
      </c>
      <c r="I69" s="1087">
        <f t="shared" si="104"/>
        <v>0</v>
      </c>
      <c r="J69" s="1087">
        <f t="shared" si="104"/>
        <v>0</v>
      </c>
      <c r="K69" s="1087">
        <f t="shared" si="104"/>
        <v>0</v>
      </c>
      <c r="L69" s="1087">
        <f t="shared" si="104"/>
        <v>0</v>
      </c>
      <c r="M69" s="1087">
        <f t="shared" si="104"/>
        <v>0</v>
      </c>
      <c r="N69" s="1087">
        <f t="shared" si="104"/>
        <v>0</v>
      </c>
      <c r="O69" s="1087">
        <f t="shared" si="104"/>
        <v>0</v>
      </c>
      <c r="P69" s="1087">
        <f t="shared" si="104"/>
        <v>0</v>
      </c>
      <c r="Q69" s="1087">
        <f t="shared" si="104"/>
        <v>0</v>
      </c>
      <c r="R69" s="1087">
        <f t="shared" si="104"/>
        <v>0</v>
      </c>
      <c r="S69" s="1087">
        <f t="shared" si="104"/>
        <v>0</v>
      </c>
      <c r="T69" s="1087">
        <f t="shared" si="104"/>
        <v>0</v>
      </c>
      <c r="U69" s="1087">
        <f t="shared" si="104"/>
        <v>0</v>
      </c>
      <c r="V69" s="1087">
        <f t="shared" si="104"/>
        <v>0</v>
      </c>
      <c r="W69" s="1087">
        <f t="shared" si="104"/>
        <v>0</v>
      </c>
      <c r="X69" s="1087">
        <f t="shared" si="104"/>
        <v>0</v>
      </c>
      <c r="Y69" s="1087">
        <f t="shared" si="104"/>
        <v>0</v>
      </c>
      <c r="Z69" s="1087">
        <f t="shared" si="104"/>
        <v>0</v>
      </c>
      <c r="AA69" s="1087">
        <f t="shared" si="104"/>
        <v>0</v>
      </c>
      <c r="AB69" s="1087">
        <f t="shared" si="104"/>
        <v>0</v>
      </c>
      <c r="AC69" s="1087">
        <f t="shared" si="104"/>
        <v>0</v>
      </c>
      <c r="AD69" s="1066">
        <f t="shared" si="13"/>
        <v>0</v>
      </c>
      <c r="AE69" s="1066">
        <f t="shared" si="14"/>
        <v>0</v>
      </c>
    </row>
    <row r="70" spans="2:33" ht="30" customHeight="1">
      <c r="B70" s="1017" t="s">
        <v>172</v>
      </c>
      <c r="C70" s="1075"/>
      <c r="D70" s="1076"/>
      <c r="E70" s="1077"/>
      <c r="F70" s="1078"/>
      <c r="G70" s="1073"/>
      <c r="H70" s="1079" t="s">
        <v>52</v>
      </c>
      <c r="I70" s="1079" t="s">
        <v>52</v>
      </c>
      <c r="J70" s="1079" t="s">
        <v>52</v>
      </c>
      <c r="K70" s="1079"/>
      <c r="L70" s="1079"/>
      <c r="M70" s="1079"/>
      <c r="N70" s="1079"/>
      <c r="O70" s="1079"/>
      <c r="P70" s="1079"/>
      <c r="Q70" s="1079"/>
      <c r="R70" s="1079"/>
      <c r="S70" s="1079"/>
      <c r="T70" s="1079"/>
      <c r="U70" s="1079"/>
      <c r="V70" s="1079"/>
      <c r="W70" s="1079"/>
      <c r="X70" s="1079"/>
      <c r="Y70" s="1079"/>
      <c r="Z70" s="1079"/>
      <c r="AA70" s="1079"/>
      <c r="AB70" s="1084"/>
      <c r="AC70" s="1084"/>
      <c r="AD70" s="1066">
        <f t="shared" si="13"/>
        <v>0</v>
      </c>
      <c r="AE70" s="1066" t="e">
        <f t="shared" si="14"/>
        <v>#VALUE!</v>
      </c>
    </row>
    <row r="71" spans="2:33" ht="30" customHeight="1">
      <c r="C71" s="1075"/>
      <c r="D71" s="1076"/>
      <c r="E71" s="1077"/>
      <c r="F71" s="1078"/>
      <c r="G71" s="1073"/>
      <c r="H71" s="1079"/>
      <c r="I71" s="1079"/>
      <c r="J71" s="1079"/>
      <c r="K71" s="1079"/>
      <c r="L71" s="1079"/>
      <c r="M71" s="1079"/>
      <c r="N71" s="1079"/>
      <c r="O71" s="1079"/>
      <c r="P71" s="1079"/>
      <c r="Q71" s="1079"/>
      <c r="R71" s="1079"/>
      <c r="S71" s="1079"/>
      <c r="T71" s="1079"/>
      <c r="U71" s="1079"/>
      <c r="V71" s="1079"/>
      <c r="W71" s="1079"/>
      <c r="X71" s="1079"/>
      <c r="Y71" s="1079"/>
      <c r="Z71" s="1079"/>
      <c r="AA71" s="1079"/>
      <c r="AB71" s="1084"/>
      <c r="AC71" s="1084"/>
      <c r="AD71" s="1066">
        <f t="shared" si="13"/>
        <v>0</v>
      </c>
      <c r="AE71" s="1066">
        <f t="shared" si="14"/>
        <v>0</v>
      </c>
    </row>
    <row r="72" spans="2:33" ht="30" customHeight="1">
      <c r="C72" s="1075"/>
      <c r="D72" s="1076"/>
      <c r="E72" s="1077"/>
      <c r="F72" s="1078"/>
      <c r="G72" s="1073"/>
      <c r="H72" s="1079"/>
      <c r="I72" s="1079"/>
      <c r="J72" s="1079"/>
      <c r="K72" s="1079"/>
      <c r="L72" s="1079"/>
      <c r="M72" s="1079"/>
      <c r="N72" s="1079"/>
      <c r="O72" s="1079"/>
      <c r="P72" s="1079"/>
      <c r="Q72" s="1079"/>
      <c r="R72" s="1079"/>
      <c r="S72" s="1079"/>
      <c r="T72" s="1079"/>
      <c r="U72" s="1079"/>
      <c r="V72" s="1079"/>
      <c r="W72" s="1079"/>
      <c r="X72" s="1079"/>
      <c r="Y72" s="1079"/>
      <c r="Z72" s="1079"/>
      <c r="AA72" s="1079"/>
      <c r="AB72" s="1084"/>
      <c r="AC72" s="1084"/>
      <c r="AD72" s="1066">
        <f t="shared" si="13"/>
        <v>0</v>
      </c>
      <c r="AE72" s="1066">
        <f t="shared" si="14"/>
        <v>0</v>
      </c>
    </row>
    <row r="73" spans="2:33" ht="30" customHeight="1">
      <c r="C73" s="1075"/>
      <c r="D73" s="1076"/>
      <c r="E73" s="1077"/>
      <c r="F73" s="1078"/>
      <c r="G73" s="1073"/>
      <c r="H73" s="1079"/>
      <c r="I73" s="1079"/>
      <c r="J73" s="1079"/>
      <c r="K73" s="1079"/>
      <c r="L73" s="1079"/>
      <c r="M73" s="1079"/>
      <c r="N73" s="1079"/>
      <c r="O73" s="1079"/>
      <c r="P73" s="1079"/>
      <c r="Q73" s="1079"/>
      <c r="R73" s="1079"/>
      <c r="S73" s="1079"/>
      <c r="T73" s="1079"/>
      <c r="U73" s="1079"/>
      <c r="V73" s="1079"/>
      <c r="W73" s="1079"/>
      <c r="X73" s="1079"/>
      <c r="Y73" s="1079"/>
      <c r="Z73" s="1079"/>
      <c r="AA73" s="1079"/>
      <c r="AB73" s="1084"/>
      <c r="AC73" s="1084"/>
      <c r="AD73" s="1066">
        <f t="shared" si="13"/>
        <v>0</v>
      </c>
      <c r="AE73" s="1066">
        <f t="shared" si="14"/>
        <v>0</v>
      </c>
    </row>
    <row r="74" spans="2:33" ht="30" customHeight="1">
      <c r="C74" s="1075"/>
      <c r="D74" s="1076"/>
      <c r="E74" s="1077"/>
      <c r="F74" s="1078"/>
      <c r="G74" s="1073"/>
      <c r="H74" s="1079"/>
      <c r="I74" s="1079"/>
      <c r="J74" s="1079"/>
      <c r="K74" s="1079"/>
      <c r="L74" s="1079"/>
      <c r="M74" s="1079"/>
      <c r="N74" s="1079"/>
      <c r="O74" s="1079"/>
      <c r="P74" s="1079"/>
      <c r="Q74" s="1079"/>
      <c r="R74" s="1079"/>
      <c r="S74" s="1079"/>
      <c r="T74" s="1079"/>
      <c r="U74" s="1079"/>
      <c r="V74" s="1079"/>
      <c r="W74" s="1079"/>
      <c r="X74" s="1079"/>
      <c r="Y74" s="1079"/>
      <c r="Z74" s="1079"/>
      <c r="AA74" s="1079"/>
      <c r="AB74" s="1084"/>
      <c r="AC74" s="1084"/>
      <c r="AD74" s="1066">
        <f t="shared" si="13"/>
        <v>0</v>
      </c>
      <c r="AE74" s="1066">
        <f t="shared" si="14"/>
        <v>0</v>
      </c>
    </row>
    <row r="75" spans="2:33" ht="30" customHeight="1">
      <c r="C75" s="1075"/>
      <c r="D75" s="1076"/>
      <c r="E75" s="1077"/>
      <c r="F75" s="1078"/>
      <c r="G75" s="1073"/>
      <c r="H75" s="1079"/>
      <c r="I75" s="1079"/>
      <c r="J75" s="1079"/>
      <c r="K75" s="1079"/>
      <c r="L75" s="1079"/>
      <c r="M75" s="1079"/>
      <c r="N75" s="1079"/>
      <c r="O75" s="1079"/>
      <c r="P75" s="1079"/>
      <c r="Q75" s="1079"/>
      <c r="R75" s="1079"/>
      <c r="S75" s="1079"/>
      <c r="T75" s="1079"/>
      <c r="U75" s="1079"/>
      <c r="V75" s="1079"/>
      <c r="W75" s="1079"/>
      <c r="X75" s="1079"/>
      <c r="Y75" s="1079"/>
      <c r="Z75" s="1079"/>
      <c r="AA75" s="1079"/>
      <c r="AB75" s="1084"/>
      <c r="AC75" s="1084"/>
      <c r="AD75" s="1066">
        <f t="shared" si="13"/>
        <v>0</v>
      </c>
      <c r="AE75" s="1066">
        <f t="shared" si="14"/>
        <v>0</v>
      </c>
    </row>
    <row r="76" spans="2:33" ht="30" customHeight="1">
      <c r="D76" s="1019"/>
      <c r="E76" s="1020"/>
      <c r="F76" s="1019"/>
      <c r="G76" s="1019"/>
      <c r="H76" s="1021"/>
      <c r="I76" s="1021"/>
      <c r="J76" s="1021"/>
      <c r="K76" s="1021"/>
      <c r="L76" s="1021"/>
      <c r="M76" s="1021"/>
      <c r="N76" s="1021"/>
      <c r="O76" s="1021"/>
      <c r="P76" s="1021"/>
      <c r="Q76" s="1021"/>
      <c r="R76" s="1021"/>
      <c r="S76" s="1021"/>
      <c r="T76" s="1021"/>
      <c r="U76" s="1021"/>
      <c r="V76" s="1021"/>
      <c r="W76" s="1021"/>
      <c r="X76" s="1021"/>
      <c r="Y76" s="1021"/>
      <c r="Z76" s="1021"/>
      <c r="AA76" s="1105" t="s">
        <v>52</v>
      </c>
      <c r="AB76" s="1066"/>
      <c r="AC76" s="1106"/>
      <c r="AD76" s="1066" t="e">
        <f t="shared" ref="AD76:AD144" si="105">AA76-AB76-AC76</f>
        <v>#VALUE!</v>
      </c>
      <c r="AE76" s="1066" t="e">
        <f t="shared" ref="AE76:AE144" si="106">((I76+H76+L76+O76++P76)-SUM(R76:Y76))-AA76</f>
        <v>#VALUE!</v>
      </c>
    </row>
    <row r="77" spans="2:33" s="1017" customFormat="1" ht="30" customHeight="1">
      <c r="B77" s="1022"/>
      <c r="C77" s="1023" t="s">
        <v>605</v>
      </c>
      <c r="D77" s="1024"/>
      <c r="E77" s="1025"/>
      <c r="H77" s="1026"/>
      <c r="I77" s="1027"/>
      <c r="J77" s="1028" t="s">
        <v>607</v>
      </c>
      <c r="K77" s="1028"/>
      <c r="L77" s="1028"/>
      <c r="M77" s="1027"/>
      <c r="N77" s="1027"/>
      <c r="O77" s="1027"/>
      <c r="P77" s="1027"/>
      <c r="Q77" s="1027"/>
      <c r="R77" s="1027"/>
      <c r="S77" s="1027"/>
      <c r="T77" s="1027"/>
      <c r="U77" s="1027"/>
      <c r="V77" s="1027"/>
      <c r="W77" s="1027"/>
      <c r="X77" s="1027"/>
      <c r="Y77" s="1027"/>
      <c r="Z77" s="1066"/>
      <c r="AA77" s="1107"/>
      <c r="AB77" s="1108"/>
      <c r="AC77" s="1067"/>
      <c r="AD77" s="1066">
        <f t="shared" si="105"/>
        <v>0</v>
      </c>
      <c r="AE77" s="1066">
        <f t="shared" si="106"/>
        <v>0</v>
      </c>
      <c r="AG77" s="1109"/>
    </row>
    <row r="78" spans="2:33" ht="30" customHeight="1">
      <c r="E78" s="1025"/>
      <c r="F78" s="1017"/>
      <c r="G78" s="1017"/>
      <c r="H78" s="1027"/>
      <c r="I78" s="1027"/>
      <c r="J78" s="1027"/>
      <c r="K78" s="1027"/>
      <c r="L78" s="1027"/>
      <c r="M78" s="1027"/>
      <c r="N78" s="1027"/>
      <c r="O78" s="1027"/>
      <c r="P78" s="1027"/>
      <c r="Q78" s="1027"/>
      <c r="R78" s="1027"/>
      <c r="S78" s="1027"/>
      <c r="T78" s="1027"/>
      <c r="U78" s="1027"/>
      <c r="V78" s="1027"/>
      <c r="W78" s="1027"/>
      <c r="X78" s="1027"/>
      <c r="Y78" s="1027"/>
      <c r="Z78" s="1066"/>
      <c r="AA78" s="1095"/>
      <c r="AB78" s="1095"/>
      <c r="AC78" s="1095"/>
      <c r="AD78" s="1066">
        <f t="shared" si="105"/>
        <v>0</v>
      </c>
      <c r="AE78" s="1066">
        <f t="shared" si="106"/>
        <v>0</v>
      </c>
    </row>
    <row r="79" spans="2:33" ht="30" customHeight="1">
      <c r="E79" s="1025"/>
      <c r="F79" s="1017"/>
      <c r="G79" s="1017"/>
      <c r="H79" s="1027"/>
      <c r="I79" s="1027"/>
      <c r="J79" s="1027"/>
      <c r="K79" s="1027"/>
      <c r="L79" s="1027"/>
      <c r="M79" s="1027"/>
      <c r="N79" s="1027"/>
      <c r="O79" s="1027"/>
      <c r="P79" s="1027"/>
      <c r="Q79" s="1027"/>
      <c r="R79" s="1027"/>
      <c r="S79" s="1027"/>
      <c r="T79" s="1027"/>
      <c r="U79" s="1027"/>
      <c r="V79" s="1027"/>
      <c r="W79" s="1027"/>
      <c r="X79" s="1027"/>
      <c r="Y79" s="1027"/>
      <c r="AA79" s="1095"/>
      <c r="AB79" s="1111"/>
      <c r="AC79" s="1095"/>
      <c r="AD79" s="1066">
        <f t="shared" si="105"/>
        <v>0</v>
      </c>
      <c r="AE79" s="1066">
        <f t="shared" si="106"/>
        <v>0</v>
      </c>
    </row>
    <row r="80" spans="2:33" ht="30" customHeight="1">
      <c r="E80" s="1025"/>
      <c r="F80" s="1017"/>
      <c r="G80" s="1017"/>
      <c r="H80" s="1027"/>
      <c r="I80" s="1027"/>
      <c r="J80" s="1027"/>
      <c r="K80" s="1027"/>
      <c r="L80" s="1027"/>
      <c r="M80" s="1027"/>
      <c r="N80" s="1027"/>
      <c r="O80" s="1027"/>
      <c r="P80" s="1027"/>
      <c r="Q80" s="1027"/>
      <c r="R80" s="1027"/>
      <c r="S80" s="1027"/>
      <c r="T80" s="1027"/>
      <c r="U80" s="1027"/>
      <c r="V80" s="1027"/>
      <c r="W80" s="1027"/>
      <c r="X80" s="1027"/>
      <c r="Y80" s="1027"/>
      <c r="AA80" s="1095"/>
      <c r="AB80" s="1111"/>
      <c r="AC80" s="1095"/>
      <c r="AD80" s="1066">
        <f t="shared" si="105"/>
        <v>0</v>
      </c>
      <c r="AE80" s="1066">
        <f t="shared" si="106"/>
        <v>0</v>
      </c>
    </row>
    <row r="81" spans="2:31" ht="30" customHeight="1">
      <c r="E81" s="1025"/>
      <c r="F81" s="1017"/>
      <c r="G81" s="1017"/>
      <c r="H81" s="1027"/>
      <c r="I81" s="1027"/>
      <c r="J81" s="1027"/>
      <c r="K81" s="1027"/>
      <c r="L81" s="1027"/>
      <c r="M81" s="1027"/>
      <c r="N81" s="1027"/>
      <c r="O81" s="1027"/>
      <c r="P81" s="1027"/>
      <c r="Q81" s="1027"/>
      <c r="R81" s="1027"/>
      <c r="S81" s="1027"/>
      <c r="T81" s="1027"/>
      <c r="U81" s="1027"/>
      <c r="V81" s="1027"/>
      <c r="W81" s="1027"/>
      <c r="X81" s="1027"/>
      <c r="Y81" s="1027"/>
      <c r="AA81" s="1095"/>
      <c r="AB81" s="1111"/>
      <c r="AC81" s="1095"/>
      <c r="AD81" s="1066">
        <f t="shared" si="105"/>
        <v>0</v>
      </c>
      <c r="AE81" s="1066">
        <f t="shared" si="106"/>
        <v>0</v>
      </c>
    </row>
    <row r="82" spans="2:31" ht="30" customHeight="1">
      <c r="C82" s="1030"/>
      <c r="E82" s="1025"/>
      <c r="F82" s="1017"/>
      <c r="G82" s="1017"/>
      <c r="H82" s="1027"/>
      <c r="I82" s="1027"/>
      <c r="J82" s="1027"/>
      <c r="K82" s="1027"/>
      <c r="L82" s="1027"/>
      <c r="M82" s="1027"/>
      <c r="N82" s="1027"/>
      <c r="O82" s="1027"/>
      <c r="P82" s="1027"/>
      <c r="Q82" s="1027"/>
      <c r="R82" s="1027"/>
      <c r="S82" s="1027"/>
      <c r="T82" s="1027"/>
      <c r="U82" s="1027"/>
      <c r="V82" s="1027"/>
      <c r="W82" s="1027"/>
      <c r="X82" s="1027"/>
      <c r="Y82" s="1027"/>
      <c r="Z82" s="1112"/>
      <c r="AA82" s="1095"/>
      <c r="AB82" s="1112"/>
      <c r="AC82" s="1095"/>
      <c r="AD82" s="1066">
        <f t="shared" si="105"/>
        <v>0</v>
      </c>
      <c r="AE82" s="1066">
        <f t="shared" si="106"/>
        <v>0</v>
      </c>
    </row>
    <row r="83" spans="2:31" ht="30" customHeight="1">
      <c r="E83" s="1025"/>
      <c r="F83" s="1017"/>
      <c r="G83" s="1017"/>
      <c r="H83" s="1027"/>
      <c r="I83" s="1027"/>
      <c r="J83" s="1027"/>
      <c r="K83" s="1027"/>
      <c r="L83" s="1027"/>
      <c r="M83" s="1027"/>
      <c r="N83" s="1027"/>
      <c r="O83" s="1027"/>
      <c r="P83" s="1027"/>
      <c r="Q83" s="1027"/>
      <c r="R83" s="1027"/>
      <c r="S83" s="1027"/>
      <c r="T83" s="1027"/>
      <c r="U83" s="1027"/>
      <c r="V83" s="1027"/>
      <c r="W83" s="1027"/>
      <c r="X83" s="1027"/>
      <c r="Y83" s="1027"/>
      <c r="AA83" s="1095"/>
      <c r="AB83" s="1066"/>
      <c r="AC83" s="1108"/>
      <c r="AD83" s="1066">
        <f t="shared" si="105"/>
        <v>0</v>
      </c>
      <c r="AE83" s="1066">
        <f t="shared" si="106"/>
        <v>0</v>
      </c>
    </row>
    <row r="84" spans="2:31" ht="30" customHeight="1">
      <c r="E84" s="1025"/>
      <c r="F84" s="1017"/>
      <c r="G84" s="1017"/>
      <c r="H84" s="1017"/>
      <c r="I84" s="1027"/>
      <c r="J84" s="1027"/>
      <c r="K84" s="1027"/>
      <c r="L84" s="1027"/>
      <c r="M84" s="1027"/>
      <c r="N84" s="1027"/>
      <c r="O84" s="1027"/>
      <c r="P84" s="1027"/>
      <c r="Q84" s="1027"/>
      <c r="R84" s="1027"/>
      <c r="S84" s="1027"/>
      <c r="T84" s="1027"/>
      <c r="U84" s="1027"/>
      <c r="V84" s="1027"/>
      <c r="W84" s="1027"/>
      <c r="X84" s="1027"/>
      <c r="Y84" s="1027"/>
      <c r="AA84" s="1095"/>
      <c r="AB84" s="1066"/>
      <c r="AC84" s="1108"/>
      <c r="AD84" s="1066">
        <f t="shared" si="105"/>
        <v>0</v>
      </c>
      <c r="AE84" s="1066">
        <f t="shared" si="106"/>
        <v>0</v>
      </c>
    </row>
    <row r="85" spans="2:31" ht="30" customHeight="1">
      <c r="E85" s="1025"/>
      <c r="F85" s="1017"/>
      <c r="G85" s="1017"/>
      <c r="H85" s="1027"/>
      <c r="I85" s="1027"/>
      <c r="J85" s="1027"/>
      <c r="K85" s="1027"/>
      <c r="L85" s="1027"/>
      <c r="M85" s="1027"/>
      <c r="N85" s="1027"/>
      <c r="O85" s="1027"/>
      <c r="P85" s="1027"/>
      <c r="Q85" s="1027"/>
      <c r="R85" s="1027"/>
      <c r="S85" s="1027"/>
      <c r="T85" s="1027"/>
      <c r="U85" s="1027"/>
      <c r="V85" s="1027"/>
      <c r="W85" s="1027"/>
      <c r="X85" s="1027"/>
      <c r="Y85" s="1027"/>
      <c r="AA85" s="1066"/>
      <c r="AB85" s="1066"/>
      <c r="AC85" s="1067"/>
      <c r="AD85" s="1066">
        <f t="shared" si="105"/>
        <v>0</v>
      </c>
      <c r="AE85" s="1066">
        <f t="shared" si="106"/>
        <v>0</v>
      </c>
    </row>
    <row r="86" spans="2:31" s="1017" customFormat="1" ht="30" customHeight="1">
      <c r="B86" s="1022"/>
      <c r="C86" s="1023" t="s">
        <v>606</v>
      </c>
      <c r="E86" s="1025"/>
      <c r="H86" s="1026"/>
      <c r="I86" s="1026"/>
      <c r="J86" s="1031" t="s">
        <v>599</v>
      </c>
      <c r="K86" s="1031"/>
      <c r="L86" s="1031"/>
      <c r="M86" s="1026"/>
      <c r="N86" s="1026"/>
      <c r="O86" s="1026"/>
      <c r="P86" s="1026"/>
      <c r="Q86" s="1026"/>
      <c r="R86" s="1026"/>
      <c r="S86" s="1026"/>
      <c r="T86" s="1026"/>
      <c r="U86" s="1026"/>
      <c r="V86" s="1026"/>
      <c r="W86" s="1026"/>
      <c r="X86" s="1026"/>
      <c r="Y86" s="1026"/>
      <c r="Z86" s="1066"/>
      <c r="AA86" s="1066"/>
      <c r="AB86" s="1066"/>
      <c r="AC86" s="1067"/>
      <c r="AD86" s="1066">
        <f t="shared" si="105"/>
        <v>0</v>
      </c>
      <c r="AE86" s="1066">
        <f t="shared" si="106"/>
        <v>0</v>
      </c>
    </row>
    <row r="87" spans="2:31" ht="30" customHeight="1">
      <c r="Z87" s="1112"/>
      <c r="AD87" s="1066">
        <f t="shared" si="105"/>
        <v>0</v>
      </c>
      <c r="AE87" s="1066">
        <f t="shared" si="106"/>
        <v>0</v>
      </c>
    </row>
    <row r="88" spans="2:31" ht="30" customHeight="1">
      <c r="AD88" s="1066">
        <f t="shared" si="105"/>
        <v>0</v>
      </c>
      <c r="AE88" s="1066">
        <f t="shared" si="106"/>
        <v>0</v>
      </c>
    </row>
    <row r="89" spans="2:31" ht="30" customHeight="1">
      <c r="C89" s="1075"/>
      <c r="D89" s="1076"/>
      <c r="E89" s="1077"/>
      <c r="F89" s="1078"/>
      <c r="G89" s="1073"/>
      <c r="H89" s="1021"/>
      <c r="I89" s="1021"/>
      <c r="J89" s="1021"/>
      <c r="K89" s="1021"/>
      <c r="L89" s="1021"/>
      <c r="M89" s="1021"/>
      <c r="N89" s="1021"/>
      <c r="O89" s="1021"/>
      <c r="P89" s="1021"/>
      <c r="Q89" s="1021"/>
      <c r="R89" s="1021"/>
      <c r="S89" s="1021"/>
      <c r="T89" s="1021"/>
      <c r="U89" s="1021"/>
      <c r="V89" s="1021"/>
      <c r="W89" s="1021"/>
      <c r="X89" s="1021"/>
      <c r="Y89" s="1021"/>
      <c r="Z89" s="1112"/>
      <c r="AA89" s="1021"/>
      <c r="AB89" s="1066"/>
      <c r="AC89" s="1106"/>
      <c r="AD89" s="1066">
        <f t="shared" si="105"/>
        <v>0</v>
      </c>
      <c r="AE89" s="1066">
        <f t="shared" si="106"/>
        <v>0</v>
      </c>
    </row>
    <row r="90" spans="2:31" ht="30" customHeight="1">
      <c r="C90" s="1075"/>
      <c r="D90" s="1076"/>
      <c r="E90" s="1077"/>
      <c r="F90" s="1078"/>
      <c r="G90" s="1073"/>
      <c r="H90" s="1021"/>
      <c r="I90" s="1021"/>
      <c r="J90" s="1021"/>
      <c r="K90" s="1021"/>
      <c r="L90" s="1021"/>
      <c r="M90" s="1021"/>
      <c r="N90" s="1021"/>
      <c r="O90" s="1021"/>
      <c r="P90" s="1021"/>
      <c r="Q90" s="1021"/>
      <c r="R90" s="1021"/>
      <c r="S90" s="1021"/>
      <c r="T90" s="1021"/>
      <c r="U90" s="1021"/>
      <c r="V90" s="1021"/>
      <c r="W90" s="1021"/>
      <c r="X90" s="1021"/>
      <c r="Y90" s="1021"/>
      <c r="Z90" s="1112"/>
      <c r="AA90" s="1021"/>
      <c r="AB90" s="1066"/>
      <c r="AC90" s="1106"/>
      <c r="AD90" s="1066">
        <f t="shared" si="105"/>
        <v>0</v>
      </c>
      <c r="AE90" s="1066">
        <f t="shared" si="106"/>
        <v>0</v>
      </c>
    </row>
    <row r="91" spans="2:31" ht="30" customHeight="1">
      <c r="C91" s="1075"/>
      <c r="D91" s="1076"/>
      <c r="E91" s="1077"/>
      <c r="F91" s="1078"/>
      <c r="G91" s="1073"/>
      <c r="H91" s="1021"/>
      <c r="I91" s="1021"/>
      <c r="J91" s="1021"/>
      <c r="K91" s="1021"/>
      <c r="L91" s="1021"/>
      <c r="M91" s="1021"/>
      <c r="N91" s="1021"/>
      <c r="O91" s="1021"/>
      <c r="P91" s="1021"/>
      <c r="Q91" s="1021"/>
      <c r="R91" s="1021"/>
      <c r="S91" s="1021"/>
      <c r="T91" s="1021"/>
      <c r="U91" s="1021"/>
      <c r="V91" s="1021"/>
      <c r="W91" s="1021"/>
      <c r="X91" s="1021"/>
      <c r="Y91" s="1021"/>
      <c r="Z91" s="1112"/>
      <c r="AA91" s="1021"/>
      <c r="AB91" s="1066"/>
      <c r="AC91" s="1106"/>
      <c r="AD91" s="1066">
        <f t="shared" si="105"/>
        <v>0</v>
      </c>
      <c r="AE91" s="1066">
        <f t="shared" si="106"/>
        <v>0</v>
      </c>
    </row>
    <row r="92" spans="2:31" ht="30" customHeight="1">
      <c r="C92" s="1075" t="s">
        <v>99</v>
      </c>
      <c r="D92" s="1076"/>
      <c r="E92" s="1077"/>
      <c r="F92" s="1078"/>
      <c r="G92" s="1073"/>
      <c r="H92" s="1021"/>
      <c r="I92" s="1021"/>
      <c r="J92" s="1021"/>
      <c r="K92" s="1021"/>
      <c r="L92" s="1021"/>
      <c r="M92" s="1021"/>
      <c r="N92" s="1021"/>
      <c r="O92" s="1021"/>
      <c r="P92" s="1021"/>
      <c r="Q92" s="1021"/>
      <c r="R92" s="1021"/>
      <c r="S92" s="1021"/>
      <c r="T92" s="1021"/>
      <c r="U92" s="1021"/>
      <c r="V92" s="1021"/>
      <c r="W92" s="1021"/>
      <c r="X92" s="1021"/>
      <c r="Y92" s="1021"/>
      <c r="Z92" s="1112"/>
      <c r="AA92" s="1021"/>
      <c r="AB92" s="1066"/>
      <c r="AC92" s="1106"/>
      <c r="AD92" s="1066">
        <f t="shared" si="105"/>
        <v>0</v>
      </c>
      <c r="AE92" s="1066">
        <f t="shared" si="106"/>
        <v>0</v>
      </c>
    </row>
    <row r="93" spans="2:31" ht="30" customHeight="1">
      <c r="B93" s="1017">
        <v>23</v>
      </c>
      <c r="C93" s="1113" t="str">
        <f>+distribucion!G82</f>
        <v>Ramos Pineda Alan Fernando</v>
      </c>
      <c r="D93" s="1070" t="str">
        <f>VLOOKUP(C93,distribucion!G$8:FP$153,2,0)</f>
        <v>Jefe de Logistica y Bodega</v>
      </c>
      <c r="E93" s="1071">
        <f t="shared" ref="E93" si="107">H93+L93+N93+O93</f>
        <v>5500</v>
      </c>
      <c r="F93" s="1072">
        <f>VLOOKUP(C93,distribucion!G58:M152,7,FALSE)</f>
        <v>30</v>
      </c>
      <c r="G93" s="1073"/>
      <c r="H93" s="1064">
        <f>ROUND((VLOOKUP(C93,distribucion!G$1:FP$153,130,0)),2)</f>
        <v>5500</v>
      </c>
      <c r="I93" s="1064">
        <f>ROUND((VLOOKUP(C93,distribucion!G$8:FO$153,131,0)),2)</f>
        <v>4500</v>
      </c>
      <c r="J93" s="1064">
        <f t="shared" ref="J93" si="108">H93+I93</f>
        <v>10000</v>
      </c>
      <c r="K93" s="1064">
        <f>VLOOKUP(C93,distribucion!G$8:FP$153,132,0)</f>
        <v>0</v>
      </c>
      <c r="L93" s="1064">
        <f>ROUND((VLOOKUP(C93,distribucion!G$8:FP$153,133,0)),2)</f>
        <v>0</v>
      </c>
      <c r="M93" s="1064">
        <f>VLOOKUP(C93,distribucion!G$8:FP$153,134,0)</f>
        <v>0</v>
      </c>
      <c r="N93" s="1064">
        <f>ROUND((VLOOKUP(C93,distribucion!G$8:FP$153,135,0)),2)</f>
        <v>0</v>
      </c>
      <c r="O93" s="1027">
        <v>0</v>
      </c>
      <c r="P93" s="1074">
        <f>+distribucion!DK82</f>
        <v>0</v>
      </c>
      <c r="Q93" s="1027">
        <f t="shared" ref="Q93" si="109">SUM(J93:P93)-K93-M93</f>
        <v>10000</v>
      </c>
      <c r="R93" s="1027">
        <f t="shared" ref="R93" si="110">ROUND(((H93+L93+N93+O93+P93)*0.0483),2)</f>
        <v>265.64999999999998</v>
      </c>
      <c r="S93" s="1027">
        <f>ROUND((VLOOKUP(C93,distribucion!G$8:FP$153,151,0)),2)</f>
        <v>199.22</v>
      </c>
      <c r="T93" s="1027">
        <f>ROUND((VLOOKUP(C93,distribucion!G$8:FP$153,152,0)),2)</f>
        <v>0</v>
      </c>
      <c r="U93" s="1027">
        <f>ROUND((VLOOKUP(C93,distribucion!G$8:FP$153,153,0)),2)</f>
        <v>0</v>
      </c>
      <c r="V93" s="1027">
        <f>ROUND((VLOOKUP(C93,distribucion!G58:FJ152,159,0)),2)</f>
        <v>0</v>
      </c>
      <c r="W93" s="1027">
        <f>ROUND((VLOOKUP(C93,distribucion!G58:FJ152,158,0)),2)</f>
        <v>0</v>
      </c>
      <c r="X93" s="1027">
        <f>ROUND((VLOOKUP(C93,distribucion!G58:FJ152,154,0)),2)</f>
        <v>0</v>
      </c>
      <c r="Y93" s="1027">
        <f>ROUND((VLOOKUP(C93,distribucion!G$8:FP$153,160,0)),2)</f>
        <v>0</v>
      </c>
      <c r="Z93" s="1066">
        <f t="shared" ref="Z93" si="111">SUM(R93:Y93)</f>
        <v>464.87</v>
      </c>
      <c r="AA93" s="1027">
        <f t="shared" ref="AA93" si="112">Q93-Z93</f>
        <v>9535.1299999999992</v>
      </c>
      <c r="AB93" s="1066">
        <v>5267.56</v>
      </c>
      <c r="AC93" s="1067">
        <f t="shared" ref="AC93:AC94" si="113">+AA93-AB93</f>
        <v>4267.5699999999988</v>
      </c>
      <c r="AD93" s="1066"/>
      <c r="AE93" s="1066"/>
    </row>
    <row r="94" spans="2:31" ht="30" customHeight="1">
      <c r="B94" s="1017">
        <v>24</v>
      </c>
      <c r="C94" s="1113" t="str">
        <f>+distribucion!G83</f>
        <v>Davila Morales Estiven Alexander</v>
      </c>
      <c r="D94" s="1070" t="str">
        <f>VLOOKUP(C94,distribucion!G$8:FP$153,2,0)</f>
        <v>Facturador</v>
      </c>
      <c r="E94" s="1071">
        <f t="shared" ref="E94" si="114">H94+L94+N94+O94</f>
        <v>4715</v>
      </c>
      <c r="F94" s="1072">
        <f>VLOOKUP(C94,distribucion!G59:M153,7,FALSE)</f>
        <v>30</v>
      </c>
      <c r="G94" s="1073"/>
      <c r="H94" s="1064">
        <f>ROUND((VLOOKUP(C94,distribucion!G$1:FP$153,130,0)),2)</f>
        <v>4100</v>
      </c>
      <c r="I94" s="1064">
        <f>ROUND((VLOOKUP(C94,distribucion!G$8:FO$153,131,0)),2)</f>
        <v>730</v>
      </c>
      <c r="J94" s="1064">
        <f t="shared" ref="J94" si="115">H94+I94</f>
        <v>4830</v>
      </c>
      <c r="K94" s="1064">
        <f>VLOOKUP(C94,distribucion!G$8:FP$153,132,0)</f>
        <v>24</v>
      </c>
      <c r="L94" s="1064">
        <f>ROUND((VLOOKUP(C94,distribucion!G$8:FP$153,133,0)),2)</f>
        <v>615</v>
      </c>
      <c r="M94" s="1064">
        <f>VLOOKUP(C94,distribucion!G$8:FP$153,134,0)</f>
        <v>0</v>
      </c>
      <c r="N94" s="1064">
        <f>ROUND((VLOOKUP(C94,distribucion!G$8:FP$153,135,0)),2)</f>
        <v>0</v>
      </c>
      <c r="O94" s="1027">
        <v>0</v>
      </c>
      <c r="P94" s="1074">
        <f>+distribucion!DK83</f>
        <v>0</v>
      </c>
      <c r="Q94" s="1027">
        <f t="shared" ref="Q94" si="116">SUM(J94:P94)-K94-M94</f>
        <v>5445</v>
      </c>
      <c r="R94" s="1027">
        <f t="shared" ref="R94" si="117">ROUND(((H94+L94+N94+O94+P94)*0.0483),2)</f>
        <v>227.73</v>
      </c>
      <c r="S94" s="1027">
        <f>ROUND((VLOOKUP(C94,distribucion!G$8:FP$153,151,0)),2)</f>
        <v>182</v>
      </c>
      <c r="T94" s="1027">
        <f>ROUND((VLOOKUP(C94,distribucion!G$8:FP$153,152,0)),2)</f>
        <v>0</v>
      </c>
      <c r="U94" s="1027">
        <f>ROUND((VLOOKUP(C94,distribucion!G$8:FP$153,153,0)),2)</f>
        <v>0</v>
      </c>
      <c r="V94" s="1027">
        <f>ROUND((VLOOKUP(C94,distribucion!G59:FJ153,159,0)),2)</f>
        <v>0</v>
      </c>
      <c r="W94" s="1027">
        <f>ROUND((VLOOKUP(C94,distribucion!G59:FJ153,158,0)),2)</f>
        <v>0</v>
      </c>
      <c r="X94" s="1027">
        <f>ROUND((VLOOKUP(C94,distribucion!G59:FJ153,154,0)),2)</f>
        <v>0</v>
      </c>
      <c r="Y94" s="1027">
        <f>ROUND((VLOOKUP(C94,distribucion!G$8:FP$153,160,0)),2)</f>
        <v>0</v>
      </c>
      <c r="Z94" s="1066">
        <f t="shared" ref="Z94" si="118">SUM(R94:Y94)</f>
        <v>409.73</v>
      </c>
      <c r="AA94" s="1027">
        <f t="shared" ref="AA94" si="119">Q94-Z94</f>
        <v>5035.2700000000004</v>
      </c>
      <c r="AB94" s="1066">
        <v>1988.48</v>
      </c>
      <c r="AC94" s="1067">
        <f t="shared" si="113"/>
        <v>3046.7900000000004</v>
      </c>
      <c r="AD94" s="1066">
        <f t="shared" si="105"/>
        <v>0</v>
      </c>
      <c r="AE94" s="1066">
        <f t="shared" si="106"/>
        <v>0</v>
      </c>
    </row>
    <row r="95" spans="2:31" ht="30" customHeight="1">
      <c r="C95" s="1075"/>
      <c r="D95" s="1076" t="s">
        <v>130</v>
      </c>
      <c r="E95" s="1077"/>
      <c r="F95" s="1078"/>
      <c r="G95" s="1073"/>
      <c r="H95" s="1087">
        <f>SUM(H93:H94)</f>
        <v>9600</v>
      </c>
      <c r="I95" s="1087">
        <f>SUM(I93:I94)</f>
        <v>5230</v>
      </c>
      <c r="J95" s="1087">
        <f t="shared" ref="J95:AB95" si="120">SUM(J93:J94)</f>
        <v>14830</v>
      </c>
      <c r="K95" s="1087">
        <f t="shared" si="120"/>
        <v>24</v>
      </c>
      <c r="L95" s="1087">
        <f t="shared" si="120"/>
        <v>615</v>
      </c>
      <c r="M95" s="1087">
        <f t="shared" si="120"/>
        <v>0</v>
      </c>
      <c r="N95" s="1087">
        <f t="shared" si="120"/>
        <v>0</v>
      </c>
      <c r="O95" s="1087">
        <f t="shared" si="120"/>
        <v>0</v>
      </c>
      <c r="P95" s="1087">
        <f t="shared" si="120"/>
        <v>0</v>
      </c>
      <c r="Q95" s="1087">
        <f t="shared" si="120"/>
        <v>15445</v>
      </c>
      <c r="R95" s="1087">
        <f t="shared" si="120"/>
        <v>493.38</v>
      </c>
      <c r="S95" s="1087">
        <f t="shared" si="120"/>
        <v>381.22</v>
      </c>
      <c r="T95" s="1087">
        <f t="shared" si="120"/>
        <v>0</v>
      </c>
      <c r="U95" s="1087">
        <f t="shared" si="120"/>
        <v>0</v>
      </c>
      <c r="V95" s="1087">
        <f t="shared" si="120"/>
        <v>0</v>
      </c>
      <c r="W95" s="1087">
        <f t="shared" si="120"/>
        <v>0</v>
      </c>
      <c r="X95" s="1087">
        <f t="shared" si="120"/>
        <v>0</v>
      </c>
      <c r="Y95" s="1087">
        <f t="shared" si="120"/>
        <v>0</v>
      </c>
      <c r="Z95" s="1087">
        <f t="shared" si="120"/>
        <v>874.6</v>
      </c>
      <c r="AA95" s="1087">
        <f>SUM(AA93:AA94)</f>
        <v>14570.4</v>
      </c>
      <c r="AB95" s="1114">
        <f t="shared" si="120"/>
        <v>7256.0400000000009</v>
      </c>
      <c r="AC95" s="1114">
        <f>SUM(AC93:AC94)</f>
        <v>7314.3599999999988</v>
      </c>
      <c r="AD95" s="1066">
        <f t="shared" si="105"/>
        <v>0</v>
      </c>
      <c r="AE95" s="1066">
        <f t="shared" si="106"/>
        <v>0</v>
      </c>
    </row>
    <row r="96" spans="2:31" s="1124" customFormat="1" ht="30" customHeight="1">
      <c r="B96" s="1109"/>
      <c r="C96" s="1115" t="s">
        <v>657</v>
      </c>
      <c r="D96" s="1116"/>
      <c r="E96" s="1117"/>
      <c r="F96" s="1118"/>
      <c r="G96" s="1119"/>
      <c r="H96" s="1120"/>
      <c r="I96" s="1120"/>
      <c r="J96" s="1120"/>
      <c r="K96" s="1120"/>
      <c r="L96" s="1120"/>
      <c r="M96" s="1120"/>
      <c r="N96" s="1120"/>
      <c r="O96" s="1120"/>
      <c r="P96" s="1120"/>
      <c r="Q96" s="1120"/>
      <c r="R96" s="1120"/>
      <c r="S96" s="1120"/>
      <c r="T96" s="1120"/>
      <c r="U96" s="1120"/>
      <c r="V96" s="1120"/>
      <c r="W96" s="1120"/>
      <c r="X96" s="1120"/>
      <c r="Y96" s="1120"/>
      <c r="Z96" s="1121"/>
      <c r="AA96" s="1120"/>
      <c r="AB96" s="1122"/>
      <c r="AC96" s="1123"/>
      <c r="AD96" s="1066">
        <f t="shared" si="105"/>
        <v>0</v>
      </c>
      <c r="AE96" s="1066">
        <f t="shared" si="106"/>
        <v>0</v>
      </c>
    </row>
    <row r="97" spans="2:31" ht="30" customHeight="1">
      <c r="C97" s="1113"/>
      <c r="D97" s="1070"/>
      <c r="E97" s="1077"/>
      <c r="F97" s="1072"/>
      <c r="G97" s="1073"/>
      <c r="H97" s="1064"/>
      <c r="I97" s="1064"/>
      <c r="J97" s="1064"/>
      <c r="K97" s="1064"/>
      <c r="L97" s="1064"/>
      <c r="M97" s="1064"/>
      <c r="N97" s="1064"/>
      <c r="O97" s="1027"/>
      <c r="P97" s="1074"/>
      <c r="Q97" s="1027"/>
      <c r="R97" s="1027"/>
      <c r="S97" s="1027"/>
      <c r="T97" s="1027"/>
      <c r="U97" s="1027"/>
      <c r="V97" s="1027"/>
      <c r="W97" s="1027"/>
      <c r="X97" s="1027"/>
      <c r="Y97" s="1027"/>
      <c r="Z97" s="1066"/>
      <c r="AA97" s="1027"/>
      <c r="AB97" s="1066"/>
      <c r="AC97" s="1067"/>
      <c r="AD97" s="1066">
        <f t="shared" si="105"/>
        <v>0</v>
      </c>
      <c r="AE97" s="1066">
        <f t="shared" si="106"/>
        <v>0</v>
      </c>
    </row>
    <row r="98" spans="2:31" ht="30" customHeight="1">
      <c r="B98" s="1017">
        <v>25</v>
      </c>
      <c r="C98" s="1113" t="s">
        <v>425</v>
      </c>
      <c r="D98" s="1070" t="str">
        <f>VLOOKUP(C98,distribucion!G$8:FP$153,2,0)</f>
        <v>Operador de montacargas</v>
      </c>
      <c r="E98" s="1071">
        <f t="shared" ref="E98:E101" si="121">H98+L98+N98+O98</f>
        <v>4125</v>
      </c>
      <c r="F98" s="1072">
        <f>VLOOKUP(C98,distribucion!G60:M153,7,FALSE)</f>
        <v>26</v>
      </c>
      <c r="G98" s="1073"/>
      <c r="H98" s="1064">
        <f>ROUND((VLOOKUP(C98,distribucion!G$1:FP$153,130,0)),2)</f>
        <v>3900</v>
      </c>
      <c r="I98" s="1064">
        <f>ROUND((VLOOKUP(C98,distribucion!G$8:FO$153,131,0)),2)</f>
        <v>2223.33</v>
      </c>
      <c r="J98" s="1064">
        <f t="shared" ref="J98:J101" si="122">H98+I98</f>
        <v>6123.33</v>
      </c>
      <c r="K98" s="1064">
        <f>VLOOKUP(C98,distribucion!G$8:FP$153,132,0)</f>
        <v>8</v>
      </c>
      <c r="L98" s="1064">
        <f>ROUND((VLOOKUP(C98,distribucion!G$8:FP$153,133,0)),2)</f>
        <v>225</v>
      </c>
      <c r="M98" s="1064">
        <f>VLOOKUP(C98,distribucion!G$8:FP$153,134,0)</f>
        <v>0</v>
      </c>
      <c r="N98" s="1064">
        <f>ROUND((VLOOKUP(C98,distribucion!G$8:FP$153,135,0)),2)</f>
        <v>0</v>
      </c>
      <c r="O98" s="1027">
        <v>0</v>
      </c>
      <c r="P98" s="1074">
        <f>+distribucion!DK89</f>
        <v>0</v>
      </c>
      <c r="Q98" s="1027">
        <f t="shared" ref="Q98:Q101" si="123">SUM(J98:P98)-K98-M98</f>
        <v>6348.33</v>
      </c>
      <c r="R98" s="1027">
        <f t="shared" ref="R98:R101" si="124">ROUND(((H98+L98+N98+O98+P98)*0.0483),2)</f>
        <v>199.24</v>
      </c>
      <c r="S98" s="1027">
        <f>ROUND((VLOOKUP(C98,distribucion!G$8:FP$153,151,0)),2)</f>
        <v>290</v>
      </c>
      <c r="T98" s="1064">
        <f>ROUND((VLOOKUP(C98,distribucion!G$8:FP$153,152,0)),2)</f>
        <v>0</v>
      </c>
      <c r="U98" s="1027">
        <f>ROUND((VLOOKUP(C98,distribucion!G$8:FP$153,153,0)),2)</f>
        <v>0</v>
      </c>
      <c r="V98" s="1027">
        <f>ROUND((VLOOKUP(C98,distribucion!G60:FJ153,159,0)),2)</f>
        <v>0</v>
      </c>
      <c r="W98" s="1027">
        <f>ROUND((VLOOKUP(C98,distribucion!G60:FJ153,158,0)),2)</f>
        <v>0</v>
      </c>
      <c r="X98" s="1027">
        <f>ROUND((VLOOKUP(C98,distribucion!G60:FJ153,154,0)),2)</f>
        <v>0</v>
      </c>
      <c r="Y98" s="1027">
        <f>ROUND((VLOOKUP(C98,distribucion!G$8:FP$153,160,0)),2)</f>
        <v>0</v>
      </c>
      <c r="Z98" s="1066">
        <f t="shared" ref="Z98:Z101" si="125">SUM(R98:Y98)</f>
        <v>489.24</v>
      </c>
      <c r="AA98" s="1027">
        <f t="shared" ref="AA98:AA101" si="126">Q98-Z98</f>
        <v>5859.09</v>
      </c>
      <c r="AB98" s="1066">
        <v>1557.6299999999999</v>
      </c>
      <c r="AC98" s="1067">
        <f t="shared" ref="AC98:AC101" si="127">+AA98-AB98</f>
        <v>4301.46</v>
      </c>
      <c r="AD98" s="1066">
        <f t="shared" si="105"/>
        <v>0</v>
      </c>
      <c r="AE98" s="1066">
        <f t="shared" si="106"/>
        <v>0</v>
      </c>
    </row>
    <row r="99" spans="2:31" ht="30" customHeight="1">
      <c r="B99" s="1017">
        <f>+B98+1</f>
        <v>26</v>
      </c>
      <c r="C99" s="1113" t="str">
        <f>+distribucion!G89</f>
        <v>Gonzalez Perez Alexis Damian</v>
      </c>
      <c r="D99" s="1070" t="str">
        <f>VLOOKUP(C99,distribucion!G$8:FP$153,2,0)</f>
        <v>Auxiliar de Bodega</v>
      </c>
      <c r="E99" s="1071">
        <f t="shared" ref="E99" si="128">H99+L99+N99+O99</f>
        <v>4177.38</v>
      </c>
      <c r="F99" s="1072">
        <f>VLOOKUP(C99,distribucion!G61:M154,7,FALSE)</f>
        <v>30</v>
      </c>
      <c r="G99" s="1073"/>
      <c r="H99" s="1064">
        <f>ROUND((VLOOKUP(C99,distribucion!G$1:FP$153,130,0)),2)</f>
        <v>4002.28</v>
      </c>
      <c r="I99" s="1064">
        <f>ROUND((VLOOKUP(C99,distribucion!G$8:FO$153,131,0)),2)</f>
        <v>415</v>
      </c>
      <c r="J99" s="1064">
        <f t="shared" ref="J99" si="129">H99+I99</f>
        <v>4417.2800000000007</v>
      </c>
      <c r="K99" s="1064">
        <f>VLOOKUP(C99,distribucion!G$8:FP$153,132,0)</f>
        <v>7</v>
      </c>
      <c r="L99" s="1064">
        <f>ROUND((VLOOKUP(C99,distribucion!G$8:FP$153,133,0)),2)</f>
        <v>175.1</v>
      </c>
      <c r="M99" s="1064">
        <f>VLOOKUP(C99,distribucion!G$8:FP$153,134,0)</f>
        <v>0</v>
      </c>
      <c r="N99" s="1064">
        <f>ROUND((VLOOKUP(C99,distribucion!G$8:FP$153,135,0)),2)</f>
        <v>0</v>
      </c>
      <c r="O99" s="1027">
        <v>0</v>
      </c>
      <c r="P99" s="1074">
        <f>+distribucion!DK90</f>
        <v>0</v>
      </c>
      <c r="Q99" s="1027">
        <f t="shared" ref="Q99" si="130">SUM(J99:P99)-K99-M99</f>
        <v>4592.380000000001</v>
      </c>
      <c r="R99" s="1027">
        <f t="shared" ref="R99" si="131">ROUND(((H99+L99+N99+O99+P99)*0.0483),2)</f>
        <v>201.77</v>
      </c>
      <c r="S99" s="1027">
        <f>ROUND((VLOOKUP(C99,distribucion!G$8:FP$153,151,0)),2)</f>
        <v>0</v>
      </c>
      <c r="T99" s="1064">
        <f>ROUND((VLOOKUP(C99,distribucion!G$8:FP$153,152,0)),2)</f>
        <v>0</v>
      </c>
      <c r="U99" s="1027">
        <f>ROUND((VLOOKUP(C99,distribucion!G$8:FP$153,153,0)),2)</f>
        <v>0</v>
      </c>
      <c r="V99" s="1027">
        <f>ROUND((VLOOKUP(C99,distribucion!G61:FJ154,159,0)),2)</f>
        <v>0</v>
      </c>
      <c r="W99" s="1027">
        <f>ROUND((VLOOKUP(C99,distribucion!G61:FJ154,158,0)),2)</f>
        <v>0</v>
      </c>
      <c r="X99" s="1027">
        <f>ROUND((VLOOKUP(C99,distribucion!G61:FJ154,154,0)),2)</f>
        <v>665.5</v>
      </c>
      <c r="Y99" s="1027">
        <f>ROUND((VLOOKUP(C99,distribucion!G$8:FP$153,160,0)),2)</f>
        <v>0</v>
      </c>
      <c r="Z99" s="1066">
        <f t="shared" ref="Z99" si="132">SUM(R99:Y99)</f>
        <v>867.27</v>
      </c>
      <c r="AA99" s="1027">
        <f t="shared" ref="AA99" si="133">Q99-Z99</f>
        <v>3725.110000000001</v>
      </c>
      <c r="AB99" s="1066">
        <v>1743.9800000000005</v>
      </c>
      <c r="AC99" s="1067">
        <f t="shared" si="127"/>
        <v>1981.1300000000006</v>
      </c>
      <c r="AD99" s="1066"/>
      <c r="AE99" s="1066"/>
    </row>
    <row r="100" spans="2:31" ht="30" customHeight="1">
      <c r="B100" s="1017">
        <f t="shared" ref="B100:B101" si="134">+B99+1</f>
        <v>27</v>
      </c>
      <c r="C100" s="1113" t="str">
        <f>+distribucion!G88</f>
        <v>Quevedo Turcios Julio Cesar</v>
      </c>
      <c r="D100" s="1070" t="str">
        <f>VLOOKUP(C100,distribucion!G$8:FP$153,2,0)</f>
        <v>Auxiliar de Bodega</v>
      </c>
      <c r="E100" s="1071">
        <f t="shared" ref="E100" si="135">H100+L100+N100+O100</f>
        <v>4052.3100000000004</v>
      </c>
      <c r="F100" s="1072">
        <f>VLOOKUP(C100,distribucion!G62:M155,7,FALSE)</f>
        <v>30</v>
      </c>
      <c r="G100" s="1073"/>
      <c r="H100" s="1064">
        <f>ROUND((VLOOKUP(C100,distribucion!G$1:FP$153,130,0)),2)</f>
        <v>4002.28</v>
      </c>
      <c r="I100" s="1064">
        <f>ROUND((VLOOKUP(C100,distribucion!G$8:FO$153,131,0)),2)</f>
        <v>422.5</v>
      </c>
      <c r="J100" s="1064">
        <f t="shared" ref="J100" si="136">H100+I100</f>
        <v>4424.7800000000007</v>
      </c>
      <c r="K100" s="1064">
        <f>VLOOKUP(C100,distribucion!G$8:FP$153,132,0)</f>
        <v>2</v>
      </c>
      <c r="L100" s="1064">
        <f>ROUND((VLOOKUP(C100,distribucion!G$8:FP$153,133,0)),2)</f>
        <v>50.03</v>
      </c>
      <c r="M100" s="1064">
        <f>VLOOKUP(C100,distribucion!G$8:FP$153,134,0)</f>
        <v>0</v>
      </c>
      <c r="N100" s="1064">
        <f>ROUND((VLOOKUP(C100,distribucion!G$8:FP$153,135,0)),2)</f>
        <v>0</v>
      </c>
      <c r="O100" s="1027">
        <v>0</v>
      </c>
      <c r="P100" s="1074">
        <f>+distribucion!DK91</f>
        <v>0</v>
      </c>
      <c r="Q100" s="1027">
        <f t="shared" ref="Q100" si="137">SUM(J100:P100)-K100-M100</f>
        <v>4474.8100000000004</v>
      </c>
      <c r="R100" s="1027">
        <f t="shared" ref="R100" si="138">ROUND(((H100+L100+N100+O100+P100)*0.0483),2)</f>
        <v>195.73</v>
      </c>
      <c r="S100" s="1027">
        <f>ROUND((VLOOKUP(C100,distribucion!G$8:FP$153,151,0)),2)</f>
        <v>0</v>
      </c>
      <c r="T100" s="1064">
        <f>ROUND((VLOOKUP(C100,distribucion!G$8:FP$153,152,0)),2)</f>
        <v>0</v>
      </c>
      <c r="U100" s="1027">
        <f>ROUND((VLOOKUP(C100,distribucion!G$8:FP$153,153,0)),2)</f>
        <v>0</v>
      </c>
      <c r="V100" s="1027">
        <f>ROUND((VLOOKUP(C100,distribucion!G62:FJ155,159,0)),2)</f>
        <v>0</v>
      </c>
      <c r="W100" s="1027">
        <f>ROUND((VLOOKUP(C100,distribucion!G62:FJ155,158,0)),2)</f>
        <v>0</v>
      </c>
      <c r="X100" s="1027">
        <f>ROUND((VLOOKUP(C100,distribucion!G62:FJ155,154,0)),2)</f>
        <v>43</v>
      </c>
      <c r="Y100" s="1027">
        <f>ROUND((VLOOKUP(C100,distribucion!G$8:FP$153,160,0)),2)</f>
        <v>0</v>
      </c>
      <c r="Z100" s="1066">
        <f t="shared" ref="Z100" si="139">SUM(R100:Y100)</f>
        <v>238.73</v>
      </c>
      <c r="AA100" s="1027">
        <f t="shared" ref="AA100" si="140">Q100-Z100</f>
        <v>4236.0800000000008</v>
      </c>
      <c r="AB100" s="1066">
        <v>1986.4800000000002</v>
      </c>
      <c r="AC100" s="1067">
        <f t="shared" si="127"/>
        <v>2249.6000000000004</v>
      </c>
      <c r="AD100" s="1066"/>
      <c r="AE100" s="1066"/>
    </row>
    <row r="101" spans="2:31" ht="30" customHeight="1">
      <c r="B101" s="1017">
        <f t="shared" si="134"/>
        <v>28</v>
      </c>
      <c r="C101" s="1113" t="s">
        <v>608</v>
      </c>
      <c r="D101" s="1070" t="str">
        <f>VLOOKUP(C101,distribucion!G$8:FP$153,2,0)</f>
        <v>Encargado de Bodega MP</v>
      </c>
      <c r="E101" s="1071">
        <f t="shared" si="121"/>
        <v>4696.88</v>
      </c>
      <c r="F101" s="1072">
        <f>VLOOKUP(C101,distribucion!G61:M153,7,FALSE)</f>
        <v>30</v>
      </c>
      <c r="G101" s="1073"/>
      <c r="H101" s="1064">
        <f>ROUND((VLOOKUP(C101,distribucion!G$1:FP$153,130,0)),2)</f>
        <v>4500</v>
      </c>
      <c r="I101" s="1064">
        <f>ROUND((VLOOKUP(C101,distribucion!G$8:FO$153,131,0)),2)</f>
        <v>962.28</v>
      </c>
      <c r="J101" s="1064">
        <f t="shared" si="122"/>
        <v>5462.28</v>
      </c>
      <c r="K101" s="1064">
        <f>VLOOKUP(C101,distribucion!G$8:FP$153,132,0)</f>
        <v>7</v>
      </c>
      <c r="L101" s="1064">
        <f>ROUND((VLOOKUP(C101,distribucion!G$8:FP$153,133,0)),2)</f>
        <v>196.88</v>
      </c>
      <c r="M101" s="1064">
        <f>VLOOKUP(C101,distribucion!G$8:FP$153,134,0)</f>
        <v>0</v>
      </c>
      <c r="N101" s="1064">
        <f>ROUND((VLOOKUP(C101,distribucion!G$8:FP$153,135,0)),2)</f>
        <v>0</v>
      </c>
      <c r="O101" s="1027">
        <v>0</v>
      </c>
      <c r="P101" s="1074">
        <f>+distribucion!DK90</f>
        <v>0</v>
      </c>
      <c r="Q101" s="1027">
        <f t="shared" si="123"/>
        <v>5659.16</v>
      </c>
      <c r="R101" s="1027">
        <f t="shared" si="124"/>
        <v>226.86</v>
      </c>
      <c r="S101" s="1027">
        <f>ROUND((VLOOKUP(C101,distribucion!G$8:FP$153,151,0)),2)</f>
        <v>218</v>
      </c>
      <c r="T101" s="1064">
        <f>ROUND((VLOOKUP(C101,distribucion!G$8:FP$153,152,0)),2)</f>
        <v>0</v>
      </c>
      <c r="U101" s="1027">
        <f>ROUND((VLOOKUP(C101,distribucion!G$8:FP$153,153,0)),2)</f>
        <v>650</v>
      </c>
      <c r="V101" s="1027">
        <f>ROUND((VLOOKUP(C101,distribucion!G61:FJ153,159,0)),2)</f>
        <v>0</v>
      </c>
      <c r="W101" s="1027">
        <f>ROUND((VLOOKUP(C101,distribucion!G61:FJ153,158,0)),2)</f>
        <v>0</v>
      </c>
      <c r="X101" s="1027">
        <f>ROUND((VLOOKUP(C101,distribucion!G61:FJ153,154,0)),2)</f>
        <v>522</v>
      </c>
      <c r="Y101" s="1027">
        <f>ROUND((VLOOKUP(C101,distribucion!G$8:FP$153,160,0)),2)</f>
        <v>0</v>
      </c>
      <c r="Z101" s="1066">
        <f t="shared" si="125"/>
        <v>1616.8600000000001</v>
      </c>
      <c r="AA101" s="1027">
        <f t="shared" si="126"/>
        <v>4042.2999999999997</v>
      </c>
      <c r="AB101" s="1066">
        <v>1748.9599999999998</v>
      </c>
      <c r="AC101" s="1067">
        <f t="shared" si="127"/>
        <v>2293.34</v>
      </c>
      <c r="AD101" s="1066">
        <f t="shared" si="105"/>
        <v>0</v>
      </c>
      <c r="AE101" s="1066">
        <f t="shared" si="106"/>
        <v>0</v>
      </c>
    </row>
    <row r="102" spans="2:31" ht="30" customHeight="1">
      <c r="C102" s="1113"/>
      <c r="D102" s="1070"/>
      <c r="E102" s="1071"/>
      <c r="F102" s="1072"/>
      <c r="G102" s="1073"/>
      <c r="H102" s="1064"/>
      <c r="I102" s="1064"/>
      <c r="J102" s="1064"/>
      <c r="K102" s="1064"/>
      <c r="L102" s="1064"/>
      <c r="M102" s="1064"/>
      <c r="N102" s="1064"/>
      <c r="O102" s="1027"/>
      <c r="P102" s="1074"/>
      <c r="Q102" s="1027"/>
      <c r="R102" s="1027"/>
      <c r="S102" s="1027"/>
      <c r="T102" s="1064"/>
      <c r="U102" s="1027"/>
      <c r="V102" s="1027"/>
      <c r="W102" s="1027"/>
      <c r="X102" s="1027"/>
      <c r="Y102" s="1027"/>
      <c r="Z102" s="1066"/>
      <c r="AA102" s="1027"/>
      <c r="AB102" s="1066"/>
      <c r="AC102" s="1067"/>
      <c r="AD102" s="1066"/>
      <c r="AE102" s="1066"/>
    </row>
    <row r="103" spans="2:31" ht="30" customHeight="1">
      <c r="C103" s="1075"/>
      <c r="D103" s="1076" t="s">
        <v>130</v>
      </c>
      <c r="E103" s="1077"/>
      <c r="F103" s="1078"/>
      <c r="G103" s="1073"/>
      <c r="H103" s="1087">
        <f t="shared" ref="H103:AC103" si="141">SUM(H97:H102)</f>
        <v>16404.560000000001</v>
      </c>
      <c r="I103" s="1087">
        <f t="shared" si="141"/>
        <v>4023.1099999999997</v>
      </c>
      <c r="J103" s="1087">
        <f t="shared" si="141"/>
        <v>20427.670000000002</v>
      </c>
      <c r="K103" s="1087">
        <f t="shared" si="141"/>
        <v>24</v>
      </c>
      <c r="L103" s="1087">
        <f t="shared" si="141"/>
        <v>647.01</v>
      </c>
      <c r="M103" s="1087">
        <f t="shared" si="141"/>
        <v>0</v>
      </c>
      <c r="N103" s="1087">
        <f t="shared" si="141"/>
        <v>0</v>
      </c>
      <c r="O103" s="1087">
        <f t="shared" si="141"/>
        <v>0</v>
      </c>
      <c r="P103" s="1087">
        <f t="shared" si="141"/>
        <v>0</v>
      </c>
      <c r="Q103" s="1087">
        <f t="shared" si="141"/>
        <v>21074.68</v>
      </c>
      <c r="R103" s="1087">
        <f t="shared" si="141"/>
        <v>823.6</v>
      </c>
      <c r="S103" s="1087">
        <f t="shared" si="141"/>
        <v>508</v>
      </c>
      <c r="T103" s="1087">
        <f t="shared" si="141"/>
        <v>0</v>
      </c>
      <c r="U103" s="1087">
        <f t="shared" si="141"/>
        <v>650</v>
      </c>
      <c r="V103" s="1087">
        <f t="shared" si="141"/>
        <v>0</v>
      </c>
      <c r="W103" s="1087">
        <f t="shared" si="141"/>
        <v>0</v>
      </c>
      <c r="X103" s="1087">
        <f t="shared" si="141"/>
        <v>1230.5</v>
      </c>
      <c r="Y103" s="1087">
        <f t="shared" si="141"/>
        <v>0</v>
      </c>
      <c r="Z103" s="1087">
        <f t="shared" si="141"/>
        <v>3212.1000000000004</v>
      </c>
      <c r="AA103" s="1087">
        <f t="shared" si="141"/>
        <v>17862.580000000002</v>
      </c>
      <c r="AB103" s="1087">
        <f t="shared" si="141"/>
        <v>7037.0500000000011</v>
      </c>
      <c r="AC103" s="1087">
        <f t="shared" si="141"/>
        <v>10825.53</v>
      </c>
      <c r="AD103" s="1066">
        <f t="shared" si="105"/>
        <v>0</v>
      </c>
      <c r="AE103" s="1066">
        <f t="shared" si="106"/>
        <v>0</v>
      </c>
    </row>
    <row r="104" spans="2:31" ht="30" customHeight="1">
      <c r="C104" s="1115" t="s">
        <v>658</v>
      </c>
      <c r="D104" s="1076"/>
      <c r="E104" s="1077"/>
      <c r="F104" s="1078"/>
      <c r="G104" s="1073"/>
      <c r="H104" s="1021"/>
      <c r="I104" s="1021"/>
      <c r="J104" s="1021"/>
      <c r="K104" s="1021"/>
      <c r="L104" s="1021"/>
      <c r="M104" s="1021"/>
      <c r="N104" s="1021"/>
      <c r="O104" s="1021"/>
      <c r="P104" s="1021"/>
      <c r="Q104" s="1021"/>
      <c r="R104" s="1021"/>
      <c r="S104" s="1021"/>
      <c r="T104" s="1021"/>
      <c r="U104" s="1021"/>
      <c r="V104" s="1021"/>
      <c r="W104" s="1021"/>
      <c r="X104" s="1021"/>
      <c r="Y104" s="1021"/>
      <c r="Z104" s="1112"/>
      <c r="AA104" s="1021"/>
      <c r="AB104" s="1066"/>
      <c r="AC104" s="1106"/>
      <c r="AD104" s="1066">
        <f t="shared" si="105"/>
        <v>0</v>
      </c>
      <c r="AE104" s="1066">
        <f t="shared" si="106"/>
        <v>0</v>
      </c>
    </row>
    <row r="105" spans="2:31" ht="30" customHeight="1">
      <c r="C105" s="1113"/>
      <c r="D105" s="1091"/>
      <c r="E105" s="1092"/>
      <c r="F105" s="1072"/>
      <c r="G105" s="1094"/>
      <c r="H105" s="1064"/>
      <c r="I105" s="1064"/>
      <c r="J105" s="1064"/>
      <c r="K105" s="1064"/>
      <c r="L105" s="1064"/>
      <c r="M105" s="1064"/>
      <c r="N105" s="1064"/>
      <c r="O105" s="1027"/>
      <c r="P105" s="1074"/>
      <c r="Q105" s="1074"/>
      <c r="R105" s="1074"/>
      <c r="S105" s="1074"/>
      <c r="T105" s="1064"/>
      <c r="U105" s="1074"/>
      <c r="V105" s="1074"/>
      <c r="W105" s="1074"/>
      <c r="X105" s="1074"/>
      <c r="Y105" s="1074"/>
      <c r="Z105" s="1095"/>
      <c r="AA105" s="1074"/>
      <c r="AB105" s="1066"/>
      <c r="AC105" s="1067"/>
      <c r="AD105" s="1066">
        <f t="shared" si="105"/>
        <v>0</v>
      </c>
      <c r="AE105" s="1066">
        <f t="shared" si="106"/>
        <v>0</v>
      </c>
    </row>
    <row r="106" spans="2:31" ht="30" customHeight="1">
      <c r="B106" s="1017">
        <v>29</v>
      </c>
      <c r="C106" s="1113" t="str">
        <f>+distribucion!G95</f>
        <v>Lajon Puac Osmen Gudiel</v>
      </c>
      <c r="D106" s="1091" t="str">
        <f>VLOOKUP(C106,distribucion!G$8:FP$153,2,0)</f>
        <v>Operador de Montacargas</v>
      </c>
      <c r="E106" s="1092">
        <f>H106+L106+N106+O106</f>
        <v>4993.75</v>
      </c>
      <c r="F106" s="1072">
        <f>VLOOKUP(C106,distribucion!G60:M154,7,FALSE)</f>
        <v>30</v>
      </c>
      <c r="G106" s="1094">
        <f>VLOOKUP(C106,distribucion!$G$8:$DV$153,14,0)</f>
        <v>0</v>
      </c>
      <c r="H106" s="1064">
        <f>ROUND((VLOOKUP(C106,distribucion!G$1:FP$153,130,0)),2)</f>
        <v>4250</v>
      </c>
      <c r="I106" s="1064">
        <f>ROUND((VLOOKUP(C106,distribucion!G$8:FO$153,131,0)),2)</f>
        <v>1070</v>
      </c>
      <c r="J106" s="1064">
        <f t="shared" ref="J106" si="142">H106+I106</f>
        <v>5320</v>
      </c>
      <c r="K106" s="1064">
        <f>VLOOKUP(C106,distribucion!G$8:FP$153,132,0)</f>
        <v>28</v>
      </c>
      <c r="L106" s="1064">
        <f>ROUND((VLOOKUP(C106,distribucion!G$8:FP$153,133,0)),2)</f>
        <v>743.75</v>
      </c>
      <c r="M106" s="1064">
        <f>VLOOKUP(C106,distribucion!G$8:FP$153,134,0)</f>
        <v>0</v>
      </c>
      <c r="N106" s="1064">
        <f>ROUND((VLOOKUP(C106,distribucion!G$8:FP$153,135,0)),2)</f>
        <v>0</v>
      </c>
      <c r="O106" s="1027">
        <v>0</v>
      </c>
      <c r="P106" s="1074">
        <f>ROUND((VLOOKUP(C106,distribucion!G$8:FP$153,36,0)),2)</f>
        <v>0</v>
      </c>
      <c r="Q106" s="1074">
        <f>SUM(J106:P106)-K106-M106</f>
        <v>6063.75</v>
      </c>
      <c r="R106" s="1074">
        <f>ROUND(((H106+L106+N106+O106+P106)*0.0483),2)</f>
        <v>241.2</v>
      </c>
      <c r="S106" s="1074">
        <f>ROUND((VLOOKUP(C106,distribucion!G$8:FP$153,151,0)),2)</f>
        <v>192</v>
      </c>
      <c r="T106" s="1064">
        <f>ROUND((VLOOKUP(C106,distribucion!G$8:FP$153,152,0)),2)</f>
        <v>0</v>
      </c>
      <c r="U106" s="1074">
        <f>ROUND((VLOOKUP(C106,distribucion!G$8:FP$153,153,0)),2)</f>
        <v>0</v>
      </c>
      <c r="V106" s="1074">
        <f>ROUND((VLOOKUP(C106,distribucion!$G$1:$FJ$153,159,0)),2)</f>
        <v>0</v>
      </c>
      <c r="W106" s="1074">
        <f>ROUND((VLOOKUP(C106,distribucion!$G$1:$FJ$153,158,0)),2)</f>
        <v>0</v>
      </c>
      <c r="X106" s="1074">
        <f>ROUND((VLOOKUP(C106,distribucion!$G$1:$FJ$153,154,0)),2)</f>
        <v>495.5</v>
      </c>
      <c r="Y106" s="1074">
        <f>ROUND((VLOOKUP(C106,distribucion!G$8:FP$153,160,0)),2)</f>
        <v>187.2</v>
      </c>
      <c r="Z106" s="1095">
        <f>SUM(R106:Y106)</f>
        <v>1115.9000000000001</v>
      </c>
      <c r="AA106" s="1074">
        <f>Q106-Z106</f>
        <v>4947.8500000000004</v>
      </c>
      <c r="AB106" s="1066">
        <v>1858.8600000000001</v>
      </c>
      <c r="AC106" s="1067">
        <f t="shared" ref="AC106:AC109" si="143">+AA106-AB106</f>
        <v>3088.9900000000002</v>
      </c>
      <c r="AD106" s="1066">
        <f t="shared" si="105"/>
        <v>0</v>
      </c>
      <c r="AE106" s="1066">
        <f t="shared" si="106"/>
        <v>0</v>
      </c>
    </row>
    <row r="107" spans="2:31" ht="30" customHeight="1">
      <c r="B107" s="1017">
        <v>30</v>
      </c>
      <c r="C107" s="1113" t="str">
        <f>+distribucion!G94</f>
        <v>Lopez Oxcal Kevin Jesus</v>
      </c>
      <c r="D107" s="1091" t="str">
        <f>VLOOKUP(C107,distribucion!G$8:FP$153,2,0)</f>
        <v>Auxiliar de Bodega</v>
      </c>
      <c r="E107" s="1092">
        <f>H107+L107+N107+O107</f>
        <v>5152.9400000000005</v>
      </c>
      <c r="F107" s="1072">
        <f>VLOOKUP(C107,distribucion!G61:M155,7,FALSE)</f>
        <v>30</v>
      </c>
      <c r="G107" s="1094" t="str">
        <f>VLOOKUP(C107,distribucion!$G$8:$DV$153,14,0)</f>
        <v>A.11.5.26</v>
      </c>
      <c r="H107" s="1064">
        <f>ROUND((VLOOKUP(C107,distribucion!G$1:FP$153,130,0)),2)</f>
        <v>4002.28</v>
      </c>
      <c r="I107" s="1064">
        <f>ROUND((VLOOKUP(C107,distribucion!G$8:FO$153,131,0)),2)</f>
        <v>1130</v>
      </c>
      <c r="J107" s="1064">
        <f t="shared" ref="J107" si="144">H107+I107</f>
        <v>5132.2800000000007</v>
      </c>
      <c r="K107" s="1064">
        <f>VLOOKUP(C107,distribucion!G$8:FP$153,132,0)</f>
        <v>46</v>
      </c>
      <c r="L107" s="1064">
        <f>ROUND((VLOOKUP(C107,distribucion!G$8:FP$153,133,0)),2)</f>
        <v>1150.6600000000001</v>
      </c>
      <c r="M107" s="1064">
        <f>VLOOKUP(C107,distribucion!G$8:FP$153,134,0)</f>
        <v>0</v>
      </c>
      <c r="N107" s="1064">
        <f>ROUND((VLOOKUP(C107,distribucion!G$8:FP$153,135,0)),2)</f>
        <v>0</v>
      </c>
      <c r="O107" s="1027">
        <v>0</v>
      </c>
      <c r="P107" s="1074">
        <f>ROUND((VLOOKUP(C107,distribucion!G$8:FP$153,36,0)),2)</f>
        <v>0</v>
      </c>
      <c r="Q107" s="1074">
        <f>SUM(J107:P107)-K107-M107</f>
        <v>6282.9400000000005</v>
      </c>
      <c r="R107" s="1074">
        <f>ROUND(((H107+L107+N107+O107+P107)*0.0483),2)</f>
        <v>248.89</v>
      </c>
      <c r="S107" s="1074">
        <f>ROUND((VLOOKUP(C107,distribucion!G$8:FP$153,151,0)),2)</f>
        <v>0</v>
      </c>
      <c r="T107" s="1064">
        <f>ROUND((VLOOKUP(C107,distribucion!G$8:FP$153,152,0)),2)</f>
        <v>0</v>
      </c>
      <c r="U107" s="1074">
        <f>ROUND((VLOOKUP(C107,distribucion!G$8:FP$153,153,0)),2)</f>
        <v>0</v>
      </c>
      <c r="V107" s="1074">
        <f>ROUND((VLOOKUP(C107,distribucion!$G$1:$FJ$153,159,0)),2)</f>
        <v>0</v>
      </c>
      <c r="W107" s="1074">
        <f>ROUND((VLOOKUP(C107,distribucion!$G$1:$FJ$153,158,0)),2)</f>
        <v>0</v>
      </c>
      <c r="X107" s="1074">
        <f>ROUND((VLOOKUP(C107,distribucion!$G$1:$FJ$153,154,0)),2)</f>
        <v>0</v>
      </c>
      <c r="Y107" s="1074">
        <f>ROUND((VLOOKUP(C107,distribucion!G$8:FP$153,160,0)),2)</f>
        <v>0</v>
      </c>
      <c r="Z107" s="1095">
        <f>SUM(R107:Y107)</f>
        <v>248.89</v>
      </c>
      <c r="AA107" s="1074">
        <f>Q107-Z107</f>
        <v>6034.05</v>
      </c>
      <c r="AB107" s="1066">
        <v>2029.4800000000002</v>
      </c>
      <c r="AC107" s="1067">
        <f t="shared" si="143"/>
        <v>4004.5699999999997</v>
      </c>
      <c r="AD107" s="1066"/>
      <c r="AE107" s="1066"/>
    </row>
    <row r="108" spans="2:31" ht="30" customHeight="1">
      <c r="B108" s="1017">
        <v>31</v>
      </c>
      <c r="C108" s="1113" t="str">
        <f>+distribucion!G93</f>
        <v>Perez Avilez Steven Andre</v>
      </c>
      <c r="D108" s="1091" t="str">
        <f>VLOOKUP(C108,distribucion!G$8:FP$153,2,0)</f>
        <v>Auxiliar de Bodega</v>
      </c>
      <c r="E108" s="1092">
        <f>H108+L108+N108+O108</f>
        <v>4452.5300000000007</v>
      </c>
      <c r="F108" s="1072">
        <f>VLOOKUP(C108,distribucion!G61:M155,7,FALSE)</f>
        <v>27</v>
      </c>
      <c r="G108" s="1094" t="str">
        <f>VLOOKUP(C108,distribucion!$G$8:$DV$153,14,0)</f>
        <v>falta injustificada 2 dias mas sep</v>
      </c>
      <c r="H108" s="1064">
        <f>ROUND((VLOOKUP(C108,distribucion!G$1:FP$153,130,0)),2)</f>
        <v>3602.05</v>
      </c>
      <c r="I108" s="1064">
        <f>ROUND((VLOOKUP(C108,distribucion!G$8:FO$153,131,0)),2)</f>
        <v>855</v>
      </c>
      <c r="J108" s="1064">
        <f t="shared" ref="J108" si="145">H108+I108</f>
        <v>4457.05</v>
      </c>
      <c r="K108" s="1064">
        <f>VLOOKUP(C108,distribucion!G$8:FP$153,132,0)</f>
        <v>34</v>
      </c>
      <c r="L108" s="1064">
        <f>ROUND((VLOOKUP(C108,distribucion!G$8:FP$153,133,0)),2)</f>
        <v>850.48</v>
      </c>
      <c r="M108" s="1064">
        <f>VLOOKUP(C108,distribucion!G$8:FP$153,134,0)</f>
        <v>0</v>
      </c>
      <c r="N108" s="1064">
        <f>ROUND((VLOOKUP(C108,distribucion!G$8:FP$153,135,0)),2)</f>
        <v>0</v>
      </c>
      <c r="O108" s="1027">
        <v>0</v>
      </c>
      <c r="P108" s="1074">
        <f>ROUND((VLOOKUP(C108,distribucion!G$8:FP$153,36,0)),2)</f>
        <v>0</v>
      </c>
      <c r="Q108" s="1074">
        <f>SUM(J108:P108)-K108-M108</f>
        <v>5307.5300000000007</v>
      </c>
      <c r="R108" s="1074">
        <f>ROUND(((H108+L108+N108+O108+P108)*0.0483),2)</f>
        <v>215.06</v>
      </c>
      <c r="S108" s="1074">
        <f>ROUND((VLOOKUP(C108,distribucion!G$8:FP$153,151,0)),2)</f>
        <v>0</v>
      </c>
      <c r="T108" s="1064">
        <f>ROUND((VLOOKUP(C108,distribucion!G$8:FP$153,152,0)),2)</f>
        <v>0</v>
      </c>
      <c r="U108" s="1074">
        <f>ROUND((VLOOKUP(C108,distribucion!G$8:FP$153,153,0)),2)</f>
        <v>0</v>
      </c>
      <c r="V108" s="1074">
        <f>ROUND((VLOOKUP(C108,distribucion!$G$1:$FJ$153,159,0)),2)</f>
        <v>0</v>
      </c>
      <c r="W108" s="1074">
        <f>ROUND((VLOOKUP(C108,distribucion!$G$1:$FJ$153,158,0)),2)</f>
        <v>0</v>
      </c>
      <c r="X108" s="1074">
        <f>ROUND((VLOOKUP(C108,distribucion!$G$1:$FJ$153,154,0)),2)</f>
        <v>1746.5</v>
      </c>
      <c r="Y108" s="1074">
        <f>ROUND((VLOOKUP(C108,distribucion!G$8:FP$153,160,0)),2)</f>
        <v>0</v>
      </c>
      <c r="Z108" s="1095">
        <f>SUM(R108:Y108)</f>
        <v>1961.56</v>
      </c>
      <c r="AA108" s="1074">
        <f>Q108-Z108</f>
        <v>3345.9700000000007</v>
      </c>
      <c r="AB108" s="1066">
        <v>1256.4800000000005</v>
      </c>
      <c r="AC108" s="1067">
        <f t="shared" si="143"/>
        <v>2089.4900000000002</v>
      </c>
      <c r="AD108" s="1066">
        <f t="shared" ref="AD108" si="146">AA108-AB108-AC108</f>
        <v>0</v>
      </c>
      <c r="AE108" s="1066">
        <f t="shared" ref="AE108" si="147">((I108+H108+L108+O108++P108)-SUM(R108:Y108))-AA108</f>
        <v>0</v>
      </c>
    </row>
    <row r="109" spans="2:31" ht="30" customHeight="1">
      <c r="B109" s="1017">
        <v>32</v>
      </c>
      <c r="C109" s="1113" t="str">
        <f>+distribucion!G96</f>
        <v xml:space="preserve">Perez Barrios Kevin Augusto </v>
      </c>
      <c r="D109" s="1091" t="str">
        <f>VLOOKUP(C109,distribucion!G$8:FP$153,2,0)</f>
        <v>Encargado de Bodega PT</v>
      </c>
      <c r="E109" s="1092">
        <f>H109+L109+N109+O109</f>
        <v>5962.5</v>
      </c>
      <c r="F109" s="1072">
        <f>VLOOKUP(C109,distribucion!G61:M155,7,FALSE)</f>
        <v>30</v>
      </c>
      <c r="G109" s="1094">
        <f>VLOOKUP(C109,distribucion!$G$8:$DV$153,14,0)</f>
        <v>0</v>
      </c>
      <c r="H109" s="1064">
        <f>ROUND((VLOOKUP(C109,distribucion!G$1:FP$153,130,0)),2)</f>
        <v>4500</v>
      </c>
      <c r="I109" s="1064">
        <f>ROUND((VLOOKUP(C109,distribucion!G$8:FO$153,131,0)),2)</f>
        <v>962.28</v>
      </c>
      <c r="J109" s="1064">
        <f t="shared" ref="J109" si="148">H109+I109</f>
        <v>5462.28</v>
      </c>
      <c r="K109" s="1064">
        <f>VLOOKUP(C109,distribucion!G$8:FP$153,132,0)</f>
        <v>52</v>
      </c>
      <c r="L109" s="1064">
        <f>ROUND((VLOOKUP(C109,distribucion!G$8:FP$153,133,0)),2)</f>
        <v>1462.5</v>
      </c>
      <c r="M109" s="1064">
        <f>VLOOKUP(C109,distribucion!G$8:FP$153,134,0)</f>
        <v>0</v>
      </c>
      <c r="N109" s="1064">
        <f>ROUND((VLOOKUP(C109,distribucion!G$8:FP$153,135,0)),2)</f>
        <v>0</v>
      </c>
      <c r="O109" s="1027">
        <v>0</v>
      </c>
      <c r="P109" s="1074">
        <f>+distribucion!EL96</f>
        <v>0</v>
      </c>
      <c r="Q109" s="1074">
        <f>SUM(J109:P109)-K109-M109</f>
        <v>6924.78</v>
      </c>
      <c r="R109" s="1074">
        <f>ROUND(((H109+L109+N109+O109+P109)*0.0483),2)</f>
        <v>287.99</v>
      </c>
      <c r="S109" s="1074">
        <f>ROUND((VLOOKUP(C109,distribucion!G$8:FP$153,151,0)),2)</f>
        <v>200</v>
      </c>
      <c r="T109" s="1064">
        <f>ROUND((VLOOKUP(C109,distribucion!G$8:FP$153,152,0)),2)</f>
        <v>0</v>
      </c>
      <c r="U109" s="1074">
        <f>ROUND((VLOOKUP(C109,distribucion!G$8:FP$153,153,0)),2)</f>
        <v>0</v>
      </c>
      <c r="V109" s="1074">
        <f>ROUND((VLOOKUP(C109,distribucion!$G$1:$FJ$153,159,0)),2)</f>
        <v>0</v>
      </c>
      <c r="W109" s="1074">
        <f>ROUND((VLOOKUP(C109,distribucion!$G$1:$FJ$153,158,0)),2)</f>
        <v>0</v>
      </c>
      <c r="X109" s="1074">
        <f>ROUND((VLOOKUP(C109,distribucion!$G$1:$FJ$153,154,0)),2)</f>
        <v>0</v>
      </c>
      <c r="Y109" s="1074">
        <f>ROUND((VLOOKUP(C109,distribucion!G$8:FP$153,160,0)),2)</f>
        <v>0</v>
      </c>
      <c r="Z109" s="1095">
        <f>SUM(R109:Y109)</f>
        <v>487.99</v>
      </c>
      <c r="AA109" s="1074">
        <f>Q109-Z109</f>
        <v>6436.79</v>
      </c>
      <c r="AB109" s="1066">
        <v>2294.46</v>
      </c>
      <c r="AC109" s="1067">
        <f t="shared" si="143"/>
        <v>4142.33</v>
      </c>
      <c r="AD109" s="1066">
        <f t="shared" si="105"/>
        <v>0</v>
      </c>
      <c r="AE109" s="1066">
        <f t="shared" si="106"/>
        <v>0</v>
      </c>
    </row>
    <row r="110" spans="2:31" s="1126" customFormat="1" ht="30" customHeight="1">
      <c r="B110" s="1017"/>
      <c r="C110" s="1125"/>
      <c r="D110" s="1091"/>
      <c r="E110" s="1092"/>
      <c r="F110" s="1072"/>
      <c r="G110" s="1094"/>
      <c r="H110" s="1064"/>
      <c r="I110" s="1064"/>
      <c r="J110" s="1064"/>
      <c r="K110" s="1064"/>
      <c r="L110" s="1064"/>
      <c r="M110" s="1064"/>
      <c r="N110" s="1064"/>
      <c r="O110" s="1027"/>
      <c r="P110" s="1074"/>
      <c r="Q110" s="1074"/>
      <c r="R110" s="1074"/>
      <c r="S110" s="1074"/>
      <c r="T110" s="1074"/>
      <c r="U110" s="1074"/>
      <c r="V110" s="1074"/>
      <c r="W110" s="1074"/>
      <c r="X110" s="1074"/>
      <c r="Y110" s="1074"/>
      <c r="Z110" s="1095"/>
      <c r="AA110" s="1074"/>
      <c r="AB110" s="1066"/>
      <c r="AC110" s="1067"/>
      <c r="AD110" s="1066"/>
      <c r="AE110" s="1066"/>
    </row>
    <row r="111" spans="2:31" ht="30" customHeight="1">
      <c r="B111" s="1017" t="s">
        <v>52</v>
      </c>
      <c r="C111" s="1113" t="s">
        <v>52</v>
      </c>
      <c r="D111" s="1127" t="s">
        <v>17</v>
      </c>
      <c r="E111" s="1077"/>
      <c r="F111" s="1078"/>
      <c r="G111" s="1073"/>
      <c r="H111" s="1087">
        <f t="shared" ref="H111:AC111" si="149">SUM(H105:H110)</f>
        <v>16354.330000000002</v>
      </c>
      <c r="I111" s="1087">
        <f t="shared" si="149"/>
        <v>4017.2799999999997</v>
      </c>
      <c r="J111" s="1087">
        <f t="shared" si="149"/>
        <v>20371.61</v>
      </c>
      <c r="K111" s="1087">
        <f t="shared" si="149"/>
        <v>160</v>
      </c>
      <c r="L111" s="1087">
        <f t="shared" si="149"/>
        <v>4207.3900000000003</v>
      </c>
      <c r="M111" s="1087">
        <f t="shared" si="149"/>
        <v>0</v>
      </c>
      <c r="N111" s="1087">
        <f t="shared" si="149"/>
        <v>0</v>
      </c>
      <c r="O111" s="1087">
        <f t="shared" si="149"/>
        <v>0</v>
      </c>
      <c r="P111" s="1087">
        <f t="shared" si="149"/>
        <v>0</v>
      </c>
      <c r="Q111" s="1087">
        <f t="shared" si="149"/>
        <v>24579</v>
      </c>
      <c r="R111" s="1087">
        <f t="shared" si="149"/>
        <v>993.14</v>
      </c>
      <c r="S111" s="1087">
        <f t="shared" si="149"/>
        <v>392</v>
      </c>
      <c r="T111" s="1087">
        <f t="shared" si="149"/>
        <v>0</v>
      </c>
      <c r="U111" s="1087">
        <f t="shared" si="149"/>
        <v>0</v>
      </c>
      <c r="V111" s="1087">
        <f t="shared" si="149"/>
        <v>0</v>
      </c>
      <c r="W111" s="1087">
        <f t="shared" si="149"/>
        <v>0</v>
      </c>
      <c r="X111" s="1087">
        <f t="shared" si="149"/>
        <v>2242</v>
      </c>
      <c r="Y111" s="1087">
        <f t="shared" si="149"/>
        <v>187.2</v>
      </c>
      <c r="Z111" s="1087">
        <f t="shared" si="149"/>
        <v>3814.34</v>
      </c>
      <c r="AA111" s="1087">
        <f t="shared" si="149"/>
        <v>20764.660000000003</v>
      </c>
      <c r="AB111" s="1114">
        <f t="shared" si="149"/>
        <v>7439.2800000000007</v>
      </c>
      <c r="AC111" s="1114">
        <f t="shared" si="149"/>
        <v>13325.38</v>
      </c>
      <c r="AD111" s="1066">
        <f t="shared" si="105"/>
        <v>0</v>
      </c>
      <c r="AE111" s="1066">
        <f t="shared" si="106"/>
        <v>0</v>
      </c>
    </row>
    <row r="112" spans="2:31" ht="30" customHeight="1">
      <c r="C112" s="1075"/>
      <c r="D112" s="1076"/>
      <c r="E112" s="1077"/>
      <c r="F112" s="1078"/>
      <c r="G112" s="1073"/>
      <c r="H112" s="1021"/>
      <c r="I112" s="1021"/>
      <c r="J112" s="1021"/>
      <c r="K112" s="1021"/>
      <c r="L112" s="1021"/>
      <c r="M112" s="1021"/>
      <c r="N112" s="1021"/>
      <c r="O112" s="1021"/>
      <c r="P112" s="1021"/>
      <c r="Q112" s="1021"/>
      <c r="R112" s="1021"/>
      <c r="S112" s="1021"/>
      <c r="T112" s="1021"/>
      <c r="U112" s="1021"/>
      <c r="V112" s="1021"/>
      <c r="W112" s="1021"/>
      <c r="X112" s="1021"/>
      <c r="Y112" s="1021"/>
      <c r="Z112" s="1112"/>
      <c r="AA112" s="1021"/>
      <c r="AB112" s="1066"/>
      <c r="AC112" s="1106"/>
      <c r="AD112" s="1066">
        <f t="shared" si="105"/>
        <v>0</v>
      </c>
      <c r="AE112" s="1066">
        <f t="shared" si="106"/>
        <v>0</v>
      </c>
    </row>
    <row r="113" spans="2:40" ht="30" customHeight="1">
      <c r="C113" s="1059" t="s">
        <v>194</v>
      </c>
      <c r="F113" s="1072"/>
      <c r="G113" s="1073"/>
      <c r="H113" s="1128"/>
      <c r="I113" s="1128"/>
      <c r="J113" s="1128"/>
      <c r="K113" s="1088"/>
      <c r="L113" s="1128"/>
      <c r="M113" s="1128"/>
      <c r="N113" s="1128"/>
      <c r="O113" s="1128"/>
      <c r="P113" s="1128"/>
      <c r="Q113" s="1128"/>
      <c r="R113" s="1128"/>
      <c r="S113" s="1128"/>
      <c r="T113" s="1128"/>
      <c r="U113" s="1128"/>
      <c r="V113" s="1128"/>
      <c r="W113" s="1128"/>
      <c r="X113" s="1128"/>
      <c r="Y113" s="1128"/>
      <c r="Z113" s="1129"/>
      <c r="AA113" s="1128"/>
      <c r="AB113" s="1066"/>
      <c r="AC113" s="1067"/>
      <c r="AD113" s="1066">
        <f t="shared" si="105"/>
        <v>0</v>
      </c>
      <c r="AE113" s="1066">
        <f t="shared" si="106"/>
        <v>0</v>
      </c>
    </row>
    <row r="114" spans="2:40" ht="30" customHeight="1">
      <c r="C114" s="992" t="s">
        <v>619</v>
      </c>
      <c r="F114" s="1072"/>
      <c r="G114" s="1073"/>
      <c r="H114" s="1128"/>
      <c r="I114" s="1128"/>
      <c r="J114" s="1128"/>
      <c r="K114" s="1088"/>
      <c r="L114" s="1128"/>
      <c r="M114" s="1128"/>
      <c r="N114" s="1128"/>
      <c r="O114" s="1128"/>
      <c r="P114" s="1128"/>
      <c r="Q114" s="1128"/>
      <c r="R114" s="1128"/>
      <c r="S114" s="1128"/>
      <c r="T114" s="1128"/>
      <c r="U114" s="1128"/>
      <c r="V114" s="1128"/>
      <c r="W114" s="1128"/>
      <c r="X114" s="1128"/>
      <c r="Y114" s="1128"/>
      <c r="Z114" s="1129"/>
      <c r="AA114" s="1128"/>
      <c r="AB114" s="1066"/>
      <c r="AC114" s="1067"/>
      <c r="AD114" s="1066">
        <f t="shared" si="105"/>
        <v>0</v>
      </c>
      <c r="AE114" s="1066">
        <f t="shared" si="106"/>
        <v>0</v>
      </c>
    </row>
    <row r="115" spans="2:40" ht="30" customHeight="1">
      <c r="B115" s="1017">
        <v>33</v>
      </c>
      <c r="C115" s="1018" t="str">
        <f>+distribucion!G104</f>
        <v>Gonzalez Hernandez Luis Roberto</v>
      </c>
      <c r="D115" s="1070" t="str">
        <f>VLOOKUP(C115,distribucion!G$8:FP$153,2,0)</f>
        <v>Gerente de Compras Export e Import</v>
      </c>
      <c r="E115" s="1071">
        <f>H115+L115+N115+O115</f>
        <v>13000</v>
      </c>
      <c r="F115" s="1072">
        <f>VLOOKUP(C115,distribucion!G61:M153,7,FALSE)</f>
        <v>30</v>
      </c>
      <c r="G115" s="1073">
        <f>VLOOKUP(C115,distribucion!$G$8:$DV$153,14,0)</f>
        <v>0</v>
      </c>
      <c r="H115" s="1064">
        <f>ROUND((VLOOKUP(C115,distribucion!G$1:FP$153,130,0)),2)</f>
        <v>13000</v>
      </c>
      <c r="I115" s="1064">
        <f>ROUND((VLOOKUP(C115,distribucion!G$8:FO$153,131,0)),2)</f>
        <v>2000</v>
      </c>
      <c r="J115" s="1064">
        <f t="shared" ref="J115" si="150">H115+I115</f>
        <v>15000</v>
      </c>
      <c r="K115" s="1064">
        <f>VLOOKUP(C115,distribucion!G$8:FP$153,132,0)</f>
        <v>0</v>
      </c>
      <c r="L115" s="1064">
        <f>ROUND((VLOOKUP(C115,distribucion!G$8:FP$153,133,0)),2)</f>
        <v>0</v>
      </c>
      <c r="M115" s="1064">
        <f>VLOOKUP(C115,distribucion!G$8:FP$153,134,0)</f>
        <v>0</v>
      </c>
      <c r="N115" s="1064">
        <f>ROUND((VLOOKUP(C115,distribucion!G$8:FP$153,135,0)),2)</f>
        <v>0</v>
      </c>
      <c r="O115" s="1027">
        <v>0</v>
      </c>
      <c r="P115" s="1074">
        <f>ROUND((VLOOKUP(C115,distribucion!G$8:FP$153,136,0)),2)</f>
        <v>0</v>
      </c>
      <c r="Q115" s="1027">
        <f>SUM(J115:P115)-K115-M115</f>
        <v>15000</v>
      </c>
      <c r="R115" s="1027">
        <f>ROUND(((H115+L115+N115+O115+P115)*0.0483),2)</f>
        <v>627.9</v>
      </c>
      <c r="S115" s="1027">
        <f>ROUND((VLOOKUP(C115,distribucion!G$8:FP$153,151,0)),2)</f>
        <v>622.33000000000004</v>
      </c>
      <c r="T115" s="1027">
        <f>ROUND((VLOOKUP(C115,distribucion!G$8:FP$153,152,0)),2)</f>
        <v>0</v>
      </c>
      <c r="U115" s="1027">
        <f>ROUND((VLOOKUP(C115,distribucion!G$8:FP$153,153,0)),2)</f>
        <v>0</v>
      </c>
      <c r="V115" s="1027">
        <f>ROUND((VLOOKUP(C115,distribucion!$G$1:$FJ$153,159,0)),2)</f>
        <v>0</v>
      </c>
      <c r="W115" s="1027">
        <f>ROUND((VLOOKUP(C115,distribucion!$G$1:$FJ$153,158,0)),2)</f>
        <v>0</v>
      </c>
      <c r="X115" s="1027">
        <f>ROUND((VLOOKUP(C115,distribucion!$G$1:$FJ$153,154,0)),2)</f>
        <v>0</v>
      </c>
      <c r="Y115" s="1027">
        <f>ROUND((VLOOKUP(C115,distribucion!G$8:FP$153,160,0)),2)</f>
        <v>0</v>
      </c>
      <c r="Z115" s="1066">
        <f>SUM(R115:Y115)</f>
        <v>1250.23</v>
      </c>
      <c r="AA115" s="1027">
        <f>Q115-Z115</f>
        <v>13749.77</v>
      </c>
      <c r="AB115" s="1066">
        <v>6874.88</v>
      </c>
      <c r="AC115" s="1067">
        <f t="shared" ref="AC115:AC117" si="151">+AA115-AB115</f>
        <v>6874.89</v>
      </c>
      <c r="AD115" s="1066">
        <f t="shared" ref="AD115" si="152">AA115-AB115-AC115</f>
        <v>0</v>
      </c>
      <c r="AE115" s="1066">
        <f t="shared" ref="AE115" si="153">((I115+H115+L115+O115++P115)-SUM(R115:Y115))-AA115</f>
        <v>0</v>
      </c>
    </row>
    <row r="116" spans="2:40" ht="30" customHeight="1">
      <c r="C116" s="1040" t="s">
        <v>636</v>
      </c>
      <c r="D116" s="1080"/>
      <c r="E116" s="1077"/>
      <c r="F116" s="1078"/>
      <c r="G116" s="1073"/>
      <c r="H116" s="1079"/>
      <c r="I116" s="1079"/>
      <c r="J116" s="1079"/>
      <c r="K116" s="1079"/>
      <c r="L116" s="1079"/>
      <c r="M116" s="1079"/>
      <c r="N116" s="1079"/>
      <c r="O116" s="1079"/>
      <c r="P116" s="1079"/>
      <c r="Q116" s="1079"/>
      <c r="R116" s="1079"/>
      <c r="S116" s="1079"/>
      <c r="T116" s="1079"/>
      <c r="U116" s="1079"/>
      <c r="V116" s="1079"/>
      <c r="W116" s="1079"/>
      <c r="X116" s="1079"/>
      <c r="Y116" s="1079"/>
      <c r="Z116" s="1079"/>
      <c r="AA116" s="1079"/>
      <c r="AB116" s="1084"/>
      <c r="AC116" s="1130"/>
      <c r="AD116" s="1066">
        <f t="shared" si="105"/>
        <v>0</v>
      </c>
      <c r="AE116" s="1066">
        <f t="shared" si="106"/>
        <v>0</v>
      </c>
    </row>
    <row r="117" spans="2:40" ht="30" customHeight="1">
      <c r="B117" s="1017">
        <v>34</v>
      </c>
      <c r="C117" s="1131" t="str">
        <f>+distribucion!G110</f>
        <v>Toledo Medrano Khrista Sarai</v>
      </c>
      <c r="D117" s="1070" t="str">
        <f>VLOOKUP(C117,distribucion!G$8:FP$153,2,0)</f>
        <v>Analista de Compras Locales</v>
      </c>
      <c r="E117" s="1071">
        <f>H117+L117+N117+O117</f>
        <v>6200</v>
      </c>
      <c r="F117" s="1072">
        <f>VLOOKUP(C117,distribucion!G64:M156,7,FALSE)</f>
        <v>30</v>
      </c>
      <c r="G117" s="1073" t="str">
        <f>VLOOKUP(C117,distribucion!$G$8:$DV$153,14,0)</f>
        <v>A.4.5</v>
      </c>
      <c r="H117" s="1064">
        <f>ROUND((VLOOKUP(C117,distribucion!G$1:FP$153,130,0)),2)</f>
        <v>6200</v>
      </c>
      <c r="I117" s="1064">
        <f>ROUND((VLOOKUP(C117,distribucion!G$8:FO$153,131,0)),2)</f>
        <v>1300</v>
      </c>
      <c r="J117" s="1064">
        <f t="shared" ref="J117" si="154">H117+I117</f>
        <v>7500</v>
      </c>
      <c r="K117" s="1064">
        <f>VLOOKUP(C117,distribucion!G$8:FP$153,132,0)</f>
        <v>0</v>
      </c>
      <c r="L117" s="1064">
        <f>ROUND((VLOOKUP(C117,distribucion!G$8:FP$153,133,0)),2)</f>
        <v>0</v>
      </c>
      <c r="M117" s="1064">
        <f>VLOOKUP(C117,distribucion!G$8:FP$153,134,0)</f>
        <v>0</v>
      </c>
      <c r="N117" s="1064">
        <f>ROUND((VLOOKUP(C117,distribucion!G$8:FP$153,135,0)),2)</f>
        <v>0</v>
      </c>
      <c r="O117" s="1027">
        <v>0</v>
      </c>
      <c r="P117" s="1074">
        <f>ROUND((VLOOKUP(C117,distribucion!G$8:FP$153,136,0)),2)</f>
        <v>0</v>
      </c>
      <c r="Q117" s="1027">
        <f>SUM(J117:P117)-K117-M117</f>
        <v>7500</v>
      </c>
      <c r="R117" s="1027">
        <f>ROUND(((H117+L117+N117+O117+P117)*0.0483),2)</f>
        <v>299.45999999999998</v>
      </c>
      <c r="S117" s="1027">
        <f>ROUND((VLOOKUP(C117,distribucion!G$8:FP$153,151,0)),2)</f>
        <v>0</v>
      </c>
      <c r="T117" s="1027">
        <f>ROUND((VLOOKUP(C117,distribucion!G$8:FP$153,152,0)),2)</f>
        <v>0</v>
      </c>
      <c r="U117" s="1027">
        <f>ROUND((VLOOKUP(C117,distribucion!G$8:FP$153,153,0)),2)</f>
        <v>0</v>
      </c>
      <c r="V117" s="1027">
        <f>ROUND((VLOOKUP(C117,distribucion!$G$1:$FJ$153,159,0)),2)</f>
        <v>0</v>
      </c>
      <c r="W117" s="1027">
        <f>ROUND((VLOOKUP(C117,distribucion!$G$1:$FJ$153,158,0)),2)</f>
        <v>0</v>
      </c>
      <c r="X117" s="1027">
        <f>ROUND((VLOOKUP(C117,distribucion!$G$1:$FJ$153,154,0)),2)</f>
        <v>0</v>
      </c>
      <c r="Y117" s="1027">
        <f>ROUND((VLOOKUP(C117,distribucion!G$8:FP$153,160,0)),2)</f>
        <v>0</v>
      </c>
      <c r="Z117" s="1066">
        <f>SUM(R117:Y117)</f>
        <v>299.45999999999998</v>
      </c>
      <c r="AA117" s="1027">
        <f>Q117-Z117</f>
        <v>7200.54</v>
      </c>
      <c r="AB117" s="1066">
        <v>3600.27</v>
      </c>
      <c r="AC117" s="1067">
        <f t="shared" si="151"/>
        <v>3600.27</v>
      </c>
      <c r="AD117" s="1066">
        <f t="shared" ref="AD117" si="155">AA117-AB117-AC117</f>
        <v>0</v>
      </c>
      <c r="AE117" s="1066">
        <f t="shared" ref="AE117" si="156">((I117+H117+L117+O117++P117)-SUM(R117:Y117))-AA117</f>
        <v>0</v>
      </c>
    </row>
    <row r="118" spans="2:40" ht="30" customHeight="1">
      <c r="C118" s="1040" t="s">
        <v>659</v>
      </c>
      <c r="D118" s="1080"/>
      <c r="E118" s="1077"/>
      <c r="F118" s="1078"/>
      <c r="G118" s="1073"/>
      <c r="H118" s="1079"/>
      <c r="I118" s="1079"/>
      <c r="J118" s="1079"/>
      <c r="K118" s="1079"/>
      <c r="L118" s="1079"/>
      <c r="M118" s="1079"/>
      <c r="N118" s="1079"/>
      <c r="O118" s="1079"/>
      <c r="P118" s="1079"/>
      <c r="Q118" s="1079"/>
      <c r="R118" s="1079"/>
      <c r="S118" s="1079"/>
      <c r="T118" s="1079"/>
      <c r="U118" s="1079"/>
      <c r="V118" s="1079"/>
      <c r="W118" s="1079"/>
      <c r="X118" s="1079"/>
      <c r="Y118" s="1079"/>
      <c r="Z118" s="1079"/>
      <c r="AA118" s="1079"/>
      <c r="AB118" s="1084"/>
      <c r="AC118" s="1130"/>
      <c r="AD118" s="1066">
        <f t="shared" si="105"/>
        <v>0</v>
      </c>
      <c r="AE118" s="1066">
        <f t="shared" si="106"/>
        <v>0</v>
      </c>
    </row>
    <row r="119" spans="2:40" ht="30" customHeight="1">
      <c r="C119" s="1131"/>
      <c r="D119" s="1070"/>
      <c r="E119" s="1071"/>
      <c r="F119" s="1072"/>
      <c r="G119" s="1073"/>
      <c r="H119" s="1064"/>
      <c r="I119" s="1064"/>
      <c r="J119" s="1064"/>
      <c r="K119" s="1064"/>
      <c r="L119" s="1064"/>
      <c r="M119" s="1064"/>
      <c r="N119" s="1064"/>
      <c r="O119" s="1027"/>
      <c r="P119" s="1074"/>
      <c r="Q119" s="1027"/>
      <c r="R119" s="1027"/>
      <c r="S119" s="1027"/>
      <c r="T119" s="1027"/>
      <c r="U119" s="1027"/>
      <c r="V119" s="1027"/>
      <c r="W119" s="1027"/>
      <c r="X119" s="1027"/>
      <c r="Y119" s="1027"/>
      <c r="Z119" s="1066"/>
      <c r="AA119" s="1027"/>
      <c r="AB119" s="1066"/>
      <c r="AC119" s="1067"/>
      <c r="AD119" s="1066"/>
      <c r="AE119" s="1066"/>
    </row>
    <row r="120" spans="2:40" ht="30" customHeight="1">
      <c r="B120" s="1017">
        <v>35</v>
      </c>
      <c r="C120" s="1131" t="str">
        <f>+distribucion!G113</f>
        <v>Zuñiga Gonzalez Elmer David</v>
      </c>
      <c r="D120" s="1070" t="str">
        <f>VLOOKUP(C120,distribucion!G$8:FP$153,2,0)</f>
        <v>Encargado de Suministros y Servicios</v>
      </c>
      <c r="E120" s="1071">
        <f>H120+L120+N120+O120</f>
        <v>3068.41</v>
      </c>
      <c r="F120" s="1072">
        <f>VLOOKUP(C120,distribucion!G66:M154,7,FALSE)</f>
        <v>23</v>
      </c>
      <c r="G120" s="1073" t="str">
        <f>VLOOKUP(C120,distribucion!$G$8:$DV$153,14,0)</f>
        <v>BAJA 23.6</v>
      </c>
      <c r="H120" s="1064">
        <f>ROUND((VLOOKUP(C120,distribucion!G$1:FP$153,130,0)),2)</f>
        <v>3068.41</v>
      </c>
      <c r="I120" s="1064">
        <f>ROUND((VLOOKUP(C120,distribucion!G$8:FO$153,131,0)),2)</f>
        <v>1764.92</v>
      </c>
      <c r="J120" s="1064">
        <f t="shared" ref="J120" si="157">H120+I120</f>
        <v>4833.33</v>
      </c>
      <c r="K120" s="1064">
        <f>VLOOKUP(C120,distribucion!G$8:FP$153,132,0)</f>
        <v>0</v>
      </c>
      <c r="L120" s="1064">
        <f>ROUND((VLOOKUP(C120,distribucion!G$8:FP$153,133,0)),2)</f>
        <v>0</v>
      </c>
      <c r="M120" s="1064">
        <f>VLOOKUP(C120,distribucion!G$8:FP$153,134,0)</f>
        <v>0</v>
      </c>
      <c r="N120" s="1064">
        <f>ROUND((VLOOKUP(C120,distribucion!G$8:FP$153,135,0)),2)</f>
        <v>0</v>
      </c>
      <c r="O120" s="1027">
        <v>0</v>
      </c>
      <c r="P120" s="1074">
        <f>ROUND((VLOOKUP(C120,distribucion!G$8:FP$153,36,0)),2)</f>
        <v>0</v>
      </c>
      <c r="Q120" s="1027">
        <f>SUM(J120:P120)-K120-M120</f>
        <v>4833.33</v>
      </c>
      <c r="R120" s="1027">
        <f>ROUND(((H120+L120+N120+O120+P120)*0.0483),2)</f>
        <v>148.19999999999999</v>
      </c>
      <c r="S120" s="1027">
        <f>ROUND((VLOOKUP(C120,distribucion!G$8:FP$153,151,0)),2)</f>
        <v>0</v>
      </c>
      <c r="T120" s="1027">
        <f>ROUND((VLOOKUP(C120,distribucion!G$8:FP$153,152,0)),2)</f>
        <v>0</v>
      </c>
      <c r="U120" s="1027">
        <f>ROUND((VLOOKUP(C120,distribucion!G$8:FP$153,153,0)),2)</f>
        <v>0</v>
      </c>
      <c r="V120" s="1027">
        <f>ROUND((VLOOKUP(C120,distribucion!$G$1:$FJ$153,159,0)),2)</f>
        <v>0</v>
      </c>
      <c r="W120" s="1027">
        <f>ROUND((VLOOKUP(C120,distribucion!$G$1:$FJ$153,158,0)),2)</f>
        <v>0</v>
      </c>
      <c r="X120" s="1027">
        <f>ROUND((VLOOKUP(C120,distribucion!$G$1:$FJ$153,154,0)),2)</f>
        <v>0</v>
      </c>
      <c r="Y120" s="1027">
        <f>ROUND((VLOOKUP(C120,distribucion!G$8:FP$153,160,0)),2)</f>
        <v>0</v>
      </c>
      <c r="Z120" s="1066">
        <f>SUM(R120:Y120)</f>
        <v>148.19999999999999</v>
      </c>
      <c r="AA120" s="1027">
        <f>Q120-Z120</f>
        <v>4685.13</v>
      </c>
      <c r="AB120" s="1066">
        <v>3403.34</v>
      </c>
      <c r="AC120" s="1067">
        <f t="shared" ref="AC120:AC122" si="158">+AA120-AB120</f>
        <v>1281.79</v>
      </c>
      <c r="AD120" s="1066"/>
      <c r="AE120" s="1066"/>
    </row>
    <row r="121" spans="2:40" ht="30" customHeight="1">
      <c r="C121" s="1040" t="s">
        <v>693</v>
      </c>
      <c r="D121" s="1080"/>
      <c r="E121" s="1077"/>
      <c r="F121" s="1078"/>
      <c r="G121" s="1073"/>
      <c r="H121" s="1079"/>
      <c r="I121" s="1079"/>
      <c r="J121" s="1079"/>
      <c r="K121" s="1079"/>
      <c r="L121" s="1079"/>
      <c r="M121" s="1079"/>
      <c r="N121" s="1079"/>
      <c r="O121" s="1079"/>
      <c r="P121" s="1079"/>
      <c r="Q121" s="1079"/>
      <c r="R121" s="1079"/>
      <c r="S121" s="1079"/>
      <c r="T121" s="1079"/>
      <c r="U121" s="1079"/>
      <c r="V121" s="1079"/>
      <c r="W121" s="1079"/>
      <c r="X121" s="1079"/>
      <c r="Y121" s="1079"/>
      <c r="Z121" s="1079"/>
      <c r="AA121" s="1079"/>
      <c r="AB121" s="1084"/>
      <c r="AC121" s="1084"/>
      <c r="AD121" s="1066">
        <f t="shared" si="105"/>
        <v>0</v>
      </c>
      <c r="AE121" s="1066">
        <f t="shared" si="106"/>
        <v>0</v>
      </c>
    </row>
    <row r="122" spans="2:40" ht="30" customHeight="1">
      <c r="B122" s="1017">
        <v>36</v>
      </c>
      <c r="C122" s="1131" t="str">
        <f>+distribucion!G106</f>
        <v>Arguijo Melgar ClaudiaMaria</v>
      </c>
      <c r="D122" s="1070" t="str">
        <f>VLOOKUP(C122,distribucion!G$8:FP$153,2,0)</f>
        <v>Analista de Compras Internacionales</v>
      </c>
      <c r="E122" s="1071">
        <f>H122+L122+N122+O122</f>
        <v>6500</v>
      </c>
      <c r="F122" s="1072">
        <f>VLOOKUP(C122,distribucion!G68:M156,7,FALSE)</f>
        <v>30</v>
      </c>
      <c r="G122" s="1073" t="str">
        <f>VLOOKUP(C122,distribucion!$G$8:$DV$153,14,0)</f>
        <v>A.8/4  INDICADORES DE 1500</v>
      </c>
      <c r="H122" s="1064">
        <f>ROUND((VLOOKUP(C122,distribucion!G$1:FP$153,130,0)),2)</f>
        <v>6500</v>
      </c>
      <c r="I122" s="1064">
        <f>ROUND((VLOOKUP(C122,distribucion!G$8:FO$153,131,0)),2)</f>
        <v>3925</v>
      </c>
      <c r="J122" s="1064">
        <f t="shared" ref="J122" si="159">H122+I122</f>
        <v>10425</v>
      </c>
      <c r="K122" s="1064">
        <f>VLOOKUP(C122,distribucion!G$8:FP$153,132,0)</f>
        <v>0</v>
      </c>
      <c r="L122" s="1064">
        <f>ROUND((VLOOKUP(C122,distribucion!G$8:FP$153,133,0)),2)</f>
        <v>0</v>
      </c>
      <c r="M122" s="1064">
        <f>VLOOKUP(C122,distribucion!G$8:FP$153,134,0)</f>
        <v>0</v>
      </c>
      <c r="N122" s="1064">
        <f>ROUND((VLOOKUP(C122,distribucion!G$8:FP$153,135,0)),2)</f>
        <v>0</v>
      </c>
      <c r="O122" s="1027">
        <v>0</v>
      </c>
      <c r="P122" s="1074">
        <f>ROUND((VLOOKUP(C122,distribucion!G$8:FP$153,36,0)),2)</f>
        <v>0</v>
      </c>
      <c r="Q122" s="1027">
        <f>SUM(J122:P122)-K122-M122</f>
        <v>10425</v>
      </c>
      <c r="R122" s="1027">
        <f>ROUND(((H122+L122+N122+O122+P122)*0.0483),2)</f>
        <v>313.95</v>
      </c>
      <c r="S122" s="1027">
        <f>ROUND((VLOOKUP(C122,distribucion!G$8:FP$153,151,0)),2)</f>
        <v>175</v>
      </c>
      <c r="T122" s="1027">
        <f>ROUND((VLOOKUP(C122,distribucion!G$8:FP$153,152,0)),2)</f>
        <v>0</v>
      </c>
      <c r="U122" s="1027">
        <f>ROUND((VLOOKUP(C122,distribucion!G$8:FP$153,153,0)),2)</f>
        <v>0</v>
      </c>
      <c r="V122" s="1027">
        <f>ROUND((VLOOKUP(C122,distribucion!$G$1:$FJ$153,159,0)),2)</f>
        <v>0</v>
      </c>
      <c r="W122" s="1027">
        <f>ROUND((VLOOKUP(C122,distribucion!$G$1:$FJ$153,158,0)),2)</f>
        <v>0</v>
      </c>
      <c r="X122" s="1027">
        <f>ROUND((VLOOKUP(C122,distribucion!$G$1:$FJ$153,154,0)),2)</f>
        <v>0</v>
      </c>
      <c r="Y122" s="1027">
        <f>ROUND((VLOOKUP(C122,distribucion!G$8:FP$153,160,0)),2)</f>
        <v>0</v>
      </c>
      <c r="Z122" s="1066">
        <f>SUM(R122:Y122)</f>
        <v>488.95</v>
      </c>
      <c r="AA122" s="1027">
        <f>Q122-Z122</f>
        <v>9936.0499999999993</v>
      </c>
      <c r="AB122" s="1066">
        <v>6430.52</v>
      </c>
      <c r="AC122" s="1067">
        <f t="shared" si="158"/>
        <v>3505.5299999999988</v>
      </c>
      <c r="AD122" s="1066"/>
      <c r="AE122" s="1066"/>
    </row>
    <row r="123" spans="2:40" ht="30" customHeight="1">
      <c r="C123" s="1131"/>
      <c r="D123" s="1070"/>
      <c r="E123" s="1071"/>
      <c r="F123" s="1072"/>
      <c r="G123" s="1073"/>
      <c r="H123" s="1233"/>
      <c r="I123" s="1064"/>
      <c r="J123" s="1064"/>
      <c r="K123" s="1064"/>
      <c r="L123" s="1064"/>
      <c r="M123" s="1064"/>
      <c r="N123" s="1064"/>
      <c r="O123" s="1027"/>
      <c r="P123" s="1074"/>
      <c r="Q123" s="1027"/>
      <c r="R123" s="1027"/>
      <c r="S123" s="1027"/>
      <c r="T123" s="1027"/>
      <c r="U123" s="1027"/>
      <c r="V123" s="1027"/>
      <c r="W123" s="1027"/>
      <c r="X123" s="1027"/>
      <c r="Y123" s="1027"/>
      <c r="Z123" s="1066"/>
      <c r="AA123" s="1027"/>
      <c r="AB123" s="1066"/>
      <c r="AC123" s="1067"/>
      <c r="AD123" s="1066"/>
      <c r="AE123" s="1066"/>
    </row>
    <row r="124" spans="2:40" ht="30" customHeight="1">
      <c r="C124" s="1040"/>
      <c r="D124" s="1080" t="s">
        <v>130</v>
      </c>
      <c r="E124" s="1077"/>
      <c r="F124" s="1078"/>
      <c r="G124" s="1073"/>
      <c r="H124" s="1087">
        <f t="shared" ref="H124:AC124" si="160">SUM(H115:H123)</f>
        <v>28768.41</v>
      </c>
      <c r="I124" s="1087">
        <f t="shared" si="160"/>
        <v>8989.92</v>
      </c>
      <c r="J124" s="1087">
        <f t="shared" si="160"/>
        <v>37758.33</v>
      </c>
      <c r="K124" s="1087">
        <f t="shared" si="160"/>
        <v>0</v>
      </c>
      <c r="L124" s="1087">
        <f t="shared" si="160"/>
        <v>0</v>
      </c>
      <c r="M124" s="1087">
        <f t="shared" si="160"/>
        <v>0</v>
      </c>
      <c r="N124" s="1087">
        <f t="shared" si="160"/>
        <v>0</v>
      </c>
      <c r="O124" s="1087">
        <f t="shared" si="160"/>
        <v>0</v>
      </c>
      <c r="P124" s="1087">
        <f t="shared" si="160"/>
        <v>0</v>
      </c>
      <c r="Q124" s="1087">
        <f t="shared" si="160"/>
        <v>37758.33</v>
      </c>
      <c r="R124" s="1087">
        <f t="shared" si="160"/>
        <v>1389.51</v>
      </c>
      <c r="S124" s="1087">
        <f t="shared" si="160"/>
        <v>797.33</v>
      </c>
      <c r="T124" s="1087">
        <f t="shared" si="160"/>
        <v>0</v>
      </c>
      <c r="U124" s="1087">
        <f t="shared" si="160"/>
        <v>0</v>
      </c>
      <c r="V124" s="1087">
        <f t="shared" si="160"/>
        <v>0</v>
      </c>
      <c r="W124" s="1087">
        <f t="shared" si="160"/>
        <v>0</v>
      </c>
      <c r="X124" s="1087">
        <f t="shared" si="160"/>
        <v>0</v>
      </c>
      <c r="Y124" s="1087">
        <f t="shared" si="160"/>
        <v>0</v>
      </c>
      <c r="Z124" s="1087">
        <f t="shared" si="160"/>
        <v>2186.84</v>
      </c>
      <c r="AA124" s="1087">
        <f t="shared" si="160"/>
        <v>35571.490000000005</v>
      </c>
      <c r="AB124" s="1087">
        <f t="shared" si="160"/>
        <v>20309.010000000002</v>
      </c>
      <c r="AC124" s="1087">
        <f t="shared" si="160"/>
        <v>15262.48</v>
      </c>
      <c r="AD124" s="1066">
        <f t="shared" si="105"/>
        <v>0</v>
      </c>
      <c r="AE124" s="1066">
        <f t="shared" si="106"/>
        <v>0</v>
      </c>
    </row>
    <row r="125" spans="2:40" s="1080" customFormat="1" ht="30" customHeight="1">
      <c r="B125" s="1017"/>
      <c r="C125" s="1059" t="s">
        <v>660</v>
      </c>
      <c r="D125" s="1132"/>
      <c r="F125" s="1133"/>
      <c r="G125" s="1073"/>
      <c r="H125" s="1027" t="s">
        <v>52</v>
      </c>
      <c r="I125" s="1066" t="s">
        <v>52</v>
      </c>
      <c r="J125" s="1066" t="s">
        <v>52</v>
      </c>
      <c r="K125" s="1066"/>
      <c r="L125" s="1134"/>
      <c r="M125" s="1134"/>
      <c r="N125" s="1134"/>
      <c r="O125" s="1134"/>
      <c r="P125" s="1134"/>
      <c r="Q125" s="1135"/>
      <c r="R125" s="1134"/>
      <c r="S125" s="1134"/>
      <c r="T125" s="1134"/>
      <c r="U125" s="1134"/>
      <c r="V125" s="1134"/>
      <c r="W125" s="1134"/>
      <c r="X125" s="1134"/>
      <c r="Y125" s="1134"/>
      <c r="Z125" s="1066"/>
      <c r="AA125" s="1027"/>
      <c r="AB125" s="1066"/>
      <c r="AC125" s="1067"/>
      <c r="AD125" s="1066">
        <f t="shared" si="105"/>
        <v>0</v>
      </c>
      <c r="AE125" s="1066" t="e">
        <f t="shared" si="106"/>
        <v>#VALUE!</v>
      </c>
      <c r="AF125" s="1029"/>
      <c r="AG125" s="1029"/>
      <c r="AH125" s="1017"/>
      <c r="AI125" s="1017"/>
      <c r="AJ125" s="1017"/>
      <c r="AK125" s="1017"/>
      <c r="AL125" s="1017"/>
      <c r="AM125" s="1017"/>
      <c r="AN125" s="1017"/>
    </row>
    <row r="126" spans="2:40" s="1080" customFormat="1" ht="30" customHeight="1">
      <c r="B126" s="1017"/>
      <c r="C126" s="992" t="s">
        <v>193</v>
      </c>
      <c r="D126" s="1132"/>
      <c r="F126" s="1133"/>
      <c r="G126" s="1073"/>
      <c r="H126" s="1027"/>
      <c r="I126" s="1066"/>
      <c r="J126" s="1066"/>
      <c r="K126" s="1066"/>
      <c r="L126" s="1134"/>
      <c r="M126" s="1134"/>
      <c r="N126" s="1134"/>
      <c r="O126" s="1134"/>
      <c r="P126" s="1134"/>
      <c r="Q126" s="1135"/>
      <c r="R126" s="1134"/>
      <c r="S126" s="1134"/>
      <c r="T126" s="1134"/>
      <c r="U126" s="1134"/>
      <c r="V126" s="1134"/>
      <c r="W126" s="1134"/>
      <c r="X126" s="1134"/>
      <c r="Y126" s="1134"/>
      <c r="Z126" s="1066"/>
      <c r="AA126" s="1027"/>
      <c r="AB126" s="1066"/>
      <c r="AC126" s="1067"/>
      <c r="AD126" s="1066">
        <f t="shared" si="105"/>
        <v>0</v>
      </c>
      <c r="AE126" s="1066">
        <f t="shared" si="106"/>
        <v>0</v>
      </c>
      <c r="AF126" s="1029"/>
      <c r="AG126" s="1029"/>
      <c r="AH126" s="1017"/>
      <c r="AI126" s="1017"/>
      <c r="AJ126" s="1017"/>
      <c r="AK126" s="1017"/>
      <c r="AL126" s="1017"/>
      <c r="AM126" s="1017"/>
      <c r="AN126" s="1017"/>
    </row>
    <row r="127" spans="2:40" s="1080" customFormat="1" ht="30" customHeight="1">
      <c r="B127" s="1017">
        <v>37</v>
      </c>
      <c r="C127" s="1113" t="s">
        <v>610</v>
      </c>
      <c r="D127" s="1070" t="str">
        <f>VLOOKUP(C127,distribucion!G$8:FP$153,2,0)</f>
        <v>Jefe de Gestion de calidad</v>
      </c>
      <c r="E127" s="1071">
        <f t="shared" ref="E127:E135" si="161">H127+L127+N127+O127</f>
        <v>6520</v>
      </c>
      <c r="F127" s="1072">
        <f>VLOOKUP(C127,distribucion!G63:M153,7,FALSE)</f>
        <v>30</v>
      </c>
      <c r="G127" s="1073"/>
      <c r="H127" s="1064">
        <f>ROUND((VLOOKUP(C127,distribucion!G$1:FP$153,130,0)),2)</f>
        <v>6520</v>
      </c>
      <c r="I127" s="1064">
        <f>ROUND((VLOOKUP(C127,distribucion!G$8:FO$153,131,0)),2)</f>
        <v>3200</v>
      </c>
      <c r="J127" s="1064">
        <f t="shared" ref="J127" si="162">H127+I127</f>
        <v>9720</v>
      </c>
      <c r="K127" s="1064">
        <f>VLOOKUP(C127,distribucion!G$8:FP$153,132,0)</f>
        <v>0</v>
      </c>
      <c r="L127" s="1064">
        <f>ROUND((VLOOKUP(C127,distribucion!G$8:FP$153,133,0)),2)</f>
        <v>0</v>
      </c>
      <c r="M127" s="1064">
        <f>VLOOKUP(C127,distribucion!G$8:FP$153,134,0)</f>
        <v>0</v>
      </c>
      <c r="N127" s="1064">
        <f>ROUND((VLOOKUP(C127,distribucion!G$8:FP$153,135,0)),2)</f>
        <v>0</v>
      </c>
      <c r="O127" s="1027">
        <v>0</v>
      </c>
      <c r="P127" s="1136">
        <f>ROUND((VLOOKUP(C127,distribucion!G$8:FP$153,36,0)),2)</f>
        <v>0</v>
      </c>
      <c r="Q127" s="1137">
        <f t="shared" ref="Q127" si="163">SUM(J127:P127)-K127-M127</f>
        <v>9720</v>
      </c>
      <c r="R127" s="1136">
        <f t="shared" ref="R127" si="164">ROUND(((H127+L127+N127+O127+P127)*0.0483),2)</f>
        <v>314.92</v>
      </c>
      <c r="S127" s="1136">
        <f>ROUND((VLOOKUP(C127,distribucion!G$8:FP$153,151,0)),2)</f>
        <v>245.51</v>
      </c>
      <c r="T127" s="1136">
        <f>ROUND((VLOOKUP(C127,distribucion!G$8:FP$153,152,0)),2)</f>
        <v>0</v>
      </c>
      <c r="U127" s="1136">
        <f>ROUND((VLOOKUP(C127,distribucion!G$8:FP$153,153,0)),2)</f>
        <v>0</v>
      </c>
      <c r="V127" s="1136">
        <f>ROUND((VLOOKUP(C127,distribucion!$G$1:$FJ$153,159,0)),2)</f>
        <v>0</v>
      </c>
      <c r="W127" s="1136">
        <f>ROUND((VLOOKUP(C127,distribucion!$G$1:$FJ$153,158,0)),2)</f>
        <v>0</v>
      </c>
      <c r="X127" s="1136">
        <f>ROUND((VLOOKUP(C127,distribucion!$G$1:$FJ$153,154,0)),2)</f>
        <v>1035.25</v>
      </c>
      <c r="Y127" s="1136">
        <f>ROUND((VLOOKUP(C127,distribucion!G$8:FP$153,160,0)),2)</f>
        <v>0</v>
      </c>
      <c r="Z127" s="1138">
        <f t="shared" ref="Z127" si="165">SUM(R127:Y127)</f>
        <v>1595.68</v>
      </c>
      <c r="AA127" s="1139">
        <f t="shared" ref="AA127" si="166">Q127-Z127</f>
        <v>8124.32</v>
      </c>
      <c r="AB127" s="1066">
        <v>4134.03</v>
      </c>
      <c r="AC127" s="1067">
        <f t="shared" ref="AC127:AC135" si="167">+AA127-AB127</f>
        <v>3990.29</v>
      </c>
      <c r="AD127" s="1066">
        <f>AA127-AB127-AC127</f>
        <v>0</v>
      </c>
      <c r="AE127" s="1066">
        <f t="shared" si="106"/>
        <v>0</v>
      </c>
      <c r="AF127" s="1029"/>
      <c r="AG127" s="1029"/>
      <c r="AH127" s="1017"/>
      <c r="AI127" s="1017"/>
      <c r="AJ127" s="1017"/>
      <c r="AK127" s="1017"/>
      <c r="AL127" s="1017"/>
      <c r="AM127" s="1017"/>
      <c r="AN127" s="1017"/>
    </row>
    <row r="128" spans="2:40" s="1080" customFormat="1" ht="30" customHeight="1">
      <c r="B128" s="1017"/>
      <c r="C128" s="1040" t="s">
        <v>661</v>
      </c>
      <c r="D128" s="1132"/>
      <c r="F128" s="1072" t="s">
        <v>52</v>
      </c>
      <c r="G128" s="1073"/>
      <c r="H128" s="1027" t="s">
        <v>52</v>
      </c>
      <c r="I128" s="1138" t="s">
        <v>52</v>
      </c>
      <c r="J128" s="1139" t="s">
        <v>52</v>
      </c>
      <c r="K128" s="1138" t="s">
        <v>52</v>
      </c>
      <c r="L128" s="1136" t="s">
        <v>52</v>
      </c>
      <c r="M128" s="1136" t="s">
        <v>52</v>
      </c>
      <c r="N128" s="1136" t="s">
        <v>52</v>
      </c>
      <c r="O128" s="1136" t="s">
        <v>52</v>
      </c>
      <c r="P128" s="1136" t="s">
        <v>52</v>
      </c>
      <c r="Q128" s="1137" t="s">
        <v>52</v>
      </c>
      <c r="R128" s="1136" t="s">
        <v>52</v>
      </c>
      <c r="S128" s="1136" t="s">
        <v>52</v>
      </c>
      <c r="T128" s="1136" t="s">
        <v>52</v>
      </c>
      <c r="U128" s="1136" t="s">
        <v>52</v>
      </c>
      <c r="V128" s="1136" t="s">
        <v>52</v>
      </c>
      <c r="W128" s="1136" t="s">
        <v>52</v>
      </c>
      <c r="X128" s="1136" t="s">
        <v>52</v>
      </c>
      <c r="Y128" s="1136" t="s">
        <v>52</v>
      </c>
      <c r="Z128" s="1138" t="s">
        <v>52</v>
      </c>
      <c r="AA128" s="1139" t="s">
        <v>52</v>
      </c>
      <c r="AB128" s="1066" t="s">
        <v>52</v>
      </c>
      <c r="AC128" s="1067" t="s">
        <v>52</v>
      </c>
      <c r="AD128" s="1066" t="e">
        <f t="shared" si="105"/>
        <v>#VALUE!</v>
      </c>
      <c r="AE128" s="1066" t="e">
        <f t="shared" si="106"/>
        <v>#VALUE!</v>
      </c>
      <c r="AF128" s="1029"/>
      <c r="AG128" s="1029"/>
      <c r="AH128" s="1017"/>
      <c r="AI128" s="1017"/>
      <c r="AJ128" s="1017"/>
      <c r="AK128" s="1017"/>
      <c r="AL128" s="1017"/>
      <c r="AM128" s="1017"/>
      <c r="AN128" s="1017"/>
    </row>
    <row r="129" spans="2:33" s="1096" customFormat="1" ht="30" customHeight="1">
      <c r="B129" s="1126">
        <v>38</v>
      </c>
      <c r="C129" s="1140" t="str">
        <f>+distribucion!G119</f>
        <v>Dennison Murillo Belkis Carolina</v>
      </c>
      <c r="D129" s="1070" t="str">
        <f>VLOOKUP(C129,distribucion!G$8:FP$153,2,0)</f>
        <v>Asistente de Aseguramiento de Calidad</v>
      </c>
      <c r="E129" s="1071">
        <f t="shared" ref="E129" si="168">H129+L129+N129+O129</f>
        <v>5145</v>
      </c>
      <c r="F129" s="1072">
        <f>VLOOKUP(C129,distribucion!G65:M155,7,FALSE)</f>
        <v>30</v>
      </c>
      <c r="G129" s="1073"/>
      <c r="H129" s="1064">
        <f>ROUND((VLOOKUP(C129,distribucion!G$1:FP$153,130,0)),2)</f>
        <v>4800</v>
      </c>
      <c r="I129" s="1064">
        <f>ROUND((VLOOKUP(C129,distribucion!G$8:FO$153,131,0)),2)</f>
        <v>1000</v>
      </c>
      <c r="J129" s="1064">
        <f t="shared" ref="J129" si="169">H129+I129</f>
        <v>5800</v>
      </c>
      <c r="K129" s="1064">
        <f>VLOOKUP(C129,distribucion!G$8:FP$153,132,0)</f>
        <v>11.5</v>
      </c>
      <c r="L129" s="1064">
        <f>ROUND((VLOOKUP(C129,distribucion!G$8:FP$153,133,0)),2)</f>
        <v>345</v>
      </c>
      <c r="M129" s="1064">
        <f>VLOOKUP(C129,distribucion!G$8:FP$153,134,0)</f>
        <v>0</v>
      </c>
      <c r="N129" s="1064">
        <f>ROUND((VLOOKUP(C129,distribucion!G$8:FP$153,135,0)),2)</f>
        <v>0</v>
      </c>
      <c r="O129" s="1027">
        <v>0</v>
      </c>
      <c r="P129" s="1136">
        <f>ROUND((VLOOKUP(C129,distribucion!G$8:FP$153,136,0)),2)</f>
        <v>0</v>
      </c>
      <c r="Q129" s="1137">
        <f t="shared" ref="Q129" si="170">SUM(J129:P129)-K129-M129</f>
        <v>6145</v>
      </c>
      <c r="R129" s="1136">
        <f t="shared" ref="R129" si="171">ROUND(((H129+L129+N129+O129+P129)*0.0483),2)</f>
        <v>248.5</v>
      </c>
      <c r="S129" s="1136">
        <f>ROUND((VLOOKUP(C129,distribucion!G$8:FP$153,151,0)),2)</f>
        <v>161</v>
      </c>
      <c r="T129" s="1136">
        <f>ROUND((VLOOKUP(C129,distribucion!G$8:FP$153,152,0)),2)</f>
        <v>0</v>
      </c>
      <c r="U129" s="1136">
        <f>ROUND((VLOOKUP(C129,distribucion!G$8:FP$153,153,0)),2)</f>
        <v>0</v>
      </c>
      <c r="V129" s="1136">
        <f>ROUND((VLOOKUP(C129,distribucion!$G$1:$FJ$153,159,0)),2)</f>
        <v>0</v>
      </c>
      <c r="W129" s="1136">
        <f>ROUND((VLOOKUP(C129,distribucion!$G$1:$FJ$153,158,0)),2)</f>
        <v>0</v>
      </c>
      <c r="X129" s="1136">
        <f>ROUND((VLOOKUP(C129,distribucion!$G$1:$FJ$153,154,0)),2)</f>
        <v>0</v>
      </c>
      <c r="Y129" s="1136">
        <f>ROUND((VLOOKUP(C129,distribucion!G$8:FP$153,160,0)),2)</f>
        <v>82.5</v>
      </c>
      <c r="Z129" s="1138">
        <f>SUM(R129:Y129)</f>
        <v>492</v>
      </c>
      <c r="AA129" s="1139">
        <f t="shared" ref="AA129" si="172">Q129-Z129</f>
        <v>5653</v>
      </c>
      <c r="AB129" s="1066">
        <v>2706.08</v>
      </c>
      <c r="AC129" s="1067">
        <f t="shared" si="167"/>
        <v>2946.92</v>
      </c>
      <c r="AD129" s="1066"/>
      <c r="AE129" s="1066"/>
      <c r="AG129" s="1029"/>
    </row>
    <row r="130" spans="2:33" s="1096" customFormat="1" ht="30" customHeight="1">
      <c r="B130" s="1126" t="s">
        <v>52</v>
      </c>
      <c r="C130" s="1040" t="s">
        <v>652</v>
      </c>
      <c r="D130" s="1136"/>
      <c r="F130" s="1142"/>
      <c r="G130" s="1141"/>
      <c r="H130" s="1027"/>
      <c r="I130" s="1138"/>
      <c r="J130" s="1139"/>
      <c r="K130" s="1138"/>
      <c r="L130" s="1136"/>
      <c r="M130" s="1136"/>
      <c r="N130" s="1136"/>
      <c r="O130" s="1136"/>
      <c r="P130" s="1136"/>
      <c r="Q130" s="1137"/>
      <c r="R130" s="1136"/>
      <c r="S130" s="1136"/>
      <c r="T130" s="1136"/>
      <c r="U130" s="1136"/>
      <c r="V130" s="1136"/>
      <c r="W130" s="1136"/>
      <c r="X130" s="1136"/>
      <c r="Y130" s="1136"/>
      <c r="Z130" s="1138"/>
      <c r="AA130" s="1139"/>
      <c r="AB130" s="1066"/>
      <c r="AC130" s="1067" t="s">
        <v>52</v>
      </c>
      <c r="AD130" s="1066" t="e">
        <f t="shared" si="105"/>
        <v>#VALUE!</v>
      </c>
      <c r="AE130" s="1066">
        <f t="shared" si="106"/>
        <v>0</v>
      </c>
      <c r="AG130" s="1029"/>
    </row>
    <row r="131" spans="2:33" s="1096" customFormat="1" ht="30" customHeight="1">
      <c r="B131" s="1126">
        <v>39</v>
      </c>
      <c r="C131" s="1140" t="str">
        <f>+distribucion!G121</f>
        <v>Tecu Lajuj Hugo Armando</v>
      </c>
      <c r="D131" s="1136" t="str">
        <f>VLOOKUP(C131,distribucion!G$8:FP$153,2,0)</f>
        <v>Auxiliar de Control De Calidad</v>
      </c>
      <c r="E131" s="1071">
        <f t="shared" si="161"/>
        <v>6625</v>
      </c>
      <c r="F131" s="1072">
        <f>VLOOKUP(C131,distribucion!G65:M153,7,FALSE)</f>
        <v>30</v>
      </c>
      <c r="G131" s="1141">
        <f>VLOOKUP(C131,distribucion!$G$8:$DV$153,14,0)</f>
        <v>0</v>
      </c>
      <c r="H131" s="1064">
        <f>ROUND((VLOOKUP(C131,distribucion!G$1:FP$153,130,0)),2)</f>
        <v>5000</v>
      </c>
      <c r="I131" s="1064">
        <f>ROUND((VLOOKUP(C131,distribucion!G$8:FO$153,131,0)),2)</f>
        <v>1100</v>
      </c>
      <c r="J131" s="1064">
        <f t="shared" ref="J131" si="173">H131+I131</f>
        <v>6100</v>
      </c>
      <c r="K131" s="1064">
        <f>VLOOKUP(C131,distribucion!G$8:FP$153,132,0)</f>
        <v>52</v>
      </c>
      <c r="L131" s="1064">
        <f>ROUND((VLOOKUP(C131,distribucion!G$8:FP$153,133,0)),2)</f>
        <v>1625</v>
      </c>
      <c r="M131" s="1064">
        <f>VLOOKUP(C131,distribucion!G$8:FP$153,134,0)</f>
        <v>0</v>
      </c>
      <c r="N131" s="1064">
        <f>ROUND((VLOOKUP(C131,distribucion!G$8:FP$153,135,0)),2)</f>
        <v>0</v>
      </c>
      <c r="O131" s="1027">
        <v>0</v>
      </c>
      <c r="P131" s="1136">
        <f>ROUND((VLOOKUP(C131,distribucion!G$8:FP$153,36,0)),2)</f>
        <v>0</v>
      </c>
      <c r="Q131" s="1137">
        <f t="shared" ref="Q131:Q135" si="174">SUM(J131:P131)-K131-M131</f>
        <v>7725</v>
      </c>
      <c r="R131" s="1136">
        <f t="shared" ref="R131:R135" si="175">ROUND(((H131+L131+N131+O131+P131)*0.0483),2)</f>
        <v>319.99</v>
      </c>
      <c r="S131" s="1136">
        <f>ROUND((VLOOKUP(C131,distribucion!G$8:FP$153,151,0)),2)</f>
        <v>170</v>
      </c>
      <c r="T131" s="1136">
        <f>ROUND((VLOOKUP(C131,distribucion!G$8:FP$153,152,0)),2)</f>
        <v>0</v>
      </c>
      <c r="U131" s="1136">
        <f>ROUND((VLOOKUP(C131,distribucion!G$8:FP$153,153,0)),2)</f>
        <v>0</v>
      </c>
      <c r="V131" s="1136">
        <f>ROUND((VLOOKUP(C131,distribucion!$G$1:$FJ$153,159,0)),2)</f>
        <v>0</v>
      </c>
      <c r="W131" s="1136">
        <f>ROUND((VLOOKUP(C131,distribucion!$G$1:$FJ$153,158,0)),2)</f>
        <v>0</v>
      </c>
      <c r="X131" s="1136">
        <f>ROUND((VLOOKUP(C131,distribucion!$G$1:$FJ$153,154,0)),2)</f>
        <v>0</v>
      </c>
      <c r="Y131" s="1136">
        <f>ROUND((VLOOKUP(C131,distribucion!G$8:FP$153,160,0)),2)</f>
        <v>0</v>
      </c>
      <c r="Z131" s="1138">
        <f t="shared" ref="Z131:Z135" si="176">SUM(R131:Y131)</f>
        <v>489.99</v>
      </c>
      <c r="AA131" s="1139">
        <f>Q131-Z131</f>
        <v>7235.01</v>
      </c>
      <c r="AB131" s="1066">
        <v>2848.25</v>
      </c>
      <c r="AC131" s="1067">
        <f t="shared" si="167"/>
        <v>4386.76</v>
      </c>
      <c r="AD131" s="1066">
        <f>AA131-AB131-AC131</f>
        <v>0</v>
      </c>
      <c r="AE131" s="1066">
        <f t="shared" si="106"/>
        <v>0</v>
      </c>
      <c r="AG131" s="1029"/>
    </row>
    <row r="132" spans="2:33" s="1096" customFormat="1" ht="30" customHeight="1">
      <c r="B132" s="1126">
        <v>40</v>
      </c>
      <c r="C132" s="1140" t="str">
        <f>+distribucion!G122</f>
        <v>Garcia Lopez Bianca Magdalena</v>
      </c>
      <c r="D132" s="1136" t="str">
        <f>VLOOKUP(C132,distribucion!G$8:FP$153,2,0)</f>
        <v>Asistente de Control de Calidad</v>
      </c>
      <c r="E132" s="1071">
        <f t="shared" ref="E132" si="177">H132+L132+N132+O132</f>
        <v>3839.11</v>
      </c>
      <c r="F132" s="1072">
        <f>VLOOKUP(C132,distribucion!G66:M154,7,FALSE)</f>
        <v>21</v>
      </c>
      <c r="G132" s="1141" t="str">
        <f>VLOOKUP(C132,distribucion!$G$8:$DV$153,14,0)</f>
        <v>B.21.6.26</v>
      </c>
      <c r="H132" s="1064">
        <f>ROUND((VLOOKUP(C132,distribucion!G$1:FP$153,130,0)),2)</f>
        <v>3071.29</v>
      </c>
      <c r="I132" s="1064">
        <f>ROUND((VLOOKUP(C132,distribucion!G$8:FO$153,131,0)),2)</f>
        <v>778.72</v>
      </c>
      <c r="J132" s="1064">
        <f t="shared" ref="J132" si="178">H132+I132</f>
        <v>3850.01</v>
      </c>
      <c r="K132" s="1064">
        <f>VLOOKUP(C132,distribucion!G$8:FP$153,132,0)</f>
        <v>28</v>
      </c>
      <c r="L132" s="1064">
        <f>ROUND((VLOOKUP(C132,distribucion!G$8:FP$153,133,0)),2)</f>
        <v>767.82</v>
      </c>
      <c r="M132" s="1064">
        <f>VLOOKUP(C132,distribucion!G$8:FP$153,134,0)</f>
        <v>0</v>
      </c>
      <c r="N132" s="1064">
        <f>ROUND((VLOOKUP(C132,distribucion!G$8:FP$153,135,0)),2)</f>
        <v>0</v>
      </c>
      <c r="O132" s="1027">
        <v>0</v>
      </c>
      <c r="P132" s="1136">
        <f>ROUND((VLOOKUP(C132,distribucion!G$8:FP$153,36,0)),2)</f>
        <v>0</v>
      </c>
      <c r="Q132" s="1137">
        <f t="shared" ref="Q132" si="179">SUM(J132:P132)-K132-M132</f>
        <v>4617.83</v>
      </c>
      <c r="R132" s="1136">
        <f t="shared" ref="R132" si="180">ROUND(((H132+L132+N132+O132+P132)*0.0483),2)</f>
        <v>185.43</v>
      </c>
      <c r="S132" s="1136">
        <f>ROUND((VLOOKUP(C132,distribucion!G$8:FP$153,151,0)),2)</f>
        <v>0</v>
      </c>
      <c r="T132" s="1136">
        <f>ROUND((VLOOKUP(C132,distribucion!G$8:FP$153,152,0)),2)</f>
        <v>0</v>
      </c>
      <c r="U132" s="1136">
        <f>ROUND((VLOOKUP(C132,distribucion!G$8:FP$153,153,0)),2)</f>
        <v>0</v>
      </c>
      <c r="V132" s="1136">
        <f>ROUND((VLOOKUP(C132,distribucion!$G$1:$FJ$153,159,0)),2)</f>
        <v>0</v>
      </c>
      <c r="W132" s="1136">
        <f>ROUND((VLOOKUP(C132,distribucion!$G$1:$FJ$153,158,0)),2)</f>
        <v>0</v>
      </c>
      <c r="X132" s="1136">
        <f>ROUND((VLOOKUP(C132,distribucion!$G$1:$FJ$153,154,0)),2)</f>
        <v>0</v>
      </c>
      <c r="Y132" s="1136">
        <f>ROUND((VLOOKUP(C132,distribucion!G$8:FP$153,160,0)),2)</f>
        <v>0</v>
      </c>
      <c r="Z132" s="1138">
        <f t="shared" ref="Z132" si="181">SUM(R132:Y132)</f>
        <v>185.43</v>
      </c>
      <c r="AA132" s="1139">
        <f>Q132-Z132</f>
        <v>4432.3999999999996</v>
      </c>
      <c r="AB132" s="1066">
        <v>2644.05</v>
      </c>
      <c r="AC132" s="1067">
        <f t="shared" si="167"/>
        <v>1788.3499999999995</v>
      </c>
      <c r="AD132" s="1066"/>
      <c r="AE132" s="1066"/>
      <c r="AG132" s="1029"/>
    </row>
    <row r="133" spans="2:33" s="1096" customFormat="1" ht="30" customHeight="1">
      <c r="B133" s="1126">
        <v>41</v>
      </c>
      <c r="C133" s="1140" t="str">
        <f>+distribucion!G123</f>
        <v>Manuel Oxlaj Edgar Humberto</v>
      </c>
      <c r="D133" s="1136" t="str">
        <f>VLOOKUP(C133,distribucion!G$8:FP$153,2,0)</f>
        <v>Auxiliar de Control De Calidad</v>
      </c>
      <c r="E133" s="1071">
        <f t="shared" ref="E133" si="182">H133+L133+N133+O133</f>
        <v>4433.13</v>
      </c>
      <c r="F133" s="1072">
        <f>VLOOKUP(C133,distribucion!G66:M154,7,FALSE)</f>
        <v>30</v>
      </c>
      <c r="G133" s="1141">
        <f>VLOOKUP(C133,distribucion!$G$8:$DV$153,14,0)</f>
        <v>0</v>
      </c>
      <c r="H133" s="1064">
        <f>ROUND((VLOOKUP(C133,distribucion!G$1:FP$153,130,0)),2)</f>
        <v>4100</v>
      </c>
      <c r="I133" s="1064">
        <f>ROUND((VLOOKUP(C133,distribucion!G$8:FO$153,131,0)),2)</f>
        <v>550</v>
      </c>
      <c r="J133" s="1064">
        <f t="shared" ref="J133" si="183">H133+I133</f>
        <v>4650</v>
      </c>
      <c r="K133" s="1064">
        <f>VLOOKUP(C133,distribucion!G$8:FP$153,132,0)</f>
        <v>13</v>
      </c>
      <c r="L133" s="1064">
        <f>ROUND((VLOOKUP(C133,distribucion!G$8:FP$153,133,0)),2)</f>
        <v>333.13</v>
      </c>
      <c r="M133" s="1064">
        <f>VLOOKUP(C133,distribucion!G$8:FP$153,134,0)</f>
        <v>0</v>
      </c>
      <c r="N133" s="1064">
        <f>ROUND((VLOOKUP(C133,distribucion!G$8:FP$153,135,0)),2)</f>
        <v>0</v>
      </c>
      <c r="O133" s="1027">
        <v>0</v>
      </c>
      <c r="P133" s="1136">
        <f>ROUND((VLOOKUP(C133,distribucion!G$8:FP$153,36,0)),2)</f>
        <v>0</v>
      </c>
      <c r="Q133" s="1137">
        <f t="shared" ref="Q133" si="184">SUM(J133:P133)-K133-M133</f>
        <v>4983.13</v>
      </c>
      <c r="R133" s="1136">
        <f t="shared" ref="R133" si="185">ROUND(((H133+L133+N133+O133+P133)*0.0483),2)</f>
        <v>214.12</v>
      </c>
      <c r="S133" s="1136">
        <f>ROUND((VLOOKUP(C133,distribucion!G$8:FP$153,151,0)),2)</f>
        <v>98</v>
      </c>
      <c r="T133" s="1136">
        <f>ROUND((VLOOKUP(C133,distribucion!G$8:FP$153,152,0)),2)</f>
        <v>0</v>
      </c>
      <c r="U133" s="1136">
        <f>ROUND((VLOOKUP(C133,distribucion!G$8:FP$153,153,0)),2)</f>
        <v>0</v>
      </c>
      <c r="V133" s="1136">
        <f>ROUND((VLOOKUP(C133,distribucion!$G$1:$FJ$153,159,0)),2)</f>
        <v>0</v>
      </c>
      <c r="W133" s="1136">
        <f>ROUND((VLOOKUP(C133,distribucion!$G$1:$FJ$153,158,0)),2)</f>
        <v>0</v>
      </c>
      <c r="X133" s="1136">
        <f>ROUND((VLOOKUP(C133,distribucion!$G$1:$FJ$153,154,0)),2)</f>
        <v>0</v>
      </c>
      <c r="Y133" s="1136">
        <f>ROUND((VLOOKUP(C133,distribucion!G$8:FP$153,160,0)),2)</f>
        <v>0</v>
      </c>
      <c r="Z133" s="1138">
        <f t="shared" ref="Z133" si="186">SUM(R133:Y133)</f>
        <v>312.12</v>
      </c>
      <c r="AA133" s="1139">
        <f>Q133-Z133</f>
        <v>4671.01</v>
      </c>
      <c r="AB133" s="1066">
        <v>2196.48</v>
      </c>
      <c r="AC133" s="1067">
        <f t="shared" si="167"/>
        <v>2474.5300000000002</v>
      </c>
      <c r="AD133" s="1066">
        <f>AA133-AB133-AC133</f>
        <v>0</v>
      </c>
      <c r="AE133" s="1066">
        <f t="shared" ref="AE133" si="187">((I133+H133+L133+O133++P133)-SUM(R133:Y133))-AA133</f>
        <v>0</v>
      </c>
      <c r="AG133" s="1029"/>
    </row>
    <row r="134" spans="2:33" s="1096" customFormat="1" ht="30" customHeight="1">
      <c r="B134" s="1126">
        <v>42</v>
      </c>
      <c r="C134" s="1140" t="str">
        <f>+distribucion!G124</f>
        <v>Chamale  Peque Jorge Raul</v>
      </c>
      <c r="D134" s="1136" t="str">
        <f>VLOOKUP(C134,distribucion!G$8:FP$153,2,0)</f>
        <v>Auxiliar de Control De Calidad</v>
      </c>
      <c r="E134" s="1071">
        <f t="shared" ref="E134" si="188">H134+L134+N134+O134</f>
        <v>4971.25</v>
      </c>
      <c r="F134" s="1072">
        <f>VLOOKUP(C134,distribucion!G66:M154,7,FALSE)</f>
        <v>30</v>
      </c>
      <c r="G134" s="1141">
        <f>VLOOKUP(C134,distribucion!$G$8:$DV$153,14,0)</f>
        <v>0</v>
      </c>
      <c r="H134" s="1064">
        <f>ROUND((VLOOKUP(C134,distribucion!G$1:FP$153,130,0)),2)</f>
        <v>4100</v>
      </c>
      <c r="I134" s="1064">
        <f>ROUND((VLOOKUP(C134,distribucion!G$8:FO$153,131,0)),2)</f>
        <v>300</v>
      </c>
      <c r="J134" s="1064">
        <f t="shared" ref="J134" si="189">H134+I134</f>
        <v>4400</v>
      </c>
      <c r="K134" s="1064">
        <f>VLOOKUP(C134,distribucion!G$8:FP$153,132,0)</f>
        <v>34</v>
      </c>
      <c r="L134" s="1064">
        <f>ROUND((VLOOKUP(C134,distribucion!G$8:FP$153,133,0)),2)</f>
        <v>871.25</v>
      </c>
      <c r="M134" s="1064">
        <f>VLOOKUP(C134,distribucion!G$8:FP$153,134,0)</f>
        <v>0</v>
      </c>
      <c r="N134" s="1064">
        <f>ROUND((VLOOKUP(C134,distribucion!G$8:FP$153,135,0)),2)</f>
        <v>0</v>
      </c>
      <c r="O134" s="1027">
        <v>0</v>
      </c>
      <c r="P134" s="1136">
        <f>ROUND((VLOOKUP(C134,distribucion!G$8:FP$153,36,0)),2)</f>
        <v>0</v>
      </c>
      <c r="Q134" s="1137">
        <f t="shared" ref="Q134" si="190">SUM(J134:P134)-K134-M134</f>
        <v>5271.25</v>
      </c>
      <c r="R134" s="1136">
        <f t="shared" ref="R134" si="191">ROUND(((H134+L134+N134+O134+P134)*0.0483),2)</f>
        <v>240.11</v>
      </c>
      <c r="S134" s="1136">
        <f>ROUND((VLOOKUP(C134,distribucion!G$8:FP$153,151,0)),2)</f>
        <v>0</v>
      </c>
      <c r="T134" s="1136">
        <f>ROUND((VLOOKUP(C134,distribucion!G$8:FP$153,152,0)),2)</f>
        <v>0</v>
      </c>
      <c r="U134" s="1136">
        <f>ROUND((VLOOKUP(C134,distribucion!G$8:FP$153,153,0)),2)</f>
        <v>0</v>
      </c>
      <c r="V134" s="1136">
        <f>ROUND((VLOOKUP(C134,distribucion!$G$1:$FJ$153,159,0)),2)</f>
        <v>0</v>
      </c>
      <c r="W134" s="1136">
        <f>ROUND((VLOOKUP(C134,distribucion!$G$1:$FJ$153,158,0)),2)</f>
        <v>0</v>
      </c>
      <c r="X134" s="1136">
        <f>ROUND((VLOOKUP(C134,distribucion!$G$1:$FJ$153,154,0)),2)</f>
        <v>423.5</v>
      </c>
      <c r="Y134" s="1136">
        <f>ROUND((VLOOKUP(C134,distribucion!G$8:FP$153,160,0)),2)</f>
        <v>0</v>
      </c>
      <c r="Z134" s="1138">
        <f t="shared" ref="Z134" si="192">SUM(R134:Y134)</f>
        <v>663.61</v>
      </c>
      <c r="AA134" s="1139">
        <f>Q134-Z134</f>
        <v>4607.6400000000003</v>
      </c>
      <c r="AB134" s="1066">
        <v>1927.48</v>
      </c>
      <c r="AC134" s="1067">
        <f t="shared" si="167"/>
        <v>2680.1600000000003</v>
      </c>
      <c r="AD134" s="1066"/>
      <c r="AE134" s="1066"/>
      <c r="AG134" s="1029"/>
    </row>
    <row r="135" spans="2:33" s="1096" customFormat="1" ht="30" customHeight="1">
      <c r="B135" s="1126">
        <v>43</v>
      </c>
      <c r="C135" s="1140" t="s">
        <v>612</v>
      </c>
      <c r="D135" s="1136" t="str">
        <f>VLOOKUP(C135,distribucion!G$8:FP$153,2,0)</f>
        <v>Auxiliar de Control De Calidad</v>
      </c>
      <c r="E135" s="1071">
        <f t="shared" si="161"/>
        <v>4894.38</v>
      </c>
      <c r="F135" s="1072">
        <f>VLOOKUP(C135,distribucion!G67:M153,7,FALSE)</f>
        <v>30</v>
      </c>
      <c r="G135" s="1141">
        <f>VLOOKUP(C135,distribucion!$G$8:$DV$153,14,0)</f>
        <v>0</v>
      </c>
      <c r="H135" s="1064">
        <f>ROUND((VLOOKUP(C135,distribucion!G$1:FP$153,130,0)),2)</f>
        <v>4100</v>
      </c>
      <c r="I135" s="1064">
        <f>ROUND((VLOOKUP(C135,distribucion!G$8:FO$153,131,0)),2)</f>
        <v>600</v>
      </c>
      <c r="J135" s="1064">
        <f t="shared" ref="J135" si="193">H135+I135</f>
        <v>4700</v>
      </c>
      <c r="K135" s="1064">
        <f>VLOOKUP(C135,distribucion!G$8:FP$153,132,0)</f>
        <v>31</v>
      </c>
      <c r="L135" s="1064">
        <f>ROUND((VLOOKUP(C135,distribucion!G$8:FP$153,133,0)),2)</f>
        <v>794.38</v>
      </c>
      <c r="M135" s="1064">
        <f>VLOOKUP(C135,distribucion!G$8:FP$153,134,0)</f>
        <v>0</v>
      </c>
      <c r="N135" s="1064">
        <f>ROUND((VLOOKUP(C135,distribucion!G$8:FP$153,135,0)),2)</f>
        <v>0</v>
      </c>
      <c r="O135" s="1027">
        <v>0</v>
      </c>
      <c r="P135" s="1136">
        <f>ROUND((VLOOKUP(C135,distribucion!G$8:FP$153,36,0)),2)</f>
        <v>0</v>
      </c>
      <c r="Q135" s="1137">
        <f t="shared" si="174"/>
        <v>5494.38</v>
      </c>
      <c r="R135" s="1136">
        <f t="shared" si="175"/>
        <v>236.4</v>
      </c>
      <c r="S135" s="1136">
        <f>ROUND((VLOOKUP(C135,distribucion!G$8:FP$153,151,0)),2)</f>
        <v>170</v>
      </c>
      <c r="T135" s="1136">
        <f>ROUND((VLOOKUP(C135,distribucion!G$8:FP$153,152,0)),2)</f>
        <v>0</v>
      </c>
      <c r="U135" s="1136">
        <f>ROUND((VLOOKUP(C135,distribucion!G$8:FP$153,153,0)),2)</f>
        <v>0</v>
      </c>
      <c r="V135" s="1136">
        <f>ROUND((VLOOKUP(C135,distribucion!$G$1:$FJ$153,159,0)),2)</f>
        <v>0</v>
      </c>
      <c r="W135" s="1136">
        <f>ROUND((VLOOKUP(C135,distribucion!$G$1:$FJ$153,158,0)),2)</f>
        <v>0</v>
      </c>
      <c r="X135" s="1136">
        <f>ROUND((VLOOKUP(C135,distribucion!$G$1:$FJ$153,154,0)),2)</f>
        <v>0</v>
      </c>
      <c r="Y135" s="1136">
        <f>ROUND((VLOOKUP(C135,distribucion!G$8:FP$153,160,0)),2)</f>
        <v>0</v>
      </c>
      <c r="Z135" s="1138">
        <f t="shared" si="176"/>
        <v>406.4</v>
      </c>
      <c r="AA135" s="1139">
        <f t="shared" ref="AA135" si="194">Q135-Z135</f>
        <v>5087.9800000000005</v>
      </c>
      <c r="AB135" s="1066">
        <v>2170.98</v>
      </c>
      <c r="AC135" s="1067">
        <f t="shared" si="167"/>
        <v>2917.0000000000005</v>
      </c>
      <c r="AD135" s="1066">
        <f t="shared" si="105"/>
        <v>0</v>
      </c>
      <c r="AE135" s="1066">
        <f t="shared" si="106"/>
        <v>0</v>
      </c>
      <c r="AG135" s="1029"/>
    </row>
    <row r="136" spans="2:33" s="1076" customFormat="1" ht="30" customHeight="1">
      <c r="B136" s="1126"/>
      <c r="C136" s="1113" t="s">
        <v>52</v>
      </c>
      <c r="D136" s="1127" t="s">
        <v>130</v>
      </c>
      <c r="G136" s="1143"/>
      <c r="H136" s="1144">
        <f t="shared" ref="H136:AC136" si="195">SUM(H127:H135)</f>
        <v>31691.29</v>
      </c>
      <c r="I136" s="1144">
        <f t="shared" si="195"/>
        <v>7528.72</v>
      </c>
      <c r="J136" s="1144">
        <f t="shared" si="195"/>
        <v>39220.01</v>
      </c>
      <c r="K136" s="1144">
        <f t="shared" si="195"/>
        <v>169.5</v>
      </c>
      <c r="L136" s="1144">
        <f t="shared" si="195"/>
        <v>4736.58</v>
      </c>
      <c r="M136" s="1144">
        <f t="shared" si="195"/>
        <v>0</v>
      </c>
      <c r="N136" s="1144">
        <f t="shared" si="195"/>
        <v>0</v>
      </c>
      <c r="O136" s="1144">
        <f t="shared" si="195"/>
        <v>0</v>
      </c>
      <c r="P136" s="1144">
        <f t="shared" si="195"/>
        <v>0</v>
      </c>
      <c r="Q136" s="1144">
        <f t="shared" si="195"/>
        <v>43956.59</v>
      </c>
      <c r="R136" s="1144">
        <f t="shared" si="195"/>
        <v>1759.4700000000003</v>
      </c>
      <c r="S136" s="1144">
        <f t="shared" si="195"/>
        <v>844.51</v>
      </c>
      <c r="T136" s="1144">
        <f t="shared" si="195"/>
        <v>0</v>
      </c>
      <c r="U136" s="1144">
        <f t="shared" si="195"/>
        <v>0</v>
      </c>
      <c r="V136" s="1144">
        <f t="shared" si="195"/>
        <v>0</v>
      </c>
      <c r="W136" s="1144">
        <f t="shared" si="195"/>
        <v>0</v>
      </c>
      <c r="X136" s="1144">
        <f t="shared" si="195"/>
        <v>1458.75</v>
      </c>
      <c r="Y136" s="1144">
        <f t="shared" si="195"/>
        <v>82.5</v>
      </c>
      <c r="Z136" s="1144">
        <f t="shared" si="195"/>
        <v>4145.2299999999996</v>
      </c>
      <c r="AA136" s="1144">
        <f t="shared" si="195"/>
        <v>39811.360000000008</v>
      </c>
      <c r="AB136" s="1144">
        <f t="shared" si="195"/>
        <v>18627.349999999999</v>
      </c>
      <c r="AC136" s="1144">
        <f t="shared" si="195"/>
        <v>21184.010000000002</v>
      </c>
      <c r="AD136" s="1066">
        <f t="shared" si="105"/>
        <v>0</v>
      </c>
      <c r="AE136" s="1066">
        <f t="shared" si="106"/>
        <v>0</v>
      </c>
      <c r="AG136" s="1029"/>
    </row>
    <row r="137" spans="2:33" s="1076" customFormat="1" ht="30" customHeight="1">
      <c r="B137" s="1126"/>
      <c r="C137" s="1075"/>
      <c r="G137" s="1143"/>
      <c r="H137" s="1145" t="s">
        <v>52</v>
      </c>
      <c r="I137" s="1145" t="s">
        <v>52</v>
      </c>
      <c r="J137" s="1145" t="s">
        <v>52</v>
      </c>
      <c r="K137" s="1145"/>
      <c r="L137" s="1145"/>
      <c r="M137" s="1145"/>
      <c r="N137" s="1145"/>
      <c r="O137" s="1145"/>
      <c r="P137" s="1145"/>
      <c r="Q137" s="1145"/>
      <c r="R137" s="1145"/>
      <c r="S137" s="1145"/>
      <c r="T137" s="1145"/>
      <c r="U137" s="1145"/>
      <c r="V137" s="1145"/>
      <c r="W137" s="1145"/>
      <c r="X137" s="1146"/>
      <c r="Y137" s="1145"/>
      <c r="Z137" s="1145"/>
      <c r="AA137" s="1145"/>
      <c r="AB137" s="1145"/>
      <c r="AC137" s="1145"/>
      <c r="AD137" s="1066">
        <f t="shared" si="105"/>
        <v>0</v>
      </c>
      <c r="AE137" s="1066" t="e">
        <f t="shared" si="106"/>
        <v>#VALUE!</v>
      </c>
      <c r="AG137" s="1029"/>
    </row>
    <row r="138" spans="2:33" ht="30" customHeight="1">
      <c r="C138" s="1147" t="s">
        <v>112</v>
      </c>
      <c r="D138" s="1080"/>
      <c r="E138" s="1077"/>
      <c r="F138" s="1078"/>
      <c r="G138" s="1073"/>
      <c r="H138" s="1021"/>
      <c r="I138" s="1021"/>
      <c r="J138" s="1021"/>
      <c r="K138" s="1021"/>
      <c r="L138" s="1021"/>
      <c r="M138" s="1021"/>
      <c r="N138" s="1021"/>
      <c r="O138" s="1021"/>
      <c r="P138" s="1021"/>
      <c r="Q138" s="1021"/>
      <c r="R138" s="1021"/>
      <c r="S138" s="1021"/>
      <c r="T138" s="1021"/>
      <c r="U138" s="1021"/>
      <c r="V138" s="1021"/>
      <c r="W138" s="1021"/>
      <c r="X138" s="1105"/>
      <c r="Y138" s="1021"/>
      <c r="Z138" s="1112"/>
      <c r="AA138" s="1021"/>
      <c r="AB138" s="1066"/>
      <c r="AC138" s="1106"/>
      <c r="AD138" s="1066">
        <f t="shared" si="105"/>
        <v>0</v>
      </c>
      <c r="AE138" s="1066">
        <f t="shared" si="106"/>
        <v>0</v>
      </c>
    </row>
    <row r="139" spans="2:33" ht="30" customHeight="1">
      <c r="B139" s="1017" t="s">
        <v>52</v>
      </c>
      <c r="C139" s="1148" t="s">
        <v>622</v>
      </c>
      <c r="D139" s="1136"/>
      <c r="E139" s="1139"/>
      <c r="F139" s="1142"/>
      <c r="G139" s="1141"/>
      <c r="H139" s="1027"/>
      <c r="I139" s="1027"/>
      <c r="J139" s="1027"/>
      <c r="K139" s="1027"/>
      <c r="L139" s="1027"/>
      <c r="M139" s="1027"/>
      <c r="N139" s="1027"/>
      <c r="O139" s="1027"/>
      <c r="P139" s="1074"/>
      <c r="Q139" s="1027"/>
      <c r="R139" s="1027"/>
      <c r="S139" s="1027"/>
      <c r="T139" s="1027"/>
      <c r="U139" s="1027"/>
      <c r="V139" s="1027"/>
      <c r="W139" s="1027"/>
      <c r="X139" s="1086"/>
      <c r="Y139" s="1027"/>
      <c r="Z139" s="1066"/>
      <c r="AA139" s="1027"/>
      <c r="AB139" s="1066"/>
      <c r="AC139" s="1067"/>
      <c r="AD139" s="1066">
        <f t="shared" si="105"/>
        <v>0</v>
      </c>
      <c r="AE139" s="1066">
        <f t="shared" si="106"/>
        <v>0</v>
      </c>
    </row>
    <row r="140" spans="2:33" ht="30" customHeight="1">
      <c r="B140" s="1017">
        <v>44</v>
      </c>
      <c r="C140" s="1140" t="s">
        <v>421</v>
      </c>
      <c r="D140" s="1136" t="str">
        <f>VLOOKUP(C140,distribucion!G$8:FP$153,2,0)</f>
        <v>Jefe de Mantenimiento</v>
      </c>
      <c r="E140" s="1096">
        <f>H140+L140+N140</f>
        <v>6500</v>
      </c>
      <c r="F140" s="1072">
        <f>VLOOKUP(C140,distribucion!G71:M157,7,FALSE)</f>
        <v>30</v>
      </c>
      <c r="G140" s="1141">
        <f>VLOOKUP(C140,distribucion!$G$8:$DV$153,14,0)</f>
        <v>0</v>
      </c>
      <c r="H140" s="1233">
        <f>ROUND((VLOOKUP(C140,distribucion!G$1:FP$153,130,0)),2)</f>
        <v>6500</v>
      </c>
      <c r="I140" s="1064">
        <f>ROUND((VLOOKUP(C140,distribucion!G$8:FO$153,131,0)),2)</f>
        <v>1750</v>
      </c>
      <c r="J140" s="1064">
        <f t="shared" ref="J140" si="196">H140+I140</f>
        <v>8250</v>
      </c>
      <c r="K140" s="1064">
        <f>VLOOKUP(C140,distribucion!G$8:FP$153,132,0)</f>
        <v>0</v>
      </c>
      <c r="L140" s="1064">
        <f>ROUND((VLOOKUP(C140,distribucion!G$8:FP$153,133,0)),2)</f>
        <v>0</v>
      </c>
      <c r="M140" s="1064">
        <f>VLOOKUP(C140,distribucion!G$8:FP$153,134,0)</f>
        <v>0</v>
      </c>
      <c r="N140" s="1064">
        <f>ROUND((VLOOKUP(C140,distribucion!G$8:FP$153,135,0)),2)</f>
        <v>0</v>
      </c>
      <c r="O140" s="1027">
        <v>0</v>
      </c>
      <c r="P140" s="1136">
        <f>ROUND((VLOOKUP(C140,distribucion!G$8:FP$153,36,0)),2)</f>
        <v>0</v>
      </c>
      <c r="Q140" s="1137">
        <f>SUM(J140:P140)-K140-M140</f>
        <v>8250</v>
      </c>
      <c r="R140" s="1136">
        <f>ROUND(((H140+L140+N140+O140+P140)*0.0483),2)</f>
        <v>313.95</v>
      </c>
      <c r="S140" s="1136">
        <f>ROUND((VLOOKUP(C140,distribucion!G$8:FP$153,151,0)),2)</f>
        <v>213</v>
      </c>
      <c r="T140" s="1136">
        <f>ROUND((VLOOKUP(C140,distribucion!G$8:FP$153,152,0)),2)</f>
        <v>0</v>
      </c>
      <c r="U140" s="1136">
        <f>ROUND((VLOOKUP(C140,distribucion!G$8:FP$153,153,0)),2)</f>
        <v>0</v>
      </c>
      <c r="V140" s="1136">
        <f>ROUND((VLOOKUP(C140,distribucion!$G$1:$FJ$153,159,0)),2)</f>
        <v>0</v>
      </c>
      <c r="W140" s="1136">
        <f>ROUND((VLOOKUP(C140,distribucion!$G$1:$FJ$153,158,0)),2)</f>
        <v>0</v>
      </c>
      <c r="X140" s="1137">
        <f>ROUND((VLOOKUP(C140,distribucion!$G$1:$FJ$153,154,0)),2)</f>
        <v>552.75</v>
      </c>
      <c r="Y140" s="1136">
        <f>ROUND((VLOOKUP(C140,distribucion!G$8:FP$153,160,0)),2)</f>
        <v>350</v>
      </c>
      <c r="Z140" s="1138">
        <f>SUM(R140:Y140)</f>
        <v>1429.7</v>
      </c>
      <c r="AA140" s="1139">
        <f>Q140-Z140</f>
        <v>6820.3</v>
      </c>
      <c r="AB140" s="1066">
        <v>3894.52</v>
      </c>
      <c r="AC140" s="1067">
        <f t="shared" ref="AC140:AC145" si="197">+AA140-AB140</f>
        <v>2925.78</v>
      </c>
      <c r="AD140" s="1066">
        <f t="shared" si="105"/>
        <v>0</v>
      </c>
      <c r="AE140" s="1066">
        <f t="shared" si="106"/>
        <v>0</v>
      </c>
    </row>
    <row r="141" spans="2:33" ht="30" customHeight="1">
      <c r="C141" s="1148" t="s">
        <v>655</v>
      </c>
      <c r="D141" s="1136" t="s">
        <v>52</v>
      </c>
      <c r="E141" s="1096"/>
      <c r="F141" s="1072"/>
      <c r="G141" s="1141"/>
      <c r="H141" s="1027"/>
      <c r="I141" s="1138"/>
      <c r="J141" s="1139"/>
      <c r="K141" s="1138"/>
      <c r="L141" s="1136"/>
      <c r="M141" s="1136"/>
      <c r="N141" s="1136"/>
      <c r="O141" s="1136"/>
      <c r="P141" s="1136"/>
      <c r="Q141" s="1137"/>
      <c r="R141" s="1136"/>
      <c r="S141" s="1136"/>
      <c r="T141" s="1136"/>
      <c r="U141" s="1136"/>
      <c r="V141" s="1136"/>
      <c r="W141" s="1136"/>
      <c r="X141" s="1137"/>
      <c r="Y141" s="1136"/>
      <c r="Z141" s="1138"/>
      <c r="AA141" s="1139"/>
      <c r="AB141" s="1066"/>
      <c r="AC141" s="1067"/>
      <c r="AD141" s="1066">
        <f t="shared" si="105"/>
        <v>0</v>
      </c>
      <c r="AE141" s="1066">
        <f t="shared" si="106"/>
        <v>0</v>
      </c>
    </row>
    <row r="142" spans="2:33" ht="30" customHeight="1">
      <c r="B142" s="1017">
        <v>45</v>
      </c>
      <c r="C142" s="1140" t="str">
        <f>+distribucion!G131</f>
        <v>Salazar Santos Imideo Fibonacci</v>
      </c>
      <c r="D142" s="1136" t="str">
        <f>VLOOKUP(C142,distribucion!G$8:FP$153,2,0)</f>
        <v>Tecnico en Mantenimiento</v>
      </c>
      <c r="E142" s="1096">
        <f>H142+L142+N142</f>
        <v>4200</v>
      </c>
      <c r="F142" s="1072">
        <f>VLOOKUP(C142,distribucion!G73:M159,7,FALSE)</f>
        <v>30</v>
      </c>
      <c r="G142" s="1141" t="str">
        <f>VLOOKUP(C142,distribucion!$G$8:$DV$153,14,0)</f>
        <v>A.26/5/2026</v>
      </c>
      <c r="H142" s="1233">
        <f>ROUND((VLOOKUP(C142,distribucion!G$1:FP$153,130,0)),2)</f>
        <v>4200</v>
      </c>
      <c r="I142" s="1064">
        <f>ROUND((VLOOKUP(C142,distribucion!G$8:FO$153,131,0)),2)</f>
        <v>933.33</v>
      </c>
      <c r="J142" s="1064">
        <f t="shared" ref="J142" si="198">H142+I142</f>
        <v>5133.33</v>
      </c>
      <c r="K142" s="1064">
        <f>VLOOKUP(C142,distribucion!G$8:FP$153,132,0)</f>
        <v>0</v>
      </c>
      <c r="L142" s="1064">
        <f>ROUND((VLOOKUP(C142,distribucion!G$8:FP$153,133,0)),2)</f>
        <v>0</v>
      </c>
      <c r="M142" s="1064">
        <f>VLOOKUP(C142,distribucion!G$8:FP$153,134,0)</f>
        <v>0</v>
      </c>
      <c r="N142" s="1064">
        <f>ROUND((VLOOKUP(C142,distribucion!G$8:FP$153,135,0)),2)</f>
        <v>0</v>
      </c>
      <c r="O142" s="1027">
        <v>0</v>
      </c>
      <c r="P142" s="1136">
        <f>ROUND((VLOOKUP(C142,distribucion!G$8:FP$153,136,0)),2)</f>
        <v>700</v>
      </c>
      <c r="Q142" s="1137">
        <f>SUM(J142:P142)-K142-M142</f>
        <v>5833.33</v>
      </c>
      <c r="R142" s="1136">
        <f>ROUND(((H142+L142+N142+O142+P142)*0.0483),2)</f>
        <v>236.67</v>
      </c>
      <c r="S142" s="1136">
        <f>ROUND((VLOOKUP(C142,distribucion!G$8:FP$153,151,0)),2)</f>
        <v>96</v>
      </c>
      <c r="T142" s="1136">
        <f>ROUND((VLOOKUP(C142,distribucion!G$8:FP$153,152,0)),2)</f>
        <v>0</v>
      </c>
      <c r="U142" s="1136">
        <f>ROUND((VLOOKUP(C142,distribucion!G$8:FP$153,153,0)),2)</f>
        <v>0</v>
      </c>
      <c r="V142" s="1136">
        <f>ROUND((VLOOKUP(C142,distribucion!$G$1:$FJ$153,159,0)),2)</f>
        <v>0</v>
      </c>
      <c r="W142" s="1136">
        <f>ROUND((VLOOKUP(C142,distribucion!$G$1:$FJ$153,158,0)),2)</f>
        <v>0</v>
      </c>
      <c r="X142" s="1137">
        <f>ROUND((VLOOKUP(C142,distribucion!$G$1:$FJ$153,154,0)),2)</f>
        <v>0</v>
      </c>
      <c r="Y142" s="1136">
        <f>ROUND((VLOOKUP(C142,distribucion!G$8:FP$153,160,0)),2)</f>
        <v>0</v>
      </c>
      <c r="Z142" s="1138">
        <f>SUM(R142:Y142)</f>
        <v>332.66999999999996</v>
      </c>
      <c r="AA142" s="1139">
        <f>Q142-Z142</f>
        <v>5500.66</v>
      </c>
      <c r="AB142" s="1066">
        <v>3105.09</v>
      </c>
      <c r="AC142" s="1067">
        <f t="shared" si="197"/>
        <v>2395.5699999999997</v>
      </c>
      <c r="AD142" s="1066">
        <f t="shared" ref="AD142" si="199">AA142-AB142-AC142</f>
        <v>0</v>
      </c>
      <c r="AE142" s="1066">
        <f t="shared" ref="AE142" si="200">((I142+H142+L142+O142++P142)-SUM(R142:Y142))-AA142</f>
        <v>0</v>
      </c>
    </row>
    <row r="143" spans="2:33" ht="30" customHeight="1">
      <c r="B143" s="1017">
        <v>46</v>
      </c>
      <c r="C143" s="1140" t="s">
        <v>673</v>
      </c>
      <c r="D143" s="1136" t="str">
        <f>VLOOKUP(C143,distribucion!G$8:FP$153,2,0)</f>
        <v>Tecnico industrial</v>
      </c>
      <c r="E143" s="1071">
        <f t="shared" ref="E143:E145" si="201">H143+L143+N143+O143</f>
        <v>4252.5</v>
      </c>
      <c r="F143" s="1072">
        <f>VLOOKUP(C143,distribucion!G74:M160,7,FALSE)</f>
        <v>30</v>
      </c>
      <c r="G143" s="1141">
        <v>0</v>
      </c>
      <c r="H143" s="1064">
        <f>ROUND((VLOOKUP(C143,distribucion!G$1:FP$153,130,0)),2)</f>
        <v>4200</v>
      </c>
      <c r="I143" s="1064">
        <f>ROUND((VLOOKUP(C143,distribucion!G$8:FO$153,131,0)),2)</f>
        <v>3650</v>
      </c>
      <c r="J143" s="1064">
        <f t="shared" ref="J143" si="202">H143+I143</f>
        <v>7850</v>
      </c>
      <c r="K143" s="1064">
        <f>VLOOKUP(C143,distribucion!G$8:FP$153,132,0)</f>
        <v>2</v>
      </c>
      <c r="L143" s="1064">
        <f>ROUND((VLOOKUP(C143,distribucion!G$8:FP$153,133,0)),2)</f>
        <v>52.5</v>
      </c>
      <c r="M143" s="1064">
        <f>VLOOKUP(C143,distribucion!G$8:FP$153,134,0)</f>
        <v>0</v>
      </c>
      <c r="N143" s="1064">
        <f>ROUND((VLOOKUP(C143,distribucion!G$8:FP$153,135,0)),2)</f>
        <v>0</v>
      </c>
      <c r="O143" s="1027">
        <v>0</v>
      </c>
      <c r="P143" s="1136">
        <v>0</v>
      </c>
      <c r="Q143" s="1137">
        <f>SUM(J143:P143)-K143-M143</f>
        <v>7902.5</v>
      </c>
      <c r="R143" s="1136">
        <f>ROUND(((H143+L143+N143+O143+P143)*0.0483),2)</f>
        <v>205.4</v>
      </c>
      <c r="S143" s="1136">
        <f>ROUND((VLOOKUP(C143,distribucion!G$8:FP$153,151,0)),2)</f>
        <v>190</v>
      </c>
      <c r="T143" s="1136">
        <f>ROUND((VLOOKUP(C143,distribucion!G$8:FP$153,152,0)),2)</f>
        <v>0</v>
      </c>
      <c r="U143" s="1136">
        <f>ROUND((VLOOKUP(C143,distribucion!G$8:FP$153,153,0)),2)</f>
        <v>0</v>
      </c>
      <c r="V143" s="1136">
        <f>ROUND((VLOOKUP(C143,distribucion!$G$1:$FJ$153,159,0)),2)</f>
        <v>0</v>
      </c>
      <c r="W143" s="1136">
        <f>ROUND((VLOOKUP(C143,distribucion!$G$1:$FJ$153,158,0)),2)</f>
        <v>0</v>
      </c>
      <c r="X143" s="1137">
        <f>ROUND((VLOOKUP(C143,distribucion!$G$1:$FJ$153,154,0)),2)</f>
        <v>0</v>
      </c>
      <c r="Y143" s="1136">
        <f>ROUND((VLOOKUP(C143,distribucion!G$8:FP$153,160,0)),2)</f>
        <v>0</v>
      </c>
      <c r="Z143" s="1138">
        <f>SUM(R143:Y143)</f>
        <v>395.4</v>
      </c>
      <c r="AA143" s="1139">
        <f>Q143-Z143</f>
        <v>7507.1</v>
      </c>
      <c r="AB143" s="1066">
        <v>2305.5700000000002</v>
      </c>
      <c r="AC143" s="1067">
        <f t="shared" si="197"/>
        <v>5201.5300000000007</v>
      </c>
      <c r="AD143" s="1066">
        <f t="shared" si="105"/>
        <v>0</v>
      </c>
      <c r="AE143" s="1066">
        <f t="shared" si="106"/>
        <v>0</v>
      </c>
    </row>
    <row r="144" spans="2:33" ht="30" customHeight="1">
      <c r="C144" s="1148" t="s">
        <v>653</v>
      </c>
      <c r="D144" s="1136" t="s">
        <v>52</v>
      </c>
      <c r="E144" s="1096"/>
      <c r="F144" s="1072"/>
      <c r="G144" s="1141"/>
      <c r="H144" s="1027"/>
      <c r="I144" s="1138"/>
      <c r="J144" s="1139"/>
      <c r="K144" s="1138"/>
      <c r="L144" s="1136"/>
      <c r="M144" s="1136"/>
      <c r="N144" s="1136"/>
      <c r="O144" s="1136"/>
      <c r="P144" s="1136"/>
      <c r="Q144" s="1137"/>
      <c r="R144" s="1136"/>
      <c r="S144" s="1136"/>
      <c r="T144" s="1136"/>
      <c r="U144" s="1136"/>
      <c r="V144" s="1136"/>
      <c r="W144" s="1136"/>
      <c r="X144" s="1137"/>
      <c r="Y144" s="1136"/>
      <c r="Z144" s="1138"/>
      <c r="AA144" s="1139"/>
      <c r="AB144" s="1066"/>
      <c r="AC144" s="1067"/>
      <c r="AD144" s="1066">
        <f t="shared" si="105"/>
        <v>0</v>
      </c>
      <c r="AE144" s="1066">
        <f t="shared" si="106"/>
        <v>0</v>
      </c>
    </row>
    <row r="145" spans="2:33" ht="30" customHeight="1">
      <c r="B145" s="1017">
        <v>47</v>
      </c>
      <c r="C145" s="1140" t="s">
        <v>672</v>
      </c>
      <c r="D145" s="1136" t="str">
        <f>VLOOKUP(C145,distribucion!G$8:FP$153,2,0)</f>
        <v>Auxiliar de Mantenimiento</v>
      </c>
      <c r="E145" s="1071">
        <f t="shared" si="201"/>
        <v>4102.34</v>
      </c>
      <c r="F145" s="1072">
        <f>VLOOKUP(C145,distribucion!G76:M162,7,FALSE)</f>
        <v>30</v>
      </c>
      <c r="G145" s="1141">
        <v>0</v>
      </c>
      <c r="H145" s="1064">
        <f>ROUND((VLOOKUP(C145,distribucion!G$1:FP$153,130,0)),2)</f>
        <v>4002.28</v>
      </c>
      <c r="I145" s="1064">
        <f>ROUND((VLOOKUP(C145,distribucion!G$8:FO$153,131,0)),2)</f>
        <v>1350</v>
      </c>
      <c r="J145" s="1064">
        <f t="shared" ref="J145" si="203">H145+I145</f>
        <v>5352.2800000000007</v>
      </c>
      <c r="K145" s="1064">
        <f>VLOOKUP(C145,distribucion!G$8:FP$153,132,0)</f>
        <v>4</v>
      </c>
      <c r="L145" s="1064">
        <f>ROUND((VLOOKUP(C145,distribucion!G$8:FP$153,133,0)),2)</f>
        <v>100.06</v>
      </c>
      <c r="M145" s="1064">
        <f>VLOOKUP(C145,distribucion!G$8:FP$153,134,0)</f>
        <v>0</v>
      </c>
      <c r="N145" s="1064">
        <f>ROUND((VLOOKUP(C145,distribucion!G$8:FP$153,135,0)),2)</f>
        <v>0</v>
      </c>
      <c r="O145" s="1027">
        <v>0</v>
      </c>
      <c r="P145" s="1136">
        <v>0</v>
      </c>
      <c r="Q145" s="1137">
        <f>SUM(J145:P145)-K145-M145</f>
        <v>5452.3400000000011</v>
      </c>
      <c r="R145" s="1136">
        <f>ROUND(((H145+L145+N145+O145+P145)*0.0483),2)</f>
        <v>198.14</v>
      </c>
      <c r="S145" s="1136">
        <f>ROUND((VLOOKUP(C145,distribucion!G$8:FP$153,151,0)),2)</f>
        <v>217</v>
      </c>
      <c r="T145" s="1136">
        <f>ROUND((VLOOKUP(C145,distribucion!G$8:FP$153,152,0)),2)</f>
        <v>0</v>
      </c>
      <c r="U145" s="1136">
        <f>ROUND((VLOOKUP(C145,distribucion!G$8:FP$153,153,0)),2)</f>
        <v>0</v>
      </c>
      <c r="V145" s="1136">
        <f>ROUND((VLOOKUP(C145,distribucion!$G$1:$FJ$153,159,0)),2)</f>
        <v>0</v>
      </c>
      <c r="W145" s="1136">
        <f>ROUND((VLOOKUP(C145,distribucion!$G$1:$FJ$153,158,0)),2)</f>
        <v>0</v>
      </c>
      <c r="X145" s="1137">
        <f>ROUND((VLOOKUP(C145,distribucion!$G$1:$FJ$153,154,0)),2)</f>
        <v>0</v>
      </c>
      <c r="Y145" s="1136">
        <f>ROUND((VLOOKUP(C145,distribucion!G$8:FP$153,160,0)),2)</f>
        <v>0</v>
      </c>
      <c r="Z145" s="1138">
        <f>SUM(R145:Y145)</f>
        <v>415.14</v>
      </c>
      <c r="AA145" s="1139">
        <f>Q145-Z145</f>
        <v>5037.2000000000007</v>
      </c>
      <c r="AB145" s="1066">
        <v>1950.9800000000002</v>
      </c>
      <c r="AC145" s="1067">
        <f t="shared" si="197"/>
        <v>3086.2200000000003</v>
      </c>
      <c r="AD145" s="1066">
        <f t="shared" ref="AD145:AD168" si="204">AA145-AB145-AC145</f>
        <v>0</v>
      </c>
      <c r="AE145" s="1066">
        <f t="shared" ref="AE145:AE168" si="205">((I145+H145+L145+O145++P145)-SUM(R145:Y145))-AA145</f>
        <v>0</v>
      </c>
    </row>
    <row r="146" spans="2:33" ht="30" customHeight="1">
      <c r="C146" s="980"/>
      <c r="D146" s="1080" t="s">
        <v>130</v>
      </c>
      <c r="E146" s="1077" t="s">
        <v>171</v>
      </c>
      <c r="F146" s="1078"/>
      <c r="G146" s="1073"/>
      <c r="H146" s="1087">
        <f>SUM(H140:H145)</f>
        <v>18902.28</v>
      </c>
      <c r="I146" s="1087">
        <f>SUM(I140:I145)</f>
        <v>7683.33</v>
      </c>
      <c r="J146" s="1087">
        <f>SUM(J140:J145)</f>
        <v>26585.61</v>
      </c>
      <c r="K146" s="1087">
        <f t="shared" ref="K146:AB146" si="206">SUM(K140:K145)</f>
        <v>6</v>
      </c>
      <c r="L146" s="1087">
        <f t="shared" si="206"/>
        <v>152.56</v>
      </c>
      <c r="M146" s="1087">
        <f t="shared" si="206"/>
        <v>0</v>
      </c>
      <c r="N146" s="1087">
        <f t="shared" si="206"/>
        <v>0</v>
      </c>
      <c r="O146" s="1087">
        <f t="shared" si="206"/>
        <v>0</v>
      </c>
      <c r="P146" s="1087">
        <f t="shared" si="206"/>
        <v>700</v>
      </c>
      <c r="Q146" s="1087">
        <f t="shared" si="206"/>
        <v>27438.170000000002</v>
      </c>
      <c r="R146" s="1087">
        <f t="shared" si="206"/>
        <v>954.16</v>
      </c>
      <c r="S146" s="1087">
        <f t="shared" si="206"/>
        <v>716</v>
      </c>
      <c r="T146" s="1087">
        <f t="shared" si="206"/>
        <v>0</v>
      </c>
      <c r="U146" s="1087">
        <f t="shared" si="206"/>
        <v>0</v>
      </c>
      <c r="V146" s="1087">
        <f t="shared" si="206"/>
        <v>0</v>
      </c>
      <c r="W146" s="1087">
        <f t="shared" si="206"/>
        <v>0</v>
      </c>
      <c r="X146" s="1087">
        <f t="shared" si="206"/>
        <v>552.75</v>
      </c>
      <c r="Y146" s="1087">
        <f t="shared" si="206"/>
        <v>350</v>
      </c>
      <c r="Z146" s="1087">
        <f t="shared" si="206"/>
        <v>2572.91</v>
      </c>
      <c r="AA146" s="1087">
        <f>SUM(AA140:AA145)</f>
        <v>24865.26</v>
      </c>
      <c r="AB146" s="1087">
        <f t="shared" si="206"/>
        <v>11256.16</v>
      </c>
      <c r="AC146" s="1087">
        <f>SUM(AC140:AC145)</f>
        <v>13609.100000000002</v>
      </c>
      <c r="AD146" s="1066">
        <f t="shared" si="204"/>
        <v>0</v>
      </c>
      <c r="AE146" s="1066">
        <f t="shared" si="205"/>
        <v>0</v>
      </c>
    </row>
    <row r="147" spans="2:33" ht="30" customHeight="1">
      <c r="C147" s="980"/>
      <c r="D147" s="1080"/>
      <c r="E147" s="1077"/>
      <c r="F147" s="1078"/>
      <c r="G147" s="1073"/>
      <c r="H147" s="1079" t="s">
        <v>52</v>
      </c>
      <c r="I147" s="1079" t="s">
        <v>52</v>
      </c>
      <c r="J147" s="1079" t="s">
        <v>52</v>
      </c>
      <c r="K147" s="1079"/>
      <c r="L147" s="1079"/>
      <c r="M147" s="1079"/>
      <c r="N147" s="1079"/>
      <c r="O147" s="1079"/>
      <c r="P147" s="1079"/>
      <c r="Q147" s="1079"/>
      <c r="R147" s="1079"/>
      <c r="S147" s="1079"/>
      <c r="T147" s="1079"/>
      <c r="U147" s="1079"/>
      <c r="V147" s="1079"/>
      <c r="W147" s="1079"/>
      <c r="X147" s="1079"/>
      <c r="Y147" s="1079"/>
      <c r="Z147" s="1079"/>
      <c r="AA147" s="1079"/>
      <c r="AB147" s="1084"/>
      <c r="AC147" s="1084"/>
      <c r="AD147" s="1066">
        <f t="shared" si="204"/>
        <v>0</v>
      </c>
      <c r="AE147" s="1066" t="e">
        <f t="shared" si="205"/>
        <v>#VALUE!</v>
      </c>
    </row>
    <row r="148" spans="2:33" ht="30" customHeight="1">
      <c r="C148" s="1147" t="s">
        <v>616</v>
      </c>
      <c r="D148" s="1080"/>
      <c r="E148" s="1077"/>
      <c r="F148" s="1072"/>
      <c r="G148" s="1073"/>
      <c r="H148" s="1088"/>
      <c r="I148" s="1088"/>
      <c r="J148" s="1088"/>
      <c r="K148" s="1088"/>
      <c r="L148" s="1088"/>
      <c r="M148" s="1088"/>
      <c r="N148" s="1088"/>
      <c r="O148" s="1088"/>
      <c r="P148" s="1088"/>
      <c r="Q148" s="1088"/>
      <c r="R148" s="1088"/>
      <c r="S148" s="1088"/>
      <c r="T148" s="1088"/>
      <c r="U148" s="1088"/>
      <c r="V148" s="1088"/>
      <c r="W148" s="1088"/>
      <c r="X148" s="1088"/>
      <c r="Y148" s="1088"/>
      <c r="Z148" s="1089"/>
      <c r="AA148" s="1088"/>
      <c r="AB148" s="1089"/>
      <c r="AC148" s="1130"/>
      <c r="AD148" s="1066">
        <f t="shared" si="204"/>
        <v>0</v>
      </c>
      <c r="AE148" s="1066">
        <f t="shared" si="205"/>
        <v>0</v>
      </c>
    </row>
    <row r="149" spans="2:33" ht="30" customHeight="1">
      <c r="C149" s="992" t="s">
        <v>654</v>
      </c>
      <c r="D149" s="1080"/>
      <c r="E149" s="1077"/>
      <c r="F149" s="1072"/>
      <c r="G149" s="1073"/>
      <c r="H149" s="1088"/>
      <c r="I149" s="1088"/>
      <c r="J149" s="1088"/>
      <c r="K149" s="1088"/>
      <c r="L149" s="1088"/>
      <c r="M149" s="1088"/>
      <c r="N149" s="1088"/>
      <c r="O149" s="1088"/>
      <c r="P149" s="1088"/>
      <c r="Q149" s="1088"/>
      <c r="R149" s="1088"/>
      <c r="S149" s="1088"/>
      <c r="T149" s="1088"/>
      <c r="U149" s="1088"/>
      <c r="V149" s="1088"/>
      <c r="W149" s="1088"/>
      <c r="X149" s="1088"/>
      <c r="Y149" s="1088"/>
      <c r="Z149" s="1089"/>
      <c r="AA149" s="1088"/>
      <c r="AB149" s="1089"/>
      <c r="AC149" s="1130"/>
      <c r="AD149" s="1066">
        <f t="shared" si="204"/>
        <v>0</v>
      </c>
      <c r="AE149" s="1066">
        <f t="shared" si="205"/>
        <v>0</v>
      </c>
    </row>
    <row r="150" spans="2:33" ht="30" customHeight="1">
      <c r="C150" s="1113"/>
      <c r="D150" s="1136"/>
      <c r="E150" s="1071"/>
      <c r="F150" s="1072"/>
      <c r="G150" s="1073"/>
      <c r="H150" s="1064"/>
      <c r="I150" s="1064"/>
      <c r="J150" s="1064"/>
      <c r="K150" s="1064"/>
      <c r="L150" s="1064"/>
      <c r="M150" s="1064"/>
      <c r="N150" s="1064"/>
      <c r="O150" s="1027"/>
      <c r="P150" s="1136"/>
      <c r="Q150" s="1137"/>
      <c r="R150" s="1136"/>
      <c r="S150" s="1136"/>
      <c r="T150" s="1136"/>
      <c r="U150" s="1136"/>
      <c r="V150" s="1136"/>
      <c r="W150" s="1136"/>
      <c r="X150" s="1137"/>
      <c r="Y150" s="1136"/>
      <c r="Z150" s="1138"/>
      <c r="AA150" s="1139"/>
      <c r="AB150" s="1066"/>
      <c r="AC150" s="1067"/>
      <c r="AD150" s="1066"/>
      <c r="AE150" s="1066"/>
    </row>
    <row r="151" spans="2:33" ht="30" customHeight="1">
      <c r="B151" s="1017">
        <v>48</v>
      </c>
      <c r="C151" s="1113" t="str">
        <f>+distribucion!G138</f>
        <v>Jacome Galindo Francisco</v>
      </c>
      <c r="D151" s="1136" t="str">
        <f>VLOOKUP(C151,distribucion!G$8:FP$153,2,0)</f>
        <v>Gerente de Operaciones</v>
      </c>
      <c r="E151" s="1071">
        <f t="shared" ref="E151" si="207">H151+L151+N151+O151</f>
        <v>19000</v>
      </c>
      <c r="F151" s="1072">
        <f>VLOOKUP(C151,distribucion!G82:M168,7,FALSE)</f>
        <v>30</v>
      </c>
      <c r="G151" s="1073"/>
      <c r="H151" s="1064">
        <f>ROUND((VLOOKUP(C151,distribucion!G$1:FP$153,130,0)),2)</f>
        <v>19000</v>
      </c>
      <c r="I151" s="1064">
        <f>ROUND((VLOOKUP(C151,distribucion!G$8:FO$153,131,0)),2)</f>
        <v>5000</v>
      </c>
      <c r="J151" s="1064">
        <f t="shared" ref="J151" si="208">H151+I151</f>
        <v>24000</v>
      </c>
      <c r="K151" s="1064">
        <f>VLOOKUP(C151,distribucion!G$8:FP$153,132,0)</f>
        <v>0</v>
      </c>
      <c r="L151" s="1064">
        <f>ROUND((VLOOKUP(C151,distribucion!G$8:FP$153,133,0)),2)</f>
        <v>0</v>
      </c>
      <c r="M151" s="1064">
        <f>VLOOKUP(C151,distribucion!G$8:FP$153,134,0)</f>
        <v>0</v>
      </c>
      <c r="N151" s="1064">
        <f>ROUND((VLOOKUP(C151,distribucion!G$8:FP$153,135,0)),2)</f>
        <v>0</v>
      </c>
      <c r="O151" s="1027">
        <v>0</v>
      </c>
      <c r="P151" s="1136">
        <v>0</v>
      </c>
      <c r="Q151" s="1137">
        <f>SUM(J151:P151)-K151-M151</f>
        <v>24000</v>
      </c>
      <c r="R151" s="1136">
        <f>ROUND(((H151+L151+N151+O151+P151)*0.0483),2)</f>
        <v>917.7</v>
      </c>
      <c r="S151" s="1136">
        <f>ROUND((VLOOKUP(C151,distribucion!G$8:FP$153,151,0)),2)</f>
        <v>1144.94</v>
      </c>
      <c r="T151" s="1136">
        <f>ROUND((VLOOKUP(C151,distribucion!G$8:FP$153,152,0)),2)</f>
        <v>0</v>
      </c>
      <c r="U151" s="1136">
        <f>ROUND((VLOOKUP(C151,distribucion!G$8:FP$153,153,0)),2)</f>
        <v>0</v>
      </c>
      <c r="V151" s="1136">
        <f>ROUND((VLOOKUP(C151,distribucion!$G$1:$FJ$153,159,0)),2)</f>
        <v>0</v>
      </c>
      <c r="W151" s="1136">
        <f>ROUND((VLOOKUP(C151,distribucion!$G$1:$FJ$153,158,0)),2)</f>
        <v>0</v>
      </c>
      <c r="X151" s="1137">
        <f>ROUND((VLOOKUP(C151,distribucion!$G$1:$FJ$153,154,0)),2)</f>
        <v>0</v>
      </c>
      <c r="Y151" s="1136">
        <f>ROUND((VLOOKUP(C151,distribucion!G$8:FP$153,160,0)),2)</f>
        <v>0</v>
      </c>
      <c r="Z151" s="1138">
        <f>SUM(R151:Y151)</f>
        <v>2062.6400000000003</v>
      </c>
      <c r="AA151" s="1139">
        <f>Q151-Z151</f>
        <v>21937.360000000001</v>
      </c>
      <c r="AB151" s="1066">
        <v>10968.68</v>
      </c>
      <c r="AC151" s="1067">
        <f t="shared" ref="AC151" si="209">+AA151-AB151</f>
        <v>10968.68</v>
      </c>
      <c r="AD151" s="1066"/>
      <c r="AE151" s="1066"/>
    </row>
    <row r="152" spans="2:33" ht="30" customHeight="1">
      <c r="B152" s="1017">
        <v>49</v>
      </c>
      <c r="C152" s="1113" t="str">
        <f>+distribucion!G139</f>
        <v>Orellana Higueros Hugo Alejandro</v>
      </c>
      <c r="D152" s="1136" t="str">
        <f>VLOOKUP(C152,distribucion!G$8:FP$153,2,0)</f>
        <v>Gerente de Operaciones</v>
      </c>
      <c r="E152" s="1071">
        <f t="shared" ref="E152" si="210">H152+L152+N152+O152</f>
        <v>5850</v>
      </c>
      <c r="F152" s="1072">
        <f>VLOOKUP(C152,distribucion!G83:M169,7,FALSE)</f>
        <v>9</v>
      </c>
      <c r="G152" s="1073"/>
      <c r="H152" s="1064">
        <f>ROUND((VLOOKUP(C152,distribucion!G$1:FP$153,130,0)),2)</f>
        <v>5850</v>
      </c>
      <c r="I152" s="1064">
        <f>ROUND((VLOOKUP(C152,distribucion!G$8:FO$153,131,0)),2)</f>
        <v>1650</v>
      </c>
      <c r="J152" s="1064">
        <f t="shared" ref="J152" si="211">H152+I152</f>
        <v>7500</v>
      </c>
      <c r="K152" s="1064">
        <f>VLOOKUP(C152,distribucion!G$8:FP$153,132,0)</f>
        <v>0</v>
      </c>
      <c r="L152" s="1064">
        <f>ROUND((VLOOKUP(C152,distribucion!G$8:FP$153,133,0)),2)</f>
        <v>0</v>
      </c>
      <c r="M152" s="1064">
        <f>VLOOKUP(C152,distribucion!G$8:FP$153,134,0)</f>
        <v>0</v>
      </c>
      <c r="N152" s="1064">
        <f>ROUND((VLOOKUP(C152,distribucion!G$8:FP$153,135,0)),2)</f>
        <v>0</v>
      </c>
      <c r="O152" s="1027">
        <v>0</v>
      </c>
      <c r="P152" s="1136">
        <v>0</v>
      </c>
      <c r="Q152" s="1137">
        <f>SUM(J152:P152)-K152-M152</f>
        <v>7500</v>
      </c>
      <c r="R152" s="1136">
        <f>ROUND(((H152+L152+N152+O152+P152)*0.0483),2)</f>
        <v>282.56</v>
      </c>
      <c r="S152" s="1136">
        <f>ROUND((VLOOKUP(C152,distribucion!G$8:FP$153,151,0)),2)</f>
        <v>369.88</v>
      </c>
      <c r="T152" s="1136">
        <f>ROUND((VLOOKUP(C152,distribucion!G$8:FP$153,152,0)),2)</f>
        <v>0</v>
      </c>
      <c r="U152" s="1136">
        <f>ROUND((VLOOKUP(C152,distribucion!G$8:FP$153,153,0)),2)</f>
        <v>0</v>
      </c>
      <c r="V152" s="1136">
        <f>ROUND((VLOOKUP(C152,distribucion!$G$1:$FJ$153,159,0)),2)</f>
        <v>0</v>
      </c>
      <c r="W152" s="1136">
        <f>ROUND((VLOOKUP(C152,distribucion!$G$1:$FJ$153,158,0)),2)</f>
        <v>0</v>
      </c>
      <c r="X152" s="1137">
        <f>ROUND((VLOOKUP(C152,distribucion!$G$1:$FJ$153,154,0)),2)</f>
        <v>0</v>
      </c>
      <c r="Y152" s="1136">
        <f>ROUND((VLOOKUP(C152,distribucion!G$8:FP$153,160,0)),2)</f>
        <v>0</v>
      </c>
      <c r="Z152" s="1138">
        <f>SUM(R152:Y152)</f>
        <v>652.44000000000005</v>
      </c>
      <c r="AA152" s="1139">
        <f>Q152-Z152</f>
        <v>6847.5599999999995</v>
      </c>
      <c r="AB152" s="1066">
        <v>0</v>
      </c>
      <c r="AC152" s="1067">
        <f t="shared" ref="AC152" si="212">+AA152-AB152</f>
        <v>6847.5599999999995</v>
      </c>
      <c r="AD152" s="1066"/>
      <c r="AE152" s="1066"/>
    </row>
    <row r="153" spans="2:33" s="1168" customFormat="1" ht="30" customHeight="1">
      <c r="B153" s="1164"/>
      <c r="C153" s="1165"/>
      <c r="D153" s="1173" t="s">
        <v>130</v>
      </c>
      <c r="E153" s="1171"/>
      <c r="F153" s="1166"/>
      <c r="G153" s="1175"/>
      <c r="H153" s="1083">
        <f>SUM(H151:H152)</f>
        <v>24850</v>
      </c>
      <c r="I153" s="1083">
        <f t="shared" ref="I153:AG153" si="213">SUM(I151:I152)</f>
        <v>6650</v>
      </c>
      <c r="J153" s="1083">
        <f t="shared" si="213"/>
        <v>31500</v>
      </c>
      <c r="K153" s="1083">
        <f t="shared" si="213"/>
        <v>0</v>
      </c>
      <c r="L153" s="1083">
        <f t="shared" si="213"/>
        <v>0</v>
      </c>
      <c r="M153" s="1083">
        <f t="shared" si="213"/>
        <v>0</v>
      </c>
      <c r="N153" s="1083">
        <f t="shared" si="213"/>
        <v>0</v>
      </c>
      <c r="O153" s="1083">
        <f t="shared" si="213"/>
        <v>0</v>
      </c>
      <c r="P153" s="1083">
        <f t="shared" si="213"/>
        <v>0</v>
      </c>
      <c r="Q153" s="1083">
        <f t="shared" si="213"/>
        <v>31500</v>
      </c>
      <c r="R153" s="1083">
        <f t="shared" si="213"/>
        <v>1200.26</v>
      </c>
      <c r="S153" s="1083">
        <f t="shared" si="213"/>
        <v>1514.8200000000002</v>
      </c>
      <c r="T153" s="1083">
        <f t="shared" si="213"/>
        <v>0</v>
      </c>
      <c r="U153" s="1083">
        <f t="shared" si="213"/>
        <v>0</v>
      </c>
      <c r="V153" s="1083">
        <f t="shared" si="213"/>
        <v>0</v>
      </c>
      <c r="W153" s="1083">
        <f t="shared" si="213"/>
        <v>0</v>
      </c>
      <c r="X153" s="1083">
        <f t="shared" si="213"/>
        <v>0</v>
      </c>
      <c r="Y153" s="1083">
        <f t="shared" si="213"/>
        <v>0</v>
      </c>
      <c r="Z153" s="1083">
        <f t="shared" si="213"/>
        <v>2715.0800000000004</v>
      </c>
      <c r="AA153" s="1083">
        <f t="shared" si="213"/>
        <v>28784.92</v>
      </c>
      <c r="AB153" s="1083">
        <f t="shared" si="213"/>
        <v>10968.68</v>
      </c>
      <c r="AC153" s="1083">
        <f t="shared" si="213"/>
        <v>17816.239999999998</v>
      </c>
      <c r="AD153" s="1083">
        <f t="shared" si="213"/>
        <v>0</v>
      </c>
      <c r="AE153" s="1083">
        <f t="shared" si="213"/>
        <v>0</v>
      </c>
      <c r="AF153" s="1083">
        <f t="shared" si="213"/>
        <v>0</v>
      </c>
      <c r="AG153" s="1083">
        <f t="shared" si="213"/>
        <v>0</v>
      </c>
    </row>
    <row r="154" spans="2:33" ht="30" customHeight="1">
      <c r="D154" s="1080"/>
      <c r="E154" s="1077"/>
      <c r="F154" s="1072"/>
      <c r="G154" s="1154"/>
      <c r="H154" s="1079"/>
      <c r="I154" s="1079"/>
      <c r="J154" s="1079"/>
      <c r="K154" s="1079"/>
      <c r="L154" s="1079"/>
      <c r="M154" s="1079"/>
      <c r="N154" s="1079"/>
      <c r="O154" s="1079"/>
      <c r="P154" s="1079"/>
      <c r="Q154" s="1079"/>
      <c r="R154" s="1079"/>
      <c r="S154" s="1079"/>
      <c r="T154" s="1079"/>
      <c r="U154" s="1079"/>
      <c r="V154" s="1079"/>
      <c r="W154" s="1079"/>
      <c r="X154" s="1079"/>
      <c r="Y154" s="1079"/>
      <c r="Z154" s="1079"/>
      <c r="AA154" s="1079"/>
      <c r="AB154" s="1084"/>
      <c r="AC154" s="1084"/>
      <c r="AD154" s="1066">
        <f t="shared" si="204"/>
        <v>0</v>
      </c>
      <c r="AE154" s="1066">
        <f t="shared" si="205"/>
        <v>0</v>
      </c>
    </row>
    <row r="155" spans="2:33" ht="30" customHeight="1">
      <c r="D155" s="1080"/>
      <c r="E155" s="1077"/>
      <c r="F155" s="1072"/>
      <c r="G155" s="1154"/>
      <c r="H155" s="1079"/>
      <c r="I155" s="1079"/>
      <c r="J155" s="1079"/>
      <c r="K155" s="1079"/>
      <c r="L155" s="1079"/>
      <c r="M155" s="1079"/>
      <c r="N155" s="1079"/>
      <c r="O155" s="1079"/>
      <c r="P155" s="1079"/>
      <c r="Q155" s="1079"/>
      <c r="R155" s="1079"/>
      <c r="S155" s="1079"/>
      <c r="T155" s="1079"/>
      <c r="U155" s="1079"/>
      <c r="V155" s="1079"/>
      <c r="W155" s="1079"/>
      <c r="X155" s="1079"/>
      <c r="Y155" s="1079"/>
      <c r="Z155" s="1079"/>
      <c r="AA155" s="1079"/>
      <c r="AB155" s="1084"/>
      <c r="AC155" s="1084"/>
      <c r="AD155" s="1066">
        <f t="shared" si="204"/>
        <v>0</v>
      </c>
      <c r="AE155" s="1066">
        <f t="shared" si="205"/>
        <v>0</v>
      </c>
    </row>
    <row r="156" spans="2:33" ht="30" customHeight="1">
      <c r="C156" s="1018" t="str">
        <f>+distribucion!G143</f>
        <v>PRODUCCION LIMPIEZA</v>
      </c>
      <c r="D156" s="1080"/>
      <c r="E156" s="1077"/>
      <c r="F156" s="1072"/>
      <c r="G156" s="1154"/>
      <c r="H156" s="1079"/>
      <c r="I156" s="1079"/>
      <c r="J156" s="1079"/>
      <c r="K156" s="1079"/>
      <c r="L156" s="1079"/>
      <c r="M156" s="1079"/>
      <c r="N156" s="1079"/>
      <c r="O156" s="1079"/>
      <c r="P156" s="1079"/>
      <c r="Q156" s="1079"/>
      <c r="R156" s="1079"/>
      <c r="S156" s="1079"/>
      <c r="T156" s="1079"/>
      <c r="U156" s="1079"/>
      <c r="V156" s="1079"/>
      <c r="W156" s="1079"/>
      <c r="X156" s="1079"/>
      <c r="Y156" s="1079"/>
      <c r="Z156" s="1079"/>
      <c r="AA156" s="1079"/>
      <c r="AB156" s="1084"/>
      <c r="AC156" s="1084"/>
      <c r="AD156" s="1066">
        <f t="shared" si="204"/>
        <v>0</v>
      </c>
      <c r="AE156" s="1066">
        <f t="shared" si="205"/>
        <v>0</v>
      </c>
    </row>
    <row r="157" spans="2:33" ht="30" customHeight="1">
      <c r="B157" s="1017">
        <v>50</v>
      </c>
      <c r="C157" s="1140" t="str">
        <f>+distribucion!G144</f>
        <v>Aragón Coronado Guillermo Giovanni</v>
      </c>
      <c r="D157" s="1136" t="str">
        <f>VLOOKUP(C157,distribucion!G$8:FP$153,2,0)</f>
        <v>Auxiliar de Limpieza</v>
      </c>
      <c r="E157" s="1071">
        <f t="shared" ref="E157:E158" si="214">H157+L157+N157+O157</f>
        <v>4002.28</v>
      </c>
      <c r="F157" s="1072">
        <f>VLOOKUP(C157,distribucion!G86:M172,7,FALSE)</f>
        <v>30</v>
      </c>
      <c r="G157" s="1073"/>
      <c r="H157" s="1064">
        <f>ROUND((VLOOKUP(C157,distribucion!G$1:FP$153,130,0)),2)</f>
        <v>4002.28</v>
      </c>
      <c r="I157" s="1064">
        <f>ROUND((VLOOKUP(C157,distribucion!G$8:FO$153,131,0)),2)</f>
        <v>300</v>
      </c>
      <c r="J157" s="1064">
        <f t="shared" ref="J157" si="215">H157+I157</f>
        <v>4302.2800000000007</v>
      </c>
      <c r="K157" s="1064">
        <f>VLOOKUP(C157,distribucion!G$8:FP$153,132,0)</f>
        <v>0</v>
      </c>
      <c r="L157" s="1064">
        <f>ROUND((VLOOKUP(C157,distribucion!G$8:FP$153,133,0)),2)</f>
        <v>0</v>
      </c>
      <c r="M157" s="1064">
        <f>VLOOKUP(C157,distribucion!G$8:FP$153,134,0)</f>
        <v>0</v>
      </c>
      <c r="N157" s="1064">
        <f>ROUND((VLOOKUP(C157,distribucion!G$8:FP$153,135,0)),2)</f>
        <v>0</v>
      </c>
      <c r="O157" s="1027">
        <v>0</v>
      </c>
      <c r="P157" s="1136">
        <v>0</v>
      </c>
      <c r="Q157" s="1137">
        <f>SUM(J157:P157)-K157-M157</f>
        <v>4302.2800000000007</v>
      </c>
      <c r="R157" s="1136">
        <f>ROUND(((H157+L157+N157+O157+P157)*0.0483),2)</f>
        <v>193.31</v>
      </c>
      <c r="S157" s="1136">
        <f>ROUND((VLOOKUP(C157,distribucion!G$8:FP$153,151,0)),2)</f>
        <v>0</v>
      </c>
      <c r="T157" s="1136">
        <f>ROUND((VLOOKUP(C157,distribucion!G$8:FP$153,152,0)),2)</f>
        <v>0</v>
      </c>
      <c r="U157" s="1136">
        <f>ROUND((VLOOKUP(C157,distribucion!G$8:FP$153,153,0)),2)</f>
        <v>0</v>
      </c>
      <c r="V157" s="1136">
        <f>ROUND((VLOOKUP(C157,distribucion!$G$1:$FJ$153,159,0)),2)</f>
        <v>0</v>
      </c>
      <c r="W157" s="1136">
        <f>ROUND((VLOOKUP(C157,distribucion!$G$1:$FJ$153,158,0)),2)</f>
        <v>0</v>
      </c>
      <c r="X157" s="1137">
        <f>ROUND((VLOOKUP(C157,distribucion!$G$1:$FJ$153,154,0)),2)</f>
        <v>184.5</v>
      </c>
      <c r="Y157" s="1136">
        <f>ROUND((VLOOKUP(C157,distribucion!G$8:FP$153,160,0)),2)</f>
        <v>0</v>
      </c>
      <c r="Z157" s="1138">
        <f>SUM(R157:Y157)</f>
        <v>377.81</v>
      </c>
      <c r="AA157" s="1139">
        <f>Q157-Z157</f>
        <v>3924.4700000000007</v>
      </c>
      <c r="AB157" s="1066">
        <v>1926.9800000000002</v>
      </c>
      <c r="AC157" s="1067">
        <f t="shared" ref="AC157:AC158" si="216">+AA157-AB157</f>
        <v>1997.4900000000005</v>
      </c>
      <c r="AD157" s="1066">
        <f t="shared" si="204"/>
        <v>0</v>
      </c>
      <c r="AE157" s="1066">
        <f t="shared" si="205"/>
        <v>0</v>
      </c>
    </row>
    <row r="158" spans="2:33" ht="30" customHeight="1">
      <c r="B158" s="1017">
        <v>51</v>
      </c>
      <c r="C158" s="1140" t="str">
        <f>+distribucion!G145</f>
        <v>Lopez Suran Neemias</v>
      </c>
      <c r="D158" s="1136" t="str">
        <f>VLOOKUP(C158,distribucion!G$8:FP$153,2,0)</f>
        <v>Auxiliar de Limpieza</v>
      </c>
      <c r="E158" s="1071">
        <f t="shared" si="214"/>
        <v>4002.28</v>
      </c>
      <c r="F158" s="1072">
        <f>VLOOKUP(C158,distribucion!G87:M173,7,FALSE)</f>
        <v>30</v>
      </c>
      <c r="G158" s="1073"/>
      <c r="H158" s="1149">
        <f>ROUND((VLOOKUP(C158,distribucion!G$1:FP$153,130,0)),2)</f>
        <v>4002.28</v>
      </c>
      <c r="I158" s="1149">
        <f>ROUND((VLOOKUP(C158,distribucion!G$8:FO$153,131,0)),2)</f>
        <v>2100</v>
      </c>
      <c r="J158" s="1149">
        <f t="shared" ref="J158" si="217">H158+I158</f>
        <v>6102.2800000000007</v>
      </c>
      <c r="K158" s="1149">
        <f>VLOOKUP(C158,distribucion!G$8:FP$153,132,0)</f>
        <v>0</v>
      </c>
      <c r="L158" s="1149">
        <f>ROUND((VLOOKUP(C158,distribucion!G$8:FP$153,133,0)),2)</f>
        <v>0</v>
      </c>
      <c r="M158" s="1149">
        <f>VLOOKUP(C158,distribucion!G$8:FP$153,134,0)</f>
        <v>0</v>
      </c>
      <c r="N158" s="1149">
        <f>ROUND((VLOOKUP(C158,distribucion!G$8:FP$153,135,0)),2)</f>
        <v>0</v>
      </c>
      <c r="O158" s="1097">
        <v>0</v>
      </c>
      <c r="P158" s="1150">
        <v>0</v>
      </c>
      <c r="Q158" s="1151">
        <f>SUM(J158:P158)-K158-M158</f>
        <v>6102.2800000000007</v>
      </c>
      <c r="R158" s="1150">
        <f>ROUND(((H158+L158+N158+O158+P158)*0.0483),2)</f>
        <v>193.31</v>
      </c>
      <c r="S158" s="1150">
        <f>ROUND((VLOOKUP(C158,distribucion!G$8:FP$153,151,0)),2)</f>
        <v>0</v>
      </c>
      <c r="T158" s="1150">
        <f>ROUND((VLOOKUP(C158,distribucion!G$8:FP$153,152,0)),2)</f>
        <v>0</v>
      </c>
      <c r="U158" s="1150">
        <f>ROUND((VLOOKUP(C158,distribucion!G$8:FP$153,153,0)),2)</f>
        <v>0</v>
      </c>
      <c r="V158" s="1150">
        <f>ROUND((VLOOKUP(C158,distribucion!$G$1:$FJ$153,159,0)),2)</f>
        <v>0</v>
      </c>
      <c r="W158" s="1150">
        <f>ROUND((VLOOKUP(C158,distribucion!$G$1:$FJ$153,158,0)),2)</f>
        <v>0</v>
      </c>
      <c r="X158" s="1151">
        <f>ROUND((VLOOKUP(C158,distribucion!$G$1:$FJ$153,154,0)),2)</f>
        <v>0</v>
      </c>
      <c r="Y158" s="1150">
        <f>ROUND((VLOOKUP(C158,distribucion!G$8:FP$153,160,0)),2)</f>
        <v>0</v>
      </c>
      <c r="Z158" s="1152">
        <f>SUM(R158:Y158)</f>
        <v>193.31</v>
      </c>
      <c r="AA158" s="1153">
        <f>Q158-Z158</f>
        <v>5908.97</v>
      </c>
      <c r="AB158" s="1066">
        <v>2029.4800000000002</v>
      </c>
      <c r="AC158" s="1067">
        <f t="shared" si="216"/>
        <v>3879.49</v>
      </c>
      <c r="AD158" s="1066">
        <f t="shared" si="204"/>
        <v>0</v>
      </c>
      <c r="AE158" s="1066">
        <f t="shared" si="205"/>
        <v>0</v>
      </c>
    </row>
    <row r="159" spans="2:33" ht="30" customHeight="1">
      <c r="D159" s="1136"/>
      <c r="E159" s="1077"/>
      <c r="F159" s="1072"/>
      <c r="G159" s="1073"/>
      <c r="H159" s="1064"/>
      <c r="I159" s="1064"/>
      <c r="J159" s="1064"/>
      <c r="K159" s="1064"/>
      <c r="L159" s="1064"/>
      <c r="M159" s="1064"/>
      <c r="N159" s="1064"/>
      <c r="O159" s="1027"/>
      <c r="P159" s="1136"/>
      <c r="Q159" s="1137"/>
      <c r="R159" s="1136"/>
      <c r="S159" s="1136"/>
      <c r="T159" s="1136"/>
      <c r="U159" s="1136"/>
      <c r="V159" s="1136"/>
      <c r="W159" s="1136"/>
      <c r="X159" s="1137"/>
      <c r="Y159" s="1136"/>
      <c r="Z159" s="1138"/>
      <c r="AA159" s="1139"/>
      <c r="AB159" s="1066"/>
      <c r="AC159" s="1067"/>
      <c r="AD159" s="1066">
        <f t="shared" si="204"/>
        <v>0</v>
      </c>
      <c r="AE159" s="1066">
        <f t="shared" si="205"/>
        <v>0</v>
      </c>
    </row>
    <row r="160" spans="2:33" s="1168" customFormat="1" ht="30" customHeight="1">
      <c r="B160" s="1164"/>
      <c r="C160" s="1165"/>
      <c r="D160" s="1173" t="s">
        <v>130</v>
      </c>
      <c r="E160" s="1171"/>
      <c r="F160" s="1166"/>
      <c r="G160" s="1175"/>
      <c r="H160" s="1083">
        <f>SUM(H157:H159)</f>
        <v>8004.56</v>
      </c>
      <c r="I160" s="1083">
        <f t="shared" ref="I160:AB160" si="218">SUM(I157:I159)</f>
        <v>2400</v>
      </c>
      <c r="J160" s="1083">
        <f t="shared" si="218"/>
        <v>10404.560000000001</v>
      </c>
      <c r="K160" s="1083">
        <f t="shared" si="218"/>
        <v>0</v>
      </c>
      <c r="L160" s="1083">
        <f t="shared" si="218"/>
        <v>0</v>
      </c>
      <c r="M160" s="1083">
        <f t="shared" si="218"/>
        <v>0</v>
      </c>
      <c r="N160" s="1083">
        <f t="shared" si="218"/>
        <v>0</v>
      </c>
      <c r="O160" s="1083">
        <f t="shared" si="218"/>
        <v>0</v>
      </c>
      <c r="P160" s="1083">
        <f t="shared" si="218"/>
        <v>0</v>
      </c>
      <c r="Q160" s="1083">
        <f t="shared" si="218"/>
        <v>10404.560000000001</v>
      </c>
      <c r="R160" s="1083">
        <f t="shared" si="218"/>
        <v>386.62</v>
      </c>
      <c r="S160" s="1083">
        <f t="shared" si="218"/>
        <v>0</v>
      </c>
      <c r="T160" s="1083">
        <f t="shared" si="218"/>
        <v>0</v>
      </c>
      <c r="U160" s="1083">
        <f t="shared" si="218"/>
        <v>0</v>
      </c>
      <c r="V160" s="1083">
        <f t="shared" si="218"/>
        <v>0</v>
      </c>
      <c r="W160" s="1083">
        <f t="shared" si="218"/>
        <v>0</v>
      </c>
      <c r="X160" s="1083">
        <f t="shared" si="218"/>
        <v>184.5</v>
      </c>
      <c r="Y160" s="1083">
        <f t="shared" si="218"/>
        <v>0</v>
      </c>
      <c r="Z160" s="1083">
        <f t="shared" si="218"/>
        <v>571.12</v>
      </c>
      <c r="AA160" s="1083">
        <f>SUM(AA157:AA159)</f>
        <v>9833.44</v>
      </c>
      <c r="AB160" s="1083">
        <f t="shared" si="218"/>
        <v>3956.4600000000005</v>
      </c>
      <c r="AC160" s="1083">
        <f>SUM(AC157:AC159)</f>
        <v>5876.9800000000005</v>
      </c>
      <c r="AD160" s="1066">
        <f t="shared" si="204"/>
        <v>0</v>
      </c>
      <c r="AE160" s="1066">
        <f t="shared" si="205"/>
        <v>0</v>
      </c>
    </row>
    <row r="161" spans="2:33" ht="30" customHeight="1">
      <c r="D161" s="1080"/>
      <c r="E161" s="1077"/>
      <c r="F161" s="1072"/>
      <c r="G161" s="1154"/>
      <c r="H161" s="1079"/>
      <c r="I161" s="1079"/>
      <c r="J161" s="1079"/>
      <c r="K161" s="1079"/>
      <c r="L161" s="1079"/>
      <c r="M161" s="1079"/>
      <c r="N161" s="1079"/>
      <c r="O161" s="1079"/>
      <c r="P161" s="1079"/>
      <c r="Q161" s="1079"/>
      <c r="R161" s="1079"/>
      <c r="S161" s="1079"/>
      <c r="T161" s="1079"/>
      <c r="U161" s="1079"/>
      <c r="V161" s="1079"/>
      <c r="W161" s="1079"/>
      <c r="X161" s="1079"/>
      <c r="Y161" s="1079"/>
      <c r="Z161" s="1079"/>
      <c r="AA161" s="1079"/>
      <c r="AB161" s="1084"/>
      <c r="AC161" s="1084"/>
      <c r="AD161" s="1066">
        <f t="shared" si="204"/>
        <v>0</v>
      </c>
      <c r="AE161" s="1066">
        <f t="shared" si="205"/>
        <v>0</v>
      </c>
    </row>
    <row r="162" spans="2:33" ht="30" customHeight="1">
      <c r="D162" s="1080"/>
      <c r="E162" s="1077"/>
      <c r="F162" s="1072"/>
      <c r="G162" s="1154"/>
      <c r="H162" s="1079"/>
      <c r="I162" s="1079"/>
      <c r="J162" s="1079"/>
      <c r="K162" s="1079"/>
      <c r="L162" s="1079"/>
      <c r="M162" s="1079"/>
      <c r="N162" s="1079"/>
      <c r="O162" s="1079"/>
      <c r="P162" s="1079"/>
      <c r="Q162" s="1079"/>
      <c r="R162" s="1079"/>
      <c r="S162" s="1079"/>
      <c r="T162" s="1079"/>
      <c r="U162" s="1079"/>
      <c r="V162" s="1079"/>
      <c r="W162" s="1079"/>
      <c r="X162" s="1079"/>
      <c r="Y162" s="1079"/>
      <c r="Z162" s="1079"/>
      <c r="AA162" s="1079"/>
      <c r="AB162" s="1084"/>
      <c r="AC162" s="1084"/>
      <c r="AD162" s="1066">
        <f t="shared" si="204"/>
        <v>0</v>
      </c>
      <c r="AE162" s="1066">
        <f t="shared" si="205"/>
        <v>0</v>
      </c>
    </row>
    <row r="163" spans="2:33" ht="30" customHeight="1">
      <c r="D163" s="1080"/>
      <c r="E163" s="1077"/>
      <c r="F163" s="1072"/>
      <c r="G163" s="1154"/>
      <c r="H163" s="1079"/>
      <c r="I163" s="1079"/>
      <c r="J163" s="1079"/>
      <c r="K163" s="1079"/>
      <c r="L163" s="1079"/>
      <c r="M163" s="1079"/>
      <c r="N163" s="1079"/>
      <c r="O163" s="1079"/>
      <c r="P163" s="1079"/>
      <c r="Q163" s="1079"/>
      <c r="R163" s="1079"/>
      <c r="S163" s="1079"/>
      <c r="T163" s="1079"/>
      <c r="U163" s="1079"/>
      <c r="V163" s="1079"/>
      <c r="W163" s="1079"/>
      <c r="X163" s="1079"/>
      <c r="Y163" s="1079"/>
      <c r="Z163" s="1079"/>
      <c r="AA163" s="1079"/>
      <c r="AB163" s="1084"/>
      <c r="AC163" s="1084"/>
      <c r="AD163" s="1066">
        <f t="shared" si="204"/>
        <v>0</v>
      </c>
      <c r="AE163" s="1066">
        <f t="shared" si="205"/>
        <v>0</v>
      </c>
    </row>
    <row r="164" spans="2:33" ht="30" customHeight="1">
      <c r="C164" s="980"/>
      <c r="D164" s="1080"/>
      <c r="E164" s="1020"/>
      <c r="F164" s="1019"/>
      <c r="G164" s="1019"/>
      <c r="H164" s="1021"/>
      <c r="I164" s="1021"/>
      <c r="J164" s="1021"/>
      <c r="K164" s="1021"/>
      <c r="L164" s="1021"/>
      <c r="M164" s="1021"/>
      <c r="N164" s="1021"/>
      <c r="O164" s="1021"/>
      <c r="P164" s="1021"/>
      <c r="Q164" s="1021"/>
      <c r="R164" s="1021"/>
      <c r="S164" s="1021"/>
      <c r="T164" s="1021"/>
      <c r="U164" s="1021"/>
      <c r="V164" s="1021"/>
      <c r="W164" s="1021"/>
      <c r="X164" s="1021"/>
      <c r="Y164" s="1021"/>
      <c r="Z164" s="1021"/>
      <c r="AA164" s="1021"/>
      <c r="AB164" s="1112"/>
      <c r="AC164" s="1106"/>
      <c r="AD164" s="1066">
        <f t="shared" si="204"/>
        <v>0</v>
      </c>
      <c r="AE164" s="1066">
        <f t="shared" si="205"/>
        <v>0</v>
      </c>
    </row>
    <row r="165" spans="2:33" ht="30" customHeight="1">
      <c r="C165" s="1029"/>
      <c r="D165" s="1019"/>
      <c r="E165" s="1020"/>
      <c r="F165" s="1019"/>
      <c r="G165" s="1019"/>
      <c r="H165" s="1021"/>
      <c r="I165" s="1021"/>
      <c r="J165" s="1021"/>
      <c r="K165" s="1021"/>
      <c r="L165" s="1021"/>
      <c r="M165" s="1021"/>
      <c r="N165" s="1021"/>
      <c r="O165" s="1021"/>
      <c r="P165" s="1021"/>
      <c r="Q165" s="1021"/>
      <c r="R165" s="1021"/>
      <c r="S165" s="1021"/>
      <c r="T165" s="1021"/>
      <c r="U165" s="1021"/>
      <c r="V165" s="1021"/>
      <c r="W165" s="1021"/>
      <c r="X165" s="1021"/>
      <c r="Y165" s="1021"/>
      <c r="Z165" s="1021"/>
      <c r="AA165" s="1021"/>
      <c r="AB165" s="1112"/>
      <c r="AC165" s="1106"/>
      <c r="AD165" s="1066">
        <f t="shared" si="204"/>
        <v>0</v>
      </c>
      <c r="AE165" s="1066">
        <f t="shared" si="205"/>
        <v>0</v>
      </c>
    </row>
    <row r="166" spans="2:33" s="1034" customFormat="1" ht="61.9" customHeight="1" thickBot="1">
      <c r="C166" s="1035"/>
      <c r="D166" s="1036" t="s">
        <v>697</v>
      </c>
      <c r="E166" s="1037" t="s">
        <v>52</v>
      </c>
      <c r="F166" s="1036"/>
      <c r="G166" s="1036"/>
      <c r="H166" s="1038">
        <f t="shared" ref="H166:AC166" si="219">H13+H30+H36+H43+H95+H103+H111+H136+H17+H21+H48+H60+H69+H124+H146+H153+H160</f>
        <v>286457.98</v>
      </c>
      <c r="I166" s="1038">
        <f t="shared" si="219"/>
        <v>93181.040000000008</v>
      </c>
      <c r="J166" s="1038">
        <f t="shared" si="219"/>
        <v>379639.02</v>
      </c>
      <c r="K166" s="1038">
        <f t="shared" si="219"/>
        <v>383.5</v>
      </c>
      <c r="L166" s="1038">
        <f t="shared" si="219"/>
        <v>10358.539999999999</v>
      </c>
      <c r="M166" s="1038">
        <f t="shared" si="219"/>
        <v>0</v>
      </c>
      <c r="N166" s="1038">
        <f t="shared" si="219"/>
        <v>0</v>
      </c>
      <c r="O166" s="1038">
        <f t="shared" si="219"/>
        <v>0</v>
      </c>
      <c r="P166" s="1038">
        <f t="shared" si="219"/>
        <v>700</v>
      </c>
      <c r="Q166" s="1038">
        <f t="shared" si="219"/>
        <v>390697.56</v>
      </c>
      <c r="R166" s="1038">
        <f t="shared" si="219"/>
        <v>14296.850000000002</v>
      </c>
      <c r="S166" s="1038">
        <f t="shared" si="219"/>
        <v>9210.2800000000007</v>
      </c>
      <c r="T166" s="1038">
        <f t="shared" si="219"/>
        <v>12153.59</v>
      </c>
      <c r="U166" s="1038">
        <f t="shared" si="219"/>
        <v>850</v>
      </c>
      <c r="V166" s="1038">
        <f t="shared" si="219"/>
        <v>626.86</v>
      </c>
      <c r="W166" s="1038">
        <f t="shared" si="219"/>
        <v>0</v>
      </c>
      <c r="X166" s="1038">
        <f t="shared" si="219"/>
        <v>7892.5</v>
      </c>
      <c r="Y166" s="1038">
        <f t="shared" si="219"/>
        <v>4220.2</v>
      </c>
      <c r="Z166" s="1038">
        <f t="shared" si="219"/>
        <v>49250.280000000006</v>
      </c>
      <c r="AA166" s="1038">
        <f t="shared" si="219"/>
        <v>341447.28</v>
      </c>
      <c r="AB166" s="1038">
        <f t="shared" si="219"/>
        <v>159540.87</v>
      </c>
      <c r="AC166" s="1038">
        <f t="shared" si="219"/>
        <v>181906.41000000003</v>
      </c>
      <c r="AD166" s="1066">
        <f t="shared" si="204"/>
        <v>0</v>
      </c>
      <c r="AE166" s="1066">
        <f t="shared" si="205"/>
        <v>0</v>
      </c>
      <c r="AG166" s="1017"/>
    </row>
    <row r="167" spans="2:33" ht="25.15" customHeight="1" thickTop="1">
      <c r="D167" s="1019"/>
      <c r="E167" s="1020"/>
      <c r="F167" s="1019"/>
      <c r="G167" s="1019"/>
      <c r="H167" s="1021"/>
      <c r="I167" s="1021"/>
      <c r="J167" s="1021"/>
      <c r="K167" s="1021"/>
      <c r="L167" s="1021"/>
      <c r="M167" s="1021"/>
      <c r="N167" s="1021"/>
      <c r="O167" s="1021"/>
      <c r="P167" s="1021"/>
      <c r="Q167" s="1021"/>
      <c r="R167" s="1021"/>
      <c r="S167" s="1021"/>
      <c r="T167" s="1021"/>
      <c r="U167" s="1021"/>
      <c r="V167" s="1021"/>
      <c r="W167" s="1021"/>
      <c r="X167" s="1021"/>
      <c r="Y167" s="1021"/>
      <c r="Z167" s="1021"/>
      <c r="AA167" s="1021"/>
      <c r="AB167" s="1021"/>
      <c r="AC167" s="1021"/>
      <c r="AD167" s="1066">
        <f t="shared" si="204"/>
        <v>0</v>
      </c>
      <c r="AE167" s="1066">
        <f t="shared" si="205"/>
        <v>0</v>
      </c>
    </row>
    <row r="168" spans="2:33" s="1032" customFormat="1" ht="25.15" customHeight="1">
      <c r="B168" s="980"/>
      <c r="C168" s="1155"/>
      <c r="D168" s="1020"/>
      <c r="E168" s="1020"/>
      <c r="F168" s="1020"/>
      <c r="G168" s="1020"/>
      <c r="H168" s="1156">
        <f t="shared" ref="H168:AC168" si="220">SUM(H10:H166)-H166-H160-H153-H146-H136-H124-H111-H103-H95-H69-H60-H48-H43-H36-H30-H23-H17-H21-H13</f>
        <v>286457.98</v>
      </c>
      <c r="I168" s="1156">
        <f t="shared" si="220"/>
        <v>93181.040000000008</v>
      </c>
      <c r="J168" s="1156">
        <f t="shared" si="220"/>
        <v>379639.02000000025</v>
      </c>
      <c r="K168" s="1156">
        <f t="shared" si="220"/>
        <v>383.5</v>
      </c>
      <c r="L168" s="1156">
        <f t="shared" si="220"/>
        <v>10358.539999999999</v>
      </c>
      <c r="M168" s="1156">
        <f t="shared" si="220"/>
        <v>0</v>
      </c>
      <c r="N168" s="1156">
        <f t="shared" si="220"/>
        <v>0</v>
      </c>
      <c r="O168" s="1156">
        <f t="shared" si="220"/>
        <v>0</v>
      </c>
      <c r="P168" s="1156">
        <f t="shared" si="220"/>
        <v>700</v>
      </c>
      <c r="Q168" s="1156">
        <f t="shared" si="220"/>
        <v>390697.56000000006</v>
      </c>
      <c r="R168" s="1156">
        <f t="shared" si="220"/>
        <v>14296.850000000008</v>
      </c>
      <c r="S168" s="1156">
        <f t="shared" si="220"/>
        <v>9210.2800000000043</v>
      </c>
      <c r="T168" s="1156">
        <f t="shared" si="220"/>
        <v>12153.590000000004</v>
      </c>
      <c r="U168" s="1156">
        <f t="shared" si="220"/>
        <v>850</v>
      </c>
      <c r="V168" s="1156">
        <f t="shared" si="220"/>
        <v>626.85999999999979</v>
      </c>
      <c r="W168" s="1156">
        <f t="shared" si="220"/>
        <v>0</v>
      </c>
      <c r="X168" s="1156">
        <f t="shared" si="220"/>
        <v>7892.5</v>
      </c>
      <c r="Y168" s="1156">
        <f t="shared" si="220"/>
        <v>4220.199999999998</v>
      </c>
      <c r="Z168" s="1156">
        <f t="shared" si="220"/>
        <v>49250.279999999977</v>
      </c>
      <c r="AA168" s="1156">
        <f t="shared" si="220"/>
        <v>341447.27999999991</v>
      </c>
      <c r="AB168" s="1156">
        <f t="shared" si="220"/>
        <v>159540.87000000002</v>
      </c>
      <c r="AC168" s="1156">
        <f t="shared" si="220"/>
        <v>181906.41</v>
      </c>
      <c r="AD168" s="1066">
        <f t="shared" si="204"/>
        <v>0</v>
      </c>
      <c r="AE168" s="1066">
        <f t="shared" si="205"/>
        <v>0</v>
      </c>
    </row>
    <row r="169" spans="2:33" s="1032" customFormat="1" ht="25.15" customHeight="1">
      <c r="B169" s="1025"/>
      <c r="C169" s="1155"/>
      <c r="D169" s="1020"/>
      <c r="E169" s="1020"/>
      <c r="F169" s="1020"/>
      <c r="G169" s="1020"/>
      <c r="H169" s="1156"/>
      <c r="I169" s="1156"/>
      <c r="J169" s="1156"/>
      <c r="K169" s="1156"/>
      <c r="L169" s="1156"/>
      <c r="M169" s="1156"/>
      <c r="N169" s="1156"/>
      <c r="O169" s="1156"/>
      <c r="P169" s="1156"/>
      <c r="Q169" s="1156"/>
      <c r="R169" s="1156"/>
      <c r="S169" s="1156"/>
      <c r="T169" s="1156"/>
      <c r="U169" s="1156"/>
      <c r="V169" s="1156"/>
      <c r="W169" s="1156"/>
      <c r="X169" s="1156"/>
      <c r="Y169" s="1156"/>
      <c r="Z169" s="1156"/>
      <c r="AA169" s="1156"/>
      <c r="AB169" s="1156"/>
      <c r="AC169" s="1156"/>
      <c r="AD169" s="1157"/>
    </row>
    <row r="170" spans="2:33" s="1032" customFormat="1" ht="25.15" customHeight="1">
      <c r="B170" s="1025"/>
      <c r="C170" s="1155"/>
      <c r="D170" s="1020"/>
      <c r="E170" s="1020"/>
      <c r="F170" s="1020"/>
      <c r="G170" s="1020"/>
      <c r="H170" s="1156">
        <f>H166-H168</f>
        <v>0</v>
      </c>
      <c r="I170" s="1156">
        <f t="shared" ref="I170:AC170" si="221">I166-I168</f>
        <v>0</v>
      </c>
      <c r="J170" s="1156">
        <f t="shared" si="221"/>
        <v>0</v>
      </c>
      <c r="K170" s="1156">
        <f t="shared" si="221"/>
        <v>0</v>
      </c>
      <c r="L170" s="1156">
        <f t="shared" si="221"/>
        <v>0</v>
      </c>
      <c r="M170" s="1156">
        <f t="shared" si="221"/>
        <v>0</v>
      </c>
      <c r="N170" s="1156">
        <f t="shared" si="221"/>
        <v>0</v>
      </c>
      <c r="O170" s="1156">
        <f t="shared" si="221"/>
        <v>0</v>
      </c>
      <c r="P170" s="1156">
        <f t="shared" si="221"/>
        <v>0</v>
      </c>
      <c r="Q170" s="1156">
        <f t="shared" si="221"/>
        <v>0</v>
      </c>
      <c r="R170" s="1156">
        <f t="shared" si="221"/>
        <v>0</v>
      </c>
      <c r="S170" s="1156">
        <f t="shared" si="221"/>
        <v>0</v>
      </c>
      <c r="T170" s="1156">
        <f t="shared" si="221"/>
        <v>0</v>
      </c>
      <c r="U170" s="1156">
        <f t="shared" si="221"/>
        <v>0</v>
      </c>
      <c r="V170" s="1156">
        <f t="shared" si="221"/>
        <v>0</v>
      </c>
      <c r="W170" s="1156">
        <f t="shared" si="221"/>
        <v>0</v>
      </c>
      <c r="X170" s="1156">
        <f t="shared" si="221"/>
        <v>0</v>
      </c>
      <c r="Y170" s="1156">
        <f t="shared" si="221"/>
        <v>0</v>
      </c>
      <c r="Z170" s="1156">
        <f t="shared" si="221"/>
        <v>0</v>
      </c>
      <c r="AA170" s="1156">
        <f t="shared" si="221"/>
        <v>0</v>
      </c>
      <c r="AB170" s="1156">
        <f t="shared" si="221"/>
        <v>0</v>
      </c>
      <c r="AC170" s="1156">
        <f t="shared" si="221"/>
        <v>0</v>
      </c>
      <c r="AD170" s="1157"/>
    </row>
    <row r="171" spans="2:33" s="1032" customFormat="1" ht="25.15" customHeight="1">
      <c r="B171" s="1025"/>
      <c r="C171" s="1155"/>
      <c r="D171" s="1020"/>
      <c r="E171" s="1020"/>
      <c r="F171" s="1020"/>
      <c r="G171" s="1020"/>
      <c r="H171" s="1156"/>
      <c r="I171" s="1156"/>
      <c r="J171" s="1156"/>
      <c r="K171" s="1156"/>
      <c r="L171" s="1156"/>
      <c r="M171" s="1156"/>
      <c r="N171" s="1156"/>
      <c r="O171" s="1156"/>
      <c r="P171" s="1156"/>
      <c r="Q171" s="1156"/>
      <c r="R171" s="1156"/>
      <c r="S171" s="1156"/>
      <c r="T171" s="1156"/>
      <c r="U171" s="1156"/>
      <c r="V171" s="1156"/>
      <c r="W171" s="1156"/>
      <c r="X171" s="1156"/>
      <c r="Y171" s="1156"/>
      <c r="Z171" s="1156"/>
      <c r="AA171" s="1156"/>
      <c r="AB171" s="1067"/>
      <c r="AC171" s="1067"/>
      <c r="AD171" s="1157"/>
    </row>
    <row r="172" spans="2:33" s="1032" customFormat="1" ht="25.15" customHeight="1">
      <c r="B172" s="1025"/>
      <c r="C172" s="1155"/>
      <c r="D172" s="1020"/>
      <c r="E172" s="1020"/>
      <c r="F172" s="1020"/>
      <c r="G172" s="1020"/>
      <c r="H172" s="1156"/>
      <c r="I172" s="1156"/>
      <c r="J172" s="1156"/>
      <c r="K172" s="1156"/>
      <c r="L172" s="1156"/>
      <c r="M172" s="1156"/>
      <c r="N172" s="1156"/>
      <c r="O172" s="1156"/>
      <c r="P172" s="1156"/>
      <c r="Q172" s="1156"/>
      <c r="R172" s="1156"/>
      <c r="S172" s="1156"/>
      <c r="T172" s="1156"/>
      <c r="U172" s="1156"/>
      <c r="V172" s="1156"/>
      <c r="W172" s="1156"/>
      <c r="X172" s="1156"/>
      <c r="Y172" s="1156"/>
      <c r="Z172" s="1156"/>
      <c r="AA172" s="1156"/>
      <c r="AB172" s="1067"/>
      <c r="AC172" s="1067"/>
      <c r="AD172" s="1157"/>
    </row>
    <row r="173" spans="2:33" s="1032" customFormat="1" ht="25.15" customHeight="1">
      <c r="B173" s="1025"/>
      <c r="C173" s="1155"/>
      <c r="D173" s="1020"/>
      <c r="E173" s="1020"/>
      <c r="F173" s="1020"/>
      <c r="G173" s="1020"/>
      <c r="H173" s="1158"/>
      <c r="I173" s="1158"/>
      <c r="J173" s="1158"/>
      <c r="K173" s="1158"/>
      <c r="L173" s="1158"/>
      <c r="M173" s="1158"/>
      <c r="N173" s="1158"/>
      <c r="O173" s="1158"/>
      <c r="P173" s="1158"/>
      <c r="Q173" s="1158"/>
      <c r="R173" s="1158"/>
      <c r="S173" s="1158"/>
      <c r="T173" s="1158"/>
      <c r="U173" s="1158"/>
      <c r="V173" s="1158"/>
      <c r="W173" s="1158"/>
      <c r="X173" s="1158"/>
      <c r="Y173" s="1158"/>
      <c r="Z173" s="1158"/>
      <c r="AA173" s="1158"/>
      <c r="AB173" s="1123"/>
      <c r="AC173" s="1067"/>
      <c r="AD173" s="1157"/>
    </row>
    <row r="174" spans="2:33" ht="25.15" customHeight="1">
      <c r="D174" s="1019"/>
      <c r="E174" s="1020"/>
      <c r="F174" s="1019"/>
      <c r="G174" s="1019"/>
      <c r="H174" s="1021"/>
      <c r="I174" s="1021"/>
      <c r="J174" s="1021"/>
      <c r="K174" s="1021"/>
      <c r="L174" s="1021"/>
      <c r="M174" s="1021"/>
      <c r="N174" s="1021"/>
      <c r="O174" s="1021"/>
      <c r="P174" s="1021"/>
      <c r="Q174" s="1021"/>
      <c r="R174" s="1021"/>
      <c r="S174" s="1021"/>
      <c r="T174" s="1021"/>
      <c r="U174" s="1021"/>
      <c r="V174" s="1021"/>
      <c r="W174" s="1021"/>
      <c r="X174" s="1021"/>
      <c r="Y174" s="1021"/>
      <c r="Z174" s="1021"/>
      <c r="AA174" s="1105"/>
      <c r="AB174" s="1067"/>
      <c r="AC174" s="1106"/>
    </row>
    <row r="175" spans="2:33" s="1017" customFormat="1" ht="25.15" customHeight="1">
      <c r="B175" s="1022"/>
      <c r="C175" s="1023" t="s">
        <v>605</v>
      </c>
      <c r="D175" s="1024"/>
      <c r="E175" s="1025"/>
      <c r="H175" s="1026"/>
      <c r="I175" s="1027"/>
      <c r="J175" s="1028" t="s">
        <v>607</v>
      </c>
      <c r="K175" s="1028"/>
      <c r="L175" s="1028"/>
      <c r="M175" s="1027"/>
      <c r="N175" s="1027"/>
      <c r="O175" s="1027"/>
      <c r="P175" s="1027"/>
      <c r="Q175" s="1027"/>
      <c r="R175" s="1027"/>
      <c r="S175" s="1027"/>
      <c r="T175" s="1027"/>
      <c r="U175" s="1027"/>
      <c r="V175" s="1027"/>
      <c r="W175" s="1027"/>
      <c r="X175" s="1027"/>
      <c r="Y175" s="1027"/>
      <c r="Z175" s="1066"/>
      <c r="AA175" s="1107"/>
      <c r="AB175" s="1108"/>
      <c r="AC175" s="1067"/>
      <c r="AD175" s="1067"/>
      <c r="AG175" s="1109"/>
    </row>
    <row r="176" spans="2:33" ht="25.15" customHeight="1">
      <c r="E176" s="1025"/>
      <c r="F176" s="1017"/>
      <c r="G176" s="1017"/>
      <c r="H176" s="1027"/>
      <c r="I176" s="1027"/>
      <c r="J176" s="1027"/>
      <c r="K176" s="1027"/>
      <c r="L176" s="1027"/>
      <c r="M176" s="1027"/>
      <c r="N176" s="1027"/>
      <c r="O176" s="1027"/>
      <c r="P176" s="1027"/>
      <c r="Q176" s="1027"/>
      <c r="R176" s="1027"/>
      <c r="S176" s="1027"/>
      <c r="T176" s="1027"/>
      <c r="U176" s="1027"/>
      <c r="V176" s="1027"/>
      <c r="W176" s="1027"/>
      <c r="X176" s="1027"/>
      <c r="Y176" s="1027"/>
      <c r="Z176" s="1066"/>
      <c r="AA176" s="1108"/>
      <c r="AB176" s="1108"/>
      <c r="AC176" s="1108"/>
      <c r="AD176" s="1110"/>
    </row>
    <row r="177" spans="2:30" ht="25.15" customHeight="1">
      <c r="E177" s="1025"/>
      <c r="F177" s="1017"/>
      <c r="G177" s="1017"/>
      <c r="H177" s="1027"/>
      <c r="I177" s="1027"/>
      <c r="J177" s="1027"/>
      <c r="K177" s="1027"/>
      <c r="L177" s="1027"/>
      <c r="M177" s="1027"/>
      <c r="N177" s="1027"/>
      <c r="O177" s="1027"/>
      <c r="P177" s="1027"/>
      <c r="Q177" s="1027"/>
      <c r="R177" s="1027"/>
      <c r="S177" s="1027"/>
      <c r="T177" s="1027"/>
      <c r="U177" s="1027"/>
      <c r="V177" s="1027"/>
      <c r="W177" s="1027"/>
      <c r="X177" s="1027"/>
      <c r="Y177" s="1027"/>
      <c r="AA177" s="1108"/>
      <c r="AB177" s="1159"/>
      <c r="AC177" s="1108"/>
      <c r="AD177" s="1110"/>
    </row>
    <row r="178" spans="2:30" ht="25.15" customHeight="1">
      <c r="E178" s="1025"/>
      <c r="F178" s="1017"/>
      <c r="G178" s="1017"/>
      <c r="H178" s="1027"/>
      <c r="I178" s="1027"/>
      <c r="J178" s="1027"/>
      <c r="K178" s="1027"/>
      <c r="L178" s="1027"/>
      <c r="M178" s="1027"/>
      <c r="N178" s="1027"/>
      <c r="O178" s="1027"/>
      <c r="P178" s="1027"/>
      <c r="Q178" s="1027"/>
      <c r="R178" s="1027"/>
      <c r="S178" s="1027"/>
      <c r="T178" s="1027"/>
      <c r="U178" s="1027"/>
      <c r="V178" s="1027"/>
      <c r="W178" s="1027"/>
      <c r="X178" s="1027"/>
      <c r="Y178" s="1027"/>
      <c r="AA178" s="1108"/>
      <c r="AB178" s="1159"/>
      <c r="AC178" s="1108"/>
      <c r="AD178" s="1110"/>
    </row>
    <row r="179" spans="2:30" ht="25.15" customHeight="1">
      <c r="E179" s="1025"/>
      <c r="F179" s="1017"/>
      <c r="G179" s="1017"/>
      <c r="H179" s="1027"/>
      <c r="I179" s="1027"/>
      <c r="J179" s="1027"/>
      <c r="K179" s="1027"/>
      <c r="L179" s="1027"/>
      <c r="M179" s="1027"/>
      <c r="N179" s="1027"/>
      <c r="O179" s="1027"/>
      <c r="P179" s="1027"/>
      <c r="Q179" s="1027"/>
      <c r="R179" s="1027"/>
      <c r="S179" s="1027"/>
      <c r="T179" s="1027"/>
      <c r="U179" s="1027"/>
      <c r="V179" s="1027"/>
      <c r="W179" s="1027"/>
      <c r="X179" s="1027"/>
      <c r="Y179" s="1027"/>
      <c r="AA179" s="1095"/>
      <c r="AB179" s="1111"/>
      <c r="AC179" s="1095"/>
      <c r="AD179" s="1110"/>
    </row>
    <row r="180" spans="2:30" ht="25.15" customHeight="1">
      <c r="E180" s="1025"/>
      <c r="F180" s="1017"/>
      <c r="G180" s="1017"/>
      <c r="H180" s="1027"/>
      <c r="I180" s="1027"/>
      <c r="J180" s="1027"/>
      <c r="K180" s="1027"/>
      <c r="L180" s="1027"/>
      <c r="M180" s="1027"/>
      <c r="N180" s="1027"/>
      <c r="O180" s="1027"/>
      <c r="P180" s="1027"/>
      <c r="Q180" s="1027"/>
      <c r="R180" s="1027"/>
      <c r="S180" s="1027"/>
      <c r="T180" s="1027"/>
      <c r="U180" s="1027"/>
      <c r="V180" s="1027"/>
      <c r="W180" s="1027"/>
      <c r="X180" s="1027"/>
      <c r="Y180" s="1027"/>
      <c r="AA180" s="1095"/>
      <c r="AB180" s="1111"/>
      <c r="AC180" s="1095"/>
      <c r="AD180" s="1110"/>
    </row>
    <row r="181" spans="2:30" ht="25.15" customHeight="1">
      <c r="E181" s="1025"/>
      <c r="F181" s="1017"/>
      <c r="G181" s="1017"/>
      <c r="H181" s="1027"/>
      <c r="I181" s="1027"/>
      <c r="J181" s="1027"/>
      <c r="K181" s="1027"/>
      <c r="L181" s="1027"/>
      <c r="M181" s="1027"/>
      <c r="N181" s="1027"/>
      <c r="O181" s="1027"/>
      <c r="P181" s="1027"/>
      <c r="Q181" s="1027"/>
      <c r="R181" s="1027"/>
      <c r="S181" s="1027"/>
      <c r="T181" s="1027"/>
      <c r="U181" s="1027"/>
      <c r="V181" s="1027"/>
      <c r="W181" s="1027"/>
      <c r="X181" s="1027"/>
      <c r="Y181" s="1027"/>
      <c r="AA181" s="1095"/>
      <c r="AB181" s="1111"/>
      <c r="AC181" s="1095"/>
      <c r="AD181" s="1110"/>
    </row>
    <row r="182" spans="2:30" ht="25.15" customHeight="1">
      <c r="C182" s="1030"/>
      <c r="E182" s="1025"/>
      <c r="F182" s="1017"/>
      <c r="G182" s="1017"/>
      <c r="H182" s="1027"/>
      <c r="I182" s="1027"/>
      <c r="J182" s="1027"/>
      <c r="K182" s="1027"/>
      <c r="L182" s="1027"/>
      <c r="M182" s="1027"/>
      <c r="N182" s="1027"/>
      <c r="O182" s="1027"/>
      <c r="P182" s="1027"/>
      <c r="Q182" s="1027"/>
      <c r="R182" s="1027"/>
      <c r="S182" s="1027"/>
      <c r="T182" s="1027"/>
      <c r="U182" s="1027"/>
      <c r="V182" s="1027"/>
      <c r="W182" s="1027"/>
      <c r="X182" s="1027"/>
      <c r="Y182" s="1027"/>
      <c r="Z182" s="1112"/>
      <c r="AA182" s="1095"/>
      <c r="AB182" s="1112"/>
      <c r="AC182" s="1095"/>
    </row>
    <row r="183" spans="2:30" ht="25.15" customHeight="1">
      <c r="E183" s="1025"/>
      <c r="F183" s="1017"/>
      <c r="G183" s="1017"/>
      <c r="H183" s="1027"/>
      <c r="I183" s="1027"/>
      <c r="J183" s="1027"/>
      <c r="K183" s="1027"/>
      <c r="L183" s="1027"/>
      <c r="M183" s="1027"/>
      <c r="N183" s="1027"/>
      <c r="O183" s="1027"/>
      <c r="P183" s="1027"/>
      <c r="Q183" s="1027"/>
      <c r="R183" s="1027"/>
      <c r="S183" s="1027"/>
      <c r="T183" s="1027"/>
      <c r="U183" s="1027"/>
      <c r="V183" s="1027"/>
      <c r="W183" s="1027"/>
      <c r="X183" s="1027"/>
      <c r="Y183" s="1027"/>
      <c r="AA183" s="1095"/>
      <c r="AB183" s="1066"/>
      <c r="AC183" s="1108"/>
    </row>
    <row r="184" spans="2:30" ht="25.15" customHeight="1">
      <c r="E184" s="1025"/>
      <c r="F184" s="1017"/>
      <c r="G184" s="1017"/>
      <c r="H184" s="1017"/>
      <c r="I184" s="1027"/>
      <c r="J184" s="1027"/>
      <c r="K184" s="1027"/>
      <c r="L184" s="1027"/>
      <c r="M184" s="1027"/>
      <c r="N184" s="1027"/>
      <c r="O184" s="1027"/>
      <c r="P184" s="1027"/>
      <c r="Q184" s="1027"/>
      <c r="R184" s="1027"/>
      <c r="S184" s="1027"/>
      <c r="T184" s="1027"/>
      <c r="U184" s="1027"/>
      <c r="V184" s="1027"/>
      <c r="W184" s="1027"/>
      <c r="X184" s="1027"/>
      <c r="Y184" s="1027"/>
      <c r="AA184" s="1095"/>
      <c r="AB184" s="1066"/>
      <c r="AC184" s="1108"/>
    </row>
    <row r="185" spans="2:30" ht="25.15" customHeight="1">
      <c r="E185" s="1025"/>
      <c r="F185" s="1017"/>
      <c r="G185" s="1017"/>
      <c r="H185" s="1027"/>
      <c r="I185" s="1027"/>
      <c r="J185" s="1027"/>
      <c r="K185" s="1027"/>
      <c r="L185" s="1027"/>
      <c r="M185" s="1027"/>
      <c r="N185" s="1027"/>
      <c r="O185" s="1027"/>
      <c r="P185" s="1027"/>
      <c r="Q185" s="1027"/>
      <c r="R185" s="1027"/>
      <c r="S185" s="1027"/>
      <c r="T185" s="1027"/>
      <c r="U185" s="1027"/>
      <c r="V185" s="1027"/>
      <c r="W185" s="1027"/>
      <c r="X185" s="1027"/>
      <c r="Y185" s="1027"/>
      <c r="AA185" s="1066"/>
      <c r="AB185" s="1066"/>
      <c r="AC185" s="1067"/>
    </row>
    <row r="186" spans="2:30" s="1017" customFormat="1" ht="25.15" customHeight="1">
      <c r="B186" s="1022"/>
      <c r="C186" s="1023" t="s">
        <v>606</v>
      </c>
      <c r="E186" s="1025"/>
      <c r="H186" s="1026"/>
      <c r="I186" s="1026"/>
      <c r="J186" s="1031" t="s">
        <v>599</v>
      </c>
      <c r="K186" s="1031"/>
      <c r="L186" s="1031"/>
      <c r="M186" s="1026"/>
      <c r="N186" s="1026"/>
      <c r="O186" s="1026"/>
      <c r="P186" s="1026"/>
      <c r="Q186" s="1026"/>
      <c r="R186" s="1026"/>
      <c r="S186" s="1026"/>
      <c r="T186" s="1026"/>
      <c r="U186" s="1026"/>
      <c r="V186" s="1026"/>
      <c r="W186" s="1026"/>
      <c r="X186" s="1026"/>
      <c r="Y186" s="1026"/>
      <c r="Z186" s="1066"/>
      <c r="AA186" s="1066"/>
      <c r="AB186" s="1066"/>
      <c r="AC186" s="1067"/>
    </row>
    <row r="187" spans="2:30" ht="25.15" customHeight="1">
      <c r="Z187" s="1112"/>
    </row>
    <row r="188" spans="2:30" ht="25.15" customHeight="1"/>
    <row r="189" spans="2:30" ht="25.15" customHeight="1">
      <c r="Z189" s="1125"/>
    </row>
    <row r="190" spans="2:30" ht="25.15" customHeight="1">
      <c r="Z190" s="1160"/>
    </row>
    <row r="191" spans="2:30" ht="25.15" customHeight="1">
      <c r="Z191" s="1160"/>
    </row>
    <row r="192" spans="2:30" ht="25.15" customHeight="1">
      <c r="Z192" s="1125"/>
    </row>
    <row r="193" spans="26:29" ht="25.15" customHeight="1">
      <c r="Z193" s="1125"/>
    </row>
    <row r="194" spans="26:29" ht="25.15" customHeight="1">
      <c r="Z194" s="1112"/>
      <c r="AA194" s="1112"/>
      <c r="AB194" s="1112"/>
      <c r="AC194" s="1106"/>
    </row>
    <row r="195" spans="26:29" ht="25.15" customHeight="1"/>
    <row r="196" spans="26:29" ht="25.15" customHeight="1">
      <c r="Z196" s="1112"/>
      <c r="AA196" s="1112"/>
      <c r="AB196" s="1112"/>
      <c r="AC196" s="1106"/>
    </row>
    <row r="197" spans="26:29" ht="25.15" customHeight="1"/>
    <row r="200" spans="26:29">
      <c r="Z200" s="1112"/>
      <c r="AA200" s="1112"/>
      <c r="AB200" s="1112"/>
    </row>
    <row r="201" spans="26:29">
      <c r="Z201" s="1112"/>
      <c r="AA201" s="1112"/>
      <c r="AB201" s="1112"/>
    </row>
  </sheetData>
  <sheetProtection selectLockedCells="1" selectUnlockedCells="1"/>
  <autoFilter ref="B7:AN168" xr:uid="{00000000-0009-0000-0000-000004000000}"/>
  <mergeCells count="29">
    <mergeCell ref="B3:C3"/>
    <mergeCell ref="B2:C2"/>
    <mergeCell ref="G5:G7"/>
    <mergeCell ref="B5:B7"/>
    <mergeCell ref="C5:C7"/>
    <mergeCell ref="D5:D7"/>
    <mergeCell ref="E5:E7"/>
    <mergeCell ref="F5:F7"/>
    <mergeCell ref="T5:T7"/>
    <mergeCell ref="H5:H7"/>
    <mergeCell ref="I5:I7"/>
    <mergeCell ref="J5:J7"/>
    <mergeCell ref="K5:K7"/>
    <mergeCell ref="L5:L7"/>
    <mergeCell ref="M5:M7"/>
    <mergeCell ref="N5:N7"/>
    <mergeCell ref="O5:O7"/>
    <mergeCell ref="Q5:Q7"/>
    <mergeCell ref="R5:R7"/>
    <mergeCell ref="S5:S7"/>
    <mergeCell ref="AA5:AA7"/>
    <mergeCell ref="AB5:AB7"/>
    <mergeCell ref="AC5:AC7"/>
    <mergeCell ref="U5:U7"/>
    <mergeCell ref="V5:V7"/>
    <mergeCell ref="W5:W7"/>
    <mergeCell ref="X5:X7"/>
    <mergeCell ref="Y5:Y7"/>
    <mergeCell ref="Z5:Z7"/>
  </mergeCells>
  <conditionalFormatting sqref="B50:B53">
    <cfRule type="duplicateValues" dxfId="149" priority="16947"/>
  </conditionalFormatting>
  <conditionalFormatting sqref="B168 C166:C1048576 C31:C32 C39 C44:C46 C1 C49:C51 C111:C138 C13:C14 C24:C26 C54:C55 C60 C70:C109 C5:C11 C140:C164">
    <cfRule type="duplicateValues" dxfId="148" priority="136"/>
  </conditionalFormatting>
  <conditionalFormatting sqref="B168 C166:C1048576 C138 C31:C32 C39 C44:C46 C111:C124 C1 C49:C51 C13:C14 C24:C26 C54:C55 C60 C70:C109 C5:C11 C140:C164">
    <cfRule type="duplicateValues" dxfId="147" priority="141"/>
  </conditionalFormatting>
  <conditionalFormatting sqref="B168 C166:C1048576 C164">
    <cfRule type="duplicateValues" dxfId="146" priority="142"/>
  </conditionalFormatting>
  <conditionalFormatting sqref="B30:C30">
    <cfRule type="duplicateValues" dxfId="145" priority="114"/>
  </conditionalFormatting>
  <conditionalFormatting sqref="B35:C35 B34">
    <cfRule type="duplicateValues" dxfId="144" priority="117"/>
  </conditionalFormatting>
  <conditionalFormatting sqref="B43:C43 B36:C37 B38:B42">
    <cfRule type="duplicateValues" dxfId="143" priority="129"/>
  </conditionalFormatting>
  <conditionalFormatting sqref="B139:C139">
    <cfRule type="duplicateValues" dxfId="142" priority="122"/>
  </conditionalFormatting>
  <conditionalFormatting sqref="B166:C1048576 B165 B44:C46 B47:B49 C50:C51 B31:C32 B1:C1 B54:C55 B13:C14 B12 B27:B29 B24:C26 B15:B23 B33 B60:C60 B56:B59 B61:B69 B5:C11 B2:B4 B140:C164 C109 B109:B110 B111:C138 B70:C108">
    <cfRule type="duplicateValues" dxfId="141" priority="137"/>
  </conditionalFormatting>
  <conditionalFormatting sqref="C12">
    <cfRule type="duplicateValues" dxfId="140" priority="68"/>
    <cfRule type="duplicateValues" dxfId="139" priority="67"/>
    <cfRule type="duplicateValues" dxfId="138" priority="66"/>
  </conditionalFormatting>
  <conditionalFormatting sqref="C15:C23">
    <cfRule type="duplicateValues" dxfId="137" priority="16529"/>
    <cfRule type="duplicateValues" dxfId="136" priority="16531"/>
    <cfRule type="duplicateValues" dxfId="135" priority="16530"/>
  </conditionalFormatting>
  <conditionalFormatting sqref="C27:C28">
    <cfRule type="duplicateValues" dxfId="134" priority="65"/>
    <cfRule type="duplicateValues" dxfId="133" priority="64"/>
    <cfRule type="duplicateValues" dxfId="132" priority="63"/>
  </conditionalFormatting>
  <conditionalFormatting sqref="C29">
    <cfRule type="duplicateValues" dxfId="131" priority="62"/>
    <cfRule type="duplicateValues" dxfId="130" priority="61"/>
    <cfRule type="duplicateValues" dxfId="129" priority="60"/>
    <cfRule type="duplicateValues" dxfId="128" priority="59"/>
    <cfRule type="duplicateValues" dxfId="127" priority="58"/>
  </conditionalFormatting>
  <conditionalFormatting sqref="C30">
    <cfRule type="duplicateValues" dxfId="126" priority="115"/>
    <cfRule type="duplicateValues" dxfId="125" priority="113"/>
    <cfRule type="duplicateValues" dxfId="124" priority="112"/>
  </conditionalFormatting>
  <conditionalFormatting sqref="C33:C34">
    <cfRule type="duplicateValues" dxfId="123" priority="53"/>
    <cfRule type="duplicateValues" dxfId="122" priority="54"/>
    <cfRule type="duplicateValues" dxfId="121" priority="52"/>
  </conditionalFormatting>
  <conditionalFormatting sqref="C35">
    <cfRule type="duplicateValues" dxfId="120" priority="118"/>
    <cfRule type="duplicateValues" dxfId="119" priority="116"/>
  </conditionalFormatting>
  <conditionalFormatting sqref="C36:C37">
    <cfRule type="duplicateValues" dxfId="118" priority="128"/>
    <cfRule type="duplicateValues" dxfId="117" priority="127"/>
    <cfRule type="duplicateValues" dxfId="116" priority="130"/>
  </conditionalFormatting>
  <conditionalFormatting sqref="C38">
    <cfRule type="duplicateValues" dxfId="115" priority="111"/>
    <cfRule type="duplicateValues" dxfId="114" priority="110"/>
    <cfRule type="duplicateValues" dxfId="113" priority="109"/>
  </conditionalFormatting>
  <conditionalFormatting sqref="C39">
    <cfRule type="duplicateValues" dxfId="112" priority="108"/>
  </conditionalFormatting>
  <conditionalFormatting sqref="C40:C41">
    <cfRule type="duplicateValues" dxfId="111" priority="16799"/>
    <cfRule type="duplicateValues" dxfId="110" priority="16800"/>
    <cfRule type="duplicateValues" dxfId="109" priority="16801"/>
  </conditionalFormatting>
  <conditionalFormatting sqref="C42">
    <cfRule type="duplicateValues" dxfId="108" priority="16366"/>
    <cfRule type="duplicateValues" dxfId="107" priority="16367"/>
    <cfRule type="duplicateValues" dxfId="106" priority="16368"/>
  </conditionalFormatting>
  <conditionalFormatting sqref="C43">
    <cfRule type="duplicateValues" dxfId="105" priority="104"/>
    <cfRule type="duplicateValues" dxfId="104" priority="103"/>
    <cfRule type="duplicateValues" dxfId="103" priority="102"/>
  </conditionalFormatting>
  <conditionalFormatting sqref="C46">
    <cfRule type="duplicateValues" dxfId="102" priority="101"/>
  </conditionalFormatting>
  <conditionalFormatting sqref="C47:C48">
    <cfRule type="duplicateValues" dxfId="101" priority="15589"/>
    <cfRule type="duplicateValues" dxfId="100" priority="15590"/>
    <cfRule type="duplicateValues" dxfId="99" priority="15591"/>
  </conditionalFormatting>
  <conditionalFormatting sqref="C49">
    <cfRule type="duplicateValues" dxfId="98" priority="99"/>
    <cfRule type="duplicateValues" dxfId="97" priority="100"/>
  </conditionalFormatting>
  <conditionalFormatting sqref="C52:C53">
    <cfRule type="duplicateValues" dxfId="96" priority="17005"/>
    <cfRule type="duplicateValues" dxfId="95" priority="17003"/>
    <cfRule type="duplicateValues" dxfId="94" priority="17004"/>
  </conditionalFormatting>
  <conditionalFormatting sqref="C54">
    <cfRule type="duplicateValues" dxfId="93" priority="97"/>
    <cfRule type="duplicateValues" dxfId="92" priority="98"/>
  </conditionalFormatting>
  <conditionalFormatting sqref="C56">
    <cfRule type="duplicateValues" dxfId="91" priority="43"/>
  </conditionalFormatting>
  <conditionalFormatting sqref="C56:C57">
    <cfRule type="duplicateValues" dxfId="90" priority="44"/>
    <cfRule type="duplicateValues" dxfId="89" priority="45"/>
  </conditionalFormatting>
  <conditionalFormatting sqref="C57">
    <cfRule type="duplicateValues" dxfId="88" priority="42"/>
  </conditionalFormatting>
  <conditionalFormatting sqref="C58">
    <cfRule type="duplicateValues" dxfId="87" priority="35"/>
  </conditionalFormatting>
  <conditionalFormatting sqref="C58:C59">
    <cfRule type="duplicateValues" dxfId="86" priority="37"/>
    <cfRule type="duplicateValues" dxfId="85" priority="36"/>
  </conditionalFormatting>
  <conditionalFormatting sqref="C59">
    <cfRule type="duplicateValues" dxfId="84" priority="34"/>
  </conditionalFormatting>
  <conditionalFormatting sqref="C61:C64">
    <cfRule type="duplicateValues" dxfId="83" priority="15613"/>
    <cfRule type="duplicateValues" dxfId="82" priority="15614"/>
  </conditionalFormatting>
  <conditionalFormatting sqref="C66">
    <cfRule type="duplicateValues" dxfId="81" priority="5"/>
    <cfRule type="duplicateValues" dxfId="80" priority="6"/>
    <cfRule type="duplicateValues" dxfId="79" priority="7"/>
    <cfRule type="duplicateValues" dxfId="78" priority="8"/>
    <cfRule type="duplicateValues" dxfId="77" priority="9"/>
  </conditionalFormatting>
  <conditionalFormatting sqref="C68">
    <cfRule type="duplicateValues" dxfId="76" priority="13"/>
    <cfRule type="duplicateValues" dxfId="75" priority="15"/>
    <cfRule type="duplicateValues" dxfId="74" priority="14"/>
    <cfRule type="duplicateValues" dxfId="73" priority="12"/>
    <cfRule type="duplicateValues" dxfId="72" priority="11"/>
  </conditionalFormatting>
  <conditionalFormatting sqref="C69">
    <cfRule type="duplicateValues" dxfId="71" priority="28"/>
    <cfRule type="duplicateValues" dxfId="70" priority="29"/>
  </conditionalFormatting>
  <conditionalFormatting sqref="C76:C88">
    <cfRule type="duplicateValues" dxfId="69" priority="143"/>
  </conditionalFormatting>
  <conditionalFormatting sqref="C110">
    <cfRule type="duplicateValues" dxfId="68" priority="81"/>
    <cfRule type="duplicateValues" dxfId="67" priority="80"/>
    <cfRule type="duplicateValues" dxfId="66" priority="79"/>
  </conditionalFormatting>
  <conditionalFormatting sqref="C114">
    <cfRule type="duplicateValues" dxfId="65" priority="78"/>
  </conditionalFormatting>
  <conditionalFormatting sqref="C125:C137">
    <cfRule type="duplicateValues" dxfId="64" priority="16600"/>
    <cfRule type="duplicateValues" dxfId="63" priority="16599"/>
  </conditionalFormatting>
  <conditionalFormatting sqref="C128">
    <cfRule type="duplicateValues" dxfId="62" priority="77"/>
  </conditionalFormatting>
  <conditionalFormatting sqref="C130">
    <cfRule type="duplicateValues" dxfId="61" priority="76"/>
  </conditionalFormatting>
  <conditionalFormatting sqref="C139">
    <cfRule type="duplicateValues" dxfId="60" priority="120"/>
    <cfRule type="duplicateValues" dxfId="59" priority="121"/>
    <cfRule type="duplicateValues" dxfId="58" priority="123"/>
    <cfRule type="duplicateValues" dxfId="57" priority="119"/>
  </conditionalFormatting>
  <conditionalFormatting sqref="C140:C145">
    <cfRule type="duplicateValues" dxfId="56" priority="15539"/>
    <cfRule type="duplicateValues" dxfId="55" priority="15540"/>
  </conditionalFormatting>
  <conditionalFormatting sqref="C157:C158">
    <cfRule type="duplicateValues" dxfId="54" priority="1"/>
    <cfRule type="duplicateValues" dxfId="53" priority="2"/>
  </conditionalFormatting>
  <conditionalFormatting sqref="C61:D62 C63:C64">
    <cfRule type="duplicateValues" dxfId="52" priority="15644"/>
  </conditionalFormatting>
  <conditionalFormatting sqref="C65:D65">
    <cfRule type="duplicateValues" dxfId="51" priority="24"/>
    <cfRule type="duplicateValues" dxfId="50" priority="23"/>
    <cfRule type="duplicateValues" dxfId="49" priority="22"/>
    <cfRule type="duplicateValues" dxfId="48" priority="21"/>
  </conditionalFormatting>
  <conditionalFormatting sqref="C67:D67">
    <cfRule type="duplicateValues" dxfId="47" priority="19"/>
    <cfRule type="duplicateValues" dxfId="46" priority="20"/>
    <cfRule type="duplicateValues" dxfId="45" priority="18"/>
    <cfRule type="duplicateValues" dxfId="44" priority="17"/>
  </conditionalFormatting>
  <conditionalFormatting sqref="D61:D62">
    <cfRule type="duplicateValues" dxfId="43" priority="33"/>
    <cfRule type="duplicateValues" dxfId="42" priority="32"/>
  </conditionalFormatting>
  <conditionalFormatting sqref="AA77">
    <cfRule type="duplicateValues" dxfId="41" priority="71"/>
    <cfRule type="duplicateValues" dxfId="40" priority="72"/>
    <cfRule type="duplicateValues" dxfId="39" priority="73"/>
    <cfRule type="duplicateValues" dxfId="38" priority="74"/>
    <cfRule type="duplicateValues" dxfId="37" priority="75"/>
  </conditionalFormatting>
  <conditionalFormatting sqref="AA175">
    <cfRule type="duplicateValues" dxfId="36" priority="133"/>
    <cfRule type="duplicateValues" dxfId="35" priority="134"/>
    <cfRule type="duplicateValues" dxfId="34" priority="132"/>
    <cfRule type="duplicateValues" dxfId="33" priority="131"/>
    <cfRule type="duplicateValues" dxfId="32" priority="135"/>
  </conditionalFormatting>
  <pageMargins left="0.23622047244094491" right="0.23622047244094491" top="0.74803149606299213" bottom="0.74803149606299213" header="0.31496062992125984" footer="0.31496062992125984"/>
  <pageSetup paperSize="5" scale="16" firstPageNumber="0" fitToWidth="0" orientation="landscape" r:id="rId1"/>
  <headerFooter alignWithMargins="0"/>
  <rowBreaks count="1" manualBreakCount="1">
    <brk id="89" max="2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dimension ref="A1:KRN56"/>
  <sheetViews>
    <sheetView zoomScale="89" zoomScaleNormal="89" workbookViewId="0">
      <pane xSplit="3" ySplit="5" topLeftCell="P36" activePane="bottomRight" state="frozen"/>
      <selection activeCell="H25" sqref="H25"/>
      <selection pane="topRight" activeCell="H25" sqref="H25"/>
      <selection pane="bottomLeft" activeCell="H25" sqref="H25"/>
      <selection pane="bottomRight" activeCell="Z6" sqref="Z6:Z56"/>
    </sheetView>
  </sheetViews>
  <sheetFormatPr baseColWidth="10" defaultColWidth="11.42578125" defaultRowHeight="15"/>
  <cols>
    <col min="1" max="1" width="7.85546875" style="1" customWidth="1"/>
    <col min="2" max="2" width="33.140625" style="123" customWidth="1"/>
    <col min="3" max="3" width="19.5703125" style="123" customWidth="1"/>
    <col min="4" max="4" width="34.5703125" style="123" customWidth="1"/>
    <col min="5" max="5" width="29.5703125" style="123" customWidth="1"/>
    <col min="6" max="6" width="9.5703125" style="123" customWidth="1"/>
    <col min="7" max="7" width="12.85546875" style="123" customWidth="1"/>
    <col min="8" max="8" width="10.5703125" style="123" customWidth="1"/>
    <col min="9" max="9" width="8.42578125" style="123" customWidth="1"/>
    <col min="10" max="10" width="11.28515625" style="2" customWidth="1"/>
    <col min="11" max="11" width="9.7109375" style="123" customWidth="1"/>
    <col min="12" max="12" width="11.42578125" style="123" customWidth="1"/>
    <col min="13" max="13" width="11.28515625" style="123" customWidth="1"/>
    <col min="14" max="14" width="10.7109375" style="120" customWidth="1"/>
    <col min="15" max="15" width="10.140625" style="120" customWidth="1"/>
    <col min="16" max="16" width="10.42578125" style="120" customWidth="1"/>
    <col min="17" max="17" width="12.5703125" style="120" customWidth="1"/>
    <col min="18" max="18" width="9" style="120" customWidth="1"/>
    <col min="19" max="20" width="12" style="120" customWidth="1"/>
    <col min="21" max="21" width="12.42578125" style="120" customWidth="1"/>
    <col min="22" max="22" width="10.28515625" style="120" customWidth="1"/>
    <col min="23" max="23" width="10.7109375" style="120" customWidth="1"/>
    <col min="24" max="24" width="12.5703125" style="120" customWidth="1"/>
    <col min="25" max="25" width="16.140625" style="198" customWidth="1"/>
    <col min="26" max="26" width="13.42578125" style="120" customWidth="1"/>
    <col min="27" max="27" width="23.28515625" style="280" hidden="1" customWidth="1"/>
    <col min="28" max="28" width="21" style="149" hidden="1" customWidth="1"/>
    <col min="29" max="16372" width="11.42578125" style="1"/>
    <col min="16373" max="16384" width="8.85546875" style="1" customWidth="1"/>
  </cols>
  <sheetData>
    <row r="1" spans="1:7918">
      <c r="B1" s="123" t="str">
        <f>+distribucion!G3</f>
        <v>NOMINA ECONACIONAL, S. A.</v>
      </c>
    </row>
    <row r="2" spans="1:7918">
      <c r="B2" s="123" t="str">
        <f>+distribucion!G4</f>
        <v>JUNIO  2026 2da QUINCENA</v>
      </c>
    </row>
    <row r="3" spans="1:7918">
      <c r="B3" s="1011">
        <f>+distribucion!G5</f>
        <v>2026</v>
      </c>
    </row>
    <row r="4" spans="1:7918">
      <c r="B4" s="128">
        <v>1</v>
      </c>
      <c r="C4" s="128">
        <v>2</v>
      </c>
      <c r="D4" s="128">
        <v>3</v>
      </c>
      <c r="E4" s="128">
        <v>4</v>
      </c>
      <c r="F4" s="128">
        <v>5</v>
      </c>
      <c r="G4" s="128">
        <v>6</v>
      </c>
      <c r="H4" s="128">
        <v>7</v>
      </c>
      <c r="I4" s="128">
        <v>8</v>
      </c>
      <c r="J4" s="128">
        <v>9</v>
      </c>
      <c r="K4" s="128">
        <v>10</v>
      </c>
      <c r="L4" s="128">
        <v>11</v>
      </c>
      <c r="M4" s="128">
        <v>12</v>
      </c>
      <c r="N4" s="128">
        <v>13</v>
      </c>
      <c r="O4" s="128">
        <v>14</v>
      </c>
      <c r="P4" s="128">
        <v>15</v>
      </c>
      <c r="Q4" s="128">
        <v>16</v>
      </c>
      <c r="R4" s="128">
        <v>17</v>
      </c>
      <c r="S4" s="128">
        <v>18</v>
      </c>
      <c r="T4" s="128">
        <v>19</v>
      </c>
      <c r="U4" s="128">
        <v>20</v>
      </c>
      <c r="V4" s="128">
        <v>21</v>
      </c>
      <c r="W4" s="128">
        <v>22</v>
      </c>
      <c r="X4" s="128">
        <v>23</v>
      </c>
      <c r="Y4" s="173">
        <v>24</v>
      </c>
      <c r="Z4" s="128">
        <v>25</v>
      </c>
      <c r="AA4" s="274">
        <v>26</v>
      </c>
      <c r="AB4" s="128">
        <v>27</v>
      </c>
    </row>
    <row r="5" spans="1:7918" ht="30" customHeight="1">
      <c r="B5" s="190" t="s">
        <v>201</v>
      </c>
      <c r="C5" s="191" t="s">
        <v>202</v>
      </c>
      <c r="D5" s="191" t="s">
        <v>203</v>
      </c>
      <c r="E5" s="191" t="s">
        <v>271</v>
      </c>
      <c r="F5" s="251" t="s">
        <v>175</v>
      </c>
      <c r="G5" s="251" t="s">
        <v>205</v>
      </c>
      <c r="H5" s="251" t="s">
        <v>206</v>
      </c>
      <c r="I5" s="251" t="s">
        <v>207</v>
      </c>
      <c r="J5" s="152" t="s">
        <v>208</v>
      </c>
      <c r="K5" s="251" t="s">
        <v>209</v>
      </c>
      <c r="L5" s="251" t="s">
        <v>210</v>
      </c>
      <c r="M5" s="251" t="s">
        <v>184</v>
      </c>
      <c r="N5" s="153" t="s">
        <v>211</v>
      </c>
      <c r="O5" s="154" t="s">
        <v>212</v>
      </c>
      <c r="P5" s="154" t="s">
        <v>213</v>
      </c>
      <c r="Q5" s="154" t="s">
        <v>214</v>
      </c>
      <c r="R5" s="154" t="s">
        <v>215</v>
      </c>
      <c r="S5" s="154" t="s">
        <v>33</v>
      </c>
      <c r="T5" s="154" t="s">
        <v>32</v>
      </c>
      <c r="U5" s="154" t="s">
        <v>31</v>
      </c>
      <c r="V5" s="153" t="s">
        <v>216</v>
      </c>
      <c r="W5" s="153" t="s">
        <v>217</v>
      </c>
      <c r="X5" s="153" t="s">
        <v>280</v>
      </c>
      <c r="Y5" s="197" t="s">
        <v>281</v>
      </c>
      <c r="Z5" s="153" t="s">
        <v>282</v>
      </c>
      <c r="AA5" s="275" t="s">
        <v>220</v>
      </c>
      <c r="AB5" s="252" t="s">
        <v>221</v>
      </c>
    </row>
    <row r="6" spans="1:7918">
      <c r="A6" s="1">
        <v>1</v>
      </c>
      <c r="B6" s="255" t="s">
        <v>431</v>
      </c>
      <c r="C6" s="146">
        <v>4550186045</v>
      </c>
      <c r="D6" s="253" t="str">
        <f>+B6</f>
        <v>Pu Canto Domingo</v>
      </c>
      <c r="E6" s="145" t="str">
        <f>VLOOKUP(B6,distribucion!G$8:FP$153,2,0)</f>
        <v>Conserje</v>
      </c>
      <c r="F6" s="128">
        <f>ROUND((VLOOKUP($B6,ECONACIONAL!$C$5:$AC$219,4,0)),2)</f>
        <v>30</v>
      </c>
      <c r="G6" s="128">
        <f>ROUND((VLOOKUP($B6,ECONACIONAL!$C$7:$AC$219,6,0)),2)</f>
        <v>4002.28</v>
      </c>
      <c r="H6" s="128">
        <f>ROUND((VLOOKUP($B6,ECONACIONAL!$C$7:$AC$219,7,0)),2)</f>
        <v>250</v>
      </c>
      <c r="I6" s="128">
        <f>ROUND((VLOOKUP($B6,ECONACIONAL!$C$7:$AC$219,9,0)),2)</f>
        <v>0</v>
      </c>
      <c r="J6" s="128">
        <f>ROUND((VLOOKUP($B6,ECONACIONAL!$C$7:$AC$219,10,0)),2)</f>
        <v>0</v>
      </c>
      <c r="K6" s="128">
        <f>ROUND((VLOOKUP($B6,ECONACIONAL!$C$7:$AC$219,11,0)),2)</f>
        <v>0</v>
      </c>
      <c r="L6" s="128">
        <f>ROUND((VLOOKUP($B6,ECONACIONAL!$C$7:$AC$219,12,0)),2)</f>
        <v>0</v>
      </c>
      <c r="M6" s="128">
        <f>ROUND((VLOOKUP($B6,ECONACIONAL!$C$7:$AC$219,14,0)),2)</f>
        <v>0</v>
      </c>
      <c r="N6" s="128">
        <f>ROUND((VLOOKUP($B6,ECONACIONAL!$C$7:$AC$219,15,0)),2)</f>
        <v>4252.28</v>
      </c>
      <c r="O6" s="128">
        <f>ROUND((VLOOKUP($B6,ECONACIONAL!$C$7:$AC$219,16,0)),2)</f>
        <v>120.07</v>
      </c>
      <c r="P6" s="128">
        <f>ROUND((VLOOKUP($B6,ECONACIONAL!$C$7:$AC$219,17,0)),2)</f>
        <v>0</v>
      </c>
      <c r="Q6" s="128">
        <f>ROUND((VLOOKUP($B6,ECONACIONAL!$C$7:$AC$219,18,0)),2)</f>
        <v>0</v>
      </c>
      <c r="R6" s="128">
        <f>ROUND((VLOOKUP($B6,ECONACIONAL!$C$7:$AC$219,19,0)),2)</f>
        <v>0</v>
      </c>
      <c r="S6" s="128">
        <f>ROUND((VLOOKUP($B6,ECONACIONAL!$C$7:$AC$219,20,0)),2)</f>
        <v>0</v>
      </c>
      <c r="T6" s="128">
        <f>ROUND((VLOOKUP($B6,ECONACIONAL!$C$7:$AC$219,21,0)),2)</f>
        <v>0</v>
      </c>
      <c r="U6" s="128">
        <f>ROUND((VLOOKUP($B6,ECONACIONAL!$C$7:$AC$219,22,0)),2)</f>
        <v>0</v>
      </c>
      <c r="V6" s="128">
        <f>ROUND((VLOOKUP($B6,ECONACIONAL!$C$7:$AC$219,23,0)),2)</f>
        <v>0</v>
      </c>
      <c r="W6" s="128">
        <f>ROUND((VLOOKUP($B6,ECONACIONAL!$C$7:$AC$219,24,0)),2)</f>
        <v>120.07</v>
      </c>
      <c r="X6" s="128">
        <f>ROUND((VLOOKUP($B6,ECONACIONAL!$C$7:$AC$219,25,0)),2)</f>
        <v>4132.21</v>
      </c>
      <c r="Y6" s="128">
        <f>ROUND((VLOOKUP($B6,ECONACIONAL!$C$7:$AC$219,26,0)),2)</f>
        <v>2066.11</v>
      </c>
      <c r="Z6" s="128">
        <f>ROUND((VLOOKUP($B6,ECONACIONAL!$C$7:$AC$219,27,0)),2)</f>
        <v>2066.1</v>
      </c>
      <c r="AA6" s="274" t="e">
        <f>VLOOKUP($B6,$A$17:$D$280,4,0)</f>
        <v>#N/A</v>
      </c>
      <c r="AB6" s="254" t="str">
        <f>+IFERROR(VLOOKUP(B6,#REF!,3,0),"")</f>
        <v/>
      </c>
    </row>
    <row r="7" spans="1:7918">
      <c r="A7" s="1">
        <f>+A6+1</f>
        <v>2</v>
      </c>
      <c r="B7" s="255" t="s">
        <v>615</v>
      </c>
      <c r="C7" s="147">
        <v>144442381</v>
      </c>
      <c r="D7" s="1307" t="s">
        <v>615</v>
      </c>
      <c r="E7" s="145" t="str">
        <f>VLOOKUP(B7,distribucion!G$8:FP$153,2,0)</f>
        <v>Recepcionista</v>
      </c>
      <c r="F7" s="128">
        <f>ROUND((VLOOKUP($B7,ECONACIONAL!$C$5:$AC$219,4,0)),2)</f>
        <v>30</v>
      </c>
      <c r="G7" s="128">
        <f>ROUND((VLOOKUP($B7,ECONACIONAL!$C$7:$AC$219,6,0)),2)</f>
        <v>4250.03</v>
      </c>
      <c r="H7" s="128">
        <f>ROUND((VLOOKUP($B7,ECONACIONAL!$C$7:$AC$219,7,0)),2)</f>
        <v>250</v>
      </c>
      <c r="I7" s="128">
        <f>ROUND((VLOOKUP($B7,ECONACIONAL!$C$7:$AC$219,9,0)),2)</f>
        <v>0</v>
      </c>
      <c r="J7" s="128">
        <f>ROUND((VLOOKUP($B7,ECONACIONAL!$C$7:$AC$219,10,0)),2)</f>
        <v>0</v>
      </c>
      <c r="K7" s="128">
        <f>ROUND((VLOOKUP($B7,ECONACIONAL!$C$7:$AC$219,11,0)),2)</f>
        <v>0</v>
      </c>
      <c r="L7" s="128">
        <f>ROUND((VLOOKUP($B7,ECONACIONAL!$C$7:$AC$219,12,0)),2)</f>
        <v>0</v>
      </c>
      <c r="M7" s="128">
        <f>ROUND((VLOOKUP($B7,ECONACIONAL!$C$7:$AC$219,14,0)),2)</f>
        <v>0</v>
      </c>
      <c r="N7" s="128">
        <f>ROUND((VLOOKUP($B7,ECONACIONAL!$C$7:$AC$219,15,0)),2)</f>
        <v>4500.03</v>
      </c>
      <c r="O7" s="128">
        <f>ROUND((VLOOKUP($B7,ECONACIONAL!$C$7:$AC$219,16,0)),2)</f>
        <v>205.28</v>
      </c>
      <c r="P7" s="128">
        <f>ROUND((VLOOKUP($B7,ECONACIONAL!$C$7:$AC$219,17,0)),2)</f>
        <v>4.51</v>
      </c>
      <c r="Q7" s="128">
        <f>ROUND((VLOOKUP($B7,ECONACIONAL!$C$7:$AC$219,18,0)),2)</f>
        <v>0</v>
      </c>
      <c r="R7" s="128">
        <f>ROUND((VLOOKUP($B7,ECONACIONAL!$C$7:$AC$219,19,0)),2)</f>
        <v>0</v>
      </c>
      <c r="S7" s="128">
        <f>ROUND((VLOOKUP($B7,ECONACIONAL!$C$7:$AC$219,20,0)),2)</f>
        <v>0</v>
      </c>
      <c r="T7" s="128">
        <f>ROUND((VLOOKUP($B7,ECONACIONAL!$C$7:$AC$219,21,0)),2)</f>
        <v>0</v>
      </c>
      <c r="U7" s="128">
        <f>ROUND((VLOOKUP($B7,ECONACIONAL!$C$7:$AC$219,22,0)),2)</f>
        <v>224</v>
      </c>
      <c r="V7" s="128">
        <f>ROUND((VLOOKUP($B7,ECONACIONAL!$C$7:$AC$219,23,0)),2)</f>
        <v>0</v>
      </c>
      <c r="W7" s="128">
        <f>ROUND((VLOOKUP($B7,ECONACIONAL!$C$7:$AC$219,24,0)),2)</f>
        <v>433.79</v>
      </c>
      <c r="X7" s="128">
        <f>ROUND((VLOOKUP($B7,ECONACIONAL!$C$7:$AC$219,25,0)),2)</f>
        <v>4066.24</v>
      </c>
      <c r="Y7" s="128">
        <f>ROUND((VLOOKUP($B7,ECONACIONAL!$C$7:$AC$219,26,0)),2)</f>
        <v>2009.62</v>
      </c>
      <c r="Z7" s="128">
        <f>ROUND((VLOOKUP($B7,ECONACIONAL!$C$7:$AC$219,27,0)),2)</f>
        <v>2056.62</v>
      </c>
      <c r="AA7" s="274">
        <v>186268116</v>
      </c>
      <c r="AB7" s="254" t="str">
        <f>+IFERROR(VLOOKUP(B7,#REF!,3,0),"")</f>
        <v/>
      </c>
    </row>
    <row r="8" spans="1:7918">
      <c r="A8" s="1">
        <f t="shared" ref="A8:A54" si="0">+A7+1</f>
        <v>3</v>
      </c>
      <c r="B8" s="255" t="s">
        <v>455</v>
      </c>
      <c r="C8" s="128">
        <v>141273606</v>
      </c>
      <c r="D8" s="1307" t="s">
        <v>455</v>
      </c>
      <c r="E8" s="145" t="str">
        <f>VLOOKUP(B8,distribucion!G$8:FP$153,2,0)</f>
        <v>Jefe de Recursos Humanos</v>
      </c>
      <c r="F8" s="128">
        <f>ROUND((VLOOKUP($B8,ECONACIONAL!$C$5:$AC$219,4,0)),2)</f>
        <v>30</v>
      </c>
      <c r="G8" s="128">
        <f>ROUND((VLOOKUP($B8,ECONACIONAL!$C$7:$AC$219,6,0)),2)</f>
        <v>9150</v>
      </c>
      <c r="H8" s="128">
        <f>ROUND((VLOOKUP($B8,ECONACIONAL!$C$7:$AC$219,7,0)),2)</f>
        <v>4500</v>
      </c>
      <c r="I8" s="128">
        <f>ROUND((VLOOKUP($B8,ECONACIONAL!$C$7:$AC$219,9,0)),2)</f>
        <v>0</v>
      </c>
      <c r="J8" s="128">
        <f>ROUND((VLOOKUP($B8,ECONACIONAL!$C$7:$AC$219,10,0)),2)</f>
        <v>0</v>
      </c>
      <c r="K8" s="128">
        <f>ROUND((VLOOKUP($B8,ECONACIONAL!$C$7:$AC$219,11,0)),2)</f>
        <v>0</v>
      </c>
      <c r="L8" s="128">
        <f>ROUND((VLOOKUP($B8,ECONACIONAL!$C$7:$AC$219,12,0)),2)</f>
        <v>0</v>
      </c>
      <c r="M8" s="128">
        <f>ROUND((VLOOKUP($B8,ECONACIONAL!$C$7:$AC$219,14,0)),2)</f>
        <v>0</v>
      </c>
      <c r="N8" s="128">
        <f>ROUND((VLOOKUP($B8,ECONACIONAL!$C$7:$AC$219,15,0)),2)</f>
        <v>13650</v>
      </c>
      <c r="O8" s="128">
        <f>ROUND((VLOOKUP($B8,ECONACIONAL!$C$7:$AC$219,16,0)),2)</f>
        <v>441.95</v>
      </c>
      <c r="P8" s="128">
        <f>ROUND((VLOOKUP($B8,ECONACIONAL!$C$7:$AC$219,17,0)),2)</f>
        <v>429.5</v>
      </c>
      <c r="Q8" s="128">
        <f>ROUND((VLOOKUP($B8,ECONACIONAL!$C$7:$AC$219,18,0)),2)</f>
        <v>0</v>
      </c>
      <c r="R8" s="128">
        <f>ROUND((VLOOKUP($B8,ECONACIONAL!$C$7:$AC$219,19,0)),2)</f>
        <v>0</v>
      </c>
      <c r="S8" s="128">
        <f>ROUND((VLOOKUP($B8,ECONACIONAL!$C$7:$AC$219,20,0)),2)</f>
        <v>0</v>
      </c>
      <c r="T8" s="128">
        <f>ROUND((VLOOKUP($B8,ECONACIONAL!$C$7:$AC$219,21,0)),2)</f>
        <v>0</v>
      </c>
      <c r="U8" s="128">
        <f>ROUND((VLOOKUP($B8,ECONACIONAL!$C$7:$AC$219,22,0)),2)</f>
        <v>602</v>
      </c>
      <c r="V8" s="128">
        <f>ROUND((VLOOKUP($B8,ECONACIONAL!$C$7:$AC$219,23,0)),2)</f>
        <v>0</v>
      </c>
      <c r="W8" s="128">
        <f>ROUND((VLOOKUP($B8,ECONACIONAL!$C$7:$AC$219,24,0)),2)</f>
        <v>1473.45</v>
      </c>
      <c r="X8" s="128">
        <f>ROUND((VLOOKUP($B8,ECONACIONAL!$C$7:$AC$219,25,0)),2)</f>
        <v>12176.55</v>
      </c>
      <c r="Y8" s="128">
        <f>ROUND((VLOOKUP($B8,ECONACIONAL!$C$7:$AC$219,26,0)),2)</f>
        <v>6089.28</v>
      </c>
      <c r="Z8" s="128">
        <f>ROUND((VLOOKUP($B8,ECONACIONAL!$C$7:$AC$219,27,0)),2)</f>
        <v>6087.27</v>
      </c>
      <c r="AA8" s="274">
        <v>201600115710</v>
      </c>
      <c r="AB8" s="254" t="str">
        <f>+IFERROR(VLOOKUP(B8,#REF!,3,0),"")</f>
        <v/>
      </c>
    </row>
    <row r="9" spans="1:7918" s="249" customFormat="1">
      <c r="A9" s="1">
        <f t="shared" si="0"/>
        <v>4</v>
      </c>
      <c r="B9" s="255" t="s">
        <v>553</v>
      </c>
      <c r="C9" s="168">
        <v>6260035867</v>
      </c>
      <c r="D9" s="1307" t="s">
        <v>553</v>
      </c>
      <c r="E9" s="145" t="str">
        <f>VLOOKUP(B9,distribucion!G$8:FP$153,2,0)</f>
        <v>Asistente de Recursos Humanos</v>
      </c>
      <c r="F9" s="128">
        <f>ROUND((VLOOKUP($B9,ECONACIONAL!$C$5:$AC$219,4,0)),2)</f>
        <v>30</v>
      </c>
      <c r="G9" s="128">
        <f>ROUND((VLOOKUP($B9,ECONACIONAL!$C$7:$AC$219,6,0)),2)</f>
        <v>4850</v>
      </c>
      <c r="H9" s="128">
        <f>ROUND((VLOOKUP($B9,ECONACIONAL!$C$7:$AC$219,7,0)),2)</f>
        <v>1500</v>
      </c>
      <c r="I9" s="128">
        <f>ROUND((VLOOKUP($B9,ECONACIONAL!$C$7:$AC$219,9,0)),2)</f>
        <v>0</v>
      </c>
      <c r="J9" s="128">
        <f>ROUND((VLOOKUP($B9,ECONACIONAL!$C$7:$AC$219,10,0)),2)</f>
        <v>0</v>
      </c>
      <c r="K9" s="128">
        <f>ROUND((VLOOKUP($B9,ECONACIONAL!$C$7:$AC$219,11,0)),2)</f>
        <v>0</v>
      </c>
      <c r="L9" s="128">
        <f>ROUND((VLOOKUP($B9,ECONACIONAL!$C$7:$AC$219,12,0)),2)</f>
        <v>0</v>
      </c>
      <c r="M9" s="128">
        <f>ROUND((VLOOKUP($B9,ECONACIONAL!$C$7:$AC$219,14,0)),2)</f>
        <v>0</v>
      </c>
      <c r="N9" s="128">
        <f>ROUND((VLOOKUP($B9,ECONACIONAL!$C$7:$AC$219,15,0)),2)</f>
        <v>6350</v>
      </c>
      <c r="O9" s="128">
        <f>ROUND((VLOOKUP($B9,ECONACIONAL!$C$7:$AC$219,16,0)),2)</f>
        <v>234.26</v>
      </c>
      <c r="P9" s="128">
        <f>ROUND((VLOOKUP($B9,ECONACIONAL!$C$7:$AC$219,17,0)),2)</f>
        <v>115.97</v>
      </c>
      <c r="Q9" s="128">
        <f>ROUND((VLOOKUP($B9,ECONACIONAL!$C$7:$AC$219,18,0)),2)</f>
        <v>0</v>
      </c>
      <c r="R9" s="128">
        <f>ROUND((VLOOKUP($B9,ECONACIONAL!$C$7:$AC$219,19,0)),2)</f>
        <v>0</v>
      </c>
      <c r="S9" s="128">
        <f>ROUND((VLOOKUP($B9,ECONACIONAL!$C$7:$AC$219,20,0)),2)</f>
        <v>313.43</v>
      </c>
      <c r="T9" s="128">
        <f>ROUND((VLOOKUP($B9,ECONACIONAL!$C$7:$AC$219,21,0)),2)</f>
        <v>0</v>
      </c>
      <c r="U9" s="128">
        <f>ROUND((VLOOKUP($B9,ECONACIONAL!$C$7:$AC$219,22,0)),2)</f>
        <v>205.5</v>
      </c>
      <c r="V9" s="128">
        <f>ROUND((VLOOKUP($B9,ECONACIONAL!$C$7:$AC$219,23,0)),2)</f>
        <v>350</v>
      </c>
      <c r="W9" s="128">
        <f>ROUND((VLOOKUP($B9,ECONACIONAL!$C$7:$AC$219,24,0)),2)</f>
        <v>1219.1600000000001</v>
      </c>
      <c r="X9" s="128">
        <f>ROUND((VLOOKUP($B9,ECONACIONAL!$C$7:$AC$219,25,0)),2)</f>
        <v>5130.84</v>
      </c>
      <c r="Y9" s="128">
        <f>ROUND((VLOOKUP($B9,ECONACIONAL!$C$7:$AC$219,26,0)),2)</f>
        <v>2475.6</v>
      </c>
      <c r="Z9" s="128">
        <f>ROUND((VLOOKUP($B9,ECONACIONAL!$C$7:$AC$219,27,0)),2)</f>
        <v>2655.24</v>
      </c>
      <c r="AA9" s="276">
        <v>0</v>
      </c>
      <c r="AB9" s="256" t="str">
        <f>+IFERROR(VLOOKUP(B9,#REF!,3,0),"")</f>
        <v/>
      </c>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c r="ACQ9" s="1"/>
      <c r="ACR9" s="1"/>
      <c r="ACS9" s="1"/>
      <c r="ACT9" s="1"/>
      <c r="ACU9" s="1"/>
      <c r="ACV9" s="1"/>
      <c r="ACW9" s="1"/>
      <c r="ACX9" s="1"/>
      <c r="ACY9" s="1"/>
      <c r="ACZ9" s="1"/>
      <c r="ADA9" s="1"/>
      <c r="ADB9" s="1"/>
      <c r="ADC9" s="1"/>
      <c r="ADD9" s="1"/>
      <c r="ADE9" s="1"/>
      <c r="ADF9" s="1"/>
      <c r="ADG9" s="1"/>
      <c r="ADH9" s="1"/>
      <c r="ADI9" s="1"/>
      <c r="ADJ9" s="1"/>
      <c r="ADK9" s="1"/>
      <c r="ADL9" s="1"/>
      <c r="ADM9" s="1"/>
      <c r="ADN9" s="1"/>
      <c r="ADO9" s="1"/>
      <c r="ADP9" s="1"/>
      <c r="ADQ9" s="1"/>
      <c r="ADR9" s="1"/>
      <c r="ADS9" s="1"/>
      <c r="ADT9" s="1"/>
      <c r="ADU9" s="1"/>
      <c r="ADV9" s="1"/>
      <c r="ADW9" s="1"/>
      <c r="ADX9" s="1"/>
      <c r="ADY9" s="1"/>
      <c r="ADZ9" s="1"/>
      <c r="AEA9" s="1"/>
      <c r="AEB9" s="1"/>
      <c r="AEC9" s="1"/>
      <c r="AED9" s="1"/>
      <c r="AEE9" s="1"/>
      <c r="AEF9" s="1"/>
      <c r="AEG9" s="1"/>
      <c r="AEH9" s="1"/>
      <c r="AEI9" s="1"/>
      <c r="AEJ9" s="1"/>
      <c r="AEK9" s="1"/>
      <c r="AEL9" s="1"/>
      <c r="AEM9" s="1"/>
      <c r="AEN9" s="1"/>
      <c r="AEO9" s="1"/>
      <c r="AEP9" s="1"/>
      <c r="AEQ9" s="1"/>
      <c r="AER9" s="1"/>
      <c r="AES9" s="1"/>
      <c r="AET9" s="1"/>
      <c r="AEU9" s="1"/>
      <c r="AEV9" s="1"/>
      <c r="AEW9" s="1"/>
      <c r="AEX9" s="1"/>
      <c r="AEY9" s="1"/>
      <c r="AEZ9" s="1"/>
      <c r="AFA9" s="1"/>
      <c r="AFB9" s="1"/>
      <c r="AFC9" s="1"/>
      <c r="AFD9" s="1"/>
      <c r="AFE9" s="1"/>
      <c r="AFF9" s="1"/>
      <c r="AFG9" s="1"/>
      <c r="AFH9" s="1"/>
      <c r="AFI9" s="1"/>
      <c r="AFJ9" s="1"/>
      <c r="AFK9" s="1"/>
      <c r="AFL9" s="1"/>
      <c r="AFM9" s="1"/>
      <c r="AFN9" s="1"/>
      <c r="AFO9" s="1"/>
      <c r="AFP9" s="1"/>
      <c r="AFQ9" s="1"/>
      <c r="AFR9" s="1"/>
      <c r="AFS9" s="1"/>
      <c r="AFT9" s="1"/>
      <c r="AFU9" s="1"/>
      <c r="AFV9" s="1"/>
      <c r="AFW9" s="1"/>
      <c r="AFX9" s="1"/>
      <c r="AFY9" s="1"/>
      <c r="AFZ9" s="1"/>
      <c r="AGA9" s="1"/>
      <c r="AGB9" s="1"/>
      <c r="AGC9" s="1"/>
      <c r="AGD9" s="1"/>
      <c r="AGE9" s="1"/>
      <c r="AGF9" s="1"/>
      <c r="AGG9" s="1"/>
      <c r="AGH9" s="1"/>
      <c r="AGI9" s="1"/>
      <c r="AGJ9" s="1"/>
      <c r="AGK9" s="1"/>
      <c r="AGL9" s="1"/>
      <c r="AGM9" s="1"/>
      <c r="AGN9" s="1"/>
      <c r="AGO9" s="1"/>
      <c r="AGP9" s="1"/>
      <c r="AGQ9" s="1"/>
      <c r="AGR9" s="1"/>
      <c r="AGS9" s="1"/>
      <c r="AGT9" s="1"/>
      <c r="AGU9" s="1"/>
      <c r="AGV9" s="1"/>
      <c r="AGW9" s="1"/>
      <c r="AGX9" s="1"/>
      <c r="AGY9" s="1"/>
      <c r="AGZ9" s="1"/>
      <c r="AHA9" s="1"/>
      <c r="AHB9" s="1"/>
      <c r="AHC9" s="1"/>
      <c r="AHD9" s="1"/>
      <c r="AHE9" s="1"/>
      <c r="AHF9" s="1"/>
      <c r="AHG9" s="1"/>
      <c r="AHH9" s="1"/>
      <c r="AHI9" s="1"/>
      <c r="AHJ9" s="1"/>
      <c r="AHK9" s="1"/>
      <c r="AHL9" s="1"/>
      <c r="AHM9" s="1"/>
      <c r="AHN9" s="1"/>
      <c r="AHO9" s="1"/>
      <c r="AHP9" s="1"/>
      <c r="AHQ9" s="1"/>
      <c r="AHR9" s="1"/>
      <c r="AHS9" s="1"/>
      <c r="AHT9" s="1"/>
      <c r="AHU9" s="1"/>
      <c r="AHV9" s="1"/>
      <c r="AHW9" s="1"/>
      <c r="AHX9" s="1"/>
      <c r="AHY9" s="1"/>
      <c r="AHZ9" s="1"/>
      <c r="AIA9" s="1"/>
      <c r="AIB9" s="1"/>
      <c r="AIC9" s="1"/>
      <c r="AID9" s="1"/>
      <c r="AIE9" s="1"/>
      <c r="AIF9" s="1"/>
      <c r="AIG9" s="1"/>
      <c r="AIH9" s="1"/>
      <c r="AII9" s="1"/>
      <c r="AIJ9" s="1"/>
      <c r="AIK9" s="1"/>
      <c r="AIL9" s="1"/>
      <c r="AIM9" s="1"/>
      <c r="AIN9" s="1"/>
      <c r="AIO9" s="1"/>
      <c r="AIP9" s="1"/>
      <c r="AIQ9" s="1"/>
      <c r="AIR9" s="1"/>
      <c r="AIS9" s="1"/>
      <c r="AIT9" s="1"/>
      <c r="AIU9" s="1"/>
      <c r="AIV9" s="1"/>
      <c r="AIW9" s="1"/>
      <c r="AIX9" s="1"/>
      <c r="AIY9" s="1"/>
      <c r="AIZ9" s="1"/>
      <c r="AJA9" s="1"/>
      <c r="AJB9" s="1"/>
      <c r="AJC9" s="1"/>
      <c r="AJD9" s="1"/>
      <c r="AJE9" s="1"/>
      <c r="AJF9" s="1"/>
      <c r="AJG9" s="1"/>
      <c r="AJH9" s="1"/>
      <c r="AJI9" s="1"/>
      <c r="AJJ9" s="1"/>
      <c r="AJK9" s="1"/>
      <c r="AJL9" s="1"/>
      <c r="AJM9" s="1"/>
      <c r="AJN9" s="1"/>
      <c r="AJO9" s="1"/>
      <c r="AJP9" s="1"/>
      <c r="AJQ9" s="1"/>
      <c r="AJR9" s="1"/>
      <c r="AJS9" s="1"/>
      <c r="AJT9" s="1"/>
      <c r="AJU9" s="1"/>
      <c r="AJV9" s="1"/>
      <c r="AJW9" s="1"/>
      <c r="AJX9" s="1"/>
      <c r="AJY9" s="1"/>
      <c r="AJZ9" s="1"/>
      <c r="AKA9" s="1"/>
      <c r="AKB9" s="1"/>
      <c r="AKC9" s="1"/>
      <c r="AKD9" s="1"/>
      <c r="AKE9" s="1"/>
      <c r="AKF9" s="1"/>
      <c r="AKG9" s="1"/>
      <c r="AKH9" s="1"/>
      <c r="AKI9" s="1"/>
      <c r="AKJ9" s="1"/>
      <c r="AKK9" s="1"/>
      <c r="AKL9" s="1"/>
      <c r="AKM9" s="1"/>
      <c r="AKN9" s="1"/>
      <c r="AKO9" s="1"/>
      <c r="AKP9" s="1"/>
      <c r="AKQ9" s="1"/>
      <c r="AKR9" s="1"/>
      <c r="AKS9" s="1"/>
      <c r="AKT9" s="1"/>
      <c r="AKU9" s="1"/>
      <c r="AKV9" s="1"/>
      <c r="AKW9" s="1"/>
      <c r="AKX9" s="1"/>
      <c r="AKY9" s="1"/>
      <c r="AKZ9" s="1"/>
      <c r="ALA9" s="1"/>
      <c r="ALB9" s="1"/>
      <c r="ALC9" s="1"/>
      <c r="ALD9" s="1"/>
      <c r="ALE9" s="1"/>
      <c r="ALF9" s="1"/>
      <c r="ALG9" s="1"/>
      <c r="ALH9" s="1"/>
      <c r="ALI9" s="1"/>
      <c r="ALJ9" s="1"/>
      <c r="ALK9" s="1"/>
      <c r="ALL9" s="1"/>
      <c r="ALM9" s="1"/>
      <c r="ALN9" s="1"/>
      <c r="ALO9" s="1"/>
      <c r="ALP9" s="1"/>
      <c r="ALQ9" s="1"/>
      <c r="ALR9" s="1"/>
      <c r="ALS9" s="1"/>
      <c r="ALT9" s="1"/>
      <c r="ALU9" s="1"/>
      <c r="ALV9" s="1"/>
      <c r="ALW9" s="1"/>
      <c r="ALX9" s="1"/>
      <c r="ALY9" s="1"/>
      <c r="ALZ9" s="1"/>
      <c r="AMA9" s="1"/>
      <c r="AMB9" s="1"/>
      <c r="AMC9" s="1"/>
      <c r="AMD9" s="1"/>
      <c r="AME9" s="1"/>
      <c r="AMF9" s="1"/>
      <c r="AMG9" s="1"/>
      <c r="AMH9" s="1"/>
      <c r="AMI9" s="1"/>
      <c r="AMJ9" s="1"/>
      <c r="AMK9" s="1"/>
      <c r="AML9" s="1"/>
      <c r="AMM9" s="1"/>
      <c r="AMN9" s="1"/>
      <c r="AMO9" s="1"/>
      <c r="AMP9" s="1"/>
      <c r="AMQ9" s="1"/>
      <c r="AMR9" s="1"/>
      <c r="AMS9" s="1"/>
      <c r="AMT9" s="1"/>
      <c r="AMU9" s="1"/>
      <c r="AMV9" s="1"/>
      <c r="AMW9" s="1"/>
      <c r="AMX9" s="1"/>
      <c r="AMY9" s="1"/>
      <c r="AMZ9" s="1"/>
      <c r="ANA9" s="1"/>
      <c r="ANB9" s="1"/>
      <c r="ANC9" s="1"/>
      <c r="AND9" s="1"/>
      <c r="ANE9" s="1"/>
      <c r="ANF9" s="1"/>
      <c r="ANG9" s="1"/>
      <c r="ANH9" s="1"/>
      <c r="ANI9" s="1"/>
      <c r="ANJ9" s="1"/>
      <c r="ANK9" s="1"/>
      <c r="ANL9" s="1"/>
      <c r="ANM9" s="1"/>
      <c r="ANN9" s="1"/>
      <c r="ANO9" s="1"/>
      <c r="ANP9" s="1"/>
      <c r="ANQ9" s="1"/>
      <c r="ANR9" s="1"/>
      <c r="ANS9" s="1"/>
      <c r="ANT9" s="1"/>
      <c r="ANU9" s="1"/>
      <c r="ANV9" s="1"/>
      <c r="ANW9" s="1"/>
      <c r="ANX9" s="1"/>
      <c r="ANY9" s="1"/>
      <c r="ANZ9" s="1"/>
      <c r="AOA9" s="1"/>
      <c r="AOB9" s="1"/>
      <c r="AOC9" s="1"/>
      <c r="AOD9" s="1"/>
      <c r="AOE9" s="1"/>
      <c r="AOF9" s="1"/>
      <c r="AOG9" s="1"/>
      <c r="AOH9" s="1"/>
      <c r="AOI9" s="1"/>
      <c r="AOJ9" s="1"/>
      <c r="AOK9" s="1"/>
      <c r="AOL9" s="1"/>
      <c r="AOM9" s="1"/>
      <c r="AON9" s="1"/>
      <c r="AOO9" s="1"/>
      <c r="AOP9" s="1"/>
      <c r="AOQ9" s="1"/>
      <c r="AOR9" s="1"/>
      <c r="AOS9" s="1"/>
      <c r="AOT9" s="1"/>
      <c r="AOU9" s="1"/>
      <c r="AOV9" s="1"/>
      <c r="AOW9" s="1"/>
      <c r="AOX9" s="1"/>
      <c r="AOY9" s="1"/>
      <c r="AOZ9" s="1"/>
      <c r="APA9" s="1"/>
      <c r="APB9" s="1"/>
      <c r="APC9" s="1"/>
      <c r="APD9" s="1"/>
      <c r="APE9" s="1"/>
      <c r="APF9" s="1"/>
      <c r="APG9" s="1"/>
      <c r="APH9" s="1"/>
      <c r="API9" s="1"/>
      <c r="APJ9" s="1"/>
      <c r="APK9" s="1"/>
      <c r="APL9" s="1"/>
      <c r="APM9" s="1"/>
      <c r="APN9" s="1"/>
      <c r="APO9" s="1"/>
      <c r="APP9" s="1"/>
      <c r="APQ9" s="1"/>
      <c r="APR9" s="1"/>
      <c r="APS9" s="1"/>
      <c r="APT9" s="1"/>
      <c r="APU9" s="1"/>
      <c r="APV9" s="1"/>
      <c r="APW9" s="1"/>
      <c r="APX9" s="1"/>
      <c r="APY9" s="1"/>
      <c r="APZ9" s="1"/>
      <c r="AQA9" s="1"/>
      <c r="AQB9" s="1"/>
      <c r="AQC9" s="1"/>
      <c r="AQD9" s="1"/>
      <c r="AQE9" s="1"/>
      <c r="AQF9" s="1"/>
      <c r="AQG9" s="1"/>
      <c r="AQH9" s="1"/>
      <c r="AQI9" s="1"/>
      <c r="AQJ9" s="1"/>
      <c r="AQK9" s="1"/>
      <c r="AQL9" s="1"/>
      <c r="AQM9" s="1"/>
      <c r="AQN9" s="1"/>
      <c r="AQO9" s="1"/>
      <c r="AQP9" s="1"/>
      <c r="AQQ9" s="1"/>
      <c r="AQR9" s="1"/>
      <c r="AQS9" s="1"/>
      <c r="AQT9" s="1"/>
      <c r="AQU9" s="1"/>
      <c r="AQV9" s="1"/>
      <c r="AQW9" s="1"/>
      <c r="AQX9" s="1"/>
      <c r="AQY9" s="1"/>
      <c r="AQZ9" s="1"/>
      <c r="ARA9" s="1"/>
      <c r="ARB9" s="1"/>
      <c r="ARC9" s="1"/>
      <c r="ARD9" s="1"/>
      <c r="ARE9" s="1"/>
      <c r="ARF9" s="1"/>
      <c r="ARG9" s="1"/>
      <c r="ARH9" s="1"/>
      <c r="ARI9" s="1"/>
      <c r="ARJ9" s="1"/>
      <c r="ARK9" s="1"/>
      <c r="ARL9" s="1"/>
      <c r="ARM9" s="1"/>
      <c r="ARN9" s="1"/>
      <c r="ARO9" s="1"/>
      <c r="ARP9" s="1"/>
      <c r="ARQ9" s="1"/>
      <c r="ARR9" s="1"/>
      <c r="ARS9" s="1"/>
      <c r="ART9" s="1"/>
      <c r="ARU9" s="1"/>
      <c r="ARV9" s="1"/>
      <c r="ARW9" s="1"/>
      <c r="ARX9" s="1"/>
      <c r="ARY9" s="1"/>
      <c r="ARZ9" s="1"/>
      <c r="ASA9" s="1"/>
      <c r="ASB9" s="1"/>
      <c r="ASC9" s="1"/>
      <c r="ASD9" s="1"/>
      <c r="ASE9" s="1"/>
      <c r="ASF9" s="1"/>
      <c r="ASG9" s="1"/>
      <c r="ASH9" s="1"/>
      <c r="ASI9" s="1"/>
      <c r="ASJ9" s="1"/>
      <c r="ASK9" s="1"/>
      <c r="ASL9" s="1"/>
      <c r="ASM9" s="1"/>
      <c r="ASN9" s="1"/>
      <c r="ASO9" s="1"/>
      <c r="ASP9" s="1"/>
      <c r="ASQ9" s="1"/>
      <c r="ASR9" s="1"/>
      <c r="ASS9" s="1"/>
      <c r="AST9" s="1"/>
      <c r="ASU9" s="1"/>
      <c r="ASV9" s="1"/>
      <c r="ASW9" s="1"/>
      <c r="ASX9" s="1"/>
      <c r="ASY9" s="1"/>
      <c r="ASZ9" s="1"/>
      <c r="ATA9" s="1"/>
      <c r="ATB9" s="1"/>
      <c r="ATC9" s="1"/>
      <c r="ATD9" s="1"/>
      <c r="ATE9" s="1"/>
      <c r="ATF9" s="1"/>
      <c r="ATG9" s="1"/>
      <c r="ATH9" s="1"/>
      <c r="ATI9" s="1"/>
      <c r="ATJ9" s="1"/>
      <c r="ATK9" s="1"/>
      <c r="ATL9" s="1"/>
      <c r="ATM9" s="1"/>
      <c r="ATN9" s="1"/>
      <c r="ATO9" s="1"/>
      <c r="ATP9" s="1"/>
      <c r="ATQ9" s="1"/>
      <c r="ATR9" s="1"/>
      <c r="ATS9" s="1"/>
      <c r="ATT9" s="1"/>
      <c r="ATU9" s="1"/>
      <c r="ATV9" s="1"/>
      <c r="ATW9" s="1"/>
      <c r="ATX9" s="1"/>
      <c r="ATY9" s="1"/>
      <c r="ATZ9" s="1"/>
      <c r="AUA9" s="1"/>
      <c r="AUB9" s="1"/>
      <c r="AUC9" s="1"/>
      <c r="AUD9" s="1"/>
      <c r="AUE9" s="1"/>
      <c r="AUF9" s="1"/>
      <c r="AUG9" s="1"/>
      <c r="AUH9" s="1"/>
      <c r="AUI9" s="1"/>
      <c r="AUJ9" s="1"/>
      <c r="AUK9" s="1"/>
      <c r="AUL9" s="1"/>
      <c r="AUM9" s="1"/>
      <c r="AUN9" s="1"/>
      <c r="AUO9" s="1"/>
      <c r="AUP9" s="1"/>
      <c r="AUQ9" s="1"/>
      <c r="AUR9" s="1"/>
      <c r="AUS9" s="1"/>
      <c r="AUT9" s="1"/>
      <c r="AUU9" s="1"/>
      <c r="AUV9" s="1"/>
      <c r="AUW9" s="1"/>
      <c r="AUX9" s="1"/>
      <c r="AUY9" s="1"/>
      <c r="AUZ9" s="1"/>
      <c r="AVA9" s="1"/>
      <c r="AVB9" s="1"/>
      <c r="AVC9" s="1"/>
      <c r="AVD9" s="1"/>
      <c r="AVE9" s="1"/>
      <c r="AVF9" s="1"/>
      <c r="AVG9" s="1"/>
      <c r="AVH9" s="1"/>
      <c r="AVI9" s="1"/>
      <c r="AVJ9" s="1"/>
      <c r="AVK9" s="1"/>
      <c r="AVL9" s="1"/>
      <c r="AVM9" s="1"/>
      <c r="AVN9" s="1"/>
      <c r="AVO9" s="1"/>
      <c r="AVP9" s="1"/>
      <c r="AVQ9" s="1"/>
      <c r="AVR9" s="1"/>
      <c r="AVS9" s="1"/>
      <c r="AVT9" s="1"/>
      <c r="AVU9" s="1"/>
      <c r="AVV9" s="1"/>
      <c r="AVW9" s="1"/>
      <c r="AVX9" s="1"/>
      <c r="AVY9" s="1"/>
      <c r="AVZ9" s="1"/>
      <c r="AWA9" s="1"/>
      <c r="AWB9" s="1"/>
      <c r="AWC9" s="1"/>
      <c r="AWD9" s="1"/>
      <c r="AWE9" s="1"/>
      <c r="AWF9" s="1"/>
      <c r="AWG9" s="1"/>
      <c r="AWH9" s="1"/>
      <c r="AWI9" s="1"/>
      <c r="AWJ9" s="1"/>
      <c r="AWK9" s="1"/>
      <c r="AWL9" s="1"/>
      <c r="AWM9" s="1"/>
      <c r="AWN9" s="1"/>
      <c r="AWO9" s="1"/>
      <c r="AWP9" s="1"/>
      <c r="AWQ9" s="1"/>
      <c r="AWR9" s="1"/>
      <c r="AWS9" s="1"/>
      <c r="AWT9" s="1"/>
      <c r="AWU9" s="1"/>
      <c r="AWV9" s="1"/>
      <c r="AWW9" s="1"/>
      <c r="AWX9" s="1"/>
      <c r="AWY9" s="1"/>
      <c r="AWZ9" s="1"/>
      <c r="AXA9" s="1"/>
      <c r="AXB9" s="1"/>
      <c r="AXC9" s="1"/>
      <c r="AXD9" s="1"/>
      <c r="AXE9" s="1"/>
      <c r="AXF9" s="1"/>
      <c r="AXG9" s="1"/>
      <c r="AXH9" s="1"/>
      <c r="AXI9" s="1"/>
      <c r="AXJ9" s="1"/>
      <c r="AXK9" s="1"/>
      <c r="AXL9" s="1"/>
      <c r="AXM9" s="1"/>
      <c r="AXN9" s="1"/>
      <c r="AXO9" s="1"/>
      <c r="AXP9" s="1"/>
      <c r="AXQ9" s="1"/>
      <c r="AXR9" s="1"/>
      <c r="AXS9" s="1"/>
      <c r="AXT9" s="1"/>
      <c r="AXU9" s="1"/>
      <c r="AXV9" s="1"/>
      <c r="AXW9" s="1"/>
      <c r="AXX9" s="1"/>
      <c r="AXY9" s="1"/>
      <c r="AXZ9" s="1"/>
      <c r="AYA9" s="1"/>
      <c r="AYB9" s="1"/>
      <c r="AYC9" s="1"/>
      <c r="AYD9" s="1"/>
      <c r="AYE9" s="1"/>
      <c r="AYF9" s="1"/>
      <c r="AYG9" s="1"/>
      <c r="AYH9" s="1"/>
      <c r="AYI9" s="1"/>
      <c r="AYJ9" s="1"/>
      <c r="AYK9" s="1"/>
      <c r="AYL9" s="1"/>
      <c r="AYM9" s="1"/>
      <c r="AYN9" s="1"/>
      <c r="AYO9" s="1"/>
      <c r="AYP9" s="1"/>
      <c r="AYQ9" s="1"/>
      <c r="AYR9" s="1"/>
      <c r="AYS9" s="1"/>
      <c r="AYT9" s="1"/>
      <c r="AYU9" s="1"/>
      <c r="AYV9" s="1"/>
      <c r="AYW9" s="1"/>
      <c r="AYX9" s="1"/>
      <c r="AYY9" s="1"/>
      <c r="AYZ9" s="1"/>
      <c r="AZA9" s="1"/>
      <c r="AZB9" s="1"/>
      <c r="AZC9" s="1"/>
      <c r="AZD9" s="1"/>
      <c r="AZE9" s="1"/>
      <c r="AZF9" s="1"/>
      <c r="AZG9" s="1"/>
      <c r="AZH9" s="1"/>
      <c r="AZI9" s="1"/>
      <c r="AZJ9" s="1"/>
      <c r="AZK9" s="1"/>
      <c r="AZL9" s="1"/>
      <c r="AZM9" s="1"/>
      <c r="AZN9" s="1"/>
      <c r="AZO9" s="1"/>
      <c r="AZP9" s="1"/>
      <c r="AZQ9" s="1"/>
      <c r="AZR9" s="1"/>
      <c r="AZS9" s="1"/>
      <c r="AZT9" s="1"/>
      <c r="AZU9" s="1"/>
      <c r="AZV9" s="1"/>
      <c r="AZW9" s="1"/>
      <c r="AZX9" s="1"/>
      <c r="AZY9" s="1"/>
      <c r="AZZ9" s="1"/>
      <c r="BAA9" s="1"/>
      <c r="BAB9" s="1"/>
      <c r="BAC9" s="1"/>
      <c r="BAD9" s="1"/>
      <c r="BAE9" s="1"/>
      <c r="BAF9" s="1"/>
      <c r="BAG9" s="1"/>
      <c r="BAH9" s="1"/>
      <c r="BAI9" s="1"/>
      <c r="BAJ9" s="1"/>
      <c r="BAK9" s="1"/>
      <c r="BAL9" s="1"/>
      <c r="BAM9" s="1"/>
      <c r="BAN9" s="1"/>
      <c r="BAO9" s="1"/>
      <c r="BAP9" s="1"/>
      <c r="BAQ9" s="1"/>
      <c r="BAR9" s="1"/>
      <c r="BAS9" s="1"/>
      <c r="BAT9" s="1"/>
      <c r="BAU9" s="1"/>
      <c r="BAV9" s="1"/>
      <c r="BAW9" s="1"/>
      <c r="BAX9" s="1"/>
      <c r="BAY9" s="1"/>
      <c r="BAZ9" s="1"/>
      <c r="BBA9" s="1"/>
      <c r="BBB9" s="1"/>
      <c r="BBC9" s="1"/>
      <c r="BBD9" s="1"/>
      <c r="BBE9" s="1"/>
      <c r="BBF9" s="1"/>
      <c r="BBG9" s="1"/>
      <c r="BBH9" s="1"/>
      <c r="BBI9" s="1"/>
      <c r="BBJ9" s="1"/>
      <c r="BBK9" s="1"/>
      <c r="BBL9" s="1"/>
      <c r="BBM9" s="1"/>
      <c r="BBN9" s="1"/>
      <c r="BBO9" s="1"/>
      <c r="BBP9" s="1"/>
      <c r="BBQ9" s="1"/>
      <c r="BBR9" s="1"/>
      <c r="BBS9" s="1"/>
      <c r="BBT9" s="1"/>
      <c r="BBU9" s="1"/>
      <c r="BBV9" s="1"/>
      <c r="BBW9" s="1"/>
      <c r="BBX9" s="1"/>
      <c r="BBY9" s="1"/>
      <c r="BBZ9" s="1"/>
      <c r="BCA9" s="1"/>
      <c r="BCB9" s="1"/>
      <c r="BCC9" s="1"/>
      <c r="BCD9" s="1"/>
      <c r="BCE9" s="1"/>
      <c r="BCF9" s="1"/>
      <c r="BCG9" s="1"/>
      <c r="BCH9" s="1"/>
      <c r="BCI9" s="1"/>
      <c r="BCJ9" s="1"/>
      <c r="BCK9" s="1"/>
      <c r="BCL9" s="1"/>
      <c r="BCM9" s="1"/>
      <c r="BCN9" s="1"/>
      <c r="BCO9" s="1"/>
      <c r="BCP9" s="1"/>
      <c r="BCQ9" s="1"/>
      <c r="BCR9" s="1"/>
      <c r="BCS9" s="1"/>
      <c r="BCT9" s="1"/>
      <c r="BCU9" s="1"/>
      <c r="BCV9" s="1"/>
      <c r="BCW9" s="1"/>
      <c r="BCX9" s="1"/>
      <c r="BCY9" s="1"/>
      <c r="BCZ9" s="1"/>
      <c r="BDA9" s="1"/>
      <c r="BDB9" s="1"/>
      <c r="BDC9" s="1"/>
      <c r="BDD9" s="1"/>
      <c r="BDE9" s="1"/>
      <c r="BDF9" s="1"/>
      <c r="BDG9" s="1"/>
      <c r="BDH9" s="1"/>
      <c r="BDI9" s="1"/>
      <c r="BDJ9" s="1"/>
      <c r="BDK9" s="1"/>
      <c r="BDL9" s="1"/>
      <c r="BDM9" s="1"/>
      <c r="BDN9" s="1"/>
      <c r="BDO9" s="1"/>
      <c r="BDP9" s="1"/>
      <c r="BDQ9" s="1"/>
      <c r="BDR9" s="1"/>
      <c r="BDS9" s="1"/>
      <c r="BDT9" s="1"/>
      <c r="BDU9" s="1"/>
      <c r="BDV9" s="1"/>
      <c r="BDW9" s="1"/>
      <c r="BDX9" s="1"/>
      <c r="BDY9" s="1"/>
      <c r="BDZ9" s="1"/>
      <c r="BEA9" s="1"/>
      <c r="BEB9" s="1"/>
      <c r="BEC9" s="1"/>
      <c r="BED9" s="1"/>
      <c r="BEE9" s="1"/>
      <c r="BEF9" s="1"/>
      <c r="BEG9" s="1"/>
      <c r="BEH9" s="1"/>
      <c r="BEI9" s="1"/>
      <c r="BEJ9" s="1"/>
      <c r="BEK9" s="1"/>
      <c r="BEL9" s="1"/>
      <c r="BEM9" s="1"/>
      <c r="BEN9" s="1"/>
      <c r="BEO9" s="1"/>
      <c r="BEP9" s="1"/>
      <c r="BEQ9" s="1"/>
      <c r="BER9" s="1"/>
      <c r="BES9" s="1"/>
      <c r="BET9" s="1"/>
      <c r="BEU9" s="1"/>
      <c r="BEV9" s="1"/>
      <c r="BEW9" s="1"/>
      <c r="BEX9" s="1"/>
      <c r="BEY9" s="1"/>
      <c r="BEZ9" s="1"/>
      <c r="BFA9" s="1"/>
      <c r="BFB9" s="1"/>
      <c r="BFC9" s="1"/>
      <c r="BFD9" s="1"/>
      <c r="BFE9" s="1"/>
      <c r="BFF9" s="1"/>
      <c r="BFG9" s="1"/>
      <c r="BFH9" s="1"/>
      <c r="BFI9" s="1"/>
      <c r="BFJ9" s="1"/>
      <c r="BFK9" s="1"/>
      <c r="BFL9" s="1"/>
      <c r="BFM9" s="1"/>
      <c r="BFN9" s="1"/>
      <c r="BFO9" s="1"/>
      <c r="BFP9" s="1"/>
      <c r="BFQ9" s="1"/>
      <c r="BFR9" s="1"/>
      <c r="BFS9" s="1"/>
      <c r="BFT9" s="1"/>
      <c r="BFU9" s="1"/>
      <c r="BFV9" s="1"/>
      <c r="BFW9" s="1"/>
      <c r="BFX9" s="1"/>
      <c r="BFY9" s="1"/>
      <c r="BFZ9" s="1"/>
      <c r="BGA9" s="1"/>
      <c r="BGB9" s="1"/>
      <c r="BGC9" s="1"/>
      <c r="BGD9" s="1"/>
      <c r="BGE9" s="1"/>
      <c r="BGF9" s="1"/>
      <c r="BGG9" s="1"/>
      <c r="BGH9" s="1"/>
      <c r="BGI9" s="1"/>
      <c r="BGJ9" s="1"/>
      <c r="BGK9" s="1"/>
      <c r="BGL9" s="1"/>
      <c r="BGM9" s="1"/>
      <c r="BGN9" s="1"/>
      <c r="BGO9" s="1"/>
      <c r="BGP9" s="1"/>
      <c r="BGQ9" s="1"/>
      <c r="BGR9" s="1"/>
      <c r="BGS9" s="1"/>
      <c r="BGT9" s="1"/>
      <c r="BGU9" s="1"/>
      <c r="BGV9" s="1"/>
      <c r="BGW9" s="1"/>
      <c r="BGX9" s="1"/>
      <c r="BGY9" s="1"/>
      <c r="BGZ9" s="1"/>
      <c r="BHA9" s="1"/>
      <c r="BHB9" s="1"/>
      <c r="BHC9" s="1"/>
      <c r="BHD9" s="1"/>
      <c r="BHE9" s="1"/>
      <c r="BHF9" s="1"/>
      <c r="BHG9" s="1"/>
      <c r="BHH9" s="1"/>
      <c r="BHI9" s="1"/>
      <c r="BHJ9" s="1"/>
      <c r="BHK9" s="1"/>
      <c r="BHL9" s="1"/>
      <c r="BHM9" s="1"/>
      <c r="BHN9" s="1"/>
      <c r="BHO9" s="1"/>
      <c r="BHP9" s="1"/>
      <c r="BHQ9" s="1"/>
      <c r="BHR9" s="1"/>
      <c r="BHS9" s="1"/>
      <c r="BHT9" s="1"/>
      <c r="BHU9" s="1"/>
      <c r="BHV9" s="1"/>
      <c r="BHW9" s="1"/>
      <c r="BHX9" s="1"/>
      <c r="BHY9" s="1"/>
      <c r="BHZ9" s="1"/>
      <c r="BIA9" s="1"/>
      <c r="BIB9" s="1"/>
      <c r="BIC9" s="1"/>
      <c r="BID9" s="1"/>
      <c r="BIE9" s="1"/>
      <c r="BIF9" s="1"/>
      <c r="BIG9" s="1"/>
      <c r="BIH9" s="1"/>
      <c r="BII9" s="1"/>
      <c r="BIJ9" s="1"/>
      <c r="BIK9" s="1"/>
      <c r="BIL9" s="1"/>
      <c r="BIM9" s="1"/>
      <c r="BIN9" s="1"/>
      <c r="BIO9" s="1"/>
      <c r="BIP9" s="1"/>
      <c r="BIQ9" s="1"/>
      <c r="BIR9" s="1"/>
      <c r="BIS9" s="1"/>
      <c r="BIT9" s="1"/>
      <c r="BIU9" s="1"/>
      <c r="BIV9" s="1"/>
      <c r="BIW9" s="1"/>
      <c r="BIX9" s="1"/>
      <c r="BIY9" s="1"/>
      <c r="BIZ9" s="1"/>
      <c r="BJA9" s="1"/>
      <c r="BJB9" s="1"/>
      <c r="BJC9" s="1"/>
      <c r="BJD9" s="1"/>
      <c r="BJE9" s="1"/>
      <c r="BJF9" s="1"/>
      <c r="BJG9" s="1"/>
      <c r="BJH9" s="1"/>
      <c r="BJI9" s="1"/>
      <c r="BJJ9" s="1"/>
      <c r="BJK9" s="1"/>
      <c r="BJL9" s="1"/>
      <c r="BJM9" s="1"/>
      <c r="BJN9" s="1"/>
      <c r="BJO9" s="1"/>
      <c r="BJP9" s="1"/>
      <c r="BJQ9" s="1"/>
      <c r="BJR9" s="1"/>
      <c r="BJS9" s="1"/>
      <c r="BJT9" s="1"/>
      <c r="BJU9" s="1"/>
      <c r="BJV9" s="1"/>
      <c r="BJW9" s="1"/>
      <c r="BJX9" s="1"/>
      <c r="BJY9" s="1"/>
      <c r="BJZ9" s="1"/>
      <c r="BKA9" s="1"/>
      <c r="BKB9" s="1"/>
      <c r="BKC9" s="1"/>
      <c r="BKD9" s="1"/>
      <c r="BKE9" s="1"/>
      <c r="BKF9" s="1"/>
      <c r="BKG9" s="1"/>
      <c r="BKH9" s="1"/>
      <c r="BKI9" s="1"/>
      <c r="BKJ9" s="1"/>
      <c r="BKK9" s="1"/>
      <c r="BKL9" s="1"/>
      <c r="BKM9" s="1"/>
      <c r="BKN9" s="1"/>
      <c r="BKO9" s="1"/>
      <c r="BKP9" s="1"/>
      <c r="BKQ9" s="1"/>
      <c r="BKR9" s="1"/>
      <c r="BKS9" s="1"/>
      <c r="BKT9" s="1"/>
      <c r="BKU9" s="1"/>
      <c r="BKV9" s="1"/>
      <c r="BKW9" s="1"/>
      <c r="BKX9" s="1"/>
      <c r="BKY9" s="1"/>
      <c r="BKZ9" s="1"/>
      <c r="BLA9" s="1"/>
      <c r="BLB9" s="1"/>
      <c r="BLC9" s="1"/>
      <c r="BLD9" s="1"/>
      <c r="BLE9" s="1"/>
      <c r="BLF9" s="1"/>
      <c r="BLG9" s="1"/>
      <c r="BLH9" s="1"/>
      <c r="BLI9" s="1"/>
      <c r="BLJ9" s="1"/>
      <c r="BLK9" s="1"/>
      <c r="BLL9" s="1"/>
      <c r="BLM9" s="1"/>
      <c r="BLN9" s="1"/>
      <c r="BLO9" s="1"/>
      <c r="BLP9" s="1"/>
      <c r="BLQ9" s="1"/>
      <c r="BLR9" s="1"/>
      <c r="BLS9" s="1"/>
      <c r="BLT9" s="1"/>
      <c r="BLU9" s="1"/>
      <c r="BLV9" s="1"/>
      <c r="BLW9" s="1"/>
      <c r="BLX9" s="1"/>
      <c r="BLY9" s="1"/>
      <c r="BLZ9" s="1"/>
      <c r="BMA9" s="1"/>
      <c r="BMB9" s="1"/>
      <c r="BMC9" s="1"/>
      <c r="BMD9" s="1"/>
      <c r="BME9" s="1"/>
      <c r="BMF9" s="1"/>
      <c r="BMG9" s="1"/>
      <c r="BMH9" s="1"/>
      <c r="BMI9" s="1"/>
      <c r="BMJ9" s="1"/>
      <c r="BMK9" s="1"/>
      <c r="BML9" s="1"/>
      <c r="BMM9" s="1"/>
      <c r="BMN9" s="1"/>
      <c r="BMO9" s="1"/>
      <c r="BMP9" s="1"/>
      <c r="BMQ9" s="1"/>
      <c r="BMR9" s="1"/>
      <c r="BMS9" s="1"/>
      <c r="BMT9" s="1"/>
      <c r="BMU9" s="1"/>
      <c r="BMV9" s="1"/>
      <c r="BMW9" s="1"/>
      <c r="BMX9" s="1"/>
      <c r="BMY9" s="1"/>
      <c r="BMZ9" s="1"/>
      <c r="BNA9" s="1"/>
      <c r="BNB9" s="1"/>
      <c r="BNC9" s="1"/>
      <c r="BND9" s="1"/>
      <c r="BNE9" s="1"/>
      <c r="BNF9" s="1"/>
      <c r="BNG9" s="1"/>
      <c r="BNH9" s="1"/>
      <c r="BNI9" s="1"/>
      <c r="BNJ9" s="1"/>
      <c r="BNK9" s="1"/>
      <c r="BNL9" s="1"/>
      <c r="BNM9" s="1"/>
      <c r="BNN9" s="1"/>
      <c r="BNO9" s="1"/>
      <c r="BNP9" s="1"/>
      <c r="BNQ9" s="1"/>
      <c r="BNR9" s="1"/>
      <c r="BNS9" s="1"/>
      <c r="BNT9" s="1"/>
      <c r="BNU9" s="1"/>
      <c r="BNV9" s="1"/>
      <c r="BNW9" s="1"/>
      <c r="BNX9" s="1"/>
      <c r="BNY9" s="1"/>
      <c r="BNZ9" s="1"/>
      <c r="BOA9" s="1"/>
      <c r="BOB9" s="1"/>
      <c r="BOC9" s="1"/>
      <c r="BOD9" s="1"/>
      <c r="BOE9" s="1"/>
      <c r="BOF9" s="1"/>
      <c r="BOG9" s="1"/>
      <c r="BOH9" s="1"/>
      <c r="BOI9" s="1"/>
      <c r="BOJ9" s="1"/>
      <c r="BOK9" s="1"/>
      <c r="BOL9" s="1"/>
      <c r="BOM9" s="1"/>
      <c r="BON9" s="1"/>
      <c r="BOO9" s="1"/>
      <c r="BOP9" s="1"/>
      <c r="BOQ9" s="1"/>
      <c r="BOR9" s="1"/>
      <c r="BOS9" s="1"/>
      <c r="BOT9" s="1"/>
      <c r="BOU9" s="1"/>
      <c r="BOV9" s="1"/>
      <c r="BOW9" s="1"/>
      <c r="BOX9" s="1"/>
      <c r="BOY9" s="1"/>
      <c r="BOZ9" s="1"/>
      <c r="BPA9" s="1"/>
      <c r="BPB9" s="1"/>
      <c r="BPC9" s="1"/>
      <c r="BPD9" s="1"/>
      <c r="BPE9" s="1"/>
      <c r="BPF9" s="1"/>
      <c r="BPG9" s="1"/>
      <c r="BPH9" s="1"/>
      <c r="BPI9" s="1"/>
      <c r="BPJ9" s="1"/>
      <c r="BPK9" s="1"/>
      <c r="BPL9" s="1"/>
      <c r="BPM9" s="1"/>
      <c r="BPN9" s="1"/>
      <c r="BPO9" s="1"/>
      <c r="BPP9" s="1"/>
      <c r="BPQ9" s="1"/>
      <c r="BPR9" s="1"/>
      <c r="BPS9" s="1"/>
      <c r="BPT9" s="1"/>
      <c r="BPU9" s="1"/>
      <c r="BPV9" s="1"/>
      <c r="BPW9" s="1"/>
      <c r="BPX9" s="1"/>
      <c r="BPY9" s="1"/>
      <c r="BPZ9" s="1"/>
      <c r="BQA9" s="1"/>
      <c r="BQB9" s="1"/>
      <c r="BQC9" s="1"/>
      <c r="BQD9" s="1"/>
      <c r="BQE9" s="1"/>
      <c r="BQF9" s="1"/>
      <c r="BQG9" s="1"/>
      <c r="BQH9" s="1"/>
      <c r="BQI9" s="1"/>
      <c r="BQJ9" s="1"/>
      <c r="BQK9" s="1"/>
      <c r="BQL9" s="1"/>
      <c r="BQM9" s="1"/>
      <c r="BQN9" s="1"/>
      <c r="BQO9" s="1"/>
      <c r="BQP9" s="1"/>
      <c r="BQQ9" s="1"/>
      <c r="BQR9" s="1"/>
      <c r="BQS9" s="1"/>
      <c r="BQT9" s="1"/>
      <c r="BQU9" s="1"/>
      <c r="BQV9" s="1"/>
      <c r="BQW9" s="1"/>
      <c r="BQX9" s="1"/>
      <c r="BQY9" s="1"/>
      <c r="BQZ9" s="1"/>
      <c r="BRA9" s="1"/>
      <c r="BRB9" s="1"/>
      <c r="BRC9" s="1"/>
      <c r="BRD9" s="1"/>
      <c r="BRE9" s="1"/>
      <c r="BRF9" s="1"/>
      <c r="BRG9" s="1"/>
      <c r="BRH9" s="1"/>
      <c r="BRI9" s="1"/>
      <c r="BRJ9" s="1"/>
      <c r="BRK9" s="1"/>
      <c r="BRL9" s="1"/>
      <c r="BRM9" s="1"/>
      <c r="BRN9" s="1"/>
      <c r="BRO9" s="1"/>
      <c r="BRP9" s="1"/>
      <c r="BRQ9" s="1"/>
      <c r="BRR9" s="1"/>
      <c r="BRS9" s="1"/>
      <c r="BRT9" s="1"/>
      <c r="BRU9" s="1"/>
      <c r="BRV9" s="1"/>
      <c r="BRW9" s="1"/>
      <c r="BRX9" s="1"/>
      <c r="BRY9" s="1"/>
      <c r="BRZ9" s="1"/>
      <c r="BSA9" s="1"/>
      <c r="BSB9" s="1"/>
      <c r="BSC9" s="1"/>
      <c r="BSD9" s="1"/>
      <c r="BSE9" s="1"/>
      <c r="BSF9" s="1"/>
      <c r="BSG9" s="1"/>
      <c r="BSH9" s="1"/>
      <c r="BSI9" s="1"/>
      <c r="BSJ9" s="1"/>
      <c r="BSK9" s="1"/>
      <c r="BSL9" s="1"/>
      <c r="BSM9" s="1"/>
      <c r="BSN9" s="1"/>
      <c r="BSO9" s="1"/>
      <c r="BSP9" s="1"/>
      <c r="BSQ9" s="1"/>
      <c r="BSR9" s="1"/>
      <c r="BSS9" s="1"/>
      <c r="BST9" s="1"/>
      <c r="BSU9" s="1"/>
      <c r="BSV9" s="1"/>
      <c r="BSW9" s="1"/>
      <c r="BSX9" s="1"/>
      <c r="BSY9" s="1"/>
      <c r="BSZ9" s="1"/>
      <c r="BTA9" s="1"/>
      <c r="BTB9" s="1"/>
      <c r="BTC9" s="1"/>
      <c r="BTD9" s="1"/>
      <c r="BTE9" s="1"/>
      <c r="BTF9" s="1"/>
      <c r="BTG9" s="1"/>
      <c r="BTH9" s="1"/>
      <c r="BTI9" s="1"/>
      <c r="BTJ9" s="1"/>
      <c r="BTK9" s="1"/>
      <c r="BTL9" s="1"/>
      <c r="BTM9" s="1"/>
      <c r="BTN9" s="1"/>
      <c r="BTO9" s="1"/>
      <c r="BTP9" s="1"/>
      <c r="BTQ9" s="1"/>
      <c r="BTR9" s="1"/>
      <c r="BTS9" s="1"/>
      <c r="BTT9" s="1"/>
      <c r="BTU9" s="1"/>
      <c r="BTV9" s="1"/>
      <c r="BTW9" s="1"/>
      <c r="BTX9" s="1"/>
      <c r="BTY9" s="1"/>
      <c r="BTZ9" s="1"/>
      <c r="BUA9" s="1"/>
      <c r="BUB9" s="1"/>
      <c r="BUC9" s="1"/>
      <c r="BUD9" s="1"/>
      <c r="BUE9" s="1"/>
      <c r="BUF9" s="1"/>
      <c r="BUG9" s="1"/>
      <c r="BUH9" s="1"/>
      <c r="BUI9" s="1"/>
      <c r="BUJ9" s="1"/>
      <c r="BUK9" s="1"/>
      <c r="BUL9" s="1"/>
      <c r="BUM9" s="1"/>
      <c r="BUN9" s="1"/>
      <c r="BUO9" s="1"/>
      <c r="BUP9" s="1"/>
      <c r="BUQ9" s="1"/>
      <c r="BUR9" s="1"/>
      <c r="BUS9" s="1"/>
      <c r="BUT9" s="1"/>
      <c r="BUU9" s="1"/>
      <c r="BUV9" s="1"/>
      <c r="BUW9" s="1"/>
      <c r="BUX9" s="1"/>
      <c r="BUY9" s="1"/>
      <c r="BUZ9" s="1"/>
      <c r="BVA9" s="1"/>
      <c r="BVB9" s="1"/>
      <c r="BVC9" s="1"/>
      <c r="BVD9" s="1"/>
      <c r="BVE9" s="1"/>
      <c r="BVF9" s="1"/>
      <c r="BVG9" s="1"/>
      <c r="BVH9" s="1"/>
      <c r="BVI9" s="1"/>
      <c r="BVJ9" s="1"/>
      <c r="BVK9" s="1"/>
      <c r="BVL9" s="1"/>
      <c r="BVM9" s="1"/>
      <c r="BVN9" s="1"/>
      <c r="BVO9" s="1"/>
      <c r="BVP9" s="1"/>
      <c r="BVQ9" s="1"/>
      <c r="BVR9" s="1"/>
      <c r="BVS9" s="1"/>
      <c r="BVT9" s="1"/>
      <c r="BVU9" s="1"/>
      <c r="BVV9" s="1"/>
      <c r="BVW9" s="1"/>
      <c r="BVX9" s="1"/>
      <c r="BVY9" s="1"/>
      <c r="BVZ9" s="1"/>
      <c r="BWA9" s="1"/>
      <c r="BWB9" s="1"/>
      <c r="BWC9" s="1"/>
      <c r="BWD9" s="1"/>
      <c r="BWE9" s="1"/>
      <c r="BWF9" s="1"/>
      <c r="BWG9" s="1"/>
      <c r="BWH9" s="1"/>
      <c r="BWI9" s="1"/>
      <c r="BWJ9" s="1"/>
      <c r="BWK9" s="1"/>
      <c r="BWL9" s="1"/>
      <c r="BWM9" s="1"/>
      <c r="BWN9" s="1"/>
      <c r="BWO9" s="1"/>
      <c r="BWP9" s="1"/>
      <c r="BWQ9" s="1"/>
      <c r="BWR9" s="1"/>
      <c r="BWS9" s="1"/>
      <c r="BWT9" s="1"/>
      <c r="BWU9" s="1"/>
      <c r="BWV9" s="1"/>
      <c r="BWW9" s="1"/>
      <c r="BWX9" s="1"/>
      <c r="BWY9" s="1"/>
      <c r="BWZ9" s="1"/>
      <c r="BXA9" s="1"/>
      <c r="BXB9" s="1"/>
      <c r="BXC9" s="1"/>
      <c r="BXD9" s="1"/>
      <c r="BXE9" s="1"/>
      <c r="BXF9" s="1"/>
      <c r="BXG9" s="1"/>
      <c r="BXH9" s="1"/>
      <c r="BXI9" s="1"/>
      <c r="BXJ9" s="1"/>
      <c r="BXK9" s="1"/>
      <c r="BXL9" s="1"/>
      <c r="BXM9" s="1"/>
      <c r="BXN9" s="1"/>
      <c r="BXO9" s="1"/>
      <c r="BXP9" s="1"/>
      <c r="BXQ9" s="1"/>
      <c r="BXR9" s="1"/>
      <c r="BXS9" s="1"/>
      <c r="BXT9" s="1"/>
      <c r="BXU9" s="1"/>
      <c r="BXV9" s="1"/>
      <c r="BXW9" s="1"/>
      <c r="BXX9" s="1"/>
      <c r="BXY9" s="1"/>
      <c r="BXZ9" s="1"/>
      <c r="BYA9" s="1"/>
      <c r="BYB9" s="1"/>
      <c r="BYC9" s="1"/>
      <c r="BYD9" s="1"/>
      <c r="BYE9" s="1"/>
      <c r="BYF9" s="1"/>
      <c r="BYG9" s="1"/>
      <c r="BYH9" s="1"/>
      <c r="BYI9" s="1"/>
      <c r="BYJ9" s="1"/>
      <c r="BYK9" s="1"/>
      <c r="BYL9" s="1"/>
      <c r="BYM9" s="1"/>
      <c r="BYN9" s="1"/>
      <c r="BYO9" s="1"/>
      <c r="BYP9" s="1"/>
      <c r="BYQ9" s="1"/>
      <c r="BYR9" s="1"/>
      <c r="BYS9" s="1"/>
      <c r="BYT9" s="1"/>
      <c r="BYU9" s="1"/>
      <c r="BYV9" s="1"/>
      <c r="BYW9" s="1"/>
      <c r="BYX9" s="1"/>
      <c r="BYY9" s="1"/>
      <c r="BYZ9" s="1"/>
      <c r="BZA9" s="1"/>
      <c r="BZB9" s="1"/>
      <c r="BZC9" s="1"/>
      <c r="BZD9" s="1"/>
      <c r="BZE9" s="1"/>
      <c r="BZF9" s="1"/>
      <c r="BZG9" s="1"/>
      <c r="BZH9" s="1"/>
      <c r="BZI9" s="1"/>
      <c r="BZJ9" s="1"/>
      <c r="BZK9" s="1"/>
      <c r="BZL9" s="1"/>
      <c r="BZM9" s="1"/>
      <c r="BZN9" s="1"/>
      <c r="BZO9" s="1"/>
      <c r="BZP9" s="1"/>
      <c r="BZQ9" s="1"/>
      <c r="BZR9" s="1"/>
      <c r="BZS9" s="1"/>
      <c r="BZT9" s="1"/>
      <c r="BZU9" s="1"/>
      <c r="BZV9" s="1"/>
      <c r="BZW9" s="1"/>
      <c r="BZX9" s="1"/>
      <c r="BZY9" s="1"/>
      <c r="BZZ9" s="1"/>
      <c r="CAA9" s="1"/>
      <c r="CAB9" s="1"/>
      <c r="CAC9" s="1"/>
      <c r="CAD9" s="1"/>
      <c r="CAE9" s="1"/>
      <c r="CAF9" s="1"/>
      <c r="CAG9" s="1"/>
      <c r="CAH9" s="1"/>
      <c r="CAI9" s="1"/>
      <c r="CAJ9" s="1"/>
      <c r="CAK9" s="1"/>
      <c r="CAL9" s="1"/>
      <c r="CAM9" s="1"/>
      <c r="CAN9" s="1"/>
      <c r="CAO9" s="1"/>
      <c r="CAP9" s="1"/>
      <c r="CAQ9" s="1"/>
      <c r="CAR9" s="1"/>
      <c r="CAS9" s="1"/>
      <c r="CAT9" s="1"/>
      <c r="CAU9" s="1"/>
      <c r="CAV9" s="1"/>
      <c r="CAW9" s="1"/>
      <c r="CAX9" s="1"/>
      <c r="CAY9" s="1"/>
      <c r="CAZ9" s="1"/>
      <c r="CBA9" s="1"/>
      <c r="CBB9" s="1"/>
      <c r="CBC9" s="1"/>
      <c r="CBD9" s="1"/>
      <c r="CBE9" s="1"/>
      <c r="CBF9" s="1"/>
      <c r="CBG9" s="1"/>
      <c r="CBH9" s="1"/>
      <c r="CBI9" s="1"/>
      <c r="CBJ9" s="1"/>
      <c r="CBK9" s="1"/>
      <c r="CBL9" s="1"/>
      <c r="CBM9" s="1"/>
      <c r="CBN9" s="1"/>
      <c r="CBO9" s="1"/>
      <c r="CBP9" s="1"/>
      <c r="CBQ9" s="1"/>
      <c r="CBR9" s="1"/>
      <c r="CBS9" s="1"/>
      <c r="CBT9" s="1"/>
      <c r="CBU9" s="1"/>
      <c r="CBV9" s="1"/>
      <c r="CBW9" s="1"/>
      <c r="CBX9" s="1"/>
      <c r="CBY9" s="1"/>
      <c r="CBZ9" s="1"/>
      <c r="CCA9" s="1"/>
      <c r="CCB9" s="1"/>
      <c r="CCC9" s="1"/>
      <c r="CCD9" s="1"/>
      <c r="CCE9" s="1"/>
      <c r="CCF9" s="1"/>
      <c r="CCG9" s="1"/>
      <c r="CCH9" s="1"/>
      <c r="CCI9" s="1"/>
      <c r="CCJ9" s="1"/>
      <c r="CCK9" s="1"/>
      <c r="CCL9" s="1"/>
      <c r="CCM9" s="1"/>
      <c r="CCN9" s="1"/>
      <c r="CCO9" s="1"/>
      <c r="CCP9" s="1"/>
      <c r="CCQ9" s="1"/>
      <c r="CCR9" s="1"/>
      <c r="CCS9" s="1"/>
      <c r="CCT9" s="1"/>
      <c r="CCU9" s="1"/>
      <c r="CCV9" s="1"/>
      <c r="CCW9" s="1"/>
      <c r="CCX9" s="1"/>
      <c r="CCY9" s="1"/>
      <c r="CCZ9" s="1"/>
      <c r="CDA9" s="1"/>
      <c r="CDB9" s="1"/>
      <c r="CDC9" s="1"/>
      <c r="CDD9" s="1"/>
      <c r="CDE9" s="1"/>
      <c r="CDF9" s="1"/>
      <c r="CDG9" s="1"/>
      <c r="CDH9" s="1"/>
      <c r="CDI9" s="1"/>
      <c r="CDJ9" s="1"/>
      <c r="CDK9" s="1"/>
      <c r="CDL9" s="1"/>
      <c r="CDM9" s="1"/>
      <c r="CDN9" s="1"/>
      <c r="CDO9" s="1"/>
      <c r="CDP9" s="1"/>
      <c r="CDQ9" s="1"/>
      <c r="CDR9" s="1"/>
      <c r="CDS9" s="1"/>
      <c r="CDT9" s="1"/>
      <c r="CDU9" s="1"/>
      <c r="CDV9" s="1"/>
      <c r="CDW9" s="1"/>
      <c r="CDX9" s="1"/>
      <c r="CDY9" s="1"/>
      <c r="CDZ9" s="1"/>
      <c r="CEA9" s="1"/>
      <c r="CEB9" s="1"/>
      <c r="CEC9" s="1"/>
      <c r="CED9" s="1"/>
      <c r="CEE9" s="1"/>
      <c r="CEF9" s="1"/>
      <c r="CEG9" s="1"/>
      <c r="CEH9" s="1"/>
      <c r="CEI9" s="1"/>
      <c r="CEJ9" s="1"/>
      <c r="CEK9" s="1"/>
      <c r="CEL9" s="1"/>
      <c r="CEM9" s="1"/>
      <c r="CEN9" s="1"/>
      <c r="CEO9" s="1"/>
      <c r="CEP9" s="1"/>
      <c r="CEQ9" s="1"/>
      <c r="CER9" s="1"/>
      <c r="CES9" s="1"/>
      <c r="CET9" s="1"/>
      <c r="CEU9" s="1"/>
      <c r="CEV9" s="1"/>
      <c r="CEW9" s="1"/>
      <c r="CEX9" s="1"/>
      <c r="CEY9" s="1"/>
      <c r="CEZ9" s="1"/>
      <c r="CFA9" s="1"/>
      <c r="CFB9" s="1"/>
      <c r="CFC9" s="1"/>
      <c r="CFD9" s="1"/>
      <c r="CFE9" s="1"/>
      <c r="CFF9" s="1"/>
      <c r="CFG9" s="1"/>
      <c r="CFH9" s="1"/>
      <c r="CFI9" s="1"/>
      <c r="CFJ9" s="1"/>
      <c r="CFK9" s="1"/>
      <c r="CFL9" s="1"/>
      <c r="CFM9" s="1"/>
      <c r="CFN9" s="1"/>
      <c r="CFO9" s="1"/>
      <c r="CFP9" s="1"/>
      <c r="CFQ9" s="1"/>
      <c r="CFR9" s="1"/>
      <c r="CFS9" s="1"/>
      <c r="CFT9" s="1"/>
      <c r="CFU9" s="1"/>
      <c r="CFV9" s="1"/>
      <c r="CFW9" s="1"/>
      <c r="CFX9" s="1"/>
      <c r="CFY9" s="1"/>
      <c r="CFZ9" s="1"/>
      <c r="CGA9" s="1"/>
      <c r="CGB9" s="1"/>
      <c r="CGC9" s="1"/>
      <c r="CGD9" s="1"/>
      <c r="CGE9" s="1"/>
      <c r="CGF9" s="1"/>
      <c r="CGG9" s="1"/>
      <c r="CGH9" s="1"/>
      <c r="CGI9" s="1"/>
      <c r="CGJ9" s="1"/>
      <c r="CGK9" s="1"/>
      <c r="CGL9" s="1"/>
      <c r="CGM9" s="1"/>
      <c r="CGN9" s="1"/>
      <c r="CGO9" s="1"/>
      <c r="CGP9" s="1"/>
      <c r="CGQ9" s="1"/>
      <c r="CGR9" s="1"/>
      <c r="CGS9" s="1"/>
      <c r="CGT9" s="1"/>
      <c r="CGU9" s="1"/>
      <c r="CGV9" s="1"/>
      <c r="CGW9" s="1"/>
      <c r="CGX9" s="1"/>
      <c r="CGY9" s="1"/>
      <c r="CGZ9" s="1"/>
      <c r="CHA9" s="1"/>
      <c r="CHB9" s="1"/>
      <c r="CHC9" s="1"/>
      <c r="CHD9" s="1"/>
      <c r="CHE9" s="1"/>
      <c r="CHF9" s="1"/>
      <c r="CHG9" s="1"/>
      <c r="CHH9" s="1"/>
      <c r="CHI9" s="1"/>
      <c r="CHJ9" s="1"/>
      <c r="CHK9" s="1"/>
      <c r="CHL9" s="1"/>
      <c r="CHM9" s="1"/>
      <c r="CHN9" s="1"/>
      <c r="CHO9" s="1"/>
      <c r="CHP9" s="1"/>
      <c r="CHQ9" s="1"/>
      <c r="CHR9" s="1"/>
      <c r="CHS9" s="1"/>
      <c r="CHT9" s="1"/>
      <c r="CHU9" s="1"/>
      <c r="CHV9" s="1"/>
      <c r="CHW9" s="1"/>
      <c r="CHX9" s="1"/>
      <c r="CHY9" s="1"/>
      <c r="CHZ9" s="1"/>
      <c r="CIA9" s="1"/>
      <c r="CIB9" s="1"/>
      <c r="CIC9" s="1"/>
      <c r="CID9" s="1"/>
      <c r="CIE9" s="1"/>
      <c r="CIF9" s="1"/>
      <c r="CIG9" s="1"/>
      <c r="CIH9" s="1"/>
      <c r="CII9" s="1"/>
      <c r="CIJ9" s="1"/>
      <c r="CIK9" s="1"/>
      <c r="CIL9" s="1"/>
      <c r="CIM9" s="1"/>
      <c r="CIN9" s="1"/>
      <c r="CIO9" s="1"/>
      <c r="CIP9" s="1"/>
      <c r="CIQ9" s="1"/>
      <c r="CIR9" s="1"/>
      <c r="CIS9" s="1"/>
      <c r="CIT9" s="1"/>
      <c r="CIU9" s="1"/>
      <c r="CIV9" s="1"/>
      <c r="CIW9" s="1"/>
      <c r="CIX9" s="1"/>
      <c r="CIY9" s="1"/>
      <c r="CIZ9" s="1"/>
      <c r="CJA9" s="1"/>
      <c r="CJB9" s="1"/>
      <c r="CJC9" s="1"/>
      <c r="CJD9" s="1"/>
      <c r="CJE9" s="1"/>
      <c r="CJF9" s="1"/>
      <c r="CJG9" s="1"/>
      <c r="CJH9" s="1"/>
      <c r="CJI9" s="1"/>
      <c r="CJJ9" s="1"/>
      <c r="CJK9" s="1"/>
      <c r="CJL9" s="1"/>
      <c r="CJM9" s="1"/>
      <c r="CJN9" s="1"/>
      <c r="CJO9" s="1"/>
      <c r="CJP9" s="1"/>
      <c r="CJQ9" s="1"/>
      <c r="CJR9" s="1"/>
      <c r="CJS9" s="1"/>
      <c r="CJT9" s="1"/>
      <c r="CJU9" s="1"/>
      <c r="CJV9" s="1"/>
      <c r="CJW9" s="1"/>
      <c r="CJX9" s="1"/>
      <c r="CJY9" s="1"/>
      <c r="CJZ9" s="1"/>
      <c r="CKA9" s="1"/>
      <c r="CKB9" s="1"/>
      <c r="CKC9" s="1"/>
      <c r="CKD9" s="1"/>
      <c r="CKE9" s="1"/>
      <c r="CKF9" s="1"/>
      <c r="CKG9" s="1"/>
      <c r="CKH9" s="1"/>
      <c r="CKI9" s="1"/>
      <c r="CKJ9" s="1"/>
      <c r="CKK9" s="1"/>
      <c r="CKL9" s="1"/>
      <c r="CKM9" s="1"/>
      <c r="CKN9" s="1"/>
      <c r="CKO9" s="1"/>
      <c r="CKP9" s="1"/>
      <c r="CKQ9" s="1"/>
      <c r="CKR9" s="1"/>
      <c r="CKS9" s="1"/>
      <c r="CKT9" s="1"/>
      <c r="CKU9" s="1"/>
      <c r="CKV9" s="1"/>
      <c r="CKW9" s="1"/>
      <c r="CKX9" s="1"/>
      <c r="CKY9" s="1"/>
      <c r="CKZ9" s="1"/>
      <c r="CLA9" s="1"/>
      <c r="CLB9" s="1"/>
      <c r="CLC9" s="1"/>
      <c r="CLD9" s="1"/>
      <c r="CLE9" s="1"/>
      <c r="CLF9" s="1"/>
      <c r="CLG9" s="1"/>
      <c r="CLH9" s="1"/>
      <c r="CLI9" s="1"/>
      <c r="CLJ9" s="1"/>
      <c r="CLK9" s="1"/>
      <c r="CLL9" s="1"/>
      <c r="CLM9" s="1"/>
      <c r="CLN9" s="1"/>
      <c r="CLO9" s="1"/>
      <c r="CLP9" s="1"/>
      <c r="CLQ9" s="1"/>
      <c r="CLR9" s="1"/>
      <c r="CLS9" s="1"/>
      <c r="CLT9" s="1"/>
      <c r="CLU9" s="1"/>
      <c r="CLV9" s="1"/>
      <c r="CLW9" s="1"/>
      <c r="CLX9" s="1"/>
      <c r="CLY9" s="1"/>
      <c r="CLZ9" s="1"/>
      <c r="CMA9" s="1"/>
      <c r="CMB9" s="1"/>
      <c r="CMC9" s="1"/>
      <c r="CMD9" s="1"/>
      <c r="CME9" s="1"/>
      <c r="CMF9" s="1"/>
      <c r="CMG9" s="1"/>
      <c r="CMH9" s="1"/>
      <c r="CMI9" s="1"/>
      <c r="CMJ9" s="1"/>
      <c r="CMK9" s="1"/>
      <c r="CML9" s="1"/>
      <c r="CMM9" s="1"/>
      <c r="CMN9" s="1"/>
      <c r="CMO9" s="1"/>
      <c r="CMP9" s="1"/>
      <c r="CMQ9" s="1"/>
      <c r="CMR9" s="1"/>
      <c r="CMS9" s="1"/>
      <c r="CMT9" s="1"/>
      <c r="CMU9" s="1"/>
      <c r="CMV9" s="1"/>
      <c r="CMW9" s="1"/>
      <c r="CMX9" s="1"/>
      <c r="CMY9" s="1"/>
      <c r="CMZ9" s="1"/>
      <c r="CNA9" s="1"/>
      <c r="CNB9" s="1"/>
      <c r="CNC9" s="1"/>
      <c r="CND9" s="1"/>
      <c r="CNE9" s="1"/>
      <c r="CNF9" s="1"/>
      <c r="CNG9" s="1"/>
      <c r="CNH9" s="1"/>
      <c r="CNI9" s="1"/>
      <c r="CNJ9" s="1"/>
      <c r="CNK9" s="1"/>
      <c r="CNL9" s="1"/>
      <c r="CNM9" s="1"/>
      <c r="CNN9" s="1"/>
      <c r="CNO9" s="1"/>
      <c r="CNP9" s="1"/>
      <c r="CNQ9" s="1"/>
      <c r="CNR9" s="1"/>
      <c r="CNS9" s="1"/>
      <c r="CNT9" s="1"/>
      <c r="CNU9" s="1"/>
      <c r="CNV9" s="1"/>
      <c r="CNW9" s="1"/>
      <c r="CNX9" s="1"/>
      <c r="CNY9" s="1"/>
      <c r="CNZ9" s="1"/>
      <c r="COA9" s="1"/>
      <c r="COB9" s="1"/>
      <c r="COC9" s="1"/>
      <c r="COD9" s="1"/>
      <c r="COE9" s="1"/>
      <c r="COF9" s="1"/>
      <c r="COG9" s="1"/>
      <c r="COH9" s="1"/>
      <c r="COI9" s="1"/>
      <c r="COJ9" s="1"/>
      <c r="COK9" s="1"/>
      <c r="COL9" s="1"/>
      <c r="COM9" s="1"/>
      <c r="CON9" s="1"/>
      <c r="COO9" s="1"/>
      <c r="COP9" s="1"/>
      <c r="COQ9" s="1"/>
      <c r="COR9" s="1"/>
      <c r="COS9" s="1"/>
      <c r="COT9" s="1"/>
      <c r="COU9" s="1"/>
      <c r="COV9" s="1"/>
      <c r="COW9" s="1"/>
      <c r="COX9" s="1"/>
      <c r="COY9" s="1"/>
      <c r="COZ9" s="1"/>
      <c r="CPA9" s="1"/>
      <c r="CPB9" s="1"/>
      <c r="CPC9" s="1"/>
      <c r="CPD9" s="1"/>
      <c r="CPE9" s="1"/>
      <c r="CPF9" s="1"/>
      <c r="CPG9" s="1"/>
      <c r="CPH9" s="1"/>
      <c r="CPI9" s="1"/>
      <c r="CPJ9" s="1"/>
      <c r="CPK9" s="1"/>
      <c r="CPL9" s="1"/>
      <c r="CPM9" s="1"/>
      <c r="CPN9" s="1"/>
      <c r="CPO9" s="1"/>
      <c r="CPP9" s="1"/>
      <c r="CPQ9" s="1"/>
      <c r="CPR9" s="1"/>
      <c r="CPS9" s="1"/>
      <c r="CPT9" s="1"/>
      <c r="CPU9" s="1"/>
      <c r="CPV9" s="1"/>
      <c r="CPW9" s="1"/>
      <c r="CPX9" s="1"/>
      <c r="CPY9" s="1"/>
      <c r="CPZ9" s="1"/>
      <c r="CQA9" s="1"/>
      <c r="CQB9" s="1"/>
      <c r="CQC9" s="1"/>
      <c r="CQD9" s="1"/>
      <c r="CQE9" s="1"/>
      <c r="CQF9" s="1"/>
      <c r="CQG9" s="1"/>
      <c r="CQH9" s="1"/>
      <c r="CQI9" s="1"/>
      <c r="CQJ9" s="1"/>
      <c r="CQK9" s="1"/>
      <c r="CQL9" s="1"/>
      <c r="CQM9" s="1"/>
      <c r="CQN9" s="1"/>
      <c r="CQO9" s="1"/>
      <c r="CQP9" s="1"/>
      <c r="CQQ9" s="1"/>
      <c r="CQR9" s="1"/>
      <c r="CQS9" s="1"/>
      <c r="CQT9" s="1"/>
      <c r="CQU9" s="1"/>
      <c r="CQV9" s="1"/>
      <c r="CQW9" s="1"/>
      <c r="CQX9" s="1"/>
      <c r="CQY9" s="1"/>
      <c r="CQZ9" s="1"/>
      <c r="CRA9" s="1"/>
      <c r="CRB9" s="1"/>
      <c r="CRC9" s="1"/>
      <c r="CRD9" s="1"/>
      <c r="CRE9" s="1"/>
      <c r="CRF9" s="1"/>
      <c r="CRG9" s="1"/>
      <c r="CRH9" s="1"/>
      <c r="CRI9" s="1"/>
      <c r="CRJ9" s="1"/>
      <c r="CRK9" s="1"/>
      <c r="CRL9" s="1"/>
      <c r="CRM9" s="1"/>
      <c r="CRN9" s="1"/>
      <c r="CRO9" s="1"/>
      <c r="CRP9" s="1"/>
      <c r="CRQ9" s="1"/>
      <c r="CRR9" s="1"/>
      <c r="CRS9" s="1"/>
      <c r="CRT9" s="1"/>
      <c r="CRU9" s="1"/>
      <c r="CRV9" s="1"/>
      <c r="CRW9" s="1"/>
      <c r="CRX9" s="1"/>
      <c r="CRY9" s="1"/>
      <c r="CRZ9" s="1"/>
      <c r="CSA9" s="1"/>
      <c r="CSB9" s="1"/>
      <c r="CSC9" s="1"/>
      <c r="CSD9" s="1"/>
      <c r="CSE9" s="1"/>
      <c r="CSF9" s="1"/>
      <c r="CSG9" s="1"/>
      <c r="CSH9" s="1"/>
      <c r="CSI9" s="1"/>
      <c r="CSJ9" s="1"/>
      <c r="CSK9" s="1"/>
      <c r="CSL9" s="1"/>
      <c r="CSM9" s="1"/>
      <c r="CSN9" s="1"/>
      <c r="CSO9" s="1"/>
      <c r="CSP9" s="1"/>
      <c r="CSQ9" s="1"/>
      <c r="CSR9" s="1"/>
      <c r="CSS9" s="1"/>
      <c r="CST9" s="1"/>
      <c r="CSU9" s="1"/>
      <c r="CSV9" s="1"/>
      <c r="CSW9" s="1"/>
      <c r="CSX9" s="1"/>
      <c r="CSY9" s="1"/>
      <c r="CSZ9" s="1"/>
      <c r="CTA9" s="1"/>
      <c r="CTB9" s="1"/>
      <c r="CTC9" s="1"/>
      <c r="CTD9" s="1"/>
      <c r="CTE9" s="1"/>
      <c r="CTF9" s="1"/>
      <c r="CTG9" s="1"/>
      <c r="CTH9" s="1"/>
      <c r="CTI9" s="1"/>
      <c r="CTJ9" s="1"/>
      <c r="CTK9" s="1"/>
      <c r="CTL9" s="1"/>
      <c r="CTM9" s="1"/>
      <c r="CTN9" s="1"/>
      <c r="CTO9" s="1"/>
      <c r="CTP9" s="1"/>
      <c r="CTQ9" s="1"/>
      <c r="CTR9" s="1"/>
      <c r="CTS9" s="1"/>
      <c r="CTT9" s="1"/>
      <c r="CTU9" s="1"/>
      <c r="CTV9" s="1"/>
      <c r="CTW9" s="1"/>
      <c r="CTX9" s="1"/>
      <c r="CTY9" s="1"/>
      <c r="CTZ9" s="1"/>
      <c r="CUA9" s="1"/>
      <c r="CUB9" s="1"/>
      <c r="CUC9" s="1"/>
      <c r="CUD9" s="1"/>
      <c r="CUE9" s="1"/>
      <c r="CUF9" s="1"/>
      <c r="CUG9" s="1"/>
      <c r="CUH9" s="1"/>
      <c r="CUI9" s="1"/>
      <c r="CUJ9" s="1"/>
      <c r="CUK9" s="1"/>
      <c r="CUL9" s="1"/>
      <c r="CUM9" s="1"/>
      <c r="CUN9" s="1"/>
      <c r="CUO9" s="1"/>
      <c r="CUP9" s="1"/>
      <c r="CUQ9" s="1"/>
      <c r="CUR9" s="1"/>
      <c r="CUS9" s="1"/>
      <c r="CUT9" s="1"/>
      <c r="CUU9" s="1"/>
      <c r="CUV9" s="1"/>
      <c r="CUW9" s="1"/>
      <c r="CUX9" s="1"/>
      <c r="CUY9" s="1"/>
      <c r="CUZ9" s="1"/>
      <c r="CVA9" s="1"/>
      <c r="CVB9" s="1"/>
      <c r="CVC9" s="1"/>
      <c r="CVD9" s="1"/>
      <c r="CVE9" s="1"/>
      <c r="CVF9" s="1"/>
      <c r="CVG9" s="1"/>
      <c r="CVH9" s="1"/>
      <c r="CVI9" s="1"/>
      <c r="CVJ9" s="1"/>
      <c r="CVK9" s="1"/>
      <c r="CVL9" s="1"/>
      <c r="CVM9" s="1"/>
      <c r="CVN9" s="1"/>
      <c r="CVO9" s="1"/>
      <c r="CVP9" s="1"/>
      <c r="CVQ9" s="1"/>
      <c r="CVR9" s="1"/>
      <c r="CVS9" s="1"/>
      <c r="CVT9" s="1"/>
      <c r="CVU9" s="1"/>
      <c r="CVV9" s="1"/>
      <c r="CVW9" s="1"/>
      <c r="CVX9" s="1"/>
      <c r="CVY9" s="1"/>
      <c r="CVZ9" s="1"/>
      <c r="CWA9" s="1"/>
      <c r="CWB9" s="1"/>
      <c r="CWC9" s="1"/>
      <c r="CWD9" s="1"/>
      <c r="CWE9" s="1"/>
      <c r="CWF9" s="1"/>
      <c r="CWG9" s="1"/>
      <c r="CWH9" s="1"/>
      <c r="CWI9" s="1"/>
      <c r="CWJ9" s="1"/>
      <c r="CWK9" s="1"/>
      <c r="CWL9" s="1"/>
      <c r="CWM9" s="1"/>
      <c r="CWN9" s="1"/>
      <c r="CWO9" s="1"/>
      <c r="CWP9" s="1"/>
      <c r="CWQ9" s="1"/>
      <c r="CWR9" s="1"/>
      <c r="CWS9" s="1"/>
      <c r="CWT9" s="1"/>
      <c r="CWU9" s="1"/>
      <c r="CWV9" s="1"/>
      <c r="CWW9" s="1"/>
      <c r="CWX9" s="1"/>
      <c r="CWY9" s="1"/>
      <c r="CWZ9" s="1"/>
      <c r="CXA9" s="1"/>
      <c r="CXB9" s="1"/>
      <c r="CXC9" s="1"/>
      <c r="CXD9" s="1"/>
      <c r="CXE9" s="1"/>
      <c r="CXF9" s="1"/>
      <c r="CXG9" s="1"/>
      <c r="CXH9" s="1"/>
      <c r="CXI9" s="1"/>
      <c r="CXJ9" s="1"/>
      <c r="CXK9" s="1"/>
      <c r="CXL9" s="1"/>
      <c r="CXM9" s="1"/>
      <c r="CXN9" s="1"/>
      <c r="CXO9" s="1"/>
      <c r="CXP9" s="1"/>
      <c r="CXQ9" s="1"/>
      <c r="CXR9" s="1"/>
      <c r="CXS9" s="1"/>
      <c r="CXT9" s="1"/>
      <c r="CXU9" s="1"/>
      <c r="CXV9" s="1"/>
      <c r="CXW9" s="1"/>
      <c r="CXX9" s="1"/>
      <c r="CXY9" s="1"/>
      <c r="CXZ9" s="1"/>
      <c r="CYA9" s="1"/>
      <c r="CYB9" s="1"/>
      <c r="CYC9" s="1"/>
      <c r="CYD9" s="1"/>
      <c r="CYE9" s="1"/>
      <c r="CYF9" s="1"/>
      <c r="CYG9" s="1"/>
      <c r="CYH9" s="1"/>
      <c r="CYI9" s="1"/>
      <c r="CYJ9" s="1"/>
      <c r="CYK9" s="1"/>
      <c r="CYL9" s="1"/>
      <c r="CYM9" s="1"/>
      <c r="CYN9" s="1"/>
      <c r="CYO9" s="1"/>
      <c r="CYP9" s="1"/>
      <c r="CYQ9" s="1"/>
      <c r="CYR9" s="1"/>
      <c r="CYS9" s="1"/>
      <c r="CYT9" s="1"/>
      <c r="CYU9" s="1"/>
      <c r="CYV9" s="1"/>
      <c r="CYW9" s="1"/>
      <c r="CYX9" s="1"/>
      <c r="CYY9" s="1"/>
      <c r="CYZ9" s="1"/>
      <c r="CZA9" s="1"/>
      <c r="CZB9" s="1"/>
      <c r="CZC9" s="1"/>
      <c r="CZD9" s="1"/>
      <c r="CZE9" s="1"/>
      <c r="CZF9" s="1"/>
      <c r="CZG9" s="1"/>
      <c r="CZH9" s="1"/>
      <c r="CZI9" s="1"/>
      <c r="CZJ9" s="1"/>
      <c r="CZK9" s="1"/>
      <c r="CZL9" s="1"/>
      <c r="CZM9" s="1"/>
      <c r="CZN9" s="1"/>
      <c r="CZO9" s="1"/>
      <c r="CZP9" s="1"/>
      <c r="CZQ9" s="1"/>
      <c r="CZR9" s="1"/>
      <c r="CZS9" s="1"/>
      <c r="CZT9" s="1"/>
      <c r="CZU9" s="1"/>
      <c r="CZV9" s="1"/>
      <c r="CZW9" s="1"/>
      <c r="CZX9" s="1"/>
      <c r="CZY9" s="1"/>
      <c r="CZZ9" s="1"/>
      <c r="DAA9" s="1"/>
      <c r="DAB9" s="1"/>
      <c r="DAC9" s="1"/>
      <c r="DAD9" s="1"/>
      <c r="DAE9" s="1"/>
      <c r="DAF9" s="1"/>
      <c r="DAG9" s="1"/>
      <c r="DAH9" s="1"/>
      <c r="DAI9" s="1"/>
      <c r="DAJ9" s="1"/>
      <c r="DAK9" s="1"/>
      <c r="DAL9" s="1"/>
      <c r="DAM9" s="1"/>
      <c r="DAN9" s="1"/>
      <c r="DAO9" s="1"/>
      <c r="DAP9" s="1"/>
      <c r="DAQ9" s="1"/>
      <c r="DAR9" s="1"/>
      <c r="DAS9" s="1"/>
      <c r="DAT9" s="1"/>
      <c r="DAU9" s="1"/>
      <c r="DAV9" s="1"/>
      <c r="DAW9" s="1"/>
      <c r="DAX9" s="1"/>
      <c r="DAY9" s="1"/>
      <c r="DAZ9" s="1"/>
      <c r="DBA9" s="1"/>
      <c r="DBB9" s="1"/>
      <c r="DBC9" s="1"/>
      <c r="DBD9" s="1"/>
      <c r="DBE9" s="1"/>
      <c r="DBF9" s="1"/>
      <c r="DBG9" s="1"/>
      <c r="DBH9" s="1"/>
      <c r="DBI9" s="1"/>
      <c r="DBJ9" s="1"/>
      <c r="DBK9" s="1"/>
      <c r="DBL9" s="1"/>
      <c r="DBM9" s="1"/>
      <c r="DBN9" s="1"/>
      <c r="DBO9" s="1"/>
      <c r="DBP9" s="1"/>
      <c r="DBQ9" s="1"/>
      <c r="DBR9" s="1"/>
      <c r="DBS9" s="1"/>
      <c r="DBT9" s="1"/>
      <c r="DBU9" s="1"/>
      <c r="DBV9" s="1"/>
      <c r="DBW9" s="1"/>
      <c r="DBX9" s="1"/>
      <c r="DBY9" s="1"/>
      <c r="DBZ9" s="1"/>
      <c r="DCA9" s="1"/>
      <c r="DCB9" s="1"/>
      <c r="DCC9" s="1"/>
      <c r="DCD9" s="1"/>
      <c r="DCE9" s="1"/>
      <c r="DCF9" s="1"/>
      <c r="DCG9" s="1"/>
      <c r="DCH9" s="1"/>
      <c r="DCI9" s="1"/>
      <c r="DCJ9" s="1"/>
      <c r="DCK9" s="1"/>
      <c r="DCL9" s="1"/>
      <c r="DCM9" s="1"/>
      <c r="DCN9" s="1"/>
      <c r="DCO9" s="1"/>
      <c r="DCP9" s="1"/>
      <c r="DCQ9" s="1"/>
      <c r="DCR9" s="1"/>
      <c r="DCS9" s="1"/>
      <c r="DCT9" s="1"/>
      <c r="DCU9" s="1"/>
      <c r="DCV9" s="1"/>
      <c r="DCW9" s="1"/>
      <c r="DCX9" s="1"/>
      <c r="DCY9" s="1"/>
      <c r="DCZ9" s="1"/>
      <c r="DDA9" s="1"/>
      <c r="DDB9" s="1"/>
      <c r="DDC9" s="1"/>
      <c r="DDD9" s="1"/>
      <c r="DDE9" s="1"/>
      <c r="DDF9" s="1"/>
      <c r="DDG9" s="1"/>
      <c r="DDH9" s="1"/>
      <c r="DDI9" s="1"/>
      <c r="DDJ9" s="1"/>
      <c r="DDK9" s="1"/>
      <c r="DDL9" s="1"/>
      <c r="DDM9" s="1"/>
      <c r="DDN9" s="1"/>
      <c r="DDO9" s="1"/>
      <c r="DDP9" s="1"/>
      <c r="DDQ9" s="1"/>
      <c r="DDR9" s="1"/>
      <c r="DDS9" s="1"/>
      <c r="DDT9" s="1"/>
      <c r="DDU9" s="1"/>
      <c r="DDV9" s="1"/>
      <c r="DDW9" s="1"/>
      <c r="DDX9" s="1"/>
      <c r="DDY9" s="1"/>
      <c r="DDZ9" s="1"/>
      <c r="DEA9" s="1"/>
      <c r="DEB9" s="1"/>
      <c r="DEC9" s="1"/>
      <c r="DED9" s="1"/>
      <c r="DEE9" s="1"/>
      <c r="DEF9" s="1"/>
      <c r="DEG9" s="1"/>
      <c r="DEH9" s="1"/>
      <c r="DEI9" s="1"/>
      <c r="DEJ9" s="1"/>
      <c r="DEK9" s="1"/>
      <c r="DEL9" s="1"/>
      <c r="DEM9" s="1"/>
      <c r="DEN9" s="1"/>
      <c r="DEO9" s="1"/>
      <c r="DEP9" s="1"/>
      <c r="DEQ9" s="1"/>
      <c r="DER9" s="1"/>
      <c r="DES9" s="1"/>
      <c r="DET9" s="1"/>
      <c r="DEU9" s="1"/>
      <c r="DEV9" s="1"/>
      <c r="DEW9" s="1"/>
      <c r="DEX9" s="1"/>
      <c r="DEY9" s="1"/>
      <c r="DEZ9" s="1"/>
      <c r="DFA9" s="1"/>
      <c r="DFB9" s="1"/>
      <c r="DFC9" s="1"/>
      <c r="DFD9" s="1"/>
      <c r="DFE9" s="1"/>
      <c r="DFF9" s="1"/>
      <c r="DFG9" s="1"/>
      <c r="DFH9" s="1"/>
      <c r="DFI9" s="1"/>
      <c r="DFJ9" s="1"/>
      <c r="DFK9" s="1"/>
      <c r="DFL9" s="1"/>
      <c r="DFM9" s="1"/>
      <c r="DFN9" s="1"/>
      <c r="DFO9" s="1"/>
      <c r="DFP9" s="1"/>
      <c r="DFQ9" s="1"/>
      <c r="DFR9" s="1"/>
      <c r="DFS9" s="1"/>
      <c r="DFT9" s="1"/>
      <c r="DFU9" s="1"/>
      <c r="DFV9" s="1"/>
      <c r="DFW9" s="1"/>
      <c r="DFX9" s="1"/>
      <c r="DFY9" s="1"/>
      <c r="DFZ9" s="1"/>
      <c r="DGA9" s="1"/>
      <c r="DGB9" s="1"/>
      <c r="DGC9" s="1"/>
      <c r="DGD9" s="1"/>
      <c r="DGE9" s="1"/>
      <c r="DGF9" s="1"/>
      <c r="DGG9" s="1"/>
      <c r="DGH9" s="1"/>
      <c r="DGI9" s="1"/>
      <c r="DGJ9" s="1"/>
      <c r="DGK9" s="1"/>
      <c r="DGL9" s="1"/>
      <c r="DGM9" s="1"/>
      <c r="DGN9" s="1"/>
      <c r="DGO9" s="1"/>
      <c r="DGP9" s="1"/>
      <c r="DGQ9" s="1"/>
      <c r="DGR9" s="1"/>
      <c r="DGS9" s="1"/>
      <c r="DGT9" s="1"/>
      <c r="DGU9" s="1"/>
      <c r="DGV9" s="1"/>
      <c r="DGW9" s="1"/>
      <c r="DGX9" s="1"/>
      <c r="DGY9" s="1"/>
      <c r="DGZ9" s="1"/>
      <c r="DHA9" s="1"/>
      <c r="DHB9" s="1"/>
      <c r="DHC9" s="1"/>
      <c r="DHD9" s="1"/>
      <c r="DHE9" s="1"/>
      <c r="DHF9" s="1"/>
      <c r="DHG9" s="1"/>
      <c r="DHH9" s="1"/>
      <c r="DHI9" s="1"/>
      <c r="DHJ9" s="1"/>
      <c r="DHK9" s="1"/>
      <c r="DHL9" s="1"/>
      <c r="DHM9" s="1"/>
      <c r="DHN9" s="1"/>
      <c r="DHO9" s="1"/>
      <c r="DHP9" s="1"/>
      <c r="DHQ9" s="1"/>
      <c r="DHR9" s="1"/>
      <c r="DHS9" s="1"/>
      <c r="DHT9" s="1"/>
      <c r="DHU9" s="1"/>
      <c r="DHV9" s="1"/>
      <c r="DHW9" s="1"/>
      <c r="DHX9" s="1"/>
      <c r="DHY9" s="1"/>
      <c r="DHZ9" s="1"/>
      <c r="DIA9" s="1"/>
      <c r="DIB9" s="1"/>
      <c r="DIC9" s="1"/>
      <c r="DID9" s="1"/>
      <c r="DIE9" s="1"/>
      <c r="DIF9" s="1"/>
      <c r="DIG9" s="1"/>
      <c r="DIH9" s="1"/>
      <c r="DII9" s="1"/>
      <c r="DIJ9" s="1"/>
      <c r="DIK9" s="1"/>
      <c r="DIL9" s="1"/>
      <c r="DIM9" s="1"/>
      <c r="DIN9" s="1"/>
      <c r="DIO9" s="1"/>
      <c r="DIP9" s="1"/>
      <c r="DIQ9" s="1"/>
      <c r="DIR9" s="1"/>
      <c r="DIS9" s="1"/>
      <c r="DIT9" s="1"/>
      <c r="DIU9" s="1"/>
      <c r="DIV9" s="1"/>
      <c r="DIW9" s="1"/>
      <c r="DIX9" s="1"/>
      <c r="DIY9" s="1"/>
      <c r="DIZ9" s="1"/>
      <c r="DJA9" s="1"/>
      <c r="DJB9" s="1"/>
      <c r="DJC9" s="1"/>
      <c r="DJD9" s="1"/>
      <c r="DJE9" s="1"/>
      <c r="DJF9" s="1"/>
      <c r="DJG9" s="1"/>
      <c r="DJH9" s="1"/>
      <c r="DJI9" s="1"/>
      <c r="DJJ9" s="1"/>
      <c r="DJK9" s="1"/>
      <c r="DJL9" s="1"/>
      <c r="DJM9" s="1"/>
      <c r="DJN9" s="1"/>
      <c r="DJO9" s="1"/>
      <c r="DJP9" s="1"/>
      <c r="DJQ9" s="1"/>
      <c r="DJR9" s="1"/>
      <c r="DJS9" s="1"/>
      <c r="DJT9" s="1"/>
      <c r="DJU9" s="1"/>
      <c r="DJV9" s="1"/>
      <c r="DJW9" s="1"/>
      <c r="DJX9" s="1"/>
      <c r="DJY9" s="1"/>
      <c r="DJZ9" s="1"/>
      <c r="DKA9" s="1"/>
      <c r="DKB9" s="1"/>
      <c r="DKC9" s="1"/>
      <c r="DKD9" s="1"/>
      <c r="DKE9" s="1"/>
      <c r="DKF9" s="1"/>
      <c r="DKG9" s="1"/>
      <c r="DKH9" s="1"/>
      <c r="DKI9" s="1"/>
      <c r="DKJ9" s="1"/>
      <c r="DKK9" s="1"/>
      <c r="DKL9" s="1"/>
      <c r="DKM9" s="1"/>
      <c r="DKN9" s="1"/>
      <c r="DKO9" s="1"/>
      <c r="DKP9" s="1"/>
      <c r="DKQ9" s="1"/>
      <c r="DKR9" s="1"/>
      <c r="DKS9" s="1"/>
      <c r="DKT9" s="1"/>
      <c r="DKU9" s="1"/>
      <c r="DKV9" s="1"/>
      <c r="DKW9" s="1"/>
      <c r="DKX9" s="1"/>
      <c r="DKY9" s="1"/>
      <c r="DKZ9" s="1"/>
      <c r="DLA9" s="1"/>
      <c r="DLB9" s="1"/>
      <c r="DLC9" s="1"/>
      <c r="DLD9" s="1"/>
      <c r="DLE9" s="1"/>
      <c r="DLF9" s="1"/>
      <c r="DLG9" s="1"/>
      <c r="DLH9" s="1"/>
      <c r="DLI9" s="1"/>
      <c r="DLJ9" s="1"/>
      <c r="DLK9" s="1"/>
      <c r="DLL9" s="1"/>
      <c r="DLM9" s="1"/>
      <c r="DLN9" s="1"/>
      <c r="DLO9" s="1"/>
      <c r="DLP9" s="1"/>
      <c r="DLQ9" s="1"/>
      <c r="DLR9" s="1"/>
      <c r="DLS9" s="1"/>
      <c r="DLT9" s="1"/>
      <c r="DLU9" s="1"/>
      <c r="DLV9" s="1"/>
      <c r="DLW9" s="1"/>
      <c r="DLX9" s="1"/>
      <c r="DLY9" s="1"/>
      <c r="DLZ9" s="1"/>
      <c r="DMA9" s="1"/>
      <c r="DMB9" s="1"/>
      <c r="DMC9" s="1"/>
      <c r="DMD9" s="1"/>
      <c r="DME9" s="1"/>
      <c r="DMF9" s="1"/>
      <c r="DMG9" s="1"/>
      <c r="DMH9" s="1"/>
      <c r="DMI9" s="1"/>
      <c r="DMJ9" s="1"/>
      <c r="DMK9" s="1"/>
      <c r="DML9" s="1"/>
      <c r="DMM9" s="1"/>
      <c r="DMN9" s="1"/>
      <c r="DMO9" s="1"/>
      <c r="DMP9" s="1"/>
      <c r="DMQ9" s="1"/>
      <c r="DMR9" s="1"/>
      <c r="DMS9" s="1"/>
      <c r="DMT9" s="1"/>
      <c r="DMU9" s="1"/>
      <c r="DMV9" s="1"/>
      <c r="DMW9" s="1"/>
      <c r="DMX9" s="1"/>
      <c r="DMY9" s="1"/>
      <c r="DMZ9" s="1"/>
      <c r="DNA9" s="1"/>
      <c r="DNB9" s="1"/>
      <c r="DNC9" s="1"/>
      <c r="DND9" s="1"/>
      <c r="DNE9" s="1"/>
      <c r="DNF9" s="1"/>
      <c r="DNG9" s="1"/>
      <c r="DNH9" s="1"/>
      <c r="DNI9" s="1"/>
      <c r="DNJ9" s="1"/>
      <c r="DNK9" s="1"/>
      <c r="DNL9" s="1"/>
      <c r="DNM9" s="1"/>
      <c r="DNN9" s="1"/>
      <c r="DNO9" s="1"/>
      <c r="DNP9" s="1"/>
      <c r="DNQ9" s="1"/>
      <c r="DNR9" s="1"/>
      <c r="DNS9" s="1"/>
      <c r="DNT9" s="1"/>
      <c r="DNU9" s="1"/>
      <c r="DNV9" s="1"/>
      <c r="DNW9" s="1"/>
      <c r="DNX9" s="1"/>
      <c r="DNY9" s="1"/>
      <c r="DNZ9" s="1"/>
      <c r="DOA9" s="1"/>
      <c r="DOB9" s="1"/>
      <c r="DOC9" s="1"/>
      <c r="DOD9" s="1"/>
      <c r="DOE9" s="1"/>
      <c r="DOF9" s="1"/>
      <c r="DOG9" s="1"/>
      <c r="DOH9" s="1"/>
      <c r="DOI9" s="1"/>
      <c r="DOJ9" s="1"/>
      <c r="DOK9" s="1"/>
      <c r="DOL9" s="1"/>
      <c r="DOM9" s="1"/>
      <c r="DON9" s="1"/>
      <c r="DOO9" s="1"/>
      <c r="DOP9" s="1"/>
      <c r="DOQ9" s="1"/>
      <c r="DOR9" s="1"/>
      <c r="DOS9" s="1"/>
      <c r="DOT9" s="1"/>
      <c r="DOU9" s="1"/>
      <c r="DOV9" s="1"/>
      <c r="DOW9" s="1"/>
      <c r="DOX9" s="1"/>
      <c r="DOY9" s="1"/>
      <c r="DOZ9" s="1"/>
      <c r="DPA9" s="1"/>
      <c r="DPB9" s="1"/>
      <c r="DPC9" s="1"/>
      <c r="DPD9" s="1"/>
      <c r="DPE9" s="1"/>
      <c r="DPF9" s="1"/>
      <c r="DPG9" s="1"/>
      <c r="DPH9" s="1"/>
      <c r="DPI9" s="1"/>
      <c r="DPJ9" s="1"/>
      <c r="DPK9" s="1"/>
      <c r="DPL9" s="1"/>
      <c r="DPM9" s="1"/>
      <c r="DPN9" s="1"/>
      <c r="DPO9" s="1"/>
      <c r="DPP9" s="1"/>
      <c r="DPQ9" s="1"/>
      <c r="DPR9" s="1"/>
      <c r="DPS9" s="1"/>
      <c r="DPT9" s="1"/>
      <c r="DPU9" s="1"/>
      <c r="DPV9" s="1"/>
      <c r="DPW9" s="1"/>
      <c r="DPX9" s="1"/>
      <c r="DPY9" s="1"/>
      <c r="DPZ9" s="1"/>
      <c r="DQA9" s="1"/>
      <c r="DQB9" s="1"/>
      <c r="DQC9" s="1"/>
      <c r="DQD9" s="1"/>
      <c r="DQE9" s="1"/>
      <c r="DQF9" s="1"/>
      <c r="DQG9" s="1"/>
      <c r="DQH9" s="1"/>
      <c r="DQI9" s="1"/>
      <c r="DQJ9" s="1"/>
      <c r="DQK9" s="1"/>
      <c r="DQL9" s="1"/>
      <c r="DQM9" s="1"/>
      <c r="DQN9" s="1"/>
      <c r="DQO9" s="1"/>
      <c r="DQP9" s="1"/>
      <c r="DQQ9" s="1"/>
      <c r="DQR9" s="1"/>
      <c r="DQS9" s="1"/>
      <c r="DQT9" s="1"/>
      <c r="DQU9" s="1"/>
      <c r="DQV9" s="1"/>
      <c r="DQW9" s="1"/>
      <c r="DQX9" s="1"/>
      <c r="DQY9" s="1"/>
      <c r="DQZ9" s="1"/>
      <c r="DRA9" s="1"/>
      <c r="DRB9" s="1"/>
      <c r="DRC9" s="1"/>
      <c r="DRD9" s="1"/>
      <c r="DRE9" s="1"/>
      <c r="DRF9" s="1"/>
      <c r="DRG9" s="1"/>
      <c r="DRH9" s="1"/>
      <c r="DRI9" s="1"/>
      <c r="DRJ9" s="1"/>
      <c r="DRK9" s="1"/>
      <c r="DRL9" s="1"/>
      <c r="DRM9" s="1"/>
      <c r="DRN9" s="1"/>
      <c r="DRO9" s="1"/>
      <c r="DRP9" s="1"/>
      <c r="DRQ9" s="1"/>
      <c r="DRR9" s="1"/>
      <c r="DRS9" s="1"/>
      <c r="DRT9" s="1"/>
      <c r="DRU9" s="1"/>
      <c r="DRV9" s="1"/>
      <c r="DRW9" s="1"/>
      <c r="DRX9" s="1"/>
      <c r="DRY9" s="1"/>
      <c r="DRZ9" s="1"/>
      <c r="DSA9" s="1"/>
      <c r="DSB9" s="1"/>
      <c r="DSC9" s="1"/>
      <c r="DSD9" s="1"/>
      <c r="DSE9" s="1"/>
      <c r="DSF9" s="1"/>
      <c r="DSG9" s="1"/>
      <c r="DSH9" s="1"/>
      <c r="DSI9" s="1"/>
      <c r="DSJ9" s="1"/>
      <c r="DSK9" s="1"/>
      <c r="DSL9" s="1"/>
      <c r="DSM9" s="1"/>
      <c r="DSN9" s="1"/>
      <c r="DSO9" s="1"/>
      <c r="DSP9" s="1"/>
      <c r="DSQ9" s="1"/>
      <c r="DSR9" s="1"/>
      <c r="DSS9" s="1"/>
      <c r="DST9" s="1"/>
      <c r="DSU9" s="1"/>
      <c r="DSV9" s="1"/>
      <c r="DSW9" s="1"/>
      <c r="DSX9" s="1"/>
      <c r="DSY9" s="1"/>
      <c r="DSZ9" s="1"/>
      <c r="DTA9" s="1"/>
      <c r="DTB9" s="1"/>
      <c r="DTC9" s="1"/>
      <c r="DTD9" s="1"/>
      <c r="DTE9" s="1"/>
      <c r="DTF9" s="1"/>
      <c r="DTG9" s="1"/>
      <c r="DTH9" s="1"/>
      <c r="DTI9" s="1"/>
      <c r="DTJ9" s="1"/>
      <c r="DTK9" s="1"/>
      <c r="DTL9" s="1"/>
      <c r="DTM9" s="1"/>
      <c r="DTN9" s="1"/>
      <c r="DTO9" s="1"/>
      <c r="DTP9" s="1"/>
      <c r="DTQ9" s="1"/>
      <c r="DTR9" s="1"/>
      <c r="DTS9" s="1"/>
      <c r="DTT9" s="1"/>
      <c r="DTU9" s="1"/>
      <c r="DTV9" s="1"/>
      <c r="DTW9" s="1"/>
      <c r="DTX9" s="1"/>
      <c r="DTY9" s="1"/>
      <c r="DTZ9" s="1"/>
      <c r="DUA9" s="1"/>
      <c r="DUB9" s="1"/>
      <c r="DUC9" s="1"/>
      <c r="DUD9" s="1"/>
      <c r="DUE9" s="1"/>
      <c r="DUF9" s="1"/>
      <c r="DUG9" s="1"/>
      <c r="DUH9" s="1"/>
      <c r="DUI9" s="1"/>
      <c r="DUJ9" s="1"/>
      <c r="DUK9" s="1"/>
      <c r="DUL9" s="1"/>
      <c r="DUM9" s="1"/>
      <c r="DUN9" s="1"/>
      <c r="DUO9" s="1"/>
      <c r="DUP9" s="1"/>
      <c r="DUQ9" s="1"/>
      <c r="DUR9" s="1"/>
      <c r="DUS9" s="1"/>
      <c r="DUT9" s="1"/>
      <c r="DUU9" s="1"/>
      <c r="DUV9" s="1"/>
      <c r="DUW9" s="1"/>
      <c r="DUX9" s="1"/>
      <c r="DUY9" s="1"/>
      <c r="DUZ9" s="1"/>
      <c r="DVA9" s="1"/>
      <c r="DVB9" s="1"/>
      <c r="DVC9" s="1"/>
      <c r="DVD9" s="1"/>
      <c r="DVE9" s="1"/>
      <c r="DVF9" s="1"/>
      <c r="DVG9" s="1"/>
      <c r="DVH9" s="1"/>
      <c r="DVI9" s="1"/>
      <c r="DVJ9" s="1"/>
      <c r="DVK9" s="1"/>
      <c r="DVL9" s="1"/>
      <c r="DVM9" s="1"/>
      <c r="DVN9" s="1"/>
      <c r="DVO9" s="1"/>
      <c r="DVP9" s="1"/>
      <c r="DVQ9" s="1"/>
      <c r="DVR9" s="1"/>
      <c r="DVS9" s="1"/>
      <c r="DVT9" s="1"/>
      <c r="DVU9" s="1"/>
      <c r="DVV9" s="1"/>
      <c r="DVW9" s="1"/>
      <c r="DVX9" s="1"/>
      <c r="DVY9" s="1"/>
      <c r="DVZ9" s="1"/>
      <c r="DWA9" s="1"/>
      <c r="DWB9" s="1"/>
      <c r="DWC9" s="1"/>
      <c r="DWD9" s="1"/>
      <c r="DWE9" s="1"/>
      <c r="DWF9" s="1"/>
      <c r="DWG9" s="1"/>
      <c r="DWH9" s="1"/>
      <c r="DWI9" s="1"/>
      <c r="DWJ9" s="1"/>
      <c r="DWK9" s="1"/>
      <c r="DWL9" s="1"/>
      <c r="DWM9" s="1"/>
      <c r="DWN9" s="1"/>
      <c r="DWO9" s="1"/>
      <c r="DWP9" s="1"/>
      <c r="DWQ9" s="1"/>
      <c r="DWR9" s="1"/>
      <c r="DWS9" s="1"/>
      <c r="DWT9" s="1"/>
      <c r="DWU9" s="1"/>
      <c r="DWV9" s="1"/>
      <c r="DWW9" s="1"/>
      <c r="DWX9" s="1"/>
      <c r="DWY9" s="1"/>
      <c r="DWZ9" s="1"/>
      <c r="DXA9" s="1"/>
      <c r="DXB9" s="1"/>
      <c r="DXC9" s="1"/>
      <c r="DXD9" s="1"/>
      <c r="DXE9" s="1"/>
      <c r="DXF9" s="1"/>
      <c r="DXG9" s="1"/>
      <c r="DXH9" s="1"/>
      <c r="DXI9" s="1"/>
      <c r="DXJ9" s="1"/>
      <c r="DXK9" s="1"/>
      <c r="DXL9" s="1"/>
      <c r="DXM9" s="1"/>
      <c r="DXN9" s="1"/>
      <c r="DXO9" s="1"/>
      <c r="DXP9" s="1"/>
      <c r="DXQ9" s="1"/>
      <c r="DXR9" s="1"/>
      <c r="DXS9" s="1"/>
      <c r="DXT9" s="1"/>
      <c r="DXU9" s="1"/>
      <c r="DXV9" s="1"/>
      <c r="DXW9" s="1"/>
      <c r="DXX9" s="1"/>
      <c r="DXY9" s="1"/>
      <c r="DXZ9" s="1"/>
      <c r="DYA9" s="1"/>
      <c r="DYB9" s="1"/>
      <c r="DYC9" s="1"/>
      <c r="DYD9" s="1"/>
      <c r="DYE9" s="1"/>
      <c r="DYF9" s="1"/>
      <c r="DYG9" s="1"/>
      <c r="DYH9" s="1"/>
      <c r="DYI9" s="1"/>
      <c r="DYJ9" s="1"/>
      <c r="DYK9" s="1"/>
      <c r="DYL9" s="1"/>
      <c r="DYM9" s="1"/>
      <c r="DYN9" s="1"/>
      <c r="DYO9" s="1"/>
      <c r="DYP9" s="1"/>
      <c r="DYQ9" s="1"/>
      <c r="DYR9" s="1"/>
      <c r="DYS9" s="1"/>
      <c r="DYT9" s="1"/>
      <c r="DYU9" s="1"/>
      <c r="DYV9" s="1"/>
      <c r="DYW9" s="1"/>
      <c r="DYX9" s="1"/>
      <c r="DYY9" s="1"/>
      <c r="DYZ9" s="1"/>
      <c r="DZA9" s="1"/>
      <c r="DZB9" s="1"/>
      <c r="DZC9" s="1"/>
      <c r="DZD9" s="1"/>
      <c r="DZE9" s="1"/>
      <c r="DZF9" s="1"/>
      <c r="DZG9" s="1"/>
      <c r="DZH9" s="1"/>
      <c r="DZI9" s="1"/>
      <c r="DZJ9" s="1"/>
      <c r="DZK9" s="1"/>
      <c r="DZL9" s="1"/>
      <c r="DZM9" s="1"/>
      <c r="DZN9" s="1"/>
      <c r="DZO9" s="1"/>
      <c r="DZP9" s="1"/>
      <c r="DZQ9" s="1"/>
      <c r="DZR9" s="1"/>
      <c r="DZS9" s="1"/>
      <c r="DZT9" s="1"/>
      <c r="DZU9" s="1"/>
      <c r="DZV9" s="1"/>
      <c r="DZW9" s="1"/>
      <c r="DZX9" s="1"/>
      <c r="DZY9" s="1"/>
      <c r="DZZ9" s="1"/>
      <c r="EAA9" s="1"/>
      <c r="EAB9" s="1"/>
      <c r="EAC9" s="1"/>
      <c r="EAD9" s="1"/>
      <c r="EAE9" s="1"/>
      <c r="EAF9" s="1"/>
      <c r="EAG9" s="1"/>
      <c r="EAH9" s="1"/>
      <c r="EAI9" s="1"/>
      <c r="EAJ9" s="1"/>
      <c r="EAK9" s="1"/>
      <c r="EAL9" s="1"/>
      <c r="EAM9" s="1"/>
      <c r="EAN9" s="1"/>
      <c r="EAO9" s="1"/>
      <c r="EAP9" s="1"/>
      <c r="EAQ9" s="1"/>
      <c r="EAR9" s="1"/>
      <c r="EAS9" s="1"/>
      <c r="EAT9" s="1"/>
      <c r="EAU9" s="1"/>
      <c r="EAV9" s="1"/>
      <c r="EAW9" s="1"/>
      <c r="EAX9" s="1"/>
      <c r="EAY9" s="1"/>
      <c r="EAZ9" s="1"/>
      <c r="EBA9" s="1"/>
      <c r="EBB9" s="1"/>
      <c r="EBC9" s="1"/>
      <c r="EBD9" s="1"/>
      <c r="EBE9" s="1"/>
      <c r="EBF9" s="1"/>
      <c r="EBG9" s="1"/>
      <c r="EBH9" s="1"/>
      <c r="EBI9" s="1"/>
      <c r="EBJ9" s="1"/>
      <c r="EBK9" s="1"/>
      <c r="EBL9" s="1"/>
      <c r="EBM9" s="1"/>
      <c r="EBN9" s="1"/>
      <c r="EBO9" s="1"/>
      <c r="EBP9" s="1"/>
      <c r="EBQ9" s="1"/>
      <c r="EBR9" s="1"/>
      <c r="EBS9" s="1"/>
      <c r="EBT9" s="1"/>
      <c r="EBU9" s="1"/>
      <c r="EBV9" s="1"/>
      <c r="EBW9" s="1"/>
      <c r="EBX9" s="1"/>
      <c r="EBY9" s="1"/>
      <c r="EBZ9" s="1"/>
      <c r="ECA9" s="1"/>
      <c r="ECB9" s="1"/>
      <c r="ECC9" s="1"/>
      <c r="ECD9" s="1"/>
      <c r="ECE9" s="1"/>
      <c r="ECF9" s="1"/>
      <c r="ECG9" s="1"/>
      <c r="ECH9" s="1"/>
      <c r="ECI9" s="1"/>
      <c r="ECJ9" s="1"/>
      <c r="ECK9" s="1"/>
      <c r="ECL9" s="1"/>
      <c r="ECM9" s="1"/>
      <c r="ECN9" s="1"/>
      <c r="ECO9" s="1"/>
      <c r="ECP9" s="1"/>
      <c r="ECQ9" s="1"/>
      <c r="ECR9" s="1"/>
      <c r="ECS9" s="1"/>
      <c r="ECT9" s="1"/>
      <c r="ECU9" s="1"/>
      <c r="ECV9" s="1"/>
      <c r="ECW9" s="1"/>
      <c r="ECX9" s="1"/>
      <c r="ECY9" s="1"/>
      <c r="ECZ9" s="1"/>
      <c r="EDA9" s="1"/>
      <c r="EDB9" s="1"/>
      <c r="EDC9" s="1"/>
      <c r="EDD9" s="1"/>
      <c r="EDE9" s="1"/>
      <c r="EDF9" s="1"/>
      <c r="EDG9" s="1"/>
      <c r="EDH9" s="1"/>
      <c r="EDI9" s="1"/>
      <c r="EDJ9" s="1"/>
      <c r="EDK9" s="1"/>
      <c r="EDL9" s="1"/>
      <c r="EDM9" s="1"/>
      <c r="EDN9" s="1"/>
      <c r="EDO9" s="1"/>
      <c r="EDP9" s="1"/>
      <c r="EDQ9" s="1"/>
      <c r="EDR9" s="1"/>
      <c r="EDS9" s="1"/>
      <c r="EDT9" s="1"/>
      <c r="EDU9" s="1"/>
      <c r="EDV9" s="1"/>
      <c r="EDW9" s="1"/>
      <c r="EDX9" s="1"/>
      <c r="EDY9" s="1"/>
      <c r="EDZ9" s="1"/>
      <c r="EEA9" s="1"/>
      <c r="EEB9" s="1"/>
      <c r="EEC9" s="1"/>
      <c r="EED9" s="1"/>
      <c r="EEE9" s="1"/>
      <c r="EEF9" s="1"/>
      <c r="EEG9" s="1"/>
      <c r="EEH9" s="1"/>
      <c r="EEI9" s="1"/>
      <c r="EEJ9" s="1"/>
      <c r="EEK9" s="1"/>
      <c r="EEL9" s="1"/>
      <c r="EEM9" s="1"/>
      <c r="EEN9" s="1"/>
      <c r="EEO9" s="1"/>
      <c r="EEP9" s="1"/>
      <c r="EEQ9" s="1"/>
      <c r="EER9" s="1"/>
      <c r="EES9" s="1"/>
      <c r="EET9" s="1"/>
      <c r="EEU9" s="1"/>
      <c r="EEV9" s="1"/>
      <c r="EEW9" s="1"/>
      <c r="EEX9" s="1"/>
      <c r="EEY9" s="1"/>
      <c r="EEZ9" s="1"/>
      <c r="EFA9" s="1"/>
      <c r="EFB9" s="1"/>
      <c r="EFC9" s="1"/>
      <c r="EFD9" s="1"/>
      <c r="EFE9" s="1"/>
      <c r="EFF9" s="1"/>
      <c r="EFG9" s="1"/>
      <c r="EFH9" s="1"/>
      <c r="EFI9" s="1"/>
      <c r="EFJ9" s="1"/>
      <c r="EFK9" s="1"/>
      <c r="EFL9" s="1"/>
      <c r="EFM9" s="1"/>
      <c r="EFN9" s="1"/>
      <c r="EFO9" s="1"/>
      <c r="EFP9" s="1"/>
      <c r="EFQ9" s="1"/>
      <c r="EFR9" s="1"/>
      <c r="EFS9" s="1"/>
      <c r="EFT9" s="1"/>
      <c r="EFU9" s="1"/>
      <c r="EFV9" s="1"/>
      <c r="EFW9" s="1"/>
      <c r="EFX9" s="1"/>
      <c r="EFY9" s="1"/>
      <c r="EFZ9" s="1"/>
      <c r="EGA9" s="1"/>
      <c r="EGB9" s="1"/>
      <c r="EGC9" s="1"/>
      <c r="EGD9" s="1"/>
      <c r="EGE9" s="1"/>
      <c r="EGF9" s="1"/>
      <c r="EGG9" s="1"/>
      <c r="EGH9" s="1"/>
      <c r="EGI9" s="1"/>
      <c r="EGJ9" s="1"/>
      <c r="EGK9" s="1"/>
      <c r="EGL9" s="1"/>
      <c r="EGM9" s="1"/>
      <c r="EGN9" s="1"/>
      <c r="EGO9" s="1"/>
      <c r="EGP9" s="1"/>
      <c r="EGQ9" s="1"/>
      <c r="EGR9" s="1"/>
      <c r="EGS9" s="1"/>
      <c r="EGT9" s="1"/>
      <c r="EGU9" s="1"/>
      <c r="EGV9" s="1"/>
      <c r="EGW9" s="1"/>
      <c r="EGX9" s="1"/>
      <c r="EGY9" s="1"/>
      <c r="EGZ9" s="1"/>
      <c r="EHA9" s="1"/>
      <c r="EHB9" s="1"/>
      <c r="EHC9" s="1"/>
      <c r="EHD9" s="1"/>
      <c r="EHE9" s="1"/>
      <c r="EHF9" s="1"/>
      <c r="EHG9" s="1"/>
      <c r="EHH9" s="1"/>
      <c r="EHI9" s="1"/>
      <c r="EHJ9" s="1"/>
      <c r="EHK9" s="1"/>
      <c r="EHL9" s="1"/>
      <c r="EHM9" s="1"/>
      <c r="EHN9" s="1"/>
      <c r="EHO9" s="1"/>
      <c r="EHP9" s="1"/>
      <c r="EHQ9" s="1"/>
      <c r="EHR9" s="1"/>
      <c r="EHS9" s="1"/>
      <c r="EHT9" s="1"/>
      <c r="EHU9" s="1"/>
      <c r="EHV9" s="1"/>
      <c r="EHW9" s="1"/>
      <c r="EHX9" s="1"/>
      <c r="EHY9" s="1"/>
      <c r="EHZ9" s="1"/>
      <c r="EIA9" s="1"/>
      <c r="EIB9" s="1"/>
      <c r="EIC9" s="1"/>
      <c r="EID9" s="1"/>
      <c r="EIE9" s="1"/>
      <c r="EIF9" s="1"/>
      <c r="EIG9" s="1"/>
      <c r="EIH9" s="1"/>
      <c r="EII9" s="1"/>
      <c r="EIJ9" s="1"/>
      <c r="EIK9" s="1"/>
      <c r="EIL9" s="1"/>
      <c r="EIM9" s="1"/>
      <c r="EIN9" s="1"/>
      <c r="EIO9" s="1"/>
      <c r="EIP9" s="1"/>
      <c r="EIQ9" s="1"/>
      <c r="EIR9" s="1"/>
      <c r="EIS9" s="1"/>
      <c r="EIT9" s="1"/>
      <c r="EIU9" s="1"/>
      <c r="EIV9" s="1"/>
      <c r="EIW9" s="1"/>
      <c r="EIX9" s="1"/>
      <c r="EIY9" s="1"/>
      <c r="EIZ9" s="1"/>
      <c r="EJA9" s="1"/>
      <c r="EJB9" s="1"/>
      <c r="EJC9" s="1"/>
      <c r="EJD9" s="1"/>
      <c r="EJE9" s="1"/>
      <c r="EJF9" s="1"/>
      <c r="EJG9" s="1"/>
      <c r="EJH9" s="1"/>
      <c r="EJI9" s="1"/>
      <c r="EJJ9" s="1"/>
      <c r="EJK9" s="1"/>
      <c r="EJL9" s="1"/>
      <c r="EJM9" s="1"/>
      <c r="EJN9" s="1"/>
      <c r="EJO9" s="1"/>
      <c r="EJP9" s="1"/>
      <c r="EJQ9" s="1"/>
      <c r="EJR9" s="1"/>
      <c r="EJS9" s="1"/>
      <c r="EJT9" s="1"/>
      <c r="EJU9" s="1"/>
      <c r="EJV9" s="1"/>
      <c r="EJW9" s="1"/>
      <c r="EJX9" s="1"/>
      <c r="EJY9" s="1"/>
      <c r="EJZ9" s="1"/>
      <c r="EKA9" s="1"/>
      <c r="EKB9" s="1"/>
      <c r="EKC9" s="1"/>
      <c r="EKD9" s="1"/>
      <c r="EKE9" s="1"/>
      <c r="EKF9" s="1"/>
      <c r="EKG9" s="1"/>
      <c r="EKH9" s="1"/>
      <c r="EKI9" s="1"/>
      <c r="EKJ9" s="1"/>
      <c r="EKK9" s="1"/>
      <c r="EKL9" s="1"/>
      <c r="EKM9" s="1"/>
      <c r="EKN9" s="1"/>
      <c r="EKO9" s="1"/>
      <c r="EKP9" s="1"/>
      <c r="EKQ9" s="1"/>
      <c r="EKR9" s="1"/>
      <c r="EKS9" s="1"/>
      <c r="EKT9" s="1"/>
      <c r="EKU9" s="1"/>
      <c r="EKV9" s="1"/>
      <c r="EKW9" s="1"/>
      <c r="EKX9" s="1"/>
      <c r="EKY9" s="1"/>
      <c r="EKZ9" s="1"/>
      <c r="ELA9" s="1"/>
      <c r="ELB9" s="1"/>
      <c r="ELC9" s="1"/>
      <c r="ELD9" s="1"/>
      <c r="ELE9" s="1"/>
      <c r="ELF9" s="1"/>
      <c r="ELG9" s="1"/>
      <c r="ELH9" s="1"/>
      <c r="ELI9" s="1"/>
      <c r="ELJ9" s="1"/>
      <c r="ELK9" s="1"/>
      <c r="ELL9" s="1"/>
      <c r="ELM9" s="1"/>
      <c r="ELN9" s="1"/>
      <c r="ELO9" s="1"/>
      <c r="ELP9" s="1"/>
      <c r="ELQ9" s="1"/>
      <c r="ELR9" s="1"/>
      <c r="ELS9" s="1"/>
      <c r="ELT9" s="1"/>
      <c r="ELU9" s="1"/>
      <c r="ELV9" s="1"/>
      <c r="ELW9" s="1"/>
      <c r="ELX9" s="1"/>
      <c r="ELY9" s="1"/>
      <c r="ELZ9" s="1"/>
      <c r="EMA9" s="1"/>
      <c r="EMB9" s="1"/>
      <c r="EMC9" s="1"/>
      <c r="EMD9" s="1"/>
      <c r="EME9" s="1"/>
      <c r="EMF9" s="1"/>
      <c r="EMG9" s="1"/>
      <c r="EMH9" s="1"/>
      <c r="EMI9" s="1"/>
      <c r="EMJ9" s="1"/>
      <c r="EMK9" s="1"/>
      <c r="EML9" s="1"/>
      <c r="EMM9" s="1"/>
      <c r="EMN9" s="1"/>
      <c r="EMO9" s="1"/>
      <c r="EMP9" s="1"/>
      <c r="EMQ9" s="1"/>
      <c r="EMR9" s="1"/>
      <c r="EMS9" s="1"/>
      <c r="EMT9" s="1"/>
      <c r="EMU9" s="1"/>
      <c r="EMV9" s="1"/>
      <c r="EMW9" s="1"/>
      <c r="EMX9" s="1"/>
      <c r="EMY9" s="1"/>
      <c r="EMZ9" s="1"/>
      <c r="ENA9" s="1"/>
      <c r="ENB9" s="1"/>
      <c r="ENC9" s="1"/>
      <c r="END9" s="1"/>
      <c r="ENE9" s="1"/>
      <c r="ENF9" s="1"/>
      <c r="ENG9" s="1"/>
      <c r="ENH9" s="1"/>
      <c r="ENI9" s="1"/>
      <c r="ENJ9" s="1"/>
      <c r="ENK9" s="1"/>
      <c r="ENL9" s="1"/>
      <c r="ENM9" s="1"/>
      <c r="ENN9" s="1"/>
      <c r="ENO9" s="1"/>
      <c r="ENP9" s="1"/>
      <c r="ENQ9" s="1"/>
      <c r="ENR9" s="1"/>
      <c r="ENS9" s="1"/>
      <c r="ENT9" s="1"/>
      <c r="ENU9" s="1"/>
      <c r="ENV9" s="1"/>
      <c r="ENW9" s="1"/>
      <c r="ENX9" s="1"/>
      <c r="ENY9" s="1"/>
      <c r="ENZ9" s="1"/>
      <c r="EOA9" s="1"/>
      <c r="EOB9" s="1"/>
      <c r="EOC9" s="1"/>
      <c r="EOD9" s="1"/>
      <c r="EOE9" s="1"/>
      <c r="EOF9" s="1"/>
      <c r="EOG9" s="1"/>
      <c r="EOH9" s="1"/>
      <c r="EOI9" s="1"/>
      <c r="EOJ9" s="1"/>
      <c r="EOK9" s="1"/>
      <c r="EOL9" s="1"/>
      <c r="EOM9" s="1"/>
      <c r="EON9" s="1"/>
      <c r="EOO9" s="1"/>
      <c r="EOP9" s="1"/>
      <c r="EOQ9" s="1"/>
      <c r="EOR9" s="1"/>
      <c r="EOS9" s="1"/>
      <c r="EOT9" s="1"/>
      <c r="EOU9" s="1"/>
      <c r="EOV9" s="1"/>
      <c r="EOW9" s="1"/>
      <c r="EOX9" s="1"/>
      <c r="EOY9" s="1"/>
      <c r="EOZ9" s="1"/>
      <c r="EPA9" s="1"/>
      <c r="EPB9" s="1"/>
      <c r="EPC9" s="1"/>
      <c r="EPD9" s="1"/>
      <c r="EPE9" s="1"/>
      <c r="EPF9" s="1"/>
      <c r="EPG9" s="1"/>
      <c r="EPH9" s="1"/>
      <c r="EPI9" s="1"/>
      <c r="EPJ9" s="1"/>
      <c r="EPK9" s="1"/>
      <c r="EPL9" s="1"/>
      <c r="EPM9" s="1"/>
      <c r="EPN9" s="1"/>
      <c r="EPO9" s="1"/>
      <c r="EPP9" s="1"/>
      <c r="EPQ9" s="1"/>
      <c r="EPR9" s="1"/>
      <c r="EPS9" s="1"/>
      <c r="EPT9" s="1"/>
      <c r="EPU9" s="1"/>
      <c r="EPV9" s="1"/>
      <c r="EPW9" s="1"/>
      <c r="EPX9" s="1"/>
      <c r="EPY9" s="1"/>
      <c r="EPZ9" s="1"/>
      <c r="EQA9" s="1"/>
      <c r="EQB9" s="1"/>
      <c r="EQC9" s="1"/>
      <c r="EQD9" s="1"/>
      <c r="EQE9" s="1"/>
      <c r="EQF9" s="1"/>
      <c r="EQG9" s="1"/>
      <c r="EQH9" s="1"/>
      <c r="EQI9" s="1"/>
      <c r="EQJ9" s="1"/>
      <c r="EQK9" s="1"/>
      <c r="EQL9" s="1"/>
      <c r="EQM9" s="1"/>
      <c r="EQN9" s="1"/>
      <c r="EQO9" s="1"/>
      <c r="EQP9" s="1"/>
      <c r="EQQ9" s="1"/>
      <c r="EQR9" s="1"/>
      <c r="EQS9" s="1"/>
      <c r="EQT9" s="1"/>
      <c r="EQU9" s="1"/>
      <c r="EQV9" s="1"/>
      <c r="EQW9" s="1"/>
      <c r="EQX9" s="1"/>
      <c r="EQY9" s="1"/>
      <c r="EQZ9" s="1"/>
      <c r="ERA9" s="1"/>
      <c r="ERB9" s="1"/>
      <c r="ERC9" s="1"/>
      <c r="ERD9" s="1"/>
      <c r="ERE9" s="1"/>
      <c r="ERF9" s="1"/>
      <c r="ERG9" s="1"/>
      <c r="ERH9" s="1"/>
      <c r="ERI9" s="1"/>
      <c r="ERJ9" s="1"/>
      <c r="ERK9" s="1"/>
      <c r="ERL9" s="1"/>
      <c r="ERM9" s="1"/>
      <c r="ERN9" s="1"/>
      <c r="ERO9" s="1"/>
      <c r="ERP9" s="1"/>
      <c r="ERQ9" s="1"/>
      <c r="ERR9" s="1"/>
      <c r="ERS9" s="1"/>
      <c r="ERT9" s="1"/>
      <c r="ERU9" s="1"/>
      <c r="ERV9" s="1"/>
      <c r="ERW9" s="1"/>
      <c r="ERX9" s="1"/>
      <c r="ERY9" s="1"/>
      <c r="ERZ9" s="1"/>
      <c r="ESA9" s="1"/>
      <c r="ESB9" s="1"/>
      <c r="ESC9" s="1"/>
      <c r="ESD9" s="1"/>
      <c r="ESE9" s="1"/>
      <c r="ESF9" s="1"/>
      <c r="ESG9" s="1"/>
      <c r="ESH9" s="1"/>
      <c r="ESI9" s="1"/>
      <c r="ESJ9" s="1"/>
      <c r="ESK9" s="1"/>
      <c r="ESL9" s="1"/>
      <c r="ESM9" s="1"/>
      <c r="ESN9" s="1"/>
      <c r="ESO9" s="1"/>
      <c r="ESP9" s="1"/>
      <c r="ESQ9" s="1"/>
      <c r="ESR9" s="1"/>
      <c r="ESS9" s="1"/>
      <c r="EST9" s="1"/>
      <c r="ESU9" s="1"/>
      <c r="ESV9" s="1"/>
      <c r="ESW9" s="1"/>
      <c r="ESX9" s="1"/>
      <c r="ESY9" s="1"/>
      <c r="ESZ9" s="1"/>
      <c r="ETA9" s="1"/>
      <c r="ETB9" s="1"/>
      <c r="ETC9" s="1"/>
      <c r="ETD9" s="1"/>
      <c r="ETE9" s="1"/>
      <c r="ETF9" s="1"/>
      <c r="ETG9" s="1"/>
      <c r="ETH9" s="1"/>
      <c r="ETI9" s="1"/>
      <c r="ETJ9" s="1"/>
      <c r="ETK9" s="1"/>
      <c r="ETL9" s="1"/>
      <c r="ETM9" s="1"/>
      <c r="ETN9" s="1"/>
      <c r="ETO9" s="1"/>
      <c r="ETP9" s="1"/>
      <c r="ETQ9" s="1"/>
      <c r="ETR9" s="1"/>
      <c r="ETS9" s="1"/>
      <c r="ETT9" s="1"/>
      <c r="ETU9" s="1"/>
      <c r="ETV9" s="1"/>
      <c r="ETW9" s="1"/>
      <c r="ETX9" s="1"/>
      <c r="ETY9" s="1"/>
      <c r="ETZ9" s="1"/>
      <c r="EUA9" s="1"/>
      <c r="EUB9" s="1"/>
      <c r="EUC9" s="1"/>
      <c r="EUD9" s="1"/>
      <c r="EUE9" s="1"/>
      <c r="EUF9" s="1"/>
      <c r="EUG9" s="1"/>
      <c r="EUH9" s="1"/>
      <c r="EUI9" s="1"/>
      <c r="EUJ9" s="1"/>
      <c r="EUK9" s="1"/>
      <c r="EUL9" s="1"/>
      <c r="EUM9" s="1"/>
      <c r="EUN9" s="1"/>
      <c r="EUO9" s="1"/>
      <c r="EUP9" s="1"/>
      <c r="EUQ9" s="1"/>
      <c r="EUR9" s="1"/>
      <c r="EUS9" s="1"/>
      <c r="EUT9" s="1"/>
      <c r="EUU9" s="1"/>
      <c r="EUV9" s="1"/>
      <c r="EUW9" s="1"/>
      <c r="EUX9" s="1"/>
      <c r="EUY9" s="1"/>
      <c r="EUZ9" s="1"/>
      <c r="EVA9" s="1"/>
      <c r="EVB9" s="1"/>
      <c r="EVC9" s="1"/>
      <c r="EVD9" s="1"/>
      <c r="EVE9" s="1"/>
      <c r="EVF9" s="1"/>
      <c r="EVG9" s="1"/>
      <c r="EVH9" s="1"/>
      <c r="EVI9" s="1"/>
      <c r="EVJ9" s="1"/>
      <c r="EVK9" s="1"/>
      <c r="EVL9" s="1"/>
      <c r="EVM9" s="1"/>
      <c r="EVN9" s="1"/>
      <c r="EVO9" s="1"/>
      <c r="EVP9" s="1"/>
      <c r="EVQ9" s="1"/>
      <c r="EVR9" s="1"/>
      <c r="EVS9" s="1"/>
      <c r="EVT9" s="1"/>
      <c r="EVU9" s="1"/>
      <c r="EVV9" s="1"/>
      <c r="EVW9" s="1"/>
      <c r="EVX9" s="1"/>
      <c r="EVY9" s="1"/>
      <c r="EVZ9" s="1"/>
      <c r="EWA9" s="1"/>
      <c r="EWB9" s="1"/>
      <c r="EWC9" s="1"/>
      <c r="EWD9" s="1"/>
      <c r="EWE9" s="1"/>
      <c r="EWF9" s="1"/>
      <c r="EWG9" s="1"/>
      <c r="EWH9" s="1"/>
      <c r="EWI9" s="1"/>
      <c r="EWJ9" s="1"/>
      <c r="EWK9" s="1"/>
      <c r="EWL9" s="1"/>
      <c r="EWM9" s="1"/>
      <c r="EWN9" s="1"/>
      <c r="EWO9" s="1"/>
      <c r="EWP9" s="1"/>
      <c r="EWQ9" s="1"/>
      <c r="EWR9" s="1"/>
      <c r="EWS9" s="1"/>
      <c r="EWT9" s="1"/>
      <c r="EWU9" s="1"/>
      <c r="EWV9" s="1"/>
      <c r="EWW9" s="1"/>
      <c r="EWX9" s="1"/>
      <c r="EWY9" s="1"/>
      <c r="EWZ9" s="1"/>
      <c r="EXA9" s="1"/>
      <c r="EXB9" s="1"/>
      <c r="EXC9" s="1"/>
      <c r="EXD9" s="1"/>
      <c r="EXE9" s="1"/>
      <c r="EXF9" s="1"/>
      <c r="EXG9" s="1"/>
      <c r="EXH9" s="1"/>
      <c r="EXI9" s="1"/>
      <c r="EXJ9" s="1"/>
      <c r="EXK9" s="1"/>
      <c r="EXL9" s="1"/>
      <c r="EXM9" s="1"/>
      <c r="EXN9" s="1"/>
      <c r="EXO9" s="1"/>
      <c r="EXP9" s="1"/>
      <c r="EXQ9" s="1"/>
      <c r="EXR9" s="1"/>
      <c r="EXS9" s="1"/>
      <c r="EXT9" s="1"/>
      <c r="EXU9" s="1"/>
      <c r="EXV9" s="1"/>
      <c r="EXW9" s="1"/>
      <c r="EXX9" s="1"/>
      <c r="EXY9" s="1"/>
      <c r="EXZ9" s="1"/>
      <c r="EYA9" s="1"/>
      <c r="EYB9" s="1"/>
      <c r="EYC9" s="1"/>
      <c r="EYD9" s="1"/>
      <c r="EYE9" s="1"/>
      <c r="EYF9" s="1"/>
      <c r="EYG9" s="1"/>
      <c r="EYH9" s="1"/>
      <c r="EYI9" s="1"/>
      <c r="EYJ9" s="1"/>
      <c r="EYK9" s="1"/>
      <c r="EYL9" s="1"/>
      <c r="EYM9" s="1"/>
      <c r="EYN9" s="1"/>
      <c r="EYO9" s="1"/>
      <c r="EYP9" s="1"/>
      <c r="EYQ9" s="1"/>
      <c r="EYR9" s="1"/>
      <c r="EYS9" s="1"/>
      <c r="EYT9" s="1"/>
      <c r="EYU9" s="1"/>
      <c r="EYV9" s="1"/>
      <c r="EYW9" s="1"/>
      <c r="EYX9" s="1"/>
      <c r="EYY9" s="1"/>
      <c r="EYZ9" s="1"/>
      <c r="EZA9" s="1"/>
      <c r="EZB9" s="1"/>
      <c r="EZC9" s="1"/>
      <c r="EZD9" s="1"/>
      <c r="EZE9" s="1"/>
      <c r="EZF9" s="1"/>
      <c r="EZG9" s="1"/>
      <c r="EZH9" s="1"/>
      <c r="EZI9" s="1"/>
      <c r="EZJ9" s="1"/>
      <c r="EZK9" s="1"/>
      <c r="EZL9" s="1"/>
      <c r="EZM9" s="1"/>
      <c r="EZN9" s="1"/>
      <c r="EZO9" s="1"/>
      <c r="EZP9" s="1"/>
      <c r="EZQ9" s="1"/>
      <c r="EZR9" s="1"/>
      <c r="EZS9" s="1"/>
      <c r="EZT9" s="1"/>
      <c r="EZU9" s="1"/>
      <c r="EZV9" s="1"/>
      <c r="EZW9" s="1"/>
      <c r="EZX9" s="1"/>
      <c r="EZY9" s="1"/>
      <c r="EZZ9" s="1"/>
      <c r="FAA9" s="1"/>
      <c r="FAB9" s="1"/>
      <c r="FAC9" s="1"/>
      <c r="FAD9" s="1"/>
      <c r="FAE9" s="1"/>
      <c r="FAF9" s="1"/>
      <c r="FAG9" s="1"/>
      <c r="FAH9" s="1"/>
      <c r="FAI9" s="1"/>
      <c r="FAJ9" s="1"/>
      <c r="FAK9" s="1"/>
      <c r="FAL9" s="1"/>
      <c r="FAM9" s="1"/>
      <c r="FAN9" s="1"/>
      <c r="FAO9" s="1"/>
      <c r="FAP9" s="1"/>
      <c r="FAQ9" s="1"/>
      <c r="FAR9" s="1"/>
      <c r="FAS9" s="1"/>
      <c r="FAT9" s="1"/>
      <c r="FAU9" s="1"/>
      <c r="FAV9" s="1"/>
      <c r="FAW9" s="1"/>
      <c r="FAX9" s="1"/>
      <c r="FAY9" s="1"/>
      <c r="FAZ9" s="1"/>
      <c r="FBA9" s="1"/>
      <c r="FBB9" s="1"/>
      <c r="FBC9" s="1"/>
      <c r="FBD9" s="1"/>
      <c r="FBE9" s="1"/>
      <c r="FBF9" s="1"/>
      <c r="FBG9" s="1"/>
      <c r="FBH9" s="1"/>
      <c r="FBI9" s="1"/>
      <c r="FBJ9" s="1"/>
      <c r="FBK9" s="1"/>
      <c r="FBL9" s="1"/>
      <c r="FBM9" s="1"/>
      <c r="FBN9" s="1"/>
      <c r="FBO9" s="1"/>
      <c r="FBP9" s="1"/>
      <c r="FBQ9" s="1"/>
      <c r="FBR9" s="1"/>
      <c r="FBS9" s="1"/>
      <c r="FBT9" s="1"/>
      <c r="FBU9" s="1"/>
      <c r="FBV9" s="1"/>
      <c r="FBW9" s="1"/>
      <c r="FBX9" s="1"/>
      <c r="FBY9" s="1"/>
      <c r="FBZ9" s="1"/>
      <c r="FCA9" s="1"/>
      <c r="FCB9" s="1"/>
      <c r="FCC9" s="1"/>
      <c r="FCD9" s="1"/>
      <c r="FCE9" s="1"/>
      <c r="FCF9" s="1"/>
      <c r="FCG9" s="1"/>
      <c r="FCH9" s="1"/>
      <c r="FCI9" s="1"/>
      <c r="FCJ9" s="1"/>
      <c r="FCK9" s="1"/>
      <c r="FCL9" s="1"/>
      <c r="FCM9" s="1"/>
      <c r="FCN9" s="1"/>
      <c r="FCO9" s="1"/>
      <c r="FCP9" s="1"/>
      <c r="FCQ9" s="1"/>
      <c r="FCR9" s="1"/>
      <c r="FCS9" s="1"/>
      <c r="FCT9" s="1"/>
      <c r="FCU9" s="1"/>
      <c r="FCV9" s="1"/>
      <c r="FCW9" s="1"/>
      <c r="FCX9" s="1"/>
      <c r="FCY9" s="1"/>
      <c r="FCZ9" s="1"/>
      <c r="FDA9" s="1"/>
      <c r="FDB9" s="1"/>
      <c r="FDC9" s="1"/>
      <c r="FDD9" s="1"/>
      <c r="FDE9" s="1"/>
      <c r="FDF9" s="1"/>
      <c r="FDG9" s="1"/>
      <c r="FDH9" s="1"/>
      <c r="FDI9" s="1"/>
      <c r="FDJ9" s="1"/>
      <c r="FDK9" s="1"/>
      <c r="FDL9" s="1"/>
      <c r="FDM9" s="1"/>
      <c r="FDN9" s="1"/>
      <c r="FDO9" s="1"/>
      <c r="FDP9" s="1"/>
      <c r="FDQ9" s="1"/>
      <c r="FDR9" s="1"/>
      <c r="FDS9" s="1"/>
      <c r="FDT9" s="1"/>
      <c r="FDU9" s="1"/>
      <c r="FDV9" s="1"/>
      <c r="FDW9" s="1"/>
      <c r="FDX9" s="1"/>
      <c r="FDY9" s="1"/>
      <c r="FDZ9" s="1"/>
      <c r="FEA9" s="1"/>
      <c r="FEB9" s="1"/>
      <c r="FEC9" s="1"/>
      <c r="FED9" s="1"/>
      <c r="FEE9" s="1"/>
      <c r="FEF9" s="1"/>
      <c r="FEG9" s="1"/>
      <c r="FEH9" s="1"/>
      <c r="FEI9" s="1"/>
      <c r="FEJ9" s="1"/>
      <c r="FEK9" s="1"/>
      <c r="FEL9" s="1"/>
      <c r="FEM9" s="1"/>
      <c r="FEN9" s="1"/>
      <c r="FEO9" s="1"/>
      <c r="FEP9" s="1"/>
      <c r="FEQ9" s="1"/>
      <c r="FER9" s="1"/>
      <c r="FES9" s="1"/>
      <c r="FET9" s="1"/>
      <c r="FEU9" s="1"/>
      <c r="FEV9" s="1"/>
      <c r="FEW9" s="1"/>
      <c r="FEX9" s="1"/>
      <c r="FEY9" s="1"/>
      <c r="FEZ9" s="1"/>
      <c r="FFA9" s="1"/>
      <c r="FFB9" s="1"/>
      <c r="FFC9" s="1"/>
      <c r="FFD9" s="1"/>
      <c r="FFE9" s="1"/>
      <c r="FFF9" s="1"/>
      <c r="FFG9" s="1"/>
      <c r="FFH9" s="1"/>
      <c r="FFI9" s="1"/>
      <c r="FFJ9" s="1"/>
      <c r="FFK9" s="1"/>
      <c r="FFL9" s="1"/>
      <c r="FFM9" s="1"/>
      <c r="FFN9" s="1"/>
      <c r="FFO9" s="1"/>
      <c r="FFP9" s="1"/>
      <c r="FFQ9" s="1"/>
      <c r="FFR9" s="1"/>
      <c r="FFS9" s="1"/>
      <c r="FFT9" s="1"/>
      <c r="FFU9" s="1"/>
      <c r="FFV9" s="1"/>
      <c r="FFW9" s="1"/>
      <c r="FFX9" s="1"/>
      <c r="FFY9" s="1"/>
      <c r="FFZ9" s="1"/>
      <c r="FGA9" s="1"/>
      <c r="FGB9" s="1"/>
      <c r="FGC9" s="1"/>
      <c r="FGD9" s="1"/>
      <c r="FGE9" s="1"/>
      <c r="FGF9" s="1"/>
      <c r="FGG9" s="1"/>
      <c r="FGH9" s="1"/>
      <c r="FGI9" s="1"/>
      <c r="FGJ9" s="1"/>
      <c r="FGK9" s="1"/>
      <c r="FGL9" s="1"/>
      <c r="FGM9" s="1"/>
      <c r="FGN9" s="1"/>
      <c r="FGO9" s="1"/>
      <c r="FGP9" s="1"/>
      <c r="FGQ9" s="1"/>
      <c r="FGR9" s="1"/>
      <c r="FGS9" s="1"/>
      <c r="FGT9" s="1"/>
      <c r="FGU9" s="1"/>
      <c r="FGV9" s="1"/>
      <c r="FGW9" s="1"/>
      <c r="FGX9" s="1"/>
      <c r="FGY9" s="1"/>
      <c r="FGZ9" s="1"/>
      <c r="FHA9" s="1"/>
      <c r="FHB9" s="1"/>
      <c r="FHC9" s="1"/>
      <c r="FHD9" s="1"/>
      <c r="FHE9" s="1"/>
      <c r="FHF9" s="1"/>
      <c r="FHG9" s="1"/>
      <c r="FHH9" s="1"/>
      <c r="FHI9" s="1"/>
      <c r="FHJ9" s="1"/>
      <c r="FHK9" s="1"/>
      <c r="FHL9" s="1"/>
      <c r="FHM9" s="1"/>
      <c r="FHN9" s="1"/>
      <c r="FHO9" s="1"/>
      <c r="FHP9" s="1"/>
      <c r="FHQ9" s="1"/>
      <c r="FHR9" s="1"/>
      <c r="FHS9" s="1"/>
      <c r="FHT9" s="1"/>
      <c r="FHU9" s="1"/>
      <c r="FHV9" s="1"/>
      <c r="FHW9" s="1"/>
      <c r="FHX9" s="1"/>
      <c r="FHY9" s="1"/>
      <c r="FHZ9" s="1"/>
      <c r="FIA9" s="1"/>
      <c r="FIB9" s="1"/>
      <c r="FIC9" s="1"/>
      <c r="FID9" s="1"/>
      <c r="FIE9" s="1"/>
      <c r="FIF9" s="1"/>
      <c r="FIG9" s="1"/>
      <c r="FIH9" s="1"/>
      <c r="FII9" s="1"/>
      <c r="FIJ9" s="1"/>
      <c r="FIK9" s="1"/>
      <c r="FIL9" s="1"/>
      <c r="FIM9" s="1"/>
      <c r="FIN9" s="1"/>
      <c r="FIO9" s="1"/>
      <c r="FIP9" s="1"/>
      <c r="FIQ9" s="1"/>
      <c r="FIR9" s="1"/>
      <c r="FIS9" s="1"/>
      <c r="FIT9" s="1"/>
      <c r="FIU9" s="1"/>
      <c r="FIV9" s="1"/>
      <c r="FIW9" s="1"/>
      <c r="FIX9" s="1"/>
      <c r="FIY9" s="1"/>
      <c r="FIZ9" s="1"/>
      <c r="FJA9" s="1"/>
      <c r="FJB9" s="1"/>
      <c r="FJC9" s="1"/>
      <c r="FJD9" s="1"/>
      <c r="FJE9" s="1"/>
      <c r="FJF9" s="1"/>
      <c r="FJG9" s="1"/>
      <c r="FJH9" s="1"/>
      <c r="FJI9" s="1"/>
      <c r="FJJ9" s="1"/>
      <c r="FJK9" s="1"/>
      <c r="FJL9" s="1"/>
      <c r="FJM9" s="1"/>
      <c r="FJN9" s="1"/>
      <c r="FJO9" s="1"/>
      <c r="FJP9" s="1"/>
      <c r="FJQ9" s="1"/>
      <c r="FJR9" s="1"/>
      <c r="FJS9" s="1"/>
      <c r="FJT9" s="1"/>
      <c r="FJU9" s="1"/>
      <c r="FJV9" s="1"/>
      <c r="FJW9" s="1"/>
      <c r="FJX9" s="1"/>
      <c r="FJY9" s="1"/>
      <c r="FJZ9" s="1"/>
      <c r="FKA9" s="1"/>
      <c r="FKB9" s="1"/>
      <c r="FKC9" s="1"/>
      <c r="FKD9" s="1"/>
      <c r="FKE9" s="1"/>
      <c r="FKF9" s="1"/>
      <c r="FKG9" s="1"/>
      <c r="FKH9" s="1"/>
      <c r="FKI9" s="1"/>
      <c r="FKJ9" s="1"/>
      <c r="FKK9" s="1"/>
      <c r="FKL9" s="1"/>
      <c r="FKM9" s="1"/>
      <c r="FKN9" s="1"/>
      <c r="FKO9" s="1"/>
      <c r="FKP9" s="1"/>
      <c r="FKQ9" s="1"/>
      <c r="FKR9" s="1"/>
      <c r="FKS9" s="1"/>
      <c r="FKT9" s="1"/>
      <c r="FKU9" s="1"/>
      <c r="FKV9" s="1"/>
      <c r="FKW9" s="1"/>
      <c r="FKX9" s="1"/>
      <c r="FKY9" s="1"/>
      <c r="FKZ9" s="1"/>
      <c r="FLA9" s="1"/>
      <c r="FLB9" s="1"/>
      <c r="FLC9" s="1"/>
      <c r="FLD9" s="1"/>
      <c r="FLE9" s="1"/>
      <c r="FLF9" s="1"/>
      <c r="FLG9" s="1"/>
      <c r="FLH9" s="1"/>
      <c r="FLI9" s="1"/>
      <c r="FLJ9" s="1"/>
      <c r="FLK9" s="1"/>
      <c r="FLL9" s="1"/>
      <c r="FLM9" s="1"/>
      <c r="FLN9" s="1"/>
      <c r="FLO9" s="1"/>
      <c r="FLP9" s="1"/>
      <c r="FLQ9" s="1"/>
      <c r="FLR9" s="1"/>
      <c r="FLS9" s="1"/>
      <c r="FLT9" s="1"/>
      <c r="FLU9" s="1"/>
      <c r="FLV9" s="1"/>
      <c r="FLW9" s="1"/>
      <c r="FLX9" s="1"/>
      <c r="FLY9" s="1"/>
      <c r="FLZ9" s="1"/>
      <c r="FMA9" s="1"/>
      <c r="FMB9" s="1"/>
      <c r="FMC9" s="1"/>
      <c r="FMD9" s="1"/>
      <c r="FME9" s="1"/>
      <c r="FMF9" s="1"/>
      <c r="FMG9" s="1"/>
      <c r="FMH9" s="1"/>
      <c r="FMI9" s="1"/>
      <c r="FMJ9" s="1"/>
      <c r="FMK9" s="1"/>
      <c r="FML9" s="1"/>
      <c r="FMM9" s="1"/>
      <c r="FMN9" s="1"/>
      <c r="FMO9" s="1"/>
      <c r="FMP9" s="1"/>
      <c r="FMQ9" s="1"/>
      <c r="FMR9" s="1"/>
      <c r="FMS9" s="1"/>
      <c r="FMT9" s="1"/>
      <c r="FMU9" s="1"/>
      <c r="FMV9" s="1"/>
      <c r="FMW9" s="1"/>
      <c r="FMX9" s="1"/>
      <c r="FMY9" s="1"/>
      <c r="FMZ9" s="1"/>
      <c r="FNA9" s="1"/>
      <c r="FNB9" s="1"/>
      <c r="FNC9" s="1"/>
      <c r="FND9" s="1"/>
      <c r="FNE9" s="1"/>
      <c r="FNF9" s="1"/>
      <c r="FNG9" s="1"/>
      <c r="FNH9" s="1"/>
      <c r="FNI9" s="1"/>
      <c r="FNJ9" s="1"/>
      <c r="FNK9" s="1"/>
      <c r="FNL9" s="1"/>
      <c r="FNM9" s="1"/>
      <c r="FNN9" s="1"/>
      <c r="FNO9" s="1"/>
      <c r="FNP9" s="1"/>
      <c r="FNQ9" s="1"/>
      <c r="FNR9" s="1"/>
      <c r="FNS9" s="1"/>
      <c r="FNT9" s="1"/>
      <c r="FNU9" s="1"/>
      <c r="FNV9" s="1"/>
      <c r="FNW9" s="1"/>
      <c r="FNX9" s="1"/>
      <c r="FNY9" s="1"/>
      <c r="FNZ9" s="1"/>
      <c r="FOA9" s="1"/>
      <c r="FOB9" s="1"/>
      <c r="FOC9" s="1"/>
      <c r="FOD9" s="1"/>
      <c r="FOE9" s="1"/>
      <c r="FOF9" s="1"/>
      <c r="FOG9" s="1"/>
      <c r="FOH9" s="1"/>
      <c r="FOI9" s="1"/>
      <c r="FOJ9" s="1"/>
      <c r="FOK9" s="1"/>
      <c r="FOL9" s="1"/>
      <c r="FOM9" s="1"/>
      <c r="FON9" s="1"/>
      <c r="FOO9" s="1"/>
      <c r="FOP9" s="1"/>
      <c r="FOQ9" s="1"/>
      <c r="FOR9" s="1"/>
      <c r="FOS9" s="1"/>
      <c r="FOT9" s="1"/>
      <c r="FOU9" s="1"/>
      <c r="FOV9" s="1"/>
      <c r="FOW9" s="1"/>
      <c r="FOX9" s="1"/>
      <c r="FOY9" s="1"/>
      <c r="FOZ9" s="1"/>
      <c r="FPA9" s="1"/>
      <c r="FPB9" s="1"/>
      <c r="FPC9" s="1"/>
      <c r="FPD9" s="1"/>
      <c r="FPE9" s="1"/>
      <c r="FPF9" s="1"/>
      <c r="FPG9" s="1"/>
      <c r="FPH9" s="1"/>
      <c r="FPI9" s="1"/>
      <c r="FPJ9" s="1"/>
      <c r="FPK9" s="1"/>
      <c r="FPL9" s="1"/>
      <c r="FPM9" s="1"/>
      <c r="FPN9" s="1"/>
      <c r="FPO9" s="1"/>
      <c r="FPP9" s="1"/>
      <c r="FPQ9" s="1"/>
      <c r="FPR9" s="1"/>
      <c r="FPS9" s="1"/>
      <c r="FPT9" s="1"/>
      <c r="FPU9" s="1"/>
      <c r="FPV9" s="1"/>
      <c r="FPW9" s="1"/>
      <c r="FPX9" s="1"/>
      <c r="FPY9" s="1"/>
      <c r="FPZ9" s="1"/>
      <c r="FQA9" s="1"/>
      <c r="FQB9" s="1"/>
      <c r="FQC9" s="1"/>
      <c r="FQD9" s="1"/>
      <c r="FQE9" s="1"/>
      <c r="FQF9" s="1"/>
      <c r="FQG9" s="1"/>
      <c r="FQH9" s="1"/>
      <c r="FQI9" s="1"/>
      <c r="FQJ9" s="1"/>
      <c r="FQK9" s="1"/>
      <c r="FQL9" s="1"/>
      <c r="FQM9" s="1"/>
      <c r="FQN9" s="1"/>
      <c r="FQO9" s="1"/>
      <c r="FQP9" s="1"/>
      <c r="FQQ9" s="1"/>
      <c r="FQR9" s="1"/>
      <c r="FQS9" s="1"/>
      <c r="FQT9" s="1"/>
      <c r="FQU9" s="1"/>
      <c r="FQV9" s="1"/>
      <c r="FQW9" s="1"/>
      <c r="FQX9" s="1"/>
      <c r="FQY9" s="1"/>
      <c r="FQZ9" s="1"/>
      <c r="FRA9" s="1"/>
      <c r="FRB9" s="1"/>
      <c r="FRC9" s="1"/>
      <c r="FRD9" s="1"/>
      <c r="FRE9" s="1"/>
      <c r="FRF9" s="1"/>
      <c r="FRG9" s="1"/>
      <c r="FRH9" s="1"/>
      <c r="FRI9" s="1"/>
      <c r="FRJ9" s="1"/>
      <c r="FRK9" s="1"/>
      <c r="FRL9" s="1"/>
      <c r="FRM9" s="1"/>
      <c r="FRN9" s="1"/>
      <c r="FRO9" s="1"/>
      <c r="FRP9" s="1"/>
      <c r="FRQ9" s="1"/>
      <c r="FRR9" s="1"/>
      <c r="FRS9" s="1"/>
      <c r="FRT9" s="1"/>
      <c r="FRU9" s="1"/>
      <c r="FRV9" s="1"/>
      <c r="FRW9" s="1"/>
      <c r="FRX9" s="1"/>
      <c r="FRY9" s="1"/>
      <c r="FRZ9" s="1"/>
      <c r="FSA9" s="1"/>
      <c r="FSB9" s="1"/>
      <c r="FSC9" s="1"/>
      <c r="FSD9" s="1"/>
      <c r="FSE9" s="1"/>
      <c r="FSF9" s="1"/>
      <c r="FSG9" s="1"/>
      <c r="FSH9" s="1"/>
      <c r="FSI9" s="1"/>
      <c r="FSJ9" s="1"/>
      <c r="FSK9" s="1"/>
      <c r="FSL9" s="1"/>
      <c r="FSM9" s="1"/>
      <c r="FSN9" s="1"/>
      <c r="FSO9" s="1"/>
      <c r="FSP9" s="1"/>
      <c r="FSQ9" s="1"/>
      <c r="FSR9" s="1"/>
      <c r="FSS9" s="1"/>
      <c r="FST9" s="1"/>
      <c r="FSU9" s="1"/>
      <c r="FSV9" s="1"/>
      <c r="FSW9" s="1"/>
      <c r="FSX9" s="1"/>
      <c r="FSY9" s="1"/>
      <c r="FSZ9" s="1"/>
      <c r="FTA9" s="1"/>
      <c r="FTB9" s="1"/>
      <c r="FTC9" s="1"/>
      <c r="FTD9" s="1"/>
      <c r="FTE9" s="1"/>
      <c r="FTF9" s="1"/>
      <c r="FTG9" s="1"/>
      <c r="FTH9" s="1"/>
      <c r="FTI9" s="1"/>
      <c r="FTJ9" s="1"/>
      <c r="FTK9" s="1"/>
      <c r="FTL9" s="1"/>
      <c r="FTM9" s="1"/>
      <c r="FTN9" s="1"/>
      <c r="FTO9" s="1"/>
      <c r="FTP9" s="1"/>
      <c r="FTQ9" s="1"/>
      <c r="FTR9" s="1"/>
      <c r="FTS9" s="1"/>
      <c r="FTT9" s="1"/>
      <c r="FTU9" s="1"/>
      <c r="FTV9" s="1"/>
      <c r="FTW9" s="1"/>
      <c r="FTX9" s="1"/>
      <c r="FTY9" s="1"/>
      <c r="FTZ9" s="1"/>
      <c r="FUA9" s="1"/>
      <c r="FUB9" s="1"/>
      <c r="FUC9" s="1"/>
      <c r="FUD9" s="1"/>
      <c r="FUE9" s="1"/>
      <c r="FUF9" s="1"/>
      <c r="FUG9" s="1"/>
      <c r="FUH9" s="1"/>
      <c r="FUI9" s="1"/>
      <c r="FUJ9" s="1"/>
      <c r="FUK9" s="1"/>
      <c r="FUL9" s="1"/>
      <c r="FUM9" s="1"/>
      <c r="FUN9" s="1"/>
      <c r="FUO9" s="1"/>
      <c r="FUP9" s="1"/>
      <c r="FUQ9" s="1"/>
      <c r="FUR9" s="1"/>
      <c r="FUS9" s="1"/>
      <c r="FUT9" s="1"/>
      <c r="FUU9" s="1"/>
      <c r="FUV9" s="1"/>
      <c r="FUW9" s="1"/>
      <c r="FUX9" s="1"/>
      <c r="FUY9" s="1"/>
      <c r="FUZ9" s="1"/>
      <c r="FVA9" s="1"/>
      <c r="FVB9" s="1"/>
      <c r="FVC9" s="1"/>
      <c r="FVD9" s="1"/>
      <c r="FVE9" s="1"/>
      <c r="FVF9" s="1"/>
      <c r="FVG9" s="1"/>
      <c r="FVH9" s="1"/>
      <c r="FVI9" s="1"/>
      <c r="FVJ9" s="1"/>
      <c r="FVK9" s="1"/>
      <c r="FVL9" s="1"/>
      <c r="FVM9" s="1"/>
      <c r="FVN9" s="1"/>
      <c r="FVO9" s="1"/>
      <c r="FVP9" s="1"/>
      <c r="FVQ9" s="1"/>
      <c r="FVR9" s="1"/>
      <c r="FVS9" s="1"/>
      <c r="FVT9" s="1"/>
      <c r="FVU9" s="1"/>
      <c r="FVV9" s="1"/>
      <c r="FVW9" s="1"/>
      <c r="FVX9" s="1"/>
      <c r="FVY9" s="1"/>
      <c r="FVZ9" s="1"/>
      <c r="FWA9" s="1"/>
      <c r="FWB9" s="1"/>
      <c r="FWC9" s="1"/>
      <c r="FWD9" s="1"/>
      <c r="FWE9" s="1"/>
      <c r="FWF9" s="1"/>
      <c r="FWG9" s="1"/>
      <c r="FWH9" s="1"/>
      <c r="FWI9" s="1"/>
      <c r="FWJ9" s="1"/>
      <c r="FWK9" s="1"/>
      <c r="FWL9" s="1"/>
      <c r="FWM9" s="1"/>
      <c r="FWN9" s="1"/>
      <c r="FWO9" s="1"/>
      <c r="FWP9" s="1"/>
      <c r="FWQ9" s="1"/>
      <c r="FWR9" s="1"/>
      <c r="FWS9" s="1"/>
      <c r="FWT9" s="1"/>
      <c r="FWU9" s="1"/>
      <c r="FWV9" s="1"/>
      <c r="FWW9" s="1"/>
      <c r="FWX9" s="1"/>
      <c r="FWY9" s="1"/>
      <c r="FWZ9" s="1"/>
      <c r="FXA9" s="1"/>
      <c r="FXB9" s="1"/>
      <c r="FXC9" s="1"/>
      <c r="FXD9" s="1"/>
      <c r="FXE9" s="1"/>
      <c r="FXF9" s="1"/>
      <c r="FXG9" s="1"/>
      <c r="FXH9" s="1"/>
      <c r="FXI9" s="1"/>
      <c r="FXJ9" s="1"/>
      <c r="FXK9" s="1"/>
      <c r="FXL9" s="1"/>
      <c r="FXM9" s="1"/>
      <c r="FXN9" s="1"/>
      <c r="FXO9" s="1"/>
      <c r="FXP9" s="1"/>
      <c r="FXQ9" s="1"/>
      <c r="FXR9" s="1"/>
      <c r="FXS9" s="1"/>
      <c r="FXT9" s="1"/>
      <c r="FXU9" s="1"/>
      <c r="FXV9" s="1"/>
      <c r="FXW9" s="1"/>
      <c r="FXX9" s="1"/>
      <c r="FXY9" s="1"/>
      <c r="FXZ9" s="1"/>
      <c r="FYA9" s="1"/>
      <c r="FYB9" s="1"/>
      <c r="FYC9" s="1"/>
      <c r="FYD9" s="1"/>
      <c r="FYE9" s="1"/>
      <c r="FYF9" s="1"/>
      <c r="FYG9" s="1"/>
      <c r="FYH9" s="1"/>
      <c r="FYI9" s="1"/>
      <c r="FYJ9" s="1"/>
      <c r="FYK9" s="1"/>
      <c r="FYL9" s="1"/>
      <c r="FYM9" s="1"/>
      <c r="FYN9" s="1"/>
      <c r="FYO9" s="1"/>
      <c r="FYP9" s="1"/>
      <c r="FYQ9" s="1"/>
      <c r="FYR9" s="1"/>
      <c r="FYS9" s="1"/>
      <c r="FYT9" s="1"/>
      <c r="FYU9" s="1"/>
      <c r="FYV9" s="1"/>
      <c r="FYW9" s="1"/>
      <c r="FYX9" s="1"/>
      <c r="FYY9" s="1"/>
      <c r="FYZ9" s="1"/>
      <c r="FZA9" s="1"/>
      <c r="FZB9" s="1"/>
      <c r="FZC9" s="1"/>
      <c r="FZD9" s="1"/>
      <c r="FZE9" s="1"/>
      <c r="FZF9" s="1"/>
      <c r="FZG9" s="1"/>
      <c r="FZH9" s="1"/>
      <c r="FZI9" s="1"/>
      <c r="FZJ9" s="1"/>
      <c r="FZK9" s="1"/>
      <c r="FZL9" s="1"/>
      <c r="FZM9" s="1"/>
      <c r="FZN9" s="1"/>
      <c r="FZO9" s="1"/>
      <c r="FZP9" s="1"/>
      <c r="FZQ9" s="1"/>
      <c r="FZR9" s="1"/>
      <c r="FZS9" s="1"/>
      <c r="FZT9" s="1"/>
      <c r="FZU9" s="1"/>
      <c r="FZV9" s="1"/>
      <c r="FZW9" s="1"/>
      <c r="FZX9" s="1"/>
      <c r="FZY9" s="1"/>
      <c r="FZZ9" s="1"/>
      <c r="GAA9" s="1"/>
      <c r="GAB9" s="1"/>
      <c r="GAC9" s="1"/>
      <c r="GAD9" s="1"/>
      <c r="GAE9" s="1"/>
      <c r="GAF9" s="1"/>
      <c r="GAG9" s="1"/>
      <c r="GAH9" s="1"/>
      <c r="GAI9" s="1"/>
      <c r="GAJ9" s="1"/>
      <c r="GAK9" s="1"/>
      <c r="GAL9" s="1"/>
      <c r="GAM9" s="1"/>
      <c r="GAN9" s="1"/>
      <c r="GAO9" s="1"/>
      <c r="GAP9" s="1"/>
      <c r="GAQ9" s="1"/>
      <c r="GAR9" s="1"/>
      <c r="GAS9" s="1"/>
      <c r="GAT9" s="1"/>
      <c r="GAU9" s="1"/>
      <c r="GAV9" s="1"/>
      <c r="GAW9" s="1"/>
      <c r="GAX9" s="1"/>
      <c r="GAY9" s="1"/>
      <c r="GAZ9" s="1"/>
      <c r="GBA9" s="1"/>
      <c r="GBB9" s="1"/>
      <c r="GBC9" s="1"/>
      <c r="GBD9" s="1"/>
      <c r="GBE9" s="1"/>
      <c r="GBF9" s="1"/>
      <c r="GBG9" s="1"/>
      <c r="GBH9" s="1"/>
      <c r="GBI9" s="1"/>
      <c r="GBJ9" s="1"/>
      <c r="GBK9" s="1"/>
      <c r="GBL9" s="1"/>
      <c r="GBM9" s="1"/>
      <c r="GBN9" s="1"/>
      <c r="GBO9" s="1"/>
      <c r="GBP9" s="1"/>
      <c r="GBQ9" s="1"/>
      <c r="GBR9" s="1"/>
      <c r="GBS9" s="1"/>
      <c r="GBT9" s="1"/>
      <c r="GBU9" s="1"/>
      <c r="GBV9" s="1"/>
      <c r="GBW9" s="1"/>
      <c r="GBX9" s="1"/>
      <c r="GBY9" s="1"/>
      <c r="GBZ9" s="1"/>
      <c r="GCA9" s="1"/>
      <c r="GCB9" s="1"/>
      <c r="GCC9" s="1"/>
      <c r="GCD9" s="1"/>
      <c r="GCE9" s="1"/>
      <c r="GCF9" s="1"/>
      <c r="GCG9" s="1"/>
      <c r="GCH9" s="1"/>
      <c r="GCI9" s="1"/>
      <c r="GCJ9" s="1"/>
      <c r="GCK9" s="1"/>
      <c r="GCL9" s="1"/>
      <c r="GCM9" s="1"/>
      <c r="GCN9" s="1"/>
      <c r="GCO9" s="1"/>
      <c r="GCP9" s="1"/>
      <c r="GCQ9" s="1"/>
      <c r="GCR9" s="1"/>
      <c r="GCS9" s="1"/>
      <c r="GCT9" s="1"/>
      <c r="GCU9" s="1"/>
      <c r="GCV9" s="1"/>
      <c r="GCW9" s="1"/>
      <c r="GCX9" s="1"/>
      <c r="GCY9" s="1"/>
      <c r="GCZ9" s="1"/>
      <c r="GDA9" s="1"/>
      <c r="GDB9" s="1"/>
      <c r="GDC9" s="1"/>
      <c r="GDD9" s="1"/>
      <c r="GDE9" s="1"/>
      <c r="GDF9" s="1"/>
      <c r="GDG9" s="1"/>
      <c r="GDH9" s="1"/>
      <c r="GDI9" s="1"/>
      <c r="GDJ9" s="1"/>
      <c r="GDK9" s="1"/>
      <c r="GDL9" s="1"/>
      <c r="GDM9" s="1"/>
      <c r="GDN9" s="1"/>
      <c r="GDO9" s="1"/>
      <c r="GDP9" s="1"/>
      <c r="GDQ9" s="1"/>
      <c r="GDR9" s="1"/>
      <c r="GDS9" s="1"/>
      <c r="GDT9" s="1"/>
      <c r="GDU9" s="1"/>
      <c r="GDV9" s="1"/>
      <c r="GDW9" s="1"/>
      <c r="GDX9" s="1"/>
      <c r="GDY9" s="1"/>
      <c r="GDZ9" s="1"/>
      <c r="GEA9" s="1"/>
      <c r="GEB9" s="1"/>
      <c r="GEC9" s="1"/>
      <c r="GED9" s="1"/>
      <c r="GEE9" s="1"/>
      <c r="GEF9" s="1"/>
      <c r="GEG9" s="1"/>
      <c r="GEH9" s="1"/>
      <c r="GEI9" s="1"/>
      <c r="GEJ9" s="1"/>
      <c r="GEK9" s="1"/>
      <c r="GEL9" s="1"/>
      <c r="GEM9" s="1"/>
      <c r="GEN9" s="1"/>
      <c r="GEO9" s="1"/>
      <c r="GEP9" s="1"/>
      <c r="GEQ9" s="1"/>
      <c r="GER9" s="1"/>
      <c r="GES9" s="1"/>
      <c r="GET9" s="1"/>
      <c r="GEU9" s="1"/>
      <c r="GEV9" s="1"/>
      <c r="GEW9" s="1"/>
      <c r="GEX9" s="1"/>
      <c r="GEY9" s="1"/>
      <c r="GEZ9" s="1"/>
      <c r="GFA9" s="1"/>
      <c r="GFB9" s="1"/>
      <c r="GFC9" s="1"/>
      <c r="GFD9" s="1"/>
      <c r="GFE9" s="1"/>
      <c r="GFF9" s="1"/>
      <c r="GFG9" s="1"/>
      <c r="GFH9" s="1"/>
      <c r="GFI9" s="1"/>
      <c r="GFJ9" s="1"/>
      <c r="GFK9" s="1"/>
      <c r="GFL9" s="1"/>
      <c r="GFM9" s="1"/>
      <c r="GFN9" s="1"/>
      <c r="GFO9" s="1"/>
      <c r="GFP9" s="1"/>
      <c r="GFQ9" s="1"/>
      <c r="GFR9" s="1"/>
      <c r="GFS9" s="1"/>
      <c r="GFT9" s="1"/>
      <c r="GFU9" s="1"/>
      <c r="GFV9" s="1"/>
      <c r="GFW9" s="1"/>
      <c r="GFX9" s="1"/>
      <c r="GFY9" s="1"/>
      <c r="GFZ9" s="1"/>
      <c r="GGA9" s="1"/>
      <c r="GGB9" s="1"/>
      <c r="GGC9" s="1"/>
      <c r="GGD9" s="1"/>
      <c r="GGE9" s="1"/>
      <c r="GGF9" s="1"/>
      <c r="GGG9" s="1"/>
      <c r="GGH9" s="1"/>
      <c r="GGI9" s="1"/>
      <c r="GGJ9" s="1"/>
      <c r="GGK9" s="1"/>
      <c r="GGL9" s="1"/>
      <c r="GGM9" s="1"/>
      <c r="GGN9" s="1"/>
      <c r="GGO9" s="1"/>
      <c r="GGP9" s="1"/>
      <c r="GGQ9" s="1"/>
      <c r="GGR9" s="1"/>
      <c r="GGS9" s="1"/>
      <c r="GGT9" s="1"/>
      <c r="GGU9" s="1"/>
      <c r="GGV9" s="1"/>
      <c r="GGW9" s="1"/>
      <c r="GGX9" s="1"/>
      <c r="GGY9" s="1"/>
      <c r="GGZ9" s="1"/>
      <c r="GHA9" s="1"/>
      <c r="GHB9" s="1"/>
      <c r="GHC9" s="1"/>
      <c r="GHD9" s="1"/>
      <c r="GHE9" s="1"/>
      <c r="GHF9" s="1"/>
      <c r="GHG9" s="1"/>
      <c r="GHH9" s="1"/>
      <c r="GHI9" s="1"/>
      <c r="GHJ9" s="1"/>
      <c r="GHK9" s="1"/>
      <c r="GHL9" s="1"/>
      <c r="GHM9" s="1"/>
      <c r="GHN9" s="1"/>
      <c r="GHO9" s="1"/>
      <c r="GHP9" s="1"/>
      <c r="GHQ9" s="1"/>
      <c r="GHR9" s="1"/>
      <c r="GHS9" s="1"/>
      <c r="GHT9" s="1"/>
      <c r="GHU9" s="1"/>
      <c r="GHV9" s="1"/>
      <c r="GHW9" s="1"/>
      <c r="GHX9" s="1"/>
      <c r="GHY9" s="1"/>
      <c r="GHZ9" s="1"/>
      <c r="GIA9" s="1"/>
      <c r="GIB9" s="1"/>
      <c r="GIC9" s="1"/>
      <c r="GID9" s="1"/>
      <c r="GIE9" s="1"/>
      <c r="GIF9" s="1"/>
      <c r="GIG9" s="1"/>
      <c r="GIH9" s="1"/>
      <c r="GII9" s="1"/>
      <c r="GIJ9" s="1"/>
      <c r="GIK9" s="1"/>
      <c r="GIL9" s="1"/>
      <c r="GIM9" s="1"/>
      <c r="GIN9" s="1"/>
      <c r="GIO9" s="1"/>
      <c r="GIP9" s="1"/>
      <c r="GIQ9" s="1"/>
      <c r="GIR9" s="1"/>
      <c r="GIS9" s="1"/>
      <c r="GIT9" s="1"/>
      <c r="GIU9" s="1"/>
      <c r="GIV9" s="1"/>
      <c r="GIW9" s="1"/>
      <c r="GIX9" s="1"/>
      <c r="GIY9" s="1"/>
      <c r="GIZ9" s="1"/>
      <c r="GJA9" s="1"/>
      <c r="GJB9" s="1"/>
      <c r="GJC9" s="1"/>
      <c r="GJD9" s="1"/>
      <c r="GJE9" s="1"/>
      <c r="GJF9" s="1"/>
      <c r="GJG9" s="1"/>
      <c r="GJH9" s="1"/>
      <c r="GJI9" s="1"/>
      <c r="GJJ9" s="1"/>
      <c r="GJK9" s="1"/>
      <c r="GJL9" s="1"/>
      <c r="GJM9" s="1"/>
      <c r="GJN9" s="1"/>
      <c r="GJO9" s="1"/>
      <c r="GJP9" s="1"/>
      <c r="GJQ9" s="1"/>
      <c r="GJR9" s="1"/>
      <c r="GJS9" s="1"/>
      <c r="GJT9" s="1"/>
      <c r="GJU9" s="1"/>
      <c r="GJV9" s="1"/>
      <c r="GJW9" s="1"/>
      <c r="GJX9" s="1"/>
      <c r="GJY9" s="1"/>
      <c r="GJZ9" s="1"/>
      <c r="GKA9" s="1"/>
      <c r="GKB9" s="1"/>
      <c r="GKC9" s="1"/>
      <c r="GKD9" s="1"/>
      <c r="GKE9" s="1"/>
      <c r="GKF9" s="1"/>
      <c r="GKG9" s="1"/>
      <c r="GKH9" s="1"/>
      <c r="GKI9" s="1"/>
      <c r="GKJ9" s="1"/>
      <c r="GKK9" s="1"/>
      <c r="GKL9" s="1"/>
      <c r="GKM9" s="1"/>
      <c r="GKN9" s="1"/>
      <c r="GKO9" s="1"/>
      <c r="GKP9" s="1"/>
      <c r="GKQ9" s="1"/>
      <c r="GKR9" s="1"/>
      <c r="GKS9" s="1"/>
      <c r="GKT9" s="1"/>
      <c r="GKU9" s="1"/>
      <c r="GKV9" s="1"/>
      <c r="GKW9" s="1"/>
      <c r="GKX9" s="1"/>
      <c r="GKY9" s="1"/>
      <c r="GKZ9" s="1"/>
      <c r="GLA9" s="1"/>
      <c r="GLB9" s="1"/>
      <c r="GLC9" s="1"/>
      <c r="GLD9" s="1"/>
      <c r="GLE9" s="1"/>
      <c r="GLF9" s="1"/>
      <c r="GLG9" s="1"/>
      <c r="GLH9" s="1"/>
      <c r="GLI9" s="1"/>
      <c r="GLJ9" s="1"/>
      <c r="GLK9" s="1"/>
      <c r="GLL9" s="1"/>
      <c r="GLM9" s="1"/>
      <c r="GLN9" s="1"/>
      <c r="GLO9" s="1"/>
      <c r="GLP9" s="1"/>
      <c r="GLQ9" s="1"/>
      <c r="GLR9" s="1"/>
      <c r="GLS9" s="1"/>
      <c r="GLT9" s="1"/>
      <c r="GLU9" s="1"/>
      <c r="GLV9" s="1"/>
      <c r="GLW9" s="1"/>
      <c r="GLX9" s="1"/>
      <c r="GLY9" s="1"/>
      <c r="GLZ9" s="1"/>
      <c r="GMA9" s="1"/>
      <c r="GMB9" s="1"/>
      <c r="GMC9" s="1"/>
      <c r="GMD9" s="1"/>
      <c r="GME9" s="1"/>
      <c r="GMF9" s="1"/>
      <c r="GMG9" s="1"/>
      <c r="GMH9" s="1"/>
      <c r="GMI9" s="1"/>
      <c r="GMJ9" s="1"/>
      <c r="GMK9" s="1"/>
      <c r="GML9" s="1"/>
      <c r="GMM9" s="1"/>
      <c r="GMN9" s="1"/>
      <c r="GMO9" s="1"/>
      <c r="GMP9" s="1"/>
      <c r="GMQ9" s="1"/>
      <c r="GMR9" s="1"/>
      <c r="GMS9" s="1"/>
      <c r="GMT9" s="1"/>
      <c r="GMU9" s="1"/>
      <c r="GMV9" s="1"/>
      <c r="GMW9" s="1"/>
      <c r="GMX9" s="1"/>
      <c r="GMY9" s="1"/>
      <c r="GMZ9" s="1"/>
      <c r="GNA9" s="1"/>
      <c r="GNB9" s="1"/>
      <c r="GNC9" s="1"/>
      <c r="GND9" s="1"/>
      <c r="GNE9" s="1"/>
      <c r="GNF9" s="1"/>
      <c r="GNG9" s="1"/>
      <c r="GNH9" s="1"/>
      <c r="GNI9" s="1"/>
      <c r="GNJ9" s="1"/>
      <c r="GNK9" s="1"/>
      <c r="GNL9" s="1"/>
      <c r="GNM9" s="1"/>
      <c r="GNN9" s="1"/>
      <c r="GNO9" s="1"/>
      <c r="GNP9" s="1"/>
      <c r="GNQ9" s="1"/>
      <c r="GNR9" s="1"/>
      <c r="GNS9" s="1"/>
      <c r="GNT9" s="1"/>
      <c r="GNU9" s="1"/>
      <c r="GNV9" s="1"/>
      <c r="GNW9" s="1"/>
      <c r="GNX9" s="1"/>
      <c r="GNY9" s="1"/>
      <c r="GNZ9" s="1"/>
      <c r="GOA9" s="1"/>
      <c r="GOB9" s="1"/>
      <c r="GOC9" s="1"/>
      <c r="GOD9" s="1"/>
      <c r="GOE9" s="1"/>
      <c r="GOF9" s="1"/>
      <c r="GOG9" s="1"/>
      <c r="GOH9" s="1"/>
      <c r="GOI9" s="1"/>
      <c r="GOJ9" s="1"/>
      <c r="GOK9" s="1"/>
      <c r="GOL9" s="1"/>
      <c r="GOM9" s="1"/>
      <c r="GON9" s="1"/>
      <c r="GOO9" s="1"/>
      <c r="GOP9" s="1"/>
      <c r="GOQ9" s="1"/>
      <c r="GOR9" s="1"/>
      <c r="GOS9" s="1"/>
      <c r="GOT9" s="1"/>
      <c r="GOU9" s="1"/>
      <c r="GOV9" s="1"/>
      <c r="GOW9" s="1"/>
      <c r="GOX9" s="1"/>
      <c r="GOY9" s="1"/>
      <c r="GOZ9" s="1"/>
      <c r="GPA9" s="1"/>
      <c r="GPB9" s="1"/>
      <c r="GPC9" s="1"/>
      <c r="GPD9" s="1"/>
      <c r="GPE9" s="1"/>
      <c r="GPF9" s="1"/>
      <c r="GPG9" s="1"/>
      <c r="GPH9" s="1"/>
      <c r="GPI9" s="1"/>
      <c r="GPJ9" s="1"/>
      <c r="GPK9" s="1"/>
      <c r="GPL9" s="1"/>
      <c r="GPM9" s="1"/>
      <c r="GPN9" s="1"/>
      <c r="GPO9" s="1"/>
      <c r="GPP9" s="1"/>
      <c r="GPQ9" s="1"/>
      <c r="GPR9" s="1"/>
      <c r="GPS9" s="1"/>
      <c r="GPT9" s="1"/>
      <c r="GPU9" s="1"/>
      <c r="GPV9" s="1"/>
      <c r="GPW9" s="1"/>
      <c r="GPX9" s="1"/>
      <c r="GPY9" s="1"/>
      <c r="GPZ9" s="1"/>
      <c r="GQA9" s="1"/>
      <c r="GQB9" s="1"/>
      <c r="GQC9" s="1"/>
      <c r="GQD9" s="1"/>
      <c r="GQE9" s="1"/>
      <c r="GQF9" s="1"/>
      <c r="GQG9" s="1"/>
      <c r="GQH9" s="1"/>
      <c r="GQI9" s="1"/>
      <c r="GQJ9" s="1"/>
      <c r="GQK9" s="1"/>
      <c r="GQL9" s="1"/>
      <c r="GQM9" s="1"/>
      <c r="GQN9" s="1"/>
      <c r="GQO9" s="1"/>
      <c r="GQP9" s="1"/>
      <c r="GQQ9" s="1"/>
      <c r="GQR9" s="1"/>
      <c r="GQS9" s="1"/>
      <c r="GQT9" s="1"/>
      <c r="GQU9" s="1"/>
      <c r="GQV9" s="1"/>
      <c r="GQW9" s="1"/>
      <c r="GQX9" s="1"/>
      <c r="GQY9" s="1"/>
      <c r="GQZ9" s="1"/>
      <c r="GRA9" s="1"/>
      <c r="GRB9" s="1"/>
      <c r="GRC9" s="1"/>
      <c r="GRD9" s="1"/>
      <c r="GRE9" s="1"/>
      <c r="GRF9" s="1"/>
      <c r="GRG9" s="1"/>
      <c r="GRH9" s="1"/>
      <c r="GRI9" s="1"/>
      <c r="GRJ9" s="1"/>
      <c r="GRK9" s="1"/>
      <c r="GRL9" s="1"/>
      <c r="GRM9" s="1"/>
      <c r="GRN9" s="1"/>
      <c r="GRO9" s="1"/>
      <c r="GRP9" s="1"/>
      <c r="GRQ9" s="1"/>
      <c r="GRR9" s="1"/>
      <c r="GRS9" s="1"/>
      <c r="GRT9" s="1"/>
      <c r="GRU9" s="1"/>
      <c r="GRV9" s="1"/>
      <c r="GRW9" s="1"/>
      <c r="GRX9" s="1"/>
      <c r="GRY9" s="1"/>
      <c r="GRZ9" s="1"/>
      <c r="GSA9" s="1"/>
      <c r="GSB9" s="1"/>
      <c r="GSC9" s="1"/>
      <c r="GSD9" s="1"/>
      <c r="GSE9" s="1"/>
      <c r="GSF9" s="1"/>
      <c r="GSG9" s="1"/>
      <c r="GSH9" s="1"/>
      <c r="GSI9" s="1"/>
      <c r="GSJ9" s="1"/>
      <c r="GSK9" s="1"/>
      <c r="GSL9" s="1"/>
      <c r="GSM9" s="1"/>
      <c r="GSN9" s="1"/>
      <c r="GSO9" s="1"/>
      <c r="GSP9" s="1"/>
      <c r="GSQ9" s="1"/>
      <c r="GSR9" s="1"/>
      <c r="GSS9" s="1"/>
      <c r="GST9" s="1"/>
      <c r="GSU9" s="1"/>
      <c r="GSV9" s="1"/>
      <c r="GSW9" s="1"/>
      <c r="GSX9" s="1"/>
      <c r="GSY9" s="1"/>
      <c r="GSZ9" s="1"/>
      <c r="GTA9" s="1"/>
      <c r="GTB9" s="1"/>
      <c r="GTC9" s="1"/>
      <c r="GTD9" s="1"/>
      <c r="GTE9" s="1"/>
      <c r="GTF9" s="1"/>
      <c r="GTG9" s="1"/>
      <c r="GTH9" s="1"/>
      <c r="GTI9" s="1"/>
      <c r="GTJ9" s="1"/>
      <c r="GTK9" s="1"/>
      <c r="GTL9" s="1"/>
      <c r="GTM9" s="1"/>
      <c r="GTN9" s="1"/>
      <c r="GTO9" s="1"/>
      <c r="GTP9" s="1"/>
      <c r="GTQ9" s="1"/>
      <c r="GTR9" s="1"/>
      <c r="GTS9" s="1"/>
      <c r="GTT9" s="1"/>
      <c r="GTU9" s="1"/>
      <c r="GTV9" s="1"/>
      <c r="GTW9" s="1"/>
      <c r="GTX9" s="1"/>
      <c r="GTY9" s="1"/>
      <c r="GTZ9" s="1"/>
      <c r="GUA9" s="1"/>
      <c r="GUB9" s="1"/>
      <c r="GUC9" s="1"/>
      <c r="GUD9" s="1"/>
      <c r="GUE9" s="1"/>
      <c r="GUF9" s="1"/>
      <c r="GUG9" s="1"/>
      <c r="GUH9" s="1"/>
      <c r="GUI9" s="1"/>
      <c r="GUJ9" s="1"/>
      <c r="GUK9" s="1"/>
      <c r="GUL9" s="1"/>
      <c r="GUM9" s="1"/>
      <c r="GUN9" s="1"/>
      <c r="GUO9" s="1"/>
      <c r="GUP9" s="1"/>
      <c r="GUQ9" s="1"/>
      <c r="GUR9" s="1"/>
      <c r="GUS9" s="1"/>
      <c r="GUT9" s="1"/>
      <c r="GUU9" s="1"/>
      <c r="GUV9" s="1"/>
      <c r="GUW9" s="1"/>
      <c r="GUX9" s="1"/>
      <c r="GUY9" s="1"/>
      <c r="GUZ9" s="1"/>
      <c r="GVA9" s="1"/>
      <c r="GVB9" s="1"/>
      <c r="GVC9" s="1"/>
      <c r="GVD9" s="1"/>
      <c r="GVE9" s="1"/>
      <c r="GVF9" s="1"/>
      <c r="GVG9" s="1"/>
      <c r="GVH9" s="1"/>
      <c r="GVI9" s="1"/>
      <c r="GVJ9" s="1"/>
      <c r="GVK9" s="1"/>
      <c r="GVL9" s="1"/>
      <c r="GVM9" s="1"/>
      <c r="GVN9" s="1"/>
      <c r="GVO9" s="1"/>
      <c r="GVP9" s="1"/>
      <c r="GVQ9" s="1"/>
      <c r="GVR9" s="1"/>
      <c r="GVS9" s="1"/>
      <c r="GVT9" s="1"/>
      <c r="GVU9" s="1"/>
      <c r="GVV9" s="1"/>
      <c r="GVW9" s="1"/>
      <c r="GVX9" s="1"/>
      <c r="GVY9" s="1"/>
      <c r="GVZ9" s="1"/>
      <c r="GWA9" s="1"/>
      <c r="GWB9" s="1"/>
      <c r="GWC9" s="1"/>
      <c r="GWD9" s="1"/>
      <c r="GWE9" s="1"/>
      <c r="GWF9" s="1"/>
      <c r="GWG9" s="1"/>
      <c r="GWH9" s="1"/>
      <c r="GWI9" s="1"/>
      <c r="GWJ9" s="1"/>
      <c r="GWK9" s="1"/>
      <c r="GWL9" s="1"/>
      <c r="GWM9" s="1"/>
      <c r="GWN9" s="1"/>
      <c r="GWO9" s="1"/>
      <c r="GWP9" s="1"/>
      <c r="GWQ9" s="1"/>
      <c r="GWR9" s="1"/>
      <c r="GWS9" s="1"/>
      <c r="GWT9" s="1"/>
      <c r="GWU9" s="1"/>
      <c r="GWV9" s="1"/>
      <c r="GWW9" s="1"/>
      <c r="GWX9" s="1"/>
      <c r="GWY9" s="1"/>
      <c r="GWZ9" s="1"/>
      <c r="GXA9" s="1"/>
      <c r="GXB9" s="1"/>
      <c r="GXC9" s="1"/>
      <c r="GXD9" s="1"/>
      <c r="GXE9" s="1"/>
      <c r="GXF9" s="1"/>
      <c r="GXG9" s="1"/>
      <c r="GXH9" s="1"/>
      <c r="GXI9" s="1"/>
      <c r="GXJ9" s="1"/>
      <c r="GXK9" s="1"/>
      <c r="GXL9" s="1"/>
      <c r="GXM9" s="1"/>
      <c r="GXN9" s="1"/>
      <c r="GXO9" s="1"/>
      <c r="GXP9" s="1"/>
      <c r="GXQ9" s="1"/>
      <c r="GXR9" s="1"/>
      <c r="GXS9" s="1"/>
      <c r="GXT9" s="1"/>
      <c r="GXU9" s="1"/>
      <c r="GXV9" s="1"/>
      <c r="GXW9" s="1"/>
      <c r="GXX9" s="1"/>
      <c r="GXY9" s="1"/>
      <c r="GXZ9" s="1"/>
      <c r="GYA9" s="1"/>
      <c r="GYB9" s="1"/>
      <c r="GYC9" s="1"/>
      <c r="GYD9" s="1"/>
      <c r="GYE9" s="1"/>
      <c r="GYF9" s="1"/>
      <c r="GYG9" s="1"/>
      <c r="GYH9" s="1"/>
      <c r="GYI9" s="1"/>
      <c r="GYJ9" s="1"/>
      <c r="GYK9" s="1"/>
      <c r="GYL9" s="1"/>
      <c r="GYM9" s="1"/>
      <c r="GYN9" s="1"/>
      <c r="GYO9" s="1"/>
      <c r="GYP9" s="1"/>
      <c r="GYQ9" s="1"/>
      <c r="GYR9" s="1"/>
      <c r="GYS9" s="1"/>
      <c r="GYT9" s="1"/>
      <c r="GYU9" s="1"/>
      <c r="GYV9" s="1"/>
      <c r="GYW9" s="1"/>
      <c r="GYX9" s="1"/>
      <c r="GYY9" s="1"/>
      <c r="GYZ9" s="1"/>
      <c r="GZA9" s="1"/>
      <c r="GZB9" s="1"/>
      <c r="GZC9" s="1"/>
      <c r="GZD9" s="1"/>
      <c r="GZE9" s="1"/>
      <c r="GZF9" s="1"/>
      <c r="GZG9" s="1"/>
      <c r="GZH9" s="1"/>
      <c r="GZI9" s="1"/>
      <c r="GZJ9" s="1"/>
      <c r="GZK9" s="1"/>
      <c r="GZL9" s="1"/>
      <c r="GZM9" s="1"/>
      <c r="GZN9" s="1"/>
      <c r="GZO9" s="1"/>
      <c r="GZP9" s="1"/>
      <c r="GZQ9" s="1"/>
      <c r="GZR9" s="1"/>
      <c r="GZS9" s="1"/>
      <c r="GZT9" s="1"/>
      <c r="GZU9" s="1"/>
      <c r="GZV9" s="1"/>
      <c r="GZW9" s="1"/>
      <c r="GZX9" s="1"/>
      <c r="GZY9" s="1"/>
      <c r="GZZ9" s="1"/>
      <c r="HAA9" s="1"/>
      <c r="HAB9" s="1"/>
      <c r="HAC9" s="1"/>
      <c r="HAD9" s="1"/>
      <c r="HAE9" s="1"/>
      <c r="HAF9" s="1"/>
      <c r="HAG9" s="1"/>
      <c r="HAH9" s="1"/>
      <c r="HAI9" s="1"/>
      <c r="HAJ9" s="1"/>
      <c r="HAK9" s="1"/>
      <c r="HAL9" s="1"/>
      <c r="HAM9" s="1"/>
      <c r="HAN9" s="1"/>
      <c r="HAO9" s="1"/>
      <c r="HAP9" s="1"/>
      <c r="HAQ9" s="1"/>
      <c r="HAR9" s="1"/>
      <c r="HAS9" s="1"/>
      <c r="HAT9" s="1"/>
      <c r="HAU9" s="1"/>
      <c r="HAV9" s="1"/>
      <c r="HAW9" s="1"/>
      <c r="HAX9" s="1"/>
      <c r="HAY9" s="1"/>
      <c r="HAZ9" s="1"/>
      <c r="HBA9" s="1"/>
      <c r="HBB9" s="1"/>
      <c r="HBC9" s="1"/>
      <c r="HBD9" s="1"/>
      <c r="HBE9" s="1"/>
      <c r="HBF9" s="1"/>
      <c r="HBG9" s="1"/>
      <c r="HBH9" s="1"/>
      <c r="HBI9" s="1"/>
      <c r="HBJ9" s="1"/>
      <c r="HBK9" s="1"/>
      <c r="HBL9" s="1"/>
      <c r="HBM9" s="1"/>
      <c r="HBN9" s="1"/>
      <c r="HBO9" s="1"/>
      <c r="HBP9" s="1"/>
      <c r="HBQ9" s="1"/>
      <c r="HBR9" s="1"/>
      <c r="HBS9" s="1"/>
      <c r="HBT9" s="1"/>
      <c r="HBU9" s="1"/>
      <c r="HBV9" s="1"/>
      <c r="HBW9" s="1"/>
      <c r="HBX9" s="1"/>
      <c r="HBY9" s="1"/>
      <c r="HBZ9" s="1"/>
      <c r="HCA9" s="1"/>
      <c r="HCB9" s="1"/>
      <c r="HCC9" s="1"/>
      <c r="HCD9" s="1"/>
      <c r="HCE9" s="1"/>
      <c r="HCF9" s="1"/>
      <c r="HCG9" s="1"/>
      <c r="HCH9" s="1"/>
      <c r="HCI9" s="1"/>
      <c r="HCJ9" s="1"/>
      <c r="HCK9" s="1"/>
      <c r="HCL9" s="1"/>
      <c r="HCM9" s="1"/>
      <c r="HCN9" s="1"/>
      <c r="HCO9" s="1"/>
      <c r="HCP9" s="1"/>
      <c r="HCQ9" s="1"/>
      <c r="HCR9" s="1"/>
      <c r="HCS9" s="1"/>
      <c r="HCT9" s="1"/>
      <c r="HCU9" s="1"/>
      <c r="HCV9" s="1"/>
      <c r="HCW9" s="1"/>
      <c r="HCX9" s="1"/>
      <c r="HCY9" s="1"/>
      <c r="HCZ9" s="1"/>
      <c r="HDA9" s="1"/>
      <c r="HDB9" s="1"/>
      <c r="HDC9" s="1"/>
      <c r="HDD9" s="1"/>
      <c r="HDE9" s="1"/>
      <c r="HDF9" s="1"/>
      <c r="HDG9" s="1"/>
      <c r="HDH9" s="1"/>
      <c r="HDI9" s="1"/>
      <c r="HDJ9" s="1"/>
      <c r="HDK9" s="1"/>
      <c r="HDL9" s="1"/>
      <c r="HDM9" s="1"/>
      <c r="HDN9" s="1"/>
      <c r="HDO9" s="1"/>
      <c r="HDP9" s="1"/>
      <c r="HDQ9" s="1"/>
      <c r="HDR9" s="1"/>
      <c r="HDS9" s="1"/>
      <c r="HDT9" s="1"/>
      <c r="HDU9" s="1"/>
      <c r="HDV9" s="1"/>
      <c r="HDW9" s="1"/>
      <c r="HDX9" s="1"/>
      <c r="HDY9" s="1"/>
      <c r="HDZ9" s="1"/>
      <c r="HEA9" s="1"/>
      <c r="HEB9" s="1"/>
      <c r="HEC9" s="1"/>
      <c r="HED9" s="1"/>
      <c r="HEE9" s="1"/>
      <c r="HEF9" s="1"/>
      <c r="HEG9" s="1"/>
      <c r="HEH9" s="1"/>
      <c r="HEI9" s="1"/>
      <c r="HEJ9" s="1"/>
      <c r="HEK9" s="1"/>
      <c r="HEL9" s="1"/>
      <c r="HEM9" s="1"/>
      <c r="HEN9" s="1"/>
      <c r="HEO9" s="1"/>
      <c r="HEP9" s="1"/>
      <c r="HEQ9" s="1"/>
      <c r="HER9" s="1"/>
      <c r="HES9" s="1"/>
      <c r="HET9" s="1"/>
      <c r="HEU9" s="1"/>
      <c r="HEV9" s="1"/>
      <c r="HEW9" s="1"/>
      <c r="HEX9" s="1"/>
      <c r="HEY9" s="1"/>
      <c r="HEZ9" s="1"/>
      <c r="HFA9" s="1"/>
      <c r="HFB9" s="1"/>
      <c r="HFC9" s="1"/>
      <c r="HFD9" s="1"/>
      <c r="HFE9" s="1"/>
      <c r="HFF9" s="1"/>
      <c r="HFG9" s="1"/>
      <c r="HFH9" s="1"/>
      <c r="HFI9" s="1"/>
      <c r="HFJ9" s="1"/>
      <c r="HFK9" s="1"/>
      <c r="HFL9" s="1"/>
      <c r="HFM9" s="1"/>
      <c r="HFN9" s="1"/>
      <c r="HFO9" s="1"/>
      <c r="HFP9" s="1"/>
      <c r="HFQ9" s="1"/>
      <c r="HFR9" s="1"/>
      <c r="HFS9" s="1"/>
      <c r="HFT9" s="1"/>
      <c r="HFU9" s="1"/>
      <c r="HFV9" s="1"/>
      <c r="HFW9" s="1"/>
      <c r="HFX9" s="1"/>
      <c r="HFY9" s="1"/>
      <c r="HFZ9" s="1"/>
      <c r="HGA9" s="1"/>
      <c r="HGB9" s="1"/>
      <c r="HGC9" s="1"/>
      <c r="HGD9" s="1"/>
      <c r="HGE9" s="1"/>
      <c r="HGF9" s="1"/>
      <c r="HGG9" s="1"/>
      <c r="HGH9" s="1"/>
      <c r="HGI9" s="1"/>
      <c r="HGJ9" s="1"/>
      <c r="HGK9" s="1"/>
      <c r="HGL9" s="1"/>
      <c r="HGM9" s="1"/>
      <c r="HGN9" s="1"/>
      <c r="HGO9" s="1"/>
      <c r="HGP9" s="1"/>
      <c r="HGQ9" s="1"/>
      <c r="HGR9" s="1"/>
      <c r="HGS9" s="1"/>
      <c r="HGT9" s="1"/>
      <c r="HGU9" s="1"/>
      <c r="HGV9" s="1"/>
      <c r="HGW9" s="1"/>
      <c r="HGX9" s="1"/>
      <c r="HGY9" s="1"/>
      <c r="HGZ9" s="1"/>
      <c r="HHA9" s="1"/>
      <c r="HHB9" s="1"/>
      <c r="HHC9" s="1"/>
      <c r="HHD9" s="1"/>
      <c r="HHE9" s="1"/>
      <c r="HHF9" s="1"/>
      <c r="HHG9" s="1"/>
      <c r="HHH9" s="1"/>
      <c r="HHI9" s="1"/>
      <c r="HHJ9" s="1"/>
      <c r="HHK9" s="1"/>
      <c r="HHL9" s="1"/>
      <c r="HHM9" s="1"/>
      <c r="HHN9" s="1"/>
      <c r="HHO9" s="1"/>
      <c r="HHP9" s="1"/>
      <c r="HHQ9" s="1"/>
      <c r="HHR9" s="1"/>
      <c r="HHS9" s="1"/>
      <c r="HHT9" s="1"/>
      <c r="HHU9" s="1"/>
      <c r="HHV9" s="1"/>
      <c r="HHW9" s="1"/>
      <c r="HHX9" s="1"/>
      <c r="HHY9" s="1"/>
      <c r="HHZ9" s="1"/>
      <c r="HIA9" s="1"/>
      <c r="HIB9" s="1"/>
      <c r="HIC9" s="1"/>
      <c r="HID9" s="1"/>
      <c r="HIE9" s="1"/>
      <c r="HIF9" s="1"/>
      <c r="HIG9" s="1"/>
      <c r="HIH9" s="1"/>
      <c r="HII9" s="1"/>
      <c r="HIJ9" s="1"/>
      <c r="HIK9" s="1"/>
      <c r="HIL9" s="1"/>
      <c r="HIM9" s="1"/>
      <c r="HIN9" s="1"/>
      <c r="HIO9" s="1"/>
      <c r="HIP9" s="1"/>
      <c r="HIQ9" s="1"/>
      <c r="HIR9" s="1"/>
      <c r="HIS9" s="1"/>
      <c r="HIT9" s="1"/>
      <c r="HIU9" s="1"/>
      <c r="HIV9" s="1"/>
      <c r="HIW9" s="1"/>
      <c r="HIX9" s="1"/>
      <c r="HIY9" s="1"/>
      <c r="HIZ9" s="1"/>
      <c r="HJA9" s="1"/>
      <c r="HJB9" s="1"/>
      <c r="HJC9" s="1"/>
      <c r="HJD9" s="1"/>
      <c r="HJE9" s="1"/>
      <c r="HJF9" s="1"/>
      <c r="HJG9" s="1"/>
      <c r="HJH9" s="1"/>
      <c r="HJI9" s="1"/>
      <c r="HJJ9" s="1"/>
      <c r="HJK9" s="1"/>
      <c r="HJL9" s="1"/>
      <c r="HJM9" s="1"/>
      <c r="HJN9" s="1"/>
      <c r="HJO9" s="1"/>
      <c r="HJP9" s="1"/>
      <c r="HJQ9" s="1"/>
      <c r="HJR9" s="1"/>
      <c r="HJS9" s="1"/>
      <c r="HJT9" s="1"/>
      <c r="HJU9" s="1"/>
      <c r="HJV9" s="1"/>
      <c r="HJW9" s="1"/>
      <c r="HJX9" s="1"/>
      <c r="HJY9" s="1"/>
      <c r="HJZ9" s="1"/>
      <c r="HKA9" s="1"/>
      <c r="HKB9" s="1"/>
      <c r="HKC9" s="1"/>
      <c r="HKD9" s="1"/>
      <c r="HKE9" s="1"/>
      <c r="HKF9" s="1"/>
      <c r="HKG9" s="1"/>
      <c r="HKH9" s="1"/>
      <c r="HKI9" s="1"/>
      <c r="HKJ9" s="1"/>
      <c r="HKK9" s="1"/>
      <c r="HKL9" s="1"/>
      <c r="HKM9" s="1"/>
      <c r="HKN9" s="1"/>
      <c r="HKO9" s="1"/>
      <c r="HKP9" s="1"/>
      <c r="HKQ9" s="1"/>
      <c r="HKR9" s="1"/>
      <c r="HKS9" s="1"/>
      <c r="HKT9" s="1"/>
      <c r="HKU9" s="1"/>
      <c r="HKV9" s="1"/>
      <c r="HKW9" s="1"/>
      <c r="HKX9" s="1"/>
      <c r="HKY9" s="1"/>
      <c r="HKZ9" s="1"/>
      <c r="HLA9" s="1"/>
      <c r="HLB9" s="1"/>
      <c r="HLC9" s="1"/>
      <c r="HLD9" s="1"/>
      <c r="HLE9" s="1"/>
      <c r="HLF9" s="1"/>
      <c r="HLG9" s="1"/>
      <c r="HLH9" s="1"/>
      <c r="HLI9" s="1"/>
      <c r="HLJ9" s="1"/>
      <c r="HLK9" s="1"/>
      <c r="HLL9" s="1"/>
      <c r="HLM9" s="1"/>
      <c r="HLN9" s="1"/>
      <c r="HLO9" s="1"/>
      <c r="HLP9" s="1"/>
      <c r="HLQ9" s="1"/>
      <c r="HLR9" s="1"/>
      <c r="HLS9" s="1"/>
      <c r="HLT9" s="1"/>
      <c r="HLU9" s="1"/>
      <c r="HLV9" s="1"/>
      <c r="HLW9" s="1"/>
      <c r="HLX9" s="1"/>
      <c r="HLY9" s="1"/>
      <c r="HLZ9" s="1"/>
      <c r="HMA9" s="1"/>
      <c r="HMB9" s="1"/>
      <c r="HMC9" s="1"/>
      <c r="HMD9" s="1"/>
      <c r="HME9" s="1"/>
      <c r="HMF9" s="1"/>
      <c r="HMG9" s="1"/>
      <c r="HMH9" s="1"/>
      <c r="HMI9" s="1"/>
      <c r="HMJ9" s="1"/>
      <c r="HMK9" s="1"/>
      <c r="HML9" s="1"/>
      <c r="HMM9" s="1"/>
      <c r="HMN9" s="1"/>
      <c r="HMO9" s="1"/>
      <c r="HMP9" s="1"/>
      <c r="HMQ9" s="1"/>
      <c r="HMR9" s="1"/>
      <c r="HMS9" s="1"/>
      <c r="HMT9" s="1"/>
      <c r="HMU9" s="1"/>
      <c r="HMV9" s="1"/>
      <c r="HMW9" s="1"/>
      <c r="HMX9" s="1"/>
      <c r="HMY9" s="1"/>
      <c r="HMZ9" s="1"/>
      <c r="HNA9" s="1"/>
      <c r="HNB9" s="1"/>
      <c r="HNC9" s="1"/>
      <c r="HND9" s="1"/>
      <c r="HNE9" s="1"/>
      <c r="HNF9" s="1"/>
      <c r="HNG9" s="1"/>
      <c r="HNH9" s="1"/>
      <c r="HNI9" s="1"/>
      <c r="HNJ9" s="1"/>
      <c r="HNK9" s="1"/>
      <c r="HNL9" s="1"/>
      <c r="HNM9" s="1"/>
      <c r="HNN9" s="1"/>
      <c r="HNO9" s="1"/>
      <c r="HNP9" s="1"/>
      <c r="HNQ9" s="1"/>
      <c r="HNR9" s="1"/>
      <c r="HNS9" s="1"/>
      <c r="HNT9" s="1"/>
      <c r="HNU9" s="1"/>
      <c r="HNV9" s="1"/>
      <c r="HNW9" s="1"/>
      <c r="HNX9" s="1"/>
      <c r="HNY9" s="1"/>
      <c r="HNZ9" s="1"/>
      <c r="HOA9" s="1"/>
      <c r="HOB9" s="1"/>
      <c r="HOC9" s="1"/>
      <c r="HOD9" s="1"/>
      <c r="HOE9" s="1"/>
      <c r="HOF9" s="1"/>
      <c r="HOG9" s="1"/>
      <c r="HOH9" s="1"/>
      <c r="HOI9" s="1"/>
      <c r="HOJ9" s="1"/>
      <c r="HOK9" s="1"/>
      <c r="HOL9" s="1"/>
      <c r="HOM9" s="1"/>
      <c r="HON9" s="1"/>
      <c r="HOO9" s="1"/>
      <c r="HOP9" s="1"/>
      <c r="HOQ9" s="1"/>
      <c r="HOR9" s="1"/>
      <c r="HOS9" s="1"/>
      <c r="HOT9" s="1"/>
      <c r="HOU9" s="1"/>
      <c r="HOV9" s="1"/>
      <c r="HOW9" s="1"/>
      <c r="HOX9" s="1"/>
      <c r="HOY9" s="1"/>
      <c r="HOZ9" s="1"/>
      <c r="HPA9" s="1"/>
      <c r="HPB9" s="1"/>
      <c r="HPC9" s="1"/>
      <c r="HPD9" s="1"/>
      <c r="HPE9" s="1"/>
      <c r="HPF9" s="1"/>
      <c r="HPG9" s="1"/>
      <c r="HPH9" s="1"/>
      <c r="HPI9" s="1"/>
      <c r="HPJ9" s="1"/>
      <c r="HPK9" s="1"/>
      <c r="HPL9" s="1"/>
      <c r="HPM9" s="1"/>
      <c r="HPN9" s="1"/>
      <c r="HPO9" s="1"/>
      <c r="HPP9" s="1"/>
      <c r="HPQ9" s="1"/>
      <c r="HPR9" s="1"/>
      <c r="HPS9" s="1"/>
      <c r="HPT9" s="1"/>
      <c r="HPU9" s="1"/>
      <c r="HPV9" s="1"/>
      <c r="HPW9" s="1"/>
      <c r="HPX9" s="1"/>
      <c r="HPY9" s="1"/>
      <c r="HPZ9" s="1"/>
      <c r="HQA9" s="1"/>
      <c r="HQB9" s="1"/>
      <c r="HQC9" s="1"/>
      <c r="HQD9" s="1"/>
      <c r="HQE9" s="1"/>
      <c r="HQF9" s="1"/>
      <c r="HQG9" s="1"/>
      <c r="HQH9" s="1"/>
      <c r="HQI9" s="1"/>
      <c r="HQJ9" s="1"/>
      <c r="HQK9" s="1"/>
      <c r="HQL9" s="1"/>
      <c r="HQM9" s="1"/>
      <c r="HQN9" s="1"/>
      <c r="HQO9" s="1"/>
      <c r="HQP9" s="1"/>
      <c r="HQQ9" s="1"/>
      <c r="HQR9" s="1"/>
      <c r="HQS9" s="1"/>
      <c r="HQT9" s="1"/>
      <c r="HQU9" s="1"/>
      <c r="HQV9" s="1"/>
      <c r="HQW9" s="1"/>
      <c r="HQX9" s="1"/>
      <c r="HQY9" s="1"/>
      <c r="HQZ9" s="1"/>
      <c r="HRA9" s="1"/>
      <c r="HRB9" s="1"/>
      <c r="HRC9" s="1"/>
      <c r="HRD9" s="1"/>
      <c r="HRE9" s="1"/>
      <c r="HRF9" s="1"/>
      <c r="HRG9" s="1"/>
      <c r="HRH9" s="1"/>
      <c r="HRI9" s="1"/>
      <c r="HRJ9" s="1"/>
      <c r="HRK9" s="1"/>
      <c r="HRL9" s="1"/>
      <c r="HRM9" s="1"/>
      <c r="HRN9" s="1"/>
      <c r="HRO9" s="1"/>
      <c r="HRP9" s="1"/>
      <c r="HRQ9" s="1"/>
      <c r="HRR9" s="1"/>
      <c r="HRS9" s="1"/>
      <c r="HRT9" s="1"/>
      <c r="HRU9" s="1"/>
      <c r="HRV9" s="1"/>
      <c r="HRW9" s="1"/>
      <c r="HRX9" s="1"/>
      <c r="HRY9" s="1"/>
      <c r="HRZ9" s="1"/>
      <c r="HSA9" s="1"/>
      <c r="HSB9" s="1"/>
      <c r="HSC9" s="1"/>
      <c r="HSD9" s="1"/>
      <c r="HSE9" s="1"/>
      <c r="HSF9" s="1"/>
      <c r="HSG9" s="1"/>
      <c r="HSH9" s="1"/>
      <c r="HSI9" s="1"/>
      <c r="HSJ9" s="1"/>
      <c r="HSK9" s="1"/>
      <c r="HSL9" s="1"/>
      <c r="HSM9" s="1"/>
      <c r="HSN9" s="1"/>
      <c r="HSO9" s="1"/>
      <c r="HSP9" s="1"/>
      <c r="HSQ9" s="1"/>
      <c r="HSR9" s="1"/>
      <c r="HSS9" s="1"/>
      <c r="HST9" s="1"/>
      <c r="HSU9" s="1"/>
      <c r="HSV9" s="1"/>
      <c r="HSW9" s="1"/>
      <c r="HSX9" s="1"/>
      <c r="HSY9" s="1"/>
      <c r="HSZ9" s="1"/>
      <c r="HTA9" s="1"/>
      <c r="HTB9" s="1"/>
      <c r="HTC9" s="1"/>
      <c r="HTD9" s="1"/>
      <c r="HTE9" s="1"/>
      <c r="HTF9" s="1"/>
      <c r="HTG9" s="1"/>
      <c r="HTH9" s="1"/>
      <c r="HTI9" s="1"/>
      <c r="HTJ9" s="1"/>
      <c r="HTK9" s="1"/>
      <c r="HTL9" s="1"/>
      <c r="HTM9" s="1"/>
      <c r="HTN9" s="1"/>
      <c r="HTO9" s="1"/>
      <c r="HTP9" s="1"/>
      <c r="HTQ9" s="1"/>
      <c r="HTR9" s="1"/>
      <c r="HTS9" s="1"/>
      <c r="HTT9" s="1"/>
      <c r="HTU9" s="1"/>
      <c r="HTV9" s="1"/>
      <c r="HTW9" s="1"/>
      <c r="HTX9" s="1"/>
      <c r="HTY9" s="1"/>
      <c r="HTZ9" s="1"/>
      <c r="HUA9" s="1"/>
      <c r="HUB9" s="1"/>
      <c r="HUC9" s="1"/>
      <c r="HUD9" s="1"/>
      <c r="HUE9" s="1"/>
      <c r="HUF9" s="1"/>
      <c r="HUG9" s="1"/>
      <c r="HUH9" s="1"/>
      <c r="HUI9" s="1"/>
      <c r="HUJ9" s="1"/>
      <c r="HUK9" s="1"/>
      <c r="HUL9" s="1"/>
      <c r="HUM9" s="1"/>
      <c r="HUN9" s="1"/>
      <c r="HUO9" s="1"/>
      <c r="HUP9" s="1"/>
      <c r="HUQ9" s="1"/>
      <c r="HUR9" s="1"/>
      <c r="HUS9" s="1"/>
      <c r="HUT9" s="1"/>
      <c r="HUU9" s="1"/>
      <c r="HUV9" s="1"/>
      <c r="HUW9" s="1"/>
      <c r="HUX9" s="1"/>
      <c r="HUY9" s="1"/>
      <c r="HUZ9" s="1"/>
      <c r="HVA9" s="1"/>
      <c r="HVB9" s="1"/>
      <c r="HVC9" s="1"/>
      <c r="HVD9" s="1"/>
      <c r="HVE9" s="1"/>
      <c r="HVF9" s="1"/>
      <c r="HVG9" s="1"/>
      <c r="HVH9" s="1"/>
      <c r="HVI9" s="1"/>
      <c r="HVJ9" s="1"/>
      <c r="HVK9" s="1"/>
      <c r="HVL9" s="1"/>
      <c r="HVM9" s="1"/>
      <c r="HVN9" s="1"/>
      <c r="HVO9" s="1"/>
      <c r="HVP9" s="1"/>
      <c r="HVQ9" s="1"/>
      <c r="HVR9" s="1"/>
      <c r="HVS9" s="1"/>
      <c r="HVT9" s="1"/>
      <c r="HVU9" s="1"/>
      <c r="HVV9" s="1"/>
      <c r="HVW9" s="1"/>
      <c r="HVX9" s="1"/>
      <c r="HVY9" s="1"/>
      <c r="HVZ9" s="1"/>
      <c r="HWA9" s="1"/>
      <c r="HWB9" s="1"/>
      <c r="HWC9" s="1"/>
      <c r="HWD9" s="1"/>
      <c r="HWE9" s="1"/>
      <c r="HWF9" s="1"/>
      <c r="HWG9" s="1"/>
      <c r="HWH9" s="1"/>
      <c r="HWI9" s="1"/>
      <c r="HWJ9" s="1"/>
      <c r="HWK9" s="1"/>
      <c r="HWL9" s="1"/>
      <c r="HWM9" s="1"/>
      <c r="HWN9" s="1"/>
      <c r="HWO9" s="1"/>
      <c r="HWP9" s="1"/>
      <c r="HWQ9" s="1"/>
      <c r="HWR9" s="1"/>
      <c r="HWS9" s="1"/>
      <c r="HWT9" s="1"/>
      <c r="HWU9" s="1"/>
      <c r="HWV9" s="1"/>
      <c r="HWW9" s="1"/>
      <c r="HWX9" s="1"/>
      <c r="HWY9" s="1"/>
      <c r="HWZ9" s="1"/>
      <c r="HXA9" s="1"/>
      <c r="HXB9" s="1"/>
      <c r="HXC9" s="1"/>
      <c r="HXD9" s="1"/>
      <c r="HXE9" s="1"/>
      <c r="HXF9" s="1"/>
      <c r="HXG9" s="1"/>
      <c r="HXH9" s="1"/>
      <c r="HXI9" s="1"/>
      <c r="HXJ9" s="1"/>
      <c r="HXK9" s="1"/>
      <c r="HXL9" s="1"/>
      <c r="HXM9" s="1"/>
      <c r="HXN9" s="1"/>
      <c r="HXO9" s="1"/>
      <c r="HXP9" s="1"/>
      <c r="HXQ9" s="1"/>
      <c r="HXR9" s="1"/>
      <c r="HXS9" s="1"/>
      <c r="HXT9" s="1"/>
      <c r="HXU9" s="1"/>
      <c r="HXV9" s="1"/>
      <c r="HXW9" s="1"/>
      <c r="HXX9" s="1"/>
      <c r="HXY9" s="1"/>
      <c r="HXZ9" s="1"/>
      <c r="HYA9" s="1"/>
      <c r="HYB9" s="1"/>
      <c r="HYC9" s="1"/>
      <c r="HYD9" s="1"/>
      <c r="HYE9" s="1"/>
      <c r="HYF9" s="1"/>
      <c r="HYG9" s="1"/>
      <c r="HYH9" s="1"/>
      <c r="HYI9" s="1"/>
      <c r="HYJ9" s="1"/>
      <c r="HYK9" s="1"/>
      <c r="HYL9" s="1"/>
      <c r="HYM9" s="1"/>
      <c r="HYN9" s="1"/>
      <c r="HYO9" s="1"/>
      <c r="HYP9" s="1"/>
      <c r="HYQ9" s="1"/>
      <c r="HYR9" s="1"/>
      <c r="HYS9" s="1"/>
      <c r="HYT9" s="1"/>
      <c r="HYU9" s="1"/>
      <c r="HYV9" s="1"/>
      <c r="HYW9" s="1"/>
      <c r="HYX9" s="1"/>
      <c r="HYY9" s="1"/>
      <c r="HYZ9" s="1"/>
      <c r="HZA9" s="1"/>
      <c r="HZB9" s="1"/>
      <c r="HZC9" s="1"/>
      <c r="HZD9" s="1"/>
      <c r="HZE9" s="1"/>
      <c r="HZF9" s="1"/>
      <c r="HZG9" s="1"/>
      <c r="HZH9" s="1"/>
      <c r="HZI9" s="1"/>
      <c r="HZJ9" s="1"/>
      <c r="HZK9" s="1"/>
      <c r="HZL9" s="1"/>
      <c r="HZM9" s="1"/>
      <c r="HZN9" s="1"/>
      <c r="HZO9" s="1"/>
      <c r="HZP9" s="1"/>
      <c r="HZQ9" s="1"/>
      <c r="HZR9" s="1"/>
      <c r="HZS9" s="1"/>
      <c r="HZT9" s="1"/>
      <c r="HZU9" s="1"/>
      <c r="HZV9" s="1"/>
      <c r="HZW9" s="1"/>
      <c r="HZX9" s="1"/>
      <c r="HZY9" s="1"/>
      <c r="HZZ9" s="1"/>
      <c r="IAA9" s="1"/>
      <c r="IAB9" s="1"/>
      <c r="IAC9" s="1"/>
      <c r="IAD9" s="1"/>
      <c r="IAE9" s="1"/>
      <c r="IAF9" s="1"/>
      <c r="IAG9" s="1"/>
      <c r="IAH9" s="1"/>
      <c r="IAI9" s="1"/>
      <c r="IAJ9" s="1"/>
      <c r="IAK9" s="1"/>
      <c r="IAL9" s="1"/>
      <c r="IAM9" s="1"/>
      <c r="IAN9" s="1"/>
      <c r="IAO9" s="1"/>
      <c r="IAP9" s="1"/>
      <c r="IAQ9" s="1"/>
      <c r="IAR9" s="1"/>
      <c r="IAS9" s="1"/>
      <c r="IAT9" s="1"/>
      <c r="IAU9" s="1"/>
      <c r="IAV9" s="1"/>
      <c r="IAW9" s="1"/>
      <c r="IAX9" s="1"/>
      <c r="IAY9" s="1"/>
      <c r="IAZ9" s="1"/>
      <c r="IBA9" s="1"/>
      <c r="IBB9" s="1"/>
      <c r="IBC9" s="1"/>
      <c r="IBD9" s="1"/>
      <c r="IBE9" s="1"/>
      <c r="IBF9" s="1"/>
      <c r="IBG9" s="1"/>
      <c r="IBH9" s="1"/>
      <c r="IBI9" s="1"/>
      <c r="IBJ9" s="1"/>
      <c r="IBK9" s="1"/>
      <c r="IBL9" s="1"/>
      <c r="IBM9" s="1"/>
      <c r="IBN9" s="1"/>
      <c r="IBO9" s="1"/>
      <c r="IBP9" s="1"/>
      <c r="IBQ9" s="1"/>
      <c r="IBR9" s="1"/>
      <c r="IBS9" s="1"/>
      <c r="IBT9" s="1"/>
      <c r="IBU9" s="1"/>
      <c r="IBV9" s="1"/>
      <c r="IBW9" s="1"/>
      <c r="IBX9" s="1"/>
      <c r="IBY9" s="1"/>
      <c r="IBZ9" s="1"/>
      <c r="ICA9" s="1"/>
      <c r="ICB9" s="1"/>
      <c r="ICC9" s="1"/>
      <c r="ICD9" s="1"/>
      <c r="ICE9" s="1"/>
      <c r="ICF9" s="1"/>
      <c r="ICG9" s="1"/>
      <c r="ICH9" s="1"/>
      <c r="ICI9" s="1"/>
      <c r="ICJ9" s="1"/>
      <c r="ICK9" s="1"/>
      <c r="ICL9" s="1"/>
      <c r="ICM9" s="1"/>
      <c r="ICN9" s="1"/>
      <c r="ICO9" s="1"/>
      <c r="ICP9" s="1"/>
      <c r="ICQ9" s="1"/>
      <c r="ICR9" s="1"/>
      <c r="ICS9" s="1"/>
      <c r="ICT9" s="1"/>
      <c r="ICU9" s="1"/>
      <c r="ICV9" s="1"/>
      <c r="ICW9" s="1"/>
      <c r="ICX9" s="1"/>
      <c r="ICY9" s="1"/>
      <c r="ICZ9" s="1"/>
      <c r="IDA9" s="1"/>
      <c r="IDB9" s="1"/>
      <c r="IDC9" s="1"/>
      <c r="IDD9" s="1"/>
      <c r="IDE9" s="1"/>
      <c r="IDF9" s="1"/>
      <c r="IDG9" s="1"/>
      <c r="IDH9" s="1"/>
      <c r="IDI9" s="1"/>
      <c r="IDJ9" s="1"/>
      <c r="IDK9" s="1"/>
      <c r="IDL9" s="1"/>
      <c r="IDM9" s="1"/>
      <c r="IDN9" s="1"/>
      <c r="IDO9" s="1"/>
      <c r="IDP9" s="1"/>
      <c r="IDQ9" s="1"/>
      <c r="IDR9" s="1"/>
      <c r="IDS9" s="1"/>
      <c r="IDT9" s="1"/>
      <c r="IDU9" s="1"/>
      <c r="IDV9" s="1"/>
      <c r="IDW9" s="1"/>
      <c r="IDX9" s="1"/>
      <c r="IDY9" s="1"/>
      <c r="IDZ9" s="1"/>
      <c r="IEA9" s="1"/>
      <c r="IEB9" s="1"/>
      <c r="IEC9" s="1"/>
      <c r="IED9" s="1"/>
      <c r="IEE9" s="1"/>
      <c r="IEF9" s="1"/>
      <c r="IEG9" s="1"/>
      <c r="IEH9" s="1"/>
      <c r="IEI9" s="1"/>
      <c r="IEJ9" s="1"/>
      <c r="IEK9" s="1"/>
      <c r="IEL9" s="1"/>
      <c r="IEM9" s="1"/>
      <c r="IEN9" s="1"/>
      <c r="IEO9" s="1"/>
      <c r="IEP9" s="1"/>
      <c r="IEQ9" s="1"/>
      <c r="IER9" s="1"/>
      <c r="IES9" s="1"/>
      <c r="IET9" s="1"/>
      <c r="IEU9" s="1"/>
      <c r="IEV9" s="1"/>
      <c r="IEW9" s="1"/>
      <c r="IEX9" s="1"/>
      <c r="IEY9" s="1"/>
      <c r="IEZ9" s="1"/>
      <c r="IFA9" s="1"/>
      <c r="IFB9" s="1"/>
      <c r="IFC9" s="1"/>
      <c r="IFD9" s="1"/>
      <c r="IFE9" s="1"/>
      <c r="IFF9" s="1"/>
      <c r="IFG9" s="1"/>
      <c r="IFH9" s="1"/>
      <c r="IFI9" s="1"/>
      <c r="IFJ9" s="1"/>
      <c r="IFK9" s="1"/>
      <c r="IFL9" s="1"/>
      <c r="IFM9" s="1"/>
      <c r="IFN9" s="1"/>
      <c r="IFO9" s="1"/>
      <c r="IFP9" s="1"/>
      <c r="IFQ9" s="1"/>
      <c r="IFR9" s="1"/>
      <c r="IFS9" s="1"/>
      <c r="IFT9" s="1"/>
      <c r="IFU9" s="1"/>
      <c r="IFV9" s="1"/>
      <c r="IFW9" s="1"/>
      <c r="IFX9" s="1"/>
      <c r="IFY9" s="1"/>
      <c r="IFZ9" s="1"/>
      <c r="IGA9" s="1"/>
      <c r="IGB9" s="1"/>
      <c r="IGC9" s="1"/>
      <c r="IGD9" s="1"/>
      <c r="IGE9" s="1"/>
      <c r="IGF9" s="1"/>
      <c r="IGG9" s="1"/>
      <c r="IGH9" s="1"/>
      <c r="IGI9" s="1"/>
      <c r="IGJ9" s="1"/>
      <c r="IGK9" s="1"/>
      <c r="IGL9" s="1"/>
      <c r="IGM9" s="1"/>
      <c r="IGN9" s="1"/>
      <c r="IGO9" s="1"/>
      <c r="IGP9" s="1"/>
      <c r="IGQ9" s="1"/>
      <c r="IGR9" s="1"/>
      <c r="IGS9" s="1"/>
      <c r="IGT9" s="1"/>
      <c r="IGU9" s="1"/>
      <c r="IGV9" s="1"/>
      <c r="IGW9" s="1"/>
      <c r="IGX9" s="1"/>
      <c r="IGY9" s="1"/>
      <c r="IGZ9" s="1"/>
      <c r="IHA9" s="1"/>
      <c r="IHB9" s="1"/>
      <c r="IHC9" s="1"/>
      <c r="IHD9" s="1"/>
      <c r="IHE9" s="1"/>
      <c r="IHF9" s="1"/>
      <c r="IHG9" s="1"/>
      <c r="IHH9" s="1"/>
      <c r="IHI9" s="1"/>
      <c r="IHJ9" s="1"/>
      <c r="IHK9" s="1"/>
      <c r="IHL9" s="1"/>
      <c r="IHM9" s="1"/>
      <c r="IHN9" s="1"/>
      <c r="IHO9" s="1"/>
      <c r="IHP9" s="1"/>
      <c r="IHQ9" s="1"/>
      <c r="IHR9" s="1"/>
      <c r="IHS9" s="1"/>
      <c r="IHT9" s="1"/>
      <c r="IHU9" s="1"/>
      <c r="IHV9" s="1"/>
      <c r="IHW9" s="1"/>
      <c r="IHX9" s="1"/>
      <c r="IHY9" s="1"/>
      <c r="IHZ9" s="1"/>
      <c r="IIA9" s="1"/>
      <c r="IIB9" s="1"/>
      <c r="IIC9" s="1"/>
      <c r="IID9" s="1"/>
      <c r="IIE9" s="1"/>
      <c r="IIF9" s="1"/>
      <c r="IIG9" s="1"/>
      <c r="IIH9" s="1"/>
      <c r="III9" s="1"/>
      <c r="IIJ9" s="1"/>
      <c r="IIK9" s="1"/>
      <c r="IIL9" s="1"/>
      <c r="IIM9" s="1"/>
      <c r="IIN9" s="1"/>
      <c r="IIO9" s="1"/>
      <c r="IIP9" s="1"/>
      <c r="IIQ9" s="1"/>
      <c r="IIR9" s="1"/>
      <c r="IIS9" s="1"/>
      <c r="IIT9" s="1"/>
      <c r="IIU9" s="1"/>
      <c r="IIV9" s="1"/>
      <c r="IIW9" s="1"/>
      <c r="IIX9" s="1"/>
      <c r="IIY9" s="1"/>
      <c r="IIZ9" s="1"/>
      <c r="IJA9" s="1"/>
      <c r="IJB9" s="1"/>
      <c r="IJC9" s="1"/>
      <c r="IJD9" s="1"/>
      <c r="IJE9" s="1"/>
      <c r="IJF9" s="1"/>
      <c r="IJG9" s="1"/>
      <c r="IJH9" s="1"/>
      <c r="IJI9" s="1"/>
      <c r="IJJ9" s="1"/>
      <c r="IJK9" s="1"/>
      <c r="IJL9" s="1"/>
      <c r="IJM9" s="1"/>
      <c r="IJN9" s="1"/>
      <c r="IJO9" s="1"/>
      <c r="IJP9" s="1"/>
      <c r="IJQ9" s="1"/>
      <c r="IJR9" s="1"/>
      <c r="IJS9" s="1"/>
      <c r="IJT9" s="1"/>
      <c r="IJU9" s="1"/>
      <c r="IJV9" s="1"/>
      <c r="IJW9" s="1"/>
      <c r="IJX9" s="1"/>
      <c r="IJY9" s="1"/>
      <c r="IJZ9" s="1"/>
      <c r="IKA9" s="1"/>
      <c r="IKB9" s="1"/>
      <c r="IKC9" s="1"/>
      <c r="IKD9" s="1"/>
      <c r="IKE9" s="1"/>
      <c r="IKF9" s="1"/>
      <c r="IKG9" s="1"/>
      <c r="IKH9" s="1"/>
      <c r="IKI9" s="1"/>
      <c r="IKJ9" s="1"/>
      <c r="IKK9" s="1"/>
      <c r="IKL9" s="1"/>
      <c r="IKM9" s="1"/>
      <c r="IKN9" s="1"/>
      <c r="IKO9" s="1"/>
      <c r="IKP9" s="1"/>
      <c r="IKQ9" s="1"/>
      <c r="IKR9" s="1"/>
      <c r="IKS9" s="1"/>
      <c r="IKT9" s="1"/>
      <c r="IKU9" s="1"/>
      <c r="IKV9" s="1"/>
      <c r="IKW9" s="1"/>
      <c r="IKX9" s="1"/>
      <c r="IKY9" s="1"/>
      <c r="IKZ9" s="1"/>
      <c r="ILA9" s="1"/>
      <c r="ILB9" s="1"/>
      <c r="ILC9" s="1"/>
      <c r="ILD9" s="1"/>
      <c r="ILE9" s="1"/>
      <c r="ILF9" s="1"/>
      <c r="ILG9" s="1"/>
      <c r="ILH9" s="1"/>
      <c r="ILI9" s="1"/>
      <c r="ILJ9" s="1"/>
      <c r="ILK9" s="1"/>
      <c r="ILL9" s="1"/>
      <c r="ILM9" s="1"/>
      <c r="ILN9" s="1"/>
      <c r="ILO9" s="1"/>
      <c r="ILP9" s="1"/>
      <c r="ILQ9" s="1"/>
      <c r="ILR9" s="1"/>
      <c r="ILS9" s="1"/>
      <c r="ILT9" s="1"/>
      <c r="ILU9" s="1"/>
      <c r="ILV9" s="1"/>
      <c r="ILW9" s="1"/>
      <c r="ILX9" s="1"/>
      <c r="ILY9" s="1"/>
      <c r="ILZ9" s="1"/>
      <c r="IMA9" s="1"/>
      <c r="IMB9" s="1"/>
      <c r="IMC9" s="1"/>
      <c r="IMD9" s="1"/>
      <c r="IME9" s="1"/>
      <c r="IMF9" s="1"/>
      <c r="IMG9" s="1"/>
      <c r="IMH9" s="1"/>
      <c r="IMI9" s="1"/>
      <c r="IMJ9" s="1"/>
      <c r="IMK9" s="1"/>
      <c r="IML9" s="1"/>
      <c r="IMM9" s="1"/>
      <c r="IMN9" s="1"/>
      <c r="IMO9" s="1"/>
      <c r="IMP9" s="1"/>
      <c r="IMQ9" s="1"/>
      <c r="IMR9" s="1"/>
      <c r="IMS9" s="1"/>
      <c r="IMT9" s="1"/>
      <c r="IMU9" s="1"/>
      <c r="IMV9" s="1"/>
      <c r="IMW9" s="1"/>
      <c r="IMX9" s="1"/>
      <c r="IMY9" s="1"/>
      <c r="IMZ9" s="1"/>
      <c r="INA9" s="1"/>
      <c r="INB9" s="1"/>
      <c r="INC9" s="1"/>
      <c r="IND9" s="1"/>
      <c r="INE9" s="1"/>
      <c r="INF9" s="1"/>
      <c r="ING9" s="1"/>
      <c r="INH9" s="1"/>
      <c r="INI9" s="1"/>
      <c r="INJ9" s="1"/>
      <c r="INK9" s="1"/>
      <c r="INL9" s="1"/>
      <c r="INM9" s="1"/>
      <c r="INN9" s="1"/>
      <c r="INO9" s="1"/>
      <c r="INP9" s="1"/>
      <c r="INQ9" s="1"/>
      <c r="INR9" s="1"/>
      <c r="INS9" s="1"/>
      <c r="INT9" s="1"/>
      <c r="INU9" s="1"/>
      <c r="INV9" s="1"/>
      <c r="INW9" s="1"/>
      <c r="INX9" s="1"/>
      <c r="INY9" s="1"/>
      <c r="INZ9" s="1"/>
      <c r="IOA9" s="1"/>
      <c r="IOB9" s="1"/>
      <c r="IOC9" s="1"/>
      <c r="IOD9" s="1"/>
      <c r="IOE9" s="1"/>
      <c r="IOF9" s="1"/>
      <c r="IOG9" s="1"/>
      <c r="IOH9" s="1"/>
      <c r="IOI9" s="1"/>
      <c r="IOJ9" s="1"/>
      <c r="IOK9" s="1"/>
      <c r="IOL9" s="1"/>
      <c r="IOM9" s="1"/>
      <c r="ION9" s="1"/>
      <c r="IOO9" s="1"/>
      <c r="IOP9" s="1"/>
      <c r="IOQ9" s="1"/>
      <c r="IOR9" s="1"/>
      <c r="IOS9" s="1"/>
      <c r="IOT9" s="1"/>
      <c r="IOU9" s="1"/>
      <c r="IOV9" s="1"/>
      <c r="IOW9" s="1"/>
      <c r="IOX9" s="1"/>
      <c r="IOY9" s="1"/>
      <c r="IOZ9" s="1"/>
      <c r="IPA9" s="1"/>
      <c r="IPB9" s="1"/>
      <c r="IPC9" s="1"/>
      <c r="IPD9" s="1"/>
      <c r="IPE9" s="1"/>
      <c r="IPF9" s="1"/>
      <c r="IPG9" s="1"/>
      <c r="IPH9" s="1"/>
      <c r="IPI9" s="1"/>
      <c r="IPJ9" s="1"/>
      <c r="IPK9" s="1"/>
      <c r="IPL9" s="1"/>
      <c r="IPM9" s="1"/>
      <c r="IPN9" s="1"/>
      <c r="IPO9" s="1"/>
      <c r="IPP9" s="1"/>
      <c r="IPQ9" s="1"/>
      <c r="IPR9" s="1"/>
      <c r="IPS9" s="1"/>
      <c r="IPT9" s="1"/>
      <c r="IPU9" s="1"/>
      <c r="IPV9" s="1"/>
      <c r="IPW9" s="1"/>
      <c r="IPX9" s="1"/>
      <c r="IPY9" s="1"/>
      <c r="IPZ9" s="1"/>
      <c r="IQA9" s="1"/>
      <c r="IQB9" s="1"/>
      <c r="IQC9" s="1"/>
      <c r="IQD9" s="1"/>
      <c r="IQE9" s="1"/>
      <c r="IQF9" s="1"/>
      <c r="IQG9" s="1"/>
      <c r="IQH9" s="1"/>
      <c r="IQI9" s="1"/>
      <c r="IQJ9" s="1"/>
      <c r="IQK9" s="1"/>
      <c r="IQL9" s="1"/>
      <c r="IQM9" s="1"/>
      <c r="IQN9" s="1"/>
      <c r="IQO9" s="1"/>
      <c r="IQP9" s="1"/>
      <c r="IQQ9" s="1"/>
      <c r="IQR9" s="1"/>
      <c r="IQS9" s="1"/>
      <c r="IQT9" s="1"/>
      <c r="IQU9" s="1"/>
      <c r="IQV9" s="1"/>
      <c r="IQW9" s="1"/>
      <c r="IQX9" s="1"/>
      <c r="IQY9" s="1"/>
      <c r="IQZ9" s="1"/>
      <c r="IRA9" s="1"/>
      <c r="IRB9" s="1"/>
      <c r="IRC9" s="1"/>
      <c r="IRD9" s="1"/>
      <c r="IRE9" s="1"/>
      <c r="IRF9" s="1"/>
      <c r="IRG9" s="1"/>
      <c r="IRH9" s="1"/>
      <c r="IRI9" s="1"/>
      <c r="IRJ9" s="1"/>
      <c r="IRK9" s="1"/>
      <c r="IRL9" s="1"/>
      <c r="IRM9" s="1"/>
      <c r="IRN9" s="1"/>
      <c r="IRO9" s="1"/>
      <c r="IRP9" s="1"/>
      <c r="IRQ9" s="1"/>
      <c r="IRR9" s="1"/>
      <c r="IRS9" s="1"/>
      <c r="IRT9" s="1"/>
      <c r="IRU9" s="1"/>
      <c r="IRV9" s="1"/>
      <c r="IRW9" s="1"/>
      <c r="IRX9" s="1"/>
      <c r="IRY9" s="1"/>
      <c r="IRZ9" s="1"/>
      <c r="ISA9" s="1"/>
      <c r="ISB9" s="1"/>
      <c r="ISC9" s="1"/>
      <c r="ISD9" s="1"/>
      <c r="ISE9" s="1"/>
      <c r="ISF9" s="1"/>
      <c r="ISG9" s="1"/>
      <c r="ISH9" s="1"/>
      <c r="ISI9" s="1"/>
      <c r="ISJ9" s="1"/>
      <c r="ISK9" s="1"/>
      <c r="ISL9" s="1"/>
      <c r="ISM9" s="1"/>
      <c r="ISN9" s="1"/>
      <c r="ISO9" s="1"/>
      <c r="ISP9" s="1"/>
      <c r="ISQ9" s="1"/>
      <c r="ISR9" s="1"/>
      <c r="ISS9" s="1"/>
      <c r="IST9" s="1"/>
      <c r="ISU9" s="1"/>
      <c r="ISV9" s="1"/>
      <c r="ISW9" s="1"/>
      <c r="ISX9" s="1"/>
      <c r="ISY9" s="1"/>
      <c r="ISZ9" s="1"/>
      <c r="ITA9" s="1"/>
      <c r="ITB9" s="1"/>
      <c r="ITC9" s="1"/>
      <c r="ITD9" s="1"/>
      <c r="ITE9" s="1"/>
      <c r="ITF9" s="1"/>
      <c r="ITG9" s="1"/>
      <c r="ITH9" s="1"/>
      <c r="ITI9" s="1"/>
      <c r="ITJ9" s="1"/>
      <c r="ITK9" s="1"/>
      <c r="ITL9" s="1"/>
      <c r="ITM9" s="1"/>
      <c r="ITN9" s="1"/>
      <c r="ITO9" s="1"/>
      <c r="ITP9" s="1"/>
      <c r="ITQ9" s="1"/>
      <c r="ITR9" s="1"/>
      <c r="ITS9" s="1"/>
      <c r="ITT9" s="1"/>
      <c r="ITU9" s="1"/>
      <c r="ITV9" s="1"/>
      <c r="ITW9" s="1"/>
      <c r="ITX9" s="1"/>
      <c r="ITY9" s="1"/>
      <c r="ITZ9" s="1"/>
      <c r="IUA9" s="1"/>
      <c r="IUB9" s="1"/>
      <c r="IUC9" s="1"/>
      <c r="IUD9" s="1"/>
      <c r="IUE9" s="1"/>
      <c r="IUF9" s="1"/>
      <c r="IUG9" s="1"/>
      <c r="IUH9" s="1"/>
      <c r="IUI9" s="1"/>
      <c r="IUJ9" s="1"/>
      <c r="IUK9" s="1"/>
      <c r="IUL9" s="1"/>
      <c r="IUM9" s="1"/>
      <c r="IUN9" s="1"/>
      <c r="IUO9" s="1"/>
      <c r="IUP9" s="1"/>
      <c r="IUQ9" s="1"/>
      <c r="IUR9" s="1"/>
      <c r="IUS9" s="1"/>
      <c r="IUT9" s="1"/>
      <c r="IUU9" s="1"/>
      <c r="IUV9" s="1"/>
      <c r="IUW9" s="1"/>
      <c r="IUX9" s="1"/>
      <c r="IUY9" s="1"/>
      <c r="IUZ9" s="1"/>
      <c r="IVA9" s="1"/>
      <c r="IVB9" s="1"/>
      <c r="IVC9" s="1"/>
      <c r="IVD9" s="1"/>
      <c r="IVE9" s="1"/>
      <c r="IVF9" s="1"/>
      <c r="IVG9" s="1"/>
      <c r="IVH9" s="1"/>
      <c r="IVI9" s="1"/>
      <c r="IVJ9" s="1"/>
      <c r="IVK9" s="1"/>
      <c r="IVL9" s="1"/>
      <c r="IVM9" s="1"/>
      <c r="IVN9" s="1"/>
      <c r="IVO9" s="1"/>
      <c r="IVP9" s="1"/>
      <c r="IVQ9" s="1"/>
      <c r="IVR9" s="1"/>
      <c r="IVS9" s="1"/>
      <c r="IVT9" s="1"/>
      <c r="IVU9" s="1"/>
      <c r="IVV9" s="1"/>
      <c r="IVW9" s="1"/>
      <c r="IVX9" s="1"/>
      <c r="IVY9" s="1"/>
      <c r="IVZ9" s="1"/>
      <c r="IWA9" s="1"/>
      <c r="IWB9" s="1"/>
      <c r="IWC9" s="1"/>
      <c r="IWD9" s="1"/>
      <c r="IWE9" s="1"/>
      <c r="IWF9" s="1"/>
      <c r="IWG9" s="1"/>
      <c r="IWH9" s="1"/>
      <c r="IWI9" s="1"/>
      <c r="IWJ9" s="1"/>
      <c r="IWK9" s="1"/>
      <c r="IWL9" s="1"/>
      <c r="IWM9" s="1"/>
      <c r="IWN9" s="1"/>
      <c r="IWO9" s="1"/>
      <c r="IWP9" s="1"/>
      <c r="IWQ9" s="1"/>
      <c r="IWR9" s="1"/>
      <c r="IWS9" s="1"/>
      <c r="IWT9" s="1"/>
      <c r="IWU9" s="1"/>
      <c r="IWV9" s="1"/>
      <c r="IWW9" s="1"/>
      <c r="IWX9" s="1"/>
      <c r="IWY9" s="1"/>
      <c r="IWZ9" s="1"/>
      <c r="IXA9" s="1"/>
      <c r="IXB9" s="1"/>
      <c r="IXC9" s="1"/>
      <c r="IXD9" s="1"/>
      <c r="IXE9" s="1"/>
      <c r="IXF9" s="1"/>
      <c r="IXG9" s="1"/>
      <c r="IXH9" s="1"/>
      <c r="IXI9" s="1"/>
      <c r="IXJ9" s="1"/>
      <c r="IXK9" s="1"/>
      <c r="IXL9" s="1"/>
      <c r="IXM9" s="1"/>
      <c r="IXN9" s="1"/>
      <c r="IXO9" s="1"/>
      <c r="IXP9" s="1"/>
      <c r="IXQ9" s="1"/>
      <c r="IXR9" s="1"/>
      <c r="IXS9" s="1"/>
      <c r="IXT9" s="1"/>
      <c r="IXU9" s="1"/>
      <c r="IXV9" s="1"/>
      <c r="IXW9" s="1"/>
      <c r="IXX9" s="1"/>
      <c r="IXY9" s="1"/>
      <c r="IXZ9" s="1"/>
      <c r="IYA9" s="1"/>
      <c r="IYB9" s="1"/>
      <c r="IYC9" s="1"/>
      <c r="IYD9" s="1"/>
      <c r="IYE9" s="1"/>
      <c r="IYF9" s="1"/>
      <c r="IYG9" s="1"/>
      <c r="IYH9" s="1"/>
      <c r="IYI9" s="1"/>
      <c r="IYJ9" s="1"/>
      <c r="IYK9" s="1"/>
      <c r="IYL9" s="1"/>
      <c r="IYM9" s="1"/>
      <c r="IYN9" s="1"/>
      <c r="IYO9" s="1"/>
      <c r="IYP9" s="1"/>
      <c r="IYQ9" s="1"/>
      <c r="IYR9" s="1"/>
      <c r="IYS9" s="1"/>
      <c r="IYT9" s="1"/>
      <c r="IYU9" s="1"/>
      <c r="IYV9" s="1"/>
      <c r="IYW9" s="1"/>
      <c r="IYX9" s="1"/>
      <c r="IYY9" s="1"/>
      <c r="IYZ9" s="1"/>
      <c r="IZA9" s="1"/>
      <c r="IZB9" s="1"/>
      <c r="IZC9" s="1"/>
      <c r="IZD9" s="1"/>
      <c r="IZE9" s="1"/>
      <c r="IZF9" s="1"/>
      <c r="IZG9" s="1"/>
      <c r="IZH9" s="1"/>
      <c r="IZI9" s="1"/>
      <c r="IZJ9" s="1"/>
      <c r="IZK9" s="1"/>
      <c r="IZL9" s="1"/>
      <c r="IZM9" s="1"/>
      <c r="IZN9" s="1"/>
      <c r="IZO9" s="1"/>
      <c r="IZP9" s="1"/>
      <c r="IZQ9" s="1"/>
      <c r="IZR9" s="1"/>
      <c r="IZS9" s="1"/>
      <c r="IZT9" s="1"/>
      <c r="IZU9" s="1"/>
      <c r="IZV9" s="1"/>
      <c r="IZW9" s="1"/>
      <c r="IZX9" s="1"/>
      <c r="IZY9" s="1"/>
      <c r="IZZ9" s="1"/>
      <c r="JAA9" s="1"/>
      <c r="JAB9" s="1"/>
      <c r="JAC9" s="1"/>
      <c r="JAD9" s="1"/>
      <c r="JAE9" s="1"/>
      <c r="JAF9" s="1"/>
      <c r="JAG9" s="1"/>
      <c r="JAH9" s="1"/>
      <c r="JAI9" s="1"/>
      <c r="JAJ9" s="1"/>
      <c r="JAK9" s="1"/>
      <c r="JAL9" s="1"/>
      <c r="JAM9" s="1"/>
      <c r="JAN9" s="1"/>
      <c r="JAO9" s="1"/>
      <c r="JAP9" s="1"/>
      <c r="JAQ9" s="1"/>
      <c r="JAR9" s="1"/>
      <c r="JAS9" s="1"/>
      <c r="JAT9" s="1"/>
      <c r="JAU9" s="1"/>
      <c r="JAV9" s="1"/>
      <c r="JAW9" s="1"/>
      <c r="JAX9" s="1"/>
      <c r="JAY9" s="1"/>
      <c r="JAZ9" s="1"/>
      <c r="JBA9" s="1"/>
      <c r="JBB9" s="1"/>
      <c r="JBC9" s="1"/>
      <c r="JBD9" s="1"/>
      <c r="JBE9" s="1"/>
      <c r="JBF9" s="1"/>
      <c r="JBG9" s="1"/>
      <c r="JBH9" s="1"/>
      <c r="JBI9" s="1"/>
      <c r="JBJ9" s="1"/>
      <c r="JBK9" s="1"/>
      <c r="JBL9" s="1"/>
      <c r="JBM9" s="1"/>
      <c r="JBN9" s="1"/>
      <c r="JBO9" s="1"/>
      <c r="JBP9" s="1"/>
      <c r="JBQ9" s="1"/>
      <c r="JBR9" s="1"/>
      <c r="JBS9" s="1"/>
      <c r="JBT9" s="1"/>
      <c r="JBU9" s="1"/>
      <c r="JBV9" s="1"/>
      <c r="JBW9" s="1"/>
      <c r="JBX9" s="1"/>
      <c r="JBY9" s="1"/>
      <c r="JBZ9" s="1"/>
      <c r="JCA9" s="1"/>
      <c r="JCB9" s="1"/>
      <c r="JCC9" s="1"/>
      <c r="JCD9" s="1"/>
      <c r="JCE9" s="1"/>
      <c r="JCF9" s="1"/>
      <c r="JCG9" s="1"/>
      <c r="JCH9" s="1"/>
      <c r="JCI9" s="1"/>
      <c r="JCJ9" s="1"/>
      <c r="JCK9" s="1"/>
      <c r="JCL9" s="1"/>
      <c r="JCM9" s="1"/>
      <c r="JCN9" s="1"/>
      <c r="JCO9" s="1"/>
      <c r="JCP9" s="1"/>
      <c r="JCQ9" s="1"/>
      <c r="JCR9" s="1"/>
      <c r="JCS9" s="1"/>
      <c r="JCT9" s="1"/>
      <c r="JCU9" s="1"/>
      <c r="JCV9" s="1"/>
      <c r="JCW9" s="1"/>
      <c r="JCX9" s="1"/>
      <c r="JCY9" s="1"/>
      <c r="JCZ9" s="1"/>
      <c r="JDA9" s="1"/>
      <c r="JDB9" s="1"/>
      <c r="JDC9" s="1"/>
      <c r="JDD9" s="1"/>
      <c r="JDE9" s="1"/>
      <c r="JDF9" s="1"/>
      <c r="JDG9" s="1"/>
      <c r="JDH9" s="1"/>
      <c r="JDI9" s="1"/>
      <c r="JDJ9" s="1"/>
      <c r="JDK9" s="1"/>
      <c r="JDL9" s="1"/>
      <c r="JDM9" s="1"/>
      <c r="JDN9" s="1"/>
      <c r="JDO9" s="1"/>
      <c r="JDP9" s="1"/>
      <c r="JDQ9" s="1"/>
      <c r="JDR9" s="1"/>
      <c r="JDS9" s="1"/>
      <c r="JDT9" s="1"/>
      <c r="JDU9" s="1"/>
      <c r="JDV9" s="1"/>
      <c r="JDW9" s="1"/>
      <c r="JDX9" s="1"/>
      <c r="JDY9" s="1"/>
      <c r="JDZ9" s="1"/>
      <c r="JEA9" s="1"/>
      <c r="JEB9" s="1"/>
      <c r="JEC9" s="1"/>
      <c r="JED9" s="1"/>
      <c r="JEE9" s="1"/>
      <c r="JEF9" s="1"/>
      <c r="JEG9" s="1"/>
      <c r="JEH9" s="1"/>
      <c r="JEI9" s="1"/>
      <c r="JEJ9" s="1"/>
      <c r="JEK9" s="1"/>
      <c r="JEL9" s="1"/>
      <c r="JEM9" s="1"/>
      <c r="JEN9" s="1"/>
      <c r="JEO9" s="1"/>
      <c r="JEP9" s="1"/>
      <c r="JEQ9" s="1"/>
      <c r="JER9" s="1"/>
      <c r="JES9" s="1"/>
      <c r="JET9" s="1"/>
      <c r="JEU9" s="1"/>
      <c r="JEV9" s="1"/>
      <c r="JEW9" s="1"/>
      <c r="JEX9" s="1"/>
      <c r="JEY9" s="1"/>
      <c r="JEZ9" s="1"/>
      <c r="JFA9" s="1"/>
      <c r="JFB9" s="1"/>
      <c r="JFC9" s="1"/>
      <c r="JFD9" s="1"/>
      <c r="JFE9" s="1"/>
      <c r="JFF9" s="1"/>
      <c r="JFG9" s="1"/>
      <c r="JFH9" s="1"/>
      <c r="JFI9" s="1"/>
      <c r="JFJ9" s="1"/>
      <c r="JFK9" s="1"/>
      <c r="JFL9" s="1"/>
      <c r="JFM9" s="1"/>
      <c r="JFN9" s="1"/>
      <c r="JFO9" s="1"/>
      <c r="JFP9" s="1"/>
      <c r="JFQ9" s="1"/>
      <c r="JFR9" s="1"/>
      <c r="JFS9" s="1"/>
      <c r="JFT9" s="1"/>
      <c r="JFU9" s="1"/>
      <c r="JFV9" s="1"/>
      <c r="JFW9" s="1"/>
      <c r="JFX9" s="1"/>
      <c r="JFY9" s="1"/>
      <c r="JFZ9" s="1"/>
      <c r="JGA9" s="1"/>
      <c r="JGB9" s="1"/>
      <c r="JGC9" s="1"/>
      <c r="JGD9" s="1"/>
      <c r="JGE9" s="1"/>
      <c r="JGF9" s="1"/>
      <c r="JGG9" s="1"/>
      <c r="JGH9" s="1"/>
      <c r="JGI9" s="1"/>
      <c r="JGJ9" s="1"/>
      <c r="JGK9" s="1"/>
      <c r="JGL9" s="1"/>
      <c r="JGM9" s="1"/>
      <c r="JGN9" s="1"/>
      <c r="JGO9" s="1"/>
      <c r="JGP9" s="1"/>
      <c r="JGQ9" s="1"/>
      <c r="JGR9" s="1"/>
      <c r="JGS9" s="1"/>
      <c r="JGT9" s="1"/>
      <c r="JGU9" s="1"/>
      <c r="JGV9" s="1"/>
      <c r="JGW9" s="1"/>
      <c r="JGX9" s="1"/>
      <c r="JGY9" s="1"/>
      <c r="JGZ9" s="1"/>
      <c r="JHA9" s="1"/>
      <c r="JHB9" s="1"/>
      <c r="JHC9" s="1"/>
      <c r="JHD9" s="1"/>
      <c r="JHE9" s="1"/>
      <c r="JHF9" s="1"/>
      <c r="JHG9" s="1"/>
      <c r="JHH9" s="1"/>
      <c r="JHI9" s="1"/>
      <c r="JHJ9" s="1"/>
      <c r="JHK9" s="1"/>
      <c r="JHL9" s="1"/>
      <c r="JHM9" s="1"/>
      <c r="JHN9" s="1"/>
      <c r="JHO9" s="1"/>
      <c r="JHP9" s="1"/>
      <c r="JHQ9" s="1"/>
      <c r="JHR9" s="1"/>
      <c r="JHS9" s="1"/>
      <c r="JHT9" s="1"/>
      <c r="JHU9" s="1"/>
      <c r="JHV9" s="1"/>
      <c r="JHW9" s="1"/>
      <c r="JHX9" s="1"/>
      <c r="JHY9" s="1"/>
      <c r="JHZ9" s="1"/>
      <c r="JIA9" s="1"/>
      <c r="JIB9" s="1"/>
      <c r="JIC9" s="1"/>
      <c r="JID9" s="1"/>
      <c r="JIE9" s="1"/>
      <c r="JIF9" s="1"/>
      <c r="JIG9" s="1"/>
      <c r="JIH9" s="1"/>
      <c r="JII9" s="1"/>
      <c r="JIJ9" s="1"/>
      <c r="JIK9" s="1"/>
      <c r="JIL9" s="1"/>
      <c r="JIM9" s="1"/>
      <c r="JIN9" s="1"/>
      <c r="JIO9" s="1"/>
      <c r="JIP9" s="1"/>
      <c r="JIQ9" s="1"/>
      <c r="JIR9" s="1"/>
      <c r="JIS9" s="1"/>
      <c r="JIT9" s="1"/>
      <c r="JIU9" s="1"/>
      <c r="JIV9" s="1"/>
      <c r="JIW9" s="1"/>
      <c r="JIX9" s="1"/>
      <c r="JIY9" s="1"/>
      <c r="JIZ9" s="1"/>
      <c r="JJA9" s="1"/>
      <c r="JJB9" s="1"/>
      <c r="JJC9" s="1"/>
      <c r="JJD9" s="1"/>
      <c r="JJE9" s="1"/>
      <c r="JJF9" s="1"/>
      <c r="JJG9" s="1"/>
      <c r="JJH9" s="1"/>
      <c r="JJI9" s="1"/>
      <c r="JJJ9" s="1"/>
      <c r="JJK9" s="1"/>
      <c r="JJL9" s="1"/>
      <c r="JJM9" s="1"/>
      <c r="JJN9" s="1"/>
      <c r="JJO9" s="1"/>
      <c r="JJP9" s="1"/>
      <c r="JJQ9" s="1"/>
      <c r="JJR9" s="1"/>
      <c r="JJS9" s="1"/>
      <c r="JJT9" s="1"/>
      <c r="JJU9" s="1"/>
      <c r="JJV9" s="1"/>
      <c r="JJW9" s="1"/>
      <c r="JJX9" s="1"/>
      <c r="JJY9" s="1"/>
      <c r="JJZ9" s="1"/>
      <c r="JKA9" s="1"/>
      <c r="JKB9" s="1"/>
      <c r="JKC9" s="1"/>
      <c r="JKD9" s="1"/>
      <c r="JKE9" s="1"/>
      <c r="JKF9" s="1"/>
      <c r="JKG9" s="1"/>
      <c r="JKH9" s="1"/>
      <c r="JKI9" s="1"/>
      <c r="JKJ9" s="1"/>
      <c r="JKK9" s="1"/>
      <c r="JKL9" s="1"/>
      <c r="JKM9" s="1"/>
      <c r="JKN9" s="1"/>
      <c r="JKO9" s="1"/>
      <c r="JKP9" s="1"/>
      <c r="JKQ9" s="1"/>
      <c r="JKR9" s="1"/>
      <c r="JKS9" s="1"/>
      <c r="JKT9" s="1"/>
      <c r="JKU9" s="1"/>
      <c r="JKV9" s="1"/>
      <c r="JKW9" s="1"/>
      <c r="JKX9" s="1"/>
      <c r="JKY9" s="1"/>
      <c r="JKZ9" s="1"/>
      <c r="JLA9" s="1"/>
      <c r="JLB9" s="1"/>
      <c r="JLC9" s="1"/>
      <c r="JLD9" s="1"/>
      <c r="JLE9" s="1"/>
      <c r="JLF9" s="1"/>
      <c r="JLG9" s="1"/>
      <c r="JLH9" s="1"/>
      <c r="JLI9" s="1"/>
      <c r="JLJ9" s="1"/>
      <c r="JLK9" s="1"/>
      <c r="JLL9" s="1"/>
      <c r="JLM9" s="1"/>
      <c r="JLN9" s="1"/>
      <c r="JLO9" s="1"/>
      <c r="JLP9" s="1"/>
      <c r="JLQ9" s="1"/>
      <c r="JLR9" s="1"/>
      <c r="JLS9" s="1"/>
      <c r="JLT9" s="1"/>
      <c r="JLU9" s="1"/>
      <c r="JLV9" s="1"/>
      <c r="JLW9" s="1"/>
      <c r="JLX9" s="1"/>
      <c r="JLY9" s="1"/>
      <c r="JLZ9" s="1"/>
      <c r="JMA9" s="1"/>
      <c r="JMB9" s="1"/>
      <c r="JMC9" s="1"/>
      <c r="JMD9" s="1"/>
      <c r="JME9" s="1"/>
      <c r="JMF9" s="1"/>
      <c r="JMG9" s="1"/>
      <c r="JMH9" s="1"/>
      <c r="JMI9" s="1"/>
      <c r="JMJ9" s="1"/>
      <c r="JMK9" s="1"/>
      <c r="JML9" s="1"/>
      <c r="JMM9" s="1"/>
      <c r="JMN9" s="1"/>
      <c r="JMO9" s="1"/>
      <c r="JMP9" s="1"/>
      <c r="JMQ9" s="1"/>
      <c r="JMR9" s="1"/>
      <c r="JMS9" s="1"/>
      <c r="JMT9" s="1"/>
      <c r="JMU9" s="1"/>
      <c r="JMV9" s="1"/>
      <c r="JMW9" s="1"/>
      <c r="JMX9" s="1"/>
      <c r="JMY9" s="1"/>
      <c r="JMZ9" s="1"/>
      <c r="JNA9" s="1"/>
      <c r="JNB9" s="1"/>
      <c r="JNC9" s="1"/>
      <c r="JND9" s="1"/>
      <c r="JNE9" s="1"/>
      <c r="JNF9" s="1"/>
      <c r="JNG9" s="1"/>
      <c r="JNH9" s="1"/>
      <c r="JNI9" s="1"/>
      <c r="JNJ9" s="1"/>
      <c r="JNK9" s="1"/>
      <c r="JNL9" s="1"/>
      <c r="JNM9" s="1"/>
      <c r="JNN9" s="1"/>
      <c r="JNO9" s="1"/>
      <c r="JNP9" s="1"/>
      <c r="JNQ9" s="1"/>
      <c r="JNR9" s="1"/>
      <c r="JNS9" s="1"/>
      <c r="JNT9" s="1"/>
      <c r="JNU9" s="1"/>
      <c r="JNV9" s="1"/>
      <c r="JNW9" s="1"/>
      <c r="JNX9" s="1"/>
      <c r="JNY9" s="1"/>
      <c r="JNZ9" s="1"/>
      <c r="JOA9" s="1"/>
      <c r="JOB9" s="1"/>
      <c r="JOC9" s="1"/>
      <c r="JOD9" s="1"/>
      <c r="JOE9" s="1"/>
      <c r="JOF9" s="1"/>
      <c r="JOG9" s="1"/>
      <c r="JOH9" s="1"/>
      <c r="JOI9" s="1"/>
      <c r="JOJ9" s="1"/>
      <c r="JOK9" s="1"/>
      <c r="JOL9" s="1"/>
      <c r="JOM9" s="1"/>
      <c r="JON9" s="1"/>
      <c r="JOO9" s="1"/>
      <c r="JOP9" s="1"/>
      <c r="JOQ9" s="1"/>
      <c r="JOR9" s="1"/>
      <c r="JOS9" s="1"/>
      <c r="JOT9" s="1"/>
      <c r="JOU9" s="1"/>
      <c r="JOV9" s="1"/>
      <c r="JOW9" s="1"/>
      <c r="JOX9" s="1"/>
      <c r="JOY9" s="1"/>
      <c r="JOZ9" s="1"/>
      <c r="JPA9" s="1"/>
      <c r="JPB9" s="1"/>
      <c r="JPC9" s="1"/>
      <c r="JPD9" s="1"/>
      <c r="JPE9" s="1"/>
      <c r="JPF9" s="1"/>
      <c r="JPG9" s="1"/>
      <c r="JPH9" s="1"/>
      <c r="JPI9" s="1"/>
      <c r="JPJ9" s="1"/>
      <c r="JPK9" s="1"/>
      <c r="JPL9" s="1"/>
      <c r="JPM9" s="1"/>
      <c r="JPN9" s="1"/>
      <c r="JPO9" s="1"/>
      <c r="JPP9" s="1"/>
      <c r="JPQ9" s="1"/>
      <c r="JPR9" s="1"/>
      <c r="JPS9" s="1"/>
      <c r="JPT9" s="1"/>
      <c r="JPU9" s="1"/>
      <c r="JPV9" s="1"/>
      <c r="JPW9" s="1"/>
      <c r="JPX9" s="1"/>
      <c r="JPY9" s="1"/>
      <c r="JPZ9" s="1"/>
      <c r="JQA9" s="1"/>
      <c r="JQB9" s="1"/>
      <c r="JQC9" s="1"/>
      <c r="JQD9" s="1"/>
      <c r="JQE9" s="1"/>
      <c r="JQF9" s="1"/>
      <c r="JQG9" s="1"/>
      <c r="JQH9" s="1"/>
      <c r="JQI9" s="1"/>
      <c r="JQJ9" s="1"/>
      <c r="JQK9" s="1"/>
      <c r="JQL9" s="1"/>
      <c r="JQM9" s="1"/>
      <c r="JQN9" s="1"/>
      <c r="JQO9" s="1"/>
      <c r="JQP9" s="1"/>
      <c r="JQQ9" s="1"/>
      <c r="JQR9" s="1"/>
      <c r="JQS9" s="1"/>
      <c r="JQT9" s="1"/>
      <c r="JQU9" s="1"/>
      <c r="JQV9" s="1"/>
      <c r="JQW9" s="1"/>
      <c r="JQX9" s="1"/>
      <c r="JQY9" s="1"/>
      <c r="JQZ9" s="1"/>
      <c r="JRA9" s="1"/>
      <c r="JRB9" s="1"/>
      <c r="JRC9" s="1"/>
      <c r="JRD9" s="1"/>
      <c r="JRE9" s="1"/>
      <c r="JRF9" s="1"/>
      <c r="JRG9" s="1"/>
      <c r="JRH9" s="1"/>
      <c r="JRI9" s="1"/>
      <c r="JRJ9" s="1"/>
      <c r="JRK9" s="1"/>
      <c r="JRL9" s="1"/>
      <c r="JRM9" s="1"/>
      <c r="JRN9" s="1"/>
      <c r="JRO9" s="1"/>
      <c r="JRP9" s="1"/>
      <c r="JRQ9" s="1"/>
      <c r="JRR9" s="1"/>
      <c r="JRS9" s="1"/>
      <c r="JRT9" s="1"/>
      <c r="JRU9" s="1"/>
      <c r="JRV9" s="1"/>
      <c r="JRW9" s="1"/>
      <c r="JRX9" s="1"/>
      <c r="JRY9" s="1"/>
      <c r="JRZ9" s="1"/>
      <c r="JSA9" s="1"/>
      <c r="JSB9" s="1"/>
      <c r="JSC9" s="1"/>
      <c r="JSD9" s="1"/>
      <c r="JSE9" s="1"/>
      <c r="JSF9" s="1"/>
      <c r="JSG9" s="1"/>
      <c r="JSH9" s="1"/>
      <c r="JSI9" s="1"/>
      <c r="JSJ9" s="1"/>
      <c r="JSK9" s="1"/>
      <c r="JSL9" s="1"/>
      <c r="JSM9" s="1"/>
      <c r="JSN9" s="1"/>
      <c r="JSO9" s="1"/>
      <c r="JSP9" s="1"/>
      <c r="JSQ9" s="1"/>
      <c r="JSR9" s="1"/>
      <c r="JSS9" s="1"/>
      <c r="JST9" s="1"/>
      <c r="JSU9" s="1"/>
      <c r="JSV9" s="1"/>
      <c r="JSW9" s="1"/>
      <c r="JSX9" s="1"/>
      <c r="JSY9" s="1"/>
      <c r="JSZ9" s="1"/>
      <c r="JTA9" s="1"/>
      <c r="JTB9" s="1"/>
      <c r="JTC9" s="1"/>
      <c r="JTD9" s="1"/>
      <c r="JTE9" s="1"/>
      <c r="JTF9" s="1"/>
      <c r="JTG9" s="1"/>
      <c r="JTH9" s="1"/>
      <c r="JTI9" s="1"/>
      <c r="JTJ9" s="1"/>
      <c r="JTK9" s="1"/>
      <c r="JTL9" s="1"/>
      <c r="JTM9" s="1"/>
      <c r="JTN9" s="1"/>
      <c r="JTO9" s="1"/>
      <c r="JTP9" s="1"/>
      <c r="JTQ9" s="1"/>
      <c r="JTR9" s="1"/>
      <c r="JTS9" s="1"/>
      <c r="JTT9" s="1"/>
      <c r="JTU9" s="1"/>
      <c r="JTV9" s="1"/>
      <c r="JTW9" s="1"/>
      <c r="JTX9" s="1"/>
      <c r="JTY9" s="1"/>
      <c r="JTZ9" s="1"/>
      <c r="JUA9" s="1"/>
      <c r="JUB9" s="1"/>
      <c r="JUC9" s="1"/>
      <c r="JUD9" s="1"/>
      <c r="JUE9" s="1"/>
      <c r="JUF9" s="1"/>
      <c r="JUG9" s="1"/>
      <c r="JUH9" s="1"/>
      <c r="JUI9" s="1"/>
      <c r="JUJ9" s="1"/>
      <c r="JUK9" s="1"/>
      <c r="JUL9" s="1"/>
      <c r="JUM9" s="1"/>
      <c r="JUN9" s="1"/>
      <c r="JUO9" s="1"/>
      <c r="JUP9" s="1"/>
      <c r="JUQ9" s="1"/>
      <c r="JUR9" s="1"/>
      <c r="JUS9" s="1"/>
      <c r="JUT9" s="1"/>
      <c r="JUU9" s="1"/>
      <c r="JUV9" s="1"/>
      <c r="JUW9" s="1"/>
      <c r="JUX9" s="1"/>
      <c r="JUY9" s="1"/>
      <c r="JUZ9" s="1"/>
      <c r="JVA9" s="1"/>
      <c r="JVB9" s="1"/>
      <c r="JVC9" s="1"/>
      <c r="JVD9" s="1"/>
      <c r="JVE9" s="1"/>
      <c r="JVF9" s="1"/>
      <c r="JVG9" s="1"/>
      <c r="JVH9" s="1"/>
      <c r="JVI9" s="1"/>
      <c r="JVJ9" s="1"/>
      <c r="JVK9" s="1"/>
      <c r="JVL9" s="1"/>
      <c r="JVM9" s="1"/>
      <c r="JVN9" s="1"/>
      <c r="JVO9" s="1"/>
      <c r="JVP9" s="1"/>
      <c r="JVQ9" s="1"/>
      <c r="JVR9" s="1"/>
      <c r="JVS9" s="1"/>
      <c r="JVT9" s="1"/>
      <c r="JVU9" s="1"/>
      <c r="JVV9" s="1"/>
      <c r="JVW9" s="1"/>
      <c r="JVX9" s="1"/>
      <c r="JVY9" s="1"/>
      <c r="JVZ9" s="1"/>
      <c r="JWA9" s="1"/>
      <c r="JWB9" s="1"/>
      <c r="JWC9" s="1"/>
      <c r="JWD9" s="1"/>
      <c r="JWE9" s="1"/>
      <c r="JWF9" s="1"/>
      <c r="JWG9" s="1"/>
      <c r="JWH9" s="1"/>
      <c r="JWI9" s="1"/>
      <c r="JWJ9" s="1"/>
      <c r="JWK9" s="1"/>
      <c r="JWL9" s="1"/>
      <c r="JWM9" s="1"/>
      <c r="JWN9" s="1"/>
      <c r="JWO9" s="1"/>
      <c r="JWP9" s="1"/>
      <c r="JWQ9" s="1"/>
      <c r="JWR9" s="1"/>
      <c r="JWS9" s="1"/>
      <c r="JWT9" s="1"/>
      <c r="JWU9" s="1"/>
      <c r="JWV9" s="1"/>
      <c r="JWW9" s="1"/>
      <c r="JWX9" s="1"/>
      <c r="JWY9" s="1"/>
      <c r="JWZ9" s="1"/>
      <c r="JXA9" s="1"/>
      <c r="JXB9" s="1"/>
      <c r="JXC9" s="1"/>
      <c r="JXD9" s="1"/>
      <c r="JXE9" s="1"/>
      <c r="JXF9" s="1"/>
      <c r="JXG9" s="1"/>
      <c r="JXH9" s="1"/>
      <c r="JXI9" s="1"/>
      <c r="JXJ9" s="1"/>
      <c r="JXK9" s="1"/>
      <c r="JXL9" s="1"/>
      <c r="JXM9" s="1"/>
      <c r="JXN9" s="1"/>
      <c r="JXO9" s="1"/>
      <c r="JXP9" s="1"/>
      <c r="JXQ9" s="1"/>
      <c r="JXR9" s="1"/>
      <c r="JXS9" s="1"/>
      <c r="JXT9" s="1"/>
      <c r="JXU9" s="1"/>
      <c r="JXV9" s="1"/>
      <c r="JXW9" s="1"/>
      <c r="JXX9" s="1"/>
      <c r="JXY9" s="1"/>
      <c r="JXZ9" s="1"/>
      <c r="JYA9" s="1"/>
      <c r="JYB9" s="1"/>
      <c r="JYC9" s="1"/>
      <c r="JYD9" s="1"/>
      <c r="JYE9" s="1"/>
      <c r="JYF9" s="1"/>
      <c r="JYG9" s="1"/>
      <c r="JYH9" s="1"/>
      <c r="JYI9" s="1"/>
      <c r="JYJ9" s="1"/>
      <c r="JYK9" s="1"/>
      <c r="JYL9" s="1"/>
      <c r="JYM9" s="1"/>
      <c r="JYN9" s="1"/>
      <c r="JYO9" s="1"/>
      <c r="JYP9" s="1"/>
      <c r="JYQ9" s="1"/>
      <c r="JYR9" s="1"/>
      <c r="JYS9" s="1"/>
      <c r="JYT9" s="1"/>
      <c r="JYU9" s="1"/>
      <c r="JYV9" s="1"/>
      <c r="JYW9" s="1"/>
      <c r="JYX9" s="1"/>
      <c r="JYY9" s="1"/>
      <c r="JYZ9" s="1"/>
      <c r="JZA9" s="1"/>
      <c r="JZB9" s="1"/>
      <c r="JZC9" s="1"/>
      <c r="JZD9" s="1"/>
      <c r="JZE9" s="1"/>
      <c r="JZF9" s="1"/>
      <c r="JZG9" s="1"/>
      <c r="JZH9" s="1"/>
      <c r="JZI9" s="1"/>
      <c r="JZJ9" s="1"/>
      <c r="JZK9" s="1"/>
      <c r="JZL9" s="1"/>
      <c r="JZM9" s="1"/>
      <c r="JZN9" s="1"/>
      <c r="JZO9" s="1"/>
      <c r="JZP9" s="1"/>
      <c r="JZQ9" s="1"/>
      <c r="JZR9" s="1"/>
      <c r="JZS9" s="1"/>
      <c r="JZT9" s="1"/>
      <c r="JZU9" s="1"/>
      <c r="JZV9" s="1"/>
      <c r="JZW9" s="1"/>
      <c r="JZX9" s="1"/>
      <c r="JZY9" s="1"/>
      <c r="JZZ9" s="1"/>
      <c r="KAA9" s="1"/>
      <c r="KAB9" s="1"/>
      <c r="KAC9" s="1"/>
      <c r="KAD9" s="1"/>
      <c r="KAE9" s="1"/>
      <c r="KAF9" s="1"/>
      <c r="KAG9" s="1"/>
      <c r="KAH9" s="1"/>
      <c r="KAI9" s="1"/>
      <c r="KAJ9" s="1"/>
      <c r="KAK9" s="1"/>
      <c r="KAL9" s="1"/>
      <c r="KAM9" s="1"/>
      <c r="KAN9" s="1"/>
      <c r="KAO9" s="1"/>
      <c r="KAP9" s="1"/>
      <c r="KAQ9" s="1"/>
      <c r="KAR9" s="1"/>
      <c r="KAS9" s="1"/>
      <c r="KAT9" s="1"/>
      <c r="KAU9" s="1"/>
      <c r="KAV9" s="1"/>
      <c r="KAW9" s="1"/>
      <c r="KAX9" s="1"/>
      <c r="KAY9" s="1"/>
      <c r="KAZ9" s="1"/>
      <c r="KBA9" s="1"/>
      <c r="KBB9" s="1"/>
      <c r="KBC9" s="1"/>
      <c r="KBD9" s="1"/>
      <c r="KBE9" s="1"/>
      <c r="KBF9" s="1"/>
      <c r="KBG9" s="1"/>
      <c r="KBH9" s="1"/>
      <c r="KBI9" s="1"/>
      <c r="KBJ9" s="1"/>
      <c r="KBK9" s="1"/>
      <c r="KBL9" s="1"/>
      <c r="KBM9" s="1"/>
      <c r="KBN9" s="1"/>
      <c r="KBO9" s="1"/>
      <c r="KBP9" s="1"/>
      <c r="KBQ9" s="1"/>
      <c r="KBR9" s="1"/>
      <c r="KBS9" s="1"/>
      <c r="KBT9" s="1"/>
      <c r="KBU9" s="1"/>
      <c r="KBV9" s="1"/>
      <c r="KBW9" s="1"/>
      <c r="KBX9" s="1"/>
      <c r="KBY9" s="1"/>
      <c r="KBZ9" s="1"/>
      <c r="KCA9" s="1"/>
      <c r="KCB9" s="1"/>
      <c r="KCC9" s="1"/>
      <c r="KCD9" s="1"/>
      <c r="KCE9" s="1"/>
      <c r="KCF9" s="1"/>
      <c r="KCG9" s="1"/>
      <c r="KCH9" s="1"/>
      <c r="KCI9" s="1"/>
      <c r="KCJ9" s="1"/>
      <c r="KCK9" s="1"/>
      <c r="KCL9" s="1"/>
      <c r="KCM9" s="1"/>
      <c r="KCN9" s="1"/>
      <c r="KCO9" s="1"/>
      <c r="KCP9" s="1"/>
      <c r="KCQ9" s="1"/>
      <c r="KCR9" s="1"/>
      <c r="KCS9" s="1"/>
      <c r="KCT9" s="1"/>
      <c r="KCU9" s="1"/>
      <c r="KCV9" s="1"/>
      <c r="KCW9" s="1"/>
      <c r="KCX9" s="1"/>
      <c r="KCY9" s="1"/>
      <c r="KCZ9" s="1"/>
      <c r="KDA9" s="1"/>
      <c r="KDB9" s="1"/>
      <c r="KDC9" s="1"/>
      <c r="KDD9" s="1"/>
      <c r="KDE9" s="1"/>
      <c r="KDF9" s="1"/>
      <c r="KDG9" s="1"/>
      <c r="KDH9" s="1"/>
      <c r="KDI9" s="1"/>
      <c r="KDJ9" s="1"/>
      <c r="KDK9" s="1"/>
      <c r="KDL9" s="1"/>
      <c r="KDM9" s="1"/>
      <c r="KDN9" s="1"/>
      <c r="KDO9" s="1"/>
      <c r="KDP9" s="1"/>
      <c r="KDQ9" s="1"/>
      <c r="KDR9" s="1"/>
      <c r="KDS9" s="1"/>
      <c r="KDT9" s="1"/>
      <c r="KDU9" s="1"/>
      <c r="KDV9" s="1"/>
      <c r="KDW9" s="1"/>
      <c r="KDX9" s="1"/>
      <c r="KDY9" s="1"/>
      <c r="KDZ9" s="1"/>
      <c r="KEA9" s="1"/>
      <c r="KEB9" s="1"/>
      <c r="KEC9" s="1"/>
      <c r="KED9" s="1"/>
      <c r="KEE9" s="1"/>
      <c r="KEF9" s="1"/>
      <c r="KEG9" s="1"/>
      <c r="KEH9" s="1"/>
      <c r="KEI9" s="1"/>
      <c r="KEJ9" s="1"/>
      <c r="KEK9" s="1"/>
      <c r="KEL9" s="1"/>
      <c r="KEM9" s="1"/>
      <c r="KEN9" s="1"/>
      <c r="KEO9" s="1"/>
      <c r="KEP9" s="1"/>
      <c r="KEQ9" s="1"/>
      <c r="KER9" s="1"/>
      <c r="KES9" s="1"/>
      <c r="KET9" s="1"/>
      <c r="KEU9" s="1"/>
      <c r="KEV9" s="1"/>
      <c r="KEW9" s="1"/>
      <c r="KEX9" s="1"/>
      <c r="KEY9" s="1"/>
      <c r="KEZ9" s="1"/>
      <c r="KFA9" s="1"/>
      <c r="KFB9" s="1"/>
      <c r="KFC9" s="1"/>
      <c r="KFD9" s="1"/>
      <c r="KFE9" s="1"/>
      <c r="KFF9" s="1"/>
      <c r="KFG9" s="1"/>
      <c r="KFH9" s="1"/>
      <c r="KFI9" s="1"/>
      <c r="KFJ9" s="1"/>
      <c r="KFK9" s="1"/>
      <c r="KFL9" s="1"/>
      <c r="KFM9" s="1"/>
      <c r="KFN9" s="1"/>
      <c r="KFO9" s="1"/>
      <c r="KFP9" s="1"/>
      <c r="KFQ9" s="1"/>
      <c r="KFR9" s="1"/>
      <c r="KFS9" s="1"/>
      <c r="KFT9" s="1"/>
      <c r="KFU9" s="1"/>
      <c r="KFV9" s="1"/>
      <c r="KFW9" s="1"/>
      <c r="KFX9" s="1"/>
      <c r="KFY9" s="1"/>
      <c r="KFZ9" s="1"/>
      <c r="KGA9" s="1"/>
      <c r="KGB9" s="1"/>
      <c r="KGC9" s="1"/>
      <c r="KGD9" s="1"/>
      <c r="KGE9" s="1"/>
      <c r="KGF9" s="1"/>
      <c r="KGG9" s="1"/>
      <c r="KGH9" s="1"/>
      <c r="KGI9" s="1"/>
      <c r="KGJ9" s="1"/>
      <c r="KGK9" s="1"/>
      <c r="KGL9" s="1"/>
      <c r="KGM9" s="1"/>
      <c r="KGN9" s="1"/>
      <c r="KGO9" s="1"/>
      <c r="KGP9" s="1"/>
      <c r="KGQ9" s="1"/>
      <c r="KGR9" s="1"/>
      <c r="KGS9" s="1"/>
      <c r="KGT9" s="1"/>
      <c r="KGU9" s="1"/>
      <c r="KGV9" s="1"/>
      <c r="KGW9" s="1"/>
      <c r="KGX9" s="1"/>
      <c r="KGY9" s="1"/>
      <c r="KGZ9" s="1"/>
      <c r="KHA9" s="1"/>
      <c r="KHB9" s="1"/>
      <c r="KHC9" s="1"/>
      <c r="KHD9" s="1"/>
      <c r="KHE9" s="1"/>
      <c r="KHF9" s="1"/>
      <c r="KHG9" s="1"/>
      <c r="KHH9" s="1"/>
      <c r="KHI9" s="1"/>
      <c r="KHJ9" s="1"/>
      <c r="KHK9" s="1"/>
      <c r="KHL9" s="1"/>
      <c r="KHM9" s="1"/>
      <c r="KHN9" s="1"/>
      <c r="KHO9" s="1"/>
      <c r="KHP9" s="1"/>
      <c r="KHQ9" s="1"/>
      <c r="KHR9" s="1"/>
      <c r="KHS9" s="1"/>
      <c r="KHT9" s="1"/>
      <c r="KHU9" s="1"/>
      <c r="KHV9" s="1"/>
      <c r="KHW9" s="1"/>
      <c r="KHX9" s="1"/>
      <c r="KHY9" s="1"/>
      <c r="KHZ9" s="1"/>
      <c r="KIA9" s="1"/>
      <c r="KIB9" s="1"/>
      <c r="KIC9" s="1"/>
      <c r="KID9" s="1"/>
      <c r="KIE9" s="1"/>
      <c r="KIF9" s="1"/>
      <c r="KIG9" s="1"/>
      <c r="KIH9" s="1"/>
      <c r="KII9" s="1"/>
      <c r="KIJ9" s="1"/>
      <c r="KIK9" s="1"/>
      <c r="KIL9" s="1"/>
      <c r="KIM9" s="1"/>
      <c r="KIN9" s="1"/>
      <c r="KIO9" s="1"/>
      <c r="KIP9" s="1"/>
      <c r="KIQ9" s="1"/>
      <c r="KIR9" s="1"/>
      <c r="KIS9" s="1"/>
      <c r="KIT9" s="1"/>
      <c r="KIU9" s="1"/>
      <c r="KIV9" s="1"/>
      <c r="KIW9" s="1"/>
      <c r="KIX9" s="1"/>
      <c r="KIY9" s="1"/>
      <c r="KIZ9" s="1"/>
      <c r="KJA9" s="1"/>
      <c r="KJB9" s="1"/>
      <c r="KJC9" s="1"/>
      <c r="KJD9" s="1"/>
      <c r="KJE9" s="1"/>
      <c r="KJF9" s="1"/>
      <c r="KJG9" s="1"/>
      <c r="KJH9" s="1"/>
      <c r="KJI9" s="1"/>
      <c r="KJJ9" s="1"/>
      <c r="KJK9" s="1"/>
      <c r="KJL9" s="1"/>
      <c r="KJM9" s="1"/>
      <c r="KJN9" s="1"/>
      <c r="KJO9" s="1"/>
      <c r="KJP9" s="1"/>
      <c r="KJQ9" s="1"/>
      <c r="KJR9" s="1"/>
      <c r="KJS9" s="1"/>
      <c r="KJT9" s="1"/>
      <c r="KJU9" s="1"/>
      <c r="KJV9" s="1"/>
      <c r="KJW9" s="1"/>
      <c r="KJX9" s="1"/>
      <c r="KJY9" s="1"/>
      <c r="KJZ9" s="1"/>
      <c r="KKA9" s="1"/>
      <c r="KKB9" s="1"/>
      <c r="KKC9" s="1"/>
      <c r="KKD9" s="1"/>
      <c r="KKE9" s="1"/>
      <c r="KKF9" s="1"/>
      <c r="KKG9" s="1"/>
      <c r="KKH9" s="1"/>
      <c r="KKI9" s="1"/>
      <c r="KKJ9" s="1"/>
      <c r="KKK9" s="1"/>
      <c r="KKL9" s="1"/>
      <c r="KKM9" s="1"/>
      <c r="KKN9" s="1"/>
      <c r="KKO9" s="1"/>
      <c r="KKP9" s="1"/>
      <c r="KKQ9" s="1"/>
      <c r="KKR9" s="1"/>
      <c r="KKS9" s="1"/>
      <c r="KKT9" s="1"/>
      <c r="KKU9" s="1"/>
      <c r="KKV9" s="1"/>
      <c r="KKW9" s="1"/>
      <c r="KKX9" s="1"/>
      <c r="KKY9" s="1"/>
      <c r="KKZ9" s="1"/>
      <c r="KLA9" s="1"/>
      <c r="KLB9" s="1"/>
      <c r="KLC9" s="1"/>
      <c r="KLD9" s="1"/>
      <c r="KLE9" s="1"/>
      <c r="KLF9" s="1"/>
      <c r="KLG9" s="1"/>
      <c r="KLH9" s="1"/>
      <c r="KLI9" s="1"/>
      <c r="KLJ9" s="1"/>
      <c r="KLK9" s="1"/>
      <c r="KLL9" s="1"/>
      <c r="KLM9" s="1"/>
      <c r="KLN9" s="1"/>
      <c r="KLO9" s="1"/>
      <c r="KLP9" s="1"/>
      <c r="KLQ9" s="1"/>
      <c r="KLR9" s="1"/>
      <c r="KLS9" s="1"/>
      <c r="KLT9" s="1"/>
      <c r="KLU9" s="1"/>
      <c r="KLV9" s="1"/>
      <c r="KLW9" s="1"/>
      <c r="KLX9" s="1"/>
      <c r="KLY9" s="1"/>
      <c r="KLZ9" s="1"/>
      <c r="KMA9" s="1"/>
      <c r="KMB9" s="1"/>
      <c r="KMC9" s="1"/>
      <c r="KMD9" s="1"/>
      <c r="KME9" s="1"/>
      <c r="KMF9" s="1"/>
      <c r="KMG9" s="1"/>
      <c r="KMH9" s="1"/>
      <c r="KMI9" s="1"/>
      <c r="KMJ9" s="1"/>
      <c r="KMK9" s="1"/>
      <c r="KML9" s="1"/>
      <c r="KMM9" s="1"/>
      <c r="KMN9" s="1"/>
      <c r="KMO9" s="1"/>
      <c r="KMP9" s="1"/>
      <c r="KMQ9" s="1"/>
      <c r="KMR9" s="1"/>
      <c r="KMS9" s="1"/>
      <c r="KMT9" s="1"/>
      <c r="KMU9" s="1"/>
      <c r="KMV9" s="1"/>
      <c r="KMW9" s="1"/>
      <c r="KMX9" s="1"/>
      <c r="KMY9" s="1"/>
      <c r="KMZ9" s="1"/>
      <c r="KNA9" s="1"/>
      <c r="KNB9" s="1"/>
      <c r="KNC9" s="1"/>
      <c r="KND9" s="1"/>
      <c r="KNE9" s="1"/>
      <c r="KNF9" s="1"/>
      <c r="KNG9" s="1"/>
      <c r="KNH9" s="1"/>
      <c r="KNI9" s="1"/>
      <c r="KNJ9" s="1"/>
      <c r="KNK9" s="1"/>
      <c r="KNL9" s="1"/>
      <c r="KNM9" s="1"/>
      <c r="KNN9" s="1"/>
      <c r="KNO9" s="1"/>
      <c r="KNP9" s="1"/>
      <c r="KNQ9" s="1"/>
      <c r="KNR9" s="1"/>
      <c r="KNS9" s="1"/>
      <c r="KNT9" s="1"/>
      <c r="KNU9" s="1"/>
      <c r="KNV9" s="1"/>
      <c r="KNW9" s="1"/>
      <c r="KNX9" s="1"/>
      <c r="KNY9" s="1"/>
      <c r="KNZ9" s="1"/>
      <c r="KOA9" s="1"/>
      <c r="KOB9" s="1"/>
      <c r="KOC9" s="1"/>
      <c r="KOD9" s="1"/>
      <c r="KOE9" s="1"/>
      <c r="KOF9" s="1"/>
      <c r="KOG9" s="1"/>
      <c r="KOH9" s="1"/>
      <c r="KOI9" s="1"/>
      <c r="KOJ9" s="1"/>
      <c r="KOK9" s="1"/>
      <c r="KOL9" s="1"/>
      <c r="KOM9" s="1"/>
      <c r="KON9" s="1"/>
      <c r="KOO9" s="1"/>
      <c r="KOP9" s="1"/>
      <c r="KOQ9" s="1"/>
      <c r="KOR9" s="1"/>
      <c r="KOS9" s="1"/>
      <c r="KOT9" s="1"/>
      <c r="KOU9" s="1"/>
      <c r="KOV9" s="1"/>
      <c r="KOW9" s="1"/>
      <c r="KOX9" s="1"/>
      <c r="KOY9" s="1"/>
      <c r="KOZ9" s="1"/>
      <c r="KPA9" s="1"/>
      <c r="KPB9" s="1"/>
      <c r="KPC9" s="1"/>
      <c r="KPD9" s="1"/>
      <c r="KPE9" s="1"/>
      <c r="KPF9" s="1"/>
      <c r="KPG9" s="1"/>
      <c r="KPH9" s="1"/>
      <c r="KPI9" s="1"/>
      <c r="KPJ9" s="1"/>
      <c r="KPK9" s="1"/>
      <c r="KPL9" s="1"/>
      <c r="KPM9" s="1"/>
      <c r="KPN9" s="1"/>
      <c r="KPO9" s="1"/>
      <c r="KPP9" s="1"/>
      <c r="KPQ9" s="1"/>
      <c r="KPR9" s="1"/>
      <c r="KPS9" s="1"/>
      <c r="KPT9" s="1"/>
      <c r="KPU9" s="1"/>
      <c r="KPV9" s="1"/>
      <c r="KPW9" s="1"/>
      <c r="KPX9" s="1"/>
      <c r="KPY9" s="1"/>
      <c r="KPZ9" s="1"/>
      <c r="KQA9" s="1"/>
      <c r="KQB9" s="1"/>
      <c r="KQC9" s="1"/>
      <c r="KQD9" s="1"/>
      <c r="KQE9" s="1"/>
      <c r="KQF9" s="1"/>
      <c r="KQG9" s="1"/>
      <c r="KQH9" s="1"/>
      <c r="KQI9" s="1"/>
      <c r="KQJ9" s="1"/>
      <c r="KQK9" s="1"/>
      <c r="KQL9" s="1"/>
      <c r="KQM9" s="1"/>
      <c r="KQN9" s="1"/>
      <c r="KQO9" s="1"/>
      <c r="KQP9" s="1"/>
      <c r="KQQ9" s="1"/>
      <c r="KQR9" s="1"/>
      <c r="KQS9" s="1"/>
      <c r="KQT9" s="1"/>
      <c r="KQU9" s="1"/>
      <c r="KQV9" s="1"/>
      <c r="KQW9" s="1"/>
      <c r="KQX9" s="1"/>
      <c r="KQY9" s="1"/>
      <c r="KQZ9" s="1"/>
      <c r="KRA9" s="1"/>
      <c r="KRB9" s="1"/>
      <c r="KRC9" s="1"/>
      <c r="KRD9" s="1"/>
      <c r="KRE9" s="1"/>
      <c r="KRF9" s="1"/>
      <c r="KRG9" s="1"/>
      <c r="KRH9" s="1"/>
      <c r="KRI9" s="1"/>
      <c r="KRJ9" s="1"/>
      <c r="KRK9" s="1"/>
      <c r="KRL9" s="1"/>
      <c r="KRM9" s="1"/>
      <c r="KRN9" s="1"/>
    </row>
    <row r="10" spans="1:7918" s="249" customFormat="1">
      <c r="A10" s="1">
        <f t="shared" si="0"/>
        <v>5</v>
      </c>
      <c r="B10" s="255" t="s">
        <v>678</v>
      </c>
      <c r="C10" s="192">
        <v>3300079021</v>
      </c>
      <c r="D10" s="1307" t="s">
        <v>678</v>
      </c>
      <c r="E10" s="145" t="str">
        <f>VLOOKUP(B10,distribucion!G$8:FP$153,2,0)</f>
        <v>Asistente de Reclutamiento</v>
      </c>
      <c r="F10" s="128">
        <f>ROUND((VLOOKUP($B10,ECONACIONAL!$C$5:$AC$219,4,0)),2)</f>
        <v>30</v>
      </c>
      <c r="G10" s="128">
        <f>ROUND((VLOOKUP($B10,ECONACIONAL!$C$7:$AC$219,6,0)),2)</f>
        <v>4725</v>
      </c>
      <c r="H10" s="128">
        <f>ROUND((VLOOKUP($B10,ECONACIONAL!$C$7:$AC$219,7,0)),2)</f>
        <v>1000</v>
      </c>
      <c r="I10" s="128">
        <f>ROUND((VLOOKUP($B10,ECONACIONAL!$C$7:$AC$219,9,0)),2)</f>
        <v>0</v>
      </c>
      <c r="J10" s="128">
        <f>ROUND((VLOOKUP($B10,ECONACIONAL!$C$7:$AC$219,10,0)),2)</f>
        <v>0</v>
      </c>
      <c r="K10" s="128">
        <f>ROUND((VLOOKUP($B10,ECONACIONAL!$C$7:$AC$219,11,0)),2)</f>
        <v>0</v>
      </c>
      <c r="L10" s="128">
        <f>ROUND((VLOOKUP($B10,ECONACIONAL!$C$7:$AC$219,12,0)),2)</f>
        <v>0</v>
      </c>
      <c r="M10" s="128">
        <f>ROUND((VLOOKUP($B10,ECONACIONAL!$C$7:$AC$219,14,0)),2)</f>
        <v>0</v>
      </c>
      <c r="N10" s="128">
        <f>ROUND((VLOOKUP($B10,ECONACIONAL!$C$7:$AC$219,15,0)),2)</f>
        <v>5725</v>
      </c>
      <c r="O10" s="128">
        <f>ROUND((VLOOKUP($B10,ECONACIONAL!$C$7:$AC$219,16,0)),2)</f>
        <v>228.22</v>
      </c>
      <c r="P10" s="128">
        <f>ROUND((VLOOKUP($B10,ECONACIONAL!$C$7:$AC$219,17,0)),2)</f>
        <v>61.78</v>
      </c>
      <c r="Q10" s="128">
        <f>ROUND((VLOOKUP($B10,ECONACIONAL!$C$7:$AC$219,18,0)),2)</f>
        <v>0</v>
      </c>
      <c r="R10" s="128">
        <f>ROUND((VLOOKUP($B10,ECONACIONAL!$C$7:$AC$219,19,0)),2)</f>
        <v>0</v>
      </c>
      <c r="S10" s="128">
        <f>ROUND((VLOOKUP($B10,ECONACIONAL!$C$7:$AC$219,20,0)),2)</f>
        <v>313.43</v>
      </c>
      <c r="T10" s="128">
        <f>ROUND((VLOOKUP($B10,ECONACIONAL!$C$7:$AC$219,21,0)),2)</f>
        <v>0</v>
      </c>
      <c r="U10" s="128">
        <f>ROUND((VLOOKUP($B10,ECONACIONAL!$C$7:$AC$219,22,0)),2)</f>
        <v>445.5</v>
      </c>
      <c r="V10" s="128">
        <f>ROUND((VLOOKUP($B10,ECONACIONAL!$C$7:$AC$219,23,0)),2)</f>
        <v>82.5</v>
      </c>
      <c r="W10" s="128">
        <f>ROUND((VLOOKUP($B10,ECONACIONAL!$C$7:$AC$219,24,0)),2)</f>
        <v>1131.43</v>
      </c>
      <c r="X10" s="128">
        <f>ROUND((VLOOKUP($B10,ECONACIONAL!$C$7:$AC$219,25,0)),2)</f>
        <v>4593.57</v>
      </c>
      <c r="Y10" s="128">
        <f>ROUND((VLOOKUP($B10,ECONACIONAL!$C$7:$AC$219,26,0)),2)</f>
        <v>2502</v>
      </c>
      <c r="Z10" s="128">
        <f>ROUND((VLOOKUP($B10,ECONACIONAL!$C$7:$AC$219,27,0)),2)</f>
        <v>2091.5700000000002</v>
      </c>
      <c r="AA10" s="276">
        <v>0</v>
      </c>
      <c r="AB10" s="256" t="str">
        <f>+IFERROR(VLOOKUP(B10,#REF!,3,0),"")</f>
        <v/>
      </c>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c r="RV10" s="1"/>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c r="TO10" s="1"/>
      <c r="TP10" s="1"/>
      <c r="TQ10" s="1"/>
      <c r="TR10" s="1"/>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c r="UY10" s="1"/>
      <c r="UZ10" s="1"/>
      <c r="VA10" s="1"/>
      <c r="VB10" s="1"/>
      <c r="VC10" s="1"/>
      <c r="VD10" s="1"/>
      <c r="VE10" s="1"/>
      <c r="VF10" s="1"/>
      <c r="VG10" s="1"/>
      <c r="VH10" s="1"/>
      <c r="VI10" s="1"/>
      <c r="VJ10" s="1"/>
      <c r="VK10" s="1"/>
      <c r="VL10" s="1"/>
      <c r="VM10" s="1"/>
      <c r="VN10" s="1"/>
      <c r="VO10" s="1"/>
      <c r="VP10" s="1"/>
      <c r="VQ10" s="1"/>
      <c r="VR10" s="1"/>
      <c r="VS10" s="1"/>
      <c r="VT10" s="1"/>
      <c r="VU10" s="1"/>
      <c r="VV10" s="1"/>
      <c r="VW10" s="1"/>
      <c r="VX10" s="1"/>
      <c r="VY10" s="1"/>
      <c r="VZ10" s="1"/>
      <c r="WA10" s="1"/>
      <c r="WB10" s="1"/>
      <c r="WC10" s="1"/>
      <c r="WD10" s="1"/>
      <c r="WE10" s="1"/>
      <c r="WF10" s="1"/>
      <c r="WG10" s="1"/>
      <c r="WH10" s="1"/>
      <c r="WI10" s="1"/>
      <c r="WJ10" s="1"/>
      <c r="WK10" s="1"/>
      <c r="WL10" s="1"/>
      <c r="WM10" s="1"/>
      <c r="WN10" s="1"/>
      <c r="WO10" s="1"/>
      <c r="WP10" s="1"/>
      <c r="WQ10" s="1"/>
      <c r="WR10" s="1"/>
      <c r="WS10" s="1"/>
      <c r="WT10" s="1"/>
      <c r="WU10" s="1"/>
      <c r="WV10" s="1"/>
      <c r="WW10" s="1"/>
      <c r="WX10" s="1"/>
      <c r="WY10" s="1"/>
      <c r="WZ10" s="1"/>
      <c r="XA10" s="1"/>
      <c r="XB10" s="1"/>
      <c r="XC10" s="1"/>
      <c r="XD10" s="1"/>
      <c r="XE10" s="1"/>
      <c r="XF10" s="1"/>
      <c r="XG10" s="1"/>
      <c r="XH10" s="1"/>
      <c r="XI10" s="1"/>
      <c r="XJ10" s="1"/>
      <c r="XK10" s="1"/>
      <c r="XL10" s="1"/>
      <c r="XM10" s="1"/>
      <c r="XN10" s="1"/>
      <c r="XO10" s="1"/>
      <c r="XP10" s="1"/>
      <c r="XQ10" s="1"/>
      <c r="XR10" s="1"/>
      <c r="XS10" s="1"/>
      <c r="XT10" s="1"/>
      <c r="XU10" s="1"/>
      <c r="XV10" s="1"/>
      <c r="XW10" s="1"/>
      <c r="XX10" s="1"/>
      <c r="XY10" s="1"/>
      <c r="XZ10" s="1"/>
      <c r="YA10" s="1"/>
      <c r="YB10" s="1"/>
      <c r="YC10" s="1"/>
      <c r="YD10" s="1"/>
      <c r="YE10" s="1"/>
      <c r="YF10" s="1"/>
      <c r="YG10" s="1"/>
      <c r="YH10" s="1"/>
      <c r="YI10" s="1"/>
      <c r="YJ10" s="1"/>
      <c r="YK10" s="1"/>
      <c r="YL10" s="1"/>
      <c r="YM10" s="1"/>
      <c r="YN10" s="1"/>
      <c r="YO10" s="1"/>
      <c r="YP10" s="1"/>
      <c r="YQ10" s="1"/>
      <c r="YR10" s="1"/>
      <c r="YS10" s="1"/>
      <c r="YT10" s="1"/>
      <c r="YU10" s="1"/>
      <c r="YV10" s="1"/>
      <c r="YW10" s="1"/>
      <c r="YX10" s="1"/>
      <c r="YY10" s="1"/>
      <c r="YZ10" s="1"/>
      <c r="ZA10" s="1"/>
      <c r="ZB10" s="1"/>
      <c r="ZC10" s="1"/>
      <c r="ZD10" s="1"/>
      <c r="ZE10" s="1"/>
      <c r="ZF10" s="1"/>
      <c r="ZG10" s="1"/>
      <c r="ZH10" s="1"/>
      <c r="ZI10" s="1"/>
      <c r="ZJ10" s="1"/>
      <c r="ZK10" s="1"/>
      <c r="ZL10" s="1"/>
      <c r="ZM10" s="1"/>
      <c r="ZN10" s="1"/>
      <c r="ZO10" s="1"/>
      <c r="ZP10" s="1"/>
      <c r="ZQ10" s="1"/>
      <c r="ZR10" s="1"/>
      <c r="ZS10" s="1"/>
      <c r="ZT10" s="1"/>
      <c r="ZU10" s="1"/>
      <c r="ZV10" s="1"/>
      <c r="ZW10" s="1"/>
      <c r="ZX10" s="1"/>
      <c r="ZY10" s="1"/>
      <c r="ZZ10" s="1"/>
      <c r="AAA10" s="1"/>
      <c r="AAB10" s="1"/>
      <c r="AAC10" s="1"/>
      <c r="AAD10" s="1"/>
      <c r="AAE10" s="1"/>
      <c r="AAF10" s="1"/>
      <c r="AAG10" s="1"/>
      <c r="AAH10" s="1"/>
      <c r="AAI10" s="1"/>
      <c r="AAJ10" s="1"/>
      <c r="AAK10" s="1"/>
      <c r="AAL10" s="1"/>
      <c r="AAM10" s="1"/>
      <c r="AAN10" s="1"/>
      <c r="AAO10" s="1"/>
      <c r="AAP10" s="1"/>
      <c r="AAQ10" s="1"/>
      <c r="AAR10" s="1"/>
      <c r="AAS10" s="1"/>
      <c r="AAT10" s="1"/>
      <c r="AAU10" s="1"/>
      <c r="AAV10" s="1"/>
      <c r="AAW10" s="1"/>
      <c r="AAX10" s="1"/>
      <c r="AAY10" s="1"/>
      <c r="AAZ10" s="1"/>
      <c r="ABA10" s="1"/>
      <c r="ABB10" s="1"/>
      <c r="ABC10" s="1"/>
      <c r="ABD10" s="1"/>
      <c r="ABE10" s="1"/>
      <c r="ABF10" s="1"/>
      <c r="ABG10" s="1"/>
      <c r="ABH10" s="1"/>
      <c r="ABI10" s="1"/>
      <c r="ABJ10" s="1"/>
      <c r="ABK10" s="1"/>
      <c r="ABL10" s="1"/>
      <c r="ABM10" s="1"/>
      <c r="ABN10" s="1"/>
      <c r="ABO10" s="1"/>
      <c r="ABP10" s="1"/>
      <c r="ABQ10" s="1"/>
      <c r="ABR10" s="1"/>
      <c r="ABS10" s="1"/>
      <c r="ABT10" s="1"/>
      <c r="ABU10" s="1"/>
      <c r="ABV10" s="1"/>
      <c r="ABW10" s="1"/>
      <c r="ABX10" s="1"/>
      <c r="ABY10" s="1"/>
      <c r="ABZ10" s="1"/>
      <c r="ACA10" s="1"/>
      <c r="ACB10" s="1"/>
      <c r="ACC10" s="1"/>
      <c r="ACD10" s="1"/>
      <c r="ACE10" s="1"/>
      <c r="ACF10" s="1"/>
      <c r="ACG10" s="1"/>
      <c r="ACH10" s="1"/>
      <c r="ACI10" s="1"/>
      <c r="ACJ10" s="1"/>
      <c r="ACK10" s="1"/>
      <c r="ACL10" s="1"/>
      <c r="ACM10" s="1"/>
      <c r="ACN10" s="1"/>
      <c r="ACO10" s="1"/>
      <c r="ACP10" s="1"/>
      <c r="ACQ10" s="1"/>
      <c r="ACR10" s="1"/>
      <c r="ACS10" s="1"/>
      <c r="ACT10" s="1"/>
      <c r="ACU10" s="1"/>
      <c r="ACV10" s="1"/>
      <c r="ACW10" s="1"/>
      <c r="ACX10" s="1"/>
      <c r="ACY10" s="1"/>
      <c r="ACZ10" s="1"/>
      <c r="ADA10" s="1"/>
      <c r="ADB10" s="1"/>
      <c r="ADC10" s="1"/>
      <c r="ADD10" s="1"/>
      <c r="ADE10" s="1"/>
      <c r="ADF10" s="1"/>
      <c r="ADG10" s="1"/>
      <c r="ADH10" s="1"/>
      <c r="ADI10" s="1"/>
      <c r="ADJ10" s="1"/>
      <c r="ADK10" s="1"/>
      <c r="ADL10" s="1"/>
      <c r="ADM10" s="1"/>
      <c r="ADN10" s="1"/>
      <c r="ADO10" s="1"/>
      <c r="ADP10" s="1"/>
      <c r="ADQ10" s="1"/>
      <c r="ADR10" s="1"/>
      <c r="ADS10" s="1"/>
      <c r="ADT10" s="1"/>
      <c r="ADU10" s="1"/>
      <c r="ADV10" s="1"/>
      <c r="ADW10" s="1"/>
      <c r="ADX10" s="1"/>
      <c r="ADY10" s="1"/>
      <c r="ADZ10" s="1"/>
      <c r="AEA10" s="1"/>
      <c r="AEB10" s="1"/>
      <c r="AEC10" s="1"/>
      <c r="AED10" s="1"/>
      <c r="AEE10" s="1"/>
      <c r="AEF10" s="1"/>
      <c r="AEG10" s="1"/>
      <c r="AEH10" s="1"/>
      <c r="AEI10" s="1"/>
      <c r="AEJ10" s="1"/>
      <c r="AEK10" s="1"/>
      <c r="AEL10" s="1"/>
      <c r="AEM10" s="1"/>
      <c r="AEN10" s="1"/>
      <c r="AEO10" s="1"/>
      <c r="AEP10" s="1"/>
      <c r="AEQ10" s="1"/>
      <c r="AER10" s="1"/>
      <c r="AES10" s="1"/>
      <c r="AET10" s="1"/>
      <c r="AEU10" s="1"/>
      <c r="AEV10" s="1"/>
      <c r="AEW10" s="1"/>
      <c r="AEX10" s="1"/>
      <c r="AEY10" s="1"/>
      <c r="AEZ10" s="1"/>
      <c r="AFA10" s="1"/>
      <c r="AFB10" s="1"/>
      <c r="AFC10" s="1"/>
      <c r="AFD10" s="1"/>
      <c r="AFE10" s="1"/>
      <c r="AFF10" s="1"/>
      <c r="AFG10" s="1"/>
      <c r="AFH10" s="1"/>
      <c r="AFI10" s="1"/>
      <c r="AFJ10" s="1"/>
      <c r="AFK10" s="1"/>
      <c r="AFL10" s="1"/>
      <c r="AFM10" s="1"/>
      <c r="AFN10" s="1"/>
      <c r="AFO10" s="1"/>
      <c r="AFP10" s="1"/>
      <c r="AFQ10" s="1"/>
      <c r="AFR10" s="1"/>
      <c r="AFS10" s="1"/>
      <c r="AFT10" s="1"/>
      <c r="AFU10" s="1"/>
      <c r="AFV10" s="1"/>
      <c r="AFW10" s="1"/>
      <c r="AFX10" s="1"/>
      <c r="AFY10" s="1"/>
      <c r="AFZ10" s="1"/>
      <c r="AGA10" s="1"/>
      <c r="AGB10" s="1"/>
      <c r="AGC10" s="1"/>
      <c r="AGD10" s="1"/>
      <c r="AGE10" s="1"/>
      <c r="AGF10" s="1"/>
      <c r="AGG10" s="1"/>
      <c r="AGH10" s="1"/>
      <c r="AGI10" s="1"/>
      <c r="AGJ10" s="1"/>
      <c r="AGK10" s="1"/>
      <c r="AGL10" s="1"/>
      <c r="AGM10" s="1"/>
      <c r="AGN10" s="1"/>
      <c r="AGO10" s="1"/>
      <c r="AGP10" s="1"/>
      <c r="AGQ10" s="1"/>
      <c r="AGR10" s="1"/>
      <c r="AGS10" s="1"/>
      <c r="AGT10" s="1"/>
      <c r="AGU10" s="1"/>
      <c r="AGV10" s="1"/>
      <c r="AGW10" s="1"/>
      <c r="AGX10" s="1"/>
      <c r="AGY10" s="1"/>
      <c r="AGZ10" s="1"/>
      <c r="AHA10" s="1"/>
      <c r="AHB10" s="1"/>
      <c r="AHC10" s="1"/>
      <c r="AHD10" s="1"/>
      <c r="AHE10" s="1"/>
      <c r="AHF10" s="1"/>
      <c r="AHG10" s="1"/>
      <c r="AHH10" s="1"/>
      <c r="AHI10" s="1"/>
      <c r="AHJ10" s="1"/>
      <c r="AHK10" s="1"/>
      <c r="AHL10" s="1"/>
      <c r="AHM10" s="1"/>
      <c r="AHN10" s="1"/>
      <c r="AHO10" s="1"/>
      <c r="AHP10" s="1"/>
      <c r="AHQ10" s="1"/>
      <c r="AHR10" s="1"/>
      <c r="AHS10" s="1"/>
      <c r="AHT10" s="1"/>
      <c r="AHU10" s="1"/>
      <c r="AHV10" s="1"/>
      <c r="AHW10" s="1"/>
      <c r="AHX10" s="1"/>
      <c r="AHY10" s="1"/>
      <c r="AHZ10" s="1"/>
      <c r="AIA10" s="1"/>
      <c r="AIB10" s="1"/>
      <c r="AIC10" s="1"/>
      <c r="AID10" s="1"/>
      <c r="AIE10" s="1"/>
      <c r="AIF10" s="1"/>
      <c r="AIG10" s="1"/>
      <c r="AIH10" s="1"/>
      <c r="AII10" s="1"/>
      <c r="AIJ10" s="1"/>
      <c r="AIK10" s="1"/>
      <c r="AIL10" s="1"/>
      <c r="AIM10" s="1"/>
      <c r="AIN10" s="1"/>
      <c r="AIO10" s="1"/>
      <c r="AIP10" s="1"/>
      <c r="AIQ10" s="1"/>
      <c r="AIR10" s="1"/>
      <c r="AIS10" s="1"/>
      <c r="AIT10" s="1"/>
      <c r="AIU10" s="1"/>
      <c r="AIV10" s="1"/>
      <c r="AIW10" s="1"/>
      <c r="AIX10" s="1"/>
      <c r="AIY10" s="1"/>
      <c r="AIZ10" s="1"/>
      <c r="AJA10" s="1"/>
      <c r="AJB10" s="1"/>
      <c r="AJC10" s="1"/>
      <c r="AJD10" s="1"/>
      <c r="AJE10" s="1"/>
      <c r="AJF10" s="1"/>
      <c r="AJG10" s="1"/>
      <c r="AJH10" s="1"/>
      <c r="AJI10" s="1"/>
      <c r="AJJ10" s="1"/>
      <c r="AJK10" s="1"/>
      <c r="AJL10" s="1"/>
      <c r="AJM10" s="1"/>
      <c r="AJN10" s="1"/>
      <c r="AJO10" s="1"/>
      <c r="AJP10" s="1"/>
      <c r="AJQ10" s="1"/>
      <c r="AJR10" s="1"/>
      <c r="AJS10" s="1"/>
      <c r="AJT10" s="1"/>
      <c r="AJU10" s="1"/>
      <c r="AJV10" s="1"/>
      <c r="AJW10" s="1"/>
      <c r="AJX10" s="1"/>
      <c r="AJY10" s="1"/>
      <c r="AJZ10" s="1"/>
      <c r="AKA10" s="1"/>
      <c r="AKB10" s="1"/>
      <c r="AKC10" s="1"/>
      <c r="AKD10" s="1"/>
      <c r="AKE10" s="1"/>
      <c r="AKF10" s="1"/>
      <c r="AKG10" s="1"/>
      <c r="AKH10" s="1"/>
      <c r="AKI10" s="1"/>
      <c r="AKJ10" s="1"/>
      <c r="AKK10" s="1"/>
      <c r="AKL10" s="1"/>
      <c r="AKM10" s="1"/>
      <c r="AKN10" s="1"/>
      <c r="AKO10" s="1"/>
      <c r="AKP10" s="1"/>
      <c r="AKQ10" s="1"/>
      <c r="AKR10" s="1"/>
      <c r="AKS10" s="1"/>
      <c r="AKT10" s="1"/>
      <c r="AKU10" s="1"/>
      <c r="AKV10" s="1"/>
      <c r="AKW10" s="1"/>
      <c r="AKX10" s="1"/>
      <c r="AKY10" s="1"/>
      <c r="AKZ10" s="1"/>
      <c r="ALA10" s="1"/>
      <c r="ALB10" s="1"/>
      <c r="ALC10" s="1"/>
      <c r="ALD10" s="1"/>
      <c r="ALE10" s="1"/>
      <c r="ALF10" s="1"/>
      <c r="ALG10" s="1"/>
      <c r="ALH10" s="1"/>
      <c r="ALI10" s="1"/>
      <c r="ALJ10" s="1"/>
      <c r="ALK10" s="1"/>
      <c r="ALL10" s="1"/>
      <c r="ALM10" s="1"/>
      <c r="ALN10" s="1"/>
      <c r="ALO10" s="1"/>
      <c r="ALP10" s="1"/>
      <c r="ALQ10" s="1"/>
      <c r="ALR10" s="1"/>
      <c r="ALS10" s="1"/>
      <c r="ALT10" s="1"/>
      <c r="ALU10" s="1"/>
      <c r="ALV10" s="1"/>
      <c r="ALW10" s="1"/>
      <c r="ALX10" s="1"/>
      <c r="ALY10" s="1"/>
      <c r="ALZ10" s="1"/>
      <c r="AMA10" s="1"/>
      <c r="AMB10" s="1"/>
      <c r="AMC10" s="1"/>
      <c r="AMD10" s="1"/>
      <c r="AME10" s="1"/>
      <c r="AMF10" s="1"/>
      <c r="AMG10" s="1"/>
      <c r="AMH10" s="1"/>
      <c r="AMI10" s="1"/>
      <c r="AMJ10" s="1"/>
      <c r="AMK10" s="1"/>
      <c r="AML10" s="1"/>
      <c r="AMM10" s="1"/>
      <c r="AMN10" s="1"/>
      <c r="AMO10" s="1"/>
      <c r="AMP10" s="1"/>
      <c r="AMQ10" s="1"/>
      <c r="AMR10" s="1"/>
      <c r="AMS10" s="1"/>
      <c r="AMT10" s="1"/>
      <c r="AMU10" s="1"/>
      <c r="AMV10" s="1"/>
      <c r="AMW10" s="1"/>
      <c r="AMX10" s="1"/>
      <c r="AMY10" s="1"/>
      <c r="AMZ10" s="1"/>
      <c r="ANA10" s="1"/>
      <c r="ANB10" s="1"/>
      <c r="ANC10" s="1"/>
      <c r="AND10" s="1"/>
      <c r="ANE10" s="1"/>
      <c r="ANF10" s="1"/>
      <c r="ANG10" s="1"/>
      <c r="ANH10" s="1"/>
      <c r="ANI10" s="1"/>
      <c r="ANJ10" s="1"/>
      <c r="ANK10" s="1"/>
      <c r="ANL10" s="1"/>
      <c r="ANM10" s="1"/>
      <c r="ANN10" s="1"/>
      <c r="ANO10" s="1"/>
      <c r="ANP10" s="1"/>
      <c r="ANQ10" s="1"/>
      <c r="ANR10" s="1"/>
      <c r="ANS10" s="1"/>
      <c r="ANT10" s="1"/>
      <c r="ANU10" s="1"/>
      <c r="ANV10" s="1"/>
      <c r="ANW10" s="1"/>
      <c r="ANX10" s="1"/>
      <c r="ANY10" s="1"/>
      <c r="ANZ10" s="1"/>
      <c r="AOA10" s="1"/>
      <c r="AOB10" s="1"/>
      <c r="AOC10" s="1"/>
      <c r="AOD10" s="1"/>
      <c r="AOE10" s="1"/>
      <c r="AOF10" s="1"/>
      <c r="AOG10" s="1"/>
      <c r="AOH10" s="1"/>
      <c r="AOI10" s="1"/>
      <c r="AOJ10" s="1"/>
      <c r="AOK10" s="1"/>
      <c r="AOL10" s="1"/>
      <c r="AOM10" s="1"/>
      <c r="AON10" s="1"/>
      <c r="AOO10" s="1"/>
      <c r="AOP10" s="1"/>
      <c r="AOQ10" s="1"/>
      <c r="AOR10" s="1"/>
      <c r="AOS10" s="1"/>
      <c r="AOT10" s="1"/>
      <c r="AOU10" s="1"/>
      <c r="AOV10" s="1"/>
      <c r="AOW10" s="1"/>
      <c r="AOX10" s="1"/>
      <c r="AOY10" s="1"/>
      <c r="AOZ10" s="1"/>
      <c r="APA10" s="1"/>
      <c r="APB10" s="1"/>
      <c r="APC10" s="1"/>
      <c r="APD10" s="1"/>
      <c r="APE10" s="1"/>
      <c r="APF10" s="1"/>
      <c r="APG10" s="1"/>
      <c r="APH10" s="1"/>
      <c r="API10" s="1"/>
      <c r="APJ10" s="1"/>
      <c r="APK10" s="1"/>
      <c r="APL10" s="1"/>
      <c r="APM10" s="1"/>
      <c r="APN10" s="1"/>
      <c r="APO10" s="1"/>
      <c r="APP10" s="1"/>
      <c r="APQ10" s="1"/>
      <c r="APR10" s="1"/>
      <c r="APS10" s="1"/>
      <c r="APT10" s="1"/>
      <c r="APU10" s="1"/>
      <c r="APV10" s="1"/>
      <c r="APW10" s="1"/>
      <c r="APX10" s="1"/>
      <c r="APY10" s="1"/>
      <c r="APZ10" s="1"/>
      <c r="AQA10" s="1"/>
      <c r="AQB10" s="1"/>
      <c r="AQC10" s="1"/>
      <c r="AQD10" s="1"/>
      <c r="AQE10" s="1"/>
      <c r="AQF10" s="1"/>
      <c r="AQG10" s="1"/>
      <c r="AQH10" s="1"/>
      <c r="AQI10" s="1"/>
      <c r="AQJ10" s="1"/>
      <c r="AQK10" s="1"/>
      <c r="AQL10" s="1"/>
      <c r="AQM10" s="1"/>
      <c r="AQN10" s="1"/>
      <c r="AQO10" s="1"/>
      <c r="AQP10" s="1"/>
      <c r="AQQ10" s="1"/>
      <c r="AQR10" s="1"/>
      <c r="AQS10" s="1"/>
      <c r="AQT10" s="1"/>
      <c r="AQU10" s="1"/>
      <c r="AQV10" s="1"/>
      <c r="AQW10" s="1"/>
      <c r="AQX10" s="1"/>
      <c r="AQY10" s="1"/>
      <c r="AQZ10" s="1"/>
      <c r="ARA10" s="1"/>
      <c r="ARB10" s="1"/>
      <c r="ARC10" s="1"/>
      <c r="ARD10" s="1"/>
      <c r="ARE10" s="1"/>
      <c r="ARF10" s="1"/>
      <c r="ARG10" s="1"/>
      <c r="ARH10" s="1"/>
      <c r="ARI10" s="1"/>
      <c r="ARJ10" s="1"/>
      <c r="ARK10" s="1"/>
      <c r="ARL10" s="1"/>
      <c r="ARM10" s="1"/>
      <c r="ARN10" s="1"/>
      <c r="ARO10" s="1"/>
      <c r="ARP10" s="1"/>
      <c r="ARQ10" s="1"/>
      <c r="ARR10" s="1"/>
      <c r="ARS10" s="1"/>
      <c r="ART10" s="1"/>
      <c r="ARU10" s="1"/>
      <c r="ARV10" s="1"/>
      <c r="ARW10" s="1"/>
      <c r="ARX10" s="1"/>
      <c r="ARY10" s="1"/>
      <c r="ARZ10" s="1"/>
      <c r="ASA10" s="1"/>
      <c r="ASB10" s="1"/>
      <c r="ASC10" s="1"/>
      <c r="ASD10" s="1"/>
      <c r="ASE10" s="1"/>
      <c r="ASF10" s="1"/>
      <c r="ASG10" s="1"/>
      <c r="ASH10" s="1"/>
      <c r="ASI10" s="1"/>
      <c r="ASJ10" s="1"/>
      <c r="ASK10" s="1"/>
      <c r="ASL10" s="1"/>
      <c r="ASM10" s="1"/>
      <c r="ASN10" s="1"/>
      <c r="ASO10" s="1"/>
      <c r="ASP10" s="1"/>
      <c r="ASQ10" s="1"/>
      <c r="ASR10" s="1"/>
      <c r="ASS10" s="1"/>
      <c r="AST10" s="1"/>
      <c r="ASU10" s="1"/>
      <c r="ASV10" s="1"/>
      <c r="ASW10" s="1"/>
      <c r="ASX10" s="1"/>
      <c r="ASY10" s="1"/>
      <c r="ASZ10" s="1"/>
      <c r="ATA10" s="1"/>
      <c r="ATB10" s="1"/>
      <c r="ATC10" s="1"/>
      <c r="ATD10" s="1"/>
      <c r="ATE10" s="1"/>
      <c r="ATF10" s="1"/>
      <c r="ATG10" s="1"/>
      <c r="ATH10" s="1"/>
      <c r="ATI10" s="1"/>
      <c r="ATJ10" s="1"/>
      <c r="ATK10" s="1"/>
      <c r="ATL10" s="1"/>
      <c r="ATM10" s="1"/>
      <c r="ATN10" s="1"/>
      <c r="ATO10" s="1"/>
      <c r="ATP10" s="1"/>
      <c r="ATQ10" s="1"/>
      <c r="ATR10" s="1"/>
      <c r="ATS10" s="1"/>
      <c r="ATT10" s="1"/>
      <c r="ATU10" s="1"/>
      <c r="ATV10" s="1"/>
      <c r="ATW10" s="1"/>
      <c r="ATX10" s="1"/>
      <c r="ATY10" s="1"/>
      <c r="ATZ10" s="1"/>
      <c r="AUA10" s="1"/>
      <c r="AUB10" s="1"/>
      <c r="AUC10" s="1"/>
      <c r="AUD10" s="1"/>
      <c r="AUE10" s="1"/>
      <c r="AUF10" s="1"/>
      <c r="AUG10" s="1"/>
      <c r="AUH10" s="1"/>
      <c r="AUI10" s="1"/>
      <c r="AUJ10" s="1"/>
      <c r="AUK10" s="1"/>
      <c r="AUL10" s="1"/>
      <c r="AUM10" s="1"/>
      <c r="AUN10" s="1"/>
      <c r="AUO10" s="1"/>
      <c r="AUP10" s="1"/>
      <c r="AUQ10" s="1"/>
      <c r="AUR10" s="1"/>
      <c r="AUS10" s="1"/>
      <c r="AUT10" s="1"/>
      <c r="AUU10" s="1"/>
      <c r="AUV10" s="1"/>
      <c r="AUW10" s="1"/>
      <c r="AUX10" s="1"/>
      <c r="AUY10" s="1"/>
      <c r="AUZ10" s="1"/>
      <c r="AVA10" s="1"/>
      <c r="AVB10" s="1"/>
      <c r="AVC10" s="1"/>
      <c r="AVD10" s="1"/>
      <c r="AVE10" s="1"/>
      <c r="AVF10" s="1"/>
      <c r="AVG10" s="1"/>
      <c r="AVH10" s="1"/>
      <c r="AVI10" s="1"/>
      <c r="AVJ10" s="1"/>
      <c r="AVK10" s="1"/>
      <c r="AVL10" s="1"/>
      <c r="AVM10" s="1"/>
      <c r="AVN10" s="1"/>
      <c r="AVO10" s="1"/>
      <c r="AVP10" s="1"/>
      <c r="AVQ10" s="1"/>
      <c r="AVR10" s="1"/>
      <c r="AVS10" s="1"/>
      <c r="AVT10" s="1"/>
      <c r="AVU10" s="1"/>
      <c r="AVV10" s="1"/>
      <c r="AVW10" s="1"/>
      <c r="AVX10" s="1"/>
      <c r="AVY10" s="1"/>
      <c r="AVZ10" s="1"/>
      <c r="AWA10" s="1"/>
      <c r="AWB10" s="1"/>
      <c r="AWC10" s="1"/>
      <c r="AWD10" s="1"/>
      <c r="AWE10" s="1"/>
      <c r="AWF10" s="1"/>
      <c r="AWG10" s="1"/>
      <c r="AWH10" s="1"/>
      <c r="AWI10" s="1"/>
      <c r="AWJ10" s="1"/>
      <c r="AWK10" s="1"/>
      <c r="AWL10" s="1"/>
      <c r="AWM10" s="1"/>
      <c r="AWN10" s="1"/>
      <c r="AWO10" s="1"/>
      <c r="AWP10" s="1"/>
      <c r="AWQ10" s="1"/>
      <c r="AWR10" s="1"/>
      <c r="AWS10" s="1"/>
      <c r="AWT10" s="1"/>
      <c r="AWU10" s="1"/>
      <c r="AWV10" s="1"/>
      <c r="AWW10" s="1"/>
      <c r="AWX10" s="1"/>
      <c r="AWY10" s="1"/>
      <c r="AWZ10" s="1"/>
      <c r="AXA10" s="1"/>
      <c r="AXB10" s="1"/>
      <c r="AXC10" s="1"/>
      <c r="AXD10" s="1"/>
      <c r="AXE10" s="1"/>
      <c r="AXF10" s="1"/>
      <c r="AXG10" s="1"/>
      <c r="AXH10" s="1"/>
      <c r="AXI10" s="1"/>
      <c r="AXJ10" s="1"/>
      <c r="AXK10" s="1"/>
      <c r="AXL10" s="1"/>
      <c r="AXM10" s="1"/>
      <c r="AXN10" s="1"/>
      <c r="AXO10" s="1"/>
      <c r="AXP10" s="1"/>
      <c r="AXQ10" s="1"/>
      <c r="AXR10" s="1"/>
      <c r="AXS10" s="1"/>
      <c r="AXT10" s="1"/>
      <c r="AXU10" s="1"/>
      <c r="AXV10" s="1"/>
      <c r="AXW10" s="1"/>
      <c r="AXX10" s="1"/>
      <c r="AXY10" s="1"/>
      <c r="AXZ10" s="1"/>
      <c r="AYA10" s="1"/>
      <c r="AYB10" s="1"/>
      <c r="AYC10" s="1"/>
      <c r="AYD10" s="1"/>
      <c r="AYE10" s="1"/>
      <c r="AYF10" s="1"/>
      <c r="AYG10" s="1"/>
      <c r="AYH10" s="1"/>
      <c r="AYI10" s="1"/>
      <c r="AYJ10" s="1"/>
      <c r="AYK10" s="1"/>
      <c r="AYL10" s="1"/>
      <c r="AYM10" s="1"/>
      <c r="AYN10" s="1"/>
      <c r="AYO10" s="1"/>
      <c r="AYP10" s="1"/>
      <c r="AYQ10" s="1"/>
      <c r="AYR10" s="1"/>
      <c r="AYS10" s="1"/>
      <c r="AYT10" s="1"/>
      <c r="AYU10" s="1"/>
      <c r="AYV10" s="1"/>
      <c r="AYW10" s="1"/>
      <c r="AYX10" s="1"/>
      <c r="AYY10" s="1"/>
      <c r="AYZ10" s="1"/>
      <c r="AZA10" s="1"/>
      <c r="AZB10" s="1"/>
      <c r="AZC10" s="1"/>
      <c r="AZD10" s="1"/>
      <c r="AZE10" s="1"/>
      <c r="AZF10" s="1"/>
      <c r="AZG10" s="1"/>
      <c r="AZH10" s="1"/>
      <c r="AZI10" s="1"/>
      <c r="AZJ10" s="1"/>
      <c r="AZK10" s="1"/>
      <c r="AZL10" s="1"/>
      <c r="AZM10" s="1"/>
      <c r="AZN10" s="1"/>
      <c r="AZO10" s="1"/>
      <c r="AZP10" s="1"/>
      <c r="AZQ10" s="1"/>
      <c r="AZR10" s="1"/>
      <c r="AZS10" s="1"/>
      <c r="AZT10" s="1"/>
      <c r="AZU10" s="1"/>
      <c r="AZV10" s="1"/>
      <c r="AZW10" s="1"/>
      <c r="AZX10" s="1"/>
      <c r="AZY10" s="1"/>
      <c r="AZZ10" s="1"/>
      <c r="BAA10" s="1"/>
      <c r="BAB10" s="1"/>
      <c r="BAC10" s="1"/>
      <c r="BAD10" s="1"/>
      <c r="BAE10" s="1"/>
      <c r="BAF10" s="1"/>
      <c r="BAG10" s="1"/>
      <c r="BAH10" s="1"/>
      <c r="BAI10" s="1"/>
      <c r="BAJ10" s="1"/>
      <c r="BAK10" s="1"/>
      <c r="BAL10" s="1"/>
      <c r="BAM10" s="1"/>
      <c r="BAN10" s="1"/>
      <c r="BAO10" s="1"/>
      <c r="BAP10" s="1"/>
      <c r="BAQ10" s="1"/>
      <c r="BAR10" s="1"/>
      <c r="BAS10" s="1"/>
      <c r="BAT10" s="1"/>
      <c r="BAU10" s="1"/>
      <c r="BAV10" s="1"/>
      <c r="BAW10" s="1"/>
      <c r="BAX10" s="1"/>
      <c r="BAY10" s="1"/>
      <c r="BAZ10" s="1"/>
      <c r="BBA10" s="1"/>
      <c r="BBB10" s="1"/>
      <c r="BBC10" s="1"/>
      <c r="BBD10" s="1"/>
      <c r="BBE10" s="1"/>
      <c r="BBF10" s="1"/>
      <c r="BBG10" s="1"/>
      <c r="BBH10" s="1"/>
      <c r="BBI10" s="1"/>
      <c r="BBJ10" s="1"/>
      <c r="BBK10" s="1"/>
      <c r="BBL10" s="1"/>
      <c r="BBM10" s="1"/>
      <c r="BBN10" s="1"/>
      <c r="BBO10" s="1"/>
      <c r="BBP10" s="1"/>
      <c r="BBQ10" s="1"/>
      <c r="BBR10" s="1"/>
      <c r="BBS10" s="1"/>
      <c r="BBT10" s="1"/>
      <c r="BBU10" s="1"/>
      <c r="BBV10" s="1"/>
      <c r="BBW10" s="1"/>
      <c r="BBX10" s="1"/>
      <c r="BBY10" s="1"/>
      <c r="BBZ10" s="1"/>
      <c r="BCA10" s="1"/>
      <c r="BCB10" s="1"/>
      <c r="BCC10" s="1"/>
      <c r="BCD10" s="1"/>
      <c r="BCE10" s="1"/>
      <c r="BCF10" s="1"/>
      <c r="BCG10" s="1"/>
      <c r="BCH10" s="1"/>
      <c r="BCI10" s="1"/>
      <c r="BCJ10" s="1"/>
      <c r="BCK10" s="1"/>
      <c r="BCL10" s="1"/>
      <c r="BCM10" s="1"/>
      <c r="BCN10" s="1"/>
      <c r="BCO10" s="1"/>
      <c r="BCP10" s="1"/>
      <c r="BCQ10" s="1"/>
      <c r="BCR10" s="1"/>
      <c r="BCS10" s="1"/>
      <c r="BCT10" s="1"/>
      <c r="BCU10" s="1"/>
      <c r="BCV10" s="1"/>
      <c r="BCW10" s="1"/>
      <c r="BCX10" s="1"/>
      <c r="BCY10" s="1"/>
      <c r="BCZ10" s="1"/>
      <c r="BDA10" s="1"/>
      <c r="BDB10" s="1"/>
      <c r="BDC10" s="1"/>
      <c r="BDD10" s="1"/>
      <c r="BDE10" s="1"/>
      <c r="BDF10" s="1"/>
      <c r="BDG10" s="1"/>
      <c r="BDH10" s="1"/>
      <c r="BDI10" s="1"/>
      <c r="BDJ10" s="1"/>
      <c r="BDK10" s="1"/>
      <c r="BDL10" s="1"/>
      <c r="BDM10" s="1"/>
      <c r="BDN10" s="1"/>
      <c r="BDO10" s="1"/>
      <c r="BDP10" s="1"/>
      <c r="BDQ10" s="1"/>
      <c r="BDR10" s="1"/>
      <c r="BDS10" s="1"/>
      <c r="BDT10" s="1"/>
      <c r="BDU10" s="1"/>
      <c r="BDV10" s="1"/>
      <c r="BDW10" s="1"/>
      <c r="BDX10" s="1"/>
      <c r="BDY10" s="1"/>
      <c r="BDZ10" s="1"/>
      <c r="BEA10" s="1"/>
      <c r="BEB10" s="1"/>
      <c r="BEC10" s="1"/>
      <c r="BED10" s="1"/>
      <c r="BEE10" s="1"/>
      <c r="BEF10" s="1"/>
      <c r="BEG10" s="1"/>
      <c r="BEH10" s="1"/>
      <c r="BEI10" s="1"/>
      <c r="BEJ10" s="1"/>
      <c r="BEK10" s="1"/>
      <c r="BEL10" s="1"/>
      <c r="BEM10" s="1"/>
      <c r="BEN10" s="1"/>
      <c r="BEO10" s="1"/>
      <c r="BEP10" s="1"/>
      <c r="BEQ10" s="1"/>
      <c r="BER10" s="1"/>
      <c r="BES10" s="1"/>
      <c r="BET10" s="1"/>
      <c r="BEU10" s="1"/>
      <c r="BEV10" s="1"/>
      <c r="BEW10" s="1"/>
      <c r="BEX10" s="1"/>
      <c r="BEY10" s="1"/>
      <c r="BEZ10" s="1"/>
      <c r="BFA10" s="1"/>
      <c r="BFB10" s="1"/>
      <c r="BFC10" s="1"/>
      <c r="BFD10" s="1"/>
      <c r="BFE10" s="1"/>
      <c r="BFF10" s="1"/>
      <c r="BFG10" s="1"/>
      <c r="BFH10" s="1"/>
      <c r="BFI10" s="1"/>
      <c r="BFJ10" s="1"/>
      <c r="BFK10" s="1"/>
      <c r="BFL10" s="1"/>
      <c r="BFM10" s="1"/>
      <c r="BFN10" s="1"/>
      <c r="BFO10" s="1"/>
      <c r="BFP10" s="1"/>
      <c r="BFQ10" s="1"/>
      <c r="BFR10" s="1"/>
      <c r="BFS10" s="1"/>
      <c r="BFT10" s="1"/>
      <c r="BFU10" s="1"/>
      <c r="BFV10" s="1"/>
      <c r="BFW10" s="1"/>
      <c r="BFX10" s="1"/>
      <c r="BFY10" s="1"/>
      <c r="BFZ10" s="1"/>
      <c r="BGA10" s="1"/>
      <c r="BGB10" s="1"/>
      <c r="BGC10" s="1"/>
      <c r="BGD10" s="1"/>
      <c r="BGE10" s="1"/>
      <c r="BGF10" s="1"/>
      <c r="BGG10" s="1"/>
      <c r="BGH10" s="1"/>
      <c r="BGI10" s="1"/>
      <c r="BGJ10" s="1"/>
      <c r="BGK10" s="1"/>
      <c r="BGL10" s="1"/>
      <c r="BGM10" s="1"/>
      <c r="BGN10" s="1"/>
      <c r="BGO10" s="1"/>
      <c r="BGP10" s="1"/>
      <c r="BGQ10" s="1"/>
      <c r="BGR10" s="1"/>
      <c r="BGS10" s="1"/>
      <c r="BGT10" s="1"/>
      <c r="BGU10" s="1"/>
      <c r="BGV10" s="1"/>
      <c r="BGW10" s="1"/>
      <c r="BGX10" s="1"/>
      <c r="BGY10" s="1"/>
      <c r="BGZ10" s="1"/>
      <c r="BHA10" s="1"/>
      <c r="BHB10" s="1"/>
      <c r="BHC10" s="1"/>
      <c r="BHD10" s="1"/>
      <c r="BHE10" s="1"/>
      <c r="BHF10" s="1"/>
      <c r="BHG10" s="1"/>
      <c r="BHH10" s="1"/>
      <c r="BHI10" s="1"/>
      <c r="BHJ10" s="1"/>
      <c r="BHK10" s="1"/>
      <c r="BHL10" s="1"/>
      <c r="BHM10" s="1"/>
      <c r="BHN10" s="1"/>
      <c r="BHO10" s="1"/>
      <c r="BHP10" s="1"/>
      <c r="BHQ10" s="1"/>
      <c r="BHR10" s="1"/>
      <c r="BHS10" s="1"/>
      <c r="BHT10" s="1"/>
      <c r="BHU10" s="1"/>
      <c r="BHV10" s="1"/>
      <c r="BHW10" s="1"/>
      <c r="BHX10" s="1"/>
      <c r="BHY10" s="1"/>
      <c r="BHZ10" s="1"/>
      <c r="BIA10" s="1"/>
      <c r="BIB10" s="1"/>
      <c r="BIC10" s="1"/>
      <c r="BID10" s="1"/>
      <c r="BIE10" s="1"/>
      <c r="BIF10" s="1"/>
      <c r="BIG10" s="1"/>
      <c r="BIH10" s="1"/>
      <c r="BII10" s="1"/>
      <c r="BIJ10" s="1"/>
      <c r="BIK10" s="1"/>
      <c r="BIL10" s="1"/>
      <c r="BIM10" s="1"/>
      <c r="BIN10" s="1"/>
      <c r="BIO10" s="1"/>
      <c r="BIP10" s="1"/>
      <c r="BIQ10" s="1"/>
      <c r="BIR10" s="1"/>
      <c r="BIS10" s="1"/>
      <c r="BIT10" s="1"/>
      <c r="BIU10" s="1"/>
      <c r="BIV10" s="1"/>
      <c r="BIW10" s="1"/>
      <c r="BIX10" s="1"/>
      <c r="BIY10" s="1"/>
      <c r="BIZ10" s="1"/>
      <c r="BJA10" s="1"/>
      <c r="BJB10" s="1"/>
      <c r="BJC10" s="1"/>
      <c r="BJD10" s="1"/>
      <c r="BJE10" s="1"/>
      <c r="BJF10" s="1"/>
      <c r="BJG10" s="1"/>
      <c r="BJH10" s="1"/>
      <c r="BJI10" s="1"/>
      <c r="BJJ10" s="1"/>
      <c r="BJK10" s="1"/>
      <c r="BJL10" s="1"/>
      <c r="BJM10" s="1"/>
      <c r="BJN10" s="1"/>
      <c r="BJO10" s="1"/>
      <c r="BJP10" s="1"/>
      <c r="BJQ10" s="1"/>
      <c r="BJR10" s="1"/>
      <c r="BJS10" s="1"/>
      <c r="BJT10" s="1"/>
      <c r="BJU10" s="1"/>
      <c r="BJV10" s="1"/>
      <c r="BJW10" s="1"/>
      <c r="BJX10" s="1"/>
      <c r="BJY10" s="1"/>
      <c r="BJZ10" s="1"/>
      <c r="BKA10" s="1"/>
      <c r="BKB10" s="1"/>
      <c r="BKC10" s="1"/>
      <c r="BKD10" s="1"/>
      <c r="BKE10" s="1"/>
      <c r="BKF10" s="1"/>
      <c r="BKG10" s="1"/>
      <c r="BKH10" s="1"/>
      <c r="BKI10" s="1"/>
      <c r="BKJ10" s="1"/>
      <c r="BKK10" s="1"/>
      <c r="BKL10" s="1"/>
      <c r="BKM10" s="1"/>
      <c r="BKN10" s="1"/>
      <c r="BKO10" s="1"/>
      <c r="BKP10" s="1"/>
      <c r="BKQ10" s="1"/>
      <c r="BKR10" s="1"/>
      <c r="BKS10" s="1"/>
      <c r="BKT10" s="1"/>
      <c r="BKU10" s="1"/>
      <c r="BKV10" s="1"/>
      <c r="BKW10" s="1"/>
      <c r="BKX10" s="1"/>
      <c r="BKY10" s="1"/>
      <c r="BKZ10" s="1"/>
      <c r="BLA10" s="1"/>
      <c r="BLB10" s="1"/>
      <c r="BLC10" s="1"/>
      <c r="BLD10" s="1"/>
      <c r="BLE10" s="1"/>
      <c r="BLF10" s="1"/>
      <c r="BLG10" s="1"/>
      <c r="BLH10" s="1"/>
      <c r="BLI10" s="1"/>
      <c r="BLJ10" s="1"/>
      <c r="BLK10" s="1"/>
      <c r="BLL10" s="1"/>
      <c r="BLM10" s="1"/>
      <c r="BLN10" s="1"/>
      <c r="BLO10" s="1"/>
      <c r="BLP10" s="1"/>
      <c r="BLQ10" s="1"/>
      <c r="BLR10" s="1"/>
      <c r="BLS10" s="1"/>
      <c r="BLT10" s="1"/>
      <c r="BLU10" s="1"/>
      <c r="BLV10" s="1"/>
      <c r="BLW10" s="1"/>
      <c r="BLX10" s="1"/>
      <c r="BLY10" s="1"/>
      <c r="BLZ10" s="1"/>
      <c r="BMA10" s="1"/>
      <c r="BMB10" s="1"/>
      <c r="BMC10" s="1"/>
      <c r="BMD10" s="1"/>
      <c r="BME10" s="1"/>
      <c r="BMF10" s="1"/>
      <c r="BMG10" s="1"/>
      <c r="BMH10" s="1"/>
      <c r="BMI10" s="1"/>
      <c r="BMJ10" s="1"/>
      <c r="BMK10" s="1"/>
      <c r="BML10" s="1"/>
      <c r="BMM10" s="1"/>
      <c r="BMN10" s="1"/>
      <c r="BMO10" s="1"/>
      <c r="BMP10" s="1"/>
      <c r="BMQ10" s="1"/>
      <c r="BMR10" s="1"/>
      <c r="BMS10" s="1"/>
      <c r="BMT10" s="1"/>
      <c r="BMU10" s="1"/>
      <c r="BMV10" s="1"/>
      <c r="BMW10" s="1"/>
      <c r="BMX10" s="1"/>
      <c r="BMY10" s="1"/>
      <c r="BMZ10" s="1"/>
      <c r="BNA10" s="1"/>
      <c r="BNB10" s="1"/>
      <c r="BNC10" s="1"/>
      <c r="BND10" s="1"/>
      <c r="BNE10" s="1"/>
      <c r="BNF10" s="1"/>
      <c r="BNG10" s="1"/>
      <c r="BNH10" s="1"/>
      <c r="BNI10" s="1"/>
      <c r="BNJ10" s="1"/>
      <c r="BNK10" s="1"/>
      <c r="BNL10" s="1"/>
      <c r="BNM10" s="1"/>
      <c r="BNN10" s="1"/>
      <c r="BNO10" s="1"/>
      <c r="BNP10" s="1"/>
      <c r="BNQ10" s="1"/>
      <c r="BNR10" s="1"/>
      <c r="BNS10" s="1"/>
      <c r="BNT10" s="1"/>
      <c r="BNU10" s="1"/>
      <c r="BNV10" s="1"/>
      <c r="BNW10" s="1"/>
      <c r="BNX10" s="1"/>
      <c r="BNY10" s="1"/>
      <c r="BNZ10" s="1"/>
      <c r="BOA10" s="1"/>
      <c r="BOB10" s="1"/>
      <c r="BOC10" s="1"/>
      <c r="BOD10" s="1"/>
      <c r="BOE10" s="1"/>
      <c r="BOF10" s="1"/>
      <c r="BOG10" s="1"/>
      <c r="BOH10" s="1"/>
      <c r="BOI10" s="1"/>
      <c r="BOJ10" s="1"/>
      <c r="BOK10" s="1"/>
      <c r="BOL10" s="1"/>
      <c r="BOM10" s="1"/>
      <c r="BON10" s="1"/>
      <c r="BOO10" s="1"/>
      <c r="BOP10" s="1"/>
      <c r="BOQ10" s="1"/>
      <c r="BOR10" s="1"/>
      <c r="BOS10" s="1"/>
      <c r="BOT10" s="1"/>
      <c r="BOU10" s="1"/>
      <c r="BOV10" s="1"/>
      <c r="BOW10" s="1"/>
      <c r="BOX10" s="1"/>
      <c r="BOY10" s="1"/>
      <c r="BOZ10" s="1"/>
      <c r="BPA10" s="1"/>
      <c r="BPB10" s="1"/>
      <c r="BPC10" s="1"/>
      <c r="BPD10" s="1"/>
      <c r="BPE10" s="1"/>
      <c r="BPF10" s="1"/>
      <c r="BPG10" s="1"/>
      <c r="BPH10" s="1"/>
      <c r="BPI10" s="1"/>
      <c r="BPJ10" s="1"/>
      <c r="BPK10" s="1"/>
      <c r="BPL10" s="1"/>
      <c r="BPM10" s="1"/>
      <c r="BPN10" s="1"/>
      <c r="BPO10" s="1"/>
      <c r="BPP10" s="1"/>
      <c r="BPQ10" s="1"/>
      <c r="BPR10" s="1"/>
      <c r="BPS10" s="1"/>
      <c r="BPT10" s="1"/>
      <c r="BPU10" s="1"/>
      <c r="BPV10" s="1"/>
      <c r="BPW10" s="1"/>
      <c r="BPX10" s="1"/>
      <c r="BPY10" s="1"/>
      <c r="BPZ10" s="1"/>
      <c r="BQA10" s="1"/>
      <c r="BQB10" s="1"/>
      <c r="BQC10" s="1"/>
      <c r="BQD10" s="1"/>
      <c r="BQE10" s="1"/>
      <c r="BQF10" s="1"/>
      <c r="BQG10" s="1"/>
      <c r="BQH10" s="1"/>
      <c r="BQI10" s="1"/>
      <c r="BQJ10" s="1"/>
      <c r="BQK10" s="1"/>
      <c r="BQL10" s="1"/>
      <c r="BQM10" s="1"/>
      <c r="BQN10" s="1"/>
      <c r="BQO10" s="1"/>
      <c r="BQP10" s="1"/>
      <c r="BQQ10" s="1"/>
      <c r="BQR10" s="1"/>
      <c r="BQS10" s="1"/>
      <c r="BQT10" s="1"/>
      <c r="BQU10" s="1"/>
      <c r="BQV10" s="1"/>
      <c r="BQW10" s="1"/>
      <c r="BQX10" s="1"/>
      <c r="BQY10" s="1"/>
      <c r="BQZ10" s="1"/>
      <c r="BRA10" s="1"/>
      <c r="BRB10" s="1"/>
      <c r="BRC10" s="1"/>
      <c r="BRD10" s="1"/>
      <c r="BRE10" s="1"/>
      <c r="BRF10" s="1"/>
      <c r="BRG10" s="1"/>
      <c r="BRH10" s="1"/>
      <c r="BRI10" s="1"/>
      <c r="BRJ10" s="1"/>
      <c r="BRK10" s="1"/>
      <c r="BRL10" s="1"/>
      <c r="BRM10" s="1"/>
      <c r="BRN10" s="1"/>
      <c r="BRO10" s="1"/>
      <c r="BRP10" s="1"/>
      <c r="BRQ10" s="1"/>
      <c r="BRR10" s="1"/>
      <c r="BRS10" s="1"/>
      <c r="BRT10" s="1"/>
      <c r="BRU10" s="1"/>
      <c r="BRV10" s="1"/>
      <c r="BRW10" s="1"/>
      <c r="BRX10" s="1"/>
      <c r="BRY10" s="1"/>
      <c r="BRZ10" s="1"/>
      <c r="BSA10" s="1"/>
      <c r="BSB10" s="1"/>
      <c r="BSC10" s="1"/>
      <c r="BSD10" s="1"/>
      <c r="BSE10" s="1"/>
      <c r="BSF10" s="1"/>
      <c r="BSG10" s="1"/>
      <c r="BSH10" s="1"/>
      <c r="BSI10" s="1"/>
      <c r="BSJ10" s="1"/>
      <c r="BSK10" s="1"/>
      <c r="BSL10" s="1"/>
      <c r="BSM10" s="1"/>
      <c r="BSN10" s="1"/>
      <c r="BSO10" s="1"/>
      <c r="BSP10" s="1"/>
      <c r="BSQ10" s="1"/>
      <c r="BSR10" s="1"/>
      <c r="BSS10" s="1"/>
      <c r="BST10" s="1"/>
      <c r="BSU10" s="1"/>
      <c r="BSV10" s="1"/>
      <c r="BSW10" s="1"/>
      <c r="BSX10" s="1"/>
      <c r="BSY10" s="1"/>
      <c r="BSZ10" s="1"/>
      <c r="BTA10" s="1"/>
      <c r="BTB10" s="1"/>
      <c r="BTC10" s="1"/>
      <c r="BTD10" s="1"/>
      <c r="BTE10" s="1"/>
      <c r="BTF10" s="1"/>
      <c r="BTG10" s="1"/>
      <c r="BTH10" s="1"/>
      <c r="BTI10" s="1"/>
      <c r="BTJ10" s="1"/>
      <c r="BTK10" s="1"/>
      <c r="BTL10" s="1"/>
      <c r="BTM10" s="1"/>
      <c r="BTN10" s="1"/>
      <c r="BTO10" s="1"/>
      <c r="BTP10" s="1"/>
      <c r="BTQ10" s="1"/>
      <c r="BTR10" s="1"/>
      <c r="BTS10" s="1"/>
      <c r="BTT10" s="1"/>
      <c r="BTU10" s="1"/>
      <c r="BTV10" s="1"/>
      <c r="BTW10" s="1"/>
      <c r="BTX10" s="1"/>
      <c r="BTY10" s="1"/>
      <c r="BTZ10" s="1"/>
      <c r="BUA10" s="1"/>
      <c r="BUB10" s="1"/>
      <c r="BUC10" s="1"/>
      <c r="BUD10" s="1"/>
      <c r="BUE10" s="1"/>
      <c r="BUF10" s="1"/>
      <c r="BUG10" s="1"/>
      <c r="BUH10" s="1"/>
      <c r="BUI10" s="1"/>
      <c r="BUJ10" s="1"/>
      <c r="BUK10" s="1"/>
      <c r="BUL10" s="1"/>
      <c r="BUM10" s="1"/>
      <c r="BUN10" s="1"/>
      <c r="BUO10" s="1"/>
      <c r="BUP10" s="1"/>
      <c r="BUQ10" s="1"/>
      <c r="BUR10" s="1"/>
      <c r="BUS10" s="1"/>
      <c r="BUT10" s="1"/>
      <c r="BUU10" s="1"/>
      <c r="BUV10" s="1"/>
      <c r="BUW10" s="1"/>
      <c r="BUX10" s="1"/>
      <c r="BUY10" s="1"/>
      <c r="BUZ10" s="1"/>
      <c r="BVA10" s="1"/>
      <c r="BVB10" s="1"/>
      <c r="BVC10" s="1"/>
      <c r="BVD10" s="1"/>
      <c r="BVE10" s="1"/>
      <c r="BVF10" s="1"/>
      <c r="BVG10" s="1"/>
      <c r="BVH10" s="1"/>
      <c r="BVI10" s="1"/>
      <c r="BVJ10" s="1"/>
      <c r="BVK10" s="1"/>
      <c r="BVL10" s="1"/>
      <c r="BVM10" s="1"/>
      <c r="BVN10" s="1"/>
      <c r="BVO10" s="1"/>
      <c r="BVP10" s="1"/>
      <c r="BVQ10" s="1"/>
      <c r="BVR10" s="1"/>
      <c r="BVS10" s="1"/>
      <c r="BVT10" s="1"/>
      <c r="BVU10" s="1"/>
      <c r="BVV10" s="1"/>
      <c r="BVW10" s="1"/>
      <c r="BVX10" s="1"/>
      <c r="BVY10" s="1"/>
      <c r="BVZ10" s="1"/>
      <c r="BWA10" s="1"/>
      <c r="BWB10" s="1"/>
      <c r="BWC10" s="1"/>
      <c r="BWD10" s="1"/>
      <c r="BWE10" s="1"/>
      <c r="BWF10" s="1"/>
      <c r="BWG10" s="1"/>
      <c r="BWH10" s="1"/>
      <c r="BWI10" s="1"/>
      <c r="BWJ10" s="1"/>
      <c r="BWK10" s="1"/>
      <c r="BWL10" s="1"/>
      <c r="BWM10" s="1"/>
      <c r="BWN10" s="1"/>
      <c r="BWO10" s="1"/>
      <c r="BWP10" s="1"/>
      <c r="BWQ10" s="1"/>
      <c r="BWR10" s="1"/>
      <c r="BWS10" s="1"/>
      <c r="BWT10" s="1"/>
      <c r="BWU10" s="1"/>
      <c r="BWV10" s="1"/>
      <c r="BWW10" s="1"/>
      <c r="BWX10" s="1"/>
      <c r="BWY10" s="1"/>
      <c r="BWZ10" s="1"/>
      <c r="BXA10" s="1"/>
      <c r="BXB10" s="1"/>
      <c r="BXC10" s="1"/>
      <c r="BXD10" s="1"/>
      <c r="BXE10" s="1"/>
      <c r="BXF10" s="1"/>
      <c r="BXG10" s="1"/>
      <c r="BXH10" s="1"/>
      <c r="BXI10" s="1"/>
      <c r="BXJ10" s="1"/>
      <c r="BXK10" s="1"/>
      <c r="BXL10" s="1"/>
      <c r="BXM10" s="1"/>
      <c r="BXN10" s="1"/>
      <c r="BXO10" s="1"/>
      <c r="BXP10" s="1"/>
      <c r="BXQ10" s="1"/>
      <c r="BXR10" s="1"/>
      <c r="BXS10" s="1"/>
      <c r="BXT10" s="1"/>
      <c r="BXU10" s="1"/>
      <c r="BXV10" s="1"/>
      <c r="BXW10" s="1"/>
      <c r="BXX10" s="1"/>
      <c r="BXY10" s="1"/>
      <c r="BXZ10" s="1"/>
      <c r="BYA10" s="1"/>
      <c r="BYB10" s="1"/>
      <c r="BYC10" s="1"/>
      <c r="BYD10" s="1"/>
      <c r="BYE10" s="1"/>
      <c r="BYF10" s="1"/>
      <c r="BYG10" s="1"/>
      <c r="BYH10" s="1"/>
      <c r="BYI10" s="1"/>
      <c r="BYJ10" s="1"/>
      <c r="BYK10" s="1"/>
      <c r="BYL10" s="1"/>
      <c r="BYM10" s="1"/>
      <c r="BYN10" s="1"/>
      <c r="BYO10" s="1"/>
      <c r="BYP10" s="1"/>
      <c r="BYQ10" s="1"/>
      <c r="BYR10" s="1"/>
      <c r="BYS10" s="1"/>
      <c r="BYT10" s="1"/>
      <c r="BYU10" s="1"/>
      <c r="BYV10" s="1"/>
      <c r="BYW10" s="1"/>
      <c r="BYX10" s="1"/>
      <c r="BYY10" s="1"/>
      <c r="BYZ10" s="1"/>
      <c r="BZA10" s="1"/>
      <c r="BZB10" s="1"/>
      <c r="BZC10" s="1"/>
      <c r="BZD10" s="1"/>
      <c r="BZE10" s="1"/>
      <c r="BZF10" s="1"/>
      <c r="BZG10" s="1"/>
      <c r="BZH10" s="1"/>
      <c r="BZI10" s="1"/>
      <c r="BZJ10" s="1"/>
      <c r="BZK10" s="1"/>
      <c r="BZL10" s="1"/>
      <c r="BZM10" s="1"/>
      <c r="BZN10" s="1"/>
      <c r="BZO10" s="1"/>
      <c r="BZP10" s="1"/>
      <c r="BZQ10" s="1"/>
      <c r="BZR10" s="1"/>
      <c r="BZS10" s="1"/>
      <c r="BZT10" s="1"/>
      <c r="BZU10" s="1"/>
      <c r="BZV10" s="1"/>
      <c r="BZW10" s="1"/>
      <c r="BZX10" s="1"/>
      <c r="BZY10" s="1"/>
      <c r="BZZ10" s="1"/>
      <c r="CAA10" s="1"/>
      <c r="CAB10" s="1"/>
      <c r="CAC10" s="1"/>
      <c r="CAD10" s="1"/>
      <c r="CAE10" s="1"/>
      <c r="CAF10" s="1"/>
      <c r="CAG10" s="1"/>
      <c r="CAH10" s="1"/>
      <c r="CAI10" s="1"/>
      <c r="CAJ10" s="1"/>
      <c r="CAK10" s="1"/>
      <c r="CAL10" s="1"/>
      <c r="CAM10" s="1"/>
      <c r="CAN10" s="1"/>
      <c r="CAO10" s="1"/>
      <c r="CAP10" s="1"/>
      <c r="CAQ10" s="1"/>
      <c r="CAR10" s="1"/>
      <c r="CAS10" s="1"/>
      <c r="CAT10" s="1"/>
      <c r="CAU10" s="1"/>
      <c r="CAV10" s="1"/>
      <c r="CAW10" s="1"/>
      <c r="CAX10" s="1"/>
      <c r="CAY10" s="1"/>
      <c r="CAZ10" s="1"/>
      <c r="CBA10" s="1"/>
      <c r="CBB10" s="1"/>
      <c r="CBC10" s="1"/>
      <c r="CBD10" s="1"/>
      <c r="CBE10" s="1"/>
      <c r="CBF10" s="1"/>
      <c r="CBG10" s="1"/>
      <c r="CBH10" s="1"/>
      <c r="CBI10" s="1"/>
      <c r="CBJ10" s="1"/>
      <c r="CBK10" s="1"/>
      <c r="CBL10" s="1"/>
      <c r="CBM10" s="1"/>
      <c r="CBN10" s="1"/>
      <c r="CBO10" s="1"/>
      <c r="CBP10" s="1"/>
      <c r="CBQ10" s="1"/>
      <c r="CBR10" s="1"/>
      <c r="CBS10" s="1"/>
      <c r="CBT10" s="1"/>
      <c r="CBU10" s="1"/>
      <c r="CBV10" s="1"/>
      <c r="CBW10" s="1"/>
      <c r="CBX10" s="1"/>
      <c r="CBY10" s="1"/>
      <c r="CBZ10" s="1"/>
      <c r="CCA10" s="1"/>
      <c r="CCB10" s="1"/>
      <c r="CCC10" s="1"/>
      <c r="CCD10" s="1"/>
      <c r="CCE10" s="1"/>
      <c r="CCF10" s="1"/>
      <c r="CCG10" s="1"/>
      <c r="CCH10" s="1"/>
      <c r="CCI10" s="1"/>
      <c r="CCJ10" s="1"/>
      <c r="CCK10" s="1"/>
      <c r="CCL10" s="1"/>
      <c r="CCM10" s="1"/>
      <c r="CCN10" s="1"/>
      <c r="CCO10" s="1"/>
      <c r="CCP10" s="1"/>
      <c r="CCQ10" s="1"/>
      <c r="CCR10" s="1"/>
      <c r="CCS10" s="1"/>
      <c r="CCT10" s="1"/>
      <c r="CCU10" s="1"/>
      <c r="CCV10" s="1"/>
      <c r="CCW10" s="1"/>
      <c r="CCX10" s="1"/>
      <c r="CCY10" s="1"/>
      <c r="CCZ10" s="1"/>
      <c r="CDA10" s="1"/>
      <c r="CDB10" s="1"/>
      <c r="CDC10" s="1"/>
      <c r="CDD10" s="1"/>
      <c r="CDE10" s="1"/>
      <c r="CDF10" s="1"/>
      <c r="CDG10" s="1"/>
      <c r="CDH10" s="1"/>
      <c r="CDI10" s="1"/>
      <c r="CDJ10" s="1"/>
      <c r="CDK10" s="1"/>
      <c r="CDL10" s="1"/>
      <c r="CDM10" s="1"/>
      <c r="CDN10" s="1"/>
      <c r="CDO10" s="1"/>
      <c r="CDP10" s="1"/>
      <c r="CDQ10" s="1"/>
      <c r="CDR10" s="1"/>
      <c r="CDS10" s="1"/>
      <c r="CDT10" s="1"/>
      <c r="CDU10" s="1"/>
      <c r="CDV10" s="1"/>
      <c r="CDW10" s="1"/>
      <c r="CDX10" s="1"/>
      <c r="CDY10" s="1"/>
      <c r="CDZ10" s="1"/>
      <c r="CEA10" s="1"/>
      <c r="CEB10" s="1"/>
      <c r="CEC10" s="1"/>
      <c r="CED10" s="1"/>
      <c r="CEE10" s="1"/>
      <c r="CEF10" s="1"/>
      <c r="CEG10" s="1"/>
      <c r="CEH10" s="1"/>
      <c r="CEI10" s="1"/>
      <c r="CEJ10" s="1"/>
      <c r="CEK10" s="1"/>
      <c r="CEL10" s="1"/>
      <c r="CEM10" s="1"/>
      <c r="CEN10" s="1"/>
      <c r="CEO10" s="1"/>
      <c r="CEP10" s="1"/>
      <c r="CEQ10" s="1"/>
      <c r="CER10" s="1"/>
      <c r="CES10" s="1"/>
      <c r="CET10" s="1"/>
      <c r="CEU10" s="1"/>
      <c r="CEV10" s="1"/>
      <c r="CEW10" s="1"/>
      <c r="CEX10" s="1"/>
      <c r="CEY10" s="1"/>
      <c r="CEZ10" s="1"/>
      <c r="CFA10" s="1"/>
      <c r="CFB10" s="1"/>
      <c r="CFC10" s="1"/>
      <c r="CFD10" s="1"/>
      <c r="CFE10" s="1"/>
      <c r="CFF10" s="1"/>
      <c r="CFG10" s="1"/>
      <c r="CFH10" s="1"/>
      <c r="CFI10" s="1"/>
      <c r="CFJ10" s="1"/>
      <c r="CFK10" s="1"/>
      <c r="CFL10" s="1"/>
      <c r="CFM10" s="1"/>
      <c r="CFN10" s="1"/>
      <c r="CFO10" s="1"/>
      <c r="CFP10" s="1"/>
      <c r="CFQ10" s="1"/>
      <c r="CFR10" s="1"/>
      <c r="CFS10" s="1"/>
      <c r="CFT10" s="1"/>
      <c r="CFU10" s="1"/>
      <c r="CFV10" s="1"/>
      <c r="CFW10" s="1"/>
      <c r="CFX10" s="1"/>
      <c r="CFY10" s="1"/>
      <c r="CFZ10" s="1"/>
      <c r="CGA10" s="1"/>
      <c r="CGB10" s="1"/>
      <c r="CGC10" s="1"/>
      <c r="CGD10" s="1"/>
      <c r="CGE10" s="1"/>
      <c r="CGF10" s="1"/>
      <c r="CGG10" s="1"/>
      <c r="CGH10" s="1"/>
      <c r="CGI10" s="1"/>
      <c r="CGJ10" s="1"/>
      <c r="CGK10" s="1"/>
      <c r="CGL10" s="1"/>
      <c r="CGM10" s="1"/>
      <c r="CGN10" s="1"/>
      <c r="CGO10" s="1"/>
      <c r="CGP10" s="1"/>
      <c r="CGQ10" s="1"/>
      <c r="CGR10" s="1"/>
      <c r="CGS10" s="1"/>
      <c r="CGT10" s="1"/>
      <c r="CGU10" s="1"/>
      <c r="CGV10" s="1"/>
      <c r="CGW10" s="1"/>
      <c r="CGX10" s="1"/>
      <c r="CGY10" s="1"/>
      <c r="CGZ10" s="1"/>
      <c r="CHA10" s="1"/>
      <c r="CHB10" s="1"/>
      <c r="CHC10" s="1"/>
      <c r="CHD10" s="1"/>
      <c r="CHE10" s="1"/>
      <c r="CHF10" s="1"/>
      <c r="CHG10" s="1"/>
      <c r="CHH10" s="1"/>
      <c r="CHI10" s="1"/>
      <c r="CHJ10" s="1"/>
      <c r="CHK10" s="1"/>
      <c r="CHL10" s="1"/>
      <c r="CHM10" s="1"/>
      <c r="CHN10" s="1"/>
      <c r="CHO10" s="1"/>
      <c r="CHP10" s="1"/>
      <c r="CHQ10" s="1"/>
      <c r="CHR10" s="1"/>
      <c r="CHS10" s="1"/>
      <c r="CHT10" s="1"/>
      <c r="CHU10" s="1"/>
      <c r="CHV10" s="1"/>
      <c r="CHW10" s="1"/>
      <c r="CHX10" s="1"/>
      <c r="CHY10" s="1"/>
      <c r="CHZ10" s="1"/>
      <c r="CIA10" s="1"/>
      <c r="CIB10" s="1"/>
      <c r="CIC10" s="1"/>
      <c r="CID10" s="1"/>
      <c r="CIE10" s="1"/>
      <c r="CIF10" s="1"/>
      <c r="CIG10" s="1"/>
      <c r="CIH10" s="1"/>
      <c r="CII10" s="1"/>
      <c r="CIJ10" s="1"/>
      <c r="CIK10" s="1"/>
      <c r="CIL10" s="1"/>
      <c r="CIM10" s="1"/>
      <c r="CIN10" s="1"/>
      <c r="CIO10" s="1"/>
      <c r="CIP10" s="1"/>
      <c r="CIQ10" s="1"/>
      <c r="CIR10" s="1"/>
      <c r="CIS10" s="1"/>
      <c r="CIT10" s="1"/>
      <c r="CIU10" s="1"/>
      <c r="CIV10" s="1"/>
      <c r="CIW10" s="1"/>
      <c r="CIX10" s="1"/>
      <c r="CIY10" s="1"/>
      <c r="CIZ10" s="1"/>
      <c r="CJA10" s="1"/>
      <c r="CJB10" s="1"/>
      <c r="CJC10" s="1"/>
      <c r="CJD10" s="1"/>
      <c r="CJE10" s="1"/>
      <c r="CJF10" s="1"/>
      <c r="CJG10" s="1"/>
      <c r="CJH10" s="1"/>
      <c r="CJI10" s="1"/>
      <c r="CJJ10" s="1"/>
      <c r="CJK10" s="1"/>
      <c r="CJL10" s="1"/>
      <c r="CJM10" s="1"/>
      <c r="CJN10" s="1"/>
      <c r="CJO10" s="1"/>
      <c r="CJP10" s="1"/>
      <c r="CJQ10" s="1"/>
      <c r="CJR10" s="1"/>
      <c r="CJS10" s="1"/>
      <c r="CJT10" s="1"/>
      <c r="CJU10" s="1"/>
      <c r="CJV10" s="1"/>
      <c r="CJW10" s="1"/>
      <c r="CJX10" s="1"/>
      <c r="CJY10" s="1"/>
      <c r="CJZ10" s="1"/>
      <c r="CKA10" s="1"/>
      <c r="CKB10" s="1"/>
      <c r="CKC10" s="1"/>
      <c r="CKD10" s="1"/>
      <c r="CKE10" s="1"/>
      <c r="CKF10" s="1"/>
      <c r="CKG10" s="1"/>
      <c r="CKH10" s="1"/>
      <c r="CKI10" s="1"/>
      <c r="CKJ10" s="1"/>
      <c r="CKK10" s="1"/>
      <c r="CKL10" s="1"/>
      <c r="CKM10" s="1"/>
      <c r="CKN10" s="1"/>
      <c r="CKO10" s="1"/>
      <c r="CKP10" s="1"/>
      <c r="CKQ10" s="1"/>
      <c r="CKR10" s="1"/>
      <c r="CKS10" s="1"/>
      <c r="CKT10" s="1"/>
      <c r="CKU10" s="1"/>
      <c r="CKV10" s="1"/>
      <c r="CKW10" s="1"/>
      <c r="CKX10" s="1"/>
      <c r="CKY10" s="1"/>
      <c r="CKZ10" s="1"/>
      <c r="CLA10" s="1"/>
      <c r="CLB10" s="1"/>
      <c r="CLC10" s="1"/>
      <c r="CLD10" s="1"/>
      <c r="CLE10" s="1"/>
      <c r="CLF10" s="1"/>
      <c r="CLG10" s="1"/>
      <c r="CLH10" s="1"/>
      <c r="CLI10" s="1"/>
      <c r="CLJ10" s="1"/>
      <c r="CLK10" s="1"/>
      <c r="CLL10" s="1"/>
      <c r="CLM10" s="1"/>
      <c r="CLN10" s="1"/>
      <c r="CLO10" s="1"/>
      <c r="CLP10" s="1"/>
      <c r="CLQ10" s="1"/>
      <c r="CLR10" s="1"/>
      <c r="CLS10" s="1"/>
      <c r="CLT10" s="1"/>
      <c r="CLU10" s="1"/>
      <c r="CLV10" s="1"/>
      <c r="CLW10" s="1"/>
      <c r="CLX10" s="1"/>
      <c r="CLY10" s="1"/>
      <c r="CLZ10" s="1"/>
      <c r="CMA10" s="1"/>
      <c r="CMB10" s="1"/>
      <c r="CMC10" s="1"/>
      <c r="CMD10" s="1"/>
      <c r="CME10" s="1"/>
      <c r="CMF10" s="1"/>
      <c r="CMG10" s="1"/>
      <c r="CMH10" s="1"/>
      <c r="CMI10" s="1"/>
      <c r="CMJ10" s="1"/>
      <c r="CMK10" s="1"/>
      <c r="CML10" s="1"/>
      <c r="CMM10" s="1"/>
      <c r="CMN10" s="1"/>
      <c r="CMO10" s="1"/>
      <c r="CMP10" s="1"/>
      <c r="CMQ10" s="1"/>
      <c r="CMR10" s="1"/>
      <c r="CMS10" s="1"/>
      <c r="CMT10" s="1"/>
      <c r="CMU10" s="1"/>
      <c r="CMV10" s="1"/>
      <c r="CMW10" s="1"/>
      <c r="CMX10" s="1"/>
      <c r="CMY10" s="1"/>
      <c r="CMZ10" s="1"/>
      <c r="CNA10" s="1"/>
      <c r="CNB10" s="1"/>
      <c r="CNC10" s="1"/>
      <c r="CND10" s="1"/>
      <c r="CNE10" s="1"/>
      <c r="CNF10" s="1"/>
      <c r="CNG10" s="1"/>
      <c r="CNH10" s="1"/>
      <c r="CNI10" s="1"/>
      <c r="CNJ10" s="1"/>
      <c r="CNK10" s="1"/>
      <c r="CNL10" s="1"/>
      <c r="CNM10" s="1"/>
      <c r="CNN10" s="1"/>
      <c r="CNO10" s="1"/>
      <c r="CNP10" s="1"/>
      <c r="CNQ10" s="1"/>
      <c r="CNR10" s="1"/>
      <c r="CNS10" s="1"/>
      <c r="CNT10" s="1"/>
      <c r="CNU10" s="1"/>
      <c r="CNV10" s="1"/>
      <c r="CNW10" s="1"/>
      <c r="CNX10" s="1"/>
      <c r="CNY10" s="1"/>
      <c r="CNZ10" s="1"/>
      <c r="COA10" s="1"/>
      <c r="COB10" s="1"/>
      <c r="COC10" s="1"/>
      <c r="COD10" s="1"/>
      <c r="COE10" s="1"/>
      <c r="COF10" s="1"/>
      <c r="COG10" s="1"/>
      <c r="COH10" s="1"/>
      <c r="COI10" s="1"/>
      <c r="COJ10" s="1"/>
      <c r="COK10" s="1"/>
      <c r="COL10" s="1"/>
      <c r="COM10" s="1"/>
      <c r="CON10" s="1"/>
      <c r="COO10" s="1"/>
      <c r="COP10" s="1"/>
      <c r="COQ10" s="1"/>
      <c r="COR10" s="1"/>
      <c r="COS10" s="1"/>
      <c r="COT10" s="1"/>
      <c r="COU10" s="1"/>
      <c r="COV10" s="1"/>
      <c r="COW10" s="1"/>
      <c r="COX10" s="1"/>
      <c r="COY10" s="1"/>
      <c r="COZ10" s="1"/>
      <c r="CPA10" s="1"/>
      <c r="CPB10" s="1"/>
      <c r="CPC10" s="1"/>
      <c r="CPD10" s="1"/>
      <c r="CPE10" s="1"/>
      <c r="CPF10" s="1"/>
      <c r="CPG10" s="1"/>
      <c r="CPH10" s="1"/>
      <c r="CPI10" s="1"/>
      <c r="CPJ10" s="1"/>
      <c r="CPK10" s="1"/>
      <c r="CPL10" s="1"/>
      <c r="CPM10" s="1"/>
      <c r="CPN10" s="1"/>
      <c r="CPO10" s="1"/>
      <c r="CPP10" s="1"/>
      <c r="CPQ10" s="1"/>
      <c r="CPR10" s="1"/>
      <c r="CPS10" s="1"/>
      <c r="CPT10" s="1"/>
      <c r="CPU10" s="1"/>
      <c r="CPV10" s="1"/>
      <c r="CPW10" s="1"/>
      <c r="CPX10" s="1"/>
      <c r="CPY10" s="1"/>
      <c r="CPZ10" s="1"/>
      <c r="CQA10" s="1"/>
      <c r="CQB10" s="1"/>
      <c r="CQC10" s="1"/>
      <c r="CQD10" s="1"/>
      <c r="CQE10" s="1"/>
      <c r="CQF10" s="1"/>
      <c r="CQG10" s="1"/>
      <c r="CQH10" s="1"/>
      <c r="CQI10" s="1"/>
      <c r="CQJ10" s="1"/>
      <c r="CQK10" s="1"/>
      <c r="CQL10" s="1"/>
      <c r="CQM10" s="1"/>
      <c r="CQN10" s="1"/>
      <c r="CQO10" s="1"/>
      <c r="CQP10" s="1"/>
      <c r="CQQ10" s="1"/>
      <c r="CQR10" s="1"/>
      <c r="CQS10" s="1"/>
      <c r="CQT10" s="1"/>
      <c r="CQU10" s="1"/>
      <c r="CQV10" s="1"/>
      <c r="CQW10" s="1"/>
      <c r="CQX10" s="1"/>
      <c r="CQY10" s="1"/>
      <c r="CQZ10" s="1"/>
      <c r="CRA10" s="1"/>
      <c r="CRB10" s="1"/>
      <c r="CRC10" s="1"/>
      <c r="CRD10" s="1"/>
      <c r="CRE10" s="1"/>
      <c r="CRF10" s="1"/>
      <c r="CRG10" s="1"/>
      <c r="CRH10" s="1"/>
      <c r="CRI10" s="1"/>
      <c r="CRJ10" s="1"/>
      <c r="CRK10" s="1"/>
      <c r="CRL10" s="1"/>
      <c r="CRM10" s="1"/>
      <c r="CRN10" s="1"/>
      <c r="CRO10" s="1"/>
      <c r="CRP10" s="1"/>
      <c r="CRQ10" s="1"/>
      <c r="CRR10" s="1"/>
      <c r="CRS10" s="1"/>
      <c r="CRT10" s="1"/>
      <c r="CRU10" s="1"/>
      <c r="CRV10" s="1"/>
      <c r="CRW10" s="1"/>
      <c r="CRX10" s="1"/>
      <c r="CRY10" s="1"/>
      <c r="CRZ10" s="1"/>
      <c r="CSA10" s="1"/>
      <c r="CSB10" s="1"/>
      <c r="CSC10" s="1"/>
      <c r="CSD10" s="1"/>
      <c r="CSE10" s="1"/>
      <c r="CSF10" s="1"/>
      <c r="CSG10" s="1"/>
      <c r="CSH10" s="1"/>
      <c r="CSI10" s="1"/>
      <c r="CSJ10" s="1"/>
      <c r="CSK10" s="1"/>
      <c r="CSL10" s="1"/>
      <c r="CSM10" s="1"/>
      <c r="CSN10" s="1"/>
      <c r="CSO10" s="1"/>
      <c r="CSP10" s="1"/>
      <c r="CSQ10" s="1"/>
      <c r="CSR10" s="1"/>
      <c r="CSS10" s="1"/>
      <c r="CST10" s="1"/>
      <c r="CSU10" s="1"/>
      <c r="CSV10" s="1"/>
      <c r="CSW10" s="1"/>
      <c r="CSX10" s="1"/>
      <c r="CSY10" s="1"/>
      <c r="CSZ10" s="1"/>
      <c r="CTA10" s="1"/>
      <c r="CTB10" s="1"/>
      <c r="CTC10" s="1"/>
      <c r="CTD10" s="1"/>
      <c r="CTE10" s="1"/>
      <c r="CTF10" s="1"/>
      <c r="CTG10" s="1"/>
      <c r="CTH10" s="1"/>
      <c r="CTI10" s="1"/>
      <c r="CTJ10" s="1"/>
      <c r="CTK10" s="1"/>
      <c r="CTL10" s="1"/>
      <c r="CTM10" s="1"/>
      <c r="CTN10" s="1"/>
      <c r="CTO10" s="1"/>
      <c r="CTP10" s="1"/>
      <c r="CTQ10" s="1"/>
      <c r="CTR10" s="1"/>
      <c r="CTS10" s="1"/>
      <c r="CTT10" s="1"/>
      <c r="CTU10" s="1"/>
      <c r="CTV10" s="1"/>
      <c r="CTW10" s="1"/>
      <c r="CTX10" s="1"/>
      <c r="CTY10" s="1"/>
      <c r="CTZ10" s="1"/>
      <c r="CUA10" s="1"/>
      <c r="CUB10" s="1"/>
      <c r="CUC10" s="1"/>
      <c r="CUD10" s="1"/>
      <c r="CUE10" s="1"/>
      <c r="CUF10" s="1"/>
      <c r="CUG10" s="1"/>
      <c r="CUH10" s="1"/>
      <c r="CUI10" s="1"/>
      <c r="CUJ10" s="1"/>
      <c r="CUK10" s="1"/>
      <c r="CUL10" s="1"/>
      <c r="CUM10" s="1"/>
      <c r="CUN10" s="1"/>
      <c r="CUO10" s="1"/>
      <c r="CUP10" s="1"/>
      <c r="CUQ10" s="1"/>
      <c r="CUR10" s="1"/>
      <c r="CUS10" s="1"/>
      <c r="CUT10" s="1"/>
      <c r="CUU10" s="1"/>
      <c r="CUV10" s="1"/>
      <c r="CUW10" s="1"/>
      <c r="CUX10" s="1"/>
      <c r="CUY10" s="1"/>
      <c r="CUZ10" s="1"/>
      <c r="CVA10" s="1"/>
      <c r="CVB10" s="1"/>
      <c r="CVC10" s="1"/>
      <c r="CVD10" s="1"/>
      <c r="CVE10" s="1"/>
      <c r="CVF10" s="1"/>
      <c r="CVG10" s="1"/>
      <c r="CVH10" s="1"/>
      <c r="CVI10" s="1"/>
      <c r="CVJ10" s="1"/>
      <c r="CVK10" s="1"/>
      <c r="CVL10" s="1"/>
      <c r="CVM10" s="1"/>
      <c r="CVN10" s="1"/>
      <c r="CVO10" s="1"/>
      <c r="CVP10" s="1"/>
      <c r="CVQ10" s="1"/>
      <c r="CVR10" s="1"/>
      <c r="CVS10" s="1"/>
      <c r="CVT10" s="1"/>
      <c r="CVU10" s="1"/>
      <c r="CVV10" s="1"/>
      <c r="CVW10" s="1"/>
      <c r="CVX10" s="1"/>
      <c r="CVY10" s="1"/>
      <c r="CVZ10" s="1"/>
      <c r="CWA10" s="1"/>
      <c r="CWB10" s="1"/>
      <c r="CWC10" s="1"/>
      <c r="CWD10" s="1"/>
      <c r="CWE10" s="1"/>
      <c r="CWF10" s="1"/>
      <c r="CWG10" s="1"/>
      <c r="CWH10" s="1"/>
      <c r="CWI10" s="1"/>
      <c r="CWJ10" s="1"/>
      <c r="CWK10" s="1"/>
      <c r="CWL10" s="1"/>
      <c r="CWM10" s="1"/>
      <c r="CWN10" s="1"/>
      <c r="CWO10" s="1"/>
      <c r="CWP10" s="1"/>
      <c r="CWQ10" s="1"/>
      <c r="CWR10" s="1"/>
      <c r="CWS10" s="1"/>
      <c r="CWT10" s="1"/>
      <c r="CWU10" s="1"/>
      <c r="CWV10" s="1"/>
      <c r="CWW10" s="1"/>
      <c r="CWX10" s="1"/>
      <c r="CWY10" s="1"/>
      <c r="CWZ10" s="1"/>
      <c r="CXA10" s="1"/>
      <c r="CXB10" s="1"/>
      <c r="CXC10" s="1"/>
      <c r="CXD10" s="1"/>
      <c r="CXE10" s="1"/>
      <c r="CXF10" s="1"/>
      <c r="CXG10" s="1"/>
      <c r="CXH10" s="1"/>
      <c r="CXI10" s="1"/>
      <c r="CXJ10" s="1"/>
      <c r="CXK10" s="1"/>
      <c r="CXL10" s="1"/>
      <c r="CXM10" s="1"/>
      <c r="CXN10" s="1"/>
      <c r="CXO10" s="1"/>
      <c r="CXP10" s="1"/>
      <c r="CXQ10" s="1"/>
      <c r="CXR10" s="1"/>
      <c r="CXS10" s="1"/>
      <c r="CXT10" s="1"/>
      <c r="CXU10" s="1"/>
      <c r="CXV10" s="1"/>
      <c r="CXW10" s="1"/>
      <c r="CXX10" s="1"/>
      <c r="CXY10" s="1"/>
      <c r="CXZ10" s="1"/>
      <c r="CYA10" s="1"/>
      <c r="CYB10" s="1"/>
      <c r="CYC10" s="1"/>
      <c r="CYD10" s="1"/>
      <c r="CYE10" s="1"/>
      <c r="CYF10" s="1"/>
      <c r="CYG10" s="1"/>
      <c r="CYH10" s="1"/>
      <c r="CYI10" s="1"/>
      <c r="CYJ10" s="1"/>
      <c r="CYK10" s="1"/>
      <c r="CYL10" s="1"/>
      <c r="CYM10" s="1"/>
      <c r="CYN10" s="1"/>
      <c r="CYO10" s="1"/>
      <c r="CYP10" s="1"/>
      <c r="CYQ10" s="1"/>
      <c r="CYR10" s="1"/>
      <c r="CYS10" s="1"/>
      <c r="CYT10" s="1"/>
      <c r="CYU10" s="1"/>
      <c r="CYV10" s="1"/>
      <c r="CYW10" s="1"/>
      <c r="CYX10" s="1"/>
      <c r="CYY10" s="1"/>
      <c r="CYZ10" s="1"/>
      <c r="CZA10" s="1"/>
      <c r="CZB10" s="1"/>
      <c r="CZC10" s="1"/>
      <c r="CZD10" s="1"/>
      <c r="CZE10" s="1"/>
      <c r="CZF10" s="1"/>
      <c r="CZG10" s="1"/>
      <c r="CZH10" s="1"/>
      <c r="CZI10" s="1"/>
      <c r="CZJ10" s="1"/>
      <c r="CZK10" s="1"/>
      <c r="CZL10" s="1"/>
      <c r="CZM10" s="1"/>
      <c r="CZN10" s="1"/>
      <c r="CZO10" s="1"/>
      <c r="CZP10" s="1"/>
      <c r="CZQ10" s="1"/>
      <c r="CZR10" s="1"/>
      <c r="CZS10" s="1"/>
      <c r="CZT10" s="1"/>
      <c r="CZU10" s="1"/>
      <c r="CZV10" s="1"/>
      <c r="CZW10" s="1"/>
      <c r="CZX10" s="1"/>
      <c r="CZY10" s="1"/>
      <c r="CZZ10" s="1"/>
      <c r="DAA10" s="1"/>
      <c r="DAB10" s="1"/>
      <c r="DAC10" s="1"/>
      <c r="DAD10" s="1"/>
      <c r="DAE10" s="1"/>
      <c r="DAF10" s="1"/>
      <c r="DAG10" s="1"/>
      <c r="DAH10" s="1"/>
      <c r="DAI10" s="1"/>
      <c r="DAJ10" s="1"/>
      <c r="DAK10" s="1"/>
      <c r="DAL10" s="1"/>
      <c r="DAM10" s="1"/>
      <c r="DAN10" s="1"/>
      <c r="DAO10" s="1"/>
      <c r="DAP10" s="1"/>
      <c r="DAQ10" s="1"/>
      <c r="DAR10" s="1"/>
      <c r="DAS10" s="1"/>
      <c r="DAT10" s="1"/>
      <c r="DAU10" s="1"/>
      <c r="DAV10" s="1"/>
      <c r="DAW10" s="1"/>
      <c r="DAX10" s="1"/>
      <c r="DAY10" s="1"/>
      <c r="DAZ10" s="1"/>
      <c r="DBA10" s="1"/>
      <c r="DBB10" s="1"/>
      <c r="DBC10" s="1"/>
      <c r="DBD10" s="1"/>
      <c r="DBE10" s="1"/>
      <c r="DBF10" s="1"/>
      <c r="DBG10" s="1"/>
      <c r="DBH10" s="1"/>
      <c r="DBI10" s="1"/>
      <c r="DBJ10" s="1"/>
      <c r="DBK10" s="1"/>
      <c r="DBL10" s="1"/>
      <c r="DBM10" s="1"/>
      <c r="DBN10" s="1"/>
      <c r="DBO10" s="1"/>
      <c r="DBP10" s="1"/>
      <c r="DBQ10" s="1"/>
      <c r="DBR10" s="1"/>
      <c r="DBS10" s="1"/>
      <c r="DBT10" s="1"/>
      <c r="DBU10" s="1"/>
      <c r="DBV10" s="1"/>
      <c r="DBW10" s="1"/>
      <c r="DBX10" s="1"/>
      <c r="DBY10" s="1"/>
      <c r="DBZ10" s="1"/>
      <c r="DCA10" s="1"/>
      <c r="DCB10" s="1"/>
      <c r="DCC10" s="1"/>
      <c r="DCD10" s="1"/>
      <c r="DCE10" s="1"/>
      <c r="DCF10" s="1"/>
      <c r="DCG10" s="1"/>
      <c r="DCH10" s="1"/>
      <c r="DCI10" s="1"/>
      <c r="DCJ10" s="1"/>
      <c r="DCK10" s="1"/>
      <c r="DCL10" s="1"/>
      <c r="DCM10" s="1"/>
      <c r="DCN10" s="1"/>
      <c r="DCO10" s="1"/>
      <c r="DCP10" s="1"/>
      <c r="DCQ10" s="1"/>
      <c r="DCR10" s="1"/>
      <c r="DCS10" s="1"/>
      <c r="DCT10" s="1"/>
      <c r="DCU10" s="1"/>
      <c r="DCV10" s="1"/>
      <c r="DCW10" s="1"/>
      <c r="DCX10" s="1"/>
      <c r="DCY10" s="1"/>
      <c r="DCZ10" s="1"/>
      <c r="DDA10" s="1"/>
      <c r="DDB10" s="1"/>
      <c r="DDC10" s="1"/>
      <c r="DDD10" s="1"/>
      <c r="DDE10" s="1"/>
      <c r="DDF10" s="1"/>
      <c r="DDG10" s="1"/>
      <c r="DDH10" s="1"/>
      <c r="DDI10" s="1"/>
      <c r="DDJ10" s="1"/>
      <c r="DDK10" s="1"/>
      <c r="DDL10" s="1"/>
      <c r="DDM10" s="1"/>
      <c r="DDN10" s="1"/>
      <c r="DDO10" s="1"/>
      <c r="DDP10" s="1"/>
      <c r="DDQ10" s="1"/>
      <c r="DDR10" s="1"/>
      <c r="DDS10" s="1"/>
      <c r="DDT10" s="1"/>
      <c r="DDU10" s="1"/>
      <c r="DDV10" s="1"/>
      <c r="DDW10" s="1"/>
      <c r="DDX10" s="1"/>
      <c r="DDY10" s="1"/>
      <c r="DDZ10" s="1"/>
      <c r="DEA10" s="1"/>
      <c r="DEB10" s="1"/>
      <c r="DEC10" s="1"/>
      <c r="DED10" s="1"/>
      <c r="DEE10" s="1"/>
      <c r="DEF10" s="1"/>
      <c r="DEG10" s="1"/>
      <c r="DEH10" s="1"/>
      <c r="DEI10" s="1"/>
      <c r="DEJ10" s="1"/>
      <c r="DEK10" s="1"/>
      <c r="DEL10" s="1"/>
      <c r="DEM10" s="1"/>
      <c r="DEN10" s="1"/>
      <c r="DEO10" s="1"/>
      <c r="DEP10" s="1"/>
      <c r="DEQ10" s="1"/>
      <c r="DER10" s="1"/>
      <c r="DES10" s="1"/>
      <c r="DET10" s="1"/>
      <c r="DEU10" s="1"/>
      <c r="DEV10" s="1"/>
      <c r="DEW10" s="1"/>
      <c r="DEX10" s="1"/>
      <c r="DEY10" s="1"/>
      <c r="DEZ10" s="1"/>
      <c r="DFA10" s="1"/>
      <c r="DFB10" s="1"/>
      <c r="DFC10" s="1"/>
      <c r="DFD10" s="1"/>
      <c r="DFE10" s="1"/>
      <c r="DFF10" s="1"/>
      <c r="DFG10" s="1"/>
      <c r="DFH10" s="1"/>
      <c r="DFI10" s="1"/>
      <c r="DFJ10" s="1"/>
      <c r="DFK10" s="1"/>
      <c r="DFL10" s="1"/>
      <c r="DFM10" s="1"/>
      <c r="DFN10" s="1"/>
      <c r="DFO10" s="1"/>
      <c r="DFP10" s="1"/>
      <c r="DFQ10" s="1"/>
      <c r="DFR10" s="1"/>
      <c r="DFS10" s="1"/>
      <c r="DFT10" s="1"/>
      <c r="DFU10" s="1"/>
      <c r="DFV10" s="1"/>
      <c r="DFW10" s="1"/>
      <c r="DFX10" s="1"/>
      <c r="DFY10" s="1"/>
      <c r="DFZ10" s="1"/>
      <c r="DGA10" s="1"/>
      <c r="DGB10" s="1"/>
      <c r="DGC10" s="1"/>
      <c r="DGD10" s="1"/>
      <c r="DGE10" s="1"/>
      <c r="DGF10" s="1"/>
      <c r="DGG10" s="1"/>
      <c r="DGH10" s="1"/>
      <c r="DGI10" s="1"/>
      <c r="DGJ10" s="1"/>
      <c r="DGK10" s="1"/>
      <c r="DGL10" s="1"/>
      <c r="DGM10" s="1"/>
      <c r="DGN10" s="1"/>
      <c r="DGO10" s="1"/>
      <c r="DGP10" s="1"/>
      <c r="DGQ10" s="1"/>
      <c r="DGR10" s="1"/>
      <c r="DGS10" s="1"/>
      <c r="DGT10" s="1"/>
      <c r="DGU10" s="1"/>
      <c r="DGV10" s="1"/>
      <c r="DGW10" s="1"/>
      <c r="DGX10" s="1"/>
      <c r="DGY10" s="1"/>
      <c r="DGZ10" s="1"/>
      <c r="DHA10" s="1"/>
      <c r="DHB10" s="1"/>
      <c r="DHC10" s="1"/>
      <c r="DHD10" s="1"/>
      <c r="DHE10" s="1"/>
      <c r="DHF10" s="1"/>
      <c r="DHG10" s="1"/>
      <c r="DHH10" s="1"/>
      <c r="DHI10" s="1"/>
      <c r="DHJ10" s="1"/>
      <c r="DHK10" s="1"/>
      <c r="DHL10" s="1"/>
      <c r="DHM10" s="1"/>
      <c r="DHN10" s="1"/>
      <c r="DHO10" s="1"/>
      <c r="DHP10" s="1"/>
      <c r="DHQ10" s="1"/>
      <c r="DHR10" s="1"/>
      <c r="DHS10" s="1"/>
      <c r="DHT10" s="1"/>
      <c r="DHU10" s="1"/>
      <c r="DHV10" s="1"/>
      <c r="DHW10" s="1"/>
      <c r="DHX10" s="1"/>
      <c r="DHY10" s="1"/>
      <c r="DHZ10" s="1"/>
      <c r="DIA10" s="1"/>
      <c r="DIB10" s="1"/>
      <c r="DIC10" s="1"/>
      <c r="DID10" s="1"/>
      <c r="DIE10" s="1"/>
      <c r="DIF10" s="1"/>
      <c r="DIG10" s="1"/>
      <c r="DIH10" s="1"/>
      <c r="DII10" s="1"/>
      <c r="DIJ10" s="1"/>
      <c r="DIK10" s="1"/>
      <c r="DIL10" s="1"/>
      <c r="DIM10" s="1"/>
      <c r="DIN10" s="1"/>
      <c r="DIO10" s="1"/>
      <c r="DIP10" s="1"/>
      <c r="DIQ10" s="1"/>
      <c r="DIR10" s="1"/>
      <c r="DIS10" s="1"/>
      <c r="DIT10" s="1"/>
      <c r="DIU10" s="1"/>
      <c r="DIV10" s="1"/>
      <c r="DIW10" s="1"/>
      <c r="DIX10" s="1"/>
      <c r="DIY10" s="1"/>
      <c r="DIZ10" s="1"/>
      <c r="DJA10" s="1"/>
      <c r="DJB10" s="1"/>
      <c r="DJC10" s="1"/>
      <c r="DJD10" s="1"/>
      <c r="DJE10" s="1"/>
      <c r="DJF10" s="1"/>
      <c r="DJG10" s="1"/>
      <c r="DJH10" s="1"/>
      <c r="DJI10" s="1"/>
      <c r="DJJ10" s="1"/>
      <c r="DJK10" s="1"/>
      <c r="DJL10" s="1"/>
      <c r="DJM10" s="1"/>
      <c r="DJN10" s="1"/>
      <c r="DJO10" s="1"/>
      <c r="DJP10" s="1"/>
      <c r="DJQ10" s="1"/>
      <c r="DJR10" s="1"/>
      <c r="DJS10" s="1"/>
      <c r="DJT10" s="1"/>
      <c r="DJU10" s="1"/>
      <c r="DJV10" s="1"/>
      <c r="DJW10" s="1"/>
      <c r="DJX10" s="1"/>
      <c r="DJY10" s="1"/>
      <c r="DJZ10" s="1"/>
      <c r="DKA10" s="1"/>
      <c r="DKB10" s="1"/>
      <c r="DKC10" s="1"/>
      <c r="DKD10" s="1"/>
      <c r="DKE10" s="1"/>
      <c r="DKF10" s="1"/>
      <c r="DKG10" s="1"/>
      <c r="DKH10" s="1"/>
      <c r="DKI10" s="1"/>
      <c r="DKJ10" s="1"/>
      <c r="DKK10" s="1"/>
      <c r="DKL10" s="1"/>
      <c r="DKM10" s="1"/>
      <c r="DKN10" s="1"/>
      <c r="DKO10" s="1"/>
      <c r="DKP10" s="1"/>
      <c r="DKQ10" s="1"/>
      <c r="DKR10" s="1"/>
      <c r="DKS10" s="1"/>
      <c r="DKT10" s="1"/>
      <c r="DKU10" s="1"/>
      <c r="DKV10" s="1"/>
      <c r="DKW10" s="1"/>
      <c r="DKX10" s="1"/>
      <c r="DKY10" s="1"/>
      <c r="DKZ10" s="1"/>
      <c r="DLA10" s="1"/>
      <c r="DLB10" s="1"/>
      <c r="DLC10" s="1"/>
      <c r="DLD10" s="1"/>
      <c r="DLE10" s="1"/>
      <c r="DLF10" s="1"/>
      <c r="DLG10" s="1"/>
      <c r="DLH10" s="1"/>
      <c r="DLI10" s="1"/>
      <c r="DLJ10" s="1"/>
      <c r="DLK10" s="1"/>
      <c r="DLL10" s="1"/>
      <c r="DLM10" s="1"/>
      <c r="DLN10" s="1"/>
      <c r="DLO10" s="1"/>
      <c r="DLP10" s="1"/>
      <c r="DLQ10" s="1"/>
      <c r="DLR10" s="1"/>
      <c r="DLS10" s="1"/>
      <c r="DLT10" s="1"/>
      <c r="DLU10" s="1"/>
      <c r="DLV10" s="1"/>
      <c r="DLW10" s="1"/>
      <c r="DLX10" s="1"/>
      <c r="DLY10" s="1"/>
      <c r="DLZ10" s="1"/>
      <c r="DMA10" s="1"/>
      <c r="DMB10" s="1"/>
      <c r="DMC10" s="1"/>
      <c r="DMD10" s="1"/>
      <c r="DME10" s="1"/>
      <c r="DMF10" s="1"/>
      <c r="DMG10" s="1"/>
      <c r="DMH10" s="1"/>
      <c r="DMI10" s="1"/>
      <c r="DMJ10" s="1"/>
      <c r="DMK10" s="1"/>
      <c r="DML10" s="1"/>
      <c r="DMM10" s="1"/>
      <c r="DMN10" s="1"/>
      <c r="DMO10" s="1"/>
      <c r="DMP10" s="1"/>
      <c r="DMQ10" s="1"/>
      <c r="DMR10" s="1"/>
      <c r="DMS10" s="1"/>
      <c r="DMT10" s="1"/>
      <c r="DMU10" s="1"/>
      <c r="DMV10" s="1"/>
      <c r="DMW10" s="1"/>
      <c r="DMX10" s="1"/>
      <c r="DMY10" s="1"/>
      <c r="DMZ10" s="1"/>
      <c r="DNA10" s="1"/>
      <c r="DNB10" s="1"/>
      <c r="DNC10" s="1"/>
      <c r="DND10" s="1"/>
      <c r="DNE10" s="1"/>
      <c r="DNF10" s="1"/>
      <c r="DNG10" s="1"/>
      <c r="DNH10" s="1"/>
      <c r="DNI10" s="1"/>
      <c r="DNJ10" s="1"/>
      <c r="DNK10" s="1"/>
      <c r="DNL10" s="1"/>
      <c r="DNM10" s="1"/>
      <c r="DNN10" s="1"/>
      <c r="DNO10" s="1"/>
      <c r="DNP10" s="1"/>
      <c r="DNQ10" s="1"/>
      <c r="DNR10" s="1"/>
      <c r="DNS10" s="1"/>
      <c r="DNT10" s="1"/>
      <c r="DNU10" s="1"/>
      <c r="DNV10" s="1"/>
      <c r="DNW10" s="1"/>
      <c r="DNX10" s="1"/>
      <c r="DNY10" s="1"/>
      <c r="DNZ10" s="1"/>
      <c r="DOA10" s="1"/>
      <c r="DOB10" s="1"/>
      <c r="DOC10" s="1"/>
      <c r="DOD10" s="1"/>
      <c r="DOE10" s="1"/>
      <c r="DOF10" s="1"/>
      <c r="DOG10" s="1"/>
      <c r="DOH10" s="1"/>
      <c r="DOI10" s="1"/>
      <c r="DOJ10" s="1"/>
      <c r="DOK10" s="1"/>
      <c r="DOL10" s="1"/>
      <c r="DOM10" s="1"/>
      <c r="DON10" s="1"/>
      <c r="DOO10" s="1"/>
      <c r="DOP10" s="1"/>
      <c r="DOQ10" s="1"/>
      <c r="DOR10" s="1"/>
      <c r="DOS10" s="1"/>
      <c r="DOT10" s="1"/>
      <c r="DOU10" s="1"/>
      <c r="DOV10" s="1"/>
      <c r="DOW10" s="1"/>
      <c r="DOX10" s="1"/>
      <c r="DOY10" s="1"/>
      <c r="DOZ10" s="1"/>
      <c r="DPA10" s="1"/>
      <c r="DPB10" s="1"/>
      <c r="DPC10" s="1"/>
      <c r="DPD10" s="1"/>
      <c r="DPE10" s="1"/>
      <c r="DPF10" s="1"/>
      <c r="DPG10" s="1"/>
      <c r="DPH10" s="1"/>
      <c r="DPI10" s="1"/>
      <c r="DPJ10" s="1"/>
      <c r="DPK10" s="1"/>
      <c r="DPL10" s="1"/>
      <c r="DPM10" s="1"/>
      <c r="DPN10" s="1"/>
      <c r="DPO10" s="1"/>
      <c r="DPP10" s="1"/>
      <c r="DPQ10" s="1"/>
      <c r="DPR10" s="1"/>
      <c r="DPS10" s="1"/>
      <c r="DPT10" s="1"/>
      <c r="DPU10" s="1"/>
      <c r="DPV10" s="1"/>
      <c r="DPW10" s="1"/>
      <c r="DPX10" s="1"/>
      <c r="DPY10" s="1"/>
      <c r="DPZ10" s="1"/>
      <c r="DQA10" s="1"/>
      <c r="DQB10" s="1"/>
      <c r="DQC10" s="1"/>
      <c r="DQD10" s="1"/>
      <c r="DQE10" s="1"/>
      <c r="DQF10" s="1"/>
      <c r="DQG10" s="1"/>
      <c r="DQH10" s="1"/>
      <c r="DQI10" s="1"/>
      <c r="DQJ10" s="1"/>
      <c r="DQK10" s="1"/>
      <c r="DQL10" s="1"/>
      <c r="DQM10" s="1"/>
      <c r="DQN10" s="1"/>
      <c r="DQO10" s="1"/>
      <c r="DQP10" s="1"/>
      <c r="DQQ10" s="1"/>
      <c r="DQR10" s="1"/>
      <c r="DQS10" s="1"/>
      <c r="DQT10" s="1"/>
      <c r="DQU10" s="1"/>
      <c r="DQV10" s="1"/>
      <c r="DQW10" s="1"/>
      <c r="DQX10" s="1"/>
      <c r="DQY10" s="1"/>
      <c r="DQZ10" s="1"/>
      <c r="DRA10" s="1"/>
      <c r="DRB10" s="1"/>
      <c r="DRC10" s="1"/>
      <c r="DRD10" s="1"/>
      <c r="DRE10" s="1"/>
      <c r="DRF10" s="1"/>
      <c r="DRG10" s="1"/>
      <c r="DRH10" s="1"/>
      <c r="DRI10" s="1"/>
      <c r="DRJ10" s="1"/>
      <c r="DRK10" s="1"/>
      <c r="DRL10" s="1"/>
      <c r="DRM10" s="1"/>
      <c r="DRN10" s="1"/>
      <c r="DRO10" s="1"/>
      <c r="DRP10" s="1"/>
      <c r="DRQ10" s="1"/>
      <c r="DRR10" s="1"/>
      <c r="DRS10" s="1"/>
      <c r="DRT10" s="1"/>
      <c r="DRU10" s="1"/>
      <c r="DRV10" s="1"/>
      <c r="DRW10" s="1"/>
      <c r="DRX10" s="1"/>
      <c r="DRY10" s="1"/>
      <c r="DRZ10" s="1"/>
      <c r="DSA10" s="1"/>
      <c r="DSB10" s="1"/>
      <c r="DSC10" s="1"/>
      <c r="DSD10" s="1"/>
      <c r="DSE10" s="1"/>
      <c r="DSF10" s="1"/>
      <c r="DSG10" s="1"/>
      <c r="DSH10" s="1"/>
      <c r="DSI10" s="1"/>
      <c r="DSJ10" s="1"/>
      <c r="DSK10" s="1"/>
      <c r="DSL10" s="1"/>
      <c r="DSM10" s="1"/>
      <c r="DSN10" s="1"/>
      <c r="DSO10" s="1"/>
      <c r="DSP10" s="1"/>
      <c r="DSQ10" s="1"/>
      <c r="DSR10" s="1"/>
      <c r="DSS10" s="1"/>
      <c r="DST10" s="1"/>
      <c r="DSU10" s="1"/>
      <c r="DSV10" s="1"/>
      <c r="DSW10" s="1"/>
      <c r="DSX10" s="1"/>
      <c r="DSY10" s="1"/>
      <c r="DSZ10" s="1"/>
      <c r="DTA10" s="1"/>
      <c r="DTB10" s="1"/>
      <c r="DTC10" s="1"/>
      <c r="DTD10" s="1"/>
      <c r="DTE10" s="1"/>
      <c r="DTF10" s="1"/>
      <c r="DTG10" s="1"/>
      <c r="DTH10" s="1"/>
      <c r="DTI10" s="1"/>
      <c r="DTJ10" s="1"/>
      <c r="DTK10" s="1"/>
      <c r="DTL10" s="1"/>
      <c r="DTM10" s="1"/>
      <c r="DTN10" s="1"/>
      <c r="DTO10" s="1"/>
      <c r="DTP10" s="1"/>
      <c r="DTQ10" s="1"/>
      <c r="DTR10" s="1"/>
      <c r="DTS10" s="1"/>
      <c r="DTT10" s="1"/>
      <c r="DTU10" s="1"/>
      <c r="DTV10" s="1"/>
      <c r="DTW10" s="1"/>
      <c r="DTX10" s="1"/>
      <c r="DTY10" s="1"/>
      <c r="DTZ10" s="1"/>
      <c r="DUA10" s="1"/>
      <c r="DUB10" s="1"/>
      <c r="DUC10" s="1"/>
      <c r="DUD10" s="1"/>
      <c r="DUE10" s="1"/>
      <c r="DUF10" s="1"/>
      <c r="DUG10" s="1"/>
      <c r="DUH10" s="1"/>
      <c r="DUI10" s="1"/>
      <c r="DUJ10" s="1"/>
      <c r="DUK10" s="1"/>
      <c r="DUL10" s="1"/>
      <c r="DUM10" s="1"/>
      <c r="DUN10" s="1"/>
      <c r="DUO10" s="1"/>
      <c r="DUP10" s="1"/>
      <c r="DUQ10" s="1"/>
      <c r="DUR10" s="1"/>
      <c r="DUS10" s="1"/>
      <c r="DUT10" s="1"/>
      <c r="DUU10" s="1"/>
      <c r="DUV10" s="1"/>
      <c r="DUW10" s="1"/>
      <c r="DUX10" s="1"/>
      <c r="DUY10" s="1"/>
      <c r="DUZ10" s="1"/>
      <c r="DVA10" s="1"/>
      <c r="DVB10" s="1"/>
      <c r="DVC10" s="1"/>
      <c r="DVD10" s="1"/>
      <c r="DVE10" s="1"/>
      <c r="DVF10" s="1"/>
      <c r="DVG10" s="1"/>
      <c r="DVH10" s="1"/>
      <c r="DVI10" s="1"/>
      <c r="DVJ10" s="1"/>
      <c r="DVK10" s="1"/>
      <c r="DVL10" s="1"/>
      <c r="DVM10" s="1"/>
      <c r="DVN10" s="1"/>
      <c r="DVO10" s="1"/>
      <c r="DVP10" s="1"/>
      <c r="DVQ10" s="1"/>
      <c r="DVR10" s="1"/>
      <c r="DVS10" s="1"/>
      <c r="DVT10" s="1"/>
      <c r="DVU10" s="1"/>
      <c r="DVV10" s="1"/>
      <c r="DVW10" s="1"/>
      <c r="DVX10" s="1"/>
      <c r="DVY10" s="1"/>
      <c r="DVZ10" s="1"/>
      <c r="DWA10" s="1"/>
      <c r="DWB10" s="1"/>
      <c r="DWC10" s="1"/>
      <c r="DWD10" s="1"/>
      <c r="DWE10" s="1"/>
      <c r="DWF10" s="1"/>
      <c r="DWG10" s="1"/>
      <c r="DWH10" s="1"/>
      <c r="DWI10" s="1"/>
      <c r="DWJ10" s="1"/>
      <c r="DWK10" s="1"/>
      <c r="DWL10" s="1"/>
      <c r="DWM10" s="1"/>
      <c r="DWN10" s="1"/>
      <c r="DWO10" s="1"/>
      <c r="DWP10" s="1"/>
      <c r="DWQ10" s="1"/>
      <c r="DWR10" s="1"/>
      <c r="DWS10" s="1"/>
      <c r="DWT10" s="1"/>
      <c r="DWU10" s="1"/>
      <c r="DWV10" s="1"/>
      <c r="DWW10" s="1"/>
      <c r="DWX10" s="1"/>
      <c r="DWY10" s="1"/>
      <c r="DWZ10" s="1"/>
      <c r="DXA10" s="1"/>
      <c r="DXB10" s="1"/>
      <c r="DXC10" s="1"/>
      <c r="DXD10" s="1"/>
      <c r="DXE10" s="1"/>
      <c r="DXF10" s="1"/>
      <c r="DXG10" s="1"/>
      <c r="DXH10" s="1"/>
      <c r="DXI10" s="1"/>
      <c r="DXJ10" s="1"/>
      <c r="DXK10" s="1"/>
      <c r="DXL10" s="1"/>
      <c r="DXM10" s="1"/>
      <c r="DXN10" s="1"/>
      <c r="DXO10" s="1"/>
      <c r="DXP10" s="1"/>
      <c r="DXQ10" s="1"/>
      <c r="DXR10" s="1"/>
      <c r="DXS10" s="1"/>
      <c r="DXT10" s="1"/>
      <c r="DXU10" s="1"/>
      <c r="DXV10" s="1"/>
      <c r="DXW10" s="1"/>
      <c r="DXX10" s="1"/>
      <c r="DXY10" s="1"/>
      <c r="DXZ10" s="1"/>
      <c r="DYA10" s="1"/>
      <c r="DYB10" s="1"/>
      <c r="DYC10" s="1"/>
      <c r="DYD10" s="1"/>
      <c r="DYE10" s="1"/>
      <c r="DYF10" s="1"/>
      <c r="DYG10" s="1"/>
      <c r="DYH10" s="1"/>
      <c r="DYI10" s="1"/>
      <c r="DYJ10" s="1"/>
      <c r="DYK10" s="1"/>
      <c r="DYL10" s="1"/>
      <c r="DYM10" s="1"/>
      <c r="DYN10" s="1"/>
      <c r="DYO10" s="1"/>
      <c r="DYP10" s="1"/>
      <c r="DYQ10" s="1"/>
      <c r="DYR10" s="1"/>
      <c r="DYS10" s="1"/>
      <c r="DYT10" s="1"/>
      <c r="DYU10" s="1"/>
      <c r="DYV10" s="1"/>
      <c r="DYW10" s="1"/>
      <c r="DYX10" s="1"/>
      <c r="DYY10" s="1"/>
      <c r="DYZ10" s="1"/>
      <c r="DZA10" s="1"/>
      <c r="DZB10" s="1"/>
      <c r="DZC10" s="1"/>
      <c r="DZD10" s="1"/>
      <c r="DZE10" s="1"/>
      <c r="DZF10" s="1"/>
      <c r="DZG10" s="1"/>
      <c r="DZH10" s="1"/>
      <c r="DZI10" s="1"/>
      <c r="DZJ10" s="1"/>
      <c r="DZK10" s="1"/>
      <c r="DZL10" s="1"/>
      <c r="DZM10" s="1"/>
      <c r="DZN10" s="1"/>
      <c r="DZO10" s="1"/>
      <c r="DZP10" s="1"/>
      <c r="DZQ10" s="1"/>
      <c r="DZR10" s="1"/>
      <c r="DZS10" s="1"/>
      <c r="DZT10" s="1"/>
      <c r="DZU10" s="1"/>
      <c r="DZV10" s="1"/>
      <c r="DZW10" s="1"/>
      <c r="DZX10" s="1"/>
      <c r="DZY10" s="1"/>
      <c r="DZZ10" s="1"/>
      <c r="EAA10" s="1"/>
      <c r="EAB10" s="1"/>
      <c r="EAC10" s="1"/>
      <c r="EAD10" s="1"/>
      <c r="EAE10" s="1"/>
      <c r="EAF10" s="1"/>
      <c r="EAG10" s="1"/>
      <c r="EAH10" s="1"/>
      <c r="EAI10" s="1"/>
      <c r="EAJ10" s="1"/>
      <c r="EAK10" s="1"/>
      <c r="EAL10" s="1"/>
      <c r="EAM10" s="1"/>
      <c r="EAN10" s="1"/>
      <c r="EAO10" s="1"/>
      <c r="EAP10" s="1"/>
      <c r="EAQ10" s="1"/>
      <c r="EAR10" s="1"/>
      <c r="EAS10" s="1"/>
      <c r="EAT10" s="1"/>
      <c r="EAU10" s="1"/>
      <c r="EAV10" s="1"/>
      <c r="EAW10" s="1"/>
      <c r="EAX10" s="1"/>
      <c r="EAY10" s="1"/>
      <c r="EAZ10" s="1"/>
      <c r="EBA10" s="1"/>
      <c r="EBB10" s="1"/>
      <c r="EBC10" s="1"/>
      <c r="EBD10" s="1"/>
      <c r="EBE10" s="1"/>
      <c r="EBF10" s="1"/>
      <c r="EBG10" s="1"/>
      <c r="EBH10" s="1"/>
      <c r="EBI10" s="1"/>
      <c r="EBJ10" s="1"/>
      <c r="EBK10" s="1"/>
      <c r="EBL10" s="1"/>
      <c r="EBM10" s="1"/>
      <c r="EBN10" s="1"/>
      <c r="EBO10" s="1"/>
      <c r="EBP10" s="1"/>
      <c r="EBQ10" s="1"/>
      <c r="EBR10" s="1"/>
      <c r="EBS10" s="1"/>
      <c r="EBT10" s="1"/>
      <c r="EBU10" s="1"/>
      <c r="EBV10" s="1"/>
      <c r="EBW10" s="1"/>
      <c r="EBX10" s="1"/>
      <c r="EBY10" s="1"/>
      <c r="EBZ10" s="1"/>
      <c r="ECA10" s="1"/>
      <c r="ECB10" s="1"/>
      <c r="ECC10" s="1"/>
      <c r="ECD10" s="1"/>
      <c r="ECE10" s="1"/>
      <c r="ECF10" s="1"/>
      <c r="ECG10" s="1"/>
      <c r="ECH10" s="1"/>
      <c r="ECI10" s="1"/>
      <c r="ECJ10" s="1"/>
      <c r="ECK10" s="1"/>
      <c r="ECL10" s="1"/>
      <c r="ECM10" s="1"/>
      <c r="ECN10" s="1"/>
      <c r="ECO10" s="1"/>
      <c r="ECP10" s="1"/>
      <c r="ECQ10" s="1"/>
      <c r="ECR10" s="1"/>
      <c r="ECS10" s="1"/>
      <c r="ECT10" s="1"/>
      <c r="ECU10" s="1"/>
      <c r="ECV10" s="1"/>
      <c r="ECW10" s="1"/>
      <c r="ECX10" s="1"/>
      <c r="ECY10" s="1"/>
      <c r="ECZ10" s="1"/>
      <c r="EDA10" s="1"/>
      <c r="EDB10" s="1"/>
      <c r="EDC10" s="1"/>
      <c r="EDD10" s="1"/>
      <c r="EDE10" s="1"/>
      <c r="EDF10" s="1"/>
      <c r="EDG10" s="1"/>
      <c r="EDH10" s="1"/>
      <c r="EDI10" s="1"/>
      <c r="EDJ10" s="1"/>
      <c r="EDK10" s="1"/>
      <c r="EDL10" s="1"/>
      <c r="EDM10" s="1"/>
      <c r="EDN10" s="1"/>
      <c r="EDO10" s="1"/>
      <c r="EDP10" s="1"/>
      <c r="EDQ10" s="1"/>
      <c r="EDR10" s="1"/>
      <c r="EDS10" s="1"/>
      <c r="EDT10" s="1"/>
      <c r="EDU10" s="1"/>
      <c r="EDV10" s="1"/>
      <c r="EDW10" s="1"/>
      <c r="EDX10" s="1"/>
      <c r="EDY10" s="1"/>
      <c r="EDZ10" s="1"/>
      <c r="EEA10" s="1"/>
      <c r="EEB10" s="1"/>
      <c r="EEC10" s="1"/>
      <c r="EED10" s="1"/>
      <c r="EEE10" s="1"/>
      <c r="EEF10" s="1"/>
      <c r="EEG10" s="1"/>
      <c r="EEH10" s="1"/>
      <c r="EEI10" s="1"/>
      <c r="EEJ10" s="1"/>
      <c r="EEK10" s="1"/>
      <c r="EEL10" s="1"/>
      <c r="EEM10" s="1"/>
      <c r="EEN10" s="1"/>
      <c r="EEO10" s="1"/>
      <c r="EEP10" s="1"/>
      <c r="EEQ10" s="1"/>
      <c r="EER10" s="1"/>
      <c r="EES10" s="1"/>
      <c r="EET10" s="1"/>
      <c r="EEU10" s="1"/>
      <c r="EEV10" s="1"/>
      <c r="EEW10" s="1"/>
      <c r="EEX10" s="1"/>
      <c r="EEY10" s="1"/>
      <c r="EEZ10" s="1"/>
      <c r="EFA10" s="1"/>
      <c r="EFB10" s="1"/>
      <c r="EFC10" s="1"/>
      <c r="EFD10" s="1"/>
      <c r="EFE10" s="1"/>
      <c r="EFF10" s="1"/>
      <c r="EFG10" s="1"/>
      <c r="EFH10" s="1"/>
      <c r="EFI10" s="1"/>
      <c r="EFJ10" s="1"/>
      <c r="EFK10" s="1"/>
      <c r="EFL10" s="1"/>
      <c r="EFM10" s="1"/>
      <c r="EFN10" s="1"/>
      <c r="EFO10" s="1"/>
      <c r="EFP10" s="1"/>
      <c r="EFQ10" s="1"/>
      <c r="EFR10" s="1"/>
      <c r="EFS10" s="1"/>
      <c r="EFT10" s="1"/>
      <c r="EFU10" s="1"/>
      <c r="EFV10" s="1"/>
      <c r="EFW10" s="1"/>
      <c r="EFX10" s="1"/>
      <c r="EFY10" s="1"/>
      <c r="EFZ10" s="1"/>
      <c r="EGA10" s="1"/>
      <c r="EGB10" s="1"/>
      <c r="EGC10" s="1"/>
      <c r="EGD10" s="1"/>
      <c r="EGE10" s="1"/>
      <c r="EGF10" s="1"/>
      <c r="EGG10" s="1"/>
      <c r="EGH10" s="1"/>
      <c r="EGI10" s="1"/>
      <c r="EGJ10" s="1"/>
      <c r="EGK10" s="1"/>
      <c r="EGL10" s="1"/>
      <c r="EGM10" s="1"/>
      <c r="EGN10" s="1"/>
      <c r="EGO10" s="1"/>
      <c r="EGP10" s="1"/>
      <c r="EGQ10" s="1"/>
      <c r="EGR10" s="1"/>
      <c r="EGS10" s="1"/>
      <c r="EGT10" s="1"/>
      <c r="EGU10" s="1"/>
      <c r="EGV10" s="1"/>
      <c r="EGW10" s="1"/>
      <c r="EGX10" s="1"/>
      <c r="EGY10" s="1"/>
      <c r="EGZ10" s="1"/>
      <c r="EHA10" s="1"/>
      <c r="EHB10" s="1"/>
      <c r="EHC10" s="1"/>
      <c r="EHD10" s="1"/>
      <c r="EHE10" s="1"/>
      <c r="EHF10" s="1"/>
      <c r="EHG10" s="1"/>
      <c r="EHH10" s="1"/>
      <c r="EHI10" s="1"/>
      <c r="EHJ10" s="1"/>
      <c r="EHK10" s="1"/>
      <c r="EHL10" s="1"/>
      <c r="EHM10" s="1"/>
      <c r="EHN10" s="1"/>
      <c r="EHO10" s="1"/>
      <c r="EHP10" s="1"/>
      <c r="EHQ10" s="1"/>
      <c r="EHR10" s="1"/>
      <c r="EHS10" s="1"/>
      <c r="EHT10" s="1"/>
      <c r="EHU10" s="1"/>
      <c r="EHV10" s="1"/>
      <c r="EHW10" s="1"/>
      <c r="EHX10" s="1"/>
      <c r="EHY10" s="1"/>
      <c r="EHZ10" s="1"/>
      <c r="EIA10" s="1"/>
      <c r="EIB10" s="1"/>
      <c r="EIC10" s="1"/>
      <c r="EID10" s="1"/>
      <c r="EIE10" s="1"/>
      <c r="EIF10" s="1"/>
      <c r="EIG10" s="1"/>
      <c r="EIH10" s="1"/>
      <c r="EII10" s="1"/>
      <c r="EIJ10" s="1"/>
      <c r="EIK10" s="1"/>
      <c r="EIL10" s="1"/>
      <c r="EIM10" s="1"/>
      <c r="EIN10" s="1"/>
      <c r="EIO10" s="1"/>
      <c r="EIP10" s="1"/>
      <c r="EIQ10" s="1"/>
      <c r="EIR10" s="1"/>
      <c r="EIS10" s="1"/>
      <c r="EIT10" s="1"/>
      <c r="EIU10" s="1"/>
      <c r="EIV10" s="1"/>
      <c r="EIW10" s="1"/>
      <c r="EIX10" s="1"/>
      <c r="EIY10" s="1"/>
      <c r="EIZ10" s="1"/>
      <c r="EJA10" s="1"/>
      <c r="EJB10" s="1"/>
      <c r="EJC10" s="1"/>
      <c r="EJD10" s="1"/>
      <c r="EJE10" s="1"/>
      <c r="EJF10" s="1"/>
      <c r="EJG10" s="1"/>
      <c r="EJH10" s="1"/>
      <c r="EJI10" s="1"/>
      <c r="EJJ10" s="1"/>
      <c r="EJK10" s="1"/>
      <c r="EJL10" s="1"/>
      <c r="EJM10" s="1"/>
      <c r="EJN10" s="1"/>
      <c r="EJO10" s="1"/>
      <c r="EJP10" s="1"/>
      <c r="EJQ10" s="1"/>
      <c r="EJR10" s="1"/>
      <c r="EJS10" s="1"/>
      <c r="EJT10" s="1"/>
      <c r="EJU10" s="1"/>
      <c r="EJV10" s="1"/>
      <c r="EJW10" s="1"/>
      <c r="EJX10" s="1"/>
      <c r="EJY10" s="1"/>
      <c r="EJZ10" s="1"/>
      <c r="EKA10" s="1"/>
      <c r="EKB10" s="1"/>
      <c r="EKC10" s="1"/>
      <c r="EKD10" s="1"/>
      <c r="EKE10" s="1"/>
      <c r="EKF10" s="1"/>
      <c r="EKG10" s="1"/>
      <c r="EKH10" s="1"/>
      <c r="EKI10" s="1"/>
      <c r="EKJ10" s="1"/>
      <c r="EKK10" s="1"/>
      <c r="EKL10" s="1"/>
      <c r="EKM10" s="1"/>
      <c r="EKN10" s="1"/>
      <c r="EKO10" s="1"/>
      <c r="EKP10" s="1"/>
      <c r="EKQ10" s="1"/>
      <c r="EKR10" s="1"/>
      <c r="EKS10" s="1"/>
      <c r="EKT10" s="1"/>
      <c r="EKU10" s="1"/>
      <c r="EKV10" s="1"/>
      <c r="EKW10" s="1"/>
      <c r="EKX10" s="1"/>
      <c r="EKY10" s="1"/>
      <c r="EKZ10" s="1"/>
      <c r="ELA10" s="1"/>
      <c r="ELB10" s="1"/>
      <c r="ELC10" s="1"/>
      <c r="ELD10" s="1"/>
      <c r="ELE10" s="1"/>
      <c r="ELF10" s="1"/>
      <c r="ELG10" s="1"/>
      <c r="ELH10" s="1"/>
      <c r="ELI10" s="1"/>
      <c r="ELJ10" s="1"/>
      <c r="ELK10" s="1"/>
      <c r="ELL10" s="1"/>
      <c r="ELM10" s="1"/>
      <c r="ELN10" s="1"/>
      <c r="ELO10" s="1"/>
      <c r="ELP10" s="1"/>
      <c r="ELQ10" s="1"/>
      <c r="ELR10" s="1"/>
      <c r="ELS10" s="1"/>
      <c r="ELT10" s="1"/>
      <c r="ELU10" s="1"/>
      <c r="ELV10" s="1"/>
      <c r="ELW10" s="1"/>
      <c r="ELX10" s="1"/>
      <c r="ELY10" s="1"/>
      <c r="ELZ10" s="1"/>
      <c r="EMA10" s="1"/>
      <c r="EMB10" s="1"/>
      <c r="EMC10" s="1"/>
      <c r="EMD10" s="1"/>
      <c r="EME10" s="1"/>
      <c r="EMF10" s="1"/>
      <c r="EMG10" s="1"/>
      <c r="EMH10" s="1"/>
      <c r="EMI10" s="1"/>
      <c r="EMJ10" s="1"/>
      <c r="EMK10" s="1"/>
      <c r="EML10" s="1"/>
      <c r="EMM10" s="1"/>
      <c r="EMN10" s="1"/>
      <c r="EMO10" s="1"/>
      <c r="EMP10" s="1"/>
      <c r="EMQ10" s="1"/>
      <c r="EMR10" s="1"/>
      <c r="EMS10" s="1"/>
      <c r="EMT10" s="1"/>
      <c r="EMU10" s="1"/>
      <c r="EMV10" s="1"/>
      <c r="EMW10" s="1"/>
      <c r="EMX10" s="1"/>
      <c r="EMY10" s="1"/>
      <c r="EMZ10" s="1"/>
      <c r="ENA10" s="1"/>
      <c r="ENB10" s="1"/>
      <c r="ENC10" s="1"/>
      <c r="END10" s="1"/>
      <c r="ENE10" s="1"/>
      <c r="ENF10" s="1"/>
      <c r="ENG10" s="1"/>
      <c r="ENH10" s="1"/>
      <c r="ENI10" s="1"/>
      <c r="ENJ10" s="1"/>
      <c r="ENK10" s="1"/>
      <c r="ENL10" s="1"/>
      <c r="ENM10" s="1"/>
      <c r="ENN10" s="1"/>
      <c r="ENO10" s="1"/>
      <c r="ENP10" s="1"/>
      <c r="ENQ10" s="1"/>
      <c r="ENR10" s="1"/>
      <c r="ENS10" s="1"/>
      <c r="ENT10" s="1"/>
      <c r="ENU10" s="1"/>
      <c r="ENV10" s="1"/>
      <c r="ENW10" s="1"/>
      <c r="ENX10" s="1"/>
      <c r="ENY10" s="1"/>
      <c r="ENZ10" s="1"/>
      <c r="EOA10" s="1"/>
      <c r="EOB10" s="1"/>
      <c r="EOC10" s="1"/>
      <c r="EOD10" s="1"/>
      <c r="EOE10" s="1"/>
      <c r="EOF10" s="1"/>
      <c r="EOG10" s="1"/>
      <c r="EOH10" s="1"/>
      <c r="EOI10" s="1"/>
      <c r="EOJ10" s="1"/>
      <c r="EOK10" s="1"/>
      <c r="EOL10" s="1"/>
      <c r="EOM10" s="1"/>
      <c r="EON10" s="1"/>
      <c r="EOO10" s="1"/>
      <c r="EOP10" s="1"/>
      <c r="EOQ10" s="1"/>
      <c r="EOR10" s="1"/>
      <c r="EOS10" s="1"/>
      <c r="EOT10" s="1"/>
      <c r="EOU10" s="1"/>
      <c r="EOV10" s="1"/>
      <c r="EOW10" s="1"/>
      <c r="EOX10" s="1"/>
      <c r="EOY10" s="1"/>
      <c r="EOZ10" s="1"/>
      <c r="EPA10" s="1"/>
      <c r="EPB10" s="1"/>
      <c r="EPC10" s="1"/>
      <c r="EPD10" s="1"/>
      <c r="EPE10" s="1"/>
      <c r="EPF10" s="1"/>
      <c r="EPG10" s="1"/>
      <c r="EPH10" s="1"/>
      <c r="EPI10" s="1"/>
      <c r="EPJ10" s="1"/>
      <c r="EPK10" s="1"/>
      <c r="EPL10" s="1"/>
      <c r="EPM10" s="1"/>
      <c r="EPN10" s="1"/>
      <c r="EPO10" s="1"/>
      <c r="EPP10" s="1"/>
      <c r="EPQ10" s="1"/>
      <c r="EPR10" s="1"/>
      <c r="EPS10" s="1"/>
      <c r="EPT10" s="1"/>
      <c r="EPU10" s="1"/>
      <c r="EPV10" s="1"/>
      <c r="EPW10" s="1"/>
      <c r="EPX10" s="1"/>
      <c r="EPY10" s="1"/>
      <c r="EPZ10" s="1"/>
      <c r="EQA10" s="1"/>
      <c r="EQB10" s="1"/>
      <c r="EQC10" s="1"/>
      <c r="EQD10" s="1"/>
      <c r="EQE10" s="1"/>
      <c r="EQF10" s="1"/>
      <c r="EQG10" s="1"/>
      <c r="EQH10" s="1"/>
      <c r="EQI10" s="1"/>
      <c r="EQJ10" s="1"/>
      <c r="EQK10" s="1"/>
      <c r="EQL10" s="1"/>
      <c r="EQM10" s="1"/>
      <c r="EQN10" s="1"/>
      <c r="EQO10" s="1"/>
      <c r="EQP10" s="1"/>
      <c r="EQQ10" s="1"/>
      <c r="EQR10" s="1"/>
      <c r="EQS10" s="1"/>
      <c r="EQT10" s="1"/>
      <c r="EQU10" s="1"/>
      <c r="EQV10" s="1"/>
      <c r="EQW10" s="1"/>
      <c r="EQX10" s="1"/>
      <c r="EQY10" s="1"/>
      <c r="EQZ10" s="1"/>
      <c r="ERA10" s="1"/>
      <c r="ERB10" s="1"/>
      <c r="ERC10" s="1"/>
      <c r="ERD10" s="1"/>
      <c r="ERE10" s="1"/>
      <c r="ERF10" s="1"/>
      <c r="ERG10" s="1"/>
      <c r="ERH10" s="1"/>
      <c r="ERI10" s="1"/>
      <c r="ERJ10" s="1"/>
      <c r="ERK10" s="1"/>
      <c r="ERL10" s="1"/>
      <c r="ERM10" s="1"/>
      <c r="ERN10" s="1"/>
      <c r="ERO10" s="1"/>
      <c r="ERP10" s="1"/>
      <c r="ERQ10" s="1"/>
      <c r="ERR10" s="1"/>
      <c r="ERS10" s="1"/>
      <c r="ERT10" s="1"/>
      <c r="ERU10" s="1"/>
      <c r="ERV10" s="1"/>
      <c r="ERW10" s="1"/>
      <c r="ERX10" s="1"/>
      <c r="ERY10" s="1"/>
      <c r="ERZ10" s="1"/>
      <c r="ESA10" s="1"/>
      <c r="ESB10" s="1"/>
      <c r="ESC10" s="1"/>
      <c r="ESD10" s="1"/>
      <c r="ESE10" s="1"/>
      <c r="ESF10" s="1"/>
      <c r="ESG10" s="1"/>
      <c r="ESH10" s="1"/>
      <c r="ESI10" s="1"/>
      <c r="ESJ10" s="1"/>
      <c r="ESK10" s="1"/>
      <c r="ESL10" s="1"/>
      <c r="ESM10" s="1"/>
      <c r="ESN10" s="1"/>
      <c r="ESO10" s="1"/>
      <c r="ESP10" s="1"/>
      <c r="ESQ10" s="1"/>
      <c r="ESR10" s="1"/>
      <c r="ESS10" s="1"/>
      <c r="EST10" s="1"/>
      <c r="ESU10" s="1"/>
      <c r="ESV10" s="1"/>
      <c r="ESW10" s="1"/>
      <c r="ESX10" s="1"/>
      <c r="ESY10" s="1"/>
      <c r="ESZ10" s="1"/>
      <c r="ETA10" s="1"/>
      <c r="ETB10" s="1"/>
      <c r="ETC10" s="1"/>
      <c r="ETD10" s="1"/>
      <c r="ETE10" s="1"/>
      <c r="ETF10" s="1"/>
      <c r="ETG10" s="1"/>
      <c r="ETH10" s="1"/>
      <c r="ETI10" s="1"/>
      <c r="ETJ10" s="1"/>
      <c r="ETK10" s="1"/>
      <c r="ETL10" s="1"/>
      <c r="ETM10" s="1"/>
      <c r="ETN10" s="1"/>
      <c r="ETO10" s="1"/>
      <c r="ETP10" s="1"/>
      <c r="ETQ10" s="1"/>
      <c r="ETR10" s="1"/>
      <c r="ETS10" s="1"/>
      <c r="ETT10" s="1"/>
      <c r="ETU10" s="1"/>
      <c r="ETV10" s="1"/>
      <c r="ETW10" s="1"/>
      <c r="ETX10" s="1"/>
      <c r="ETY10" s="1"/>
      <c r="ETZ10" s="1"/>
      <c r="EUA10" s="1"/>
      <c r="EUB10" s="1"/>
      <c r="EUC10" s="1"/>
      <c r="EUD10" s="1"/>
      <c r="EUE10" s="1"/>
      <c r="EUF10" s="1"/>
      <c r="EUG10" s="1"/>
      <c r="EUH10" s="1"/>
      <c r="EUI10" s="1"/>
      <c r="EUJ10" s="1"/>
      <c r="EUK10" s="1"/>
      <c r="EUL10" s="1"/>
      <c r="EUM10" s="1"/>
      <c r="EUN10" s="1"/>
      <c r="EUO10" s="1"/>
      <c r="EUP10" s="1"/>
      <c r="EUQ10" s="1"/>
      <c r="EUR10" s="1"/>
      <c r="EUS10" s="1"/>
      <c r="EUT10" s="1"/>
      <c r="EUU10" s="1"/>
      <c r="EUV10" s="1"/>
      <c r="EUW10" s="1"/>
      <c r="EUX10" s="1"/>
      <c r="EUY10" s="1"/>
      <c r="EUZ10" s="1"/>
      <c r="EVA10" s="1"/>
      <c r="EVB10" s="1"/>
      <c r="EVC10" s="1"/>
      <c r="EVD10" s="1"/>
      <c r="EVE10" s="1"/>
      <c r="EVF10" s="1"/>
      <c r="EVG10" s="1"/>
      <c r="EVH10" s="1"/>
      <c r="EVI10" s="1"/>
      <c r="EVJ10" s="1"/>
      <c r="EVK10" s="1"/>
      <c r="EVL10" s="1"/>
      <c r="EVM10" s="1"/>
      <c r="EVN10" s="1"/>
      <c r="EVO10" s="1"/>
      <c r="EVP10" s="1"/>
      <c r="EVQ10" s="1"/>
      <c r="EVR10" s="1"/>
      <c r="EVS10" s="1"/>
      <c r="EVT10" s="1"/>
      <c r="EVU10" s="1"/>
      <c r="EVV10" s="1"/>
      <c r="EVW10" s="1"/>
      <c r="EVX10" s="1"/>
      <c r="EVY10" s="1"/>
      <c r="EVZ10" s="1"/>
      <c r="EWA10" s="1"/>
      <c r="EWB10" s="1"/>
      <c r="EWC10" s="1"/>
      <c r="EWD10" s="1"/>
      <c r="EWE10" s="1"/>
      <c r="EWF10" s="1"/>
      <c r="EWG10" s="1"/>
      <c r="EWH10" s="1"/>
      <c r="EWI10" s="1"/>
      <c r="EWJ10" s="1"/>
      <c r="EWK10" s="1"/>
      <c r="EWL10" s="1"/>
      <c r="EWM10" s="1"/>
      <c r="EWN10" s="1"/>
      <c r="EWO10" s="1"/>
      <c r="EWP10" s="1"/>
      <c r="EWQ10" s="1"/>
      <c r="EWR10" s="1"/>
      <c r="EWS10" s="1"/>
      <c r="EWT10" s="1"/>
      <c r="EWU10" s="1"/>
      <c r="EWV10" s="1"/>
      <c r="EWW10" s="1"/>
      <c r="EWX10" s="1"/>
      <c r="EWY10" s="1"/>
      <c r="EWZ10" s="1"/>
      <c r="EXA10" s="1"/>
      <c r="EXB10" s="1"/>
      <c r="EXC10" s="1"/>
      <c r="EXD10" s="1"/>
      <c r="EXE10" s="1"/>
      <c r="EXF10" s="1"/>
      <c r="EXG10" s="1"/>
      <c r="EXH10" s="1"/>
      <c r="EXI10" s="1"/>
      <c r="EXJ10" s="1"/>
      <c r="EXK10" s="1"/>
      <c r="EXL10" s="1"/>
      <c r="EXM10" s="1"/>
      <c r="EXN10" s="1"/>
      <c r="EXO10" s="1"/>
      <c r="EXP10" s="1"/>
      <c r="EXQ10" s="1"/>
      <c r="EXR10" s="1"/>
      <c r="EXS10" s="1"/>
      <c r="EXT10" s="1"/>
      <c r="EXU10" s="1"/>
      <c r="EXV10" s="1"/>
      <c r="EXW10" s="1"/>
      <c r="EXX10" s="1"/>
      <c r="EXY10" s="1"/>
      <c r="EXZ10" s="1"/>
      <c r="EYA10" s="1"/>
      <c r="EYB10" s="1"/>
      <c r="EYC10" s="1"/>
      <c r="EYD10" s="1"/>
      <c r="EYE10" s="1"/>
      <c r="EYF10" s="1"/>
      <c r="EYG10" s="1"/>
      <c r="EYH10" s="1"/>
      <c r="EYI10" s="1"/>
      <c r="EYJ10" s="1"/>
      <c r="EYK10" s="1"/>
      <c r="EYL10" s="1"/>
      <c r="EYM10" s="1"/>
      <c r="EYN10" s="1"/>
      <c r="EYO10" s="1"/>
      <c r="EYP10" s="1"/>
      <c r="EYQ10" s="1"/>
      <c r="EYR10" s="1"/>
      <c r="EYS10" s="1"/>
      <c r="EYT10" s="1"/>
      <c r="EYU10" s="1"/>
      <c r="EYV10" s="1"/>
      <c r="EYW10" s="1"/>
      <c r="EYX10" s="1"/>
      <c r="EYY10" s="1"/>
      <c r="EYZ10" s="1"/>
      <c r="EZA10" s="1"/>
      <c r="EZB10" s="1"/>
      <c r="EZC10" s="1"/>
      <c r="EZD10" s="1"/>
      <c r="EZE10" s="1"/>
      <c r="EZF10" s="1"/>
      <c r="EZG10" s="1"/>
      <c r="EZH10" s="1"/>
      <c r="EZI10" s="1"/>
      <c r="EZJ10" s="1"/>
      <c r="EZK10" s="1"/>
      <c r="EZL10" s="1"/>
      <c r="EZM10" s="1"/>
      <c r="EZN10" s="1"/>
      <c r="EZO10" s="1"/>
      <c r="EZP10" s="1"/>
      <c r="EZQ10" s="1"/>
      <c r="EZR10" s="1"/>
      <c r="EZS10" s="1"/>
      <c r="EZT10" s="1"/>
      <c r="EZU10" s="1"/>
      <c r="EZV10" s="1"/>
      <c r="EZW10" s="1"/>
      <c r="EZX10" s="1"/>
      <c r="EZY10" s="1"/>
      <c r="EZZ10" s="1"/>
      <c r="FAA10" s="1"/>
      <c r="FAB10" s="1"/>
      <c r="FAC10" s="1"/>
      <c r="FAD10" s="1"/>
      <c r="FAE10" s="1"/>
      <c r="FAF10" s="1"/>
      <c r="FAG10" s="1"/>
      <c r="FAH10" s="1"/>
      <c r="FAI10" s="1"/>
      <c r="FAJ10" s="1"/>
      <c r="FAK10" s="1"/>
      <c r="FAL10" s="1"/>
      <c r="FAM10" s="1"/>
      <c r="FAN10" s="1"/>
      <c r="FAO10" s="1"/>
      <c r="FAP10" s="1"/>
      <c r="FAQ10" s="1"/>
      <c r="FAR10" s="1"/>
      <c r="FAS10" s="1"/>
      <c r="FAT10" s="1"/>
      <c r="FAU10" s="1"/>
      <c r="FAV10" s="1"/>
      <c r="FAW10" s="1"/>
      <c r="FAX10" s="1"/>
      <c r="FAY10" s="1"/>
      <c r="FAZ10" s="1"/>
      <c r="FBA10" s="1"/>
      <c r="FBB10" s="1"/>
      <c r="FBC10" s="1"/>
      <c r="FBD10" s="1"/>
      <c r="FBE10" s="1"/>
      <c r="FBF10" s="1"/>
      <c r="FBG10" s="1"/>
      <c r="FBH10" s="1"/>
      <c r="FBI10" s="1"/>
      <c r="FBJ10" s="1"/>
      <c r="FBK10" s="1"/>
      <c r="FBL10" s="1"/>
      <c r="FBM10" s="1"/>
      <c r="FBN10" s="1"/>
      <c r="FBO10" s="1"/>
      <c r="FBP10" s="1"/>
      <c r="FBQ10" s="1"/>
      <c r="FBR10" s="1"/>
      <c r="FBS10" s="1"/>
      <c r="FBT10" s="1"/>
      <c r="FBU10" s="1"/>
      <c r="FBV10" s="1"/>
      <c r="FBW10" s="1"/>
      <c r="FBX10" s="1"/>
      <c r="FBY10" s="1"/>
      <c r="FBZ10" s="1"/>
      <c r="FCA10" s="1"/>
      <c r="FCB10" s="1"/>
      <c r="FCC10" s="1"/>
      <c r="FCD10" s="1"/>
      <c r="FCE10" s="1"/>
      <c r="FCF10" s="1"/>
      <c r="FCG10" s="1"/>
      <c r="FCH10" s="1"/>
      <c r="FCI10" s="1"/>
      <c r="FCJ10" s="1"/>
      <c r="FCK10" s="1"/>
      <c r="FCL10" s="1"/>
      <c r="FCM10" s="1"/>
      <c r="FCN10" s="1"/>
      <c r="FCO10" s="1"/>
      <c r="FCP10" s="1"/>
      <c r="FCQ10" s="1"/>
      <c r="FCR10" s="1"/>
      <c r="FCS10" s="1"/>
      <c r="FCT10" s="1"/>
      <c r="FCU10" s="1"/>
      <c r="FCV10" s="1"/>
      <c r="FCW10" s="1"/>
      <c r="FCX10" s="1"/>
      <c r="FCY10" s="1"/>
      <c r="FCZ10" s="1"/>
      <c r="FDA10" s="1"/>
      <c r="FDB10" s="1"/>
      <c r="FDC10" s="1"/>
      <c r="FDD10" s="1"/>
      <c r="FDE10" s="1"/>
      <c r="FDF10" s="1"/>
      <c r="FDG10" s="1"/>
      <c r="FDH10" s="1"/>
      <c r="FDI10" s="1"/>
      <c r="FDJ10" s="1"/>
      <c r="FDK10" s="1"/>
      <c r="FDL10" s="1"/>
      <c r="FDM10" s="1"/>
      <c r="FDN10" s="1"/>
      <c r="FDO10" s="1"/>
      <c r="FDP10" s="1"/>
      <c r="FDQ10" s="1"/>
      <c r="FDR10" s="1"/>
      <c r="FDS10" s="1"/>
      <c r="FDT10" s="1"/>
      <c r="FDU10" s="1"/>
      <c r="FDV10" s="1"/>
      <c r="FDW10" s="1"/>
      <c r="FDX10" s="1"/>
      <c r="FDY10" s="1"/>
      <c r="FDZ10" s="1"/>
      <c r="FEA10" s="1"/>
      <c r="FEB10" s="1"/>
      <c r="FEC10" s="1"/>
      <c r="FED10" s="1"/>
      <c r="FEE10" s="1"/>
      <c r="FEF10" s="1"/>
      <c r="FEG10" s="1"/>
      <c r="FEH10" s="1"/>
      <c r="FEI10" s="1"/>
      <c r="FEJ10" s="1"/>
      <c r="FEK10" s="1"/>
      <c r="FEL10" s="1"/>
      <c r="FEM10" s="1"/>
      <c r="FEN10" s="1"/>
      <c r="FEO10" s="1"/>
      <c r="FEP10" s="1"/>
      <c r="FEQ10" s="1"/>
      <c r="FER10" s="1"/>
      <c r="FES10" s="1"/>
      <c r="FET10" s="1"/>
      <c r="FEU10" s="1"/>
      <c r="FEV10" s="1"/>
      <c r="FEW10" s="1"/>
      <c r="FEX10" s="1"/>
      <c r="FEY10" s="1"/>
      <c r="FEZ10" s="1"/>
      <c r="FFA10" s="1"/>
      <c r="FFB10" s="1"/>
      <c r="FFC10" s="1"/>
      <c r="FFD10" s="1"/>
      <c r="FFE10" s="1"/>
      <c r="FFF10" s="1"/>
      <c r="FFG10" s="1"/>
      <c r="FFH10" s="1"/>
      <c r="FFI10" s="1"/>
      <c r="FFJ10" s="1"/>
      <c r="FFK10" s="1"/>
      <c r="FFL10" s="1"/>
      <c r="FFM10" s="1"/>
      <c r="FFN10" s="1"/>
      <c r="FFO10" s="1"/>
      <c r="FFP10" s="1"/>
      <c r="FFQ10" s="1"/>
      <c r="FFR10" s="1"/>
      <c r="FFS10" s="1"/>
      <c r="FFT10" s="1"/>
      <c r="FFU10" s="1"/>
      <c r="FFV10" s="1"/>
      <c r="FFW10" s="1"/>
      <c r="FFX10" s="1"/>
      <c r="FFY10" s="1"/>
      <c r="FFZ10" s="1"/>
      <c r="FGA10" s="1"/>
      <c r="FGB10" s="1"/>
      <c r="FGC10" s="1"/>
      <c r="FGD10" s="1"/>
      <c r="FGE10" s="1"/>
      <c r="FGF10" s="1"/>
      <c r="FGG10" s="1"/>
      <c r="FGH10" s="1"/>
      <c r="FGI10" s="1"/>
      <c r="FGJ10" s="1"/>
      <c r="FGK10" s="1"/>
      <c r="FGL10" s="1"/>
      <c r="FGM10" s="1"/>
      <c r="FGN10" s="1"/>
      <c r="FGO10" s="1"/>
      <c r="FGP10" s="1"/>
      <c r="FGQ10" s="1"/>
      <c r="FGR10" s="1"/>
      <c r="FGS10" s="1"/>
      <c r="FGT10" s="1"/>
      <c r="FGU10" s="1"/>
      <c r="FGV10" s="1"/>
      <c r="FGW10" s="1"/>
      <c r="FGX10" s="1"/>
      <c r="FGY10" s="1"/>
      <c r="FGZ10" s="1"/>
      <c r="FHA10" s="1"/>
      <c r="FHB10" s="1"/>
      <c r="FHC10" s="1"/>
      <c r="FHD10" s="1"/>
      <c r="FHE10" s="1"/>
      <c r="FHF10" s="1"/>
      <c r="FHG10" s="1"/>
      <c r="FHH10" s="1"/>
      <c r="FHI10" s="1"/>
      <c r="FHJ10" s="1"/>
      <c r="FHK10" s="1"/>
      <c r="FHL10" s="1"/>
      <c r="FHM10" s="1"/>
      <c r="FHN10" s="1"/>
      <c r="FHO10" s="1"/>
      <c r="FHP10" s="1"/>
      <c r="FHQ10" s="1"/>
      <c r="FHR10" s="1"/>
      <c r="FHS10" s="1"/>
      <c r="FHT10" s="1"/>
      <c r="FHU10" s="1"/>
      <c r="FHV10" s="1"/>
      <c r="FHW10" s="1"/>
      <c r="FHX10" s="1"/>
      <c r="FHY10" s="1"/>
      <c r="FHZ10" s="1"/>
      <c r="FIA10" s="1"/>
      <c r="FIB10" s="1"/>
      <c r="FIC10" s="1"/>
      <c r="FID10" s="1"/>
      <c r="FIE10" s="1"/>
      <c r="FIF10" s="1"/>
      <c r="FIG10" s="1"/>
      <c r="FIH10" s="1"/>
      <c r="FII10" s="1"/>
      <c r="FIJ10" s="1"/>
      <c r="FIK10" s="1"/>
      <c r="FIL10" s="1"/>
      <c r="FIM10" s="1"/>
      <c r="FIN10" s="1"/>
      <c r="FIO10" s="1"/>
      <c r="FIP10" s="1"/>
      <c r="FIQ10" s="1"/>
      <c r="FIR10" s="1"/>
      <c r="FIS10" s="1"/>
      <c r="FIT10" s="1"/>
      <c r="FIU10" s="1"/>
      <c r="FIV10" s="1"/>
      <c r="FIW10" s="1"/>
      <c r="FIX10" s="1"/>
      <c r="FIY10" s="1"/>
      <c r="FIZ10" s="1"/>
      <c r="FJA10" s="1"/>
      <c r="FJB10" s="1"/>
      <c r="FJC10" s="1"/>
      <c r="FJD10" s="1"/>
      <c r="FJE10" s="1"/>
      <c r="FJF10" s="1"/>
      <c r="FJG10" s="1"/>
      <c r="FJH10" s="1"/>
      <c r="FJI10" s="1"/>
      <c r="FJJ10" s="1"/>
      <c r="FJK10" s="1"/>
      <c r="FJL10" s="1"/>
      <c r="FJM10" s="1"/>
      <c r="FJN10" s="1"/>
      <c r="FJO10" s="1"/>
      <c r="FJP10" s="1"/>
      <c r="FJQ10" s="1"/>
      <c r="FJR10" s="1"/>
      <c r="FJS10" s="1"/>
      <c r="FJT10" s="1"/>
      <c r="FJU10" s="1"/>
      <c r="FJV10" s="1"/>
      <c r="FJW10" s="1"/>
      <c r="FJX10" s="1"/>
      <c r="FJY10" s="1"/>
      <c r="FJZ10" s="1"/>
      <c r="FKA10" s="1"/>
      <c r="FKB10" s="1"/>
      <c r="FKC10" s="1"/>
      <c r="FKD10" s="1"/>
      <c r="FKE10" s="1"/>
      <c r="FKF10" s="1"/>
      <c r="FKG10" s="1"/>
      <c r="FKH10" s="1"/>
      <c r="FKI10" s="1"/>
      <c r="FKJ10" s="1"/>
      <c r="FKK10" s="1"/>
      <c r="FKL10" s="1"/>
      <c r="FKM10" s="1"/>
      <c r="FKN10" s="1"/>
      <c r="FKO10" s="1"/>
      <c r="FKP10" s="1"/>
      <c r="FKQ10" s="1"/>
      <c r="FKR10" s="1"/>
      <c r="FKS10" s="1"/>
      <c r="FKT10" s="1"/>
      <c r="FKU10" s="1"/>
      <c r="FKV10" s="1"/>
      <c r="FKW10" s="1"/>
      <c r="FKX10" s="1"/>
      <c r="FKY10" s="1"/>
      <c r="FKZ10" s="1"/>
      <c r="FLA10" s="1"/>
      <c r="FLB10" s="1"/>
      <c r="FLC10" s="1"/>
      <c r="FLD10" s="1"/>
      <c r="FLE10" s="1"/>
      <c r="FLF10" s="1"/>
      <c r="FLG10" s="1"/>
      <c r="FLH10" s="1"/>
      <c r="FLI10" s="1"/>
      <c r="FLJ10" s="1"/>
      <c r="FLK10" s="1"/>
      <c r="FLL10" s="1"/>
      <c r="FLM10" s="1"/>
      <c r="FLN10" s="1"/>
      <c r="FLO10" s="1"/>
      <c r="FLP10" s="1"/>
      <c r="FLQ10" s="1"/>
      <c r="FLR10" s="1"/>
      <c r="FLS10" s="1"/>
      <c r="FLT10" s="1"/>
      <c r="FLU10" s="1"/>
      <c r="FLV10" s="1"/>
      <c r="FLW10" s="1"/>
      <c r="FLX10" s="1"/>
      <c r="FLY10" s="1"/>
      <c r="FLZ10" s="1"/>
      <c r="FMA10" s="1"/>
      <c r="FMB10" s="1"/>
      <c r="FMC10" s="1"/>
      <c r="FMD10" s="1"/>
      <c r="FME10" s="1"/>
      <c r="FMF10" s="1"/>
      <c r="FMG10" s="1"/>
      <c r="FMH10" s="1"/>
      <c r="FMI10" s="1"/>
      <c r="FMJ10" s="1"/>
      <c r="FMK10" s="1"/>
      <c r="FML10" s="1"/>
      <c r="FMM10" s="1"/>
      <c r="FMN10" s="1"/>
      <c r="FMO10" s="1"/>
      <c r="FMP10" s="1"/>
      <c r="FMQ10" s="1"/>
      <c r="FMR10" s="1"/>
      <c r="FMS10" s="1"/>
      <c r="FMT10" s="1"/>
      <c r="FMU10" s="1"/>
      <c r="FMV10" s="1"/>
      <c r="FMW10" s="1"/>
      <c r="FMX10" s="1"/>
      <c r="FMY10" s="1"/>
      <c r="FMZ10" s="1"/>
      <c r="FNA10" s="1"/>
      <c r="FNB10" s="1"/>
      <c r="FNC10" s="1"/>
      <c r="FND10" s="1"/>
      <c r="FNE10" s="1"/>
      <c r="FNF10" s="1"/>
      <c r="FNG10" s="1"/>
      <c r="FNH10" s="1"/>
      <c r="FNI10" s="1"/>
      <c r="FNJ10" s="1"/>
      <c r="FNK10" s="1"/>
      <c r="FNL10" s="1"/>
      <c r="FNM10" s="1"/>
      <c r="FNN10" s="1"/>
      <c r="FNO10" s="1"/>
      <c r="FNP10" s="1"/>
      <c r="FNQ10" s="1"/>
      <c r="FNR10" s="1"/>
      <c r="FNS10" s="1"/>
      <c r="FNT10" s="1"/>
      <c r="FNU10" s="1"/>
      <c r="FNV10" s="1"/>
      <c r="FNW10" s="1"/>
      <c r="FNX10" s="1"/>
      <c r="FNY10" s="1"/>
      <c r="FNZ10" s="1"/>
      <c r="FOA10" s="1"/>
      <c r="FOB10" s="1"/>
      <c r="FOC10" s="1"/>
      <c r="FOD10" s="1"/>
      <c r="FOE10" s="1"/>
      <c r="FOF10" s="1"/>
      <c r="FOG10" s="1"/>
      <c r="FOH10" s="1"/>
      <c r="FOI10" s="1"/>
      <c r="FOJ10" s="1"/>
      <c r="FOK10" s="1"/>
      <c r="FOL10" s="1"/>
      <c r="FOM10" s="1"/>
      <c r="FON10" s="1"/>
      <c r="FOO10" s="1"/>
      <c r="FOP10" s="1"/>
      <c r="FOQ10" s="1"/>
      <c r="FOR10" s="1"/>
      <c r="FOS10" s="1"/>
      <c r="FOT10" s="1"/>
      <c r="FOU10" s="1"/>
      <c r="FOV10" s="1"/>
      <c r="FOW10" s="1"/>
      <c r="FOX10" s="1"/>
      <c r="FOY10" s="1"/>
      <c r="FOZ10" s="1"/>
      <c r="FPA10" s="1"/>
      <c r="FPB10" s="1"/>
      <c r="FPC10" s="1"/>
      <c r="FPD10" s="1"/>
      <c r="FPE10" s="1"/>
      <c r="FPF10" s="1"/>
      <c r="FPG10" s="1"/>
      <c r="FPH10" s="1"/>
      <c r="FPI10" s="1"/>
      <c r="FPJ10" s="1"/>
      <c r="FPK10" s="1"/>
      <c r="FPL10" s="1"/>
      <c r="FPM10" s="1"/>
      <c r="FPN10" s="1"/>
      <c r="FPO10" s="1"/>
      <c r="FPP10" s="1"/>
      <c r="FPQ10" s="1"/>
      <c r="FPR10" s="1"/>
      <c r="FPS10" s="1"/>
      <c r="FPT10" s="1"/>
      <c r="FPU10" s="1"/>
      <c r="FPV10" s="1"/>
      <c r="FPW10" s="1"/>
      <c r="FPX10" s="1"/>
      <c r="FPY10" s="1"/>
      <c r="FPZ10" s="1"/>
      <c r="FQA10" s="1"/>
      <c r="FQB10" s="1"/>
      <c r="FQC10" s="1"/>
      <c r="FQD10" s="1"/>
      <c r="FQE10" s="1"/>
      <c r="FQF10" s="1"/>
      <c r="FQG10" s="1"/>
      <c r="FQH10" s="1"/>
      <c r="FQI10" s="1"/>
      <c r="FQJ10" s="1"/>
      <c r="FQK10" s="1"/>
      <c r="FQL10" s="1"/>
      <c r="FQM10" s="1"/>
      <c r="FQN10" s="1"/>
      <c r="FQO10" s="1"/>
      <c r="FQP10" s="1"/>
      <c r="FQQ10" s="1"/>
      <c r="FQR10" s="1"/>
      <c r="FQS10" s="1"/>
      <c r="FQT10" s="1"/>
      <c r="FQU10" s="1"/>
      <c r="FQV10" s="1"/>
      <c r="FQW10" s="1"/>
      <c r="FQX10" s="1"/>
      <c r="FQY10" s="1"/>
      <c r="FQZ10" s="1"/>
      <c r="FRA10" s="1"/>
      <c r="FRB10" s="1"/>
      <c r="FRC10" s="1"/>
      <c r="FRD10" s="1"/>
      <c r="FRE10" s="1"/>
      <c r="FRF10" s="1"/>
      <c r="FRG10" s="1"/>
      <c r="FRH10" s="1"/>
      <c r="FRI10" s="1"/>
      <c r="FRJ10" s="1"/>
      <c r="FRK10" s="1"/>
      <c r="FRL10" s="1"/>
      <c r="FRM10" s="1"/>
      <c r="FRN10" s="1"/>
      <c r="FRO10" s="1"/>
      <c r="FRP10" s="1"/>
      <c r="FRQ10" s="1"/>
      <c r="FRR10" s="1"/>
      <c r="FRS10" s="1"/>
      <c r="FRT10" s="1"/>
      <c r="FRU10" s="1"/>
      <c r="FRV10" s="1"/>
      <c r="FRW10" s="1"/>
      <c r="FRX10" s="1"/>
      <c r="FRY10" s="1"/>
      <c r="FRZ10" s="1"/>
      <c r="FSA10" s="1"/>
      <c r="FSB10" s="1"/>
      <c r="FSC10" s="1"/>
      <c r="FSD10" s="1"/>
      <c r="FSE10" s="1"/>
      <c r="FSF10" s="1"/>
      <c r="FSG10" s="1"/>
      <c r="FSH10" s="1"/>
      <c r="FSI10" s="1"/>
      <c r="FSJ10" s="1"/>
      <c r="FSK10" s="1"/>
      <c r="FSL10" s="1"/>
      <c r="FSM10" s="1"/>
      <c r="FSN10" s="1"/>
      <c r="FSO10" s="1"/>
      <c r="FSP10" s="1"/>
      <c r="FSQ10" s="1"/>
      <c r="FSR10" s="1"/>
      <c r="FSS10" s="1"/>
      <c r="FST10" s="1"/>
      <c r="FSU10" s="1"/>
      <c r="FSV10" s="1"/>
      <c r="FSW10" s="1"/>
      <c r="FSX10" s="1"/>
      <c r="FSY10" s="1"/>
      <c r="FSZ10" s="1"/>
      <c r="FTA10" s="1"/>
      <c r="FTB10" s="1"/>
      <c r="FTC10" s="1"/>
      <c r="FTD10" s="1"/>
      <c r="FTE10" s="1"/>
      <c r="FTF10" s="1"/>
      <c r="FTG10" s="1"/>
      <c r="FTH10" s="1"/>
      <c r="FTI10" s="1"/>
      <c r="FTJ10" s="1"/>
      <c r="FTK10" s="1"/>
      <c r="FTL10" s="1"/>
      <c r="FTM10" s="1"/>
      <c r="FTN10" s="1"/>
      <c r="FTO10" s="1"/>
      <c r="FTP10" s="1"/>
      <c r="FTQ10" s="1"/>
      <c r="FTR10" s="1"/>
      <c r="FTS10" s="1"/>
      <c r="FTT10" s="1"/>
      <c r="FTU10" s="1"/>
      <c r="FTV10" s="1"/>
      <c r="FTW10" s="1"/>
      <c r="FTX10" s="1"/>
      <c r="FTY10" s="1"/>
      <c r="FTZ10" s="1"/>
      <c r="FUA10" s="1"/>
      <c r="FUB10" s="1"/>
      <c r="FUC10" s="1"/>
      <c r="FUD10" s="1"/>
      <c r="FUE10" s="1"/>
      <c r="FUF10" s="1"/>
      <c r="FUG10" s="1"/>
      <c r="FUH10" s="1"/>
      <c r="FUI10" s="1"/>
      <c r="FUJ10" s="1"/>
      <c r="FUK10" s="1"/>
      <c r="FUL10" s="1"/>
      <c r="FUM10" s="1"/>
      <c r="FUN10" s="1"/>
      <c r="FUO10" s="1"/>
      <c r="FUP10" s="1"/>
      <c r="FUQ10" s="1"/>
      <c r="FUR10" s="1"/>
      <c r="FUS10" s="1"/>
      <c r="FUT10" s="1"/>
      <c r="FUU10" s="1"/>
      <c r="FUV10" s="1"/>
      <c r="FUW10" s="1"/>
      <c r="FUX10" s="1"/>
      <c r="FUY10" s="1"/>
      <c r="FUZ10" s="1"/>
      <c r="FVA10" s="1"/>
      <c r="FVB10" s="1"/>
      <c r="FVC10" s="1"/>
      <c r="FVD10" s="1"/>
      <c r="FVE10" s="1"/>
      <c r="FVF10" s="1"/>
      <c r="FVG10" s="1"/>
      <c r="FVH10" s="1"/>
      <c r="FVI10" s="1"/>
      <c r="FVJ10" s="1"/>
      <c r="FVK10" s="1"/>
      <c r="FVL10" s="1"/>
      <c r="FVM10" s="1"/>
      <c r="FVN10" s="1"/>
      <c r="FVO10" s="1"/>
      <c r="FVP10" s="1"/>
      <c r="FVQ10" s="1"/>
      <c r="FVR10" s="1"/>
      <c r="FVS10" s="1"/>
      <c r="FVT10" s="1"/>
      <c r="FVU10" s="1"/>
      <c r="FVV10" s="1"/>
      <c r="FVW10" s="1"/>
      <c r="FVX10" s="1"/>
      <c r="FVY10" s="1"/>
      <c r="FVZ10" s="1"/>
      <c r="FWA10" s="1"/>
      <c r="FWB10" s="1"/>
      <c r="FWC10" s="1"/>
      <c r="FWD10" s="1"/>
      <c r="FWE10" s="1"/>
      <c r="FWF10" s="1"/>
      <c r="FWG10" s="1"/>
      <c r="FWH10" s="1"/>
      <c r="FWI10" s="1"/>
      <c r="FWJ10" s="1"/>
      <c r="FWK10" s="1"/>
      <c r="FWL10" s="1"/>
      <c r="FWM10" s="1"/>
      <c r="FWN10" s="1"/>
      <c r="FWO10" s="1"/>
      <c r="FWP10" s="1"/>
      <c r="FWQ10" s="1"/>
      <c r="FWR10" s="1"/>
      <c r="FWS10" s="1"/>
      <c r="FWT10" s="1"/>
      <c r="FWU10" s="1"/>
      <c r="FWV10" s="1"/>
      <c r="FWW10" s="1"/>
      <c r="FWX10" s="1"/>
      <c r="FWY10" s="1"/>
      <c r="FWZ10" s="1"/>
      <c r="FXA10" s="1"/>
      <c r="FXB10" s="1"/>
      <c r="FXC10" s="1"/>
      <c r="FXD10" s="1"/>
      <c r="FXE10" s="1"/>
      <c r="FXF10" s="1"/>
      <c r="FXG10" s="1"/>
      <c r="FXH10" s="1"/>
      <c r="FXI10" s="1"/>
      <c r="FXJ10" s="1"/>
      <c r="FXK10" s="1"/>
      <c r="FXL10" s="1"/>
      <c r="FXM10" s="1"/>
      <c r="FXN10" s="1"/>
      <c r="FXO10" s="1"/>
      <c r="FXP10" s="1"/>
      <c r="FXQ10" s="1"/>
      <c r="FXR10" s="1"/>
      <c r="FXS10" s="1"/>
      <c r="FXT10" s="1"/>
      <c r="FXU10" s="1"/>
      <c r="FXV10" s="1"/>
      <c r="FXW10" s="1"/>
      <c r="FXX10" s="1"/>
      <c r="FXY10" s="1"/>
      <c r="FXZ10" s="1"/>
      <c r="FYA10" s="1"/>
      <c r="FYB10" s="1"/>
      <c r="FYC10" s="1"/>
      <c r="FYD10" s="1"/>
      <c r="FYE10" s="1"/>
      <c r="FYF10" s="1"/>
      <c r="FYG10" s="1"/>
      <c r="FYH10" s="1"/>
      <c r="FYI10" s="1"/>
      <c r="FYJ10" s="1"/>
      <c r="FYK10" s="1"/>
      <c r="FYL10" s="1"/>
      <c r="FYM10" s="1"/>
      <c r="FYN10" s="1"/>
      <c r="FYO10" s="1"/>
      <c r="FYP10" s="1"/>
      <c r="FYQ10" s="1"/>
      <c r="FYR10" s="1"/>
      <c r="FYS10" s="1"/>
      <c r="FYT10" s="1"/>
      <c r="FYU10" s="1"/>
      <c r="FYV10" s="1"/>
      <c r="FYW10" s="1"/>
      <c r="FYX10" s="1"/>
      <c r="FYY10" s="1"/>
      <c r="FYZ10" s="1"/>
      <c r="FZA10" s="1"/>
      <c r="FZB10" s="1"/>
      <c r="FZC10" s="1"/>
      <c r="FZD10" s="1"/>
      <c r="FZE10" s="1"/>
      <c r="FZF10" s="1"/>
      <c r="FZG10" s="1"/>
      <c r="FZH10" s="1"/>
      <c r="FZI10" s="1"/>
      <c r="FZJ10" s="1"/>
      <c r="FZK10" s="1"/>
      <c r="FZL10" s="1"/>
      <c r="FZM10" s="1"/>
      <c r="FZN10" s="1"/>
      <c r="FZO10" s="1"/>
      <c r="FZP10" s="1"/>
      <c r="FZQ10" s="1"/>
      <c r="FZR10" s="1"/>
      <c r="FZS10" s="1"/>
      <c r="FZT10" s="1"/>
      <c r="FZU10" s="1"/>
      <c r="FZV10" s="1"/>
      <c r="FZW10" s="1"/>
      <c r="FZX10" s="1"/>
      <c r="FZY10" s="1"/>
      <c r="FZZ10" s="1"/>
      <c r="GAA10" s="1"/>
      <c r="GAB10" s="1"/>
      <c r="GAC10" s="1"/>
      <c r="GAD10" s="1"/>
      <c r="GAE10" s="1"/>
      <c r="GAF10" s="1"/>
      <c r="GAG10" s="1"/>
      <c r="GAH10" s="1"/>
      <c r="GAI10" s="1"/>
      <c r="GAJ10" s="1"/>
      <c r="GAK10" s="1"/>
      <c r="GAL10" s="1"/>
      <c r="GAM10" s="1"/>
      <c r="GAN10" s="1"/>
      <c r="GAO10" s="1"/>
      <c r="GAP10" s="1"/>
      <c r="GAQ10" s="1"/>
      <c r="GAR10" s="1"/>
      <c r="GAS10" s="1"/>
      <c r="GAT10" s="1"/>
      <c r="GAU10" s="1"/>
      <c r="GAV10" s="1"/>
      <c r="GAW10" s="1"/>
      <c r="GAX10" s="1"/>
      <c r="GAY10" s="1"/>
      <c r="GAZ10" s="1"/>
      <c r="GBA10" s="1"/>
      <c r="GBB10" s="1"/>
      <c r="GBC10" s="1"/>
      <c r="GBD10" s="1"/>
      <c r="GBE10" s="1"/>
      <c r="GBF10" s="1"/>
      <c r="GBG10" s="1"/>
      <c r="GBH10" s="1"/>
      <c r="GBI10" s="1"/>
      <c r="GBJ10" s="1"/>
      <c r="GBK10" s="1"/>
      <c r="GBL10" s="1"/>
      <c r="GBM10" s="1"/>
      <c r="GBN10" s="1"/>
      <c r="GBO10" s="1"/>
      <c r="GBP10" s="1"/>
      <c r="GBQ10" s="1"/>
      <c r="GBR10" s="1"/>
      <c r="GBS10" s="1"/>
      <c r="GBT10" s="1"/>
      <c r="GBU10" s="1"/>
      <c r="GBV10" s="1"/>
      <c r="GBW10" s="1"/>
      <c r="GBX10" s="1"/>
      <c r="GBY10" s="1"/>
      <c r="GBZ10" s="1"/>
      <c r="GCA10" s="1"/>
      <c r="GCB10" s="1"/>
      <c r="GCC10" s="1"/>
      <c r="GCD10" s="1"/>
      <c r="GCE10" s="1"/>
      <c r="GCF10" s="1"/>
      <c r="GCG10" s="1"/>
      <c r="GCH10" s="1"/>
      <c r="GCI10" s="1"/>
      <c r="GCJ10" s="1"/>
      <c r="GCK10" s="1"/>
      <c r="GCL10" s="1"/>
      <c r="GCM10" s="1"/>
      <c r="GCN10" s="1"/>
      <c r="GCO10" s="1"/>
      <c r="GCP10" s="1"/>
      <c r="GCQ10" s="1"/>
      <c r="GCR10" s="1"/>
      <c r="GCS10" s="1"/>
      <c r="GCT10" s="1"/>
      <c r="GCU10" s="1"/>
      <c r="GCV10" s="1"/>
      <c r="GCW10" s="1"/>
      <c r="GCX10" s="1"/>
      <c r="GCY10" s="1"/>
      <c r="GCZ10" s="1"/>
      <c r="GDA10" s="1"/>
      <c r="GDB10" s="1"/>
      <c r="GDC10" s="1"/>
      <c r="GDD10" s="1"/>
      <c r="GDE10" s="1"/>
      <c r="GDF10" s="1"/>
      <c r="GDG10" s="1"/>
      <c r="GDH10" s="1"/>
      <c r="GDI10" s="1"/>
      <c r="GDJ10" s="1"/>
      <c r="GDK10" s="1"/>
      <c r="GDL10" s="1"/>
      <c r="GDM10" s="1"/>
      <c r="GDN10" s="1"/>
      <c r="GDO10" s="1"/>
      <c r="GDP10" s="1"/>
      <c r="GDQ10" s="1"/>
      <c r="GDR10" s="1"/>
      <c r="GDS10" s="1"/>
      <c r="GDT10" s="1"/>
      <c r="GDU10" s="1"/>
      <c r="GDV10" s="1"/>
      <c r="GDW10" s="1"/>
      <c r="GDX10" s="1"/>
      <c r="GDY10" s="1"/>
      <c r="GDZ10" s="1"/>
      <c r="GEA10" s="1"/>
      <c r="GEB10" s="1"/>
      <c r="GEC10" s="1"/>
      <c r="GED10" s="1"/>
      <c r="GEE10" s="1"/>
      <c r="GEF10" s="1"/>
      <c r="GEG10" s="1"/>
      <c r="GEH10" s="1"/>
      <c r="GEI10" s="1"/>
      <c r="GEJ10" s="1"/>
      <c r="GEK10" s="1"/>
      <c r="GEL10" s="1"/>
      <c r="GEM10" s="1"/>
      <c r="GEN10" s="1"/>
      <c r="GEO10" s="1"/>
      <c r="GEP10" s="1"/>
      <c r="GEQ10" s="1"/>
      <c r="GER10" s="1"/>
      <c r="GES10" s="1"/>
      <c r="GET10" s="1"/>
      <c r="GEU10" s="1"/>
      <c r="GEV10" s="1"/>
      <c r="GEW10" s="1"/>
      <c r="GEX10" s="1"/>
      <c r="GEY10" s="1"/>
      <c r="GEZ10" s="1"/>
      <c r="GFA10" s="1"/>
      <c r="GFB10" s="1"/>
      <c r="GFC10" s="1"/>
      <c r="GFD10" s="1"/>
      <c r="GFE10" s="1"/>
      <c r="GFF10" s="1"/>
      <c r="GFG10" s="1"/>
      <c r="GFH10" s="1"/>
      <c r="GFI10" s="1"/>
      <c r="GFJ10" s="1"/>
      <c r="GFK10" s="1"/>
      <c r="GFL10" s="1"/>
      <c r="GFM10" s="1"/>
      <c r="GFN10" s="1"/>
      <c r="GFO10" s="1"/>
      <c r="GFP10" s="1"/>
      <c r="GFQ10" s="1"/>
      <c r="GFR10" s="1"/>
      <c r="GFS10" s="1"/>
      <c r="GFT10" s="1"/>
      <c r="GFU10" s="1"/>
      <c r="GFV10" s="1"/>
      <c r="GFW10" s="1"/>
      <c r="GFX10" s="1"/>
      <c r="GFY10" s="1"/>
      <c r="GFZ10" s="1"/>
      <c r="GGA10" s="1"/>
      <c r="GGB10" s="1"/>
      <c r="GGC10" s="1"/>
      <c r="GGD10" s="1"/>
      <c r="GGE10" s="1"/>
      <c r="GGF10" s="1"/>
      <c r="GGG10" s="1"/>
      <c r="GGH10" s="1"/>
      <c r="GGI10" s="1"/>
      <c r="GGJ10" s="1"/>
      <c r="GGK10" s="1"/>
      <c r="GGL10" s="1"/>
      <c r="GGM10" s="1"/>
      <c r="GGN10" s="1"/>
      <c r="GGO10" s="1"/>
      <c r="GGP10" s="1"/>
      <c r="GGQ10" s="1"/>
      <c r="GGR10" s="1"/>
      <c r="GGS10" s="1"/>
      <c r="GGT10" s="1"/>
      <c r="GGU10" s="1"/>
      <c r="GGV10" s="1"/>
      <c r="GGW10" s="1"/>
      <c r="GGX10" s="1"/>
      <c r="GGY10" s="1"/>
      <c r="GGZ10" s="1"/>
      <c r="GHA10" s="1"/>
      <c r="GHB10" s="1"/>
      <c r="GHC10" s="1"/>
      <c r="GHD10" s="1"/>
      <c r="GHE10" s="1"/>
      <c r="GHF10" s="1"/>
      <c r="GHG10" s="1"/>
      <c r="GHH10" s="1"/>
      <c r="GHI10" s="1"/>
      <c r="GHJ10" s="1"/>
      <c r="GHK10" s="1"/>
      <c r="GHL10" s="1"/>
      <c r="GHM10" s="1"/>
      <c r="GHN10" s="1"/>
      <c r="GHO10" s="1"/>
      <c r="GHP10" s="1"/>
      <c r="GHQ10" s="1"/>
      <c r="GHR10" s="1"/>
      <c r="GHS10" s="1"/>
      <c r="GHT10" s="1"/>
      <c r="GHU10" s="1"/>
      <c r="GHV10" s="1"/>
      <c r="GHW10" s="1"/>
      <c r="GHX10" s="1"/>
      <c r="GHY10" s="1"/>
      <c r="GHZ10" s="1"/>
      <c r="GIA10" s="1"/>
      <c r="GIB10" s="1"/>
      <c r="GIC10" s="1"/>
      <c r="GID10" s="1"/>
      <c r="GIE10" s="1"/>
      <c r="GIF10" s="1"/>
      <c r="GIG10" s="1"/>
      <c r="GIH10" s="1"/>
      <c r="GII10" s="1"/>
      <c r="GIJ10" s="1"/>
      <c r="GIK10" s="1"/>
      <c r="GIL10" s="1"/>
      <c r="GIM10" s="1"/>
      <c r="GIN10" s="1"/>
      <c r="GIO10" s="1"/>
      <c r="GIP10" s="1"/>
      <c r="GIQ10" s="1"/>
      <c r="GIR10" s="1"/>
      <c r="GIS10" s="1"/>
      <c r="GIT10" s="1"/>
      <c r="GIU10" s="1"/>
      <c r="GIV10" s="1"/>
      <c r="GIW10" s="1"/>
      <c r="GIX10" s="1"/>
      <c r="GIY10" s="1"/>
      <c r="GIZ10" s="1"/>
      <c r="GJA10" s="1"/>
      <c r="GJB10" s="1"/>
      <c r="GJC10" s="1"/>
      <c r="GJD10" s="1"/>
      <c r="GJE10" s="1"/>
      <c r="GJF10" s="1"/>
      <c r="GJG10" s="1"/>
      <c r="GJH10" s="1"/>
      <c r="GJI10" s="1"/>
      <c r="GJJ10" s="1"/>
      <c r="GJK10" s="1"/>
      <c r="GJL10" s="1"/>
      <c r="GJM10" s="1"/>
      <c r="GJN10" s="1"/>
      <c r="GJO10" s="1"/>
      <c r="GJP10" s="1"/>
      <c r="GJQ10" s="1"/>
      <c r="GJR10" s="1"/>
      <c r="GJS10" s="1"/>
      <c r="GJT10" s="1"/>
      <c r="GJU10" s="1"/>
      <c r="GJV10" s="1"/>
      <c r="GJW10" s="1"/>
      <c r="GJX10" s="1"/>
      <c r="GJY10" s="1"/>
      <c r="GJZ10" s="1"/>
      <c r="GKA10" s="1"/>
      <c r="GKB10" s="1"/>
      <c r="GKC10" s="1"/>
      <c r="GKD10" s="1"/>
      <c r="GKE10" s="1"/>
      <c r="GKF10" s="1"/>
      <c r="GKG10" s="1"/>
      <c r="GKH10" s="1"/>
      <c r="GKI10" s="1"/>
      <c r="GKJ10" s="1"/>
      <c r="GKK10" s="1"/>
      <c r="GKL10" s="1"/>
      <c r="GKM10" s="1"/>
      <c r="GKN10" s="1"/>
      <c r="GKO10" s="1"/>
      <c r="GKP10" s="1"/>
      <c r="GKQ10" s="1"/>
      <c r="GKR10" s="1"/>
      <c r="GKS10" s="1"/>
      <c r="GKT10" s="1"/>
      <c r="GKU10" s="1"/>
      <c r="GKV10" s="1"/>
      <c r="GKW10" s="1"/>
      <c r="GKX10" s="1"/>
      <c r="GKY10" s="1"/>
      <c r="GKZ10" s="1"/>
      <c r="GLA10" s="1"/>
      <c r="GLB10" s="1"/>
      <c r="GLC10" s="1"/>
      <c r="GLD10" s="1"/>
      <c r="GLE10" s="1"/>
      <c r="GLF10" s="1"/>
      <c r="GLG10" s="1"/>
      <c r="GLH10" s="1"/>
      <c r="GLI10" s="1"/>
      <c r="GLJ10" s="1"/>
      <c r="GLK10" s="1"/>
      <c r="GLL10" s="1"/>
      <c r="GLM10" s="1"/>
      <c r="GLN10" s="1"/>
      <c r="GLO10" s="1"/>
      <c r="GLP10" s="1"/>
      <c r="GLQ10" s="1"/>
      <c r="GLR10" s="1"/>
      <c r="GLS10" s="1"/>
      <c r="GLT10" s="1"/>
      <c r="GLU10" s="1"/>
      <c r="GLV10" s="1"/>
      <c r="GLW10" s="1"/>
      <c r="GLX10" s="1"/>
      <c r="GLY10" s="1"/>
      <c r="GLZ10" s="1"/>
      <c r="GMA10" s="1"/>
      <c r="GMB10" s="1"/>
      <c r="GMC10" s="1"/>
      <c r="GMD10" s="1"/>
      <c r="GME10" s="1"/>
      <c r="GMF10" s="1"/>
      <c r="GMG10" s="1"/>
      <c r="GMH10" s="1"/>
      <c r="GMI10" s="1"/>
      <c r="GMJ10" s="1"/>
      <c r="GMK10" s="1"/>
      <c r="GML10" s="1"/>
      <c r="GMM10" s="1"/>
      <c r="GMN10" s="1"/>
      <c r="GMO10" s="1"/>
      <c r="GMP10" s="1"/>
      <c r="GMQ10" s="1"/>
      <c r="GMR10" s="1"/>
      <c r="GMS10" s="1"/>
      <c r="GMT10" s="1"/>
      <c r="GMU10" s="1"/>
      <c r="GMV10" s="1"/>
      <c r="GMW10" s="1"/>
      <c r="GMX10" s="1"/>
      <c r="GMY10" s="1"/>
      <c r="GMZ10" s="1"/>
      <c r="GNA10" s="1"/>
      <c r="GNB10" s="1"/>
      <c r="GNC10" s="1"/>
      <c r="GND10" s="1"/>
      <c r="GNE10" s="1"/>
      <c r="GNF10" s="1"/>
      <c r="GNG10" s="1"/>
      <c r="GNH10" s="1"/>
      <c r="GNI10" s="1"/>
      <c r="GNJ10" s="1"/>
      <c r="GNK10" s="1"/>
      <c r="GNL10" s="1"/>
      <c r="GNM10" s="1"/>
      <c r="GNN10" s="1"/>
      <c r="GNO10" s="1"/>
      <c r="GNP10" s="1"/>
      <c r="GNQ10" s="1"/>
      <c r="GNR10" s="1"/>
      <c r="GNS10" s="1"/>
      <c r="GNT10" s="1"/>
      <c r="GNU10" s="1"/>
      <c r="GNV10" s="1"/>
      <c r="GNW10" s="1"/>
      <c r="GNX10" s="1"/>
      <c r="GNY10" s="1"/>
      <c r="GNZ10" s="1"/>
      <c r="GOA10" s="1"/>
      <c r="GOB10" s="1"/>
      <c r="GOC10" s="1"/>
      <c r="GOD10" s="1"/>
      <c r="GOE10" s="1"/>
      <c r="GOF10" s="1"/>
      <c r="GOG10" s="1"/>
      <c r="GOH10" s="1"/>
      <c r="GOI10" s="1"/>
      <c r="GOJ10" s="1"/>
      <c r="GOK10" s="1"/>
      <c r="GOL10" s="1"/>
      <c r="GOM10" s="1"/>
      <c r="GON10" s="1"/>
      <c r="GOO10" s="1"/>
      <c r="GOP10" s="1"/>
      <c r="GOQ10" s="1"/>
      <c r="GOR10" s="1"/>
      <c r="GOS10" s="1"/>
      <c r="GOT10" s="1"/>
      <c r="GOU10" s="1"/>
      <c r="GOV10" s="1"/>
      <c r="GOW10" s="1"/>
      <c r="GOX10" s="1"/>
      <c r="GOY10" s="1"/>
      <c r="GOZ10" s="1"/>
      <c r="GPA10" s="1"/>
      <c r="GPB10" s="1"/>
      <c r="GPC10" s="1"/>
      <c r="GPD10" s="1"/>
      <c r="GPE10" s="1"/>
      <c r="GPF10" s="1"/>
      <c r="GPG10" s="1"/>
      <c r="GPH10" s="1"/>
      <c r="GPI10" s="1"/>
      <c r="GPJ10" s="1"/>
      <c r="GPK10" s="1"/>
      <c r="GPL10" s="1"/>
      <c r="GPM10" s="1"/>
      <c r="GPN10" s="1"/>
      <c r="GPO10" s="1"/>
      <c r="GPP10" s="1"/>
      <c r="GPQ10" s="1"/>
      <c r="GPR10" s="1"/>
      <c r="GPS10" s="1"/>
      <c r="GPT10" s="1"/>
      <c r="GPU10" s="1"/>
      <c r="GPV10" s="1"/>
      <c r="GPW10" s="1"/>
      <c r="GPX10" s="1"/>
      <c r="GPY10" s="1"/>
      <c r="GPZ10" s="1"/>
      <c r="GQA10" s="1"/>
      <c r="GQB10" s="1"/>
      <c r="GQC10" s="1"/>
      <c r="GQD10" s="1"/>
      <c r="GQE10" s="1"/>
      <c r="GQF10" s="1"/>
      <c r="GQG10" s="1"/>
      <c r="GQH10" s="1"/>
      <c r="GQI10" s="1"/>
      <c r="GQJ10" s="1"/>
      <c r="GQK10" s="1"/>
      <c r="GQL10" s="1"/>
      <c r="GQM10" s="1"/>
      <c r="GQN10" s="1"/>
      <c r="GQO10" s="1"/>
      <c r="GQP10" s="1"/>
      <c r="GQQ10" s="1"/>
      <c r="GQR10" s="1"/>
      <c r="GQS10" s="1"/>
      <c r="GQT10" s="1"/>
      <c r="GQU10" s="1"/>
      <c r="GQV10" s="1"/>
      <c r="GQW10" s="1"/>
      <c r="GQX10" s="1"/>
      <c r="GQY10" s="1"/>
      <c r="GQZ10" s="1"/>
      <c r="GRA10" s="1"/>
      <c r="GRB10" s="1"/>
      <c r="GRC10" s="1"/>
      <c r="GRD10" s="1"/>
      <c r="GRE10" s="1"/>
      <c r="GRF10" s="1"/>
      <c r="GRG10" s="1"/>
      <c r="GRH10" s="1"/>
      <c r="GRI10" s="1"/>
      <c r="GRJ10" s="1"/>
      <c r="GRK10" s="1"/>
      <c r="GRL10" s="1"/>
      <c r="GRM10" s="1"/>
      <c r="GRN10" s="1"/>
      <c r="GRO10" s="1"/>
      <c r="GRP10" s="1"/>
      <c r="GRQ10" s="1"/>
      <c r="GRR10" s="1"/>
      <c r="GRS10" s="1"/>
      <c r="GRT10" s="1"/>
      <c r="GRU10" s="1"/>
      <c r="GRV10" s="1"/>
      <c r="GRW10" s="1"/>
      <c r="GRX10" s="1"/>
      <c r="GRY10" s="1"/>
      <c r="GRZ10" s="1"/>
      <c r="GSA10" s="1"/>
      <c r="GSB10" s="1"/>
      <c r="GSC10" s="1"/>
      <c r="GSD10" s="1"/>
      <c r="GSE10" s="1"/>
      <c r="GSF10" s="1"/>
      <c r="GSG10" s="1"/>
      <c r="GSH10" s="1"/>
      <c r="GSI10" s="1"/>
      <c r="GSJ10" s="1"/>
      <c r="GSK10" s="1"/>
      <c r="GSL10" s="1"/>
      <c r="GSM10" s="1"/>
      <c r="GSN10" s="1"/>
      <c r="GSO10" s="1"/>
      <c r="GSP10" s="1"/>
      <c r="GSQ10" s="1"/>
      <c r="GSR10" s="1"/>
      <c r="GSS10" s="1"/>
      <c r="GST10" s="1"/>
      <c r="GSU10" s="1"/>
      <c r="GSV10" s="1"/>
      <c r="GSW10" s="1"/>
      <c r="GSX10" s="1"/>
      <c r="GSY10" s="1"/>
      <c r="GSZ10" s="1"/>
      <c r="GTA10" s="1"/>
      <c r="GTB10" s="1"/>
      <c r="GTC10" s="1"/>
      <c r="GTD10" s="1"/>
      <c r="GTE10" s="1"/>
      <c r="GTF10" s="1"/>
      <c r="GTG10" s="1"/>
      <c r="GTH10" s="1"/>
      <c r="GTI10" s="1"/>
      <c r="GTJ10" s="1"/>
      <c r="GTK10" s="1"/>
      <c r="GTL10" s="1"/>
      <c r="GTM10" s="1"/>
      <c r="GTN10" s="1"/>
      <c r="GTO10" s="1"/>
      <c r="GTP10" s="1"/>
      <c r="GTQ10" s="1"/>
      <c r="GTR10" s="1"/>
      <c r="GTS10" s="1"/>
      <c r="GTT10" s="1"/>
      <c r="GTU10" s="1"/>
      <c r="GTV10" s="1"/>
      <c r="GTW10" s="1"/>
      <c r="GTX10" s="1"/>
      <c r="GTY10" s="1"/>
      <c r="GTZ10" s="1"/>
      <c r="GUA10" s="1"/>
      <c r="GUB10" s="1"/>
      <c r="GUC10" s="1"/>
      <c r="GUD10" s="1"/>
      <c r="GUE10" s="1"/>
      <c r="GUF10" s="1"/>
      <c r="GUG10" s="1"/>
      <c r="GUH10" s="1"/>
      <c r="GUI10" s="1"/>
      <c r="GUJ10" s="1"/>
      <c r="GUK10" s="1"/>
      <c r="GUL10" s="1"/>
      <c r="GUM10" s="1"/>
      <c r="GUN10" s="1"/>
      <c r="GUO10" s="1"/>
      <c r="GUP10" s="1"/>
      <c r="GUQ10" s="1"/>
      <c r="GUR10" s="1"/>
      <c r="GUS10" s="1"/>
      <c r="GUT10" s="1"/>
      <c r="GUU10" s="1"/>
      <c r="GUV10" s="1"/>
      <c r="GUW10" s="1"/>
      <c r="GUX10" s="1"/>
      <c r="GUY10" s="1"/>
      <c r="GUZ10" s="1"/>
      <c r="GVA10" s="1"/>
      <c r="GVB10" s="1"/>
      <c r="GVC10" s="1"/>
      <c r="GVD10" s="1"/>
      <c r="GVE10" s="1"/>
      <c r="GVF10" s="1"/>
      <c r="GVG10" s="1"/>
      <c r="GVH10" s="1"/>
      <c r="GVI10" s="1"/>
      <c r="GVJ10" s="1"/>
      <c r="GVK10" s="1"/>
      <c r="GVL10" s="1"/>
      <c r="GVM10" s="1"/>
      <c r="GVN10" s="1"/>
      <c r="GVO10" s="1"/>
      <c r="GVP10" s="1"/>
      <c r="GVQ10" s="1"/>
      <c r="GVR10" s="1"/>
      <c r="GVS10" s="1"/>
      <c r="GVT10" s="1"/>
      <c r="GVU10" s="1"/>
      <c r="GVV10" s="1"/>
      <c r="GVW10" s="1"/>
      <c r="GVX10" s="1"/>
      <c r="GVY10" s="1"/>
      <c r="GVZ10" s="1"/>
      <c r="GWA10" s="1"/>
      <c r="GWB10" s="1"/>
      <c r="GWC10" s="1"/>
      <c r="GWD10" s="1"/>
      <c r="GWE10" s="1"/>
      <c r="GWF10" s="1"/>
      <c r="GWG10" s="1"/>
      <c r="GWH10" s="1"/>
      <c r="GWI10" s="1"/>
      <c r="GWJ10" s="1"/>
      <c r="GWK10" s="1"/>
      <c r="GWL10" s="1"/>
      <c r="GWM10" s="1"/>
      <c r="GWN10" s="1"/>
      <c r="GWO10" s="1"/>
      <c r="GWP10" s="1"/>
      <c r="GWQ10" s="1"/>
      <c r="GWR10" s="1"/>
      <c r="GWS10" s="1"/>
      <c r="GWT10" s="1"/>
      <c r="GWU10" s="1"/>
      <c r="GWV10" s="1"/>
      <c r="GWW10" s="1"/>
      <c r="GWX10" s="1"/>
      <c r="GWY10" s="1"/>
      <c r="GWZ10" s="1"/>
      <c r="GXA10" s="1"/>
      <c r="GXB10" s="1"/>
      <c r="GXC10" s="1"/>
      <c r="GXD10" s="1"/>
      <c r="GXE10" s="1"/>
      <c r="GXF10" s="1"/>
      <c r="GXG10" s="1"/>
      <c r="GXH10" s="1"/>
      <c r="GXI10" s="1"/>
      <c r="GXJ10" s="1"/>
      <c r="GXK10" s="1"/>
      <c r="GXL10" s="1"/>
      <c r="GXM10" s="1"/>
      <c r="GXN10" s="1"/>
      <c r="GXO10" s="1"/>
      <c r="GXP10" s="1"/>
      <c r="GXQ10" s="1"/>
      <c r="GXR10" s="1"/>
      <c r="GXS10" s="1"/>
      <c r="GXT10" s="1"/>
      <c r="GXU10" s="1"/>
      <c r="GXV10" s="1"/>
      <c r="GXW10" s="1"/>
      <c r="GXX10" s="1"/>
      <c r="GXY10" s="1"/>
      <c r="GXZ10" s="1"/>
      <c r="GYA10" s="1"/>
      <c r="GYB10" s="1"/>
      <c r="GYC10" s="1"/>
      <c r="GYD10" s="1"/>
      <c r="GYE10" s="1"/>
      <c r="GYF10" s="1"/>
      <c r="GYG10" s="1"/>
      <c r="GYH10" s="1"/>
      <c r="GYI10" s="1"/>
      <c r="GYJ10" s="1"/>
      <c r="GYK10" s="1"/>
      <c r="GYL10" s="1"/>
      <c r="GYM10" s="1"/>
      <c r="GYN10" s="1"/>
      <c r="GYO10" s="1"/>
      <c r="GYP10" s="1"/>
      <c r="GYQ10" s="1"/>
      <c r="GYR10" s="1"/>
      <c r="GYS10" s="1"/>
      <c r="GYT10" s="1"/>
      <c r="GYU10" s="1"/>
      <c r="GYV10" s="1"/>
      <c r="GYW10" s="1"/>
      <c r="GYX10" s="1"/>
      <c r="GYY10" s="1"/>
      <c r="GYZ10" s="1"/>
      <c r="GZA10" s="1"/>
      <c r="GZB10" s="1"/>
      <c r="GZC10" s="1"/>
      <c r="GZD10" s="1"/>
      <c r="GZE10" s="1"/>
      <c r="GZF10" s="1"/>
      <c r="GZG10" s="1"/>
      <c r="GZH10" s="1"/>
      <c r="GZI10" s="1"/>
      <c r="GZJ10" s="1"/>
      <c r="GZK10" s="1"/>
      <c r="GZL10" s="1"/>
      <c r="GZM10" s="1"/>
      <c r="GZN10" s="1"/>
      <c r="GZO10" s="1"/>
      <c r="GZP10" s="1"/>
      <c r="GZQ10" s="1"/>
      <c r="GZR10" s="1"/>
      <c r="GZS10" s="1"/>
      <c r="GZT10" s="1"/>
      <c r="GZU10" s="1"/>
      <c r="GZV10" s="1"/>
      <c r="GZW10" s="1"/>
      <c r="GZX10" s="1"/>
      <c r="GZY10" s="1"/>
      <c r="GZZ10" s="1"/>
      <c r="HAA10" s="1"/>
      <c r="HAB10" s="1"/>
      <c r="HAC10" s="1"/>
      <c r="HAD10" s="1"/>
      <c r="HAE10" s="1"/>
      <c r="HAF10" s="1"/>
      <c r="HAG10" s="1"/>
      <c r="HAH10" s="1"/>
      <c r="HAI10" s="1"/>
      <c r="HAJ10" s="1"/>
      <c r="HAK10" s="1"/>
      <c r="HAL10" s="1"/>
      <c r="HAM10" s="1"/>
      <c r="HAN10" s="1"/>
      <c r="HAO10" s="1"/>
      <c r="HAP10" s="1"/>
      <c r="HAQ10" s="1"/>
      <c r="HAR10" s="1"/>
      <c r="HAS10" s="1"/>
      <c r="HAT10" s="1"/>
      <c r="HAU10" s="1"/>
      <c r="HAV10" s="1"/>
      <c r="HAW10" s="1"/>
      <c r="HAX10" s="1"/>
      <c r="HAY10" s="1"/>
      <c r="HAZ10" s="1"/>
      <c r="HBA10" s="1"/>
      <c r="HBB10" s="1"/>
      <c r="HBC10" s="1"/>
      <c r="HBD10" s="1"/>
      <c r="HBE10" s="1"/>
      <c r="HBF10" s="1"/>
      <c r="HBG10" s="1"/>
      <c r="HBH10" s="1"/>
      <c r="HBI10" s="1"/>
      <c r="HBJ10" s="1"/>
      <c r="HBK10" s="1"/>
      <c r="HBL10" s="1"/>
      <c r="HBM10" s="1"/>
      <c r="HBN10" s="1"/>
      <c r="HBO10" s="1"/>
      <c r="HBP10" s="1"/>
      <c r="HBQ10" s="1"/>
      <c r="HBR10" s="1"/>
      <c r="HBS10" s="1"/>
      <c r="HBT10" s="1"/>
      <c r="HBU10" s="1"/>
      <c r="HBV10" s="1"/>
      <c r="HBW10" s="1"/>
      <c r="HBX10" s="1"/>
      <c r="HBY10" s="1"/>
      <c r="HBZ10" s="1"/>
      <c r="HCA10" s="1"/>
      <c r="HCB10" s="1"/>
      <c r="HCC10" s="1"/>
      <c r="HCD10" s="1"/>
      <c r="HCE10" s="1"/>
      <c r="HCF10" s="1"/>
      <c r="HCG10" s="1"/>
      <c r="HCH10" s="1"/>
      <c r="HCI10" s="1"/>
      <c r="HCJ10" s="1"/>
      <c r="HCK10" s="1"/>
      <c r="HCL10" s="1"/>
      <c r="HCM10" s="1"/>
      <c r="HCN10" s="1"/>
      <c r="HCO10" s="1"/>
      <c r="HCP10" s="1"/>
      <c r="HCQ10" s="1"/>
      <c r="HCR10" s="1"/>
      <c r="HCS10" s="1"/>
      <c r="HCT10" s="1"/>
      <c r="HCU10" s="1"/>
      <c r="HCV10" s="1"/>
      <c r="HCW10" s="1"/>
      <c r="HCX10" s="1"/>
      <c r="HCY10" s="1"/>
      <c r="HCZ10" s="1"/>
      <c r="HDA10" s="1"/>
      <c r="HDB10" s="1"/>
      <c r="HDC10" s="1"/>
      <c r="HDD10" s="1"/>
      <c r="HDE10" s="1"/>
      <c r="HDF10" s="1"/>
      <c r="HDG10" s="1"/>
      <c r="HDH10" s="1"/>
      <c r="HDI10" s="1"/>
      <c r="HDJ10" s="1"/>
      <c r="HDK10" s="1"/>
      <c r="HDL10" s="1"/>
      <c r="HDM10" s="1"/>
      <c r="HDN10" s="1"/>
      <c r="HDO10" s="1"/>
      <c r="HDP10" s="1"/>
      <c r="HDQ10" s="1"/>
      <c r="HDR10" s="1"/>
      <c r="HDS10" s="1"/>
      <c r="HDT10" s="1"/>
      <c r="HDU10" s="1"/>
      <c r="HDV10" s="1"/>
      <c r="HDW10" s="1"/>
      <c r="HDX10" s="1"/>
      <c r="HDY10" s="1"/>
      <c r="HDZ10" s="1"/>
      <c r="HEA10" s="1"/>
      <c r="HEB10" s="1"/>
      <c r="HEC10" s="1"/>
      <c r="HED10" s="1"/>
      <c r="HEE10" s="1"/>
      <c r="HEF10" s="1"/>
      <c r="HEG10" s="1"/>
      <c r="HEH10" s="1"/>
      <c r="HEI10" s="1"/>
      <c r="HEJ10" s="1"/>
      <c r="HEK10" s="1"/>
      <c r="HEL10" s="1"/>
      <c r="HEM10" s="1"/>
      <c r="HEN10" s="1"/>
      <c r="HEO10" s="1"/>
      <c r="HEP10" s="1"/>
      <c r="HEQ10" s="1"/>
      <c r="HER10" s="1"/>
      <c r="HES10" s="1"/>
      <c r="HET10" s="1"/>
      <c r="HEU10" s="1"/>
      <c r="HEV10" s="1"/>
      <c r="HEW10" s="1"/>
      <c r="HEX10" s="1"/>
      <c r="HEY10" s="1"/>
      <c r="HEZ10" s="1"/>
      <c r="HFA10" s="1"/>
      <c r="HFB10" s="1"/>
      <c r="HFC10" s="1"/>
      <c r="HFD10" s="1"/>
      <c r="HFE10" s="1"/>
      <c r="HFF10" s="1"/>
      <c r="HFG10" s="1"/>
      <c r="HFH10" s="1"/>
      <c r="HFI10" s="1"/>
      <c r="HFJ10" s="1"/>
      <c r="HFK10" s="1"/>
      <c r="HFL10" s="1"/>
      <c r="HFM10" s="1"/>
      <c r="HFN10" s="1"/>
      <c r="HFO10" s="1"/>
      <c r="HFP10" s="1"/>
      <c r="HFQ10" s="1"/>
      <c r="HFR10" s="1"/>
      <c r="HFS10" s="1"/>
      <c r="HFT10" s="1"/>
      <c r="HFU10" s="1"/>
      <c r="HFV10" s="1"/>
      <c r="HFW10" s="1"/>
      <c r="HFX10" s="1"/>
      <c r="HFY10" s="1"/>
      <c r="HFZ10" s="1"/>
      <c r="HGA10" s="1"/>
      <c r="HGB10" s="1"/>
      <c r="HGC10" s="1"/>
      <c r="HGD10" s="1"/>
      <c r="HGE10" s="1"/>
      <c r="HGF10" s="1"/>
      <c r="HGG10" s="1"/>
      <c r="HGH10" s="1"/>
      <c r="HGI10" s="1"/>
      <c r="HGJ10" s="1"/>
      <c r="HGK10" s="1"/>
      <c r="HGL10" s="1"/>
      <c r="HGM10" s="1"/>
      <c r="HGN10" s="1"/>
      <c r="HGO10" s="1"/>
      <c r="HGP10" s="1"/>
      <c r="HGQ10" s="1"/>
      <c r="HGR10" s="1"/>
      <c r="HGS10" s="1"/>
      <c r="HGT10" s="1"/>
      <c r="HGU10" s="1"/>
      <c r="HGV10" s="1"/>
      <c r="HGW10" s="1"/>
      <c r="HGX10" s="1"/>
      <c r="HGY10" s="1"/>
      <c r="HGZ10" s="1"/>
      <c r="HHA10" s="1"/>
      <c r="HHB10" s="1"/>
      <c r="HHC10" s="1"/>
      <c r="HHD10" s="1"/>
      <c r="HHE10" s="1"/>
      <c r="HHF10" s="1"/>
      <c r="HHG10" s="1"/>
      <c r="HHH10" s="1"/>
      <c r="HHI10" s="1"/>
      <c r="HHJ10" s="1"/>
      <c r="HHK10" s="1"/>
      <c r="HHL10" s="1"/>
      <c r="HHM10" s="1"/>
      <c r="HHN10" s="1"/>
      <c r="HHO10" s="1"/>
      <c r="HHP10" s="1"/>
      <c r="HHQ10" s="1"/>
      <c r="HHR10" s="1"/>
      <c r="HHS10" s="1"/>
      <c r="HHT10" s="1"/>
      <c r="HHU10" s="1"/>
      <c r="HHV10" s="1"/>
      <c r="HHW10" s="1"/>
      <c r="HHX10" s="1"/>
      <c r="HHY10" s="1"/>
      <c r="HHZ10" s="1"/>
      <c r="HIA10" s="1"/>
      <c r="HIB10" s="1"/>
      <c r="HIC10" s="1"/>
      <c r="HID10" s="1"/>
      <c r="HIE10" s="1"/>
      <c r="HIF10" s="1"/>
      <c r="HIG10" s="1"/>
      <c r="HIH10" s="1"/>
      <c r="HII10" s="1"/>
      <c r="HIJ10" s="1"/>
      <c r="HIK10" s="1"/>
      <c r="HIL10" s="1"/>
      <c r="HIM10" s="1"/>
      <c r="HIN10" s="1"/>
      <c r="HIO10" s="1"/>
      <c r="HIP10" s="1"/>
      <c r="HIQ10" s="1"/>
      <c r="HIR10" s="1"/>
      <c r="HIS10" s="1"/>
      <c r="HIT10" s="1"/>
      <c r="HIU10" s="1"/>
      <c r="HIV10" s="1"/>
      <c r="HIW10" s="1"/>
      <c r="HIX10" s="1"/>
      <c r="HIY10" s="1"/>
      <c r="HIZ10" s="1"/>
      <c r="HJA10" s="1"/>
      <c r="HJB10" s="1"/>
      <c r="HJC10" s="1"/>
      <c r="HJD10" s="1"/>
      <c r="HJE10" s="1"/>
      <c r="HJF10" s="1"/>
      <c r="HJG10" s="1"/>
      <c r="HJH10" s="1"/>
      <c r="HJI10" s="1"/>
      <c r="HJJ10" s="1"/>
      <c r="HJK10" s="1"/>
      <c r="HJL10" s="1"/>
      <c r="HJM10" s="1"/>
      <c r="HJN10" s="1"/>
      <c r="HJO10" s="1"/>
      <c r="HJP10" s="1"/>
      <c r="HJQ10" s="1"/>
      <c r="HJR10" s="1"/>
      <c r="HJS10" s="1"/>
      <c r="HJT10" s="1"/>
      <c r="HJU10" s="1"/>
      <c r="HJV10" s="1"/>
      <c r="HJW10" s="1"/>
      <c r="HJX10" s="1"/>
      <c r="HJY10" s="1"/>
      <c r="HJZ10" s="1"/>
      <c r="HKA10" s="1"/>
      <c r="HKB10" s="1"/>
      <c r="HKC10" s="1"/>
      <c r="HKD10" s="1"/>
      <c r="HKE10" s="1"/>
      <c r="HKF10" s="1"/>
      <c r="HKG10" s="1"/>
      <c r="HKH10" s="1"/>
      <c r="HKI10" s="1"/>
      <c r="HKJ10" s="1"/>
      <c r="HKK10" s="1"/>
      <c r="HKL10" s="1"/>
      <c r="HKM10" s="1"/>
      <c r="HKN10" s="1"/>
      <c r="HKO10" s="1"/>
      <c r="HKP10" s="1"/>
      <c r="HKQ10" s="1"/>
      <c r="HKR10" s="1"/>
      <c r="HKS10" s="1"/>
      <c r="HKT10" s="1"/>
      <c r="HKU10" s="1"/>
      <c r="HKV10" s="1"/>
      <c r="HKW10" s="1"/>
      <c r="HKX10" s="1"/>
      <c r="HKY10" s="1"/>
      <c r="HKZ10" s="1"/>
      <c r="HLA10" s="1"/>
      <c r="HLB10" s="1"/>
      <c r="HLC10" s="1"/>
      <c r="HLD10" s="1"/>
      <c r="HLE10" s="1"/>
      <c r="HLF10" s="1"/>
      <c r="HLG10" s="1"/>
      <c r="HLH10" s="1"/>
      <c r="HLI10" s="1"/>
      <c r="HLJ10" s="1"/>
      <c r="HLK10" s="1"/>
      <c r="HLL10" s="1"/>
      <c r="HLM10" s="1"/>
      <c r="HLN10" s="1"/>
      <c r="HLO10" s="1"/>
      <c r="HLP10" s="1"/>
      <c r="HLQ10" s="1"/>
      <c r="HLR10" s="1"/>
      <c r="HLS10" s="1"/>
      <c r="HLT10" s="1"/>
      <c r="HLU10" s="1"/>
      <c r="HLV10" s="1"/>
      <c r="HLW10" s="1"/>
      <c r="HLX10" s="1"/>
      <c r="HLY10" s="1"/>
      <c r="HLZ10" s="1"/>
      <c r="HMA10" s="1"/>
      <c r="HMB10" s="1"/>
      <c r="HMC10" s="1"/>
      <c r="HMD10" s="1"/>
      <c r="HME10" s="1"/>
      <c r="HMF10" s="1"/>
      <c r="HMG10" s="1"/>
      <c r="HMH10" s="1"/>
      <c r="HMI10" s="1"/>
      <c r="HMJ10" s="1"/>
      <c r="HMK10" s="1"/>
      <c r="HML10" s="1"/>
      <c r="HMM10" s="1"/>
      <c r="HMN10" s="1"/>
      <c r="HMO10" s="1"/>
      <c r="HMP10" s="1"/>
      <c r="HMQ10" s="1"/>
      <c r="HMR10" s="1"/>
      <c r="HMS10" s="1"/>
      <c r="HMT10" s="1"/>
      <c r="HMU10" s="1"/>
      <c r="HMV10" s="1"/>
      <c r="HMW10" s="1"/>
      <c r="HMX10" s="1"/>
      <c r="HMY10" s="1"/>
      <c r="HMZ10" s="1"/>
      <c r="HNA10" s="1"/>
      <c r="HNB10" s="1"/>
      <c r="HNC10" s="1"/>
      <c r="HND10" s="1"/>
      <c r="HNE10" s="1"/>
      <c r="HNF10" s="1"/>
      <c r="HNG10" s="1"/>
      <c r="HNH10" s="1"/>
      <c r="HNI10" s="1"/>
      <c r="HNJ10" s="1"/>
      <c r="HNK10" s="1"/>
      <c r="HNL10" s="1"/>
      <c r="HNM10" s="1"/>
      <c r="HNN10" s="1"/>
      <c r="HNO10" s="1"/>
      <c r="HNP10" s="1"/>
      <c r="HNQ10" s="1"/>
      <c r="HNR10" s="1"/>
      <c r="HNS10" s="1"/>
      <c r="HNT10" s="1"/>
      <c r="HNU10" s="1"/>
      <c r="HNV10" s="1"/>
      <c r="HNW10" s="1"/>
      <c r="HNX10" s="1"/>
      <c r="HNY10" s="1"/>
      <c r="HNZ10" s="1"/>
      <c r="HOA10" s="1"/>
      <c r="HOB10" s="1"/>
      <c r="HOC10" s="1"/>
      <c r="HOD10" s="1"/>
      <c r="HOE10" s="1"/>
      <c r="HOF10" s="1"/>
      <c r="HOG10" s="1"/>
      <c r="HOH10" s="1"/>
      <c r="HOI10" s="1"/>
      <c r="HOJ10" s="1"/>
      <c r="HOK10" s="1"/>
      <c r="HOL10" s="1"/>
      <c r="HOM10" s="1"/>
      <c r="HON10" s="1"/>
      <c r="HOO10" s="1"/>
      <c r="HOP10" s="1"/>
      <c r="HOQ10" s="1"/>
      <c r="HOR10" s="1"/>
      <c r="HOS10" s="1"/>
      <c r="HOT10" s="1"/>
      <c r="HOU10" s="1"/>
      <c r="HOV10" s="1"/>
      <c r="HOW10" s="1"/>
      <c r="HOX10" s="1"/>
      <c r="HOY10" s="1"/>
      <c r="HOZ10" s="1"/>
      <c r="HPA10" s="1"/>
      <c r="HPB10" s="1"/>
      <c r="HPC10" s="1"/>
      <c r="HPD10" s="1"/>
      <c r="HPE10" s="1"/>
      <c r="HPF10" s="1"/>
      <c r="HPG10" s="1"/>
      <c r="HPH10" s="1"/>
      <c r="HPI10" s="1"/>
      <c r="HPJ10" s="1"/>
      <c r="HPK10" s="1"/>
      <c r="HPL10" s="1"/>
      <c r="HPM10" s="1"/>
      <c r="HPN10" s="1"/>
      <c r="HPO10" s="1"/>
      <c r="HPP10" s="1"/>
      <c r="HPQ10" s="1"/>
      <c r="HPR10" s="1"/>
      <c r="HPS10" s="1"/>
      <c r="HPT10" s="1"/>
      <c r="HPU10" s="1"/>
      <c r="HPV10" s="1"/>
      <c r="HPW10" s="1"/>
      <c r="HPX10" s="1"/>
      <c r="HPY10" s="1"/>
      <c r="HPZ10" s="1"/>
      <c r="HQA10" s="1"/>
      <c r="HQB10" s="1"/>
      <c r="HQC10" s="1"/>
      <c r="HQD10" s="1"/>
      <c r="HQE10" s="1"/>
      <c r="HQF10" s="1"/>
      <c r="HQG10" s="1"/>
      <c r="HQH10" s="1"/>
      <c r="HQI10" s="1"/>
      <c r="HQJ10" s="1"/>
      <c r="HQK10" s="1"/>
      <c r="HQL10" s="1"/>
      <c r="HQM10" s="1"/>
      <c r="HQN10" s="1"/>
      <c r="HQO10" s="1"/>
      <c r="HQP10" s="1"/>
      <c r="HQQ10" s="1"/>
      <c r="HQR10" s="1"/>
      <c r="HQS10" s="1"/>
      <c r="HQT10" s="1"/>
      <c r="HQU10" s="1"/>
      <c r="HQV10" s="1"/>
      <c r="HQW10" s="1"/>
      <c r="HQX10" s="1"/>
      <c r="HQY10" s="1"/>
      <c r="HQZ10" s="1"/>
      <c r="HRA10" s="1"/>
      <c r="HRB10" s="1"/>
      <c r="HRC10" s="1"/>
      <c r="HRD10" s="1"/>
      <c r="HRE10" s="1"/>
      <c r="HRF10" s="1"/>
      <c r="HRG10" s="1"/>
      <c r="HRH10" s="1"/>
      <c r="HRI10" s="1"/>
      <c r="HRJ10" s="1"/>
      <c r="HRK10" s="1"/>
      <c r="HRL10" s="1"/>
      <c r="HRM10" s="1"/>
      <c r="HRN10" s="1"/>
      <c r="HRO10" s="1"/>
      <c r="HRP10" s="1"/>
      <c r="HRQ10" s="1"/>
      <c r="HRR10" s="1"/>
      <c r="HRS10" s="1"/>
      <c r="HRT10" s="1"/>
      <c r="HRU10" s="1"/>
      <c r="HRV10" s="1"/>
      <c r="HRW10" s="1"/>
      <c r="HRX10" s="1"/>
      <c r="HRY10" s="1"/>
      <c r="HRZ10" s="1"/>
      <c r="HSA10" s="1"/>
      <c r="HSB10" s="1"/>
      <c r="HSC10" s="1"/>
      <c r="HSD10" s="1"/>
      <c r="HSE10" s="1"/>
      <c r="HSF10" s="1"/>
      <c r="HSG10" s="1"/>
      <c r="HSH10" s="1"/>
      <c r="HSI10" s="1"/>
      <c r="HSJ10" s="1"/>
      <c r="HSK10" s="1"/>
      <c r="HSL10" s="1"/>
      <c r="HSM10" s="1"/>
      <c r="HSN10" s="1"/>
      <c r="HSO10" s="1"/>
      <c r="HSP10" s="1"/>
      <c r="HSQ10" s="1"/>
      <c r="HSR10" s="1"/>
      <c r="HSS10" s="1"/>
      <c r="HST10" s="1"/>
      <c r="HSU10" s="1"/>
      <c r="HSV10" s="1"/>
      <c r="HSW10" s="1"/>
      <c r="HSX10" s="1"/>
      <c r="HSY10" s="1"/>
      <c r="HSZ10" s="1"/>
      <c r="HTA10" s="1"/>
      <c r="HTB10" s="1"/>
      <c r="HTC10" s="1"/>
      <c r="HTD10" s="1"/>
      <c r="HTE10" s="1"/>
      <c r="HTF10" s="1"/>
      <c r="HTG10" s="1"/>
      <c r="HTH10" s="1"/>
      <c r="HTI10" s="1"/>
      <c r="HTJ10" s="1"/>
      <c r="HTK10" s="1"/>
      <c r="HTL10" s="1"/>
      <c r="HTM10" s="1"/>
      <c r="HTN10" s="1"/>
      <c r="HTO10" s="1"/>
      <c r="HTP10" s="1"/>
      <c r="HTQ10" s="1"/>
      <c r="HTR10" s="1"/>
      <c r="HTS10" s="1"/>
      <c r="HTT10" s="1"/>
      <c r="HTU10" s="1"/>
      <c r="HTV10" s="1"/>
      <c r="HTW10" s="1"/>
      <c r="HTX10" s="1"/>
      <c r="HTY10" s="1"/>
      <c r="HTZ10" s="1"/>
      <c r="HUA10" s="1"/>
      <c r="HUB10" s="1"/>
      <c r="HUC10" s="1"/>
      <c r="HUD10" s="1"/>
      <c r="HUE10" s="1"/>
      <c r="HUF10" s="1"/>
      <c r="HUG10" s="1"/>
      <c r="HUH10" s="1"/>
      <c r="HUI10" s="1"/>
      <c r="HUJ10" s="1"/>
      <c r="HUK10" s="1"/>
      <c r="HUL10" s="1"/>
      <c r="HUM10" s="1"/>
      <c r="HUN10" s="1"/>
      <c r="HUO10" s="1"/>
      <c r="HUP10" s="1"/>
      <c r="HUQ10" s="1"/>
      <c r="HUR10" s="1"/>
      <c r="HUS10" s="1"/>
      <c r="HUT10" s="1"/>
      <c r="HUU10" s="1"/>
      <c r="HUV10" s="1"/>
      <c r="HUW10" s="1"/>
      <c r="HUX10" s="1"/>
      <c r="HUY10" s="1"/>
      <c r="HUZ10" s="1"/>
      <c r="HVA10" s="1"/>
      <c r="HVB10" s="1"/>
      <c r="HVC10" s="1"/>
      <c r="HVD10" s="1"/>
      <c r="HVE10" s="1"/>
      <c r="HVF10" s="1"/>
      <c r="HVG10" s="1"/>
      <c r="HVH10" s="1"/>
      <c r="HVI10" s="1"/>
      <c r="HVJ10" s="1"/>
      <c r="HVK10" s="1"/>
      <c r="HVL10" s="1"/>
      <c r="HVM10" s="1"/>
      <c r="HVN10" s="1"/>
      <c r="HVO10" s="1"/>
      <c r="HVP10" s="1"/>
      <c r="HVQ10" s="1"/>
      <c r="HVR10" s="1"/>
      <c r="HVS10" s="1"/>
      <c r="HVT10" s="1"/>
      <c r="HVU10" s="1"/>
      <c r="HVV10" s="1"/>
      <c r="HVW10" s="1"/>
      <c r="HVX10" s="1"/>
      <c r="HVY10" s="1"/>
      <c r="HVZ10" s="1"/>
      <c r="HWA10" s="1"/>
      <c r="HWB10" s="1"/>
      <c r="HWC10" s="1"/>
      <c r="HWD10" s="1"/>
      <c r="HWE10" s="1"/>
      <c r="HWF10" s="1"/>
      <c r="HWG10" s="1"/>
      <c r="HWH10" s="1"/>
      <c r="HWI10" s="1"/>
      <c r="HWJ10" s="1"/>
      <c r="HWK10" s="1"/>
      <c r="HWL10" s="1"/>
      <c r="HWM10" s="1"/>
      <c r="HWN10" s="1"/>
      <c r="HWO10" s="1"/>
      <c r="HWP10" s="1"/>
      <c r="HWQ10" s="1"/>
      <c r="HWR10" s="1"/>
      <c r="HWS10" s="1"/>
      <c r="HWT10" s="1"/>
      <c r="HWU10" s="1"/>
      <c r="HWV10" s="1"/>
      <c r="HWW10" s="1"/>
      <c r="HWX10" s="1"/>
      <c r="HWY10" s="1"/>
      <c r="HWZ10" s="1"/>
      <c r="HXA10" s="1"/>
      <c r="HXB10" s="1"/>
      <c r="HXC10" s="1"/>
      <c r="HXD10" s="1"/>
      <c r="HXE10" s="1"/>
      <c r="HXF10" s="1"/>
      <c r="HXG10" s="1"/>
      <c r="HXH10" s="1"/>
      <c r="HXI10" s="1"/>
      <c r="HXJ10" s="1"/>
      <c r="HXK10" s="1"/>
      <c r="HXL10" s="1"/>
      <c r="HXM10" s="1"/>
      <c r="HXN10" s="1"/>
      <c r="HXO10" s="1"/>
      <c r="HXP10" s="1"/>
      <c r="HXQ10" s="1"/>
      <c r="HXR10" s="1"/>
      <c r="HXS10" s="1"/>
      <c r="HXT10" s="1"/>
      <c r="HXU10" s="1"/>
      <c r="HXV10" s="1"/>
      <c r="HXW10" s="1"/>
      <c r="HXX10" s="1"/>
      <c r="HXY10" s="1"/>
      <c r="HXZ10" s="1"/>
      <c r="HYA10" s="1"/>
      <c r="HYB10" s="1"/>
      <c r="HYC10" s="1"/>
      <c r="HYD10" s="1"/>
      <c r="HYE10" s="1"/>
      <c r="HYF10" s="1"/>
      <c r="HYG10" s="1"/>
      <c r="HYH10" s="1"/>
      <c r="HYI10" s="1"/>
      <c r="HYJ10" s="1"/>
      <c r="HYK10" s="1"/>
      <c r="HYL10" s="1"/>
      <c r="HYM10" s="1"/>
      <c r="HYN10" s="1"/>
      <c r="HYO10" s="1"/>
      <c r="HYP10" s="1"/>
      <c r="HYQ10" s="1"/>
      <c r="HYR10" s="1"/>
      <c r="HYS10" s="1"/>
      <c r="HYT10" s="1"/>
      <c r="HYU10" s="1"/>
      <c r="HYV10" s="1"/>
      <c r="HYW10" s="1"/>
      <c r="HYX10" s="1"/>
      <c r="HYY10" s="1"/>
      <c r="HYZ10" s="1"/>
      <c r="HZA10" s="1"/>
      <c r="HZB10" s="1"/>
      <c r="HZC10" s="1"/>
      <c r="HZD10" s="1"/>
      <c r="HZE10" s="1"/>
      <c r="HZF10" s="1"/>
      <c r="HZG10" s="1"/>
      <c r="HZH10" s="1"/>
      <c r="HZI10" s="1"/>
      <c r="HZJ10" s="1"/>
      <c r="HZK10" s="1"/>
      <c r="HZL10" s="1"/>
      <c r="HZM10" s="1"/>
      <c r="HZN10" s="1"/>
      <c r="HZO10" s="1"/>
      <c r="HZP10" s="1"/>
      <c r="HZQ10" s="1"/>
      <c r="HZR10" s="1"/>
      <c r="HZS10" s="1"/>
      <c r="HZT10" s="1"/>
      <c r="HZU10" s="1"/>
      <c r="HZV10" s="1"/>
      <c r="HZW10" s="1"/>
      <c r="HZX10" s="1"/>
      <c r="HZY10" s="1"/>
      <c r="HZZ10" s="1"/>
      <c r="IAA10" s="1"/>
      <c r="IAB10" s="1"/>
      <c r="IAC10" s="1"/>
      <c r="IAD10" s="1"/>
      <c r="IAE10" s="1"/>
      <c r="IAF10" s="1"/>
      <c r="IAG10" s="1"/>
      <c r="IAH10" s="1"/>
      <c r="IAI10" s="1"/>
      <c r="IAJ10" s="1"/>
      <c r="IAK10" s="1"/>
      <c r="IAL10" s="1"/>
      <c r="IAM10" s="1"/>
      <c r="IAN10" s="1"/>
      <c r="IAO10" s="1"/>
      <c r="IAP10" s="1"/>
      <c r="IAQ10" s="1"/>
      <c r="IAR10" s="1"/>
      <c r="IAS10" s="1"/>
      <c r="IAT10" s="1"/>
      <c r="IAU10" s="1"/>
      <c r="IAV10" s="1"/>
      <c r="IAW10" s="1"/>
      <c r="IAX10" s="1"/>
      <c r="IAY10" s="1"/>
      <c r="IAZ10" s="1"/>
      <c r="IBA10" s="1"/>
      <c r="IBB10" s="1"/>
      <c r="IBC10" s="1"/>
      <c r="IBD10" s="1"/>
      <c r="IBE10" s="1"/>
      <c r="IBF10" s="1"/>
      <c r="IBG10" s="1"/>
      <c r="IBH10" s="1"/>
      <c r="IBI10" s="1"/>
      <c r="IBJ10" s="1"/>
      <c r="IBK10" s="1"/>
      <c r="IBL10" s="1"/>
      <c r="IBM10" s="1"/>
      <c r="IBN10" s="1"/>
      <c r="IBO10" s="1"/>
      <c r="IBP10" s="1"/>
      <c r="IBQ10" s="1"/>
      <c r="IBR10" s="1"/>
      <c r="IBS10" s="1"/>
      <c r="IBT10" s="1"/>
      <c r="IBU10" s="1"/>
      <c r="IBV10" s="1"/>
      <c r="IBW10" s="1"/>
      <c r="IBX10" s="1"/>
      <c r="IBY10" s="1"/>
      <c r="IBZ10" s="1"/>
      <c r="ICA10" s="1"/>
      <c r="ICB10" s="1"/>
      <c r="ICC10" s="1"/>
      <c r="ICD10" s="1"/>
      <c r="ICE10" s="1"/>
      <c r="ICF10" s="1"/>
      <c r="ICG10" s="1"/>
      <c r="ICH10" s="1"/>
      <c r="ICI10" s="1"/>
      <c r="ICJ10" s="1"/>
      <c r="ICK10" s="1"/>
      <c r="ICL10" s="1"/>
      <c r="ICM10" s="1"/>
      <c r="ICN10" s="1"/>
      <c r="ICO10" s="1"/>
      <c r="ICP10" s="1"/>
      <c r="ICQ10" s="1"/>
      <c r="ICR10" s="1"/>
      <c r="ICS10" s="1"/>
      <c r="ICT10" s="1"/>
      <c r="ICU10" s="1"/>
      <c r="ICV10" s="1"/>
      <c r="ICW10" s="1"/>
      <c r="ICX10" s="1"/>
      <c r="ICY10" s="1"/>
      <c r="ICZ10" s="1"/>
      <c r="IDA10" s="1"/>
      <c r="IDB10" s="1"/>
      <c r="IDC10" s="1"/>
      <c r="IDD10" s="1"/>
      <c r="IDE10" s="1"/>
      <c r="IDF10" s="1"/>
      <c r="IDG10" s="1"/>
      <c r="IDH10" s="1"/>
      <c r="IDI10" s="1"/>
      <c r="IDJ10" s="1"/>
      <c r="IDK10" s="1"/>
      <c r="IDL10" s="1"/>
      <c r="IDM10" s="1"/>
      <c r="IDN10" s="1"/>
      <c r="IDO10" s="1"/>
      <c r="IDP10" s="1"/>
      <c r="IDQ10" s="1"/>
      <c r="IDR10" s="1"/>
      <c r="IDS10" s="1"/>
      <c r="IDT10" s="1"/>
      <c r="IDU10" s="1"/>
      <c r="IDV10" s="1"/>
      <c r="IDW10" s="1"/>
      <c r="IDX10" s="1"/>
      <c r="IDY10" s="1"/>
      <c r="IDZ10" s="1"/>
      <c r="IEA10" s="1"/>
      <c r="IEB10" s="1"/>
      <c r="IEC10" s="1"/>
      <c r="IED10" s="1"/>
      <c r="IEE10" s="1"/>
      <c r="IEF10" s="1"/>
      <c r="IEG10" s="1"/>
      <c r="IEH10" s="1"/>
      <c r="IEI10" s="1"/>
      <c r="IEJ10" s="1"/>
      <c r="IEK10" s="1"/>
      <c r="IEL10" s="1"/>
      <c r="IEM10" s="1"/>
      <c r="IEN10" s="1"/>
      <c r="IEO10" s="1"/>
      <c r="IEP10" s="1"/>
      <c r="IEQ10" s="1"/>
      <c r="IER10" s="1"/>
      <c r="IES10" s="1"/>
      <c r="IET10" s="1"/>
      <c r="IEU10" s="1"/>
      <c r="IEV10" s="1"/>
      <c r="IEW10" s="1"/>
      <c r="IEX10" s="1"/>
      <c r="IEY10" s="1"/>
      <c r="IEZ10" s="1"/>
      <c r="IFA10" s="1"/>
      <c r="IFB10" s="1"/>
      <c r="IFC10" s="1"/>
      <c r="IFD10" s="1"/>
      <c r="IFE10" s="1"/>
      <c r="IFF10" s="1"/>
      <c r="IFG10" s="1"/>
      <c r="IFH10" s="1"/>
      <c r="IFI10" s="1"/>
      <c r="IFJ10" s="1"/>
      <c r="IFK10" s="1"/>
      <c r="IFL10" s="1"/>
      <c r="IFM10" s="1"/>
      <c r="IFN10" s="1"/>
      <c r="IFO10" s="1"/>
      <c r="IFP10" s="1"/>
      <c r="IFQ10" s="1"/>
      <c r="IFR10" s="1"/>
      <c r="IFS10" s="1"/>
      <c r="IFT10" s="1"/>
      <c r="IFU10" s="1"/>
      <c r="IFV10" s="1"/>
      <c r="IFW10" s="1"/>
      <c r="IFX10" s="1"/>
      <c r="IFY10" s="1"/>
      <c r="IFZ10" s="1"/>
      <c r="IGA10" s="1"/>
      <c r="IGB10" s="1"/>
      <c r="IGC10" s="1"/>
      <c r="IGD10" s="1"/>
      <c r="IGE10" s="1"/>
      <c r="IGF10" s="1"/>
      <c r="IGG10" s="1"/>
      <c r="IGH10" s="1"/>
      <c r="IGI10" s="1"/>
      <c r="IGJ10" s="1"/>
      <c r="IGK10" s="1"/>
      <c r="IGL10" s="1"/>
      <c r="IGM10" s="1"/>
      <c r="IGN10" s="1"/>
      <c r="IGO10" s="1"/>
      <c r="IGP10" s="1"/>
      <c r="IGQ10" s="1"/>
      <c r="IGR10" s="1"/>
      <c r="IGS10" s="1"/>
      <c r="IGT10" s="1"/>
      <c r="IGU10" s="1"/>
      <c r="IGV10" s="1"/>
      <c r="IGW10" s="1"/>
      <c r="IGX10" s="1"/>
      <c r="IGY10" s="1"/>
      <c r="IGZ10" s="1"/>
      <c r="IHA10" s="1"/>
      <c r="IHB10" s="1"/>
      <c r="IHC10" s="1"/>
      <c r="IHD10" s="1"/>
      <c r="IHE10" s="1"/>
      <c r="IHF10" s="1"/>
      <c r="IHG10" s="1"/>
      <c r="IHH10" s="1"/>
      <c r="IHI10" s="1"/>
      <c r="IHJ10" s="1"/>
      <c r="IHK10" s="1"/>
      <c r="IHL10" s="1"/>
      <c r="IHM10" s="1"/>
      <c r="IHN10" s="1"/>
      <c r="IHO10" s="1"/>
      <c r="IHP10" s="1"/>
      <c r="IHQ10" s="1"/>
      <c r="IHR10" s="1"/>
      <c r="IHS10" s="1"/>
      <c r="IHT10" s="1"/>
      <c r="IHU10" s="1"/>
      <c r="IHV10" s="1"/>
      <c r="IHW10" s="1"/>
      <c r="IHX10" s="1"/>
      <c r="IHY10" s="1"/>
      <c r="IHZ10" s="1"/>
      <c r="IIA10" s="1"/>
      <c r="IIB10" s="1"/>
      <c r="IIC10" s="1"/>
      <c r="IID10" s="1"/>
      <c r="IIE10" s="1"/>
      <c r="IIF10" s="1"/>
      <c r="IIG10" s="1"/>
      <c r="IIH10" s="1"/>
      <c r="III10" s="1"/>
      <c r="IIJ10" s="1"/>
      <c r="IIK10" s="1"/>
      <c r="IIL10" s="1"/>
      <c r="IIM10" s="1"/>
      <c r="IIN10" s="1"/>
      <c r="IIO10" s="1"/>
      <c r="IIP10" s="1"/>
      <c r="IIQ10" s="1"/>
      <c r="IIR10" s="1"/>
      <c r="IIS10" s="1"/>
      <c r="IIT10" s="1"/>
      <c r="IIU10" s="1"/>
      <c r="IIV10" s="1"/>
      <c r="IIW10" s="1"/>
      <c r="IIX10" s="1"/>
      <c r="IIY10" s="1"/>
      <c r="IIZ10" s="1"/>
      <c r="IJA10" s="1"/>
      <c r="IJB10" s="1"/>
      <c r="IJC10" s="1"/>
      <c r="IJD10" s="1"/>
      <c r="IJE10" s="1"/>
      <c r="IJF10" s="1"/>
      <c r="IJG10" s="1"/>
      <c r="IJH10" s="1"/>
      <c r="IJI10" s="1"/>
      <c r="IJJ10" s="1"/>
      <c r="IJK10" s="1"/>
      <c r="IJL10" s="1"/>
      <c r="IJM10" s="1"/>
      <c r="IJN10" s="1"/>
      <c r="IJO10" s="1"/>
      <c r="IJP10" s="1"/>
      <c r="IJQ10" s="1"/>
      <c r="IJR10" s="1"/>
      <c r="IJS10" s="1"/>
      <c r="IJT10" s="1"/>
      <c r="IJU10" s="1"/>
      <c r="IJV10" s="1"/>
      <c r="IJW10" s="1"/>
      <c r="IJX10" s="1"/>
      <c r="IJY10" s="1"/>
      <c r="IJZ10" s="1"/>
      <c r="IKA10" s="1"/>
      <c r="IKB10" s="1"/>
      <c r="IKC10" s="1"/>
      <c r="IKD10" s="1"/>
      <c r="IKE10" s="1"/>
      <c r="IKF10" s="1"/>
      <c r="IKG10" s="1"/>
      <c r="IKH10" s="1"/>
      <c r="IKI10" s="1"/>
      <c r="IKJ10" s="1"/>
      <c r="IKK10" s="1"/>
      <c r="IKL10" s="1"/>
      <c r="IKM10" s="1"/>
      <c r="IKN10" s="1"/>
      <c r="IKO10" s="1"/>
      <c r="IKP10" s="1"/>
      <c r="IKQ10" s="1"/>
      <c r="IKR10" s="1"/>
      <c r="IKS10" s="1"/>
      <c r="IKT10" s="1"/>
      <c r="IKU10" s="1"/>
      <c r="IKV10" s="1"/>
      <c r="IKW10" s="1"/>
      <c r="IKX10" s="1"/>
      <c r="IKY10" s="1"/>
      <c r="IKZ10" s="1"/>
      <c r="ILA10" s="1"/>
      <c r="ILB10" s="1"/>
      <c r="ILC10" s="1"/>
      <c r="ILD10" s="1"/>
      <c r="ILE10" s="1"/>
      <c r="ILF10" s="1"/>
      <c r="ILG10" s="1"/>
      <c r="ILH10" s="1"/>
      <c r="ILI10" s="1"/>
      <c r="ILJ10" s="1"/>
      <c r="ILK10" s="1"/>
      <c r="ILL10" s="1"/>
      <c r="ILM10" s="1"/>
      <c r="ILN10" s="1"/>
      <c r="ILO10" s="1"/>
      <c r="ILP10" s="1"/>
      <c r="ILQ10" s="1"/>
      <c r="ILR10" s="1"/>
      <c r="ILS10" s="1"/>
      <c r="ILT10" s="1"/>
      <c r="ILU10" s="1"/>
      <c r="ILV10" s="1"/>
      <c r="ILW10" s="1"/>
      <c r="ILX10" s="1"/>
      <c r="ILY10" s="1"/>
      <c r="ILZ10" s="1"/>
      <c r="IMA10" s="1"/>
      <c r="IMB10" s="1"/>
      <c r="IMC10" s="1"/>
      <c r="IMD10" s="1"/>
      <c r="IME10" s="1"/>
      <c r="IMF10" s="1"/>
      <c r="IMG10" s="1"/>
      <c r="IMH10" s="1"/>
      <c r="IMI10" s="1"/>
      <c r="IMJ10" s="1"/>
      <c r="IMK10" s="1"/>
      <c r="IML10" s="1"/>
      <c r="IMM10" s="1"/>
      <c r="IMN10" s="1"/>
      <c r="IMO10" s="1"/>
      <c r="IMP10" s="1"/>
      <c r="IMQ10" s="1"/>
      <c r="IMR10" s="1"/>
      <c r="IMS10" s="1"/>
      <c r="IMT10" s="1"/>
      <c r="IMU10" s="1"/>
      <c r="IMV10" s="1"/>
      <c r="IMW10" s="1"/>
      <c r="IMX10" s="1"/>
      <c r="IMY10" s="1"/>
      <c r="IMZ10" s="1"/>
      <c r="INA10" s="1"/>
      <c r="INB10" s="1"/>
      <c r="INC10" s="1"/>
      <c r="IND10" s="1"/>
      <c r="INE10" s="1"/>
      <c r="INF10" s="1"/>
      <c r="ING10" s="1"/>
      <c r="INH10" s="1"/>
      <c r="INI10" s="1"/>
      <c r="INJ10" s="1"/>
      <c r="INK10" s="1"/>
      <c r="INL10" s="1"/>
      <c r="INM10" s="1"/>
      <c r="INN10" s="1"/>
      <c r="INO10" s="1"/>
      <c r="INP10" s="1"/>
      <c r="INQ10" s="1"/>
      <c r="INR10" s="1"/>
      <c r="INS10" s="1"/>
      <c r="INT10" s="1"/>
      <c r="INU10" s="1"/>
      <c r="INV10" s="1"/>
      <c r="INW10" s="1"/>
      <c r="INX10" s="1"/>
      <c r="INY10" s="1"/>
      <c r="INZ10" s="1"/>
      <c r="IOA10" s="1"/>
      <c r="IOB10" s="1"/>
      <c r="IOC10" s="1"/>
      <c r="IOD10" s="1"/>
      <c r="IOE10" s="1"/>
      <c r="IOF10" s="1"/>
      <c r="IOG10" s="1"/>
      <c r="IOH10" s="1"/>
      <c r="IOI10" s="1"/>
      <c r="IOJ10" s="1"/>
      <c r="IOK10" s="1"/>
      <c r="IOL10" s="1"/>
      <c r="IOM10" s="1"/>
      <c r="ION10" s="1"/>
      <c r="IOO10" s="1"/>
      <c r="IOP10" s="1"/>
      <c r="IOQ10" s="1"/>
      <c r="IOR10" s="1"/>
      <c r="IOS10" s="1"/>
      <c r="IOT10" s="1"/>
      <c r="IOU10" s="1"/>
      <c r="IOV10" s="1"/>
      <c r="IOW10" s="1"/>
      <c r="IOX10" s="1"/>
      <c r="IOY10" s="1"/>
      <c r="IOZ10" s="1"/>
      <c r="IPA10" s="1"/>
      <c r="IPB10" s="1"/>
      <c r="IPC10" s="1"/>
      <c r="IPD10" s="1"/>
      <c r="IPE10" s="1"/>
      <c r="IPF10" s="1"/>
      <c r="IPG10" s="1"/>
      <c r="IPH10" s="1"/>
      <c r="IPI10" s="1"/>
      <c r="IPJ10" s="1"/>
      <c r="IPK10" s="1"/>
      <c r="IPL10" s="1"/>
      <c r="IPM10" s="1"/>
      <c r="IPN10" s="1"/>
      <c r="IPO10" s="1"/>
      <c r="IPP10" s="1"/>
      <c r="IPQ10" s="1"/>
      <c r="IPR10" s="1"/>
      <c r="IPS10" s="1"/>
      <c r="IPT10" s="1"/>
      <c r="IPU10" s="1"/>
      <c r="IPV10" s="1"/>
      <c r="IPW10" s="1"/>
      <c r="IPX10" s="1"/>
      <c r="IPY10" s="1"/>
      <c r="IPZ10" s="1"/>
      <c r="IQA10" s="1"/>
      <c r="IQB10" s="1"/>
      <c r="IQC10" s="1"/>
      <c r="IQD10" s="1"/>
      <c r="IQE10" s="1"/>
      <c r="IQF10" s="1"/>
      <c r="IQG10" s="1"/>
      <c r="IQH10" s="1"/>
      <c r="IQI10" s="1"/>
      <c r="IQJ10" s="1"/>
      <c r="IQK10" s="1"/>
      <c r="IQL10" s="1"/>
      <c r="IQM10" s="1"/>
      <c r="IQN10" s="1"/>
      <c r="IQO10" s="1"/>
      <c r="IQP10" s="1"/>
      <c r="IQQ10" s="1"/>
      <c r="IQR10" s="1"/>
      <c r="IQS10" s="1"/>
      <c r="IQT10" s="1"/>
      <c r="IQU10" s="1"/>
      <c r="IQV10" s="1"/>
      <c r="IQW10" s="1"/>
      <c r="IQX10" s="1"/>
      <c r="IQY10" s="1"/>
      <c r="IQZ10" s="1"/>
      <c r="IRA10" s="1"/>
      <c r="IRB10" s="1"/>
      <c r="IRC10" s="1"/>
      <c r="IRD10" s="1"/>
      <c r="IRE10" s="1"/>
      <c r="IRF10" s="1"/>
      <c r="IRG10" s="1"/>
      <c r="IRH10" s="1"/>
      <c r="IRI10" s="1"/>
      <c r="IRJ10" s="1"/>
      <c r="IRK10" s="1"/>
      <c r="IRL10" s="1"/>
      <c r="IRM10" s="1"/>
      <c r="IRN10" s="1"/>
      <c r="IRO10" s="1"/>
      <c r="IRP10" s="1"/>
      <c r="IRQ10" s="1"/>
      <c r="IRR10" s="1"/>
      <c r="IRS10" s="1"/>
      <c r="IRT10" s="1"/>
      <c r="IRU10" s="1"/>
      <c r="IRV10" s="1"/>
      <c r="IRW10" s="1"/>
      <c r="IRX10" s="1"/>
      <c r="IRY10" s="1"/>
      <c r="IRZ10" s="1"/>
      <c r="ISA10" s="1"/>
      <c r="ISB10" s="1"/>
      <c r="ISC10" s="1"/>
      <c r="ISD10" s="1"/>
      <c r="ISE10" s="1"/>
      <c r="ISF10" s="1"/>
      <c r="ISG10" s="1"/>
      <c r="ISH10" s="1"/>
      <c r="ISI10" s="1"/>
      <c r="ISJ10" s="1"/>
      <c r="ISK10" s="1"/>
      <c r="ISL10" s="1"/>
      <c r="ISM10" s="1"/>
      <c r="ISN10" s="1"/>
      <c r="ISO10" s="1"/>
      <c r="ISP10" s="1"/>
      <c r="ISQ10" s="1"/>
      <c r="ISR10" s="1"/>
      <c r="ISS10" s="1"/>
      <c r="IST10" s="1"/>
      <c r="ISU10" s="1"/>
      <c r="ISV10" s="1"/>
      <c r="ISW10" s="1"/>
      <c r="ISX10" s="1"/>
      <c r="ISY10" s="1"/>
      <c r="ISZ10" s="1"/>
      <c r="ITA10" s="1"/>
      <c r="ITB10" s="1"/>
      <c r="ITC10" s="1"/>
      <c r="ITD10" s="1"/>
      <c r="ITE10" s="1"/>
      <c r="ITF10" s="1"/>
      <c r="ITG10" s="1"/>
      <c r="ITH10" s="1"/>
      <c r="ITI10" s="1"/>
      <c r="ITJ10" s="1"/>
      <c r="ITK10" s="1"/>
      <c r="ITL10" s="1"/>
      <c r="ITM10" s="1"/>
      <c r="ITN10" s="1"/>
      <c r="ITO10" s="1"/>
      <c r="ITP10" s="1"/>
      <c r="ITQ10" s="1"/>
      <c r="ITR10" s="1"/>
      <c r="ITS10" s="1"/>
      <c r="ITT10" s="1"/>
      <c r="ITU10" s="1"/>
      <c r="ITV10" s="1"/>
      <c r="ITW10" s="1"/>
      <c r="ITX10" s="1"/>
      <c r="ITY10" s="1"/>
      <c r="ITZ10" s="1"/>
      <c r="IUA10" s="1"/>
      <c r="IUB10" s="1"/>
      <c r="IUC10" s="1"/>
      <c r="IUD10" s="1"/>
      <c r="IUE10" s="1"/>
      <c r="IUF10" s="1"/>
      <c r="IUG10" s="1"/>
      <c r="IUH10" s="1"/>
      <c r="IUI10" s="1"/>
      <c r="IUJ10" s="1"/>
      <c r="IUK10" s="1"/>
      <c r="IUL10" s="1"/>
      <c r="IUM10" s="1"/>
      <c r="IUN10" s="1"/>
      <c r="IUO10" s="1"/>
      <c r="IUP10" s="1"/>
      <c r="IUQ10" s="1"/>
      <c r="IUR10" s="1"/>
      <c r="IUS10" s="1"/>
      <c r="IUT10" s="1"/>
      <c r="IUU10" s="1"/>
      <c r="IUV10" s="1"/>
      <c r="IUW10" s="1"/>
      <c r="IUX10" s="1"/>
      <c r="IUY10" s="1"/>
      <c r="IUZ10" s="1"/>
      <c r="IVA10" s="1"/>
      <c r="IVB10" s="1"/>
      <c r="IVC10" s="1"/>
      <c r="IVD10" s="1"/>
      <c r="IVE10" s="1"/>
      <c r="IVF10" s="1"/>
      <c r="IVG10" s="1"/>
      <c r="IVH10" s="1"/>
      <c r="IVI10" s="1"/>
      <c r="IVJ10" s="1"/>
      <c r="IVK10" s="1"/>
      <c r="IVL10" s="1"/>
      <c r="IVM10" s="1"/>
      <c r="IVN10" s="1"/>
      <c r="IVO10" s="1"/>
      <c r="IVP10" s="1"/>
      <c r="IVQ10" s="1"/>
      <c r="IVR10" s="1"/>
      <c r="IVS10" s="1"/>
      <c r="IVT10" s="1"/>
      <c r="IVU10" s="1"/>
      <c r="IVV10" s="1"/>
      <c r="IVW10" s="1"/>
      <c r="IVX10" s="1"/>
      <c r="IVY10" s="1"/>
      <c r="IVZ10" s="1"/>
      <c r="IWA10" s="1"/>
      <c r="IWB10" s="1"/>
      <c r="IWC10" s="1"/>
      <c r="IWD10" s="1"/>
      <c r="IWE10" s="1"/>
      <c r="IWF10" s="1"/>
      <c r="IWG10" s="1"/>
      <c r="IWH10" s="1"/>
      <c r="IWI10" s="1"/>
      <c r="IWJ10" s="1"/>
      <c r="IWK10" s="1"/>
      <c r="IWL10" s="1"/>
      <c r="IWM10" s="1"/>
      <c r="IWN10" s="1"/>
      <c r="IWO10" s="1"/>
      <c r="IWP10" s="1"/>
      <c r="IWQ10" s="1"/>
      <c r="IWR10" s="1"/>
      <c r="IWS10" s="1"/>
      <c r="IWT10" s="1"/>
      <c r="IWU10" s="1"/>
      <c r="IWV10" s="1"/>
      <c r="IWW10" s="1"/>
      <c r="IWX10" s="1"/>
      <c r="IWY10" s="1"/>
      <c r="IWZ10" s="1"/>
      <c r="IXA10" s="1"/>
      <c r="IXB10" s="1"/>
      <c r="IXC10" s="1"/>
      <c r="IXD10" s="1"/>
      <c r="IXE10" s="1"/>
      <c r="IXF10" s="1"/>
      <c r="IXG10" s="1"/>
      <c r="IXH10" s="1"/>
      <c r="IXI10" s="1"/>
      <c r="IXJ10" s="1"/>
      <c r="IXK10" s="1"/>
      <c r="IXL10" s="1"/>
      <c r="IXM10" s="1"/>
      <c r="IXN10" s="1"/>
      <c r="IXO10" s="1"/>
      <c r="IXP10" s="1"/>
      <c r="IXQ10" s="1"/>
      <c r="IXR10" s="1"/>
      <c r="IXS10" s="1"/>
      <c r="IXT10" s="1"/>
      <c r="IXU10" s="1"/>
      <c r="IXV10" s="1"/>
      <c r="IXW10" s="1"/>
      <c r="IXX10" s="1"/>
      <c r="IXY10" s="1"/>
      <c r="IXZ10" s="1"/>
      <c r="IYA10" s="1"/>
      <c r="IYB10" s="1"/>
      <c r="IYC10" s="1"/>
      <c r="IYD10" s="1"/>
      <c r="IYE10" s="1"/>
      <c r="IYF10" s="1"/>
      <c r="IYG10" s="1"/>
      <c r="IYH10" s="1"/>
      <c r="IYI10" s="1"/>
      <c r="IYJ10" s="1"/>
      <c r="IYK10" s="1"/>
      <c r="IYL10" s="1"/>
      <c r="IYM10" s="1"/>
      <c r="IYN10" s="1"/>
      <c r="IYO10" s="1"/>
      <c r="IYP10" s="1"/>
      <c r="IYQ10" s="1"/>
      <c r="IYR10" s="1"/>
      <c r="IYS10" s="1"/>
      <c r="IYT10" s="1"/>
      <c r="IYU10" s="1"/>
      <c r="IYV10" s="1"/>
      <c r="IYW10" s="1"/>
      <c r="IYX10" s="1"/>
      <c r="IYY10" s="1"/>
      <c r="IYZ10" s="1"/>
      <c r="IZA10" s="1"/>
      <c r="IZB10" s="1"/>
      <c r="IZC10" s="1"/>
      <c r="IZD10" s="1"/>
      <c r="IZE10" s="1"/>
      <c r="IZF10" s="1"/>
      <c r="IZG10" s="1"/>
      <c r="IZH10" s="1"/>
      <c r="IZI10" s="1"/>
      <c r="IZJ10" s="1"/>
      <c r="IZK10" s="1"/>
      <c r="IZL10" s="1"/>
      <c r="IZM10" s="1"/>
      <c r="IZN10" s="1"/>
      <c r="IZO10" s="1"/>
      <c r="IZP10" s="1"/>
      <c r="IZQ10" s="1"/>
      <c r="IZR10" s="1"/>
      <c r="IZS10" s="1"/>
      <c r="IZT10" s="1"/>
      <c r="IZU10" s="1"/>
      <c r="IZV10" s="1"/>
      <c r="IZW10" s="1"/>
      <c r="IZX10" s="1"/>
      <c r="IZY10" s="1"/>
      <c r="IZZ10" s="1"/>
      <c r="JAA10" s="1"/>
      <c r="JAB10" s="1"/>
      <c r="JAC10" s="1"/>
      <c r="JAD10" s="1"/>
      <c r="JAE10" s="1"/>
      <c r="JAF10" s="1"/>
      <c r="JAG10" s="1"/>
      <c r="JAH10" s="1"/>
      <c r="JAI10" s="1"/>
      <c r="JAJ10" s="1"/>
      <c r="JAK10" s="1"/>
      <c r="JAL10" s="1"/>
      <c r="JAM10" s="1"/>
      <c r="JAN10" s="1"/>
      <c r="JAO10" s="1"/>
      <c r="JAP10" s="1"/>
      <c r="JAQ10" s="1"/>
      <c r="JAR10" s="1"/>
      <c r="JAS10" s="1"/>
      <c r="JAT10" s="1"/>
      <c r="JAU10" s="1"/>
      <c r="JAV10" s="1"/>
      <c r="JAW10" s="1"/>
      <c r="JAX10" s="1"/>
      <c r="JAY10" s="1"/>
      <c r="JAZ10" s="1"/>
      <c r="JBA10" s="1"/>
      <c r="JBB10" s="1"/>
      <c r="JBC10" s="1"/>
      <c r="JBD10" s="1"/>
      <c r="JBE10" s="1"/>
      <c r="JBF10" s="1"/>
      <c r="JBG10" s="1"/>
      <c r="JBH10" s="1"/>
      <c r="JBI10" s="1"/>
      <c r="JBJ10" s="1"/>
      <c r="JBK10" s="1"/>
      <c r="JBL10" s="1"/>
      <c r="JBM10" s="1"/>
      <c r="JBN10" s="1"/>
      <c r="JBO10" s="1"/>
      <c r="JBP10" s="1"/>
      <c r="JBQ10" s="1"/>
      <c r="JBR10" s="1"/>
      <c r="JBS10" s="1"/>
      <c r="JBT10" s="1"/>
      <c r="JBU10" s="1"/>
      <c r="JBV10" s="1"/>
      <c r="JBW10" s="1"/>
      <c r="JBX10" s="1"/>
      <c r="JBY10" s="1"/>
      <c r="JBZ10" s="1"/>
      <c r="JCA10" s="1"/>
      <c r="JCB10" s="1"/>
      <c r="JCC10" s="1"/>
      <c r="JCD10" s="1"/>
      <c r="JCE10" s="1"/>
      <c r="JCF10" s="1"/>
      <c r="JCG10" s="1"/>
      <c r="JCH10" s="1"/>
      <c r="JCI10" s="1"/>
      <c r="JCJ10" s="1"/>
      <c r="JCK10" s="1"/>
      <c r="JCL10" s="1"/>
      <c r="JCM10" s="1"/>
      <c r="JCN10" s="1"/>
      <c r="JCO10" s="1"/>
      <c r="JCP10" s="1"/>
      <c r="JCQ10" s="1"/>
      <c r="JCR10" s="1"/>
      <c r="JCS10" s="1"/>
      <c r="JCT10" s="1"/>
      <c r="JCU10" s="1"/>
      <c r="JCV10" s="1"/>
      <c r="JCW10" s="1"/>
      <c r="JCX10" s="1"/>
      <c r="JCY10" s="1"/>
      <c r="JCZ10" s="1"/>
      <c r="JDA10" s="1"/>
      <c r="JDB10" s="1"/>
      <c r="JDC10" s="1"/>
      <c r="JDD10" s="1"/>
      <c r="JDE10" s="1"/>
      <c r="JDF10" s="1"/>
      <c r="JDG10" s="1"/>
      <c r="JDH10" s="1"/>
      <c r="JDI10" s="1"/>
      <c r="JDJ10" s="1"/>
      <c r="JDK10" s="1"/>
      <c r="JDL10" s="1"/>
      <c r="JDM10" s="1"/>
      <c r="JDN10" s="1"/>
      <c r="JDO10" s="1"/>
      <c r="JDP10" s="1"/>
      <c r="JDQ10" s="1"/>
      <c r="JDR10" s="1"/>
      <c r="JDS10" s="1"/>
      <c r="JDT10" s="1"/>
      <c r="JDU10" s="1"/>
      <c r="JDV10" s="1"/>
      <c r="JDW10" s="1"/>
      <c r="JDX10" s="1"/>
      <c r="JDY10" s="1"/>
      <c r="JDZ10" s="1"/>
      <c r="JEA10" s="1"/>
      <c r="JEB10" s="1"/>
      <c r="JEC10" s="1"/>
      <c r="JED10" s="1"/>
      <c r="JEE10" s="1"/>
      <c r="JEF10" s="1"/>
      <c r="JEG10" s="1"/>
      <c r="JEH10" s="1"/>
      <c r="JEI10" s="1"/>
      <c r="JEJ10" s="1"/>
      <c r="JEK10" s="1"/>
      <c r="JEL10" s="1"/>
      <c r="JEM10" s="1"/>
      <c r="JEN10" s="1"/>
      <c r="JEO10" s="1"/>
      <c r="JEP10" s="1"/>
      <c r="JEQ10" s="1"/>
      <c r="JER10" s="1"/>
      <c r="JES10" s="1"/>
      <c r="JET10" s="1"/>
      <c r="JEU10" s="1"/>
      <c r="JEV10" s="1"/>
      <c r="JEW10" s="1"/>
      <c r="JEX10" s="1"/>
      <c r="JEY10" s="1"/>
      <c r="JEZ10" s="1"/>
      <c r="JFA10" s="1"/>
      <c r="JFB10" s="1"/>
      <c r="JFC10" s="1"/>
      <c r="JFD10" s="1"/>
      <c r="JFE10" s="1"/>
      <c r="JFF10" s="1"/>
      <c r="JFG10" s="1"/>
      <c r="JFH10" s="1"/>
      <c r="JFI10" s="1"/>
      <c r="JFJ10" s="1"/>
      <c r="JFK10" s="1"/>
      <c r="JFL10" s="1"/>
      <c r="JFM10" s="1"/>
      <c r="JFN10" s="1"/>
      <c r="JFO10" s="1"/>
      <c r="JFP10" s="1"/>
      <c r="JFQ10" s="1"/>
      <c r="JFR10" s="1"/>
      <c r="JFS10" s="1"/>
      <c r="JFT10" s="1"/>
      <c r="JFU10" s="1"/>
      <c r="JFV10" s="1"/>
      <c r="JFW10" s="1"/>
      <c r="JFX10" s="1"/>
      <c r="JFY10" s="1"/>
      <c r="JFZ10" s="1"/>
      <c r="JGA10" s="1"/>
      <c r="JGB10" s="1"/>
      <c r="JGC10" s="1"/>
      <c r="JGD10" s="1"/>
      <c r="JGE10" s="1"/>
      <c r="JGF10" s="1"/>
      <c r="JGG10" s="1"/>
      <c r="JGH10" s="1"/>
      <c r="JGI10" s="1"/>
      <c r="JGJ10" s="1"/>
      <c r="JGK10" s="1"/>
      <c r="JGL10" s="1"/>
      <c r="JGM10" s="1"/>
      <c r="JGN10" s="1"/>
      <c r="JGO10" s="1"/>
      <c r="JGP10" s="1"/>
      <c r="JGQ10" s="1"/>
      <c r="JGR10" s="1"/>
      <c r="JGS10" s="1"/>
      <c r="JGT10" s="1"/>
      <c r="JGU10" s="1"/>
      <c r="JGV10" s="1"/>
      <c r="JGW10" s="1"/>
      <c r="JGX10" s="1"/>
      <c r="JGY10" s="1"/>
      <c r="JGZ10" s="1"/>
      <c r="JHA10" s="1"/>
      <c r="JHB10" s="1"/>
      <c r="JHC10" s="1"/>
      <c r="JHD10" s="1"/>
      <c r="JHE10" s="1"/>
      <c r="JHF10" s="1"/>
      <c r="JHG10" s="1"/>
      <c r="JHH10" s="1"/>
      <c r="JHI10" s="1"/>
      <c r="JHJ10" s="1"/>
      <c r="JHK10" s="1"/>
      <c r="JHL10" s="1"/>
      <c r="JHM10" s="1"/>
      <c r="JHN10" s="1"/>
      <c r="JHO10" s="1"/>
      <c r="JHP10" s="1"/>
      <c r="JHQ10" s="1"/>
      <c r="JHR10" s="1"/>
      <c r="JHS10" s="1"/>
      <c r="JHT10" s="1"/>
      <c r="JHU10" s="1"/>
      <c r="JHV10" s="1"/>
      <c r="JHW10" s="1"/>
      <c r="JHX10" s="1"/>
      <c r="JHY10" s="1"/>
      <c r="JHZ10" s="1"/>
      <c r="JIA10" s="1"/>
      <c r="JIB10" s="1"/>
      <c r="JIC10" s="1"/>
      <c r="JID10" s="1"/>
      <c r="JIE10" s="1"/>
      <c r="JIF10" s="1"/>
      <c r="JIG10" s="1"/>
      <c r="JIH10" s="1"/>
      <c r="JII10" s="1"/>
      <c r="JIJ10" s="1"/>
      <c r="JIK10" s="1"/>
      <c r="JIL10" s="1"/>
      <c r="JIM10" s="1"/>
      <c r="JIN10" s="1"/>
      <c r="JIO10" s="1"/>
      <c r="JIP10" s="1"/>
      <c r="JIQ10" s="1"/>
      <c r="JIR10" s="1"/>
      <c r="JIS10" s="1"/>
      <c r="JIT10" s="1"/>
      <c r="JIU10" s="1"/>
      <c r="JIV10" s="1"/>
      <c r="JIW10" s="1"/>
      <c r="JIX10" s="1"/>
      <c r="JIY10" s="1"/>
      <c r="JIZ10" s="1"/>
      <c r="JJA10" s="1"/>
      <c r="JJB10" s="1"/>
      <c r="JJC10" s="1"/>
      <c r="JJD10" s="1"/>
      <c r="JJE10" s="1"/>
      <c r="JJF10" s="1"/>
      <c r="JJG10" s="1"/>
      <c r="JJH10" s="1"/>
      <c r="JJI10" s="1"/>
      <c r="JJJ10" s="1"/>
      <c r="JJK10" s="1"/>
      <c r="JJL10" s="1"/>
      <c r="JJM10" s="1"/>
      <c r="JJN10" s="1"/>
      <c r="JJO10" s="1"/>
      <c r="JJP10" s="1"/>
      <c r="JJQ10" s="1"/>
      <c r="JJR10" s="1"/>
      <c r="JJS10" s="1"/>
      <c r="JJT10" s="1"/>
      <c r="JJU10" s="1"/>
      <c r="JJV10" s="1"/>
      <c r="JJW10" s="1"/>
      <c r="JJX10" s="1"/>
      <c r="JJY10" s="1"/>
      <c r="JJZ10" s="1"/>
      <c r="JKA10" s="1"/>
      <c r="JKB10" s="1"/>
      <c r="JKC10" s="1"/>
      <c r="JKD10" s="1"/>
      <c r="JKE10" s="1"/>
      <c r="JKF10" s="1"/>
      <c r="JKG10" s="1"/>
      <c r="JKH10" s="1"/>
      <c r="JKI10" s="1"/>
      <c r="JKJ10" s="1"/>
      <c r="JKK10" s="1"/>
      <c r="JKL10" s="1"/>
      <c r="JKM10" s="1"/>
      <c r="JKN10" s="1"/>
      <c r="JKO10" s="1"/>
      <c r="JKP10" s="1"/>
      <c r="JKQ10" s="1"/>
      <c r="JKR10" s="1"/>
      <c r="JKS10" s="1"/>
      <c r="JKT10" s="1"/>
      <c r="JKU10" s="1"/>
      <c r="JKV10" s="1"/>
      <c r="JKW10" s="1"/>
      <c r="JKX10" s="1"/>
      <c r="JKY10" s="1"/>
      <c r="JKZ10" s="1"/>
      <c r="JLA10" s="1"/>
      <c r="JLB10" s="1"/>
      <c r="JLC10" s="1"/>
      <c r="JLD10" s="1"/>
      <c r="JLE10" s="1"/>
      <c r="JLF10" s="1"/>
      <c r="JLG10" s="1"/>
      <c r="JLH10" s="1"/>
      <c r="JLI10" s="1"/>
      <c r="JLJ10" s="1"/>
      <c r="JLK10" s="1"/>
      <c r="JLL10" s="1"/>
      <c r="JLM10" s="1"/>
      <c r="JLN10" s="1"/>
      <c r="JLO10" s="1"/>
      <c r="JLP10" s="1"/>
      <c r="JLQ10" s="1"/>
      <c r="JLR10" s="1"/>
      <c r="JLS10" s="1"/>
      <c r="JLT10" s="1"/>
      <c r="JLU10" s="1"/>
      <c r="JLV10" s="1"/>
      <c r="JLW10" s="1"/>
      <c r="JLX10" s="1"/>
      <c r="JLY10" s="1"/>
      <c r="JLZ10" s="1"/>
      <c r="JMA10" s="1"/>
      <c r="JMB10" s="1"/>
      <c r="JMC10" s="1"/>
      <c r="JMD10" s="1"/>
      <c r="JME10" s="1"/>
      <c r="JMF10" s="1"/>
      <c r="JMG10" s="1"/>
      <c r="JMH10" s="1"/>
      <c r="JMI10" s="1"/>
      <c r="JMJ10" s="1"/>
      <c r="JMK10" s="1"/>
      <c r="JML10" s="1"/>
      <c r="JMM10" s="1"/>
      <c r="JMN10" s="1"/>
      <c r="JMO10" s="1"/>
      <c r="JMP10" s="1"/>
      <c r="JMQ10" s="1"/>
      <c r="JMR10" s="1"/>
      <c r="JMS10" s="1"/>
      <c r="JMT10" s="1"/>
      <c r="JMU10" s="1"/>
      <c r="JMV10" s="1"/>
      <c r="JMW10" s="1"/>
      <c r="JMX10" s="1"/>
      <c r="JMY10" s="1"/>
      <c r="JMZ10" s="1"/>
      <c r="JNA10" s="1"/>
      <c r="JNB10" s="1"/>
      <c r="JNC10" s="1"/>
      <c r="JND10" s="1"/>
      <c r="JNE10" s="1"/>
      <c r="JNF10" s="1"/>
      <c r="JNG10" s="1"/>
      <c r="JNH10" s="1"/>
      <c r="JNI10" s="1"/>
      <c r="JNJ10" s="1"/>
      <c r="JNK10" s="1"/>
      <c r="JNL10" s="1"/>
      <c r="JNM10" s="1"/>
      <c r="JNN10" s="1"/>
      <c r="JNO10" s="1"/>
      <c r="JNP10" s="1"/>
      <c r="JNQ10" s="1"/>
      <c r="JNR10" s="1"/>
      <c r="JNS10" s="1"/>
      <c r="JNT10" s="1"/>
      <c r="JNU10" s="1"/>
      <c r="JNV10" s="1"/>
      <c r="JNW10" s="1"/>
      <c r="JNX10" s="1"/>
      <c r="JNY10" s="1"/>
      <c r="JNZ10" s="1"/>
      <c r="JOA10" s="1"/>
      <c r="JOB10" s="1"/>
      <c r="JOC10" s="1"/>
      <c r="JOD10" s="1"/>
      <c r="JOE10" s="1"/>
      <c r="JOF10" s="1"/>
      <c r="JOG10" s="1"/>
      <c r="JOH10" s="1"/>
      <c r="JOI10" s="1"/>
      <c r="JOJ10" s="1"/>
      <c r="JOK10" s="1"/>
      <c r="JOL10" s="1"/>
      <c r="JOM10" s="1"/>
      <c r="JON10" s="1"/>
      <c r="JOO10" s="1"/>
      <c r="JOP10" s="1"/>
      <c r="JOQ10" s="1"/>
      <c r="JOR10" s="1"/>
      <c r="JOS10" s="1"/>
      <c r="JOT10" s="1"/>
      <c r="JOU10" s="1"/>
      <c r="JOV10" s="1"/>
      <c r="JOW10" s="1"/>
      <c r="JOX10" s="1"/>
      <c r="JOY10" s="1"/>
      <c r="JOZ10" s="1"/>
      <c r="JPA10" s="1"/>
      <c r="JPB10" s="1"/>
      <c r="JPC10" s="1"/>
      <c r="JPD10" s="1"/>
      <c r="JPE10" s="1"/>
      <c r="JPF10" s="1"/>
      <c r="JPG10" s="1"/>
      <c r="JPH10" s="1"/>
      <c r="JPI10" s="1"/>
      <c r="JPJ10" s="1"/>
      <c r="JPK10" s="1"/>
      <c r="JPL10" s="1"/>
      <c r="JPM10" s="1"/>
      <c r="JPN10" s="1"/>
      <c r="JPO10" s="1"/>
      <c r="JPP10" s="1"/>
      <c r="JPQ10" s="1"/>
      <c r="JPR10" s="1"/>
      <c r="JPS10" s="1"/>
      <c r="JPT10" s="1"/>
      <c r="JPU10" s="1"/>
      <c r="JPV10" s="1"/>
      <c r="JPW10" s="1"/>
      <c r="JPX10" s="1"/>
      <c r="JPY10" s="1"/>
      <c r="JPZ10" s="1"/>
      <c r="JQA10" s="1"/>
      <c r="JQB10" s="1"/>
      <c r="JQC10" s="1"/>
      <c r="JQD10" s="1"/>
      <c r="JQE10" s="1"/>
      <c r="JQF10" s="1"/>
      <c r="JQG10" s="1"/>
      <c r="JQH10" s="1"/>
      <c r="JQI10" s="1"/>
      <c r="JQJ10" s="1"/>
      <c r="JQK10" s="1"/>
      <c r="JQL10" s="1"/>
      <c r="JQM10" s="1"/>
      <c r="JQN10" s="1"/>
      <c r="JQO10" s="1"/>
      <c r="JQP10" s="1"/>
      <c r="JQQ10" s="1"/>
      <c r="JQR10" s="1"/>
      <c r="JQS10" s="1"/>
      <c r="JQT10" s="1"/>
      <c r="JQU10" s="1"/>
      <c r="JQV10" s="1"/>
      <c r="JQW10" s="1"/>
      <c r="JQX10" s="1"/>
      <c r="JQY10" s="1"/>
      <c r="JQZ10" s="1"/>
      <c r="JRA10" s="1"/>
      <c r="JRB10" s="1"/>
      <c r="JRC10" s="1"/>
      <c r="JRD10" s="1"/>
      <c r="JRE10" s="1"/>
      <c r="JRF10" s="1"/>
      <c r="JRG10" s="1"/>
      <c r="JRH10" s="1"/>
      <c r="JRI10" s="1"/>
      <c r="JRJ10" s="1"/>
      <c r="JRK10" s="1"/>
      <c r="JRL10" s="1"/>
      <c r="JRM10" s="1"/>
      <c r="JRN10" s="1"/>
      <c r="JRO10" s="1"/>
      <c r="JRP10" s="1"/>
      <c r="JRQ10" s="1"/>
      <c r="JRR10" s="1"/>
      <c r="JRS10" s="1"/>
      <c r="JRT10" s="1"/>
      <c r="JRU10" s="1"/>
      <c r="JRV10" s="1"/>
      <c r="JRW10" s="1"/>
      <c r="JRX10" s="1"/>
      <c r="JRY10" s="1"/>
      <c r="JRZ10" s="1"/>
      <c r="JSA10" s="1"/>
      <c r="JSB10" s="1"/>
      <c r="JSC10" s="1"/>
      <c r="JSD10" s="1"/>
      <c r="JSE10" s="1"/>
      <c r="JSF10" s="1"/>
      <c r="JSG10" s="1"/>
      <c r="JSH10" s="1"/>
      <c r="JSI10" s="1"/>
      <c r="JSJ10" s="1"/>
      <c r="JSK10" s="1"/>
      <c r="JSL10" s="1"/>
      <c r="JSM10" s="1"/>
      <c r="JSN10" s="1"/>
      <c r="JSO10" s="1"/>
      <c r="JSP10" s="1"/>
      <c r="JSQ10" s="1"/>
      <c r="JSR10" s="1"/>
      <c r="JSS10" s="1"/>
      <c r="JST10" s="1"/>
      <c r="JSU10" s="1"/>
      <c r="JSV10" s="1"/>
      <c r="JSW10" s="1"/>
      <c r="JSX10" s="1"/>
      <c r="JSY10" s="1"/>
      <c r="JSZ10" s="1"/>
      <c r="JTA10" s="1"/>
      <c r="JTB10" s="1"/>
      <c r="JTC10" s="1"/>
      <c r="JTD10" s="1"/>
      <c r="JTE10" s="1"/>
      <c r="JTF10" s="1"/>
      <c r="JTG10" s="1"/>
      <c r="JTH10" s="1"/>
      <c r="JTI10" s="1"/>
      <c r="JTJ10" s="1"/>
      <c r="JTK10" s="1"/>
      <c r="JTL10" s="1"/>
      <c r="JTM10" s="1"/>
      <c r="JTN10" s="1"/>
      <c r="JTO10" s="1"/>
      <c r="JTP10" s="1"/>
      <c r="JTQ10" s="1"/>
      <c r="JTR10" s="1"/>
      <c r="JTS10" s="1"/>
      <c r="JTT10" s="1"/>
      <c r="JTU10" s="1"/>
      <c r="JTV10" s="1"/>
      <c r="JTW10" s="1"/>
      <c r="JTX10" s="1"/>
      <c r="JTY10" s="1"/>
      <c r="JTZ10" s="1"/>
      <c r="JUA10" s="1"/>
      <c r="JUB10" s="1"/>
      <c r="JUC10" s="1"/>
      <c r="JUD10" s="1"/>
      <c r="JUE10" s="1"/>
      <c r="JUF10" s="1"/>
      <c r="JUG10" s="1"/>
      <c r="JUH10" s="1"/>
      <c r="JUI10" s="1"/>
      <c r="JUJ10" s="1"/>
      <c r="JUK10" s="1"/>
      <c r="JUL10" s="1"/>
      <c r="JUM10" s="1"/>
      <c r="JUN10" s="1"/>
      <c r="JUO10" s="1"/>
      <c r="JUP10" s="1"/>
      <c r="JUQ10" s="1"/>
      <c r="JUR10" s="1"/>
      <c r="JUS10" s="1"/>
      <c r="JUT10" s="1"/>
      <c r="JUU10" s="1"/>
      <c r="JUV10" s="1"/>
      <c r="JUW10" s="1"/>
      <c r="JUX10" s="1"/>
      <c r="JUY10" s="1"/>
      <c r="JUZ10" s="1"/>
      <c r="JVA10" s="1"/>
      <c r="JVB10" s="1"/>
      <c r="JVC10" s="1"/>
      <c r="JVD10" s="1"/>
      <c r="JVE10" s="1"/>
      <c r="JVF10" s="1"/>
      <c r="JVG10" s="1"/>
      <c r="JVH10" s="1"/>
      <c r="JVI10" s="1"/>
      <c r="JVJ10" s="1"/>
      <c r="JVK10" s="1"/>
      <c r="JVL10" s="1"/>
      <c r="JVM10" s="1"/>
      <c r="JVN10" s="1"/>
      <c r="JVO10" s="1"/>
      <c r="JVP10" s="1"/>
      <c r="JVQ10" s="1"/>
      <c r="JVR10" s="1"/>
      <c r="JVS10" s="1"/>
      <c r="JVT10" s="1"/>
      <c r="JVU10" s="1"/>
      <c r="JVV10" s="1"/>
      <c r="JVW10" s="1"/>
      <c r="JVX10" s="1"/>
      <c r="JVY10" s="1"/>
      <c r="JVZ10" s="1"/>
      <c r="JWA10" s="1"/>
      <c r="JWB10" s="1"/>
      <c r="JWC10" s="1"/>
      <c r="JWD10" s="1"/>
      <c r="JWE10" s="1"/>
      <c r="JWF10" s="1"/>
      <c r="JWG10" s="1"/>
      <c r="JWH10" s="1"/>
      <c r="JWI10" s="1"/>
      <c r="JWJ10" s="1"/>
      <c r="JWK10" s="1"/>
      <c r="JWL10" s="1"/>
      <c r="JWM10" s="1"/>
      <c r="JWN10" s="1"/>
      <c r="JWO10" s="1"/>
      <c r="JWP10" s="1"/>
      <c r="JWQ10" s="1"/>
      <c r="JWR10" s="1"/>
      <c r="JWS10" s="1"/>
      <c r="JWT10" s="1"/>
      <c r="JWU10" s="1"/>
      <c r="JWV10" s="1"/>
      <c r="JWW10" s="1"/>
      <c r="JWX10" s="1"/>
      <c r="JWY10" s="1"/>
      <c r="JWZ10" s="1"/>
      <c r="JXA10" s="1"/>
      <c r="JXB10" s="1"/>
      <c r="JXC10" s="1"/>
      <c r="JXD10" s="1"/>
      <c r="JXE10" s="1"/>
      <c r="JXF10" s="1"/>
      <c r="JXG10" s="1"/>
      <c r="JXH10" s="1"/>
      <c r="JXI10" s="1"/>
      <c r="JXJ10" s="1"/>
      <c r="JXK10" s="1"/>
      <c r="JXL10" s="1"/>
      <c r="JXM10" s="1"/>
      <c r="JXN10" s="1"/>
      <c r="JXO10" s="1"/>
      <c r="JXP10" s="1"/>
      <c r="JXQ10" s="1"/>
      <c r="JXR10" s="1"/>
      <c r="JXS10" s="1"/>
      <c r="JXT10" s="1"/>
      <c r="JXU10" s="1"/>
      <c r="JXV10" s="1"/>
      <c r="JXW10" s="1"/>
      <c r="JXX10" s="1"/>
      <c r="JXY10" s="1"/>
      <c r="JXZ10" s="1"/>
      <c r="JYA10" s="1"/>
      <c r="JYB10" s="1"/>
      <c r="JYC10" s="1"/>
      <c r="JYD10" s="1"/>
      <c r="JYE10" s="1"/>
      <c r="JYF10" s="1"/>
      <c r="JYG10" s="1"/>
      <c r="JYH10" s="1"/>
      <c r="JYI10" s="1"/>
      <c r="JYJ10" s="1"/>
      <c r="JYK10" s="1"/>
      <c r="JYL10" s="1"/>
      <c r="JYM10" s="1"/>
      <c r="JYN10" s="1"/>
      <c r="JYO10" s="1"/>
      <c r="JYP10" s="1"/>
      <c r="JYQ10" s="1"/>
      <c r="JYR10" s="1"/>
      <c r="JYS10" s="1"/>
      <c r="JYT10" s="1"/>
      <c r="JYU10" s="1"/>
      <c r="JYV10" s="1"/>
      <c r="JYW10" s="1"/>
      <c r="JYX10" s="1"/>
      <c r="JYY10" s="1"/>
      <c r="JYZ10" s="1"/>
      <c r="JZA10" s="1"/>
      <c r="JZB10" s="1"/>
      <c r="JZC10" s="1"/>
      <c r="JZD10" s="1"/>
      <c r="JZE10" s="1"/>
      <c r="JZF10" s="1"/>
      <c r="JZG10" s="1"/>
      <c r="JZH10" s="1"/>
      <c r="JZI10" s="1"/>
      <c r="JZJ10" s="1"/>
      <c r="JZK10" s="1"/>
      <c r="JZL10" s="1"/>
      <c r="JZM10" s="1"/>
      <c r="JZN10" s="1"/>
      <c r="JZO10" s="1"/>
      <c r="JZP10" s="1"/>
      <c r="JZQ10" s="1"/>
      <c r="JZR10" s="1"/>
      <c r="JZS10" s="1"/>
      <c r="JZT10" s="1"/>
      <c r="JZU10" s="1"/>
      <c r="JZV10" s="1"/>
      <c r="JZW10" s="1"/>
      <c r="JZX10" s="1"/>
      <c r="JZY10" s="1"/>
      <c r="JZZ10" s="1"/>
      <c r="KAA10" s="1"/>
      <c r="KAB10" s="1"/>
      <c r="KAC10" s="1"/>
      <c r="KAD10" s="1"/>
      <c r="KAE10" s="1"/>
      <c r="KAF10" s="1"/>
      <c r="KAG10" s="1"/>
      <c r="KAH10" s="1"/>
      <c r="KAI10" s="1"/>
      <c r="KAJ10" s="1"/>
      <c r="KAK10" s="1"/>
      <c r="KAL10" s="1"/>
      <c r="KAM10" s="1"/>
      <c r="KAN10" s="1"/>
      <c r="KAO10" s="1"/>
      <c r="KAP10" s="1"/>
      <c r="KAQ10" s="1"/>
      <c r="KAR10" s="1"/>
      <c r="KAS10" s="1"/>
      <c r="KAT10" s="1"/>
      <c r="KAU10" s="1"/>
      <c r="KAV10" s="1"/>
      <c r="KAW10" s="1"/>
      <c r="KAX10" s="1"/>
      <c r="KAY10" s="1"/>
      <c r="KAZ10" s="1"/>
      <c r="KBA10" s="1"/>
      <c r="KBB10" s="1"/>
      <c r="KBC10" s="1"/>
      <c r="KBD10" s="1"/>
      <c r="KBE10" s="1"/>
      <c r="KBF10" s="1"/>
      <c r="KBG10" s="1"/>
      <c r="KBH10" s="1"/>
      <c r="KBI10" s="1"/>
      <c r="KBJ10" s="1"/>
      <c r="KBK10" s="1"/>
      <c r="KBL10" s="1"/>
      <c r="KBM10" s="1"/>
      <c r="KBN10" s="1"/>
      <c r="KBO10" s="1"/>
      <c r="KBP10" s="1"/>
      <c r="KBQ10" s="1"/>
      <c r="KBR10" s="1"/>
      <c r="KBS10" s="1"/>
      <c r="KBT10" s="1"/>
      <c r="KBU10" s="1"/>
      <c r="KBV10" s="1"/>
      <c r="KBW10" s="1"/>
      <c r="KBX10" s="1"/>
      <c r="KBY10" s="1"/>
      <c r="KBZ10" s="1"/>
      <c r="KCA10" s="1"/>
      <c r="KCB10" s="1"/>
      <c r="KCC10" s="1"/>
      <c r="KCD10" s="1"/>
      <c r="KCE10" s="1"/>
      <c r="KCF10" s="1"/>
      <c r="KCG10" s="1"/>
      <c r="KCH10" s="1"/>
      <c r="KCI10" s="1"/>
      <c r="KCJ10" s="1"/>
      <c r="KCK10" s="1"/>
      <c r="KCL10" s="1"/>
      <c r="KCM10" s="1"/>
      <c r="KCN10" s="1"/>
      <c r="KCO10" s="1"/>
      <c r="KCP10" s="1"/>
      <c r="KCQ10" s="1"/>
      <c r="KCR10" s="1"/>
      <c r="KCS10" s="1"/>
      <c r="KCT10" s="1"/>
      <c r="KCU10" s="1"/>
      <c r="KCV10" s="1"/>
      <c r="KCW10" s="1"/>
      <c r="KCX10" s="1"/>
      <c r="KCY10" s="1"/>
      <c r="KCZ10" s="1"/>
      <c r="KDA10" s="1"/>
      <c r="KDB10" s="1"/>
      <c r="KDC10" s="1"/>
      <c r="KDD10" s="1"/>
      <c r="KDE10" s="1"/>
      <c r="KDF10" s="1"/>
      <c r="KDG10" s="1"/>
      <c r="KDH10" s="1"/>
      <c r="KDI10" s="1"/>
      <c r="KDJ10" s="1"/>
      <c r="KDK10" s="1"/>
      <c r="KDL10" s="1"/>
      <c r="KDM10" s="1"/>
      <c r="KDN10" s="1"/>
      <c r="KDO10" s="1"/>
      <c r="KDP10" s="1"/>
      <c r="KDQ10" s="1"/>
      <c r="KDR10" s="1"/>
      <c r="KDS10" s="1"/>
      <c r="KDT10" s="1"/>
      <c r="KDU10" s="1"/>
      <c r="KDV10" s="1"/>
      <c r="KDW10" s="1"/>
      <c r="KDX10" s="1"/>
      <c r="KDY10" s="1"/>
      <c r="KDZ10" s="1"/>
      <c r="KEA10" s="1"/>
      <c r="KEB10" s="1"/>
      <c r="KEC10" s="1"/>
      <c r="KED10" s="1"/>
      <c r="KEE10" s="1"/>
      <c r="KEF10" s="1"/>
      <c r="KEG10" s="1"/>
      <c r="KEH10" s="1"/>
      <c r="KEI10" s="1"/>
      <c r="KEJ10" s="1"/>
      <c r="KEK10" s="1"/>
      <c r="KEL10" s="1"/>
      <c r="KEM10" s="1"/>
      <c r="KEN10" s="1"/>
      <c r="KEO10" s="1"/>
      <c r="KEP10" s="1"/>
      <c r="KEQ10" s="1"/>
      <c r="KER10" s="1"/>
      <c r="KES10" s="1"/>
      <c r="KET10" s="1"/>
      <c r="KEU10" s="1"/>
      <c r="KEV10" s="1"/>
      <c r="KEW10" s="1"/>
      <c r="KEX10" s="1"/>
      <c r="KEY10" s="1"/>
      <c r="KEZ10" s="1"/>
      <c r="KFA10" s="1"/>
      <c r="KFB10" s="1"/>
      <c r="KFC10" s="1"/>
      <c r="KFD10" s="1"/>
      <c r="KFE10" s="1"/>
      <c r="KFF10" s="1"/>
      <c r="KFG10" s="1"/>
      <c r="KFH10" s="1"/>
      <c r="KFI10" s="1"/>
      <c r="KFJ10" s="1"/>
      <c r="KFK10" s="1"/>
      <c r="KFL10" s="1"/>
      <c r="KFM10" s="1"/>
      <c r="KFN10" s="1"/>
      <c r="KFO10" s="1"/>
      <c r="KFP10" s="1"/>
      <c r="KFQ10" s="1"/>
      <c r="KFR10" s="1"/>
      <c r="KFS10" s="1"/>
      <c r="KFT10" s="1"/>
      <c r="KFU10" s="1"/>
      <c r="KFV10" s="1"/>
      <c r="KFW10" s="1"/>
      <c r="KFX10" s="1"/>
      <c r="KFY10" s="1"/>
      <c r="KFZ10" s="1"/>
      <c r="KGA10" s="1"/>
      <c r="KGB10" s="1"/>
      <c r="KGC10" s="1"/>
      <c r="KGD10" s="1"/>
      <c r="KGE10" s="1"/>
      <c r="KGF10" s="1"/>
      <c r="KGG10" s="1"/>
      <c r="KGH10" s="1"/>
      <c r="KGI10" s="1"/>
      <c r="KGJ10" s="1"/>
      <c r="KGK10" s="1"/>
      <c r="KGL10" s="1"/>
      <c r="KGM10" s="1"/>
      <c r="KGN10" s="1"/>
      <c r="KGO10" s="1"/>
      <c r="KGP10" s="1"/>
      <c r="KGQ10" s="1"/>
      <c r="KGR10" s="1"/>
      <c r="KGS10" s="1"/>
      <c r="KGT10" s="1"/>
      <c r="KGU10" s="1"/>
      <c r="KGV10" s="1"/>
      <c r="KGW10" s="1"/>
      <c r="KGX10" s="1"/>
      <c r="KGY10" s="1"/>
      <c r="KGZ10" s="1"/>
      <c r="KHA10" s="1"/>
      <c r="KHB10" s="1"/>
      <c r="KHC10" s="1"/>
      <c r="KHD10" s="1"/>
      <c r="KHE10" s="1"/>
      <c r="KHF10" s="1"/>
      <c r="KHG10" s="1"/>
      <c r="KHH10" s="1"/>
      <c r="KHI10" s="1"/>
      <c r="KHJ10" s="1"/>
      <c r="KHK10" s="1"/>
      <c r="KHL10" s="1"/>
      <c r="KHM10" s="1"/>
      <c r="KHN10" s="1"/>
      <c r="KHO10" s="1"/>
      <c r="KHP10" s="1"/>
      <c r="KHQ10" s="1"/>
      <c r="KHR10" s="1"/>
      <c r="KHS10" s="1"/>
      <c r="KHT10" s="1"/>
      <c r="KHU10" s="1"/>
      <c r="KHV10" s="1"/>
      <c r="KHW10" s="1"/>
      <c r="KHX10" s="1"/>
      <c r="KHY10" s="1"/>
      <c r="KHZ10" s="1"/>
      <c r="KIA10" s="1"/>
      <c r="KIB10" s="1"/>
      <c r="KIC10" s="1"/>
      <c r="KID10" s="1"/>
      <c r="KIE10" s="1"/>
      <c r="KIF10" s="1"/>
      <c r="KIG10" s="1"/>
      <c r="KIH10" s="1"/>
      <c r="KII10" s="1"/>
      <c r="KIJ10" s="1"/>
      <c r="KIK10" s="1"/>
      <c r="KIL10" s="1"/>
      <c r="KIM10" s="1"/>
      <c r="KIN10" s="1"/>
      <c r="KIO10" s="1"/>
      <c r="KIP10" s="1"/>
      <c r="KIQ10" s="1"/>
      <c r="KIR10" s="1"/>
      <c r="KIS10" s="1"/>
      <c r="KIT10" s="1"/>
      <c r="KIU10" s="1"/>
      <c r="KIV10" s="1"/>
      <c r="KIW10" s="1"/>
      <c r="KIX10" s="1"/>
      <c r="KIY10" s="1"/>
      <c r="KIZ10" s="1"/>
      <c r="KJA10" s="1"/>
      <c r="KJB10" s="1"/>
      <c r="KJC10" s="1"/>
      <c r="KJD10" s="1"/>
      <c r="KJE10" s="1"/>
      <c r="KJF10" s="1"/>
      <c r="KJG10" s="1"/>
      <c r="KJH10" s="1"/>
      <c r="KJI10" s="1"/>
      <c r="KJJ10" s="1"/>
      <c r="KJK10" s="1"/>
      <c r="KJL10" s="1"/>
      <c r="KJM10" s="1"/>
      <c r="KJN10" s="1"/>
      <c r="KJO10" s="1"/>
      <c r="KJP10" s="1"/>
      <c r="KJQ10" s="1"/>
      <c r="KJR10" s="1"/>
      <c r="KJS10" s="1"/>
      <c r="KJT10" s="1"/>
      <c r="KJU10" s="1"/>
      <c r="KJV10" s="1"/>
      <c r="KJW10" s="1"/>
      <c r="KJX10" s="1"/>
      <c r="KJY10" s="1"/>
      <c r="KJZ10" s="1"/>
      <c r="KKA10" s="1"/>
      <c r="KKB10" s="1"/>
      <c r="KKC10" s="1"/>
      <c r="KKD10" s="1"/>
      <c r="KKE10" s="1"/>
      <c r="KKF10" s="1"/>
      <c r="KKG10" s="1"/>
      <c r="KKH10" s="1"/>
      <c r="KKI10" s="1"/>
      <c r="KKJ10" s="1"/>
      <c r="KKK10" s="1"/>
      <c r="KKL10" s="1"/>
      <c r="KKM10" s="1"/>
      <c r="KKN10" s="1"/>
      <c r="KKO10" s="1"/>
      <c r="KKP10" s="1"/>
      <c r="KKQ10" s="1"/>
      <c r="KKR10" s="1"/>
      <c r="KKS10" s="1"/>
      <c r="KKT10" s="1"/>
      <c r="KKU10" s="1"/>
      <c r="KKV10" s="1"/>
      <c r="KKW10" s="1"/>
      <c r="KKX10" s="1"/>
      <c r="KKY10" s="1"/>
      <c r="KKZ10" s="1"/>
      <c r="KLA10" s="1"/>
      <c r="KLB10" s="1"/>
      <c r="KLC10" s="1"/>
      <c r="KLD10" s="1"/>
      <c r="KLE10" s="1"/>
      <c r="KLF10" s="1"/>
      <c r="KLG10" s="1"/>
      <c r="KLH10" s="1"/>
      <c r="KLI10" s="1"/>
      <c r="KLJ10" s="1"/>
      <c r="KLK10" s="1"/>
      <c r="KLL10" s="1"/>
      <c r="KLM10" s="1"/>
      <c r="KLN10" s="1"/>
      <c r="KLO10" s="1"/>
      <c r="KLP10" s="1"/>
      <c r="KLQ10" s="1"/>
      <c r="KLR10" s="1"/>
      <c r="KLS10" s="1"/>
      <c r="KLT10" s="1"/>
      <c r="KLU10" s="1"/>
      <c r="KLV10" s="1"/>
      <c r="KLW10" s="1"/>
      <c r="KLX10" s="1"/>
      <c r="KLY10" s="1"/>
      <c r="KLZ10" s="1"/>
      <c r="KMA10" s="1"/>
      <c r="KMB10" s="1"/>
      <c r="KMC10" s="1"/>
      <c r="KMD10" s="1"/>
      <c r="KME10" s="1"/>
      <c r="KMF10" s="1"/>
      <c r="KMG10" s="1"/>
      <c r="KMH10" s="1"/>
      <c r="KMI10" s="1"/>
      <c r="KMJ10" s="1"/>
      <c r="KMK10" s="1"/>
      <c r="KML10" s="1"/>
      <c r="KMM10" s="1"/>
      <c r="KMN10" s="1"/>
      <c r="KMO10" s="1"/>
      <c r="KMP10" s="1"/>
      <c r="KMQ10" s="1"/>
      <c r="KMR10" s="1"/>
      <c r="KMS10" s="1"/>
      <c r="KMT10" s="1"/>
      <c r="KMU10" s="1"/>
      <c r="KMV10" s="1"/>
      <c r="KMW10" s="1"/>
      <c r="KMX10" s="1"/>
      <c r="KMY10" s="1"/>
      <c r="KMZ10" s="1"/>
      <c r="KNA10" s="1"/>
      <c r="KNB10" s="1"/>
      <c r="KNC10" s="1"/>
      <c r="KND10" s="1"/>
      <c r="KNE10" s="1"/>
      <c r="KNF10" s="1"/>
      <c r="KNG10" s="1"/>
      <c r="KNH10" s="1"/>
      <c r="KNI10" s="1"/>
      <c r="KNJ10" s="1"/>
      <c r="KNK10" s="1"/>
      <c r="KNL10" s="1"/>
      <c r="KNM10" s="1"/>
      <c r="KNN10" s="1"/>
      <c r="KNO10" s="1"/>
      <c r="KNP10" s="1"/>
      <c r="KNQ10" s="1"/>
      <c r="KNR10" s="1"/>
      <c r="KNS10" s="1"/>
      <c r="KNT10" s="1"/>
      <c r="KNU10" s="1"/>
      <c r="KNV10" s="1"/>
      <c r="KNW10" s="1"/>
      <c r="KNX10" s="1"/>
      <c r="KNY10" s="1"/>
      <c r="KNZ10" s="1"/>
      <c r="KOA10" s="1"/>
      <c r="KOB10" s="1"/>
      <c r="KOC10" s="1"/>
      <c r="KOD10" s="1"/>
      <c r="KOE10" s="1"/>
      <c r="KOF10" s="1"/>
      <c r="KOG10" s="1"/>
      <c r="KOH10" s="1"/>
      <c r="KOI10" s="1"/>
      <c r="KOJ10" s="1"/>
      <c r="KOK10" s="1"/>
      <c r="KOL10" s="1"/>
      <c r="KOM10" s="1"/>
      <c r="KON10" s="1"/>
      <c r="KOO10" s="1"/>
      <c r="KOP10" s="1"/>
      <c r="KOQ10" s="1"/>
      <c r="KOR10" s="1"/>
      <c r="KOS10" s="1"/>
      <c r="KOT10" s="1"/>
      <c r="KOU10" s="1"/>
      <c r="KOV10" s="1"/>
      <c r="KOW10" s="1"/>
      <c r="KOX10" s="1"/>
      <c r="KOY10" s="1"/>
      <c r="KOZ10" s="1"/>
      <c r="KPA10" s="1"/>
      <c r="KPB10" s="1"/>
      <c r="KPC10" s="1"/>
      <c r="KPD10" s="1"/>
      <c r="KPE10" s="1"/>
      <c r="KPF10" s="1"/>
      <c r="KPG10" s="1"/>
      <c r="KPH10" s="1"/>
      <c r="KPI10" s="1"/>
      <c r="KPJ10" s="1"/>
      <c r="KPK10" s="1"/>
      <c r="KPL10" s="1"/>
      <c r="KPM10" s="1"/>
      <c r="KPN10" s="1"/>
      <c r="KPO10" s="1"/>
      <c r="KPP10" s="1"/>
      <c r="KPQ10" s="1"/>
      <c r="KPR10" s="1"/>
      <c r="KPS10" s="1"/>
      <c r="KPT10" s="1"/>
      <c r="KPU10" s="1"/>
      <c r="KPV10" s="1"/>
      <c r="KPW10" s="1"/>
      <c r="KPX10" s="1"/>
      <c r="KPY10" s="1"/>
      <c r="KPZ10" s="1"/>
      <c r="KQA10" s="1"/>
      <c r="KQB10" s="1"/>
      <c r="KQC10" s="1"/>
      <c r="KQD10" s="1"/>
      <c r="KQE10" s="1"/>
      <c r="KQF10" s="1"/>
      <c r="KQG10" s="1"/>
      <c r="KQH10" s="1"/>
      <c r="KQI10" s="1"/>
      <c r="KQJ10" s="1"/>
      <c r="KQK10" s="1"/>
      <c r="KQL10" s="1"/>
      <c r="KQM10" s="1"/>
      <c r="KQN10" s="1"/>
      <c r="KQO10" s="1"/>
      <c r="KQP10" s="1"/>
      <c r="KQQ10" s="1"/>
      <c r="KQR10" s="1"/>
      <c r="KQS10" s="1"/>
      <c r="KQT10" s="1"/>
      <c r="KQU10" s="1"/>
      <c r="KQV10" s="1"/>
      <c r="KQW10" s="1"/>
      <c r="KQX10" s="1"/>
      <c r="KQY10" s="1"/>
      <c r="KQZ10" s="1"/>
      <c r="KRA10" s="1"/>
      <c r="KRB10" s="1"/>
      <c r="KRC10" s="1"/>
      <c r="KRD10" s="1"/>
      <c r="KRE10" s="1"/>
      <c r="KRF10" s="1"/>
      <c r="KRG10" s="1"/>
      <c r="KRH10" s="1"/>
      <c r="KRI10" s="1"/>
      <c r="KRJ10" s="1"/>
      <c r="KRK10" s="1"/>
      <c r="KRL10" s="1"/>
      <c r="KRM10" s="1"/>
      <c r="KRN10" s="1"/>
    </row>
    <row r="11" spans="1:7918" s="249" customFormat="1">
      <c r="A11" s="1">
        <f t="shared" si="0"/>
        <v>6</v>
      </c>
      <c r="B11" s="255" t="s">
        <v>419</v>
      </c>
      <c r="C11" s="1253" t="s">
        <v>223</v>
      </c>
      <c r="D11" s="1307" t="s">
        <v>419</v>
      </c>
      <c r="E11" s="145" t="str">
        <f>VLOOKUP(B11,distribucion!G$8:FP$153,2,0)</f>
        <v>Jefe de Informática</v>
      </c>
      <c r="F11" s="128">
        <f>ROUND((VLOOKUP($B11,ECONACIONAL!$C$5:$AC$219,4,0)),2)</f>
        <v>30</v>
      </c>
      <c r="G11" s="128">
        <f>ROUND((VLOOKUP($B11,ECONACIONAL!$C$7:$AC$219,6,0)),2)</f>
        <v>8000</v>
      </c>
      <c r="H11" s="128">
        <f>ROUND((VLOOKUP($B11,ECONACIONAL!$C$7:$AC$219,7,0)),2)</f>
        <v>7500</v>
      </c>
      <c r="I11" s="128">
        <f>ROUND((VLOOKUP($B11,ECONACIONAL!$C$7:$AC$219,9,0)),2)</f>
        <v>0</v>
      </c>
      <c r="J11" s="128">
        <f>ROUND((VLOOKUP($B11,ECONACIONAL!$C$7:$AC$219,10,0)),2)</f>
        <v>0</v>
      </c>
      <c r="K11" s="128">
        <f>ROUND((VLOOKUP($B11,ECONACIONAL!$C$7:$AC$219,11,0)),2)</f>
        <v>0</v>
      </c>
      <c r="L11" s="128">
        <f>ROUND((VLOOKUP($B11,ECONACIONAL!$C$7:$AC$219,12,0)),2)</f>
        <v>0</v>
      </c>
      <c r="M11" s="128">
        <f>ROUND((VLOOKUP($B11,ECONACIONAL!$C$7:$AC$219,14,0)),2)</f>
        <v>0</v>
      </c>
      <c r="N11" s="128">
        <f>ROUND((VLOOKUP($B11,ECONACIONAL!$C$7:$AC$219,15,0)),2)</f>
        <v>15500</v>
      </c>
      <c r="O11" s="128">
        <f>ROUND((VLOOKUP($B11,ECONACIONAL!$C$7:$AC$219,16,0)),2)</f>
        <v>386.4</v>
      </c>
      <c r="P11" s="128">
        <f>ROUND((VLOOKUP($B11,ECONACIONAL!$C$7:$AC$219,17,0)),2)</f>
        <v>493.18</v>
      </c>
      <c r="Q11" s="128">
        <f>ROUND((VLOOKUP($B11,ECONACIONAL!$C$7:$AC$219,18,0)),2)</f>
        <v>2633.75</v>
      </c>
      <c r="R11" s="128">
        <f>ROUND((VLOOKUP($B11,ECONACIONAL!$C$7:$AC$219,19,0)),2)</f>
        <v>0</v>
      </c>
      <c r="S11" s="128">
        <f>ROUND((VLOOKUP($B11,ECONACIONAL!$C$7:$AC$219,20,0)),2)</f>
        <v>0</v>
      </c>
      <c r="T11" s="128">
        <f>ROUND((VLOOKUP($B11,ECONACIONAL!$C$7:$AC$219,21,0)),2)</f>
        <v>0</v>
      </c>
      <c r="U11" s="128">
        <f>ROUND((VLOOKUP($B11,ECONACIONAL!$C$7:$AC$219,22,0)),2)</f>
        <v>0</v>
      </c>
      <c r="V11" s="128">
        <f>ROUND((VLOOKUP($B11,ECONACIONAL!$C$7:$AC$219,23,0)),2)</f>
        <v>0</v>
      </c>
      <c r="W11" s="128">
        <f>ROUND((VLOOKUP($B11,ECONACIONAL!$C$7:$AC$219,24,0)),2)</f>
        <v>3513.33</v>
      </c>
      <c r="X11" s="128">
        <f>ROUND((VLOOKUP($B11,ECONACIONAL!$C$7:$AC$219,25,0)),2)</f>
        <v>11986.67</v>
      </c>
      <c r="Y11" s="128">
        <f>ROUND((VLOOKUP($B11,ECONACIONAL!$C$7:$AC$219,26,0)),2)</f>
        <v>5993.33</v>
      </c>
      <c r="Z11" s="128">
        <f>ROUND((VLOOKUP($B11,ECONACIONAL!$C$7:$AC$219,27,0)),2)</f>
        <v>5993.34</v>
      </c>
      <c r="AA11" s="276">
        <v>0</v>
      </c>
      <c r="AB11" s="256" t="str">
        <f>+IFERROR(VLOOKUP(B11,#REF!,3,0),"")</f>
        <v/>
      </c>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c r="UY11" s="1"/>
      <c r="UZ11" s="1"/>
      <c r="VA11" s="1"/>
      <c r="VB11" s="1"/>
      <c r="VC11" s="1"/>
      <c r="VD11" s="1"/>
      <c r="VE11" s="1"/>
      <c r="VF11" s="1"/>
      <c r="VG11" s="1"/>
      <c r="VH11" s="1"/>
      <c r="VI11" s="1"/>
      <c r="VJ11" s="1"/>
      <c r="VK11" s="1"/>
      <c r="VL11" s="1"/>
      <c r="VM11" s="1"/>
      <c r="VN11" s="1"/>
      <c r="VO11" s="1"/>
      <c r="VP11" s="1"/>
      <c r="VQ11" s="1"/>
      <c r="VR11" s="1"/>
      <c r="VS11" s="1"/>
      <c r="VT11" s="1"/>
      <c r="VU11" s="1"/>
      <c r="VV11" s="1"/>
      <c r="VW11" s="1"/>
      <c r="VX11" s="1"/>
      <c r="VY11" s="1"/>
      <c r="VZ11" s="1"/>
      <c r="WA11" s="1"/>
      <c r="WB11" s="1"/>
      <c r="WC11" s="1"/>
      <c r="WD11" s="1"/>
      <c r="WE11" s="1"/>
      <c r="WF11" s="1"/>
      <c r="WG11" s="1"/>
      <c r="WH11" s="1"/>
      <c r="WI11" s="1"/>
      <c r="WJ11" s="1"/>
      <c r="WK11" s="1"/>
      <c r="WL11" s="1"/>
      <c r="WM11" s="1"/>
      <c r="WN11" s="1"/>
      <c r="WO11" s="1"/>
      <c r="WP11" s="1"/>
      <c r="WQ11" s="1"/>
      <c r="WR11" s="1"/>
      <c r="WS11" s="1"/>
      <c r="WT11" s="1"/>
      <c r="WU11" s="1"/>
      <c r="WV11" s="1"/>
      <c r="WW11" s="1"/>
      <c r="WX11" s="1"/>
      <c r="WY11" s="1"/>
      <c r="WZ11" s="1"/>
      <c r="XA11" s="1"/>
      <c r="XB11" s="1"/>
      <c r="XC11" s="1"/>
      <c r="XD11" s="1"/>
      <c r="XE11" s="1"/>
      <c r="XF11" s="1"/>
      <c r="XG11" s="1"/>
      <c r="XH11" s="1"/>
      <c r="XI11" s="1"/>
      <c r="XJ11" s="1"/>
      <c r="XK11" s="1"/>
      <c r="XL11" s="1"/>
      <c r="XM11" s="1"/>
      <c r="XN11" s="1"/>
      <c r="XO11" s="1"/>
      <c r="XP11" s="1"/>
      <c r="XQ11" s="1"/>
      <c r="XR11" s="1"/>
      <c r="XS11" s="1"/>
      <c r="XT11" s="1"/>
      <c r="XU11" s="1"/>
      <c r="XV11" s="1"/>
      <c r="XW11" s="1"/>
      <c r="XX11" s="1"/>
      <c r="XY11" s="1"/>
      <c r="XZ11" s="1"/>
      <c r="YA11" s="1"/>
      <c r="YB11" s="1"/>
      <c r="YC11" s="1"/>
      <c r="YD11" s="1"/>
      <c r="YE11" s="1"/>
      <c r="YF11" s="1"/>
      <c r="YG11" s="1"/>
      <c r="YH11" s="1"/>
      <c r="YI11" s="1"/>
      <c r="YJ11" s="1"/>
      <c r="YK11" s="1"/>
      <c r="YL11" s="1"/>
      <c r="YM11" s="1"/>
      <c r="YN11" s="1"/>
      <c r="YO11" s="1"/>
      <c r="YP11" s="1"/>
      <c r="YQ11" s="1"/>
      <c r="YR11" s="1"/>
      <c r="YS11" s="1"/>
      <c r="YT11" s="1"/>
      <c r="YU11" s="1"/>
      <c r="YV11" s="1"/>
      <c r="YW11" s="1"/>
      <c r="YX11" s="1"/>
      <c r="YY11" s="1"/>
      <c r="YZ11" s="1"/>
      <c r="ZA11" s="1"/>
      <c r="ZB11" s="1"/>
      <c r="ZC11" s="1"/>
      <c r="ZD11" s="1"/>
      <c r="ZE11" s="1"/>
      <c r="ZF11" s="1"/>
      <c r="ZG11" s="1"/>
      <c r="ZH11" s="1"/>
      <c r="ZI11" s="1"/>
      <c r="ZJ11" s="1"/>
      <c r="ZK11" s="1"/>
      <c r="ZL11" s="1"/>
      <c r="ZM11" s="1"/>
      <c r="ZN11" s="1"/>
      <c r="ZO11" s="1"/>
      <c r="ZP11" s="1"/>
      <c r="ZQ11" s="1"/>
      <c r="ZR11" s="1"/>
      <c r="ZS11" s="1"/>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c r="ABP11" s="1"/>
      <c r="ABQ11" s="1"/>
      <c r="ABR11" s="1"/>
      <c r="ABS11" s="1"/>
      <c r="ABT11" s="1"/>
      <c r="ABU11" s="1"/>
      <c r="ABV11" s="1"/>
      <c r="ABW11" s="1"/>
      <c r="ABX11" s="1"/>
      <c r="ABY11" s="1"/>
      <c r="ABZ11" s="1"/>
      <c r="ACA11" s="1"/>
      <c r="ACB11" s="1"/>
      <c r="ACC11" s="1"/>
      <c r="ACD11" s="1"/>
      <c r="ACE11" s="1"/>
      <c r="ACF11" s="1"/>
      <c r="ACG11" s="1"/>
      <c r="ACH11" s="1"/>
      <c r="ACI11" s="1"/>
      <c r="ACJ11" s="1"/>
      <c r="ACK11" s="1"/>
      <c r="ACL11" s="1"/>
      <c r="ACM11" s="1"/>
      <c r="ACN11" s="1"/>
      <c r="ACO11" s="1"/>
      <c r="ACP11" s="1"/>
      <c r="ACQ11" s="1"/>
      <c r="ACR11" s="1"/>
      <c r="ACS11" s="1"/>
      <c r="ACT11" s="1"/>
      <c r="ACU11" s="1"/>
      <c r="ACV11" s="1"/>
      <c r="ACW11" s="1"/>
      <c r="ACX11" s="1"/>
      <c r="ACY11" s="1"/>
      <c r="ACZ11" s="1"/>
      <c r="ADA11" s="1"/>
      <c r="ADB11" s="1"/>
      <c r="ADC11" s="1"/>
      <c r="ADD11" s="1"/>
      <c r="ADE11" s="1"/>
      <c r="ADF11" s="1"/>
      <c r="ADG11" s="1"/>
      <c r="ADH11" s="1"/>
      <c r="ADI11" s="1"/>
      <c r="ADJ11" s="1"/>
      <c r="ADK11" s="1"/>
      <c r="ADL11" s="1"/>
      <c r="ADM11" s="1"/>
      <c r="ADN11" s="1"/>
      <c r="ADO11" s="1"/>
      <c r="ADP11" s="1"/>
      <c r="ADQ11" s="1"/>
      <c r="ADR11" s="1"/>
      <c r="ADS11" s="1"/>
      <c r="ADT11" s="1"/>
      <c r="ADU11" s="1"/>
      <c r="ADV11" s="1"/>
      <c r="ADW11" s="1"/>
      <c r="ADX11" s="1"/>
      <c r="ADY11" s="1"/>
      <c r="ADZ11" s="1"/>
      <c r="AEA11" s="1"/>
      <c r="AEB11" s="1"/>
      <c r="AEC11" s="1"/>
      <c r="AED11" s="1"/>
      <c r="AEE11" s="1"/>
      <c r="AEF11" s="1"/>
      <c r="AEG11" s="1"/>
      <c r="AEH11" s="1"/>
      <c r="AEI11" s="1"/>
      <c r="AEJ11" s="1"/>
      <c r="AEK11" s="1"/>
      <c r="AEL11" s="1"/>
      <c r="AEM11" s="1"/>
      <c r="AEN11" s="1"/>
      <c r="AEO11" s="1"/>
      <c r="AEP11" s="1"/>
      <c r="AEQ11" s="1"/>
      <c r="AER11" s="1"/>
      <c r="AES11" s="1"/>
      <c r="AET11" s="1"/>
      <c r="AEU11" s="1"/>
      <c r="AEV11" s="1"/>
      <c r="AEW11" s="1"/>
      <c r="AEX11" s="1"/>
      <c r="AEY11" s="1"/>
      <c r="AEZ11" s="1"/>
      <c r="AFA11" s="1"/>
      <c r="AFB11" s="1"/>
      <c r="AFC11" s="1"/>
      <c r="AFD11" s="1"/>
      <c r="AFE11" s="1"/>
      <c r="AFF11" s="1"/>
      <c r="AFG11" s="1"/>
      <c r="AFH11" s="1"/>
      <c r="AFI11" s="1"/>
      <c r="AFJ11" s="1"/>
      <c r="AFK11" s="1"/>
      <c r="AFL11" s="1"/>
      <c r="AFM11" s="1"/>
      <c r="AFN11" s="1"/>
      <c r="AFO11" s="1"/>
      <c r="AFP11" s="1"/>
      <c r="AFQ11" s="1"/>
      <c r="AFR11" s="1"/>
      <c r="AFS11" s="1"/>
      <c r="AFT11" s="1"/>
      <c r="AFU11" s="1"/>
      <c r="AFV11" s="1"/>
      <c r="AFW11" s="1"/>
      <c r="AFX11" s="1"/>
      <c r="AFY11" s="1"/>
      <c r="AFZ11" s="1"/>
      <c r="AGA11" s="1"/>
      <c r="AGB11" s="1"/>
      <c r="AGC11" s="1"/>
      <c r="AGD11" s="1"/>
      <c r="AGE11" s="1"/>
      <c r="AGF11" s="1"/>
      <c r="AGG11" s="1"/>
      <c r="AGH11" s="1"/>
      <c r="AGI11" s="1"/>
      <c r="AGJ11" s="1"/>
      <c r="AGK11" s="1"/>
      <c r="AGL11" s="1"/>
      <c r="AGM11" s="1"/>
      <c r="AGN11" s="1"/>
      <c r="AGO11" s="1"/>
      <c r="AGP11" s="1"/>
      <c r="AGQ11" s="1"/>
      <c r="AGR11" s="1"/>
      <c r="AGS11" s="1"/>
      <c r="AGT11" s="1"/>
      <c r="AGU11" s="1"/>
      <c r="AGV11" s="1"/>
      <c r="AGW11" s="1"/>
      <c r="AGX11" s="1"/>
      <c r="AGY11" s="1"/>
      <c r="AGZ11" s="1"/>
      <c r="AHA11" s="1"/>
      <c r="AHB11" s="1"/>
      <c r="AHC11" s="1"/>
      <c r="AHD11" s="1"/>
      <c r="AHE11" s="1"/>
      <c r="AHF11" s="1"/>
      <c r="AHG11" s="1"/>
      <c r="AHH11" s="1"/>
      <c r="AHI11" s="1"/>
      <c r="AHJ11" s="1"/>
      <c r="AHK11" s="1"/>
      <c r="AHL11" s="1"/>
      <c r="AHM11" s="1"/>
      <c r="AHN11" s="1"/>
      <c r="AHO11" s="1"/>
      <c r="AHP11" s="1"/>
      <c r="AHQ11" s="1"/>
      <c r="AHR11" s="1"/>
      <c r="AHS11" s="1"/>
      <c r="AHT11" s="1"/>
      <c r="AHU11" s="1"/>
      <c r="AHV11" s="1"/>
      <c r="AHW11" s="1"/>
      <c r="AHX11" s="1"/>
      <c r="AHY11" s="1"/>
      <c r="AHZ11" s="1"/>
      <c r="AIA11" s="1"/>
      <c r="AIB11" s="1"/>
      <c r="AIC11" s="1"/>
      <c r="AID11" s="1"/>
      <c r="AIE11" s="1"/>
      <c r="AIF11" s="1"/>
      <c r="AIG11" s="1"/>
      <c r="AIH11" s="1"/>
      <c r="AII11" s="1"/>
      <c r="AIJ11" s="1"/>
      <c r="AIK11" s="1"/>
      <c r="AIL11" s="1"/>
      <c r="AIM11" s="1"/>
      <c r="AIN11" s="1"/>
      <c r="AIO11" s="1"/>
      <c r="AIP11" s="1"/>
      <c r="AIQ11" s="1"/>
      <c r="AIR11" s="1"/>
      <c r="AIS11" s="1"/>
      <c r="AIT11" s="1"/>
      <c r="AIU11" s="1"/>
      <c r="AIV11" s="1"/>
      <c r="AIW11" s="1"/>
      <c r="AIX11" s="1"/>
      <c r="AIY11" s="1"/>
      <c r="AIZ11" s="1"/>
      <c r="AJA11" s="1"/>
      <c r="AJB11" s="1"/>
      <c r="AJC11" s="1"/>
      <c r="AJD11" s="1"/>
      <c r="AJE11" s="1"/>
      <c r="AJF11" s="1"/>
      <c r="AJG11" s="1"/>
      <c r="AJH11" s="1"/>
      <c r="AJI11" s="1"/>
      <c r="AJJ11" s="1"/>
      <c r="AJK11" s="1"/>
      <c r="AJL11" s="1"/>
      <c r="AJM11" s="1"/>
      <c r="AJN11" s="1"/>
      <c r="AJO11" s="1"/>
      <c r="AJP11" s="1"/>
      <c r="AJQ11" s="1"/>
      <c r="AJR11" s="1"/>
      <c r="AJS11" s="1"/>
      <c r="AJT11" s="1"/>
      <c r="AJU11" s="1"/>
      <c r="AJV11" s="1"/>
      <c r="AJW11" s="1"/>
      <c r="AJX11" s="1"/>
      <c r="AJY11" s="1"/>
      <c r="AJZ11" s="1"/>
      <c r="AKA11" s="1"/>
      <c r="AKB11" s="1"/>
      <c r="AKC11" s="1"/>
      <c r="AKD11" s="1"/>
      <c r="AKE11" s="1"/>
      <c r="AKF11" s="1"/>
      <c r="AKG11" s="1"/>
      <c r="AKH11" s="1"/>
      <c r="AKI11" s="1"/>
      <c r="AKJ11" s="1"/>
      <c r="AKK11" s="1"/>
      <c r="AKL11" s="1"/>
      <c r="AKM11" s="1"/>
      <c r="AKN11" s="1"/>
      <c r="AKO11" s="1"/>
      <c r="AKP11" s="1"/>
      <c r="AKQ11" s="1"/>
      <c r="AKR11" s="1"/>
      <c r="AKS11" s="1"/>
      <c r="AKT11" s="1"/>
      <c r="AKU11" s="1"/>
      <c r="AKV11" s="1"/>
      <c r="AKW11" s="1"/>
      <c r="AKX11" s="1"/>
      <c r="AKY11" s="1"/>
      <c r="AKZ11" s="1"/>
      <c r="ALA11" s="1"/>
      <c r="ALB11" s="1"/>
      <c r="ALC11" s="1"/>
      <c r="ALD11" s="1"/>
      <c r="ALE11" s="1"/>
      <c r="ALF11" s="1"/>
      <c r="ALG11" s="1"/>
      <c r="ALH11" s="1"/>
      <c r="ALI11" s="1"/>
      <c r="ALJ11" s="1"/>
      <c r="ALK11" s="1"/>
      <c r="ALL11" s="1"/>
      <c r="ALM11" s="1"/>
      <c r="ALN11" s="1"/>
      <c r="ALO11" s="1"/>
      <c r="ALP11" s="1"/>
      <c r="ALQ11" s="1"/>
      <c r="ALR11" s="1"/>
      <c r="ALS11" s="1"/>
      <c r="ALT11" s="1"/>
      <c r="ALU11" s="1"/>
      <c r="ALV11" s="1"/>
      <c r="ALW11" s="1"/>
      <c r="ALX11" s="1"/>
      <c r="ALY11" s="1"/>
      <c r="ALZ11" s="1"/>
      <c r="AMA11" s="1"/>
      <c r="AMB11" s="1"/>
      <c r="AMC11" s="1"/>
      <c r="AMD11" s="1"/>
      <c r="AME11" s="1"/>
      <c r="AMF11" s="1"/>
      <c r="AMG11" s="1"/>
      <c r="AMH11" s="1"/>
      <c r="AMI11" s="1"/>
      <c r="AMJ11" s="1"/>
      <c r="AMK11" s="1"/>
      <c r="AML11" s="1"/>
      <c r="AMM11" s="1"/>
      <c r="AMN11" s="1"/>
      <c r="AMO11" s="1"/>
      <c r="AMP11" s="1"/>
      <c r="AMQ11" s="1"/>
      <c r="AMR11" s="1"/>
      <c r="AMS11" s="1"/>
      <c r="AMT11" s="1"/>
      <c r="AMU11" s="1"/>
      <c r="AMV11" s="1"/>
      <c r="AMW11" s="1"/>
      <c r="AMX11" s="1"/>
      <c r="AMY11" s="1"/>
      <c r="AMZ11" s="1"/>
      <c r="ANA11" s="1"/>
      <c r="ANB11" s="1"/>
      <c r="ANC11" s="1"/>
      <c r="AND11" s="1"/>
      <c r="ANE11" s="1"/>
      <c r="ANF11" s="1"/>
      <c r="ANG11" s="1"/>
      <c r="ANH11" s="1"/>
      <c r="ANI11" s="1"/>
      <c r="ANJ11" s="1"/>
      <c r="ANK11" s="1"/>
      <c r="ANL11" s="1"/>
      <c r="ANM11" s="1"/>
      <c r="ANN11" s="1"/>
      <c r="ANO11" s="1"/>
      <c r="ANP11" s="1"/>
      <c r="ANQ11" s="1"/>
      <c r="ANR11" s="1"/>
      <c r="ANS11" s="1"/>
      <c r="ANT11" s="1"/>
      <c r="ANU11" s="1"/>
      <c r="ANV11" s="1"/>
      <c r="ANW11" s="1"/>
      <c r="ANX11" s="1"/>
      <c r="ANY11" s="1"/>
      <c r="ANZ11" s="1"/>
      <c r="AOA11" s="1"/>
      <c r="AOB11" s="1"/>
      <c r="AOC11" s="1"/>
      <c r="AOD11" s="1"/>
      <c r="AOE11" s="1"/>
      <c r="AOF11" s="1"/>
      <c r="AOG11" s="1"/>
      <c r="AOH11" s="1"/>
      <c r="AOI11" s="1"/>
      <c r="AOJ11" s="1"/>
      <c r="AOK11" s="1"/>
      <c r="AOL11" s="1"/>
      <c r="AOM11" s="1"/>
      <c r="AON11" s="1"/>
      <c r="AOO11" s="1"/>
      <c r="AOP11" s="1"/>
      <c r="AOQ11" s="1"/>
      <c r="AOR11" s="1"/>
      <c r="AOS11" s="1"/>
      <c r="AOT11" s="1"/>
      <c r="AOU11" s="1"/>
      <c r="AOV11" s="1"/>
      <c r="AOW11" s="1"/>
      <c r="AOX11" s="1"/>
      <c r="AOY11" s="1"/>
      <c r="AOZ11" s="1"/>
      <c r="APA11" s="1"/>
      <c r="APB11" s="1"/>
      <c r="APC11" s="1"/>
      <c r="APD11" s="1"/>
      <c r="APE11" s="1"/>
      <c r="APF11" s="1"/>
      <c r="APG11" s="1"/>
      <c r="APH11" s="1"/>
      <c r="API11" s="1"/>
      <c r="APJ11" s="1"/>
      <c r="APK11" s="1"/>
      <c r="APL11" s="1"/>
      <c r="APM11" s="1"/>
      <c r="APN11" s="1"/>
      <c r="APO11" s="1"/>
      <c r="APP11" s="1"/>
      <c r="APQ11" s="1"/>
      <c r="APR11" s="1"/>
      <c r="APS11" s="1"/>
      <c r="APT11" s="1"/>
      <c r="APU11" s="1"/>
      <c r="APV11" s="1"/>
      <c r="APW11" s="1"/>
      <c r="APX11" s="1"/>
      <c r="APY11" s="1"/>
      <c r="APZ11" s="1"/>
      <c r="AQA11" s="1"/>
      <c r="AQB11" s="1"/>
      <c r="AQC11" s="1"/>
      <c r="AQD11" s="1"/>
      <c r="AQE11" s="1"/>
      <c r="AQF11" s="1"/>
      <c r="AQG11" s="1"/>
      <c r="AQH11" s="1"/>
      <c r="AQI11" s="1"/>
      <c r="AQJ11" s="1"/>
      <c r="AQK11" s="1"/>
      <c r="AQL11" s="1"/>
      <c r="AQM11" s="1"/>
      <c r="AQN11" s="1"/>
      <c r="AQO11" s="1"/>
      <c r="AQP11" s="1"/>
      <c r="AQQ11" s="1"/>
      <c r="AQR11" s="1"/>
      <c r="AQS11" s="1"/>
      <c r="AQT11" s="1"/>
      <c r="AQU11" s="1"/>
      <c r="AQV11" s="1"/>
      <c r="AQW11" s="1"/>
      <c r="AQX11" s="1"/>
      <c r="AQY11" s="1"/>
      <c r="AQZ11" s="1"/>
      <c r="ARA11" s="1"/>
      <c r="ARB11" s="1"/>
      <c r="ARC11" s="1"/>
      <c r="ARD11" s="1"/>
      <c r="ARE11" s="1"/>
      <c r="ARF11" s="1"/>
      <c r="ARG11" s="1"/>
      <c r="ARH11" s="1"/>
      <c r="ARI11" s="1"/>
      <c r="ARJ11" s="1"/>
      <c r="ARK11" s="1"/>
      <c r="ARL11" s="1"/>
      <c r="ARM11" s="1"/>
      <c r="ARN11" s="1"/>
      <c r="ARO11" s="1"/>
      <c r="ARP11" s="1"/>
      <c r="ARQ11" s="1"/>
      <c r="ARR11" s="1"/>
      <c r="ARS11" s="1"/>
      <c r="ART11" s="1"/>
      <c r="ARU11" s="1"/>
      <c r="ARV11" s="1"/>
      <c r="ARW11" s="1"/>
      <c r="ARX11" s="1"/>
      <c r="ARY11" s="1"/>
      <c r="ARZ11" s="1"/>
      <c r="ASA11" s="1"/>
      <c r="ASB11" s="1"/>
      <c r="ASC11" s="1"/>
      <c r="ASD11" s="1"/>
      <c r="ASE11" s="1"/>
      <c r="ASF11" s="1"/>
      <c r="ASG11" s="1"/>
      <c r="ASH11" s="1"/>
      <c r="ASI11" s="1"/>
      <c r="ASJ11" s="1"/>
      <c r="ASK11" s="1"/>
      <c r="ASL11" s="1"/>
      <c r="ASM11" s="1"/>
      <c r="ASN11" s="1"/>
      <c r="ASO11" s="1"/>
      <c r="ASP11" s="1"/>
      <c r="ASQ11" s="1"/>
      <c r="ASR11" s="1"/>
      <c r="ASS11" s="1"/>
      <c r="AST11" s="1"/>
      <c r="ASU11" s="1"/>
      <c r="ASV11" s="1"/>
      <c r="ASW11" s="1"/>
      <c r="ASX11" s="1"/>
      <c r="ASY11" s="1"/>
      <c r="ASZ11" s="1"/>
      <c r="ATA11" s="1"/>
      <c r="ATB11" s="1"/>
      <c r="ATC11" s="1"/>
      <c r="ATD11" s="1"/>
      <c r="ATE11" s="1"/>
      <c r="ATF11" s="1"/>
      <c r="ATG11" s="1"/>
      <c r="ATH11" s="1"/>
      <c r="ATI11" s="1"/>
      <c r="ATJ11" s="1"/>
      <c r="ATK11" s="1"/>
      <c r="ATL11" s="1"/>
      <c r="ATM11" s="1"/>
      <c r="ATN11" s="1"/>
      <c r="ATO11" s="1"/>
      <c r="ATP11" s="1"/>
      <c r="ATQ11" s="1"/>
      <c r="ATR11" s="1"/>
      <c r="ATS11" s="1"/>
      <c r="ATT11" s="1"/>
      <c r="ATU11" s="1"/>
      <c r="ATV11" s="1"/>
      <c r="ATW11" s="1"/>
      <c r="ATX11" s="1"/>
      <c r="ATY11" s="1"/>
      <c r="ATZ11" s="1"/>
      <c r="AUA11" s="1"/>
      <c r="AUB11" s="1"/>
      <c r="AUC11" s="1"/>
      <c r="AUD11" s="1"/>
      <c r="AUE11" s="1"/>
      <c r="AUF11" s="1"/>
      <c r="AUG11" s="1"/>
      <c r="AUH11" s="1"/>
      <c r="AUI11" s="1"/>
      <c r="AUJ11" s="1"/>
      <c r="AUK11" s="1"/>
      <c r="AUL11" s="1"/>
      <c r="AUM11" s="1"/>
      <c r="AUN11" s="1"/>
      <c r="AUO11" s="1"/>
      <c r="AUP11" s="1"/>
      <c r="AUQ11" s="1"/>
      <c r="AUR11" s="1"/>
      <c r="AUS11" s="1"/>
      <c r="AUT11" s="1"/>
      <c r="AUU11" s="1"/>
      <c r="AUV11" s="1"/>
      <c r="AUW11" s="1"/>
      <c r="AUX11" s="1"/>
      <c r="AUY11" s="1"/>
      <c r="AUZ11" s="1"/>
      <c r="AVA11" s="1"/>
      <c r="AVB11" s="1"/>
      <c r="AVC11" s="1"/>
      <c r="AVD11" s="1"/>
      <c r="AVE11" s="1"/>
      <c r="AVF11" s="1"/>
      <c r="AVG11" s="1"/>
      <c r="AVH11" s="1"/>
      <c r="AVI11" s="1"/>
      <c r="AVJ11" s="1"/>
      <c r="AVK11" s="1"/>
      <c r="AVL11" s="1"/>
      <c r="AVM11" s="1"/>
      <c r="AVN11" s="1"/>
      <c r="AVO11" s="1"/>
      <c r="AVP11" s="1"/>
      <c r="AVQ11" s="1"/>
      <c r="AVR11" s="1"/>
      <c r="AVS11" s="1"/>
      <c r="AVT11" s="1"/>
      <c r="AVU11" s="1"/>
      <c r="AVV11" s="1"/>
      <c r="AVW11" s="1"/>
      <c r="AVX11" s="1"/>
      <c r="AVY11" s="1"/>
      <c r="AVZ11" s="1"/>
      <c r="AWA11" s="1"/>
      <c r="AWB11" s="1"/>
      <c r="AWC11" s="1"/>
      <c r="AWD11" s="1"/>
      <c r="AWE11" s="1"/>
      <c r="AWF11" s="1"/>
      <c r="AWG11" s="1"/>
      <c r="AWH11" s="1"/>
      <c r="AWI11" s="1"/>
      <c r="AWJ11" s="1"/>
      <c r="AWK11" s="1"/>
      <c r="AWL11" s="1"/>
      <c r="AWM11" s="1"/>
      <c r="AWN11" s="1"/>
      <c r="AWO11" s="1"/>
      <c r="AWP11" s="1"/>
      <c r="AWQ11" s="1"/>
      <c r="AWR11" s="1"/>
      <c r="AWS11" s="1"/>
      <c r="AWT11" s="1"/>
      <c r="AWU11" s="1"/>
      <c r="AWV11" s="1"/>
      <c r="AWW11" s="1"/>
      <c r="AWX11" s="1"/>
      <c r="AWY11" s="1"/>
      <c r="AWZ11" s="1"/>
      <c r="AXA11" s="1"/>
      <c r="AXB11" s="1"/>
      <c r="AXC11" s="1"/>
      <c r="AXD11" s="1"/>
      <c r="AXE11" s="1"/>
      <c r="AXF11" s="1"/>
      <c r="AXG11" s="1"/>
      <c r="AXH11" s="1"/>
      <c r="AXI11" s="1"/>
      <c r="AXJ11" s="1"/>
      <c r="AXK11" s="1"/>
      <c r="AXL11" s="1"/>
      <c r="AXM11" s="1"/>
      <c r="AXN11" s="1"/>
      <c r="AXO11" s="1"/>
      <c r="AXP11" s="1"/>
      <c r="AXQ11" s="1"/>
      <c r="AXR11" s="1"/>
      <c r="AXS11" s="1"/>
      <c r="AXT11" s="1"/>
      <c r="AXU11" s="1"/>
      <c r="AXV11" s="1"/>
      <c r="AXW11" s="1"/>
      <c r="AXX11" s="1"/>
      <c r="AXY11" s="1"/>
      <c r="AXZ11" s="1"/>
      <c r="AYA11" s="1"/>
      <c r="AYB11" s="1"/>
      <c r="AYC11" s="1"/>
      <c r="AYD11" s="1"/>
      <c r="AYE11" s="1"/>
      <c r="AYF11" s="1"/>
      <c r="AYG11" s="1"/>
      <c r="AYH11" s="1"/>
      <c r="AYI11" s="1"/>
      <c r="AYJ11" s="1"/>
      <c r="AYK11" s="1"/>
      <c r="AYL11" s="1"/>
      <c r="AYM11" s="1"/>
      <c r="AYN11" s="1"/>
      <c r="AYO11" s="1"/>
      <c r="AYP11" s="1"/>
      <c r="AYQ11" s="1"/>
      <c r="AYR11" s="1"/>
      <c r="AYS11" s="1"/>
      <c r="AYT11" s="1"/>
      <c r="AYU11" s="1"/>
      <c r="AYV11" s="1"/>
      <c r="AYW11" s="1"/>
      <c r="AYX11" s="1"/>
      <c r="AYY11" s="1"/>
      <c r="AYZ11" s="1"/>
      <c r="AZA11" s="1"/>
      <c r="AZB11" s="1"/>
      <c r="AZC11" s="1"/>
      <c r="AZD11" s="1"/>
      <c r="AZE11" s="1"/>
      <c r="AZF11" s="1"/>
      <c r="AZG11" s="1"/>
      <c r="AZH11" s="1"/>
      <c r="AZI11" s="1"/>
      <c r="AZJ11" s="1"/>
      <c r="AZK11" s="1"/>
      <c r="AZL11" s="1"/>
      <c r="AZM11" s="1"/>
      <c r="AZN11" s="1"/>
      <c r="AZO11" s="1"/>
      <c r="AZP11" s="1"/>
      <c r="AZQ11" s="1"/>
      <c r="AZR11" s="1"/>
      <c r="AZS11" s="1"/>
      <c r="AZT11" s="1"/>
      <c r="AZU11" s="1"/>
      <c r="AZV11" s="1"/>
      <c r="AZW11" s="1"/>
      <c r="AZX11" s="1"/>
      <c r="AZY11" s="1"/>
      <c r="AZZ11" s="1"/>
      <c r="BAA11" s="1"/>
      <c r="BAB11" s="1"/>
      <c r="BAC11" s="1"/>
      <c r="BAD11" s="1"/>
      <c r="BAE11" s="1"/>
      <c r="BAF11" s="1"/>
      <c r="BAG11" s="1"/>
      <c r="BAH11" s="1"/>
      <c r="BAI11" s="1"/>
      <c r="BAJ11" s="1"/>
      <c r="BAK11" s="1"/>
      <c r="BAL11" s="1"/>
      <c r="BAM11" s="1"/>
      <c r="BAN11" s="1"/>
      <c r="BAO11" s="1"/>
      <c r="BAP11" s="1"/>
      <c r="BAQ11" s="1"/>
      <c r="BAR11" s="1"/>
      <c r="BAS11" s="1"/>
      <c r="BAT11" s="1"/>
      <c r="BAU11" s="1"/>
      <c r="BAV11" s="1"/>
      <c r="BAW11" s="1"/>
      <c r="BAX11" s="1"/>
      <c r="BAY11" s="1"/>
      <c r="BAZ11" s="1"/>
      <c r="BBA11" s="1"/>
      <c r="BBB11" s="1"/>
      <c r="BBC11" s="1"/>
      <c r="BBD11" s="1"/>
      <c r="BBE11" s="1"/>
      <c r="BBF11" s="1"/>
      <c r="BBG11" s="1"/>
      <c r="BBH11" s="1"/>
      <c r="BBI11" s="1"/>
      <c r="BBJ11" s="1"/>
      <c r="BBK11" s="1"/>
      <c r="BBL11" s="1"/>
      <c r="BBM11" s="1"/>
      <c r="BBN11" s="1"/>
      <c r="BBO11" s="1"/>
      <c r="BBP11" s="1"/>
      <c r="BBQ11" s="1"/>
      <c r="BBR11" s="1"/>
      <c r="BBS11" s="1"/>
      <c r="BBT11" s="1"/>
      <c r="BBU11" s="1"/>
      <c r="BBV11" s="1"/>
      <c r="BBW11" s="1"/>
      <c r="BBX11" s="1"/>
      <c r="BBY11" s="1"/>
      <c r="BBZ11" s="1"/>
      <c r="BCA11" s="1"/>
      <c r="BCB11" s="1"/>
      <c r="BCC11" s="1"/>
      <c r="BCD11" s="1"/>
      <c r="BCE11" s="1"/>
      <c r="BCF11" s="1"/>
      <c r="BCG11" s="1"/>
      <c r="BCH11" s="1"/>
      <c r="BCI11" s="1"/>
      <c r="BCJ11" s="1"/>
      <c r="BCK11" s="1"/>
      <c r="BCL11" s="1"/>
      <c r="BCM11" s="1"/>
      <c r="BCN11" s="1"/>
      <c r="BCO11" s="1"/>
      <c r="BCP11" s="1"/>
      <c r="BCQ11" s="1"/>
      <c r="BCR11" s="1"/>
      <c r="BCS11" s="1"/>
      <c r="BCT11" s="1"/>
      <c r="BCU11" s="1"/>
      <c r="BCV11" s="1"/>
      <c r="BCW11" s="1"/>
      <c r="BCX11" s="1"/>
      <c r="BCY11" s="1"/>
      <c r="BCZ11" s="1"/>
      <c r="BDA11" s="1"/>
      <c r="BDB11" s="1"/>
      <c r="BDC11" s="1"/>
      <c r="BDD11" s="1"/>
      <c r="BDE11" s="1"/>
      <c r="BDF11" s="1"/>
      <c r="BDG11" s="1"/>
      <c r="BDH11" s="1"/>
      <c r="BDI11" s="1"/>
      <c r="BDJ11" s="1"/>
      <c r="BDK11" s="1"/>
      <c r="BDL11" s="1"/>
      <c r="BDM11" s="1"/>
      <c r="BDN11" s="1"/>
      <c r="BDO11" s="1"/>
      <c r="BDP11" s="1"/>
      <c r="BDQ11" s="1"/>
      <c r="BDR11" s="1"/>
      <c r="BDS11" s="1"/>
      <c r="BDT11" s="1"/>
      <c r="BDU11" s="1"/>
      <c r="BDV11" s="1"/>
      <c r="BDW11" s="1"/>
      <c r="BDX11" s="1"/>
      <c r="BDY11" s="1"/>
      <c r="BDZ11" s="1"/>
      <c r="BEA11" s="1"/>
      <c r="BEB11" s="1"/>
      <c r="BEC11" s="1"/>
      <c r="BED11" s="1"/>
      <c r="BEE11" s="1"/>
      <c r="BEF11" s="1"/>
      <c r="BEG11" s="1"/>
      <c r="BEH11" s="1"/>
      <c r="BEI11" s="1"/>
      <c r="BEJ11" s="1"/>
      <c r="BEK11" s="1"/>
      <c r="BEL11" s="1"/>
      <c r="BEM11" s="1"/>
      <c r="BEN11" s="1"/>
      <c r="BEO11" s="1"/>
      <c r="BEP11" s="1"/>
      <c r="BEQ11" s="1"/>
      <c r="BER11" s="1"/>
      <c r="BES11" s="1"/>
      <c r="BET11" s="1"/>
      <c r="BEU11" s="1"/>
      <c r="BEV11" s="1"/>
      <c r="BEW11" s="1"/>
      <c r="BEX11" s="1"/>
      <c r="BEY11" s="1"/>
      <c r="BEZ11" s="1"/>
      <c r="BFA11" s="1"/>
      <c r="BFB11" s="1"/>
      <c r="BFC11" s="1"/>
      <c r="BFD11" s="1"/>
      <c r="BFE11" s="1"/>
      <c r="BFF11" s="1"/>
      <c r="BFG11" s="1"/>
      <c r="BFH11" s="1"/>
      <c r="BFI11" s="1"/>
      <c r="BFJ11" s="1"/>
      <c r="BFK11" s="1"/>
      <c r="BFL11" s="1"/>
      <c r="BFM11" s="1"/>
      <c r="BFN11" s="1"/>
      <c r="BFO11" s="1"/>
      <c r="BFP11" s="1"/>
      <c r="BFQ11" s="1"/>
      <c r="BFR11" s="1"/>
      <c r="BFS11" s="1"/>
      <c r="BFT11" s="1"/>
      <c r="BFU11" s="1"/>
      <c r="BFV11" s="1"/>
      <c r="BFW11" s="1"/>
      <c r="BFX11" s="1"/>
      <c r="BFY11" s="1"/>
      <c r="BFZ11" s="1"/>
      <c r="BGA11" s="1"/>
      <c r="BGB11" s="1"/>
      <c r="BGC11" s="1"/>
      <c r="BGD11" s="1"/>
      <c r="BGE11" s="1"/>
      <c r="BGF11" s="1"/>
      <c r="BGG11" s="1"/>
      <c r="BGH11" s="1"/>
      <c r="BGI11" s="1"/>
      <c r="BGJ11" s="1"/>
      <c r="BGK11" s="1"/>
      <c r="BGL11" s="1"/>
      <c r="BGM11" s="1"/>
      <c r="BGN11" s="1"/>
      <c r="BGO11" s="1"/>
      <c r="BGP11" s="1"/>
      <c r="BGQ11" s="1"/>
      <c r="BGR11" s="1"/>
      <c r="BGS11" s="1"/>
      <c r="BGT11" s="1"/>
      <c r="BGU11" s="1"/>
      <c r="BGV11" s="1"/>
      <c r="BGW11" s="1"/>
      <c r="BGX11" s="1"/>
      <c r="BGY11" s="1"/>
      <c r="BGZ11" s="1"/>
      <c r="BHA11" s="1"/>
      <c r="BHB11" s="1"/>
      <c r="BHC11" s="1"/>
      <c r="BHD11" s="1"/>
      <c r="BHE11" s="1"/>
      <c r="BHF11" s="1"/>
      <c r="BHG11" s="1"/>
      <c r="BHH11" s="1"/>
      <c r="BHI11" s="1"/>
      <c r="BHJ11" s="1"/>
      <c r="BHK11" s="1"/>
      <c r="BHL11" s="1"/>
      <c r="BHM11" s="1"/>
      <c r="BHN11" s="1"/>
      <c r="BHO11" s="1"/>
      <c r="BHP11" s="1"/>
      <c r="BHQ11" s="1"/>
      <c r="BHR11" s="1"/>
      <c r="BHS11" s="1"/>
      <c r="BHT11" s="1"/>
      <c r="BHU11" s="1"/>
      <c r="BHV11" s="1"/>
      <c r="BHW11" s="1"/>
      <c r="BHX11" s="1"/>
      <c r="BHY11" s="1"/>
      <c r="BHZ11" s="1"/>
      <c r="BIA11" s="1"/>
      <c r="BIB11" s="1"/>
      <c r="BIC11" s="1"/>
      <c r="BID11" s="1"/>
      <c r="BIE11" s="1"/>
      <c r="BIF11" s="1"/>
      <c r="BIG11" s="1"/>
      <c r="BIH11" s="1"/>
      <c r="BII11" s="1"/>
      <c r="BIJ11" s="1"/>
      <c r="BIK11" s="1"/>
      <c r="BIL11" s="1"/>
      <c r="BIM11" s="1"/>
      <c r="BIN11" s="1"/>
      <c r="BIO11" s="1"/>
      <c r="BIP11" s="1"/>
      <c r="BIQ11" s="1"/>
      <c r="BIR11" s="1"/>
      <c r="BIS11" s="1"/>
      <c r="BIT11" s="1"/>
      <c r="BIU11" s="1"/>
      <c r="BIV11" s="1"/>
      <c r="BIW11" s="1"/>
      <c r="BIX11" s="1"/>
      <c r="BIY11" s="1"/>
      <c r="BIZ11" s="1"/>
      <c r="BJA11" s="1"/>
      <c r="BJB11" s="1"/>
      <c r="BJC11" s="1"/>
      <c r="BJD11" s="1"/>
      <c r="BJE11" s="1"/>
      <c r="BJF11" s="1"/>
      <c r="BJG11" s="1"/>
      <c r="BJH11" s="1"/>
      <c r="BJI11" s="1"/>
      <c r="BJJ11" s="1"/>
      <c r="BJK11" s="1"/>
      <c r="BJL11" s="1"/>
      <c r="BJM11" s="1"/>
      <c r="BJN11" s="1"/>
      <c r="BJO11" s="1"/>
      <c r="BJP11" s="1"/>
      <c r="BJQ11" s="1"/>
      <c r="BJR11" s="1"/>
      <c r="BJS11" s="1"/>
      <c r="BJT11" s="1"/>
      <c r="BJU11" s="1"/>
      <c r="BJV11" s="1"/>
      <c r="BJW11" s="1"/>
      <c r="BJX11" s="1"/>
      <c r="BJY11" s="1"/>
      <c r="BJZ11" s="1"/>
      <c r="BKA11" s="1"/>
      <c r="BKB11" s="1"/>
      <c r="BKC11" s="1"/>
      <c r="BKD11" s="1"/>
      <c r="BKE11" s="1"/>
      <c r="BKF11" s="1"/>
      <c r="BKG11" s="1"/>
      <c r="BKH11" s="1"/>
      <c r="BKI11" s="1"/>
      <c r="BKJ11" s="1"/>
      <c r="BKK11" s="1"/>
      <c r="BKL11" s="1"/>
      <c r="BKM11" s="1"/>
      <c r="BKN11" s="1"/>
      <c r="BKO11" s="1"/>
      <c r="BKP11" s="1"/>
      <c r="BKQ11" s="1"/>
      <c r="BKR11" s="1"/>
      <c r="BKS11" s="1"/>
      <c r="BKT11" s="1"/>
      <c r="BKU11" s="1"/>
      <c r="BKV11" s="1"/>
      <c r="BKW11" s="1"/>
      <c r="BKX11" s="1"/>
      <c r="BKY11" s="1"/>
      <c r="BKZ11" s="1"/>
      <c r="BLA11" s="1"/>
      <c r="BLB11" s="1"/>
      <c r="BLC11" s="1"/>
      <c r="BLD11" s="1"/>
      <c r="BLE11" s="1"/>
      <c r="BLF11" s="1"/>
      <c r="BLG11" s="1"/>
      <c r="BLH11" s="1"/>
      <c r="BLI11" s="1"/>
      <c r="BLJ11" s="1"/>
      <c r="BLK11" s="1"/>
      <c r="BLL11" s="1"/>
      <c r="BLM11" s="1"/>
      <c r="BLN11" s="1"/>
      <c r="BLO11" s="1"/>
      <c r="BLP11" s="1"/>
      <c r="BLQ11" s="1"/>
      <c r="BLR11" s="1"/>
      <c r="BLS11" s="1"/>
      <c r="BLT11" s="1"/>
      <c r="BLU11" s="1"/>
      <c r="BLV11" s="1"/>
      <c r="BLW11" s="1"/>
      <c r="BLX11" s="1"/>
      <c r="BLY11" s="1"/>
      <c r="BLZ11" s="1"/>
      <c r="BMA11" s="1"/>
      <c r="BMB11" s="1"/>
      <c r="BMC11" s="1"/>
      <c r="BMD11" s="1"/>
      <c r="BME11" s="1"/>
      <c r="BMF11" s="1"/>
      <c r="BMG11" s="1"/>
      <c r="BMH11" s="1"/>
      <c r="BMI11" s="1"/>
      <c r="BMJ11" s="1"/>
      <c r="BMK11" s="1"/>
      <c r="BML11" s="1"/>
      <c r="BMM11" s="1"/>
      <c r="BMN11" s="1"/>
      <c r="BMO11" s="1"/>
      <c r="BMP11" s="1"/>
      <c r="BMQ11" s="1"/>
      <c r="BMR11" s="1"/>
      <c r="BMS11" s="1"/>
      <c r="BMT11" s="1"/>
      <c r="BMU11" s="1"/>
      <c r="BMV11" s="1"/>
      <c r="BMW11" s="1"/>
      <c r="BMX11" s="1"/>
      <c r="BMY11" s="1"/>
      <c r="BMZ11" s="1"/>
      <c r="BNA11" s="1"/>
      <c r="BNB11" s="1"/>
      <c r="BNC11" s="1"/>
      <c r="BND11" s="1"/>
      <c r="BNE11" s="1"/>
      <c r="BNF11" s="1"/>
      <c r="BNG11" s="1"/>
      <c r="BNH11" s="1"/>
      <c r="BNI11" s="1"/>
      <c r="BNJ11" s="1"/>
      <c r="BNK11" s="1"/>
      <c r="BNL11" s="1"/>
      <c r="BNM11" s="1"/>
      <c r="BNN11" s="1"/>
      <c r="BNO11" s="1"/>
      <c r="BNP11" s="1"/>
      <c r="BNQ11" s="1"/>
      <c r="BNR11" s="1"/>
      <c r="BNS11" s="1"/>
      <c r="BNT11" s="1"/>
      <c r="BNU11" s="1"/>
      <c r="BNV11" s="1"/>
      <c r="BNW11" s="1"/>
      <c r="BNX11" s="1"/>
      <c r="BNY11" s="1"/>
      <c r="BNZ11" s="1"/>
      <c r="BOA11" s="1"/>
      <c r="BOB11" s="1"/>
      <c r="BOC11" s="1"/>
      <c r="BOD11" s="1"/>
      <c r="BOE11" s="1"/>
      <c r="BOF11" s="1"/>
      <c r="BOG11" s="1"/>
      <c r="BOH11" s="1"/>
      <c r="BOI11" s="1"/>
      <c r="BOJ11" s="1"/>
      <c r="BOK11" s="1"/>
      <c r="BOL11" s="1"/>
      <c r="BOM11" s="1"/>
      <c r="BON11" s="1"/>
      <c r="BOO11" s="1"/>
      <c r="BOP11" s="1"/>
      <c r="BOQ11" s="1"/>
      <c r="BOR11" s="1"/>
      <c r="BOS11" s="1"/>
      <c r="BOT11" s="1"/>
      <c r="BOU11" s="1"/>
      <c r="BOV11" s="1"/>
      <c r="BOW11" s="1"/>
      <c r="BOX11" s="1"/>
      <c r="BOY11" s="1"/>
      <c r="BOZ11" s="1"/>
      <c r="BPA11" s="1"/>
      <c r="BPB11" s="1"/>
      <c r="BPC11" s="1"/>
      <c r="BPD11" s="1"/>
      <c r="BPE11" s="1"/>
      <c r="BPF11" s="1"/>
      <c r="BPG11" s="1"/>
      <c r="BPH11" s="1"/>
      <c r="BPI11" s="1"/>
      <c r="BPJ11" s="1"/>
      <c r="BPK11" s="1"/>
      <c r="BPL11" s="1"/>
      <c r="BPM11" s="1"/>
      <c r="BPN11" s="1"/>
      <c r="BPO11" s="1"/>
      <c r="BPP11" s="1"/>
      <c r="BPQ11" s="1"/>
      <c r="BPR11" s="1"/>
      <c r="BPS11" s="1"/>
      <c r="BPT11" s="1"/>
      <c r="BPU11" s="1"/>
      <c r="BPV11" s="1"/>
      <c r="BPW11" s="1"/>
      <c r="BPX11" s="1"/>
      <c r="BPY11" s="1"/>
      <c r="BPZ11" s="1"/>
      <c r="BQA11" s="1"/>
      <c r="BQB11" s="1"/>
      <c r="BQC11" s="1"/>
      <c r="BQD11" s="1"/>
      <c r="BQE11" s="1"/>
      <c r="BQF11" s="1"/>
      <c r="BQG11" s="1"/>
      <c r="BQH11" s="1"/>
      <c r="BQI11" s="1"/>
      <c r="BQJ11" s="1"/>
      <c r="BQK11" s="1"/>
      <c r="BQL11" s="1"/>
      <c r="BQM11" s="1"/>
      <c r="BQN11" s="1"/>
      <c r="BQO11" s="1"/>
      <c r="BQP11" s="1"/>
      <c r="BQQ11" s="1"/>
      <c r="BQR11" s="1"/>
      <c r="BQS11" s="1"/>
      <c r="BQT11" s="1"/>
      <c r="BQU11" s="1"/>
      <c r="BQV11" s="1"/>
      <c r="BQW11" s="1"/>
      <c r="BQX11" s="1"/>
      <c r="BQY11" s="1"/>
      <c r="BQZ11" s="1"/>
      <c r="BRA11" s="1"/>
      <c r="BRB11" s="1"/>
      <c r="BRC11" s="1"/>
      <c r="BRD11" s="1"/>
      <c r="BRE11" s="1"/>
      <c r="BRF11" s="1"/>
      <c r="BRG11" s="1"/>
      <c r="BRH11" s="1"/>
      <c r="BRI11" s="1"/>
      <c r="BRJ11" s="1"/>
      <c r="BRK11" s="1"/>
      <c r="BRL11" s="1"/>
      <c r="BRM11" s="1"/>
      <c r="BRN11" s="1"/>
      <c r="BRO11" s="1"/>
      <c r="BRP11" s="1"/>
      <c r="BRQ11" s="1"/>
      <c r="BRR11" s="1"/>
      <c r="BRS11" s="1"/>
      <c r="BRT11" s="1"/>
      <c r="BRU11" s="1"/>
      <c r="BRV11" s="1"/>
      <c r="BRW11" s="1"/>
      <c r="BRX11" s="1"/>
      <c r="BRY11" s="1"/>
      <c r="BRZ11" s="1"/>
      <c r="BSA11" s="1"/>
      <c r="BSB11" s="1"/>
      <c r="BSC11" s="1"/>
      <c r="BSD11" s="1"/>
      <c r="BSE11" s="1"/>
      <c r="BSF11" s="1"/>
      <c r="BSG11" s="1"/>
      <c r="BSH11" s="1"/>
      <c r="BSI11" s="1"/>
      <c r="BSJ11" s="1"/>
      <c r="BSK11" s="1"/>
      <c r="BSL11" s="1"/>
      <c r="BSM11" s="1"/>
      <c r="BSN11" s="1"/>
      <c r="BSO11" s="1"/>
      <c r="BSP11" s="1"/>
      <c r="BSQ11" s="1"/>
      <c r="BSR11" s="1"/>
      <c r="BSS11" s="1"/>
      <c r="BST11" s="1"/>
      <c r="BSU11" s="1"/>
      <c r="BSV11" s="1"/>
      <c r="BSW11" s="1"/>
      <c r="BSX11" s="1"/>
      <c r="BSY11" s="1"/>
      <c r="BSZ11" s="1"/>
      <c r="BTA11" s="1"/>
      <c r="BTB11" s="1"/>
      <c r="BTC11" s="1"/>
      <c r="BTD11" s="1"/>
      <c r="BTE11" s="1"/>
      <c r="BTF11" s="1"/>
      <c r="BTG11" s="1"/>
      <c r="BTH11" s="1"/>
      <c r="BTI11" s="1"/>
      <c r="BTJ11" s="1"/>
      <c r="BTK11" s="1"/>
      <c r="BTL11" s="1"/>
      <c r="BTM11" s="1"/>
      <c r="BTN11" s="1"/>
      <c r="BTO11" s="1"/>
      <c r="BTP11" s="1"/>
      <c r="BTQ11" s="1"/>
      <c r="BTR11" s="1"/>
      <c r="BTS11" s="1"/>
      <c r="BTT11" s="1"/>
      <c r="BTU11" s="1"/>
      <c r="BTV11" s="1"/>
      <c r="BTW11" s="1"/>
      <c r="BTX11" s="1"/>
      <c r="BTY11" s="1"/>
      <c r="BTZ11" s="1"/>
      <c r="BUA11" s="1"/>
      <c r="BUB11" s="1"/>
      <c r="BUC11" s="1"/>
      <c r="BUD11" s="1"/>
      <c r="BUE11" s="1"/>
      <c r="BUF11" s="1"/>
      <c r="BUG11" s="1"/>
      <c r="BUH11" s="1"/>
      <c r="BUI11" s="1"/>
      <c r="BUJ11" s="1"/>
      <c r="BUK11" s="1"/>
      <c r="BUL11" s="1"/>
      <c r="BUM11" s="1"/>
      <c r="BUN11" s="1"/>
      <c r="BUO11" s="1"/>
      <c r="BUP11" s="1"/>
      <c r="BUQ11" s="1"/>
      <c r="BUR11" s="1"/>
      <c r="BUS11" s="1"/>
      <c r="BUT11" s="1"/>
      <c r="BUU11" s="1"/>
      <c r="BUV11" s="1"/>
      <c r="BUW11" s="1"/>
      <c r="BUX11" s="1"/>
      <c r="BUY11" s="1"/>
      <c r="BUZ11" s="1"/>
      <c r="BVA11" s="1"/>
      <c r="BVB11" s="1"/>
      <c r="BVC11" s="1"/>
      <c r="BVD11" s="1"/>
      <c r="BVE11" s="1"/>
      <c r="BVF11" s="1"/>
      <c r="BVG11" s="1"/>
      <c r="BVH11" s="1"/>
      <c r="BVI11" s="1"/>
      <c r="BVJ11" s="1"/>
      <c r="BVK11" s="1"/>
      <c r="BVL11" s="1"/>
      <c r="BVM11" s="1"/>
      <c r="BVN11" s="1"/>
      <c r="BVO11" s="1"/>
      <c r="BVP11" s="1"/>
      <c r="BVQ11" s="1"/>
      <c r="BVR11" s="1"/>
      <c r="BVS11" s="1"/>
      <c r="BVT11" s="1"/>
      <c r="BVU11" s="1"/>
      <c r="BVV11" s="1"/>
      <c r="BVW11" s="1"/>
      <c r="BVX11" s="1"/>
      <c r="BVY11" s="1"/>
      <c r="BVZ11" s="1"/>
      <c r="BWA11" s="1"/>
      <c r="BWB11" s="1"/>
      <c r="BWC11" s="1"/>
      <c r="BWD11" s="1"/>
      <c r="BWE11" s="1"/>
      <c r="BWF11" s="1"/>
      <c r="BWG11" s="1"/>
      <c r="BWH11" s="1"/>
      <c r="BWI11" s="1"/>
      <c r="BWJ11" s="1"/>
      <c r="BWK11" s="1"/>
      <c r="BWL11" s="1"/>
      <c r="BWM11" s="1"/>
      <c r="BWN11" s="1"/>
      <c r="BWO11" s="1"/>
      <c r="BWP11" s="1"/>
      <c r="BWQ11" s="1"/>
      <c r="BWR11" s="1"/>
      <c r="BWS11" s="1"/>
      <c r="BWT11" s="1"/>
      <c r="BWU11" s="1"/>
      <c r="BWV11" s="1"/>
      <c r="BWW11" s="1"/>
      <c r="BWX11" s="1"/>
      <c r="BWY11" s="1"/>
      <c r="BWZ11" s="1"/>
      <c r="BXA11" s="1"/>
      <c r="BXB11" s="1"/>
      <c r="BXC11" s="1"/>
      <c r="BXD11" s="1"/>
      <c r="BXE11" s="1"/>
      <c r="BXF11" s="1"/>
      <c r="BXG11" s="1"/>
      <c r="BXH11" s="1"/>
      <c r="BXI11" s="1"/>
      <c r="BXJ11" s="1"/>
      <c r="BXK11" s="1"/>
      <c r="BXL11" s="1"/>
      <c r="BXM11" s="1"/>
      <c r="BXN11" s="1"/>
      <c r="BXO11" s="1"/>
      <c r="BXP11" s="1"/>
      <c r="BXQ11" s="1"/>
      <c r="BXR11" s="1"/>
      <c r="BXS11" s="1"/>
      <c r="BXT11" s="1"/>
      <c r="BXU11" s="1"/>
      <c r="BXV11" s="1"/>
      <c r="BXW11" s="1"/>
      <c r="BXX11" s="1"/>
      <c r="BXY11" s="1"/>
      <c r="BXZ11" s="1"/>
      <c r="BYA11" s="1"/>
      <c r="BYB11" s="1"/>
      <c r="BYC11" s="1"/>
      <c r="BYD11" s="1"/>
      <c r="BYE11" s="1"/>
      <c r="BYF11" s="1"/>
      <c r="BYG11" s="1"/>
      <c r="BYH11" s="1"/>
      <c r="BYI11" s="1"/>
      <c r="BYJ11" s="1"/>
      <c r="BYK11" s="1"/>
      <c r="BYL11" s="1"/>
      <c r="BYM11" s="1"/>
      <c r="BYN11" s="1"/>
      <c r="BYO11" s="1"/>
      <c r="BYP11" s="1"/>
      <c r="BYQ11" s="1"/>
      <c r="BYR11" s="1"/>
      <c r="BYS11" s="1"/>
      <c r="BYT11" s="1"/>
      <c r="BYU11" s="1"/>
      <c r="BYV11" s="1"/>
      <c r="BYW11" s="1"/>
      <c r="BYX11" s="1"/>
      <c r="BYY11" s="1"/>
      <c r="BYZ11" s="1"/>
      <c r="BZA11" s="1"/>
      <c r="BZB11" s="1"/>
      <c r="BZC11" s="1"/>
      <c r="BZD11" s="1"/>
      <c r="BZE11" s="1"/>
      <c r="BZF11" s="1"/>
      <c r="BZG11" s="1"/>
      <c r="BZH11" s="1"/>
      <c r="BZI11" s="1"/>
      <c r="BZJ11" s="1"/>
      <c r="BZK11" s="1"/>
      <c r="BZL11" s="1"/>
      <c r="BZM11" s="1"/>
      <c r="BZN11" s="1"/>
      <c r="BZO11" s="1"/>
      <c r="BZP11" s="1"/>
      <c r="BZQ11" s="1"/>
      <c r="BZR11" s="1"/>
      <c r="BZS11" s="1"/>
      <c r="BZT11" s="1"/>
      <c r="BZU11" s="1"/>
      <c r="BZV11" s="1"/>
      <c r="BZW11" s="1"/>
      <c r="BZX11" s="1"/>
      <c r="BZY11" s="1"/>
      <c r="BZZ11" s="1"/>
      <c r="CAA11" s="1"/>
      <c r="CAB11" s="1"/>
      <c r="CAC11" s="1"/>
      <c r="CAD11" s="1"/>
      <c r="CAE11" s="1"/>
      <c r="CAF11" s="1"/>
      <c r="CAG11" s="1"/>
      <c r="CAH11" s="1"/>
      <c r="CAI11" s="1"/>
      <c r="CAJ11" s="1"/>
      <c r="CAK11" s="1"/>
      <c r="CAL11" s="1"/>
      <c r="CAM11" s="1"/>
      <c r="CAN11" s="1"/>
      <c r="CAO11" s="1"/>
      <c r="CAP11" s="1"/>
      <c r="CAQ11" s="1"/>
      <c r="CAR11" s="1"/>
      <c r="CAS11" s="1"/>
      <c r="CAT11" s="1"/>
      <c r="CAU11" s="1"/>
      <c r="CAV11" s="1"/>
      <c r="CAW11" s="1"/>
      <c r="CAX11" s="1"/>
      <c r="CAY11" s="1"/>
      <c r="CAZ11" s="1"/>
      <c r="CBA11" s="1"/>
      <c r="CBB11" s="1"/>
      <c r="CBC11" s="1"/>
      <c r="CBD11" s="1"/>
      <c r="CBE11" s="1"/>
      <c r="CBF11" s="1"/>
      <c r="CBG11" s="1"/>
      <c r="CBH11" s="1"/>
      <c r="CBI11" s="1"/>
      <c r="CBJ11" s="1"/>
      <c r="CBK11" s="1"/>
      <c r="CBL11" s="1"/>
      <c r="CBM11" s="1"/>
      <c r="CBN11" s="1"/>
      <c r="CBO11" s="1"/>
      <c r="CBP11" s="1"/>
      <c r="CBQ11" s="1"/>
      <c r="CBR11" s="1"/>
      <c r="CBS11" s="1"/>
      <c r="CBT11" s="1"/>
      <c r="CBU11" s="1"/>
      <c r="CBV11" s="1"/>
      <c r="CBW11" s="1"/>
      <c r="CBX11" s="1"/>
      <c r="CBY11" s="1"/>
      <c r="CBZ11" s="1"/>
      <c r="CCA11" s="1"/>
      <c r="CCB11" s="1"/>
      <c r="CCC11" s="1"/>
      <c r="CCD11" s="1"/>
      <c r="CCE11" s="1"/>
      <c r="CCF11" s="1"/>
      <c r="CCG11" s="1"/>
      <c r="CCH11" s="1"/>
      <c r="CCI11" s="1"/>
      <c r="CCJ11" s="1"/>
      <c r="CCK11" s="1"/>
      <c r="CCL11" s="1"/>
      <c r="CCM11" s="1"/>
      <c r="CCN11" s="1"/>
      <c r="CCO11" s="1"/>
      <c r="CCP11" s="1"/>
      <c r="CCQ11" s="1"/>
      <c r="CCR11" s="1"/>
      <c r="CCS11" s="1"/>
      <c r="CCT11" s="1"/>
      <c r="CCU11" s="1"/>
      <c r="CCV11" s="1"/>
      <c r="CCW11" s="1"/>
      <c r="CCX11" s="1"/>
      <c r="CCY11" s="1"/>
      <c r="CCZ11" s="1"/>
      <c r="CDA11" s="1"/>
      <c r="CDB11" s="1"/>
      <c r="CDC11" s="1"/>
      <c r="CDD11" s="1"/>
      <c r="CDE11" s="1"/>
      <c r="CDF11" s="1"/>
      <c r="CDG11" s="1"/>
      <c r="CDH11" s="1"/>
      <c r="CDI11" s="1"/>
      <c r="CDJ11" s="1"/>
      <c r="CDK11" s="1"/>
      <c r="CDL11" s="1"/>
      <c r="CDM11" s="1"/>
      <c r="CDN11" s="1"/>
      <c r="CDO11" s="1"/>
      <c r="CDP11" s="1"/>
      <c r="CDQ11" s="1"/>
      <c r="CDR11" s="1"/>
      <c r="CDS11" s="1"/>
      <c r="CDT11" s="1"/>
      <c r="CDU11" s="1"/>
      <c r="CDV11" s="1"/>
      <c r="CDW11" s="1"/>
      <c r="CDX11" s="1"/>
      <c r="CDY11" s="1"/>
      <c r="CDZ11" s="1"/>
      <c r="CEA11" s="1"/>
      <c r="CEB11" s="1"/>
      <c r="CEC11" s="1"/>
      <c r="CED11" s="1"/>
      <c r="CEE11" s="1"/>
      <c r="CEF11" s="1"/>
      <c r="CEG11" s="1"/>
      <c r="CEH11" s="1"/>
      <c r="CEI11" s="1"/>
      <c r="CEJ11" s="1"/>
      <c r="CEK11" s="1"/>
      <c r="CEL11" s="1"/>
      <c r="CEM11" s="1"/>
      <c r="CEN11" s="1"/>
      <c r="CEO11" s="1"/>
      <c r="CEP11" s="1"/>
      <c r="CEQ11" s="1"/>
      <c r="CER11" s="1"/>
      <c r="CES11" s="1"/>
      <c r="CET11" s="1"/>
      <c r="CEU11" s="1"/>
      <c r="CEV11" s="1"/>
      <c r="CEW11" s="1"/>
      <c r="CEX11" s="1"/>
      <c r="CEY11" s="1"/>
      <c r="CEZ11" s="1"/>
      <c r="CFA11" s="1"/>
      <c r="CFB11" s="1"/>
      <c r="CFC11" s="1"/>
      <c r="CFD11" s="1"/>
      <c r="CFE11" s="1"/>
      <c r="CFF11" s="1"/>
      <c r="CFG11" s="1"/>
      <c r="CFH11" s="1"/>
      <c r="CFI11" s="1"/>
      <c r="CFJ11" s="1"/>
      <c r="CFK11" s="1"/>
      <c r="CFL11" s="1"/>
      <c r="CFM11" s="1"/>
      <c r="CFN11" s="1"/>
      <c r="CFO11" s="1"/>
      <c r="CFP11" s="1"/>
      <c r="CFQ11" s="1"/>
      <c r="CFR11" s="1"/>
      <c r="CFS11" s="1"/>
      <c r="CFT11" s="1"/>
      <c r="CFU11" s="1"/>
      <c r="CFV11" s="1"/>
      <c r="CFW11" s="1"/>
      <c r="CFX11" s="1"/>
      <c r="CFY11" s="1"/>
      <c r="CFZ11" s="1"/>
      <c r="CGA11" s="1"/>
      <c r="CGB11" s="1"/>
      <c r="CGC11" s="1"/>
      <c r="CGD11" s="1"/>
      <c r="CGE11" s="1"/>
      <c r="CGF11" s="1"/>
      <c r="CGG11" s="1"/>
      <c r="CGH11" s="1"/>
      <c r="CGI11" s="1"/>
      <c r="CGJ11" s="1"/>
      <c r="CGK11" s="1"/>
      <c r="CGL11" s="1"/>
      <c r="CGM11" s="1"/>
      <c r="CGN11" s="1"/>
      <c r="CGO11" s="1"/>
      <c r="CGP11" s="1"/>
      <c r="CGQ11" s="1"/>
      <c r="CGR11" s="1"/>
      <c r="CGS11" s="1"/>
      <c r="CGT11" s="1"/>
      <c r="CGU11" s="1"/>
      <c r="CGV11" s="1"/>
      <c r="CGW11" s="1"/>
      <c r="CGX11" s="1"/>
      <c r="CGY11" s="1"/>
      <c r="CGZ11" s="1"/>
      <c r="CHA11" s="1"/>
      <c r="CHB11" s="1"/>
      <c r="CHC11" s="1"/>
      <c r="CHD11" s="1"/>
      <c r="CHE11" s="1"/>
      <c r="CHF11" s="1"/>
      <c r="CHG11" s="1"/>
      <c r="CHH11" s="1"/>
      <c r="CHI11" s="1"/>
      <c r="CHJ11" s="1"/>
      <c r="CHK11" s="1"/>
      <c r="CHL11" s="1"/>
      <c r="CHM11" s="1"/>
      <c r="CHN11" s="1"/>
      <c r="CHO11" s="1"/>
      <c r="CHP11" s="1"/>
      <c r="CHQ11" s="1"/>
      <c r="CHR11" s="1"/>
      <c r="CHS11" s="1"/>
      <c r="CHT11" s="1"/>
      <c r="CHU11" s="1"/>
      <c r="CHV11" s="1"/>
      <c r="CHW11" s="1"/>
      <c r="CHX11" s="1"/>
      <c r="CHY11" s="1"/>
      <c r="CHZ11" s="1"/>
      <c r="CIA11" s="1"/>
      <c r="CIB11" s="1"/>
      <c r="CIC11" s="1"/>
      <c r="CID11" s="1"/>
      <c r="CIE11" s="1"/>
      <c r="CIF11" s="1"/>
      <c r="CIG11" s="1"/>
      <c r="CIH11" s="1"/>
      <c r="CII11" s="1"/>
      <c r="CIJ11" s="1"/>
      <c r="CIK11" s="1"/>
      <c r="CIL11" s="1"/>
      <c r="CIM11" s="1"/>
      <c r="CIN11" s="1"/>
      <c r="CIO11" s="1"/>
      <c r="CIP11" s="1"/>
      <c r="CIQ11" s="1"/>
      <c r="CIR11" s="1"/>
      <c r="CIS11" s="1"/>
      <c r="CIT11" s="1"/>
      <c r="CIU11" s="1"/>
      <c r="CIV11" s="1"/>
      <c r="CIW11" s="1"/>
      <c r="CIX11" s="1"/>
      <c r="CIY11" s="1"/>
      <c r="CIZ11" s="1"/>
      <c r="CJA11" s="1"/>
      <c r="CJB11" s="1"/>
      <c r="CJC11" s="1"/>
      <c r="CJD11" s="1"/>
      <c r="CJE11" s="1"/>
      <c r="CJF11" s="1"/>
      <c r="CJG11" s="1"/>
      <c r="CJH11" s="1"/>
      <c r="CJI11" s="1"/>
      <c r="CJJ11" s="1"/>
      <c r="CJK11" s="1"/>
      <c r="CJL11" s="1"/>
      <c r="CJM11" s="1"/>
      <c r="CJN11" s="1"/>
      <c r="CJO11" s="1"/>
      <c r="CJP11" s="1"/>
      <c r="CJQ11" s="1"/>
      <c r="CJR11" s="1"/>
      <c r="CJS11" s="1"/>
      <c r="CJT11" s="1"/>
      <c r="CJU11" s="1"/>
      <c r="CJV11" s="1"/>
      <c r="CJW11" s="1"/>
      <c r="CJX11" s="1"/>
      <c r="CJY11" s="1"/>
      <c r="CJZ11" s="1"/>
      <c r="CKA11" s="1"/>
      <c r="CKB11" s="1"/>
      <c r="CKC11" s="1"/>
      <c r="CKD11" s="1"/>
      <c r="CKE11" s="1"/>
      <c r="CKF11" s="1"/>
      <c r="CKG11" s="1"/>
      <c r="CKH11" s="1"/>
      <c r="CKI11" s="1"/>
      <c r="CKJ11" s="1"/>
      <c r="CKK11" s="1"/>
      <c r="CKL11" s="1"/>
      <c r="CKM11" s="1"/>
      <c r="CKN11" s="1"/>
      <c r="CKO11" s="1"/>
      <c r="CKP11" s="1"/>
      <c r="CKQ11" s="1"/>
      <c r="CKR11" s="1"/>
      <c r="CKS11" s="1"/>
      <c r="CKT11" s="1"/>
      <c r="CKU11" s="1"/>
      <c r="CKV11" s="1"/>
      <c r="CKW11" s="1"/>
      <c r="CKX11" s="1"/>
      <c r="CKY11" s="1"/>
      <c r="CKZ11" s="1"/>
      <c r="CLA11" s="1"/>
      <c r="CLB11" s="1"/>
      <c r="CLC11" s="1"/>
      <c r="CLD11" s="1"/>
      <c r="CLE11" s="1"/>
      <c r="CLF11" s="1"/>
      <c r="CLG11" s="1"/>
      <c r="CLH11" s="1"/>
      <c r="CLI11" s="1"/>
      <c r="CLJ11" s="1"/>
      <c r="CLK11" s="1"/>
      <c r="CLL11" s="1"/>
      <c r="CLM11" s="1"/>
      <c r="CLN11" s="1"/>
      <c r="CLO11" s="1"/>
      <c r="CLP11" s="1"/>
      <c r="CLQ11" s="1"/>
      <c r="CLR11" s="1"/>
      <c r="CLS11" s="1"/>
      <c r="CLT11" s="1"/>
      <c r="CLU11" s="1"/>
      <c r="CLV11" s="1"/>
      <c r="CLW11" s="1"/>
      <c r="CLX11" s="1"/>
      <c r="CLY11" s="1"/>
      <c r="CLZ11" s="1"/>
      <c r="CMA11" s="1"/>
      <c r="CMB11" s="1"/>
      <c r="CMC11" s="1"/>
      <c r="CMD11" s="1"/>
      <c r="CME11" s="1"/>
      <c r="CMF11" s="1"/>
      <c r="CMG11" s="1"/>
      <c r="CMH11" s="1"/>
      <c r="CMI11" s="1"/>
      <c r="CMJ11" s="1"/>
      <c r="CMK11" s="1"/>
      <c r="CML11" s="1"/>
      <c r="CMM11" s="1"/>
      <c r="CMN11" s="1"/>
      <c r="CMO11" s="1"/>
      <c r="CMP11" s="1"/>
      <c r="CMQ11" s="1"/>
      <c r="CMR11" s="1"/>
      <c r="CMS11" s="1"/>
      <c r="CMT11" s="1"/>
      <c r="CMU11" s="1"/>
      <c r="CMV11" s="1"/>
      <c r="CMW11" s="1"/>
      <c r="CMX11" s="1"/>
      <c r="CMY11" s="1"/>
      <c r="CMZ11" s="1"/>
      <c r="CNA11" s="1"/>
      <c r="CNB11" s="1"/>
      <c r="CNC11" s="1"/>
      <c r="CND11" s="1"/>
      <c r="CNE11" s="1"/>
      <c r="CNF11" s="1"/>
      <c r="CNG11" s="1"/>
      <c r="CNH11" s="1"/>
      <c r="CNI11" s="1"/>
      <c r="CNJ11" s="1"/>
      <c r="CNK11" s="1"/>
      <c r="CNL11" s="1"/>
      <c r="CNM11" s="1"/>
      <c r="CNN11" s="1"/>
      <c r="CNO11" s="1"/>
      <c r="CNP11" s="1"/>
      <c r="CNQ11" s="1"/>
      <c r="CNR11" s="1"/>
      <c r="CNS11" s="1"/>
      <c r="CNT11" s="1"/>
      <c r="CNU11" s="1"/>
      <c r="CNV11" s="1"/>
      <c r="CNW11" s="1"/>
      <c r="CNX11" s="1"/>
      <c r="CNY11" s="1"/>
      <c r="CNZ11" s="1"/>
      <c r="COA11" s="1"/>
      <c r="COB11" s="1"/>
      <c r="COC11" s="1"/>
      <c r="COD11" s="1"/>
      <c r="COE11" s="1"/>
      <c r="COF11" s="1"/>
      <c r="COG11" s="1"/>
      <c r="COH11" s="1"/>
      <c r="COI11" s="1"/>
      <c r="COJ11" s="1"/>
      <c r="COK11" s="1"/>
      <c r="COL11" s="1"/>
      <c r="COM11" s="1"/>
      <c r="CON11" s="1"/>
      <c r="COO11" s="1"/>
      <c r="COP11" s="1"/>
      <c r="COQ11" s="1"/>
      <c r="COR11" s="1"/>
      <c r="COS11" s="1"/>
      <c r="COT11" s="1"/>
      <c r="COU11" s="1"/>
      <c r="COV11" s="1"/>
      <c r="COW11" s="1"/>
      <c r="COX11" s="1"/>
      <c r="COY11" s="1"/>
      <c r="COZ11" s="1"/>
      <c r="CPA11" s="1"/>
      <c r="CPB11" s="1"/>
      <c r="CPC11" s="1"/>
      <c r="CPD11" s="1"/>
      <c r="CPE11" s="1"/>
      <c r="CPF11" s="1"/>
      <c r="CPG11" s="1"/>
      <c r="CPH11" s="1"/>
      <c r="CPI11" s="1"/>
      <c r="CPJ11" s="1"/>
      <c r="CPK11" s="1"/>
      <c r="CPL11" s="1"/>
      <c r="CPM11" s="1"/>
      <c r="CPN11" s="1"/>
      <c r="CPO11" s="1"/>
      <c r="CPP11" s="1"/>
      <c r="CPQ11" s="1"/>
      <c r="CPR11" s="1"/>
      <c r="CPS11" s="1"/>
      <c r="CPT11" s="1"/>
      <c r="CPU11" s="1"/>
      <c r="CPV11" s="1"/>
      <c r="CPW11" s="1"/>
      <c r="CPX11" s="1"/>
      <c r="CPY11" s="1"/>
      <c r="CPZ11" s="1"/>
      <c r="CQA11" s="1"/>
      <c r="CQB11" s="1"/>
      <c r="CQC11" s="1"/>
      <c r="CQD11" s="1"/>
      <c r="CQE11" s="1"/>
      <c r="CQF11" s="1"/>
      <c r="CQG11" s="1"/>
      <c r="CQH11" s="1"/>
      <c r="CQI11" s="1"/>
      <c r="CQJ11" s="1"/>
      <c r="CQK11" s="1"/>
      <c r="CQL11" s="1"/>
      <c r="CQM11" s="1"/>
      <c r="CQN11" s="1"/>
      <c r="CQO11" s="1"/>
      <c r="CQP11" s="1"/>
      <c r="CQQ11" s="1"/>
      <c r="CQR11" s="1"/>
      <c r="CQS11" s="1"/>
      <c r="CQT11" s="1"/>
      <c r="CQU11" s="1"/>
      <c r="CQV11" s="1"/>
      <c r="CQW11" s="1"/>
      <c r="CQX11" s="1"/>
      <c r="CQY11" s="1"/>
      <c r="CQZ11" s="1"/>
      <c r="CRA11" s="1"/>
      <c r="CRB11" s="1"/>
      <c r="CRC11" s="1"/>
      <c r="CRD11" s="1"/>
      <c r="CRE11" s="1"/>
      <c r="CRF11" s="1"/>
      <c r="CRG11" s="1"/>
      <c r="CRH11" s="1"/>
      <c r="CRI11" s="1"/>
      <c r="CRJ11" s="1"/>
      <c r="CRK11" s="1"/>
      <c r="CRL11" s="1"/>
      <c r="CRM11" s="1"/>
      <c r="CRN11" s="1"/>
      <c r="CRO11" s="1"/>
      <c r="CRP11" s="1"/>
      <c r="CRQ11" s="1"/>
      <c r="CRR11" s="1"/>
      <c r="CRS11" s="1"/>
      <c r="CRT11" s="1"/>
      <c r="CRU11" s="1"/>
      <c r="CRV11" s="1"/>
      <c r="CRW11" s="1"/>
      <c r="CRX11" s="1"/>
      <c r="CRY11" s="1"/>
      <c r="CRZ11" s="1"/>
      <c r="CSA11" s="1"/>
      <c r="CSB11" s="1"/>
      <c r="CSC11" s="1"/>
      <c r="CSD11" s="1"/>
      <c r="CSE11" s="1"/>
      <c r="CSF11" s="1"/>
      <c r="CSG11" s="1"/>
      <c r="CSH11" s="1"/>
      <c r="CSI11" s="1"/>
      <c r="CSJ11" s="1"/>
      <c r="CSK11" s="1"/>
      <c r="CSL11" s="1"/>
      <c r="CSM11" s="1"/>
      <c r="CSN11" s="1"/>
      <c r="CSO11" s="1"/>
      <c r="CSP11" s="1"/>
      <c r="CSQ11" s="1"/>
      <c r="CSR11" s="1"/>
      <c r="CSS11" s="1"/>
      <c r="CST11" s="1"/>
      <c r="CSU11" s="1"/>
      <c r="CSV11" s="1"/>
      <c r="CSW11" s="1"/>
      <c r="CSX11" s="1"/>
      <c r="CSY11" s="1"/>
      <c r="CSZ11" s="1"/>
      <c r="CTA11" s="1"/>
      <c r="CTB11" s="1"/>
      <c r="CTC11" s="1"/>
      <c r="CTD11" s="1"/>
      <c r="CTE11" s="1"/>
      <c r="CTF11" s="1"/>
      <c r="CTG11" s="1"/>
      <c r="CTH11" s="1"/>
      <c r="CTI11" s="1"/>
      <c r="CTJ11" s="1"/>
      <c r="CTK11" s="1"/>
      <c r="CTL11" s="1"/>
      <c r="CTM11" s="1"/>
      <c r="CTN11" s="1"/>
      <c r="CTO11" s="1"/>
      <c r="CTP11" s="1"/>
      <c r="CTQ11" s="1"/>
      <c r="CTR11" s="1"/>
      <c r="CTS11" s="1"/>
      <c r="CTT11" s="1"/>
      <c r="CTU11" s="1"/>
      <c r="CTV11" s="1"/>
      <c r="CTW11" s="1"/>
      <c r="CTX11" s="1"/>
      <c r="CTY11" s="1"/>
      <c r="CTZ11" s="1"/>
      <c r="CUA11" s="1"/>
      <c r="CUB11" s="1"/>
      <c r="CUC11" s="1"/>
      <c r="CUD11" s="1"/>
      <c r="CUE11" s="1"/>
      <c r="CUF11" s="1"/>
      <c r="CUG11" s="1"/>
      <c r="CUH11" s="1"/>
      <c r="CUI11" s="1"/>
      <c r="CUJ11" s="1"/>
      <c r="CUK11" s="1"/>
      <c r="CUL11" s="1"/>
      <c r="CUM11" s="1"/>
      <c r="CUN11" s="1"/>
      <c r="CUO11" s="1"/>
      <c r="CUP11" s="1"/>
      <c r="CUQ11" s="1"/>
      <c r="CUR11" s="1"/>
      <c r="CUS11" s="1"/>
      <c r="CUT11" s="1"/>
      <c r="CUU11" s="1"/>
      <c r="CUV11" s="1"/>
      <c r="CUW11" s="1"/>
      <c r="CUX11" s="1"/>
      <c r="CUY11" s="1"/>
      <c r="CUZ11" s="1"/>
      <c r="CVA11" s="1"/>
      <c r="CVB11" s="1"/>
      <c r="CVC11" s="1"/>
      <c r="CVD11" s="1"/>
      <c r="CVE11" s="1"/>
      <c r="CVF11" s="1"/>
      <c r="CVG11" s="1"/>
      <c r="CVH11" s="1"/>
      <c r="CVI11" s="1"/>
      <c r="CVJ11" s="1"/>
      <c r="CVK11" s="1"/>
      <c r="CVL11" s="1"/>
      <c r="CVM11" s="1"/>
      <c r="CVN11" s="1"/>
      <c r="CVO11" s="1"/>
      <c r="CVP11" s="1"/>
      <c r="CVQ11" s="1"/>
      <c r="CVR11" s="1"/>
      <c r="CVS11" s="1"/>
      <c r="CVT11" s="1"/>
      <c r="CVU11" s="1"/>
      <c r="CVV11" s="1"/>
      <c r="CVW11" s="1"/>
      <c r="CVX11" s="1"/>
      <c r="CVY11" s="1"/>
      <c r="CVZ11" s="1"/>
      <c r="CWA11" s="1"/>
      <c r="CWB11" s="1"/>
      <c r="CWC11" s="1"/>
      <c r="CWD11" s="1"/>
      <c r="CWE11" s="1"/>
      <c r="CWF11" s="1"/>
      <c r="CWG11" s="1"/>
      <c r="CWH11" s="1"/>
      <c r="CWI11" s="1"/>
      <c r="CWJ11" s="1"/>
      <c r="CWK11" s="1"/>
      <c r="CWL11" s="1"/>
      <c r="CWM11" s="1"/>
      <c r="CWN11" s="1"/>
      <c r="CWO11" s="1"/>
      <c r="CWP11" s="1"/>
      <c r="CWQ11" s="1"/>
      <c r="CWR11" s="1"/>
      <c r="CWS11" s="1"/>
      <c r="CWT11" s="1"/>
      <c r="CWU11" s="1"/>
      <c r="CWV11" s="1"/>
      <c r="CWW11" s="1"/>
      <c r="CWX11" s="1"/>
      <c r="CWY11" s="1"/>
      <c r="CWZ11" s="1"/>
      <c r="CXA11" s="1"/>
      <c r="CXB11" s="1"/>
      <c r="CXC11" s="1"/>
      <c r="CXD11" s="1"/>
      <c r="CXE11" s="1"/>
      <c r="CXF11" s="1"/>
      <c r="CXG11" s="1"/>
      <c r="CXH11" s="1"/>
      <c r="CXI11" s="1"/>
      <c r="CXJ11" s="1"/>
      <c r="CXK11" s="1"/>
      <c r="CXL11" s="1"/>
      <c r="CXM11" s="1"/>
      <c r="CXN11" s="1"/>
      <c r="CXO11" s="1"/>
      <c r="CXP11" s="1"/>
      <c r="CXQ11" s="1"/>
      <c r="CXR11" s="1"/>
      <c r="CXS11" s="1"/>
      <c r="CXT11" s="1"/>
      <c r="CXU11" s="1"/>
      <c r="CXV11" s="1"/>
      <c r="CXW11" s="1"/>
      <c r="CXX11" s="1"/>
      <c r="CXY11" s="1"/>
      <c r="CXZ11" s="1"/>
      <c r="CYA11" s="1"/>
      <c r="CYB11" s="1"/>
      <c r="CYC11" s="1"/>
      <c r="CYD11" s="1"/>
      <c r="CYE11" s="1"/>
      <c r="CYF11" s="1"/>
      <c r="CYG11" s="1"/>
      <c r="CYH11" s="1"/>
      <c r="CYI11" s="1"/>
      <c r="CYJ11" s="1"/>
      <c r="CYK11" s="1"/>
      <c r="CYL11" s="1"/>
      <c r="CYM11" s="1"/>
      <c r="CYN11" s="1"/>
      <c r="CYO11" s="1"/>
      <c r="CYP11" s="1"/>
      <c r="CYQ11" s="1"/>
      <c r="CYR11" s="1"/>
      <c r="CYS11" s="1"/>
      <c r="CYT11" s="1"/>
      <c r="CYU11" s="1"/>
      <c r="CYV11" s="1"/>
      <c r="CYW11" s="1"/>
      <c r="CYX11" s="1"/>
      <c r="CYY11" s="1"/>
      <c r="CYZ11" s="1"/>
      <c r="CZA11" s="1"/>
      <c r="CZB11" s="1"/>
      <c r="CZC11" s="1"/>
      <c r="CZD11" s="1"/>
      <c r="CZE11" s="1"/>
      <c r="CZF11" s="1"/>
      <c r="CZG11" s="1"/>
      <c r="CZH11" s="1"/>
      <c r="CZI11" s="1"/>
      <c r="CZJ11" s="1"/>
      <c r="CZK11" s="1"/>
      <c r="CZL11" s="1"/>
      <c r="CZM11" s="1"/>
      <c r="CZN11" s="1"/>
      <c r="CZO11" s="1"/>
      <c r="CZP11" s="1"/>
      <c r="CZQ11" s="1"/>
      <c r="CZR11" s="1"/>
      <c r="CZS11" s="1"/>
      <c r="CZT11" s="1"/>
      <c r="CZU11" s="1"/>
      <c r="CZV11" s="1"/>
      <c r="CZW11" s="1"/>
      <c r="CZX11" s="1"/>
      <c r="CZY11" s="1"/>
      <c r="CZZ11" s="1"/>
      <c r="DAA11" s="1"/>
      <c r="DAB11" s="1"/>
      <c r="DAC11" s="1"/>
      <c r="DAD11" s="1"/>
      <c r="DAE11" s="1"/>
      <c r="DAF11" s="1"/>
      <c r="DAG11" s="1"/>
      <c r="DAH11" s="1"/>
      <c r="DAI11" s="1"/>
      <c r="DAJ11" s="1"/>
      <c r="DAK11" s="1"/>
      <c r="DAL11" s="1"/>
      <c r="DAM11" s="1"/>
      <c r="DAN11" s="1"/>
      <c r="DAO11" s="1"/>
      <c r="DAP11" s="1"/>
      <c r="DAQ11" s="1"/>
      <c r="DAR11" s="1"/>
      <c r="DAS11" s="1"/>
      <c r="DAT11" s="1"/>
      <c r="DAU11" s="1"/>
      <c r="DAV11" s="1"/>
      <c r="DAW11" s="1"/>
      <c r="DAX11" s="1"/>
      <c r="DAY11" s="1"/>
      <c r="DAZ11" s="1"/>
      <c r="DBA11" s="1"/>
      <c r="DBB11" s="1"/>
      <c r="DBC11" s="1"/>
      <c r="DBD11" s="1"/>
      <c r="DBE11" s="1"/>
      <c r="DBF11" s="1"/>
      <c r="DBG11" s="1"/>
      <c r="DBH11" s="1"/>
      <c r="DBI11" s="1"/>
      <c r="DBJ11" s="1"/>
      <c r="DBK11" s="1"/>
      <c r="DBL11" s="1"/>
      <c r="DBM11" s="1"/>
      <c r="DBN11" s="1"/>
      <c r="DBO11" s="1"/>
      <c r="DBP11" s="1"/>
      <c r="DBQ11" s="1"/>
      <c r="DBR11" s="1"/>
      <c r="DBS11" s="1"/>
      <c r="DBT11" s="1"/>
      <c r="DBU11" s="1"/>
      <c r="DBV11" s="1"/>
      <c r="DBW11" s="1"/>
      <c r="DBX11" s="1"/>
      <c r="DBY11" s="1"/>
      <c r="DBZ11" s="1"/>
      <c r="DCA11" s="1"/>
      <c r="DCB11" s="1"/>
      <c r="DCC11" s="1"/>
      <c r="DCD11" s="1"/>
      <c r="DCE11" s="1"/>
      <c r="DCF11" s="1"/>
      <c r="DCG11" s="1"/>
      <c r="DCH11" s="1"/>
      <c r="DCI11" s="1"/>
      <c r="DCJ11" s="1"/>
      <c r="DCK11" s="1"/>
      <c r="DCL11" s="1"/>
      <c r="DCM11" s="1"/>
      <c r="DCN11" s="1"/>
      <c r="DCO11" s="1"/>
      <c r="DCP11" s="1"/>
      <c r="DCQ11" s="1"/>
      <c r="DCR11" s="1"/>
      <c r="DCS11" s="1"/>
      <c r="DCT11" s="1"/>
      <c r="DCU11" s="1"/>
      <c r="DCV11" s="1"/>
      <c r="DCW11" s="1"/>
      <c r="DCX11" s="1"/>
      <c r="DCY11" s="1"/>
      <c r="DCZ11" s="1"/>
      <c r="DDA11" s="1"/>
      <c r="DDB11" s="1"/>
      <c r="DDC11" s="1"/>
      <c r="DDD11" s="1"/>
      <c r="DDE11" s="1"/>
      <c r="DDF11" s="1"/>
      <c r="DDG11" s="1"/>
      <c r="DDH11" s="1"/>
      <c r="DDI11" s="1"/>
      <c r="DDJ11" s="1"/>
      <c r="DDK11" s="1"/>
      <c r="DDL11" s="1"/>
      <c r="DDM11" s="1"/>
      <c r="DDN11" s="1"/>
      <c r="DDO11" s="1"/>
      <c r="DDP11" s="1"/>
      <c r="DDQ11" s="1"/>
      <c r="DDR11" s="1"/>
      <c r="DDS11" s="1"/>
      <c r="DDT11" s="1"/>
      <c r="DDU11" s="1"/>
      <c r="DDV11" s="1"/>
      <c r="DDW11" s="1"/>
      <c r="DDX11" s="1"/>
      <c r="DDY11" s="1"/>
      <c r="DDZ11" s="1"/>
      <c r="DEA11" s="1"/>
      <c r="DEB11" s="1"/>
      <c r="DEC11" s="1"/>
      <c r="DED11" s="1"/>
      <c r="DEE11" s="1"/>
      <c r="DEF11" s="1"/>
      <c r="DEG11" s="1"/>
      <c r="DEH11" s="1"/>
      <c r="DEI11" s="1"/>
      <c r="DEJ11" s="1"/>
      <c r="DEK11" s="1"/>
      <c r="DEL11" s="1"/>
      <c r="DEM11" s="1"/>
      <c r="DEN11" s="1"/>
      <c r="DEO11" s="1"/>
      <c r="DEP11" s="1"/>
      <c r="DEQ11" s="1"/>
      <c r="DER11" s="1"/>
      <c r="DES11" s="1"/>
      <c r="DET11" s="1"/>
      <c r="DEU11" s="1"/>
      <c r="DEV11" s="1"/>
      <c r="DEW11" s="1"/>
      <c r="DEX11" s="1"/>
      <c r="DEY11" s="1"/>
      <c r="DEZ11" s="1"/>
      <c r="DFA11" s="1"/>
      <c r="DFB11" s="1"/>
      <c r="DFC11" s="1"/>
      <c r="DFD11" s="1"/>
      <c r="DFE11" s="1"/>
      <c r="DFF11" s="1"/>
      <c r="DFG11" s="1"/>
      <c r="DFH11" s="1"/>
      <c r="DFI11" s="1"/>
      <c r="DFJ11" s="1"/>
      <c r="DFK11" s="1"/>
      <c r="DFL11" s="1"/>
      <c r="DFM11" s="1"/>
      <c r="DFN11" s="1"/>
      <c r="DFO11" s="1"/>
      <c r="DFP11" s="1"/>
      <c r="DFQ11" s="1"/>
      <c r="DFR11" s="1"/>
      <c r="DFS11" s="1"/>
      <c r="DFT11" s="1"/>
      <c r="DFU11" s="1"/>
      <c r="DFV11" s="1"/>
      <c r="DFW11" s="1"/>
      <c r="DFX11" s="1"/>
      <c r="DFY11" s="1"/>
      <c r="DFZ11" s="1"/>
      <c r="DGA11" s="1"/>
      <c r="DGB11" s="1"/>
      <c r="DGC11" s="1"/>
      <c r="DGD11" s="1"/>
      <c r="DGE11" s="1"/>
      <c r="DGF11" s="1"/>
      <c r="DGG11" s="1"/>
      <c r="DGH11" s="1"/>
      <c r="DGI11" s="1"/>
      <c r="DGJ11" s="1"/>
      <c r="DGK11" s="1"/>
      <c r="DGL11" s="1"/>
      <c r="DGM11" s="1"/>
      <c r="DGN11" s="1"/>
      <c r="DGO11" s="1"/>
      <c r="DGP11" s="1"/>
      <c r="DGQ11" s="1"/>
      <c r="DGR11" s="1"/>
      <c r="DGS11" s="1"/>
      <c r="DGT11" s="1"/>
      <c r="DGU11" s="1"/>
      <c r="DGV11" s="1"/>
      <c r="DGW11" s="1"/>
      <c r="DGX11" s="1"/>
      <c r="DGY11" s="1"/>
      <c r="DGZ11" s="1"/>
      <c r="DHA11" s="1"/>
      <c r="DHB11" s="1"/>
      <c r="DHC11" s="1"/>
      <c r="DHD11" s="1"/>
      <c r="DHE11" s="1"/>
      <c r="DHF11" s="1"/>
      <c r="DHG11" s="1"/>
      <c r="DHH11" s="1"/>
      <c r="DHI11" s="1"/>
      <c r="DHJ11" s="1"/>
      <c r="DHK11" s="1"/>
      <c r="DHL11" s="1"/>
      <c r="DHM11" s="1"/>
      <c r="DHN11" s="1"/>
      <c r="DHO11" s="1"/>
      <c r="DHP11" s="1"/>
      <c r="DHQ11" s="1"/>
      <c r="DHR11" s="1"/>
      <c r="DHS11" s="1"/>
      <c r="DHT11" s="1"/>
      <c r="DHU11" s="1"/>
      <c r="DHV11" s="1"/>
      <c r="DHW11" s="1"/>
      <c r="DHX11" s="1"/>
      <c r="DHY11" s="1"/>
      <c r="DHZ11" s="1"/>
      <c r="DIA11" s="1"/>
      <c r="DIB11" s="1"/>
      <c r="DIC11" s="1"/>
      <c r="DID11" s="1"/>
      <c r="DIE11" s="1"/>
      <c r="DIF11" s="1"/>
      <c r="DIG11" s="1"/>
      <c r="DIH11" s="1"/>
      <c r="DII11" s="1"/>
      <c r="DIJ11" s="1"/>
      <c r="DIK11" s="1"/>
      <c r="DIL11" s="1"/>
      <c r="DIM11" s="1"/>
      <c r="DIN11" s="1"/>
      <c r="DIO11" s="1"/>
      <c r="DIP11" s="1"/>
      <c r="DIQ11" s="1"/>
      <c r="DIR11" s="1"/>
      <c r="DIS11" s="1"/>
      <c r="DIT11" s="1"/>
      <c r="DIU11" s="1"/>
      <c r="DIV11" s="1"/>
      <c r="DIW11" s="1"/>
      <c r="DIX11" s="1"/>
      <c r="DIY11" s="1"/>
      <c r="DIZ11" s="1"/>
      <c r="DJA11" s="1"/>
      <c r="DJB11" s="1"/>
      <c r="DJC11" s="1"/>
      <c r="DJD11" s="1"/>
      <c r="DJE11" s="1"/>
      <c r="DJF11" s="1"/>
      <c r="DJG11" s="1"/>
      <c r="DJH11" s="1"/>
      <c r="DJI11" s="1"/>
      <c r="DJJ11" s="1"/>
      <c r="DJK11" s="1"/>
      <c r="DJL11" s="1"/>
      <c r="DJM11" s="1"/>
      <c r="DJN11" s="1"/>
      <c r="DJO11" s="1"/>
      <c r="DJP11" s="1"/>
      <c r="DJQ11" s="1"/>
      <c r="DJR11" s="1"/>
      <c r="DJS11" s="1"/>
      <c r="DJT11" s="1"/>
      <c r="DJU11" s="1"/>
      <c r="DJV11" s="1"/>
      <c r="DJW11" s="1"/>
      <c r="DJX11" s="1"/>
      <c r="DJY11" s="1"/>
      <c r="DJZ11" s="1"/>
      <c r="DKA11" s="1"/>
      <c r="DKB11" s="1"/>
      <c r="DKC11" s="1"/>
      <c r="DKD11" s="1"/>
      <c r="DKE11" s="1"/>
      <c r="DKF11" s="1"/>
      <c r="DKG11" s="1"/>
      <c r="DKH11" s="1"/>
      <c r="DKI11" s="1"/>
      <c r="DKJ11" s="1"/>
      <c r="DKK11" s="1"/>
      <c r="DKL11" s="1"/>
      <c r="DKM11" s="1"/>
      <c r="DKN11" s="1"/>
      <c r="DKO11" s="1"/>
      <c r="DKP11" s="1"/>
      <c r="DKQ11" s="1"/>
      <c r="DKR11" s="1"/>
      <c r="DKS11" s="1"/>
      <c r="DKT11" s="1"/>
      <c r="DKU11" s="1"/>
      <c r="DKV11" s="1"/>
      <c r="DKW11" s="1"/>
      <c r="DKX11" s="1"/>
      <c r="DKY11" s="1"/>
      <c r="DKZ11" s="1"/>
      <c r="DLA11" s="1"/>
      <c r="DLB11" s="1"/>
      <c r="DLC11" s="1"/>
      <c r="DLD11" s="1"/>
      <c r="DLE11" s="1"/>
      <c r="DLF11" s="1"/>
      <c r="DLG11" s="1"/>
      <c r="DLH11" s="1"/>
      <c r="DLI11" s="1"/>
      <c r="DLJ11" s="1"/>
      <c r="DLK11" s="1"/>
      <c r="DLL11" s="1"/>
      <c r="DLM11" s="1"/>
      <c r="DLN11" s="1"/>
      <c r="DLO11" s="1"/>
      <c r="DLP11" s="1"/>
      <c r="DLQ11" s="1"/>
      <c r="DLR11" s="1"/>
      <c r="DLS11" s="1"/>
      <c r="DLT11" s="1"/>
      <c r="DLU11" s="1"/>
      <c r="DLV11" s="1"/>
      <c r="DLW11" s="1"/>
      <c r="DLX11" s="1"/>
      <c r="DLY11" s="1"/>
      <c r="DLZ11" s="1"/>
      <c r="DMA11" s="1"/>
      <c r="DMB11" s="1"/>
      <c r="DMC11" s="1"/>
      <c r="DMD11" s="1"/>
      <c r="DME11" s="1"/>
      <c r="DMF11" s="1"/>
      <c r="DMG11" s="1"/>
      <c r="DMH11" s="1"/>
      <c r="DMI11" s="1"/>
      <c r="DMJ11" s="1"/>
      <c r="DMK11" s="1"/>
      <c r="DML11" s="1"/>
      <c r="DMM11" s="1"/>
      <c r="DMN11" s="1"/>
      <c r="DMO11" s="1"/>
      <c r="DMP11" s="1"/>
      <c r="DMQ11" s="1"/>
      <c r="DMR11" s="1"/>
      <c r="DMS11" s="1"/>
      <c r="DMT11" s="1"/>
      <c r="DMU11" s="1"/>
      <c r="DMV11" s="1"/>
      <c r="DMW11" s="1"/>
      <c r="DMX11" s="1"/>
      <c r="DMY11" s="1"/>
      <c r="DMZ11" s="1"/>
      <c r="DNA11" s="1"/>
      <c r="DNB11" s="1"/>
      <c r="DNC11" s="1"/>
      <c r="DND11" s="1"/>
      <c r="DNE11" s="1"/>
      <c r="DNF11" s="1"/>
      <c r="DNG11" s="1"/>
      <c r="DNH11" s="1"/>
      <c r="DNI11" s="1"/>
      <c r="DNJ11" s="1"/>
      <c r="DNK11" s="1"/>
      <c r="DNL11" s="1"/>
      <c r="DNM11" s="1"/>
      <c r="DNN11" s="1"/>
      <c r="DNO11" s="1"/>
      <c r="DNP11" s="1"/>
      <c r="DNQ11" s="1"/>
      <c r="DNR11" s="1"/>
      <c r="DNS11" s="1"/>
      <c r="DNT11" s="1"/>
      <c r="DNU11" s="1"/>
      <c r="DNV11" s="1"/>
      <c r="DNW11" s="1"/>
      <c r="DNX11" s="1"/>
      <c r="DNY11" s="1"/>
      <c r="DNZ11" s="1"/>
      <c r="DOA11" s="1"/>
      <c r="DOB11" s="1"/>
      <c r="DOC11" s="1"/>
      <c r="DOD11" s="1"/>
      <c r="DOE11" s="1"/>
      <c r="DOF11" s="1"/>
      <c r="DOG11" s="1"/>
      <c r="DOH11" s="1"/>
      <c r="DOI11" s="1"/>
      <c r="DOJ11" s="1"/>
      <c r="DOK11" s="1"/>
      <c r="DOL11" s="1"/>
      <c r="DOM11" s="1"/>
      <c r="DON11" s="1"/>
      <c r="DOO11" s="1"/>
      <c r="DOP11" s="1"/>
      <c r="DOQ11" s="1"/>
      <c r="DOR11" s="1"/>
      <c r="DOS11" s="1"/>
      <c r="DOT11" s="1"/>
      <c r="DOU11" s="1"/>
      <c r="DOV11" s="1"/>
      <c r="DOW11" s="1"/>
      <c r="DOX11" s="1"/>
      <c r="DOY11" s="1"/>
      <c r="DOZ11" s="1"/>
      <c r="DPA11" s="1"/>
      <c r="DPB11" s="1"/>
      <c r="DPC11" s="1"/>
      <c r="DPD11" s="1"/>
      <c r="DPE11" s="1"/>
      <c r="DPF11" s="1"/>
      <c r="DPG11" s="1"/>
      <c r="DPH11" s="1"/>
      <c r="DPI11" s="1"/>
      <c r="DPJ11" s="1"/>
      <c r="DPK11" s="1"/>
      <c r="DPL11" s="1"/>
      <c r="DPM11" s="1"/>
      <c r="DPN11" s="1"/>
      <c r="DPO11" s="1"/>
      <c r="DPP11" s="1"/>
      <c r="DPQ11" s="1"/>
      <c r="DPR11" s="1"/>
      <c r="DPS11" s="1"/>
      <c r="DPT11" s="1"/>
      <c r="DPU11" s="1"/>
      <c r="DPV11" s="1"/>
      <c r="DPW11" s="1"/>
      <c r="DPX11" s="1"/>
      <c r="DPY11" s="1"/>
      <c r="DPZ11" s="1"/>
      <c r="DQA11" s="1"/>
      <c r="DQB11" s="1"/>
      <c r="DQC11" s="1"/>
      <c r="DQD11" s="1"/>
      <c r="DQE11" s="1"/>
      <c r="DQF11" s="1"/>
      <c r="DQG11" s="1"/>
      <c r="DQH11" s="1"/>
      <c r="DQI11" s="1"/>
      <c r="DQJ11" s="1"/>
      <c r="DQK11" s="1"/>
      <c r="DQL11" s="1"/>
      <c r="DQM11" s="1"/>
      <c r="DQN11" s="1"/>
      <c r="DQO11" s="1"/>
      <c r="DQP11" s="1"/>
      <c r="DQQ11" s="1"/>
      <c r="DQR11" s="1"/>
      <c r="DQS11" s="1"/>
      <c r="DQT11" s="1"/>
      <c r="DQU11" s="1"/>
      <c r="DQV11" s="1"/>
      <c r="DQW11" s="1"/>
      <c r="DQX11" s="1"/>
      <c r="DQY11" s="1"/>
      <c r="DQZ11" s="1"/>
      <c r="DRA11" s="1"/>
      <c r="DRB11" s="1"/>
      <c r="DRC11" s="1"/>
      <c r="DRD11" s="1"/>
      <c r="DRE11" s="1"/>
      <c r="DRF11" s="1"/>
      <c r="DRG11" s="1"/>
      <c r="DRH11" s="1"/>
      <c r="DRI11" s="1"/>
      <c r="DRJ11" s="1"/>
      <c r="DRK11" s="1"/>
      <c r="DRL11" s="1"/>
      <c r="DRM11" s="1"/>
      <c r="DRN11" s="1"/>
      <c r="DRO11" s="1"/>
      <c r="DRP11" s="1"/>
      <c r="DRQ11" s="1"/>
      <c r="DRR11" s="1"/>
      <c r="DRS11" s="1"/>
      <c r="DRT11" s="1"/>
      <c r="DRU11" s="1"/>
      <c r="DRV11" s="1"/>
      <c r="DRW11" s="1"/>
      <c r="DRX11" s="1"/>
      <c r="DRY11" s="1"/>
      <c r="DRZ11" s="1"/>
      <c r="DSA11" s="1"/>
      <c r="DSB11" s="1"/>
      <c r="DSC11" s="1"/>
      <c r="DSD11" s="1"/>
      <c r="DSE11" s="1"/>
      <c r="DSF11" s="1"/>
      <c r="DSG11" s="1"/>
      <c r="DSH11" s="1"/>
      <c r="DSI11" s="1"/>
      <c r="DSJ11" s="1"/>
      <c r="DSK11" s="1"/>
      <c r="DSL11" s="1"/>
      <c r="DSM11" s="1"/>
      <c r="DSN11" s="1"/>
      <c r="DSO11" s="1"/>
      <c r="DSP11" s="1"/>
      <c r="DSQ11" s="1"/>
      <c r="DSR11" s="1"/>
      <c r="DSS11" s="1"/>
      <c r="DST11" s="1"/>
      <c r="DSU11" s="1"/>
      <c r="DSV11" s="1"/>
      <c r="DSW11" s="1"/>
      <c r="DSX11" s="1"/>
      <c r="DSY11" s="1"/>
      <c r="DSZ11" s="1"/>
      <c r="DTA11" s="1"/>
      <c r="DTB11" s="1"/>
      <c r="DTC11" s="1"/>
      <c r="DTD11" s="1"/>
      <c r="DTE11" s="1"/>
      <c r="DTF11" s="1"/>
      <c r="DTG11" s="1"/>
      <c r="DTH11" s="1"/>
      <c r="DTI11" s="1"/>
      <c r="DTJ11" s="1"/>
      <c r="DTK11" s="1"/>
      <c r="DTL11" s="1"/>
      <c r="DTM11" s="1"/>
      <c r="DTN11" s="1"/>
      <c r="DTO11" s="1"/>
      <c r="DTP11" s="1"/>
      <c r="DTQ11" s="1"/>
      <c r="DTR11" s="1"/>
      <c r="DTS11" s="1"/>
      <c r="DTT11" s="1"/>
      <c r="DTU11" s="1"/>
      <c r="DTV11" s="1"/>
      <c r="DTW11" s="1"/>
      <c r="DTX11" s="1"/>
      <c r="DTY11" s="1"/>
      <c r="DTZ11" s="1"/>
      <c r="DUA11" s="1"/>
      <c r="DUB11" s="1"/>
      <c r="DUC11" s="1"/>
      <c r="DUD11" s="1"/>
      <c r="DUE11" s="1"/>
      <c r="DUF11" s="1"/>
      <c r="DUG11" s="1"/>
      <c r="DUH11" s="1"/>
      <c r="DUI11" s="1"/>
      <c r="DUJ11" s="1"/>
      <c r="DUK11" s="1"/>
      <c r="DUL11" s="1"/>
      <c r="DUM11" s="1"/>
      <c r="DUN11" s="1"/>
      <c r="DUO11" s="1"/>
      <c r="DUP11" s="1"/>
      <c r="DUQ11" s="1"/>
      <c r="DUR11" s="1"/>
      <c r="DUS11" s="1"/>
      <c r="DUT11" s="1"/>
      <c r="DUU11" s="1"/>
      <c r="DUV11" s="1"/>
      <c r="DUW11" s="1"/>
      <c r="DUX11" s="1"/>
      <c r="DUY11" s="1"/>
      <c r="DUZ11" s="1"/>
      <c r="DVA11" s="1"/>
      <c r="DVB11" s="1"/>
      <c r="DVC11" s="1"/>
      <c r="DVD11" s="1"/>
      <c r="DVE11" s="1"/>
      <c r="DVF11" s="1"/>
      <c r="DVG11" s="1"/>
      <c r="DVH11" s="1"/>
      <c r="DVI11" s="1"/>
      <c r="DVJ11" s="1"/>
      <c r="DVK11" s="1"/>
      <c r="DVL11" s="1"/>
      <c r="DVM11" s="1"/>
      <c r="DVN11" s="1"/>
      <c r="DVO11" s="1"/>
      <c r="DVP11" s="1"/>
      <c r="DVQ11" s="1"/>
      <c r="DVR11" s="1"/>
      <c r="DVS11" s="1"/>
      <c r="DVT11" s="1"/>
      <c r="DVU11" s="1"/>
      <c r="DVV11" s="1"/>
      <c r="DVW11" s="1"/>
      <c r="DVX11" s="1"/>
      <c r="DVY11" s="1"/>
      <c r="DVZ11" s="1"/>
      <c r="DWA11" s="1"/>
      <c r="DWB11" s="1"/>
      <c r="DWC11" s="1"/>
      <c r="DWD11" s="1"/>
      <c r="DWE11" s="1"/>
      <c r="DWF11" s="1"/>
      <c r="DWG11" s="1"/>
      <c r="DWH11" s="1"/>
      <c r="DWI11" s="1"/>
      <c r="DWJ11" s="1"/>
      <c r="DWK11" s="1"/>
      <c r="DWL11" s="1"/>
      <c r="DWM11" s="1"/>
      <c r="DWN11" s="1"/>
      <c r="DWO11" s="1"/>
      <c r="DWP11" s="1"/>
      <c r="DWQ11" s="1"/>
      <c r="DWR11" s="1"/>
      <c r="DWS11" s="1"/>
      <c r="DWT11" s="1"/>
      <c r="DWU11" s="1"/>
      <c r="DWV11" s="1"/>
      <c r="DWW11" s="1"/>
      <c r="DWX11" s="1"/>
      <c r="DWY11" s="1"/>
      <c r="DWZ11" s="1"/>
      <c r="DXA11" s="1"/>
      <c r="DXB11" s="1"/>
      <c r="DXC11" s="1"/>
      <c r="DXD11" s="1"/>
      <c r="DXE11" s="1"/>
      <c r="DXF11" s="1"/>
      <c r="DXG11" s="1"/>
      <c r="DXH11" s="1"/>
      <c r="DXI11" s="1"/>
      <c r="DXJ11" s="1"/>
      <c r="DXK11" s="1"/>
      <c r="DXL11" s="1"/>
      <c r="DXM11" s="1"/>
      <c r="DXN11" s="1"/>
      <c r="DXO11" s="1"/>
      <c r="DXP11" s="1"/>
      <c r="DXQ11" s="1"/>
      <c r="DXR11" s="1"/>
      <c r="DXS11" s="1"/>
      <c r="DXT11" s="1"/>
      <c r="DXU11" s="1"/>
      <c r="DXV11" s="1"/>
      <c r="DXW11" s="1"/>
      <c r="DXX11" s="1"/>
      <c r="DXY11" s="1"/>
      <c r="DXZ11" s="1"/>
      <c r="DYA11" s="1"/>
      <c r="DYB11" s="1"/>
      <c r="DYC11" s="1"/>
      <c r="DYD11" s="1"/>
      <c r="DYE11" s="1"/>
      <c r="DYF11" s="1"/>
      <c r="DYG11" s="1"/>
      <c r="DYH11" s="1"/>
      <c r="DYI11" s="1"/>
      <c r="DYJ11" s="1"/>
      <c r="DYK11" s="1"/>
      <c r="DYL11" s="1"/>
      <c r="DYM11" s="1"/>
      <c r="DYN11" s="1"/>
      <c r="DYO11" s="1"/>
      <c r="DYP11" s="1"/>
      <c r="DYQ11" s="1"/>
      <c r="DYR11" s="1"/>
      <c r="DYS11" s="1"/>
      <c r="DYT11" s="1"/>
      <c r="DYU11" s="1"/>
      <c r="DYV11" s="1"/>
      <c r="DYW11" s="1"/>
      <c r="DYX11" s="1"/>
      <c r="DYY11" s="1"/>
      <c r="DYZ11" s="1"/>
      <c r="DZA11" s="1"/>
      <c r="DZB11" s="1"/>
      <c r="DZC11" s="1"/>
      <c r="DZD11" s="1"/>
      <c r="DZE11" s="1"/>
      <c r="DZF11" s="1"/>
      <c r="DZG11" s="1"/>
      <c r="DZH11" s="1"/>
      <c r="DZI11" s="1"/>
      <c r="DZJ11" s="1"/>
      <c r="DZK11" s="1"/>
      <c r="DZL11" s="1"/>
      <c r="DZM11" s="1"/>
      <c r="DZN11" s="1"/>
      <c r="DZO11" s="1"/>
      <c r="DZP11" s="1"/>
      <c r="DZQ11" s="1"/>
      <c r="DZR11" s="1"/>
      <c r="DZS11" s="1"/>
      <c r="DZT11" s="1"/>
      <c r="DZU11" s="1"/>
      <c r="DZV11" s="1"/>
      <c r="DZW11" s="1"/>
      <c r="DZX11" s="1"/>
      <c r="DZY11" s="1"/>
      <c r="DZZ11" s="1"/>
      <c r="EAA11" s="1"/>
      <c r="EAB11" s="1"/>
      <c r="EAC11" s="1"/>
      <c r="EAD11" s="1"/>
      <c r="EAE11" s="1"/>
      <c r="EAF11" s="1"/>
      <c r="EAG11" s="1"/>
      <c r="EAH11" s="1"/>
      <c r="EAI11" s="1"/>
      <c r="EAJ11" s="1"/>
      <c r="EAK11" s="1"/>
      <c r="EAL11" s="1"/>
      <c r="EAM11" s="1"/>
      <c r="EAN11" s="1"/>
      <c r="EAO11" s="1"/>
      <c r="EAP11" s="1"/>
      <c r="EAQ11" s="1"/>
      <c r="EAR11" s="1"/>
      <c r="EAS11" s="1"/>
      <c r="EAT11" s="1"/>
      <c r="EAU11" s="1"/>
      <c r="EAV11" s="1"/>
      <c r="EAW11" s="1"/>
      <c r="EAX11" s="1"/>
      <c r="EAY11" s="1"/>
      <c r="EAZ11" s="1"/>
      <c r="EBA11" s="1"/>
      <c r="EBB11" s="1"/>
      <c r="EBC11" s="1"/>
      <c r="EBD11" s="1"/>
      <c r="EBE11" s="1"/>
      <c r="EBF11" s="1"/>
      <c r="EBG11" s="1"/>
      <c r="EBH11" s="1"/>
      <c r="EBI11" s="1"/>
      <c r="EBJ11" s="1"/>
      <c r="EBK11" s="1"/>
      <c r="EBL11" s="1"/>
      <c r="EBM11" s="1"/>
      <c r="EBN11" s="1"/>
      <c r="EBO11" s="1"/>
      <c r="EBP11" s="1"/>
      <c r="EBQ11" s="1"/>
      <c r="EBR11" s="1"/>
      <c r="EBS11" s="1"/>
      <c r="EBT11" s="1"/>
      <c r="EBU11" s="1"/>
      <c r="EBV11" s="1"/>
      <c r="EBW11" s="1"/>
      <c r="EBX11" s="1"/>
      <c r="EBY11" s="1"/>
      <c r="EBZ11" s="1"/>
      <c r="ECA11" s="1"/>
      <c r="ECB11" s="1"/>
      <c r="ECC11" s="1"/>
      <c r="ECD11" s="1"/>
      <c r="ECE11" s="1"/>
      <c r="ECF11" s="1"/>
      <c r="ECG11" s="1"/>
      <c r="ECH11" s="1"/>
      <c r="ECI11" s="1"/>
      <c r="ECJ11" s="1"/>
      <c r="ECK11" s="1"/>
      <c r="ECL11" s="1"/>
      <c r="ECM11" s="1"/>
      <c r="ECN11" s="1"/>
      <c r="ECO11" s="1"/>
      <c r="ECP11" s="1"/>
      <c r="ECQ11" s="1"/>
      <c r="ECR11" s="1"/>
      <c r="ECS11" s="1"/>
      <c r="ECT11" s="1"/>
      <c r="ECU11" s="1"/>
      <c r="ECV11" s="1"/>
      <c r="ECW11" s="1"/>
      <c r="ECX11" s="1"/>
      <c r="ECY11" s="1"/>
      <c r="ECZ11" s="1"/>
      <c r="EDA11" s="1"/>
      <c r="EDB11" s="1"/>
      <c r="EDC11" s="1"/>
      <c r="EDD11" s="1"/>
      <c r="EDE11" s="1"/>
      <c r="EDF11" s="1"/>
      <c r="EDG11" s="1"/>
      <c r="EDH11" s="1"/>
      <c r="EDI11" s="1"/>
      <c r="EDJ11" s="1"/>
      <c r="EDK11" s="1"/>
      <c r="EDL11" s="1"/>
      <c r="EDM11" s="1"/>
      <c r="EDN11" s="1"/>
      <c r="EDO11" s="1"/>
      <c r="EDP11" s="1"/>
      <c r="EDQ11" s="1"/>
      <c r="EDR11" s="1"/>
      <c r="EDS11" s="1"/>
      <c r="EDT11" s="1"/>
      <c r="EDU11" s="1"/>
      <c r="EDV11" s="1"/>
      <c r="EDW11" s="1"/>
      <c r="EDX11" s="1"/>
      <c r="EDY11" s="1"/>
      <c r="EDZ11" s="1"/>
      <c r="EEA11" s="1"/>
      <c r="EEB11" s="1"/>
      <c r="EEC11" s="1"/>
      <c r="EED11" s="1"/>
      <c r="EEE11" s="1"/>
      <c r="EEF11" s="1"/>
      <c r="EEG11" s="1"/>
      <c r="EEH11" s="1"/>
      <c r="EEI11" s="1"/>
      <c r="EEJ11" s="1"/>
      <c r="EEK11" s="1"/>
      <c r="EEL11" s="1"/>
      <c r="EEM11" s="1"/>
      <c r="EEN11" s="1"/>
      <c r="EEO11" s="1"/>
      <c r="EEP11" s="1"/>
      <c r="EEQ11" s="1"/>
      <c r="EER11" s="1"/>
      <c r="EES11" s="1"/>
      <c r="EET11" s="1"/>
      <c r="EEU11" s="1"/>
      <c r="EEV11" s="1"/>
      <c r="EEW11" s="1"/>
      <c r="EEX11" s="1"/>
      <c r="EEY11" s="1"/>
      <c r="EEZ11" s="1"/>
      <c r="EFA11" s="1"/>
      <c r="EFB11" s="1"/>
      <c r="EFC11" s="1"/>
      <c r="EFD11" s="1"/>
      <c r="EFE11" s="1"/>
      <c r="EFF11" s="1"/>
      <c r="EFG11" s="1"/>
      <c r="EFH11" s="1"/>
      <c r="EFI11" s="1"/>
      <c r="EFJ11" s="1"/>
      <c r="EFK11" s="1"/>
      <c r="EFL11" s="1"/>
      <c r="EFM11" s="1"/>
      <c r="EFN11" s="1"/>
      <c r="EFO11" s="1"/>
      <c r="EFP11" s="1"/>
      <c r="EFQ11" s="1"/>
      <c r="EFR11" s="1"/>
      <c r="EFS11" s="1"/>
      <c r="EFT11" s="1"/>
      <c r="EFU11" s="1"/>
      <c r="EFV11" s="1"/>
      <c r="EFW11" s="1"/>
      <c r="EFX11" s="1"/>
      <c r="EFY11" s="1"/>
      <c r="EFZ11" s="1"/>
      <c r="EGA11" s="1"/>
      <c r="EGB11" s="1"/>
      <c r="EGC11" s="1"/>
      <c r="EGD11" s="1"/>
      <c r="EGE11" s="1"/>
      <c r="EGF11" s="1"/>
      <c r="EGG11" s="1"/>
      <c r="EGH11" s="1"/>
      <c r="EGI11" s="1"/>
      <c r="EGJ11" s="1"/>
      <c r="EGK11" s="1"/>
      <c r="EGL11" s="1"/>
      <c r="EGM11" s="1"/>
      <c r="EGN11" s="1"/>
      <c r="EGO11" s="1"/>
      <c r="EGP11" s="1"/>
      <c r="EGQ11" s="1"/>
      <c r="EGR11" s="1"/>
      <c r="EGS11" s="1"/>
      <c r="EGT11" s="1"/>
      <c r="EGU11" s="1"/>
      <c r="EGV11" s="1"/>
      <c r="EGW11" s="1"/>
      <c r="EGX11" s="1"/>
      <c r="EGY11" s="1"/>
      <c r="EGZ11" s="1"/>
      <c r="EHA11" s="1"/>
      <c r="EHB11" s="1"/>
      <c r="EHC11" s="1"/>
      <c r="EHD11" s="1"/>
      <c r="EHE11" s="1"/>
      <c r="EHF11" s="1"/>
      <c r="EHG11" s="1"/>
      <c r="EHH11" s="1"/>
      <c r="EHI11" s="1"/>
      <c r="EHJ11" s="1"/>
      <c r="EHK11" s="1"/>
      <c r="EHL11" s="1"/>
      <c r="EHM11" s="1"/>
      <c r="EHN11" s="1"/>
      <c r="EHO11" s="1"/>
      <c r="EHP11" s="1"/>
      <c r="EHQ11" s="1"/>
      <c r="EHR11" s="1"/>
      <c r="EHS11" s="1"/>
      <c r="EHT11" s="1"/>
      <c r="EHU11" s="1"/>
      <c r="EHV11" s="1"/>
      <c r="EHW11" s="1"/>
      <c r="EHX11" s="1"/>
      <c r="EHY11" s="1"/>
      <c r="EHZ11" s="1"/>
      <c r="EIA11" s="1"/>
      <c r="EIB11" s="1"/>
      <c r="EIC11" s="1"/>
      <c r="EID11" s="1"/>
      <c r="EIE11" s="1"/>
      <c r="EIF11" s="1"/>
      <c r="EIG11" s="1"/>
      <c r="EIH11" s="1"/>
      <c r="EII11" s="1"/>
      <c r="EIJ11" s="1"/>
      <c r="EIK11" s="1"/>
      <c r="EIL11" s="1"/>
      <c r="EIM11" s="1"/>
      <c r="EIN11" s="1"/>
      <c r="EIO11" s="1"/>
      <c r="EIP11" s="1"/>
      <c r="EIQ11" s="1"/>
      <c r="EIR11" s="1"/>
      <c r="EIS11" s="1"/>
      <c r="EIT11" s="1"/>
      <c r="EIU11" s="1"/>
      <c r="EIV11" s="1"/>
      <c r="EIW11" s="1"/>
      <c r="EIX11" s="1"/>
      <c r="EIY11" s="1"/>
      <c r="EIZ11" s="1"/>
      <c r="EJA11" s="1"/>
      <c r="EJB11" s="1"/>
      <c r="EJC11" s="1"/>
      <c r="EJD11" s="1"/>
      <c r="EJE11" s="1"/>
      <c r="EJF11" s="1"/>
      <c r="EJG11" s="1"/>
      <c r="EJH11" s="1"/>
      <c r="EJI11" s="1"/>
      <c r="EJJ11" s="1"/>
      <c r="EJK11" s="1"/>
      <c r="EJL11" s="1"/>
      <c r="EJM11" s="1"/>
      <c r="EJN11" s="1"/>
      <c r="EJO11" s="1"/>
      <c r="EJP11" s="1"/>
      <c r="EJQ11" s="1"/>
      <c r="EJR11" s="1"/>
      <c r="EJS11" s="1"/>
      <c r="EJT11" s="1"/>
      <c r="EJU11" s="1"/>
      <c r="EJV11" s="1"/>
      <c r="EJW11" s="1"/>
      <c r="EJX11" s="1"/>
      <c r="EJY11" s="1"/>
      <c r="EJZ11" s="1"/>
      <c r="EKA11" s="1"/>
      <c r="EKB11" s="1"/>
      <c r="EKC11" s="1"/>
      <c r="EKD11" s="1"/>
      <c r="EKE11" s="1"/>
      <c r="EKF11" s="1"/>
      <c r="EKG11" s="1"/>
      <c r="EKH11" s="1"/>
      <c r="EKI11" s="1"/>
      <c r="EKJ11" s="1"/>
      <c r="EKK11" s="1"/>
      <c r="EKL11" s="1"/>
      <c r="EKM11" s="1"/>
      <c r="EKN11" s="1"/>
      <c r="EKO11" s="1"/>
      <c r="EKP11" s="1"/>
      <c r="EKQ11" s="1"/>
      <c r="EKR11" s="1"/>
      <c r="EKS11" s="1"/>
      <c r="EKT11" s="1"/>
      <c r="EKU11" s="1"/>
      <c r="EKV11" s="1"/>
      <c r="EKW11" s="1"/>
      <c r="EKX11" s="1"/>
      <c r="EKY11" s="1"/>
      <c r="EKZ11" s="1"/>
      <c r="ELA11" s="1"/>
      <c r="ELB11" s="1"/>
      <c r="ELC11" s="1"/>
      <c r="ELD11" s="1"/>
      <c r="ELE11" s="1"/>
      <c r="ELF11" s="1"/>
      <c r="ELG11" s="1"/>
      <c r="ELH11" s="1"/>
      <c r="ELI11" s="1"/>
      <c r="ELJ11" s="1"/>
      <c r="ELK11" s="1"/>
      <c r="ELL11" s="1"/>
      <c r="ELM11" s="1"/>
      <c r="ELN11" s="1"/>
      <c r="ELO11" s="1"/>
      <c r="ELP11" s="1"/>
      <c r="ELQ11" s="1"/>
      <c r="ELR11" s="1"/>
      <c r="ELS11" s="1"/>
      <c r="ELT11" s="1"/>
      <c r="ELU11" s="1"/>
      <c r="ELV11" s="1"/>
      <c r="ELW11" s="1"/>
      <c r="ELX11" s="1"/>
      <c r="ELY11" s="1"/>
      <c r="ELZ11" s="1"/>
      <c r="EMA11" s="1"/>
      <c r="EMB11" s="1"/>
      <c r="EMC11" s="1"/>
      <c r="EMD11" s="1"/>
      <c r="EME11" s="1"/>
      <c r="EMF11" s="1"/>
      <c r="EMG11" s="1"/>
      <c r="EMH11" s="1"/>
      <c r="EMI11" s="1"/>
      <c r="EMJ11" s="1"/>
      <c r="EMK11" s="1"/>
      <c r="EML11" s="1"/>
      <c r="EMM11" s="1"/>
      <c r="EMN11" s="1"/>
      <c r="EMO11" s="1"/>
      <c r="EMP11" s="1"/>
      <c r="EMQ11" s="1"/>
      <c r="EMR11" s="1"/>
      <c r="EMS11" s="1"/>
      <c r="EMT11" s="1"/>
      <c r="EMU11" s="1"/>
      <c r="EMV11" s="1"/>
      <c r="EMW11" s="1"/>
      <c r="EMX11" s="1"/>
      <c r="EMY11" s="1"/>
      <c r="EMZ11" s="1"/>
      <c r="ENA11" s="1"/>
      <c r="ENB11" s="1"/>
      <c r="ENC11" s="1"/>
      <c r="END11" s="1"/>
      <c r="ENE11" s="1"/>
      <c r="ENF11" s="1"/>
      <c r="ENG11" s="1"/>
      <c r="ENH11" s="1"/>
      <c r="ENI11" s="1"/>
      <c r="ENJ11" s="1"/>
      <c r="ENK11" s="1"/>
      <c r="ENL11" s="1"/>
      <c r="ENM11" s="1"/>
      <c r="ENN11" s="1"/>
      <c r="ENO11" s="1"/>
      <c r="ENP11" s="1"/>
      <c r="ENQ11" s="1"/>
      <c r="ENR11" s="1"/>
      <c r="ENS11" s="1"/>
      <c r="ENT11" s="1"/>
      <c r="ENU11" s="1"/>
      <c r="ENV11" s="1"/>
      <c r="ENW11" s="1"/>
      <c r="ENX11" s="1"/>
      <c r="ENY11" s="1"/>
      <c r="ENZ11" s="1"/>
      <c r="EOA11" s="1"/>
      <c r="EOB11" s="1"/>
      <c r="EOC11" s="1"/>
      <c r="EOD11" s="1"/>
      <c r="EOE11" s="1"/>
      <c r="EOF11" s="1"/>
      <c r="EOG11" s="1"/>
      <c r="EOH11" s="1"/>
      <c r="EOI11" s="1"/>
      <c r="EOJ11" s="1"/>
      <c r="EOK11" s="1"/>
      <c r="EOL11" s="1"/>
      <c r="EOM11" s="1"/>
      <c r="EON11" s="1"/>
      <c r="EOO11" s="1"/>
      <c r="EOP11" s="1"/>
      <c r="EOQ11" s="1"/>
      <c r="EOR11" s="1"/>
      <c r="EOS11" s="1"/>
      <c r="EOT11" s="1"/>
      <c r="EOU11" s="1"/>
      <c r="EOV11" s="1"/>
      <c r="EOW11" s="1"/>
      <c r="EOX11" s="1"/>
      <c r="EOY11" s="1"/>
      <c r="EOZ11" s="1"/>
      <c r="EPA11" s="1"/>
      <c r="EPB11" s="1"/>
      <c r="EPC11" s="1"/>
      <c r="EPD11" s="1"/>
      <c r="EPE11" s="1"/>
      <c r="EPF11" s="1"/>
      <c r="EPG11" s="1"/>
      <c r="EPH11" s="1"/>
      <c r="EPI11" s="1"/>
      <c r="EPJ11" s="1"/>
      <c r="EPK11" s="1"/>
      <c r="EPL11" s="1"/>
      <c r="EPM11" s="1"/>
      <c r="EPN11" s="1"/>
      <c r="EPO11" s="1"/>
      <c r="EPP11" s="1"/>
      <c r="EPQ11" s="1"/>
      <c r="EPR11" s="1"/>
      <c r="EPS11" s="1"/>
      <c r="EPT11" s="1"/>
      <c r="EPU11" s="1"/>
      <c r="EPV11" s="1"/>
      <c r="EPW11" s="1"/>
      <c r="EPX11" s="1"/>
      <c r="EPY11" s="1"/>
      <c r="EPZ11" s="1"/>
      <c r="EQA11" s="1"/>
      <c r="EQB11" s="1"/>
      <c r="EQC11" s="1"/>
      <c r="EQD11" s="1"/>
      <c r="EQE11" s="1"/>
      <c r="EQF11" s="1"/>
      <c r="EQG11" s="1"/>
      <c r="EQH11" s="1"/>
      <c r="EQI11" s="1"/>
      <c r="EQJ11" s="1"/>
      <c r="EQK11" s="1"/>
      <c r="EQL11" s="1"/>
      <c r="EQM11" s="1"/>
      <c r="EQN11" s="1"/>
      <c r="EQO11" s="1"/>
      <c r="EQP11" s="1"/>
      <c r="EQQ11" s="1"/>
      <c r="EQR11" s="1"/>
      <c r="EQS11" s="1"/>
      <c r="EQT11" s="1"/>
      <c r="EQU11" s="1"/>
      <c r="EQV11" s="1"/>
      <c r="EQW11" s="1"/>
      <c r="EQX11" s="1"/>
      <c r="EQY11" s="1"/>
      <c r="EQZ11" s="1"/>
      <c r="ERA11" s="1"/>
      <c r="ERB11" s="1"/>
      <c r="ERC11" s="1"/>
      <c r="ERD11" s="1"/>
      <c r="ERE11" s="1"/>
      <c r="ERF11" s="1"/>
      <c r="ERG11" s="1"/>
      <c r="ERH11" s="1"/>
      <c r="ERI11" s="1"/>
      <c r="ERJ11" s="1"/>
      <c r="ERK11" s="1"/>
      <c r="ERL11" s="1"/>
      <c r="ERM11" s="1"/>
      <c r="ERN11" s="1"/>
      <c r="ERO11" s="1"/>
      <c r="ERP11" s="1"/>
      <c r="ERQ11" s="1"/>
      <c r="ERR11" s="1"/>
      <c r="ERS11" s="1"/>
      <c r="ERT11" s="1"/>
      <c r="ERU11" s="1"/>
      <c r="ERV11" s="1"/>
      <c r="ERW11" s="1"/>
      <c r="ERX11" s="1"/>
      <c r="ERY11" s="1"/>
      <c r="ERZ11" s="1"/>
      <c r="ESA11" s="1"/>
      <c r="ESB11" s="1"/>
      <c r="ESC11" s="1"/>
      <c r="ESD11" s="1"/>
      <c r="ESE11" s="1"/>
      <c r="ESF11" s="1"/>
      <c r="ESG11" s="1"/>
      <c r="ESH11" s="1"/>
      <c r="ESI11" s="1"/>
      <c r="ESJ11" s="1"/>
      <c r="ESK11" s="1"/>
      <c r="ESL11" s="1"/>
      <c r="ESM11" s="1"/>
      <c r="ESN11" s="1"/>
      <c r="ESO11" s="1"/>
      <c r="ESP11" s="1"/>
      <c r="ESQ11" s="1"/>
      <c r="ESR11" s="1"/>
      <c r="ESS11" s="1"/>
      <c r="EST11" s="1"/>
      <c r="ESU11" s="1"/>
      <c r="ESV11" s="1"/>
      <c r="ESW11" s="1"/>
      <c r="ESX11" s="1"/>
      <c r="ESY11" s="1"/>
      <c r="ESZ11" s="1"/>
      <c r="ETA11" s="1"/>
      <c r="ETB11" s="1"/>
      <c r="ETC11" s="1"/>
      <c r="ETD11" s="1"/>
      <c r="ETE11" s="1"/>
      <c r="ETF11" s="1"/>
      <c r="ETG11" s="1"/>
      <c r="ETH11" s="1"/>
      <c r="ETI11" s="1"/>
      <c r="ETJ11" s="1"/>
      <c r="ETK11" s="1"/>
      <c r="ETL11" s="1"/>
      <c r="ETM11" s="1"/>
      <c r="ETN11" s="1"/>
      <c r="ETO11" s="1"/>
      <c r="ETP11" s="1"/>
      <c r="ETQ11" s="1"/>
      <c r="ETR11" s="1"/>
      <c r="ETS11" s="1"/>
      <c r="ETT11" s="1"/>
      <c r="ETU11" s="1"/>
      <c r="ETV11" s="1"/>
      <c r="ETW11" s="1"/>
      <c r="ETX11" s="1"/>
      <c r="ETY11" s="1"/>
      <c r="ETZ11" s="1"/>
      <c r="EUA11" s="1"/>
      <c r="EUB11" s="1"/>
      <c r="EUC11" s="1"/>
      <c r="EUD11" s="1"/>
      <c r="EUE11" s="1"/>
      <c r="EUF11" s="1"/>
      <c r="EUG11" s="1"/>
      <c r="EUH11" s="1"/>
      <c r="EUI11" s="1"/>
      <c r="EUJ11" s="1"/>
      <c r="EUK11" s="1"/>
      <c r="EUL11" s="1"/>
      <c r="EUM11" s="1"/>
      <c r="EUN11" s="1"/>
      <c r="EUO11" s="1"/>
      <c r="EUP11" s="1"/>
      <c r="EUQ11" s="1"/>
      <c r="EUR11" s="1"/>
      <c r="EUS11" s="1"/>
      <c r="EUT11" s="1"/>
      <c r="EUU11" s="1"/>
      <c r="EUV11" s="1"/>
      <c r="EUW11" s="1"/>
      <c r="EUX11" s="1"/>
      <c r="EUY11" s="1"/>
      <c r="EUZ11" s="1"/>
      <c r="EVA11" s="1"/>
      <c r="EVB11" s="1"/>
      <c r="EVC11" s="1"/>
      <c r="EVD11" s="1"/>
      <c r="EVE11" s="1"/>
      <c r="EVF11" s="1"/>
      <c r="EVG11" s="1"/>
      <c r="EVH11" s="1"/>
      <c r="EVI11" s="1"/>
      <c r="EVJ11" s="1"/>
      <c r="EVK11" s="1"/>
      <c r="EVL11" s="1"/>
      <c r="EVM11" s="1"/>
      <c r="EVN11" s="1"/>
      <c r="EVO11" s="1"/>
      <c r="EVP11" s="1"/>
      <c r="EVQ11" s="1"/>
      <c r="EVR11" s="1"/>
      <c r="EVS11" s="1"/>
      <c r="EVT11" s="1"/>
      <c r="EVU11" s="1"/>
      <c r="EVV11" s="1"/>
      <c r="EVW11" s="1"/>
      <c r="EVX11" s="1"/>
      <c r="EVY11" s="1"/>
      <c r="EVZ11" s="1"/>
      <c r="EWA11" s="1"/>
      <c r="EWB11" s="1"/>
      <c r="EWC11" s="1"/>
      <c r="EWD11" s="1"/>
      <c r="EWE11" s="1"/>
      <c r="EWF11" s="1"/>
      <c r="EWG11" s="1"/>
      <c r="EWH11" s="1"/>
      <c r="EWI11" s="1"/>
      <c r="EWJ11" s="1"/>
      <c r="EWK11" s="1"/>
      <c r="EWL11" s="1"/>
      <c r="EWM11" s="1"/>
      <c r="EWN11" s="1"/>
      <c r="EWO11" s="1"/>
      <c r="EWP11" s="1"/>
      <c r="EWQ11" s="1"/>
      <c r="EWR11" s="1"/>
      <c r="EWS11" s="1"/>
      <c r="EWT11" s="1"/>
      <c r="EWU11" s="1"/>
      <c r="EWV11" s="1"/>
      <c r="EWW11" s="1"/>
      <c r="EWX11" s="1"/>
      <c r="EWY11" s="1"/>
      <c r="EWZ11" s="1"/>
      <c r="EXA11" s="1"/>
      <c r="EXB11" s="1"/>
      <c r="EXC11" s="1"/>
      <c r="EXD11" s="1"/>
      <c r="EXE11" s="1"/>
      <c r="EXF11" s="1"/>
      <c r="EXG11" s="1"/>
      <c r="EXH11" s="1"/>
      <c r="EXI11" s="1"/>
      <c r="EXJ11" s="1"/>
      <c r="EXK11" s="1"/>
      <c r="EXL11" s="1"/>
      <c r="EXM11" s="1"/>
      <c r="EXN11" s="1"/>
      <c r="EXO11" s="1"/>
      <c r="EXP11" s="1"/>
      <c r="EXQ11" s="1"/>
      <c r="EXR11" s="1"/>
      <c r="EXS11" s="1"/>
      <c r="EXT11" s="1"/>
      <c r="EXU11" s="1"/>
      <c r="EXV11" s="1"/>
      <c r="EXW11" s="1"/>
      <c r="EXX11" s="1"/>
      <c r="EXY11" s="1"/>
      <c r="EXZ11" s="1"/>
      <c r="EYA11" s="1"/>
      <c r="EYB11" s="1"/>
      <c r="EYC11" s="1"/>
      <c r="EYD11" s="1"/>
      <c r="EYE11" s="1"/>
      <c r="EYF11" s="1"/>
      <c r="EYG11" s="1"/>
      <c r="EYH11" s="1"/>
      <c r="EYI11" s="1"/>
      <c r="EYJ11" s="1"/>
      <c r="EYK11" s="1"/>
      <c r="EYL11" s="1"/>
      <c r="EYM11" s="1"/>
      <c r="EYN11" s="1"/>
      <c r="EYO11" s="1"/>
      <c r="EYP11" s="1"/>
      <c r="EYQ11" s="1"/>
      <c r="EYR11" s="1"/>
      <c r="EYS11" s="1"/>
      <c r="EYT11" s="1"/>
      <c r="EYU11" s="1"/>
      <c r="EYV11" s="1"/>
      <c r="EYW11" s="1"/>
      <c r="EYX11" s="1"/>
      <c r="EYY11" s="1"/>
      <c r="EYZ11" s="1"/>
      <c r="EZA11" s="1"/>
      <c r="EZB11" s="1"/>
      <c r="EZC11" s="1"/>
      <c r="EZD11" s="1"/>
      <c r="EZE11" s="1"/>
      <c r="EZF11" s="1"/>
      <c r="EZG11" s="1"/>
      <c r="EZH11" s="1"/>
      <c r="EZI11" s="1"/>
      <c r="EZJ11" s="1"/>
      <c r="EZK11" s="1"/>
      <c r="EZL11" s="1"/>
      <c r="EZM11" s="1"/>
      <c r="EZN11" s="1"/>
      <c r="EZO11" s="1"/>
      <c r="EZP11" s="1"/>
      <c r="EZQ11" s="1"/>
      <c r="EZR11" s="1"/>
      <c r="EZS11" s="1"/>
      <c r="EZT11" s="1"/>
      <c r="EZU11" s="1"/>
      <c r="EZV11" s="1"/>
      <c r="EZW11" s="1"/>
      <c r="EZX11" s="1"/>
      <c r="EZY11" s="1"/>
      <c r="EZZ11" s="1"/>
      <c r="FAA11" s="1"/>
      <c r="FAB11" s="1"/>
      <c r="FAC11" s="1"/>
      <c r="FAD11" s="1"/>
      <c r="FAE11" s="1"/>
      <c r="FAF11" s="1"/>
      <c r="FAG11" s="1"/>
      <c r="FAH11" s="1"/>
      <c r="FAI11" s="1"/>
      <c r="FAJ11" s="1"/>
      <c r="FAK11" s="1"/>
      <c r="FAL11" s="1"/>
      <c r="FAM11" s="1"/>
      <c r="FAN11" s="1"/>
      <c r="FAO11" s="1"/>
      <c r="FAP11" s="1"/>
      <c r="FAQ11" s="1"/>
      <c r="FAR11" s="1"/>
      <c r="FAS11" s="1"/>
      <c r="FAT11" s="1"/>
      <c r="FAU11" s="1"/>
      <c r="FAV11" s="1"/>
      <c r="FAW11" s="1"/>
      <c r="FAX11" s="1"/>
      <c r="FAY11" s="1"/>
      <c r="FAZ11" s="1"/>
      <c r="FBA11" s="1"/>
      <c r="FBB11" s="1"/>
      <c r="FBC11" s="1"/>
      <c r="FBD11" s="1"/>
      <c r="FBE11" s="1"/>
      <c r="FBF11" s="1"/>
      <c r="FBG11" s="1"/>
      <c r="FBH11" s="1"/>
      <c r="FBI11" s="1"/>
      <c r="FBJ11" s="1"/>
      <c r="FBK11" s="1"/>
      <c r="FBL11" s="1"/>
      <c r="FBM11" s="1"/>
      <c r="FBN11" s="1"/>
      <c r="FBO11" s="1"/>
      <c r="FBP11" s="1"/>
      <c r="FBQ11" s="1"/>
      <c r="FBR11" s="1"/>
      <c r="FBS11" s="1"/>
      <c r="FBT11" s="1"/>
      <c r="FBU11" s="1"/>
      <c r="FBV11" s="1"/>
      <c r="FBW11" s="1"/>
      <c r="FBX11" s="1"/>
      <c r="FBY11" s="1"/>
      <c r="FBZ11" s="1"/>
      <c r="FCA11" s="1"/>
      <c r="FCB11" s="1"/>
      <c r="FCC11" s="1"/>
      <c r="FCD11" s="1"/>
      <c r="FCE11" s="1"/>
      <c r="FCF11" s="1"/>
      <c r="FCG11" s="1"/>
      <c r="FCH11" s="1"/>
      <c r="FCI11" s="1"/>
      <c r="FCJ11" s="1"/>
      <c r="FCK11" s="1"/>
      <c r="FCL11" s="1"/>
      <c r="FCM11" s="1"/>
      <c r="FCN11" s="1"/>
      <c r="FCO11" s="1"/>
      <c r="FCP11" s="1"/>
      <c r="FCQ11" s="1"/>
      <c r="FCR11" s="1"/>
      <c r="FCS11" s="1"/>
      <c r="FCT11" s="1"/>
      <c r="FCU11" s="1"/>
      <c r="FCV11" s="1"/>
      <c r="FCW11" s="1"/>
      <c r="FCX11" s="1"/>
      <c r="FCY11" s="1"/>
      <c r="FCZ11" s="1"/>
      <c r="FDA11" s="1"/>
      <c r="FDB11" s="1"/>
      <c r="FDC11" s="1"/>
      <c r="FDD11" s="1"/>
      <c r="FDE11" s="1"/>
      <c r="FDF11" s="1"/>
      <c r="FDG11" s="1"/>
      <c r="FDH11" s="1"/>
      <c r="FDI11" s="1"/>
      <c r="FDJ11" s="1"/>
      <c r="FDK11" s="1"/>
      <c r="FDL11" s="1"/>
      <c r="FDM11" s="1"/>
      <c r="FDN11" s="1"/>
      <c r="FDO11" s="1"/>
      <c r="FDP11" s="1"/>
      <c r="FDQ11" s="1"/>
      <c r="FDR11" s="1"/>
      <c r="FDS11" s="1"/>
      <c r="FDT11" s="1"/>
      <c r="FDU11" s="1"/>
      <c r="FDV11" s="1"/>
      <c r="FDW11" s="1"/>
      <c r="FDX11" s="1"/>
      <c r="FDY11" s="1"/>
      <c r="FDZ11" s="1"/>
      <c r="FEA11" s="1"/>
      <c r="FEB11" s="1"/>
      <c r="FEC11" s="1"/>
      <c r="FED11" s="1"/>
      <c r="FEE11" s="1"/>
      <c r="FEF11" s="1"/>
      <c r="FEG11" s="1"/>
      <c r="FEH11" s="1"/>
      <c r="FEI11" s="1"/>
      <c r="FEJ11" s="1"/>
      <c r="FEK11" s="1"/>
      <c r="FEL11" s="1"/>
      <c r="FEM11" s="1"/>
      <c r="FEN11" s="1"/>
      <c r="FEO11" s="1"/>
      <c r="FEP11" s="1"/>
      <c r="FEQ11" s="1"/>
      <c r="FER11" s="1"/>
      <c r="FES11" s="1"/>
      <c r="FET11" s="1"/>
      <c r="FEU11" s="1"/>
      <c r="FEV11" s="1"/>
      <c r="FEW11" s="1"/>
      <c r="FEX11" s="1"/>
      <c r="FEY11" s="1"/>
      <c r="FEZ11" s="1"/>
      <c r="FFA11" s="1"/>
      <c r="FFB11" s="1"/>
      <c r="FFC11" s="1"/>
      <c r="FFD11" s="1"/>
      <c r="FFE11" s="1"/>
      <c r="FFF11" s="1"/>
      <c r="FFG11" s="1"/>
      <c r="FFH11" s="1"/>
      <c r="FFI11" s="1"/>
      <c r="FFJ11" s="1"/>
      <c r="FFK11" s="1"/>
      <c r="FFL11" s="1"/>
      <c r="FFM11" s="1"/>
      <c r="FFN11" s="1"/>
      <c r="FFO11" s="1"/>
      <c r="FFP11" s="1"/>
      <c r="FFQ11" s="1"/>
      <c r="FFR11" s="1"/>
      <c r="FFS11" s="1"/>
      <c r="FFT11" s="1"/>
      <c r="FFU11" s="1"/>
      <c r="FFV11" s="1"/>
      <c r="FFW11" s="1"/>
      <c r="FFX11" s="1"/>
      <c r="FFY11" s="1"/>
      <c r="FFZ11" s="1"/>
      <c r="FGA11" s="1"/>
      <c r="FGB11" s="1"/>
      <c r="FGC11" s="1"/>
      <c r="FGD11" s="1"/>
      <c r="FGE11" s="1"/>
      <c r="FGF11" s="1"/>
      <c r="FGG11" s="1"/>
      <c r="FGH11" s="1"/>
      <c r="FGI11" s="1"/>
      <c r="FGJ11" s="1"/>
      <c r="FGK11" s="1"/>
      <c r="FGL11" s="1"/>
      <c r="FGM11" s="1"/>
      <c r="FGN11" s="1"/>
      <c r="FGO11" s="1"/>
      <c r="FGP11" s="1"/>
      <c r="FGQ11" s="1"/>
      <c r="FGR11" s="1"/>
      <c r="FGS11" s="1"/>
      <c r="FGT11" s="1"/>
      <c r="FGU11" s="1"/>
      <c r="FGV11" s="1"/>
      <c r="FGW11" s="1"/>
      <c r="FGX11" s="1"/>
      <c r="FGY11" s="1"/>
      <c r="FGZ11" s="1"/>
      <c r="FHA11" s="1"/>
      <c r="FHB11" s="1"/>
      <c r="FHC11" s="1"/>
      <c r="FHD11" s="1"/>
      <c r="FHE11" s="1"/>
      <c r="FHF11" s="1"/>
      <c r="FHG11" s="1"/>
      <c r="FHH11" s="1"/>
      <c r="FHI11" s="1"/>
      <c r="FHJ11" s="1"/>
      <c r="FHK11" s="1"/>
      <c r="FHL11" s="1"/>
      <c r="FHM11" s="1"/>
      <c r="FHN11" s="1"/>
      <c r="FHO11" s="1"/>
      <c r="FHP11" s="1"/>
      <c r="FHQ11" s="1"/>
      <c r="FHR11" s="1"/>
      <c r="FHS11" s="1"/>
      <c r="FHT11" s="1"/>
      <c r="FHU11" s="1"/>
      <c r="FHV11" s="1"/>
      <c r="FHW11" s="1"/>
      <c r="FHX11" s="1"/>
      <c r="FHY11" s="1"/>
      <c r="FHZ11" s="1"/>
      <c r="FIA11" s="1"/>
      <c r="FIB11" s="1"/>
      <c r="FIC11" s="1"/>
      <c r="FID11" s="1"/>
      <c r="FIE11" s="1"/>
      <c r="FIF11" s="1"/>
      <c r="FIG11" s="1"/>
      <c r="FIH11" s="1"/>
      <c r="FII11" s="1"/>
      <c r="FIJ11" s="1"/>
      <c r="FIK11" s="1"/>
      <c r="FIL11" s="1"/>
      <c r="FIM11" s="1"/>
      <c r="FIN11" s="1"/>
      <c r="FIO11" s="1"/>
      <c r="FIP11" s="1"/>
      <c r="FIQ11" s="1"/>
      <c r="FIR11" s="1"/>
      <c r="FIS11" s="1"/>
      <c r="FIT11" s="1"/>
      <c r="FIU11" s="1"/>
      <c r="FIV11" s="1"/>
      <c r="FIW11" s="1"/>
      <c r="FIX11" s="1"/>
      <c r="FIY11" s="1"/>
      <c r="FIZ11" s="1"/>
      <c r="FJA11" s="1"/>
      <c r="FJB11" s="1"/>
      <c r="FJC11" s="1"/>
      <c r="FJD11" s="1"/>
      <c r="FJE11" s="1"/>
      <c r="FJF11" s="1"/>
      <c r="FJG11" s="1"/>
      <c r="FJH11" s="1"/>
      <c r="FJI11" s="1"/>
      <c r="FJJ11" s="1"/>
      <c r="FJK11" s="1"/>
      <c r="FJL11" s="1"/>
      <c r="FJM11" s="1"/>
      <c r="FJN11" s="1"/>
      <c r="FJO11" s="1"/>
      <c r="FJP11" s="1"/>
      <c r="FJQ11" s="1"/>
      <c r="FJR11" s="1"/>
      <c r="FJS11" s="1"/>
      <c r="FJT11" s="1"/>
      <c r="FJU11" s="1"/>
      <c r="FJV11" s="1"/>
      <c r="FJW11" s="1"/>
      <c r="FJX11" s="1"/>
      <c r="FJY11" s="1"/>
      <c r="FJZ11" s="1"/>
      <c r="FKA11" s="1"/>
      <c r="FKB11" s="1"/>
      <c r="FKC11" s="1"/>
      <c r="FKD11" s="1"/>
      <c r="FKE11" s="1"/>
      <c r="FKF11" s="1"/>
      <c r="FKG11" s="1"/>
      <c r="FKH11" s="1"/>
      <c r="FKI11" s="1"/>
      <c r="FKJ11" s="1"/>
      <c r="FKK11" s="1"/>
      <c r="FKL11" s="1"/>
      <c r="FKM11" s="1"/>
      <c r="FKN11" s="1"/>
      <c r="FKO11" s="1"/>
      <c r="FKP11" s="1"/>
      <c r="FKQ11" s="1"/>
      <c r="FKR11" s="1"/>
      <c r="FKS11" s="1"/>
      <c r="FKT11" s="1"/>
      <c r="FKU11" s="1"/>
      <c r="FKV11" s="1"/>
      <c r="FKW11" s="1"/>
      <c r="FKX11" s="1"/>
      <c r="FKY11" s="1"/>
      <c r="FKZ11" s="1"/>
      <c r="FLA11" s="1"/>
      <c r="FLB11" s="1"/>
      <c r="FLC11" s="1"/>
      <c r="FLD11" s="1"/>
      <c r="FLE11" s="1"/>
      <c r="FLF11" s="1"/>
      <c r="FLG11" s="1"/>
      <c r="FLH11" s="1"/>
      <c r="FLI11" s="1"/>
      <c r="FLJ11" s="1"/>
      <c r="FLK11" s="1"/>
      <c r="FLL11" s="1"/>
      <c r="FLM11" s="1"/>
      <c r="FLN11" s="1"/>
      <c r="FLO11" s="1"/>
      <c r="FLP11" s="1"/>
      <c r="FLQ11" s="1"/>
      <c r="FLR11" s="1"/>
      <c r="FLS11" s="1"/>
      <c r="FLT11" s="1"/>
      <c r="FLU11" s="1"/>
      <c r="FLV11" s="1"/>
      <c r="FLW11" s="1"/>
      <c r="FLX11" s="1"/>
      <c r="FLY11" s="1"/>
      <c r="FLZ11" s="1"/>
      <c r="FMA11" s="1"/>
      <c r="FMB11" s="1"/>
      <c r="FMC11" s="1"/>
      <c r="FMD11" s="1"/>
      <c r="FME11" s="1"/>
      <c r="FMF11" s="1"/>
      <c r="FMG11" s="1"/>
      <c r="FMH11" s="1"/>
      <c r="FMI11" s="1"/>
      <c r="FMJ11" s="1"/>
      <c r="FMK11" s="1"/>
      <c r="FML11" s="1"/>
      <c r="FMM11" s="1"/>
      <c r="FMN11" s="1"/>
      <c r="FMO11" s="1"/>
      <c r="FMP11" s="1"/>
      <c r="FMQ11" s="1"/>
      <c r="FMR11" s="1"/>
      <c r="FMS11" s="1"/>
      <c r="FMT11" s="1"/>
      <c r="FMU11" s="1"/>
      <c r="FMV11" s="1"/>
      <c r="FMW11" s="1"/>
      <c r="FMX11" s="1"/>
      <c r="FMY11" s="1"/>
      <c r="FMZ11" s="1"/>
      <c r="FNA11" s="1"/>
      <c r="FNB11" s="1"/>
      <c r="FNC11" s="1"/>
      <c r="FND11" s="1"/>
      <c r="FNE11" s="1"/>
      <c r="FNF11" s="1"/>
      <c r="FNG11" s="1"/>
      <c r="FNH11" s="1"/>
      <c r="FNI11" s="1"/>
      <c r="FNJ11" s="1"/>
      <c r="FNK11" s="1"/>
      <c r="FNL11" s="1"/>
      <c r="FNM11" s="1"/>
      <c r="FNN11" s="1"/>
      <c r="FNO11" s="1"/>
      <c r="FNP11" s="1"/>
      <c r="FNQ11" s="1"/>
      <c r="FNR11" s="1"/>
      <c r="FNS11" s="1"/>
      <c r="FNT11" s="1"/>
      <c r="FNU11" s="1"/>
      <c r="FNV11" s="1"/>
      <c r="FNW11" s="1"/>
      <c r="FNX11" s="1"/>
      <c r="FNY11" s="1"/>
      <c r="FNZ11" s="1"/>
      <c r="FOA11" s="1"/>
      <c r="FOB11" s="1"/>
      <c r="FOC11" s="1"/>
      <c r="FOD11" s="1"/>
      <c r="FOE11" s="1"/>
      <c r="FOF11" s="1"/>
      <c r="FOG11" s="1"/>
      <c r="FOH11" s="1"/>
      <c r="FOI11" s="1"/>
      <c r="FOJ11" s="1"/>
      <c r="FOK11" s="1"/>
      <c r="FOL11" s="1"/>
      <c r="FOM11" s="1"/>
      <c r="FON11" s="1"/>
      <c r="FOO11" s="1"/>
      <c r="FOP11" s="1"/>
      <c r="FOQ11" s="1"/>
      <c r="FOR11" s="1"/>
      <c r="FOS11" s="1"/>
      <c r="FOT11" s="1"/>
      <c r="FOU11" s="1"/>
      <c r="FOV11" s="1"/>
      <c r="FOW11" s="1"/>
      <c r="FOX11" s="1"/>
      <c r="FOY11" s="1"/>
      <c r="FOZ11" s="1"/>
      <c r="FPA11" s="1"/>
      <c r="FPB11" s="1"/>
      <c r="FPC11" s="1"/>
      <c r="FPD11" s="1"/>
      <c r="FPE11" s="1"/>
      <c r="FPF11" s="1"/>
      <c r="FPG11" s="1"/>
      <c r="FPH11" s="1"/>
      <c r="FPI11" s="1"/>
      <c r="FPJ11" s="1"/>
      <c r="FPK11" s="1"/>
      <c r="FPL11" s="1"/>
      <c r="FPM11" s="1"/>
      <c r="FPN11" s="1"/>
      <c r="FPO11" s="1"/>
      <c r="FPP11" s="1"/>
      <c r="FPQ11" s="1"/>
      <c r="FPR11" s="1"/>
      <c r="FPS11" s="1"/>
      <c r="FPT11" s="1"/>
      <c r="FPU11" s="1"/>
      <c r="FPV11" s="1"/>
      <c r="FPW11" s="1"/>
      <c r="FPX11" s="1"/>
      <c r="FPY11" s="1"/>
      <c r="FPZ11" s="1"/>
      <c r="FQA11" s="1"/>
      <c r="FQB11" s="1"/>
      <c r="FQC11" s="1"/>
      <c r="FQD11" s="1"/>
      <c r="FQE11" s="1"/>
      <c r="FQF11" s="1"/>
      <c r="FQG11" s="1"/>
      <c r="FQH11" s="1"/>
      <c r="FQI11" s="1"/>
      <c r="FQJ11" s="1"/>
      <c r="FQK11" s="1"/>
      <c r="FQL11" s="1"/>
      <c r="FQM11" s="1"/>
      <c r="FQN11" s="1"/>
      <c r="FQO11" s="1"/>
      <c r="FQP11" s="1"/>
      <c r="FQQ11" s="1"/>
      <c r="FQR11" s="1"/>
      <c r="FQS11" s="1"/>
      <c r="FQT11" s="1"/>
      <c r="FQU11" s="1"/>
      <c r="FQV11" s="1"/>
      <c r="FQW11" s="1"/>
      <c r="FQX11" s="1"/>
      <c r="FQY11" s="1"/>
      <c r="FQZ11" s="1"/>
      <c r="FRA11" s="1"/>
      <c r="FRB11" s="1"/>
      <c r="FRC11" s="1"/>
      <c r="FRD11" s="1"/>
      <c r="FRE11" s="1"/>
      <c r="FRF11" s="1"/>
      <c r="FRG11" s="1"/>
      <c r="FRH11" s="1"/>
      <c r="FRI11" s="1"/>
      <c r="FRJ11" s="1"/>
      <c r="FRK11" s="1"/>
      <c r="FRL11" s="1"/>
      <c r="FRM11" s="1"/>
      <c r="FRN11" s="1"/>
      <c r="FRO11" s="1"/>
      <c r="FRP11" s="1"/>
      <c r="FRQ11" s="1"/>
      <c r="FRR11" s="1"/>
      <c r="FRS11" s="1"/>
      <c r="FRT11" s="1"/>
      <c r="FRU11" s="1"/>
      <c r="FRV11" s="1"/>
      <c r="FRW11" s="1"/>
      <c r="FRX11" s="1"/>
      <c r="FRY11" s="1"/>
      <c r="FRZ11" s="1"/>
      <c r="FSA11" s="1"/>
      <c r="FSB11" s="1"/>
      <c r="FSC11" s="1"/>
      <c r="FSD11" s="1"/>
      <c r="FSE11" s="1"/>
      <c r="FSF11" s="1"/>
      <c r="FSG11" s="1"/>
      <c r="FSH11" s="1"/>
      <c r="FSI11" s="1"/>
      <c r="FSJ11" s="1"/>
      <c r="FSK11" s="1"/>
      <c r="FSL11" s="1"/>
      <c r="FSM11" s="1"/>
      <c r="FSN11" s="1"/>
      <c r="FSO11" s="1"/>
      <c r="FSP11" s="1"/>
      <c r="FSQ11" s="1"/>
      <c r="FSR11" s="1"/>
      <c r="FSS11" s="1"/>
      <c r="FST11" s="1"/>
      <c r="FSU11" s="1"/>
      <c r="FSV11" s="1"/>
      <c r="FSW11" s="1"/>
      <c r="FSX11" s="1"/>
      <c r="FSY11" s="1"/>
      <c r="FSZ11" s="1"/>
      <c r="FTA11" s="1"/>
      <c r="FTB11" s="1"/>
      <c r="FTC11" s="1"/>
      <c r="FTD11" s="1"/>
      <c r="FTE11" s="1"/>
      <c r="FTF11" s="1"/>
      <c r="FTG11" s="1"/>
      <c r="FTH11" s="1"/>
      <c r="FTI11" s="1"/>
      <c r="FTJ11" s="1"/>
      <c r="FTK11" s="1"/>
      <c r="FTL11" s="1"/>
      <c r="FTM11" s="1"/>
      <c r="FTN11" s="1"/>
      <c r="FTO11" s="1"/>
      <c r="FTP11" s="1"/>
      <c r="FTQ11" s="1"/>
      <c r="FTR11" s="1"/>
      <c r="FTS11" s="1"/>
      <c r="FTT11" s="1"/>
      <c r="FTU11" s="1"/>
      <c r="FTV11" s="1"/>
      <c r="FTW11" s="1"/>
      <c r="FTX11" s="1"/>
      <c r="FTY11" s="1"/>
      <c r="FTZ11" s="1"/>
      <c r="FUA11" s="1"/>
      <c r="FUB11" s="1"/>
      <c r="FUC11" s="1"/>
      <c r="FUD11" s="1"/>
      <c r="FUE11" s="1"/>
      <c r="FUF11" s="1"/>
      <c r="FUG11" s="1"/>
      <c r="FUH11" s="1"/>
      <c r="FUI11" s="1"/>
      <c r="FUJ11" s="1"/>
      <c r="FUK11" s="1"/>
      <c r="FUL11" s="1"/>
      <c r="FUM11" s="1"/>
      <c r="FUN11" s="1"/>
      <c r="FUO11" s="1"/>
      <c r="FUP11" s="1"/>
      <c r="FUQ11" s="1"/>
      <c r="FUR11" s="1"/>
      <c r="FUS11" s="1"/>
      <c r="FUT11" s="1"/>
      <c r="FUU11" s="1"/>
      <c r="FUV11" s="1"/>
      <c r="FUW11" s="1"/>
      <c r="FUX11" s="1"/>
      <c r="FUY11" s="1"/>
      <c r="FUZ11" s="1"/>
      <c r="FVA11" s="1"/>
      <c r="FVB11" s="1"/>
      <c r="FVC11" s="1"/>
      <c r="FVD11" s="1"/>
      <c r="FVE11" s="1"/>
      <c r="FVF11" s="1"/>
      <c r="FVG11" s="1"/>
      <c r="FVH11" s="1"/>
      <c r="FVI11" s="1"/>
      <c r="FVJ11" s="1"/>
      <c r="FVK11" s="1"/>
      <c r="FVL11" s="1"/>
      <c r="FVM11" s="1"/>
      <c r="FVN11" s="1"/>
      <c r="FVO11" s="1"/>
      <c r="FVP11" s="1"/>
      <c r="FVQ11" s="1"/>
      <c r="FVR11" s="1"/>
      <c r="FVS11" s="1"/>
      <c r="FVT11" s="1"/>
      <c r="FVU11" s="1"/>
      <c r="FVV11" s="1"/>
      <c r="FVW11" s="1"/>
      <c r="FVX11" s="1"/>
      <c r="FVY11" s="1"/>
      <c r="FVZ11" s="1"/>
      <c r="FWA11" s="1"/>
      <c r="FWB11" s="1"/>
      <c r="FWC11" s="1"/>
      <c r="FWD11" s="1"/>
      <c r="FWE11" s="1"/>
      <c r="FWF11" s="1"/>
      <c r="FWG11" s="1"/>
      <c r="FWH11" s="1"/>
      <c r="FWI11" s="1"/>
      <c r="FWJ11" s="1"/>
      <c r="FWK11" s="1"/>
      <c r="FWL11" s="1"/>
      <c r="FWM11" s="1"/>
      <c r="FWN11" s="1"/>
      <c r="FWO11" s="1"/>
      <c r="FWP11" s="1"/>
      <c r="FWQ11" s="1"/>
      <c r="FWR11" s="1"/>
      <c r="FWS11" s="1"/>
      <c r="FWT11" s="1"/>
      <c r="FWU11" s="1"/>
      <c r="FWV11" s="1"/>
      <c r="FWW11" s="1"/>
      <c r="FWX11" s="1"/>
      <c r="FWY11" s="1"/>
      <c r="FWZ11" s="1"/>
      <c r="FXA11" s="1"/>
      <c r="FXB11" s="1"/>
      <c r="FXC11" s="1"/>
      <c r="FXD11" s="1"/>
      <c r="FXE11" s="1"/>
      <c r="FXF11" s="1"/>
      <c r="FXG11" s="1"/>
      <c r="FXH11" s="1"/>
      <c r="FXI11" s="1"/>
      <c r="FXJ11" s="1"/>
      <c r="FXK11" s="1"/>
      <c r="FXL11" s="1"/>
      <c r="FXM11" s="1"/>
      <c r="FXN11" s="1"/>
      <c r="FXO11" s="1"/>
      <c r="FXP11" s="1"/>
      <c r="FXQ11" s="1"/>
      <c r="FXR11" s="1"/>
      <c r="FXS11" s="1"/>
      <c r="FXT11" s="1"/>
      <c r="FXU11" s="1"/>
      <c r="FXV11" s="1"/>
      <c r="FXW11" s="1"/>
      <c r="FXX11" s="1"/>
      <c r="FXY11" s="1"/>
      <c r="FXZ11" s="1"/>
      <c r="FYA11" s="1"/>
      <c r="FYB11" s="1"/>
      <c r="FYC11" s="1"/>
      <c r="FYD11" s="1"/>
      <c r="FYE11" s="1"/>
      <c r="FYF11" s="1"/>
      <c r="FYG11" s="1"/>
      <c r="FYH11" s="1"/>
      <c r="FYI11" s="1"/>
      <c r="FYJ11" s="1"/>
      <c r="FYK11" s="1"/>
      <c r="FYL11" s="1"/>
      <c r="FYM11" s="1"/>
      <c r="FYN11" s="1"/>
      <c r="FYO11" s="1"/>
      <c r="FYP11" s="1"/>
      <c r="FYQ11" s="1"/>
      <c r="FYR11" s="1"/>
      <c r="FYS11" s="1"/>
      <c r="FYT11" s="1"/>
      <c r="FYU11" s="1"/>
      <c r="FYV11" s="1"/>
      <c r="FYW11" s="1"/>
      <c r="FYX11" s="1"/>
      <c r="FYY11" s="1"/>
      <c r="FYZ11" s="1"/>
      <c r="FZA11" s="1"/>
      <c r="FZB11" s="1"/>
      <c r="FZC11" s="1"/>
      <c r="FZD11" s="1"/>
      <c r="FZE11" s="1"/>
      <c r="FZF11" s="1"/>
      <c r="FZG11" s="1"/>
      <c r="FZH11" s="1"/>
      <c r="FZI11" s="1"/>
      <c r="FZJ11" s="1"/>
      <c r="FZK11" s="1"/>
      <c r="FZL11" s="1"/>
      <c r="FZM11" s="1"/>
      <c r="FZN11" s="1"/>
      <c r="FZO11" s="1"/>
      <c r="FZP11" s="1"/>
      <c r="FZQ11" s="1"/>
      <c r="FZR11" s="1"/>
      <c r="FZS11" s="1"/>
      <c r="FZT11" s="1"/>
      <c r="FZU11" s="1"/>
      <c r="FZV11" s="1"/>
      <c r="FZW11" s="1"/>
      <c r="FZX11" s="1"/>
      <c r="FZY11" s="1"/>
      <c r="FZZ11" s="1"/>
      <c r="GAA11" s="1"/>
      <c r="GAB11" s="1"/>
      <c r="GAC11" s="1"/>
      <c r="GAD11" s="1"/>
      <c r="GAE11" s="1"/>
      <c r="GAF11" s="1"/>
      <c r="GAG11" s="1"/>
      <c r="GAH11" s="1"/>
      <c r="GAI11" s="1"/>
      <c r="GAJ11" s="1"/>
      <c r="GAK11" s="1"/>
      <c r="GAL11" s="1"/>
      <c r="GAM11" s="1"/>
      <c r="GAN11" s="1"/>
      <c r="GAO11" s="1"/>
      <c r="GAP11" s="1"/>
      <c r="GAQ11" s="1"/>
      <c r="GAR11" s="1"/>
      <c r="GAS11" s="1"/>
      <c r="GAT11" s="1"/>
      <c r="GAU11" s="1"/>
      <c r="GAV11" s="1"/>
      <c r="GAW11" s="1"/>
      <c r="GAX11" s="1"/>
      <c r="GAY11" s="1"/>
      <c r="GAZ11" s="1"/>
      <c r="GBA11" s="1"/>
      <c r="GBB11" s="1"/>
      <c r="GBC11" s="1"/>
      <c r="GBD11" s="1"/>
      <c r="GBE11" s="1"/>
      <c r="GBF11" s="1"/>
      <c r="GBG11" s="1"/>
      <c r="GBH11" s="1"/>
      <c r="GBI11" s="1"/>
      <c r="GBJ11" s="1"/>
      <c r="GBK11" s="1"/>
      <c r="GBL11" s="1"/>
      <c r="GBM11" s="1"/>
      <c r="GBN11" s="1"/>
      <c r="GBO11" s="1"/>
      <c r="GBP11" s="1"/>
      <c r="GBQ11" s="1"/>
      <c r="GBR11" s="1"/>
      <c r="GBS11" s="1"/>
      <c r="GBT11" s="1"/>
      <c r="GBU11" s="1"/>
      <c r="GBV11" s="1"/>
      <c r="GBW11" s="1"/>
      <c r="GBX11" s="1"/>
      <c r="GBY11" s="1"/>
      <c r="GBZ11" s="1"/>
      <c r="GCA11" s="1"/>
      <c r="GCB11" s="1"/>
      <c r="GCC11" s="1"/>
      <c r="GCD11" s="1"/>
      <c r="GCE11" s="1"/>
      <c r="GCF11" s="1"/>
      <c r="GCG11" s="1"/>
      <c r="GCH11" s="1"/>
      <c r="GCI11" s="1"/>
      <c r="GCJ11" s="1"/>
      <c r="GCK11" s="1"/>
      <c r="GCL11" s="1"/>
      <c r="GCM11" s="1"/>
      <c r="GCN11" s="1"/>
      <c r="GCO11" s="1"/>
      <c r="GCP11" s="1"/>
      <c r="GCQ11" s="1"/>
      <c r="GCR11" s="1"/>
      <c r="GCS11" s="1"/>
      <c r="GCT11" s="1"/>
      <c r="GCU11" s="1"/>
      <c r="GCV11" s="1"/>
      <c r="GCW11" s="1"/>
      <c r="GCX11" s="1"/>
      <c r="GCY11" s="1"/>
      <c r="GCZ11" s="1"/>
      <c r="GDA11" s="1"/>
      <c r="GDB11" s="1"/>
      <c r="GDC11" s="1"/>
      <c r="GDD11" s="1"/>
      <c r="GDE11" s="1"/>
      <c r="GDF11" s="1"/>
      <c r="GDG11" s="1"/>
      <c r="GDH11" s="1"/>
      <c r="GDI11" s="1"/>
      <c r="GDJ11" s="1"/>
      <c r="GDK11" s="1"/>
      <c r="GDL11" s="1"/>
      <c r="GDM11" s="1"/>
      <c r="GDN11" s="1"/>
      <c r="GDO11" s="1"/>
      <c r="GDP11" s="1"/>
      <c r="GDQ11" s="1"/>
      <c r="GDR11" s="1"/>
      <c r="GDS11" s="1"/>
      <c r="GDT11" s="1"/>
      <c r="GDU11" s="1"/>
      <c r="GDV11" s="1"/>
      <c r="GDW11" s="1"/>
      <c r="GDX11" s="1"/>
      <c r="GDY11" s="1"/>
      <c r="GDZ11" s="1"/>
      <c r="GEA11" s="1"/>
      <c r="GEB11" s="1"/>
      <c r="GEC11" s="1"/>
      <c r="GED11" s="1"/>
      <c r="GEE11" s="1"/>
      <c r="GEF11" s="1"/>
      <c r="GEG11" s="1"/>
      <c r="GEH11" s="1"/>
      <c r="GEI11" s="1"/>
      <c r="GEJ11" s="1"/>
      <c r="GEK11" s="1"/>
      <c r="GEL11" s="1"/>
      <c r="GEM11" s="1"/>
      <c r="GEN11" s="1"/>
      <c r="GEO11" s="1"/>
      <c r="GEP11" s="1"/>
      <c r="GEQ11" s="1"/>
      <c r="GER11" s="1"/>
      <c r="GES11" s="1"/>
      <c r="GET11" s="1"/>
      <c r="GEU11" s="1"/>
      <c r="GEV11" s="1"/>
      <c r="GEW11" s="1"/>
      <c r="GEX11" s="1"/>
      <c r="GEY11" s="1"/>
      <c r="GEZ11" s="1"/>
      <c r="GFA11" s="1"/>
      <c r="GFB11" s="1"/>
      <c r="GFC11" s="1"/>
      <c r="GFD11" s="1"/>
      <c r="GFE11" s="1"/>
      <c r="GFF11" s="1"/>
      <c r="GFG11" s="1"/>
      <c r="GFH11" s="1"/>
      <c r="GFI11" s="1"/>
      <c r="GFJ11" s="1"/>
      <c r="GFK11" s="1"/>
      <c r="GFL11" s="1"/>
      <c r="GFM11" s="1"/>
      <c r="GFN11" s="1"/>
      <c r="GFO11" s="1"/>
      <c r="GFP11" s="1"/>
      <c r="GFQ11" s="1"/>
      <c r="GFR11" s="1"/>
      <c r="GFS11" s="1"/>
      <c r="GFT11" s="1"/>
      <c r="GFU11" s="1"/>
      <c r="GFV11" s="1"/>
      <c r="GFW11" s="1"/>
      <c r="GFX11" s="1"/>
      <c r="GFY11" s="1"/>
      <c r="GFZ11" s="1"/>
      <c r="GGA11" s="1"/>
      <c r="GGB11" s="1"/>
      <c r="GGC11" s="1"/>
      <c r="GGD11" s="1"/>
      <c r="GGE11" s="1"/>
      <c r="GGF11" s="1"/>
      <c r="GGG11" s="1"/>
      <c r="GGH11" s="1"/>
      <c r="GGI11" s="1"/>
      <c r="GGJ11" s="1"/>
      <c r="GGK11" s="1"/>
      <c r="GGL11" s="1"/>
      <c r="GGM11" s="1"/>
      <c r="GGN11" s="1"/>
      <c r="GGO11" s="1"/>
      <c r="GGP11" s="1"/>
      <c r="GGQ11" s="1"/>
      <c r="GGR11" s="1"/>
      <c r="GGS11" s="1"/>
      <c r="GGT11" s="1"/>
      <c r="GGU11" s="1"/>
      <c r="GGV11" s="1"/>
      <c r="GGW11" s="1"/>
      <c r="GGX11" s="1"/>
      <c r="GGY11" s="1"/>
      <c r="GGZ11" s="1"/>
      <c r="GHA11" s="1"/>
      <c r="GHB11" s="1"/>
      <c r="GHC11" s="1"/>
      <c r="GHD11" s="1"/>
      <c r="GHE11" s="1"/>
      <c r="GHF11" s="1"/>
      <c r="GHG11" s="1"/>
      <c r="GHH11" s="1"/>
      <c r="GHI11" s="1"/>
      <c r="GHJ11" s="1"/>
      <c r="GHK11" s="1"/>
      <c r="GHL11" s="1"/>
      <c r="GHM11" s="1"/>
      <c r="GHN11" s="1"/>
      <c r="GHO11" s="1"/>
      <c r="GHP11" s="1"/>
      <c r="GHQ11" s="1"/>
      <c r="GHR11" s="1"/>
      <c r="GHS11" s="1"/>
      <c r="GHT11" s="1"/>
      <c r="GHU11" s="1"/>
      <c r="GHV11" s="1"/>
      <c r="GHW11" s="1"/>
      <c r="GHX11" s="1"/>
      <c r="GHY11" s="1"/>
      <c r="GHZ11" s="1"/>
      <c r="GIA11" s="1"/>
      <c r="GIB11" s="1"/>
      <c r="GIC11" s="1"/>
      <c r="GID11" s="1"/>
      <c r="GIE11" s="1"/>
      <c r="GIF11" s="1"/>
      <c r="GIG11" s="1"/>
      <c r="GIH11" s="1"/>
      <c r="GII11" s="1"/>
      <c r="GIJ11" s="1"/>
      <c r="GIK11" s="1"/>
      <c r="GIL11" s="1"/>
      <c r="GIM11" s="1"/>
      <c r="GIN11" s="1"/>
      <c r="GIO11" s="1"/>
      <c r="GIP11" s="1"/>
      <c r="GIQ11" s="1"/>
      <c r="GIR11" s="1"/>
      <c r="GIS11" s="1"/>
      <c r="GIT11" s="1"/>
      <c r="GIU11" s="1"/>
      <c r="GIV11" s="1"/>
      <c r="GIW11" s="1"/>
      <c r="GIX11" s="1"/>
      <c r="GIY11" s="1"/>
      <c r="GIZ11" s="1"/>
      <c r="GJA11" s="1"/>
      <c r="GJB11" s="1"/>
      <c r="GJC11" s="1"/>
      <c r="GJD11" s="1"/>
      <c r="GJE11" s="1"/>
      <c r="GJF11" s="1"/>
      <c r="GJG11" s="1"/>
      <c r="GJH11" s="1"/>
      <c r="GJI11" s="1"/>
      <c r="GJJ11" s="1"/>
      <c r="GJK11" s="1"/>
      <c r="GJL11" s="1"/>
      <c r="GJM11" s="1"/>
      <c r="GJN11" s="1"/>
      <c r="GJO11" s="1"/>
      <c r="GJP11" s="1"/>
      <c r="GJQ11" s="1"/>
      <c r="GJR11" s="1"/>
      <c r="GJS11" s="1"/>
      <c r="GJT11" s="1"/>
      <c r="GJU11" s="1"/>
      <c r="GJV11" s="1"/>
      <c r="GJW11" s="1"/>
      <c r="GJX11" s="1"/>
      <c r="GJY11" s="1"/>
      <c r="GJZ11" s="1"/>
      <c r="GKA11" s="1"/>
      <c r="GKB11" s="1"/>
      <c r="GKC11" s="1"/>
      <c r="GKD11" s="1"/>
      <c r="GKE11" s="1"/>
      <c r="GKF11" s="1"/>
      <c r="GKG11" s="1"/>
      <c r="GKH11" s="1"/>
      <c r="GKI11" s="1"/>
      <c r="GKJ11" s="1"/>
      <c r="GKK11" s="1"/>
      <c r="GKL11" s="1"/>
      <c r="GKM11" s="1"/>
      <c r="GKN11" s="1"/>
      <c r="GKO11" s="1"/>
      <c r="GKP11" s="1"/>
      <c r="GKQ11" s="1"/>
      <c r="GKR11" s="1"/>
      <c r="GKS11" s="1"/>
      <c r="GKT11" s="1"/>
      <c r="GKU11" s="1"/>
      <c r="GKV11" s="1"/>
      <c r="GKW11" s="1"/>
      <c r="GKX11" s="1"/>
      <c r="GKY11" s="1"/>
      <c r="GKZ11" s="1"/>
      <c r="GLA11" s="1"/>
      <c r="GLB11" s="1"/>
      <c r="GLC11" s="1"/>
      <c r="GLD11" s="1"/>
      <c r="GLE11" s="1"/>
      <c r="GLF11" s="1"/>
      <c r="GLG11" s="1"/>
      <c r="GLH11" s="1"/>
      <c r="GLI11" s="1"/>
      <c r="GLJ11" s="1"/>
      <c r="GLK11" s="1"/>
      <c r="GLL11" s="1"/>
      <c r="GLM11" s="1"/>
      <c r="GLN11" s="1"/>
      <c r="GLO11" s="1"/>
      <c r="GLP11" s="1"/>
      <c r="GLQ11" s="1"/>
      <c r="GLR11" s="1"/>
      <c r="GLS11" s="1"/>
      <c r="GLT11" s="1"/>
      <c r="GLU11" s="1"/>
      <c r="GLV11" s="1"/>
      <c r="GLW11" s="1"/>
      <c r="GLX11" s="1"/>
      <c r="GLY11" s="1"/>
      <c r="GLZ11" s="1"/>
      <c r="GMA11" s="1"/>
      <c r="GMB11" s="1"/>
      <c r="GMC11" s="1"/>
      <c r="GMD11" s="1"/>
      <c r="GME11" s="1"/>
      <c r="GMF11" s="1"/>
      <c r="GMG11" s="1"/>
      <c r="GMH11" s="1"/>
      <c r="GMI11" s="1"/>
      <c r="GMJ11" s="1"/>
      <c r="GMK11" s="1"/>
      <c r="GML11" s="1"/>
      <c r="GMM11" s="1"/>
      <c r="GMN11" s="1"/>
      <c r="GMO11" s="1"/>
      <c r="GMP11" s="1"/>
      <c r="GMQ11" s="1"/>
      <c r="GMR11" s="1"/>
      <c r="GMS11" s="1"/>
      <c r="GMT11" s="1"/>
      <c r="GMU11" s="1"/>
      <c r="GMV11" s="1"/>
      <c r="GMW11" s="1"/>
      <c r="GMX11" s="1"/>
      <c r="GMY11" s="1"/>
      <c r="GMZ11" s="1"/>
      <c r="GNA11" s="1"/>
      <c r="GNB11" s="1"/>
      <c r="GNC11" s="1"/>
      <c r="GND11" s="1"/>
      <c r="GNE11" s="1"/>
      <c r="GNF11" s="1"/>
      <c r="GNG11" s="1"/>
      <c r="GNH11" s="1"/>
      <c r="GNI11" s="1"/>
      <c r="GNJ11" s="1"/>
      <c r="GNK11" s="1"/>
      <c r="GNL11" s="1"/>
      <c r="GNM11" s="1"/>
      <c r="GNN11" s="1"/>
      <c r="GNO11" s="1"/>
      <c r="GNP11" s="1"/>
      <c r="GNQ11" s="1"/>
      <c r="GNR11" s="1"/>
      <c r="GNS11" s="1"/>
      <c r="GNT11" s="1"/>
      <c r="GNU11" s="1"/>
      <c r="GNV11" s="1"/>
      <c r="GNW11" s="1"/>
      <c r="GNX11" s="1"/>
      <c r="GNY11" s="1"/>
      <c r="GNZ11" s="1"/>
      <c r="GOA11" s="1"/>
      <c r="GOB11" s="1"/>
      <c r="GOC11" s="1"/>
      <c r="GOD11" s="1"/>
      <c r="GOE11" s="1"/>
      <c r="GOF11" s="1"/>
      <c r="GOG11" s="1"/>
      <c r="GOH11" s="1"/>
      <c r="GOI11" s="1"/>
      <c r="GOJ11" s="1"/>
      <c r="GOK11" s="1"/>
      <c r="GOL11" s="1"/>
      <c r="GOM11" s="1"/>
      <c r="GON11" s="1"/>
      <c r="GOO11" s="1"/>
      <c r="GOP11" s="1"/>
      <c r="GOQ11" s="1"/>
      <c r="GOR11" s="1"/>
      <c r="GOS11" s="1"/>
      <c r="GOT11" s="1"/>
      <c r="GOU11" s="1"/>
      <c r="GOV11" s="1"/>
      <c r="GOW11" s="1"/>
      <c r="GOX11" s="1"/>
      <c r="GOY11" s="1"/>
      <c r="GOZ11" s="1"/>
      <c r="GPA11" s="1"/>
      <c r="GPB11" s="1"/>
      <c r="GPC11" s="1"/>
      <c r="GPD11" s="1"/>
      <c r="GPE11" s="1"/>
      <c r="GPF11" s="1"/>
      <c r="GPG11" s="1"/>
      <c r="GPH11" s="1"/>
      <c r="GPI11" s="1"/>
      <c r="GPJ11" s="1"/>
      <c r="GPK11" s="1"/>
      <c r="GPL11" s="1"/>
      <c r="GPM11" s="1"/>
      <c r="GPN11" s="1"/>
      <c r="GPO11" s="1"/>
      <c r="GPP11" s="1"/>
      <c r="GPQ11" s="1"/>
      <c r="GPR11" s="1"/>
      <c r="GPS11" s="1"/>
      <c r="GPT11" s="1"/>
      <c r="GPU11" s="1"/>
      <c r="GPV11" s="1"/>
      <c r="GPW11" s="1"/>
      <c r="GPX11" s="1"/>
      <c r="GPY11" s="1"/>
      <c r="GPZ11" s="1"/>
      <c r="GQA11" s="1"/>
      <c r="GQB11" s="1"/>
      <c r="GQC11" s="1"/>
      <c r="GQD11" s="1"/>
      <c r="GQE11" s="1"/>
      <c r="GQF11" s="1"/>
      <c r="GQG11" s="1"/>
      <c r="GQH11" s="1"/>
      <c r="GQI11" s="1"/>
      <c r="GQJ11" s="1"/>
      <c r="GQK11" s="1"/>
      <c r="GQL11" s="1"/>
      <c r="GQM11" s="1"/>
      <c r="GQN11" s="1"/>
      <c r="GQO11" s="1"/>
      <c r="GQP11" s="1"/>
      <c r="GQQ11" s="1"/>
      <c r="GQR11" s="1"/>
      <c r="GQS11" s="1"/>
      <c r="GQT11" s="1"/>
      <c r="GQU11" s="1"/>
      <c r="GQV11" s="1"/>
      <c r="GQW11" s="1"/>
      <c r="GQX11" s="1"/>
      <c r="GQY11" s="1"/>
      <c r="GQZ11" s="1"/>
      <c r="GRA11" s="1"/>
      <c r="GRB11" s="1"/>
      <c r="GRC11" s="1"/>
      <c r="GRD11" s="1"/>
      <c r="GRE11" s="1"/>
      <c r="GRF11" s="1"/>
      <c r="GRG11" s="1"/>
      <c r="GRH11" s="1"/>
      <c r="GRI11" s="1"/>
      <c r="GRJ11" s="1"/>
      <c r="GRK11" s="1"/>
      <c r="GRL11" s="1"/>
      <c r="GRM11" s="1"/>
      <c r="GRN11" s="1"/>
      <c r="GRO11" s="1"/>
      <c r="GRP11" s="1"/>
      <c r="GRQ11" s="1"/>
      <c r="GRR11" s="1"/>
      <c r="GRS11" s="1"/>
      <c r="GRT11" s="1"/>
      <c r="GRU11" s="1"/>
      <c r="GRV11" s="1"/>
      <c r="GRW11" s="1"/>
      <c r="GRX11" s="1"/>
      <c r="GRY11" s="1"/>
      <c r="GRZ11" s="1"/>
      <c r="GSA11" s="1"/>
      <c r="GSB11" s="1"/>
      <c r="GSC11" s="1"/>
      <c r="GSD11" s="1"/>
      <c r="GSE11" s="1"/>
      <c r="GSF11" s="1"/>
      <c r="GSG11" s="1"/>
      <c r="GSH11" s="1"/>
      <c r="GSI11" s="1"/>
      <c r="GSJ11" s="1"/>
      <c r="GSK11" s="1"/>
      <c r="GSL11" s="1"/>
      <c r="GSM11" s="1"/>
      <c r="GSN11" s="1"/>
      <c r="GSO11" s="1"/>
      <c r="GSP11" s="1"/>
      <c r="GSQ11" s="1"/>
      <c r="GSR11" s="1"/>
      <c r="GSS11" s="1"/>
      <c r="GST11" s="1"/>
      <c r="GSU11" s="1"/>
      <c r="GSV11" s="1"/>
      <c r="GSW11" s="1"/>
      <c r="GSX11" s="1"/>
      <c r="GSY11" s="1"/>
      <c r="GSZ11" s="1"/>
      <c r="GTA11" s="1"/>
      <c r="GTB11" s="1"/>
      <c r="GTC11" s="1"/>
      <c r="GTD11" s="1"/>
      <c r="GTE11" s="1"/>
      <c r="GTF11" s="1"/>
      <c r="GTG11" s="1"/>
      <c r="GTH11" s="1"/>
      <c r="GTI11" s="1"/>
      <c r="GTJ11" s="1"/>
      <c r="GTK11" s="1"/>
      <c r="GTL11" s="1"/>
      <c r="GTM11" s="1"/>
      <c r="GTN11" s="1"/>
      <c r="GTO11" s="1"/>
      <c r="GTP11" s="1"/>
      <c r="GTQ11" s="1"/>
      <c r="GTR11" s="1"/>
      <c r="GTS11" s="1"/>
      <c r="GTT11" s="1"/>
      <c r="GTU11" s="1"/>
      <c r="GTV11" s="1"/>
      <c r="GTW11" s="1"/>
      <c r="GTX11" s="1"/>
      <c r="GTY11" s="1"/>
      <c r="GTZ11" s="1"/>
      <c r="GUA11" s="1"/>
      <c r="GUB11" s="1"/>
      <c r="GUC11" s="1"/>
      <c r="GUD11" s="1"/>
      <c r="GUE11" s="1"/>
      <c r="GUF11" s="1"/>
      <c r="GUG11" s="1"/>
      <c r="GUH11" s="1"/>
      <c r="GUI11" s="1"/>
      <c r="GUJ11" s="1"/>
      <c r="GUK11" s="1"/>
      <c r="GUL11" s="1"/>
      <c r="GUM11" s="1"/>
      <c r="GUN11" s="1"/>
      <c r="GUO11" s="1"/>
      <c r="GUP11" s="1"/>
      <c r="GUQ11" s="1"/>
      <c r="GUR11" s="1"/>
      <c r="GUS11" s="1"/>
      <c r="GUT11" s="1"/>
      <c r="GUU11" s="1"/>
      <c r="GUV11" s="1"/>
      <c r="GUW11" s="1"/>
      <c r="GUX11" s="1"/>
      <c r="GUY11" s="1"/>
      <c r="GUZ11" s="1"/>
      <c r="GVA11" s="1"/>
      <c r="GVB11" s="1"/>
      <c r="GVC11" s="1"/>
      <c r="GVD11" s="1"/>
      <c r="GVE11" s="1"/>
      <c r="GVF11" s="1"/>
      <c r="GVG11" s="1"/>
      <c r="GVH11" s="1"/>
      <c r="GVI11" s="1"/>
      <c r="GVJ11" s="1"/>
      <c r="GVK11" s="1"/>
      <c r="GVL11" s="1"/>
      <c r="GVM11" s="1"/>
      <c r="GVN11" s="1"/>
      <c r="GVO11" s="1"/>
      <c r="GVP11" s="1"/>
      <c r="GVQ11" s="1"/>
      <c r="GVR11" s="1"/>
      <c r="GVS11" s="1"/>
      <c r="GVT11" s="1"/>
      <c r="GVU11" s="1"/>
      <c r="GVV11" s="1"/>
      <c r="GVW11" s="1"/>
      <c r="GVX11" s="1"/>
      <c r="GVY11" s="1"/>
      <c r="GVZ11" s="1"/>
      <c r="GWA11" s="1"/>
      <c r="GWB11" s="1"/>
      <c r="GWC11" s="1"/>
      <c r="GWD11" s="1"/>
      <c r="GWE11" s="1"/>
      <c r="GWF11" s="1"/>
      <c r="GWG11" s="1"/>
      <c r="GWH11" s="1"/>
      <c r="GWI11" s="1"/>
      <c r="GWJ11" s="1"/>
      <c r="GWK11" s="1"/>
      <c r="GWL11" s="1"/>
      <c r="GWM11" s="1"/>
      <c r="GWN11" s="1"/>
      <c r="GWO11" s="1"/>
      <c r="GWP11" s="1"/>
      <c r="GWQ11" s="1"/>
      <c r="GWR11" s="1"/>
      <c r="GWS11" s="1"/>
      <c r="GWT11" s="1"/>
      <c r="GWU11" s="1"/>
      <c r="GWV11" s="1"/>
      <c r="GWW11" s="1"/>
      <c r="GWX11" s="1"/>
      <c r="GWY11" s="1"/>
      <c r="GWZ11" s="1"/>
      <c r="GXA11" s="1"/>
      <c r="GXB11" s="1"/>
      <c r="GXC11" s="1"/>
      <c r="GXD11" s="1"/>
      <c r="GXE11" s="1"/>
      <c r="GXF11" s="1"/>
      <c r="GXG11" s="1"/>
      <c r="GXH11" s="1"/>
      <c r="GXI11" s="1"/>
      <c r="GXJ11" s="1"/>
      <c r="GXK11" s="1"/>
      <c r="GXL11" s="1"/>
      <c r="GXM11" s="1"/>
      <c r="GXN11" s="1"/>
      <c r="GXO11" s="1"/>
      <c r="GXP11" s="1"/>
      <c r="GXQ11" s="1"/>
      <c r="GXR11" s="1"/>
      <c r="GXS11" s="1"/>
      <c r="GXT11" s="1"/>
      <c r="GXU11" s="1"/>
      <c r="GXV11" s="1"/>
      <c r="GXW11" s="1"/>
      <c r="GXX11" s="1"/>
      <c r="GXY11" s="1"/>
      <c r="GXZ11" s="1"/>
      <c r="GYA11" s="1"/>
      <c r="GYB11" s="1"/>
      <c r="GYC11" s="1"/>
      <c r="GYD11" s="1"/>
      <c r="GYE11" s="1"/>
      <c r="GYF11" s="1"/>
      <c r="GYG11" s="1"/>
      <c r="GYH11" s="1"/>
      <c r="GYI11" s="1"/>
      <c r="GYJ11" s="1"/>
      <c r="GYK11" s="1"/>
      <c r="GYL11" s="1"/>
      <c r="GYM11" s="1"/>
      <c r="GYN11" s="1"/>
      <c r="GYO11" s="1"/>
      <c r="GYP11" s="1"/>
      <c r="GYQ11" s="1"/>
      <c r="GYR11" s="1"/>
      <c r="GYS11" s="1"/>
      <c r="GYT11" s="1"/>
      <c r="GYU11" s="1"/>
      <c r="GYV11" s="1"/>
      <c r="GYW11" s="1"/>
      <c r="GYX11" s="1"/>
      <c r="GYY11" s="1"/>
      <c r="GYZ11" s="1"/>
      <c r="GZA11" s="1"/>
      <c r="GZB11" s="1"/>
      <c r="GZC11" s="1"/>
      <c r="GZD11" s="1"/>
      <c r="GZE11" s="1"/>
      <c r="GZF11" s="1"/>
      <c r="GZG11" s="1"/>
      <c r="GZH11" s="1"/>
      <c r="GZI11" s="1"/>
      <c r="GZJ11" s="1"/>
      <c r="GZK11" s="1"/>
      <c r="GZL11" s="1"/>
      <c r="GZM11" s="1"/>
      <c r="GZN11" s="1"/>
      <c r="GZO11" s="1"/>
      <c r="GZP11" s="1"/>
      <c r="GZQ11" s="1"/>
      <c r="GZR11" s="1"/>
      <c r="GZS11" s="1"/>
      <c r="GZT11" s="1"/>
      <c r="GZU11" s="1"/>
      <c r="GZV11" s="1"/>
      <c r="GZW11" s="1"/>
      <c r="GZX11" s="1"/>
      <c r="GZY11" s="1"/>
      <c r="GZZ11" s="1"/>
      <c r="HAA11" s="1"/>
      <c r="HAB11" s="1"/>
      <c r="HAC11" s="1"/>
      <c r="HAD11" s="1"/>
      <c r="HAE11" s="1"/>
      <c r="HAF11" s="1"/>
      <c r="HAG11" s="1"/>
      <c r="HAH11" s="1"/>
      <c r="HAI11" s="1"/>
      <c r="HAJ11" s="1"/>
      <c r="HAK11" s="1"/>
      <c r="HAL11" s="1"/>
      <c r="HAM11" s="1"/>
      <c r="HAN11" s="1"/>
      <c r="HAO11" s="1"/>
      <c r="HAP11" s="1"/>
      <c r="HAQ11" s="1"/>
      <c r="HAR11" s="1"/>
      <c r="HAS11" s="1"/>
      <c r="HAT11" s="1"/>
      <c r="HAU11" s="1"/>
      <c r="HAV11" s="1"/>
      <c r="HAW11" s="1"/>
      <c r="HAX11" s="1"/>
      <c r="HAY11" s="1"/>
      <c r="HAZ11" s="1"/>
      <c r="HBA11" s="1"/>
      <c r="HBB11" s="1"/>
      <c r="HBC11" s="1"/>
      <c r="HBD11" s="1"/>
      <c r="HBE11" s="1"/>
      <c r="HBF11" s="1"/>
      <c r="HBG11" s="1"/>
      <c r="HBH11" s="1"/>
      <c r="HBI11" s="1"/>
      <c r="HBJ11" s="1"/>
      <c r="HBK11" s="1"/>
      <c r="HBL11" s="1"/>
      <c r="HBM11" s="1"/>
      <c r="HBN11" s="1"/>
      <c r="HBO11" s="1"/>
      <c r="HBP11" s="1"/>
      <c r="HBQ11" s="1"/>
      <c r="HBR11" s="1"/>
      <c r="HBS11" s="1"/>
      <c r="HBT11" s="1"/>
      <c r="HBU11" s="1"/>
      <c r="HBV11" s="1"/>
      <c r="HBW11" s="1"/>
      <c r="HBX11" s="1"/>
      <c r="HBY11" s="1"/>
      <c r="HBZ11" s="1"/>
      <c r="HCA11" s="1"/>
      <c r="HCB11" s="1"/>
      <c r="HCC11" s="1"/>
      <c r="HCD11" s="1"/>
      <c r="HCE11" s="1"/>
      <c r="HCF11" s="1"/>
      <c r="HCG11" s="1"/>
      <c r="HCH11" s="1"/>
      <c r="HCI11" s="1"/>
      <c r="HCJ11" s="1"/>
      <c r="HCK11" s="1"/>
      <c r="HCL11" s="1"/>
      <c r="HCM11" s="1"/>
      <c r="HCN11" s="1"/>
      <c r="HCO11" s="1"/>
      <c r="HCP11" s="1"/>
      <c r="HCQ11" s="1"/>
      <c r="HCR11" s="1"/>
      <c r="HCS11" s="1"/>
      <c r="HCT11" s="1"/>
      <c r="HCU11" s="1"/>
      <c r="HCV11" s="1"/>
      <c r="HCW11" s="1"/>
      <c r="HCX11" s="1"/>
      <c r="HCY11" s="1"/>
      <c r="HCZ11" s="1"/>
      <c r="HDA11" s="1"/>
      <c r="HDB11" s="1"/>
      <c r="HDC11" s="1"/>
      <c r="HDD11" s="1"/>
      <c r="HDE11" s="1"/>
      <c r="HDF11" s="1"/>
      <c r="HDG11" s="1"/>
      <c r="HDH11" s="1"/>
      <c r="HDI11" s="1"/>
      <c r="HDJ11" s="1"/>
      <c r="HDK11" s="1"/>
      <c r="HDL11" s="1"/>
      <c r="HDM11" s="1"/>
      <c r="HDN11" s="1"/>
      <c r="HDO11" s="1"/>
      <c r="HDP11" s="1"/>
      <c r="HDQ11" s="1"/>
      <c r="HDR11" s="1"/>
      <c r="HDS11" s="1"/>
      <c r="HDT11" s="1"/>
      <c r="HDU11" s="1"/>
      <c r="HDV11" s="1"/>
      <c r="HDW11" s="1"/>
      <c r="HDX11" s="1"/>
      <c r="HDY11" s="1"/>
      <c r="HDZ11" s="1"/>
      <c r="HEA11" s="1"/>
      <c r="HEB11" s="1"/>
      <c r="HEC11" s="1"/>
      <c r="HED11" s="1"/>
      <c r="HEE11" s="1"/>
      <c r="HEF11" s="1"/>
      <c r="HEG11" s="1"/>
      <c r="HEH11" s="1"/>
      <c r="HEI11" s="1"/>
      <c r="HEJ11" s="1"/>
      <c r="HEK11" s="1"/>
      <c r="HEL11" s="1"/>
      <c r="HEM11" s="1"/>
      <c r="HEN11" s="1"/>
      <c r="HEO11" s="1"/>
      <c r="HEP11" s="1"/>
      <c r="HEQ11" s="1"/>
      <c r="HER11" s="1"/>
      <c r="HES11" s="1"/>
      <c r="HET11" s="1"/>
      <c r="HEU11" s="1"/>
      <c r="HEV11" s="1"/>
      <c r="HEW11" s="1"/>
      <c r="HEX11" s="1"/>
      <c r="HEY11" s="1"/>
      <c r="HEZ11" s="1"/>
      <c r="HFA11" s="1"/>
      <c r="HFB11" s="1"/>
      <c r="HFC11" s="1"/>
      <c r="HFD11" s="1"/>
      <c r="HFE11" s="1"/>
      <c r="HFF11" s="1"/>
      <c r="HFG11" s="1"/>
      <c r="HFH11" s="1"/>
      <c r="HFI11" s="1"/>
      <c r="HFJ11" s="1"/>
      <c r="HFK11" s="1"/>
      <c r="HFL11" s="1"/>
      <c r="HFM11" s="1"/>
      <c r="HFN11" s="1"/>
      <c r="HFO11" s="1"/>
      <c r="HFP11" s="1"/>
      <c r="HFQ11" s="1"/>
      <c r="HFR11" s="1"/>
      <c r="HFS11" s="1"/>
      <c r="HFT11" s="1"/>
      <c r="HFU11" s="1"/>
      <c r="HFV11" s="1"/>
      <c r="HFW11" s="1"/>
      <c r="HFX11" s="1"/>
      <c r="HFY11" s="1"/>
      <c r="HFZ11" s="1"/>
      <c r="HGA11" s="1"/>
      <c r="HGB11" s="1"/>
      <c r="HGC11" s="1"/>
      <c r="HGD11" s="1"/>
      <c r="HGE11" s="1"/>
      <c r="HGF11" s="1"/>
      <c r="HGG11" s="1"/>
      <c r="HGH11" s="1"/>
      <c r="HGI11" s="1"/>
      <c r="HGJ11" s="1"/>
      <c r="HGK11" s="1"/>
      <c r="HGL11" s="1"/>
      <c r="HGM11" s="1"/>
      <c r="HGN11" s="1"/>
      <c r="HGO11" s="1"/>
      <c r="HGP11" s="1"/>
      <c r="HGQ11" s="1"/>
      <c r="HGR11" s="1"/>
      <c r="HGS11" s="1"/>
      <c r="HGT11" s="1"/>
      <c r="HGU11" s="1"/>
      <c r="HGV11" s="1"/>
      <c r="HGW11" s="1"/>
      <c r="HGX11" s="1"/>
      <c r="HGY11" s="1"/>
      <c r="HGZ11" s="1"/>
      <c r="HHA11" s="1"/>
      <c r="HHB11" s="1"/>
      <c r="HHC11" s="1"/>
      <c r="HHD11" s="1"/>
      <c r="HHE11" s="1"/>
      <c r="HHF11" s="1"/>
      <c r="HHG11" s="1"/>
      <c r="HHH11" s="1"/>
      <c r="HHI11" s="1"/>
      <c r="HHJ11" s="1"/>
      <c r="HHK11" s="1"/>
      <c r="HHL11" s="1"/>
      <c r="HHM11" s="1"/>
      <c r="HHN11" s="1"/>
      <c r="HHO11" s="1"/>
      <c r="HHP11" s="1"/>
      <c r="HHQ11" s="1"/>
      <c r="HHR11" s="1"/>
      <c r="HHS11" s="1"/>
      <c r="HHT11" s="1"/>
      <c r="HHU11" s="1"/>
      <c r="HHV11" s="1"/>
      <c r="HHW11" s="1"/>
      <c r="HHX11" s="1"/>
      <c r="HHY11" s="1"/>
      <c r="HHZ11" s="1"/>
      <c r="HIA11" s="1"/>
      <c r="HIB11" s="1"/>
      <c r="HIC11" s="1"/>
      <c r="HID11" s="1"/>
      <c r="HIE11" s="1"/>
      <c r="HIF11" s="1"/>
      <c r="HIG11" s="1"/>
      <c r="HIH11" s="1"/>
      <c r="HII11" s="1"/>
      <c r="HIJ11" s="1"/>
      <c r="HIK11" s="1"/>
      <c r="HIL11" s="1"/>
      <c r="HIM11" s="1"/>
      <c r="HIN11" s="1"/>
      <c r="HIO11" s="1"/>
      <c r="HIP11" s="1"/>
      <c r="HIQ11" s="1"/>
      <c r="HIR11" s="1"/>
      <c r="HIS11" s="1"/>
      <c r="HIT11" s="1"/>
      <c r="HIU11" s="1"/>
      <c r="HIV11" s="1"/>
      <c r="HIW11" s="1"/>
      <c r="HIX11" s="1"/>
      <c r="HIY11" s="1"/>
      <c r="HIZ11" s="1"/>
      <c r="HJA11" s="1"/>
      <c r="HJB11" s="1"/>
      <c r="HJC11" s="1"/>
      <c r="HJD11" s="1"/>
      <c r="HJE11" s="1"/>
      <c r="HJF11" s="1"/>
      <c r="HJG11" s="1"/>
      <c r="HJH11" s="1"/>
      <c r="HJI11" s="1"/>
      <c r="HJJ11" s="1"/>
      <c r="HJK11" s="1"/>
      <c r="HJL11" s="1"/>
      <c r="HJM11" s="1"/>
      <c r="HJN11" s="1"/>
      <c r="HJO11" s="1"/>
      <c r="HJP11" s="1"/>
      <c r="HJQ11" s="1"/>
      <c r="HJR11" s="1"/>
      <c r="HJS11" s="1"/>
      <c r="HJT11" s="1"/>
      <c r="HJU11" s="1"/>
      <c r="HJV11" s="1"/>
      <c r="HJW11" s="1"/>
      <c r="HJX11" s="1"/>
      <c r="HJY11" s="1"/>
      <c r="HJZ11" s="1"/>
      <c r="HKA11" s="1"/>
      <c r="HKB11" s="1"/>
      <c r="HKC11" s="1"/>
      <c r="HKD11" s="1"/>
      <c r="HKE11" s="1"/>
      <c r="HKF11" s="1"/>
      <c r="HKG11" s="1"/>
      <c r="HKH11" s="1"/>
      <c r="HKI11" s="1"/>
      <c r="HKJ11" s="1"/>
      <c r="HKK11" s="1"/>
      <c r="HKL11" s="1"/>
      <c r="HKM11" s="1"/>
      <c r="HKN11" s="1"/>
      <c r="HKO11" s="1"/>
      <c r="HKP11" s="1"/>
      <c r="HKQ11" s="1"/>
      <c r="HKR11" s="1"/>
      <c r="HKS11" s="1"/>
      <c r="HKT11" s="1"/>
      <c r="HKU11" s="1"/>
      <c r="HKV11" s="1"/>
      <c r="HKW11" s="1"/>
      <c r="HKX11" s="1"/>
      <c r="HKY11" s="1"/>
      <c r="HKZ11" s="1"/>
      <c r="HLA11" s="1"/>
      <c r="HLB11" s="1"/>
      <c r="HLC11" s="1"/>
      <c r="HLD11" s="1"/>
      <c r="HLE11" s="1"/>
      <c r="HLF11" s="1"/>
      <c r="HLG11" s="1"/>
      <c r="HLH11" s="1"/>
      <c r="HLI11" s="1"/>
      <c r="HLJ11" s="1"/>
      <c r="HLK11" s="1"/>
      <c r="HLL11" s="1"/>
      <c r="HLM11" s="1"/>
      <c r="HLN11" s="1"/>
      <c r="HLO11" s="1"/>
      <c r="HLP11" s="1"/>
      <c r="HLQ11" s="1"/>
      <c r="HLR11" s="1"/>
      <c r="HLS11" s="1"/>
      <c r="HLT11" s="1"/>
      <c r="HLU11" s="1"/>
      <c r="HLV11" s="1"/>
      <c r="HLW11" s="1"/>
      <c r="HLX11" s="1"/>
      <c r="HLY11" s="1"/>
      <c r="HLZ11" s="1"/>
      <c r="HMA11" s="1"/>
      <c r="HMB11" s="1"/>
      <c r="HMC11" s="1"/>
      <c r="HMD11" s="1"/>
      <c r="HME11" s="1"/>
      <c r="HMF11" s="1"/>
      <c r="HMG11" s="1"/>
      <c r="HMH11" s="1"/>
      <c r="HMI11" s="1"/>
      <c r="HMJ11" s="1"/>
      <c r="HMK11" s="1"/>
      <c r="HML11" s="1"/>
      <c r="HMM11" s="1"/>
      <c r="HMN11" s="1"/>
      <c r="HMO11" s="1"/>
      <c r="HMP11" s="1"/>
      <c r="HMQ11" s="1"/>
      <c r="HMR11" s="1"/>
      <c r="HMS11" s="1"/>
      <c r="HMT11" s="1"/>
      <c r="HMU11" s="1"/>
      <c r="HMV11" s="1"/>
      <c r="HMW11" s="1"/>
      <c r="HMX11" s="1"/>
      <c r="HMY11" s="1"/>
      <c r="HMZ11" s="1"/>
      <c r="HNA11" s="1"/>
      <c r="HNB11" s="1"/>
      <c r="HNC11" s="1"/>
      <c r="HND11" s="1"/>
      <c r="HNE11" s="1"/>
      <c r="HNF11" s="1"/>
      <c r="HNG11" s="1"/>
      <c r="HNH11" s="1"/>
      <c r="HNI11" s="1"/>
      <c r="HNJ11" s="1"/>
      <c r="HNK11" s="1"/>
      <c r="HNL11" s="1"/>
      <c r="HNM11" s="1"/>
      <c r="HNN11" s="1"/>
      <c r="HNO11" s="1"/>
      <c r="HNP11" s="1"/>
      <c r="HNQ11" s="1"/>
      <c r="HNR11" s="1"/>
      <c r="HNS11" s="1"/>
      <c r="HNT11" s="1"/>
      <c r="HNU11" s="1"/>
      <c r="HNV11" s="1"/>
      <c r="HNW11" s="1"/>
      <c r="HNX11" s="1"/>
      <c r="HNY11" s="1"/>
      <c r="HNZ11" s="1"/>
      <c r="HOA11" s="1"/>
      <c r="HOB11" s="1"/>
      <c r="HOC11" s="1"/>
      <c r="HOD11" s="1"/>
      <c r="HOE11" s="1"/>
      <c r="HOF11" s="1"/>
      <c r="HOG11" s="1"/>
      <c r="HOH11" s="1"/>
      <c r="HOI11" s="1"/>
      <c r="HOJ11" s="1"/>
      <c r="HOK11" s="1"/>
      <c r="HOL11" s="1"/>
      <c r="HOM11" s="1"/>
      <c r="HON11" s="1"/>
      <c r="HOO11" s="1"/>
      <c r="HOP11" s="1"/>
      <c r="HOQ11" s="1"/>
      <c r="HOR11" s="1"/>
      <c r="HOS11" s="1"/>
      <c r="HOT11" s="1"/>
      <c r="HOU11" s="1"/>
      <c r="HOV11" s="1"/>
      <c r="HOW11" s="1"/>
      <c r="HOX11" s="1"/>
      <c r="HOY11" s="1"/>
      <c r="HOZ11" s="1"/>
      <c r="HPA11" s="1"/>
      <c r="HPB11" s="1"/>
      <c r="HPC11" s="1"/>
      <c r="HPD11" s="1"/>
      <c r="HPE11" s="1"/>
      <c r="HPF11" s="1"/>
      <c r="HPG11" s="1"/>
      <c r="HPH11" s="1"/>
      <c r="HPI11" s="1"/>
      <c r="HPJ11" s="1"/>
      <c r="HPK11" s="1"/>
      <c r="HPL11" s="1"/>
      <c r="HPM11" s="1"/>
      <c r="HPN11" s="1"/>
      <c r="HPO11" s="1"/>
      <c r="HPP11" s="1"/>
      <c r="HPQ11" s="1"/>
      <c r="HPR11" s="1"/>
      <c r="HPS11" s="1"/>
      <c r="HPT11" s="1"/>
      <c r="HPU11" s="1"/>
      <c r="HPV11" s="1"/>
      <c r="HPW11" s="1"/>
      <c r="HPX11" s="1"/>
      <c r="HPY11" s="1"/>
      <c r="HPZ11" s="1"/>
      <c r="HQA11" s="1"/>
      <c r="HQB11" s="1"/>
      <c r="HQC11" s="1"/>
      <c r="HQD11" s="1"/>
      <c r="HQE11" s="1"/>
      <c r="HQF11" s="1"/>
      <c r="HQG11" s="1"/>
      <c r="HQH11" s="1"/>
      <c r="HQI11" s="1"/>
      <c r="HQJ11" s="1"/>
      <c r="HQK11" s="1"/>
      <c r="HQL11" s="1"/>
      <c r="HQM11" s="1"/>
      <c r="HQN11" s="1"/>
      <c r="HQO11" s="1"/>
      <c r="HQP11" s="1"/>
      <c r="HQQ11" s="1"/>
      <c r="HQR11" s="1"/>
      <c r="HQS11" s="1"/>
      <c r="HQT11" s="1"/>
      <c r="HQU11" s="1"/>
      <c r="HQV11" s="1"/>
      <c r="HQW11" s="1"/>
      <c r="HQX11" s="1"/>
      <c r="HQY11" s="1"/>
      <c r="HQZ11" s="1"/>
      <c r="HRA11" s="1"/>
      <c r="HRB11" s="1"/>
      <c r="HRC11" s="1"/>
      <c r="HRD11" s="1"/>
      <c r="HRE11" s="1"/>
      <c r="HRF11" s="1"/>
      <c r="HRG11" s="1"/>
      <c r="HRH11" s="1"/>
      <c r="HRI11" s="1"/>
      <c r="HRJ11" s="1"/>
      <c r="HRK11" s="1"/>
      <c r="HRL11" s="1"/>
      <c r="HRM11" s="1"/>
      <c r="HRN11" s="1"/>
      <c r="HRO11" s="1"/>
      <c r="HRP11" s="1"/>
      <c r="HRQ11" s="1"/>
      <c r="HRR11" s="1"/>
      <c r="HRS11" s="1"/>
      <c r="HRT11" s="1"/>
      <c r="HRU11" s="1"/>
      <c r="HRV11" s="1"/>
      <c r="HRW11" s="1"/>
      <c r="HRX11" s="1"/>
      <c r="HRY11" s="1"/>
      <c r="HRZ11" s="1"/>
      <c r="HSA11" s="1"/>
      <c r="HSB11" s="1"/>
      <c r="HSC11" s="1"/>
      <c r="HSD11" s="1"/>
      <c r="HSE11" s="1"/>
      <c r="HSF11" s="1"/>
      <c r="HSG11" s="1"/>
      <c r="HSH11" s="1"/>
      <c r="HSI11" s="1"/>
      <c r="HSJ11" s="1"/>
      <c r="HSK11" s="1"/>
      <c r="HSL11" s="1"/>
      <c r="HSM11" s="1"/>
      <c r="HSN11" s="1"/>
      <c r="HSO11" s="1"/>
      <c r="HSP11" s="1"/>
      <c r="HSQ11" s="1"/>
      <c r="HSR11" s="1"/>
      <c r="HSS11" s="1"/>
      <c r="HST11" s="1"/>
      <c r="HSU11" s="1"/>
      <c r="HSV11" s="1"/>
      <c r="HSW11" s="1"/>
      <c r="HSX11" s="1"/>
      <c r="HSY11" s="1"/>
      <c r="HSZ11" s="1"/>
      <c r="HTA11" s="1"/>
      <c r="HTB11" s="1"/>
      <c r="HTC11" s="1"/>
      <c r="HTD11" s="1"/>
      <c r="HTE11" s="1"/>
      <c r="HTF11" s="1"/>
      <c r="HTG11" s="1"/>
      <c r="HTH11" s="1"/>
      <c r="HTI11" s="1"/>
      <c r="HTJ11" s="1"/>
      <c r="HTK11" s="1"/>
      <c r="HTL11" s="1"/>
      <c r="HTM11" s="1"/>
      <c r="HTN11" s="1"/>
      <c r="HTO11" s="1"/>
      <c r="HTP11" s="1"/>
      <c r="HTQ11" s="1"/>
      <c r="HTR11" s="1"/>
      <c r="HTS11" s="1"/>
      <c r="HTT11" s="1"/>
      <c r="HTU11" s="1"/>
      <c r="HTV11" s="1"/>
      <c r="HTW11" s="1"/>
      <c r="HTX11" s="1"/>
      <c r="HTY11" s="1"/>
      <c r="HTZ11" s="1"/>
      <c r="HUA11" s="1"/>
      <c r="HUB11" s="1"/>
      <c r="HUC11" s="1"/>
      <c r="HUD11" s="1"/>
      <c r="HUE11" s="1"/>
      <c r="HUF11" s="1"/>
      <c r="HUG11" s="1"/>
      <c r="HUH11" s="1"/>
      <c r="HUI11" s="1"/>
      <c r="HUJ11" s="1"/>
      <c r="HUK11" s="1"/>
      <c r="HUL11" s="1"/>
      <c r="HUM11" s="1"/>
      <c r="HUN11" s="1"/>
      <c r="HUO11" s="1"/>
      <c r="HUP11" s="1"/>
      <c r="HUQ11" s="1"/>
      <c r="HUR11" s="1"/>
      <c r="HUS11" s="1"/>
      <c r="HUT11" s="1"/>
      <c r="HUU11" s="1"/>
      <c r="HUV11" s="1"/>
      <c r="HUW11" s="1"/>
      <c r="HUX11" s="1"/>
      <c r="HUY11" s="1"/>
      <c r="HUZ11" s="1"/>
      <c r="HVA11" s="1"/>
      <c r="HVB11" s="1"/>
      <c r="HVC11" s="1"/>
      <c r="HVD11" s="1"/>
      <c r="HVE11" s="1"/>
      <c r="HVF11" s="1"/>
      <c r="HVG11" s="1"/>
      <c r="HVH11" s="1"/>
      <c r="HVI11" s="1"/>
      <c r="HVJ11" s="1"/>
      <c r="HVK11" s="1"/>
      <c r="HVL11" s="1"/>
      <c r="HVM11" s="1"/>
      <c r="HVN11" s="1"/>
      <c r="HVO11" s="1"/>
      <c r="HVP11" s="1"/>
      <c r="HVQ11" s="1"/>
      <c r="HVR11" s="1"/>
      <c r="HVS11" s="1"/>
      <c r="HVT11" s="1"/>
      <c r="HVU11" s="1"/>
      <c r="HVV11" s="1"/>
      <c r="HVW11" s="1"/>
      <c r="HVX11" s="1"/>
      <c r="HVY11" s="1"/>
      <c r="HVZ11" s="1"/>
      <c r="HWA11" s="1"/>
      <c r="HWB11" s="1"/>
      <c r="HWC11" s="1"/>
      <c r="HWD11" s="1"/>
      <c r="HWE11" s="1"/>
      <c r="HWF11" s="1"/>
      <c r="HWG11" s="1"/>
      <c r="HWH11" s="1"/>
      <c r="HWI11" s="1"/>
      <c r="HWJ11" s="1"/>
      <c r="HWK11" s="1"/>
      <c r="HWL11" s="1"/>
      <c r="HWM11" s="1"/>
      <c r="HWN11" s="1"/>
      <c r="HWO11" s="1"/>
      <c r="HWP11" s="1"/>
      <c r="HWQ11" s="1"/>
      <c r="HWR11" s="1"/>
      <c r="HWS11" s="1"/>
      <c r="HWT11" s="1"/>
      <c r="HWU11" s="1"/>
      <c r="HWV11" s="1"/>
      <c r="HWW11" s="1"/>
      <c r="HWX11" s="1"/>
      <c r="HWY11" s="1"/>
      <c r="HWZ11" s="1"/>
      <c r="HXA11" s="1"/>
      <c r="HXB11" s="1"/>
      <c r="HXC11" s="1"/>
      <c r="HXD11" s="1"/>
      <c r="HXE11" s="1"/>
      <c r="HXF11" s="1"/>
      <c r="HXG11" s="1"/>
      <c r="HXH11" s="1"/>
      <c r="HXI11" s="1"/>
      <c r="HXJ11" s="1"/>
      <c r="HXK11" s="1"/>
      <c r="HXL11" s="1"/>
      <c r="HXM11" s="1"/>
      <c r="HXN11" s="1"/>
      <c r="HXO11" s="1"/>
      <c r="HXP11" s="1"/>
      <c r="HXQ11" s="1"/>
      <c r="HXR11" s="1"/>
      <c r="HXS11" s="1"/>
      <c r="HXT11" s="1"/>
      <c r="HXU11" s="1"/>
      <c r="HXV11" s="1"/>
      <c r="HXW11" s="1"/>
      <c r="HXX11" s="1"/>
      <c r="HXY11" s="1"/>
      <c r="HXZ11" s="1"/>
      <c r="HYA11" s="1"/>
      <c r="HYB11" s="1"/>
      <c r="HYC11" s="1"/>
      <c r="HYD11" s="1"/>
      <c r="HYE11" s="1"/>
      <c r="HYF11" s="1"/>
      <c r="HYG11" s="1"/>
      <c r="HYH11" s="1"/>
      <c r="HYI11" s="1"/>
      <c r="HYJ11" s="1"/>
      <c r="HYK11" s="1"/>
      <c r="HYL11" s="1"/>
      <c r="HYM11" s="1"/>
      <c r="HYN11" s="1"/>
      <c r="HYO11" s="1"/>
      <c r="HYP11" s="1"/>
      <c r="HYQ11" s="1"/>
      <c r="HYR11" s="1"/>
      <c r="HYS11" s="1"/>
      <c r="HYT11" s="1"/>
      <c r="HYU11" s="1"/>
      <c r="HYV11" s="1"/>
      <c r="HYW11" s="1"/>
      <c r="HYX11" s="1"/>
      <c r="HYY11" s="1"/>
      <c r="HYZ11" s="1"/>
      <c r="HZA11" s="1"/>
      <c r="HZB11" s="1"/>
      <c r="HZC11" s="1"/>
      <c r="HZD11" s="1"/>
      <c r="HZE11" s="1"/>
      <c r="HZF11" s="1"/>
      <c r="HZG11" s="1"/>
      <c r="HZH11" s="1"/>
      <c r="HZI11" s="1"/>
      <c r="HZJ11" s="1"/>
      <c r="HZK11" s="1"/>
      <c r="HZL11" s="1"/>
      <c r="HZM11" s="1"/>
      <c r="HZN11" s="1"/>
      <c r="HZO11" s="1"/>
      <c r="HZP11" s="1"/>
      <c r="HZQ11" s="1"/>
      <c r="HZR11" s="1"/>
      <c r="HZS11" s="1"/>
      <c r="HZT11" s="1"/>
      <c r="HZU11" s="1"/>
      <c r="HZV11" s="1"/>
      <c r="HZW11" s="1"/>
      <c r="HZX11" s="1"/>
      <c r="HZY11" s="1"/>
      <c r="HZZ11" s="1"/>
      <c r="IAA11" s="1"/>
      <c r="IAB11" s="1"/>
      <c r="IAC11" s="1"/>
      <c r="IAD11" s="1"/>
      <c r="IAE11" s="1"/>
      <c r="IAF11" s="1"/>
      <c r="IAG11" s="1"/>
      <c r="IAH11" s="1"/>
      <c r="IAI11" s="1"/>
      <c r="IAJ11" s="1"/>
      <c r="IAK11" s="1"/>
      <c r="IAL11" s="1"/>
      <c r="IAM11" s="1"/>
      <c r="IAN11" s="1"/>
      <c r="IAO11" s="1"/>
      <c r="IAP11" s="1"/>
      <c r="IAQ11" s="1"/>
      <c r="IAR11" s="1"/>
      <c r="IAS11" s="1"/>
      <c r="IAT11" s="1"/>
      <c r="IAU11" s="1"/>
      <c r="IAV11" s="1"/>
      <c r="IAW11" s="1"/>
      <c r="IAX11" s="1"/>
      <c r="IAY11" s="1"/>
      <c r="IAZ11" s="1"/>
      <c r="IBA11" s="1"/>
      <c r="IBB11" s="1"/>
      <c r="IBC11" s="1"/>
      <c r="IBD11" s="1"/>
      <c r="IBE11" s="1"/>
      <c r="IBF11" s="1"/>
      <c r="IBG11" s="1"/>
      <c r="IBH11" s="1"/>
      <c r="IBI11" s="1"/>
      <c r="IBJ11" s="1"/>
      <c r="IBK11" s="1"/>
      <c r="IBL11" s="1"/>
      <c r="IBM11" s="1"/>
      <c r="IBN11" s="1"/>
      <c r="IBO11" s="1"/>
      <c r="IBP11" s="1"/>
      <c r="IBQ11" s="1"/>
      <c r="IBR11" s="1"/>
      <c r="IBS11" s="1"/>
      <c r="IBT11" s="1"/>
      <c r="IBU11" s="1"/>
      <c r="IBV11" s="1"/>
      <c r="IBW11" s="1"/>
      <c r="IBX11" s="1"/>
      <c r="IBY11" s="1"/>
      <c r="IBZ11" s="1"/>
      <c r="ICA11" s="1"/>
      <c r="ICB11" s="1"/>
      <c r="ICC11" s="1"/>
      <c r="ICD11" s="1"/>
      <c r="ICE11" s="1"/>
      <c r="ICF11" s="1"/>
      <c r="ICG11" s="1"/>
      <c r="ICH11" s="1"/>
      <c r="ICI11" s="1"/>
      <c r="ICJ11" s="1"/>
      <c r="ICK11" s="1"/>
      <c r="ICL11" s="1"/>
      <c r="ICM11" s="1"/>
      <c r="ICN11" s="1"/>
      <c r="ICO11" s="1"/>
      <c r="ICP11" s="1"/>
      <c r="ICQ11" s="1"/>
      <c r="ICR11" s="1"/>
      <c r="ICS11" s="1"/>
      <c r="ICT11" s="1"/>
      <c r="ICU11" s="1"/>
      <c r="ICV11" s="1"/>
      <c r="ICW11" s="1"/>
      <c r="ICX11" s="1"/>
      <c r="ICY11" s="1"/>
      <c r="ICZ11" s="1"/>
      <c r="IDA11" s="1"/>
      <c r="IDB11" s="1"/>
      <c r="IDC11" s="1"/>
      <c r="IDD11" s="1"/>
      <c r="IDE11" s="1"/>
      <c r="IDF11" s="1"/>
      <c r="IDG11" s="1"/>
      <c r="IDH11" s="1"/>
      <c r="IDI11" s="1"/>
      <c r="IDJ11" s="1"/>
      <c r="IDK11" s="1"/>
      <c r="IDL11" s="1"/>
      <c r="IDM11" s="1"/>
      <c r="IDN11" s="1"/>
      <c r="IDO11" s="1"/>
      <c r="IDP11" s="1"/>
      <c r="IDQ11" s="1"/>
      <c r="IDR11" s="1"/>
      <c r="IDS11" s="1"/>
      <c r="IDT11" s="1"/>
      <c r="IDU11" s="1"/>
      <c r="IDV11" s="1"/>
      <c r="IDW11" s="1"/>
      <c r="IDX11" s="1"/>
      <c r="IDY11" s="1"/>
      <c r="IDZ11" s="1"/>
      <c r="IEA11" s="1"/>
      <c r="IEB11" s="1"/>
      <c r="IEC11" s="1"/>
      <c r="IED11" s="1"/>
      <c r="IEE11" s="1"/>
      <c r="IEF11" s="1"/>
      <c r="IEG11" s="1"/>
      <c r="IEH11" s="1"/>
      <c r="IEI11" s="1"/>
      <c r="IEJ11" s="1"/>
      <c r="IEK11" s="1"/>
      <c r="IEL11" s="1"/>
      <c r="IEM11" s="1"/>
      <c r="IEN11" s="1"/>
      <c r="IEO11" s="1"/>
      <c r="IEP11" s="1"/>
      <c r="IEQ11" s="1"/>
      <c r="IER11" s="1"/>
      <c r="IES11" s="1"/>
      <c r="IET11" s="1"/>
      <c r="IEU11" s="1"/>
      <c r="IEV11" s="1"/>
      <c r="IEW11" s="1"/>
      <c r="IEX11" s="1"/>
      <c r="IEY11" s="1"/>
      <c r="IEZ11" s="1"/>
      <c r="IFA11" s="1"/>
      <c r="IFB11" s="1"/>
      <c r="IFC11" s="1"/>
      <c r="IFD11" s="1"/>
      <c r="IFE11" s="1"/>
      <c r="IFF11" s="1"/>
      <c r="IFG11" s="1"/>
      <c r="IFH11" s="1"/>
      <c r="IFI11" s="1"/>
      <c r="IFJ11" s="1"/>
      <c r="IFK11" s="1"/>
      <c r="IFL11" s="1"/>
      <c r="IFM11" s="1"/>
      <c r="IFN11" s="1"/>
      <c r="IFO11" s="1"/>
      <c r="IFP11" s="1"/>
      <c r="IFQ11" s="1"/>
      <c r="IFR11" s="1"/>
      <c r="IFS11" s="1"/>
      <c r="IFT11" s="1"/>
      <c r="IFU11" s="1"/>
      <c r="IFV11" s="1"/>
      <c r="IFW11" s="1"/>
      <c r="IFX11" s="1"/>
      <c r="IFY11" s="1"/>
      <c r="IFZ11" s="1"/>
      <c r="IGA11" s="1"/>
      <c r="IGB11" s="1"/>
      <c r="IGC11" s="1"/>
      <c r="IGD11" s="1"/>
      <c r="IGE11" s="1"/>
      <c r="IGF11" s="1"/>
      <c r="IGG11" s="1"/>
      <c r="IGH11" s="1"/>
      <c r="IGI11" s="1"/>
      <c r="IGJ11" s="1"/>
      <c r="IGK11" s="1"/>
      <c r="IGL11" s="1"/>
      <c r="IGM11" s="1"/>
      <c r="IGN11" s="1"/>
      <c r="IGO11" s="1"/>
      <c r="IGP11" s="1"/>
      <c r="IGQ11" s="1"/>
      <c r="IGR11" s="1"/>
      <c r="IGS11" s="1"/>
      <c r="IGT11" s="1"/>
      <c r="IGU11" s="1"/>
      <c r="IGV11" s="1"/>
      <c r="IGW11" s="1"/>
      <c r="IGX11" s="1"/>
      <c r="IGY11" s="1"/>
      <c r="IGZ11" s="1"/>
      <c r="IHA11" s="1"/>
      <c r="IHB11" s="1"/>
      <c r="IHC11" s="1"/>
      <c r="IHD11" s="1"/>
      <c r="IHE11" s="1"/>
      <c r="IHF11" s="1"/>
      <c r="IHG11" s="1"/>
      <c r="IHH11" s="1"/>
      <c r="IHI11" s="1"/>
      <c r="IHJ11" s="1"/>
      <c r="IHK11" s="1"/>
      <c r="IHL11" s="1"/>
      <c r="IHM11" s="1"/>
      <c r="IHN11" s="1"/>
      <c r="IHO11" s="1"/>
      <c r="IHP11" s="1"/>
      <c r="IHQ11" s="1"/>
      <c r="IHR11" s="1"/>
      <c r="IHS11" s="1"/>
      <c r="IHT11" s="1"/>
      <c r="IHU11" s="1"/>
      <c r="IHV11" s="1"/>
      <c r="IHW11" s="1"/>
      <c r="IHX11" s="1"/>
      <c r="IHY11" s="1"/>
      <c r="IHZ11" s="1"/>
      <c r="IIA11" s="1"/>
      <c r="IIB11" s="1"/>
      <c r="IIC11" s="1"/>
      <c r="IID11" s="1"/>
      <c r="IIE11" s="1"/>
      <c r="IIF11" s="1"/>
      <c r="IIG11" s="1"/>
      <c r="IIH11" s="1"/>
      <c r="III11" s="1"/>
      <c r="IIJ11" s="1"/>
      <c r="IIK11" s="1"/>
      <c r="IIL11" s="1"/>
      <c r="IIM11" s="1"/>
      <c r="IIN11" s="1"/>
      <c r="IIO11" s="1"/>
      <c r="IIP11" s="1"/>
      <c r="IIQ11" s="1"/>
      <c r="IIR11" s="1"/>
      <c r="IIS11" s="1"/>
      <c r="IIT11" s="1"/>
      <c r="IIU11" s="1"/>
      <c r="IIV11" s="1"/>
      <c r="IIW11" s="1"/>
      <c r="IIX11" s="1"/>
      <c r="IIY11" s="1"/>
      <c r="IIZ11" s="1"/>
      <c r="IJA11" s="1"/>
      <c r="IJB11" s="1"/>
      <c r="IJC11" s="1"/>
      <c r="IJD11" s="1"/>
      <c r="IJE11" s="1"/>
      <c r="IJF11" s="1"/>
      <c r="IJG11" s="1"/>
      <c r="IJH11" s="1"/>
      <c r="IJI11" s="1"/>
      <c r="IJJ11" s="1"/>
      <c r="IJK11" s="1"/>
      <c r="IJL11" s="1"/>
      <c r="IJM11" s="1"/>
      <c r="IJN11" s="1"/>
      <c r="IJO11" s="1"/>
      <c r="IJP11" s="1"/>
      <c r="IJQ11" s="1"/>
      <c r="IJR11" s="1"/>
      <c r="IJS11" s="1"/>
      <c r="IJT11" s="1"/>
      <c r="IJU11" s="1"/>
      <c r="IJV11" s="1"/>
      <c r="IJW11" s="1"/>
      <c r="IJX11" s="1"/>
      <c r="IJY11" s="1"/>
      <c r="IJZ11" s="1"/>
      <c r="IKA11" s="1"/>
      <c r="IKB11" s="1"/>
      <c r="IKC11" s="1"/>
      <c r="IKD11" s="1"/>
      <c r="IKE11" s="1"/>
      <c r="IKF11" s="1"/>
      <c r="IKG11" s="1"/>
      <c r="IKH11" s="1"/>
      <c r="IKI11" s="1"/>
      <c r="IKJ11" s="1"/>
      <c r="IKK11" s="1"/>
      <c r="IKL11" s="1"/>
      <c r="IKM11" s="1"/>
      <c r="IKN11" s="1"/>
      <c r="IKO11" s="1"/>
      <c r="IKP11" s="1"/>
      <c r="IKQ11" s="1"/>
      <c r="IKR11" s="1"/>
      <c r="IKS11" s="1"/>
      <c r="IKT11" s="1"/>
      <c r="IKU11" s="1"/>
      <c r="IKV11" s="1"/>
      <c r="IKW11" s="1"/>
      <c r="IKX11" s="1"/>
      <c r="IKY11" s="1"/>
      <c r="IKZ11" s="1"/>
      <c r="ILA11" s="1"/>
      <c r="ILB11" s="1"/>
      <c r="ILC11" s="1"/>
      <c r="ILD11" s="1"/>
      <c r="ILE11" s="1"/>
      <c r="ILF11" s="1"/>
      <c r="ILG11" s="1"/>
      <c r="ILH11" s="1"/>
      <c r="ILI11" s="1"/>
      <c r="ILJ11" s="1"/>
      <c r="ILK11" s="1"/>
      <c r="ILL11" s="1"/>
      <c r="ILM11" s="1"/>
      <c r="ILN11" s="1"/>
      <c r="ILO11" s="1"/>
      <c r="ILP11" s="1"/>
      <c r="ILQ11" s="1"/>
      <c r="ILR11" s="1"/>
      <c r="ILS11" s="1"/>
      <c r="ILT11" s="1"/>
      <c r="ILU11" s="1"/>
      <c r="ILV11" s="1"/>
      <c r="ILW11" s="1"/>
      <c r="ILX11" s="1"/>
      <c r="ILY11" s="1"/>
      <c r="ILZ11" s="1"/>
      <c r="IMA11" s="1"/>
      <c r="IMB11" s="1"/>
      <c r="IMC11" s="1"/>
      <c r="IMD11" s="1"/>
      <c r="IME11" s="1"/>
      <c r="IMF11" s="1"/>
      <c r="IMG11" s="1"/>
      <c r="IMH11" s="1"/>
      <c r="IMI11" s="1"/>
      <c r="IMJ11" s="1"/>
      <c r="IMK11" s="1"/>
      <c r="IML11" s="1"/>
      <c r="IMM11" s="1"/>
      <c r="IMN11" s="1"/>
      <c r="IMO11" s="1"/>
      <c r="IMP11" s="1"/>
      <c r="IMQ11" s="1"/>
      <c r="IMR11" s="1"/>
      <c r="IMS11" s="1"/>
      <c r="IMT11" s="1"/>
      <c r="IMU11" s="1"/>
      <c r="IMV11" s="1"/>
      <c r="IMW11" s="1"/>
      <c r="IMX11" s="1"/>
      <c r="IMY11" s="1"/>
      <c r="IMZ11" s="1"/>
      <c r="INA11" s="1"/>
      <c r="INB11" s="1"/>
      <c r="INC11" s="1"/>
      <c r="IND11" s="1"/>
      <c r="INE11" s="1"/>
      <c r="INF11" s="1"/>
      <c r="ING11" s="1"/>
      <c r="INH11" s="1"/>
      <c r="INI11" s="1"/>
      <c r="INJ11" s="1"/>
      <c r="INK11" s="1"/>
      <c r="INL11" s="1"/>
      <c r="INM11" s="1"/>
      <c r="INN11" s="1"/>
      <c r="INO11" s="1"/>
      <c r="INP11" s="1"/>
      <c r="INQ11" s="1"/>
      <c r="INR11" s="1"/>
      <c r="INS11" s="1"/>
      <c r="INT11" s="1"/>
      <c r="INU11" s="1"/>
      <c r="INV11" s="1"/>
      <c r="INW11" s="1"/>
      <c r="INX11" s="1"/>
      <c r="INY11" s="1"/>
      <c r="INZ11" s="1"/>
      <c r="IOA11" s="1"/>
      <c r="IOB11" s="1"/>
      <c r="IOC11" s="1"/>
      <c r="IOD11" s="1"/>
      <c r="IOE11" s="1"/>
      <c r="IOF11" s="1"/>
      <c r="IOG11" s="1"/>
      <c r="IOH11" s="1"/>
      <c r="IOI11" s="1"/>
      <c r="IOJ11" s="1"/>
      <c r="IOK11" s="1"/>
      <c r="IOL11" s="1"/>
      <c r="IOM11" s="1"/>
      <c r="ION11" s="1"/>
      <c r="IOO11" s="1"/>
      <c r="IOP11" s="1"/>
      <c r="IOQ11" s="1"/>
      <c r="IOR11" s="1"/>
      <c r="IOS11" s="1"/>
      <c r="IOT11" s="1"/>
      <c r="IOU11" s="1"/>
      <c r="IOV11" s="1"/>
      <c r="IOW11" s="1"/>
      <c r="IOX11" s="1"/>
      <c r="IOY11" s="1"/>
      <c r="IOZ11" s="1"/>
      <c r="IPA11" s="1"/>
      <c r="IPB11" s="1"/>
      <c r="IPC11" s="1"/>
      <c r="IPD11" s="1"/>
      <c r="IPE11" s="1"/>
      <c r="IPF11" s="1"/>
      <c r="IPG11" s="1"/>
      <c r="IPH11" s="1"/>
      <c r="IPI11" s="1"/>
      <c r="IPJ11" s="1"/>
      <c r="IPK11" s="1"/>
      <c r="IPL11" s="1"/>
      <c r="IPM11" s="1"/>
      <c r="IPN11" s="1"/>
      <c r="IPO11" s="1"/>
      <c r="IPP11" s="1"/>
      <c r="IPQ11" s="1"/>
      <c r="IPR11" s="1"/>
      <c r="IPS11" s="1"/>
      <c r="IPT11" s="1"/>
      <c r="IPU11" s="1"/>
      <c r="IPV11" s="1"/>
      <c r="IPW11" s="1"/>
      <c r="IPX11" s="1"/>
      <c r="IPY11" s="1"/>
      <c r="IPZ11" s="1"/>
      <c r="IQA11" s="1"/>
      <c r="IQB11" s="1"/>
      <c r="IQC11" s="1"/>
      <c r="IQD11" s="1"/>
      <c r="IQE11" s="1"/>
      <c r="IQF11" s="1"/>
      <c r="IQG11" s="1"/>
      <c r="IQH11" s="1"/>
      <c r="IQI11" s="1"/>
      <c r="IQJ11" s="1"/>
      <c r="IQK11" s="1"/>
      <c r="IQL11" s="1"/>
      <c r="IQM11" s="1"/>
      <c r="IQN11" s="1"/>
      <c r="IQO11" s="1"/>
      <c r="IQP11" s="1"/>
      <c r="IQQ11" s="1"/>
      <c r="IQR11" s="1"/>
      <c r="IQS11" s="1"/>
      <c r="IQT11" s="1"/>
      <c r="IQU11" s="1"/>
      <c r="IQV11" s="1"/>
      <c r="IQW11" s="1"/>
      <c r="IQX11" s="1"/>
      <c r="IQY11" s="1"/>
      <c r="IQZ11" s="1"/>
      <c r="IRA11" s="1"/>
      <c r="IRB11" s="1"/>
      <c r="IRC11" s="1"/>
      <c r="IRD11" s="1"/>
      <c r="IRE11" s="1"/>
      <c r="IRF11" s="1"/>
      <c r="IRG11" s="1"/>
      <c r="IRH11" s="1"/>
      <c r="IRI11" s="1"/>
      <c r="IRJ11" s="1"/>
      <c r="IRK11" s="1"/>
      <c r="IRL11" s="1"/>
      <c r="IRM11" s="1"/>
      <c r="IRN11" s="1"/>
      <c r="IRO11" s="1"/>
      <c r="IRP11" s="1"/>
      <c r="IRQ11" s="1"/>
      <c r="IRR11" s="1"/>
      <c r="IRS11" s="1"/>
      <c r="IRT11" s="1"/>
      <c r="IRU11" s="1"/>
      <c r="IRV11" s="1"/>
      <c r="IRW11" s="1"/>
      <c r="IRX11" s="1"/>
      <c r="IRY11" s="1"/>
      <c r="IRZ11" s="1"/>
      <c r="ISA11" s="1"/>
      <c r="ISB11" s="1"/>
      <c r="ISC11" s="1"/>
      <c r="ISD11" s="1"/>
      <c r="ISE11" s="1"/>
      <c r="ISF11" s="1"/>
      <c r="ISG11" s="1"/>
      <c r="ISH11" s="1"/>
      <c r="ISI11" s="1"/>
      <c r="ISJ11" s="1"/>
      <c r="ISK11" s="1"/>
      <c r="ISL11" s="1"/>
      <c r="ISM11" s="1"/>
      <c r="ISN11" s="1"/>
      <c r="ISO11" s="1"/>
      <c r="ISP11" s="1"/>
      <c r="ISQ11" s="1"/>
      <c r="ISR11" s="1"/>
      <c r="ISS11" s="1"/>
      <c r="IST11" s="1"/>
      <c r="ISU11" s="1"/>
      <c r="ISV11" s="1"/>
      <c r="ISW11" s="1"/>
      <c r="ISX11" s="1"/>
      <c r="ISY11" s="1"/>
      <c r="ISZ11" s="1"/>
      <c r="ITA11" s="1"/>
      <c r="ITB11" s="1"/>
      <c r="ITC11" s="1"/>
      <c r="ITD11" s="1"/>
      <c r="ITE11" s="1"/>
      <c r="ITF11" s="1"/>
      <c r="ITG11" s="1"/>
      <c r="ITH11" s="1"/>
      <c r="ITI11" s="1"/>
      <c r="ITJ11" s="1"/>
      <c r="ITK11" s="1"/>
      <c r="ITL11" s="1"/>
      <c r="ITM11" s="1"/>
      <c r="ITN11" s="1"/>
      <c r="ITO11" s="1"/>
      <c r="ITP11" s="1"/>
      <c r="ITQ11" s="1"/>
      <c r="ITR11" s="1"/>
      <c r="ITS11" s="1"/>
      <c r="ITT11" s="1"/>
      <c r="ITU11" s="1"/>
      <c r="ITV11" s="1"/>
      <c r="ITW11" s="1"/>
      <c r="ITX11" s="1"/>
      <c r="ITY11" s="1"/>
      <c r="ITZ11" s="1"/>
      <c r="IUA11" s="1"/>
      <c r="IUB11" s="1"/>
      <c r="IUC11" s="1"/>
      <c r="IUD11" s="1"/>
      <c r="IUE11" s="1"/>
      <c r="IUF11" s="1"/>
      <c r="IUG11" s="1"/>
      <c r="IUH11" s="1"/>
      <c r="IUI11" s="1"/>
      <c r="IUJ11" s="1"/>
      <c r="IUK11" s="1"/>
      <c r="IUL11" s="1"/>
      <c r="IUM11" s="1"/>
      <c r="IUN11" s="1"/>
      <c r="IUO11" s="1"/>
      <c r="IUP11" s="1"/>
      <c r="IUQ11" s="1"/>
      <c r="IUR11" s="1"/>
      <c r="IUS11" s="1"/>
      <c r="IUT11" s="1"/>
      <c r="IUU11" s="1"/>
      <c r="IUV11" s="1"/>
      <c r="IUW11" s="1"/>
      <c r="IUX11" s="1"/>
      <c r="IUY11" s="1"/>
      <c r="IUZ11" s="1"/>
      <c r="IVA11" s="1"/>
      <c r="IVB11" s="1"/>
      <c r="IVC11" s="1"/>
      <c r="IVD11" s="1"/>
      <c r="IVE11" s="1"/>
      <c r="IVF11" s="1"/>
      <c r="IVG11" s="1"/>
      <c r="IVH11" s="1"/>
      <c r="IVI11" s="1"/>
      <c r="IVJ11" s="1"/>
      <c r="IVK11" s="1"/>
      <c r="IVL11" s="1"/>
      <c r="IVM11" s="1"/>
      <c r="IVN11" s="1"/>
      <c r="IVO11" s="1"/>
      <c r="IVP11" s="1"/>
      <c r="IVQ11" s="1"/>
      <c r="IVR11" s="1"/>
      <c r="IVS11" s="1"/>
      <c r="IVT11" s="1"/>
      <c r="IVU11" s="1"/>
      <c r="IVV11" s="1"/>
      <c r="IVW11" s="1"/>
      <c r="IVX11" s="1"/>
      <c r="IVY11" s="1"/>
      <c r="IVZ11" s="1"/>
      <c r="IWA11" s="1"/>
      <c r="IWB11" s="1"/>
      <c r="IWC11" s="1"/>
      <c r="IWD11" s="1"/>
      <c r="IWE11" s="1"/>
      <c r="IWF11" s="1"/>
      <c r="IWG11" s="1"/>
      <c r="IWH11" s="1"/>
      <c r="IWI11" s="1"/>
      <c r="IWJ11" s="1"/>
      <c r="IWK11" s="1"/>
      <c r="IWL11" s="1"/>
      <c r="IWM11" s="1"/>
      <c r="IWN11" s="1"/>
      <c r="IWO11" s="1"/>
      <c r="IWP11" s="1"/>
      <c r="IWQ11" s="1"/>
      <c r="IWR11" s="1"/>
      <c r="IWS11" s="1"/>
      <c r="IWT11" s="1"/>
      <c r="IWU11" s="1"/>
      <c r="IWV11" s="1"/>
      <c r="IWW11" s="1"/>
      <c r="IWX11" s="1"/>
      <c r="IWY11" s="1"/>
      <c r="IWZ11" s="1"/>
      <c r="IXA11" s="1"/>
      <c r="IXB11" s="1"/>
      <c r="IXC11" s="1"/>
      <c r="IXD11" s="1"/>
      <c r="IXE11" s="1"/>
      <c r="IXF11" s="1"/>
      <c r="IXG11" s="1"/>
      <c r="IXH11" s="1"/>
      <c r="IXI11" s="1"/>
      <c r="IXJ11" s="1"/>
      <c r="IXK11" s="1"/>
      <c r="IXL11" s="1"/>
      <c r="IXM11" s="1"/>
      <c r="IXN11" s="1"/>
      <c r="IXO11" s="1"/>
      <c r="IXP11" s="1"/>
      <c r="IXQ11" s="1"/>
      <c r="IXR11" s="1"/>
      <c r="IXS11" s="1"/>
      <c r="IXT11" s="1"/>
      <c r="IXU11" s="1"/>
      <c r="IXV11" s="1"/>
      <c r="IXW11" s="1"/>
      <c r="IXX11" s="1"/>
      <c r="IXY11" s="1"/>
      <c r="IXZ11" s="1"/>
      <c r="IYA11" s="1"/>
      <c r="IYB11" s="1"/>
      <c r="IYC11" s="1"/>
      <c r="IYD11" s="1"/>
      <c r="IYE11" s="1"/>
      <c r="IYF11" s="1"/>
      <c r="IYG11" s="1"/>
      <c r="IYH11" s="1"/>
      <c r="IYI11" s="1"/>
      <c r="IYJ11" s="1"/>
      <c r="IYK11" s="1"/>
      <c r="IYL11" s="1"/>
      <c r="IYM11" s="1"/>
      <c r="IYN11" s="1"/>
      <c r="IYO11" s="1"/>
      <c r="IYP11" s="1"/>
      <c r="IYQ11" s="1"/>
      <c r="IYR11" s="1"/>
      <c r="IYS11" s="1"/>
      <c r="IYT11" s="1"/>
      <c r="IYU11" s="1"/>
      <c r="IYV11" s="1"/>
      <c r="IYW11" s="1"/>
      <c r="IYX11" s="1"/>
      <c r="IYY11" s="1"/>
      <c r="IYZ11" s="1"/>
      <c r="IZA11" s="1"/>
      <c r="IZB11" s="1"/>
      <c r="IZC11" s="1"/>
      <c r="IZD11" s="1"/>
      <c r="IZE11" s="1"/>
      <c r="IZF11" s="1"/>
      <c r="IZG11" s="1"/>
      <c r="IZH11" s="1"/>
      <c r="IZI11" s="1"/>
      <c r="IZJ11" s="1"/>
      <c r="IZK11" s="1"/>
      <c r="IZL11" s="1"/>
      <c r="IZM11" s="1"/>
      <c r="IZN11" s="1"/>
      <c r="IZO11" s="1"/>
      <c r="IZP11" s="1"/>
      <c r="IZQ11" s="1"/>
      <c r="IZR11" s="1"/>
      <c r="IZS11" s="1"/>
      <c r="IZT11" s="1"/>
      <c r="IZU11" s="1"/>
      <c r="IZV11" s="1"/>
      <c r="IZW11" s="1"/>
      <c r="IZX11" s="1"/>
      <c r="IZY11" s="1"/>
      <c r="IZZ11" s="1"/>
      <c r="JAA11" s="1"/>
      <c r="JAB11" s="1"/>
      <c r="JAC11" s="1"/>
      <c r="JAD11" s="1"/>
      <c r="JAE11" s="1"/>
      <c r="JAF11" s="1"/>
      <c r="JAG11" s="1"/>
      <c r="JAH11" s="1"/>
      <c r="JAI11" s="1"/>
      <c r="JAJ11" s="1"/>
      <c r="JAK11" s="1"/>
      <c r="JAL11" s="1"/>
      <c r="JAM11" s="1"/>
      <c r="JAN11" s="1"/>
      <c r="JAO11" s="1"/>
      <c r="JAP11" s="1"/>
      <c r="JAQ11" s="1"/>
      <c r="JAR11" s="1"/>
      <c r="JAS11" s="1"/>
      <c r="JAT11" s="1"/>
      <c r="JAU11" s="1"/>
      <c r="JAV11" s="1"/>
      <c r="JAW11" s="1"/>
      <c r="JAX11" s="1"/>
      <c r="JAY11" s="1"/>
      <c r="JAZ11" s="1"/>
      <c r="JBA11" s="1"/>
      <c r="JBB11" s="1"/>
      <c r="JBC11" s="1"/>
      <c r="JBD11" s="1"/>
      <c r="JBE11" s="1"/>
      <c r="JBF11" s="1"/>
      <c r="JBG11" s="1"/>
      <c r="JBH11" s="1"/>
      <c r="JBI11" s="1"/>
      <c r="JBJ11" s="1"/>
      <c r="JBK11" s="1"/>
      <c r="JBL11" s="1"/>
      <c r="JBM11" s="1"/>
      <c r="JBN11" s="1"/>
      <c r="JBO11" s="1"/>
      <c r="JBP11" s="1"/>
      <c r="JBQ11" s="1"/>
      <c r="JBR11" s="1"/>
      <c r="JBS11" s="1"/>
      <c r="JBT11" s="1"/>
      <c r="JBU11" s="1"/>
      <c r="JBV11" s="1"/>
      <c r="JBW11" s="1"/>
      <c r="JBX11" s="1"/>
      <c r="JBY11" s="1"/>
      <c r="JBZ11" s="1"/>
      <c r="JCA11" s="1"/>
      <c r="JCB11" s="1"/>
      <c r="JCC11" s="1"/>
      <c r="JCD11" s="1"/>
      <c r="JCE11" s="1"/>
      <c r="JCF11" s="1"/>
      <c r="JCG11" s="1"/>
      <c r="JCH11" s="1"/>
      <c r="JCI11" s="1"/>
      <c r="JCJ11" s="1"/>
      <c r="JCK11" s="1"/>
      <c r="JCL11" s="1"/>
      <c r="JCM11" s="1"/>
      <c r="JCN11" s="1"/>
      <c r="JCO11" s="1"/>
      <c r="JCP11" s="1"/>
      <c r="JCQ11" s="1"/>
      <c r="JCR11" s="1"/>
      <c r="JCS11" s="1"/>
      <c r="JCT11" s="1"/>
      <c r="JCU11" s="1"/>
      <c r="JCV11" s="1"/>
      <c r="JCW11" s="1"/>
      <c r="JCX11" s="1"/>
      <c r="JCY11" s="1"/>
      <c r="JCZ11" s="1"/>
      <c r="JDA11" s="1"/>
      <c r="JDB11" s="1"/>
      <c r="JDC11" s="1"/>
      <c r="JDD11" s="1"/>
      <c r="JDE11" s="1"/>
      <c r="JDF11" s="1"/>
      <c r="JDG11" s="1"/>
      <c r="JDH11" s="1"/>
      <c r="JDI11" s="1"/>
      <c r="JDJ11" s="1"/>
      <c r="JDK11" s="1"/>
      <c r="JDL11" s="1"/>
      <c r="JDM11" s="1"/>
      <c r="JDN11" s="1"/>
      <c r="JDO11" s="1"/>
      <c r="JDP11" s="1"/>
      <c r="JDQ11" s="1"/>
      <c r="JDR11" s="1"/>
      <c r="JDS11" s="1"/>
      <c r="JDT11" s="1"/>
      <c r="JDU11" s="1"/>
      <c r="JDV11" s="1"/>
      <c r="JDW11" s="1"/>
      <c r="JDX11" s="1"/>
      <c r="JDY11" s="1"/>
      <c r="JDZ11" s="1"/>
      <c r="JEA11" s="1"/>
      <c r="JEB11" s="1"/>
      <c r="JEC11" s="1"/>
      <c r="JED11" s="1"/>
      <c r="JEE11" s="1"/>
      <c r="JEF11" s="1"/>
      <c r="JEG11" s="1"/>
      <c r="JEH11" s="1"/>
      <c r="JEI11" s="1"/>
      <c r="JEJ11" s="1"/>
      <c r="JEK11" s="1"/>
      <c r="JEL11" s="1"/>
      <c r="JEM11" s="1"/>
      <c r="JEN11" s="1"/>
      <c r="JEO11" s="1"/>
      <c r="JEP11" s="1"/>
      <c r="JEQ11" s="1"/>
      <c r="JER11" s="1"/>
      <c r="JES11" s="1"/>
      <c r="JET11" s="1"/>
      <c r="JEU11" s="1"/>
      <c r="JEV11" s="1"/>
      <c r="JEW11" s="1"/>
      <c r="JEX11" s="1"/>
      <c r="JEY11" s="1"/>
      <c r="JEZ11" s="1"/>
      <c r="JFA11" s="1"/>
      <c r="JFB11" s="1"/>
      <c r="JFC11" s="1"/>
      <c r="JFD11" s="1"/>
      <c r="JFE11" s="1"/>
      <c r="JFF11" s="1"/>
      <c r="JFG11" s="1"/>
      <c r="JFH11" s="1"/>
      <c r="JFI11" s="1"/>
      <c r="JFJ11" s="1"/>
      <c r="JFK11" s="1"/>
      <c r="JFL11" s="1"/>
      <c r="JFM11" s="1"/>
      <c r="JFN11" s="1"/>
      <c r="JFO11" s="1"/>
      <c r="JFP11" s="1"/>
      <c r="JFQ11" s="1"/>
      <c r="JFR11" s="1"/>
      <c r="JFS11" s="1"/>
      <c r="JFT11" s="1"/>
      <c r="JFU11" s="1"/>
      <c r="JFV11" s="1"/>
      <c r="JFW11" s="1"/>
      <c r="JFX11" s="1"/>
      <c r="JFY11" s="1"/>
      <c r="JFZ11" s="1"/>
      <c r="JGA11" s="1"/>
      <c r="JGB11" s="1"/>
      <c r="JGC11" s="1"/>
      <c r="JGD11" s="1"/>
      <c r="JGE11" s="1"/>
      <c r="JGF11" s="1"/>
      <c r="JGG11" s="1"/>
      <c r="JGH11" s="1"/>
      <c r="JGI11" s="1"/>
      <c r="JGJ11" s="1"/>
      <c r="JGK11" s="1"/>
      <c r="JGL11" s="1"/>
      <c r="JGM11" s="1"/>
      <c r="JGN11" s="1"/>
      <c r="JGO11" s="1"/>
      <c r="JGP11" s="1"/>
      <c r="JGQ11" s="1"/>
      <c r="JGR11" s="1"/>
      <c r="JGS11" s="1"/>
      <c r="JGT11" s="1"/>
      <c r="JGU11" s="1"/>
      <c r="JGV11" s="1"/>
      <c r="JGW11" s="1"/>
      <c r="JGX11" s="1"/>
      <c r="JGY11" s="1"/>
      <c r="JGZ11" s="1"/>
      <c r="JHA11" s="1"/>
      <c r="JHB11" s="1"/>
      <c r="JHC11" s="1"/>
      <c r="JHD11" s="1"/>
      <c r="JHE11" s="1"/>
      <c r="JHF11" s="1"/>
      <c r="JHG11" s="1"/>
      <c r="JHH11" s="1"/>
      <c r="JHI11" s="1"/>
      <c r="JHJ11" s="1"/>
      <c r="JHK11" s="1"/>
      <c r="JHL11" s="1"/>
      <c r="JHM11" s="1"/>
      <c r="JHN11" s="1"/>
      <c r="JHO11" s="1"/>
      <c r="JHP11" s="1"/>
      <c r="JHQ11" s="1"/>
      <c r="JHR11" s="1"/>
      <c r="JHS11" s="1"/>
      <c r="JHT11" s="1"/>
      <c r="JHU11" s="1"/>
      <c r="JHV11" s="1"/>
      <c r="JHW11" s="1"/>
      <c r="JHX11" s="1"/>
      <c r="JHY11" s="1"/>
      <c r="JHZ11" s="1"/>
      <c r="JIA11" s="1"/>
      <c r="JIB11" s="1"/>
      <c r="JIC11" s="1"/>
      <c r="JID11" s="1"/>
      <c r="JIE11" s="1"/>
      <c r="JIF11" s="1"/>
      <c r="JIG11" s="1"/>
      <c r="JIH11" s="1"/>
      <c r="JII11" s="1"/>
      <c r="JIJ11" s="1"/>
      <c r="JIK11" s="1"/>
      <c r="JIL11" s="1"/>
      <c r="JIM11" s="1"/>
      <c r="JIN11" s="1"/>
      <c r="JIO11" s="1"/>
      <c r="JIP11" s="1"/>
      <c r="JIQ11" s="1"/>
      <c r="JIR11" s="1"/>
      <c r="JIS11" s="1"/>
      <c r="JIT11" s="1"/>
      <c r="JIU11" s="1"/>
      <c r="JIV11" s="1"/>
      <c r="JIW11" s="1"/>
      <c r="JIX11" s="1"/>
      <c r="JIY11" s="1"/>
      <c r="JIZ11" s="1"/>
      <c r="JJA11" s="1"/>
      <c r="JJB11" s="1"/>
      <c r="JJC11" s="1"/>
      <c r="JJD11" s="1"/>
      <c r="JJE11" s="1"/>
      <c r="JJF11" s="1"/>
      <c r="JJG11" s="1"/>
      <c r="JJH11" s="1"/>
      <c r="JJI11" s="1"/>
      <c r="JJJ11" s="1"/>
      <c r="JJK11" s="1"/>
      <c r="JJL11" s="1"/>
      <c r="JJM11" s="1"/>
      <c r="JJN11" s="1"/>
      <c r="JJO11" s="1"/>
      <c r="JJP11" s="1"/>
      <c r="JJQ11" s="1"/>
      <c r="JJR11" s="1"/>
      <c r="JJS11" s="1"/>
      <c r="JJT11" s="1"/>
      <c r="JJU11" s="1"/>
      <c r="JJV11" s="1"/>
      <c r="JJW11" s="1"/>
      <c r="JJX11" s="1"/>
      <c r="JJY11" s="1"/>
      <c r="JJZ11" s="1"/>
      <c r="JKA11" s="1"/>
      <c r="JKB11" s="1"/>
      <c r="JKC11" s="1"/>
      <c r="JKD11" s="1"/>
      <c r="JKE11" s="1"/>
      <c r="JKF11" s="1"/>
      <c r="JKG11" s="1"/>
      <c r="JKH11" s="1"/>
      <c r="JKI11" s="1"/>
      <c r="JKJ11" s="1"/>
      <c r="JKK11" s="1"/>
      <c r="JKL11" s="1"/>
      <c r="JKM11" s="1"/>
      <c r="JKN11" s="1"/>
      <c r="JKO11" s="1"/>
      <c r="JKP11" s="1"/>
      <c r="JKQ11" s="1"/>
      <c r="JKR11" s="1"/>
      <c r="JKS11" s="1"/>
      <c r="JKT11" s="1"/>
      <c r="JKU11" s="1"/>
      <c r="JKV11" s="1"/>
      <c r="JKW11" s="1"/>
      <c r="JKX11" s="1"/>
      <c r="JKY11" s="1"/>
      <c r="JKZ11" s="1"/>
      <c r="JLA11" s="1"/>
      <c r="JLB11" s="1"/>
      <c r="JLC11" s="1"/>
      <c r="JLD11" s="1"/>
      <c r="JLE11" s="1"/>
      <c r="JLF11" s="1"/>
      <c r="JLG11" s="1"/>
      <c r="JLH11" s="1"/>
      <c r="JLI11" s="1"/>
      <c r="JLJ11" s="1"/>
      <c r="JLK11" s="1"/>
      <c r="JLL11" s="1"/>
      <c r="JLM11" s="1"/>
      <c r="JLN11" s="1"/>
      <c r="JLO11" s="1"/>
      <c r="JLP11" s="1"/>
      <c r="JLQ11" s="1"/>
      <c r="JLR11" s="1"/>
      <c r="JLS11" s="1"/>
      <c r="JLT11" s="1"/>
      <c r="JLU11" s="1"/>
      <c r="JLV11" s="1"/>
      <c r="JLW11" s="1"/>
      <c r="JLX11" s="1"/>
      <c r="JLY11" s="1"/>
      <c r="JLZ11" s="1"/>
      <c r="JMA11" s="1"/>
      <c r="JMB11" s="1"/>
      <c r="JMC11" s="1"/>
      <c r="JMD11" s="1"/>
      <c r="JME11" s="1"/>
      <c r="JMF11" s="1"/>
      <c r="JMG11" s="1"/>
      <c r="JMH11" s="1"/>
      <c r="JMI11" s="1"/>
      <c r="JMJ11" s="1"/>
      <c r="JMK11" s="1"/>
      <c r="JML11" s="1"/>
      <c r="JMM11" s="1"/>
      <c r="JMN11" s="1"/>
      <c r="JMO11" s="1"/>
      <c r="JMP11" s="1"/>
      <c r="JMQ11" s="1"/>
      <c r="JMR11" s="1"/>
      <c r="JMS11" s="1"/>
      <c r="JMT11" s="1"/>
      <c r="JMU11" s="1"/>
      <c r="JMV11" s="1"/>
      <c r="JMW11" s="1"/>
      <c r="JMX11" s="1"/>
      <c r="JMY11" s="1"/>
      <c r="JMZ11" s="1"/>
      <c r="JNA11" s="1"/>
      <c r="JNB11" s="1"/>
      <c r="JNC11" s="1"/>
      <c r="JND11" s="1"/>
      <c r="JNE11" s="1"/>
      <c r="JNF11" s="1"/>
      <c r="JNG11" s="1"/>
      <c r="JNH11" s="1"/>
      <c r="JNI11" s="1"/>
      <c r="JNJ11" s="1"/>
      <c r="JNK11" s="1"/>
      <c r="JNL11" s="1"/>
      <c r="JNM11" s="1"/>
      <c r="JNN11" s="1"/>
      <c r="JNO11" s="1"/>
      <c r="JNP11" s="1"/>
      <c r="JNQ11" s="1"/>
      <c r="JNR11" s="1"/>
      <c r="JNS11" s="1"/>
      <c r="JNT11" s="1"/>
      <c r="JNU11" s="1"/>
      <c r="JNV11" s="1"/>
      <c r="JNW11" s="1"/>
      <c r="JNX11" s="1"/>
      <c r="JNY11" s="1"/>
      <c r="JNZ11" s="1"/>
      <c r="JOA11" s="1"/>
      <c r="JOB11" s="1"/>
      <c r="JOC11" s="1"/>
      <c r="JOD11" s="1"/>
      <c r="JOE11" s="1"/>
      <c r="JOF11" s="1"/>
      <c r="JOG11" s="1"/>
      <c r="JOH11" s="1"/>
      <c r="JOI11" s="1"/>
      <c r="JOJ11" s="1"/>
      <c r="JOK11" s="1"/>
      <c r="JOL11" s="1"/>
      <c r="JOM11" s="1"/>
      <c r="JON11" s="1"/>
      <c r="JOO11" s="1"/>
      <c r="JOP11" s="1"/>
      <c r="JOQ11" s="1"/>
      <c r="JOR11" s="1"/>
      <c r="JOS11" s="1"/>
      <c r="JOT11" s="1"/>
      <c r="JOU11" s="1"/>
      <c r="JOV11" s="1"/>
      <c r="JOW11" s="1"/>
      <c r="JOX11" s="1"/>
      <c r="JOY11" s="1"/>
      <c r="JOZ11" s="1"/>
      <c r="JPA11" s="1"/>
      <c r="JPB11" s="1"/>
      <c r="JPC11" s="1"/>
      <c r="JPD11" s="1"/>
      <c r="JPE11" s="1"/>
      <c r="JPF11" s="1"/>
      <c r="JPG11" s="1"/>
      <c r="JPH11" s="1"/>
      <c r="JPI11" s="1"/>
      <c r="JPJ11" s="1"/>
      <c r="JPK11" s="1"/>
      <c r="JPL11" s="1"/>
      <c r="JPM11" s="1"/>
      <c r="JPN11" s="1"/>
      <c r="JPO11" s="1"/>
      <c r="JPP11" s="1"/>
      <c r="JPQ11" s="1"/>
      <c r="JPR11" s="1"/>
      <c r="JPS11" s="1"/>
      <c r="JPT11" s="1"/>
      <c r="JPU11" s="1"/>
      <c r="JPV11" s="1"/>
      <c r="JPW11" s="1"/>
      <c r="JPX11" s="1"/>
      <c r="JPY11" s="1"/>
      <c r="JPZ11" s="1"/>
      <c r="JQA11" s="1"/>
      <c r="JQB11" s="1"/>
      <c r="JQC11" s="1"/>
      <c r="JQD11" s="1"/>
      <c r="JQE11" s="1"/>
      <c r="JQF11" s="1"/>
      <c r="JQG11" s="1"/>
      <c r="JQH11" s="1"/>
      <c r="JQI11" s="1"/>
      <c r="JQJ11" s="1"/>
      <c r="JQK11" s="1"/>
      <c r="JQL11" s="1"/>
      <c r="JQM11" s="1"/>
      <c r="JQN11" s="1"/>
      <c r="JQO11" s="1"/>
      <c r="JQP11" s="1"/>
      <c r="JQQ11" s="1"/>
      <c r="JQR11" s="1"/>
      <c r="JQS11" s="1"/>
      <c r="JQT11" s="1"/>
      <c r="JQU11" s="1"/>
      <c r="JQV11" s="1"/>
      <c r="JQW11" s="1"/>
      <c r="JQX11" s="1"/>
      <c r="JQY11" s="1"/>
      <c r="JQZ11" s="1"/>
      <c r="JRA11" s="1"/>
      <c r="JRB11" s="1"/>
      <c r="JRC11" s="1"/>
      <c r="JRD11" s="1"/>
      <c r="JRE11" s="1"/>
      <c r="JRF11" s="1"/>
      <c r="JRG11" s="1"/>
      <c r="JRH11" s="1"/>
      <c r="JRI11" s="1"/>
      <c r="JRJ11" s="1"/>
      <c r="JRK11" s="1"/>
      <c r="JRL11" s="1"/>
      <c r="JRM11" s="1"/>
      <c r="JRN11" s="1"/>
      <c r="JRO11" s="1"/>
      <c r="JRP11" s="1"/>
      <c r="JRQ11" s="1"/>
      <c r="JRR11" s="1"/>
      <c r="JRS11" s="1"/>
      <c r="JRT11" s="1"/>
      <c r="JRU11" s="1"/>
      <c r="JRV11" s="1"/>
      <c r="JRW11" s="1"/>
      <c r="JRX11" s="1"/>
      <c r="JRY11" s="1"/>
      <c r="JRZ11" s="1"/>
      <c r="JSA11" s="1"/>
      <c r="JSB11" s="1"/>
      <c r="JSC11" s="1"/>
      <c r="JSD11" s="1"/>
      <c r="JSE11" s="1"/>
      <c r="JSF11" s="1"/>
      <c r="JSG11" s="1"/>
      <c r="JSH11" s="1"/>
      <c r="JSI11" s="1"/>
      <c r="JSJ11" s="1"/>
      <c r="JSK11" s="1"/>
      <c r="JSL11" s="1"/>
      <c r="JSM11" s="1"/>
      <c r="JSN11" s="1"/>
      <c r="JSO11" s="1"/>
      <c r="JSP11" s="1"/>
      <c r="JSQ11" s="1"/>
      <c r="JSR11" s="1"/>
      <c r="JSS11" s="1"/>
      <c r="JST11" s="1"/>
      <c r="JSU11" s="1"/>
      <c r="JSV11" s="1"/>
      <c r="JSW11" s="1"/>
      <c r="JSX11" s="1"/>
      <c r="JSY11" s="1"/>
      <c r="JSZ11" s="1"/>
      <c r="JTA11" s="1"/>
      <c r="JTB11" s="1"/>
      <c r="JTC11" s="1"/>
      <c r="JTD11" s="1"/>
      <c r="JTE11" s="1"/>
      <c r="JTF11" s="1"/>
      <c r="JTG11" s="1"/>
      <c r="JTH11" s="1"/>
      <c r="JTI11" s="1"/>
      <c r="JTJ11" s="1"/>
      <c r="JTK11" s="1"/>
      <c r="JTL11" s="1"/>
      <c r="JTM11" s="1"/>
      <c r="JTN11" s="1"/>
      <c r="JTO11" s="1"/>
      <c r="JTP11" s="1"/>
      <c r="JTQ11" s="1"/>
      <c r="JTR11" s="1"/>
      <c r="JTS11" s="1"/>
      <c r="JTT11" s="1"/>
      <c r="JTU11" s="1"/>
      <c r="JTV11" s="1"/>
      <c r="JTW11" s="1"/>
      <c r="JTX11" s="1"/>
      <c r="JTY11" s="1"/>
      <c r="JTZ11" s="1"/>
      <c r="JUA11" s="1"/>
      <c r="JUB11" s="1"/>
      <c r="JUC11" s="1"/>
      <c r="JUD11" s="1"/>
      <c r="JUE11" s="1"/>
      <c r="JUF11" s="1"/>
      <c r="JUG11" s="1"/>
      <c r="JUH11" s="1"/>
      <c r="JUI11" s="1"/>
      <c r="JUJ11" s="1"/>
      <c r="JUK11" s="1"/>
      <c r="JUL11" s="1"/>
      <c r="JUM11" s="1"/>
      <c r="JUN11" s="1"/>
      <c r="JUO11" s="1"/>
      <c r="JUP11" s="1"/>
      <c r="JUQ11" s="1"/>
      <c r="JUR11" s="1"/>
      <c r="JUS11" s="1"/>
      <c r="JUT11" s="1"/>
      <c r="JUU11" s="1"/>
      <c r="JUV11" s="1"/>
      <c r="JUW11" s="1"/>
      <c r="JUX11" s="1"/>
      <c r="JUY11" s="1"/>
      <c r="JUZ11" s="1"/>
      <c r="JVA11" s="1"/>
      <c r="JVB11" s="1"/>
      <c r="JVC11" s="1"/>
      <c r="JVD11" s="1"/>
      <c r="JVE11" s="1"/>
      <c r="JVF11" s="1"/>
      <c r="JVG11" s="1"/>
      <c r="JVH11" s="1"/>
      <c r="JVI11" s="1"/>
      <c r="JVJ11" s="1"/>
      <c r="JVK11" s="1"/>
      <c r="JVL11" s="1"/>
      <c r="JVM11" s="1"/>
      <c r="JVN11" s="1"/>
      <c r="JVO11" s="1"/>
      <c r="JVP11" s="1"/>
      <c r="JVQ11" s="1"/>
      <c r="JVR11" s="1"/>
      <c r="JVS11" s="1"/>
      <c r="JVT11" s="1"/>
      <c r="JVU11" s="1"/>
      <c r="JVV11" s="1"/>
      <c r="JVW11" s="1"/>
      <c r="JVX11" s="1"/>
      <c r="JVY11" s="1"/>
      <c r="JVZ11" s="1"/>
      <c r="JWA11" s="1"/>
      <c r="JWB11" s="1"/>
      <c r="JWC11" s="1"/>
      <c r="JWD11" s="1"/>
      <c r="JWE11" s="1"/>
      <c r="JWF11" s="1"/>
      <c r="JWG11" s="1"/>
      <c r="JWH11" s="1"/>
      <c r="JWI11" s="1"/>
      <c r="JWJ11" s="1"/>
      <c r="JWK11" s="1"/>
      <c r="JWL11" s="1"/>
      <c r="JWM11" s="1"/>
      <c r="JWN11" s="1"/>
      <c r="JWO11" s="1"/>
      <c r="JWP11" s="1"/>
      <c r="JWQ11" s="1"/>
      <c r="JWR11" s="1"/>
      <c r="JWS11" s="1"/>
      <c r="JWT11" s="1"/>
      <c r="JWU11" s="1"/>
      <c r="JWV11" s="1"/>
      <c r="JWW11" s="1"/>
      <c r="JWX11" s="1"/>
      <c r="JWY11" s="1"/>
      <c r="JWZ11" s="1"/>
      <c r="JXA11" s="1"/>
      <c r="JXB11" s="1"/>
      <c r="JXC11" s="1"/>
      <c r="JXD11" s="1"/>
      <c r="JXE11" s="1"/>
      <c r="JXF11" s="1"/>
      <c r="JXG11" s="1"/>
      <c r="JXH11" s="1"/>
      <c r="JXI11" s="1"/>
      <c r="JXJ11" s="1"/>
      <c r="JXK11" s="1"/>
      <c r="JXL11" s="1"/>
      <c r="JXM11" s="1"/>
      <c r="JXN11" s="1"/>
      <c r="JXO11" s="1"/>
      <c r="JXP11" s="1"/>
      <c r="JXQ11" s="1"/>
      <c r="JXR11" s="1"/>
      <c r="JXS11" s="1"/>
      <c r="JXT11" s="1"/>
      <c r="JXU11" s="1"/>
      <c r="JXV11" s="1"/>
      <c r="JXW11" s="1"/>
      <c r="JXX11" s="1"/>
      <c r="JXY11" s="1"/>
      <c r="JXZ11" s="1"/>
      <c r="JYA11" s="1"/>
      <c r="JYB11" s="1"/>
      <c r="JYC11" s="1"/>
      <c r="JYD11" s="1"/>
      <c r="JYE11" s="1"/>
      <c r="JYF11" s="1"/>
      <c r="JYG11" s="1"/>
      <c r="JYH11" s="1"/>
      <c r="JYI11" s="1"/>
      <c r="JYJ11" s="1"/>
      <c r="JYK11" s="1"/>
      <c r="JYL11" s="1"/>
      <c r="JYM11" s="1"/>
      <c r="JYN11" s="1"/>
      <c r="JYO11" s="1"/>
      <c r="JYP11" s="1"/>
      <c r="JYQ11" s="1"/>
      <c r="JYR11" s="1"/>
      <c r="JYS11" s="1"/>
      <c r="JYT11" s="1"/>
      <c r="JYU11" s="1"/>
      <c r="JYV11" s="1"/>
      <c r="JYW11" s="1"/>
      <c r="JYX11" s="1"/>
      <c r="JYY11" s="1"/>
      <c r="JYZ11" s="1"/>
      <c r="JZA11" s="1"/>
      <c r="JZB11" s="1"/>
      <c r="JZC11" s="1"/>
      <c r="JZD11" s="1"/>
      <c r="JZE11" s="1"/>
      <c r="JZF11" s="1"/>
      <c r="JZG11" s="1"/>
      <c r="JZH11" s="1"/>
      <c r="JZI11" s="1"/>
      <c r="JZJ11" s="1"/>
      <c r="JZK11" s="1"/>
      <c r="JZL11" s="1"/>
      <c r="JZM11" s="1"/>
      <c r="JZN11" s="1"/>
      <c r="JZO11" s="1"/>
      <c r="JZP11" s="1"/>
      <c r="JZQ11" s="1"/>
      <c r="JZR11" s="1"/>
      <c r="JZS11" s="1"/>
      <c r="JZT11" s="1"/>
      <c r="JZU11" s="1"/>
      <c r="JZV11" s="1"/>
      <c r="JZW11" s="1"/>
      <c r="JZX11" s="1"/>
      <c r="JZY11" s="1"/>
      <c r="JZZ11" s="1"/>
      <c r="KAA11" s="1"/>
      <c r="KAB11" s="1"/>
      <c r="KAC11" s="1"/>
      <c r="KAD11" s="1"/>
      <c r="KAE11" s="1"/>
      <c r="KAF11" s="1"/>
      <c r="KAG11" s="1"/>
      <c r="KAH11" s="1"/>
      <c r="KAI11" s="1"/>
      <c r="KAJ11" s="1"/>
      <c r="KAK11" s="1"/>
      <c r="KAL11" s="1"/>
      <c r="KAM11" s="1"/>
      <c r="KAN11" s="1"/>
      <c r="KAO11" s="1"/>
      <c r="KAP11" s="1"/>
      <c r="KAQ11" s="1"/>
      <c r="KAR11" s="1"/>
      <c r="KAS11" s="1"/>
      <c r="KAT11" s="1"/>
      <c r="KAU11" s="1"/>
      <c r="KAV11" s="1"/>
      <c r="KAW11" s="1"/>
      <c r="KAX11" s="1"/>
      <c r="KAY11" s="1"/>
      <c r="KAZ11" s="1"/>
      <c r="KBA11" s="1"/>
      <c r="KBB11" s="1"/>
      <c r="KBC11" s="1"/>
      <c r="KBD11" s="1"/>
      <c r="KBE11" s="1"/>
      <c r="KBF11" s="1"/>
      <c r="KBG11" s="1"/>
      <c r="KBH11" s="1"/>
      <c r="KBI11" s="1"/>
      <c r="KBJ11" s="1"/>
      <c r="KBK11" s="1"/>
      <c r="KBL11" s="1"/>
      <c r="KBM11" s="1"/>
      <c r="KBN11" s="1"/>
      <c r="KBO11" s="1"/>
      <c r="KBP11" s="1"/>
      <c r="KBQ11" s="1"/>
      <c r="KBR11" s="1"/>
      <c r="KBS11" s="1"/>
      <c r="KBT11" s="1"/>
      <c r="KBU11" s="1"/>
      <c r="KBV11" s="1"/>
      <c r="KBW11" s="1"/>
      <c r="KBX11" s="1"/>
      <c r="KBY11" s="1"/>
      <c r="KBZ11" s="1"/>
      <c r="KCA11" s="1"/>
      <c r="KCB11" s="1"/>
      <c r="KCC11" s="1"/>
      <c r="KCD11" s="1"/>
      <c r="KCE11" s="1"/>
      <c r="KCF11" s="1"/>
      <c r="KCG11" s="1"/>
      <c r="KCH11" s="1"/>
      <c r="KCI11" s="1"/>
      <c r="KCJ11" s="1"/>
      <c r="KCK11" s="1"/>
      <c r="KCL11" s="1"/>
      <c r="KCM11" s="1"/>
      <c r="KCN11" s="1"/>
      <c r="KCO11" s="1"/>
      <c r="KCP11" s="1"/>
      <c r="KCQ11" s="1"/>
      <c r="KCR11" s="1"/>
      <c r="KCS11" s="1"/>
      <c r="KCT11" s="1"/>
      <c r="KCU11" s="1"/>
      <c r="KCV11" s="1"/>
      <c r="KCW11" s="1"/>
      <c r="KCX11" s="1"/>
      <c r="KCY11" s="1"/>
      <c r="KCZ11" s="1"/>
      <c r="KDA11" s="1"/>
      <c r="KDB11" s="1"/>
      <c r="KDC11" s="1"/>
      <c r="KDD11" s="1"/>
      <c r="KDE11" s="1"/>
      <c r="KDF11" s="1"/>
      <c r="KDG11" s="1"/>
      <c r="KDH11" s="1"/>
      <c r="KDI11" s="1"/>
      <c r="KDJ11" s="1"/>
      <c r="KDK11" s="1"/>
      <c r="KDL11" s="1"/>
      <c r="KDM11" s="1"/>
      <c r="KDN11" s="1"/>
      <c r="KDO11" s="1"/>
      <c r="KDP11" s="1"/>
      <c r="KDQ11" s="1"/>
      <c r="KDR11" s="1"/>
      <c r="KDS11" s="1"/>
      <c r="KDT11" s="1"/>
      <c r="KDU11" s="1"/>
      <c r="KDV11" s="1"/>
      <c r="KDW11" s="1"/>
      <c r="KDX11" s="1"/>
      <c r="KDY11" s="1"/>
      <c r="KDZ11" s="1"/>
      <c r="KEA11" s="1"/>
      <c r="KEB11" s="1"/>
      <c r="KEC11" s="1"/>
      <c r="KED11" s="1"/>
      <c r="KEE11" s="1"/>
      <c r="KEF11" s="1"/>
      <c r="KEG11" s="1"/>
      <c r="KEH11" s="1"/>
      <c r="KEI11" s="1"/>
      <c r="KEJ11" s="1"/>
      <c r="KEK11" s="1"/>
      <c r="KEL11" s="1"/>
      <c r="KEM11" s="1"/>
      <c r="KEN11" s="1"/>
      <c r="KEO11" s="1"/>
      <c r="KEP11" s="1"/>
      <c r="KEQ11" s="1"/>
      <c r="KER11" s="1"/>
      <c r="KES11" s="1"/>
      <c r="KET11" s="1"/>
      <c r="KEU11" s="1"/>
      <c r="KEV11" s="1"/>
      <c r="KEW11" s="1"/>
      <c r="KEX11" s="1"/>
      <c r="KEY11" s="1"/>
      <c r="KEZ11" s="1"/>
      <c r="KFA11" s="1"/>
      <c r="KFB11" s="1"/>
      <c r="KFC11" s="1"/>
      <c r="KFD11" s="1"/>
      <c r="KFE11" s="1"/>
      <c r="KFF11" s="1"/>
      <c r="KFG11" s="1"/>
      <c r="KFH11" s="1"/>
      <c r="KFI11" s="1"/>
      <c r="KFJ11" s="1"/>
      <c r="KFK11" s="1"/>
      <c r="KFL11" s="1"/>
      <c r="KFM11" s="1"/>
      <c r="KFN11" s="1"/>
      <c r="KFO11" s="1"/>
      <c r="KFP11" s="1"/>
      <c r="KFQ11" s="1"/>
      <c r="KFR11" s="1"/>
      <c r="KFS11" s="1"/>
      <c r="KFT11" s="1"/>
      <c r="KFU11" s="1"/>
      <c r="KFV11" s="1"/>
      <c r="KFW11" s="1"/>
      <c r="KFX11" s="1"/>
      <c r="KFY11" s="1"/>
      <c r="KFZ11" s="1"/>
      <c r="KGA11" s="1"/>
      <c r="KGB11" s="1"/>
      <c r="KGC11" s="1"/>
      <c r="KGD11" s="1"/>
      <c r="KGE11" s="1"/>
      <c r="KGF11" s="1"/>
      <c r="KGG11" s="1"/>
      <c r="KGH11" s="1"/>
      <c r="KGI11" s="1"/>
      <c r="KGJ11" s="1"/>
      <c r="KGK11" s="1"/>
      <c r="KGL11" s="1"/>
      <c r="KGM11" s="1"/>
      <c r="KGN11" s="1"/>
      <c r="KGO11" s="1"/>
      <c r="KGP11" s="1"/>
      <c r="KGQ11" s="1"/>
      <c r="KGR11" s="1"/>
      <c r="KGS11" s="1"/>
      <c r="KGT11" s="1"/>
      <c r="KGU11" s="1"/>
      <c r="KGV11" s="1"/>
      <c r="KGW11" s="1"/>
      <c r="KGX11" s="1"/>
      <c r="KGY11" s="1"/>
      <c r="KGZ11" s="1"/>
      <c r="KHA11" s="1"/>
      <c r="KHB11" s="1"/>
      <c r="KHC11" s="1"/>
      <c r="KHD11" s="1"/>
      <c r="KHE11" s="1"/>
      <c r="KHF11" s="1"/>
      <c r="KHG11" s="1"/>
      <c r="KHH11" s="1"/>
      <c r="KHI11" s="1"/>
      <c r="KHJ11" s="1"/>
      <c r="KHK11" s="1"/>
      <c r="KHL11" s="1"/>
      <c r="KHM11" s="1"/>
      <c r="KHN11" s="1"/>
      <c r="KHO11" s="1"/>
      <c r="KHP11" s="1"/>
      <c r="KHQ11" s="1"/>
      <c r="KHR11" s="1"/>
      <c r="KHS11" s="1"/>
      <c r="KHT11" s="1"/>
      <c r="KHU11" s="1"/>
      <c r="KHV11" s="1"/>
      <c r="KHW11" s="1"/>
      <c r="KHX11" s="1"/>
      <c r="KHY11" s="1"/>
      <c r="KHZ11" s="1"/>
      <c r="KIA11" s="1"/>
      <c r="KIB11" s="1"/>
      <c r="KIC11" s="1"/>
      <c r="KID11" s="1"/>
      <c r="KIE11" s="1"/>
      <c r="KIF11" s="1"/>
      <c r="KIG11" s="1"/>
      <c r="KIH11" s="1"/>
      <c r="KII11" s="1"/>
      <c r="KIJ11" s="1"/>
      <c r="KIK11" s="1"/>
      <c r="KIL11" s="1"/>
      <c r="KIM11" s="1"/>
      <c r="KIN11" s="1"/>
      <c r="KIO11" s="1"/>
      <c r="KIP11" s="1"/>
      <c r="KIQ11" s="1"/>
      <c r="KIR11" s="1"/>
      <c r="KIS11" s="1"/>
      <c r="KIT11" s="1"/>
      <c r="KIU11" s="1"/>
      <c r="KIV11" s="1"/>
      <c r="KIW11" s="1"/>
      <c r="KIX11" s="1"/>
      <c r="KIY11" s="1"/>
      <c r="KIZ11" s="1"/>
      <c r="KJA11" s="1"/>
      <c r="KJB11" s="1"/>
      <c r="KJC11" s="1"/>
      <c r="KJD11" s="1"/>
      <c r="KJE11" s="1"/>
      <c r="KJF11" s="1"/>
      <c r="KJG11" s="1"/>
      <c r="KJH11" s="1"/>
      <c r="KJI11" s="1"/>
      <c r="KJJ11" s="1"/>
      <c r="KJK11" s="1"/>
      <c r="KJL11" s="1"/>
      <c r="KJM11" s="1"/>
      <c r="KJN11" s="1"/>
      <c r="KJO11" s="1"/>
      <c r="KJP11" s="1"/>
      <c r="KJQ11" s="1"/>
      <c r="KJR11" s="1"/>
      <c r="KJS11" s="1"/>
      <c r="KJT11" s="1"/>
      <c r="KJU11" s="1"/>
      <c r="KJV11" s="1"/>
      <c r="KJW11" s="1"/>
      <c r="KJX11" s="1"/>
      <c r="KJY11" s="1"/>
      <c r="KJZ11" s="1"/>
      <c r="KKA11" s="1"/>
      <c r="KKB11" s="1"/>
      <c r="KKC11" s="1"/>
      <c r="KKD11" s="1"/>
      <c r="KKE11" s="1"/>
      <c r="KKF11" s="1"/>
      <c r="KKG11" s="1"/>
      <c r="KKH11" s="1"/>
      <c r="KKI11" s="1"/>
      <c r="KKJ11" s="1"/>
      <c r="KKK11" s="1"/>
      <c r="KKL11" s="1"/>
      <c r="KKM11" s="1"/>
      <c r="KKN11" s="1"/>
      <c r="KKO11" s="1"/>
      <c r="KKP11" s="1"/>
      <c r="KKQ11" s="1"/>
      <c r="KKR11" s="1"/>
      <c r="KKS11" s="1"/>
      <c r="KKT11" s="1"/>
      <c r="KKU11" s="1"/>
      <c r="KKV11" s="1"/>
      <c r="KKW11" s="1"/>
      <c r="KKX11" s="1"/>
      <c r="KKY11" s="1"/>
      <c r="KKZ11" s="1"/>
      <c r="KLA11" s="1"/>
      <c r="KLB11" s="1"/>
      <c r="KLC11" s="1"/>
      <c r="KLD11" s="1"/>
      <c r="KLE11" s="1"/>
      <c r="KLF11" s="1"/>
      <c r="KLG11" s="1"/>
      <c r="KLH11" s="1"/>
      <c r="KLI11" s="1"/>
      <c r="KLJ11" s="1"/>
      <c r="KLK11" s="1"/>
      <c r="KLL11" s="1"/>
      <c r="KLM11" s="1"/>
      <c r="KLN11" s="1"/>
      <c r="KLO11" s="1"/>
      <c r="KLP11" s="1"/>
      <c r="KLQ11" s="1"/>
      <c r="KLR11" s="1"/>
      <c r="KLS11" s="1"/>
      <c r="KLT11" s="1"/>
      <c r="KLU11" s="1"/>
      <c r="KLV11" s="1"/>
      <c r="KLW11" s="1"/>
      <c r="KLX11" s="1"/>
      <c r="KLY11" s="1"/>
      <c r="KLZ11" s="1"/>
      <c r="KMA11" s="1"/>
      <c r="KMB11" s="1"/>
      <c r="KMC11" s="1"/>
      <c r="KMD11" s="1"/>
      <c r="KME11" s="1"/>
      <c r="KMF11" s="1"/>
      <c r="KMG11" s="1"/>
      <c r="KMH11" s="1"/>
      <c r="KMI11" s="1"/>
      <c r="KMJ11" s="1"/>
      <c r="KMK11" s="1"/>
      <c r="KML11" s="1"/>
      <c r="KMM11" s="1"/>
      <c r="KMN11" s="1"/>
      <c r="KMO11" s="1"/>
      <c r="KMP11" s="1"/>
      <c r="KMQ11" s="1"/>
      <c r="KMR11" s="1"/>
      <c r="KMS11" s="1"/>
      <c r="KMT11" s="1"/>
      <c r="KMU11" s="1"/>
      <c r="KMV11" s="1"/>
      <c r="KMW11" s="1"/>
      <c r="KMX11" s="1"/>
      <c r="KMY11" s="1"/>
      <c r="KMZ11" s="1"/>
      <c r="KNA11" s="1"/>
      <c r="KNB11" s="1"/>
      <c r="KNC11" s="1"/>
      <c r="KND11" s="1"/>
      <c r="KNE11" s="1"/>
      <c r="KNF11" s="1"/>
      <c r="KNG11" s="1"/>
      <c r="KNH11" s="1"/>
      <c r="KNI11" s="1"/>
      <c r="KNJ11" s="1"/>
      <c r="KNK11" s="1"/>
      <c r="KNL11" s="1"/>
      <c r="KNM11" s="1"/>
      <c r="KNN11" s="1"/>
      <c r="KNO11" s="1"/>
      <c r="KNP11" s="1"/>
      <c r="KNQ11" s="1"/>
      <c r="KNR11" s="1"/>
      <c r="KNS11" s="1"/>
      <c r="KNT11" s="1"/>
      <c r="KNU11" s="1"/>
      <c r="KNV11" s="1"/>
      <c r="KNW11" s="1"/>
      <c r="KNX11" s="1"/>
      <c r="KNY11" s="1"/>
      <c r="KNZ11" s="1"/>
      <c r="KOA11" s="1"/>
      <c r="KOB11" s="1"/>
      <c r="KOC11" s="1"/>
      <c r="KOD11" s="1"/>
      <c r="KOE11" s="1"/>
      <c r="KOF11" s="1"/>
      <c r="KOG11" s="1"/>
      <c r="KOH11" s="1"/>
      <c r="KOI11" s="1"/>
      <c r="KOJ11" s="1"/>
      <c r="KOK11" s="1"/>
      <c r="KOL11" s="1"/>
      <c r="KOM11" s="1"/>
      <c r="KON11" s="1"/>
      <c r="KOO11" s="1"/>
      <c r="KOP11" s="1"/>
      <c r="KOQ11" s="1"/>
      <c r="KOR11" s="1"/>
      <c r="KOS11" s="1"/>
      <c r="KOT11" s="1"/>
      <c r="KOU11" s="1"/>
      <c r="KOV11" s="1"/>
      <c r="KOW11" s="1"/>
      <c r="KOX11" s="1"/>
      <c r="KOY11" s="1"/>
      <c r="KOZ11" s="1"/>
      <c r="KPA11" s="1"/>
      <c r="KPB11" s="1"/>
      <c r="KPC11" s="1"/>
      <c r="KPD11" s="1"/>
      <c r="KPE11" s="1"/>
      <c r="KPF11" s="1"/>
      <c r="KPG11" s="1"/>
      <c r="KPH11" s="1"/>
      <c r="KPI11" s="1"/>
      <c r="KPJ11" s="1"/>
      <c r="KPK11" s="1"/>
      <c r="KPL11" s="1"/>
      <c r="KPM11" s="1"/>
      <c r="KPN11" s="1"/>
      <c r="KPO11" s="1"/>
      <c r="KPP11" s="1"/>
      <c r="KPQ11" s="1"/>
      <c r="KPR11" s="1"/>
      <c r="KPS11" s="1"/>
      <c r="KPT11" s="1"/>
      <c r="KPU11" s="1"/>
      <c r="KPV11" s="1"/>
      <c r="KPW11" s="1"/>
      <c r="KPX11" s="1"/>
      <c r="KPY11" s="1"/>
      <c r="KPZ11" s="1"/>
      <c r="KQA11" s="1"/>
      <c r="KQB11" s="1"/>
      <c r="KQC11" s="1"/>
      <c r="KQD11" s="1"/>
      <c r="KQE11" s="1"/>
      <c r="KQF11" s="1"/>
      <c r="KQG11" s="1"/>
      <c r="KQH11" s="1"/>
      <c r="KQI11" s="1"/>
      <c r="KQJ11" s="1"/>
      <c r="KQK11" s="1"/>
      <c r="KQL11" s="1"/>
      <c r="KQM11" s="1"/>
      <c r="KQN11" s="1"/>
      <c r="KQO11" s="1"/>
      <c r="KQP11" s="1"/>
      <c r="KQQ11" s="1"/>
      <c r="KQR11" s="1"/>
      <c r="KQS11" s="1"/>
      <c r="KQT11" s="1"/>
      <c r="KQU11" s="1"/>
      <c r="KQV11" s="1"/>
      <c r="KQW11" s="1"/>
      <c r="KQX11" s="1"/>
      <c r="KQY11" s="1"/>
      <c r="KQZ11" s="1"/>
      <c r="KRA11" s="1"/>
      <c r="KRB11" s="1"/>
      <c r="KRC11" s="1"/>
      <c r="KRD11" s="1"/>
      <c r="KRE11" s="1"/>
      <c r="KRF11" s="1"/>
      <c r="KRG11" s="1"/>
      <c r="KRH11" s="1"/>
      <c r="KRI11" s="1"/>
      <c r="KRJ11" s="1"/>
      <c r="KRK11" s="1"/>
      <c r="KRL11" s="1"/>
      <c r="KRM11" s="1"/>
      <c r="KRN11" s="1"/>
    </row>
    <row r="12" spans="1:7918">
      <c r="A12" s="1">
        <f t="shared" si="0"/>
        <v>7</v>
      </c>
      <c r="B12" s="255" t="s">
        <v>681</v>
      </c>
      <c r="C12" s="128">
        <v>3150162372</v>
      </c>
      <c r="D12" s="1307" t="s">
        <v>681</v>
      </c>
      <c r="E12" s="145" t="str">
        <f>VLOOKUP(B12,distribucion!G$8:FP$153,2,0)</f>
        <v>Analista Programador</v>
      </c>
      <c r="F12" s="128">
        <f>ROUND((VLOOKUP($B12,ECONACIONAL!$C$5:$AC$219,4,0)),2)</f>
        <v>30</v>
      </c>
      <c r="G12" s="128">
        <f>ROUND((VLOOKUP($B12,ECONACIONAL!$C$7:$AC$219,6,0)),2)</f>
        <v>4200</v>
      </c>
      <c r="H12" s="128">
        <f>ROUND((VLOOKUP($B12,ECONACIONAL!$C$7:$AC$219,7,0)),2)</f>
        <v>600</v>
      </c>
      <c r="I12" s="128">
        <f>ROUND((VLOOKUP($B12,ECONACIONAL!$C$7:$AC$219,9,0)),2)</f>
        <v>0</v>
      </c>
      <c r="J12" s="128">
        <f>ROUND((VLOOKUP($B12,ECONACIONAL!$C$7:$AC$219,10,0)),2)</f>
        <v>0</v>
      </c>
      <c r="K12" s="128">
        <f>ROUND((VLOOKUP($B12,ECONACIONAL!$C$7:$AC$219,11,0)),2)</f>
        <v>0</v>
      </c>
      <c r="L12" s="128">
        <f>ROUND((VLOOKUP($B12,ECONACIONAL!$C$7:$AC$219,12,0)),2)</f>
        <v>0</v>
      </c>
      <c r="M12" s="128">
        <f>ROUND((VLOOKUP($B12,ECONACIONAL!$C$7:$AC$219,14,0)),2)</f>
        <v>0</v>
      </c>
      <c r="N12" s="128">
        <f>ROUND((VLOOKUP($B12,ECONACIONAL!$C$7:$AC$219,15,0)),2)</f>
        <v>4800</v>
      </c>
      <c r="O12" s="128">
        <f>ROUND((VLOOKUP($B12,ECONACIONAL!$C$7:$AC$219,16,0)),2)</f>
        <v>202.86</v>
      </c>
      <c r="P12" s="128">
        <f>ROUND((VLOOKUP($B12,ECONACIONAL!$C$7:$AC$219,17,0)),2)</f>
        <v>21</v>
      </c>
      <c r="Q12" s="128">
        <f>ROUND((VLOOKUP($B12,ECONACIONAL!$C$7:$AC$219,18,0)),2)</f>
        <v>0</v>
      </c>
      <c r="R12" s="128">
        <f>ROUND((VLOOKUP($B12,ECONACIONAL!$C$7:$AC$219,19,0)),2)</f>
        <v>0</v>
      </c>
      <c r="S12" s="128">
        <f>ROUND((VLOOKUP($B12,ECONACIONAL!$C$7:$AC$219,20,0)),2)</f>
        <v>0</v>
      </c>
      <c r="T12" s="128">
        <f>ROUND((VLOOKUP($B12,ECONACIONAL!$C$7:$AC$219,21,0)),2)</f>
        <v>0</v>
      </c>
      <c r="U12" s="128">
        <f>ROUND((VLOOKUP($B12,ECONACIONAL!$C$7:$AC$219,22,0)),2)</f>
        <v>0</v>
      </c>
      <c r="V12" s="128">
        <f>ROUND((VLOOKUP($B12,ECONACIONAL!$C$7:$AC$219,23,0)),2)</f>
        <v>0</v>
      </c>
      <c r="W12" s="128">
        <f>ROUND((VLOOKUP($B12,ECONACIONAL!$C$7:$AC$219,24,0)),2)</f>
        <v>223.86</v>
      </c>
      <c r="X12" s="128">
        <f>ROUND((VLOOKUP($B12,ECONACIONAL!$C$7:$AC$219,25,0)),2)</f>
        <v>4576.1400000000003</v>
      </c>
      <c r="Y12" s="128">
        <f>ROUND((VLOOKUP($B12,ECONACIONAL!$C$7:$AC$219,26,0)),2)</f>
        <v>2288.0700000000002</v>
      </c>
      <c r="Z12" s="128">
        <f>ROUND((VLOOKUP($B12,ECONACIONAL!$C$7:$AC$219,27,0)),2)</f>
        <v>2288.0700000000002</v>
      </c>
      <c r="AA12" s="274">
        <v>16808582</v>
      </c>
      <c r="AB12" s="254" t="str">
        <f>+IFERROR(VLOOKUP(B12,#REF!,3,0),"")</f>
        <v/>
      </c>
    </row>
    <row r="13" spans="1:7918">
      <c r="A13" s="1">
        <f t="shared" si="0"/>
        <v>8</v>
      </c>
      <c r="B13" s="255" t="s">
        <v>682</v>
      </c>
      <c r="C13" s="128">
        <v>7172029105</v>
      </c>
      <c r="D13" s="1307" t="s">
        <v>682</v>
      </c>
      <c r="E13" s="145" t="str">
        <f>VLOOKUP(B13,distribucion!G$8:FP$153,2,0)</f>
        <v>Analista Programador</v>
      </c>
      <c r="F13" s="128">
        <f>ROUND((VLOOKUP($B13,ECONACIONAL!$C$5:$AC$219,4,0)),2)</f>
        <v>30</v>
      </c>
      <c r="G13" s="128">
        <f>ROUND((VLOOKUP($B13,ECONACIONAL!$C$7:$AC$219,6,0)),2)</f>
        <v>4200</v>
      </c>
      <c r="H13" s="128">
        <f>ROUND((VLOOKUP($B13,ECONACIONAL!$C$7:$AC$219,7,0)),2)</f>
        <v>600</v>
      </c>
      <c r="I13" s="128">
        <f>ROUND((VLOOKUP($B13,ECONACIONAL!$C$7:$AC$219,9,0)),2)</f>
        <v>0</v>
      </c>
      <c r="J13" s="128">
        <f>ROUND((VLOOKUP($B13,ECONACIONAL!$C$7:$AC$219,10,0)),2)</f>
        <v>0</v>
      </c>
      <c r="K13" s="128">
        <f>ROUND((VLOOKUP($B13,ECONACIONAL!$C$7:$AC$219,11,0)),2)</f>
        <v>0</v>
      </c>
      <c r="L13" s="128">
        <f>ROUND((VLOOKUP($B13,ECONACIONAL!$C$7:$AC$219,12,0)),2)</f>
        <v>0</v>
      </c>
      <c r="M13" s="128">
        <f>ROUND((VLOOKUP($B13,ECONACIONAL!$C$7:$AC$219,14,0)),2)</f>
        <v>0</v>
      </c>
      <c r="N13" s="128">
        <f>ROUND((VLOOKUP($B13,ECONACIONAL!$C$7:$AC$219,15,0)),2)</f>
        <v>4800</v>
      </c>
      <c r="O13" s="128">
        <f>ROUND((VLOOKUP($B13,ECONACIONAL!$C$7:$AC$219,16,0)),2)</f>
        <v>202.86</v>
      </c>
      <c r="P13" s="128">
        <f>ROUND((VLOOKUP($B13,ECONACIONAL!$C$7:$AC$219,17,0)),2)</f>
        <v>21</v>
      </c>
      <c r="Q13" s="128">
        <f>ROUND((VLOOKUP($B13,ECONACIONAL!$C$7:$AC$219,18,0)),2)</f>
        <v>0</v>
      </c>
      <c r="R13" s="128">
        <f>ROUND((VLOOKUP($B13,ECONACIONAL!$C$7:$AC$219,19,0)),2)</f>
        <v>0</v>
      </c>
      <c r="S13" s="128">
        <f>ROUND((VLOOKUP($B13,ECONACIONAL!$C$7:$AC$219,20,0)),2)</f>
        <v>0</v>
      </c>
      <c r="T13" s="128">
        <f>ROUND((VLOOKUP($B13,ECONACIONAL!$C$7:$AC$219,21,0)),2)</f>
        <v>0</v>
      </c>
      <c r="U13" s="128">
        <f>ROUND((VLOOKUP($B13,ECONACIONAL!$C$7:$AC$219,22,0)),2)</f>
        <v>0</v>
      </c>
      <c r="V13" s="128">
        <f>ROUND((VLOOKUP($B13,ECONACIONAL!$C$7:$AC$219,23,0)),2)</f>
        <v>0</v>
      </c>
      <c r="W13" s="128">
        <f>ROUND((VLOOKUP($B13,ECONACIONAL!$C$7:$AC$219,24,0)),2)</f>
        <v>223.86</v>
      </c>
      <c r="X13" s="128">
        <f>ROUND((VLOOKUP($B13,ECONACIONAL!$C$7:$AC$219,25,0)),2)</f>
        <v>4576.1400000000003</v>
      </c>
      <c r="Y13" s="128">
        <f>ROUND((VLOOKUP($B13,ECONACIONAL!$C$7:$AC$219,26,0)),2)</f>
        <v>2288.0700000000002</v>
      </c>
      <c r="Z13" s="128">
        <f>ROUND((VLOOKUP($B13,ECONACIONAL!$C$7:$AC$219,27,0)),2)</f>
        <v>2288.0700000000002</v>
      </c>
      <c r="AA13" s="274">
        <v>201600592749</v>
      </c>
      <c r="AB13" s="254" t="str">
        <f>+IFERROR(VLOOKUP(B13,#REF!,3,0),"")</f>
        <v/>
      </c>
    </row>
    <row r="14" spans="1:7918">
      <c r="A14" s="1">
        <f t="shared" si="0"/>
        <v>9</v>
      </c>
      <c r="B14" s="255" t="s">
        <v>418</v>
      </c>
      <c r="C14" s="168">
        <v>144442407</v>
      </c>
      <c r="D14" s="1307" t="s">
        <v>418</v>
      </c>
      <c r="E14" s="145" t="str">
        <f>VLOOKUP(B14,distribucion!G$8:FP$153,2,0)</f>
        <v>Auditor interno</v>
      </c>
      <c r="F14" s="128">
        <f>ROUND((VLOOKUP($B14,ECONACIONAL!$C$5:$AC$219,4,0)),2)</f>
        <v>30</v>
      </c>
      <c r="G14" s="128">
        <f>ROUND((VLOOKUP($B14,ECONACIONAL!$C$7:$AC$219,6,0)),2)</f>
        <v>8000</v>
      </c>
      <c r="H14" s="128">
        <f>ROUND((VLOOKUP($B14,ECONACIONAL!$C$7:$AC$219,7,0)),2)</f>
        <v>4000</v>
      </c>
      <c r="I14" s="128">
        <f>ROUND((VLOOKUP($B14,ECONACIONAL!$C$7:$AC$219,9,0)),2)</f>
        <v>0</v>
      </c>
      <c r="J14" s="128">
        <f>ROUND((VLOOKUP($B14,ECONACIONAL!$C$7:$AC$219,10,0)),2)</f>
        <v>0</v>
      </c>
      <c r="K14" s="128">
        <f>ROUND((VLOOKUP($B14,ECONACIONAL!$C$7:$AC$219,11,0)),2)</f>
        <v>0</v>
      </c>
      <c r="L14" s="128">
        <f>ROUND((VLOOKUP($B14,ECONACIONAL!$C$7:$AC$219,12,0)),2)</f>
        <v>0</v>
      </c>
      <c r="M14" s="128">
        <f>ROUND((VLOOKUP($B14,ECONACIONAL!$C$7:$AC$219,14,0)),2)</f>
        <v>0</v>
      </c>
      <c r="N14" s="128">
        <f>ROUND((VLOOKUP($B14,ECONACIONAL!$C$7:$AC$219,15,0)),2)</f>
        <v>12000</v>
      </c>
      <c r="O14" s="128">
        <f>ROUND((VLOOKUP($B14,ECONACIONAL!$C$7:$AC$219,16,0)),2)</f>
        <v>386.4</v>
      </c>
      <c r="P14" s="128">
        <f>ROUND((VLOOKUP($B14,ECONACIONAL!$C$7:$AC$219,17,0)),2)</f>
        <v>358.88</v>
      </c>
      <c r="Q14" s="128">
        <f>ROUND((VLOOKUP($B14,ECONACIONAL!$C$7:$AC$219,18,0)),2)</f>
        <v>0</v>
      </c>
      <c r="R14" s="128">
        <f>ROUND((VLOOKUP($B14,ECONACIONAL!$C$7:$AC$219,19,0)),2)</f>
        <v>0</v>
      </c>
      <c r="S14" s="128">
        <f>ROUND((VLOOKUP($B14,ECONACIONAL!$C$7:$AC$219,20,0)),2)</f>
        <v>0</v>
      </c>
      <c r="T14" s="128">
        <f>ROUND((VLOOKUP($B14,ECONACIONAL!$C$7:$AC$219,21,0)),2)</f>
        <v>0</v>
      </c>
      <c r="U14" s="128">
        <f>ROUND((VLOOKUP($B14,ECONACIONAL!$C$7:$AC$219,22,0)),2)</f>
        <v>0</v>
      </c>
      <c r="V14" s="128">
        <f>ROUND((VLOOKUP($B14,ECONACIONAL!$C$7:$AC$219,23,0)),2)</f>
        <v>350</v>
      </c>
      <c r="W14" s="128">
        <f>ROUND((VLOOKUP($B14,ECONACIONAL!$C$7:$AC$219,24,0)),2)</f>
        <v>1095.28</v>
      </c>
      <c r="X14" s="128">
        <f>ROUND((VLOOKUP($B14,ECONACIONAL!$C$7:$AC$219,25,0)),2)</f>
        <v>10904.72</v>
      </c>
      <c r="Y14" s="128">
        <f>ROUND((VLOOKUP($B14,ECONACIONAL!$C$7:$AC$219,26,0)),2)</f>
        <v>5452.36</v>
      </c>
      <c r="Z14" s="128">
        <f>ROUND((VLOOKUP($B14,ECONACIONAL!$C$7:$AC$219,27,0)),2)</f>
        <v>5452.36</v>
      </c>
      <c r="AA14" s="274"/>
      <c r="AB14" s="254" t="str">
        <f>+IFERROR(VLOOKUP(B14,#REF!,3,0),"")</f>
        <v/>
      </c>
    </row>
    <row r="15" spans="1:7918">
      <c r="A15" s="1">
        <f t="shared" si="0"/>
        <v>10</v>
      </c>
      <c r="B15" s="255" t="s">
        <v>611</v>
      </c>
      <c r="C15" s="999" t="s">
        <v>613</v>
      </c>
      <c r="D15" s="1307" t="s">
        <v>611</v>
      </c>
      <c r="E15" s="145" t="str">
        <f>VLOOKUP(B15,distribucion!G$8:FP$153,2,0)</f>
        <v>Gerente Financiero</v>
      </c>
      <c r="F15" s="128">
        <f>ROUND((VLOOKUP($B15,ECONACIONAL!$C$5:$AC$219,4,0)),2)</f>
        <v>30</v>
      </c>
      <c r="G15" s="128">
        <f>ROUND((VLOOKUP($B15,ECONACIONAL!$C$7:$AC$219,6,0)),2)</f>
        <v>20000</v>
      </c>
      <c r="H15" s="128">
        <f>ROUND((VLOOKUP($B15,ECONACIONAL!$C$7:$AC$219,7,0)),2)</f>
        <v>7000</v>
      </c>
      <c r="I15" s="128">
        <f>ROUND((VLOOKUP($B15,ECONACIONAL!$C$7:$AC$219,9,0)),2)</f>
        <v>0</v>
      </c>
      <c r="J15" s="128">
        <f>ROUND((VLOOKUP($B15,ECONACIONAL!$C$7:$AC$219,10,0)),2)</f>
        <v>0</v>
      </c>
      <c r="K15" s="128">
        <f>ROUND((VLOOKUP($B15,ECONACIONAL!$C$7:$AC$219,11,0)),2)</f>
        <v>0</v>
      </c>
      <c r="L15" s="128">
        <f>ROUND((VLOOKUP($B15,ECONACIONAL!$C$7:$AC$219,12,0)),2)</f>
        <v>0</v>
      </c>
      <c r="M15" s="128">
        <f>ROUND((VLOOKUP($B15,ECONACIONAL!$C$7:$AC$219,14,0)),2)</f>
        <v>0</v>
      </c>
      <c r="N15" s="128">
        <f>ROUND((VLOOKUP($B15,ECONACIONAL!$C$7:$AC$219,15,0)),2)</f>
        <v>27000</v>
      </c>
      <c r="O15" s="128">
        <f>ROUND((VLOOKUP($B15,ECONACIONAL!$C$7:$AC$219,16,0)),2)</f>
        <v>966</v>
      </c>
      <c r="P15" s="128">
        <f>ROUND((VLOOKUP($B15,ECONACIONAL!$C$7:$AC$219,17,0)),2)</f>
        <v>1108.97</v>
      </c>
      <c r="Q15" s="128">
        <f>ROUND((VLOOKUP($B15,ECONACIONAL!$C$7:$AC$219,18,0)),2)</f>
        <v>9519.84</v>
      </c>
      <c r="R15" s="128">
        <f>ROUND((VLOOKUP($B15,ECONACIONAL!$C$7:$AC$219,19,0)),2)</f>
        <v>0</v>
      </c>
      <c r="S15" s="128">
        <f>ROUND((VLOOKUP($B15,ECONACIONAL!$C$7:$AC$219,20,0)),2)</f>
        <v>0</v>
      </c>
      <c r="T15" s="128">
        <f>ROUND((VLOOKUP($B15,ECONACIONAL!$C$7:$AC$219,21,0)),2)</f>
        <v>0</v>
      </c>
      <c r="U15" s="128">
        <f>ROUND((VLOOKUP($B15,ECONACIONAL!$C$7:$AC$219,22,0)),2)</f>
        <v>0</v>
      </c>
      <c r="V15" s="128">
        <f>ROUND((VLOOKUP($B15,ECONACIONAL!$C$7:$AC$219,23,0)),2)</f>
        <v>0</v>
      </c>
      <c r="W15" s="128">
        <f>ROUND((VLOOKUP($B15,ECONACIONAL!$C$7:$AC$219,24,0)),2)</f>
        <v>11594.81</v>
      </c>
      <c r="X15" s="128">
        <f>ROUND((VLOOKUP($B15,ECONACIONAL!$C$7:$AC$219,25,0)),2)</f>
        <v>15405.19</v>
      </c>
      <c r="Y15" s="128">
        <f>ROUND((VLOOKUP($B15,ECONACIONAL!$C$7:$AC$219,26,0)),2)</f>
        <v>7702.59</v>
      </c>
      <c r="Z15" s="128">
        <f>ROUND((VLOOKUP($B15,ECONACIONAL!$C$7:$AC$219,27,0)),2)</f>
        <v>7702.6</v>
      </c>
      <c r="AA15" s="274">
        <v>284186186</v>
      </c>
      <c r="AB15" s="254" t="str">
        <f>+IFERROR(VLOOKUP(B15,#REF!,3,0),"")</f>
        <v/>
      </c>
    </row>
    <row r="16" spans="1:7918">
      <c r="A16" s="1">
        <f t="shared" si="0"/>
        <v>11</v>
      </c>
      <c r="B16" s="255" t="s">
        <v>461</v>
      </c>
      <c r="C16" s="148">
        <v>1940101114</v>
      </c>
      <c r="D16" s="1307" t="s">
        <v>461</v>
      </c>
      <c r="E16" s="145" t="str">
        <f>VLOOKUP(B16,distribucion!G$8:FP$153,2,0)</f>
        <v>Jefe de Operaciones Contables</v>
      </c>
      <c r="F16" s="128">
        <f>ROUND((VLOOKUP($B16,ECONACIONAL!$C$5:$AC$219,4,0)),2)</f>
        <v>30</v>
      </c>
      <c r="G16" s="128">
        <f>ROUND((VLOOKUP($B16,ECONACIONAL!$C$7:$AC$219,6,0)),2)</f>
        <v>10500</v>
      </c>
      <c r="H16" s="128">
        <f>ROUND((VLOOKUP($B16,ECONACIONAL!$C$7:$AC$219,7,0)),2)</f>
        <v>1800</v>
      </c>
      <c r="I16" s="128">
        <f>ROUND((VLOOKUP($B16,ECONACIONAL!$C$7:$AC$219,9,0)),2)</f>
        <v>0</v>
      </c>
      <c r="J16" s="128">
        <f>ROUND((VLOOKUP($B16,ECONACIONAL!$C$7:$AC$219,10,0)),2)</f>
        <v>0</v>
      </c>
      <c r="K16" s="128">
        <f>ROUND((VLOOKUP($B16,ECONACIONAL!$C$7:$AC$219,11,0)),2)</f>
        <v>0</v>
      </c>
      <c r="L16" s="128">
        <f>ROUND((VLOOKUP($B16,ECONACIONAL!$C$7:$AC$219,12,0)),2)</f>
        <v>0</v>
      </c>
      <c r="M16" s="128">
        <f>ROUND((VLOOKUP($B16,ECONACIONAL!$C$7:$AC$219,14,0)),2)</f>
        <v>0</v>
      </c>
      <c r="N16" s="128">
        <f>ROUND((VLOOKUP($B16,ECONACIONAL!$C$7:$AC$219,15,0)),2)</f>
        <v>12300</v>
      </c>
      <c r="O16" s="128">
        <f>ROUND((VLOOKUP($B16,ECONACIONAL!$C$7:$AC$219,16,0)),2)</f>
        <v>507.15</v>
      </c>
      <c r="P16" s="128">
        <f>ROUND((VLOOKUP($B16,ECONACIONAL!$C$7:$AC$219,17,0)),2)</f>
        <v>393.64</v>
      </c>
      <c r="Q16" s="128">
        <f>ROUND((VLOOKUP($B16,ECONACIONAL!$C$7:$AC$219,18,0)),2)</f>
        <v>0</v>
      </c>
      <c r="R16" s="128">
        <f>ROUND((VLOOKUP($B16,ECONACIONAL!$C$7:$AC$219,19,0)),2)</f>
        <v>200</v>
      </c>
      <c r="S16" s="128">
        <f>ROUND((VLOOKUP($B16,ECONACIONAL!$C$7:$AC$219,20,0)),2)</f>
        <v>0</v>
      </c>
      <c r="T16" s="128">
        <f>ROUND((VLOOKUP($B16,ECONACIONAL!$C$7:$AC$219,21,0)),2)</f>
        <v>0</v>
      </c>
      <c r="U16" s="128">
        <f>ROUND((VLOOKUP($B16,ECONACIONAL!$C$7:$AC$219,22,0)),2)</f>
        <v>0</v>
      </c>
      <c r="V16" s="128">
        <f>ROUND((VLOOKUP($B16,ECONACIONAL!$C$7:$AC$219,23,0)),2)</f>
        <v>1068</v>
      </c>
      <c r="W16" s="128">
        <f>ROUND((VLOOKUP($B16,ECONACIONAL!$C$7:$AC$219,24,0)),2)</f>
        <v>2168.79</v>
      </c>
      <c r="X16" s="128">
        <f>ROUND((VLOOKUP($B16,ECONACIONAL!$C$7:$AC$219,25,0)),2)</f>
        <v>10131.209999999999</v>
      </c>
      <c r="Y16" s="128">
        <f>ROUND((VLOOKUP($B16,ECONACIONAL!$C$7:$AC$219,26,0)),2)</f>
        <v>5699.6</v>
      </c>
      <c r="Z16" s="128">
        <f>ROUND((VLOOKUP($B16,ECONACIONAL!$C$7:$AC$219,27,0)),2)</f>
        <v>4431.6099999999997</v>
      </c>
      <c r="AA16" s="274">
        <v>182468835</v>
      </c>
      <c r="AB16" s="254" t="str">
        <f>+IFERROR(VLOOKUP(B16,#REF!,3,0),"")</f>
        <v/>
      </c>
    </row>
    <row r="17" spans="1:7918" s="163" customFormat="1">
      <c r="A17" s="1">
        <f t="shared" si="0"/>
        <v>12</v>
      </c>
      <c r="B17" s="255" t="s">
        <v>677</v>
      </c>
      <c r="C17" s="168">
        <v>20088217</v>
      </c>
      <c r="D17" s="1307" t="s">
        <v>677</v>
      </c>
      <c r="E17" s="145" t="str">
        <f>VLOOKUP(B17,distribucion!G$8:FP$153,2,0)</f>
        <v>Contador General</v>
      </c>
      <c r="F17" s="128">
        <f>ROUND((VLOOKUP($B17,ECONACIONAL!$C$5:$AC$219,4,0)),2)</f>
        <v>30</v>
      </c>
      <c r="G17" s="128">
        <f>ROUND((VLOOKUP($B17,ECONACIONAL!$C$7:$AC$219,6,0)),2)</f>
        <v>6000</v>
      </c>
      <c r="H17" s="128">
        <f>ROUND((VLOOKUP($B17,ECONACIONAL!$C$7:$AC$219,7,0)),2)</f>
        <v>4000</v>
      </c>
      <c r="I17" s="128">
        <f>ROUND((VLOOKUP($B17,ECONACIONAL!$C$7:$AC$219,9,0)),2)</f>
        <v>0</v>
      </c>
      <c r="J17" s="128">
        <f>ROUND((VLOOKUP($B17,ECONACIONAL!$C$7:$AC$219,10,0)),2)</f>
        <v>0</v>
      </c>
      <c r="K17" s="128">
        <f>ROUND((VLOOKUP($B17,ECONACIONAL!$C$7:$AC$219,11,0)),2)</f>
        <v>0</v>
      </c>
      <c r="L17" s="128">
        <f>ROUND((VLOOKUP($B17,ECONACIONAL!$C$7:$AC$219,12,0)),2)</f>
        <v>0</v>
      </c>
      <c r="M17" s="128">
        <f>ROUND((VLOOKUP($B17,ECONACIONAL!$C$7:$AC$219,14,0)),2)</f>
        <v>0</v>
      </c>
      <c r="N17" s="128">
        <f>ROUND((VLOOKUP($B17,ECONACIONAL!$C$7:$AC$219,15,0)),2)</f>
        <v>10000</v>
      </c>
      <c r="O17" s="128">
        <f>ROUND((VLOOKUP($B17,ECONACIONAL!$C$7:$AC$219,16,0)),2)</f>
        <v>289.8</v>
      </c>
      <c r="P17" s="128">
        <f>ROUND((VLOOKUP($B17,ECONACIONAL!$C$7:$AC$219,17,0)),2)</f>
        <v>289.94</v>
      </c>
      <c r="Q17" s="128">
        <f>ROUND((VLOOKUP($B17,ECONACIONAL!$C$7:$AC$219,18,0)),2)</f>
        <v>0</v>
      </c>
      <c r="R17" s="128">
        <f>ROUND((VLOOKUP($B17,ECONACIONAL!$C$7:$AC$219,19,0)),2)</f>
        <v>0</v>
      </c>
      <c r="S17" s="128">
        <f>ROUND((VLOOKUP($B17,ECONACIONAL!$C$7:$AC$219,20,0)),2)</f>
        <v>0</v>
      </c>
      <c r="T17" s="128">
        <f>ROUND((VLOOKUP($B17,ECONACIONAL!$C$7:$AC$219,21,0)),2)</f>
        <v>0</v>
      </c>
      <c r="U17" s="128">
        <f>ROUND((VLOOKUP($B17,ECONACIONAL!$C$7:$AC$219,22,0)),2)</f>
        <v>0</v>
      </c>
      <c r="V17" s="128">
        <f>ROUND((VLOOKUP($B17,ECONACIONAL!$C$7:$AC$219,23,0)),2)</f>
        <v>350</v>
      </c>
      <c r="W17" s="128">
        <f>ROUND((VLOOKUP($B17,ECONACIONAL!$C$7:$AC$219,24,0)),2)</f>
        <v>929.74</v>
      </c>
      <c r="X17" s="128">
        <f>ROUND((VLOOKUP($B17,ECONACIONAL!$C$7:$AC$219,25,0)),2)</f>
        <v>9070.26</v>
      </c>
      <c r="Y17" s="128">
        <f>ROUND((VLOOKUP($B17,ECONACIONAL!$C$7:$AC$219,26,0)),2)</f>
        <v>4035.13</v>
      </c>
      <c r="Z17" s="128">
        <f>ROUND((VLOOKUP($B17,ECONACIONAL!$C$7:$AC$219,27,0)),2)</f>
        <v>5035.13</v>
      </c>
      <c r="AA17" s="277"/>
      <c r="AB17" s="257" t="str">
        <f>+IFERROR(VLOOKUP(B17,#REF!,3,0),"")</f>
        <v/>
      </c>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c r="ALK17" s="1"/>
      <c r="ALL17" s="1"/>
      <c r="ALM17" s="1"/>
      <c r="ALN17" s="1"/>
      <c r="ALO17" s="1"/>
      <c r="ALP17" s="1"/>
      <c r="ALQ17" s="1"/>
      <c r="ALR17" s="1"/>
      <c r="ALS17" s="1"/>
      <c r="ALT17" s="1"/>
      <c r="ALU17" s="1"/>
      <c r="ALV17" s="1"/>
      <c r="ALW17" s="1"/>
      <c r="ALX17" s="1"/>
      <c r="ALY17" s="1"/>
      <c r="ALZ17" s="1"/>
      <c r="AMA17" s="1"/>
      <c r="AMB17" s="1"/>
      <c r="AMC17" s="1"/>
      <c r="AMD17" s="1"/>
      <c r="AME17" s="1"/>
      <c r="AMF17" s="1"/>
      <c r="AMG17" s="1"/>
      <c r="AMH17" s="1"/>
      <c r="AMI17" s="1"/>
      <c r="AMJ17" s="1"/>
      <c r="AMK17" s="1"/>
      <c r="AML17" s="1"/>
      <c r="AMM17" s="1"/>
      <c r="AMN17" s="1"/>
      <c r="AMO17" s="1"/>
      <c r="AMP17" s="1"/>
      <c r="AMQ17" s="1"/>
      <c r="AMR17" s="1"/>
      <c r="AMS17" s="1"/>
      <c r="AMT17" s="1"/>
      <c r="AMU17" s="1"/>
      <c r="AMV17" s="1"/>
      <c r="AMW17" s="1"/>
      <c r="AMX17" s="1"/>
      <c r="AMY17" s="1"/>
      <c r="AMZ17" s="1"/>
      <c r="ANA17" s="1"/>
      <c r="ANB17" s="1"/>
      <c r="ANC17" s="1"/>
      <c r="AND17" s="1"/>
      <c r="ANE17" s="1"/>
      <c r="ANF17" s="1"/>
      <c r="ANG17" s="1"/>
      <c r="ANH17" s="1"/>
      <c r="ANI17" s="1"/>
      <c r="ANJ17" s="1"/>
      <c r="ANK17" s="1"/>
      <c r="ANL17" s="1"/>
      <c r="ANM17" s="1"/>
      <c r="ANN17" s="1"/>
      <c r="ANO17" s="1"/>
      <c r="ANP17" s="1"/>
      <c r="ANQ17" s="1"/>
      <c r="ANR17" s="1"/>
      <c r="ANS17" s="1"/>
      <c r="ANT17" s="1"/>
      <c r="ANU17" s="1"/>
      <c r="ANV17" s="1"/>
      <c r="ANW17" s="1"/>
      <c r="ANX17" s="1"/>
      <c r="ANY17" s="1"/>
      <c r="ANZ17" s="1"/>
      <c r="AOA17" s="1"/>
      <c r="AOB17" s="1"/>
      <c r="AOC17" s="1"/>
      <c r="AOD17" s="1"/>
      <c r="AOE17" s="1"/>
      <c r="AOF17" s="1"/>
      <c r="AOG17" s="1"/>
      <c r="AOH17" s="1"/>
      <c r="AOI17" s="1"/>
      <c r="AOJ17" s="1"/>
      <c r="AOK17" s="1"/>
      <c r="AOL17" s="1"/>
      <c r="AOM17" s="1"/>
      <c r="AON17" s="1"/>
      <c r="AOO17" s="1"/>
      <c r="AOP17" s="1"/>
      <c r="AOQ17" s="1"/>
      <c r="AOR17" s="1"/>
      <c r="AOS17" s="1"/>
      <c r="AOT17" s="1"/>
      <c r="AOU17" s="1"/>
      <c r="AOV17" s="1"/>
      <c r="AOW17" s="1"/>
      <c r="AOX17" s="1"/>
      <c r="AOY17" s="1"/>
      <c r="AOZ17" s="1"/>
      <c r="APA17" s="1"/>
      <c r="APB17" s="1"/>
      <c r="APC17" s="1"/>
      <c r="APD17" s="1"/>
      <c r="APE17" s="1"/>
      <c r="APF17" s="1"/>
      <c r="APG17" s="1"/>
      <c r="APH17" s="1"/>
      <c r="API17" s="1"/>
      <c r="APJ17" s="1"/>
      <c r="APK17" s="1"/>
      <c r="APL17" s="1"/>
      <c r="APM17" s="1"/>
      <c r="APN17" s="1"/>
      <c r="APO17" s="1"/>
      <c r="APP17" s="1"/>
      <c r="APQ17" s="1"/>
      <c r="APR17" s="1"/>
      <c r="APS17" s="1"/>
      <c r="APT17" s="1"/>
      <c r="APU17" s="1"/>
      <c r="APV17" s="1"/>
      <c r="APW17" s="1"/>
      <c r="APX17" s="1"/>
      <c r="APY17" s="1"/>
      <c r="APZ17" s="1"/>
      <c r="AQA17" s="1"/>
      <c r="AQB17" s="1"/>
      <c r="AQC17" s="1"/>
      <c r="AQD17" s="1"/>
      <c r="AQE17" s="1"/>
      <c r="AQF17" s="1"/>
      <c r="AQG17" s="1"/>
      <c r="AQH17" s="1"/>
      <c r="AQI17" s="1"/>
      <c r="AQJ17" s="1"/>
      <c r="AQK17" s="1"/>
      <c r="AQL17" s="1"/>
      <c r="AQM17" s="1"/>
      <c r="AQN17" s="1"/>
      <c r="AQO17" s="1"/>
      <c r="AQP17" s="1"/>
      <c r="AQQ17" s="1"/>
      <c r="AQR17" s="1"/>
      <c r="AQS17" s="1"/>
      <c r="AQT17" s="1"/>
      <c r="AQU17" s="1"/>
      <c r="AQV17" s="1"/>
      <c r="AQW17" s="1"/>
      <c r="AQX17" s="1"/>
      <c r="AQY17" s="1"/>
      <c r="AQZ17" s="1"/>
      <c r="ARA17" s="1"/>
      <c r="ARB17" s="1"/>
      <c r="ARC17" s="1"/>
      <c r="ARD17" s="1"/>
      <c r="ARE17" s="1"/>
      <c r="ARF17" s="1"/>
      <c r="ARG17" s="1"/>
      <c r="ARH17" s="1"/>
      <c r="ARI17" s="1"/>
      <c r="ARJ17" s="1"/>
      <c r="ARK17" s="1"/>
      <c r="ARL17" s="1"/>
      <c r="ARM17" s="1"/>
      <c r="ARN17" s="1"/>
      <c r="ARO17" s="1"/>
      <c r="ARP17" s="1"/>
      <c r="ARQ17" s="1"/>
      <c r="ARR17" s="1"/>
      <c r="ARS17" s="1"/>
      <c r="ART17" s="1"/>
      <c r="ARU17" s="1"/>
      <c r="ARV17" s="1"/>
      <c r="ARW17" s="1"/>
      <c r="ARX17" s="1"/>
      <c r="ARY17" s="1"/>
      <c r="ARZ17" s="1"/>
      <c r="ASA17" s="1"/>
      <c r="ASB17" s="1"/>
      <c r="ASC17" s="1"/>
      <c r="ASD17" s="1"/>
      <c r="ASE17" s="1"/>
      <c r="ASF17" s="1"/>
      <c r="ASG17" s="1"/>
      <c r="ASH17" s="1"/>
      <c r="ASI17" s="1"/>
      <c r="ASJ17" s="1"/>
      <c r="ASK17" s="1"/>
      <c r="ASL17" s="1"/>
      <c r="ASM17" s="1"/>
      <c r="ASN17" s="1"/>
      <c r="ASO17" s="1"/>
      <c r="ASP17" s="1"/>
      <c r="ASQ17" s="1"/>
      <c r="ASR17" s="1"/>
      <c r="ASS17" s="1"/>
      <c r="AST17" s="1"/>
      <c r="ASU17" s="1"/>
      <c r="ASV17" s="1"/>
      <c r="ASW17" s="1"/>
      <c r="ASX17" s="1"/>
      <c r="ASY17" s="1"/>
      <c r="ASZ17" s="1"/>
      <c r="ATA17" s="1"/>
      <c r="ATB17" s="1"/>
      <c r="ATC17" s="1"/>
      <c r="ATD17" s="1"/>
      <c r="ATE17" s="1"/>
      <c r="ATF17" s="1"/>
      <c r="ATG17" s="1"/>
      <c r="ATH17" s="1"/>
      <c r="ATI17" s="1"/>
      <c r="ATJ17" s="1"/>
      <c r="ATK17" s="1"/>
      <c r="ATL17" s="1"/>
      <c r="ATM17" s="1"/>
      <c r="ATN17" s="1"/>
      <c r="ATO17" s="1"/>
      <c r="ATP17" s="1"/>
      <c r="ATQ17" s="1"/>
      <c r="ATR17" s="1"/>
      <c r="ATS17" s="1"/>
      <c r="ATT17" s="1"/>
      <c r="ATU17" s="1"/>
      <c r="ATV17" s="1"/>
      <c r="ATW17" s="1"/>
      <c r="ATX17" s="1"/>
      <c r="ATY17" s="1"/>
      <c r="ATZ17" s="1"/>
      <c r="AUA17" s="1"/>
      <c r="AUB17" s="1"/>
      <c r="AUC17" s="1"/>
      <c r="AUD17" s="1"/>
      <c r="AUE17" s="1"/>
      <c r="AUF17" s="1"/>
      <c r="AUG17" s="1"/>
      <c r="AUH17" s="1"/>
      <c r="AUI17" s="1"/>
      <c r="AUJ17" s="1"/>
      <c r="AUK17" s="1"/>
      <c r="AUL17" s="1"/>
      <c r="AUM17" s="1"/>
      <c r="AUN17" s="1"/>
      <c r="AUO17" s="1"/>
      <c r="AUP17" s="1"/>
      <c r="AUQ17" s="1"/>
      <c r="AUR17" s="1"/>
      <c r="AUS17" s="1"/>
      <c r="AUT17" s="1"/>
      <c r="AUU17" s="1"/>
      <c r="AUV17" s="1"/>
      <c r="AUW17" s="1"/>
      <c r="AUX17" s="1"/>
      <c r="AUY17" s="1"/>
      <c r="AUZ17" s="1"/>
      <c r="AVA17" s="1"/>
      <c r="AVB17" s="1"/>
      <c r="AVC17" s="1"/>
      <c r="AVD17" s="1"/>
      <c r="AVE17" s="1"/>
      <c r="AVF17" s="1"/>
      <c r="AVG17" s="1"/>
      <c r="AVH17" s="1"/>
      <c r="AVI17" s="1"/>
      <c r="AVJ17" s="1"/>
      <c r="AVK17" s="1"/>
      <c r="AVL17" s="1"/>
      <c r="AVM17" s="1"/>
      <c r="AVN17" s="1"/>
      <c r="AVO17" s="1"/>
      <c r="AVP17" s="1"/>
      <c r="AVQ17" s="1"/>
      <c r="AVR17" s="1"/>
      <c r="AVS17" s="1"/>
      <c r="AVT17" s="1"/>
      <c r="AVU17" s="1"/>
      <c r="AVV17" s="1"/>
      <c r="AVW17" s="1"/>
      <c r="AVX17" s="1"/>
      <c r="AVY17" s="1"/>
      <c r="AVZ17" s="1"/>
      <c r="AWA17" s="1"/>
      <c r="AWB17" s="1"/>
      <c r="AWC17" s="1"/>
      <c r="AWD17" s="1"/>
      <c r="AWE17" s="1"/>
      <c r="AWF17" s="1"/>
      <c r="AWG17" s="1"/>
      <c r="AWH17" s="1"/>
      <c r="AWI17" s="1"/>
      <c r="AWJ17" s="1"/>
      <c r="AWK17" s="1"/>
      <c r="AWL17" s="1"/>
      <c r="AWM17" s="1"/>
      <c r="AWN17" s="1"/>
      <c r="AWO17" s="1"/>
      <c r="AWP17" s="1"/>
      <c r="AWQ17" s="1"/>
      <c r="AWR17" s="1"/>
      <c r="AWS17" s="1"/>
      <c r="AWT17" s="1"/>
      <c r="AWU17" s="1"/>
      <c r="AWV17" s="1"/>
      <c r="AWW17" s="1"/>
      <c r="AWX17" s="1"/>
      <c r="AWY17" s="1"/>
      <c r="AWZ17" s="1"/>
      <c r="AXA17" s="1"/>
      <c r="AXB17" s="1"/>
      <c r="AXC17" s="1"/>
      <c r="AXD17" s="1"/>
      <c r="AXE17" s="1"/>
      <c r="AXF17" s="1"/>
      <c r="AXG17" s="1"/>
      <c r="AXH17" s="1"/>
      <c r="AXI17" s="1"/>
      <c r="AXJ17" s="1"/>
      <c r="AXK17" s="1"/>
      <c r="AXL17" s="1"/>
      <c r="AXM17" s="1"/>
      <c r="AXN17" s="1"/>
      <c r="AXO17" s="1"/>
      <c r="AXP17" s="1"/>
      <c r="AXQ17" s="1"/>
      <c r="AXR17" s="1"/>
      <c r="AXS17" s="1"/>
      <c r="AXT17" s="1"/>
      <c r="AXU17" s="1"/>
      <c r="AXV17" s="1"/>
      <c r="AXW17" s="1"/>
      <c r="AXX17" s="1"/>
      <c r="AXY17" s="1"/>
      <c r="AXZ17" s="1"/>
      <c r="AYA17" s="1"/>
      <c r="AYB17" s="1"/>
      <c r="AYC17" s="1"/>
      <c r="AYD17" s="1"/>
      <c r="AYE17" s="1"/>
      <c r="AYF17" s="1"/>
      <c r="AYG17" s="1"/>
      <c r="AYH17" s="1"/>
      <c r="AYI17" s="1"/>
      <c r="AYJ17" s="1"/>
      <c r="AYK17" s="1"/>
      <c r="AYL17" s="1"/>
      <c r="AYM17" s="1"/>
      <c r="AYN17" s="1"/>
      <c r="AYO17" s="1"/>
      <c r="AYP17" s="1"/>
      <c r="AYQ17" s="1"/>
      <c r="AYR17" s="1"/>
      <c r="AYS17" s="1"/>
      <c r="AYT17" s="1"/>
      <c r="AYU17" s="1"/>
      <c r="AYV17" s="1"/>
      <c r="AYW17" s="1"/>
      <c r="AYX17" s="1"/>
      <c r="AYY17" s="1"/>
      <c r="AYZ17" s="1"/>
      <c r="AZA17" s="1"/>
      <c r="AZB17" s="1"/>
      <c r="AZC17" s="1"/>
      <c r="AZD17" s="1"/>
      <c r="AZE17" s="1"/>
      <c r="AZF17" s="1"/>
      <c r="AZG17" s="1"/>
      <c r="AZH17" s="1"/>
      <c r="AZI17" s="1"/>
      <c r="AZJ17" s="1"/>
      <c r="AZK17" s="1"/>
      <c r="AZL17" s="1"/>
      <c r="AZM17" s="1"/>
      <c r="AZN17" s="1"/>
      <c r="AZO17" s="1"/>
      <c r="AZP17" s="1"/>
      <c r="AZQ17" s="1"/>
      <c r="AZR17" s="1"/>
      <c r="AZS17" s="1"/>
      <c r="AZT17" s="1"/>
      <c r="AZU17" s="1"/>
      <c r="AZV17" s="1"/>
      <c r="AZW17" s="1"/>
      <c r="AZX17" s="1"/>
      <c r="AZY17" s="1"/>
      <c r="AZZ17" s="1"/>
      <c r="BAA17" s="1"/>
      <c r="BAB17" s="1"/>
      <c r="BAC17" s="1"/>
      <c r="BAD17" s="1"/>
      <c r="BAE17" s="1"/>
      <c r="BAF17" s="1"/>
      <c r="BAG17" s="1"/>
      <c r="BAH17" s="1"/>
      <c r="BAI17" s="1"/>
      <c r="BAJ17" s="1"/>
      <c r="BAK17" s="1"/>
      <c r="BAL17" s="1"/>
      <c r="BAM17" s="1"/>
      <c r="BAN17" s="1"/>
      <c r="BAO17" s="1"/>
      <c r="BAP17" s="1"/>
      <c r="BAQ17" s="1"/>
      <c r="BAR17" s="1"/>
      <c r="BAS17" s="1"/>
      <c r="BAT17" s="1"/>
      <c r="BAU17" s="1"/>
      <c r="BAV17" s="1"/>
      <c r="BAW17" s="1"/>
      <c r="BAX17" s="1"/>
      <c r="BAY17" s="1"/>
      <c r="BAZ17" s="1"/>
      <c r="BBA17" s="1"/>
      <c r="BBB17" s="1"/>
      <c r="BBC17" s="1"/>
      <c r="BBD17" s="1"/>
      <c r="BBE17" s="1"/>
      <c r="BBF17" s="1"/>
      <c r="BBG17" s="1"/>
      <c r="BBH17" s="1"/>
      <c r="BBI17" s="1"/>
      <c r="BBJ17" s="1"/>
      <c r="BBK17" s="1"/>
      <c r="BBL17" s="1"/>
      <c r="BBM17" s="1"/>
      <c r="BBN17" s="1"/>
      <c r="BBO17" s="1"/>
      <c r="BBP17" s="1"/>
      <c r="BBQ17" s="1"/>
      <c r="BBR17" s="1"/>
      <c r="BBS17" s="1"/>
      <c r="BBT17" s="1"/>
      <c r="BBU17" s="1"/>
      <c r="BBV17" s="1"/>
      <c r="BBW17" s="1"/>
      <c r="BBX17" s="1"/>
      <c r="BBY17" s="1"/>
      <c r="BBZ17" s="1"/>
      <c r="BCA17" s="1"/>
      <c r="BCB17" s="1"/>
      <c r="BCC17" s="1"/>
      <c r="BCD17" s="1"/>
      <c r="BCE17" s="1"/>
      <c r="BCF17" s="1"/>
      <c r="BCG17" s="1"/>
      <c r="BCH17" s="1"/>
      <c r="BCI17" s="1"/>
      <c r="BCJ17" s="1"/>
      <c r="BCK17" s="1"/>
      <c r="BCL17" s="1"/>
      <c r="BCM17" s="1"/>
      <c r="BCN17" s="1"/>
      <c r="BCO17" s="1"/>
      <c r="BCP17" s="1"/>
      <c r="BCQ17" s="1"/>
      <c r="BCR17" s="1"/>
      <c r="BCS17" s="1"/>
      <c r="BCT17" s="1"/>
      <c r="BCU17" s="1"/>
      <c r="BCV17" s="1"/>
      <c r="BCW17" s="1"/>
      <c r="BCX17" s="1"/>
      <c r="BCY17" s="1"/>
      <c r="BCZ17" s="1"/>
      <c r="BDA17" s="1"/>
      <c r="BDB17" s="1"/>
      <c r="BDC17" s="1"/>
      <c r="BDD17" s="1"/>
      <c r="BDE17" s="1"/>
      <c r="BDF17" s="1"/>
      <c r="BDG17" s="1"/>
      <c r="BDH17" s="1"/>
      <c r="BDI17" s="1"/>
      <c r="BDJ17" s="1"/>
      <c r="BDK17" s="1"/>
      <c r="BDL17" s="1"/>
      <c r="BDM17" s="1"/>
      <c r="BDN17" s="1"/>
      <c r="BDO17" s="1"/>
      <c r="BDP17" s="1"/>
      <c r="BDQ17" s="1"/>
      <c r="BDR17" s="1"/>
      <c r="BDS17" s="1"/>
      <c r="BDT17" s="1"/>
      <c r="BDU17" s="1"/>
      <c r="BDV17" s="1"/>
      <c r="BDW17" s="1"/>
      <c r="BDX17" s="1"/>
      <c r="BDY17" s="1"/>
      <c r="BDZ17" s="1"/>
      <c r="BEA17" s="1"/>
      <c r="BEB17" s="1"/>
      <c r="BEC17" s="1"/>
      <c r="BED17" s="1"/>
      <c r="BEE17" s="1"/>
      <c r="BEF17" s="1"/>
      <c r="BEG17" s="1"/>
      <c r="BEH17" s="1"/>
      <c r="BEI17" s="1"/>
      <c r="BEJ17" s="1"/>
      <c r="BEK17" s="1"/>
      <c r="BEL17" s="1"/>
      <c r="BEM17" s="1"/>
      <c r="BEN17" s="1"/>
      <c r="BEO17" s="1"/>
      <c r="BEP17" s="1"/>
      <c r="BEQ17" s="1"/>
      <c r="BER17" s="1"/>
      <c r="BES17" s="1"/>
      <c r="BET17" s="1"/>
      <c r="BEU17" s="1"/>
      <c r="BEV17" s="1"/>
      <c r="BEW17" s="1"/>
      <c r="BEX17" s="1"/>
      <c r="BEY17" s="1"/>
      <c r="BEZ17" s="1"/>
      <c r="BFA17" s="1"/>
      <c r="BFB17" s="1"/>
      <c r="BFC17" s="1"/>
      <c r="BFD17" s="1"/>
      <c r="BFE17" s="1"/>
      <c r="BFF17" s="1"/>
      <c r="BFG17" s="1"/>
      <c r="BFH17" s="1"/>
      <c r="BFI17" s="1"/>
      <c r="BFJ17" s="1"/>
      <c r="BFK17" s="1"/>
      <c r="BFL17" s="1"/>
      <c r="BFM17" s="1"/>
      <c r="BFN17" s="1"/>
      <c r="BFO17" s="1"/>
      <c r="BFP17" s="1"/>
      <c r="BFQ17" s="1"/>
      <c r="BFR17" s="1"/>
      <c r="BFS17" s="1"/>
      <c r="BFT17" s="1"/>
      <c r="BFU17" s="1"/>
      <c r="BFV17" s="1"/>
      <c r="BFW17" s="1"/>
      <c r="BFX17" s="1"/>
      <c r="BFY17" s="1"/>
      <c r="BFZ17" s="1"/>
      <c r="BGA17" s="1"/>
      <c r="BGB17" s="1"/>
      <c r="BGC17" s="1"/>
      <c r="BGD17" s="1"/>
      <c r="BGE17" s="1"/>
      <c r="BGF17" s="1"/>
      <c r="BGG17" s="1"/>
      <c r="BGH17" s="1"/>
      <c r="BGI17" s="1"/>
      <c r="BGJ17" s="1"/>
      <c r="BGK17" s="1"/>
      <c r="BGL17" s="1"/>
      <c r="BGM17" s="1"/>
      <c r="BGN17" s="1"/>
      <c r="BGO17" s="1"/>
      <c r="BGP17" s="1"/>
      <c r="BGQ17" s="1"/>
      <c r="BGR17" s="1"/>
      <c r="BGS17" s="1"/>
      <c r="BGT17" s="1"/>
      <c r="BGU17" s="1"/>
      <c r="BGV17" s="1"/>
      <c r="BGW17" s="1"/>
      <c r="BGX17" s="1"/>
      <c r="BGY17" s="1"/>
      <c r="BGZ17" s="1"/>
      <c r="BHA17" s="1"/>
      <c r="BHB17" s="1"/>
      <c r="BHC17" s="1"/>
      <c r="BHD17" s="1"/>
      <c r="BHE17" s="1"/>
      <c r="BHF17" s="1"/>
      <c r="BHG17" s="1"/>
      <c r="BHH17" s="1"/>
      <c r="BHI17" s="1"/>
      <c r="BHJ17" s="1"/>
      <c r="BHK17" s="1"/>
      <c r="BHL17" s="1"/>
      <c r="BHM17" s="1"/>
      <c r="BHN17" s="1"/>
      <c r="BHO17" s="1"/>
      <c r="BHP17" s="1"/>
      <c r="BHQ17" s="1"/>
      <c r="BHR17" s="1"/>
      <c r="BHS17" s="1"/>
      <c r="BHT17" s="1"/>
      <c r="BHU17" s="1"/>
      <c r="BHV17" s="1"/>
      <c r="BHW17" s="1"/>
      <c r="BHX17" s="1"/>
      <c r="BHY17" s="1"/>
      <c r="BHZ17" s="1"/>
      <c r="BIA17" s="1"/>
      <c r="BIB17" s="1"/>
      <c r="BIC17" s="1"/>
      <c r="BID17" s="1"/>
      <c r="BIE17" s="1"/>
      <c r="BIF17" s="1"/>
      <c r="BIG17" s="1"/>
      <c r="BIH17" s="1"/>
      <c r="BII17" s="1"/>
      <c r="BIJ17" s="1"/>
      <c r="BIK17" s="1"/>
      <c r="BIL17" s="1"/>
      <c r="BIM17" s="1"/>
      <c r="BIN17" s="1"/>
      <c r="BIO17" s="1"/>
      <c r="BIP17" s="1"/>
      <c r="BIQ17" s="1"/>
      <c r="BIR17" s="1"/>
      <c r="BIS17" s="1"/>
      <c r="BIT17" s="1"/>
      <c r="BIU17" s="1"/>
      <c r="BIV17" s="1"/>
      <c r="BIW17" s="1"/>
      <c r="BIX17" s="1"/>
      <c r="BIY17" s="1"/>
      <c r="BIZ17" s="1"/>
      <c r="BJA17" s="1"/>
      <c r="BJB17" s="1"/>
      <c r="BJC17" s="1"/>
      <c r="BJD17" s="1"/>
      <c r="BJE17" s="1"/>
      <c r="BJF17" s="1"/>
      <c r="BJG17" s="1"/>
      <c r="BJH17" s="1"/>
      <c r="BJI17" s="1"/>
      <c r="BJJ17" s="1"/>
      <c r="BJK17" s="1"/>
      <c r="BJL17" s="1"/>
      <c r="BJM17" s="1"/>
      <c r="BJN17" s="1"/>
      <c r="BJO17" s="1"/>
      <c r="BJP17" s="1"/>
      <c r="BJQ17" s="1"/>
      <c r="BJR17" s="1"/>
      <c r="BJS17" s="1"/>
      <c r="BJT17" s="1"/>
      <c r="BJU17" s="1"/>
      <c r="BJV17" s="1"/>
      <c r="BJW17" s="1"/>
      <c r="BJX17" s="1"/>
      <c r="BJY17" s="1"/>
      <c r="BJZ17" s="1"/>
      <c r="BKA17" s="1"/>
      <c r="BKB17" s="1"/>
      <c r="BKC17" s="1"/>
      <c r="BKD17" s="1"/>
      <c r="BKE17" s="1"/>
      <c r="BKF17" s="1"/>
      <c r="BKG17" s="1"/>
      <c r="BKH17" s="1"/>
      <c r="BKI17" s="1"/>
      <c r="BKJ17" s="1"/>
      <c r="BKK17" s="1"/>
      <c r="BKL17" s="1"/>
      <c r="BKM17" s="1"/>
      <c r="BKN17" s="1"/>
      <c r="BKO17" s="1"/>
      <c r="BKP17" s="1"/>
      <c r="BKQ17" s="1"/>
      <c r="BKR17" s="1"/>
      <c r="BKS17" s="1"/>
      <c r="BKT17" s="1"/>
      <c r="BKU17" s="1"/>
      <c r="BKV17" s="1"/>
      <c r="BKW17" s="1"/>
      <c r="BKX17" s="1"/>
      <c r="BKY17" s="1"/>
      <c r="BKZ17" s="1"/>
      <c r="BLA17" s="1"/>
      <c r="BLB17" s="1"/>
      <c r="BLC17" s="1"/>
      <c r="BLD17" s="1"/>
      <c r="BLE17" s="1"/>
      <c r="BLF17" s="1"/>
      <c r="BLG17" s="1"/>
      <c r="BLH17" s="1"/>
      <c r="BLI17" s="1"/>
      <c r="BLJ17" s="1"/>
      <c r="BLK17" s="1"/>
      <c r="BLL17" s="1"/>
      <c r="BLM17" s="1"/>
      <c r="BLN17" s="1"/>
      <c r="BLO17" s="1"/>
      <c r="BLP17" s="1"/>
      <c r="BLQ17" s="1"/>
      <c r="BLR17" s="1"/>
      <c r="BLS17" s="1"/>
      <c r="BLT17" s="1"/>
      <c r="BLU17" s="1"/>
      <c r="BLV17" s="1"/>
      <c r="BLW17" s="1"/>
      <c r="BLX17" s="1"/>
      <c r="BLY17" s="1"/>
      <c r="BLZ17" s="1"/>
      <c r="BMA17" s="1"/>
      <c r="BMB17" s="1"/>
      <c r="BMC17" s="1"/>
      <c r="BMD17" s="1"/>
      <c r="BME17" s="1"/>
      <c r="BMF17" s="1"/>
      <c r="BMG17" s="1"/>
      <c r="BMH17" s="1"/>
      <c r="BMI17" s="1"/>
      <c r="BMJ17" s="1"/>
      <c r="BMK17" s="1"/>
      <c r="BML17" s="1"/>
      <c r="BMM17" s="1"/>
      <c r="BMN17" s="1"/>
      <c r="BMO17" s="1"/>
      <c r="BMP17" s="1"/>
      <c r="BMQ17" s="1"/>
      <c r="BMR17" s="1"/>
      <c r="BMS17" s="1"/>
      <c r="BMT17" s="1"/>
      <c r="BMU17" s="1"/>
      <c r="BMV17" s="1"/>
      <c r="BMW17" s="1"/>
      <c r="BMX17" s="1"/>
      <c r="BMY17" s="1"/>
      <c r="BMZ17" s="1"/>
      <c r="BNA17" s="1"/>
      <c r="BNB17" s="1"/>
      <c r="BNC17" s="1"/>
      <c r="BND17" s="1"/>
      <c r="BNE17" s="1"/>
      <c r="BNF17" s="1"/>
      <c r="BNG17" s="1"/>
      <c r="BNH17" s="1"/>
      <c r="BNI17" s="1"/>
      <c r="BNJ17" s="1"/>
      <c r="BNK17" s="1"/>
      <c r="BNL17" s="1"/>
      <c r="BNM17" s="1"/>
      <c r="BNN17" s="1"/>
      <c r="BNO17" s="1"/>
      <c r="BNP17" s="1"/>
      <c r="BNQ17" s="1"/>
      <c r="BNR17" s="1"/>
      <c r="BNS17" s="1"/>
      <c r="BNT17" s="1"/>
      <c r="BNU17" s="1"/>
      <c r="BNV17" s="1"/>
      <c r="BNW17" s="1"/>
      <c r="BNX17" s="1"/>
      <c r="BNY17" s="1"/>
      <c r="BNZ17" s="1"/>
      <c r="BOA17" s="1"/>
      <c r="BOB17" s="1"/>
      <c r="BOC17" s="1"/>
      <c r="BOD17" s="1"/>
      <c r="BOE17" s="1"/>
      <c r="BOF17" s="1"/>
      <c r="BOG17" s="1"/>
      <c r="BOH17" s="1"/>
      <c r="BOI17" s="1"/>
      <c r="BOJ17" s="1"/>
      <c r="BOK17" s="1"/>
      <c r="BOL17" s="1"/>
      <c r="BOM17" s="1"/>
      <c r="BON17" s="1"/>
      <c r="BOO17" s="1"/>
      <c r="BOP17" s="1"/>
      <c r="BOQ17" s="1"/>
      <c r="BOR17" s="1"/>
      <c r="BOS17" s="1"/>
      <c r="BOT17" s="1"/>
      <c r="BOU17" s="1"/>
      <c r="BOV17" s="1"/>
      <c r="BOW17" s="1"/>
      <c r="BOX17" s="1"/>
      <c r="BOY17" s="1"/>
      <c r="BOZ17" s="1"/>
      <c r="BPA17" s="1"/>
      <c r="BPB17" s="1"/>
      <c r="BPC17" s="1"/>
      <c r="BPD17" s="1"/>
      <c r="BPE17" s="1"/>
      <c r="BPF17" s="1"/>
      <c r="BPG17" s="1"/>
      <c r="BPH17" s="1"/>
      <c r="BPI17" s="1"/>
      <c r="BPJ17" s="1"/>
      <c r="BPK17" s="1"/>
      <c r="BPL17" s="1"/>
      <c r="BPM17" s="1"/>
      <c r="BPN17" s="1"/>
      <c r="BPO17" s="1"/>
      <c r="BPP17" s="1"/>
      <c r="BPQ17" s="1"/>
      <c r="BPR17" s="1"/>
      <c r="BPS17" s="1"/>
      <c r="BPT17" s="1"/>
      <c r="BPU17" s="1"/>
      <c r="BPV17" s="1"/>
      <c r="BPW17" s="1"/>
      <c r="BPX17" s="1"/>
      <c r="BPY17" s="1"/>
      <c r="BPZ17" s="1"/>
      <c r="BQA17" s="1"/>
      <c r="BQB17" s="1"/>
      <c r="BQC17" s="1"/>
      <c r="BQD17" s="1"/>
      <c r="BQE17" s="1"/>
      <c r="BQF17" s="1"/>
      <c r="BQG17" s="1"/>
      <c r="BQH17" s="1"/>
      <c r="BQI17" s="1"/>
      <c r="BQJ17" s="1"/>
      <c r="BQK17" s="1"/>
      <c r="BQL17" s="1"/>
      <c r="BQM17" s="1"/>
      <c r="BQN17" s="1"/>
      <c r="BQO17" s="1"/>
      <c r="BQP17" s="1"/>
      <c r="BQQ17" s="1"/>
      <c r="BQR17" s="1"/>
      <c r="BQS17" s="1"/>
      <c r="BQT17" s="1"/>
      <c r="BQU17" s="1"/>
      <c r="BQV17" s="1"/>
      <c r="BQW17" s="1"/>
      <c r="BQX17" s="1"/>
      <c r="BQY17" s="1"/>
      <c r="BQZ17" s="1"/>
      <c r="BRA17" s="1"/>
      <c r="BRB17" s="1"/>
      <c r="BRC17" s="1"/>
      <c r="BRD17" s="1"/>
      <c r="BRE17" s="1"/>
      <c r="BRF17" s="1"/>
      <c r="BRG17" s="1"/>
      <c r="BRH17" s="1"/>
      <c r="BRI17" s="1"/>
      <c r="BRJ17" s="1"/>
      <c r="BRK17" s="1"/>
      <c r="BRL17" s="1"/>
      <c r="BRM17" s="1"/>
      <c r="BRN17" s="1"/>
      <c r="BRO17" s="1"/>
      <c r="BRP17" s="1"/>
      <c r="BRQ17" s="1"/>
      <c r="BRR17" s="1"/>
      <c r="BRS17" s="1"/>
      <c r="BRT17" s="1"/>
      <c r="BRU17" s="1"/>
      <c r="BRV17" s="1"/>
      <c r="BRW17" s="1"/>
      <c r="BRX17" s="1"/>
      <c r="BRY17" s="1"/>
      <c r="BRZ17" s="1"/>
      <c r="BSA17" s="1"/>
      <c r="BSB17" s="1"/>
      <c r="BSC17" s="1"/>
      <c r="BSD17" s="1"/>
      <c r="BSE17" s="1"/>
      <c r="BSF17" s="1"/>
      <c r="BSG17" s="1"/>
      <c r="BSH17" s="1"/>
      <c r="BSI17" s="1"/>
      <c r="BSJ17" s="1"/>
      <c r="BSK17" s="1"/>
      <c r="BSL17" s="1"/>
      <c r="BSM17" s="1"/>
      <c r="BSN17" s="1"/>
      <c r="BSO17" s="1"/>
      <c r="BSP17" s="1"/>
      <c r="BSQ17" s="1"/>
      <c r="BSR17" s="1"/>
      <c r="BSS17" s="1"/>
      <c r="BST17" s="1"/>
      <c r="BSU17" s="1"/>
      <c r="BSV17" s="1"/>
      <c r="BSW17" s="1"/>
      <c r="BSX17" s="1"/>
      <c r="BSY17" s="1"/>
      <c r="BSZ17" s="1"/>
      <c r="BTA17" s="1"/>
      <c r="BTB17" s="1"/>
      <c r="BTC17" s="1"/>
      <c r="BTD17" s="1"/>
      <c r="BTE17" s="1"/>
      <c r="BTF17" s="1"/>
      <c r="BTG17" s="1"/>
      <c r="BTH17" s="1"/>
      <c r="BTI17" s="1"/>
      <c r="BTJ17" s="1"/>
      <c r="BTK17" s="1"/>
      <c r="BTL17" s="1"/>
      <c r="BTM17" s="1"/>
      <c r="BTN17" s="1"/>
      <c r="BTO17" s="1"/>
      <c r="BTP17" s="1"/>
      <c r="BTQ17" s="1"/>
      <c r="BTR17" s="1"/>
      <c r="BTS17" s="1"/>
      <c r="BTT17" s="1"/>
      <c r="BTU17" s="1"/>
      <c r="BTV17" s="1"/>
      <c r="BTW17" s="1"/>
      <c r="BTX17" s="1"/>
      <c r="BTY17" s="1"/>
      <c r="BTZ17" s="1"/>
      <c r="BUA17" s="1"/>
      <c r="BUB17" s="1"/>
      <c r="BUC17" s="1"/>
      <c r="BUD17" s="1"/>
      <c r="BUE17" s="1"/>
      <c r="BUF17" s="1"/>
      <c r="BUG17" s="1"/>
      <c r="BUH17" s="1"/>
      <c r="BUI17" s="1"/>
      <c r="BUJ17" s="1"/>
      <c r="BUK17" s="1"/>
      <c r="BUL17" s="1"/>
      <c r="BUM17" s="1"/>
      <c r="BUN17" s="1"/>
      <c r="BUO17" s="1"/>
      <c r="BUP17" s="1"/>
      <c r="BUQ17" s="1"/>
      <c r="BUR17" s="1"/>
      <c r="BUS17" s="1"/>
      <c r="BUT17" s="1"/>
      <c r="BUU17" s="1"/>
      <c r="BUV17" s="1"/>
      <c r="BUW17" s="1"/>
      <c r="BUX17" s="1"/>
      <c r="BUY17" s="1"/>
      <c r="BUZ17" s="1"/>
      <c r="BVA17" s="1"/>
      <c r="BVB17" s="1"/>
      <c r="BVC17" s="1"/>
      <c r="BVD17" s="1"/>
      <c r="BVE17" s="1"/>
      <c r="BVF17" s="1"/>
      <c r="BVG17" s="1"/>
      <c r="BVH17" s="1"/>
      <c r="BVI17" s="1"/>
      <c r="BVJ17" s="1"/>
      <c r="BVK17" s="1"/>
      <c r="BVL17" s="1"/>
      <c r="BVM17" s="1"/>
      <c r="BVN17" s="1"/>
      <c r="BVO17" s="1"/>
      <c r="BVP17" s="1"/>
      <c r="BVQ17" s="1"/>
      <c r="BVR17" s="1"/>
      <c r="BVS17" s="1"/>
      <c r="BVT17" s="1"/>
      <c r="BVU17" s="1"/>
      <c r="BVV17" s="1"/>
      <c r="BVW17" s="1"/>
      <c r="BVX17" s="1"/>
      <c r="BVY17" s="1"/>
      <c r="BVZ17" s="1"/>
      <c r="BWA17" s="1"/>
      <c r="BWB17" s="1"/>
      <c r="BWC17" s="1"/>
      <c r="BWD17" s="1"/>
      <c r="BWE17" s="1"/>
      <c r="BWF17" s="1"/>
      <c r="BWG17" s="1"/>
      <c r="BWH17" s="1"/>
      <c r="BWI17" s="1"/>
      <c r="BWJ17" s="1"/>
      <c r="BWK17" s="1"/>
      <c r="BWL17" s="1"/>
      <c r="BWM17" s="1"/>
      <c r="BWN17" s="1"/>
      <c r="BWO17" s="1"/>
      <c r="BWP17" s="1"/>
      <c r="BWQ17" s="1"/>
      <c r="BWR17" s="1"/>
      <c r="BWS17" s="1"/>
      <c r="BWT17" s="1"/>
      <c r="BWU17" s="1"/>
      <c r="BWV17" s="1"/>
      <c r="BWW17" s="1"/>
      <c r="BWX17" s="1"/>
      <c r="BWY17" s="1"/>
      <c r="BWZ17" s="1"/>
      <c r="BXA17" s="1"/>
      <c r="BXB17" s="1"/>
      <c r="BXC17" s="1"/>
      <c r="BXD17" s="1"/>
      <c r="BXE17" s="1"/>
      <c r="BXF17" s="1"/>
      <c r="BXG17" s="1"/>
      <c r="BXH17" s="1"/>
      <c r="BXI17" s="1"/>
      <c r="BXJ17" s="1"/>
      <c r="BXK17" s="1"/>
      <c r="BXL17" s="1"/>
      <c r="BXM17" s="1"/>
      <c r="BXN17" s="1"/>
      <c r="BXO17" s="1"/>
      <c r="BXP17" s="1"/>
      <c r="BXQ17" s="1"/>
      <c r="BXR17" s="1"/>
      <c r="BXS17" s="1"/>
      <c r="BXT17" s="1"/>
      <c r="BXU17" s="1"/>
      <c r="BXV17" s="1"/>
      <c r="BXW17" s="1"/>
      <c r="BXX17" s="1"/>
      <c r="BXY17" s="1"/>
      <c r="BXZ17" s="1"/>
      <c r="BYA17" s="1"/>
      <c r="BYB17" s="1"/>
      <c r="BYC17" s="1"/>
      <c r="BYD17" s="1"/>
      <c r="BYE17" s="1"/>
      <c r="BYF17" s="1"/>
      <c r="BYG17" s="1"/>
      <c r="BYH17" s="1"/>
      <c r="BYI17" s="1"/>
      <c r="BYJ17" s="1"/>
      <c r="BYK17" s="1"/>
      <c r="BYL17" s="1"/>
      <c r="BYM17" s="1"/>
      <c r="BYN17" s="1"/>
      <c r="BYO17" s="1"/>
      <c r="BYP17" s="1"/>
      <c r="BYQ17" s="1"/>
      <c r="BYR17" s="1"/>
      <c r="BYS17" s="1"/>
      <c r="BYT17" s="1"/>
      <c r="BYU17" s="1"/>
      <c r="BYV17" s="1"/>
      <c r="BYW17" s="1"/>
      <c r="BYX17" s="1"/>
      <c r="BYY17" s="1"/>
      <c r="BYZ17" s="1"/>
      <c r="BZA17" s="1"/>
      <c r="BZB17" s="1"/>
      <c r="BZC17" s="1"/>
      <c r="BZD17" s="1"/>
      <c r="BZE17" s="1"/>
      <c r="BZF17" s="1"/>
      <c r="BZG17" s="1"/>
      <c r="BZH17" s="1"/>
      <c r="BZI17" s="1"/>
      <c r="BZJ17" s="1"/>
      <c r="BZK17" s="1"/>
      <c r="BZL17" s="1"/>
      <c r="BZM17" s="1"/>
      <c r="BZN17" s="1"/>
      <c r="BZO17" s="1"/>
      <c r="BZP17" s="1"/>
      <c r="BZQ17" s="1"/>
      <c r="BZR17" s="1"/>
      <c r="BZS17" s="1"/>
      <c r="BZT17" s="1"/>
      <c r="BZU17" s="1"/>
      <c r="BZV17" s="1"/>
      <c r="BZW17" s="1"/>
      <c r="BZX17" s="1"/>
      <c r="BZY17" s="1"/>
      <c r="BZZ17" s="1"/>
      <c r="CAA17" s="1"/>
      <c r="CAB17" s="1"/>
      <c r="CAC17" s="1"/>
      <c r="CAD17" s="1"/>
      <c r="CAE17" s="1"/>
      <c r="CAF17" s="1"/>
      <c r="CAG17" s="1"/>
      <c r="CAH17" s="1"/>
      <c r="CAI17" s="1"/>
      <c r="CAJ17" s="1"/>
      <c r="CAK17" s="1"/>
      <c r="CAL17" s="1"/>
      <c r="CAM17" s="1"/>
      <c r="CAN17" s="1"/>
      <c r="CAO17" s="1"/>
      <c r="CAP17" s="1"/>
      <c r="CAQ17" s="1"/>
      <c r="CAR17" s="1"/>
      <c r="CAS17" s="1"/>
      <c r="CAT17" s="1"/>
      <c r="CAU17" s="1"/>
      <c r="CAV17" s="1"/>
      <c r="CAW17" s="1"/>
      <c r="CAX17" s="1"/>
      <c r="CAY17" s="1"/>
      <c r="CAZ17" s="1"/>
      <c r="CBA17" s="1"/>
      <c r="CBB17" s="1"/>
      <c r="CBC17" s="1"/>
      <c r="CBD17" s="1"/>
      <c r="CBE17" s="1"/>
      <c r="CBF17" s="1"/>
      <c r="CBG17" s="1"/>
      <c r="CBH17" s="1"/>
      <c r="CBI17" s="1"/>
      <c r="CBJ17" s="1"/>
      <c r="CBK17" s="1"/>
      <c r="CBL17" s="1"/>
      <c r="CBM17" s="1"/>
      <c r="CBN17" s="1"/>
      <c r="CBO17" s="1"/>
      <c r="CBP17" s="1"/>
      <c r="CBQ17" s="1"/>
      <c r="CBR17" s="1"/>
      <c r="CBS17" s="1"/>
      <c r="CBT17" s="1"/>
      <c r="CBU17" s="1"/>
      <c r="CBV17" s="1"/>
      <c r="CBW17" s="1"/>
      <c r="CBX17" s="1"/>
      <c r="CBY17" s="1"/>
      <c r="CBZ17" s="1"/>
      <c r="CCA17" s="1"/>
      <c r="CCB17" s="1"/>
      <c r="CCC17" s="1"/>
      <c r="CCD17" s="1"/>
      <c r="CCE17" s="1"/>
      <c r="CCF17" s="1"/>
      <c r="CCG17" s="1"/>
      <c r="CCH17" s="1"/>
      <c r="CCI17" s="1"/>
      <c r="CCJ17" s="1"/>
      <c r="CCK17" s="1"/>
      <c r="CCL17" s="1"/>
      <c r="CCM17" s="1"/>
      <c r="CCN17" s="1"/>
      <c r="CCO17" s="1"/>
      <c r="CCP17" s="1"/>
      <c r="CCQ17" s="1"/>
      <c r="CCR17" s="1"/>
      <c r="CCS17" s="1"/>
      <c r="CCT17" s="1"/>
      <c r="CCU17" s="1"/>
      <c r="CCV17" s="1"/>
      <c r="CCW17" s="1"/>
      <c r="CCX17" s="1"/>
      <c r="CCY17" s="1"/>
      <c r="CCZ17" s="1"/>
      <c r="CDA17" s="1"/>
      <c r="CDB17" s="1"/>
      <c r="CDC17" s="1"/>
      <c r="CDD17" s="1"/>
      <c r="CDE17" s="1"/>
      <c r="CDF17" s="1"/>
      <c r="CDG17" s="1"/>
      <c r="CDH17" s="1"/>
      <c r="CDI17" s="1"/>
      <c r="CDJ17" s="1"/>
      <c r="CDK17" s="1"/>
      <c r="CDL17" s="1"/>
      <c r="CDM17" s="1"/>
      <c r="CDN17" s="1"/>
      <c r="CDO17" s="1"/>
      <c r="CDP17" s="1"/>
      <c r="CDQ17" s="1"/>
      <c r="CDR17" s="1"/>
      <c r="CDS17" s="1"/>
      <c r="CDT17" s="1"/>
      <c r="CDU17" s="1"/>
      <c r="CDV17" s="1"/>
      <c r="CDW17" s="1"/>
      <c r="CDX17" s="1"/>
      <c r="CDY17" s="1"/>
      <c r="CDZ17" s="1"/>
      <c r="CEA17" s="1"/>
      <c r="CEB17" s="1"/>
      <c r="CEC17" s="1"/>
      <c r="CED17" s="1"/>
      <c r="CEE17" s="1"/>
      <c r="CEF17" s="1"/>
      <c r="CEG17" s="1"/>
      <c r="CEH17" s="1"/>
      <c r="CEI17" s="1"/>
      <c r="CEJ17" s="1"/>
      <c r="CEK17" s="1"/>
      <c r="CEL17" s="1"/>
      <c r="CEM17" s="1"/>
      <c r="CEN17" s="1"/>
      <c r="CEO17" s="1"/>
      <c r="CEP17" s="1"/>
      <c r="CEQ17" s="1"/>
      <c r="CER17" s="1"/>
      <c r="CES17" s="1"/>
      <c r="CET17" s="1"/>
      <c r="CEU17" s="1"/>
      <c r="CEV17" s="1"/>
      <c r="CEW17" s="1"/>
      <c r="CEX17" s="1"/>
      <c r="CEY17" s="1"/>
      <c r="CEZ17" s="1"/>
      <c r="CFA17" s="1"/>
      <c r="CFB17" s="1"/>
      <c r="CFC17" s="1"/>
      <c r="CFD17" s="1"/>
      <c r="CFE17" s="1"/>
      <c r="CFF17" s="1"/>
      <c r="CFG17" s="1"/>
      <c r="CFH17" s="1"/>
      <c r="CFI17" s="1"/>
      <c r="CFJ17" s="1"/>
      <c r="CFK17" s="1"/>
      <c r="CFL17" s="1"/>
      <c r="CFM17" s="1"/>
      <c r="CFN17" s="1"/>
      <c r="CFO17" s="1"/>
      <c r="CFP17" s="1"/>
      <c r="CFQ17" s="1"/>
      <c r="CFR17" s="1"/>
      <c r="CFS17" s="1"/>
      <c r="CFT17" s="1"/>
      <c r="CFU17" s="1"/>
      <c r="CFV17" s="1"/>
      <c r="CFW17" s="1"/>
      <c r="CFX17" s="1"/>
      <c r="CFY17" s="1"/>
      <c r="CFZ17" s="1"/>
      <c r="CGA17" s="1"/>
      <c r="CGB17" s="1"/>
      <c r="CGC17" s="1"/>
      <c r="CGD17" s="1"/>
      <c r="CGE17" s="1"/>
      <c r="CGF17" s="1"/>
      <c r="CGG17" s="1"/>
      <c r="CGH17" s="1"/>
      <c r="CGI17" s="1"/>
      <c r="CGJ17" s="1"/>
      <c r="CGK17" s="1"/>
      <c r="CGL17" s="1"/>
      <c r="CGM17" s="1"/>
      <c r="CGN17" s="1"/>
      <c r="CGO17" s="1"/>
      <c r="CGP17" s="1"/>
      <c r="CGQ17" s="1"/>
      <c r="CGR17" s="1"/>
      <c r="CGS17" s="1"/>
      <c r="CGT17" s="1"/>
      <c r="CGU17" s="1"/>
      <c r="CGV17" s="1"/>
      <c r="CGW17" s="1"/>
      <c r="CGX17" s="1"/>
      <c r="CGY17" s="1"/>
      <c r="CGZ17" s="1"/>
      <c r="CHA17" s="1"/>
      <c r="CHB17" s="1"/>
      <c r="CHC17" s="1"/>
      <c r="CHD17" s="1"/>
      <c r="CHE17" s="1"/>
      <c r="CHF17" s="1"/>
      <c r="CHG17" s="1"/>
      <c r="CHH17" s="1"/>
      <c r="CHI17" s="1"/>
      <c r="CHJ17" s="1"/>
      <c r="CHK17" s="1"/>
      <c r="CHL17" s="1"/>
      <c r="CHM17" s="1"/>
      <c r="CHN17" s="1"/>
      <c r="CHO17" s="1"/>
      <c r="CHP17" s="1"/>
      <c r="CHQ17" s="1"/>
      <c r="CHR17" s="1"/>
      <c r="CHS17" s="1"/>
      <c r="CHT17" s="1"/>
      <c r="CHU17" s="1"/>
      <c r="CHV17" s="1"/>
      <c r="CHW17" s="1"/>
      <c r="CHX17" s="1"/>
      <c r="CHY17" s="1"/>
      <c r="CHZ17" s="1"/>
      <c r="CIA17" s="1"/>
      <c r="CIB17" s="1"/>
      <c r="CIC17" s="1"/>
      <c r="CID17" s="1"/>
      <c r="CIE17" s="1"/>
      <c r="CIF17" s="1"/>
      <c r="CIG17" s="1"/>
      <c r="CIH17" s="1"/>
      <c r="CII17" s="1"/>
      <c r="CIJ17" s="1"/>
      <c r="CIK17" s="1"/>
      <c r="CIL17" s="1"/>
      <c r="CIM17" s="1"/>
      <c r="CIN17" s="1"/>
      <c r="CIO17" s="1"/>
      <c r="CIP17" s="1"/>
      <c r="CIQ17" s="1"/>
      <c r="CIR17" s="1"/>
      <c r="CIS17" s="1"/>
      <c r="CIT17" s="1"/>
      <c r="CIU17" s="1"/>
      <c r="CIV17" s="1"/>
      <c r="CIW17" s="1"/>
      <c r="CIX17" s="1"/>
      <c r="CIY17" s="1"/>
      <c r="CIZ17" s="1"/>
      <c r="CJA17" s="1"/>
      <c r="CJB17" s="1"/>
      <c r="CJC17" s="1"/>
      <c r="CJD17" s="1"/>
      <c r="CJE17" s="1"/>
      <c r="CJF17" s="1"/>
      <c r="CJG17" s="1"/>
      <c r="CJH17" s="1"/>
      <c r="CJI17" s="1"/>
      <c r="CJJ17" s="1"/>
      <c r="CJK17" s="1"/>
      <c r="CJL17" s="1"/>
      <c r="CJM17" s="1"/>
      <c r="CJN17" s="1"/>
      <c r="CJO17" s="1"/>
      <c r="CJP17" s="1"/>
      <c r="CJQ17" s="1"/>
      <c r="CJR17" s="1"/>
      <c r="CJS17" s="1"/>
      <c r="CJT17" s="1"/>
      <c r="CJU17" s="1"/>
      <c r="CJV17" s="1"/>
      <c r="CJW17" s="1"/>
      <c r="CJX17" s="1"/>
      <c r="CJY17" s="1"/>
      <c r="CJZ17" s="1"/>
      <c r="CKA17" s="1"/>
      <c r="CKB17" s="1"/>
      <c r="CKC17" s="1"/>
      <c r="CKD17" s="1"/>
      <c r="CKE17" s="1"/>
      <c r="CKF17" s="1"/>
      <c r="CKG17" s="1"/>
      <c r="CKH17" s="1"/>
      <c r="CKI17" s="1"/>
      <c r="CKJ17" s="1"/>
      <c r="CKK17" s="1"/>
      <c r="CKL17" s="1"/>
      <c r="CKM17" s="1"/>
      <c r="CKN17" s="1"/>
      <c r="CKO17" s="1"/>
      <c r="CKP17" s="1"/>
      <c r="CKQ17" s="1"/>
      <c r="CKR17" s="1"/>
      <c r="CKS17" s="1"/>
      <c r="CKT17" s="1"/>
      <c r="CKU17" s="1"/>
      <c r="CKV17" s="1"/>
      <c r="CKW17" s="1"/>
      <c r="CKX17" s="1"/>
      <c r="CKY17" s="1"/>
      <c r="CKZ17" s="1"/>
      <c r="CLA17" s="1"/>
      <c r="CLB17" s="1"/>
      <c r="CLC17" s="1"/>
      <c r="CLD17" s="1"/>
      <c r="CLE17" s="1"/>
      <c r="CLF17" s="1"/>
      <c r="CLG17" s="1"/>
      <c r="CLH17" s="1"/>
      <c r="CLI17" s="1"/>
      <c r="CLJ17" s="1"/>
      <c r="CLK17" s="1"/>
      <c r="CLL17" s="1"/>
      <c r="CLM17" s="1"/>
      <c r="CLN17" s="1"/>
      <c r="CLO17" s="1"/>
      <c r="CLP17" s="1"/>
      <c r="CLQ17" s="1"/>
      <c r="CLR17" s="1"/>
      <c r="CLS17" s="1"/>
      <c r="CLT17" s="1"/>
      <c r="CLU17" s="1"/>
      <c r="CLV17" s="1"/>
      <c r="CLW17" s="1"/>
      <c r="CLX17" s="1"/>
      <c r="CLY17" s="1"/>
      <c r="CLZ17" s="1"/>
      <c r="CMA17" s="1"/>
      <c r="CMB17" s="1"/>
      <c r="CMC17" s="1"/>
      <c r="CMD17" s="1"/>
      <c r="CME17" s="1"/>
      <c r="CMF17" s="1"/>
      <c r="CMG17" s="1"/>
      <c r="CMH17" s="1"/>
      <c r="CMI17" s="1"/>
      <c r="CMJ17" s="1"/>
      <c r="CMK17" s="1"/>
      <c r="CML17" s="1"/>
      <c r="CMM17" s="1"/>
      <c r="CMN17" s="1"/>
      <c r="CMO17" s="1"/>
      <c r="CMP17" s="1"/>
      <c r="CMQ17" s="1"/>
      <c r="CMR17" s="1"/>
      <c r="CMS17" s="1"/>
      <c r="CMT17" s="1"/>
      <c r="CMU17" s="1"/>
      <c r="CMV17" s="1"/>
      <c r="CMW17" s="1"/>
      <c r="CMX17" s="1"/>
      <c r="CMY17" s="1"/>
      <c r="CMZ17" s="1"/>
      <c r="CNA17" s="1"/>
      <c r="CNB17" s="1"/>
      <c r="CNC17" s="1"/>
      <c r="CND17" s="1"/>
      <c r="CNE17" s="1"/>
      <c r="CNF17" s="1"/>
      <c r="CNG17" s="1"/>
      <c r="CNH17" s="1"/>
      <c r="CNI17" s="1"/>
      <c r="CNJ17" s="1"/>
      <c r="CNK17" s="1"/>
      <c r="CNL17" s="1"/>
      <c r="CNM17" s="1"/>
      <c r="CNN17" s="1"/>
      <c r="CNO17" s="1"/>
      <c r="CNP17" s="1"/>
      <c r="CNQ17" s="1"/>
      <c r="CNR17" s="1"/>
      <c r="CNS17" s="1"/>
      <c r="CNT17" s="1"/>
      <c r="CNU17" s="1"/>
      <c r="CNV17" s="1"/>
      <c r="CNW17" s="1"/>
      <c r="CNX17" s="1"/>
      <c r="CNY17" s="1"/>
      <c r="CNZ17" s="1"/>
      <c r="COA17" s="1"/>
      <c r="COB17" s="1"/>
      <c r="COC17" s="1"/>
      <c r="COD17" s="1"/>
      <c r="COE17" s="1"/>
      <c r="COF17" s="1"/>
      <c r="COG17" s="1"/>
      <c r="COH17" s="1"/>
      <c r="COI17" s="1"/>
      <c r="COJ17" s="1"/>
      <c r="COK17" s="1"/>
      <c r="COL17" s="1"/>
      <c r="COM17" s="1"/>
      <c r="CON17" s="1"/>
      <c r="COO17" s="1"/>
      <c r="COP17" s="1"/>
      <c r="COQ17" s="1"/>
      <c r="COR17" s="1"/>
      <c r="COS17" s="1"/>
      <c r="COT17" s="1"/>
      <c r="COU17" s="1"/>
      <c r="COV17" s="1"/>
      <c r="COW17" s="1"/>
      <c r="COX17" s="1"/>
      <c r="COY17" s="1"/>
      <c r="COZ17" s="1"/>
      <c r="CPA17" s="1"/>
      <c r="CPB17" s="1"/>
      <c r="CPC17" s="1"/>
      <c r="CPD17" s="1"/>
      <c r="CPE17" s="1"/>
      <c r="CPF17" s="1"/>
      <c r="CPG17" s="1"/>
      <c r="CPH17" s="1"/>
      <c r="CPI17" s="1"/>
      <c r="CPJ17" s="1"/>
      <c r="CPK17" s="1"/>
      <c r="CPL17" s="1"/>
      <c r="CPM17" s="1"/>
      <c r="CPN17" s="1"/>
      <c r="CPO17" s="1"/>
      <c r="CPP17" s="1"/>
      <c r="CPQ17" s="1"/>
      <c r="CPR17" s="1"/>
      <c r="CPS17" s="1"/>
      <c r="CPT17" s="1"/>
      <c r="CPU17" s="1"/>
      <c r="CPV17" s="1"/>
      <c r="CPW17" s="1"/>
      <c r="CPX17" s="1"/>
      <c r="CPY17" s="1"/>
      <c r="CPZ17" s="1"/>
      <c r="CQA17" s="1"/>
      <c r="CQB17" s="1"/>
      <c r="CQC17" s="1"/>
      <c r="CQD17" s="1"/>
      <c r="CQE17" s="1"/>
      <c r="CQF17" s="1"/>
      <c r="CQG17" s="1"/>
      <c r="CQH17" s="1"/>
      <c r="CQI17" s="1"/>
      <c r="CQJ17" s="1"/>
      <c r="CQK17" s="1"/>
      <c r="CQL17" s="1"/>
      <c r="CQM17" s="1"/>
      <c r="CQN17" s="1"/>
      <c r="CQO17" s="1"/>
      <c r="CQP17" s="1"/>
      <c r="CQQ17" s="1"/>
      <c r="CQR17" s="1"/>
      <c r="CQS17" s="1"/>
      <c r="CQT17" s="1"/>
      <c r="CQU17" s="1"/>
      <c r="CQV17" s="1"/>
      <c r="CQW17" s="1"/>
      <c r="CQX17" s="1"/>
      <c r="CQY17" s="1"/>
      <c r="CQZ17" s="1"/>
      <c r="CRA17" s="1"/>
      <c r="CRB17" s="1"/>
      <c r="CRC17" s="1"/>
      <c r="CRD17" s="1"/>
      <c r="CRE17" s="1"/>
      <c r="CRF17" s="1"/>
      <c r="CRG17" s="1"/>
      <c r="CRH17" s="1"/>
      <c r="CRI17" s="1"/>
      <c r="CRJ17" s="1"/>
      <c r="CRK17" s="1"/>
      <c r="CRL17" s="1"/>
      <c r="CRM17" s="1"/>
      <c r="CRN17" s="1"/>
      <c r="CRO17" s="1"/>
      <c r="CRP17" s="1"/>
      <c r="CRQ17" s="1"/>
      <c r="CRR17" s="1"/>
      <c r="CRS17" s="1"/>
      <c r="CRT17" s="1"/>
      <c r="CRU17" s="1"/>
      <c r="CRV17" s="1"/>
      <c r="CRW17" s="1"/>
      <c r="CRX17" s="1"/>
      <c r="CRY17" s="1"/>
      <c r="CRZ17" s="1"/>
      <c r="CSA17" s="1"/>
      <c r="CSB17" s="1"/>
      <c r="CSC17" s="1"/>
      <c r="CSD17" s="1"/>
      <c r="CSE17" s="1"/>
      <c r="CSF17" s="1"/>
      <c r="CSG17" s="1"/>
      <c r="CSH17" s="1"/>
      <c r="CSI17" s="1"/>
      <c r="CSJ17" s="1"/>
      <c r="CSK17" s="1"/>
      <c r="CSL17" s="1"/>
      <c r="CSM17" s="1"/>
      <c r="CSN17" s="1"/>
      <c r="CSO17" s="1"/>
      <c r="CSP17" s="1"/>
      <c r="CSQ17" s="1"/>
      <c r="CSR17" s="1"/>
      <c r="CSS17" s="1"/>
      <c r="CST17" s="1"/>
      <c r="CSU17" s="1"/>
      <c r="CSV17" s="1"/>
      <c r="CSW17" s="1"/>
      <c r="CSX17" s="1"/>
      <c r="CSY17" s="1"/>
      <c r="CSZ17" s="1"/>
      <c r="CTA17" s="1"/>
      <c r="CTB17" s="1"/>
      <c r="CTC17" s="1"/>
      <c r="CTD17" s="1"/>
      <c r="CTE17" s="1"/>
      <c r="CTF17" s="1"/>
      <c r="CTG17" s="1"/>
      <c r="CTH17" s="1"/>
      <c r="CTI17" s="1"/>
      <c r="CTJ17" s="1"/>
      <c r="CTK17" s="1"/>
      <c r="CTL17" s="1"/>
      <c r="CTM17" s="1"/>
      <c r="CTN17" s="1"/>
      <c r="CTO17" s="1"/>
      <c r="CTP17" s="1"/>
      <c r="CTQ17" s="1"/>
      <c r="CTR17" s="1"/>
      <c r="CTS17" s="1"/>
      <c r="CTT17" s="1"/>
      <c r="CTU17" s="1"/>
      <c r="CTV17" s="1"/>
      <c r="CTW17" s="1"/>
      <c r="CTX17" s="1"/>
      <c r="CTY17" s="1"/>
      <c r="CTZ17" s="1"/>
      <c r="CUA17" s="1"/>
      <c r="CUB17" s="1"/>
      <c r="CUC17" s="1"/>
      <c r="CUD17" s="1"/>
      <c r="CUE17" s="1"/>
      <c r="CUF17" s="1"/>
      <c r="CUG17" s="1"/>
      <c r="CUH17" s="1"/>
      <c r="CUI17" s="1"/>
      <c r="CUJ17" s="1"/>
      <c r="CUK17" s="1"/>
      <c r="CUL17" s="1"/>
      <c r="CUM17" s="1"/>
      <c r="CUN17" s="1"/>
      <c r="CUO17" s="1"/>
      <c r="CUP17" s="1"/>
      <c r="CUQ17" s="1"/>
      <c r="CUR17" s="1"/>
      <c r="CUS17" s="1"/>
      <c r="CUT17" s="1"/>
      <c r="CUU17" s="1"/>
      <c r="CUV17" s="1"/>
      <c r="CUW17" s="1"/>
      <c r="CUX17" s="1"/>
      <c r="CUY17" s="1"/>
      <c r="CUZ17" s="1"/>
      <c r="CVA17" s="1"/>
      <c r="CVB17" s="1"/>
      <c r="CVC17" s="1"/>
      <c r="CVD17" s="1"/>
      <c r="CVE17" s="1"/>
      <c r="CVF17" s="1"/>
      <c r="CVG17" s="1"/>
      <c r="CVH17" s="1"/>
      <c r="CVI17" s="1"/>
      <c r="CVJ17" s="1"/>
      <c r="CVK17" s="1"/>
      <c r="CVL17" s="1"/>
      <c r="CVM17" s="1"/>
      <c r="CVN17" s="1"/>
      <c r="CVO17" s="1"/>
      <c r="CVP17" s="1"/>
      <c r="CVQ17" s="1"/>
      <c r="CVR17" s="1"/>
      <c r="CVS17" s="1"/>
      <c r="CVT17" s="1"/>
      <c r="CVU17" s="1"/>
      <c r="CVV17" s="1"/>
      <c r="CVW17" s="1"/>
      <c r="CVX17" s="1"/>
      <c r="CVY17" s="1"/>
      <c r="CVZ17" s="1"/>
      <c r="CWA17" s="1"/>
      <c r="CWB17" s="1"/>
      <c r="CWC17" s="1"/>
      <c r="CWD17" s="1"/>
      <c r="CWE17" s="1"/>
      <c r="CWF17" s="1"/>
      <c r="CWG17" s="1"/>
      <c r="CWH17" s="1"/>
      <c r="CWI17" s="1"/>
      <c r="CWJ17" s="1"/>
      <c r="CWK17" s="1"/>
      <c r="CWL17" s="1"/>
      <c r="CWM17" s="1"/>
      <c r="CWN17" s="1"/>
      <c r="CWO17" s="1"/>
      <c r="CWP17" s="1"/>
      <c r="CWQ17" s="1"/>
      <c r="CWR17" s="1"/>
      <c r="CWS17" s="1"/>
      <c r="CWT17" s="1"/>
      <c r="CWU17" s="1"/>
      <c r="CWV17" s="1"/>
      <c r="CWW17" s="1"/>
      <c r="CWX17" s="1"/>
      <c r="CWY17" s="1"/>
      <c r="CWZ17" s="1"/>
      <c r="CXA17" s="1"/>
      <c r="CXB17" s="1"/>
      <c r="CXC17" s="1"/>
      <c r="CXD17" s="1"/>
      <c r="CXE17" s="1"/>
      <c r="CXF17" s="1"/>
      <c r="CXG17" s="1"/>
      <c r="CXH17" s="1"/>
      <c r="CXI17" s="1"/>
      <c r="CXJ17" s="1"/>
      <c r="CXK17" s="1"/>
      <c r="CXL17" s="1"/>
      <c r="CXM17" s="1"/>
      <c r="CXN17" s="1"/>
      <c r="CXO17" s="1"/>
      <c r="CXP17" s="1"/>
      <c r="CXQ17" s="1"/>
      <c r="CXR17" s="1"/>
      <c r="CXS17" s="1"/>
      <c r="CXT17" s="1"/>
      <c r="CXU17" s="1"/>
      <c r="CXV17" s="1"/>
      <c r="CXW17" s="1"/>
      <c r="CXX17" s="1"/>
      <c r="CXY17" s="1"/>
      <c r="CXZ17" s="1"/>
      <c r="CYA17" s="1"/>
      <c r="CYB17" s="1"/>
      <c r="CYC17" s="1"/>
      <c r="CYD17" s="1"/>
      <c r="CYE17" s="1"/>
      <c r="CYF17" s="1"/>
      <c r="CYG17" s="1"/>
      <c r="CYH17" s="1"/>
      <c r="CYI17" s="1"/>
      <c r="CYJ17" s="1"/>
      <c r="CYK17" s="1"/>
      <c r="CYL17" s="1"/>
      <c r="CYM17" s="1"/>
      <c r="CYN17" s="1"/>
      <c r="CYO17" s="1"/>
      <c r="CYP17" s="1"/>
      <c r="CYQ17" s="1"/>
      <c r="CYR17" s="1"/>
      <c r="CYS17" s="1"/>
      <c r="CYT17" s="1"/>
      <c r="CYU17" s="1"/>
      <c r="CYV17" s="1"/>
      <c r="CYW17" s="1"/>
      <c r="CYX17" s="1"/>
      <c r="CYY17" s="1"/>
      <c r="CYZ17" s="1"/>
      <c r="CZA17" s="1"/>
      <c r="CZB17" s="1"/>
      <c r="CZC17" s="1"/>
      <c r="CZD17" s="1"/>
      <c r="CZE17" s="1"/>
      <c r="CZF17" s="1"/>
      <c r="CZG17" s="1"/>
      <c r="CZH17" s="1"/>
      <c r="CZI17" s="1"/>
      <c r="CZJ17" s="1"/>
      <c r="CZK17" s="1"/>
      <c r="CZL17" s="1"/>
      <c r="CZM17" s="1"/>
      <c r="CZN17" s="1"/>
      <c r="CZO17" s="1"/>
      <c r="CZP17" s="1"/>
      <c r="CZQ17" s="1"/>
      <c r="CZR17" s="1"/>
      <c r="CZS17" s="1"/>
      <c r="CZT17" s="1"/>
      <c r="CZU17" s="1"/>
      <c r="CZV17" s="1"/>
      <c r="CZW17" s="1"/>
      <c r="CZX17" s="1"/>
      <c r="CZY17" s="1"/>
      <c r="CZZ17" s="1"/>
      <c r="DAA17" s="1"/>
      <c r="DAB17" s="1"/>
      <c r="DAC17" s="1"/>
      <c r="DAD17" s="1"/>
      <c r="DAE17" s="1"/>
      <c r="DAF17" s="1"/>
      <c r="DAG17" s="1"/>
      <c r="DAH17" s="1"/>
      <c r="DAI17" s="1"/>
      <c r="DAJ17" s="1"/>
      <c r="DAK17" s="1"/>
      <c r="DAL17" s="1"/>
      <c r="DAM17" s="1"/>
      <c r="DAN17" s="1"/>
      <c r="DAO17" s="1"/>
      <c r="DAP17" s="1"/>
      <c r="DAQ17" s="1"/>
      <c r="DAR17" s="1"/>
      <c r="DAS17" s="1"/>
      <c r="DAT17" s="1"/>
      <c r="DAU17" s="1"/>
      <c r="DAV17" s="1"/>
      <c r="DAW17" s="1"/>
      <c r="DAX17" s="1"/>
      <c r="DAY17" s="1"/>
      <c r="DAZ17" s="1"/>
      <c r="DBA17" s="1"/>
      <c r="DBB17" s="1"/>
      <c r="DBC17" s="1"/>
      <c r="DBD17" s="1"/>
      <c r="DBE17" s="1"/>
      <c r="DBF17" s="1"/>
      <c r="DBG17" s="1"/>
      <c r="DBH17" s="1"/>
      <c r="DBI17" s="1"/>
      <c r="DBJ17" s="1"/>
      <c r="DBK17" s="1"/>
      <c r="DBL17" s="1"/>
      <c r="DBM17" s="1"/>
      <c r="DBN17" s="1"/>
      <c r="DBO17" s="1"/>
      <c r="DBP17" s="1"/>
      <c r="DBQ17" s="1"/>
      <c r="DBR17" s="1"/>
      <c r="DBS17" s="1"/>
      <c r="DBT17" s="1"/>
      <c r="DBU17" s="1"/>
      <c r="DBV17" s="1"/>
      <c r="DBW17" s="1"/>
      <c r="DBX17" s="1"/>
      <c r="DBY17" s="1"/>
      <c r="DBZ17" s="1"/>
      <c r="DCA17" s="1"/>
      <c r="DCB17" s="1"/>
      <c r="DCC17" s="1"/>
      <c r="DCD17" s="1"/>
      <c r="DCE17" s="1"/>
      <c r="DCF17" s="1"/>
      <c r="DCG17" s="1"/>
      <c r="DCH17" s="1"/>
      <c r="DCI17" s="1"/>
      <c r="DCJ17" s="1"/>
      <c r="DCK17" s="1"/>
      <c r="DCL17" s="1"/>
      <c r="DCM17" s="1"/>
      <c r="DCN17" s="1"/>
      <c r="DCO17" s="1"/>
      <c r="DCP17" s="1"/>
      <c r="DCQ17" s="1"/>
      <c r="DCR17" s="1"/>
      <c r="DCS17" s="1"/>
      <c r="DCT17" s="1"/>
      <c r="DCU17" s="1"/>
      <c r="DCV17" s="1"/>
      <c r="DCW17" s="1"/>
      <c r="DCX17" s="1"/>
      <c r="DCY17" s="1"/>
      <c r="DCZ17" s="1"/>
      <c r="DDA17" s="1"/>
      <c r="DDB17" s="1"/>
      <c r="DDC17" s="1"/>
      <c r="DDD17" s="1"/>
      <c r="DDE17" s="1"/>
      <c r="DDF17" s="1"/>
      <c r="DDG17" s="1"/>
      <c r="DDH17" s="1"/>
      <c r="DDI17" s="1"/>
      <c r="DDJ17" s="1"/>
      <c r="DDK17" s="1"/>
      <c r="DDL17" s="1"/>
      <c r="DDM17" s="1"/>
      <c r="DDN17" s="1"/>
      <c r="DDO17" s="1"/>
      <c r="DDP17" s="1"/>
      <c r="DDQ17" s="1"/>
      <c r="DDR17" s="1"/>
      <c r="DDS17" s="1"/>
      <c r="DDT17" s="1"/>
      <c r="DDU17" s="1"/>
      <c r="DDV17" s="1"/>
      <c r="DDW17" s="1"/>
      <c r="DDX17" s="1"/>
      <c r="DDY17" s="1"/>
      <c r="DDZ17" s="1"/>
      <c r="DEA17" s="1"/>
      <c r="DEB17" s="1"/>
      <c r="DEC17" s="1"/>
      <c r="DED17" s="1"/>
      <c r="DEE17" s="1"/>
      <c r="DEF17" s="1"/>
      <c r="DEG17" s="1"/>
      <c r="DEH17" s="1"/>
      <c r="DEI17" s="1"/>
      <c r="DEJ17" s="1"/>
      <c r="DEK17" s="1"/>
      <c r="DEL17" s="1"/>
      <c r="DEM17" s="1"/>
      <c r="DEN17" s="1"/>
      <c r="DEO17" s="1"/>
      <c r="DEP17" s="1"/>
      <c r="DEQ17" s="1"/>
      <c r="DER17" s="1"/>
      <c r="DES17" s="1"/>
      <c r="DET17" s="1"/>
      <c r="DEU17" s="1"/>
      <c r="DEV17" s="1"/>
      <c r="DEW17" s="1"/>
      <c r="DEX17" s="1"/>
      <c r="DEY17" s="1"/>
      <c r="DEZ17" s="1"/>
      <c r="DFA17" s="1"/>
      <c r="DFB17" s="1"/>
      <c r="DFC17" s="1"/>
      <c r="DFD17" s="1"/>
      <c r="DFE17" s="1"/>
      <c r="DFF17" s="1"/>
      <c r="DFG17" s="1"/>
      <c r="DFH17" s="1"/>
      <c r="DFI17" s="1"/>
      <c r="DFJ17" s="1"/>
      <c r="DFK17" s="1"/>
      <c r="DFL17" s="1"/>
      <c r="DFM17" s="1"/>
      <c r="DFN17" s="1"/>
      <c r="DFO17" s="1"/>
      <c r="DFP17" s="1"/>
      <c r="DFQ17" s="1"/>
      <c r="DFR17" s="1"/>
      <c r="DFS17" s="1"/>
      <c r="DFT17" s="1"/>
      <c r="DFU17" s="1"/>
      <c r="DFV17" s="1"/>
      <c r="DFW17" s="1"/>
      <c r="DFX17" s="1"/>
      <c r="DFY17" s="1"/>
      <c r="DFZ17" s="1"/>
      <c r="DGA17" s="1"/>
      <c r="DGB17" s="1"/>
      <c r="DGC17" s="1"/>
      <c r="DGD17" s="1"/>
      <c r="DGE17" s="1"/>
      <c r="DGF17" s="1"/>
      <c r="DGG17" s="1"/>
      <c r="DGH17" s="1"/>
      <c r="DGI17" s="1"/>
      <c r="DGJ17" s="1"/>
      <c r="DGK17" s="1"/>
      <c r="DGL17" s="1"/>
      <c r="DGM17" s="1"/>
      <c r="DGN17" s="1"/>
      <c r="DGO17" s="1"/>
      <c r="DGP17" s="1"/>
      <c r="DGQ17" s="1"/>
      <c r="DGR17" s="1"/>
      <c r="DGS17" s="1"/>
      <c r="DGT17" s="1"/>
      <c r="DGU17" s="1"/>
      <c r="DGV17" s="1"/>
      <c r="DGW17" s="1"/>
      <c r="DGX17" s="1"/>
      <c r="DGY17" s="1"/>
      <c r="DGZ17" s="1"/>
      <c r="DHA17" s="1"/>
      <c r="DHB17" s="1"/>
      <c r="DHC17" s="1"/>
      <c r="DHD17" s="1"/>
      <c r="DHE17" s="1"/>
      <c r="DHF17" s="1"/>
      <c r="DHG17" s="1"/>
      <c r="DHH17" s="1"/>
      <c r="DHI17" s="1"/>
      <c r="DHJ17" s="1"/>
      <c r="DHK17" s="1"/>
      <c r="DHL17" s="1"/>
      <c r="DHM17" s="1"/>
      <c r="DHN17" s="1"/>
      <c r="DHO17" s="1"/>
      <c r="DHP17" s="1"/>
      <c r="DHQ17" s="1"/>
      <c r="DHR17" s="1"/>
      <c r="DHS17" s="1"/>
      <c r="DHT17" s="1"/>
      <c r="DHU17" s="1"/>
      <c r="DHV17" s="1"/>
      <c r="DHW17" s="1"/>
      <c r="DHX17" s="1"/>
      <c r="DHY17" s="1"/>
      <c r="DHZ17" s="1"/>
      <c r="DIA17" s="1"/>
      <c r="DIB17" s="1"/>
      <c r="DIC17" s="1"/>
      <c r="DID17" s="1"/>
      <c r="DIE17" s="1"/>
      <c r="DIF17" s="1"/>
      <c r="DIG17" s="1"/>
      <c r="DIH17" s="1"/>
      <c r="DII17" s="1"/>
      <c r="DIJ17" s="1"/>
      <c r="DIK17" s="1"/>
      <c r="DIL17" s="1"/>
      <c r="DIM17" s="1"/>
      <c r="DIN17" s="1"/>
      <c r="DIO17" s="1"/>
      <c r="DIP17" s="1"/>
      <c r="DIQ17" s="1"/>
      <c r="DIR17" s="1"/>
      <c r="DIS17" s="1"/>
      <c r="DIT17" s="1"/>
      <c r="DIU17" s="1"/>
      <c r="DIV17" s="1"/>
      <c r="DIW17" s="1"/>
      <c r="DIX17" s="1"/>
      <c r="DIY17" s="1"/>
      <c r="DIZ17" s="1"/>
      <c r="DJA17" s="1"/>
      <c r="DJB17" s="1"/>
      <c r="DJC17" s="1"/>
      <c r="DJD17" s="1"/>
      <c r="DJE17" s="1"/>
      <c r="DJF17" s="1"/>
      <c r="DJG17" s="1"/>
      <c r="DJH17" s="1"/>
      <c r="DJI17" s="1"/>
      <c r="DJJ17" s="1"/>
      <c r="DJK17" s="1"/>
      <c r="DJL17" s="1"/>
      <c r="DJM17" s="1"/>
      <c r="DJN17" s="1"/>
      <c r="DJO17" s="1"/>
      <c r="DJP17" s="1"/>
      <c r="DJQ17" s="1"/>
      <c r="DJR17" s="1"/>
      <c r="DJS17" s="1"/>
      <c r="DJT17" s="1"/>
      <c r="DJU17" s="1"/>
      <c r="DJV17" s="1"/>
      <c r="DJW17" s="1"/>
      <c r="DJX17" s="1"/>
      <c r="DJY17" s="1"/>
      <c r="DJZ17" s="1"/>
      <c r="DKA17" s="1"/>
      <c r="DKB17" s="1"/>
      <c r="DKC17" s="1"/>
      <c r="DKD17" s="1"/>
      <c r="DKE17" s="1"/>
      <c r="DKF17" s="1"/>
      <c r="DKG17" s="1"/>
      <c r="DKH17" s="1"/>
      <c r="DKI17" s="1"/>
      <c r="DKJ17" s="1"/>
      <c r="DKK17" s="1"/>
      <c r="DKL17" s="1"/>
      <c r="DKM17" s="1"/>
      <c r="DKN17" s="1"/>
      <c r="DKO17" s="1"/>
      <c r="DKP17" s="1"/>
      <c r="DKQ17" s="1"/>
      <c r="DKR17" s="1"/>
      <c r="DKS17" s="1"/>
      <c r="DKT17" s="1"/>
      <c r="DKU17" s="1"/>
      <c r="DKV17" s="1"/>
      <c r="DKW17" s="1"/>
      <c r="DKX17" s="1"/>
      <c r="DKY17" s="1"/>
      <c r="DKZ17" s="1"/>
      <c r="DLA17" s="1"/>
      <c r="DLB17" s="1"/>
      <c r="DLC17" s="1"/>
      <c r="DLD17" s="1"/>
      <c r="DLE17" s="1"/>
      <c r="DLF17" s="1"/>
      <c r="DLG17" s="1"/>
      <c r="DLH17" s="1"/>
      <c r="DLI17" s="1"/>
      <c r="DLJ17" s="1"/>
      <c r="DLK17" s="1"/>
      <c r="DLL17" s="1"/>
      <c r="DLM17" s="1"/>
      <c r="DLN17" s="1"/>
      <c r="DLO17" s="1"/>
      <c r="DLP17" s="1"/>
      <c r="DLQ17" s="1"/>
      <c r="DLR17" s="1"/>
      <c r="DLS17" s="1"/>
      <c r="DLT17" s="1"/>
      <c r="DLU17" s="1"/>
      <c r="DLV17" s="1"/>
      <c r="DLW17" s="1"/>
      <c r="DLX17" s="1"/>
      <c r="DLY17" s="1"/>
      <c r="DLZ17" s="1"/>
      <c r="DMA17" s="1"/>
      <c r="DMB17" s="1"/>
      <c r="DMC17" s="1"/>
      <c r="DMD17" s="1"/>
      <c r="DME17" s="1"/>
      <c r="DMF17" s="1"/>
      <c r="DMG17" s="1"/>
      <c r="DMH17" s="1"/>
      <c r="DMI17" s="1"/>
      <c r="DMJ17" s="1"/>
      <c r="DMK17" s="1"/>
      <c r="DML17" s="1"/>
      <c r="DMM17" s="1"/>
      <c r="DMN17" s="1"/>
      <c r="DMO17" s="1"/>
      <c r="DMP17" s="1"/>
      <c r="DMQ17" s="1"/>
      <c r="DMR17" s="1"/>
      <c r="DMS17" s="1"/>
      <c r="DMT17" s="1"/>
      <c r="DMU17" s="1"/>
      <c r="DMV17" s="1"/>
      <c r="DMW17" s="1"/>
      <c r="DMX17" s="1"/>
      <c r="DMY17" s="1"/>
      <c r="DMZ17" s="1"/>
      <c r="DNA17" s="1"/>
      <c r="DNB17" s="1"/>
      <c r="DNC17" s="1"/>
      <c r="DND17" s="1"/>
      <c r="DNE17" s="1"/>
      <c r="DNF17" s="1"/>
      <c r="DNG17" s="1"/>
      <c r="DNH17" s="1"/>
      <c r="DNI17" s="1"/>
      <c r="DNJ17" s="1"/>
      <c r="DNK17" s="1"/>
      <c r="DNL17" s="1"/>
      <c r="DNM17" s="1"/>
      <c r="DNN17" s="1"/>
      <c r="DNO17" s="1"/>
      <c r="DNP17" s="1"/>
      <c r="DNQ17" s="1"/>
      <c r="DNR17" s="1"/>
      <c r="DNS17" s="1"/>
      <c r="DNT17" s="1"/>
      <c r="DNU17" s="1"/>
      <c r="DNV17" s="1"/>
      <c r="DNW17" s="1"/>
      <c r="DNX17" s="1"/>
      <c r="DNY17" s="1"/>
      <c r="DNZ17" s="1"/>
      <c r="DOA17" s="1"/>
      <c r="DOB17" s="1"/>
      <c r="DOC17" s="1"/>
      <c r="DOD17" s="1"/>
      <c r="DOE17" s="1"/>
      <c r="DOF17" s="1"/>
      <c r="DOG17" s="1"/>
      <c r="DOH17" s="1"/>
      <c r="DOI17" s="1"/>
      <c r="DOJ17" s="1"/>
      <c r="DOK17" s="1"/>
      <c r="DOL17" s="1"/>
      <c r="DOM17" s="1"/>
      <c r="DON17" s="1"/>
      <c r="DOO17" s="1"/>
      <c r="DOP17" s="1"/>
      <c r="DOQ17" s="1"/>
      <c r="DOR17" s="1"/>
      <c r="DOS17" s="1"/>
      <c r="DOT17" s="1"/>
      <c r="DOU17" s="1"/>
      <c r="DOV17" s="1"/>
      <c r="DOW17" s="1"/>
      <c r="DOX17" s="1"/>
      <c r="DOY17" s="1"/>
      <c r="DOZ17" s="1"/>
      <c r="DPA17" s="1"/>
      <c r="DPB17" s="1"/>
      <c r="DPC17" s="1"/>
      <c r="DPD17" s="1"/>
      <c r="DPE17" s="1"/>
      <c r="DPF17" s="1"/>
      <c r="DPG17" s="1"/>
      <c r="DPH17" s="1"/>
      <c r="DPI17" s="1"/>
      <c r="DPJ17" s="1"/>
      <c r="DPK17" s="1"/>
      <c r="DPL17" s="1"/>
      <c r="DPM17" s="1"/>
      <c r="DPN17" s="1"/>
      <c r="DPO17" s="1"/>
      <c r="DPP17" s="1"/>
      <c r="DPQ17" s="1"/>
      <c r="DPR17" s="1"/>
      <c r="DPS17" s="1"/>
      <c r="DPT17" s="1"/>
      <c r="DPU17" s="1"/>
      <c r="DPV17" s="1"/>
      <c r="DPW17" s="1"/>
      <c r="DPX17" s="1"/>
      <c r="DPY17" s="1"/>
      <c r="DPZ17" s="1"/>
      <c r="DQA17" s="1"/>
      <c r="DQB17" s="1"/>
      <c r="DQC17" s="1"/>
      <c r="DQD17" s="1"/>
      <c r="DQE17" s="1"/>
      <c r="DQF17" s="1"/>
      <c r="DQG17" s="1"/>
      <c r="DQH17" s="1"/>
      <c r="DQI17" s="1"/>
      <c r="DQJ17" s="1"/>
      <c r="DQK17" s="1"/>
      <c r="DQL17" s="1"/>
      <c r="DQM17" s="1"/>
      <c r="DQN17" s="1"/>
      <c r="DQO17" s="1"/>
      <c r="DQP17" s="1"/>
      <c r="DQQ17" s="1"/>
      <c r="DQR17" s="1"/>
      <c r="DQS17" s="1"/>
      <c r="DQT17" s="1"/>
      <c r="DQU17" s="1"/>
      <c r="DQV17" s="1"/>
      <c r="DQW17" s="1"/>
      <c r="DQX17" s="1"/>
      <c r="DQY17" s="1"/>
      <c r="DQZ17" s="1"/>
      <c r="DRA17" s="1"/>
      <c r="DRB17" s="1"/>
      <c r="DRC17" s="1"/>
      <c r="DRD17" s="1"/>
      <c r="DRE17" s="1"/>
      <c r="DRF17" s="1"/>
      <c r="DRG17" s="1"/>
      <c r="DRH17" s="1"/>
      <c r="DRI17" s="1"/>
      <c r="DRJ17" s="1"/>
      <c r="DRK17" s="1"/>
      <c r="DRL17" s="1"/>
      <c r="DRM17" s="1"/>
      <c r="DRN17" s="1"/>
      <c r="DRO17" s="1"/>
      <c r="DRP17" s="1"/>
      <c r="DRQ17" s="1"/>
      <c r="DRR17" s="1"/>
      <c r="DRS17" s="1"/>
      <c r="DRT17" s="1"/>
      <c r="DRU17" s="1"/>
      <c r="DRV17" s="1"/>
      <c r="DRW17" s="1"/>
      <c r="DRX17" s="1"/>
      <c r="DRY17" s="1"/>
      <c r="DRZ17" s="1"/>
      <c r="DSA17" s="1"/>
      <c r="DSB17" s="1"/>
      <c r="DSC17" s="1"/>
      <c r="DSD17" s="1"/>
      <c r="DSE17" s="1"/>
      <c r="DSF17" s="1"/>
      <c r="DSG17" s="1"/>
      <c r="DSH17" s="1"/>
      <c r="DSI17" s="1"/>
      <c r="DSJ17" s="1"/>
      <c r="DSK17" s="1"/>
      <c r="DSL17" s="1"/>
      <c r="DSM17" s="1"/>
      <c r="DSN17" s="1"/>
      <c r="DSO17" s="1"/>
      <c r="DSP17" s="1"/>
      <c r="DSQ17" s="1"/>
      <c r="DSR17" s="1"/>
      <c r="DSS17" s="1"/>
      <c r="DST17" s="1"/>
      <c r="DSU17" s="1"/>
      <c r="DSV17" s="1"/>
      <c r="DSW17" s="1"/>
      <c r="DSX17" s="1"/>
      <c r="DSY17" s="1"/>
      <c r="DSZ17" s="1"/>
      <c r="DTA17" s="1"/>
      <c r="DTB17" s="1"/>
      <c r="DTC17" s="1"/>
      <c r="DTD17" s="1"/>
      <c r="DTE17" s="1"/>
      <c r="DTF17" s="1"/>
      <c r="DTG17" s="1"/>
      <c r="DTH17" s="1"/>
      <c r="DTI17" s="1"/>
      <c r="DTJ17" s="1"/>
      <c r="DTK17" s="1"/>
      <c r="DTL17" s="1"/>
      <c r="DTM17" s="1"/>
      <c r="DTN17" s="1"/>
      <c r="DTO17" s="1"/>
      <c r="DTP17" s="1"/>
      <c r="DTQ17" s="1"/>
      <c r="DTR17" s="1"/>
      <c r="DTS17" s="1"/>
      <c r="DTT17" s="1"/>
      <c r="DTU17" s="1"/>
      <c r="DTV17" s="1"/>
      <c r="DTW17" s="1"/>
      <c r="DTX17" s="1"/>
      <c r="DTY17" s="1"/>
      <c r="DTZ17" s="1"/>
      <c r="DUA17" s="1"/>
      <c r="DUB17" s="1"/>
      <c r="DUC17" s="1"/>
      <c r="DUD17" s="1"/>
      <c r="DUE17" s="1"/>
      <c r="DUF17" s="1"/>
      <c r="DUG17" s="1"/>
      <c r="DUH17" s="1"/>
      <c r="DUI17" s="1"/>
      <c r="DUJ17" s="1"/>
      <c r="DUK17" s="1"/>
      <c r="DUL17" s="1"/>
      <c r="DUM17" s="1"/>
      <c r="DUN17" s="1"/>
      <c r="DUO17" s="1"/>
      <c r="DUP17" s="1"/>
      <c r="DUQ17" s="1"/>
      <c r="DUR17" s="1"/>
      <c r="DUS17" s="1"/>
      <c r="DUT17" s="1"/>
      <c r="DUU17" s="1"/>
      <c r="DUV17" s="1"/>
      <c r="DUW17" s="1"/>
      <c r="DUX17" s="1"/>
      <c r="DUY17" s="1"/>
      <c r="DUZ17" s="1"/>
      <c r="DVA17" s="1"/>
      <c r="DVB17" s="1"/>
      <c r="DVC17" s="1"/>
      <c r="DVD17" s="1"/>
      <c r="DVE17" s="1"/>
      <c r="DVF17" s="1"/>
      <c r="DVG17" s="1"/>
      <c r="DVH17" s="1"/>
      <c r="DVI17" s="1"/>
      <c r="DVJ17" s="1"/>
      <c r="DVK17" s="1"/>
      <c r="DVL17" s="1"/>
      <c r="DVM17" s="1"/>
      <c r="DVN17" s="1"/>
      <c r="DVO17" s="1"/>
      <c r="DVP17" s="1"/>
      <c r="DVQ17" s="1"/>
      <c r="DVR17" s="1"/>
      <c r="DVS17" s="1"/>
      <c r="DVT17" s="1"/>
      <c r="DVU17" s="1"/>
      <c r="DVV17" s="1"/>
      <c r="DVW17" s="1"/>
      <c r="DVX17" s="1"/>
      <c r="DVY17" s="1"/>
      <c r="DVZ17" s="1"/>
      <c r="DWA17" s="1"/>
      <c r="DWB17" s="1"/>
      <c r="DWC17" s="1"/>
      <c r="DWD17" s="1"/>
      <c r="DWE17" s="1"/>
      <c r="DWF17" s="1"/>
      <c r="DWG17" s="1"/>
      <c r="DWH17" s="1"/>
      <c r="DWI17" s="1"/>
      <c r="DWJ17" s="1"/>
      <c r="DWK17" s="1"/>
      <c r="DWL17" s="1"/>
      <c r="DWM17" s="1"/>
      <c r="DWN17" s="1"/>
      <c r="DWO17" s="1"/>
      <c r="DWP17" s="1"/>
      <c r="DWQ17" s="1"/>
      <c r="DWR17" s="1"/>
      <c r="DWS17" s="1"/>
      <c r="DWT17" s="1"/>
      <c r="DWU17" s="1"/>
      <c r="DWV17" s="1"/>
      <c r="DWW17" s="1"/>
      <c r="DWX17" s="1"/>
      <c r="DWY17" s="1"/>
      <c r="DWZ17" s="1"/>
      <c r="DXA17" s="1"/>
      <c r="DXB17" s="1"/>
      <c r="DXC17" s="1"/>
      <c r="DXD17" s="1"/>
      <c r="DXE17" s="1"/>
      <c r="DXF17" s="1"/>
      <c r="DXG17" s="1"/>
      <c r="DXH17" s="1"/>
      <c r="DXI17" s="1"/>
      <c r="DXJ17" s="1"/>
      <c r="DXK17" s="1"/>
      <c r="DXL17" s="1"/>
      <c r="DXM17" s="1"/>
      <c r="DXN17" s="1"/>
      <c r="DXO17" s="1"/>
      <c r="DXP17" s="1"/>
      <c r="DXQ17" s="1"/>
      <c r="DXR17" s="1"/>
      <c r="DXS17" s="1"/>
      <c r="DXT17" s="1"/>
      <c r="DXU17" s="1"/>
      <c r="DXV17" s="1"/>
      <c r="DXW17" s="1"/>
      <c r="DXX17" s="1"/>
      <c r="DXY17" s="1"/>
      <c r="DXZ17" s="1"/>
      <c r="DYA17" s="1"/>
      <c r="DYB17" s="1"/>
      <c r="DYC17" s="1"/>
      <c r="DYD17" s="1"/>
      <c r="DYE17" s="1"/>
      <c r="DYF17" s="1"/>
      <c r="DYG17" s="1"/>
      <c r="DYH17" s="1"/>
      <c r="DYI17" s="1"/>
      <c r="DYJ17" s="1"/>
      <c r="DYK17" s="1"/>
      <c r="DYL17" s="1"/>
      <c r="DYM17" s="1"/>
      <c r="DYN17" s="1"/>
      <c r="DYO17" s="1"/>
      <c r="DYP17" s="1"/>
      <c r="DYQ17" s="1"/>
      <c r="DYR17" s="1"/>
      <c r="DYS17" s="1"/>
      <c r="DYT17" s="1"/>
      <c r="DYU17" s="1"/>
      <c r="DYV17" s="1"/>
      <c r="DYW17" s="1"/>
      <c r="DYX17" s="1"/>
      <c r="DYY17" s="1"/>
      <c r="DYZ17" s="1"/>
      <c r="DZA17" s="1"/>
      <c r="DZB17" s="1"/>
      <c r="DZC17" s="1"/>
      <c r="DZD17" s="1"/>
      <c r="DZE17" s="1"/>
      <c r="DZF17" s="1"/>
      <c r="DZG17" s="1"/>
      <c r="DZH17" s="1"/>
      <c r="DZI17" s="1"/>
      <c r="DZJ17" s="1"/>
      <c r="DZK17" s="1"/>
      <c r="DZL17" s="1"/>
      <c r="DZM17" s="1"/>
      <c r="DZN17" s="1"/>
      <c r="DZO17" s="1"/>
      <c r="DZP17" s="1"/>
      <c r="DZQ17" s="1"/>
      <c r="DZR17" s="1"/>
      <c r="DZS17" s="1"/>
      <c r="DZT17" s="1"/>
      <c r="DZU17" s="1"/>
      <c r="DZV17" s="1"/>
      <c r="DZW17" s="1"/>
      <c r="DZX17" s="1"/>
      <c r="DZY17" s="1"/>
      <c r="DZZ17" s="1"/>
      <c r="EAA17" s="1"/>
      <c r="EAB17" s="1"/>
      <c r="EAC17" s="1"/>
      <c r="EAD17" s="1"/>
      <c r="EAE17" s="1"/>
      <c r="EAF17" s="1"/>
      <c r="EAG17" s="1"/>
      <c r="EAH17" s="1"/>
      <c r="EAI17" s="1"/>
      <c r="EAJ17" s="1"/>
      <c r="EAK17" s="1"/>
      <c r="EAL17" s="1"/>
      <c r="EAM17" s="1"/>
      <c r="EAN17" s="1"/>
      <c r="EAO17" s="1"/>
      <c r="EAP17" s="1"/>
      <c r="EAQ17" s="1"/>
      <c r="EAR17" s="1"/>
      <c r="EAS17" s="1"/>
      <c r="EAT17" s="1"/>
      <c r="EAU17" s="1"/>
      <c r="EAV17" s="1"/>
      <c r="EAW17" s="1"/>
      <c r="EAX17" s="1"/>
      <c r="EAY17" s="1"/>
      <c r="EAZ17" s="1"/>
      <c r="EBA17" s="1"/>
      <c r="EBB17" s="1"/>
      <c r="EBC17" s="1"/>
      <c r="EBD17" s="1"/>
      <c r="EBE17" s="1"/>
      <c r="EBF17" s="1"/>
      <c r="EBG17" s="1"/>
      <c r="EBH17" s="1"/>
      <c r="EBI17" s="1"/>
      <c r="EBJ17" s="1"/>
      <c r="EBK17" s="1"/>
      <c r="EBL17" s="1"/>
      <c r="EBM17" s="1"/>
      <c r="EBN17" s="1"/>
      <c r="EBO17" s="1"/>
      <c r="EBP17" s="1"/>
      <c r="EBQ17" s="1"/>
      <c r="EBR17" s="1"/>
      <c r="EBS17" s="1"/>
      <c r="EBT17" s="1"/>
      <c r="EBU17" s="1"/>
      <c r="EBV17" s="1"/>
      <c r="EBW17" s="1"/>
      <c r="EBX17" s="1"/>
      <c r="EBY17" s="1"/>
      <c r="EBZ17" s="1"/>
      <c r="ECA17" s="1"/>
      <c r="ECB17" s="1"/>
      <c r="ECC17" s="1"/>
      <c r="ECD17" s="1"/>
      <c r="ECE17" s="1"/>
      <c r="ECF17" s="1"/>
      <c r="ECG17" s="1"/>
      <c r="ECH17" s="1"/>
      <c r="ECI17" s="1"/>
      <c r="ECJ17" s="1"/>
      <c r="ECK17" s="1"/>
      <c r="ECL17" s="1"/>
      <c r="ECM17" s="1"/>
      <c r="ECN17" s="1"/>
      <c r="ECO17" s="1"/>
      <c r="ECP17" s="1"/>
      <c r="ECQ17" s="1"/>
      <c r="ECR17" s="1"/>
      <c r="ECS17" s="1"/>
      <c r="ECT17" s="1"/>
      <c r="ECU17" s="1"/>
      <c r="ECV17" s="1"/>
      <c r="ECW17" s="1"/>
      <c r="ECX17" s="1"/>
      <c r="ECY17" s="1"/>
      <c r="ECZ17" s="1"/>
      <c r="EDA17" s="1"/>
      <c r="EDB17" s="1"/>
      <c r="EDC17" s="1"/>
      <c r="EDD17" s="1"/>
      <c r="EDE17" s="1"/>
      <c r="EDF17" s="1"/>
      <c r="EDG17" s="1"/>
      <c r="EDH17" s="1"/>
      <c r="EDI17" s="1"/>
      <c r="EDJ17" s="1"/>
      <c r="EDK17" s="1"/>
      <c r="EDL17" s="1"/>
      <c r="EDM17" s="1"/>
      <c r="EDN17" s="1"/>
      <c r="EDO17" s="1"/>
      <c r="EDP17" s="1"/>
      <c r="EDQ17" s="1"/>
      <c r="EDR17" s="1"/>
      <c r="EDS17" s="1"/>
      <c r="EDT17" s="1"/>
      <c r="EDU17" s="1"/>
      <c r="EDV17" s="1"/>
      <c r="EDW17" s="1"/>
      <c r="EDX17" s="1"/>
      <c r="EDY17" s="1"/>
      <c r="EDZ17" s="1"/>
      <c r="EEA17" s="1"/>
      <c r="EEB17" s="1"/>
      <c r="EEC17" s="1"/>
      <c r="EED17" s="1"/>
      <c r="EEE17" s="1"/>
      <c r="EEF17" s="1"/>
      <c r="EEG17" s="1"/>
      <c r="EEH17" s="1"/>
      <c r="EEI17" s="1"/>
      <c r="EEJ17" s="1"/>
      <c r="EEK17" s="1"/>
      <c r="EEL17" s="1"/>
      <c r="EEM17" s="1"/>
      <c r="EEN17" s="1"/>
      <c r="EEO17" s="1"/>
      <c r="EEP17" s="1"/>
      <c r="EEQ17" s="1"/>
      <c r="EER17" s="1"/>
      <c r="EES17" s="1"/>
      <c r="EET17" s="1"/>
      <c r="EEU17" s="1"/>
      <c r="EEV17" s="1"/>
      <c r="EEW17" s="1"/>
      <c r="EEX17" s="1"/>
      <c r="EEY17" s="1"/>
      <c r="EEZ17" s="1"/>
      <c r="EFA17" s="1"/>
      <c r="EFB17" s="1"/>
      <c r="EFC17" s="1"/>
      <c r="EFD17" s="1"/>
      <c r="EFE17" s="1"/>
      <c r="EFF17" s="1"/>
      <c r="EFG17" s="1"/>
      <c r="EFH17" s="1"/>
      <c r="EFI17" s="1"/>
      <c r="EFJ17" s="1"/>
      <c r="EFK17" s="1"/>
      <c r="EFL17" s="1"/>
      <c r="EFM17" s="1"/>
      <c r="EFN17" s="1"/>
      <c r="EFO17" s="1"/>
      <c r="EFP17" s="1"/>
      <c r="EFQ17" s="1"/>
      <c r="EFR17" s="1"/>
      <c r="EFS17" s="1"/>
      <c r="EFT17" s="1"/>
      <c r="EFU17" s="1"/>
      <c r="EFV17" s="1"/>
      <c r="EFW17" s="1"/>
      <c r="EFX17" s="1"/>
      <c r="EFY17" s="1"/>
      <c r="EFZ17" s="1"/>
      <c r="EGA17" s="1"/>
      <c r="EGB17" s="1"/>
      <c r="EGC17" s="1"/>
      <c r="EGD17" s="1"/>
      <c r="EGE17" s="1"/>
      <c r="EGF17" s="1"/>
      <c r="EGG17" s="1"/>
      <c r="EGH17" s="1"/>
      <c r="EGI17" s="1"/>
      <c r="EGJ17" s="1"/>
      <c r="EGK17" s="1"/>
      <c r="EGL17" s="1"/>
      <c r="EGM17" s="1"/>
      <c r="EGN17" s="1"/>
      <c r="EGO17" s="1"/>
      <c r="EGP17" s="1"/>
      <c r="EGQ17" s="1"/>
      <c r="EGR17" s="1"/>
      <c r="EGS17" s="1"/>
      <c r="EGT17" s="1"/>
      <c r="EGU17" s="1"/>
      <c r="EGV17" s="1"/>
      <c r="EGW17" s="1"/>
      <c r="EGX17" s="1"/>
      <c r="EGY17" s="1"/>
      <c r="EGZ17" s="1"/>
      <c r="EHA17" s="1"/>
      <c r="EHB17" s="1"/>
      <c r="EHC17" s="1"/>
      <c r="EHD17" s="1"/>
      <c r="EHE17" s="1"/>
      <c r="EHF17" s="1"/>
      <c r="EHG17" s="1"/>
      <c r="EHH17" s="1"/>
      <c r="EHI17" s="1"/>
      <c r="EHJ17" s="1"/>
      <c r="EHK17" s="1"/>
      <c r="EHL17" s="1"/>
      <c r="EHM17" s="1"/>
      <c r="EHN17" s="1"/>
      <c r="EHO17" s="1"/>
      <c r="EHP17" s="1"/>
      <c r="EHQ17" s="1"/>
      <c r="EHR17" s="1"/>
      <c r="EHS17" s="1"/>
      <c r="EHT17" s="1"/>
      <c r="EHU17" s="1"/>
      <c r="EHV17" s="1"/>
      <c r="EHW17" s="1"/>
      <c r="EHX17" s="1"/>
      <c r="EHY17" s="1"/>
      <c r="EHZ17" s="1"/>
      <c r="EIA17" s="1"/>
      <c r="EIB17" s="1"/>
      <c r="EIC17" s="1"/>
      <c r="EID17" s="1"/>
      <c r="EIE17" s="1"/>
      <c r="EIF17" s="1"/>
      <c r="EIG17" s="1"/>
      <c r="EIH17" s="1"/>
      <c r="EII17" s="1"/>
      <c r="EIJ17" s="1"/>
      <c r="EIK17" s="1"/>
      <c r="EIL17" s="1"/>
      <c r="EIM17" s="1"/>
      <c r="EIN17" s="1"/>
      <c r="EIO17" s="1"/>
      <c r="EIP17" s="1"/>
      <c r="EIQ17" s="1"/>
      <c r="EIR17" s="1"/>
      <c r="EIS17" s="1"/>
      <c r="EIT17" s="1"/>
      <c r="EIU17" s="1"/>
      <c r="EIV17" s="1"/>
      <c r="EIW17" s="1"/>
      <c r="EIX17" s="1"/>
      <c r="EIY17" s="1"/>
      <c r="EIZ17" s="1"/>
      <c r="EJA17" s="1"/>
      <c r="EJB17" s="1"/>
      <c r="EJC17" s="1"/>
      <c r="EJD17" s="1"/>
      <c r="EJE17" s="1"/>
      <c r="EJF17" s="1"/>
      <c r="EJG17" s="1"/>
      <c r="EJH17" s="1"/>
      <c r="EJI17" s="1"/>
      <c r="EJJ17" s="1"/>
      <c r="EJK17" s="1"/>
      <c r="EJL17" s="1"/>
      <c r="EJM17" s="1"/>
      <c r="EJN17" s="1"/>
      <c r="EJO17" s="1"/>
      <c r="EJP17" s="1"/>
      <c r="EJQ17" s="1"/>
      <c r="EJR17" s="1"/>
      <c r="EJS17" s="1"/>
      <c r="EJT17" s="1"/>
      <c r="EJU17" s="1"/>
      <c r="EJV17" s="1"/>
      <c r="EJW17" s="1"/>
      <c r="EJX17" s="1"/>
      <c r="EJY17" s="1"/>
      <c r="EJZ17" s="1"/>
      <c r="EKA17" s="1"/>
      <c r="EKB17" s="1"/>
      <c r="EKC17" s="1"/>
      <c r="EKD17" s="1"/>
      <c r="EKE17" s="1"/>
      <c r="EKF17" s="1"/>
      <c r="EKG17" s="1"/>
      <c r="EKH17" s="1"/>
      <c r="EKI17" s="1"/>
      <c r="EKJ17" s="1"/>
      <c r="EKK17" s="1"/>
      <c r="EKL17" s="1"/>
      <c r="EKM17" s="1"/>
      <c r="EKN17" s="1"/>
      <c r="EKO17" s="1"/>
      <c r="EKP17" s="1"/>
      <c r="EKQ17" s="1"/>
      <c r="EKR17" s="1"/>
      <c r="EKS17" s="1"/>
      <c r="EKT17" s="1"/>
      <c r="EKU17" s="1"/>
      <c r="EKV17" s="1"/>
      <c r="EKW17" s="1"/>
      <c r="EKX17" s="1"/>
      <c r="EKY17" s="1"/>
      <c r="EKZ17" s="1"/>
      <c r="ELA17" s="1"/>
      <c r="ELB17" s="1"/>
      <c r="ELC17" s="1"/>
      <c r="ELD17" s="1"/>
      <c r="ELE17" s="1"/>
      <c r="ELF17" s="1"/>
      <c r="ELG17" s="1"/>
      <c r="ELH17" s="1"/>
      <c r="ELI17" s="1"/>
      <c r="ELJ17" s="1"/>
      <c r="ELK17" s="1"/>
      <c r="ELL17" s="1"/>
      <c r="ELM17" s="1"/>
      <c r="ELN17" s="1"/>
      <c r="ELO17" s="1"/>
      <c r="ELP17" s="1"/>
      <c r="ELQ17" s="1"/>
      <c r="ELR17" s="1"/>
      <c r="ELS17" s="1"/>
      <c r="ELT17" s="1"/>
      <c r="ELU17" s="1"/>
      <c r="ELV17" s="1"/>
      <c r="ELW17" s="1"/>
      <c r="ELX17" s="1"/>
      <c r="ELY17" s="1"/>
      <c r="ELZ17" s="1"/>
      <c r="EMA17" s="1"/>
      <c r="EMB17" s="1"/>
      <c r="EMC17" s="1"/>
      <c r="EMD17" s="1"/>
      <c r="EME17" s="1"/>
      <c r="EMF17" s="1"/>
      <c r="EMG17" s="1"/>
      <c r="EMH17" s="1"/>
      <c r="EMI17" s="1"/>
      <c r="EMJ17" s="1"/>
      <c r="EMK17" s="1"/>
      <c r="EML17" s="1"/>
      <c r="EMM17" s="1"/>
      <c r="EMN17" s="1"/>
      <c r="EMO17" s="1"/>
      <c r="EMP17" s="1"/>
      <c r="EMQ17" s="1"/>
      <c r="EMR17" s="1"/>
      <c r="EMS17" s="1"/>
      <c r="EMT17" s="1"/>
      <c r="EMU17" s="1"/>
      <c r="EMV17" s="1"/>
      <c r="EMW17" s="1"/>
      <c r="EMX17" s="1"/>
      <c r="EMY17" s="1"/>
      <c r="EMZ17" s="1"/>
      <c r="ENA17" s="1"/>
      <c r="ENB17" s="1"/>
      <c r="ENC17" s="1"/>
      <c r="END17" s="1"/>
      <c r="ENE17" s="1"/>
      <c r="ENF17" s="1"/>
      <c r="ENG17" s="1"/>
      <c r="ENH17" s="1"/>
      <c r="ENI17" s="1"/>
      <c r="ENJ17" s="1"/>
      <c r="ENK17" s="1"/>
      <c r="ENL17" s="1"/>
      <c r="ENM17" s="1"/>
      <c r="ENN17" s="1"/>
      <c r="ENO17" s="1"/>
      <c r="ENP17" s="1"/>
      <c r="ENQ17" s="1"/>
      <c r="ENR17" s="1"/>
      <c r="ENS17" s="1"/>
      <c r="ENT17" s="1"/>
      <c r="ENU17" s="1"/>
      <c r="ENV17" s="1"/>
      <c r="ENW17" s="1"/>
      <c r="ENX17" s="1"/>
      <c r="ENY17" s="1"/>
      <c r="ENZ17" s="1"/>
      <c r="EOA17" s="1"/>
      <c r="EOB17" s="1"/>
      <c r="EOC17" s="1"/>
      <c r="EOD17" s="1"/>
      <c r="EOE17" s="1"/>
      <c r="EOF17" s="1"/>
      <c r="EOG17" s="1"/>
      <c r="EOH17" s="1"/>
      <c r="EOI17" s="1"/>
      <c r="EOJ17" s="1"/>
      <c r="EOK17" s="1"/>
      <c r="EOL17" s="1"/>
      <c r="EOM17" s="1"/>
      <c r="EON17" s="1"/>
      <c r="EOO17" s="1"/>
      <c r="EOP17" s="1"/>
      <c r="EOQ17" s="1"/>
      <c r="EOR17" s="1"/>
      <c r="EOS17" s="1"/>
      <c r="EOT17" s="1"/>
      <c r="EOU17" s="1"/>
      <c r="EOV17" s="1"/>
      <c r="EOW17" s="1"/>
      <c r="EOX17" s="1"/>
      <c r="EOY17" s="1"/>
      <c r="EOZ17" s="1"/>
      <c r="EPA17" s="1"/>
      <c r="EPB17" s="1"/>
      <c r="EPC17" s="1"/>
      <c r="EPD17" s="1"/>
      <c r="EPE17" s="1"/>
      <c r="EPF17" s="1"/>
      <c r="EPG17" s="1"/>
      <c r="EPH17" s="1"/>
      <c r="EPI17" s="1"/>
      <c r="EPJ17" s="1"/>
      <c r="EPK17" s="1"/>
      <c r="EPL17" s="1"/>
      <c r="EPM17" s="1"/>
      <c r="EPN17" s="1"/>
      <c r="EPO17" s="1"/>
      <c r="EPP17" s="1"/>
      <c r="EPQ17" s="1"/>
      <c r="EPR17" s="1"/>
      <c r="EPS17" s="1"/>
      <c r="EPT17" s="1"/>
      <c r="EPU17" s="1"/>
      <c r="EPV17" s="1"/>
      <c r="EPW17" s="1"/>
      <c r="EPX17" s="1"/>
      <c r="EPY17" s="1"/>
      <c r="EPZ17" s="1"/>
      <c r="EQA17" s="1"/>
      <c r="EQB17" s="1"/>
      <c r="EQC17" s="1"/>
      <c r="EQD17" s="1"/>
      <c r="EQE17" s="1"/>
      <c r="EQF17" s="1"/>
      <c r="EQG17" s="1"/>
      <c r="EQH17" s="1"/>
      <c r="EQI17" s="1"/>
      <c r="EQJ17" s="1"/>
      <c r="EQK17" s="1"/>
      <c r="EQL17" s="1"/>
      <c r="EQM17" s="1"/>
      <c r="EQN17" s="1"/>
      <c r="EQO17" s="1"/>
      <c r="EQP17" s="1"/>
      <c r="EQQ17" s="1"/>
      <c r="EQR17" s="1"/>
      <c r="EQS17" s="1"/>
      <c r="EQT17" s="1"/>
      <c r="EQU17" s="1"/>
      <c r="EQV17" s="1"/>
      <c r="EQW17" s="1"/>
      <c r="EQX17" s="1"/>
      <c r="EQY17" s="1"/>
      <c r="EQZ17" s="1"/>
      <c r="ERA17" s="1"/>
      <c r="ERB17" s="1"/>
      <c r="ERC17" s="1"/>
      <c r="ERD17" s="1"/>
      <c r="ERE17" s="1"/>
      <c r="ERF17" s="1"/>
      <c r="ERG17" s="1"/>
      <c r="ERH17" s="1"/>
      <c r="ERI17" s="1"/>
      <c r="ERJ17" s="1"/>
      <c r="ERK17" s="1"/>
      <c r="ERL17" s="1"/>
      <c r="ERM17" s="1"/>
      <c r="ERN17" s="1"/>
      <c r="ERO17" s="1"/>
      <c r="ERP17" s="1"/>
      <c r="ERQ17" s="1"/>
      <c r="ERR17" s="1"/>
      <c r="ERS17" s="1"/>
      <c r="ERT17" s="1"/>
      <c r="ERU17" s="1"/>
      <c r="ERV17" s="1"/>
      <c r="ERW17" s="1"/>
      <c r="ERX17" s="1"/>
      <c r="ERY17" s="1"/>
      <c r="ERZ17" s="1"/>
      <c r="ESA17" s="1"/>
      <c r="ESB17" s="1"/>
      <c r="ESC17" s="1"/>
      <c r="ESD17" s="1"/>
      <c r="ESE17" s="1"/>
      <c r="ESF17" s="1"/>
      <c r="ESG17" s="1"/>
      <c r="ESH17" s="1"/>
      <c r="ESI17" s="1"/>
      <c r="ESJ17" s="1"/>
      <c r="ESK17" s="1"/>
      <c r="ESL17" s="1"/>
      <c r="ESM17" s="1"/>
      <c r="ESN17" s="1"/>
      <c r="ESO17" s="1"/>
      <c r="ESP17" s="1"/>
      <c r="ESQ17" s="1"/>
      <c r="ESR17" s="1"/>
      <c r="ESS17" s="1"/>
      <c r="EST17" s="1"/>
      <c r="ESU17" s="1"/>
      <c r="ESV17" s="1"/>
      <c r="ESW17" s="1"/>
      <c r="ESX17" s="1"/>
      <c r="ESY17" s="1"/>
      <c r="ESZ17" s="1"/>
      <c r="ETA17" s="1"/>
      <c r="ETB17" s="1"/>
      <c r="ETC17" s="1"/>
      <c r="ETD17" s="1"/>
      <c r="ETE17" s="1"/>
      <c r="ETF17" s="1"/>
      <c r="ETG17" s="1"/>
      <c r="ETH17" s="1"/>
      <c r="ETI17" s="1"/>
      <c r="ETJ17" s="1"/>
      <c r="ETK17" s="1"/>
      <c r="ETL17" s="1"/>
      <c r="ETM17" s="1"/>
      <c r="ETN17" s="1"/>
      <c r="ETO17" s="1"/>
      <c r="ETP17" s="1"/>
      <c r="ETQ17" s="1"/>
      <c r="ETR17" s="1"/>
      <c r="ETS17" s="1"/>
      <c r="ETT17" s="1"/>
      <c r="ETU17" s="1"/>
      <c r="ETV17" s="1"/>
      <c r="ETW17" s="1"/>
      <c r="ETX17" s="1"/>
      <c r="ETY17" s="1"/>
      <c r="ETZ17" s="1"/>
      <c r="EUA17" s="1"/>
      <c r="EUB17" s="1"/>
      <c r="EUC17" s="1"/>
      <c r="EUD17" s="1"/>
      <c r="EUE17" s="1"/>
      <c r="EUF17" s="1"/>
      <c r="EUG17" s="1"/>
      <c r="EUH17" s="1"/>
      <c r="EUI17" s="1"/>
      <c r="EUJ17" s="1"/>
      <c r="EUK17" s="1"/>
      <c r="EUL17" s="1"/>
      <c r="EUM17" s="1"/>
      <c r="EUN17" s="1"/>
      <c r="EUO17" s="1"/>
      <c r="EUP17" s="1"/>
      <c r="EUQ17" s="1"/>
      <c r="EUR17" s="1"/>
      <c r="EUS17" s="1"/>
      <c r="EUT17" s="1"/>
      <c r="EUU17" s="1"/>
      <c r="EUV17" s="1"/>
      <c r="EUW17" s="1"/>
      <c r="EUX17" s="1"/>
      <c r="EUY17" s="1"/>
      <c r="EUZ17" s="1"/>
      <c r="EVA17" s="1"/>
      <c r="EVB17" s="1"/>
      <c r="EVC17" s="1"/>
      <c r="EVD17" s="1"/>
      <c r="EVE17" s="1"/>
      <c r="EVF17" s="1"/>
      <c r="EVG17" s="1"/>
      <c r="EVH17" s="1"/>
      <c r="EVI17" s="1"/>
      <c r="EVJ17" s="1"/>
      <c r="EVK17" s="1"/>
      <c r="EVL17" s="1"/>
      <c r="EVM17" s="1"/>
      <c r="EVN17" s="1"/>
      <c r="EVO17" s="1"/>
      <c r="EVP17" s="1"/>
      <c r="EVQ17" s="1"/>
      <c r="EVR17" s="1"/>
      <c r="EVS17" s="1"/>
      <c r="EVT17" s="1"/>
      <c r="EVU17" s="1"/>
      <c r="EVV17" s="1"/>
      <c r="EVW17" s="1"/>
      <c r="EVX17" s="1"/>
      <c r="EVY17" s="1"/>
      <c r="EVZ17" s="1"/>
      <c r="EWA17" s="1"/>
      <c r="EWB17" s="1"/>
      <c r="EWC17" s="1"/>
      <c r="EWD17" s="1"/>
      <c r="EWE17" s="1"/>
      <c r="EWF17" s="1"/>
      <c r="EWG17" s="1"/>
      <c r="EWH17" s="1"/>
      <c r="EWI17" s="1"/>
      <c r="EWJ17" s="1"/>
      <c r="EWK17" s="1"/>
      <c r="EWL17" s="1"/>
      <c r="EWM17" s="1"/>
      <c r="EWN17" s="1"/>
      <c r="EWO17" s="1"/>
      <c r="EWP17" s="1"/>
      <c r="EWQ17" s="1"/>
      <c r="EWR17" s="1"/>
      <c r="EWS17" s="1"/>
      <c r="EWT17" s="1"/>
      <c r="EWU17" s="1"/>
      <c r="EWV17" s="1"/>
      <c r="EWW17" s="1"/>
      <c r="EWX17" s="1"/>
      <c r="EWY17" s="1"/>
      <c r="EWZ17" s="1"/>
      <c r="EXA17" s="1"/>
      <c r="EXB17" s="1"/>
      <c r="EXC17" s="1"/>
      <c r="EXD17" s="1"/>
      <c r="EXE17" s="1"/>
      <c r="EXF17" s="1"/>
      <c r="EXG17" s="1"/>
      <c r="EXH17" s="1"/>
      <c r="EXI17" s="1"/>
      <c r="EXJ17" s="1"/>
      <c r="EXK17" s="1"/>
      <c r="EXL17" s="1"/>
      <c r="EXM17" s="1"/>
      <c r="EXN17" s="1"/>
      <c r="EXO17" s="1"/>
      <c r="EXP17" s="1"/>
      <c r="EXQ17" s="1"/>
      <c r="EXR17" s="1"/>
      <c r="EXS17" s="1"/>
      <c r="EXT17" s="1"/>
      <c r="EXU17" s="1"/>
      <c r="EXV17" s="1"/>
      <c r="EXW17" s="1"/>
      <c r="EXX17" s="1"/>
      <c r="EXY17" s="1"/>
      <c r="EXZ17" s="1"/>
      <c r="EYA17" s="1"/>
      <c r="EYB17" s="1"/>
      <c r="EYC17" s="1"/>
      <c r="EYD17" s="1"/>
      <c r="EYE17" s="1"/>
      <c r="EYF17" s="1"/>
      <c r="EYG17" s="1"/>
      <c r="EYH17" s="1"/>
      <c r="EYI17" s="1"/>
      <c r="EYJ17" s="1"/>
      <c r="EYK17" s="1"/>
      <c r="EYL17" s="1"/>
      <c r="EYM17" s="1"/>
      <c r="EYN17" s="1"/>
      <c r="EYO17" s="1"/>
      <c r="EYP17" s="1"/>
      <c r="EYQ17" s="1"/>
      <c r="EYR17" s="1"/>
      <c r="EYS17" s="1"/>
      <c r="EYT17" s="1"/>
      <c r="EYU17" s="1"/>
      <c r="EYV17" s="1"/>
      <c r="EYW17" s="1"/>
      <c r="EYX17" s="1"/>
      <c r="EYY17" s="1"/>
      <c r="EYZ17" s="1"/>
      <c r="EZA17" s="1"/>
      <c r="EZB17" s="1"/>
      <c r="EZC17" s="1"/>
      <c r="EZD17" s="1"/>
      <c r="EZE17" s="1"/>
      <c r="EZF17" s="1"/>
      <c r="EZG17" s="1"/>
      <c r="EZH17" s="1"/>
      <c r="EZI17" s="1"/>
      <c r="EZJ17" s="1"/>
      <c r="EZK17" s="1"/>
      <c r="EZL17" s="1"/>
      <c r="EZM17" s="1"/>
      <c r="EZN17" s="1"/>
      <c r="EZO17" s="1"/>
      <c r="EZP17" s="1"/>
      <c r="EZQ17" s="1"/>
      <c r="EZR17" s="1"/>
      <c r="EZS17" s="1"/>
      <c r="EZT17" s="1"/>
      <c r="EZU17" s="1"/>
      <c r="EZV17" s="1"/>
      <c r="EZW17" s="1"/>
      <c r="EZX17" s="1"/>
      <c r="EZY17" s="1"/>
      <c r="EZZ17" s="1"/>
      <c r="FAA17" s="1"/>
      <c r="FAB17" s="1"/>
      <c r="FAC17" s="1"/>
      <c r="FAD17" s="1"/>
      <c r="FAE17" s="1"/>
      <c r="FAF17" s="1"/>
      <c r="FAG17" s="1"/>
      <c r="FAH17" s="1"/>
      <c r="FAI17" s="1"/>
      <c r="FAJ17" s="1"/>
      <c r="FAK17" s="1"/>
      <c r="FAL17" s="1"/>
      <c r="FAM17" s="1"/>
      <c r="FAN17" s="1"/>
      <c r="FAO17" s="1"/>
      <c r="FAP17" s="1"/>
      <c r="FAQ17" s="1"/>
      <c r="FAR17" s="1"/>
      <c r="FAS17" s="1"/>
      <c r="FAT17" s="1"/>
      <c r="FAU17" s="1"/>
      <c r="FAV17" s="1"/>
      <c r="FAW17" s="1"/>
      <c r="FAX17" s="1"/>
      <c r="FAY17" s="1"/>
      <c r="FAZ17" s="1"/>
      <c r="FBA17" s="1"/>
      <c r="FBB17" s="1"/>
      <c r="FBC17" s="1"/>
      <c r="FBD17" s="1"/>
      <c r="FBE17" s="1"/>
      <c r="FBF17" s="1"/>
      <c r="FBG17" s="1"/>
      <c r="FBH17" s="1"/>
      <c r="FBI17" s="1"/>
      <c r="FBJ17" s="1"/>
      <c r="FBK17" s="1"/>
      <c r="FBL17" s="1"/>
      <c r="FBM17" s="1"/>
      <c r="FBN17" s="1"/>
      <c r="FBO17" s="1"/>
      <c r="FBP17" s="1"/>
      <c r="FBQ17" s="1"/>
      <c r="FBR17" s="1"/>
      <c r="FBS17" s="1"/>
      <c r="FBT17" s="1"/>
      <c r="FBU17" s="1"/>
      <c r="FBV17" s="1"/>
      <c r="FBW17" s="1"/>
      <c r="FBX17" s="1"/>
      <c r="FBY17" s="1"/>
      <c r="FBZ17" s="1"/>
      <c r="FCA17" s="1"/>
      <c r="FCB17" s="1"/>
      <c r="FCC17" s="1"/>
      <c r="FCD17" s="1"/>
      <c r="FCE17" s="1"/>
      <c r="FCF17" s="1"/>
      <c r="FCG17" s="1"/>
      <c r="FCH17" s="1"/>
      <c r="FCI17" s="1"/>
      <c r="FCJ17" s="1"/>
      <c r="FCK17" s="1"/>
      <c r="FCL17" s="1"/>
      <c r="FCM17" s="1"/>
      <c r="FCN17" s="1"/>
      <c r="FCO17" s="1"/>
      <c r="FCP17" s="1"/>
      <c r="FCQ17" s="1"/>
      <c r="FCR17" s="1"/>
      <c r="FCS17" s="1"/>
      <c r="FCT17" s="1"/>
      <c r="FCU17" s="1"/>
      <c r="FCV17" s="1"/>
      <c r="FCW17" s="1"/>
      <c r="FCX17" s="1"/>
      <c r="FCY17" s="1"/>
      <c r="FCZ17" s="1"/>
      <c r="FDA17" s="1"/>
      <c r="FDB17" s="1"/>
      <c r="FDC17" s="1"/>
      <c r="FDD17" s="1"/>
      <c r="FDE17" s="1"/>
      <c r="FDF17" s="1"/>
      <c r="FDG17" s="1"/>
      <c r="FDH17" s="1"/>
      <c r="FDI17" s="1"/>
      <c r="FDJ17" s="1"/>
      <c r="FDK17" s="1"/>
      <c r="FDL17" s="1"/>
      <c r="FDM17" s="1"/>
      <c r="FDN17" s="1"/>
      <c r="FDO17" s="1"/>
      <c r="FDP17" s="1"/>
      <c r="FDQ17" s="1"/>
      <c r="FDR17" s="1"/>
      <c r="FDS17" s="1"/>
      <c r="FDT17" s="1"/>
      <c r="FDU17" s="1"/>
      <c r="FDV17" s="1"/>
      <c r="FDW17" s="1"/>
      <c r="FDX17" s="1"/>
      <c r="FDY17" s="1"/>
      <c r="FDZ17" s="1"/>
      <c r="FEA17" s="1"/>
      <c r="FEB17" s="1"/>
      <c r="FEC17" s="1"/>
      <c r="FED17" s="1"/>
      <c r="FEE17" s="1"/>
      <c r="FEF17" s="1"/>
      <c r="FEG17" s="1"/>
      <c r="FEH17" s="1"/>
      <c r="FEI17" s="1"/>
      <c r="FEJ17" s="1"/>
      <c r="FEK17" s="1"/>
      <c r="FEL17" s="1"/>
      <c r="FEM17" s="1"/>
      <c r="FEN17" s="1"/>
      <c r="FEO17" s="1"/>
      <c r="FEP17" s="1"/>
      <c r="FEQ17" s="1"/>
      <c r="FER17" s="1"/>
      <c r="FES17" s="1"/>
      <c r="FET17" s="1"/>
      <c r="FEU17" s="1"/>
      <c r="FEV17" s="1"/>
      <c r="FEW17" s="1"/>
      <c r="FEX17" s="1"/>
      <c r="FEY17" s="1"/>
      <c r="FEZ17" s="1"/>
      <c r="FFA17" s="1"/>
      <c r="FFB17" s="1"/>
      <c r="FFC17" s="1"/>
      <c r="FFD17" s="1"/>
      <c r="FFE17" s="1"/>
      <c r="FFF17" s="1"/>
      <c r="FFG17" s="1"/>
      <c r="FFH17" s="1"/>
      <c r="FFI17" s="1"/>
      <c r="FFJ17" s="1"/>
      <c r="FFK17" s="1"/>
      <c r="FFL17" s="1"/>
      <c r="FFM17" s="1"/>
      <c r="FFN17" s="1"/>
      <c r="FFO17" s="1"/>
      <c r="FFP17" s="1"/>
      <c r="FFQ17" s="1"/>
      <c r="FFR17" s="1"/>
      <c r="FFS17" s="1"/>
      <c r="FFT17" s="1"/>
      <c r="FFU17" s="1"/>
      <c r="FFV17" s="1"/>
      <c r="FFW17" s="1"/>
      <c r="FFX17" s="1"/>
      <c r="FFY17" s="1"/>
      <c r="FFZ17" s="1"/>
      <c r="FGA17" s="1"/>
      <c r="FGB17" s="1"/>
      <c r="FGC17" s="1"/>
      <c r="FGD17" s="1"/>
      <c r="FGE17" s="1"/>
      <c r="FGF17" s="1"/>
      <c r="FGG17" s="1"/>
      <c r="FGH17" s="1"/>
      <c r="FGI17" s="1"/>
      <c r="FGJ17" s="1"/>
      <c r="FGK17" s="1"/>
      <c r="FGL17" s="1"/>
      <c r="FGM17" s="1"/>
      <c r="FGN17" s="1"/>
      <c r="FGO17" s="1"/>
      <c r="FGP17" s="1"/>
      <c r="FGQ17" s="1"/>
      <c r="FGR17" s="1"/>
      <c r="FGS17" s="1"/>
      <c r="FGT17" s="1"/>
      <c r="FGU17" s="1"/>
      <c r="FGV17" s="1"/>
      <c r="FGW17" s="1"/>
      <c r="FGX17" s="1"/>
      <c r="FGY17" s="1"/>
      <c r="FGZ17" s="1"/>
      <c r="FHA17" s="1"/>
      <c r="FHB17" s="1"/>
      <c r="FHC17" s="1"/>
      <c r="FHD17" s="1"/>
      <c r="FHE17" s="1"/>
      <c r="FHF17" s="1"/>
      <c r="FHG17" s="1"/>
      <c r="FHH17" s="1"/>
      <c r="FHI17" s="1"/>
      <c r="FHJ17" s="1"/>
      <c r="FHK17" s="1"/>
      <c r="FHL17" s="1"/>
      <c r="FHM17" s="1"/>
      <c r="FHN17" s="1"/>
      <c r="FHO17" s="1"/>
      <c r="FHP17" s="1"/>
      <c r="FHQ17" s="1"/>
      <c r="FHR17" s="1"/>
      <c r="FHS17" s="1"/>
      <c r="FHT17" s="1"/>
      <c r="FHU17" s="1"/>
      <c r="FHV17" s="1"/>
      <c r="FHW17" s="1"/>
      <c r="FHX17" s="1"/>
      <c r="FHY17" s="1"/>
      <c r="FHZ17" s="1"/>
      <c r="FIA17" s="1"/>
      <c r="FIB17" s="1"/>
      <c r="FIC17" s="1"/>
      <c r="FID17" s="1"/>
      <c r="FIE17" s="1"/>
      <c r="FIF17" s="1"/>
      <c r="FIG17" s="1"/>
      <c r="FIH17" s="1"/>
      <c r="FII17" s="1"/>
      <c r="FIJ17" s="1"/>
      <c r="FIK17" s="1"/>
      <c r="FIL17" s="1"/>
      <c r="FIM17" s="1"/>
      <c r="FIN17" s="1"/>
      <c r="FIO17" s="1"/>
      <c r="FIP17" s="1"/>
      <c r="FIQ17" s="1"/>
      <c r="FIR17" s="1"/>
      <c r="FIS17" s="1"/>
      <c r="FIT17" s="1"/>
      <c r="FIU17" s="1"/>
      <c r="FIV17" s="1"/>
      <c r="FIW17" s="1"/>
      <c r="FIX17" s="1"/>
      <c r="FIY17" s="1"/>
      <c r="FIZ17" s="1"/>
      <c r="FJA17" s="1"/>
      <c r="FJB17" s="1"/>
      <c r="FJC17" s="1"/>
      <c r="FJD17" s="1"/>
      <c r="FJE17" s="1"/>
      <c r="FJF17" s="1"/>
      <c r="FJG17" s="1"/>
      <c r="FJH17" s="1"/>
      <c r="FJI17" s="1"/>
      <c r="FJJ17" s="1"/>
      <c r="FJK17" s="1"/>
      <c r="FJL17" s="1"/>
      <c r="FJM17" s="1"/>
      <c r="FJN17" s="1"/>
      <c r="FJO17" s="1"/>
      <c r="FJP17" s="1"/>
      <c r="FJQ17" s="1"/>
      <c r="FJR17" s="1"/>
      <c r="FJS17" s="1"/>
      <c r="FJT17" s="1"/>
      <c r="FJU17" s="1"/>
      <c r="FJV17" s="1"/>
      <c r="FJW17" s="1"/>
      <c r="FJX17" s="1"/>
      <c r="FJY17" s="1"/>
      <c r="FJZ17" s="1"/>
      <c r="FKA17" s="1"/>
      <c r="FKB17" s="1"/>
      <c r="FKC17" s="1"/>
      <c r="FKD17" s="1"/>
      <c r="FKE17" s="1"/>
      <c r="FKF17" s="1"/>
      <c r="FKG17" s="1"/>
      <c r="FKH17" s="1"/>
      <c r="FKI17" s="1"/>
      <c r="FKJ17" s="1"/>
      <c r="FKK17" s="1"/>
      <c r="FKL17" s="1"/>
      <c r="FKM17" s="1"/>
      <c r="FKN17" s="1"/>
      <c r="FKO17" s="1"/>
      <c r="FKP17" s="1"/>
      <c r="FKQ17" s="1"/>
      <c r="FKR17" s="1"/>
      <c r="FKS17" s="1"/>
      <c r="FKT17" s="1"/>
      <c r="FKU17" s="1"/>
      <c r="FKV17" s="1"/>
      <c r="FKW17" s="1"/>
      <c r="FKX17" s="1"/>
      <c r="FKY17" s="1"/>
      <c r="FKZ17" s="1"/>
      <c r="FLA17" s="1"/>
      <c r="FLB17" s="1"/>
      <c r="FLC17" s="1"/>
      <c r="FLD17" s="1"/>
      <c r="FLE17" s="1"/>
      <c r="FLF17" s="1"/>
      <c r="FLG17" s="1"/>
      <c r="FLH17" s="1"/>
      <c r="FLI17" s="1"/>
      <c r="FLJ17" s="1"/>
      <c r="FLK17" s="1"/>
      <c r="FLL17" s="1"/>
      <c r="FLM17" s="1"/>
      <c r="FLN17" s="1"/>
      <c r="FLO17" s="1"/>
      <c r="FLP17" s="1"/>
      <c r="FLQ17" s="1"/>
      <c r="FLR17" s="1"/>
      <c r="FLS17" s="1"/>
      <c r="FLT17" s="1"/>
      <c r="FLU17" s="1"/>
      <c r="FLV17" s="1"/>
      <c r="FLW17" s="1"/>
      <c r="FLX17" s="1"/>
      <c r="FLY17" s="1"/>
      <c r="FLZ17" s="1"/>
      <c r="FMA17" s="1"/>
      <c r="FMB17" s="1"/>
      <c r="FMC17" s="1"/>
      <c r="FMD17" s="1"/>
      <c r="FME17" s="1"/>
      <c r="FMF17" s="1"/>
      <c r="FMG17" s="1"/>
      <c r="FMH17" s="1"/>
      <c r="FMI17" s="1"/>
      <c r="FMJ17" s="1"/>
      <c r="FMK17" s="1"/>
      <c r="FML17" s="1"/>
      <c r="FMM17" s="1"/>
      <c r="FMN17" s="1"/>
      <c r="FMO17" s="1"/>
      <c r="FMP17" s="1"/>
      <c r="FMQ17" s="1"/>
      <c r="FMR17" s="1"/>
      <c r="FMS17" s="1"/>
      <c r="FMT17" s="1"/>
      <c r="FMU17" s="1"/>
      <c r="FMV17" s="1"/>
      <c r="FMW17" s="1"/>
      <c r="FMX17" s="1"/>
      <c r="FMY17" s="1"/>
      <c r="FMZ17" s="1"/>
      <c r="FNA17" s="1"/>
      <c r="FNB17" s="1"/>
      <c r="FNC17" s="1"/>
      <c r="FND17" s="1"/>
      <c r="FNE17" s="1"/>
      <c r="FNF17" s="1"/>
      <c r="FNG17" s="1"/>
      <c r="FNH17" s="1"/>
      <c r="FNI17" s="1"/>
      <c r="FNJ17" s="1"/>
      <c r="FNK17" s="1"/>
      <c r="FNL17" s="1"/>
      <c r="FNM17" s="1"/>
      <c r="FNN17" s="1"/>
      <c r="FNO17" s="1"/>
      <c r="FNP17" s="1"/>
      <c r="FNQ17" s="1"/>
      <c r="FNR17" s="1"/>
      <c r="FNS17" s="1"/>
      <c r="FNT17" s="1"/>
      <c r="FNU17" s="1"/>
      <c r="FNV17" s="1"/>
      <c r="FNW17" s="1"/>
      <c r="FNX17" s="1"/>
      <c r="FNY17" s="1"/>
      <c r="FNZ17" s="1"/>
      <c r="FOA17" s="1"/>
      <c r="FOB17" s="1"/>
      <c r="FOC17" s="1"/>
      <c r="FOD17" s="1"/>
      <c r="FOE17" s="1"/>
      <c r="FOF17" s="1"/>
      <c r="FOG17" s="1"/>
      <c r="FOH17" s="1"/>
      <c r="FOI17" s="1"/>
      <c r="FOJ17" s="1"/>
      <c r="FOK17" s="1"/>
      <c r="FOL17" s="1"/>
      <c r="FOM17" s="1"/>
      <c r="FON17" s="1"/>
      <c r="FOO17" s="1"/>
      <c r="FOP17" s="1"/>
      <c r="FOQ17" s="1"/>
      <c r="FOR17" s="1"/>
      <c r="FOS17" s="1"/>
      <c r="FOT17" s="1"/>
      <c r="FOU17" s="1"/>
      <c r="FOV17" s="1"/>
      <c r="FOW17" s="1"/>
      <c r="FOX17" s="1"/>
      <c r="FOY17" s="1"/>
      <c r="FOZ17" s="1"/>
      <c r="FPA17" s="1"/>
      <c r="FPB17" s="1"/>
      <c r="FPC17" s="1"/>
      <c r="FPD17" s="1"/>
      <c r="FPE17" s="1"/>
      <c r="FPF17" s="1"/>
      <c r="FPG17" s="1"/>
      <c r="FPH17" s="1"/>
      <c r="FPI17" s="1"/>
      <c r="FPJ17" s="1"/>
      <c r="FPK17" s="1"/>
      <c r="FPL17" s="1"/>
      <c r="FPM17" s="1"/>
      <c r="FPN17" s="1"/>
      <c r="FPO17" s="1"/>
      <c r="FPP17" s="1"/>
      <c r="FPQ17" s="1"/>
      <c r="FPR17" s="1"/>
      <c r="FPS17" s="1"/>
      <c r="FPT17" s="1"/>
      <c r="FPU17" s="1"/>
      <c r="FPV17" s="1"/>
      <c r="FPW17" s="1"/>
      <c r="FPX17" s="1"/>
      <c r="FPY17" s="1"/>
      <c r="FPZ17" s="1"/>
      <c r="FQA17" s="1"/>
      <c r="FQB17" s="1"/>
      <c r="FQC17" s="1"/>
      <c r="FQD17" s="1"/>
      <c r="FQE17" s="1"/>
      <c r="FQF17" s="1"/>
      <c r="FQG17" s="1"/>
      <c r="FQH17" s="1"/>
      <c r="FQI17" s="1"/>
      <c r="FQJ17" s="1"/>
      <c r="FQK17" s="1"/>
      <c r="FQL17" s="1"/>
      <c r="FQM17" s="1"/>
      <c r="FQN17" s="1"/>
      <c r="FQO17" s="1"/>
      <c r="FQP17" s="1"/>
      <c r="FQQ17" s="1"/>
      <c r="FQR17" s="1"/>
      <c r="FQS17" s="1"/>
      <c r="FQT17" s="1"/>
      <c r="FQU17" s="1"/>
      <c r="FQV17" s="1"/>
      <c r="FQW17" s="1"/>
      <c r="FQX17" s="1"/>
      <c r="FQY17" s="1"/>
      <c r="FQZ17" s="1"/>
      <c r="FRA17" s="1"/>
      <c r="FRB17" s="1"/>
      <c r="FRC17" s="1"/>
      <c r="FRD17" s="1"/>
      <c r="FRE17" s="1"/>
      <c r="FRF17" s="1"/>
      <c r="FRG17" s="1"/>
      <c r="FRH17" s="1"/>
      <c r="FRI17" s="1"/>
      <c r="FRJ17" s="1"/>
      <c r="FRK17" s="1"/>
      <c r="FRL17" s="1"/>
      <c r="FRM17" s="1"/>
      <c r="FRN17" s="1"/>
      <c r="FRO17" s="1"/>
      <c r="FRP17" s="1"/>
      <c r="FRQ17" s="1"/>
      <c r="FRR17" s="1"/>
      <c r="FRS17" s="1"/>
      <c r="FRT17" s="1"/>
      <c r="FRU17" s="1"/>
      <c r="FRV17" s="1"/>
      <c r="FRW17" s="1"/>
      <c r="FRX17" s="1"/>
      <c r="FRY17" s="1"/>
      <c r="FRZ17" s="1"/>
      <c r="FSA17" s="1"/>
      <c r="FSB17" s="1"/>
      <c r="FSC17" s="1"/>
      <c r="FSD17" s="1"/>
      <c r="FSE17" s="1"/>
      <c r="FSF17" s="1"/>
      <c r="FSG17" s="1"/>
      <c r="FSH17" s="1"/>
      <c r="FSI17" s="1"/>
      <c r="FSJ17" s="1"/>
      <c r="FSK17" s="1"/>
      <c r="FSL17" s="1"/>
      <c r="FSM17" s="1"/>
      <c r="FSN17" s="1"/>
      <c r="FSO17" s="1"/>
      <c r="FSP17" s="1"/>
      <c r="FSQ17" s="1"/>
      <c r="FSR17" s="1"/>
      <c r="FSS17" s="1"/>
      <c r="FST17" s="1"/>
      <c r="FSU17" s="1"/>
      <c r="FSV17" s="1"/>
      <c r="FSW17" s="1"/>
      <c r="FSX17" s="1"/>
      <c r="FSY17" s="1"/>
      <c r="FSZ17" s="1"/>
      <c r="FTA17" s="1"/>
      <c r="FTB17" s="1"/>
      <c r="FTC17" s="1"/>
      <c r="FTD17" s="1"/>
      <c r="FTE17" s="1"/>
      <c r="FTF17" s="1"/>
      <c r="FTG17" s="1"/>
      <c r="FTH17" s="1"/>
      <c r="FTI17" s="1"/>
      <c r="FTJ17" s="1"/>
      <c r="FTK17" s="1"/>
      <c r="FTL17" s="1"/>
      <c r="FTM17" s="1"/>
      <c r="FTN17" s="1"/>
      <c r="FTO17" s="1"/>
      <c r="FTP17" s="1"/>
      <c r="FTQ17" s="1"/>
      <c r="FTR17" s="1"/>
      <c r="FTS17" s="1"/>
      <c r="FTT17" s="1"/>
      <c r="FTU17" s="1"/>
      <c r="FTV17" s="1"/>
      <c r="FTW17" s="1"/>
      <c r="FTX17" s="1"/>
      <c r="FTY17" s="1"/>
      <c r="FTZ17" s="1"/>
      <c r="FUA17" s="1"/>
      <c r="FUB17" s="1"/>
      <c r="FUC17" s="1"/>
      <c r="FUD17" s="1"/>
      <c r="FUE17" s="1"/>
      <c r="FUF17" s="1"/>
      <c r="FUG17" s="1"/>
      <c r="FUH17" s="1"/>
      <c r="FUI17" s="1"/>
      <c r="FUJ17" s="1"/>
      <c r="FUK17" s="1"/>
      <c r="FUL17" s="1"/>
      <c r="FUM17" s="1"/>
      <c r="FUN17" s="1"/>
      <c r="FUO17" s="1"/>
      <c r="FUP17" s="1"/>
      <c r="FUQ17" s="1"/>
      <c r="FUR17" s="1"/>
      <c r="FUS17" s="1"/>
      <c r="FUT17" s="1"/>
      <c r="FUU17" s="1"/>
      <c r="FUV17" s="1"/>
      <c r="FUW17" s="1"/>
      <c r="FUX17" s="1"/>
      <c r="FUY17" s="1"/>
      <c r="FUZ17" s="1"/>
      <c r="FVA17" s="1"/>
      <c r="FVB17" s="1"/>
      <c r="FVC17" s="1"/>
      <c r="FVD17" s="1"/>
      <c r="FVE17" s="1"/>
      <c r="FVF17" s="1"/>
      <c r="FVG17" s="1"/>
      <c r="FVH17" s="1"/>
      <c r="FVI17" s="1"/>
      <c r="FVJ17" s="1"/>
      <c r="FVK17" s="1"/>
      <c r="FVL17" s="1"/>
      <c r="FVM17" s="1"/>
      <c r="FVN17" s="1"/>
      <c r="FVO17" s="1"/>
      <c r="FVP17" s="1"/>
      <c r="FVQ17" s="1"/>
      <c r="FVR17" s="1"/>
      <c r="FVS17" s="1"/>
      <c r="FVT17" s="1"/>
      <c r="FVU17" s="1"/>
      <c r="FVV17" s="1"/>
      <c r="FVW17" s="1"/>
      <c r="FVX17" s="1"/>
      <c r="FVY17" s="1"/>
      <c r="FVZ17" s="1"/>
      <c r="FWA17" s="1"/>
      <c r="FWB17" s="1"/>
      <c r="FWC17" s="1"/>
      <c r="FWD17" s="1"/>
      <c r="FWE17" s="1"/>
      <c r="FWF17" s="1"/>
      <c r="FWG17" s="1"/>
      <c r="FWH17" s="1"/>
      <c r="FWI17" s="1"/>
      <c r="FWJ17" s="1"/>
      <c r="FWK17" s="1"/>
      <c r="FWL17" s="1"/>
      <c r="FWM17" s="1"/>
      <c r="FWN17" s="1"/>
      <c r="FWO17" s="1"/>
      <c r="FWP17" s="1"/>
      <c r="FWQ17" s="1"/>
      <c r="FWR17" s="1"/>
      <c r="FWS17" s="1"/>
      <c r="FWT17" s="1"/>
      <c r="FWU17" s="1"/>
      <c r="FWV17" s="1"/>
      <c r="FWW17" s="1"/>
      <c r="FWX17" s="1"/>
      <c r="FWY17" s="1"/>
      <c r="FWZ17" s="1"/>
      <c r="FXA17" s="1"/>
      <c r="FXB17" s="1"/>
      <c r="FXC17" s="1"/>
      <c r="FXD17" s="1"/>
      <c r="FXE17" s="1"/>
      <c r="FXF17" s="1"/>
      <c r="FXG17" s="1"/>
      <c r="FXH17" s="1"/>
      <c r="FXI17" s="1"/>
      <c r="FXJ17" s="1"/>
      <c r="FXK17" s="1"/>
      <c r="FXL17" s="1"/>
      <c r="FXM17" s="1"/>
      <c r="FXN17" s="1"/>
      <c r="FXO17" s="1"/>
      <c r="FXP17" s="1"/>
      <c r="FXQ17" s="1"/>
      <c r="FXR17" s="1"/>
      <c r="FXS17" s="1"/>
      <c r="FXT17" s="1"/>
      <c r="FXU17" s="1"/>
      <c r="FXV17" s="1"/>
      <c r="FXW17" s="1"/>
      <c r="FXX17" s="1"/>
      <c r="FXY17" s="1"/>
      <c r="FXZ17" s="1"/>
      <c r="FYA17" s="1"/>
      <c r="FYB17" s="1"/>
      <c r="FYC17" s="1"/>
      <c r="FYD17" s="1"/>
      <c r="FYE17" s="1"/>
      <c r="FYF17" s="1"/>
      <c r="FYG17" s="1"/>
      <c r="FYH17" s="1"/>
      <c r="FYI17" s="1"/>
      <c r="FYJ17" s="1"/>
      <c r="FYK17" s="1"/>
      <c r="FYL17" s="1"/>
      <c r="FYM17" s="1"/>
      <c r="FYN17" s="1"/>
      <c r="FYO17" s="1"/>
      <c r="FYP17" s="1"/>
      <c r="FYQ17" s="1"/>
      <c r="FYR17" s="1"/>
      <c r="FYS17" s="1"/>
      <c r="FYT17" s="1"/>
      <c r="FYU17" s="1"/>
      <c r="FYV17" s="1"/>
      <c r="FYW17" s="1"/>
      <c r="FYX17" s="1"/>
      <c r="FYY17" s="1"/>
      <c r="FYZ17" s="1"/>
      <c r="FZA17" s="1"/>
      <c r="FZB17" s="1"/>
      <c r="FZC17" s="1"/>
      <c r="FZD17" s="1"/>
      <c r="FZE17" s="1"/>
      <c r="FZF17" s="1"/>
      <c r="FZG17" s="1"/>
      <c r="FZH17" s="1"/>
      <c r="FZI17" s="1"/>
      <c r="FZJ17" s="1"/>
      <c r="FZK17" s="1"/>
      <c r="FZL17" s="1"/>
      <c r="FZM17" s="1"/>
      <c r="FZN17" s="1"/>
      <c r="FZO17" s="1"/>
      <c r="FZP17" s="1"/>
      <c r="FZQ17" s="1"/>
      <c r="FZR17" s="1"/>
      <c r="FZS17" s="1"/>
      <c r="FZT17" s="1"/>
      <c r="FZU17" s="1"/>
      <c r="FZV17" s="1"/>
      <c r="FZW17" s="1"/>
      <c r="FZX17" s="1"/>
      <c r="FZY17" s="1"/>
      <c r="FZZ17" s="1"/>
      <c r="GAA17" s="1"/>
      <c r="GAB17" s="1"/>
      <c r="GAC17" s="1"/>
      <c r="GAD17" s="1"/>
      <c r="GAE17" s="1"/>
      <c r="GAF17" s="1"/>
      <c r="GAG17" s="1"/>
      <c r="GAH17" s="1"/>
      <c r="GAI17" s="1"/>
      <c r="GAJ17" s="1"/>
      <c r="GAK17" s="1"/>
      <c r="GAL17" s="1"/>
      <c r="GAM17" s="1"/>
      <c r="GAN17" s="1"/>
      <c r="GAO17" s="1"/>
      <c r="GAP17" s="1"/>
      <c r="GAQ17" s="1"/>
      <c r="GAR17" s="1"/>
      <c r="GAS17" s="1"/>
      <c r="GAT17" s="1"/>
      <c r="GAU17" s="1"/>
      <c r="GAV17" s="1"/>
      <c r="GAW17" s="1"/>
      <c r="GAX17" s="1"/>
      <c r="GAY17" s="1"/>
      <c r="GAZ17" s="1"/>
      <c r="GBA17" s="1"/>
      <c r="GBB17" s="1"/>
      <c r="GBC17" s="1"/>
      <c r="GBD17" s="1"/>
      <c r="GBE17" s="1"/>
      <c r="GBF17" s="1"/>
      <c r="GBG17" s="1"/>
      <c r="GBH17" s="1"/>
      <c r="GBI17" s="1"/>
      <c r="GBJ17" s="1"/>
      <c r="GBK17" s="1"/>
      <c r="GBL17" s="1"/>
      <c r="GBM17" s="1"/>
      <c r="GBN17" s="1"/>
      <c r="GBO17" s="1"/>
      <c r="GBP17" s="1"/>
      <c r="GBQ17" s="1"/>
      <c r="GBR17" s="1"/>
      <c r="GBS17" s="1"/>
      <c r="GBT17" s="1"/>
      <c r="GBU17" s="1"/>
      <c r="GBV17" s="1"/>
      <c r="GBW17" s="1"/>
      <c r="GBX17" s="1"/>
      <c r="GBY17" s="1"/>
      <c r="GBZ17" s="1"/>
      <c r="GCA17" s="1"/>
      <c r="GCB17" s="1"/>
      <c r="GCC17" s="1"/>
      <c r="GCD17" s="1"/>
      <c r="GCE17" s="1"/>
      <c r="GCF17" s="1"/>
      <c r="GCG17" s="1"/>
      <c r="GCH17" s="1"/>
      <c r="GCI17" s="1"/>
      <c r="GCJ17" s="1"/>
      <c r="GCK17" s="1"/>
      <c r="GCL17" s="1"/>
      <c r="GCM17" s="1"/>
      <c r="GCN17" s="1"/>
      <c r="GCO17" s="1"/>
      <c r="GCP17" s="1"/>
      <c r="GCQ17" s="1"/>
      <c r="GCR17" s="1"/>
      <c r="GCS17" s="1"/>
      <c r="GCT17" s="1"/>
      <c r="GCU17" s="1"/>
      <c r="GCV17" s="1"/>
      <c r="GCW17" s="1"/>
      <c r="GCX17" s="1"/>
      <c r="GCY17" s="1"/>
      <c r="GCZ17" s="1"/>
      <c r="GDA17" s="1"/>
      <c r="GDB17" s="1"/>
      <c r="GDC17" s="1"/>
      <c r="GDD17" s="1"/>
      <c r="GDE17" s="1"/>
      <c r="GDF17" s="1"/>
      <c r="GDG17" s="1"/>
      <c r="GDH17" s="1"/>
      <c r="GDI17" s="1"/>
      <c r="GDJ17" s="1"/>
      <c r="GDK17" s="1"/>
      <c r="GDL17" s="1"/>
      <c r="GDM17" s="1"/>
      <c r="GDN17" s="1"/>
      <c r="GDO17" s="1"/>
      <c r="GDP17" s="1"/>
      <c r="GDQ17" s="1"/>
      <c r="GDR17" s="1"/>
      <c r="GDS17" s="1"/>
      <c r="GDT17" s="1"/>
      <c r="GDU17" s="1"/>
      <c r="GDV17" s="1"/>
      <c r="GDW17" s="1"/>
      <c r="GDX17" s="1"/>
      <c r="GDY17" s="1"/>
      <c r="GDZ17" s="1"/>
      <c r="GEA17" s="1"/>
      <c r="GEB17" s="1"/>
      <c r="GEC17" s="1"/>
      <c r="GED17" s="1"/>
      <c r="GEE17" s="1"/>
      <c r="GEF17" s="1"/>
      <c r="GEG17" s="1"/>
      <c r="GEH17" s="1"/>
      <c r="GEI17" s="1"/>
      <c r="GEJ17" s="1"/>
      <c r="GEK17" s="1"/>
      <c r="GEL17" s="1"/>
      <c r="GEM17" s="1"/>
      <c r="GEN17" s="1"/>
      <c r="GEO17" s="1"/>
      <c r="GEP17" s="1"/>
      <c r="GEQ17" s="1"/>
      <c r="GER17" s="1"/>
      <c r="GES17" s="1"/>
      <c r="GET17" s="1"/>
      <c r="GEU17" s="1"/>
      <c r="GEV17" s="1"/>
      <c r="GEW17" s="1"/>
      <c r="GEX17" s="1"/>
      <c r="GEY17" s="1"/>
      <c r="GEZ17" s="1"/>
      <c r="GFA17" s="1"/>
      <c r="GFB17" s="1"/>
      <c r="GFC17" s="1"/>
      <c r="GFD17" s="1"/>
      <c r="GFE17" s="1"/>
      <c r="GFF17" s="1"/>
      <c r="GFG17" s="1"/>
      <c r="GFH17" s="1"/>
      <c r="GFI17" s="1"/>
      <c r="GFJ17" s="1"/>
      <c r="GFK17" s="1"/>
      <c r="GFL17" s="1"/>
      <c r="GFM17" s="1"/>
      <c r="GFN17" s="1"/>
      <c r="GFO17" s="1"/>
      <c r="GFP17" s="1"/>
      <c r="GFQ17" s="1"/>
      <c r="GFR17" s="1"/>
      <c r="GFS17" s="1"/>
      <c r="GFT17" s="1"/>
      <c r="GFU17" s="1"/>
      <c r="GFV17" s="1"/>
      <c r="GFW17" s="1"/>
      <c r="GFX17" s="1"/>
      <c r="GFY17" s="1"/>
      <c r="GFZ17" s="1"/>
      <c r="GGA17" s="1"/>
      <c r="GGB17" s="1"/>
      <c r="GGC17" s="1"/>
      <c r="GGD17" s="1"/>
      <c r="GGE17" s="1"/>
      <c r="GGF17" s="1"/>
      <c r="GGG17" s="1"/>
      <c r="GGH17" s="1"/>
      <c r="GGI17" s="1"/>
      <c r="GGJ17" s="1"/>
      <c r="GGK17" s="1"/>
      <c r="GGL17" s="1"/>
      <c r="GGM17" s="1"/>
      <c r="GGN17" s="1"/>
      <c r="GGO17" s="1"/>
      <c r="GGP17" s="1"/>
      <c r="GGQ17" s="1"/>
      <c r="GGR17" s="1"/>
      <c r="GGS17" s="1"/>
      <c r="GGT17" s="1"/>
      <c r="GGU17" s="1"/>
      <c r="GGV17" s="1"/>
      <c r="GGW17" s="1"/>
      <c r="GGX17" s="1"/>
      <c r="GGY17" s="1"/>
      <c r="GGZ17" s="1"/>
      <c r="GHA17" s="1"/>
      <c r="GHB17" s="1"/>
      <c r="GHC17" s="1"/>
      <c r="GHD17" s="1"/>
      <c r="GHE17" s="1"/>
      <c r="GHF17" s="1"/>
      <c r="GHG17" s="1"/>
      <c r="GHH17" s="1"/>
      <c r="GHI17" s="1"/>
      <c r="GHJ17" s="1"/>
      <c r="GHK17" s="1"/>
      <c r="GHL17" s="1"/>
      <c r="GHM17" s="1"/>
      <c r="GHN17" s="1"/>
      <c r="GHO17" s="1"/>
      <c r="GHP17" s="1"/>
      <c r="GHQ17" s="1"/>
      <c r="GHR17" s="1"/>
      <c r="GHS17" s="1"/>
      <c r="GHT17" s="1"/>
      <c r="GHU17" s="1"/>
      <c r="GHV17" s="1"/>
      <c r="GHW17" s="1"/>
      <c r="GHX17" s="1"/>
      <c r="GHY17" s="1"/>
      <c r="GHZ17" s="1"/>
      <c r="GIA17" s="1"/>
      <c r="GIB17" s="1"/>
      <c r="GIC17" s="1"/>
      <c r="GID17" s="1"/>
      <c r="GIE17" s="1"/>
      <c r="GIF17" s="1"/>
      <c r="GIG17" s="1"/>
      <c r="GIH17" s="1"/>
      <c r="GII17" s="1"/>
      <c r="GIJ17" s="1"/>
      <c r="GIK17" s="1"/>
      <c r="GIL17" s="1"/>
      <c r="GIM17" s="1"/>
      <c r="GIN17" s="1"/>
      <c r="GIO17" s="1"/>
      <c r="GIP17" s="1"/>
      <c r="GIQ17" s="1"/>
      <c r="GIR17" s="1"/>
      <c r="GIS17" s="1"/>
      <c r="GIT17" s="1"/>
      <c r="GIU17" s="1"/>
      <c r="GIV17" s="1"/>
      <c r="GIW17" s="1"/>
      <c r="GIX17" s="1"/>
      <c r="GIY17" s="1"/>
      <c r="GIZ17" s="1"/>
      <c r="GJA17" s="1"/>
      <c r="GJB17" s="1"/>
      <c r="GJC17" s="1"/>
      <c r="GJD17" s="1"/>
      <c r="GJE17" s="1"/>
      <c r="GJF17" s="1"/>
      <c r="GJG17" s="1"/>
      <c r="GJH17" s="1"/>
      <c r="GJI17" s="1"/>
      <c r="GJJ17" s="1"/>
      <c r="GJK17" s="1"/>
      <c r="GJL17" s="1"/>
      <c r="GJM17" s="1"/>
      <c r="GJN17" s="1"/>
      <c r="GJO17" s="1"/>
      <c r="GJP17" s="1"/>
      <c r="GJQ17" s="1"/>
      <c r="GJR17" s="1"/>
      <c r="GJS17" s="1"/>
      <c r="GJT17" s="1"/>
      <c r="GJU17" s="1"/>
      <c r="GJV17" s="1"/>
      <c r="GJW17" s="1"/>
      <c r="GJX17" s="1"/>
      <c r="GJY17" s="1"/>
      <c r="GJZ17" s="1"/>
      <c r="GKA17" s="1"/>
      <c r="GKB17" s="1"/>
      <c r="GKC17" s="1"/>
      <c r="GKD17" s="1"/>
      <c r="GKE17" s="1"/>
      <c r="GKF17" s="1"/>
      <c r="GKG17" s="1"/>
      <c r="GKH17" s="1"/>
      <c r="GKI17" s="1"/>
      <c r="GKJ17" s="1"/>
      <c r="GKK17" s="1"/>
      <c r="GKL17" s="1"/>
      <c r="GKM17" s="1"/>
      <c r="GKN17" s="1"/>
      <c r="GKO17" s="1"/>
      <c r="GKP17" s="1"/>
      <c r="GKQ17" s="1"/>
      <c r="GKR17" s="1"/>
      <c r="GKS17" s="1"/>
      <c r="GKT17" s="1"/>
      <c r="GKU17" s="1"/>
      <c r="GKV17" s="1"/>
      <c r="GKW17" s="1"/>
      <c r="GKX17" s="1"/>
      <c r="GKY17" s="1"/>
      <c r="GKZ17" s="1"/>
      <c r="GLA17" s="1"/>
      <c r="GLB17" s="1"/>
      <c r="GLC17" s="1"/>
      <c r="GLD17" s="1"/>
      <c r="GLE17" s="1"/>
      <c r="GLF17" s="1"/>
      <c r="GLG17" s="1"/>
      <c r="GLH17" s="1"/>
      <c r="GLI17" s="1"/>
      <c r="GLJ17" s="1"/>
      <c r="GLK17" s="1"/>
      <c r="GLL17" s="1"/>
      <c r="GLM17" s="1"/>
      <c r="GLN17" s="1"/>
      <c r="GLO17" s="1"/>
      <c r="GLP17" s="1"/>
      <c r="GLQ17" s="1"/>
      <c r="GLR17" s="1"/>
      <c r="GLS17" s="1"/>
      <c r="GLT17" s="1"/>
      <c r="GLU17" s="1"/>
      <c r="GLV17" s="1"/>
      <c r="GLW17" s="1"/>
      <c r="GLX17" s="1"/>
      <c r="GLY17" s="1"/>
      <c r="GLZ17" s="1"/>
      <c r="GMA17" s="1"/>
      <c r="GMB17" s="1"/>
      <c r="GMC17" s="1"/>
      <c r="GMD17" s="1"/>
      <c r="GME17" s="1"/>
      <c r="GMF17" s="1"/>
      <c r="GMG17" s="1"/>
      <c r="GMH17" s="1"/>
      <c r="GMI17" s="1"/>
      <c r="GMJ17" s="1"/>
      <c r="GMK17" s="1"/>
      <c r="GML17" s="1"/>
      <c r="GMM17" s="1"/>
      <c r="GMN17" s="1"/>
      <c r="GMO17" s="1"/>
      <c r="GMP17" s="1"/>
      <c r="GMQ17" s="1"/>
      <c r="GMR17" s="1"/>
      <c r="GMS17" s="1"/>
      <c r="GMT17" s="1"/>
      <c r="GMU17" s="1"/>
      <c r="GMV17" s="1"/>
      <c r="GMW17" s="1"/>
      <c r="GMX17" s="1"/>
      <c r="GMY17" s="1"/>
      <c r="GMZ17" s="1"/>
      <c r="GNA17" s="1"/>
      <c r="GNB17" s="1"/>
      <c r="GNC17" s="1"/>
      <c r="GND17" s="1"/>
      <c r="GNE17" s="1"/>
      <c r="GNF17" s="1"/>
      <c r="GNG17" s="1"/>
      <c r="GNH17" s="1"/>
      <c r="GNI17" s="1"/>
      <c r="GNJ17" s="1"/>
      <c r="GNK17" s="1"/>
      <c r="GNL17" s="1"/>
      <c r="GNM17" s="1"/>
      <c r="GNN17" s="1"/>
      <c r="GNO17" s="1"/>
      <c r="GNP17" s="1"/>
      <c r="GNQ17" s="1"/>
      <c r="GNR17" s="1"/>
      <c r="GNS17" s="1"/>
      <c r="GNT17" s="1"/>
      <c r="GNU17" s="1"/>
      <c r="GNV17" s="1"/>
      <c r="GNW17" s="1"/>
      <c r="GNX17" s="1"/>
      <c r="GNY17" s="1"/>
      <c r="GNZ17" s="1"/>
      <c r="GOA17" s="1"/>
      <c r="GOB17" s="1"/>
      <c r="GOC17" s="1"/>
      <c r="GOD17" s="1"/>
      <c r="GOE17" s="1"/>
      <c r="GOF17" s="1"/>
      <c r="GOG17" s="1"/>
      <c r="GOH17" s="1"/>
      <c r="GOI17" s="1"/>
      <c r="GOJ17" s="1"/>
      <c r="GOK17" s="1"/>
      <c r="GOL17" s="1"/>
      <c r="GOM17" s="1"/>
      <c r="GON17" s="1"/>
      <c r="GOO17" s="1"/>
      <c r="GOP17" s="1"/>
      <c r="GOQ17" s="1"/>
      <c r="GOR17" s="1"/>
      <c r="GOS17" s="1"/>
      <c r="GOT17" s="1"/>
      <c r="GOU17" s="1"/>
      <c r="GOV17" s="1"/>
      <c r="GOW17" s="1"/>
      <c r="GOX17" s="1"/>
      <c r="GOY17" s="1"/>
      <c r="GOZ17" s="1"/>
      <c r="GPA17" s="1"/>
      <c r="GPB17" s="1"/>
      <c r="GPC17" s="1"/>
      <c r="GPD17" s="1"/>
      <c r="GPE17" s="1"/>
      <c r="GPF17" s="1"/>
      <c r="GPG17" s="1"/>
      <c r="GPH17" s="1"/>
      <c r="GPI17" s="1"/>
      <c r="GPJ17" s="1"/>
      <c r="GPK17" s="1"/>
      <c r="GPL17" s="1"/>
      <c r="GPM17" s="1"/>
      <c r="GPN17" s="1"/>
      <c r="GPO17" s="1"/>
      <c r="GPP17" s="1"/>
      <c r="GPQ17" s="1"/>
      <c r="GPR17" s="1"/>
      <c r="GPS17" s="1"/>
      <c r="GPT17" s="1"/>
      <c r="GPU17" s="1"/>
      <c r="GPV17" s="1"/>
      <c r="GPW17" s="1"/>
      <c r="GPX17" s="1"/>
      <c r="GPY17" s="1"/>
      <c r="GPZ17" s="1"/>
      <c r="GQA17" s="1"/>
      <c r="GQB17" s="1"/>
      <c r="GQC17" s="1"/>
      <c r="GQD17" s="1"/>
      <c r="GQE17" s="1"/>
      <c r="GQF17" s="1"/>
      <c r="GQG17" s="1"/>
      <c r="GQH17" s="1"/>
      <c r="GQI17" s="1"/>
      <c r="GQJ17" s="1"/>
      <c r="GQK17" s="1"/>
      <c r="GQL17" s="1"/>
      <c r="GQM17" s="1"/>
      <c r="GQN17" s="1"/>
      <c r="GQO17" s="1"/>
      <c r="GQP17" s="1"/>
      <c r="GQQ17" s="1"/>
      <c r="GQR17" s="1"/>
      <c r="GQS17" s="1"/>
      <c r="GQT17" s="1"/>
      <c r="GQU17" s="1"/>
      <c r="GQV17" s="1"/>
      <c r="GQW17" s="1"/>
      <c r="GQX17" s="1"/>
      <c r="GQY17" s="1"/>
      <c r="GQZ17" s="1"/>
      <c r="GRA17" s="1"/>
      <c r="GRB17" s="1"/>
      <c r="GRC17" s="1"/>
      <c r="GRD17" s="1"/>
      <c r="GRE17" s="1"/>
      <c r="GRF17" s="1"/>
      <c r="GRG17" s="1"/>
      <c r="GRH17" s="1"/>
      <c r="GRI17" s="1"/>
      <c r="GRJ17" s="1"/>
      <c r="GRK17" s="1"/>
      <c r="GRL17" s="1"/>
      <c r="GRM17" s="1"/>
      <c r="GRN17" s="1"/>
      <c r="GRO17" s="1"/>
      <c r="GRP17" s="1"/>
      <c r="GRQ17" s="1"/>
      <c r="GRR17" s="1"/>
      <c r="GRS17" s="1"/>
      <c r="GRT17" s="1"/>
      <c r="GRU17" s="1"/>
      <c r="GRV17" s="1"/>
      <c r="GRW17" s="1"/>
      <c r="GRX17" s="1"/>
      <c r="GRY17" s="1"/>
      <c r="GRZ17" s="1"/>
      <c r="GSA17" s="1"/>
      <c r="GSB17" s="1"/>
      <c r="GSC17" s="1"/>
      <c r="GSD17" s="1"/>
      <c r="GSE17" s="1"/>
      <c r="GSF17" s="1"/>
      <c r="GSG17" s="1"/>
      <c r="GSH17" s="1"/>
      <c r="GSI17" s="1"/>
      <c r="GSJ17" s="1"/>
      <c r="GSK17" s="1"/>
      <c r="GSL17" s="1"/>
      <c r="GSM17" s="1"/>
      <c r="GSN17" s="1"/>
      <c r="GSO17" s="1"/>
      <c r="GSP17" s="1"/>
      <c r="GSQ17" s="1"/>
      <c r="GSR17" s="1"/>
      <c r="GSS17" s="1"/>
      <c r="GST17" s="1"/>
      <c r="GSU17" s="1"/>
      <c r="GSV17" s="1"/>
      <c r="GSW17" s="1"/>
      <c r="GSX17" s="1"/>
      <c r="GSY17" s="1"/>
      <c r="GSZ17" s="1"/>
      <c r="GTA17" s="1"/>
      <c r="GTB17" s="1"/>
      <c r="GTC17" s="1"/>
      <c r="GTD17" s="1"/>
      <c r="GTE17" s="1"/>
      <c r="GTF17" s="1"/>
      <c r="GTG17" s="1"/>
      <c r="GTH17" s="1"/>
      <c r="GTI17" s="1"/>
      <c r="GTJ17" s="1"/>
      <c r="GTK17" s="1"/>
      <c r="GTL17" s="1"/>
      <c r="GTM17" s="1"/>
      <c r="GTN17" s="1"/>
      <c r="GTO17" s="1"/>
      <c r="GTP17" s="1"/>
      <c r="GTQ17" s="1"/>
      <c r="GTR17" s="1"/>
      <c r="GTS17" s="1"/>
      <c r="GTT17" s="1"/>
      <c r="GTU17" s="1"/>
      <c r="GTV17" s="1"/>
      <c r="GTW17" s="1"/>
      <c r="GTX17" s="1"/>
      <c r="GTY17" s="1"/>
      <c r="GTZ17" s="1"/>
      <c r="GUA17" s="1"/>
      <c r="GUB17" s="1"/>
      <c r="GUC17" s="1"/>
      <c r="GUD17" s="1"/>
      <c r="GUE17" s="1"/>
      <c r="GUF17" s="1"/>
      <c r="GUG17" s="1"/>
      <c r="GUH17" s="1"/>
      <c r="GUI17" s="1"/>
      <c r="GUJ17" s="1"/>
      <c r="GUK17" s="1"/>
      <c r="GUL17" s="1"/>
      <c r="GUM17" s="1"/>
      <c r="GUN17" s="1"/>
      <c r="GUO17" s="1"/>
      <c r="GUP17" s="1"/>
      <c r="GUQ17" s="1"/>
      <c r="GUR17" s="1"/>
      <c r="GUS17" s="1"/>
      <c r="GUT17" s="1"/>
      <c r="GUU17" s="1"/>
      <c r="GUV17" s="1"/>
      <c r="GUW17" s="1"/>
      <c r="GUX17" s="1"/>
      <c r="GUY17" s="1"/>
      <c r="GUZ17" s="1"/>
      <c r="GVA17" s="1"/>
      <c r="GVB17" s="1"/>
      <c r="GVC17" s="1"/>
      <c r="GVD17" s="1"/>
      <c r="GVE17" s="1"/>
      <c r="GVF17" s="1"/>
      <c r="GVG17" s="1"/>
      <c r="GVH17" s="1"/>
      <c r="GVI17" s="1"/>
      <c r="GVJ17" s="1"/>
      <c r="GVK17" s="1"/>
      <c r="GVL17" s="1"/>
      <c r="GVM17" s="1"/>
      <c r="GVN17" s="1"/>
      <c r="GVO17" s="1"/>
      <c r="GVP17" s="1"/>
      <c r="GVQ17" s="1"/>
      <c r="GVR17" s="1"/>
      <c r="GVS17" s="1"/>
      <c r="GVT17" s="1"/>
      <c r="GVU17" s="1"/>
      <c r="GVV17" s="1"/>
      <c r="GVW17" s="1"/>
      <c r="GVX17" s="1"/>
      <c r="GVY17" s="1"/>
      <c r="GVZ17" s="1"/>
      <c r="GWA17" s="1"/>
      <c r="GWB17" s="1"/>
      <c r="GWC17" s="1"/>
      <c r="GWD17" s="1"/>
      <c r="GWE17" s="1"/>
      <c r="GWF17" s="1"/>
      <c r="GWG17" s="1"/>
      <c r="GWH17" s="1"/>
      <c r="GWI17" s="1"/>
      <c r="GWJ17" s="1"/>
      <c r="GWK17" s="1"/>
      <c r="GWL17" s="1"/>
      <c r="GWM17" s="1"/>
      <c r="GWN17" s="1"/>
      <c r="GWO17" s="1"/>
      <c r="GWP17" s="1"/>
      <c r="GWQ17" s="1"/>
      <c r="GWR17" s="1"/>
      <c r="GWS17" s="1"/>
      <c r="GWT17" s="1"/>
      <c r="GWU17" s="1"/>
      <c r="GWV17" s="1"/>
      <c r="GWW17" s="1"/>
      <c r="GWX17" s="1"/>
      <c r="GWY17" s="1"/>
      <c r="GWZ17" s="1"/>
      <c r="GXA17" s="1"/>
      <c r="GXB17" s="1"/>
      <c r="GXC17" s="1"/>
      <c r="GXD17" s="1"/>
      <c r="GXE17" s="1"/>
      <c r="GXF17" s="1"/>
      <c r="GXG17" s="1"/>
      <c r="GXH17" s="1"/>
      <c r="GXI17" s="1"/>
      <c r="GXJ17" s="1"/>
      <c r="GXK17" s="1"/>
      <c r="GXL17" s="1"/>
      <c r="GXM17" s="1"/>
      <c r="GXN17" s="1"/>
      <c r="GXO17" s="1"/>
      <c r="GXP17" s="1"/>
      <c r="GXQ17" s="1"/>
      <c r="GXR17" s="1"/>
      <c r="GXS17" s="1"/>
      <c r="GXT17" s="1"/>
      <c r="GXU17" s="1"/>
      <c r="GXV17" s="1"/>
      <c r="GXW17" s="1"/>
      <c r="GXX17" s="1"/>
      <c r="GXY17" s="1"/>
      <c r="GXZ17" s="1"/>
      <c r="GYA17" s="1"/>
      <c r="GYB17" s="1"/>
      <c r="GYC17" s="1"/>
      <c r="GYD17" s="1"/>
      <c r="GYE17" s="1"/>
      <c r="GYF17" s="1"/>
      <c r="GYG17" s="1"/>
      <c r="GYH17" s="1"/>
      <c r="GYI17" s="1"/>
      <c r="GYJ17" s="1"/>
      <c r="GYK17" s="1"/>
      <c r="GYL17" s="1"/>
      <c r="GYM17" s="1"/>
      <c r="GYN17" s="1"/>
      <c r="GYO17" s="1"/>
      <c r="GYP17" s="1"/>
      <c r="GYQ17" s="1"/>
      <c r="GYR17" s="1"/>
      <c r="GYS17" s="1"/>
      <c r="GYT17" s="1"/>
      <c r="GYU17" s="1"/>
      <c r="GYV17" s="1"/>
      <c r="GYW17" s="1"/>
      <c r="GYX17" s="1"/>
      <c r="GYY17" s="1"/>
      <c r="GYZ17" s="1"/>
      <c r="GZA17" s="1"/>
      <c r="GZB17" s="1"/>
      <c r="GZC17" s="1"/>
      <c r="GZD17" s="1"/>
      <c r="GZE17" s="1"/>
      <c r="GZF17" s="1"/>
      <c r="GZG17" s="1"/>
      <c r="GZH17" s="1"/>
      <c r="GZI17" s="1"/>
      <c r="GZJ17" s="1"/>
      <c r="GZK17" s="1"/>
      <c r="GZL17" s="1"/>
      <c r="GZM17" s="1"/>
      <c r="GZN17" s="1"/>
      <c r="GZO17" s="1"/>
      <c r="GZP17" s="1"/>
      <c r="GZQ17" s="1"/>
      <c r="GZR17" s="1"/>
      <c r="GZS17" s="1"/>
      <c r="GZT17" s="1"/>
      <c r="GZU17" s="1"/>
      <c r="GZV17" s="1"/>
      <c r="GZW17" s="1"/>
      <c r="GZX17" s="1"/>
      <c r="GZY17" s="1"/>
      <c r="GZZ17" s="1"/>
      <c r="HAA17" s="1"/>
      <c r="HAB17" s="1"/>
      <c r="HAC17" s="1"/>
      <c r="HAD17" s="1"/>
      <c r="HAE17" s="1"/>
      <c r="HAF17" s="1"/>
      <c r="HAG17" s="1"/>
      <c r="HAH17" s="1"/>
      <c r="HAI17" s="1"/>
      <c r="HAJ17" s="1"/>
      <c r="HAK17" s="1"/>
      <c r="HAL17" s="1"/>
      <c r="HAM17" s="1"/>
      <c r="HAN17" s="1"/>
      <c r="HAO17" s="1"/>
      <c r="HAP17" s="1"/>
      <c r="HAQ17" s="1"/>
      <c r="HAR17" s="1"/>
      <c r="HAS17" s="1"/>
      <c r="HAT17" s="1"/>
      <c r="HAU17" s="1"/>
      <c r="HAV17" s="1"/>
      <c r="HAW17" s="1"/>
      <c r="HAX17" s="1"/>
      <c r="HAY17" s="1"/>
      <c r="HAZ17" s="1"/>
      <c r="HBA17" s="1"/>
      <c r="HBB17" s="1"/>
      <c r="HBC17" s="1"/>
      <c r="HBD17" s="1"/>
      <c r="HBE17" s="1"/>
      <c r="HBF17" s="1"/>
      <c r="HBG17" s="1"/>
      <c r="HBH17" s="1"/>
      <c r="HBI17" s="1"/>
      <c r="HBJ17" s="1"/>
      <c r="HBK17" s="1"/>
      <c r="HBL17" s="1"/>
      <c r="HBM17" s="1"/>
      <c r="HBN17" s="1"/>
      <c r="HBO17" s="1"/>
      <c r="HBP17" s="1"/>
      <c r="HBQ17" s="1"/>
      <c r="HBR17" s="1"/>
      <c r="HBS17" s="1"/>
      <c r="HBT17" s="1"/>
      <c r="HBU17" s="1"/>
      <c r="HBV17" s="1"/>
      <c r="HBW17" s="1"/>
      <c r="HBX17" s="1"/>
      <c r="HBY17" s="1"/>
      <c r="HBZ17" s="1"/>
      <c r="HCA17" s="1"/>
      <c r="HCB17" s="1"/>
      <c r="HCC17" s="1"/>
      <c r="HCD17" s="1"/>
      <c r="HCE17" s="1"/>
      <c r="HCF17" s="1"/>
      <c r="HCG17" s="1"/>
      <c r="HCH17" s="1"/>
      <c r="HCI17" s="1"/>
      <c r="HCJ17" s="1"/>
      <c r="HCK17" s="1"/>
      <c r="HCL17" s="1"/>
      <c r="HCM17" s="1"/>
      <c r="HCN17" s="1"/>
      <c r="HCO17" s="1"/>
      <c r="HCP17" s="1"/>
      <c r="HCQ17" s="1"/>
      <c r="HCR17" s="1"/>
      <c r="HCS17" s="1"/>
      <c r="HCT17" s="1"/>
      <c r="HCU17" s="1"/>
      <c r="HCV17" s="1"/>
      <c r="HCW17" s="1"/>
      <c r="HCX17" s="1"/>
      <c r="HCY17" s="1"/>
      <c r="HCZ17" s="1"/>
      <c r="HDA17" s="1"/>
      <c r="HDB17" s="1"/>
      <c r="HDC17" s="1"/>
      <c r="HDD17" s="1"/>
      <c r="HDE17" s="1"/>
      <c r="HDF17" s="1"/>
      <c r="HDG17" s="1"/>
      <c r="HDH17" s="1"/>
      <c r="HDI17" s="1"/>
      <c r="HDJ17" s="1"/>
      <c r="HDK17" s="1"/>
      <c r="HDL17" s="1"/>
      <c r="HDM17" s="1"/>
      <c r="HDN17" s="1"/>
      <c r="HDO17" s="1"/>
      <c r="HDP17" s="1"/>
      <c r="HDQ17" s="1"/>
      <c r="HDR17" s="1"/>
      <c r="HDS17" s="1"/>
      <c r="HDT17" s="1"/>
      <c r="HDU17" s="1"/>
      <c r="HDV17" s="1"/>
      <c r="HDW17" s="1"/>
      <c r="HDX17" s="1"/>
      <c r="HDY17" s="1"/>
      <c r="HDZ17" s="1"/>
      <c r="HEA17" s="1"/>
      <c r="HEB17" s="1"/>
      <c r="HEC17" s="1"/>
      <c r="HED17" s="1"/>
      <c r="HEE17" s="1"/>
      <c r="HEF17" s="1"/>
      <c r="HEG17" s="1"/>
      <c r="HEH17" s="1"/>
      <c r="HEI17" s="1"/>
      <c r="HEJ17" s="1"/>
      <c r="HEK17" s="1"/>
      <c r="HEL17" s="1"/>
      <c r="HEM17" s="1"/>
      <c r="HEN17" s="1"/>
      <c r="HEO17" s="1"/>
      <c r="HEP17" s="1"/>
      <c r="HEQ17" s="1"/>
      <c r="HER17" s="1"/>
      <c r="HES17" s="1"/>
      <c r="HET17" s="1"/>
      <c r="HEU17" s="1"/>
      <c r="HEV17" s="1"/>
      <c r="HEW17" s="1"/>
      <c r="HEX17" s="1"/>
      <c r="HEY17" s="1"/>
      <c r="HEZ17" s="1"/>
      <c r="HFA17" s="1"/>
      <c r="HFB17" s="1"/>
      <c r="HFC17" s="1"/>
      <c r="HFD17" s="1"/>
      <c r="HFE17" s="1"/>
      <c r="HFF17" s="1"/>
      <c r="HFG17" s="1"/>
      <c r="HFH17" s="1"/>
      <c r="HFI17" s="1"/>
      <c r="HFJ17" s="1"/>
      <c r="HFK17" s="1"/>
      <c r="HFL17" s="1"/>
      <c r="HFM17" s="1"/>
      <c r="HFN17" s="1"/>
      <c r="HFO17" s="1"/>
      <c r="HFP17" s="1"/>
      <c r="HFQ17" s="1"/>
      <c r="HFR17" s="1"/>
      <c r="HFS17" s="1"/>
      <c r="HFT17" s="1"/>
      <c r="HFU17" s="1"/>
      <c r="HFV17" s="1"/>
      <c r="HFW17" s="1"/>
      <c r="HFX17" s="1"/>
      <c r="HFY17" s="1"/>
      <c r="HFZ17" s="1"/>
      <c r="HGA17" s="1"/>
      <c r="HGB17" s="1"/>
      <c r="HGC17" s="1"/>
      <c r="HGD17" s="1"/>
      <c r="HGE17" s="1"/>
      <c r="HGF17" s="1"/>
      <c r="HGG17" s="1"/>
      <c r="HGH17" s="1"/>
      <c r="HGI17" s="1"/>
      <c r="HGJ17" s="1"/>
      <c r="HGK17" s="1"/>
      <c r="HGL17" s="1"/>
      <c r="HGM17" s="1"/>
      <c r="HGN17" s="1"/>
      <c r="HGO17" s="1"/>
      <c r="HGP17" s="1"/>
      <c r="HGQ17" s="1"/>
      <c r="HGR17" s="1"/>
      <c r="HGS17" s="1"/>
      <c r="HGT17" s="1"/>
      <c r="HGU17" s="1"/>
      <c r="HGV17" s="1"/>
      <c r="HGW17" s="1"/>
      <c r="HGX17" s="1"/>
      <c r="HGY17" s="1"/>
      <c r="HGZ17" s="1"/>
      <c r="HHA17" s="1"/>
      <c r="HHB17" s="1"/>
      <c r="HHC17" s="1"/>
      <c r="HHD17" s="1"/>
      <c r="HHE17" s="1"/>
      <c r="HHF17" s="1"/>
      <c r="HHG17" s="1"/>
      <c r="HHH17" s="1"/>
      <c r="HHI17" s="1"/>
      <c r="HHJ17" s="1"/>
      <c r="HHK17" s="1"/>
      <c r="HHL17" s="1"/>
      <c r="HHM17" s="1"/>
      <c r="HHN17" s="1"/>
      <c r="HHO17" s="1"/>
      <c r="HHP17" s="1"/>
      <c r="HHQ17" s="1"/>
      <c r="HHR17" s="1"/>
      <c r="HHS17" s="1"/>
      <c r="HHT17" s="1"/>
      <c r="HHU17" s="1"/>
      <c r="HHV17" s="1"/>
      <c r="HHW17" s="1"/>
      <c r="HHX17" s="1"/>
      <c r="HHY17" s="1"/>
      <c r="HHZ17" s="1"/>
      <c r="HIA17" s="1"/>
      <c r="HIB17" s="1"/>
      <c r="HIC17" s="1"/>
      <c r="HID17" s="1"/>
      <c r="HIE17" s="1"/>
      <c r="HIF17" s="1"/>
      <c r="HIG17" s="1"/>
      <c r="HIH17" s="1"/>
      <c r="HII17" s="1"/>
      <c r="HIJ17" s="1"/>
      <c r="HIK17" s="1"/>
      <c r="HIL17" s="1"/>
      <c r="HIM17" s="1"/>
      <c r="HIN17" s="1"/>
      <c r="HIO17" s="1"/>
      <c r="HIP17" s="1"/>
      <c r="HIQ17" s="1"/>
      <c r="HIR17" s="1"/>
      <c r="HIS17" s="1"/>
      <c r="HIT17" s="1"/>
      <c r="HIU17" s="1"/>
      <c r="HIV17" s="1"/>
      <c r="HIW17" s="1"/>
      <c r="HIX17" s="1"/>
      <c r="HIY17" s="1"/>
      <c r="HIZ17" s="1"/>
      <c r="HJA17" s="1"/>
      <c r="HJB17" s="1"/>
      <c r="HJC17" s="1"/>
      <c r="HJD17" s="1"/>
      <c r="HJE17" s="1"/>
      <c r="HJF17" s="1"/>
      <c r="HJG17" s="1"/>
      <c r="HJH17" s="1"/>
      <c r="HJI17" s="1"/>
      <c r="HJJ17" s="1"/>
      <c r="HJK17" s="1"/>
      <c r="HJL17" s="1"/>
      <c r="HJM17" s="1"/>
      <c r="HJN17" s="1"/>
      <c r="HJO17" s="1"/>
      <c r="HJP17" s="1"/>
      <c r="HJQ17" s="1"/>
      <c r="HJR17" s="1"/>
      <c r="HJS17" s="1"/>
      <c r="HJT17" s="1"/>
      <c r="HJU17" s="1"/>
      <c r="HJV17" s="1"/>
      <c r="HJW17" s="1"/>
      <c r="HJX17" s="1"/>
      <c r="HJY17" s="1"/>
      <c r="HJZ17" s="1"/>
      <c r="HKA17" s="1"/>
      <c r="HKB17" s="1"/>
      <c r="HKC17" s="1"/>
      <c r="HKD17" s="1"/>
      <c r="HKE17" s="1"/>
      <c r="HKF17" s="1"/>
      <c r="HKG17" s="1"/>
      <c r="HKH17" s="1"/>
      <c r="HKI17" s="1"/>
      <c r="HKJ17" s="1"/>
      <c r="HKK17" s="1"/>
      <c r="HKL17" s="1"/>
      <c r="HKM17" s="1"/>
      <c r="HKN17" s="1"/>
      <c r="HKO17" s="1"/>
      <c r="HKP17" s="1"/>
      <c r="HKQ17" s="1"/>
      <c r="HKR17" s="1"/>
      <c r="HKS17" s="1"/>
      <c r="HKT17" s="1"/>
      <c r="HKU17" s="1"/>
      <c r="HKV17" s="1"/>
      <c r="HKW17" s="1"/>
      <c r="HKX17" s="1"/>
      <c r="HKY17" s="1"/>
      <c r="HKZ17" s="1"/>
      <c r="HLA17" s="1"/>
      <c r="HLB17" s="1"/>
      <c r="HLC17" s="1"/>
      <c r="HLD17" s="1"/>
      <c r="HLE17" s="1"/>
      <c r="HLF17" s="1"/>
      <c r="HLG17" s="1"/>
      <c r="HLH17" s="1"/>
      <c r="HLI17" s="1"/>
      <c r="HLJ17" s="1"/>
      <c r="HLK17" s="1"/>
      <c r="HLL17" s="1"/>
      <c r="HLM17" s="1"/>
      <c r="HLN17" s="1"/>
      <c r="HLO17" s="1"/>
      <c r="HLP17" s="1"/>
      <c r="HLQ17" s="1"/>
      <c r="HLR17" s="1"/>
      <c r="HLS17" s="1"/>
      <c r="HLT17" s="1"/>
      <c r="HLU17" s="1"/>
      <c r="HLV17" s="1"/>
      <c r="HLW17" s="1"/>
      <c r="HLX17" s="1"/>
      <c r="HLY17" s="1"/>
      <c r="HLZ17" s="1"/>
      <c r="HMA17" s="1"/>
      <c r="HMB17" s="1"/>
      <c r="HMC17" s="1"/>
      <c r="HMD17" s="1"/>
      <c r="HME17" s="1"/>
      <c r="HMF17" s="1"/>
      <c r="HMG17" s="1"/>
      <c r="HMH17" s="1"/>
      <c r="HMI17" s="1"/>
      <c r="HMJ17" s="1"/>
      <c r="HMK17" s="1"/>
      <c r="HML17" s="1"/>
      <c r="HMM17" s="1"/>
      <c r="HMN17" s="1"/>
      <c r="HMO17" s="1"/>
      <c r="HMP17" s="1"/>
      <c r="HMQ17" s="1"/>
      <c r="HMR17" s="1"/>
      <c r="HMS17" s="1"/>
      <c r="HMT17" s="1"/>
      <c r="HMU17" s="1"/>
      <c r="HMV17" s="1"/>
      <c r="HMW17" s="1"/>
      <c r="HMX17" s="1"/>
      <c r="HMY17" s="1"/>
      <c r="HMZ17" s="1"/>
      <c r="HNA17" s="1"/>
      <c r="HNB17" s="1"/>
      <c r="HNC17" s="1"/>
      <c r="HND17" s="1"/>
      <c r="HNE17" s="1"/>
      <c r="HNF17" s="1"/>
      <c r="HNG17" s="1"/>
      <c r="HNH17" s="1"/>
      <c r="HNI17" s="1"/>
      <c r="HNJ17" s="1"/>
      <c r="HNK17" s="1"/>
      <c r="HNL17" s="1"/>
      <c r="HNM17" s="1"/>
      <c r="HNN17" s="1"/>
      <c r="HNO17" s="1"/>
      <c r="HNP17" s="1"/>
      <c r="HNQ17" s="1"/>
      <c r="HNR17" s="1"/>
      <c r="HNS17" s="1"/>
      <c r="HNT17" s="1"/>
      <c r="HNU17" s="1"/>
      <c r="HNV17" s="1"/>
      <c r="HNW17" s="1"/>
      <c r="HNX17" s="1"/>
      <c r="HNY17" s="1"/>
      <c r="HNZ17" s="1"/>
      <c r="HOA17" s="1"/>
      <c r="HOB17" s="1"/>
      <c r="HOC17" s="1"/>
      <c r="HOD17" s="1"/>
      <c r="HOE17" s="1"/>
      <c r="HOF17" s="1"/>
      <c r="HOG17" s="1"/>
      <c r="HOH17" s="1"/>
      <c r="HOI17" s="1"/>
      <c r="HOJ17" s="1"/>
      <c r="HOK17" s="1"/>
      <c r="HOL17" s="1"/>
      <c r="HOM17" s="1"/>
      <c r="HON17" s="1"/>
      <c r="HOO17" s="1"/>
      <c r="HOP17" s="1"/>
      <c r="HOQ17" s="1"/>
      <c r="HOR17" s="1"/>
      <c r="HOS17" s="1"/>
      <c r="HOT17" s="1"/>
      <c r="HOU17" s="1"/>
      <c r="HOV17" s="1"/>
      <c r="HOW17" s="1"/>
      <c r="HOX17" s="1"/>
      <c r="HOY17" s="1"/>
      <c r="HOZ17" s="1"/>
      <c r="HPA17" s="1"/>
      <c r="HPB17" s="1"/>
      <c r="HPC17" s="1"/>
      <c r="HPD17" s="1"/>
      <c r="HPE17" s="1"/>
      <c r="HPF17" s="1"/>
      <c r="HPG17" s="1"/>
      <c r="HPH17" s="1"/>
      <c r="HPI17" s="1"/>
      <c r="HPJ17" s="1"/>
      <c r="HPK17" s="1"/>
      <c r="HPL17" s="1"/>
      <c r="HPM17" s="1"/>
      <c r="HPN17" s="1"/>
      <c r="HPO17" s="1"/>
      <c r="HPP17" s="1"/>
      <c r="HPQ17" s="1"/>
      <c r="HPR17" s="1"/>
      <c r="HPS17" s="1"/>
      <c r="HPT17" s="1"/>
      <c r="HPU17" s="1"/>
      <c r="HPV17" s="1"/>
      <c r="HPW17" s="1"/>
      <c r="HPX17" s="1"/>
      <c r="HPY17" s="1"/>
      <c r="HPZ17" s="1"/>
      <c r="HQA17" s="1"/>
      <c r="HQB17" s="1"/>
      <c r="HQC17" s="1"/>
      <c r="HQD17" s="1"/>
      <c r="HQE17" s="1"/>
      <c r="HQF17" s="1"/>
      <c r="HQG17" s="1"/>
      <c r="HQH17" s="1"/>
      <c r="HQI17" s="1"/>
      <c r="HQJ17" s="1"/>
      <c r="HQK17" s="1"/>
      <c r="HQL17" s="1"/>
      <c r="HQM17" s="1"/>
      <c r="HQN17" s="1"/>
      <c r="HQO17" s="1"/>
      <c r="HQP17" s="1"/>
      <c r="HQQ17" s="1"/>
      <c r="HQR17" s="1"/>
      <c r="HQS17" s="1"/>
      <c r="HQT17" s="1"/>
      <c r="HQU17" s="1"/>
      <c r="HQV17" s="1"/>
      <c r="HQW17" s="1"/>
      <c r="HQX17" s="1"/>
      <c r="HQY17" s="1"/>
      <c r="HQZ17" s="1"/>
      <c r="HRA17" s="1"/>
      <c r="HRB17" s="1"/>
      <c r="HRC17" s="1"/>
      <c r="HRD17" s="1"/>
      <c r="HRE17" s="1"/>
      <c r="HRF17" s="1"/>
      <c r="HRG17" s="1"/>
      <c r="HRH17" s="1"/>
      <c r="HRI17" s="1"/>
      <c r="HRJ17" s="1"/>
      <c r="HRK17" s="1"/>
      <c r="HRL17" s="1"/>
      <c r="HRM17" s="1"/>
      <c r="HRN17" s="1"/>
      <c r="HRO17" s="1"/>
      <c r="HRP17" s="1"/>
      <c r="HRQ17" s="1"/>
      <c r="HRR17" s="1"/>
      <c r="HRS17" s="1"/>
      <c r="HRT17" s="1"/>
      <c r="HRU17" s="1"/>
      <c r="HRV17" s="1"/>
      <c r="HRW17" s="1"/>
      <c r="HRX17" s="1"/>
      <c r="HRY17" s="1"/>
      <c r="HRZ17" s="1"/>
      <c r="HSA17" s="1"/>
      <c r="HSB17" s="1"/>
      <c r="HSC17" s="1"/>
      <c r="HSD17" s="1"/>
      <c r="HSE17" s="1"/>
      <c r="HSF17" s="1"/>
      <c r="HSG17" s="1"/>
      <c r="HSH17" s="1"/>
      <c r="HSI17" s="1"/>
      <c r="HSJ17" s="1"/>
      <c r="HSK17" s="1"/>
      <c r="HSL17" s="1"/>
      <c r="HSM17" s="1"/>
      <c r="HSN17" s="1"/>
      <c r="HSO17" s="1"/>
      <c r="HSP17" s="1"/>
      <c r="HSQ17" s="1"/>
      <c r="HSR17" s="1"/>
      <c r="HSS17" s="1"/>
      <c r="HST17" s="1"/>
      <c r="HSU17" s="1"/>
      <c r="HSV17" s="1"/>
      <c r="HSW17" s="1"/>
      <c r="HSX17" s="1"/>
      <c r="HSY17" s="1"/>
      <c r="HSZ17" s="1"/>
      <c r="HTA17" s="1"/>
      <c r="HTB17" s="1"/>
      <c r="HTC17" s="1"/>
      <c r="HTD17" s="1"/>
      <c r="HTE17" s="1"/>
      <c r="HTF17" s="1"/>
      <c r="HTG17" s="1"/>
      <c r="HTH17" s="1"/>
      <c r="HTI17" s="1"/>
      <c r="HTJ17" s="1"/>
      <c r="HTK17" s="1"/>
      <c r="HTL17" s="1"/>
      <c r="HTM17" s="1"/>
      <c r="HTN17" s="1"/>
      <c r="HTO17" s="1"/>
      <c r="HTP17" s="1"/>
      <c r="HTQ17" s="1"/>
      <c r="HTR17" s="1"/>
      <c r="HTS17" s="1"/>
      <c r="HTT17" s="1"/>
      <c r="HTU17" s="1"/>
      <c r="HTV17" s="1"/>
      <c r="HTW17" s="1"/>
      <c r="HTX17" s="1"/>
      <c r="HTY17" s="1"/>
      <c r="HTZ17" s="1"/>
      <c r="HUA17" s="1"/>
      <c r="HUB17" s="1"/>
      <c r="HUC17" s="1"/>
      <c r="HUD17" s="1"/>
      <c r="HUE17" s="1"/>
      <c r="HUF17" s="1"/>
      <c r="HUG17" s="1"/>
      <c r="HUH17" s="1"/>
      <c r="HUI17" s="1"/>
      <c r="HUJ17" s="1"/>
      <c r="HUK17" s="1"/>
      <c r="HUL17" s="1"/>
      <c r="HUM17" s="1"/>
      <c r="HUN17" s="1"/>
      <c r="HUO17" s="1"/>
      <c r="HUP17" s="1"/>
      <c r="HUQ17" s="1"/>
      <c r="HUR17" s="1"/>
      <c r="HUS17" s="1"/>
      <c r="HUT17" s="1"/>
      <c r="HUU17" s="1"/>
      <c r="HUV17" s="1"/>
      <c r="HUW17" s="1"/>
      <c r="HUX17" s="1"/>
      <c r="HUY17" s="1"/>
      <c r="HUZ17" s="1"/>
      <c r="HVA17" s="1"/>
      <c r="HVB17" s="1"/>
      <c r="HVC17" s="1"/>
      <c r="HVD17" s="1"/>
      <c r="HVE17" s="1"/>
      <c r="HVF17" s="1"/>
      <c r="HVG17" s="1"/>
      <c r="HVH17" s="1"/>
      <c r="HVI17" s="1"/>
      <c r="HVJ17" s="1"/>
      <c r="HVK17" s="1"/>
      <c r="HVL17" s="1"/>
      <c r="HVM17" s="1"/>
      <c r="HVN17" s="1"/>
      <c r="HVO17" s="1"/>
      <c r="HVP17" s="1"/>
      <c r="HVQ17" s="1"/>
      <c r="HVR17" s="1"/>
      <c r="HVS17" s="1"/>
      <c r="HVT17" s="1"/>
      <c r="HVU17" s="1"/>
      <c r="HVV17" s="1"/>
      <c r="HVW17" s="1"/>
      <c r="HVX17" s="1"/>
      <c r="HVY17" s="1"/>
      <c r="HVZ17" s="1"/>
      <c r="HWA17" s="1"/>
      <c r="HWB17" s="1"/>
      <c r="HWC17" s="1"/>
      <c r="HWD17" s="1"/>
      <c r="HWE17" s="1"/>
      <c r="HWF17" s="1"/>
      <c r="HWG17" s="1"/>
      <c r="HWH17" s="1"/>
      <c r="HWI17" s="1"/>
      <c r="HWJ17" s="1"/>
      <c r="HWK17" s="1"/>
      <c r="HWL17" s="1"/>
      <c r="HWM17" s="1"/>
      <c r="HWN17" s="1"/>
      <c r="HWO17" s="1"/>
      <c r="HWP17" s="1"/>
      <c r="HWQ17" s="1"/>
      <c r="HWR17" s="1"/>
      <c r="HWS17" s="1"/>
      <c r="HWT17" s="1"/>
      <c r="HWU17" s="1"/>
      <c r="HWV17" s="1"/>
      <c r="HWW17" s="1"/>
      <c r="HWX17" s="1"/>
      <c r="HWY17" s="1"/>
      <c r="HWZ17" s="1"/>
      <c r="HXA17" s="1"/>
      <c r="HXB17" s="1"/>
      <c r="HXC17" s="1"/>
      <c r="HXD17" s="1"/>
      <c r="HXE17" s="1"/>
      <c r="HXF17" s="1"/>
      <c r="HXG17" s="1"/>
      <c r="HXH17" s="1"/>
      <c r="HXI17" s="1"/>
      <c r="HXJ17" s="1"/>
      <c r="HXK17" s="1"/>
      <c r="HXL17" s="1"/>
      <c r="HXM17" s="1"/>
      <c r="HXN17" s="1"/>
      <c r="HXO17" s="1"/>
      <c r="HXP17" s="1"/>
      <c r="HXQ17" s="1"/>
      <c r="HXR17" s="1"/>
      <c r="HXS17" s="1"/>
      <c r="HXT17" s="1"/>
      <c r="HXU17" s="1"/>
      <c r="HXV17" s="1"/>
      <c r="HXW17" s="1"/>
      <c r="HXX17" s="1"/>
      <c r="HXY17" s="1"/>
      <c r="HXZ17" s="1"/>
      <c r="HYA17" s="1"/>
      <c r="HYB17" s="1"/>
      <c r="HYC17" s="1"/>
      <c r="HYD17" s="1"/>
      <c r="HYE17" s="1"/>
      <c r="HYF17" s="1"/>
      <c r="HYG17" s="1"/>
      <c r="HYH17" s="1"/>
      <c r="HYI17" s="1"/>
      <c r="HYJ17" s="1"/>
      <c r="HYK17" s="1"/>
      <c r="HYL17" s="1"/>
      <c r="HYM17" s="1"/>
      <c r="HYN17" s="1"/>
      <c r="HYO17" s="1"/>
      <c r="HYP17" s="1"/>
      <c r="HYQ17" s="1"/>
      <c r="HYR17" s="1"/>
      <c r="HYS17" s="1"/>
      <c r="HYT17" s="1"/>
      <c r="HYU17" s="1"/>
      <c r="HYV17" s="1"/>
      <c r="HYW17" s="1"/>
      <c r="HYX17" s="1"/>
      <c r="HYY17" s="1"/>
      <c r="HYZ17" s="1"/>
      <c r="HZA17" s="1"/>
      <c r="HZB17" s="1"/>
      <c r="HZC17" s="1"/>
      <c r="HZD17" s="1"/>
      <c r="HZE17" s="1"/>
      <c r="HZF17" s="1"/>
      <c r="HZG17" s="1"/>
      <c r="HZH17" s="1"/>
      <c r="HZI17" s="1"/>
      <c r="HZJ17" s="1"/>
      <c r="HZK17" s="1"/>
      <c r="HZL17" s="1"/>
      <c r="HZM17" s="1"/>
      <c r="HZN17" s="1"/>
      <c r="HZO17" s="1"/>
      <c r="HZP17" s="1"/>
      <c r="HZQ17" s="1"/>
      <c r="HZR17" s="1"/>
      <c r="HZS17" s="1"/>
      <c r="HZT17" s="1"/>
      <c r="HZU17" s="1"/>
      <c r="HZV17" s="1"/>
      <c r="HZW17" s="1"/>
      <c r="HZX17" s="1"/>
      <c r="HZY17" s="1"/>
      <c r="HZZ17" s="1"/>
      <c r="IAA17" s="1"/>
      <c r="IAB17" s="1"/>
      <c r="IAC17" s="1"/>
      <c r="IAD17" s="1"/>
      <c r="IAE17" s="1"/>
      <c r="IAF17" s="1"/>
      <c r="IAG17" s="1"/>
      <c r="IAH17" s="1"/>
      <c r="IAI17" s="1"/>
      <c r="IAJ17" s="1"/>
      <c r="IAK17" s="1"/>
      <c r="IAL17" s="1"/>
      <c r="IAM17" s="1"/>
      <c r="IAN17" s="1"/>
      <c r="IAO17" s="1"/>
      <c r="IAP17" s="1"/>
      <c r="IAQ17" s="1"/>
      <c r="IAR17" s="1"/>
      <c r="IAS17" s="1"/>
      <c r="IAT17" s="1"/>
      <c r="IAU17" s="1"/>
      <c r="IAV17" s="1"/>
      <c r="IAW17" s="1"/>
      <c r="IAX17" s="1"/>
      <c r="IAY17" s="1"/>
      <c r="IAZ17" s="1"/>
      <c r="IBA17" s="1"/>
      <c r="IBB17" s="1"/>
      <c r="IBC17" s="1"/>
      <c r="IBD17" s="1"/>
      <c r="IBE17" s="1"/>
      <c r="IBF17" s="1"/>
      <c r="IBG17" s="1"/>
      <c r="IBH17" s="1"/>
      <c r="IBI17" s="1"/>
      <c r="IBJ17" s="1"/>
      <c r="IBK17" s="1"/>
      <c r="IBL17" s="1"/>
      <c r="IBM17" s="1"/>
      <c r="IBN17" s="1"/>
      <c r="IBO17" s="1"/>
      <c r="IBP17" s="1"/>
      <c r="IBQ17" s="1"/>
      <c r="IBR17" s="1"/>
      <c r="IBS17" s="1"/>
      <c r="IBT17" s="1"/>
      <c r="IBU17" s="1"/>
      <c r="IBV17" s="1"/>
      <c r="IBW17" s="1"/>
      <c r="IBX17" s="1"/>
      <c r="IBY17" s="1"/>
      <c r="IBZ17" s="1"/>
      <c r="ICA17" s="1"/>
      <c r="ICB17" s="1"/>
      <c r="ICC17" s="1"/>
      <c r="ICD17" s="1"/>
      <c r="ICE17" s="1"/>
      <c r="ICF17" s="1"/>
      <c r="ICG17" s="1"/>
      <c r="ICH17" s="1"/>
      <c r="ICI17" s="1"/>
      <c r="ICJ17" s="1"/>
      <c r="ICK17" s="1"/>
      <c r="ICL17" s="1"/>
      <c r="ICM17" s="1"/>
      <c r="ICN17" s="1"/>
      <c r="ICO17" s="1"/>
      <c r="ICP17" s="1"/>
      <c r="ICQ17" s="1"/>
      <c r="ICR17" s="1"/>
      <c r="ICS17" s="1"/>
      <c r="ICT17" s="1"/>
      <c r="ICU17" s="1"/>
      <c r="ICV17" s="1"/>
      <c r="ICW17" s="1"/>
      <c r="ICX17" s="1"/>
      <c r="ICY17" s="1"/>
      <c r="ICZ17" s="1"/>
      <c r="IDA17" s="1"/>
      <c r="IDB17" s="1"/>
      <c r="IDC17" s="1"/>
      <c r="IDD17" s="1"/>
      <c r="IDE17" s="1"/>
      <c r="IDF17" s="1"/>
      <c r="IDG17" s="1"/>
      <c r="IDH17" s="1"/>
      <c r="IDI17" s="1"/>
      <c r="IDJ17" s="1"/>
      <c r="IDK17" s="1"/>
      <c r="IDL17" s="1"/>
      <c r="IDM17" s="1"/>
      <c r="IDN17" s="1"/>
      <c r="IDO17" s="1"/>
      <c r="IDP17" s="1"/>
      <c r="IDQ17" s="1"/>
      <c r="IDR17" s="1"/>
      <c r="IDS17" s="1"/>
      <c r="IDT17" s="1"/>
      <c r="IDU17" s="1"/>
      <c r="IDV17" s="1"/>
      <c r="IDW17" s="1"/>
      <c r="IDX17" s="1"/>
      <c r="IDY17" s="1"/>
      <c r="IDZ17" s="1"/>
      <c r="IEA17" s="1"/>
      <c r="IEB17" s="1"/>
      <c r="IEC17" s="1"/>
      <c r="IED17" s="1"/>
      <c r="IEE17" s="1"/>
      <c r="IEF17" s="1"/>
      <c r="IEG17" s="1"/>
      <c r="IEH17" s="1"/>
      <c r="IEI17" s="1"/>
      <c r="IEJ17" s="1"/>
      <c r="IEK17" s="1"/>
      <c r="IEL17" s="1"/>
      <c r="IEM17" s="1"/>
      <c r="IEN17" s="1"/>
      <c r="IEO17" s="1"/>
      <c r="IEP17" s="1"/>
      <c r="IEQ17" s="1"/>
      <c r="IER17" s="1"/>
      <c r="IES17" s="1"/>
      <c r="IET17" s="1"/>
      <c r="IEU17" s="1"/>
      <c r="IEV17" s="1"/>
      <c r="IEW17" s="1"/>
      <c r="IEX17" s="1"/>
      <c r="IEY17" s="1"/>
      <c r="IEZ17" s="1"/>
      <c r="IFA17" s="1"/>
      <c r="IFB17" s="1"/>
      <c r="IFC17" s="1"/>
      <c r="IFD17" s="1"/>
      <c r="IFE17" s="1"/>
      <c r="IFF17" s="1"/>
      <c r="IFG17" s="1"/>
      <c r="IFH17" s="1"/>
      <c r="IFI17" s="1"/>
      <c r="IFJ17" s="1"/>
      <c r="IFK17" s="1"/>
      <c r="IFL17" s="1"/>
      <c r="IFM17" s="1"/>
      <c r="IFN17" s="1"/>
      <c r="IFO17" s="1"/>
      <c r="IFP17" s="1"/>
      <c r="IFQ17" s="1"/>
      <c r="IFR17" s="1"/>
      <c r="IFS17" s="1"/>
      <c r="IFT17" s="1"/>
      <c r="IFU17" s="1"/>
      <c r="IFV17" s="1"/>
      <c r="IFW17" s="1"/>
      <c r="IFX17" s="1"/>
      <c r="IFY17" s="1"/>
      <c r="IFZ17" s="1"/>
      <c r="IGA17" s="1"/>
      <c r="IGB17" s="1"/>
      <c r="IGC17" s="1"/>
      <c r="IGD17" s="1"/>
      <c r="IGE17" s="1"/>
      <c r="IGF17" s="1"/>
      <c r="IGG17" s="1"/>
      <c r="IGH17" s="1"/>
      <c r="IGI17" s="1"/>
      <c r="IGJ17" s="1"/>
      <c r="IGK17" s="1"/>
      <c r="IGL17" s="1"/>
      <c r="IGM17" s="1"/>
      <c r="IGN17" s="1"/>
      <c r="IGO17" s="1"/>
      <c r="IGP17" s="1"/>
      <c r="IGQ17" s="1"/>
      <c r="IGR17" s="1"/>
      <c r="IGS17" s="1"/>
      <c r="IGT17" s="1"/>
      <c r="IGU17" s="1"/>
      <c r="IGV17" s="1"/>
      <c r="IGW17" s="1"/>
      <c r="IGX17" s="1"/>
      <c r="IGY17" s="1"/>
      <c r="IGZ17" s="1"/>
      <c r="IHA17" s="1"/>
      <c r="IHB17" s="1"/>
      <c r="IHC17" s="1"/>
      <c r="IHD17" s="1"/>
      <c r="IHE17" s="1"/>
      <c r="IHF17" s="1"/>
      <c r="IHG17" s="1"/>
      <c r="IHH17" s="1"/>
      <c r="IHI17" s="1"/>
      <c r="IHJ17" s="1"/>
      <c r="IHK17" s="1"/>
      <c r="IHL17" s="1"/>
      <c r="IHM17" s="1"/>
      <c r="IHN17" s="1"/>
      <c r="IHO17" s="1"/>
      <c r="IHP17" s="1"/>
      <c r="IHQ17" s="1"/>
      <c r="IHR17" s="1"/>
      <c r="IHS17" s="1"/>
      <c r="IHT17" s="1"/>
      <c r="IHU17" s="1"/>
      <c r="IHV17" s="1"/>
      <c r="IHW17" s="1"/>
      <c r="IHX17" s="1"/>
      <c r="IHY17" s="1"/>
      <c r="IHZ17" s="1"/>
      <c r="IIA17" s="1"/>
      <c r="IIB17" s="1"/>
      <c r="IIC17" s="1"/>
      <c r="IID17" s="1"/>
      <c r="IIE17" s="1"/>
      <c r="IIF17" s="1"/>
      <c r="IIG17" s="1"/>
      <c r="IIH17" s="1"/>
      <c r="III17" s="1"/>
      <c r="IIJ17" s="1"/>
      <c r="IIK17" s="1"/>
      <c r="IIL17" s="1"/>
      <c r="IIM17" s="1"/>
      <c r="IIN17" s="1"/>
      <c r="IIO17" s="1"/>
      <c r="IIP17" s="1"/>
      <c r="IIQ17" s="1"/>
      <c r="IIR17" s="1"/>
      <c r="IIS17" s="1"/>
      <c r="IIT17" s="1"/>
      <c r="IIU17" s="1"/>
      <c r="IIV17" s="1"/>
      <c r="IIW17" s="1"/>
      <c r="IIX17" s="1"/>
      <c r="IIY17" s="1"/>
      <c r="IIZ17" s="1"/>
      <c r="IJA17" s="1"/>
      <c r="IJB17" s="1"/>
      <c r="IJC17" s="1"/>
      <c r="IJD17" s="1"/>
      <c r="IJE17" s="1"/>
      <c r="IJF17" s="1"/>
      <c r="IJG17" s="1"/>
      <c r="IJH17" s="1"/>
      <c r="IJI17" s="1"/>
      <c r="IJJ17" s="1"/>
      <c r="IJK17" s="1"/>
      <c r="IJL17" s="1"/>
      <c r="IJM17" s="1"/>
      <c r="IJN17" s="1"/>
      <c r="IJO17" s="1"/>
      <c r="IJP17" s="1"/>
      <c r="IJQ17" s="1"/>
      <c r="IJR17" s="1"/>
      <c r="IJS17" s="1"/>
      <c r="IJT17" s="1"/>
      <c r="IJU17" s="1"/>
      <c r="IJV17" s="1"/>
      <c r="IJW17" s="1"/>
      <c r="IJX17" s="1"/>
      <c r="IJY17" s="1"/>
      <c r="IJZ17" s="1"/>
      <c r="IKA17" s="1"/>
      <c r="IKB17" s="1"/>
      <c r="IKC17" s="1"/>
      <c r="IKD17" s="1"/>
      <c r="IKE17" s="1"/>
      <c r="IKF17" s="1"/>
      <c r="IKG17" s="1"/>
      <c r="IKH17" s="1"/>
      <c r="IKI17" s="1"/>
      <c r="IKJ17" s="1"/>
      <c r="IKK17" s="1"/>
      <c r="IKL17" s="1"/>
      <c r="IKM17" s="1"/>
      <c r="IKN17" s="1"/>
      <c r="IKO17" s="1"/>
      <c r="IKP17" s="1"/>
      <c r="IKQ17" s="1"/>
      <c r="IKR17" s="1"/>
      <c r="IKS17" s="1"/>
      <c r="IKT17" s="1"/>
      <c r="IKU17" s="1"/>
      <c r="IKV17" s="1"/>
      <c r="IKW17" s="1"/>
      <c r="IKX17" s="1"/>
      <c r="IKY17" s="1"/>
      <c r="IKZ17" s="1"/>
      <c r="ILA17" s="1"/>
      <c r="ILB17" s="1"/>
      <c r="ILC17" s="1"/>
      <c r="ILD17" s="1"/>
      <c r="ILE17" s="1"/>
      <c r="ILF17" s="1"/>
      <c r="ILG17" s="1"/>
      <c r="ILH17" s="1"/>
      <c r="ILI17" s="1"/>
      <c r="ILJ17" s="1"/>
      <c r="ILK17" s="1"/>
      <c r="ILL17" s="1"/>
      <c r="ILM17" s="1"/>
      <c r="ILN17" s="1"/>
      <c r="ILO17" s="1"/>
      <c r="ILP17" s="1"/>
      <c r="ILQ17" s="1"/>
      <c r="ILR17" s="1"/>
      <c r="ILS17" s="1"/>
      <c r="ILT17" s="1"/>
      <c r="ILU17" s="1"/>
      <c r="ILV17" s="1"/>
      <c r="ILW17" s="1"/>
      <c r="ILX17" s="1"/>
      <c r="ILY17" s="1"/>
      <c r="ILZ17" s="1"/>
      <c r="IMA17" s="1"/>
      <c r="IMB17" s="1"/>
      <c r="IMC17" s="1"/>
      <c r="IMD17" s="1"/>
      <c r="IME17" s="1"/>
      <c r="IMF17" s="1"/>
      <c r="IMG17" s="1"/>
      <c r="IMH17" s="1"/>
      <c r="IMI17" s="1"/>
      <c r="IMJ17" s="1"/>
      <c r="IMK17" s="1"/>
      <c r="IML17" s="1"/>
      <c r="IMM17" s="1"/>
      <c r="IMN17" s="1"/>
      <c r="IMO17" s="1"/>
      <c r="IMP17" s="1"/>
      <c r="IMQ17" s="1"/>
      <c r="IMR17" s="1"/>
      <c r="IMS17" s="1"/>
      <c r="IMT17" s="1"/>
      <c r="IMU17" s="1"/>
      <c r="IMV17" s="1"/>
      <c r="IMW17" s="1"/>
      <c r="IMX17" s="1"/>
      <c r="IMY17" s="1"/>
      <c r="IMZ17" s="1"/>
      <c r="INA17" s="1"/>
      <c r="INB17" s="1"/>
      <c r="INC17" s="1"/>
      <c r="IND17" s="1"/>
      <c r="INE17" s="1"/>
      <c r="INF17" s="1"/>
      <c r="ING17" s="1"/>
      <c r="INH17" s="1"/>
      <c r="INI17" s="1"/>
      <c r="INJ17" s="1"/>
      <c r="INK17" s="1"/>
      <c r="INL17" s="1"/>
      <c r="INM17" s="1"/>
      <c r="INN17" s="1"/>
      <c r="INO17" s="1"/>
      <c r="INP17" s="1"/>
      <c r="INQ17" s="1"/>
      <c r="INR17" s="1"/>
      <c r="INS17" s="1"/>
      <c r="INT17" s="1"/>
      <c r="INU17" s="1"/>
      <c r="INV17" s="1"/>
      <c r="INW17" s="1"/>
      <c r="INX17" s="1"/>
      <c r="INY17" s="1"/>
      <c r="INZ17" s="1"/>
      <c r="IOA17" s="1"/>
      <c r="IOB17" s="1"/>
      <c r="IOC17" s="1"/>
      <c r="IOD17" s="1"/>
      <c r="IOE17" s="1"/>
      <c r="IOF17" s="1"/>
      <c r="IOG17" s="1"/>
      <c r="IOH17" s="1"/>
      <c r="IOI17" s="1"/>
      <c r="IOJ17" s="1"/>
      <c r="IOK17" s="1"/>
      <c r="IOL17" s="1"/>
      <c r="IOM17" s="1"/>
      <c r="ION17" s="1"/>
      <c r="IOO17" s="1"/>
      <c r="IOP17" s="1"/>
      <c r="IOQ17" s="1"/>
      <c r="IOR17" s="1"/>
      <c r="IOS17" s="1"/>
      <c r="IOT17" s="1"/>
      <c r="IOU17" s="1"/>
      <c r="IOV17" s="1"/>
      <c r="IOW17" s="1"/>
      <c r="IOX17" s="1"/>
      <c r="IOY17" s="1"/>
      <c r="IOZ17" s="1"/>
      <c r="IPA17" s="1"/>
      <c r="IPB17" s="1"/>
      <c r="IPC17" s="1"/>
      <c r="IPD17" s="1"/>
      <c r="IPE17" s="1"/>
      <c r="IPF17" s="1"/>
      <c r="IPG17" s="1"/>
      <c r="IPH17" s="1"/>
      <c r="IPI17" s="1"/>
      <c r="IPJ17" s="1"/>
      <c r="IPK17" s="1"/>
      <c r="IPL17" s="1"/>
      <c r="IPM17" s="1"/>
      <c r="IPN17" s="1"/>
      <c r="IPO17" s="1"/>
      <c r="IPP17" s="1"/>
      <c r="IPQ17" s="1"/>
      <c r="IPR17" s="1"/>
      <c r="IPS17" s="1"/>
      <c r="IPT17" s="1"/>
      <c r="IPU17" s="1"/>
      <c r="IPV17" s="1"/>
      <c r="IPW17" s="1"/>
      <c r="IPX17" s="1"/>
      <c r="IPY17" s="1"/>
      <c r="IPZ17" s="1"/>
      <c r="IQA17" s="1"/>
      <c r="IQB17" s="1"/>
      <c r="IQC17" s="1"/>
      <c r="IQD17" s="1"/>
      <c r="IQE17" s="1"/>
      <c r="IQF17" s="1"/>
      <c r="IQG17" s="1"/>
      <c r="IQH17" s="1"/>
      <c r="IQI17" s="1"/>
      <c r="IQJ17" s="1"/>
      <c r="IQK17" s="1"/>
      <c r="IQL17" s="1"/>
      <c r="IQM17" s="1"/>
      <c r="IQN17" s="1"/>
      <c r="IQO17" s="1"/>
      <c r="IQP17" s="1"/>
      <c r="IQQ17" s="1"/>
      <c r="IQR17" s="1"/>
      <c r="IQS17" s="1"/>
      <c r="IQT17" s="1"/>
      <c r="IQU17" s="1"/>
      <c r="IQV17" s="1"/>
      <c r="IQW17" s="1"/>
      <c r="IQX17" s="1"/>
      <c r="IQY17" s="1"/>
      <c r="IQZ17" s="1"/>
      <c r="IRA17" s="1"/>
      <c r="IRB17" s="1"/>
      <c r="IRC17" s="1"/>
      <c r="IRD17" s="1"/>
      <c r="IRE17" s="1"/>
      <c r="IRF17" s="1"/>
      <c r="IRG17" s="1"/>
      <c r="IRH17" s="1"/>
      <c r="IRI17" s="1"/>
      <c r="IRJ17" s="1"/>
      <c r="IRK17" s="1"/>
      <c r="IRL17" s="1"/>
      <c r="IRM17" s="1"/>
      <c r="IRN17" s="1"/>
      <c r="IRO17" s="1"/>
      <c r="IRP17" s="1"/>
      <c r="IRQ17" s="1"/>
      <c r="IRR17" s="1"/>
      <c r="IRS17" s="1"/>
      <c r="IRT17" s="1"/>
      <c r="IRU17" s="1"/>
      <c r="IRV17" s="1"/>
      <c r="IRW17" s="1"/>
      <c r="IRX17" s="1"/>
      <c r="IRY17" s="1"/>
      <c r="IRZ17" s="1"/>
      <c r="ISA17" s="1"/>
      <c r="ISB17" s="1"/>
      <c r="ISC17" s="1"/>
      <c r="ISD17" s="1"/>
      <c r="ISE17" s="1"/>
      <c r="ISF17" s="1"/>
      <c r="ISG17" s="1"/>
      <c r="ISH17" s="1"/>
      <c r="ISI17" s="1"/>
      <c r="ISJ17" s="1"/>
      <c r="ISK17" s="1"/>
      <c r="ISL17" s="1"/>
      <c r="ISM17" s="1"/>
      <c r="ISN17" s="1"/>
      <c r="ISO17" s="1"/>
      <c r="ISP17" s="1"/>
      <c r="ISQ17" s="1"/>
      <c r="ISR17" s="1"/>
      <c r="ISS17" s="1"/>
      <c r="IST17" s="1"/>
      <c r="ISU17" s="1"/>
      <c r="ISV17" s="1"/>
      <c r="ISW17" s="1"/>
      <c r="ISX17" s="1"/>
      <c r="ISY17" s="1"/>
      <c r="ISZ17" s="1"/>
      <c r="ITA17" s="1"/>
      <c r="ITB17" s="1"/>
      <c r="ITC17" s="1"/>
      <c r="ITD17" s="1"/>
      <c r="ITE17" s="1"/>
      <c r="ITF17" s="1"/>
      <c r="ITG17" s="1"/>
      <c r="ITH17" s="1"/>
      <c r="ITI17" s="1"/>
      <c r="ITJ17" s="1"/>
      <c r="ITK17" s="1"/>
      <c r="ITL17" s="1"/>
      <c r="ITM17" s="1"/>
      <c r="ITN17" s="1"/>
      <c r="ITO17" s="1"/>
      <c r="ITP17" s="1"/>
      <c r="ITQ17" s="1"/>
      <c r="ITR17" s="1"/>
      <c r="ITS17" s="1"/>
      <c r="ITT17" s="1"/>
      <c r="ITU17" s="1"/>
      <c r="ITV17" s="1"/>
      <c r="ITW17" s="1"/>
      <c r="ITX17" s="1"/>
      <c r="ITY17" s="1"/>
      <c r="ITZ17" s="1"/>
      <c r="IUA17" s="1"/>
      <c r="IUB17" s="1"/>
      <c r="IUC17" s="1"/>
      <c r="IUD17" s="1"/>
      <c r="IUE17" s="1"/>
      <c r="IUF17" s="1"/>
      <c r="IUG17" s="1"/>
      <c r="IUH17" s="1"/>
      <c r="IUI17" s="1"/>
      <c r="IUJ17" s="1"/>
      <c r="IUK17" s="1"/>
      <c r="IUL17" s="1"/>
      <c r="IUM17" s="1"/>
      <c r="IUN17" s="1"/>
      <c r="IUO17" s="1"/>
      <c r="IUP17" s="1"/>
      <c r="IUQ17" s="1"/>
      <c r="IUR17" s="1"/>
      <c r="IUS17" s="1"/>
      <c r="IUT17" s="1"/>
      <c r="IUU17" s="1"/>
      <c r="IUV17" s="1"/>
      <c r="IUW17" s="1"/>
      <c r="IUX17" s="1"/>
      <c r="IUY17" s="1"/>
      <c r="IUZ17" s="1"/>
      <c r="IVA17" s="1"/>
      <c r="IVB17" s="1"/>
      <c r="IVC17" s="1"/>
      <c r="IVD17" s="1"/>
      <c r="IVE17" s="1"/>
      <c r="IVF17" s="1"/>
      <c r="IVG17" s="1"/>
      <c r="IVH17" s="1"/>
      <c r="IVI17" s="1"/>
      <c r="IVJ17" s="1"/>
      <c r="IVK17" s="1"/>
      <c r="IVL17" s="1"/>
      <c r="IVM17" s="1"/>
      <c r="IVN17" s="1"/>
      <c r="IVO17" s="1"/>
      <c r="IVP17" s="1"/>
      <c r="IVQ17" s="1"/>
      <c r="IVR17" s="1"/>
      <c r="IVS17" s="1"/>
      <c r="IVT17" s="1"/>
      <c r="IVU17" s="1"/>
      <c r="IVV17" s="1"/>
      <c r="IVW17" s="1"/>
      <c r="IVX17" s="1"/>
      <c r="IVY17" s="1"/>
      <c r="IVZ17" s="1"/>
      <c r="IWA17" s="1"/>
      <c r="IWB17" s="1"/>
      <c r="IWC17" s="1"/>
      <c r="IWD17" s="1"/>
      <c r="IWE17" s="1"/>
      <c r="IWF17" s="1"/>
      <c r="IWG17" s="1"/>
      <c r="IWH17" s="1"/>
      <c r="IWI17" s="1"/>
      <c r="IWJ17" s="1"/>
      <c r="IWK17" s="1"/>
      <c r="IWL17" s="1"/>
      <c r="IWM17" s="1"/>
      <c r="IWN17" s="1"/>
      <c r="IWO17" s="1"/>
      <c r="IWP17" s="1"/>
      <c r="IWQ17" s="1"/>
      <c r="IWR17" s="1"/>
      <c r="IWS17" s="1"/>
      <c r="IWT17" s="1"/>
      <c r="IWU17" s="1"/>
      <c r="IWV17" s="1"/>
      <c r="IWW17" s="1"/>
      <c r="IWX17" s="1"/>
      <c r="IWY17" s="1"/>
      <c r="IWZ17" s="1"/>
      <c r="IXA17" s="1"/>
      <c r="IXB17" s="1"/>
      <c r="IXC17" s="1"/>
      <c r="IXD17" s="1"/>
      <c r="IXE17" s="1"/>
      <c r="IXF17" s="1"/>
      <c r="IXG17" s="1"/>
      <c r="IXH17" s="1"/>
      <c r="IXI17" s="1"/>
      <c r="IXJ17" s="1"/>
      <c r="IXK17" s="1"/>
      <c r="IXL17" s="1"/>
      <c r="IXM17" s="1"/>
      <c r="IXN17" s="1"/>
      <c r="IXO17" s="1"/>
      <c r="IXP17" s="1"/>
      <c r="IXQ17" s="1"/>
      <c r="IXR17" s="1"/>
      <c r="IXS17" s="1"/>
      <c r="IXT17" s="1"/>
      <c r="IXU17" s="1"/>
      <c r="IXV17" s="1"/>
      <c r="IXW17" s="1"/>
      <c r="IXX17" s="1"/>
      <c r="IXY17" s="1"/>
      <c r="IXZ17" s="1"/>
      <c r="IYA17" s="1"/>
      <c r="IYB17" s="1"/>
      <c r="IYC17" s="1"/>
      <c r="IYD17" s="1"/>
      <c r="IYE17" s="1"/>
      <c r="IYF17" s="1"/>
      <c r="IYG17" s="1"/>
      <c r="IYH17" s="1"/>
      <c r="IYI17" s="1"/>
      <c r="IYJ17" s="1"/>
      <c r="IYK17" s="1"/>
      <c r="IYL17" s="1"/>
      <c r="IYM17" s="1"/>
      <c r="IYN17" s="1"/>
      <c r="IYO17" s="1"/>
      <c r="IYP17" s="1"/>
      <c r="IYQ17" s="1"/>
      <c r="IYR17" s="1"/>
      <c r="IYS17" s="1"/>
      <c r="IYT17" s="1"/>
      <c r="IYU17" s="1"/>
      <c r="IYV17" s="1"/>
      <c r="IYW17" s="1"/>
      <c r="IYX17" s="1"/>
      <c r="IYY17" s="1"/>
      <c r="IYZ17" s="1"/>
      <c r="IZA17" s="1"/>
      <c r="IZB17" s="1"/>
      <c r="IZC17" s="1"/>
      <c r="IZD17" s="1"/>
      <c r="IZE17" s="1"/>
      <c r="IZF17" s="1"/>
      <c r="IZG17" s="1"/>
      <c r="IZH17" s="1"/>
      <c r="IZI17" s="1"/>
      <c r="IZJ17" s="1"/>
      <c r="IZK17" s="1"/>
      <c r="IZL17" s="1"/>
      <c r="IZM17" s="1"/>
      <c r="IZN17" s="1"/>
      <c r="IZO17" s="1"/>
      <c r="IZP17" s="1"/>
      <c r="IZQ17" s="1"/>
      <c r="IZR17" s="1"/>
      <c r="IZS17" s="1"/>
      <c r="IZT17" s="1"/>
      <c r="IZU17" s="1"/>
      <c r="IZV17" s="1"/>
      <c r="IZW17" s="1"/>
      <c r="IZX17" s="1"/>
      <c r="IZY17" s="1"/>
      <c r="IZZ17" s="1"/>
      <c r="JAA17" s="1"/>
      <c r="JAB17" s="1"/>
      <c r="JAC17" s="1"/>
      <c r="JAD17" s="1"/>
      <c r="JAE17" s="1"/>
      <c r="JAF17" s="1"/>
      <c r="JAG17" s="1"/>
      <c r="JAH17" s="1"/>
      <c r="JAI17" s="1"/>
      <c r="JAJ17" s="1"/>
      <c r="JAK17" s="1"/>
      <c r="JAL17" s="1"/>
      <c r="JAM17" s="1"/>
      <c r="JAN17" s="1"/>
      <c r="JAO17" s="1"/>
      <c r="JAP17" s="1"/>
      <c r="JAQ17" s="1"/>
      <c r="JAR17" s="1"/>
      <c r="JAS17" s="1"/>
      <c r="JAT17" s="1"/>
      <c r="JAU17" s="1"/>
      <c r="JAV17" s="1"/>
      <c r="JAW17" s="1"/>
      <c r="JAX17" s="1"/>
      <c r="JAY17" s="1"/>
      <c r="JAZ17" s="1"/>
      <c r="JBA17" s="1"/>
      <c r="JBB17" s="1"/>
      <c r="JBC17" s="1"/>
      <c r="JBD17" s="1"/>
      <c r="JBE17" s="1"/>
      <c r="JBF17" s="1"/>
      <c r="JBG17" s="1"/>
      <c r="JBH17" s="1"/>
      <c r="JBI17" s="1"/>
      <c r="JBJ17" s="1"/>
      <c r="JBK17" s="1"/>
      <c r="JBL17" s="1"/>
      <c r="JBM17" s="1"/>
      <c r="JBN17" s="1"/>
      <c r="JBO17" s="1"/>
      <c r="JBP17" s="1"/>
      <c r="JBQ17" s="1"/>
      <c r="JBR17" s="1"/>
      <c r="JBS17" s="1"/>
      <c r="JBT17" s="1"/>
      <c r="JBU17" s="1"/>
      <c r="JBV17" s="1"/>
      <c r="JBW17" s="1"/>
      <c r="JBX17" s="1"/>
      <c r="JBY17" s="1"/>
      <c r="JBZ17" s="1"/>
      <c r="JCA17" s="1"/>
      <c r="JCB17" s="1"/>
      <c r="JCC17" s="1"/>
      <c r="JCD17" s="1"/>
      <c r="JCE17" s="1"/>
      <c r="JCF17" s="1"/>
      <c r="JCG17" s="1"/>
      <c r="JCH17" s="1"/>
      <c r="JCI17" s="1"/>
      <c r="JCJ17" s="1"/>
      <c r="JCK17" s="1"/>
      <c r="JCL17" s="1"/>
      <c r="JCM17" s="1"/>
      <c r="JCN17" s="1"/>
      <c r="JCO17" s="1"/>
      <c r="JCP17" s="1"/>
      <c r="JCQ17" s="1"/>
      <c r="JCR17" s="1"/>
      <c r="JCS17" s="1"/>
      <c r="JCT17" s="1"/>
      <c r="JCU17" s="1"/>
      <c r="JCV17" s="1"/>
      <c r="JCW17" s="1"/>
      <c r="JCX17" s="1"/>
      <c r="JCY17" s="1"/>
      <c r="JCZ17" s="1"/>
      <c r="JDA17" s="1"/>
      <c r="JDB17" s="1"/>
      <c r="JDC17" s="1"/>
      <c r="JDD17" s="1"/>
      <c r="JDE17" s="1"/>
      <c r="JDF17" s="1"/>
      <c r="JDG17" s="1"/>
      <c r="JDH17" s="1"/>
      <c r="JDI17" s="1"/>
      <c r="JDJ17" s="1"/>
      <c r="JDK17" s="1"/>
      <c r="JDL17" s="1"/>
      <c r="JDM17" s="1"/>
      <c r="JDN17" s="1"/>
      <c r="JDO17" s="1"/>
      <c r="JDP17" s="1"/>
      <c r="JDQ17" s="1"/>
      <c r="JDR17" s="1"/>
      <c r="JDS17" s="1"/>
      <c r="JDT17" s="1"/>
      <c r="JDU17" s="1"/>
      <c r="JDV17" s="1"/>
      <c r="JDW17" s="1"/>
      <c r="JDX17" s="1"/>
      <c r="JDY17" s="1"/>
      <c r="JDZ17" s="1"/>
      <c r="JEA17" s="1"/>
      <c r="JEB17" s="1"/>
      <c r="JEC17" s="1"/>
      <c r="JED17" s="1"/>
      <c r="JEE17" s="1"/>
      <c r="JEF17" s="1"/>
      <c r="JEG17" s="1"/>
      <c r="JEH17" s="1"/>
      <c r="JEI17" s="1"/>
      <c r="JEJ17" s="1"/>
      <c r="JEK17" s="1"/>
      <c r="JEL17" s="1"/>
      <c r="JEM17" s="1"/>
      <c r="JEN17" s="1"/>
      <c r="JEO17" s="1"/>
      <c r="JEP17" s="1"/>
      <c r="JEQ17" s="1"/>
      <c r="JER17" s="1"/>
      <c r="JES17" s="1"/>
      <c r="JET17" s="1"/>
      <c r="JEU17" s="1"/>
      <c r="JEV17" s="1"/>
      <c r="JEW17" s="1"/>
      <c r="JEX17" s="1"/>
      <c r="JEY17" s="1"/>
      <c r="JEZ17" s="1"/>
      <c r="JFA17" s="1"/>
      <c r="JFB17" s="1"/>
      <c r="JFC17" s="1"/>
      <c r="JFD17" s="1"/>
      <c r="JFE17" s="1"/>
      <c r="JFF17" s="1"/>
      <c r="JFG17" s="1"/>
      <c r="JFH17" s="1"/>
      <c r="JFI17" s="1"/>
      <c r="JFJ17" s="1"/>
      <c r="JFK17" s="1"/>
      <c r="JFL17" s="1"/>
      <c r="JFM17" s="1"/>
      <c r="JFN17" s="1"/>
      <c r="JFO17" s="1"/>
      <c r="JFP17" s="1"/>
      <c r="JFQ17" s="1"/>
      <c r="JFR17" s="1"/>
      <c r="JFS17" s="1"/>
      <c r="JFT17" s="1"/>
      <c r="JFU17" s="1"/>
      <c r="JFV17" s="1"/>
      <c r="JFW17" s="1"/>
      <c r="JFX17" s="1"/>
      <c r="JFY17" s="1"/>
      <c r="JFZ17" s="1"/>
      <c r="JGA17" s="1"/>
      <c r="JGB17" s="1"/>
      <c r="JGC17" s="1"/>
      <c r="JGD17" s="1"/>
      <c r="JGE17" s="1"/>
      <c r="JGF17" s="1"/>
      <c r="JGG17" s="1"/>
      <c r="JGH17" s="1"/>
      <c r="JGI17" s="1"/>
      <c r="JGJ17" s="1"/>
      <c r="JGK17" s="1"/>
      <c r="JGL17" s="1"/>
      <c r="JGM17" s="1"/>
      <c r="JGN17" s="1"/>
      <c r="JGO17" s="1"/>
      <c r="JGP17" s="1"/>
      <c r="JGQ17" s="1"/>
      <c r="JGR17" s="1"/>
      <c r="JGS17" s="1"/>
      <c r="JGT17" s="1"/>
      <c r="JGU17" s="1"/>
      <c r="JGV17" s="1"/>
      <c r="JGW17" s="1"/>
      <c r="JGX17" s="1"/>
      <c r="JGY17" s="1"/>
      <c r="JGZ17" s="1"/>
      <c r="JHA17" s="1"/>
      <c r="JHB17" s="1"/>
      <c r="JHC17" s="1"/>
      <c r="JHD17" s="1"/>
      <c r="JHE17" s="1"/>
      <c r="JHF17" s="1"/>
      <c r="JHG17" s="1"/>
      <c r="JHH17" s="1"/>
      <c r="JHI17" s="1"/>
      <c r="JHJ17" s="1"/>
      <c r="JHK17" s="1"/>
      <c r="JHL17" s="1"/>
      <c r="JHM17" s="1"/>
      <c r="JHN17" s="1"/>
      <c r="JHO17" s="1"/>
      <c r="JHP17" s="1"/>
      <c r="JHQ17" s="1"/>
      <c r="JHR17" s="1"/>
      <c r="JHS17" s="1"/>
      <c r="JHT17" s="1"/>
      <c r="JHU17" s="1"/>
      <c r="JHV17" s="1"/>
      <c r="JHW17" s="1"/>
      <c r="JHX17" s="1"/>
      <c r="JHY17" s="1"/>
      <c r="JHZ17" s="1"/>
      <c r="JIA17" s="1"/>
      <c r="JIB17" s="1"/>
      <c r="JIC17" s="1"/>
      <c r="JID17" s="1"/>
      <c r="JIE17" s="1"/>
      <c r="JIF17" s="1"/>
      <c r="JIG17" s="1"/>
      <c r="JIH17" s="1"/>
      <c r="JII17" s="1"/>
      <c r="JIJ17" s="1"/>
      <c r="JIK17" s="1"/>
      <c r="JIL17" s="1"/>
      <c r="JIM17" s="1"/>
      <c r="JIN17" s="1"/>
      <c r="JIO17" s="1"/>
      <c r="JIP17" s="1"/>
      <c r="JIQ17" s="1"/>
      <c r="JIR17" s="1"/>
      <c r="JIS17" s="1"/>
      <c r="JIT17" s="1"/>
      <c r="JIU17" s="1"/>
      <c r="JIV17" s="1"/>
      <c r="JIW17" s="1"/>
      <c r="JIX17" s="1"/>
      <c r="JIY17" s="1"/>
      <c r="JIZ17" s="1"/>
      <c r="JJA17" s="1"/>
      <c r="JJB17" s="1"/>
      <c r="JJC17" s="1"/>
      <c r="JJD17" s="1"/>
      <c r="JJE17" s="1"/>
      <c r="JJF17" s="1"/>
      <c r="JJG17" s="1"/>
      <c r="JJH17" s="1"/>
      <c r="JJI17" s="1"/>
      <c r="JJJ17" s="1"/>
      <c r="JJK17" s="1"/>
      <c r="JJL17" s="1"/>
      <c r="JJM17" s="1"/>
      <c r="JJN17" s="1"/>
      <c r="JJO17" s="1"/>
      <c r="JJP17" s="1"/>
      <c r="JJQ17" s="1"/>
      <c r="JJR17" s="1"/>
      <c r="JJS17" s="1"/>
      <c r="JJT17" s="1"/>
      <c r="JJU17" s="1"/>
      <c r="JJV17" s="1"/>
      <c r="JJW17" s="1"/>
      <c r="JJX17" s="1"/>
      <c r="JJY17" s="1"/>
      <c r="JJZ17" s="1"/>
      <c r="JKA17" s="1"/>
      <c r="JKB17" s="1"/>
      <c r="JKC17" s="1"/>
      <c r="JKD17" s="1"/>
      <c r="JKE17" s="1"/>
      <c r="JKF17" s="1"/>
      <c r="JKG17" s="1"/>
      <c r="JKH17" s="1"/>
      <c r="JKI17" s="1"/>
      <c r="JKJ17" s="1"/>
      <c r="JKK17" s="1"/>
      <c r="JKL17" s="1"/>
      <c r="JKM17" s="1"/>
      <c r="JKN17" s="1"/>
      <c r="JKO17" s="1"/>
      <c r="JKP17" s="1"/>
      <c r="JKQ17" s="1"/>
      <c r="JKR17" s="1"/>
      <c r="JKS17" s="1"/>
      <c r="JKT17" s="1"/>
      <c r="JKU17" s="1"/>
      <c r="JKV17" s="1"/>
      <c r="JKW17" s="1"/>
      <c r="JKX17" s="1"/>
      <c r="JKY17" s="1"/>
      <c r="JKZ17" s="1"/>
      <c r="JLA17" s="1"/>
      <c r="JLB17" s="1"/>
      <c r="JLC17" s="1"/>
      <c r="JLD17" s="1"/>
      <c r="JLE17" s="1"/>
      <c r="JLF17" s="1"/>
      <c r="JLG17" s="1"/>
      <c r="JLH17" s="1"/>
      <c r="JLI17" s="1"/>
      <c r="JLJ17" s="1"/>
      <c r="JLK17" s="1"/>
      <c r="JLL17" s="1"/>
      <c r="JLM17" s="1"/>
      <c r="JLN17" s="1"/>
      <c r="JLO17" s="1"/>
      <c r="JLP17" s="1"/>
      <c r="JLQ17" s="1"/>
      <c r="JLR17" s="1"/>
      <c r="JLS17" s="1"/>
      <c r="JLT17" s="1"/>
      <c r="JLU17" s="1"/>
      <c r="JLV17" s="1"/>
      <c r="JLW17" s="1"/>
      <c r="JLX17" s="1"/>
      <c r="JLY17" s="1"/>
      <c r="JLZ17" s="1"/>
      <c r="JMA17" s="1"/>
      <c r="JMB17" s="1"/>
      <c r="JMC17" s="1"/>
      <c r="JMD17" s="1"/>
      <c r="JME17" s="1"/>
      <c r="JMF17" s="1"/>
      <c r="JMG17" s="1"/>
      <c r="JMH17" s="1"/>
      <c r="JMI17" s="1"/>
      <c r="JMJ17" s="1"/>
      <c r="JMK17" s="1"/>
      <c r="JML17" s="1"/>
      <c r="JMM17" s="1"/>
      <c r="JMN17" s="1"/>
      <c r="JMO17" s="1"/>
      <c r="JMP17" s="1"/>
      <c r="JMQ17" s="1"/>
      <c r="JMR17" s="1"/>
      <c r="JMS17" s="1"/>
      <c r="JMT17" s="1"/>
      <c r="JMU17" s="1"/>
      <c r="JMV17" s="1"/>
      <c r="JMW17" s="1"/>
      <c r="JMX17" s="1"/>
      <c r="JMY17" s="1"/>
      <c r="JMZ17" s="1"/>
      <c r="JNA17" s="1"/>
      <c r="JNB17" s="1"/>
      <c r="JNC17" s="1"/>
      <c r="JND17" s="1"/>
      <c r="JNE17" s="1"/>
      <c r="JNF17" s="1"/>
      <c r="JNG17" s="1"/>
      <c r="JNH17" s="1"/>
      <c r="JNI17" s="1"/>
      <c r="JNJ17" s="1"/>
      <c r="JNK17" s="1"/>
      <c r="JNL17" s="1"/>
      <c r="JNM17" s="1"/>
      <c r="JNN17" s="1"/>
      <c r="JNO17" s="1"/>
      <c r="JNP17" s="1"/>
      <c r="JNQ17" s="1"/>
      <c r="JNR17" s="1"/>
      <c r="JNS17" s="1"/>
      <c r="JNT17" s="1"/>
      <c r="JNU17" s="1"/>
      <c r="JNV17" s="1"/>
      <c r="JNW17" s="1"/>
      <c r="JNX17" s="1"/>
      <c r="JNY17" s="1"/>
      <c r="JNZ17" s="1"/>
      <c r="JOA17" s="1"/>
      <c r="JOB17" s="1"/>
      <c r="JOC17" s="1"/>
      <c r="JOD17" s="1"/>
      <c r="JOE17" s="1"/>
      <c r="JOF17" s="1"/>
      <c r="JOG17" s="1"/>
      <c r="JOH17" s="1"/>
      <c r="JOI17" s="1"/>
      <c r="JOJ17" s="1"/>
      <c r="JOK17" s="1"/>
      <c r="JOL17" s="1"/>
      <c r="JOM17" s="1"/>
      <c r="JON17" s="1"/>
      <c r="JOO17" s="1"/>
      <c r="JOP17" s="1"/>
      <c r="JOQ17" s="1"/>
      <c r="JOR17" s="1"/>
      <c r="JOS17" s="1"/>
      <c r="JOT17" s="1"/>
      <c r="JOU17" s="1"/>
      <c r="JOV17" s="1"/>
      <c r="JOW17" s="1"/>
      <c r="JOX17" s="1"/>
      <c r="JOY17" s="1"/>
      <c r="JOZ17" s="1"/>
      <c r="JPA17" s="1"/>
      <c r="JPB17" s="1"/>
      <c r="JPC17" s="1"/>
      <c r="JPD17" s="1"/>
      <c r="JPE17" s="1"/>
      <c r="JPF17" s="1"/>
      <c r="JPG17" s="1"/>
      <c r="JPH17" s="1"/>
      <c r="JPI17" s="1"/>
      <c r="JPJ17" s="1"/>
      <c r="JPK17" s="1"/>
      <c r="JPL17" s="1"/>
      <c r="JPM17" s="1"/>
      <c r="JPN17" s="1"/>
      <c r="JPO17" s="1"/>
      <c r="JPP17" s="1"/>
      <c r="JPQ17" s="1"/>
      <c r="JPR17" s="1"/>
      <c r="JPS17" s="1"/>
      <c r="JPT17" s="1"/>
      <c r="JPU17" s="1"/>
      <c r="JPV17" s="1"/>
      <c r="JPW17" s="1"/>
      <c r="JPX17" s="1"/>
      <c r="JPY17" s="1"/>
      <c r="JPZ17" s="1"/>
      <c r="JQA17" s="1"/>
      <c r="JQB17" s="1"/>
      <c r="JQC17" s="1"/>
      <c r="JQD17" s="1"/>
      <c r="JQE17" s="1"/>
      <c r="JQF17" s="1"/>
      <c r="JQG17" s="1"/>
      <c r="JQH17" s="1"/>
      <c r="JQI17" s="1"/>
      <c r="JQJ17" s="1"/>
      <c r="JQK17" s="1"/>
      <c r="JQL17" s="1"/>
      <c r="JQM17" s="1"/>
      <c r="JQN17" s="1"/>
      <c r="JQO17" s="1"/>
      <c r="JQP17" s="1"/>
      <c r="JQQ17" s="1"/>
      <c r="JQR17" s="1"/>
      <c r="JQS17" s="1"/>
      <c r="JQT17" s="1"/>
      <c r="JQU17" s="1"/>
      <c r="JQV17" s="1"/>
      <c r="JQW17" s="1"/>
      <c r="JQX17" s="1"/>
      <c r="JQY17" s="1"/>
      <c r="JQZ17" s="1"/>
      <c r="JRA17" s="1"/>
      <c r="JRB17" s="1"/>
      <c r="JRC17" s="1"/>
      <c r="JRD17" s="1"/>
      <c r="JRE17" s="1"/>
      <c r="JRF17" s="1"/>
      <c r="JRG17" s="1"/>
      <c r="JRH17" s="1"/>
      <c r="JRI17" s="1"/>
      <c r="JRJ17" s="1"/>
      <c r="JRK17" s="1"/>
      <c r="JRL17" s="1"/>
      <c r="JRM17" s="1"/>
      <c r="JRN17" s="1"/>
      <c r="JRO17" s="1"/>
      <c r="JRP17" s="1"/>
      <c r="JRQ17" s="1"/>
      <c r="JRR17" s="1"/>
      <c r="JRS17" s="1"/>
      <c r="JRT17" s="1"/>
      <c r="JRU17" s="1"/>
      <c r="JRV17" s="1"/>
      <c r="JRW17" s="1"/>
      <c r="JRX17" s="1"/>
      <c r="JRY17" s="1"/>
      <c r="JRZ17" s="1"/>
      <c r="JSA17" s="1"/>
      <c r="JSB17" s="1"/>
      <c r="JSC17" s="1"/>
      <c r="JSD17" s="1"/>
      <c r="JSE17" s="1"/>
      <c r="JSF17" s="1"/>
      <c r="JSG17" s="1"/>
      <c r="JSH17" s="1"/>
      <c r="JSI17" s="1"/>
      <c r="JSJ17" s="1"/>
      <c r="JSK17" s="1"/>
      <c r="JSL17" s="1"/>
      <c r="JSM17" s="1"/>
      <c r="JSN17" s="1"/>
      <c r="JSO17" s="1"/>
      <c r="JSP17" s="1"/>
      <c r="JSQ17" s="1"/>
      <c r="JSR17" s="1"/>
      <c r="JSS17" s="1"/>
      <c r="JST17" s="1"/>
      <c r="JSU17" s="1"/>
      <c r="JSV17" s="1"/>
      <c r="JSW17" s="1"/>
      <c r="JSX17" s="1"/>
      <c r="JSY17" s="1"/>
      <c r="JSZ17" s="1"/>
      <c r="JTA17" s="1"/>
      <c r="JTB17" s="1"/>
      <c r="JTC17" s="1"/>
      <c r="JTD17" s="1"/>
      <c r="JTE17" s="1"/>
      <c r="JTF17" s="1"/>
      <c r="JTG17" s="1"/>
      <c r="JTH17" s="1"/>
      <c r="JTI17" s="1"/>
      <c r="JTJ17" s="1"/>
      <c r="JTK17" s="1"/>
      <c r="JTL17" s="1"/>
      <c r="JTM17" s="1"/>
      <c r="JTN17" s="1"/>
      <c r="JTO17" s="1"/>
      <c r="JTP17" s="1"/>
      <c r="JTQ17" s="1"/>
      <c r="JTR17" s="1"/>
      <c r="JTS17" s="1"/>
      <c r="JTT17" s="1"/>
      <c r="JTU17" s="1"/>
      <c r="JTV17" s="1"/>
      <c r="JTW17" s="1"/>
      <c r="JTX17" s="1"/>
      <c r="JTY17" s="1"/>
      <c r="JTZ17" s="1"/>
      <c r="JUA17" s="1"/>
      <c r="JUB17" s="1"/>
      <c r="JUC17" s="1"/>
      <c r="JUD17" s="1"/>
      <c r="JUE17" s="1"/>
      <c r="JUF17" s="1"/>
      <c r="JUG17" s="1"/>
      <c r="JUH17" s="1"/>
      <c r="JUI17" s="1"/>
      <c r="JUJ17" s="1"/>
      <c r="JUK17" s="1"/>
      <c r="JUL17" s="1"/>
      <c r="JUM17" s="1"/>
      <c r="JUN17" s="1"/>
      <c r="JUO17" s="1"/>
      <c r="JUP17" s="1"/>
      <c r="JUQ17" s="1"/>
      <c r="JUR17" s="1"/>
      <c r="JUS17" s="1"/>
      <c r="JUT17" s="1"/>
      <c r="JUU17" s="1"/>
      <c r="JUV17" s="1"/>
      <c r="JUW17" s="1"/>
      <c r="JUX17" s="1"/>
      <c r="JUY17" s="1"/>
      <c r="JUZ17" s="1"/>
      <c r="JVA17" s="1"/>
      <c r="JVB17" s="1"/>
      <c r="JVC17" s="1"/>
      <c r="JVD17" s="1"/>
      <c r="JVE17" s="1"/>
      <c r="JVF17" s="1"/>
      <c r="JVG17" s="1"/>
      <c r="JVH17" s="1"/>
      <c r="JVI17" s="1"/>
      <c r="JVJ17" s="1"/>
      <c r="JVK17" s="1"/>
      <c r="JVL17" s="1"/>
      <c r="JVM17" s="1"/>
      <c r="JVN17" s="1"/>
      <c r="JVO17" s="1"/>
      <c r="JVP17" s="1"/>
      <c r="JVQ17" s="1"/>
      <c r="JVR17" s="1"/>
      <c r="JVS17" s="1"/>
      <c r="JVT17" s="1"/>
      <c r="JVU17" s="1"/>
      <c r="JVV17" s="1"/>
      <c r="JVW17" s="1"/>
      <c r="JVX17" s="1"/>
      <c r="JVY17" s="1"/>
      <c r="JVZ17" s="1"/>
      <c r="JWA17" s="1"/>
      <c r="JWB17" s="1"/>
      <c r="JWC17" s="1"/>
      <c r="JWD17" s="1"/>
      <c r="JWE17" s="1"/>
      <c r="JWF17" s="1"/>
      <c r="JWG17" s="1"/>
      <c r="JWH17" s="1"/>
      <c r="JWI17" s="1"/>
      <c r="JWJ17" s="1"/>
      <c r="JWK17" s="1"/>
      <c r="JWL17" s="1"/>
      <c r="JWM17" s="1"/>
      <c r="JWN17" s="1"/>
      <c r="JWO17" s="1"/>
      <c r="JWP17" s="1"/>
      <c r="JWQ17" s="1"/>
      <c r="JWR17" s="1"/>
      <c r="JWS17" s="1"/>
      <c r="JWT17" s="1"/>
      <c r="JWU17" s="1"/>
      <c r="JWV17" s="1"/>
      <c r="JWW17" s="1"/>
      <c r="JWX17" s="1"/>
      <c r="JWY17" s="1"/>
      <c r="JWZ17" s="1"/>
      <c r="JXA17" s="1"/>
      <c r="JXB17" s="1"/>
      <c r="JXC17" s="1"/>
      <c r="JXD17" s="1"/>
      <c r="JXE17" s="1"/>
      <c r="JXF17" s="1"/>
      <c r="JXG17" s="1"/>
      <c r="JXH17" s="1"/>
      <c r="JXI17" s="1"/>
      <c r="JXJ17" s="1"/>
      <c r="JXK17" s="1"/>
      <c r="JXL17" s="1"/>
      <c r="JXM17" s="1"/>
      <c r="JXN17" s="1"/>
      <c r="JXO17" s="1"/>
      <c r="JXP17" s="1"/>
      <c r="JXQ17" s="1"/>
      <c r="JXR17" s="1"/>
      <c r="JXS17" s="1"/>
      <c r="JXT17" s="1"/>
      <c r="JXU17" s="1"/>
      <c r="JXV17" s="1"/>
      <c r="JXW17" s="1"/>
      <c r="JXX17" s="1"/>
      <c r="JXY17" s="1"/>
      <c r="JXZ17" s="1"/>
      <c r="JYA17" s="1"/>
      <c r="JYB17" s="1"/>
      <c r="JYC17" s="1"/>
      <c r="JYD17" s="1"/>
      <c r="JYE17" s="1"/>
      <c r="JYF17" s="1"/>
      <c r="JYG17" s="1"/>
      <c r="JYH17" s="1"/>
      <c r="JYI17" s="1"/>
      <c r="JYJ17" s="1"/>
      <c r="JYK17" s="1"/>
      <c r="JYL17" s="1"/>
      <c r="JYM17" s="1"/>
      <c r="JYN17" s="1"/>
      <c r="JYO17" s="1"/>
      <c r="JYP17" s="1"/>
      <c r="JYQ17" s="1"/>
      <c r="JYR17" s="1"/>
      <c r="JYS17" s="1"/>
      <c r="JYT17" s="1"/>
      <c r="JYU17" s="1"/>
      <c r="JYV17" s="1"/>
      <c r="JYW17" s="1"/>
      <c r="JYX17" s="1"/>
      <c r="JYY17" s="1"/>
      <c r="JYZ17" s="1"/>
      <c r="JZA17" s="1"/>
      <c r="JZB17" s="1"/>
      <c r="JZC17" s="1"/>
      <c r="JZD17" s="1"/>
      <c r="JZE17" s="1"/>
      <c r="JZF17" s="1"/>
      <c r="JZG17" s="1"/>
      <c r="JZH17" s="1"/>
      <c r="JZI17" s="1"/>
      <c r="JZJ17" s="1"/>
      <c r="JZK17" s="1"/>
      <c r="JZL17" s="1"/>
      <c r="JZM17" s="1"/>
      <c r="JZN17" s="1"/>
      <c r="JZO17" s="1"/>
      <c r="JZP17" s="1"/>
      <c r="JZQ17" s="1"/>
      <c r="JZR17" s="1"/>
      <c r="JZS17" s="1"/>
      <c r="JZT17" s="1"/>
      <c r="JZU17" s="1"/>
      <c r="JZV17" s="1"/>
      <c r="JZW17" s="1"/>
      <c r="JZX17" s="1"/>
      <c r="JZY17" s="1"/>
      <c r="JZZ17" s="1"/>
      <c r="KAA17" s="1"/>
      <c r="KAB17" s="1"/>
      <c r="KAC17" s="1"/>
      <c r="KAD17" s="1"/>
      <c r="KAE17" s="1"/>
      <c r="KAF17" s="1"/>
      <c r="KAG17" s="1"/>
      <c r="KAH17" s="1"/>
      <c r="KAI17" s="1"/>
      <c r="KAJ17" s="1"/>
      <c r="KAK17" s="1"/>
      <c r="KAL17" s="1"/>
      <c r="KAM17" s="1"/>
      <c r="KAN17" s="1"/>
      <c r="KAO17" s="1"/>
      <c r="KAP17" s="1"/>
      <c r="KAQ17" s="1"/>
      <c r="KAR17" s="1"/>
      <c r="KAS17" s="1"/>
      <c r="KAT17" s="1"/>
      <c r="KAU17" s="1"/>
      <c r="KAV17" s="1"/>
      <c r="KAW17" s="1"/>
      <c r="KAX17" s="1"/>
      <c r="KAY17" s="1"/>
      <c r="KAZ17" s="1"/>
      <c r="KBA17" s="1"/>
      <c r="KBB17" s="1"/>
      <c r="KBC17" s="1"/>
      <c r="KBD17" s="1"/>
      <c r="KBE17" s="1"/>
      <c r="KBF17" s="1"/>
      <c r="KBG17" s="1"/>
      <c r="KBH17" s="1"/>
      <c r="KBI17" s="1"/>
      <c r="KBJ17" s="1"/>
      <c r="KBK17" s="1"/>
      <c r="KBL17" s="1"/>
      <c r="KBM17" s="1"/>
      <c r="KBN17" s="1"/>
      <c r="KBO17" s="1"/>
      <c r="KBP17" s="1"/>
      <c r="KBQ17" s="1"/>
      <c r="KBR17" s="1"/>
      <c r="KBS17" s="1"/>
      <c r="KBT17" s="1"/>
      <c r="KBU17" s="1"/>
      <c r="KBV17" s="1"/>
      <c r="KBW17" s="1"/>
      <c r="KBX17" s="1"/>
      <c r="KBY17" s="1"/>
      <c r="KBZ17" s="1"/>
      <c r="KCA17" s="1"/>
      <c r="KCB17" s="1"/>
      <c r="KCC17" s="1"/>
      <c r="KCD17" s="1"/>
      <c r="KCE17" s="1"/>
      <c r="KCF17" s="1"/>
      <c r="KCG17" s="1"/>
      <c r="KCH17" s="1"/>
      <c r="KCI17" s="1"/>
      <c r="KCJ17" s="1"/>
      <c r="KCK17" s="1"/>
      <c r="KCL17" s="1"/>
      <c r="KCM17" s="1"/>
      <c r="KCN17" s="1"/>
      <c r="KCO17" s="1"/>
      <c r="KCP17" s="1"/>
      <c r="KCQ17" s="1"/>
      <c r="KCR17" s="1"/>
      <c r="KCS17" s="1"/>
      <c r="KCT17" s="1"/>
      <c r="KCU17" s="1"/>
      <c r="KCV17" s="1"/>
      <c r="KCW17" s="1"/>
      <c r="KCX17" s="1"/>
      <c r="KCY17" s="1"/>
      <c r="KCZ17" s="1"/>
      <c r="KDA17" s="1"/>
      <c r="KDB17" s="1"/>
      <c r="KDC17" s="1"/>
      <c r="KDD17" s="1"/>
      <c r="KDE17" s="1"/>
      <c r="KDF17" s="1"/>
      <c r="KDG17" s="1"/>
      <c r="KDH17" s="1"/>
      <c r="KDI17" s="1"/>
      <c r="KDJ17" s="1"/>
      <c r="KDK17" s="1"/>
      <c r="KDL17" s="1"/>
      <c r="KDM17" s="1"/>
      <c r="KDN17" s="1"/>
      <c r="KDO17" s="1"/>
      <c r="KDP17" s="1"/>
      <c r="KDQ17" s="1"/>
      <c r="KDR17" s="1"/>
      <c r="KDS17" s="1"/>
      <c r="KDT17" s="1"/>
      <c r="KDU17" s="1"/>
      <c r="KDV17" s="1"/>
      <c r="KDW17" s="1"/>
      <c r="KDX17" s="1"/>
      <c r="KDY17" s="1"/>
      <c r="KDZ17" s="1"/>
      <c r="KEA17" s="1"/>
      <c r="KEB17" s="1"/>
      <c r="KEC17" s="1"/>
      <c r="KED17" s="1"/>
      <c r="KEE17" s="1"/>
      <c r="KEF17" s="1"/>
      <c r="KEG17" s="1"/>
      <c r="KEH17" s="1"/>
      <c r="KEI17" s="1"/>
      <c r="KEJ17" s="1"/>
      <c r="KEK17" s="1"/>
      <c r="KEL17" s="1"/>
      <c r="KEM17" s="1"/>
      <c r="KEN17" s="1"/>
      <c r="KEO17" s="1"/>
      <c r="KEP17" s="1"/>
      <c r="KEQ17" s="1"/>
      <c r="KER17" s="1"/>
      <c r="KES17" s="1"/>
      <c r="KET17" s="1"/>
      <c r="KEU17" s="1"/>
      <c r="KEV17" s="1"/>
      <c r="KEW17" s="1"/>
      <c r="KEX17" s="1"/>
      <c r="KEY17" s="1"/>
      <c r="KEZ17" s="1"/>
      <c r="KFA17" s="1"/>
      <c r="KFB17" s="1"/>
      <c r="KFC17" s="1"/>
      <c r="KFD17" s="1"/>
      <c r="KFE17" s="1"/>
      <c r="KFF17" s="1"/>
      <c r="KFG17" s="1"/>
      <c r="KFH17" s="1"/>
      <c r="KFI17" s="1"/>
      <c r="KFJ17" s="1"/>
      <c r="KFK17" s="1"/>
      <c r="KFL17" s="1"/>
      <c r="KFM17" s="1"/>
      <c r="KFN17" s="1"/>
      <c r="KFO17" s="1"/>
      <c r="KFP17" s="1"/>
      <c r="KFQ17" s="1"/>
      <c r="KFR17" s="1"/>
      <c r="KFS17" s="1"/>
      <c r="KFT17" s="1"/>
      <c r="KFU17" s="1"/>
      <c r="KFV17" s="1"/>
      <c r="KFW17" s="1"/>
      <c r="KFX17" s="1"/>
      <c r="KFY17" s="1"/>
      <c r="KFZ17" s="1"/>
      <c r="KGA17" s="1"/>
      <c r="KGB17" s="1"/>
      <c r="KGC17" s="1"/>
      <c r="KGD17" s="1"/>
      <c r="KGE17" s="1"/>
      <c r="KGF17" s="1"/>
      <c r="KGG17" s="1"/>
      <c r="KGH17" s="1"/>
      <c r="KGI17" s="1"/>
      <c r="KGJ17" s="1"/>
      <c r="KGK17" s="1"/>
      <c r="KGL17" s="1"/>
      <c r="KGM17" s="1"/>
      <c r="KGN17" s="1"/>
      <c r="KGO17" s="1"/>
      <c r="KGP17" s="1"/>
      <c r="KGQ17" s="1"/>
      <c r="KGR17" s="1"/>
      <c r="KGS17" s="1"/>
      <c r="KGT17" s="1"/>
      <c r="KGU17" s="1"/>
      <c r="KGV17" s="1"/>
      <c r="KGW17" s="1"/>
      <c r="KGX17" s="1"/>
      <c r="KGY17" s="1"/>
      <c r="KGZ17" s="1"/>
      <c r="KHA17" s="1"/>
      <c r="KHB17" s="1"/>
      <c r="KHC17" s="1"/>
      <c r="KHD17" s="1"/>
      <c r="KHE17" s="1"/>
      <c r="KHF17" s="1"/>
      <c r="KHG17" s="1"/>
      <c r="KHH17" s="1"/>
      <c r="KHI17" s="1"/>
      <c r="KHJ17" s="1"/>
      <c r="KHK17" s="1"/>
      <c r="KHL17" s="1"/>
      <c r="KHM17" s="1"/>
      <c r="KHN17" s="1"/>
      <c r="KHO17" s="1"/>
      <c r="KHP17" s="1"/>
      <c r="KHQ17" s="1"/>
      <c r="KHR17" s="1"/>
      <c r="KHS17" s="1"/>
      <c r="KHT17" s="1"/>
      <c r="KHU17" s="1"/>
      <c r="KHV17" s="1"/>
      <c r="KHW17" s="1"/>
      <c r="KHX17" s="1"/>
      <c r="KHY17" s="1"/>
      <c r="KHZ17" s="1"/>
      <c r="KIA17" s="1"/>
      <c r="KIB17" s="1"/>
      <c r="KIC17" s="1"/>
      <c r="KID17" s="1"/>
      <c r="KIE17" s="1"/>
      <c r="KIF17" s="1"/>
      <c r="KIG17" s="1"/>
      <c r="KIH17" s="1"/>
      <c r="KII17" s="1"/>
      <c r="KIJ17" s="1"/>
      <c r="KIK17" s="1"/>
      <c r="KIL17" s="1"/>
      <c r="KIM17" s="1"/>
      <c r="KIN17" s="1"/>
      <c r="KIO17" s="1"/>
      <c r="KIP17" s="1"/>
      <c r="KIQ17" s="1"/>
      <c r="KIR17" s="1"/>
      <c r="KIS17" s="1"/>
      <c r="KIT17" s="1"/>
      <c r="KIU17" s="1"/>
      <c r="KIV17" s="1"/>
      <c r="KIW17" s="1"/>
      <c r="KIX17" s="1"/>
      <c r="KIY17" s="1"/>
      <c r="KIZ17" s="1"/>
      <c r="KJA17" s="1"/>
      <c r="KJB17" s="1"/>
      <c r="KJC17" s="1"/>
      <c r="KJD17" s="1"/>
      <c r="KJE17" s="1"/>
      <c r="KJF17" s="1"/>
      <c r="KJG17" s="1"/>
      <c r="KJH17" s="1"/>
      <c r="KJI17" s="1"/>
      <c r="KJJ17" s="1"/>
      <c r="KJK17" s="1"/>
      <c r="KJL17" s="1"/>
      <c r="KJM17" s="1"/>
      <c r="KJN17" s="1"/>
      <c r="KJO17" s="1"/>
      <c r="KJP17" s="1"/>
      <c r="KJQ17" s="1"/>
      <c r="KJR17" s="1"/>
      <c r="KJS17" s="1"/>
      <c r="KJT17" s="1"/>
      <c r="KJU17" s="1"/>
      <c r="KJV17" s="1"/>
      <c r="KJW17" s="1"/>
      <c r="KJX17" s="1"/>
      <c r="KJY17" s="1"/>
      <c r="KJZ17" s="1"/>
      <c r="KKA17" s="1"/>
      <c r="KKB17" s="1"/>
      <c r="KKC17" s="1"/>
      <c r="KKD17" s="1"/>
      <c r="KKE17" s="1"/>
      <c r="KKF17" s="1"/>
      <c r="KKG17" s="1"/>
      <c r="KKH17" s="1"/>
      <c r="KKI17" s="1"/>
      <c r="KKJ17" s="1"/>
      <c r="KKK17" s="1"/>
      <c r="KKL17" s="1"/>
      <c r="KKM17" s="1"/>
      <c r="KKN17" s="1"/>
      <c r="KKO17" s="1"/>
      <c r="KKP17" s="1"/>
      <c r="KKQ17" s="1"/>
      <c r="KKR17" s="1"/>
      <c r="KKS17" s="1"/>
      <c r="KKT17" s="1"/>
      <c r="KKU17" s="1"/>
      <c r="KKV17" s="1"/>
      <c r="KKW17" s="1"/>
      <c r="KKX17" s="1"/>
      <c r="KKY17" s="1"/>
      <c r="KKZ17" s="1"/>
      <c r="KLA17" s="1"/>
      <c r="KLB17" s="1"/>
      <c r="KLC17" s="1"/>
      <c r="KLD17" s="1"/>
      <c r="KLE17" s="1"/>
      <c r="KLF17" s="1"/>
      <c r="KLG17" s="1"/>
      <c r="KLH17" s="1"/>
      <c r="KLI17" s="1"/>
      <c r="KLJ17" s="1"/>
      <c r="KLK17" s="1"/>
      <c r="KLL17" s="1"/>
      <c r="KLM17" s="1"/>
      <c r="KLN17" s="1"/>
      <c r="KLO17" s="1"/>
      <c r="KLP17" s="1"/>
      <c r="KLQ17" s="1"/>
      <c r="KLR17" s="1"/>
      <c r="KLS17" s="1"/>
      <c r="KLT17" s="1"/>
      <c r="KLU17" s="1"/>
      <c r="KLV17" s="1"/>
      <c r="KLW17" s="1"/>
      <c r="KLX17" s="1"/>
      <c r="KLY17" s="1"/>
      <c r="KLZ17" s="1"/>
      <c r="KMA17" s="1"/>
      <c r="KMB17" s="1"/>
      <c r="KMC17" s="1"/>
      <c r="KMD17" s="1"/>
      <c r="KME17" s="1"/>
      <c r="KMF17" s="1"/>
      <c r="KMG17" s="1"/>
      <c r="KMH17" s="1"/>
      <c r="KMI17" s="1"/>
      <c r="KMJ17" s="1"/>
      <c r="KMK17" s="1"/>
      <c r="KML17" s="1"/>
      <c r="KMM17" s="1"/>
      <c r="KMN17" s="1"/>
      <c r="KMO17" s="1"/>
      <c r="KMP17" s="1"/>
      <c r="KMQ17" s="1"/>
      <c r="KMR17" s="1"/>
      <c r="KMS17" s="1"/>
      <c r="KMT17" s="1"/>
      <c r="KMU17" s="1"/>
      <c r="KMV17" s="1"/>
      <c r="KMW17" s="1"/>
      <c r="KMX17" s="1"/>
      <c r="KMY17" s="1"/>
      <c r="KMZ17" s="1"/>
      <c r="KNA17" s="1"/>
      <c r="KNB17" s="1"/>
      <c r="KNC17" s="1"/>
      <c r="KND17" s="1"/>
      <c r="KNE17" s="1"/>
      <c r="KNF17" s="1"/>
      <c r="KNG17" s="1"/>
      <c r="KNH17" s="1"/>
      <c r="KNI17" s="1"/>
      <c r="KNJ17" s="1"/>
      <c r="KNK17" s="1"/>
      <c r="KNL17" s="1"/>
      <c r="KNM17" s="1"/>
      <c r="KNN17" s="1"/>
      <c r="KNO17" s="1"/>
      <c r="KNP17" s="1"/>
      <c r="KNQ17" s="1"/>
      <c r="KNR17" s="1"/>
      <c r="KNS17" s="1"/>
      <c r="KNT17" s="1"/>
      <c r="KNU17" s="1"/>
      <c r="KNV17" s="1"/>
      <c r="KNW17" s="1"/>
      <c r="KNX17" s="1"/>
      <c r="KNY17" s="1"/>
      <c r="KNZ17" s="1"/>
      <c r="KOA17" s="1"/>
      <c r="KOB17" s="1"/>
      <c r="KOC17" s="1"/>
      <c r="KOD17" s="1"/>
      <c r="KOE17" s="1"/>
      <c r="KOF17" s="1"/>
      <c r="KOG17" s="1"/>
      <c r="KOH17" s="1"/>
      <c r="KOI17" s="1"/>
      <c r="KOJ17" s="1"/>
      <c r="KOK17" s="1"/>
      <c r="KOL17" s="1"/>
      <c r="KOM17" s="1"/>
      <c r="KON17" s="1"/>
      <c r="KOO17" s="1"/>
      <c r="KOP17" s="1"/>
      <c r="KOQ17" s="1"/>
      <c r="KOR17" s="1"/>
      <c r="KOS17" s="1"/>
      <c r="KOT17" s="1"/>
      <c r="KOU17" s="1"/>
      <c r="KOV17" s="1"/>
      <c r="KOW17" s="1"/>
      <c r="KOX17" s="1"/>
      <c r="KOY17" s="1"/>
      <c r="KOZ17" s="1"/>
      <c r="KPA17" s="1"/>
      <c r="KPB17" s="1"/>
      <c r="KPC17" s="1"/>
      <c r="KPD17" s="1"/>
      <c r="KPE17" s="1"/>
      <c r="KPF17" s="1"/>
      <c r="KPG17" s="1"/>
      <c r="KPH17" s="1"/>
      <c r="KPI17" s="1"/>
      <c r="KPJ17" s="1"/>
      <c r="KPK17" s="1"/>
      <c r="KPL17" s="1"/>
      <c r="KPM17" s="1"/>
      <c r="KPN17" s="1"/>
      <c r="KPO17" s="1"/>
      <c r="KPP17" s="1"/>
      <c r="KPQ17" s="1"/>
      <c r="KPR17" s="1"/>
      <c r="KPS17" s="1"/>
      <c r="KPT17" s="1"/>
      <c r="KPU17" s="1"/>
      <c r="KPV17" s="1"/>
      <c r="KPW17" s="1"/>
      <c r="KPX17" s="1"/>
      <c r="KPY17" s="1"/>
      <c r="KPZ17" s="1"/>
      <c r="KQA17" s="1"/>
      <c r="KQB17" s="1"/>
      <c r="KQC17" s="1"/>
      <c r="KQD17" s="1"/>
      <c r="KQE17" s="1"/>
      <c r="KQF17" s="1"/>
      <c r="KQG17" s="1"/>
      <c r="KQH17" s="1"/>
      <c r="KQI17" s="1"/>
      <c r="KQJ17" s="1"/>
      <c r="KQK17" s="1"/>
      <c r="KQL17" s="1"/>
      <c r="KQM17" s="1"/>
      <c r="KQN17" s="1"/>
      <c r="KQO17" s="1"/>
      <c r="KQP17" s="1"/>
      <c r="KQQ17" s="1"/>
      <c r="KQR17" s="1"/>
      <c r="KQS17" s="1"/>
      <c r="KQT17" s="1"/>
      <c r="KQU17" s="1"/>
      <c r="KQV17" s="1"/>
      <c r="KQW17" s="1"/>
      <c r="KQX17" s="1"/>
      <c r="KQY17" s="1"/>
      <c r="KQZ17" s="1"/>
      <c r="KRA17" s="1"/>
      <c r="KRB17" s="1"/>
      <c r="KRC17" s="1"/>
      <c r="KRD17" s="1"/>
      <c r="KRE17" s="1"/>
      <c r="KRF17" s="1"/>
      <c r="KRG17" s="1"/>
      <c r="KRH17" s="1"/>
      <c r="KRI17" s="1"/>
      <c r="KRJ17" s="1"/>
      <c r="KRK17" s="1"/>
      <c r="KRL17" s="1"/>
      <c r="KRM17" s="1"/>
      <c r="KRN17" s="1"/>
    </row>
    <row r="18" spans="1:7918" s="144" customFormat="1">
      <c r="A18" s="1">
        <f t="shared" si="0"/>
        <v>13</v>
      </c>
      <c r="B18" s="255" t="s">
        <v>609</v>
      </c>
      <c r="C18" s="168">
        <v>144442415</v>
      </c>
      <c r="D18" s="1307" t="s">
        <v>609</v>
      </c>
      <c r="E18" s="145" t="str">
        <f>VLOOKUP(B18,distribucion!G$8:FP$153,2,0)</f>
        <v>Asistente Legal Administrativo</v>
      </c>
      <c r="F18" s="128">
        <f>ROUND((VLOOKUP($B18,ECONACIONAL!$C$5:$AC$219,4,0)),2)</f>
        <v>30</v>
      </c>
      <c r="G18" s="128">
        <f>ROUND((VLOOKUP($B18,ECONACIONAL!$C$7:$AC$219,6,0)),2)</f>
        <v>4500</v>
      </c>
      <c r="H18" s="128">
        <f>ROUND((VLOOKUP($B18,ECONACIONAL!$C$7:$AC$219,7,0)),2)</f>
        <v>2500</v>
      </c>
      <c r="I18" s="128">
        <f>ROUND((VLOOKUP($B18,ECONACIONAL!$C$7:$AC$219,9,0)),2)</f>
        <v>0</v>
      </c>
      <c r="J18" s="128">
        <f>ROUND((VLOOKUP($B18,ECONACIONAL!$C$7:$AC$219,10,0)),2)</f>
        <v>0</v>
      </c>
      <c r="K18" s="128">
        <f>ROUND((VLOOKUP($B18,ECONACIONAL!$C$7:$AC$219,11,0)),2)</f>
        <v>0</v>
      </c>
      <c r="L18" s="128">
        <f>ROUND((VLOOKUP($B18,ECONACIONAL!$C$7:$AC$219,12,0)),2)</f>
        <v>0</v>
      </c>
      <c r="M18" s="128">
        <f>ROUND((VLOOKUP($B18,ECONACIONAL!$C$7:$AC$219,14,0)),2)</f>
        <v>0</v>
      </c>
      <c r="N18" s="128">
        <f>ROUND((VLOOKUP($B18,ECONACIONAL!$C$7:$AC$219,15,0)),2)</f>
        <v>7000</v>
      </c>
      <c r="O18" s="128">
        <f>ROUND((VLOOKUP($B18,ECONACIONAL!$C$7:$AC$219,16,0)),2)</f>
        <v>217.35</v>
      </c>
      <c r="P18" s="128">
        <f>ROUND((VLOOKUP($B18,ECONACIONAL!$C$7:$AC$219,17,0)),2)</f>
        <v>161.31</v>
      </c>
      <c r="Q18" s="128">
        <f>ROUND((VLOOKUP($B18,ECONACIONAL!$C$7:$AC$219,18,0)),2)</f>
        <v>0</v>
      </c>
      <c r="R18" s="128">
        <f>ROUND((VLOOKUP($B18,ECONACIONAL!$C$7:$AC$219,19,0)),2)</f>
        <v>0</v>
      </c>
      <c r="S18" s="128">
        <f>ROUND((VLOOKUP($B18,ECONACIONAL!$C$7:$AC$219,20,0)),2)</f>
        <v>0</v>
      </c>
      <c r="T18" s="128">
        <f>ROUND((VLOOKUP($B18,ECONACIONAL!$C$7:$AC$219,21,0)),2)</f>
        <v>0</v>
      </c>
      <c r="U18" s="128">
        <f>ROUND((VLOOKUP($B18,ECONACIONAL!$C$7:$AC$219,22,0)),2)</f>
        <v>0</v>
      </c>
      <c r="V18" s="128">
        <f>ROUND((VLOOKUP($B18,ECONACIONAL!$C$7:$AC$219,23,0)),2)</f>
        <v>0</v>
      </c>
      <c r="W18" s="128">
        <f>ROUND((VLOOKUP($B18,ECONACIONAL!$C$7:$AC$219,24,0)),2)</f>
        <v>378.66</v>
      </c>
      <c r="X18" s="128">
        <f>ROUND((VLOOKUP($B18,ECONACIONAL!$C$7:$AC$219,25,0)),2)</f>
        <v>6621.34</v>
      </c>
      <c r="Y18" s="128">
        <f>ROUND((VLOOKUP($B18,ECONACIONAL!$C$7:$AC$219,26,0)),2)</f>
        <v>3060.66</v>
      </c>
      <c r="Z18" s="128">
        <f>ROUND((VLOOKUP($B18,ECONACIONAL!$C$7:$AC$219,27,0)),2)</f>
        <v>3560.68</v>
      </c>
      <c r="AA18" s="278"/>
      <c r="AB18" s="256" t="str">
        <f>+IFERROR(VLOOKUP(B18,#REF!,3,0),"")</f>
        <v/>
      </c>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c r="ALK18" s="1"/>
      <c r="ALL18" s="1"/>
      <c r="ALM18" s="1"/>
      <c r="ALN18" s="1"/>
      <c r="ALO18" s="1"/>
      <c r="ALP18" s="1"/>
      <c r="ALQ18" s="1"/>
      <c r="ALR18" s="1"/>
      <c r="ALS18" s="1"/>
      <c r="ALT18" s="1"/>
      <c r="ALU18" s="1"/>
      <c r="ALV18" s="1"/>
      <c r="ALW18" s="1"/>
      <c r="ALX18" s="1"/>
      <c r="ALY18" s="1"/>
      <c r="ALZ18" s="1"/>
      <c r="AMA18" s="1"/>
      <c r="AMB18" s="1"/>
      <c r="AMC18" s="1"/>
      <c r="AMD18" s="1"/>
      <c r="AME18" s="1"/>
      <c r="AMF18" s="1"/>
      <c r="AMG18" s="1"/>
      <c r="AMH18" s="1"/>
      <c r="AMI18" s="1"/>
      <c r="AMJ18" s="1"/>
      <c r="AMK18" s="1"/>
      <c r="AML18" s="1"/>
      <c r="AMM18" s="1"/>
      <c r="AMN18" s="1"/>
      <c r="AMO18" s="1"/>
      <c r="AMP18" s="1"/>
      <c r="AMQ18" s="1"/>
      <c r="AMR18" s="1"/>
      <c r="AMS18" s="1"/>
      <c r="AMT18" s="1"/>
      <c r="AMU18" s="1"/>
      <c r="AMV18" s="1"/>
      <c r="AMW18" s="1"/>
      <c r="AMX18" s="1"/>
      <c r="AMY18" s="1"/>
      <c r="AMZ18" s="1"/>
      <c r="ANA18" s="1"/>
      <c r="ANB18" s="1"/>
      <c r="ANC18" s="1"/>
      <c r="AND18" s="1"/>
      <c r="ANE18" s="1"/>
      <c r="ANF18" s="1"/>
      <c r="ANG18" s="1"/>
      <c r="ANH18" s="1"/>
      <c r="ANI18" s="1"/>
      <c r="ANJ18" s="1"/>
      <c r="ANK18" s="1"/>
      <c r="ANL18" s="1"/>
      <c r="ANM18" s="1"/>
      <c r="ANN18" s="1"/>
      <c r="ANO18" s="1"/>
      <c r="ANP18" s="1"/>
      <c r="ANQ18" s="1"/>
      <c r="ANR18" s="1"/>
      <c r="ANS18" s="1"/>
      <c r="ANT18" s="1"/>
      <c r="ANU18" s="1"/>
      <c r="ANV18" s="1"/>
      <c r="ANW18" s="1"/>
      <c r="ANX18" s="1"/>
      <c r="ANY18" s="1"/>
      <c r="ANZ18" s="1"/>
      <c r="AOA18" s="1"/>
      <c r="AOB18" s="1"/>
      <c r="AOC18" s="1"/>
      <c r="AOD18" s="1"/>
      <c r="AOE18" s="1"/>
      <c r="AOF18" s="1"/>
      <c r="AOG18" s="1"/>
      <c r="AOH18" s="1"/>
      <c r="AOI18" s="1"/>
      <c r="AOJ18" s="1"/>
      <c r="AOK18" s="1"/>
      <c r="AOL18" s="1"/>
      <c r="AOM18" s="1"/>
      <c r="AON18" s="1"/>
      <c r="AOO18" s="1"/>
      <c r="AOP18" s="1"/>
      <c r="AOQ18" s="1"/>
      <c r="AOR18" s="1"/>
      <c r="AOS18" s="1"/>
      <c r="AOT18" s="1"/>
      <c r="AOU18" s="1"/>
      <c r="AOV18" s="1"/>
      <c r="AOW18" s="1"/>
      <c r="AOX18" s="1"/>
      <c r="AOY18" s="1"/>
      <c r="AOZ18" s="1"/>
      <c r="APA18" s="1"/>
      <c r="APB18" s="1"/>
      <c r="APC18" s="1"/>
      <c r="APD18" s="1"/>
      <c r="APE18" s="1"/>
      <c r="APF18" s="1"/>
      <c r="APG18" s="1"/>
      <c r="APH18" s="1"/>
      <c r="API18" s="1"/>
      <c r="APJ18" s="1"/>
      <c r="APK18" s="1"/>
      <c r="APL18" s="1"/>
      <c r="APM18" s="1"/>
      <c r="APN18" s="1"/>
      <c r="APO18" s="1"/>
      <c r="APP18" s="1"/>
      <c r="APQ18" s="1"/>
      <c r="APR18" s="1"/>
      <c r="APS18" s="1"/>
      <c r="APT18" s="1"/>
      <c r="APU18" s="1"/>
      <c r="APV18" s="1"/>
      <c r="APW18" s="1"/>
      <c r="APX18" s="1"/>
      <c r="APY18" s="1"/>
      <c r="APZ18" s="1"/>
      <c r="AQA18" s="1"/>
      <c r="AQB18" s="1"/>
      <c r="AQC18" s="1"/>
      <c r="AQD18" s="1"/>
      <c r="AQE18" s="1"/>
      <c r="AQF18" s="1"/>
      <c r="AQG18" s="1"/>
      <c r="AQH18" s="1"/>
      <c r="AQI18" s="1"/>
      <c r="AQJ18" s="1"/>
      <c r="AQK18" s="1"/>
      <c r="AQL18" s="1"/>
      <c r="AQM18" s="1"/>
      <c r="AQN18" s="1"/>
      <c r="AQO18" s="1"/>
      <c r="AQP18" s="1"/>
      <c r="AQQ18" s="1"/>
      <c r="AQR18" s="1"/>
      <c r="AQS18" s="1"/>
      <c r="AQT18" s="1"/>
      <c r="AQU18" s="1"/>
      <c r="AQV18" s="1"/>
      <c r="AQW18" s="1"/>
      <c r="AQX18" s="1"/>
      <c r="AQY18" s="1"/>
      <c r="AQZ18" s="1"/>
      <c r="ARA18" s="1"/>
      <c r="ARB18" s="1"/>
      <c r="ARC18" s="1"/>
      <c r="ARD18" s="1"/>
      <c r="ARE18" s="1"/>
      <c r="ARF18" s="1"/>
      <c r="ARG18" s="1"/>
      <c r="ARH18" s="1"/>
      <c r="ARI18" s="1"/>
      <c r="ARJ18" s="1"/>
      <c r="ARK18" s="1"/>
      <c r="ARL18" s="1"/>
      <c r="ARM18" s="1"/>
      <c r="ARN18" s="1"/>
      <c r="ARO18" s="1"/>
      <c r="ARP18" s="1"/>
      <c r="ARQ18" s="1"/>
      <c r="ARR18" s="1"/>
      <c r="ARS18" s="1"/>
      <c r="ART18" s="1"/>
      <c r="ARU18" s="1"/>
      <c r="ARV18" s="1"/>
      <c r="ARW18" s="1"/>
      <c r="ARX18" s="1"/>
      <c r="ARY18" s="1"/>
      <c r="ARZ18" s="1"/>
      <c r="ASA18" s="1"/>
      <c r="ASB18" s="1"/>
      <c r="ASC18" s="1"/>
      <c r="ASD18" s="1"/>
      <c r="ASE18" s="1"/>
      <c r="ASF18" s="1"/>
      <c r="ASG18" s="1"/>
      <c r="ASH18" s="1"/>
      <c r="ASI18" s="1"/>
      <c r="ASJ18" s="1"/>
      <c r="ASK18" s="1"/>
      <c r="ASL18" s="1"/>
      <c r="ASM18" s="1"/>
      <c r="ASN18" s="1"/>
      <c r="ASO18" s="1"/>
      <c r="ASP18" s="1"/>
      <c r="ASQ18" s="1"/>
      <c r="ASR18" s="1"/>
      <c r="ASS18" s="1"/>
      <c r="AST18" s="1"/>
      <c r="ASU18" s="1"/>
      <c r="ASV18" s="1"/>
      <c r="ASW18" s="1"/>
      <c r="ASX18" s="1"/>
      <c r="ASY18" s="1"/>
      <c r="ASZ18" s="1"/>
      <c r="ATA18" s="1"/>
      <c r="ATB18" s="1"/>
      <c r="ATC18" s="1"/>
      <c r="ATD18" s="1"/>
      <c r="ATE18" s="1"/>
      <c r="ATF18" s="1"/>
      <c r="ATG18" s="1"/>
      <c r="ATH18" s="1"/>
      <c r="ATI18" s="1"/>
      <c r="ATJ18" s="1"/>
      <c r="ATK18" s="1"/>
      <c r="ATL18" s="1"/>
      <c r="ATM18" s="1"/>
      <c r="ATN18" s="1"/>
      <c r="ATO18" s="1"/>
      <c r="ATP18" s="1"/>
      <c r="ATQ18" s="1"/>
      <c r="ATR18" s="1"/>
      <c r="ATS18" s="1"/>
      <c r="ATT18" s="1"/>
      <c r="ATU18" s="1"/>
      <c r="ATV18" s="1"/>
      <c r="ATW18" s="1"/>
      <c r="ATX18" s="1"/>
      <c r="ATY18" s="1"/>
      <c r="ATZ18" s="1"/>
      <c r="AUA18" s="1"/>
      <c r="AUB18" s="1"/>
      <c r="AUC18" s="1"/>
      <c r="AUD18" s="1"/>
      <c r="AUE18" s="1"/>
      <c r="AUF18" s="1"/>
      <c r="AUG18" s="1"/>
      <c r="AUH18" s="1"/>
      <c r="AUI18" s="1"/>
      <c r="AUJ18" s="1"/>
      <c r="AUK18" s="1"/>
      <c r="AUL18" s="1"/>
      <c r="AUM18" s="1"/>
      <c r="AUN18" s="1"/>
      <c r="AUO18" s="1"/>
      <c r="AUP18" s="1"/>
      <c r="AUQ18" s="1"/>
      <c r="AUR18" s="1"/>
      <c r="AUS18" s="1"/>
      <c r="AUT18" s="1"/>
      <c r="AUU18" s="1"/>
      <c r="AUV18" s="1"/>
      <c r="AUW18" s="1"/>
      <c r="AUX18" s="1"/>
      <c r="AUY18" s="1"/>
      <c r="AUZ18" s="1"/>
      <c r="AVA18" s="1"/>
      <c r="AVB18" s="1"/>
      <c r="AVC18" s="1"/>
      <c r="AVD18" s="1"/>
      <c r="AVE18" s="1"/>
      <c r="AVF18" s="1"/>
      <c r="AVG18" s="1"/>
      <c r="AVH18" s="1"/>
      <c r="AVI18" s="1"/>
      <c r="AVJ18" s="1"/>
      <c r="AVK18" s="1"/>
      <c r="AVL18" s="1"/>
      <c r="AVM18" s="1"/>
      <c r="AVN18" s="1"/>
      <c r="AVO18" s="1"/>
      <c r="AVP18" s="1"/>
      <c r="AVQ18" s="1"/>
      <c r="AVR18" s="1"/>
      <c r="AVS18" s="1"/>
      <c r="AVT18" s="1"/>
      <c r="AVU18" s="1"/>
      <c r="AVV18" s="1"/>
      <c r="AVW18" s="1"/>
      <c r="AVX18" s="1"/>
      <c r="AVY18" s="1"/>
      <c r="AVZ18" s="1"/>
      <c r="AWA18" s="1"/>
      <c r="AWB18" s="1"/>
      <c r="AWC18" s="1"/>
      <c r="AWD18" s="1"/>
      <c r="AWE18" s="1"/>
      <c r="AWF18" s="1"/>
      <c r="AWG18" s="1"/>
      <c r="AWH18" s="1"/>
      <c r="AWI18" s="1"/>
      <c r="AWJ18" s="1"/>
      <c r="AWK18" s="1"/>
      <c r="AWL18" s="1"/>
      <c r="AWM18" s="1"/>
      <c r="AWN18" s="1"/>
      <c r="AWO18" s="1"/>
      <c r="AWP18" s="1"/>
      <c r="AWQ18" s="1"/>
      <c r="AWR18" s="1"/>
      <c r="AWS18" s="1"/>
      <c r="AWT18" s="1"/>
      <c r="AWU18" s="1"/>
      <c r="AWV18" s="1"/>
      <c r="AWW18" s="1"/>
      <c r="AWX18" s="1"/>
      <c r="AWY18" s="1"/>
      <c r="AWZ18" s="1"/>
      <c r="AXA18" s="1"/>
      <c r="AXB18" s="1"/>
      <c r="AXC18" s="1"/>
      <c r="AXD18" s="1"/>
      <c r="AXE18" s="1"/>
      <c r="AXF18" s="1"/>
      <c r="AXG18" s="1"/>
      <c r="AXH18" s="1"/>
      <c r="AXI18" s="1"/>
      <c r="AXJ18" s="1"/>
      <c r="AXK18" s="1"/>
      <c r="AXL18" s="1"/>
      <c r="AXM18" s="1"/>
      <c r="AXN18" s="1"/>
      <c r="AXO18" s="1"/>
      <c r="AXP18" s="1"/>
      <c r="AXQ18" s="1"/>
      <c r="AXR18" s="1"/>
      <c r="AXS18" s="1"/>
      <c r="AXT18" s="1"/>
      <c r="AXU18" s="1"/>
      <c r="AXV18" s="1"/>
      <c r="AXW18" s="1"/>
      <c r="AXX18" s="1"/>
      <c r="AXY18" s="1"/>
      <c r="AXZ18" s="1"/>
      <c r="AYA18" s="1"/>
      <c r="AYB18" s="1"/>
      <c r="AYC18" s="1"/>
      <c r="AYD18" s="1"/>
      <c r="AYE18" s="1"/>
      <c r="AYF18" s="1"/>
      <c r="AYG18" s="1"/>
      <c r="AYH18" s="1"/>
      <c r="AYI18" s="1"/>
      <c r="AYJ18" s="1"/>
      <c r="AYK18" s="1"/>
      <c r="AYL18" s="1"/>
      <c r="AYM18" s="1"/>
      <c r="AYN18" s="1"/>
      <c r="AYO18" s="1"/>
      <c r="AYP18" s="1"/>
      <c r="AYQ18" s="1"/>
      <c r="AYR18" s="1"/>
      <c r="AYS18" s="1"/>
      <c r="AYT18" s="1"/>
      <c r="AYU18" s="1"/>
      <c r="AYV18" s="1"/>
      <c r="AYW18" s="1"/>
      <c r="AYX18" s="1"/>
      <c r="AYY18" s="1"/>
      <c r="AYZ18" s="1"/>
      <c r="AZA18" s="1"/>
      <c r="AZB18" s="1"/>
      <c r="AZC18" s="1"/>
      <c r="AZD18" s="1"/>
      <c r="AZE18" s="1"/>
      <c r="AZF18" s="1"/>
      <c r="AZG18" s="1"/>
      <c r="AZH18" s="1"/>
      <c r="AZI18" s="1"/>
      <c r="AZJ18" s="1"/>
      <c r="AZK18" s="1"/>
      <c r="AZL18" s="1"/>
      <c r="AZM18" s="1"/>
      <c r="AZN18" s="1"/>
      <c r="AZO18" s="1"/>
      <c r="AZP18" s="1"/>
      <c r="AZQ18" s="1"/>
      <c r="AZR18" s="1"/>
      <c r="AZS18" s="1"/>
      <c r="AZT18" s="1"/>
      <c r="AZU18" s="1"/>
      <c r="AZV18" s="1"/>
      <c r="AZW18" s="1"/>
      <c r="AZX18" s="1"/>
      <c r="AZY18" s="1"/>
      <c r="AZZ18" s="1"/>
      <c r="BAA18" s="1"/>
      <c r="BAB18" s="1"/>
      <c r="BAC18" s="1"/>
      <c r="BAD18" s="1"/>
      <c r="BAE18" s="1"/>
      <c r="BAF18" s="1"/>
      <c r="BAG18" s="1"/>
      <c r="BAH18" s="1"/>
      <c r="BAI18" s="1"/>
      <c r="BAJ18" s="1"/>
      <c r="BAK18" s="1"/>
      <c r="BAL18" s="1"/>
      <c r="BAM18" s="1"/>
      <c r="BAN18" s="1"/>
      <c r="BAO18" s="1"/>
      <c r="BAP18" s="1"/>
      <c r="BAQ18" s="1"/>
      <c r="BAR18" s="1"/>
      <c r="BAS18" s="1"/>
      <c r="BAT18" s="1"/>
      <c r="BAU18" s="1"/>
      <c r="BAV18" s="1"/>
      <c r="BAW18" s="1"/>
      <c r="BAX18" s="1"/>
      <c r="BAY18" s="1"/>
      <c r="BAZ18" s="1"/>
      <c r="BBA18" s="1"/>
      <c r="BBB18" s="1"/>
      <c r="BBC18" s="1"/>
      <c r="BBD18" s="1"/>
      <c r="BBE18" s="1"/>
      <c r="BBF18" s="1"/>
      <c r="BBG18" s="1"/>
      <c r="BBH18" s="1"/>
      <c r="BBI18" s="1"/>
      <c r="BBJ18" s="1"/>
      <c r="BBK18" s="1"/>
      <c r="BBL18" s="1"/>
      <c r="BBM18" s="1"/>
      <c r="BBN18" s="1"/>
      <c r="BBO18" s="1"/>
      <c r="BBP18" s="1"/>
      <c r="BBQ18" s="1"/>
      <c r="BBR18" s="1"/>
      <c r="BBS18" s="1"/>
      <c r="BBT18" s="1"/>
      <c r="BBU18" s="1"/>
      <c r="BBV18" s="1"/>
      <c r="BBW18" s="1"/>
      <c r="BBX18" s="1"/>
      <c r="BBY18" s="1"/>
      <c r="BBZ18" s="1"/>
      <c r="BCA18" s="1"/>
      <c r="BCB18" s="1"/>
      <c r="BCC18" s="1"/>
      <c r="BCD18" s="1"/>
      <c r="BCE18" s="1"/>
      <c r="BCF18" s="1"/>
      <c r="BCG18" s="1"/>
      <c r="BCH18" s="1"/>
      <c r="BCI18" s="1"/>
      <c r="BCJ18" s="1"/>
      <c r="BCK18" s="1"/>
      <c r="BCL18" s="1"/>
      <c r="BCM18" s="1"/>
      <c r="BCN18" s="1"/>
      <c r="BCO18" s="1"/>
      <c r="BCP18" s="1"/>
      <c r="BCQ18" s="1"/>
      <c r="BCR18" s="1"/>
      <c r="BCS18" s="1"/>
      <c r="BCT18" s="1"/>
      <c r="BCU18" s="1"/>
      <c r="BCV18" s="1"/>
      <c r="BCW18" s="1"/>
      <c r="BCX18" s="1"/>
      <c r="BCY18" s="1"/>
      <c r="BCZ18" s="1"/>
      <c r="BDA18" s="1"/>
      <c r="BDB18" s="1"/>
      <c r="BDC18" s="1"/>
      <c r="BDD18" s="1"/>
      <c r="BDE18" s="1"/>
      <c r="BDF18" s="1"/>
      <c r="BDG18" s="1"/>
      <c r="BDH18" s="1"/>
      <c r="BDI18" s="1"/>
      <c r="BDJ18" s="1"/>
      <c r="BDK18" s="1"/>
      <c r="BDL18" s="1"/>
      <c r="BDM18" s="1"/>
      <c r="BDN18" s="1"/>
      <c r="BDO18" s="1"/>
      <c r="BDP18" s="1"/>
      <c r="BDQ18" s="1"/>
      <c r="BDR18" s="1"/>
      <c r="BDS18" s="1"/>
      <c r="BDT18" s="1"/>
      <c r="BDU18" s="1"/>
      <c r="BDV18" s="1"/>
      <c r="BDW18" s="1"/>
      <c r="BDX18" s="1"/>
      <c r="BDY18" s="1"/>
      <c r="BDZ18" s="1"/>
      <c r="BEA18" s="1"/>
      <c r="BEB18" s="1"/>
      <c r="BEC18" s="1"/>
      <c r="BED18" s="1"/>
      <c r="BEE18" s="1"/>
      <c r="BEF18" s="1"/>
      <c r="BEG18" s="1"/>
      <c r="BEH18" s="1"/>
      <c r="BEI18" s="1"/>
      <c r="BEJ18" s="1"/>
      <c r="BEK18" s="1"/>
      <c r="BEL18" s="1"/>
      <c r="BEM18" s="1"/>
      <c r="BEN18" s="1"/>
      <c r="BEO18" s="1"/>
      <c r="BEP18" s="1"/>
      <c r="BEQ18" s="1"/>
      <c r="BER18" s="1"/>
      <c r="BES18" s="1"/>
      <c r="BET18" s="1"/>
      <c r="BEU18" s="1"/>
      <c r="BEV18" s="1"/>
      <c r="BEW18" s="1"/>
      <c r="BEX18" s="1"/>
      <c r="BEY18" s="1"/>
      <c r="BEZ18" s="1"/>
      <c r="BFA18" s="1"/>
      <c r="BFB18" s="1"/>
      <c r="BFC18" s="1"/>
      <c r="BFD18" s="1"/>
      <c r="BFE18" s="1"/>
      <c r="BFF18" s="1"/>
      <c r="BFG18" s="1"/>
      <c r="BFH18" s="1"/>
      <c r="BFI18" s="1"/>
      <c r="BFJ18" s="1"/>
      <c r="BFK18" s="1"/>
      <c r="BFL18" s="1"/>
      <c r="BFM18" s="1"/>
      <c r="BFN18" s="1"/>
      <c r="BFO18" s="1"/>
      <c r="BFP18" s="1"/>
      <c r="BFQ18" s="1"/>
      <c r="BFR18" s="1"/>
      <c r="BFS18" s="1"/>
      <c r="BFT18" s="1"/>
      <c r="BFU18" s="1"/>
      <c r="BFV18" s="1"/>
      <c r="BFW18" s="1"/>
      <c r="BFX18" s="1"/>
      <c r="BFY18" s="1"/>
      <c r="BFZ18" s="1"/>
      <c r="BGA18" s="1"/>
      <c r="BGB18" s="1"/>
      <c r="BGC18" s="1"/>
      <c r="BGD18" s="1"/>
      <c r="BGE18" s="1"/>
      <c r="BGF18" s="1"/>
      <c r="BGG18" s="1"/>
      <c r="BGH18" s="1"/>
      <c r="BGI18" s="1"/>
      <c r="BGJ18" s="1"/>
      <c r="BGK18" s="1"/>
      <c r="BGL18" s="1"/>
      <c r="BGM18" s="1"/>
      <c r="BGN18" s="1"/>
      <c r="BGO18" s="1"/>
      <c r="BGP18" s="1"/>
      <c r="BGQ18" s="1"/>
      <c r="BGR18" s="1"/>
      <c r="BGS18" s="1"/>
      <c r="BGT18" s="1"/>
      <c r="BGU18" s="1"/>
      <c r="BGV18" s="1"/>
      <c r="BGW18" s="1"/>
      <c r="BGX18" s="1"/>
      <c r="BGY18" s="1"/>
      <c r="BGZ18" s="1"/>
      <c r="BHA18" s="1"/>
      <c r="BHB18" s="1"/>
      <c r="BHC18" s="1"/>
      <c r="BHD18" s="1"/>
      <c r="BHE18" s="1"/>
      <c r="BHF18" s="1"/>
      <c r="BHG18" s="1"/>
      <c r="BHH18" s="1"/>
      <c r="BHI18" s="1"/>
      <c r="BHJ18" s="1"/>
      <c r="BHK18" s="1"/>
      <c r="BHL18" s="1"/>
      <c r="BHM18" s="1"/>
      <c r="BHN18" s="1"/>
      <c r="BHO18" s="1"/>
      <c r="BHP18" s="1"/>
      <c r="BHQ18" s="1"/>
      <c r="BHR18" s="1"/>
      <c r="BHS18" s="1"/>
      <c r="BHT18" s="1"/>
      <c r="BHU18" s="1"/>
      <c r="BHV18" s="1"/>
      <c r="BHW18" s="1"/>
      <c r="BHX18" s="1"/>
      <c r="BHY18" s="1"/>
      <c r="BHZ18" s="1"/>
      <c r="BIA18" s="1"/>
      <c r="BIB18" s="1"/>
      <c r="BIC18" s="1"/>
      <c r="BID18" s="1"/>
      <c r="BIE18" s="1"/>
      <c r="BIF18" s="1"/>
      <c r="BIG18" s="1"/>
      <c r="BIH18" s="1"/>
      <c r="BII18" s="1"/>
      <c r="BIJ18" s="1"/>
      <c r="BIK18" s="1"/>
      <c r="BIL18" s="1"/>
      <c r="BIM18" s="1"/>
      <c r="BIN18" s="1"/>
      <c r="BIO18" s="1"/>
      <c r="BIP18" s="1"/>
      <c r="BIQ18" s="1"/>
      <c r="BIR18" s="1"/>
      <c r="BIS18" s="1"/>
      <c r="BIT18" s="1"/>
      <c r="BIU18" s="1"/>
      <c r="BIV18" s="1"/>
      <c r="BIW18" s="1"/>
      <c r="BIX18" s="1"/>
      <c r="BIY18" s="1"/>
      <c r="BIZ18" s="1"/>
      <c r="BJA18" s="1"/>
      <c r="BJB18" s="1"/>
      <c r="BJC18" s="1"/>
      <c r="BJD18" s="1"/>
      <c r="BJE18" s="1"/>
      <c r="BJF18" s="1"/>
      <c r="BJG18" s="1"/>
      <c r="BJH18" s="1"/>
      <c r="BJI18" s="1"/>
      <c r="BJJ18" s="1"/>
      <c r="BJK18" s="1"/>
      <c r="BJL18" s="1"/>
      <c r="BJM18" s="1"/>
      <c r="BJN18" s="1"/>
      <c r="BJO18" s="1"/>
      <c r="BJP18" s="1"/>
      <c r="BJQ18" s="1"/>
      <c r="BJR18" s="1"/>
      <c r="BJS18" s="1"/>
      <c r="BJT18" s="1"/>
      <c r="BJU18" s="1"/>
      <c r="BJV18" s="1"/>
      <c r="BJW18" s="1"/>
      <c r="BJX18" s="1"/>
      <c r="BJY18" s="1"/>
      <c r="BJZ18" s="1"/>
      <c r="BKA18" s="1"/>
      <c r="BKB18" s="1"/>
      <c r="BKC18" s="1"/>
      <c r="BKD18" s="1"/>
      <c r="BKE18" s="1"/>
      <c r="BKF18" s="1"/>
      <c r="BKG18" s="1"/>
      <c r="BKH18" s="1"/>
      <c r="BKI18" s="1"/>
      <c r="BKJ18" s="1"/>
      <c r="BKK18" s="1"/>
      <c r="BKL18" s="1"/>
      <c r="BKM18" s="1"/>
      <c r="BKN18" s="1"/>
      <c r="BKO18" s="1"/>
      <c r="BKP18" s="1"/>
      <c r="BKQ18" s="1"/>
      <c r="BKR18" s="1"/>
      <c r="BKS18" s="1"/>
      <c r="BKT18" s="1"/>
      <c r="BKU18" s="1"/>
      <c r="BKV18" s="1"/>
      <c r="BKW18" s="1"/>
      <c r="BKX18" s="1"/>
      <c r="BKY18" s="1"/>
      <c r="BKZ18" s="1"/>
      <c r="BLA18" s="1"/>
      <c r="BLB18" s="1"/>
      <c r="BLC18" s="1"/>
      <c r="BLD18" s="1"/>
      <c r="BLE18" s="1"/>
      <c r="BLF18" s="1"/>
      <c r="BLG18" s="1"/>
      <c r="BLH18" s="1"/>
      <c r="BLI18" s="1"/>
      <c r="BLJ18" s="1"/>
      <c r="BLK18" s="1"/>
      <c r="BLL18" s="1"/>
      <c r="BLM18" s="1"/>
      <c r="BLN18" s="1"/>
      <c r="BLO18" s="1"/>
      <c r="BLP18" s="1"/>
      <c r="BLQ18" s="1"/>
      <c r="BLR18" s="1"/>
      <c r="BLS18" s="1"/>
      <c r="BLT18" s="1"/>
      <c r="BLU18" s="1"/>
      <c r="BLV18" s="1"/>
      <c r="BLW18" s="1"/>
      <c r="BLX18" s="1"/>
      <c r="BLY18" s="1"/>
      <c r="BLZ18" s="1"/>
      <c r="BMA18" s="1"/>
      <c r="BMB18" s="1"/>
      <c r="BMC18" s="1"/>
      <c r="BMD18" s="1"/>
      <c r="BME18" s="1"/>
      <c r="BMF18" s="1"/>
      <c r="BMG18" s="1"/>
      <c r="BMH18" s="1"/>
      <c r="BMI18" s="1"/>
      <c r="BMJ18" s="1"/>
      <c r="BMK18" s="1"/>
      <c r="BML18" s="1"/>
      <c r="BMM18" s="1"/>
      <c r="BMN18" s="1"/>
      <c r="BMO18" s="1"/>
      <c r="BMP18" s="1"/>
      <c r="BMQ18" s="1"/>
      <c r="BMR18" s="1"/>
      <c r="BMS18" s="1"/>
      <c r="BMT18" s="1"/>
      <c r="BMU18" s="1"/>
      <c r="BMV18" s="1"/>
      <c r="BMW18" s="1"/>
      <c r="BMX18" s="1"/>
      <c r="BMY18" s="1"/>
      <c r="BMZ18" s="1"/>
      <c r="BNA18" s="1"/>
      <c r="BNB18" s="1"/>
      <c r="BNC18" s="1"/>
      <c r="BND18" s="1"/>
      <c r="BNE18" s="1"/>
      <c r="BNF18" s="1"/>
      <c r="BNG18" s="1"/>
      <c r="BNH18" s="1"/>
      <c r="BNI18" s="1"/>
      <c r="BNJ18" s="1"/>
      <c r="BNK18" s="1"/>
      <c r="BNL18" s="1"/>
      <c r="BNM18" s="1"/>
      <c r="BNN18" s="1"/>
      <c r="BNO18" s="1"/>
      <c r="BNP18" s="1"/>
      <c r="BNQ18" s="1"/>
      <c r="BNR18" s="1"/>
      <c r="BNS18" s="1"/>
      <c r="BNT18" s="1"/>
      <c r="BNU18" s="1"/>
      <c r="BNV18" s="1"/>
      <c r="BNW18" s="1"/>
      <c r="BNX18" s="1"/>
      <c r="BNY18" s="1"/>
      <c r="BNZ18" s="1"/>
      <c r="BOA18" s="1"/>
      <c r="BOB18" s="1"/>
      <c r="BOC18" s="1"/>
      <c r="BOD18" s="1"/>
      <c r="BOE18" s="1"/>
      <c r="BOF18" s="1"/>
      <c r="BOG18" s="1"/>
      <c r="BOH18" s="1"/>
      <c r="BOI18" s="1"/>
      <c r="BOJ18" s="1"/>
      <c r="BOK18" s="1"/>
      <c r="BOL18" s="1"/>
      <c r="BOM18" s="1"/>
      <c r="BON18" s="1"/>
      <c r="BOO18" s="1"/>
      <c r="BOP18" s="1"/>
      <c r="BOQ18" s="1"/>
      <c r="BOR18" s="1"/>
      <c r="BOS18" s="1"/>
      <c r="BOT18" s="1"/>
      <c r="BOU18" s="1"/>
      <c r="BOV18" s="1"/>
      <c r="BOW18" s="1"/>
      <c r="BOX18" s="1"/>
      <c r="BOY18" s="1"/>
      <c r="BOZ18" s="1"/>
      <c r="BPA18" s="1"/>
      <c r="BPB18" s="1"/>
      <c r="BPC18" s="1"/>
      <c r="BPD18" s="1"/>
      <c r="BPE18" s="1"/>
      <c r="BPF18" s="1"/>
      <c r="BPG18" s="1"/>
      <c r="BPH18" s="1"/>
      <c r="BPI18" s="1"/>
      <c r="BPJ18" s="1"/>
      <c r="BPK18" s="1"/>
      <c r="BPL18" s="1"/>
      <c r="BPM18" s="1"/>
      <c r="BPN18" s="1"/>
      <c r="BPO18" s="1"/>
      <c r="BPP18" s="1"/>
      <c r="BPQ18" s="1"/>
      <c r="BPR18" s="1"/>
      <c r="BPS18" s="1"/>
      <c r="BPT18" s="1"/>
      <c r="BPU18" s="1"/>
      <c r="BPV18" s="1"/>
      <c r="BPW18" s="1"/>
      <c r="BPX18" s="1"/>
      <c r="BPY18" s="1"/>
      <c r="BPZ18" s="1"/>
      <c r="BQA18" s="1"/>
      <c r="BQB18" s="1"/>
      <c r="BQC18" s="1"/>
      <c r="BQD18" s="1"/>
      <c r="BQE18" s="1"/>
      <c r="BQF18" s="1"/>
      <c r="BQG18" s="1"/>
      <c r="BQH18" s="1"/>
      <c r="BQI18" s="1"/>
      <c r="BQJ18" s="1"/>
      <c r="BQK18" s="1"/>
      <c r="BQL18" s="1"/>
      <c r="BQM18" s="1"/>
      <c r="BQN18" s="1"/>
      <c r="BQO18" s="1"/>
      <c r="BQP18" s="1"/>
      <c r="BQQ18" s="1"/>
      <c r="BQR18" s="1"/>
      <c r="BQS18" s="1"/>
      <c r="BQT18" s="1"/>
      <c r="BQU18" s="1"/>
      <c r="BQV18" s="1"/>
      <c r="BQW18" s="1"/>
      <c r="BQX18" s="1"/>
      <c r="BQY18" s="1"/>
      <c r="BQZ18" s="1"/>
      <c r="BRA18" s="1"/>
      <c r="BRB18" s="1"/>
      <c r="BRC18" s="1"/>
      <c r="BRD18" s="1"/>
      <c r="BRE18" s="1"/>
      <c r="BRF18" s="1"/>
      <c r="BRG18" s="1"/>
      <c r="BRH18" s="1"/>
      <c r="BRI18" s="1"/>
      <c r="BRJ18" s="1"/>
      <c r="BRK18" s="1"/>
      <c r="BRL18" s="1"/>
      <c r="BRM18" s="1"/>
      <c r="BRN18" s="1"/>
      <c r="BRO18" s="1"/>
      <c r="BRP18" s="1"/>
      <c r="BRQ18" s="1"/>
      <c r="BRR18" s="1"/>
      <c r="BRS18" s="1"/>
      <c r="BRT18" s="1"/>
      <c r="BRU18" s="1"/>
      <c r="BRV18" s="1"/>
      <c r="BRW18" s="1"/>
      <c r="BRX18" s="1"/>
      <c r="BRY18" s="1"/>
      <c r="BRZ18" s="1"/>
      <c r="BSA18" s="1"/>
      <c r="BSB18" s="1"/>
      <c r="BSC18" s="1"/>
      <c r="BSD18" s="1"/>
      <c r="BSE18" s="1"/>
      <c r="BSF18" s="1"/>
      <c r="BSG18" s="1"/>
      <c r="BSH18" s="1"/>
      <c r="BSI18" s="1"/>
      <c r="BSJ18" s="1"/>
      <c r="BSK18" s="1"/>
      <c r="BSL18" s="1"/>
      <c r="BSM18" s="1"/>
      <c r="BSN18" s="1"/>
      <c r="BSO18" s="1"/>
      <c r="BSP18" s="1"/>
      <c r="BSQ18" s="1"/>
      <c r="BSR18" s="1"/>
      <c r="BSS18" s="1"/>
      <c r="BST18" s="1"/>
      <c r="BSU18" s="1"/>
      <c r="BSV18" s="1"/>
      <c r="BSW18" s="1"/>
      <c r="BSX18" s="1"/>
      <c r="BSY18" s="1"/>
      <c r="BSZ18" s="1"/>
      <c r="BTA18" s="1"/>
      <c r="BTB18" s="1"/>
      <c r="BTC18" s="1"/>
      <c r="BTD18" s="1"/>
      <c r="BTE18" s="1"/>
      <c r="BTF18" s="1"/>
      <c r="BTG18" s="1"/>
      <c r="BTH18" s="1"/>
      <c r="BTI18" s="1"/>
      <c r="BTJ18" s="1"/>
      <c r="BTK18" s="1"/>
      <c r="BTL18" s="1"/>
      <c r="BTM18" s="1"/>
      <c r="BTN18" s="1"/>
      <c r="BTO18" s="1"/>
      <c r="BTP18" s="1"/>
      <c r="BTQ18" s="1"/>
      <c r="BTR18" s="1"/>
      <c r="BTS18" s="1"/>
      <c r="BTT18" s="1"/>
      <c r="BTU18" s="1"/>
      <c r="BTV18" s="1"/>
      <c r="BTW18" s="1"/>
      <c r="BTX18" s="1"/>
      <c r="BTY18" s="1"/>
      <c r="BTZ18" s="1"/>
      <c r="BUA18" s="1"/>
      <c r="BUB18" s="1"/>
      <c r="BUC18" s="1"/>
      <c r="BUD18" s="1"/>
      <c r="BUE18" s="1"/>
      <c r="BUF18" s="1"/>
      <c r="BUG18" s="1"/>
      <c r="BUH18" s="1"/>
      <c r="BUI18" s="1"/>
      <c r="BUJ18" s="1"/>
      <c r="BUK18" s="1"/>
      <c r="BUL18" s="1"/>
      <c r="BUM18" s="1"/>
      <c r="BUN18" s="1"/>
      <c r="BUO18" s="1"/>
      <c r="BUP18" s="1"/>
      <c r="BUQ18" s="1"/>
      <c r="BUR18" s="1"/>
      <c r="BUS18" s="1"/>
      <c r="BUT18" s="1"/>
      <c r="BUU18" s="1"/>
      <c r="BUV18" s="1"/>
      <c r="BUW18" s="1"/>
      <c r="BUX18" s="1"/>
      <c r="BUY18" s="1"/>
      <c r="BUZ18" s="1"/>
      <c r="BVA18" s="1"/>
      <c r="BVB18" s="1"/>
      <c r="BVC18" s="1"/>
      <c r="BVD18" s="1"/>
      <c r="BVE18" s="1"/>
      <c r="BVF18" s="1"/>
      <c r="BVG18" s="1"/>
      <c r="BVH18" s="1"/>
      <c r="BVI18" s="1"/>
      <c r="BVJ18" s="1"/>
      <c r="BVK18" s="1"/>
      <c r="BVL18" s="1"/>
      <c r="BVM18" s="1"/>
      <c r="BVN18" s="1"/>
      <c r="BVO18" s="1"/>
      <c r="BVP18" s="1"/>
      <c r="BVQ18" s="1"/>
      <c r="BVR18" s="1"/>
      <c r="BVS18" s="1"/>
      <c r="BVT18" s="1"/>
      <c r="BVU18" s="1"/>
      <c r="BVV18" s="1"/>
      <c r="BVW18" s="1"/>
      <c r="BVX18" s="1"/>
      <c r="BVY18" s="1"/>
      <c r="BVZ18" s="1"/>
      <c r="BWA18" s="1"/>
      <c r="BWB18" s="1"/>
      <c r="BWC18" s="1"/>
      <c r="BWD18" s="1"/>
      <c r="BWE18" s="1"/>
      <c r="BWF18" s="1"/>
      <c r="BWG18" s="1"/>
      <c r="BWH18" s="1"/>
      <c r="BWI18" s="1"/>
      <c r="BWJ18" s="1"/>
      <c r="BWK18" s="1"/>
      <c r="BWL18" s="1"/>
      <c r="BWM18" s="1"/>
      <c r="BWN18" s="1"/>
      <c r="BWO18" s="1"/>
      <c r="BWP18" s="1"/>
      <c r="BWQ18" s="1"/>
      <c r="BWR18" s="1"/>
      <c r="BWS18" s="1"/>
      <c r="BWT18" s="1"/>
      <c r="BWU18" s="1"/>
      <c r="BWV18" s="1"/>
      <c r="BWW18" s="1"/>
      <c r="BWX18" s="1"/>
      <c r="BWY18" s="1"/>
      <c r="BWZ18" s="1"/>
      <c r="BXA18" s="1"/>
      <c r="BXB18" s="1"/>
      <c r="BXC18" s="1"/>
      <c r="BXD18" s="1"/>
      <c r="BXE18" s="1"/>
      <c r="BXF18" s="1"/>
      <c r="BXG18" s="1"/>
      <c r="BXH18" s="1"/>
      <c r="BXI18" s="1"/>
      <c r="BXJ18" s="1"/>
      <c r="BXK18" s="1"/>
      <c r="BXL18" s="1"/>
      <c r="BXM18" s="1"/>
      <c r="BXN18" s="1"/>
      <c r="BXO18" s="1"/>
      <c r="BXP18" s="1"/>
      <c r="BXQ18" s="1"/>
      <c r="BXR18" s="1"/>
      <c r="BXS18" s="1"/>
      <c r="BXT18" s="1"/>
      <c r="BXU18" s="1"/>
      <c r="BXV18" s="1"/>
      <c r="BXW18" s="1"/>
      <c r="BXX18" s="1"/>
      <c r="BXY18" s="1"/>
      <c r="BXZ18" s="1"/>
      <c r="BYA18" s="1"/>
      <c r="BYB18" s="1"/>
      <c r="BYC18" s="1"/>
      <c r="BYD18" s="1"/>
      <c r="BYE18" s="1"/>
      <c r="BYF18" s="1"/>
      <c r="BYG18" s="1"/>
      <c r="BYH18" s="1"/>
      <c r="BYI18" s="1"/>
      <c r="BYJ18" s="1"/>
      <c r="BYK18" s="1"/>
      <c r="BYL18" s="1"/>
      <c r="BYM18" s="1"/>
      <c r="BYN18" s="1"/>
      <c r="BYO18" s="1"/>
      <c r="BYP18" s="1"/>
      <c r="BYQ18" s="1"/>
      <c r="BYR18" s="1"/>
      <c r="BYS18" s="1"/>
      <c r="BYT18" s="1"/>
      <c r="BYU18" s="1"/>
      <c r="BYV18" s="1"/>
      <c r="BYW18" s="1"/>
      <c r="BYX18" s="1"/>
      <c r="BYY18" s="1"/>
      <c r="BYZ18" s="1"/>
      <c r="BZA18" s="1"/>
      <c r="BZB18" s="1"/>
      <c r="BZC18" s="1"/>
      <c r="BZD18" s="1"/>
      <c r="BZE18" s="1"/>
      <c r="BZF18" s="1"/>
      <c r="BZG18" s="1"/>
      <c r="BZH18" s="1"/>
      <c r="BZI18" s="1"/>
      <c r="BZJ18" s="1"/>
      <c r="BZK18" s="1"/>
      <c r="BZL18" s="1"/>
      <c r="BZM18" s="1"/>
      <c r="BZN18" s="1"/>
      <c r="BZO18" s="1"/>
      <c r="BZP18" s="1"/>
      <c r="BZQ18" s="1"/>
      <c r="BZR18" s="1"/>
      <c r="BZS18" s="1"/>
      <c r="BZT18" s="1"/>
      <c r="BZU18" s="1"/>
      <c r="BZV18" s="1"/>
      <c r="BZW18" s="1"/>
      <c r="BZX18" s="1"/>
      <c r="BZY18" s="1"/>
      <c r="BZZ18" s="1"/>
      <c r="CAA18" s="1"/>
      <c r="CAB18" s="1"/>
      <c r="CAC18" s="1"/>
      <c r="CAD18" s="1"/>
      <c r="CAE18" s="1"/>
      <c r="CAF18" s="1"/>
      <c r="CAG18" s="1"/>
      <c r="CAH18" s="1"/>
      <c r="CAI18" s="1"/>
      <c r="CAJ18" s="1"/>
      <c r="CAK18" s="1"/>
      <c r="CAL18" s="1"/>
      <c r="CAM18" s="1"/>
      <c r="CAN18" s="1"/>
      <c r="CAO18" s="1"/>
      <c r="CAP18" s="1"/>
      <c r="CAQ18" s="1"/>
      <c r="CAR18" s="1"/>
      <c r="CAS18" s="1"/>
      <c r="CAT18" s="1"/>
      <c r="CAU18" s="1"/>
      <c r="CAV18" s="1"/>
      <c r="CAW18" s="1"/>
      <c r="CAX18" s="1"/>
      <c r="CAY18" s="1"/>
      <c r="CAZ18" s="1"/>
      <c r="CBA18" s="1"/>
      <c r="CBB18" s="1"/>
      <c r="CBC18" s="1"/>
      <c r="CBD18" s="1"/>
      <c r="CBE18" s="1"/>
      <c r="CBF18" s="1"/>
      <c r="CBG18" s="1"/>
      <c r="CBH18" s="1"/>
      <c r="CBI18" s="1"/>
      <c r="CBJ18" s="1"/>
      <c r="CBK18" s="1"/>
      <c r="CBL18" s="1"/>
      <c r="CBM18" s="1"/>
      <c r="CBN18" s="1"/>
      <c r="CBO18" s="1"/>
      <c r="CBP18" s="1"/>
      <c r="CBQ18" s="1"/>
      <c r="CBR18" s="1"/>
      <c r="CBS18" s="1"/>
      <c r="CBT18" s="1"/>
      <c r="CBU18" s="1"/>
      <c r="CBV18" s="1"/>
      <c r="CBW18" s="1"/>
      <c r="CBX18" s="1"/>
      <c r="CBY18" s="1"/>
      <c r="CBZ18" s="1"/>
      <c r="CCA18" s="1"/>
      <c r="CCB18" s="1"/>
      <c r="CCC18" s="1"/>
      <c r="CCD18" s="1"/>
      <c r="CCE18" s="1"/>
      <c r="CCF18" s="1"/>
      <c r="CCG18" s="1"/>
      <c r="CCH18" s="1"/>
      <c r="CCI18" s="1"/>
      <c r="CCJ18" s="1"/>
      <c r="CCK18" s="1"/>
      <c r="CCL18" s="1"/>
      <c r="CCM18" s="1"/>
      <c r="CCN18" s="1"/>
      <c r="CCO18" s="1"/>
      <c r="CCP18" s="1"/>
      <c r="CCQ18" s="1"/>
      <c r="CCR18" s="1"/>
      <c r="CCS18" s="1"/>
      <c r="CCT18" s="1"/>
      <c r="CCU18" s="1"/>
      <c r="CCV18" s="1"/>
      <c r="CCW18" s="1"/>
      <c r="CCX18" s="1"/>
      <c r="CCY18" s="1"/>
      <c r="CCZ18" s="1"/>
      <c r="CDA18" s="1"/>
      <c r="CDB18" s="1"/>
      <c r="CDC18" s="1"/>
      <c r="CDD18" s="1"/>
      <c r="CDE18" s="1"/>
      <c r="CDF18" s="1"/>
      <c r="CDG18" s="1"/>
      <c r="CDH18" s="1"/>
      <c r="CDI18" s="1"/>
      <c r="CDJ18" s="1"/>
      <c r="CDK18" s="1"/>
      <c r="CDL18" s="1"/>
      <c r="CDM18" s="1"/>
      <c r="CDN18" s="1"/>
      <c r="CDO18" s="1"/>
      <c r="CDP18" s="1"/>
      <c r="CDQ18" s="1"/>
      <c r="CDR18" s="1"/>
      <c r="CDS18" s="1"/>
      <c r="CDT18" s="1"/>
      <c r="CDU18" s="1"/>
      <c r="CDV18" s="1"/>
      <c r="CDW18" s="1"/>
      <c r="CDX18" s="1"/>
      <c r="CDY18" s="1"/>
      <c r="CDZ18" s="1"/>
      <c r="CEA18" s="1"/>
      <c r="CEB18" s="1"/>
      <c r="CEC18" s="1"/>
      <c r="CED18" s="1"/>
      <c r="CEE18" s="1"/>
      <c r="CEF18" s="1"/>
      <c r="CEG18" s="1"/>
      <c r="CEH18" s="1"/>
      <c r="CEI18" s="1"/>
      <c r="CEJ18" s="1"/>
      <c r="CEK18" s="1"/>
      <c r="CEL18" s="1"/>
      <c r="CEM18" s="1"/>
      <c r="CEN18" s="1"/>
      <c r="CEO18" s="1"/>
      <c r="CEP18" s="1"/>
      <c r="CEQ18" s="1"/>
      <c r="CER18" s="1"/>
      <c r="CES18" s="1"/>
      <c r="CET18" s="1"/>
      <c r="CEU18" s="1"/>
      <c r="CEV18" s="1"/>
      <c r="CEW18" s="1"/>
      <c r="CEX18" s="1"/>
      <c r="CEY18" s="1"/>
      <c r="CEZ18" s="1"/>
      <c r="CFA18" s="1"/>
      <c r="CFB18" s="1"/>
      <c r="CFC18" s="1"/>
      <c r="CFD18" s="1"/>
      <c r="CFE18" s="1"/>
      <c r="CFF18" s="1"/>
      <c r="CFG18" s="1"/>
      <c r="CFH18" s="1"/>
      <c r="CFI18" s="1"/>
      <c r="CFJ18" s="1"/>
      <c r="CFK18" s="1"/>
      <c r="CFL18" s="1"/>
      <c r="CFM18" s="1"/>
      <c r="CFN18" s="1"/>
      <c r="CFO18" s="1"/>
      <c r="CFP18" s="1"/>
      <c r="CFQ18" s="1"/>
      <c r="CFR18" s="1"/>
      <c r="CFS18" s="1"/>
      <c r="CFT18" s="1"/>
      <c r="CFU18" s="1"/>
      <c r="CFV18" s="1"/>
      <c r="CFW18" s="1"/>
      <c r="CFX18" s="1"/>
      <c r="CFY18" s="1"/>
      <c r="CFZ18" s="1"/>
      <c r="CGA18" s="1"/>
      <c r="CGB18" s="1"/>
      <c r="CGC18" s="1"/>
      <c r="CGD18" s="1"/>
      <c r="CGE18" s="1"/>
      <c r="CGF18" s="1"/>
      <c r="CGG18" s="1"/>
      <c r="CGH18" s="1"/>
      <c r="CGI18" s="1"/>
      <c r="CGJ18" s="1"/>
      <c r="CGK18" s="1"/>
      <c r="CGL18" s="1"/>
      <c r="CGM18" s="1"/>
      <c r="CGN18" s="1"/>
      <c r="CGO18" s="1"/>
      <c r="CGP18" s="1"/>
      <c r="CGQ18" s="1"/>
      <c r="CGR18" s="1"/>
      <c r="CGS18" s="1"/>
      <c r="CGT18" s="1"/>
      <c r="CGU18" s="1"/>
      <c r="CGV18" s="1"/>
      <c r="CGW18" s="1"/>
      <c r="CGX18" s="1"/>
      <c r="CGY18" s="1"/>
      <c r="CGZ18" s="1"/>
      <c r="CHA18" s="1"/>
      <c r="CHB18" s="1"/>
      <c r="CHC18" s="1"/>
      <c r="CHD18" s="1"/>
      <c r="CHE18" s="1"/>
      <c r="CHF18" s="1"/>
      <c r="CHG18" s="1"/>
      <c r="CHH18" s="1"/>
      <c r="CHI18" s="1"/>
      <c r="CHJ18" s="1"/>
      <c r="CHK18" s="1"/>
      <c r="CHL18" s="1"/>
      <c r="CHM18" s="1"/>
      <c r="CHN18" s="1"/>
      <c r="CHO18" s="1"/>
      <c r="CHP18" s="1"/>
      <c r="CHQ18" s="1"/>
      <c r="CHR18" s="1"/>
      <c r="CHS18" s="1"/>
      <c r="CHT18" s="1"/>
      <c r="CHU18" s="1"/>
      <c r="CHV18" s="1"/>
      <c r="CHW18" s="1"/>
      <c r="CHX18" s="1"/>
      <c r="CHY18" s="1"/>
      <c r="CHZ18" s="1"/>
      <c r="CIA18" s="1"/>
      <c r="CIB18" s="1"/>
      <c r="CIC18" s="1"/>
      <c r="CID18" s="1"/>
      <c r="CIE18" s="1"/>
      <c r="CIF18" s="1"/>
      <c r="CIG18" s="1"/>
      <c r="CIH18" s="1"/>
      <c r="CII18" s="1"/>
      <c r="CIJ18" s="1"/>
      <c r="CIK18" s="1"/>
      <c r="CIL18" s="1"/>
      <c r="CIM18" s="1"/>
      <c r="CIN18" s="1"/>
      <c r="CIO18" s="1"/>
      <c r="CIP18" s="1"/>
      <c r="CIQ18" s="1"/>
      <c r="CIR18" s="1"/>
      <c r="CIS18" s="1"/>
      <c r="CIT18" s="1"/>
      <c r="CIU18" s="1"/>
      <c r="CIV18" s="1"/>
      <c r="CIW18" s="1"/>
      <c r="CIX18" s="1"/>
      <c r="CIY18" s="1"/>
      <c r="CIZ18" s="1"/>
      <c r="CJA18" s="1"/>
      <c r="CJB18" s="1"/>
      <c r="CJC18" s="1"/>
      <c r="CJD18" s="1"/>
      <c r="CJE18" s="1"/>
      <c r="CJF18" s="1"/>
      <c r="CJG18" s="1"/>
      <c r="CJH18" s="1"/>
      <c r="CJI18" s="1"/>
      <c r="CJJ18" s="1"/>
      <c r="CJK18" s="1"/>
      <c r="CJL18" s="1"/>
      <c r="CJM18" s="1"/>
      <c r="CJN18" s="1"/>
      <c r="CJO18" s="1"/>
      <c r="CJP18" s="1"/>
      <c r="CJQ18" s="1"/>
      <c r="CJR18" s="1"/>
      <c r="CJS18" s="1"/>
      <c r="CJT18" s="1"/>
      <c r="CJU18" s="1"/>
      <c r="CJV18" s="1"/>
      <c r="CJW18" s="1"/>
      <c r="CJX18" s="1"/>
      <c r="CJY18" s="1"/>
      <c r="CJZ18" s="1"/>
      <c r="CKA18" s="1"/>
      <c r="CKB18" s="1"/>
      <c r="CKC18" s="1"/>
      <c r="CKD18" s="1"/>
      <c r="CKE18" s="1"/>
      <c r="CKF18" s="1"/>
      <c r="CKG18" s="1"/>
      <c r="CKH18" s="1"/>
      <c r="CKI18" s="1"/>
      <c r="CKJ18" s="1"/>
      <c r="CKK18" s="1"/>
      <c r="CKL18" s="1"/>
      <c r="CKM18" s="1"/>
      <c r="CKN18" s="1"/>
      <c r="CKO18" s="1"/>
      <c r="CKP18" s="1"/>
      <c r="CKQ18" s="1"/>
      <c r="CKR18" s="1"/>
      <c r="CKS18" s="1"/>
      <c r="CKT18" s="1"/>
      <c r="CKU18" s="1"/>
      <c r="CKV18" s="1"/>
      <c r="CKW18" s="1"/>
      <c r="CKX18" s="1"/>
      <c r="CKY18" s="1"/>
      <c r="CKZ18" s="1"/>
      <c r="CLA18" s="1"/>
      <c r="CLB18" s="1"/>
      <c r="CLC18" s="1"/>
      <c r="CLD18" s="1"/>
      <c r="CLE18" s="1"/>
      <c r="CLF18" s="1"/>
      <c r="CLG18" s="1"/>
      <c r="CLH18" s="1"/>
      <c r="CLI18" s="1"/>
      <c r="CLJ18" s="1"/>
      <c r="CLK18" s="1"/>
      <c r="CLL18" s="1"/>
      <c r="CLM18" s="1"/>
      <c r="CLN18" s="1"/>
      <c r="CLO18" s="1"/>
      <c r="CLP18" s="1"/>
      <c r="CLQ18" s="1"/>
      <c r="CLR18" s="1"/>
      <c r="CLS18" s="1"/>
      <c r="CLT18" s="1"/>
      <c r="CLU18" s="1"/>
      <c r="CLV18" s="1"/>
      <c r="CLW18" s="1"/>
      <c r="CLX18" s="1"/>
      <c r="CLY18" s="1"/>
      <c r="CLZ18" s="1"/>
      <c r="CMA18" s="1"/>
      <c r="CMB18" s="1"/>
      <c r="CMC18" s="1"/>
      <c r="CMD18" s="1"/>
      <c r="CME18" s="1"/>
      <c r="CMF18" s="1"/>
      <c r="CMG18" s="1"/>
      <c r="CMH18" s="1"/>
      <c r="CMI18" s="1"/>
      <c r="CMJ18" s="1"/>
      <c r="CMK18" s="1"/>
      <c r="CML18" s="1"/>
      <c r="CMM18" s="1"/>
      <c r="CMN18" s="1"/>
      <c r="CMO18" s="1"/>
      <c r="CMP18" s="1"/>
      <c r="CMQ18" s="1"/>
      <c r="CMR18" s="1"/>
      <c r="CMS18" s="1"/>
      <c r="CMT18" s="1"/>
      <c r="CMU18" s="1"/>
      <c r="CMV18" s="1"/>
      <c r="CMW18" s="1"/>
      <c r="CMX18" s="1"/>
      <c r="CMY18" s="1"/>
      <c r="CMZ18" s="1"/>
      <c r="CNA18" s="1"/>
      <c r="CNB18" s="1"/>
      <c r="CNC18" s="1"/>
      <c r="CND18" s="1"/>
      <c r="CNE18" s="1"/>
      <c r="CNF18" s="1"/>
      <c r="CNG18" s="1"/>
      <c r="CNH18" s="1"/>
      <c r="CNI18" s="1"/>
      <c r="CNJ18" s="1"/>
      <c r="CNK18" s="1"/>
      <c r="CNL18" s="1"/>
      <c r="CNM18" s="1"/>
      <c r="CNN18" s="1"/>
      <c r="CNO18" s="1"/>
      <c r="CNP18" s="1"/>
      <c r="CNQ18" s="1"/>
      <c r="CNR18" s="1"/>
      <c r="CNS18" s="1"/>
      <c r="CNT18" s="1"/>
      <c r="CNU18" s="1"/>
      <c r="CNV18" s="1"/>
      <c r="CNW18" s="1"/>
      <c r="CNX18" s="1"/>
      <c r="CNY18" s="1"/>
      <c r="CNZ18" s="1"/>
      <c r="COA18" s="1"/>
      <c r="COB18" s="1"/>
      <c r="COC18" s="1"/>
      <c r="COD18" s="1"/>
      <c r="COE18" s="1"/>
      <c r="COF18" s="1"/>
      <c r="COG18" s="1"/>
      <c r="COH18" s="1"/>
      <c r="COI18" s="1"/>
      <c r="COJ18" s="1"/>
      <c r="COK18" s="1"/>
      <c r="COL18" s="1"/>
      <c r="COM18" s="1"/>
      <c r="CON18" s="1"/>
      <c r="COO18" s="1"/>
      <c r="COP18" s="1"/>
      <c r="COQ18" s="1"/>
      <c r="COR18" s="1"/>
      <c r="COS18" s="1"/>
      <c r="COT18" s="1"/>
      <c r="COU18" s="1"/>
      <c r="COV18" s="1"/>
      <c r="COW18" s="1"/>
      <c r="COX18" s="1"/>
      <c r="COY18" s="1"/>
      <c r="COZ18" s="1"/>
      <c r="CPA18" s="1"/>
      <c r="CPB18" s="1"/>
      <c r="CPC18" s="1"/>
      <c r="CPD18" s="1"/>
      <c r="CPE18" s="1"/>
      <c r="CPF18" s="1"/>
      <c r="CPG18" s="1"/>
      <c r="CPH18" s="1"/>
      <c r="CPI18" s="1"/>
      <c r="CPJ18" s="1"/>
      <c r="CPK18" s="1"/>
      <c r="CPL18" s="1"/>
      <c r="CPM18" s="1"/>
      <c r="CPN18" s="1"/>
      <c r="CPO18" s="1"/>
      <c r="CPP18" s="1"/>
      <c r="CPQ18" s="1"/>
      <c r="CPR18" s="1"/>
      <c r="CPS18" s="1"/>
      <c r="CPT18" s="1"/>
      <c r="CPU18" s="1"/>
      <c r="CPV18" s="1"/>
      <c r="CPW18" s="1"/>
      <c r="CPX18" s="1"/>
      <c r="CPY18" s="1"/>
      <c r="CPZ18" s="1"/>
      <c r="CQA18" s="1"/>
      <c r="CQB18" s="1"/>
      <c r="CQC18" s="1"/>
      <c r="CQD18" s="1"/>
      <c r="CQE18" s="1"/>
      <c r="CQF18" s="1"/>
      <c r="CQG18" s="1"/>
      <c r="CQH18" s="1"/>
      <c r="CQI18" s="1"/>
      <c r="CQJ18" s="1"/>
      <c r="CQK18" s="1"/>
      <c r="CQL18" s="1"/>
      <c r="CQM18" s="1"/>
      <c r="CQN18" s="1"/>
      <c r="CQO18" s="1"/>
      <c r="CQP18" s="1"/>
      <c r="CQQ18" s="1"/>
      <c r="CQR18" s="1"/>
      <c r="CQS18" s="1"/>
      <c r="CQT18" s="1"/>
      <c r="CQU18" s="1"/>
      <c r="CQV18" s="1"/>
      <c r="CQW18" s="1"/>
      <c r="CQX18" s="1"/>
      <c r="CQY18" s="1"/>
      <c r="CQZ18" s="1"/>
      <c r="CRA18" s="1"/>
      <c r="CRB18" s="1"/>
      <c r="CRC18" s="1"/>
      <c r="CRD18" s="1"/>
      <c r="CRE18" s="1"/>
      <c r="CRF18" s="1"/>
      <c r="CRG18" s="1"/>
      <c r="CRH18" s="1"/>
      <c r="CRI18" s="1"/>
      <c r="CRJ18" s="1"/>
      <c r="CRK18" s="1"/>
      <c r="CRL18" s="1"/>
      <c r="CRM18" s="1"/>
      <c r="CRN18" s="1"/>
      <c r="CRO18" s="1"/>
      <c r="CRP18" s="1"/>
      <c r="CRQ18" s="1"/>
      <c r="CRR18" s="1"/>
      <c r="CRS18" s="1"/>
      <c r="CRT18" s="1"/>
      <c r="CRU18" s="1"/>
      <c r="CRV18" s="1"/>
      <c r="CRW18" s="1"/>
      <c r="CRX18" s="1"/>
      <c r="CRY18" s="1"/>
      <c r="CRZ18" s="1"/>
      <c r="CSA18" s="1"/>
      <c r="CSB18" s="1"/>
      <c r="CSC18" s="1"/>
      <c r="CSD18" s="1"/>
      <c r="CSE18" s="1"/>
      <c r="CSF18" s="1"/>
      <c r="CSG18" s="1"/>
      <c r="CSH18" s="1"/>
      <c r="CSI18" s="1"/>
      <c r="CSJ18" s="1"/>
      <c r="CSK18" s="1"/>
      <c r="CSL18" s="1"/>
      <c r="CSM18" s="1"/>
      <c r="CSN18" s="1"/>
      <c r="CSO18" s="1"/>
      <c r="CSP18" s="1"/>
      <c r="CSQ18" s="1"/>
      <c r="CSR18" s="1"/>
      <c r="CSS18" s="1"/>
      <c r="CST18" s="1"/>
      <c r="CSU18" s="1"/>
      <c r="CSV18" s="1"/>
      <c r="CSW18" s="1"/>
      <c r="CSX18" s="1"/>
      <c r="CSY18" s="1"/>
      <c r="CSZ18" s="1"/>
      <c r="CTA18" s="1"/>
      <c r="CTB18" s="1"/>
      <c r="CTC18" s="1"/>
      <c r="CTD18" s="1"/>
      <c r="CTE18" s="1"/>
      <c r="CTF18" s="1"/>
      <c r="CTG18" s="1"/>
      <c r="CTH18" s="1"/>
      <c r="CTI18" s="1"/>
      <c r="CTJ18" s="1"/>
      <c r="CTK18" s="1"/>
      <c r="CTL18" s="1"/>
      <c r="CTM18" s="1"/>
      <c r="CTN18" s="1"/>
      <c r="CTO18" s="1"/>
      <c r="CTP18" s="1"/>
      <c r="CTQ18" s="1"/>
      <c r="CTR18" s="1"/>
      <c r="CTS18" s="1"/>
      <c r="CTT18" s="1"/>
      <c r="CTU18" s="1"/>
      <c r="CTV18" s="1"/>
      <c r="CTW18" s="1"/>
      <c r="CTX18" s="1"/>
      <c r="CTY18" s="1"/>
      <c r="CTZ18" s="1"/>
      <c r="CUA18" s="1"/>
      <c r="CUB18" s="1"/>
      <c r="CUC18" s="1"/>
      <c r="CUD18" s="1"/>
      <c r="CUE18" s="1"/>
      <c r="CUF18" s="1"/>
      <c r="CUG18" s="1"/>
      <c r="CUH18" s="1"/>
      <c r="CUI18" s="1"/>
      <c r="CUJ18" s="1"/>
      <c r="CUK18" s="1"/>
      <c r="CUL18" s="1"/>
      <c r="CUM18" s="1"/>
      <c r="CUN18" s="1"/>
      <c r="CUO18" s="1"/>
      <c r="CUP18" s="1"/>
      <c r="CUQ18" s="1"/>
      <c r="CUR18" s="1"/>
      <c r="CUS18" s="1"/>
      <c r="CUT18" s="1"/>
      <c r="CUU18" s="1"/>
      <c r="CUV18" s="1"/>
      <c r="CUW18" s="1"/>
      <c r="CUX18" s="1"/>
      <c r="CUY18" s="1"/>
      <c r="CUZ18" s="1"/>
      <c r="CVA18" s="1"/>
      <c r="CVB18" s="1"/>
      <c r="CVC18" s="1"/>
      <c r="CVD18" s="1"/>
      <c r="CVE18" s="1"/>
      <c r="CVF18" s="1"/>
      <c r="CVG18" s="1"/>
      <c r="CVH18" s="1"/>
      <c r="CVI18" s="1"/>
      <c r="CVJ18" s="1"/>
      <c r="CVK18" s="1"/>
      <c r="CVL18" s="1"/>
      <c r="CVM18" s="1"/>
      <c r="CVN18" s="1"/>
      <c r="CVO18" s="1"/>
      <c r="CVP18" s="1"/>
      <c r="CVQ18" s="1"/>
      <c r="CVR18" s="1"/>
      <c r="CVS18" s="1"/>
      <c r="CVT18" s="1"/>
      <c r="CVU18" s="1"/>
      <c r="CVV18" s="1"/>
      <c r="CVW18" s="1"/>
      <c r="CVX18" s="1"/>
      <c r="CVY18" s="1"/>
      <c r="CVZ18" s="1"/>
      <c r="CWA18" s="1"/>
      <c r="CWB18" s="1"/>
      <c r="CWC18" s="1"/>
      <c r="CWD18" s="1"/>
      <c r="CWE18" s="1"/>
      <c r="CWF18" s="1"/>
      <c r="CWG18" s="1"/>
      <c r="CWH18" s="1"/>
      <c r="CWI18" s="1"/>
      <c r="CWJ18" s="1"/>
      <c r="CWK18" s="1"/>
      <c r="CWL18" s="1"/>
      <c r="CWM18" s="1"/>
      <c r="CWN18" s="1"/>
      <c r="CWO18" s="1"/>
      <c r="CWP18" s="1"/>
      <c r="CWQ18" s="1"/>
      <c r="CWR18" s="1"/>
      <c r="CWS18" s="1"/>
      <c r="CWT18" s="1"/>
      <c r="CWU18" s="1"/>
      <c r="CWV18" s="1"/>
      <c r="CWW18" s="1"/>
      <c r="CWX18" s="1"/>
      <c r="CWY18" s="1"/>
      <c r="CWZ18" s="1"/>
      <c r="CXA18" s="1"/>
      <c r="CXB18" s="1"/>
      <c r="CXC18" s="1"/>
      <c r="CXD18" s="1"/>
      <c r="CXE18" s="1"/>
      <c r="CXF18" s="1"/>
      <c r="CXG18" s="1"/>
      <c r="CXH18" s="1"/>
      <c r="CXI18" s="1"/>
      <c r="CXJ18" s="1"/>
      <c r="CXK18" s="1"/>
      <c r="CXL18" s="1"/>
      <c r="CXM18" s="1"/>
      <c r="CXN18" s="1"/>
      <c r="CXO18" s="1"/>
      <c r="CXP18" s="1"/>
      <c r="CXQ18" s="1"/>
      <c r="CXR18" s="1"/>
      <c r="CXS18" s="1"/>
      <c r="CXT18" s="1"/>
      <c r="CXU18" s="1"/>
      <c r="CXV18" s="1"/>
      <c r="CXW18" s="1"/>
      <c r="CXX18" s="1"/>
      <c r="CXY18" s="1"/>
      <c r="CXZ18" s="1"/>
      <c r="CYA18" s="1"/>
      <c r="CYB18" s="1"/>
      <c r="CYC18" s="1"/>
      <c r="CYD18" s="1"/>
      <c r="CYE18" s="1"/>
      <c r="CYF18" s="1"/>
      <c r="CYG18" s="1"/>
      <c r="CYH18" s="1"/>
      <c r="CYI18" s="1"/>
      <c r="CYJ18" s="1"/>
      <c r="CYK18" s="1"/>
      <c r="CYL18" s="1"/>
      <c r="CYM18" s="1"/>
      <c r="CYN18" s="1"/>
      <c r="CYO18" s="1"/>
      <c r="CYP18" s="1"/>
      <c r="CYQ18" s="1"/>
      <c r="CYR18" s="1"/>
      <c r="CYS18" s="1"/>
      <c r="CYT18" s="1"/>
      <c r="CYU18" s="1"/>
      <c r="CYV18" s="1"/>
      <c r="CYW18" s="1"/>
      <c r="CYX18" s="1"/>
      <c r="CYY18" s="1"/>
      <c r="CYZ18" s="1"/>
      <c r="CZA18" s="1"/>
      <c r="CZB18" s="1"/>
      <c r="CZC18" s="1"/>
      <c r="CZD18" s="1"/>
      <c r="CZE18" s="1"/>
      <c r="CZF18" s="1"/>
      <c r="CZG18" s="1"/>
      <c r="CZH18" s="1"/>
      <c r="CZI18" s="1"/>
      <c r="CZJ18" s="1"/>
      <c r="CZK18" s="1"/>
      <c r="CZL18" s="1"/>
      <c r="CZM18" s="1"/>
      <c r="CZN18" s="1"/>
      <c r="CZO18" s="1"/>
      <c r="CZP18" s="1"/>
      <c r="CZQ18" s="1"/>
      <c r="CZR18" s="1"/>
      <c r="CZS18" s="1"/>
      <c r="CZT18" s="1"/>
      <c r="CZU18" s="1"/>
      <c r="CZV18" s="1"/>
      <c r="CZW18" s="1"/>
      <c r="CZX18" s="1"/>
      <c r="CZY18" s="1"/>
      <c r="CZZ18" s="1"/>
      <c r="DAA18" s="1"/>
      <c r="DAB18" s="1"/>
      <c r="DAC18" s="1"/>
      <c r="DAD18" s="1"/>
      <c r="DAE18" s="1"/>
      <c r="DAF18" s="1"/>
      <c r="DAG18" s="1"/>
      <c r="DAH18" s="1"/>
      <c r="DAI18" s="1"/>
      <c r="DAJ18" s="1"/>
      <c r="DAK18" s="1"/>
      <c r="DAL18" s="1"/>
      <c r="DAM18" s="1"/>
      <c r="DAN18" s="1"/>
      <c r="DAO18" s="1"/>
      <c r="DAP18" s="1"/>
      <c r="DAQ18" s="1"/>
      <c r="DAR18" s="1"/>
      <c r="DAS18" s="1"/>
      <c r="DAT18" s="1"/>
      <c r="DAU18" s="1"/>
      <c r="DAV18" s="1"/>
      <c r="DAW18" s="1"/>
      <c r="DAX18" s="1"/>
      <c r="DAY18" s="1"/>
      <c r="DAZ18" s="1"/>
      <c r="DBA18" s="1"/>
      <c r="DBB18" s="1"/>
      <c r="DBC18" s="1"/>
      <c r="DBD18" s="1"/>
      <c r="DBE18" s="1"/>
      <c r="DBF18" s="1"/>
      <c r="DBG18" s="1"/>
      <c r="DBH18" s="1"/>
      <c r="DBI18" s="1"/>
      <c r="DBJ18" s="1"/>
      <c r="DBK18" s="1"/>
      <c r="DBL18" s="1"/>
      <c r="DBM18" s="1"/>
      <c r="DBN18" s="1"/>
      <c r="DBO18" s="1"/>
      <c r="DBP18" s="1"/>
      <c r="DBQ18" s="1"/>
      <c r="DBR18" s="1"/>
      <c r="DBS18" s="1"/>
      <c r="DBT18" s="1"/>
      <c r="DBU18" s="1"/>
      <c r="DBV18" s="1"/>
      <c r="DBW18" s="1"/>
      <c r="DBX18" s="1"/>
      <c r="DBY18" s="1"/>
      <c r="DBZ18" s="1"/>
      <c r="DCA18" s="1"/>
      <c r="DCB18" s="1"/>
      <c r="DCC18" s="1"/>
      <c r="DCD18" s="1"/>
      <c r="DCE18" s="1"/>
      <c r="DCF18" s="1"/>
      <c r="DCG18" s="1"/>
      <c r="DCH18" s="1"/>
      <c r="DCI18" s="1"/>
      <c r="DCJ18" s="1"/>
      <c r="DCK18" s="1"/>
      <c r="DCL18" s="1"/>
      <c r="DCM18" s="1"/>
      <c r="DCN18" s="1"/>
      <c r="DCO18" s="1"/>
      <c r="DCP18" s="1"/>
      <c r="DCQ18" s="1"/>
      <c r="DCR18" s="1"/>
      <c r="DCS18" s="1"/>
      <c r="DCT18" s="1"/>
      <c r="DCU18" s="1"/>
      <c r="DCV18" s="1"/>
      <c r="DCW18" s="1"/>
      <c r="DCX18" s="1"/>
      <c r="DCY18" s="1"/>
      <c r="DCZ18" s="1"/>
      <c r="DDA18" s="1"/>
      <c r="DDB18" s="1"/>
      <c r="DDC18" s="1"/>
      <c r="DDD18" s="1"/>
      <c r="DDE18" s="1"/>
      <c r="DDF18" s="1"/>
      <c r="DDG18" s="1"/>
      <c r="DDH18" s="1"/>
      <c r="DDI18" s="1"/>
      <c r="DDJ18" s="1"/>
      <c r="DDK18" s="1"/>
      <c r="DDL18" s="1"/>
      <c r="DDM18" s="1"/>
      <c r="DDN18" s="1"/>
      <c r="DDO18" s="1"/>
      <c r="DDP18" s="1"/>
      <c r="DDQ18" s="1"/>
      <c r="DDR18" s="1"/>
      <c r="DDS18" s="1"/>
      <c r="DDT18" s="1"/>
      <c r="DDU18" s="1"/>
      <c r="DDV18" s="1"/>
      <c r="DDW18" s="1"/>
      <c r="DDX18" s="1"/>
      <c r="DDY18" s="1"/>
      <c r="DDZ18" s="1"/>
      <c r="DEA18" s="1"/>
      <c r="DEB18" s="1"/>
      <c r="DEC18" s="1"/>
      <c r="DED18" s="1"/>
      <c r="DEE18" s="1"/>
      <c r="DEF18" s="1"/>
      <c r="DEG18" s="1"/>
      <c r="DEH18" s="1"/>
      <c r="DEI18" s="1"/>
      <c r="DEJ18" s="1"/>
      <c r="DEK18" s="1"/>
      <c r="DEL18" s="1"/>
      <c r="DEM18" s="1"/>
      <c r="DEN18" s="1"/>
      <c r="DEO18" s="1"/>
      <c r="DEP18" s="1"/>
      <c r="DEQ18" s="1"/>
      <c r="DER18" s="1"/>
      <c r="DES18" s="1"/>
      <c r="DET18" s="1"/>
      <c r="DEU18" s="1"/>
      <c r="DEV18" s="1"/>
      <c r="DEW18" s="1"/>
      <c r="DEX18" s="1"/>
      <c r="DEY18" s="1"/>
      <c r="DEZ18" s="1"/>
      <c r="DFA18" s="1"/>
      <c r="DFB18" s="1"/>
      <c r="DFC18" s="1"/>
      <c r="DFD18" s="1"/>
      <c r="DFE18" s="1"/>
      <c r="DFF18" s="1"/>
      <c r="DFG18" s="1"/>
      <c r="DFH18" s="1"/>
      <c r="DFI18" s="1"/>
      <c r="DFJ18" s="1"/>
      <c r="DFK18" s="1"/>
      <c r="DFL18" s="1"/>
      <c r="DFM18" s="1"/>
      <c r="DFN18" s="1"/>
      <c r="DFO18" s="1"/>
      <c r="DFP18" s="1"/>
      <c r="DFQ18" s="1"/>
      <c r="DFR18" s="1"/>
      <c r="DFS18" s="1"/>
      <c r="DFT18" s="1"/>
      <c r="DFU18" s="1"/>
      <c r="DFV18" s="1"/>
      <c r="DFW18" s="1"/>
      <c r="DFX18" s="1"/>
      <c r="DFY18" s="1"/>
      <c r="DFZ18" s="1"/>
      <c r="DGA18" s="1"/>
      <c r="DGB18" s="1"/>
      <c r="DGC18" s="1"/>
      <c r="DGD18" s="1"/>
      <c r="DGE18" s="1"/>
      <c r="DGF18" s="1"/>
      <c r="DGG18" s="1"/>
      <c r="DGH18" s="1"/>
      <c r="DGI18" s="1"/>
      <c r="DGJ18" s="1"/>
      <c r="DGK18" s="1"/>
      <c r="DGL18" s="1"/>
      <c r="DGM18" s="1"/>
      <c r="DGN18" s="1"/>
      <c r="DGO18" s="1"/>
      <c r="DGP18" s="1"/>
      <c r="DGQ18" s="1"/>
      <c r="DGR18" s="1"/>
      <c r="DGS18" s="1"/>
      <c r="DGT18" s="1"/>
      <c r="DGU18" s="1"/>
      <c r="DGV18" s="1"/>
      <c r="DGW18" s="1"/>
      <c r="DGX18" s="1"/>
      <c r="DGY18" s="1"/>
      <c r="DGZ18" s="1"/>
      <c r="DHA18" s="1"/>
      <c r="DHB18" s="1"/>
      <c r="DHC18" s="1"/>
      <c r="DHD18" s="1"/>
      <c r="DHE18" s="1"/>
      <c r="DHF18" s="1"/>
      <c r="DHG18" s="1"/>
      <c r="DHH18" s="1"/>
      <c r="DHI18" s="1"/>
      <c r="DHJ18" s="1"/>
      <c r="DHK18" s="1"/>
      <c r="DHL18" s="1"/>
      <c r="DHM18" s="1"/>
      <c r="DHN18" s="1"/>
      <c r="DHO18" s="1"/>
      <c r="DHP18" s="1"/>
      <c r="DHQ18" s="1"/>
      <c r="DHR18" s="1"/>
      <c r="DHS18" s="1"/>
      <c r="DHT18" s="1"/>
      <c r="DHU18" s="1"/>
      <c r="DHV18" s="1"/>
      <c r="DHW18" s="1"/>
      <c r="DHX18" s="1"/>
      <c r="DHY18" s="1"/>
      <c r="DHZ18" s="1"/>
      <c r="DIA18" s="1"/>
      <c r="DIB18" s="1"/>
      <c r="DIC18" s="1"/>
      <c r="DID18" s="1"/>
      <c r="DIE18" s="1"/>
      <c r="DIF18" s="1"/>
      <c r="DIG18" s="1"/>
      <c r="DIH18" s="1"/>
      <c r="DII18" s="1"/>
      <c r="DIJ18" s="1"/>
      <c r="DIK18" s="1"/>
      <c r="DIL18" s="1"/>
      <c r="DIM18" s="1"/>
      <c r="DIN18" s="1"/>
      <c r="DIO18" s="1"/>
      <c r="DIP18" s="1"/>
      <c r="DIQ18" s="1"/>
      <c r="DIR18" s="1"/>
      <c r="DIS18" s="1"/>
      <c r="DIT18" s="1"/>
      <c r="DIU18" s="1"/>
      <c r="DIV18" s="1"/>
      <c r="DIW18" s="1"/>
      <c r="DIX18" s="1"/>
      <c r="DIY18" s="1"/>
      <c r="DIZ18" s="1"/>
      <c r="DJA18" s="1"/>
      <c r="DJB18" s="1"/>
      <c r="DJC18" s="1"/>
      <c r="DJD18" s="1"/>
      <c r="DJE18" s="1"/>
      <c r="DJF18" s="1"/>
      <c r="DJG18" s="1"/>
      <c r="DJH18" s="1"/>
      <c r="DJI18" s="1"/>
      <c r="DJJ18" s="1"/>
      <c r="DJK18" s="1"/>
      <c r="DJL18" s="1"/>
      <c r="DJM18" s="1"/>
      <c r="DJN18" s="1"/>
      <c r="DJO18" s="1"/>
      <c r="DJP18" s="1"/>
      <c r="DJQ18" s="1"/>
      <c r="DJR18" s="1"/>
      <c r="DJS18" s="1"/>
      <c r="DJT18" s="1"/>
      <c r="DJU18" s="1"/>
      <c r="DJV18" s="1"/>
      <c r="DJW18" s="1"/>
      <c r="DJX18" s="1"/>
      <c r="DJY18" s="1"/>
      <c r="DJZ18" s="1"/>
      <c r="DKA18" s="1"/>
      <c r="DKB18" s="1"/>
      <c r="DKC18" s="1"/>
      <c r="DKD18" s="1"/>
      <c r="DKE18" s="1"/>
      <c r="DKF18" s="1"/>
      <c r="DKG18" s="1"/>
      <c r="DKH18" s="1"/>
      <c r="DKI18" s="1"/>
      <c r="DKJ18" s="1"/>
      <c r="DKK18" s="1"/>
      <c r="DKL18" s="1"/>
      <c r="DKM18" s="1"/>
      <c r="DKN18" s="1"/>
      <c r="DKO18" s="1"/>
      <c r="DKP18" s="1"/>
      <c r="DKQ18" s="1"/>
      <c r="DKR18" s="1"/>
      <c r="DKS18" s="1"/>
      <c r="DKT18" s="1"/>
      <c r="DKU18" s="1"/>
      <c r="DKV18" s="1"/>
      <c r="DKW18" s="1"/>
      <c r="DKX18" s="1"/>
      <c r="DKY18" s="1"/>
      <c r="DKZ18" s="1"/>
      <c r="DLA18" s="1"/>
      <c r="DLB18" s="1"/>
      <c r="DLC18" s="1"/>
      <c r="DLD18" s="1"/>
      <c r="DLE18" s="1"/>
      <c r="DLF18" s="1"/>
      <c r="DLG18" s="1"/>
      <c r="DLH18" s="1"/>
      <c r="DLI18" s="1"/>
      <c r="DLJ18" s="1"/>
      <c r="DLK18" s="1"/>
      <c r="DLL18" s="1"/>
      <c r="DLM18" s="1"/>
      <c r="DLN18" s="1"/>
      <c r="DLO18" s="1"/>
      <c r="DLP18" s="1"/>
      <c r="DLQ18" s="1"/>
      <c r="DLR18" s="1"/>
      <c r="DLS18" s="1"/>
      <c r="DLT18" s="1"/>
      <c r="DLU18" s="1"/>
      <c r="DLV18" s="1"/>
      <c r="DLW18" s="1"/>
      <c r="DLX18" s="1"/>
      <c r="DLY18" s="1"/>
      <c r="DLZ18" s="1"/>
      <c r="DMA18" s="1"/>
      <c r="DMB18" s="1"/>
      <c r="DMC18" s="1"/>
      <c r="DMD18" s="1"/>
      <c r="DME18" s="1"/>
      <c r="DMF18" s="1"/>
      <c r="DMG18" s="1"/>
      <c r="DMH18" s="1"/>
      <c r="DMI18" s="1"/>
      <c r="DMJ18" s="1"/>
      <c r="DMK18" s="1"/>
      <c r="DML18" s="1"/>
      <c r="DMM18" s="1"/>
      <c r="DMN18" s="1"/>
      <c r="DMO18" s="1"/>
      <c r="DMP18" s="1"/>
      <c r="DMQ18" s="1"/>
      <c r="DMR18" s="1"/>
      <c r="DMS18" s="1"/>
      <c r="DMT18" s="1"/>
      <c r="DMU18" s="1"/>
      <c r="DMV18" s="1"/>
      <c r="DMW18" s="1"/>
      <c r="DMX18" s="1"/>
      <c r="DMY18" s="1"/>
      <c r="DMZ18" s="1"/>
      <c r="DNA18" s="1"/>
      <c r="DNB18" s="1"/>
      <c r="DNC18" s="1"/>
      <c r="DND18" s="1"/>
      <c r="DNE18" s="1"/>
      <c r="DNF18" s="1"/>
      <c r="DNG18" s="1"/>
      <c r="DNH18" s="1"/>
      <c r="DNI18" s="1"/>
      <c r="DNJ18" s="1"/>
      <c r="DNK18" s="1"/>
      <c r="DNL18" s="1"/>
      <c r="DNM18" s="1"/>
      <c r="DNN18" s="1"/>
      <c r="DNO18" s="1"/>
      <c r="DNP18" s="1"/>
      <c r="DNQ18" s="1"/>
      <c r="DNR18" s="1"/>
      <c r="DNS18" s="1"/>
      <c r="DNT18" s="1"/>
      <c r="DNU18" s="1"/>
      <c r="DNV18" s="1"/>
      <c r="DNW18" s="1"/>
      <c r="DNX18" s="1"/>
      <c r="DNY18" s="1"/>
      <c r="DNZ18" s="1"/>
      <c r="DOA18" s="1"/>
      <c r="DOB18" s="1"/>
      <c r="DOC18" s="1"/>
      <c r="DOD18" s="1"/>
      <c r="DOE18" s="1"/>
      <c r="DOF18" s="1"/>
      <c r="DOG18" s="1"/>
      <c r="DOH18" s="1"/>
      <c r="DOI18" s="1"/>
      <c r="DOJ18" s="1"/>
      <c r="DOK18" s="1"/>
      <c r="DOL18" s="1"/>
      <c r="DOM18" s="1"/>
      <c r="DON18" s="1"/>
      <c r="DOO18" s="1"/>
      <c r="DOP18" s="1"/>
      <c r="DOQ18" s="1"/>
      <c r="DOR18" s="1"/>
      <c r="DOS18" s="1"/>
      <c r="DOT18" s="1"/>
      <c r="DOU18" s="1"/>
      <c r="DOV18" s="1"/>
      <c r="DOW18" s="1"/>
      <c r="DOX18" s="1"/>
      <c r="DOY18" s="1"/>
      <c r="DOZ18" s="1"/>
      <c r="DPA18" s="1"/>
      <c r="DPB18" s="1"/>
      <c r="DPC18" s="1"/>
      <c r="DPD18" s="1"/>
      <c r="DPE18" s="1"/>
      <c r="DPF18" s="1"/>
      <c r="DPG18" s="1"/>
      <c r="DPH18" s="1"/>
      <c r="DPI18" s="1"/>
      <c r="DPJ18" s="1"/>
      <c r="DPK18" s="1"/>
      <c r="DPL18" s="1"/>
      <c r="DPM18" s="1"/>
      <c r="DPN18" s="1"/>
      <c r="DPO18" s="1"/>
      <c r="DPP18" s="1"/>
      <c r="DPQ18" s="1"/>
      <c r="DPR18" s="1"/>
      <c r="DPS18" s="1"/>
      <c r="DPT18" s="1"/>
      <c r="DPU18" s="1"/>
      <c r="DPV18" s="1"/>
      <c r="DPW18" s="1"/>
      <c r="DPX18" s="1"/>
      <c r="DPY18" s="1"/>
      <c r="DPZ18" s="1"/>
      <c r="DQA18" s="1"/>
      <c r="DQB18" s="1"/>
      <c r="DQC18" s="1"/>
      <c r="DQD18" s="1"/>
      <c r="DQE18" s="1"/>
      <c r="DQF18" s="1"/>
      <c r="DQG18" s="1"/>
      <c r="DQH18" s="1"/>
      <c r="DQI18" s="1"/>
      <c r="DQJ18" s="1"/>
      <c r="DQK18" s="1"/>
      <c r="DQL18" s="1"/>
      <c r="DQM18" s="1"/>
      <c r="DQN18" s="1"/>
      <c r="DQO18" s="1"/>
      <c r="DQP18" s="1"/>
      <c r="DQQ18" s="1"/>
      <c r="DQR18" s="1"/>
      <c r="DQS18" s="1"/>
      <c r="DQT18" s="1"/>
      <c r="DQU18" s="1"/>
      <c r="DQV18" s="1"/>
      <c r="DQW18" s="1"/>
      <c r="DQX18" s="1"/>
      <c r="DQY18" s="1"/>
      <c r="DQZ18" s="1"/>
      <c r="DRA18" s="1"/>
      <c r="DRB18" s="1"/>
      <c r="DRC18" s="1"/>
      <c r="DRD18" s="1"/>
      <c r="DRE18" s="1"/>
      <c r="DRF18" s="1"/>
      <c r="DRG18" s="1"/>
      <c r="DRH18" s="1"/>
      <c r="DRI18" s="1"/>
      <c r="DRJ18" s="1"/>
      <c r="DRK18" s="1"/>
      <c r="DRL18" s="1"/>
      <c r="DRM18" s="1"/>
      <c r="DRN18" s="1"/>
      <c r="DRO18" s="1"/>
      <c r="DRP18" s="1"/>
      <c r="DRQ18" s="1"/>
      <c r="DRR18" s="1"/>
      <c r="DRS18" s="1"/>
      <c r="DRT18" s="1"/>
      <c r="DRU18" s="1"/>
      <c r="DRV18" s="1"/>
      <c r="DRW18" s="1"/>
      <c r="DRX18" s="1"/>
      <c r="DRY18" s="1"/>
      <c r="DRZ18" s="1"/>
      <c r="DSA18" s="1"/>
      <c r="DSB18" s="1"/>
      <c r="DSC18" s="1"/>
      <c r="DSD18" s="1"/>
      <c r="DSE18" s="1"/>
      <c r="DSF18" s="1"/>
      <c r="DSG18" s="1"/>
      <c r="DSH18" s="1"/>
      <c r="DSI18" s="1"/>
      <c r="DSJ18" s="1"/>
      <c r="DSK18" s="1"/>
      <c r="DSL18" s="1"/>
      <c r="DSM18" s="1"/>
      <c r="DSN18" s="1"/>
      <c r="DSO18" s="1"/>
      <c r="DSP18" s="1"/>
      <c r="DSQ18" s="1"/>
      <c r="DSR18" s="1"/>
      <c r="DSS18" s="1"/>
      <c r="DST18" s="1"/>
      <c r="DSU18" s="1"/>
      <c r="DSV18" s="1"/>
      <c r="DSW18" s="1"/>
      <c r="DSX18" s="1"/>
      <c r="DSY18" s="1"/>
      <c r="DSZ18" s="1"/>
      <c r="DTA18" s="1"/>
      <c r="DTB18" s="1"/>
      <c r="DTC18" s="1"/>
      <c r="DTD18" s="1"/>
      <c r="DTE18" s="1"/>
      <c r="DTF18" s="1"/>
      <c r="DTG18" s="1"/>
      <c r="DTH18" s="1"/>
      <c r="DTI18" s="1"/>
      <c r="DTJ18" s="1"/>
      <c r="DTK18" s="1"/>
      <c r="DTL18" s="1"/>
      <c r="DTM18" s="1"/>
      <c r="DTN18" s="1"/>
      <c r="DTO18" s="1"/>
      <c r="DTP18" s="1"/>
      <c r="DTQ18" s="1"/>
      <c r="DTR18" s="1"/>
      <c r="DTS18" s="1"/>
      <c r="DTT18" s="1"/>
      <c r="DTU18" s="1"/>
      <c r="DTV18" s="1"/>
      <c r="DTW18" s="1"/>
      <c r="DTX18" s="1"/>
      <c r="DTY18" s="1"/>
      <c r="DTZ18" s="1"/>
      <c r="DUA18" s="1"/>
      <c r="DUB18" s="1"/>
      <c r="DUC18" s="1"/>
      <c r="DUD18" s="1"/>
      <c r="DUE18" s="1"/>
      <c r="DUF18" s="1"/>
      <c r="DUG18" s="1"/>
      <c r="DUH18" s="1"/>
      <c r="DUI18" s="1"/>
      <c r="DUJ18" s="1"/>
      <c r="DUK18" s="1"/>
      <c r="DUL18" s="1"/>
      <c r="DUM18" s="1"/>
      <c r="DUN18" s="1"/>
      <c r="DUO18" s="1"/>
      <c r="DUP18" s="1"/>
      <c r="DUQ18" s="1"/>
      <c r="DUR18" s="1"/>
      <c r="DUS18" s="1"/>
      <c r="DUT18" s="1"/>
      <c r="DUU18" s="1"/>
      <c r="DUV18" s="1"/>
      <c r="DUW18" s="1"/>
      <c r="DUX18" s="1"/>
      <c r="DUY18" s="1"/>
      <c r="DUZ18" s="1"/>
      <c r="DVA18" s="1"/>
      <c r="DVB18" s="1"/>
      <c r="DVC18" s="1"/>
      <c r="DVD18" s="1"/>
      <c r="DVE18" s="1"/>
      <c r="DVF18" s="1"/>
      <c r="DVG18" s="1"/>
      <c r="DVH18" s="1"/>
      <c r="DVI18" s="1"/>
      <c r="DVJ18" s="1"/>
      <c r="DVK18" s="1"/>
      <c r="DVL18" s="1"/>
      <c r="DVM18" s="1"/>
      <c r="DVN18" s="1"/>
      <c r="DVO18" s="1"/>
      <c r="DVP18" s="1"/>
      <c r="DVQ18" s="1"/>
      <c r="DVR18" s="1"/>
      <c r="DVS18" s="1"/>
      <c r="DVT18" s="1"/>
      <c r="DVU18" s="1"/>
      <c r="DVV18" s="1"/>
      <c r="DVW18" s="1"/>
      <c r="DVX18" s="1"/>
      <c r="DVY18" s="1"/>
      <c r="DVZ18" s="1"/>
      <c r="DWA18" s="1"/>
      <c r="DWB18" s="1"/>
      <c r="DWC18" s="1"/>
      <c r="DWD18" s="1"/>
      <c r="DWE18" s="1"/>
      <c r="DWF18" s="1"/>
      <c r="DWG18" s="1"/>
      <c r="DWH18" s="1"/>
      <c r="DWI18" s="1"/>
      <c r="DWJ18" s="1"/>
      <c r="DWK18" s="1"/>
      <c r="DWL18" s="1"/>
      <c r="DWM18" s="1"/>
      <c r="DWN18" s="1"/>
      <c r="DWO18" s="1"/>
      <c r="DWP18" s="1"/>
      <c r="DWQ18" s="1"/>
      <c r="DWR18" s="1"/>
      <c r="DWS18" s="1"/>
      <c r="DWT18" s="1"/>
      <c r="DWU18" s="1"/>
      <c r="DWV18" s="1"/>
      <c r="DWW18" s="1"/>
      <c r="DWX18" s="1"/>
      <c r="DWY18" s="1"/>
      <c r="DWZ18" s="1"/>
      <c r="DXA18" s="1"/>
      <c r="DXB18" s="1"/>
      <c r="DXC18" s="1"/>
      <c r="DXD18" s="1"/>
      <c r="DXE18" s="1"/>
      <c r="DXF18" s="1"/>
      <c r="DXG18" s="1"/>
      <c r="DXH18" s="1"/>
      <c r="DXI18" s="1"/>
      <c r="DXJ18" s="1"/>
      <c r="DXK18" s="1"/>
      <c r="DXL18" s="1"/>
      <c r="DXM18" s="1"/>
      <c r="DXN18" s="1"/>
      <c r="DXO18" s="1"/>
      <c r="DXP18" s="1"/>
      <c r="DXQ18" s="1"/>
      <c r="DXR18" s="1"/>
      <c r="DXS18" s="1"/>
      <c r="DXT18" s="1"/>
      <c r="DXU18" s="1"/>
      <c r="DXV18" s="1"/>
      <c r="DXW18" s="1"/>
      <c r="DXX18" s="1"/>
      <c r="DXY18" s="1"/>
      <c r="DXZ18" s="1"/>
      <c r="DYA18" s="1"/>
      <c r="DYB18" s="1"/>
      <c r="DYC18" s="1"/>
      <c r="DYD18" s="1"/>
      <c r="DYE18" s="1"/>
      <c r="DYF18" s="1"/>
      <c r="DYG18" s="1"/>
      <c r="DYH18" s="1"/>
      <c r="DYI18" s="1"/>
      <c r="DYJ18" s="1"/>
      <c r="DYK18" s="1"/>
      <c r="DYL18" s="1"/>
      <c r="DYM18" s="1"/>
      <c r="DYN18" s="1"/>
      <c r="DYO18" s="1"/>
      <c r="DYP18" s="1"/>
      <c r="DYQ18" s="1"/>
      <c r="DYR18" s="1"/>
      <c r="DYS18" s="1"/>
      <c r="DYT18" s="1"/>
      <c r="DYU18" s="1"/>
      <c r="DYV18" s="1"/>
      <c r="DYW18" s="1"/>
      <c r="DYX18" s="1"/>
      <c r="DYY18" s="1"/>
      <c r="DYZ18" s="1"/>
      <c r="DZA18" s="1"/>
      <c r="DZB18" s="1"/>
      <c r="DZC18" s="1"/>
      <c r="DZD18" s="1"/>
      <c r="DZE18" s="1"/>
      <c r="DZF18" s="1"/>
      <c r="DZG18" s="1"/>
      <c r="DZH18" s="1"/>
      <c r="DZI18" s="1"/>
      <c r="DZJ18" s="1"/>
      <c r="DZK18" s="1"/>
      <c r="DZL18" s="1"/>
      <c r="DZM18" s="1"/>
      <c r="DZN18" s="1"/>
      <c r="DZO18" s="1"/>
      <c r="DZP18" s="1"/>
      <c r="DZQ18" s="1"/>
      <c r="DZR18" s="1"/>
      <c r="DZS18" s="1"/>
      <c r="DZT18" s="1"/>
      <c r="DZU18" s="1"/>
      <c r="DZV18" s="1"/>
      <c r="DZW18" s="1"/>
      <c r="DZX18" s="1"/>
      <c r="DZY18" s="1"/>
      <c r="DZZ18" s="1"/>
      <c r="EAA18" s="1"/>
      <c r="EAB18" s="1"/>
      <c r="EAC18" s="1"/>
      <c r="EAD18" s="1"/>
      <c r="EAE18" s="1"/>
      <c r="EAF18" s="1"/>
      <c r="EAG18" s="1"/>
      <c r="EAH18" s="1"/>
      <c r="EAI18" s="1"/>
      <c r="EAJ18" s="1"/>
      <c r="EAK18" s="1"/>
      <c r="EAL18" s="1"/>
      <c r="EAM18" s="1"/>
      <c r="EAN18" s="1"/>
      <c r="EAO18" s="1"/>
      <c r="EAP18" s="1"/>
      <c r="EAQ18" s="1"/>
      <c r="EAR18" s="1"/>
      <c r="EAS18" s="1"/>
      <c r="EAT18" s="1"/>
      <c r="EAU18" s="1"/>
      <c r="EAV18" s="1"/>
      <c r="EAW18" s="1"/>
      <c r="EAX18" s="1"/>
      <c r="EAY18" s="1"/>
      <c r="EAZ18" s="1"/>
      <c r="EBA18" s="1"/>
      <c r="EBB18" s="1"/>
      <c r="EBC18" s="1"/>
      <c r="EBD18" s="1"/>
      <c r="EBE18" s="1"/>
      <c r="EBF18" s="1"/>
      <c r="EBG18" s="1"/>
      <c r="EBH18" s="1"/>
      <c r="EBI18" s="1"/>
      <c r="EBJ18" s="1"/>
      <c r="EBK18" s="1"/>
      <c r="EBL18" s="1"/>
      <c r="EBM18" s="1"/>
      <c r="EBN18" s="1"/>
      <c r="EBO18" s="1"/>
      <c r="EBP18" s="1"/>
      <c r="EBQ18" s="1"/>
      <c r="EBR18" s="1"/>
      <c r="EBS18" s="1"/>
      <c r="EBT18" s="1"/>
      <c r="EBU18" s="1"/>
      <c r="EBV18" s="1"/>
      <c r="EBW18" s="1"/>
      <c r="EBX18" s="1"/>
      <c r="EBY18" s="1"/>
      <c r="EBZ18" s="1"/>
      <c r="ECA18" s="1"/>
      <c r="ECB18" s="1"/>
      <c r="ECC18" s="1"/>
      <c r="ECD18" s="1"/>
      <c r="ECE18" s="1"/>
      <c r="ECF18" s="1"/>
      <c r="ECG18" s="1"/>
      <c r="ECH18" s="1"/>
      <c r="ECI18" s="1"/>
      <c r="ECJ18" s="1"/>
      <c r="ECK18" s="1"/>
      <c r="ECL18" s="1"/>
      <c r="ECM18" s="1"/>
      <c r="ECN18" s="1"/>
      <c r="ECO18" s="1"/>
      <c r="ECP18" s="1"/>
      <c r="ECQ18" s="1"/>
      <c r="ECR18" s="1"/>
      <c r="ECS18" s="1"/>
      <c r="ECT18" s="1"/>
      <c r="ECU18" s="1"/>
      <c r="ECV18" s="1"/>
      <c r="ECW18" s="1"/>
      <c r="ECX18" s="1"/>
      <c r="ECY18" s="1"/>
      <c r="ECZ18" s="1"/>
      <c r="EDA18" s="1"/>
      <c r="EDB18" s="1"/>
      <c r="EDC18" s="1"/>
      <c r="EDD18" s="1"/>
      <c r="EDE18" s="1"/>
      <c r="EDF18" s="1"/>
      <c r="EDG18" s="1"/>
      <c r="EDH18" s="1"/>
      <c r="EDI18" s="1"/>
      <c r="EDJ18" s="1"/>
      <c r="EDK18" s="1"/>
      <c r="EDL18" s="1"/>
      <c r="EDM18" s="1"/>
      <c r="EDN18" s="1"/>
      <c r="EDO18" s="1"/>
      <c r="EDP18" s="1"/>
      <c r="EDQ18" s="1"/>
      <c r="EDR18" s="1"/>
      <c r="EDS18" s="1"/>
      <c r="EDT18" s="1"/>
      <c r="EDU18" s="1"/>
      <c r="EDV18" s="1"/>
      <c r="EDW18" s="1"/>
      <c r="EDX18" s="1"/>
      <c r="EDY18" s="1"/>
      <c r="EDZ18" s="1"/>
      <c r="EEA18" s="1"/>
      <c r="EEB18" s="1"/>
      <c r="EEC18" s="1"/>
      <c r="EED18" s="1"/>
      <c r="EEE18" s="1"/>
      <c r="EEF18" s="1"/>
      <c r="EEG18" s="1"/>
      <c r="EEH18" s="1"/>
      <c r="EEI18" s="1"/>
      <c r="EEJ18" s="1"/>
      <c r="EEK18" s="1"/>
      <c r="EEL18" s="1"/>
      <c r="EEM18" s="1"/>
      <c r="EEN18" s="1"/>
      <c r="EEO18" s="1"/>
      <c r="EEP18" s="1"/>
      <c r="EEQ18" s="1"/>
      <c r="EER18" s="1"/>
      <c r="EES18" s="1"/>
      <c r="EET18" s="1"/>
      <c r="EEU18" s="1"/>
      <c r="EEV18" s="1"/>
      <c r="EEW18" s="1"/>
      <c r="EEX18" s="1"/>
      <c r="EEY18" s="1"/>
      <c r="EEZ18" s="1"/>
      <c r="EFA18" s="1"/>
      <c r="EFB18" s="1"/>
      <c r="EFC18" s="1"/>
      <c r="EFD18" s="1"/>
      <c r="EFE18" s="1"/>
      <c r="EFF18" s="1"/>
      <c r="EFG18" s="1"/>
      <c r="EFH18" s="1"/>
      <c r="EFI18" s="1"/>
      <c r="EFJ18" s="1"/>
      <c r="EFK18" s="1"/>
      <c r="EFL18" s="1"/>
      <c r="EFM18" s="1"/>
      <c r="EFN18" s="1"/>
      <c r="EFO18" s="1"/>
      <c r="EFP18" s="1"/>
      <c r="EFQ18" s="1"/>
      <c r="EFR18" s="1"/>
      <c r="EFS18" s="1"/>
      <c r="EFT18" s="1"/>
      <c r="EFU18" s="1"/>
      <c r="EFV18" s="1"/>
      <c r="EFW18" s="1"/>
      <c r="EFX18" s="1"/>
      <c r="EFY18" s="1"/>
      <c r="EFZ18" s="1"/>
      <c r="EGA18" s="1"/>
      <c r="EGB18" s="1"/>
      <c r="EGC18" s="1"/>
      <c r="EGD18" s="1"/>
      <c r="EGE18" s="1"/>
      <c r="EGF18" s="1"/>
      <c r="EGG18" s="1"/>
      <c r="EGH18" s="1"/>
      <c r="EGI18" s="1"/>
      <c r="EGJ18" s="1"/>
      <c r="EGK18" s="1"/>
      <c r="EGL18" s="1"/>
      <c r="EGM18" s="1"/>
      <c r="EGN18" s="1"/>
      <c r="EGO18" s="1"/>
      <c r="EGP18" s="1"/>
      <c r="EGQ18" s="1"/>
      <c r="EGR18" s="1"/>
      <c r="EGS18" s="1"/>
      <c r="EGT18" s="1"/>
      <c r="EGU18" s="1"/>
      <c r="EGV18" s="1"/>
      <c r="EGW18" s="1"/>
      <c r="EGX18" s="1"/>
      <c r="EGY18" s="1"/>
      <c r="EGZ18" s="1"/>
      <c r="EHA18" s="1"/>
      <c r="EHB18" s="1"/>
      <c r="EHC18" s="1"/>
      <c r="EHD18" s="1"/>
      <c r="EHE18" s="1"/>
      <c r="EHF18" s="1"/>
      <c r="EHG18" s="1"/>
      <c r="EHH18" s="1"/>
      <c r="EHI18" s="1"/>
      <c r="EHJ18" s="1"/>
      <c r="EHK18" s="1"/>
      <c r="EHL18" s="1"/>
      <c r="EHM18" s="1"/>
      <c r="EHN18" s="1"/>
      <c r="EHO18" s="1"/>
      <c r="EHP18" s="1"/>
      <c r="EHQ18" s="1"/>
      <c r="EHR18" s="1"/>
      <c r="EHS18" s="1"/>
      <c r="EHT18" s="1"/>
      <c r="EHU18" s="1"/>
      <c r="EHV18" s="1"/>
      <c r="EHW18" s="1"/>
      <c r="EHX18" s="1"/>
      <c r="EHY18" s="1"/>
      <c r="EHZ18" s="1"/>
      <c r="EIA18" s="1"/>
      <c r="EIB18" s="1"/>
      <c r="EIC18" s="1"/>
      <c r="EID18" s="1"/>
      <c r="EIE18" s="1"/>
      <c r="EIF18" s="1"/>
      <c r="EIG18" s="1"/>
      <c r="EIH18" s="1"/>
      <c r="EII18" s="1"/>
      <c r="EIJ18" s="1"/>
      <c r="EIK18" s="1"/>
      <c r="EIL18" s="1"/>
      <c r="EIM18" s="1"/>
      <c r="EIN18" s="1"/>
      <c r="EIO18" s="1"/>
      <c r="EIP18" s="1"/>
      <c r="EIQ18" s="1"/>
      <c r="EIR18" s="1"/>
      <c r="EIS18" s="1"/>
      <c r="EIT18" s="1"/>
      <c r="EIU18" s="1"/>
      <c r="EIV18" s="1"/>
      <c r="EIW18" s="1"/>
      <c r="EIX18" s="1"/>
      <c r="EIY18" s="1"/>
      <c r="EIZ18" s="1"/>
      <c r="EJA18" s="1"/>
      <c r="EJB18" s="1"/>
      <c r="EJC18" s="1"/>
      <c r="EJD18" s="1"/>
      <c r="EJE18" s="1"/>
      <c r="EJF18" s="1"/>
      <c r="EJG18" s="1"/>
      <c r="EJH18" s="1"/>
      <c r="EJI18" s="1"/>
      <c r="EJJ18" s="1"/>
      <c r="EJK18" s="1"/>
      <c r="EJL18" s="1"/>
      <c r="EJM18" s="1"/>
      <c r="EJN18" s="1"/>
      <c r="EJO18" s="1"/>
      <c r="EJP18" s="1"/>
      <c r="EJQ18" s="1"/>
      <c r="EJR18" s="1"/>
      <c r="EJS18" s="1"/>
      <c r="EJT18" s="1"/>
      <c r="EJU18" s="1"/>
      <c r="EJV18" s="1"/>
      <c r="EJW18" s="1"/>
      <c r="EJX18" s="1"/>
      <c r="EJY18" s="1"/>
      <c r="EJZ18" s="1"/>
      <c r="EKA18" s="1"/>
      <c r="EKB18" s="1"/>
      <c r="EKC18" s="1"/>
      <c r="EKD18" s="1"/>
      <c r="EKE18" s="1"/>
      <c r="EKF18" s="1"/>
      <c r="EKG18" s="1"/>
      <c r="EKH18" s="1"/>
      <c r="EKI18" s="1"/>
      <c r="EKJ18" s="1"/>
      <c r="EKK18" s="1"/>
      <c r="EKL18" s="1"/>
      <c r="EKM18" s="1"/>
      <c r="EKN18" s="1"/>
      <c r="EKO18" s="1"/>
      <c r="EKP18" s="1"/>
      <c r="EKQ18" s="1"/>
      <c r="EKR18" s="1"/>
      <c r="EKS18" s="1"/>
      <c r="EKT18" s="1"/>
      <c r="EKU18" s="1"/>
      <c r="EKV18" s="1"/>
      <c r="EKW18" s="1"/>
      <c r="EKX18" s="1"/>
      <c r="EKY18" s="1"/>
      <c r="EKZ18" s="1"/>
      <c r="ELA18" s="1"/>
      <c r="ELB18" s="1"/>
      <c r="ELC18" s="1"/>
      <c r="ELD18" s="1"/>
      <c r="ELE18" s="1"/>
      <c r="ELF18" s="1"/>
      <c r="ELG18" s="1"/>
      <c r="ELH18" s="1"/>
      <c r="ELI18" s="1"/>
      <c r="ELJ18" s="1"/>
      <c r="ELK18" s="1"/>
      <c r="ELL18" s="1"/>
      <c r="ELM18" s="1"/>
      <c r="ELN18" s="1"/>
      <c r="ELO18" s="1"/>
      <c r="ELP18" s="1"/>
      <c r="ELQ18" s="1"/>
      <c r="ELR18" s="1"/>
      <c r="ELS18" s="1"/>
      <c r="ELT18" s="1"/>
      <c r="ELU18" s="1"/>
      <c r="ELV18" s="1"/>
      <c r="ELW18" s="1"/>
      <c r="ELX18" s="1"/>
      <c r="ELY18" s="1"/>
      <c r="ELZ18" s="1"/>
      <c r="EMA18" s="1"/>
      <c r="EMB18" s="1"/>
      <c r="EMC18" s="1"/>
      <c r="EMD18" s="1"/>
      <c r="EME18" s="1"/>
      <c r="EMF18" s="1"/>
      <c r="EMG18" s="1"/>
      <c r="EMH18" s="1"/>
      <c r="EMI18" s="1"/>
      <c r="EMJ18" s="1"/>
      <c r="EMK18" s="1"/>
      <c r="EML18" s="1"/>
      <c r="EMM18" s="1"/>
      <c r="EMN18" s="1"/>
      <c r="EMO18" s="1"/>
      <c r="EMP18" s="1"/>
      <c r="EMQ18" s="1"/>
      <c r="EMR18" s="1"/>
      <c r="EMS18" s="1"/>
      <c r="EMT18" s="1"/>
      <c r="EMU18" s="1"/>
      <c r="EMV18" s="1"/>
      <c r="EMW18" s="1"/>
      <c r="EMX18" s="1"/>
      <c r="EMY18" s="1"/>
      <c r="EMZ18" s="1"/>
      <c r="ENA18" s="1"/>
      <c r="ENB18" s="1"/>
      <c r="ENC18" s="1"/>
      <c r="END18" s="1"/>
      <c r="ENE18" s="1"/>
      <c r="ENF18" s="1"/>
      <c r="ENG18" s="1"/>
      <c r="ENH18" s="1"/>
      <c r="ENI18" s="1"/>
      <c r="ENJ18" s="1"/>
      <c r="ENK18" s="1"/>
      <c r="ENL18" s="1"/>
      <c r="ENM18" s="1"/>
      <c r="ENN18" s="1"/>
      <c r="ENO18" s="1"/>
      <c r="ENP18" s="1"/>
      <c r="ENQ18" s="1"/>
      <c r="ENR18" s="1"/>
      <c r="ENS18" s="1"/>
      <c r="ENT18" s="1"/>
      <c r="ENU18" s="1"/>
      <c r="ENV18" s="1"/>
      <c r="ENW18" s="1"/>
      <c r="ENX18" s="1"/>
      <c r="ENY18" s="1"/>
      <c r="ENZ18" s="1"/>
      <c r="EOA18" s="1"/>
      <c r="EOB18" s="1"/>
      <c r="EOC18" s="1"/>
      <c r="EOD18" s="1"/>
      <c r="EOE18" s="1"/>
      <c r="EOF18" s="1"/>
      <c r="EOG18" s="1"/>
      <c r="EOH18" s="1"/>
      <c r="EOI18" s="1"/>
      <c r="EOJ18" s="1"/>
      <c r="EOK18" s="1"/>
      <c r="EOL18" s="1"/>
      <c r="EOM18" s="1"/>
      <c r="EON18" s="1"/>
      <c r="EOO18" s="1"/>
      <c r="EOP18" s="1"/>
      <c r="EOQ18" s="1"/>
      <c r="EOR18" s="1"/>
      <c r="EOS18" s="1"/>
      <c r="EOT18" s="1"/>
      <c r="EOU18" s="1"/>
      <c r="EOV18" s="1"/>
      <c r="EOW18" s="1"/>
      <c r="EOX18" s="1"/>
      <c r="EOY18" s="1"/>
      <c r="EOZ18" s="1"/>
      <c r="EPA18" s="1"/>
      <c r="EPB18" s="1"/>
      <c r="EPC18" s="1"/>
      <c r="EPD18" s="1"/>
      <c r="EPE18" s="1"/>
      <c r="EPF18" s="1"/>
      <c r="EPG18" s="1"/>
      <c r="EPH18" s="1"/>
      <c r="EPI18" s="1"/>
      <c r="EPJ18" s="1"/>
      <c r="EPK18" s="1"/>
      <c r="EPL18" s="1"/>
      <c r="EPM18" s="1"/>
      <c r="EPN18" s="1"/>
      <c r="EPO18" s="1"/>
      <c r="EPP18" s="1"/>
      <c r="EPQ18" s="1"/>
      <c r="EPR18" s="1"/>
      <c r="EPS18" s="1"/>
      <c r="EPT18" s="1"/>
      <c r="EPU18" s="1"/>
      <c r="EPV18" s="1"/>
      <c r="EPW18" s="1"/>
      <c r="EPX18" s="1"/>
      <c r="EPY18" s="1"/>
      <c r="EPZ18" s="1"/>
      <c r="EQA18" s="1"/>
      <c r="EQB18" s="1"/>
      <c r="EQC18" s="1"/>
      <c r="EQD18" s="1"/>
      <c r="EQE18" s="1"/>
      <c r="EQF18" s="1"/>
      <c r="EQG18" s="1"/>
      <c r="EQH18" s="1"/>
      <c r="EQI18" s="1"/>
      <c r="EQJ18" s="1"/>
      <c r="EQK18" s="1"/>
      <c r="EQL18" s="1"/>
      <c r="EQM18" s="1"/>
      <c r="EQN18" s="1"/>
      <c r="EQO18" s="1"/>
      <c r="EQP18" s="1"/>
      <c r="EQQ18" s="1"/>
      <c r="EQR18" s="1"/>
      <c r="EQS18" s="1"/>
      <c r="EQT18" s="1"/>
      <c r="EQU18" s="1"/>
      <c r="EQV18" s="1"/>
      <c r="EQW18" s="1"/>
      <c r="EQX18" s="1"/>
      <c r="EQY18" s="1"/>
      <c r="EQZ18" s="1"/>
      <c r="ERA18" s="1"/>
      <c r="ERB18" s="1"/>
      <c r="ERC18" s="1"/>
      <c r="ERD18" s="1"/>
      <c r="ERE18" s="1"/>
      <c r="ERF18" s="1"/>
      <c r="ERG18" s="1"/>
      <c r="ERH18" s="1"/>
      <c r="ERI18" s="1"/>
      <c r="ERJ18" s="1"/>
      <c r="ERK18" s="1"/>
      <c r="ERL18" s="1"/>
      <c r="ERM18" s="1"/>
      <c r="ERN18" s="1"/>
      <c r="ERO18" s="1"/>
      <c r="ERP18" s="1"/>
      <c r="ERQ18" s="1"/>
      <c r="ERR18" s="1"/>
      <c r="ERS18" s="1"/>
      <c r="ERT18" s="1"/>
      <c r="ERU18" s="1"/>
      <c r="ERV18" s="1"/>
      <c r="ERW18" s="1"/>
      <c r="ERX18" s="1"/>
      <c r="ERY18" s="1"/>
      <c r="ERZ18" s="1"/>
      <c r="ESA18" s="1"/>
      <c r="ESB18" s="1"/>
      <c r="ESC18" s="1"/>
      <c r="ESD18" s="1"/>
      <c r="ESE18" s="1"/>
      <c r="ESF18" s="1"/>
      <c r="ESG18" s="1"/>
      <c r="ESH18" s="1"/>
      <c r="ESI18" s="1"/>
      <c r="ESJ18" s="1"/>
      <c r="ESK18" s="1"/>
      <c r="ESL18" s="1"/>
      <c r="ESM18" s="1"/>
      <c r="ESN18" s="1"/>
      <c r="ESO18" s="1"/>
      <c r="ESP18" s="1"/>
      <c r="ESQ18" s="1"/>
      <c r="ESR18" s="1"/>
      <c r="ESS18" s="1"/>
      <c r="EST18" s="1"/>
      <c r="ESU18" s="1"/>
      <c r="ESV18" s="1"/>
      <c r="ESW18" s="1"/>
      <c r="ESX18" s="1"/>
      <c r="ESY18" s="1"/>
      <c r="ESZ18" s="1"/>
      <c r="ETA18" s="1"/>
      <c r="ETB18" s="1"/>
      <c r="ETC18" s="1"/>
      <c r="ETD18" s="1"/>
      <c r="ETE18" s="1"/>
      <c r="ETF18" s="1"/>
      <c r="ETG18" s="1"/>
      <c r="ETH18" s="1"/>
      <c r="ETI18" s="1"/>
      <c r="ETJ18" s="1"/>
      <c r="ETK18" s="1"/>
      <c r="ETL18" s="1"/>
      <c r="ETM18" s="1"/>
      <c r="ETN18" s="1"/>
      <c r="ETO18" s="1"/>
      <c r="ETP18" s="1"/>
      <c r="ETQ18" s="1"/>
      <c r="ETR18" s="1"/>
      <c r="ETS18" s="1"/>
      <c r="ETT18" s="1"/>
      <c r="ETU18" s="1"/>
      <c r="ETV18" s="1"/>
      <c r="ETW18" s="1"/>
      <c r="ETX18" s="1"/>
      <c r="ETY18" s="1"/>
      <c r="ETZ18" s="1"/>
      <c r="EUA18" s="1"/>
      <c r="EUB18" s="1"/>
      <c r="EUC18" s="1"/>
      <c r="EUD18" s="1"/>
      <c r="EUE18" s="1"/>
      <c r="EUF18" s="1"/>
      <c r="EUG18" s="1"/>
      <c r="EUH18" s="1"/>
      <c r="EUI18" s="1"/>
      <c r="EUJ18" s="1"/>
      <c r="EUK18" s="1"/>
      <c r="EUL18" s="1"/>
      <c r="EUM18" s="1"/>
      <c r="EUN18" s="1"/>
      <c r="EUO18" s="1"/>
      <c r="EUP18" s="1"/>
      <c r="EUQ18" s="1"/>
      <c r="EUR18" s="1"/>
      <c r="EUS18" s="1"/>
      <c r="EUT18" s="1"/>
      <c r="EUU18" s="1"/>
      <c r="EUV18" s="1"/>
      <c r="EUW18" s="1"/>
      <c r="EUX18" s="1"/>
      <c r="EUY18" s="1"/>
      <c r="EUZ18" s="1"/>
      <c r="EVA18" s="1"/>
      <c r="EVB18" s="1"/>
      <c r="EVC18" s="1"/>
      <c r="EVD18" s="1"/>
      <c r="EVE18" s="1"/>
      <c r="EVF18" s="1"/>
      <c r="EVG18" s="1"/>
      <c r="EVH18" s="1"/>
      <c r="EVI18" s="1"/>
      <c r="EVJ18" s="1"/>
      <c r="EVK18" s="1"/>
      <c r="EVL18" s="1"/>
      <c r="EVM18" s="1"/>
      <c r="EVN18" s="1"/>
      <c r="EVO18" s="1"/>
      <c r="EVP18" s="1"/>
      <c r="EVQ18" s="1"/>
      <c r="EVR18" s="1"/>
      <c r="EVS18" s="1"/>
      <c r="EVT18" s="1"/>
      <c r="EVU18" s="1"/>
      <c r="EVV18" s="1"/>
      <c r="EVW18" s="1"/>
      <c r="EVX18" s="1"/>
      <c r="EVY18" s="1"/>
      <c r="EVZ18" s="1"/>
      <c r="EWA18" s="1"/>
      <c r="EWB18" s="1"/>
      <c r="EWC18" s="1"/>
      <c r="EWD18" s="1"/>
      <c r="EWE18" s="1"/>
      <c r="EWF18" s="1"/>
      <c r="EWG18" s="1"/>
      <c r="EWH18" s="1"/>
      <c r="EWI18" s="1"/>
      <c r="EWJ18" s="1"/>
      <c r="EWK18" s="1"/>
      <c r="EWL18" s="1"/>
      <c r="EWM18" s="1"/>
      <c r="EWN18" s="1"/>
      <c r="EWO18" s="1"/>
      <c r="EWP18" s="1"/>
      <c r="EWQ18" s="1"/>
      <c r="EWR18" s="1"/>
      <c r="EWS18" s="1"/>
      <c r="EWT18" s="1"/>
      <c r="EWU18" s="1"/>
      <c r="EWV18" s="1"/>
      <c r="EWW18" s="1"/>
      <c r="EWX18" s="1"/>
      <c r="EWY18" s="1"/>
      <c r="EWZ18" s="1"/>
      <c r="EXA18" s="1"/>
      <c r="EXB18" s="1"/>
      <c r="EXC18" s="1"/>
      <c r="EXD18" s="1"/>
      <c r="EXE18" s="1"/>
      <c r="EXF18" s="1"/>
      <c r="EXG18" s="1"/>
      <c r="EXH18" s="1"/>
      <c r="EXI18" s="1"/>
      <c r="EXJ18" s="1"/>
      <c r="EXK18" s="1"/>
      <c r="EXL18" s="1"/>
      <c r="EXM18" s="1"/>
      <c r="EXN18" s="1"/>
      <c r="EXO18" s="1"/>
      <c r="EXP18" s="1"/>
      <c r="EXQ18" s="1"/>
      <c r="EXR18" s="1"/>
      <c r="EXS18" s="1"/>
      <c r="EXT18" s="1"/>
      <c r="EXU18" s="1"/>
      <c r="EXV18" s="1"/>
      <c r="EXW18" s="1"/>
      <c r="EXX18" s="1"/>
      <c r="EXY18" s="1"/>
      <c r="EXZ18" s="1"/>
      <c r="EYA18" s="1"/>
      <c r="EYB18" s="1"/>
      <c r="EYC18" s="1"/>
      <c r="EYD18" s="1"/>
      <c r="EYE18" s="1"/>
      <c r="EYF18" s="1"/>
      <c r="EYG18" s="1"/>
      <c r="EYH18" s="1"/>
      <c r="EYI18" s="1"/>
      <c r="EYJ18" s="1"/>
      <c r="EYK18" s="1"/>
      <c r="EYL18" s="1"/>
      <c r="EYM18" s="1"/>
      <c r="EYN18" s="1"/>
      <c r="EYO18" s="1"/>
      <c r="EYP18" s="1"/>
      <c r="EYQ18" s="1"/>
      <c r="EYR18" s="1"/>
      <c r="EYS18" s="1"/>
      <c r="EYT18" s="1"/>
      <c r="EYU18" s="1"/>
      <c r="EYV18" s="1"/>
      <c r="EYW18" s="1"/>
      <c r="EYX18" s="1"/>
      <c r="EYY18" s="1"/>
      <c r="EYZ18" s="1"/>
      <c r="EZA18" s="1"/>
      <c r="EZB18" s="1"/>
      <c r="EZC18" s="1"/>
      <c r="EZD18" s="1"/>
      <c r="EZE18" s="1"/>
      <c r="EZF18" s="1"/>
      <c r="EZG18" s="1"/>
      <c r="EZH18" s="1"/>
      <c r="EZI18" s="1"/>
      <c r="EZJ18" s="1"/>
      <c r="EZK18" s="1"/>
      <c r="EZL18" s="1"/>
      <c r="EZM18" s="1"/>
      <c r="EZN18" s="1"/>
      <c r="EZO18" s="1"/>
      <c r="EZP18" s="1"/>
      <c r="EZQ18" s="1"/>
      <c r="EZR18" s="1"/>
      <c r="EZS18" s="1"/>
      <c r="EZT18" s="1"/>
      <c r="EZU18" s="1"/>
      <c r="EZV18" s="1"/>
      <c r="EZW18" s="1"/>
      <c r="EZX18" s="1"/>
      <c r="EZY18" s="1"/>
      <c r="EZZ18" s="1"/>
      <c r="FAA18" s="1"/>
      <c r="FAB18" s="1"/>
      <c r="FAC18" s="1"/>
      <c r="FAD18" s="1"/>
      <c r="FAE18" s="1"/>
      <c r="FAF18" s="1"/>
      <c r="FAG18" s="1"/>
      <c r="FAH18" s="1"/>
      <c r="FAI18" s="1"/>
      <c r="FAJ18" s="1"/>
      <c r="FAK18" s="1"/>
      <c r="FAL18" s="1"/>
      <c r="FAM18" s="1"/>
      <c r="FAN18" s="1"/>
      <c r="FAO18" s="1"/>
      <c r="FAP18" s="1"/>
      <c r="FAQ18" s="1"/>
      <c r="FAR18" s="1"/>
      <c r="FAS18" s="1"/>
      <c r="FAT18" s="1"/>
      <c r="FAU18" s="1"/>
      <c r="FAV18" s="1"/>
      <c r="FAW18" s="1"/>
      <c r="FAX18" s="1"/>
      <c r="FAY18" s="1"/>
      <c r="FAZ18" s="1"/>
      <c r="FBA18" s="1"/>
      <c r="FBB18" s="1"/>
      <c r="FBC18" s="1"/>
      <c r="FBD18" s="1"/>
      <c r="FBE18" s="1"/>
      <c r="FBF18" s="1"/>
      <c r="FBG18" s="1"/>
      <c r="FBH18" s="1"/>
      <c r="FBI18" s="1"/>
      <c r="FBJ18" s="1"/>
      <c r="FBK18" s="1"/>
      <c r="FBL18" s="1"/>
      <c r="FBM18" s="1"/>
      <c r="FBN18" s="1"/>
      <c r="FBO18" s="1"/>
      <c r="FBP18" s="1"/>
      <c r="FBQ18" s="1"/>
      <c r="FBR18" s="1"/>
      <c r="FBS18" s="1"/>
      <c r="FBT18" s="1"/>
      <c r="FBU18" s="1"/>
      <c r="FBV18" s="1"/>
      <c r="FBW18" s="1"/>
      <c r="FBX18" s="1"/>
      <c r="FBY18" s="1"/>
      <c r="FBZ18" s="1"/>
      <c r="FCA18" s="1"/>
      <c r="FCB18" s="1"/>
      <c r="FCC18" s="1"/>
      <c r="FCD18" s="1"/>
      <c r="FCE18" s="1"/>
      <c r="FCF18" s="1"/>
      <c r="FCG18" s="1"/>
      <c r="FCH18" s="1"/>
      <c r="FCI18" s="1"/>
      <c r="FCJ18" s="1"/>
      <c r="FCK18" s="1"/>
      <c r="FCL18" s="1"/>
      <c r="FCM18" s="1"/>
      <c r="FCN18" s="1"/>
      <c r="FCO18" s="1"/>
      <c r="FCP18" s="1"/>
      <c r="FCQ18" s="1"/>
      <c r="FCR18" s="1"/>
      <c r="FCS18" s="1"/>
      <c r="FCT18" s="1"/>
      <c r="FCU18" s="1"/>
      <c r="FCV18" s="1"/>
      <c r="FCW18" s="1"/>
      <c r="FCX18" s="1"/>
      <c r="FCY18" s="1"/>
      <c r="FCZ18" s="1"/>
      <c r="FDA18" s="1"/>
      <c r="FDB18" s="1"/>
      <c r="FDC18" s="1"/>
      <c r="FDD18" s="1"/>
      <c r="FDE18" s="1"/>
      <c r="FDF18" s="1"/>
      <c r="FDG18" s="1"/>
      <c r="FDH18" s="1"/>
      <c r="FDI18" s="1"/>
      <c r="FDJ18" s="1"/>
      <c r="FDK18" s="1"/>
      <c r="FDL18" s="1"/>
      <c r="FDM18" s="1"/>
      <c r="FDN18" s="1"/>
      <c r="FDO18" s="1"/>
      <c r="FDP18" s="1"/>
      <c r="FDQ18" s="1"/>
      <c r="FDR18" s="1"/>
      <c r="FDS18" s="1"/>
      <c r="FDT18" s="1"/>
      <c r="FDU18" s="1"/>
      <c r="FDV18" s="1"/>
      <c r="FDW18" s="1"/>
      <c r="FDX18" s="1"/>
      <c r="FDY18" s="1"/>
      <c r="FDZ18" s="1"/>
      <c r="FEA18" s="1"/>
      <c r="FEB18" s="1"/>
      <c r="FEC18" s="1"/>
      <c r="FED18" s="1"/>
      <c r="FEE18" s="1"/>
      <c r="FEF18" s="1"/>
      <c r="FEG18" s="1"/>
      <c r="FEH18" s="1"/>
      <c r="FEI18" s="1"/>
      <c r="FEJ18" s="1"/>
      <c r="FEK18" s="1"/>
      <c r="FEL18" s="1"/>
      <c r="FEM18" s="1"/>
      <c r="FEN18" s="1"/>
      <c r="FEO18" s="1"/>
      <c r="FEP18" s="1"/>
      <c r="FEQ18" s="1"/>
      <c r="FER18" s="1"/>
      <c r="FES18" s="1"/>
      <c r="FET18" s="1"/>
      <c r="FEU18" s="1"/>
      <c r="FEV18" s="1"/>
      <c r="FEW18" s="1"/>
      <c r="FEX18" s="1"/>
      <c r="FEY18" s="1"/>
      <c r="FEZ18" s="1"/>
      <c r="FFA18" s="1"/>
      <c r="FFB18" s="1"/>
      <c r="FFC18" s="1"/>
      <c r="FFD18" s="1"/>
      <c r="FFE18" s="1"/>
      <c r="FFF18" s="1"/>
      <c r="FFG18" s="1"/>
      <c r="FFH18" s="1"/>
      <c r="FFI18" s="1"/>
      <c r="FFJ18" s="1"/>
      <c r="FFK18" s="1"/>
      <c r="FFL18" s="1"/>
      <c r="FFM18" s="1"/>
      <c r="FFN18" s="1"/>
      <c r="FFO18" s="1"/>
      <c r="FFP18" s="1"/>
      <c r="FFQ18" s="1"/>
      <c r="FFR18" s="1"/>
      <c r="FFS18" s="1"/>
      <c r="FFT18" s="1"/>
      <c r="FFU18" s="1"/>
      <c r="FFV18" s="1"/>
      <c r="FFW18" s="1"/>
      <c r="FFX18" s="1"/>
      <c r="FFY18" s="1"/>
      <c r="FFZ18" s="1"/>
      <c r="FGA18" s="1"/>
      <c r="FGB18" s="1"/>
      <c r="FGC18" s="1"/>
      <c r="FGD18" s="1"/>
      <c r="FGE18" s="1"/>
      <c r="FGF18" s="1"/>
      <c r="FGG18" s="1"/>
      <c r="FGH18" s="1"/>
      <c r="FGI18" s="1"/>
      <c r="FGJ18" s="1"/>
      <c r="FGK18" s="1"/>
      <c r="FGL18" s="1"/>
      <c r="FGM18" s="1"/>
      <c r="FGN18" s="1"/>
      <c r="FGO18" s="1"/>
      <c r="FGP18" s="1"/>
      <c r="FGQ18" s="1"/>
      <c r="FGR18" s="1"/>
      <c r="FGS18" s="1"/>
      <c r="FGT18" s="1"/>
      <c r="FGU18" s="1"/>
      <c r="FGV18" s="1"/>
      <c r="FGW18" s="1"/>
      <c r="FGX18" s="1"/>
      <c r="FGY18" s="1"/>
      <c r="FGZ18" s="1"/>
      <c r="FHA18" s="1"/>
      <c r="FHB18" s="1"/>
      <c r="FHC18" s="1"/>
      <c r="FHD18" s="1"/>
      <c r="FHE18" s="1"/>
      <c r="FHF18" s="1"/>
      <c r="FHG18" s="1"/>
      <c r="FHH18" s="1"/>
      <c r="FHI18" s="1"/>
      <c r="FHJ18" s="1"/>
      <c r="FHK18" s="1"/>
      <c r="FHL18" s="1"/>
      <c r="FHM18" s="1"/>
      <c r="FHN18" s="1"/>
      <c r="FHO18" s="1"/>
      <c r="FHP18" s="1"/>
      <c r="FHQ18" s="1"/>
      <c r="FHR18" s="1"/>
      <c r="FHS18" s="1"/>
      <c r="FHT18" s="1"/>
      <c r="FHU18" s="1"/>
      <c r="FHV18" s="1"/>
      <c r="FHW18" s="1"/>
      <c r="FHX18" s="1"/>
      <c r="FHY18" s="1"/>
      <c r="FHZ18" s="1"/>
      <c r="FIA18" s="1"/>
      <c r="FIB18" s="1"/>
      <c r="FIC18" s="1"/>
      <c r="FID18" s="1"/>
      <c r="FIE18" s="1"/>
      <c r="FIF18" s="1"/>
      <c r="FIG18" s="1"/>
      <c r="FIH18" s="1"/>
      <c r="FII18" s="1"/>
      <c r="FIJ18" s="1"/>
      <c r="FIK18" s="1"/>
      <c r="FIL18" s="1"/>
      <c r="FIM18" s="1"/>
      <c r="FIN18" s="1"/>
      <c r="FIO18" s="1"/>
      <c r="FIP18" s="1"/>
      <c r="FIQ18" s="1"/>
      <c r="FIR18" s="1"/>
      <c r="FIS18" s="1"/>
      <c r="FIT18" s="1"/>
      <c r="FIU18" s="1"/>
      <c r="FIV18" s="1"/>
      <c r="FIW18" s="1"/>
      <c r="FIX18" s="1"/>
      <c r="FIY18" s="1"/>
      <c r="FIZ18" s="1"/>
      <c r="FJA18" s="1"/>
      <c r="FJB18" s="1"/>
      <c r="FJC18" s="1"/>
      <c r="FJD18" s="1"/>
      <c r="FJE18" s="1"/>
      <c r="FJF18" s="1"/>
      <c r="FJG18" s="1"/>
      <c r="FJH18" s="1"/>
      <c r="FJI18" s="1"/>
      <c r="FJJ18" s="1"/>
      <c r="FJK18" s="1"/>
      <c r="FJL18" s="1"/>
      <c r="FJM18" s="1"/>
      <c r="FJN18" s="1"/>
      <c r="FJO18" s="1"/>
      <c r="FJP18" s="1"/>
      <c r="FJQ18" s="1"/>
      <c r="FJR18" s="1"/>
      <c r="FJS18" s="1"/>
      <c r="FJT18" s="1"/>
      <c r="FJU18" s="1"/>
      <c r="FJV18" s="1"/>
      <c r="FJW18" s="1"/>
      <c r="FJX18" s="1"/>
      <c r="FJY18" s="1"/>
      <c r="FJZ18" s="1"/>
      <c r="FKA18" s="1"/>
      <c r="FKB18" s="1"/>
      <c r="FKC18" s="1"/>
      <c r="FKD18" s="1"/>
      <c r="FKE18" s="1"/>
      <c r="FKF18" s="1"/>
      <c r="FKG18" s="1"/>
      <c r="FKH18" s="1"/>
      <c r="FKI18" s="1"/>
      <c r="FKJ18" s="1"/>
      <c r="FKK18" s="1"/>
      <c r="FKL18" s="1"/>
      <c r="FKM18" s="1"/>
      <c r="FKN18" s="1"/>
      <c r="FKO18" s="1"/>
      <c r="FKP18" s="1"/>
      <c r="FKQ18" s="1"/>
      <c r="FKR18" s="1"/>
      <c r="FKS18" s="1"/>
      <c r="FKT18" s="1"/>
      <c r="FKU18" s="1"/>
      <c r="FKV18" s="1"/>
      <c r="FKW18" s="1"/>
      <c r="FKX18" s="1"/>
      <c r="FKY18" s="1"/>
      <c r="FKZ18" s="1"/>
      <c r="FLA18" s="1"/>
      <c r="FLB18" s="1"/>
      <c r="FLC18" s="1"/>
      <c r="FLD18" s="1"/>
      <c r="FLE18" s="1"/>
      <c r="FLF18" s="1"/>
      <c r="FLG18" s="1"/>
      <c r="FLH18" s="1"/>
      <c r="FLI18" s="1"/>
      <c r="FLJ18" s="1"/>
      <c r="FLK18" s="1"/>
      <c r="FLL18" s="1"/>
      <c r="FLM18" s="1"/>
      <c r="FLN18" s="1"/>
      <c r="FLO18" s="1"/>
      <c r="FLP18" s="1"/>
      <c r="FLQ18" s="1"/>
      <c r="FLR18" s="1"/>
      <c r="FLS18" s="1"/>
      <c r="FLT18" s="1"/>
      <c r="FLU18" s="1"/>
      <c r="FLV18" s="1"/>
      <c r="FLW18" s="1"/>
      <c r="FLX18" s="1"/>
      <c r="FLY18" s="1"/>
      <c r="FLZ18" s="1"/>
      <c r="FMA18" s="1"/>
      <c r="FMB18" s="1"/>
      <c r="FMC18" s="1"/>
      <c r="FMD18" s="1"/>
      <c r="FME18" s="1"/>
      <c r="FMF18" s="1"/>
      <c r="FMG18" s="1"/>
      <c r="FMH18" s="1"/>
      <c r="FMI18" s="1"/>
      <c r="FMJ18" s="1"/>
      <c r="FMK18" s="1"/>
      <c r="FML18" s="1"/>
      <c r="FMM18" s="1"/>
      <c r="FMN18" s="1"/>
      <c r="FMO18" s="1"/>
      <c r="FMP18" s="1"/>
      <c r="FMQ18" s="1"/>
      <c r="FMR18" s="1"/>
      <c r="FMS18" s="1"/>
      <c r="FMT18" s="1"/>
      <c r="FMU18" s="1"/>
      <c r="FMV18" s="1"/>
      <c r="FMW18" s="1"/>
      <c r="FMX18" s="1"/>
      <c r="FMY18" s="1"/>
      <c r="FMZ18" s="1"/>
      <c r="FNA18" s="1"/>
      <c r="FNB18" s="1"/>
      <c r="FNC18" s="1"/>
      <c r="FND18" s="1"/>
      <c r="FNE18" s="1"/>
      <c r="FNF18" s="1"/>
      <c r="FNG18" s="1"/>
      <c r="FNH18" s="1"/>
      <c r="FNI18" s="1"/>
      <c r="FNJ18" s="1"/>
      <c r="FNK18" s="1"/>
      <c r="FNL18" s="1"/>
      <c r="FNM18" s="1"/>
      <c r="FNN18" s="1"/>
      <c r="FNO18" s="1"/>
      <c r="FNP18" s="1"/>
      <c r="FNQ18" s="1"/>
      <c r="FNR18" s="1"/>
      <c r="FNS18" s="1"/>
      <c r="FNT18" s="1"/>
      <c r="FNU18" s="1"/>
      <c r="FNV18" s="1"/>
      <c r="FNW18" s="1"/>
      <c r="FNX18" s="1"/>
      <c r="FNY18" s="1"/>
      <c r="FNZ18" s="1"/>
      <c r="FOA18" s="1"/>
      <c r="FOB18" s="1"/>
      <c r="FOC18" s="1"/>
      <c r="FOD18" s="1"/>
      <c r="FOE18" s="1"/>
      <c r="FOF18" s="1"/>
      <c r="FOG18" s="1"/>
      <c r="FOH18" s="1"/>
      <c r="FOI18" s="1"/>
      <c r="FOJ18" s="1"/>
      <c r="FOK18" s="1"/>
      <c r="FOL18" s="1"/>
      <c r="FOM18" s="1"/>
      <c r="FON18" s="1"/>
      <c r="FOO18" s="1"/>
      <c r="FOP18" s="1"/>
      <c r="FOQ18" s="1"/>
      <c r="FOR18" s="1"/>
      <c r="FOS18" s="1"/>
      <c r="FOT18" s="1"/>
      <c r="FOU18" s="1"/>
      <c r="FOV18" s="1"/>
      <c r="FOW18" s="1"/>
      <c r="FOX18" s="1"/>
      <c r="FOY18" s="1"/>
      <c r="FOZ18" s="1"/>
      <c r="FPA18" s="1"/>
      <c r="FPB18" s="1"/>
      <c r="FPC18" s="1"/>
      <c r="FPD18" s="1"/>
      <c r="FPE18" s="1"/>
      <c r="FPF18" s="1"/>
      <c r="FPG18" s="1"/>
      <c r="FPH18" s="1"/>
      <c r="FPI18" s="1"/>
      <c r="FPJ18" s="1"/>
      <c r="FPK18" s="1"/>
      <c r="FPL18" s="1"/>
      <c r="FPM18" s="1"/>
      <c r="FPN18" s="1"/>
      <c r="FPO18" s="1"/>
      <c r="FPP18" s="1"/>
      <c r="FPQ18" s="1"/>
      <c r="FPR18" s="1"/>
      <c r="FPS18" s="1"/>
      <c r="FPT18" s="1"/>
      <c r="FPU18" s="1"/>
      <c r="FPV18" s="1"/>
      <c r="FPW18" s="1"/>
      <c r="FPX18" s="1"/>
      <c r="FPY18" s="1"/>
      <c r="FPZ18" s="1"/>
      <c r="FQA18" s="1"/>
      <c r="FQB18" s="1"/>
      <c r="FQC18" s="1"/>
      <c r="FQD18" s="1"/>
      <c r="FQE18" s="1"/>
      <c r="FQF18" s="1"/>
      <c r="FQG18" s="1"/>
      <c r="FQH18" s="1"/>
      <c r="FQI18" s="1"/>
      <c r="FQJ18" s="1"/>
      <c r="FQK18" s="1"/>
      <c r="FQL18" s="1"/>
      <c r="FQM18" s="1"/>
      <c r="FQN18" s="1"/>
      <c r="FQO18" s="1"/>
      <c r="FQP18" s="1"/>
      <c r="FQQ18" s="1"/>
      <c r="FQR18" s="1"/>
      <c r="FQS18" s="1"/>
      <c r="FQT18" s="1"/>
      <c r="FQU18" s="1"/>
      <c r="FQV18" s="1"/>
      <c r="FQW18" s="1"/>
      <c r="FQX18" s="1"/>
      <c r="FQY18" s="1"/>
      <c r="FQZ18" s="1"/>
      <c r="FRA18" s="1"/>
      <c r="FRB18" s="1"/>
      <c r="FRC18" s="1"/>
      <c r="FRD18" s="1"/>
      <c r="FRE18" s="1"/>
      <c r="FRF18" s="1"/>
      <c r="FRG18" s="1"/>
      <c r="FRH18" s="1"/>
      <c r="FRI18" s="1"/>
      <c r="FRJ18" s="1"/>
      <c r="FRK18" s="1"/>
      <c r="FRL18" s="1"/>
      <c r="FRM18" s="1"/>
      <c r="FRN18" s="1"/>
      <c r="FRO18" s="1"/>
      <c r="FRP18" s="1"/>
      <c r="FRQ18" s="1"/>
      <c r="FRR18" s="1"/>
      <c r="FRS18" s="1"/>
      <c r="FRT18" s="1"/>
      <c r="FRU18" s="1"/>
      <c r="FRV18" s="1"/>
      <c r="FRW18" s="1"/>
      <c r="FRX18" s="1"/>
      <c r="FRY18" s="1"/>
      <c r="FRZ18" s="1"/>
      <c r="FSA18" s="1"/>
      <c r="FSB18" s="1"/>
      <c r="FSC18" s="1"/>
      <c r="FSD18" s="1"/>
      <c r="FSE18" s="1"/>
      <c r="FSF18" s="1"/>
      <c r="FSG18" s="1"/>
      <c r="FSH18" s="1"/>
      <c r="FSI18" s="1"/>
      <c r="FSJ18" s="1"/>
      <c r="FSK18" s="1"/>
      <c r="FSL18" s="1"/>
      <c r="FSM18" s="1"/>
      <c r="FSN18" s="1"/>
      <c r="FSO18" s="1"/>
      <c r="FSP18" s="1"/>
      <c r="FSQ18" s="1"/>
      <c r="FSR18" s="1"/>
      <c r="FSS18" s="1"/>
      <c r="FST18" s="1"/>
      <c r="FSU18" s="1"/>
      <c r="FSV18" s="1"/>
      <c r="FSW18" s="1"/>
      <c r="FSX18" s="1"/>
      <c r="FSY18" s="1"/>
      <c r="FSZ18" s="1"/>
      <c r="FTA18" s="1"/>
      <c r="FTB18" s="1"/>
      <c r="FTC18" s="1"/>
      <c r="FTD18" s="1"/>
      <c r="FTE18" s="1"/>
      <c r="FTF18" s="1"/>
      <c r="FTG18" s="1"/>
      <c r="FTH18" s="1"/>
      <c r="FTI18" s="1"/>
      <c r="FTJ18" s="1"/>
      <c r="FTK18" s="1"/>
      <c r="FTL18" s="1"/>
      <c r="FTM18" s="1"/>
      <c r="FTN18" s="1"/>
      <c r="FTO18" s="1"/>
      <c r="FTP18" s="1"/>
      <c r="FTQ18" s="1"/>
      <c r="FTR18" s="1"/>
      <c r="FTS18" s="1"/>
      <c r="FTT18" s="1"/>
      <c r="FTU18" s="1"/>
      <c r="FTV18" s="1"/>
      <c r="FTW18" s="1"/>
      <c r="FTX18" s="1"/>
      <c r="FTY18" s="1"/>
      <c r="FTZ18" s="1"/>
      <c r="FUA18" s="1"/>
      <c r="FUB18" s="1"/>
      <c r="FUC18" s="1"/>
      <c r="FUD18" s="1"/>
      <c r="FUE18" s="1"/>
      <c r="FUF18" s="1"/>
      <c r="FUG18" s="1"/>
      <c r="FUH18" s="1"/>
      <c r="FUI18" s="1"/>
      <c r="FUJ18" s="1"/>
      <c r="FUK18" s="1"/>
      <c r="FUL18" s="1"/>
      <c r="FUM18" s="1"/>
      <c r="FUN18" s="1"/>
      <c r="FUO18" s="1"/>
      <c r="FUP18" s="1"/>
      <c r="FUQ18" s="1"/>
      <c r="FUR18" s="1"/>
      <c r="FUS18" s="1"/>
      <c r="FUT18" s="1"/>
      <c r="FUU18" s="1"/>
      <c r="FUV18" s="1"/>
      <c r="FUW18" s="1"/>
      <c r="FUX18" s="1"/>
      <c r="FUY18" s="1"/>
      <c r="FUZ18" s="1"/>
      <c r="FVA18" s="1"/>
      <c r="FVB18" s="1"/>
      <c r="FVC18" s="1"/>
      <c r="FVD18" s="1"/>
      <c r="FVE18" s="1"/>
      <c r="FVF18" s="1"/>
      <c r="FVG18" s="1"/>
      <c r="FVH18" s="1"/>
      <c r="FVI18" s="1"/>
      <c r="FVJ18" s="1"/>
      <c r="FVK18" s="1"/>
      <c r="FVL18" s="1"/>
      <c r="FVM18" s="1"/>
      <c r="FVN18" s="1"/>
      <c r="FVO18" s="1"/>
      <c r="FVP18" s="1"/>
      <c r="FVQ18" s="1"/>
      <c r="FVR18" s="1"/>
      <c r="FVS18" s="1"/>
      <c r="FVT18" s="1"/>
      <c r="FVU18" s="1"/>
      <c r="FVV18" s="1"/>
      <c r="FVW18" s="1"/>
      <c r="FVX18" s="1"/>
      <c r="FVY18" s="1"/>
      <c r="FVZ18" s="1"/>
      <c r="FWA18" s="1"/>
      <c r="FWB18" s="1"/>
      <c r="FWC18" s="1"/>
      <c r="FWD18" s="1"/>
      <c r="FWE18" s="1"/>
      <c r="FWF18" s="1"/>
      <c r="FWG18" s="1"/>
      <c r="FWH18" s="1"/>
      <c r="FWI18" s="1"/>
      <c r="FWJ18" s="1"/>
      <c r="FWK18" s="1"/>
      <c r="FWL18" s="1"/>
      <c r="FWM18" s="1"/>
      <c r="FWN18" s="1"/>
      <c r="FWO18" s="1"/>
      <c r="FWP18" s="1"/>
      <c r="FWQ18" s="1"/>
      <c r="FWR18" s="1"/>
      <c r="FWS18" s="1"/>
      <c r="FWT18" s="1"/>
      <c r="FWU18" s="1"/>
      <c r="FWV18" s="1"/>
      <c r="FWW18" s="1"/>
      <c r="FWX18" s="1"/>
      <c r="FWY18" s="1"/>
      <c r="FWZ18" s="1"/>
      <c r="FXA18" s="1"/>
      <c r="FXB18" s="1"/>
      <c r="FXC18" s="1"/>
      <c r="FXD18" s="1"/>
      <c r="FXE18" s="1"/>
      <c r="FXF18" s="1"/>
      <c r="FXG18" s="1"/>
      <c r="FXH18" s="1"/>
      <c r="FXI18" s="1"/>
      <c r="FXJ18" s="1"/>
      <c r="FXK18" s="1"/>
      <c r="FXL18" s="1"/>
      <c r="FXM18" s="1"/>
      <c r="FXN18" s="1"/>
      <c r="FXO18" s="1"/>
      <c r="FXP18" s="1"/>
      <c r="FXQ18" s="1"/>
      <c r="FXR18" s="1"/>
      <c r="FXS18" s="1"/>
      <c r="FXT18" s="1"/>
      <c r="FXU18" s="1"/>
      <c r="FXV18" s="1"/>
      <c r="FXW18" s="1"/>
      <c r="FXX18" s="1"/>
      <c r="FXY18" s="1"/>
      <c r="FXZ18" s="1"/>
      <c r="FYA18" s="1"/>
      <c r="FYB18" s="1"/>
      <c r="FYC18" s="1"/>
      <c r="FYD18" s="1"/>
      <c r="FYE18" s="1"/>
      <c r="FYF18" s="1"/>
      <c r="FYG18" s="1"/>
      <c r="FYH18" s="1"/>
      <c r="FYI18" s="1"/>
      <c r="FYJ18" s="1"/>
      <c r="FYK18" s="1"/>
      <c r="FYL18" s="1"/>
      <c r="FYM18" s="1"/>
      <c r="FYN18" s="1"/>
      <c r="FYO18" s="1"/>
      <c r="FYP18" s="1"/>
      <c r="FYQ18" s="1"/>
      <c r="FYR18" s="1"/>
      <c r="FYS18" s="1"/>
      <c r="FYT18" s="1"/>
      <c r="FYU18" s="1"/>
      <c r="FYV18" s="1"/>
      <c r="FYW18" s="1"/>
      <c r="FYX18" s="1"/>
      <c r="FYY18" s="1"/>
      <c r="FYZ18" s="1"/>
      <c r="FZA18" s="1"/>
      <c r="FZB18" s="1"/>
      <c r="FZC18" s="1"/>
      <c r="FZD18" s="1"/>
      <c r="FZE18" s="1"/>
      <c r="FZF18" s="1"/>
      <c r="FZG18" s="1"/>
      <c r="FZH18" s="1"/>
      <c r="FZI18" s="1"/>
      <c r="FZJ18" s="1"/>
      <c r="FZK18" s="1"/>
      <c r="FZL18" s="1"/>
      <c r="FZM18" s="1"/>
      <c r="FZN18" s="1"/>
      <c r="FZO18" s="1"/>
      <c r="FZP18" s="1"/>
      <c r="FZQ18" s="1"/>
      <c r="FZR18" s="1"/>
      <c r="FZS18" s="1"/>
      <c r="FZT18" s="1"/>
      <c r="FZU18" s="1"/>
      <c r="FZV18" s="1"/>
      <c r="FZW18" s="1"/>
      <c r="FZX18" s="1"/>
      <c r="FZY18" s="1"/>
      <c r="FZZ18" s="1"/>
      <c r="GAA18" s="1"/>
      <c r="GAB18" s="1"/>
      <c r="GAC18" s="1"/>
      <c r="GAD18" s="1"/>
      <c r="GAE18" s="1"/>
      <c r="GAF18" s="1"/>
      <c r="GAG18" s="1"/>
      <c r="GAH18" s="1"/>
      <c r="GAI18" s="1"/>
      <c r="GAJ18" s="1"/>
      <c r="GAK18" s="1"/>
      <c r="GAL18" s="1"/>
      <c r="GAM18" s="1"/>
      <c r="GAN18" s="1"/>
      <c r="GAO18" s="1"/>
      <c r="GAP18" s="1"/>
      <c r="GAQ18" s="1"/>
      <c r="GAR18" s="1"/>
      <c r="GAS18" s="1"/>
      <c r="GAT18" s="1"/>
      <c r="GAU18" s="1"/>
      <c r="GAV18" s="1"/>
      <c r="GAW18" s="1"/>
      <c r="GAX18" s="1"/>
      <c r="GAY18" s="1"/>
      <c r="GAZ18" s="1"/>
      <c r="GBA18" s="1"/>
      <c r="GBB18" s="1"/>
      <c r="GBC18" s="1"/>
      <c r="GBD18" s="1"/>
      <c r="GBE18" s="1"/>
      <c r="GBF18" s="1"/>
      <c r="GBG18" s="1"/>
      <c r="GBH18" s="1"/>
      <c r="GBI18" s="1"/>
      <c r="GBJ18" s="1"/>
      <c r="GBK18" s="1"/>
      <c r="GBL18" s="1"/>
      <c r="GBM18" s="1"/>
      <c r="GBN18" s="1"/>
      <c r="GBO18" s="1"/>
      <c r="GBP18" s="1"/>
      <c r="GBQ18" s="1"/>
      <c r="GBR18" s="1"/>
      <c r="GBS18" s="1"/>
      <c r="GBT18" s="1"/>
      <c r="GBU18" s="1"/>
      <c r="GBV18" s="1"/>
      <c r="GBW18" s="1"/>
      <c r="GBX18" s="1"/>
      <c r="GBY18" s="1"/>
      <c r="GBZ18" s="1"/>
      <c r="GCA18" s="1"/>
      <c r="GCB18" s="1"/>
      <c r="GCC18" s="1"/>
      <c r="GCD18" s="1"/>
      <c r="GCE18" s="1"/>
      <c r="GCF18" s="1"/>
      <c r="GCG18" s="1"/>
      <c r="GCH18" s="1"/>
      <c r="GCI18" s="1"/>
      <c r="GCJ18" s="1"/>
      <c r="GCK18" s="1"/>
      <c r="GCL18" s="1"/>
      <c r="GCM18" s="1"/>
      <c r="GCN18" s="1"/>
      <c r="GCO18" s="1"/>
      <c r="GCP18" s="1"/>
      <c r="GCQ18" s="1"/>
      <c r="GCR18" s="1"/>
      <c r="GCS18" s="1"/>
      <c r="GCT18" s="1"/>
      <c r="GCU18" s="1"/>
      <c r="GCV18" s="1"/>
      <c r="GCW18" s="1"/>
      <c r="GCX18" s="1"/>
      <c r="GCY18" s="1"/>
      <c r="GCZ18" s="1"/>
      <c r="GDA18" s="1"/>
      <c r="GDB18" s="1"/>
      <c r="GDC18" s="1"/>
      <c r="GDD18" s="1"/>
      <c r="GDE18" s="1"/>
      <c r="GDF18" s="1"/>
      <c r="GDG18" s="1"/>
      <c r="GDH18" s="1"/>
      <c r="GDI18" s="1"/>
      <c r="GDJ18" s="1"/>
      <c r="GDK18" s="1"/>
      <c r="GDL18" s="1"/>
      <c r="GDM18" s="1"/>
      <c r="GDN18" s="1"/>
      <c r="GDO18" s="1"/>
      <c r="GDP18" s="1"/>
      <c r="GDQ18" s="1"/>
      <c r="GDR18" s="1"/>
      <c r="GDS18" s="1"/>
      <c r="GDT18" s="1"/>
      <c r="GDU18" s="1"/>
      <c r="GDV18" s="1"/>
      <c r="GDW18" s="1"/>
      <c r="GDX18" s="1"/>
      <c r="GDY18" s="1"/>
      <c r="GDZ18" s="1"/>
      <c r="GEA18" s="1"/>
      <c r="GEB18" s="1"/>
      <c r="GEC18" s="1"/>
      <c r="GED18" s="1"/>
      <c r="GEE18" s="1"/>
      <c r="GEF18" s="1"/>
      <c r="GEG18" s="1"/>
      <c r="GEH18" s="1"/>
      <c r="GEI18" s="1"/>
      <c r="GEJ18" s="1"/>
      <c r="GEK18" s="1"/>
      <c r="GEL18" s="1"/>
      <c r="GEM18" s="1"/>
      <c r="GEN18" s="1"/>
      <c r="GEO18" s="1"/>
      <c r="GEP18" s="1"/>
      <c r="GEQ18" s="1"/>
      <c r="GER18" s="1"/>
      <c r="GES18" s="1"/>
      <c r="GET18" s="1"/>
      <c r="GEU18" s="1"/>
      <c r="GEV18" s="1"/>
      <c r="GEW18" s="1"/>
      <c r="GEX18" s="1"/>
      <c r="GEY18" s="1"/>
      <c r="GEZ18" s="1"/>
      <c r="GFA18" s="1"/>
      <c r="GFB18" s="1"/>
      <c r="GFC18" s="1"/>
      <c r="GFD18" s="1"/>
      <c r="GFE18" s="1"/>
      <c r="GFF18" s="1"/>
      <c r="GFG18" s="1"/>
      <c r="GFH18" s="1"/>
      <c r="GFI18" s="1"/>
      <c r="GFJ18" s="1"/>
      <c r="GFK18" s="1"/>
      <c r="GFL18" s="1"/>
      <c r="GFM18" s="1"/>
      <c r="GFN18" s="1"/>
      <c r="GFO18" s="1"/>
      <c r="GFP18" s="1"/>
      <c r="GFQ18" s="1"/>
      <c r="GFR18" s="1"/>
      <c r="GFS18" s="1"/>
      <c r="GFT18" s="1"/>
      <c r="GFU18" s="1"/>
      <c r="GFV18" s="1"/>
      <c r="GFW18" s="1"/>
      <c r="GFX18" s="1"/>
      <c r="GFY18" s="1"/>
      <c r="GFZ18" s="1"/>
      <c r="GGA18" s="1"/>
      <c r="GGB18" s="1"/>
      <c r="GGC18" s="1"/>
      <c r="GGD18" s="1"/>
      <c r="GGE18" s="1"/>
      <c r="GGF18" s="1"/>
      <c r="GGG18" s="1"/>
      <c r="GGH18" s="1"/>
      <c r="GGI18" s="1"/>
      <c r="GGJ18" s="1"/>
      <c r="GGK18" s="1"/>
      <c r="GGL18" s="1"/>
      <c r="GGM18" s="1"/>
      <c r="GGN18" s="1"/>
      <c r="GGO18" s="1"/>
      <c r="GGP18" s="1"/>
      <c r="GGQ18" s="1"/>
      <c r="GGR18" s="1"/>
      <c r="GGS18" s="1"/>
      <c r="GGT18" s="1"/>
      <c r="GGU18" s="1"/>
      <c r="GGV18" s="1"/>
      <c r="GGW18" s="1"/>
      <c r="GGX18" s="1"/>
      <c r="GGY18" s="1"/>
      <c r="GGZ18" s="1"/>
      <c r="GHA18" s="1"/>
      <c r="GHB18" s="1"/>
      <c r="GHC18" s="1"/>
      <c r="GHD18" s="1"/>
      <c r="GHE18" s="1"/>
      <c r="GHF18" s="1"/>
      <c r="GHG18" s="1"/>
      <c r="GHH18" s="1"/>
      <c r="GHI18" s="1"/>
      <c r="GHJ18" s="1"/>
      <c r="GHK18" s="1"/>
      <c r="GHL18" s="1"/>
      <c r="GHM18" s="1"/>
      <c r="GHN18" s="1"/>
      <c r="GHO18" s="1"/>
      <c r="GHP18" s="1"/>
      <c r="GHQ18" s="1"/>
      <c r="GHR18" s="1"/>
      <c r="GHS18" s="1"/>
      <c r="GHT18" s="1"/>
      <c r="GHU18" s="1"/>
      <c r="GHV18" s="1"/>
      <c r="GHW18" s="1"/>
      <c r="GHX18" s="1"/>
      <c r="GHY18" s="1"/>
      <c r="GHZ18" s="1"/>
      <c r="GIA18" s="1"/>
      <c r="GIB18" s="1"/>
      <c r="GIC18" s="1"/>
      <c r="GID18" s="1"/>
      <c r="GIE18" s="1"/>
      <c r="GIF18" s="1"/>
      <c r="GIG18" s="1"/>
      <c r="GIH18" s="1"/>
      <c r="GII18" s="1"/>
      <c r="GIJ18" s="1"/>
      <c r="GIK18" s="1"/>
      <c r="GIL18" s="1"/>
      <c r="GIM18" s="1"/>
      <c r="GIN18" s="1"/>
      <c r="GIO18" s="1"/>
      <c r="GIP18" s="1"/>
      <c r="GIQ18" s="1"/>
      <c r="GIR18" s="1"/>
      <c r="GIS18" s="1"/>
      <c r="GIT18" s="1"/>
      <c r="GIU18" s="1"/>
      <c r="GIV18" s="1"/>
      <c r="GIW18" s="1"/>
      <c r="GIX18" s="1"/>
      <c r="GIY18" s="1"/>
      <c r="GIZ18" s="1"/>
      <c r="GJA18" s="1"/>
      <c r="GJB18" s="1"/>
      <c r="GJC18" s="1"/>
      <c r="GJD18" s="1"/>
      <c r="GJE18" s="1"/>
      <c r="GJF18" s="1"/>
      <c r="GJG18" s="1"/>
      <c r="GJH18" s="1"/>
      <c r="GJI18" s="1"/>
      <c r="GJJ18" s="1"/>
      <c r="GJK18" s="1"/>
      <c r="GJL18" s="1"/>
      <c r="GJM18" s="1"/>
      <c r="GJN18" s="1"/>
      <c r="GJO18" s="1"/>
      <c r="GJP18" s="1"/>
      <c r="GJQ18" s="1"/>
      <c r="GJR18" s="1"/>
      <c r="GJS18" s="1"/>
      <c r="GJT18" s="1"/>
      <c r="GJU18" s="1"/>
      <c r="GJV18" s="1"/>
      <c r="GJW18" s="1"/>
      <c r="GJX18" s="1"/>
      <c r="GJY18" s="1"/>
      <c r="GJZ18" s="1"/>
      <c r="GKA18" s="1"/>
      <c r="GKB18" s="1"/>
      <c r="GKC18" s="1"/>
      <c r="GKD18" s="1"/>
      <c r="GKE18" s="1"/>
      <c r="GKF18" s="1"/>
      <c r="GKG18" s="1"/>
      <c r="GKH18" s="1"/>
      <c r="GKI18" s="1"/>
      <c r="GKJ18" s="1"/>
      <c r="GKK18" s="1"/>
      <c r="GKL18" s="1"/>
      <c r="GKM18" s="1"/>
      <c r="GKN18" s="1"/>
      <c r="GKO18" s="1"/>
      <c r="GKP18" s="1"/>
      <c r="GKQ18" s="1"/>
      <c r="GKR18" s="1"/>
      <c r="GKS18" s="1"/>
      <c r="GKT18" s="1"/>
      <c r="GKU18" s="1"/>
      <c r="GKV18" s="1"/>
      <c r="GKW18" s="1"/>
      <c r="GKX18" s="1"/>
      <c r="GKY18" s="1"/>
      <c r="GKZ18" s="1"/>
      <c r="GLA18" s="1"/>
      <c r="GLB18" s="1"/>
      <c r="GLC18" s="1"/>
      <c r="GLD18" s="1"/>
      <c r="GLE18" s="1"/>
      <c r="GLF18" s="1"/>
      <c r="GLG18" s="1"/>
      <c r="GLH18" s="1"/>
      <c r="GLI18" s="1"/>
      <c r="GLJ18" s="1"/>
      <c r="GLK18" s="1"/>
      <c r="GLL18" s="1"/>
      <c r="GLM18" s="1"/>
      <c r="GLN18" s="1"/>
      <c r="GLO18" s="1"/>
      <c r="GLP18" s="1"/>
      <c r="GLQ18" s="1"/>
      <c r="GLR18" s="1"/>
      <c r="GLS18" s="1"/>
      <c r="GLT18" s="1"/>
      <c r="GLU18" s="1"/>
      <c r="GLV18" s="1"/>
      <c r="GLW18" s="1"/>
      <c r="GLX18" s="1"/>
      <c r="GLY18" s="1"/>
      <c r="GLZ18" s="1"/>
      <c r="GMA18" s="1"/>
      <c r="GMB18" s="1"/>
      <c r="GMC18" s="1"/>
      <c r="GMD18" s="1"/>
      <c r="GME18" s="1"/>
      <c r="GMF18" s="1"/>
      <c r="GMG18" s="1"/>
      <c r="GMH18" s="1"/>
      <c r="GMI18" s="1"/>
      <c r="GMJ18" s="1"/>
      <c r="GMK18" s="1"/>
      <c r="GML18" s="1"/>
      <c r="GMM18" s="1"/>
      <c r="GMN18" s="1"/>
      <c r="GMO18" s="1"/>
      <c r="GMP18" s="1"/>
      <c r="GMQ18" s="1"/>
      <c r="GMR18" s="1"/>
      <c r="GMS18" s="1"/>
      <c r="GMT18" s="1"/>
      <c r="GMU18" s="1"/>
      <c r="GMV18" s="1"/>
      <c r="GMW18" s="1"/>
      <c r="GMX18" s="1"/>
      <c r="GMY18" s="1"/>
      <c r="GMZ18" s="1"/>
      <c r="GNA18" s="1"/>
      <c r="GNB18" s="1"/>
      <c r="GNC18" s="1"/>
      <c r="GND18" s="1"/>
      <c r="GNE18" s="1"/>
      <c r="GNF18" s="1"/>
      <c r="GNG18" s="1"/>
      <c r="GNH18" s="1"/>
      <c r="GNI18" s="1"/>
      <c r="GNJ18" s="1"/>
      <c r="GNK18" s="1"/>
      <c r="GNL18" s="1"/>
      <c r="GNM18" s="1"/>
      <c r="GNN18" s="1"/>
      <c r="GNO18" s="1"/>
      <c r="GNP18" s="1"/>
      <c r="GNQ18" s="1"/>
      <c r="GNR18" s="1"/>
      <c r="GNS18" s="1"/>
      <c r="GNT18" s="1"/>
      <c r="GNU18" s="1"/>
      <c r="GNV18" s="1"/>
      <c r="GNW18" s="1"/>
      <c r="GNX18" s="1"/>
      <c r="GNY18" s="1"/>
      <c r="GNZ18" s="1"/>
      <c r="GOA18" s="1"/>
      <c r="GOB18" s="1"/>
      <c r="GOC18" s="1"/>
      <c r="GOD18" s="1"/>
      <c r="GOE18" s="1"/>
      <c r="GOF18" s="1"/>
      <c r="GOG18" s="1"/>
      <c r="GOH18" s="1"/>
      <c r="GOI18" s="1"/>
      <c r="GOJ18" s="1"/>
      <c r="GOK18" s="1"/>
      <c r="GOL18" s="1"/>
      <c r="GOM18" s="1"/>
      <c r="GON18" s="1"/>
      <c r="GOO18" s="1"/>
      <c r="GOP18" s="1"/>
      <c r="GOQ18" s="1"/>
      <c r="GOR18" s="1"/>
      <c r="GOS18" s="1"/>
      <c r="GOT18" s="1"/>
      <c r="GOU18" s="1"/>
      <c r="GOV18" s="1"/>
      <c r="GOW18" s="1"/>
      <c r="GOX18" s="1"/>
      <c r="GOY18" s="1"/>
      <c r="GOZ18" s="1"/>
      <c r="GPA18" s="1"/>
      <c r="GPB18" s="1"/>
      <c r="GPC18" s="1"/>
      <c r="GPD18" s="1"/>
      <c r="GPE18" s="1"/>
      <c r="GPF18" s="1"/>
      <c r="GPG18" s="1"/>
      <c r="GPH18" s="1"/>
      <c r="GPI18" s="1"/>
      <c r="GPJ18" s="1"/>
      <c r="GPK18" s="1"/>
      <c r="GPL18" s="1"/>
      <c r="GPM18" s="1"/>
      <c r="GPN18" s="1"/>
      <c r="GPO18" s="1"/>
      <c r="GPP18" s="1"/>
      <c r="GPQ18" s="1"/>
      <c r="GPR18" s="1"/>
      <c r="GPS18" s="1"/>
      <c r="GPT18" s="1"/>
      <c r="GPU18" s="1"/>
      <c r="GPV18" s="1"/>
      <c r="GPW18" s="1"/>
      <c r="GPX18" s="1"/>
      <c r="GPY18" s="1"/>
      <c r="GPZ18" s="1"/>
      <c r="GQA18" s="1"/>
      <c r="GQB18" s="1"/>
      <c r="GQC18" s="1"/>
      <c r="GQD18" s="1"/>
      <c r="GQE18" s="1"/>
      <c r="GQF18" s="1"/>
      <c r="GQG18" s="1"/>
      <c r="GQH18" s="1"/>
      <c r="GQI18" s="1"/>
      <c r="GQJ18" s="1"/>
      <c r="GQK18" s="1"/>
      <c r="GQL18" s="1"/>
      <c r="GQM18" s="1"/>
      <c r="GQN18" s="1"/>
      <c r="GQO18" s="1"/>
      <c r="GQP18" s="1"/>
      <c r="GQQ18" s="1"/>
      <c r="GQR18" s="1"/>
      <c r="GQS18" s="1"/>
      <c r="GQT18" s="1"/>
      <c r="GQU18" s="1"/>
      <c r="GQV18" s="1"/>
      <c r="GQW18" s="1"/>
      <c r="GQX18" s="1"/>
      <c r="GQY18" s="1"/>
      <c r="GQZ18" s="1"/>
      <c r="GRA18" s="1"/>
      <c r="GRB18" s="1"/>
      <c r="GRC18" s="1"/>
      <c r="GRD18" s="1"/>
      <c r="GRE18" s="1"/>
      <c r="GRF18" s="1"/>
      <c r="GRG18" s="1"/>
      <c r="GRH18" s="1"/>
      <c r="GRI18" s="1"/>
      <c r="GRJ18" s="1"/>
      <c r="GRK18" s="1"/>
      <c r="GRL18" s="1"/>
      <c r="GRM18" s="1"/>
      <c r="GRN18" s="1"/>
      <c r="GRO18" s="1"/>
      <c r="GRP18" s="1"/>
      <c r="GRQ18" s="1"/>
      <c r="GRR18" s="1"/>
      <c r="GRS18" s="1"/>
      <c r="GRT18" s="1"/>
      <c r="GRU18" s="1"/>
      <c r="GRV18" s="1"/>
      <c r="GRW18" s="1"/>
      <c r="GRX18" s="1"/>
      <c r="GRY18" s="1"/>
      <c r="GRZ18" s="1"/>
      <c r="GSA18" s="1"/>
      <c r="GSB18" s="1"/>
      <c r="GSC18" s="1"/>
      <c r="GSD18" s="1"/>
      <c r="GSE18" s="1"/>
      <c r="GSF18" s="1"/>
      <c r="GSG18" s="1"/>
      <c r="GSH18" s="1"/>
      <c r="GSI18" s="1"/>
      <c r="GSJ18" s="1"/>
      <c r="GSK18" s="1"/>
      <c r="GSL18" s="1"/>
      <c r="GSM18" s="1"/>
      <c r="GSN18" s="1"/>
      <c r="GSO18" s="1"/>
      <c r="GSP18" s="1"/>
      <c r="GSQ18" s="1"/>
      <c r="GSR18" s="1"/>
      <c r="GSS18" s="1"/>
      <c r="GST18" s="1"/>
      <c r="GSU18" s="1"/>
      <c r="GSV18" s="1"/>
      <c r="GSW18" s="1"/>
      <c r="GSX18" s="1"/>
      <c r="GSY18" s="1"/>
      <c r="GSZ18" s="1"/>
      <c r="GTA18" s="1"/>
      <c r="GTB18" s="1"/>
      <c r="GTC18" s="1"/>
      <c r="GTD18" s="1"/>
      <c r="GTE18" s="1"/>
      <c r="GTF18" s="1"/>
      <c r="GTG18" s="1"/>
      <c r="GTH18" s="1"/>
      <c r="GTI18" s="1"/>
      <c r="GTJ18" s="1"/>
      <c r="GTK18" s="1"/>
      <c r="GTL18" s="1"/>
      <c r="GTM18" s="1"/>
      <c r="GTN18" s="1"/>
      <c r="GTO18" s="1"/>
      <c r="GTP18" s="1"/>
      <c r="GTQ18" s="1"/>
      <c r="GTR18" s="1"/>
      <c r="GTS18" s="1"/>
      <c r="GTT18" s="1"/>
      <c r="GTU18" s="1"/>
      <c r="GTV18" s="1"/>
      <c r="GTW18" s="1"/>
      <c r="GTX18" s="1"/>
      <c r="GTY18" s="1"/>
      <c r="GTZ18" s="1"/>
      <c r="GUA18" s="1"/>
      <c r="GUB18" s="1"/>
      <c r="GUC18" s="1"/>
      <c r="GUD18" s="1"/>
      <c r="GUE18" s="1"/>
      <c r="GUF18" s="1"/>
      <c r="GUG18" s="1"/>
      <c r="GUH18" s="1"/>
      <c r="GUI18" s="1"/>
      <c r="GUJ18" s="1"/>
      <c r="GUK18" s="1"/>
      <c r="GUL18" s="1"/>
      <c r="GUM18" s="1"/>
      <c r="GUN18" s="1"/>
      <c r="GUO18" s="1"/>
      <c r="GUP18" s="1"/>
      <c r="GUQ18" s="1"/>
      <c r="GUR18" s="1"/>
      <c r="GUS18" s="1"/>
      <c r="GUT18" s="1"/>
      <c r="GUU18" s="1"/>
      <c r="GUV18" s="1"/>
      <c r="GUW18" s="1"/>
      <c r="GUX18" s="1"/>
      <c r="GUY18" s="1"/>
      <c r="GUZ18" s="1"/>
      <c r="GVA18" s="1"/>
      <c r="GVB18" s="1"/>
      <c r="GVC18" s="1"/>
      <c r="GVD18" s="1"/>
      <c r="GVE18" s="1"/>
      <c r="GVF18" s="1"/>
      <c r="GVG18" s="1"/>
      <c r="GVH18" s="1"/>
      <c r="GVI18" s="1"/>
      <c r="GVJ18" s="1"/>
      <c r="GVK18" s="1"/>
      <c r="GVL18" s="1"/>
      <c r="GVM18" s="1"/>
      <c r="GVN18" s="1"/>
      <c r="GVO18" s="1"/>
      <c r="GVP18" s="1"/>
      <c r="GVQ18" s="1"/>
      <c r="GVR18" s="1"/>
      <c r="GVS18" s="1"/>
      <c r="GVT18" s="1"/>
      <c r="GVU18" s="1"/>
      <c r="GVV18" s="1"/>
      <c r="GVW18" s="1"/>
      <c r="GVX18" s="1"/>
      <c r="GVY18" s="1"/>
      <c r="GVZ18" s="1"/>
      <c r="GWA18" s="1"/>
      <c r="GWB18" s="1"/>
      <c r="GWC18" s="1"/>
      <c r="GWD18" s="1"/>
      <c r="GWE18" s="1"/>
      <c r="GWF18" s="1"/>
      <c r="GWG18" s="1"/>
      <c r="GWH18" s="1"/>
      <c r="GWI18" s="1"/>
      <c r="GWJ18" s="1"/>
      <c r="GWK18" s="1"/>
      <c r="GWL18" s="1"/>
      <c r="GWM18" s="1"/>
      <c r="GWN18" s="1"/>
      <c r="GWO18" s="1"/>
      <c r="GWP18" s="1"/>
      <c r="GWQ18" s="1"/>
      <c r="GWR18" s="1"/>
      <c r="GWS18" s="1"/>
      <c r="GWT18" s="1"/>
      <c r="GWU18" s="1"/>
      <c r="GWV18" s="1"/>
      <c r="GWW18" s="1"/>
      <c r="GWX18" s="1"/>
      <c r="GWY18" s="1"/>
      <c r="GWZ18" s="1"/>
      <c r="GXA18" s="1"/>
      <c r="GXB18" s="1"/>
      <c r="GXC18" s="1"/>
      <c r="GXD18" s="1"/>
      <c r="GXE18" s="1"/>
      <c r="GXF18" s="1"/>
      <c r="GXG18" s="1"/>
      <c r="GXH18" s="1"/>
      <c r="GXI18" s="1"/>
      <c r="GXJ18" s="1"/>
      <c r="GXK18" s="1"/>
      <c r="GXL18" s="1"/>
      <c r="GXM18" s="1"/>
      <c r="GXN18" s="1"/>
      <c r="GXO18" s="1"/>
      <c r="GXP18" s="1"/>
      <c r="GXQ18" s="1"/>
      <c r="GXR18" s="1"/>
      <c r="GXS18" s="1"/>
      <c r="GXT18" s="1"/>
      <c r="GXU18" s="1"/>
      <c r="GXV18" s="1"/>
      <c r="GXW18" s="1"/>
      <c r="GXX18" s="1"/>
      <c r="GXY18" s="1"/>
      <c r="GXZ18" s="1"/>
      <c r="GYA18" s="1"/>
      <c r="GYB18" s="1"/>
      <c r="GYC18" s="1"/>
      <c r="GYD18" s="1"/>
      <c r="GYE18" s="1"/>
      <c r="GYF18" s="1"/>
      <c r="GYG18" s="1"/>
      <c r="GYH18" s="1"/>
      <c r="GYI18" s="1"/>
      <c r="GYJ18" s="1"/>
      <c r="GYK18" s="1"/>
      <c r="GYL18" s="1"/>
      <c r="GYM18" s="1"/>
      <c r="GYN18" s="1"/>
      <c r="GYO18" s="1"/>
      <c r="GYP18" s="1"/>
      <c r="GYQ18" s="1"/>
      <c r="GYR18" s="1"/>
      <c r="GYS18" s="1"/>
      <c r="GYT18" s="1"/>
      <c r="GYU18" s="1"/>
      <c r="GYV18" s="1"/>
      <c r="GYW18" s="1"/>
      <c r="GYX18" s="1"/>
      <c r="GYY18" s="1"/>
      <c r="GYZ18" s="1"/>
      <c r="GZA18" s="1"/>
      <c r="GZB18" s="1"/>
      <c r="GZC18" s="1"/>
      <c r="GZD18" s="1"/>
      <c r="GZE18" s="1"/>
      <c r="GZF18" s="1"/>
      <c r="GZG18" s="1"/>
      <c r="GZH18" s="1"/>
      <c r="GZI18" s="1"/>
      <c r="GZJ18" s="1"/>
      <c r="GZK18" s="1"/>
      <c r="GZL18" s="1"/>
      <c r="GZM18" s="1"/>
      <c r="GZN18" s="1"/>
      <c r="GZO18" s="1"/>
      <c r="GZP18" s="1"/>
      <c r="GZQ18" s="1"/>
      <c r="GZR18" s="1"/>
      <c r="GZS18" s="1"/>
      <c r="GZT18" s="1"/>
      <c r="GZU18" s="1"/>
      <c r="GZV18" s="1"/>
      <c r="GZW18" s="1"/>
      <c r="GZX18" s="1"/>
      <c r="GZY18" s="1"/>
      <c r="GZZ18" s="1"/>
      <c r="HAA18" s="1"/>
      <c r="HAB18" s="1"/>
      <c r="HAC18" s="1"/>
      <c r="HAD18" s="1"/>
      <c r="HAE18" s="1"/>
      <c r="HAF18" s="1"/>
      <c r="HAG18" s="1"/>
      <c r="HAH18" s="1"/>
      <c r="HAI18" s="1"/>
      <c r="HAJ18" s="1"/>
      <c r="HAK18" s="1"/>
      <c r="HAL18" s="1"/>
      <c r="HAM18" s="1"/>
      <c r="HAN18" s="1"/>
      <c r="HAO18" s="1"/>
      <c r="HAP18" s="1"/>
      <c r="HAQ18" s="1"/>
      <c r="HAR18" s="1"/>
      <c r="HAS18" s="1"/>
      <c r="HAT18" s="1"/>
      <c r="HAU18" s="1"/>
      <c r="HAV18" s="1"/>
      <c r="HAW18" s="1"/>
      <c r="HAX18" s="1"/>
      <c r="HAY18" s="1"/>
      <c r="HAZ18" s="1"/>
      <c r="HBA18" s="1"/>
      <c r="HBB18" s="1"/>
      <c r="HBC18" s="1"/>
      <c r="HBD18" s="1"/>
      <c r="HBE18" s="1"/>
      <c r="HBF18" s="1"/>
      <c r="HBG18" s="1"/>
      <c r="HBH18" s="1"/>
      <c r="HBI18" s="1"/>
      <c r="HBJ18" s="1"/>
      <c r="HBK18" s="1"/>
      <c r="HBL18" s="1"/>
      <c r="HBM18" s="1"/>
      <c r="HBN18" s="1"/>
      <c r="HBO18" s="1"/>
      <c r="HBP18" s="1"/>
      <c r="HBQ18" s="1"/>
      <c r="HBR18" s="1"/>
      <c r="HBS18" s="1"/>
      <c r="HBT18" s="1"/>
      <c r="HBU18" s="1"/>
      <c r="HBV18" s="1"/>
      <c r="HBW18" s="1"/>
      <c r="HBX18" s="1"/>
      <c r="HBY18" s="1"/>
      <c r="HBZ18" s="1"/>
      <c r="HCA18" s="1"/>
      <c r="HCB18" s="1"/>
      <c r="HCC18" s="1"/>
      <c r="HCD18" s="1"/>
      <c r="HCE18" s="1"/>
      <c r="HCF18" s="1"/>
      <c r="HCG18" s="1"/>
      <c r="HCH18" s="1"/>
      <c r="HCI18" s="1"/>
      <c r="HCJ18" s="1"/>
      <c r="HCK18" s="1"/>
      <c r="HCL18" s="1"/>
      <c r="HCM18" s="1"/>
      <c r="HCN18" s="1"/>
      <c r="HCO18" s="1"/>
      <c r="HCP18" s="1"/>
      <c r="HCQ18" s="1"/>
      <c r="HCR18" s="1"/>
      <c r="HCS18" s="1"/>
      <c r="HCT18" s="1"/>
      <c r="HCU18" s="1"/>
      <c r="HCV18" s="1"/>
      <c r="HCW18" s="1"/>
      <c r="HCX18" s="1"/>
      <c r="HCY18" s="1"/>
      <c r="HCZ18" s="1"/>
      <c r="HDA18" s="1"/>
      <c r="HDB18" s="1"/>
      <c r="HDC18" s="1"/>
      <c r="HDD18" s="1"/>
      <c r="HDE18" s="1"/>
      <c r="HDF18" s="1"/>
      <c r="HDG18" s="1"/>
      <c r="HDH18" s="1"/>
      <c r="HDI18" s="1"/>
      <c r="HDJ18" s="1"/>
      <c r="HDK18" s="1"/>
      <c r="HDL18" s="1"/>
      <c r="HDM18" s="1"/>
      <c r="HDN18" s="1"/>
      <c r="HDO18" s="1"/>
      <c r="HDP18" s="1"/>
      <c r="HDQ18" s="1"/>
      <c r="HDR18" s="1"/>
      <c r="HDS18" s="1"/>
      <c r="HDT18" s="1"/>
      <c r="HDU18" s="1"/>
      <c r="HDV18" s="1"/>
      <c r="HDW18" s="1"/>
      <c r="HDX18" s="1"/>
      <c r="HDY18" s="1"/>
      <c r="HDZ18" s="1"/>
      <c r="HEA18" s="1"/>
      <c r="HEB18" s="1"/>
      <c r="HEC18" s="1"/>
      <c r="HED18" s="1"/>
      <c r="HEE18" s="1"/>
      <c r="HEF18" s="1"/>
      <c r="HEG18" s="1"/>
      <c r="HEH18" s="1"/>
      <c r="HEI18" s="1"/>
      <c r="HEJ18" s="1"/>
      <c r="HEK18" s="1"/>
      <c r="HEL18" s="1"/>
      <c r="HEM18" s="1"/>
      <c r="HEN18" s="1"/>
      <c r="HEO18" s="1"/>
      <c r="HEP18" s="1"/>
      <c r="HEQ18" s="1"/>
      <c r="HER18" s="1"/>
      <c r="HES18" s="1"/>
      <c r="HET18" s="1"/>
      <c r="HEU18" s="1"/>
      <c r="HEV18" s="1"/>
      <c r="HEW18" s="1"/>
      <c r="HEX18" s="1"/>
      <c r="HEY18" s="1"/>
      <c r="HEZ18" s="1"/>
      <c r="HFA18" s="1"/>
      <c r="HFB18" s="1"/>
      <c r="HFC18" s="1"/>
      <c r="HFD18" s="1"/>
      <c r="HFE18" s="1"/>
      <c r="HFF18" s="1"/>
      <c r="HFG18" s="1"/>
      <c r="HFH18" s="1"/>
      <c r="HFI18" s="1"/>
      <c r="HFJ18" s="1"/>
      <c r="HFK18" s="1"/>
      <c r="HFL18" s="1"/>
      <c r="HFM18" s="1"/>
      <c r="HFN18" s="1"/>
      <c r="HFO18" s="1"/>
      <c r="HFP18" s="1"/>
      <c r="HFQ18" s="1"/>
      <c r="HFR18" s="1"/>
      <c r="HFS18" s="1"/>
      <c r="HFT18" s="1"/>
      <c r="HFU18" s="1"/>
      <c r="HFV18" s="1"/>
      <c r="HFW18" s="1"/>
      <c r="HFX18" s="1"/>
      <c r="HFY18" s="1"/>
      <c r="HFZ18" s="1"/>
      <c r="HGA18" s="1"/>
      <c r="HGB18" s="1"/>
      <c r="HGC18" s="1"/>
      <c r="HGD18" s="1"/>
      <c r="HGE18" s="1"/>
      <c r="HGF18" s="1"/>
      <c r="HGG18" s="1"/>
      <c r="HGH18" s="1"/>
      <c r="HGI18" s="1"/>
      <c r="HGJ18" s="1"/>
      <c r="HGK18" s="1"/>
      <c r="HGL18" s="1"/>
      <c r="HGM18" s="1"/>
      <c r="HGN18" s="1"/>
      <c r="HGO18" s="1"/>
      <c r="HGP18" s="1"/>
      <c r="HGQ18" s="1"/>
      <c r="HGR18" s="1"/>
      <c r="HGS18" s="1"/>
      <c r="HGT18" s="1"/>
      <c r="HGU18" s="1"/>
      <c r="HGV18" s="1"/>
      <c r="HGW18" s="1"/>
      <c r="HGX18" s="1"/>
      <c r="HGY18" s="1"/>
      <c r="HGZ18" s="1"/>
      <c r="HHA18" s="1"/>
      <c r="HHB18" s="1"/>
      <c r="HHC18" s="1"/>
      <c r="HHD18" s="1"/>
      <c r="HHE18" s="1"/>
      <c r="HHF18" s="1"/>
      <c r="HHG18" s="1"/>
      <c r="HHH18" s="1"/>
      <c r="HHI18" s="1"/>
      <c r="HHJ18" s="1"/>
      <c r="HHK18" s="1"/>
      <c r="HHL18" s="1"/>
      <c r="HHM18" s="1"/>
      <c r="HHN18" s="1"/>
      <c r="HHO18" s="1"/>
      <c r="HHP18" s="1"/>
      <c r="HHQ18" s="1"/>
      <c r="HHR18" s="1"/>
      <c r="HHS18" s="1"/>
      <c r="HHT18" s="1"/>
      <c r="HHU18" s="1"/>
      <c r="HHV18" s="1"/>
      <c r="HHW18" s="1"/>
      <c r="HHX18" s="1"/>
      <c r="HHY18" s="1"/>
      <c r="HHZ18" s="1"/>
      <c r="HIA18" s="1"/>
      <c r="HIB18" s="1"/>
      <c r="HIC18" s="1"/>
      <c r="HID18" s="1"/>
      <c r="HIE18" s="1"/>
      <c r="HIF18" s="1"/>
      <c r="HIG18" s="1"/>
      <c r="HIH18" s="1"/>
      <c r="HII18" s="1"/>
      <c r="HIJ18" s="1"/>
      <c r="HIK18" s="1"/>
      <c r="HIL18" s="1"/>
      <c r="HIM18" s="1"/>
      <c r="HIN18" s="1"/>
      <c r="HIO18" s="1"/>
      <c r="HIP18" s="1"/>
      <c r="HIQ18" s="1"/>
      <c r="HIR18" s="1"/>
      <c r="HIS18" s="1"/>
      <c r="HIT18" s="1"/>
      <c r="HIU18" s="1"/>
      <c r="HIV18" s="1"/>
      <c r="HIW18" s="1"/>
      <c r="HIX18" s="1"/>
      <c r="HIY18" s="1"/>
      <c r="HIZ18" s="1"/>
      <c r="HJA18" s="1"/>
      <c r="HJB18" s="1"/>
      <c r="HJC18" s="1"/>
      <c r="HJD18" s="1"/>
      <c r="HJE18" s="1"/>
      <c r="HJF18" s="1"/>
      <c r="HJG18" s="1"/>
      <c r="HJH18" s="1"/>
      <c r="HJI18" s="1"/>
      <c r="HJJ18" s="1"/>
      <c r="HJK18" s="1"/>
      <c r="HJL18" s="1"/>
      <c r="HJM18" s="1"/>
      <c r="HJN18" s="1"/>
      <c r="HJO18" s="1"/>
      <c r="HJP18" s="1"/>
      <c r="HJQ18" s="1"/>
      <c r="HJR18" s="1"/>
      <c r="HJS18" s="1"/>
      <c r="HJT18" s="1"/>
      <c r="HJU18" s="1"/>
      <c r="HJV18" s="1"/>
      <c r="HJW18" s="1"/>
      <c r="HJX18" s="1"/>
      <c r="HJY18" s="1"/>
      <c r="HJZ18" s="1"/>
      <c r="HKA18" s="1"/>
      <c r="HKB18" s="1"/>
      <c r="HKC18" s="1"/>
      <c r="HKD18" s="1"/>
      <c r="HKE18" s="1"/>
      <c r="HKF18" s="1"/>
      <c r="HKG18" s="1"/>
      <c r="HKH18" s="1"/>
      <c r="HKI18" s="1"/>
      <c r="HKJ18" s="1"/>
      <c r="HKK18" s="1"/>
      <c r="HKL18" s="1"/>
      <c r="HKM18" s="1"/>
      <c r="HKN18" s="1"/>
      <c r="HKO18" s="1"/>
      <c r="HKP18" s="1"/>
      <c r="HKQ18" s="1"/>
      <c r="HKR18" s="1"/>
      <c r="HKS18" s="1"/>
      <c r="HKT18" s="1"/>
      <c r="HKU18" s="1"/>
      <c r="HKV18" s="1"/>
      <c r="HKW18" s="1"/>
      <c r="HKX18" s="1"/>
      <c r="HKY18" s="1"/>
      <c r="HKZ18" s="1"/>
      <c r="HLA18" s="1"/>
      <c r="HLB18" s="1"/>
      <c r="HLC18" s="1"/>
      <c r="HLD18" s="1"/>
      <c r="HLE18" s="1"/>
      <c r="HLF18" s="1"/>
      <c r="HLG18" s="1"/>
      <c r="HLH18" s="1"/>
      <c r="HLI18" s="1"/>
      <c r="HLJ18" s="1"/>
      <c r="HLK18" s="1"/>
      <c r="HLL18" s="1"/>
      <c r="HLM18" s="1"/>
      <c r="HLN18" s="1"/>
      <c r="HLO18" s="1"/>
      <c r="HLP18" s="1"/>
      <c r="HLQ18" s="1"/>
      <c r="HLR18" s="1"/>
      <c r="HLS18" s="1"/>
      <c r="HLT18" s="1"/>
      <c r="HLU18" s="1"/>
      <c r="HLV18" s="1"/>
      <c r="HLW18" s="1"/>
      <c r="HLX18" s="1"/>
      <c r="HLY18" s="1"/>
      <c r="HLZ18" s="1"/>
      <c r="HMA18" s="1"/>
      <c r="HMB18" s="1"/>
      <c r="HMC18" s="1"/>
      <c r="HMD18" s="1"/>
      <c r="HME18" s="1"/>
      <c r="HMF18" s="1"/>
      <c r="HMG18" s="1"/>
      <c r="HMH18" s="1"/>
      <c r="HMI18" s="1"/>
      <c r="HMJ18" s="1"/>
      <c r="HMK18" s="1"/>
      <c r="HML18" s="1"/>
      <c r="HMM18" s="1"/>
      <c r="HMN18" s="1"/>
      <c r="HMO18" s="1"/>
      <c r="HMP18" s="1"/>
      <c r="HMQ18" s="1"/>
      <c r="HMR18" s="1"/>
      <c r="HMS18" s="1"/>
      <c r="HMT18" s="1"/>
      <c r="HMU18" s="1"/>
      <c r="HMV18" s="1"/>
      <c r="HMW18" s="1"/>
      <c r="HMX18" s="1"/>
      <c r="HMY18" s="1"/>
      <c r="HMZ18" s="1"/>
      <c r="HNA18" s="1"/>
      <c r="HNB18" s="1"/>
      <c r="HNC18" s="1"/>
      <c r="HND18" s="1"/>
      <c r="HNE18" s="1"/>
      <c r="HNF18" s="1"/>
      <c r="HNG18" s="1"/>
      <c r="HNH18" s="1"/>
      <c r="HNI18" s="1"/>
      <c r="HNJ18" s="1"/>
      <c r="HNK18" s="1"/>
      <c r="HNL18" s="1"/>
      <c r="HNM18" s="1"/>
      <c r="HNN18" s="1"/>
      <c r="HNO18" s="1"/>
      <c r="HNP18" s="1"/>
      <c r="HNQ18" s="1"/>
      <c r="HNR18" s="1"/>
      <c r="HNS18" s="1"/>
      <c r="HNT18" s="1"/>
      <c r="HNU18" s="1"/>
      <c r="HNV18" s="1"/>
      <c r="HNW18" s="1"/>
      <c r="HNX18" s="1"/>
      <c r="HNY18" s="1"/>
      <c r="HNZ18" s="1"/>
      <c r="HOA18" s="1"/>
      <c r="HOB18" s="1"/>
      <c r="HOC18" s="1"/>
      <c r="HOD18" s="1"/>
      <c r="HOE18" s="1"/>
      <c r="HOF18" s="1"/>
      <c r="HOG18" s="1"/>
      <c r="HOH18" s="1"/>
      <c r="HOI18" s="1"/>
      <c r="HOJ18" s="1"/>
      <c r="HOK18" s="1"/>
      <c r="HOL18" s="1"/>
      <c r="HOM18" s="1"/>
      <c r="HON18" s="1"/>
      <c r="HOO18" s="1"/>
      <c r="HOP18" s="1"/>
      <c r="HOQ18" s="1"/>
      <c r="HOR18" s="1"/>
      <c r="HOS18" s="1"/>
      <c r="HOT18" s="1"/>
      <c r="HOU18" s="1"/>
      <c r="HOV18" s="1"/>
      <c r="HOW18" s="1"/>
      <c r="HOX18" s="1"/>
      <c r="HOY18" s="1"/>
      <c r="HOZ18" s="1"/>
      <c r="HPA18" s="1"/>
      <c r="HPB18" s="1"/>
      <c r="HPC18" s="1"/>
      <c r="HPD18" s="1"/>
      <c r="HPE18" s="1"/>
      <c r="HPF18" s="1"/>
      <c r="HPG18" s="1"/>
      <c r="HPH18" s="1"/>
      <c r="HPI18" s="1"/>
      <c r="HPJ18" s="1"/>
      <c r="HPK18" s="1"/>
      <c r="HPL18" s="1"/>
      <c r="HPM18" s="1"/>
      <c r="HPN18" s="1"/>
      <c r="HPO18" s="1"/>
      <c r="HPP18" s="1"/>
      <c r="HPQ18" s="1"/>
      <c r="HPR18" s="1"/>
      <c r="HPS18" s="1"/>
      <c r="HPT18" s="1"/>
      <c r="HPU18" s="1"/>
      <c r="HPV18" s="1"/>
      <c r="HPW18" s="1"/>
      <c r="HPX18" s="1"/>
      <c r="HPY18" s="1"/>
      <c r="HPZ18" s="1"/>
      <c r="HQA18" s="1"/>
      <c r="HQB18" s="1"/>
      <c r="HQC18" s="1"/>
      <c r="HQD18" s="1"/>
      <c r="HQE18" s="1"/>
      <c r="HQF18" s="1"/>
      <c r="HQG18" s="1"/>
      <c r="HQH18" s="1"/>
      <c r="HQI18" s="1"/>
      <c r="HQJ18" s="1"/>
      <c r="HQK18" s="1"/>
      <c r="HQL18" s="1"/>
      <c r="HQM18" s="1"/>
      <c r="HQN18" s="1"/>
      <c r="HQO18" s="1"/>
      <c r="HQP18" s="1"/>
      <c r="HQQ18" s="1"/>
      <c r="HQR18" s="1"/>
      <c r="HQS18" s="1"/>
      <c r="HQT18" s="1"/>
      <c r="HQU18" s="1"/>
      <c r="HQV18" s="1"/>
      <c r="HQW18" s="1"/>
      <c r="HQX18" s="1"/>
      <c r="HQY18" s="1"/>
      <c r="HQZ18" s="1"/>
      <c r="HRA18" s="1"/>
      <c r="HRB18" s="1"/>
      <c r="HRC18" s="1"/>
      <c r="HRD18" s="1"/>
      <c r="HRE18" s="1"/>
      <c r="HRF18" s="1"/>
      <c r="HRG18" s="1"/>
      <c r="HRH18" s="1"/>
      <c r="HRI18" s="1"/>
      <c r="HRJ18" s="1"/>
      <c r="HRK18" s="1"/>
      <c r="HRL18" s="1"/>
      <c r="HRM18" s="1"/>
      <c r="HRN18" s="1"/>
      <c r="HRO18" s="1"/>
      <c r="HRP18" s="1"/>
      <c r="HRQ18" s="1"/>
      <c r="HRR18" s="1"/>
      <c r="HRS18" s="1"/>
      <c r="HRT18" s="1"/>
      <c r="HRU18" s="1"/>
      <c r="HRV18" s="1"/>
      <c r="HRW18" s="1"/>
      <c r="HRX18" s="1"/>
      <c r="HRY18" s="1"/>
      <c r="HRZ18" s="1"/>
      <c r="HSA18" s="1"/>
      <c r="HSB18" s="1"/>
      <c r="HSC18" s="1"/>
      <c r="HSD18" s="1"/>
      <c r="HSE18" s="1"/>
      <c r="HSF18" s="1"/>
      <c r="HSG18" s="1"/>
      <c r="HSH18" s="1"/>
      <c r="HSI18" s="1"/>
      <c r="HSJ18" s="1"/>
      <c r="HSK18" s="1"/>
      <c r="HSL18" s="1"/>
      <c r="HSM18" s="1"/>
      <c r="HSN18" s="1"/>
      <c r="HSO18" s="1"/>
      <c r="HSP18" s="1"/>
      <c r="HSQ18" s="1"/>
      <c r="HSR18" s="1"/>
      <c r="HSS18" s="1"/>
      <c r="HST18" s="1"/>
      <c r="HSU18" s="1"/>
      <c r="HSV18" s="1"/>
      <c r="HSW18" s="1"/>
      <c r="HSX18" s="1"/>
      <c r="HSY18" s="1"/>
      <c r="HSZ18" s="1"/>
      <c r="HTA18" s="1"/>
      <c r="HTB18" s="1"/>
      <c r="HTC18" s="1"/>
      <c r="HTD18" s="1"/>
      <c r="HTE18" s="1"/>
      <c r="HTF18" s="1"/>
      <c r="HTG18" s="1"/>
      <c r="HTH18" s="1"/>
      <c r="HTI18" s="1"/>
      <c r="HTJ18" s="1"/>
      <c r="HTK18" s="1"/>
      <c r="HTL18" s="1"/>
      <c r="HTM18" s="1"/>
      <c r="HTN18" s="1"/>
      <c r="HTO18" s="1"/>
      <c r="HTP18" s="1"/>
      <c r="HTQ18" s="1"/>
      <c r="HTR18" s="1"/>
      <c r="HTS18" s="1"/>
      <c r="HTT18" s="1"/>
      <c r="HTU18" s="1"/>
      <c r="HTV18" s="1"/>
      <c r="HTW18" s="1"/>
      <c r="HTX18" s="1"/>
      <c r="HTY18" s="1"/>
      <c r="HTZ18" s="1"/>
      <c r="HUA18" s="1"/>
      <c r="HUB18" s="1"/>
      <c r="HUC18" s="1"/>
      <c r="HUD18" s="1"/>
      <c r="HUE18" s="1"/>
      <c r="HUF18" s="1"/>
      <c r="HUG18" s="1"/>
      <c r="HUH18" s="1"/>
      <c r="HUI18" s="1"/>
      <c r="HUJ18" s="1"/>
      <c r="HUK18" s="1"/>
      <c r="HUL18" s="1"/>
      <c r="HUM18" s="1"/>
      <c r="HUN18" s="1"/>
      <c r="HUO18" s="1"/>
      <c r="HUP18" s="1"/>
      <c r="HUQ18" s="1"/>
      <c r="HUR18" s="1"/>
      <c r="HUS18" s="1"/>
      <c r="HUT18" s="1"/>
      <c r="HUU18" s="1"/>
      <c r="HUV18" s="1"/>
      <c r="HUW18" s="1"/>
      <c r="HUX18" s="1"/>
      <c r="HUY18" s="1"/>
      <c r="HUZ18" s="1"/>
      <c r="HVA18" s="1"/>
      <c r="HVB18" s="1"/>
      <c r="HVC18" s="1"/>
      <c r="HVD18" s="1"/>
      <c r="HVE18" s="1"/>
      <c r="HVF18" s="1"/>
      <c r="HVG18" s="1"/>
      <c r="HVH18" s="1"/>
      <c r="HVI18" s="1"/>
      <c r="HVJ18" s="1"/>
      <c r="HVK18" s="1"/>
      <c r="HVL18" s="1"/>
      <c r="HVM18" s="1"/>
      <c r="HVN18" s="1"/>
      <c r="HVO18" s="1"/>
      <c r="HVP18" s="1"/>
      <c r="HVQ18" s="1"/>
      <c r="HVR18" s="1"/>
      <c r="HVS18" s="1"/>
      <c r="HVT18" s="1"/>
      <c r="HVU18" s="1"/>
      <c r="HVV18" s="1"/>
      <c r="HVW18" s="1"/>
      <c r="HVX18" s="1"/>
      <c r="HVY18" s="1"/>
      <c r="HVZ18" s="1"/>
      <c r="HWA18" s="1"/>
      <c r="HWB18" s="1"/>
      <c r="HWC18" s="1"/>
      <c r="HWD18" s="1"/>
      <c r="HWE18" s="1"/>
      <c r="HWF18" s="1"/>
      <c r="HWG18" s="1"/>
      <c r="HWH18" s="1"/>
      <c r="HWI18" s="1"/>
      <c r="HWJ18" s="1"/>
      <c r="HWK18" s="1"/>
      <c r="HWL18" s="1"/>
      <c r="HWM18" s="1"/>
      <c r="HWN18" s="1"/>
      <c r="HWO18" s="1"/>
      <c r="HWP18" s="1"/>
      <c r="HWQ18" s="1"/>
      <c r="HWR18" s="1"/>
      <c r="HWS18" s="1"/>
      <c r="HWT18" s="1"/>
      <c r="HWU18" s="1"/>
      <c r="HWV18" s="1"/>
      <c r="HWW18" s="1"/>
      <c r="HWX18" s="1"/>
      <c r="HWY18" s="1"/>
      <c r="HWZ18" s="1"/>
      <c r="HXA18" s="1"/>
      <c r="HXB18" s="1"/>
      <c r="HXC18" s="1"/>
      <c r="HXD18" s="1"/>
      <c r="HXE18" s="1"/>
      <c r="HXF18" s="1"/>
      <c r="HXG18" s="1"/>
      <c r="HXH18" s="1"/>
      <c r="HXI18" s="1"/>
      <c r="HXJ18" s="1"/>
      <c r="HXK18" s="1"/>
      <c r="HXL18" s="1"/>
      <c r="HXM18" s="1"/>
      <c r="HXN18" s="1"/>
      <c r="HXO18" s="1"/>
      <c r="HXP18" s="1"/>
      <c r="HXQ18" s="1"/>
      <c r="HXR18" s="1"/>
      <c r="HXS18" s="1"/>
      <c r="HXT18" s="1"/>
      <c r="HXU18" s="1"/>
      <c r="HXV18" s="1"/>
      <c r="HXW18" s="1"/>
      <c r="HXX18" s="1"/>
      <c r="HXY18" s="1"/>
      <c r="HXZ18" s="1"/>
      <c r="HYA18" s="1"/>
      <c r="HYB18" s="1"/>
      <c r="HYC18" s="1"/>
      <c r="HYD18" s="1"/>
      <c r="HYE18" s="1"/>
      <c r="HYF18" s="1"/>
      <c r="HYG18" s="1"/>
      <c r="HYH18" s="1"/>
      <c r="HYI18" s="1"/>
      <c r="HYJ18" s="1"/>
      <c r="HYK18" s="1"/>
      <c r="HYL18" s="1"/>
      <c r="HYM18" s="1"/>
      <c r="HYN18" s="1"/>
      <c r="HYO18" s="1"/>
      <c r="HYP18" s="1"/>
      <c r="HYQ18" s="1"/>
      <c r="HYR18" s="1"/>
      <c r="HYS18" s="1"/>
      <c r="HYT18" s="1"/>
      <c r="HYU18" s="1"/>
      <c r="HYV18" s="1"/>
      <c r="HYW18" s="1"/>
      <c r="HYX18" s="1"/>
      <c r="HYY18" s="1"/>
      <c r="HYZ18" s="1"/>
      <c r="HZA18" s="1"/>
      <c r="HZB18" s="1"/>
      <c r="HZC18" s="1"/>
      <c r="HZD18" s="1"/>
      <c r="HZE18" s="1"/>
      <c r="HZF18" s="1"/>
      <c r="HZG18" s="1"/>
      <c r="HZH18" s="1"/>
      <c r="HZI18" s="1"/>
      <c r="HZJ18" s="1"/>
      <c r="HZK18" s="1"/>
      <c r="HZL18" s="1"/>
      <c r="HZM18" s="1"/>
      <c r="HZN18" s="1"/>
      <c r="HZO18" s="1"/>
      <c r="HZP18" s="1"/>
      <c r="HZQ18" s="1"/>
      <c r="HZR18" s="1"/>
      <c r="HZS18" s="1"/>
      <c r="HZT18" s="1"/>
      <c r="HZU18" s="1"/>
      <c r="HZV18" s="1"/>
      <c r="HZW18" s="1"/>
      <c r="HZX18" s="1"/>
      <c r="HZY18" s="1"/>
      <c r="HZZ18" s="1"/>
      <c r="IAA18" s="1"/>
      <c r="IAB18" s="1"/>
      <c r="IAC18" s="1"/>
      <c r="IAD18" s="1"/>
      <c r="IAE18" s="1"/>
      <c r="IAF18" s="1"/>
      <c r="IAG18" s="1"/>
      <c r="IAH18" s="1"/>
      <c r="IAI18" s="1"/>
      <c r="IAJ18" s="1"/>
      <c r="IAK18" s="1"/>
      <c r="IAL18" s="1"/>
      <c r="IAM18" s="1"/>
      <c r="IAN18" s="1"/>
      <c r="IAO18" s="1"/>
      <c r="IAP18" s="1"/>
      <c r="IAQ18" s="1"/>
      <c r="IAR18" s="1"/>
      <c r="IAS18" s="1"/>
      <c r="IAT18" s="1"/>
      <c r="IAU18" s="1"/>
      <c r="IAV18" s="1"/>
      <c r="IAW18" s="1"/>
      <c r="IAX18" s="1"/>
      <c r="IAY18" s="1"/>
      <c r="IAZ18" s="1"/>
      <c r="IBA18" s="1"/>
      <c r="IBB18" s="1"/>
      <c r="IBC18" s="1"/>
      <c r="IBD18" s="1"/>
      <c r="IBE18" s="1"/>
      <c r="IBF18" s="1"/>
      <c r="IBG18" s="1"/>
      <c r="IBH18" s="1"/>
      <c r="IBI18" s="1"/>
      <c r="IBJ18" s="1"/>
      <c r="IBK18" s="1"/>
      <c r="IBL18" s="1"/>
      <c r="IBM18" s="1"/>
      <c r="IBN18" s="1"/>
      <c r="IBO18" s="1"/>
      <c r="IBP18" s="1"/>
      <c r="IBQ18" s="1"/>
      <c r="IBR18" s="1"/>
      <c r="IBS18" s="1"/>
      <c r="IBT18" s="1"/>
      <c r="IBU18" s="1"/>
      <c r="IBV18" s="1"/>
      <c r="IBW18" s="1"/>
      <c r="IBX18" s="1"/>
      <c r="IBY18" s="1"/>
      <c r="IBZ18" s="1"/>
      <c r="ICA18" s="1"/>
      <c r="ICB18" s="1"/>
      <c r="ICC18" s="1"/>
      <c r="ICD18" s="1"/>
      <c r="ICE18" s="1"/>
      <c r="ICF18" s="1"/>
      <c r="ICG18" s="1"/>
      <c r="ICH18" s="1"/>
      <c r="ICI18" s="1"/>
      <c r="ICJ18" s="1"/>
      <c r="ICK18" s="1"/>
      <c r="ICL18" s="1"/>
      <c r="ICM18" s="1"/>
      <c r="ICN18" s="1"/>
      <c r="ICO18" s="1"/>
      <c r="ICP18" s="1"/>
      <c r="ICQ18" s="1"/>
      <c r="ICR18" s="1"/>
      <c r="ICS18" s="1"/>
      <c r="ICT18" s="1"/>
      <c r="ICU18" s="1"/>
      <c r="ICV18" s="1"/>
      <c r="ICW18" s="1"/>
      <c r="ICX18" s="1"/>
      <c r="ICY18" s="1"/>
      <c r="ICZ18" s="1"/>
      <c r="IDA18" s="1"/>
      <c r="IDB18" s="1"/>
      <c r="IDC18" s="1"/>
      <c r="IDD18" s="1"/>
      <c r="IDE18" s="1"/>
      <c r="IDF18" s="1"/>
      <c r="IDG18" s="1"/>
      <c r="IDH18" s="1"/>
      <c r="IDI18" s="1"/>
      <c r="IDJ18" s="1"/>
      <c r="IDK18" s="1"/>
      <c r="IDL18" s="1"/>
      <c r="IDM18" s="1"/>
      <c r="IDN18" s="1"/>
      <c r="IDO18" s="1"/>
      <c r="IDP18" s="1"/>
      <c r="IDQ18" s="1"/>
      <c r="IDR18" s="1"/>
      <c r="IDS18" s="1"/>
      <c r="IDT18" s="1"/>
      <c r="IDU18" s="1"/>
      <c r="IDV18" s="1"/>
      <c r="IDW18" s="1"/>
      <c r="IDX18" s="1"/>
      <c r="IDY18" s="1"/>
      <c r="IDZ18" s="1"/>
      <c r="IEA18" s="1"/>
      <c r="IEB18" s="1"/>
      <c r="IEC18" s="1"/>
      <c r="IED18" s="1"/>
      <c r="IEE18" s="1"/>
      <c r="IEF18" s="1"/>
      <c r="IEG18" s="1"/>
      <c r="IEH18" s="1"/>
      <c r="IEI18" s="1"/>
      <c r="IEJ18" s="1"/>
      <c r="IEK18" s="1"/>
      <c r="IEL18" s="1"/>
      <c r="IEM18" s="1"/>
      <c r="IEN18" s="1"/>
      <c r="IEO18" s="1"/>
      <c r="IEP18" s="1"/>
      <c r="IEQ18" s="1"/>
      <c r="IER18" s="1"/>
      <c r="IES18" s="1"/>
      <c r="IET18" s="1"/>
      <c r="IEU18" s="1"/>
      <c r="IEV18" s="1"/>
      <c r="IEW18" s="1"/>
      <c r="IEX18" s="1"/>
      <c r="IEY18" s="1"/>
      <c r="IEZ18" s="1"/>
      <c r="IFA18" s="1"/>
      <c r="IFB18" s="1"/>
      <c r="IFC18" s="1"/>
      <c r="IFD18" s="1"/>
      <c r="IFE18" s="1"/>
      <c r="IFF18" s="1"/>
      <c r="IFG18" s="1"/>
      <c r="IFH18" s="1"/>
      <c r="IFI18" s="1"/>
      <c r="IFJ18" s="1"/>
      <c r="IFK18" s="1"/>
      <c r="IFL18" s="1"/>
      <c r="IFM18" s="1"/>
      <c r="IFN18" s="1"/>
      <c r="IFO18" s="1"/>
      <c r="IFP18" s="1"/>
      <c r="IFQ18" s="1"/>
      <c r="IFR18" s="1"/>
      <c r="IFS18" s="1"/>
      <c r="IFT18" s="1"/>
      <c r="IFU18" s="1"/>
      <c r="IFV18" s="1"/>
      <c r="IFW18" s="1"/>
      <c r="IFX18" s="1"/>
      <c r="IFY18" s="1"/>
      <c r="IFZ18" s="1"/>
      <c r="IGA18" s="1"/>
      <c r="IGB18" s="1"/>
      <c r="IGC18" s="1"/>
      <c r="IGD18" s="1"/>
      <c r="IGE18" s="1"/>
      <c r="IGF18" s="1"/>
      <c r="IGG18" s="1"/>
      <c r="IGH18" s="1"/>
      <c r="IGI18" s="1"/>
      <c r="IGJ18" s="1"/>
      <c r="IGK18" s="1"/>
      <c r="IGL18" s="1"/>
      <c r="IGM18" s="1"/>
      <c r="IGN18" s="1"/>
      <c r="IGO18" s="1"/>
      <c r="IGP18" s="1"/>
      <c r="IGQ18" s="1"/>
      <c r="IGR18" s="1"/>
      <c r="IGS18" s="1"/>
      <c r="IGT18" s="1"/>
      <c r="IGU18" s="1"/>
      <c r="IGV18" s="1"/>
      <c r="IGW18" s="1"/>
      <c r="IGX18" s="1"/>
      <c r="IGY18" s="1"/>
      <c r="IGZ18" s="1"/>
      <c r="IHA18" s="1"/>
      <c r="IHB18" s="1"/>
      <c r="IHC18" s="1"/>
      <c r="IHD18" s="1"/>
      <c r="IHE18" s="1"/>
      <c r="IHF18" s="1"/>
      <c r="IHG18" s="1"/>
      <c r="IHH18" s="1"/>
      <c r="IHI18" s="1"/>
      <c r="IHJ18" s="1"/>
      <c r="IHK18" s="1"/>
      <c r="IHL18" s="1"/>
      <c r="IHM18" s="1"/>
      <c r="IHN18" s="1"/>
      <c r="IHO18" s="1"/>
      <c r="IHP18" s="1"/>
      <c r="IHQ18" s="1"/>
      <c r="IHR18" s="1"/>
      <c r="IHS18" s="1"/>
      <c r="IHT18" s="1"/>
      <c r="IHU18" s="1"/>
      <c r="IHV18" s="1"/>
      <c r="IHW18" s="1"/>
      <c r="IHX18" s="1"/>
      <c r="IHY18" s="1"/>
      <c r="IHZ18" s="1"/>
      <c r="IIA18" s="1"/>
      <c r="IIB18" s="1"/>
      <c r="IIC18" s="1"/>
      <c r="IID18" s="1"/>
      <c r="IIE18" s="1"/>
      <c r="IIF18" s="1"/>
      <c r="IIG18" s="1"/>
      <c r="IIH18" s="1"/>
      <c r="III18" s="1"/>
      <c r="IIJ18" s="1"/>
      <c r="IIK18" s="1"/>
      <c r="IIL18" s="1"/>
      <c r="IIM18" s="1"/>
      <c r="IIN18" s="1"/>
      <c r="IIO18" s="1"/>
      <c r="IIP18" s="1"/>
      <c r="IIQ18" s="1"/>
      <c r="IIR18" s="1"/>
      <c r="IIS18" s="1"/>
      <c r="IIT18" s="1"/>
      <c r="IIU18" s="1"/>
      <c r="IIV18" s="1"/>
      <c r="IIW18" s="1"/>
      <c r="IIX18" s="1"/>
      <c r="IIY18" s="1"/>
      <c r="IIZ18" s="1"/>
      <c r="IJA18" s="1"/>
      <c r="IJB18" s="1"/>
      <c r="IJC18" s="1"/>
      <c r="IJD18" s="1"/>
      <c r="IJE18" s="1"/>
      <c r="IJF18" s="1"/>
      <c r="IJG18" s="1"/>
      <c r="IJH18" s="1"/>
      <c r="IJI18" s="1"/>
      <c r="IJJ18" s="1"/>
      <c r="IJK18" s="1"/>
      <c r="IJL18" s="1"/>
      <c r="IJM18" s="1"/>
      <c r="IJN18" s="1"/>
      <c r="IJO18" s="1"/>
      <c r="IJP18" s="1"/>
      <c r="IJQ18" s="1"/>
      <c r="IJR18" s="1"/>
      <c r="IJS18" s="1"/>
      <c r="IJT18" s="1"/>
      <c r="IJU18" s="1"/>
      <c r="IJV18" s="1"/>
      <c r="IJW18" s="1"/>
      <c r="IJX18" s="1"/>
      <c r="IJY18" s="1"/>
      <c r="IJZ18" s="1"/>
      <c r="IKA18" s="1"/>
      <c r="IKB18" s="1"/>
      <c r="IKC18" s="1"/>
      <c r="IKD18" s="1"/>
      <c r="IKE18" s="1"/>
      <c r="IKF18" s="1"/>
      <c r="IKG18" s="1"/>
      <c r="IKH18" s="1"/>
      <c r="IKI18" s="1"/>
      <c r="IKJ18" s="1"/>
      <c r="IKK18" s="1"/>
      <c r="IKL18" s="1"/>
      <c r="IKM18" s="1"/>
      <c r="IKN18" s="1"/>
      <c r="IKO18" s="1"/>
      <c r="IKP18" s="1"/>
      <c r="IKQ18" s="1"/>
      <c r="IKR18" s="1"/>
      <c r="IKS18" s="1"/>
      <c r="IKT18" s="1"/>
      <c r="IKU18" s="1"/>
      <c r="IKV18" s="1"/>
      <c r="IKW18" s="1"/>
      <c r="IKX18" s="1"/>
      <c r="IKY18" s="1"/>
      <c r="IKZ18" s="1"/>
      <c r="ILA18" s="1"/>
      <c r="ILB18" s="1"/>
      <c r="ILC18" s="1"/>
      <c r="ILD18" s="1"/>
      <c r="ILE18" s="1"/>
      <c r="ILF18" s="1"/>
      <c r="ILG18" s="1"/>
      <c r="ILH18" s="1"/>
      <c r="ILI18" s="1"/>
      <c r="ILJ18" s="1"/>
      <c r="ILK18" s="1"/>
      <c r="ILL18" s="1"/>
      <c r="ILM18" s="1"/>
      <c r="ILN18" s="1"/>
      <c r="ILO18" s="1"/>
      <c r="ILP18" s="1"/>
      <c r="ILQ18" s="1"/>
      <c r="ILR18" s="1"/>
      <c r="ILS18" s="1"/>
      <c r="ILT18" s="1"/>
      <c r="ILU18" s="1"/>
      <c r="ILV18" s="1"/>
      <c r="ILW18" s="1"/>
      <c r="ILX18" s="1"/>
      <c r="ILY18" s="1"/>
      <c r="ILZ18" s="1"/>
      <c r="IMA18" s="1"/>
      <c r="IMB18" s="1"/>
      <c r="IMC18" s="1"/>
      <c r="IMD18" s="1"/>
      <c r="IME18" s="1"/>
      <c r="IMF18" s="1"/>
      <c r="IMG18" s="1"/>
      <c r="IMH18" s="1"/>
      <c r="IMI18" s="1"/>
      <c r="IMJ18" s="1"/>
      <c r="IMK18" s="1"/>
      <c r="IML18" s="1"/>
      <c r="IMM18" s="1"/>
      <c r="IMN18" s="1"/>
      <c r="IMO18" s="1"/>
      <c r="IMP18" s="1"/>
      <c r="IMQ18" s="1"/>
      <c r="IMR18" s="1"/>
      <c r="IMS18" s="1"/>
      <c r="IMT18" s="1"/>
      <c r="IMU18" s="1"/>
      <c r="IMV18" s="1"/>
      <c r="IMW18" s="1"/>
      <c r="IMX18" s="1"/>
      <c r="IMY18" s="1"/>
      <c r="IMZ18" s="1"/>
      <c r="INA18" s="1"/>
      <c r="INB18" s="1"/>
      <c r="INC18" s="1"/>
      <c r="IND18" s="1"/>
      <c r="INE18" s="1"/>
      <c r="INF18" s="1"/>
      <c r="ING18" s="1"/>
      <c r="INH18" s="1"/>
      <c r="INI18" s="1"/>
      <c r="INJ18" s="1"/>
      <c r="INK18" s="1"/>
      <c r="INL18" s="1"/>
      <c r="INM18" s="1"/>
      <c r="INN18" s="1"/>
      <c r="INO18" s="1"/>
      <c r="INP18" s="1"/>
      <c r="INQ18" s="1"/>
      <c r="INR18" s="1"/>
      <c r="INS18" s="1"/>
      <c r="INT18" s="1"/>
      <c r="INU18" s="1"/>
      <c r="INV18" s="1"/>
      <c r="INW18" s="1"/>
      <c r="INX18" s="1"/>
      <c r="INY18" s="1"/>
      <c r="INZ18" s="1"/>
      <c r="IOA18" s="1"/>
      <c r="IOB18" s="1"/>
      <c r="IOC18" s="1"/>
      <c r="IOD18" s="1"/>
      <c r="IOE18" s="1"/>
      <c r="IOF18" s="1"/>
      <c r="IOG18" s="1"/>
      <c r="IOH18" s="1"/>
      <c r="IOI18" s="1"/>
      <c r="IOJ18" s="1"/>
      <c r="IOK18" s="1"/>
      <c r="IOL18" s="1"/>
      <c r="IOM18" s="1"/>
      <c r="ION18" s="1"/>
      <c r="IOO18" s="1"/>
      <c r="IOP18" s="1"/>
      <c r="IOQ18" s="1"/>
      <c r="IOR18" s="1"/>
      <c r="IOS18" s="1"/>
      <c r="IOT18" s="1"/>
      <c r="IOU18" s="1"/>
      <c r="IOV18" s="1"/>
      <c r="IOW18" s="1"/>
      <c r="IOX18" s="1"/>
      <c r="IOY18" s="1"/>
      <c r="IOZ18" s="1"/>
      <c r="IPA18" s="1"/>
      <c r="IPB18" s="1"/>
      <c r="IPC18" s="1"/>
      <c r="IPD18" s="1"/>
      <c r="IPE18" s="1"/>
      <c r="IPF18" s="1"/>
      <c r="IPG18" s="1"/>
      <c r="IPH18" s="1"/>
      <c r="IPI18" s="1"/>
      <c r="IPJ18" s="1"/>
      <c r="IPK18" s="1"/>
      <c r="IPL18" s="1"/>
      <c r="IPM18" s="1"/>
      <c r="IPN18" s="1"/>
      <c r="IPO18" s="1"/>
      <c r="IPP18" s="1"/>
      <c r="IPQ18" s="1"/>
      <c r="IPR18" s="1"/>
      <c r="IPS18" s="1"/>
      <c r="IPT18" s="1"/>
      <c r="IPU18" s="1"/>
      <c r="IPV18" s="1"/>
      <c r="IPW18" s="1"/>
      <c r="IPX18" s="1"/>
      <c r="IPY18" s="1"/>
      <c r="IPZ18" s="1"/>
      <c r="IQA18" s="1"/>
      <c r="IQB18" s="1"/>
      <c r="IQC18" s="1"/>
      <c r="IQD18" s="1"/>
      <c r="IQE18" s="1"/>
      <c r="IQF18" s="1"/>
      <c r="IQG18" s="1"/>
      <c r="IQH18" s="1"/>
      <c r="IQI18" s="1"/>
      <c r="IQJ18" s="1"/>
      <c r="IQK18" s="1"/>
      <c r="IQL18" s="1"/>
      <c r="IQM18" s="1"/>
      <c r="IQN18" s="1"/>
      <c r="IQO18" s="1"/>
      <c r="IQP18" s="1"/>
      <c r="IQQ18" s="1"/>
      <c r="IQR18" s="1"/>
      <c r="IQS18" s="1"/>
      <c r="IQT18" s="1"/>
      <c r="IQU18" s="1"/>
      <c r="IQV18" s="1"/>
      <c r="IQW18" s="1"/>
      <c r="IQX18" s="1"/>
      <c r="IQY18" s="1"/>
      <c r="IQZ18" s="1"/>
      <c r="IRA18" s="1"/>
      <c r="IRB18" s="1"/>
      <c r="IRC18" s="1"/>
      <c r="IRD18" s="1"/>
      <c r="IRE18" s="1"/>
      <c r="IRF18" s="1"/>
      <c r="IRG18" s="1"/>
      <c r="IRH18" s="1"/>
      <c r="IRI18" s="1"/>
      <c r="IRJ18" s="1"/>
      <c r="IRK18" s="1"/>
      <c r="IRL18" s="1"/>
      <c r="IRM18" s="1"/>
      <c r="IRN18" s="1"/>
      <c r="IRO18" s="1"/>
      <c r="IRP18" s="1"/>
      <c r="IRQ18" s="1"/>
      <c r="IRR18" s="1"/>
      <c r="IRS18" s="1"/>
      <c r="IRT18" s="1"/>
      <c r="IRU18" s="1"/>
      <c r="IRV18" s="1"/>
      <c r="IRW18" s="1"/>
      <c r="IRX18" s="1"/>
      <c r="IRY18" s="1"/>
      <c r="IRZ18" s="1"/>
      <c r="ISA18" s="1"/>
      <c r="ISB18" s="1"/>
      <c r="ISC18" s="1"/>
      <c r="ISD18" s="1"/>
      <c r="ISE18" s="1"/>
      <c r="ISF18" s="1"/>
      <c r="ISG18" s="1"/>
      <c r="ISH18" s="1"/>
      <c r="ISI18" s="1"/>
      <c r="ISJ18" s="1"/>
      <c r="ISK18" s="1"/>
      <c r="ISL18" s="1"/>
      <c r="ISM18" s="1"/>
      <c r="ISN18" s="1"/>
      <c r="ISO18" s="1"/>
      <c r="ISP18" s="1"/>
      <c r="ISQ18" s="1"/>
      <c r="ISR18" s="1"/>
      <c r="ISS18" s="1"/>
      <c r="IST18" s="1"/>
      <c r="ISU18" s="1"/>
      <c r="ISV18" s="1"/>
      <c r="ISW18" s="1"/>
      <c r="ISX18" s="1"/>
      <c r="ISY18" s="1"/>
      <c r="ISZ18" s="1"/>
      <c r="ITA18" s="1"/>
      <c r="ITB18" s="1"/>
      <c r="ITC18" s="1"/>
      <c r="ITD18" s="1"/>
      <c r="ITE18" s="1"/>
      <c r="ITF18" s="1"/>
      <c r="ITG18" s="1"/>
      <c r="ITH18" s="1"/>
      <c r="ITI18" s="1"/>
      <c r="ITJ18" s="1"/>
      <c r="ITK18" s="1"/>
      <c r="ITL18" s="1"/>
      <c r="ITM18" s="1"/>
      <c r="ITN18" s="1"/>
      <c r="ITO18" s="1"/>
      <c r="ITP18" s="1"/>
      <c r="ITQ18" s="1"/>
      <c r="ITR18" s="1"/>
      <c r="ITS18" s="1"/>
      <c r="ITT18" s="1"/>
      <c r="ITU18" s="1"/>
      <c r="ITV18" s="1"/>
      <c r="ITW18" s="1"/>
      <c r="ITX18" s="1"/>
      <c r="ITY18" s="1"/>
      <c r="ITZ18" s="1"/>
      <c r="IUA18" s="1"/>
      <c r="IUB18" s="1"/>
      <c r="IUC18" s="1"/>
      <c r="IUD18" s="1"/>
      <c r="IUE18" s="1"/>
      <c r="IUF18" s="1"/>
      <c r="IUG18" s="1"/>
      <c r="IUH18" s="1"/>
      <c r="IUI18" s="1"/>
      <c r="IUJ18" s="1"/>
      <c r="IUK18" s="1"/>
      <c r="IUL18" s="1"/>
      <c r="IUM18" s="1"/>
      <c r="IUN18" s="1"/>
      <c r="IUO18" s="1"/>
      <c r="IUP18" s="1"/>
      <c r="IUQ18" s="1"/>
      <c r="IUR18" s="1"/>
      <c r="IUS18" s="1"/>
      <c r="IUT18" s="1"/>
      <c r="IUU18" s="1"/>
      <c r="IUV18" s="1"/>
      <c r="IUW18" s="1"/>
      <c r="IUX18" s="1"/>
      <c r="IUY18" s="1"/>
      <c r="IUZ18" s="1"/>
      <c r="IVA18" s="1"/>
      <c r="IVB18" s="1"/>
      <c r="IVC18" s="1"/>
      <c r="IVD18" s="1"/>
      <c r="IVE18" s="1"/>
      <c r="IVF18" s="1"/>
      <c r="IVG18" s="1"/>
      <c r="IVH18" s="1"/>
      <c r="IVI18" s="1"/>
      <c r="IVJ18" s="1"/>
      <c r="IVK18" s="1"/>
      <c r="IVL18" s="1"/>
      <c r="IVM18" s="1"/>
      <c r="IVN18" s="1"/>
      <c r="IVO18" s="1"/>
      <c r="IVP18" s="1"/>
      <c r="IVQ18" s="1"/>
      <c r="IVR18" s="1"/>
      <c r="IVS18" s="1"/>
      <c r="IVT18" s="1"/>
      <c r="IVU18" s="1"/>
      <c r="IVV18" s="1"/>
      <c r="IVW18" s="1"/>
      <c r="IVX18" s="1"/>
      <c r="IVY18" s="1"/>
      <c r="IVZ18" s="1"/>
      <c r="IWA18" s="1"/>
      <c r="IWB18" s="1"/>
      <c r="IWC18" s="1"/>
      <c r="IWD18" s="1"/>
      <c r="IWE18" s="1"/>
      <c r="IWF18" s="1"/>
      <c r="IWG18" s="1"/>
      <c r="IWH18" s="1"/>
      <c r="IWI18" s="1"/>
      <c r="IWJ18" s="1"/>
      <c r="IWK18" s="1"/>
      <c r="IWL18" s="1"/>
      <c r="IWM18" s="1"/>
      <c r="IWN18" s="1"/>
      <c r="IWO18" s="1"/>
      <c r="IWP18" s="1"/>
      <c r="IWQ18" s="1"/>
      <c r="IWR18" s="1"/>
      <c r="IWS18" s="1"/>
      <c r="IWT18" s="1"/>
      <c r="IWU18" s="1"/>
      <c r="IWV18" s="1"/>
      <c r="IWW18" s="1"/>
      <c r="IWX18" s="1"/>
      <c r="IWY18" s="1"/>
      <c r="IWZ18" s="1"/>
      <c r="IXA18" s="1"/>
      <c r="IXB18" s="1"/>
      <c r="IXC18" s="1"/>
      <c r="IXD18" s="1"/>
      <c r="IXE18" s="1"/>
      <c r="IXF18" s="1"/>
      <c r="IXG18" s="1"/>
      <c r="IXH18" s="1"/>
      <c r="IXI18" s="1"/>
      <c r="IXJ18" s="1"/>
      <c r="IXK18" s="1"/>
      <c r="IXL18" s="1"/>
      <c r="IXM18" s="1"/>
      <c r="IXN18" s="1"/>
      <c r="IXO18" s="1"/>
      <c r="IXP18" s="1"/>
      <c r="IXQ18" s="1"/>
      <c r="IXR18" s="1"/>
      <c r="IXS18" s="1"/>
      <c r="IXT18" s="1"/>
      <c r="IXU18" s="1"/>
      <c r="IXV18" s="1"/>
      <c r="IXW18" s="1"/>
      <c r="IXX18" s="1"/>
      <c r="IXY18" s="1"/>
      <c r="IXZ18" s="1"/>
      <c r="IYA18" s="1"/>
      <c r="IYB18" s="1"/>
      <c r="IYC18" s="1"/>
      <c r="IYD18" s="1"/>
      <c r="IYE18" s="1"/>
      <c r="IYF18" s="1"/>
      <c r="IYG18" s="1"/>
      <c r="IYH18" s="1"/>
      <c r="IYI18" s="1"/>
      <c r="IYJ18" s="1"/>
      <c r="IYK18" s="1"/>
      <c r="IYL18" s="1"/>
      <c r="IYM18" s="1"/>
      <c r="IYN18" s="1"/>
      <c r="IYO18" s="1"/>
      <c r="IYP18" s="1"/>
      <c r="IYQ18" s="1"/>
      <c r="IYR18" s="1"/>
      <c r="IYS18" s="1"/>
      <c r="IYT18" s="1"/>
      <c r="IYU18" s="1"/>
      <c r="IYV18" s="1"/>
      <c r="IYW18" s="1"/>
      <c r="IYX18" s="1"/>
      <c r="IYY18" s="1"/>
      <c r="IYZ18" s="1"/>
      <c r="IZA18" s="1"/>
      <c r="IZB18" s="1"/>
      <c r="IZC18" s="1"/>
      <c r="IZD18" s="1"/>
      <c r="IZE18" s="1"/>
      <c r="IZF18" s="1"/>
      <c r="IZG18" s="1"/>
      <c r="IZH18" s="1"/>
      <c r="IZI18" s="1"/>
      <c r="IZJ18" s="1"/>
      <c r="IZK18" s="1"/>
      <c r="IZL18" s="1"/>
      <c r="IZM18" s="1"/>
      <c r="IZN18" s="1"/>
      <c r="IZO18" s="1"/>
      <c r="IZP18" s="1"/>
      <c r="IZQ18" s="1"/>
      <c r="IZR18" s="1"/>
      <c r="IZS18" s="1"/>
      <c r="IZT18" s="1"/>
      <c r="IZU18" s="1"/>
      <c r="IZV18" s="1"/>
      <c r="IZW18" s="1"/>
      <c r="IZX18" s="1"/>
      <c r="IZY18" s="1"/>
      <c r="IZZ18" s="1"/>
      <c r="JAA18" s="1"/>
      <c r="JAB18" s="1"/>
      <c r="JAC18" s="1"/>
      <c r="JAD18" s="1"/>
      <c r="JAE18" s="1"/>
      <c r="JAF18" s="1"/>
      <c r="JAG18" s="1"/>
      <c r="JAH18" s="1"/>
      <c r="JAI18" s="1"/>
      <c r="JAJ18" s="1"/>
      <c r="JAK18" s="1"/>
      <c r="JAL18" s="1"/>
      <c r="JAM18" s="1"/>
      <c r="JAN18" s="1"/>
      <c r="JAO18" s="1"/>
      <c r="JAP18" s="1"/>
      <c r="JAQ18" s="1"/>
      <c r="JAR18" s="1"/>
      <c r="JAS18" s="1"/>
      <c r="JAT18" s="1"/>
      <c r="JAU18" s="1"/>
      <c r="JAV18" s="1"/>
      <c r="JAW18" s="1"/>
      <c r="JAX18" s="1"/>
      <c r="JAY18" s="1"/>
      <c r="JAZ18" s="1"/>
      <c r="JBA18" s="1"/>
      <c r="JBB18" s="1"/>
      <c r="JBC18" s="1"/>
      <c r="JBD18" s="1"/>
      <c r="JBE18" s="1"/>
      <c r="JBF18" s="1"/>
      <c r="JBG18" s="1"/>
      <c r="JBH18" s="1"/>
      <c r="JBI18" s="1"/>
      <c r="JBJ18" s="1"/>
      <c r="JBK18" s="1"/>
      <c r="JBL18" s="1"/>
      <c r="JBM18" s="1"/>
      <c r="JBN18" s="1"/>
      <c r="JBO18" s="1"/>
      <c r="JBP18" s="1"/>
      <c r="JBQ18" s="1"/>
      <c r="JBR18" s="1"/>
      <c r="JBS18" s="1"/>
      <c r="JBT18" s="1"/>
      <c r="JBU18" s="1"/>
      <c r="JBV18" s="1"/>
      <c r="JBW18" s="1"/>
      <c r="JBX18" s="1"/>
      <c r="JBY18" s="1"/>
      <c r="JBZ18" s="1"/>
      <c r="JCA18" s="1"/>
      <c r="JCB18" s="1"/>
      <c r="JCC18" s="1"/>
      <c r="JCD18" s="1"/>
      <c r="JCE18" s="1"/>
      <c r="JCF18" s="1"/>
      <c r="JCG18" s="1"/>
      <c r="JCH18" s="1"/>
      <c r="JCI18" s="1"/>
      <c r="JCJ18" s="1"/>
      <c r="JCK18" s="1"/>
      <c r="JCL18" s="1"/>
      <c r="JCM18" s="1"/>
      <c r="JCN18" s="1"/>
      <c r="JCO18" s="1"/>
      <c r="JCP18" s="1"/>
      <c r="JCQ18" s="1"/>
      <c r="JCR18" s="1"/>
      <c r="JCS18" s="1"/>
      <c r="JCT18" s="1"/>
      <c r="JCU18" s="1"/>
      <c r="JCV18" s="1"/>
      <c r="JCW18" s="1"/>
      <c r="JCX18" s="1"/>
      <c r="JCY18" s="1"/>
      <c r="JCZ18" s="1"/>
      <c r="JDA18" s="1"/>
      <c r="JDB18" s="1"/>
      <c r="JDC18" s="1"/>
      <c r="JDD18" s="1"/>
      <c r="JDE18" s="1"/>
      <c r="JDF18" s="1"/>
      <c r="JDG18" s="1"/>
      <c r="JDH18" s="1"/>
      <c r="JDI18" s="1"/>
      <c r="JDJ18" s="1"/>
      <c r="JDK18" s="1"/>
      <c r="JDL18" s="1"/>
      <c r="JDM18" s="1"/>
      <c r="JDN18" s="1"/>
      <c r="JDO18" s="1"/>
      <c r="JDP18" s="1"/>
      <c r="JDQ18" s="1"/>
      <c r="JDR18" s="1"/>
      <c r="JDS18" s="1"/>
      <c r="JDT18" s="1"/>
      <c r="JDU18" s="1"/>
      <c r="JDV18" s="1"/>
      <c r="JDW18" s="1"/>
      <c r="JDX18" s="1"/>
      <c r="JDY18" s="1"/>
      <c r="JDZ18" s="1"/>
      <c r="JEA18" s="1"/>
      <c r="JEB18" s="1"/>
      <c r="JEC18" s="1"/>
      <c r="JED18" s="1"/>
      <c r="JEE18" s="1"/>
      <c r="JEF18" s="1"/>
      <c r="JEG18" s="1"/>
      <c r="JEH18" s="1"/>
      <c r="JEI18" s="1"/>
      <c r="JEJ18" s="1"/>
      <c r="JEK18" s="1"/>
      <c r="JEL18" s="1"/>
      <c r="JEM18" s="1"/>
      <c r="JEN18" s="1"/>
      <c r="JEO18" s="1"/>
      <c r="JEP18" s="1"/>
      <c r="JEQ18" s="1"/>
      <c r="JER18" s="1"/>
      <c r="JES18" s="1"/>
      <c r="JET18" s="1"/>
      <c r="JEU18" s="1"/>
      <c r="JEV18" s="1"/>
      <c r="JEW18" s="1"/>
      <c r="JEX18" s="1"/>
      <c r="JEY18" s="1"/>
      <c r="JEZ18" s="1"/>
      <c r="JFA18" s="1"/>
      <c r="JFB18" s="1"/>
      <c r="JFC18" s="1"/>
      <c r="JFD18" s="1"/>
      <c r="JFE18" s="1"/>
      <c r="JFF18" s="1"/>
      <c r="JFG18" s="1"/>
      <c r="JFH18" s="1"/>
      <c r="JFI18" s="1"/>
      <c r="JFJ18" s="1"/>
      <c r="JFK18" s="1"/>
      <c r="JFL18" s="1"/>
      <c r="JFM18" s="1"/>
      <c r="JFN18" s="1"/>
      <c r="JFO18" s="1"/>
      <c r="JFP18" s="1"/>
      <c r="JFQ18" s="1"/>
      <c r="JFR18" s="1"/>
      <c r="JFS18" s="1"/>
      <c r="JFT18" s="1"/>
      <c r="JFU18" s="1"/>
      <c r="JFV18" s="1"/>
      <c r="JFW18" s="1"/>
      <c r="JFX18" s="1"/>
      <c r="JFY18" s="1"/>
      <c r="JFZ18" s="1"/>
      <c r="JGA18" s="1"/>
      <c r="JGB18" s="1"/>
      <c r="JGC18" s="1"/>
      <c r="JGD18" s="1"/>
      <c r="JGE18" s="1"/>
      <c r="JGF18" s="1"/>
      <c r="JGG18" s="1"/>
      <c r="JGH18" s="1"/>
      <c r="JGI18" s="1"/>
      <c r="JGJ18" s="1"/>
      <c r="JGK18" s="1"/>
      <c r="JGL18" s="1"/>
      <c r="JGM18" s="1"/>
      <c r="JGN18" s="1"/>
      <c r="JGO18" s="1"/>
      <c r="JGP18" s="1"/>
      <c r="JGQ18" s="1"/>
      <c r="JGR18" s="1"/>
      <c r="JGS18" s="1"/>
      <c r="JGT18" s="1"/>
      <c r="JGU18" s="1"/>
      <c r="JGV18" s="1"/>
      <c r="JGW18" s="1"/>
      <c r="JGX18" s="1"/>
      <c r="JGY18" s="1"/>
      <c r="JGZ18" s="1"/>
      <c r="JHA18" s="1"/>
      <c r="JHB18" s="1"/>
      <c r="JHC18" s="1"/>
      <c r="JHD18" s="1"/>
      <c r="JHE18" s="1"/>
      <c r="JHF18" s="1"/>
      <c r="JHG18" s="1"/>
      <c r="JHH18" s="1"/>
      <c r="JHI18" s="1"/>
      <c r="JHJ18" s="1"/>
      <c r="JHK18" s="1"/>
      <c r="JHL18" s="1"/>
      <c r="JHM18" s="1"/>
      <c r="JHN18" s="1"/>
      <c r="JHO18" s="1"/>
      <c r="JHP18" s="1"/>
      <c r="JHQ18" s="1"/>
      <c r="JHR18" s="1"/>
      <c r="JHS18" s="1"/>
      <c r="JHT18" s="1"/>
      <c r="JHU18" s="1"/>
      <c r="JHV18" s="1"/>
      <c r="JHW18" s="1"/>
      <c r="JHX18" s="1"/>
      <c r="JHY18" s="1"/>
      <c r="JHZ18" s="1"/>
      <c r="JIA18" s="1"/>
      <c r="JIB18" s="1"/>
      <c r="JIC18" s="1"/>
      <c r="JID18" s="1"/>
      <c r="JIE18" s="1"/>
      <c r="JIF18" s="1"/>
      <c r="JIG18" s="1"/>
      <c r="JIH18" s="1"/>
      <c r="JII18" s="1"/>
      <c r="JIJ18" s="1"/>
      <c r="JIK18" s="1"/>
      <c r="JIL18" s="1"/>
      <c r="JIM18" s="1"/>
      <c r="JIN18" s="1"/>
      <c r="JIO18" s="1"/>
      <c r="JIP18" s="1"/>
      <c r="JIQ18" s="1"/>
      <c r="JIR18" s="1"/>
      <c r="JIS18" s="1"/>
      <c r="JIT18" s="1"/>
      <c r="JIU18" s="1"/>
      <c r="JIV18" s="1"/>
      <c r="JIW18" s="1"/>
      <c r="JIX18" s="1"/>
      <c r="JIY18" s="1"/>
      <c r="JIZ18" s="1"/>
      <c r="JJA18" s="1"/>
      <c r="JJB18" s="1"/>
      <c r="JJC18" s="1"/>
      <c r="JJD18" s="1"/>
      <c r="JJE18" s="1"/>
      <c r="JJF18" s="1"/>
      <c r="JJG18" s="1"/>
      <c r="JJH18" s="1"/>
      <c r="JJI18" s="1"/>
      <c r="JJJ18" s="1"/>
      <c r="JJK18" s="1"/>
      <c r="JJL18" s="1"/>
      <c r="JJM18" s="1"/>
      <c r="JJN18" s="1"/>
      <c r="JJO18" s="1"/>
      <c r="JJP18" s="1"/>
      <c r="JJQ18" s="1"/>
      <c r="JJR18" s="1"/>
      <c r="JJS18" s="1"/>
      <c r="JJT18" s="1"/>
      <c r="JJU18" s="1"/>
      <c r="JJV18" s="1"/>
      <c r="JJW18" s="1"/>
      <c r="JJX18" s="1"/>
      <c r="JJY18" s="1"/>
      <c r="JJZ18" s="1"/>
      <c r="JKA18" s="1"/>
      <c r="JKB18" s="1"/>
      <c r="JKC18" s="1"/>
      <c r="JKD18" s="1"/>
      <c r="JKE18" s="1"/>
      <c r="JKF18" s="1"/>
      <c r="JKG18" s="1"/>
      <c r="JKH18" s="1"/>
      <c r="JKI18" s="1"/>
      <c r="JKJ18" s="1"/>
      <c r="JKK18" s="1"/>
      <c r="JKL18" s="1"/>
      <c r="JKM18" s="1"/>
      <c r="JKN18" s="1"/>
      <c r="JKO18" s="1"/>
      <c r="JKP18" s="1"/>
      <c r="JKQ18" s="1"/>
      <c r="JKR18" s="1"/>
      <c r="JKS18" s="1"/>
      <c r="JKT18" s="1"/>
      <c r="JKU18" s="1"/>
      <c r="JKV18" s="1"/>
      <c r="JKW18" s="1"/>
      <c r="JKX18" s="1"/>
      <c r="JKY18" s="1"/>
      <c r="JKZ18" s="1"/>
      <c r="JLA18" s="1"/>
      <c r="JLB18" s="1"/>
      <c r="JLC18" s="1"/>
      <c r="JLD18" s="1"/>
      <c r="JLE18" s="1"/>
      <c r="JLF18" s="1"/>
      <c r="JLG18" s="1"/>
      <c r="JLH18" s="1"/>
      <c r="JLI18" s="1"/>
      <c r="JLJ18" s="1"/>
      <c r="JLK18" s="1"/>
      <c r="JLL18" s="1"/>
      <c r="JLM18" s="1"/>
      <c r="JLN18" s="1"/>
      <c r="JLO18" s="1"/>
      <c r="JLP18" s="1"/>
      <c r="JLQ18" s="1"/>
      <c r="JLR18" s="1"/>
      <c r="JLS18" s="1"/>
      <c r="JLT18" s="1"/>
      <c r="JLU18" s="1"/>
      <c r="JLV18" s="1"/>
      <c r="JLW18" s="1"/>
      <c r="JLX18" s="1"/>
      <c r="JLY18" s="1"/>
      <c r="JLZ18" s="1"/>
      <c r="JMA18" s="1"/>
      <c r="JMB18" s="1"/>
      <c r="JMC18" s="1"/>
      <c r="JMD18" s="1"/>
      <c r="JME18" s="1"/>
      <c r="JMF18" s="1"/>
      <c r="JMG18" s="1"/>
      <c r="JMH18" s="1"/>
      <c r="JMI18" s="1"/>
      <c r="JMJ18" s="1"/>
      <c r="JMK18" s="1"/>
      <c r="JML18" s="1"/>
      <c r="JMM18" s="1"/>
      <c r="JMN18" s="1"/>
      <c r="JMO18" s="1"/>
      <c r="JMP18" s="1"/>
      <c r="JMQ18" s="1"/>
      <c r="JMR18" s="1"/>
      <c r="JMS18" s="1"/>
      <c r="JMT18" s="1"/>
      <c r="JMU18" s="1"/>
      <c r="JMV18" s="1"/>
      <c r="JMW18" s="1"/>
      <c r="JMX18" s="1"/>
      <c r="JMY18" s="1"/>
      <c r="JMZ18" s="1"/>
      <c r="JNA18" s="1"/>
      <c r="JNB18" s="1"/>
      <c r="JNC18" s="1"/>
      <c r="JND18" s="1"/>
      <c r="JNE18" s="1"/>
      <c r="JNF18" s="1"/>
      <c r="JNG18" s="1"/>
      <c r="JNH18" s="1"/>
      <c r="JNI18" s="1"/>
      <c r="JNJ18" s="1"/>
      <c r="JNK18" s="1"/>
      <c r="JNL18" s="1"/>
      <c r="JNM18" s="1"/>
      <c r="JNN18" s="1"/>
      <c r="JNO18" s="1"/>
      <c r="JNP18" s="1"/>
      <c r="JNQ18" s="1"/>
      <c r="JNR18" s="1"/>
      <c r="JNS18" s="1"/>
      <c r="JNT18" s="1"/>
      <c r="JNU18" s="1"/>
      <c r="JNV18" s="1"/>
      <c r="JNW18" s="1"/>
      <c r="JNX18" s="1"/>
      <c r="JNY18" s="1"/>
      <c r="JNZ18" s="1"/>
      <c r="JOA18" s="1"/>
      <c r="JOB18" s="1"/>
      <c r="JOC18" s="1"/>
      <c r="JOD18" s="1"/>
      <c r="JOE18" s="1"/>
      <c r="JOF18" s="1"/>
      <c r="JOG18" s="1"/>
      <c r="JOH18" s="1"/>
      <c r="JOI18" s="1"/>
      <c r="JOJ18" s="1"/>
      <c r="JOK18" s="1"/>
      <c r="JOL18" s="1"/>
      <c r="JOM18" s="1"/>
      <c r="JON18" s="1"/>
      <c r="JOO18" s="1"/>
      <c r="JOP18" s="1"/>
      <c r="JOQ18" s="1"/>
      <c r="JOR18" s="1"/>
      <c r="JOS18" s="1"/>
      <c r="JOT18" s="1"/>
      <c r="JOU18" s="1"/>
      <c r="JOV18" s="1"/>
      <c r="JOW18" s="1"/>
      <c r="JOX18" s="1"/>
      <c r="JOY18" s="1"/>
      <c r="JOZ18" s="1"/>
      <c r="JPA18" s="1"/>
      <c r="JPB18" s="1"/>
      <c r="JPC18" s="1"/>
      <c r="JPD18" s="1"/>
      <c r="JPE18" s="1"/>
      <c r="JPF18" s="1"/>
      <c r="JPG18" s="1"/>
      <c r="JPH18" s="1"/>
      <c r="JPI18" s="1"/>
      <c r="JPJ18" s="1"/>
      <c r="JPK18" s="1"/>
      <c r="JPL18" s="1"/>
      <c r="JPM18" s="1"/>
      <c r="JPN18" s="1"/>
      <c r="JPO18" s="1"/>
      <c r="JPP18" s="1"/>
      <c r="JPQ18" s="1"/>
      <c r="JPR18" s="1"/>
      <c r="JPS18" s="1"/>
      <c r="JPT18" s="1"/>
      <c r="JPU18" s="1"/>
      <c r="JPV18" s="1"/>
      <c r="JPW18" s="1"/>
      <c r="JPX18" s="1"/>
      <c r="JPY18" s="1"/>
      <c r="JPZ18" s="1"/>
      <c r="JQA18" s="1"/>
      <c r="JQB18" s="1"/>
      <c r="JQC18" s="1"/>
      <c r="JQD18" s="1"/>
      <c r="JQE18" s="1"/>
      <c r="JQF18" s="1"/>
      <c r="JQG18" s="1"/>
      <c r="JQH18" s="1"/>
      <c r="JQI18" s="1"/>
      <c r="JQJ18" s="1"/>
      <c r="JQK18" s="1"/>
      <c r="JQL18" s="1"/>
      <c r="JQM18" s="1"/>
      <c r="JQN18" s="1"/>
      <c r="JQO18" s="1"/>
      <c r="JQP18" s="1"/>
      <c r="JQQ18" s="1"/>
      <c r="JQR18" s="1"/>
      <c r="JQS18" s="1"/>
      <c r="JQT18" s="1"/>
      <c r="JQU18" s="1"/>
      <c r="JQV18" s="1"/>
      <c r="JQW18" s="1"/>
      <c r="JQX18" s="1"/>
      <c r="JQY18" s="1"/>
      <c r="JQZ18" s="1"/>
      <c r="JRA18" s="1"/>
      <c r="JRB18" s="1"/>
      <c r="JRC18" s="1"/>
      <c r="JRD18" s="1"/>
      <c r="JRE18" s="1"/>
      <c r="JRF18" s="1"/>
      <c r="JRG18" s="1"/>
      <c r="JRH18" s="1"/>
      <c r="JRI18" s="1"/>
      <c r="JRJ18" s="1"/>
      <c r="JRK18" s="1"/>
      <c r="JRL18" s="1"/>
      <c r="JRM18" s="1"/>
      <c r="JRN18" s="1"/>
      <c r="JRO18" s="1"/>
      <c r="JRP18" s="1"/>
      <c r="JRQ18" s="1"/>
      <c r="JRR18" s="1"/>
      <c r="JRS18" s="1"/>
      <c r="JRT18" s="1"/>
      <c r="JRU18" s="1"/>
      <c r="JRV18" s="1"/>
      <c r="JRW18" s="1"/>
      <c r="JRX18" s="1"/>
      <c r="JRY18" s="1"/>
      <c r="JRZ18" s="1"/>
      <c r="JSA18" s="1"/>
      <c r="JSB18" s="1"/>
      <c r="JSC18" s="1"/>
      <c r="JSD18" s="1"/>
      <c r="JSE18" s="1"/>
      <c r="JSF18" s="1"/>
      <c r="JSG18" s="1"/>
      <c r="JSH18" s="1"/>
      <c r="JSI18" s="1"/>
      <c r="JSJ18" s="1"/>
      <c r="JSK18" s="1"/>
      <c r="JSL18" s="1"/>
      <c r="JSM18" s="1"/>
      <c r="JSN18" s="1"/>
      <c r="JSO18" s="1"/>
      <c r="JSP18" s="1"/>
      <c r="JSQ18" s="1"/>
      <c r="JSR18" s="1"/>
      <c r="JSS18" s="1"/>
      <c r="JST18" s="1"/>
      <c r="JSU18" s="1"/>
      <c r="JSV18" s="1"/>
      <c r="JSW18" s="1"/>
      <c r="JSX18" s="1"/>
      <c r="JSY18" s="1"/>
      <c r="JSZ18" s="1"/>
      <c r="JTA18" s="1"/>
      <c r="JTB18" s="1"/>
      <c r="JTC18" s="1"/>
      <c r="JTD18" s="1"/>
      <c r="JTE18" s="1"/>
      <c r="JTF18" s="1"/>
      <c r="JTG18" s="1"/>
      <c r="JTH18" s="1"/>
      <c r="JTI18" s="1"/>
      <c r="JTJ18" s="1"/>
      <c r="JTK18" s="1"/>
      <c r="JTL18" s="1"/>
      <c r="JTM18" s="1"/>
      <c r="JTN18" s="1"/>
      <c r="JTO18" s="1"/>
      <c r="JTP18" s="1"/>
      <c r="JTQ18" s="1"/>
      <c r="JTR18" s="1"/>
      <c r="JTS18" s="1"/>
      <c r="JTT18" s="1"/>
      <c r="JTU18" s="1"/>
      <c r="JTV18" s="1"/>
      <c r="JTW18" s="1"/>
      <c r="JTX18" s="1"/>
      <c r="JTY18" s="1"/>
      <c r="JTZ18" s="1"/>
      <c r="JUA18" s="1"/>
      <c r="JUB18" s="1"/>
      <c r="JUC18" s="1"/>
      <c r="JUD18" s="1"/>
      <c r="JUE18" s="1"/>
      <c r="JUF18" s="1"/>
      <c r="JUG18" s="1"/>
      <c r="JUH18" s="1"/>
      <c r="JUI18" s="1"/>
      <c r="JUJ18" s="1"/>
      <c r="JUK18" s="1"/>
      <c r="JUL18" s="1"/>
      <c r="JUM18" s="1"/>
      <c r="JUN18" s="1"/>
      <c r="JUO18" s="1"/>
      <c r="JUP18" s="1"/>
      <c r="JUQ18" s="1"/>
      <c r="JUR18" s="1"/>
      <c r="JUS18" s="1"/>
      <c r="JUT18" s="1"/>
      <c r="JUU18" s="1"/>
      <c r="JUV18" s="1"/>
      <c r="JUW18" s="1"/>
      <c r="JUX18" s="1"/>
      <c r="JUY18" s="1"/>
      <c r="JUZ18" s="1"/>
      <c r="JVA18" s="1"/>
      <c r="JVB18" s="1"/>
      <c r="JVC18" s="1"/>
      <c r="JVD18" s="1"/>
      <c r="JVE18" s="1"/>
      <c r="JVF18" s="1"/>
      <c r="JVG18" s="1"/>
      <c r="JVH18" s="1"/>
      <c r="JVI18" s="1"/>
      <c r="JVJ18" s="1"/>
      <c r="JVK18" s="1"/>
      <c r="JVL18" s="1"/>
      <c r="JVM18" s="1"/>
      <c r="JVN18" s="1"/>
      <c r="JVO18" s="1"/>
      <c r="JVP18" s="1"/>
      <c r="JVQ18" s="1"/>
      <c r="JVR18" s="1"/>
      <c r="JVS18" s="1"/>
      <c r="JVT18" s="1"/>
      <c r="JVU18" s="1"/>
      <c r="JVV18" s="1"/>
      <c r="JVW18" s="1"/>
      <c r="JVX18" s="1"/>
      <c r="JVY18" s="1"/>
      <c r="JVZ18" s="1"/>
      <c r="JWA18" s="1"/>
      <c r="JWB18" s="1"/>
      <c r="JWC18" s="1"/>
      <c r="JWD18" s="1"/>
      <c r="JWE18" s="1"/>
      <c r="JWF18" s="1"/>
      <c r="JWG18" s="1"/>
      <c r="JWH18" s="1"/>
      <c r="JWI18" s="1"/>
      <c r="JWJ18" s="1"/>
      <c r="JWK18" s="1"/>
      <c r="JWL18" s="1"/>
      <c r="JWM18" s="1"/>
      <c r="JWN18" s="1"/>
      <c r="JWO18" s="1"/>
      <c r="JWP18" s="1"/>
      <c r="JWQ18" s="1"/>
      <c r="JWR18" s="1"/>
      <c r="JWS18" s="1"/>
      <c r="JWT18" s="1"/>
      <c r="JWU18" s="1"/>
      <c r="JWV18" s="1"/>
      <c r="JWW18" s="1"/>
      <c r="JWX18" s="1"/>
      <c r="JWY18" s="1"/>
      <c r="JWZ18" s="1"/>
      <c r="JXA18" s="1"/>
      <c r="JXB18" s="1"/>
      <c r="JXC18" s="1"/>
      <c r="JXD18" s="1"/>
      <c r="JXE18" s="1"/>
      <c r="JXF18" s="1"/>
      <c r="JXG18" s="1"/>
      <c r="JXH18" s="1"/>
      <c r="JXI18" s="1"/>
      <c r="JXJ18" s="1"/>
      <c r="JXK18" s="1"/>
      <c r="JXL18" s="1"/>
      <c r="JXM18" s="1"/>
      <c r="JXN18" s="1"/>
      <c r="JXO18" s="1"/>
      <c r="JXP18" s="1"/>
      <c r="JXQ18" s="1"/>
      <c r="JXR18" s="1"/>
      <c r="JXS18" s="1"/>
      <c r="JXT18" s="1"/>
      <c r="JXU18" s="1"/>
      <c r="JXV18" s="1"/>
      <c r="JXW18" s="1"/>
      <c r="JXX18" s="1"/>
      <c r="JXY18" s="1"/>
      <c r="JXZ18" s="1"/>
      <c r="JYA18" s="1"/>
      <c r="JYB18" s="1"/>
      <c r="JYC18" s="1"/>
      <c r="JYD18" s="1"/>
      <c r="JYE18" s="1"/>
      <c r="JYF18" s="1"/>
      <c r="JYG18" s="1"/>
      <c r="JYH18" s="1"/>
      <c r="JYI18" s="1"/>
      <c r="JYJ18" s="1"/>
      <c r="JYK18" s="1"/>
      <c r="JYL18" s="1"/>
      <c r="JYM18" s="1"/>
      <c r="JYN18" s="1"/>
      <c r="JYO18" s="1"/>
      <c r="JYP18" s="1"/>
      <c r="JYQ18" s="1"/>
      <c r="JYR18" s="1"/>
      <c r="JYS18" s="1"/>
      <c r="JYT18" s="1"/>
      <c r="JYU18" s="1"/>
      <c r="JYV18" s="1"/>
      <c r="JYW18" s="1"/>
      <c r="JYX18" s="1"/>
      <c r="JYY18" s="1"/>
      <c r="JYZ18" s="1"/>
      <c r="JZA18" s="1"/>
      <c r="JZB18" s="1"/>
      <c r="JZC18" s="1"/>
      <c r="JZD18" s="1"/>
      <c r="JZE18" s="1"/>
      <c r="JZF18" s="1"/>
      <c r="JZG18" s="1"/>
      <c r="JZH18" s="1"/>
      <c r="JZI18" s="1"/>
      <c r="JZJ18" s="1"/>
      <c r="JZK18" s="1"/>
      <c r="JZL18" s="1"/>
      <c r="JZM18" s="1"/>
      <c r="JZN18" s="1"/>
      <c r="JZO18" s="1"/>
      <c r="JZP18" s="1"/>
      <c r="JZQ18" s="1"/>
      <c r="JZR18" s="1"/>
      <c r="JZS18" s="1"/>
      <c r="JZT18" s="1"/>
      <c r="JZU18" s="1"/>
      <c r="JZV18" s="1"/>
      <c r="JZW18" s="1"/>
      <c r="JZX18" s="1"/>
      <c r="JZY18" s="1"/>
      <c r="JZZ18" s="1"/>
      <c r="KAA18" s="1"/>
      <c r="KAB18" s="1"/>
      <c r="KAC18" s="1"/>
      <c r="KAD18" s="1"/>
      <c r="KAE18" s="1"/>
      <c r="KAF18" s="1"/>
      <c r="KAG18" s="1"/>
      <c r="KAH18" s="1"/>
      <c r="KAI18" s="1"/>
      <c r="KAJ18" s="1"/>
      <c r="KAK18" s="1"/>
      <c r="KAL18" s="1"/>
      <c r="KAM18" s="1"/>
      <c r="KAN18" s="1"/>
      <c r="KAO18" s="1"/>
      <c r="KAP18" s="1"/>
      <c r="KAQ18" s="1"/>
      <c r="KAR18" s="1"/>
      <c r="KAS18" s="1"/>
      <c r="KAT18" s="1"/>
      <c r="KAU18" s="1"/>
      <c r="KAV18" s="1"/>
      <c r="KAW18" s="1"/>
      <c r="KAX18" s="1"/>
      <c r="KAY18" s="1"/>
      <c r="KAZ18" s="1"/>
      <c r="KBA18" s="1"/>
      <c r="KBB18" s="1"/>
      <c r="KBC18" s="1"/>
      <c r="KBD18" s="1"/>
      <c r="KBE18" s="1"/>
      <c r="KBF18" s="1"/>
      <c r="KBG18" s="1"/>
      <c r="KBH18" s="1"/>
      <c r="KBI18" s="1"/>
      <c r="KBJ18" s="1"/>
      <c r="KBK18" s="1"/>
      <c r="KBL18" s="1"/>
      <c r="KBM18" s="1"/>
      <c r="KBN18" s="1"/>
      <c r="KBO18" s="1"/>
      <c r="KBP18" s="1"/>
      <c r="KBQ18" s="1"/>
      <c r="KBR18" s="1"/>
      <c r="KBS18" s="1"/>
      <c r="KBT18" s="1"/>
      <c r="KBU18" s="1"/>
      <c r="KBV18" s="1"/>
      <c r="KBW18" s="1"/>
      <c r="KBX18" s="1"/>
      <c r="KBY18" s="1"/>
      <c r="KBZ18" s="1"/>
      <c r="KCA18" s="1"/>
      <c r="KCB18" s="1"/>
      <c r="KCC18" s="1"/>
      <c r="KCD18" s="1"/>
      <c r="KCE18" s="1"/>
      <c r="KCF18" s="1"/>
      <c r="KCG18" s="1"/>
      <c r="KCH18" s="1"/>
      <c r="KCI18" s="1"/>
      <c r="KCJ18" s="1"/>
      <c r="KCK18" s="1"/>
      <c r="KCL18" s="1"/>
      <c r="KCM18" s="1"/>
      <c r="KCN18" s="1"/>
      <c r="KCO18" s="1"/>
      <c r="KCP18" s="1"/>
      <c r="KCQ18" s="1"/>
      <c r="KCR18" s="1"/>
      <c r="KCS18" s="1"/>
      <c r="KCT18" s="1"/>
      <c r="KCU18" s="1"/>
      <c r="KCV18" s="1"/>
      <c r="KCW18" s="1"/>
      <c r="KCX18" s="1"/>
      <c r="KCY18" s="1"/>
      <c r="KCZ18" s="1"/>
      <c r="KDA18" s="1"/>
      <c r="KDB18" s="1"/>
      <c r="KDC18" s="1"/>
      <c r="KDD18" s="1"/>
      <c r="KDE18" s="1"/>
      <c r="KDF18" s="1"/>
      <c r="KDG18" s="1"/>
      <c r="KDH18" s="1"/>
      <c r="KDI18" s="1"/>
      <c r="KDJ18" s="1"/>
      <c r="KDK18" s="1"/>
      <c r="KDL18" s="1"/>
      <c r="KDM18" s="1"/>
      <c r="KDN18" s="1"/>
      <c r="KDO18" s="1"/>
      <c r="KDP18" s="1"/>
      <c r="KDQ18" s="1"/>
      <c r="KDR18" s="1"/>
      <c r="KDS18" s="1"/>
      <c r="KDT18" s="1"/>
      <c r="KDU18" s="1"/>
      <c r="KDV18" s="1"/>
      <c r="KDW18" s="1"/>
      <c r="KDX18" s="1"/>
      <c r="KDY18" s="1"/>
      <c r="KDZ18" s="1"/>
      <c r="KEA18" s="1"/>
      <c r="KEB18" s="1"/>
      <c r="KEC18" s="1"/>
      <c r="KED18" s="1"/>
      <c r="KEE18" s="1"/>
      <c r="KEF18" s="1"/>
      <c r="KEG18" s="1"/>
      <c r="KEH18" s="1"/>
      <c r="KEI18" s="1"/>
      <c r="KEJ18" s="1"/>
      <c r="KEK18" s="1"/>
      <c r="KEL18" s="1"/>
      <c r="KEM18" s="1"/>
      <c r="KEN18" s="1"/>
      <c r="KEO18" s="1"/>
      <c r="KEP18" s="1"/>
      <c r="KEQ18" s="1"/>
      <c r="KER18" s="1"/>
      <c r="KES18" s="1"/>
      <c r="KET18" s="1"/>
      <c r="KEU18" s="1"/>
      <c r="KEV18" s="1"/>
      <c r="KEW18" s="1"/>
      <c r="KEX18" s="1"/>
      <c r="KEY18" s="1"/>
      <c r="KEZ18" s="1"/>
      <c r="KFA18" s="1"/>
      <c r="KFB18" s="1"/>
      <c r="KFC18" s="1"/>
      <c r="KFD18" s="1"/>
      <c r="KFE18" s="1"/>
      <c r="KFF18" s="1"/>
      <c r="KFG18" s="1"/>
      <c r="KFH18" s="1"/>
      <c r="KFI18" s="1"/>
      <c r="KFJ18" s="1"/>
      <c r="KFK18" s="1"/>
      <c r="KFL18" s="1"/>
      <c r="KFM18" s="1"/>
      <c r="KFN18" s="1"/>
      <c r="KFO18" s="1"/>
      <c r="KFP18" s="1"/>
      <c r="KFQ18" s="1"/>
      <c r="KFR18" s="1"/>
      <c r="KFS18" s="1"/>
      <c r="KFT18" s="1"/>
      <c r="KFU18" s="1"/>
      <c r="KFV18" s="1"/>
      <c r="KFW18" s="1"/>
      <c r="KFX18" s="1"/>
      <c r="KFY18" s="1"/>
      <c r="KFZ18" s="1"/>
      <c r="KGA18" s="1"/>
      <c r="KGB18" s="1"/>
      <c r="KGC18" s="1"/>
      <c r="KGD18" s="1"/>
      <c r="KGE18" s="1"/>
      <c r="KGF18" s="1"/>
      <c r="KGG18" s="1"/>
      <c r="KGH18" s="1"/>
      <c r="KGI18" s="1"/>
      <c r="KGJ18" s="1"/>
      <c r="KGK18" s="1"/>
      <c r="KGL18" s="1"/>
      <c r="KGM18" s="1"/>
      <c r="KGN18" s="1"/>
      <c r="KGO18" s="1"/>
      <c r="KGP18" s="1"/>
      <c r="KGQ18" s="1"/>
      <c r="KGR18" s="1"/>
      <c r="KGS18" s="1"/>
      <c r="KGT18" s="1"/>
      <c r="KGU18" s="1"/>
      <c r="KGV18" s="1"/>
      <c r="KGW18" s="1"/>
      <c r="KGX18" s="1"/>
      <c r="KGY18" s="1"/>
      <c r="KGZ18" s="1"/>
      <c r="KHA18" s="1"/>
      <c r="KHB18" s="1"/>
      <c r="KHC18" s="1"/>
      <c r="KHD18" s="1"/>
      <c r="KHE18" s="1"/>
      <c r="KHF18" s="1"/>
      <c r="KHG18" s="1"/>
      <c r="KHH18" s="1"/>
      <c r="KHI18" s="1"/>
      <c r="KHJ18" s="1"/>
      <c r="KHK18" s="1"/>
      <c r="KHL18" s="1"/>
      <c r="KHM18" s="1"/>
      <c r="KHN18" s="1"/>
      <c r="KHO18" s="1"/>
      <c r="KHP18" s="1"/>
      <c r="KHQ18" s="1"/>
      <c r="KHR18" s="1"/>
      <c r="KHS18" s="1"/>
      <c r="KHT18" s="1"/>
      <c r="KHU18" s="1"/>
      <c r="KHV18" s="1"/>
      <c r="KHW18" s="1"/>
      <c r="KHX18" s="1"/>
      <c r="KHY18" s="1"/>
      <c r="KHZ18" s="1"/>
      <c r="KIA18" s="1"/>
      <c r="KIB18" s="1"/>
      <c r="KIC18" s="1"/>
      <c r="KID18" s="1"/>
      <c r="KIE18" s="1"/>
      <c r="KIF18" s="1"/>
      <c r="KIG18" s="1"/>
      <c r="KIH18" s="1"/>
      <c r="KII18" s="1"/>
      <c r="KIJ18" s="1"/>
      <c r="KIK18" s="1"/>
      <c r="KIL18" s="1"/>
      <c r="KIM18" s="1"/>
      <c r="KIN18" s="1"/>
      <c r="KIO18" s="1"/>
      <c r="KIP18" s="1"/>
      <c r="KIQ18" s="1"/>
      <c r="KIR18" s="1"/>
      <c r="KIS18" s="1"/>
      <c r="KIT18" s="1"/>
      <c r="KIU18" s="1"/>
      <c r="KIV18" s="1"/>
      <c r="KIW18" s="1"/>
      <c r="KIX18" s="1"/>
      <c r="KIY18" s="1"/>
      <c r="KIZ18" s="1"/>
      <c r="KJA18" s="1"/>
      <c r="KJB18" s="1"/>
      <c r="KJC18" s="1"/>
      <c r="KJD18" s="1"/>
      <c r="KJE18" s="1"/>
      <c r="KJF18" s="1"/>
      <c r="KJG18" s="1"/>
      <c r="KJH18" s="1"/>
      <c r="KJI18" s="1"/>
      <c r="KJJ18" s="1"/>
      <c r="KJK18" s="1"/>
      <c r="KJL18" s="1"/>
      <c r="KJM18" s="1"/>
      <c r="KJN18" s="1"/>
      <c r="KJO18" s="1"/>
      <c r="KJP18" s="1"/>
      <c r="KJQ18" s="1"/>
      <c r="KJR18" s="1"/>
      <c r="KJS18" s="1"/>
      <c r="KJT18" s="1"/>
      <c r="KJU18" s="1"/>
      <c r="KJV18" s="1"/>
      <c r="KJW18" s="1"/>
      <c r="KJX18" s="1"/>
      <c r="KJY18" s="1"/>
      <c r="KJZ18" s="1"/>
      <c r="KKA18" s="1"/>
      <c r="KKB18" s="1"/>
      <c r="KKC18" s="1"/>
      <c r="KKD18" s="1"/>
      <c r="KKE18" s="1"/>
      <c r="KKF18" s="1"/>
      <c r="KKG18" s="1"/>
      <c r="KKH18" s="1"/>
      <c r="KKI18" s="1"/>
      <c r="KKJ18" s="1"/>
      <c r="KKK18" s="1"/>
      <c r="KKL18" s="1"/>
      <c r="KKM18" s="1"/>
      <c r="KKN18" s="1"/>
      <c r="KKO18" s="1"/>
      <c r="KKP18" s="1"/>
      <c r="KKQ18" s="1"/>
      <c r="KKR18" s="1"/>
      <c r="KKS18" s="1"/>
      <c r="KKT18" s="1"/>
      <c r="KKU18" s="1"/>
      <c r="KKV18" s="1"/>
      <c r="KKW18" s="1"/>
      <c r="KKX18" s="1"/>
      <c r="KKY18" s="1"/>
      <c r="KKZ18" s="1"/>
      <c r="KLA18" s="1"/>
      <c r="KLB18" s="1"/>
      <c r="KLC18" s="1"/>
      <c r="KLD18" s="1"/>
      <c r="KLE18" s="1"/>
      <c r="KLF18" s="1"/>
      <c r="KLG18" s="1"/>
      <c r="KLH18" s="1"/>
      <c r="KLI18" s="1"/>
      <c r="KLJ18" s="1"/>
      <c r="KLK18" s="1"/>
      <c r="KLL18" s="1"/>
      <c r="KLM18" s="1"/>
      <c r="KLN18" s="1"/>
      <c r="KLO18" s="1"/>
      <c r="KLP18" s="1"/>
      <c r="KLQ18" s="1"/>
      <c r="KLR18" s="1"/>
      <c r="KLS18" s="1"/>
      <c r="KLT18" s="1"/>
      <c r="KLU18" s="1"/>
      <c r="KLV18" s="1"/>
      <c r="KLW18" s="1"/>
      <c r="KLX18" s="1"/>
      <c r="KLY18" s="1"/>
      <c r="KLZ18" s="1"/>
      <c r="KMA18" s="1"/>
      <c r="KMB18" s="1"/>
      <c r="KMC18" s="1"/>
      <c r="KMD18" s="1"/>
      <c r="KME18" s="1"/>
      <c r="KMF18" s="1"/>
      <c r="KMG18" s="1"/>
      <c r="KMH18" s="1"/>
      <c r="KMI18" s="1"/>
      <c r="KMJ18" s="1"/>
      <c r="KMK18" s="1"/>
      <c r="KML18" s="1"/>
      <c r="KMM18" s="1"/>
      <c r="KMN18" s="1"/>
      <c r="KMO18" s="1"/>
      <c r="KMP18" s="1"/>
      <c r="KMQ18" s="1"/>
      <c r="KMR18" s="1"/>
      <c r="KMS18" s="1"/>
      <c r="KMT18" s="1"/>
      <c r="KMU18" s="1"/>
      <c r="KMV18" s="1"/>
      <c r="KMW18" s="1"/>
      <c r="KMX18" s="1"/>
      <c r="KMY18" s="1"/>
      <c r="KMZ18" s="1"/>
      <c r="KNA18" s="1"/>
      <c r="KNB18" s="1"/>
      <c r="KNC18" s="1"/>
      <c r="KND18" s="1"/>
      <c r="KNE18" s="1"/>
      <c r="KNF18" s="1"/>
      <c r="KNG18" s="1"/>
      <c r="KNH18" s="1"/>
      <c r="KNI18" s="1"/>
      <c r="KNJ18" s="1"/>
      <c r="KNK18" s="1"/>
      <c r="KNL18" s="1"/>
      <c r="KNM18" s="1"/>
      <c r="KNN18" s="1"/>
      <c r="KNO18" s="1"/>
      <c r="KNP18" s="1"/>
      <c r="KNQ18" s="1"/>
      <c r="KNR18" s="1"/>
      <c r="KNS18" s="1"/>
      <c r="KNT18" s="1"/>
      <c r="KNU18" s="1"/>
      <c r="KNV18" s="1"/>
      <c r="KNW18" s="1"/>
      <c r="KNX18" s="1"/>
      <c r="KNY18" s="1"/>
      <c r="KNZ18" s="1"/>
      <c r="KOA18" s="1"/>
      <c r="KOB18" s="1"/>
      <c r="KOC18" s="1"/>
      <c r="KOD18" s="1"/>
      <c r="KOE18" s="1"/>
      <c r="KOF18" s="1"/>
      <c r="KOG18" s="1"/>
      <c r="KOH18" s="1"/>
      <c r="KOI18" s="1"/>
      <c r="KOJ18" s="1"/>
      <c r="KOK18" s="1"/>
      <c r="KOL18" s="1"/>
      <c r="KOM18" s="1"/>
      <c r="KON18" s="1"/>
      <c r="KOO18" s="1"/>
      <c r="KOP18" s="1"/>
      <c r="KOQ18" s="1"/>
      <c r="KOR18" s="1"/>
      <c r="KOS18" s="1"/>
      <c r="KOT18" s="1"/>
      <c r="KOU18" s="1"/>
      <c r="KOV18" s="1"/>
      <c r="KOW18" s="1"/>
      <c r="KOX18" s="1"/>
      <c r="KOY18" s="1"/>
      <c r="KOZ18" s="1"/>
      <c r="KPA18" s="1"/>
      <c r="KPB18" s="1"/>
      <c r="KPC18" s="1"/>
      <c r="KPD18" s="1"/>
      <c r="KPE18" s="1"/>
      <c r="KPF18" s="1"/>
      <c r="KPG18" s="1"/>
      <c r="KPH18" s="1"/>
      <c r="KPI18" s="1"/>
      <c r="KPJ18" s="1"/>
      <c r="KPK18" s="1"/>
      <c r="KPL18" s="1"/>
      <c r="KPM18" s="1"/>
      <c r="KPN18" s="1"/>
      <c r="KPO18" s="1"/>
      <c r="KPP18" s="1"/>
      <c r="KPQ18" s="1"/>
      <c r="KPR18" s="1"/>
      <c r="KPS18" s="1"/>
      <c r="KPT18" s="1"/>
      <c r="KPU18" s="1"/>
      <c r="KPV18" s="1"/>
      <c r="KPW18" s="1"/>
      <c r="KPX18" s="1"/>
      <c r="KPY18" s="1"/>
      <c r="KPZ18" s="1"/>
      <c r="KQA18" s="1"/>
      <c r="KQB18" s="1"/>
      <c r="KQC18" s="1"/>
      <c r="KQD18" s="1"/>
      <c r="KQE18" s="1"/>
      <c r="KQF18" s="1"/>
      <c r="KQG18" s="1"/>
      <c r="KQH18" s="1"/>
      <c r="KQI18" s="1"/>
      <c r="KQJ18" s="1"/>
      <c r="KQK18" s="1"/>
      <c r="KQL18" s="1"/>
      <c r="KQM18" s="1"/>
      <c r="KQN18" s="1"/>
      <c r="KQO18" s="1"/>
      <c r="KQP18" s="1"/>
      <c r="KQQ18" s="1"/>
      <c r="KQR18" s="1"/>
      <c r="KQS18" s="1"/>
      <c r="KQT18" s="1"/>
      <c r="KQU18" s="1"/>
      <c r="KQV18" s="1"/>
      <c r="KQW18" s="1"/>
      <c r="KQX18" s="1"/>
      <c r="KQY18" s="1"/>
      <c r="KQZ18" s="1"/>
      <c r="KRA18" s="1"/>
      <c r="KRB18" s="1"/>
      <c r="KRC18" s="1"/>
      <c r="KRD18" s="1"/>
      <c r="KRE18" s="1"/>
      <c r="KRF18" s="1"/>
      <c r="KRG18" s="1"/>
      <c r="KRH18" s="1"/>
      <c r="KRI18" s="1"/>
      <c r="KRJ18" s="1"/>
      <c r="KRK18" s="1"/>
      <c r="KRL18" s="1"/>
      <c r="KRM18" s="1"/>
      <c r="KRN18" s="1"/>
    </row>
    <row r="19" spans="1:7918">
      <c r="A19" s="1">
        <f t="shared" si="0"/>
        <v>14</v>
      </c>
      <c r="B19" s="271" t="s">
        <v>617</v>
      </c>
      <c r="C19" s="248">
        <v>1270572363</v>
      </c>
      <c r="D19" s="271" t="s">
        <v>617</v>
      </c>
      <c r="E19" s="172" t="str">
        <f>VLOOKUP(B19,distribucion!G$8:FP$153,2,0)</f>
        <v>Facturador</v>
      </c>
      <c r="F19" s="128">
        <f>ROUND((VLOOKUP($B19,ECONACIONAL!$C$5:$AC$219,4,0)),2)</f>
        <v>30</v>
      </c>
      <c r="G19" s="128">
        <f>ROUND((VLOOKUP($B19,ECONACIONAL!$C$7:$AC$219,6,0)),2)</f>
        <v>4100</v>
      </c>
      <c r="H19" s="128">
        <f>ROUND((VLOOKUP($B19,ECONACIONAL!$C$7:$AC$219,7,0)),2)</f>
        <v>730</v>
      </c>
      <c r="I19" s="128">
        <f>ROUND((VLOOKUP($B19,ECONACIONAL!$C$7:$AC$219,9,0)),2)</f>
        <v>24</v>
      </c>
      <c r="J19" s="128">
        <f>ROUND((VLOOKUP($B19,ECONACIONAL!$C$7:$AC$219,10,0)),2)</f>
        <v>615</v>
      </c>
      <c r="K19" s="128">
        <f>ROUND((VLOOKUP($B19,ECONACIONAL!$C$7:$AC$219,11,0)),2)</f>
        <v>0</v>
      </c>
      <c r="L19" s="128">
        <f>ROUND((VLOOKUP($B19,ECONACIONAL!$C$7:$AC$219,12,0)),2)</f>
        <v>0</v>
      </c>
      <c r="M19" s="128">
        <f>ROUND((VLOOKUP($B19,ECONACIONAL!$C$7:$AC$219,14,0)),2)</f>
        <v>0</v>
      </c>
      <c r="N19" s="128">
        <f>ROUND((VLOOKUP($B19,ECONACIONAL!$C$7:$AC$219,15,0)),2)</f>
        <v>5445</v>
      </c>
      <c r="O19" s="128">
        <f>ROUND((VLOOKUP($B19,ECONACIONAL!$C$7:$AC$219,16,0)),2)</f>
        <v>227.73</v>
      </c>
      <c r="P19" s="128">
        <f>ROUND((VLOOKUP($B19,ECONACIONAL!$C$7:$AC$219,17,0)),2)</f>
        <v>182</v>
      </c>
      <c r="Q19" s="128">
        <f>ROUND((VLOOKUP($B19,ECONACIONAL!$C$7:$AC$219,18,0)),2)</f>
        <v>0</v>
      </c>
      <c r="R19" s="128">
        <f>ROUND((VLOOKUP($B19,ECONACIONAL!$C$7:$AC$219,19,0)),2)</f>
        <v>0</v>
      </c>
      <c r="S19" s="128">
        <f>ROUND((VLOOKUP($B19,ECONACIONAL!$C$7:$AC$219,20,0)),2)</f>
        <v>0</v>
      </c>
      <c r="T19" s="128">
        <f>ROUND((VLOOKUP($B19,ECONACIONAL!$C$7:$AC$219,21,0)),2)</f>
        <v>0</v>
      </c>
      <c r="U19" s="128">
        <f>ROUND((VLOOKUP($B19,ECONACIONAL!$C$7:$AC$219,22,0)),2)</f>
        <v>0</v>
      </c>
      <c r="V19" s="128">
        <f>ROUND((VLOOKUP($B19,ECONACIONAL!$C$7:$AC$219,23,0)),2)</f>
        <v>0</v>
      </c>
      <c r="W19" s="128">
        <f>ROUND((VLOOKUP($B19,ECONACIONAL!$C$7:$AC$219,24,0)),2)</f>
        <v>409.73</v>
      </c>
      <c r="X19" s="128">
        <f>ROUND((VLOOKUP($B19,ECONACIONAL!$C$7:$AC$219,25,0)),2)</f>
        <v>5035.2700000000004</v>
      </c>
      <c r="Y19" s="128">
        <f>ROUND((VLOOKUP($B19,ECONACIONAL!$C$7:$AC$219,26,0)),2)</f>
        <v>1988.48</v>
      </c>
      <c r="Z19" s="128">
        <f>ROUND((VLOOKUP($B19,ECONACIONAL!$C$7:$AC$219,27,0)),2)</f>
        <v>3046.79</v>
      </c>
      <c r="AA19" s="279"/>
      <c r="AB19" s="258"/>
      <c r="AC19" s="266"/>
    </row>
    <row r="20" spans="1:7918">
      <c r="A20" s="1">
        <f t="shared" si="0"/>
        <v>15</v>
      </c>
      <c r="B20" s="271" t="s">
        <v>425</v>
      </c>
      <c r="C20" s="168">
        <v>144442431</v>
      </c>
      <c r="D20" s="705" t="s">
        <v>425</v>
      </c>
      <c r="E20" s="172" t="str">
        <f>VLOOKUP(B20,distribucion!G$8:FP$153,2,0)</f>
        <v>Operador de montacargas</v>
      </c>
      <c r="F20" s="128">
        <f>ROUND((VLOOKUP($B20,ECONACIONAL!$C$5:$AC$219,4,0)),2)</f>
        <v>26</v>
      </c>
      <c r="G20" s="128">
        <f>ROUND((VLOOKUP($B20,ECONACIONAL!$C$7:$AC$219,6,0)),2)</f>
        <v>3900</v>
      </c>
      <c r="H20" s="128">
        <f>ROUND((VLOOKUP($B20,ECONACIONAL!$C$7:$AC$219,7,0)),2)</f>
        <v>2223.33</v>
      </c>
      <c r="I20" s="128">
        <f>ROUND((VLOOKUP($B20,ECONACIONAL!$C$7:$AC$219,9,0)),2)</f>
        <v>8</v>
      </c>
      <c r="J20" s="128">
        <f>ROUND((VLOOKUP($B20,ECONACIONAL!$C$7:$AC$219,10,0)),2)</f>
        <v>225</v>
      </c>
      <c r="K20" s="128">
        <f>ROUND((VLOOKUP($B20,ECONACIONAL!$C$7:$AC$219,11,0)),2)</f>
        <v>0</v>
      </c>
      <c r="L20" s="128">
        <f>ROUND((VLOOKUP($B20,ECONACIONAL!$C$7:$AC$219,12,0)),2)</f>
        <v>0</v>
      </c>
      <c r="M20" s="128">
        <f>ROUND((VLOOKUP($B20,ECONACIONAL!$C$7:$AC$219,14,0)),2)</f>
        <v>0</v>
      </c>
      <c r="N20" s="128">
        <f>ROUND((VLOOKUP($B20,ECONACIONAL!$C$7:$AC$219,15,0)),2)</f>
        <v>6348.33</v>
      </c>
      <c r="O20" s="128">
        <f>ROUND((VLOOKUP($B20,ECONACIONAL!$C$7:$AC$219,16,0)),2)</f>
        <v>199.24</v>
      </c>
      <c r="P20" s="128">
        <f>ROUND((VLOOKUP($B20,ECONACIONAL!$C$7:$AC$219,17,0)),2)</f>
        <v>290</v>
      </c>
      <c r="Q20" s="128">
        <f>ROUND((VLOOKUP($B20,ECONACIONAL!$C$7:$AC$219,18,0)),2)</f>
        <v>0</v>
      </c>
      <c r="R20" s="128">
        <f>ROUND((VLOOKUP($B20,ECONACIONAL!$C$7:$AC$219,19,0)),2)</f>
        <v>0</v>
      </c>
      <c r="S20" s="128">
        <f>ROUND((VLOOKUP($B20,ECONACIONAL!$C$7:$AC$219,20,0)),2)</f>
        <v>0</v>
      </c>
      <c r="T20" s="128">
        <f>ROUND((VLOOKUP($B20,ECONACIONAL!$C$7:$AC$219,21,0)),2)</f>
        <v>0</v>
      </c>
      <c r="U20" s="128">
        <f>ROUND((VLOOKUP($B20,ECONACIONAL!$C$7:$AC$219,22,0)),2)</f>
        <v>0</v>
      </c>
      <c r="V20" s="128">
        <f>ROUND((VLOOKUP($B20,ECONACIONAL!$C$7:$AC$219,23,0)),2)</f>
        <v>0</v>
      </c>
      <c r="W20" s="128">
        <f>ROUND((VLOOKUP($B20,ECONACIONAL!$C$7:$AC$219,24,0)),2)</f>
        <v>489.24</v>
      </c>
      <c r="X20" s="128">
        <f>ROUND((VLOOKUP($B20,ECONACIONAL!$C$7:$AC$219,25,0)),2)</f>
        <v>5859.09</v>
      </c>
      <c r="Y20" s="128">
        <f>ROUND((VLOOKUP($B20,ECONACIONAL!$C$7:$AC$219,26,0)),2)</f>
        <v>1557.63</v>
      </c>
      <c r="Z20" s="128">
        <f>ROUND((VLOOKUP($B20,ECONACIONAL!$C$7:$AC$219,27,0)),2)</f>
        <v>4301.46</v>
      </c>
      <c r="AA20" s="279"/>
      <c r="AB20" s="258">
        <v>3017188650101</v>
      </c>
      <c r="AC20" s="266"/>
    </row>
    <row r="21" spans="1:7918">
      <c r="A21" s="1">
        <f t="shared" si="0"/>
        <v>16</v>
      </c>
      <c r="B21" s="271" t="s">
        <v>608</v>
      </c>
      <c r="C21" s="168">
        <v>144442449</v>
      </c>
      <c r="D21" s="705" t="s">
        <v>608</v>
      </c>
      <c r="E21" s="172" t="str">
        <f>VLOOKUP(B21,distribucion!G$8:FP$153,2,0)</f>
        <v>Encargado de Bodega MP</v>
      </c>
      <c r="F21" s="128">
        <f>ROUND((VLOOKUP($B21,ECONACIONAL!$C$5:$AC$219,4,0)),2)</f>
        <v>30</v>
      </c>
      <c r="G21" s="128">
        <f>ROUND((VLOOKUP($B21,ECONACIONAL!$C$7:$AC$219,6,0)),2)</f>
        <v>4500</v>
      </c>
      <c r="H21" s="128">
        <f>ROUND((VLOOKUP($B21,ECONACIONAL!$C$7:$AC$219,7,0)),2)</f>
        <v>962.28</v>
      </c>
      <c r="I21" s="128">
        <f>ROUND((VLOOKUP($B21,ECONACIONAL!$C$7:$AC$219,9,0)),2)</f>
        <v>7</v>
      </c>
      <c r="J21" s="128">
        <f>ROUND((VLOOKUP($B21,ECONACIONAL!$C$7:$AC$219,10,0)),2)</f>
        <v>196.88</v>
      </c>
      <c r="K21" s="128">
        <f>ROUND((VLOOKUP($B21,ECONACIONAL!$C$7:$AC$219,11,0)),2)</f>
        <v>0</v>
      </c>
      <c r="L21" s="128">
        <f>ROUND((VLOOKUP($B21,ECONACIONAL!$C$7:$AC$219,12,0)),2)</f>
        <v>0</v>
      </c>
      <c r="M21" s="128">
        <f>ROUND((VLOOKUP($B21,ECONACIONAL!$C$7:$AC$219,14,0)),2)</f>
        <v>0</v>
      </c>
      <c r="N21" s="128">
        <f>ROUND((VLOOKUP($B21,ECONACIONAL!$C$7:$AC$219,15,0)),2)</f>
        <v>5659.16</v>
      </c>
      <c r="O21" s="128">
        <f>ROUND((VLOOKUP($B21,ECONACIONAL!$C$7:$AC$219,16,0)),2)</f>
        <v>226.86</v>
      </c>
      <c r="P21" s="128">
        <f>ROUND((VLOOKUP($B21,ECONACIONAL!$C$7:$AC$219,17,0)),2)</f>
        <v>218</v>
      </c>
      <c r="Q21" s="128">
        <f>ROUND((VLOOKUP($B21,ECONACIONAL!$C$7:$AC$219,18,0)),2)</f>
        <v>0</v>
      </c>
      <c r="R21" s="128">
        <f>ROUND((VLOOKUP($B21,ECONACIONAL!$C$7:$AC$219,19,0)),2)</f>
        <v>650</v>
      </c>
      <c r="S21" s="128">
        <f>ROUND((VLOOKUP($B21,ECONACIONAL!$C$7:$AC$219,20,0)),2)</f>
        <v>0</v>
      </c>
      <c r="T21" s="128">
        <f>ROUND((VLOOKUP($B21,ECONACIONAL!$C$7:$AC$219,21,0)),2)</f>
        <v>0</v>
      </c>
      <c r="U21" s="128">
        <f>ROUND((VLOOKUP($B21,ECONACIONAL!$C$7:$AC$219,22,0)),2)</f>
        <v>522</v>
      </c>
      <c r="V21" s="128">
        <f>ROUND((VLOOKUP($B21,ECONACIONAL!$C$7:$AC$219,23,0)),2)</f>
        <v>0</v>
      </c>
      <c r="W21" s="128">
        <f>ROUND((VLOOKUP($B21,ECONACIONAL!$C$7:$AC$219,24,0)),2)</f>
        <v>1616.86</v>
      </c>
      <c r="X21" s="128">
        <f>ROUND((VLOOKUP($B21,ECONACIONAL!$C$7:$AC$219,25,0)),2)</f>
        <v>4042.3</v>
      </c>
      <c r="Y21" s="128">
        <f>ROUND((VLOOKUP($B21,ECONACIONAL!$C$7:$AC$219,26,0)),2)</f>
        <v>1748.96</v>
      </c>
      <c r="Z21" s="128">
        <f>ROUND((VLOOKUP($B21,ECONACIONAL!$C$7:$AC$219,27,0)),2)</f>
        <v>2293.34</v>
      </c>
      <c r="AA21" s="279"/>
      <c r="AB21" s="258">
        <v>3006725860101</v>
      </c>
      <c r="AC21" s="266"/>
    </row>
    <row r="22" spans="1:7918">
      <c r="A22" s="1">
        <f t="shared" si="0"/>
        <v>17</v>
      </c>
      <c r="B22" s="271" t="s">
        <v>670</v>
      </c>
      <c r="C22" s="168">
        <v>144442456</v>
      </c>
      <c r="D22" s="705" t="s">
        <v>670</v>
      </c>
      <c r="E22" s="172" t="str">
        <f>VLOOKUP(B22,distribucion!G$8:FP$153,2,0)</f>
        <v>Auxiliar de Control De Calidad</v>
      </c>
      <c r="F22" s="128">
        <f>ROUND((VLOOKUP($B22,ECONACIONAL!$C$5:$AC$219,4,0)),2)</f>
        <v>30</v>
      </c>
      <c r="G22" s="128">
        <f>ROUND((VLOOKUP($B22,ECONACIONAL!$C$7:$AC$219,6,0)),2)</f>
        <v>4100</v>
      </c>
      <c r="H22" s="128">
        <f>ROUND((VLOOKUP($B22,ECONACIONAL!$C$7:$AC$219,7,0)),2)</f>
        <v>550</v>
      </c>
      <c r="I22" s="128">
        <f>ROUND((VLOOKUP($B22,ECONACIONAL!$C$7:$AC$219,9,0)),2)</f>
        <v>13</v>
      </c>
      <c r="J22" s="128">
        <f>ROUND((VLOOKUP($B22,ECONACIONAL!$C$7:$AC$219,10,0)),2)</f>
        <v>333.13</v>
      </c>
      <c r="K22" s="128">
        <f>ROUND((VLOOKUP($B22,ECONACIONAL!$C$7:$AC$219,11,0)),2)</f>
        <v>0</v>
      </c>
      <c r="L22" s="128">
        <f>ROUND((VLOOKUP($B22,ECONACIONAL!$C$7:$AC$219,12,0)),2)</f>
        <v>0</v>
      </c>
      <c r="M22" s="128">
        <f>ROUND((VLOOKUP($B22,ECONACIONAL!$C$7:$AC$219,14,0)),2)</f>
        <v>0</v>
      </c>
      <c r="N22" s="128">
        <f>ROUND((VLOOKUP($B22,ECONACIONAL!$C$7:$AC$219,15,0)),2)</f>
        <v>4983.13</v>
      </c>
      <c r="O22" s="128">
        <f>ROUND((VLOOKUP($B22,ECONACIONAL!$C$7:$AC$219,16,0)),2)</f>
        <v>214.12</v>
      </c>
      <c r="P22" s="128">
        <f>ROUND((VLOOKUP($B22,ECONACIONAL!$C$7:$AC$219,17,0)),2)</f>
        <v>98</v>
      </c>
      <c r="Q22" s="128">
        <f>ROUND((VLOOKUP($B22,ECONACIONAL!$C$7:$AC$219,18,0)),2)</f>
        <v>0</v>
      </c>
      <c r="R22" s="128">
        <f>ROUND((VLOOKUP($B22,ECONACIONAL!$C$7:$AC$219,19,0)),2)</f>
        <v>0</v>
      </c>
      <c r="S22" s="128">
        <f>ROUND((VLOOKUP($B22,ECONACIONAL!$C$7:$AC$219,20,0)),2)</f>
        <v>0</v>
      </c>
      <c r="T22" s="128">
        <f>ROUND((VLOOKUP($B22,ECONACIONAL!$C$7:$AC$219,21,0)),2)</f>
        <v>0</v>
      </c>
      <c r="U22" s="128">
        <f>ROUND((VLOOKUP($B22,ECONACIONAL!$C$7:$AC$219,22,0)),2)</f>
        <v>0</v>
      </c>
      <c r="V22" s="128">
        <f>ROUND((VLOOKUP($B22,ECONACIONAL!$C$7:$AC$219,23,0)),2)</f>
        <v>0</v>
      </c>
      <c r="W22" s="128">
        <f>ROUND((VLOOKUP($B22,ECONACIONAL!$C$7:$AC$219,24,0)),2)</f>
        <v>312.12</v>
      </c>
      <c r="X22" s="128">
        <f>ROUND((VLOOKUP($B22,ECONACIONAL!$C$7:$AC$219,25,0)),2)</f>
        <v>4671.01</v>
      </c>
      <c r="Y22" s="128">
        <f>ROUND((VLOOKUP($B22,ECONACIONAL!$C$7:$AC$219,26,0)),2)</f>
        <v>2196.48</v>
      </c>
      <c r="Z22" s="128">
        <f>ROUND((VLOOKUP($B22,ECONACIONAL!$C$7:$AC$219,27,0)),2)</f>
        <v>2474.5300000000002</v>
      </c>
      <c r="AA22" s="279"/>
      <c r="AB22" s="258">
        <v>3006725860101</v>
      </c>
      <c r="AC22" s="266"/>
    </row>
    <row r="23" spans="1:7918">
      <c r="A23" s="1">
        <f t="shared" si="0"/>
        <v>18</v>
      </c>
      <c r="B23" s="271" t="s">
        <v>610</v>
      </c>
      <c r="C23" s="168">
        <v>143479566</v>
      </c>
      <c r="D23" s="705" t="s">
        <v>610</v>
      </c>
      <c r="E23" s="172" t="str">
        <f>VLOOKUP(B23,distribucion!G$8:FP$153,2,0)</f>
        <v>Jefe de Gestion de calidad</v>
      </c>
      <c r="F23" s="128">
        <f>ROUND((VLOOKUP($B23,ECONACIONAL!$C$5:$AC$219,4,0)),2)</f>
        <v>30</v>
      </c>
      <c r="G23" s="128">
        <f>ROUND((VLOOKUP($B23,ECONACIONAL!$C$7:$AC$219,6,0)),2)</f>
        <v>6520</v>
      </c>
      <c r="H23" s="128">
        <f>ROUND((VLOOKUP($B23,ECONACIONAL!$C$7:$AC$219,7,0)),2)</f>
        <v>3200</v>
      </c>
      <c r="I23" s="128">
        <f>ROUND((VLOOKUP($B23,ECONACIONAL!$C$7:$AC$219,9,0)),2)</f>
        <v>0</v>
      </c>
      <c r="J23" s="128">
        <f>ROUND((VLOOKUP($B23,ECONACIONAL!$C$7:$AC$219,10,0)),2)</f>
        <v>0</v>
      </c>
      <c r="K23" s="128">
        <f>ROUND((VLOOKUP($B23,ECONACIONAL!$C$7:$AC$219,11,0)),2)</f>
        <v>0</v>
      </c>
      <c r="L23" s="128">
        <f>ROUND((VLOOKUP($B23,ECONACIONAL!$C$7:$AC$219,12,0)),2)</f>
        <v>0</v>
      </c>
      <c r="M23" s="128">
        <f>ROUND((VLOOKUP($B23,ECONACIONAL!$C$7:$AC$219,14,0)),2)</f>
        <v>0</v>
      </c>
      <c r="N23" s="128">
        <f>ROUND((VLOOKUP($B23,ECONACIONAL!$C$7:$AC$219,15,0)),2)</f>
        <v>9720</v>
      </c>
      <c r="O23" s="128">
        <f>ROUND((VLOOKUP($B23,ECONACIONAL!$C$7:$AC$219,16,0)),2)</f>
        <v>314.92</v>
      </c>
      <c r="P23" s="128">
        <f>ROUND((VLOOKUP($B23,ECONACIONAL!$C$7:$AC$219,17,0)),2)</f>
        <v>245.51</v>
      </c>
      <c r="Q23" s="128">
        <f>ROUND((VLOOKUP($B23,ECONACIONAL!$C$7:$AC$219,18,0)),2)</f>
        <v>0</v>
      </c>
      <c r="R23" s="128">
        <f>ROUND((VLOOKUP($B23,ECONACIONAL!$C$7:$AC$219,19,0)),2)</f>
        <v>0</v>
      </c>
      <c r="S23" s="128">
        <f>ROUND((VLOOKUP($B23,ECONACIONAL!$C$7:$AC$219,20,0)),2)</f>
        <v>0</v>
      </c>
      <c r="T23" s="128">
        <f>ROUND((VLOOKUP($B23,ECONACIONAL!$C$7:$AC$219,21,0)),2)</f>
        <v>0</v>
      </c>
      <c r="U23" s="128">
        <f>ROUND((VLOOKUP($B23,ECONACIONAL!$C$7:$AC$219,22,0)),2)</f>
        <v>1035.25</v>
      </c>
      <c r="V23" s="128">
        <f>ROUND((VLOOKUP($B23,ECONACIONAL!$C$7:$AC$219,23,0)),2)</f>
        <v>0</v>
      </c>
      <c r="W23" s="128">
        <f>ROUND((VLOOKUP($B23,ECONACIONAL!$C$7:$AC$219,24,0)),2)</f>
        <v>1595.68</v>
      </c>
      <c r="X23" s="128">
        <f>ROUND((VLOOKUP($B23,ECONACIONAL!$C$7:$AC$219,25,0)),2)</f>
        <v>8124.32</v>
      </c>
      <c r="Y23" s="128">
        <f>ROUND((VLOOKUP($B23,ECONACIONAL!$C$7:$AC$219,26,0)),2)</f>
        <v>4134.03</v>
      </c>
      <c r="Z23" s="128">
        <f>ROUND((VLOOKUP($B23,ECONACIONAL!$C$7:$AC$219,27,0)),2)</f>
        <v>3990.29</v>
      </c>
      <c r="AA23" s="279"/>
      <c r="AB23" s="258">
        <v>3006725860101</v>
      </c>
      <c r="AC23" s="266"/>
    </row>
    <row r="24" spans="1:7918">
      <c r="A24" s="1">
        <f t="shared" si="0"/>
        <v>19</v>
      </c>
      <c r="B24" s="951" t="s">
        <v>671</v>
      </c>
      <c r="C24" s="953">
        <v>2110216500</v>
      </c>
      <c r="D24" s="705" t="s">
        <v>671</v>
      </c>
      <c r="E24" s="172" t="str">
        <f>VLOOKUP(B24,distribucion!G$8:FP$153,2,0)</f>
        <v>Auxiliar de Control De Calidad</v>
      </c>
      <c r="F24" s="128">
        <f>ROUND((VLOOKUP($B24,ECONACIONAL!$C$5:$AC$219,4,0)),2)</f>
        <v>30</v>
      </c>
      <c r="G24" s="128">
        <f>ROUND((VLOOKUP($B24,ECONACIONAL!$C$7:$AC$219,6,0)),2)</f>
        <v>5000</v>
      </c>
      <c r="H24" s="128">
        <f>ROUND((VLOOKUP($B24,ECONACIONAL!$C$7:$AC$219,7,0)),2)</f>
        <v>1100</v>
      </c>
      <c r="I24" s="128">
        <f>ROUND((VLOOKUP($B24,ECONACIONAL!$C$7:$AC$219,9,0)),2)</f>
        <v>52</v>
      </c>
      <c r="J24" s="128">
        <f>ROUND((VLOOKUP($B24,ECONACIONAL!$C$7:$AC$219,10,0)),2)</f>
        <v>1625</v>
      </c>
      <c r="K24" s="128">
        <f>ROUND((VLOOKUP($B24,ECONACIONAL!$C$7:$AC$219,11,0)),2)</f>
        <v>0</v>
      </c>
      <c r="L24" s="128">
        <f>ROUND((VLOOKUP($B24,ECONACIONAL!$C$7:$AC$219,12,0)),2)</f>
        <v>0</v>
      </c>
      <c r="M24" s="128">
        <f>ROUND((VLOOKUP($B24,ECONACIONAL!$C$7:$AC$219,14,0)),2)</f>
        <v>0</v>
      </c>
      <c r="N24" s="128">
        <f>ROUND((VLOOKUP($B24,ECONACIONAL!$C$7:$AC$219,15,0)),2)</f>
        <v>7725</v>
      </c>
      <c r="O24" s="128">
        <f>ROUND((VLOOKUP($B24,ECONACIONAL!$C$7:$AC$219,16,0)),2)</f>
        <v>319.99</v>
      </c>
      <c r="P24" s="128">
        <f>ROUND((VLOOKUP($B24,ECONACIONAL!$C$7:$AC$219,17,0)),2)</f>
        <v>170</v>
      </c>
      <c r="Q24" s="128">
        <f>ROUND((VLOOKUP($B24,ECONACIONAL!$C$7:$AC$219,18,0)),2)</f>
        <v>0</v>
      </c>
      <c r="R24" s="128">
        <f>ROUND((VLOOKUP($B24,ECONACIONAL!$C$7:$AC$219,19,0)),2)</f>
        <v>0</v>
      </c>
      <c r="S24" s="128">
        <f>ROUND((VLOOKUP($B24,ECONACIONAL!$C$7:$AC$219,20,0)),2)</f>
        <v>0</v>
      </c>
      <c r="T24" s="128">
        <f>ROUND((VLOOKUP($B24,ECONACIONAL!$C$7:$AC$219,21,0)),2)</f>
        <v>0</v>
      </c>
      <c r="U24" s="128">
        <f>ROUND((VLOOKUP($B24,ECONACIONAL!$C$7:$AC$219,22,0)),2)</f>
        <v>0</v>
      </c>
      <c r="V24" s="128">
        <f>ROUND((VLOOKUP($B24,ECONACIONAL!$C$7:$AC$219,23,0)),2)</f>
        <v>0</v>
      </c>
      <c r="W24" s="128">
        <f>ROUND((VLOOKUP($B24,ECONACIONAL!$C$7:$AC$219,24,0)),2)</f>
        <v>489.99</v>
      </c>
      <c r="X24" s="128">
        <f>ROUND((VLOOKUP($B24,ECONACIONAL!$C$7:$AC$219,25,0)),2)</f>
        <v>7235.01</v>
      </c>
      <c r="Y24" s="128">
        <f>ROUND((VLOOKUP($B24,ECONACIONAL!$C$7:$AC$219,26,0)),2)</f>
        <v>2848.25</v>
      </c>
      <c r="Z24" s="128">
        <f>ROUND((VLOOKUP($B24,ECONACIONAL!$C$7:$AC$219,27,0)),2)</f>
        <v>4386.76</v>
      </c>
      <c r="AA24" s="279"/>
      <c r="AB24" s="258">
        <v>3006725860101</v>
      </c>
      <c r="AC24" s="266"/>
    </row>
    <row r="25" spans="1:7918">
      <c r="A25" s="1">
        <f t="shared" si="0"/>
        <v>20</v>
      </c>
      <c r="B25" s="951" t="s">
        <v>612</v>
      </c>
      <c r="C25" s="953">
        <v>6050034195</v>
      </c>
      <c r="D25" s="705" t="s">
        <v>612</v>
      </c>
      <c r="E25" s="172" t="str">
        <f>VLOOKUP(B25,distribucion!G$8:FP$153,2,0)</f>
        <v>Auxiliar de Control De Calidad</v>
      </c>
      <c r="F25" s="128">
        <f>ROUND((VLOOKUP($B25,ECONACIONAL!$C$5:$AC$219,4,0)),2)</f>
        <v>30</v>
      </c>
      <c r="G25" s="128">
        <f>ROUND((VLOOKUP($B25,ECONACIONAL!$C$7:$AC$219,6,0)),2)</f>
        <v>4100</v>
      </c>
      <c r="H25" s="128">
        <f>ROUND((VLOOKUP($B25,ECONACIONAL!$C$7:$AC$219,7,0)),2)</f>
        <v>600</v>
      </c>
      <c r="I25" s="128">
        <f>ROUND((VLOOKUP($B25,ECONACIONAL!$C$7:$AC$219,9,0)),2)</f>
        <v>31</v>
      </c>
      <c r="J25" s="128">
        <f>ROUND((VLOOKUP($B25,ECONACIONAL!$C$7:$AC$219,10,0)),2)</f>
        <v>794.38</v>
      </c>
      <c r="K25" s="128">
        <f>ROUND((VLOOKUP($B25,ECONACIONAL!$C$7:$AC$219,11,0)),2)</f>
        <v>0</v>
      </c>
      <c r="L25" s="128">
        <f>ROUND((VLOOKUP($B25,ECONACIONAL!$C$7:$AC$219,12,0)),2)</f>
        <v>0</v>
      </c>
      <c r="M25" s="128">
        <f>ROUND((VLOOKUP($B25,ECONACIONAL!$C$7:$AC$219,14,0)),2)</f>
        <v>0</v>
      </c>
      <c r="N25" s="128">
        <f>ROUND((VLOOKUP($B25,ECONACIONAL!$C$7:$AC$219,15,0)),2)</f>
        <v>5494.38</v>
      </c>
      <c r="O25" s="128">
        <f>ROUND((VLOOKUP($B25,ECONACIONAL!$C$7:$AC$219,16,0)),2)</f>
        <v>236.4</v>
      </c>
      <c r="P25" s="128">
        <f>ROUND((VLOOKUP($B25,ECONACIONAL!$C$7:$AC$219,17,0)),2)</f>
        <v>170</v>
      </c>
      <c r="Q25" s="128">
        <f>ROUND((VLOOKUP($B25,ECONACIONAL!$C$7:$AC$219,18,0)),2)</f>
        <v>0</v>
      </c>
      <c r="R25" s="128">
        <f>ROUND((VLOOKUP($B25,ECONACIONAL!$C$7:$AC$219,19,0)),2)</f>
        <v>0</v>
      </c>
      <c r="S25" s="128">
        <f>ROUND((VLOOKUP($B25,ECONACIONAL!$C$7:$AC$219,20,0)),2)</f>
        <v>0</v>
      </c>
      <c r="T25" s="128">
        <f>ROUND((VLOOKUP($B25,ECONACIONAL!$C$7:$AC$219,21,0)),2)</f>
        <v>0</v>
      </c>
      <c r="U25" s="128">
        <f>ROUND((VLOOKUP($B25,ECONACIONAL!$C$7:$AC$219,22,0)),2)</f>
        <v>0</v>
      </c>
      <c r="V25" s="128">
        <f>ROUND((VLOOKUP($B25,ECONACIONAL!$C$7:$AC$219,23,0)),2)</f>
        <v>0</v>
      </c>
      <c r="W25" s="128">
        <f>ROUND((VLOOKUP($B25,ECONACIONAL!$C$7:$AC$219,24,0)),2)</f>
        <v>406.4</v>
      </c>
      <c r="X25" s="128">
        <f>ROUND((VLOOKUP($B25,ECONACIONAL!$C$7:$AC$219,25,0)),2)</f>
        <v>5087.9799999999996</v>
      </c>
      <c r="Y25" s="128">
        <f>ROUND((VLOOKUP($B25,ECONACIONAL!$C$7:$AC$219,26,0)),2)</f>
        <v>2170.98</v>
      </c>
      <c r="Z25" s="128">
        <f>ROUND((VLOOKUP($B25,ECONACIONAL!$C$7:$AC$219,27,0)),2)</f>
        <v>2917</v>
      </c>
      <c r="AA25" s="279"/>
      <c r="AB25" s="258">
        <v>3006725860101</v>
      </c>
      <c r="AC25" s="266"/>
    </row>
    <row r="26" spans="1:7918">
      <c r="A26" s="1">
        <f t="shared" si="0"/>
        <v>21</v>
      </c>
      <c r="B26" s="951" t="s">
        <v>421</v>
      </c>
      <c r="C26" s="168">
        <v>144442480</v>
      </c>
      <c r="D26" s="705" t="s">
        <v>421</v>
      </c>
      <c r="E26" s="172" t="str">
        <f>VLOOKUP(B26,distribucion!G$8:FP$153,2,0)</f>
        <v>Jefe de Mantenimiento</v>
      </c>
      <c r="F26" s="128">
        <f>ROUND((VLOOKUP($B26,ECONACIONAL!$C$5:$AC$219,4,0)),2)</f>
        <v>30</v>
      </c>
      <c r="G26" s="128">
        <f>ROUND((VLOOKUP($B26,ECONACIONAL!$C$7:$AC$219,6,0)),2)</f>
        <v>6500</v>
      </c>
      <c r="H26" s="128">
        <f>ROUND((VLOOKUP($B26,ECONACIONAL!$C$7:$AC$219,7,0)),2)</f>
        <v>1750</v>
      </c>
      <c r="I26" s="128">
        <f>ROUND((VLOOKUP($B26,ECONACIONAL!$C$7:$AC$219,9,0)),2)</f>
        <v>0</v>
      </c>
      <c r="J26" s="128">
        <f>ROUND((VLOOKUP($B26,ECONACIONAL!$C$7:$AC$219,10,0)),2)</f>
        <v>0</v>
      </c>
      <c r="K26" s="128">
        <f>ROUND((VLOOKUP($B26,ECONACIONAL!$C$7:$AC$219,11,0)),2)</f>
        <v>0</v>
      </c>
      <c r="L26" s="128">
        <f>ROUND((VLOOKUP($B26,ECONACIONAL!$C$7:$AC$219,12,0)),2)</f>
        <v>0</v>
      </c>
      <c r="M26" s="128">
        <f>ROUND((VLOOKUP($B26,ECONACIONAL!$C$7:$AC$219,14,0)),2)</f>
        <v>0</v>
      </c>
      <c r="N26" s="128">
        <f>ROUND((VLOOKUP($B26,ECONACIONAL!$C$7:$AC$219,15,0)),2)</f>
        <v>8250</v>
      </c>
      <c r="O26" s="128">
        <f>ROUND((VLOOKUP($B26,ECONACIONAL!$C$7:$AC$219,16,0)),2)</f>
        <v>313.95</v>
      </c>
      <c r="P26" s="128">
        <f>ROUND((VLOOKUP($B26,ECONACIONAL!$C$7:$AC$219,17,0)),2)</f>
        <v>213</v>
      </c>
      <c r="Q26" s="128">
        <f>ROUND((VLOOKUP($B26,ECONACIONAL!$C$7:$AC$219,18,0)),2)</f>
        <v>0</v>
      </c>
      <c r="R26" s="128">
        <f>ROUND((VLOOKUP($B26,ECONACIONAL!$C$7:$AC$219,19,0)),2)</f>
        <v>0</v>
      </c>
      <c r="S26" s="128">
        <f>ROUND((VLOOKUP($B26,ECONACIONAL!$C$7:$AC$219,20,0)),2)</f>
        <v>0</v>
      </c>
      <c r="T26" s="128">
        <f>ROUND((VLOOKUP($B26,ECONACIONAL!$C$7:$AC$219,21,0)),2)</f>
        <v>0</v>
      </c>
      <c r="U26" s="128">
        <f>ROUND((VLOOKUP($B26,ECONACIONAL!$C$7:$AC$219,22,0)),2)</f>
        <v>552.75</v>
      </c>
      <c r="V26" s="128">
        <f>ROUND((VLOOKUP($B26,ECONACIONAL!$C$7:$AC$219,23,0)),2)</f>
        <v>350</v>
      </c>
      <c r="W26" s="128">
        <f>ROUND((VLOOKUP($B26,ECONACIONAL!$C$7:$AC$219,24,0)),2)</f>
        <v>1429.7</v>
      </c>
      <c r="X26" s="128">
        <f>ROUND((VLOOKUP($B26,ECONACIONAL!$C$7:$AC$219,25,0)),2)</f>
        <v>6820.3</v>
      </c>
      <c r="Y26" s="128">
        <f>ROUND((VLOOKUP($B26,ECONACIONAL!$C$7:$AC$219,26,0)),2)</f>
        <v>3894.52</v>
      </c>
      <c r="Z26" s="128">
        <f>ROUND((VLOOKUP($B26,ECONACIONAL!$C$7:$AC$219,27,0)),2)</f>
        <v>2925.78</v>
      </c>
      <c r="AA26" s="279"/>
      <c r="AB26" s="258">
        <v>3006725860101</v>
      </c>
      <c r="AC26" s="266"/>
    </row>
    <row r="27" spans="1:7918">
      <c r="A27" s="1">
        <f t="shared" si="0"/>
        <v>22</v>
      </c>
      <c r="B27" s="951" t="s">
        <v>673</v>
      </c>
      <c r="C27" s="168">
        <v>144442472</v>
      </c>
      <c r="D27" s="705" t="s">
        <v>673</v>
      </c>
      <c r="E27" s="172" t="str">
        <f>VLOOKUP(B27,distribucion!G$8:FP$153,2,0)</f>
        <v>Tecnico industrial</v>
      </c>
      <c r="F27" s="128">
        <f>ROUND((VLOOKUP($B27,ECONACIONAL!$C$5:$AC$219,4,0)),2)</f>
        <v>30</v>
      </c>
      <c r="G27" s="128">
        <f>ROUND((VLOOKUP($B27,ECONACIONAL!$C$7:$AC$219,6,0)),2)</f>
        <v>4200</v>
      </c>
      <c r="H27" s="128">
        <f>ROUND((VLOOKUP($B27,ECONACIONAL!$C$7:$AC$219,7,0)),2)</f>
        <v>3650</v>
      </c>
      <c r="I27" s="128">
        <f>ROUND((VLOOKUP($B27,ECONACIONAL!$C$7:$AC$219,9,0)),2)</f>
        <v>2</v>
      </c>
      <c r="J27" s="128">
        <f>ROUND((VLOOKUP($B27,ECONACIONAL!$C$7:$AC$219,10,0)),2)</f>
        <v>52.5</v>
      </c>
      <c r="K27" s="128">
        <f>ROUND((VLOOKUP($B27,ECONACIONAL!$C$7:$AC$219,11,0)),2)</f>
        <v>0</v>
      </c>
      <c r="L27" s="128">
        <f>ROUND((VLOOKUP($B27,ECONACIONAL!$C$7:$AC$219,12,0)),2)</f>
        <v>0</v>
      </c>
      <c r="M27" s="128">
        <f>ROUND((VLOOKUP($B27,ECONACIONAL!$C$7:$AC$219,14,0)),2)</f>
        <v>0</v>
      </c>
      <c r="N27" s="128">
        <f>ROUND((VLOOKUP($B27,ECONACIONAL!$C$7:$AC$219,15,0)),2)</f>
        <v>7902.5</v>
      </c>
      <c r="O27" s="128">
        <f>ROUND((VLOOKUP($B27,ECONACIONAL!$C$7:$AC$219,16,0)),2)</f>
        <v>205.4</v>
      </c>
      <c r="P27" s="128">
        <f>ROUND((VLOOKUP($B27,ECONACIONAL!$C$7:$AC$219,17,0)),2)</f>
        <v>190</v>
      </c>
      <c r="Q27" s="128">
        <f>ROUND((VLOOKUP($B27,ECONACIONAL!$C$7:$AC$219,18,0)),2)</f>
        <v>0</v>
      </c>
      <c r="R27" s="128">
        <f>ROUND((VLOOKUP($B27,ECONACIONAL!$C$7:$AC$219,19,0)),2)</f>
        <v>0</v>
      </c>
      <c r="S27" s="128">
        <f>ROUND((VLOOKUP($B27,ECONACIONAL!$C$7:$AC$219,20,0)),2)</f>
        <v>0</v>
      </c>
      <c r="T27" s="128">
        <f>ROUND((VLOOKUP($B27,ECONACIONAL!$C$7:$AC$219,21,0)),2)</f>
        <v>0</v>
      </c>
      <c r="U27" s="128">
        <f>ROUND((VLOOKUP($B27,ECONACIONAL!$C$7:$AC$219,22,0)),2)</f>
        <v>0</v>
      </c>
      <c r="V27" s="128">
        <f>ROUND((VLOOKUP($B27,ECONACIONAL!$C$7:$AC$219,23,0)),2)</f>
        <v>0</v>
      </c>
      <c r="W27" s="128">
        <f>ROUND((VLOOKUP($B27,ECONACIONAL!$C$7:$AC$219,24,0)),2)</f>
        <v>395.4</v>
      </c>
      <c r="X27" s="128">
        <f>ROUND((VLOOKUP($B27,ECONACIONAL!$C$7:$AC$219,25,0)),2)</f>
        <v>7507.1</v>
      </c>
      <c r="Y27" s="128">
        <f>ROUND((VLOOKUP($B27,ECONACIONAL!$C$7:$AC$219,26,0)),2)</f>
        <v>2305.5700000000002</v>
      </c>
      <c r="Z27" s="128">
        <f>ROUND((VLOOKUP($B27,ECONACIONAL!$C$7:$AC$219,27,0)),2)</f>
        <v>5201.53</v>
      </c>
      <c r="AA27" s="279"/>
      <c r="AB27" s="258">
        <v>3006725860101</v>
      </c>
      <c r="AC27" s="266"/>
    </row>
    <row r="28" spans="1:7918">
      <c r="A28" s="1">
        <f t="shared" si="0"/>
        <v>23</v>
      </c>
      <c r="B28" s="951" t="s">
        <v>672</v>
      </c>
      <c r="C28" s="953">
        <v>4600043030</v>
      </c>
      <c r="D28" s="705" t="s">
        <v>672</v>
      </c>
      <c r="E28" s="172" t="str">
        <f>VLOOKUP(B28,distribucion!G$8:FP$153,2,0)</f>
        <v>Auxiliar de Mantenimiento</v>
      </c>
      <c r="F28" s="128">
        <f>ROUND((VLOOKUP($B28,ECONACIONAL!$C$5:$AC$219,4,0)),2)</f>
        <v>30</v>
      </c>
      <c r="G28" s="128">
        <f>ROUND((VLOOKUP($B28,ECONACIONAL!$C$7:$AC$219,6,0)),2)</f>
        <v>4002.28</v>
      </c>
      <c r="H28" s="128">
        <f>ROUND((VLOOKUP($B28,ECONACIONAL!$C$7:$AC$219,7,0)),2)</f>
        <v>1350</v>
      </c>
      <c r="I28" s="128">
        <f>ROUND((VLOOKUP($B28,ECONACIONAL!$C$7:$AC$219,9,0)),2)</f>
        <v>4</v>
      </c>
      <c r="J28" s="128">
        <f>ROUND((VLOOKUP($B28,ECONACIONAL!$C$7:$AC$219,10,0)),2)</f>
        <v>100.06</v>
      </c>
      <c r="K28" s="128">
        <f>ROUND((VLOOKUP($B28,ECONACIONAL!$C$7:$AC$219,11,0)),2)</f>
        <v>0</v>
      </c>
      <c r="L28" s="128">
        <f>ROUND((VLOOKUP($B28,ECONACIONAL!$C$7:$AC$219,12,0)),2)</f>
        <v>0</v>
      </c>
      <c r="M28" s="128">
        <f>ROUND((VLOOKUP($B28,ECONACIONAL!$C$7:$AC$219,14,0)),2)</f>
        <v>0</v>
      </c>
      <c r="N28" s="128">
        <f>ROUND((VLOOKUP($B28,ECONACIONAL!$C$7:$AC$219,15,0)),2)</f>
        <v>5452.34</v>
      </c>
      <c r="O28" s="128">
        <f>ROUND((VLOOKUP($B28,ECONACIONAL!$C$7:$AC$219,16,0)),2)</f>
        <v>198.14</v>
      </c>
      <c r="P28" s="128">
        <f>ROUND((VLOOKUP($B28,ECONACIONAL!$C$7:$AC$219,17,0)),2)</f>
        <v>217</v>
      </c>
      <c r="Q28" s="128">
        <f>ROUND((VLOOKUP($B28,ECONACIONAL!$C$7:$AC$219,18,0)),2)</f>
        <v>0</v>
      </c>
      <c r="R28" s="128">
        <f>ROUND((VLOOKUP($B28,ECONACIONAL!$C$7:$AC$219,19,0)),2)</f>
        <v>0</v>
      </c>
      <c r="S28" s="128">
        <f>ROUND((VLOOKUP($B28,ECONACIONAL!$C$7:$AC$219,20,0)),2)</f>
        <v>0</v>
      </c>
      <c r="T28" s="128">
        <f>ROUND((VLOOKUP($B28,ECONACIONAL!$C$7:$AC$219,21,0)),2)</f>
        <v>0</v>
      </c>
      <c r="U28" s="128">
        <f>ROUND((VLOOKUP($B28,ECONACIONAL!$C$7:$AC$219,22,0)),2)</f>
        <v>0</v>
      </c>
      <c r="V28" s="128">
        <f>ROUND((VLOOKUP($B28,ECONACIONAL!$C$7:$AC$219,23,0)),2)</f>
        <v>0</v>
      </c>
      <c r="W28" s="128">
        <f>ROUND((VLOOKUP($B28,ECONACIONAL!$C$7:$AC$219,24,0)),2)</f>
        <v>415.14</v>
      </c>
      <c r="X28" s="128">
        <f>ROUND((VLOOKUP($B28,ECONACIONAL!$C$7:$AC$219,25,0)),2)</f>
        <v>5037.2</v>
      </c>
      <c r="Y28" s="128">
        <f>ROUND((VLOOKUP($B28,ECONACIONAL!$C$7:$AC$219,26,0)),2)</f>
        <v>1950.98</v>
      </c>
      <c r="Z28" s="128">
        <f>ROUND((VLOOKUP($B28,ECONACIONAL!$C$7:$AC$219,27,0)),2)</f>
        <v>3086.22</v>
      </c>
      <c r="AA28" s="279"/>
      <c r="AB28" s="258">
        <v>3006725860101</v>
      </c>
      <c r="AC28" s="266"/>
    </row>
    <row r="29" spans="1:7918">
      <c r="A29" s="1">
        <f t="shared" si="0"/>
        <v>24</v>
      </c>
      <c r="B29" s="951" t="str">
        <f>+ECONACIONAL!C106</f>
        <v>Lajon Puac Osmen Gudiel</v>
      </c>
      <c r="C29" s="168">
        <v>170179600</v>
      </c>
      <c r="D29" s="705" t="str">
        <f>+ECONACIONAL!C106</f>
        <v>Lajon Puac Osmen Gudiel</v>
      </c>
      <c r="E29" s="172" t="str">
        <f>VLOOKUP(B29,distribucion!G$8:FP$153,2,0)</f>
        <v>Operador de Montacargas</v>
      </c>
      <c r="F29" s="128">
        <f>ROUND((VLOOKUP($B29,ECONACIONAL!$C$5:$AC$219,4,0)),2)</f>
        <v>30</v>
      </c>
      <c r="G29" s="128">
        <f>ROUND((VLOOKUP($B29,ECONACIONAL!$C$7:$AC$219,6,0)),2)</f>
        <v>4250</v>
      </c>
      <c r="H29" s="128">
        <f>ROUND((VLOOKUP($B29,ECONACIONAL!$C$7:$AC$219,7,0)),2)</f>
        <v>1070</v>
      </c>
      <c r="I29" s="128">
        <f>ROUND((VLOOKUP($B29,ECONACIONAL!$C$7:$AC$219,9,0)),2)</f>
        <v>28</v>
      </c>
      <c r="J29" s="128">
        <f>ROUND((VLOOKUP($B29,ECONACIONAL!$C$7:$AC$219,10,0)),2)</f>
        <v>743.75</v>
      </c>
      <c r="K29" s="128">
        <f>ROUND((VLOOKUP($B29,ECONACIONAL!$C$7:$AC$219,11,0)),2)</f>
        <v>0</v>
      </c>
      <c r="L29" s="128">
        <f>ROUND((VLOOKUP($B29,ECONACIONAL!$C$7:$AC$219,12,0)),2)</f>
        <v>0</v>
      </c>
      <c r="M29" s="128">
        <f>ROUND((VLOOKUP($B29,ECONACIONAL!$C$7:$AC$219,14,0)),2)</f>
        <v>0</v>
      </c>
      <c r="N29" s="128">
        <f>ROUND((VLOOKUP($B29,ECONACIONAL!$C$7:$AC$219,15,0)),2)</f>
        <v>6063.75</v>
      </c>
      <c r="O29" s="128">
        <f>ROUND((VLOOKUP($B29,ECONACIONAL!$C$7:$AC$219,16,0)),2)</f>
        <v>241.2</v>
      </c>
      <c r="P29" s="128">
        <f>ROUND((VLOOKUP($B29,ECONACIONAL!$C$7:$AC$219,17,0)),2)</f>
        <v>192</v>
      </c>
      <c r="Q29" s="128">
        <f>ROUND((VLOOKUP($B29,ECONACIONAL!$C$7:$AC$219,18,0)),2)</f>
        <v>0</v>
      </c>
      <c r="R29" s="128">
        <f>ROUND((VLOOKUP($B29,ECONACIONAL!$C$7:$AC$219,19,0)),2)</f>
        <v>0</v>
      </c>
      <c r="S29" s="128">
        <f>ROUND((VLOOKUP($B29,ECONACIONAL!$C$7:$AC$219,20,0)),2)</f>
        <v>0</v>
      </c>
      <c r="T29" s="128">
        <f>ROUND((VLOOKUP($B29,ECONACIONAL!$C$7:$AC$219,21,0)),2)</f>
        <v>0</v>
      </c>
      <c r="U29" s="128">
        <f>ROUND((VLOOKUP($B29,ECONACIONAL!$C$7:$AC$219,22,0)),2)</f>
        <v>495.5</v>
      </c>
      <c r="V29" s="128">
        <f>ROUND((VLOOKUP($B29,ECONACIONAL!$C$7:$AC$219,23,0)),2)</f>
        <v>187.2</v>
      </c>
      <c r="W29" s="128">
        <f>ROUND((VLOOKUP($B29,ECONACIONAL!$C$7:$AC$219,24,0)),2)</f>
        <v>1115.9000000000001</v>
      </c>
      <c r="X29" s="128">
        <f>ROUND((VLOOKUP($B29,ECONACIONAL!$C$7:$AC$219,25,0)),2)</f>
        <v>4947.8500000000004</v>
      </c>
      <c r="Y29" s="128">
        <f>ROUND((VLOOKUP($B29,ECONACIONAL!$C$7:$AC$219,26,0)),2)</f>
        <v>1858.86</v>
      </c>
      <c r="Z29" s="128">
        <f>ROUND((VLOOKUP($B29,ECONACIONAL!$C$7:$AC$219,27,0)),2)</f>
        <v>3088.99</v>
      </c>
      <c r="AA29" s="279"/>
      <c r="AB29" s="258">
        <v>3006725860101</v>
      </c>
      <c r="AC29" s="266" t="s">
        <v>52</v>
      </c>
    </row>
    <row r="30" spans="1:7918">
      <c r="A30" s="1">
        <f t="shared" si="0"/>
        <v>25</v>
      </c>
      <c r="B30" s="951" t="str">
        <f>+ECONACIONAL!C157</f>
        <v>Aragón Coronado Guillermo Giovanni</v>
      </c>
      <c r="C30" s="168">
        <v>10077584</v>
      </c>
      <c r="D30" s="705" t="str">
        <f>+ECONACIONAL!C157</f>
        <v>Aragón Coronado Guillermo Giovanni</v>
      </c>
      <c r="E30" s="172" t="str">
        <f>VLOOKUP(B30,distribucion!G$8:FP$153,2,0)</f>
        <v>Auxiliar de Limpieza</v>
      </c>
      <c r="F30" s="128">
        <f>ROUND((VLOOKUP($B30,ECONACIONAL!$C$5:$AC$219,4,0)),2)</f>
        <v>30</v>
      </c>
      <c r="G30" s="128">
        <f>ROUND((VLOOKUP($B30,ECONACIONAL!$C$7:$AC$219,6,0)),2)</f>
        <v>4002.28</v>
      </c>
      <c r="H30" s="128">
        <f>ROUND((VLOOKUP($B30,ECONACIONAL!$C$7:$AC$219,7,0)),2)</f>
        <v>300</v>
      </c>
      <c r="I30" s="128">
        <f>ROUND((VLOOKUP($B30,ECONACIONAL!$C$7:$AC$219,9,0)),2)</f>
        <v>0</v>
      </c>
      <c r="J30" s="128">
        <f>ROUND((VLOOKUP($B30,ECONACIONAL!$C$7:$AC$219,10,0)),2)</f>
        <v>0</v>
      </c>
      <c r="K30" s="128">
        <f>ROUND((VLOOKUP($B30,ECONACIONAL!$C$7:$AC$219,11,0)),2)</f>
        <v>0</v>
      </c>
      <c r="L30" s="128">
        <f>ROUND((VLOOKUP($B30,ECONACIONAL!$C$7:$AC$219,12,0)),2)</f>
        <v>0</v>
      </c>
      <c r="M30" s="128">
        <f>ROUND((VLOOKUP($B30,ECONACIONAL!$C$7:$AC$219,14,0)),2)</f>
        <v>0</v>
      </c>
      <c r="N30" s="128">
        <f>ROUND((VLOOKUP($B30,ECONACIONAL!$C$7:$AC$219,15,0)),2)</f>
        <v>4302.28</v>
      </c>
      <c r="O30" s="128">
        <f>ROUND((VLOOKUP($B30,ECONACIONAL!$C$7:$AC$219,16,0)),2)</f>
        <v>193.31</v>
      </c>
      <c r="P30" s="128">
        <f>ROUND((VLOOKUP($B30,ECONACIONAL!$C$7:$AC$219,17,0)),2)</f>
        <v>0</v>
      </c>
      <c r="Q30" s="128">
        <f>ROUND((VLOOKUP($B30,ECONACIONAL!$C$7:$AC$219,18,0)),2)</f>
        <v>0</v>
      </c>
      <c r="R30" s="128">
        <f>ROUND((VLOOKUP($B30,ECONACIONAL!$C$7:$AC$219,19,0)),2)</f>
        <v>0</v>
      </c>
      <c r="S30" s="128">
        <f>ROUND((VLOOKUP($B30,ECONACIONAL!$C$7:$AC$219,20,0)),2)</f>
        <v>0</v>
      </c>
      <c r="T30" s="128">
        <f>ROUND((VLOOKUP($B30,ECONACIONAL!$C$7:$AC$219,21,0)),2)</f>
        <v>0</v>
      </c>
      <c r="U30" s="128">
        <f>ROUND((VLOOKUP($B30,ECONACIONAL!$C$7:$AC$219,22,0)),2)</f>
        <v>184.5</v>
      </c>
      <c r="V30" s="128">
        <f>ROUND((VLOOKUP($B30,ECONACIONAL!$C$7:$AC$219,23,0)),2)</f>
        <v>0</v>
      </c>
      <c r="W30" s="128">
        <f>ROUND((VLOOKUP($B30,ECONACIONAL!$C$7:$AC$219,24,0)),2)</f>
        <v>377.81</v>
      </c>
      <c r="X30" s="128">
        <f>ROUND((VLOOKUP($B30,ECONACIONAL!$C$7:$AC$219,25,0)),2)</f>
        <v>3924.47</v>
      </c>
      <c r="Y30" s="128">
        <f>ROUND((VLOOKUP($B30,ECONACIONAL!$C$7:$AC$219,26,0)),2)</f>
        <v>1926.98</v>
      </c>
      <c r="Z30" s="128">
        <f>ROUND((VLOOKUP($B30,ECONACIONAL!$C$7:$AC$219,27,0)),2)</f>
        <v>1997.49</v>
      </c>
      <c r="AA30" s="279"/>
      <c r="AB30" s="258">
        <v>3006725860101</v>
      </c>
      <c r="AC30" s="266" t="s">
        <v>52</v>
      </c>
    </row>
    <row r="31" spans="1:7918">
      <c r="A31" s="1">
        <f t="shared" si="0"/>
        <v>26</v>
      </c>
      <c r="B31" s="951" t="str">
        <f>+ECONACIONAL!C158</f>
        <v>Lopez Suran Neemias</v>
      </c>
      <c r="C31" s="168">
        <v>2061329781</v>
      </c>
      <c r="D31" s="705" t="str">
        <f>+ECONACIONAL!C158</f>
        <v>Lopez Suran Neemias</v>
      </c>
      <c r="E31" s="172" t="str">
        <f>VLOOKUP(B31,distribucion!G$8:FP$153,2,0)</f>
        <v>Auxiliar de Limpieza</v>
      </c>
      <c r="F31" s="128">
        <f>ROUND((VLOOKUP($B31,ECONACIONAL!$C$5:$AC$219,4,0)),2)</f>
        <v>30</v>
      </c>
      <c r="G31" s="128">
        <f>ROUND((VLOOKUP($B31,ECONACIONAL!$C$7:$AC$219,6,0)),2)</f>
        <v>4002.28</v>
      </c>
      <c r="H31" s="128">
        <f>ROUND((VLOOKUP($B31,ECONACIONAL!$C$7:$AC$219,7,0)),2)</f>
        <v>2100</v>
      </c>
      <c r="I31" s="128">
        <f>ROUND((VLOOKUP($B31,ECONACIONAL!$C$7:$AC$219,9,0)),2)</f>
        <v>0</v>
      </c>
      <c r="J31" s="128">
        <f>ROUND((VLOOKUP($B31,ECONACIONAL!$C$7:$AC$219,10,0)),2)</f>
        <v>0</v>
      </c>
      <c r="K31" s="128">
        <f>ROUND((VLOOKUP($B31,ECONACIONAL!$C$7:$AC$219,11,0)),2)</f>
        <v>0</v>
      </c>
      <c r="L31" s="128">
        <f>ROUND((VLOOKUP($B31,ECONACIONAL!$C$7:$AC$219,12,0)),2)</f>
        <v>0</v>
      </c>
      <c r="M31" s="128">
        <f>ROUND((VLOOKUP($B31,ECONACIONAL!$C$7:$AC$219,14,0)),2)</f>
        <v>0</v>
      </c>
      <c r="N31" s="128">
        <f>ROUND((VLOOKUP($B31,ECONACIONAL!$C$7:$AC$219,15,0)),2)</f>
        <v>6102.28</v>
      </c>
      <c r="O31" s="128">
        <f>ROUND((VLOOKUP($B31,ECONACIONAL!$C$7:$AC$219,16,0)),2)</f>
        <v>193.31</v>
      </c>
      <c r="P31" s="128">
        <f>ROUND((VLOOKUP($B31,ECONACIONAL!$C$7:$AC$219,17,0)),2)</f>
        <v>0</v>
      </c>
      <c r="Q31" s="128">
        <f>ROUND((VLOOKUP($B31,ECONACIONAL!$C$7:$AC$219,18,0)),2)</f>
        <v>0</v>
      </c>
      <c r="R31" s="128">
        <f>ROUND((VLOOKUP($B31,ECONACIONAL!$C$7:$AC$219,19,0)),2)</f>
        <v>0</v>
      </c>
      <c r="S31" s="128">
        <f>ROUND((VLOOKUP($B31,ECONACIONAL!$C$7:$AC$219,20,0)),2)</f>
        <v>0</v>
      </c>
      <c r="T31" s="128">
        <f>ROUND((VLOOKUP($B31,ECONACIONAL!$C$7:$AC$219,21,0)),2)</f>
        <v>0</v>
      </c>
      <c r="U31" s="128">
        <f>ROUND((VLOOKUP($B31,ECONACIONAL!$C$7:$AC$219,22,0)),2)</f>
        <v>0</v>
      </c>
      <c r="V31" s="128">
        <f>ROUND((VLOOKUP($B31,ECONACIONAL!$C$7:$AC$219,23,0)),2)</f>
        <v>0</v>
      </c>
      <c r="W31" s="128">
        <f>ROUND((VLOOKUP($B31,ECONACIONAL!$C$7:$AC$219,24,0)),2)</f>
        <v>193.31</v>
      </c>
      <c r="X31" s="128">
        <f>ROUND((VLOOKUP($B31,ECONACIONAL!$C$7:$AC$219,25,0)),2)</f>
        <v>5908.97</v>
      </c>
      <c r="Y31" s="128">
        <f>ROUND((VLOOKUP($B31,ECONACIONAL!$C$7:$AC$219,26,0)),2)</f>
        <v>2029.48</v>
      </c>
      <c r="Z31" s="128">
        <f>ROUND((VLOOKUP($B31,ECONACIONAL!$C$7:$AC$219,27,0)),2)</f>
        <v>3879.49</v>
      </c>
      <c r="AA31" s="279"/>
      <c r="AB31" s="258">
        <v>3006725860101</v>
      </c>
      <c r="AC31" s="266" t="s">
        <v>52</v>
      </c>
    </row>
    <row r="32" spans="1:7918">
      <c r="A32" s="1">
        <f t="shared" si="0"/>
        <v>27</v>
      </c>
      <c r="B32" s="951" t="str">
        <f>+ECONACIONAL!C59</f>
        <v>Ordoñez Corado Paola Maritza</v>
      </c>
      <c r="C32" s="168">
        <v>1490133269</v>
      </c>
      <c r="D32" s="705" t="str">
        <f>+ECONACIONAL!C59</f>
        <v>Ordoñez Corado Paola Maritza</v>
      </c>
      <c r="E32" s="172" t="str">
        <f>VLOOKUP(B32,distribucion!G$8:FP$153,2,0)</f>
        <v>Analista Financiera</v>
      </c>
      <c r="F32" s="128">
        <f>ROUND((VLOOKUP($B32,ECONACIONAL!$C$5:$AC$219,4,0)),2)</f>
        <v>30</v>
      </c>
      <c r="G32" s="128">
        <f>ROUND((VLOOKUP($B32,ECONACIONAL!$C$7:$AC$219,6,0)),2)</f>
        <v>6500</v>
      </c>
      <c r="H32" s="128">
        <f>ROUND((VLOOKUP($B32,ECONACIONAL!$C$7:$AC$219,7,0)),2)</f>
        <v>4992.5200000000004</v>
      </c>
      <c r="I32" s="128">
        <f>ROUND((VLOOKUP($B32,ECONACIONAL!$C$7:$AC$219,9,0)),2)</f>
        <v>0</v>
      </c>
      <c r="J32" s="128">
        <f>ROUND((VLOOKUP($B32,ECONACIONAL!$C$7:$AC$219,10,0)),2)</f>
        <v>0</v>
      </c>
      <c r="K32" s="128">
        <f>ROUND((VLOOKUP($B32,ECONACIONAL!$C$7:$AC$219,11,0)),2)</f>
        <v>0</v>
      </c>
      <c r="L32" s="128">
        <f>ROUND((VLOOKUP($B32,ECONACIONAL!$C$7:$AC$219,12,0)),2)</f>
        <v>0</v>
      </c>
      <c r="M32" s="128">
        <f>ROUND((VLOOKUP($B32,ECONACIONAL!$C$7:$AC$219,14,0)),2)</f>
        <v>0</v>
      </c>
      <c r="N32" s="128">
        <f>ROUND((VLOOKUP($B32,ECONACIONAL!$C$7:$AC$219,15,0)),2)</f>
        <v>11492.52</v>
      </c>
      <c r="O32" s="128">
        <f>ROUND((VLOOKUP($B32,ECONACIONAL!$C$7:$AC$219,16,0)),2)</f>
        <v>313.95</v>
      </c>
      <c r="P32" s="128">
        <f>ROUND((VLOOKUP($B32,ECONACIONAL!$C$7:$AC$219,17,0)),2)</f>
        <v>367.44</v>
      </c>
      <c r="Q32" s="128">
        <f>ROUND((VLOOKUP($B32,ECONACIONAL!$C$7:$AC$219,18,0)),2)</f>
        <v>0</v>
      </c>
      <c r="R32" s="128">
        <f>ROUND((VLOOKUP($B32,ECONACIONAL!$C$7:$AC$219,19,0)),2)</f>
        <v>0</v>
      </c>
      <c r="S32" s="128">
        <f>ROUND((VLOOKUP($B32,ECONACIONAL!$C$7:$AC$219,20,0)),2)</f>
        <v>0</v>
      </c>
      <c r="T32" s="128">
        <f>ROUND((VLOOKUP($B32,ECONACIONAL!$C$7:$AC$219,21,0)),2)</f>
        <v>0</v>
      </c>
      <c r="U32" s="128">
        <f>ROUND((VLOOKUP($B32,ECONACIONAL!$C$7:$AC$219,22,0)),2)</f>
        <v>0</v>
      </c>
      <c r="V32" s="128">
        <f>ROUND((VLOOKUP($B32,ECONACIONAL!$C$7:$AC$219,23,0)),2)</f>
        <v>350</v>
      </c>
      <c r="W32" s="128">
        <f>ROUND((VLOOKUP($B32,ECONACIONAL!$C$7:$AC$219,24,0)),2)</f>
        <v>1031.3900000000001</v>
      </c>
      <c r="X32" s="128">
        <f>ROUND((VLOOKUP($B32,ECONACIONAL!$C$7:$AC$219,25,0)),2)</f>
        <v>10461.129999999999</v>
      </c>
      <c r="Y32" s="128">
        <f>ROUND((VLOOKUP($B32,ECONACIONAL!$C$7:$AC$219,26,0)),2)</f>
        <v>4559.3</v>
      </c>
      <c r="Z32" s="128">
        <f>ROUND((VLOOKUP($B32,ECONACIONAL!$C$7:$AC$219,27,0)),2)</f>
        <v>5901.83</v>
      </c>
      <c r="AA32" s="279"/>
      <c r="AB32" s="258">
        <v>3006725860101</v>
      </c>
      <c r="AC32" s="266" t="s">
        <v>52</v>
      </c>
    </row>
    <row r="33" spans="1:29">
      <c r="A33" s="1">
        <f t="shared" si="0"/>
        <v>28</v>
      </c>
      <c r="B33" s="951" t="str">
        <f>+ECONACIONAL!C10</f>
        <v>Hernandez Maria Andrea</v>
      </c>
      <c r="C33" s="168">
        <v>143924900</v>
      </c>
      <c r="D33" s="705" t="str">
        <f>+ECONACIONAL!C10</f>
        <v>Hernandez Maria Andrea</v>
      </c>
      <c r="E33" s="172" t="str">
        <f>VLOOKUP(B33,distribucion!G$8:FP$153,2,0)</f>
        <v>Asistente de Gerencia General</v>
      </c>
      <c r="F33" s="128">
        <f>ROUND((VLOOKUP($B33,ECONACIONAL!$C$5:$AC$219,4,0)),2)</f>
        <v>30</v>
      </c>
      <c r="G33" s="128">
        <f>ROUND((VLOOKUP($B33,ECONACIONAL!$C$7:$AC$219,6,0)),2)</f>
        <v>5000</v>
      </c>
      <c r="H33" s="128">
        <f>ROUND((VLOOKUP($B33,ECONACIONAL!$C$7:$AC$219,7,0)),2)</f>
        <v>1000</v>
      </c>
      <c r="I33" s="128">
        <f>ROUND((VLOOKUP($B33,ECONACIONAL!$C$7:$AC$219,9,0)),2)</f>
        <v>0</v>
      </c>
      <c r="J33" s="128">
        <f>ROUND((VLOOKUP($B33,ECONACIONAL!$C$7:$AC$219,10,0)),2)</f>
        <v>0</v>
      </c>
      <c r="K33" s="128">
        <f>ROUND((VLOOKUP($B33,ECONACIONAL!$C$7:$AC$219,11,0)),2)</f>
        <v>0</v>
      </c>
      <c r="L33" s="128">
        <f>ROUND((VLOOKUP($B33,ECONACIONAL!$C$7:$AC$219,12,0)),2)</f>
        <v>0</v>
      </c>
      <c r="M33" s="128">
        <f>ROUND((VLOOKUP($B33,ECONACIONAL!$C$7:$AC$219,14,0)),2)</f>
        <v>0</v>
      </c>
      <c r="N33" s="128">
        <f>ROUND((VLOOKUP($B33,ECONACIONAL!$C$7:$AC$219,15,0)),2)</f>
        <v>6000</v>
      </c>
      <c r="O33" s="128">
        <f>ROUND((VLOOKUP($B33,ECONACIONAL!$C$7:$AC$219,16,0)),2)</f>
        <v>241.5</v>
      </c>
      <c r="P33" s="128">
        <f>ROUND((VLOOKUP($B33,ECONACIONAL!$C$7:$AC$219,17,0)),2)</f>
        <v>87.92</v>
      </c>
      <c r="Q33" s="128">
        <f>ROUND((VLOOKUP($B33,ECONACIONAL!$C$7:$AC$219,18,0)),2)</f>
        <v>0</v>
      </c>
      <c r="R33" s="128">
        <f>ROUND((VLOOKUP($B33,ECONACIONAL!$C$7:$AC$219,19,0)),2)</f>
        <v>0</v>
      </c>
      <c r="S33" s="128">
        <f>ROUND((VLOOKUP($B33,ECONACIONAL!$C$7:$AC$219,20,0)),2)</f>
        <v>0</v>
      </c>
      <c r="T33" s="128">
        <f>ROUND((VLOOKUP($B33,ECONACIONAL!$C$7:$AC$219,21,0)),2)</f>
        <v>0</v>
      </c>
      <c r="U33" s="128">
        <f>ROUND((VLOOKUP($B33,ECONACIONAL!$C$7:$AC$219,22,0)),2)</f>
        <v>225</v>
      </c>
      <c r="V33" s="128">
        <f>ROUND((VLOOKUP($B33,ECONACIONAL!$C$7:$AC$219,23,0)),2)</f>
        <v>350</v>
      </c>
      <c r="W33" s="128">
        <f>ROUND((VLOOKUP($B33,ECONACIONAL!$C$7:$AC$219,24,0)),2)</f>
        <v>904.42</v>
      </c>
      <c r="X33" s="128">
        <f>ROUND((VLOOKUP($B33,ECONACIONAL!$C$7:$AC$219,25,0)),2)</f>
        <v>5095.58</v>
      </c>
      <c r="Y33" s="128">
        <f>ROUND((VLOOKUP($B33,ECONACIONAL!$C$7:$AC$219,26,0)),2)</f>
        <v>2495.29</v>
      </c>
      <c r="Z33" s="128">
        <f>ROUND((VLOOKUP($B33,ECONACIONAL!$C$7:$AC$219,27,0)),2)</f>
        <v>2600.29</v>
      </c>
      <c r="AA33" s="279"/>
      <c r="AB33" s="258">
        <v>3006725860101</v>
      </c>
      <c r="AC33" s="266" t="s">
        <v>52</v>
      </c>
    </row>
    <row r="34" spans="1:29">
      <c r="A34" s="1">
        <f t="shared" si="0"/>
        <v>29</v>
      </c>
      <c r="B34" s="951" t="str">
        <f>+ECONACIONAL!C109</f>
        <v xml:space="preserve">Perez Barrios Kevin Augusto </v>
      </c>
      <c r="C34" s="168">
        <v>1980223406</v>
      </c>
      <c r="D34" s="705" t="str">
        <f>+ECONACIONAL!C109</f>
        <v xml:space="preserve">Perez Barrios Kevin Augusto </v>
      </c>
      <c r="E34" s="172" t="str">
        <f>VLOOKUP(B34,distribucion!G$8:FP$153,2,0)</f>
        <v>Encargado de Bodega PT</v>
      </c>
      <c r="F34" s="128">
        <f>ROUND((VLOOKUP($B34,ECONACIONAL!$C$5:$AC$219,4,0)),2)</f>
        <v>30</v>
      </c>
      <c r="G34" s="128">
        <f>ROUND((VLOOKUP($B34,ECONACIONAL!$C$7:$AC$219,6,0)),2)</f>
        <v>4500</v>
      </c>
      <c r="H34" s="128">
        <f>ROUND((VLOOKUP($B34,ECONACIONAL!$C$7:$AC$219,7,0)),2)</f>
        <v>962.28</v>
      </c>
      <c r="I34" s="128">
        <f>ROUND((VLOOKUP($B34,ECONACIONAL!$C$7:$AC$219,9,0)),2)</f>
        <v>52</v>
      </c>
      <c r="J34" s="128">
        <f>ROUND((VLOOKUP($B34,ECONACIONAL!$C$7:$AC$219,10,0)),2)</f>
        <v>1462.5</v>
      </c>
      <c r="K34" s="128">
        <f>ROUND((VLOOKUP($B34,ECONACIONAL!$C$7:$AC$219,11,0)),2)</f>
        <v>0</v>
      </c>
      <c r="L34" s="128">
        <f>ROUND((VLOOKUP($B34,ECONACIONAL!$C$7:$AC$219,12,0)),2)</f>
        <v>0</v>
      </c>
      <c r="M34" s="128">
        <f>ROUND((VLOOKUP($B34,ECONACIONAL!$C$7:$AC$219,14,0)),2)</f>
        <v>0</v>
      </c>
      <c r="N34" s="128">
        <f>ROUND((VLOOKUP($B34,ECONACIONAL!$C$7:$AC$219,15,0)),2)</f>
        <v>6924.78</v>
      </c>
      <c r="O34" s="128">
        <f>ROUND((VLOOKUP($B34,ECONACIONAL!$C$7:$AC$219,16,0)),2)</f>
        <v>287.99</v>
      </c>
      <c r="P34" s="128">
        <f>ROUND((VLOOKUP($B34,ECONACIONAL!$C$7:$AC$219,17,0)),2)</f>
        <v>200</v>
      </c>
      <c r="Q34" s="128">
        <f>ROUND((VLOOKUP($B34,ECONACIONAL!$C$7:$AC$219,18,0)),2)</f>
        <v>0</v>
      </c>
      <c r="R34" s="128">
        <f>ROUND((VLOOKUP($B34,ECONACIONAL!$C$7:$AC$219,19,0)),2)</f>
        <v>0</v>
      </c>
      <c r="S34" s="128">
        <f>ROUND((VLOOKUP($B34,ECONACIONAL!$C$7:$AC$219,20,0)),2)</f>
        <v>0</v>
      </c>
      <c r="T34" s="128">
        <f>ROUND((VLOOKUP($B34,ECONACIONAL!$C$7:$AC$219,21,0)),2)</f>
        <v>0</v>
      </c>
      <c r="U34" s="128">
        <f>ROUND((VLOOKUP($B34,ECONACIONAL!$C$7:$AC$219,22,0)),2)</f>
        <v>0</v>
      </c>
      <c r="V34" s="128">
        <f>ROUND((VLOOKUP($B34,ECONACIONAL!$C$7:$AC$219,23,0)),2)</f>
        <v>0</v>
      </c>
      <c r="W34" s="128">
        <f>ROUND((VLOOKUP($B34,ECONACIONAL!$C$7:$AC$219,24,0)),2)</f>
        <v>487.99</v>
      </c>
      <c r="X34" s="128">
        <f>ROUND((VLOOKUP($B34,ECONACIONAL!$C$7:$AC$219,25,0)),2)</f>
        <v>6436.79</v>
      </c>
      <c r="Y34" s="128">
        <f>ROUND((VLOOKUP($B34,ECONACIONAL!$C$7:$AC$219,26,0)),2)</f>
        <v>2294.46</v>
      </c>
      <c r="Z34" s="128">
        <f>ROUND((VLOOKUP($B34,ECONACIONAL!$C$7:$AC$219,27,0)),2)</f>
        <v>4142.33</v>
      </c>
      <c r="AA34" s="279"/>
      <c r="AB34" s="258">
        <v>3006725860101</v>
      </c>
      <c r="AC34" s="266" t="s">
        <v>52</v>
      </c>
    </row>
    <row r="35" spans="1:29">
      <c r="A35" s="1">
        <f t="shared" si="0"/>
        <v>30</v>
      </c>
      <c r="B35" s="951" t="str">
        <f>+ECONACIONAL!C55</f>
        <v>Cruz Salguero Aramis Antonio</v>
      </c>
      <c r="C35" s="168">
        <v>143954105</v>
      </c>
      <c r="D35" s="705" t="str">
        <f>+ECONACIONAL!C55</f>
        <v>Cruz Salguero Aramis Antonio</v>
      </c>
      <c r="E35" s="172" t="str">
        <f>VLOOKUP(B35,distribucion!G$8:FP$153,2,0)</f>
        <v>Tesorero-Contador</v>
      </c>
      <c r="F35" s="128">
        <f>ROUND((VLOOKUP($B35,ECONACIONAL!$C$5:$AC$219,4,0)),2)</f>
        <v>30</v>
      </c>
      <c r="G35" s="128">
        <f>ROUND((VLOOKUP($B35,ECONACIONAL!$C$7:$AC$219,6,0)),2)</f>
        <v>4850</v>
      </c>
      <c r="H35" s="128">
        <f>ROUND((VLOOKUP($B35,ECONACIONAL!$C$7:$AC$219,7,0)),2)</f>
        <v>1900</v>
      </c>
      <c r="I35" s="128">
        <f>ROUND((VLOOKUP($B35,ECONACIONAL!$C$7:$AC$219,9,0)),2)</f>
        <v>0</v>
      </c>
      <c r="J35" s="128">
        <f>ROUND((VLOOKUP($B35,ECONACIONAL!$C$7:$AC$219,10,0)),2)</f>
        <v>0</v>
      </c>
      <c r="K35" s="128">
        <f>ROUND((VLOOKUP($B35,ECONACIONAL!$C$7:$AC$219,11,0)),2)</f>
        <v>0</v>
      </c>
      <c r="L35" s="128">
        <f>ROUND((VLOOKUP($B35,ECONACIONAL!$C$7:$AC$219,12,0)),2)</f>
        <v>0</v>
      </c>
      <c r="M35" s="128">
        <f>ROUND((VLOOKUP($B35,ECONACIONAL!$C$7:$AC$219,14,0)),2)</f>
        <v>0</v>
      </c>
      <c r="N35" s="128">
        <f>ROUND((VLOOKUP($B35,ECONACIONAL!$C$7:$AC$219,15,0)),2)</f>
        <v>6750</v>
      </c>
      <c r="O35" s="128">
        <f>ROUND((VLOOKUP($B35,ECONACIONAL!$C$7:$AC$219,16,0)),2)</f>
        <v>234.26</v>
      </c>
      <c r="P35" s="128">
        <f>ROUND((VLOOKUP($B35,ECONACIONAL!$C$7:$AC$219,17,0)),2)</f>
        <v>141.36000000000001</v>
      </c>
      <c r="Q35" s="128">
        <f>ROUND((VLOOKUP($B35,ECONACIONAL!$C$7:$AC$219,18,0)),2)</f>
        <v>0</v>
      </c>
      <c r="R35" s="128">
        <f>ROUND((VLOOKUP($B35,ECONACIONAL!$C$7:$AC$219,19,0)),2)</f>
        <v>0</v>
      </c>
      <c r="S35" s="128">
        <f>ROUND((VLOOKUP($B35,ECONACIONAL!$C$7:$AC$219,20,0)),2)</f>
        <v>0</v>
      </c>
      <c r="T35" s="128">
        <f>ROUND((VLOOKUP($B35,ECONACIONAL!$C$7:$AC$219,21,0)),2)</f>
        <v>0</v>
      </c>
      <c r="U35" s="128">
        <f>ROUND((VLOOKUP($B35,ECONACIONAL!$C$7:$AC$219,22,0)),2)</f>
        <v>522</v>
      </c>
      <c r="V35" s="128">
        <f>ROUND((VLOOKUP($B35,ECONACIONAL!$C$7:$AC$219,23,0)),2)</f>
        <v>350</v>
      </c>
      <c r="W35" s="128">
        <f>ROUND((VLOOKUP($B35,ECONACIONAL!$C$7:$AC$219,24,0)),2)</f>
        <v>1247.6199999999999</v>
      </c>
      <c r="X35" s="128">
        <f>ROUND((VLOOKUP($B35,ECONACIONAL!$C$7:$AC$219,25,0)),2)</f>
        <v>5502.38</v>
      </c>
      <c r="Y35" s="128">
        <f>ROUND((VLOOKUP($B35,ECONACIONAL!$C$7:$AC$219,26,0)),2)</f>
        <v>2213.19</v>
      </c>
      <c r="Z35" s="128">
        <f>ROUND((VLOOKUP($B35,ECONACIONAL!$C$7:$AC$219,27,0)),2)</f>
        <v>3289.19</v>
      </c>
      <c r="AA35" s="279"/>
      <c r="AB35" s="258">
        <v>3006725860101</v>
      </c>
      <c r="AC35" s="266" t="s">
        <v>52</v>
      </c>
    </row>
    <row r="36" spans="1:29">
      <c r="A36" s="1">
        <f t="shared" si="0"/>
        <v>31</v>
      </c>
      <c r="B36" s="951" t="str">
        <f>+ECONACIONAL!C99</f>
        <v>Gonzalez Perez Alexis Damian</v>
      </c>
      <c r="C36" s="168">
        <v>2100266382</v>
      </c>
      <c r="D36" s="705" t="str">
        <f>+ECONACIONAL!C99</f>
        <v>Gonzalez Perez Alexis Damian</v>
      </c>
      <c r="E36" s="172" t="str">
        <f>VLOOKUP(B36,distribucion!G$8:FP$153,2,0)</f>
        <v>Auxiliar de Bodega</v>
      </c>
      <c r="F36" s="128">
        <f>ROUND((VLOOKUP($B36,ECONACIONAL!$C$5:$AC$219,4,0)),2)</f>
        <v>30</v>
      </c>
      <c r="G36" s="128">
        <f>ROUND((VLOOKUP($B36,ECONACIONAL!$C$7:$AC$219,6,0)),2)</f>
        <v>4002.28</v>
      </c>
      <c r="H36" s="128">
        <f>ROUND((VLOOKUP($B36,ECONACIONAL!$C$7:$AC$219,7,0)),2)</f>
        <v>415</v>
      </c>
      <c r="I36" s="128">
        <f>ROUND((VLOOKUP($B36,ECONACIONAL!$C$7:$AC$219,9,0)),2)</f>
        <v>7</v>
      </c>
      <c r="J36" s="128">
        <f>ROUND((VLOOKUP($B36,ECONACIONAL!$C$7:$AC$219,10,0)),2)</f>
        <v>175.1</v>
      </c>
      <c r="K36" s="128">
        <f>ROUND((VLOOKUP($B36,ECONACIONAL!$C$7:$AC$219,11,0)),2)</f>
        <v>0</v>
      </c>
      <c r="L36" s="128">
        <f>ROUND((VLOOKUP($B36,ECONACIONAL!$C$7:$AC$219,12,0)),2)</f>
        <v>0</v>
      </c>
      <c r="M36" s="128">
        <f>ROUND((VLOOKUP($B36,ECONACIONAL!$C$7:$AC$219,14,0)),2)</f>
        <v>0</v>
      </c>
      <c r="N36" s="128">
        <f>ROUND((VLOOKUP($B36,ECONACIONAL!$C$7:$AC$219,15,0)),2)</f>
        <v>4592.38</v>
      </c>
      <c r="O36" s="128">
        <f>ROUND((VLOOKUP($B36,ECONACIONAL!$C$7:$AC$219,16,0)),2)</f>
        <v>201.77</v>
      </c>
      <c r="P36" s="128">
        <f>ROUND((VLOOKUP($B36,ECONACIONAL!$C$7:$AC$219,17,0)),2)</f>
        <v>0</v>
      </c>
      <c r="Q36" s="128">
        <f>ROUND((VLOOKUP($B36,ECONACIONAL!$C$7:$AC$219,18,0)),2)</f>
        <v>0</v>
      </c>
      <c r="R36" s="128">
        <f>ROUND((VLOOKUP($B36,ECONACIONAL!$C$7:$AC$219,19,0)),2)</f>
        <v>0</v>
      </c>
      <c r="S36" s="128">
        <f>ROUND((VLOOKUP($B36,ECONACIONAL!$C$7:$AC$219,20,0)),2)</f>
        <v>0</v>
      </c>
      <c r="T36" s="128">
        <f>ROUND((VLOOKUP($B36,ECONACIONAL!$C$7:$AC$219,21,0)),2)</f>
        <v>0</v>
      </c>
      <c r="U36" s="128">
        <f>ROUND((VLOOKUP($B36,ECONACIONAL!$C$7:$AC$219,22,0)),2)</f>
        <v>665.5</v>
      </c>
      <c r="V36" s="128">
        <f>ROUND((VLOOKUP($B36,ECONACIONAL!$C$7:$AC$219,23,0)),2)</f>
        <v>0</v>
      </c>
      <c r="W36" s="128">
        <f>ROUND((VLOOKUP($B36,ECONACIONAL!$C$7:$AC$219,24,0)),2)</f>
        <v>867.27</v>
      </c>
      <c r="X36" s="128">
        <f>ROUND((VLOOKUP($B36,ECONACIONAL!$C$7:$AC$219,25,0)),2)</f>
        <v>3725.11</v>
      </c>
      <c r="Y36" s="128">
        <f>ROUND((VLOOKUP($B36,ECONACIONAL!$C$7:$AC$219,26,0)),2)</f>
        <v>1743.98</v>
      </c>
      <c r="Z36" s="128">
        <f>ROUND((VLOOKUP($B36,ECONACIONAL!$C$7:$AC$219,27,0)),2)</f>
        <v>1981.13</v>
      </c>
      <c r="AA36" s="279"/>
      <c r="AB36" s="258">
        <v>3006725860101</v>
      </c>
      <c r="AC36" s="266" t="s">
        <v>52</v>
      </c>
    </row>
    <row r="37" spans="1:29">
      <c r="A37" s="1">
        <f t="shared" si="0"/>
        <v>32</v>
      </c>
      <c r="B37" s="951" t="str">
        <f>+ECONACIONAL!C134</f>
        <v>Chamale  Peque Jorge Raul</v>
      </c>
      <c r="C37" s="168">
        <v>3800105102</v>
      </c>
      <c r="D37" s="705" t="str">
        <f>+ECONACIONAL!C134</f>
        <v>Chamale  Peque Jorge Raul</v>
      </c>
      <c r="E37" s="172" t="str">
        <f>VLOOKUP(B37,distribucion!G$8:FP$153,2,0)</f>
        <v>Auxiliar de Control De Calidad</v>
      </c>
      <c r="F37" s="128">
        <f>ROUND((VLOOKUP($B37,ECONACIONAL!$C$5:$AC$219,4,0)),2)</f>
        <v>30</v>
      </c>
      <c r="G37" s="128">
        <f>ROUND((VLOOKUP($B37,ECONACIONAL!$C$7:$AC$219,6,0)),2)</f>
        <v>4100</v>
      </c>
      <c r="H37" s="128">
        <f>ROUND((VLOOKUP($B37,ECONACIONAL!$C$7:$AC$219,7,0)),2)</f>
        <v>300</v>
      </c>
      <c r="I37" s="128">
        <f>ROUND((VLOOKUP($B37,ECONACIONAL!$C$7:$AC$219,9,0)),2)</f>
        <v>34</v>
      </c>
      <c r="J37" s="128">
        <f>ROUND((VLOOKUP($B37,ECONACIONAL!$C$7:$AC$219,10,0)),2)</f>
        <v>871.25</v>
      </c>
      <c r="K37" s="128">
        <f>ROUND((VLOOKUP($B37,ECONACIONAL!$C$7:$AC$219,11,0)),2)</f>
        <v>0</v>
      </c>
      <c r="L37" s="128">
        <f>ROUND((VLOOKUP($B37,ECONACIONAL!$C$7:$AC$219,12,0)),2)</f>
        <v>0</v>
      </c>
      <c r="M37" s="128">
        <f>ROUND((VLOOKUP($B37,ECONACIONAL!$C$7:$AC$219,14,0)),2)</f>
        <v>0</v>
      </c>
      <c r="N37" s="128">
        <f>ROUND((VLOOKUP($B37,ECONACIONAL!$C$7:$AC$219,15,0)),2)</f>
        <v>5271.25</v>
      </c>
      <c r="O37" s="128">
        <f>ROUND((VLOOKUP($B37,ECONACIONAL!$C$7:$AC$219,16,0)),2)</f>
        <v>240.11</v>
      </c>
      <c r="P37" s="128">
        <f>ROUND((VLOOKUP($B37,ECONACIONAL!$C$7:$AC$219,17,0)),2)</f>
        <v>0</v>
      </c>
      <c r="Q37" s="128">
        <f>ROUND((VLOOKUP($B37,ECONACIONAL!$C$7:$AC$219,18,0)),2)</f>
        <v>0</v>
      </c>
      <c r="R37" s="128">
        <f>ROUND((VLOOKUP($B37,ECONACIONAL!$C$7:$AC$219,19,0)),2)</f>
        <v>0</v>
      </c>
      <c r="S37" s="128">
        <f>ROUND((VLOOKUP($B37,ECONACIONAL!$C$7:$AC$219,20,0)),2)</f>
        <v>0</v>
      </c>
      <c r="T37" s="128">
        <f>ROUND((VLOOKUP($B37,ECONACIONAL!$C$7:$AC$219,21,0)),2)</f>
        <v>0</v>
      </c>
      <c r="U37" s="128">
        <f>ROUND((VLOOKUP($B37,ECONACIONAL!$C$7:$AC$219,22,0)),2)</f>
        <v>423.5</v>
      </c>
      <c r="V37" s="128">
        <f>ROUND((VLOOKUP($B37,ECONACIONAL!$C$7:$AC$219,23,0)),2)</f>
        <v>0</v>
      </c>
      <c r="W37" s="128">
        <f>ROUND((VLOOKUP($B37,ECONACIONAL!$C$7:$AC$219,24,0)),2)</f>
        <v>663.61</v>
      </c>
      <c r="X37" s="128">
        <f>ROUND((VLOOKUP($B37,ECONACIONAL!$C$7:$AC$219,25,0)),2)</f>
        <v>4607.6400000000003</v>
      </c>
      <c r="Y37" s="128">
        <f>ROUND((VLOOKUP($B37,ECONACIONAL!$C$7:$AC$219,26,0)),2)</f>
        <v>1927.48</v>
      </c>
      <c r="Z37" s="128">
        <f>ROUND((VLOOKUP($B37,ECONACIONAL!$C$7:$AC$219,27,0)),2)</f>
        <v>2680.16</v>
      </c>
      <c r="AA37" s="279"/>
      <c r="AB37" s="258">
        <v>3006725860101</v>
      </c>
      <c r="AC37" s="266" t="s">
        <v>52</v>
      </c>
    </row>
    <row r="38" spans="1:29">
      <c r="A38" s="1">
        <f t="shared" si="0"/>
        <v>33</v>
      </c>
      <c r="B38" s="951" t="str">
        <f>+ECONACIONAL!C129</f>
        <v>Dennison Murillo Belkis Carolina</v>
      </c>
      <c r="C38" s="168">
        <v>4580137927</v>
      </c>
      <c r="D38" s="705" t="str">
        <f>+ECONACIONAL!C129</f>
        <v>Dennison Murillo Belkis Carolina</v>
      </c>
      <c r="E38" s="172" t="str">
        <f>VLOOKUP(B38,distribucion!G$8:FP$153,2,0)</f>
        <v>Asistente de Aseguramiento de Calidad</v>
      </c>
      <c r="F38" s="128">
        <f>ROUND((VLOOKUP($B38,ECONACIONAL!$C$5:$AC$219,4,0)),2)</f>
        <v>30</v>
      </c>
      <c r="G38" s="128">
        <f>ROUND((VLOOKUP($B38,ECONACIONAL!$C$7:$AC$219,6,0)),2)</f>
        <v>4800</v>
      </c>
      <c r="H38" s="128">
        <f>ROUND((VLOOKUP($B38,ECONACIONAL!$C$7:$AC$219,7,0)),2)</f>
        <v>1000</v>
      </c>
      <c r="I38" s="128">
        <f>ROUND((VLOOKUP($B38,ECONACIONAL!$C$7:$AC$219,9,0)),2)</f>
        <v>11.5</v>
      </c>
      <c r="J38" s="128">
        <f>ROUND((VLOOKUP($B38,ECONACIONAL!$C$7:$AC$219,10,0)),2)</f>
        <v>345</v>
      </c>
      <c r="K38" s="128">
        <f>ROUND((VLOOKUP($B38,ECONACIONAL!$C$7:$AC$219,11,0)),2)</f>
        <v>0</v>
      </c>
      <c r="L38" s="128">
        <f>ROUND((VLOOKUP($B38,ECONACIONAL!$C$7:$AC$219,12,0)),2)</f>
        <v>0</v>
      </c>
      <c r="M38" s="128">
        <f>ROUND((VLOOKUP($B38,ECONACIONAL!$C$7:$AC$219,14,0)),2)</f>
        <v>0</v>
      </c>
      <c r="N38" s="128">
        <f>ROUND((VLOOKUP($B38,ECONACIONAL!$C$7:$AC$219,15,0)),2)</f>
        <v>6145</v>
      </c>
      <c r="O38" s="128">
        <f>ROUND((VLOOKUP($B38,ECONACIONAL!$C$7:$AC$219,16,0)),2)</f>
        <v>248.5</v>
      </c>
      <c r="P38" s="128">
        <f>ROUND((VLOOKUP($B38,ECONACIONAL!$C$7:$AC$219,17,0)),2)</f>
        <v>161</v>
      </c>
      <c r="Q38" s="128">
        <f>ROUND((VLOOKUP($B38,ECONACIONAL!$C$7:$AC$219,18,0)),2)</f>
        <v>0</v>
      </c>
      <c r="R38" s="128">
        <f>ROUND((VLOOKUP($B38,ECONACIONAL!$C$7:$AC$219,19,0)),2)</f>
        <v>0</v>
      </c>
      <c r="S38" s="128">
        <f>ROUND((VLOOKUP($B38,ECONACIONAL!$C$7:$AC$219,20,0)),2)</f>
        <v>0</v>
      </c>
      <c r="T38" s="128">
        <f>ROUND((VLOOKUP($B38,ECONACIONAL!$C$7:$AC$219,21,0)),2)</f>
        <v>0</v>
      </c>
      <c r="U38" s="128">
        <f>ROUND((VLOOKUP($B38,ECONACIONAL!$C$7:$AC$219,22,0)),2)</f>
        <v>0</v>
      </c>
      <c r="V38" s="128">
        <f>ROUND((VLOOKUP($B38,ECONACIONAL!$C$7:$AC$219,23,0)),2)</f>
        <v>82.5</v>
      </c>
      <c r="W38" s="128">
        <f>ROUND((VLOOKUP($B38,ECONACIONAL!$C$7:$AC$219,24,0)),2)</f>
        <v>492</v>
      </c>
      <c r="X38" s="128">
        <f>ROUND((VLOOKUP($B38,ECONACIONAL!$C$7:$AC$219,25,0)),2)</f>
        <v>5653</v>
      </c>
      <c r="Y38" s="128">
        <f>ROUND((VLOOKUP($B38,ECONACIONAL!$C$7:$AC$219,26,0)),2)</f>
        <v>2706.08</v>
      </c>
      <c r="Z38" s="128">
        <f>ROUND((VLOOKUP($B38,ECONACIONAL!$C$7:$AC$219,27,0)),2)</f>
        <v>2946.92</v>
      </c>
      <c r="AA38" s="279"/>
      <c r="AB38" s="258">
        <v>3006725860101</v>
      </c>
      <c r="AC38" s="266" t="s">
        <v>52</v>
      </c>
    </row>
    <row r="39" spans="1:29">
      <c r="A39" s="1">
        <f t="shared" si="0"/>
        <v>34</v>
      </c>
      <c r="B39" s="951" t="str">
        <f>+ECONACIONAL!C93</f>
        <v>Ramos Pineda Alan Fernando</v>
      </c>
      <c r="C39" s="168">
        <v>3800099024</v>
      </c>
      <c r="D39" s="705" t="str">
        <f>+ECONACIONAL!C93</f>
        <v>Ramos Pineda Alan Fernando</v>
      </c>
      <c r="E39" s="172" t="str">
        <f>VLOOKUP(B39,distribucion!G$8:FP$153,2,0)</f>
        <v>Jefe de Logistica y Bodega</v>
      </c>
      <c r="F39" s="128">
        <f>ROUND((VLOOKUP($B39,ECONACIONAL!$C$5:$AC$219,4,0)),2)</f>
        <v>30</v>
      </c>
      <c r="G39" s="128">
        <f>ROUND((VLOOKUP($B39,ECONACIONAL!$C$7:$AC$219,6,0)),2)</f>
        <v>5500</v>
      </c>
      <c r="H39" s="128">
        <f>ROUND((VLOOKUP($B39,ECONACIONAL!$C$7:$AC$219,7,0)),2)</f>
        <v>4500</v>
      </c>
      <c r="I39" s="128">
        <f>ROUND((VLOOKUP($B39,ECONACIONAL!$C$7:$AC$219,9,0)),2)</f>
        <v>0</v>
      </c>
      <c r="J39" s="128">
        <f>ROUND((VLOOKUP($B39,ECONACIONAL!$C$7:$AC$219,10,0)),2)</f>
        <v>0</v>
      </c>
      <c r="K39" s="128">
        <f>ROUND((VLOOKUP($B39,ECONACIONAL!$C$7:$AC$219,11,0)),2)</f>
        <v>0</v>
      </c>
      <c r="L39" s="128">
        <f>ROUND((VLOOKUP($B39,ECONACIONAL!$C$7:$AC$219,12,0)),2)</f>
        <v>0</v>
      </c>
      <c r="M39" s="128">
        <f>ROUND((VLOOKUP($B39,ECONACIONAL!$C$7:$AC$219,14,0)),2)</f>
        <v>0</v>
      </c>
      <c r="N39" s="128">
        <f>ROUND((VLOOKUP($B39,ECONACIONAL!$C$7:$AC$219,15,0)),2)</f>
        <v>10000</v>
      </c>
      <c r="O39" s="128">
        <f>ROUND((VLOOKUP($B39,ECONACIONAL!$C$7:$AC$219,16,0)),2)</f>
        <v>265.64999999999998</v>
      </c>
      <c r="P39" s="128">
        <f>ROUND((VLOOKUP($B39,ECONACIONAL!$C$7:$AC$219,17,0)),2)</f>
        <v>199.22</v>
      </c>
      <c r="Q39" s="128">
        <f>ROUND((VLOOKUP($B39,ECONACIONAL!$C$7:$AC$219,18,0)),2)</f>
        <v>0</v>
      </c>
      <c r="R39" s="128">
        <f>ROUND((VLOOKUP($B39,ECONACIONAL!$C$7:$AC$219,19,0)),2)</f>
        <v>0</v>
      </c>
      <c r="S39" s="128">
        <f>ROUND((VLOOKUP($B39,ECONACIONAL!$C$7:$AC$219,20,0)),2)</f>
        <v>0</v>
      </c>
      <c r="T39" s="128">
        <f>ROUND((VLOOKUP($B39,ECONACIONAL!$C$7:$AC$219,21,0)),2)</f>
        <v>0</v>
      </c>
      <c r="U39" s="128">
        <f>ROUND((VLOOKUP($B39,ECONACIONAL!$C$7:$AC$219,22,0)),2)</f>
        <v>0</v>
      </c>
      <c r="V39" s="128">
        <f>ROUND((VLOOKUP($B39,ECONACIONAL!$C$7:$AC$219,23,0)),2)</f>
        <v>0</v>
      </c>
      <c r="W39" s="128">
        <f>ROUND((VLOOKUP($B39,ECONACIONAL!$C$7:$AC$219,24,0)),2)</f>
        <v>464.87</v>
      </c>
      <c r="X39" s="128">
        <f>ROUND((VLOOKUP($B39,ECONACIONAL!$C$7:$AC$219,25,0)),2)</f>
        <v>9535.1299999999992</v>
      </c>
      <c r="Y39" s="128">
        <f>ROUND((VLOOKUP($B39,ECONACIONAL!$C$7:$AC$219,26,0)),2)</f>
        <v>5267.56</v>
      </c>
      <c r="Z39" s="128">
        <f>ROUND((VLOOKUP($B39,ECONACIONAL!$C$7:$AC$219,27,0)),2)</f>
        <v>4267.57</v>
      </c>
      <c r="AA39" s="279"/>
      <c r="AB39" s="258">
        <v>3006725860101</v>
      </c>
      <c r="AC39" s="266" t="s">
        <v>52</v>
      </c>
    </row>
    <row r="40" spans="1:29">
      <c r="A40" s="1">
        <f t="shared" si="0"/>
        <v>35</v>
      </c>
      <c r="B40" s="951" t="str">
        <f>+ECONACIONAL!C100</f>
        <v>Quevedo Turcios Julio Cesar</v>
      </c>
      <c r="C40" s="168" t="s">
        <v>737</v>
      </c>
      <c r="D40" s="705" t="str">
        <f>+ECONACIONAL!C100</f>
        <v>Quevedo Turcios Julio Cesar</v>
      </c>
      <c r="E40" s="172" t="str">
        <f>VLOOKUP(B40,distribucion!G$8:FP$153,2,0)</f>
        <v>Auxiliar de Bodega</v>
      </c>
      <c r="F40" s="128">
        <f>ROUND((VLOOKUP($B40,ECONACIONAL!$C$5:$AC$219,4,0)),2)</f>
        <v>30</v>
      </c>
      <c r="G40" s="128">
        <f>ROUND((VLOOKUP($B40,ECONACIONAL!$C$7:$AC$219,6,0)),2)</f>
        <v>4002.28</v>
      </c>
      <c r="H40" s="128">
        <f>ROUND((VLOOKUP($B40,ECONACIONAL!$C$7:$AC$219,7,0)),2)</f>
        <v>422.5</v>
      </c>
      <c r="I40" s="128">
        <f>ROUND((VLOOKUP($B40,ECONACIONAL!$C$7:$AC$219,9,0)),2)</f>
        <v>2</v>
      </c>
      <c r="J40" s="128">
        <f>ROUND((VLOOKUP($B40,ECONACIONAL!$C$7:$AC$219,10,0)),2)</f>
        <v>50.03</v>
      </c>
      <c r="K40" s="128">
        <f>ROUND((VLOOKUP($B40,ECONACIONAL!$C$7:$AC$219,11,0)),2)</f>
        <v>0</v>
      </c>
      <c r="L40" s="128">
        <f>ROUND((VLOOKUP($B40,ECONACIONAL!$C$7:$AC$219,12,0)),2)</f>
        <v>0</v>
      </c>
      <c r="M40" s="128">
        <f>ROUND((VLOOKUP($B40,ECONACIONAL!$C$7:$AC$219,14,0)),2)</f>
        <v>0</v>
      </c>
      <c r="N40" s="128">
        <f>ROUND((VLOOKUP($B40,ECONACIONAL!$C$7:$AC$219,15,0)),2)</f>
        <v>4474.8100000000004</v>
      </c>
      <c r="O40" s="128">
        <f>ROUND((VLOOKUP($B40,ECONACIONAL!$C$7:$AC$219,16,0)),2)</f>
        <v>195.73</v>
      </c>
      <c r="P40" s="128">
        <f>ROUND((VLOOKUP($B40,ECONACIONAL!$C$7:$AC$219,17,0)),2)</f>
        <v>0</v>
      </c>
      <c r="Q40" s="128">
        <f>ROUND((VLOOKUP($B40,ECONACIONAL!$C$7:$AC$219,18,0)),2)</f>
        <v>0</v>
      </c>
      <c r="R40" s="128">
        <f>ROUND((VLOOKUP($B40,ECONACIONAL!$C$7:$AC$219,19,0)),2)</f>
        <v>0</v>
      </c>
      <c r="S40" s="128">
        <f>ROUND((VLOOKUP($B40,ECONACIONAL!$C$7:$AC$219,20,0)),2)</f>
        <v>0</v>
      </c>
      <c r="T40" s="128">
        <f>ROUND((VLOOKUP($B40,ECONACIONAL!$C$7:$AC$219,21,0)),2)</f>
        <v>0</v>
      </c>
      <c r="U40" s="128">
        <f>ROUND((VLOOKUP($B40,ECONACIONAL!$C$7:$AC$219,22,0)),2)</f>
        <v>43</v>
      </c>
      <c r="V40" s="128">
        <f>ROUND((VLOOKUP($B40,ECONACIONAL!$C$7:$AC$219,23,0)),2)</f>
        <v>0</v>
      </c>
      <c r="W40" s="128">
        <f>ROUND((VLOOKUP($B40,ECONACIONAL!$C$7:$AC$219,24,0)),2)</f>
        <v>238.73</v>
      </c>
      <c r="X40" s="128">
        <f>ROUND((VLOOKUP($B40,ECONACIONAL!$C$7:$AC$219,25,0)),2)</f>
        <v>4236.08</v>
      </c>
      <c r="Y40" s="128">
        <f>ROUND((VLOOKUP($B40,ECONACIONAL!$C$7:$AC$219,26,0)),2)</f>
        <v>1986.48</v>
      </c>
      <c r="Z40" s="128">
        <f>ROUND((VLOOKUP($B40,ECONACIONAL!$C$7:$AC$219,27,0)),2)</f>
        <v>2249.6</v>
      </c>
      <c r="AA40" s="279"/>
      <c r="AB40" s="258">
        <v>3006725860101</v>
      </c>
      <c r="AC40" s="266" t="s">
        <v>52</v>
      </c>
    </row>
    <row r="41" spans="1:29">
      <c r="A41" s="1">
        <f t="shared" si="0"/>
        <v>36</v>
      </c>
      <c r="B41" s="951" t="str">
        <f>+ECONACIONAL!C132</f>
        <v>Garcia Lopez Bianca Magdalena</v>
      </c>
      <c r="C41" s="168">
        <v>3450069434</v>
      </c>
      <c r="D41" s="705" t="str">
        <f>+ECONACIONAL!C132</f>
        <v>Garcia Lopez Bianca Magdalena</v>
      </c>
      <c r="E41" s="172" t="str">
        <f>VLOOKUP(B41,distribucion!G$8:FP$153,2,0)</f>
        <v>Asistente de Control de Calidad</v>
      </c>
      <c r="F41" s="128">
        <f>ROUND((VLOOKUP($B41,ECONACIONAL!$C$5:$AC$219,4,0)),2)</f>
        <v>21</v>
      </c>
      <c r="G41" s="128">
        <f>ROUND((VLOOKUP($B41,ECONACIONAL!$C$7:$AC$219,6,0)),2)</f>
        <v>3071.29</v>
      </c>
      <c r="H41" s="128">
        <f>ROUND((VLOOKUP($B41,ECONACIONAL!$C$7:$AC$219,7,0)),2)</f>
        <v>778.72</v>
      </c>
      <c r="I41" s="128">
        <f>ROUND((VLOOKUP($B41,ECONACIONAL!$C$7:$AC$219,9,0)),2)</f>
        <v>28</v>
      </c>
      <c r="J41" s="128">
        <f>ROUND((VLOOKUP($B41,ECONACIONAL!$C$7:$AC$219,10,0)),2)</f>
        <v>767.82</v>
      </c>
      <c r="K41" s="128">
        <f>ROUND((VLOOKUP($B41,ECONACIONAL!$C$7:$AC$219,11,0)),2)</f>
        <v>0</v>
      </c>
      <c r="L41" s="128">
        <f>ROUND((VLOOKUP($B41,ECONACIONAL!$C$7:$AC$219,12,0)),2)</f>
        <v>0</v>
      </c>
      <c r="M41" s="128">
        <f>ROUND((VLOOKUP($B41,ECONACIONAL!$C$7:$AC$219,14,0)),2)</f>
        <v>0</v>
      </c>
      <c r="N41" s="128">
        <f>ROUND((VLOOKUP($B41,ECONACIONAL!$C$7:$AC$219,15,0)),2)</f>
        <v>4617.83</v>
      </c>
      <c r="O41" s="128">
        <f>ROUND((VLOOKUP($B41,ECONACIONAL!$C$7:$AC$219,16,0)),2)</f>
        <v>185.43</v>
      </c>
      <c r="P41" s="128">
        <f>ROUND((VLOOKUP($B41,ECONACIONAL!$C$7:$AC$219,17,0)),2)</f>
        <v>0</v>
      </c>
      <c r="Q41" s="128">
        <f>ROUND((VLOOKUP($B41,ECONACIONAL!$C$7:$AC$219,18,0)),2)</f>
        <v>0</v>
      </c>
      <c r="R41" s="128">
        <f>ROUND((VLOOKUP($B41,ECONACIONAL!$C$7:$AC$219,19,0)),2)</f>
        <v>0</v>
      </c>
      <c r="S41" s="128">
        <f>ROUND((VLOOKUP($B41,ECONACIONAL!$C$7:$AC$219,20,0)),2)</f>
        <v>0</v>
      </c>
      <c r="T41" s="128">
        <f>ROUND((VLOOKUP($B41,ECONACIONAL!$C$7:$AC$219,21,0)),2)</f>
        <v>0</v>
      </c>
      <c r="U41" s="128">
        <f>ROUND((VLOOKUP($B41,ECONACIONAL!$C$7:$AC$219,22,0)),2)</f>
        <v>0</v>
      </c>
      <c r="V41" s="128">
        <f>ROUND((VLOOKUP($B41,ECONACIONAL!$C$7:$AC$219,23,0)),2)</f>
        <v>0</v>
      </c>
      <c r="W41" s="128">
        <f>ROUND((VLOOKUP($B41,ECONACIONAL!$C$7:$AC$219,24,0)),2)</f>
        <v>185.43</v>
      </c>
      <c r="X41" s="128">
        <f>ROUND((VLOOKUP($B41,ECONACIONAL!$C$7:$AC$219,25,0)),2)</f>
        <v>4432.3999999999996</v>
      </c>
      <c r="Y41" s="128">
        <f>ROUND((VLOOKUP($B41,ECONACIONAL!$C$7:$AC$219,26,0)),2)</f>
        <v>2644.05</v>
      </c>
      <c r="Z41" s="128">
        <f>ROUND((VLOOKUP($B41,ECONACIONAL!$C$7:$AC$219,27,0)),2)</f>
        <v>1788.35</v>
      </c>
      <c r="AA41" s="279"/>
      <c r="AB41" s="258">
        <v>3006725860101</v>
      </c>
      <c r="AC41" s="266" t="s">
        <v>52</v>
      </c>
    </row>
    <row r="42" spans="1:29">
      <c r="A42" s="1">
        <f t="shared" si="0"/>
        <v>37</v>
      </c>
      <c r="B42" s="951" t="str">
        <f>+ECONACIONAL!C151</f>
        <v>Jacome Galindo Francisco</v>
      </c>
      <c r="C42" s="168">
        <v>1940064205</v>
      </c>
      <c r="D42" s="705" t="str">
        <f>+ECONACIONAL!C151</f>
        <v>Jacome Galindo Francisco</v>
      </c>
      <c r="E42" s="172" t="str">
        <f>VLOOKUP(B42,distribucion!G$8:FP$153,2,0)</f>
        <v>Gerente de Operaciones</v>
      </c>
      <c r="F42" s="128">
        <f>ROUND((VLOOKUP($B42,ECONACIONAL!$C$5:$AC$219,4,0)),2)</f>
        <v>30</v>
      </c>
      <c r="G42" s="128">
        <f>ROUND((VLOOKUP($B42,ECONACIONAL!$C$7:$AC$219,6,0)),2)</f>
        <v>19000</v>
      </c>
      <c r="H42" s="128">
        <f>ROUND((VLOOKUP($B42,ECONACIONAL!$C$7:$AC$219,7,0)),2)</f>
        <v>5000</v>
      </c>
      <c r="I42" s="128">
        <f>ROUND((VLOOKUP($B42,ECONACIONAL!$C$7:$AC$219,9,0)),2)</f>
        <v>0</v>
      </c>
      <c r="J42" s="128">
        <f>ROUND((VLOOKUP($B42,ECONACIONAL!$C$7:$AC$219,10,0)),2)</f>
        <v>0</v>
      </c>
      <c r="K42" s="128">
        <f>ROUND((VLOOKUP($B42,ECONACIONAL!$C$7:$AC$219,11,0)),2)</f>
        <v>0</v>
      </c>
      <c r="L42" s="128">
        <f>ROUND((VLOOKUP($B42,ECONACIONAL!$C$7:$AC$219,12,0)),2)</f>
        <v>0</v>
      </c>
      <c r="M42" s="128">
        <f>ROUND((VLOOKUP($B42,ECONACIONAL!$C$7:$AC$219,14,0)),2)</f>
        <v>0</v>
      </c>
      <c r="N42" s="128">
        <f>ROUND((VLOOKUP($B42,ECONACIONAL!$C$7:$AC$219,15,0)),2)</f>
        <v>24000</v>
      </c>
      <c r="O42" s="128">
        <f>ROUND((VLOOKUP($B42,ECONACIONAL!$C$7:$AC$219,16,0)),2)</f>
        <v>917.7</v>
      </c>
      <c r="P42" s="128">
        <f>ROUND((VLOOKUP($B42,ECONACIONAL!$C$7:$AC$219,17,0)),2)</f>
        <v>1144.94</v>
      </c>
      <c r="Q42" s="128">
        <f>ROUND((VLOOKUP($B42,ECONACIONAL!$C$7:$AC$219,18,0)),2)</f>
        <v>0</v>
      </c>
      <c r="R42" s="128">
        <f>ROUND((VLOOKUP($B42,ECONACIONAL!$C$7:$AC$219,19,0)),2)</f>
        <v>0</v>
      </c>
      <c r="S42" s="128">
        <f>ROUND((VLOOKUP($B42,ECONACIONAL!$C$7:$AC$219,20,0)),2)</f>
        <v>0</v>
      </c>
      <c r="T42" s="128">
        <f>ROUND((VLOOKUP($B42,ECONACIONAL!$C$7:$AC$219,21,0)),2)</f>
        <v>0</v>
      </c>
      <c r="U42" s="128">
        <f>ROUND((VLOOKUP($B42,ECONACIONAL!$C$7:$AC$219,22,0)),2)</f>
        <v>0</v>
      </c>
      <c r="V42" s="128">
        <f>ROUND((VLOOKUP($B42,ECONACIONAL!$C$7:$AC$219,23,0)),2)</f>
        <v>0</v>
      </c>
      <c r="W42" s="128">
        <f>ROUND((VLOOKUP($B42,ECONACIONAL!$C$7:$AC$219,24,0)),2)</f>
        <v>2062.64</v>
      </c>
      <c r="X42" s="128">
        <f>ROUND((VLOOKUP($B42,ECONACIONAL!$C$7:$AC$219,25,0)),2)</f>
        <v>21937.360000000001</v>
      </c>
      <c r="Y42" s="128">
        <f>ROUND((VLOOKUP($B42,ECONACIONAL!$C$7:$AC$219,26,0)),2)</f>
        <v>10968.68</v>
      </c>
      <c r="Z42" s="128">
        <f>ROUND((VLOOKUP($B42,ECONACIONAL!$C$7:$AC$219,27,0)),2)</f>
        <v>10968.68</v>
      </c>
      <c r="AA42" s="279"/>
      <c r="AB42" s="258">
        <v>3006725860101</v>
      </c>
      <c r="AC42" s="266" t="s">
        <v>52</v>
      </c>
    </row>
    <row r="43" spans="1:29">
      <c r="A43" s="1">
        <f t="shared" si="0"/>
        <v>38</v>
      </c>
      <c r="B43" s="951" t="str">
        <f>+distribucion!G104</f>
        <v>Gonzalez Hernandez Luis Roberto</v>
      </c>
      <c r="C43" s="168">
        <v>5550024276</v>
      </c>
      <c r="D43" s="705" t="str">
        <f>+ECONACIONAL!C115</f>
        <v>Gonzalez Hernandez Luis Roberto</v>
      </c>
      <c r="E43" s="172" t="str">
        <f>VLOOKUP(B43,distribucion!G$8:FP$153,2,0)</f>
        <v>Gerente de Compras Export e Import</v>
      </c>
      <c r="F43" s="128">
        <f>ROUND((VLOOKUP($B43,ECONACIONAL!$C$5:$AC$219,4,0)),2)</f>
        <v>30</v>
      </c>
      <c r="G43" s="128">
        <f>ROUND((VLOOKUP($B43,ECONACIONAL!$C$7:$AC$219,6,0)),2)</f>
        <v>13000</v>
      </c>
      <c r="H43" s="128">
        <f>ROUND((VLOOKUP($B43,ECONACIONAL!$C$7:$AC$219,7,0)),2)</f>
        <v>2000</v>
      </c>
      <c r="I43" s="128">
        <f>ROUND((VLOOKUP($B43,ECONACIONAL!$C$7:$AC$219,9,0)),2)</f>
        <v>0</v>
      </c>
      <c r="J43" s="128">
        <f>ROUND((VLOOKUP($B43,ECONACIONAL!$C$7:$AC$219,10,0)),2)</f>
        <v>0</v>
      </c>
      <c r="K43" s="128">
        <f>ROUND((VLOOKUP($B43,ECONACIONAL!$C$7:$AC$219,11,0)),2)</f>
        <v>0</v>
      </c>
      <c r="L43" s="128">
        <f>ROUND((VLOOKUP($B43,ECONACIONAL!$C$7:$AC$219,12,0)),2)</f>
        <v>0</v>
      </c>
      <c r="M43" s="128">
        <f>ROUND((VLOOKUP($B43,ECONACIONAL!$C$7:$AC$219,14,0)),2)</f>
        <v>0</v>
      </c>
      <c r="N43" s="128">
        <f>ROUND((VLOOKUP($B43,ECONACIONAL!$C$7:$AC$219,15,0)),2)</f>
        <v>15000</v>
      </c>
      <c r="O43" s="128">
        <f>ROUND((VLOOKUP($B43,ECONACIONAL!$C$7:$AC$219,16,0)),2)</f>
        <v>627.9</v>
      </c>
      <c r="P43" s="128">
        <f>ROUND((VLOOKUP($B43,ECONACIONAL!$C$7:$AC$219,17,0)),2)</f>
        <v>622.33000000000004</v>
      </c>
      <c r="Q43" s="128">
        <f>ROUND((VLOOKUP($B43,ECONACIONAL!$C$7:$AC$219,18,0)),2)</f>
        <v>0</v>
      </c>
      <c r="R43" s="128">
        <f>ROUND((VLOOKUP($B43,ECONACIONAL!$C$7:$AC$219,19,0)),2)</f>
        <v>0</v>
      </c>
      <c r="S43" s="128">
        <f>ROUND((VLOOKUP($B43,ECONACIONAL!$C$7:$AC$219,20,0)),2)</f>
        <v>0</v>
      </c>
      <c r="T43" s="128">
        <f>ROUND((VLOOKUP($B43,ECONACIONAL!$C$7:$AC$219,21,0)),2)</f>
        <v>0</v>
      </c>
      <c r="U43" s="128">
        <f>ROUND((VLOOKUP($B43,ECONACIONAL!$C$7:$AC$219,22,0)),2)</f>
        <v>0</v>
      </c>
      <c r="V43" s="128">
        <f>ROUND((VLOOKUP($B43,ECONACIONAL!$C$7:$AC$219,23,0)),2)</f>
        <v>0</v>
      </c>
      <c r="W43" s="128">
        <f>ROUND((VLOOKUP($B43,ECONACIONAL!$C$7:$AC$219,24,0)),2)</f>
        <v>1250.23</v>
      </c>
      <c r="X43" s="128">
        <f>ROUND((VLOOKUP($B43,ECONACIONAL!$C$7:$AC$219,25,0)),2)</f>
        <v>13749.77</v>
      </c>
      <c r="Y43" s="128">
        <f>ROUND((VLOOKUP($B43,ECONACIONAL!$C$7:$AC$219,26,0)),2)</f>
        <v>6874.88</v>
      </c>
      <c r="Z43" s="128">
        <f>ROUND((VLOOKUP($B43,ECONACIONAL!$C$7:$AC$219,27,0)),2)</f>
        <v>6874.89</v>
      </c>
      <c r="AA43" s="279"/>
      <c r="AB43" s="258">
        <v>3006725860101</v>
      </c>
      <c r="AC43" s="266" t="s">
        <v>52</v>
      </c>
    </row>
    <row r="44" spans="1:29">
      <c r="A44" s="1">
        <f t="shared" si="0"/>
        <v>39</v>
      </c>
      <c r="B44" s="951" t="str">
        <f>+ECONACIONAL!C108</f>
        <v>Perez Avilez Steven Andre</v>
      </c>
      <c r="C44" s="168" t="s">
        <v>227</v>
      </c>
      <c r="D44" s="705" t="str">
        <f>+ECONACIONAL!C108</f>
        <v>Perez Avilez Steven Andre</v>
      </c>
      <c r="E44" s="172" t="str">
        <f>VLOOKUP(B44,distribucion!G$8:FP$153,2,0)</f>
        <v>Auxiliar de Bodega</v>
      </c>
      <c r="F44" s="128">
        <f>ROUND((VLOOKUP($B44,ECONACIONAL!$C$5:$AC$219,4,0)),2)</f>
        <v>27</v>
      </c>
      <c r="G44" s="128">
        <f>ROUND((VLOOKUP($B44,ECONACIONAL!$C$7:$AC$219,6,0)),2)</f>
        <v>3602.05</v>
      </c>
      <c r="H44" s="128">
        <f>ROUND((VLOOKUP($B44,ECONACIONAL!$C$7:$AC$219,7,0)),2)</f>
        <v>855</v>
      </c>
      <c r="I44" s="128">
        <f>ROUND((VLOOKUP($B44,ECONACIONAL!$C$7:$AC$219,9,0)),2)</f>
        <v>34</v>
      </c>
      <c r="J44" s="128">
        <f>ROUND((VLOOKUP($B44,ECONACIONAL!$C$7:$AC$219,10,0)),2)</f>
        <v>850.48</v>
      </c>
      <c r="K44" s="128">
        <f>ROUND((VLOOKUP($B44,ECONACIONAL!$C$7:$AC$219,11,0)),2)</f>
        <v>0</v>
      </c>
      <c r="L44" s="128">
        <f>ROUND((VLOOKUP($B44,ECONACIONAL!$C$7:$AC$219,12,0)),2)</f>
        <v>0</v>
      </c>
      <c r="M44" s="128">
        <f>ROUND((VLOOKUP($B44,ECONACIONAL!$C$7:$AC$219,14,0)),2)</f>
        <v>0</v>
      </c>
      <c r="N44" s="128">
        <f>ROUND((VLOOKUP($B44,ECONACIONAL!$C$7:$AC$219,15,0)),2)</f>
        <v>5307.53</v>
      </c>
      <c r="O44" s="128">
        <f>ROUND((VLOOKUP($B44,ECONACIONAL!$C$7:$AC$219,16,0)),2)</f>
        <v>215.06</v>
      </c>
      <c r="P44" s="128">
        <f>ROUND((VLOOKUP($B44,ECONACIONAL!$C$7:$AC$219,17,0)),2)</f>
        <v>0</v>
      </c>
      <c r="Q44" s="128">
        <f>ROUND((VLOOKUP($B44,ECONACIONAL!$C$7:$AC$219,18,0)),2)</f>
        <v>0</v>
      </c>
      <c r="R44" s="128">
        <f>ROUND((VLOOKUP($B44,ECONACIONAL!$C$7:$AC$219,19,0)),2)</f>
        <v>0</v>
      </c>
      <c r="S44" s="128">
        <f>ROUND((VLOOKUP($B44,ECONACIONAL!$C$7:$AC$219,20,0)),2)</f>
        <v>0</v>
      </c>
      <c r="T44" s="128">
        <f>ROUND((VLOOKUP($B44,ECONACIONAL!$C$7:$AC$219,21,0)),2)</f>
        <v>0</v>
      </c>
      <c r="U44" s="128">
        <f>ROUND((VLOOKUP($B44,ECONACIONAL!$C$7:$AC$219,22,0)),2)</f>
        <v>1746.5</v>
      </c>
      <c r="V44" s="128">
        <f>ROUND((VLOOKUP($B44,ECONACIONAL!$C$7:$AC$219,23,0)),2)</f>
        <v>0</v>
      </c>
      <c r="W44" s="128">
        <f>ROUND((VLOOKUP($B44,ECONACIONAL!$C$7:$AC$219,24,0)),2)</f>
        <v>1961.56</v>
      </c>
      <c r="X44" s="128">
        <f>ROUND((VLOOKUP($B44,ECONACIONAL!$C$7:$AC$219,25,0)),2)</f>
        <v>3345.97</v>
      </c>
      <c r="Y44" s="128">
        <f>ROUND((VLOOKUP($B44,ECONACIONAL!$C$7:$AC$219,26,0)),2)</f>
        <v>1256.48</v>
      </c>
      <c r="Z44" s="128">
        <f>ROUND((VLOOKUP($B44,ECONACIONAL!$C$7:$AC$219,27,0)),2)</f>
        <v>2089.4899999999998</v>
      </c>
      <c r="AA44" s="279"/>
      <c r="AB44" s="258">
        <v>3006725860101</v>
      </c>
      <c r="AC44" s="266" t="s">
        <v>52</v>
      </c>
    </row>
    <row r="45" spans="1:29">
      <c r="A45" s="1">
        <f t="shared" si="0"/>
        <v>40</v>
      </c>
      <c r="B45" s="951" t="str">
        <f>+ECONACIONAL!C51</f>
        <v>Perez Rivera Yoselyn Carolina</v>
      </c>
      <c r="C45" s="168">
        <v>4530240946</v>
      </c>
      <c r="D45" s="705" t="str">
        <f>+ECONACIONAL!C51</f>
        <v>Perez Rivera Yoselyn Carolina</v>
      </c>
      <c r="E45" s="172" t="str">
        <f>VLOOKUP(B45,distribucion!G$8:FP$153,2,0)</f>
        <v>Auxiliar Contable (digitador)</v>
      </c>
      <c r="F45" s="128">
        <f>ROUND((VLOOKUP($B45,ECONACIONAL!$C$5:$AC$219,4,0)),2)</f>
        <v>30</v>
      </c>
      <c r="G45" s="128">
        <f>ROUND((VLOOKUP($B45,ECONACIONAL!$C$7:$AC$219,6,0)),2)</f>
        <v>4002.28</v>
      </c>
      <c r="H45" s="128">
        <f>ROUND((VLOOKUP($B45,ECONACIONAL!$C$7:$AC$219,7,0)),2)</f>
        <v>405.16</v>
      </c>
      <c r="I45" s="128">
        <f>ROUND((VLOOKUP($B45,ECONACIONAL!$C$7:$AC$219,9,0)),2)</f>
        <v>0</v>
      </c>
      <c r="J45" s="128">
        <f>ROUND((VLOOKUP($B45,ECONACIONAL!$C$7:$AC$219,10,0)),2)</f>
        <v>0</v>
      </c>
      <c r="K45" s="128">
        <f>ROUND((VLOOKUP($B45,ECONACIONAL!$C$7:$AC$219,11,0)),2)</f>
        <v>0</v>
      </c>
      <c r="L45" s="128">
        <f>ROUND((VLOOKUP($B45,ECONACIONAL!$C$7:$AC$219,12,0)),2)</f>
        <v>0</v>
      </c>
      <c r="M45" s="128">
        <f>ROUND((VLOOKUP($B45,ECONACIONAL!$C$7:$AC$219,14,0)),2)</f>
        <v>0</v>
      </c>
      <c r="N45" s="128">
        <f>ROUND((VLOOKUP($B45,ECONACIONAL!$C$7:$AC$219,15,0)),2)</f>
        <v>4407.4399999999996</v>
      </c>
      <c r="O45" s="128">
        <f>ROUND((VLOOKUP($B45,ECONACIONAL!$C$7:$AC$219,16,0)),2)</f>
        <v>193.31</v>
      </c>
      <c r="P45" s="128">
        <f>ROUND((VLOOKUP($B45,ECONACIONAL!$C$7:$AC$219,17,0)),2)</f>
        <v>0</v>
      </c>
      <c r="Q45" s="128">
        <f>ROUND((VLOOKUP($B45,ECONACIONAL!$C$7:$AC$219,18,0)),2)</f>
        <v>0</v>
      </c>
      <c r="R45" s="128">
        <f>ROUND((VLOOKUP($B45,ECONACIONAL!$C$7:$AC$219,19,0)),2)</f>
        <v>0</v>
      </c>
      <c r="S45" s="128">
        <f>ROUND((VLOOKUP($B45,ECONACIONAL!$C$7:$AC$219,20,0)),2)</f>
        <v>0</v>
      </c>
      <c r="T45" s="128">
        <f>ROUND((VLOOKUP($B45,ECONACIONAL!$C$7:$AC$219,21,0)),2)</f>
        <v>0</v>
      </c>
      <c r="U45" s="128">
        <f>ROUND((VLOOKUP($B45,ECONACIONAL!$C$7:$AC$219,22,0)),2)</f>
        <v>0</v>
      </c>
      <c r="V45" s="128">
        <f>ROUND((VLOOKUP($B45,ECONACIONAL!$C$7:$AC$219,23,0)),2)</f>
        <v>0</v>
      </c>
      <c r="W45" s="128">
        <f>ROUND((VLOOKUP($B45,ECONACIONAL!$C$7:$AC$219,24,0)),2)</f>
        <v>193.31</v>
      </c>
      <c r="X45" s="128">
        <f>ROUND((VLOOKUP($B45,ECONACIONAL!$C$7:$AC$219,25,0)),2)</f>
        <v>4214.13</v>
      </c>
      <c r="Y45" s="128">
        <f>ROUND((VLOOKUP($B45,ECONACIONAL!$C$7:$AC$219,26,0)),2)</f>
        <v>2107.06</v>
      </c>
      <c r="Z45" s="128">
        <f>ROUND((VLOOKUP($B45,ECONACIONAL!$C$7:$AC$219,27,0)),2)</f>
        <v>2107.0700000000002</v>
      </c>
      <c r="AA45" s="279"/>
      <c r="AB45" s="258">
        <v>3006725860101</v>
      </c>
      <c r="AC45" s="266" t="s">
        <v>52</v>
      </c>
    </row>
    <row r="46" spans="1:29">
      <c r="A46" s="1">
        <f t="shared" si="0"/>
        <v>41</v>
      </c>
      <c r="B46" s="951" t="str">
        <f>+ECONACIONAL!C42</f>
        <v>Apen Escalante Ami Adriana</v>
      </c>
      <c r="C46" s="168">
        <v>3130198199</v>
      </c>
      <c r="D46" s="705" t="str">
        <f>+ECONACIONAL!C42</f>
        <v>Apen Escalante Ami Adriana</v>
      </c>
      <c r="E46" s="172" t="str">
        <f>VLOOKUP(B46,distribucion!G$8:FP$153,2,0)</f>
        <v>Asistente de Auditoria Interna</v>
      </c>
      <c r="F46" s="128">
        <f>ROUND((VLOOKUP($B46,ECONACIONAL!$C$5:$AC$219,4,0)),2)</f>
        <v>30</v>
      </c>
      <c r="G46" s="128">
        <f>ROUND((VLOOKUP($B46,ECONACIONAL!$C$7:$AC$219,6,0)),2)</f>
        <v>4500</v>
      </c>
      <c r="H46" s="128">
        <f>ROUND((VLOOKUP($B46,ECONACIONAL!$C$7:$AC$219,7,0)),2)</f>
        <v>500</v>
      </c>
      <c r="I46" s="128">
        <f>ROUND((VLOOKUP($B46,ECONACIONAL!$C$7:$AC$219,9,0)),2)</f>
        <v>0</v>
      </c>
      <c r="J46" s="128">
        <f>ROUND((VLOOKUP($B46,ECONACIONAL!$C$7:$AC$219,10,0)),2)</f>
        <v>0</v>
      </c>
      <c r="K46" s="128">
        <f>ROUND((VLOOKUP($B46,ECONACIONAL!$C$7:$AC$219,11,0)),2)</f>
        <v>0</v>
      </c>
      <c r="L46" s="128">
        <f>ROUND((VLOOKUP($B46,ECONACIONAL!$C$7:$AC$219,12,0)),2)</f>
        <v>0</v>
      </c>
      <c r="M46" s="128">
        <f>ROUND((VLOOKUP($B46,ECONACIONAL!$C$7:$AC$219,14,0)),2)</f>
        <v>0</v>
      </c>
      <c r="N46" s="128">
        <f>ROUND((VLOOKUP($B46,ECONACIONAL!$C$7:$AC$219,15,0)),2)</f>
        <v>5000</v>
      </c>
      <c r="O46" s="128">
        <f>ROUND((VLOOKUP($B46,ECONACIONAL!$C$7:$AC$219,16,0)),2)</f>
        <v>217.35</v>
      </c>
      <c r="P46" s="128">
        <f>ROUND((VLOOKUP($B46,ECONACIONAL!$C$7:$AC$219,17,0)),2)</f>
        <v>0</v>
      </c>
      <c r="Q46" s="128">
        <f>ROUND((VLOOKUP($B46,ECONACIONAL!$C$7:$AC$219,18,0)),2)</f>
        <v>0</v>
      </c>
      <c r="R46" s="128">
        <f>ROUND((VLOOKUP($B46,ECONACIONAL!$C$7:$AC$219,19,0)),2)</f>
        <v>0</v>
      </c>
      <c r="S46" s="128">
        <f>ROUND((VLOOKUP($B46,ECONACIONAL!$C$7:$AC$219,20,0)),2)</f>
        <v>0</v>
      </c>
      <c r="T46" s="128">
        <f>ROUND((VLOOKUP($B46,ECONACIONAL!$C$7:$AC$219,21,0)),2)</f>
        <v>0</v>
      </c>
      <c r="U46" s="128">
        <f>ROUND((VLOOKUP($B46,ECONACIONAL!$C$7:$AC$219,22,0)),2)</f>
        <v>0</v>
      </c>
      <c r="V46" s="128">
        <f>ROUND((VLOOKUP($B46,ECONACIONAL!$C$7:$AC$219,23,0)),2)</f>
        <v>350</v>
      </c>
      <c r="W46" s="128">
        <f>ROUND((VLOOKUP($B46,ECONACIONAL!$C$7:$AC$219,24,0)),2)</f>
        <v>567.35</v>
      </c>
      <c r="X46" s="128">
        <f>ROUND((VLOOKUP($B46,ECONACIONAL!$C$7:$AC$219,25,0)),2)</f>
        <v>4432.6499999999996</v>
      </c>
      <c r="Y46" s="128">
        <f>ROUND((VLOOKUP($B46,ECONACIONAL!$C$7:$AC$219,26,0)),2)</f>
        <v>2216.3200000000002</v>
      </c>
      <c r="Z46" s="128">
        <f>ROUND((VLOOKUP($B46,ECONACIONAL!$C$7:$AC$219,27,0)),2)</f>
        <v>2216.33</v>
      </c>
      <c r="AA46" s="279"/>
      <c r="AB46" s="258">
        <v>3006725860101</v>
      </c>
      <c r="AC46" s="266" t="s">
        <v>52</v>
      </c>
    </row>
    <row r="47" spans="1:29">
      <c r="A47" s="1">
        <f t="shared" si="0"/>
        <v>42</v>
      </c>
      <c r="B47" s="951" t="str">
        <f>+ECONACIONAL!C120</f>
        <v>Zuñiga Gonzalez Elmer David</v>
      </c>
      <c r="C47" s="168" t="s">
        <v>775</v>
      </c>
      <c r="D47" s="705" t="str">
        <f>+ECONACIONAL!C120</f>
        <v>Zuñiga Gonzalez Elmer David</v>
      </c>
      <c r="E47" s="172" t="str">
        <f>VLOOKUP(B47,distribucion!G$8:FP$153,2,0)</f>
        <v>Encargado de Suministros y Servicios</v>
      </c>
      <c r="F47" s="128">
        <f>ROUND((VLOOKUP($B47,ECONACIONAL!$C$5:$AC$219,4,0)),2)</f>
        <v>23</v>
      </c>
      <c r="G47" s="128">
        <f>ROUND((VLOOKUP($B47,ECONACIONAL!$C$7:$AC$219,6,0)),2)</f>
        <v>3068.41</v>
      </c>
      <c r="H47" s="128">
        <f>ROUND((VLOOKUP($B47,ECONACIONAL!$C$7:$AC$219,7,0)),2)</f>
        <v>1764.92</v>
      </c>
      <c r="I47" s="128">
        <f>ROUND((VLOOKUP($B47,ECONACIONAL!$C$7:$AC$219,9,0)),2)</f>
        <v>0</v>
      </c>
      <c r="J47" s="128">
        <f>ROUND((VLOOKUP($B47,ECONACIONAL!$C$7:$AC$219,10,0)),2)</f>
        <v>0</v>
      </c>
      <c r="K47" s="128">
        <f>ROUND((VLOOKUP($B47,ECONACIONAL!$C$7:$AC$219,11,0)),2)</f>
        <v>0</v>
      </c>
      <c r="L47" s="128">
        <f>ROUND((VLOOKUP($B47,ECONACIONAL!$C$7:$AC$219,12,0)),2)</f>
        <v>0</v>
      </c>
      <c r="M47" s="128">
        <f>ROUND((VLOOKUP($B47,ECONACIONAL!$C$7:$AC$219,14,0)),2)</f>
        <v>0</v>
      </c>
      <c r="N47" s="128">
        <f>ROUND((VLOOKUP($B47,ECONACIONAL!$C$7:$AC$219,15,0)),2)</f>
        <v>4833.33</v>
      </c>
      <c r="O47" s="128">
        <f>ROUND((VLOOKUP($B47,ECONACIONAL!$C$7:$AC$219,16,0)),2)</f>
        <v>148.19999999999999</v>
      </c>
      <c r="P47" s="128">
        <f>ROUND((VLOOKUP($B47,ECONACIONAL!$C$7:$AC$219,17,0)),2)</f>
        <v>0</v>
      </c>
      <c r="Q47" s="128">
        <f>ROUND((VLOOKUP($B47,ECONACIONAL!$C$7:$AC$219,18,0)),2)</f>
        <v>0</v>
      </c>
      <c r="R47" s="128">
        <f>ROUND((VLOOKUP($B47,ECONACIONAL!$C$7:$AC$219,19,0)),2)</f>
        <v>0</v>
      </c>
      <c r="S47" s="128">
        <f>ROUND((VLOOKUP($B47,ECONACIONAL!$C$7:$AC$219,20,0)),2)</f>
        <v>0</v>
      </c>
      <c r="T47" s="128">
        <f>ROUND((VLOOKUP($B47,ECONACIONAL!$C$7:$AC$219,21,0)),2)</f>
        <v>0</v>
      </c>
      <c r="U47" s="128">
        <f>ROUND((VLOOKUP($B47,ECONACIONAL!$C$7:$AC$219,22,0)),2)</f>
        <v>0</v>
      </c>
      <c r="V47" s="128">
        <f>ROUND((VLOOKUP($B47,ECONACIONAL!$C$7:$AC$219,23,0)),2)</f>
        <v>0</v>
      </c>
      <c r="W47" s="128">
        <f>ROUND((VLOOKUP($B47,ECONACIONAL!$C$7:$AC$219,24,0)),2)</f>
        <v>148.19999999999999</v>
      </c>
      <c r="X47" s="128">
        <f>ROUND((VLOOKUP($B47,ECONACIONAL!$C$7:$AC$219,25,0)),2)</f>
        <v>4685.13</v>
      </c>
      <c r="Y47" s="128">
        <f>ROUND((VLOOKUP($B47,ECONACIONAL!$C$7:$AC$219,26,0)),2)</f>
        <v>3403.34</v>
      </c>
      <c r="Z47" s="128">
        <f>ROUND((VLOOKUP($B47,ECONACIONAL!$C$7:$AC$219,27,0)),2)</f>
        <v>1281.79</v>
      </c>
      <c r="AA47" s="279"/>
      <c r="AB47" s="258">
        <v>3006725860101</v>
      </c>
      <c r="AC47" s="266" t="s">
        <v>52</v>
      </c>
    </row>
    <row r="48" spans="1:29">
      <c r="A48" s="1">
        <f t="shared" si="0"/>
        <v>43</v>
      </c>
      <c r="B48" s="951" t="str">
        <f>+ECONACIONAL!C41</f>
        <v>Roman Morales Mirta de los Angeles</v>
      </c>
      <c r="C48" s="168">
        <v>1880224173</v>
      </c>
      <c r="D48" s="705" t="str">
        <f>+ECONACIONAL!C41</f>
        <v>Roman Morales Mirta de los Angeles</v>
      </c>
      <c r="E48" s="172" t="str">
        <f>VLOOKUP(B48,distribucion!G$8:FP$153,2,0)</f>
        <v>Operador de Monitoreo</v>
      </c>
      <c r="F48" s="128">
        <f>ROUND((VLOOKUP($B48,ECONACIONAL!$C$5:$AC$219,4,0)),2)</f>
        <v>30</v>
      </c>
      <c r="G48" s="128">
        <f>ROUND((VLOOKUP($B48,ECONACIONAL!$C$7:$AC$219,6,0)),2)</f>
        <v>4200</v>
      </c>
      <c r="H48" s="128">
        <f>ROUND((VLOOKUP($B48,ECONACIONAL!$C$7:$AC$219,7,0)),2)</f>
        <v>250</v>
      </c>
      <c r="I48" s="128">
        <f>ROUND((VLOOKUP($B48,ECONACIONAL!$C$7:$AC$219,9,0)),2)</f>
        <v>0</v>
      </c>
      <c r="J48" s="128">
        <f>ROUND((VLOOKUP($B48,ECONACIONAL!$C$7:$AC$219,10,0)),2)</f>
        <v>0</v>
      </c>
      <c r="K48" s="128">
        <f>ROUND((VLOOKUP($B48,ECONACIONAL!$C$7:$AC$219,11,0)),2)</f>
        <v>0</v>
      </c>
      <c r="L48" s="128">
        <f>ROUND((VLOOKUP($B48,ECONACIONAL!$C$7:$AC$219,12,0)),2)</f>
        <v>0</v>
      </c>
      <c r="M48" s="128">
        <f>ROUND((VLOOKUP($B48,ECONACIONAL!$C$7:$AC$219,14,0)),2)</f>
        <v>0</v>
      </c>
      <c r="N48" s="128">
        <f>ROUND((VLOOKUP($B48,ECONACIONAL!$C$7:$AC$219,15,0)),2)</f>
        <v>4450</v>
      </c>
      <c r="O48" s="128">
        <f>ROUND((VLOOKUP($B48,ECONACIONAL!$C$7:$AC$219,16,0)),2)</f>
        <v>202.86</v>
      </c>
      <c r="P48" s="128">
        <f>ROUND((VLOOKUP($B48,ECONACIONAL!$C$7:$AC$219,17,0)),2)</f>
        <v>0</v>
      </c>
      <c r="Q48" s="128">
        <f>ROUND((VLOOKUP($B48,ECONACIONAL!$C$7:$AC$219,18,0)),2)</f>
        <v>0</v>
      </c>
      <c r="R48" s="128">
        <f>ROUND((VLOOKUP($B48,ECONACIONAL!$C$7:$AC$219,19,0)),2)</f>
        <v>0</v>
      </c>
      <c r="S48" s="128">
        <f>ROUND((VLOOKUP($B48,ECONACIONAL!$C$7:$AC$219,20,0)),2)</f>
        <v>0</v>
      </c>
      <c r="T48" s="128">
        <f>ROUND((VLOOKUP($B48,ECONACIONAL!$C$7:$AC$219,21,0)),2)</f>
        <v>0</v>
      </c>
      <c r="U48" s="128">
        <f>ROUND((VLOOKUP($B48,ECONACIONAL!$C$7:$AC$219,22,0)),2)</f>
        <v>0</v>
      </c>
      <c r="V48" s="128">
        <f>ROUND((VLOOKUP($B48,ECONACIONAL!$C$7:$AC$219,23,0)),2)</f>
        <v>0</v>
      </c>
      <c r="W48" s="128">
        <f>ROUND((VLOOKUP($B48,ECONACIONAL!$C$7:$AC$219,24,0)),2)</f>
        <v>202.86</v>
      </c>
      <c r="X48" s="128">
        <f>ROUND((VLOOKUP($B48,ECONACIONAL!$C$7:$AC$219,25,0)),2)</f>
        <v>4247.1400000000003</v>
      </c>
      <c r="Y48" s="128">
        <f>ROUND((VLOOKUP($B48,ECONACIONAL!$C$7:$AC$219,26,0)),2)</f>
        <v>2123.5700000000002</v>
      </c>
      <c r="Z48" s="128">
        <f>ROUND((VLOOKUP($B48,ECONACIONAL!$C$7:$AC$219,27,0)),2)</f>
        <v>2123.5700000000002</v>
      </c>
      <c r="AA48" s="279"/>
      <c r="AB48" s="258">
        <v>3006725860101</v>
      </c>
      <c r="AC48" s="266" t="s">
        <v>52</v>
      </c>
    </row>
    <row r="49" spans="1:29">
      <c r="A49" s="1">
        <f t="shared" si="0"/>
        <v>44</v>
      </c>
      <c r="B49" s="951" t="str">
        <f>+ECONACIONAL!C11</f>
        <v>Choc Abrego  Enma Leticia</v>
      </c>
      <c r="C49" s="168">
        <v>6050079893</v>
      </c>
      <c r="D49" s="705" t="str">
        <f>+ECONACIONAL!C11</f>
        <v>Choc Abrego  Enma Leticia</v>
      </c>
      <c r="E49" s="172" t="str">
        <f>VLOOKUP(B49,distribucion!G$8:FP$153,2,0)</f>
        <v>Conserje</v>
      </c>
      <c r="F49" s="128">
        <f>ROUND((VLOOKUP($B49,ECONACIONAL!$C$5:$AC$219,4,0)),2)</f>
        <v>30</v>
      </c>
      <c r="G49" s="128">
        <f>ROUND((VLOOKUP($B49,ECONACIONAL!$C$7:$AC$219,6,0)),2)</f>
        <v>4002.28</v>
      </c>
      <c r="H49" s="128">
        <f>ROUND((VLOOKUP($B49,ECONACIONAL!$C$7:$AC$219,7,0)),2)</f>
        <v>250</v>
      </c>
      <c r="I49" s="128">
        <f>ROUND((VLOOKUP($B49,ECONACIONAL!$C$7:$AC$219,9,0)),2)</f>
        <v>0</v>
      </c>
      <c r="J49" s="128">
        <f>ROUND((VLOOKUP($B49,ECONACIONAL!$C$7:$AC$219,10,0)),2)</f>
        <v>0</v>
      </c>
      <c r="K49" s="128">
        <f>ROUND((VLOOKUP($B49,ECONACIONAL!$C$7:$AC$219,11,0)),2)</f>
        <v>0</v>
      </c>
      <c r="L49" s="128">
        <f>ROUND((VLOOKUP($B49,ECONACIONAL!$C$7:$AC$219,12,0)),2)</f>
        <v>0</v>
      </c>
      <c r="M49" s="128">
        <f>ROUND((VLOOKUP($B49,ECONACIONAL!$C$7:$AC$219,14,0)),2)</f>
        <v>0</v>
      </c>
      <c r="N49" s="128">
        <f>ROUND((VLOOKUP($B49,ECONACIONAL!$C$7:$AC$219,15,0)),2)</f>
        <v>4252.28</v>
      </c>
      <c r="O49" s="128">
        <f>ROUND((VLOOKUP($B49,ECONACIONAL!$C$7:$AC$219,16,0)),2)</f>
        <v>193.31</v>
      </c>
      <c r="P49" s="128">
        <f>ROUND((VLOOKUP($B49,ECONACIONAL!$C$7:$AC$219,17,0)),2)</f>
        <v>0</v>
      </c>
      <c r="Q49" s="128">
        <f>ROUND((VLOOKUP($B49,ECONACIONAL!$C$7:$AC$219,18,0)),2)</f>
        <v>0</v>
      </c>
      <c r="R49" s="128">
        <f>ROUND((VLOOKUP($B49,ECONACIONAL!$C$7:$AC$219,19,0)),2)</f>
        <v>0</v>
      </c>
      <c r="S49" s="128">
        <f>ROUND((VLOOKUP($B49,ECONACIONAL!$C$7:$AC$219,20,0)),2)</f>
        <v>0</v>
      </c>
      <c r="T49" s="128">
        <f>ROUND((VLOOKUP($B49,ECONACIONAL!$C$7:$AC$219,21,0)),2)</f>
        <v>0</v>
      </c>
      <c r="U49" s="128">
        <f>ROUND((VLOOKUP($B49,ECONACIONAL!$C$7:$AC$219,22,0)),2)</f>
        <v>0</v>
      </c>
      <c r="V49" s="128">
        <f>ROUND((VLOOKUP($B49,ECONACIONAL!$C$7:$AC$219,23,0)),2)</f>
        <v>0</v>
      </c>
      <c r="W49" s="128">
        <f>ROUND((VLOOKUP($B49,ECONACIONAL!$C$7:$AC$219,24,0)),2)</f>
        <v>193.31</v>
      </c>
      <c r="X49" s="128">
        <f>ROUND((VLOOKUP($B49,ECONACIONAL!$C$7:$AC$219,25,0)),2)</f>
        <v>4058.97</v>
      </c>
      <c r="Y49" s="128">
        <f>ROUND((VLOOKUP($B49,ECONACIONAL!$C$7:$AC$219,26,0)),2)</f>
        <v>2029.48</v>
      </c>
      <c r="Z49" s="128">
        <f>ROUND((VLOOKUP($B49,ECONACIONAL!$C$7:$AC$219,27,0)),2)</f>
        <v>2029.49</v>
      </c>
      <c r="AA49" s="279"/>
      <c r="AB49" s="258">
        <v>3006725860101</v>
      </c>
      <c r="AC49" s="266" t="s">
        <v>52</v>
      </c>
    </row>
    <row r="50" spans="1:29">
      <c r="A50" s="1">
        <f t="shared" si="0"/>
        <v>45</v>
      </c>
      <c r="B50" s="951" t="str">
        <f>+ECONACIONAL!C122</f>
        <v>Arguijo Melgar ClaudiaMaria</v>
      </c>
      <c r="C50" s="168">
        <v>140622712</v>
      </c>
      <c r="D50" s="705" t="str">
        <f>+ECONACIONAL!C122</f>
        <v>Arguijo Melgar ClaudiaMaria</v>
      </c>
      <c r="E50" s="172" t="str">
        <f>VLOOKUP(B50,distribucion!G$8:FP$153,2,0)</f>
        <v>Analista de Compras Internacionales</v>
      </c>
      <c r="F50" s="128">
        <f>ROUND((VLOOKUP($B50,ECONACIONAL!$C$5:$AC$219,4,0)),2)</f>
        <v>30</v>
      </c>
      <c r="G50" s="128">
        <f>ROUND((VLOOKUP($B50,ECONACIONAL!$C$7:$AC$219,6,0)),2)</f>
        <v>6500</v>
      </c>
      <c r="H50" s="128">
        <f>ROUND((VLOOKUP($B50,ECONACIONAL!$C$7:$AC$219,7,0)),2)</f>
        <v>3925</v>
      </c>
      <c r="I50" s="128">
        <f>ROUND((VLOOKUP($B50,ECONACIONAL!$C$7:$AC$219,9,0)),2)</f>
        <v>0</v>
      </c>
      <c r="J50" s="128">
        <f>ROUND((VLOOKUP($B50,ECONACIONAL!$C$7:$AC$219,10,0)),2)</f>
        <v>0</v>
      </c>
      <c r="K50" s="128">
        <f>ROUND((VLOOKUP($B50,ECONACIONAL!$C$7:$AC$219,11,0)),2)</f>
        <v>0</v>
      </c>
      <c r="L50" s="128">
        <f>ROUND((VLOOKUP($B50,ECONACIONAL!$C$7:$AC$219,12,0)),2)</f>
        <v>0</v>
      </c>
      <c r="M50" s="128">
        <f>ROUND((VLOOKUP($B50,ECONACIONAL!$C$7:$AC$219,14,0)),2)</f>
        <v>0</v>
      </c>
      <c r="N50" s="128">
        <f>ROUND((VLOOKUP($B50,ECONACIONAL!$C$7:$AC$219,15,0)),2)</f>
        <v>10425</v>
      </c>
      <c r="O50" s="128">
        <f>ROUND((VLOOKUP($B50,ECONACIONAL!$C$7:$AC$219,16,0)),2)</f>
        <v>313.95</v>
      </c>
      <c r="P50" s="128">
        <f>ROUND((VLOOKUP($B50,ECONACIONAL!$C$7:$AC$219,17,0)),2)</f>
        <v>175</v>
      </c>
      <c r="Q50" s="128">
        <f>ROUND((VLOOKUP($B50,ECONACIONAL!$C$7:$AC$219,18,0)),2)</f>
        <v>0</v>
      </c>
      <c r="R50" s="128">
        <f>ROUND((VLOOKUP($B50,ECONACIONAL!$C$7:$AC$219,19,0)),2)</f>
        <v>0</v>
      </c>
      <c r="S50" s="128">
        <f>ROUND((VLOOKUP($B50,ECONACIONAL!$C$7:$AC$219,20,0)),2)</f>
        <v>0</v>
      </c>
      <c r="T50" s="128">
        <f>ROUND((VLOOKUP($B50,ECONACIONAL!$C$7:$AC$219,21,0)),2)</f>
        <v>0</v>
      </c>
      <c r="U50" s="128">
        <f>ROUND((VLOOKUP($B50,ECONACIONAL!$C$7:$AC$219,22,0)),2)</f>
        <v>0</v>
      </c>
      <c r="V50" s="128">
        <f>ROUND((VLOOKUP($B50,ECONACIONAL!$C$7:$AC$219,23,0)),2)</f>
        <v>0</v>
      </c>
      <c r="W50" s="128">
        <f>ROUND((VLOOKUP($B50,ECONACIONAL!$C$7:$AC$219,24,0)),2)</f>
        <v>488.95</v>
      </c>
      <c r="X50" s="128">
        <f>ROUND((VLOOKUP($B50,ECONACIONAL!$C$7:$AC$219,25,0)),2)</f>
        <v>9936.0499999999993</v>
      </c>
      <c r="Y50" s="128">
        <f>ROUND((VLOOKUP($B50,ECONACIONAL!$C$7:$AC$219,26,0)),2)</f>
        <v>6430.52</v>
      </c>
      <c r="Z50" s="128">
        <f>ROUND((VLOOKUP($B50,ECONACIONAL!$C$7:$AC$219,27,0)),2)</f>
        <v>3505.53</v>
      </c>
      <c r="AA50" s="279"/>
      <c r="AB50" s="258">
        <v>3006725860101</v>
      </c>
      <c r="AC50" s="266" t="s">
        <v>52</v>
      </c>
    </row>
    <row r="51" spans="1:29">
      <c r="A51" s="1">
        <f t="shared" si="0"/>
        <v>46</v>
      </c>
      <c r="B51" s="951" t="str">
        <f>+ECONACIONAL!C52</f>
        <v>Sumale Pelen Elio Rene</v>
      </c>
      <c r="C51" s="168">
        <v>7870157398</v>
      </c>
      <c r="D51" s="705" t="str">
        <f>+ECONACIONAL!C52</f>
        <v>Sumale Pelen Elio Rene</v>
      </c>
      <c r="E51" s="172" t="str">
        <f>VLOOKUP(B51,distribucion!G$8:FP$153,2,0)</f>
        <v>Contador</v>
      </c>
      <c r="F51" s="128">
        <f>ROUND((VLOOKUP($B51,ECONACIONAL!$C$5:$AC$219,4,0)),2)</f>
        <v>30</v>
      </c>
      <c r="G51" s="128">
        <f>ROUND((VLOOKUP($B51,ECONACIONAL!$C$7:$AC$219,6,0)),2)</f>
        <v>5250</v>
      </c>
      <c r="H51" s="128">
        <f>ROUND((VLOOKUP($B51,ECONACIONAL!$C$7:$AC$219,7,0)),2)</f>
        <v>1750</v>
      </c>
      <c r="I51" s="128">
        <f>ROUND((VLOOKUP($B51,ECONACIONAL!$C$7:$AC$219,9,0)),2)</f>
        <v>0</v>
      </c>
      <c r="J51" s="128">
        <f>ROUND((VLOOKUP($B51,ECONACIONAL!$C$7:$AC$219,10,0)),2)</f>
        <v>0</v>
      </c>
      <c r="K51" s="128">
        <f>ROUND((VLOOKUP($B51,ECONACIONAL!$C$7:$AC$219,11,0)),2)</f>
        <v>0</v>
      </c>
      <c r="L51" s="128">
        <f>ROUND((VLOOKUP($B51,ECONACIONAL!$C$7:$AC$219,12,0)),2)</f>
        <v>0</v>
      </c>
      <c r="M51" s="128">
        <f>ROUND((VLOOKUP($B51,ECONACIONAL!$C$7:$AC$219,14,0)),2)</f>
        <v>0</v>
      </c>
      <c r="N51" s="128">
        <f>ROUND((VLOOKUP($B51,ECONACIONAL!$C$7:$AC$219,15,0)),2)</f>
        <v>7000</v>
      </c>
      <c r="O51" s="128">
        <f>ROUND((VLOOKUP($B51,ECONACIONAL!$C$7:$AC$219,16,0)),2)</f>
        <v>253.58</v>
      </c>
      <c r="P51" s="128">
        <f>ROUND((VLOOKUP($B51,ECONACIONAL!$C$7:$AC$219,17,0)),2)</f>
        <v>0</v>
      </c>
      <c r="Q51" s="128">
        <f>ROUND((VLOOKUP($B51,ECONACIONAL!$C$7:$AC$219,18,0)),2)</f>
        <v>0</v>
      </c>
      <c r="R51" s="128">
        <f>ROUND((VLOOKUP($B51,ECONACIONAL!$C$7:$AC$219,19,0)),2)</f>
        <v>0</v>
      </c>
      <c r="S51" s="128">
        <f>ROUND((VLOOKUP($B51,ECONACIONAL!$C$7:$AC$219,20,0)),2)</f>
        <v>0</v>
      </c>
      <c r="T51" s="128">
        <f>ROUND((VLOOKUP($B51,ECONACIONAL!$C$7:$AC$219,21,0)),2)</f>
        <v>0</v>
      </c>
      <c r="U51" s="128">
        <f>ROUND((VLOOKUP($B51,ECONACIONAL!$C$7:$AC$219,22,0)),2)</f>
        <v>0</v>
      </c>
      <c r="V51" s="128">
        <f>ROUND((VLOOKUP($B51,ECONACIONAL!$C$7:$AC$219,23,0)),2)</f>
        <v>0</v>
      </c>
      <c r="W51" s="128">
        <f>ROUND((VLOOKUP($B51,ECONACIONAL!$C$7:$AC$219,24,0)),2)</f>
        <v>253.58</v>
      </c>
      <c r="X51" s="128">
        <f>ROUND((VLOOKUP($B51,ECONACIONAL!$C$7:$AC$219,25,0)),2)</f>
        <v>6746.42</v>
      </c>
      <c r="Y51" s="128">
        <f>ROUND((VLOOKUP($B51,ECONACIONAL!$C$7:$AC$219,26,0)),2)</f>
        <v>3284.21</v>
      </c>
      <c r="Z51" s="128">
        <f>ROUND((VLOOKUP($B51,ECONACIONAL!$C$7:$AC$219,27,0)),2)</f>
        <v>3462.21</v>
      </c>
      <c r="AA51" s="279"/>
      <c r="AB51" s="258">
        <v>3006725860101</v>
      </c>
      <c r="AC51" s="266" t="s">
        <v>52</v>
      </c>
    </row>
    <row r="52" spans="1:29">
      <c r="A52" s="1">
        <f t="shared" si="0"/>
        <v>47</v>
      </c>
      <c r="B52" s="951" t="str">
        <f>+ECONACIONAL!C117</f>
        <v>Toledo Medrano Khrista Sarai</v>
      </c>
      <c r="C52" s="168">
        <v>1850074145</v>
      </c>
      <c r="D52" s="705" t="str">
        <f>+ECONACIONAL!C117</f>
        <v>Toledo Medrano Khrista Sarai</v>
      </c>
      <c r="E52" s="172" t="str">
        <f>VLOOKUP(B52,distribucion!G$8:FP$153,2,0)</f>
        <v>Analista de Compras Locales</v>
      </c>
      <c r="F52" s="128">
        <f>ROUND((VLOOKUP($B52,ECONACIONAL!$C$5:$AC$219,4,0)),2)</f>
        <v>30</v>
      </c>
      <c r="G52" s="128">
        <f>ROUND((VLOOKUP($B52,ECONACIONAL!$C$7:$AC$219,6,0)),2)</f>
        <v>6200</v>
      </c>
      <c r="H52" s="128">
        <f>ROUND((VLOOKUP($B52,ECONACIONAL!$C$7:$AC$219,7,0)),2)</f>
        <v>1300</v>
      </c>
      <c r="I52" s="128">
        <f>ROUND((VLOOKUP($B52,ECONACIONAL!$C$7:$AC$219,9,0)),2)</f>
        <v>0</v>
      </c>
      <c r="J52" s="128">
        <f>ROUND((VLOOKUP($B52,ECONACIONAL!$C$7:$AC$219,10,0)),2)</f>
        <v>0</v>
      </c>
      <c r="K52" s="128">
        <f>ROUND((VLOOKUP($B52,ECONACIONAL!$C$7:$AC$219,11,0)),2)</f>
        <v>0</v>
      </c>
      <c r="L52" s="128">
        <f>ROUND((VLOOKUP($B52,ECONACIONAL!$C$7:$AC$219,12,0)),2)</f>
        <v>0</v>
      </c>
      <c r="M52" s="128">
        <f>ROUND((VLOOKUP($B52,ECONACIONAL!$C$7:$AC$219,14,0)),2)</f>
        <v>0</v>
      </c>
      <c r="N52" s="128">
        <f>ROUND((VLOOKUP($B52,ECONACIONAL!$C$7:$AC$219,15,0)),2)</f>
        <v>7500</v>
      </c>
      <c r="O52" s="128">
        <f>ROUND((VLOOKUP($B52,ECONACIONAL!$C$7:$AC$219,16,0)),2)</f>
        <v>299.45999999999998</v>
      </c>
      <c r="P52" s="128">
        <f>ROUND((VLOOKUP($B52,ECONACIONAL!$C$7:$AC$219,17,0)),2)</f>
        <v>0</v>
      </c>
      <c r="Q52" s="128">
        <f>ROUND((VLOOKUP($B52,ECONACIONAL!$C$7:$AC$219,18,0)),2)</f>
        <v>0</v>
      </c>
      <c r="R52" s="128">
        <f>ROUND((VLOOKUP($B52,ECONACIONAL!$C$7:$AC$219,19,0)),2)</f>
        <v>0</v>
      </c>
      <c r="S52" s="128">
        <f>ROUND((VLOOKUP($B52,ECONACIONAL!$C$7:$AC$219,20,0)),2)</f>
        <v>0</v>
      </c>
      <c r="T52" s="128">
        <f>ROUND((VLOOKUP($B52,ECONACIONAL!$C$7:$AC$219,21,0)),2)</f>
        <v>0</v>
      </c>
      <c r="U52" s="128">
        <f>ROUND((VLOOKUP($B52,ECONACIONAL!$C$7:$AC$219,22,0)),2)</f>
        <v>0</v>
      </c>
      <c r="V52" s="128">
        <f>ROUND((VLOOKUP($B52,ECONACIONAL!$C$7:$AC$219,23,0)),2)</f>
        <v>0</v>
      </c>
      <c r="W52" s="128">
        <f>ROUND((VLOOKUP($B52,ECONACIONAL!$C$7:$AC$219,24,0)),2)</f>
        <v>299.45999999999998</v>
      </c>
      <c r="X52" s="128">
        <f>ROUND((VLOOKUP($B52,ECONACIONAL!$C$7:$AC$219,25,0)),2)</f>
        <v>7200.54</v>
      </c>
      <c r="Y52" s="128">
        <f>ROUND((VLOOKUP($B52,ECONACIONAL!$C$7:$AC$219,26,0)),2)</f>
        <v>3600.27</v>
      </c>
      <c r="Z52" s="128">
        <f>ROUND((VLOOKUP($B52,ECONACIONAL!$C$7:$AC$219,27,0)),2)</f>
        <v>3600.27</v>
      </c>
      <c r="AA52" s="279"/>
      <c r="AB52" s="258">
        <v>3006725860101</v>
      </c>
      <c r="AC52" s="266" t="s">
        <v>52</v>
      </c>
    </row>
    <row r="53" spans="1:29">
      <c r="A53" s="1">
        <f t="shared" si="0"/>
        <v>48</v>
      </c>
      <c r="B53" s="951" t="str">
        <f>+ECONACIONAL!C107</f>
        <v>Lopez Oxcal Kevin Jesus</v>
      </c>
      <c r="C53" s="168" t="s">
        <v>223</v>
      </c>
      <c r="D53" s="705" t="str">
        <f>+ECONACIONAL!C107</f>
        <v>Lopez Oxcal Kevin Jesus</v>
      </c>
      <c r="E53" s="172" t="str">
        <f>VLOOKUP(B53,distribucion!G$8:FP$153,2,0)</f>
        <v>Auxiliar de Bodega</v>
      </c>
      <c r="F53" s="128">
        <f>ROUND((VLOOKUP($B53,ECONACIONAL!$C$5:$AC$219,4,0)),2)</f>
        <v>30</v>
      </c>
      <c r="G53" s="128">
        <f>ROUND((VLOOKUP($B53,ECONACIONAL!$C$7:$AC$219,6,0)),2)</f>
        <v>4002.28</v>
      </c>
      <c r="H53" s="128">
        <f>ROUND((VLOOKUP($B53,ECONACIONAL!$C$7:$AC$219,7,0)),2)</f>
        <v>1130</v>
      </c>
      <c r="I53" s="128">
        <f>ROUND((VLOOKUP($B53,ECONACIONAL!$C$7:$AC$219,9,0)),2)</f>
        <v>46</v>
      </c>
      <c r="J53" s="128">
        <f>ROUND((VLOOKUP($B53,ECONACIONAL!$C$7:$AC$219,10,0)),2)</f>
        <v>1150.6600000000001</v>
      </c>
      <c r="K53" s="128">
        <f>ROUND((VLOOKUP($B53,ECONACIONAL!$C$7:$AC$219,11,0)),2)</f>
        <v>0</v>
      </c>
      <c r="L53" s="128">
        <f>ROUND((VLOOKUP($B53,ECONACIONAL!$C$7:$AC$219,12,0)),2)</f>
        <v>0</v>
      </c>
      <c r="M53" s="128">
        <f>ROUND((VLOOKUP($B53,ECONACIONAL!$C$7:$AC$219,14,0)),2)</f>
        <v>0</v>
      </c>
      <c r="N53" s="128">
        <f>ROUND((VLOOKUP($B53,ECONACIONAL!$C$7:$AC$219,15,0)),2)</f>
        <v>6282.94</v>
      </c>
      <c r="O53" s="128">
        <f>ROUND((VLOOKUP($B53,ECONACIONAL!$C$7:$AC$219,16,0)),2)</f>
        <v>248.89</v>
      </c>
      <c r="P53" s="128">
        <f>ROUND((VLOOKUP($B53,ECONACIONAL!$C$7:$AC$219,17,0)),2)</f>
        <v>0</v>
      </c>
      <c r="Q53" s="128">
        <f>ROUND((VLOOKUP($B53,ECONACIONAL!$C$7:$AC$219,18,0)),2)</f>
        <v>0</v>
      </c>
      <c r="R53" s="128">
        <f>ROUND((VLOOKUP($B53,ECONACIONAL!$C$7:$AC$219,19,0)),2)</f>
        <v>0</v>
      </c>
      <c r="S53" s="128">
        <f>ROUND((VLOOKUP($B53,ECONACIONAL!$C$7:$AC$219,20,0)),2)</f>
        <v>0</v>
      </c>
      <c r="T53" s="128">
        <f>ROUND((VLOOKUP($B53,ECONACIONAL!$C$7:$AC$219,21,0)),2)</f>
        <v>0</v>
      </c>
      <c r="U53" s="128">
        <f>ROUND((VLOOKUP($B53,ECONACIONAL!$C$7:$AC$219,22,0)),2)</f>
        <v>0</v>
      </c>
      <c r="V53" s="128">
        <f>ROUND((VLOOKUP($B53,ECONACIONAL!$C$7:$AC$219,23,0)),2)</f>
        <v>0</v>
      </c>
      <c r="W53" s="128">
        <f>ROUND((VLOOKUP($B53,ECONACIONAL!$C$7:$AC$219,24,0)),2)</f>
        <v>248.89</v>
      </c>
      <c r="X53" s="128">
        <f>ROUND((VLOOKUP($B53,ECONACIONAL!$C$7:$AC$219,25,0)),2)</f>
        <v>6034.05</v>
      </c>
      <c r="Y53" s="128">
        <f>ROUND((VLOOKUP($B53,ECONACIONAL!$C$7:$AC$219,26,0)),2)</f>
        <v>2029.48</v>
      </c>
      <c r="Z53" s="128">
        <f>ROUND((VLOOKUP($B53,ECONACIONAL!$C$7:$AC$219,27,0)),2)</f>
        <v>4004.57</v>
      </c>
      <c r="AA53" s="279"/>
      <c r="AB53" s="258">
        <v>3006725860101</v>
      </c>
      <c r="AC53" s="266" t="s">
        <v>52</v>
      </c>
    </row>
    <row r="54" spans="1:29">
      <c r="A54" s="1">
        <f t="shared" si="0"/>
        <v>49</v>
      </c>
      <c r="B54" s="951" t="str">
        <f>+ECONACIONAL!C142</f>
        <v>Salazar Santos Imideo Fibonacci</v>
      </c>
      <c r="C54" s="168" t="s">
        <v>223</v>
      </c>
      <c r="D54" s="705" t="str">
        <f>+ECONACIONAL!C142</f>
        <v>Salazar Santos Imideo Fibonacci</v>
      </c>
      <c r="E54" s="172" t="str">
        <f>VLOOKUP(B54,distribucion!G$8:FP$153,2,0)</f>
        <v>Tecnico en Mantenimiento</v>
      </c>
      <c r="F54" s="128">
        <f>ROUND((VLOOKUP($B54,ECONACIONAL!$C$5:$AC$219,4,0)),2)</f>
        <v>30</v>
      </c>
      <c r="G54" s="128">
        <f>ROUND((VLOOKUP($B54,ECONACIONAL!$C$7:$AC$219,6,0)),2)</f>
        <v>4200</v>
      </c>
      <c r="H54" s="128">
        <f>ROUND((VLOOKUP($B54,ECONACIONAL!$C$7:$AC$219,7,0)),2)</f>
        <v>933.33</v>
      </c>
      <c r="I54" s="128">
        <f>ROUND((VLOOKUP($B54,ECONACIONAL!$C$7:$AC$219,9,0)),2)</f>
        <v>0</v>
      </c>
      <c r="J54" s="128">
        <f>ROUND((VLOOKUP($B54,ECONACIONAL!$C$7:$AC$219,10,0)),2)</f>
        <v>0</v>
      </c>
      <c r="K54" s="128">
        <f>ROUND((VLOOKUP($B54,ECONACIONAL!$C$7:$AC$219,11,0)),2)</f>
        <v>0</v>
      </c>
      <c r="L54" s="128">
        <f>ROUND((VLOOKUP($B54,ECONACIONAL!$C$7:$AC$219,12,0)),2)</f>
        <v>0</v>
      </c>
      <c r="M54" s="128">
        <f>ROUND((VLOOKUP($B54,ECONACIONAL!$C$7:$AC$219,14,0)),2)</f>
        <v>700</v>
      </c>
      <c r="N54" s="128">
        <f>ROUND((VLOOKUP($B54,ECONACIONAL!$C$7:$AC$219,15,0)),2)</f>
        <v>5833.33</v>
      </c>
      <c r="O54" s="128">
        <f>ROUND((VLOOKUP($B54,ECONACIONAL!$C$7:$AC$219,16,0)),2)</f>
        <v>236.67</v>
      </c>
      <c r="P54" s="128">
        <f>ROUND((VLOOKUP($B54,ECONACIONAL!$C$7:$AC$219,17,0)),2)</f>
        <v>96</v>
      </c>
      <c r="Q54" s="128">
        <f>ROUND((VLOOKUP($B54,ECONACIONAL!$C$7:$AC$219,18,0)),2)</f>
        <v>0</v>
      </c>
      <c r="R54" s="128">
        <f>ROUND((VLOOKUP($B54,ECONACIONAL!$C$7:$AC$219,19,0)),2)</f>
        <v>0</v>
      </c>
      <c r="S54" s="128">
        <f>ROUND((VLOOKUP($B54,ECONACIONAL!$C$7:$AC$219,20,0)),2)</f>
        <v>0</v>
      </c>
      <c r="T54" s="128">
        <f>ROUND((VLOOKUP($B54,ECONACIONAL!$C$7:$AC$219,21,0)),2)</f>
        <v>0</v>
      </c>
      <c r="U54" s="128">
        <f>ROUND((VLOOKUP($B54,ECONACIONAL!$C$7:$AC$219,22,0)),2)</f>
        <v>0</v>
      </c>
      <c r="V54" s="128">
        <f>ROUND((VLOOKUP($B54,ECONACIONAL!$C$7:$AC$219,23,0)),2)</f>
        <v>0</v>
      </c>
      <c r="W54" s="128">
        <f>ROUND((VLOOKUP($B54,ECONACIONAL!$C$7:$AC$219,24,0)),2)</f>
        <v>332.67</v>
      </c>
      <c r="X54" s="128">
        <f>ROUND((VLOOKUP($B54,ECONACIONAL!$C$7:$AC$219,25,0)),2)</f>
        <v>5500.66</v>
      </c>
      <c r="Y54" s="128">
        <f>ROUND((VLOOKUP($B54,ECONACIONAL!$C$7:$AC$219,26,0)),2)</f>
        <v>3105.09</v>
      </c>
      <c r="Z54" s="128">
        <f>ROUND((VLOOKUP($B54,ECONACIONAL!$C$7:$AC$219,27,0)),2)</f>
        <v>2395.5700000000002</v>
      </c>
      <c r="AA54" s="279"/>
      <c r="AB54" s="258">
        <v>3006725860101</v>
      </c>
      <c r="AC54" s="266" t="s">
        <v>52</v>
      </c>
    </row>
    <row r="55" spans="1:29">
      <c r="A55" s="1">
        <f t="shared" ref="A55:A56" si="1">+A54+1</f>
        <v>50</v>
      </c>
      <c r="B55" s="951" t="str">
        <f>+ECONACIONAL!C152</f>
        <v>Orellana Higueros Hugo Alejandro</v>
      </c>
      <c r="C55" s="168" t="s">
        <v>223</v>
      </c>
      <c r="D55" s="705" t="str">
        <f>+ECONACIONAL!C152</f>
        <v>Orellana Higueros Hugo Alejandro</v>
      </c>
      <c r="E55" s="172" t="str">
        <f>VLOOKUP(B55,distribucion!G$8:FP$153,2,0)</f>
        <v>Gerente de Operaciones</v>
      </c>
      <c r="F55" s="128">
        <f>ROUND((VLOOKUP($B55,ECONACIONAL!$C$5:$AC$219,4,0)),2)</f>
        <v>9</v>
      </c>
      <c r="G55" s="128">
        <f>ROUND((VLOOKUP($B55,ECONACIONAL!$C$7:$AC$219,6,0)),2)</f>
        <v>5850</v>
      </c>
      <c r="H55" s="128">
        <f>ROUND((VLOOKUP($B55,ECONACIONAL!$C$7:$AC$219,7,0)),2)</f>
        <v>1650</v>
      </c>
      <c r="I55" s="128">
        <f>ROUND((VLOOKUP($B55,ECONACIONAL!$C$7:$AC$219,9,0)),2)</f>
        <v>0</v>
      </c>
      <c r="J55" s="128">
        <f>ROUND((VLOOKUP($B55,ECONACIONAL!$C$7:$AC$219,10,0)),2)</f>
        <v>0</v>
      </c>
      <c r="K55" s="128">
        <f>ROUND((VLOOKUP($B55,ECONACIONAL!$C$7:$AC$219,11,0)),2)</f>
        <v>0</v>
      </c>
      <c r="L55" s="128">
        <f>ROUND((VLOOKUP($B55,ECONACIONAL!$C$7:$AC$219,12,0)),2)</f>
        <v>0</v>
      </c>
      <c r="M55" s="128">
        <f>ROUND((VLOOKUP($B55,ECONACIONAL!$C$7:$AC$219,14,0)),2)</f>
        <v>0</v>
      </c>
      <c r="N55" s="128">
        <f>ROUND((VLOOKUP($B55,ECONACIONAL!$C$7:$AC$219,15,0)),2)</f>
        <v>7500</v>
      </c>
      <c r="O55" s="128">
        <f>ROUND((VLOOKUP($B55,ECONACIONAL!$C$7:$AC$219,16,0)),2)</f>
        <v>282.56</v>
      </c>
      <c r="P55" s="128">
        <f>ROUND((VLOOKUP($B55,ECONACIONAL!$C$7:$AC$219,17,0)),2)</f>
        <v>369.88</v>
      </c>
      <c r="Q55" s="128">
        <f>ROUND((VLOOKUP($B55,ECONACIONAL!$C$7:$AC$219,18,0)),2)</f>
        <v>0</v>
      </c>
      <c r="R55" s="128">
        <f>ROUND((VLOOKUP($B55,ECONACIONAL!$C$7:$AC$219,19,0)),2)</f>
        <v>0</v>
      </c>
      <c r="S55" s="128">
        <f>ROUND((VLOOKUP($B55,ECONACIONAL!$C$7:$AC$219,20,0)),2)</f>
        <v>0</v>
      </c>
      <c r="T55" s="128">
        <f>ROUND((VLOOKUP($B55,ECONACIONAL!$C$7:$AC$219,21,0)),2)</f>
        <v>0</v>
      </c>
      <c r="U55" s="128">
        <f>ROUND((VLOOKUP($B55,ECONACIONAL!$C$7:$AC$219,22,0)),2)</f>
        <v>0</v>
      </c>
      <c r="V55" s="128">
        <f>ROUND((VLOOKUP($B55,ECONACIONAL!$C$7:$AC$219,23,0)),2)</f>
        <v>0</v>
      </c>
      <c r="W55" s="128">
        <f>ROUND((VLOOKUP($B55,ECONACIONAL!$C$7:$AC$219,24,0)),2)</f>
        <v>652.44000000000005</v>
      </c>
      <c r="X55" s="128">
        <f>ROUND((VLOOKUP($B55,ECONACIONAL!$C$7:$AC$219,25,0)),2)</f>
        <v>6847.56</v>
      </c>
      <c r="Y55" s="128">
        <f>ROUND((VLOOKUP($B55,ECONACIONAL!$C$7:$AC$219,26,0)),2)</f>
        <v>0</v>
      </c>
      <c r="Z55" s="128">
        <f>ROUND((VLOOKUP($B55,ECONACIONAL!$C$7:$AC$219,27,0)),2)</f>
        <v>6847.56</v>
      </c>
      <c r="AA55" s="279"/>
      <c r="AB55" s="258">
        <v>3006725860101</v>
      </c>
      <c r="AC55" s="266" t="s">
        <v>52</v>
      </c>
    </row>
    <row r="56" spans="1:29">
      <c r="A56" s="1">
        <f t="shared" si="1"/>
        <v>51</v>
      </c>
      <c r="B56" s="951" t="str">
        <f>+ECONACIONAL!C20</f>
        <v>Julaj Ixcotoyac Angel Estuardo</v>
      </c>
      <c r="C56" s="168" t="s">
        <v>223</v>
      </c>
      <c r="D56" s="705" t="str">
        <f>+ECONACIONAL!C20</f>
        <v>Julaj Ixcotoyac Angel Estuardo</v>
      </c>
      <c r="E56" s="172" t="str">
        <f>VLOOKUP(B56,distribucion!G$8:FP$153,2,0)</f>
        <v>Mensajero</v>
      </c>
      <c r="F56" s="128">
        <f>ROUND((VLOOKUP($B56,ECONACIONAL!$C$5:$AC$219,4,0)),2)</f>
        <v>9</v>
      </c>
      <c r="G56" s="128">
        <f>ROUND((VLOOKUP($B56,ECONACIONAL!$C$7:$AC$219,6,0)),2)</f>
        <v>1200.68</v>
      </c>
      <c r="H56" s="128">
        <f>ROUND((VLOOKUP($B56,ECONACIONAL!$C$7:$AC$219,7,0)),2)</f>
        <v>111</v>
      </c>
      <c r="I56" s="128">
        <f>ROUND((VLOOKUP($B56,ECONACIONAL!$C$7:$AC$219,9,0)),2)</f>
        <v>0</v>
      </c>
      <c r="J56" s="128">
        <f>ROUND((VLOOKUP($B56,ECONACIONAL!$C$7:$AC$219,10,0)),2)</f>
        <v>0</v>
      </c>
      <c r="K56" s="128">
        <f>ROUND((VLOOKUP($B56,ECONACIONAL!$C$7:$AC$219,11,0)),2)</f>
        <v>0</v>
      </c>
      <c r="L56" s="128">
        <f>ROUND((VLOOKUP($B56,ECONACIONAL!$C$7:$AC$219,12,0)),2)</f>
        <v>0</v>
      </c>
      <c r="M56" s="128">
        <f>ROUND((VLOOKUP($B56,ECONACIONAL!$C$7:$AC$219,14,0)),2)</f>
        <v>0</v>
      </c>
      <c r="N56" s="128">
        <f>ROUND((VLOOKUP($B56,ECONACIONAL!$C$7:$AC$219,15,0)),2)</f>
        <v>1311.68</v>
      </c>
      <c r="O56" s="128">
        <f>ROUND((VLOOKUP($B56,ECONACIONAL!$C$7:$AC$219,16,0)),2)</f>
        <v>57.99</v>
      </c>
      <c r="P56" s="128">
        <f>ROUND((VLOOKUP($B56,ECONACIONAL!$C$7:$AC$219,17,0)),2)</f>
        <v>0</v>
      </c>
      <c r="Q56" s="128">
        <f>ROUND((VLOOKUP($B56,ECONACIONAL!$C$7:$AC$219,18,0)),2)</f>
        <v>0</v>
      </c>
      <c r="R56" s="128">
        <f>ROUND((VLOOKUP($B56,ECONACIONAL!$C$7:$AC$219,19,0)),2)</f>
        <v>0</v>
      </c>
      <c r="S56" s="128">
        <f>ROUND((VLOOKUP($B56,ECONACIONAL!$C$7:$AC$219,20,0)),2)</f>
        <v>0</v>
      </c>
      <c r="T56" s="128">
        <f>ROUND((VLOOKUP($B56,ECONACIONAL!$C$7:$AC$219,21,0)),2)</f>
        <v>0</v>
      </c>
      <c r="U56" s="128">
        <f>ROUND((VLOOKUP($B56,ECONACIONAL!$C$7:$AC$219,22,0)),2)</f>
        <v>0</v>
      </c>
      <c r="V56" s="128">
        <f>ROUND((VLOOKUP($B56,ECONACIONAL!$C$7:$AC$219,23,0)),2)</f>
        <v>0</v>
      </c>
      <c r="W56" s="128">
        <f>ROUND((VLOOKUP($B56,ECONACIONAL!$C$7:$AC$219,24,0)),2)</f>
        <v>57.99</v>
      </c>
      <c r="X56" s="128">
        <f>ROUND((VLOOKUP($B56,ECONACIONAL!$C$7:$AC$219,25,0)),2)</f>
        <v>1253.69</v>
      </c>
      <c r="Y56" s="128">
        <f>ROUND((VLOOKUP($B56,ECONACIONAL!$C$7:$AC$219,26,0)),2)</f>
        <v>0</v>
      </c>
      <c r="Z56" s="128">
        <f>ROUND((VLOOKUP($B56,ECONACIONAL!$C$7:$AC$219,27,0)),2)</f>
        <v>1253.69</v>
      </c>
      <c r="AA56" s="279"/>
      <c r="AB56" s="258">
        <v>3006725860101</v>
      </c>
      <c r="AC56" s="266" t="s">
        <v>52</v>
      </c>
    </row>
  </sheetData>
  <sheetProtection selectLockedCells="1" selectUnlockedCells="1"/>
  <autoFilter ref="A5:XER18" xr:uid="{00000000-0009-0000-0000-000005000000}"/>
  <conditionalFormatting sqref="A57:B1048576 A4:B5 A6:A56">
    <cfRule type="duplicateValues" dxfId="31" priority="936"/>
  </conditionalFormatting>
  <conditionalFormatting sqref="B6:B18">
    <cfRule type="duplicateValues" dxfId="30" priority="17009"/>
    <cfRule type="duplicateValues" dxfId="29" priority="17010"/>
  </conditionalFormatting>
  <conditionalFormatting sqref="B19">
    <cfRule type="duplicateValues" dxfId="28" priority="163"/>
  </conditionalFormatting>
  <conditionalFormatting sqref="B20">
    <cfRule type="duplicateValues" dxfId="27" priority="134"/>
  </conditionalFormatting>
  <conditionalFormatting sqref="B21">
    <cfRule type="duplicateValues" dxfId="26" priority="115"/>
  </conditionalFormatting>
  <conditionalFormatting sqref="B22">
    <cfRule type="duplicateValues" dxfId="25" priority="112"/>
  </conditionalFormatting>
  <conditionalFormatting sqref="B23">
    <cfRule type="duplicateValues" dxfId="24" priority="49"/>
  </conditionalFormatting>
  <conditionalFormatting sqref="B24">
    <cfRule type="duplicateValues" dxfId="23" priority="16664"/>
  </conditionalFormatting>
  <conditionalFormatting sqref="B25:B56">
    <cfRule type="duplicateValues" dxfId="22" priority="17020"/>
  </conditionalFormatting>
  <conditionalFormatting sqref="B57:B1048576 B4:B5">
    <cfRule type="duplicateValues" dxfId="21" priority="254"/>
    <cfRule type="duplicateValues" dxfId="20" priority="1012"/>
  </conditionalFormatting>
  <conditionalFormatting sqref="B57:B1048576">
    <cfRule type="duplicateValues" dxfId="19" priority="235"/>
  </conditionalFormatting>
  <conditionalFormatting sqref="D6:D18">
    <cfRule type="duplicateValues" dxfId="18" priority="17015"/>
    <cfRule type="duplicateValues" dxfId="17" priority="17016"/>
  </conditionalFormatting>
  <conditionalFormatting sqref="D19">
    <cfRule type="duplicateValues" dxfId="16" priority="164"/>
  </conditionalFormatting>
  <conditionalFormatting sqref="D20">
    <cfRule type="duplicateValues" dxfId="15" priority="135"/>
  </conditionalFormatting>
  <conditionalFormatting sqref="D21">
    <cfRule type="duplicateValues" dxfId="14" priority="116"/>
  </conditionalFormatting>
  <conditionalFormatting sqref="D22">
    <cfRule type="duplicateValues" dxfId="13" priority="113"/>
  </conditionalFormatting>
  <conditionalFormatting sqref="D23">
    <cfRule type="duplicateValues" dxfId="12" priority="50"/>
  </conditionalFormatting>
  <conditionalFormatting sqref="D24">
    <cfRule type="duplicateValues" dxfId="11" priority="16667"/>
  </conditionalFormatting>
  <conditionalFormatting sqref="D25:D56">
    <cfRule type="duplicateValues" dxfId="10" priority="17024"/>
  </conditionalFormatting>
  <pageMargins left="0.7" right="0.7" top="0.75" bottom="0.75" header="0.51180555555555551" footer="0.51180555555555551"/>
  <pageSetup firstPageNumber="0"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AC73"/>
  <sheetViews>
    <sheetView showGridLines="0" workbookViewId="0">
      <pane xSplit="6" ySplit="6" topLeftCell="G7" activePane="bottomRight" state="frozen"/>
      <selection pane="topRight" activeCell="W1" sqref="W1"/>
      <selection pane="bottomLeft" activeCell="A19" sqref="A19"/>
      <selection pane="bottomRight" activeCell="B19" sqref="B19"/>
    </sheetView>
  </sheetViews>
  <sheetFormatPr baseColWidth="10" defaultColWidth="11.42578125" defaultRowHeight="11.25"/>
  <cols>
    <col min="1" max="1" width="7" style="3" customWidth="1"/>
    <col min="2" max="2" width="28.7109375" style="3" customWidth="1"/>
    <col min="3" max="3" width="13.140625" style="3" customWidth="1"/>
    <col min="4" max="4" width="11.42578125" style="3" customWidth="1"/>
    <col min="5" max="5" width="7.5703125" style="3" customWidth="1"/>
    <col min="6" max="6" width="14.5703125" style="12" customWidth="1"/>
    <col min="7" max="7" width="14.140625" style="13" customWidth="1"/>
    <col min="8" max="8" width="15.28515625" style="13" customWidth="1"/>
    <col min="9" max="9" width="11.140625" style="13" customWidth="1"/>
    <col min="10" max="13" width="9" style="13" customWidth="1"/>
    <col min="14" max="16" width="10.5703125" style="13" customWidth="1"/>
    <col min="17" max="17" width="8.7109375" style="13" customWidth="1"/>
    <col min="18" max="18" width="9.42578125" style="13" customWidth="1"/>
    <col min="19" max="22" width="11.42578125" style="13" customWidth="1"/>
    <col min="23" max="23" width="12.5703125" style="13" customWidth="1"/>
    <col min="24" max="24" width="12" style="13" customWidth="1"/>
    <col min="25" max="25" width="12.140625" style="13" customWidth="1"/>
    <col min="26" max="27" width="13.28515625" style="13" customWidth="1"/>
    <col min="28" max="28" width="12.140625" style="14" hidden="1" customWidth="1"/>
    <col min="29" max="29" width="10" style="3" hidden="1" customWidth="1"/>
    <col min="30" max="16384" width="11.42578125" style="3"/>
  </cols>
  <sheetData>
    <row r="1" spans="1:29">
      <c r="B1" s="3">
        <v>1</v>
      </c>
      <c r="C1" s="3">
        <v>2</v>
      </c>
      <c r="D1" s="3">
        <v>3</v>
      </c>
      <c r="E1" s="3">
        <v>4</v>
      </c>
      <c r="F1" s="3">
        <v>5</v>
      </c>
      <c r="G1" s="14">
        <v>6</v>
      </c>
      <c r="H1" s="14">
        <v>7</v>
      </c>
      <c r="I1" s="14">
        <v>8</v>
      </c>
      <c r="J1" s="14">
        <v>9</v>
      </c>
      <c r="K1" s="14">
        <v>10</v>
      </c>
      <c r="L1" s="14">
        <v>11</v>
      </c>
      <c r="M1" s="14">
        <v>12</v>
      </c>
      <c r="N1" s="14">
        <v>13</v>
      </c>
      <c r="O1" s="14">
        <v>14</v>
      </c>
      <c r="P1" s="14">
        <v>15</v>
      </c>
      <c r="Q1" s="14">
        <v>16</v>
      </c>
      <c r="R1" s="14">
        <v>17</v>
      </c>
      <c r="S1" s="14">
        <v>18</v>
      </c>
      <c r="T1" s="14">
        <v>19</v>
      </c>
      <c r="U1" s="14">
        <v>20</v>
      </c>
      <c r="V1" s="14">
        <v>21</v>
      </c>
      <c r="W1" s="14">
        <v>22</v>
      </c>
      <c r="X1" s="14">
        <v>23</v>
      </c>
      <c r="Y1" s="14">
        <v>24</v>
      </c>
      <c r="Z1" s="14">
        <v>25</v>
      </c>
      <c r="AA1" s="14">
        <v>26</v>
      </c>
      <c r="AB1" s="14">
        <v>27</v>
      </c>
    </row>
    <row r="2" spans="1:29" ht="15.75">
      <c r="A2" s="5" t="s">
        <v>289</v>
      </c>
      <c r="C2" s="5"/>
      <c r="F2" s="3"/>
      <c r="G2" s="64"/>
      <c r="H2" s="64"/>
      <c r="I2" s="64"/>
      <c r="J2" s="64"/>
      <c r="K2" s="64"/>
      <c r="L2" s="64"/>
      <c r="M2" s="64"/>
      <c r="N2" s="64"/>
      <c r="O2" s="64"/>
      <c r="P2" s="64"/>
      <c r="Q2" s="64"/>
      <c r="R2" s="64"/>
      <c r="S2" s="64"/>
      <c r="T2" s="64"/>
      <c r="U2" s="64"/>
      <c r="V2" s="64"/>
      <c r="W2" s="64"/>
      <c r="X2" s="64"/>
      <c r="Y2" s="64"/>
      <c r="Z2" s="64"/>
      <c r="AA2" s="64"/>
    </row>
    <row r="3" spans="1:29" ht="15.75">
      <c r="A3" s="6" t="str">
        <f>+distribucion!G3</f>
        <v>NOMINA ECONACIONAL, S. A.</v>
      </c>
      <c r="C3" s="5"/>
      <c r="F3" s="3"/>
      <c r="G3" s="64"/>
      <c r="H3" s="64"/>
      <c r="I3" s="64"/>
      <c r="J3" s="64"/>
      <c r="K3" s="64"/>
      <c r="L3" s="64"/>
      <c r="M3" s="64"/>
      <c r="N3" s="64"/>
      <c r="O3" s="64"/>
      <c r="P3" s="64"/>
      <c r="Q3" s="64"/>
      <c r="R3" s="64"/>
      <c r="S3" s="64"/>
      <c r="T3" s="64"/>
      <c r="U3" s="64"/>
      <c r="V3" s="64"/>
      <c r="W3" s="64"/>
      <c r="X3" s="64"/>
      <c r="Y3" s="64"/>
      <c r="Z3" s="64"/>
      <c r="AA3" s="64"/>
    </row>
    <row r="4" spans="1:29" s="7" customFormat="1" ht="15" customHeight="1">
      <c r="A4" s="1375" t="s">
        <v>173</v>
      </c>
      <c r="B4" s="1376" t="s">
        <v>35</v>
      </c>
      <c r="C4" s="1377" t="s">
        <v>36</v>
      </c>
      <c r="D4" s="1378" t="s">
        <v>174</v>
      </c>
      <c r="E4" s="1379" t="s">
        <v>175</v>
      </c>
      <c r="F4" s="1374" t="s">
        <v>176</v>
      </c>
      <c r="G4" s="1381" t="s">
        <v>177</v>
      </c>
      <c r="H4" s="1382" t="s">
        <v>178</v>
      </c>
      <c r="I4" s="1382" t="s">
        <v>179</v>
      </c>
      <c r="J4" s="1382" t="s">
        <v>180</v>
      </c>
      <c r="K4" s="1382" t="s">
        <v>181</v>
      </c>
      <c r="L4" s="1382" t="s">
        <v>182</v>
      </c>
      <c r="M4" s="1382" t="s">
        <v>183</v>
      </c>
      <c r="N4" s="1383" t="s">
        <v>355</v>
      </c>
      <c r="O4" s="1383" t="s">
        <v>185</v>
      </c>
      <c r="P4" s="1383" t="s">
        <v>186</v>
      </c>
      <c r="Q4" s="1383" t="s">
        <v>29</v>
      </c>
      <c r="R4" s="1380" t="s">
        <v>389</v>
      </c>
      <c r="S4" s="1383" t="s">
        <v>187</v>
      </c>
      <c r="T4" s="1383" t="s">
        <v>33</v>
      </c>
      <c r="U4" s="1383" t="s">
        <v>32</v>
      </c>
      <c r="V4" s="1383" t="s">
        <v>31</v>
      </c>
      <c r="W4" s="1383" t="s">
        <v>188</v>
      </c>
      <c r="X4" s="1383" t="s">
        <v>189</v>
      </c>
      <c r="Y4" s="1382" t="s">
        <v>190</v>
      </c>
      <c r="Z4" s="1382" t="s">
        <v>191</v>
      </c>
      <c r="AA4" s="1382" t="s">
        <v>192</v>
      </c>
      <c r="AB4" s="65"/>
    </row>
    <row r="5" spans="1:29">
      <c r="A5" s="1375"/>
      <c r="B5" s="1376"/>
      <c r="C5" s="1376"/>
      <c r="D5" s="1378"/>
      <c r="E5" s="1379"/>
      <c r="F5" s="1374"/>
      <c r="G5" s="1381"/>
      <c r="H5" s="1382"/>
      <c r="I5" s="1382"/>
      <c r="J5" s="1382"/>
      <c r="K5" s="1382"/>
      <c r="L5" s="1382"/>
      <c r="M5" s="1382"/>
      <c r="N5" s="1383"/>
      <c r="O5" s="1383"/>
      <c r="P5" s="1383"/>
      <c r="Q5" s="1383"/>
      <c r="R5" s="1380"/>
      <c r="S5" s="1383"/>
      <c r="T5" s="1383"/>
      <c r="U5" s="1383"/>
      <c r="V5" s="1383"/>
      <c r="W5" s="1383"/>
      <c r="X5" s="1383"/>
      <c r="Y5" s="1382"/>
      <c r="Z5" s="1382"/>
      <c r="AA5" s="1382"/>
    </row>
    <row r="6" spans="1:29">
      <c r="A6" s="1375"/>
      <c r="B6" s="1376"/>
      <c r="C6" s="1377"/>
      <c r="D6" s="1378"/>
      <c r="E6" s="1379"/>
      <c r="F6" s="1374"/>
      <c r="G6" s="1381"/>
      <c r="H6" s="1382"/>
      <c r="I6" s="1382"/>
      <c r="J6" s="1382"/>
      <c r="K6" s="1382"/>
      <c r="L6" s="1382"/>
      <c r="M6" s="1382"/>
      <c r="N6" s="1383"/>
      <c r="O6" s="1383"/>
      <c r="P6" s="1383"/>
      <c r="Q6" s="1383"/>
      <c r="R6" s="1380"/>
      <c r="S6" s="1383"/>
      <c r="T6" s="1383"/>
      <c r="U6" s="1383"/>
      <c r="V6" s="1383"/>
      <c r="W6" s="1383"/>
      <c r="X6" s="1383"/>
      <c r="Y6" s="1382"/>
      <c r="Z6" s="1382"/>
      <c r="AA6" s="1382"/>
    </row>
    <row r="7" spans="1:29" ht="12.75">
      <c r="A7" s="8"/>
      <c r="B7" s="66" t="s">
        <v>51</v>
      </c>
      <c r="C7" s="8"/>
      <c r="D7" s="50"/>
      <c r="E7" s="50"/>
      <c r="G7" s="67"/>
      <c r="H7" s="67"/>
      <c r="I7" s="67"/>
      <c r="J7" s="67"/>
      <c r="K7" s="67"/>
      <c r="L7" s="67"/>
      <c r="M7" s="67"/>
      <c r="N7" s="68"/>
      <c r="O7" s="68"/>
      <c r="P7" s="68"/>
      <c r="Q7" s="68"/>
      <c r="R7" s="68"/>
      <c r="S7" s="68"/>
      <c r="T7" s="68"/>
      <c r="U7" s="68"/>
      <c r="V7" s="68"/>
      <c r="W7" s="68"/>
      <c r="X7" s="68"/>
      <c r="Y7" s="67"/>
      <c r="Z7" s="67"/>
      <c r="AA7" s="67"/>
    </row>
    <row r="8" spans="1:29" ht="12.75">
      <c r="A8" s="8"/>
      <c r="B8" s="10" t="s">
        <v>53</v>
      </c>
      <c r="C8" s="8"/>
      <c r="D8" s="50"/>
      <c r="E8" s="50"/>
      <c r="G8" s="67"/>
      <c r="H8" s="67"/>
      <c r="I8" s="67"/>
      <c r="J8" s="67"/>
      <c r="K8" s="67"/>
      <c r="L8" s="67"/>
      <c r="M8" s="67"/>
      <c r="N8" s="68"/>
      <c r="O8" s="68"/>
      <c r="P8" s="68"/>
      <c r="Q8" s="68"/>
      <c r="R8" s="68"/>
      <c r="S8" s="68"/>
      <c r="T8" s="68"/>
      <c r="U8" s="68"/>
      <c r="V8" s="68"/>
      <c r="W8" s="68"/>
      <c r="X8" s="68"/>
      <c r="Y8" s="67"/>
      <c r="Z8" s="67"/>
      <c r="AA8" s="67"/>
      <c r="AC8" s="103">
        <f>Y8-Z8-AA8</f>
        <v>0</v>
      </c>
    </row>
    <row r="9" spans="1:29" s="110" customFormat="1">
      <c r="A9" s="126">
        <v>1</v>
      </c>
      <c r="B9" s="110">
        <v>0</v>
      </c>
      <c r="C9" s="111" t="e">
        <f>VLOOKUP(B9,distribucion!G$8:FP$153,2,0)</f>
        <v>#N/A</v>
      </c>
      <c r="D9" s="111" t="e">
        <f>G9+K9+M9</f>
        <v>#N/A</v>
      </c>
      <c r="E9" s="113" t="e">
        <f>VLOOKUP(B9,distribucion!G$8:FP$153,7,0)</f>
        <v>#N/A</v>
      </c>
      <c r="F9" s="112" t="e">
        <f>VLOOKUP(B9,distribucion!$G$8:$DV$153,14,0)</f>
        <v>#N/A</v>
      </c>
      <c r="G9" s="127" t="e">
        <f>ROUND((VLOOKUP(B9,distribucion!G$8:FP$153,121,0)),2)</f>
        <v>#N/A</v>
      </c>
      <c r="H9" s="127" t="e">
        <f>ROUND((VLOOKUP(B9,distribucion!G$8:FP$153,122,0)),2)</f>
        <v>#N/A</v>
      </c>
      <c r="I9" s="108" t="e">
        <f>G9+H9</f>
        <v>#N/A</v>
      </c>
      <c r="J9" s="108" t="e">
        <f>VLOOKUP(B9,distribucion!G$8:FP$153,123,0)</f>
        <v>#N/A</v>
      </c>
      <c r="K9" s="108" t="e">
        <f>ROUND((VLOOKUP(B9,distribucion!G$8:FP$153,124,0)),2)</f>
        <v>#N/A</v>
      </c>
      <c r="L9" s="108" t="e">
        <f>VLOOKUP(B9,distribucion!G$8:FP$153,125,0)</f>
        <v>#N/A</v>
      </c>
      <c r="M9" s="108" t="e">
        <f>ROUND((VLOOKUP(B9,distribucion!G$8:FP$153,126,0)),2)</f>
        <v>#N/A</v>
      </c>
      <c r="N9" s="108" t="e">
        <f>ROUND((VLOOKUP(B9,distribucion!G$8:FP$153,127,0)),2)</f>
        <v>#N/A</v>
      </c>
      <c r="O9" s="108" t="e">
        <f>SUM(I9:N9)-J9-L9</f>
        <v>#N/A</v>
      </c>
      <c r="P9" s="108">
        <v>0</v>
      </c>
      <c r="Q9" s="108" t="e">
        <f>ROUND((VLOOKUP(B9,distribucion!G$8:FP$153,148,0)),2)</f>
        <v>#N/A</v>
      </c>
      <c r="R9" s="108" t="e">
        <f>ROUND((VLOOKUP(B9,distribucion!G$8:FP$153,149,0)),2)</f>
        <v>#N/A</v>
      </c>
      <c r="S9" s="108">
        <v>0</v>
      </c>
      <c r="T9" s="108" t="e">
        <f>ROUND((VLOOKUP(B9,distribucion!G1:FJ153,153,0)),2)</f>
        <v>#N/A</v>
      </c>
      <c r="U9" s="108" t="e">
        <f>ROUND((VLOOKUP(B9,distribucion!G1:FJ153,152,0)),2)</f>
        <v>#N/A</v>
      </c>
      <c r="V9" s="108" t="e">
        <f>ROUND((VLOOKUP(B9,distribucion!G1:FJ153,151,0)),2)</f>
        <v>#N/A</v>
      </c>
      <c r="W9" s="108" t="e">
        <f>ROUND((VLOOKUP(B9,distribucion!G$8:FP$153,154,0)),2)</f>
        <v>#N/A</v>
      </c>
      <c r="X9" s="108" t="e">
        <f>SUM(P9:W9)</f>
        <v>#N/A</v>
      </c>
      <c r="Y9" s="108" t="e">
        <f>O9-X9</f>
        <v>#N/A</v>
      </c>
      <c r="Z9" s="108">
        <v>0</v>
      </c>
      <c r="AA9" s="108">
        <v>0</v>
      </c>
      <c r="AB9" s="124">
        <v>20000</v>
      </c>
      <c r="AC9" s="125">
        <f>+AA9-AB9</f>
        <v>-20000</v>
      </c>
    </row>
    <row r="10" spans="1:29" ht="12" thickBot="1">
      <c r="A10" s="8"/>
      <c r="B10" s="8"/>
      <c r="C10" s="8"/>
      <c r="D10" s="50"/>
      <c r="E10" s="50"/>
      <c r="G10" s="69" t="e">
        <f>SUM(G9)</f>
        <v>#N/A</v>
      </c>
      <c r="H10" s="70" t="e">
        <f>SUM(H9)</f>
        <v>#N/A</v>
      </c>
      <c r="I10" s="70" t="e">
        <f>SUM(I9)</f>
        <v>#N/A</v>
      </c>
      <c r="J10" s="70" t="e">
        <f t="shared" ref="J10:X10" si="0">SUM(J9)</f>
        <v>#N/A</v>
      </c>
      <c r="K10" s="70" t="e">
        <f t="shared" si="0"/>
        <v>#N/A</v>
      </c>
      <c r="L10" s="70" t="e">
        <f t="shared" si="0"/>
        <v>#N/A</v>
      </c>
      <c r="M10" s="70" t="e">
        <f t="shared" si="0"/>
        <v>#N/A</v>
      </c>
      <c r="N10" s="70" t="e">
        <f t="shared" si="0"/>
        <v>#N/A</v>
      </c>
      <c r="O10" s="70" t="e">
        <f>SUM(O9)</f>
        <v>#N/A</v>
      </c>
      <c r="P10" s="70">
        <f t="shared" si="0"/>
        <v>0</v>
      </c>
      <c r="Q10" s="70" t="e">
        <f t="shared" si="0"/>
        <v>#N/A</v>
      </c>
      <c r="R10" s="70" t="e">
        <f t="shared" si="0"/>
        <v>#N/A</v>
      </c>
      <c r="S10" s="70">
        <f t="shared" si="0"/>
        <v>0</v>
      </c>
      <c r="T10" s="70" t="e">
        <f t="shared" si="0"/>
        <v>#N/A</v>
      </c>
      <c r="U10" s="70" t="e">
        <f t="shared" si="0"/>
        <v>#N/A</v>
      </c>
      <c r="V10" s="70" t="e">
        <f t="shared" si="0"/>
        <v>#N/A</v>
      </c>
      <c r="W10" s="70" t="e">
        <f t="shared" si="0"/>
        <v>#N/A</v>
      </c>
      <c r="X10" s="70" t="e">
        <f t="shared" si="0"/>
        <v>#N/A</v>
      </c>
      <c r="Y10" s="70" t="e">
        <f>SUM(Y9)</f>
        <v>#N/A</v>
      </c>
      <c r="Z10" s="70">
        <f>SUM(Z9)</f>
        <v>0</v>
      </c>
      <c r="AA10" s="70">
        <f>SUM(AA9)</f>
        <v>0</v>
      </c>
      <c r="AB10" s="106" t="s">
        <v>352</v>
      </c>
      <c r="AC10" s="105" t="e">
        <f t="shared" ref="AC10:AC20" si="1">Y10-Z10-AA10</f>
        <v>#N/A</v>
      </c>
    </row>
    <row r="11" spans="1:29" ht="12" thickTop="1">
      <c r="A11" s="8"/>
      <c r="B11" s="8"/>
      <c r="C11" s="8"/>
      <c r="D11" s="50"/>
      <c r="E11" s="50"/>
      <c r="G11" s="71"/>
      <c r="H11" s="71"/>
      <c r="I11" s="71"/>
      <c r="J11" s="71"/>
      <c r="K11" s="71"/>
      <c r="L11" s="71"/>
      <c r="M11" s="71"/>
      <c r="N11" s="71"/>
      <c r="O11" s="71"/>
      <c r="P11" s="71"/>
      <c r="Q11" s="71"/>
      <c r="R11" s="71"/>
      <c r="S11" s="71"/>
      <c r="T11" s="71"/>
      <c r="U11" s="71"/>
      <c r="V11" s="71"/>
      <c r="W11" s="71"/>
      <c r="X11" s="71"/>
      <c r="Y11" s="71"/>
      <c r="Z11" s="71"/>
      <c r="AA11" s="71"/>
      <c r="AB11" s="106" t="s">
        <v>352</v>
      </c>
      <c r="AC11" s="105">
        <f t="shared" si="1"/>
        <v>0</v>
      </c>
    </row>
    <row r="12" spans="1:29" ht="12.75">
      <c r="B12" s="9" t="s">
        <v>80</v>
      </c>
      <c r="E12" s="52"/>
      <c r="G12" s="54"/>
      <c r="H12" s="54"/>
      <c r="I12" s="54"/>
      <c r="J12" s="55"/>
      <c r="K12" s="54"/>
      <c r="L12" s="54"/>
      <c r="M12" s="54"/>
      <c r="N12" s="54"/>
      <c r="O12" s="54"/>
      <c r="P12" s="54"/>
      <c r="Q12" s="54"/>
      <c r="R12" s="54"/>
      <c r="S12" s="54"/>
      <c r="T12" s="54"/>
      <c r="U12" s="54"/>
      <c r="V12" s="54"/>
      <c r="W12" s="54"/>
      <c r="X12" s="54"/>
      <c r="Y12" s="54"/>
      <c r="Z12" s="54"/>
      <c r="AA12" s="54"/>
      <c r="AB12" s="106" t="s">
        <v>352</v>
      </c>
      <c r="AC12" s="105">
        <f t="shared" si="1"/>
        <v>0</v>
      </c>
    </row>
    <row r="13" spans="1:29" s="15" customFormat="1" ht="12.75">
      <c r="A13" s="3"/>
      <c r="B13" s="10" t="s">
        <v>84</v>
      </c>
      <c r="C13" s="3"/>
      <c r="D13" s="3"/>
      <c r="E13" s="52"/>
      <c r="F13" s="12"/>
      <c r="G13" s="54"/>
      <c r="H13" s="54"/>
      <c r="I13" s="54"/>
      <c r="J13" s="55"/>
      <c r="K13" s="54"/>
      <c r="L13" s="54"/>
      <c r="M13" s="54"/>
      <c r="N13" s="54"/>
      <c r="O13" s="54"/>
      <c r="P13" s="54"/>
      <c r="Q13" s="54"/>
      <c r="R13" s="54"/>
      <c r="S13" s="54"/>
      <c r="T13" s="54"/>
      <c r="U13" s="54"/>
      <c r="V13" s="54"/>
      <c r="W13" s="54"/>
      <c r="X13" s="54"/>
      <c r="Y13" s="54"/>
      <c r="Z13" s="54"/>
      <c r="AA13" s="54"/>
      <c r="AB13" s="106" t="s">
        <v>352</v>
      </c>
      <c r="AC13" s="105">
        <f t="shared" si="1"/>
        <v>0</v>
      </c>
    </row>
    <row r="14" spans="1:29" ht="12.75">
      <c r="B14" s="66" t="s">
        <v>196</v>
      </c>
      <c r="E14" s="52"/>
      <c r="G14" s="54"/>
      <c r="H14" s="54"/>
      <c r="I14" s="54"/>
      <c r="J14" s="55"/>
      <c r="K14" s="54"/>
      <c r="L14" s="54"/>
      <c r="M14" s="54"/>
      <c r="N14" s="54"/>
      <c r="O14" s="54"/>
      <c r="P14" s="54"/>
      <c r="Q14" s="54"/>
      <c r="R14" s="54"/>
      <c r="S14" s="54"/>
      <c r="T14" s="54"/>
      <c r="U14" s="54"/>
      <c r="V14" s="54"/>
      <c r="W14" s="54"/>
      <c r="X14" s="54"/>
      <c r="Y14" s="54"/>
      <c r="Z14" s="54"/>
      <c r="AA14" s="54"/>
      <c r="AB14" s="106" t="s">
        <v>352</v>
      </c>
      <c r="AC14" s="105">
        <f t="shared" si="1"/>
        <v>0</v>
      </c>
    </row>
    <row r="15" spans="1:29" ht="15">
      <c r="A15" s="15"/>
      <c r="B15" s="15"/>
      <c r="C15" s="15"/>
      <c r="D15" s="15"/>
      <c r="E15"/>
      <c r="F15" s="57"/>
      <c r="G15" s="104"/>
      <c r="H15" s="104"/>
      <c r="I15" s="104"/>
      <c r="J15" s="104"/>
      <c r="K15" s="104"/>
      <c r="L15" s="104"/>
      <c r="M15" s="104"/>
      <c r="N15" s="104"/>
      <c r="O15" s="104"/>
      <c r="P15" s="104"/>
      <c r="Q15" s="104"/>
      <c r="R15" s="104"/>
      <c r="S15" s="104"/>
      <c r="T15" s="104"/>
      <c r="U15" s="104"/>
      <c r="V15" s="104"/>
      <c r="W15" s="104"/>
      <c r="X15" s="104"/>
      <c r="Y15" s="104"/>
      <c r="Z15" s="104"/>
      <c r="AA15" s="104"/>
      <c r="AB15" s="106" t="s">
        <v>352</v>
      </c>
      <c r="AC15" s="105">
        <f t="shared" si="1"/>
        <v>0</v>
      </c>
    </row>
    <row r="16" spans="1:29" ht="15">
      <c r="A16" s="15"/>
      <c r="B16" s="10" t="s">
        <v>99</v>
      </c>
      <c r="C16" s="15"/>
      <c r="D16" s="15"/>
      <c r="E16"/>
      <c r="F16" s="57"/>
      <c r="G16" s="104"/>
      <c r="H16" s="104"/>
      <c r="I16" s="104"/>
      <c r="J16" s="104"/>
      <c r="K16" s="104"/>
      <c r="L16" s="104"/>
      <c r="M16" s="104"/>
      <c r="N16" s="104"/>
      <c r="O16" s="104"/>
      <c r="P16" s="104"/>
      <c r="Q16" s="104"/>
      <c r="R16" s="104"/>
      <c r="S16" s="104"/>
      <c r="T16" s="104"/>
      <c r="U16" s="104"/>
      <c r="V16" s="104"/>
      <c r="W16" s="104"/>
      <c r="X16" s="104"/>
      <c r="Y16" s="104"/>
      <c r="Z16" s="104"/>
      <c r="AA16" s="104"/>
      <c r="AB16" s="106" t="s">
        <v>352</v>
      </c>
      <c r="AC16" s="105">
        <f t="shared" si="1"/>
        <v>0</v>
      </c>
    </row>
    <row r="17" spans="1:29" ht="15">
      <c r="A17" s="15"/>
      <c r="B17" s="15" t="s">
        <v>342</v>
      </c>
      <c r="C17" s="15"/>
      <c r="D17" s="15"/>
      <c r="E17"/>
      <c r="F17" s="57"/>
      <c r="G17" s="104"/>
      <c r="H17" s="104"/>
      <c r="I17" s="104"/>
      <c r="J17" s="104"/>
      <c r="K17" s="104"/>
      <c r="L17" s="104"/>
      <c r="M17" s="104"/>
      <c r="N17" s="104"/>
      <c r="O17" s="104"/>
      <c r="P17" s="104"/>
      <c r="Q17" s="104"/>
      <c r="R17" s="104"/>
      <c r="S17" s="104"/>
      <c r="T17" s="104"/>
      <c r="U17" s="104"/>
      <c r="V17" s="104"/>
      <c r="W17" s="104"/>
      <c r="X17" s="104"/>
      <c r="Y17" s="104"/>
      <c r="Z17" s="104"/>
      <c r="AA17" s="104"/>
      <c r="AB17" s="106" t="s">
        <v>352</v>
      </c>
      <c r="AC17" s="105">
        <f t="shared" si="1"/>
        <v>0</v>
      </c>
    </row>
    <row r="18" spans="1:29" s="6" customFormat="1">
      <c r="A18" s="3">
        <v>2</v>
      </c>
      <c r="B18" s="4">
        <v>0</v>
      </c>
      <c r="C18" s="11" t="e">
        <f>VLOOKUP(B18,distribucion!G$8:FP$153,2,0)</f>
        <v>#N/A</v>
      </c>
      <c r="D18" s="11" t="e">
        <f>G18+K18+M18</f>
        <v>#N/A</v>
      </c>
      <c r="E18" s="52" t="e">
        <f>VLOOKUP(B18,distribucion!G$8:FP$153,7,0)</f>
        <v>#N/A</v>
      </c>
      <c r="F18" s="12" t="e">
        <f>VLOOKUP(B18,distribucion!$G$8:$DV$153,14,0)</f>
        <v>#N/A</v>
      </c>
      <c r="G18" s="55" t="e">
        <f>ROUND((VLOOKUP(B18,distribucion!G$8:FP$153,121,0)),2)</f>
        <v>#N/A</v>
      </c>
      <c r="H18" s="55" t="e">
        <f>ROUND((VLOOKUP(B18,distribucion!G$8:FP$153,122,0)),2)</f>
        <v>#N/A</v>
      </c>
      <c r="I18" s="51" t="e">
        <f>G18+H18</f>
        <v>#N/A</v>
      </c>
      <c r="J18" s="51" t="e">
        <f>VLOOKUP(B18,distribucion!G$8:FP$153,123,0)</f>
        <v>#N/A</v>
      </c>
      <c r="K18" s="51" t="e">
        <f>ROUND((VLOOKUP(B18,distribucion!G$8:FP$153,124,0)),2)</f>
        <v>#N/A</v>
      </c>
      <c r="L18" s="51" t="e">
        <f>VLOOKUP(B18,distribucion!G$8:FP$153,125,0)</f>
        <v>#N/A</v>
      </c>
      <c r="M18" s="51" t="e">
        <f>ROUND((VLOOKUP(B18,distribucion!G$8:FP$153,126,0)),2)</f>
        <v>#N/A</v>
      </c>
      <c r="N18" s="51" t="e">
        <f>ROUND((VLOOKUP(B18,distribucion!G$8:FP$153,127,0)),2)</f>
        <v>#N/A</v>
      </c>
      <c r="O18" s="51" t="e">
        <f>SUM(I18:N18)-J18-L18</f>
        <v>#N/A</v>
      </c>
      <c r="P18" s="51" t="e">
        <f>ROUND(((G18+K18+M18+N18)*0.0483),2)</f>
        <v>#N/A</v>
      </c>
      <c r="Q18" s="51" t="e">
        <f>ROUND((VLOOKUP(B18,distribucion!G$8:FP$153,148,0)),2)</f>
        <v>#N/A</v>
      </c>
      <c r="R18" s="51" t="e">
        <f>ROUND((VLOOKUP(B18,distribucion!G$8:FP$153,149,0)),2)</f>
        <v>#N/A</v>
      </c>
      <c r="S18" s="51">
        <v>0</v>
      </c>
      <c r="T18" s="51" t="e">
        <f>ROUND((VLOOKUP(B18,distribucion!G13:FJ153,153,0)),2)</f>
        <v>#N/A</v>
      </c>
      <c r="U18" s="51" t="e">
        <f>ROUND((VLOOKUP(B18,distribucion!G13:FJ153,152,0)),2)</f>
        <v>#N/A</v>
      </c>
      <c r="V18" s="51" t="e">
        <f>ROUND((VLOOKUP(B18,distribucion!G13:FJ153,151,0)),2)</f>
        <v>#N/A</v>
      </c>
      <c r="W18" s="51" t="e">
        <f>ROUND((VLOOKUP(B18,distribucion!G$8:FP$153,154,0)),2)</f>
        <v>#N/A</v>
      </c>
      <c r="X18" s="51" t="e">
        <f>SUM(P18:W18)</f>
        <v>#N/A</v>
      </c>
      <c r="Y18" s="51" t="e">
        <f>O18-X18</f>
        <v>#N/A</v>
      </c>
      <c r="Z18" s="108" t="e">
        <f>+Y18</f>
        <v>#N/A</v>
      </c>
      <c r="AA18" s="51" t="e">
        <f>+Y18-Z18</f>
        <v>#N/A</v>
      </c>
      <c r="AB18" s="106"/>
      <c r="AC18" s="105"/>
    </row>
    <row r="19" spans="1:29" ht="15.75" thickBot="1">
      <c r="A19" s="15"/>
      <c r="B19" s="15"/>
      <c r="C19" s="15"/>
      <c r="D19" s="15"/>
      <c r="E19"/>
      <c r="F19" s="57"/>
      <c r="G19" s="72" t="e">
        <f>+G18</f>
        <v>#N/A</v>
      </c>
      <c r="H19" s="72" t="e">
        <f t="shared" ref="H19:Z19" si="2">+H18</f>
        <v>#N/A</v>
      </c>
      <c r="I19" s="72" t="e">
        <f t="shared" si="2"/>
        <v>#N/A</v>
      </c>
      <c r="J19" s="72" t="e">
        <f t="shared" si="2"/>
        <v>#N/A</v>
      </c>
      <c r="K19" s="72" t="e">
        <f t="shared" si="2"/>
        <v>#N/A</v>
      </c>
      <c r="L19" s="72" t="e">
        <f t="shared" si="2"/>
        <v>#N/A</v>
      </c>
      <c r="M19" s="72" t="e">
        <f t="shared" si="2"/>
        <v>#N/A</v>
      </c>
      <c r="N19" s="72" t="e">
        <f t="shared" si="2"/>
        <v>#N/A</v>
      </c>
      <c r="O19" s="72" t="e">
        <f t="shared" si="2"/>
        <v>#N/A</v>
      </c>
      <c r="P19" s="72" t="e">
        <f t="shared" si="2"/>
        <v>#N/A</v>
      </c>
      <c r="Q19" s="72" t="e">
        <f t="shared" si="2"/>
        <v>#N/A</v>
      </c>
      <c r="R19" s="72" t="e">
        <f t="shared" si="2"/>
        <v>#N/A</v>
      </c>
      <c r="S19" s="72">
        <f t="shared" si="2"/>
        <v>0</v>
      </c>
      <c r="T19" s="72" t="e">
        <f t="shared" si="2"/>
        <v>#N/A</v>
      </c>
      <c r="U19" s="72" t="e">
        <f t="shared" si="2"/>
        <v>#N/A</v>
      </c>
      <c r="V19" s="72" t="e">
        <f t="shared" si="2"/>
        <v>#N/A</v>
      </c>
      <c r="W19" s="72" t="e">
        <f t="shared" si="2"/>
        <v>#N/A</v>
      </c>
      <c r="X19" s="72" t="e">
        <f t="shared" si="2"/>
        <v>#N/A</v>
      </c>
      <c r="Y19" s="72" t="e">
        <f t="shared" si="2"/>
        <v>#N/A</v>
      </c>
      <c r="Z19" s="72" t="e">
        <f t="shared" si="2"/>
        <v>#N/A</v>
      </c>
      <c r="AA19" s="72" t="e">
        <f>+AA18</f>
        <v>#N/A</v>
      </c>
      <c r="AB19" s="106" t="s">
        <v>352</v>
      </c>
      <c r="AC19" s="105" t="e">
        <f t="shared" si="1"/>
        <v>#N/A</v>
      </c>
    </row>
    <row r="20" spans="1:29" s="6" customFormat="1" ht="12" thickTop="1">
      <c r="A20" s="3"/>
      <c r="B20" s="16" t="s">
        <v>11</v>
      </c>
      <c r="C20" s="11"/>
      <c r="D20" s="11"/>
      <c r="E20" s="52"/>
      <c r="F20" s="12"/>
      <c r="G20" s="55"/>
      <c r="H20" s="55"/>
      <c r="I20" s="51"/>
      <c r="J20" s="51"/>
      <c r="K20" s="51"/>
      <c r="L20" s="51"/>
      <c r="M20" s="51"/>
      <c r="N20" s="51"/>
      <c r="O20" s="51"/>
      <c r="P20" s="51"/>
      <c r="Q20" s="51"/>
      <c r="R20" s="51"/>
      <c r="S20" s="51"/>
      <c r="T20" s="51"/>
      <c r="U20" s="51"/>
      <c r="V20" s="51"/>
      <c r="W20" s="51"/>
      <c r="X20" s="51"/>
      <c r="Y20" s="51"/>
      <c r="Z20" s="51"/>
      <c r="AA20" s="51"/>
      <c r="AB20" s="106" t="s">
        <v>352</v>
      </c>
      <c r="AC20" s="105">
        <f t="shared" si="1"/>
        <v>0</v>
      </c>
    </row>
    <row r="21" spans="1:29" s="6" customFormat="1">
      <c r="A21" s="3">
        <v>3</v>
      </c>
      <c r="B21" s="4">
        <v>0</v>
      </c>
      <c r="C21" s="11" t="e">
        <f>VLOOKUP(B21,distribucion!G$8:FP$153,2,0)</f>
        <v>#N/A</v>
      </c>
      <c r="D21" s="11" t="e">
        <f>G21+K21+M21</f>
        <v>#N/A</v>
      </c>
      <c r="E21" s="52" t="e">
        <f>VLOOKUP(B21,distribucion!G$8:FP$153,7,0)</f>
        <v>#N/A</v>
      </c>
      <c r="F21" s="12" t="e">
        <f>VLOOKUP(B21,distribucion!$G$8:$DV$153,14,0)</f>
        <v>#N/A</v>
      </c>
      <c r="G21" s="55" t="e">
        <f>ROUND((VLOOKUP(B21,distribucion!G$8:FP$153,121,0)),2)</f>
        <v>#N/A</v>
      </c>
      <c r="H21" s="55" t="e">
        <f>ROUND((VLOOKUP(B21,distribucion!G$8:FP$153,122,0)),2)</f>
        <v>#N/A</v>
      </c>
      <c r="I21" s="51" t="e">
        <f t="shared" ref="I21:I29" si="3">G21+H21</f>
        <v>#N/A</v>
      </c>
      <c r="J21" s="51" t="e">
        <f>VLOOKUP(B21,distribucion!G$8:FP$153,123,0)</f>
        <v>#N/A</v>
      </c>
      <c r="K21" s="51" t="e">
        <f>ROUND((VLOOKUP(B21,distribucion!G$8:FP$153,124,0)),2)</f>
        <v>#N/A</v>
      </c>
      <c r="L21" s="51" t="e">
        <f>VLOOKUP(B21,distribucion!G$8:FP$153,125,0)</f>
        <v>#N/A</v>
      </c>
      <c r="M21" s="51" t="e">
        <f>ROUND((VLOOKUP(B21,distribucion!G$8:FP$153,126,0)),2)</f>
        <v>#N/A</v>
      </c>
      <c r="N21" s="51" t="e">
        <f>ROUND((VLOOKUP(B21,distribucion!G$8:FP$153,127,0)),2)</f>
        <v>#N/A</v>
      </c>
      <c r="O21" s="51" t="e">
        <f t="shared" ref="O21:O29" si="4">SUM(I21:N21)-J21-L21</f>
        <v>#N/A</v>
      </c>
      <c r="P21" s="51" t="e">
        <f t="shared" ref="P21:P29" si="5">ROUND(((G21+K21+M21+N21)*0.0483),2)</f>
        <v>#N/A</v>
      </c>
      <c r="Q21" s="51" t="e">
        <f>ROUND((VLOOKUP(B21,distribucion!G$8:FP$153,148,0)),2)</f>
        <v>#N/A</v>
      </c>
      <c r="R21" s="51" t="e">
        <f>ROUND((VLOOKUP(B21,distribucion!G$8:FP$153,149,0)),2)</f>
        <v>#N/A</v>
      </c>
      <c r="S21" s="51">
        <v>0</v>
      </c>
      <c r="T21" s="51" t="e">
        <f>ROUND((VLOOKUP(B21,distribucion!G13:FJ153,153,0)),2)</f>
        <v>#N/A</v>
      </c>
      <c r="U21" s="51" t="e">
        <f>ROUND((VLOOKUP(B21,distribucion!G13:FJ153,152,0)),2)</f>
        <v>#N/A</v>
      </c>
      <c r="V21" s="51" t="e">
        <f>ROUND((VLOOKUP(B21,distribucion!G13:FJ153,151,0)),2)</f>
        <v>#N/A</v>
      </c>
      <c r="W21" s="51" t="e">
        <f>ROUND((VLOOKUP(B21,distribucion!G$8:FP$153,154,0)),2)</f>
        <v>#N/A</v>
      </c>
      <c r="X21" s="51" t="e">
        <f>SUM(P21:W21)</f>
        <v>#N/A</v>
      </c>
      <c r="Y21" s="51" t="e">
        <f t="shared" ref="Y21:Y29" si="6">O21-X21</f>
        <v>#N/A</v>
      </c>
      <c r="Z21" s="108" t="e">
        <f>+Y21</f>
        <v>#N/A</v>
      </c>
      <c r="AA21" s="51" t="e">
        <f>+Y21-Z21</f>
        <v>#N/A</v>
      </c>
      <c r="AB21" s="106" t="e">
        <f>+Z21</f>
        <v>#N/A</v>
      </c>
      <c r="AC21" s="105" t="e">
        <f>+AA21-AB21</f>
        <v>#N/A</v>
      </c>
    </row>
    <row r="22" spans="1:29" s="6" customFormat="1">
      <c r="A22" s="3">
        <v>4</v>
      </c>
      <c r="B22" s="4">
        <v>0</v>
      </c>
      <c r="C22" s="11" t="e">
        <f>VLOOKUP(B22,distribucion!G$8:FP$153,2,0)</f>
        <v>#N/A</v>
      </c>
      <c r="D22" s="111" t="e">
        <f t="shared" ref="D22:D27" si="7">G22+K22+M22+N22</f>
        <v>#N/A</v>
      </c>
      <c r="E22" s="52" t="e">
        <f>VLOOKUP(B22,distribucion!G$8:FP$153,7,0)</f>
        <v>#N/A</v>
      </c>
      <c r="F22" s="12" t="e">
        <f>VLOOKUP(B22,distribucion!$G$8:$DV$153,14,0)</f>
        <v>#N/A</v>
      </c>
      <c r="G22" s="55" t="e">
        <f>ROUND((VLOOKUP(B22,distribucion!G$8:FP$153,121,0)),2)</f>
        <v>#N/A</v>
      </c>
      <c r="H22" s="55" t="e">
        <f>ROUND((VLOOKUP(B22,distribucion!G$8:FP$153,122,0)),2)</f>
        <v>#N/A</v>
      </c>
      <c r="I22" s="51" t="e">
        <f>G22+H22</f>
        <v>#N/A</v>
      </c>
      <c r="J22" s="51" t="e">
        <f>VLOOKUP(B22,distribucion!G$8:FP$153,123,0)</f>
        <v>#N/A</v>
      </c>
      <c r="K22" s="51" t="e">
        <f>ROUND((VLOOKUP(B22,distribucion!G$8:FP$153,124,0)),2)</f>
        <v>#N/A</v>
      </c>
      <c r="L22" s="51" t="e">
        <f>VLOOKUP(B22,distribucion!G$8:FP$153,125,0)</f>
        <v>#N/A</v>
      </c>
      <c r="M22" s="51" t="e">
        <f>ROUND((VLOOKUP(B22,distribucion!G$8:FP$153,126,0)),2)</f>
        <v>#N/A</v>
      </c>
      <c r="N22" s="51" t="e">
        <f>ROUND((VLOOKUP(B22,distribucion!G$8:FP$153,127,0)),2)</f>
        <v>#N/A</v>
      </c>
      <c r="O22" s="51" t="e">
        <f>SUM(I22:N22)-J22-L22</f>
        <v>#N/A</v>
      </c>
      <c r="P22" s="51" t="e">
        <f>ROUND(((G22+K22+M22+N22)*0.0483),2)</f>
        <v>#N/A</v>
      </c>
      <c r="Q22" s="51" t="e">
        <f>ROUND((VLOOKUP(B22,distribucion!G$8:FP$153,148,0)),2)</f>
        <v>#N/A</v>
      </c>
      <c r="R22" s="51" t="e">
        <f>ROUND((VLOOKUP(B22,distribucion!G$8:FP$153,149,0)),2)</f>
        <v>#N/A</v>
      </c>
      <c r="S22" s="51">
        <v>0</v>
      </c>
      <c r="T22" s="51" t="e">
        <f>ROUND((VLOOKUP(B22,distribucion!G13:FJ153,153,0)),2)</f>
        <v>#N/A</v>
      </c>
      <c r="U22" s="51" t="e">
        <f>ROUND((VLOOKUP(B22,distribucion!G13:FJ153,152,0)),2)</f>
        <v>#N/A</v>
      </c>
      <c r="V22" s="51" t="e">
        <f>ROUND((VLOOKUP(B22,distribucion!G13:FJ153,151,0)),2)</f>
        <v>#N/A</v>
      </c>
      <c r="W22" s="51" t="e">
        <f>ROUND((VLOOKUP(B22,distribucion!G$8:FP$153,154,0)),2)</f>
        <v>#N/A</v>
      </c>
      <c r="X22" s="51" t="e">
        <f t="shared" ref="X22:X27" si="8">SUM(P22:W22)</f>
        <v>#N/A</v>
      </c>
      <c r="Y22" s="51" t="e">
        <f>O22-X22</f>
        <v>#N/A</v>
      </c>
      <c r="Z22" s="108" t="e">
        <f t="shared" ref="Z22:Z29" si="9">+Y22</f>
        <v>#N/A</v>
      </c>
      <c r="AA22" s="51" t="e">
        <f t="shared" ref="AA22:AA29" si="10">+Y22-Z22</f>
        <v>#N/A</v>
      </c>
      <c r="AB22" s="106" t="e">
        <f t="shared" ref="AB22:AB38" si="11">+Z22</f>
        <v>#N/A</v>
      </c>
      <c r="AC22" s="105" t="e">
        <f t="shared" ref="AC22:AC38" si="12">+AA22-AB22</f>
        <v>#N/A</v>
      </c>
    </row>
    <row r="23" spans="1:29" s="6" customFormat="1">
      <c r="A23" s="3">
        <v>5</v>
      </c>
      <c r="B23" s="4">
        <v>0</v>
      </c>
      <c r="C23" s="11" t="e">
        <f>VLOOKUP(B23,distribucion!G$8:FP$153,2,0)</f>
        <v>#N/A</v>
      </c>
      <c r="D23" s="111" t="e">
        <f>G23+K23+M23+N23</f>
        <v>#N/A</v>
      </c>
      <c r="E23" s="52" t="e">
        <f>VLOOKUP(B23,distribucion!G$8:FP$153,7,0)</f>
        <v>#N/A</v>
      </c>
      <c r="F23" s="12" t="e">
        <f>VLOOKUP(B23,distribucion!$G$8:$DV$153,14,0)</f>
        <v>#N/A</v>
      </c>
      <c r="G23" s="55" t="e">
        <f>ROUND((VLOOKUP(B23,distribucion!G$8:FP$153,121,0)),2)</f>
        <v>#N/A</v>
      </c>
      <c r="H23" s="55" t="e">
        <f>ROUND((VLOOKUP(B23,distribucion!G$8:FP$153,122,0)),2)</f>
        <v>#N/A</v>
      </c>
      <c r="I23" s="51" t="e">
        <f>G23+H23</f>
        <v>#N/A</v>
      </c>
      <c r="J23" s="51" t="e">
        <f>VLOOKUP(B23,distribucion!G$8:FP$153,123,0)</f>
        <v>#N/A</v>
      </c>
      <c r="K23" s="51" t="e">
        <f>ROUND((VLOOKUP(B23,distribucion!G$8:FP$153,124,0)),2)</f>
        <v>#N/A</v>
      </c>
      <c r="L23" s="51" t="e">
        <f>VLOOKUP(B23,distribucion!G$8:FP$153,125,0)</f>
        <v>#N/A</v>
      </c>
      <c r="M23" s="51" t="e">
        <f>ROUND((VLOOKUP(B23,distribucion!G$8:FP$153,126,0)),2)</f>
        <v>#N/A</v>
      </c>
      <c r="N23" s="51" t="e">
        <f>ROUND((VLOOKUP(B23,distribucion!G$8:FP$153,127,0)),2)</f>
        <v>#N/A</v>
      </c>
      <c r="O23" s="51" t="e">
        <f>SUM(I23:N23)-J23-L23</f>
        <v>#N/A</v>
      </c>
      <c r="P23" s="51" t="e">
        <f>ROUND(((G23+K23+M23+N23)*0.0483),2)</f>
        <v>#N/A</v>
      </c>
      <c r="Q23" s="51" t="e">
        <f>ROUND((VLOOKUP(B23,distribucion!G$8:FP$153,148,0)),2)</f>
        <v>#N/A</v>
      </c>
      <c r="R23" s="51" t="e">
        <f>ROUND((VLOOKUP(B23,distribucion!G$8:FP$153,149,0)),2)</f>
        <v>#N/A</v>
      </c>
      <c r="S23" s="51">
        <v>0</v>
      </c>
      <c r="T23" s="51" t="e">
        <f>ROUND((VLOOKUP(B23,distribucion!G13:FJ153,153,0)),2)</f>
        <v>#N/A</v>
      </c>
      <c r="U23" s="51" t="e">
        <f>ROUND((VLOOKUP(B23,distribucion!G13:FJ153,152,0)),2)</f>
        <v>#N/A</v>
      </c>
      <c r="V23" s="51" t="e">
        <f>ROUND((VLOOKUP(B23,distribucion!G13:FJ153,151,0)),2)</f>
        <v>#N/A</v>
      </c>
      <c r="W23" s="51" t="e">
        <f>ROUND((VLOOKUP(B23,distribucion!G$8:FP$153,154,0)),2)</f>
        <v>#N/A</v>
      </c>
      <c r="X23" s="51" t="e">
        <f t="shared" si="8"/>
        <v>#N/A</v>
      </c>
      <c r="Y23" s="51" t="e">
        <f>O23-X23</f>
        <v>#N/A</v>
      </c>
      <c r="Z23" s="108" t="e">
        <f t="shared" si="9"/>
        <v>#N/A</v>
      </c>
      <c r="AA23" s="51" t="e">
        <f t="shared" si="10"/>
        <v>#N/A</v>
      </c>
      <c r="AB23" s="106" t="e">
        <f t="shared" si="11"/>
        <v>#N/A</v>
      </c>
      <c r="AC23" s="105" t="e">
        <f t="shared" si="12"/>
        <v>#N/A</v>
      </c>
    </row>
    <row r="24" spans="1:29" s="6" customFormat="1">
      <c r="A24" s="3">
        <v>6</v>
      </c>
      <c r="B24" s="4">
        <v>0</v>
      </c>
      <c r="C24" s="11" t="e">
        <f>VLOOKUP(B24,distribucion!G$8:FP$153,2,0)</f>
        <v>#N/A</v>
      </c>
      <c r="D24" s="111" t="e">
        <f t="shared" si="7"/>
        <v>#N/A</v>
      </c>
      <c r="E24" s="52" t="e">
        <f>VLOOKUP(B24,distribucion!G$8:FP$153,7,0)</f>
        <v>#N/A</v>
      </c>
      <c r="F24" s="12" t="e">
        <f>VLOOKUP(B24,distribucion!$G$8:$DV$153,14,0)</f>
        <v>#N/A</v>
      </c>
      <c r="G24" s="55" t="e">
        <f>ROUND((VLOOKUP(B24,distribucion!G$8:FP$153,121,0)),2)</f>
        <v>#N/A</v>
      </c>
      <c r="H24" s="55" t="e">
        <f>ROUND((VLOOKUP(B24,distribucion!G$8:FP$153,122,0)),2)</f>
        <v>#N/A</v>
      </c>
      <c r="I24" s="51" t="e">
        <f>G24+H24</f>
        <v>#N/A</v>
      </c>
      <c r="J24" s="51" t="e">
        <f>VLOOKUP(B24,distribucion!G$8:FP$153,123,0)</f>
        <v>#N/A</v>
      </c>
      <c r="K24" s="51" t="e">
        <f>ROUND((VLOOKUP(B24,distribucion!G$8:FP$153,124,0)),2)</f>
        <v>#N/A</v>
      </c>
      <c r="L24" s="51" t="e">
        <f>VLOOKUP(B24,distribucion!G$8:FP$153,125,0)</f>
        <v>#N/A</v>
      </c>
      <c r="M24" s="51" t="e">
        <f>ROUND((VLOOKUP(B24,distribucion!G$8:FP$153,126,0)),2)</f>
        <v>#N/A</v>
      </c>
      <c r="N24" s="51" t="e">
        <f>ROUND((VLOOKUP(B24,distribucion!G$8:FP$153,127,0)),2)</f>
        <v>#N/A</v>
      </c>
      <c r="O24" s="51" t="e">
        <f>SUM(I24:N24)-J24-L24</f>
        <v>#N/A</v>
      </c>
      <c r="P24" s="51" t="e">
        <f>ROUND(((G24+K24+M24+N24)*0.0483),2)</f>
        <v>#N/A</v>
      </c>
      <c r="Q24" s="51" t="e">
        <f>ROUND((VLOOKUP(B24,distribucion!G$8:FP$153,148,0)),2)</f>
        <v>#N/A</v>
      </c>
      <c r="R24" s="51" t="e">
        <f>ROUND((VLOOKUP(B24,distribucion!G$8:FP$153,149,0)),2)</f>
        <v>#N/A</v>
      </c>
      <c r="S24" s="51">
        <v>0</v>
      </c>
      <c r="T24" s="51" t="e">
        <f>ROUND((VLOOKUP(B24,distribucion!G13:FJ153,153,0)),2)</f>
        <v>#N/A</v>
      </c>
      <c r="U24" s="51" t="e">
        <f>ROUND((VLOOKUP(B24,distribucion!G13:FJ153,152,0)),2)</f>
        <v>#N/A</v>
      </c>
      <c r="V24" s="51" t="e">
        <f>ROUND((VLOOKUP(B24,distribucion!G13:FJ153,151,0)),2)</f>
        <v>#N/A</v>
      </c>
      <c r="W24" s="51" t="e">
        <f>ROUND((VLOOKUP(B24,distribucion!G$8:FP$153,154,0)),2)</f>
        <v>#N/A</v>
      </c>
      <c r="X24" s="51" t="e">
        <f t="shared" si="8"/>
        <v>#N/A</v>
      </c>
      <c r="Y24" s="51" t="e">
        <f>O24-X24</f>
        <v>#N/A</v>
      </c>
      <c r="Z24" s="108" t="e">
        <f t="shared" si="9"/>
        <v>#N/A</v>
      </c>
      <c r="AA24" s="51" t="e">
        <f t="shared" si="10"/>
        <v>#N/A</v>
      </c>
      <c r="AB24" s="106" t="e">
        <f t="shared" si="11"/>
        <v>#N/A</v>
      </c>
      <c r="AC24" s="105" t="e">
        <f t="shared" si="12"/>
        <v>#N/A</v>
      </c>
    </row>
    <row r="25" spans="1:29" s="6" customFormat="1">
      <c r="A25" s="3">
        <v>7</v>
      </c>
      <c r="B25" s="4">
        <v>0</v>
      </c>
      <c r="C25" s="11" t="e">
        <f>VLOOKUP(B25,distribucion!G$8:FP$153,2,0)</f>
        <v>#N/A</v>
      </c>
      <c r="D25" s="111" t="e">
        <f t="shared" si="7"/>
        <v>#N/A</v>
      </c>
      <c r="E25" s="52" t="e">
        <f>VLOOKUP(B25,distribucion!G$8:FP$153,7,0)</f>
        <v>#N/A</v>
      </c>
      <c r="F25" s="12" t="e">
        <f>VLOOKUP(B25,distribucion!$G$8:$DV$153,14,0)</f>
        <v>#N/A</v>
      </c>
      <c r="G25" s="55" t="e">
        <f>ROUND((VLOOKUP(B25,distribucion!G$8:FP$153,121,0)),2)</f>
        <v>#N/A</v>
      </c>
      <c r="H25" s="55" t="e">
        <f>ROUND((VLOOKUP(B25,distribucion!G$8:FP$153,122,0)),2)</f>
        <v>#N/A</v>
      </c>
      <c r="I25" s="51" t="e">
        <f>G25+H25</f>
        <v>#N/A</v>
      </c>
      <c r="J25" s="51" t="e">
        <f>VLOOKUP(B25,distribucion!G$8:FP$153,123,0)</f>
        <v>#N/A</v>
      </c>
      <c r="K25" s="51" t="e">
        <f>ROUND((VLOOKUP(B25,distribucion!G$8:FP$153,124,0)),2)</f>
        <v>#N/A</v>
      </c>
      <c r="L25" s="51" t="e">
        <f>VLOOKUP(B25,distribucion!G$8:FP$153,125,0)</f>
        <v>#N/A</v>
      </c>
      <c r="M25" s="51" t="e">
        <f>ROUND((VLOOKUP(B25,distribucion!G$8:FP$153,126,0)),2)</f>
        <v>#N/A</v>
      </c>
      <c r="N25" s="51" t="e">
        <f>ROUND((VLOOKUP(B25,distribucion!G$8:FP$153,127,0)),2)</f>
        <v>#N/A</v>
      </c>
      <c r="O25" s="51" t="e">
        <f>SUM(I25:N25)-J25-L25</f>
        <v>#N/A</v>
      </c>
      <c r="P25" s="51" t="e">
        <f>ROUND(((G25+K25+M25+N25)*0.0483),2)</f>
        <v>#N/A</v>
      </c>
      <c r="Q25" s="51" t="e">
        <f>ROUND((VLOOKUP(B25,distribucion!G$8:FP$153,148,0)),2)</f>
        <v>#N/A</v>
      </c>
      <c r="R25" s="51" t="e">
        <f>ROUND((VLOOKUP(B25,distribucion!G$8:FP$153,149,0)),2)</f>
        <v>#N/A</v>
      </c>
      <c r="S25" s="51">
        <v>0</v>
      </c>
      <c r="T25" s="51" t="e">
        <f>ROUND((VLOOKUP(B25,distribucion!G13:FJ153,153,0)),2)</f>
        <v>#N/A</v>
      </c>
      <c r="U25" s="51" t="e">
        <f>ROUND((VLOOKUP(B25,distribucion!G13:FJ153,152,0)),2)</f>
        <v>#N/A</v>
      </c>
      <c r="V25" s="51" t="e">
        <f>ROUND((VLOOKUP(B25,distribucion!G13:FJ153,151,0)),2)</f>
        <v>#N/A</v>
      </c>
      <c r="W25" s="51" t="e">
        <f>ROUND((VLOOKUP(B25,distribucion!G$8:FP$153,154,0)),2)</f>
        <v>#N/A</v>
      </c>
      <c r="X25" s="51" t="e">
        <f t="shared" si="8"/>
        <v>#N/A</v>
      </c>
      <c r="Y25" s="51" t="e">
        <f>O25-X25</f>
        <v>#N/A</v>
      </c>
      <c r="Z25" s="108" t="e">
        <f t="shared" si="9"/>
        <v>#N/A</v>
      </c>
      <c r="AA25" s="51" t="e">
        <f t="shared" si="10"/>
        <v>#N/A</v>
      </c>
      <c r="AB25" s="106" t="e">
        <f t="shared" si="11"/>
        <v>#N/A</v>
      </c>
      <c r="AC25" s="105" t="e">
        <f t="shared" si="12"/>
        <v>#N/A</v>
      </c>
    </row>
    <row r="26" spans="1:29" s="6" customFormat="1">
      <c r="A26" s="3">
        <v>8</v>
      </c>
      <c r="B26" s="4">
        <v>0</v>
      </c>
      <c r="C26" s="11" t="e">
        <f>VLOOKUP(B26,distribucion!G$8:FP$153,2,0)</f>
        <v>#N/A</v>
      </c>
      <c r="D26" s="111" t="e">
        <f t="shared" si="7"/>
        <v>#N/A</v>
      </c>
      <c r="E26" s="52" t="e">
        <f>VLOOKUP(B26,distribucion!G$8:FP$153,7,0)</f>
        <v>#N/A</v>
      </c>
      <c r="F26" s="12" t="e">
        <f>VLOOKUP(B26,distribucion!$G$8:$DV$153,14,0)</f>
        <v>#N/A</v>
      </c>
      <c r="G26" s="55" t="e">
        <f>ROUND((VLOOKUP(B26,distribucion!G$8:FP$153,121,0)),2)</f>
        <v>#N/A</v>
      </c>
      <c r="H26" s="55" t="e">
        <f>ROUND((VLOOKUP(B26,distribucion!G$8:FP$153,122,0)),2)</f>
        <v>#N/A</v>
      </c>
      <c r="I26" s="51" t="e">
        <f>G26+H26</f>
        <v>#N/A</v>
      </c>
      <c r="J26" s="51" t="e">
        <f>VLOOKUP(B26,distribucion!G$8:FP$153,123,0)</f>
        <v>#N/A</v>
      </c>
      <c r="K26" s="51" t="e">
        <f>ROUND((VLOOKUP(B26,distribucion!G$8:FP$153,124,0)),2)</f>
        <v>#N/A</v>
      </c>
      <c r="L26" s="51" t="e">
        <f>VLOOKUP(B26,distribucion!G$8:FP$153,125,0)</f>
        <v>#N/A</v>
      </c>
      <c r="M26" s="51" t="e">
        <f>ROUND((VLOOKUP(B26,distribucion!G$8:FP$153,126,0)),2)</f>
        <v>#N/A</v>
      </c>
      <c r="N26" s="51" t="e">
        <f>ROUND((VLOOKUP(B26,distribucion!G$8:FP$153,127,0)),2)</f>
        <v>#N/A</v>
      </c>
      <c r="O26" s="51" t="e">
        <f>SUM(I26:N26)-J26-L26</f>
        <v>#N/A</v>
      </c>
      <c r="P26" s="51" t="e">
        <f>ROUND(((G26+K26+M26+N26)*0.0483),2)</f>
        <v>#N/A</v>
      </c>
      <c r="Q26" s="51" t="e">
        <f>ROUND((VLOOKUP(B26,distribucion!G$8:FP$153,148,0)),2)</f>
        <v>#N/A</v>
      </c>
      <c r="R26" s="51" t="e">
        <f>ROUND((VLOOKUP(B26,distribucion!G$8:FP$153,149,0)),2)</f>
        <v>#N/A</v>
      </c>
      <c r="S26" s="51">
        <v>0</v>
      </c>
      <c r="T26" s="51" t="e">
        <f>ROUND((VLOOKUP(B26,distribucion!G13:FJ153,153,0)),2)</f>
        <v>#N/A</v>
      </c>
      <c r="U26" s="51" t="e">
        <f>ROUND((VLOOKUP(B26,distribucion!G13:FJ153,152,0)),2)</f>
        <v>#N/A</v>
      </c>
      <c r="V26" s="51" t="e">
        <f>ROUND((VLOOKUP(B26,distribucion!G13:FJ153,151,0)),2)</f>
        <v>#N/A</v>
      </c>
      <c r="W26" s="51" t="e">
        <f>ROUND((VLOOKUP(B26,distribucion!G$8:FP$153,154,0)),2)</f>
        <v>#N/A</v>
      </c>
      <c r="X26" s="51" t="e">
        <f t="shared" si="8"/>
        <v>#N/A</v>
      </c>
      <c r="Y26" s="51" t="e">
        <f>O26-X26</f>
        <v>#N/A</v>
      </c>
      <c r="Z26" s="108" t="e">
        <f t="shared" si="9"/>
        <v>#N/A</v>
      </c>
      <c r="AA26" s="51" t="e">
        <f t="shared" si="10"/>
        <v>#N/A</v>
      </c>
      <c r="AB26" s="106" t="e">
        <f t="shared" si="11"/>
        <v>#N/A</v>
      </c>
      <c r="AC26" s="105" t="e">
        <f t="shared" si="12"/>
        <v>#N/A</v>
      </c>
    </row>
    <row r="27" spans="1:29" s="6" customFormat="1">
      <c r="A27" s="3">
        <v>9</v>
      </c>
      <c r="B27" s="4">
        <v>0</v>
      </c>
      <c r="C27" s="11" t="e">
        <f>VLOOKUP(B27,distribucion!G$8:FP$153,2,0)</f>
        <v>#N/A</v>
      </c>
      <c r="D27" s="111" t="e">
        <f t="shared" si="7"/>
        <v>#N/A</v>
      </c>
      <c r="E27" s="52" t="e">
        <f>VLOOKUP(B27,distribucion!G$8:FP$153,7,0)</f>
        <v>#N/A</v>
      </c>
      <c r="F27" s="12" t="e">
        <f>VLOOKUP(B27,distribucion!$G$8:$DV$153,14,0)</f>
        <v>#N/A</v>
      </c>
      <c r="G27" s="55" t="e">
        <f>ROUND((VLOOKUP(B27,distribucion!G$8:FP$153,121,0)),2)</f>
        <v>#N/A</v>
      </c>
      <c r="H27" s="55" t="e">
        <f>ROUND((VLOOKUP(B27,distribucion!G$8:FP$153,122,0)),2)</f>
        <v>#N/A</v>
      </c>
      <c r="I27" s="51" t="e">
        <f t="shared" si="3"/>
        <v>#N/A</v>
      </c>
      <c r="J27" s="51" t="e">
        <f>VLOOKUP(B27,distribucion!G$8:FP$153,123,0)</f>
        <v>#N/A</v>
      </c>
      <c r="K27" s="51" t="e">
        <f>ROUND((VLOOKUP(B27,distribucion!G$8:FP$153,124,0)),2)</f>
        <v>#N/A</v>
      </c>
      <c r="L27" s="51" t="e">
        <f>VLOOKUP(B27,distribucion!G$8:FP$153,125,0)</f>
        <v>#N/A</v>
      </c>
      <c r="M27" s="51" t="e">
        <f>ROUND((VLOOKUP(B27,distribucion!G$8:FP$153,126,0)),2)</f>
        <v>#N/A</v>
      </c>
      <c r="N27" s="51" t="e">
        <f>ROUND((VLOOKUP(B27,distribucion!G$8:FP$153,127,0)),2)</f>
        <v>#N/A</v>
      </c>
      <c r="O27" s="51" t="e">
        <f t="shared" si="4"/>
        <v>#N/A</v>
      </c>
      <c r="P27" s="51" t="e">
        <f t="shared" si="5"/>
        <v>#N/A</v>
      </c>
      <c r="Q27" s="51" t="e">
        <f>ROUND((VLOOKUP(B27,distribucion!G$8:FP$153,148,0)),2)</f>
        <v>#N/A</v>
      </c>
      <c r="R27" s="51" t="e">
        <f>ROUND((VLOOKUP(B27,distribucion!G$8:FP$153,149,0)),2)</f>
        <v>#N/A</v>
      </c>
      <c r="S27" s="51">
        <v>0</v>
      </c>
      <c r="T27" s="51" t="e">
        <f>ROUND((VLOOKUP(B27,distribucion!G13:FJ153,153,0)),2)</f>
        <v>#N/A</v>
      </c>
      <c r="U27" s="51" t="e">
        <f>ROUND((VLOOKUP(B27,distribucion!G13:FJ153,152,0)),2)</f>
        <v>#N/A</v>
      </c>
      <c r="V27" s="51" t="e">
        <f>ROUND((VLOOKUP(B27,distribucion!G13:FJ153,151,0)),2)</f>
        <v>#N/A</v>
      </c>
      <c r="W27" s="51" t="e">
        <f>ROUND((VLOOKUP(B27,distribucion!G$8:FP$153,154,0)),2)</f>
        <v>#N/A</v>
      </c>
      <c r="X27" s="51" t="e">
        <f t="shared" si="8"/>
        <v>#N/A</v>
      </c>
      <c r="Y27" s="51" t="e">
        <f t="shared" si="6"/>
        <v>#N/A</v>
      </c>
      <c r="Z27" s="108" t="e">
        <f t="shared" si="9"/>
        <v>#N/A</v>
      </c>
      <c r="AA27" s="51" t="e">
        <f t="shared" si="10"/>
        <v>#N/A</v>
      </c>
      <c r="AB27" s="106" t="e">
        <f t="shared" si="11"/>
        <v>#N/A</v>
      </c>
      <c r="AC27" s="105" t="e">
        <f t="shared" si="12"/>
        <v>#N/A</v>
      </c>
    </row>
    <row r="28" spans="1:29" s="6" customFormat="1">
      <c r="A28" s="3">
        <v>10</v>
      </c>
      <c r="B28" s="4">
        <v>0</v>
      </c>
      <c r="C28" s="11" t="e">
        <f>VLOOKUP(B28,distribucion!G$8:FP$153,2,0)</f>
        <v>#N/A</v>
      </c>
      <c r="D28" s="11" t="e">
        <f>G28+K28+M28</f>
        <v>#N/A</v>
      </c>
      <c r="E28" s="52" t="e">
        <f>VLOOKUP(B28,distribucion!G$8:FP$153,7,0)</f>
        <v>#N/A</v>
      </c>
      <c r="F28" s="12" t="e">
        <f>VLOOKUP(B28,distribucion!$G$8:$DV$153,14,0)</f>
        <v>#N/A</v>
      </c>
      <c r="G28" s="55" t="e">
        <f>ROUND((VLOOKUP(B28,distribucion!G$8:FP$153,121,0)),2)</f>
        <v>#N/A</v>
      </c>
      <c r="H28" s="55" t="e">
        <f>ROUND((VLOOKUP(B28,distribucion!G$8:FP$153,122,0)),2)</f>
        <v>#N/A</v>
      </c>
      <c r="I28" s="51" t="e">
        <f t="shared" si="3"/>
        <v>#N/A</v>
      </c>
      <c r="J28" s="51" t="e">
        <f>VLOOKUP(B28,distribucion!G$8:FP$153,123,0)</f>
        <v>#N/A</v>
      </c>
      <c r="K28" s="51" t="e">
        <f>ROUND((VLOOKUP(B28,distribucion!G$8:FP$153,124,0)),2)</f>
        <v>#N/A</v>
      </c>
      <c r="L28" s="51" t="e">
        <f>VLOOKUP(B28,distribucion!G$8:FP$153,125,0)</f>
        <v>#N/A</v>
      </c>
      <c r="M28" s="51" t="e">
        <f>ROUND((VLOOKUP(B28,distribucion!G$8:FP$153,126,0)),2)</f>
        <v>#N/A</v>
      </c>
      <c r="N28" s="51" t="e">
        <f>ROUND((VLOOKUP(B28,distribucion!G$8:FP$153,127,0)),2)</f>
        <v>#N/A</v>
      </c>
      <c r="O28" s="51" t="e">
        <f t="shared" si="4"/>
        <v>#N/A</v>
      </c>
      <c r="P28" s="51" t="e">
        <f t="shared" si="5"/>
        <v>#N/A</v>
      </c>
      <c r="Q28" s="51" t="e">
        <f>ROUND((VLOOKUP(B28,distribucion!G$8:FP$153,148,0)),2)</f>
        <v>#N/A</v>
      </c>
      <c r="R28" s="51" t="e">
        <f>ROUND((VLOOKUP(B28,distribucion!G$8:FP$153,149,0)),2)</f>
        <v>#N/A</v>
      </c>
      <c r="S28" s="51">
        <v>0</v>
      </c>
      <c r="T28" s="51" t="e">
        <f>ROUND((VLOOKUP(B28,distribucion!G13:FJ153,153,0)),2)</f>
        <v>#N/A</v>
      </c>
      <c r="U28" s="51" t="e">
        <f>ROUND((VLOOKUP(B28,distribucion!G13:FJ153,152,0)),2)</f>
        <v>#N/A</v>
      </c>
      <c r="V28" s="51" t="e">
        <f>ROUND((VLOOKUP(B28,distribucion!G13:FJ153,151,0)),2)</f>
        <v>#N/A</v>
      </c>
      <c r="W28" s="51" t="e">
        <f>ROUND((VLOOKUP(B28,distribucion!G$8:FP$153,154,0)),2)</f>
        <v>#N/A</v>
      </c>
      <c r="X28" s="51" t="e">
        <f>SUM(P28:W28)</f>
        <v>#N/A</v>
      </c>
      <c r="Y28" s="51" t="e">
        <f t="shared" si="6"/>
        <v>#N/A</v>
      </c>
      <c r="Z28" s="108" t="e">
        <f t="shared" si="9"/>
        <v>#N/A</v>
      </c>
      <c r="AA28" s="51" t="e">
        <f t="shared" si="10"/>
        <v>#N/A</v>
      </c>
      <c r="AB28" s="106" t="e">
        <f t="shared" si="11"/>
        <v>#N/A</v>
      </c>
      <c r="AC28" s="105" t="e">
        <f t="shared" si="12"/>
        <v>#N/A</v>
      </c>
    </row>
    <row r="29" spans="1:29" s="6" customFormat="1">
      <c r="A29" s="3">
        <v>11</v>
      </c>
      <c r="B29" s="4">
        <v>0</v>
      </c>
      <c r="C29" s="11" t="e">
        <f>VLOOKUP(B29,distribucion!G$8:FP$153,2,0)</f>
        <v>#N/A</v>
      </c>
      <c r="D29" s="11" t="e">
        <f>G29+K29+M29</f>
        <v>#N/A</v>
      </c>
      <c r="E29" s="52" t="e">
        <f>VLOOKUP(B29,distribucion!G$8:FP$153,7,0)</f>
        <v>#N/A</v>
      </c>
      <c r="F29" s="12" t="e">
        <f>VLOOKUP(B29,distribucion!$G$8:$DV$153,14,0)</f>
        <v>#N/A</v>
      </c>
      <c r="G29" s="55" t="e">
        <f>ROUND((VLOOKUP(B29,distribucion!G$8:FP$153,121,0)),2)</f>
        <v>#N/A</v>
      </c>
      <c r="H29" s="55" t="e">
        <f>ROUND((VLOOKUP(B29,distribucion!G$8:FP$153,122,0)),2)</f>
        <v>#N/A</v>
      </c>
      <c r="I29" s="51" t="e">
        <f t="shared" si="3"/>
        <v>#N/A</v>
      </c>
      <c r="J29" s="51" t="e">
        <f>VLOOKUP(B29,distribucion!G$8:FP$153,123,0)</f>
        <v>#N/A</v>
      </c>
      <c r="K29" s="51" t="e">
        <f>ROUND((VLOOKUP(B29,distribucion!G$8:FP$153,124,0)),2)</f>
        <v>#N/A</v>
      </c>
      <c r="L29" s="51" t="e">
        <f>VLOOKUP(B29,distribucion!G$8:FP$153,125,0)</f>
        <v>#N/A</v>
      </c>
      <c r="M29" s="51" t="e">
        <f>ROUND((VLOOKUP(B29,distribucion!G$8:FP$153,126,0)),2)</f>
        <v>#N/A</v>
      </c>
      <c r="N29" s="51" t="e">
        <f>ROUND((VLOOKUP(B29,distribucion!G$8:FP$153,127,0)),2)</f>
        <v>#N/A</v>
      </c>
      <c r="O29" s="51" t="e">
        <f t="shared" si="4"/>
        <v>#N/A</v>
      </c>
      <c r="P29" s="51" t="e">
        <f t="shared" si="5"/>
        <v>#N/A</v>
      </c>
      <c r="Q29" s="51" t="e">
        <f>ROUND((VLOOKUP(B29,distribucion!G$8:FP$153,148,0)),2)</f>
        <v>#N/A</v>
      </c>
      <c r="R29" s="51" t="e">
        <f>ROUND((VLOOKUP(B29,distribucion!G$8:FP$153,149,0)),2)</f>
        <v>#N/A</v>
      </c>
      <c r="S29" s="51">
        <v>0</v>
      </c>
      <c r="T29" s="51" t="e">
        <f>ROUND((VLOOKUP(B29,distribucion!G13:FJ153,153,0)),2)</f>
        <v>#N/A</v>
      </c>
      <c r="U29" s="51" t="e">
        <f>ROUND((VLOOKUP(B29,distribucion!G13:FJ153,152,0)),2)</f>
        <v>#N/A</v>
      </c>
      <c r="V29" s="51" t="e">
        <f>ROUND((VLOOKUP(B29,distribucion!G13:FJ153,151,0)),2)</f>
        <v>#N/A</v>
      </c>
      <c r="W29" s="51" t="e">
        <f>ROUND((VLOOKUP(B29,distribucion!G$8:FP$153,154,0)),2)</f>
        <v>#N/A</v>
      </c>
      <c r="X29" s="51" t="e">
        <f>SUM(P29:W29)</f>
        <v>#N/A</v>
      </c>
      <c r="Y29" s="51" t="e">
        <f t="shared" si="6"/>
        <v>#N/A</v>
      </c>
      <c r="Z29" s="108" t="e">
        <f t="shared" si="9"/>
        <v>#N/A</v>
      </c>
      <c r="AA29" s="51" t="e">
        <f t="shared" si="10"/>
        <v>#N/A</v>
      </c>
      <c r="AB29" s="106" t="e">
        <f t="shared" si="11"/>
        <v>#N/A</v>
      </c>
      <c r="AC29" s="105" t="e">
        <f t="shared" si="12"/>
        <v>#N/A</v>
      </c>
    </row>
    <row r="30" spans="1:29" s="6" customFormat="1" ht="13.5" thickBot="1">
      <c r="A30" s="3"/>
      <c r="B30" s="10"/>
      <c r="C30" s="15" t="s">
        <v>171</v>
      </c>
      <c r="D30" s="15" t="s">
        <v>171</v>
      </c>
      <c r="E30" s="52"/>
      <c r="F30" s="12"/>
      <c r="G30" s="73" t="e">
        <f t="shared" ref="G30:Y30" si="13">SUM(G21:G29)</f>
        <v>#N/A</v>
      </c>
      <c r="H30" s="73" t="e">
        <f t="shared" si="13"/>
        <v>#N/A</v>
      </c>
      <c r="I30" s="73" t="e">
        <f t="shared" si="13"/>
        <v>#N/A</v>
      </c>
      <c r="J30" s="73" t="e">
        <f t="shared" si="13"/>
        <v>#N/A</v>
      </c>
      <c r="K30" s="73" t="e">
        <f t="shared" si="13"/>
        <v>#N/A</v>
      </c>
      <c r="L30" s="73" t="e">
        <f t="shared" si="13"/>
        <v>#N/A</v>
      </c>
      <c r="M30" s="73" t="e">
        <f t="shared" si="13"/>
        <v>#N/A</v>
      </c>
      <c r="N30" s="73" t="e">
        <f t="shared" si="13"/>
        <v>#N/A</v>
      </c>
      <c r="O30" s="73" t="e">
        <f t="shared" si="13"/>
        <v>#N/A</v>
      </c>
      <c r="P30" s="73" t="e">
        <f t="shared" si="13"/>
        <v>#N/A</v>
      </c>
      <c r="Q30" s="73" t="e">
        <f t="shared" si="13"/>
        <v>#N/A</v>
      </c>
      <c r="R30" s="73" t="e">
        <f t="shared" si="13"/>
        <v>#N/A</v>
      </c>
      <c r="S30" s="73">
        <f t="shared" si="13"/>
        <v>0</v>
      </c>
      <c r="T30" s="73" t="e">
        <f t="shared" si="13"/>
        <v>#N/A</v>
      </c>
      <c r="U30" s="73" t="e">
        <f t="shared" si="13"/>
        <v>#N/A</v>
      </c>
      <c r="V30" s="73" t="e">
        <f t="shared" si="13"/>
        <v>#N/A</v>
      </c>
      <c r="W30" s="73" t="e">
        <f t="shared" si="13"/>
        <v>#N/A</v>
      </c>
      <c r="X30" s="73" t="e">
        <f t="shared" si="13"/>
        <v>#N/A</v>
      </c>
      <c r="Y30" s="73" t="e">
        <f t="shared" si="13"/>
        <v>#N/A</v>
      </c>
      <c r="Z30" s="73" t="e">
        <f>SUM(Z21:Z29)</f>
        <v>#N/A</v>
      </c>
      <c r="AA30" s="73" t="e">
        <f>SUM(AA21:AA29)</f>
        <v>#N/A</v>
      </c>
      <c r="AB30" s="106" t="e">
        <f t="shared" si="11"/>
        <v>#N/A</v>
      </c>
      <c r="AC30" s="105" t="e">
        <f t="shared" si="12"/>
        <v>#N/A</v>
      </c>
    </row>
    <row r="31" spans="1:29" s="6" customFormat="1" ht="13.5" thickTop="1">
      <c r="A31" s="3"/>
      <c r="B31" s="10"/>
      <c r="C31" s="15"/>
      <c r="D31" s="15"/>
      <c r="E31" s="52"/>
      <c r="F31" s="12"/>
      <c r="G31" s="53"/>
      <c r="H31" s="53"/>
      <c r="I31" s="53"/>
      <c r="J31" s="53"/>
      <c r="K31" s="53"/>
      <c r="L31" s="53"/>
      <c r="M31" s="53"/>
      <c r="N31" s="53"/>
      <c r="O31" s="53"/>
      <c r="P31" s="53"/>
      <c r="Q31" s="53"/>
      <c r="R31" s="53"/>
      <c r="S31" s="53"/>
      <c r="T31" s="53"/>
      <c r="U31" s="53"/>
      <c r="V31" s="53"/>
      <c r="W31" s="53"/>
      <c r="X31" s="53"/>
      <c r="Y31" s="53"/>
      <c r="Z31" s="53"/>
      <c r="AA31" s="53"/>
      <c r="AB31" s="106">
        <f t="shared" si="11"/>
        <v>0</v>
      </c>
      <c r="AC31" s="105">
        <f t="shared" si="12"/>
        <v>0</v>
      </c>
    </row>
    <row r="32" spans="1:29" s="6" customFormat="1">
      <c r="A32" s="3"/>
      <c r="B32" s="16" t="s">
        <v>362</v>
      </c>
      <c r="C32" s="15"/>
      <c r="D32" s="15"/>
      <c r="E32" s="52"/>
      <c r="F32" s="12"/>
      <c r="G32" s="53"/>
      <c r="H32" s="53"/>
      <c r="I32" s="53"/>
      <c r="J32" s="53"/>
      <c r="K32" s="53"/>
      <c r="L32" s="53"/>
      <c r="M32" s="53"/>
      <c r="N32" s="53"/>
      <c r="O32" s="53"/>
      <c r="P32" s="53"/>
      <c r="Q32" s="53"/>
      <c r="R32" s="53"/>
      <c r="S32" s="53"/>
      <c r="T32" s="53"/>
      <c r="U32" s="53"/>
      <c r="V32" s="53"/>
      <c r="W32" s="53"/>
      <c r="X32" s="53"/>
      <c r="Y32" s="53"/>
      <c r="Z32" s="53"/>
      <c r="AA32" s="53"/>
      <c r="AB32" s="106">
        <f t="shared" si="11"/>
        <v>0</v>
      </c>
      <c r="AC32" s="105">
        <f t="shared" si="12"/>
        <v>0</v>
      </c>
    </row>
    <row r="33" spans="1:29" s="6" customFormat="1">
      <c r="A33" s="3">
        <v>12</v>
      </c>
      <c r="B33" s="4">
        <v>0</v>
      </c>
      <c r="C33" s="11" t="e">
        <f>VLOOKUP(B33,distribucion!G$8:FP$153,2,0)</f>
        <v>#N/A</v>
      </c>
      <c r="D33" s="11" t="e">
        <f>G33+K33+M33</f>
        <v>#N/A</v>
      </c>
      <c r="E33" s="52" t="e">
        <f>VLOOKUP(B33,distribucion!G$8:FP$153,7,0)</f>
        <v>#N/A</v>
      </c>
      <c r="F33" s="12" t="e">
        <f>VLOOKUP(B33,distribucion!$G$8:$DV$153,14,0)</f>
        <v>#N/A</v>
      </c>
      <c r="G33" s="55" t="e">
        <f>ROUND((VLOOKUP(B33,distribucion!G$8:FP$153,121,0)),2)</f>
        <v>#N/A</v>
      </c>
      <c r="H33" s="55" t="e">
        <f>ROUND((VLOOKUP(B33,distribucion!G$8:FP$153,122,0)),2)</f>
        <v>#N/A</v>
      </c>
      <c r="I33" s="51" t="e">
        <f>G33+H33</f>
        <v>#N/A</v>
      </c>
      <c r="J33" s="51" t="e">
        <f>VLOOKUP(B33,distribucion!G$8:FP$153,123,0)</f>
        <v>#N/A</v>
      </c>
      <c r="K33" s="51" t="e">
        <f>ROUND((VLOOKUP(B33,distribucion!G$8:FP$153,124,0)),2)</f>
        <v>#N/A</v>
      </c>
      <c r="L33" s="51" t="e">
        <f>VLOOKUP(B33,distribucion!G$8:FP$153,125,0)</f>
        <v>#N/A</v>
      </c>
      <c r="M33" s="51" t="e">
        <f>ROUND((VLOOKUP(B33,distribucion!G$8:FP$153,126,0)),2)</f>
        <v>#N/A</v>
      </c>
      <c r="N33" s="51" t="e">
        <f>ROUND((VLOOKUP(B33,distribucion!G$8:FP$153,127,0)),2)</f>
        <v>#N/A</v>
      </c>
      <c r="O33" s="51" t="e">
        <f>SUM(I33:N33)-J33-L33</f>
        <v>#N/A</v>
      </c>
      <c r="P33" s="51" t="e">
        <f>ROUND(((G33+K33+M33+N33)*0.0483),2)</f>
        <v>#N/A</v>
      </c>
      <c r="Q33" s="51" t="e">
        <f>ROUND((VLOOKUP(B33,distribucion!G$8:FP$153,148,0)),2)</f>
        <v>#N/A</v>
      </c>
      <c r="R33" s="51" t="e">
        <f>ROUND((VLOOKUP(B33,distribucion!G$8:FP$153,149,0)),2)</f>
        <v>#N/A</v>
      </c>
      <c r="S33" s="51">
        <v>0</v>
      </c>
      <c r="T33" s="51" t="e">
        <f>ROUND((VLOOKUP(B33,distribucion!G13:FJ153,153,0)),2)</f>
        <v>#N/A</v>
      </c>
      <c r="U33" s="51" t="e">
        <f>ROUND((VLOOKUP(B33,distribucion!G13:FJ153,152,0)),2)</f>
        <v>#N/A</v>
      </c>
      <c r="V33" s="51" t="e">
        <f>ROUND((VLOOKUP(B33,distribucion!G13:FJ153,151,0)),2)</f>
        <v>#N/A</v>
      </c>
      <c r="W33" s="51" t="e">
        <f>ROUND((VLOOKUP(B33,distribucion!G$8:FP$153,154,0)),2)</f>
        <v>#N/A</v>
      </c>
      <c r="X33" s="51" t="e">
        <f>SUM(P33:W33)</f>
        <v>#N/A</v>
      </c>
      <c r="Y33" s="51" t="e">
        <f>O33-X33</f>
        <v>#N/A</v>
      </c>
      <c r="Z33" s="108" t="e">
        <f>+Y33</f>
        <v>#N/A</v>
      </c>
      <c r="AA33" s="51" t="e">
        <f>+Y33-Z33</f>
        <v>#N/A</v>
      </c>
      <c r="AB33" s="106" t="e">
        <f t="shared" si="11"/>
        <v>#N/A</v>
      </c>
      <c r="AC33" s="105" t="e">
        <f t="shared" si="12"/>
        <v>#N/A</v>
      </c>
    </row>
    <row r="34" spans="1:29" s="6" customFormat="1" ht="13.5" thickBot="1">
      <c r="A34" s="3"/>
      <c r="B34" s="10"/>
      <c r="C34" s="15"/>
      <c r="D34" s="15"/>
      <c r="E34" s="52"/>
      <c r="F34" s="12"/>
      <c r="G34" s="73" t="e">
        <f>+G33</f>
        <v>#N/A</v>
      </c>
      <c r="H34" s="73" t="e">
        <f t="shared" ref="H34:Z34" si="14">+H33</f>
        <v>#N/A</v>
      </c>
      <c r="I34" s="73" t="e">
        <f t="shared" si="14"/>
        <v>#N/A</v>
      </c>
      <c r="J34" s="73" t="e">
        <f t="shared" si="14"/>
        <v>#N/A</v>
      </c>
      <c r="K34" s="73" t="e">
        <f t="shared" si="14"/>
        <v>#N/A</v>
      </c>
      <c r="L34" s="73" t="e">
        <f t="shared" si="14"/>
        <v>#N/A</v>
      </c>
      <c r="M34" s="73" t="e">
        <f t="shared" si="14"/>
        <v>#N/A</v>
      </c>
      <c r="N34" s="73" t="e">
        <f t="shared" si="14"/>
        <v>#N/A</v>
      </c>
      <c r="O34" s="73" t="e">
        <f t="shared" si="14"/>
        <v>#N/A</v>
      </c>
      <c r="P34" s="73" t="e">
        <f t="shared" si="14"/>
        <v>#N/A</v>
      </c>
      <c r="Q34" s="73" t="e">
        <f t="shared" si="14"/>
        <v>#N/A</v>
      </c>
      <c r="R34" s="73" t="e">
        <f t="shared" si="14"/>
        <v>#N/A</v>
      </c>
      <c r="S34" s="73">
        <f t="shared" si="14"/>
        <v>0</v>
      </c>
      <c r="T34" s="73" t="e">
        <f t="shared" si="14"/>
        <v>#N/A</v>
      </c>
      <c r="U34" s="73" t="e">
        <f t="shared" si="14"/>
        <v>#N/A</v>
      </c>
      <c r="V34" s="73" t="e">
        <f t="shared" si="14"/>
        <v>#N/A</v>
      </c>
      <c r="W34" s="73" t="e">
        <f t="shared" si="14"/>
        <v>#N/A</v>
      </c>
      <c r="X34" s="73" t="e">
        <f t="shared" si="14"/>
        <v>#N/A</v>
      </c>
      <c r="Y34" s="73" t="e">
        <f t="shared" si="14"/>
        <v>#N/A</v>
      </c>
      <c r="Z34" s="73" t="e">
        <f t="shared" si="14"/>
        <v>#N/A</v>
      </c>
      <c r="AA34" s="73" t="e">
        <f>+AA33</f>
        <v>#N/A</v>
      </c>
      <c r="AB34" s="106" t="e">
        <f t="shared" si="11"/>
        <v>#N/A</v>
      </c>
      <c r="AC34" s="105" t="e">
        <f t="shared" si="12"/>
        <v>#N/A</v>
      </c>
    </row>
    <row r="35" spans="1:29" s="6" customFormat="1" ht="13.5" thickTop="1">
      <c r="A35" s="3"/>
      <c r="B35" s="10"/>
      <c r="C35" s="15"/>
      <c r="D35" s="15"/>
      <c r="E35" s="52"/>
      <c r="F35" s="12"/>
      <c r="G35" s="53"/>
      <c r="H35" s="53"/>
      <c r="I35" s="53"/>
      <c r="J35" s="53"/>
      <c r="K35" s="53"/>
      <c r="L35" s="53"/>
      <c r="M35" s="53"/>
      <c r="N35" s="53"/>
      <c r="O35" s="53"/>
      <c r="P35" s="53"/>
      <c r="Q35" s="53"/>
      <c r="R35" s="53"/>
      <c r="S35" s="53"/>
      <c r="T35" s="53"/>
      <c r="U35" s="53"/>
      <c r="V35" s="53"/>
      <c r="W35" s="53"/>
      <c r="X35" s="53"/>
      <c r="Y35" s="53"/>
      <c r="Z35" s="53"/>
      <c r="AA35" s="53"/>
      <c r="AB35" s="106">
        <f t="shared" si="11"/>
        <v>0</v>
      </c>
      <c r="AC35" s="105">
        <f t="shared" si="12"/>
        <v>0</v>
      </c>
    </row>
    <row r="36" spans="1:29" s="6" customFormat="1" ht="12.75">
      <c r="A36" s="3"/>
      <c r="B36" s="10"/>
      <c r="C36" s="15"/>
      <c r="D36" s="15"/>
      <c r="E36" s="52"/>
      <c r="F36" s="56" t="s">
        <v>197</v>
      </c>
      <c r="G36" s="74" t="e">
        <f t="shared" ref="G36:AA36" si="15">+G19+G30+G34</f>
        <v>#N/A</v>
      </c>
      <c r="H36" s="74" t="e">
        <f t="shared" si="15"/>
        <v>#N/A</v>
      </c>
      <c r="I36" s="74" t="e">
        <f t="shared" si="15"/>
        <v>#N/A</v>
      </c>
      <c r="J36" s="74" t="e">
        <f t="shared" si="15"/>
        <v>#N/A</v>
      </c>
      <c r="K36" s="74" t="e">
        <f t="shared" si="15"/>
        <v>#N/A</v>
      </c>
      <c r="L36" s="74" t="e">
        <f t="shared" si="15"/>
        <v>#N/A</v>
      </c>
      <c r="M36" s="74" t="e">
        <f t="shared" si="15"/>
        <v>#N/A</v>
      </c>
      <c r="N36" s="74" t="e">
        <f t="shared" si="15"/>
        <v>#N/A</v>
      </c>
      <c r="O36" s="74" t="e">
        <f t="shared" si="15"/>
        <v>#N/A</v>
      </c>
      <c r="P36" s="74" t="e">
        <f t="shared" si="15"/>
        <v>#N/A</v>
      </c>
      <c r="Q36" s="74" t="e">
        <f t="shared" si="15"/>
        <v>#N/A</v>
      </c>
      <c r="R36" s="74" t="e">
        <f t="shared" si="15"/>
        <v>#N/A</v>
      </c>
      <c r="S36" s="74">
        <f t="shared" si="15"/>
        <v>0</v>
      </c>
      <c r="T36" s="74" t="e">
        <f t="shared" si="15"/>
        <v>#N/A</v>
      </c>
      <c r="U36" s="74" t="e">
        <f t="shared" si="15"/>
        <v>#N/A</v>
      </c>
      <c r="V36" s="74" t="e">
        <f t="shared" si="15"/>
        <v>#N/A</v>
      </c>
      <c r="W36" s="74" t="e">
        <f t="shared" si="15"/>
        <v>#N/A</v>
      </c>
      <c r="X36" s="74" t="e">
        <f t="shared" si="15"/>
        <v>#N/A</v>
      </c>
      <c r="Y36" s="74" t="e">
        <f t="shared" si="15"/>
        <v>#N/A</v>
      </c>
      <c r="Z36" s="74" t="e">
        <f t="shared" si="15"/>
        <v>#N/A</v>
      </c>
      <c r="AA36" s="74" t="e">
        <f t="shared" si="15"/>
        <v>#N/A</v>
      </c>
      <c r="AB36" s="106" t="e">
        <f t="shared" si="11"/>
        <v>#N/A</v>
      </c>
      <c r="AC36" s="105" t="e">
        <f t="shared" si="12"/>
        <v>#N/A</v>
      </c>
    </row>
    <row r="37" spans="1:29" s="6" customFormat="1" ht="12.75">
      <c r="A37" s="3"/>
      <c r="B37" s="10"/>
      <c r="C37" s="15"/>
      <c r="D37" s="15"/>
      <c r="E37" s="52"/>
      <c r="F37" s="12"/>
      <c r="G37" s="53"/>
      <c r="H37" s="53"/>
      <c r="I37" s="53"/>
      <c r="J37" s="53"/>
      <c r="K37" s="53"/>
      <c r="L37" s="53"/>
      <c r="M37" s="53"/>
      <c r="N37" s="53"/>
      <c r="O37" s="53"/>
      <c r="P37" s="53"/>
      <c r="Q37" s="53"/>
      <c r="R37" s="53"/>
      <c r="S37" s="53"/>
      <c r="T37" s="53"/>
      <c r="U37" s="53"/>
      <c r="V37" s="53"/>
      <c r="W37" s="53"/>
      <c r="X37" s="53"/>
      <c r="Y37" s="53"/>
      <c r="Z37" s="53"/>
      <c r="AA37" s="53"/>
      <c r="AB37" s="106">
        <f t="shared" si="11"/>
        <v>0</v>
      </c>
      <c r="AC37" s="105">
        <f t="shared" si="12"/>
        <v>0</v>
      </c>
    </row>
    <row r="38" spans="1:29" ht="12" thickBot="1">
      <c r="A38" s="6"/>
      <c r="B38" s="6"/>
      <c r="C38" s="6" t="s">
        <v>129</v>
      </c>
      <c r="D38" s="6"/>
      <c r="E38" s="6"/>
      <c r="G38" s="58" t="e">
        <f t="shared" ref="G38:AA38" si="16">G36+G10</f>
        <v>#N/A</v>
      </c>
      <c r="H38" s="58" t="e">
        <f t="shared" si="16"/>
        <v>#N/A</v>
      </c>
      <c r="I38" s="58" t="e">
        <f t="shared" si="16"/>
        <v>#N/A</v>
      </c>
      <c r="J38" s="58" t="e">
        <f t="shared" si="16"/>
        <v>#N/A</v>
      </c>
      <c r="K38" s="58" t="e">
        <f t="shared" si="16"/>
        <v>#N/A</v>
      </c>
      <c r="L38" s="58" t="e">
        <f t="shared" si="16"/>
        <v>#N/A</v>
      </c>
      <c r="M38" s="58" t="e">
        <f t="shared" si="16"/>
        <v>#N/A</v>
      </c>
      <c r="N38" s="58" t="e">
        <f t="shared" si="16"/>
        <v>#N/A</v>
      </c>
      <c r="O38" s="58" t="e">
        <f t="shared" si="16"/>
        <v>#N/A</v>
      </c>
      <c r="P38" s="58" t="e">
        <f t="shared" si="16"/>
        <v>#N/A</v>
      </c>
      <c r="Q38" s="58" t="e">
        <f t="shared" si="16"/>
        <v>#N/A</v>
      </c>
      <c r="R38" s="58" t="e">
        <f t="shared" si="16"/>
        <v>#N/A</v>
      </c>
      <c r="S38" s="58">
        <f t="shared" si="16"/>
        <v>0</v>
      </c>
      <c r="T38" s="58" t="e">
        <f t="shared" si="16"/>
        <v>#N/A</v>
      </c>
      <c r="U38" s="58" t="e">
        <f t="shared" si="16"/>
        <v>#N/A</v>
      </c>
      <c r="V38" s="58" t="e">
        <f t="shared" si="16"/>
        <v>#N/A</v>
      </c>
      <c r="W38" s="58" t="e">
        <f t="shared" si="16"/>
        <v>#N/A</v>
      </c>
      <c r="X38" s="58" t="e">
        <f t="shared" si="16"/>
        <v>#N/A</v>
      </c>
      <c r="Y38" s="58" t="e">
        <f t="shared" si="16"/>
        <v>#N/A</v>
      </c>
      <c r="Z38" s="58" t="e">
        <f t="shared" si="16"/>
        <v>#N/A</v>
      </c>
      <c r="AA38" s="58" t="e">
        <f t="shared" si="16"/>
        <v>#N/A</v>
      </c>
      <c r="AB38" s="106" t="e">
        <f t="shared" si="11"/>
        <v>#N/A</v>
      </c>
      <c r="AC38" s="105" t="e">
        <f t="shared" si="12"/>
        <v>#N/A</v>
      </c>
    </row>
    <row r="39" spans="1:29" ht="12" thickTop="1">
      <c r="G39" s="51"/>
      <c r="H39" s="51"/>
      <c r="I39" s="51"/>
      <c r="J39" s="51"/>
      <c r="K39" s="51"/>
      <c r="L39" s="51"/>
      <c r="M39" s="51"/>
      <c r="N39" s="51"/>
      <c r="O39" s="51"/>
      <c r="P39" s="51"/>
      <c r="Q39" s="51"/>
      <c r="R39" s="51"/>
      <c r="S39" s="51"/>
      <c r="T39" s="51"/>
      <c r="U39" s="51"/>
      <c r="V39" s="51"/>
      <c r="W39" s="51"/>
      <c r="X39" s="51"/>
      <c r="Y39" s="51"/>
      <c r="Z39" s="51"/>
      <c r="AA39" s="51"/>
      <c r="AC39" s="103" t="e">
        <f>+Y40-Z40-AA40</f>
        <v>#N/A</v>
      </c>
    </row>
    <row r="40" spans="1:29">
      <c r="G40" s="107" t="e">
        <f t="shared" ref="G40:AA40" si="17">SUM(G7:G38)-G10-G19-G30-G36-G38-G34</f>
        <v>#N/A</v>
      </c>
      <c r="H40" s="107" t="e">
        <f t="shared" si="17"/>
        <v>#N/A</v>
      </c>
      <c r="I40" s="107" t="e">
        <f t="shared" si="17"/>
        <v>#N/A</v>
      </c>
      <c r="J40" s="107" t="e">
        <f t="shared" si="17"/>
        <v>#N/A</v>
      </c>
      <c r="K40" s="107" t="e">
        <f t="shared" si="17"/>
        <v>#N/A</v>
      </c>
      <c r="L40" s="107" t="e">
        <f t="shared" si="17"/>
        <v>#N/A</v>
      </c>
      <c r="M40" s="107" t="e">
        <f t="shared" si="17"/>
        <v>#N/A</v>
      </c>
      <c r="N40" s="107" t="e">
        <f t="shared" si="17"/>
        <v>#N/A</v>
      </c>
      <c r="O40" s="107" t="e">
        <f t="shared" si="17"/>
        <v>#N/A</v>
      </c>
      <c r="P40" s="107" t="e">
        <f t="shared" si="17"/>
        <v>#N/A</v>
      </c>
      <c r="Q40" s="107" t="e">
        <f t="shared" si="17"/>
        <v>#N/A</v>
      </c>
      <c r="R40" s="107" t="e">
        <f t="shared" si="17"/>
        <v>#N/A</v>
      </c>
      <c r="S40" s="107">
        <f t="shared" si="17"/>
        <v>0</v>
      </c>
      <c r="T40" s="107" t="e">
        <f t="shared" si="17"/>
        <v>#N/A</v>
      </c>
      <c r="U40" s="107" t="e">
        <f t="shared" si="17"/>
        <v>#N/A</v>
      </c>
      <c r="V40" s="107" t="e">
        <f t="shared" si="17"/>
        <v>#N/A</v>
      </c>
      <c r="W40" s="107" t="e">
        <f t="shared" si="17"/>
        <v>#N/A</v>
      </c>
      <c r="X40" s="107" t="e">
        <f t="shared" si="17"/>
        <v>#N/A</v>
      </c>
      <c r="Y40" s="107" t="e">
        <f t="shared" si="17"/>
        <v>#N/A</v>
      </c>
      <c r="Z40" s="107" t="e">
        <f t="shared" si="17"/>
        <v>#N/A</v>
      </c>
      <c r="AA40" s="107" t="e">
        <f t="shared" si="17"/>
        <v>#N/A</v>
      </c>
    </row>
    <row r="41" spans="1:29">
      <c r="G41" s="105" t="e">
        <f>ROUND((G40-G38),2)</f>
        <v>#N/A</v>
      </c>
      <c r="H41" s="105" t="e">
        <f t="shared" ref="H41:AA41" si="18">ROUND((H40-H38),2)</f>
        <v>#N/A</v>
      </c>
      <c r="I41" s="105" t="e">
        <f t="shared" si="18"/>
        <v>#N/A</v>
      </c>
      <c r="J41" s="105" t="e">
        <f t="shared" si="18"/>
        <v>#N/A</v>
      </c>
      <c r="K41" s="105" t="e">
        <f t="shared" si="18"/>
        <v>#N/A</v>
      </c>
      <c r="L41" s="105" t="e">
        <f t="shared" si="18"/>
        <v>#N/A</v>
      </c>
      <c r="M41" s="105" t="e">
        <f t="shared" si="18"/>
        <v>#N/A</v>
      </c>
      <c r="N41" s="105" t="e">
        <f t="shared" si="18"/>
        <v>#N/A</v>
      </c>
      <c r="O41" s="105" t="e">
        <f t="shared" si="18"/>
        <v>#N/A</v>
      </c>
      <c r="P41" s="105" t="e">
        <f t="shared" si="18"/>
        <v>#N/A</v>
      </c>
      <c r="Q41" s="105" t="e">
        <f t="shared" si="18"/>
        <v>#N/A</v>
      </c>
      <c r="R41" s="105" t="e">
        <f t="shared" si="18"/>
        <v>#N/A</v>
      </c>
      <c r="S41" s="105">
        <f t="shared" si="18"/>
        <v>0</v>
      </c>
      <c r="T41" s="105" t="e">
        <f t="shared" si="18"/>
        <v>#N/A</v>
      </c>
      <c r="U41" s="105" t="e">
        <f t="shared" si="18"/>
        <v>#N/A</v>
      </c>
      <c r="V41" s="105" t="e">
        <f t="shared" si="18"/>
        <v>#N/A</v>
      </c>
      <c r="W41" s="105" t="e">
        <f t="shared" si="18"/>
        <v>#N/A</v>
      </c>
      <c r="X41" s="105" t="e">
        <f t="shared" si="18"/>
        <v>#N/A</v>
      </c>
      <c r="Y41" s="105" t="e">
        <f t="shared" si="18"/>
        <v>#N/A</v>
      </c>
      <c r="Z41" s="105" t="e">
        <f t="shared" si="18"/>
        <v>#N/A</v>
      </c>
      <c r="AA41" s="105" t="e">
        <f t="shared" si="18"/>
        <v>#N/A</v>
      </c>
    </row>
    <row r="42" spans="1:29">
      <c r="G42" s="106" t="e">
        <f>IF(G41&lt;&gt;0,"Error,  Total general no coincide  con la suma individual","")</f>
        <v>#N/A</v>
      </c>
      <c r="H42" s="106" t="e">
        <f t="shared" ref="H42:AA42" si="19">IF(H41&lt;&gt;0,"Error,  Total general no coincide  con la suma individual","")</f>
        <v>#N/A</v>
      </c>
      <c r="I42" s="106" t="e">
        <f t="shared" si="19"/>
        <v>#N/A</v>
      </c>
      <c r="J42" s="106" t="e">
        <f t="shared" si="19"/>
        <v>#N/A</v>
      </c>
      <c r="K42" s="106" t="e">
        <f t="shared" si="19"/>
        <v>#N/A</v>
      </c>
      <c r="L42" s="106" t="e">
        <f t="shared" si="19"/>
        <v>#N/A</v>
      </c>
      <c r="M42" s="106" t="e">
        <f t="shared" si="19"/>
        <v>#N/A</v>
      </c>
      <c r="N42" s="106" t="e">
        <f t="shared" si="19"/>
        <v>#N/A</v>
      </c>
      <c r="O42" s="106" t="e">
        <f t="shared" si="19"/>
        <v>#N/A</v>
      </c>
      <c r="P42" s="106" t="e">
        <f t="shared" si="19"/>
        <v>#N/A</v>
      </c>
      <c r="Q42" s="106" t="e">
        <f t="shared" si="19"/>
        <v>#N/A</v>
      </c>
      <c r="R42" s="106" t="e">
        <f t="shared" si="19"/>
        <v>#N/A</v>
      </c>
      <c r="S42" s="106" t="str">
        <f t="shared" si="19"/>
        <v/>
      </c>
      <c r="T42" s="106" t="e">
        <f t="shared" si="19"/>
        <v>#N/A</v>
      </c>
      <c r="U42" s="106" t="e">
        <f t="shared" si="19"/>
        <v>#N/A</v>
      </c>
      <c r="V42" s="106" t="e">
        <f t="shared" si="19"/>
        <v>#N/A</v>
      </c>
      <c r="W42" s="106" t="e">
        <f t="shared" si="19"/>
        <v>#N/A</v>
      </c>
      <c r="X42" s="106" t="e">
        <f t="shared" si="19"/>
        <v>#N/A</v>
      </c>
      <c r="Y42" s="106" t="e">
        <f t="shared" si="19"/>
        <v>#N/A</v>
      </c>
      <c r="Z42" s="106" t="e">
        <f t="shared" si="19"/>
        <v>#N/A</v>
      </c>
      <c r="AA42" s="106" t="e">
        <f t="shared" si="19"/>
        <v>#N/A</v>
      </c>
    </row>
    <row r="43" spans="1:29">
      <c r="C43" s="17" t="s">
        <v>199</v>
      </c>
      <c r="D43" s="14"/>
      <c r="E43" s="14"/>
      <c r="F43" s="14" t="s">
        <v>52</v>
      </c>
      <c r="H43" s="51"/>
      <c r="I43" s="51"/>
      <c r="J43" s="51"/>
      <c r="K43" s="51"/>
      <c r="L43" s="51"/>
      <c r="M43" s="51"/>
      <c r="N43" s="51"/>
      <c r="O43" s="51"/>
      <c r="P43" s="51"/>
      <c r="Q43" s="51"/>
      <c r="R43" s="51"/>
      <c r="S43" s="51"/>
      <c r="T43" s="51"/>
      <c r="U43" s="51"/>
      <c r="V43" s="51"/>
      <c r="W43" s="51"/>
      <c r="X43" s="51"/>
      <c r="Y43" s="51"/>
      <c r="Z43" s="51"/>
      <c r="AA43" s="51"/>
    </row>
    <row r="44" spans="1:29">
      <c r="C44" s="3" t="s">
        <v>134</v>
      </c>
      <c r="D44" s="14"/>
      <c r="E44" s="14"/>
      <c r="F44" s="14"/>
      <c r="G44" s="13" t="e">
        <f>+G38</f>
        <v>#N/A</v>
      </c>
      <c r="H44" s="51"/>
      <c r="I44" s="51"/>
      <c r="J44" s="51"/>
      <c r="K44" s="51"/>
      <c r="L44" s="51"/>
      <c r="M44" s="51"/>
      <c r="N44" s="51"/>
      <c r="O44" s="51"/>
      <c r="P44" s="51"/>
      <c r="Q44" s="51"/>
      <c r="R44" s="51"/>
      <c r="S44" s="51"/>
      <c r="T44" s="51"/>
      <c r="U44" s="51"/>
      <c r="V44" s="51"/>
      <c r="W44" s="51"/>
      <c r="X44" s="51"/>
      <c r="Y44" s="51"/>
      <c r="Z44" s="51"/>
      <c r="AA44" s="51"/>
    </row>
    <row r="45" spans="1:29">
      <c r="C45" s="3" t="s">
        <v>200</v>
      </c>
      <c r="D45" s="14"/>
      <c r="E45" s="14"/>
      <c r="F45" s="14"/>
      <c r="G45" s="13" t="e">
        <f>+H38</f>
        <v>#N/A</v>
      </c>
      <c r="H45" s="51"/>
      <c r="I45" s="51"/>
      <c r="J45" s="51"/>
      <c r="K45" s="51"/>
      <c r="L45" s="51"/>
      <c r="M45" s="51"/>
      <c r="N45" s="51"/>
      <c r="O45" s="51"/>
      <c r="P45" s="51"/>
      <c r="Q45" s="51"/>
      <c r="R45" s="51"/>
      <c r="S45" s="51"/>
      <c r="T45" s="51"/>
      <c r="U45" s="51"/>
      <c r="V45" s="51"/>
      <c r="W45" s="51"/>
      <c r="X45" s="51"/>
      <c r="Y45" s="51"/>
      <c r="Z45" s="51"/>
      <c r="AA45" s="51"/>
    </row>
    <row r="46" spans="1:29">
      <c r="C46" s="3" t="s">
        <v>135</v>
      </c>
      <c r="D46" s="14"/>
      <c r="E46" s="14"/>
      <c r="F46" s="14"/>
      <c r="G46" s="13" t="e">
        <f>+K38+M38</f>
        <v>#N/A</v>
      </c>
      <c r="H46" s="51"/>
      <c r="I46" s="51"/>
      <c r="J46" s="51"/>
      <c r="K46" s="51"/>
      <c r="L46" s="51"/>
      <c r="M46" s="51"/>
      <c r="N46" s="51"/>
      <c r="O46" s="51"/>
      <c r="P46" s="51"/>
      <c r="Q46" s="51"/>
      <c r="R46" s="51"/>
      <c r="S46" s="51"/>
      <c r="T46" s="51"/>
      <c r="U46" s="51"/>
      <c r="V46" s="51"/>
      <c r="W46" s="51"/>
      <c r="X46" s="51"/>
      <c r="Y46" s="51"/>
      <c r="Z46" s="51"/>
      <c r="AA46" s="51"/>
    </row>
    <row r="47" spans="1:29">
      <c r="C47" s="3" t="s">
        <v>7</v>
      </c>
      <c r="D47" s="14"/>
      <c r="E47" s="14"/>
      <c r="F47" s="14"/>
      <c r="G47" s="13" t="e">
        <f>+N38</f>
        <v>#N/A</v>
      </c>
      <c r="H47" s="51"/>
      <c r="I47" s="51"/>
      <c r="J47" s="51"/>
      <c r="K47" s="51"/>
      <c r="L47" s="51"/>
      <c r="M47" s="51"/>
      <c r="N47" s="51"/>
      <c r="O47" s="51"/>
      <c r="P47" s="51"/>
      <c r="Q47" s="51"/>
      <c r="R47" s="51"/>
      <c r="S47" s="51"/>
      <c r="T47" s="51"/>
      <c r="U47" s="51"/>
      <c r="V47" s="51"/>
      <c r="W47" s="51"/>
      <c r="X47" s="51"/>
      <c r="Y47" s="51"/>
      <c r="Z47" s="51"/>
      <c r="AA47" s="51"/>
    </row>
    <row r="48" spans="1:29" ht="12" thickBot="1">
      <c r="D48" s="14"/>
      <c r="E48" s="14"/>
      <c r="F48" s="14"/>
      <c r="G48" s="18" t="e">
        <f>SUM(G44:G47)</f>
        <v>#N/A</v>
      </c>
      <c r="H48" s="51"/>
      <c r="I48" s="51"/>
      <c r="J48" s="51"/>
      <c r="K48" s="51"/>
      <c r="L48" s="51"/>
      <c r="M48" s="51"/>
      <c r="N48" s="51"/>
      <c r="O48" s="51"/>
      <c r="P48" s="51"/>
      <c r="Q48" s="51"/>
      <c r="R48" s="51"/>
      <c r="S48" s="51"/>
      <c r="T48" s="51"/>
      <c r="U48" s="51"/>
      <c r="V48" s="51"/>
      <c r="W48" s="51"/>
      <c r="X48" s="51"/>
      <c r="Y48" s="51"/>
      <c r="Z48" s="51"/>
      <c r="AA48" s="51"/>
    </row>
    <row r="49" spans="7:27" ht="12" thickTop="1">
      <c r="G49" s="51"/>
      <c r="H49" s="51"/>
      <c r="I49" s="51"/>
      <c r="J49" s="51"/>
      <c r="K49" s="51"/>
      <c r="L49" s="51"/>
      <c r="M49" s="51"/>
      <c r="N49" s="51"/>
      <c r="O49" s="51"/>
      <c r="P49" s="51"/>
      <c r="Q49" s="51"/>
      <c r="R49" s="51"/>
      <c r="S49" s="51"/>
      <c r="T49" s="51"/>
      <c r="U49" s="51"/>
      <c r="V49" s="51"/>
      <c r="W49" s="51"/>
      <c r="X49" s="51"/>
      <c r="Y49" s="51"/>
      <c r="Z49" s="51"/>
      <c r="AA49" s="51"/>
    </row>
    <row r="50" spans="7:27">
      <c r="G50" s="51"/>
      <c r="H50" s="51"/>
      <c r="I50" s="51"/>
      <c r="J50" s="51"/>
      <c r="K50" s="51"/>
      <c r="L50" s="51"/>
      <c r="M50" s="51"/>
      <c r="N50" s="51"/>
      <c r="O50" s="51"/>
      <c r="P50" s="51"/>
      <c r="Q50" s="51"/>
      <c r="R50" s="51"/>
      <c r="S50" s="51"/>
      <c r="T50" s="51"/>
      <c r="U50" s="51"/>
      <c r="V50" s="51"/>
      <c r="W50" s="51"/>
      <c r="X50" s="51"/>
      <c r="Y50" s="51"/>
      <c r="Z50" s="51"/>
      <c r="AA50" s="51"/>
    </row>
    <row r="51" spans="7:27">
      <c r="G51" s="51"/>
      <c r="H51" s="51"/>
      <c r="I51" s="51"/>
      <c r="J51" s="51"/>
      <c r="K51" s="51"/>
      <c r="L51" s="51"/>
      <c r="M51" s="51"/>
      <c r="N51" s="51"/>
      <c r="O51" s="51"/>
      <c r="P51" s="51"/>
      <c r="Q51" s="51"/>
      <c r="R51" s="51"/>
      <c r="S51" s="51"/>
      <c r="T51" s="51"/>
      <c r="U51" s="51"/>
      <c r="V51" s="51"/>
      <c r="W51" s="51"/>
      <c r="X51" s="51"/>
      <c r="Y51" s="51"/>
      <c r="Z51" s="51"/>
      <c r="AA51" s="51"/>
    </row>
    <row r="52" spans="7:27">
      <c r="G52" s="51"/>
      <c r="H52" s="51"/>
      <c r="I52" s="51"/>
      <c r="J52" s="51"/>
      <c r="K52" s="51"/>
      <c r="L52" s="51"/>
      <c r="M52" s="51"/>
      <c r="N52" s="51"/>
      <c r="O52" s="51"/>
      <c r="P52" s="51"/>
      <c r="Q52" s="51"/>
      <c r="R52" s="51"/>
      <c r="S52" s="51"/>
      <c r="T52" s="51"/>
      <c r="U52" s="51"/>
      <c r="V52" s="51"/>
      <c r="W52" s="51"/>
      <c r="X52" s="51"/>
      <c r="Y52" s="51"/>
      <c r="Z52" s="51"/>
      <c r="AA52" s="51"/>
    </row>
    <row r="53" spans="7:27">
      <c r="G53" s="51"/>
      <c r="H53" s="51"/>
      <c r="I53" s="51"/>
      <c r="J53" s="51"/>
      <c r="K53" s="51"/>
      <c r="L53" s="51"/>
      <c r="M53" s="51"/>
      <c r="N53" s="51"/>
      <c r="O53" s="51"/>
      <c r="P53" s="51"/>
      <c r="Q53" s="51"/>
      <c r="R53" s="51"/>
      <c r="S53" s="51"/>
      <c r="T53" s="51"/>
      <c r="U53" s="51"/>
      <c r="V53" s="51"/>
      <c r="W53" s="51"/>
      <c r="X53" s="51"/>
      <c r="Y53" s="51"/>
      <c r="Z53" s="51"/>
      <c r="AA53" s="51"/>
    </row>
    <row r="54" spans="7:27">
      <c r="G54" s="51"/>
      <c r="H54" s="51"/>
      <c r="I54" s="51"/>
      <c r="J54" s="51"/>
      <c r="K54" s="51"/>
      <c r="L54" s="51"/>
      <c r="M54" s="51"/>
      <c r="N54" s="51"/>
      <c r="O54" s="51"/>
      <c r="P54" s="51"/>
      <c r="Q54" s="51"/>
      <c r="R54" s="51"/>
      <c r="S54" s="51"/>
      <c r="T54" s="51"/>
      <c r="U54" s="51"/>
      <c r="V54" s="51"/>
      <c r="W54" s="51"/>
      <c r="X54" s="51"/>
      <c r="Y54" s="51"/>
      <c r="Z54" s="51"/>
      <c r="AA54" s="51"/>
    </row>
    <row r="55" spans="7:27">
      <c r="G55" s="51"/>
      <c r="H55" s="51"/>
      <c r="I55" s="51"/>
      <c r="J55" s="51"/>
      <c r="K55" s="51"/>
      <c r="L55" s="51"/>
      <c r="M55" s="51"/>
      <c r="N55" s="51"/>
      <c r="O55" s="51"/>
      <c r="P55" s="51"/>
      <c r="Q55" s="51"/>
      <c r="R55" s="51"/>
      <c r="S55" s="51"/>
      <c r="T55" s="51"/>
      <c r="U55" s="51"/>
      <c r="V55" s="51"/>
      <c r="W55" s="51"/>
      <c r="X55" s="51"/>
      <c r="Y55" s="51"/>
      <c r="Z55" s="51"/>
      <c r="AA55" s="51"/>
    </row>
    <row r="56" spans="7:27">
      <c r="G56" s="51"/>
      <c r="H56" s="51"/>
      <c r="I56" s="51"/>
      <c r="J56" s="51"/>
      <c r="K56" s="51"/>
      <c r="L56" s="51"/>
      <c r="M56" s="51"/>
      <c r="N56" s="51"/>
      <c r="O56" s="51"/>
      <c r="P56" s="51"/>
      <c r="Q56" s="51"/>
      <c r="R56" s="51"/>
      <c r="S56" s="51"/>
      <c r="T56" s="51"/>
      <c r="U56" s="51"/>
      <c r="V56" s="51"/>
      <c r="W56" s="51"/>
      <c r="X56" s="51"/>
      <c r="Y56" s="51"/>
      <c r="Z56" s="51"/>
      <c r="AA56" s="51"/>
    </row>
    <row r="57" spans="7:27">
      <c r="G57" s="51"/>
      <c r="H57" s="51"/>
      <c r="I57" s="51"/>
      <c r="J57" s="51"/>
      <c r="K57" s="51"/>
      <c r="L57" s="51"/>
      <c r="M57" s="51"/>
      <c r="N57" s="51"/>
      <c r="O57" s="51"/>
      <c r="P57" s="51"/>
      <c r="Q57" s="51"/>
      <c r="R57" s="51"/>
      <c r="S57" s="51"/>
      <c r="T57" s="51"/>
      <c r="U57" s="51"/>
      <c r="V57" s="51"/>
      <c r="W57" s="51"/>
      <c r="X57" s="51"/>
      <c r="Y57" s="51"/>
      <c r="Z57" s="51"/>
      <c r="AA57" s="51"/>
    </row>
    <row r="58" spans="7:27">
      <c r="G58" s="51"/>
      <c r="H58" s="51"/>
      <c r="I58" s="51"/>
      <c r="J58" s="51"/>
      <c r="K58" s="51"/>
      <c r="L58" s="51"/>
      <c r="M58" s="51"/>
      <c r="N58" s="51"/>
      <c r="O58" s="51"/>
      <c r="P58" s="51"/>
      <c r="Q58" s="51"/>
      <c r="R58" s="51"/>
      <c r="S58" s="51"/>
      <c r="T58" s="51"/>
      <c r="U58" s="51"/>
      <c r="V58" s="51"/>
      <c r="W58" s="51"/>
      <c r="X58" s="51"/>
      <c r="Y58" s="51"/>
      <c r="Z58" s="51"/>
      <c r="AA58" s="51"/>
    </row>
    <row r="59" spans="7:27">
      <c r="G59" s="51"/>
      <c r="H59" s="51"/>
      <c r="I59" s="51"/>
      <c r="J59" s="51"/>
      <c r="K59" s="51"/>
      <c r="L59" s="51"/>
      <c r="M59" s="51"/>
      <c r="N59" s="51"/>
      <c r="O59" s="51"/>
      <c r="P59" s="51"/>
      <c r="Q59" s="51"/>
      <c r="R59" s="51"/>
      <c r="S59" s="51"/>
      <c r="T59" s="51"/>
      <c r="U59" s="51"/>
      <c r="V59" s="51"/>
      <c r="W59" s="51"/>
      <c r="X59" s="51"/>
      <c r="Y59" s="51"/>
      <c r="Z59" s="51"/>
      <c r="AA59" s="51"/>
    </row>
    <row r="60" spans="7:27">
      <c r="G60" s="51"/>
      <c r="H60" s="51"/>
      <c r="I60" s="51"/>
      <c r="J60" s="51"/>
      <c r="K60" s="51"/>
      <c r="L60" s="51"/>
      <c r="M60" s="51"/>
      <c r="N60" s="51"/>
      <c r="O60" s="51"/>
      <c r="P60" s="51"/>
      <c r="Q60" s="51"/>
      <c r="R60" s="51"/>
      <c r="S60" s="51"/>
      <c r="T60" s="51"/>
      <c r="U60" s="51"/>
      <c r="V60" s="51"/>
      <c r="W60" s="51"/>
      <c r="X60" s="51"/>
      <c r="Y60" s="51"/>
      <c r="Z60" s="51"/>
      <c r="AA60" s="51"/>
    </row>
    <row r="61" spans="7:27">
      <c r="G61" s="51"/>
      <c r="H61" s="51"/>
      <c r="I61" s="51"/>
      <c r="J61" s="51"/>
      <c r="K61" s="51"/>
      <c r="L61" s="51"/>
      <c r="M61" s="51"/>
      <c r="N61" s="51"/>
      <c r="O61" s="51"/>
      <c r="P61" s="51"/>
      <c r="Q61" s="51"/>
      <c r="R61" s="51"/>
      <c r="S61" s="51"/>
      <c r="T61" s="51"/>
      <c r="U61" s="51"/>
      <c r="V61" s="51"/>
      <c r="W61" s="51"/>
      <c r="X61" s="51"/>
      <c r="Y61" s="51"/>
      <c r="Z61" s="51"/>
      <c r="AA61" s="51"/>
    </row>
    <row r="62" spans="7:27">
      <c r="G62" s="51"/>
      <c r="H62" s="51"/>
      <c r="I62" s="51"/>
      <c r="J62" s="51"/>
      <c r="K62" s="51"/>
      <c r="L62" s="51"/>
      <c r="M62" s="51"/>
      <c r="N62" s="51"/>
      <c r="O62" s="51"/>
      <c r="P62" s="51"/>
      <c r="Q62" s="51"/>
      <c r="R62" s="51"/>
      <c r="S62" s="51"/>
      <c r="T62" s="51"/>
      <c r="U62" s="51"/>
      <c r="V62" s="51"/>
      <c r="W62" s="51"/>
      <c r="X62" s="51"/>
      <c r="Y62" s="51"/>
      <c r="Z62" s="51"/>
      <c r="AA62" s="51"/>
    </row>
    <row r="63" spans="7:27">
      <c r="G63" s="51"/>
      <c r="H63" s="51"/>
      <c r="I63" s="51"/>
      <c r="J63" s="51"/>
      <c r="K63" s="51"/>
      <c r="L63" s="51"/>
      <c r="M63" s="51"/>
      <c r="N63" s="51"/>
      <c r="O63" s="51"/>
      <c r="P63" s="51"/>
      <c r="Q63" s="51"/>
      <c r="R63" s="51"/>
      <c r="S63" s="51"/>
      <c r="T63" s="51"/>
      <c r="U63" s="51"/>
      <c r="V63" s="51"/>
      <c r="W63" s="51"/>
      <c r="X63" s="51"/>
      <c r="Y63" s="51"/>
      <c r="Z63" s="51"/>
      <c r="AA63" s="51"/>
    </row>
    <row r="64" spans="7:27">
      <c r="G64" s="51"/>
      <c r="H64" s="51"/>
      <c r="I64" s="51"/>
      <c r="J64" s="51"/>
      <c r="K64" s="51"/>
      <c r="L64" s="51"/>
      <c r="M64" s="51"/>
      <c r="N64" s="51"/>
      <c r="O64" s="51"/>
      <c r="P64" s="51"/>
      <c r="Q64" s="51"/>
      <c r="R64" s="51"/>
      <c r="S64" s="51"/>
      <c r="T64" s="51"/>
      <c r="U64" s="51"/>
      <c r="V64" s="51"/>
      <c r="W64" s="51"/>
      <c r="X64" s="51"/>
      <c r="Y64" s="51"/>
      <c r="Z64" s="51"/>
      <c r="AA64" s="51"/>
    </row>
    <row r="65" spans="7:27">
      <c r="G65" s="51"/>
      <c r="H65" s="51"/>
      <c r="I65" s="51"/>
      <c r="J65" s="51"/>
      <c r="K65" s="51"/>
      <c r="L65" s="51"/>
      <c r="M65" s="51"/>
      <c r="N65" s="51"/>
      <c r="O65" s="51"/>
      <c r="P65" s="51"/>
      <c r="Q65" s="51"/>
      <c r="R65" s="51"/>
      <c r="S65" s="51"/>
      <c r="T65" s="51"/>
      <c r="U65" s="51"/>
      <c r="V65" s="51"/>
      <c r="W65" s="51"/>
      <c r="X65" s="51"/>
      <c r="Y65" s="51"/>
      <c r="Z65" s="51"/>
      <c r="AA65" s="51"/>
    </row>
    <row r="66" spans="7:27">
      <c r="G66" s="51"/>
      <c r="H66" s="51"/>
      <c r="I66" s="51"/>
      <c r="J66" s="51"/>
      <c r="K66" s="51"/>
      <c r="L66" s="51"/>
      <c r="M66" s="51"/>
      <c r="N66" s="51"/>
      <c r="O66" s="51"/>
      <c r="P66" s="51"/>
      <c r="Q66" s="51"/>
      <c r="R66" s="51"/>
      <c r="S66" s="51"/>
      <c r="T66" s="51"/>
      <c r="U66" s="51"/>
      <c r="V66" s="51"/>
      <c r="W66" s="51"/>
      <c r="X66" s="51"/>
      <c r="Y66" s="51"/>
      <c r="Z66" s="51"/>
      <c r="AA66" s="51"/>
    </row>
    <row r="67" spans="7:27">
      <c r="G67" s="51"/>
      <c r="H67" s="51"/>
      <c r="I67" s="51"/>
      <c r="J67" s="51"/>
      <c r="K67" s="51"/>
      <c r="L67" s="51"/>
      <c r="M67" s="51"/>
      <c r="N67" s="51"/>
      <c r="O67" s="51"/>
      <c r="P67" s="51"/>
      <c r="Q67" s="51"/>
      <c r="R67" s="51"/>
      <c r="S67" s="51"/>
      <c r="T67" s="51"/>
      <c r="U67" s="51"/>
      <c r="V67" s="51"/>
      <c r="W67" s="51"/>
      <c r="X67" s="51"/>
      <c r="Y67" s="51"/>
      <c r="Z67" s="51"/>
      <c r="AA67" s="51"/>
    </row>
    <row r="68" spans="7:27">
      <c r="G68" s="51"/>
      <c r="H68" s="51"/>
      <c r="I68" s="51"/>
      <c r="J68" s="51"/>
      <c r="K68" s="51"/>
      <c r="L68" s="51"/>
      <c r="M68" s="51"/>
      <c r="N68" s="51"/>
      <c r="O68" s="51"/>
      <c r="P68" s="51"/>
      <c r="Q68" s="51"/>
      <c r="R68" s="51"/>
      <c r="S68" s="51"/>
      <c r="T68" s="51"/>
      <c r="U68" s="51"/>
      <c r="V68" s="51"/>
      <c r="W68" s="51"/>
      <c r="X68" s="51"/>
      <c r="Y68" s="51"/>
      <c r="Z68" s="51"/>
      <c r="AA68" s="51"/>
    </row>
    <row r="69" spans="7:27">
      <c r="G69" s="51"/>
      <c r="H69" s="51"/>
      <c r="I69" s="51"/>
      <c r="J69" s="51"/>
      <c r="K69" s="51"/>
      <c r="L69" s="51"/>
      <c r="M69" s="51"/>
      <c r="N69" s="51"/>
      <c r="O69" s="51"/>
      <c r="P69" s="51"/>
      <c r="Q69" s="51"/>
      <c r="R69" s="51"/>
      <c r="S69" s="51"/>
      <c r="T69" s="51"/>
      <c r="U69" s="51"/>
      <c r="V69" s="51"/>
      <c r="W69" s="51"/>
      <c r="X69" s="51"/>
      <c r="Y69" s="51"/>
      <c r="Z69" s="51"/>
      <c r="AA69" s="51"/>
    </row>
    <row r="70" spans="7:27">
      <c r="G70" s="51"/>
      <c r="H70" s="51"/>
      <c r="I70" s="51"/>
      <c r="J70" s="51"/>
      <c r="K70" s="51"/>
      <c r="L70" s="51"/>
      <c r="M70" s="51"/>
      <c r="N70" s="51"/>
      <c r="O70" s="51"/>
      <c r="P70" s="51"/>
      <c r="Q70" s="51"/>
      <c r="R70" s="51"/>
      <c r="S70" s="51"/>
      <c r="T70" s="51"/>
      <c r="U70" s="51"/>
      <c r="V70" s="51"/>
      <c r="W70" s="51"/>
      <c r="X70" s="51"/>
      <c r="Y70" s="51"/>
      <c r="Z70" s="51"/>
      <c r="AA70" s="51"/>
    </row>
    <row r="71" spans="7:27">
      <c r="G71" s="51"/>
      <c r="H71" s="51"/>
      <c r="I71" s="51"/>
      <c r="J71" s="51"/>
      <c r="K71" s="51"/>
      <c r="L71" s="51"/>
      <c r="M71" s="51"/>
      <c r="N71" s="51"/>
      <c r="O71" s="51"/>
      <c r="P71" s="51"/>
      <c r="Q71" s="51"/>
      <c r="R71" s="51"/>
      <c r="S71" s="51"/>
      <c r="T71" s="51"/>
      <c r="U71" s="51"/>
      <c r="V71" s="51"/>
      <c r="W71" s="51"/>
      <c r="X71" s="51"/>
      <c r="Y71" s="51"/>
      <c r="Z71" s="51"/>
      <c r="AA71" s="51"/>
    </row>
    <row r="72" spans="7:27">
      <c r="G72" s="51"/>
      <c r="H72" s="51"/>
      <c r="I72" s="51"/>
      <c r="J72" s="51"/>
      <c r="K72" s="51"/>
      <c r="L72" s="51"/>
      <c r="M72" s="51"/>
      <c r="N72" s="51"/>
      <c r="O72" s="51"/>
      <c r="P72" s="51"/>
      <c r="Q72" s="51"/>
      <c r="R72" s="51"/>
      <c r="S72" s="51"/>
      <c r="T72" s="51"/>
      <c r="U72" s="51"/>
      <c r="V72" s="51"/>
      <c r="W72" s="51"/>
      <c r="X72" s="51"/>
      <c r="Y72" s="51"/>
      <c r="Z72" s="51"/>
      <c r="AA72" s="51"/>
    </row>
    <row r="73" spans="7:27">
      <c r="G73" s="51"/>
      <c r="H73" s="51"/>
      <c r="I73" s="51"/>
      <c r="J73" s="51"/>
      <c r="K73" s="51"/>
      <c r="L73" s="51"/>
      <c r="M73" s="51"/>
      <c r="N73" s="51"/>
      <c r="O73" s="51"/>
      <c r="P73" s="51"/>
      <c r="Q73" s="51"/>
      <c r="R73" s="51"/>
      <c r="S73" s="51"/>
      <c r="T73" s="51"/>
      <c r="U73" s="51"/>
      <c r="V73" s="51"/>
      <c r="W73" s="51"/>
      <c r="X73" s="51"/>
      <c r="Y73" s="51"/>
      <c r="Z73" s="51"/>
      <c r="AA73" s="51"/>
    </row>
  </sheetData>
  <sheetProtection selectLockedCells="1" selectUnlockedCells="1"/>
  <mergeCells count="27">
    <mergeCell ref="Y4:Y6"/>
    <mergeCell ref="Z4:Z6"/>
    <mergeCell ref="AA4:AA6"/>
    <mergeCell ref="S4:S6"/>
    <mergeCell ref="T4:T6"/>
    <mergeCell ref="U4:U6"/>
    <mergeCell ref="V4:V6"/>
    <mergeCell ref="W4:W6"/>
    <mergeCell ref="X4:X6"/>
    <mergeCell ref="R4:R6"/>
    <mergeCell ref="G4:G6"/>
    <mergeCell ref="H4:H6"/>
    <mergeCell ref="I4:I6"/>
    <mergeCell ref="J4:J6"/>
    <mergeCell ref="K4:K6"/>
    <mergeCell ref="L4:L6"/>
    <mergeCell ref="M4:M6"/>
    <mergeCell ref="N4:N6"/>
    <mergeCell ref="O4:O6"/>
    <mergeCell ref="P4:P6"/>
    <mergeCell ref="Q4:Q6"/>
    <mergeCell ref="F4:F6"/>
    <mergeCell ref="A4:A6"/>
    <mergeCell ref="B4:B6"/>
    <mergeCell ref="C4:C6"/>
    <mergeCell ref="D4:D6"/>
    <mergeCell ref="E4:E6"/>
  </mergeCells>
  <pageMargins left="0.70833333333333337" right="0.70833333333333337" top="0.74791666666666667" bottom="0.74791666666666667" header="0.51180555555555551" footer="0.51180555555555551"/>
  <pageSetup scale="53" firstPageNumber="0" orientation="landscape"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7"/>
  <dimension ref="A1:AB198"/>
  <sheetViews>
    <sheetView zoomScale="77" zoomScaleNormal="77" workbookViewId="0">
      <pane xSplit="4" ySplit="1" topLeftCell="E2" activePane="bottomRight" state="frozen"/>
      <selection pane="topRight" activeCell="X1" sqref="X1"/>
      <selection pane="bottomLeft" activeCell="A2" sqref="A2"/>
      <selection pane="bottomRight" activeCell="J75" sqref="J75"/>
    </sheetView>
  </sheetViews>
  <sheetFormatPr baseColWidth="10" defaultColWidth="11.42578125" defaultRowHeight="15"/>
  <cols>
    <col min="1" max="1" width="4.85546875" style="1" customWidth="1"/>
    <col min="2" max="2" width="36.28515625" style="1" customWidth="1"/>
    <col min="3" max="3" width="14.28515625" style="1" customWidth="1"/>
    <col min="4" max="4" width="36.140625" style="1" customWidth="1"/>
    <col min="5" max="6" width="11.42578125" style="1" customWidth="1"/>
    <col min="7" max="7" width="15.140625" style="1" customWidth="1"/>
    <col min="8" max="8" width="14.7109375" style="1" customWidth="1"/>
    <col min="9" max="11" width="11.42578125" style="1" customWidth="1"/>
    <col min="12" max="12" width="11.7109375" style="1" customWidth="1"/>
    <col min="13" max="13" width="11.42578125" style="1" customWidth="1"/>
    <col min="14" max="14" width="16.42578125" style="1" customWidth="1"/>
    <col min="15" max="23" width="11.42578125" style="1" customWidth="1"/>
    <col min="24" max="24" width="14.28515625" style="1" customWidth="1"/>
    <col min="25" max="25" width="11.42578125" style="120" customWidth="1"/>
    <col min="26" max="26" width="11.85546875" style="1" customWidth="1"/>
    <col min="27" max="27" width="23" style="1" customWidth="1"/>
    <col min="28" max="28" width="22.28515625" style="1" customWidth="1"/>
    <col min="29" max="16384" width="11.42578125" style="1"/>
  </cols>
  <sheetData>
    <row r="1" spans="1:28" s="79" customFormat="1" ht="30">
      <c r="A1" s="75"/>
      <c r="B1" s="76" t="s">
        <v>279</v>
      </c>
      <c r="C1" s="59" t="s">
        <v>202</v>
      </c>
      <c r="D1" s="59" t="s">
        <v>203</v>
      </c>
      <c r="E1" s="59" t="s">
        <v>204</v>
      </c>
      <c r="F1" s="59" t="s">
        <v>175</v>
      </c>
      <c r="G1" s="59" t="s">
        <v>205</v>
      </c>
      <c r="H1" s="59" t="s">
        <v>206</v>
      </c>
      <c r="I1" s="59" t="s">
        <v>207</v>
      </c>
      <c r="J1" s="59" t="s">
        <v>208</v>
      </c>
      <c r="K1" s="59" t="s">
        <v>209</v>
      </c>
      <c r="L1" s="59" t="s">
        <v>210</v>
      </c>
      <c r="M1" s="59" t="s">
        <v>184</v>
      </c>
      <c r="N1" s="59" t="s">
        <v>211</v>
      </c>
      <c r="O1" s="59" t="s">
        <v>212</v>
      </c>
      <c r="P1" s="59" t="s">
        <v>213</v>
      </c>
      <c r="Q1" s="59" t="s">
        <v>214</v>
      </c>
      <c r="R1" s="59" t="s">
        <v>215</v>
      </c>
      <c r="S1" s="59" t="s">
        <v>33</v>
      </c>
      <c r="T1" s="59" t="s">
        <v>32</v>
      </c>
      <c r="U1" s="59" t="s">
        <v>31</v>
      </c>
      <c r="V1" s="59" t="s">
        <v>216</v>
      </c>
      <c r="W1" s="59" t="s">
        <v>217</v>
      </c>
      <c r="X1" s="77" t="s">
        <v>190</v>
      </c>
      <c r="Y1" s="121" t="s">
        <v>218</v>
      </c>
      <c r="Z1" s="59" t="s">
        <v>219</v>
      </c>
      <c r="AA1" s="59" t="s">
        <v>220</v>
      </c>
      <c r="AB1" s="78" t="s">
        <v>221</v>
      </c>
    </row>
    <row r="2" spans="1:28">
      <c r="A2" s="1">
        <v>1</v>
      </c>
      <c r="B2" s="80">
        <f>+'Nomina Econacional'!B9</f>
        <v>0</v>
      </c>
      <c r="C2" s="81">
        <v>143132884</v>
      </c>
      <c r="D2" s="82" t="s">
        <v>259</v>
      </c>
      <c r="E2" s="19" t="e">
        <f>VLOOKUP($B2,'Nomina Econacional'!$B$4:$AC$153,2,0)</f>
        <v>#N/A</v>
      </c>
      <c r="F2" s="19" t="e">
        <f>VLOOKUP($B2,'Nomina Econacional'!$B$4:$AC$153,4,0)</f>
        <v>#N/A</v>
      </c>
      <c r="G2" s="60" t="e">
        <f>VLOOKUP($B2,'Nomina Econacional'!$B$4:$AC$153,6,0)</f>
        <v>#N/A</v>
      </c>
      <c r="H2" s="60" t="e">
        <f>VLOOKUP($B2,'Nomina Econacional'!$B$4:$AC$153,7,0)</f>
        <v>#N/A</v>
      </c>
      <c r="I2" s="21" t="e">
        <f>VLOOKUP($B2,'Nomina Econacional'!$B$4:$AC$153,9,0)</f>
        <v>#N/A</v>
      </c>
      <c r="J2" s="60" t="e">
        <f>VLOOKUP($B2,'Nomina Econacional'!$B$4:$AC$153,10,0)</f>
        <v>#N/A</v>
      </c>
      <c r="K2" s="19" t="e">
        <f>VLOOKUP($B2,'Nomina Econacional'!$B$4:$AC$153,11,0)</f>
        <v>#N/A</v>
      </c>
      <c r="L2" s="60" t="e">
        <f>VLOOKUP($B2,'Nomina Econacional'!$B$4:$AC$153,12,0)</f>
        <v>#N/A</v>
      </c>
      <c r="M2" s="19" t="e">
        <f>VLOOKUP($B2,'Nomina Econacional'!$B$4:$AC$153,13,0)</f>
        <v>#N/A</v>
      </c>
      <c r="N2" s="60" t="e">
        <f>VLOOKUP($B2,'Nomina Econacional'!$B$4:$AC$153,14,0)</f>
        <v>#N/A</v>
      </c>
      <c r="O2" s="19">
        <f>VLOOKUP($B2,'Nomina Econacional'!$B$4:$AC$153,15,0)</f>
        <v>0</v>
      </c>
      <c r="P2" s="19" t="e">
        <f>VLOOKUP($B2,'Nomina Econacional'!$B$4:$AC$153,16,0)</f>
        <v>#N/A</v>
      </c>
      <c r="Q2" s="19" t="e">
        <f>VLOOKUP($B2,'Nomina Econacional'!$B$4:$AC$153,17,0)</f>
        <v>#N/A</v>
      </c>
      <c r="R2" s="19">
        <f>VLOOKUP($B2,'Nomina Econacional'!$B$4:$AC$153,18,0)</f>
        <v>0</v>
      </c>
      <c r="S2" s="19" t="e">
        <f>VLOOKUP($B2,'Nomina Econacional'!$B$4:$AC$153,19,0)</f>
        <v>#N/A</v>
      </c>
      <c r="T2" s="19" t="e">
        <f>VLOOKUP($B2,'Nomina Econacional'!$B$4:$AC$153,20,0)</f>
        <v>#N/A</v>
      </c>
      <c r="U2" s="19" t="e">
        <f>VLOOKUP($B2,'Nomina Econacional'!$B$4:$AC$153,21,0)</f>
        <v>#N/A</v>
      </c>
      <c r="V2" s="19" t="e">
        <f>VLOOKUP($B2,'Nomina Econacional'!$B$4:$AC$153,22,0)</f>
        <v>#N/A</v>
      </c>
      <c r="W2" s="19" t="e">
        <f>VLOOKUP($B2,'Nomina Econacional'!$B$4:$AC$153,23,0)</f>
        <v>#N/A</v>
      </c>
      <c r="X2" s="20" t="e">
        <f>ROUND((VLOOKUP($B2,'Nomina Econacional'!$B$4:$AC$90,24,0)),2)</f>
        <v>#N/A</v>
      </c>
      <c r="Y2" s="122">
        <f>VLOOKUP($B2,'Nomina Econacional'!$B$4:$AC$153,25,0)</f>
        <v>0</v>
      </c>
      <c r="Z2" s="20">
        <f>VLOOKUP($B2,'Nomina Econacional'!$B$4:$AC$153,26,0)</f>
        <v>0</v>
      </c>
      <c r="AA2" s="83" t="e">
        <f>VLOOKUP($B2,$A$18:$D$652,4,0)</f>
        <v>#N/A</v>
      </c>
      <c r="AB2" s="84" t="e">
        <f>VLOOKUP($B2,'Nomina Econacional'!$B$4:$AC$153,3,0)</f>
        <v>#N/A</v>
      </c>
    </row>
    <row r="3" spans="1:28">
      <c r="A3" s="1">
        <v>2</v>
      </c>
      <c r="B3" s="22" t="s">
        <v>97</v>
      </c>
      <c r="C3" s="23">
        <v>2100134184</v>
      </c>
      <c r="D3" s="22" t="str">
        <f>VLOOKUP($B3,$A$18:$D$652,2,0)</f>
        <v>Federico Wuinebaldo Chavez Sanchez</v>
      </c>
      <c r="E3" s="19" t="e">
        <f>VLOOKUP($B3,'Nomina Econacional'!$B$4:$AC$153,2,0)</f>
        <v>#N/A</v>
      </c>
      <c r="F3" s="19" t="e">
        <f>VLOOKUP($B3,'Nomina Econacional'!$B$4:$AC$153,4,0)</f>
        <v>#N/A</v>
      </c>
      <c r="G3" s="60" t="e">
        <f>VLOOKUP($B3,'Nomina Econacional'!$B$4:$AC$153,6,0)</f>
        <v>#N/A</v>
      </c>
      <c r="H3" s="60" t="e">
        <f>VLOOKUP($B3,'Nomina Econacional'!$B$4:$AC$153,7,0)</f>
        <v>#N/A</v>
      </c>
      <c r="I3" s="21" t="e">
        <f>VLOOKUP($B3,'Nomina Econacional'!$B$4:$AC$153,9,0)</f>
        <v>#N/A</v>
      </c>
      <c r="J3" s="60" t="e">
        <f>VLOOKUP($B3,'Nomina Econacional'!$B$4:$AC$153,10,0)</f>
        <v>#N/A</v>
      </c>
      <c r="K3" s="19" t="e">
        <f>VLOOKUP($B3,'Nomina Econacional'!$B$4:$AC$153,11,0)</f>
        <v>#N/A</v>
      </c>
      <c r="L3" s="60" t="e">
        <f>VLOOKUP($B3,'Nomina Econacional'!$B$4:$AC$153,12,0)</f>
        <v>#N/A</v>
      </c>
      <c r="M3" s="19" t="e">
        <f>VLOOKUP($B3,'Nomina Econacional'!$B$4:$AC$153,13,0)</f>
        <v>#N/A</v>
      </c>
      <c r="N3" s="60" t="e">
        <f>VLOOKUP($B3,'Nomina Econacional'!$B$4:$AC$153,14,0)</f>
        <v>#N/A</v>
      </c>
      <c r="O3" s="19" t="e">
        <f>VLOOKUP($B3,'Nomina Econacional'!$B$4:$AC$153,15,0)</f>
        <v>#N/A</v>
      </c>
      <c r="P3" s="19" t="e">
        <f>VLOOKUP($B3,'Nomina Econacional'!$B$4:$AC$153,16,0)</f>
        <v>#N/A</v>
      </c>
      <c r="Q3" s="19" t="e">
        <f>VLOOKUP($B3,'Nomina Econacional'!$B$4:$AC$153,17,0)</f>
        <v>#N/A</v>
      </c>
      <c r="R3" s="19" t="e">
        <f>VLOOKUP($B3,'Nomina Econacional'!$B$4:$AC$153,18,0)</f>
        <v>#N/A</v>
      </c>
      <c r="S3" s="19" t="e">
        <f>VLOOKUP($B3,'Nomina Econacional'!$B$4:$AC$153,19,0)</f>
        <v>#N/A</v>
      </c>
      <c r="T3" s="19" t="e">
        <f>VLOOKUP($B3,'Nomina Econacional'!$B$4:$AC$153,20,0)</f>
        <v>#N/A</v>
      </c>
      <c r="U3" s="19" t="e">
        <f>VLOOKUP($B3,'Nomina Econacional'!$B$4:$AC$153,21,0)</f>
        <v>#N/A</v>
      </c>
      <c r="V3" s="19" t="e">
        <f>VLOOKUP($B3,'Nomina Econacional'!$B$4:$AC$153,22,0)</f>
        <v>#N/A</v>
      </c>
      <c r="W3" s="19" t="e">
        <f>VLOOKUP($B3,'Nomina Econacional'!$B$4:$AC$153,23,0)</f>
        <v>#N/A</v>
      </c>
      <c r="X3" s="20" t="e">
        <f>ROUND((VLOOKUP($B3,'Nomina Econacional'!$B$4:$AC$90,24,0)),2)</f>
        <v>#N/A</v>
      </c>
      <c r="Y3" s="122" t="e">
        <f>VLOOKUP($B3,'Nomina Econacional'!$B$4:$AC$153,25,0)</f>
        <v>#N/A</v>
      </c>
      <c r="Z3" s="20" t="e">
        <f>VLOOKUP($B3,'Nomina Econacional'!$B$4:$AC$153,26,0)</f>
        <v>#N/A</v>
      </c>
      <c r="AA3" s="61">
        <v>201200078279</v>
      </c>
      <c r="AB3" s="85" t="e">
        <f>VLOOKUP($B3,'Nomina Econacional'!$B$4:$AC$153,3,0)</f>
        <v>#N/A</v>
      </c>
    </row>
    <row r="4" spans="1:28">
      <c r="A4" s="1">
        <v>3</v>
      </c>
      <c r="B4" s="22" t="s">
        <v>94</v>
      </c>
      <c r="C4" s="23">
        <v>142181055</v>
      </c>
      <c r="D4" s="22" t="s">
        <v>290</v>
      </c>
      <c r="E4" s="19" t="e">
        <f>VLOOKUP($B4,'Nomina Econacional'!$B$4:$AC$153,2,0)</f>
        <v>#N/A</v>
      </c>
      <c r="F4" s="19" t="e">
        <f>VLOOKUP($B4,'Nomina Econacional'!$B$4:$AC$153,4,0)</f>
        <v>#N/A</v>
      </c>
      <c r="G4" s="60" t="e">
        <f>VLOOKUP($B4,'Nomina Econacional'!$B$4:$AC$153,6,0)</f>
        <v>#N/A</v>
      </c>
      <c r="H4" s="60" t="e">
        <f>VLOOKUP($B4,'Nomina Econacional'!$B$4:$AC$153,7,0)</f>
        <v>#N/A</v>
      </c>
      <c r="I4" s="21" t="e">
        <f>VLOOKUP($B4,'Nomina Econacional'!$B$4:$AC$153,9,0)</f>
        <v>#N/A</v>
      </c>
      <c r="J4" s="60" t="e">
        <f>VLOOKUP($B4,'Nomina Econacional'!$B$4:$AC$153,10,0)</f>
        <v>#N/A</v>
      </c>
      <c r="K4" s="19" t="e">
        <f>VLOOKUP($B4,'Nomina Econacional'!$B$4:$AC$153,11,0)</f>
        <v>#N/A</v>
      </c>
      <c r="L4" s="60" t="e">
        <f>VLOOKUP($B4,'Nomina Econacional'!$B$4:$AC$153,12,0)</f>
        <v>#N/A</v>
      </c>
      <c r="M4" s="19" t="e">
        <f>VLOOKUP($B4,'Nomina Econacional'!$B$4:$AC$153,13,0)</f>
        <v>#N/A</v>
      </c>
      <c r="N4" s="60" t="e">
        <f>VLOOKUP($B4,'Nomina Econacional'!$B$4:$AC$153,14,0)</f>
        <v>#N/A</v>
      </c>
      <c r="O4" s="19" t="e">
        <f>VLOOKUP($B4,'Nomina Econacional'!$B$4:$AC$153,15,0)</f>
        <v>#N/A</v>
      </c>
      <c r="P4" s="19" t="e">
        <f>VLOOKUP($B4,'Nomina Econacional'!$B$4:$AC$153,16,0)</f>
        <v>#N/A</v>
      </c>
      <c r="Q4" s="19" t="e">
        <f>VLOOKUP($B4,'Nomina Econacional'!$B$4:$AC$153,17,0)</f>
        <v>#N/A</v>
      </c>
      <c r="R4" s="19" t="e">
        <f>VLOOKUP($B4,'Nomina Econacional'!$B$4:$AC$153,18,0)</f>
        <v>#N/A</v>
      </c>
      <c r="S4" s="19" t="e">
        <f>VLOOKUP($B4,'Nomina Econacional'!$B$4:$AC$153,19,0)</f>
        <v>#N/A</v>
      </c>
      <c r="T4" s="19" t="e">
        <f>VLOOKUP($B4,'Nomina Econacional'!$B$4:$AC$153,20,0)</f>
        <v>#N/A</v>
      </c>
      <c r="U4" s="19" t="e">
        <f>VLOOKUP($B4,'Nomina Econacional'!$B$4:$AC$153,21,0)</f>
        <v>#N/A</v>
      </c>
      <c r="V4" s="19" t="e">
        <f>VLOOKUP($B4,'Nomina Econacional'!$B$4:$AC$153,22,0)</f>
        <v>#N/A</v>
      </c>
      <c r="W4" s="19" t="e">
        <f>VLOOKUP($B4,'Nomina Econacional'!$B$4:$AC$153,23,0)</f>
        <v>#N/A</v>
      </c>
      <c r="X4" s="20" t="e">
        <f>ROUND((VLOOKUP($B4,'Nomina Econacional'!$B$4:$AC$90,24,0)),2)</f>
        <v>#N/A</v>
      </c>
      <c r="Y4" s="122" t="e">
        <f>VLOOKUP($B4,'Nomina Econacional'!$B$4:$AC$153,25,0)</f>
        <v>#N/A</v>
      </c>
      <c r="Z4" s="20" t="e">
        <f>VLOOKUP($B4,'Nomina Econacional'!$B$4:$AC$153,26,0)</f>
        <v>#N/A</v>
      </c>
      <c r="AA4" s="61">
        <v>182403485</v>
      </c>
      <c r="AB4" s="85" t="e">
        <f>VLOOKUP($B4,'Nomina Econacional'!$B$4:$AC$153,3,0)</f>
        <v>#N/A</v>
      </c>
    </row>
    <row r="5" spans="1:28">
      <c r="A5" s="1">
        <v>4</v>
      </c>
      <c r="B5" s="22">
        <f>+'Nomina Econacional'!B28</f>
        <v>0</v>
      </c>
      <c r="C5" s="109">
        <v>3790077105</v>
      </c>
      <c r="D5" s="22" t="s">
        <v>354</v>
      </c>
      <c r="E5" s="19" t="e">
        <f>VLOOKUP($B5,'Nomina Econacional'!$B$4:$AC$153,2,0)</f>
        <v>#N/A</v>
      </c>
      <c r="F5" s="19" t="e">
        <f>VLOOKUP($B5,'Nomina Econacional'!$B$4:$AC$153,4,0)</f>
        <v>#N/A</v>
      </c>
      <c r="G5" s="60" t="e">
        <f>VLOOKUP($B5,'Nomina Econacional'!$B$4:$AC$153,6,0)</f>
        <v>#N/A</v>
      </c>
      <c r="H5" s="60" t="e">
        <f>VLOOKUP($B5,'Nomina Econacional'!$B$4:$AC$153,7,0)</f>
        <v>#N/A</v>
      </c>
      <c r="I5" s="21" t="e">
        <f>VLOOKUP($B5,'Nomina Econacional'!$B$4:$AC$153,9,0)</f>
        <v>#N/A</v>
      </c>
      <c r="J5" s="60" t="e">
        <f>VLOOKUP($B5,'Nomina Econacional'!$B$4:$AC$153,10,0)</f>
        <v>#N/A</v>
      </c>
      <c r="K5" s="19" t="e">
        <f>VLOOKUP($B5,'Nomina Econacional'!$B$4:$AC$153,11,0)</f>
        <v>#N/A</v>
      </c>
      <c r="L5" s="60" t="e">
        <f>VLOOKUP($B5,'Nomina Econacional'!$B$4:$AC$153,12,0)</f>
        <v>#N/A</v>
      </c>
      <c r="M5" s="19" t="e">
        <f>VLOOKUP($B5,'Nomina Econacional'!$B$4:$AC$153,13,0)</f>
        <v>#N/A</v>
      </c>
      <c r="N5" s="60" t="e">
        <f>VLOOKUP($B5,'Nomina Econacional'!$B$4:$AC$153,14,0)</f>
        <v>#N/A</v>
      </c>
      <c r="O5" s="19">
        <f>VLOOKUP($B5,'Nomina Econacional'!$B$4:$AC$153,15,0)</f>
        <v>0</v>
      </c>
      <c r="P5" s="19" t="e">
        <f>VLOOKUP($B5,'Nomina Econacional'!$B$4:$AC$153,16,0)</f>
        <v>#N/A</v>
      </c>
      <c r="Q5" s="19" t="e">
        <f>VLOOKUP($B5,'Nomina Econacional'!$B$4:$AC$153,17,0)</f>
        <v>#N/A</v>
      </c>
      <c r="R5" s="19">
        <f>VLOOKUP($B5,'Nomina Econacional'!$B$4:$AC$153,18,0)</f>
        <v>0</v>
      </c>
      <c r="S5" s="19" t="e">
        <f>VLOOKUP($B5,'Nomina Econacional'!$B$4:$AC$153,19,0)</f>
        <v>#N/A</v>
      </c>
      <c r="T5" s="19" t="e">
        <f>VLOOKUP($B5,'Nomina Econacional'!$B$4:$AC$153,20,0)</f>
        <v>#N/A</v>
      </c>
      <c r="U5" s="19" t="e">
        <f>VLOOKUP($B5,'Nomina Econacional'!$B$4:$AC$153,21,0)</f>
        <v>#N/A</v>
      </c>
      <c r="V5" s="19" t="e">
        <f>VLOOKUP($B5,'Nomina Econacional'!$B$4:$AC$153,22,0)</f>
        <v>#N/A</v>
      </c>
      <c r="W5" s="19" t="e">
        <f>VLOOKUP($B5,'Nomina Econacional'!$B$4:$AC$153,23,0)</f>
        <v>#N/A</v>
      </c>
      <c r="X5" s="20" t="e">
        <f>ROUND((VLOOKUP($B5,'Nomina Econacional'!$B$4:$AC$90,24,0)),2)</f>
        <v>#N/A</v>
      </c>
      <c r="Y5" s="122">
        <f>VLOOKUP($B5,'Nomina Econacional'!$B$4:$AC$153,25,0)</f>
        <v>0</v>
      </c>
      <c r="Z5" s="20">
        <f>VLOOKUP($B5,'Nomina Econacional'!$B$4:$AC$153,26,0)</f>
        <v>0</v>
      </c>
      <c r="AA5" s="61">
        <v>182403485</v>
      </c>
      <c r="AB5" s="85" t="e">
        <f>VLOOKUP($B5,'Nomina Econacional'!$B$4:$AC$153,3,0)</f>
        <v>#N/A</v>
      </c>
    </row>
    <row r="6" spans="1:28">
      <c r="A6" s="1">
        <v>5</v>
      </c>
      <c r="B6" s="22">
        <f>+'Nomina Econacional'!B26</f>
        <v>0</v>
      </c>
      <c r="C6" s="109">
        <v>60264579</v>
      </c>
      <c r="D6" s="22" t="s">
        <v>360</v>
      </c>
      <c r="E6" s="19" t="e">
        <f>VLOOKUP($B6,'Nomina Econacional'!$B$4:$AC$153,2,0)</f>
        <v>#N/A</v>
      </c>
      <c r="F6" s="19" t="e">
        <f>VLOOKUP($B6,'Nomina Econacional'!$B$4:$AC$153,4,0)</f>
        <v>#N/A</v>
      </c>
      <c r="G6" s="60" t="e">
        <f>VLOOKUP($B6,'Nomina Econacional'!$B$4:$AC$153,6,0)</f>
        <v>#N/A</v>
      </c>
      <c r="H6" s="60" t="e">
        <f>VLOOKUP($B6,'Nomina Econacional'!$B$4:$AC$153,7,0)</f>
        <v>#N/A</v>
      </c>
      <c r="I6" s="21" t="e">
        <f>VLOOKUP($B6,'Nomina Econacional'!$B$4:$AC$153,9,0)</f>
        <v>#N/A</v>
      </c>
      <c r="J6" s="60" t="e">
        <f>VLOOKUP($B6,'Nomina Econacional'!$B$4:$AC$153,10,0)</f>
        <v>#N/A</v>
      </c>
      <c r="K6" s="19" t="e">
        <f>VLOOKUP($B6,'Nomina Econacional'!$B$4:$AC$153,11,0)</f>
        <v>#N/A</v>
      </c>
      <c r="L6" s="60" t="e">
        <f>VLOOKUP($B6,'Nomina Econacional'!$B$4:$AC$153,12,0)</f>
        <v>#N/A</v>
      </c>
      <c r="M6" s="19" t="e">
        <f>VLOOKUP($B6,'Nomina Econacional'!$B$4:$AC$153,13,0)</f>
        <v>#N/A</v>
      </c>
      <c r="N6" s="60" t="e">
        <f>VLOOKUP($B6,'Nomina Econacional'!$B$4:$AC$153,14,0)</f>
        <v>#N/A</v>
      </c>
      <c r="O6" s="19">
        <f>VLOOKUP($B6,'Nomina Econacional'!$B$4:$AC$153,15,0)</f>
        <v>0</v>
      </c>
      <c r="P6" s="19" t="e">
        <f>VLOOKUP($B6,'Nomina Econacional'!$B$4:$AC$153,16,0)</f>
        <v>#N/A</v>
      </c>
      <c r="Q6" s="19" t="e">
        <f>VLOOKUP($B6,'Nomina Econacional'!$B$4:$AC$153,17,0)</f>
        <v>#N/A</v>
      </c>
      <c r="R6" s="19">
        <f>VLOOKUP($B6,'Nomina Econacional'!$B$4:$AC$153,18,0)</f>
        <v>0</v>
      </c>
      <c r="S6" s="19" t="e">
        <f>VLOOKUP($B6,'Nomina Econacional'!$B$4:$AC$153,19,0)</f>
        <v>#N/A</v>
      </c>
      <c r="T6" s="19" t="e">
        <f>VLOOKUP($B6,'Nomina Econacional'!$B$4:$AC$153,20,0)</f>
        <v>#N/A</v>
      </c>
      <c r="U6" s="19" t="e">
        <f>VLOOKUP($B6,'Nomina Econacional'!$B$4:$AC$153,21,0)</f>
        <v>#N/A</v>
      </c>
      <c r="V6" s="19" t="e">
        <f>VLOOKUP($B6,'Nomina Econacional'!$B$4:$AC$153,22,0)</f>
        <v>#N/A</v>
      </c>
      <c r="W6" s="19" t="e">
        <f>VLOOKUP($B6,'Nomina Econacional'!$B$4:$AC$153,23,0)</f>
        <v>#N/A</v>
      </c>
      <c r="X6" s="20" t="e">
        <f>ROUND((VLOOKUP($B6,'Nomina Econacional'!$B$4:$AC$90,24,0)),2)</f>
        <v>#N/A</v>
      </c>
      <c r="Y6" s="122">
        <f>VLOOKUP($B6,'Nomina Econacional'!$B$4:$AC$153,25,0)</f>
        <v>0</v>
      </c>
      <c r="Z6" s="20">
        <f>VLOOKUP($B6,'Nomina Econacional'!$B$4:$AC$153,26,0)</f>
        <v>0</v>
      </c>
      <c r="AA6" s="61">
        <v>282253319</v>
      </c>
      <c r="AB6" s="85" t="e">
        <f>VLOOKUP($B6,'Nomina Econacional'!$B$4:$AC$153,3,0)</f>
        <v>#N/A</v>
      </c>
    </row>
    <row r="7" spans="1:28">
      <c r="A7" s="1">
        <v>6</v>
      </c>
      <c r="B7" s="22">
        <f>+'Nomina Econacional'!B27</f>
        <v>0</v>
      </c>
      <c r="C7" s="118">
        <v>519389</v>
      </c>
      <c r="D7" s="22" t="s">
        <v>357</v>
      </c>
      <c r="E7" s="19" t="e">
        <f>VLOOKUP($B7,'Nomina Econacional'!$B$4:$AC$153,2,0)</f>
        <v>#N/A</v>
      </c>
      <c r="F7" s="19" t="e">
        <f>VLOOKUP($B7,'Nomina Econacional'!$B$4:$AC$153,4,0)</f>
        <v>#N/A</v>
      </c>
      <c r="G7" s="60" t="e">
        <f>VLOOKUP($B7,'Nomina Econacional'!$B$4:$AC$153,6,0)</f>
        <v>#N/A</v>
      </c>
      <c r="H7" s="60" t="e">
        <f>VLOOKUP($B7,'Nomina Econacional'!$B$4:$AC$153,7,0)</f>
        <v>#N/A</v>
      </c>
      <c r="I7" s="21" t="e">
        <f>VLOOKUP($B7,'Nomina Econacional'!$B$4:$AC$153,9,0)</f>
        <v>#N/A</v>
      </c>
      <c r="J7" s="60" t="e">
        <f>VLOOKUP($B7,'Nomina Econacional'!$B$4:$AC$153,10,0)</f>
        <v>#N/A</v>
      </c>
      <c r="K7" s="19" t="e">
        <f>VLOOKUP($B7,'Nomina Econacional'!$B$4:$AC$153,11,0)</f>
        <v>#N/A</v>
      </c>
      <c r="L7" s="60" t="e">
        <f>VLOOKUP($B7,'Nomina Econacional'!$B$4:$AC$153,12,0)</f>
        <v>#N/A</v>
      </c>
      <c r="M7" s="19" t="e">
        <f>VLOOKUP($B7,'Nomina Econacional'!$B$4:$AC$153,13,0)</f>
        <v>#N/A</v>
      </c>
      <c r="N7" s="60" t="e">
        <f>VLOOKUP($B7,'Nomina Econacional'!$B$4:$AC$153,14,0)</f>
        <v>#N/A</v>
      </c>
      <c r="O7" s="19">
        <f>VLOOKUP($B7,'Nomina Econacional'!$B$4:$AC$153,15,0)</f>
        <v>0</v>
      </c>
      <c r="P7" s="19" t="e">
        <f>VLOOKUP($B7,'Nomina Econacional'!$B$4:$AC$153,16,0)</f>
        <v>#N/A</v>
      </c>
      <c r="Q7" s="19" t="e">
        <f>VLOOKUP($B7,'Nomina Econacional'!$B$4:$AC$153,17,0)</f>
        <v>#N/A</v>
      </c>
      <c r="R7" s="19">
        <f>VLOOKUP($B7,'Nomina Econacional'!$B$4:$AC$153,18,0)</f>
        <v>0</v>
      </c>
      <c r="S7" s="19" t="e">
        <f>VLOOKUP($B7,'Nomina Econacional'!$B$4:$AC$153,19,0)</f>
        <v>#N/A</v>
      </c>
      <c r="T7" s="19" t="e">
        <f>VLOOKUP($B7,'Nomina Econacional'!$B$4:$AC$153,20,0)</f>
        <v>#N/A</v>
      </c>
      <c r="U7" s="19" t="e">
        <f>VLOOKUP($B7,'Nomina Econacional'!$B$4:$AC$153,21,0)</f>
        <v>#N/A</v>
      </c>
      <c r="V7" s="19" t="e">
        <f>VLOOKUP($B7,'Nomina Econacional'!$B$4:$AC$153,22,0)</f>
        <v>#N/A</v>
      </c>
      <c r="W7" s="19" t="e">
        <f>VLOOKUP($B7,'Nomina Econacional'!$B$4:$AC$153,23,0)</f>
        <v>#N/A</v>
      </c>
      <c r="X7" s="20" t="e">
        <f>ROUND((VLOOKUP($B7,'Nomina Econacional'!$B$4:$AC$90,24,0)),2)</f>
        <v>#N/A</v>
      </c>
      <c r="Y7" s="122">
        <f>VLOOKUP($B7,'Nomina Econacional'!$B$4:$AC$153,25,0)</f>
        <v>0</v>
      </c>
      <c r="Z7" s="20">
        <f>VLOOKUP($B7,'Nomina Econacional'!$B$4:$AC$153,26,0)</f>
        <v>0</v>
      </c>
      <c r="AA7" s="61"/>
      <c r="AB7" s="85" t="e">
        <f>VLOOKUP($B7,'Nomina Econacional'!$B$4:$AC$153,3,0)</f>
        <v>#N/A</v>
      </c>
    </row>
    <row r="8" spans="1:28">
      <c r="A8" s="1">
        <v>7</v>
      </c>
      <c r="B8" s="22">
        <f>+'Nomina Econacional'!B33</f>
        <v>0</v>
      </c>
      <c r="C8" s="109">
        <v>620119743</v>
      </c>
      <c r="D8" s="22" t="s">
        <v>361</v>
      </c>
      <c r="E8" s="19" t="e">
        <f>VLOOKUP($B8,'Nomina Econacional'!$B$4:$AC$153,2,0)</f>
        <v>#N/A</v>
      </c>
      <c r="F8" s="19" t="e">
        <f>VLOOKUP($B8,'Nomina Econacional'!$B$4:$AC$153,4,0)</f>
        <v>#N/A</v>
      </c>
      <c r="G8" s="60" t="e">
        <f>VLOOKUP($B8,'Nomina Econacional'!$B$4:$AC$153,6,0)</f>
        <v>#N/A</v>
      </c>
      <c r="H8" s="60" t="e">
        <f>VLOOKUP($B8,'Nomina Econacional'!$B$4:$AC$153,7,0)</f>
        <v>#N/A</v>
      </c>
      <c r="I8" s="21" t="e">
        <f>VLOOKUP($B8,'Nomina Econacional'!$B$4:$AC$153,9,0)</f>
        <v>#N/A</v>
      </c>
      <c r="J8" s="60" t="e">
        <f>VLOOKUP($B8,'Nomina Econacional'!$B$4:$AC$153,10,0)</f>
        <v>#N/A</v>
      </c>
      <c r="K8" s="19" t="e">
        <f>VLOOKUP($B8,'Nomina Econacional'!$B$4:$AC$153,11,0)</f>
        <v>#N/A</v>
      </c>
      <c r="L8" s="60" t="e">
        <f>VLOOKUP($B8,'Nomina Econacional'!$B$4:$AC$153,12,0)</f>
        <v>#N/A</v>
      </c>
      <c r="M8" s="19" t="e">
        <f>VLOOKUP($B8,'Nomina Econacional'!$B$4:$AC$153,13,0)</f>
        <v>#N/A</v>
      </c>
      <c r="N8" s="60" t="e">
        <f>VLOOKUP($B8,'Nomina Econacional'!$B$4:$AC$153,14,0)</f>
        <v>#N/A</v>
      </c>
      <c r="O8" s="19">
        <f>VLOOKUP($B8,'Nomina Econacional'!$B$4:$AC$153,15,0)</f>
        <v>0</v>
      </c>
      <c r="P8" s="19" t="e">
        <f>VLOOKUP($B8,'Nomina Econacional'!$B$4:$AC$153,16,0)</f>
        <v>#N/A</v>
      </c>
      <c r="Q8" s="19" t="e">
        <f>VLOOKUP($B8,'Nomina Econacional'!$B$4:$AC$153,17,0)</f>
        <v>#N/A</v>
      </c>
      <c r="R8" s="19">
        <f>VLOOKUP($B8,'Nomina Econacional'!$B$4:$AC$153,18,0)</f>
        <v>0</v>
      </c>
      <c r="S8" s="19" t="e">
        <f>VLOOKUP($B8,'Nomina Econacional'!$B$4:$AC$153,19,0)</f>
        <v>#N/A</v>
      </c>
      <c r="T8" s="19" t="e">
        <f>VLOOKUP($B8,'Nomina Econacional'!$B$4:$AC$153,20,0)</f>
        <v>#N/A</v>
      </c>
      <c r="U8" s="19" t="e">
        <f>VLOOKUP($B8,'Nomina Econacional'!$B$4:$AC$153,21,0)</f>
        <v>#N/A</v>
      </c>
      <c r="V8" s="19" t="e">
        <f>VLOOKUP($B8,'Nomina Econacional'!$B$4:$AC$153,22,0)</f>
        <v>#N/A</v>
      </c>
      <c r="W8" s="19" t="e">
        <f>VLOOKUP($B8,'Nomina Econacional'!$B$4:$AC$153,23,0)</f>
        <v>#N/A</v>
      </c>
      <c r="X8" s="20" t="e">
        <f>ROUND((VLOOKUP($B8,'Nomina Econacional'!$B$4:$AC$90,24,0)),2)</f>
        <v>#N/A</v>
      </c>
      <c r="Y8" s="122">
        <f>VLOOKUP($B8,'Nomina Econacional'!$B$4:$AC$153,25,0)</f>
        <v>0</v>
      </c>
      <c r="Z8" s="20">
        <f>VLOOKUP($B8,'Nomina Econacional'!$B$4:$AC$153,26,0)</f>
        <v>0</v>
      </c>
      <c r="AA8" s="61"/>
      <c r="AB8" s="85" t="e">
        <f>VLOOKUP($B8,'Nomina Econacional'!$B$4:$AC$153,3,0)</f>
        <v>#N/A</v>
      </c>
    </row>
    <row r="9" spans="1:28">
      <c r="A9" s="1">
        <v>8</v>
      </c>
      <c r="B9" s="22">
        <f>+'Nomina Econacional'!B25</f>
        <v>0</v>
      </c>
      <c r="C9" s="109">
        <v>2360137141</v>
      </c>
      <c r="D9" s="22" t="s">
        <v>368</v>
      </c>
      <c r="E9" s="19" t="e">
        <f>VLOOKUP($B9,'Nomina Econacional'!$B$4:$AC$153,2,0)</f>
        <v>#N/A</v>
      </c>
      <c r="F9" s="19" t="e">
        <f>VLOOKUP($B9,'Nomina Econacional'!$B$4:$AC$153,4,0)</f>
        <v>#N/A</v>
      </c>
      <c r="G9" s="60" t="e">
        <f>VLOOKUP($B9,'Nomina Econacional'!$B$4:$AC$153,6,0)</f>
        <v>#N/A</v>
      </c>
      <c r="H9" s="60" t="e">
        <f>VLOOKUP($B9,'Nomina Econacional'!$B$4:$AC$153,7,0)</f>
        <v>#N/A</v>
      </c>
      <c r="I9" s="21" t="e">
        <f>VLOOKUP($B9,'Nomina Econacional'!$B$4:$AC$153,9,0)</f>
        <v>#N/A</v>
      </c>
      <c r="J9" s="60" t="e">
        <f>VLOOKUP($B9,'Nomina Econacional'!$B$4:$AC$153,10,0)</f>
        <v>#N/A</v>
      </c>
      <c r="K9" s="19" t="e">
        <f>VLOOKUP($B9,'Nomina Econacional'!$B$4:$AC$153,11,0)</f>
        <v>#N/A</v>
      </c>
      <c r="L9" s="60" t="e">
        <f>VLOOKUP($B9,'Nomina Econacional'!$B$4:$AC$153,12,0)</f>
        <v>#N/A</v>
      </c>
      <c r="M9" s="19" t="e">
        <f>VLOOKUP($B9,'Nomina Econacional'!$B$4:$AC$153,13,0)</f>
        <v>#N/A</v>
      </c>
      <c r="N9" s="60" t="e">
        <f>VLOOKUP($B9,'Nomina Econacional'!$B$4:$AC$153,14,0)</f>
        <v>#N/A</v>
      </c>
      <c r="O9" s="19">
        <f>VLOOKUP($B9,'Nomina Econacional'!$B$4:$AC$153,15,0)</f>
        <v>0</v>
      </c>
      <c r="P9" s="19" t="e">
        <f>VLOOKUP($B9,'Nomina Econacional'!$B$4:$AC$153,16,0)</f>
        <v>#N/A</v>
      </c>
      <c r="Q9" s="19" t="e">
        <f>VLOOKUP($B9,'Nomina Econacional'!$B$4:$AC$153,17,0)</f>
        <v>#N/A</v>
      </c>
      <c r="R9" s="19">
        <f>VLOOKUP($B9,'Nomina Econacional'!$B$4:$AC$153,18,0)</f>
        <v>0</v>
      </c>
      <c r="S9" s="19" t="e">
        <f>VLOOKUP($B9,'Nomina Econacional'!$B$4:$AC$153,19,0)</f>
        <v>#N/A</v>
      </c>
      <c r="T9" s="19" t="e">
        <f>VLOOKUP($B9,'Nomina Econacional'!$B$4:$AC$153,20,0)</f>
        <v>#N/A</v>
      </c>
      <c r="U9" s="19" t="e">
        <f>VLOOKUP($B9,'Nomina Econacional'!$B$4:$AC$153,21,0)</f>
        <v>#N/A</v>
      </c>
      <c r="V9" s="19" t="e">
        <f>VLOOKUP($B9,'Nomina Econacional'!$B$4:$AC$153,22,0)</f>
        <v>#N/A</v>
      </c>
      <c r="W9" s="19" t="e">
        <f>VLOOKUP($B9,'Nomina Econacional'!$B$4:$AC$153,23,0)</f>
        <v>#N/A</v>
      </c>
      <c r="X9" s="20" t="e">
        <f>+'Nomina Econacional'!Y25</f>
        <v>#N/A</v>
      </c>
      <c r="Y9" s="122">
        <f>VLOOKUP($B9,'Nomina Econacional'!$B$4:$AC$153,25,0)</f>
        <v>0</v>
      </c>
      <c r="Z9" s="20" t="e">
        <f>+'Nomina Econacional'!AA25</f>
        <v>#N/A</v>
      </c>
      <c r="AA9" s="61">
        <v>201601451499</v>
      </c>
      <c r="AB9" s="85" t="e">
        <f>VLOOKUP($B9,'Nomina Econacional'!$B$4:$AC$153,3,0)</f>
        <v>#N/A</v>
      </c>
    </row>
    <row r="10" spans="1:28">
      <c r="A10" s="1">
        <v>9</v>
      </c>
      <c r="B10" s="22">
        <f>+'Nomina Econacional'!B18</f>
        <v>0</v>
      </c>
      <c r="C10" s="109">
        <v>7870024093</v>
      </c>
      <c r="D10" s="22" t="s">
        <v>369</v>
      </c>
      <c r="E10" s="19" t="e">
        <f>VLOOKUP($B10,'Nomina Econacional'!$B$4:$AC$153,2,0)</f>
        <v>#N/A</v>
      </c>
      <c r="F10" s="19" t="e">
        <f>VLOOKUP($B10,'Nomina Econacional'!$B$4:$AC$153,4,0)</f>
        <v>#N/A</v>
      </c>
      <c r="G10" s="60" t="e">
        <f>VLOOKUP($B10,'Nomina Econacional'!$B$4:$AC$153,6,0)</f>
        <v>#N/A</v>
      </c>
      <c r="H10" s="60" t="e">
        <f>VLOOKUP($B10,'Nomina Econacional'!$B$4:$AC$153,7,0)</f>
        <v>#N/A</v>
      </c>
      <c r="I10" s="21" t="e">
        <f>VLOOKUP($B10,'Nomina Econacional'!$B$4:$AC$153,9,0)</f>
        <v>#N/A</v>
      </c>
      <c r="J10" s="60" t="e">
        <f>VLOOKUP($B10,'Nomina Econacional'!$B$4:$AC$153,10,0)</f>
        <v>#N/A</v>
      </c>
      <c r="K10" s="19" t="e">
        <f>VLOOKUP($B10,'Nomina Econacional'!$B$4:$AC$153,11,0)</f>
        <v>#N/A</v>
      </c>
      <c r="L10" s="60" t="e">
        <f>VLOOKUP($B10,'Nomina Econacional'!$B$4:$AC$153,12,0)</f>
        <v>#N/A</v>
      </c>
      <c r="M10" s="19" t="e">
        <f>VLOOKUP($B10,'Nomina Econacional'!$B$4:$AC$153,13,0)</f>
        <v>#N/A</v>
      </c>
      <c r="N10" s="60" t="e">
        <f>VLOOKUP($B10,'Nomina Econacional'!$B$4:$AC$153,14,0)</f>
        <v>#N/A</v>
      </c>
      <c r="O10" s="19">
        <f>VLOOKUP($B10,'Nomina Econacional'!$B$4:$AC$153,15,0)</f>
        <v>0</v>
      </c>
      <c r="P10" s="19" t="e">
        <f>VLOOKUP($B10,'Nomina Econacional'!$B$4:$AC$153,16,0)</f>
        <v>#N/A</v>
      </c>
      <c r="Q10" s="19" t="e">
        <f>VLOOKUP($B10,'Nomina Econacional'!$B$4:$AC$153,17,0)</f>
        <v>#N/A</v>
      </c>
      <c r="R10" s="19">
        <f>VLOOKUP($B10,'Nomina Econacional'!$B$4:$AC$153,18,0)</f>
        <v>0</v>
      </c>
      <c r="S10" s="19" t="e">
        <f>VLOOKUP($B10,'Nomina Econacional'!$B$4:$AC$153,19,0)</f>
        <v>#N/A</v>
      </c>
      <c r="T10" s="19" t="e">
        <f>VLOOKUP($B10,'Nomina Econacional'!$B$4:$AC$153,20,0)</f>
        <v>#N/A</v>
      </c>
      <c r="U10" s="19" t="e">
        <f>VLOOKUP($B10,'Nomina Econacional'!$B$4:$AC$153,21,0)</f>
        <v>#N/A</v>
      </c>
      <c r="V10" s="19" t="e">
        <f>VLOOKUP($B10,'Nomina Econacional'!$B$4:$AC$153,22,0)</f>
        <v>#N/A</v>
      </c>
      <c r="W10" s="19" t="e">
        <f>VLOOKUP($B10,'Nomina Econacional'!$B$4:$AC$153,23,0)</f>
        <v>#N/A</v>
      </c>
      <c r="X10" s="20" t="e">
        <f>+'Nomina Econacional'!Y18</f>
        <v>#N/A</v>
      </c>
      <c r="Y10" s="122" t="e">
        <f>+'Nomina Econacional'!Z18</f>
        <v>#N/A</v>
      </c>
      <c r="Z10" s="122" t="e">
        <f>+'Nomina Econacional'!AA18</f>
        <v>#N/A</v>
      </c>
      <c r="AA10" s="61">
        <v>187171244</v>
      </c>
      <c r="AB10" s="85" t="e">
        <f>VLOOKUP($B10,'Nomina Econacional'!$B$4:$AC$153,3,0)</f>
        <v>#N/A</v>
      </c>
    </row>
    <row r="11" spans="1:28">
      <c r="A11" s="1">
        <v>10</v>
      </c>
      <c r="B11" s="22">
        <f>+'Nomina Econacional'!B22</f>
        <v>0</v>
      </c>
      <c r="C11" s="109">
        <v>60280286</v>
      </c>
      <c r="D11" s="22" t="s">
        <v>371</v>
      </c>
      <c r="E11" s="19" t="e">
        <f>VLOOKUP($B11,'Nomina Econacional'!$B$4:$AC$153,2,0)</f>
        <v>#N/A</v>
      </c>
      <c r="F11" s="19" t="e">
        <f>VLOOKUP($B11,'Nomina Econacional'!$B$4:$AC$153,4,0)</f>
        <v>#N/A</v>
      </c>
      <c r="G11" s="60" t="e">
        <f>VLOOKUP($B11,'Nomina Econacional'!$B$4:$AC$153,6,0)</f>
        <v>#N/A</v>
      </c>
      <c r="H11" s="60" t="e">
        <f>VLOOKUP($B11,'Nomina Econacional'!$B$4:$AC$153,7,0)</f>
        <v>#N/A</v>
      </c>
      <c r="I11" s="21" t="e">
        <f>VLOOKUP($B11,'Nomina Econacional'!$B$4:$AC$153,9,0)</f>
        <v>#N/A</v>
      </c>
      <c r="J11" s="60" t="e">
        <f>VLOOKUP($B11,'Nomina Econacional'!$B$4:$AC$153,10,0)</f>
        <v>#N/A</v>
      </c>
      <c r="K11" s="19" t="e">
        <f>VLOOKUP($B11,'Nomina Econacional'!$B$4:$AC$153,11,0)</f>
        <v>#N/A</v>
      </c>
      <c r="L11" s="60" t="e">
        <f>VLOOKUP($B11,'Nomina Econacional'!$B$4:$AC$153,12,0)</f>
        <v>#N/A</v>
      </c>
      <c r="M11" s="19" t="e">
        <f>VLOOKUP($B11,'Nomina Econacional'!$B$4:$AC$153,13,0)</f>
        <v>#N/A</v>
      </c>
      <c r="N11" s="60" t="e">
        <f>VLOOKUP($B11,'Nomina Econacional'!$B$4:$AC$153,14,0)</f>
        <v>#N/A</v>
      </c>
      <c r="O11" s="19">
        <f>VLOOKUP($B11,'Nomina Econacional'!$B$4:$AC$153,15,0)</f>
        <v>0</v>
      </c>
      <c r="P11" s="19" t="e">
        <f>VLOOKUP($B11,'Nomina Econacional'!$B$4:$AC$153,16,0)</f>
        <v>#N/A</v>
      </c>
      <c r="Q11" s="19" t="e">
        <f>VLOOKUP($B11,'Nomina Econacional'!$B$4:$AC$153,17,0)</f>
        <v>#N/A</v>
      </c>
      <c r="R11" s="19">
        <f>VLOOKUP($B11,'Nomina Econacional'!$B$4:$AC$153,18,0)</f>
        <v>0</v>
      </c>
      <c r="S11" s="19" t="e">
        <f>VLOOKUP($B11,'Nomina Econacional'!$B$4:$AC$153,19,0)</f>
        <v>#N/A</v>
      </c>
      <c r="T11" s="19" t="e">
        <f>VLOOKUP($B11,'Nomina Econacional'!$B$4:$AC$153,20,0)</f>
        <v>#N/A</v>
      </c>
      <c r="U11" s="19" t="e">
        <f>VLOOKUP($B11,'Nomina Econacional'!$B$4:$AC$153,21,0)</f>
        <v>#N/A</v>
      </c>
      <c r="V11" s="19" t="e">
        <f>VLOOKUP($B11,'Nomina Econacional'!$B$4:$AC$153,22,0)</f>
        <v>#N/A</v>
      </c>
      <c r="W11" s="19" t="e">
        <f>VLOOKUP($B11,'Nomina Econacional'!$B$4:$AC$153,23,0)</f>
        <v>#N/A</v>
      </c>
      <c r="X11" s="20" t="e">
        <f>+'Nomina Econacional'!Y22</f>
        <v>#N/A</v>
      </c>
      <c r="Y11" s="122" t="e">
        <f>+'Nomina Econacional'!Z22</f>
        <v>#N/A</v>
      </c>
      <c r="Z11" s="20" t="e">
        <f>+'Nomina Econacional'!AA22</f>
        <v>#N/A</v>
      </c>
      <c r="AA11" s="61">
        <v>201600808071</v>
      </c>
      <c r="AB11" s="85" t="e">
        <f>VLOOKUP($B11,'Nomina Econacional'!$B$4:$AC$153,3,0)</f>
        <v>#N/A</v>
      </c>
    </row>
    <row r="12" spans="1:28">
      <c r="A12" s="1">
        <v>11</v>
      </c>
      <c r="B12" s="22">
        <f>+'Nomina Econacional'!B24</f>
        <v>0</v>
      </c>
      <c r="C12" s="109">
        <v>60280294</v>
      </c>
      <c r="D12" s="22" t="s">
        <v>372</v>
      </c>
      <c r="E12" s="19" t="e">
        <f>VLOOKUP($B12,'Nomina Econacional'!$B$4:$AC$153,2,0)</f>
        <v>#N/A</v>
      </c>
      <c r="F12" s="19" t="e">
        <f>VLOOKUP($B12,'Nomina Econacional'!$B$4:$AC$153,4,0)</f>
        <v>#N/A</v>
      </c>
      <c r="G12" s="60" t="e">
        <f>VLOOKUP($B12,'Nomina Econacional'!$B$4:$AC$153,6,0)</f>
        <v>#N/A</v>
      </c>
      <c r="H12" s="60" t="e">
        <f>VLOOKUP($B12,'Nomina Econacional'!$B$4:$AC$153,7,0)</f>
        <v>#N/A</v>
      </c>
      <c r="I12" s="21" t="e">
        <f>VLOOKUP($B12,'Nomina Econacional'!$B$4:$AC$153,9,0)</f>
        <v>#N/A</v>
      </c>
      <c r="J12" s="60" t="e">
        <f>VLOOKUP($B12,'Nomina Econacional'!$B$4:$AC$153,10,0)</f>
        <v>#N/A</v>
      </c>
      <c r="K12" s="19" t="e">
        <f>VLOOKUP($B12,'Nomina Econacional'!$B$4:$AC$153,11,0)</f>
        <v>#N/A</v>
      </c>
      <c r="L12" s="60" t="e">
        <f>VLOOKUP($B12,'Nomina Econacional'!$B$4:$AC$153,12,0)</f>
        <v>#N/A</v>
      </c>
      <c r="M12" s="19" t="e">
        <f>VLOOKUP($B12,'Nomina Econacional'!$B$4:$AC$153,13,0)</f>
        <v>#N/A</v>
      </c>
      <c r="N12" s="60" t="e">
        <f>VLOOKUP($B12,'Nomina Econacional'!$B$4:$AC$153,14,0)</f>
        <v>#N/A</v>
      </c>
      <c r="O12" s="19">
        <f>VLOOKUP($B12,'Nomina Econacional'!$B$4:$AC$153,15,0)</f>
        <v>0</v>
      </c>
      <c r="P12" s="19" t="e">
        <f>VLOOKUP($B12,'Nomina Econacional'!$B$4:$AC$153,16,0)</f>
        <v>#N/A</v>
      </c>
      <c r="Q12" s="19" t="e">
        <f>VLOOKUP($B12,'Nomina Econacional'!$B$4:$AC$153,17,0)</f>
        <v>#N/A</v>
      </c>
      <c r="R12" s="19">
        <f>VLOOKUP($B12,'Nomina Econacional'!$B$4:$AC$153,18,0)</f>
        <v>0</v>
      </c>
      <c r="S12" s="19" t="e">
        <f>VLOOKUP($B12,'Nomina Econacional'!$B$4:$AC$153,19,0)</f>
        <v>#N/A</v>
      </c>
      <c r="T12" s="19" t="e">
        <f>VLOOKUP($B12,'Nomina Econacional'!$B$4:$AC$153,20,0)</f>
        <v>#N/A</v>
      </c>
      <c r="U12" s="19" t="e">
        <f>VLOOKUP($B12,'Nomina Econacional'!$B$4:$AC$153,21,0)</f>
        <v>#N/A</v>
      </c>
      <c r="V12" s="19" t="e">
        <f>VLOOKUP($B12,'Nomina Econacional'!$B$4:$AC$153,22,0)</f>
        <v>#N/A</v>
      </c>
      <c r="W12" s="19" t="e">
        <f>VLOOKUP($B12,'Nomina Econacional'!$B$4:$AC$153,23,0)</f>
        <v>#N/A</v>
      </c>
      <c r="X12" s="20" t="e">
        <f>+'Nomina Econacional'!Y24</f>
        <v>#N/A</v>
      </c>
      <c r="Y12" s="122" t="e">
        <f>+'Nomina Econacional'!Z24</f>
        <v>#N/A</v>
      </c>
      <c r="Z12" s="20" t="e">
        <f>+'Nomina Econacional'!AA24</f>
        <v>#N/A</v>
      </c>
      <c r="AA12" s="61">
        <v>179357587</v>
      </c>
      <c r="AB12" s="85" t="e">
        <f>VLOOKUP($B12,'Nomina Econacional'!$B$4:$AC$153,3,0)</f>
        <v>#N/A</v>
      </c>
    </row>
    <row r="13" spans="1:28">
      <c r="A13" s="1">
        <v>12</v>
      </c>
      <c r="B13" s="22">
        <f>+'Nomina Econacional'!B23</f>
        <v>0</v>
      </c>
      <c r="C13" s="109">
        <v>1490177837</v>
      </c>
      <c r="D13" s="22" t="s">
        <v>232</v>
      </c>
      <c r="E13" s="19" t="e">
        <f>VLOOKUP($B13,'Nomina Econacional'!$B$4:$AC$153,2,0)</f>
        <v>#N/A</v>
      </c>
      <c r="F13" s="19" t="e">
        <f>VLOOKUP($B13,'Nomina Econacional'!$B$4:$AC$153,4,0)</f>
        <v>#N/A</v>
      </c>
      <c r="G13" s="60" t="e">
        <f>VLOOKUP($B13,'Nomina Econacional'!$B$4:$AC$153,6,0)</f>
        <v>#N/A</v>
      </c>
      <c r="H13" s="60" t="e">
        <f>VLOOKUP($B13,'Nomina Econacional'!$B$4:$AC$153,7,0)</f>
        <v>#N/A</v>
      </c>
      <c r="I13" s="21" t="e">
        <f>VLOOKUP($B13,'Nomina Econacional'!$B$4:$AC$153,9,0)</f>
        <v>#N/A</v>
      </c>
      <c r="J13" s="60" t="e">
        <f>VLOOKUP($B13,'Nomina Econacional'!$B$4:$AC$153,10,0)</f>
        <v>#N/A</v>
      </c>
      <c r="K13" s="19" t="e">
        <f>VLOOKUP($B13,'Nomina Econacional'!$B$4:$AC$153,11,0)</f>
        <v>#N/A</v>
      </c>
      <c r="L13" s="60" t="e">
        <f>VLOOKUP($B13,'Nomina Econacional'!$B$4:$AC$153,12,0)</f>
        <v>#N/A</v>
      </c>
      <c r="M13" s="19" t="e">
        <f>VLOOKUP($B13,'Nomina Econacional'!$B$4:$AC$153,13,0)</f>
        <v>#N/A</v>
      </c>
      <c r="N13" s="60" t="e">
        <f>VLOOKUP($B13,'Nomina Econacional'!$B$4:$AC$153,14,0)</f>
        <v>#N/A</v>
      </c>
      <c r="O13" s="19">
        <f>VLOOKUP($B13,'Nomina Econacional'!$B$4:$AC$153,15,0)</f>
        <v>0</v>
      </c>
      <c r="P13" s="19" t="e">
        <f>VLOOKUP($B13,'Nomina Econacional'!$B$4:$AC$153,16,0)</f>
        <v>#N/A</v>
      </c>
      <c r="Q13" s="19" t="e">
        <f>VLOOKUP($B13,'Nomina Econacional'!$B$4:$AC$153,17,0)</f>
        <v>#N/A</v>
      </c>
      <c r="R13" s="19">
        <f>VLOOKUP($B13,'Nomina Econacional'!$B$4:$AC$153,18,0)</f>
        <v>0</v>
      </c>
      <c r="S13" s="19" t="e">
        <f>VLOOKUP($B13,'Nomina Econacional'!$B$4:$AC$153,19,0)</f>
        <v>#N/A</v>
      </c>
      <c r="T13" s="19" t="e">
        <f>VLOOKUP($B13,'Nomina Econacional'!$B$4:$AC$153,20,0)</f>
        <v>#N/A</v>
      </c>
      <c r="U13" s="19" t="e">
        <f>VLOOKUP($B13,'Nomina Econacional'!$B$4:$AC$153,21,0)</f>
        <v>#N/A</v>
      </c>
      <c r="V13" s="19" t="e">
        <f>VLOOKUP($B13,'Nomina Econacional'!$B$4:$AC$153,22,0)</f>
        <v>#N/A</v>
      </c>
      <c r="W13" s="19" t="e">
        <f>VLOOKUP($B13,'Nomina Econacional'!$B$4:$AC$153,23,0)</f>
        <v>#N/A</v>
      </c>
      <c r="X13" s="20" t="e">
        <f>+'Nomina Econacional'!Z23</f>
        <v>#N/A</v>
      </c>
      <c r="Y13" s="122" t="e">
        <f>+'Nomina Econacional'!Z23</f>
        <v>#N/A</v>
      </c>
      <c r="Z13" s="122" t="e">
        <f>+'Nomina Econacional'!AA23</f>
        <v>#N/A</v>
      </c>
      <c r="AA13" s="61"/>
      <c r="AB13" s="85" t="e">
        <f>VLOOKUP($B13,'Nomina Econacional'!$B$4:$AC$153,3,0)</f>
        <v>#N/A</v>
      </c>
    </row>
    <row r="14" spans="1:28">
      <c r="X14" s="2"/>
      <c r="Y14" s="120" t="e">
        <f>SUM(Y2:Y13)</f>
        <v>#N/A</v>
      </c>
      <c r="Z14" s="28" t="e">
        <f>SUM(Z2:Z13)</f>
        <v>#N/A</v>
      </c>
    </row>
    <row r="15" spans="1:28">
      <c r="Y15" s="120" t="e">
        <f>+'Nomina Econacional'!Z40</f>
        <v>#N/A</v>
      </c>
      <c r="Z15" s="2" t="e">
        <f>+'Nomina Econacional'!AA40</f>
        <v>#N/A</v>
      </c>
    </row>
    <row r="16" spans="1:28">
      <c r="C16" s="29"/>
      <c r="D16" s="41"/>
      <c r="Z16" s="2"/>
    </row>
    <row r="17" spans="1:26" ht="15.75">
      <c r="B17" s="3"/>
      <c r="G17" s="27"/>
      <c r="Z17" s="2"/>
    </row>
    <row r="18" spans="1:26" ht="15.75" hidden="1">
      <c r="A18" s="4" t="s">
        <v>224</v>
      </c>
      <c r="B18" s="27" t="s">
        <v>225</v>
      </c>
      <c r="C18" s="27" t="s">
        <v>226</v>
      </c>
      <c r="D18" s="3" t="s">
        <v>212</v>
      </c>
      <c r="E18" s="3"/>
      <c r="F18" s="3"/>
      <c r="G18" s="3"/>
      <c r="H18" s="3"/>
      <c r="I18" s="3"/>
      <c r="J18" s="3"/>
      <c r="K18" s="3"/>
      <c r="L18" s="3"/>
      <c r="M18" s="3"/>
      <c r="N18" s="3"/>
      <c r="O18" s="3"/>
      <c r="P18" s="3"/>
      <c r="Q18" s="3"/>
      <c r="R18" s="3"/>
      <c r="S18" s="3"/>
      <c r="T18" s="3"/>
      <c r="U18" s="3"/>
      <c r="V18" s="3"/>
      <c r="W18" s="3"/>
      <c r="X18" s="3"/>
      <c r="Z18" s="2"/>
    </row>
    <row r="19" spans="1:26" ht="15.75" hidden="1">
      <c r="A19" s="4" t="s">
        <v>97</v>
      </c>
      <c r="B19" s="27" t="s">
        <v>230</v>
      </c>
      <c r="C19" s="27">
        <v>2100134184</v>
      </c>
      <c r="D19" s="3">
        <v>201200078279</v>
      </c>
      <c r="E19" s="3"/>
      <c r="F19" s="3"/>
      <c r="G19" s="3"/>
      <c r="H19" s="3"/>
      <c r="I19" s="3"/>
      <c r="J19" s="3"/>
      <c r="K19" s="3"/>
      <c r="L19" s="3"/>
      <c r="M19" s="3"/>
      <c r="N19" s="3"/>
      <c r="O19" s="3"/>
      <c r="P19" s="3"/>
      <c r="Q19" s="3"/>
      <c r="R19" s="3"/>
      <c r="S19" s="3"/>
      <c r="T19" s="3"/>
      <c r="U19" s="3"/>
      <c r="V19" s="3"/>
      <c r="W19" s="3"/>
      <c r="X19" s="3"/>
      <c r="Z19" s="2"/>
    </row>
    <row r="20" spans="1:26" ht="15.75" hidden="1">
      <c r="A20" s="43" t="s">
        <v>291</v>
      </c>
      <c r="B20" s="27" t="s">
        <v>292</v>
      </c>
      <c r="C20" s="27"/>
      <c r="D20" s="3">
        <v>0</v>
      </c>
      <c r="E20" s="3"/>
      <c r="F20" s="3"/>
      <c r="G20" s="3"/>
      <c r="H20" s="3"/>
      <c r="I20" s="3"/>
      <c r="J20" s="3"/>
      <c r="K20" s="3"/>
      <c r="L20" s="3"/>
      <c r="M20" s="3"/>
      <c r="N20" s="3"/>
      <c r="O20" s="3"/>
      <c r="P20" s="3"/>
      <c r="Q20" s="3"/>
      <c r="R20" s="3"/>
      <c r="S20" s="3"/>
      <c r="T20" s="3"/>
      <c r="U20" s="3"/>
      <c r="V20" s="3"/>
      <c r="W20" s="3"/>
      <c r="X20" s="3"/>
      <c r="Z20" s="2"/>
    </row>
    <row r="21" spans="1:26" ht="15.75" hidden="1">
      <c r="A21" s="4" t="s">
        <v>228</v>
      </c>
      <c r="B21" s="27" t="s">
        <v>229</v>
      </c>
      <c r="C21" s="27">
        <v>1480049822</v>
      </c>
      <c r="D21" s="30">
        <v>201402475635</v>
      </c>
      <c r="E21" s="3"/>
      <c r="F21" s="3"/>
      <c r="G21" s="3"/>
      <c r="H21" s="3"/>
      <c r="I21" s="3"/>
      <c r="J21" s="3"/>
      <c r="K21" s="3"/>
      <c r="L21" s="3"/>
      <c r="M21" s="3"/>
      <c r="N21" s="3"/>
      <c r="O21" s="3"/>
      <c r="P21" s="3"/>
      <c r="Q21" s="3"/>
      <c r="R21" s="3"/>
      <c r="S21" s="3"/>
      <c r="T21" s="3"/>
      <c r="U21" s="3"/>
      <c r="V21" s="3"/>
      <c r="W21" s="3"/>
      <c r="X21" s="3"/>
      <c r="Z21" s="2"/>
    </row>
    <row r="22" spans="1:26" hidden="1">
      <c r="A22" s="22" t="s">
        <v>243</v>
      </c>
      <c r="B22" s="22" t="s">
        <v>244</v>
      </c>
      <c r="C22" s="86">
        <v>2100111505</v>
      </c>
      <c r="D22" s="3">
        <v>183115013</v>
      </c>
      <c r="E22" s="41"/>
      <c r="F22" s="41"/>
      <c r="G22" s="41"/>
      <c r="H22" s="41"/>
      <c r="I22" s="41"/>
      <c r="J22" s="41"/>
      <c r="K22" s="41"/>
      <c r="L22" s="41"/>
      <c r="M22" s="41"/>
      <c r="N22" s="41"/>
      <c r="O22" s="41"/>
      <c r="P22" s="41"/>
      <c r="Q22" s="41"/>
      <c r="R22" s="41"/>
      <c r="S22" s="41"/>
      <c r="T22" s="41"/>
      <c r="U22" s="41"/>
      <c r="V22" s="41"/>
      <c r="W22" s="41"/>
      <c r="X22" s="41"/>
    </row>
    <row r="23" spans="1:26" hidden="1">
      <c r="A23" s="62" t="s">
        <v>293</v>
      </c>
      <c r="B23" s="87" t="s">
        <v>294</v>
      </c>
      <c r="C23" s="88"/>
      <c r="D23" s="39"/>
      <c r="E23" s="41"/>
      <c r="F23" s="41"/>
      <c r="G23" s="41"/>
      <c r="H23" s="41"/>
      <c r="I23" s="41"/>
      <c r="J23" s="41"/>
      <c r="K23" s="41"/>
      <c r="L23" s="41"/>
      <c r="M23" s="41"/>
      <c r="N23" s="41"/>
      <c r="O23" s="41"/>
      <c r="P23" s="41"/>
      <c r="Q23" s="41"/>
      <c r="R23" s="41"/>
      <c r="S23" s="41"/>
      <c r="T23" s="41"/>
      <c r="U23" s="41"/>
      <c r="V23" s="41"/>
      <c r="W23" s="41"/>
      <c r="X23" s="41"/>
    </row>
    <row r="24" spans="1:26" hidden="1">
      <c r="A24" s="62" t="s">
        <v>96</v>
      </c>
      <c r="B24" s="87" t="s">
        <v>295</v>
      </c>
      <c r="C24" s="34">
        <v>4540034883</v>
      </c>
      <c r="D24" s="34">
        <v>201200793406</v>
      </c>
      <c r="E24" s="41"/>
      <c r="F24" s="41"/>
      <c r="G24" s="41"/>
      <c r="H24" s="41"/>
      <c r="I24" s="41"/>
      <c r="J24" s="41"/>
      <c r="K24" s="41"/>
      <c r="L24" s="41"/>
      <c r="M24" s="41"/>
      <c r="N24" s="41"/>
      <c r="O24" s="41"/>
      <c r="P24" s="41"/>
      <c r="Q24" s="41"/>
      <c r="R24" s="41"/>
      <c r="S24" s="41"/>
      <c r="T24" s="41"/>
      <c r="U24" s="41"/>
      <c r="V24" s="41"/>
      <c r="W24" s="41"/>
      <c r="X24" s="41"/>
    </row>
    <row r="25" spans="1:26" hidden="1">
      <c r="A25" s="62" t="s">
        <v>296</v>
      </c>
      <c r="B25" s="87" t="s">
        <v>297</v>
      </c>
      <c r="C25" s="88"/>
      <c r="D25" s="39"/>
      <c r="E25" s="41"/>
      <c r="F25" s="41"/>
      <c r="G25" s="41"/>
      <c r="H25" s="41"/>
      <c r="I25" s="41"/>
      <c r="J25" s="41"/>
      <c r="K25" s="41"/>
      <c r="L25" s="41"/>
      <c r="M25" s="41"/>
      <c r="N25" s="41"/>
      <c r="O25" s="41"/>
      <c r="P25" s="41"/>
      <c r="Q25" s="41"/>
      <c r="R25" s="41"/>
      <c r="S25" s="41"/>
      <c r="T25" s="41"/>
      <c r="U25" s="41"/>
      <c r="V25" s="41"/>
      <c r="W25" s="41"/>
      <c r="X25" s="41"/>
    </row>
    <row r="26" spans="1:26" hidden="1">
      <c r="A26" s="62" t="s">
        <v>298</v>
      </c>
      <c r="B26" s="87" t="s">
        <v>299</v>
      </c>
      <c r="C26" s="88"/>
      <c r="D26" s="39"/>
      <c r="E26" s="41"/>
      <c r="F26" s="41"/>
      <c r="G26" s="41"/>
      <c r="H26" s="41"/>
      <c r="I26" s="41"/>
      <c r="J26" s="41"/>
      <c r="K26" s="41"/>
      <c r="L26" s="41"/>
      <c r="M26" s="41"/>
      <c r="N26" s="41"/>
      <c r="O26" s="41"/>
      <c r="P26" s="41"/>
      <c r="Q26" s="41"/>
      <c r="R26" s="41"/>
      <c r="S26" s="41"/>
      <c r="T26" s="41"/>
      <c r="U26" s="41"/>
      <c r="V26" s="41"/>
      <c r="W26" s="41"/>
      <c r="X26" s="41"/>
    </row>
    <row r="27" spans="1:26" hidden="1">
      <c r="A27" s="31" t="s">
        <v>97</v>
      </c>
      <c r="B27" s="32" t="s">
        <v>230</v>
      </c>
      <c r="C27" s="33">
        <v>2100134184</v>
      </c>
      <c r="D27" s="38"/>
      <c r="E27" s="41"/>
      <c r="F27" s="41"/>
      <c r="G27" s="41"/>
      <c r="H27" s="41"/>
      <c r="I27" s="41"/>
      <c r="J27" s="41"/>
      <c r="K27" s="41"/>
      <c r="L27" s="41"/>
      <c r="M27" s="41"/>
      <c r="N27" s="41"/>
      <c r="O27" s="41"/>
      <c r="P27" s="41"/>
      <c r="Q27" s="41"/>
      <c r="R27" s="41"/>
      <c r="S27" s="41"/>
      <c r="T27" s="41"/>
      <c r="U27" s="41"/>
      <c r="V27" s="41"/>
      <c r="W27" s="41"/>
      <c r="X27" s="41"/>
    </row>
    <row r="28" spans="1:26" ht="15.75" hidden="1">
      <c r="A28" s="89" t="s">
        <v>95</v>
      </c>
      <c r="B28" s="45" t="s">
        <v>269</v>
      </c>
      <c r="C28" s="90">
        <v>1030057960</v>
      </c>
      <c r="D28" s="26">
        <v>277268009</v>
      </c>
      <c r="F28" s="41"/>
      <c r="G28" s="41"/>
      <c r="H28" s="41"/>
      <c r="I28" s="41"/>
      <c r="J28" s="41"/>
      <c r="K28" s="41"/>
      <c r="L28" s="41"/>
      <c r="M28" s="41"/>
      <c r="N28" s="41"/>
      <c r="O28" s="41"/>
      <c r="P28" s="41"/>
      <c r="Q28" s="41"/>
      <c r="R28" s="41"/>
      <c r="S28" s="41"/>
      <c r="T28" s="41"/>
      <c r="U28" s="41"/>
      <c r="V28" s="41"/>
      <c r="W28" s="41"/>
      <c r="X28" s="41"/>
    </row>
    <row r="29" spans="1:26" hidden="1">
      <c r="A29" s="19" t="s">
        <v>285</v>
      </c>
      <c r="B29" s="19" t="s">
        <v>286</v>
      </c>
      <c r="C29" s="90">
        <v>7060005837</v>
      </c>
      <c r="D29" s="26">
        <v>201400720062</v>
      </c>
    </row>
    <row r="30" spans="1:26" hidden="1">
      <c r="A30" s="44" t="s">
        <v>300</v>
      </c>
      <c r="B30" s="44" t="s">
        <v>301</v>
      </c>
      <c r="C30" s="90">
        <v>60208329</v>
      </c>
      <c r="D30" s="26">
        <v>201400600995</v>
      </c>
      <c r="E30" s="41"/>
      <c r="F30" s="41"/>
      <c r="G30" s="41"/>
      <c r="H30" s="41"/>
      <c r="I30" s="41"/>
      <c r="J30" s="41"/>
      <c r="K30" s="41"/>
      <c r="L30" s="41"/>
      <c r="M30" s="41"/>
      <c r="N30" s="41"/>
      <c r="O30" s="41"/>
      <c r="P30" s="41"/>
      <c r="Q30" s="41"/>
      <c r="R30" s="41"/>
      <c r="S30" s="41"/>
      <c r="T30" s="41"/>
      <c r="U30" s="41"/>
      <c r="V30" s="41"/>
      <c r="W30" s="41"/>
      <c r="X30" s="41"/>
    </row>
    <row r="31" spans="1:26" hidden="1">
      <c r="A31" s="25" t="s">
        <v>98</v>
      </c>
      <c r="B31" s="25" t="s">
        <v>302</v>
      </c>
      <c r="C31" s="86">
        <v>2100127006</v>
      </c>
      <c r="D31" s="3">
        <v>201500187555</v>
      </c>
      <c r="E31" s="41"/>
      <c r="F31" s="41"/>
      <c r="G31" s="41"/>
      <c r="H31" s="41"/>
      <c r="I31" s="41"/>
      <c r="J31" s="41"/>
      <c r="K31" s="41"/>
      <c r="L31" s="41"/>
      <c r="M31" s="41"/>
      <c r="N31" s="41"/>
      <c r="O31" s="41"/>
      <c r="P31" s="41"/>
      <c r="Q31" s="41"/>
      <c r="R31" s="41"/>
      <c r="S31" s="41"/>
      <c r="T31" s="41"/>
      <c r="U31" s="41"/>
      <c r="V31" s="41"/>
      <c r="W31" s="41"/>
      <c r="X31" s="41"/>
    </row>
    <row r="32" spans="1:26" hidden="1">
      <c r="A32" s="43" t="s">
        <v>303</v>
      </c>
      <c r="B32" s="43" t="s">
        <v>304</v>
      </c>
      <c r="C32" s="86">
        <v>3350051235</v>
      </c>
      <c r="D32" s="91">
        <v>182012088</v>
      </c>
      <c r="E32" s="41"/>
      <c r="F32" s="41"/>
      <c r="G32" s="41"/>
      <c r="H32" s="41"/>
      <c r="I32" s="41"/>
      <c r="J32" s="41"/>
      <c r="K32" s="41"/>
      <c r="L32" s="41"/>
      <c r="M32" s="41"/>
      <c r="N32" s="41"/>
      <c r="O32" s="41"/>
      <c r="P32" s="41"/>
      <c r="Q32" s="41"/>
      <c r="R32" s="41"/>
      <c r="S32" s="41"/>
      <c r="T32" s="41"/>
      <c r="U32" s="41"/>
      <c r="V32" s="41"/>
      <c r="W32" s="41"/>
      <c r="X32" s="41"/>
    </row>
    <row r="33" spans="1:25" hidden="1">
      <c r="A33" s="43" t="s">
        <v>305</v>
      </c>
      <c r="B33" s="43" t="s">
        <v>306</v>
      </c>
      <c r="C33" s="86">
        <v>4600011060</v>
      </c>
      <c r="D33" s="3">
        <v>201100419019</v>
      </c>
      <c r="E33" s="41"/>
      <c r="F33" s="41"/>
      <c r="G33" s="41"/>
      <c r="H33" s="41"/>
      <c r="I33" s="41"/>
      <c r="J33" s="41"/>
      <c r="K33" s="41"/>
      <c r="L33" s="41"/>
      <c r="M33" s="41"/>
      <c r="N33" s="41"/>
      <c r="O33" s="41"/>
      <c r="P33" s="41"/>
      <c r="Q33" s="41"/>
      <c r="R33" s="41"/>
      <c r="S33" s="41"/>
      <c r="T33" s="41"/>
      <c r="U33" s="41"/>
      <c r="V33" s="41"/>
      <c r="W33" s="41"/>
      <c r="X33" s="41"/>
    </row>
    <row r="34" spans="1:25" hidden="1">
      <c r="A34" s="42" t="s">
        <v>123</v>
      </c>
      <c r="B34" s="42" t="s">
        <v>237</v>
      </c>
      <c r="C34" s="86">
        <v>620089466</v>
      </c>
      <c r="D34" s="3">
        <v>201500611267</v>
      </c>
      <c r="E34" s="41"/>
      <c r="F34" s="41"/>
      <c r="G34" s="41"/>
      <c r="H34" s="41"/>
      <c r="I34" s="41"/>
      <c r="J34" s="41"/>
      <c r="K34" s="41"/>
      <c r="L34" s="41"/>
      <c r="M34" s="41"/>
      <c r="N34" s="41"/>
      <c r="O34" s="41"/>
      <c r="P34" s="41"/>
      <c r="Q34" s="41"/>
      <c r="R34" s="41"/>
      <c r="S34" s="41"/>
      <c r="T34" s="41"/>
      <c r="U34" s="41"/>
      <c r="V34" s="41"/>
      <c r="W34" s="41"/>
      <c r="X34" s="41"/>
    </row>
    <row r="35" spans="1:25" hidden="1">
      <c r="A35" s="42" t="s">
        <v>307</v>
      </c>
      <c r="B35" s="42" t="s">
        <v>308</v>
      </c>
      <c r="C35" s="86">
        <v>2100129747</v>
      </c>
      <c r="D35" s="92">
        <v>201500683162</v>
      </c>
      <c r="E35" s="41"/>
      <c r="F35" s="41"/>
      <c r="G35" s="41"/>
      <c r="H35" s="41"/>
      <c r="I35" s="41"/>
      <c r="J35" s="41"/>
      <c r="K35" s="41"/>
      <c r="L35" s="41"/>
      <c r="M35" s="41"/>
      <c r="N35" s="41"/>
      <c r="O35" s="41"/>
      <c r="P35" s="41"/>
      <c r="Q35" s="41"/>
      <c r="R35" s="41"/>
      <c r="S35" s="41"/>
      <c r="T35" s="41"/>
      <c r="U35" s="41"/>
      <c r="V35" s="41"/>
      <c r="W35" s="41"/>
      <c r="X35" s="41"/>
    </row>
    <row r="36" spans="1:25" hidden="1">
      <c r="A36" s="42" t="s">
        <v>72</v>
      </c>
      <c r="B36" s="42" t="s">
        <v>222</v>
      </c>
      <c r="C36" s="86">
        <v>3250027839</v>
      </c>
      <c r="D36" s="3">
        <v>285073052</v>
      </c>
      <c r="E36" s="41"/>
      <c r="F36" s="41"/>
      <c r="G36" s="41"/>
      <c r="H36" s="41"/>
      <c r="I36" s="41"/>
      <c r="J36" s="41"/>
      <c r="K36" s="41"/>
      <c r="L36" s="41"/>
      <c r="M36" s="41"/>
      <c r="N36" s="41"/>
      <c r="O36" s="41"/>
      <c r="P36" s="41"/>
      <c r="Q36" s="41"/>
      <c r="R36" s="41"/>
      <c r="S36" s="41"/>
      <c r="T36" s="41"/>
      <c r="U36" s="41"/>
      <c r="V36" s="41"/>
      <c r="W36" s="41"/>
      <c r="X36" s="41"/>
    </row>
    <row r="37" spans="1:25" hidden="1">
      <c r="A37" s="43" t="s">
        <v>104</v>
      </c>
      <c r="B37" s="43" t="s">
        <v>233</v>
      </c>
      <c r="C37" s="86">
        <v>30038129</v>
      </c>
      <c r="D37" s="3">
        <v>201500187145</v>
      </c>
      <c r="E37" s="41"/>
      <c r="F37" s="41"/>
      <c r="G37" s="41"/>
      <c r="H37" s="41"/>
      <c r="I37" s="41"/>
      <c r="J37" s="41"/>
      <c r="K37" s="41"/>
      <c r="L37" s="41"/>
      <c r="M37" s="41"/>
      <c r="N37" s="41"/>
      <c r="O37" s="41"/>
      <c r="P37" s="41"/>
      <c r="Q37" s="41"/>
      <c r="R37" s="41"/>
      <c r="S37" s="41"/>
      <c r="T37" s="41"/>
      <c r="U37" s="41"/>
      <c r="V37" s="41"/>
      <c r="W37" s="41"/>
      <c r="X37" s="41"/>
    </row>
    <row r="38" spans="1:25" hidden="1">
      <c r="A38" s="25" t="s">
        <v>309</v>
      </c>
      <c r="B38" s="25" t="s">
        <v>310</v>
      </c>
      <c r="C38" s="86">
        <v>660126350</v>
      </c>
      <c r="D38" s="3">
        <v>201500187074</v>
      </c>
      <c r="E38" s="41"/>
      <c r="F38" s="41"/>
      <c r="G38" s="41"/>
      <c r="H38" s="41"/>
      <c r="I38" s="41"/>
      <c r="J38" s="41"/>
      <c r="K38" s="41"/>
      <c r="L38" s="41"/>
      <c r="M38" s="41"/>
      <c r="N38" s="41"/>
      <c r="O38" s="41"/>
      <c r="P38" s="41"/>
      <c r="Q38" s="41"/>
      <c r="R38" s="41"/>
      <c r="S38" s="41"/>
      <c r="T38" s="41"/>
      <c r="U38" s="41"/>
      <c r="V38" s="41"/>
      <c r="W38" s="41"/>
      <c r="X38" s="41"/>
    </row>
    <row r="39" spans="1:25" hidden="1">
      <c r="A39" s="4" t="s">
        <v>87</v>
      </c>
      <c r="B39" s="4" t="s">
        <v>238</v>
      </c>
      <c r="C39" s="93">
        <v>2200063028</v>
      </c>
      <c r="D39" s="35">
        <v>201400302399</v>
      </c>
      <c r="E39" s="41"/>
      <c r="F39" s="41"/>
      <c r="G39" s="41"/>
      <c r="H39" s="41"/>
      <c r="I39" s="41"/>
      <c r="J39" s="41"/>
      <c r="K39" s="41"/>
      <c r="L39" s="41"/>
      <c r="M39" s="41"/>
      <c r="N39" s="41"/>
      <c r="O39" s="41"/>
      <c r="P39" s="41"/>
      <c r="Q39" s="41"/>
      <c r="R39" s="41"/>
      <c r="S39" s="41"/>
      <c r="T39" s="41"/>
      <c r="U39" s="41"/>
      <c r="V39" s="41"/>
      <c r="W39" s="41"/>
      <c r="X39" s="2"/>
      <c r="Y39" s="119"/>
    </row>
    <row r="40" spans="1:25" hidden="1">
      <c r="A40" s="94" t="s">
        <v>235</v>
      </c>
      <c r="B40" s="94" t="s">
        <v>236</v>
      </c>
      <c r="C40" s="95">
        <v>2100118682</v>
      </c>
      <c r="D40" s="36">
        <v>201501010609</v>
      </c>
      <c r="E40" s="41"/>
      <c r="F40" s="41"/>
      <c r="G40" s="41"/>
      <c r="H40" s="41"/>
      <c r="I40" s="41"/>
      <c r="J40" s="41"/>
      <c r="K40" s="41"/>
      <c r="L40" s="41"/>
      <c r="M40" s="41"/>
      <c r="N40" s="41"/>
      <c r="O40" s="41"/>
      <c r="P40" s="41"/>
      <c r="Q40" s="41"/>
      <c r="R40" s="41"/>
      <c r="S40" s="41"/>
      <c r="T40" s="41"/>
      <c r="U40" s="41"/>
      <c r="V40" s="41"/>
      <c r="W40" s="41"/>
      <c r="X40" s="2"/>
      <c r="Y40" s="119"/>
    </row>
    <row r="41" spans="1:25" hidden="1">
      <c r="A41" s="94" t="s">
        <v>311</v>
      </c>
      <c r="B41" s="94" t="s">
        <v>312</v>
      </c>
      <c r="C41" s="96">
        <v>2100131065</v>
      </c>
      <c r="D41" s="36">
        <v>201501013795</v>
      </c>
      <c r="E41" s="41"/>
      <c r="F41" s="41"/>
      <c r="G41" s="41"/>
      <c r="H41" s="41"/>
      <c r="I41" s="41"/>
      <c r="J41" s="41"/>
      <c r="K41" s="41"/>
      <c r="L41" s="41"/>
      <c r="M41" s="41"/>
      <c r="N41" s="41"/>
      <c r="O41" s="41"/>
      <c r="P41" s="41"/>
      <c r="Q41" s="41"/>
      <c r="R41" s="41"/>
      <c r="S41" s="41"/>
      <c r="T41" s="41"/>
      <c r="U41" s="41"/>
      <c r="V41" s="41"/>
      <c r="W41" s="41"/>
      <c r="X41" s="2"/>
      <c r="Y41" s="119"/>
    </row>
    <row r="42" spans="1:25" hidden="1">
      <c r="A42" s="4" t="s">
        <v>231</v>
      </c>
      <c r="B42" s="4" t="s">
        <v>232</v>
      </c>
      <c r="C42" s="86">
        <v>590065892</v>
      </c>
      <c r="D42" s="3">
        <v>201500248776</v>
      </c>
      <c r="E42" s="41"/>
      <c r="F42" s="41"/>
      <c r="G42" s="41"/>
      <c r="H42" s="41"/>
      <c r="I42" s="41"/>
      <c r="J42" s="41"/>
      <c r="K42" s="41"/>
      <c r="L42" s="41"/>
      <c r="M42" s="41"/>
      <c r="N42" s="41"/>
      <c r="O42" s="41"/>
      <c r="P42" s="41"/>
      <c r="Q42" s="41"/>
      <c r="R42" s="41"/>
      <c r="S42" s="41"/>
      <c r="T42" s="41"/>
      <c r="U42" s="41"/>
      <c r="V42" s="41"/>
      <c r="W42" s="41"/>
      <c r="X42" s="41"/>
    </row>
    <row r="43" spans="1:25" hidden="1">
      <c r="A43" s="4" t="s">
        <v>313</v>
      </c>
      <c r="B43" s="4" t="s">
        <v>314</v>
      </c>
      <c r="C43" s="86">
        <v>590065900</v>
      </c>
      <c r="D43" s="3">
        <v>201500187163</v>
      </c>
      <c r="E43" s="41"/>
      <c r="F43" s="41"/>
      <c r="G43" s="41"/>
      <c r="H43" s="41"/>
      <c r="I43" s="41"/>
      <c r="J43" s="41"/>
      <c r="K43" s="41"/>
      <c r="L43" s="41"/>
      <c r="M43" s="41"/>
      <c r="N43" s="41"/>
      <c r="O43" s="41"/>
      <c r="P43" s="41"/>
      <c r="Q43" s="41"/>
      <c r="R43" s="41"/>
      <c r="S43" s="41"/>
      <c r="T43" s="41"/>
      <c r="U43" s="41"/>
      <c r="V43" s="41"/>
      <c r="W43" s="41"/>
      <c r="X43" s="41"/>
    </row>
    <row r="44" spans="1:25" hidden="1">
      <c r="A44" s="25" t="s">
        <v>93</v>
      </c>
      <c r="B44" s="25" t="s">
        <v>234</v>
      </c>
      <c r="C44" s="86">
        <v>2830045908</v>
      </c>
      <c r="D44" s="3">
        <v>201500308256</v>
      </c>
      <c r="E44" s="41"/>
      <c r="F44" s="41"/>
      <c r="G44" s="41"/>
      <c r="H44" s="41"/>
      <c r="I44" s="41"/>
      <c r="J44" s="41"/>
      <c r="K44" s="41"/>
      <c r="L44" s="41"/>
      <c r="M44" s="41"/>
      <c r="N44" s="41"/>
      <c r="O44" s="41"/>
      <c r="P44" s="41"/>
      <c r="Q44" s="41"/>
      <c r="R44" s="41"/>
      <c r="S44" s="41"/>
      <c r="T44" s="41"/>
      <c r="U44" s="41"/>
      <c r="V44" s="41"/>
      <c r="W44" s="41"/>
      <c r="X44" s="41"/>
    </row>
    <row r="45" spans="1:25" hidden="1">
      <c r="A45" s="37" t="s">
        <v>239</v>
      </c>
      <c r="B45" s="37" t="s">
        <v>240</v>
      </c>
      <c r="C45" s="93">
        <v>1420047019</v>
      </c>
      <c r="D45" s="3">
        <v>183275122</v>
      </c>
      <c r="E45" s="41"/>
    </row>
    <row r="46" spans="1:25" hidden="1">
      <c r="A46" s="24" t="s">
        <v>315</v>
      </c>
      <c r="B46" s="24" t="s">
        <v>316</v>
      </c>
      <c r="C46" s="35">
        <v>4530051616</v>
      </c>
      <c r="D46" s="3">
        <v>201101225716</v>
      </c>
      <c r="E46" s="41"/>
    </row>
    <row r="47" spans="1:25" hidden="1">
      <c r="A47" s="3" t="s">
        <v>260</v>
      </c>
      <c r="B47" s="22" t="s">
        <v>287</v>
      </c>
      <c r="C47" s="97">
        <v>141711217</v>
      </c>
      <c r="D47" s="35">
        <v>183144534</v>
      </c>
      <c r="F47" s="41"/>
      <c r="G47" s="41"/>
      <c r="H47" s="41"/>
      <c r="I47" s="41"/>
      <c r="J47" s="41"/>
      <c r="K47" s="41"/>
      <c r="L47" s="41"/>
      <c r="M47" s="41"/>
      <c r="N47" s="41"/>
      <c r="O47" s="41"/>
      <c r="P47" s="41"/>
      <c r="Q47" s="41"/>
      <c r="R47" s="41"/>
      <c r="S47" s="41"/>
      <c r="T47" s="41"/>
      <c r="U47" s="41"/>
      <c r="V47" s="41"/>
      <c r="W47" s="41"/>
      <c r="X47" s="41"/>
    </row>
    <row r="48" spans="1:25" hidden="1">
      <c r="A48" s="98" t="s">
        <v>317</v>
      </c>
      <c r="B48" s="98" t="s">
        <v>318</v>
      </c>
      <c r="C48" s="86">
        <v>620086876</v>
      </c>
      <c r="D48" s="3">
        <v>201402738077</v>
      </c>
      <c r="E48" s="41"/>
      <c r="F48" s="41"/>
      <c r="G48" s="41"/>
      <c r="H48" s="41"/>
      <c r="I48" s="41"/>
      <c r="J48" s="41"/>
      <c r="K48" s="41"/>
      <c r="L48" s="41"/>
      <c r="M48" s="41"/>
      <c r="N48" s="41"/>
      <c r="O48" s="41"/>
      <c r="P48" s="41"/>
      <c r="Q48" s="41"/>
      <c r="R48" s="41"/>
      <c r="S48" s="41"/>
      <c r="T48" s="41"/>
      <c r="U48" s="41"/>
      <c r="V48" s="41"/>
      <c r="W48" s="41"/>
      <c r="X48" s="41"/>
    </row>
    <row r="49" spans="1:24" hidden="1">
      <c r="A49" s="25" t="s">
        <v>283</v>
      </c>
      <c r="B49" s="25" t="s">
        <v>284</v>
      </c>
      <c r="C49" s="97">
        <v>620085936</v>
      </c>
      <c r="D49" s="35">
        <v>201402455764</v>
      </c>
      <c r="E49" s="41"/>
      <c r="F49" s="41"/>
      <c r="G49" s="41"/>
      <c r="H49" s="41"/>
      <c r="I49" s="41"/>
      <c r="J49" s="41"/>
      <c r="K49" s="41"/>
      <c r="L49" s="41"/>
      <c r="M49" s="41"/>
      <c r="N49" s="41"/>
      <c r="O49" s="41"/>
      <c r="P49" s="41"/>
      <c r="Q49" s="41"/>
      <c r="R49" s="41"/>
      <c r="S49" s="41"/>
      <c r="T49" s="41"/>
      <c r="U49" s="41"/>
      <c r="V49" s="41"/>
      <c r="W49" s="41"/>
      <c r="X49" s="41"/>
    </row>
    <row r="50" spans="1:24" hidden="1">
      <c r="A50" s="3" t="s">
        <v>127</v>
      </c>
      <c r="B50" s="3" t="s">
        <v>241</v>
      </c>
      <c r="C50" s="86">
        <v>1030061012</v>
      </c>
      <c r="D50" s="3">
        <v>201400236014</v>
      </c>
      <c r="E50" s="41"/>
      <c r="F50" s="41"/>
      <c r="G50" s="41"/>
      <c r="H50" s="41"/>
      <c r="I50" s="41"/>
      <c r="J50" s="41"/>
      <c r="K50" s="41"/>
      <c r="L50" s="41"/>
      <c r="M50" s="41"/>
      <c r="N50" s="41"/>
      <c r="O50" s="41"/>
      <c r="P50" s="41"/>
      <c r="Q50" s="41"/>
      <c r="R50" s="41"/>
      <c r="S50" s="41"/>
      <c r="T50" s="41"/>
      <c r="U50" s="41"/>
      <c r="V50" s="41"/>
      <c r="W50" s="41"/>
      <c r="X50" s="41"/>
    </row>
    <row r="51" spans="1:24" hidden="1">
      <c r="A51" s="37" t="s">
        <v>319</v>
      </c>
      <c r="B51" s="37" t="s">
        <v>320</v>
      </c>
      <c r="C51" s="86">
        <v>590064788</v>
      </c>
      <c r="D51" s="3">
        <v>201402464727</v>
      </c>
      <c r="E51" s="41"/>
      <c r="F51" s="41"/>
      <c r="G51" s="41"/>
      <c r="H51" s="41"/>
      <c r="I51" s="41"/>
      <c r="J51" s="41"/>
      <c r="K51" s="41"/>
      <c r="L51" s="41"/>
      <c r="M51" s="41"/>
      <c r="N51" s="41"/>
      <c r="O51" s="41"/>
      <c r="P51" s="41"/>
      <c r="Q51" s="41"/>
      <c r="R51" s="41"/>
      <c r="S51" s="41"/>
      <c r="T51" s="41"/>
      <c r="U51" s="41"/>
      <c r="V51" s="41"/>
      <c r="W51" s="41"/>
      <c r="X51" s="41"/>
    </row>
    <row r="52" spans="1:24" hidden="1">
      <c r="A52" s="46" t="s">
        <v>321</v>
      </c>
      <c r="B52" s="46" t="s">
        <v>322</v>
      </c>
      <c r="C52" s="91">
        <v>4630027318</v>
      </c>
      <c r="D52" s="3">
        <v>184327179</v>
      </c>
      <c r="E52" s="41"/>
      <c r="F52" s="41"/>
      <c r="G52" s="41"/>
      <c r="H52" s="41"/>
      <c r="I52" s="41"/>
      <c r="J52" s="41"/>
      <c r="K52" s="41"/>
      <c r="L52" s="41"/>
      <c r="M52" s="41"/>
      <c r="N52" s="41"/>
      <c r="O52" s="41"/>
      <c r="P52" s="41"/>
      <c r="Q52" s="41"/>
      <c r="R52" s="41"/>
      <c r="S52" s="41"/>
      <c r="T52" s="41"/>
      <c r="U52" s="41"/>
      <c r="V52" s="41"/>
      <c r="W52" s="41"/>
      <c r="X52" s="41"/>
    </row>
    <row r="53" spans="1:24" hidden="1">
      <c r="A53" s="46" t="s">
        <v>323</v>
      </c>
      <c r="B53" s="46" t="s">
        <v>324</v>
      </c>
      <c r="C53" s="35">
        <v>2100122619</v>
      </c>
      <c r="D53" s="3">
        <v>201402464905</v>
      </c>
      <c r="E53" s="41"/>
      <c r="F53" s="41"/>
      <c r="G53" s="41"/>
      <c r="H53" s="41"/>
      <c r="I53" s="41"/>
      <c r="J53" s="41"/>
      <c r="K53" s="41"/>
      <c r="L53" s="41"/>
      <c r="M53" s="41"/>
      <c r="N53" s="41"/>
      <c r="O53" s="41"/>
      <c r="P53" s="41"/>
      <c r="Q53" s="41"/>
      <c r="R53" s="41"/>
      <c r="S53" s="41"/>
      <c r="T53" s="41"/>
      <c r="U53" s="41"/>
      <c r="V53" s="41"/>
      <c r="W53" s="41"/>
      <c r="X53" s="41"/>
    </row>
    <row r="54" spans="1:24" hidden="1">
      <c r="A54" s="44" t="s">
        <v>288</v>
      </c>
      <c r="B54" s="44" t="s">
        <v>325</v>
      </c>
      <c r="C54" s="86">
        <v>1490110853</v>
      </c>
      <c r="D54" s="3">
        <v>201400241366</v>
      </c>
      <c r="E54" s="41"/>
      <c r="F54" s="41"/>
      <c r="G54" s="41"/>
      <c r="H54" s="41"/>
      <c r="I54" s="41"/>
      <c r="J54" s="41"/>
      <c r="K54" s="41"/>
      <c r="L54" s="41"/>
      <c r="M54" s="41"/>
      <c r="N54" s="41"/>
      <c r="O54" s="41"/>
      <c r="P54" s="41"/>
      <c r="Q54" s="41"/>
      <c r="R54" s="41"/>
      <c r="S54" s="41"/>
      <c r="T54" s="41"/>
      <c r="U54" s="41"/>
      <c r="V54" s="41"/>
      <c r="W54" s="41"/>
      <c r="X54" s="41"/>
    </row>
    <row r="55" spans="1:24" hidden="1">
      <c r="A55" s="24" t="s">
        <v>326</v>
      </c>
      <c r="B55" s="24" t="s">
        <v>327</v>
      </c>
      <c r="C55" s="35">
        <v>170086169</v>
      </c>
      <c r="D55" s="3">
        <v>201201835663</v>
      </c>
      <c r="E55" s="41"/>
      <c r="F55" s="41"/>
      <c r="G55" s="41"/>
      <c r="H55" s="41"/>
      <c r="I55" s="41"/>
      <c r="J55" s="41"/>
      <c r="K55" s="41"/>
      <c r="L55" s="41"/>
      <c r="M55" s="41"/>
      <c r="N55" s="41"/>
      <c r="O55" s="41"/>
      <c r="P55" s="41"/>
      <c r="Q55" s="41"/>
      <c r="R55" s="41"/>
      <c r="S55" s="41"/>
      <c r="T55" s="41"/>
      <c r="U55" s="41"/>
      <c r="V55" s="41"/>
      <c r="W55" s="41"/>
      <c r="X55" s="41"/>
    </row>
    <row r="56" spans="1:24" hidden="1">
      <c r="A56" s="3" t="s">
        <v>56</v>
      </c>
      <c r="B56" s="3" t="s">
        <v>328</v>
      </c>
      <c r="C56" s="86" t="s">
        <v>227</v>
      </c>
      <c r="D56" s="3" t="s">
        <v>329</v>
      </c>
      <c r="E56" s="41"/>
      <c r="F56" s="41"/>
      <c r="G56" s="41"/>
      <c r="H56" s="41"/>
      <c r="I56" s="41"/>
      <c r="J56" s="41"/>
      <c r="K56" s="41"/>
      <c r="L56" s="41"/>
      <c r="M56" s="41"/>
      <c r="N56" s="41"/>
      <c r="O56" s="41"/>
      <c r="P56" s="41"/>
      <c r="Q56" s="41"/>
      <c r="R56" s="41"/>
      <c r="S56" s="41"/>
      <c r="T56" s="41"/>
      <c r="U56" s="41"/>
      <c r="V56" s="41"/>
      <c r="W56" s="41"/>
      <c r="X56" s="41"/>
    </row>
    <row r="57" spans="1:24" hidden="1">
      <c r="A57" s="3" t="s">
        <v>267</v>
      </c>
      <c r="B57" s="3" t="s">
        <v>268</v>
      </c>
      <c r="C57" s="86" t="s">
        <v>227</v>
      </c>
      <c r="D57" s="35">
        <v>201300353549</v>
      </c>
      <c r="E57" s="41"/>
      <c r="F57" s="41"/>
      <c r="G57" s="41"/>
      <c r="H57" s="41"/>
      <c r="I57" s="41"/>
      <c r="J57" s="41"/>
      <c r="K57" s="41"/>
      <c r="L57" s="41"/>
      <c r="M57" s="41"/>
      <c r="N57" s="41"/>
      <c r="O57" s="41"/>
      <c r="P57" s="41"/>
      <c r="Q57" s="41"/>
      <c r="R57" s="41"/>
      <c r="S57" s="41"/>
      <c r="T57" s="41"/>
      <c r="U57" s="41"/>
      <c r="V57" s="41"/>
      <c r="W57" s="41"/>
      <c r="X57" s="41"/>
    </row>
    <row r="58" spans="1:24" hidden="1">
      <c r="A58" s="44" t="s">
        <v>330</v>
      </c>
      <c r="B58" s="44" t="s">
        <v>331</v>
      </c>
      <c r="C58" s="86" t="s">
        <v>227</v>
      </c>
      <c r="D58" s="99">
        <v>201101219304</v>
      </c>
      <c r="E58" s="41"/>
      <c r="F58" s="41"/>
      <c r="G58" s="41"/>
      <c r="H58" s="41"/>
      <c r="I58" s="41"/>
      <c r="J58" s="41"/>
      <c r="K58" s="41"/>
      <c r="L58" s="41"/>
      <c r="M58" s="41"/>
      <c r="N58" s="41"/>
      <c r="O58" s="41"/>
      <c r="P58" s="41"/>
      <c r="Q58" s="41"/>
      <c r="R58" s="41"/>
      <c r="S58" s="41"/>
      <c r="T58" s="41"/>
      <c r="U58" s="41"/>
      <c r="V58" s="41"/>
      <c r="W58" s="41"/>
      <c r="X58" s="41"/>
    </row>
    <row r="59" spans="1:24" hidden="1">
      <c r="A59" s="44" t="s">
        <v>247</v>
      </c>
      <c r="B59" s="44" t="s">
        <v>248</v>
      </c>
      <c r="C59" s="86">
        <v>1030060428</v>
      </c>
      <c r="D59" s="3">
        <v>201303416977</v>
      </c>
      <c r="E59" s="41"/>
      <c r="F59" s="41"/>
      <c r="G59" s="41"/>
      <c r="H59" s="41"/>
      <c r="I59" s="41"/>
      <c r="J59" s="41"/>
      <c r="K59" s="41"/>
      <c r="L59" s="41"/>
      <c r="M59" s="41"/>
      <c r="N59" s="41"/>
      <c r="O59" s="41"/>
      <c r="P59" s="41"/>
      <c r="Q59" s="41"/>
      <c r="R59" s="41"/>
      <c r="S59" s="41"/>
      <c r="T59" s="41"/>
      <c r="U59" s="41"/>
      <c r="V59" s="41"/>
      <c r="W59" s="41"/>
      <c r="X59" s="41"/>
    </row>
    <row r="60" spans="1:24" hidden="1">
      <c r="A60" s="44" t="s">
        <v>249</v>
      </c>
      <c r="B60" s="44" t="s">
        <v>250</v>
      </c>
      <c r="C60" s="86" t="s">
        <v>223</v>
      </c>
      <c r="D60" s="99">
        <v>201303574109</v>
      </c>
      <c r="E60" s="41"/>
      <c r="F60" s="41"/>
      <c r="G60" s="41"/>
      <c r="H60" s="41"/>
      <c r="I60" s="41"/>
      <c r="J60" s="41"/>
      <c r="K60" s="41"/>
      <c r="L60" s="41"/>
      <c r="M60" s="41"/>
      <c r="N60" s="41"/>
      <c r="O60" s="41"/>
      <c r="P60" s="41"/>
      <c r="Q60" s="41"/>
      <c r="R60" s="41"/>
      <c r="S60" s="41"/>
      <c r="T60" s="41"/>
      <c r="U60" s="41"/>
      <c r="V60" s="41"/>
      <c r="W60" s="41"/>
      <c r="X60" s="41"/>
    </row>
    <row r="61" spans="1:24" ht="14.25" hidden="1" customHeight="1">
      <c r="A61" s="3" t="s">
        <v>251</v>
      </c>
      <c r="B61" s="3" t="s">
        <v>252</v>
      </c>
      <c r="C61" s="86">
        <v>2100110333</v>
      </c>
      <c r="D61" s="3">
        <v>201303098197</v>
      </c>
      <c r="E61" s="41"/>
      <c r="F61" s="41"/>
      <c r="G61" s="41"/>
      <c r="H61" s="41"/>
      <c r="I61" s="41"/>
      <c r="J61" s="41"/>
      <c r="K61" s="41"/>
      <c r="L61" s="41"/>
      <c r="M61" s="41"/>
      <c r="N61" s="41"/>
      <c r="O61" s="41"/>
      <c r="P61" s="41"/>
      <c r="Q61" s="41"/>
      <c r="R61" s="41"/>
      <c r="S61" s="41"/>
      <c r="T61" s="41"/>
      <c r="U61" s="41"/>
      <c r="V61" s="41"/>
      <c r="W61" s="41"/>
      <c r="X61" s="41"/>
    </row>
    <row r="62" spans="1:24" hidden="1">
      <c r="A62" s="3" t="s">
        <v>253</v>
      </c>
      <c r="B62" s="3" t="s">
        <v>254</v>
      </c>
      <c r="C62" s="86">
        <v>2100096904</v>
      </c>
      <c r="D62" s="3">
        <v>201303098133</v>
      </c>
      <c r="E62" s="41"/>
      <c r="F62" s="41"/>
      <c r="G62" s="41"/>
      <c r="H62" s="41"/>
      <c r="I62" s="41"/>
      <c r="J62" s="41"/>
      <c r="K62" s="41"/>
      <c r="L62" s="41"/>
      <c r="M62" s="41"/>
      <c r="N62" s="41"/>
      <c r="O62" s="41"/>
      <c r="P62" s="41"/>
      <c r="Q62" s="41"/>
      <c r="R62" s="41"/>
      <c r="S62" s="41"/>
      <c r="T62" s="41"/>
      <c r="U62" s="41"/>
      <c r="V62" s="41"/>
      <c r="W62" s="41"/>
      <c r="X62" s="41"/>
    </row>
    <row r="63" spans="1:24" ht="15.75" hidden="1">
      <c r="A63" s="3" t="s">
        <v>255</v>
      </c>
      <c r="B63" s="27" t="s">
        <v>256</v>
      </c>
      <c r="C63" s="86">
        <v>1980089567</v>
      </c>
      <c r="D63" s="3">
        <v>201200919423</v>
      </c>
      <c r="E63" s="41"/>
      <c r="F63" s="41"/>
      <c r="G63" s="41"/>
      <c r="H63" s="41"/>
      <c r="I63" s="41"/>
      <c r="J63" s="41"/>
      <c r="K63" s="41"/>
      <c r="L63" s="41"/>
      <c r="M63" s="41"/>
      <c r="N63" s="41"/>
      <c r="O63" s="41"/>
      <c r="P63" s="41"/>
      <c r="Q63" s="41"/>
      <c r="R63" s="41"/>
      <c r="S63" s="41"/>
      <c r="T63" s="41"/>
      <c r="U63" s="41"/>
      <c r="V63" s="41"/>
      <c r="W63" s="41"/>
      <c r="X63" s="41"/>
    </row>
    <row r="64" spans="1:24" hidden="1">
      <c r="A64" s="3" t="s">
        <v>257</v>
      </c>
      <c r="B64" s="1" t="s">
        <v>258</v>
      </c>
      <c r="C64" s="86">
        <v>2100109921</v>
      </c>
      <c r="D64" s="3">
        <v>201302619073</v>
      </c>
      <c r="E64" s="41"/>
      <c r="F64" s="41"/>
      <c r="G64" s="41"/>
      <c r="H64" s="41"/>
      <c r="I64" s="41"/>
      <c r="J64" s="41"/>
      <c r="K64" s="41"/>
      <c r="L64" s="41"/>
      <c r="M64" s="41"/>
      <c r="N64" s="41"/>
      <c r="O64" s="41"/>
      <c r="P64" s="41"/>
      <c r="Q64" s="41"/>
      <c r="R64" s="41"/>
      <c r="S64" s="41"/>
      <c r="T64" s="41"/>
      <c r="U64" s="41"/>
      <c r="V64" s="41"/>
      <c r="W64" s="41"/>
      <c r="X64" s="41"/>
    </row>
    <row r="65" spans="1:24" ht="15.75" hidden="1">
      <c r="A65" s="40" t="s">
        <v>261</v>
      </c>
      <c r="B65" s="27" t="s">
        <v>262</v>
      </c>
      <c r="C65" s="91">
        <v>4600009635</v>
      </c>
      <c r="D65" s="3">
        <v>201301686279</v>
      </c>
      <c r="E65" s="41"/>
      <c r="F65" s="41"/>
      <c r="G65" s="41"/>
      <c r="H65" s="41"/>
      <c r="I65" s="41"/>
      <c r="J65" s="41"/>
      <c r="K65" s="41"/>
      <c r="L65" s="41"/>
      <c r="M65" s="41"/>
      <c r="N65" s="41"/>
      <c r="O65" s="41"/>
      <c r="P65" s="41"/>
      <c r="Q65" s="41"/>
      <c r="R65" s="41"/>
      <c r="S65" s="41"/>
      <c r="T65" s="41"/>
      <c r="U65" s="41"/>
      <c r="V65" s="41"/>
      <c r="W65" s="41"/>
      <c r="X65" s="41"/>
    </row>
    <row r="66" spans="1:24" ht="15.75" hidden="1">
      <c r="A66" s="40" t="s">
        <v>263</v>
      </c>
      <c r="B66" s="27" t="s">
        <v>264</v>
      </c>
      <c r="C66" s="86">
        <v>4080025986</v>
      </c>
      <c r="D66" s="3">
        <v>183253863</v>
      </c>
      <c r="E66" s="41"/>
      <c r="F66" s="41"/>
      <c r="G66" s="41"/>
      <c r="H66" s="41"/>
      <c r="I66" s="41"/>
      <c r="J66" s="41"/>
      <c r="K66" s="41"/>
      <c r="L66" s="41"/>
      <c r="M66" s="41"/>
      <c r="N66" s="41"/>
      <c r="O66" s="41"/>
      <c r="P66" s="41"/>
      <c r="Q66" s="41"/>
      <c r="R66" s="41"/>
      <c r="S66" s="41"/>
      <c r="T66" s="41"/>
      <c r="U66" s="41"/>
      <c r="V66" s="41"/>
      <c r="W66" s="41"/>
      <c r="X66" s="41"/>
    </row>
    <row r="67" spans="1:24" ht="15.75" hidden="1">
      <c r="A67" s="3" t="s">
        <v>265</v>
      </c>
      <c r="B67" s="27" t="s">
        <v>266</v>
      </c>
      <c r="C67" s="86">
        <v>1880052798</v>
      </c>
      <c r="D67" s="3">
        <v>201201577095</v>
      </c>
      <c r="E67" s="41"/>
      <c r="F67" s="41"/>
      <c r="G67" s="41"/>
      <c r="H67" s="41"/>
      <c r="I67" s="41"/>
      <c r="J67" s="41"/>
      <c r="K67" s="41"/>
      <c r="L67" s="41"/>
      <c r="M67" s="41"/>
      <c r="N67" s="41"/>
      <c r="O67" s="41"/>
      <c r="P67" s="41"/>
      <c r="Q67" s="41"/>
      <c r="R67" s="41"/>
      <c r="S67" s="41"/>
      <c r="T67" s="41"/>
      <c r="U67" s="41"/>
      <c r="V67" s="41"/>
      <c r="W67" s="41"/>
      <c r="X67" s="41"/>
    </row>
    <row r="68" spans="1:24" ht="15.75" hidden="1">
      <c r="A68" s="40" t="s">
        <v>263</v>
      </c>
      <c r="B68" s="27" t="s">
        <v>264</v>
      </c>
      <c r="C68" s="86">
        <v>4080025986</v>
      </c>
      <c r="D68" s="3">
        <v>183253863</v>
      </c>
      <c r="E68" s="41"/>
      <c r="F68" s="41"/>
      <c r="G68" s="41"/>
      <c r="H68" s="41"/>
      <c r="I68" s="41"/>
      <c r="J68" s="41"/>
      <c r="K68" s="41"/>
      <c r="L68" s="41"/>
      <c r="M68" s="41"/>
      <c r="N68" s="41"/>
      <c r="O68" s="41"/>
      <c r="P68" s="41"/>
      <c r="Q68" s="41"/>
      <c r="R68" s="41"/>
      <c r="S68" s="41"/>
      <c r="T68" s="41"/>
      <c r="U68" s="41"/>
      <c r="V68" s="41"/>
      <c r="W68" s="41"/>
      <c r="X68" s="41"/>
    </row>
    <row r="69" spans="1:24" ht="15.75" hidden="1">
      <c r="A69" s="3" t="s">
        <v>265</v>
      </c>
      <c r="B69" s="27" t="s">
        <v>266</v>
      </c>
      <c r="C69" s="86">
        <v>1880052798</v>
      </c>
      <c r="D69" s="3">
        <v>201201577095</v>
      </c>
      <c r="E69" s="41"/>
      <c r="F69" s="41"/>
      <c r="G69" s="41"/>
      <c r="H69" s="41"/>
      <c r="I69" s="41"/>
      <c r="J69" s="41"/>
      <c r="K69" s="41"/>
      <c r="L69" s="41"/>
      <c r="M69" s="41"/>
      <c r="N69" s="41"/>
      <c r="O69" s="41"/>
      <c r="P69" s="41"/>
      <c r="Q69" s="41"/>
      <c r="R69" s="41"/>
      <c r="S69" s="41"/>
      <c r="T69" s="41"/>
      <c r="U69" s="41"/>
      <c r="V69" s="41"/>
      <c r="W69" s="41"/>
      <c r="X69" s="41"/>
    </row>
    <row r="70" spans="1:24" ht="15.75" hidden="1">
      <c r="A70" s="100" t="s">
        <v>245</v>
      </c>
      <c r="B70" s="27" t="s">
        <v>246</v>
      </c>
      <c r="C70" s="86">
        <v>2100111794</v>
      </c>
      <c r="D70" s="3">
        <v>201303431380</v>
      </c>
      <c r="E70" s="41"/>
      <c r="F70" s="41"/>
      <c r="G70" s="41"/>
      <c r="H70" s="41"/>
      <c r="I70" s="41"/>
      <c r="J70" s="41"/>
      <c r="K70" s="41"/>
      <c r="L70" s="41"/>
      <c r="M70" s="41"/>
      <c r="N70" s="41"/>
      <c r="O70" s="41"/>
      <c r="P70" s="41"/>
      <c r="Q70" s="41"/>
      <c r="R70" s="41"/>
      <c r="S70" s="41"/>
      <c r="T70" s="41"/>
      <c r="U70" s="41"/>
      <c r="V70" s="41"/>
      <c r="W70" s="41"/>
      <c r="X70" s="41"/>
    </row>
    <row r="71" spans="1:24" hidden="1">
      <c r="A71" s="44" t="s">
        <v>90</v>
      </c>
      <c r="B71" s="44" t="s">
        <v>242</v>
      </c>
      <c r="C71" s="91">
        <v>4630028092</v>
      </c>
      <c r="D71" s="35">
        <v>201400447965</v>
      </c>
      <c r="E71" s="41"/>
      <c r="F71" s="41"/>
      <c r="G71" s="41"/>
      <c r="H71" s="41"/>
      <c r="I71" s="41"/>
      <c r="J71" s="41"/>
      <c r="K71" s="41"/>
      <c r="L71" s="41"/>
      <c r="M71" s="41"/>
      <c r="N71" s="41"/>
      <c r="O71" s="41"/>
      <c r="P71" s="41"/>
      <c r="Q71" s="41"/>
      <c r="R71" s="41"/>
      <c r="S71" s="41"/>
      <c r="T71" s="41"/>
      <c r="U71" s="41"/>
      <c r="V71" s="41"/>
      <c r="W71" s="41"/>
      <c r="X71" s="41"/>
    </row>
    <row r="72" spans="1:24">
      <c r="A72" s="3"/>
      <c r="B72" s="3"/>
      <c r="C72" s="29"/>
      <c r="D72" s="41"/>
      <c r="E72" s="41"/>
      <c r="F72" s="41"/>
      <c r="G72" s="41"/>
      <c r="H72" s="41"/>
      <c r="I72" s="41"/>
      <c r="J72" s="41"/>
      <c r="K72" s="41"/>
      <c r="L72" s="41"/>
      <c r="M72" s="41"/>
      <c r="N72" s="41"/>
      <c r="O72" s="41"/>
      <c r="P72" s="41"/>
      <c r="Q72" s="41"/>
      <c r="R72" s="41"/>
      <c r="S72" s="41"/>
      <c r="T72" s="41"/>
      <c r="U72" s="41"/>
      <c r="V72" s="41"/>
      <c r="W72" s="41"/>
      <c r="X72" s="41"/>
    </row>
    <row r="73" spans="1:24">
      <c r="A73" s="3"/>
      <c r="B73" s="3"/>
      <c r="C73" s="29"/>
      <c r="D73" s="41"/>
      <c r="E73" s="41"/>
      <c r="F73" s="41"/>
      <c r="G73" s="41"/>
      <c r="H73" s="41"/>
      <c r="I73" s="41"/>
      <c r="J73" s="41"/>
      <c r="K73" s="41"/>
      <c r="L73" s="41"/>
      <c r="M73" s="41"/>
      <c r="N73" s="41"/>
      <c r="O73" s="41"/>
      <c r="P73" s="41"/>
      <c r="Q73" s="41"/>
      <c r="R73" s="41"/>
      <c r="S73" s="41"/>
      <c r="T73" s="41"/>
      <c r="U73" s="41"/>
      <c r="V73" s="41"/>
      <c r="W73" s="41"/>
      <c r="X73" s="41"/>
    </row>
    <row r="74" spans="1:24">
      <c r="A74" s="3"/>
      <c r="B74" s="3"/>
      <c r="C74" s="29"/>
      <c r="D74" s="41"/>
      <c r="E74" s="41"/>
      <c r="F74" s="41"/>
      <c r="G74" s="41"/>
      <c r="H74" s="41"/>
      <c r="I74" s="41"/>
      <c r="J74" s="41"/>
      <c r="K74" s="41"/>
      <c r="L74" s="41"/>
      <c r="M74" s="41"/>
      <c r="N74" s="41"/>
      <c r="O74" s="41"/>
      <c r="P74" s="41"/>
      <c r="Q74" s="41"/>
      <c r="R74" s="41"/>
      <c r="S74" s="41"/>
      <c r="T74" s="41"/>
      <c r="U74" s="41"/>
      <c r="V74" s="41"/>
      <c r="W74" s="41"/>
      <c r="X74" s="41"/>
    </row>
    <row r="75" spans="1:24">
      <c r="A75" s="3"/>
      <c r="B75" s="3"/>
      <c r="C75" s="29"/>
      <c r="D75" s="41"/>
      <c r="E75" s="41"/>
      <c r="F75" s="41"/>
      <c r="G75" s="41"/>
      <c r="H75" s="41"/>
      <c r="I75" s="41"/>
      <c r="J75" s="41"/>
      <c r="K75" s="41"/>
      <c r="L75" s="41"/>
      <c r="M75" s="41"/>
      <c r="N75" s="41"/>
      <c r="O75" s="41"/>
      <c r="P75" s="41"/>
      <c r="Q75" s="41"/>
      <c r="R75" s="41"/>
      <c r="S75" s="41"/>
      <c r="T75" s="41"/>
      <c r="U75" s="41"/>
      <c r="V75" s="41"/>
      <c r="W75" s="41"/>
      <c r="X75" s="41"/>
    </row>
    <row r="76" spans="1:24">
      <c r="A76" s="3"/>
      <c r="B76" s="3"/>
      <c r="C76" s="29"/>
      <c r="D76" s="41"/>
      <c r="E76" s="41"/>
      <c r="F76" s="41"/>
      <c r="G76" s="41"/>
      <c r="H76" s="41"/>
      <c r="I76" s="41"/>
      <c r="J76" s="41"/>
      <c r="K76" s="41"/>
      <c r="L76" s="41"/>
      <c r="M76" s="41"/>
      <c r="N76" s="41"/>
      <c r="O76" s="41"/>
      <c r="P76" s="41"/>
      <c r="Q76" s="41"/>
      <c r="R76" s="41"/>
      <c r="S76" s="41"/>
      <c r="T76" s="41"/>
      <c r="U76" s="41"/>
      <c r="V76" s="41"/>
      <c r="W76" s="41"/>
      <c r="X76" s="41"/>
    </row>
    <row r="77" spans="1:24" ht="15.75">
      <c r="A77" s="3"/>
      <c r="B77" s="27"/>
      <c r="C77" s="29"/>
      <c r="D77" s="41"/>
      <c r="E77" s="41"/>
      <c r="F77" s="41"/>
      <c r="G77" s="41"/>
      <c r="H77" s="41"/>
      <c r="I77" s="41"/>
      <c r="J77" s="41"/>
      <c r="K77" s="41"/>
      <c r="L77" s="41"/>
      <c r="M77" s="41"/>
      <c r="N77" s="41"/>
      <c r="O77" s="41"/>
      <c r="P77" s="41"/>
      <c r="Q77" s="41"/>
      <c r="R77" s="41"/>
      <c r="S77" s="41"/>
      <c r="T77" s="41"/>
      <c r="U77" s="41"/>
      <c r="V77" s="41"/>
      <c r="W77" s="41"/>
      <c r="X77" s="41"/>
    </row>
    <row r="78" spans="1:24" ht="15.75">
      <c r="A78" s="3"/>
      <c r="B78" s="27"/>
      <c r="C78" s="29"/>
      <c r="D78" s="41"/>
      <c r="E78" s="41"/>
      <c r="F78" s="41"/>
      <c r="G78" s="41"/>
      <c r="H78" s="41"/>
      <c r="I78" s="41"/>
      <c r="J78" s="41"/>
      <c r="K78" s="41"/>
      <c r="L78" s="41"/>
      <c r="M78" s="41"/>
      <c r="N78" s="41"/>
      <c r="O78" s="41"/>
      <c r="P78" s="41"/>
      <c r="Q78" s="41"/>
      <c r="R78" s="41"/>
      <c r="S78" s="41"/>
      <c r="T78" s="41"/>
      <c r="U78" s="41"/>
      <c r="V78" s="41"/>
      <c r="W78" s="41"/>
      <c r="X78" s="41"/>
    </row>
    <row r="79" spans="1:24" ht="15.75">
      <c r="A79" s="3"/>
      <c r="B79" s="27"/>
      <c r="C79" s="29"/>
      <c r="D79" s="41"/>
      <c r="E79" s="41"/>
      <c r="F79" s="41"/>
      <c r="G79" s="41"/>
      <c r="H79" s="41"/>
      <c r="I79" s="41"/>
      <c r="J79" s="41"/>
      <c r="K79" s="41"/>
      <c r="L79" s="41"/>
      <c r="M79" s="41"/>
      <c r="N79" s="41"/>
      <c r="O79" s="41"/>
      <c r="P79" s="41"/>
      <c r="Q79" s="41"/>
      <c r="R79" s="41"/>
      <c r="S79" s="41"/>
      <c r="T79" s="41"/>
      <c r="U79" s="41"/>
      <c r="V79" s="41"/>
      <c r="W79" s="41"/>
      <c r="X79" s="41"/>
    </row>
    <row r="80" spans="1:24" ht="15.75">
      <c r="A80" s="3"/>
      <c r="B80" s="27"/>
      <c r="C80" s="29"/>
      <c r="D80" s="41"/>
      <c r="E80" s="41"/>
      <c r="F80" s="41"/>
      <c r="G80" s="41"/>
      <c r="H80" s="41"/>
      <c r="I80" s="41"/>
      <c r="J80" s="41"/>
      <c r="K80" s="41"/>
      <c r="L80" s="41"/>
      <c r="M80" s="41"/>
      <c r="N80" s="41"/>
      <c r="O80" s="41"/>
      <c r="P80" s="41"/>
      <c r="Q80" s="41"/>
      <c r="R80" s="41"/>
      <c r="S80" s="41"/>
      <c r="T80" s="41"/>
      <c r="U80" s="41"/>
      <c r="V80" s="41"/>
      <c r="W80" s="41"/>
      <c r="X80" s="41"/>
    </row>
    <row r="81" spans="1:24" ht="15.75">
      <c r="A81" s="3"/>
      <c r="B81" s="27"/>
      <c r="C81" s="29"/>
      <c r="D81" s="41"/>
      <c r="E81" s="41"/>
      <c r="F81" s="41"/>
      <c r="G81" s="41"/>
      <c r="H81" s="41"/>
      <c r="I81" s="41"/>
      <c r="J81" s="41"/>
      <c r="K81" s="41"/>
      <c r="L81" s="41"/>
      <c r="M81" s="41"/>
      <c r="N81" s="41"/>
      <c r="O81" s="41"/>
      <c r="P81" s="41"/>
      <c r="Q81" s="41"/>
      <c r="R81" s="41"/>
      <c r="S81" s="41"/>
      <c r="T81" s="41"/>
      <c r="U81" s="41"/>
      <c r="V81" s="41"/>
      <c r="W81" s="41"/>
      <c r="X81" s="41"/>
    </row>
    <row r="82" spans="1:24" ht="15.75">
      <c r="A82" s="3"/>
      <c r="B82" s="27"/>
      <c r="C82" s="29"/>
      <c r="D82" s="41"/>
      <c r="E82" s="41"/>
      <c r="F82" s="41"/>
      <c r="G82" s="41"/>
      <c r="H82" s="41"/>
      <c r="I82" s="41"/>
      <c r="J82" s="41"/>
      <c r="K82" s="41"/>
      <c r="L82" s="41"/>
      <c r="M82" s="41"/>
      <c r="N82" s="41"/>
      <c r="O82" s="41"/>
      <c r="P82" s="41"/>
      <c r="Q82" s="41"/>
      <c r="R82" s="41"/>
      <c r="S82" s="41"/>
      <c r="T82" s="41"/>
      <c r="U82" s="41"/>
      <c r="V82" s="41"/>
      <c r="W82" s="41"/>
      <c r="X82" s="41"/>
    </row>
    <row r="83" spans="1:24" ht="15.75">
      <c r="A83" s="3"/>
      <c r="B83" s="27"/>
      <c r="C83" s="63"/>
      <c r="D83" s="41"/>
      <c r="E83" s="41"/>
      <c r="F83" s="41"/>
      <c r="G83" s="41"/>
      <c r="H83" s="41"/>
      <c r="I83" s="41"/>
      <c r="J83" s="41"/>
      <c r="K83" s="41"/>
      <c r="L83" s="41"/>
      <c r="M83" s="41"/>
      <c r="N83" s="41"/>
      <c r="O83" s="41"/>
      <c r="P83" s="41"/>
      <c r="Q83" s="41"/>
      <c r="R83" s="41"/>
      <c r="S83" s="41"/>
      <c r="T83" s="41"/>
      <c r="U83" s="41"/>
      <c r="V83" s="41"/>
      <c r="W83" s="41"/>
      <c r="X83" s="41"/>
    </row>
    <row r="84" spans="1:24" ht="15.75">
      <c r="A84" s="3"/>
      <c r="B84" s="27"/>
      <c r="C84" s="29"/>
      <c r="D84" s="41"/>
      <c r="E84" s="41"/>
      <c r="F84" s="41"/>
      <c r="G84" s="41"/>
      <c r="H84" s="41"/>
      <c r="I84" s="41"/>
      <c r="J84" s="41"/>
      <c r="K84" s="41"/>
      <c r="L84" s="41"/>
      <c r="M84" s="41"/>
      <c r="N84" s="41"/>
      <c r="O84" s="41"/>
      <c r="P84" s="41"/>
      <c r="Q84" s="41"/>
      <c r="R84" s="41"/>
      <c r="S84" s="41"/>
      <c r="T84" s="41"/>
      <c r="U84" s="41"/>
      <c r="V84" s="41"/>
      <c r="W84" s="41"/>
      <c r="X84" s="41"/>
    </row>
    <row r="85" spans="1:24" ht="15.75">
      <c r="A85" s="3"/>
      <c r="B85" s="27"/>
      <c r="C85" s="29"/>
      <c r="D85" s="41"/>
      <c r="E85" s="41"/>
      <c r="F85" s="41"/>
      <c r="G85" s="41"/>
      <c r="H85" s="41"/>
      <c r="I85" s="41"/>
      <c r="J85" s="41"/>
      <c r="K85" s="41"/>
      <c r="L85" s="41"/>
      <c r="M85" s="41"/>
      <c r="N85" s="41"/>
      <c r="O85" s="41"/>
      <c r="P85" s="41"/>
      <c r="Q85" s="41"/>
      <c r="R85" s="41"/>
      <c r="S85" s="41"/>
      <c r="T85" s="41"/>
      <c r="U85" s="41"/>
      <c r="V85" s="41"/>
      <c r="W85" s="41"/>
      <c r="X85" s="41"/>
    </row>
    <row r="86" spans="1:24" ht="15.75">
      <c r="A86" s="3"/>
      <c r="B86" s="27"/>
      <c r="C86" s="29"/>
      <c r="D86" s="41"/>
      <c r="E86" s="41"/>
      <c r="F86" s="41"/>
      <c r="G86" s="41"/>
      <c r="H86" s="41"/>
      <c r="I86" s="41"/>
      <c r="J86" s="41"/>
      <c r="K86" s="41"/>
      <c r="L86" s="41"/>
      <c r="M86" s="41"/>
      <c r="N86" s="41"/>
      <c r="O86" s="41"/>
      <c r="P86" s="41"/>
      <c r="Q86" s="41"/>
      <c r="R86" s="41"/>
      <c r="S86" s="41"/>
      <c r="T86" s="41"/>
      <c r="U86" s="41"/>
      <c r="V86" s="41"/>
      <c r="W86" s="41"/>
      <c r="X86" s="41"/>
    </row>
    <row r="87" spans="1:24" ht="15.75">
      <c r="A87" s="3"/>
      <c r="B87" s="27"/>
      <c r="C87" s="29"/>
      <c r="D87" s="41"/>
      <c r="E87" s="41"/>
      <c r="F87" s="41"/>
      <c r="G87" s="41"/>
      <c r="H87" s="41"/>
      <c r="I87" s="41"/>
      <c r="J87" s="41"/>
      <c r="K87" s="41"/>
      <c r="L87" s="41"/>
      <c r="M87" s="41"/>
      <c r="N87" s="41"/>
      <c r="O87" s="41"/>
      <c r="P87" s="41"/>
      <c r="Q87" s="41"/>
      <c r="R87" s="41"/>
      <c r="S87" s="41"/>
      <c r="T87" s="41"/>
      <c r="U87" s="41"/>
      <c r="V87" s="41"/>
      <c r="W87" s="41"/>
      <c r="X87" s="41"/>
    </row>
    <row r="88" spans="1:24" ht="15.75">
      <c r="A88" s="3"/>
      <c r="B88" s="27"/>
      <c r="C88" s="29"/>
      <c r="D88" s="41"/>
      <c r="E88" s="41"/>
      <c r="F88" s="41"/>
      <c r="G88" s="41"/>
      <c r="H88" s="41"/>
      <c r="I88" s="41"/>
      <c r="J88" s="41"/>
      <c r="K88" s="41"/>
      <c r="L88" s="41"/>
      <c r="M88" s="41"/>
      <c r="N88" s="41"/>
      <c r="O88" s="41"/>
      <c r="P88" s="41"/>
      <c r="Q88" s="41"/>
      <c r="R88" s="41"/>
      <c r="S88" s="41"/>
      <c r="T88" s="41"/>
      <c r="U88" s="41"/>
      <c r="V88" s="41"/>
      <c r="W88" s="41"/>
      <c r="X88" s="41"/>
    </row>
    <row r="89" spans="1:24" ht="15.75">
      <c r="A89" s="3"/>
      <c r="B89" s="27"/>
      <c r="C89" s="29"/>
      <c r="D89" s="41"/>
      <c r="E89" s="41"/>
      <c r="F89" s="41"/>
      <c r="G89" s="41"/>
      <c r="H89" s="41"/>
      <c r="I89" s="41"/>
      <c r="J89" s="41"/>
      <c r="K89" s="41"/>
      <c r="L89" s="41"/>
      <c r="M89" s="41"/>
      <c r="N89" s="41"/>
      <c r="O89" s="41"/>
      <c r="P89" s="41"/>
      <c r="Q89" s="41"/>
      <c r="R89" s="41"/>
      <c r="S89" s="41"/>
      <c r="T89" s="41"/>
      <c r="U89" s="41"/>
      <c r="V89" s="41"/>
      <c r="W89" s="41"/>
      <c r="X89" s="41"/>
    </row>
    <row r="90" spans="1:24" ht="15.75">
      <c r="A90" s="3"/>
      <c r="B90" s="27"/>
      <c r="C90" s="29"/>
      <c r="D90" s="41"/>
      <c r="E90" s="41"/>
      <c r="F90" s="41"/>
      <c r="G90" s="41"/>
      <c r="H90" s="41"/>
      <c r="I90" s="41"/>
      <c r="J90" s="41"/>
      <c r="K90" s="41"/>
      <c r="L90" s="41"/>
      <c r="M90" s="41"/>
      <c r="N90" s="41"/>
      <c r="O90" s="41"/>
      <c r="P90" s="41"/>
      <c r="Q90" s="41"/>
      <c r="R90" s="41"/>
      <c r="S90" s="41"/>
      <c r="T90" s="41"/>
      <c r="U90" s="41"/>
      <c r="V90" s="41"/>
      <c r="W90" s="41"/>
      <c r="X90" s="41"/>
    </row>
    <row r="91" spans="1:24" ht="15.75">
      <c r="A91" s="3"/>
      <c r="B91" s="27"/>
      <c r="C91" s="29"/>
      <c r="D91" s="41"/>
      <c r="E91" s="41"/>
      <c r="F91" s="41"/>
      <c r="G91" s="41"/>
      <c r="H91" s="41"/>
      <c r="I91" s="41"/>
      <c r="J91" s="41"/>
      <c r="K91" s="41"/>
      <c r="L91" s="41"/>
      <c r="M91" s="41"/>
      <c r="N91" s="41"/>
      <c r="O91" s="41"/>
      <c r="P91" s="41"/>
      <c r="Q91" s="41"/>
      <c r="R91" s="41"/>
      <c r="S91" s="41"/>
      <c r="T91" s="41"/>
      <c r="U91" s="41"/>
      <c r="V91" s="41"/>
      <c r="W91" s="41"/>
      <c r="X91" s="41"/>
    </row>
    <row r="92" spans="1:24" ht="15.75">
      <c r="A92" s="3"/>
      <c r="B92" s="27"/>
      <c r="C92" s="29"/>
      <c r="D92" s="41"/>
      <c r="E92" s="41"/>
      <c r="F92" s="41"/>
      <c r="G92" s="41"/>
      <c r="H92" s="41"/>
      <c r="I92" s="41"/>
      <c r="J92" s="41"/>
      <c r="K92" s="41"/>
      <c r="L92" s="41"/>
      <c r="M92" s="41"/>
      <c r="N92" s="41"/>
      <c r="O92" s="41"/>
      <c r="P92" s="41"/>
      <c r="Q92" s="41"/>
      <c r="R92" s="41"/>
      <c r="S92" s="41"/>
      <c r="T92" s="41"/>
      <c r="U92" s="41"/>
      <c r="V92" s="41"/>
      <c r="W92" s="41"/>
      <c r="X92" s="41"/>
    </row>
    <row r="93" spans="1:24" ht="15.75">
      <c r="A93" s="4"/>
      <c r="B93" s="27"/>
      <c r="C93" s="29"/>
      <c r="D93" s="4"/>
      <c r="E93" s="4"/>
      <c r="F93" s="4"/>
      <c r="G93" s="4"/>
      <c r="H93" s="4"/>
      <c r="I93" s="4"/>
      <c r="J93" s="4"/>
      <c r="K93" s="4"/>
      <c r="L93" s="4"/>
      <c r="M93" s="4"/>
      <c r="N93" s="4"/>
      <c r="O93" s="4"/>
      <c r="P93" s="4"/>
      <c r="Q93" s="4"/>
      <c r="R93" s="4"/>
      <c r="S93" s="4"/>
      <c r="T93" s="4"/>
      <c r="U93" s="4"/>
      <c r="V93" s="4"/>
      <c r="W93" s="4"/>
      <c r="X93" s="4"/>
    </row>
    <row r="94" spans="1:24" ht="15.75">
      <c r="A94" s="3"/>
      <c r="B94" s="27"/>
      <c r="C94" s="29"/>
      <c r="D94" s="41"/>
      <c r="E94" s="41"/>
      <c r="F94" s="41"/>
      <c r="G94" s="41"/>
      <c r="H94" s="41"/>
      <c r="I94" s="41"/>
      <c r="J94" s="41"/>
      <c r="K94" s="41"/>
      <c r="L94" s="41"/>
      <c r="M94" s="41"/>
      <c r="N94" s="41"/>
      <c r="O94" s="41"/>
      <c r="P94" s="41"/>
      <c r="Q94" s="41"/>
      <c r="R94" s="41"/>
      <c r="S94" s="41"/>
      <c r="T94" s="41"/>
      <c r="U94" s="41"/>
      <c r="V94" s="41"/>
      <c r="W94" s="41"/>
      <c r="X94" s="41"/>
    </row>
    <row r="95" spans="1:24" ht="15.75">
      <c r="A95" s="40"/>
      <c r="B95" s="27"/>
      <c r="C95" s="29"/>
      <c r="D95" s="41"/>
      <c r="E95" s="41"/>
      <c r="F95" s="41"/>
      <c r="G95" s="41"/>
      <c r="H95" s="41"/>
      <c r="I95" s="41"/>
      <c r="J95" s="41"/>
      <c r="K95" s="41"/>
      <c r="L95" s="41"/>
      <c r="M95" s="41"/>
      <c r="N95" s="41"/>
      <c r="O95" s="41"/>
      <c r="P95" s="41"/>
      <c r="Q95" s="41"/>
      <c r="R95" s="41"/>
      <c r="S95" s="41"/>
      <c r="T95" s="41"/>
      <c r="U95" s="41"/>
      <c r="V95" s="41"/>
      <c r="W95" s="41"/>
      <c r="X95" s="41"/>
    </row>
    <row r="96" spans="1:24" ht="15.75">
      <c r="A96" s="40"/>
      <c r="B96" s="27"/>
      <c r="C96" s="29"/>
      <c r="D96" s="4"/>
      <c r="E96" s="4"/>
      <c r="F96" s="4"/>
      <c r="G96" s="4"/>
      <c r="H96" s="4"/>
      <c r="I96" s="4"/>
      <c r="J96" s="4"/>
      <c r="K96" s="4"/>
      <c r="L96" s="4"/>
      <c r="M96" s="4"/>
      <c r="N96" s="4"/>
      <c r="O96" s="4"/>
      <c r="P96" s="4"/>
      <c r="Q96" s="4"/>
      <c r="R96" s="4"/>
      <c r="S96" s="4"/>
      <c r="T96" s="4"/>
      <c r="U96" s="4"/>
      <c r="V96" s="4"/>
      <c r="W96" s="4"/>
      <c r="X96" s="4"/>
    </row>
    <row r="97" spans="1:24" ht="15.75">
      <c r="A97" s="40"/>
      <c r="B97" s="27"/>
      <c r="C97" s="29"/>
      <c r="D97" s="4"/>
      <c r="E97" s="4"/>
      <c r="F97" s="4"/>
      <c r="G97" s="4"/>
      <c r="H97" s="4"/>
      <c r="I97" s="4"/>
      <c r="J97" s="4"/>
      <c r="K97" s="4"/>
      <c r="L97" s="4"/>
      <c r="M97" s="4"/>
      <c r="N97" s="4"/>
      <c r="O97" s="4"/>
      <c r="P97" s="4"/>
      <c r="Q97" s="4"/>
      <c r="R97" s="4"/>
      <c r="S97" s="4"/>
      <c r="T97" s="4"/>
      <c r="U97" s="4"/>
      <c r="V97" s="4"/>
      <c r="W97" s="4"/>
      <c r="X97" s="4"/>
    </row>
    <row r="98" spans="1:24" ht="15.75">
      <c r="A98" s="40"/>
      <c r="B98" s="27"/>
      <c r="C98" s="29"/>
      <c r="D98" s="4"/>
      <c r="E98" s="4"/>
      <c r="F98" s="4"/>
      <c r="G98" s="4"/>
      <c r="H98" s="4"/>
      <c r="I98" s="4"/>
      <c r="J98" s="4"/>
      <c r="K98" s="4"/>
      <c r="L98" s="4"/>
      <c r="M98" s="4"/>
      <c r="N98" s="4"/>
      <c r="O98" s="4"/>
      <c r="P98" s="4"/>
      <c r="Q98" s="4"/>
      <c r="R98" s="4"/>
      <c r="S98" s="4"/>
      <c r="T98" s="4"/>
      <c r="U98" s="4"/>
      <c r="V98" s="4"/>
      <c r="W98" s="4"/>
      <c r="X98" s="4"/>
    </row>
    <row r="99" spans="1:24" ht="15.75">
      <c r="A99" s="3"/>
      <c r="B99" s="27"/>
      <c r="C99" s="29"/>
      <c r="D99" s="41"/>
      <c r="E99" s="41"/>
      <c r="F99" s="41"/>
      <c r="G99" s="41"/>
      <c r="H99" s="41"/>
      <c r="I99" s="41"/>
      <c r="J99" s="41"/>
      <c r="K99" s="41"/>
      <c r="L99" s="41"/>
      <c r="M99" s="41"/>
      <c r="N99" s="41"/>
      <c r="O99" s="41"/>
      <c r="P99" s="41"/>
      <c r="Q99" s="41"/>
      <c r="R99" s="41"/>
      <c r="S99" s="41"/>
      <c r="T99" s="41"/>
      <c r="U99" s="41"/>
      <c r="V99" s="41"/>
      <c r="W99" s="41"/>
      <c r="X99" s="41"/>
    </row>
    <row r="100" spans="1:24" ht="15.75">
      <c r="A100" s="40"/>
      <c r="B100" s="27"/>
      <c r="C100" s="29"/>
      <c r="D100" s="41"/>
      <c r="E100" s="41"/>
      <c r="F100" s="41"/>
      <c r="G100" s="41"/>
      <c r="H100" s="41"/>
      <c r="I100" s="41"/>
      <c r="J100" s="41"/>
      <c r="K100" s="41"/>
      <c r="L100" s="41"/>
      <c r="M100" s="41"/>
      <c r="N100" s="41"/>
      <c r="O100" s="41"/>
      <c r="P100" s="41"/>
      <c r="Q100" s="41"/>
      <c r="R100" s="41"/>
      <c r="S100" s="41"/>
      <c r="T100" s="41"/>
      <c r="U100" s="41"/>
      <c r="V100" s="41"/>
      <c r="W100" s="41"/>
      <c r="X100" s="41"/>
    </row>
    <row r="101" spans="1:24" ht="15.75">
      <c r="A101" s="40"/>
      <c r="B101" s="27"/>
      <c r="C101" s="29"/>
      <c r="D101" s="41"/>
      <c r="E101" s="41"/>
      <c r="F101" s="41"/>
      <c r="G101" s="41"/>
      <c r="H101" s="41"/>
      <c r="I101" s="41"/>
      <c r="J101" s="41"/>
      <c r="K101" s="41"/>
      <c r="L101" s="41"/>
      <c r="M101" s="41"/>
      <c r="N101" s="41"/>
      <c r="O101" s="41"/>
      <c r="P101" s="41"/>
      <c r="Q101" s="41"/>
      <c r="R101" s="41"/>
      <c r="S101" s="41"/>
      <c r="T101" s="41"/>
      <c r="U101" s="41"/>
      <c r="V101" s="41"/>
      <c r="W101" s="41"/>
      <c r="X101" s="41"/>
    </row>
    <row r="102" spans="1:24" ht="15.75">
      <c r="A102" s="40"/>
      <c r="B102" s="27"/>
      <c r="C102" s="29"/>
      <c r="D102" s="41"/>
      <c r="E102" s="41"/>
      <c r="F102" s="41"/>
      <c r="G102" s="41"/>
      <c r="H102" s="41"/>
      <c r="I102" s="41"/>
      <c r="J102" s="41"/>
      <c r="K102" s="41"/>
      <c r="L102" s="41"/>
      <c r="M102" s="41"/>
      <c r="N102" s="41"/>
      <c r="O102" s="41"/>
      <c r="P102" s="41"/>
      <c r="Q102" s="41"/>
      <c r="R102" s="41"/>
      <c r="S102" s="41"/>
      <c r="T102" s="41"/>
      <c r="U102" s="41"/>
      <c r="V102" s="41"/>
      <c r="W102" s="41"/>
      <c r="X102" s="41"/>
    </row>
    <row r="103" spans="1:24" ht="15.75">
      <c r="A103" s="40"/>
      <c r="B103" s="27"/>
      <c r="C103" s="29"/>
      <c r="D103" s="41"/>
      <c r="E103" s="41"/>
      <c r="F103" s="41"/>
      <c r="G103" s="41"/>
      <c r="H103" s="41"/>
      <c r="I103" s="41"/>
      <c r="J103" s="41"/>
      <c r="K103" s="41"/>
      <c r="L103" s="41"/>
      <c r="M103" s="41"/>
      <c r="N103" s="41"/>
      <c r="O103" s="41"/>
      <c r="P103" s="41"/>
      <c r="Q103" s="41"/>
      <c r="R103" s="41"/>
      <c r="S103" s="41"/>
      <c r="T103" s="41"/>
      <c r="U103" s="41"/>
      <c r="V103" s="41"/>
      <c r="W103" s="41"/>
      <c r="X103" s="41"/>
    </row>
    <row r="104" spans="1:24" ht="15.75">
      <c r="A104" s="40"/>
      <c r="B104" s="27"/>
      <c r="C104" s="29"/>
      <c r="D104" s="41"/>
      <c r="E104" s="41"/>
      <c r="F104" s="41"/>
      <c r="G104" s="41"/>
      <c r="H104" s="41"/>
      <c r="I104" s="41"/>
      <c r="J104" s="41"/>
      <c r="K104" s="41"/>
      <c r="L104" s="41"/>
      <c r="M104" s="41"/>
      <c r="N104" s="41"/>
      <c r="O104" s="41"/>
      <c r="P104" s="41"/>
      <c r="Q104" s="41"/>
      <c r="R104" s="41"/>
      <c r="S104" s="41"/>
      <c r="T104" s="41"/>
      <c r="U104" s="41"/>
      <c r="V104" s="41"/>
      <c r="W104" s="41"/>
      <c r="X104" s="41"/>
    </row>
    <row r="105" spans="1:24" ht="15.75">
      <c r="A105" s="40"/>
      <c r="B105" s="27"/>
      <c r="C105" s="3"/>
      <c r="D105" s="41"/>
      <c r="E105" s="41"/>
      <c r="F105" s="41"/>
      <c r="G105" s="41"/>
      <c r="H105" s="41"/>
      <c r="I105" s="41"/>
      <c r="J105" s="41"/>
      <c r="K105" s="41"/>
      <c r="L105" s="41"/>
      <c r="M105" s="41"/>
      <c r="N105" s="41"/>
      <c r="O105" s="41"/>
      <c r="P105" s="41"/>
      <c r="Q105" s="41"/>
      <c r="R105" s="41"/>
      <c r="S105" s="41"/>
      <c r="T105" s="41"/>
      <c r="U105" s="41"/>
      <c r="V105" s="41"/>
      <c r="W105" s="41"/>
      <c r="X105" s="41"/>
    </row>
    <row r="106" spans="1:24" ht="15.75">
      <c r="A106" s="40"/>
      <c r="B106" s="27"/>
      <c r="C106" s="29"/>
      <c r="D106" s="41"/>
      <c r="E106" s="41"/>
      <c r="F106" s="41"/>
      <c r="G106" s="41"/>
      <c r="H106" s="41"/>
      <c r="I106" s="41"/>
      <c r="J106" s="41"/>
      <c r="K106" s="41"/>
      <c r="L106" s="41"/>
      <c r="M106" s="41"/>
      <c r="N106" s="41"/>
      <c r="O106" s="41"/>
      <c r="P106" s="41"/>
      <c r="Q106" s="41"/>
      <c r="R106" s="41"/>
      <c r="S106" s="41"/>
      <c r="T106" s="41"/>
      <c r="U106" s="41"/>
      <c r="V106" s="41"/>
      <c r="W106" s="41"/>
      <c r="X106" s="41"/>
    </row>
    <row r="107" spans="1:24" ht="15.75">
      <c r="A107" s="40"/>
      <c r="B107" s="27"/>
      <c r="C107" s="29"/>
      <c r="D107" s="41"/>
      <c r="E107" s="41"/>
      <c r="F107" s="41"/>
      <c r="G107" s="41"/>
      <c r="H107" s="41"/>
      <c r="I107" s="41"/>
      <c r="J107" s="41"/>
      <c r="K107" s="41"/>
      <c r="L107" s="41"/>
      <c r="M107" s="41"/>
      <c r="N107" s="41"/>
      <c r="O107" s="41"/>
      <c r="P107" s="41"/>
      <c r="Q107" s="41"/>
      <c r="R107" s="41"/>
      <c r="S107" s="41"/>
      <c r="T107" s="41"/>
      <c r="U107" s="41"/>
      <c r="V107" s="41"/>
      <c r="W107" s="41"/>
      <c r="X107" s="41"/>
    </row>
    <row r="108" spans="1:24" ht="15.75">
      <c r="A108" s="40"/>
      <c r="B108" s="27"/>
      <c r="C108" s="29"/>
      <c r="D108" s="41"/>
      <c r="E108" s="41"/>
      <c r="F108" s="41"/>
      <c r="G108" s="41"/>
      <c r="H108" s="41"/>
      <c r="I108" s="41"/>
      <c r="J108" s="41"/>
      <c r="K108" s="41"/>
      <c r="L108" s="41"/>
      <c r="M108" s="41"/>
      <c r="N108" s="41"/>
      <c r="O108" s="41"/>
      <c r="P108" s="41"/>
      <c r="Q108" s="41"/>
      <c r="R108" s="41"/>
      <c r="S108" s="41"/>
      <c r="T108" s="41"/>
      <c r="U108" s="41"/>
      <c r="V108" s="41"/>
      <c r="W108" s="41"/>
      <c r="X108" s="41"/>
    </row>
    <row r="109" spans="1:24" ht="15.75">
      <c r="A109" s="40"/>
      <c r="B109" s="27"/>
      <c r="C109" s="29"/>
      <c r="D109" s="41"/>
      <c r="E109" s="41"/>
      <c r="F109" s="41"/>
      <c r="G109" s="41"/>
      <c r="H109" s="41"/>
      <c r="I109" s="41"/>
      <c r="J109" s="41"/>
      <c r="K109" s="41"/>
      <c r="L109" s="41"/>
      <c r="M109" s="41"/>
      <c r="N109" s="41"/>
      <c r="O109" s="41"/>
      <c r="P109" s="41"/>
      <c r="Q109" s="41"/>
      <c r="R109" s="41"/>
      <c r="S109" s="41"/>
      <c r="T109" s="41"/>
      <c r="U109" s="41"/>
      <c r="V109" s="41"/>
      <c r="W109" s="41"/>
      <c r="X109" s="41"/>
    </row>
    <row r="110" spans="1:24" ht="15.75">
      <c r="A110" s="40"/>
      <c r="B110" s="27"/>
      <c r="C110" s="29"/>
      <c r="D110" s="41"/>
      <c r="E110" s="41"/>
      <c r="F110" s="41"/>
      <c r="G110" s="41"/>
      <c r="H110" s="41"/>
      <c r="I110" s="41"/>
      <c r="J110" s="41"/>
      <c r="K110" s="41"/>
      <c r="L110" s="41"/>
      <c r="M110" s="41"/>
      <c r="N110" s="41"/>
      <c r="O110" s="41"/>
      <c r="P110" s="41"/>
      <c r="Q110" s="41"/>
      <c r="R110" s="41"/>
      <c r="S110" s="41"/>
      <c r="T110" s="41"/>
      <c r="U110" s="41"/>
      <c r="V110" s="41"/>
      <c r="W110" s="41"/>
      <c r="X110" s="41"/>
    </row>
    <row r="111" spans="1:24" ht="15.75">
      <c r="A111" s="40"/>
      <c r="B111" s="27"/>
      <c r="C111" s="29"/>
      <c r="D111" s="41"/>
      <c r="E111" s="41"/>
      <c r="F111" s="41"/>
      <c r="G111" s="41"/>
      <c r="H111" s="41"/>
      <c r="I111" s="41"/>
      <c r="J111" s="41"/>
      <c r="K111" s="41"/>
      <c r="L111" s="41"/>
      <c r="M111" s="41"/>
      <c r="N111" s="41"/>
      <c r="O111" s="41"/>
      <c r="P111" s="41"/>
      <c r="Q111" s="41"/>
      <c r="R111" s="41"/>
      <c r="S111" s="41"/>
      <c r="T111" s="41"/>
      <c r="U111" s="41"/>
      <c r="V111" s="41"/>
      <c r="W111" s="41"/>
      <c r="X111" s="41"/>
    </row>
    <row r="112" spans="1:24" ht="15.75">
      <c r="A112" s="40"/>
      <c r="B112" s="27"/>
      <c r="C112" s="29"/>
      <c r="D112" s="41"/>
      <c r="E112" s="41"/>
      <c r="F112" s="41"/>
      <c r="G112" s="41"/>
      <c r="H112" s="41"/>
      <c r="I112" s="41"/>
      <c r="J112" s="41"/>
      <c r="K112" s="41"/>
      <c r="L112" s="41"/>
      <c r="M112" s="41"/>
      <c r="N112" s="41"/>
      <c r="O112" s="41"/>
      <c r="P112" s="41"/>
      <c r="Q112" s="41"/>
      <c r="R112" s="41"/>
      <c r="S112" s="41"/>
      <c r="T112" s="41"/>
      <c r="U112" s="41"/>
      <c r="V112" s="41"/>
      <c r="W112" s="41"/>
      <c r="X112" s="41"/>
    </row>
    <row r="113" spans="1:24" ht="15.75">
      <c r="A113" s="40"/>
      <c r="B113" s="27"/>
      <c r="C113" s="29"/>
      <c r="D113" s="41"/>
      <c r="E113" s="41"/>
      <c r="F113" s="41"/>
      <c r="G113" s="41"/>
      <c r="H113" s="41"/>
      <c r="I113" s="41"/>
      <c r="J113" s="41"/>
      <c r="K113" s="41"/>
      <c r="L113" s="41"/>
      <c r="M113" s="41"/>
      <c r="N113" s="41"/>
      <c r="O113" s="41"/>
      <c r="P113" s="41"/>
      <c r="Q113" s="41"/>
      <c r="R113" s="41"/>
      <c r="S113" s="41"/>
      <c r="T113" s="41"/>
      <c r="U113" s="41"/>
      <c r="V113" s="41"/>
      <c r="W113" s="41"/>
      <c r="X113" s="41"/>
    </row>
    <row r="114" spans="1:24" ht="15.75">
      <c r="A114" s="40"/>
      <c r="B114" s="27"/>
      <c r="C114" s="29"/>
      <c r="D114" s="41"/>
      <c r="E114" s="41"/>
      <c r="F114" s="41"/>
      <c r="G114" s="41"/>
      <c r="H114" s="41"/>
      <c r="I114" s="41"/>
      <c r="J114" s="41"/>
      <c r="K114" s="41"/>
      <c r="L114" s="41"/>
      <c r="M114" s="41"/>
      <c r="N114" s="41"/>
      <c r="O114" s="41"/>
      <c r="P114" s="41"/>
      <c r="Q114" s="41"/>
      <c r="R114" s="41"/>
      <c r="S114" s="41"/>
      <c r="T114" s="41"/>
      <c r="U114" s="41"/>
      <c r="V114" s="41"/>
      <c r="W114" s="41"/>
      <c r="X114" s="41"/>
    </row>
    <row r="115" spans="1:24" ht="15.75">
      <c r="A115" s="40"/>
      <c r="B115" s="27"/>
      <c r="C115" s="29"/>
      <c r="D115" s="41"/>
      <c r="E115" s="41"/>
      <c r="F115" s="41"/>
      <c r="G115" s="41"/>
      <c r="H115" s="41"/>
      <c r="I115" s="41"/>
      <c r="J115" s="41"/>
      <c r="K115" s="41"/>
      <c r="L115" s="41"/>
      <c r="M115" s="41"/>
      <c r="N115" s="41"/>
      <c r="O115" s="41"/>
      <c r="P115" s="41"/>
      <c r="Q115" s="41"/>
      <c r="R115" s="41"/>
      <c r="S115" s="41"/>
      <c r="T115" s="41"/>
      <c r="U115" s="41"/>
      <c r="V115" s="41"/>
      <c r="W115" s="41"/>
      <c r="X115" s="41"/>
    </row>
    <row r="116" spans="1:24" ht="15.75">
      <c r="A116" s="40"/>
      <c r="B116" s="27"/>
      <c r="C116" s="29"/>
      <c r="D116" s="41"/>
      <c r="E116" s="41"/>
      <c r="F116" s="41"/>
      <c r="G116" s="41"/>
      <c r="H116" s="41"/>
      <c r="I116" s="41"/>
      <c r="J116" s="41"/>
      <c r="K116" s="41"/>
      <c r="L116" s="41"/>
      <c r="M116" s="41"/>
      <c r="N116" s="41"/>
      <c r="O116" s="41"/>
      <c r="P116" s="41"/>
      <c r="Q116" s="41"/>
      <c r="R116" s="41"/>
      <c r="S116" s="41"/>
      <c r="T116" s="41"/>
      <c r="U116" s="41"/>
      <c r="V116" s="41"/>
      <c r="W116" s="41"/>
      <c r="X116" s="41"/>
    </row>
    <row r="117" spans="1:24" ht="15.75">
      <c r="A117" s="40"/>
      <c r="B117" s="27"/>
      <c r="C117" s="29"/>
      <c r="D117" s="41"/>
      <c r="E117" s="41"/>
      <c r="F117" s="41"/>
      <c r="G117" s="41"/>
      <c r="H117" s="41"/>
      <c r="I117" s="41"/>
      <c r="J117" s="41"/>
      <c r="K117" s="41"/>
      <c r="L117" s="41"/>
      <c r="M117" s="41"/>
      <c r="N117" s="41"/>
      <c r="O117" s="41"/>
      <c r="P117" s="41"/>
      <c r="Q117" s="41"/>
      <c r="R117" s="41"/>
      <c r="S117" s="41"/>
      <c r="T117" s="41"/>
      <c r="U117" s="41"/>
      <c r="V117" s="41"/>
      <c r="W117" s="41"/>
      <c r="X117" s="41"/>
    </row>
    <row r="118" spans="1:24" ht="15.75">
      <c r="A118" s="40"/>
      <c r="B118" s="27"/>
      <c r="C118" s="29"/>
      <c r="D118" s="41"/>
      <c r="E118" s="41"/>
      <c r="F118" s="41"/>
      <c r="G118" s="41"/>
      <c r="H118" s="41"/>
      <c r="I118" s="41"/>
      <c r="J118" s="41"/>
      <c r="K118" s="41"/>
      <c r="L118" s="41"/>
      <c r="M118" s="41"/>
      <c r="N118" s="41"/>
      <c r="O118" s="41"/>
      <c r="P118" s="41"/>
      <c r="Q118" s="41"/>
      <c r="R118" s="41"/>
      <c r="S118" s="41"/>
      <c r="T118" s="41"/>
      <c r="U118" s="41"/>
      <c r="V118" s="41"/>
      <c r="W118" s="41"/>
      <c r="X118" s="41"/>
    </row>
    <row r="119" spans="1:24" ht="15.75">
      <c r="A119" s="40"/>
      <c r="B119" s="27"/>
      <c r="C119" s="29"/>
      <c r="D119" s="41"/>
      <c r="E119" s="41"/>
      <c r="F119" s="41"/>
      <c r="G119" s="41"/>
      <c r="H119" s="41"/>
      <c r="I119" s="41"/>
      <c r="J119" s="41"/>
      <c r="K119" s="41"/>
      <c r="L119" s="41"/>
      <c r="M119" s="41"/>
      <c r="N119" s="41"/>
      <c r="O119" s="41"/>
      <c r="P119" s="41"/>
      <c r="Q119" s="41"/>
      <c r="R119" s="41"/>
      <c r="S119" s="41"/>
      <c r="T119" s="41"/>
      <c r="U119" s="41"/>
      <c r="V119" s="41"/>
      <c r="W119" s="41"/>
      <c r="X119" s="41"/>
    </row>
    <row r="120" spans="1:24" ht="15.75">
      <c r="A120" s="40"/>
      <c r="B120" s="27"/>
      <c r="C120" s="29"/>
      <c r="D120" s="41"/>
      <c r="E120" s="41"/>
      <c r="F120" s="41"/>
      <c r="G120" s="41"/>
      <c r="H120" s="41"/>
      <c r="I120" s="41"/>
      <c r="J120" s="41"/>
      <c r="K120" s="41"/>
      <c r="L120" s="41"/>
      <c r="M120" s="41"/>
      <c r="N120" s="41"/>
      <c r="O120" s="41"/>
      <c r="P120" s="41"/>
      <c r="Q120" s="41"/>
      <c r="R120" s="41"/>
      <c r="S120" s="41"/>
      <c r="T120" s="41"/>
      <c r="U120" s="41"/>
      <c r="V120" s="41"/>
      <c r="W120" s="41"/>
      <c r="X120" s="41"/>
    </row>
    <row r="121" spans="1:24" ht="15.75">
      <c r="A121" s="40"/>
      <c r="B121" s="27"/>
      <c r="C121" s="29"/>
      <c r="D121" s="41"/>
      <c r="E121" s="41"/>
      <c r="F121" s="41"/>
      <c r="G121" s="41"/>
      <c r="H121" s="41"/>
      <c r="I121" s="41"/>
      <c r="J121" s="41"/>
      <c r="K121" s="41"/>
      <c r="L121" s="41"/>
      <c r="M121" s="41"/>
      <c r="N121" s="41"/>
      <c r="O121" s="41"/>
      <c r="P121" s="41"/>
      <c r="Q121" s="41"/>
      <c r="R121" s="41"/>
      <c r="S121" s="41"/>
      <c r="T121" s="41"/>
      <c r="U121" s="41"/>
      <c r="V121" s="41"/>
      <c r="W121" s="41"/>
      <c r="X121" s="41"/>
    </row>
    <row r="122" spans="1:24" ht="15.75">
      <c r="A122" s="40"/>
      <c r="B122" s="27"/>
      <c r="C122" s="29"/>
      <c r="D122" s="41"/>
      <c r="E122" s="41"/>
      <c r="F122" s="41"/>
      <c r="G122" s="41"/>
      <c r="H122" s="41"/>
      <c r="I122" s="41"/>
      <c r="J122" s="41"/>
      <c r="K122" s="41"/>
      <c r="L122" s="41"/>
      <c r="M122" s="41"/>
      <c r="N122" s="41"/>
      <c r="O122" s="41"/>
      <c r="P122" s="41"/>
      <c r="Q122" s="41"/>
      <c r="R122" s="41"/>
      <c r="S122" s="41"/>
      <c r="T122" s="41"/>
      <c r="U122" s="41"/>
      <c r="V122" s="41"/>
      <c r="W122" s="41"/>
      <c r="X122" s="41"/>
    </row>
    <row r="123" spans="1:24" ht="15.75">
      <c r="A123" s="40"/>
      <c r="B123" s="27"/>
      <c r="C123" s="29"/>
      <c r="D123" s="41"/>
      <c r="E123" s="41"/>
      <c r="F123" s="41"/>
      <c r="G123" s="41"/>
      <c r="H123" s="41"/>
      <c r="I123" s="41"/>
      <c r="J123" s="41"/>
      <c r="K123" s="41"/>
      <c r="L123" s="41"/>
      <c r="M123" s="41"/>
      <c r="N123" s="41"/>
      <c r="O123" s="41"/>
      <c r="P123" s="41"/>
      <c r="Q123" s="41"/>
      <c r="R123" s="41"/>
      <c r="S123" s="41"/>
      <c r="T123" s="41"/>
      <c r="U123" s="41"/>
      <c r="V123" s="41"/>
      <c r="W123" s="41"/>
      <c r="X123" s="41"/>
    </row>
    <row r="124" spans="1:24" ht="15.75">
      <c r="A124" s="40"/>
      <c r="B124" s="27"/>
      <c r="C124" s="29"/>
      <c r="D124" s="41"/>
      <c r="E124" s="41"/>
      <c r="F124" s="41"/>
      <c r="G124" s="41"/>
      <c r="H124" s="41"/>
      <c r="I124" s="41"/>
      <c r="J124" s="41"/>
      <c r="K124" s="41"/>
      <c r="L124" s="41"/>
      <c r="M124" s="41"/>
      <c r="N124" s="41"/>
      <c r="O124" s="41"/>
      <c r="P124" s="41"/>
      <c r="Q124" s="41"/>
      <c r="R124" s="41"/>
      <c r="S124" s="41"/>
      <c r="T124" s="41"/>
      <c r="U124" s="41"/>
      <c r="V124" s="41"/>
      <c r="W124" s="41"/>
      <c r="X124" s="41"/>
    </row>
    <row r="125" spans="1:24" ht="15.75">
      <c r="A125" s="40"/>
      <c r="B125" s="27"/>
      <c r="C125" s="29"/>
      <c r="D125" s="41"/>
      <c r="E125" s="41"/>
      <c r="F125" s="41"/>
      <c r="G125" s="41"/>
      <c r="H125" s="41"/>
      <c r="I125" s="41"/>
      <c r="J125" s="41"/>
      <c r="K125" s="41"/>
      <c r="L125" s="41"/>
      <c r="M125" s="41"/>
      <c r="N125" s="41"/>
      <c r="O125" s="41"/>
      <c r="P125" s="41"/>
      <c r="Q125" s="41"/>
      <c r="R125" s="41"/>
      <c r="S125" s="41"/>
      <c r="T125" s="41"/>
      <c r="U125" s="41"/>
      <c r="V125" s="41"/>
      <c r="W125" s="41"/>
      <c r="X125" s="41"/>
    </row>
    <row r="126" spans="1:24" ht="15.75">
      <c r="A126" s="40"/>
      <c r="B126" s="27"/>
      <c r="C126" s="29"/>
      <c r="D126" s="41"/>
      <c r="E126" s="41"/>
      <c r="F126" s="41"/>
      <c r="G126" s="41"/>
      <c r="H126" s="41"/>
      <c r="I126" s="41"/>
      <c r="J126" s="41"/>
      <c r="K126" s="41"/>
      <c r="L126" s="41"/>
      <c r="M126" s="41"/>
      <c r="N126" s="41"/>
      <c r="O126" s="41"/>
      <c r="P126" s="41"/>
      <c r="Q126" s="41"/>
      <c r="R126" s="41"/>
      <c r="S126" s="41"/>
      <c r="T126" s="41"/>
      <c r="U126" s="41"/>
      <c r="V126" s="41"/>
      <c r="W126" s="41"/>
      <c r="X126" s="41"/>
    </row>
    <row r="127" spans="1:24" ht="15.75">
      <c r="A127" s="40"/>
      <c r="B127" s="27"/>
      <c r="C127" s="29"/>
      <c r="D127" s="41"/>
      <c r="E127" s="41"/>
      <c r="F127" s="41"/>
      <c r="G127" s="41"/>
      <c r="H127" s="41"/>
      <c r="I127" s="41"/>
      <c r="J127" s="41"/>
      <c r="K127" s="41"/>
      <c r="L127" s="41"/>
      <c r="M127" s="41"/>
      <c r="N127" s="41"/>
      <c r="O127" s="41"/>
      <c r="P127" s="41"/>
      <c r="Q127" s="41"/>
      <c r="R127" s="41"/>
      <c r="S127" s="41"/>
      <c r="T127" s="41"/>
      <c r="U127" s="41"/>
      <c r="V127" s="41"/>
      <c r="W127" s="41"/>
      <c r="X127" s="41"/>
    </row>
    <row r="128" spans="1:24" ht="15.75">
      <c r="A128" s="40"/>
      <c r="B128" s="27"/>
      <c r="C128" s="29"/>
      <c r="D128" s="41"/>
      <c r="E128" s="41"/>
      <c r="F128" s="41"/>
      <c r="G128" s="41"/>
      <c r="H128" s="41"/>
      <c r="I128" s="41"/>
      <c r="J128" s="41"/>
      <c r="K128" s="41"/>
      <c r="L128" s="41"/>
      <c r="M128" s="41"/>
      <c r="N128" s="41"/>
      <c r="O128" s="41"/>
      <c r="P128" s="41"/>
      <c r="Q128" s="41"/>
      <c r="R128" s="41"/>
      <c r="S128" s="41"/>
      <c r="T128" s="41"/>
      <c r="U128" s="41"/>
      <c r="V128" s="41"/>
      <c r="W128" s="41"/>
      <c r="X128" s="41"/>
    </row>
    <row r="129" spans="1:24" ht="15.75">
      <c r="A129" s="40"/>
      <c r="B129" s="27"/>
      <c r="C129" s="29"/>
      <c r="D129" s="41"/>
      <c r="E129" s="41"/>
      <c r="F129" s="41"/>
      <c r="G129" s="41"/>
      <c r="H129" s="41"/>
      <c r="I129" s="41"/>
      <c r="J129" s="41"/>
      <c r="K129" s="41"/>
      <c r="L129" s="41"/>
      <c r="M129" s="41"/>
      <c r="N129" s="41"/>
      <c r="O129" s="41"/>
      <c r="P129" s="41"/>
      <c r="Q129" s="41"/>
      <c r="R129" s="41"/>
      <c r="S129" s="41"/>
      <c r="T129" s="41"/>
      <c r="U129" s="41"/>
      <c r="V129" s="41"/>
      <c r="W129" s="41"/>
      <c r="X129" s="41"/>
    </row>
    <row r="130" spans="1:24" ht="15.75">
      <c r="A130" s="40"/>
      <c r="B130" s="27"/>
      <c r="C130" s="29"/>
      <c r="D130" s="41"/>
      <c r="E130" s="41"/>
      <c r="F130" s="41"/>
      <c r="G130" s="41"/>
      <c r="H130" s="41"/>
      <c r="I130" s="41"/>
      <c r="J130" s="41"/>
      <c r="K130" s="41"/>
      <c r="L130" s="41"/>
      <c r="M130" s="41"/>
      <c r="N130" s="41"/>
      <c r="O130" s="41"/>
      <c r="P130" s="41"/>
      <c r="Q130" s="41"/>
      <c r="R130" s="41"/>
      <c r="S130" s="41"/>
      <c r="T130" s="41"/>
      <c r="U130" s="41"/>
      <c r="V130" s="41"/>
      <c r="W130" s="41"/>
      <c r="X130" s="41"/>
    </row>
    <row r="131" spans="1:24" ht="15.75">
      <c r="A131" s="40"/>
      <c r="B131" s="27"/>
      <c r="C131" s="29"/>
      <c r="D131" s="41"/>
      <c r="E131" s="41"/>
      <c r="F131" s="41"/>
      <c r="G131" s="41"/>
      <c r="H131" s="41"/>
      <c r="I131" s="41"/>
      <c r="J131" s="41"/>
      <c r="K131" s="41"/>
      <c r="L131" s="41"/>
      <c r="M131" s="41"/>
      <c r="N131" s="41"/>
      <c r="O131" s="41"/>
      <c r="P131" s="41"/>
      <c r="Q131" s="41"/>
      <c r="R131" s="41"/>
      <c r="S131" s="41"/>
      <c r="T131" s="41"/>
      <c r="U131" s="41"/>
      <c r="V131" s="41"/>
      <c r="W131" s="41"/>
      <c r="X131" s="41"/>
    </row>
    <row r="132" spans="1:24" ht="15.75">
      <c r="A132" s="3"/>
      <c r="B132" s="27"/>
      <c r="C132" s="29"/>
      <c r="D132" s="41"/>
      <c r="E132" s="41"/>
      <c r="F132" s="41"/>
      <c r="G132" s="41"/>
      <c r="H132" s="41"/>
      <c r="I132" s="41"/>
      <c r="J132" s="41"/>
      <c r="K132" s="41"/>
      <c r="L132" s="41"/>
      <c r="M132" s="41"/>
      <c r="N132" s="41"/>
      <c r="O132" s="41"/>
      <c r="P132" s="41"/>
      <c r="Q132" s="41"/>
      <c r="R132" s="41"/>
      <c r="S132" s="41"/>
      <c r="T132" s="41"/>
      <c r="U132" s="41"/>
      <c r="V132" s="41"/>
      <c r="W132" s="41"/>
      <c r="X132" s="41"/>
    </row>
    <row r="133" spans="1:24" ht="15.75">
      <c r="A133" s="40"/>
      <c r="B133" s="27"/>
      <c r="C133" s="29"/>
      <c r="D133" s="41"/>
      <c r="E133" s="41"/>
      <c r="F133" s="41"/>
      <c r="G133" s="41"/>
      <c r="H133" s="41"/>
      <c r="I133" s="41"/>
      <c r="J133" s="41"/>
      <c r="K133" s="41"/>
      <c r="L133" s="41"/>
      <c r="M133" s="41"/>
      <c r="N133" s="41"/>
      <c r="O133" s="41"/>
      <c r="P133" s="41"/>
      <c r="Q133" s="41"/>
      <c r="R133" s="41"/>
      <c r="S133" s="41"/>
      <c r="T133" s="41"/>
      <c r="U133" s="41"/>
      <c r="V133" s="41"/>
      <c r="W133" s="41"/>
      <c r="X133" s="41"/>
    </row>
    <row r="134" spans="1:24" ht="15.75">
      <c r="A134" s="40"/>
      <c r="B134" s="27"/>
      <c r="C134" s="29"/>
      <c r="D134" s="41"/>
      <c r="E134" s="41"/>
      <c r="F134" s="41"/>
      <c r="G134" s="41"/>
      <c r="H134" s="41"/>
      <c r="I134" s="41"/>
      <c r="J134" s="41"/>
      <c r="K134" s="41"/>
      <c r="L134" s="41"/>
      <c r="M134" s="41"/>
      <c r="N134" s="41"/>
      <c r="O134" s="41"/>
      <c r="P134" s="41"/>
      <c r="Q134" s="41"/>
      <c r="R134" s="41"/>
      <c r="S134" s="41"/>
      <c r="T134" s="41"/>
      <c r="U134" s="41"/>
      <c r="V134" s="41"/>
      <c r="W134" s="41"/>
      <c r="X134" s="41"/>
    </row>
    <row r="135" spans="1:24" ht="15.75">
      <c r="A135" s="3"/>
      <c r="B135" s="27"/>
      <c r="C135" s="29"/>
      <c r="D135" s="41"/>
      <c r="E135" s="41"/>
      <c r="F135" s="41"/>
      <c r="G135" s="41"/>
      <c r="H135" s="41"/>
      <c r="I135" s="41"/>
      <c r="J135" s="41"/>
      <c r="K135" s="41"/>
      <c r="L135" s="41"/>
      <c r="M135" s="41"/>
      <c r="N135" s="41"/>
      <c r="O135" s="41"/>
      <c r="P135" s="41"/>
      <c r="Q135" s="41"/>
      <c r="R135" s="41"/>
      <c r="S135" s="41"/>
      <c r="T135" s="41"/>
      <c r="U135" s="41"/>
      <c r="V135" s="41"/>
      <c r="W135" s="41"/>
      <c r="X135" s="41"/>
    </row>
    <row r="136" spans="1:24" ht="15.75">
      <c r="A136" s="40"/>
      <c r="B136" s="27"/>
      <c r="C136" s="29"/>
      <c r="D136" s="41"/>
      <c r="E136" s="41"/>
      <c r="F136" s="41"/>
      <c r="G136" s="41"/>
      <c r="H136" s="41"/>
      <c r="I136" s="41"/>
      <c r="J136" s="41"/>
      <c r="K136" s="41"/>
      <c r="L136" s="41"/>
      <c r="M136" s="41"/>
      <c r="N136" s="41"/>
      <c r="O136" s="41"/>
      <c r="P136" s="41"/>
      <c r="Q136" s="41"/>
      <c r="R136" s="41"/>
      <c r="S136" s="41"/>
      <c r="T136" s="41"/>
      <c r="U136" s="41"/>
      <c r="V136" s="41"/>
      <c r="W136" s="41"/>
      <c r="X136" s="41"/>
    </row>
    <row r="137" spans="1:24" ht="15.75">
      <c r="A137" s="40"/>
      <c r="B137" s="27"/>
      <c r="C137" s="29"/>
      <c r="D137" s="41"/>
      <c r="E137" s="41"/>
      <c r="F137" s="41"/>
      <c r="G137" s="41"/>
      <c r="H137" s="41"/>
      <c r="I137" s="41"/>
      <c r="J137" s="41"/>
      <c r="K137" s="41"/>
      <c r="L137" s="41"/>
      <c r="M137" s="41"/>
      <c r="N137" s="41"/>
      <c r="O137" s="41"/>
      <c r="P137" s="41"/>
      <c r="Q137" s="41"/>
      <c r="R137" s="41"/>
      <c r="S137" s="41"/>
      <c r="T137" s="41"/>
      <c r="U137" s="41"/>
      <c r="V137" s="41"/>
      <c r="W137" s="41"/>
      <c r="X137" s="41"/>
    </row>
    <row r="138" spans="1:24" ht="15.75">
      <c r="A138" s="40"/>
      <c r="B138" s="27"/>
      <c r="C138" s="29"/>
      <c r="D138" s="41"/>
      <c r="E138" s="41"/>
      <c r="F138" s="41"/>
      <c r="G138" s="41"/>
      <c r="H138" s="41"/>
      <c r="I138" s="41"/>
      <c r="J138" s="41"/>
      <c r="K138" s="41"/>
      <c r="L138" s="41"/>
      <c r="M138" s="41"/>
      <c r="N138" s="41"/>
      <c r="O138" s="41"/>
      <c r="P138" s="41"/>
      <c r="Q138" s="41"/>
      <c r="R138" s="41"/>
      <c r="S138" s="41"/>
      <c r="T138" s="41"/>
      <c r="U138" s="41"/>
      <c r="V138" s="41"/>
      <c r="W138" s="41"/>
      <c r="X138" s="41"/>
    </row>
    <row r="139" spans="1:24" ht="15.75">
      <c r="A139" s="40"/>
      <c r="B139" s="27"/>
      <c r="C139" s="29"/>
      <c r="D139" s="41"/>
      <c r="E139" s="41"/>
      <c r="F139" s="41"/>
      <c r="G139" s="41"/>
      <c r="H139" s="41"/>
      <c r="I139" s="41"/>
      <c r="J139" s="41"/>
      <c r="K139" s="41"/>
      <c r="L139" s="41"/>
      <c r="M139" s="41"/>
      <c r="N139" s="41"/>
      <c r="O139" s="41"/>
      <c r="P139" s="41"/>
      <c r="Q139" s="41"/>
      <c r="R139" s="41"/>
      <c r="S139" s="41"/>
      <c r="T139" s="41"/>
      <c r="U139" s="41"/>
      <c r="V139" s="41"/>
      <c r="W139" s="41"/>
      <c r="X139" s="41"/>
    </row>
    <row r="140" spans="1:24" ht="15.75">
      <c r="A140" s="40"/>
      <c r="B140" s="27"/>
      <c r="C140" s="29"/>
      <c r="D140" s="41"/>
      <c r="E140" s="41"/>
      <c r="F140" s="41"/>
      <c r="G140" s="41"/>
      <c r="H140" s="41"/>
      <c r="I140" s="41"/>
      <c r="J140" s="41"/>
      <c r="K140" s="41"/>
      <c r="L140" s="41"/>
      <c r="M140" s="41"/>
      <c r="N140" s="41"/>
      <c r="O140" s="41"/>
      <c r="P140" s="41"/>
      <c r="Q140" s="41"/>
      <c r="R140" s="41"/>
      <c r="S140" s="41"/>
      <c r="T140" s="41"/>
      <c r="U140" s="41"/>
      <c r="V140" s="41"/>
      <c r="W140" s="41"/>
      <c r="X140" s="41"/>
    </row>
    <row r="141" spans="1:24" ht="15.75">
      <c r="A141" s="40"/>
      <c r="B141" s="27"/>
      <c r="C141" s="29"/>
      <c r="D141" s="41"/>
      <c r="E141" s="41"/>
      <c r="F141" s="41"/>
      <c r="G141" s="41"/>
      <c r="H141" s="41"/>
      <c r="I141" s="41"/>
      <c r="J141" s="41"/>
      <c r="K141" s="41"/>
      <c r="L141" s="41"/>
      <c r="M141" s="41"/>
      <c r="N141" s="41"/>
      <c r="O141" s="41"/>
      <c r="P141" s="41"/>
      <c r="Q141" s="41"/>
      <c r="R141" s="41"/>
      <c r="S141" s="41"/>
      <c r="T141" s="41"/>
      <c r="U141" s="41"/>
      <c r="V141" s="41"/>
      <c r="W141" s="41"/>
      <c r="X141" s="41"/>
    </row>
    <row r="142" spans="1:24" ht="15.75">
      <c r="A142" s="40"/>
      <c r="B142" s="27"/>
      <c r="C142" s="3"/>
      <c r="D142" s="41"/>
      <c r="E142" s="41"/>
      <c r="F142" s="41"/>
      <c r="G142" s="41"/>
      <c r="H142" s="41"/>
      <c r="I142" s="41"/>
      <c r="J142" s="41"/>
      <c r="K142" s="41"/>
      <c r="L142" s="41"/>
      <c r="M142" s="41"/>
      <c r="N142" s="41"/>
      <c r="O142" s="41"/>
      <c r="P142" s="41"/>
      <c r="Q142" s="41"/>
      <c r="R142" s="41"/>
      <c r="S142" s="41"/>
      <c r="T142" s="41"/>
      <c r="U142" s="41"/>
      <c r="V142" s="41"/>
      <c r="W142" s="41"/>
      <c r="X142" s="41"/>
    </row>
    <row r="143" spans="1:24" ht="15.75">
      <c r="A143" s="40"/>
      <c r="B143" s="27"/>
      <c r="C143" s="29"/>
      <c r="D143" s="41"/>
      <c r="E143" s="41"/>
      <c r="F143" s="41"/>
      <c r="G143" s="41"/>
      <c r="H143" s="41"/>
      <c r="I143" s="41"/>
      <c r="J143" s="41"/>
      <c r="K143" s="41"/>
      <c r="L143" s="41"/>
      <c r="M143" s="41"/>
      <c r="N143" s="41"/>
      <c r="O143" s="41"/>
      <c r="P143" s="41"/>
      <c r="Q143" s="41"/>
      <c r="R143" s="41"/>
      <c r="S143" s="41"/>
      <c r="T143" s="41"/>
      <c r="U143" s="41"/>
      <c r="V143" s="41"/>
      <c r="W143" s="41"/>
      <c r="X143" s="41"/>
    </row>
    <row r="144" spans="1:24" ht="15.75">
      <c r="A144" s="40"/>
      <c r="B144" s="27"/>
      <c r="C144" s="29"/>
      <c r="D144" s="41"/>
      <c r="E144" s="41"/>
      <c r="F144" s="41"/>
      <c r="G144" s="41"/>
      <c r="H144" s="41"/>
      <c r="I144" s="41"/>
      <c r="J144" s="41"/>
      <c r="K144" s="41"/>
      <c r="L144" s="41"/>
      <c r="M144" s="41"/>
      <c r="N144" s="41"/>
      <c r="O144" s="41"/>
      <c r="P144" s="41"/>
      <c r="Q144" s="41"/>
      <c r="R144" s="41"/>
      <c r="S144" s="41"/>
      <c r="T144" s="41"/>
      <c r="U144" s="41"/>
      <c r="V144" s="41"/>
      <c r="W144" s="41"/>
      <c r="X144" s="41"/>
    </row>
    <row r="145" spans="1:24" ht="15.75">
      <c r="A145" s="40"/>
      <c r="B145" s="27"/>
      <c r="C145" s="29"/>
      <c r="D145" s="41"/>
      <c r="E145" s="41"/>
      <c r="F145" s="41"/>
      <c r="G145" s="41"/>
      <c r="H145" s="41"/>
      <c r="I145" s="41"/>
      <c r="J145" s="41"/>
      <c r="K145" s="41"/>
      <c r="L145" s="41"/>
      <c r="M145" s="41"/>
      <c r="N145" s="41"/>
      <c r="O145" s="41"/>
      <c r="P145" s="41"/>
      <c r="Q145" s="41"/>
      <c r="R145" s="41"/>
      <c r="S145" s="41"/>
      <c r="T145" s="41"/>
      <c r="U145" s="41"/>
      <c r="V145" s="41"/>
      <c r="W145" s="41"/>
      <c r="X145" s="41"/>
    </row>
    <row r="146" spans="1:24" ht="15.75">
      <c r="A146" s="40"/>
      <c r="B146" s="27"/>
      <c r="C146" s="29"/>
      <c r="D146" s="41"/>
      <c r="E146" s="41"/>
      <c r="F146" s="41"/>
      <c r="G146" s="41"/>
      <c r="H146" s="41"/>
      <c r="I146" s="41"/>
      <c r="J146" s="41"/>
      <c r="K146" s="41"/>
      <c r="L146" s="41"/>
      <c r="M146" s="41"/>
      <c r="N146" s="41"/>
      <c r="O146" s="41"/>
      <c r="P146" s="41"/>
      <c r="Q146" s="41"/>
      <c r="R146" s="41"/>
      <c r="S146" s="41"/>
      <c r="T146" s="41"/>
      <c r="U146" s="41"/>
      <c r="V146" s="41"/>
      <c r="W146" s="41"/>
      <c r="X146" s="41"/>
    </row>
    <row r="147" spans="1:24" ht="15.75">
      <c r="A147" s="40"/>
      <c r="B147" s="27"/>
      <c r="C147" s="29"/>
      <c r="D147" s="41"/>
      <c r="E147" s="41"/>
      <c r="F147" s="41"/>
      <c r="G147" s="41"/>
      <c r="H147" s="41"/>
      <c r="I147" s="41"/>
      <c r="J147" s="41"/>
      <c r="K147" s="41"/>
      <c r="L147" s="41"/>
      <c r="M147" s="41"/>
      <c r="N147" s="41"/>
      <c r="O147" s="41"/>
      <c r="P147" s="41"/>
      <c r="Q147" s="41"/>
      <c r="R147" s="41"/>
      <c r="S147" s="41"/>
      <c r="T147" s="41"/>
      <c r="U147" s="41"/>
      <c r="V147" s="41"/>
      <c r="W147" s="41"/>
      <c r="X147" s="41"/>
    </row>
    <row r="148" spans="1:24" ht="15.75">
      <c r="A148" s="40"/>
      <c r="B148" s="27"/>
      <c r="C148" s="29"/>
      <c r="D148" s="41"/>
      <c r="E148" s="41"/>
      <c r="F148" s="41"/>
      <c r="G148" s="41"/>
      <c r="H148" s="41"/>
      <c r="I148" s="41"/>
      <c r="J148" s="41"/>
      <c r="K148" s="41"/>
      <c r="L148" s="41"/>
      <c r="M148" s="41"/>
      <c r="N148" s="41"/>
      <c r="O148" s="41"/>
      <c r="P148" s="41"/>
      <c r="Q148" s="41"/>
      <c r="R148" s="41"/>
      <c r="S148" s="41"/>
      <c r="T148" s="41"/>
      <c r="U148" s="41"/>
      <c r="V148" s="41"/>
      <c r="W148" s="41"/>
      <c r="X148" s="41"/>
    </row>
    <row r="149" spans="1:24" ht="15.75">
      <c r="A149" s="40"/>
      <c r="B149" s="27"/>
      <c r="C149" s="29"/>
      <c r="D149" s="41"/>
      <c r="E149" s="41"/>
      <c r="F149" s="41"/>
      <c r="G149" s="41"/>
      <c r="H149" s="41"/>
      <c r="I149" s="41"/>
      <c r="J149" s="41"/>
      <c r="K149" s="41"/>
      <c r="L149" s="41"/>
      <c r="M149" s="41"/>
      <c r="N149" s="41"/>
      <c r="O149" s="41"/>
      <c r="P149" s="41"/>
      <c r="Q149" s="41"/>
      <c r="R149" s="41"/>
      <c r="S149" s="41"/>
      <c r="T149" s="41"/>
      <c r="U149" s="41"/>
      <c r="V149" s="41"/>
      <c r="W149" s="41"/>
      <c r="X149" s="41"/>
    </row>
    <row r="150" spans="1:24" ht="15.75">
      <c r="A150" s="40"/>
      <c r="B150" s="27"/>
      <c r="C150" s="29"/>
      <c r="D150" s="41"/>
      <c r="E150" s="41"/>
      <c r="F150" s="41"/>
      <c r="G150" s="41"/>
      <c r="H150" s="41"/>
      <c r="I150" s="41"/>
      <c r="J150" s="41"/>
      <c r="K150" s="41"/>
      <c r="L150" s="41"/>
      <c r="M150" s="41"/>
      <c r="N150" s="41"/>
      <c r="O150" s="41"/>
      <c r="P150" s="41"/>
      <c r="Q150" s="41"/>
      <c r="R150" s="41"/>
      <c r="S150" s="41"/>
      <c r="T150" s="41"/>
      <c r="U150" s="41"/>
      <c r="V150" s="41"/>
      <c r="W150" s="41"/>
      <c r="X150" s="41"/>
    </row>
    <row r="151" spans="1:24" ht="15.75">
      <c r="A151" s="40"/>
      <c r="B151" s="27"/>
      <c r="C151" s="29"/>
      <c r="D151" s="41"/>
      <c r="E151" s="41"/>
      <c r="F151" s="41"/>
      <c r="G151" s="41"/>
      <c r="H151" s="41"/>
      <c r="I151" s="41"/>
      <c r="J151" s="41"/>
      <c r="K151" s="41"/>
      <c r="L151" s="41"/>
      <c r="M151" s="41"/>
      <c r="N151" s="41"/>
      <c r="O151" s="41"/>
      <c r="P151" s="41"/>
      <c r="Q151" s="41"/>
      <c r="R151" s="41"/>
      <c r="S151" s="41"/>
      <c r="T151" s="41"/>
      <c r="U151" s="41"/>
      <c r="V151" s="41"/>
      <c r="W151" s="41"/>
      <c r="X151" s="41"/>
    </row>
    <row r="152" spans="1:24" ht="15.75">
      <c r="A152" s="40"/>
      <c r="B152" s="27"/>
      <c r="C152" s="29"/>
      <c r="D152" s="41"/>
      <c r="E152" s="41"/>
      <c r="F152" s="41"/>
      <c r="G152" s="41"/>
      <c r="H152" s="41"/>
      <c r="I152" s="41"/>
      <c r="J152" s="41"/>
      <c r="K152" s="41"/>
      <c r="L152" s="41"/>
      <c r="M152" s="41"/>
      <c r="N152" s="41"/>
      <c r="O152" s="41"/>
      <c r="P152" s="41"/>
      <c r="Q152" s="41"/>
      <c r="R152" s="41"/>
      <c r="S152" s="41"/>
      <c r="T152" s="41"/>
      <c r="U152" s="41"/>
      <c r="V152" s="41"/>
      <c r="W152" s="41"/>
      <c r="X152" s="41"/>
    </row>
    <row r="153" spans="1:24" ht="15.75">
      <c r="A153" s="40"/>
      <c r="B153" s="27"/>
      <c r="C153" s="29"/>
      <c r="D153" s="41"/>
      <c r="E153" s="41"/>
      <c r="F153" s="41"/>
      <c r="G153" s="41"/>
      <c r="H153" s="41"/>
      <c r="I153" s="41"/>
      <c r="J153" s="41"/>
      <c r="K153" s="41"/>
      <c r="L153" s="41"/>
      <c r="M153" s="41"/>
      <c r="N153" s="41"/>
      <c r="O153" s="41"/>
      <c r="P153" s="41"/>
      <c r="Q153" s="41"/>
      <c r="R153" s="41"/>
      <c r="S153" s="41"/>
      <c r="T153" s="41"/>
      <c r="U153" s="41"/>
      <c r="V153" s="41"/>
      <c r="W153" s="41"/>
      <c r="X153" s="41"/>
    </row>
    <row r="154" spans="1:24" ht="15.75">
      <c r="A154" s="40"/>
      <c r="B154" s="27"/>
      <c r="C154" s="29"/>
      <c r="D154" s="41"/>
      <c r="E154" s="41"/>
      <c r="F154" s="41"/>
      <c r="G154" s="41"/>
      <c r="H154" s="41"/>
      <c r="I154" s="41"/>
      <c r="J154" s="41"/>
      <c r="K154" s="41"/>
      <c r="L154" s="41"/>
      <c r="M154" s="41"/>
      <c r="N154" s="41"/>
      <c r="O154" s="41"/>
      <c r="P154" s="41"/>
      <c r="Q154" s="41"/>
      <c r="R154" s="41"/>
      <c r="S154" s="41"/>
      <c r="T154" s="41"/>
      <c r="U154" s="41"/>
      <c r="V154" s="41"/>
      <c r="W154" s="41"/>
      <c r="X154" s="41"/>
    </row>
    <row r="155" spans="1:24" ht="15.75">
      <c r="A155" s="40"/>
      <c r="B155" s="27"/>
      <c r="C155" s="29"/>
      <c r="D155" s="41"/>
      <c r="E155" s="41"/>
      <c r="F155" s="41"/>
      <c r="G155" s="41"/>
      <c r="H155" s="41"/>
      <c r="I155" s="41"/>
      <c r="J155" s="41"/>
      <c r="K155" s="41"/>
      <c r="L155" s="41"/>
      <c r="M155" s="41"/>
      <c r="N155" s="41"/>
      <c r="O155" s="41"/>
      <c r="P155" s="41"/>
      <c r="Q155" s="41"/>
      <c r="R155" s="41"/>
      <c r="S155" s="41"/>
      <c r="T155" s="41"/>
      <c r="U155" s="41"/>
      <c r="V155" s="41"/>
      <c r="W155" s="41"/>
      <c r="X155" s="41"/>
    </row>
    <row r="156" spans="1:24" ht="15.75">
      <c r="A156" s="40"/>
      <c r="B156" s="27"/>
      <c r="C156" s="29"/>
      <c r="D156" s="41"/>
      <c r="E156" s="41"/>
      <c r="F156" s="41"/>
      <c r="G156" s="41"/>
      <c r="H156" s="41"/>
      <c r="I156" s="41"/>
      <c r="J156" s="41"/>
      <c r="K156" s="41"/>
      <c r="L156" s="41"/>
      <c r="M156" s="41"/>
      <c r="N156" s="41"/>
      <c r="O156" s="41"/>
      <c r="P156" s="41"/>
      <c r="Q156" s="41"/>
      <c r="R156" s="41"/>
      <c r="S156" s="41"/>
      <c r="T156" s="41"/>
      <c r="U156" s="41"/>
      <c r="V156" s="41"/>
      <c r="W156" s="41"/>
      <c r="X156" s="41"/>
    </row>
    <row r="157" spans="1:24" ht="15.75">
      <c r="A157" s="40"/>
      <c r="B157" s="27"/>
      <c r="C157" s="29"/>
      <c r="D157" s="41"/>
      <c r="E157" s="41"/>
      <c r="F157" s="41"/>
      <c r="G157" s="41"/>
      <c r="H157" s="41"/>
      <c r="I157" s="41"/>
      <c r="J157" s="41"/>
      <c r="K157" s="41"/>
      <c r="L157" s="41"/>
      <c r="M157" s="41"/>
      <c r="N157" s="41"/>
      <c r="O157" s="41"/>
      <c r="P157" s="41"/>
      <c r="Q157" s="41"/>
      <c r="R157" s="41"/>
      <c r="S157" s="41"/>
      <c r="T157" s="41"/>
      <c r="U157" s="41"/>
      <c r="V157" s="41"/>
      <c r="W157" s="41"/>
      <c r="X157" s="41"/>
    </row>
    <row r="158" spans="1:24" ht="15.75">
      <c r="A158" s="40"/>
      <c r="B158" s="27"/>
      <c r="C158" s="29"/>
      <c r="D158" s="41"/>
      <c r="E158" s="41"/>
      <c r="F158" s="41"/>
      <c r="G158" s="41"/>
      <c r="H158" s="41"/>
      <c r="I158" s="41"/>
      <c r="J158" s="41"/>
      <c r="K158" s="41"/>
      <c r="L158" s="41"/>
      <c r="M158" s="41"/>
      <c r="N158" s="41"/>
      <c r="O158" s="41"/>
      <c r="P158" s="41"/>
      <c r="Q158" s="41"/>
      <c r="R158" s="41"/>
      <c r="S158" s="41"/>
      <c r="T158" s="41"/>
      <c r="U158" s="41"/>
      <c r="V158" s="41"/>
      <c r="W158" s="41"/>
      <c r="X158" s="41"/>
    </row>
    <row r="159" spans="1:24" ht="15.75">
      <c r="A159" s="40"/>
      <c r="B159" s="27"/>
      <c r="C159" s="29"/>
      <c r="D159" s="41"/>
      <c r="E159" s="41"/>
      <c r="F159" s="41"/>
      <c r="G159" s="41"/>
      <c r="H159" s="41"/>
      <c r="I159" s="41"/>
      <c r="J159" s="41"/>
      <c r="K159" s="41"/>
      <c r="L159" s="41"/>
      <c r="M159" s="41"/>
      <c r="N159" s="41"/>
      <c r="O159" s="41"/>
      <c r="P159" s="41"/>
      <c r="Q159" s="41"/>
      <c r="R159" s="41"/>
      <c r="S159" s="41"/>
      <c r="T159" s="41"/>
      <c r="U159" s="41"/>
      <c r="V159" s="41"/>
      <c r="W159" s="41"/>
      <c r="X159" s="41"/>
    </row>
    <row r="160" spans="1:24" ht="15.75">
      <c r="A160" s="40"/>
      <c r="B160" s="27"/>
      <c r="C160" s="29"/>
      <c r="D160" s="41"/>
      <c r="E160" s="41"/>
      <c r="F160" s="41"/>
      <c r="G160" s="41"/>
      <c r="H160" s="41"/>
      <c r="I160" s="41"/>
      <c r="J160" s="41"/>
      <c r="K160" s="41"/>
      <c r="L160" s="41"/>
      <c r="M160" s="41"/>
      <c r="N160" s="41"/>
      <c r="O160" s="41"/>
      <c r="P160" s="41"/>
      <c r="Q160" s="41"/>
      <c r="R160" s="41"/>
      <c r="S160" s="41"/>
      <c r="T160" s="41"/>
      <c r="U160" s="41"/>
      <c r="V160" s="41"/>
      <c r="W160" s="41"/>
      <c r="X160" s="41"/>
    </row>
    <row r="161" spans="1:24" ht="15.75">
      <c r="A161" s="40"/>
      <c r="B161" s="27"/>
      <c r="C161" s="29"/>
      <c r="D161" s="41"/>
      <c r="E161" s="41"/>
      <c r="F161" s="41"/>
      <c r="G161" s="41"/>
      <c r="H161" s="41"/>
      <c r="I161" s="41"/>
      <c r="J161" s="41"/>
      <c r="K161" s="41"/>
      <c r="L161" s="41"/>
      <c r="M161" s="41"/>
      <c r="N161" s="41"/>
      <c r="O161" s="41"/>
      <c r="P161" s="41"/>
      <c r="Q161" s="41"/>
      <c r="R161" s="41"/>
      <c r="S161" s="41"/>
      <c r="T161" s="41"/>
      <c r="U161" s="41"/>
      <c r="V161" s="41"/>
      <c r="W161" s="41"/>
      <c r="X161" s="41"/>
    </row>
    <row r="162" spans="1:24" ht="15.75">
      <c r="A162" s="40"/>
      <c r="B162" s="27"/>
      <c r="C162" s="29"/>
      <c r="D162" s="41"/>
      <c r="E162" s="41"/>
      <c r="F162" s="41"/>
      <c r="G162" s="41"/>
      <c r="H162" s="41"/>
      <c r="I162" s="41"/>
      <c r="J162" s="41"/>
      <c r="K162" s="41"/>
      <c r="L162" s="41"/>
      <c r="M162" s="41"/>
      <c r="N162" s="41"/>
      <c r="O162" s="41"/>
      <c r="P162" s="41"/>
      <c r="Q162" s="41"/>
      <c r="R162" s="41"/>
      <c r="S162" s="41"/>
      <c r="T162" s="41"/>
      <c r="U162" s="41"/>
      <c r="V162" s="41"/>
      <c r="W162" s="41"/>
      <c r="X162" s="41"/>
    </row>
    <row r="163" spans="1:24" ht="15.75">
      <c r="A163" s="40"/>
      <c r="B163" s="27"/>
      <c r="C163" s="29"/>
      <c r="D163" s="41"/>
      <c r="E163" s="41"/>
      <c r="F163" s="41"/>
      <c r="G163" s="41"/>
      <c r="H163" s="41"/>
      <c r="I163" s="41"/>
      <c r="J163" s="41"/>
      <c r="K163" s="41"/>
      <c r="L163" s="41"/>
      <c r="M163" s="41"/>
      <c r="N163" s="41"/>
      <c r="O163" s="41"/>
      <c r="P163" s="41"/>
      <c r="Q163" s="41"/>
      <c r="R163" s="41"/>
      <c r="S163" s="41"/>
      <c r="T163" s="41"/>
      <c r="U163" s="41"/>
      <c r="V163" s="41"/>
      <c r="W163" s="41"/>
      <c r="X163" s="41"/>
    </row>
    <row r="164" spans="1:24" ht="15.75">
      <c r="A164" s="40"/>
      <c r="B164" s="27"/>
      <c r="C164" s="29"/>
      <c r="D164" s="41"/>
      <c r="E164" s="41"/>
      <c r="F164" s="41"/>
      <c r="G164" s="41"/>
      <c r="H164" s="41"/>
      <c r="I164" s="41"/>
      <c r="J164" s="41"/>
      <c r="K164" s="41"/>
      <c r="L164" s="41"/>
      <c r="M164" s="41"/>
      <c r="N164" s="41"/>
      <c r="O164" s="41"/>
      <c r="P164" s="41"/>
      <c r="Q164" s="41"/>
      <c r="R164" s="41"/>
      <c r="S164" s="41"/>
      <c r="T164" s="41"/>
      <c r="U164" s="41"/>
      <c r="V164" s="41"/>
      <c r="W164" s="41"/>
      <c r="X164" s="41"/>
    </row>
    <row r="165" spans="1:24" ht="15.75">
      <c r="A165" s="40"/>
      <c r="B165" s="27"/>
      <c r="C165" s="29"/>
      <c r="D165" s="41"/>
      <c r="E165" s="41"/>
      <c r="F165" s="41"/>
      <c r="G165" s="41"/>
      <c r="H165" s="41"/>
      <c r="I165" s="41"/>
      <c r="J165" s="41"/>
      <c r="K165" s="41"/>
      <c r="L165" s="41"/>
      <c r="M165" s="41"/>
      <c r="N165" s="41"/>
      <c r="O165" s="41"/>
      <c r="P165" s="41"/>
      <c r="Q165" s="41"/>
      <c r="R165" s="41"/>
      <c r="S165" s="41"/>
      <c r="T165" s="41"/>
      <c r="U165" s="41"/>
      <c r="V165" s="41"/>
      <c r="W165" s="41"/>
      <c r="X165" s="41"/>
    </row>
    <row r="166" spans="1:24" ht="15.75">
      <c r="A166" s="40"/>
      <c r="B166" s="27"/>
      <c r="C166" s="29"/>
      <c r="D166" s="41"/>
      <c r="E166" s="41"/>
      <c r="F166" s="41"/>
      <c r="G166" s="41"/>
      <c r="H166" s="41"/>
      <c r="I166" s="41"/>
      <c r="J166" s="41"/>
      <c r="K166" s="41"/>
      <c r="L166" s="41"/>
      <c r="M166" s="41"/>
      <c r="N166" s="41"/>
      <c r="O166" s="41"/>
      <c r="P166" s="41"/>
      <c r="Q166" s="41"/>
      <c r="R166" s="41"/>
      <c r="S166" s="41"/>
      <c r="T166" s="41"/>
      <c r="U166" s="41"/>
      <c r="V166" s="41"/>
      <c r="W166" s="41"/>
      <c r="X166" s="41"/>
    </row>
    <row r="167" spans="1:24" ht="15.75">
      <c r="A167" s="40"/>
      <c r="B167" s="27"/>
      <c r="C167" s="29"/>
      <c r="D167" s="41"/>
      <c r="E167" s="41"/>
      <c r="F167" s="41"/>
      <c r="G167" s="41"/>
      <c r="H167" s="41"/>
      <c r="I167" s="41"/>
      <c r="J167" s="41"/>
      <c r="K167" s="41"/>
      <c r="L167" s="41"/>
      <c r="M167" s="41"/>
      <c r="N167" s="41"/>
      <c r="O167" s="41"/>
      <c r="P167" s="41"/>
      <c r="Q167" s="41"/>
      <c r="R167" s="41"/>
      <c r="S167" s="41"/>
      <c r="T167" s="41"/>
      <c r="U167" s="41"/>
      <c r="V167" s="41"/>
      <c r="W167" s="41"/>
      <c r="X167" s="41"/>
    </row>
    <row r="168" spans="1:24" ht="15.75">
      <c r="A168" s="40"/>
      <c r="B168" s="27"/>
      <c r="C168" s="29"/>
      <c r="D168" s="41"/>
      <c r="E168" s="41"/>
      <c r="F168" s="41"/>
      <c r="G168" s="41"/>
      <c r="H168" s="41"/>
      <c r="I168" s="41"/>
      <c r="J168" s="41"/>
      <c r="K168" s="41"/>
      <c r="L168" s="41"/>
      <c r="M168" s="41"/>
      <c r="N168" s="41"/>
      <c r="O168" s="41"/>
      <c r="P168" s="41"/>
      <c r="Q168" s="41"/>
      <c r="R168" s="41"/>
      <c r="S168" s="41"/>
      <c r="T168" s="41"/>
      <c r="U168" s="41"/>
      <c r="V168" s="41"/>
      <c r="W168" s="41"/>
      <c r="X168" s="41"/>
    </row>
    <row r="169" spans="1:24" ht="15.75">
      <c r="A169" s="40"/>
      <c r="B169" s="27"/>
      <c r="C169" s="29"/>
      <c r="D169" s="41"/>
      <c r="E169" s="41"/>
      <c r="F169" s="41"/>
      <c r="G169" s="41"/>
      <c r="H169" s="41"/>
      <c r="I169" s="41"/>
      <c r="J169" s="41"/>
      <c r="K169" s="41"/>
      <c r="L169" s="41"/>
      <c r="M169" s="41"/>
      <c r="N169" s="41"/>
      <c r="O169" s="41"/>
      <c r="P169" s="41"/>
      <c r="Q169" s="41"/>
      <c r="R169" s="41"/>
      <c r="S169" s="41"/>
      <c r="T169" s="41"/>
      <c r="U169" s="41"/>
      <c r="V169" s="41"/>
      <c r="W169" s="41"/>
      <c r="X169" s="41"/>
    </row>
    <row r="170" spans="1:24">
      <c r="A170" s="4"/>
      <c r="B170" s="4"/>
      <c r="C170" s="29"/>
      <c r="D170" s="41"/>
      <c r="E170" s="41"/>
      <c r="F170" s="41"/>
      <c r="G170" s="41"/>
      <c r="H170" s="41"/>
      <c r="I170" s="41"/>
      <c r="J170" s="41"/>
      <c r="K170" s="41"/>
      <c r="L170" s="41"/>
      <c r="M170" s="41"/>
      <c r="N170" s="41"/>
      <c r="O170" s="41"/>
      <c r="P170" s="41"/>
      <c r="Q170" s="41"/>
      <c r="R170" s="41"/>
      <c r="S170" s="41"/>
      <c r="T170" s="41"/>
      <c r="U170" s="41"/>
      <c r="V170" s="41"/>
      <c r="W170" s="41"/>
      <c r="X170" s="41"/>
    </row>
    <row r="171" spans="1:24" ht="15.75">
      <c r="A171" s="40"/>
      <c r="B171" s="27"/>
      <c r="C171" s="29"/>
      <c r="D171" s="41"/>
      <c r="E171" s="41"/>
      <c r="F171" s="41"/>
      <c r="G171" s="41"/>
      <c r="H171" s="41"/>
      <c r="I171" s="41"/>
      <c r="J171" s="41"/>
      <c r="K171" s="41"/>
      <c r="L171" s="41"/>
      <c r="M171" s="41"/>
      <c r="N171" s="41"/>
      <c r="O171" s="41"/>
      <c r="P171" s="41"/>
      <c r="Q171" s="41"/>
      <c r="R171" s="41"/>
      <c r="S171" s="41"/>
      <c r="T171" s="41"/>
      <c r="U171" s="41"/>
      <c r="V171" s="41"/>
      <c r="W171" s="41"/>
      <c r="X171" s="41"/>
    </row>
    <row r="172" spans="1:24" ht="15.75">
      <c r="A172" s="40"/>
      <c r="B172" s="27"/>
      <c r="C172" s="29"/>
      <c r="D172" s="41"/>
      <c r="E172" s="41"/>
      <c r="F172" s="41"/>
      <c r="G172" s="41"/>
      <c r="H172" s="41"/>
      <c r="I172" s="41"/>
      <c r="J172" s="41"/>
      <c r="K172" s="41"/>
      <c r="L172" s="41"/>
      <c r="M172" s="41"/>
      <c r="N172" s="41"/>
      <c r="O172" s="41"/>
      <c r="P172" s="41"/>
      <c r="Q172" s="41"/>
      <c r="R172" s="41"/>
      <c r="S172" s="41"/>
      <c r="T172" s="41"/>
      <c r="U172" s="41"/>
      <c r="V172" s="41"/>
      <c r="W172" s="41"/>
      <c r="X172" s="41"/>
    </row>
    <row r="173" spans="1:24" ht="15.75">
      <c r="A173" s="40"/>
      <c r="B173" s="27"/>
      <c r="C173" s="29"/>
      <c r="D173" s="41"/>
      <c r="E173" s="41"/>
      <c r="F173" s="41"/>
      <c r="G173" s="41"/>
      <c r="H173" s="41"/>
      <c r="I173" s="41"/>
      <c r="J173" s="41"/>
      <c r="K173" s="41"/>
      <c r="L173" s="41"/>
      <c r="M173" s="41"/>
      <c r="N173" s="41"/>
      <c r="O173" s="41"/>
      <c r="P173" s="41"/>
      <c r="Q173" s="41"/>
      <c r="R173" s="41"/>
      <c r="S173" s="41"/>
      <c r="T173" s="41"/>
      <c r="U173" s="41"/>
      <c r="V173" s="41"/>
      <c r="W173" s="41"/>
      <c r="X173" s="41"/>
    </row>
    <row r="174" spans="1:24" ht="15.75">
      <c r="A174" s="40"/>
      <c r="B174" s="27"/>
      <c r="C174" s="29"/>
      <c r="D174" s="41"/>
      <c r="E174" s="41"/>
      <c r="F174" s="41"/>
      <c r="G174" s="41"/>
      <c r="H174" s="41"/>
      <c r="I174" s="41"/>
      <c r="J174" s="41"/>
      <c r="K174" s="41"/>
      <c r="L174" s="41"/>
      <c r="M174" s="41"/>
      <c r="N174" s="41"/>
      <c r="O174" s="41"/>
      <c r="P174" s="41"/>
      <c r="Q174" s="41"/>
      <c r="R174" s="41"/>
      <c r="S174" s="41"/>
      <c r="T174" s="41"/>
      <c r="U174" s="41"/>
      <c r="V174" s="41"/>
      <c r="W174" s="41"/>
      <c r="X174" s="41"/>
    </row>
    <row r="175" spans="1:24" ht="15.75">
      <c r="A175" s="40"/>
      <c r="B175" s="27"/>
      <c r="C175" s="29"/>
      <c r="D175" s="41"/>
      <c r="E175" s="41"/>
      <c r="F175" s="41"/>
      <c r="G175" s="41"/>
      <c r="H175" s="41"/>
      <c r="I175" s="41"/>
      <c r="J175" s="41"/>
      <c r="K175" s="41"/>
      <c r="L175" s="41"/>
      <c r="M175" s="41"/>
      <c r="N175" s="41"/>
      <c r="O175" s="41"/>
      <c r="P175" s="41"/>
      <c r="Q175" s="41"/>
      <c r="R175" s="41"/>
      <c r="S175" s="41"/>
      <c r="T175" s="41"/>
      <c r="U175" s="41"/>
      <c r="V175" s="41"/>
      <c r="W175" s="41"/>
      <c r="X175" s="41"/>
    </row>
    <row r="176" spans="1:24" ht="15.75">
      <c r="A176" s="40"/>
      <c r="B176" s="27"/>
      <c r="C176" s="29"/>
      <c r="D176" s="41"/>
      <c r="E176" s="41"/>
      <c r="F176" s="41"/>
      <c r="G176" s="41"/>
      <c r="H176" s="41"/>
      <c r="I176" s="41"/>
      <c r="J176" s="41"/>
      <c r="K176" s="41"/>
      <c r="L176" s="41"/>
      <c r="M176" s="41"/>
      <c r="N176" s="41"/>
      <c r="O176" s="41"/>
      <c r="P176" s="41"/>
      <c r="Q176" s="41"/>
      <c r="R176" s="41"/>
      <c r="S176" s="41"/>
      <c r="T176" s="41"/>
      <c r="U176" s="41"/>
      <c r="V176" s="41"/>
      <c r="W176" s="41"/>
      <c r="X176" s="41"/>
    </row>
    <row r="177" spans="1:24" ht="15.75">
      <c r="A177" s="40"/>
      <c r="B177" s="27"/>
      <c r="C177" s="29"/>
      <c r="D177" s="41"/>
      <c r="E177" s="41"/>
      <c r="F177" s="41"/>
      <c r="G177" s="41"/>
      <c r="H177" s="41"/>
      <c r="I177" s="41"/>
      <c r="J177" s="41"/>
      <c r="K177" s="41"/>
      <c r="L177" s="41"/>
      <c r="M177" s="41"/>
      <c r="N177" s="41"/>
      <c r="O177" s="41"/>
      <c r="P177" s="41"/>
      <c r="Q177" s="41"/>
      <c r="R177" s="41"/>
      <c r="S177" s="41"/>
      <c r="T177" s="41"/>
      <c r="U177" s="41"/>
      <c r="V177" s="41"/>
      <c r="W177" s="41"/>
      <c r="X177" s="41"/>
    </row>
    <row r="178" spans="1:24" ht="15.75">
      <c r="A178" s="40"/>
      <c r="B178" s="27"/>
      <c r="C178" s="29"/>
      <c r="D178" s="41"/>
      <c r="E178" s="41"/>
      <c r="F178" s="41"/>
      <c r="G178" s="41"/>
      <c r="H178" s="41"/>
      <c r="I178" s="41"/>
      <c r="J178" s="41"/>
      <c r="K178" s="41"/>
      <c r="L178" s="41"/>
      <c r="M178" s="41"/>
      <c r="N178" s="41"/>
      <c r="O178" s="41"/>
      <c r="P178" s="41"/>
      <c r="Q178" s="41"/>
      <c r="R178" s="41"/>
      <c r="S178" s="41"/>
      <c r="T178" s="41"/>
      <c r="U178" s="41"/>
      <c r="V178" s="41"/>
      <c r="W178" s="41"/>
      <c r="X178" s="41"/>
    </row>
    <row r="179" spans="1:24" ht="15.75">
      <c r="A179" s="40"/>
      <c r="B179" s="27"/>
      <c r="C179" s="29"/>
      <c r="D179" s="41"/>
      <c r="E179" s="41"/>
      <c r="F179" s="41"/>
      <c r="G179" s="41"/>
      <c r="H179" s="41"/>
      <c r="I179" s="41"/>
      <c r="J179" s="41"/>
      <c r="K179" s="41"/>
      <c r="L179" s="41"/>
      <c r="M179" s="41"/>
      <c r="N179" s="41"/>
      <c r="O179" s="41"/>
      <c r="P179" s="41"/>
      <c r="Q179" s="41"/>
      <c r="R179" s="41"/>
      <c r="S179" s="41"/>
      <c r="T179" s="41"/>
      <c r="U179" s="41"/>
      <c r="V179" s="41"/>
      <c r="W179" s="41"/>
      <c r="X179" s="41"/>
    </row>
    <row r="180" spans="1:24" ht="15.75">
      <c r="A180" s="40"/>
      <c r="B180" s="27"/>
      <c r="C180" s="29"/>
      <c r="D180" s="41"/>
      <c r="E180" s="41"/>
      <c r="F180" s="41"/>
      <c r="G180" s="41"/>
      <c r="H180" s="41"/>
      <c r="I180" s="41"/>
      <c r="J180" s="41"/>
      <c r="K180" s="41"/>
      <c r="L180" s="41"/>
      <c r="M180" s="41"/>
      <c r="N180" s="41"/>
      <c r="O180" s="41"/>
      <c r="P180" s="41"/>
      <c r="Q180" s="41"/>
      <c r="R180" s="41"/>
      <c r="S180" s="41"/>
      <c r="T180" s="41"/>
      <c r="U180" s="41"/>
      <c r="V180" s="41"/>
      <c r="W180" s="41"/>
      <c r="X180" s="41"/>
    </row>
    <row r="181" spans="1:24" ht="15.75">
      <c r="A181" s="40"/>
      <c r="B181" s="27"/>
      <c r="C181" s="29"/>
      <c r="D181" s="41"/>
      <c r="E181" s="41"/>
      <c r="F181" s="41"/>
      <c r="G181" s="41"/>
      <c r="H181" s="41"/>
      <c r="I181" s="41"/>
      <c r="J181" s="41"/>
      <c r="K181" s="41"/>
      <c r="L181" s="41"/>
      <c r="M181" s="41"/>
      <c r="N181" s="41"/>
      <c r="O181" s="41"/>
      <c r="P181" s="41"/>
      <c r="Q181" s="41"/>
      <c r="R181" s="41"/>
      <c r="S181" s="41"/>
      <c r="T181" s="41"/>
      <c r="U181" s="41"/>
      <c r="V181" s="41"/>
      <c r="W181" s="41"/>
      <c r="X181" s="41"/>
    </row>
    <row r="182" spans="1:24" ht="15.75">
      <c r="A182" s="40"/>
      <c r="B182" s="27"/>
      <c r="C182" s="29"/>
      <c r="D182" s="41"/>
      <c r="E182" s="41"/>
      <c r="F182" s="41"/>
      <c r="G182" s="41"/>
      <c r="H182" s="41"/>
      <c r="I182" s="41"/>
      <c r="J182" s="41"/>
      <c r="K182" s="41"/>
      <c r="L182" s="41"/>
      <c r="M182" s="41"/>
      <c r="N182" s="41"/>
      <c r="O182" s="41"/>
      <c r="P182" s="41"/>
      <c r="Q182" s="41"/>
      <c r="R182" s="41"/>
      <c r="S182" s="41"/>
      <c r="T182" s="41"/>
      <c r="U182" s="41"/>
      <c r="V182" s="41"/>
      <c r="W182" s="41"/>
      <c r="X182" s="41"/>
    </row>
    <row r="183" spans="1:24" ht="15.75">
      <c r="A183" s="40"/>
      <c r="B183" s="27"/>
      <c r="C183" s="29"/>
      <c r="D183" s="41"/>
      <c r="E183" s="41"/>
      <c r="F183" s="41"/>
      <c r="G183" s="41"/>
      <c r="H183" s="41"/>
      <c r="I183" s="41"/>
      <c r="J183" s="41"/>
      <c r="K183" s="41"/>
      <c r="L183" s="41"/>
      <c r="M183" s="41"/>
      <c r="N183" s="41"/>
      <c r="O183" s="41"/>
      <c r="P183" s="41"/>
      <c r="Q183" s="41"/>
      <c r="R183" s="41"/>
      <c r="S183" s="41"/>
      <c r="T183" s="41"/>
      <c r="U183" s="41"/>
      <c r="V183" s="41"/>
      <c r="W183" s="41"/>
      <c r="X183" s="41"/>
    </row>
    <row r="184" spans="1:24" ht="15.75">
      <c r="A184" s="40"/>
      <c r="B184" s="27"/>
      <c r="C184" s="29"/>
      <c r="D184" s="41"/>
      <c r="E184" s="41"/>
      <c r="F184" s="41"/>
      <c r="G184" s="41"/>
      <c r="H184" s="41"/>
      <c r="I184" s="41"/>
      <c r="J184" s="41"/>
      <c r="K184" s="41"/>
      <c r="L184" s="41"/>
      <c r="M184" s="41"/>
      <c r="N184" s="41"/>
      <c r="O184" s="41"/>
      <c r="P184" s="41"/>
      <c r="Q184" s="41"/>
      <c r="R184" s="41"/>
      <c r="S184" s="41"/>
      <c r="T184" s="41"/>
      <c r="U184" s="41"/>
      <c r="V184" s="41"/>
      <c r="W184" s="41"/>
      <c r="X184" s="41"/>
    </row>
    <row r="185" spans="1:24" ht="15.75">
      <c r="A185" s="40"/>
      <c r="B185" s="27"/>
      <c r="C185" s="29"/>
      <c r="D185" s="41"/>
      <c r="E185" s="41"/>
      <c r="F185" s="41"/>
      <c r="G185" s="41"/>
      <c r="H185" s="41"/>
      <c r="I185" s="41"/>
      <c r="J185" s="41"/>
      <c r="K185" s="41"/>
      <c r="L185" s="41"/>
      <c r="M185" s="41"/>
      <c r="N185" s="41"/>
      <c r="O185" s="41"/>
      <c r="P185" s="41"/>
      <c r="Q185" s="41"/>
      <c r="R185" s="41"/>
      <c r="S185" s="41"/>
      <c r="T185" s="41"/>
      <c r="U185" s="41"/>
      <c r="V185" s="41"/>
      <c r="W185" s="41"/>
      <c r="X185" s="41"/>
    </row>
    <row r="186" spans="1:24" ht="15.75">
      <c r="A186" s="40"/>
      <c r="B186" s="27"/>
      <c r="C186" s="29"/>
      <c r="D186" s="41"/>
      <c r="E186" s="41"/>
      <c r="F186" s="41"/>
      <c r="G186" s="41"/>
      <c r="H186" s="41"/>
      <c r="I186" s="41"/>
      <c r="J186" s="41"/>
      <c r="K186" s="41"/>
      <c r="L186" s="41"/>
      <c r="M186" s="41"/>
      <c r="N186" s="41"/>
      <c r="O186" s="41"/>
      <c r="P186" s="41"/>
      <c r="Q186" s="41"/>
      <c r="R186" s="41"/>
      <c r="S186" s="41"/>
      <c r="T186" s="41"/>
      <c r="U186" s="41"/>
      <c r="V186" s="41"/>
      <c r="W186" s="41"/>
      <c r="X186" s="41"/>
    </row>
    <row r="187" spans="1:24" ht="15.75">
      <c r="A187" s="40"/>
      <c r="B187" s="27"/>
      <c r="C187" s="29"/>
      <c r="D187" s="41"/>
      <c r="E187" s="41"/>
      <c r="F187" s="41"/>
      <c r="G187" s="41"/>
      <c r="H187" s="41"/>
      <c r="I187" s="41"/>
      <c r="J187" s="41"/>
      <c r="K187" s="41"/>
      <c r="L187" s="41"/>
      <c r="M187" s="41"/>
      <c r="N187" s="41"/>
      <c r="O187" s="41"/>
      <c r="P187" s="41"/>
      <c r="Q187" s="41"/>
      <c r="R187" s="41"/>
      <c r="S187" s="41"/>
      <c r="T187" s="41"/>
      <c r="U187" s="41"/>
      <c r="V187" s="41"/>
      <c r="W187" s="41"/>
      <c r="X187" s="41"/>
    </row>
    <row r="188" spans="1:24" ht="15.75">
      <c r="A188" s="40"/>
      <c r="B188" s="27"/>
      <c r="C188" s="29"/>
      <c r="D188" s="41"/>
      <c r="E188" s="41"/>
      <c r="F188" s="41"/>
      <c r="G188" s="41"/>
      <c r="H188" s="41"/>
      <c r="I188" s="41"/>
      <c r="J188" s="41"/>
      <c r="K188" s="41"/>
      <c r="L188" s="41"/>
      <c r="M188" s="41"/>
      <c r="N188" s="41"/>
      <c r="O188" s="41"/>
      <c r="P188" s="41"/>
      <c r="Q188" s="41"/>
      <c r="R188" s="41"/>
      <c r="S188" s="41"/>
      <c r="T188" s="41"/>
      <c r="U188" s="41"/>
      <c r="V188" s="41"/>
      <c r="W188" s="41"/>
      <c r="X188" s="41"/>
    </row>
    <row r="189" spans="1:24" ht="15.75">
      <c r="A189" s="40"/>
      <c r="B189" s="27"/>
      <c r="C189" s="29"/>
      <c r="D189" s="41"/>
      <c r="E189" s="41"/>
      <c r="F189" s="41"/>
      <c r="G189" s="41"/>
      <c r="H189" s="41"/>
      <c r="I189" s="41"/>
      <c r="J189" s="41"/>
      <c r="K189" s="41"/>
      <c r="L189" s="41"/>
      <c r="M189" s="41"/>
      <c r="N189" s="41"/>
      <c r="O189" s="41"/>
      <c r="P189" s="41"/>
      <c r="Q189" s="41"/>
      <c r="R189" s="41"/>
      <c r="S189" s="41"/>
      <c r="T189" s="41"/>
      <c r="U189" s="41"/>
      <c r="V189" s="41"/>
      <c r="W189" s="41"/>
      <c r="X189" s="41"/>
    </row>
    <row r="190" spans="1:24">
      <c r="A190" s="3"/>
      <c r="B190" s="3"/>
      <c r="C190" s="29"/>
      <c r="D190" s="41"/>
      <c r="E190" s="41"/>
      <c r="F190" s="41"/>
      <c r="G190" s="41"/>
      <c r="H190" s="41"/>
      <c r="I190" s="41"/>
      <c r="J190" s="41"/>
      <c r="K190" s="41"/>
      <c r="L190" s="41"/>
      <c r="M190" s="41"/>
      <c r="N190" s="41"/>
      <c r="O190" s="41"/>
      <c r="P190" s="41"/>
      <c r="Q190" s="41"/>
      <c r="R190" s="41"/>
      <c r="S190" s="41"/>
      <c r="T190" s="41"/>
      <c r="U190" s="41"/>
      <c r="V190" s="41"/>
      <c r="W190" s="41"/>
      <c r="X190" s="41"/>
    </row>
    <row r="191" spans="1:24" ht="15.75">
      <c r="A191" s="40"/>
      <c r="B191" s="27"/>
      <c r="C191" s="29"/>
      <c r="D191" s="41"/>
      <c r="E191" s="41"/>
      <c r="F191" s="41"/>
      <c r="G191" s="41"/>
      <c r="H191" s="41"/>
      <c r="I191" s="41"/>
      <c r="J191" s="41"/>
      <c r="K191" s="41"/>
      <c r="L191" s="41"/>
      <c r="M191" s="41"/>
      <c r="N191" s="41"/>
      <c r="O191" s="41"/>
      <c r="P191" s="41"/>
      <c r="Q191" s="41"/>
      <c r="R191" s="41"/>
      <c r="S191" s="41"/>
      <c r="T191" s="41"/>
      <c r="U191" s="41"/>
      <c r="V191" s="41"/>
      <c r="W191" s="41"/>
      <c r="X191" s="41"/>
    </row>
    <row r="192" spans="1:24" ht="15.75">
      <c r="A192" s="40"/>
      <c r="B192" s="27"/>
      <c r="C192" s="29"/>
      <c r="D192" s="41"/>
      <c r="E192" s="41"/>
      <c r="F192" s="41"/>
      <c r="G192" s="41"/>
      <c r="H192" s="41"/>
      <c r="I192" s="41"/>
      <c r="J192" s="41"/>
      <c r="K192" s="41"/>
      <c r="L192" s="41"/>
      <c r="M192" s="41"/>
      <c r="N192" s="41"/>
      <c r="O192" s="41"/>
      <c r="P192" s="41"/>
      <c r="Q192" s="41"/>
      <c r="R192" s="41"/>
      <c r="S192" s="41"/>
      <c r="T192" s="41"/>
      <c r="U192" s="41"/>
      <c r="V192" s="41"/>
      <c r="W192" s="41"/>
      <c r="X192" s="41"/>
    </row>
    <row r="193" spans="1:24" ht="15.75">
      <c r="A193" s="40"/>
      <c r="B193" s="27"/>
      <c r="C193" s="29"/>
      <c r="D193" s="41"/>
      <c r="E193" s="41"/>
      <c r="F193" s="41"/>
      <c r="G193" s="41"/>
      <c r="H193" s="41"/>
      <c r="I193" s="41"/>
      <c r="J193" s="41"/>
      <c r="K193" s="41"/>
      <c r="L193" s="41"/>
      <c r="M193" s="41"/>
      <c r="N193" s="41"/>
      <c r="O193" s="41"/>
      <c r="P193" s="41"/>
      <c r="Q193" s="41"/>
      <c r="R193" s="41"/>
      <c r="S193" s="41"/>
      <c r="T193" s="41"/>
      <c r="U193" s="41"/>
      <c r="V193" s="41"/>
      <c r="W193" s="41"/>
      <c r="X193" s="41"/>
    </row>
    <row r="194" spans="1:24" ht="15.75">
      <c r="A194" s="40"/>
      <c r="B194" s="27"/>
      <c r="C194" s="29"/>
      <c r="D194" s="41"/>
      <c r="E194" s="41"/>
      <c r="F194" s="41"/>
      <c r="G194" s="41"/>
      <c r="H194" s="41"/>
      <c r="I194" s="41"/>
      <c r="J194" s="41"/>
      <c r="K194" s="41"/>
      <c r="L194" s="41"/>
      <c r="M194" s="41"/>
      <c r="N194" s="41"/>
      <c r="O194" s="41"/>
      <c r="P194" s="41"/>
      <c r="Q194" s="41"/>
      <c r="R194" s="41"/>
      <c r="S194" s="41"/>
      <c r="T194" s="41"/>
      <c r="U194" s="41"/>
      <c r="V194" s="41"/>
      <c r="W194" s="41"/>
      <c r="X194" s="41"/>
    </row>
    <row r="195" spans="1:24" ht="15.75">
      <c r="A195" s="40"/>
      <c r="B195" s="27"/>
      <c r="C195" s="29"/>
      <c r="D195" s="41"/>
      <c r="E195" s="41"/>
      <c r="F195" s="41"/>
      <c r="G195" s="41"/>
      <c r="H195" s="41"/>
      <c r="I195" s="41"/>
      <c r="J195" s="41"/>
      <c r="K195" s="41"/>
      <c r="L195" s="41"/>
      <c r="M195" s="41"/>
      <c r="N195" s="41"/>
      <c r="O195" s="41"/>
      <c r="P195" s="41"/>
      <c r="Q195" s="41"/>
      <c r="R195" s="41"/>
      <c r="S195" s="41"/>
      <c r="T195" s="41"/>
      <c r="U195" s="41"/>
      <c r="V195" s="41"/>
      <c r="W195" s="41"/>
      <c r="X195" s="41"/>
    </row>
    <row r="196" spans="1:24" ht="15.75">
      <c r="A196" s="40"/>
      <c r="B196" s="27"/>
      <c r="C196" s="29"/>
      <c r="D196" s="41"/>
      <c r="E196" s="41"/>
      <c r="F196" s="41"/>
      <c r="G196" s="41"/>
      <c r="H196" s="41"/>
      <c r="I196" s="41"/>
      <c r="J196" s="41"/>
      <c r="K196" s="41"/>
      <c r="L196" s="41"/>
      <c r="M196" s="41"/>
      <c r="N196" s="41"/>
      <c r="O196" s="41"/>
      <c r="P196" s="41"/>
      <c r="Q196" s="41"/>
      <c r="R196" s="41"/>
      <c r="S196" s="41"/>
      <c r="T196" s="41"/>
      <c r="U196" s="41"/>
      <c r="V196" s="41"/>
      <c r="W196" s="41"/>
      <c r="X196" s="41"/>
    </row>
    <row r="197" spans="1:24" ht="15.75">
      <c r="A197" s="40"/>
      <c r="B197" s="27"/>
      <c r="C197" s="29"/>
      <c r="D197" s="41"/>
      <c r="E197" s="41"/>
      <c r="F197" s="41"/>
      <c r="G197" s="41"/>
      <c r="H197" s="41"/>
      <c r="I197" s="41"/>
      <c r="J197" s="41"/>
      <c r="K197" s="41"/>
      <c r="L197" s="41"/>
      <c r="M197" s="41"/>
      <c r="N197" s="41"/>
      <c r="O197" s="41"/>
      <c r="P197" s="41"/>
      <c r="Q197" s="41"/>
      <c r="R197" s="41"/>
      <c r="S197" s="41"/>
      <c r="T197" s="41"/>
      <c r="U197" s="41"/>
      <c r="V197" s="41"/>
      <c r="W197" s="41"/>
      <c r="X197" s="41"/>
    </row>
    <row r="198" spans="1:24" ht="15.75">
      <c r="A198" s="40"/>
      <c r="B198" s="27"/>
      <c r="C198" s="29"/>
      <c r="D198" s="41"/>
      <c r="E198" s="41"/>
      <c r="F198" s="41"/>
      <c r="G198" s="41"/>
      <c r="H198" s="41"/>
      <c r="I198" s="41"/>
      <c r="J198" s="41"/>
      <c r="K198" s="41"/>
      <c r="L198" s="41"/>
      <c r="M198" s="41"/>
      <c r="N198" s="41"/>
      <c r="O198" s="41"/>
      <c r="P198" s="41"/>
      <c r="Q198" s="41"/>
      <c r="R198" s="41"/>
      <c r="S198" s="41"/>
      <c r="T198" s="41"/>
      <c r="U198" s="41"/>
      <c r="V198" s="41"/>
      <c r="W198" s="41"/>
      <c r="X198" s="41"/>
    </row>
  </sheetData>
  <sheetProtection selectLockedCells="1" selectUnlockedCells="1"/>
  <pageMargins left="0.7" right="0.7" top="0.75" bottom="0.75" header="0.51180555555555551" footer="0.51180555555555551"/>
  <pageSetup firstPageNumber="0" orientation="portrait"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dimension ref="A1:E7"/>
  <sheetViews>
    <sheetView workbookViewId="0">
      <selection activeCell="B2" sqref="B2"/>
    </sheetView>
  </sheetViews>
  <sheetFormatPr baseColWidth="10" defaultRowHeight="15"/>
  <cols>
    <col min="1" max="1" width="9.140625" customWidth="1"/>
    <col min="2" max="2" width="37.85546875" customWidth="1"/>
    <col min="3" max="3" width="23" customWidth="1"/>
    <col min="4" max="4" width="17" customWidth="1"/>
    <col min="5" max="5" width="29.28515625" customWidth="1"/>
  </cols>
  <sheetData>
    <row r="1" spans="1:5">
      <c r="B1" s="47" t="s">
        <v>289</v>
      </c>
      <c r="C1" s="1"/>
      <c r="D1" s="1"/>
      <c r="E1" s="1"/>
    </row>
    <row r="2" spans="1:5">
      <c r="B2" s="47">
        <v>10077584</v>
      </c>
      <c r="C2" s="1"/>
      <c r="D2" s="1"/>
      <c r="E2" s="1"/>
    </row>
    <row r="3" spans="1:5">
      <c r="B3" s="1"/>
      <c r="C3" s="1"/>
      <c r="D3" s="1"/>
      <c r="E3" s="1"/>
    </row>
    <row r="4" spans="1:5">
      <c r="B4" s="48" t="s">
        <v>270</v>
      </c>
      <c r="C4" s="48" t="s">
        <v>271</v>
      </c>
      <c r="D4" s="49" t="s">
        <v>272</v>
      </c>
      <c r="E4" s="48" t="s">
        <v>273</v>
      </c>
    </row>
    <row r="5" spans="1:5" s="117" customFormat="1">
      <c r="A5" s="114"/>
      <c r="B5" s="115"/>
      <c r="C5" s="102"/>
      <c r="D5" s="116"/>
      <c r="E5" s="102"/>
    </row>
    <row r="6" spans="1:5" s="117" customFormat="1">
      <c r="A6" s="114"/>
      <c r="B6" s="115"/>
      <c r="C6" s="102"/>
      <c r="D6" s="116"/>
      <c r="E6" s="102"/>
    </row>
    <row r="7" spans="1:5">
      <c r="D7" s="101">
        <f>SUM(D5:D6)</f>
        <v>0</v>
      </c>
    </row>
  </sheetData>
  <sheetProtection selectLockedCells="1" selectUnlockedCells="1"/>
  <pageMargins left="0.15763888888888888" right="3.9583333333333331E-2" top="0.74791666666666667" bottom="0.74791666666666667" header="0.51180555555555551" footer="0.51180555555555551"/>
  <pageSetup scale="80" firstPageNumber="0"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1">
    <pageSetUpPr fitToPage="1"/>
  </sheetPr>
  <dimension ref="A1:I27"/>
  <sheetViews>
    <sheetView showGridLines="0" zoomScaleNormal="100" zoomScaleSheetLayoutView="95" workbookViewId="0">
      <selection activeCell="H12" sqref="H12"/>
    </sheetView>
  </sheetViews>
  <sheetFormatPr baseColWidth="10" defaultColWidth="9.140625" defaultRowHeight="15"/>
  <cols>
    <col min="1" max="1" width="47" style="186" customWidth="1"/>
    <col min="2" max="2" width="14.85546875" style="130" customWidth="1"/>
    <col min="3" max="3" width="10.28515625" style="130" customWidth="1"/>
    <col min="4" max="4" width="9.140625" style="130"/>
    <col min="5" max="5" width="15.28515625" style="130" customWidth="1"/>
    <col min="6" max="6" width="16.5703125" style="130" customWidth="1"/>
    <col min="7" max="7" width="17.28515625" style="131" customWidth="1"/>
    <col min="8" max="8" width="21.7109375" style="130" customWidth="1"/>
    <col min="9" max="16384" width="9.140625" style="130"/>
  </cols>
  <sheetData>
    <row r="1" spans="1:8" ht="15.75">
      <c r="A1" s="129" t="s">
        <v>391</v>
      </c>
    </row>
    <row r="2" spans="1:8">
      <c r="A2" s="186" t="s">
        <v>392</v>
      </c>
    </row>
    <row r="3" spans="1:8">
      <c r="A3" s="186" t="s">
        <v>393</v>
      </c>
      <c r="B3" s="232">
        <v>46201</v>
      </c>
    </row>
    <row r="5" spans="1:8">
      <c r="A5" s="187" t="s">
        <v>394</v>
      </c>
      <c r="B5" s="132" t="s">
        <v>48</v>
      </c>
      <c r="C5" s="133" t="s">
        <v>395</v>
      </c>
      <c r="D5" s="132" t="s">
        <v>396</v>
      </c>
      <c r="E5" s="133" t="s">
        <v>225</v>
      </c>
      <c r="F5" s="132" t="s">
        <v>397</v>
      </c>
      <c r="G5" s="134" t="s">
        <v>398</v>
      </c>
      <c r="H5" s="132" t="s">
        <v>398</v>
      </c>
    </row>
    <row r="6" spans="1:8">
      <c r="A6" s="188" t="s">
        <v>399</v>
      </c>
      <c r="B6" s="135"/>
      <c r="C6" s="136" t="s">
        <v>400</v>
      </c>
      <c r="D6" s="135"/>
      <c r="E6" s="136" t="s">
        <v>401</v>
      </c>
      <c r="F6" s="135" t="s">
        <v>402</v>
      </c>
      <c r="G6" s="137"/>
      <c r="H6" s="135" t="s">
        <v>130</v>
      </c>
    </row>
    <row r="7" spans="1:8" ht="9.75" customHeight="1"/>
    <row r="8" spans="1:8" ht="15.75">
      <c r="A8" s="129" t="s">
        <v>701</v>
      </c>
    </row>
    <row r="9" spans="1:8">
      <c r="A9" s="978" t="s">
        <v>419</v>
      </c>
      <c r="B9" s="171" t="s">
        <v>714</v>
      </c>
      <c r="C9" s="171" t="s">
        <v>715</v>
      </c>
      <c r="D9" s="171"/>
      <c r="E9" s="171"/>
      <c r="F9" s="171" t="s">
        <v>227</v>
      </c>
      <c r="G9" s="1254">
        <v>5993.34</v>
      </c>
      <c r="H9" s="273"/>
    </row>
    <row r="10" spans="1:8">
      <c r="A10" t="s">
        <v>744</v>
      </c>
      <c r="B10" s="171" t="s">
        <v>714</v>
      </c>
      <c r="C10" s="171" t="s">
        <v>715</v>
      </c>
      <c r="D10" s="171"/>
      <c r="E10" s="171"/>
      <c r="F10" s="171" t="s">
        <v>227</v>
      </c>
      <c r="G10" s="1254">
        <v>2089.4899999999998</v>
      </c>
      <c r="H10" s="131"/>
    </row>
    <row r="11" spans="1:8">
      <c r="B11" s="171"/>
      <c r="C11" s="171"/>
      <c r="D11" s="171"/>
      <c r="E11" s="171"/>
      <c r="F11" s="171"/>
      <c r="G11" s="234"/>
      <c r="H11" s="273">
        <f>+G9+G10</f>
        <v>8082.83</v>
      </c>
    </row>
    <row r="12" spans="1:8">
      <c r="B12" s="171"/>
      <c r="C12" s="171"/>
      <c r="D12" s="171"/>
      <c r="E12" s="171"/>
      <c r="F12" s="171"/>
      <c r="G12" s="234"/>
      <c r="H12" s="273"/>
    </row>
    <row r="13" spans="1:8">
      <c r="B13" s="171"/>
      <c r="C13" s="171"/>
      <c r="D13" s="171"/>
      <c r="E13" s="171"/>
      <c r="F13" s="171"/>
      <c r="G13" s="234"/>
      <c r="H13" s="273"/>
    </row>
    <row r="14" spans="1:8">
      <c r="B14" s="171"/>
      <c r="C14" s="171"/>
      <c r="D14" s="171"/>
      <c r="E14" s="171"/>
      <c r="F14" s="171"/>
      <c r="G14" s="234"/>
      <c r="H14" s="273"/>
    </row>
    <row r="15" spans="1:8" ht="15.75" thickBot="1">
      <c r="B15" s="171"/>
      <c r="C15" s="171"/>
      <c r="D15" s="171"/>
      <c r="E15" s="171"/>
      <c r="F15" s="171"/>
      <c r="G15" s="250" t="s">
        <v>129</v>
      </c>
      <c r="H15" s="706"/>
    </row>
    <row r="16" spans="1:8" ht="24" customHeight="1" thickTop="1">
      <c r="A16" s="1000" t="s">
        <v>700</v>
      </c>
      <c r="G16" s="250"/>
      <c r="H16" s="943">
        <f>+H11</f>
        <v>8082.83</v>
      </c>
    </row>
    <row r="17" spans="1:9" ht="24" customHeight="1">
      <c r="A17" s="281"/>
    </row>
    <row r="18" spans="1:9" ht="12.75" customHeight="1"/>
    <row r="19" spans="1:9" ht="12.75" customHeight="1"/>
    <row r="20" spans="1:9">
      <c r="A20" s="130"/>
      <c r="H20" s="138"/>
    </row>
    <row r="21" spans="1:9">
      <c r="A21" s="130"/>
      <c r="H21" s="138"/>
    </row>
    <row r="22" spans="1:9">
      <c r="A22" s="130"/>
      <c r="F22" s="139"/>
      <c r="G22" s="139"/>
      <c r="H22" s="139"/>
      <c r="I22" s="139"/>
    </row>
    <row r="23" spans="1:9">
      <c r="A23" s="186" t="s">
        <v>403</v>
      </c>
      <c r="F23" s="155" t="s">
        <v>483</v>
      </c>
      <c r="G23" s="138"/>
    </row>
    <row r="25" spans="1:9">
      <c r="C25" s="131"/>
    </row>
    <row r="27" spans="1:9">
      <c r="B27" s="150"/>
      <c r="C27" s="150"/>
      <c r="D27" s="150"/>
      <c r="E27" s="150"/>
      <c r="F27" s="150"/>
      <c r="G27" s="151"/>
      <c r="H27" s="150"/>
    </row>
  </sheetData>
  <conditionalFormatting sqref="A9">
    <cfRule type="duplicateValues" dxfId="9" priority="4"/>
    <cfRule type="duplicateValues" dxfId="8" priority="5"/>
    <cfRule type="duplicateValues" dxfId="7" priority="6"/>
  </conditionalFormatting>
  <conditionalFormatting sqref="A23:A1048576 A1:A8">
    <cfRule type="duplicateValues" dxfId="6" priority="845"/>
  </conditionalFormatting>
  <pageMargins left="0.59055118110236227" right="0.19685039370078741" top="0.19685039370078741" bottom="0.19685039370078741" header="0.31496062992125984" footer="0.31496062992125984"/>
  <pageSetup scale="80" fitToHeight="0" orientation="landscape" blackAndWhite="1"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2">
    <tabColor rgb="FFFF0000"/>
  </sheetPr>
  <dimension ref="A1:K41"/>
  <sheetViews>
    <sheetView showGridLines="0" view="pageBreakPreview" zoomScale="83" zoomScaleNormal="80" zoomScaleSheetLayoutView="83" workbookViewId="0">
      <selection activeCell="H15" sqref="H15"/>
    </sheetView>
  </sheetViews>
  <sheetFormatPr baseColWidth="10" defaultColWidth="9.140625" defaultRowHeight="18.75"/>
  <cols>
    <col min="1" max="1" width="46.85546875" style="141" customWidth="1"/>
    <col min="2" max="2" width="17.85546875" style="160" customWidth="1"/>
    <col min="3" max="3" width="11.28515625" style="160" customWidth="1"/>
    <col min="4" max="4" width="13.5703125" style="164" customWidth="1"/>
    <col min="5" max="5" width="15.85546875" style="157" customWidth="1"/>
    <col min="6" max="6" width="9.140625" style="160"/>
    <col min="7" max="7" width="18.7109375" style="160" customWidth="1"/>
    <col min="8" max="8" width="16.42578125" style="160" bestFit="1" customWidth="1"/>
    <col min="9" max="9" width="20.140625" style="166" bestFit="1" customWidth="1"/>
    <col min="10" max="10" width="25.42578125" style="160" customWidth="1"/>
    <col min="11" max="11" width="15.42578125" style="169" customWidth="1"/>
    <col min="12" max="16384" width="9.140625" style="141"/>
  </cols>
  <sheetData>
    <row r="1" spans="1:11">
      <c r="A1" s="140" t="s">
        <v>391</v>
      </c>
    </row>
    <row r="2" spans="1:11">
      <c r="A2" s="141" t="s">
        <v>392</v>
      </c>
    </row>
    <row r="3" spans="1:11">
      <c r="A3" s="141" t="s">
        <v>393</v>
      </c>
      <c r="B3" s="233">
        <v>46201</v>
      </c>
    </row>
    <row r="4" spans="1:11" ht="19.5" customHeight="1">
      <c r="A4" s="142" t="s">
        <v>394</v>
      </c>
      <c r="B4" s="174" t="s">
        <v>48</v>
      </c>
      <c r="C4" s="219" t="s">
        <v>395</v>
      </c>
      <c r="D4" s="1384" t="s">
        <v>494</v>
      </c>
      <c r="E4" s="1385" t="s">
        <v>404</v>
      </c>
      <c r="F4" s="174" t="s">
        <v>396</v>
      </c>
      <c r="G4" s="220" t="s">
        <v>225</v>
      </c>
      <c r="H4" s="174" t="s">
        <v>397</v>
      </c>
      <c r="I4" s="221" t="s">
        <v>398</v>
      </c>
      <c r="J4" s="174" t="s">
        <v>398</v>
      </c>
    </row>
    <row r="5" spans="1:11" ht="14.25" customHeight="1">
      <c r="A5" s="143" t="s">
        <v>399</v>
      </c>
      <c r="B5" s="175" t="s">
        <v>52</v>
      </c>
      <c r="C5" s="222" t="s">
        <v>400</v>
      </c>
      <c r="D5" s="1384"/>
      <c r="E5" s="1386"/>
      <c r="F5" s="175"/>
      <c r="G5" s="223" t="s">
        <v>401</v>
      </c>
      <c r="H5" s="175" t="s">
        <v>402</v>
      </c>
      <c r="I5" s="224"/>
      <c r="J5" s="175" t="s">
        <v>130</v>
      </c>
    </row>
    <row r="6" spans="1:11">
      <c r="A6" s="140" t="s">
        <v>698</v>
      </c>
      <c r="I6" s="225"/>
    </row>
    <row r="7" spans="1:11" ht="19.5" thickBot="1">
      <c r="A7" s="263" t="s">
        <v>405</v>
      </c>
      <c r="B7" s="193"/>
      <c r="C7" s="194"/>
      <c r="D7" s="272"/>
      <c r="E7" s="272">
        <v>424</v>
      </c>
      <c r="F7" s="194" t="s">
        <v>224</v>
      </c>
      <c r="G7" s="264" t="s">
        <v>699</v>
      </c>
      <c r="H7" s="227" t="s">
        <v>407</v>
      </c>
      <c r="I7" s="230">
        <v>173823.58000000005</v>
      </c>
      <c r="J7" s="196"/>
      <c r="K7" s="170" t="e">
        <f>#REF!</f>
        <v>#REF!</v>
      </c>
    </row>
    <row r="8" spans="1:11" ht="19.5" thickTop="1">
      <c r="A8" s="978" t="s">
        <v>419</v>
      </c>
      <c r="B8" s="157" t="s">
        <v>11</v>
      </c>
      <c r="C8" s="158" t="s">
        <v>667</v>
      </c>
      <c r="F8" s="158"/>
      <c r="G8" s="158"/>
      <c r="H8" s="165" t="s">
        <v>223</v>
      </c>
      <c r="I8" s="166">
        <v>5993.34</v>
      </c>
      <c r="J8" s="176"/>
      <c r="K8" s="170"/>
    </row>
    <row r="9" spans="1:11">
      <c r="A9" s="978" t="s">
        <v>744</v>
      </c>
      <c r="B9" s="157" t="s">
        <v>11</v>
      </c>
      <c r="C9" s="158" t="s">
        <v>667</v>
      </c>
      <c r="F9" s="158"/>
      <c r="G9" s="158"/>
      <c r="H9" s="165" t="s">
        <v>223</v>
      </c>
      <c r="I9" s="166">
        <v>2089.4899999999998</v>
      </c>
      <c r="J9" s="166"/>
    </row>
    <row r="10" spans="1:11">
      <c r="A10" s="160"/>
      <c r="B10" s="157"/>
      <c r="C10" s="158"/>
      <c r="F10" s="158"/>
      <c r="G10" s="158"/>
      <c r="H10" s="165"/>
    </row>
    <row r="11" spans="1:11">
      <c r="A11" s="160"/>
      <c r="B11" s="157"/>
      <c r="C11" s="158"/>
      <c r="F11" s="158"/>
      <c r="G11" s="158"/>
      <c r="H11" s="165"/>
      <c r="J11" s="177"/>
    </row>
    <row r="12" spans="1:11">
      <c r="A12" s="160"/>
      <c r="B12" s="157"/>
      <c r="C12" s="158"/>
      <c r="F12" s="158"/>
      <c r="G12" s="158"/>
      <c r="H12" s="165"/>
      <c r="J12" s="177"/>
    </row>
    <row r="13" spans="1:11">
      <c r="A13" s="160" t="s">
        <v>52</v>
      </c>
      <c r="B13" s="157" t="s">
        <v>52</v>
      </c>
      <c r="C13" s="158" t="s">
        <v>52</v>
      </c>
      <c r="F13" s="158"/>
      <c r="G13" s="158"/>
      <c r="H13" s="165" t="s">
        <v>52</v>
      </c>
      <c r="I13" s="166" t="s">
        <v>52</v>
      </c>
      <c r="J13" s="177">
        <f>+I8+I9+I10+I11+I12</f>
        <v>8082.83</v>
      </c>
    </row>
    <row r="14" spans="1:11">
      <c r="A14" s="160"/>
      <c r="B14" s="157"/>
      <c r="C14" s="158"/>
      <c r="F14" s="158"/>
      <c r="G14" s="158"/>
      <c r="H14" s="165"/>
      <c r="I14" s="228"/>
      <c r="J14" s="177"/>
    </row>
    <row r="15" spans="1:11">
      <c r="A15" s="160"/>
      <c r="B15" s="157"/>
      <c r="C15" s="158"/>
      <c r="F15" s="158"/>
      <c r="G15" s="158"/>
      <c r="H15" s="165"/>
      <c r="I15" s="228"/>
      <c r="J15" s="177"/>
    </row>
    <row r="16" spans="1:11">
      <c r="A16" s="161"/>
      <c r="B16" s="157"/>
      <c r="C16" s="158"/>
      <c r="F16" s="158"/>
      <c r="G16" s="158"/>
      <c r="J16" s="178"/>
    </row>
    <row r="17" spans="1:11" ht="19.5" thickBot="1">
      <c r="A17" s="263"/>
      <c r="B17" s="193"/>
      <c r="C17" s="194"/>
      <c r="D17" s="229"/>
      <c r="E17" s="272"/>
      <c r="F17" s="194"/>
      <c r="G17" s="264"/>
      <c r="H17" s="227"/>
      <c r="I17" s="230"/>
      <c r="J17" s="195"/>
    </row>
    <row r="18" spans="1:11" ht="19.5" thickTop="1">
      <c r="A18" s="159"/>
      <c r="B18" s="157"/>
      <c r="C18" s="158"/>
      <c r="F18" s="158"/>
      <c r="H18" s="165"/>
      <c r="J18" s="950"/>
      <c r="K18" s="170"/>
    </row>
    <row r="19" spans="1:11">
      <c r="A19" s="159"/>
      <c r="B19" s="157"/>
      <c r="C19" s="158"/>
      <c r="F19" s="158"/>
      <c r="H19" s="165"/>
      <c r="J19" s="969"/>
      <c r="K19" s="170"/>
    </row>
    <row r="20" spans="1:11">
      <c r="A20" s="159"/>
      <c r="B20" s="157"/>
      <c r="C20" s="158"/>
      <c r="F20" s="158"/>
      <c r="H20" s="165"/>
      <c r="J20" s="179"/>
      <c r="K20" s="170"/>
    </row>
    <row r="21" spans="1:11">
      <c r="A21" s="160"/>
      <c r="B21" s="157"/>
      <c r="C21" s="158"/>
      <c r="F21" s="158"/>
      <c r="H21" s="165"/>
      <c r="J21" s="179"/>
      <c r="K21" s="170"/>
    </row>
    <row r="22" spans="1:11" ht="19.5" thickBot="1">
      <c r="A22" s="160"/>
      <c r="I22" s="160"/>
      <c r="J22" s="180">
        <f>+I17+J19</f>
        <v>0</v>
      </c>
      <c r="K22" s="170" t="e">
        <f>#REF!-#REF!</f>
        <v>#REF!</v>
      </c>
    </row>
    <row r="23" spans="1:11" ht="12" customHeight="1" thickTop="1">
      <c r="A23" s="160"/>
      <c r="J23" s="178"/>
    </row>
    <row r="24" spans="1:11" ht="15.75" customHeight="1" thickBot="1">
      <c r="A24" s="160"/>
      <c r="I24" s="166" t="s">
        <v>129</v>
      </c>
      <c r="J24" s="181">
        <f>+J13+I7</f>
        <v>181906.41000000003</v>
      </c>
    </row>
    <row r="25" spans="1:11" ht="19.5" thickTop="1">
      <c r="A25" s="160"/>
      <c r="J25" s="182"/>
    </row>
    <row r="26" spans="1:11" ht="15.95" customHeight="1"/>
    <row r="27" spans="1:11" ht="15.95" customHeight="1"/>
    <row r="28" spans="1:11" ht="15.95" customHeight="1"/>
    <row r="29" spans="1:11" ht="15.95" customHeight="1">
      <c r="A29" s="160"/>
      <c r="J29" s="182"/>
    </row>
    <row r="30" spans="1:11" ht="15.95" customHeight="1" thickBot="1">
      <c r="A30" s="162"/>
      <c r="B30" s="162"/>
      <c r="H30" s="162"/>
      <c r="I30" s="231"/>
      <c r="J30" s="183"/>
    </row>
    <row r="31" spans="1:11" ht="15.95" customHeight="1">
      <c r="A31" s="160" t="s">
        <v>559</v>
      </c>
      <c r="H31" s="160" t="s">
        <v>551</v>
      </c>
      <c r="I31" s="160"/>
      <c r="J31" s="166"/>
    </row>
    <row r="32" spans="1:11" ht="15.95" customHeight="1">
      <c r="J32" s="184"/>
    </row>
    <row r="33" spans="1:10" ht="15.95" customHeight="1"/>
    <row r="34" spans="1:10" ht="15.95" customHeight="1"/>
    <row r="35" spans="1:10" ht="15.95" customHeight="1"/>
    <row r="36" spans="1:10" ht="15.95" customHeight="1">
      <c r="C36" s="228"/>
      <c r="D36" s="184"/>
      <c r="I36" s="228"/>
    </row>
    <row r="37" spans="1:10" ht="15.95" customHeight="1" thickBot="1">
      <c r="A37" s="156"/>
      <c r="B37" s="162"/>
      <c r="D37" s="184"/>
      <c r="H37" s="162"/>
      <c r="I37" s="162"/>
      <c r="J37" s="162"/>
    </row>
    <row r="38" spans="1:10">
      <c r="A38" s="141" t="s">
        <v>408</v>
      </c>
      <c r="C38" s="228"/>
      <c r="D38" s="160"/>
      <c r="H38" s="160" t="s">
        <v>409</v>
      </c>
      <c r="I38" s="160"/>
    </row>
    <row r="39" spans="1:10">
      <c r="I39" s="228"/>
    </row>
    <row r="40" spans="1:10">
      <c r="B40" s="1387" t="s">
        <v>530</v>
      </c>
      <c r="C40" s="1387"/>
      <c r="D40" s="1387"/>
      <c r="E40" s="261">
        <f>B3</f>
        <v>46201</v>
      </c>
      <c r="F40" s="1187" t="s">
        <v>785</v>
      </c>
      <c r="G40" s="262"/>
      <c r="H40" s="259"/>
      <c r="I40" s="189"/>
      <c r="J40" s="185"/>
    </row>
    <row r="41" spans="1:10">
      <c r="A41" s="260"/>
      <c r="B41" s="260"/>
      <c r="C41" s="260"/>
      <c r="D41" s="260"/>
      <c r="E41" s="260"/>
      <c r="F41" s="970"/>
      <c r="G41" s="260"/>
      <c r="I41" s="185"/>
    </row>
  </sheetData>
  <mergeCells count="3">
    <mergeCell ref="D4:D5"/>
    <mergeCell ref="E4:E5"/>
    <mergeCell ref="B40:D40"/>
  </mergeCells>
  <conditionalFormatting sqref="A8:A9">
    <cfRule type="duplicateValues" dxfId="5" priority="1"/>
    <cfRule type="duplicateValues" dxfId="4" priority="2"/>
    <cfRule type="duplicateValues" dxfId="3" priority="3"/>
  </conditionalFormatting>
  <pageMargins left="0.59055118110236227" right="0.19685039370078741" top="0.19685039370078741" bottom="0.19685039370078741" header="0.31496062992125984" footer="0.31496062992125984"/>
  <pageSetup scale="59" fitToHeight="2"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4">
    <tabColor rgb="FFFF0000"/>
  </sheetPr>
  <dimension ref="A1:K41"/>
  <sheetViews>
    <sheetView showGridLines="0" view="pageBreakPreview" zoomScale="80" zoomScaleNormal="80" zoomScaleSheetLayoutView="80" workbookViewId="0">
      <selection activeCell="B7" sqref="B7"/>
    </sheetView>
  </sheetViews>
  <sheetFormatPr baseColWidth="10" defaultColWidth="9.140625" defaultRowHeight="18.75"/>
  <cols>
    <col min="1" max="1" width="46.85546875" style="141" customWidth="1"/>
    <col min="2" max="2" width="17.85546875" style="160" customWidth="1"/>
    <col min="3" max="3" width="11.28515625" style="160" customWidth="1"/>
    <col min="4" max="4" width="13.5703125" style="164" customWidth="1"/>
    <col min="5" max="5" width="15.85546875" style="157" customWidth="1"/>
    <col min="6" max="6" width="9.140625" style="160"/>
    <col min="7" max="7" width="14" style="160" customWidth="1"/>
    <col min="8" max="8" width="16.42578125" style="160" bestFit="1" customWidth="1"/>
    <col min="9" max="9" width="20.140625" style="166" bestFit="1" customWidth="1"/>
    <col min="10" max="10" width="25.42578125" style="160" customWidth="1"/>
    <col min="11" max="11" width="15.42578125" style="169" customWidth="1"/>
    <col min="12" max="16384" width="9.140625" style="141"/>
  </cols>
  <sheetData>
    <row r="1" spans="1:11">
      <c r="A1" s="140" t="s">
        <v>11</v>
      </c>
    </row>
    <row r="2" spans="1:11">
      <c r="A2" s="141" t="s">
        <v>392</v>
      </c>
    </row>
    <row r="3" spans="1:11">
      <c r="A3" s="141" t="s">
        <v>393</v>
      </c>
      <c r="B3" s="233">
        <v>46185</v>
      </c>
    </row>
    <row r="4" spans="1:11" ht="19.5" customHeight="1">
      <c r="A4" s="142" t="s">
        <v>394</v>
      </c>
      <c r="B4" s="174" t="s">
        <v>48</v>
      </c>
      <c r="C4" s="219" t="s">
        <v>395</v>
      </c>
      <c r="D4" s="1384" t="s">
        <v>494</v>
      </c>
      <c r="E4" s="1385" t="s">
        <v>404</v>
      </c>
      <c r="F4" s="174" t="s">
        <v>396</v>
      </c>
      <c r="G4" s="220" t="s">
        <v>225</v>
      </c>
      <c r="H4" s="174" t="s">
        <v>397</v>
      </c>
      <c r="I4" s="221" t="s">
        <v>398</v>
      </c>
      <c r="J4" s="174" t="s">
        <v>398</v>
      </c>
    </row>
    <row r="5" spans="1:11" ht="14.25" customHeight="1">
      <c r="A5" s="143" t="s">
        <v>399</v>
      </c>
      <c r="B5" s="175" t="s">
        <v>52</v>
      </c>
      <c r="C5" s="222" t="s">
        <v>400</v>
      </c>
      <c r="D5" s="1384"/>
      <c r="E5" s="1386"/>
      <c r="F5" s="175"/>
      <c r="G5" s="223" t="s">
        <v>401</v>
      </c>
      <c r="H5" s="175" t="s">
        <v>402</v>
      </c>
      <c r="I5" s="224"/>
      <c r="J5" s="175" t="s">
        <v>130</v>
      </c>
    </row>
    <row r="6" spans="1:11">
      <c r="A6" s="140" t="s">
        <v>698</v>
      </c>
      <c r="I6" s="225"/>
    </row>
    <row r="7" spans="1:11" ht="19.5" thickBot="1">
      <c r="A7" s="263" t="s">
        <v>405</v>
      </c>
      <c r="B7" s="193"/>
      <c r="C7" s="194"/>
      <c r="D7" s="226"/>
      <c r="E7" s="272">
        <v>276</v>
      </c>
      <c r="F7" s="194" t="s">
        <v>224</v>
      </c>
      <c r="G7" s="264" t="s">
        <v>406</v>
      </c>
      <c r="H7" s="227" t="s">
        <v>407</v>
      </c>
      <c r="I7" s="230">
        <v>9889.36</v>
      </c>
      <c r="J7" s="196"/>
      <c r="K7" s="170" t="e">
        <f>#REF!</f>
        <v>#REF!</v>
      </c>
    </row>
    <row r="8" spans="1:11" ht="19.5" thickTop="1">
      <c r="A8" t="s">
        <v>447</v>
      </c>
      <c r="B8" s="157"/>
      <c r="C8" s="158"/>
      <c r="F8" s="158"/>
      <c r="G8" s="158"/>
      <c r="H8" s="165"/>
      <c r="I8" s="166">
        <v>1085.7</v>
      </c>
      <c r="J8" s="176"/>
      <c r="K8" s="170"/>
    </row>
    <row r="9" spans="1:11">
      <c r="A9" s="949"/>
      <c r="B9" s="157"/>
      <c r="C9" s="158"/>
      <c r="F9" s="158"/>
      <c r="G9" s="158"/>
      <c r="H9" s="165"/>
      <c r="J9" s="952"/>
    </row>
    <row r="10" spans="1:11">
      <c r="A10"/>
      <c r="B10" s="157"/>
      <c r="C10" s="158"/>
      <c r="F10" s="158"/>
      <c r="G10" s="158"/>
      <c r="H10" s="165"/>
      <c r="J10" s="969"/>
    </row>
    <row r="11" spans="1:11">
      <c r="A11"/>
      <c r="B11" s="157"/>
      <c r="C11" s="158"/>
      <c r="F11" s="158"/>
      <c r="G11" s="158"/>
      <c r="H11" s="165"/>
      <c r="J11" s="166"/>
    </row>
    <row r="12" spans="1:11">
      <c r="A12" s="160"/>
      <c r="B12" s="157"/>
      <c r="C12" s="158"/>
      <c r="F12" s="158"/>
      <c r="G12" s="158"/>
      <c r="H12" s="165"/>
      <c r="J12" s="141"/>
    </row>
    <row r="13" spans="1:11">
      <c r="A13" s="160"/>
      <c r="B13" s="157"/>
      <c r="C13" s="158"/>
      <c r="F13" s="158"/>
      <c r="G13" s="158"/>
      <c r="I13" s="228"/>
      <c r="J13" s="177">
        <f>+I7+I8</f>
        <v>10975.060000000001</v>
      </c>
    </row>
    <row r="14" spans="1:11">
      <c r="A14" s="161"/>
      <c r="B14" s="157"/>
      <c r="C14" s="158"/>
      <c r="F14" s="158"/>
      <c r="G14" s="158"/>
      <c r="J14" s="178"/>
    </row>
    <row r="15" spans="1:11" ht="19.5" thickBot="1">
      <c r="A15" s="263"/>
      <c r="B15" s="193"/>
      <c r="C15" s="194"/>
      <c r="D15" s="229"/>
      <c r="E15" s="272"/>
      <c r="F15" s="194"/>
      <c r="G15" s="264"/>
      <c r="H15" s="227"/>
      <c r="I15" s="230"/>
      <c r="J15" s="195"/>
    </row>
    <row r="16" spans="1:11" ht="19.5" thickTop="1">
      <c r="A16"/>
      <c r="B16" s="157"/>
      <c r="C16" s="158"/>
      <c r="F16" s="158"/>
      <c r="H16" s="165"/>
      <c r="J16" s="950"/>
      <c r="K16" s="170"/>
    </row>
    <row r="17" spans="1:11">
      <c r="A17" s="159"/>
      <c r="B17" s="157"/>
      <c r="C17" s="158"/>
      <c r="F17" s="158"/>
      <c r="H17" s="165"/>
      <c r="J17" s="950"/>
      <c r="K17" s="170"/>
    </row>
    <row r="18" spans="1:11">
      <c r="A18" s="159"/>
      <c r="B18" s="157"/>
      <c r="C18" s="158"/>
      <c r="F18" s="158"/>
      <c r="H18" s="165"/>
      <c r="J18" s="950"/>
      <c r="K18" s="170"/>
    </row>
    <row r="19" spans="1:11">
      <c r="A19" s="159"/>
      <c r="B19" s="157"/>
      <c r="C19" s="158"/>
      <c r="F19" s="158"/>
      <c r="H19" s="165"/>
      <c r="J19" s="950"/>
      <c r="K19" s="170"/>
    </row>
    <row r="20" spans="1:11">
      <c r="A20" s="159"/>
      <c r="B20" s="157"/>
      <c r="C20" s="158"/>
      <c r="F20" s="158"/>
      <c r="H20" s="165"/>
      <c r="J20" s="179">
        <f>+I16+I17+I18+I19</f>
        <v>0</v>
      </c>
      <c r="K20" s="170"/>
    </row>
    <row r="21" spans="1:11">
      <c r="A21" s="160"/>
      <c r="B21" s="157"/>
      <c r="C21" s="158"/>
      <c r="F21" s="158"/>
      <c r="H21" s="165"/>
      <c r="J21" s="179"/>
      <c r="K21" s="170"/>
    </row>
    <row r="22" spans="1:11" ht="19.5" thickBot="1">
      <c r="A22" s="160"/>
      <c r="I22" s="160"/>
      <c r="J22" s="180">
        <f>+I15+J20</f>
        <v>0</v>
      </c>
      <c r="K22" s="170" t="e">
        <f>#REF!-#REF!</f>
        <v>#REF!</v>
      </c>
    </row>
    <row r="23" spans="1:11" ht="12" customHeight="1" thickTop="1">
      <c r="A23" s="160"/>
      <c r="J23" s="178"/>
    </row>
    <row r="24" spans="1:11" ht="15.75" customHeight="1" thickBot="1">
      <c r="A24" s="160"/>
      <c r="I24" s="166" t="s">
        <v>129</v>
      </c>
      <c r="J24" s="181">
        <f>+J13+J22</f>
        <v>10975.060000000001</v>
      </c>
    </row>
    <row r="25" spans="1:11" ht="19.5" thickTop="1">
      <c r="A25" s="160"/>
      <c r="J25" s="182"/>
    </row>
    <row r="26" spans="1:11" ht="15.95" customHeight="1"/>
    <row r="27" spans="1:11" ht="15.95" customHeight="1"/>
    <row r="28" spans="1:11" ht="15.95" customHeight="1"/>
    <row r="29" spans="1:11" ht="15.95" customHeight="1">
      <c r="A29" s="160"/>
      <c r="J29" s="182"/>
    </row>
    <row r="30" spans="1:11" ht="15.95" customHeight="1" thickBot="1">
      <c r="A30" s="162"/>
      <c r="B30" s="162"/>
      <c r="H30" s="162"/>
      <c r="I30" s="231"/>
      <c r="J30" s="183"/>
    </row>
    <row r="31" spans="1:11" ht="15.95" customHeight="1">
      <c r="A31" s="160" t="s">
        <v>559</v>
      </c>
      <c r="H31" s="160" t="s">
        <v>551</v>
      </c>
      <c r="I31" s="160"/>
      <c r="J31" s="166"/>
    </row>
    <row r="32" spans="1:11" ht="15.95" customHeight="1">
      <c r="J32" s="184"/>
    </row>
    <row r="33" spans="1:10" ht="15.95" customHeight="1"/>
    <row r="34" spans="1:10" ht="15.95" customHeight="1"/>
    <row r="35" spans="1:10" ht="15.95" customHeight="1"/>
    <row r="36" spans="1:10" ht="15.95" customHeight="1">
      <c r="C36" s="228"/>
      <c r="D36" s="184"/>
      <c r="I36" s="228"/>
    </row>
    <row r="37" spans="1:10" ht="15.95" customHeight="1" thickBot="1">
      <c r="A37" s="156"/>
      <c r="B37" s="162"/>
      <c r="D37" s="184"/>
      <c r="H37" s="162"/>
      <c r="I37" s="162"/>
      <c r="J37" s="162"/>
    </row>
    <row r="38" spans="1:10">
      <c r="A38" s="141" t="s">
        <v>408</v>
      </c>
      <c r="C38" s="228"/>
      <c r="D38" s="160"/>
      <c r="H38" s="160" t="s">
        <v>409</v>
      </c>
      <c r="I38" s="160"/>
    </row>
    <row r="39" spans="1:10">
      <c r="I39" s="228"/>
    </row>
    <row r="40" spans="1:10">
      <c r="B40" s="1387" t="s">
        <v>530</v>
      </c>
      <c r="C40" s="1387"/>
      <c r="D40" s="1387"/>
      <c r="E40" s="261">
        <f>B3</f>
        <v>46185</v>
      </c>
      <c r="F40" s="259" t="s">
        <v>668</v>
      </c>
      <c r="G40" s="262"/>
      <c r="H40" s="259"/>
      <c r="I40" s="189"/>
      <c r="J40" s="185"/>
    </row>
    <row r="41" spans="1:10">
      <c r="A41" s="260"/>
      <c r="B41" s="260"/>
      <c r="C41" s="260"/>
      <c r="D41" s="260"/>
      <c r="E41" s="260"/>
      <c r="F41" s="970"/>
      <c r="G41" s="260"/>
      <c r="I41" s="185"/>
    </row>
  </sheetData>
  <mergeCells count="3">
    <mergeCell ref="D4:D5"/>
    <mergeCell ref="E4:E5"/>
    <mergeCell ref="B40:D40"/>
  </mergeCells>
  <conditionalFormatting sqref="A9">
    <cfRule type="duplicateValues" dxfId="2" priority="1"/>
    <cfRule type="duplicateValues" dxfId="1" priority="2"/>
    <cfRule type="duplicateValues" dxfId="0" priority="3"/>
  </conditionalFormatting>
  <pageMargins left="0.59055118110236227" right="0.19685039370078741" top="0.19685039370078741" bottom="0.19685039370078741" header="0.31496062992125984" footer="0.31496062992125984"/>
  <pageSetup scale="59" fitToHeight="2"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60D33-8914-4BD4-8B21-E6BC081E0EE4}">
  <dimension ref="B2:J39"/>
  <sheetViews>
    <sheetView workbookViewId="0">
      <selection activeCell="D13" sqref="D13"/>
    </sheetView>
  </sheetViews>
  <sheetFormatPr baseColWidth="10" defaultRowHeight="15"/>
  <cols>
    <col min="9" max="9" width="18.42578125" bestFit="1" customWidth="1"/>
  </cols>
  <sheetData>
    <row r="2" spans="2:10">
      <c r="B2" t="s">
        <v>757</v>
      </c>
    </row>
    <row r="3" spans="2:10">
      <c r="B3" s="1306">
        <v>46113</v>
      </c>
      <c r="C3" s="1308">
        <v>1068</v>
      </c>
      <c r="F3" s="1306">
        <v>47119</v>
      </c>
      <c r="G3" s="234">
        <v>1068</v>
      </c>
      <c r="I3" s="1306">
        <v>48214</v>
      </c>
      <c r="J3" s="234">
        <v>1068</v>
      </c>
    </row>
    <row r="4" spans="2:10">
      <c r="B4" s="1306">
        <v>46143</v>
      </c>
      <c r="C4" s="1308">
        <v>1068</v>
      </c>
      <c r="F4" s="1306">
        <v>47150</v>
      </c>
      <c r="G4" s="234">
        <v>1068</v>
      </c>
      <c r="I4" s="1306">
        <v>48245</v>
      </c>
      <c r="J4" s="234">
        <v>1068</v>
      </c>
    </row>
    <row r="5" spans="2:10">
      <c r="B5" s="1306">
        <v>46174</v>
      </c>
      <c r="C5" s="234">
        <v>1068</v>
      </c>
      <c r="F5" s="1306">
        <v>47178</v>
      </c>
      <c r="G5" s="234">
        <v>1068</v>
      </c>
      <c r="I5" s="1306">
        <v>48274</v>
      </c>
      <c r="J5" s="234">
        <v>1068</v>
      </c>
    </row>
    <row r="6" spans="2:10">
      <c r="B6" s="1306">
        <v>46204</v>
      </c>
      <c r="C6" s="234">
        <v>4220</v>
      </c>
      <c r="F6" s="1306">
        <v>47209</v>
      </c>
      <c r="G6" s="234">
        <v>1068</v>
      </c>
      <c r="I6" s="1306">
        <v>48305</v>
      </c>
      <c r="J6" s="234">
        <v>1068</v>
      </c>
    </row>
    <row r="7" spans="2:10">
      <c r="B7" s="1306">
        <v>46235</v>
      </c>
      <c r="C7" s="234">
        <v>1068</v>
      </c>
      <c r="F7" s="1306">
        <v>47239</v>
      </c>
      <c r="G7" s="234">
        <v>1868</v>
      </c>
      <c r="I7" s="1306">
        <v>48335</v>
      </c>
      <c r="J7" s="234">
        <v>1068</v>
      </c>
    </row>
    <row r="8" spans="2:10">
      <c r="B8" s="1306">
        <v>46266</v>
      </c>
      <c r="C8" s="234">
        <v>1068</v>
      </c>
      <c r="F8" s="1306">
        <v>47270</v>
      </c>
      <c r="G8" s="234">
        <v>1068</v>
      </c>
      <c r="I8" s="1306">
        <v>48366</v>
      </c>
      <c r="J8" s="234">
        <v>1068</v>
      </c>
    </row>
    <row r="9" spans="2:10">
      <c r="B9" s="1306">
        <v>46296</v>
      </c>
      <c r="C9" s="234">
        <v>1068</v>
      </c>
      <c r="F9" s="1306">
        <v>47300</v>
      </c>
      <c r="G9" s="234">
        <v>4220</v>
      </c>
      <c r="I9" s="1306">
        <v>48396</v>
      </c>
      <c r="J9" s="234">
        <v>1371.65</v>
      </c>
    </row>
    <row r="10" spans="2:10">
      <c r="B10" s="1306">
        <v>46327</v>
      </c>
      <c r="C10" s="234">
        <v>1068</v>
      </c>
      <c r="F10" s="1306">
        <v>47331</v>
      </c>
      <c r="G10" s="234">
        <v>1068</v>
      </c>
      <c r="I10" s="1306"/>
      <c r="J10" s="234">
        <f>SUM(J3:J9)</f>
        <v>7779.65</v>
      </c>
    </row>
    <row r="11" spans="2:10">
      <c r="B11" s="1306">
        <v>46357</v>
      </c>
      <c r="C11" s="234">
        <v>4220</v>
      </c>
      <c r="F11" s="1306">
        <v>47362</v>
      </c>
      <c r="G11" s="234">
        <v>1068</v>
      </c>
      <c r="I11" s="1306"/>
    </row>
    <row r="12" spans="2:10">
      <c r="B12" s="1306">
        <v>46388</v>
      </c>
      <c r="C12" s="234">
        <v>1068</v>
      </c>
      <c r="F12" s="1306">
        <v>47392</v>
      </c>
      <c r="G12" s="234">
        <v>1068</v>
      </c>
      <c r="I12" s="1306"/>
    </row>
    <row r="13" spans="2:10">
      <c r="B13" s="1306">
        <v>46419</v>
      </c>
      <c r="C13" s="234">
        <v>1068</v>
      </c>
      <c r="F13" s="1306">
        <v>47423</v>
      </c>
      <c r="G13" s="234">
        <v>1068</v>
      </c>
      <c r="I13" s="1306"/>
    </row>
    <row r="14" spans="2:10">
      <c r="B14" s="1306">
        <v>46447</v>
      </c>
      <c r="C14" s="234">
        <v>1068</v>
      </c>
      <c r="F14" s="1306">
        <v>47453</v>
      </c>
      <c r="G14" s="234">
        <v>4220</v>
      </c>
      <c r="I14" t="s">
        <v>758</v>
      </c>
      <c r="J14" s="292">
        <f>+C36+G39+J10</f>
        <v>120095.65</v>
      </c>
    </row>
    <row r="15" spans="2:10">
      <c r="B15" s="1306">
        <v>46478</v>
      </c>
      <c r="C15" s="234">
        <v>1068</v>
      </c>
      <c r="F15" s="1306">
        <v>47484</v>
      </c>
      <c r="G15" s="234">
        <v>1068</v>
      </c>
      <c r="J15">
        <v>120095.65</v>
      </c>
    </row>
    <row r="16" spans="2:10">
      <c r="B16" s="1306">
        <v>46508</v>
      </c>
      <c r="C16" s="234">
        <v>1068</v>
      </c>
      <c r="F16" s="1306">
        <v>47515</v>
      </c>
      <c r="G16" s="234">
        <v>1068</v>
      </c>
      <c r="J16" s="292">
        <f>+J14-J15</f>
        <v>0</v>
      </c>
    </row>
    <row r="17" spans="2:7">
      <c r="B17" s="1306">
        <v>46539</v>
      </c>
      <c r="C17" s="234">
        <v>1068</v>
      </c>
      <c r="F17" s="1306">
        <v>47543</v>
      </c>
      <c r="G17" s="234">
        <v>1068</v>
      </c>
    </row>
    <row r="18" spans="2:7">
      <c r="B18" s="1306">
        <v>46569</v>
      </c>
      <c r="C18" s="234">
        <v>4220</v>
      </c>
      <c r="F18" s="1306">
        <v>47574</v>
      </c>
      <c r="G18" s="234">
        <v>1068</v>
      </c>
    </row>
    <row r="19" spans="2:7">
      <c r="B19" s="1306">
        <v>46600</v>
      </c>
      <c r="C19" s="234">
        <v>1068</v>
      </c>
      <c r="F19" s="1306">
        <v>47604</v>
      </c>
      <c r="G19" s="234">
        <v>1068</v>
      </c>
    </row>
    <row r="20" spans="2:7">
      <c r="B20" s="1306">
        <v>46631</v>
      </c>
      <c r="C20" s="234">
        <v>1068</v>
      </c>
      <c r="F20" s="1306">
        <v>47635</v>
      </c>
      <c r="G20" s="234">
        <v>1068</v>
      </c>
    </row>
    <row r="21" spans="2:7">
      <c r="B21" s="1306">
        <v>46661</v>
      </c>
      <c r="C21" s="234">
        <v>1068</v>
      </c>
      <c r="F21" s="1306">
        <v>47665</v>
      </c>
      <c r="G21" s="234">
        <v>4220</v>
      </c>
    </row>
    <row r="22" spans="2:7">
      <c r="B22" s="1306">
        <v>46692</v>
      </c>
      <c r="C22" s="234">
        <v>1068</v>
      </c>
      <c r="F22" s="1306">
        <v>47696</v>
      </c>
      <c r="G22" s="234">
        <v>1068</v>
      </c>
    </row>
    <row r="23" spans="2:7">
      <c r="B23" s="1306">
        <v>46722</v>
      </c>
      <c r="C23" s="234">
        <v>4220</v>
      </c>
      <c r="F23" s="1306">
        <v>47727</v>
      </c>
      <c r="G23" s="234">
        <v>1068</v>
      </c>
    </row>
    <row r="24" spans="2:7">
      <c r="B24" s="1306">
        <v>46753</v>
      </c>
      <c r="C24" s="234">
        <v>1068</v>
      </c>
      <c r="F24" s="1306">
        <v>47757</v>
      </c>
      <c r="G24" s="234">
        <v>1068</v>
      </c>
    </row>
    <row r="25" spans="2:7">
      <c r="B25" s="1306">
        <v>46784</v>
      </c>
      <c r="C25" s="234">
        <v>1068</v>
      </c>
      <c r="F25" s="1306">
        <v>47788</v>
      </c>
      <c r="G25" s="234">
        <v>1068</v>
      </c>
    </row>
    <row r="26" spans="2:7">
      <c r="B26" s="1306">
        <v>46813</v>
      </c>
      <c r="C26" s="234">
        <v>1068</v>
      </c>
      <c r="F26" s="1306">
        <v>47818</v>
      </c>
      <c r="G26" s="234">
        <v>4220</v>
      </c>
    </row>
    <row r="27" spans="2:7">
      <c r="B27" s="1306">
        <v>46844</v>
      </c>
      <c r="C27" s="234">
        <v>1068</v>
      </c>
      <c r="F27" s="1306">
        <v>47849</v>
      </c>
      <c r="G27" s="234">
        <v>1068</v>
      </c>
    </row>
    <row r="28" spans="2:7">
      <c r="B28" s="1306">
        <v>46874</v>
      </c>
      <c r="C28" s="234">
        <v>1068</v>
      </c>
      <c r="F28" s="1306">
        <v>47880</v>
      </c>
      <c r="G28" s="234">
        <v>1068</v>
      </c>
    </row>
    <row r="29" spans="2:7">
      <c r="B29" s="1306">
        <v>46905</v>
      </c>
      <c r="C29" s="234">
        <v>1068</v>
      </c>
      <c r="F29" s="1306">
        <v>47908</v>
      </c>
      <c r="G29" s="234">
        <v>1068</v>
      </c>
    </row>
    <row r="30" spans="2:7">
      <c r="B30" s="1306">
        <v>46935</v>
      </c>
      <c r="C30" s="234">
        <v>4220</v>
      </c>
      <c r="F30" s="1306">
        <v>47939</v>
      </c>
      <c r="G30" s="234">
        <v>1068</v>
      </c>
    </row>
    <row r="31" spans="2:7">
      <c r="B31" s="1306">
        <v>46966</v>
      </c>
      <c r="C31" s="234">
        <v>1068</v>
      </c>
      <c r="F31" s="1306">
        <v>47969</v>
      </c>
      <c r="G31" s="234">
        <v>1068</v>
      </c>
    </row>
    <row r="32" spans="2:7">
      <c r="B32" s="1306">
        <v>46997</v>
      </c>
      <c r="C32" s="234">
        <v>1068</v>
      </c>
      <c r="F32" s="1306">
        <v>48000</v>
      </c>
      <c r="G32" s="234">
        <v>1068</v>
      </c>
    </row>
    <row r="33" spans="2:7">
      <c r="B33" s="1306">
        <v>47027</v>
      </c>
      <c r="C33" s="234">
        <v>1068</v>
      </c>
      <c r="F33" s="1306">
        <v>48030</v>
      </c>
      <c r="G33" s="234">
        <v>4220</v>
      </c>
    </row>
    <row r="34" spans="2:7">
      <c r="B34" s="1306">
        <v>47058</v>
      </c>
      <c r="C34" s="234">
        <v>1068</v>
      </c>
      <c r="F34" s="1306">
        <v>48061</v>
      </c>
      <c r="G34" s="234">
        <v>1068</v>
      </c>
    </row>
    <row r="35" spans="2:7">
      <c r="B35" s="1306">
        <v>47088</v>
      </c>
      <c r="C35" s="234">
        <v>4220</v>
      </c>
      <c r="F35" s="1306">
        <v>48092</v>
      </c>
      <c r="G35" s="234">
        <v>1068</v>
      </c>
    </row>
    <row r="36" spans="2:7">
      <c r="C36" s="234">
        <f>SUM(C3:C35)</f>
        <v>54156</v>
      </c>
      <c r="F36" s="1306">
        <v>48122</v>
      </c>
      <c r="G36" s="234">
        <v>1068</v>
      </c>
    </row>
    <row r="37" spans="2:7">
      <c r="F37" s="1306">
        <v>48153</v>
      </c>
      <c r="G37" s="234">
        <v>1068</v>
      </c>
    </row>
    <row r="38" spans="2:7">
      <c r="F38" s="1306">
        <v>48183</v>
      </c>
      <c r="G38" s="234">
        <v>4220</v>
      </c>
    </row>
    <row r="39" spans="2:7">
      <c r="F39" s="1306"/>
      <c r="G39" s="234">
        <f>SUM(G3:G38)</f>
        <v>58160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6E9A9-802C-420C-8A58-39DF7DB00060}">
  <dimension ref="A1:E19"/>
  <sheetViews>
    <sheetView workbookViewId="0">
      <selection activeCell="E22" sqref="E22"/>
    </sheetView>
  </sheetViews>
  <sheetFormatPr baseColWidth="10" defaultColWidth="8.85546875" defaultRowHeight="15"/>
  <cols>
    <col min="1" max="1" width="31" customWidth="1"/>
    <col min="2" max="2" width="40" customWidth="1"/>
    <col min="3" max="3" width="14.5703125" customWidth="1"/>
    <col min="4" max="4" width="9.42578125" bestFit="1" customWidth="1"/>
    <col min="5" max="5" width="11" bestFit="1" customWidth="1"/>
  </cols>
  <sheetData>
    <row r="1" spans="1:5">
      <c r="A1" s="1388" t="s">
        <v>791</v>
      </c>
      <c r="B1" s="1388"/>
      <c r="C1" s="1388"/>
      <c r="D1" s="1388"/>
      <c r="E1" s="1388"/>
    </row>
    <row r="2" spans="1:5" ht="30">
      <c r="A2" s="1311" t="s">
        <v>270</v>
      </c>
      <c r="B2" s="1311" t="s">
        <v>271</v>
      </c>
      <c r="C2" s="1312" t="s">
        <v>792</v>
      </c>
      <c r="D2" s="1313" t="s">
        <v>793</v>
      </c>
      <c r="E2" s="1313" t="s">
        <v>794</v>
      </c>
    </row>
    <row r="3" spans="1:5">
      <c r="A3" t="s">
        <v>721</v>
      </c>
      <c r="B3" t="s">
        <v>55</v>
      </c>
      <c r="C3" s="234">
        <v>350</v>
      </c>
      <c r="D3" s="1314" t="s">
        <v>52</v>
      </c>
      <c r="E3" s="234"/>
    </row>
    <row r="4" spans="1:5">
      <c r="A4" t="s">
        <v>553</v>
      </c>
      <c r="B4" t="s">
        <v>479</v>
      </c>
      <c r="C4" s="234">
        <v>350</v>
      </c>
      <c r="D4" s="234"/>
      <c r="E4" s="234"/>
    </row>
    <row r="5" spans="1:5">
      <c r="A5" t="s">
        <v>678</v>
      </c>
      <c r="B5" t="s">
        <v>568</v>
      </c>
      <c r="C5" s="234">
        <v>0</v>
      </c>
      <c r="D5" s="234">
        <v>82.5</v>
      </c>
      <c r="E5" s="234"/>
    </row>
    <row r="6" spans="1:5">
      <c r="A6" t="s">
        <v>418</v>
      </c>
      <c r="B6" t="s">
        <v>67</v>
      </c>
      <c r="C6" s="234">
        <v>350</v>
      </c>
      <c r="D6" s="234"/>
      <c r="E6" s="234"/>
    </row>
    <row r="7" spans="1:5">
      <c r="A7" t="s">
        <v>747</v>
      </c>
      <c r="B7" t="s">
        <v>748</v>
      </c>
      <c r="C7" s="234">
        <v>350</v>
      </c>
      <c r="D7" s="234"/>
      <c r="E7" s="234"/>
    </row>
    <row r="8" spans="1:5">
      <c r="A8" t="s">
        <v>461</v>
      </c>
      <c r="B8" t="s">
        <v>722</v>
      </c>
      <c r="C8" s="234">
        <v>0</v>
      </c>
      <c r="D8" s="234"/>
      <c r="E8" s="234">
        <v>1068</v>
      </c>
    </row>
    <row r="9" spans="1:5">
      <c r="A9" t="s">
        <v>677</v>
      </c>
      <c r="B9" t="s">
        <v>65</v>
      </c>
      <c r="C9" s="234">
        <v>350</v>
      </c>
      <c r="D9" s="234"/>
      <c r="E9" s="234"/>
    </row>
    <row r="10" spans="1:5">
      <c r="A10" t="s">
        <v>726</v>
      </c>
      <c r="B10" t="s">
        <v>727</v>
      </c>
      <c r="C10" s="234">
        <v>350</v>
      </c>
      <c r="D10" s="234"/>
      <c r="E10" s="234"/>
    </row>
    <row r="11" spans="1:5">
      <c r="A11" t="s">
        <v>719</v>
      </c>
      <c r="B11" t="s">
        <v>720</v>
      </c>
      <c r="C11" s="234">
        <v>350</v>
      </c>
      <c r="D11" s="234"/>
      <c r="E11" s="234"/>
    </row>
    <row r="12" spans="1:5">
      <c r="A12" t="s">
        <v>428</v>
      </c>
      <c r="B12" t="s">
        <v>716</v>
      </c>
      <c r="C12" s="234">
        <v>0</v>
      </c>
      <c r="D12" s="234">
        <v>187.2</v>
      </c>
      <c r="E12" s="234"/>
    </row>
    <row r="13" spans="1:5">
      <c r="A13" t="s">
        <v>732</v>
      </c>
      <c r="B13" t="s">
        <v>731</v>
      </c>
      <c r="C13" s="234">
        <v>0</v>
      </c>
      <c r="D13" s="234">
        <v>82.5</v>
      </c>
      <c r="E13" s="234"/>
    </row>
    <row r="14" spans="1:5">
      <c r="A14" t="s">
        <v>421</v>
      </c>
      <c r="B14" t="s">
        <v>669</v>
      </c>
      <c r="C14" s="1315">
        <v>350</v>
      </c>
      <c r="D14" s="1315"/>
      <c r="E14" s="1315"/>
    </row>
    <row r="15" spans="1:5">
      <c r="B15" t="s">
        <v>52</v>
      </c>
      <c r="C15" s="1316">
        <f>SUM(C3:C14)</f>
        <v>2800</v>
      </c>
      <c r="D15" s="1316">
        <f>SUM(D3:D14)</f>
        <v>352.2</v>
      </c>
      <c r="E15" s="1316">
        <f>SUM(E3:E14)</f>
        <v>1068</v>
      </c>
    </row>
    <row r="17" spans="2:3">
      <c r="B17" s="1317" t="s">
        <v>795</v>
      </c>
      <c r="C17" s="234">
        <f>+C15+D15+E15</f>
        <v>4220.2</v>
      </c>
    </row>
    <row r="18" spans="2:3">
      <c r="B18" s="1318" t="s">
        <v>796</v>
      </c>
      <c r="C18" s="1315">
        <f>+[1]ECONACIONAL!Y166</f>
        <v>4220.2</v>
      </c>
    </row>
    <row r="19" spans="2:3">
      <c r="B19" s="1318" t="s">
        <v>797</v>
      </c>
      <c r="C19" s="292">
        <f>+C18-C17</f>
        <v>0</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11</vt:i4>
      </vt:variant>
    </vt:vector>
  </HeadingPairs>
  <TitlesOfParts>
    <vt:vector size="25" baseType="lpstr">
      <vt:lpstr>distribucion</vt:lpstr>
      <vt:lpstr>boleto de ornato</vt:lpstr>
      <vt:lpstr>INCREMENTO SALARIO MINIMO </vt:lpstr>
      <vt:lpstr>Hoja2</vt:lpstr>
      <vt:lpstr>ECONACIONAL</vt:lpstr>
      <vt:lpstr>IGSS ECONACIONAL</vt:lpstr>
      <vt:lpstr>Nomina Econacional</vt:lpstr>
      <vt:lpstr>RECIBO E IGSS ECONACIONAL</vt:lpstr>
      <vt:lpstr>CHEQUES ECONACIONAL</vt:lpstr>
      <vt:lpstr>Sol.Cheques</vt:lpstr>
      <vt:lpstr>Verificador de pago</vt:lpstr>
      <vt:lpstr>Verificador de pago (2)</vt:lpstr>
      <vt:lpstr>Hoja1</vt:lpstr>
      <vt:lpstr>integracion otros descuentos</vt:lpstr>
      <vt:lpstr>'boleto de ornato'!Área_de_impresión</vt:lpstr>
      <vt:lpstr>ECONACIONAL!Área_de_impresión</vt:lpstr>
      <vt:lpstr>'INCREMENTO SALARIO MINIMO '!Área_de_impresión</vt:lpstr>
      <vt:lpstr>'Nomina Econacional'!Área_de_impresión</vt:lpstr>
      <vt:lpstr>Sol.Cheques!Área_de_impresión</vt:lpstr>
      <vt:lpstr>'Verificador de pago'!Área_de_impresión</vt:lpstr>
      <vt:lpstr>'Verificador de pago (2)'!Área_de_impresión</vt:lpstr>
      <vt:lpstr>ECONACIONAL</vt:lpstr>
      <vt:lpstr>distribucion!Excel_BuiltIn__FilterDatabase</vt:lpstr>
      <vt:lpstr>'IGSS ECONACIONAL'!Excel_BuiltIn__FilterDatabase</vt:lpstr>
      <vt:lpstr>'RECIBO E IGSS ECONACIONAL'!Excel_BuiltIn__FilterDatabase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Auditoria Contabilidad</dc:creator>
  <cp:lastModifiedBy>Juan Pablo Yaxón</cp:lastModifiedBy>
  <cp:lastPrinted>2026-06-26T16:31:14Z</cp:lastPrinted>
  <dcterms:created xsi:type="dcterms:W3CDTF">2017-01-10T21:50:41Z</dcterms:created>
  <dcterms:modified xsi:type="dcterms:W3CDTF">2026-07-08T21:07:50Z</dcterms:modified>
</cp:coreProperties>
</file>