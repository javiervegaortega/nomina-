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https://grupoeconsa-my.sharepoint.com/personal/mperez_grupoeconsa_com/Documents/Escritorio/Escritorio/Nuevo escritorio/ALEJANDRA PEREZ/NOMINAS/2026/MAYO/28.5/"/>
    </mc:Choice>
  </mc:AlternateContent>
  <xr:revisionPtr revIDLastSave="7289" documentId="13_ncr:1_{FE9C3033-9FB6-438D-83D6-79BEA3256408}" xr6:coauthVersionLast="47" xr6:coauthVersionMax="47" xr10:uidLastSave="{63CB5CF0-AA97-4009-9798-29943CE52F1A}"/>
  <bookViews>
    <workbookView xWindow="-108" yWindow="-108" windowWidth="23256" windowHeight="13896" xr2:uid="{00000000-000D-0000-FFFF-FFFF00000000}"/>
  </bookViews>
  <sheets>
    <sheet name="distribucion" sheetId="2" r:id="rId1"/>
    <sheet name="boleto de ornato" sheetId="23" state="hidden" r:id="rId2"/>
    <sheet name="INCREMENTO SALARIO MINIMO " sheetId="22" state="hidden" r:id="rId3"/>
    <sheet name="Hoja2" sheetId="21" state="hidden" r:id="rId4"/>
    <sheet name="ECONACIONAL" sheetId="31" r:id="rId5"/>
    <sheet name="IGSS ECONACIONAL" sheetId="7" r:id="rId6"/>
    <sheet name="Nomina Econacional" sheetId="9" state="hidden" r:id="rId7"/>
    <sheet name="RECIBO E IGSS ECONACIONAL" sheetId="10" state="hidden" r:id="rId8"/>
    <sheet name="CHEQUES ECONACIONAL" sheetId="11" state="hidden" r:id="rId9"/>
    <sheet name="Sol.Cheques" sheetId="12" r:id="rId10"/>
    <sheet name="Verificador de pago" sheetId="13" r:id="rId11"/>
    <sheet name="Verificador de pago (2)" sheetId="29" r:id="rId12"/>
    <sheet name="Hoja1" sheetId="32" r:id="rId13"/>
    <sheet name="INTEGRACION OTROS DESCUENTOS" sheetId="33" r:id="rId14"/>
  </sheets>
  <definedNames>
    <definedName name="_xlnm._FilterDatabase" localSheetId="1" hidden="1">'boleto de ornato'!$A$7:$J$197</definedName>
    <definedName name="_xlnm._FilterDatabase" localSheetId="0" hidden="1">distribucion!$F$7:$JF$152</definedName>
    <definedName name="_xlnm._FilterDatabase" localSheetId="4" hidden="1">ECONACIONAL!$B$7:$AN$168</definedName>
    <definedName name="_xlnm._FilterDatabase" localSheetId="5" hidden="1">'IGSS ECONACIONAL'!$A$5:$XER$18</definedName>
    <definedName name="_xlnm._FilterDatabase" localSheetId="2" hidden="1">'INCREMENTO SALARIO MINIMO '!$A$7:$CY$134</definedName>
    <definedName name="_xlnm.Print_Area" localSheetId="1">'boleto de ornato'!$A$1:$I$197</definedName>
    <definedName name="_xlnm.Print_Area" localSheetId="4">ECONACIONAL!$A$1:$AC$189</definedName>
    <definedName name="_xlnm.Print_Area" localSheetId="2">'INCREMENTO SALARIO MINIMO '!$A$1:$CX$252</definedName>
    <definedName name="_xlnm.Print_Area" localSheetId="6">'Nomina Econacional'!$A$1:$AA$37</definedName>
    <definedName name="_xlnm.Print_Area" localSheetId="9">Sol.Cheques!$A$1:$I$28</definedName>
    <definedName name="_xlnm.Print_Area" localSheetId="10">'Verificador de pago'!$A$1:$K$44</definedName>
    <definedName name="_xlnm.Print_Area" localSheetId="11">'Verificador de pago (2)'!$A$1:$K$44</definedName>
    <definedName name="ECONACIONAL">'Nomina Econacional'!$A$4:$AB$153</definedName>
    <definedName name="Excel_BuiltIn__FilterDatabase" localSheetId="1">'boleto de ornato'!#REF!</definedName>
    <definedName name="Excel_BuiltIn__FilterDatabase" localSheetId="0">distribucion!$T$6:$T$152</definedName>
    <definedName name="Excel_BuiltIn__FilterDatabase" localSheetId="5">'IGSS ECONACIONAL'!$B$5:$AB$6</definedName>
    <definedName name="Excel_BuiltIn__FilterDatabase" localSheetId="2">'INCREMENTO SALARIO MINIMO '!#REF!</definedName>
    <definedName name="Excel_BuiltIn__FilterDatabase" localSheetId="7">'RECIBO E IGSS ECONACIONAL'!$B$1:$AB$2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V26" i="2" l="1"/>
  <c r="EV19" i="2"/>
  <c r="EV12" i="2"/>
  <c r="M144" i="33"/>
  <c r="M143" i="33"/>
  <c r="M145" i="33" s="1"/>
  <c r="M138" i="33"/>
  <c r="M134" i="33"/>
  <c r="M132" i="33"/>
  <c r="M129" i="33"/>
  <c r="M125" i="33"/>
  <c r="M124" i="33"/>
  <c r="M123" i="33"/>
  <c r="M122" i="33"/>
  <c r="M121" i="33"/>
  <c r="M119" i="33"/>
  <c r="M117" i="33"/>
  <c r="M113" i="33"/>
  <c r="M110" i="33"/>
  <c r="M109" i="33"/>
  <c r="M106" i="33"/>
  <c r="M104" i="33"/>
  <c r="M96" i="33"/>
  <c r="M95" i="33"/>
  <c r="M94" i="33"/>
  <c r="M93" i="33"/>
  <c r="M90" i="33"/>
  <c r="M89" i="33"/>
  <c r="M88" i="33"/>
  <c r="M87" i="33"/>
  <c r="M86" i="33"/>
  <c r="M83" i="33"/>
  <c r="M82" i="33"/>
  <c r="M75" i="33"/>
  <c r="M72" i="33"/>
  <c r="M56" i="33"/>
  <c r="M53" i="33"/>
  <c r="M54" i="33" s="1"/>
  <c r="M50" i="33"/>
  <c r="M47" i="33"/>
  <c r="M46" i="33"/>
  <c r="M45" i="33"/>
  <c r="M44" i="33"/>
  <c r="M43" i="33"/>
  <c r="M41" i="33"/>
  <c r="M37" i="33"/>
  <c r="M36" i="33"/>
  <c r="M35" i="33"/>
  <c r="M31" i="33"/>
  <c r="M30" i="33"/>
  <c r="M29" i="33"/>
  <c r="M25" i="33"/>
  <c r="M24" i="33"/>
  <c r="M23" i="33"/>
  <c r="M22" i="33"/>
  <c r="M17" i="33"/>
  <c r="M18" i="33" s="1"/>
  <c r="M14" i="33"/>
  <c r="M11" i="33"/>
  <c r="M10" i="33"/>
  <c r="M9" i="33"/>
  <c r="K145" i="33"/>
  <c r="J145" i="33"/>
  <c r="N139" i="33"/>
  <c r="K139" i="33"/>
  <c r="J139" i="33"/>
  <c r="B138" i="33"/>
  <c r="A138" i="33"/>
  <c r="C138" i="33" s="1"/>
  <c r="B137" i="33"/>
  <c r="A137" i="33"/>
  <c r="B136" i="33"/>
  <c r="A136" i="33"/>
  <c r="K135" i="33"/>
  <c r="J135" i="33"/>
  <c r="B134" i="33"/>
  <c r="A134" i="33"/>
  <c r="C134" i="33" s="1"/>
  <c r="B133" i="33"/>
  <c r="A133" i="33"/>
  <c r="B132" i="33"/>
  <c r="A132" i="33"/>
  <c r="B130" i="33"/>
  <c r="A130" i="33"/>
  <c r="D129" i="33"/>
  <c r="B129" i="33"/>
  <c r="A129" i="33"/>
  <c r="D128" i="33"/>
  <c r="B128" i="33"/>
  <c r="A128" i="33"/>
  <c r="B127" i="33"/>
  <c r="A127" i="33"/>
  <c r="K126" i="33"/>
  <c r="J126" i="33"/>
  <c r="F125" i="33"/>
  <c r="B125" i="33"/>
  <c r="A125" i="33"/>
  <c r="F124" i="33"/>
  <c r="F123" i="33"/>
  <c r="D123" i="33"/>
  <c r="B123" i="33"/>
  <c r="A123" i="33"/>
  <c r="C123" i="33" s="1"/>
  <c r="B121" i="33"/>
  <c r="A121" i="33"/>
  <c r="C121" i="33" s="1"/>
  <c r="B120" i="33"/>
  <c r="A120" i="33"/>
  <c r="C120" i="33" s="1"/>
  <c r="B118" i="33"/>
  <c r="A118" i="33"/>
  <c r="D117" i="33"/>
  <c r="B117" i="33"/>
  <c r="A117" i="33"/>
  <c r="B116" i="33"/>
  <c r="A116" i="33"/>
  <c r="C116" i="33" s="1"/>
  <c r="B115" i="33"/>
  <c r="A115" i="33"/>
  <c r="N114" i="33"/>
  <c r="K114" i="33"/>
  <c r="J114" i="33"/>
  <c r="B113" i="33"/>
  <c r="A113" i="33"/>
  <c r="C113" i="33" s="1"/>
  <c r="B111" i="33"/>
  <c r="A111" i="33"/>
  <c r="B108" i="33"/>
  <c r="A108" i="33"/>
  <c r="B105" i="33"/>
  <c r="A105" i="33"/>
  <c r="M114" i="33"/>
  <c r="D103" i="33"/>
  <c r="B103" i="33"/>
  <c r="A103" i="33"/>
  <c r="C103" i="33" s="1"/>
  <c r="B102" i="33"/>
  <c r="A102" i="33"/>
  <c r="C102" i="33" s="1"/>
  <c r="K97" i="33"/>
  <c r="J97" i="33"/>
  <c r="F95" i="33"/>
  <c r="F96" i="33" s="1"/>
  <c r="B92" i="33"/>
  <c r="A92" i="33"/>
  <c r="N91" i="33"/>
  <c r="K91" i="33"/>
  <c r="J91" i="33"/>
  <c r="F87" i="33"/>
  <c r="F89" i="33" s="1"/>
  <c r="D87" i="33"/>
  <c r="B87" i="33"/>
  <c r="A87" i="33"/>
  <c r="D86" i="33"/>
  <c r="B86" i="33"/>
  <c r="A86" i="33"/>
  <c r="K84" i="33"/>
  <c r="J84" i="33"/>
  <c r="D83" i="33"/>
  <c r="B83" i="33"/>
  <c r="A83" i="33"/>
  <c r="B81" i="33"/>
  <c r="A81" i="33"/>
  <c r="B80" i="33"/>
  <c r="A80" i="33"/>
  <c r="C80" i="33" s="1"/>
  <c r="K76" i="33"/>
  <c r="J76" i="33"/>
  <c r="M76" i="33"/>
  <c r="B74" i="33"/>
  <c r="A74" i="33"/>
  <c r="C74" i="33" s="1"/>
  <c r="K73" i="33"/>
  <c r="J73" i="33"/>
  <c r="B73" i="33"/>
  <c r="A73" i="33"/>
  <c r="M73" i="33"/>
  <c r="B71" i="33"/>
  <c r="A71" i="33"/>
  <c r="C71" i="33" s="1"/>
  <c r="M70" i="33"/>
  <c r="K70" i="33"/>
  <c r="J70" i="33"/>
  <c r="D67" i="33"/>
  <c r="B67" i="33"/>
  <c r="A67" i="33"/>
  <c r="B66" i="33"/>
  <c r="A66" i="33"/>
  <c r="C66" i="33" s="1"/>
  <c r="B64" i="33"/>
  <c r="A64" i="33"/>
  <c r="B63" i="33"/>
  <c r="A63" i="33"/>
  <c r="C63" i="33" s="1"/>
  <c r="B62" i="33"/>
  <c r="A62" i="33"/>
  <c r="B61" i="33"/>
  <c r="A61" i="33"/>
  <c r="B60" i="33"/>
  <c r="A60" i="33"/>
  <c r="C60" i="33" s="1"/>
  <c r="B59" i="33"/>
  <c r="A59" i="33"/>
  <c r="C59" i="33" s="1"/>
  <c r="K57" i="33"/>
  <c r="J57" i="33"/>
  <c r="M57" i="33"/>
  <c r="B55" i="33"/>
  <c r="A55" i="33"/>
  <c r="K54" i="33"/>
  <c r="J54" i="33"/>
  <c r="D53" i="33"/>
  <c r="B53" i="33"/>
  <c r="A53" i="33"/>
  <c r="B52" i="33"/>
  <c r="A52" i="33"/>
  <c r="C52" i="33" s="1"/>
  <c r="K51" i="33"/>
  <c r="J51" i="33"/>
  <c r="B49" i="33"/>
  <c r="A49" i="33"/>
  <c r="C49" i="33" s="1"/>
  <c r="K48" i="33"/>
  <c r="J48" i="33"/>
  <c r="F45" i="33"/>
  <c r="D45" i="33"/>
  <c r="B45" i="33"/>
  <c r="A45" i="33"/>
  <c r="F43" i="33"/>
  <c r="D43" i="33"/>
  <c r="B43" i="33"/>
  <c r="A43" i="33"/>
  <c r="D41" i="33"/>
  <c r="B41" i="33"/>
  <c r="A41" i="33"/>
  <c r="C41" i="33" s="1"/>
  <c r="D40" i="33"/>
  <c r="B40" i="33"/>
  <c r="A40" i="33"/>
  <c r="C40" i="33" s="1"/>
  <c r="K38" i="33"/>
  <c r="J38" i="33"/>
  <c r="D35" i="33"/>
  <c r="B35" i="33"/>
  <c r="A35" i="33"/>
  <c r="D34" i="33"/>
  <c r="B34" i="33"/>
  <c r="A34" i="33"/>
  <c r="C33" i="33"/>
  <c r="K32" i="33"/>
  <c r="J32" i="33"/>
  <c r="C32" i="33"/>
  <c r="D31" i="33"/>
  <c r="B31" i="33"/>
  <c r="A31" i="33"/>
  <c r="D30" i="33"/>
  <c r="B30" i="33"/>
  <c r="A30" i="33"/>
  <c r="C30" i="33" s="1"/>
  <c r="F29" i="33"/>
  <c r="D29" i="33"/>
  <c r="B29" i="33"/>
  <c r="A29" i="33"/>
  <c r="D28" i="33"/>
  <c r="B28" i="33"/>
  <c r="A28" i="33"/>
  <c r="K26" i="33"/>
  <c r="J26" i="33"/>
  <c r="D25" i="33"/>
  <c r="B25" i="33"/>
  <c r="A25" i="33"/>
  <c r="D24" i="33"/>
  <c r="B24" i="33"/>
  <c r="A24" i="33"/>
  <c r="C24" i="33" s="1"/>
  <c r="D23" i="33"/>
  <c r="B23" i="33"/>
  <c r="A23" i="33"/>
  <c r="C23" i="33" s="1"/>
  <c r="F22" i="33"/>
  <c r="F23" i="33" s="1"/>
  <c r="D22" i="33"/>
  <c r="B22" i="33"/>
  <c r="A22" i="33"/>
  <c r="D21" i="33"/>
  <c r="B21" i="33"/>
  <c r="A21" i="33"/>
  <c r="K18" i="33"/>
  <c r="J18" i="33"/>
  <c r="D16" i="33"/>
  <c r="B16" i="33"/>
  <c r="A16" i="33"/>
  <c r="C16" i="33" s="1"/>
  <c r="N15" i="33"/>
  <c r="M15" i="33"/>
  <c r="K15" i="33"/>
  <c r="J15" i="33"/>
  <c r="C15" i="33"/>
  <c r="D13" i="33"/>
  <c r="B13" i="33"/>
  <c r="A13" i="33"/>
  <c r="C13" i="33" s="1"/>
  <c r="K12" i="33"/>
  <c r="J12" i="33"/>
  <c r="D10" i="33"/>
  <c r="B10" i="33"/>
  <c r="A10" i="33"/>
  <c r="C10" i="33" s="1"/>
  <c r="D8" i="33"/>
  <c r="B8" i="33"/>
  <c r="A8" i="33"/>
  <c r="BF328" i="2"/>
  <c r="BY173" i="2"/>
  <c r="BX173" i="2"/>
  <c r="BW173" i="2"/>
  <c r="BV173" i="2"/>
  <c r="BU173" i="2"/>
  <c r="B52" i="31"/>
  <c r="B53" i="31" s="1"/>
  <c r="B51" i="31"/>
  <c r="J13" i="13"/>
  <c r="M135" i="33" l="1"/>
  <c r="C92" i="33"/>
  <c r="C127" i="33"/>
  <c r="C8" i="33"/>
  <c r="C73" i="33"/>
  <c r="C86" i="33"/>
  <c r="C117" i="33"/>
  <c r="C133" i="33"/>
  <c r="C67" i="33"/>
  <c r="C81" i="33"/>
  <c r="M84" i="33"/>
  <c r="C108" i="33"/>
  <c r="C118" i="33"/>
  <c r="C43" i="33"/>
  <c r="C28" i="33"/>
  <c r="C22" i="33"/>
  <c r="C45" i="33"/>
  <c r="M12" i="33"/>
  <c r="M19" i="33" s="1"/>
  <c r="C29" i="33"/>
  <c r="C130" i="33"/>
  <c r="C129" i="33"/>
  <c r="C61" i="33"/>
  <c r="M79" i="33"/>
  <c r="C25" i="33"/>
  <c r="M51" i="33"/>
  <c r="C64" i="33"/>
  <c r="C111" i="33"/>
  <c r="C55" i="33"/>
  <c r="C62" i="33"/>
  <c r="M126" i="33"/>
  <c r="C125" i="33"/>
  <c r="M48" i="33"/>
  <c r="C21" i="33"/>
  <c r="M38" i="33"/>
  <c r="C87" i="33"/>
  <c r="J101" i="33"/>
  <c r="C31" i="33"/>
  <c r="C53" i="33"/>
  <c r="K101" i="33"/>
  <c r="M97" i="33"/>
  <c r="C115" i="33"/>
  <c r="K58" i="33"/>
  <c r="C136" i="33"/>
  <c r="C34" i="33"/>
  <c r="J79" i="33"/>
  <c r="C83" i="33"/>
  <c r="M91" i="33"/>
  <c r="C105" i="33"/>
  <c r="M32" i="33"/>
  <c r="J58" i="33"/>
  <c r="M139" i="33"/>
  <c r="K79" i="33"/>
  <c r="C128" i="33"/>
  <c r="C137" i="33"/>
  <c r="J19" i="33"/>
  <c r="M26" i="33"/>
  <c r="K19" i="33"/>
  <c r="N148" i="33"/>
  <c r="C132" i="33"/>
  <c r="C35" i="33"/>
  <c r="H13" i="12"/>
  <c r="M101" i="33" l="1"/>
  <c r="M58" i="33"/>
  <c r="M148" i="33" s="1"/>
  <c r="K148" i="33"/>
  <c r="J148" i="33"/>
  <c r="BK86" i="2"/>
  <c r="BB86" i="2" l="1"/>
  <c r="BK93" i="2"/>
  <c r="BK95" i="2"/>
  <c r="BK144" i="2" l="1"/>
  <c r="BB144" i="2"/>
  <c r="BK132" i="2" l="1"/>
  <c r="BB132" i="2"/>
  <c r="BK134" i="2"/>
  <c r="BB134" i="2"/>
  <c r="BT45" i="2"/>
  <c r="BK45" i="2"/>
  <c r="BB45" i="2"/>
  <c r="CC56" i="2"/>
  <c r="BT56" i="2"/>
  <c r="BK56" i="2"/>
  <c r="BB56" i="2"/>
  <c r="CC50" i="2"/>
  <c r="BT50" i="2"/>
  <c r="BK50" i="2"/>
  <c r="BB50" i="2"/>
  <c r="CC53" i="2"/>
  <c r="BT53" i="2"/>
  <c r="BK53" i="2"/>
  <c r="BB53" i="2"/>
  <c r="BT89" i="2"/>
  <c r="BK89" i="2"/>
  <c r="BB89" i="2"/>
  <c r="BT88" i="2"/>
  <c r="BK88" i="2"/>
  <c r="BB88" i="2"/>
  <c r="BB93" i="2"/>
  <c r="BT83" i="2"/>
  <c r="BK83" i="2"/>
  <c r="BB83" i="2"/>
  <c r="BT96" i="2"/>
  <c r="BK96" i="2"/>
  <c r="BB96" i="2"/>
  <c r="BT87" i="2"/>
  <c r="BK87" i="2"/>
  <c r="BB87" i="2"/>
  <c r="D54" i="7" l="1"/>
  <c r="B54" i="7"/>
  <c r="A54" i="7"/>
  <c r="Y107" i="31"/>
  <c r="X107" i="31"/>
  <c r="W107" i="31"/>
  <c r="V107" i="31"/>
  <c r="U107" i="31"/>
  <c r="T107" i="31"/>
  <c r="S107" i="31"/>
  <c r="P107" i="31"/>
  <c r="N107" i="31"/>
  <c r="M107" i="31"/>
  <c r="K107" i="31"/>
  <c r="G107" i="31"/>
  <c r="F107" i="31"/>
  <c r="D107" i="31"/>
  <c r="C107" i="31"/>
  <c r="FI94" i="2"/>
  <c r="FH94" i="2"/>
  <c r="FG94" i="2"/>
  <c r="FF94" i="2"/>
  <c r="FE94" i="2"/>
  <c r="FC94" i="2"/>
  <c r="FB94" i="2"/>
  <c r="FA94" i="2"/>
  <c r="EY94" i="2"/>
  <c r="FJ94" i="2" s="1"/>
  <c r="FD94" i="2"/>
  <c r="FV94" i="2" s="1"/>
  <c r="EJ94" i="2"/>
  <c r="ED94" i="2"/>
  <c r="EC94" i="2"/>
  <c r="EB94" i="2"/>
  <c r="EA94" i="2"/>
  <c r="DZ94" i="2"/>
  <c r="DY94" i="2"/>
  <c r="DX94" i="2"/>
  <c r="DW94" i="2"/>
  <c r="DU94" i="2"/>
  <c r="DT94" i="2"/>
  <c r="DS94" i="2"/>
  <c r="DR94" i="2"/>
  <c r="DQ94" i="2"/>
  <c r="DP94" i="2"/>
  <c r="DO94" i="2"/>
  <c r="DN94" i="2"/>
  <c r="DL94" i="2"/>
  <c r="DK94" i="2"/>
  <c r="DJ94" i="2"/>
  <c r="DI94" i="2"/>
  <c r="DH94" i="2"/>
  <c r="DG94" i="2"/>
  <c r="DF94" i="2"/>
  <c r="DE94" i="2"/>
  <c r="DC94" i="2"/>
  <c r="DB94" i="2"/>
  <c r="DA94" i="2"/>
  <c r="CZ94" i="2"/>
  <c r="CY94" i="2"/>
  <c r="CX94" i="2"/>
  <c r="CW94" i="2"/>
  <c r="CV94" i="2"/>
  <c r="CQ94" i="2"/>
  <c r="CO94" i="2"/>
  <c r="CM94" i="2"/>
  <c r="CL94" i="2"/>
  <c r="CK94" i="2"/>
  <c r="CH94" i="2"/>
  <c r="CG94" i="2"/>
  <c r="CF94" i="2"/>
  <c r="CE94" i="2"/>
  <c r="CD94" i="2"/>
  <c r="CC94" i="2"/>
  <c r="CB94" i="2"/>
  <c r="CI94" i="2" s="1"/>
  <c r="BY94" i="2"/>
  <c r="BW94" i="2"/>
  <c r="BU94" i="2"/>
  <c r="BT94" i="2"/>
  <c r="BS94" i="2"/>
  <c r="BZ94" i="2" s="1"/>
  <c r="BP94" i="2"/>
  <c r="BN94" i="2"/>
  <c r="BL94" i="2"/>
  <c r="BK94" i="2"/>
  <c r="BJ94" i="2"/>
  <c r="BG94" i="2"/>
  <c r="EL94" i="2" s="1"/>
  <c r="BE94" i="2"/>
  <c r="BC94" i="2"/>
  <c r="EH94" i="2" s="1"/>
  <c r="BB94" i="2"/>
  <c r="BA94" i="2"/>
  <c r="AN94" i="2"/>
  <c r="CP94" i="2" s="1"/>
  <c r="AL94" i="2"/>
  <c r="CN94" i="2" s="1"/>
  <c r="AJ94" i="2"/>
  <c r="AH94" i="2"/>
  <c r="AF94" i="2"/>
  <c r="BX94" i="2" s="1"/>
  <c r="AD94" i="2"/>
  <c r="BV94" i="2" s="1"/>
  <c r="AB94" i="2"/>
  <c r="BO94" i="2" s="1"/>
  <c r="Z94" i="2"/>
  <c r="BM94" i="2" s="1"/>
  <c r="X94" i="2"/>
  <c r="BF94" i="2" s="1"/>
  <c r="V94" i="2"/>
  <c r="BD94" i="2" s="1"/>
  <c r="S94" i="2"/>
  <c r="L94" i="2"/>
  <c r="ES143" i="2"/>
  <c r="ES129" i="2"/>
  <c r="ES124" i="2"/>
  <c r="ES117" i="2"/>
  <c r="ES95" i="2"/>
  <c r="ES93" i="2"/>
  <c r="ES89" i="2"/>
  <c r="ES87" i="2"/>
  <c r="ES50" i="2"/>
  <c r="ES25" i="2"/>
  <c r="ES24" i="2"/>
  <c r="ES23" i="2"/>
  <c r="ES22" i="2"/>
  <c r="S96" i="2"/>
  <c r="S95" i="2"/>
  <c r="S93" i="2"/>
  <c r="S104" i="2"/>
  <c r="E54" i="7" l="1"/>
  <c r="I54" i="7"/>
  <c r="K54" i="7"/>
  <c r="L54" i="7"/>
  <c r="M54" i="7"/>
  <c r="P54" i="7"/>
  <c r="Q54" i="7"/>
  <c r="R54" i="7"/>
  <c r="S54" i="7"/>
  <c r="T54" i="7"/>
  <c r="U54" i="7"/>
  <c r="V54" i="7"/>
  <c r="Y54" i="7"/>
  <c r="F54" i="7"/>
  <c r="EE94" i="2"/>
  <c r="EG94" i="2"/>
  <c r="I107" i="31" s="1"/>
  <c r="H54" i="7" s="1"/>
  <c r="DM94" i="2"/>
  <c r="EF94" i="2"/>
  <c r="DV94" i="2"/>
  <c r="DD94" i="2"/>
  <c r="FR94" i="2"/>
  <c r="EI94" i="2"/>
  <c r="L107" i="31" s="1"/>
  <c r="J54" i="7" s="1"/>
  <c r="BH94" i="2"/>
  <c r="BI94" i="2" s="1"/>
  <c r="FS94" i="2"/>
  <c r="EK94" i="2"/>
  <c r="CA94" i="2"/>
  <c r="CJ94" i="2"/>
  <c r="CR94" i="2"/>
  <c r="CS94" i="2"/>
  <c r="BQ94" i="2"/>
  <c r="BR94" i="2"/>
  <c r="FU94" i="2" l="1"/>
  <c r="H107" i="31"/>
  <c r="EM94" i="2"/>
  <c r="J107" i="31" l="1"/>
  <c r="Q107" i="31" s="1"/>
  <c r="G54" i="7"/>
  <c r="E107" i="31"/>
  <c r="R107" i="31"/>
  <c r="EN94" i="2"/>
  <c r="FT94" i="2" s="1"/>
  <c r="Z107" i="31" l="1"/>
  <c r="W54" i="7" s="1"/>
  <c r="O54" i="7"/>
  <c r="N54" i="7"/>
  <c r="AA107" i="31"/>
  <c r="EX124" i="2"/>
  <c r="ES88" i="2"/>
  <c r="AC107" i="31" l="1"/>
  <c r="Z54" i="7" s="1"/>
  <c r="X54" i="7"/>
  <c r="J24" i="13"/>
  <c r="A53" i="7"/>
  <c r="C118" i="31"/>
  <c r="D53" i="7" s="1"/>
  <c r="J114" i="2"/>
  <c r="FI110" i="2"/>
  <c r="FH110" i="2"/>
  <c r="FG110" i="2"/>
  <c r="FF110" i="2"/>
  <c r="FE110" i="2"/>
  <c r="FD110" i="2"/>
  <c r="FC110" i="2"/>
  <c r="FB110" i="2"/>
  <c r="FA110" i="2"/>
  <c r="EY110" i="2"/>
  <c r="FJ110" i="2" s="1"/>
  <c r="EJ110" i="2"/>
  <c r="ED110" i="2"/>
  <c r="EC110" i="2"/>
  <c r="EB110" i="2"/>
  <c r="EA110" i="2"/>
  <c r="DZ110" i="2"/>
  <c r="DY110" i="2"/>
  <c r="DX110" i="2"/>
  <c r="DW110" i="2"/>
  <c r="DU110" i="2"/>
  <c r="DT110" i="2"/>
  <c r="DS110" i="2"/>
  <c r="DR110" i="2"/>
  <c r="DQ110" i="2"/>
  <c r="DP110" i="2"/>
  <c r="DO110" i="2"/>
  <c r="DN110" i="2"/>
  <c r="DL110" i="2"/>
  <c r="DK110" i="2"/>
  <c r="DJ110" i="2"/>
  <c r="DI110" i="2"/>
  <c r="DH110" i="2"/>
  <c r="DG110" i="2"/>
  <c r="DF110" i="2"/>
  <c r="DE110" i="2"/>
  <c r="DC110" i="2"/>
  <c r="DB110" i="2"/>
  <c r="DA110" i="2"/>
  <c r="CZ110" i="2"/>
  <c r="CY110" i="2"/>
  <c r="CX110" i="2"/>
  <c r="CW110" i="2"/>
  <c r="CV110" i="2"/>
  <c r="CQ110" i="2"/>
  <c r="CO110" i="2"/>
  <c r="CM110" i="2"/>
  <c r="CL110" i="2"/>
  <c r="CK110" i="2"/>
  <c r="CH110" i="2"/>
  <c r="CF110" i="2"/>
  <c r="CD110" i="2"/>
  <c r="CC110" i="2"/>
  <c r="CB110" i="2"/>
  <c r="BY110" i="2"/>
  <c r="BW110" i="2"/>
  <c r="BU110" i="2"/>
  <c r="BT110" i="2"/>
  <c r="BS110" i="2"/>
  <c r="BP110" i="2"/>
  <c r="BN110" i="2"/>
  <c r="BL110" i="2"/>
  <c r="BK110" i="2"/>
  <c r="BJ110" i="2"/>
  <c r="BG110" i="2"/>
  <c r="EL110" i="2" s="1"/>
  <c r="BE110" i="2"/>
  <c r="BC110" i="2"/>
  <c r="BB110" i="2"/>
  <c r="BA110" i="2"/>
  <c r="AN110" i="2"/>
  <c r="CP110" i="2" s="1"/>
  <c r="AL110" i="2"/>
  <c r="CN110" i="2" s="1"/>
  <c r="AJ110" i="2"/>
  <c r="CG110" i="2" s="1"/>
  <c r="AH110" i="2"/>
  <c r="CE110" i="2" s="1"/>
  <c r="AF110" i="2"/>
  <c r="BX110" i="2" s="1"/>
  <c r="AD110" i="2"/>
  <c r="BV110" i="2" s="1"/>
  <c r="AB110" i="2"/>
  <c r="BO110" i="2" s="1"/>
  <c r="Z110" i="2"/>
  <c r="BM110" i="2" s="1"/>
  <c r="X110" i="2"/>
  <c r="BF110" i="2" s="1"/>
  <c r="V110" i="2"/>
  <c r="BD110" i="2" s="1"/>
  <c r="S110" i="2"/>
  <c r="L110" i="2"/>
  <c r="CC129" i="2"/>
  <c r="BT93" i="2"/>
  <c r="BK129" i="2"/>
  <c r="BK122" i="2"/>
  <c r="BK82" i="2"/>
  <c r="BK11" i="2"/>
  <c r="BB129" i="2"/>
  <c r="BB122" i="2"/>
  <c r="BB82" i="2"/>
  <c r="BB11" i="2"/>
  <c r="BJ288" i="2"/>
  <c r="A52" i="7"/>
  <c r="A51" i="7"/>
  <c r="C123" i="31"/>
  <c r="C52" i="31"/>
  <c r="CC44" i="2"/>
  <c r="BK44" i="2"/>
  <c r="BB44" i="2"/>
  <c r="L44" i="2"/>
  <c r="FH44" i="2"/>
  <c r="FG44" i="2"/>
  <c r="FF44" i="2"/>
  <c r="FE44" i="2"/>
  <c r="FD44" i="2"/>
  <c r="FC44" i="2"/>
  <c r="FB44" i="2"/>
  <c r="FA44" i="2"/>
  <c r="EY44" i="2"/>
  <c r="FJ44" i="2" s="1"/>
  <c r="EJ44" i="2"/>
  <c r="ED44" i="2"/>
  <c r="EC44" i="2"/>
  <c r="EB44" i="2"/>
  <c r="EA44" i="2"/>
  <c r="DZ44" i="2"/>
  <c r="DY44" i="2"/>
  <c r="DX44" i="2"/>
  <c r="DW44" i="2"/>
  <c r="DU44" i="2"/>
  <c r="DT44" i="2"/>
  <c r="DS44" i="2"/>
  <c r="DR44" i="2"/>
  <c r="DQ44" i="2"/>
  <c r="DP44" i="2"/>
  <c r="DO44" i="2"/>
  <c r="DN44" i="2"/>
  <c r="DL44" i="2"/>
  <c r="DK44" i="2"/>
  <c r="DJ44" i="2"/>
  <c r="DI44" i="2"/>
  <c r="DH44" i="2"/>
  <c r="DG44" i="2"/>
  <c r="DF44" i="2"/>
  <c r="DE44" i="2"/>
  <c r="DC44" i="2"/>
  <c r="DB44" i="2"/>
  <c r="DA44" i="2"/>
  <c r="CZ44" i="2"/>
  <c r="CY44" i="2"/>
  <c r="CX44" i="2"/>
  <c r="CW44" i="2"/>
  <c r="CV44" i="2"/>
  <c r="CQ44" i="2"/>
  <c r="CO44" i="2"/>
  <c r="CM44" i="2"/>
  <c r="CL44" i="2"/>
  <c r="CK44" i="2"/>
  <c r="CH44" i="2"/>
  <c r="CF44" i="2"/>
  <c r="CD44" i="2"/>
  <c r="CB44" i="2"/>
  <c r="BY44" i="2"/>
  <c r="BW44" i="2"/>
  <c r="BU44" i="2"/>
  <c r="BT44" i="2"/>
  <c r="BS44" i="2"/>
  <c r="BP44" i="2"/>
  <c r="BN44" i="2"/>
  <c r="BL44" i="2"/>
  <c r="BJ44" i="2"/>
  <c r="BG44" i="2"/>
  <c r="BE44" i="2"/>
  <c r="BC44" i="2"/>
  <c r="BA44" i="2"/>
  <c r="AN44" i="2"/>
  <c r="CP44" i="2" s="1"/>
  <c r="AL44" i="2"/>
  <c r="CN44" i="2" s="1"/>
  <c r="AJ44" i="2"/>
  <c r="CG44" i="2" s="1"/>
  <c r="AH44" i="2"/>
  <c r="CE44" i="2" s="1"/>
  <c r="AF44" i="2"/>
  <c r="BX44" i="2" s="1"/>
  <c r="AD44" i="2"/>
  <c r="BV44" i="2" s="1"/>
  <c r="AB44" i="2"/>
  <c r="BO44" i="2" s="1"/>
  <c r="Z44" i="2"/>
  <c r="BM44" i="2" s="1"/>
  <c r="X44" i="2"/>
  <c r="BF44" i="2" s="1"/>
  <c r="V44" i="2"/>
  <c r="BD44" i="2" s="1"/>
  <c r="S44" i="2"/>
  <c r="FI106" i="2"/>
  <c r="FH106" i="2"/>
  <c r="FG106" i="2"/>
  <c r="FF106" i="2"/>
  <c r="FE106" i="2"/>
  <c r="FD106" i="2"/>
  <c r="FC106" i="2"/>
  <c r="FB106" i="2"/>
  <c r="FA106" i="2"/>
  <c r="EY106" i="2"/>
  <c r="FJ106" i="2" s="1"/>
  <c r="EJ106" i="2"/>
  <c r="ED106" i="2"/>
  <c r="EC106" i="2"/>
  <c r="EB106" i="2"/>
  <c r="EA106" i="2"/>
  <c r="DZ106" i="2"/>
  <c r="DY106" i="2"/>
  <c r="DX106" i="2"/>
  <c r="DW106" i="2"/>
  <c r="DU106" i="2"/>
  <c r="DT106" i="2"/>
  <c r="DS106" i="2"/>
  <c r="DR106" i="2"/>
  <c r="DQ106" i="2"/>
  <c r="DP106" i="2"/>
  <c r="DO106" i="2"/>
  <c r="DN106" i="2"/>
  <c r="DL106" i="2"/>
  <c r="DK106" i="2"/>
  <c r="DJ106" i="2"/>
  <c r="DI106" i="2"/>
  <c r="DH106" i="2"/>
  <c r="DG106" i="2"/>
  <c r="DF106" i="2"/>
  <c r="DE106" i="2"/>
  <c r="DC106" i="2"/>
  <c r="DB106" i="2"/>
  <c r="DA106" i="2"/>
  <c r="CZ106" i="2"/>
  <c r="CY106" i="2"/>
  <c r="CX106" i="2"/>
  <c r="CW106" i="2"/>
  <c r="CV106" i="2"/>
  <c r="CQ106" i="2"/>
  <c r="CO106" i="2"/>
  <c r="CM106" i="2"/>
  <c r="CL106" i="2"/>
  <c r="CK106" i="2"/>
  <c r="CH106" i="2"/>
  <c r="CF106" i="2"/>
  <c r="CD106" i="2"/>
  <c r="CC106" i="2"/>
  <c r="CB106" i="2"/>
  <c r="BY106" i="2"/>
  <c r="BW106" i="2"/>
  <c r="BU106" i="2"/>
  <c r="BT106" i="2"/>
  <c r="BS106" i="2"/>
  <c r="BP106" i="2"/>
  <c r="BN106" i="2"/>
  <c r="BL106" i="2"/>
  <c r="BK106" i="2"/>
  <c r="BJ106" i="2"/>
  <c r="BG106" i="2"/>
  <c r="BE106" i="2"/>
  <c r="BC106" i="2"/>
  <c r="BB106" i="2"/>
  <c r="BA106" i="2"/>
  <c r="AN106" i="2"/>
  <c r="CP106" i="2" s="1"/>
  <c r="AL106" i="2"/>
  <c r="CN106" i="2" s="1"/>
  <c r="AJ106" i="2"/>
  <c r="CG106" i="2" s="1"/>
  <c r="AH106" i="2"/>
  <c r="CE106" i="2" s="1"/>
  <c r="AF106" i="2"/>
  <c r="BX106" i="2" s="1"/>
  <c r="AD106" i="2"/>
  <c r="BV106" i="2" s="1"/>
  <c r="AB106" i="2"/>
  <c r="BO106" i="2" s="1"/>
  <c r="Z106" i="2"/>
  <c r="BM106" i="2" s="1"/>
  <c r="X106" i="2"/>
  <c r="BF106" i="2" s="1"/>
  <c r="V106" i="2"/>
  <c r="BD106" i="2" s="1"/>
  <c r="S106" i="2"/>
  <c r="L106" i="2"/>
  <c r="J10" i="32"/>
  <c r="G39" i="32"/>
  <c r="C36" i="32"/>
  <c r="ES91" i="2"/>
  <c r="H18" i="12"/>
  <c r="FD132" i="2"/>
  <c r="FA132" i="2"/>
  <c r="A50" i="7"/>
  <c r="C11" i="31"/>
  <c r="FI11" i="2"/>
  <c r="FH11" i="2"/>
  <c r="FG11" i="2"/>
  <c r="FF11" i="2"/>
  <c r="FE11" i="2"/>
  <c r="FD11" i="2"/>
  <c r="FC11" i="2"/>
  <c r="FB11" i="2"/>
  <c r="FA11" i="2"/>
  <c r="EY11" i="2"/>
  <c r="EJ11" i="2"/>
  <c r="EE11" i="2"/>
  <c r="ED11" i="2"/>
  <c r="EC11" i="2"/>
  <c r="EB11" i="2"/>
  <c r="EA11" i="2"/>
  <c r="DZ11" i="2"/>
  <c r="DY11" i="2"/>
  <c r="DX11" i="2"/>
  <c r="DW11" i="2"/>
  <c r="DU11" i="2"/>
  <c r="DT11" i="2"/>
  <c r="DS11" i="2"/>
  <c r="DR11" i="2"/>
  <c r="DQ11" i="2"/>
  <c r="DP11" i="2"/>
  <c r="DO11" i="2"/>
  <c r="DN11" i="2"/>
  <c r="DL11" i="2"/>
  <c r="DK11" i="2"/>
  <c r="DJ11" i="2"/>
  <c r="DI11" i="2"/>
  <c r="DH11" i="2"/>
  <c r="DG11" i="2"/>
  <c r="DF11" i="2"/>
  <c r="DE11" i="2"/>
  <c r="DC11" i="2"/>
  <c r="DB11" i="2"/>
  <c r="DA11" i="2"/>
  <c r="CZ11" i="2"/>
  <c r="CY11" i="2"/>
  <c r="CX11" i="2"/>
  <c r="CW11" i="2"/>
  <c r="CV11" i="2"/>
  <c r="CQ11" i="2"/>
  <c r="CO11" i="2"/>
  <c r="CM11" i="2"/>
  <c r="CL11" i="2"/>
  <c r="CK11" i="2"/>
  <c r="CH11" i="2"/>
  <c r="CF11" i="2"/>
  <c r="CD11" i="2"/>
  <c r="CC11" i="2"/>
  <c r="CB11" i="2"/>
  <c r="BY11" i="2"/>
  <c r="BW11" i="2"/>
  <c r="BU11" i="2"/>
  <c r="BT11" i="2"/>
  <c r="EG11" i="2" s="1"/>
  <c r="BS11" i="2"/>
  <c r="BP11" i="2"/>
  <c r="BN11" i="2"/>
  <c r="BL11" i="2"/>
  <c r="BJ11" i="2"/>
  <c r="BG11" i="2"/>
  <c r="BE11" i="2"/>
  <c r="BC11" i="2"/>
  <c r="BA11" i="2"/>
  <c r="AN11" i="2"/>
  <c r="CP11" i="2" s="1"/>
  <c r="AL11" i="2"/>
  <c r="CN11" i="2" s="1"/>
  <c r="AJ11" i="2"/>
  <c r="CG11" i="2" s="1"/>
  <c r="AH11" i="2"/>
  <c r="CE11" i="2" s="1"/>
  <c r="AF11" i="2"/>
  <c r="BX11" i="2" s="1"/>
  <c r="AD11" i="2"/>
  <c r="BV11" i="2" s="1"/>
  <c r="AB11" i="2"/>
  <c r="BO11" i="2" s="1"/>
  <c r="Z11" i="2"/>
  <c r="BM11" i="2" s="1"/>
  <c r="X11" i="2"/>
  <c r="BF11" i="2" s="1"/>
  <c r="V11" i="2"/>
  <c r="BD11" i="2" s="1"/>
  <c r="S11" i="2"/>
  <c r="L11" i="2"/>
  <c r="C41" i="31"/>
  <c r="FH36" i="2"/>
  <c r="FG36" i="2"/>
  <c r="FF36" i="2"/>
  <c r="FE36" i="2"/>
  <c r="FD36" i="2"/>
  <c r="FC36" i="2"/>
  <c r="FB36" i="2"/>
  <c r="FA36" i="2"/>
  <c r="EY36" i="2"/>
  <c r="FJ36" i="2" s="1"/>
  <c r="EJ36" i="2"/>
  <c r="ED36" i="2"/>
  <c r="EC36" i="2"/>
  <c r="EB36" i="2"/>
  <c r="EA36" i="2"/>
  <c r="DZ36" i="2"/>
  <c r="DY36" i="2"/>
  <c r="DX36" i="2"/>
  <c r="DW36" i="2"/>
  <c r="DU36" i="2"/>
  <c r="DT36" i="2"/>
  <c r="DS36" i="2"/>
  <c r="DR36" i="2"/>
  <c r="DQ36" i="2"/>
  <c r="DP36" i="2"/>
  <c r="DO36" i="2"/>
  <c r="DN36" i="2"/>
  <c r="DL36" i="2"/>
  <c r="DK36" i="2"/>
  <c r="DJ36" i="2"/>
  <c r="DI36" i="2"/>
  <c r="DH36" i="2"/>
  <c r="DG36" i="2"/>
  <c r="DF36" i="2"/>
  <c r="DE36" i="2"/>
  <c r="DC36" i="2"/>
  <c r="DB36" i="2"/>
  <c r="DA36" i="2"/>
  <c r="CZ36" i="2"/>
  <c r="CY36" i="2"/>
  <c r="CX36" i="2"/>
  <c r="CW36" i="2"/>
  <c r="CV36" i="2"/>
  <c r="CQ36" i="2"/>
  <c r="CO36" i="2"/>
  <c r="CM36" i="2"/>
  <c r="CL36" i="2"/>
  <c r="CK36" i="2"/>
  <c r="CH36" i="2"/>
  <c r="CF36" i="2"/>
  <c r="CD36" i="2"/>
  <c r="CC36" i="2"/>
  <c r="CB36" i="2"/>
  <c r="BY36" i="2"/>
  <c r="BW36" i="2"/>
  <c r="BU36" i="2"/>
  <c r="BT36" i="2"/>
  <c r="BS36" i="2"/>
  <c r="BP36" i="2"/>
  <c r="BN36" i="2"/>
  <c r="BL36" i="2"/>
  <c r="BK36" i="2"/>
  <c r="BJ36" i="2"/>
  <c r="BG36" i="2"/>
  <c r="EL36" i="2" s="1"/>
  <c r="BE36" i="2"/>
  <c r="BC36" i="2"/>
  <c r="BB36" i="2"/>
  <c r="BA36" i="2"/>
  <c r="AN36" i="2"/>
  <c r="CP36" i="2" s="1"/>
  <c r="AL36" i="2"/>
  <c r="CN36" i="2" s="1"/>
  <c r="AJ36" i="2"/>
  <c r="CG36" i="2" s="1"/>
  <c r="AH36" i="2"/>
  <c r="CE36" i="2" s="1"/>
  <c r="AF36" i="2"/>
  <c r="BX36" i="2" s="1"/>
  <c r="AD36" i="2"/>
  <c r="BV36" i="2" s="1"/>
  <c r="AB36" i="2"/>
  <c r="BO36" i="2" s="1"/>
  <c r="Z36" i="2"/>
  <c r="BM36" i="2" s="1"/>
  <c r="X36" i="2"/>
  <c r="BF36" i="2" s="1"/>
  <c r="V36" i="2"/>
  <c r="BD36" i="2" s="1"/>
  <c r="S36" i="2"/>
  <c r="L36" i="2"/>
  <c r="D6" i="7"/>
  <c r="DB53" i="2"/>
  <c r="J26" i="2"/>
  <c r="C28" i="31"/>
  <c r="FI24" i="2"/>
  <c r="FH24" i="2"/>
  <c r="FG24" i="2"/>
  <c r="FF24" i="2"/>
  <c r="FE24" i="2"/>
  <c r="FC24" i="2"/>
  <c r="FB24" i="2"/>
  <c r="FA24" i="2"/>
  <c r="EY24" i="2"/>
  <c r="FJ24" i="2" s="1"/>
  <c r="EJ24" i="2"/>
  <c r="ED24" i="2"/>
  <c r="EC24" i="2"/>
  <c r="EB24" i="2"/>
  <c r="EA24" i="2"/>
  <c r="DZ24" i="2"/>
  <c r="DY24" i="2"/>
  <c r="DX24" i="2"/>
  <c r="DW24" i="2"/>
  <c r="DU24" i="2"/>
  <c r="DT24" i="2"/>
  <c r="DS24" i="2"/>
  <c r="DR24" i="2"/>
  <c r="DQ24" i="2"/>
  <c r="DP24" i="2"/>
  <c r="DO24" i="2"/>
  <c r="DN24" i="2"/>
  <c r="DL24" i="2"/>
  <c r="DK24" i="2"/>
  <c r="DJ24" i="2"/>
  <c r="DI24" i="2"/>
  <c r="DH24" i="2"/>
  <c r="DG24" i="2"/>
  <c r="DF24" i="2"/>
  <c r="DE24" i="2"/>
  <c r="DC24" i="2"/>
  <c r="DB24" i="2"/>
  <c r="DA24" i="2"/>
  <c r="CZ24" i="2"/>
  <c r="CY24" i="2"/>
  <c r="CX24" i="2"/>
  <c r="CW24" i="2"/>
  <c r="CV24" i="2"/>
  <c r="CH24" i="2"/>
  <c r="CF24" i="2"/>
  <c r="CD24" i="2"/>
  <c r="CC24" i="2"/>
  <c r="CB24" i="2"/>
  <c r="BY24" i="2"/>
  <c r="BW24" i="2"/>
  <c r="BU24" i="2"/>
  <c r="BT24" i="2"/>
  <c r="BS24" i="2"/>
  <c r="BP24" i="2"/>
  <c r="BN24" i="2"/>
  <c r="BL24" i="2"/>
  <c r="BK24" i="2"/>
  <c r="BJ24" i="2"/>
  <c r="BG24" i="2"/>
  <c r="EL24" i="2" s="1"/>
  <c r="BE24" i="2"/>
  <c r="BC24" i="2"/>
  <c r="BB24" i="2"/>
  <c r="BA24" i="2"/>
  <c r="AJ24" i="2"/>
  <c r="CG24" i="2" s="1"/>
  <c r="AH24" i="2"/>
  <c r="CE24" i="2" s="1"/>
  <c r="AF24" i="2"/>
  <c r="BX24" i="2" s="1"/>
  <c r="AD24" i="2"/>
  <c r="BV24" i="2" s="1"/>
  <c r="AB24" i="2"/>
  <c r="BO24" i="2" s="1"/>
  <c r="Z24" i="2"/>
  <c r="BM24" i="2" s="1"/>
  <c r="X24" i="2"/>
  <c r="BF24" i="2" s="1"/>
  <c r="V24" i="2"/>
  <c r="BD24" i="2" s="1"/>
  <c r="S24" i="2"/>
  <c r="L24" i="2"/>
  <c r="D24" i="2"/>
  <c r="B24" i="2"/>
  <c r="A24" i="2"/>
  <c r="C24" i="2" s="1"/>
  <c r="ET91" i="2"/>
  <c r="BT95" i="2"/>
  <c r="BB143" i="2"/>
  <c r="BB95" i="2"/>
  <c r="GB91" i="2"/>
  <c r="GA91" i="2"/>
  <c r="FZ91" i="2"/>
  <c r="FY91" i="2"/>
  <c r="FX91" i="2"/>
  <c r="FW91" i="2"/>
  <c r="FQ91" i="2"/>
  <c r="FO91" i="2"/>
  <c r="FN91" i="2"/>
  <c r="FM91" i="2"/>
  <c r="FL91" i="2"/>
  <c r="FK91" i="2"/>
  <c r="EZ91" i="2"/>
  <c r="EX91" i="2"/>
  <c r="EW91" i="2"/>
  <c r="EV91" i="2"/>
  <c r="EU91" i="2"/>
  <c r="ER91" i="2"/>
  <c r="EQ91" i="2"/>
  <c r="EP91" i="2"/>
  <c r="EO91" i="2"/>
  <c r="CU91" i="2"/>
  <c r="CT91" i="2"/>
  <c r="GC114" i="2"/>
  <c r="GB114" i="2"/>
  <c r="GA114" i="2"/>
  <c r="FZ114" i="2"/>
  <c r="FY114" i="2"/>
  <c r="FX114" i="2"/>
  <c r="FW114" i="2"/>
  <c r="FQ114" i="2"/>
  <c r="FP114" i="2"/>
  <c r="FO114" i="2"/>
  <c r="FN114" i="2"/>
  <c r="FM114" i="2"/>
  <c r="FL114" i="2"/>
  <c r="FK114" i="2"/>
  <c r="EZ114" i="2"/>
  <c r="EX114" i="2"/>
  <c r="EW114" i="2"/>
  <c r="EV114" i="2"/>
  <c r="EU114" i="2"/>
  <c r="ET114" i="2"/>
  <c r="ER114" i="2"/>
  <c r="EQ114" i="2"/>
  <c r="EO114" i="2"/>
  <c r="CU114" i="2"/>
  <c r="CT114" i="2"/>
  <c r="BA109" i="2"/>
  <c r="EP114" i="2"/>
  <c r="FA113" i="2"/>
  <c r="C121" i="31"/>
  <c r="K113" i="2"/>
  <c r="AZ114" i="2"/>
  <c r="AY114" i="2"/>
  <c r="AX114" i="2"/>
  <c r="AW114" i="2"/>
  <c r="AV114" i="2"/>
  <c r="AU114" i="2"/>
  <c r="AT114" i="2"/>
  <c r="AS114" i="2"/>
  <c r="AR114" i="2"/>
  <c r="AQ114" i="2"/>
  <c r="AP114" i="2"/>
  <c r="AO114" i="2"/>
  <c r="AM114" i="2"/>
  <c r="AK114" i="2"/>
  <c r="AI114" i="2"/>
  <c r="AG114" i="2"/>
  <c r="AE114" i="2"/>
  <c r="AC114" i="2"/>
  <c r="AA114" i="2"/>
  <c r="Y114" i="2"/>
  <c r="W114" i="2"/>
  <c r="U114" i="2"/>
  <c r="FI113" i="2"/>
  <c r="FH113" i="2"/>
  <c r="FG113" i="2"/>
  <c r="FF113" i="2"/>
  <c r="FE113" i="2"/>
  <c r="FC113" i="2"/>
  <c r="FB113" i="2"/>
  <c r="EY113" i="2"/>
  <c r="FJ113" i="2" s="1"/>
  <c r="EJ113" i="2"/>
  <c r="ED113" i="2"/>
  <c r="EC113" i="2"/>
  <c r="EB113" i="2"/>
  <c r="EA113" i="2"/>
  <c r="DZ113" i="2"/>
  <c r="DY113" i="2"/>
  <c r="DX113" i="2"/>
  <c r="DW113" i="2"/>
  <c r="DU113" i="2"/>
  <c r="DT113" i="2"/>
  <c r="DS113" i="2"/>
  <c r="DR113" i="2"/>
  <c r="DQ113" i="2"/>
  <c r="DP113" i="2"/>
  <c r="DO113" i="2"/>
  <c r="DN113" i="2"/>
  <c r="DL113" i="2"/>
  <c r="DK113" i="2"/>
  <c r="DJ113" i="2"/>
  <c r="DI113" i="2"/>
  <c r="DH113" i="2"/>
  <c r="DG113" i="2"/>
  <c r="DF113" i="2"/>
  <c r="DE113" i="2"/>
  <c r="DC113" i="2"/>
  <c r="DB113" i="2"/>
  <c r="DA113" i="2"/>
  <c r="CZ113" i="2"/>
  <c r="CY113" i="2"/>
  <c r="CX113" i="2"/>
  <c r="CW113" i="2"/>
  <c r="CV113" i="2"/>
  <c r="CQ113" i="2"/>
  <c r="CO113" i="2"/>
  <c r="CM113" i="2"/>
  <c r="CK113" i="2"/>
  <c r="CH113" i="2"/>
  <c r="CF113" i="2"/>
  <c r="CD113" i="2"/>
  <c r="CB113" i="2"/>
  <c r="BY113" i="2"/>
  <c r="BW113" i="2"/>
  <c r="BU113" i="2"/>
  <c r="BS113" i="2"/>
  <c r="BP113" i="2"/>
  <c r="BN113" i="2"/>
  <c r="BL113" i="2"/>
  <c r="BJ113" i="2"/>
  <c r="BG113" i="2"/>
  <c r="BE113" i="2"/>
  <c r="BC113" i="2"/>
  <c r="BA113" i="2"/>
  <c r="AN113" i="2"/>
  <c r="CP113" i="2" s="1"/>
  <c r="AL113" i="2"/>
  <c r="CN113" i="2" s="1"/>
  <c r="AJ113" i="2"/>
  <c r="CG113" i="2" s="1"/>
  <c r="AH113" i="2"/>
  <c r="CE113" i="2" s="1"/>
  <c r="AF113" i="2"/>
  <c r="BX113" i="2" s="1"/>
  <c r="AD113" i="2"/>
  <c r="BV113" i="2" s="1"/>
  <c r="AB113" i="2"/>
  <c r="BO113" i="2" s="1"/>
  <c r="Z113" i="2"/>
  <c r="BM113" i="2" s="1"/>
  <c r="X113" i="2"/>
  <c r="BF113" i="2" s="1"/>
  <c r="V113" i="2"/>
  <c r="BD113" i="2" s="1"/>
  <c r="S113" i="2"/>
  <c r="B113" i="2"/>
  <c r="A113" i="2"/>
  <c r="C113" i="2" s="1"/>
  <c r="C42" i="31"/>
  <c r="FI37" i="2"/>
  <c r="FH37" i="2"/>
  <c r="FG37" i="2"/>
  <c r="FF37" i="2"/>
  <c r="FE37" i="2"/>
  <c r="FD37" i="2"/>
  <c r="FC37" i="2"/>
  <c r="FB37" i="2"/>
  <c r="FA37" i="2"/>
  <c r="EY37" i="2"/>
  <c r="EJ37" i="2"/>
  <c r="ED37" i="2"/>
  <c r="EC37" i="2"/>
  <c r="EB37" i="2"/>
  <c r="EA37" i="2"/>
  <c r="DZ37" i="2"/>
  <c r="DY37" i="2"/>
  <c r="DX37" i="2"/>
  <c r="DW37" i="2"/>
  <c r="DU37" i="2"/>
  <c r="DT37" i="2"/>
  <c r="DS37" i="2"/>
  <c r="DR37" i="2"/>
  <c r="DQ37" i="2"/>
  <c r="DP37" i="2"/>
  <c r="DO37" i="2"/>
  <c r="DN37" i="2"/>
  <c r="DL37" i="2"/>
  <c r="DK37" i="2"/>
  <c r="DJ37" i="2"/>
  <c r="DI37" i="2"/>
  <c r="DH37" i="2"/>
  <c r="DG37" i="2"/>
  <c r="DF37" i="2"/>
  <c r="DE37" i="2"/>
  <c r="DC37" i="2"/>
  <c r="DB37" i="2"/>
  <c r="DA37" i="2"/>
  <c r="CZ37" i="2"/>
  <c r="CY37" i="2"/>
  <c r="CX37" i="2"/>
  <c r="CW37" i="2"/>
  <c r="CV37" i="2"/>
  <c r="CQ37" i="2"/>
  <c r="CO37" i="2"/>
  <c r="CM37" i="2"/>
  <c r="CL37" i="2"/>
  <c r="CK37" i="2"/>
  <c r="CH37" i="2"/>
  <c r="CF37" i="2"/>
  <c r="CD37" i="2"/>
  <c r="CC37" i="2"/>
  <c r="CB37" i="2"/>
  <c r="BY37" i="2"/>
  <c r="BW37" i="2"/>
  <c r="BU37" i="2"/>
  <c r="BT37" i="2"/>
  <c r="BS37" i="2"/>
  <c r="BP37" i="2"/>
  <c r="BN37" i="2"/>
  <c r="BL37" i="2"/>
  <c r="BK37" i="2"/>
  <c r="BJ37" i="2"/>
  <c r="BG37" i="2"/>
  <c r="BE37" i="2"/>
  <c r="BC37" i="2"/>
  <c r="BB37" i="2"/>
  <c r="BA37" i="2"/>
  <c r="AN37" i="2"/>
  <c r="CP37" i="2" s="1"/>
  <c r="AL37" i="2"/>
  <c r="CN37" i="2" s="1"/>
  <c r="AJ37" i="2"/>
  <c r="CG37" i="2" s="1"/>
  <c r="AH37" i="2"/>
  <c r="CE37" i="2" s="1"/>
  <c r="AF37" i="2"/>
  <c r="BX37" i="2" s="1"/>
  <c r="AD37" i="2"/>
  <c r="BV37" i="2" s="1"/>
  <c r="AB37" i="2"/>
  <c r="BO37" i="2" s="1"/>
  <c r="Z37" i="2"/>
  <c r="BM37" i="2" s="1"/>
  <c r="X37" i="2"/>
  <c r="BF37" i="2" s="1"/>
  <c r="V37" i="2"/>
  <c r="BD37" i="2" s="1"/>
  <c r="S37" i="2"/>
  <c r="L37" i="2"/>
  <c r="EG44" i="2" l="1"/>
  <c r="Y52" i="31"/>
  <c r="S52" i="31"/>
  <c r="W118" i="31"/>
  <c r="T52" i="31"/>
  <c r="V118" i="31"/>
  <c r="I52" i="31"/>
  <c r="U52" i="31"/>
  <c r="X52" i="31"/>
  <c r="D118" i="31"/>
  <c r="EL37" i="2"/>
  <c r="EK110" i="2"/>
  <c r="F118" i="31"/>
  <c r="EL113" i="2"/>
  <c r="EG106" i="2"/>
  <c r="I123" i="31" s="1"/>
  <c r="G118" i="31"/>
  <c r="EL44" i="2"/>
  <c r="W52" i="31"/>
  <c r="M118" i="31"/>
  <c r="EL106" i="2"/>
  <c r="N118" i="31"/>
  <c r="X118" i="31"/>
  <c r="Y118" i="31"/>
  <c r="T118" i="31"/>
  <c r="P118" i="31"/>
  <c r="S118" i="31"/>
  <c r="B53" i="7"/>
  <c r="U118" i="31"/>
  <c r="EG110" i="2"/>
  <c r="I118" i="31" s="1"/>
  <c r="CI106" i="2"/>
  <c r="CJ106" i="2" s="1"/>
  <c r="EG24" i="2"/>
  <c r="I28" i="31" s="1"/>
  <c r="EG37" i="2"/>
  <c r="I42" i="31" s="1"/>
  <c r="CR11" i="2"/>
  <c r="CI11" i="2"/>
  <c r="E53" i="7"/>
  <c r="EE110" i="2"/>
  <c r="DV110" i="2"/>
  <c r="DM110" i="2"/>
  <c r="DD110" i="2"/>
  <c r="EH110" i="2"/>
  <c r="K118" i="31" s="1"/>
  <c r="EF110" i="2"/>
  <c r="H118" i="31" s="1"/>
  <c r="BH110" i="2"/>
  <c r="BI110" i="2" s="1"/>
  <c r="CR110" i="2"/>
  <c r="CS110" i="2" s="1"/>
  <c r="CI110" i="2"/>
  <c r="CJ110" i="2" s="1"/>
  <c r="BZ110" i="2"/>
  <c r="CA110" i="2" s="1"/>
  <c r="BQ110" i="2"/>
  <c r="BR110" i="2" s="1"/>
  <c r="EI110" i="2"/>
  <c r="L118" i="31" s="1"/>
  <c r="S28" i="31"/>
  <c r="CC113" i="2"/>
  <c r="BK113" i="2"/>
  <c r="BB113" i="2"/>
  <c r="BQ106" i="2"/>
  <c r="BR106" i="2" s="1"/>
  <c r="D51" i="7"/>
  <c r="B51" i="7"/>
  <c r="E51" i="7" s="1"/>
  <c r="Y123" i="31"/>
  <c r="X123" i="31"/>
  <c r="W123" i="31"/>
  <c r="V123" i="31"/>
  <c r="U123" i="31"/>
  <c r="T123" i="31"/>
  <c r="S123" i="31"/>
  <c r="P123" i="31"/>
  <c r="M123" i="31"/>
  <c r="G123" i="31"/>
  <c r="F123" i="31"/>
  <c r="D123" i="31"/>
  <c r="D52" i="7"/>
  <c r="B52" i="7"/>
  <c r="P52" i="31"/>
  <c r="M52" i="31"/>
  <c r="F52" i="31"/>
  <c r="D52" i="31"/>
  <c r="E52" i="7"/>
  <c r="EE44" i="2"/>
  <c r="DV44" i="2"/>
  <c r="DM44" i="2"/>
  <c r="DD44" i="2"/>
  <c r="FI44" i="2"/>
  <c r="EH44" i="2"/>
  <c r="K52" i="31" s="1"/>
  <c r="BH44" i="2"/>
  <c r="EF44" i="2"/>
  <c r="EK44" i="2"/>
  <c r="N52" i="31" s="1"/>
  <c r="FS44" i="2"/>
  <c r="EI44" i="2"/>
  <c r="L52" i="31" s="1"/>
  <c r="FR44" i="2"/>
  <c r="CR44" i="2"/>
  <c r="CS44" i="2" s="1"/>
  <c r="CI44" i="2"/>
  <c r="CJ44" i="2" s="1"/>
  <c r="BZ44" i="2"/>
  <c r="CA44" i="2" s="1"/>
  <c r="BQ44" i="2"/>
  <c r="BR44" i="2" s="1"/>
  <c r="BQ11" i="2"/>
  <c r="BR11" i="2" s="1"/>
  <c r="BZ106" i="2"/>
  <c r="CA106" i="2" s="1"/>
  <c r="EE106" i="2"/>
  <c r="DV106" i="2"/>
  <c r="DM106" i="2"/>
  <c r="DD106" i="2"/>
  <c r="EH106" i="2"/>
  <c r="K123" i="31" s="1"/>
  <c r="EF106" i="2"/>
  <c r="H123" i="31" s="1"/>
  <c r="BH106" i="2"/>
  <c r="BI106" i="2" s="1"/>
  <c r="EI106" i="2"/>
  <c r="L123" i="31" s="1"/>
  <c r="CR106" i="2"/>
  <c r="CS106" i="2" s="1"/>
  <c r="EK106" i="2"/>
  <c r="N123" i="31" s="1"/>
  <c r="J14" i="32"/>
  <c r="J16" i="32" s="1"/>
  <c r="V11" i="31"/>
  <c r="D50" i="7"/>
  <c r="U11" i="31"/>
  <c r="S11" i="31"/>
  <c r="M11" i="31"/>
  <c r="F11" i="31"/>
  <c r="B50" i="7"/>
  <c r="X11" i="31"/>
  <c r="W11" i="31"/>
  <c r="T11" i="31"/>
  <c r="I11" i="31"/>
  <c r="G11" i="31"/>
  <c r="D11" i="31"/>
  <c r="DM11" i="2"/>
  <c r="DD11" i="2"/>
  <c r="DV11" i="2"/>
  <c r="EL11" i="2"/>
  <c r="P11" i="31" s="1"/>
  <c r="BH11" i="2"/>
  <c r="BI11" i="2" s="1"/>
  <c r="FJ11" i="2"/>
  <c r="Y11" i="31" s="1"/>
  <c r="EH11" i="2"/>
  <c r="K11" i="31" s="1"/>
  <c r="BZ11" i="2"/>
  <c r="CA11" i="2" s="1"/>
  <c r="EF11" i="2"/>
  <c r="EK11" i="2"/>
  <c r="N11" i="31" s="1"/>
  <c r="FS11" i="2"/>
  <c r="EI11" i="2"/>
  <c r="L11" i="31" s="1"/>
  <c r="FR11" i="2"/>
  <c r="CS11" i="2"/>
  <c r="CJ11" i="2"/>
  <c r="DV24" i="2"/>
  <c r="U41" i="31"/>
  <c r="W41" i="31"/>
  <c r="X41" i="31"/>
  <c r="T41" i="31"/>
  <c r="S41" i="31"/>
  <c r="Y41" i="31"/>
  <c r="B49" i="7"/>
  <c r="P41" i="31"/>
  <c r="F41" i="31"/>
  <c r="D49" i="7"/>
  <c r="M41" i="31"/>
  <c r="G41" i="31"/>
  <c r="D41" i="31"/>
  <c r="EG36" i="2"/>
  <c r="I41" i="31" s="1"/>
  <c r="DV36" i="2"/>
  <c r="EE36" i="2"/>
  <c r="DM36" i="2"/>
  <c r="DD36" i="2"/>
  <c r="FI36" i="2"/>
  <c r="FR36" i="2"/>
  <c r="EI36" i="2"/>
  <c r="L41" i="31" s="1"/>
  <c r="EH36" i="2"/>
  <c r="K41" i="31" s="1"/>
  <c r="EF36" i="2"/>
  <c r="BH36" i="2"/>
  <c r="EK36" i="2"/>
  <c r="N41" i="31" s="1"/>
  <c r="FS36" i="2"/>
  <c r="CR36" i="2"/>
  <c r="CS36" i="2" s="1"/>
  <c r="CI36" i="2"/>
  <c r="CJ36" i="2" s="1"/>
  <c r="BQ36" i="2"/>
  <c r="BR36" i="2" s="1"/>
  <c r="BZ36" i="2"/>
  <c r="CA36" i="2" s="1"/>
  <c r="DM24" i="2"/>
  <c r="EE24" i="2"/>
  <c r="DD24" i="2"/>
  <c r="Y28" i="31"/>
  <c r="W28" i="31"/>
  <c r="V28" i="31"/>
  <c r="U28" i="31"/>
  <c r="T28" i="31"/>
  <c r="P28" i="31"/>
  <c r="M28" i="31"/>
  <c r="G28" i="31"/>
  <c r="F28" i="31"/>
  <c r="D28" i="31"/>
  <c r="FD24" i="2"/>
  <c r="EH24" i="2"/>
  <c r="K28" i="31" s="1"/>
  <c r="EF24" i="2"/>
  <c r="BH24" i="2"/>
  <c r="EK24" i="2"/>
  <c r="N28" i="31" s="1"/>
  <c r="FS24" i="2"/>
  <c r="EI24" i="2"/>
  <c r="L28" i="31" s="1"/>
  <c r="FR24" i="2"/>
  <c r="CI24" i="2"/>
  <c r="CJ24" i="2" s="1"/>
  <c r="BZ24" i="2"/>
  <c r="BQ24" i="2"/>
  <c r="BR24" i="2" s="1"/>
  <c r="CA24" i="2"/>
  <c r="BZ113" i="2"/>
  <c r="BQ113" i="2"/>
  <c r="BZ37" i="2"/>
  <c r="CA37" i="2" s="1"/>
  <c r="BQ37" i="2"/>
  <c r="BR37" i="2" s="1"/>
  <c r="CI113" i="2"/>
  <c r="BH113" i="2"/>
  <c r="CI37" i="2"/>
  <c r="CJ37" i="2" s="1"/>
  <c r="BH37" i="2"/>
  <c r="U42" i="31"/>
  <c r="T42" i="31"/>
  <c r="S42" i="31"/>
  <c r="X42" i="31"/>
  <c r="W42" i="31"/>
  <c r="V42" i="31"/>
  <c r="S121" i="31"/>
  <c r="B48" i="7"/>
  <c r="E48" i="7" s="1"/>
  <c r="Y121" i="31"/>
  <c r="D48" i="7"/>
  <c r="W121" i="31"/>
  <c r="V121" i="31"/>
  <c r="U121" i="31"/>
  <c r="T121" i="31"/>
  <c r="P121" i="31"/>
  <c r="M121" i="31"/>
  <c r="G121" i="31"/>
  <c r="F121" i="31"/>
  <c r="D121" i="31"/>
  <c r="ES114" i="2"/>
  <c r="EE113" i="2"/>
  <c r="DM113" i="2"/>
  <c r="DD113" i="2"/>
  <c r="DV113" i="2"/>
  <c r="K114" i="2"/>
  <c r="CL113" i="2"/>
  <c r="BT113" i="2"/>
  <c r="L113" i="2"/>
  <c r="FD113" i="2"/>
  <c r="X121" i="31" s="1"/>
  <c r="EH113" i="2"/>
  <c r="K121" i="31" s="1"/>
  <c r="EF113" i="2"/>
  <c r="H121" i="31" s="1"/>
  <c r="EK113" i="2"/>
  <c r="N121" i="31" s="1"/>
  <c r="FS113" i="2"/>
  <c r="EI113" i="2"/>
  <c r="L121" i="31" s="1"/>
  <c r="FR113" i="2"/>
  <c r="CR113" i="2"/>
  <c r="D47" i="7"/>
  <c r="B47" i="7"/>
  <c r="E47" i="7" s="1"/>
  <c r="P42" i="31"/>
  <c r="M42" i="31"/>
  <c r="G42" i="31"/>
  <c r="F42" i="31"/>
  <c r="D42" i="31"/>
  <c r="DD37" i="2"/>
  <c r="EE37" i="2"/>
  <c r="DV37" i="2"/>
  <c r="DM37" i="2"/>
  <c r="FJ37" i="2"/>
  <c r="EH37" i="2"/>
  <c r="K42" i="31" s="1"/>
  <c r="EF37" i="2"/>
  <c r="FS37" i="2"/>
  <c r="EK37" i="2"/>
  <c r="N42" i="31" s="1"/>
  <c r="EI37" i="2"/>
  <c r="L42" i="31" s="1"/>
  <c r="FR37" i="2"/>
  <c r="CR37" i="2"/>
  <c r="CS37" i="2" s="1"/>
  <c r="FV11" i="2" l="1"/>
  <c r="J118" i="31"/>
  <c r="Q118" i="31" s="1"/>
  <c r="E118" i="31"/>
  <c r="R118" i="31"/>
  <c r="EM110" i="2"/>
  <c r="EN110" i="2" s="1"/>
  <c r="J123" i="31"/>
  <c r="Q123" i="31" s="1"/>
  <c r="E123" i="31"/>
  <c r="R123" i="31"/>
  <c r="Z123" i="31" s="1"/>
  <c r="FU44" i="2"/>
  <c r="H52" i="31"/>
  <c r="FV44" i="2"/>
  <c r="V52" i="31"/>
  <c r="EM44" i="2"/>
  <c r="EN44" i="2" s="1"/>
  <c r="BI44" i="2"/>
  <c r="EM106" i="2"/>
  <c r="EN106" i="2" s="1"/>
  <c r="FU11" i="2"/>
  <c r="H11" i="31"/>
  <c r="E50" i="7"/>
  <c r="EM11" i="2"/>
  <c r="EN11" i="2" s="1"/>
  <c r="FT11" i="2" s="1"/>
  <c r="E49" i="7"/>
  <c r="FV36" i="2"/>
  <c r="V41" i="31"/>
  <c r="FU36" i="2"/>
  <c r="H41" i="31"/>
  <c r="EM36" i="2"/>
  <c r="EN36" i="2" s="1"/>
  <c r="BI36" i="2"/>
  <c r="FV24" i="2"/>
  <c r="X28" i="31"/>
  <c r="FU24" i="2"/>
  <c r="H28" i="31"/>
  <c r="EM24" i="2"/>
  <c r="EN24" i="2" s="1"/>
  <c r="BI24" i="2"/>
  <c r="E121" i="31"/>
  <c r="R121" i="31"/>
  <c r="Z121" i="31" s="1"/>
  <c r="FV113" i="2"/>
  <c r="FU113" i="2"/>
  <c r="EG113" i="2"/>
  <c r="I121" i="31" s="1"/>
  <c r="J121" i="31" s="1"/>
  <c r="Q121" i="31" s="1"/>
  <c r="CJ113" i="2"/>
  <c r="BR113" i="2"/>
  <c r="CS113" i="2"/>
  <c r="CA113" i="2"/>
  <c r="EM113" i="2"/>
  <c r="BI113" i="2"/>
  <c r="FV37" i="2"/>
  <c r="Y42" i="31"/>
  <c r="FU37" i="2"/>
  <c r="H42" i="31"/>
  <c r="EM37" i="2"/>
  <c r="EN37" i="2" s="1"/>
  <c r="BI37" i="2"/>
  <c r="AF22" i="2"/>
  <c r="BA50" i="2"/>
  <c r="L144" i="2"/>
  <c r="L143" i="2"/>
  <c r="C51" i="31"/>
  <c r="FI46" i="2"/>
  <c r="FH46" i="2"/>
  <c r="FG46" i="2"/>
  <c r="FF46" i="2"/>
  <c r="FE46" i="2"/>
  <c r="FD46" i="2"/>
  <c r="FC46" i="2"/>
  <c r="FB46" i="2"/>
  <c r="FA46" i="2"/>
  <c r="EY46" i="2"/>
  <c r="EJ46" i="2"/>
  <c r="ED46" i="2"/>
  <c r="EC46" i="2"/>
  <c r="EB46" i="2"/>
  <c r="EA46" i="2"/>
  <c r="DZ46" i="2"/>
  <c r="DY46" i="2"/>
  <c r="DX46" i="2"/>
  <c r="DW46" i="2"/>
  <c r="DU46" i="2"/>
  <c r="DT46" i="2"/>
  <c r="DS46" i="2"/>
  <c r="DR46" i="2"/>
  <c r="DQ46" i="2"/>
  <c r="DP46" i="2"/>
  <c r="DO46" i="2"/>
  <c r="DN46" i="2"/>
  <c r="DL46" i="2"/>
  <c r="DK46" i="2"/>
  <c r="DJ46" i="2"/>
  <c r="DI46" i="2"/>
  <c r="DH46" i="2"/>
  <c r="DG46" i="2"/>
  <c r="DF46" i="2"/>
  <c r="DE46" i="2"/>
  <c r="DC46" i="2"/>
  <c r="DB46" i="2"/>
  <c r="DA46" i="2"/>
  <c r="CZ46" i="2"/>
  <c r="CY46" i="2"/>
  <c r="CX46" i="2"/>
  <c r="CW46" i="2"/>
  <c r="CV46" i="2"/>
  <c r="CQ46" i="2"/>
  <c r="CO46" i="2"/>
  <c r="CM46" i="2"/>
  <c r="CL46" i="2"/>
  <c r="CK46" i="2"/>
  <c r="CH46" i="2"/>
  <c r="CF46" i="2"/>
  <c r="CD46" i="2"/>
  <c r="CC46" i="2"/>
  <c r="CB46" i="2"/>
  <c r="BY46" i="2"/>
  <c r="BW46" i="2"/>
  <c r="BU46" i="2"/>
  <c r="BT46" i="2"/>
  <c r="BS46" i="2"/>
  <c r="BP46" i="2"/>
  <c r="BN46" i="2"/>
  <c r="BL46" i="2"/>
  <c r="BK46" i="2"/>
  <c r="BJ46" i="2"/>
  <c r="BG46" i="2"/>
  <c r="BE46" i="2"/>
  <c r="BC46" i="2"/>
  <c r="BB46" i="2"/>
  <c r="BA46" i="2"/>
  <c r="AN46" i="2"/>
  <c r="CP46" i="2" s="1"/>
  <c r="AL46" i="2"/>
  <c r="CN46" i="2" s="1"/>
  <c r="AJ46" i="2"/>
  <c r="CG46" i="2" s="1"/>
  <c r="AH46" i="2"/>
  <c r="CE46" i="2" s="1"/>
  <c r="AF46" i="2"/>
  <c r="BX46" i="2" s="1"/>
  <c r="AD46" i="2"/>
  <c r="BV46" i="2" s="1"/>
  <c r="AB46" i="2"/>
  <c r="BO46" i="2" s="1"/>
  <c r="Z46" i="2"/>
  <c r="BM46" i="2" s="1"/>
  <c r="X46" i="2"/>
  <c r="BF46" i="2" s="1"/>
  <c r="V46" i="2"/>
  <c r="BD46" i="2" s="1"/>
  <c r="S46" i="2"/>
  <c r="L46" i="2"/>
  <c r="Z118" i="31" l="1"/>
  <c r="AA118" i="31" s="1"/>
  <c r="AC118" i="31" s="1"/>
  <c r="E52" i="31"/>
  <c r="J52" i="31"/>
  <c r="Q52" i="31" s="1"/>
  <c r="R52" i="31"/>
  <c r="Z52" i="31" s="1"/>
  <c r="AA123" i="31"/>
  <c r="AC123" i="31" s="1"/>
  <c r="FT44" i="2"/>
  <c r="R11" i="31"/>
  <c r="E11" i="31"/>
  <c r="J11" i="31"/>
  <c r="Q11" i="31" s="1"/>
  <c r="FT24" i="2"/>
  <c r="R41" i="31"/>
  <c r="E41" i="31"/>
  <c r="J41" i="31"/>
  <c r="Q41" i="31" s="1"/>
  <c r="FT36" i="2"/>
  <c r="R28" i="31"/>
  <c r="Z28" i="31" s="1"/>
  <c r="E28" i="31"/>
  <c r="J28" i="31"/>
  <c r="Q28" i="31" s="1"/>
  <c r="BZ46" i="2"/>
  <c r="CA46" i="2" s="1"/>
  <c r="BQ46" i="2"/>
  <c r="BR46" i="2" s="1"/>
  <c r="BH46" i="2"/>
  <c r="BI46" i="2" s="1"/>
  <c r="CI46" i="2"/>
  <c r="CJ46" i="2" s="1"/>
  <c r="BA51" i="2"/>
  <c r="EL46" i="2"/>
  <c r="EH46" i="2"/>
  <c r="K51" i="31" s="1"/>
  <c r="AA121" i="31"/>
  <c r="AC121" i="31" s="1"/>
  <c r="EN113" i="2"/>
  <c r="FT113" i="2" s="1"/>
  <c r="V51" i="31"/>
  <c r="W51" i="31"/>
  <c r="D46" i="7"/>
  <c r="B46" i="7"/>
  <c r="X51" i="31"/>
  <c r="U51" i="31"/>
  <c r="T51" i="31"/>
  <c r="S51" i="31"/>
  <c r="P51" i="31"/>
  <c r="M51" i="31"/>
  <c r="F51" i="31"/>
  <c r="D51" i="31"/>
  <c r="G51" i="31" s="1"/>
  <c r="E42" i="31"/>
  <c r="J42" i="31"/>
  <c r="Q42" i="31" s="1"/>
  <c r="R42" i="31"/>
  <c r="Z42" i="31" s="1"/>
  <c r="FT37" i="2"/>
  <c r="EF46" i="2"/>
  <c r="EE46" i="2"/>
  <c r="DV46" i="2"/>
  <c r="DM46" i="2"/>
  <c r="EG46" i="2"/>
  <c r="I51" i="31" s="1"/>
  <c r="DD46" i="2"/>
  <c r="FS46" i="2"/>
  <c r="EK46" i="2"/>
  <c r="N51" i="31" s="1"/>
  <c r="CR46" i="2"/>
  <c r="CS46" i="2" s="1"/>
  <c r="FR46" i="2"/>
  <c r="EI46" i="2"/>
  <c r="L51" i="31" s="1"/>
  <c r="FJ46" i="2"/>
  <c r="AE118" i="31" l="1"/>
  <c r="AD118" i="31"/>
  <c r="AA52" i="31"/>
  <c r="AC52" i="31" s="1"/>
  <c r="Z11" i="31"/>
  <c r="Z41" i="31"/>
  <c r="AA28" i="31"/>
  <c r="AC28" i="31" s="1"/>
  <c r="E46" i="7"/>
  <c r="AA42" i="31"/>
  <c r="AC42" i="31" s="1"/>
  <c r="H51" i="31"/>
  <c r="FU46" i="2"/>
  <c r="FV46" i="2"/>
  <c r="Y51" i="31"/>
  <c r="EM46" i="2"/>
  <c r="AD52" i="31" l="1"/>
  <c r="AE52" i="31"/>
  <c r="AA11" i="31"/>
  <c r="AC11" i="31" s="1"/>
  <c r="AA41" i="31"/>
  <c r="AC41" i="31" s="1"/>
  <c r="E51" i="31"/>
  <c r="J51" i="31"/>
  <c r="Q51" i="31" s="1"/>
  <c r="R51" i="31"/>
  <c r="EN46" i="2"/>
  <c r="FT46" i="2" s="1"/>
  <c r="Z51" i="31" l="1"/>
  <c r="AA51" i="31" l="1"/>
  <c r="AC51" i="31" s="1"/>
  <c r="X89" i="2" l="1"/>
  <c r="Z89" i="2"/>
  <c r="AB89" i="2"/>
  <c r="AD89" i="2"/>
  <c r="AF89" i="2"/>
  <c r="AH89" i="2"/>
  <c r="V88" i="2"/>
  <c r="C108" i="31" l="1"/>
  <c r="B45" i="7" s="1"/>
  <c r="FI93" i="2"/>
  <c r="FH93" i="2"/>
  <c r="FG93" i="2"/>
  <c r="FE93" i="2"/>
  <c r="FC93" i="2"/>
  <c r="FB93" i="2"/>
  <c r="FA93" i="2"/>
  <c r="EY93" i="2"/>
  <c r="FJ93" i="2" s="1"/>
  <c r="EJ93" i="2"/>
  <c r="ED93" i="2"/>
  <c r="EC93" i="2"/>
  <c r="EB93" i="2"/>
  <c r="EA93" i="2"/>
  <c r="DZ93" i="2"/>
  <c r="DY93" i="2"/>
  <c r="DX93" i="2"/>
  <c r="DW93" i="2"/>
  <c r="DU93" i="2"/>
  <c r="DT93" i="2"/>
  <c r="DS93" i="2"/>
  <c r="DR93" i="2"/>
  <c r="DQ93" i="2"/>
  <c r="DP93" i="2"/>
  <c r="DO93" i="2"/>
  <c r="DN93" i="2"/>
  <c r="DL93" i="2"/>
  <c r="DK93" i="2"/>
  <c r="DJ93" i="2"/>
  <c r="DI93" i="2"/>
  <c r="DH93" i="2"/>
  <c r="DG93" i="2"/>
  <c r="DF93" i="2"/>
  <c r="DE93" i="2"/>
  <c r="DC93" i="2"/>
  <c r="DB93" i="2"/>
  <c r="DA93" i="2"/>
  <c r="CZ93" i="2"/>
  <c r="CY93" i="2"/>
  <c r="CX93" i="2"/>
  <c r="CW93" i="2"/>
  <c r="CV93" i="2"/>
  <c r="CQ93" i="2"/>
  <c r="CO93" i="2"/>
  <c r="CM93" i="2"/>
  <c r="CK93" i="2"/>
  <c r="CH93" i="2"/>
  <c r="CF93" i="2"/>
  <c r="CD93" i="2"/>
  <c r="CB93" i="2"/>
  <c r="BY93" i="2"/>
  <c r="BW93" i="2"/>
  <c r="BU93" i="2"/>
  <c r="BS93" i="2"/>
  <c r="BP93" i="2"/>
  <c r="BN93" i="2"/>
  <c r="BL93" i="2"/>
  <c r="BJ93" i="2"/>
  <c r="BG93" i="2"/>
  <c r="BE93" i="2"/>
  <c r="BC93" i="2"/>
  <c r="BA93" i="2"/>
  <c r="AN93" i="2"/>
  <c r="CP93" i="2" s="1"/>
  <c r="AL93" i="2"/>
  <c r="CN93" i="2" s="1"/>
  <c r="AJ93" i="2"/>
  <c r="CG93" i="2" s="1"/>
  <c r="AH93" i="2"/>
  <c r="CE93" i="2" s="1"/>
  <c r="AF93" i="2"/>
  <c r="BX93" i="2" s="1"/>
  <c r="AD93" i="2"/>
  <c r="BV93" i="2" s="1"/>
  <c r="AB93" i="2"/>
  <c r="BO93" i="2" s="1"/>
  <c r="Z93" i="2"/>
  <c r="BM93" i="2" s="1"/>
  <c r="X93" i="2"/>
  <c r="BF93" i="2" s="1"/>
  <c r="V93" i="2"/>
  <c r="BD93" i="2" s="1"/>
  <c r="CI93" i="2" l="1"/>
  <c r="BZ93" i="2"/>
  <c r="BQ93" i="2"/>
  <c r="BR93" i="2" s="1"/>
  <c r="BH93" i="2"/>
  <c r="V108" i="31"/>
  <c r="F108" i="31"/>
  <c r="G108" i="31"/>
  <c r="D108" i="31"/>
  <c r="T108" i="31"/>
  <c r="U108" i="31"/>
  <c r="Y108" i="31"/>
  <c r="D45" i="7"/>
  <c r="EL93" i="2"/>
  <c r="M108" i="31"/>
  <c r="P108" i="31"/>
  <c r="S108" i="31"/>
  <c r="W108" i="31"/>
  <c r="E45" i="7"/>
  <c r="DD93" i="2"/>
  <c r="EH93" i="2"/>
  <c r="K108" i="31" s="1"/>
  <c r="EE93" i="2"/>
  <c r="EF93" i="2"/>
  <c r="DM93" i="2"/>
  <c r="DV93" i="2"/>
  <c r="EI93" i="2"/>
  <c r="L108" i="31" s="1"/>
  <c r="FR93" i="2"/>
  <c r="EK93" i="2"/>
  <c r="N108" i="31" s="1"/>
  <c r="FS93" i="2"/>
  <c r="CR93" i="2"/>
  <c r="FF93" i="2"/>
  <c r="CC93" i="2"/>
  <c r="L93" i="2"/>
  <c r="CL93" i="2"/>
  <c r="FD93" i="2"/>
  <c r="CA93" i="2" l="1"/>
  <c r="FU93" i="2"/>
  <c r="H108" i="31"/>
  <c r="E108" i="31" s="1"/>
  <c r="FV93" i="2"/>
  <c r="X108" i="31"/>
  <c r="CS93" i="2"/>
  <c r="CJ93" i="2"/>
  <c r="EG93" i="2"/>
  <c r="I108" i="31" s="1"/>
  <c r="BI93" i="2"/>
  <c r="EM93" i="2"/>
  <c r="R108" i="31" l="1"/>
  <c r="Z108" i="31" s="1"/>
  <c r="J108" i="31"/>
  <c r="Q108" i="31" s="1"/>
  <c r="EN93" i="2"/>
  <c r="FT93" i="2" s="1"/>
  <c r="AA108" i="31" l="1"/>
  <c r="AC108" i="31" s="1"/>
  <c r="FD104" i="2"/>
  <c r="L134" i="2"/>
  <c r="L132" i="2"/>
  <c r="L129" i="2"/>
  <c r="J135" i="2"/>
  <c r="B44" i="7"/>
  <c r="C115" i="31"/>
  <c r="FI104" i="2"/>
  <c r="FH104" i="2"/>
  <c r="FG104" i="2"/>
  <c r="FE104" i="2"/>
  <c r="EJ104" i="2"/>
  <c r="ED104" i="2"/>
  <c r="EC104" i="2"/>
  <c r="EB104" i="2"/>
  <c r="EA104" i="2"/>
  <c r="DZ104" i="2"/>
  <c r="DY104" i="2"/>
  <c r="DX104" i="2"/>
  <c r="DW104" i="2"/>
  <c r="DU104" i="2"/>
  <c r="DT104" i="2"/>
  <c r="DS104" i="2"/>
  <c r="DR104" i="2"/>
  <c r="DQ104" i="2"/>
  <c r="DP104" i="2"/>
  <c r="DO104" i="2"/>
  <c r="DN104" i="2"/>
  <c r="DL104" i="2"/>
  <c r="DK104" i="2"/>
  <c r="DJ104" i="2"/>
  <c r="DI104" i="2"/>
  <c r="DH104" i="2"/>
  <c r="DG104" i="2"/>
  <c r="DF104" i="2"/>
  <c r="DE104" i="2"/>
  <c r="DC104" i="2"/>
  <c r="DB104" i="2"/>
  <c r="DA104" i="2"/>
  <c r="CZ104" i="2"/>
  <c r="CY104" i="2"/>
  <c r="CX104" i="2"/>
  <c r="CW104" i="2"/>
  <c r="CV104" i="2"/>
  <c r="CQ104" i="2"/>
  <c r="CO104" i="2"/>
  <c r="CM104" i="2"/>
  <c r="CH104" i="2"/>
  <c r="CF104" i="2"/>
  <c r="CD104" i="2"/>
  <c r="BY104" i="2"/>
  <c r="BW104" i="2"/>
  <c r="BU104" i="2"/>
  <c r="BT104" i="2"/>
  <c r="BS104" i="2"/>
  <c r="BP104" i="2"/>
  <c r="BN104" i="2"/>
  <c r="BL104" i="2"/>
  <c r="BK104" i="2"/>
  <c r="BJ104" i="2"/>
  <c r="BG104" i="2"/>
  <c r="BE104" i="2"/>
  <c r="BC104" i="2"/>
  <c r="AN104" i="2"/>
  <c r="CP104" i="2" s="1"/>
  <c r="AL104" i="2"/>
  <c r="CN104" i="2" s="1"/>
  <c r="AJ104" i="2"/>
  <c r="CG104" i="2" s="1"/>
  <c r="AH104" i="2"/>
  <c r="CE104" i="2" s="1"/>
  <c r="AF104" i="2"/>
  <c r="BX104" i="2" s="1"/>
  <c r="AD104" i="2"/>
  <c r="BV104" i="2" s="1"/>
  <c r="AB104" i="2"/>
  <c r="BO104" i="2" s="1"/>
  <c r="Z104" i="2"/>
  <c r="BM104" i="2" s="1"/>
  <c r="X104" i="2"/>
  <c r="BF104" i="2" s="1"/>
  <c r="V104" i="2"/>
  <c r="BD104" i="2" s="1"/>
  <c r="L104" i="2"/>
  <c r="BZ104" i="2" l="1"/>
  <c r="BQ104" i="2"/>
  <c r="V115" i="31"/>
  <c r="W115" i="31"/>
  <c r="L135" i="2"/>
  <c r="M115" i="31"/>
  <c r="EL104" i="2"/>
  <c r="AE108" i="31"/>
  <c r="AD108" i="31"/>
  <c r="X115" i="31"/>
  <c r="CC104" i="2"/>
  <c r="BA104" i="2"/>
  <c r="BH104" i="2" s="1"/>
  <c r="FF104" i="2"/>
  <c r="FA104" i="2"/>
  <c r="CK104" i="2"/>
  <c r="FB104" i="2"/>
  <c r="CL104" i="2"/>
  <c r="FC104" i="2"/>
  <c r="CB104" i="2"/>
  <c r="CI104" i="2" s="1"/>
  <c r="BB104" i="2"/>
  <c r="D115" i="31"/>
  <c r="D44" i="7"/>
  <c r="F115" i="31"/>
  <c r="G115" i="31"/>
  <c r="E44" i="7"/>
  <c r="DD104" i="2"/>
  <c r="EE104" i="2"/>
  <c r="EK104" i="2"/>
  <c r="DM104" i="2"/>
  <c r="DV104" i="2"/>
  <c r="FR104" i="2"/>
  <c r="FS104" i="2"/>
  <c r="EI104" i="2"/>
  <c r="EH104" i="2"/>
  <c r="EY104" i="2"/>
  <c r="P115" i="31" l="1"/>
  <c r="S115" i="31"/>
  <c r="CR104" i="2"/>
  <c r="CS104" i="2" s="1"/>
  <c r="T115" i="31"/>
  <c r="U115" i="31"/>
  <c r="CJ104" i="2"/>
  <c r="CA104" i="2"/>
  <c r="N115" i="31"/>
  <c r="L115" i="31"/>
  <c r="K115" i="31"/>
  <c r="EG104" i="2"/>
  <c r="EF104" i="2"/>
  <c r="BR104" i="2"/>
  <c r="FJ104" i="2"/>
  <c r="BK29" i="2"/>
  <c r="BB29" i="2"/>
  <c r="BI104" i="2" l="1"/>
  <c r="EM104" i="2"/>
  <c r="EN104" i="2" s="1"/>
  <c r="I115" i="31"/>
  <c r="FU104" i="2"/>
  <c r="H115" i="31"/>
  <c r="FV104" i="2"/>
  <c r="Y115" i="31"/>
  <c r="FT104" i="2" l="1"/>
  <c r="E115" i="31"/>
  <c r="J115" i="31"/>
  <c r="Q115" i="31" s="1"/>
  <c r="R115" i="31"/>
  <c r="Z115" i="31" s="1"/>
  <c r="P153" i="31"/>
  <c r="O153" i="31"/>
  <c r="GB139" i="2"/>
  <c r="GA139" i="2"/>
  <c r="FZ139" i="2"/>
  <c r="FY139" i="2"/>
  <c r="FX139" i="2"/>
  <c r="FW139" i="2"/>
  <c r="FQ139" i="2"/>
  <c r="FQ148" i="2" s="1"/>
  <c r="FP139" i="2"/>
  <c r="FO139" i="2"/>
  <c r="FN139" i="2"/>
  <c r="FM139" i="2"/>
  <c r="FL139" i="2"/>
  <c r="FK139" i="2"/>
  <c r="EZ139" i="2"/>
  <c r="EZ148" i="2" s="1"/>
  <c r="EX139" i="2"/>
  <c r="EW139" i="2"/>
  <c r="EV139" i="2"/>
  <c r="EU139" i="2"/>
  <c r="ET139" i="2"/>
  <c r="ES139" i="2"/>
  <c r="ER139" i="2"/>
  <c r="EQ139" i="2"/>
  <c r="EP139" i="2"/>
  <c r="EO139" i="2"/>
  <c r="EO148" i="2" s="1"/>
  <c r="CU139" i="2"/>
  <c r="CT139" i="2"/>
  <c r="AZ139" i="2"/>
  <c r="AY139" i="2"/>
  <c r="AX139" i="2"/>
  <c r="AW139" i="2"/>
  <c r="AV139" i="2"/>
  <c r="AU139" i="2"/>
  <c r="AT139" i="2"/>
  <c r="AS139" i="2"/>
  <c r="AR139" i="2"/>
  <c r="AQ139" i="2"/>
  <c r="AP139" i="2"/>
  <c r="AO139" i="2"/>
  <c r="AM139" i="2"/>
  <c r="AK139" i="2"/>
  <c r="AI139" i="2"/>
  <c r="AG139" i="2"/>
  <c r="AE139" i="2"/>
  <c r="AC139" i="2"/>
  <c r="AA139" i="2"/>
  <c r="Y139" i="2"/>
  <c r="W139" i="2"/>
  <c r="U139" i="2"/>
  <c r="K139" i="2"/>
  <c r="C152" i="31"/>
  <c r="D43" i="7" s="1"/>
  <c r="BB138" i="2"/>
  <c r="FI138" i="2"/>
  <c r="FH138" i="2"/>
  <c r="FG138" i="2"/>
  <c r="FF138" i="2"/>
  <c r="FE138" i="2"/>
  <c r="FD138" i="2"/>
  <c r="FC138" i="2"/>
  <c r="FB138" i="2"/>
  <c r="FA138" i="2"/>
  <c r="EY138" i="2"/>
  <c r="EJ138" i="2"/>
  <c r="ED138" i="2"/>
  <c r="EC138" i="2"/>
  <c r="EB138" i="2"/>
  <c r="EA138" i="2"/>
  <c r="DZ138" i="2"/>
  <c r="DY138" i="2"/>
  <c r="DX138" i="2"/>
  <c r="DW138" i="2"/>
  <c r="DU138" i="2"/>
  <c r="DT138" i="2"/>
  <c r="DS138" i="2"/>
  <c r="DR138" i="2"/>
  <c r="DQ138" i="2"/>
  <c r="DP138" i="2"/>
  <c r="DO138" i="2"/>
  <c r="DN138" i="2"/>
  <c r="DL138" i="2"/>
  <c r="DK138" i="2"/>
  <c r="DJ138" i="2"/>
  <c r="DI138" i="2"/>
  <c r="DH138" i="2"/>
  <c r="DG138" i="2"/>
  <c r="DF138" i="2"/>
  <c r="DE138" i="2"/>
  <c r="DC138" i="2"/>
  <c r="DB138" i="2"/>
  <c r="DA138" i="2"/>
  <c r="CZ138" i="2"/>
  <c r="CY138" i="2"/>
  <c r="CX138" i="2"/>
  <c r="CW138" i="2"/>
  <c r="CV138" i="2"/>
  <c r="CQ138" i="2"/>
  <c r="CO138" i="2"/>
  <c r="CM138" i="2"/>
  <c r="CL138" i="2"/>
  <c r="CH138" i="2"/>
  <c r="CF138" i="2"/>
  <c r="CD138" i="2"/>
  <c r="CC138" i="2"/>
  <c r="BY138" i="2"/>
  <c r="BW138" i="2"/>
  <c r="BU138" i="2"/>
  <c r="BT138" i="2"/>
  <c r="BP138" i="2"/>
  <c r="BN138" i="2"/>
  <c r="BL138" i="2"/>
  <c r="BK138" i="2"/>
  <c r="BG138" i="2"/>
  <c r="BE138" i="2"/>
  <c r="BC138" i="2"/>
  <c r="S138" i="2"/>
  <c r="B138" i="2"/>
  <c r="A138" i="2"/>
  <c r="AA115" i="31" l="1"/>
  <c r="AC115" i="31" s="1"/>
  <c r="B43" i="7"/>
  <c r="E43" i="7" s="1"/>
  <c r="X152" i="31"/>
  <c r="U152" i="31"/>
  <c r="W152" i="31"/>
  <c r="V152" i="31"/>
  <c r="EH138" i="2"/>
  <c r="K152" i="31" s="1"/>
  <c r="C138" i="2"/>
  <c r="EL138" i="2"/>
  <c r="S152" i="31"/>
  <c r="T152" i="31"/>
  <c r="D152" i="31"/>
  <c r="F152" i="31"/>
  <c r="M152" i="31"/>
  <c r="EG138" i="2"/>
  <c r="I152" i="31" s="1"/>
  <c r="EE138" i="2"/>
  <c r="DM138" i="2"/>
  <c r="DV138" i="2"/>
  <c r="DD138" i="2"/>
  <c r="X138" i="2"/>
  <c r="BF138" i="2" s="1"/>
  <c r="AB138" i="2"/>
  <c r="BO138" i="2" s="1"/>
  <c r="CB138" i="2"/>
  <c r="L138" i="2"/>
  <c r="BJ138" i="2"/>
  <c r="V138" i="2"/>
  <c r="BD138" i="2" s="1"/>
  <c r="Z138" i="2"/>
  <c r="BM138" i="2" s="1"/>
  <c r="AD138" i="2"/>
  <c r="BV138" i="2" s="1"/>
  <c r="AF138" i="2"/>
  <c r="BX138" i="2" s="1"/>
  <c r="AN138" i="2"/>
  <c r="CP138" i="2" s="1"/>
  <c r="AH138" i="2"/>
  <c r="CE138" i="2" s="1"/>
  <c r="CK138" i="2"/>
  <c r="AJ138" i="2"/>
  <c r="CG138" i="2" s="1"/>
  <c r="AL138" i="2"/>
  <c r="CN138" i="2" s="1"/>
  <c r="BS138" i="2"/>
  <c r="BA138" i="2"/>
  <c r="FJ138" i="2"/>
  <c r="BZ138" i="2" l="1"/>
  <c r="CA138" i="2" s="1"/>
  <c r="CI138" i="2"/>
  <c r="CJ138" i="2" s="1"/>
  <c r="BQ138" i="2"/>
  <c r="BR138" i="2" s="1"/>
  <c r="BH138" i="2"/>
  <c r="FR138" i="2"/>
  <c r="AD115" i="31"/>
  <c r="AE115" i="31"/>
  <c r="FV138" i="2"/>
  <c r="Y152" i="31"/>
  <c r="EK138" i="2"/>
  <c r="N152" i="31" s="1"/>
  <c r="CR138" i="2"/>
  <c r="CS138" i="2" s="1"/>
  <c r="FS138" i="2"/>
  <c r="EI138" i="2"/>
  <c r="L152" i="31" s="1"/>
  <c r="EF138" i="2"/>
  <c r="H152" i="31" s="1"/>
  <c r="E152" i="31" l="1"/>
  <c r="J152" i="31"/>
  <c r="Q152" i="31" s="1"/>
  <c r="R152" i="31"/>
  <c r="Z152" i="31" s="1"/>
  <c r="EM138" i="2"/>
  <c r="EN138" i="2" s="1"/>
  <c r="BI138" i="2"/>
  <c r="FU138" i="2"/>
  <c r="FT138" i="2" l="1"/>
  <c r="AA152" i="31"/>
  <c r="AC152" i="31" s="1"/>
  <c r="C133" i="31" l="1"/>
  <c r="D42" i="7" s="1"/>
  <c r="FI122" i="2"/>
  <c r="FH122" i="2"/>
  <c r="FG122" i="2"/>
  <c r="FF122" i="2"/>
  <c r="FE122" i="2"/>
  <c r="FD122" i="2"/>
  <c r="FC122" i="2"/>
  <c r="FB122" i="2"/>
  <c r="FA122" i="2"/>
  <c r="EY122" i="2"/>
  <c r="EJ122" i="2"/>
  <c r="ED122" i="2"/>
  <c r="EC122" i="2"/>
  <c r="EB122" i="2"/>
  <c r="EA122" i="2"/>
  <c r="DZ122" i="2"/>
  <c r="DY122" i="2"/>
  <c r="DX122" i="2"/>
  <c r="DW122" i="2"/>
  <c r="DU122" i="2"/>
  <c r="DT122" i="2"/>
  <c r="DS122" i="2"/>
  <c r="DR122" i="2"/>
  <c r="DQ122" i="2"/>
  <c r="DP122" i="2"/>
  <c r="DO122" i="2"/>
  <c r="DN122" i="2"/>
  <c r="DL122" i="2"/>
  <c r="DK122" i="2"/>
  <c r="DJ122" i="2"/>
  <c r="DI122" i="2"/>
  <c r="DH122" i="2"/>
  <c r="DG122" i="2"/>
  <c r="DF122" i="2"/>
  <c r="DE122" i="2"/>
  <c r="DC122" i="2"/>
  <c r="DB122" i="2"/>
  <c r="DA122" i="2"/>
  <c r="CZ122" i="2"/>
  <c r="CY122" i="2"/>
  <c r="CX122" i="2"/>
  <c r="CW122" i="2"/>
  <c r="CV122" i="2"/>
  <c r="CM122" i="2"/>
  <c r="CK122" i="2"/>
  <c r="CC122" i="2"/>
  <c r="CB122" i="2"/>
  <c r="BY122" i="2"/>
  <c r="BW122" i="2"/>
  <c r="BU122" i="2"/>
  <c r="BS122" i="2"/>
  <c r="BP122" i="2"/>
  <c r="BN122" i="2"/>
  <c r="BL122" i="2"/>
  <c r="BJ122" i="2"/>
  <c r="BG122" i="2"/>
  <c r="BE122" i="2"/>
  <c r="BC122" i="2"/>
  <c r="BA122" i="2"/>
  <c r="AN122" i="2"/>
  <c r="CP122" i="2" s="1"/>
  <c r="AL122" i="2"/>
  <c r="CN122" i="2" s="1"/>
  <c r="AJ122" i="2"/>
  <c r="CG122" i="2" s="1"/>
  <c r="AH122" i="2"/>
  <c r="CE122" i="2" s="1"/>
  <c r="AF122" i="2"/>
  <c r="BX122" i="2" s="1"/>
  <c r="AD122" i="2"/>
  <c r="BV122" i="2" s="1"/>
  <c r="AB122" i="2"/>
  <c r="BO122" i="2" s="1"/>
  <c r="Z122" i="2"/>
  <c r="BM122" i="2" s="1"/>
  <c r="X122" i="2"/>
  <c r="BF122" i="2" s="1"/>
  <c r="V122" i="2"/>
  <c r="BD122" i="2" s="1"/>
  <c r="S122" i="2"/>
  <c r="CL122" i="2"/>
  <c r="CI122" i="2" l="1"/>
  <c r="CJ122" i="2" s="1"/>
  <c r="BZ122" i="2"/>
  <c r="BH122" i="2"/>
  <c r="BI122" i="2" s="1"/>
  <c r="BQ122" i="2"/>
  <c r="EL122" i="2"/>
  <c r="D133" i="31"/>
  <c r="F133" i="31"/>
  <c r="G133" i="31"/>
  <c r="M133" i="31"/>
  <c r="V133" i="31"/>
  <c r="W133" i="31"/>
  <c r="S133" i="31"/>
  <c r="U133" i="31"/>
  <c r="P133" i="31"/>
  <c r="T133" i="31"/>
  <c r="X133" i="31"/>
  <c r="CR122" i="2"/>
  <c r="CS122" i="2" s="1"/>
  <c r="B42" i="7"/>
  <c r="E42" i="7" s="1"/>
  <c r="EH122" i="2"/>
  <c r="K133" i="31" s="1"/>
  <c r="EE122" i="2"/>
  <c r="EF122" i="2"/>
  <c r="DM122" i="2"/>
  <c r="DV122" i="2"/>
  <c r="DD122" i="2"/>
  <c r="EK122" i="2"/>
  <c r="N133" i="31" s="1"/>
  <c r="FS122" i="2"/>
  <c r="FJ122" i="2"/>
  <c r="FR122" i="2"/>
  <c r="BT122" i="2"/>
  <c r="EI122" i="2"/>
  <c r="L133" i="31" s="1"/>
  <c r="L122" i="2"/>
  <c r="CC139" i="2"/>
  <c r="BK139" i="2"/>
  <c r="BB139" i="2"/>
  <c r="Z88" i="2"/>
  <c r="CA122" i="2" l="1"/>
  <c r="FU122" i="2"/>
  <c r="H133" i="31"/>
  <c r="FV122" i="2"/>
  <c r="Y133" i="31"/>
  <c r="EM122" i="2"/>
  <c r="BR122" i="2"/>
  <c r="EG122" i="2"/>
  <c r="I133" i="31" s="1"/>
  <c r="ES26" i="2"/>
  <c r="C134" i="31"/>
  <c r="FI123" i="2"/>
  <c r="FH123" i="2"/>
  <c r="FG123" i="2"/>
  <c r="FF123" i="2"/>
  <c r="FE123" i="2"/>
  <c r="FD123" i="2"/>
  <c r="FC123" i="2"/>
  <c r="FB123" i="2"/>
  <c r="FA123" i="2"/>
  <c r="EY123" i="2"/>
  <c r="EJ123" i="2"/>
  <c r="ED123" i="2"/>
  <c r="EC123" i="2"/>
  <c r="EB123" i="2"/>
  <c r="EA123" i="2"/>
  <c r="DZ123" i="2"/>
  <c r="DY123" i="2"/>
  <c r="DX123" i="2"/>
  <c r="DW123" i="2"/>
  <c r="DU123" i="2"/>
  <c r="DT123" i="2"/>
  <c r="DS123" i="2"/>
  <c r="DR123" i="2"/>
  <c r="DQ123" i="2"/>
  <c r="DP123" i="2"/>
  <c r="DO123" i="2"/>
  <c r="DN123" i="2"/>
  <c r="DL123" i="2"/>
  <c r="DK123" i="2"/>
  <c r="DJ123" i="2"/>
  <c r="DI123" i="2"/>
  <c r="DH123" i="2"/>
  <c r="DG123" i="2"/>
  <c r="DF123" i="2"/>
  <c r="DE123" i="2"/>
  <c r="DC123" i="2"/>
  <c r="DB123" i="2"/>
  <c r="DA123" i="2"/>
  <c r="CZ123" i="2"/>
  <c r="CY123" i="2"/>
  <c r="CX123" i="2"/>
  <c r="CW123" i="2"/>
  <c r="CV123" i="2"/>
  <c r="CQ123" i="2"/>
  <c r="CO123" i="2"/>
  <c r="CM123" i="2"/>
  <c r="CK123" i="2"/>
  <c r="CH123" i="2"/>
  <c r="CF123" i="2"/>
  <c r="CD123" i="2"/>
  <c r="CB123" i="2"/>
  <c r="BY123" i="2"/>
  <c r="BW123" i="2"/>
  <c r="BU123" i="2"/>
  <c r="BS123" i="2"/>
  <c r="BP123" i="2"/>
  <c r="BN123" i="2"/>
  <c r="BL123" i="2"/>
  <c r="BJ123" i="2"/>
  <c r="BG123" i="2"/>
  <c r="BE123" i="2"/>
  <c r="BC123" i="2"/>
  <c r="BA123" i="2"/>
  <c r="AN123" i="2"/>
  <c r="CP123" i="2" s="1"/>
  <c r="AL123" i="2"/>
  <c r="CN123" i="2" s="1"/>
  <c r="AJ123" i="2"/>
  <c r="CG123" i="2" s="1"/>
  <c r="AH123" i="2"/>
  <c r="CE123" i="2" s="1"/>
  <c r="AF123" i="2"/>
  <c r="BX123" i="2" s="1"/>
  <c r="AD123" i="2"/>
  <c r="BV123" i="2" s="1"/>
  <c r="AB123" i="2"/>
  <c r="BO123" i="2" s="1"/>
  <c r="Z123" i="2"/>
  <c r="BM123" i="2" s="1"/>
  <c r="X123" i="2"/>
  <c r="BF123" i="2" s="1"/>
  <c r="V123" i="2"/>
  <c r="BD123" i="2" s="1"/>
  <c r="S123" i="2"/>
  <c r="F123" i="2"/>
  <c r="D123" i="2"/>
  <c r="B123" i="2"/>
  <c r="A123" i="2"/>
  <c r="FD88" i="2"/>
  <c r="C100" i="31"/>
  <c r="D41" i="7" s="1"/>
  <c r="FI88" i="2"/>
  <c r="FH88" i="2"/>
  <c r="FG88" i="2"/>
  <c r="FF88" i="2"/>
  <c r="FE88" i="2"/>
  <c r="FC88" i="2"/>
  <c r="FB88" i="2"/>
  <c r="FA88" i="2"/>
  <c r="EY88" i="2"/>
  <c r="FJ88" i="2" s="1"/>
  <c r="EJ88" i="2"/>
  <c r="ED88" i="2"/>
  <c r="CI217" i="2" s="1"/>
  <c r="EC88" i="2"/>
  <c r="CH217" i="2" s="1"/>
  <c r="EB88" i="2"/>
  <c r="CG217" i="2" s="1"/>
  <c r="EA88" i="2"/>
  <c r="CF217" i="2" s="1"/>
  <c r="DZ88" i="2"/>
  <c r="CE217" i="2" s="1"/>
  <c r="DY88" i="2"/>
  <c r="CD217" i="2" s="1"/>
  <c r="DX88" i="2"/>
  <c r="CC217" i="2" s="1"/>
  <c r="DW88" i="2"/>
  <c r="CB217" i="2" s="1"/>
  <c r="DU88" i="2"/>
  <c r="BZ217" i="2" s="1"/>
  <c r="DT88" i="2"/>
  <c r="BY217" i="2" s="1"/>
  <c r="DS88" i="2"/>
  <c r="BX217" i="2" s="1"/>
  <c r="DR88" i="2"/>
  <c r="BW217" i="2" s="1"/>
  <c r="DQ88" i="2"/>
  <c r="BV217" i="2" s="1"/>
  <c r="DP88" i="2"/>
  <c r="BU217" i="2" s="1"/>
  <c r="DO88" i="2"/>
  <c r="BT217" i="2" s="1"/>
  <c r="DN88" i="2"/>
  <c r="BS217" i="2" s="1"/>
  <c r="DL88" i="2"/>
  <c r="BQ217" i="2" s="1"/>
  <c r="DK88" i="2"/>
  <c r="BP217" i="2" s="1"/>
  <c r="DJ88" i="2"/>
  <c r="BO217" i="2" s="1"/>
  <c r="DI88" i="2"/>
  <c r="BN217" i="2" s="1"/>
  <c r="DH88" i="2"/>
  <c r="BM217" i="2" s="1"/>
  <c r="DG88" i="2"/>
  <c r="BL217" i="2" s="1"/>
  <c r="DF88" i="2"/>
  <c r="BK217" i="2" s="1"/>
  <c r="DE88" i="2"/>
  <c r="BJ217" i="2" s="1"/>
  <c r="DC88" i="2"/>
  <c r="BH217" i="2" s="1"/>
  <c r="DB88" i="2"/>
  <c r="BG217" i="2" s="1"/>
  <c r="DA88" i="2"/>
  <c r="BF217" i="2" s="1"/>
  <c r="CZ88" i="2"/>
  <c r="BE217" i="2" s="1"/>
  <c r="CY88" i="2"/>
  <c r="BD217" i="2" s="1"/>
  <c r="CX88" i="2"/>
  <c r="BC217" i="2" s="1"/>
  <c r="CW88" i="2"/>
  <c r="BB217" i="2" s="1"/>
  <c r="CV88" i="2"/>
  <c r="BA217" i="2" s="1"/>
  <c r="CQ88" i="2"/>
  <c r="CO88" i="2"/>
  <c r="CM88" i="2"/>
  <c r="CL88" i="2"/>
  <c r="CK88" i="2"/>
  <c r="CH88" i="2"/>
  <c r="CF88" i="2"/>
  <c r="CD88" i="2"/>
  <c r="CC88" i="2"/>
  <c r="CB88" i="2"/>
  <c r="BY88" i="2"/>
  <c r="BW88" i="2"/>
  <c r="BU88" i="2"/>
  <c r="BS88" i="2"/>
  <c r="BP88" i="2"/>
  <c r="BN88" i="2"/>
  <c r="BM88" i="2"/>
  <c r="BL88" i="2"/>
  <c r="BJ88" i="2"/>
  <c r="BG88" i="2"/>
  <c r="BE88" i="2"/>
  <c r="BC88" i="2"/>
  <c r="BA88" i="2"/>
  <c r="AN88" i="2"/>
  <c r="CP88" i="2" s="1"/>
  <c r="AL88" i="2"/>
  <c r="CN88" i="2" s="1"/>
  <c r="AJ88" i="2"/>
  <c r="CG88" i="2" s="1"/>
  <c r="AH88" i="2"/>
  <c r="CE88" i="2" s="1"/>
  <c r="AF88" i="2"/>
  <c r="BX88" i="2" s="1"/>
  <c r="AD88" i="2"/>
  <c r="BV88" i="2" s="1"/>
  <c r="AB88" i="2"/>
  <c r="BO88" i="2" s="1"/>
  <c r="X88" i="2"/>
  <c r="BF88" i="2" s="1"/>
  <c r="BD88" i="2"/>
  <c r="S88" i="2"/>
  <c r="L88" i="2"/>
  <c r="CI123" i="2" l="1"/>
  <c r="BQ123" i="2"/>
  <c r="BZ123" i="2"/>
  <c r="BH123" i="2"/>
  <c r="CI88" i="2"/>
  <c r="CJ88" i="2" s="1"/>
  <c r="BZ88" i="2"/>
  <c r="CA88" i="2" s="1"/>
  <c r="BQ88" i="2"/>
  <c r="BR88" i="2" s="1"/>
  <c r="BH88" i="2"/>
  <c r="EG88" i="2"/>
  <c r="I100" i="31" s="1"/>
  <c r="X134" i="31"/>
  <c r="W134" i="31"/>
  <c r="CC123" i="2"/>
  <c r="CL123" i="2"/>
  <c r="BB123" i="2"/>
  <c r="BK123" i="2"/>
  <c r="L123" i="2"/>
  <c r="BT123" i="2"/>
  <c r="E133" i="31"/>
  <c r="J133" i="31"/>
  <c r="Q133" i="31" s="1"/>
  <c r="R133" i="31"/>
  <c r="U134" i="31"/>
  <c r="V134" i="31"/>
  <c r="EN122" i="2"/>
  <c r="FT122" i="2" s="1"/>
  <c r="D134" i="31"/>
  <c r="F134" i="31"/>
  <c r="G134" i="31"/>
  <c r="M134" i="31"/>
  <c r="P134" i="31"/>
  <c r="S134" i="31"/>
  <c r="T134" i="31"/>
  <c r="EK123" i="2"/>
  <c r="N134" i="31" s="1"/>
  <c r="M100" i="31"/>
  <c r="EL123" i="2"/>
  <c r="S100" i="31"/>
  <c r="T100" i="31"/>
  <c r="U100" i="31"/>
  <c r="V100" i="31"/>
  <c r="W100" i="31"/>
  <c r="FR123" i="2"/>
  <c r="B41" i="7"/>
  <c r="E41" i="7" s="1"/>
  <c r="FS123" i="2"/>
  <c r="FJ123" i="2"/>
  <c r="Y134" i="31" s="1"/>
  <c r="EL88" i="2"/>
  <c r="CR88" i="2"/>
  <c r="CS88" i="2" s="1"/>
  <c r="CR123" i="2"/>
  <c r="X100" i="31"/>
  <c r="C123" i="2"/>
  <c r="EE123" i="2"/>
  <c r="DM123" i="2"/>
  <c r="DV123" i="2"/>
  <c r="DD123" i="2"/>
  <c r="EI123" i="2"/>
  <c r="L134" i="31" s="1"/>
  <c r="EF123" i="2"/>
  <c r="EH123" i="2"/>
  <c r="K134" i="31" s="1"/>
  <c r="EI88" i="2"/>
  <c r="L100" i="31" s="1"/>
  <c r="FS88" i="2"/>
  <c r="DM88" i="2"/>
  <c r="BR217" i="2" s="1"/>
  <c r="FV88" i="2"/>
  <c r="DV88" i="2"/>
  <c r="CA217" i="2" s="1"/>
  <c r="Y100" i="31"/>
  <c r="DD88" i="2"/>
  <c r="BI217" i="2" s="1"/>
  <c r="D100" i="31"/>
  <c r="F100" i="31"/>
  <c r="EH88" i="2"/>
  <c r="K100" i="31" s="1"/>
  <c r="EE88" i="2"/>
  <c r="CJ217" i="2" s="1"/>
  <c r="EK88" i="2"/>
  <c r="N100" i="31" s="1"/>
  <c r="FR88" i="2"/>
  <c r="EF88" i="2"/>
  <c r="FU88" i="2" s="1"/>
  <c r="CA123" i="2" l="1"/>
  <c r="CJ123" i="2"/>
  <c r="BI123" i="2"/>
  <c r="EG123" i="2"/>
  <c r="I134" i="31" s="1"/>
  <c r="CS123" i="2"/>
  <c r="BR123" i="2"/>
  <c r="Z133" i="31"/>
  <c r="FV123" i="2"/>
  <c r="H100" i="31"/>
  <c r="J100" i="31" s="1"/>
  <c r="FU123" i="2"/>
  <c r="H134" i="31"/>
  <c r="EM123" i="2"/>
  <c r="EM88" i="2"/>
  <c r="EN88" i="2" s="1"/>
  <c r="BI88" i="2"/>
  <c r="EN123" i="2" l="1"/>
  <c r="FT123" i="2" s="1"/>
  <c r="J134" i="31"/>
  <c r="Q134" i="31" s="1"/>
  <c r="AA133" i="31"/>
  <c r="AC133" i="31" s="1"/>
  <c r="E100" i="31"/>
  <c r="FT88" i="2"/>
  <c r="R134" i="31"/>
  <c r="Z134" i="31" s="1"/>
  <c r="E134" i="31"/>
  <c r="BK125" i="2"/>
  <c r="AA134" i="31" l="1"/>
  <c r="AC134" i="31" s="1"/>
  <c r="AD134" i="31" l="1"/>
  <c r="AE134" i="31"/>
  <c r="FA53" i="2"/>
  <c r="CC119" i="2" l="1"/>
  <c r="BT119" i="2"/>
  <c r="BK119" i="2"/>
  <c r="BB119" i="2" l="1"/>
  <c r="F124" i="2"/>
  <c r="F125" i="2" s="1"/>
  <c r="F95" i="2"/>
  <c r="F96" i="2" s="1"/>
  <c r="F87" i="2"/>
  <c r="F89" i="2" s="1"/>
  <c r="C93" i="31" l="1"/>
  <c r="D40" i="7" s="1"/>
  <c r="BT82" i="2"/>
  <c r="FI82" i="2"/>
  <c r="FH82" i="2"/>
  <c r="FG82" i="2"/>
  <c r="FF82" i="2"/>
  <c r="FE82" i="2"/>
  <c r="FD82" i="2"/>
  <c r="FC82" i="2"/>
  <c r="FB82" i="2"/>
  <c r="FA82" i="2"/>
  <c r="EY82" i="2"/>
  <c r="FJ82" i="2" s="1"/>
  <c r="EJ82" i="2"/>
  <c r="ED82" i="2"/>
  <c r="EC82" i="2"/>
  <c r="EB82" i="2"/>
  <c r="EA82" i="2"/>
  <c r="DZ82" i="2"/>
  <c r="DY82" i="2"/>
  <c r="DX82" i="2"/>
  <c r="DW82" i="2"/>
  <c r="DU82" i="2"/>
  <c r="DT82" i="2"/>
  <c r="DS82" i="2"/>
  <c r="DR82" i="2"/>
  <c r="DQ82" i="2"/>
  <c r="DP82" i="2"/>
  <c r="DO82" i="2"/>
  <c r="BT211" i="2" s="1"/>
  <c r="DN82" i="2"/>
  <c r="DL82" i="2"/>
  <c r="DK82" i="2"/>
  <c r="P93" i="31" s="1"/>
  <c r="DJ82" i="2"/>
  <c r="DI82" i="2"/>
  <c r="DH82" i="2"/>
  <c r="DG82" i="2"/>
  <c r="DF82" i="2"/>
  <c r="DE82" i="2"/>
  <c r="DC82" i="2"/>
  <c r="DB82" i="2"/>
  <c r="DA82" i="2"/>
  <c r="CZ82" i="2"/>
  <c r="CY82" i="2"/>
  <c r="CX82" i="2"/>
  <c r="CW82" i="2"/>
  <c r="CV82" i="2"/>
  <c r="CQ82" i="2"/>
  <c r="CO82" i="2"/>
  <c r="CM82" i="2"/>
  <c r="CL82" i="2"/>
  <c r="CK82" i="2"/>
  <c r="CH82" i="2"/>
  <c r="CF82" i="2"/>
  <c r="CD82" i="2"/>
  <c r="CC82" i="2"/>
  <c r="CB82" i="2"/>
  <c r="BY82" i="2"/>
  <c r="BW82" i="2"/>
  <c r="BU82" i="2"/>
  <c r="BS82" i="2"/>
  <c r="BN82" i="2"/>
  <c r="BL82" i="2"/>
  <c r="BJ82" i="2"/>
  <c r="BG82" i="2"/>
  <c r="BE82" i="2"/>
  <c r="BC82" i="2"/>
  <c r="BA82" i="2"/>
  <c r="AN82" i="2"/>
  <c r="CP82" i="2" s="1"/>
  <c r="AL82" i="2"/>
  <c r="CN82" i="2" s="1"/>
  <c r="AJ82" i="2"/>
  <c r="CG82" i="2" s="1"/>
  <c r="AH82" i="2"/>
  <c r="CE82" i="2" s="1"/>
  <c r="AF82" i="2"/>
  <c r="BX82" i="2" s="1"/>
  <c r="AD82" i="2"/>
  <c r="BV82" i="2" s="1"/>
  <c r="AB82" i="2"/>
  <c r="BO82" i="2" s="1"/>
  <c r="Z82" i="2"/>
  <c r="BM82" i="2" s="1"/>
  <c r="X82" i="2"/>
  <c r="BF82" i="2" s="1"/>
  <c r="V82" i="2"/>
  <c r="BD82" i="2" s="1"/>
  <c r="S82" i="2"/>
  <c r="L82" i="2"/>
  <c r="BZ82" i="2" l="1"/>
  <c r="CA82" i="2" s="1"/>
  <c r="BH82" i="2"/>
  <c r="CI82" i="2"/>
  <c r="CJ82" i="2" s="1"/>
  <c r="BQ82" i="2"/>
  <c r="BR82" i="2" s="1"/>
  <c r="T93" i="31"/>
  <c r="S93" i="31"/>
  <c r="D93" i="31"/>
  <c r="F93" i="31"/>
  <c r="X93" i="31"/>
  <c r="V93" i="31"/>
  <c r="W93" i="31"/>
  <c r="EL82" i="2"/>
  <c r="M93" i="31"/>
  <c r="U93" i="31"/>
  <c r="FV82" i="2"/>
  <c r="B40" i="7"/>
  <c r="E40" i="7" s="1"/>
  <c r="EH82" i="2"/>
  <c r="K93" i="31" s="1"/>
  <c r="Y93" i="31"/>
  <c r="EG82" i="2"/>
  <c r="I93" i="31" s="1"/>
  <c r="EI82" i="2"/>
  <c r="L93" i="31" s="1"/>
  <c r="EE82" i="2"/>
  <c r="DM82" i="2"/>
  <c r="DV82" i="2"/>
  <c r="DD82" i="2"/>
  <c r="FS82" i="2"/>
  <c r="FR82" i="2"/>
  <c r="CR82" i="2"/>
  <c r="CS82" i="2" s="1"/>
  <c r="EK82" i="2"/>
  <c r="N93" i="31" s="1"/>
  <c r="EF82" i="2"/>
  <c r="FU82" i="2" l="1"/>
  <c r="H93" i="31"/>
  <c r="EM82" i="2"/>
  <c r="EN82" i="2" s="1"/>
  <c r="BI82" i="2"/>
  <c r="E93" i="31" l="1"/>
  <c r="J93" i="31"/>
  <c r="Q93" i="31" s="1"/>
  <c r="R93" i="31"/>
  <c r="Z93" i="31" s="1"/>
  <c r="FT82" i="2"/>
  <c r="AA93" i="31" l="1"/>
  <c r="AC93" i="31" s="1"/>
  <c r="CH119" i="2" l="1"/>
  <c r="C130" i="31"/>
  <c r="D39" i="7" s="1"/>
  <c r="FI119" i="2"/>
  <c r="FH119" i="2"/>
  <c r="FG119" i="2"/>
  <c r="FF119" i="2"/>
  <c r="FE119" i="2"/>
  <c r="FD119" i="2"/>
  <c r="FC119" i="2"/>
  <c r="FB119" i="2"/>
  <c r="FA119" i="2"/>
  <c r="EY119" i="2"/>
  <c r="EJ119" i="2"/>
  <c r="ED119" i="2"/>
  <c r="EC119" i="2"/>
  <c r="EB119" i="2"/>
  <c r="EA119" i="2"/>
  <c r="DZ119" i="2"/>
  <c r="DY119" i="2"/>
  <c r="DX119" i="2"/>
  <c r="DW119" i="2"/>
  <c r="DU119" i="2"/>
  <c r="DT119" i="2"/>
  <c r="DS119" i="2"/>
  <c r="DR119" i="2"/>
  <c r="DQ119" i="2"/>
  <c r="DP119" i="2"/>
  <c r="DO119" i="2"/>
  <c r="DN119" i="2"/>
  <c r="DL119" i="2"/>
  <c r="DK119" i="2"/>
  <c r="DJ119" i="2"/>
  <c r="DI119" i="2"/>
  <c r="DH119" i="2"/>
  <c r="DG119" i="2"/>
  <c r="DF119" i="2"/>
  <c r="DE119" i="2"/>
  <c r="DC119" i="2"/>
  <c r="DB119" i="2"/>
  <c r="DA119" i="2"/>
  <c r="CZ119" i="2"/>
  <c r="CY119" i="2"/>
  <c r="CX119" i="2"/>
  <c r="CW119" i="2"/>
  <c r="CV119" i="2"/>
  <c r="CM119" i="2"/>
  <c r="CK119" i="2"/>
  <c r="CB119" i="2"/>
  <c r="BY119" i="2"/>
  <c r="BW119" i="2"/>
  <c r="BU119" i="2"/>
  <c r="BS119" i="2"/>
  <c r="BP119" i="2"/>
  <c r="BN119" i="2"/>
  <c r="BL119" i="2"/>
  <c r="BJ119" i="2"/>
  <c r="BG119" i="2"/>
  <c r="BE119" i="2"/>
  <c r="BC119" i="2"/>
  <c r="BA119" i="2"/>
  <c r="AN119" i="2"/>
  <c r="CP119" i="2" s="1"/>
  <c r="AL119" i="2"/>
  <c r="CN119" i="2" s="1"/>
  <c r="AJ119" i="2"/>
  <c r="CG119" i="2" s="1"/>
  <c r="AH119" i="2"/>
  <c r="CE119" i="2" s="1"/>
  <c r="AF119" i="2"/>
  <c r="BX119" i="2" s="1"/>
  <c r="AD119" i="2"/>
  <c r="BV119" i="2" s="1"/>
  <c r="AB119" i="2"/>
  <c r="BO119" i="2" s="1"/>
  <c r="Z119" i="2"/>
  <c r="BM119" i="2" s="1"/>
  <c r="X119" i="2"/>
  <c r="BF119" i="2" s="1"/>
  <c r="V119" i="2"/>
  <c r="BD119" i="2" s="1"/>
  <c r="S119" i="2"/>
  <c r="BQ119" i="2" l="1"/>
  <c r="CI119" i="2"/>
  <c r="CJ119" i="2" s="1"/>
  <c r="BZ119" i="2"/>
  <c r="CA119" i="2" s="1"/>
  <c r="BH119" i="2"/>
  <c r="EL119" i="2"/>
  <c r="P130" i="31" s="1"/>
  <c r="EH119" i="2"/>
  <c r="K130" i="31" s="1"/>
  <c r="F130" i="31"/>
  <c r="M130" i="31"/>
  <c r="S130" i="31"/>
  <c r="X130" i="31"/>
  <c r="T130" i="31"/>
  <c r="U130" i="31"/>
  <c r="V130" i="31"/>
  <c r="B39" i="7"/>
  <c r="E39" i="7" s="1"/>
  <c r="D130" i="31"/>
  <c r="W130" i="31"/>
  <c r="DM119" i="2"/>
  <c r="CR119" i="2"/>
  <c r="EE119" i="2"/>
  <c r="EK119" i="2"/>
  <c r="N130" i="31" s="1"/>
  <c r="DV119" i="2"/>
  <c r="DD119" i="2"/>
  <c r="EF119" i="2"/>
  <c r="FU119" i="2" s="1"/>
  <c r="FR119" i="2"/>
  <c r="FS119" i="2"/>
  <c r="L119" i="2"/>
  <c r="EI119" i="2"/>
  <c r="L130" i="31" s="1"/>
  <c r="CL119" i="2"/>
  <c r="FJ119" i="2"/>
  <c r="FV119" i="2" s="1"/>
  <c r="CS119" i="2" l="1"/>
  <c r="Y130" i="31"/>
  <c r="H130" i="31"/>
  <c r="E130" i="31" s="1"/>
  <c r="BR119" i="2"/>
  <c r="EG119" i="2"/>
  <c r="I130" i="31" s="1"/>
  <c r="BI119" i="2"/>
  <c r="EM119" i="2"/>
  <c r="J130" i="31" l="1"/>
  <c r="Q130" i="31" s="1"/>
  <c r="R130" i="31"/>
  <c r="Z130" i="31" s="1"/>
  <c r="EN119" i="2"/>
  <c r="FT119" i="2" s="1"/>
  <c r="CC109" i="2"/>
  <c r="BK109" i="2"/>
  <c r="BB109" i="2"/>
  <c r="AA130" i="31" l="1"/>
  <c r="AC130" i="31" s="1"/>
  <c r="C135" i="31"/>
  <c r="FI124" i="2"/>
  <c r="FH124" i="2"/>
  <c r="FG124" i="2"/>
  <c r="FF124" i="2"/>
  <c r="FE124" i="2"/>
  <c r="FD124" i="2"/>
  <c r="FC124" i="2"/>
  <c r="FB124" i="2"/>
  <c r="FA124" i="2"/>
  <c r="EY124" i="2"/>
  <c r="FJ124" i="2" s="1"/>
  <c r="EJ124" i="2"/>
  <c r="ED124" i="2"/>
  <c r="EC124" i="2"/>
  <c r="EB124" i="2"/>
  <c r="EA124" i="2"/>
  <c r="DZ124" i="2"/>
  <c r="DY124" i="2"/>
  <c r="DX124" i="2"/>
  <c r="DW124" i="2"/>
  <c r="DU124" i="2"/>
  <c r="DT124" i="2"/>
  <c r="DS124" i="2"/>
  <c r="DR124" i="2"/>
  <c r="DQ124" i="2"/>
  <c r="DP124" i="2"/>
  <c r="DO124" i="2"/>
  <c r="DN124" i="2"/>
  <c r="DL124" i="2"/>
  <c r="DK124" i="2"/>
  <c r="DJ124" i="2"/>
  <c r="DI124" i="2"/>
  <c r="DH124" i="2"/>
  <c r="DG124" i="2"/>
  <c r="DF124" i="2"/>
  <c r="DE124" i="2"/>
  <c r="DC124" i="2"/>
  <c r="DB124" i="2"/>
  <c r="DA124" i="2"/>
  <c r="CZ124" i="2"/>
  <c r="CY124" i="2"/>
  <c r="CX124" i="2"/>
  <c r="CW124" i="2"/>
  <c r="CV124" i="2"/>
  <c r="CM124" i="2"/>
  <c r="CL124" i="2"/>
  <c r="CK124" i="2"/>
  <c r="CC124" i="2"/>
  <c r="CB124" i="2"/>
  <c r="BY124" i="2"/>
  <c r="BW124" i="2"/>
  <c r="BU124" i="2"/>
  <c r="BT124" i="2"/>
  <c r="BS124" i="2"/>
  <c r="BP124" i="2"/>
  <c r="BN124" i="2"/>
  <c r="BL124" i="2"/>
  <c r="BK124" i="2"/>
  <c r="BJ124" i="2"/>
  <c r="BG124" i="2"/>
  <c r="BE124" i="2"/>
  <c r="BC124" i="2"/>
  <c r="BB124" i="2"/>
  <c r="BA124" i="2"/>
  <c r="AN124" i="2"/>
  <c r="CP124" i="2" s="1"/>
  <c r="AL124" i="2"/>
  <c r="CN124" i="2" s="1"/>
  <c r="AJ124" i="2"/>
  <c r="CG124" i="2" s="1"/>
  <c r="AH124" i="2"/>
  <c r="CE124" i="2" s="1"/>
  <c r="AF124" i="2"/>
  <c r="BX124" i="2" s="1"/>
  <c r="AD124" i="2"/>
  <c r="BV124" i="2" s="1"/>
  <c r="AB124" i="2"/>
  <c r="BO124" i="2" s="1"/>
  <c r="Z124" i="2"/>
  <c r="BM124" i="2" s="1"/>
  <c r="X124" i="2"/>
  <c r="BF124" i="2" s="1"/>
  <c r="V124" i="2"/>
  <c r="BD124" i="2" s="1"/>
  <c r="S124" i="2"/>
  <c r="L124" i="2"/>
  <c r="C99" i="31"/>
  <c r="B37" i="7" s="1"/>
  <c r="FI89" i="2"/>
  <c r="FH89" i="2"/>
  <c r="FG89" i="2"/>
  <c r="FF89" i="2"/>
  <c r="FE89" i="2"/>
  <c r="FD89" i="2"/>
  <c r="FC89" i="2"/>
  <c r="FB89" i="2"/>
  <c r="FA89" i="2"/>
  <c r="EY89" i="2"/>
  <c r="FJ89" i="2" s="1"/>
  <c r="EJ89" i="2"/>
  <c r="ED89" i="2"/>
  <c r="EC89" i="2"/>
  <c r="EB89" i="2"/>
  <c r="EA89" i="2"/>
  <c r="DZ89" i="2"/>
  <c r="DY89" i="2"/>
  <c r="DX89" i="2"/>
  <c r="DW89" i="2"/>
  <c r="DU89" i="2"/>
  <c r="DT89" i="2"/>
  <c r="DS89" i="2"/>
  <c r="DR89" i="2"/>
  <c r="DQ89" i="2"/>
  <c r="DP89" i="2"/>
  <c r="DO89" i="2"/>
  <c r="DN89" i="2"/>
  <c r="DL89" i="2"/>
  <c r="DK89" i="2"/>
  <c r="P98" i="31" s="1"/>
  <c r="DJ89" i="2"/>
  <c r="DI89" i="2"/>
  <c r="DH89" i="2"/>
  <c r="DG89" i="2"/>
  <c r="DF89" i="2"/>
  <c r="DE89" i="2"/>
  <c r="DC89" i="2"/>
  <c r="DB89" i="2"/>
  <c r="DA89" i="2"/>
  <c r="CZ89" i="2"/>
  <c r="CY89" i="2"/>
  <c r="CX89" i="2"/>
  <c r="CW89" i="2"/>
  <c r="CV89" i="2"/>
  <c r="CQ89" i="2"/>
  <c r="CO89" i="2"/>
  <c r="CM89" i="2"/>
  <c r="CL89" i="2"/>
  <c r="CK89" i="2"/>
  <c r="CH89" i="2"/>
  <c r="CF89" i="2"/>
  <c r="CD89" i="2"/>
  <c r="CC89" i="2"/>
  <c r="CB89" i="2"/>
  <c r="BY89" i="2"/>
  <c r="BW89" i="2"/>
  <c r="BU89" i="2"/>
  <c r="BS89" i="2"/>
  <c r="BP89" i="2"/>
  <c r="BN89" i="2"/>
  <c r="BL89" i="2"/>
  <c r="BJ89" i="2"/>
  <c r="BG89" i="2"/>
  <c r="BE89" i="2"/>
  <c r="BC89" i="2"/>
  <c r="BA89" i="2"/>
  <c r="AN89" i="2"/>
  <c r="CP89" i="2" s="1"/>
  <c r="AL89" i="2"/>
  <c r="CN89" i="2" s="1"/>
  <c r="AJ89" i="2"/>
  <c r="CG89" i="2" s="1"/>
  <c r="CE89" i="2"/>
  <c r="BX89" i="2"/>
  <c r="BV89" i="2"/>
  <c r="BO89" i="2"/>
  <c r="BM89" i="2"/>
  <c r="BF89" i="2"/>
  <c r="V89" i="2"/>
  <c r="BD89" i="2" s="1"/>
  <c r="S89" i="2"/>
  <c r="L89" i="2"/>
  <c r="FR124" i="2" l="1"/>
  <c r="CI124" i="2"/>
  <c r="CJ124" i="2" s="1"/>
  <c r="BZ124" i="2"/>
  <c r="CA124" i="2" s="1"/>
  <c r="BQ124" i="2"/>
  <c r="BR124" i="2" s="1"/>
  <c r="BH124" i="2"/>
  <c r="CI89" i="2"/>
  <c r="CJ89" i="2" s="1"/>
  <c r="BZ89" i="2"/>
  <c r="CA89" i="2" s="1"/>
  <c r="BQ89" i="2"/>
  <c r="BR89" i="2" s="1"/>
  <c r="BH89" i="2"/>
  <c r="EG89" i="2"/>
  <c r="I99" i="31" s="1"/>
  <c r="W135" i="31"/>
  <c r="V135" i="31"/>
  <c r="EL124" i="2"/>
  <c r="X135" i="31"/>
  <c r="D38" i="7"/>
  <c r="B38" i="7"/>
  <c r="E38" i="7" s="1"/>
  <c r="EH124" i="2"/>
  <c r="K135" i="31" s="1"/>
  <c r="D135" i="31"/>
  <c r="F135" i="31"/>
  <c r="G135" i="31"/>
  <c r="M135" i="31"/>
  <c r="P135" i="31"/>
  <c r="S135" i="31"/>
  <c r="T135" i="31"/>
  <c r="U135" i="31"/>
  <c r="Y135" i="31"/>
  <c r="DD124" i="2"/>
  <c r="EF124" i="2"/>
  <c r="H135" i="31" s="1"/>
  <c r="EI124" i="2"/>
  <c r="L135" i="31" s="1"/>
  <c r="EE124" i="2"/>
  <c r="EG124" i="2"/>
  <c r="I135" i="31" s="1"/>
  <c r="DM124" i="2"/>
  <c r="DV124" i="2"/>
  <c r="EK124" i="2"/>
  <c r="N135" i="31" s="1"/>
  <c r="CR124" i="2"/>
  <c r="CS124" i="2" s="1"/>
  <c r="EH89" i="2"/>
  <c r="K99" i="31" s="1"/>
  <c r="EK89" i="2"/>
  <c r="N99" i="31" s="1"/>
  <c r="DD89" i="2"/>
  <c r="S99" i="31"/>
  <c r="D99" i="31"/>
  <c r="T99" i="31"/>
  <c r="U99" i="31"/>
  <c r="F99" i="31"/>
  <c r="V99" i="31"/>
  <c r="EL89" i="2"/>
  <c r="W99" i="31"/>
  <c r="X99" i="31"/>
  <c r="Y99" i="31"/>
  <c r="M99" i="31"/>
  <c r="D37" i="7"/>
  <c r="E37" i="7"/>
  <c r="EF89" i="2"/>
  <c r="H99" i="31" s="1"/>
  <c r="EE89" i="2"/>
  <c r="DM89" i="2"/>
  <c r="CR89" i="2"/>
  <c r="CS89" i="2" s="1"/>
  <c r="DV89" i="2"/>
  <c r="EI89" i="2"/>
  <c r="L99" i="31" s="1"/>
  <c r="E135" i="31" l="1"/>
  <c r="J135" i="31"/>
  <c r="Q135" i="31" s="1"/>
  <c r="R135" i="31"/>
  <c r="Z135" i="31" s="1"/>
  <c r="EM124" i="2"/>
  <c r="EN124" i="2" s="1"/>
  <c r="BI124" i="2"/>
  <c r="J99" i="31"/>
  <c r="E99" i="31"/>
  <c r="EM89" i="2"/>
  <c r="EN89" i="2" s="1"/>
  <c r="BI89" i="2"/>
  <c r="AA135" i="31" l="1"/>
  <c r="AC135" i="31" s="1"/>
  <c r="BP109" i="2" l="1"/>
  <c r="BG109" i="2"/>
  <c r="C117" i="31"/>
  <c r="D36" i="7" s="1"/>
  <c r="FI109" i="2"/>
  <c r="FH109" i="2"/>
  <c r="FG109" i="2"/>
  <c r="FF109" i="2"/>
  <c r="FE109" i="2"/>
  <c r="FD109" i="2"/>
  <c r="FC109" i="2"/>
  <c r="FB109" i="2"/>
  <c r="FA109" i="2"/>
  <c r="EY109" i="2"/>
  <c r="FJ109" i="2" s="1"/>
  <c r="EJ109" i="2"/>
  <c r="ED109" i="2"/>
  <c r="EC109" i="2"/>
  <c r="EB109" i="2"/>
  <c r="EA109" i="2"/>
  <c r="DZ109" i="2"/>
  <c r="DY109" i="2"/>
  <c r="DX109" i="2"/>
  <c r="DW109" i="2"/>
  <c r="DU109" i="2"/>
  <c r="DT109" i="2"/>
  <c r="DS109" i="2"/>
  <c r="DR109" i="2"/>
  <c r="DQ109" i="2"/>
  <c r="DP109" i="2"/>
  <c r="DO109" i="2"/>
  <c r="DN109" i="2"/>
  <c r="DL109" i="2"/>
  <c r="DK109" i="2"/>
  <c r="DJ109" i="2"/>
  <c r="DI109" i="2"/>
  <c r="DH109" i="2"/>
  <c r="DG109" i="2"/>
  <c r="DF109" i="2"/>
  <c r="DE109" i="2"/>
  <c r="DC109" i="2"/>
  <c r="DB109" i="2"/>
  <c r="DA109" i="2"/>
  <c r="CZ109" i="2"/>
  <c r="CY109" i="2"/>
  <c r="CX109" i="2"/>
  <c r="CW109" i="2"/>
  <c r="CV109" i="2"/>
  <c r="CQ109" i="2"/>
  <c r="CO109" i="2"/>
  <c r="CM109" i="2"/>
  <c r="CL109" i="2"/>
  <c r="CK109" i="2"/>
  <c r="CH109" i="2"/>
  <c r="CF109" i="2"/>
  <c r="CD109" i="2"/>
  <c r="CB109" i="2"/>
  <c r="BY109" i="2"/>
  <c r="BW109" i="2"/>
  <c r="BU109" i="2"/>
  <c r="BT109" i="2"/>
  <c r="BS109" i="2"/>
  <c r="BN109" i="2"/>
  <c r="BL109" i="2"/>
  <c r="BJ109" i="2"/>
  <c r="BE109" i="2"/>
  <c r="BC109" i="2"/>
  <c r="AN109" i="2"/>
  <c r="CP109" i="2" s="1"/>
  <c r="AL109" i="2"/>
  <c r="CN109" i="2" s="1"/>
  <c r="AJ109" i="2"/>
  <c r="CG109" i="2" s="1"/>
  <c r="AH109" i="2"/>
  <c r="CE109" i="2" s="1"/>
  <c r="AF109" i="2"/>
  <c r="BX109" i="2" s="1"/>
  <c r="AD109" i="2"/>
  <c r="BV109" i="2" s="1"/>
  <c r="AB109" i="2"/>
  <c r="BO109" i="2" s="1"/>
  <c r="Z109" i="2"/>
  <c r="BM109" i="2" s="1"/>
  <c r="X109" i="2"/>
  <c r="BF109" i="2" s="1"/>
  <c r="V109" i="2"/>
  <c r="BD109" i="2" s="1"/>
  <c r="S109" i="2"/>
  <c r="L109" i="2"/>
  <c r="BH109" i="2" l="1"/>
  <c r="CI109" i="2"/>
  <c r="CJ109" i="2" s="1"/>
  <c r="BZ109" i="2"/>
  <c r="CA109" i="2" s="1"/>
  <c r="BQ109" i="2"/>
  <c r="BR109" i="2" s="1"/>
  <c r="V117" i="31"/>
  <c r="M117" i="31"/>
  <c r="T117" i="31"/>
  <c r="B36" i="7"/>
  <c r="E36" i="7" s="1"/>
  <c r="EK109" i="2"/>
  <c r="N117" i="31" s="1"/>
  <c r="X117" i="31"/>
  <c r="D117" i="31"/>
  <c r="Y117" i="31"/>
  <c r="F117" i="31"/>
  <c r="S117" i="31"/>
  <c r="G117" i="31"/>
  <c r="EH109" i="2"/>
  <c r="K117" i="31" s="1"/>
  <c r="U117" i="31"/>
  <c r="W117" i="31"/>
  <c r="EG109" i="2"/>
  <c r="I117" i="31" s="1"/>
  <c r="EL109" i="2"/>
  <c r="P117" i="31" s="1"/>
  <c r="DD109" i="2"/>
  <c r="DM109" i="2"/>
  <c r="EE109" i="2"/>
  <c r="DV109" i="2"/>
  <c r="EI109" i="2"/>
  <c r="L117" i="31" s="1"/>
  <c r="CR109" i="2"/>
  <c r="CS109" i="2" s="1"/>
  <c r="EF109" i="2"/>
  <c r="H117" i="31" s="1"/>
  <c r="R117" i="31" l="1"/>
  <c r="Z117" i="31" s="1"/>
  <c r="E117" i="31"/>
  <c r="J117" i="31"/>
  <c r="Q117" i="31" s="1"/>
  <c r="EM109" i="2"/>
  <c r="EN109" i="2" s="1"/>
  <c r="BI109" i="2"/>
  <c r="AA117" i="31" l="1"/>
  <c r="AC117" i="31" s="1"/>
  <c r="J12" i="2" l="1"/>
  <c r="O17" i="31"/>
  <c r="FP15" i="2"/>
  <c r="FO15" i="2"/>
  <c r="FN15" i="2"/>
  <c r="FM15" i="2"/>
  <c r="FL15" i="2"/>
  <c r="FK15" i="2"/>
  <c r="EZ15" i="2"/>
  <c r="EX15" i="2"/>
  <c r="EW15" i="2"/>
  <c r="EV15" i="2"/>
  <c r="EU15" i="2"/>
  <c r="ET15" i="2"/>
  <c r="ES15" i="2"/>
  <c r="ER15" i="2"/>
  <c r="EQ15" i="2"/>
  <c r="EP15" i="2"/>
  <c r="EO15" i="2"/>
  <c r="CU15" i="2"/>
  <c r="CT15" i="2"/>
  <c r="CS15" i="2"/>
  <c r="CR15" i="2"/>
  <c r="CQ15" i="2"/>
  <c r="CP15" i="2"/>
  <c r="CO15" i="2"/>
  <c r="CN15" i="2"/>
  <c r="CM15" i="2"/>
  <c r="CL15" i="2"/>
  <c r="CK15" i="2"/>
  <c r="AZ15" i="2"/>
  <c r="AY15" i="2"/>
  <c r="AX15" i="2"/>
  <c r="AW15" i="2"/>
  <c r="AV15" i="2"/>
  <c r="AU15" i="2"/>
  <c r="AT15" i="2"/>
  <c r="AS15" i="2"/>
  <c r="AR15" i="2"/>
  <c r="AQ15" i="2"/>
  <c r="AP15" i="2"/>
  <c r="AO15" i="2"/>
  <c r="AN15" i="2"/>
  <c r="AM15" i="2"/>
  <c r="AL15" i="2"/>
  <c r="AK15" i="2"/>
  <c r="AI15" i="2"/>
  <c r="AG15" i="2"/>
  <c r="AE15" i="2"/>
  <c r="AC15" i="2"/>
  <c r="AA15" i="2"/>
  <c r="Y15" i="2"/>
  <c r="W15" i="2"/>
  <c r="U15" i="2"/>
  <c r="K15" i="2"/>
  <c r="J15" i="2"/>
  <c r="J13" i="29" l="1"/>
  <c r="EY50" i="2" l="1"/>
  <c r="FJ50" i="2" s="1"/>
  <c r="FI50" i="2"/>
  <c r="FH50" i="2"/>
  <c r="FG50" i="2"/>
  <c r="FF50" i="2"/>
  <c r="FE50" i="2"/>
  <c r="FD50" i="2"/>
  <c r="FC50" i="2"/>
  <c r="FB50" i="2"/>
  <c r="FA50" i="2"/>
  <c r="C55" i="31"/>
  <c r="EJ50" i="2"/>
  <c r="ED50" i="2"/>
  <c r="EC50" i="2"/>
  <c r="EB50" i="2"/>
  <c r="EA50" i="2"/>
  <c r="DZ50" i="2"/>
  <c r="DY50" i="2"/>
  <c r="DX50" i="2"/>
  <c r="DW50" i="2"/>
  <c r="DU50" i="2"/>
  <c r="DT50" i="2"/>
  <c r="DS50" i="2"/>
  <c r="DR50" i="2"/>
  <c r="DQ50" i="2"/>
  <c r="DP50" i="2"/>
  <c r="DO50" i="2"/>
  <c r="DN50" i="2"/>
  <c r="DL50" i="2"/>
  <c r="DK50" i="2"/>
  <c r="DJ50" i="2"/>
  <c r="DI50" i="2"/>
  <c r="DH50" i="2"/>
  <c r="DG50" i="2"/>
  <c r="DF50" i="2"/>
  <c r="DE50" i="2"/>
  <c r="DC50" i="2"/>
  <c r="DB50" i="2"/>
  <c r="DA50" i="2"/>
  <c r="CZ50" i="2"/>
  <c r="CY50" i="2"/>
  <c r="CX50" i="2"/>
  <c r="CW50" i="2"/>
  <c r="CV50" i="2"/>
  <c r="CQ50" i="2"/>
  <c r="CO50" i="2"/>
  <c r="CM50" i="2"/>
  <c r="CL50" i="2"/>
  <c r="CK50" i="2"/>
  <c r="CH50" i="2"/>
  <c r="CF50" i="2"/>
  <c r="CD50" i="2"/>
  <c r="CB50" i="2"/>
  <c r="BY50" i="2"/>
  <c r="BW50" i="2"/>
  <c r="BU50" i="2"/>
  <c r="BS50" i="2"/>
  <c r="BP50" i="2"/>
  <c r="BN50" i="2"/>
  <c r="BL50" i="2"/>
  <c r="BJ50" i="2"/>
  <c r="BG50" i="2"/>
  <c r="BE50" i="2"/>
  <c r="BC50" i="2"/>
  <c r="AN50" i="2"/>
  <c r="CP50" i="2" s="1"/>
  <c r="AL50" i="2"/>
  <c r="CN50" i="2" s="1"/>
  <c r="AJ50" i="2"/>
  <c r="CG50" i="2" s="1"/>
  <c r="AH50" i="2"/>
  <c r="CE50" i="2" s="1"/>
  <c r="AF50" i="2"/>
  <c r="BX50" i="2" s="1"/>
  <c r="AD50" i="2"/>
  <c r="BV50" i="2" s="1"/>
  <c r="AB50" i="2"/>
  <c r="BO50" i="2" s="1"/>
  <c r="Z50" i="2"/>
  <c r="BM50" i="2" s="1"/>
  <c r="X50" i="2"/>
  <c r="BF50" i="2" s="1"/>
  <c r="V50" i="2"/>
  <c r="BD50" i="2" s="1"/>
  <c r="S50" i="2"/>
  <c r="L50" i="2"/>
  <c r="CI50" i="2" l="1"/>
  <c r="CJ50" i="2" s="1"/>
  <c r="BQ50" i="2"/>
  <c r="BR50" i="2" s="1"/>
  <c r="BZ50" i="2"/>
  <c r="CA50" i="2" s="1"/>
  <c r="BH50" i="2"/>
  <c r="BI50" i="2" s="1"/>
  <c r="EK50" i="2"/>
  <c r="N55" i="31" s="1"/>
  <c r="Y55" i="31"/>
  <c r="W55" i="31"/>
  <c r="S55" i="31"/>
  <c r="T55" i="31"/>
  <c r="EI50" i="2"/>
  <c r="L55" i="31" s="1"/>
  <c r="F55" i="31"/>
  <c r="X55" i="31"/>
  <c r="M55" i="31"/>
  <c r="P55" i="31"/>
  <c r="U55" i="31"/>
  <c r="B35" i="7"/>
  <c r="D35" i="7"/>
  <c r="D55" i="31"/>
  <c r="CR50" i="2"/>
  <c r="CS50" i="2" s="1"/>
  <c r="V55" i="31"/>
  <c r="DM50" i="2"/>
  <c r="DD50" i="2"/>
  <c r="EF50" i="2"/>
  <c r="H55" i="31" s="1"/>
  <c r="EG50" i="2"/>
  <c r="I55" i="31" s="1"/>
  <c r="DV50" i="2"/>
  <c r="EE50" i="2"/>
  <c r="EH50" i="2"/>
  <c r="K55" i="31" s="1"/>
  <c r="EL50" i="2"/>
  <c r="E35" i="7" l="1"/>
  <c r="E55" i="31"/>
  <c r="R55" i="31"/>
  <c r="Z55" i="31" s="1"/>
  <c r="J55" i="31"/>
  <c r="Q55" i="31" s="1"/>
  <c r="EM50" i="2"/>
  <c r="EN50" i="2" s="1"/>
  <c r="AA55" i="31" l="1"/>
  <c r="AC55" i="31" s="1"/>
  <c r="BK10" i="2"/>
  <c r="BB10" i="2"/>
  <c r="FU72" i="2" l="1"/>
  <c r="FS72" i="2"/>
  <c r="FR72" i="2"/>
  <c r="FV50" i="2"/>
  <c r="FU50" i="2"/>
  <c r="FT50" i="2"/>
  <c r="FS50" i="2"/>
  <c r="FR50" i="2"/>
  <c r="O125" i="31" l="1"/>
  <c r="AD14" i="31"/>
  <c r="AE14" i="31"/>
  <c r="AD15" i="31"/>
  <c r="AE15" i="31"/>
  <c r="AD18" i="31"/>
  <c r="AE18" i="31"/>
  <c r="AD19" i="31"/>
  <c r="AE19" i="31"/>
  <c r="AD22" i="31"/>
  <c r="AE22" i="31"/>
  <c r="AD24" i="31"/>
  <c r="AE24" i="31"/>
  <c r="AD25" i="31"/>
  <c r="AE25" i="31"/>
  <c r="AD31" i="31"/>
  <c r="AE31" i="31"/>
  <c r="AD32" i="31"/>
  <c r="AE32" i="31"/>
  <c r="AD37" i="31"/>
  <c r="AE37" i="31"/>
  <c r="AD38" i="31"/>
  <c r="AE38" i="31"/>
  <c r="AD39" i="31"/>
  <c r="AE39" i="31"/>
  <c r="AD44" i="31"/>
  <c r="AE44" i="31"/>
  <c r="AD45" i="31"/>
  <c r="AE45" i="31"/>
  <c r="AD46" i="31"/>
  <c r="AE46" i="31"/>
  <c r="AD49" i="31"/>
  <c r="AE49" i="31"/>
  <c r="AE54" i="31"/>
  <c r="AD55" i="31"/>
  <c r="AE55" i="31"/>
  <c r="AE56" i="31"/>
  <c r="AE58" i="31"/>
  <c r="AD61" i="31"/>
  <c r="AE61" i="31"/>
  <c r="AD62" i="31"/>
  <c r="AE62" i="31"/>
  <c r="AD65" i="31"/>
  <c r="AE65" i="31"/>
  <c r="AD66" i="31"/>
  <c r="AE66" i="31"/>
  <c r="AD67" i="31"/>
  <c r="AE67" i="31"/>
  <c r="AD68" i="31"/>
  <c r="AE68" i="31"/>
  <c r="AD70" i="31"/>
  <c r="AE70" i="31"/>
  <c r="AD71" i="31"/>
  <c r="AE71" i="31"/>
  <c r="AD72" i="31"/>
  <c r="AE72" i="31"/>
  <c r="AD73" i="31"/>
  <c r="AE73" i="31"/>
  <c r="AD74" i="31"/>
  <c r="AE74" i="31"/>
  <c r="AD75" i="31"/>
  <c r="AE75" i="31"/>
  <c r="AD76" i="31"/>
  <c r="AE76" i="31"/>
  <c r="AD77" i="31"/>
  <c r="AE77" i="31"/>
  <c r="AD78" i="31"/>
  <c r="AE78" i="31"/>
  <c r="AD79" i="31"/>
  <c r="AE79" i="31"/>
  <c r="AD80" i="31"/>
  <c r="AE80" i="31"/>
  <c r="AD81" i="31"/>
  <c r="AE81" i="31"/>
  <c r="AD82" i="31"/>
  <c r="AE82" i="31"/>
  <c r="AD83" i="31"/>
  <c r="AE83" i="31"/>
  <c r="AD84" i="31"/>
  <c r="AE84" i="31"/>
  <c r="AD85" i="31"/>
  <c r="AE85" i="31"/>
  <c r="AD86" i="31"/>
  <c r="AE86" i="31"/>
  <c r="AD87" i="31"/>
  <c r="AE87" i="31"/>
  <c r="AD88" i="31"/>
  <c r="AE88" i="31"/>
  <c r="AD89" i="31"/>
  <c r="AE89" i="31"/>
  <c r="AD90" i="31"/>
  <c r="AE90" i="31"/>
  <c r="AD91" i="31"/>
  <c r="AE91" i="31"/>
  <c r="AD92" i="31"/>
  <c r="AE92" i="31"/>
  <c r="AD96" i="31"/>
  <c r="AE96" i="31"/>
  <c r="AD97" i="31"/>
  <c r="AE97" i="31"/>
  <c r="AD104" i="31"/>
  <c r="AE104" i="31"/>
  <c r="AD105" i="31"/>
  <c r="AE105" i="31"/>
  <c r="AD112" i="31"/>
  <c r="AE112" i="31"/>
  <c r="AD113" i="31"/>
  <c r="AE113" i="31"/>
  <c r="AD114" i="31"/>
  <c r="AE114" i="31"/>
  <c r="AD116" i="31"/>
  <c r="AE116" i="31"/>
  <c r="AD117" i="31"/>
  <c r="AE117" i="31"/>
  <c r="AD119" i="31"/>
  <c r="AE119" i="31"/>
  <c r="AD122" i="31"/>
  <c r="AE122" i="31"/>
  <c r="AD126" i="31"/>
  <c r="AE126" i="31"/>
  <c r="AD127" i="31"/>
  <c r="AE127" i="31"/>
  <c r="AD129" i="31"/>
  <c r="AE129" i="31"/>
  <c r="AD131" i="31"/>
  <c r="AE131" i="31"/>
  <c r="AD138" i="31"/>
  <c r="AE138" i="31"/>
  <c r="AD139" i="31"/>
  <c r="AE139" i="31"/>
  <c r="AD140" i="31"/>
  <c r="AE140" i="31"/>
  <c r="AD142" i="31"/>
  <c r="AE142" i="31"/>
  <c r="AD145" i="31"/>
  <c r="AE145" i="31"/>
  <c r="AD148" i="31"/>
  <c r="AE148" i="31"/>
  <c r="AD149" i="31"/>
  <c r="AE149" i="31"/>
  <c r="AD150" i="31"/>
  <c r="AE150" i="31"/>
  <c r="AD154" i="31"/>
  <c r="AE154" i="31"/>
  <c r="AD155" i="31"/>
  <c r="AE155" i="31"/>
  <c r="AD156" i="31"/>
  <c r="AE156" i="31"/>
  <c r="AD159" i="31"/>
  <c r="AE159" i="31"/>
  <c r="AD161" i="31"/>
  <c r="AE161" i="31"/>
  <c r="AD162" i="31"/>
  <c r="AE162" i="31"/>
  <c r="AD163" i="31"/>
  <c r="AE163" i="31"/>
  <c r="AD164" i="31"/>
  <c r="AE164" i="31"/>
  <c r="AD165" i="31"/>
  <c r="AE165" i="31"/>
  <c r="AD167" i="31"/>
  <c r="AE167" i="31"/>
  <c r="FD114" i="2" l="1"/>
  <c r="FA114" i="2"/>
  <c r="C109" i="31"/>
  <c r="BP96" i="2"/>
  <c r="BG96" i="2"/>
  <c r="FI96" i="2"/>
  <c r="FH96" i="2"/>
  <c r="FG96" i="2"/>
  <c r="FF96" i="2"/>
  <c r="FE96" i="2"/>
  <c r="FC96" i="2"/>
  <c r="FB96" i="2"/>
  <c r="FA96" i="2"/>
  <c r="EY96" i="2"/>
  <c r="FJ96" i="2" s="1"/>
  <c r="FD96" i="2"/>
  <c r="EJ96" i="2"/>
  <c r="ED96" i="2"/>
  <c r="EC96" i="2"/>
  <c r="EB96" i="2"/>
  <c r="EA96" i="2"/>
  <c r="DZ96" i="2"/>
  <c r="DY96" i="2"/>
  <c r="DX96" i="2"/>
  <c r="DW96" i="2"/>
  <c r="DU96" i="2"/>
  <c r="DT96" i="2"/>
  <c r="DS96" i="2"/>
  <c r="DR96" i="2"/>
  <c r="DQ96" i="2"/>
  <c r="DP96" i="2"/>
  <c r="DO96" i="2"/>
  <c r="DN96" i="2"/>
  <c r="DL96" i="2"/>
  <c r="DK96" i="2"/>
  <c r="DJ96" i="2"/>
  <c r="DI96" i="2"/>
  <c r="DH96" i="2"/>
  <c r="DG96" i="2"/>
  <c r="DF96" i="2"/>
  <c r="DE96" i="2"/>
  <c r="DC96" i="2"/>
  <c r="DB96" i="2"/>
  <c r="DA96" i="2"/>
  <c r="CZ96" i="2"/>
  <c r="CY96" i="2"/>
  <c r="CX96" i="2"/>
  <c r="CW96" i="2"/>
  <c r="CV96" i="2"/>
  <c r="CQ96" i="2"/>
  <c r="CO96" i="2"/>
  <c r="CM96" i="2"/>
  <c r="CK96" i="2"/>
  <c r="CH96" i="2"/>
  <c r="CF96" i="2"/>
  <c r="CD96" i="2"/>
  <c r="CC96" i="2"/>
  <c r="CB96" i="2"/>
  <c r="BY96" i="2"/>
  <c r="BW96" i="2"/>
  <c r="BU96" i="2"/>
  <c r="BS96" i="2"/>
  <c r="BN96" i="2"/>
  <c r="BL96" i="2"/>
  <c r="BJ96" i="2"/>
  <c r="BE96" i="2"/>
  <c r="BC96" i="2"/>
  <c r="BA96" i="2"/>
  <c r="AN96" i="2"/>
  <c r="CP96" i="2" s="1"/>
  <c r="AL96" i="2"/>
  <c r="CN96" i="2" s="1"/>
  <c r="AJ96" i="2"/>
  <c r="CG96" i="2" s="1"/>
  <c r="AH96" i="2"/>
  <c r="CE96" i="2" s="1"/>
  <c r="AF96" i="2"/>
  <c r="BX96" i="2" s="1"/>
  <c r="AD96" i="2"/>
  <c r="BV96" i="2" s="1"/>
  <c r="AB96" i="2"/>
  <c r="BO96" i="2" s="1"/>
  <c r="Z96" i="2"/>
  <c r="BM96" i="2" s="1"/>
  <c r="X96" i="2"/>
  <c r="BF96" i="2" s="1"/>
  <c r="V96" i="2"/>
  <c r="BD96" i="2" s="1"/>
  <c r="CL96" i="2"/>
  <c r="BQ96" i="2" l="1"/>
  <c r="BR96" i="2" s="1"/>
  <c r="BZ96" i="2"/>
  <c r="CA96" i="2" s="1"/>
  <c r="CI96" i="2"/>
  <c r="CJ96" i="2" s="1"/>
  <c r="BH96" i="2"/>
  <c r="FS96" i="2"/>
  <c r="X109" i="31"/>
  <c r="FV96" i="2"/>
  <c r="FR96" i="2"/>
  <c r="EF96" i="2"/>
  <c r="FU96" i="2" s="1"/>
  <c r="S109" i="31"/>
  <c r="B34" i="7"/>
  <c r="E34" i="7" s="1"/>
  <c r="D34" i="7"/>
  <c r="Y109" i="31"/>
  <c r="M109" i="31"/>
  <c r="F109" i="31"/>
  <c r="EE96" i="2"/>
  <c r="G109" i="31"/>
  <c r="V109" i="31"/>
  <c r="CR96" i="2"/>
  <c r="CS96" i="2" s="1"/>
  <c r="DM96" i="2"/>
  <c r="U109" i="31"/>
  <c r="W109" i="31"/>
  <c r="EK96" i="2"/>
  <c r="N109" i="31" s="1"/>
  <c r="T109" i="31"/>
  <c r="D109" i="31"/>
  <c r="EL96" i="2"/>
  <c r="P109" i="31" s="1"/>
  <c r="DD96" i="2"/>
  <c r="DV96" i="2"/>
  <c r="EI96" i="2"/>
  <c r="L109" i="31" s="1"/>
  <c r="EH96" i="2"/>
  <c r="K109" i="31" s="1"/>
  <c r="L96" i="2"/>
  <c r="EG96" i="2"/>
  <c r="I109" i="31" s="1"/>
  <c r="BK9" i="2"/>
  <c r="BB9" i="2"/>
  <c r="H109" i="31" l="1"/>
  <c r="J109" i="31" s="1"/>
  <c r="Q109" i="31" s="1"/>
  <c r="EM96" i="2"/>
  <c r="EN96" i="2" s="1"/>
  <c r="BI96" i="2"/>
  <c r="FT96" i="2" l="1"/>
  <c r="E109" i="31"/>
  <c r="R109" i="31"/>
  <c r="Z109" i="31" s="1"/>
  <c r="AA109" i="31" s="1"/>
  <c r="AC109" i="31" s="1"/>
  <c r="FI56" i="2"/>
  <c r="AD109" i="31" l="1"/>
  <c r="AE109" i="31"/>
  <c r="AD58" i="31" l="1"/>
  <c r="AD56" i="31"/>
  <c r="AD54" i="31"/>
  <c r="C10" i="31" l="1"/>
  <c r="FI9" i="2"/>
  <c r="FH9" i="2"/>
  <c r="FG9" i="2"/>
  <c r="FF9" i="2"/>
  <c r="FE9" i="2"/>
  <c r="FC9" i="2"/>
  <c r="FB9" i="2"/>
  <c r="FA9" i="2"/>
  <c r="EY9" i="2"/>
  <c r="FJ9" i="2" s="1"/>
  <c r="FD9" i="2"/>
  <c r="EJ9" i="2"/>
  <c r="EE9" i="2"/>
  <c r="ED9" i="2"/>
  <c r="EC9" i="2"/>
  <c r="EB9" i="2"/>
  <c r="EA9" i="2"/>
  <c r="DZ9" i="2"/>
  <c r="DY9" i="2"/>
  <c r="DX9" i="2"/>
  <c r="DW9" i="2"/>
  <c r="DL9" i="2"/>
  <c r="DK9" i="2"/>
  <c r="DJ9" i="2"/>
  <c r="DI9" i="2"/>
  <c r="DH9" i="2"/>
  <c r="DG9" i="2"/>
  <c r="DF9" i="2"/>
  <c r="DE9" i="2"/>
  <c r="DC9" i="2"/>
  <c r="DB9" i="2"/>
  <c r="DA9" i="2"/>
  <c r="CZ9" i="2"/>
  <c r="CY9" i="2"/>
  <c r="CX9" i="2"/>
  <c r="CW9" i="2"/>
  <c r="CV9" i="2"/>
  <c r="CQ9" i="2"/>
  <c r="CO9" i="2"/>
  <c r="CM9" i="2"/>
  <c r="CL9" i="2"/>
  <c r="CK9" i="2"/>
  <c r="CH9" i="2"/>
  <c r="CF9" i="2"/>
  <c r="CD9" i="2"/>
  <c r="CC9" i="2"/>
  <c r="CB9" i="2"/>
  <c r="BY9" i="2"/>
  <c r="BW9" i="2"/>
  <c r="BU9" i="2"/>
  <c r="BT9" i="2"/>
  <c r="BS9" i="2"/>
  <c r="BP9" i="2"/>
  <c r="BN9" i="2"/>
  <c r="BL9" i="2"/>
  <c r="BJ9" i="2"/>
  <c r="BG9" i="2"/>
  <c r="BE9" i="2"/>
  <c r="BC9" i="2"/>
  <c r="BA9" i="2"/>
  <c r="AN9" i="2"/>
  <c r="CP9" i="2" s="1"/>
  <c r="AL9" i="2"/>
  <c r="CN9" i="2" s="1"/>
  <c r="AJ9" i="2"/>
  <c r="CG9" i="2" s="1"/>
  <c r="AH9" i="2"/>
  <c r="CE9" i="2" s="1"/>
  <c r="AF9" i="2"/>
  <c r="BX9" i="2" s="1"/>
  <c r="AD9" i="2"/>
  <c r="BV9" i="2" s="1"/>
  <c r="AB9" i="2"/>
  <c r="BO9" i="2" s="1"/>
  <c r="Z9" i="2"/>
  <c r="BM9" i="2" s="1"/>
  <c r="X9" i="2"/>
  <c r="BF9" i="2" s="1"/>
  <c r="V9" i="2"/>
  <c r="BD9" i="2" s="1"/>
  <c r="S9" i="2"/>
  <c r="L9" i="2"/>
  <c r="V50" i="7" l="1"/>
  <c r="S50" i="7"/>
  <c r="P50" i="7"/>
  <c r="K50" i="7"/>
  <c r="I50" i="7"/>
  <c r="F50" i="7"/>
  <c r="U50" i="7"/>
  <c r="G50" i="7"/>
  <c r="T50" i="7"/>
  <c r="R50" i="7"/>
  <c r="Q50" i="7"/>
  <c r="M50" i="7"/>
  <c r="L50" i="7"/>
  <c r="J50" i="7"/>
  <c r="H50" i="7"/>
  <c r="N50" i="7"/>
  <c r="Y50" i="7"/>
  <c r="O50" i="7"/>
  <c r="W50" i="7"/>
  <c r="Z50" i="7"/>
  <c r="X50" i="7"/>
  <c r="CI9" i="2"/>
  <c r="CJ9" i="2" s="1"/>
  <c r="BZ9" i="2"/>
  <c r="CA9" i="2" s="1"/>
  <c r="BQ9" i="2"/>
  <c r="BR9" i="2" s="1"/>
  <c r="BH9" i="2"/>
  <c r="FR9" i="2"/>
  <c r="FS9" i="2"/>
  <c r="FV9" i="2"/>
  <c r="W10" i="31"/>
  <c r="X10" i="31"/>
  <c r="Y10" i="31"/>
  <c r="M10" i="31"/>
  <c r="V10" i="31"/>
  <c r="T10" i="31"/>
  <c r="U10" i="31"/>
  <c r="D10" i="31"/>
  <c r="F10" i="31"/>
  <c r="G10" i="31"/>
  <c r="B33" i="7"/>
  <c r="E33" i="7" s="1"/>
  <c r="D33" i="7"/>
  <c r="S10" i="31"/>
  <c r="EL9" i="2"/>
  <c r="P10" i="31" s="1"/>
  <c r="EG9" i="2"/>
  <c r="I10" i="31" s="1"/>
  <c r="DD9" i="2"/>
  <c r="EK9" i="2"/>
  <c r="N10" i="31" s="1"/>
  <c r="DM9" i="2"/>
  <c r="DN9" i="2" s="1"/>
  <c r="CR9" i="2"/>
  <c r="CS9" i="2" s="1"/>
  <c r="EF9" i="2"/>
  <c r="EH9" i="2"/>
  <c r="K10" i="31" s="1"/>
  <c r="H10" i="31" l="1"/>
  <c r="J10" i="31" s="1"/>
  <c r="FU9" i="2"/>
  <c r="EM9" i="2"/>
  <c r="DO9" i="2"/>
  <c r="DP9" i="2" s="1"/>
  <c r="DQ9" i="2" s="1"/>
  <c r="EI9" i="2" s="1"/>
  <c r="BI9" i="2"/>
  <c r="BS143" i="2"/>
  <c r="EN9" i="2" l="1"/>
  <c r="FT9" i="2" s="1"/>
  <c r="L10" i="31"/>
  <c r="DR9" i="2"/>
  <c r="DS9" i="2" s="1"/>
  <c r="EX135" i="2"/>
  <c r="EW135" i="2"/>
  <c r="EU135" i="2"/>
  <c r="ET135" i="2"/>
  <c r="ER135" i="2"/>
  <c r="EQ135" i="2"/>
  <c r="EP135" i="2"/>
  <c r="CU135" i="2"/>
  <c r="CT135" i="2"/>
  <c r="AZ135" i="2"/>
  <c r="AY135" i="2"/>
  <c r="AX135" i="2"/>
  <c r="AW135" i="2"/>
  <c r="AV135" i="2"/>
  <c r="AU135" i="2"/>
  <c r="AT135" i="2"/>
  <c r="AS135" i="2"/>
  <c r="AR135" i="2"/>
  <c r="AQ135" i="2"/>
  <c r="AP135" i="2"/>
  <c r="AO135" i="2"/>
  <c r="AM135" i="2"/>
  <c r="AK135" i="2"/>
  <c r="AI135" i="2"/>
  <c r="AG135" i="2"/>
  <c r="AE135" i="2"/>
  <c r="AC135" i="2"/>
  <c r="AA135" i="2"/>
  <c r="Y135" i="2"/>
  <c r="W135" i="2"/>
  <c r="U135" i="2"/>
  <c r="EX126" i="2"/>
  <c r="EW126" i="2"/>
  <c r="EV126" i="2"/>
  <c r="EU126" i="2"/>
  <c r="ET126" i="2"/>
  <c r="ER126" i="2"/>
  <c r="EQ126" i="2"/>
  <c r="EP126" i="2"/>
  <c r="CU126" i="2"/>
  <c r="CT126" i="2"/>
  <c r="CQ126" i="2"/>
  <c r="CO126" i="2"/>
  <c r="CH126" i="2"/>
  <c r="CF126" i="2"/>
  <c r="CD126" i="2"/>
  <c r="AZ126" i="2"/>
  <c r="AY126" i="2"/>
  <c r="AX126" i="2"/>
  <c r="AW126" i="2"/>
  <c r="AV126" i="2"/>
  <c r="AU126" i="2"/>
  <c r="AT126" i="2"/>
  <c r="AS126" i="2"/>
  <c r="AR126" i="2"/>
  <c r="AQ126" i="2"/>
  <c r="AP126" i="2"/>
  <c r="AO126" i="2"/>
  <c r="AM126" i="2"/>
  <c r="AK126" i="2"/>
  <c r="AI126" i="2"/>
  <c r="AG126" i="2"/>
  <c r="AE126" i="2"/>
  <c r="AC126" i="2"/>
  <c r="AA126" i="2"/>
  <c r="Y126" i="2"/>
  <c r="W126" i="2"/>
  <c r="U126" i="2"/>
  <c r="EX48" i="2"/>
  <c r="EW48" i="2"/>
  <c r="EV48" i="2"/>
  <c r="EU48" i="2"/>
  <c r="ET48" i="2"/>
  <c r="ES48" i="2"/>
  <c r="ER48" i="2"/>
  <c r="EQ48" i="2"/>
  <c r="EP48" i="2"/>
  <c r="CU48" i="2"/>
  <c r="CT48" i="2"/>
  <c r="AZ48" i="2"/>
  <c r="AY48" i="2"/>
  <c r="AX48" i="2"/>
  <c r="AW48" i="2"/>
  <c r="AV48" i="2"/>
  <c r="AU48" i="2"/>
  <c r="AT48" i="2"/>
  <c r="AS48" i="2"/>
  <c r="AR48" i="2"/>
  <c r="AQ48" i="2"/>
  <c r="AP48" i="2"/>
  <c r="AO48" i="2"/>
  <c r="AM48" i="2"/>
  <c r="AK48" i="2"/>
  <c r="AI48" i="2"/>
  <c r="AG48" i="2"/>
  <c r="AE48" i="2"/>
  <c r="AC48" i="2"/>
  <c r="AA48" i="2"/>
  <c r="Y48" i="2"/>
  <c r="W48" i="2"/>
  <c r="U48" i="2"/>
  <c r="FP38" i="2"/>
  <c r="FO38" i="2"/>
  <c r="FN38" i="2"/>
  <c r="FM38" i="2"/>
  <c r="FL38" i="2"/>
  <c r="FK38" i="2"/>
  <c r="EX38" i="2"/>
  <c r="EW38" i="2"/>
  <c r="EU38" i="2"/>
  <c r="ET38" i="2"/>
  <c r="ES38" i="2"/>
  <c r="ER38" i="2"/>
  <c r="EQ38" i="2"/>
  <c r="EP38" i="2"/>
  <c r="CU38" i="2"/>
  <c r="CT38" i="2"/>
  <c r="AZ38" i="2"/>
  <c r="AY38" i="2"/>
  <c r="AX38" i="2"/>
  <c r="AW38" i="2"/>
  <c r="AV38" i="2"/>
  <c r="AU38" i="2"/>
  <c r="AT38" i="2"/>
  <c r="AS38" i="2"/>
  <c r="AR38" i="2"/>
  <c r="AQ38" i="2"/>
  <c r="AP38" i="2"/>
  <c r="AO38" i="2"/>
  <c r="AM38" i="2"/>
  <c r="AK38" i="2"/>
  <c r="AI38" i="2"/>
  <c r="AG38" i="2"/>
  <c r="AE38" i="2"/>
  <c r="AC38" i="2"/>
  <c r="AA38" i="2"/>
  <c r="Y38" i="2"/>
  <c r="W38" i="2"/>
  <c r="U38" i="2"/>
  <c r="EX32" i="2"/>
  <c r="EW32" i="2"/>
  <c r="EV32" i="2"/>
  <c r="EU32" i="2"/>
  <c r="ET32" i="2"/>
  <c r="ES32" i="2"/>
  <c r="ER32" i="2"/>
  <c r="EP32" i="2"/>
  <c r="CU32" i="2"/>
  <c r="CT32" i="2"/>
  <c r="AZ32" i="2"/>
  <c r="AY32" i="2"/>
  <c r="AX32" i="2"/>
  <c r="AW32" i="2"/>
  <c r="AV32" i="2"/>
  <c r="AU32" i="2"/>
  <c r="AT32" i="2"/>
  <c r="AS32" i="2"/>
  <c r="AR32" i="2"/>
  <c r="AQ32" i="2"/>
  <c r="AP32" i="2"/>
  <c r="AO32" i="2"/>
  <c r="AM32" i="2"/>
  <c r="AK32" i="2"/>
  <c r="AI32" i="2"/>
  <c r="AG32" i="2"/>
  <c r="AE32" i="2"/>
  <c r="AC32" i="2"/>
  <c r="AA32" i="2"/>
  <c r="Y32" i="2"/>
  <c r="W32" i="2"/>
  <c r="U32" i="2"/>
  <c r="EX26" i="2"/>
  <c r="EW26" i="2"/>
  <c r="EU26" i="2"/>
  <c r="ET26" i="2"/>
  <c r="ER26" i="2"/>
  <c r="EQ26" i="2"/>
  <c r="EP26" i="2"/>
  <c r="CU26" i="2"/>
  <c r="CT26" i="2"/>
  <c r="AZ26" i="2"/>
  <c r="AY26" i="2"/>
  <c r="AX26" i="2"/>
  <c r="AW26" i="2"/>
  <c r="AV26" i="2"/>
  <c r="AU26" i="2"/>
  <c r="AT26" i="2"/>
  <c r="AS26" i="2"/>
  <c r="AR26" i="2"/>
  <c r="AQ26" i="2"/>
  <c r="AP26" i="2"/>
  <c r="AO26" i="2"/>
  <c r="AM26" i="2"/>
  <c r="AK26" i="2"/>
  <c r="AI26" i="2"/>
  <c r="AG26" i="2"/>
  <c r="AE26" i="2"/>
  <c r="AC26" i="2"/>
  <c r="AA26" i="2"/>
  <c r="Y26" i="2"/>
  <c r="W26" i="2"/>
  <c r="U26" i="2"/>
  <c r="EX18" i="2"/>
  <c r="EW18" i="2"/>
  <c r="EU18" i="2"/>
  <c r="ET18" i="2"/>
  <c r="ES18" i="2"/>
  <c r="ER18" i="2"/>
  <c r="EQ18" i="2"/>
  <c r="EP18" i="2"/>
  <c r="DV18" i="2"/>
  <c r="DU18" i="2"/>
  <c r="DT18" i="2"/>
  <c r="DS18" i="2"/>
  <c r="DR18" i="2"/>
  <c r="DQ18" i="2"/>
  <c r="DP18" i="2"/>
  <c r="DO18" i="2"/>
  <c r="DN18" i="2"/>
  <c r="CU18" i="2"/>
  <c r="CT18" i="2"/>
  <c r="AZ18" i="2"/>
  <c r="AY18" i="2"/>
  <c r="AX18" i="2"/>
  <c r="AW18" i="2"/>
  <c r="AV18" i="2"/>
  <c r="AU18" i="2"/>
  <c r="AT18" i="2"/>
  <c r="AS18" i="2"/>
  <c r="AR18" i="2"/>
  <c r="AQ18" i="2"/>
  <c r="AP18" i="2"/>
  <c r="AO18" i="2"/>
  <c r="AM18" i="2"/>
  <c r="AK18" i="2"/>
  <c r="AI18" i="2"/>
  <c r="AG18" i="2"/>
  <c r="AE18" i="2"/>
  <c r="AC18" i="2"/>
  <c r="AA18" i="2"/>
  <c r="Y18" i="2"/>
  <c r="W18" i="2"/>
  <c r="U18" i="2"/>
  <c r="FP12" i="2"/>
  <c r="FP19" i="2" s="1"/>
  <c r="FO12" i="2"/>
  <c r="FO19" i="2" s="1"/>
  <c r="FN12" i="2"/>
  <c r="FN19" i="2" s="1"/>
  <c r="FM12" i="2"/>
  <c r="FM19" i="2" s="1"/>
  <c r="FL12" i="2"/>
  <c r="FL19" i="2" s="1"/>
  <c r="FK12" i="2"/>
  <c r="FK19" i="2" s="1"/>
  <c r="EX12" i="2"/>
  <c r="EW12" i="2"/>
  <c r="EU12" i="2"/>
  <c r="ET12" i="2"/>
  <c r="ER12" i="2"/>
  <c r="EQ12" i="2"/>
  <c r="EP12" i="2"/>
  <c r="CU12" i="2"/>
  <c r="CT12" i="2"/>
  <c r="AZ12" i="2"/>
  <c r="AY12" i="2"/>
  <c r="AX12" i="2"/>
  <c r="AW12" i="2"/>
  <c r="AV12" i="2"/>
  <c r="AU12" i="2"/>
  <c r="AT12" i="2"/>
  <c r="AS12" i="2"/>
  <c r="AR12" i="2"/>
  <c r="AQ12" i="2"/>
  <c r="AP12" i="2"/>
  <c r="AO12" i="2"/>
  <c r="AM12" i="2"/>
  <c r="AK12" i="2"/>
  <c r="AI12" i="2"/>
  <c r="AG12" i="2"/>
  <c r="AE12" i="2"/>
  <c r="AC12" i="2"/>
  <c r="AA12" i="2"/>
  <c r="Y12" i="2"/>
  <c r="W12" i="2"/>
  <c r="U12" i="2"/>
  <c r="T12" i="2"/>
  <c r="CT19" i="2" l="1"/>
  <c r="CU19" i="2"/>
  <c r="Q10" i="31"/>
  <c r="AP19" i="2"/>
  <c r="U19" i="2"/>
  <c r="AS19" i="2"/>
  <c r="AW19" i="2"/>
  <c r="ET19" i="2"/>
  <c r="E10" i="31"/>
  <c r="R10" i="31"/>
  <c r="DT9" i="2"/>
  <c r="DU9" i="2" s="1"/>
  <c r="DV9" i="2" s="1"/>
  <c r="AK19" i="2"/>
  <c r="AX19" i="2"/>
  <c r="AM19" i="2"/>
  <c r="AY19" i="2"/>
  <c r="EW19" i="2"/>
  <c r="EX19" i="2"/>
  <c r="AZ19" i="2"/>
  <c r="AC19" i="2"/>
  <c r="AI19" i="2"/>
  <c r="AU19" i="2"/>
  <c r="AG19" i="2"/>
  <c r="AA19" i="2"/>
  <c r="AO19" i="2"/>
  <c r="W19" i="2"/>
  <c r="EU19" i="2"/>
  <c r="AQ19" i="2"/>
  <c r="AV19" i="2"/>
  <c r="AT19" i="2"/>
  <c r="AR19" i="2"/>
  <c r="AE19" i="2"/>
  <c r="EP19" i="2"/>
  <c r="EQ19" i="2"/>
  <c r="ER19" i="2"/>
  <c r="Y19" i="2"/>
  <c r="Z10" i="31" l="1"/>
  <c r="EY144" i="2"/>
  <c r="EY143" i="2"/>
  <c r="EY139" i="2"/>
  <c r="EY134" i="2"/>
  <c r="EY132" i="2"/>
  <c r="EY125" i="2"/>
  <c r="EY121" i="2"/>
  <c r="EY117" i="2"/>
  <c r="EY114" i="2"/>
  <c r="EY95" i="2"/>
  <c r="EY87" i="2"/>
  <c r="EY86" i="2"/>
  <c r="EY83" i="2"/>
  <c r="EY75" i="2"/>
  <c r="EY72" i="2"/>
  <c r="FV72" i="2" s="1"/>
  <c r="EY56" i="2"/>
  <c r="FJ56" i="2" s="1"/>
  <c r="EY53" i="2"/>
  <c r="EY45" i="2"/>
  <c r="EY43" i="2"/>
  <c r="EY41" i="2"/>
  <c r="EY25" i="2"/>
  <c r="EY23" i="2"/>
  <c r="EY22" i="2"/>
  <c r="EY15" i="2"/>
  <c r="EY10" i="2"/>
  <c r="C59" i="31"/>
  <c r="FH56" i="2"/>
  <c r="FG56" i="2"/>
  <c r="FF56" i="2"/>
  <c r="FE56" i="2"/>
  <c r="FC56" i="2"/>
  <c r="FB56" i="2"/>
  <c r="FA56" i="2"/>
  <c r="FD56" i="2"/>
  <c r="EJ56" i="2"/>
  <c r="ED56" i="2"/>
  <c r="EC56" i="2"/>
  <c r="EB56" i="2"/>
  <c r="EA56" i="2"/>
  <c r="DZ56" i="2"/>
  <c r="DY56" i="2"/>
  <c r="DX56" i="2"/>
  <c r="DW56" i="2"/>
  <c r="DU56" i="2"/>
  <c r="DT56" i="2"/>
  <c r="DS56" i="2"/>
  <c r="DR56" i="2"/>
  <c r="DQ56" i="2"/>
  <c r="DP56" i="2"/>
  <c r="DO56" i="2"/>
  <c r="DN56" i="2"/>
  <c r="DL56" i="2"/>
  <c r="DK56" i="2"/>
  <c r="DJ56" i="2"/>
  <c r="DI56" i="2"/>
  <c r="DH56" i="2"/>
  <c r="DG56" i="2"/>
  <c r="DF56" i="2"/>
  <c r="DE56" i="2"/>
  <c r="DC56" i="2"/>
  <c r="DB56" i="2"/>
  <c r="DA56" i="2"/>
  <c r="CZ56" i="2"/>
  <c r="CY56" i="2"/>
  <c r="CX56" i="2"/>
  <c r="CW56" i="2"/>
  <c r="CV56" i="2"/>
  <c r="CQ56" i="2"/>
  <c r="CO56" i="2"/>
  <c r="CM56" i="2"/>
  <c r="CL56" i="2"/>
  <c r="CK56" i="2"/>
  <c r="CH56" i="2"/>
  <c r="CF56" i="2"/>
  <c r="CD56" i="2"/>
  <c r="CB56" i="2"/>
  <c r="BY56" i="2"/>
  <c r="BW56" i="2"/>
  <c r="BU56" i="2"/>
  <c r="BS56" i="2"/>
  <c r="BP56" i="2"/>
  <c r="BN56" i="2"/>
  <c r="BL56" i="2"/>
  <c r="BJ56" i="2"/>
  <c r="BG56" i="2"/>
  <c r="BE56" i="2"/>
  <c r="BC56" i="2"/>
  <c r="BA56" i="2"/>
  <c r="AN56" i="2"/>
  <c r="CP56" i="2" s="1"/>
  <c r="AL56" i="2"/>
  <c r="CN56" i="2" s="1"/>
  <c r="AJ56" i="2"/>
  <c r="CG56" i="2" s="1"/>
  <c r="AH56" i="2"/>
  <c r="CE56" i="2" s="1"/>
  <c r="AF56" i="2"/>
  <c r="BX56" i="2" s="1"/>
  <c r="AD56" i="2"/>
  <c r="BV56" i="2" s="1"/>
  <c r="AB56" i="2"/>
  <c r="BO56" i="2" s="1"/>
  <c r="Z56" i="2"/>
  <c r="BM56" i="2" s="1"/>
  <c r="X56" i="2"/>
  <c r="BF56" i="2" s="1"/>
  <c r="V56" i="2"/>
  <c r="BD56" i="2" s="1"/>
  <c r="S56" i="2"/>
  <c r="L56" i="2"/>
  <c r="BQ56" i="2" l="1"/>
  <c r="BR56" i="2" s="1"/>
  <c r="CI56" i="2"/>
  <c r="CJ56" i="2" s="1"/>
  <c r="BZ56" i="2"/>
  <c r="CA56" i="2" s="1"/>
  <c r="BA57" i="2"/>
  <c r="BH56" i="2"/>
  <c r="EY91" i="2"/>
  <c r="FR56" i="2"/>
  <c r="FS56" i="2"/>
  <c r="FV56" i="2"/>
  <c r="M59" i="31"/>
  <c r="AA10" i="31"/>
  <c r="AC10" i="31" s="1"/>
  <c r="X59" i="31"/>
  <c r="S59" i="31"/>
  <c r="P59" i="31"/>
  <c r="W59" i="31"/>
  <c r="Y59" i="31"/>
  <c r="F59" i="31"/>
  <c r="T59" i="31"/>
  <c r="B32" i="7"/>
  <c r="D32" i="7"/>
  <c r="U59" i="31"/>
  <c r="EK56" i="2"/>
  <c r="N59" i="31" s="1"/>
  <c r="EL56" i="2"/>
  <c r="EY26" i="2"/>
  <c r="EY48" i="2"/>
  <c r="D59" i="31"/>
  <c r="V59" i="31"/>
  <c r="EY126" i="2"/>
  <c r="DV56" i="2"/>
  <c r="EE56" i="2"/>
  <c r="DM56" i="2"/>
  <c r="EG56" i="2"/>
  <c r="I59" i="31" s="1"/>
  <c r="DD56" i="2"/>
  <c r="EI56" i="2"/>
  <c r="L59" i="31" s="1"/>
  <c r="CR56" i="2"/>
  <c r="CS56" i="2" s="1"/>
  <c r="EH56" i="2"/>
  <c r="K59" i="31" s="1"/>
  <c r="EF56" i="2"/>
  <c r="ES135" i="2"/>
  <c r="ES126" i="2"/>
  <c r="ES12" i="2"/>
  <c r="ES19" i="2" s="1"/>
  <c r="H59" i="31" l="1"/>
  <c r="E59" i="31" s="1"/>
  <c r="FU56" i="2"/>
  <c r="AD10" i="31"/>
  <c r="AE10" i="31"/>
  <c r="E32" i="7"/>
  <c r="EM56" i="2"/>
  <c r="EN56" i="2" s="1"/>
  <c r="BI56" i="2"/>
  <c r="FT56" i="2" l="1"/>
  <c r="R59" i="31"/>
  <c r="Z59" i="31" s="1"/>
  <c r="J59" i="31"/>
  <c r="Q59" i="31" s="1"/>
  <c r="EY145" i="2"/>
  <c r="EX145" i="2"/>
  <c r="EW145" i="2"/>
  <c r="EV145" i="2"/>
  <c r="EU145" i="2"/>
  <c r="ET145" i="2"/>
  <c r="ES145" i="2"/>
  <c r="ER145" i="2"/>
  <c r="EQ145" i="2"/>
  <c r="EP145" i="2"/>
  <c r="CU145" i="2"/>
  <c r="CT145" i="2"/>
  <c r="CT170" i="2" s="1"/>
  <c r="AZ145" i="2"/>
  <c r="AY145" i="2"/>
  <c r="AX145" i="2"/>
  <c r="AW145" i="2"/>
  <c r="AV145" i="2"/>
  <c r="AU145" i="2"/>
  <c r="AT145" i="2"/>
  <c r="AS145" i="2"/>
  <c r="AR145" i="2"/>
  <c r="AQ145" i="2"/>
  <c r="AP145" i="2"/>
  <c r="AO145" i="2"/>
  <c r="AM145" i="2"/>
  <c r="AK145" i="2"/>
  <c r="AI145" i="2"/>
  <c r="AG145" i="2"/>
  <c r="AE145" i="2"/>
  <c r="AC145" i="2"/>
  <c r="AA145" i="2"/>
  <c r="Y145" i="2"/>
  <c r="W145" i="2"/>
  <c r="U145" i="2"/>
  <c r="FP135" i="2"/>
  <c r="FO135" i="2"/>
  <c r="FN135" i="2"/>
  <c r="FM135" i="2"/>
  <c r="FL135" i="2"/>
  <c r="FK135" i="2"/>
  <c r="FP126" i="2"/>
  <c r="FO126" i="2"/>
  <c r="FN126" i="2"/>
  <c r="FM126" i="2"/>
  <c r="FL126" i="2"/>
  <c r="FK126" i="2"/>
  <c r="FO97" i="2"/>
  <c r="FN97" i="2"/>
  <c r="FM97" i="2"/>
  <c r="FL97" i="2"/>
  <c r="FK97" i="2"/>
  <c r="EY97" i="2"/>
  <c r="EX97" i="2"/>
  <c r="EW97" i="2"/>
  <c r="EV97" i="2"/>
  <c r="EU97" i="2"/>
  <c r="ET97" i="2"/>
  <c r="ES97" i="2"/>
  <c r="ER97" i="2"/>
  <c r="EQ97" i="2"/>
  <c r="EP97" i="2"/>
  <c r="CU97" i="2"/>
  <c r="CT97" i="2"/>
  <c r="AZ97" i="2"/>
  <c r="AY97" i="2"/>
  <c r="AX97" i="2"/>
  <c r="AW97" i="2"/>
  <c r="AV97" i="2"/>
  <c r="AU97" i="2"/>
  <c r="AT97" i="2"/>
  <c r="AS97" i="2"/>
  <c r="AR97" i="2"/>
  <c r="AQ97" i="2"/>
  <c r="AP97" i="2"/>
  <c r="AO97" i="2"/>
  <c r="AM97" i="2"/>
  <c r="AK97" i="2"/>
  <c r="AI97" i="2"/>
  <c r="AG97" i="2"/>
  <c r="AE97" i="2"/>
  <c r="AC97" i="2"/>
  <c r="AA97" i="2"/>
  <c r="Y97" i="2"/>
  <c r="W97" i="2"/>
  <c r="U97" i="2"/>
  <c r="AZ91" i="2"/>
  <c r="AY91" i="2"/>
  <c r="AX91" i="2"/>
  <c r="AW91" i="2"/>
  <c r="AV91" i="2"/>
  <c r="AU91" i="2"/>
  <c r="AT91" i="2"/>
  <c r="AS91" i="2"/>
  <c r="AR91" i="2"/>
  <c r="AQ91" i="2"/>
  <c r="AP91" i="2"/>
  <c r="AO91" i="2"/>
  <c r="AM91" i="2"/>
  <c r="AK91" i="2"/>
  <c r="AI91" i="2"/>
  <c r="AG91" i="2"/>
  <c r="AE91" i="2"/>
  <c r="AC91" i="2"/>
  <c r="AA91" i="2"/>
  <c r="Y91" i="2"/>
  <c r="W91" i="2"/>
  <c r="U91" i="2"/>
  <c r="FP84" i="2"/>
  <c r="FO84" i="2"/>
  <c r="FN84" i="2"/>
  <c r="FM84" i="2"/>
  <c r="FL84" i="2"/>
  <c r="FK84" i="2"/>
  <c r="EX84" i="2"/>
  <c r="EW84" i="2"/>
  <c r="ET84" i="2"/>
  <c r="ES84" i="2"/>
  <c r="ER84" i="2"/>
  <c r="EQ84" i="2"/>
  <c r="EP84" i="2"/>
  <c r="CU84" i="2"/>
  <c r="CT84" i="2"/>
  <c r="AZ84" i="2"/>
  <c r="AY84" i="2"/>
  <c r="AX84" i="2"/>
  <c r="AW84" i="2"/>
  <c r="AV84" i="2"/>
  <c r="AU84" i="2"/>
  <c r="AT84" i="2"/>
  <c r="AS84" i="2"/>
  <c r="AR84" i="2"/>
  <c r="AQ84" i="2"/>
  <c r="AP84" i="2"/>
  <c r="AO84" i="2"/>
  <c r="AM84" i="2"/>
  <c r="AK84" i="2"/>
  <c r="AI84" i="2"/>
  <c r="AG84" i="2"/>
  <c r="AE84" i="2"/>
  <c r="AC84" i="2"/>
  <c r="AA84" i="2"/>
  <c r="Y84" i="2"/>
  <c r="W84" i="2"/>
  <c r="U84" i="2"/>
  <c r="FP73" i="2"/>
  <c r="FO73" i="2"/>
  <c r="FN73" i="2"/>
  <c r="FM73" i="2"/>
  <c r="FL73" i="2"/>
  <c r="FK73" i="2"/>
  <c r="FJ73" i="2"/>
  <c r="FI73" i="2"/>
  <c r="FH73" i="2"/>
  <c r="FG73" i="2"/>
  <c r="FF73" i="2"/>
  <c r="FE73" i="2"/>
  <c r="FD73" i="2"/>
  <c r="FC73" i="2"/>
  <c r="FB73" i="2"/>
  <c r="FA73" i="2"/>
  <c r="EY73" i="2"/>
  <c r="EX73" i="2"/>
  <c r="EW73" i="2"/>
  <c r="EV73" i="2"/>
  <c r="EU73" i="2"/>
  <c r="ET73" i="2"/>
  <c r="ES73" i="2"/>
  <c r="ER73" i="2"/>
  <c r="EQ73" i="2"/>
  <c r="EP73" i="2"/>
  <c r="EM73" i="2"/>
  <c r="EL73" i="2"/>
  <c r="EK73" i="2"/>
  <c r="EI73" i="2"/>
  <c r="EH73" i="2"/>
  <c r="EF73" i="2"/>
  <c r="EE73" i="2"/>
  <c r="ED73" i="2"/>
  <c r="EC73" i="2"/>
  <c r="EB73" i="2"/>
  <c r="EA73" i="2"/>
  <c r="DZ73" i="2"/>
  <c r="DY73" i="2"/>
  <c r="DX73" i="2"/>
  <c r="DW73" i="2"/>
  <c r="DV73" i="2"/>
  <c r="DU73" i="2"/>
  <c r="DT73" i="2"/>
  <c r="DS73" i="2"/>
  <c r="DR73" i="2"/>
  <c r="DQ73" i="2"/>
  <c r="DP73" i="2"/>
  <c r="DO73" i="2"/>
  <c r="DN73" i="2"/>
  <c r="DM73" i="2"/>
  <c r="DL73" i="2"/>
  <c r="DK73" i="2"/>
  <c r="DJ73" i="2"/>
  <c r="DI73" i="2"/>
  <c r="DH73" i="2"/>
  <c r="DG73" i="2"/>
  <c r="DF73" i="2"/>
  <c r="DE73" i="2"/>
  <c r="DD73" i="2"/>
  <c r="DC73" i="2"/>
  <c r="DB73" i="2"/>
  <c r="DA73" i="2"/>
  <c r="CZ73" i="2"/>
  <c r="CY73" i="2"/>
  <c r="CX73" i="2"/>
  <c r="CW73" i="2"/>
  <c r="CV73" i="2"/>
  <c r="CU73" i="2"/>
  <c r="CT73" i="2"/>
  <c r="CS73" i="2"/>
  <c r="CR73" i="2"/>
  <c r="CQ73" i="2"/>
  <c r="CP73" i="2"/>
  <c r="CO73" i="2"/>
  <c r="CN73" i="2"/>
  <c r="CM73" i="2"/>
  <c r="CL73" i="2"/>
  <c r="CK73" i="2"/>
  <c r="CJ73" i="2"/>
  <c r="CI73" i="2"/>
  <c r="CH73" i="2"/>
  <c r="CG73" i="2"/>
  <c r="CF73" i="2"/>
  <c r="CE73" i="2"/>
  <c r="CD73" i="2"/>
  <c r="CC73" i="2"/>
  <c r="CB73" i="2"/>
  <c r="CA73" i="2"/>
  <c r="BZ73" i="2"/>
  <c r="BY73" i="2"/>
  <c r="BX73" i="2"/>
  <c r="BW73" i="2"/>
  <c r="BV73" i="2"/>
  <c r="BU73" i="2"/>
  <c r="BT73" i="2"/>
  <c r="BS73" i="2"/>
  <c r="BR73" i="2"/>
  <c r="BQ73" i="2"/>
  <c r="BP73" i="2"/>
  <c r="BO73" i="2"/>
  <c r="BN73" i="2"/>
  <c r="BM73" i="2"/>
  <c r="BL73" i="2"/>
  <c r="BK73" i="2"/>
  <c r="BJ73" i="2"/>
  <c r="BI73" i="2"/>
  <c r="BH73" i="2"/>
  <c r="BG73" i="2"/>
  <c r="BF73" i="2"/>
  <c r="BE73" i="2"/>
  <c r="BD73" i="2"/>
  <c r="BC73"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FP70" i="2"/>
  <c r="FO70" i="2"/>
  <c r="FN70" i="2"/>
  <c r="FM70" i="2"/>
  <c r="FL70" i="2"/>
  <c r="FK70" i="2"/>
  <c r="EY70" i="2"/>
  <c r="EX70" i="2"/>
  <c r="EW70" i="2"/>
  <c r="EV70" i="2"/>
  <c r="EU70" i="2"/>
  <c r="ET70" i="2"/>
  <c r="ES70" i="2"/>
  <c r="ER70" i="2"/>
  <c r="EP70" i="2"/>
  <c r="CU70" i="2"/>
  <c r="CT70" i="2"/>
  <c r="AZ70" i="2"/>
  <c r="AY70" i="2"/>
  <c r="AX70" i="2"/>
  <c r="AW70" i="2"/>
  <c r="AV70" i="2"/>
  <c r="AU70" i="2"/>
  <c r="AT70" i="2"/>
  <c r="AS70" i="2"/>
  <c r="AR70" i="2"/>
  <c r="AQ70" i="2"/>
  <c r="AP70" i="2"/>
  <c r="AO70" i="2"/>
  <c r="AM70" i="2"/>
  <c r="AK70" i="2"/>
  <c r="AI70" i="2"/>
  <c r="AG70" i="2"/>
  <c r="AE70" i="2"/>
  <c r="AC70" i="2"/>
  <c r="AA70" i="2"/>
  <c r="Y70" i="2"/>
  <c r="W70" i="2"/>
  <c r="U70" i="2"/>
  <c r="FP57" i="2"/>
  <c r="FO57" i="2"/>
  <c r="FN57" i="2"/>
  <c r="FM57" i="2"/>
  <c r="FL57" i="2"/>
  <c r="FK57" i="2"/>
  <c r="FJ57" i="2"/>
  <c r="FI57" i="2"/>
  <c r="FH57" i="2"/>
  <c r="FG57" i="2"/>
  <c r="FF57" i="2"/>
  <c r="FE57" i="2"/>
  <c r="FD57" i="2"/>
  <c r="FC57" i="2"/>
  <c r="FB57" i="2"/>
  <c r="FA57" i="2"/>
  <c r="EY57" i="2"/>
  <c r="EX57" i="2"/>
  <c r="EW57" i="2"/>
  <c r="EV57" i="2"/>
  <c r="EU57" i="2"/>
  <c r="ET57" i="2"/>
  <c r="ES57" i="2"/>
  <c r="ER57" i="2"/>
  <c r="EQ57" i="2"/>
  <c r="EP57" i="2"/>
  <c r="EN57" i="2"/>
  <c r="EM57" i="2"/>
  <c r="EL57" i="2"/>
  <c r="EK57" i="2"/>
  <c r="EJ57" i="2"/>
  <c r="EI57" i="2"/>
  <c r="EH57" i="2"/>
  <c r="EG57" i="2"/>
  <c r="EF57" i="2"/>
  <c r="EE57" i="2"/>
  <c r="ED57" i="2"/>
  <c r="EC57" i="2"/>
  <c r="EB57" i="2"/>
  <c r="EA57" i="2"/>
  <c r="DZ57" i="2"/>
  <c r="DY57" i="2"/>
  <c r="DX57" i="2"/>
  <c r="DW57" i="2"/>
  <c r="DV57" i="2"/>
  <c r="DU57" i="2"/>
  <c r="DT57" i="2"/>
  <c r="DS57" i="2"/>
  <c r="DR57" i="2"/>
  <c r="DQ57" i="2"/>
  <c r="DP57" i="2"/>
  <c r="DO57" i="2"/>
  <c r="DN57" i="2"/>
  <c r="DM57" i="2"/>
  <c r="DL57" i="2"/>
  <c r="DK57" i="2"/>
  <c r="DJ57" i="2"/>
  <c r="DI57" i="2"/>
  <c r="DH57" i="2"/>
  <c r="DG57" i="2"/>
  <c r="DF57" i="2"/>
  <c r="DE57" i="2"/>
  <c r="DD57" i="2"/>
  <c r="DC57" i="2"/>
  <c r="DB57" i="2"/>
  <c r="DA57" i="2"/>
  <c r="CZ57" i="2"/>
  <c r="CY57" i="2"/>
  <c r="CX57" i="2"/>
  <c r="CW57" i="2"/>
  <c r="CV57" i="2"/>
  <c r="CU57" i="2"/>
  <c r="CT57" i="2"/>
  <c r="CS57" i="2"/>
  <c r="CR57" i="2"/>
  <c r="CQ57" i="2"/>
  <c r="CP57" i="2"/>
  <c r="CO57" i="2"/>
  <c r="CN57" i="2"/>
  <c r="CM57" i="2"/>
  <c r="CL57" i="2"/>
  <c r="CK57" i="2"/>
  <c r="CJ57" i="2"/>
  <c r="CI57" i="2"/>
  <c r="CH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EY54" i="2"/>
  <c r="EX54" i="2"/>
  <c r="EW54" i="2"/>
  <c r="EV54" i="2"/>
  <c r="EU54" i="2"/>
  <c r="ET54" i="2"/>
  <c r="ES54" i="2"/>
  <c r="ER54" i="2"/>
  <c r="EQ54" i="2"/>
  <c r="EP54" i="2"/>
  <c r="CU54" i="2"/>
  <c r="CT54" i="2"/>
  <c r="BK54" i="2"/>
  <c r="AZ54" i="2"/>
  <c r="AY54" i="2"/>
  <c r="AX54" i="2"/>
  <c r="AW54" i="2"/>
  <c r="AV54" i="2"/>
  <c r="AU54" i="2"/>
  <c r="AT54" i="2"/>
  <c r="AS54" i="2"/>
  <c r="AR54" i="2"/>
  <c r="AQ54" i="2"/>
  <c r="AP54" i="2"/>
  <c r="AO54" i="2"/>
  <c r="AM54" i="2"/>
  <c r="AK54" i="2"/>
  <c r="AI54" i="2"/>
  <c r="AG54" i="2"/>
  <c r="AE54" i="2"/>
  <c r="AC54" i="2"/>
  <c r="AA54" i="2"/>
  <c r="Y54" i="2"/>
  <c r="W54" i="2"/>
  <c r="U54" i="2"/>
  <c r="EY51" i="2"/>
  <c r="EX51" i="2"/>
  <c r="EW51" i="2"/>
  <c r="EV51" i="2"/>
  <c r="EU51" i="2"/>
  <c r="ET51" i="2"/>
  <c r="ES51" i="2"/>
  <c r="ER51" i="2"/>
  <c r="EQ51" i="2"/>
  <c r="EP51" i="2"/>
  <c r="CU51" i="2"/>
  <c r="CT51" i="2"/>
  <c r="BK51" i="2"/>
  <c r="BB51" i="2"/>
  <c r="AZ51" i="2"/>
  <c r="AY51" i="2"/>
  <c r="AX51" i="2"/>
  <c r="AW51" i="2"/>
  <c r="AV51" i="2"/>
  <c r="AU51" i="2"/>
  <c r="AT51" i="2"/>
  <c r="AS51" i="2"/>
  <c r="AR51" i="2"/>
  <c r="AQ51" i="2"/>
  <c r="AP51" i="2"/>
  <c r="AO51" i="2"/>
  <c r="AM51" i="2"/>
  <c r="AK51" i="2"/>
  <c r="AI51" i="2"/>
  <c r="AG51" i="2"/>
  <c r="AE51" i="2"/>
  <c r="AC51" i="2"/>
  <c r="AA51" i="2"/>
  <c r="Y51" i="2"/>
  <c r="W51" i="2"/>
  <c r="U51" i="2"/>
  <c r="C158" i="31"/>
  <c r="S144" i="2"/>
  <c r="S143" i="2"/>
  <c r="FI144" i="2"/>
  <c r="FH144" i="2"/>
  <c r="FG144" i="2"/>
  <c r="FF144" i="2"/>
  <c r="FE144" i="2"/>
  <c r="FC144" i="2"/>
  <c r="FB144" i="2"/>
  <c r="FA144" i="2"/>
  <c r="FJ144" i="2"/>
  <c r="FD144" i="2"/>
  <c r="EJ144" i="2"/>
  <c r="ED144" i="2"/>
  <c r="EC144" i="2"/>
  <c r="EB144" i="2"/>
  <c r="EA144" i="2"/>
  <c r="DZ144" i="2"/>
  <c r="DY144" i="2"/>
  <c r="DX144" i="2"/>
  <c r="DW144" i="2"/>
  <c r="DU144" i="2"/>
  <c r="DT144" i="2"/>
  <c r="DS144" i="2"/>
  <c r="DR144" i="2"/>
  <c r="DQ144" i="2"/>
  <c r="DP144" i="2"/>
  <c r="DO144" i="2"/>
  <c r="DN144" i="2"/>
  <c r="DL144" i="2"/>
  <c r="DK144" i="2"/>
  <c r="DJ144" i="2"/>
  <c r="DI144" i="2"/>
  <c r="DH144" i="2"/>
  <c r="DG144" i="2"/>
  <c r="DF144" i="2"/>
  <c r="DE144" i="2"/>
  <c r="DC144" i="2"/>
  <c r="DB144" i="2"/>
  <c r="DA144" i="2"/>
  <c r="CZ144" i="2"/>
  <c r="CY144" i="2"/>
  <c r="CX144" i="2"/>
  <c r="CW144" i="2"/>
  <c r="CV144" i="2"/>
  <c r="CQ144" i="2"/>
  <c r="CO144" i="2"/>
  <c r="CM144" i="2"/>
  <c r="CL144" i="2"/>
  <c r="CK144" i="2"/>
  <c r="CH144" i="2"/>
  <c r="CF144" i="2"/>
  <c r="CD144" i="2"/>
  <c r="CC144" i="2"/>
  <c r="CB144" i="2"/>
  <c r="BY144" i="2"/>
  <c r="BW144" i="2"/>
  <c r="BU144" i="2"/>
  <c r="BT144" i="2"/>
  <c r="BS144" i="2"/>
  <c r="BP144" i="2"/>
  <c r="BN144" i="2"/>
  <c r="BL144" i="2"/>
  <c r="BJ144" i="2"/>
  <c r="BG144" i="2"/>
  <c r="BE144" i="2"/>
  <c r="BC144" i="2"/>
  <c r="BA144" i="2"/>
  <c r="AN144" i="2"/>
  <c r="CP144" i="2" s="1"/>
  <c r="AL144" i="2"/>
  <c r="CN144" i="2" s="1"/>
  <c r="AJ144" i="2"/>
  <c r="CG144" i="2" s="1"/>
  <c r="AH144" i="2"/>
  <c r="CE144" i="2" s="1"/>
  <c r="AF144" i="2"/>
  <c r="BX144" i="2" s="1"/>
  <c r="AD144" i="2"/>
  <c r="BV144" i="2" s="1"/>
  <c r="AB144" i="2"/>
  <c r="BO144" i="2" s="1"/>
  <c r="Z144" i="2"/>
  <c r="BM144" i="2" s="1"/>
  <c r="X144" i="2"/>
  <c r="BF144" i="2" s="1"/>
  <c r="V144" i="2"/>
  <c r="BD144" i="2" s="1"/>
  <c r="FD143" i="2"/>
  <c r="EU84" i="2"/>
  <c r="CC51" i="2"/>
  <c r="CC143" i="2"/>
  <c r="BB54" i="2"/>
  <c r="C157" i="31"/>
  <c r="BK143" i="2"/>
  <c r="FI143" i="2"/>
  <c r="FH143" i="2"/>
  <c r="FG143" i="2"/>
  <c r="FF143" i="2"/>
  <c r="FE143" i="2"/>
  <c r="FC143" i="2"/>
  <c r="FB143" i="2"/>
  <c r="FA143" i="2"/>
  <c r="FJ143" i="2"/>
  <c r="EJ143" i="2"/>
  <c r="ED143" i="2"/>
  <c r="EC143" i="2"/>
  <c r="EB143" i="2"/>
  <c r="EA143" i="2"/>
  <c r="DZ143" i="2"/>
  <c r="DY143" i="2"/>
  <c r="DX143" i="2"/>
  <c r="DW143" i="2"/>
  <c r="DU143" i="2"/>
  <c r="DT143" i="2"/>
  <c r="DS143" i="2"/>
  <c r="DR143" i="2"/>
  <c r="DQ143" i="2"/>
  <c r="DP143" i="2"/>
  <c r="DO143" i="2"/>
  <c r="DN143" i="2"/>
  <c r="DL143" i="2"/>
  <c r="DK143" i="2"/>
  <c r="DJ143" i="2"/>
  <c r="DI143" i="2"/>
  <c r="DH143" i="2"/>
  <c r="DG143" i="2"/>
  <c r="DF143" i="2"/>
  <c r="DE143" i="2"/>
  <c r="DC143" i="2"/>
  <c r="DB143" i="2"/>
  <c r="DA143" i="2"/>
  <c r="CZ143" i="2"/>
  <c r="CY143" i="2"/>
  <c r="CX143" i="2"/>
  <c r="CW143" i="2"/>
  <c r="CV143" i="2"/>
  <c r="CQ143" i="2"/>
  <c r="CO143" i="2"/>
  <c r="CM143" i="2"/>
  <c r="CL143" i="2"/>
  <c r="CK143" i="2"/>
  <c r="CH143" i="2"/>
  <c r="CF143" i="2"/>
  <c r="CD143" i="2"/>
  <c r="CB143" i="2"/>
  <c r="BY143" i="2"/>
  <c r="BW143" i="2"/>
  <c r="BU143" i="2"/>
  <c r="BT143" i="2"/>
  <c r="BP143" i="2"/>
  <c r="BN143" i="2"/>
  <c r="BL143" i="2"/>
  <c r="BJ143" i="2"/>
  <c r="BG143" i="2"/>
  <c r="BE143" i="2"/>
  <c r="BC143" i="2"/>
  <c r="BA143" i="2"/>
  <c r="AN143" i="2"/>
  <c r="CP143" i="2" s="1"/>
  <c r="AL143" i="2"/>
  <c r="CN143" i="2" s="1"/>
  <c r="AJ143" i="2"/>
  <c r="CG143" i="2" s="1"/>
  <c r="AH143" i="2"/>
  <c r="CE143" i="2" s="1"/>
  <c r="AF143" i="2"/>
  <c r="BX143" i="2" s="1"/>
  <c r="AD143" i="2"/>
  <c r="BV143" i="2" s="1"/>
  <c r="AB143" i="2"/>
  <c r="BO143" i="2" s="1"/>
  <c r="Z143" i="2"/>
  <c r="BM143" i="2" s="1"/>
  <c r="X143" i="2"/>
  <c r="BF143" i="2" s="1"/>
  <c r="V143" i="2"/>
  <c r="BD143" i="2" s="1"/>
  <c r="CK262" i="2"/>
  <c r="CS244" i="2"/>
  <c r="CR244" i="2"/>
  <c r="CK244" i="2"/>
  <c r="CL244" i="2"/>
  <c r="CK248" i="2"/>
  <c r="CL248" i="2"/>
  <c r="CM248" i="2"/>
  <c r="CN248" i="2"/>
  <c r="CO248" i="2"/>
  <c r="CP248" i="2"/>
  <c r="CQ248" i="2"/>
  <c r="CR248" i="2"/>
  <c r="CS248" i="2"/>
  <c r="CK254" i="2"/>
  <c r="CL254" i="2"/>
  <c r="CM254" i="2"/>
  <c r="CN254" i="2"/>
  <c r="CO254" i="2"/>
  <c r="CP254" i="2"/>
  <c r="CQ254" i="2"/>
  <c r="CR254" i="2"/>
  <c r="CS254" i="2"/>
  <c r="CK263" i="2"/>
  <c r="CK264" i="2"/>
  <c r="CK265" i="2"/>
  <c r="CK266" i="2"/>
  <c r="BZ143" i="2" l="1"/>
  <c r="BH144" i="2"/>
  <c r="BI144" i="2" s="1"/>
  <c r="CI144" i="2"/>
  <c r="CJ144" i="2" s="1"/>
  <c r="BQ144" i="2"/>
  <c r="BR144" i="2" s="1"/>
  <c r="CI143" i="2"/>
  <c r="BQ143" i="2"/>
  <c r="BH143" i="2"/>
  <c r="BS145" i="2"/>
  <c r="BS170" i="2" s="1"/>
  <c r="BZ144" i="2"/>
  <c r="CA144" i="2" s="1"/>
  <c r="BA145" i="2"/>
  <c r="BA170" i="2" s="1"/>
  <c r="FS144" i="2"/>
  <c r="AR58" i="2"/>
  <c r="FR144" i="2"/>
  <c r="DQ145" i="2"/>
  <c r="AQ58" i="2"/>
  <c r="CT79" i="2"/>
  <c r="CU79" i="2"/>
  <c r="FR143" i="2"/>
  <c r="FS143" i="2"/>
  <c r="DP145" i="2"/>
  <c r="FV143" i="2"/>
  <c r="FV144" i="2"/>
  <c r="AA59" i="31"/>
  <c r="AC59" i="31" s="1"/>
  <c r="BP145" i="2"/>
  <c r="BP170" i="2" s="1"/>
  <c r="BV145" i="2"/>
  <c r="BV170" i="2" s="1"/>
  <c r="BE145" i="2"/>
  <c r="BE170" i="2" s="1"/>
  <c r="AC58" i="2"/>
  <c r="BF145" i="2"/>
  <c r="BF170" i="2" s="1"/>
  <c r="BG145" i="2"/>
  <c r="BG170" i="2" s="1"/>
  <c r="DO145" i="2"/>
  <c r="CN145" i="2"/>
  <c r="CN170" i="2" s="1"/>
  <c r="DT145" i="2"/>
  <c r="CQ145" i="2"/>
  <c r="CQ170" i="2" s="1"/>
  <c r="DI145" i="2"/>
  <c r="AN145" i="2"/>
  <c r="DK145" i="2"/>
  <c r="BL145" i="2"/>
  <c r="BL170" i="2" s="1"/>
  <c r="FL101" i="2"/>
  <c r="FL148" i="2" s="1"/>
  <c r="FM101" i="2"/>
  <c r="FM148" i="2" s="1"/>
  <c r="CP145" i="2"/>
  <c r="CP170" i="2" s="1"/>
  <c r="DJ145" i="2"/>
  <c r="AO58" i="2"/>
  <c r="FN101" i="2"/>
  <c r="FN148" i="2" s="1"/>
  <c r="DG145" i="2"/>
  <c r="DH145" i="2"/>
  <c r="AE58" i="2"/>
  <c r="BW145" i="2"/>
  <c r="BW170" i="2" s="1"/>
  <c r="BY145" i="2"/>
  <c r="BY170" i="2" s="1"/>
  <c r="FB145" i="2"/>
  <c r="FC145" i="2"/>
  <c r="CW145" i="2"/>
  <c r="DX145" i="2"/>
  <c r="BJ145" i="2"/>
  <c r="BJ170" i="2" s="1"/>
  <c r="BK70" i="2"/>
  <c r="AB145" i="2"/>
  <c r="CX145" i="2"/>
  <c r="FF145" i="2"/>
  <c r="FK101" i="2"/>
  <c r="FK148" i="2" s="1"/>
  <c r="AD145" i="2"/>
  <c r="DZ145" i="2"/>
  <c r="DN145" i="2"/>
  <c r="BM145" i="2"/>
  <c r="BM170" i="2" s="1"/>
  <c r="CH145" i="2"/>
  <c r="CH170" i="2" s="1"/>
  <c r="EB145" i="2"/>
  <c r="BO145" i="2"/>
  <c r="BO170" i="2" s="1"/>
  <c r="CK145" i="2"/>
  <c r="CK170" i="2" s="1"/>
  <c r="BU145" i="2"/>
  <c r="BU170" i="2" s="1"/>
  <c r="AT101" i="2"/>
  <c r="BX145" i="2"/>
  <c r="BX170" i="2" s="1"/>
  <c r="CM145" i="2"/>
  <c r="CM170" i="2" s="1"/>
  <c r="DR145" i="2"/>
  <c r="EJ145" i="2"/>
  <c r="CO208" i="2" s="1"/>
  <c r="FE145" i="2"/>
  <c r="DY145" i="2"/>
  <c r="CD145" i="2"/>
  <c r="CD170" i="2" s="1"/>
  <c r="CY145" i="2"/>
  <c r="DL145" i="2"/>
  <c r="CF145" i="2"/>
  <c r="CF170" i="2" s="1"/>
  <c r="CZ145" i="2"/>
  <c r="EA145" i="2"/>
  <c r="DA145" i="2"/>
  <c r="DB145" i="2"/>
  <c r="EC145" i="2"/>
  <c r="FO101" i="2"/>
  <c r="FO148" i="2" s="1"/>
  <c r="BN145" i="2"/>
  <c r="BN170" i="2" s="1"/>
  <c r="DC145" i="2"/>
  <c r="ED145" i="2"/>
  <c r="CO145" i="2"/>
  <c r="CO170" i="2" s="1"/>
  <c r="DF145" i="2"/>
  <c r="DS145" i="2"/>
  <c r="BD145" i="2"/>
  <c r="BD170" i="2" s="1"/>
  <c r="BC145" i="2"/>
  <c r="BC170" i="2" s="1"/>
  <c r="ES101" i="2"/>
  <c r="ET101" i="2"/>
  <c r="U101" i="2"/>
  <c r="BK145" i="2"/>
  <c r="BK170" i="2" s="1"/>
  <c r="FI145" i="2"/>
  <c r="BT145" i="2"/>
  <c r="BT170" i="2" s="1"/>
  <c r="FA145" i="2"/>
  <c r="DU145" i="2"/>
  <c r="CV145" i="2"/>
  <c r="DW145" i="2"/>
  <c r="CE145" i="2"/>
  <c r="CE170" i="2" s="1"/>
  <c r="CG145" i="2"/>
  <c r="CG170" i="2" s="1"/>
  <c r="Y101" i="2"/>
  <c r="AX101" i="2"/>
  <c r="EW101" i="2"/>
  <c r="AF145" i="2"/>
  <c r="CB145" i="2"/>
  <c r="CB170" i="2" s="1"/>
  <c r="AT58" i="2"/>
  <c r="ET58" i="2"/>
  <c r="AA101" i="2"/>
  <c r="AM101" i="2"/>
  <c r="AY101" i="2"/>
  <c r="EX101" i="2"/>
  <c r="W58" i="2"/>
  <c r="AI58" i="2"/>
  <c r="AU58" i="2"/>
  <c r="EU58" i="2"/>
  <c r="AZ101" i="2"/>
  <c r="CT101" i="2"/>
  <c r="V145" i="2"/>
  <c r="AH145" i="2"/>
  <c r="BB145" i="2"/>
  <c r="BB170" i="2" s="1"/>
  <c r="FG145" i="2"/>
  <c r="AV58" i="2"/>
  <c r="EV58" i="2"/>
  <c r="AC101" i="2"/>
  <c r="AO101" i="2"/>
  <c r="CU101" i="2"/>
  <c r="FH145" i="2"/>
  <c r="Y58" i="2"/>
  <c r="AK58" i="2"/>
  <c r="AW58" i="2"/>
  <c r="EW58" i="2"/>
  <c r="AP101" i="2"/>
  <c r="X145" i="2"/>
  <c r="AJ145" i="2"/>
  <c r="AX58" i="2"/>
  <c r="EX58" i="2"/>
  <c r="AE101" i="2"/>
  <c r="AQ101" i="2"/>
  <c r="EP101" i="2"/>
  <c r="CL145" i="2"/>
  <c r="CL170" i="2" s="1"/>
  <c r="AA58" i="2"/>
  <c r="AM58" i="2"/>
  <c r="AY58" i="2"/>
  <c r="EY58" i="2"/>
  <c r="AR101" i="2"/>
  <c r="EQ101" i="2"/>
  <c r="Z145" i="2"/>
  <c r="AL145" i="2"/>
  <c r="M158" i="31"/>
  <c r="AP58" i="2"/>
  <c r="EP58" i="2"/>
  <c r="AI101" i="2"/>
  <c r="AU101" i="2"/>
  <c r="BB70" i="2"/>
  <c r="S158" i="31"/>
  <c r="EQ58" i="2"/>
  <c r="W101" i="2"/>
  <c r="AV101" i="2"/>
  <c r="EU101" i="2"/>
  <c r="EL144" i="2"/>
  <c r="CT58" i="2"/>
  <c r="ER58" i="2"/>
  <c r="AK101" i="2"/>
  <c r="AW101" i="2"/>
  <c r="U58" i="2"/>
  <c r="AG58" i="2"/>
  <c r="AS58" i="2"/>
  <c r="CU58" i="2"/>
  <c r="ES58" i="2"/>
  <c r="CC145" i="2"/>
  <c r="CC170" i="2" s="1"/>
  <c r="DE145" i="2"/>
  <c r="DV144" i="2"/>
  <c r="AZ58" i="2"/>
  <c r="AG101" i="2"/>
  <c r="AS101" i="2"/>
  <c r="ER101" i="2"/>
  <c r="FJ145" i="2"/>
  <c r="FD145" i="2"/>
  <c r="DM144" i="2"/>
  <c r="EG144" i="2"/>
  <c r="I158" i="31" s="1"/>
  <c r="DD144" i="2"/>
  <c r="EE144" i="2"/>
  <c r="X158" i="31"/>
  <c r="Y158" i="31"/>
  <c r="F158" i="31"/>
  <c r="B31" i="7"/>
  <c r="E31" i="7" s="1"/>
  <c r="U158" i="31"/>
  <c r="D31" i="7"/>
  <c r="T158" i="31"/>
  <c r="V158" i="31"/>
  <c r="D158" i="31"/>
  <c r="W158" i="31"/>
  <c r="Y157" i="31"/>
  <c r="CR144" i="2"/>
  <c r="CS144" i="2" s="1"/>
  <c r="EK144" i="2"/>
  <c r="N158" i="31" s="1"/>
  <c r="EI144" i="2"/>
  <c r="L158" i="31" s="1"/>
  <c r="EH144" i="2"/>
  <c r="K158" i="31" s="1"/>
  <c r="EF144" i="2"/>
  <c r="X157" i="31"/>
  <c r="EK143" i="2"/>
  <c r="D157" i="31"/>
  <c r="D30" i="7"/>
  <c r="F157" i="31"/>
  <c r="M157" i="31"/>
  <c r="EL143" i="2"/>
  <c r="S157" i="31"/>
  <c r="EH143" i="2"/>
  <c r="T157" i="31"/>
  <c r="W157" i="31"/>
  <c r="U157" i="31"/>
  <c r="B30" i="7"/>
  <c r="V157" i="31"/>
  <c r="EG143" i="2"/>
  <c r="DD143" i="2"/>
  <c r="EF143" i="2"/>
  <c r="CR143" i="2"/>
  <c r="EE143" i="2"/>
  <c r="DM143" i="2"/>
  <c r="DV143" i="2"/>
  <c r="EI143" i="2"/>
  <c r="CT148" i="2" l="1"/>
  <c r="CT150" i="2" s="1"/>
  <c r="CT151" i="2" s="1"/>
  <c r="CU148" i="2"/>
  <c r="CU150" i="2" s="1"/>
  <c r="CU151" i="2" s="1"/>
  <c r="AE59" i="31"/>
  <c r="FU143" i="2"/>
  <c r="EF145" i="2"/>
  <c r="H158" i="31"/>
  <c r="E158" i="31" s="1"/>
  <c r="FU144" i="2"/>
  <c r="EH145" i="2"/>
  <c r="CM208" i="2" s="1"/>
  <c r="EK145" i="2"/>
  <c r="CP208" i="2" s="1"/>
  <c r="BQ145" i="2"/>
  <c r="BQ170" i="2" s="1"/>
  <c r="DV145" i="2"/>
  <c r="DM145" i="2"/>
  <c r="K157" i="31"/>
  <c r="EE145" i="2"/>
  <c r="N157" i="31"/>
  <c r="EL145" i="2"/>
  <c r="CQ208" i="2" s="1"/>
  <c r="BH145" i="2"/>
  <c r="BH170" i="2" s="1"/>
  <c r="H157" i="31"/>
  <c r="DD145" i="2"/>
  <c r="I157" i="31"/>
  <c r="EG145" i="2"/>
  <c r="CL208" i="2" s="1"/>
  <c r="CS143" i="2"/>
  <c r="CS145" i="2" s="1"/>
  <c r="CS170" i="2" s="1"/>
  <c r="CR145" i="2"/>
  <c r="CR170" i="2" s="1"/>
  <c r="CJ143" i="2"/>
  <c r="CJ145" i="2" s="1"/>
  <c r="CJ170" i="2" s="1"/>
  <c r="CI145" i="2"/>
  <c r="CI170" i="2" s="1"/>
  <c r="CA143" i="2"/>
  <c r="CA145" i="2" s="1"/>
  <c r="CA170" i="2" s="1"/>
  <c r="BZ145" i="2"/>
  <c r="BZ170" i="2" s="1"/>
  <c r="L157" i="31"/>
  <c r="EI145" i="2"/>
  <c r="CN208" i="2" s="1"/>
  <c r="BR143" i="2"/>
  <c r="BR145" i="2" s="1"/>
  <c r="BR170" i="2" s="1"/>
  <c r="EM144" i="2"/>
  <c r="EN144" i="2" s="1"/>
  <c r="EM143" i="2"/>
  <c r="E30" i="7"/>
  <c r="BI143" i="2"/>
  <c r="BI145" i="2" s="1"/>
  <c r="BI170" i="2" s="1"/>
  <c r="CK208" i="2" l="1"/>
  <c r="CK256" i="2"/>
  <c r="R158" i="31"/>
  <c r="Z158" i="31" s="1"/>
  <c r="J158" i="31"/>
  <c r="Q158" i="31" s="1"/>
  <c r="FT144" i="2"/>
  <c r="H160" i="31"/>
  <c r="E157" i="31"/>
  <c r="J157" i="31"/>
  <c r="Q157" i="31" s="1"/>
  <c r="EN143" i="2"/>
  <c r="EN145" i="2" s="1"/>
  <c r="CS208" i="2" s="1"/>
  <c r="EM145" i="2"/>
  <c r="CR208" i="2" s="1"/>
  <c r="R157" i="31"/>
  <c r="Z157" i="31" s="1"/>
  <c r="AA158" i="31" l="1"/>
  <c r="AC158" i="31" s="1"/>
  <c r="FT143" i="2"/>
  <c r="AA157" i="31"/>
  <c r="AC157" i="31" s="1"/>
  <c r="A7" i="7"/>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E158" i="31" l="1"/>
  <c r="AD158" i="31"/>
  <c r="AD157" i="31"/>
  <c r="AE157" i="31"/>
  <c r="AC160" i="31"/>
  <c r="AA160" i="31"/>
  <c r="EI157" i="2"/>
  <c r="CM83" i="2"/>
  <c r="EJ10" i="2"/>
  <c r="EJ15" i="2"/>
  <c r="EJ18" i="2"/>
  <c r="EJ25" i="2"/>
  <c r="EJ23" i="2"/>
  <c r="EJ22" i="2"/>
  <c r="EJ31" i="2"/>
  <c r="EJ30" i="2"/>
  <c r="EJ29" i="2"/>
  <c r="EJ35" i="2"/>
  <c r="EJ38" i="2" s="1"/>
  <c r="EJ41" i="2"/>
  <c r="EJ45" i="2"/>
  <c r="EJ43" i="2"/>
  <c r="EJ51" i="2"/>
  <c r="EJ53" i="2"/>
  <c r="EJ54" i="2" s="1"/>
  <c r="EJ83" i="2"/>
  <c r="EJ87" i="2"/>
  <c r="EJ86" i="2"/>
  <c r="EJ91" i="2" s="1"/>
  <c r="EJ95" i="2"/>
  <c r="EJ97" i="2" s="1"/>
  <c r="EJ114" i="2"/>
  <c r="EJ117" i="2"/>
  <c r="EJ125" i="2"/>
  <c r="EJ121" i="2"/>
  <c r="EJ134" i="2"/>
  <c r="EJ132" i="2"/>
  <c r="EJ129" i="2"/>
  <c r="EJ12" i="2" l="1"/>
  <c r="EJ19" i="2" s="1"/>
  <c r="EJ84" i="2"/>
  <c r="EJ32" i="2"/>
  <c r="EJ70" i="2"/>
  <c r="EJ48" i="2"/>
  <c r="EJ58" i="2" s="1"/>
  <c r="EJ126" i="2"/>
  <c r="EJ135" i="2"/>
  <c r="EJ26" i="2"/>
  <c r="EJ75" i="2"/>
  <c r="EG75" i="2"/>
  <c r="EJ72" i="2"/>
  <c r="EJ73" i="2" s="1"/>
  <c r="EG72" i="2"/>
  <c r="FI95" i="2"/>
  <c r="FH95" i="2"/>
  <c r="FG95" i="2"/>
  <c r="FF95" i="2"/>
  <c r="FE95" i="2"/>
  <c r="FC95" i="2"/>
  <c r="FB95" i="2"/>
  <c r="FA95" i="2"/>
  <c r="FJ95" i="2"/>
  <c r="FD95" i="2"/>
  <c r="EJ101" i="2" l="1"/>
  <c r="FV95" i="2"/>
  <c r="EN72" i="2"/>
  <c r="EN73" i="2" s="1"/>
  <c r="EG73" i="2"/>
  <c r="EN75" i="2"/>
  <c r="FT72" i="2" l="1"/>
  <c r="L95" i="2" l="1"/>
  <c r="O43" i="31"/>
  <c r="K38" i="2"/>
  <c r="J38" i="2"/>
  <c r="AB160" i="31" l="1"/>
  <c r="AD160" i="31" s="1"/>
  <c r="P160" i="31"/>
  <c r="O160" i="31"/>
  <c r="C156" i="31"/>
  <c r="CO256" i="2"/>
  <c r="K145" i="2"/>
  <c r="J145" i="2"/>
  <c r="L145" i="2"/>
  <c r="C106" i="31"/>
  <c r="W106" i="31" s="1"/>
  <c r="AN95" i="2"/>
  <c r="CP95" i="2" s="1"/>
  <c r="AL95" i="2"/>
  <c r="CN95" i="2" s="1"/>
  <c r="AJ95" i="2"/>
  <c r="CG95" i="2" s="1"/>
  <c r="AH95" i="2"/>
  <c r="CE95" i="2" s="1"/>
  <c r="AF95" i="2"/>
  <c r="BX95" i="2" s="1"/>
  <c r="AD95" i="2"/>
  <c r="BV95" i="2" s="1"/>
  <c r="AB95" i="2"/>
  <c r="BO95" i="2" s="1"/>
  <c r="Z95" i="2"/>
  <c r="X95" i="2"/>
  <c r="BF95" i="2" s="1"/>
  <c r="V95" i="2"/>
  <c r="BD95" i="2" s="1"/>
  <c r="ED95" i="2"/>
  <c r="EC95" i="2"/>
  <c r="EB95" i="2"/>
  <c r="EA95" i="2"/>
  <c r="DZ95" i="2"/>
  <c r="DY95" i="2"/>
  <c r="DX95" i="2"/>
  <c r="DW95" i="2"/>
  <c r="DU95" i="2"/>
  <c r="DT95" i="2"/>
  <c r="DS95" i="2"/>
  <c r="DR95" i="2"/>
  <c r="DQ95" i="2"/>
  <c r="DP95" i="2"/>
  <c r="DO95" i="2"/>
  <c r="DN95" i="2"/>
  <c r="DL95" i="2"/>
  <c r="DK95" i="2"/>
  <c r="DJ95" i="2"/>
  <c r="DI95" i="2"/>
  <c r="DH95" i="2"/>
  <c r="DG95" i="2"/>
  <c r="DF95" i="2"/>
  <c r="DE95" i="2"/>
  <c r="DC95" i="2"/>
  <c r="DB95" i="2"/>
  <c r="DA95" i="2"/>
  <c r="CZ95" i="2"/>
  <c r="CY95" i="2"/>
  <c r="CX95" i="2"/>
  <c r="CW95" i="2"/>
  <c r="CV95" i="2"/>
  <c r="CQ95" i="2"/>
  <c r="CO95" i="2"/>
  <c r="CM95" i="2"/>
  <c r="CL95" i="2"/>
  <c r="CK95" i="2"/>
  <c r="CH95" i="2"/>
  <c r="CF95" i="2"/>
  <c r="CD95" i="2"/>
  <c r="CC95" i="2"/>
  <c r="CB95" i="2"/>
  <c r="BY95" i="2"/>
  <c r="BW95" i="2"/>
  <c r="BU95" i="2"/>
  <c r="BS95" i="2"/>
  <c r="BP95" i="2"/>
  <c r="BN95" i="2"/>
  <c r="BL95" i="2"/>
  <c r="BJ95" i="2"/>
  <c r="BG95" i="2"/>
  <c r="BE95" i="2"/>
  <c r="BC95" i="2"/>
  <c r="BA95" i="2"/>
  <c r="CI95" i="2" l="1"/>
  <c r="CJ95" i="2" s="1"/>
  <c r="BZ95" i="2"/>
  <c r="CA95" i="2" s="1"/>
  <c r="BH95" i="2"/>
  <c r="FS95" i="2"/>
  <c r="CR95" i="2"/>
  <c r="CS95" i="2" s="1"/>
  <c r="BM95" i="2"/>
  <c r="EF95" i="2"/>
  <c r="FU95" i="2" s="1"/>
  <c r="EH95" i="2"/>
  <c r="EG95" i="2"/>
  <c r="I106" i="31" s="1"/>
  <c r="EL95" i="2"/>
  <c r="EK95" i="2"/>
  <c r="N106" i="31" s="1"/>
  <c r="S160" i="31"/>
  <c r="T160" i="31"/>
  <c r="CQ256" i="2"/>
  <c r="M160" i="31"/>
  <c r="CL256" i="2"/>
  <c r="CP256" i="2"/>
  <c r="X106" i="31"/>
  <c r="Y106" i="31"/>
  <c r="B29" i="7"/>
  <c r="E29" i="7" s="1"/>
  <c r="D29" i="7"/>
  <c r="M106" i="31"/>
  <c r="P106" i="31"/>
  <c r="S106" i="31"/>
  <c r="DV95" i="2"/>
  <c r="EE95" i="2"/>
  <c r="T106" i="31"/>
  <c r="D106" i="31"/>
  <c r="U106" i="31"/>
  <c r="F106" i="31"/>
  <c r="V106" i="31"/>
  <c r="G106" i="31"/>
  <c r="DD95" i="2"/>
  <c r="DM95" i="2"/>
  <c r="FR95" i="2" l="1"/>
  <c r="BQ95" i="2"/>
  <c r="BR95" i="2" s="1"/>
  <c r="EI95" i="2"/>
  <c r="L106" i="31" s="1"/>
  <c r="H106" i="31"/>
  <c r="K106" i="31"/>
  <c r="Y160" i="31"/>
  <c r="K160" i="31"/>
  <c r="I160" i="31"/>
  <c r="V160" i="31"/>
  <c r="U160" i="31"/>
  <c r="W160" i="31"/>
  <c r="X160" i="31"/>
  <c r="N160" i="31"/>
  <c r="CM256" i="2"/>
  <c r="BI95" i="2"/>
  <c r="E106" i="31" l="1"/>
  <c r="R106" i="31"/>
  <c r="Z106" i="31" s="1"/>
  <c r="J106" i="31"/>
  <c r="Q106" i="31" s="1"/>
  <c r="EM95" i="2"/>
  <c r="EN95" i="2" s="1"/>
  <c r="FT95" i="2" s="1"/>
  <c r="CR256" i="2"/>
  <c r="CS256" i="2"/>
  <c r="CN256" i="2"/>
  <c r="BA241" i="2"/>
  <c r="AA106" i="31" l="1"/>
  <c r="AC106" i="31" s="1"/>
  <c r="J160" i="31"/>
  <c r="L160" i="31"/>
  <c r="AE106" i="31" l="1"/>
  <c r="AD106" i="31"/>
  <c r="Q160" i="31"/>
  <c r="Z160" i="31"/>
  <c r="R160" i="31"/>
  <c r="AE160" i="31" s="1"/>
  <c r="BG114" i="2" l="1"/>
  <c r="BC132" i="2"/>
  <c r="CM125" i="2"/>
  <c r="CM121" i="2"/>
  <c r="CM117" i="2"/>
  <c r="BL132" i="2"/>
  <c r="BL97" i="2"/>
  <c r="BL86" i="2"/>
  <c r="BL83" i="2"/>
  <c r="BP43" i="2"/>
  <c r="B3" i="7"/>
  <c r="B2" i="7"/>
  <c r="B1" i="7"/>
  <c r="DX51" i="2"/>
  <c r="DY51" i="2"/>
  <c r="DZ51" i="2"/>
  <c r="EA51" i="2"/>
  <c r="EB51" i="2"/>
  <c r="EC51" i="2"/>
  <c r="ED51" i="2"/>
  <c r="DW51" i="2"/>
  <c r="B3" i="31"/>
  <c r="D129" i="2"/>
  <c r="D128" i="2"/>
  <c r="D117" i="2"/>
  <c r="A115" i="2"/>
  <c r="D103" i="2"/>
  <c r="D87" i="2"/>
  <c r="D86" i="2"/>
  <c r="D83" i="2"/>
  <c r="D67" i="2"/>
  <c r="D53" i="2"/>
  <c r="D45" i="2"/>
  <c r="D43" i="2"/>
  <c r="D41" i="2"/>
  <c r="D40" i="2"/>
  <c r="D35" i="2"/>
  <c r="D34" i="2"/>
  <c r="D8" i="2"/>
  <c r="A34" i="2"/>
  <c r="D29" i="2"/>
  <c r="D30" i="2"/>
  <c r="D31" i="2"/>
  <c r="D28" i="2"/>
  <c r="A28" i="2"/>
  <c r="D22" i="2"/>
  <c r="D23" i="2"/>
  <c r="D25" i="2"/>
  <c r="D21" i="2"/>
  <c r="A21" i="2"/>
  <c r="D16" i="2"/>
  <c r="A16" i="2"/>
  <c r="B8" i="2"/>
  <c r="A8" i="2"/>
  <c r="D13" i="2"/>
  <c r="D10" i="2"/>
  <c r="B13" i="2"/>
  <c r="C15" i="2"/>
  <c r="B16" i="2"/>
  <c r="B21" i="2"/>
  <c r="B22" i="2"/>
  <c r="B23" i="2"/>
  <c r="B25" i="2"/>
  <c r="B28" i="2"/>
  <c r="B29" i="2"/>
  <c r="B30" i="2"/>
  <c r="B31" i="2"/>
  <c r="C32" i="2"/>
  <c r="C33" i="2"/>
  <c r="B34" i="2"/>
  <c r="B35" i="2"/>
  <c r="B40" i="2"/>
  <c r="B41" i="2"/>
  <c r="B43" i="2"/>
  <c r="B45" i="2"/>
  <c r="B49" i="2"/>
  <c r="B52" i="2"/>
  <c r="B53" i="2"/>
  <c r="B55" i="2"/>
  <c r="B59" i="2"/>
  <c r="B60" i="2"/>
  <c r="B61" i="2"/>
  <c r="B62" i="2"/>
  <c r="B63" i="2"/>
  <c r="B64" i="2"/>
  <c r="B66" i="2"/>
  <c r="B67" i="2"/>
  <c r="B71" i="2"/>
  <c r="B73" i="2"/>
  <c r="B74" i="2"/>
  <c r="B80" i="2"/>
  <c r="B81" i="2"/>
  <c r="B83" i="2"/>
  <c r="B86" i="2"/>
  <c r="B87" i="2"/>
  <c r="B92" i="2"/>
  <c r="B102" i="2"/>
  <c r="B103" i="2"/>
  <c r="B105" i="2"/>
  <c r="B108" i="2"/>
  <c r="B111" i="2"/>
  <c r="B115" i="2"/>
  <c r="B116" i="2"/>
  <c r="B117" i="2"/>
  <c r="B118" i="2"/>
  <c r="B120" i="2"/>
  <c r="B121" i="2"/>
  <c r="B125" i="2"/>
  <c r="B127" i="2"/>
  <c r="B128" i="2"/>
  <c r="B129" i="2"/>
  <c r="B130" i="2"/>
  <c r="B132" i="2"/>
  <c r="B133" i="2"/>
  <c r="B134" i="2"/>
  <c r="B136" i="2"/>
  <c r="B137" i="2"/>
  <c r="A13" i="2"/>
  <c r="B10" i="2"/>
  <c r="A22" i="2"/>
  <c r="A23" i="2"/>
  <c r="A25" i="2"/>
  <c r="A29" i="2"/>
  <c r="A30" i="2"/>
  <c r="A31" i="2"/>
  <c r="A35" i="2"/>
  <c r="A40" i="2"/>
  <c r="A41" i="2"/>
  <c r="A43" i="2"/>
  <c r="A45" i="2"/>
  <c r="A49" i="2"/>
  <c r="A52" i="2"/>
  <c r="A53" i="2"/>
  <c r="A55" i="2"/>
  <c r="A59" i="2"/>
  <c r="A60" i="2"/>
  <c r="A61" i="2"/>
  <c r="A62" i="2"/>
  <c r="A63" i="2"/>
  <c r="A64" i="2"/>
  <c r="A66" i="2"/>
  <c r="A67" i="2"/>
  <c r="A71" i="2"/>
  <c r="A73" i="2"/>
  <c r="A74" i="2"/>
  <c r="A80" i="2"/>
  <c r="A81" i="2"/>
  <c r="A83" i="2"/>
  <c r="A86" i="2"/>
  <c r="A87" i="2"/>
  <c r="A92" i="2"/>
  <c r="A102" i="2"/>
  <c r="A103" i="2"/>
  <c r="A105" i="2"/>
  <c r="A108" i="2"/>
  <c r="A111" i="2"/>
  <c r="A116" i="2"/>
  <c r="A117" i="2"/>
  <c r="A118" i="2"/>
  <c r="A120" i="2"/>
  <c r="A121" i="2"/>
  <c r="A125" i="2"/>
  <c r="A127" i="2"/>
  <c r="A128" i="2"/>
  <c r="A129" i="2"/>
  <c r="A130" i="2"/>
  <c r="A132" i="2"/>
  <c r="A133" i="2"/>
  <c r="A134" i="2"/>
  <c r="A136" i="2"/>
  <c r="A137" i="2"/>
  <c r="A10" i="2"/>
  <c r="CM126" i="2" l="1"/>
  <c r="C127" i="2"/>
  <c r="C10" i="2"/>
  <c r="C22" i="2"/>
  <c r="C108" i="2"/>
  <c r="C71" i="2"/>
  <c r="C55" i="2"/>
  <c r="C115" i="2"/>
  <c r="C105" i="2"/>
  <c r="C87" i="2"/>
  <c r="C134" i="2"/>
  <c r="C121" i="2"/>
  <c r="C137" i="2"/>
  <c r="C133" i="2"/>
  <c r="C120" i="2"/>
  <c r="C86" i="2"/>
  <c r="C67" i="2"/>
  <c r="C23" i="2"/>
  <c r="C128" i="2"/>
  <c r="C61" i="2"/>
  <c r="C21" i="2"/>
  <c r="C125" i="2"/>
  <c r="C111" i="2"/>
  <c r="C92" i="2"/>
  <c r="C73" i="2"/>
  <c r="C59" i="2"/>
  <c r="C41" i="2"/>
  <c r="C40" i="2"/>
  <c r="C136" i="2"/>
  <c r="C53" i="2"/>
  <c r="C35" i="2"/>
  <c r="C52" i="2"/>
  <c r="C118" i="2"/>
  <c r="C102" i="2"/>
  <c r="C64" i="2"/>
  <c r="C25" i="2"/>
  <c r="C8" i="2"/>
  <c r="C74" i="2"/>
  <c r="C60" i="2"/>
  <c r="C43" i="2"/>
  <c r="C31" i="2"/>
  <c r="C13" i="2"/>
  <c r="C28" i="2"/>
  <c r="C30" i="2"/>
  <c r="C132" i="2"/>
  <c r="C103" i="2"/>
  <c r="C83" i="2"/>
  <c r="C66" i="2"/>
  <c r="C49" i="2"/>
  <c r="C29" i="2"/>
  <c r="C130" i="2"/>
  <c r="C117" i="2"/>
  <c r="C81" i="2"/>
  <c r="C63" i="2"/>
  <c r="C45" i="2"/>
  <c r="C129" i="2"/>
  <c r="C116" i="2"/>
  <c r="C80" i="2"/>
  <c r="C62" i="2"/>
  <c r="C34" i="2"/>
  <c r="C16" i="2"/>
  <c r="E6" i="7" l="1"/>
  <c r="E7" i="7"/>
  <c r="E8" i="7"/>
  <c r="E9" i="7"/>
  <c r="E10" i="7"/>
  <c r="E11" i="7"/>
  <c r="E12" i="7"/>
  <c r="E13" i="7"/>
  <c r="E14" i="7"/>
  <c r="E15" i="7"/>
  <c r="E16" i="7"/>
  <c r="E17" i="7"/>
  <c r="BM201" i="2"/>
  <c r="BN201" i="2"/>
  <c r="BO201" i="2"/>
  <c r="BP201" i="2"/>
  <c r="BQ201" i="2"/>
  <c r="BR201" i="2"/>
  <c r="BS201" i="2"/>
  <c r="BT201" i="2"/>
  <c r="BU201" i="2"/>
  <c r="BV201" i="2"/>
  <c r="BW201" i="2"/>
  <c r="BX201" i="2"/>
  <c r="BY201" i="2"/>
  <c r="BZ201" i="2"/>
  <c r="CA201" i="2"/>
  <c r="CB201" i="2"/>
  <c r="CC201" i="2"/>
  <c r="CD201" i="2"/>
  <c r="CE201" i="2"/>
  <c r="CF201" i="2"/>
  <c r="CG201" i="2"/>
  <c r="CH201" i="2"/>
  <c r="CI201" i="2"/>
  <c r="CJ201" i="2"/>
  <c r="BS232" i="2"/>
  <c r="BT232" i="2"/>
  <c r="BU232" i="2"/>
  <c r="BV232" i="2"/>
  <c r="BW232" i="2"/>
  <c r="BX232" i="2"/>
  <c r="BY232" i="2"/>
  <c r="BZ232" i="2"/>
  <c r="CA232" i="2"/>
  <c r="CB232" i="2"/>
  <c r="CC232" i="2"/>
  <c r="CD232" i="2"/>
  <c r="CE232" i="2"/>
  <c r="CF232" i="2"/>
  <c r="CG232" i="2"/>
  <c r="CH232" i="2"/>
  <c r="CI232" i="2"/>
  <c r="CJ232" i="2"/>
  <c r="BT231" i="2"/>
  <c r="BU231" i="2"/>
  <c r="BV231" i="2"/>
  <c r="BW231" i="2"/>
  <c r="BX231" i="2"/>
  <c r="BY231" i="2"/>
  <c r="BZ231" i="2"/>
  <c r="CA231" i="2"/>
  <c r="CB231" i="2"/>
  <c r="CC231" i="2"/>
  <c r="CD231" i="2"/>
  <c r="CE231" i="2"/>
  <c r="CF231" i="2"/>
  <c r="CG231" i="2"/>
  <c r="CH231" i="2"/>
  <c r="CI231" i="2"/>
  <c r="CJ231" i="2"/>
  <c r="BO232" i="2"/>
  <c r="BP232" i="2"/>
  <c r="BQ232" i="2"/>
  <c r="BR232" i="2"/>
  <c r="BP231" i="2"/>
  <c r="BQ231" i="2"/>
  <c r="BR231" i="2"/>
  <c r="BS231" i="2"/>
  <c r="CG227" i="2"/>
  <c r="CH227" i="2"/>
  <c r="CI227" i="2"/>
  <c r="CJ227" i="2"/>
  <c r="CG228" i="2"/>
  <c r="CH228" i="2"/>
  <c r="CI228" i="2"/>
  <c r="CJ228" i="2"/>
  <c r="CG229" i="2"/>
  <c r="CH229" i="2"/>
  <c r="CI229" i="2"/>
  <c r="CJ229" i="2"/>
  <c r="BY227" i="2"/>
  <c r="BZ227" i="2"/>
  <c r="CA227" i="2"/>
  <c r="CB227" i="2"/>
  <c r="CC227" i="2"/>
  <c r="CD227" i="2"/>
  <c r="CE227" i="2"/>
  <c r="CF227" i="2"/>
  <c r="BY228" i="2"/>
  <c r="BZ228" i="2"/>
  <c r="CA228" i="2"/>
  <c r="CB228" i="2"/>
  <c r="CC228" i="2"/>
  <c r="CD228" i="2"/>
  <c r="CE228" i="2"/>
  <c r="CF228" i="2"/>
  <c r="BY229" i="2"/>
  <c r="BZ229" i="2"/>
  <c r="CA229" i="2"/>
  <c r="CB229" i="2"/>
  <c r="CC229" i="2"/>
  <c r="CD229" i="2"/>
  <c r="CE229" i="2"/>
  <c r="CF229" i="2"/>
  <c r="BV227" i="2"/>
  <c r="BW227" i="2"/>
  <c r="BX227" i="2"/>
  <c r="BV228" i="2"/>
  <c r="BW228" i="2"/>
  <c r="BX228" i="2"/>
  <c r="BV229" i="2"/>
  <c r="BW229" i="2"/>
  <c r="BX229" i="2"/>
  <c r="BQ227" i="2"/>
  <c r="BR227" i="2"/>
  <c r="BS227" i="2"/>
  <c r="BT227" i="2"/>
  <c r="BU227" i="2"/>
  <c r="BQ228" i="2"/>
  <c r="BR228" i="2"/>
  <c r="BS228" i="2"/>
  <c r="BT228" i="2"/>
  <c r="BU228" i="2"/>
  <c r="BQ229" i="2"/>
  <c r="BR229" i="2"/>
  <c r="BS229" i="2"/>
  <c r="BT229" i="2"/>
  <c r="BU229" i="2"/>
  <c r="BP227" i="2"/>
  <c r="BP228" i="2"/>
  <c r="BP229" i="2"/>
  <c r="BN232" i="2"/>
  <c r="BO231" i="2"/>
  <c r="BO227" i="2"/>
  <c r="BO228" i="2"/>
  <c r="BO229" i="2"/>
  <c r="BN227" i="2"/>
  <c r="BN228" i="2"/>
  <c r="BN229" i="2"/>
  <c r="BM227" i="2"/>
  <c r="BM228" i="2"/>
  <c r="BM229" i="2"/>
  <c r="BK232" i="2"/>
  <c r="BL232" i="2"/>
  <c r="BM232" i="2"/>
  <c r="BL231" i="2"/>
  <c r="BM231" i="2"/>
  <c r="BN231" i="2"/>
  <c r="BL227" i="2"/>
  <c r="BL228" i="2"/>
  <c r="BL229" i="2"/>
  <c r="BK231" i="2"/>
  <c r="BK227" i="2"/>
  <c r="BK228" i="2"/>
  <c r="BK229" i="2"/>
  <c r="BJ232" i="2"/>
  <c r="BJ231" i="2"/>
  <c r="BI228" i="2"/>
  <c r="BJ228" i="2"/>
  <c r="BI229" i="2"/>
  <c r="BJ229" i="2"/>
  <c r="BJ227" i="2"/>
  <c r="CJ206" i="2"/>
  <c r="CJ207" i="2"/>
  <c r="CJ209" i="2"/>
  <c r="CJ210" i="2"/>
  <c r="CJ214" i="2"/>
  <c r="CJ221" i="2"/>
  <c r="CI206" i="2"/>
  <c r="CI207" i="2"/>
  <c r="CI209" i="2"/>
  <c r="CI210" i="2"/>
  <c r="CI214" i="2"/>
  <c r="CI221" i="2"/>
  <c r="CH206" i="2"/>
  <c r="CH207" i="2"/>
  <c r="CH209" i="2"/>
  <c r="CH210" i="2"/>
  <c r="CH214" i="2"/>
  <c r="CH221" i="2"/>
  <c r="CG206" i="2"/>
  <c r="CG207" i="2"/>
  <c r="CG209" i="2"/>
  <c r="CG210" i="2"/>
  <c r="CG214" i="2"/>
  <c r="CG221" i="2"/>
  <c r="CF206" i="2"/>
  <c r="CF207" i="2"/>
  <c r="CF209" i="2"/>
  <c r="CF210" i="2"/>
  <c r="CF214" i="2"/>
  <c r="CF221" i="2"/>
  <c r="CE206" i="2"/>
  <c r="CE207" i="2"/>
  <c r="CE209" i="2"/>
  <c r="CE210" i="2"/>
  <c r="CE214" i="2"/>
  <c r="CE221" i="2"/>
  <c r="CD206" i="2"/>
  <c r="CD207" i="2"/>
  <c r="CD209" i="2"/>
  <c r="CD210" i="2"/>
  <c r="CD214" i="2"/>
  <c r="CD221" i="2"/>
  <c r="CC206" i="2"/>
  <c r="CC207" i="2"/>
  <c r="CC209" i="2"/>
  <c r="CC210" i="2"/>
  <c r="CC214" i="2"/>
  <c r="CC221" i="2"/>
  <c r="CB206" i="2"/>
  <c r="CB207" i="2"/>
  <c r="CB209" i="2"/>
  <c r="CB210" i="2"/>
  <c r="CB214" i="2"/>
  <c r="CB221" i="2"/>
  <c r="CA206" i="2"/>
  <c r="CA207" i="2"/>
  <c r="CA209" i="2"/>
  <c r="CA210" i="2"/>
  <c r="CA214" i="2"/>
  <c r="CA221" i="2"/>
  <c r="BZ206" i="2"/>
  <c r="BZ207" i="2"/>
  <c r="BZ209" i="2"/>
  <c r="BZ210" i="2"/>
  <c r="BZ214" i="2"/>
  <c r="BZ221" i="2"/>
  <c r="BY206" i="2"/>
  <c r="BY207" i="2"/>
  <c r="BY209" i="2"/>
  <c r="BY210" i="2"/>
  <c r="BY214" i="2"/>
  <c r="BY221" i="2"/>
  <c r="BX206" i="2"/>
  <c r="BX207" i="2"/>
  <c r="BX209" i="2"/>
  <c r="BX210" i="2"/>
  <c r="BX214" i="2"/>
  <c r="BX221" i="2"/>
  <c r="BW206" i="2"/>
  <c r="BW207" i="2"/>
  <c r="BW209" i="2"/>
  <c r="BW210" i="2"/>
  <c r="BW214" i="2"/>
  <c r="BW221" i="2"/>
  <c r="BV206" i="2"/>
  <c r="BV207" i="2"/>
  <c r="BV209" i="2"/>
  <c r="BV210" i="2"/>
  <c r="BV214" i="2"/>
  <c r="BV221" i="2"/>
  <c r="BU206" i="2"/>
  <c r="BU207" i="2"/>
  <c r="BU209" i="2"/>
  <c r="BU210" i="2"/>
  <c r="BU214" i="2"/>
  <c r="BU221" i="2"/>
  <c r="BT206" i="2"/>
  <c r="BT207" i="2"/>
  <c r="BT209" i="2"/>
  <c r="BT210" i="2"/>
  <c r="BT214" i="2"/>
  <c r="BT221" i="2"/>
  <c r="BS206" i="2"/>
  <c r="BS207" i="2"/>
  <c r="BS209" i="2"/>
  <c r="BS210" i="2"/>
  <c r="BS214" i="2"/>
  <c r="BS221" i="2"/>
  <c r="BR206" i="2"/>
  <c r="BR207" i="2"/>
  <c r="BR209" i="2"/>
  <c r="BR210" i="2"/>
  <c r="BR214" i="2"/>
  <c r="BR221" i="2"/>
  <c r="BQ206" i="2"/>
  <c r="BQ207" i="2"/>
  <c r="BQ209" i="2"/>
  <c r="BQ210" i="2"/>
  <c r="BQ214" i="2"/>
  <c r="BQ221" i="2"/>
  <c r="BP206" i="2"/>
  <c r="BP207" i="2"/>
  <c r="BP209" i="2"/>
  <c r="BP210" i="2"/>
  <c r="BP214" i="2"/>
  <c r="BP221" i="2"/>
  <c r="BO206" i="2"/>
  <c r="BO207" i="2"/>
  <c r="BO209" i="2"/>
  <c r="BO210" i="2"/>
  <c r="BO214" i="2"/>
  <c r="BO221" i="2"/>
  <c r="BN206" i="2"/>
  <c r="BN207" i="2"/>
  <c r="BN209" i="2"/>
  <c r="BN210" i="2"/>
  <c r="BN214" i="2"/>
  <c r="BN221" i="2"/>
  <c r="BM206" i="2"/>
  <c r="BM207" i="2"/>
  <c r="BM209" i="2"/>
  <c r="BM210" i="2"/>
  <c r="BM214" i="2"/>
  <c r="BM221" i="2"/>
  <c r="BL206" i="2"/>
  <c r="BL207" i="2"/>
  <c r="BL209" i="2"/>
  <c r="BL210" i="2"/>
  <c r="BL214" i="2"/>
  <c r="BL221" i="2"/>
  <c r="BK206" i="2"/>
  <c r="BK207" i="2"/>
  <c r="BK209" i="2"/>
  <c r="BK210" i="2"/>
  <c r="BK214" i="2"/>
  <c r="BK221" i="2"/>
  <c r="BJ206" i="2"/>
  <c r="BJ207" i="2"/>
  <c r="BJ209" i="2"/>
  <c r="BJ210" i="2"/>
  <c r="BJ214" i="2"/>
  <c r="BJ221" i="2"/>
  <c r="BA232" i="2"/>
  <c r="BB232" i="2"/>
  <c r="BC232" i="2"/>
  <c r="BD232" i="2"/>
  <c r="BE232" i="2"/>
  <c r="BF232" i="2"/>
  <c r="BG232" i="2"/>
  <c r="BH232" i="2"/>
  <c r="BI232" i="2"/>
  <c r="BB231" i="2"/>
  <c r="BC231" i="2"/>
  <c r="BD231" i="2"/>
  <c r="BE231" i="2"/>
  <c r="BF231" i="2"/>
  <c r="BG231" i="2"/>
  <c r="BH231" i="2"/>
  <c r="BI231" i="2"/>
  <c r="BA227" i="2"/>
  <c r="BB227" i="2"/>
  <c r="BC227" i="2"/>
  <c r="BD227" i="2"/>
  <c r="BE227" i="2"/>
  <c r="BF227" i="2"/>
  <c r="BG227" i="2"/>
  <c r="BH227" i="2"/>
  <c r="BI227" i="2"/>
  <c r="BA228" i="2"/>
  <c r="BB228" i="2"/>
  <c r="BC228" i="2"/>
  <c r="BD228" i="2"/>
  <c r="BE228" i="2"/>
  <c r="BF228" i="2"/>
  <c r="BG228" i="2"/>
  <c r="BH228" i="2"/>
  <c r="BA229" i="2"/>
  <c r="BB229" i="2"/>
  <c r="BC229" i="2"/>
  <c r="BD229" i="2"/>
  <c r="BE229" i="2"/>
  <c r="BF229" i="2"/>
  <c r="BG229" i="2"/>
  <c r="BH229" i="2"/>
  <c r="BA210" i="2"/>
  <c r="BB210" i="2"/>
  <c r="BC210" i="2"/>
  <c r="BD210" i="2"/>
  <c r="BE210" i="2"/>
  <c r="BF210" i="2"/>
  <c r="BG210" i="2"/>
  <c r="BH210" i="2"/>
  <c r="BI210" i="2"/>
  <c r="BA214" i="2"/>
  <c r="BB214" i="2"/>
  <c r="BC214" i="2"/>
  <c r="BD214" i="2"/>
  <c r="BE214" i="2"/>
  <c r="BF214" i="2"/>
  <c r="BG214" i="2"/>
  <c r="BH214" i="2"/>
  <c r="BI214" i="2"/>
  <c r="BA221" i="2"/>
  <c r="BB221" i="2"/>
  <c r="BC221" i="2"/>
  <c r="BD221" i="2"/>
  <c r="BE221" i="2"/>
  <c r="BF221" i="2"/>
  <c r="BG221" i="2"/>
  <c r="BH221" i="2"/>
  <c r="BI221" i="2"/>
  <c r="BA207" i="2"/>
  <c r="BB207" i="2"/>
  <c r="BC207" i="2"/>
  <c r="BD207" i="2"/>
  <c r="BE207" i="2"/>
  <c r="BF207" i="2"/>
  <c r="BG207" i="2"/>
  <c r="BH207" i="2"/>
  <c r="BI207" i="2"/>
  <c r="BA209" i="2"/>
  <c r="BB209" i="2"/>
  <c r="BC209" i="2"/>
  <c r="BD209" i="2"/>
  <c r="BE209" i="2"/>
  <c r="BF209" i="2"/>
  <c r="BG209" i="2"/>
  <c r="BH209" i="2"/>
  <c r="BI209" i="2"/>
  <c r="BB206" i="2"/>
  <c r="BC206" i="2"/>
  <c r="BD206" i="2"/>
  <c r="BE206" i="2"/>
  <c r="BF206" i="2"/>
  <c r="BG206" i="2"/>
  <c r="BH206" i="2"/>
  <c r="BI206" i="2"/>
  <c r="BA231" i="2"/>
  <c r="BA206" i="2"/>
  <c r="BL200" i="2"/>
  <c r="BL201" i="2"/>
  <c r="BK200" i="2"/>
  <c r="BK201" i="2"/>
  <c r="BJ200" i="2"/>
  <c r="BJ201" i="2"/>
  <c r="BI200" i="2"/>
  <c r="BI201" i="2"/>
  <c r="BH200" i="2"/>
  <c r="BH201" i="2"/>
  <c r="BG200" i="2"/>
  <c r="BG201" i="2"/>
  <c r="BF200" i="2"/>
  <c r="BF201" i="2"/>
  <c r="BE200" i="2"/>
  <c r="BE201" i="2"/>
  <c r="BD200" i="2"/>
  <c r="BD201" i="2"/>
  <c r="BC200" i="2"/>
  <c r="BC201" i="2"/>
  <c r="BB200" i="2"/>
  <c r="BB201" i="2"/>
  <c r="BA200" i="2"/>
  <c r="BA201" i="2"/>
  <c r="CB173" i="2"/>
  <c r="CC173" i="2"/>
  <c r="CD173" i="2"/>
  <c r="CE173" i="2"/>
  <c r="CF173" i="2"/>
  <c r="CG173" i="2"/>
  <c r="CH173" i="2"/>
  <c r="CI173" i="2"/>
  <c r="CJ173" i="2"/>
  <c r="CK173" i="2"/>
  <c r="CL173" i="2"/>
  <c r="CM173" i="2"/>
  <c r="CN173" i="2"/>
  <c r="CO173" i="2"/>
  <c r="CP173" i="2"/>
  <c r="CQ173" i="2"/>
  <c r="CR173" i="2"/>
  <c r="CS173" i="2"/>
  <c r="O137" i="31" l="1"/>
  <c r="BC134" i="2"/>
  <c r="BC125" i="2"/>
  <c r="BC121" i="2"/>
  <c r="BC97" i="2"/>
  <c r="BC87" i="2"/>
  <c r="BC86" i="2"/>
  <c r="BC10" i="2"/>
  <c r="J48" i="2"/>
  <c r="O36" i="31"/>
  <c r="O60" i="31"/>
  <c r="O69" i="31"/>
  <c r="O103" i="31"/>
  <c r="O30" i="31"/>
  <c r="F146" i="31"/>
  <c r="F144" i="31"/>
  <c r="F98" i="31"/>
  <c r="F101" i="31"/>
  <c r="O147" i="31"/>
  <c r="P33" i="31"/>
  <c r="EJ139" i="2"/>
  <c r="M146" i="31"/>
  <c r="M144" i="31"/>
  <c r="M141" i="31"/>
  <c r="M136" i="31"/>
  <c r="M128" i="31"/>
  <c r="M101" i="31"/>
  <c r="M98" i="31"/>
  <c r="M57" i="31"/>
  <c r="BC91" i="2" l="1"/>
  <c r="M69" i="31"/>
  <c r="CO212" i="2"/>
  <c r="CO201" i="2"/>
  <c r="M147" i="31"/>
  <c r="M153" i="31" l="1"/>
  <c r="DX139" i="2"/>
  <c r="DY139" i="2"/>
  <c r="DZ139" i="2"/>
  <c r="EA139" i="2"/>
  <c r="EB139" i="2"/>
  <c r="EC139" i="2"/>
  <c r="ED139" i="2"/>
  <c r="DW139" i="2"/>
  <c r="DX134" i="2"/>
  <c r="DY134" i="2"/>
  <c r="DZ134" i="2"/>
  <c r="EA134" i="2"/>
  <c r="EB134" i="2"/>
  <c r="EC134" i="2"/>
  <c r="ED134" i="2"/>
  <c r="DW134" i="2"/>
  <c r="DW132" i="2"/>
  <c r="DX132" i="2"/>
  <c r="DY132" i="2"/>
  <c r="DZ132" i="2"/>
  <c r="EA132" i="2"/>
  <c r="EB132" i="2"/>
  <c r="EC132" i="2"/>
  <c r="ED132" i="2"/>
  <c r="DX129" i="2"/>
  <c r="DY129" i="2"/>
  <c r="DZ129" i="2"/>
  <c r="EA129" i="2"/>
  <c r="EB129" i="2"/>
  <c r="EC129" i="2"/>
  <c r="ED129" i="2"/>
  <c r="DW129" i="2"/>
  <c r="DW125" i="2"/>
  <c r="DX125" i="2"/>
  <c r="DY125" i="2"/>
  <c r="DZ125" i="2"/>
  <c r="EA125" i="2"/>
  <c r="EB125" i="2"/>
  <c r="EC125" i="2"/>
  <c r="ED125" i="2"/>
  <c r="DX121" i="2"/>
  <c r="DY121" i="2"/>
  <c r="DZ121" i="2"/>
  <c r="EA121" i="2"/>
  <c r="EB121" i="2"/>
  <c r="EC121" i="2"/>
  <c r="ED121" i="2"/>
  <c r="DW121" i="2"/>
  <c r="DX117" i="2"/>
  <c r="DY117" i="2"/>
  <c r="DZ117" i="2"/>
  <c r="EA117" i="2"/>
  <c r="EB117" i="2"/>
  <c r="EC117" i="2"/>
  <c r="ED117" i="2"/>
  <c r="DW117" i="2"/>
  <c r="DX114" i="2"/>
  <c r="DY114" i="2"/>
  <c r="DZ114" i="2"/>
  <c r="EA114" i="2"/>
  <c r="EB114" i="2"/>
  <c r="EC114" i="2"/>
  <c r="ED114" i="2"/>
  <c r="DW114" i="2"/>
  <c r="DW87" i="2"/>
  <c r="CB216" i="2" s="1"/>
  <c r="DX87" i="2"/>
  <c r="CC216" i="2" s="1"/>
  <c r="DY87" i="2"/>
  <c r="CD216" i="2" s="1"/>
  <c r="DZ87" i="2"/>
  <c r="CE216" i="2" s="1"/>
  <c r="EA87" i="2"/>
  <c r="CF216" i="2" s="1"/>
  <c r="EB87" i="2"/>
  <c r="CG216" i="2" s="1"/>
  <c r="EC87" i="2"/>
  <c r="CH216" i="2" s="1"/>
  <c r="ED87" i="2"/>
  <c r="CI216" i="2" s="1"/>
  <c r="CB218" i="2"/>
  <c r="CC218" i="2"/>
  <c r="CD218" i="2"/>
  <c r="CE218" i="2"/>
  <c r="CF218" i="2"/>
  <c r="CG218" i="2"/>
  <c r="CH218" i="2"/>
  <c r="CI218" i="2"/>
  <c r="DX86" i="2"/>
  <c r="DY86" i="2"/>
  <c r="DZ86" i="2"/>
  <c r="EA86" i="2"/>
  <c r="EB86" i="2"/>
  <c r="EC86" i="2"/>
  <c r="ED86" i="2"/>
  <c r="DW86" i="2"/>
  <c r="DW83" i="2"/>
  <c r="CB212" i="2" s="1"/>
  <c r="DX83" i="2"/>
  <c r="CC212" i="2" s="1"/>
  <c r="DY83" i="2"/>
  <c r="CD212" i="2" s="1"/>
  <c r="DZ83" i="2"/>
  <c r="CE212" i="2" s="1"/>
  <c r="EA83" i="2"/>
  <c r="CF212" i="2" s="1"/>
  <c r="EB83" i="2"/>
  <c r="CG212" i="2" s="1"/>
  <c r="EC83" i="2"/>
  <c r="CH212" i="2" s="1"/>
  <c r="ED83" i="2"/>
  <c r="CI212" i="2" s="1"/>
  <c r="DX53" i="2"/>
  <c r="DX54" i="2" s="1"/>
  <c r="DY53" i="2"/>
  <c r="DY54" i="2" s="1"/>
  <c r="DZ53" i="2"/>
  <c r="DZ54" i="2" s="1"/>
  <c r="EA53" i="2"/>
  <c r="EA54" i="2" s="1"/>
  <c r="EB53" i="2"/>
  <c r="EB54" i="2" s="1"/>
  <c r="EC53" i="2"/>
  <c r="EC54" i="2" s="1"/>
  <c r="ED53" i="2"/>
  <c r="ED54" i="2" s="1"/>
  <c r="DW53" i="2"/>
  <c r="DW54" i="2" s="1"/>
  <c r="DW45" i="2"/>
  <c r="DX45" i="2"/>
  <c r="DY45" i="2"/>
  <c r="DZ45" i="2"/>
  <c r="EA45" i="2"/>
  <c r="EB45" i="2"/>
  <c r="EC45" i="2"/>
  <c r="ED45" i="2"/>
  <c r="DX43" i="2"/>
  <c r="DY43" i="2"/>
  <c r="DZ43" i="2"/>
  <c r="EA43" i="2"/>
  <c r="EB43" i="2"/>
  <c r="EC43" i="2"/>
  <c r="ED43" i="2"/>
  <c r="DW43" i="2"/>
  <c r="DX41" i="2"/>
  <c r="DY41" i="2"/>
  <c r="DZ41" i="2"/>
  <c r="EA41" i="2"/>
  <c r="EB41" i="2"/>
  <c r="EC41" i="2"/>
  <c r="ED41" i="2"/>
  <c r="DW41" i="2"/>
  <c r="DX35" i="2"/>
  <c r="DY35" i="2"/>
  <c r="DZ35" i="2"/>
  <c r="EA35" i="2"/>
  <c r="EA38" i="2" s="1"/>
  <c r="EB35" i="2"/>
  <c r="EB38" i="2" s="1"/>
  <c r="EC35" i="2"/>
  <c r="EC38" i="2" s="1"/>
  <c r="ED35" i="2"/>
  <c r="ED38" i="2" s="1"/>
  <c r="DW35" i="2"/>
  <c r="DW30" i="2"/>
  <c r="DX30" i="2"/>
  <c r="DY30" i="2"/>
  <c r="DZ30" i="2"/>
  <c r="EA30" i="2"/>
  <c r="EB30" i="2"/>
  <c r="EC30" i="2"/>
  <c r="ED30" i="2"/>
  <c r="DW31" i="2"/>
  <c r="DX31" i="2"/>
  <c r="DY31" i="2"/>
  <c r="DZ31" i="2"/>
  <c r="EA31" i="2"/>
  <c r="EB31" i="2"/>
  <c r="EC31" i="2"/>
  <c r="ED31" i="2"/>
  <c r="DX29" i="2"/>
  <c r="DY29" i="2"/>
  <c r="DZ29" i="2"/>
  <c r="EA29" i="2"/>
  <c r="EB29" i="2"/>
  <c r="EC29" i="2"/>
  <c r="ED29" i="2"/>
  <c r="DW29" i="2"/>
  <c r="DW23" i="2"/>
  <c r="DX23" i="2"/>
  <c r="DY23" i="2"/>
  <c r="DZ23" i="2"/>
  <c r="EA23" i="2"/>
  <c r="EB23" i="2"/>
  <c r="EC23" i="2"/>
  <c r="ED23" i="2"/>
  <c r="EE23" i="2"/>
  <c r="DW25" i="2"/>
  <c r="DX25" i="2"/>
  <c r="DY25" i="2"/>
  <c r="DZ25" i="2"/>
  <c r="EA25" i="2"/>
  <c r="EB25" i="2"/>
  <c r="EC25" i="2"/>
  <c r="ED25" i="2"/>
  <c r="EE25" i="2"/>
  <c r="EE22" i="2"/>
  <c r="ED22" i="2"/>
  <c r="EC22" i="2"/>
  <c r="EB22" i="2"/>
  <c r="EA22" i="2"/>
  <c r="DZ22" i="2"/>
  <c r="DY22" i="2"/>
  <c r="DX22" i="2"/>
  <c r="DW22" i="2"/>
  <c r="DX15" i="2"/>
  <c r="DY15" i="2"/>
  <c r="DZ15" i="2"/>
  <c r="EA15" i="2"/>
  <c r="EB15" i="2"/>
  <c r="EC15" i="2"/>
  <c r="ED15" i="2"/>
  <c r="DX18" i="2"/>
  <c r="DY18" i="2"/>
  <c r="DZ18" i="2"/>
  <c r="EA18" i="2"/>
  <c r="EB18" i="2"/>
  <c r="EC18" i="2"/>
  <c r="ED18" i="2"/>
  <c r="DW18" i="2"/>
  <c r="DW15" i="2"/>
  <c r="DW10" i="2"/>
  <c r="DX10" i="2"/>
  <c r="DY10" i="2"/>
  <c r="DZ10" i="2"/>
  <c r="EA10" i="2"/>
  <c r="EB10" i="2"/>
  <c r="EC10" i="2"/>
  <c r="ED10" i="2"/>
  <c r="EE10" i="2"/>
  <c r="P128" i="31"/>
  <c r="F128" i="31"/>
  <c r="F33" i="31"/>
  <c r="D146" i="31"/>
  <c r="D144" i="31"/>
  <c r="F136" i="31"/>
  <c r="G136" i="31"/>
  <c r="P136" i="31"/>
  <c r="D136" i="31"/>
  <c r="D128" i="31"/>
  <c r="O111" i="31"/>
  <c r="D98" i="31"/>
  <c r="D101" i="31"/>
  <c r="DX91" i="2" l="1"/>
  <c r="DY91" i="2"/>
  <c r="DW91" i="2"/>
  <c r="DZ91" i="2"/>
  <c r="EA91" i="2"/>
  <c r="EB91" i="2"/>
  <c r="EC91" i="2"/>
  <c r="ED91" i="2"/>
  <c r="ED70" i="2"/>
  <c r="DZ32" i="2"/>
  <c r="EE26" i="2"/>
  <c r="EC70" i="2"/>
  <c r="EB70" i="2"/>
  <c r="DZ70" i="2"/>
  <c r="DW126" i="2"/>
  <c r="DZ135" i="2"/>
  <c r="DY135" i="2"/>
  <c r="DX135" i="2"/>
  <c r="EA70" i="2"/>
  <c r="DY26" i="2"/>
  <c r="EB48" i="2"/>
  <c r="EB58" i="2" s="1"/>
  <c r="EA126" i="2"/>
  <c r="DZ48" i="2"/>
  <c r="DZ58" i="2" s="1"/>
  <c r="DZ126" i="2"/>
  <c r="ED135" i="2"/>
  <c r="DY48" i="2"/>
  <c r="DY58" i="2" s="1"/>
  <c r="EC135" i="2"/>
  <c r="EE12" i="2"/>
  <c r="EB32" i="2"/>
  <c r="DX48" i="2"/>
  <c r="DX58" i="2" s="1"/>
  <c r="DX126" i="2"/>
  <c r="EB135" i="2"/>
  <c r="DW48" i="2"/>
  <c r="DW58" i="2" s="1"/>
  <c r="ED48" i="2"/>
  <c r="ED58" i="2" s="1"/>
  <c r="ED126" i="2"/>
  <c r="EC48" i="2"/>
  <c r="EC58" i="2" s="1"/>
  <c r="EC126" i="2"/>
  <c r="EB126" i="2"/>
  <c r="EA48" i="2"/>
  <c r="EA58" i="2" s="1"/>
  <c r="DW135" i="2"/>
  <c r="EA26" i="2"/>
  <c r="ED32" i="2"/>
  <c r="EB26" i="2"/>
  <c r="EC32" i="2"/>
  <c r="DY126" i="2"/>
  <c r="ED12" i="2"/>
  <c r="DW12" i="2"/>
  <c r="DW19" i="2" s="1"/>
  <c r="EA32" i="2"/>
  <c r="EA135" i="2"/>
  <c r="DY38" i="2"/>
  <c r="DX38" i="2"/>
  <c r="DZ38" i="2"/>
  <c r="DW38" i="2"/>
  <c r="DY32" i="2"/>
  <c r="DX32" i="2"/>
  <c r="DW32" i="2"/>
  <c r="EC26" i="2"/>
  <c r="ED26" i="2"/>
  <c r="DW26" i="2"/>
  <c r="DX26" i="2"/>
  <c r="DZ26" i="2"/>
  <c r="EB12" i="2"/>
  <c r="EB19" i="2" s="1"/>
  <c r="DZ12" i="2"/>
  <c r="DZ19" i="2" s="1"/>
  <c r="DY12" i="2"/>
  <c r="DY19" i="2" s="1"/>
  <c r="EC12" i="2"/>
  <c r="EA12" i="2"/>
  <c r="EA19" i="2" s="1"/>
  <c r="DX12" i="2"/>
  <c r="DX19" i="2" s="1"/>
  <c r="CB222" i="2"/>
  <c r="DW97" i="2"/>
  <c r="CI222" i="2"/>
  <c r="ED97" i="2"/>
  <c r="CH222" i="2"/>
  <c r="EC97" i="2"/>
  <c r="CG222" i="2"/>
  <c r="EB97" i="2"/>
  <c r="CF222" i="2"/>
  <c r="EA97" i="2"/>
  <c r="CE222" i="2"/>
  <c r="DZ97" i="2"/>
  <c r="CD222" i="2"/>
  <c r="DY97" i="2"/>
  <c r="CC222" i="2"/>
  <c r="DX97" i="2"/>
  <c r="CC215" i="2"/>
  <c r="CB215" i="2"/>
  <c r="CE215" i="2"/>
  <c r="CD215" i="2"/>
  <c r="CI215" i="2"/>
  <c r="CH215" i="2"/>
  <c r="CG215" i="2"/>
  <c r="CF215" i="2"/>
  <c r="CI211" i="2"/>
  <c r="ED84" i="2"/>
  <c r="CF211" i="2"/>
  <c r="EA84" i="2"/>
  <c r="CD211" i="2"/>
  <c r="DY84" i="2"/>
  <c r="CB211" i="2"/>
  <c r="DW84" i="2"/>
  <c r="CH211" i="2"/>
  <c r="EC84" i="2"/>
  <c r="CC211" i="2"/>
  <c r="DX84" i="2"/>
  <c r="CG211" i="2"/>
  <c r="EB84" i="2"/>
  <c r="CE211" i="2"/>
  <c r="DZ84" i="2"/>
  <c r="DY70" i="2"/>
  <c r="DX70" i="2"/>
  <c r="DW70" i="2"/>
  <c r="EE139" i="2"/>
  <c r="EE134" i="2"/>
  <c r="EE132" i="2"/>
  <c r="EE129" i="2"/>
  <c r="EE18" i="2"/>
  <c r="EE15" i="2"/>
  <c r="K57" i="2"/>
  <c r="J57" i="2"/>
  <c r="O48" i="31"/>
  <c r="D57" i="31"/>
  <c r="F57" i="31"/>
  <c r="P53" i="31"/>
  <c r="F53" i="31"/>
  <c r="D53" i="31"/>
  <c r="F40" i="31"/>
  <c r="G40" i="31"/>
  <c r="P40" i="31"/>
  <c r="D40" i="31"/>
  <c r="D33" i="31"/>
  <c r="O21" i="31"/>
  <c r="P21" i="31"/>
  <c r="P17" i="31"/>
  <c r="F27" i="31"/>
  <c r="G27" i="31"/>
  <c r="P27" i="31"/>
  <c r="F29" i="31"/>
  <c r="G29" i="31"/>
  <c r="P29" i="31"/>
  <c r="D27" i="31"/>
  <c r="D29" i="31"/>
  <c r="P12" i="31"/>
  <c r="F12" i="31"/>
  <c r="D12" i="31"/>
  <c r="C132" i="31"/>
  <c r="O95" i="31"/>
  <c r="C94" i="31"/>
  <c r="P50" i="31"/>
  <c r="G50" i="31"/>
  <c r="F50" i="31"/>
  <c r="D50" i="31"/>
  <c r="C47" i="31"/>
  <c r="C35" i="31"/>
  <c r="P26" i="31"/>
  <c r="G26" i="31"/>
  <c r="F26" i="31"/>
  <c r="D26" i="31"/>
  <c r="EF71" i="2"/>
  <c r="EF74" i="2"/>
  <c r="V53" i="7" l="1"/>
  <c r="W53" i="7"/>
  <c r="R53" i="7"/>
  <c r="S53" i="7"/>
  <c r="F53" i="7"/>
  <c r="L53" i="7"/>
  <c r="M53" i="7"/>
  <c r="G53" i="7"/>
  <c r="K53" i="7"/>
  <c r="P53" i="7"/>
  <c r="X53" i="7"/>
  <c r="Q53" i="7"/>
  <c r="T53" i="7"/>
  <c r="U53" i="7"/>
  <c r="J53" i="7"/>
  <c r="I53" i="7"/>
  <c r="N53" i="7"/>
  <c r="Y53" i="7"/>
  <c r="Z53" i="7"/>
  <c r="H53" i="7"/>
  <c r="O53" i="7"/>
  <c r="V52" i="7"/>
  <c r="U52" i="7"/>
  <c r="T52" i="7"/>
  <c r="R52" i="7"/>
  <c r="Q52" i="7"/>
  <c r="P52" i="7"/>
  <c r="M52" i="7"/>
  <c r="L52" i="7"/>
  <c r="K52" i="7"/>
  <c r="I52" i="7"/>
  <c r="H52" i="7"/>
  <c r="F52" i="7"/>
  <c r="T51" i="7"/>
  <c r="Q51" i="7"/>
  <c r="M51" i="7"/>
  <c r="I51" i="7"/>
  <c r="H51" i="7"/>
  <c r="Y51" i="7"/>
  <c r="S52" i="7"/>
  <c r="Z51" i="7"/>
  <c r="Z52" i="7"/>
  <c r="X52" i="7"/>
  <c r="U51" i="7"/>
  <c r="S51" i="7"/>
  <c r="L51" i="7"/>
  <c r="G51" i="7"/>
  <c r="J52" i="7"/>
  <c r="N52" i="7"/>
  <c r="Y52" i="7"/>
  <c r="R51" i="7"/>
  <c r="K51" i="7"/>
  <c r="F51" i="7"/>
  <c r="O51" i="7"/>
  <c r="G52" i="7"/>
  <c r="W51" i="7"/>
  <c r="X51" i="7"/>
  <c r="V51" i="7"/>
  <c r="P51" i="7"/>
  <c r="J51" i="7"/>
  <c r="N51" i="7"/>
  <c r="O52" i="7"/>
  <c r="W52" i="7"/>
  <c r="T49" i="7"/>
  <c r="F49" i="7"/>
  <c r="G49" i="7"/>
  <c r="X49" i="7"/>
  <c r="U49" i="7"/>
  <c r="S49" i="7"/>
  <c r="Z49" i="7"/>
  <c r="R49" i="7"/>
  <c r="O49" i="7"/>
  <c r="H49" i="7"/>
  <c r="M49" i="7"/>
  <c r="L49" i="7"/>
  <c r="Y49" i="7"/>
  <c r="V49" i="7"/>
  <c r="K49" i="7"/>
  <c r="Q49" i="7"/>
  <c r="W49" i="7"/>
  <c r="P49" i="7"/>
  <c r="J49" i="7"/>
  <c r="I49" i="7"/>
  <c r="N49" i="7"/>
  <c r="S48" i="7"/>
  <c r="R48" i="7"/>
  <c r="P48" i="7"/>
  <c r="L48" i="7"/>
  <c r="K48" i="7"/>
  <c r="J48" i="7"/>
  <c r="F48" i="7"/>
  <c r="W48" i="7"/>
  <c r="G48" i="7"/>
  <c r="Z48" i="7"/>
  <c r="T48" i="7"/>
  <c r="H48" i="7"/>
  <c r="X48" i="7"/>
  <c r="Q48" i="7"/>
  <c r="O48" i="7"/>
  <c r="U48" i="7"/>
  <c r="N48" i="7"/>
  <c r="Y48" i="7"/>
  <c r="V48" i="7"/>
  <c r="I48" i="7"/>
  <c r="M48" i="7"/>
  <c r="J47" i="7"/>
  <c r="F46" i="7"/>
  <c r="X47" i="7"/>
  <c r="T46" i="7"/>
  <c r="I46" i="7"/>
  <c r="R46" i="7"/>
  <c r="M46" i="7"/>
  <c r="H46" i="7"/>
  <c r="Q46" i="7"/>
  <c r="K46" i="7"/>
  <c r="U46" i="7"/>
  <c r="L46" i="7"/>
  <c r="N46" i="7"/>
  <c r="G46" i="7"/>
  <c r="O46" i="7"/>
  <c r="Y46" i="7"/>
  <c r="W46" i="7"/>
  <c r="X46" i="7"/>
  <c r="Z46" i="7"/>
  <c r="K47" i="7"/>
  <c r="R47" i="7"/>
  <c r="V47" i="7"/>
  <c r="F47" i="7"/>
  <c r="T47" i="7"/>
  <c r="I47" i="7"/>
  <c r="O47" i="7"/>
  <c r="J46" i="7"/>
  <c r="W47" i="7"/>
  <c r="G47" i="7"/>
  <c r="L47" i="7"/>
  <c r="Z47" i="7"/>
  <c r="Q47" i="7"/>
  <c r="V46" i="7"/>
  <c r="S46" i="7"/>
  <c r="Y47" i="7"/>
  <c r="U47" i="7"/>
  <c r="P47" i="7"/>
  <c r="N47" i="7"/>
  <c r="M47" i="7"/>
  <c r="S47" i="7"/>
  <c r="H47" i="7"/>
  <c r="P46" i="7"/>
  <c r="G45" i="7"/>
  <c r="Y45" i="7"/>
  <c r="M45" i="7"/>
  <c r="F45" i="7"/>
  <c r="Q45" i="7"/>
  <c r="U45" i="7"/>
  <c r="S45" i="7"/>
  <c r="L45" i="7"/>
  <c r="I45" i="7"/>
  <c r="X45" i="7"/>
  <c r="K45" i="7"/>
  <c r="T45" i="7"/>
  <c r="H45" i="7"/>
  <c r="V45" i="7"/>
  <c r="P45" i="7"/>
  <c r="N45" i="7"/>
  <c r="Z45" i="7"/>
  <c r="O45" i="7"/>
  <c r="R45" i="7"/>
  <c r="J45" i="7"/>
  <c r="W45" i="7"/>
  <c r="Z44" i="7"/>
  <c r="Y44" i="7"/>
  <c r="K44" i="7"/>
  <c r="M44" i="7"/>
  <c r="F44" i="7"/>
  <c r="Q44" i="7"/>
  <c r="S44" i="7"/>
  <c r="V44" i="7"/>
  <c r="L44" i="7"/>
  <c r="T44" i="7"/>
  <c r="U44" i="7"/>
  <c r="N44" i="7"/>
  <c r="I44" i="7"/>
  <c r="G44" i="7"/>
  <c r="J44" i="7"/>
  <c r="H44" i="7"/>
  <c r="R44" i="7"/>
  <c r="P44" i="7"/>
  <c r="O44" i="7"/>
  <c r="W44" i="7"/>
  <c r="X44" i="7"/>
  <c r="I43" i="7"/>
  <c r="T43" i="7"/>
  <c r="G43" i="7"/>
  <c r="R43" i="7"/>
  <c r="U43" i="7"/>
  <c r="M43" i="7"/>
  <c r="V43" i="7"/>
  <c r="Y43" i="7"/>
  <c r="F43" i="7"/>
  <c r="J43" i="7"/>
  <c r="L43" i="7"/>
  <c r="P43" i="7"/>
  <c r="S43" i="7"/>
  <c r="H43" i="7"/>
  <c r="K43" i="7"/>
  <c r="Q43" i="7"/>
  <c r="O43" i="7"/>
  <c r="W43" i="7"/>
  <c r="N43" i="7"/>
  <c r="X43" i="7"/>
  <c r="Z43" i="7"/>
  <c r="I42" i="7"/>
  <c r="K42" i="7"/>
  <c r="G42" i="7"/>
  <c r="H42" i="7"/>
  <c r="V42" i="7"/>
  <c r="N42" i="7"/>
  <c r="O42" i="7"/>
  <c r="Y42" i="7"/>
  <c r="W42" i="7"/>
  <c r="X42" i="7"/>
  <c r="F42" i="7"/>
  <c r="Z42" i="7"/>
  <c r="L42" i="7"/>
  <c r="J42" i="7"/>
  <c r="T42" i="7"/>
  <c r="U42" i="7"/>
  <c r="R42" i="7"/>
  <c r="Q42" i="7"/>
  <c r="P42" i="7"/>
  <c r="M42" i="7"/>
  <c r="S42" i="7"/>
  <c r="Q41" i="7"/>
  <c r="R41" i="7"/>
  <c r="S41" i="7"/>
  <c r="F41" i="7"/>
  <c r="T41" i="7"/>
  <c r="V41" i="7"/>
  <c r="H41" i="7"/>
  <c r="I41" i="7"/>
  <c r="P41" i="7"/>
  <c r="U41" i="7"/>
  <c r="G41" i="7"/>
  <c r="J41" i="7"/>
  <c r="K41" i="7"/>
  <c r="L41" i="7"/>
  <c r="M40" i="7"/>
  <c r="Z40" i="7"/>
  <c r="Z39" i="7"/>
  <c r="P40" i="7"/>
  <c r="U39" i="7"/>
  <c r="X39" i="7"/>
  <c r="Q40" i="7"/>
  <c r="T39" i="7"/>
  <c r="U40" i="7"/>
  <c r="S39" i="7"/>
  <c r="K40" i="7"/>
  <c r="R39" i="7"/>
  <c r="S40" i="7"/>
  <c r="P39" i="7"/>
  <c r="T40" i="7"/>
  <c r="F39" i="7"/>
  <c r="R40" i="7"/>
  <c r="Q39" i="7"/>
  <c r="Y40" i="7"/>
  <c r="I39" i="7"/>
  <c r="F40" i="7"/>
  <c r="J39" i="7"/>
  <c r="H40" i="7"/>
  <c r="M39" i="7"/>
  <c r="L40" i="7"/>
  <c r="K39" i="7"/>
  <c r="V40" i="7"/>
  <c r="L39" i="7"/>
  <c r="I40" i="7"/>
  <c r="V39" i="7"/>
  <c r="O40" i="7"/>
  <c r="G39" i="7"/>
  <c r="J40" i="7"/>
  <c r="H39" i="7"/>
  <c r="G40" i="7"/>
  <c r="W39" i="7"/>
  <c r="X40" i="7"/>
  <c r="N39" i="7"/>
  <c r="N40" i="7"/>
  <c r="O39" i="7"/>
  <c r="W40" i="7"/>
  <c r="Y39" i="7"/>
  <c r="I38" i="7"/>
  <c r="U38" i="7"/>
  <c r="P38" i="7"/>
  <c r="Q38" i="7"/>
  <c r="R38" i="7"/>
  <c r="S38" i="7"/>
  <c r="F38" i="7"/>
  <c r="L38" i="7"/>
  <c r="M38" i="7"/>
  <c r="G38" i="7"/>
  <c r="H38" i="7"/>
  <c r="T38" i="7"/>
  <c r="V38" i="7"/>
  <c r="K38" i="7"/>
  <c r="J38" i="7"/>
  <c r="N38" i="7"/>
  <c r="W38" i="7"/>
  <c r="O38" i="7"/>
  <c r="Z38" i="7"/>
  <c r="Y38" i="7"/>
  <c r="X38" i="7"/>
  <c r="Q37" i="7"/>
  <c r="T37" i="7"/>
  <c r="R37" i="7"/>
  <c r="V37" i="7"/>
  <c r="K37" i="7"/>
  <c r="H37" i="7"/>
  <c r="I37" i="7"/>
  <c r="J37" i="7"/>
  <c r="P37" i="7"/>
  <c r="F37" i="7"/>
  <c r="U37" i="7"/>
  <c r="L37" i="7"/>
  <c r="G37" i="7"/>
  <c r="S37" i="7"/>
  <c r="Q36" i="7"/>
  <c r="G36" i="7"/>
  <c r="O36" i="7"/>
  <c r="P36" i="7"/>
  <c r="F36" i="7"/>
  <c r="J36" i="7"/>
  <c r="Y36" i="7"/>
  <c r="X36" i="7"/>
  <c r="R36" i="7"/>
  <c r="H36" i="7"/>
  <c r="U36" i="7"/>
  <c r="N36" i="7"/>
  <c r="M36" i="7"/>
  <c r="T36" i="7"/>
  <c r="S36" i="7"/>
  <c r="V36" i="7"/>
  <c r="W36" i="7"/>
  <c r="Z36" i="7"/>
  <c r="I36" i="7"/>
  <c r="K36" i="7"/>
  <c r="L36" i="7"/>
  <c r="P35" i="7"/>
  <c r="J35" i="7"/>
  <c r="F35" i="7"/>
  <c r="I35" i="7"/>
  <c r="L35" i="7"/>
  <c r="M35" i="7"/>
  <c r="V35" i="7"/>
  <c r="G35" i="7"/>
  <c r="N35" i="7"/>
  <c r="S35" i="7"/>
  <c r="H35" i="7"/>
  <c r="Q35" i="7"/>
  <c r="R35" i="7"/>
  <c r="O35" i="7"/>
  <c r="Z35" i="7"/>
  <c r="K35" i="7"/>
  <c r="Y35" i="7"/>
  <c r="T35" i="7"/>
  <c r="W35" i="7"/>
  <c r="X35" i="7"/>
  <c r="U35" i="7"/>
  <c r="EC19" i="2"/>
  <c r="ED19" i="2"/>
  <c r="DZ101" i="2"/>
  <c r="X34" i="7"/>
  <c r="G34" i="7"/>
  <c r="L34" i="7"/>
  <c r="U34" i="7"/>
  <c r="M34" i="7"/>
  <c r="O34" i="7"/>
  <c r="S34" i="7"/>
  <c r="J34" i="7"/>
  <c r="N34" i="7"/>
  <c r="P34" i="7"/>
  <c r="H34" i="7"/>
  <c r="Y34" i="7"/>
  <c r="W34" i="7"/>
  <c r="Q34" i="7"/>
  <c r="T34" i="7"/>
  <c r="V34" i="7"/>
  <c r="Z34" i="7"/>
  <c r="F34" i="7"/>
  <c r="I34" i="7"/>
  <c r="K34" i="7"/>
  <c r="R34" i="7"/>
  <c r="V33" i="7"/>
  <c r="P33" i="7"/>
  <c r="R33" i="7"/>
  <c r="F33" i="7"/>
  <c r="I33" i="7"/>
  <c r="K33" i="7"/>
  <c r="M33" i="7"/>
  <c r="Q33" i="7"/>
  <c r="S33" i="7"/>
  <c r="U33" i="7"/>
  <c r="L33" i="7"/>
  <c r="T33" i="7"/>
  <c r="G33" i="7"/>
  <c r="H33" i="7"/>
  <c r="J33" i="7"/>
  <c r="N33" i="7"/>
  <c r="O33" i="7"/>
  <c r="W33" i="7"/>
  <c r="Z33" i="7"/>
  <c r="Y33" i="7"/>
  <c r="X33" i="7"/>
  <c r="EB101" i="2"/>
  <c r="EE135" i="2"/>
  <c r="DX101" i="2"/>
  <c r="EA101" i="2"/>
  <c r="ED101" i="2"/>
  <c r="EC101" i="2"/>
  <c r="R32" i="7"/>
  <c r="K32" i="7"/>
  <c r="T32" i="7"/>
  <c r="Y32" i="7"/>
  <c r="Q32" i="7"/>
  <c r="J32" i="7"/>
  <c r="M32" i="7"/>
  <c r="H32" i="7"/>
  <c r="I32" i="7"/>
  <c r="G32" i="7"/>
  <c r="F32" i="7"/>
  <c r="L32" i="7"/>
  <c r="U32" i="7"/>
  <c r="P32" i="7"/>
  <c r="N32" i="7"/>
  <c r="O32" i="7"/>
  <c r="S32" i="7"/>
  <c r="V32" i="7"/>
  <c r="W32" i="7"/>
  <c r="Z32" i="7"/>
  <c r="X32" i="7"/>
  <c r="DW101" i="2"/>
  <c r="DY101" i="2"/>
  <c r="EE19" i="2"/>
  <c r="T31" i="7"/>
  <c r="J31" i="7"/>
  <c r="O31" i="7"/>
  <c r="P31" i="7"/>
  <c r="K31" i="7"/>
  <c r="Q31" i="7"/>
  <c r="F31" i="7"/>
  <c r="N31" i="7"/>
  <c r="U31" i="7"/>
  <c r="V31" i="7"/>
  <c r="I31" i="7"/>
  <c r="W31" i="7"/>
  <c r="R31" i="7"/>
  <c r="S31" i="7"/>
  <c r="H31" i="7"/>
  <c r="X31" i="7"/>
  <c r="M31" i="7"/>
  <c r="G31" i="7"/>
  <c r="Y31" i="7"/>
  <c r="L31" i="7"/>
  <c r="Z31" i="7"/>
  <c r="V30" i="7"/>
  <c r="K30" i="7"/>
  <c r="T30" i="7"/>
  <c r="I30" i="7"/>
  <c r="Q30" i="7"/>
  <c r="F30" i="7"/>
  <c r="R30" i="7"/>
  <c r="S30" i="7"/>
  <c r="H30" i="7"/>
  <c r="P30" i="7"/>
  <c r="J30" i="7"/>
  <c r="M30" i="7"/>
  <c r="L30" i="7"/>
  <c r="G30" i="7"/>
  <c r="Z30" i="7"/>
  <c r="U30" i="7"/>
  <c r="O30" i="7"/>
  <c r="N30" i="7"/>
  <c r="W30" i="7"/>
  <c r="Y30" i="7"/>
  <c r="X30" i="7"/>
  <c r="K29" i="7"/>
  <c r="W29" i="7"/>
  <c r="Q29" i="7"/>
  <c r="F29" i="7"/>
  <c r="R29" i="7"/>
  <c r="X29" i="7"/>
  <c r="S29" i="7"/>
  <c r="H29" i="7"/>
  <c r="Y29" i="7"/>
  <c r="T29" i="7"/>
  <c r="I29" i="7"/>
  <c r="Z29" i="7"/>
  <c r="P29" i="7"/>
  <c r="V29" i="7"/>
  <c r="N29" i="7"/>
  <c r="L29" i="7"/>
  <c r="G29" i="7"/>
  <c r="M29" i="7"/>
  <c r="U29" i="7"/>
  <c r="O29" i="7"/>
  <c r="J29" i="7"/>
  <c r="K18" i="7"/>
  <c r="M10" i="7"/>
  <c r="K26" i="7"/>
  <c r="M11" i="7"/>
  <c r="K27" i="7"/>
  <c r="M7" i="7"/>
  <c r="K22" i="7"/>
  <c r="M25" i="7"/>
  <c r="M8" i="7"/>
  <c r="F6" i="7"/>
  <c r="F27" i="7"/>
  <c r="M9" i="7"/>
  <c r="K25" i="7"/>
  <c r="F16" i="7"/>
  <c r="F28" i="7"/>
  <c r="M27" i="7"/>
  <c r="K28" i="7"/>
  <c r="F7" i="7"/>
  <c r="M14" i="7"/>
  <c r="M28" i="7"/>
  <c r="K20" i="7"/>
  <c r="K21" i="7"/>
  <c r="F8" i="7"/>
  <c r="F20" i="7"/>
  <c r="F23" i="7"/>
  <c r="F9" i="7"/>
  <c r="F17" i="7"/>
  <c r="F21" i="7"/>
  <c r="M16" i="7"/>
  <c r="F10" i="7"/>
  <c r="F22" i="7"/>
  <c r="F11" i="7"/>
  <c r="F18" i="7"/>
  <c r="M17" i="7"/>
  <c r="M23" i="7"/>
  <c r="F25" i="7"/>
  <c r="F14" i="7"/>
  <c r="M6" i="7"/>
  <c r="K23" i="7"/>
  <c r="P69" i="31"/>
  <c r="P30" i="31"/>
  <c r="M94" i="31"/>
  <c r="K19" i="7" s="1"/>
  <c r="M132" i="31"/>
  <c r="K24" i="7" s="1"/>
  <c r="D132" i="31"/>
  <c r="G35" i="31"/>
  <c r="F47" i="31"/>
  <c r="F15" i="7" s="1"/>
  <c r="P43" i="31"/>
  <c r="G47" i="31"/>
  <c r="F35" i="31"/>
  <c r="F13" i="7" s="1"/>
  <c r="P35" i="31"/>
  <c r="M13" i="7" s="1"/>
  <c r="P141" i="31"/>
  <c r="G141" i="31"/>
  <c r="F141" i="31"/>
  <c r="F26" i="7" s="1"/>
  <c r="D141" i="31"/>
  <c r="D34" i="31"/>
  <c r="D94" i="31"/>
  <c r="G34" i="31"/>
  <c r="P34" i="31"/>
  <c r="M12" i="7" s="1"/>
  <c r="F34" i="31"/>
  <c r="F12" i="7" s="1"/>
  <c r="F94" i="31"/>
  <c r="F19" i="7" s="1"/>
  <c r="D35" i="31"/>
  <c r="G132" i="31"/>
  <c r="F132" i="31"/>
  <c r="F24" i="7" s="1"/>
  <c r="P132" i="31"/>
  <c r="M24" i="7" s="1"/>
  <c r="P47" i="31"/>
  <c r="D47" i="31"/>
  <c r="M125" i="31" l="1"/>
  <c r="P125" i="31"/>
  <c r="P13" i="31"/>
  <c r="P147" i="31"/>
  <c r="M26" i="7"/>
  <c r="M103" i="31"/>
  <c r="P48" i="31"/>
  <c r="M15" i="7"/>
  <c r="M137" i="31"/>
  <c r="P137" i="31"/>
  <c r="P36" i="31"/>
  <c r="P111" i="31"/>
  <c r="P23" i="31" l="1"/>
  <c r="FI31" i="2" l="1"/>
  <c r="V35" i="31" s="1"/>
  <c r="S13" i="7" s="1"/>
  <c r="FH31" i="2"/>
  <c r="W35" i="31" s="1"/>
  <c r="T13" i="7" s="1"/>
  <c r="FG31" i="2"/>
  <c r="FF31" i="2"/>
  <c r="FE31" i="2"/>
  <c r="FD31" i="2"/>
  <c r="X35" i="31" s="1"/>
  <c r="U13" i="7" s="1"/>
  <c r="FC31" i="2"/>
  <c r="U35" i="31" s="1"/>
  <c r="R13" i="7" s="1"/>
  <c r="FB31" i="2"/>
  <c r="T35" i="31" s="1"/>
  <c r="Q13" i="7" s="1"/>
  <c r="FA31" i="2"/>
  <c r="EY31" i="2"/>
  <c r="FJ31" i="2" s="1"/>
  <c r="Y35" i="31" s="1"/>
  <c r="V13" i="7" s="1"/>
  <c r="DU31" i="2"/>
  <c r="DT31" i="2"/>
  <c r="DS31" i="2"/>
  <c r="DR31" i="2"/>
  <c r="DQ31" i="2"/>
  <c r="DP31" i="2"/>
  <c r="DO31" i="2"/>
  <c r="DN31" i="2"/>
  <c r="CQ31" i="2"/>
  <c r="CO31" i="2"/>
  <c r="CM31" i="2"/>
  <c r="CL31" i="2"/>
  <c r="CK31" i="2"/>
  <c r="CH31" i="2"/>
  <c r="CF31" i="2"/>
  <c r="CD31" i="2"/>
  <c r="CC31" i="2"/>
  <c r="CB31" i="2"/>
  <c r="BY31" i="2"/>
  <c r="BW31" i="2"/>
  <c r="BU31" i="2"/>
  <c r="BT31" i="2"/>
  <c r="BS31" i="2"/>
  <c r="BP31" i="2"/>
  <c r="BN31" i="2"/>
  <c r="CZ31" i="2" s="1"/>
  <c r="BL31" i="2"/>
  <c r="CX31" i="2" s="1"/>
  <c r="BK31" i="2"/>
  <c r="BJ31" i="2"/>
  <c r="BG31" i="2"/>
  <c r="BE31" i="2"/>
  <c r="BC31" i="2"/>
  <c r="BB31" i="2"/>
  <c r="BA31" i="2"/>
  <c r="AN31" i="2"/>
  <c r="CP31" i="2" s="1"/>
  <c r="AL31" i="2"/>
  <c r="CN31" i="2" s="1"/>
  <c r="AJ31" i="2"/>
  <c r="CG31" i="2" s="1"/>
  <c r="AH31" i="2"/>
  <c r="CE31" i="2" s="1"/>
  <c r="AF31" i="2"/>
  <c r="BX31" i="2" s="1"/>
  <c r="AD31" i="2"/>
  <c r="BV31" i="2" s="1"/>
  <c r="AB31" i="2"/>
  <c r="BO31" i="2" s="1"/>
  <c r="Z31" i="2"/>
  <c r="BM31" i="2" s="1"/>
  <c r="X31" i="2"/>
  <c r="BF31" i="2" s="1"/>
  <c r="V31" i="2"/>
  <c r="BD31" i="2" s="1"/>
  <c r="S31" i="2"/>
  <c r="L31" i="2"/>
  <c r="CI31" i="2" l="1"/>
  <c r="CJ31" i="2" s="1"/>
  <c r="BZ31" i="2"/>
  <c r="CA31" i="2" s="1"/>
  <c r="BQ31" i="2"/>
  <c r="BR31" i="2" s="1"/>
  <c r="BH31" i="2"/>
  <c r="FR31" i="2"/>
  <c r="FS31" i="2"/>
  <c r="S35" i="31"/>
  <c r="P13" i="7" s="1"/>
  <c r="FV31" i="2"/>
  <c r="EH31" i="2"/>
  <c r="K35" i="31" s="1"/>
  <c r="I13" i="7" s="1"/>
  <c r="EG31" i="2"/>
  <c r="I35" i="31" s="1"/>
  <c r="EL31" i="2"/>
  <c r="EF31" i="2"/>
  <c r="EK31" i="2"/>
  <c r="N35" i="31" s="1"/>
  <c r="L13" i="7" s="1"/>
  <c r="M35" i="31"/>
  <c r="K13" i="7" s="1"/>
  <c r="DB31" i="2"/>
  <c r="DF31" i="2"/>
  <c r="DK31" i="2"/>
  <c r="DH31" i="2"/>
  <c r="EI31" i="2" s="1"/>
  <c r="DG31" i="2"/>
  <c r="DE31" i="2"/>
  <c r="DI31" i="2"/>
  <c r="DJ31" i="2"/>
  <c r="CW31" i="2"/>
  <c r="DA31" i="2"/>
  <c r="DV31" i="2"/>
  <c r="CY31" i="2"/>
  <c r="CR31" i="2"/>
  <c r="CS31" i="2" s="1"/>
  <c r="CV31" i="2"/>
  <c r="H35" i="31" l="1"/>
  <c r="G13" i="7" s="1"/>
  <c r="FU31" i="2"/>
  <c r="H13" i="7"/>
  <c r="EM31" i="2"/>
  <c r="EN31" i="2" s="1"/>
  <c r="BI31" i="2"/>
  <c r="EE31" i="2"/>
  <c r="DL31" i="2"/>
  <c r="DM31" i="2" s="1"/>
  <c r="DC31" i="2"/>
  <c r="DD31" i="2" s="1"/>
  <c r="FT31" i="2" l="1"/>
  <c r="J35" i="31"/>
  <c r="L35" i="31"/>
  <c r="E35" i="31" l="1"/>
  <c r="J13" i="7"/>
  <c r="R35" i="31"/>
  <c r="Q35" i="31"/>
  <c r="N13" i="7" s="1"/>
  <c r="EQ32" i="2"/>
  <c r="Z35" i="31" l="1"/>
  <c r="W13" i="7" s="1"/>
  <c r="O13" i="7"/>
  <c r="AA35" i="31" l="1"/>
  <c r="AC35" i="31" s="1"/>
  <c r="FI30" i="2"/>
  <c r="FH30" i="2"/>
  <c r="W34" i="31" s="1"/>
  <c r="T12" i="7" s="1"/>
  <c r="FG30" i="2"/>
  <c r="FF30" i="2"/>
  <c r="FE30" i="2"/>
  <c r="FD30" i="2"/>
  <c r="X34" i="31" s="1"/>
  <c r="U12" i="7" s="1"/>
  <c r="FC30" i="2"/>
  <c r="U34" i="31" s="1"/>
  <c r="R12" i="7" s="1"/>
  <c r="FB30" i="2"/>
  <c r="T34" i="31" s="1"/>
  <c r="Q12" i="7" s="1"/>
  <c r="FA30" i="2"/>
  <c r="EY30" i="2"/>
  <c r="FJ30" i="2" s="1"/>
  <c r="Y34" i="31" s="1"/>
  <c r="V12" i="7" s="1"/>
  <c r="DU30" i="2"/>
  <c r="DT30" i="2"/>
  <c r="DS30" i="2"/>
  <c r="DR30" i="2"/>
  <c r="DQ30" i="2"/>
  <c r="DP30" i="2"/>
  <c r="DO30" i="2"/>
  <c r="DN30" i="2"/>
  <c r="DG30" i="2"/>
  <c r="CQ30" i="2"/>
  <c r="CO30" i="2"/>
  <c r="CM30" i="2"/>
  <c r="CL30" i="2"/>
  <c r="CK30" i="2"/>
  <c r="CH30" i="2"/>
  <c r="CF30" i="2"/>
  <c r="DI30" i="2" s="1"/>
  <c r="CD30" i="2"/>
  <c r="CC30" i="2"/>
  <c r="CB30" i="2"/>
  <c r="BY30" i="2"/>
  <c r="BW30" i="2"/>
  <c r="BU30" i="2"/>
  <c r="BT30" i="2"/>
  <c r="BS30" i="2"/>
  <c r="BP30" i="2"/>
  <c r="BN30" i="2"/>
  <c r="BL30" i="2"/>
  <c r="BK30" i="2"/>
  <c r="BJ30" i="2"/>
  <c r="BG30" i="2"/>
  <c r="BE30" i="2"/>
  <c r="BC30" i="2"/>
  <c r="BB30" i="2"/>
  <c r="BA30" i="2"/>
  <c r="AN30" i="2"/>
  <c r="CP30" i="2" s="1"/>
  <c r="AL30" i="2"/>
  <c r="CN30" i="2" s="1"/>
  <c r="AJ30" i="2"/>
  <c r="CG30" i="2" s="1"/>
  <c r="AH30" i="2"/>
  <c r="CE30" i="2" s="1"/>
  <c r="AF30" i="2"/>
  <c r="BX30" i="2" s="1"/>
  <c r="AD30" i="2"/>
  <c r="BV30" i="2" s="1"/>
  <c r="AB30" i="2"/>
  <c r="BO30" i="2" s="1"/>
  <c r="Z30" i="2"/>
  <c r="BM30" i="2" s="1"/>
  <c r="X30" i="2"/>
  <c r="BF30" i="2" s="1"/>
  <c r="V30" i="2"/>
  <c r="BD30" i="2" s="1"/>
  <c r="S30" i="2"/>
  <c r="L30" i="2"/>
  <c r="J22" i="13"/>
  <c r="BQ30" i="2" l="1"/>
  <c r="BR30" i="2" s="1"/>
  <c r="CI30" i="2"/>
  <c r="CJ30" i="2" s="1"/>
  <c r="BZ30" i="2"/>
  <c r="CA30" i="2" s="1"/>
  <c r="BH30" i="2"/>
  <c r="FR30" i="2"/>
  <c r="FS30" i="2"/>
  <c r="S34" i="31"/>
  <c r="P12" i="7" s="1"/>
  <c r="FV30" i="2"/>
  <c r="AD35" i="31"/>
  <c r="AE35" i="31"/>
  <c r="EH30" i="2"/>
  <c r="K34" i="31" s="1"/>
  <c r="I12" i="7" s="1"/>
  <c r="EG30" i="2"/>
  <c r="I34" i="31" s="1"/>
  <c r="EK30" i="2"/>
  <c r="N34" i="31" s="1"/>
  <c r="L12" i="7" s="1"/>
  <c r="EL30" i="2"/>
  <c r="EF30" i="2"/>
  <c r="Z13" i="7"/>
  <c r="Y13" i="7"/>
  <c r="X13" i="7"/>
  <c r="V34" i="31"/>
  <c r="S12" i="7" s="1"/>
  <c r="M34" i="31"/>
  <c r="K12" i="7" s="1"/>
  <c r="DJ30" i="2"/>
  <c r="DK30" i="2"/>
  <c r="CZ30" i="2"/>
  <c r="CX30" i="2"/>
  <c r="CW30" i="2"/>
  <c r="CV30" i="2"/>
  <c r="CY30" i="2"/>
  <c r="DB30" i="2"/>
  <c r="DA30" i="2"/>
  <c r="DF30" i="2"/>
  <c r="DV30" i="2"/>
  <c r="CR30" i="2"/>
  <c r="CS30" i="2" s="1"/>
  <c r="DH30" i="2"/>
  <c r="EI30" i="2" s="1"/>
  <c r="DE30" i="2"/>
  <c r="H34" i="31" l="1"/>
  <c r="G12" i="7" s="1"/>
  <c r="FU30" i="2"/>
  <c r="H12" i="7"/>
  <c r="EM30" i="2"/>
  <c r="EN30" i="2" s="1"/>
  <c r="EE30" i="2"/>
  <c r="DC30" i="2"/>
  <c r="DD30" i="2" s="1"/>
  <c r="DL30" i="2"/>
  <c r="DM30" i="2" s="1"/>
  <c r="BI30" i="2"/>
  <c r="FT30" i="2" l="1"/>
  <c r="J34" i="31"/>
  <c r="L34" i="31"/>
  <c r="Q34" i="31" l="1"/>
  <c r="N12" i="7" s="1"/>
  <c r="J12" i="7"/>
  <c r="E34" i="31"/>
  <c r="R34" i="31"/>
  <c r="O12" i="7" s="1"/>
  <c r="Z34" i="31" l="1"/>
  <c r="W12" i="7" s="1"/>
  <c r="S22" i="7"/>
  <c r="T22" i="7"/>
  <c r="U22" i="7"/>
  <c r="R22" i="7"/>
  <c r="Q22" i="7"/>
  <c r="V22" i="7"/>
  <c r="P22" i="7" l="1"/>
  <c r="J22" i="7"/>
  <c r="I22" i="7"/>
  <c r="L22" i="7"/>
  <c r="M20" i="7"/>
  <c r="AA34" i="31"/>
  <c r="AC34" i="31" s="1"/>
  <c r="G22" i="7" l="1"/>
  <c r="AD34" i="31"/>
  <c r="AE34" i="31"/>
  <c r="H22" i="7"/>
  <c r="X12" i="7"/>
  <c r="Z12" i="7"/>
  <c r="Y12" i="7" l="1"/>
  <c r="FH25" i="2" l="1"/>
  <c r="W29" i="31" s="1"/>
  <c r="T10" i="7" s="1"/>
  <c r="FG25" i="2"/>
  <c r="FF25" i="2"/>
  <c r="FE25" i="2"/>
  <c r="FC25" i="2"/>
  <c r="U29" i="31" s="1"/>
  <c r="R10" i="7" s="1"/>
  <c r="FB25" i="2"/>
  <c r="T29" i="31" s="1"/>
  <c r="Q10" i="7" s="1"/>
  <c r="FA25" i="2"/>
  <c r="FI25" i="2"/>
  <c r="V29" i="31" s="1"/>
  <c r="S10" i="7" s="1"/>
  <c r="FD25" i="2"/>
  <c r="X29" i="31" s="1"/>
  <c r="U10" i="7" s="1"/>
  <c r="DU25" i="2"/>
  <c r="DT25" i="2"/>
  <c r="DS25" i="2"/>
  <c r="DR25" i="2"/>
  <c r="DQ25" i="2"/>
  <c r="DP25" i="2"/>
  <c r="DO25" i="2"/>
  <c r="DN25" i="2"/>
  <c r="DL25" i="2"/>
  <c r="DK25" i="2"/>
  <c r="DJ25" i="2"/>
  <c r="DI25" i="2"/>
  <c r="DH25" i="2"/>
  <c r="DG25" i="2"/>
  <c r="DF25" i="2"/>
  <c r="DE25" i="2"/>
  <c r="CQ25" i="2"/>
  <c r="CO25" i="2"/>
  <c r="CM25" i="2"/>
  <c r="CL25" i="2"/>
  <c r="CK25" i="2"/>
  <c r="CH25" i="2"/>
  <c r="CF25" i="2"/>
  <c r="CD25" i="2"/>
  <c r="CC25" i="2"/>
  <c r="CB25" i="2"/>
  <c r="BY25" i="2"/>
  <c r="BW25" i="2"/>
  <c r="BU25" i="2"/>
  <c r="BT25" i="2"/>
  <c r="BS25" i="2"/>
  <c r="BP25" i="2"/>
  <c r="BN25" i="2"/>
  <c r="BL25" i="2"/>
  <c r="BK25" i="2"/>
  <c r="BJ25" i="2"/>
  <c r="BG25" i="2"/>
  <c r="BE25" i="2"/>
  <c r="BC25" i="2"/>
  <c r="BB25" i="2"/>
  <c r="BA25" i="2"/>
  <c r="AN25" i="2"/>
  <c r="CP25" i="2" s="1"/>
  <c r="AL25" i="2"/>
  <c r="CN25" i="2" s="1"/>
  <c r="AJ25" i="2"/>
  <c r="CG25" i="2" s="1"/>
  <c r="AH25" i="2"/>
  <c r="CE25" i="2" s="1"/>
  <c r="AF25" i="2"/>
  <c r="BX25" i="2" s="1"/>
  <c r="AD25" i="2"/>
  <c r="BV25" i="2" s="1"/>
  <c r="AB25" i="2"/>
  <c r="BO25" i="2" s="1"/>
  <c r="Z25" i="2"/>
  <c r="BM25" i="2" s="1"/>
  <c r="X25" i="2"/>
  <c r="BF25" i="2" s="1"/>
  <c r="V25" i="2"/>
  <c r="BD25" i="2" s="1"/>
  <c r="S25" i="2"/>
  <c r="L25" i="2"/>
  <c r="BN316" i="2"/>
  <c r="BN309" i="2"/>
  <c r="BQ321" i="2"/>
  <c r="BS321" i="2" s="1"/>
  <c r="BR314" i="2"/>
  <c r="BS314" i="2" s="1"/>
  <c r="BQ313" i="2"/>
  <c r="BR313" i="2" s="1"/>
  <c r="BS313" i="2" s="1"/>
  <c r="BH25" i="2" l="1"/>
  <c r="BQ25" i="2"/>
  <c r="BR25" i="2" s="1"/>
  <c r="CI25" i="2"/>
  <c r="CJ25" i="2" s="1"/>
  <c r="BZ25" i="2"/>
  <c r="CA25" i="2" s="1"/>
  <c r="FR25" i="2"/>
  <c r="FS25" i="2"/>
  <c r="BK84" i="2"/>
  <c r="BB84" i="2"/>
  <c r="S29" i="31"/>
  <c r="P10" i="7" s="1"/>
  <c r="FJ25" i="2"/>
  <c r="Y29" i="31" s="1"/>
  <c r="V10" i="7" s="1"/>
  <c r="EI25" i="2"/>
  <c r="L29" i="31" s="1"/>
  <c r="J10" i="7" s="1"/>
  <c r="EH25" i="2"/>
  <c r="K29" i="31" s="1"/>
  <c r="I10" i="7" s="1"/>
  <c r="EF25" i="2"/>
  <c r="EG25" i="2"/>
  <c r="I29" i="31" s="1"/>
  <c r="EK25" i="2"/>
  <c r="N29" i="31" s="1"/>
  <c r="L10" i="7" s="1"/>
  <c r="EL25" i="2"/>
  <c r="M29" i="31"/>
  <c r="K10" i="7" s="1"/>
  <c r="DV25" i="2"/>
  <c r="CZ25" i="2"/>
  <c r="DB25" i="2"/>
  <c r="DA25" i="2"/>
  <c r="CV25" i="2"/>
  <c r="CW25" i="2"/>
  <c r="DM25" i="2"/>
  <c r="CY25" i="2"/>
  <c r="CR25" i="2"/>
  <c r="CS25" i="2" s="1"/>
  <c r="CX25" i="2"/>
  <c r="FV25" i="2" l="1"/>
  <c r="H29" i="31"/>
  <c r="G10" i="7" s="1"/>
  <c r="FU25" i="2"/>
  <c r="H10" i="7"/>
  <c r="EM25" i="2"/>
  <c r="EN25" i="2" s="1"/>
  <c r="DC25" i="2"/>
  <c r="DD25" i="2" s="1"/>
  <c r="BI25" i="2"/>
  <c r="FT25" i="2" l="1"/>
  <c r="E29" i="31"/>
  <c r="J29" i="31"/>
  <c r="Q29" i="31" s="1"/>
  <c r="N10" i="7" s="1"/>
  <c r="R29" i="31"/>
  <c r="Z29" i="31" s="1"/>
  <c r="W10" i="7" s="1"/>
  <c r="O10" i="7" l="1"/>
  <c r="AA29" i="31"/>
  <c r="AC29" i="31" s="1"/>
  <c r="AD29" i="31" l="1"/>
  <c r="AE29" i="31"/>
  <c r="Z10" i="7"/>
  <c r="Y10" i="7"/>
  <c r="X10" i="7"/>
  <c r="S125" i="2" l="1"/>
  <c r="S121" i="2"/>
  <c r="BK91" i="2"/>
  <c r="EV84" i="2" l="1"/>
  <c r="EV101" i="2" s="1"/>
  <c r="EY84" i="2"/>
  <c r="EY101" i="2" s="1"/>
  <c r="CC45" i="2"/>
  <c r="CH45" i="2" l="1"/>
  <c r="FI45" i="2"/>
  <c r="V53" i="31" s="1"/>
  <c r="S17" i="7" s="1"/>
  <c r="FH45" i="2"/>
  <c r="W53" i="31" s="1"/>
  <c r="T17" i="7" s="1"/>
  <c r="FG45" i="2"/>
  <c r="FF45" i="2"/>
  <c r="FE45" i="2"/>
  <c r="FD45" i="2"/>
  <c r="X53" i="31" s="1"/>
  <c r="U17" i="7" s="1"/>
  <c r="FC45" i="2"/>
  <c r="U53" i="31" s="1"/>
  <c r="R17" i="7" s="1"/>
  <c r="FB45" i="2"/>
  <c r="T53" i="31" s="1"/>
  <c r="Q17" i="7" s="1"/>
  <c r="FA45" i="2"/>
  <c r="FJ45" i="2"/>
  <c r="Y53" i="31" s="1"/>
  <c r="V17" i="7" s="1"/>
  <c r="DU45" i="2"/>
  <c r="DT45" i="2"/>
  <c r="DS45" i="2"/>
  <c r="DR45" i="2"/>
  <c r="DQ45" i="2"/>
  <c r="DP45" i="2"/>
  <c r="DO45" i="2"/>
  <c r="DN45" i="2"/>
  <c r="DL45" i="2"/>
  <c r="DK45" i="2"/>
  <c r="DJ45" i="2"/>
  <c r="DI45" i="2"/>
  <c r="DH45" i="2"/>
  <c r="DG45" i="2"/>
  <c r="DF45" i="2"/>
  <c r="DE45" i="2"/>
  <c r="CQ45" i="2"/>
  <c r="CO45" i="2"/>
  <c r="CM45" i="2"/>
  <c r="CL45" i="2"/>
  <c r="CK45" i="2"/>
  <c r="CF45" i="2"/>
  <c r="CD45" i="2"/>
  <c r="CB45" i="2"/>
  <c r="BY45" i="2"/>
  <c r="BW45" i="2"/>
  <c r="BU45" i="2"/>
  <c r="BS45" i="2"/>
  <c r="BP45" i="2"/>
  <c r="BN45" i="2"/>
  <c r="BL45" i="2"/>
  <c r="BJ45" i="2"/>
  <c r="BG45" i="2"/>
  <c r="BE45" i="2"/>
  <c r="BC45" i="2"/>
  <c r="BA45" i="2"/>
  <c r="AN45" i="2"/>
  <c r="CP45" i="2" s="1"/>
  <c r="AL45" i="2"/>
  <c r="CN45" i="2" s="1"/>
  <c r="AJ45" i="2"/>
  <c r="CG45" i="2" s="1"/>
  <c r="AH45" i="2"/>
  <c r="CE45" i="2" s="1"/>
  <c r="AF45" i="2"/>
  <c r="BX45" i="2" s="1"/>
  <c r="AD45" i="2"/>
  <c r="BV45" i="2" s="1"/>
  <c r="AB45" i="2"/>
  <c r="BO45" i="2" s="1"/>
  <c r="Z45" i="2"/>
  <c r="BM45" i="2" s="1"/>
  <c r="X45" i="2"/>
  <c r="BF45" i="2" s="1"/>
  <c r="V45" i="2"/>
  <c r="BD45" i="2" s="1"/>
  <c r="S45" i="2"/>
  <c r="L45" i="2"/>
  <c r="CI45" i="2" l="1"/>
  <c r="CJ45" i="2" s="1"/>
  <c r="BZ45" i="2"/>
  <c r="CA45" i="2" s="1"/>
  <c r="BQ45" i="2"/>
  <c r="BR45" i="2" s="1"/>
  <c r="BH45" i="2"/>
  <c r="FR45" i="2"/>
  <c r="FS45" i="2"/>
  <c r="S53" i="31"/>
  <c r="P17" i="7" s="1"/>
  <c r="FV45" i="2"/>
  <c r="EI45" i="2"/>
  <c r="L53" i="31" s="1"/>
  <c r="J17" i="7" s="1"/>
  <c r="EH45" i="2"/>
  <c r="K53" i="31" s="1"/>
  <c r="I17" i="7" s="1"/>
  <c r="EK45" i="2"/>
  <c r="N53" i="31" s="1"/>
  <c r="L17" i="7" s="1"/>
  <c r="EL45" i="2"/>
  <c r="EF45" i="2"/>
  <c r="EG45" i="2"/>
  <c r="I53" i="31" s="1"/>
  <c r="M53" i="31"/>
  <c r="K17" i="7" s="1"/>
  <c r="CX45" i="2"/>
  <c r="CR45" i="2"/>
  <c r="CS45" i="2" s="1"/>
  <c r="CZ45" i="2"/>
  <c r="DB45" i="2"/>
  <c r="CW45" i="2"/>
  <c r="DV45" i="2"/>
  <c r="DA45" i="2"/>
  <c r="CY45" i="2"/>
  <c r="DM45" i="2"/>
  <c r="CV45" i="2"/>
  <c r="H53" i="31" l="1"/>
  <c r="E53" i="31" s="1"/>
  <c r="FU45" i="2"/>
  <c r="H17" i="7"/>
  <c r="EM45" i="2"/>
  <c r="EN45" i="2" s="1"/>
  <c r="EE45" i="2"/>
  <c r="DC45" i="2"/>
  <c r="DD45" i="2" s="1"/>
  <c r="BI45" i="2"/>
  <c r="FT45" i="2" l="1"/>
  <c r="R53" i="31"/>
  <c r="Z53" i="31" s="1"/>
  <c r="W17" i="7" s="1"/>
  <c r="G17" i="7"/>
  <c r="J53" i="31"/>
  <c r="Q53" i="31" s="1"/>
  <c r="N17" i="7" s="1"/>
  <c r="O17" i="7" l="1"/>
  <c r="AA53" i="31"/>
  <c r="AC53" i="31" s="1"/>
  <c r="BT125" i="2"/>
  <c r="AD53" i="31" l="1"/>
  <c r="AE53" i="31"/>
  <c r="Z17" i="7"/>
  <c r="Y17" i="7"/>
  <c r="X17" i="7"/>
  <c r="CC114" i="2" l="1"/>
  <c r="CC163" i="2" l="1"/>
  <c r="BK114" i="2"/>
  <c r="BB114" i="2"/>
  <c r="BA134" i="2"/>
  <c r="BA10" i="2"/>
  <c r="BA132" i="2"/>
  <c r="BK163" i="2" l="1"/>
  <c r="BB163" i="2"/>
  <c r="J97" i="2"/>
  <c r="FI132" i="2" l="1"/>
  <c r="V144" i="31" s="1"/>
  <c r="S27" i="7" s="1"/>
  <c r="FH132" i="2"/>
  <c r="W144" i="31" s="1"/>
  <c r="T27" i="7" s="1"/>
  <c r="FG132" i="2"/>
  <c r="FF132" i="2"/>
  <c r="FE132" i="2"/>
  <c r="X144" i="31"/>
  <c r="U27" i="7" s="1"/>
  <c r="FC132" i="2"/>
  <c r="U144" i="31" s="1"/>
  <c r="R27" i="7" s="1"/>
  <c r="FB132" i="2"/>
  <c r="T144" i="31" s="1"/>
  <c r="Q27" i="7" s="1"/>
  <c r="FJ132" i="2"/>
  <c r="Y144" i="31" s="1"/>
  <c r="V27" i="7" s="1"/>
  <c r="DU132" i="2"/>
  <c r="DT132" i="2"/>
  <c r="DS132" i="2"/>
  <c r="DR132" i="2"/>
  <c r="DQ132" i="2"/>
  <c r="DP132" i="2"/>
  <c r="DO132" i="2"/>
  <c r="DN132" i="2"/>
  <c r="DL132" i="2"/>
  <c r="DK132" i="2"/>
  <c r="DJ132" i="2"/>
  <c r="DI132" i="2"/>
  <c r="DH132" i="2"/>
  <c r="DG132" i="2"/>
  <c r="DF132" i="2"/>
  <c r="DE132" i="2"/>
  <c r="CQ132" i="2"/>
  <c r="CO132" i="2"/>
  <c r="CM132" i="2"/>
  <c r="CL132" i="2"/>
  <c r="CK132" i="2"/>
  <c r="CH132" i="2"/>
  <c r="CF132" i="2"/>
  <c r="CD132" i="2"/>
  <c r="CC132" i="2"/>
  <c r="CB132" i="2"/>
  <c r="BY132" i="2"/>
  <c r="BW132" i="2"/>
  <c r="BU132" i="2"/>
  <c r="BT132" i="2"/>
  <c r="BS132" i="2"/>
  <c r="BP132" i="2"/>
  <c r="BN132" i="2"/>
  <c r="BJ132" i="2"/>
  <c r="BG132" i="2"/>
  <c r="BE132" i="2"/>
  <c r="AN132" i="2"/>
  <c r="CP132" i="2" s="1"/>
  <c r="AL132" i="2"/>
  <c r="CN132" i="2" s="1"/>
  <c r="AJ132" i="2"/>
  <c r="CG132" i="2" s="1"/>
  <c r="AH132" i="2"/>
  <c r="CE132" i="2" s="1"/>
  <c r="AF132" i="2"/>
  <c r="BX132" i="2" s="1"/>
  <c r="AD132" i="2"/>
  <c r="BV132" i="2" s="1"/>
  <c r="AB132" i="2"/>
  <c r="BO132" i="2" s="1"/>
  <c r="Z132" i="2"/>
  <c r="BM132" i="2" s="1"/>
  <c r="X132" i="2"/>
  <c r="BF132" i="2" s="1"/>
  <c r="V132" i="2"/>
  <c r="BD132" i="2" s="1"/>
  <c r="S132" i="2"/>
  <c r="BG134" i="2"/>
  <c r="FI134" i="2"/>
  <c r="V146" i="31" s="1"/>
  <c r="S28" i="7" s="1"/>
  <c r="FH134" i="2"/>
  <c r="W146" i="31" s="1"/>
  <c r="T28" i="7" s="1"/>
  <c r="FG134" i="2"/>
  <c r="FF134" i="2"/>
  <c r="FE134" i="2"/>
  <c r="FC134" i="2"/>
  <c r="U146" i="31" s="1"/>
  <c r="R28" i="7" s="1"/>
  <c r="FB134" i="2"/>
  <c r="T146" i="31" s="1"/>
  <c r="Q28" i="7" s="1"/>
  <c r="FA134" i="2"/>
  <c r="FD134" i="2"/>
  <c r="X146" i="31" s="1"/>
  <c r="U28" i="7" s="1"/>
  <c r="DU134" i="2"/>
  <c r="DT134" i="2"/>
  <c r="DS134" i="2"/>
  <c r="DR134" i="2"/>
  <c r="DQ134" i="2"/>
  <c r="DP134" i="2"/>
  <c r="DO134" i="2"/>
  <c r="DN134" i="2"/>
  <c r="CZ134" i="2"/>
  <c r="CQ134" i="2"/>
  <c r="CO134" i="2"/>
  <c r="CM134" i="2"/>
  <c r="CL134" i="2"/>
  <c r="CK134" i="2"/>
  <c r="CH134" i="2"/>
  <c r="CF134" i="2"/>
  <c r="CD134" i="2"/>
  <c r="CC134" i="2"/>
  <c r="CB134" i="2"/>
  <c r="BY134" i="2"/>
  <c r="BW134" i="2"/>
  <c r="BU134" i="2"/>
  <c r="BT134" i="2"/>
  <c r="BS134" i="2"/>
  <c r="BP134" i="2"/>
  <c r="BN134" i="2"/>
  <c r="BL134" i="2"/>
  <c r="BJ134" i="2"/>
  <c r="BE134" i="2"/>
  <c r="CV134" i="2"/>
  <c r="AN134" i="2"/>
  <c r="AL134" i="2"/>
  <c r="AJ134" i="2"/>
  <c r="AH134" i="2"/>
  <c r="AF134" i="2"/>
  <c r="AD134" i="2"/>
  <c r="AB134" i="2"/>
  <c r="Z134" i="2"/>
  <c r="X134" i="2"/>
  <c r="V134" i="2"/>
  <c r="S134" i="2"/>
  <c r="CC165" i="2"/>
  <c r="CC23" i="2"/>
  <c r="CI132" i="2" l="1"/>
  <c r="CJ132" i="2" s="1"/>
  <c r="BH132" i="2"/>
  <c r="BZ132" i="2"/>
  <c r="CA132" i="2" s="1"/>
  <c r="BQ132" i="2"/>
  <c r="FS132" i="2"/>
  <c r="EL132" i="2"/>
  <c r="EH134" i="2"/>
  <c r="K146" i="31" s="1"/>
  <c r="I28" i="7" s="1"/>
  <c r="FR132" i="2"/>
  <c r="S146" i="31"/>
  <c r="P28" i="7" s="1"/>
  <c r="S144" i="31"/>
  <c r="P27" i="7" s="1"/>
  <c r="FV132" i="2"/>
  <c r="EI132" i="2"/>
  <c r="L144" i="31" s="1"/>
  <c r="J27" i="7" s="1"/>
  <c r="EH132" i="2"/>
  <c r="K144" i="31" s="1"/>
  <c r="I27" i="7" s="1"/>
  <c r="EK132" i="2"/>
  <c r="N144" i="31" s="1"/>
  <c r="L27" i="7" s="1"/>
  <c r="EG132" i="2"/>
  <c r="I144" i="31" s="1"/>
  <c r="EL134" i="2"/>
  <c r="EG134" i="2"/>
  <c r="I146" i="31" s="1"/>
  <c r="EF132" i="2"/>
  <c r="EF134" i="2"/>
  <c r="FU134" i="2" s="1"/>
  <c r="BO134" i="2"/>
  <c r="BV134" i="2"/>
  <c r="BX134" i="2"/>
  <c r="CE134" i="2"/>
  <c r="FJ134" i="2"/>
  <c r="Y146" i="31" s="1"/>
  <c r="V28" i="7" s="1"/>
  <c r="CG134" i="2"/>
  <c r="CN134" i="2"/>
  <c r="CP134" i="2"/>
  <c r="CX134" i="2"/>
  <c r="BD134" i="2"/>
  <c r="BF134" i="2"/>
  <c r="BM134" i="2"/>
  <c r="DK134" i="2"/>
  <c r="DI134" i="2"/>
  <c r="DF134" i="2"/>
  <c r="CR132" i="2"/>
  <c r="CS132" i="2" s="1"/>
  <c r="DG134" i="2"/>
  <c r="CX132" i="2"/>
  <c r="DE134" i="2"/>
  <c r="DB132" i="2"/>
  <c r="DM132" i="2"/>
  <c r="DA132" i="2"/>
  <c r="DV132" i="2"/>
  <c r="CV132" i="2"/>
  <c r="CY132" i="2"/>
  <c r="CZ132" i="2"/>
  <c r="CW132" i="2"/>
  <c r="DB134" i="2"/>
  <c r="CW134" i="2"/>
  <c r="DV134" i="2"/>
  <c r="DA134" i="2"/>
  <c r="BZ134" i="2" l="1"/>
  <c r="CA134" i="2" s="1"/>
  <c r="BH134" i="2"/>
  <c r="CI134" i="2"/>
  <c r="CJ134" i="2" s="1"/>
  <c r="BQ134" i="2"/>
  <c r="FS134" i="2"/>
  <c r="FR134" i="2"/>
  <c r="FV134" i="2"/>
  <c r="H144" i="31"/>
  <c r="E144" i="31" s="1"/>
  <c r="FU132" i="2"/>
  <c r="H28" i="7"/>
  <c r="H27" i="7"/>
  <c r="EK134" i="2"/>
  <c r="N146" i="31" s="1"/>
  <c r="L28" i="7" s="1"/>
  <c r="EM132" i="2"/>
  <c r="EN132" i="2" s="1"/>
  <c r="H146" i="31"/>
  <c r="BI132" i="2"/>
  <c r="CR134" i="2"/>
  <c r="CS134" i="2" s="1"/>
  <c r="DJ134" i="2"/>
  <c r="CY134" i="2"/>
  <c r="DH134" i="2"/>
  <c r="EI134" i="2" s="1"/>
  <c r="DC132" i="2"/>
  <c r="DD132" i="2" s="1"/>
  <c r="BR132" i="2"/>
  <c r="DC134" i="2"/>
  <c r="FT132" i="2" l="1"/>
  <c r="R144" i="31"/>
  <c r="Z144" i="31" s="1"/>
  <c r="W27" i="7" s="1"/>
  <c r="J144" i="31"/>
  <c r="Q144" i="31" s="1"/>
  <c r="N27" i="7" s="1"/>
  <c r="G27" i="7"/>
  <c r="G28" i="7"/>
  <c r="J146" i="31"/>
  <c r="L146" i="31"/>
  <c r="J28" i="7" s="1"/>
  <c r="EM134" i="2"/>
  <c r="EN134" i="2" s="1"/>
  <c r="DL134" i="2"/>
  <c r="BR134" i="2"/>
  <c r="BI134" i="2"/>
  <c r="DD134" i="2"/>
  <c r="FT134" i="2" l="1"/>
  <c r="O27" i="7"/>
  <c r="E146" i="31"/>
  <c r="R146" i="31"/>
  <c r="Z146" i="31" s="1"/>
  <c r="W28" i="7" s="1"/>
  <c r="Q146" i="31"/>
  <c r="N28" i="7" s="1"/>
  <c r="AA144" i="31"/>
  <c r="AC144" i="31" s="1"/>
  <c r="DM134" i="2"/>
  <c r="AD144" i="31" l="1"/>
  <c r="AE144" i="31"/>
  <c r="O28" i="7"/>
  <c r="Z27" i="7"/>
  <c r="Y27" i="7"/>
  <c r="X27" i="7"/>
  <c r="AA146" i="31"/>
  <c r="AC146" i="31" s="1"/>
  <c r="DU139" i="2"/>
  <c r="DT139" i="2"/>
  <c r="DS139" i="2"/>
  <c r="DR139" i="2"/>
  <c r="DQ139" i="2"/>
  <c r="DP139" i="2"/>
  <c r="DO139" i="2"/>
  <c r="DN139" i="2"/>
  <c r="DL139" i="2"/>
  <c r="DK139" i="2"/>
  <c r="DJ139" i="2"/>
  <c r="DI139" i="2"/>
  <c r="DH139" i="2"/>
  <c r="DG139" i="2"/>
  <c r="DF139" i="2"/>
  <c r="DE139" i="2"/>
  <c r="DU129" i="2"/>
  <c r="DT129" i="2"/>
  <c r="DS129" i="2"/>
  <c r="DR129" i="2"/>
  <c r="DR135" i="2" s="1"/>
  <c r="DQ129" i="2"/>
  <c r="DQ135" i="2" s="1"/>
  <c r="DP129" i="2"/>
  <c r="DP135" i="2" s="1"/>
  <c r="DO129" i="2"/>
  <c r="DO135" i="2" s="1"/>
  <c r="DN129" i="2"/>
  <c r="DN135" i="2" s="1"/>
  <c r="DL129" i="2"/>
  <c r="DL135" i="2" s="1"/>
  <c r="DK129" i="2"/>
  <c r="DK135" i="2" s="1"/>
  <c r="DJ129" i="2"/>
  <c r="DJ135" i="2" s="1"/>
  <c r="DI129" i="2"/>
  <c r="DH129" i="2"/>
  <c r="DG129" i="2"/>
  <c r="DF129" i="2"/>
  <c r="DE129" i="2"/>
  <c r="DE135" i="2" s="1"/>
  <c r="DU125" i="2"/>
  <c r="DT125" i="2"/>
  <c r="DS125" i="2"/>
  <c r="DR125" i="2"/>
  <c r="DQ125" i="2"/>
  <c r="DP125" i="2"/>
  <c r="DO125" i="2"/>
  <c r="DN125" i="2"/>
  <c r="DU121" i="2"/>
  <c r="DT121" i="2"/>
  <c r="DS121" i="2"/>
  <c r="DR121" i="2"/>
  <c r="DQ121" i="2"/>
  <c r="DP121" i="2"/>
  <c r="DO121" i="2"/>
  <c r="DN121" i="2"/>
  <c r="DU117" i="2"/>
  <c r="DT117" i="2"/>
  <c r="DS117" i="2"/>
  <c r="DR117" i="2"/>
  <c r="DQ117" i="2"/>
  <c r="DP117" i="2"/>
  <c r="DO117" i="2"/>
  <c r="DN117" i="2"/>
  <c r="DL117" i="2"/>
  <c r="DK117" i="2"/>
  <c r="DJ117" i="2"/>
  <c r="DI117" i="2"/>
  <c r="DH117" i="2"/>
  <c r="DG117" i="2"/>
  <c r="DF117" i="2"/>
  <c r="DE117" i="2"/>
  <c r="DU114" i="2"/>
  <c r="DT114" i="2"/>
  <c r="DS114" i="2"/>
  <c r="DR114" i="2"/>
  <c r="DQ114" i="2"/>
  <c r="DP114" i="2"/>
  <c r="DO114" i="2"/>
  <c r="DN114" i="2"/>
  <c r="DC114" i="2"/>
  <c r="DB114" i="2"/>
  <c r="DA114" i="2"/>
  <c r="CZ114" i="2"/>
  <c r="CY114" i="2"/>
  <c r="CX114" i="2"/>
  <c r="CW114" i="2"/>
  <c r="CV114" i="2"/>
  <c r="BZ218" i="2"/>
  <c r="BY218" i="2"/>
  <c r="BX218" i="2"/>
  <c r="BW218" i="2"/>
  <c r="BT218" i="2"/>
  <c r="BS218" i="2"/>
  <c r="BQ218" i="2"/>
  <c r="P99" i="31"/>
  <c r="BO218" i="2"/>
  <c r="BN218" i="2"/>
  <c r="BK218" i="2"/>
  <c r="BJ218" i="2"/>
  <c r="DU87" i="2"/>
  <c r="BZ216" i="2" s="1"/>
  <c r="DT87" i="2"/>
  <c r="BY216" i="2" s="1"/>
  <c r="DS87" i="2"/>
  <c r="BX216" i="2" s="1"/>
  <c r="DR87" i="2"/>
  <c r="BW216" i="2" s="1"/>
  <c r="DQ87" i="2"/>
  <c r="BV216" i="2" s="1"/>
  <c r="DP87" i="2"/>
  <c r="BU216" i="2" s="1"/>
  <c r="DO87" i="2"/>
  <c r="BT216" i="2" s="1"/>
  <c r="DN87" i="2"/>
  <c r="BS216" i="2" s="1"/>
  <c r="DL87" i="2"/>
  <c r="BQ216" i="2" s="1"/>
  <c r="DK87" i="2"/>
  <c r="DJ87" i="2"/>
  <c r="BO216" i="2" s="1"/>
  <c r="DI87" i="2"/>
  <c r="BN216" i="2" s="1"/>
  <c r="DH87" i="2"/>
  <c r="BM216" i="2" s="1"/>
  <c r="DG87" i="2"/>
  <c r="BL216" i="2" s="1"/>
  <c r="DF87" i="2"/>
  <c r="BK216" i="2" s="1"/>
  <c r="DE87" i="2"/>
  <c r="BJ216" i="2" s="1"/>
  <c r="DU86" i="2"/>
  <c r="DT86" i="2"/>
  <c r="DS86" i="2"/>
  <c r="DR86" i="2"/>
  <c r="DQ86" i="2"/>
  <c r="DP86" i="2"/>
  <c r="DO86" i="2"/>
  <c r="DN86" i="2"/>
  <c r="DL86" i="2"/>
  <c r="DK86" i="2"/>
  <c r="DJ86" i="2"/>
  <c r="DI86" i="2"/>
  <c r="DH86" i="2"/>
  <c r="DG86" i="2"/>
  <c r="DF86" i="2"/>
  <c r="DE86" i="2"/>
  <c r="DU83" i="2"/>
  <c r="BZ212" i="2" s="1"/>
  <c r="DT83" i="2"/>
  <c r="BY212" i="2" s="1"/>
  <c r="DS83" i="2"/>
  <c r="BX212" i="2" s="1"/>
  <c r="DR83" i="2"/>
  <c r="BW212" i="2" s="1"/>
  <c r="DQ83" i="2"/>
  <c r="DP83" i="2"/>
  <c r="DO83" i="2"/>
  <c r="BT212" i="2" s="1"/>
  <c r="DN83" i="2"/>
  <c r="BS212" i="2" s="1"/>
  <c r="DC83" i="2"/>
  <c r="BH212" i="2" s="1"/>
  <c r="DB83" i="2"/>
  <c r="BG212" i="2" s="1"/>
  <c r="DA83" i="2"/>
  <c r="BF212" i="2" s="1"/>
  <c r="CZ83" i="2"/>
  <c r="BE212" i="2" s="1"/>
  <c r="CY83" i="2"/>
  <c r="CX83" i="2"/>
  <c r="CW83" i="2"/>
  <c r="BB212" i="2" s="1"/>
  <c r="CV83" i="2"/>
  <c r="BA212" i="2" s="1"/>
  <c r="BV211" i="2"/>
  <c r="BU211" i="2"/>
  <c r="BD211" i="2"/>
  <c r="BC211" i="2"/>
  <c r="DU91" i="2" l="1"/>
  <c r="DT91" i="2"/>
  <c r="DS91" i="2"/>
  <c r="DR91" i="2"/>
  <c r="DO91" i="2"/>
  <c r="DN91" i="2"/>
  <c r="DL91" i="2"/>
  <c r="DK91" i="2"/>
  <c r="P100" i="31" s="1"/>
  <c r="DJ91" i="2"/>
  <c r="DI91" i="2"/>
  <c r="DF91" i="2"/>
  <c r="DE91" i="2"/>
  <c r="BV215" i="2"/>
  <c r="DQ91" i="2"/>
  <c r="BU215" i="2"/>
  <c r="DP91" i="2"/>
  <c r="BM215" i="2"/>
  <c r="DH91" i="2"/>
  <c r="BL215" i="2"/>
  <c r="DG91" i="2"/>
  <c r="R99" i="31"/>
  <c r="Q99" i="31"/>
  <c r="M37" i="7"/>
  <c r="AD146" i="31"/>
  <c r="AE146" i="31"/>
  <c r="DS126" i="2"/>
  <c r="DT126" i="2"/>
  <c r="DU126" i="2"/>
  <c r="BX215" i="2"/>
  <c r="BY222" i="2"/>
  <c r="DT97" i="2"/>
  <c r="BW211" i="2"/>
  <c r="DR84" i="2"/>
  <c r="BY211" i="2"/>
  <c r="DT84" i="2"/>
  <c r="BP215" i="2"/>
  <c r="BG222" i="2"/>
  <c r="DB97" i="2"/>
  <c r="DP126" i="2"/>
  <c r="DG135" i="2"/>
  <c r="DT135" i="2"/>
  <c r="BW222" i="2"/>
  <c r="DR97" i="2"/>
  <c r="BY215" i="2"/>
  <c r="BN215" i="2"/>
  <c r="BE222" i="2"/>
  <c r="CZ97" i="2"/>
  <c r="DO126" i="2"/>
  <c r="DF135" i="2"/>
  <c r="DQ126" i="2"/>
  <c r="DH135" i="2"/>
  <c r="DU135" i="2"/>
  <c r="BF211" i="2"/>
  <c r="DA84" i="2"/>
  <c r="BG211" i="2"/>
  <c r="DB84" i="2"/>
  <c r="BW215" i="2"/>
  <c r="BX222" i="2"/>
  <c r="DS97" i="2"/>
  <c r="DN126" i="2"/>
  <c r="BX211" i="2"/>
  <c r="DS84" i="2"/>
  <c r="BO215" i="2"/>
  <c r="BF222" i="2"/>
  <c r="DA97" i="2"/>
  <c r="DS135" i="2"/>
  <c r="BE211" i="2"/>
  <c r="CZ84" i="2"/>
  <c r="DR126" i="2"/>
  <c r="DI135" i="2"/>
  <c r="BU222" i="2"/>
  <c r="DP97" i="2"/>
  <c r="BV222" i="2"/>
  <c r="DQ97" i="2"/>
  <c r="BC222" i="2"/>
  <c r="CX97" i="2"/>
  <c r="BD222" i="2"/>
  <c r="CY97" i="2"/>
  <c r="BM218" i="2"/>
  <c r="BL218" i="2"/>
  <c r="BU218" i="2"/>
  <c r="BV218" i="2"/>
  <c r="BD212" i="2"/>
  <c r="CY84" i="2"/>
  <c r="BC212" i="2"/>
  <c r="CX84" i="2"/>
  <c r="BU212" i="2"/>
  <c r="DP84" i="2"/>
  <c r="BV212" i="2"/>
  <c r="DQ84" i="2"/>
  <c r="BT222" i="2"/>
  <c r="DO97" i="2"/>
  <c r="BA222" i="2"/>
  <c r="CV97" i="2"/>
  <c r="BB222" i="2"/>
  <c r="CW97" i="2"/>
  <c r="BZ222" i="2"/>
  <c r="DU97" i="2"/>
  <c r="BH222" i="2"/>
  <c r="DC97" i="2"/>
  <c r="BS222" i="2"/>
  <c r="DN97" i="2"/>
  <c r="BK215" i="2"/>
  <c r="BZ215" i="2"/>
  <c r="BT215" i="2"/>
  <c r="BJ215" i="2"/>
  <c r="BQ215" i="2"/>
  <c r="BS215" i="2"/>
  <c r="BB211" i="2"/>
  <c r="CW84" i="2"/>
  <c r="BA211" i="2"/>
  <c r="CV84" i="2"/>
  <c r="BZ211" i="2"/>
  <c r="DU84" i="2"/>
  <c r="BH211" i="2"/>
  <c r="DC84" i="2"/>
  <c r="BS211" i="2"/>
  <c r="DN84" i="2"/>
  <c r="DO84" i="2"/>
  <c r="Z28" i="7"/>
  <c r="Y28" i="7"/>
  <c r="X28" i="7"/>
  <c r="P101" i="31"/>
  <c r="M21" i="7" s="1"/>
  <c r="BP218" i="2"/>
  <c r="BP216" i="2"/>
  <c r="M95" i="31"/>
  <c r="DD114" i="2"/>
  <c r="DD83" i="2"/>
  <c r="BI212" i="2" s="1"/>
  <c r="DV125" i="2"/>
  <c r="DV87" i="2"/>
  <c r="CA216" i="2" s="1"/>
  <c r="DV114" i="2"/>
  <c r="DV117" i="2"/>
  <c r="DV129" i="2"/>
  <c r="DV135" i="2" s="1"/>
  <c r="DM87" i="2"/>
  <c r="BR216" i="2" s="1"/>
  <c r="DM86" i="2"/>
  <c r="CA218" i="2"/>
  <c r="DV139" i="2"/>
  <c r="DV121" i="2"/>
  <c r="BR218" i="2"/>
  <c r="DM117" i="2"/>
  <c r="DM129" i="2"/>
  <c r="DM139" i="2"/>
  <c r="DV83" i="2"/>
  <c r="CA212" i="2" s="1"/>
  <c r="DV86" i="2"/>
  <c r="DM91" i="2" l="1"/>
  <c r="DV91" i="2"/>
  <c r="Q100" i="31"/>
  <c r="R100" i="31"/>
  <c r="M41" i="7"/>
  <c r="DS101" i="2"/>
  <c r="N37" i="7"/>
  <c r="Z99" i="31"/>
  <c r="W37" i="7" s="1"/>
  <c r="O37" i="7"/>
  <c r="DV126" i="2"/>
  <c r="DT101" i="2"/>
  <c r="DM135" i="2"/>
  <c r="DR101" i="2"/>
  <c r="DO101" i="2"/>
  <c r="DQ101" i="2"/>
  <c r="DN101" i="2"/>
  <c r="DP101" i="2"/>
  <c r="DU101" i="2"/>
  <c r="BI222" i="2"/>
  <c r="DD97" i="2"/>
  <c r="CA222" i="2"/>
  <c r="DV97" i="2"/>
  <c r="BR215" i="2"/>
  <c r="CA215" i="2"/>
  <c r="CA211" i="2"/>
  <c r="DV84" i="2"/>
  <c r="BI211" i="2"/>
  <c r="DD84" i="2"/>
  <c r="CO196" i="2"/>
  <c r="CO244" i="2" s="1"/>
  <c r="BZ196" i="2"/>
  <c r="BY196" i="2"/>
  <c r="BX196" i="2"/>
  <c r="BW196" i="2"/>
  <c r="BV196" i="2"/>
  <c r="BU196" i="2"/>
  <c r="BT196" i="2"/>
  <c r="BS196" i="2"/>
  <c r="BQ196" i="2"/>
  <c r="BP196" i="2"/>
  <c r="L57" i="2"/>
  <c r="Z100" i="31" l="1"/>
  <c r="W41" i="7" s="1"/>
  <c r="O41" i="7"/>
  <c r="N41" i="7"/>
  <c r="AA99" i="31"/>
  <c r="AC99" i="31" s="1"/>
  <c r="DV101" i="2"/>
  <c r="CQ196" i="2"/>
  <c r="CQ244" i="2" s="1"/>
  <c r="CB196" i="2"/>
  <c r="BK196" i="2"/>
  <c r="BJ196" i="2"/>
  <c r="BL196" i="2"/>
  <c r="BM196" i="2"/>
  <c r="BO196" i="2"/>
  <c r="CC196" i="2"/>
  <c r="BN196" i="2"/>
  <c r="CD196" i="2"/>
  <c r="CF196" i="2"/>
  <c r="CG196" i="2"/>
  <c r="CH196" i="2"/>
  <c r="CE196" i="2"/>
  <c r="CA196" i="2"/>
  <c r="BR196" i="2"/>
  <c r="AA100" i="31" l="1"/>
  <c r="AC100" i="31" s="1"/>
  <c r="Z37" i="7"/>
  <c r="Y37" i="7"/>
  <c r="X37" i="7"/>
  <c r="CP196" i="2"/>
  <c r="CP244" i="2" s="1"/>
  <c r="CM196" i="2"/>
  <c r="CM244" i="2" s="1"/>
  <c r="CI196" i="2"/>
  <c r="BC196" i="2"/>
  <c r="BF196" i="2"/>
  <c r="BG196" i="2"/>
  <c r="BD196" i="2"/>
  <c r="BE196" i="2"/>
  <c r="BB196" i="2"/>
  <c r="BA196" i="2"/>
  <c r="Z41" i="7" l="1"/>
  <c r="Y41" i="7"/>
  <c r="X41" i="7"/>
  <c r="CN196" i="2"/>
  <c r="CN244" i="2" s="1"/>
  <c r="CJ196" i="2"/>
  <c r="BI196" i="2"/>
  <c r="BH196" i="2"/>
  <c r="T150" i="2" l="1"/>
  <c r="K84" i="2"/>
  <c r="J84" i="2"/>
  <c r="FI83" i="2"/>
  <c r="V94" i="31" s="1"/>
  <c r="S19" i="7" s="1"/>
  <c r="FH83" i="2"/>
  <c r="W94" i="31" s="1"/>
  <c r="T19" i="7" s="1"/>
  <c r="FG83" i="2"/>
  <c r="FF83" i="2"/>
  <c r="FE83" i="2"/>
  <c r="FD83" i="2"/>
  <c r="X94" i="31" s="1"/>
  <c r="U19" i="7" s="1"/>
  <c r="FC83" i="2"/>
  <c r="U94" i="31" s="1"/>
  <c r="R19" i="7" s="1"/>
  <c r="FB83" i="2"/>
  <c r="T94" i="31" s="1"/>
  <c r="Q19" i="7" s="1"/>
  <c r="FA83" i="2"/>
  <c r="FJ83" i="2"/>
  <c r="Y94" i="31" s="1"/>
  <c r="V19" i="7" s="1"/>
  <c r="CQ83" i="2"/>
  <c r="CO83" i="2"/>
  <c r="CL83" i="2"/>
  <c r="CK83" i="2"/>
  <c r="CH83" i="2"/>
  <c r="CF83" i="2"/>
  <c r="CD83" i="2"/>
  <c r="CC83" i="2"/>
  <c r="CB83" i="2"/>
  <c r="BY83" i="2"/>
  <c r="BW83" i="2"/>
  <c r="BU83" i="2"/>
  <c r="BS83" i="2"/>
  <c r="BN83" i="2"/>
  <c r="BJ83" i="2"/>
  <c r="BG83" i="2"/>
  <c r="BE83" i="2"/>
  <c r="BC83" i="2"/>
  <c r="BA83" i="2"/>
  <c r="AN83" i="2"/>
  <c r="CP83" i="2" s="1"/>
  <c r="AL83" i="2"/>
  <c r="CN83" i="2" s="1"/>
  <c r="AJ83" i="2"/>
  <c r="CG83" i="2" s="1"/>
  <c r="AH83" i="2"/>
  <c r="CE83" i="2" s="1"/>
  <c r="AF83" i="2"/>
  <c r="BX83" i="2" s="1"/>
  <c r="AD83" i="2"/>
  <c r="BV83" i="2" s="1"/>
  <c r="AB83" i="2"/>
  <c r="BO83" i="2" s="1"/>
  <c r="Z83" i="2"/>
  <c r="X83" i="2"/>
  <c r="BF83" i="2" s="1"/>
  <c r="V83" i="2"/>
  <c r="BD83" i="2" s="1"/>
  <c r="S83" i="2"/>
  <c r="L83" i="2"/>
  <c r="BK23" i="2"/>
  <c r="BB125" i="2"/>
  <c r="BB23" i="2"/>
  <c r="CI83" i="2" l="1"/>
  <c r="CJ83" i="2" s="1"/>
  <c r="BZ83" i="2"/>
  <c r="CA83" i="2" s="1"/>
  <c r="BH83" i="2"/>
  <c r="FS83" i="2"/>
  <c r="S94" i="31"/>
  <c r="P19" i="7" s="1"/>
  <c r="FV83" i="2"/>
  <c r="BM83" i="2"/>
  <c r="EG83" i="2"/>
  <c r="I94" i="31" s="1"/>
  <c r="EH83" i="2"/>
  <c r="K94" i="31" s="1"/>
  <c r="I19" i="7" s="1"/>
  <c r="EF83" i="2"/>
  <c r="FU83" i="2" s="1"/>
  <c r="EK83" i="2"/>
  <c r="N94" i="31" s="1"/>
  <c r="L19" i="7" s="1"/>
  <c r="EL83" i="2"/>
  <c r="DF83" i="2"/>
  <c r="BK212" i="2" s="1"/>
  <c r="DG83" i="2"/>
  <c r="DI83" i="2"/>
  <c r="BN212" i="2" s="1"/>
  <c r="DH83" i="2"/>
  <c r="DJ83" i="2"/>
  <c r="BO212" i="2" s="1"/>
  <c r="DE83" i="2"/>
  <c r="BJ212" i="2" s="1"/>
  <c r="DK83" i="2"/>
  <c r="BP212" i="2" s="1"/>
  <c r="CR83" i="2"/>
  <c r="CS83" i="2" s="1"/>
  <c r="BB171" i="2"/>
  <c r="E27" i="7"/>
  <c r="FR83" i="2" l="1"/>
  <c r="BQ83" i="2"/>
  <c r="BR83" i="2" s="1"/>
  <c r="H94" i="31"/>
  <c r="J94" i="31" s="1"/>
  <c r="H19" i="7"/>
  <c r="BL212" i="2"/>
  <c r="BM212" i="2"/>
  <c r="EI83" i="2"/>
  <c r="P94" i="31"/>
  <c r="M19" i="7" s="1"/>
  <c r="EE83" i="2"/>
  <c r="CJ212" i="2" s="1"/>
  <c r="DL83" i="2"/>
  <c r="BI83" i="2"/>
  <c r="G19" i="7" l="1"/>
  <c r="EM83" i="2"/>
  <c r="EN83" i="2" s="1"/>
  <c r="FT83" i="2" s="1"/>
  <c r="DM83" i="2"/>
  <c r="BR212" i="2" s="1"/>
  <c r="BQ212" i="2"/>
  <c r="L94" i="31"/>
  <c r="E94" i="31" l="1"/>
  <c r="R94" i="31"/>
  <c r="J19" i="7"/>
  <c r="Q94" i="31"/>
  <c r="FI121" i="2"/>
  <c r="FH121" i="2"/>
  <c r="FF121" i="2"/>
  <c r="FE121" i="2"/>
  <c r="FD121" i="2"/>
  <c r="FC121" i="2"/>
  <c r="FB121" i="2"/>
  <c r="FA121" i="2"/>
  <c r="FG121" i="2"/>
  <c r="CL121" i="2"/>
  <c r="CK121" i="2"/>
  <c r="CC121" i="2"/>
  <c r="CB121" i="2"/>
  <c r="BY121" i="2"/>
  <c r="BW121" i="2"/>
  <c r="BU121" i="2"/>
  <c r="BT121" i="2"/>
  <c r="BS121" i="2"/>
  <c r="BP121" i="2"/>
  <c r="BN121" i="2"/>
  <c r="BL121" i="2"/>
  <c r="BK121" i="2"/>
  <c r="BJ121" i="2"/>
  <c r="BG121" i="2"/>
  <c r="BE121" i="2"/>
  <c r="BB121" i="2"/>
  <c r="BA121" i="2"/>
  <c r="AN121" i="2"/>
  <c r="CP121" i="2" s="1"/>
  <c r="AL121" i="2"/>
  <c r="CN121" i="2" s="1"/>
  <c r="AJ121" i="2"/>
  <c r="CG121" i="2" s="1"/>
  <c r="AH121" i="2"/>
  <c r="CE121" i="2" s="1"/>
  <c r="AF121" i="2"/>
  <c r="BX121" i="2" s="1"/>
  <c r="AD121" i="2"/>
  <c r="BV121" i="2" s="1"/>
  <c r="AB121" i="2"/>
  <c r="BO121" i="2" s="1"/>
  <c r="Z121" i="2"/>
  <c r="BM121" i="2" s="1"/>
  <c r="X121" i="2"/>
  <c r="BF121" i="2" s="1"/>
  <c r="V121" i="2"/>
  <c r="BD121" i="2" s="1"/>
  <c r="L121" i="2"/>
  <c r="CI121" i="2" l="1"/>
  <c r="CJ121" i="2" s="1"/>
  <c r="BZ121" i="2"/>
  <c r="CA121" i="2" s="1"/>
  <c r="BQ121" i="2"/>
  <c r="BH121" i="2"/>
  <c r="FS121" i="2"/>
  <c r="FR121" i="2"/>
  <c r="EH121" i="2"/>
  <c r="K132" i="31" s="1"/>
  <c r="I24" i="7" s="1"/>
  <c r="EG121" i="2"/>
  <c r="I132" i="31" s="1"/>
  <c r="EK121" i="2"/>
  <c r="N132" i="31" s="1"/>
  <c r="L24" i="7" s="1"/>
  <c r="EF121" i="2"/>
  <c r="FU121" i="2" s="1"/>
  <c r="EL121" i="2"/>
  <c r="N19" i="7"/>
  <c r="Z94" i="31"/>
  <c r="W19" i="7" s="1"/>
  <c r="O19" i="7"/>
  <c r="X132" i="31"/>
  <c r="U24" i="7" s="1"/>
  <c r="V132" i="31"/>
  <c r="S24" i="7" s="1"/>
  <c r="T132" i="31"/>
  <c r="Q24" i="7" s="1"/>
  <c r="U132" i="31"/>
  <c r="R24" i="7" s="1"/>
  <c r="W132" i="31"/>
  <c r="T24" i="7" s="1"/>
  <c r="S132" i="31"/>
  <c r="P24" i="7" s="1"/>
  <c r="DK121" i="2"/>
  <c r="DH121" i="2"/>
  <c r="DG121" i="2"/>
  <c r="DJ121" i="2"/>
  <c r="DI121" i="2"/>
  <c r="DE121" i="2"/>
  <c r="DF121" i="2"/>
  <c r="CV121" i="2"/>
  <c r="CW121" i="2"/>
  <c r="CX121" i="2"/>
  <c r="DA121" i="2"/>
  <c r="CZ121" i="2"/>
  <c r="DB121" i="2"/>
  <c r="CY121" i="2"/>
  <c r="CR121" i="2"/>
  <c r="CS121" i="2" s="1"/>
  <c r="FJ121" i="2"/>
  <c r="FV121" i="2" s="1"/>
  <c r="H132" i="31" l="1"/>
  <c r="G24" i="7" s="1"/>
  <c r="H24" i="7"/>
  <c r="EI121" i="2"/>
  <c r="L132" i="31" s="1"/>
  <c r="J24" i="7" s="1"/>
  <c r="EM121" i="2"/>
  <c r="AA94" i="31"/>
  <c r="AC94" i="31" s="1"/>
  <c r="Y132" i="31"/>
  <c r="V24" i="7" s="1"/>
  <c r="EE121" i="2"/>
  <c r="DL121" i="2"/>
  <c r="DC121" i="2"/>
  <c r="DD121" i="2" s="1"/>
  <c r="BR121" i="2"/>
  <c r="BI121" i="2"/>
  <c r="AB95" i="31" l="1"/>
  <c r="J132" i="31"/>
  <c r="AE94" i="31"/>
  <c r="E132" i="31"/>
  <c r="EN121" i="2"/>
  <c r="FT121" i="2" s="1"/>
  <c r="DM121" i="2"/>
  <c r="Y19" i="7"/>
  <c r="X19" i="7"/>
  <c r="R132" i="31"/>
  <c r="O24" i="7" s="1"/>
  <c r="AD94" i="31" l="1"/>
  <c r="Z19" i="7"/>
  <c r="Z132" i="31"/>
  <c r="W24" i="7" s="1"/>
  <c r="Q132" i="31"/>
  <c r="N24" i="7" s="1"/>
  <c r="AA132" i="31" l="1"/>
  <c r="AC132" i="31" s="1"/>
  <c r="AD132" i="31" l="1"/>
  <c r="AE132" i="31"/>
  <c r="X24" i="7"/>
  <c r="Y24" i="7"/>
  <c r="Z24" i="7"/>
  <c r="E40" i="29" l="1"/>
  <c r="K22" i="29"/>
  <c r="J20" i="29"/>
  <c r="J22" i="29" s="1"/>
  <c r="K7" i="29"/>
  <c r="J24" i="29" l="1"/>
  <c r="EV135" i="2" l="1"/>
  <c r="EY129" i="2"/>
  <c r="EY135" i="2" s="1"/>
  <c r="E26" i="7"/>
  <c r="G157" i="2" l="1"/>
  <c r="H182" i="2"/>
  <c r="H181" i="2"/>
  <c r="G158" i="2" l="1"/>
  <c r="CC41" i="2"/>
  <c r="G159" i="2" l="1"/>
  <c r="EY12" i="2"/>
  <c r="CO197" i="2"/>
  <c r="EX76" i="2"/>
  <c r="EX79" i="2" s="1"/>
  <c r="EX148" i="2" s="1"/>
  <c r="EX150" i="2" s="1"/>
  <c r="EX151" i="2" s="1"/>
  <c r="EW76" i="2"/>
  <c r="EW79" i="2" s="1"/>
  <c r="EW148" i="2" s="1"/>
  <c r="EW150" i="2" s="1"/>
  <c r="EW151" i="2" s="1"/>
  <c r="EV76" i="2"/>
  <c r="EV79" i="2" s="1"/>
  <c r="ET76" i="2"/>
  <c r="ES76" i="2"/>
  <c r="ES79" i="2" s="1"/>
  <c r="ES148" i="2" s="1"/>
  <c r="ES150" i="2" s="1"/>
  <c r="ES151" i="2" s="1"/>
  <c r="ER76" i="2"/>
  <c r="EQ76" i="2"/>
  <c r="EP76" i="2"/>
  <c r="EP79" i="2" s="1"/>
  <c r="EP148" i="2" s="1"/>
  <c r="AZ76" i="2"/>
  <c r="AZ79" i="2" s="1"/>
  <c r="AZ148" i="2" s="1"/>
  <c r="AZ150" i="2" s="1"/>
  <c r="AZ151" i="2" s="1"/>
  <c r="AY76" i="2"/>
  <c r="AY79" i="2" s="1"/>
  <c r="AY148" i="2" s="1"/>
  <c r="AY150" i="2" s="1"/>
  <c r="AY151" i="2" s="1"/>
  <c r="AX76" i="2"/>
  <c r="AX79" i="2" s="1"/>
  <c r="AX148" i="2" s="1"/>
  <c r="AX150" i="2" s="1"/>
  <c r="AX151" i="2" s="1"/>
  <c r="AW76" i="2"/>
  <c r="AW79" i="2" s="1"/>
  <c r="AW148" i="2" s="1"/>
  <c r="AW150" i="2" s="1"/>
  <c r="AW151" i="2" s="1"/>
  <c r="AV76" i="2"/>
  <c r="AV79" i="2" s="1"/>
  <c r="AV148" i="2" s="1"/>
  <c r="AV150" i="2" s="1"/>
  <c r="AV151" i="2" s="1"/>
  <c r="AU76" i="2"/>
  <c r="AU79" i="2" s="1"/>
  <c r="AU148" i="2" s="1"/>
  <c r="AU150" i="2" s="1"/>
  <c r="AU151" i="2" s="1"/>
  <c r="AT76" i="2"/>
  <c r="AT79" i="2" s="1"/>
  <c r="AT148" i="2" s="1"/>
  <c r="AT150" i="2" s="1"/>
  <c r="AT151" i="2" s="1"/>
  <c r="AS76" i="2"/>
  <c r="AS79" i="2" s="1"/>
  <c r="AS148" i="2" s="1"/>
  <c r="AS150" i="2" s="1"/>
  <c r="AS151" i="2" s="1"/>
  <c r="AR76" i="2"/>
  <c r="AR79" i="2" s="1"/>
  <c r="AR148" i="2" s="1"/>
  <c r="AR150" i="2" s="1"/>
  <c r="AR151" i="2" s="1"/>
  <c r="AQ76" i="2"/>
  <c r="AQ79" i="2" s="1"/>
  <c r="AQ148" i="2" s="1"/>
  <c r="AQ150" i="2" s="1"/>
  <c r="AQ151" i="2" s="1"/>
  <c r="AP76" i="2"/>
  <c r="AP79" i="2" s="1"/>
  <c r="AP148" i="2" s="1"/>
  <c r="AP150" i="2" s="1"/>
  <c r="AP151" i="2" s="1"/>
  <c r="AO76" i="2"/>
  <c r="AO79" i="2" s="1"/>
  <c r="AO148" i="2" s="1"/>
  <c r="AO150" i="2" s="1"/>
  <c r="AO151" i="2" s="1"/>
  <c r="AM76" i="2"/>
  <c r="AM79" i="2" s="1"/>
  <c r="AM148" i="2" s="1"/>
  <c r="AM150" i="2" s="1"/>
  <c r="AM151" i="2" s="1"/>
  <c r="AK76" i="2"/>
  <c r="AK79" i="2" s="1"/>
  <c r="AK148" i="2" s="1"/>
  <c r="AK150" i="2" s="1"/>
  <c r="AK151" i="2" s="1"/>
  <c r="AI76" i="2"/>
  <c r="AI79" i="2" s="1"/>
  <c r="AI148" i="2" s="1"/>
  <c r="AI150" i="2" s="1"/>
  <c r="AI151" i="2" s="1"/>
  <c r="AG76" i="2"/>
  <c r="AG79" i="2" s="1"/>
  <c r="AG148" i="2" s="1"/>
  <c r="AG150" i="2" s="1"/>
  <c r="AG151" i="2" s="1"/>
  <c r="AE76" i="2"/>
  <c r="AE79" i="2" s="1"/>
  <c r="AE148" i="2" s="1"/>
  <c r="AE150" i="2" s="1"/>
  <c r="AE151" i="2" s="1"/>
  <c r="AC76" i="2"/>
  <c r="AC79" i="2" s="1"/>
  <c r="AC148" i="2" s="1"/>
  <c r="AC150" i="2" s="1"/>
  <c r="AC151" i="2" s="1"/>
  <c r="AA76" i="2"/>
  <c r="AA79" i="2" s="1"/>
  <c r="AA148" i="2" s="1"/>
  <c r="AA150" i="2" s="1"/>
  <c r="AA151" i="2" s="1"/>
  <c r="Y76" i="2"/>
  <c r="W76" i="2"/>
  <c r="W79" i="2" s="1"/>
  <c r="W148" i="2" s="1"/>
  <c r="W150" i="2" s="1"/>
  <c r="W151" i="2" s="1"/>
  <c r="U76" i="2"/>
  <c r="U79" i="2" s="1"/>
  <c r="U148" i="2" s="1"/>
  <c r="U150" i="2" s="1"/>
  <c r="U151" i="2" s="1"/>
  <c r="J126" i="2"/>
  <c r="J91" i="2"/>
  <c r="J101" i="2" s="1"/>
  <c r="J76" i="2"/>
  <c r="K18" i="2"/>
  <c r="J18" i="2"/>
  <c r="J51" i="2"/>
  <c r="K51" i="2"/>
  <c r="J54" i="2"/>
  <c r="K54" i="2"/>
  <c r="J73" i="2"/>
  <c r="K48" i="2"/>
  <c r="J32" i="2"/>
  <c r="J70" i="2"/>
  <c r="G160" i="2" l="1"/>
  <c r="G161" i="2" s="1"/>
  <c r="G162" i="2" s="1"/>
  <c r="G163" i="2" s="1"/>
  <c r="G164" i="2" s="1"/>
  <c r="G165" i="2" s="1"/>
  <c r="G166" i="2" s="1"/>
  <c r="G167" i="2" s="1"/>
  <c r="G168" i="2" s="1"/>
  <c r="G169" i="2" s="1"/>
  <c r="G170" i="2" s="1"/>
  <c r="G171" i="2" s="1"/>
  <c r="G172" i="2" s="1"/>
  <c r="G173" i="2" s="1"/>
  <c r="G174" i="2" s="1"/>
  <c r="G175" i="2" s="1"/>
  <c r="G176" i="2" s="1"/>
  <c r="G177" i="2" s="1"/>
  <c r="G178" i="2" s="1"/>
  <c r="G179" i="2" s="1"/>
  <c r="G180" i="2" s="1"/>
  <c r="G181" i="2" s="1"/>
  <c r="G182" i="2" s="1"/>
  <c r="G183" i="2" s="1"/>
  <c r="G184" i="2" s="1"/>
  <c r="G185" i="2" s="1"/>
  <c r="ER79" i="2"/>
  <c r="ER148" i="2" s="1"/>
  <c r="ER150" i="2" s="1"/>
  <c r="ER151" i="2" s="1"/>
  <c r="Y79" i="2"/>
  <c r="Y148" i="2" s="1"/>
  <c r="Y150" i="2" s="1"/>
  <c r="Y151" i="2" s="1"/>
  <c r="ET79" i="2"/>
  <c r="ET148" i="2" s="1"/>
  <c r="ET150" i="2" s="1"/>
  <c r="ET151" i="2" s="1"/>
  <c r="EP150" i="2"/>
  <c r="EP151" i="2" s="1"/>
  <c r="CI194" i="2"/>
  <c r="CJ194" i="2"/>
  <c r="CB194" i="2"/>
  <c r="CC194" i="2"/>
  <c r="CD194" i="2"/>
  <c r="CE194" i="2"/>
  <c r="CF194" i="2"/>
  <c r="CG194" i="2"/>
  <c r="CH194" i="2"/>
  <c r="J79" i="2"/>
  <c r="J19" i="2"/>
  <c r="J58" i="2"/>
  <c r="K58" i="2"/>
  <c r="FP97" i="2"/>
  <c r="FI97" i="2"/>
  <c r="FG97" i="2"/>
  <c r="FF97" i="2"/>
  <c r="FE97" i="2"/>
  <c r="CQ97" i="2"/>
  <c r="CO97" i="2"/>
  <c r="CM97" i="2"/>
  <c r="CK97" i="2"/>
  <c r="CH97" i="2"/>
  <c r="CF97" i="2"/>
  <c r="CD97" i="2"/>
  <c r="CB97" i="2"/>
  <c r="BY97" i="2"/>
  <c r="BW97" i="2"/>
  <c r="BU97" i="2"/>
  <c r="BS97" i="2"/>
  <c r="BP97" i="2"/>
  <c r="BN97" i="2"/>
  <c r="BJ97" i="2"/>
  <c r="BG97" i="2"/>
  <c r="BE97" i="2"/>
  <c r="BK97" i="2" l="1"/>
  <c r="BK101" i="2" s="1"/>
  <c r="BA97" i="2"/>
  <c r="BB97" i="2"/>
  <c r="CP97" i="2"/>
  <c r="AN97" i="2"/>
  <c r="BV97" i="2"/>
  <c r="AD97" i="2"/>
  <c r="CG97" i="2"/>
  <c r="AJ97" i="2"/>
  <c r="CN97" i="2"/>
  <c r="AL97" i="2"/>
  <c r="X97" i="2"/>
  <c r="BO97" i="2"/>
  <c r="AB97" i="2"/>
  <c r="BX97" i="2"/>
  <c r="AF97" i="2"/>
  <c r="CE97" i="2"/>
  <c r="AH97" i="2"/>
  <c r="Z97" i="2"/>
  <c r="BD97" i="2"/>
  <c r="V97" i="2"/>
  <c r="X111" i="31"/>
  <c r="FD97" i="2"/>
  <c r="W111" i="31"/>
  <c r="FH97" i="2"/>
  <c r="Y111" i="31"/>
  <c r="FJ97" i="2"/>
  <c r="S111" i="31"/>
  <c r="FA97" i="2"/>
  <c r="T111" i="31"/>
  <c r="FB97" i="2"/>
  <c r="U111" i="31"/>
  <c r="FC97" i="2"/>
  <c r="EH97" i="2"/>
  <c r="EL97" i="2"/>
  <c r="DI97" i="2"/>
  <c r="L97" i="2"/>
  <c r="CC97" i="2"/>
  <c r="K97" i="2"/>
  <c r="BT97" i="2"/>
  <c r="CL97" i="2"/>
  <c r="CR97" i="2" l="1"/>
  <c r="BF97" i="2"/>
  <c r="BM97" i="2"/>
  <c r="EF97" i="2"/>
  <c r="EK97" i="2"/>
  <c r="CI97" i="2"/>
  <c r="BZ97" i="2"/>
  <c r="BP222" i="2"/>
  <c r="DK97" i="2"/>
  <c r="BQ97" i="2"/>
  <c r="BO222" i="2"/>
  <c r="DJ97" i="2"/>
  <c r="H111" i="31"/>
  <c r="BM222" i="2"/>
  <c r="DH97" i="2"/>
  <c r="BL222" i="2"/>
  <c r="DG97" i="2"/>
  <c r="BJ222" i="2"/>
  <c r="DE97" i="2"/>
  <c r="EI97" i="2"/>
  <c r="M111" i="31"/>
  <c r="BN222" i="2"/>
  <c r="V111" i="31"/>
  <c r="CS97" i="2" l="1"/>
  <c r="CA97" i="2"/>
  <c r="BR97" i="2"/>
  <c r="BH97" i="2"/>
  <c r="CJ97" i="2"/>
  <c r="N111" i="31"/>
  <c r="BI97" i="2"/>
  <c r="EM97" i="2"/>
  <c r="EG97" i="2"/>
  <c r="BQ222" i="2"/>
  <c r="DL97" i="2"/>
  <c r="BK222" i="2"/>
  <c r="DF97" i="2"/>
  <c r="K111" i="31"/>
  <c r="EN97" i="2" l="1"/>
  <c r="I111" i="31"/>
  <c r="BR222" i="2"/>
  <c r="DM97" i="2"/>
  <c r="CJ222" i="2"/>
  <c r="EE97" i="2"/>
  <c r="L111" i="31"/>
  <c r="R111" i="31"/>
  <c r="Z111" i="31"/>
  <c r="E28" i="7"/>
  <c r="E25" i="7"/>
  <c r="FI129" i="2"/>
  <c r="FI135" i="2" s="1"/>
  <c r="FH129" i="2"/>
  <c r="FH135" i="2" s="1"/>
  <c r="FF129" i="2"/>
  <c r="FF135" i="2" s="1"/>
  <c r="FE129" i="2"/>
  <c r="FE135" i="2" s="1"/>
  <c r="FD129" i="2"/>
  <c r="FD135" i="2" s="1"/>
  <c r="FC129" i="2"/>
  <c r="FB129" i="2"/>
  <c r="FA129" i="2"/>
  <c r="FG129" i="2"/>
  <c r="FG135" i="2" s="1"/>
  <c r="CQ129" i="2"/>
  <c r="CQ135" i="2" s="1"/>
  <c r="CO129" i="2"/>
  <c r="CO135" i="2" s="1"/>
  <c r="CM129" i="2"/>
  <c r="CM135" i="2" s="1"/>
  <c r="CL129" i="2"/>
  <c r="CK129" i="2"/>
  <c r="CK135" i="2" s="1"/>
  <c r="CH129" i="2"/>
  <c r="CH135" i="2" s="1"/>
  <c r="CF129" i="2"/>
  <c r="CF135" i="2" s="1"/>
  <c r="CD129" i="2"/>
  <c r="CD135" i="2" s="1"/>
  <c r="CB129" i="2"/>
  <c r="BY129" i="2"/>
  <c r="BW129" i="2"/>
  <c r="BU129" i="2"/>
  <c r="BT129" i="2"/>
  <c r="BS129" i="2"/>
  <c r="BP129" i="2"/>
  <c r="BP135" i="2" s="1"/>
  <c r="BN129" i="2"/>
  <c r="BN135" i="2" s="1"/>
  <c r="BL129" i="2"/>
  <c r="BL135" i="2" s="1"/>
  <c r="BJ129" i="2"/>
  <c r="BG129" i="2"/>
  <c r="BG135" i="2" s="1"/>
  <c r="BE129" i="2"/>
  <c r="BE135" i="2" s="1"/>
  <c r="BC129" i="2"/>
  <c r="BC135" i="2" s="1"/>
  <c r="BA129" i="2"/>
  <c r="AN129" i="2"/>
  <c r="AL129" i="2"/>
  <c r="AJ129" i="2"/>
  <c r="AH129" i="2"/>
  <c r="AF129" i="2"/>
  <c r="AD129" i="2"/>
  <c r="AD135" i="2" s="1"/>
  <c r="AB129" i="2"/>
  <c r="AB135" i="2" s="1"/>
  <c r="Z129" i="2"/>
  <c r="Z135" i="2" s="1"/>
  <c r="X129" i="2"/>
  <c r="X135" i="2" s="1"/>
  <c r="V129" i="2"/>
  <c r="V135" i="2" s="1"/>
  <c r="S129" i="2"/>
  <c r="FI114" i="2"/>
  <c r="FH114" i="2"/>
  <c r="FG114" i="2"/>
  <c r="FF114" i="2"/>
  <c r="FE114" i="2"/>
  <c r="FC114" i="2"/>
  <c r="FB114" i="2"/>
  <c r="CQ114" i="2"/>
  <c r="CO114" i="2"/>
  <c r="CM114" i="2"/>
  <c r="CL114" i="2"/>
  <c r="CK114" i="2"/>
  <c r="CH114" i="2"/>
  <c r="CF114" i="2"/>
  <c r="CD114" i="2"/>
  <c r="CB114" i="2"/>
  <c r="BY114" i="2"/>
  <c r="BW114" i="2"/>
  <c r="BU114" i="2"/>
  <c r="BT114" i="2"/>
  <c r="BS114" i="2"/>
  <c r="BP114" i="2"/>
  <c r="BN114" i="2"/>
  <c r="BL114" i="2"/>
  <c r="BJ114" i="2"/>
  <c r="BG163" i="2"/>
  <c r="BE114" i="2"/>
  <c r="BC114" i="2"/>
  <c r="BA114" i="2"/>
  <c r="AN114" i="2"/>
  <c r="AL114" i="2"/>
  <c r="AJ114" i="2"/>
  <c r="AH114" i="2"/>
  <c r="AF114" i="2"/>
  <c r="AD114" i="2"/>
  <c r="AB114" i="2"/>
  <c r="Z114" i="2"/>
  <c r="X114" i="2"/>
  <c r="V114" i="2"/>
  <c r="L114" i="2"/>
  <c r="BA172" i="2"/>
  <c r="BB91" i="2"/>
  <c r="BB101" i="2" s="1"/>
  <c r="FI87" i="2"/>
  <c r="V101" i="31" s="1"/>
  <c r="S21" i="7" s="1"/>
  <c r="FH87" i="2"/>
  <c r="W101" i="31" s="1"/>
  <c r="T21" i="7" s="1"/>
  <c r="FG87" i="2"/>
  <c r="FF87" i="2"/>
  <c r="FE87" i="2"/>
  <c r="FD87" i="2"/>
  <c r="X101" i="31" s="1"/>
  <c r="U21" i="7" s="1"/>
  <c r="FC87" i="2"/>
  <c r="U101" i="31" s="1"/>
  <c r="R21" i="7" s="1"/>
  <c r="FB87" i="2"/>
  <c r="T101" i="31" s="1"/>
  <c r="Q21" i="7" s="1"/>
  <c r="FA87" i="2"/>
  <c r="FJ87" i="2"/>
  <c r="Y101" i="31" s="1"/>
  <c r="V21" i="7" s="1"/>
  <c r="CQ87" i="2"/>
  <c r="CO87" i="2"/>
  <c r="CM87" i="2"/>
  <c r="CL87" i="2"/>
  <c r="CK87" i="2"/>
  <c r="CH87" i="2"/>
  <c r="CF87" i="2"/>
  <c r="CD87" i="2"/>
  <c r="CC87" i="2"/>
  <c r="CB87" i="2"/>
  <c r="BY87" i="2"/>
  <c r="BW87" i="2"/>
  <c r="BU87" i="2"/>
  <c r="BS87" i="2"/>
  <c r="BP87" i="2"/>
  <c r="BN87" i="2"/>
  <c r="BL87" i="2"/>
  <c r="BL91" i="2" s="1"/>
  <c r="BJ87" i="2"/>
  <c r="BG87" i="2"/>
  <c r="BE87" i="2"/>
  <c r="BA87" i="2"/>
  <c r="AN87" i="2"/>
  <c r="CP87" i="2" s="1"/>
  <c r="AL87" i="2"/>
  <c r="CN87" i="2" s="1"/>
  <c r="AJ87" i="2"/>
  <c r="CG87" i="2" s="1"/>
  <c r="AH87" i="2"/>
  <c r="CE87" i="2" s="1"/>
  <c r="AF87" i="2"/>
  <c r="BX87" i="2" s="1"/>
  <c r="AD87" i="2"/>
  <c r="BV87" i="2" s="1"/>
  <c r="AB87" i="2"/>
  <c r="BO87" i="2" s="1"/>
  <c r="Z87" i="2"/>
  <c r="BM87" i="2" s="1"/>
  <c r="X87" i="2"/>
  <c r="BF87" i="2" s="1"/>
  <c r="V87" i="2"/>
  <c r="BD87" i="2" s="1"/>
  <c r="S87" i="2"/>
  <c r="L87" i="2"/>
  <c r="FP86" i="2"/>
  <c r="FP91" i="2" s="1"/>
  <c r="FP101" i="2" s="1"/>
  <c r="FP148" i="2" s="1"/>
  <c r="FI86" i="2"/>
  <c r="FH86" i="2"/>
  <c r="FG86" i="2"/>
  <c r="FF86" i="2"/>
  <c r="FE86" i="2"/>
  <c r="FD86" i="2"/>
  <c r="FC86" i="2"/>
  <c r="FB86" i="2"/>
  <c r="FA86" i="2"/>
  <c r="FJ86" i="2"/>
  <c r="CQ86" i="2"/>
  <c r="CO86" i="2"/>
  <c r="CM86" i="2"/>
  <c r="CK86" i="2"/>
  <c r="CH86" i="2"/>
  <c r="CF86" i="2"/>
  <c r="CD86" i="2"/>
  <c r="CB86" i="2"/>
  <c r="BY86" i="2"/>
  <c r="BW86" i="2"/>
  <c r="BU86" i="2"/>
  <c r="BS86" i="2"/>
  <c r="BP86" i="2"/>
  <c r="BN86" i="2"/>
  <c r="BJ86" i="2"/>
  <c r="BG86" i="2"/>
  <c r="BE86" i="2"/>
  <c r="BA86" i="2"/>
  <c r="AN86" i="2"/>
  <c r="AL86" i="2"/>
  <c r="AJ86" i="2"/>
  <c r="AH86" i="2"/>
  <c r="AF86" i="2"/>
  <c r="AD86" i="2"/>
  <c r="AB86" i="2"/>
  <c r="Z86" i="2"/>
  <c r="X86" i="2"/>
  <c r="V86" i="2"/>
  <c r="BD86" i="2" s="1"/>
  <c r="S86" i="2"/>
  <c r="FI84" i="2"/>
  <c r="FH84" i="2"/>
  <c r="FE84" i="2"/>
  <c r="FD84" i="2"/>
  <c r="FC84" i="2"/>
  <c r="FB84" i="2"/>
  <c r="BZ213" i="2"/>
  <c r="BY213" i="2"/>
  <c r="BX213" i="2"/>
  <c r="BW213" i="2"/>
  <c r="BT213" i="2"/>
  <c r="BS213" i="2"/>
  <c r="BH213" i="2"/>
  <c r="BG213" i="2"/>
  <c r="BF213" i="2"/>
  <c r="BE213" i="2"/>
  <c r="BD213" i="2"/>
  <c r="BC213" i="2"/>
  <c r="BB213" i="2"/>
  <c r="BA213" i="2"/>
  <c r="CQ84" i="2"/>
  <c r="CO84" i="2"/>
  <c r="CM84" i="2"/>
  <c r="CL84" i="2"/>
  <c r="CK84" i="2"/>
  <c r="CH84" i="2"/>
  <c r="CF84" i="2"/>
  <c r="CD84" i="2"/>
  <c r="CC84" i="2"/>
  <c r="CB84" i="2"/>
  <c r="BY84" i="2"/>
  <c r="BW84" i="2"/>
  <c r="BU84" i="2"/>
  <c r="BT84" i="2"/>
  <c r="BS84" i="2"/>
  <c r="BP84" i="2"/>
  <c r="BJ84" i="2"/>
  <c r="BG84" i="2"/>
  <c r="BE84" i="2"/>
  <c r="BC84" i="2"/>
  <c r="BC101" i="2" s="1"/>
  <c r="AN84" i="2"/>
  <c r="AL84" i="2"/>
  <c r="AJ84" i="2"/>
  <c r="AH84" i="2"/>
  <c r="AF84" i="2"/>
  <c r="AD84" i="2"/>
  <c r="AB84" i="2"/>
  <c r="Z84" i="2"/>
  <c r="X84" i="2"/>
  <c r="V84" i="2"/>
  <c r="L84" i="2"/>
  <c r="EQ70" i="2"/>
  <c r="EQ79" i="2" s="1"/>
  <c r="EQ148" i="2" s="1"/>
  <c r="EQ150" i="2" s="1"/>
  <c r="EQ151" i="2" s="1"/>
  <c r="BL70" i="2"/>
  <c r="FI53" i="2"/>
  <c r="FI54" i="2" s="1"/>
  <c r="FH53" i="2"/>
  <c r="FH54" i="2" s="1"/>
  <c r="FG53" i="2"/>
  <c r="FG54" i="2" s="1"/>
  <c r="FF53" i="2"/>
  <c r="FF54" i="2" s="1"/>
  <c r="FE53" i="2"/>
  <c r="FE54" i="2" s="1"/>
  <c r="FD53" i="2"/>
  <c r="FD54" i="2" s="1"/>
  <c r="FC53" i="2"/>
  <c r="FC54" i="2" s="1"/>
  <c r="FB53" i="2"/>
  <c r="FB54" i="2" s="1"/>
  <c r="DU53" i="2"/>
  <c r="DU54" i="2" s="1"/>
  <c r="DT53" i="2"/>
  <c r="DT54" i="2" s="1"/>
  <c r="DS53" i="2"/>
  <c r="DS54" i="2" s="1"/>
  <c r="DR53" i="2"/>
  <c r="DR54" i="2" s="1"/>
  <c r="DQ53" i="2"/>
  <c r="DQ54" i="2" s="1"/>
  <c r="DP53" i="2"/>
  <c r="DP54" i="2" s="1"/>
  <c r="DO53" i="2"/>
  <c r="DO54" i="2" s="1"/>
  <c r="DN53" i="2"/>
  <c r="DN54" i="2" s="1"/>
  <c r="DL53" i="2"/>
  <c r="DL54" i="2" s="1"/>
  <c r="DK53" i="2"/>
  <c r="DK54" i="2" s="1"/>
  <c r="DJ53" i="2"/>
  <c r="DJ54" i="2" s="1"/>
  <c r="DI53" i="2"/>
  <c r="DI54" i="2" s="1"/>
  <c r="DH53" i="2"/>
  <c r="DH54" i="2" s="1"/>
  <c r="DG53" i="2"/>
  <c r="DG54" i="2" s="1"/>
  <c r="DF53" i="2"/>
  <c r="DF54" i="2" s="1"/>
  <c r="DE53" i="2"/>
  <c r="DE54" i="2" s="1"/>
  <c r="CQ53" i="2"/>
  <c r="CQ54" i="2" s="1"/>
  <c r="CO53" i="2"/>
  <c r="CO54" i="2" s="1"/>
  <c r="CM53" i="2"/>
  <c r="CM54" i="2" s="1"/>
  <c r="CL53" i="2"/>
  <c r="CL54" i="2" s="1"/>
  <c r="CK53" i="2"/>
  <c r="CK54" i="2" s="1"/>
  <c r="CH53" i="2"/>
  <c r="CH54" i="2" s="1"/>
  <c r="CF53" i="2"/>
  <c r="CF54" i="2" s="1"/>
  <c r="CD53" i="2"/>
  <c r="CD54" i="2" s="1"/>
  <c r="CC54" i="2"/>
  <c r="CB53" i="2"/>
  <c r="BY53" i="2"/>
  <c r="BY54" i="2" s="1"/>
  <c r="BW53" i="2"/>
  <c r="BW54" i="2" s="1"/>
  <c r="BU53" i="2"/>
  <c r="BU54" i="2" s="1"/>
  <c r="BT54" i="2"/>
  <c r="BS53" i="2"/>
  <c r="BP53" i="2"/>
  <c r="BP54" i="2" s="1"/>
  <c r="BN53" i="2"/>
  <c r="BN54" i="2" s="1"/>
  <c r="BL53" i="2"/>
  <c r="BL54" i="2" s="1"/>
  <c r="BJ53" i="2"/>
  <c r="BG53" i="2"/>
  <c r="BE53" i="2"/>
  <c r="BE54" i="2" s="1"/>
  <c r="BC53" i="2"/>
  <c r="BC54" i="2" s="1"/>
  <c r="BA53" i="2"/>
  <c r="AN53" i="2"/>
  <c r="AN54" i="2" s="1"/>
  <c r="AL53" i="2"/>
  <c r="AL54" i="2" s="1"/>
  <c r="AJ53" i="2"/>
  <c r="AJ54" i="2" s="1"/>
  <c r="AH53" i="2"/>
  <c r="AH54" i="2" s="1"/>
  <c r="AF53" i="2"/>
  <c r="AF54" i="2" s="1"/>
  <c r="AD53" i="2"/>
  <c r="AD54" i="2" s="1"/>
  <c r="AB53" i="2"/>
  <c r="AB54" i="2" s="1"/>
  <c r="Z53" i="2"/>
  <c r="Z54" i="2" s="1"/>
  <c r="X53" i="2"/>
  <c r="X54" i="2" s="1"/>
  <c r="V53" i="2"/>
  <c r="V54" i="2" s="1"/>
  <c r="S53" i="2"/>
  <c r="L53" i="2"/>
  <c r="L54" i="2" s="1"/>
  <c r="FG51" i="2"/>
  <c r="FF51" i="2"/>
  <c r="FE51" i="2"/>
  <c r="DU51" i="2"/>
  <c r="DT51" i="2"/>
  <c r="DS51" i="2"/>
  <c r="DR51" i="2"/>
  <c r="DQ51" i="2"/>
  <c r="DP51" i="2"/>
  <c r="DO51" i="2"/>
  <c r="DN51" i="2"/>
  <c r="DC51" i="2"/>
  <c r="DB51" i="2"/>
  <c r="DA51" i="2"/>
  <c r="CZ51" i="2"/>
  <c r="CY51" i="2"/>
  <c r="CX51" i="2"/>
  <c r="CW51" i="2"/>
  <c r="CV51" i="2"/>
  <c r="CQ51" i="2"/>
  <c r="CO51" i="2"/>
  <c r="CM51" i="2"/>
  <c r="CL51" i="2"/>
  <c r="CK51" i="2"/>
  <c r="CH51" i="2"/>
  <c r="CF51" i="2"/>
  <c r="CD51" i="2"/>
  <c r="CB51" i="2"/>
  <c r="BY51" i="2"/>
  <c r="BW51" i="2"/>
  <c r="BU51" i="2"/>
  <c r="BT51" i="2"/>
  <c r="BS51" i="2"/>
  <c r="BP51" i="2"/>
  <c r="BN51" i="2"/>
  <c r="BL51" i="2"/>
  <c r="BJ51" i="2"/>
  <c r="BG51" i="2"/>
  <c r="BE51" i="2"/>
  <c r="BC51" i="2"/>
  <c r="AN51" i="2"/>
  <c r="AL51" i="2"/>
  <c r="AJ51" i="2"/>
  <c r="AH51" i="2"/>
  <c r="AF51" i="2"/>
  <c r="AD51" i="2"/>
  <c r="AB51" i="2"/>
  <c r="Z51" i="2"/>
  <c r="X51" i="2"/>
  <c r="V51" i="2"/>
  <c r="L51" i="2"/>
  <c r="FI41" i="2"/>
  <c r="FH41" i="2"/>
  <c r="FG41" i="2"/>
  <c r="FF41" i="2"/>
  <c r="FE41" i="2"/>
  <c r="FD41" i="2"/>
  <c r="FC41" i="2"/>
  <c r="FB41" i="2"/>
  <c r="FA41" i="2"/>
  <c r="DU41" i="2"/>
  <c r="DT41" i="2"/>
  <c r="DS41" i="2"/>
  <c r="DR41" i="2"/>
  <c r="DQ41" i="2"/>
  <c r="DP41" i="2"/>
  <c r="DO41" i="2"/>
  <c r="DN41" i="2"/>
  <c r="DC41" i="2"/>
  <c r="DB41" i="2"/>
  <c r="DA41" i="2"/>
  <c r="CZ41" i="2"/>
  <c r="CY41" i="2"/>
  <c r="CX41" i="2"/>
  <c r="CW41" i="2"/>
  <c r="CV41" i="2"/>
  <c r="CQ41" i="2"/>
  <c r="CO41" i="2"/>
  <c r="CM41" i="2"/>
  <c r="CL41" i="2"/>
  <c r="CK41" i="2"/>
  <c r="CH41" i="2"/>
  <c r="CF41" i="2"/>
  <c r="CD41" i="2"/>
  <c r="CB41" i="2"/>
  <c r="BY41" i="2"/>
  <c r="BW41" i="2"/>
  <c r="BU41" i="2"/>
  <c r="BT41" i="2"/>
  <c r="BS41" i="2"/>
  <c r="BP41" i="2"/>
  <c r="BN41" i="2"/>
  <c r="BL41" i="2"/>
  <c r="BK41" i="2"/>
  <c r="BJ41" i="2"/>
  <c r="BG41" i="2"/>
  <c r="BE41" i="2"/>
  <c r="BC41" i="2"/>
  <c r="BB41" i="2"/>
  <c r="BA41" i="2"/>
  <c r="AN41" i="2"/>
  <c r="AL41" i="2"/>
  <c r="AJ41" i="2"/>
  <c r="AH41" i="2"/>
  <c r="AF41" i="2"/>
  <c r="AD41" i="2"/>
  <c r="AB41" i="2"/>
  <c r="Z41" i="2"/>
  <c r="X41" i="2"/>
  <c r="V41" i="2"/>
  <c r="S41" i="2"/>
  <c r="L41" i="2"/>
  <c r="FI35" i="2"/>
  <c r="FH35" i="2"/>
  <c r="FF35" i="2"/>
  <c r="FF38" i="2" s="1"/>
  <c r="FE35" i="2"/>
  <c r="FE38" i="2" s="1"/>
  <c r="FD35" i="2"/>
  <c r="FD38" i="2" s="1"/>
  <c r="FC35" i="2"/>
  <c r="FC38" i="2" s="1"/>
  <c r="FB35" i="2"/>
  <c r="FB38" i="2" s="1"/>
  <c r="FA35" i="2"/>
  <c r="EV38" i="2"/>
  <c r="DU35" i="2"/>
  <c r="DU38" i="2" s="1"/>
  <c r="DT35" i="2"/>
  <c r="DT38" i="2" s="1"/>
  <c r="DS35" i="2"/>
  <c r="DS38" i="2" s="1"/>
  <c r="DR35" i="2"/>
  <c r="DR38" i="2" s="1"/>
  <c r="DQ35" i="2"/>
  <c r="DQ38" i="2" s="1"/>
  <c r="DP35" i="2"/>
  <c r="DP38" i="2" s="1"/>
  <c r="DO35" i="2"/>
  <c r="DO38" i="2" s="1"/>
  <c r="DN35" i="2"/>
  <c r="DN38" i="2" s="1"/>
  <c r="DL35" i="2"/>
  <c r="DK35" i="2"/>
  <c r="DK38" i="2" s="1"/>
  <c r="DJ35" i="2"/>
  <c r="DJ38" i="2" s="1"/>
  <c r="DI35" i="2"/>
  <c r="DI38" i="2" s="1"/>
  <c r="DH35" i="2"/>
  <c r="DH38" i="2" s="1"/>
  <c r="DG35" i="2"/>
  <c r="DG38" i="2" s="1"/>
  <c r="DF35" i="2"/>
  <c r="DE35" i="2"/>
  <c r="CQ35" i="2"/>
  <c r="CQ38" i="2" s="1"/>
  <c r="CO35" i="2"/>
  <c r="CO38" i="2" s="1"/>
  <c r="CM35" i="2"/>
  <c r="CM38" i="2" s="1"/>
  <c r="CL35" i="2"/>
  <c r="CL38" i="2" s="1"/>
  <c r="CK35" i="2"/>
  <c r="CK38" i="2" s="1"/>
  <c r="CH35" i="2"/>
  <c r="CH38" i="2" s="1"/>
  <c r="CF35" i="2"/>
  <c r="CF38" i="2" s="1"/>
  <c r="CD35" i="2"/>
  <c r="CD38" i="2" s="1"/>
  <c r="CC35" i="2"/>
  <c r="CC38" i="2" s="1"/>
  <c r="CB35" i="2"/>
  <c r="BY35" i="2"/>
  <c r="BY38" i="2" s="1"/>
  <c r="BW35" i="2"/>
  <c r="BW38" i="2" s="1"/>
  <c r="BU35" i="2"/>
  <c r="BU38" i="2" s="1"/>
  <c r="BT35" i="2"/>
  <c r="BT38" i="2" s="1"/>
  <c r="BS35" i="2"/>
  <c r="BP35" i="2"/>
  <c r="BP38" i="2" s="1"/>
  <c r="BN35" i="2"/>
  <c r="BN38" i="2" s="1"/>
  <c r="BL35" i="2"/>
  <c r="BL38" i="2" s="1"/>
  <c r="BK35" i="2"/>
  <c r="BK38" i="2" s="1"/>
  <c r="BJ35" i="2"/>
  <c r="BG35" i="2"/>
  <c r="BG38" i="2" s="1"/>
  <c r="BE35" i="2"/>
  <c r="BE38" i="2" s="1"/>
  <c r="BC35" i="2"/>
  <c r="BC38" i="2" s="1"/>
  <c r="BB35" i="2"/>
  <c r="BA35" i="2"/>
  <c r="AN35" i="2"/>
  <c r="AN38" i="2" s="1"/>
  <c r="AL35" i="2"/>
  <c r="AL38" i="2" s="1"/>
  <c r="AJ35" i="2"/>
  <c r="AJ38" i="2" s="1"/>
  <c r="AH35" i="2"/>
  <c r="AH38" i="2" s="1"/>
  <c r="AF35" i="2"/>
  <c r="AF38" i="2" s="1"/>
  <c r="AD35" i="2"/>
  <c r="AD38" i="2" s="1"/>
  <c r="AB35" i="2"/>
  <c r="AB38" i="2" s="1"/>
  <c r="Z35" i="2"/>
  <c r="Z38" i="2" s="1"/>
  <c r="X35" i="2"/>
  <c r="X38" i="2" s="1"/>
  <c r="V35" i="2"/>
  <c r="V38" i="2" s="1"/>
  <c r="S35" i="2"/>
  <c r="L35" i="2"/>
  <c r="L38" i="2" s="1"/>
  <c r="F43" i="2"/>
  <c r="F45" i="2" s="1"/>
  <c r="K32" i="2"/>
  <c r="FI29" i="2"/>
  <c r="FI32" i="2" s="1"/>
  <c r="FH29" i="2"/>
  <c r="FH32" i="2" s="1"/>
  <c r="FG29" i="2"/>
  <c r="FG32" i="2" s="1"/>
  <c r="FF29" i="2"/>
  <c r="FF32" i="2" s="1"/>
  <c r="FE29" i="2"/>
  <c r="FE32" i="2" s="1"/>
  <c r="FD29" i="2"/>
  <c r="FD32" i="2" s="1"/>
  <c r="FC29" i="2"/>
  <c r="FC32" i="2" s="1"/>
  <c r="FA29" i="2"/>
  <c r="EY29" i="2"/>
  <c r="FB29" i="2"/>
  <c r="FB32" i="2" s="1"/>
  <c r="DU29" i="2"/>
  <c r="DU32" i="2" s="1"/>
  <c r="DT29" i="2"/>
  <c r="DT32" i="2" s="1"/>
  <c r="DS29" i="2"/>
  <c r="DS32" i="2" s="1"/>
  <c r="DR29" i="2"/>
  <c r="DR32" i="2" s="1"/>
  <c r="DQ29" i="2"/>
  <c r="DQ32" i="2" s="1"/>
  <c r="DP29" i="2"/>
  <c r="DP32" i="2" s="1"/>
  <c r="DO29" i="2"/>
  <c r="DO32" i="2" s="1"/>
  <c r="DN29" i="2"/>
  <c r="DN32" i="2" s="1"/>
  <c r="DL29" i="2"/>
  <c r="DL32" i="2" s="1"/>
  <c r="DK29" i="2"/>
  <c r="DK32" i="2" s="1"/>
  <c r="DJ29" i="2"/>
  <c r="DJ32" i="2" s="1"/>
  <c r="DI29" i="2"/>
  <c r="DI32" i="2" s="1"/>
  <c r="DH29" i="2"/>
  <c r="DH32" i="2" s="1"/>
  <c r="DG29" i="2"/>
  <c r="DG32" i="2" s="1"/>
  <c r="DF29" i="2"/>
  <c r="DF32" i="2" s="1"/>
  <c r="DE29" i="2"/>
  <c r="DE32" i="2" s="1"/>
  <c r="CQ29" i="2"/>
  <c r="CQ32" i="2" s="1"/>
  <c r="CO29" i="2"/>
  <c r="CO32" i="2" s="1"/>
  <c r="CM29" i="2"/>
  <c r="CM32" i="2" s="1"/>
  <c r="CL29" i="2"/>
  <c r="CL32" i="2" s="1"/>
  <c r="CK29" i="2"/>
  <c r="CK32" i="2" s="1"/>
  <c r="CH29" i="2"/>
  <c r="CH32" i="2" s="1"/>
  <c r="CF29" i="2"/>
  <c r="CF32" i="2" s="1"/>
  <c r="CD29" i="2"/>
  <c r="CD32" i="2" s="1"/>
  <c r="CC29" i="2"/>
  <c r="CC32" i="2" s="1"/>
  <c r="CB29" i="2"/>
  <c r="BY29" i="2"/>
  <c r="BY32" i="2" s="1"/>
  <c r="BW29" i="2"/>
  <c r="BW32" i="2" s="1"/>
  <c r="BU29" i="2"/>
  <c r="BU32" i="2" s="1"/>
  <c r="BT29" i="2"/>
  <c r="BT32" i="2" s="1"/>
  <c r="BS29" i="2"/>
  <c r="BP29" i="2"/>
  <c r="BP32" i="2" s="1"/>
  <c r="BN29" i="2"/>
  <c r="BL29" i="2"/>
  <c r="BK32" i="2"/>
  <c r="BJ29" i="2"/>
  <c r="BG29" i="2"/>
  <c r="BG32" i="2" s="1"/>
  <c r="BE29" i="2"/>
  <c r="BE32" i="2" s="1"/>
  <c r="BC29" i="2"/>
  <c r="BC32" i="2" s="1"/>
  <c r="BB32" i="2"/>
  <c r="BA29" i="2"/>
  <c r="AN29" i="2"/>
  <c r="AN32" i="2" s="1"/>
  <c r="AL29" i="2"/>
  <c r="AL32" i="2" s="1"/>
  <c r="AJ29" i="2"/>
  <c r="AH29" i="2"/>
  <c r="AF29" i="2"/>
  <c r="AD29" i="2"/>
  <c r="AB29" i="2"/>
  <c r="AB32" i="2" s="1"/>
  <c r="Z29" i="2"/>
  <c r="X29" i="2"/>
  <c r="V29" i="2"/>
  <c r="S29" i="2"/>
  <c r="L29" i="2"/>
  <c r="K26" i="2"/>
  <c r="FI23" i="2"/>
  <c r="V27" i="31" s="1"/>
  <c r="S9" i="7" s="1"/>
  <c r="FH23" i="2"/>
  <c r="W27" i="31" s="1"/>
  <c r="T9" i="7" s="1"/>
  <c r="FF23" i="2"/>
  <c r="FE23" i="2"/>
  <c r="FD23" i="2"/>
  <c r="X27" i="31" s="1"/>
  <c r="U9" i="7" s="1"/>
  <c r="FC23" i="2"/>
  <c r="U27" i="31" s="1"/>
  <c r="R9" i="7" s="1"/>
  <c r="FB23" i="2"/>
  <c r="T27" i="31" s="1"/>
  <c r="Q9" i="7" s="1"/>
  <c r="FA23" i="2"/>
  <c r="DU23" i="2"/>
  <c r="DT23" i="2"/>
  <c r="DS23" i="2"/>
  <c r="DR23" i="2"/>
  <c r="DQ23" i="2"/>
  <c r="DP23" i="2"/>
  <c r="DO23" i="2"/>
  <c r="DN23" i="2"/>
  <c r="DL23" i="2"/>
  <c r="DK23" i="2"/>
  <c r="DJ23" i="2"/>
  <c r="DI23" i="2"/>
  <c r="DH23" i="2"/>
  <c r="DG23" i="2"/>
  <c r="DF23" i="2"/>
  <c r="DE23" i="2"/>
  <c r="CQ23" i="2"/>
  <c r="CO23" i="2"/>
  <c r="CM23" i="2"/>
  <c r="CL23" i="2"/>
  <c r="CK23" i="2"/>
  <c r="CH23" i="2"/>
  <c r="CF23" i="2"/>
  <c r="CD23" i="2"/>
  <c r="CB23" i="2"/>
  <c r="BY23" i="2"/>
  <c r="BW23" i="2"/>
  <c r="BU23" i="2"/>
  <c r="BT23" i="2"/>
  <c r="BS23" i="2"/>
  <c r="BP23" i="2"/>
  <c r="BN23" i="2"/>
  <c r="BL23" i="2"/>
  <c r="BJ23" i="2"/>
  <c r="BG23" i="2"/>
  <c r="BE23" i="2"/>
  <c r="BC23" i="2"/>
  <c r="BA23" i="2"/>
  <c r="AN23" i="2"/>
  <c r="AL23" i="2"/>
  <c r="AJ23" i="2"/>
  <c r="AH23" i="2"/>
  <c r="AF23" i="2"/>
  <c r="AD23" i="2"/>
  <c r="AB23" i="2"/>
  <c r="Z23" i="2"/>
  <c r="X23" i="2"/>
  <c r="V23" i="2"/>
  <c r="S23" i="2"/>
  <c r="L23" i="2"/>
  <c r="FI22" i="2"/>
  <c r="FH22" i="2"/>
  <c r="FG22" i="2"/>
  <c r="FF22" i="2"/>
  <c r="FE22" i="2"/>
  <c r="FD22" i="2"/>
  <c r="FC22" i="2"/>
  <c r="FB22" i="2"/>
  <c r="FA22" i="2"/>
  <c r="DU22" i="2"/>
  <c r="DT22" i="2"/>
  <c r="DS22" i="2"/>
  <c r="DR22" i="2"/>
  <c r="DQ22" i="2"/>
  <c r="DP22" i="2"/>
  <c r="DO22" i="2"/>
  <c r="DN22" i="2"/>
  <c r="DC22" i="2"/>
  <c r="DB22" i="2"/>
  <c r="DA22" i="2"/>
  <c r="CZ22" i="2"/>
  <c r="CY22" i="2"/>
  <c r="CX22" i="2"/>
  <c r="CW22" i="2"/>
  <c r="CV22" i="2"/>
  <c r="CQ22" i="2"/>
  <c r="CO22" i="2"/>
  <c r="CM22" i="2"/>
  <c r="CL22" i="2"/>
  <c r="CK22" i="2"/>
  <c r="CH22" i="2"/>
  <c r="CF22" i="2"/>
  <c r="CD22" i="2"/>
  <c r="CC22" i="2"/>
  <c r="CC26" i="2" s="1"/>
  <c r="CB22" i="2"/>
  <c r="BY22" i="2"/>
  <c r="BW22" i="2"/>
  <c r="BU22" i="2"/>
  <c r="BT22" i="2"/>
  <c r="BS22" i="2"/>
  <c r="BP22" i="2"/>
  <c r="BN22" i="2"/>
  <c r="BL22" i="2"/>
  <c r="BK22" i="2"/>
  <c r="BK26" i="2" s="1"/>
  <c r="BJ22" i="2"/>
  <c r="BG22" i="2"/>
  <c r="BE22" i="2"/>
  <c r="BC22" i="2"/>
  <c r="BB22" i="2"/>
  <c r="BB26" i="2" s="1"/>
  <c r="BA22" i="2"/>
  <c r="AN22" i="2"/>
  <c r="AL22" i="2"/>
  <c r="AJ22" i="2"/>
  <c r="AH22" i="2"/>
  <c r="AD22" i="2"/>
  <c r="AB22" i="2"/>
  <c r="Z22" i="2"/>
  <c r="X22" i="2"/>
  <c r="V22" i="2"/>
  <c r="S22" i="2"/>
  <c r="L22" i="2"/>
  <c r="L18" i="2"/>
  <c r="FI18" i="2"/>
  <c r="FH18" i="2"/>
  <c r="FF18" i="2"/>
  <c r="FE18" i="2"/>
  <c r="FD18" i="2"/>
  <c r="FC18" i="2"/>
  <c r="FB18" i="2"/>
  <c r="DL18" i="2"/>
  <c r="DK18" i="2"/>
  <c r="DJ18" i="2"/>
  <c r="DI18" i="2"/>
  <c r="DH18" i="2"/>
  <c r="DG18" i="2"/>
  <c r="DF18" i="2"/>
  <c r="DE18" i="2"/>
  <c r="CQ18" i="2"/>
  <c r="CO18" i="2"/>
  <c r="CM18" i="2"/>
  <c r="CL18" i="2"/>
  <c r="CK18" i="2"/>
  <c r="CH18" i="2"/>
  <c r="CF18" i="2"/>
  <c r="CD18" i="2"/>
  <c r="CC18" i="2"/>
  <c r="CB18" i="2"/>
  <c r="BY18" i="2"/>
  <c r="BW18" i="2"/>
  <c r="BU18" i="2"/>
  <c r="BT18" i="2"/>
  <c r="BS18" i="2"/>
  <c r="BP18" i="2"/>
  <c r="BN18" i="2"/>
  <c r="BL18" i="2"/>
  <c r="BK18" i="2"/>
  <c r="BJ18" i="2"/>
  <c r="BG18" i="2"/>
  <c r="BE18" i="2"/>
  <c r="BC18" i="2"/>
  <c r="BB18" i="2"/>
  <c r="AN18" i="2"/>
  <c r="AL18" i="2"/>
  <c r="AJ18" i="2"/>
  <c r="AH18" i="2"/>
  <c r="AF18" i="2"/>
  <c r="AD18" i="2"/>
  <c r="AB18" i="2"/>
  <c r="Z18" i="2"/>
  <c r="X18" i="2"/>
  <c r="V18" i="2"/>
  <c r="FI15" i="2"/>
  <c r="FH15" i="2"/>
  <c r="FG15" i="2"/>
  <c r="FF15" i="2"/>
  <c r="FE15" i="2"/>
  <c r="FD15" i="2"/>
  <c r="FC15" i="2"/>
  <c r="FB15" i="2"/>
  <c r="FA15" i="2"/>
  <c r="DU15" i="2"/>
  <c r="DT15" i="2"/>
  <c r="DS15" i="2"/>
  <c r="DR15" i="2"/>
  <c r="DQ15" i="2"/>
  <c r="DP15" i="2"/>
  <c r="DO15" i="2"/>
  <c r="DN15" i="2"/>
  <c r="DL15" i="2"/>
  <c r="DK15" i="2"/>
  <c r="DJ15" i="2"/>
  <c r="DI15" i="2"/>
  <c r="DH15" i="2"/>
  <c r="DG15" i="2"/>
  <c r="DF15" i="2"/>
  <c r="DE15" i="2"/>
  <c r="CH15" i="2"/>
  <c r="CF15" i="2"/>
  <c r="CD15" i="2"/>
  <c r="CC15" i="2"/>
  <c r="BY15" i="2"/>
  <c r="BW15" i="2"/>
  <c r="BU15" i="2"/>
  <c r="BT15" i="2"/>
  <c r="BP15" i="2"/>
  <c r="BN15" i="2"/>
  <c r="BL15" i="2"/>
  <c r="BK15" i="2"/>
  <c r="BG15" i="2"/>
  <c r="BE15" i="2"/>
  <c r="BC15" i="2"/>
  <c r="BB15" i="2"/>
  <c r="AJ15" i="2"/>
  <c r="AH15" i="2"/>
  <c r="AF15" i="2"/>
  <c r="AD15" i="2"/>
  <c r="AB15" i="2"/>
  <c r="Z15" i="2"/>
  <c r="X15" i="2"/>
  <c r="V15" i="2"/>
  <c r="L15" i="2"/>
  <c r="K12" i="2"/>
  <c r="FI10" i="2"/>
  <c r="V12" i="31" s="1"/>
  <c r="S6" i="7" s="1"/>
  <c r="FH10" i="2"/>
  <c r="W12" i="31" s="1"/>
  <c r="T6" i="7" s="1"/>
  <c r="FG10" i="2"/>
  <c r="FE10" i="2"/>
  <c r="FD10" i="2"/>
  <c r="X12" i="31" s="1"/>
  <c r="U6" i="7" s="1"/>
  <c r="FC10" i="2"/>
  <c r="U12" i="31" s="1"/>
  <c r="R6" i="7" s="1"/>
  <c r="FB10" i="2"/>
  <c r="T12" i="31" s="1"/>
  <c r="Q6" i="7" s="1"/>
  <c r="FA10" i="2"/>
  <c r="DU10" i="2"/>
  <c r="DT10" i="2"/>
  <c r="DS10" i="2"/>
  <c r="DR10" i="2"/>
  <c r="DQ10" i="2"/>
  <c r="DP10" i="2"/>
  <c r="DO10" i="2"/>
  <c r="DN10" i="2"/>
  <c r="DL10" i="2"/>
  <c r="DK10" i="2"/>
  <c r="DJ10" i="2"/>
  <c r="DI10" i="2"/>
  <c r="DH10" i="2"/>
  <c r="DG10" i="2"/>
  <c r="DF10" i="2"/>
  <c r="DE10" i="2"/>
  <c r="CQ10" i="2"/>
  <c r="CO10" i="2"/>
  <c r="CM10" i="2"/>
  <c r="CL10" i="2"/>
  <c r="CK10" i="2"/>
  <c r="CH10" i="2"/>
  <c r="CF10" i="2"/>
  <c r="CD10" i="2"/>
  <c r="CC10" i="2"/>
  <c r="CB10" i="2"/>
  <c r="BY10" i="2"/>
  <c r="BW10" i="2"/>
  <c r="BU10" i="2"/>
  <c r="BT10" i="2"/>
  <c r="BS10" i="2"/>
  <c r="BP10" i="2"/>
  <c r="BN10" i="2"/>
  <c r="BL10" i="2"/>
  <c r="BJ10" i="2"/>
  <c r="BG10" i="2"/>
  <c r="BE10" i="2"/>
  <c r="AN10" i="2"/>
  <c r="CP10" i="2" s="1"/>
  <c r="AL10" i="2"/>
  <c r="AJ10" i="2"/>
  <c r="CG10" i="2" s="1"/>
  <c r="AH10" i="2"/>
  <c r="CE10" i="2" s="1"/>
  <c r="AF10" i="2"/>
  <c r="BX10" i="2" s="1"/>
  <c r="AD10" i="2"/>
  <c r="BV10" i="2" s="1"/>
  <c r="AB10" i="2"/>
  <c r="BO10" i="2" s="1"/>
  <c r="Z10" i="2"/>
  <c r="BM10" i="2" s="1"/>
  <c r="X10" i="2"/>
  <c r="BF10" i="2" s="1"/>
  <c r="V10" i="2"/>
  <c r="BD10" i="2" s="1"/>
  <c r="S10" i="2"/>
  <c r="L10" i="2"/>
  <c r="BH10" i="2" l="1"/>
  <c r="EG87" i="2"/>
  <c r="EL53" i="2"/>
  <c r="P57" i="31" s="1"/>
  <c r="P60" i="31" s="1"/>
  <c r="M18" i="7"/>
  <c r="BG54" i="2"/>
  <c r="CI87" i="2"/>
  <c r="BZ87" i="2"/>
  <c r="BQ87" i="2"/>
  <c r="BR87" i="2" s="1"/>
  <c r="BH87" i="2"/>
  <c r="BS135" i="2"/>
  <c r="BS174" i="2" s="1"/>
  <c r="BJ135" i="2"/>
  <c r="BJ174" i="2" s="1"/>
  <c r="BA135" i="2"/>
  <c r="BA174" i="2" s="1"/>
  <c r="CB54" i="2"/>
  <c r="BS54" i="2"/>
  <c r="BJ54" i="2"/>
  <c r="CB38" i="2"/>
  <c r="BS38" i="2"/>
  <c r="BJ38" i="2"/>
  <c r="BA38" i="2"/>
  <c r="CB32" i="2"/>
  <c r="CB160" i="2" s="1"/>
  <c r="BS32" i="2"/>
  <c r="BS160" i="2" s="1"/>
  <c r="BJ32" i="2"/>
  <c r="BJ160" i="2" s="1"/>
  <c r="BA32" i="2"/>
  <c r="BA160" i="2" s="1"/>
  <c r="CB15" i="2"/>
  <c r="BS15" i="2"/>
  <c r="BJ15" i="2"/>
  <c r="BA15" i="2"/>
  <c r="BA12" i="2"/>
  <c r="FI91" i="2"/>
  <c r="FI101" i="2" s="1"/>
  <c r="FH91" i="2"/>
  <c r="FG91" i="2"/>
  <c r="FF91" i="2"/>
  <c r="FE91" i="2"/>
  <c r="FE101" i="2" s="1"/>
  <c r="FD91" i="2"/>
  <c r="FD101" i="2" s="1"/>
  <c r="FC91" i="2"/>
  <c r="FC101" i="2" s="1"/>
  <c r="FB91" i="2"/>
  <c r="FB101" i="2" s="1"/>
  <c r="FA91" i="2"/>
  <c r="FJ91" i="2"/>
  <c r="CQ91" i="2"/>
  <c r="CQ101" i="2" s="1"/>
  <c r="CO91" i="2"/>
  <c r="CO101" i="2" s="1"/>
  <c r="CM91" i="2"/>
  <c r="CM101" i="2" s="1"/>
  <c r="CK91" i="2"/>
  <c r="CK101" i="2" s="1"/>
  <c r="CH91" i="2"/>
  <c r="CH101" i="2" s="1"/>
  <c r="CF91" i="2"/>
  <c r="CF101" i="2" s="1"/>
  <c r="CD91" i="2"/>
  <c r="CD101" i="2" s="1"/>
  <c r="CB91" i="2"/>
  <c r="CB101" i="2" s="1"/>
  <c r="BY91" i="2"/>
  <c r="BY101" i="2" s="1"/>
  <c r="BW91" i="2"/>
  <c r="BW101" i="2" s="1"/>
  <c r="BU91" i="2"/>
  <c r="BU101" i="2" s="1"/>
  <c r="BA26" i="2"/>
  <c r="BA161" i="2" s="1"/>
  <c r="BW26" i="2"/>
  <c r="BS26" i="2"/>
  <c r="BS161" i="2" s="1"/>
  <c r="BL26" i="2"/>
  <c r="BL161" i="2" s="1"/>
  <c r="BU26" i="2"/>
  <c r="FS87" i="2"/>
  <c r="FR10" i="2"/>
  <c r="BN26" i="2"/>
  <c r="BN161" i="2" s="1"/>
  <c r="CB26" i="2"/>
  <c r="CB161" i="2" s="1"/>
  <c r="FR87" i="2"/>
  <c r="BY26" i="2"/>
  <c r="FG84" i="2"/>
  <c r="BC26" i="2"/>
  <c r="BC161" i="2" s="1"/>
  <c r="FS10" i="2"/>
  <c r="Z26" i="2"/>
  <c r="BP26" i="2"/>
  <c r="CN10" i="2"/>
  <c r="EI10" i="2" s="1"/>
  <c r="L12" i="31" s="1"/>
  <c r="J6" i="7" s="1"/>
  <c r="FV86" i="2"/>
  <c r="BJ12" i="2"/>
  <c r="FA135" i="2"/>
  <c r="BA163" i="2"/>
  <c r="J111" i="31"/>
  <c r="S101" i="31"/>
  <c r="P21" i="7" s="1"/>
  <c r="FV87" i="2"/>
  <c r="BA84" i="2"/>
  <c r="FA84" i="2"/>
  <c r="BA54" i="2"/>
  <c r="FA54" i="2"/>
  <c r="FA38" i="2"/>
  <c r="FA32" i="2"/>
  <c r="S27" i="31"/>
  <c r="P9" i="7" s="1"/>
  <c r="BJ26" i="2"/>
  <c r="BJ161" i="2" s="1"/>
  <c r="FA18" i="2"/>
  <c r="BA18" i="2"/>
  <c r="S12" i="31"/>
  <c r="P6" i="7" s="1"/>
  <c r="V26" i="2"/>
  <c r="X26" i="2"/>
  <c r="BE26" i="2"/>
  <c r="BE161" i="2" s="1"/>
  <c r="BT26" i="2"/>
  <c r="BT161" i="2" s="1"/>
  <c r="BE91" i="2"/>
  <c r="BE173" i="2" s="1"/>
  <c r="BG26" i="2"/>
  <c r="BG161" i="2" s="1"/>
  <c r="AD26" i="2"/>
  <c r="CK26" i="2"/>
  <c r="CK161" i="2" s="1"/>
  <c r="DT70" i="2"/>
  <c r="CM26" i="2"/>
  <c r="AL91" i="2"/>
  <c r="AL101" i="2" s="1"/>
  <c r="AN91" i="2"/>
  <c r="AN101" i="2" s="1"/>
  <c r="DG70" i="2"/>
  <c r="AN70" i="2"/>
  <c r="BY70" i="2"/>
  <c r="DH70" i="2"/>
  <c r="AH91" i="2"/>
  <c r="AH101" i="2" s="1"/>
  <c r="DI70" i="2"/>
  <c r="AJ91" i="2"/>
  <c r="AJ101" i="2" s="1"/>
  <c r="BC70" i="2"/>
  <c r="BC164" i="2" s="1"/>
  <c r="CD70" i="2"/>
  <c r="FD26" i="2"/>
  <c r="CD26" i="2"/>
  <c r="BO41" i="2"/>
  <c r="AD70" i="2"/>
  <c r="BN70" i="2"/>
  <c r="CO70" i="2"/>
  <c r="FG70" i="2"/>
  <c r="CH163" i="2"/>
  <c r="AJ135" i="2"/>
  <c r="BV41" i="2"/>
  <c r="AF70" i="2"/>
  <c r="BP70" i="2"/>
  <c r="CQ70" i="2"/>
  <c r="DQ70" i="2"/>
  <c r="BL163" i="2"/>
  <c r="AL135" i="2"/>
  <c r="BU135" i="2"/>
  <c r="BU174" i="2" s="1"/>
  <c r="BX22" i="2"/>
  <c r="AF26" i="2"/>
  <c r="CH26" i="2"/>
  <c r="BX41" i="2"/>
  <c r="AH70" i="2"/>
  <c r="BS70" i="2"/>
  <c r="DR70" i="2"/>
  <c r="AB91" i="2"/>
  <c r="AB101" i="2" s="1"/>
  <c r="BP91" i="2"/>
  <c r="BP101" i="2" s="1"/>
  <c r="BN163" i="2"/>
  <c r="AN135" i="2"/>
  <c r="BW135" i="2"/>
  <c r="BW174" i="2" s="1"/>
  <c r="BN32" i="2"/>
  <c r="BN160" i="2" s="1"/>
  <c r="CN41" i="2"/>
  <c r="CG29" i="2"/>
  <c r="CG32" i="2" s="1"/>
  <c r="AJ32" i="2"/>
  <c r="BL84" i="2"/>
  <c r="BL101" i="2" s="1"/>
  <c r="BU163" i="2"/>
  <c r="CQ26" i="2"/>
  <c r="FH26" i="2"/>
  <c r="BN84" i="2"/>
  <c r="BN171" i="2" s="1"/>
  <c r="BW163" i="2"/>
  <c r="DR26" i="2"/>
  <c r="V70" i="2"/>
  <c r="BE70" i="2"/>
  <c r="CF70" i="2"/>
  <c r="DK70" i="2"/>
  <c r="BY163" i="2"/>
  <c r="BD41" i="2"/>
  <c r="BG70" i="2"/>
  <c r="BF41" i="2"/>
  <c r="BE163" i="2"/>
  <c r="CD163" i="2"/>
  <c r="AF135" i="2"/>
  <c r="BB135" i="2"/>
  <c r="BB174" i="2" s="1"/>
  <c r="BK135" i="2"/>
  <c r="CN22" i="2"/>
  <c r="AL26" i="2"/>
  <c r="CE29" i="2"/>
  <c r="AH32" i="2"/>
  <c r="CQ163" i="2"/>
  <c r="CP22" i="2"/>
  <c r="AN26" i="2"/>
  <c r="CO26" i="2"/>
  <c r="DP26" i="2"/>
  <c r="CP41" i="2"/>
  <c r="DQ26" i="2"/>
  <c r="DJ70" i="2"/>
  <c r="EV18" i="2"/>
  <c r="EY18" i="2"/>
  <c r="EY19" i="2" s="1"/>
  <c r="FI26" i="2"/>
  <c r="DS26" i="2"/>
  <c r="X70" i="2"/>
  <c r="CH70" i="2"/>
  <c r="DT26" i="2"/>
  <c r="Z70" i="2"/>
  <c r="FE70" i="2"/>
  <c r="DU26" i="2"/>
  <c r="BZ199" i="2" s="1"/>
  <c r="BD29" i="2"/>
  <c r="V32" i="2"/>
  <c r="BM41" i="2"/>
  <c r="AB70" i="2"/>
  <c r="CM70" i="2"/>
  <c r="DO70" i="2"/>
  <c r="FF70" i="2"/>
  <c r="BG91" i="2"/>
  <c r="BG173" i="2" s="1"/>
  <c r="CF163" i="2"/>
  <c r="AH135" i="2"/>
  <c r="BO22" i="2"/>
  <c r="AB26" i="2"/>
  <c r="BF29" i="2"/>
  <c r="X32" i="2"/>
  <c r="DP70" i="2"/>
  <c r="X91" i="2"/>
  <c r="X101" i="2" s="1"/>
  <c r="BJ91" i="2"/>
  <c r="BJ101" i="2" s="1"/>
  <c r="CF26" i="2"/>
  <c r="BM29" i="2"/>
  <c r="Z32" i="2"/>
  <c r="BN91" i="2"/>
  <c r="BN173" i="2" s="1"/>
  <c r="AH26" i="2"/>
  <c r="BV29" i="2"/>
  <c r="AD32" i="2"/>
  <c r="FJ29" i="2"/>
  <c r="FJ32" i="2" s="1"/>
  <c r="EY32" i="2"/>
  <c r="CE41" i="2"/>
  <c r="AJ70" i="2"/>
  <c r="BU70" i="2"/>
  <c r="DS70" i="2"/>
  <c r="AD91" i="2"/>
  <c r="AD101" i="2" s="1"/>
  <c r="BS91" i="2"/>
  <c r="EF87" i="2"/>
  <c r="CM163" i="2"/>
  <c r="BY135" i="2"/>
  <c r="BY174" i="2" s="1"/>
  <c r="FB135" i="2"/>
  <c r="AJ26" i="2"/>
  <c r="BX29" i="2"/>
  <c r="BX32" i="2" s="1"/>
  <c r="BX160" i="2" s="1"/>
  <c r="AF32" i="2"/>
  <c r="BL32" i="2"/>
  <c r="BL160" i="2" s="1"/>
  <c r="CG41" i="2"/>
  <c r="AL70" i="2"/>
  <c r="BW70" i="2"/>
  <c r="AF91" i="2"/>
  <c r="AF101" i="2" s="1"/>
  <c r="CO163" i="2"/>
  <c r="CO249" i="2" s="1"/>
  <c r="CB135" i="2"/>
  <c r="CB174" i="2" s="1"/>
  <c r="FC135" i="2"/>
  <c r="FH38" i="2"/>
  <c r="BB38" i="2"/>
  <c r="FI38" i="2"/>
  <c r="FC26" i="2"/>
  <c r="FA26" i="2"/>
  <c r="FB26" i="2"/>
  <c r="CL26" i="2"/>
  <c r="CL161" i="2" s="1"/>
  <c r="DN26" i="2"/>
  <c r="BS199" i="2" s="1"/>
  <c r="FE26" i="2"/>
  <c r="DO26" i="2"/>
  <c r="BT199" i="2" s="1"/>
  <c r="FF26" i="2"/>
  <c r="BM86" i="2"/>
  <c r="Z91" i="2"/>
  <c r="Z101" i="2" s="1"/>
  <c r="V91" i="2"/>
  <c r="V101" i="2" s="1"/>
  <c r="FJ23" i="2"/>
  <c r="V141" i="31"/>
  <c r="S26" i="7" s="1"/>
  <c r="S141" i="31"/>
  <c r="P26" i="7" s="1"/>
  <c r="T141" i="31"/>
  <c r="Q26" i="7" s="1"/>
  <c r="U141" i="31"/>
  <c r="R26" i="7" s="1"/>
  <c r="W141" i="31"/>
  <c r="T26" i="7" s="1"/>
  <c r="X141" i="31"/>
  <c r="U26" i="7" s="1"/>
  <c r="T125" i="31"/>
  <c r="X125" i="31"/>
  <c r="BS163" i="2"/>
  <c r="CB163" i="2"/>
  <c r="BJ163" i="2"/>
  <c r="CK163" i="2"/>
  <c r="W125" i="31"/>
  <c r="CL163" i="2"/>
  <c r="V125" i="31"/>
  <c r="Y98" i="31"/>
  <c r="V20" i="7" s="1"/>
  <c r="U98" i="31"/>
  <c r="R20" i="7" s="1"/>
  <c r="X98" i="31"/>
  <c r="U20" i="7" s="1"/>
  <c r="V98" i="31"/>
  <c r="S20" i="7" s="1"/>
  <c r="S98" i="31"/>
  <c r="P20" i="7" s="1"/>
  <c r="T98" i="31"/>
  <c r="Q20" i="7" s="1"/>
  <c r="BA91" i="2"/>
  <c r="BA173" i="2" s="1"/>
  <c r="W98" i="31"/>
  <c r="T20" i="7" s="1"/>
  <c r="FH101" i="2"/>
  <c r="DU70" i="2"/>
  <c r="BA70" i="2"/>
  <c r="CB70" i="2"/>
  <c r="DL70" i="2"/>
  <c r="FC70" i="2"/>
  <c r="BJ70" i="2"/>
  <c r="CK70" i="2"/>
  <c r="DN70" i="2"/>
  <c r="FD70" i="2"/>
  <c r="DE70" i="2"/>
  <c r="FH70" i="2"/>
  <c r="DF70" i="2"/>
  <c r="FI70" i="2"/>
  <c r="FA70" i="2"/>
  <c r="FH51" i="2"/>
  <c r="FI51" i="2"/>
  <c r="FB51" i="2"/>
  <c r="FA51" i="2"/>
  <c r="FC51" i="2"/>
  <c r="FD51" i="2"/>
  <c r="S47" i="31"/>
  <c r="S48" i="31" s="1"/>
  <c r="V47" i="31"/>
  <c r="S15" i="7" s="1"/>
  <c r="T47" i="31"/>
  <c r="Q15" i="7" s="1"/>
  <c r="W47" i="31"/>
  <c r="T15" i="7" s="1"/>
  <c r="U47" i="31"/>
  <c r="R15" i="7" s="1"/>
  <c r="X47" i="31"/>
  <c r="X48" i="31" s="1"/>
  <c r="W33" i="31"/>
  <c r="T11" i="7" s="1"/>
  <c r="V33" i="31"/>
  <c r="S11" i="7" s="1"/>
  <c r="T33" i="31"/>
  <c r="T36" i="31" s="1"/>
  <c r="X33" i="31"/>
  <c r="X36" i="31" s="1"/>
  <c r="S33" i="31"/>
  <c r="S36" i="31" s="1"/>
  <c r="U33" i="31"/>
  <c r="U36" i="31" s="1"/>
  <c r="W26" i="31"/>
  <c r="T8" i="7" s="1"/>
  <c r="U26" i="31"/>
  <c r="R8" i="7" s="1"/>
  <c r="V26" i="31"/>
  <c r="S8" i="7" s="1"/>
  <c r="S26" i="31"/>
  <c r="P8" i="7" s="1"/>
  <c r="X26" i="31"/>
  <c r="U8" i="7" s="1"/>
  <c r="T26" i="31"/>
  <c r="Q8" i="7" s="1"/>
  <c r="Q111" i="31"/>
  <c r="EG129" i="2"/>
  <c r="EG23" i="2"/>
  <c r="I27" i="31" s="1"/>
  <c r="EF53" i="2"/>
  <c r="FU53" i="2" s="1"/>
  <c r="CQ174" i="2"/>
  <c r="EH10" i="2"/>
  <c r="K12" i="31" s="1"/>
  <c r="I6" i="7" s="1"/>
  <c r="EL15" i="2"/>
  <c r="EG53" i="2"/>
  <c r="EG54" i="2" s="1"/>
  <c r="EL86" i="2"/>
  <c r="I101" i="31"/>
  <c r="EF22" i="2"/>
  <c r="FU22" i="2" s="1"/>
  <c r="EL41" i="2"/>
  <c r="EH51" i="2"/>
  <c r="EH84" i="2"/>
  <c r="EH22" i="2"/>
  <c r="EI87" i="2"/>
  <c r="L101" i="31" s="1"/>
  <c r="J21" i="7" s="1"/>
  <c r="EH129" i="2"/>
  <c r="EH18" i="2"/>
  <c r="EH87" i="2"/>
  <c r="K101" i="31" s="1"/>
  <c r="I21" i="7" s="1"/>
  <c r="EH53" i="2"/>
  <c r="EH54" i="2" s="1"/>
  <c r="EH29" i="2"/>
  <c r="EH114" i="2"/>
  <c r="EH23" i="2"/>
  <c r="K27" i="31" s="1"/>
  <c r="I9" i="7" s="1"/>
  <c r="EH86" i="2"/>
  <c r="EH35" i="2"/>
  <c r="EH38" i="2" s="1"/>
  <c r="EH15" i="2"/>
  <c r="EH41" i="2"/>
  <c r="EG18" i="2"/>
  <c r="BB160" i="2"/>
  <c r="EG29" i="2"/>
  <c r="EG32" i="2" s="1"/>
  <c r="BC160" i="2"/>
  <c r="EK87" i="2"/>
  <c r="N101" i="31" s="1"/>
  <c r="L21" i="7" s="1"/>
  <c r="EF15" i="2"/>
  <c r="EL129" i="2"/>
  <c r="EL22" i="2"/>
  <c r="EF29" i="2"/>
  <c r="EG35" i="2"/>
  <c r="EG38" i="2" s="1"/>
  <c r="EL54" i="2"/>
  <c r="EL87" i="2"/>
  <c r="BT163" i="2"/>
  <c r="EG114" i="2"/>
  <c r="EG10" i="2"/>
  <c r="I12" i="31" s="1"/>
  <c r="EL10" i="2"/>
  <c r="EG15" i="2"/>
  <c r="EL18" i="2"/>
  <c r="BG160" i="2"/>
  <c r="EL29" i="2"/>
  <c r="EL32" i="2" s="1"/>
  <c r="EF41" i="2"/>
  <c r="FU41" i="2" s="1"/>
  <c r="EF114" i="2"/>
  <c r="BB161" i="2"/>
  <c r="EG22" i="2"/>
  <c r="EL51" i="2"/>
  <c r="EF23" i="2"/>
  <c r="EL35" i="2"/>
  <c r="EL38" i="2" s="1"/>
  <c r="EK10" i="2"/>
  <c r="N12" i="31" s="1"/>
  <c r="L6" i="7" s="1"/>
  <c r="EF10" i="2"/>
  <c r="EG41" i="2"/>
  <c r="EG51" i="2"/>
  <c r="EF86" i="2"/>
  <c r="BC163" i="2"/>
  <c r="EF35" i="2"/>
  <c r="BP163" i="2"/>
  <c r="EL114" i="2"/>
  <c r="EF129" i="2"/>
  <c r="FU129" i="2" s="1"/>
  <c r="EL23" i="2"/>
  <c r="X40" i="31"/>
  <c r="U14" i="7" s="1"/>
  <c r="W40" i="31"/>
  <c r="T14" i="7" s="1"/>
  <c r="S40" i="31"/>
  <c r="P14" i="7" s="1"/>
  <c r="T40" i="31"/>
  <c r="Q14" i="7" s="1"/>
  <c r="V40" i="31"/>
  <c r="V43" i="31" s="1"/>
  <c r="U40" i="31"/>
  <c r="R14" i="7" s="1"/>
  <c r="BN174" i="2"/>
  <c r="BE174" i="2"/>
  <c r="CF174" i="2"/>
  <c r="BP174" i="2"/>
  <c r="BJ202" i="2"/>
  <c r="BK198" i="2"/>
  <c r="BK202" i="2"/>
  <c r="BL198" i="2"/>
  <c r="BL202" i="2"/>
  <c r="BK173" i="2"/>
  <c r="BG174" i="2"/>
  <c r="CH174" i="2"/>
  <c r="K135" i="2"/>
  <c r="BL174" i="2"/>
  <c r="CK174" i="2"/>
  <c r="CD174" i="2"/>
  <c r="BC174" i="2"/>
  <c r="CM174" i="2"/>
  <c r="CO174" i="2"/>
  <c r="CO260" i="2" s="1"/>
  <c r="CO160" i="2"/>
  <c r="CQ160" i="2"/>
  <c r="M26" i="31"/>
  <c r="K8" i="7" s="1"/>
  <c r="M27" i="31"/>
  <c r="K9" i="7" s="1"/>
  <c r="M12" i="31"/>
  <c r="K6" i="7" s="1"/>
  <c r="M47" i="31"/>
  <c r="K15" i="7" s="1"/>
  <c r="M33" i="31"/>
  <c r="K19" i="2"/>
  <c r="CF198" i="2"/>
  <c r="CH198" i="2"/>
  <c r="V57" i="31"/>
  <c r="S18" i="7" s="1"/>
  <c r="CC198" i="2"/>
  <c r="S57" i="31"/>
  <c r="P18" i="7" s="1"/>
  <c r="CF213" i="2"/>
  <c r="W57" i="31"/>
  <c r="T18" i="7" s="1"/>
  <c r="T57" i="31"/>
  <c r="Q18" i="7" s="1"/>
  <c r="CB198" i="2"/>
  <c r="U57" i="31"/>
  <c r="R18" i="7" s="1"/>
  <c r="X57" i="31"/>
  <c r="U18" i="7" s="1"/>
  <c r="X17" i="31"/>
  <c r="W17" i="31"/>
  <c r="V17" i="31"/>
  <c r="T17" i="31"/>
  <c r="CC213" i="2"/>
  <c r="CH213" i="2"/>
  <c r="CD213" i="2"/>
  <c r="CB213" i="2"/>
  <c r="S17" i="31"/>
  <c r="BT70" i="2"/>
  <c r="BA76" i="2"/>
  <c r="BA167" i="2" s="1"/>
  <c r="DA87" i="2"/>
  <c r="BF216" i="2" s="1"/>
  <c r="DB87" i="2"/>
  <c r="BG216" i="2" s="1"/>
  <c r="CY87" i="2"/>
  <c r="BD216" i="2" s="1"/>
  <c r="CZ87" i="2"/>
  <c r="BE216" i="2" s="1"/>
  <c r="BG218" i="2"/>
  <c r="BN226" i="2"/>
  <c r="CX86" i="2"/>
  <c r="CV86" i="2"/>
  <c r="BG171" i="2"/>
  <c r="DG114" i="2"/>
  <c r="BE171" i="2"/>
  <c r="DI84" i="2"/>
  <c r="DI101" i="2" s="1"/>
  <c r="CZ86" i="2"/>
  <c r="CZ91" i="2" s="1"/>
  <c r="DB86" i="2"/>
  <c r="DK114" i="2"/>
  <c r="BA218" i="2"/>
  <c r="CV129" i="2"/>
  <c r="DE114" i="2"/>
  <c r="DI114" i="2"/>
  <c r="CW129" i="2"/>
  <c r="BB218" i="2"/>
  <c r="BC171" i="2"/>
  <c r="CV87" i="2"/>
  <c r="BA216" i="2" s="1"/>
  <c r="BJ226" i="2"/>
  <c r="CX129" i="2"/>
  <c r="DB129" i="2"/>
  <c r="DB135" i="2" s="1"/>
  <c r="DF114" i="2"/>
  <c r="CW87" i="2"/>
  <c r="BB216" i="2" s="1"/>
  <c r="CX87" i="2"/>
  <c r="BC216" i="2" s="1"/>
  <c r="BF218" i="2"/>
  <c r="BE218" i="2"/>
  <c r="BL226" i="2"/>
  <c r="CZ129" i="2"/>
  <c r="BV213" i="2"/>
  <c r="BU213" i="2"/>
  <c r="CQ171" i="2"/>
  <c r="BU171" i="2"/>
  <c r="BW171" i="2"/>
  <c r="BY171" i="2"/>
  <c r="CF171" i="2"/>
  <c r="CD202" i="2"/>
  <c r="BN172" i="2"/>
  <c r="CO172" i="2"/>
  <c r="CH226" i="2"/>
  <c r="CE202" i="2"/>
  <c r="CQ172" i="2"/>
  <c r="CF202" i="2"/>
  <c r="BW226" i="2"/>
  <c r="BX226" i="2"/>
  <c r="BB261" i="2"/>
  <c r="CB171" i="2"/>
  <c r="BL164" i="2"/>
  <c r="CC171" i="2"/>
  <c r="CM172" i="2"/>
  <c r="CG226" i="2"/>
  <c r="CG202" i="2"/>
  <c r="BY76" i="2"/>
  <c r="BY167" i="2" s="1"/>
  <c r="BY226" i="2"/>
  <c r="CH171" i="2"/>
  <c r="BJ171" i="2"/>
  <c r="CD171" i="2"/>
  <c r="CO209" i="2"/>
  <c r="CV76" i="2"/>
  <c r="BA205" i="2" s="1"/>
  <c r="CH202" i="2"/>
  <c r="CK171" i="2"/>
  <c r="CC135" i="2"/>
  <c r="BF86" i="2"/>
  <c r="BH86" i="2" s="1"/>
  <c r="BD114" i="2"/>
  <c r="BM18" i="2"/>
  <c r="CE172" i="2"/>
  <c r="BO18" i="2"/>
  <c r="BL166" i="2"/>
  <c r="CD76" i="2"/>
  <c r="CD167" i="2" s="1"/>
  <c r="BU172" i="2"/>
  <c r="CN172" i="2"/>
  <c r="BW172" i="2"/>
  <c r="BS226" i="2"/>
  <c r="CG70" i="2"/>
  <c r="CN86" i="2"/>
  <c r="CN91" i="2" s="1"/>
  <c r="BY220" i="2"/>
  <c r="CO210" i="2"/>
  <c r="CN210" i="2"/>
  <c r="FG18" i="2"/>
  <c r="CN70" i="2"/>
  <c r="CE76" i="2"/>
  <c r="CE167" i="2" s="1"/>
  <c r="AH76" i="2"/>
  <c r="CP86" i="2"/>
  <c r="CP91" i="2" s="1"/>
  <c r="CP210" i="2"/>
  <c r="CG114" i="2"/>
  <c r="BD129" i="2"/>
  <c r="BP76" i="2"/>
  <c r="BP167" i="2" s="1"/>
  <c r="BS220" i="2"/>
  <c r="BE172" i="2"/>
  <c r="CF172" i="2"/>
  <c r="CQ210" i="2"/>
  <c r="CK210" i="2"/>
  <c r="CN114" i="2"/>
  <c r="EL76" i="2"/>
  <c r="CQ205" i="2" s="1"/>
  <c r="BN76" i="2"/>
  <c r="BN167" i="2" s="1"/>
  <c r="BC76" i="2"/>
  <c r="BC167" i="2" s="1"/>
  <c r="CN84" i="2"/>
  <c r="BG172" i="2"/>
  <c r="CH172" i="2"/>
  <c r="BL172" i="2"/>
  <c r="CD226" i="2"/>
  <c r="CP114" i="2"/>
  <c r="BM129" i="2"/>
  <c r="EU76" i="2"/>
  <c r="EU79" i="2" s="1"/>
  <c r="EU148" i="2" s="1"/>
  <c r="EU150" i="2" s="1"/>
  <c r="EU151" i="2" s="1"/>
  <c r="BV129" i="2"/>
  <c r="BV172" i="2"/>
  <c r="BX129" i="2"/>
  <c r="EC76" i="2"/>
  <c r="BO86" i="2"/>
  <c r="BX172" i="2"/>
  <c r="BP172" i="2"/>
  <c r="BF114" i="2"/>
  <c r="CE129" i="2"/>
  <c r="BO70" i="2"/>
  <c r="BV86" i="2"/>
  <c r="BM114" i="2"/>
  <c r="CG129" i="2"/>
  <c r="BV70" i="2"/>
  <c r="BG76" i="2"/>
  <c r="BG167" i="2" s="1"/>
  <c r="BX86" i="2"/>
  <c r="BX91" i="2" s="1"/>
  <c r="BO114" i="2"/>
  <c r="CN129" i="2"/>
  <c r="CN135" i="2" s="1"/>
  <c r="BV18" i="2"/>
  <c r="BX70" i="2"/>
  <c r="CF76" i="2"/>
  <c r="CF167" i="2" s="1"/>
  <c r="BO84" i="2"/>
  <c r="CE86" i="2"/>
  <c r="BV114" i="2"/>
  <c r="CP129" i="2"/>
  <c r="BX18" i="2"/>
  <c r="CE70" i="2"/>
  <c r="CH76" i="2"/>
  <c r="CH167" i="2" s="1"/>
  <c r="DB76" i="2"/>
  <c r="BG205" i="2" s="1"/>
  <c r="BV84" i="2"/>
  <c r="CG86" i="2"/>
  <c r="CG91" i="2" s="1"/>
  <c r="CP172" i="2"/>
  <c r="BY172" i="2"/>
  <c r="BS172" i="2"/>
  <c r="BT226" i="2"/>
  <c r="CM210" i="2"/>
  <c r="BX114" i="2"/>
  <c r="CE18" i="2"/>
  <c r="EY35" i="2"/>
  <c r="EY38" i="2" s="1"/>
  <c r="BN166" i="2"/>
  <c r="BX84" i="2"/>
  <c r="CE114" i="2"/>
  <c r="CG18" i="2"/>
  <c r="CE84" i="2"/>
  <c r="CD172" i="2"/>
  <c r="FJ114" i="2"/>
  <c r="FF10" i="2"/>
  <c r="CN18" i="2"/>
  <c r="CP70" i="2"/>
  <c r="CG76" i="2"/>
  <c r="CG167" i="2" s="1"/>
  <c r="AJ76" i="2"/>
  <c r="CM76" i="2"/>
  <c r="CM167" i="2" s="1"/>
  <c r="BL76" i="2"/>
  <c r="BL167" i="2" s="1"/>
  <c r="CG84" i="2"/>
  <c r="BP171" i="2"/>
  <c r="BF129" i="2"/>
  <c r="CP18" i="2"/>
  <c r="AL76" i="2"/>
  <c r="CO76" i="2"/>
  <c r="CO167" i="2" s="1"/>
  <c r="CP76" i="2"/>
  <c r="CP167" i="2" s="1"/>
  <c r="AN76" i="2"/>
  <c r="CQ76" i="2"/>
  <c r="CQ167" i="2" s="1"/>
  <c r="CP84" i="2"/>
  <c r="CO171" i="2"/>
  <c r="CF226" i="2"/>
  <c r="CE226" i="2"/>
  <c r="BO129" i="2"/>
  <c r="CX76" i="2"/>
  <c r="BC205" i="2" s="1"/>
  <c r="BE76" i="2"/>
  <c r="BE167" i="2" s="1"/>
  <c r="FJ70" i="2"/>
  <c r="FJ53" i="2"/>
  <c r="FJ54" i="2" s="1"/>
  <c r="FJ51" i="2"/>
  <c r="FJ41" i="2"/>
  <c r="FV41" i="2" s="1"/>
  <c r="FJ15" i="2"/>
  <c r="BM23" i="2"/>
  <c r="CE23" i="2"/>
  <c r="CG23" i="2"/>
  <c r="BD23" i="2"/>
  <c r="BF23" i="2"/>
  <c r="BO23" i="2"/>
  <c r="BV23" i="2"/>
  <c r="BX23" i="2"/>
  <c r="BM35" i="2"/>
  <c r="BV35" i="2"/>
  <c r="CP35" i="2"/>
  <c r="CP38" i="2" s="1"/>
  <c r="BF35" i="2"/>
  <c r="BO35" i="2"/>
  <c r="BO38" i="2" s="1"/>
  <c r="BX35" i="2"/>
  <c r="BX38" i="2" s="1"/>
  <c r="CE35" i="2"/>
  <c r="CG35" i="2"/>
  <c r="CG38" i="2" s="1"/>
  <c r="CN35" i="2"/>
  <c r="CN38" i="2" s="1"/>
  <c r="BD35" i="2"/>
  <c r="CN51" i="2"/>
  <c r="CP51" i="2"/>
  <c r="BF51" i="2"/>
  <c r="BO51" i="2"/>
  <c r="BV51" i="2"/>
  <c r="CE51" i="2"/>
  <c r="CG51" i="2"/>
  <c r="BD51" i="2"/>
  <c r="BM51" i="2"/>
  <c r="BX51" i="2"/>
  <c r="BD53" i="2"/>
  <c r="BF53" i="2"/>
  <c r="BM53" i="2"/>
  <c r="CE53" i="2"/>
  <c r="CG53" i="2"/>
  <c r="CG54" i="2" s="1"/>
  <c r="CP53" i="2"/>
  <c r="CP54" i="2" s="1"/>
  <c r="BO53" i="2"/>
  <c r="BO54" i="2" s="1"/>
  <c r="BV53" i="2"/>
  <c r="BX53" i="2"/>
  <c r="BX54" i="2" s="1"/>
  <c r="CN53" i="2"/>
  <c r="CN54" i="2" s="1"/>
  <c r="BF15" i="2"/>
  <c r="BO15" i="2"/>
  <c r="BX15" i="2"/>
  <c r="CG15" i="2"/>
  <c r="BZ226" i="2"/>
  <c r="BK172" i="2"/>
  <c r="CK172" i="2"/>
  <c r="CB172" i="2"/>
  <c r="CR210" i="2"/>
  <c r="CL210" i="2"/>
  <c r="CB226" i="2"/>
  <c r="BJ172" i="2"/>
  <c r="CC226" i="2"/>
  <c r="BT220" i="2"/>
  <c r="BK171" i="2"/>
  <c r="CL171" i="2"/>
  <c r="BS171" i="2"/>
  <c r="FA76" i="2"/>
  <c r="FC76" i="2"/>
  <c r="CK76" i="2"/>
  <c r="CK167" i="2" s="1"/>
  <c r="FG76" i="2"/>
  <c r="CB76" i="2"/>
  <c r="CB167" i="2" s="1"/>
  <c r="EF76" i="2"/>
  <c r="FD76" i="2"/>
  <c r="DW76" i="2"/>
  <c r="FH76" i="2"/>
  <c r="FI76" i="2"/>
  <c r="BS76" i="2"/>
  <c r="BS167" i="2" s="1"/>
  <c r="FB76" i="2"/>
  <c r="BJ76" i="2"/>
  <c r="BJ167" i="2" s="1"/>
  <c r="FE76" i="2"/>
  <c r="CI202" i="2"/>
  <c r="CB202" i="2"/>
  <c r="CC202" i="2"/>
  <c r="CC161" i="2"/>
  <c r="BK161" i="2"/>
  <c r="X76" i="2"/>
  <c r="V76" i="2"/>
  <c r="EG76" i="2"/>
  <c r="CL205" i="2" s="1"/>
  <c r="BU76" i="2"/>
  <c r="BW76" i="2"/>
  <c r="EH76" i="2"/>
  <c r="CM205" i="2" s="1"/>
  <c r="CW76" i="2"/>
  <c r="BB205" i="2" s="1"/>
  <c r="DX76" i="2"/>
  <c r="EJ76" i="2"/>
  <c r="DA76" i="2"/>
  <c r="EA76" i="2"/>
  <c r="EB76" i="2"/>
  <c r="CZ76" i="2"/>
  <c r="EK76" i="2"/>
  <c r="CP205" i="2" s="1"/>
  <c r="AF76" i="2"/>
  <c r="CY76" i="2"/>
  <c r="BD205" i="2" s="1"/>
  <c r="EI76" i="2"/>
  <c r="CN205" i="2" s="1"/>
  <c r="DC76" i="2"/>
  <c r="BH205" i="2" s="1"/>
  <c r="DZ76" i="2"/>
  <c r="EM76" i="2"/>
  <c r="CR205" i="2" s="1"/>
  <c r="DY76" i="2"/>
  <c r="BV76" i="2"/>
  <c r="AD76" i="2"/>
  <c r="ED76" i="2"/>
  <c r="BO76" i="2"/>
  <c r="BO167" i="2" s="1"/>
  <c r="AB76" i="2"/>
  <c r="BM76" i="2"/>
  <c r="BM167" i="2" s="1"/>
  <c r="Z76" i="2"/>
  <c r="BU226" i="2"/>
  <c r="BC172" i="2"/>
  <c r="BV226" i="2"/>
  <c r="CI226" i="2"/>
  <c r="BU220" i="2"/>
  <c r="BV220" i="2"/>
  <c r="BC173" i="2"/>
  <c r="BZ220" i="2"/>
  <c r="BL173" i="2"/>
  <c r="BM172" i="2"/>
  <c r="L86" i="2"/>
  <c r="L91" i="2" s="1"/>
  <c r="K91" i="2"/>
  <c r="K101" i="2" s="1"/>
  <c r="CL70" i="2"/>
  <c r="K70" i="2"/>
  <c r="K73" i="2"/>
  <c r="BT135" i="2"/>
  <c r="CL135" i="2"/>
  <c r="CL172" i="2"/>
  <c r="BT172" i="2"/>
  <c r="BB172" i="2"/>
  <c r="BP226" i="2"/>
  <c r="CC86" i="2"/>
  <c r="CC91" i="2" s="1"/>
  <c r="CC101" i="2" s="1"/>
  <c r="BT86" i="2"/>
  <c r="BT91" i="2" s="1"/>
  <c r="BT173" i="2" s="1"/>
  <c r="CL86" i="2"/>
  <c r="CL91" i="2" s="1"/>
  <c r="CL101" i="2" s="1"/>
  <c r="CR87" i="2"/>
  <c r="CA213" i="2"/>
  <c r="FF84" i="2"/>
  <c r="BI213" i="2"/>
  <c r="K76" i="2"/>
  <c r="DJ76" i="2"/>
  <c r="DI76" i="2"/>
  <c r="DK76" i="2"/>
  <c r="BP205" i="2" s="1"/>
  <c r="DF76" i="2"/>
  <c r="BK205" i="2" s="1"/>
  <c r="DH76" i="2"/>
  <c r="BM205" i="2" s="1"/>
  <c r="DE76" i="2"/>
  <c r="BJ205" i="2" s="1"/>
  <c r="DG76" i="2"/>
  <c r="BL205" i="2" s="1"/>
  <c r="L73" i="2"/>
  <c r="CC70" i="2"/>
  <c r="L70" i="2"/>
  <c r="DV53" i="2"/>
  <c r="DV54" i="2" s="1"/>
  <c r="DB54" i="2"/>
  <c r="CW53" i="2"/>
  <c r="CW54" i="2" s="1"/>
  <c r="CX53" i="2"/>
  <c r="CX54" i="2" s="1"/>
  <c r="DM53" i="2"/>
  <c r="DM54" i="2" s="1"/>
  <c r="CZ53" i="2"/>
  <c r="CZ54" i="2" s="1"/>
  <c r="CV53" i="2"/>
  <c r="CV54" i="2" s="1"/>
  <c r="DF51" i="2"/>
  <c r="DI51" i="2"/>
  <c r="DK51" i="2"/>
  <c r="DV51" i="2"/>
  <c r="DD51" i="2"/>
  <c r="DE51" i="2"/>
  <c r="DG51" i="2"/>
  <c r="DD41" i="2"/>
  <c r="DI41" i="2"/>
  <c r="DJ41" i="2"/>
  <c r="DK41" i="2"/>
  <c r="DV41" i="2"/>
  <c r="DF41" i="2"/>
  <c r="DH41" i="2"/>
  <c r="DG41" i="2"/>
  <c r="DE41" i="2"/>
  <c r="FG35" i="2"/>
  <c r="FG38" i="2" s="1"/>
  <c r="DV35" i="2"/>
  <c r="CV35" i="2"/>
  <c r="CV38" i="2" s="1"/>
  <c r="DB35" i="2"/>
  <c r="DB38" i="2" s="1"/>
  <c r="CW35" i="2"/>
  <c r="CW38" i="2" s="1"/>
  <c r="DM35" i="2"/>
  <c r="CX35" i="2"/>
  <c r="CX38" i="2" s="1"/>
  <c r="DF38" i="2"/>
  <c r="CZ35" i="2"/>
  <c r="CZ38" i="2" s="1"/>
  <c r="DE38" i="2"/>
  <c r="CC160" i="2"/>
  <c r="FG23" i="2"/>
  <c r="FG26" i="2" s="1"/>
  <c r="BV198" i="2"/>
  <c r="BM198" i="2"/>
  <c r="BW198" i="2"/>
  <c r="CF160" i="2"/>
  <c r="BY198" i="2"/>
  <c r="BT160" i="2"/>
  <c r="L32" i="2"/>
  <c r="BE160" i="2"/>
  <c r="CH160" i="2"/>
  <c r="BP160" i="2"/>
  <c r="BN198" i="2"/>
  <c r="BS198" i="2"/>
  <c r="BT198" i="2"/>
  <c r="BK160" i="2"/>
  <c r="CD160" i="2"/>
  <c r="BZ198" i="2"/>
  <c r="BP198" i="2"/>
  <c r="BO29" i="2"/>
  <c r="BO32" i="2" s="1"/>
  <c r="DB29" i="2"/>
  <c r="DB32" i="2" s="1"/>
  <c r="BX198" i="2"/>
  <c r="CW29" i="2"/>
  <c r="CW32" i="2" s="1"/>
  <c r="CN29" i="2"/>
  <c r="CX29" i="2"/>
  <c r="CX32" i="2" s="1"/>
  <c r="CD198" i="2"/>
  <c r="CV29" i="2"/>
  <c r="CV32" i="2" s="1"/>
  <c r="BO198" i="2"/>
  <c r="BW160" i="2"/>
  <c r="BU160" i="2"/>
  <c r="CK160" i="2"/>
  <c r="CM160" i="2"/>
  <c r="DV29" i="2"/>
  <c r="DV32" i="2" s="1"/>
  <c r="DM29" i="2"/>
  <c r="DM32" i="2" s="1"/>
  <c r="CP29" i="2"/>
  <c r="CP32" i="2" s="1"/>
  <c r="CZ29" i="2"/>
  <c r="CZ32" i="2" s="1"/>
  <c r="BY160" i="2"/>
  <c r="BU198" i="2"/>
  <c r="DB23" i="2"/>
  <c r="DB26" i="2" s="1"/>
  <c r="CG22" i="2"/>
  <c r="L26" i="2"/>
  <c r="CE22" i="2"/>
  <c r="DE22" i="2"/>
  <c r="DE26" i="2" s="1"/>
  <c r="DF22" i="2"/>
  <c r="DF26" i="2" s="1"/>
  <c r="CP23" i="2"/>
  <c r="DV23" i="2"/>
  <c r="DV22" i="2"/>
  <c r="FJ22" i="2"/>
  <c r="FV22" i="2" s="1"/>
  <c r="CV23" i="2"/>
  <c r="CV26" i="2" s="1"/>
  <c r="CW23" i="2"/>
  <c r="CW26" i="2" s="1"/>
  <c r="DM23" i="2"/>
  <c r="DG22" i="2"/>
  <c r="DG26" i="2" s="1"/>
  <c r="CX23" i="2"/>
  <c r="CX26" i="2" s="1"/>
  <c r="BD22" i="2"/>
  <c r="CZ23" i="2"/>
  <c r="CZ26" i="2" s="1"/>
  <c r="BM22" i="2"/>
  <c r="DI22" i="2"/>
  <c r="DI26" i="2" s="1"/>
  <c r="BF22" i="2"/>
  <c r="CN23" i="2"/>
  <c r="DD22" i="2"/>
  <c r="DK22" i="2"/>
  <c r="DK26" i="2" s="1"/>
  <c r="BV22" i="2"/>
  <c r="DB18" i="2"/>
  <c r="CX18" i="2"/>
  <c r="DM18" i="2"/>
  <c r="CV18" i="2"/>
  <c r="CW18" i="2"/>
  <c r="CZ18" i="2"/>
  <c r="DV15" i="2"/>
  <c r="CZ15" i="2"/>
  <c r="DB15" i="2"/>
  <c r="DM15" i="2"/>
  <c r="CV15" i="2"/>
  <c r="CW15" i="2"/>
  <c r="CX15" i="2"/>
  <c r="DM10" i="2"/>
  <c r="DA10" i="2"/>
  <c r="DB10" i="2"/>
  <c r="CX10" i="2"/>
  <c r="CZ10" i="2"/>
  <c r="CI10" i="2"/>
  <c r="CJ10" i="2" s="1"/>
  <c r="CV10" i="2"/>
  <c r="DV10" i="2"/>
  <c r="CW10" i="2"/>
  <c r="CY10" i="2"/>
  <c r="BQ10" i="2"/>
  <c r="BR10" i="2" s="1"/>
  <c r="BZ10" i="2"/>
  <c r="CA10" i="2" s="1"/>
  <c r="DE12" i="2"/>
  <c r="BS101" i="2" l="1"/>
  <c r="BS173" i="2"/>
  <c r="EV148" i="2"/>
  <c r="EV150" i="2" s="1"/>
  <c r="EV151" i="2" s="1"/>
  <c r="CI22" i="2"/>
  <c r="BH35" i="2"/>
  <c r="BH53" i="2"/>
  <c r="BJ19" i="2"/>
  <c r="BA19" i="2"/>
  <c r="BQ129" i="2"/>
  <c r="BQ135" i="2" s="1"/>
  <c r="BQ22" i="2"/>
  <c r="BH41" i="2"/>
  <c r="BH29" i="2"/>
  <c r="BZ41" i="2"/>
  <c r="CA41" i="2" s="1"/>
  <c r="BQ41" i="2"/>
  <c r="BR41" i="2" s="1"/>
  <c r="BQ29" i="2"/>
  <c r="CI41" i="2"/>
  <c r="CJ41" i="2" s="1"/>
  <c r="BH129" i="2"/>
  <c r="BQ23" i="2"/>
  <c r="CI23" i="2"/>
  <c r="CJ23" i="2" s="1"/>
  <c r="BH23" i="2"/>
  <c r="BZ23" i="2"/>
  <c r="CA23" i="2" s="1"/>
  <c r="BH22" i="2"/>
  <c r="BZ22" i="2"/>
  <c r="BV135" i="2"/>
  <c r="BV174" i="2" s="1"/>
  <c r="BZ129" i="2"/>
  <c r="BM38" i="2"/>
  <c r="BQ35" i="2"/>
  <c r="BQ38" i="2" s="1"/>
  <c r="BV38" i="2"/>
  <c r="BZ35" i="2"/>
  <c r="BZ38" i="2" s="1"/>
  <c r="CE38" i="2"/>
  <c r="CI35" i="2"/>
  <c r="CI38" i="2" s="1"/>
  <c r="BM54" i="2"/>
  <c r="BQ53" i="2"/>
  <c r="BQ54" i="2" s="1"/>
  <c r="CE54" i="2"/>
  <c r="CI53" i="2"/>
  <c r="CI54" i="2" s="1"/>
  <c r="BV54" i="2"/>
  <c r="BZ53" i="2"/>
  <c r="BZ54" i="2" s="1"/>
  <c r="BD15" i="2"/>
  <c r="BM15" i="2"/>
  <c r="BQ15" i="2"/>
  <c r="BV15" i="2"/>
  <c r="BZ15" i="2"/>
  <c r="CE15" i="2"/>
  <c r="CI15" i="2"/>
  <c r="CE32" i="2"/>
  <c r="CE160" i="2" s="1"/>
  <c r="CI29" i="2"/>
  <c r="CI32" i="2" s="1"/>
  <c r="CI160" i="2" s="1"/>
  <c r="BV32" i="2"/>
  <c r="BV160" i="2" s="1"/>
  <c r="BZ29" i="2"/>
  <c r="BZ32" i="2" s="1"/>
  <c r="BZ160" i="2" s="1"/>
  <c r="BM91" i="2"/>
  <c r="BM173" i="2" s="1"/>
  <c r="BQ86" i="2"/>
  <c r="CE135" i="2"/>
  <c r="CE174" i="2" s="1"/>
  <c r="CI129" i="2"/>
  <c r="BV91" i="2"/>
  <c r="BV101" i="2" s="1"/>
  <c r="BZ86" i="2"/>
  <c r="BZ91" i="2" s="1"/>
  <c r="BZ173" i="2" s="1"/>
  <c r="CE91" i="2"/>
  <c r="CE101" i="2" s="1"/>
  <c r="CI86" i="2"/>
  <c r="CI91" i="2" s="1"/>
  <c r="EL91" i="2"/>
  <c r="CQ211" i="2" s="1"/>
  <c r="CQ259" i="2" s="1"/>
  <c r="DB91" i="2"/>
  <c r="DB101" i="2" s="1"/>
  <c r="FV91" i="2"/>
  <c r="CV91" i="2"/>
  <c r="CV101" i="2" s="1"/>
  <c r="BA171" i="2"/>
  <c r="BA101" i="2"/>
  <c r="K98" i="31"/>
  <c r="I20" i="7" s="1"/>
  <c r="EH91" i="2"/>
  <c r="EH101" i="2" s="1"/>
  <c r="FU86" i="2"/>
  <c r="EF91" i="2"/>
  <c r="BC215" i="2"/>
  <c r="CX91" i="2"/>
  <c r="CX101" i="2" s="1"/>
  <c r="BT101" i="2"/>
  <c r="BT259" i="2"/>
  <c r="FG101" i="2"/>
  <c r="BG101" i="2"/>
  <c r="CR10" i="2"/>
  <c r="CS10" i="2" s="1"/>
  <c r="AC111" i="31"/>
  <c r="R7" i="7"/>
  <c r="U17" i="31"/>
  <c r="FV29" i="2"/>
  <c r="FR22" i="2"/>
  <c r="BE101" i="2"/>
  <c r="BF32" i="2"/>
  <c r="BF160" i="2" s="1"/>
  <c r="FS29" i="2"/>
  <c r="BD32" i="2"/>
  <c r="BD160" i="2" s="1"/>
  <c r="FR29" i="2"/>
  <c r="BD84" i="2"/>
  <c r="BD135" i="2"/>
  <c r="BD174" i="2" s="1"/>
  <c r="FR129" i="2"/>
  <c r="FR114" i="2"/>
  <c r="BD163" i="2"/>
  <c r="BF91" i="2"/>
  <c r="BF173" i="2" s="1"/>
  <c r="FS86" i="2"/>
  <c r="FS91" i="2" s="1"/>
  <c r="BF70" i="2"/>
  <c r="BF164" i="2" s="1"/>
  <c r="BD91" i="2"/>
  <c r="BD173" i="2" s="1"/>
  <c r="FR41" i="2"/>
  <c r="FS22" i="2"/>
  <c r="FS23" i="2"/>
  <c r="FS114" i="2"/>
  <c r="BF163" i="2"/>
  <c r="BD70" i="2"/>
  <c r="BD164" i="2" s="1"/>
  <c r="FR23" i="2"/>
  <c r="BF84" i="2"/>
  <c r="BF38" i="2"/>
  <c r="FS35" i="2"/>
  <c r="BF18" i="2"/>
  <c r="BD18" i="2"/>
  <c r="FS41" i="2"/>
  <c r="BF54" i="2"/>
  <c r="FS53" i="2"/>
  <c r="BD38" i="2"/>
  <c r="FR35" i="2"/>
  <c r="BF135" i="2"/>
  <c r="BF174" i="2" s="1"/>
  <c r="FS129" i="2"/>
  <c r="BD54" i="2"/>
  <c r="FR53" i="2"/>
  <c r="FA101" i="2"/>
  <c r="FR86" i="2"/>
  <c r="FR91" i="2" s="1"/>
  <c r="FU114" i="2"/>
  <c r="CK201" i="2"/>
  <c r="CK249" i="2" s="1"/>
  <c r="FV114" i="2"/>
  <c r="H101" i="31"/>
  <c r="G21" i="7" s="1"/>
  <c r="FU87" i="2"/>
  <c r="FV53" i="2"/>
  <c r="EF38" i="2"/>
  <c r="FU35" i="2"/>
  <c r="EF32" i="2"/>
  <c r="FU29" i="2"/>
  <c r="H27" i="31"/>
  <c r="J27" i="31" s="1"/>
  <c r="FU23" i="2"/>
  <c r="FV23" i="2"/>
  <c r="EF18" i="2"/>
  <c r="H12" i="31"/>
  <c r="G6" i="7" s="1"/>
  <c r="FU10" i="2"/>
  <c r="DE19" i="2"/>
  <c r="U125" i="31"/>
  <c r="S125" i="31"/>
  <c r="H21" i="7"/>
  <c r="H9" i="7"/>
  <c r="H6" i="7"/>
  <c r="BX101" i="2"/>
  <c r="DH79" i="2"/>
  <c r="AD79" i="2"/>
  <c r="FI79" i="2"/>
  <c r="BY79" i="2"/>
  <c r="CK79" i="2"/>
  <c r="FG79" i="2"/>
  <c r="Y33" i="31"/>
  <c r="Y36" i="31" s="1"/>
  <c r="EK41" i="2"/>
  <c r="N47" i="31" s="1"/>
  <c r="L15" i="7" s="1"/>
  <c r="DG79" i="2"/>
  <c r="BM26" i="2"/>
  <c r="BM161" i="2" s="1"/>
  <c r="CQ79" i="2"/>
  <c r="FA79" i="2"/>
  <c r="BJ79" i="2"/>
  <c r="DJ79" i="2"/>
  <c r="DK79" i="2"/>
  <c r="BS79" i="2"/>
  <c r="BL79" i="2"/>
  <c r="X79" i="2"/>
  <c r="CO79" i="2"/>
  <c r="CR41" i="2"/>
  <c r="CS41" i="2" s="1"/>
  <c r="BE79" i="2"/>
  <c r="BV26" i="2"/>
  <c r="BO79" i="2"/>
  <c r="CX70" i="2"/>
  <c r="CX79" i="2" s="1"/>
  <c r="DI79" i="2"/>
  <c r="AB79" i="2"/>
  <c r="EG26" i="2"/>
  <c r="CL199" i="2" s="1"/>
  <c r="CL247" i="2" s="1"/>
  <c r="CP26" i="2"/>
  <c r="V79" i="2"/>
  <c r="CP101" i="2"/>
  <c r="DF79" i="2"/>
  <c r="BP79" i="2"/>
  <c r="CE79" i="2"/>
  <c r="BV79" i="2"/>
  <c r="CG79" i="2"/>
  <c r="BG79" i="2"/>
  <c r="BJ173" i="2"/>
  <c r="CN101" i="2"/>
  <c r="EL26" i="2"/>
  <c r="CQ199" i="2" s="1"/>
  <c r="CF79" i="2"/>
  <c r="FC79" i="2"/>
  <c r="CG26" i="2"/>
  <c r="AN79" i="2"/>
  <c r="AF79" i="2"/>
  <c r="DM70" i="2"/>
  <c r="CD205" i="2"/>
  <c r="DY79" i="2"/>
  <c r="DY148" i="2" s="1"/>
  <c r="DY150" i="2" s="1"/>
  <c r="DY151" i="2" s="1"/>
  <c r="CO205" i="2"/>
  <c r="CO253" i="2" s="1"/>
  <c r="EJ79" i="2"/>
  <c r="EJ148" i="2" s="1"/>
  <c r="EJ150" i="2" s="1"/>
  <c r="EJ151" i="2" s="1"/>
  <c r="CE163" i="2"/>
  <c r="CZ70" i="2"/>
  <c r="CZ79" i="2" s="1"/>
  <c r="CC205" i="2"/>
  <c r="DX79" i="2"/>
  <c r="DX148" i="2" s="1"/>
  <c r="DX150" i="2" s="1"/>
  <c r="DX151" i="2" s="1"/>
  <c r="CB205" i="2"/>
  <c r="DW79" i="2"/>
  <c r="DW148" i="2" s="1"/>
  <c r="DW150" i="2" s="1"/>
  <c r="DW151" i="2" s="1"/>
  <c r="BG164" i="2"/>
  <c r="CW135" i="2"/>
  <c r="K26" i="31"/>
  <c r="I8" i="7" s="1"/>
  <c r="EH26" i="2"/>
  <c r="CM199" i="2" s="1"/>
  <c r="FF101" i="2"/>
  <c r="CE205" i="2"/>
  <c r="DZ79" i="2"/>
  <c r="DZ148" i="2" s="1"/>
  <c r="DZ150" i="2" s="1"/>
  <c r="DZ151" i="2" s="1"/>
  <c r="BO163" i="2"/>
  <c r="CP79" i="2"/>
  <c r="BP173" i="2"/>
  <c r="BP211" i="2"/>
  <c r="DK84" i="2"/>
  <c r="DK101" i="2" s="1"/>
  <c r="K33" i="31"/>
  <c r="K36" i="31" s="1"/>
  <c r="EH32" i="2"/>
  <c r="CM198" i="2" s="1"/>
  <c r="CM246" i="2" s="1"/>
  <c r="CM79" i="2"/>
  <c r="CH79" i="2"/>
  <c r="BN79" i="2"/>
  <c r="BM135" i="2"/>
  <c r="BM174" i="2" s="1"/>
  <c r="CV135" i="2"/>
  <c r="EL84" i="2"/>
  <c r="BW79" i="2"/>
  <c r="BF26" i="2"/>
  <c r="BF161" i="2" s="1"/>
  <c r="BX163" i="2"/>
  <c r="BO91" i="2"/>
  <c r="BO101" i="2" s="1"/>
  <c r="CP163" i="2"/>
  <c r="BM84" i="2"/>
  <c r="CB79" i="2"/>
  <c r="BO135" i="2"/>
  <c r="BO174" i="2" s="1"/>
  <c r="CP135" i="2"/>
  <c r="CP174" i="2" s="1"/>
  <c r="CZ135" i="2"/>
  <c r="EL135" i="2"/>
  <c r="CQ212" i="2" s="1"/>
  <c r="CQ260" i="2" s="1"/>
  <c r="K47" i="31"/>
  <c r="I15" i="7" s="1"/>
  <c r="BU79" i="2"/>
  <c r="DE79" i="2"/>
  <c r="AJ79" i="2"/>
  <c r="CN26" i="2"/>
  <c r="CN161" i="2" s="1"/>
  <c r="CI205" i="2"/>
  <c r="ED79" i="2"/>
  <c r="ED148" i="2" s="1"/>
  <c r="CG205" i="2"/>
  <c r="EB79" i="2"/>
  <c r="EB148" i="2" s="1"/>
  <c r="EB150" i="2" s="1"/>
  <c r="EB151" i="2" s="1"/>
  <c r="CG135" i="2"/>
  <c r="CG174" i="2" s="1"/>
  <c r="BM70" i="2"/>
  <c r="BM79" i="2" s="1"/>
  <c r="BL211" i="2"/>
  <c r="DG84" i="2"/>
  <c r="DG101" i="2" s="1"/>
  <c r="BG215" i="2"/>
  <c r="FD79" i="2"/>
  <c r="Z79" i="2"/>
  <c r="CD79" i="2"/>
  <c r="BL171" i="2"/>
  <c r="BD26" i="2"/>
  <c r="BD161" i="2" s="1"/>
  <c r="CF205" i="2"/>
  <c r="EA79" i="2"/>
  <c r="EA148" i="2" s="1"/>
  <c r="EA150" i="2" s="1"/>
  <c r="EA151" i="2" s="1"/>
  <c r="CG101" i="2"/>
  <c r="BM163" i="2"/>
  <c r="BX135" i="2"/>
  <c r="BX174" i="2" s="1"/>
  <c r="BE215" i="2"/>
  <c r="CZ101" i="2"/>
  <c r="EF135" i="2"/>
  <c r="CK212" i="2" s="1"/>
  <c r="CK260" i="2" s="1"/>
  <c r="EH135" i="2"/>
  <c r="CM212" i="2" s="1"/>
  <c r="CM260" i="2" s="1"/>
  <c r="EG135" i="2"/>
  <c r="BC79" i="2"/>
  <c r="EI29" i="2"/>
  <c r="EI32" i="2" s="1"/>
  <c r="CN32" i="2"/>
  <c r="CN160" i="2" s="1"/>
  <c r="EH70" i="2"/>
  <c r="EH79" i="2" s="1"/>
  <c r="CG163" i="2"/>
  <c r="BM32" i="2"/>
  <c r="BM160" i="2" s="1"/>
  <c r="CM253" i="2"/>
  <c r="BE164" i="2"/>
  <c r="DB70" i="2"/>
  <c r="DB79" i="2" s="1"/>
  <c r="CN163" i="2"/>
  <c r="CX135" i="2"/>
  <c r="FH79" i="2"/>
  <c r="AL79" i="2"/>
  <c r="BO26" i="2"/>
  <c r="BO161" i="2" s="1"/>
  <c r="BX26" i="2"/>
  <c r="BX161" i="2" s="1"/>
  <c r="BN164" i="2"/>
  <c r="EF26" i="2"/>
  <c r="CK199" i="2" s="1"/>
  <c r="CK247" i="2" s="1"/>
  <c r="BA79" i="2"/>
  <c r="CR22" i="2"/>
  <c r="CS22" i="2" s="1"/>
  <c r="EI41" i="2"/>
  <c r="BV163" i="2"/>
  <c r="CH205" i="2"/>
  <c r="EC79" i="2"/>
  <c r="EC148" i="2" s="1"/>
  <c r="FE79" i="2"/>
  <c r="AH79" i="2"/>
  <c r="CE26" i="2"/>
  <c r="EL70" i="2"/>
  <c r="EL79" i="2" s="1"/>
  <c r="BN101" i="2"/>
  <c r="DV38" i="2"/>
  <c r="DV26" i="2"/>
  <c r="CA199" i="2" s="1"/>
  <c r="Y27" i="31"/>
  <c r="V9" i="7" s="1"/>
  <c r="FJ26" i="2"/>
  <c r="BC218" i="2"/>
  <c r="BD218" i="2"/>
  <c r="U48" i="31"/>
  <c r="V147" i="31"/>
  <c r="S147" i="31"/>
  <c r="T147" i="31"/>
  <c r="BT174" i="2"/>
  <c r="W147" i="31"/>
  <c r="U147" i="31"/>
  <c r="X147" i="31"/>
  <c r="I141" i="31"/>
  <c r="W69" i="31"/>
  <c r="H98" i="31"/>
  <c r="BA215" i="2"/>
  <c r="BK211" i="2"/>
  <c r="DF84" i="2"/>
  <c r="DF101" i="2" s="1"/>
  <c r="W48" i="31"/>
  <c r="BJ211" i="2"/>
  <c r="DE84" i="2"/>
  <c r="DE101" i="2" s="1"/>
  <c r="EG84" i="2"/>
  <c r="EF84" i="2"/>
  <c r="CK209" i="2" s="1"/>
  <c r="S69" i="31"/>
  <c r="FB70" i="2"/>
  <c r="FB79" i="2" s="1"/>
  <c r="CV70" i="2"/>
  <c r="CV79" i="2" s="1"/>
  <c r="DV70" i="2"/>
  <c r="EF70" i="2"/>
  <c r="V69" i="31"/>
  <c r="U69" i="31"/>
  <c r="X69" i="31"/>
  <c r="H57" i="31"/>
  <c r="EF54" i="2"/>
  <c r="EF51" i="2"/>
  <c r="W30" i="31"/>
  <c r="V48" i="31"/>
  <c r="W36" i="31"/>
  <c r="P15" i="7"/>
  <c r="T48" i="31"/>
  <c r="Q11" i="7"/>
  <c r="R11" i="7"/>
  <c r="V36" i="31"/>
  <c r="U30" i="31"/>
  <c r="Y47" i="31"/>
  <c r="Y48" i="31" s="1"/>
  <c r="P11" i="7"/>
  <c r="I47" i="31"/>
  <c r="U15" i="7"/>
  <c r="S30" i="31"/>
  <c r="X30" i="31"/>
  <c r="U11" i="7"/>
  <c r="U21" i="31"/>
  <c r="H26" i="31"/>
  <c r="V30" i="31"/>
  <c r="T30" i="31"/>
  <c r="H17" i="31"/>
  <c r="AA111" i="31"/>
  <c r="EK29" i="2"/>
  <c r="EK32" i="2" s="1"/>
  <c r="CP253" i="2"/>
  <c r="CO258" i="2"/>
  <c r="EI23" i="2"/>
  <c r="L27" i="31" s="1"/>
  <c r="J9" i="7" s="1"/>
  <c r="CO257" i="2"/>
  <c r="CN258" i="2"/>
  <c r="CP258" i="2"/>
  <c r="CM258" i="2"/>
  <c r="EK22" i="2"/>
  <c r="CL258" i="2"/>
  <c r="CK258" i="2"/>
  <c r="EI18" i="2"/>
  <c r="EI86" i="2"/>
  <c r="EI91" i="2" s="1"/>
  <c r="EI15" i="2"/>
  <c r="I26" i="31"/>
  <c r="CQ253" i="2"/>
  <c r="EI35" i="2"/>
  <c r="EI38" i="2" s="1"/>
  <c r="EI129" i="2"/>
  <c r="CQ258" i="2"/>
  <c r="EI53" i="2"/>
  <c r="EI54" i="2" s="1"/>
  <c r="EG86" i="2"/>
  <c r="EG91" i="2" s="1"/>
  <c r="EK15" i="2"/>
  <c r="EK35" i="2"/>
  <c r="EK38" i="2" s="1"/>
  <c r="BT164" i="2"/>
  <c r="EG70" i="2"/>
  <c r="EG79" i="2" s="1"/>
  <c r="EK84" i="2"/>
  <c r="CQ201" i="2"/>
  <c r="CQ249" i="2" s="1"/>
  <c r="EK114" i="2"/>
  <c r="I33" i="31"/>
  <c r="EK129" i="2"/>
  <c r="EK18" i="2"/>
  <c r="EK53" i="2"/>
  <c r="EK54" i="2" s="1"/>
  <c r="EK23" i="2"/>
  <c r="N27" i="31" s="1"/>
  <c r="EK86" i="2"/>
  <c r="EK91" i="2" s="1"/>
  <c r="EK51" i="2"/>
  <c r="EM87" i="2"/>
  <c r="EN87" i="2" s="1"/>
  <c r="EK70" i="2"/>
  <c r="EK79" i="2" s="1"/>
  <c r="H141" i="31"/>
  <c r="CK205" i="2"/>
  <c r="CK253" i="2" s="1"/>
  <c r="W43" i="31"/>
  <c r="X43" i="31"/>
  <c r="S14" i="7"/>
  <c r="K40" i="31"/>
  <c r="I14" i="7" s="1"/>
  <c r="T43" i="31"/>
  <c r="FJ35" i="2"/>
  <c r="FJ38" i="2" s="1"/>
  <c r="S43" i="31"/>
  <c r="U43" i="31"/>
  <c r="M40" i="31"/>
  <c r="K14" i="7" s="1"/>
  <c r="I40" i="31"/>
  <c r="H40" i="31"/>
  <c r="H43" i="31" s="1"/>
  <c r="CC166" i="2"/>
  <c r="BX166" i="2"/>
  <c r="CH166" i="2"/>
  <c r="CL204" i="2"/>
  <c r="BU166" i="2"/>
  <c r="CM166" i="2"/>
  <c r="BW166" i="2"/>
  <c r="CB166" i="2"/>
  <c r="CP166" i="2"/>
  <c r="BG166" i="2"/>
  <c r="CG166" i="2"/>
  <c r="BP166" i="2"/>
  <c r="BA204" i="2"/>
  <c r="BB204" i="2"/>
  <c r="BT166" i="2"/>
  <c r="CE166" i="2"/>
  <c r="BG204" i="2"/>
  <c r="BK166" i="2"/>
  <c r="CM204" i="2"/>
  <c r="CO166" i="2"/>
  <c r="CP204" i="2"/>
  <c r="CN166" i="2"/>
  <c r="BE166" i="2"/>
  <c r="BF204" i="2"/>
  <c r="CK166" i="2"/>
  <c r="CR204" i="2"/>
  <c r="BS166" i="2"/>
  <c r="BY166" i="2"/>
  <c r="CL166" i="2"/>
  <c r="BV166" i="2"/>
  <c r="BE204" i="2"/>
  <c r="BA166" i="2"/>
  <c r="CQ166" i="2"/>
  <c r="CF166" i="2"/>
  <c r="BJ166" i="2"/>
  <c r="CD166" i="2"/>
  <c r="CO204" i="2"/>
  <c r="BO166" i="2"/>
  <c r="BH204" i="2"/>
  <c r="BC166" i="2"/>
  <c r="CN204" i="2"/>
  <c r="CQ204" i="2"/>
  <c r="BJ156" i="2"/>
  <c r="FJ10" i="2"/>
  <c r="Y12" i="31" s="1"/>
  <c r="V6" i="7" s="1"/>
  <c r="BG198" i="2"/>
  <c r="BG202" i="2"/>
  <c r="T103" i="31"/>
  <c r="W103" i="31"/>
  <c r="U7" i="7"/>
  <c r="BC198" i="2"/>
  <c r="BC202" i="2"/>
  <c r="BN213" i="2"/>
  <c r="BN211" i="2"/>
  <c r="T95" i="31"/>
  <c r="U103" i="31"/>
  <c r="S95" i="31"/>
  <c r="V95" i="31"/>
  <c r="BE202" i="2"/>
  <c r="BW220" i="2"/>
  <c r="X21" i="31"/>
  <c r="BB198" i="2"/>
  <c r="BB202" i="2"/>
  <c r="S103" i="31"/>
  <c r="M36" i="31"/>
  <c r="K11" i="7"/>
  <c r="BX220" i="2"/>
  <c r="T21" i="31"/>
  <c r="V21" i="31"/>
  <c r="T69" i="31"/>
  <c r="W21" i="31"/>
  <c r="W95" i="31"/>
  <c r="S7" i="7"/>
  <c r="H47" i="31"/>
  <c r="X103" i="31"/>
  <c r="U95" i="31"/>
  <c r="T7" i="7"/>
  <c r="X95" i="31"/>
  <c r="Q7" i="7"/>
  <c r="S21" i="31"/>
  <c r="P7" i="7"/>
  <c r="CO211" i="2"/>
  <c r="CO259" i="2" s="1"/>
  <c r="BA198" i="2"/>
  <c r="BA202" i="2"/>
  <c r="V103" i="31"/>
  <c r="BA164" i="2"/>
  <c r="M30" i="31"/>
  <c r="M17" i="31"/>
  <c r="I17" i="31"/>
  <c r="K57" i="31"/>
  <c r="I18" i="7" s="1"/>
  <c r="K17" i="31"/>
  <c r="CM209" i="2"/>
  <c r="H33" i="31"/>
  <c r="H125" i="31"/>
  <c r="CM201" i="2"/>
  <c r="CM249" i="2" s="1"/>
  <c r="K125" i="31"/>
  <c r="CL201" i="2"/>
  <c r="CL249" i="2" s="1"/>
  <c r="I125" i="31"/>
  <c r="K141" i="31"/>
  <c r="CL160" i="2"/>
  <c r="I57" i="31"/>
  <c r="CL164" i="2"/>
  <c r="CG164" i="2"/>
  <c r="BT202" i="2"/>
  <c r="BT171" i="2"/>
  <c r="BK164" i="2"/>
  <c r="BV202" i="2"/>
  <c r="CQ164" i="2"/>
  <c r="BS202" i="2"/>
  <c r="CB164" i="2"/>
  <c r="BP164" i="2"/>
  <c r="CK164" i="2"/>
  <c r="M48" i="31"/>
  <c r="BX164" i="2"/>
  <c r="CN174" i="2"/>
  <c r="BO164" i="2"/>
  <c r="BU202" i="2"/>
  <c r="BQ202" i="2"/>
  <c r="BZ202" i="2"/>
  <c r="BM202" i="2"/>
  <c r="CO164" i="2"/>
  <c r="CH164" i="2"/>
  <c r="CC164" i="2"/>
  <c r="BW202" i="2"/>
  <c r="CM164" i="2"/>
  <c r="CL174" i="2"/>
  <c r="CP164" i="2"/>
  <c r="BY202" i="2"/>
  <c r="BY164" i="2"/>
  <c r="CN164" i="2"/>
  <c r="CM171" i="2"/>
  <c r="BO202" i="2"/>
  <c r="BW164" i="2"/>
  <c r="CE164" i="2"/>
  <c r="CO202" i="2"/>
  <c r="CC174" i="2"/>
  <c r="BS164" i="2"/>
  <c r="BP202" i="2"/>
  <c r="BJ164" i="2"/>
  <c r="BK174" i="2"/>
  <c r="CD164" i="2"/>
  <c r="BU164" i="2"/>
  <c r="BN202" i="2"/>
  <c r="CF164" i="2"/>
  <c r="BX202" i="2"/>
  <c r="CL198" i="2"/>
  <c r="CP160" i="2"/>
  <c r="CO198" i="2"/>
  <c r="CO246" i="2" s="1"/>
  <c r="BO160" i="2"/>
  <c r="CQ198" i="2"/>
  <c r="CQ246" i="2" s="1"/>
  <c r="CO199" i="2"/>
  <c r="L101" i="2"/>
  <c r="CB199" i="2"/>
  <c r="K79" i="2"/>
  <c r="CF220" i="2"/>
  <c r="CC199" i="2"/>
  <c r="EE41" i="2"/>
  <c r="Y57" i="31"/>
  <c r="V18" i="7" s="1"/>
  <c r="CB220" i="2"/>
  <c r="CK204" i="2"/>
  <c r="EE87" i="2"/>
  <c r="CJ216" i="2" s="1"/>
  <c r="Y125" i="31"/>
  <c r="Y26" i="31"/>
  <c r="CJ218" i="2"/>
  <c r="CE220" i="2"/>
  <c r="BN199" i="2"/>
  <c r="BJ199" i="2"/>
  <c r="CG198" i="2"/>
  <c r="CG213" i="2"/>
  <c r="Y17" i="31"/>
  <c r="BI10" i="2"/>
  <c r="BK199" i="2"/>
  <c r="BB164" i="2"/>
  <c r="CH199" i="2"/>
  <c r="BU199" i="2"/>
  <c r="BP199" i="2"/>
  <c r="BW199" i="2"/>
  <c r="CF199" i="2"/>
  <c r="CD161" i="2"/>
  <c r="CH161" i="2"/>
  <c r="BP161" i="2"/>
  <c r="BW161" i="2"/>
  <c r="CQ161" i="2"/>
  <c r="CO161" i="2"/>
  <c r="CF161" i="2"/>
  <c r="BU161" i="2"/>
  <c r="CD199" i="2"/>
  <c r="BY199" i="2"/>
  <c r="CM161" i="2"/>
  <c r="BX199" i="2"/>
  <c r="BY161" i="2"/>
  <c r="BV199" i="2"/>
  <c r="BD204" i="2"/>
  <c r="CY86" i="2"/>
  <c r="BN205" i="2"/>
  <c r="BW167" i="2"/>
  <c r="BE205" i="2"/>
  <c r="BO205" i="2"/>
  <c r="BF205" i="2"/>
  <c r="BU167" i="2"/>
  <c r="BV167" i="2"/>
  <c r="DC87" i="2"/>
  <c r="BF76" i="2"/>
  <c r="BF167" i="2" s="1"/>
  <c r="BF172" i="2"/>
  <c r="BO226" i="2"/>
  <c r="BD172" i="2"/>
  <c r="CY129" i="2"/>
  <c r="CY135" i="2" s="1"/>
  <c r="DJ114" i="2"/>
  <c r="DA129" i="2"/>
  <c r="DA135" i="2" s="1"/>
  <c r="DH114" i="2"/>
  <c r="BB173" i="2"/>
  <c r="CW86" i="2"/>
  <c r="CW91" i="2" s="1"/>
  <c r="BD76" i="2"/>
  <c r="BD167" i="2" s="1"/>
  <c r="CC172" i="2"/>
  <c r="BK226" i="2"/>
  <c r="DA86" i="2"/>
  <c r="DA91" i="2" s="1"/>
  <c r="CR84" i="2"/>
  <c r="M22" i="7"/>
  <c r="BZ18" i="2"/>
  <c r="CI114" i="2"/>
  <c r="CR35" i="2"/>
  <c r="CR38" i="2" s="1"/>
  <c r="CC76" i="2"/>
  <c r="CC167" i="2" s="1"/>
  <c r="BM166" i="2"/>
  <c r="BX76" i="2"/>
  <c r="BX79" i="2" s="1"/>
  <c r="BH15" i="2"/>
  <c r="BO172" i="2"/>
  <c r="CG172" i="2"/>
  <c r="CI172" i="2"/>
  <c r="BH114" i="2"/>
  <c r="BT76" i="2"/>
  <c r="BT167" i="2" s="1"/>
  <c r="CI18" i="2"/>
  <c r="BV171" i="2"/>
  <c r="CN76" i="2"/>
  <c r="CN167" i="2" s="1"/>
  <c r="CN253" i="2" s="1"/>
  <c r="BF226" i="2"/>
  <c r="CR18" i="2"/>
  <c r="CY70" i="2"/>
  <c r="CY79" i="2" s="1"/>
  <c r="BK76" i="2"/>
  <c r="FF76" i="2"/>
  <c r="FF79" i="2" s="1"/>
  <c r="BQ114" i="2"/>
  <c r="BE226" i="2"/>
  <c r="CY18" i="2"/>
  <c r="BZ114" i="2"/>
  <c r="DT76" i="2"/>
  <c r="CY53" i="2"/>
  <c r="CY54" i="2" s="1"/>
  <c r="DA70" i="2"/>
  <c r="DA79" i="2" s="1"/>
  <c r="BH51" i="2"/>
  <c r="BE198" i="2"/>
  <c r="CL76" i="2"/>
  <c r="CL167" i="2" s="1"/>
  <c r="CL253" i="2" s="1"/>
  <c r="FJ76" i="2"/>
  <c r="FJ79" i="2" s="1"/>
  <c r="BQ84" i="2"/>
  <c r="CR86" i="2"/>
  <c r="CR91" i="2" s="1"/>
  <c r="CI84" i="2"/>
  <c r="BG226" i="2"/>
  <c r="FJ18" i="2"/>
  <c r="DJ51" i="2"/>
  <c r="CR114" i="2"/>
  <c r="DA18" i="2"/>
  <c r="BB76" i="2"/>
  <c r="CR172" i="2"/>
  <c r="CR258" i="2" s="1"/>
  <c r="CR129" i="2"/>
  <c r="BQ18" i="2"/>
  <c r="BZ84" i="2"/>
  <c r="BO220" i="2"/>
  <c r="EY76" i="2"/>
  <c r="EY79" i="2" s="1"/>
  <c r="EY148" i="2" s="1"/>
  <c r="EY150" i="2" s="1"/>
  <c r="EY151" i="2" s="1"/>
  <c r="DA23" i="2"/>
  <c r="DA26" i="2" s="1"/>
  <c r="DA35" i="2"/>
  <c r="DA38" i="2" s="1"/>
  <c r="CY35" i="2"/>
  <c r="CY38" i="2" s="1"/>
  <c r="CI51" i="2"/>
  <c r="DA53" i="2"/>
  <c r="DA54" i="2" s="1"/>
  <c r="CR53" i="2"/>
  <c r="CR54" i="2" s="1"/>
  <c r="CY15" i="2"/>
  <c r="DA15" i="2"/>
  <c r="BA226" i="2"/>
  <c r="BJ220" i="2"/>
  <c r="CS87" i="2"/>
  <c r="CA87" i="2"/>
  <c r="CJ87" i="2"/>
  <c r="DN76" i="2"/>
  <c r="BS205" i="2" s="1"/>
  <c r="BB199" i="2"/>
  <c r="BA199" i="2"/>
  <c r="DD76" i="2"/>
  <c r="BI205" i="2" s="1"/>
  <c r="CA226" i="2"/>
  <c r="CJ226" i="2"/>
  <c r="EN76" i="2"/>
  <c r="CS205" i="2" s="1"/>
  <c r="BZ76" i="2"/>
  <c r="BZ167" i="2" s="1"/>
  <c r="EE76" i="2"/>
  <c r="CJ205" i="2" s="1"/>
  <c r="DR76" i="2"/>
  <c r="DR79" i="2" s="1"/>
  <c r="DP76" i="2"/>
  <c r="BU205" i="2" s="1"/>
  <c r="CS210" i="2"/>
  <c r="BB226" i="2"/>
  <c r="BK220" i="2"/>
  <c r="BM220" i="2"/>
  <c r="CA220" i="2"/>
  <c r="BL220" i="2"/>
  <c r="BC226" i="2"/>
  <c r="FJ129" i="2"/>
  <c r="BI87" i="2"/>
  <c r="L76" i="2"/>
  <c r="L79" i="2" s="1"/>
  <c r="CW70" i="2"/>
  <c r="CW79" i="2" s="1"/>
  <c r="DL41" i="2"/>
  <c r="DL38" i="2"/>
  <c r="DA29" i="2"/>
  <c r="DA32" i="2" s="1"/>
  <c r="CY29" i="2"/>
  <c r="CY32" i="2" s="1"/>
  <c r="CG160" i="2"/>
  <c r="CA198" i="2"/>
  <c r="CR29" i="2"/>
  <c r="CR32" i="2" s="1"/>
  <c r="BJ198" i="2"/>
  <c r="CR23" i="2"/>
  <c r="DH22" i="2"/>
  <c r="DH26" i="2" s="1"/>
  <c r="DJ22" i="2"/>
  <c r="DJ26" i="2" s="1"/>
  <c r="CY23" i="2"/>
  <c r="CY26" i="2" s="1"/>
  <c r="DC10" i="2"/>
  <c r="DD10" i="2" s="1"/>
  <c r="BM101" i="2" l="1"/>
  <c r="BQ32" i="2"/>
  <c r="BQ160" i="2" s="1"/>
  <c r="BR29" i="2"/>
  <c r="BR32" i="2" s="1"/>
  <c r="BR23" i="2"/>
  <c r="BQ26" i="2"/>
  <c r="BQ161" i="2" s="1"/>
  <c r="FU91" i="2"/>
  <c r="BD215" i="2"/>
  <c r="CY91" i="2"/>
  <c r="CY101" i="2" s="1"/>
  <c r="CK198" i="2"/>
  <c r="CK246" i="2" s="1"/>
  <c r="CN198" i="2"/>
  <c r="CN246" i="2" s="1"/>
  <c r="CP252" i="2"/>
  <c r="BD101" i="2"/>
  <c r="EM10" i="2"/>
  <c r="EN10" i="2" s="1"/>
  <c r="BF101" i="2"/>
  <c r="BF171" i="2"/>
  <c r="BD171" i="2"/>
  <c r="FT87" i="2"/>
  <c r="R101" i="31"/>
  <c r="Z101" i="31" s="1"/>
  <c r="W21" i="7" s="1"/>
  <c r="E101" i="31"/>
  <c r="FJ135" i="2"/>
  <c r="FV129" i="2"/>
  <c r="J101" i="31"/>
  <c r="Q101" i="31" s="1"/>
  <c r="N21" i="7" s="1"/>
  <c r="BH163" i="2"/>
  <c r="BH84" i="2"/>
  <c r="BH171" i="2" s="1"/>
  <c r="BH70" i="2"/>
  <c r="BH164" i="2" s="1"/>
  <c r="EC150" i="2"/>
  <c r="EC151" i="2" s="1"/>
  <c r="J12" i="31"/>
  <c r="Q12" i="31" s="1"/>
  <c r="N6" i="7" s="1"/>
  <c r="ED150" i="2"/>
  <c r="ED151" i="2" s="1"/>
  <c r="BH54" i="2"/>
  <c r="G9" i="7"/>
  <c r="BI41" i="2"/>
  <c r="BH38" i="2"/>
  <c r="FV35" i="2"/>
  <c r="BH32" i="2"/>
  <c r="BH18" i="2"/>
  <c r="R12" i="31"/>
  <c r="Z12" i="31" s="1"/>
  <c r="W6" i="7" s="1"/>
  <c r="E12" i="31"/>
  <c r="FV10" i="2"/>
  <c r="H15" i="7"/>
  <c r="AE111" i="31"/>
  <c r="I43" i="31"/>
  <c r="H26" i="7"/>
  <c r="H8" i="7"/>
  <c r="I36" i="31"/>
  <c r="CR26" i="2"/>
  <c r="CR161" i="2" s="1"/>
  <c r="DP79" i="2"/>
  <c r="E27" i="31"/>
  <c r="G20" i="7"/>
  <c r="BE220" i="2"/>
  <c r="G18" i="7"/>
  <c r="V11" i="7"/>
  <c r="H69" i="31"/>
  <c r="H36" i="31"/>
  <c r="G7" i="7"/>
  <c r="CM252" i="2"/>
  <c r="G8" i="7"/>
  <c r="N33" i="31"/>
  <c r="L11" i="7" s="1"/>
  <c r="DN79" i="2"/>
  <c r="CA29" i="2"/>
  <c r="CA32" i="2" s="1"/>
  <c r="BP213" i="2"/>
  <c r="EK101" i="2"/>
  <c r="BZ26" i="2"/>
  <c r="BZ161" i="2" s="1"/>
  <c r="EM41" i="2"/>
  <c r="EN41" i="2" s="1"/>
  <c r="CJ29" i="2"/>
  <c r="CJ32" i="2" s="1"/>
  <c r="CJ160" i="2" s="1"/>
  <c r="CM202" i="2"/>
  <c r="CM250" i="2" s="1"/>
  <c r="N48" i="31"/>
  <c r="CM211" i="2"/>
  <c r="CM259" i="2" s="1"/>
  <c r="K48" i="31"/>
  <c r="I11" i="7"/>
  <c r="BO173" i="2"/>
  <c r="CL79" i="2"/>
  <c r="BH135" i="2"/>
  <c r="BH174" i="2" s="1"/>
  <c r="BF215" i="2"/>
  <c r="DA101" i="2"/>
  <c r="EF101" i="2"/>
  <c r="CI101" i="2"/>
  <c r="BO211" i="2"/>
  <c r="DJ84" i="2"/>
  <c r="DJ101" i="2" s="1"/>
  <c r="CI26" i="2"/>
  <c r="CI161" i="2" s="1"/>
  <c r="BD79" i="2"/>
  <c r="BY205" i="2"/>
  <c r="DT79" i="2"/>
  <c r="BZ135" i="2"/>
  <c r="BZ174" i="2" s="1"/>
  <c r="N26" i="31"/>
  <c r="L8" i="7" s="1"/>
  <c r="EK26" i="2"/>
  <c r="CP199" i="2" s="1"/>
  <c r="BT79" i="2"/>
  <c r="CN79" i="2"/>
  <c r="EL101" i="2"/>
  <c r="BB167" i="2"/>
  <c r="BB79" i="2"/>
  <c r="CI135" i="2"/>
  <c r="CI174" i="2" s="1"/>
  <c r="EI135" i="2"/>
  <c r="CN212" i="2" s="1"/>
  <c r="CN260" i="2" s="1"/>
  <c r="CK202" i="2"/>
  <c r="CK250" i="2" s="1"/>
  <c r="EF79" i="2"/>
  <c r="CQ209" i="2"/>
  <c r="CQ257" i="2" s="1"/>
  <c r="EI51" i="2"/>
  <c r="DH51" i="2"/>
  <c r="EI114" i="2"/>
  <c r="BG220" i="2"/>
  <c r="BH91" i="2"/>
  <c r="N141" i="31"/>
  <c r="L26" i="7" s="1"/>
  <c r="EK135" i="2"/>
  <c r="CP212" i="2" s="1"/>
  <c r="CP260" i="2" s="1"/>
  <c r="CC79" i="2"/>
  <c r="BF79" i="2"/>
  <c r="L33" i="31"/>
  <c r="L36" i="31" s="1"/>
  <c r="BK167" i="2"/>
  <c r="BK79" i="2"/>
  <c r="EI84" i="2"/>
  <c r="DH84" i="2"/>
  <c r="DH101" i="2" s="1"/>
  <c r="BM164" i="2"/>
  <c r="BC220" i="2"/>
  <c r="CR135" i="2"/>
  <c r="CR174" i="2" s="1"/>
  <c r="CQ202" i="2"/>
  <c r="CQ250" i="2" s="1"/>
  <c r="L47" i="31"/>
  <c r="E47" i="31" s="1"/>
  <c r="K30" i="31"/>
  <c r="BM171" i="2"/>
  <c r="BA220" i="2"/>
  <c r="K69" i="31"/>
  <c r="BI29" i="2"/>
  <c r="BI32" i="2" s="1"/>
  <c r="BL213" i="2"/>
  <c r="BH26" i="2"/>
  <c r="BH161" i="2" s="1"/>
  <c r="K103" i="31"/>
  <c r="BK213" i="2"/>
  <c r="Y141" i="31"/>
  <c r="Y147" i="31" s="1"/>
  <c r="H103" i="31"/>
  <c r="CI163" i="2"/>
  <c r="I98" i="31"/>
  <c r="EG101" i="2"/>
  <c r="BB215" i="2"/>
  <c r="BB263" i="2" s="1"/>
  <c r="CW101" i="2"/>
  <c r="CS86" i="2"/>
  <c r="CS91" i="2" s="1"/>
  <c r="CR101" i="2"/>
  <c r="L98" i="31"/>
  <c r="J20" i="7" s="1"/>
  <c r="CA86" i="2"/>
  <c r="CA91" i="2" s="1"/>
  <c r="CA173" i="2" s="1"/>
  <c r="BZ101" i="2"/>
  <c r="BR86" i="2"/>
  <c r="BR91" i="2" s="1"/>
  <c r="BR173" i="2" s="1"/>
  <c r="BQ91" i="2"/>
  <c r="BQ101" i="2" s="1"/>
  <c r="V15" i="7"/>
  <c r="H95" i="31"/>
  <c r="BJ213" i="2"/>
  <c r="Y95" i="31"/>
  <c r="FJ84" i="2"/>
  <c r="FJ101" i="2" s="1"/>
  <c r="CL209" i="2"/>
  <c r="CL257" i="2" s="1"/>
  <c r="EI70" i="2"/>
  <c r="CJ70" i="2"/>
  <c r="CI70" i="2"/>
  <c r="BR70" i="2"/>
  <c r="BR164" i="2" s="1"/>
  <c r="BQ70" i="2"/>
  <c r="CA70" i="2"/>
  <c r="BZ70" i="2"/>
  <c r="BZ79" i="2" s="1"/>
  <c r="CS70" i="2"/>
  <c r="CR70" i="2"/>
  <c r="CA51" i="2"/>
  <c r="BZ51" i="2"/>
  <c r="CS51" i="2"/>
  <c r="CR51" i="2"/>
  <c r="BR51" i="2"/>
  <c r="BQ51" i="2"/>
  <c r="H30" i="31"/>
  <c r="H21" i="31"/>
  <c r="I48" i="31"/>
  <c r="EM29" i="2"/>
  <c r="EM32" i="2" s="1"/>
  <c r="CA18" i="2"/>
  <c r="CS18" i="2"/>
  <c r="CJ18" i="2"/>
  <c r="CJ15" i="2"/>
  <c r="CA15" i="2"/>
  <c r="G26" i="7"/>
  <c r="H147" i="31"/>
  <c r="AB111" i="31"/>
  <c r="AD111" i="31" s="1"/>
  <c r="G15" i="7"/>
  <c r="H48" i="31"/>
  <c r="L69" i="31"/>
  <c r="L17" i="31"/>
  <c r="I30" i="31"/>
  <c r="J26" i="31"/>
  <c r="J30" i="31" s="1"/>
  <c r="EM22" i="2"/>
  <c r="CM247" i="2"/>
  <c r="CN252" i="2"/>
  <c r="EM129" i="2"/>
  <c r="CK252" i="2"/>
  <c r="CO250" i="2"/>
  <c r="CL246" i="2"/>
  <c r="L57" i="31"/>
  <c r="CQ252" i="2"/>
  <c r="CO252" i="2"/>
  <c r="CQ247" i="2"/>
  <c r="CL252" i="2"/>
  <c r="CM257" i="2"/>
  <c r="CO247" i="2"/>
  <c r="EI22" i="2"/>
  <c r="EI26" i="2" s="1"/>
  <c r="EM35" i="2"/>
  <c r="EM38" i="2" s="1"/>
  <c r="EM86" i="2"/>
  <c r="EM91" i="2" s="1"/>
  <c r="EM18" i="2"/>
  <c r="EM23" i="2"/>
  <c r="EN23" i="2" s="1"/>
  <c r="J141" i="31"/>
  <c r="H11" i="7"/>
  <c r="EM114" i="2"/>
  <c r="EM84" i="2"/>
  <c r="EM53" i="2"/>
  <c r="EM15" i="2"/>
  <c r="CH220" i="2"/>
  <c r="CK211" i="2"/>
  <c r="CK259" i="2" s="1"/>
  <c r="CG220" i="2"/>
  <c r="K43" i="31"/>
  <c r="M43" i="31"/>
  <c r="Y40" i="31"/>
  <c r="V14" i="7" s="1"/>
  <c r="H14" i="7"/>
  <c r="J40" i="31"/>
  <c r="G14" i="7"/>
  <c r="BY204" i="2"/>
  <c r="BT204" i="2"/>
  <c r="BN204" i="2"/>
  <c r="CR166" i="2"/>
  <c r="CR252" i="2" s="1"/>
  <c r="BX204" i="2"/>
  <c r="CG208" i="2"/>
  <c r="BB166" i="2"/>
  <c r="CS204" i="2"/>
  <c r="BJ204" i="2"/>
  <c r="BW204" i="2"/>
  <c r="BD166" i="2"/>
  <c r="CD208" i="2"/>
  <c r="BP204" i="2"/>
  <c r="BI204" i="2"/>
  <c r="BF166" i="2"/>
  <c r="BS204" i="2"/>
  <c r="I95" i="31"/>
  <c r="J47" i="31"/>
  <c r="J48" i="31" s="1"/>
  <c r="CG204" i="2"/>
  <c r="N22" i="7"/>
  <c r="J57" i="31"/>
  <c r="H18" i="7"/>
  <c r="R27" i="31"/>
  <c r="L9" i="7"/>
  <c r="G11" i="7"/>
  <c r="K95" i="31"/>
  <c r="BI218" i="2"/>
  <c r="BH218" i="2"/>
  <c r="Y69" i="31"/>
  <c r="M21" i="31"/>
  <c r="I7" i="7"/>
  <c r="BD198" i="2"/>
  <c r="BD202" i="2"/>
  <c r="Y30" i="31"/>
  <c r="V8" i="7"/>
  <c r="K147" i="31"/>
  <c r="I26" i="7"/>
  <c r="K21" i="31"/>
  <c r="BN220" i="2"/>
  <c r="P95" i="31"/>
  <c r="BF202" i="2"/>
  <c r="BM211" i="2"/>
  <c r="DD87" i="2"/>
  <c r="BI216" i="2" s="1"/>
  <c r="BH216" i="2"/>
  <c r="Y103" i="31"/>
  <c r="I21" i="31"/>
  <c r="H7" i="7"/>
  <c r="V7" i="7"/>
  <c r="K7" i="7"/>
  <c r="P103" i="31"/>
  <c r="BP220" i="2"/>
  <c r="CD220" i="2"/>
  <c r="Q27" i="31"/>
  <c r="J21" i="31"/>
  <c r="J17" i="31"/>
  <c r="L141" i="31"/>
  <c r="CP209" i="2"/>
  <c r="J125" i="31"/>
  <c r="N57" i="31"/>
  <c r="J33" i="31"/>
  <c r="L40" i="31"/>
  <c r="L43" i="31" s="1"/>
  <c r="CP201" i="2"/>
  <c r="CP249" i="2" s="1"/>
  <c r="N125" i="31"/>
  <c r="CP211" i="2"/>
  <c r="CP259" i="2" s="1"/>
  <c r="N98" i="31"/>
  <c r="L20" i="7" s="1"/>
  <c r="CL212" i="2"/>
  <c r="CL260" i="2" s="1"/>
  <c r="CP171" i="2"/>
  <c r="CF204" i="2"/>
  <c r="BX171" i="2"/>
  <c r="CK257" i="2"/>
  <c r="CE204" i="2"/>
  <c r="BO171" i="2"/>
  <c r="BR129" i="2"/>
  <c r="BQ174" i="2"/>
  <c r="CG171" i="2"/>
  <c r="CC204" i="2"/>
  <c r="CS114" i="2"/>
  <c r="CR163" i="2"/>
  <c r="CE171" i="2"/>
  <c r="CB204" i="2"/>
  <c r="BR202" i="2"/>
  <c r="CA114" i="2"/>
  <c r="BZ163" i="2"/>
  <c r="BV164" i="2"/>
  <c r="CN171" i="2"/>
  <c r="BR114" i="2"/>
  <c r="BQ163" i="2"/>
  <c r="CA202" i="2"/>
  <c r="CJ129" i="2"/>
  <c r="CI204" i="2"/>
  <c r="CH204" i="2"/>
  <c r="CS35" i="2"/>
  <c r="CS38" i="2" s="1"/>
  <c r="BR35" i="2"/>
  <c r="BR38" i="2" s="1"/>
  <c r="CA35" i="2"/>
  <c r="CA38" i="2" s="1"/>
  <c r="BM199" i="2"/>
  <c r="CP198" i="2"/>
  <c r="CP246" i="2" s="1"/>
  <c r="BI15" i="2"/>
  <c r="CG199" i="2"/>
  <c r="CI198" i="2"/>
  <c r="CE213" i="2"/>
  <c r="CE198" i="2"/>
  <c r="CC220" i="2"/>
  <c r="CI213" i="2"/>
  <c r="BI23" i="2"/>
  <c r="EE70" i="2"/>
  <c r="EE79" i="2" s="1"/>
  <c r="BI35" i="2"/>
  <c r="BI38" i="2" s="1"/>
  <c r="CJ204" i="2"/>
  <c r="CD204" i="2"/>
  <c r="BO199" i="2"/>
  <c r="CE199" i="2"/>
  <c r="CP161" i="2"/>
  <c r="BC199" i="2"/>
  <c r="BG199" i="2"/>
  <c r="CG161" i="2"/>
  <c r="BV161" i="2"/>
  <c r="BD199" i="2"/>
  <c r="BE199" i="2"/>
  <c r="BL199" i="2"/>
  <c r="CE161" i="2"/>
  <c r="BU204" i="2"/>
  <c r="BL204" i="2"/>
  <c r="BC204" i="2"/>
  <c r="BV204" i="2"/>
  <c r="BX167" i="2"/>
  <c r="BW205" i="2"/>
  <c r="DC86" i="2"/>
  <c r="DC91" i="2" s="1"/>
  <c r="DC101" i="2" s="1"/>
  <c r="DC129" i="2"/>
  <c r="DL114" i="2"/>
  <c r="DL84" i="2"/>
  <c r="DL101" i="2" s="1"/>
  <c r="BI84" i="2"/>
  <c r="CA84" i="2"/>
  <c r="CJ84" i="2"/>
  <c r="CS84" i="2"/>
  <c r="BA263" i="2"/>
  <c r="BH76" i="2"/>
  <c r="BH167" i="2" s="1"/>
  <c r="BI76" i="2"/>
  <c r="BI167" i="2" s="1"/>
  <c r="CA129" i="2"/>
  <c r="CA135" i="2" s="1"/>
  <c r="CJ51" i="2"/>
  <c r="CJ114" i="2"/>
  <c r="BI114" i="2"/>
  <c r="BQ76" i="2"/>
  <c r="BQ167" i="2" s="1"/>
  <c r="CJ86" i="2"/>
  <c r="CJ91" i="2" s="1"/>
  <c r="DC18" i="2"/>
  <c r="BI53" i="2"/>
  <c r="BI54" i="2" s="1"/>
  <c r="CR76" i="2"/>
  <c r="CR167" i="2" s="1"/>
  <c r="CR253" i="2" s="1"/>
  <c r="BZ172" i="2"/>
  <c r="CJ172" i="2"/>
  <c r="BH172" i="2"/>
  <c r="BI129" i="2"/>
  <c r="BD226" i="2"/>
  <c r="CA172" i="2"/>
  <c r="BI86" i="2"/>
  <c r="CS172" i="2"/>
  <c r="CS258" i="2" s="1"/>
  <c r="DQ76" i="2"/>
  <c r="BR172" i="2"/>
  <c r="DS76" i="2"/>
  <c r="DS79" i="2" s="1"/>
  <c r="CA53" i="2"/>
  <c r="CA54" i="2" s="1"/>
  <c r="BI18" i="2"/>
  <c r="DL51" i="2"/>
  <c r="BI51" i="2"/>
  <c r="CI76" i="2"/>
  <c r="CI167" i="2" s="1"/>
  <c r="CJ76" i="2"/>
  <c r="CJ167" i="2" s="1"/>
  <c r="BM226" i="2"/>
  <c r="DC53" i="2"/>
  <c r="DC54" i="2" s="1"/>
  <c r="BR18" i="2"/>
  <c r="DC35" i="2"/>
  <c r="DC38" i="2" s="1"/>
  <c r="BR84" i="2"/>
  <c r="CS53" i="2"/>
  <c r="CS54" i="2" s="1"/>
  <c r="CJ35" i="2"/>
  <c r="CJ38" i="2" s="1"/>
  <c r="CS129" i="2"/>
  <c r="DC23" i="2"/>
  <c r="DC26" i="2" s="1"/>
  <c r="BR53" i="2"/>
  <c r="BR54" i="2" s="1"/>
  <c r="DC15" i="2"/>
  <c r="BR76" i="2"/>
  <c r="BR167" i="2" s="1"/>
  <c r="BQ172" i="2"/>
  <c r="CJ53" i="2"/>
  <c r="CJ54" i="2" s="1"/>
  <c r="BF198" i="2"/>
  <c r="BR15" i="2"/>
  <c r="CS76" i="2"/>
  <c r="CS167" i="2" s="1"/>
  <c r="CS253" i="2" s="1"/>
  <c r="DM41" i="2"/>
  <c r="DM38" i="2"/>
  <c r="DO76" i="2"/>
  <c r="DO79" i="2" s="1"/>
  <c r="DM76" i="2"/>
  <c r="DL76" i="2"/>
  <c r="CA76" i="2"/>
  <c r="CA167" i="2" s="1"/>
  <c r="BQ220" i="2"/>
  <c r="BQ171" i="2"/>
  <c r="BQ198" i="2"/>
  <c r="CS29" i="2"/>
  <c r="CS32" i="2" s="1"/>
  <c r="CA22" i="2"/>
  <c r="CA26" i="2" s="1"/>
  <c r="DC29" i="2"/>
  <c r="DC32" i="2" s="1"/>
  <c r="CS23" i="2"/>
  <c r="CS26" i="2" s="1"/>
  <c r="CJ22" i="2"/>
  <c r="CJ26" i="2" s="1"/>
  <c r="BR22" i="2"/>
  <c r="DL22" i="2"/>
  <c r="DL26" i="2" s="1"/>
  <c r="BI22" i="2"/>
  <c r="J18" i="7" l="1"/>
  <c r="R57" i="31"/>
  <c r="BR26" i="2"/>
  <c r="BR161" i="2" s="1"/>
  <c r="BH160" i="2"/>
  <c r="BI160" i="2"/>
  <c r="FT10" i="2"/>
  <c r="BH101" i="2"/>
  <c r="L7" i="7"/>
  <c r="N17" i="31"/>
  <c r="FT23" i="2"/>
  <c r="O21" i="7"/>
  <c r="FT41" i="2"/>
  <c r="O6" i="7"/>
  <c r="P166" i="31"/>
  <c r="W22" i="7"/>
  <c r="J98" i="31"/>
  <c r="J103" i="31" s="1"/>
  <c r="E57" i="31"/>
  <c r="CJ79" i="2"/>
  <c r="BF220" i="2"/>
  <c r="CI79" i="2"/>
  <c r="BI26" i="2"/>
  <c r="BI161" i="2" s="1"/>
  <c r="BR101" i="2"/>
  <c r="N36" i="31"/>
  <c r="E98" i="31"/>
  <c r="E33" i="31"/>
  <c r="CJ164" i="2"/>
  <c r="CA101" i="2"/>
  <c r="EI101" i="2"/>
  <c r="CR79" i="2"/>
  <c r="BR79" i="2"/>
  <c r="R47" i="31"/>
  <c r="R48" i="31" s="1"/>
  <c r="L48" i="31"/>
  <c r="BD220" i="2"/>
  <c r="J15" i="7"/>
  <c r="BM213" i="2"/>
  <c r="N30" i="31"/>
  <c r="BH173" i="2"/>
  <c r="CS101" i="2"/>
  <c r="CJ101" i="2"/>
  <c r="BV205" i="2"/>
  <c r="DQ79" i="2"/>
  <c r="BH79" i="2"/>
  <c r="BR205" i="2"/>
  <c r="DM79" i="2"/>
  <c r="CJ135" i="2"/>
  <c r="CJ174" i="2" s="1"/>
  <c r="N147" i="31"/>
  <c r="CS164" i="2"/>
  <c r="CS79" i="2"/>
  <c r="BR135" i="2"/>
  <c r="BR174" i="2" s="1"/>
  <c r="EM135" i="2"/>
  <c r="CR212" i="2" s="1"/>
  <c r="CR260" i="2" s="1"/>
  <c r="BQ79" i="2"/>
  <c r="BI91" i="2"/>
  <c r="BI101" i="2" s="1"/>
  <c r="CN202" i="2"/>
  <c r="CN250" i="2" s="1"/>
  <c r="EI79" i="2"/>
  <c r="BI135" i="2"/>
  <c r="BI174" i="2" s="1"/>
  <c r="CA164" i="2"/>
  <c r="CA79" i="2"/>
  <c r="DC135" i="2"/>
  <c r="BQ173" i="2"/>
  <c r="BQ205" i="2"/>
  <c r="DL79" i="2"/>
  <c r="J11" i="7"/>
  <c r="CS135" i="2"/>
  <c r="CS174" i="2" s="1"/>
  <c r="BO213" i="2"/>
  <c r="R33" i="31"/>
  <c r="O11" i="7" s="1"/>
  <c r="EM26" i="2"/>
  <c r="CR199" i="2" s="1"/>
  <c r="CR247" i="2" s="1"/>
  <c r="V26" i="7"/>
  <c r="BB220" i="2"/>
  <c r="I103" i="31"/>
  <c r="H20" i="7"/>
  <c r="EN129" i="2"/>
  <c r="FT129" i="2" s="1"/>
  <c r="BR163" i="2"/>
  <c r="BI163" i="2"/>
  <c r="CS163" i="2"/>
  <c r="CA163" i="2"/>
  <c r="CJ163" i="2"/>
  <c r="EN114" i="2"/>
  <c r="CR201" i="2"/>
  <c r="CR249" i="2" s="1"/>
  <c r="CN211" i="2"/>
  <c r="CN259" i="2" s="1"/>
  <c r="EN86" i="2"/>
  <c r="EN91" i="2" s="1"/>
  <c r="CS211" i="2" s="1"/>
  <c r="CS259" i="2" s="1"/>
  <c r="EM101" i="2"/>
  <c r="EM70" i="2"/>
  <c r="EM79" i="2" s="1"/>
  <c r="BI70" i="2"/>
  <c r="DD70" i="2"/>
  <c r="DD79" i="2" s="1"/>
  <c r="DC70" i="2"/>
  <c r="DC79" i="2" s="1"/>
  <c r="EN53" i="2"/>
  <c r="EN54" i="2" s="1"/>
  <c r="EM54" i="2"/>
  <c r="EN51" i="2"/>
  <c r="EM51" i="2"/>
  <c r="EN35" i="2"/>
  <c r="EN38" i="2" s="1"/>
  <c r="EN29" i="2"/>
  <c r="EN32" i="2" s="1"/>
  <c r="DD18" i="2"/>
  <c r="EN18" i="2"/>
  <c r="DD15" i="2"/>
  <c r="EN15" i="2"/>
  <c r="CP247" i="2"/>
  <c r="EN22" i="2"/>
  <c r="EN26" i="2" s="1"/>
  <c r="J7" i="7"/>
  <c r="CP257" i="2"/>
  <c r="J43" i="31"/>
  <c r="EN84" i="2"/>
  <c r="CI220" i="2"/>
  <c r="CL211" i="2"/>
  <c r="CL259" i="2" s="1"/>
  <c r="Y43" i="31"/>
  <c r="BQ166" i="2"/>
  <c r="CA166" i="2"/>
  <c r="BE208" i="2"/>
  <c r="BX208" i="2"/>
  <c r="BI166" i="2"/>
  <c r="BC208" i="2"/>
  <c r="BZ166" i="2"/>
  <c r="CH208" i="2"/>
  <c r="BP208" i="2"/>
  <c r="CI166" i="2"/>
  <c r="BJ208" i="2"/>
  <c r="BH166" i="2"/>
  <c r="CB208" i="2"/>
  <c r="CF208" i="2"/>
  <c r="CS166" i="2"/>
  <c r="CS252" i="2" s="1"/>
  <c r="CI208" i="2"/>
  <c r="BW208" i="2"/>
  <c r="BY208" i="2"/>
  <c r="BU208" i="2"/>
  <c r="BN208" i="2"/>
  <c r="BA208" i="2"/>
  <c r="BS208" i="2"/>
  <c r="CJ166" i="2"/>
  <c r="CC208" i="2"/>
  <c r="BT208" i="2"/>
  <c r="CE208" i="2"/>
  <c r="BG208" i="2"/>
  <c r="BL208" i="2"/>
  <c r="L103" i="31"/>
  <c r="BR220" i="2"/>
  <c r="AA12" i="31"/>
  <c r="AC12" i="31" s="1"/>
  <c r="Q47" i="31"/>
  <c r="Q48" i="31" s="1"/>
  <c r="O22" i="7"/>
  <c r="CP202" i="2"/>
  <c r="CP250" i="2" s="1"/>
  <c r="AA101" i="31"/>
  <c r="AC101" i="31" s="1"/>
  <c r="Y21" i="31"/>
  <c r="I147" i="31"/>
  <c r="N9" i="7"/>
  <c r="L18" i="7"/>
  <c r="N95" i="31"/>
  <c r="DD53" i="2"/>
  <c r="DD54" i="2" s="1"/>
  <c r="DD86" i="2"/>
  <c r="DD91" i="2" s="1"/>
  <c r="BH215" i="2"/>
  <c r="Q141" i="31"/>
  <c r="N26" i="7" s="1"/>
  <c r="J26" i="7"/>
  <c r="BQ211" i="2"/>
  <c r="Z27" i="31"/>
  <c r="W9" i="7" s="1"/>
  <c r="O9" i="7"/>
  <c r="J14" i="7"/>
  <c r="N21" i="31"/>
  <c r="BQ164" i="2"/>
  <c r="Q57" i="31"/>
  <c r="CL202" i="2"/>
  <c r="CL250" i="2" s="1"/>
  <c r="N69" i="31"/>
  <c r="I69" i="31"/>
  <c r="Q33" i="31"/>
  <c r="J36" i="31"/>
  <c r="R98" i="31"/>
  <c r="N103" i="31"/>
  <c r="L21" i="31"/>
  <c r="N40" i="31"/>
  <c r="E40" i="31" s="1"/>
  <c r="CN199" i="2"/>
  <c r="CN247" i="2" s="1"/>
  <c r="L26" i="31"/>
  <c r="L147" i="31"/>
  <c r="R141" i="31"/>
  <c r="E141" i="31"/>
  <c r="CN201" i="2"/>
  <c r="CN249" i="2" s="1"/>
  <c r="L125" i="31"/>
  <c r="R17" i="31"/>
  <c r="CR160" i="2"/>
  <c r="CA160" i="2"/>
  <c r="BR160" i="2"/>
  <c r="J147" i="31"/>
  <c r="CJ202" i="2"/>
  <c r="CR171" i="2"/>
  <c r="BZ164" i="2"/>
  <c r="CI171" i="2"/>
  <c r="DM114" i="2"/>
  <c r="CR164" i="2"/>
  <c r="DD129" i="2"/>
  <c r="DD135" i="2" s="1"/>
  <c r="BR171" i="2"/>
  <c r="CI164" i="2"/>
  <c r="BZ171" i="2"/>
  <c r="CR209" i="2"/>
  <c r="CA174" i="2"/>
  <c r="DD35" i="2"/>
  <c r="DD38" i="2" s="1"/>
  <c r="DD23" i="2"/>
  <c r="DD26" i="2" s="1"/>
  <c r="BH199" i="2"/>
  <c r="CA161" i="2"/>
  <c r="CS161" i="2"/>
  <c r="BQ199" i="2"/>
  <c r="CR198" i="2"/>
  <c r="EE51" i="2"/>
  <c r="CI199" i="2"/>
  <c r="EE29" i="2"/>
  <c r="EE32" i="2" s="1"/>
  <c r="EE86" i="2"/>
  <c r="EE91" i="2" s="1"/>
  <c r="EE53" i="2"/>
  <c r="EE54" i="2" s="1"/>
  <c r="EE84" i="2"/>
  <c r="CJ199" i="2"/>
  <c r="J95" i="31"/>
  <c r="EE114" i="2"/>
  <c r="EE35" i="2"/>
  <c r="EE38" i="2" s="1"/>
  <c r="BF199" i="2"/>
  <c r="CJ161" i="2"/>
  <c r="BX205" i="2"/>
  <c r="BH226" i="2"/>
  <c r="BQ226" i="2"/>
  <c r="BI172" i="2"/>
  <c r="BT205" i="2"/>
  <c r="BM204" i="2"/>
  <c r="BK204" i="2"/>
  <c r="BZ204" i="2"/>
  <c r="BO204" i="2"/>
  <c r="BQ213" i="2"/>
  <c r="BI171" i="2"/>
  <c r="DM51" i="2"/>
  <c r="BR226" i="2"/>
  <c r="BI226" i="2"/>
  <c r="BH220" i="2"/>
  <c r="DU76" i="2"/>
  <c r="DV76" i="2"/>
  <c r="BR198" i="2"/>
  <c r="DD29" i="2"/>
  <c r="DD32" i="2" s="1"/>
  <c r="DM22" i="2"/>
  <c r="DM26" i="2" s="1"/>
  <c r="N7" i="7" l="1"/>
  <c r="Q17" i="31"/>
  <c r="FT114" i="2"/>
  <c r="P168" i="31"/>
  <c r="P170" i="31" s="1"/>
  <c r="FT86" i="2"/>
  <c r="FT91" i="2" s="1"/>
  <c r="Q98" i="31"/>
  <c r="N20" i="7" s="1"/>
  <c r="FT53" i="2"/>
  <c r="FT35" i="2"/>
  <c r="FT29" i="2"/>
  <c r="FT22" i="2"/>
  <c r="O26" i="7"/>
  <c r="E26" i="31"/>
  <c r="O7" i="7"/>
  <c r="AD12" i="31"/>
  <c r="AE12" i="31"/>
  <c r="AD101" i="31"/>
  <c r="AE101" i="31"/>
  <c r="L95" i="31"/>
  <c r="O15" i="7"/>
  <c r="Z47" i="31"/>
  <c r="W15" i="7" s="1"/>
  <c r="EN101" i="2"/>
  <c r="CR202" i="2"/>
  <c r="CR250" i="2" s="1"/>
  <c r="CS201" i="2"/>
  <c r="CS249" i="2" s="1"/>
  <c r="CA205" i="2"/>
  <c r="DV79" i="2"/>
  <c r="BZ205" i="2"/>
  <c r="DU79" i="2"/>
  <c r="BI164" i="2"/>
  <c r="BI79" i="2"/>
  <c r="EN135" i="2"/>
  <c r="CS212" i="2" s="1"/>
  <c r="CS260" i="2" s="1"/>
  <c r="BI173" i="2"/>
  <c r="R36" i="31"/>
  <c r="Z33" i="31"/>
  <c r="AA33" i="31" s="1"/>
  <c r="AC33" i="31" s="1"/>
  <c r="EE101" i="2"/>
  <c r="CR211" i="2"/>
  <c r="CR259" i="2" s="1"/>
  <c r="BI215" i="2"/>
  <c r="DD101" i="2"/>
  <c r="BR211" i="2"/>
  <c r="DM84" i="2"/>
  <c r="DM101" i="2" s="1"/>
  <c r="EN70" i="2"/>
  <c r="EN79" i="2" s="1"/>
  <c r="BI202" i="2"/>
  <c r="CR246" i="2"/>
  <c r="CR257" i="2"/>
  <c r="L14" i="7"/>
  <c r="N43" i="31"/>
  <c r="BF208" i="2"/>
  <c r="CJ208" i="2"/>
  <c r="BB208" i="2"/>
  <c r="BD208" i="2"/>
  <c r="BR166" i="2"/>
  <c r="BM208" i="2"/>
  <c r="BI208" i="2"/>
  <c r="BO208" i="2"/>
  <c r="BV208" i="2"/>
  <c r="BK208" i="2"/>
  <c r="Z21" i="7"/>
  <c r="Z6" i="7"/>
  <c r="Y6" i="7"/>
  <c r="X6" i="7"/>
  <c r="X21" i="7"/>
  <c r="N15" i="7"/>
  <c r="Q36" i="31"/>
  <c r="N11" i="7"/>
  <c r="Z57" i="31"/>
  <c r="W18" i="7" s="1"/>
  <c r="O18" i="7"/>
  <c r="AA27" i="31"/>
  <c r="AC27" i="31" s="1"/>
  <c r="Z98" i="31"/>
  <c r="W20" i="7" s="1"/>
  <c r="O20" i="7"/>
  <c r="N18" i="7"/>
  <c r="R21" i="31"/>
  <c r="CJ213" i="2"/>
  <c r="CJ211" i="2"/>
  <c r="Q21" i="31"/>
  <c r="CJ215" i="2"/>
  <c r="L30" i="31"/>
  <c r="J8" i="7"/>
  <c r="Q125" i="31"/>
  <c r="Q26" i="31"/>
  <c r="R26" i="31"/>
  <c r="Q40" i="31"/>
  <c r="Q43" i="31" s="1"/>
  <c r="R103" i="31"/>
  <c r="J69" i="31"/>
  <c r="R69" i="31"/>
  <c r="R40" i="31"/>
  <c r="R147" i="31"/>
  <c r="Z141" i="31"/>
  <c r="W26" i="7" s="1"/>
  <c r="BH198" i="2"/>
  <c r="CS160" i="2"/>
  <c r="CN209" i="2"/>
  <c r="CN257" i="2" s="1"/>
  <c r="CS171" i="2"/>
  <c r="CJ171" i="2"/>
  <c r="BH202" i="2"/>
  <c r="CA171" i="2"/>
  <c r="CS209" i="2"/>
  <c r="BR199" i="2"/>
  <c r="BI198" i="2"/>
  <c r="CS198" i="2"/>
  <c r="CS199" i="2"/>
  <c r="CS247" i="2" s="1"/>
  <c r="BI199" i="2"/>
  <c r="CJ198" i="2"/>
  <c r="BR204" i="2"/>
  <c r="CA204" i="2"/>
  <c r="BQ204" i="2"/>
  <c r="AC36" i="31" l="1"/>
  <c r="AD33" i="31"/>
  <c r="W7" i="7"/>
  <c r="Z17" i="31"/>
  <c r="Y22" i="7"/>
  <c r="Q103" i="31"/>
  <c r="X22" i="7"/>
  <c r="R125" i="31"/>
  <c r="AD27" i="31"/>
  <c r="AE27" i="31"/>
  <c r="Y21" i="7"/>
  <c r="AE33" i="31"/>
  <c r="R95" i="31"/>
  <c r="Q95" i="31"/>
  <c r="BR213" i="2"/>
  <c r="AA47" i="31"/>
  <c r="AC47" i="31" s="1"/>
  <c r="Z36" i="31"/>
  <c r="Z48" i="31"/>
  <c r="W11" i="7"/>
  <c r="CS202" i="2"/>
  <c r="CS250" i="2" s="1"/>
  <c r="BI220" i="2"/>
  <c r="CS246" i="2"/>
  <c r="AA36" i="31"/>
  <c r="CS257" i="2"/>
  <c r="CJ220" i="2"/>
  <c r="O14" i="7"/>
  <c r="R43" i="31"/>
  <c r="Y9" i="7"/>
  <c r="Z9" i="7"/>
  <c r="BH208" i="2"/>
  <c r="CA208" i="2"/>
  <c r="BQ208" i="2"/>
  <c r="BR208" i="2"/>
  <c r="BZ208" i="2"/>
  <c r="X11" i="7"/>
  <c r="AA98" i="31"/>
  <c r="AC98" i="31" s="1"/>
  <c r="AA57" i="31"/>
  <c r="AC57" i="31" s="1"/>
  <c r="Z103" i="31"/>
  <c r="N14" i="7"/>
  <c r="X9" i="7"/>
  <c r="R30" i="31"/>
  <c r="O8" i="7"/>
  <c r="Z21" i="31"/>
  <c r="Z95" i="31"/>
  <c r="Z69" i="31"/>
  <c r="Q30" i="31"/>
  <c r="N8" i="7"/>
  <c r="Z26" i="31"/>
  <c r="AA26" i="31" s="1"/>
  <c r="AC26" i="31" s="1"/>
  <c r="Z125" i="31"/>
  <c r="Q69" i="31"/>
  <c r="Z40" i="31"/>
  <c r="Z147" i="31"/>
  <c r="AA141" i="31"/>
  <c r="AC141" i="31" s="1"/>
  <c r="Q147" i="31"/>
  <c r="AB17" i="31" l="1"/>
  <c r="AC17" i="31"/>
  <c r="AA17" i="31"/>
  <c r="Z22" i="7"/>
  <c r="AE36" i="31"/>
  <c r="AE57" i="31"/>
  <c r="AD98" i="31"/>
  <c r="AE98" i="31"/>
  <c r="AB48" i="31"/>
  <c r="AE47" i="31"/>
  <c r="AD26" i="31"/>
  <c r="AD141" i="31"/>
  <c r="AE141" i="31"/>
  <c r="AE26" i="31"/>
  <c r="AA48" i="31"/>
  <c r="AC48" i="31"/>
  <c r="X15" i="7"/>
  <c r="AC30" i="31"/>
  <c r="AC147" i="31"/>
  <c r="AC103" i="31"/>
  <c r="AA95" i="31"/>
  <c r="AA69" i="31"/>
  <c r="AC69" i="31"/>
  <c r="Y26" i="7"/>
  <c r="AA147" i="31"/>
  <c r="AA103" i="31"/>
  <c r="W14" i="7"/>
  <c r="Z43" i="31"/>
  <c r="X18" i="7"/>
  <c r="AB36" i="31"/>
  <c r="AD36" i="31" s="1"/>
  <c r="Y11" i="7"/>
  <c r="X7" i="7"/>
  <c r="Z20" i="7"/>
  <c r="X20" i="7"/>
  <c r="Z11" i="7"/>
  <c r="Z15" i="7"/>
  <c r="AA30" i="31"/>
  <c r="X8" i="7"/>
  <c r="Z26" i="7"/>
  <c r="X26" i="7"/>
  <c r="Z30" i="31"/>
  <c r="W8" i="7"/>
  <c r="AA21" i="31"/>
  <c r="AA40" i="31"/>
  <c r="AC40" i="31" s="1"/>
  <c r="Z18" i="7" l="1"/>
  <c r="AD57" i="31"/>
  <c r="AC95" i="31"/>
  <c r="AA125" i="31"/>
  <c r="AC125" i="31"/>
  <c r="AB21" i="31"/>
  <c r="AC21" i="31" s="1"/>
  <c r="AD21" i="31" s="1"/>
  <c r="AD17" i="31"/>
  <c r="AD47" i="31"/>
  <c r="AD40" i="31"/>
  <c r="AE40" i="31"/>
  <c r="AE69" i="31"/>
  <c r="AB125" i="31"/>
  <c r="AE21" i="31"/>
  <c r="AB30" i="31"/>
  <c r="AD30" i="31" s="1"/>
  <c r="AE103" i="31"/>
  <c r="AD48" i="31"/>
  <c r="AE48" i="31"/>
  <c r="AE147" i="31"/>
  <c r="AE30" i="31"/>
  <c r="AE17" i="31"/>
  <c r="Y18" i="7"/>
  <c r="AE95" i="31"/>
  <c r="Y15" i="7"/>
  <c r="Y8" i="7"/>
  <c r="AC43" i="31"/>
  <c r="AA43" i="31"/>
  <c r="AB69" i="31"/>
  <c r="AD69" i="31" s="1"/>
  <c r="X14" i="7"/>
  <c r="AB103" i="31"/>
  <c r="AD103" i="31" s="1"/>
  <c r="Y20" i="7"/>
  <c r="Y7" i="7"/>
  <c r="AB147" i="31"/>
  <c r="AD147" i="31" s="1"/>
  <c r="Z8" i="7"/>
  <c r="Z7" i="7"/>
  <c r="BK43" i="2"/>
  <c r="BK48" i="2" s="1"/>
  <c r="BK58" i="2" s="1"/>
  <c r="AD95" i="31" l="1"/>
  <c r="AB43" i="31"/>
  <c r="AD43" i="31" s="1"/>
  <c r="AE43" i="31"/>
  <c r="AD125" i="31"/>
  <c r="AE125" i="31"/>
  <c r="Y14" i="7"/>
  <c r="Z14" i="7"/>
  <c r="FI125" i="2" l="1"/>
  <c r="V136" i="31" s="1"/>
  <c r="S25" i="7" s="1"/>
  <c r="FH125" i="2"/>
  <c r="W136" i="31" s="1"/>
  <c r="T25" i="7" s="1"/>
  <c r="FF125" i="2"/>
  <c r="FE125" i="2"/>
  <c r="FD125" i="2"/>
  <c r="X136" i="31" s="1"/>
  <c r="U25" i="7" s="1"/>
  <c r="FC125" i="2"/>
  <c r="U136" i="31" s="1"/>
  <c r="R25" i="7" s="1"/>
  <c r="FB125" i="2"/>
  <c r="T136" i="31" s="1"/>
  <c r="Q25" i="7" s="1"/>
  <c r="FA125" i="2"/>
  <c r="FJ125" i="2"/>
  <c r="CL125" i="2"/>
  <c r="CK125" i="2"/>
  <c r="CC125" i="2"/>
  <c r="CB125" i="2"/>
  <c r="BY125" i="2"/>
  <c r="BW125" i="2"/>
  <c r="BU125" i="2"/>
  <c r="BS125" i="2"/>
  <c r="BP125" i="2"/>
  <c r="BN125" i="2"/>
  <c r="BL125" i="2"/>
  <c r="BJ125" i="2"/>
  <c r="BG125" i="2"/>
  <c r="BE125" i="2"/>
  <c r="BA125" i="2"/>
  <c r="AN125" i="2"/>
  <c r="CP125" i="2" s="1"/>
  <c r="AL125" i="2"/>
  <c r="AJ125" i="2"/>
  <c r="CG125" i="2" s="1"/>
  <c r="AH125" i="2"/>
  <c r="CE125" i="2" s="1"/>
  <c r="AF125" i="2"/>
  <c r="BX125" i="2" s="1"/>
  <c r="AD125" i="2"/>
  <c r="BV125" i="2" s="1"/>
  <c r="AB125" i="2"/>
  <c r="BO125" i="2" s="1"/>
  <c r="Z125" i="2"/>
  <c r="X125" i="2"/>
  <c r="BF125" i="2" s="1"/>
  <c r="V125" i="2"/>
  <c r="L125" i="2"/>
  <c r="FJ12" i="2"/>
  <c r="FJ19" i="2" s="1"/>
  <c r="FH12" i="2"/>
  <c r="FH19" i="2" s="1"/>
  <c r="FG12" i="2"/>
  <c r="FG19" i="2" s="1"/>
  <c r="FF12" i="2"/>
  <c r="FF19" i="2" s="1"/>
  <c r="FE12" i="2"/>
  <c r="FE19" i="2" s="1"/>
  <c r="FD12" i="2"/>
  <c r="FD19" i="2" s="1"/>
  <c r="FC12" i="2"/>
  <c r="FC19" i="2" s="1"/>
  <c r="FB12" i="2"/>
  <c r="FA12" i="2"/>
  <c r="FI12" i="2"/>
  <c r="FI19" i="2" s="1"/>
  <c r="DB12" i="2"/>
  <c r="DB19" i="2" s="1"/>
  <c r="CQ12" i="2"/>
  <c r="CQ19" i="2" s="1"/>
  <c r="CO12" i="2"/>
  <c r="CO19" i="2" s="1"/>
  <c r="CM12" i="2"/>
  <c r="CM19" i="2" s="1"/>
  <c r="CL12" i="2"/>
  <c r="CL19" i="2" s="1"/>
  <c r="CK12" i="2"/>
  <c r="CK19" i="2" s="1"/>
  <c r="CH12" i="2"/>
  <c r="CH19" i="2" s="1"/>
  <c r="CF12" i="2"/>
  <c r="CF19" i="2" s="1"/>
  <c r="CD12" i="2"/>
  <c r="CD19" i="2" s="1"/>
  <c r="CC12" i="2"/>
  <c r="CC19" i="2" s="1"/>
  <c r="CB12" i="2"/>
  <c r="CB19" i="2" s="1"/>
  <c r="BY12" i="2"/>
  <c r="BY19" i="2" s="1"/>
  <c r="BW12" i="2"/>
  <c r="BW19" i="2" s="1"/>
  <c r="BU12" i="2"/>
  <c r="BT12" i="2"/>
  <c r="BS12" i="2"/>
  <c r="BS19" i="2" s="1"/>
  <c r="BP12" i="2"/>
  <c r="BP19" i="2" s="1"/>
  <c r="BN12" i="2"/>
  <c r="BN19" i="2" s="1"/>
  <c r="BL12" i="2"/>
  <c r="BL19" i="2" s="1"/>
  <c r="BK12" i="2"/>
  <c r="BK19" i="2" s="1"/>
  <c r="BG12" i="2"/>
  <c r="BG19" i="2" s="1"/>
  <c r="BE12" i="2"/>
  <c r="BE19" i="2" s="1"/>
  <c r="BB12" i="2"/>
  <c r="AN12" i="2"/>
  <c r="AN19" i="2" s="1"/>
  <c r="AL12" i="2"/>
  <c r="AJ12" i="2"/>
  <c r="AJ19" i="2" s="1"/>
  <c r="AF12" i="2"/>
  <c r="AF19" i="2" s="1"/>
  <c r="AD12" i="2"/>
  <c r="AD19" i="2" s="1"/>
  <c r="AB12" i="2"/>
  <c r="AB19" i="2" s="1"/>
  <c r="Z12" i="2"/>
  <c r="Z19" i="2" s="1"/>
  <c r="X12" i="2"/>
  <c r="X19" i="2" s="1"/>
  <c r="V12" i="2"/>
  <c r="V19" i="2" s="1"/>
  <c r="CI125" i="2" l="1"/>
  <c r="CJ125" i="2" s="1"/>
  <c r="BZ125" i="2"/>
  <c r="CA125" i="2" s="1"/>
  <c r="BT19" i="2"/>
  <c r="FS125" i="2"/>
  <c r="EL125" i="2"/>
  <c r="AL19" i="2"/>
  <c r="BU19" i="2"/>
  <c r="S136" i="31"/>
  <c r="P25" i="7" s="1"/>
  <c r="FA19" i="2"/>
  <c r="FB19" i="2"/>
  <c r="BB19" i="2"/>
  <c r="EK125" i="2"/>
  <c r="N136" i="31" s="1"/>
  <c r="L25" i="7" s="1"/>
  <c r="CE12" i="2"/>
  <c r="CE19" i="2" s="1"/>
  <c r="AH12" i="2"/>
  <c r="AH19" i="2" s="1"/>
  <c r="EH12" i="2"/>
  <c r="EH19" i="2" s="1"/>
  <c r="BC12" i="2"/>
  <c r="BC19" i="2" s="1"/>
  <c r="Y136" i="31"/>
  <c r="V25" i="7" s="1"/>
  <c r="EH125" i="2"/>
  <c r="K136" i="31" s="1"/>
  <c r="I25" i="7" s="1"/>
  <c r="BM125" i="2"/>
  <c r="BQ125" i="2" s="1"/>
  <c r="BD125" i="2"/>
  <c r="BH125" i="2" s="1"/>
  <c r="CN125" i="2"/>
  <c r="CR125" i="2" s="1"/>
  <c r="CS125" i="2" s="1"/>
  <c r="EF12" i="2"/>
  <c r="EG12" i="2"/>
  <c r="EG19" i="2" s="1"/>
  <c r="EL12" i="2"/>
  <c r="EG125" i="2"/>
  <c r="I136" i="31" s="1"/>
  <c r="EF125" i="2"/>
  <c r="BL156" i="2"/>
  <c r="BK156" i="2"/>
  <c r="CP12" i="2"/>
  <c r="CP19" i="2" s="1"/>
  <c r="CN12" i="2"/>
  <c r="CN19" i="2" s="1"/>
  <c r="CG12" i="2"/>
  <c r="CG19" i="2" s="1"/>
  <c r="BF12" i="2"/>
  <c r="BF19" i="2" s="1"/>
  <c r="BD12" i="2"/>
  <c r="BD19" i="2" s="1"/>
  <c r="BM12" i="2"/>
  <c r="BM19" i="2" s="1"/>
  <c r="BV12" i="2"/>
  <c r="BV19" i="2" s="1"/>
  <c r="BX12" i="2"/>
  <c r="BX19" i="2" s="1"/>
  <c r="CZ12" i="2"/>
  <c r="CZ19" i="2" s="1"/>
  <c r="BN156" i="2"/>
  <c r="BO12" i="2"/>
  <c r="BO19" i="2" s="1"/>
  <c r="CX12" i="2"/>
  <c r="CX19" i="2" s="1"/>
  <c r="CW125" i="2"/>
  <c r="CX125" i="2"/>
  <c r="CY125" i="2"/>
  <c r="DA125" i="2"/>
  <c r="CZ125" i="2"/>
  <c r="DB125" i="2"/>
  <c r="CV125" i="2"/>
  <c r="DH125" i="2"/>
  <c r="DH126" i="2" s="1"/>
  <c r="DI125" i="2"/>
  <c r="DI126" i="2" s="1"/>
  <c r="DJ125" i="2"/>
  <c r="DJ126" i="2" s="1"/>
  <c r="DK125" i="2"/>
  <c r="DK126" i="2" s="1"/>
  <c r="DE125" i="2"/>
  <c r="DE126" i="2" s="1"/>
  <c r="DF125" i="2"/>
  <c r="DF126" i="2" s="1"/>
  <c r="DG125" i="2"/>
  <c r="DG126" i="2" s="1"/>
  <c r="FG125" i="2"/>
  <c r="FV125" i="2" s="1"/>
  <c r="DK12" i="2"/>
  <c r="DK19" i="2" s="1"/>
  <c r="DI12" i="2"/>
  <c r="DI19" i="2" s="1"/>
  <c r="DJ12" i="2"/>
  <c r="DJ19" i="2" s="1"/>
  <c r="DF12" i="2"/>
  <c r="DG12" i="2"/>
  <c r="DG19" i="2" s="1"/>
  <c r="DH12" i="2"/>
  <c r="DH19" i="2" s="1"/>
  <c r="CW12" i="2"/>
  <c r="CY12" i="2"/>
  <c r="CY19" i="2" s="1"/>
  <c r="DA12" i="2"/>
  <c r="DA19" i="2" s="1"/>
  <c r="CV12" i="2"/>
  <c r="EL19" i="2" l="1"/>
  <c r="BR125" i="2"/>
  <c r="FR125" i="2"/>
  <c r="H136" i="31"/>
  <c r="J136" i="31" s="1"/>
  <c r="FU125" i="2"/>
  <c r="CW19" i="2"/>
  <c r="CV19" i="2"/>
  <c r="DF19" i="2"/>
  <c r="H25" i="7"/>
  <c r="CK194" i="2"/>
  <c r="EF19" i="2"/>
  <c r="EI125" i="2"/>
  <c r="BZ12" i="2"/>
  <c r="EK12" i="2"/>
  <c r="EK19" i="2" s="1"/>
  <c r="CI12" i="2"/>
  <c r="CI19" i="2" s="1"/>
  <c r="BH12" i="2"/>
  <c r="BH19" i="2" s="1"/>
  <c r="CR12" i="2"/>
  <c r="CR19" i="2" s="1"/>
  <c r="U13" i="31"/>
  <c r="W13" i="31"/>
  <c r="CB156" i="2"/>
  <c r="CQ156" i="2"/>
  <c r="CM156" i="2"/>
  <c r="BE156" i="2"/>
  <c r="BU156" i="2"/>
  <c r="BS156" i="2"/>
  <c r="CK156" i="2"/>
  <c r="CH156" i="2"/>
  <c r="CL156" i="2"/>
  <c r="BY156" i="2"/>
  <c r="CO156" i="2"/>
  <c r="BP156" i="2"/>
  <c r="BT156" i="2"/>
  <c r="CF156" i="2"/>
  <c r="BW156" i="2"/>
  <c r="H13" i="31"/>
  <c r="CD156" i="2"/>
  <c r="CC156" i="2"/>
  <c r="BM156" i="2"/>
  <c r="BG156" i="2"/>
  <c r="BB156" i="2"/>
  <c r="BC156" i="2"/>
  <c r="V13" i="31"/>
  <c r="S13" i="31"/>
  <c r="X13" i="31"/>
  <c r="BQ12" i="2"/>
  <c r="BQ19" i="2" s="1"/>
  <c r="EE125" i="2"/>
  <c r="DC125" i="2"/>
  <c r="DD125" i="2" s="1"/>
  <c r="BI125" i="2"/>
  <c r="DL125" i="2"/>
  <c r="DL126" i="2" s="1"/>
  <c r="E24" i="7"/>
  <c r="DL12" i="2"/>
  <c r="DL19" i="2" s="1"/>
  <c r="DC12" i="2"/>
  <c r="DC19" i="2" s="1"/>
  <c r="EM125" i="2" l="1"/>
  <c r="EN125" i="2" s="1"/>
  <c r="FT125" i="2" s="1"/>
  <c r="G25" i="7"/>
  <c r="BZ19" i="2"/>
  <c r="DM125" i="2"/>
  <c r="DM126" i="2" s="1"/>
  <c r="CA12" i="2"/>
  <c r="CA19" i="2" s="1"/>
  <c r="X23" i="31"/>
  <c r="S23" i="31"/>
  <c r="W23" i="31"/>
  <c r="U23" i="31"/>
  <c r="V23" i="31"/>
  <c r="EM12" i="2"/>
  <c r="EM19" i="2" s="1"/>
  <c r="CJ12" i="2"/>
  <c r="CJ19" i="2" s="1"/>
  <c r="CQ194" i="2"/>
  <c r="BI12" i="2"/>
  <c r="CS12" i="2"/>
  <c r="CR156" i="2"/>
  <c r="CP156" i="2"/>
  <c r="CE156" i="2"/>
  <c r="BV156" i="2"/>
  <c r="CG156" i="2"/>
  <c r="DD12" i="2"/>
  <c r="DD19" i="2" s="1"/>
  <c r="DM12" i="2"/>
  <c r="DM19" i="2" s="1"/>
  <c r="BZ156" i="2"/>
  <c r="CN156" i="2"/>
  <c r="BF156" i="2"/>
  <c r="BX156" i="2"/>
  <c r="BO156" i="2"/>
  <c r="BD156" i="2"/>
  <c r="K13" i="31"/>
  <c r="M13" i="31"/>
  <c r="CL194" i="2"/>
  <c r="CM194" i="2"/>
  <c r="BR12" i="2"/>
  <c r="BR19" i="2" s="1"/>
  <c r="CO194" i="2"/>
  <c r="L136" i="31"/>
  <c r="I13" i="31"/>
  <c r="CS19" i="2" l="1"/>
  <c r="BI19" i="2"/>
  <c r="J25" i="7"/>
  <c r="E136" i="31"/>
  <c r="M23" i="31"/>
  <c r="I23" i="31"/>
  <c r="K23" i="31"/>
  <c r="N13" i="31"/>
  <c r="H23" i="31"/>
  <c r="CS156" i="2"/>
  <c r="BI156" i="2"/>
  <c r="CP194" i="2"/>
  <c r="BH156" i="2"/>
  <c r="CI156" i="2"/>
  <c r="DN12" i="2"/>
  <c r="DN19" i="2" s="1"/>
  <c r="CJ156" i="2"/>
  <c r="CA156" i="2"/>
  <c r="BQ156" i="2"/>
  <c r="Q136" i="31"/>
  <c r="N25" i="7" s="1"/>
  <c r="R136" i="31"/>
  <c r="O25" i="7" s="1"/>
  <c r="N23" i="31" l="1"/>
  <c r="DO12" i="2"/>
  <c r="DO19" i="2" s="1"/>
  <c r="CR194" i="2"/>
  <c r="BR156" i="2"/>
  <c r="Z136" i="31"/>
  <c r="W25" i="7" s="1"/>
  <c r="FB139" i="2"/>
  <c r="FA139" i="2"/>
  <c r="FB117" i="2"/>
  <c r="FB126" i="2" s="1"/>
  <c r="FA117" i="2"/>
  <c r="FA126" i="2" l="1"/>
  <c r="DP12" i="2"/>
  <c r="DP19" i="2" s="1"/>
  <c r="BK157" i="2"/>
  <c r="AA136" i="31"/>
  <c r="AC136" i="31" s="1"/>
  <c r="S128" i="31"/>
  <c r="T128" i="31"/>
  <c r="E40" i="13"/>
  <c r="S153" i="31" l="1"/>
  <c r="T153" i="31"/>
  <c r="AD136" i="31"/>
  <c r="AE136" i="31"/>
  <c r="DQ12" i="2"/>
  <c r="Y25" i="7"/>
  <c r="Z25" i="7"/>
  <c r="DR12" i="2"/>
  <c r="S137" i="31"/>
  <c r="P23" i="7"/>
  <c r="T137" i="31"/>
  <c r="Q23" i="7"/>
  <c r="X25" i="7"/>
  <c r="DR19" i="2" l="1"/>
  <c r="DQ19" i="2"/>
  <c r="EI12" i="2"/>
  <c r="EI19" i="2" s="1"/>
  <c r="DS12" i="2"/>
  <c r="E23" i="7"/>
  <c r="DS19" i="2" l="1"/>
  <c r="L13" i="31"/>
  <c r="EN12" i="2"/>
  <c r="EN19" i="2" s="1"/>
  <c r="DT12" i="2"/>
  <c r="CN194" i="2"/>
  <c r="DU12" i="2"/>
  <c r="DU19" i="2" l="1"/>
  <c r="DT19" i="2"/>
  <c r="Z13" i="31"/>
  <c r="Z23" i="31" s="1"/>
  <c r="CS194" i="2"/>
  <c r="L23" i="31"/>
  <c r="DV12" i="2"/>
  <c r="DV19" i="2" l="1"/>
  <c r="R13" i="31"/>
  <c r="BK165" i="2"/>
  <c r="R23" i="31" l="1"/>
  <c r="BB165" i="2"/>
  <c r="CB117" i="2" l="1"/>
  <c r="CB126" i="2" l="1"/>
  <c r="F22" i="2" l="1"/>
  <c r="F23" i="2" s="1"/>
  <c r="F29" i="2" s="1"/>
  <c r="BT139" i="2" l="1"/>
  <c r="BT165" i="2" s="1"/>
  <c r="L12" i="2"/>
  <c r="BG194" i="2" l="1"/>
  <c r="BA194" i="2"/>
  <c r="BE194" i="2"/>
  <c r="BX194" i="2"/>
  <c r="BB194" i="2"/>
  <c r="BS194" i="2"/>
  <c r="BV194" i="2"/>
  <c r="BT194" i="2"/>
  <c r="BH194" i="2"/>
  <c r="BY194" i="2"/>
  <c r="BZ194" i="2"/>
  <c r="BC194" i="2"/>
  <c r="BU194" i="2"/>
  <c r="BW194" i="2"/>
  <c r="BD194" i="2"/>
  <c r="BF194" i="2"/>
  <c r="BA156" i="2"/>
  <c r="L19" i="2"/>
  <c r="E22" i="7"/>
  <c r="E21" i="7"/>
  <c r="BK194" i="2" l="1"/>
  <c r="CA194" i="2"/>
  <c r="BJ194" i="2"/>
  <c r="BI194" i="2"/>
  <c r="BN194" i="2"/>
  <c r="BL194" i="2"/>
  <c r="BP194" i="2"/>
  <c r="BM194" i="2" l="1"/>
  <c r="BO194" i="2"/>
  <c r="BR194" i="2"/>
  <c r="BQ194" i="2" l="1"/>
  <c r="E20" i="7" l="1"/>
  <c r="FG117" i="2" l="1"/>
  <c r="FG126" i="2" s="1"/>
  <c r="FJ117" i="2" l="1"/>
  <c r="FJ126" i="2" s="1"/>
  <c r="Y128" i="31" l="1"/>
  <c r="Y137" i="31" l="1"/>
  <c r="V23" i="7"/>
  <c r="K126" i="2"/>
  <c r="K148" i="2" s="1"/>
  <c r="K150" i="2" s="1"/>
  <c r="K151" i="2" s="1"/>
  <c r="BK117" i="2" l="1"/>
  <c r="BB117" i="2"/>
  <c r="BB126" i="2" s="1"/>
  <c r="BT117" i="2"/>
  <c r="BT126" i="2" s="1"/>
  <c r="BK126" i="2" l="1"/>
  <c r="BK148" i="2" s="1"/>
  <c r="BK150" i="2" s="1"/>
  <c r="BK151" i="2" s="1"/>
  <c r="BB159" i="2"/>
  <c r="FI117" i="2"/>
  <c r="FI126" i="2" s="1"/>
  <c r="V128" i="31" l="1"/>
  <c r="BG117" i="2"/>
  <c r="BG126" i="2" s="1"/>
  <c r="FH117" i="2"/>
  <c r="FH126" i="2" s="1"/>
  <c r="FF117" i="2"/>
  <c r="FF126" i="2" s="1"/>
  <c r="FE117" i="2"/>
  <c r="FE126" i="2" s="1"/>
  <c r="FD117" i="2"/>
  <c r="FD126" i="2" s="1"/>
  <c r="FC117" i="2"/>
  <c r="BY117" i="2"/>
  <c r="BY126" i="2" s="1"/>
  <c r="BW117" i="2"/>
  <c r="BW126" i="2" s="1"/>
  <c r="BU117" i="2"/>
  <c r="BU126" i="2" s="1"/>
  <c r="BP117" i="2"/>
  <c r="BP126" i="2" s="1"/>
  <c r="BN117" i="2"/>
  <c r="BL117" i="2"/>
  <c r="BJ117" i="2"/>
  <c r="BE117" i="2"/>
  <c r="BE126" i="2" s="1"/>
  <c r="BC117" i="2"/>
  <c r="BC126" i="2" s="1"/>
  <c r="AN117" i="2"/>
  <c r="AN126" i="2" s="1"/>
  <c r="AJ117" i="2"/>
  <c r="AJ126" i="2" s="1"/>
  <c r="AF117" i="2"/>
  <c r="AF126" i="2" s="1"/>
  <c r="AB117" i="2"/>
  <c r="AB126" i="2" s="1"/>
  <c r="X117" i="2"/>
  <c r="X126" i="2" s="1"/>
  <c r="S117" i="2"/>
  <c r="CC117" i="2"/>
  <c r="CC126" i="2" s="1"/>
  <c r="CK117" i="2"/>
  <c r="CK126" i="2" s="1"/>
  <c r="BJ126" i="2" l="1"/>
  <c r="FC126" i="2"/>
  <c r="FV117" i="2"/>
  <c r="BL126" i="2"/>
  <c r="BN126" i="2"/>
  <c r="BN159" i="2" s="1"/>
  <c r="EH117" i="2"/>
  <c r="EH126" i="2" s="1"/>
  <c r="EL117" i="2"/>
  <c r="V137" i="31"/>
  <c r="S23" i="7"/>
  <c r="U128" i="31"/>
  <c r="X128" i="31"/>
  <c r="W128" i="31"/>
  <c r="CF197" i="2"/>
  <c r="CD197" i="2"/>
  <c r="CH197" i="2"/>
  <c r="CX117" i="2"/>
  <c r="CX126" i="2" s="1"/>
  <c r="CZ117" i="2"/>
  <c r="CZ126" i="2" s="1"/>
  <c r="DB117" i="2"/>
  <c r="DB126" i="2" s="1"/>
  <c r="BO117" i="2"/>
  <c r="BO126" i="2" s="1"/>
  <c r="BX117" i="2"/>
  <c r="BX126" i="2" s="1"/>
  <c r="CG117" i="2"/>
  <c r="CG126" i="2" s="1"/>
  <c r="CP117" i="2"/>
  <c r="CP126" i="2" s="1"/>
  <c r="BF117" i="2"/>
  <c r="CL117" i="2"/>
  <c r="V117" i="2"/>
  <c r="V126" i="2" s="1"/>
  <c r="AD117" i="2"/>
  <c r="AD126" i="2" s="1"/>
  <c r="AL117" i="2"/>
  <c r="AL126" i="2" s="1"/>
  <c r="BS117" i="2"/>
  <c r="L117" i="2"/>
  <c r="Z117" i="2"/>
  <c r="Z126" i="2" s="1"/>
  <c r="AH117" i="2"/>
  <c r="AH126" i="2" s="1"/>
  <c r="BA117" i="2"/>
  <c r="BS126" i="2" l="1"/>
  <c r="BS159" i="2" s="1"/>
  <c r="BA126" i="2"/>
  <c r="BA159" i="2" s="1"/>
  <c r="BF126" i="2"/>
  <c r="FS117" i="2"/>
  <c r="BL159" i="2"/>
  <c r="EG117" i="2"/>
  <c r="EG126" i="2" s="1"/>
  <c r="CL126" i="2"/>
  <c r="EL126" i="2"/>
  <c r="CQ197" i="2" s="1"/>
  <c r="CC197" i="2"/>
  <c r="EK117" i="2"/>
  <c r="EF117" i="2"/>
  <c r="H128" i="31"/>
  <c r="U137" i="31"/>
  <c r="R23" i="7"/>
  <c r="X137" i="31"/>
  <c r="U23" i="7"/>
  <c r="W137" i="31"/>
  <c r="T23" i="7"/>
  <c r="CM197" i="2"/>
  <c r="K128" i="31"/>
  <c r="CG197" i="2"/>
  <c r="CW117" i="2"/>
  <c r="CW126" i="2" s="1"/>
  <c r="DA117" i="2"/>
  <c r="DA126" i="2" s="1"/>
  <c r="CV117" i="2"/>
  <c r="CV126" i="2" s="1"/>
  <c r="BM117" i="2"/>
  <c r="BQ117" i="2" s="1"/>
  <c r="BV117" i="2"/>
  <c r="CE117" i="2"/>
  <c r="CN117" i="2"/>
  <c r="CN126" i="2" s="1"/>
  <c r="BD117" i="2"/>
  <c r="BH117" i="2" s="1"/>
  <c r="BV126" i="2" l="1"/>
  <c r="BZ117" i="2"/>
  <c r="BZ126" i="2" s="1"/>
  <c r="CE126" i="2"/>
  <c r="CI117" i="2"/>
  <c r="CI126" i="2" s="1"/>
  <c r="BD126" i="2"/>
  <c r="FR117" i="2"/>
  <c r="EF126" i="2"/>
  <c r="CK197" i="2" s="1"/>
  <c r="FU117" i="2"/>
  <c r="H137" i="31"/>
  <c r="BM126" i="2"/>
  <c r="EK126" i="2"/>
  <c r="CP197" i="2" s="1"/>
  <c r="N128" i="31"/>
  <c r="N137" i="31" s="1"/>
  <c r="EI117" i="2"/>
  <c r="EI126" i="2" s="1"/>
  <c r="G23" i="7"/>
  <c r="K137" i="31"/>
  <c r="I23" i="7"/>
  <c r="CL197" i="2"/>
  <c r="I128" i="31"/>
  <c r="CE197" i="2"/>
  <c r="CB197" i="2"/>
  <c r="CY117" i="2"/>
  <c r="CY126" i="2" s="1"/>
  <c r="CR117" i="2"/>
  <c r="CR126" i="2" s="1"/>
  <c r="BQ126" i="2"/>
  <c r="BM159" i="2" l="1"/>
  <c r="BH126" i="2"/>
  <c r="L23" i="7"/>
  <c r="L128" i="31"/>
  <c r="BZ159" i="2"/>
  <c r="CN197" i="2"/>
  <c r="EM117" i="2"/>
  <c r="EM126" i="2" s="1"/>
  <c r="CS117" i="2"/>
  <c r="CS126" i="2" s="1"/>
  <c r="I137" i="31"/>
  <c r="H23" i="7"/>
  <c r="J128" i="31"/>
  <c r="J137" i="31" s="1"/>
  <c r="CA117" i="2"/>
  <c r="CA126" i="2" s="1"/>
  <c r="BR117" i="2"/>
  <c r="BR126" i="2" s="1"/>
  <c r="CJ117" i="2"/>
  <c r="CJ126" i="2" s="1"/>
  <c r="DC117" i="2"/>
  <c r="DC126" i="2" s="1"/>
  <c r="BI117" i="2"/>
  <c r="BI126" i="2" s="1"/>
  <c r="J23" i="7" l="1"/>
  <c r="E128" i="31"/>
  <c r="L137" i="31"/>
  <c r="R128" i="31"/>
  <c r="O23" i="7" s="1"/>
  <c r="EN117" i="2"/>
  <c r="FT117" i="2" s="1"/>
  <c r="CR197" i="2"/>
  <c r="Q128" i="31"/>
  <c r="N23" i="7" s="1"/>
  <c r="BR159" i="2"/>
  <c r="CI197" i="2"/>
  <c r="EE117" i="2"/>
  <c r="EE126" i="2" s="1"/>
  <c r="DD117" i="2"/>
  <c r="DD126" i="2" s="1"/>
  <c r="Z128" i="31" l="1"/>
  <c r="Z137" i="31" s="1"/>
  <c r="R137" i="31"/>
  <c r="EN126" i="2"/>
  <c r="CS197" i="2" s="1"/>
  <c r="CJ197" i="2"/>
  <c r="Q137" i="31"/>
  <c r="BB43" i="2"/>
  <c r="BB48" i="2" s="1"/>
  <c r="BB58" i="2" l="1"/>
  <c r="BB148" i="2" s="1"/>
  <c r="BB150" i="2" s="1"/>
  <c r="BB151" i="2" s="1"/>
  <c r="W23" i="7"/>
  <c r="AA128" i="31"/>
  <c r="AC128" i="31" s="1"/>
  <c r="AE128" i="31" l="1"/>
  <c r="X23" i="7"/>
  <c r="AB137" i="31"/>
  <c r="AC137" i="31"/>
  <c r="AA137" i="31"/>
  <c r="BB157" i="2"/>
  <c r="Z23" i="7"/>
  <c r="CH43" i="2"/>
  <c r="CF43" i="2"/>
  <c r="CD43" i="2"/>
  <c r="CC43" i="2"/>
  <c r="CC48" i="2" s="1"/>
  <c r="CC58" i="2" s="1"/>
  <c r="CC148" i="2" s="1"/>
  <c r="CC150" i="2" s="1"/>
  <c r="CC151" i="2" s="1"/>
  <c r="CB43" i="2"/>
  <c r="CJ266" i="2"/>
  <c r="CJ265" i="2"/>
  <c r="CJ262" i="2"/>
  <c r="CJ257" i="2"/>
  <c r="CJ250" i="2"/>
  <c r="CJ248" i="2"/>
  <c r="AD137" i="31" l="1"/>
  <c r="AE137" i="31"/>
  <c r="AD128" i="31"/>
  <c r="Y23" i="7"/>
  <c r="CJ254" i="2"/>
  <c r="CB254" i="2"/>
  <c r="CB48" i="2" l="1"/>
  <c r="E19" i="7"/>
  <c r="CB58" i="2" l="1"/>
  <c r="CB157" i="2"/>
  <c r="A11" i="23"/>
  <c r="A12" i="23" s="1"/>
  <c r="H161" i="23"/>
  <c r="H157" i="23"/>
  <c r="H144" i="23"/>
  <c r="H138" i="23"/>
  <c r="H130" i="23"/>
  <c r="H117" i="23"/>
  <c r="H112" i="23"/>
  <c r="H97" i="23"/>
  <c r="H78" i="23"/>
  <c r="H68" i="23"/>
  <c r="H60" i="23"/>
  <c r="H54" i="23"/>
  <c r="H48" i="23"/>
  <c r="H40" i="23"/>
  <c r="H34" i="23"/>
  <c r="H22" i="23"/>
  <c r="H13" i="23"/>
  <c r="H139" i="23" l="1"/>
  <c r="H192" i="23" l="1"/>
  <c r="H185" i="23"/>
  <c r="H172" i="23"/>
  <c r="H168" i="23"/>
  <c r="H195" i="23" l="1"/>
  <c r="H162" i="23"/>
  <c r="H118" i="23"/>
  <c r="H145" i="23"/>
  <c r="H61" i="23"/>
  <c r="E192" i="23"/>
  <c r="G191" i="23"/>
  <c r="G190" i="23"/>
  <c r="F189" i="23"/>
  <c r="F192" i="23" s="1"/>
  <c r="F184" i="23"/>
  <c r="G183" i="23"/>
  <c r="F182" i="23"/>
  <c r="G182" i="23" s="1"/>
  <c r="F181" i="23"/>
  <c r="F180" i="23"/>
  <c r="F179" i="23"/>
  <c r="G178" i="23"/>
  <c r="E177" i="23"/>
  <c r="G176" i="23"/>
  <c r="E172" i="23"/>
  <c r="F171" i="23"/>
  <c r="G171" i="23" s="1"/>
  <c r="E168" i="23"/>
  <c r="F167" i="23"/>
  <c r="F168" i="23" s="1"/>
  <c r="E161" i="23"/>
  <c r="G160" i="23"/>
  <c r="F159" i="23"/>
  <c r="E157" i="23"/>
  <c r="G156" i="23"/>
  <c r="G155" i="23"/>
  <c r="G154" i="23"/>
  <c r="G153" i="23"/>
  <c r="F152" i="23"/>
  <c r="F151" i="23"/>
  <c r="G150" i="23"/>
  <c r="E144" i="23"/>
  <c r="G143" i="23"/>
  <c r="F142" i="23"/>
  <c r="G141" i="23"/>
  <c r="E138" i="23"/>
  <c r="G137" i="23"/>
  <c r="F136" i="23"/>
  <c r="G135" i="23"/>
  <c r="F134" i="23"/>
  <c r="F133" i="23"/>
  <c r="F132" i="23"/>
  <c r="E130" i="23"/>
  <c r="F129" i="23"/>
  <c r="F128" i="23"/>
  <c r="G127" i="23"/>
  <c r="G126" i="23"/>
  <c r="G125" i="23"/>
  <c r="G124" i="23"/>
  <c r="G123" i="23"/>
  <c r="G122" i="23"/>
  <c r="G121" i="23"/>
  <c r="E117" i="23"/>
  <c r="F116" i="23"/>
  <c r="F117" i="23" s="1"/>
  <c r="G115" i="23"/>
  <c r="E112" i="23"/>
  <c r="F111" i="23"/>
  <c r="F110" i="23"/>
  <c r="G110" i="23" s="1"/>
  <c r="F109" i="23"/>
  <c r="F108" i="23"/>
  <c r="F107" i="23"/>
  <c r="F106" i="23"/>
  <c r="G105" i="23"/>
  <c r="G104" i="23"/>
  <c r="G103" i="23"/>
  <c r="G102" i="23"/>
  <c r="G101" i="23"/>
  <c r="G100" i="23"/>
  <c r="E97" i="23"/>
  <c r="G96" i="23"/>
  <c r="G95" i="23"/>
  <c r="G94" i="23"/>
  <c r="G93" i="23"/>
  <c r="G92" i="23"/>
  <c r="G91" i="23"/>
  <c r="G90" i="23"/>
  <c r="G89" i="23"/>
  <c r="G88" i="23"/>
  <c r="G87" i="23"/>
  <c r="G86" i="23"/>
  <c r="G85" i="23"/>
  <c r="F84" i="23"/>
  <c r="F83" i="23"/>
  <c r="G82" i="23"/>
  <c r="G81" i="23"/>
  <c r="G80" i="23"/>
  <c r="F78" i="23"/>
  <c r="G77" i="23"/>
  <c r="G76" i="23"/>
  <c r="G73" i="23"/>
  <c r="E72" i="23"/>
  <c r="G72" i="23" s="1"/>
  <c r="F68" i="23"/>
  <c r="E68" i="23"/>
  <c r="G67" i="23"/>
  <c r="G66" i="23"/>
  <c r="G65" i="23"/>
  <c r="A65" i="23"/>
  <c r="A66" i="23" s="1"/>
  <c r="A67" i="23" s="1"/>
  <c r="A72" i="23" s="1"/>
  <c r="A73" i="23" s="1"/>
  <c r="A77" i="23" s="1"/>
  <c r="A80" i="23" s="1"/>
  <c r="A81" i="23" s="1"/>
  <c r="A82" i="23" s="1"/>
  <c r="A83" i="23" s="1"/>
  <c r="A84" i="23" s="1"/>
  <c r="A85" i="23" s="1"/>
  <c r="A86" i="23" s="1"/>
  <c r="A87" i="23" s="1"/>
  <c r="A88" i="23" s="1"/>
  <c r="A89" i="23" s="1"/>
  <c r="A90" i="23" s="1"/>
  <c r="A91" i="23" s="1"/>
  <c r="A92" i="23" s="1"/>
  <c r="A93" i="23" s="1"/>
  <c r="A94" i="23" s="1"/>
  <c r="A95" i="23" s="1"/>
  <c r="A96" i="23" s="1"/>
  <c r="A100" i="23" s="1"/>
  <c r="A101" i="23" s="1"/>
  <c r="A102" i="23" s="1"/>
  <c r="A103" i="23" s="1"/>
  <c r="A104" i="23" s="1"/>
  <c r="A105" i="23" s="1"/>
  <c r="A106" i="23" s="1"/>
  <c r="A107" i="23" s="1"/>
  <c r="A108" i="23" s="1"/>
  <c r="A109" i="23" s="1"/>
  <c r="A110" i="23" s="1"/>
  <c r="A111" i="23" s="1"/>
  <c r="A115" i="23" s="1"/>
  <c r="A116" i="23" s="1"/>
  <c r="A121" i="23" s="1"/>
  <c r="A122" i="23" s="1"/>
  <c r="A123" i="23" s="1"/>
  <c r="A124" i="23" s="1"/>
  <c r="A125" i="23" s="1"/>
  <c r="A126" i="23" s="1"/>
  <c r="A127" i="23" s="1"/>
  <c r="A128" i="23" s="1"/>
  <c r="A129" i="23" s="1"/>
  <c r="A132" i="23" s="1"/>
  <c r="A133" i="23" s="1"/>
  <c r="A134" i="23" s="1"/>
  <c r="A135" i="23" s="1"/>
  <c r="A136" i="23" s="1"/>
  <c r="A137" i="23" s="1"/>
  <c r="A141" i="23" s="1"/>
  <c r="A142" i="23" s="1"/>
  <c r="A143" i="23" s="1"/>
  <c r="A150" i="23" s="1"/>
  <c r="A151" i="23" s="1"/>
  <c r="A152" i="23" s="1"/>
  <c r="A153" i="23" s="1"/>
  <c r="A154" i="23" s="1"/>
  <c r="A159" i="23" s="1"/>
  <c r="A160" i="23" s="1"/>
  <c r="A167" i="23" s="1"/>
  <c r="A171" i="23" s="1"/>
  <c r="A177" i="23" s="1"/>
  <c r="A178" i="23" s="1"/>
  <c r="A179" i="23" s="1"/>
  <c r="A180" i="23" s="1"/>
  <c r="A181" i="23" s="1"/>
  <c r="A182" i="23" s="1"/>
  <c r="A183" i="23" s="1"/>
  <c r="A184" i="23" s="1"/>
  <c r="A189" i="23" s="1"/>
  <c r="A190" i="23" s="1"/>
  <c r="A191" i="23" s="1"/>
  <c r="G64" i="23"/>
  <c r="F60" i="23"/>
  <c r="E60" i="23"/>
  <c r="G59" i="23"/>
  <c r="G58" i="23"/>
  <c r="G57" i="23"/>
  <c r="E54" i="23"/>
  <c r="G53" i="23"/>
  <c r="F52" i="23"/>
  <c r="F54" i="23" s="1"/>
  <c r="G51" i="23"/>
  <c r="G47" i="23"/>
  <c r="G46" i="23"/>
  <c r="G45" i="23"/>
  <c r="F44" i="23"/>
  <c r="E44" i="23"/>
  <c r="A44" i="23"/>
  <c r="A45" i="23" s="1"/>
  <c r="A46" i="23" s="1"/>
  <c r="A47" i="23" s="1"/>
  <c r="A51" i="23" s="1"/>
  <c r="A52" i="23" s="1"/>
  <c r="A57" i="23" s="1"/>
  <c r="A58" i="23" s="1"/>
  <c r="A59" i="23" s="1"/>
  <c r="F43" i="23"/>
  <c r="E43" i="23"/>
  <c r="E40" i="23"/>
  <c r="G39" i="23"/>
  <c r="G38" i="23"/>
  <c r="F37" i="23"/>
  <c r="E34" i="23"/>
  <c r="G33" i="23"/>
  <c r="G32" i="23"/>
  <c r="G31" i="23"/>
  <c r="F30" i="23"/>
  <c r="G29" i="23"/>
  <c r="G28" i="23"/>
  <c r="G27" i="23"/>
  <c r="G26" i="23"/>
  <c r="G25" i="23"/>
  <c r="E22" i="23"/>
  <c r="G21" i="23"/>
  <c r="F20" i="23"/>
  <c r="F22" i="23" s="1"/>
  <c r="G19" i="23"/>
  <c r="G18" i="23"/>
  <c r="G17" i="23"/>
  <c r="G16" i="23"/>
  <c r="A16" i="23"/>
  <c r="A17" i="23" s="1"/>
  <c r="A18" i="23" s="1"/>
  <c r="A19" i="23" s="1"/>
  <c r="A20" i="23" s="1"/>
  <c r="A21" i="23" s="1"/>
  <c r="A25" i="23" s="1"/>
  <c r="A26" i="23" s="1"/>
  <c r="A27" i="23" s="1"/>
  <c r="A28" i="23" s="1"/>
  <c r="A29" i="23" s="1"/>
  <c r="A30" i="23" s="1"/>
  <c r="A31" i="23" s="1"/>
  <c r="A32" i="23" s="1"/>
  <c r="A33" i="23" s="1"/>
  <c r="A37" i="23" s="1"/>
  <c r="A38" i="23" s="1"/>
  <c r="A39" i="23" s="1"/>
  <c r="E13" i="23"/>
  <c r="G12" i="23"/>
  <c r="G11" i="23"/>
  <c r="F10" i="23"/>
  <c r="G78" i="23" l="1"/>
  <c r="E118" i="23"/>
  <c r="E139" i="23"/>
  <c r="E162" i="23"/>
  <c r="G116" i="23"/>
  <c r="G117" i="23" s="1"/>
  <c r="G68" i="23"/>
  <c r="G20" i="23"/>
  <c r="G22" i="23" s="1"/>
  <c r="G60" i="23"/>
  <c r="G52" i="23"/>
  <c r="G54" i="23" s="1"/>
  <c r="G134" i="23"/>
  <c r="F138" i="23"/>
  <c r="G132" i="23"/>
  <c r="G179" i="23"/>
  <c r="G184" i="23"/>
  <c r="G37" i="23"/>
  <c r="G40" i="23" s="1"/>
  <c r="F48" i="23"/>
  <c r="F34" i="23"/>
  <c r="E78" i="23"/>
  <c r="E145" i="23" s="1"/>
  <c r="G136" i="23"/>
  <c r="G129" i="23"/>
  <c r="F172" i="23"/>
  <c r="G167" i="23"/>
  <c r="G168" i="23" s="1"/>
  <c r="G152" i="23"/>
  <c r="E185" i="23"/>
  <c r="G10" i="23"/>
  <c r="G13" i="23" s="1"/>
  <c r="F13" i="23"/>
  <c r="E48" i="23"/>
  <c r="E61" i="23" s="1"/>
  <c r="G43" i="23"/>
  <c r="F40" i="23"/>
  <c r="G30" i="23"/>
  <c r="G34" i="23" s="1"/>
  <c r="G44" i="23"/>
  <c r="G83" i="23"/>
  <c r="G106" i="23"/>
  <c r="G107" i="23"/>
  <c r="G108" i="23"/>
  <c r="G109" i="23"/>
  <c r="F130" i="23"/>
  <c r="G133" i="23"/>
  <c r="F97" i="23"/>
  <c r="G84" i="23"/>
  <c r="G111" i="23"/>
  <c r="F112" i="23"/>
  <c r="G128" i="23"/>
  <c r="G151" i="23"/>
  <c r="G159" i="23"/>
  <c r="G161" i="23" s="1"/>
  <c r="F144" i="23"/>
  <c r="F161" i="23"/>
  <c r="G142" i="23"/>
  <c r="G144" i="23" s="1"/>
  <c r="F157" i="23"/>
  <c r="G180" i="23"/>
  <c r="G181" i="23"/>
  <c r="F185" i="23"/>
  <c r="G177" i="23"/>
  <c r="G189" i="23"/>
  <c r="G192" i="23" s="1"/>
  <c r="Q245" i="22"/>
  <c r="G97" i="23" l="1"/>
  <c r="F139" i="23"/>
  <c r="G130" i="23"/>
  <c r="G172" i="23"/>
  <c r="G157" i="23"/>
  <c r="G162" i="23" s="1"/>
  <c r="G185" i="23"/>
  <c r="G138" i="23"/>
  <c r="F145" i="23"/>
  <c r="F162" i="23"/>
  <c r="G112" i="23"/>
  <c r="G118" i="23" s="1"/>
  <c r="G48" i="23"/>
  <c r="F118" i="23"/>
  <c r="F61" i="23"/>
  <c r="G139" i="23" l="1"/>
  <c r="G145" i="23"/>
  <c r="G61" i="23"/>
  <c r="J245" i="22" l="1"/>
  <c r="E129" i="22" l="1"/>
  <c r="E115" i="22"/>
  <c r="E108" i="22"/>
  <c r="E104" i="22"/>
  <c r="E97" i="22"/>
  <c r="E88" i="22"/>
  <c r="E83" i="22"/>
  <c r="E68" i="22"/>
  <c r="P129" i="22"/>
  <c r="P115" i="22"/>
  <c r="P108" i="22"/>
  <c r="P104" i="22"/>
  <c r="P97" i="22"/>
  <c r="P88" i="22"/>
  <c r="P83" i="22"/>
  <c r="P68" i="22"/>
  <c r="P49" i="22"/>
  <c r="P44" i="22"/>
  <c r="P37" i="22"/>
  <c r="P32" i="22"/>
  <c r="P28" i="22"/>
  <c r="P23" i="22"/>
  <c r="P13" i="22"/>
  <c r="E49" i="22"/>
  <c r="E44" i="22"/>
  <c r="E37" i="22"/>
  <c r="E32" i="22"/>
  <c r="E28" i="22"/>
  <c r="E23" i="22"/>
  <c r="E13" i="22"/>
  <c r="S230" i="22"/>
  <c r="U218" i="22"/>
  <c r="T218" i="22"/>
  <c r="S218" i="22"/>
  <c r="V218" i="22" s="1"/>
  <c r="U217" i="22"/>
  <c r="T217" i="22"/>
  <c r="S217" i="22"/>
  <c r="V217" i="22" s="1"/>
  <c r="U172" i="22"/>
  <c r="T172" i="22"/>
  <c r="S172" i="22"/>
  <c r="U171" i="22"/>
  <c r="T171" i="22"/>
  <c r="S171" i="22"/>
  <c r="U170" i="22"/>
  <c r="T170" i="22"/>
  <c r="S170" i="22"/>
  <c r="U169" i="22"/>
  <c r="T169" i="22"/>
  <c r="S169" i="22"/>
  <c r="U168" i="22"/>
  <c r="T168" i="22"/>
  <c r="S168" i="22"/>
  <c r="U167" i="22"/>
  <c r="T167" i="22"/>
  <c r="S167" i="22"/>
  <c r="U166" i="22"/>
  <c r="T166" i="22"/>
  <c r="S166" i="22"/>
  <c r="U165" i="22"/>
  <c r="U198" i="22" s="1"/>
  <c r="T165" i="22"/>
  <c r="T198" i="22" s="1"/>
  <c r="S165" i="22"/>
  <c r="U164" i="22"/>
  <c r="U197" i="22" s="1"/>
  <c r="T164" i="22"/>
  <c r="T197" i="22" s="1"/>
  <c r="S164" i="22"/>
  <c r="U163" i="22"/>
  <c r="U196" i="22" s="1"/>
  <c r="T163" i="22"/>
  <c r="T196" i="22" s="1"/>
  <c r="S163" i="22"/>
  <c r="U162" i="22"/>
  <c r="U195" i="22" s="1"/>
  <c r="T162" i="22"/>
  <c r="T195" i="22" s="1"/>
  <c r="S162" i="22"/>
  <c r="U161" i="22"/>
  <c r="U194" i="22" s="1"/>
  <c r="T161" i="22"/>
  <c r="T194" i="22" s="1"/>
  <c r="S161" i="22"/>
  <c r="U160" i="22"/>
  <c r="U193" i="22" s="1"/>
  <c r="T160" i="22"/>
  <c r="T193" i="22" s="1"/>
  <c r="S160" i="22"/>
  <c r="U159" i="22"/>
  <c r="U192" i="22" s="1"/>
  <c r="T159" i="22"/>
  <c r="T192" i="22" s="1"/>
  <c r="S159" i="22"/>
  <c r="U158" i="22"/>
  <c r="U191" i="22" s="1"/>
  <c r="T158" i="22"/>
  <c r="T191" i="22" s="1"/>
  <c r="S158" i="22"/>
  <c r="U157" i="22"/>
  <c r="U190" i="22" s="1"/>
  <c r="T157" i="22"/>
  <c r="T190" i="22" s="1"/>
  <c r="S157" i="22"/>
  <c r="U156" i="22"/>
  <c r="U189" i="22" s="1"/>
  <c r="T156" i="22"/>
  <c r="T189" i="22" s="1"/>
  <c r="S156" i="22"/>
  <c r="U155" i="22"/>
  <c r="U188" i="22" s="1"/>
  <c r="T155" i="22"/>
  <c r="T188" i="22" s="1"/>
  <c r="S155" i="22"/>
  <c r="U154" i="22"/>
  <c r="U187" i="22" s="1"/>
  <c r="T154" i="22"/>
  <c r="T187" i="22" s="1"/>
  <c r="S154" i="22"/>
  <c r="U153" i="22"/>
  <c r="U186" i="22" s="1"/>
  <c r="T153" i="22"/>
  <c r="T186" i="22" s="1"/>
  <c r="S153" i="22"/>
  <c r="U152" i="22"/>
  <c r="U185" i="22" s="1"/>
  <c r="T152" i="22"/>
  <c r="T185" i="22" s="1"/>
  <c r="S152" i="22"/>
  <c r="U151" i="22"/>
  <c r="U184" i="22" s="1"/>
  <c r="T151" i="22"/>
  <c r="T184" i="22" s="1"/>
  <c r="S151" i="22"/>
  <c r="V151" i="22" s="1"/>
  <c r="U150" i="22"/>
  <c r="U183" i="22" s="1"/>
  <c r="T150" i="22"/>
  <c r="T183" i="22" s="1"/>
  <c r="S150" i="22"/>
  <c r="V150" i="22" s="1"/>
  <c r="U149" i="22"/>
  <c r="U182" i="22" s="1"/>
  <c r="U206" i="22" s="1"/>
  <c r="T149" i="22"/>
  <c r="T182" i="22" s="1"/>
  <c r="T206" i="22" s="1"/>
  <c r="S149" i="22"/>
  <c r="V149" i="22" s="1"/>
  <c r="V173" i="22" s="1"/>
  <c r="V174" i="22" s="1"/>
  <c r="U141" i="22"/>
  <c r="T141" i="22"/>
  <c r="S141" i="22"/>
  <c r="V141" i="22" s="1"/>
  <c r="U140" i="22"/>
  <c r="T140" i="22"/>
  <c r="S140" i="22"/>
  <c r="V140" i="22" s="1"/>
  <c r="U139" i="22"/>
  <c r="T139" i="22"/>
  <c r="S139" i="22"/>
  <c r="V139" i="22" s="1"/>
  <c r="U138" i="22"/>
  <c r="T138" i="22"/>
  <c r="S138" i="22"/>
  <c r="V138" i="22" s="1"/>
  <c r="U137" i="22"/>
  <c r="T137" i="22"/>
  <c r="S137" i="22"/>
  <c r="V137" i="22" s="1"/>
  <c r="U136" i="22"/>
  <c r="T136" i="22"/>
  <c r="S136" i="22"/>
  <c r="V136" i="22" s="1"/>
  <c r="U135" i="22"/>
  <c r="U142" i="22" s="1"/>
  <c r="U143" i="22" s="1"/>
  <c r="T135" i="22"/>
  <c r="T142" i="22" s="1"/>
  <c r="T143" i="22" s="1"/>
  <c r="S135" i="22"/>
  <c r="V135" i="22" s="1"/>
  <c r="V142" i="22" s="1"/>
  <c r="V143" i="22" s="1"/>
  <c r="V128" i="22"/>
  <c r="Q128" i="22"/>
  <c r="R128" i="22" s="1"/>
  <c r="V127" i="22"/>
  <c r="R127" i="22"/>
  <c r="V126" i="22"/>
  <c r="Q126" i="22"/>
  <c r="R126" i="22" s="1"/>
  <c r="V125" i="22"/>
  <c r="Q125" i="22"/>
  <c r="R125" i="22" s="1"/>
  <c r="V124" i="22"/>
  <c r="Q124" i="22"/>
  <c r="R124" i="22" s="1"/>
  <c r="V123" i="22"/>
  <c r="Q123" i="22"/>
  <c r="V122" i="22"/>
  <c r="R122" i="22"/>
  <c r="V121" i="22"/>
  <c r="R121" i="22"/>
  <c r="V120" i="22"/>
  <c r="R120" i="22"/>
  <c r="Q115" i="22"/>
  <c r="V114" i="22"/>
  <c r="R114" i="22"/>
  <c r="R115" i="22" s="1"/>
  <c r="Q108" i="22"/>
  <c r="V107" i="22"/>
  <c r="R107" i="22"/>
  <c r="R108" i="22" s="1"/>
  <c r="V106" i="22"/>
  <c r="V103" i="22"/>
  <c r="R103" i="22"/>
  <c r="V102" i="22"/>
  <c r="Q102" i="22"/>
  <c r="R102" i="22" s="1"/>
  <c r="V101" i="22"/>
  <c r="R101" i="22"/>
  <c r="V100" i="22"/>
  <c r="Q100" i="22"/>
  <c r="R100" i="22" s="1"/>
  <c r="V99" i="22"/>
  <c r="Q99" i="22"/>
  <c r="V96" i="22"/>
  <c r="Q96" i="22"/>
  <c r="R96" i="22" s="1"/>
  <c r="V95" i="22"/>
  <c r="Q95" i="22"/>
  <c r="R95" i="22" s="1"/>
  <c r="V94" i="22"/>
  <c r="R94" i="22"/>
  <c r="V93" i="22"/>
  <c r="R93" i="22"/>
  <c r="V92" i="22"/>
  <c r="R92" i="22"/>
  <c r="V91" i="22"/>
  <c r="R91" i="22"/>
  <c r="V87" i="22"/>
  <c r="Q87" i="22"/>
  <c r="R87" i="22" s="1"/>
  <c r="V86" i="22"/>
  <c r="R86" i="22"/>
  <c r="V82" i="22"/>
  <c r="Q82" i="22"/>
  <c r="R82" i="22" s="1"/>
  <c r="V81" i="22"/>
  <c r="Q81" i="22"/>
  <c r="R81" i="22" s="1"/>
  <c r="V80" i="22"/>
  <c r="Q80" i="22"/>
  <c r="R80" i="22" s="1"/>
  <c r="V79" i="22"/>
  <c r="Q79" i="22"/>
  <c r="R79" i="22" s="1"/>
  <c r="V78" i="22"/>
  <c r="Q78" i="22"/>
  <c r="R78" i="22" s="1"/>
  <c r="V77" i="22"/>
  <c r="Q77" i="22"/>
  <c r="R77" i="22" s="1"/>
  <c r="V76" i="22"/>
  <c r="R76" i="22"/>
  <c r="V75" i="22"/>
  <c r="R75" i="22"/>
  <c r="V74" i="22"/>
  <c r="R74" i="22"/>
  <c r="V73" i="22"/>
  <c r="R73" i="22"/>
  <c r="V72" i="22"/>
  <c r="R72" i="22"/>
  <c r="V71" i="22"/>
  <c r="R71" i="22"/>
  <c r="V67" i="22"/>
  <c r="V66" i="22"/>
  <c r="R66" i="22"/>
  <c r="V65" i="22"/>
  <c r="R65" i="22"/>
  <c r="V64" i="22"/>
  <c r="R64" i="22"/>
  <c r="V63" i="22"/>
  <c r="R63" i="22"/>
  <c r="V62" i="22"/>
  <c r="R62" i="22"/>
  <c r="V61" i="22"/>
  <c r="R61" i="22"/>
  <c r="V60" i="22"/>
  <c r="R60" i="22"/>
  <c r="V59" i="22"/>
  <c r="R59" i="22"/>
  <c r="V58" i="22"/>
  <c r="V57" i="22"/>
  <c r="R57" i="22"/>
  <c r="V56" i="22"/>
  <c r="R56" i="22"/>
  <c r="V55" i="22"/>
  <c r="Q55" i="22"/>
  <c r="V54" i="22"/>
  <c r="Q54" i="22"/>
  <c r="R54" i="22" s="1"/>
  <c r="V53" i="22"/>
  <c r="R53" i="22"/>
  <c r="V52" i="22"/>
  <c r="R52" i="22"/>
  <c r="V51" i="22"/>
  <c r="R51" i="22"/>
  <c r="Q49" i="22"/>
  <c r="V48" i="22"/>
  <c r="R48" i="22"/>
  <c r="R49" i="22" s="1"/>
  <c r="Q44" i="22"/>
  <c r="V43" i="22"/>
  <c r="R43" i="22"/>
  <c r="V42" i="22"/>
  <c r="R42" i="22"/>
  <c r="V41" i="22"/>
  <c r="R41" i="22"/>
  <c r="V40" i="22"/>
  <c r="R40" i="22"/>
  <c r="Q37" i="22"/>
  <c r="V36" i="22"/>
  <c r="R36" i="22"/>
  <c r="V35" i="22"/>
  <c r="R35" i="22"/>
  <c r="Q32" i="22"/>
  <c r="V31" i="22"/>
  <c r="R31" i="22"/>
  <c r="R32" i="22" s="1"/>
  <c r="Q28" i="22"/>
  <c r="V27" i="22"/>
  <c r="R27" i="22"/>
  <c r="V26" i="22"/>
  <c r="R26" i="22"/>
  <c r="V22" i="22"/>
  <c r="R22" i="22"/>
  <c r="V21" i="22"/>
  <c r="Q21" i="22"/>
  <c r="Q23" i="22" s="1"/>
  <c r="V20" i="22"/>
  <c r="R20" i="22"/>
  <c r="V19" i="22"/>
  <c r="R19" i="22"/>
  <c r="V18" i="22"/>
  <c r="R18" i="22"/>
  <c r="Q13" i="22"/>
  <c r="V12" i="22"/>
  <c r="R12" i="22"/>
  <c r="V11" i="22"/>
  <c r="R11" i="22"/>
  <c r="V10" i="22"/>
  <c r="R10" i="22"/>
  <c r="J172" i="22"/>
  <c r="I172" i="22"/>
  <c r="H172" i="22"/>
  <c r="J171" i="22"/>
  <c r="I171" i="22"/>
  <c r="H171" i="22"/>
  <c r="J167" i="22"/>
  <c r="I167" i="22"/>
  <c r="H167" i="22"/>
  <c r="K167" i="22" s="1"/>
  <c r="J165" i="22"/>
  <c r="I165" i="22"/>
  <c r="H165" i="22"/>
  <c r="K165" i="22" s="1"/>
  <c r="J160" i="22"/>
  <c r="I160" i="22"/>
  <c r="H160" i="22"/>
  <c r="J159" i="22"/>
  <c r="I159" i="22"/>
  <c r="H159" i="22"/>
  <c r="J153" i="22"/>
  <c r="I153" i="22"/>
  <c r="H153" i="22"/>
  <c r="K153" i="22" s="1"/>
  <c r="J151" i="22"/>
  <c r="I151" i="22"/>
  <c r="H151" i="22"/>
  <c r="J150" i="22"/>
  <c r="I150" i="22"/>
  <c r="H150" i="22"/>
  <c r="I140" i="22"/>
  <c r="J135" i="22"/>
  <c r="I135" i="22"/>
  <c r="H135" i="22"/>
  <c r="K135" i="22" s="1"/>
  <c r="K128" i="22"/>
  <c r="F128" i="22"/>
  <c r="K127" i="22"/>
  <c r="G127" i="22"/>
  <c r="K126" i="22"/>
  <c r="F126" i="22"/>
  <c r="K125" i="22"/>
  <c r="F125" i="22"/>
  <c r="K124" i="22"/>
  <c r="F124" i="22"/>
  <c r="K123" i="22"/>
  <c r="F123" i="22"/>
  <c r="K122" i="22"/>
  <c r="G122" i="22"/>
  <c r="K121" i="22"/>
  <c r="G121" i="22"/>
  <c r="K120" i="22"/>
  <c r="G120" i="22"/>
  <c r="K114" i="22"/>
  <c r="G114" i="22"/>
  <c r="K107" i="22"/>
  <c r="G107" i="22"/>
  <c r="K106" i="22"/>
  <c r="K103" i="22"/>
  <c r="G103" i="22"/>
  <c r="K102" i="22"/>
  <c r="F102" i="22"/>
  <c r="K101" i="22"/>
  <c r="G101" i="22"/>
  <c r="K100" i="22"/>
  <c r="F100" i="22"/>
  <c r="K99" i="22"/>
  <c r="F99" i="22"/>
  <c r="K96" i="22"/>
  <c r="F96" i="22"/>
  <c r="K95" i="22"/>
  <c r="F95" i="22"/>
  <c r="K94" i="22"/>
  <c r="G94" i="22"/>
  <c r="K93" i="22"/>
  <c r="G93" i="22"/>
  <c r="K92" i="22"/>
  <c r="G92" i="22"/>
  <c r="K91" i="22"/>
  <c r="G91" i="22"/>
  <c r="K87" i="22"/>
  <c r="F87" i="22"/>
  <c r="F88" i="22" s="1"/>
  <c r="K86" i="22"/>
  <c r="G86" i="22"/>
  <c r="K82" i="22"/>
  <c r="F82" i="22"/>
  <c r="K81" i="22"/>
  <c r="F81" i="22"/>
  <c r="K80" i="22"/>
  <c r="F80" i="22"/>
  <c r="K79" i="22"/>
  <c r="F79" i="22"/>
  <c r="G79" i="22" s="1"/>
  <c r="A79" i="22"/>
  <c r="A80" i="22" s="1"/>
  <c r="A81" i="22" s="1"/>
  <c r="A82" i="22" s="1"/>
  <c r="A86" i="22" s="1"/>
  <c r="A87" i="22" s="1"/>
  <c r="A91" i="22" s="1"/>
  <c r="A92" i="22" s="1"/>
  <c r="A93" i="22" s="1"/>
  <c r="A94" i="22" s="1"/>
  <c r="A95" i="22" s="1"/>
  <c r="A96" i="22" s="1"/>
  <c r="A99" i="22" s="1"/>
  <c r="A100" i="22" s="1"/>
  <c r="A101" i="22" s="1"/>
  <c r="A102" i="22" s="1"/>
  <c r="A103" i="22" s="1"/>
  <c r="A107" i="22" s="1"/>
  <c r="A114" i="22" s="1"/>
  <c r="A120" i="22" s="1"/>
  <c r="A121" i="22" s="1"/>
  <c r="A122" i="22" s="1"/>
  <c r="A123" i="22" s="1"/>
  <c r="A124" i="22" s="1"/>
  <c r="A125" i="22" s="1"/>
  <c r="A126" i="22" s="1"/>
  <c r="A127" i="22" s="1"/>
  <c r="A128" i="22" s="1"/>
  <c r="K78" i="22"/>
  <c r="F78" i="22"/>
  <c r="K77" i="22"/>
  <c r="F77" i="22"/>
  <c r="K76" i="22"/>
  <c r="G76" i="22"/>
  <c r="K75" i="22"/>
  <c r="G75" i="22"/>
  <c r="K74" i="22"/>
  <c r="G74" i="22"/>
  <c r="K73" i="22"/>
  <c r="G73" i="22"/>
  <c r="K72" i="22"/>
  <c r="G72" i="22"/>
  <c r="K71" i="22"/>
  <c r="G71" i="22"/>
  <c r="K67" i="22"/>
  <c r="K66" i="22"/>
  <c r="G66" i="22"/>
  <c r="K65" i="22"/>
  <c r="G65" i="22"/>
  <c r="K64" i="22"/>
  <c r="G64" i="22"/>
  <c r="K63" i="22"/>
  <c r="G63" i="22"/>
  <c r="K62" i="22"/>
  <c r="G62" i="22"/>
  <c r="K61" i="22"/>
  <c r="G61" i="22"/>
  <c r="K60" i="22"/>
  <c r="G60" i="22"/>
  <c r="K59" i="22"/>
  <c r="G59" i="22"/>
  <c r="K58" i="22"/>
  <c r="K57" i="22"/>
  <c r="G57" i="22"/>
  <c r="K56" i="22"/>
  <c r="G56" i="22"/>
  <c r="K55" i="22"/>
  <c r="F55" i="22"/>
  <c r="K54" i="22"/>
  <c r="F54" i="22"/>
  <c r="K53" i="22"/>
  <c r="G53" i="22"/>
  <c r="K52" i="22"/>
  <c r="G52" i="22"/>
  <c r="K51" i="22"/>
  <c r="G51" i="22"/>
  <c r="F49" i="22"/>
  <c r="K48" i="22"/>
  <c r="G48" i="22"/>
  <c r="A48" i="22"/>
  <c r="A51" i="22" s="1"/>
  <c r="A52" i="22" s="1"/>
  <c r="A53" i="22" s="1"/>
  <c r="A54" i="22" s="1"/>
  <c r="A55" i="22" s="1"/>
  <c r="A56" i="22" s="1"/>
  <c r="A57" i="22" s="1"/>
  <c r="A58" i="22" s="1"/>
  <c r="A59" i="22" s="1"/>
  <c r="A60" i="22" s="1"/>
  <c r="A61" i="22" s="1"/>
  <c r="A62" i="22" s="1"/>
  <c r="A63" i="22" s="1"/>
  <c r="A64" i="22" s="1"/>
  <c r="A65" i="22" s="1"/>
  <c r="A66" i="22" s="1"/>
  <c r="A67" i="22" s="1"/>
  <c r="A71" i="22" s="1"/>
  <c r="A72" i="22" s="1"/>
  <c r="A73" i="22" s="1"/>
  <c r="A74" i="22" s="1"/>
  <c r="A75" i="22" s="1"/>
  <c r="A76" i="22" s="1"/>
  <c r="A77" i="22" s="1"/>
  <c r="K43" i="22"/>
  <c r="G43" i="22"/>
  <c r="K42" i="22"/>
  <c r="G42" i="22"/>
  <c r="K41" i="22"/>
  <c r="G41" i="22"/>
  <c r="K40" i="22"/>
  <c r="G40" i="22"/>
  <c r="K36" i="22"/>
  <c r="G36" i="22"/>
  <c r="K35" i="22"/>
  <c r="G35" i="22"/>
  <c r="A35" i="22"/>
  <c r="A36" i="22" s="1"/>
  <c r="A40" i="22" s="1"/>
  <c r="A41" i="22" s="1"/>
  <c r="A42" i="22" s="1"/>
  <c r="A43" i="22" s="1"/>
  <c r="K31" i="22"/>
  <c r="G31" i="22"/>
  <c r="K27" i="22"/>
  <c r="G27" i="22"/>
  <c r="F28" i="22"/>
  <c r="K26" i="22"/>
  <c r="G26" i="22"/>
  <c r="A26" i="22"/>
  <c r="A27" i="22" s="1"/>
  <c r="A31" i="22" s="1"/>
  <c r="K22" i="22"/>
  <c r="G22" i="22"/>
  <c r="K21" i="22"/>
  <c r="F21" i="22"/>
  <c r="K20" i="22"/>
  <c r="G20" i="22"/>
  <c r="K19" i="22"/>
  <c r="G19" i="22"/>
  <c r="K18" i="22"/>
  <c r="G18" i="22"/>
  <c r="K12" i="22"/>
  <c r="G12" i="22"/>
  <c r="K11" i="22"/>
  <c r="G11" i="22"/>
  <c r="K10" i="22"/>
  <c r="G10" i="22"/>
  <c r="V219" i="22" l="1"/>
  <c r="P109" i="22"/>
  <c r="P105" i="22"/>
  <c r="P131" i="22" s="1"/>
  <c r="E105" i="22"/>
  <c r="E131" i="22" s="1"/>
  <c r="R37" i="22"/>
  <c r="Q68" i="22"/>
  <c r="U219" i="22"/>
  <c r="U221" i="22" s="1"/>
  <c r="Q104" i="22"/>
  <c r="T219" i="22"/>
  <c r="T221" i="22" s="1"/>
  <c r="R99" i="22"/>
  <c r="R104" i="22" s="1"/>
  <c r="T201" i="22"/>
  <c r="U202" i="22"/>
  <c r="T205" i="22"/>
  <c r="S142" i="22"/>
  <c r="S143" i="22" s="1"/>
  <c r="U201" i="22"/>
  <c r="T199" i="22"/>
  <c r="U200" i="22"/>
  <c r="T203" i="22"/>
  <c r="U204" i="22"/>
  <c r="S182" i="22"/>
  <c r="S206" i="22" s="1"/>
  <c r="T200" i="22"/>
  <c r="T204" i="22"/>
  <c r="U205" i="22"/>
  <c r="U199" i="22"/>
  <c r="T202" i="22"/>
  <c r="U203" i="22"/>
  <c r="S219" i="22"/>
  <c r="R88" i="22"/>
  <c r="R44" i="22"/>
  <c r="R28" i="22"/>
  <c r="R13" i="22"/>
  <c r="Q83" i="22"/>
  <c r="R97" i="22"/>
  <c r="V154" i="22"/>
  <c r="S187" i="22"/>
  <c r="V187" i="22" s="1"/>
  <c r="V158" i="22"/>
  <c r="S191" i="22"/>
  <c r="V191" i="22" s="1"/>
  <c r="V162" i="22"/>
  <c r="S195" i="22"/>
  <c r="V195" i="22" s="1"/>
  <c r="V166" i="22"/>
  <c r="S199" i="22"/>
  <c r="V199" i="22" s="1"/>
  <c r="V170" i="22"/>
  <c r="S203" i="22"/>
  <c r="V203" i="22" s="1"/>
  <c r="S183" i="22"/>
  <c r="V183" i="22" s="1"/>
  <c r="V167" i="22"/>
  <c r="S200" i="22"/>
  <c r="V200" i="22" s="1"/>
  <c r="V171" i="22"/>
  <c r="S204" i="22"/>
  <c r="V204" i="22" s="1"/>
  <c r="R83" i="22"/>
  <c r="Q97" i="22"/>
  <c r="Q129" i="22"/>
  <c r="V153" i="22"/>
  <c r="S186" i="22"/>
  <c r="V186" i="22" s="1"/>
  <c r="V157" i="22"/>
  <c r="S190" i="22"/>
  <c r="V190" i="22" s="1"/>
  <c r="V161" i="22"/>
  <c r="S194" i="22"/>
  <c r="V194" i="22" s="1"/>
  <c r="V165" i="22"/>
  <c r="S198" i="22"/>
  <c r="V198" i="22" s="1"/>
  <c r="V169" i="22"/>
  <c r="S202" i="22"/>
  <c r="V202" i="22" s="1"/>
  <c r="S173" i="22"/>
  <c r="S174" i="22" s="1"/>
  <c r="S184" i="22"/>
  <c r="V184" i="22" s="1"/>
  <c r="U208" i="22"/>
  <c r="S229" i="22" s="1"/>
  <c r="V155" i="22"/>
  <c r="S188" i="22"/>
  <c r="V188" i="22" s="1"/>
  <c r="V159" i="22"/>
  <c r="S192" i="22"/>
  <c r="V192" i="22" s="1"/>
  <c r="V163" i="22"/>
  <c r="S196" i="22"/>
  <c r="V196" i="22" s="1"/>
  <c r="Q88" i="22"/>
  <c r="V152" i="22"/>
  <c r="S185" i="22"/>
  <c r="V185" i="22" s="1"/>
  <c r="V156" i="22"/>
  <c r="S189" i="22"/>
  <c r="V189" i="22" s="1"/>
  <c r="V160" i="22"/>
  <c r="S193" i="22"/>
  <c r="V193" i="22" s="1"/>
  <c r="V164" i="22"/>
  <c r="S197" i="22"/>
  <c r="V197" i="22" s="1"/>
  <c r="V168" i="22"/>
  <c r="S201" i="22"/>
  <c r="V201" i="22" s="1"/>
  <c r="V172" i="22"/>
  <c r="S205" i="22"/>
  <c r="V205" i="22" s="1"/>
  <c r="T173" i="22"/>
  <c r="T174" i="22" s="1"/>
  <c r="R21" i="22"/>
  <c r="R23" i="22" s="1"/>
  <c r="R55" i="22"/>
  <c r="R68" i="22" s="1"/>
  <c r="R123" i="22"/>
  <c r="R129" i="22" s="1"/>
  <c r="U173" i="22"/>
  <c r="U174" i="22" s="1"/>
  <c r="T230" i="22"/>
  <c r="U230" i="22" s="1"/>
  <c r="G87" i="22"/>
  <c r="G88" i="22" s="1"/>
  <c r="G100" i="22"/>
  <c r="G28" i="22"/>
  <c r="G99" i="22"/>
  <c r="G125" i="22"/>
  <c r="G55" i="22"/>
  <c r="I137" i="22"/>
  <c r="F115" i="22"/>
  <c r="J140" i="22"/>
  <c r="J204" i="22" s="1"/>
  <c r="I192" i="22"/>
  <c r="K160" i="22"/>
  <c r="J154" i="22"/>
  <c r="J157" i="22"/>
  <c r="J190" i="22" s="1"/>
  <c r="G21" i="22"/>
  <c r="G23" i="22" s="1"/>
  <c r="J164" i="22"/>
  <c r="J197" i="22" s="1"/>
  <c r="J166" i="22"/>
  <c r="J199" i="22" s="1"/>
  <c r="H168" i="22"/>
  <c r="I168" i="22"/>
  <c r="G44" i="22"/>
  <c r="F44" i="22"/>
  <c r="I154" i="22"/>
  <c r="I157" i="22"/>
  <c r="I190" i="22" s="1"/>
  <c r="H163" i="22"/>
  <c r="I163" i="22"/>
  <c r="H155" i="22"/>
  <c r="I155" i="22"/>
  <c r="J156" i="22"/>
  <c r="I156" i="22"/>
  <c r="H161" i="22"/>
  <c r="J162" i="22"/>
  <c r="J195" i="22" s="1"/>
  <c r="I162" i="22"/>
  <c r="I195" i="22" s="1"/>
  <c r="I164" i="22"/>
  <c r="I197" i="22" s="1"/>
  <c r="I166" i="22"/>
  <c r="I199" i="22" s="1"/>
  <c r="J169" i="22"/>
  <c r="I169" i="22"/>
  <c r="F68" i="22"/>
  <c r="G54" i="22"/>
  <c r="G78" i="22"/>
  <c r="H137" i="22"/>
  <c r="J138" i="22"/>
  <c r="F97" i="22"/>
  <c r="G102" i="22"/>
  <c r="G81" i="22"/>
  <c r="J192" i="22"/>
  <c r="K171" i="22"/>
  <c r="K172" i="22"/>
  <c r="I198" i="22"/>
  <c r="H192" i="22"/>
  <c r="J152" i="22"/>
  <c r="G82" i="22"/>
  <c r="G13" i="22"/>
  <c r="F13" i="22"/>
  <c r="F23" i="22"/>
  <c r="F37" i="22"/>
  <c r="F32" i="22"/>
  <c r="H138" i="22"/>
  <c r="F83" i="22"/>
  <c r="I186" i="22"/>
  <c r="G32" i="22"/>
  <c r="G49" i="22"/>
  <c r="I138" i="22"/>
  <c r="G77" i="22"/>
  <c r="G80" i="22"/>
  <c r="J198" i="22"/>
  <c r="F104" i="22"/>
  <c r="G95" i="22"/>
  <c r="G96" i="22"/>
  <c r="G108" i="22"/>
  <c r="F108" i="22"/>
  <c r="G123" i="22"/>
  <c r="F129" i="22"/>
  <c r="G124" i="22"/>
  <c r="G126" i="22"/>
  <c r="K151" i="22"/>
  <c r="K159" i="22"/>
  <c r="I204" i="22"/>
  <c r="G128" i="22"/>
  <c r="K150" i="22"/>
  <c r="B14" i="21"/>
  <c r="B6" i="21"/>
  <c r="I33" i="21"/>
  <c r="H33" i="21"/>
  <c r="J33" i="21" l="1"/>
  <c r="B29" i="21" s="1"/>
  <c r="R109" i="22"/>
  <c r="Q109" i="22"/>
  <c r="I237" i="22"/>
  <c r="P237" i="22"/>
  <c r="I236" i="22"/>
  <c r="P236" i="22"/>
  <c r="V182" i="22"/>
  <c r="V206" i="22" s="1"/>
  <c r="V221" i="22" s="1"/>
  <c r="Q105" i="22"/>
  <c r="Q131" i="22" s="1"/>
  <c r="R105" i="22"/>
  <c r="R131" i="22" s="1"/>
  <c r="S221" i="22"/>
  <c r="S208" i="22"/>
  <c r="T229" i="22"/>
  <c r="U229" i="22" s="1"/>
  <c r="K192" i="22"/>
  <c r="G104" i="22"/>
  <c r="J202" i="22"/>
  <c r="G68" i="22"/>
  <c r="I202" i="22"/>
  <c r="I201" i="22"/>
  <c r="H201" i="22"/>
  <c r="F105" i="22"/>
  <c r="F131" i="22" s="1"/>
  <c r="G115" i="22"/>
  <c r="H157" i="22"/>
  <c r="G97" i="22"/>
  <c r="G129" i="22"/>
  <c r="G83" i="22"/>
  <c r="H164" i="22"/>
  <c r="H197" i="22" s="1"/>
  <c r="K197" i="22" s="1"/>
  <c r="K138" i="22"/>
  <c r="J141" i="22"/>
  <c r="J205" i="22" s="1"/>
  <c r="J139" i="22"/>
  <c r="H140" i="22"/>
  <c r="J136" i="22"/>
  <c r="J200" i="22" s="1"/>
  <c r="G37" i="22"/>
  <c r="I141" i="22"/>
  <c r="I205" i="22" s="1"/>
  <c r="I139" i="22"/>
  <c r="J137" i="22"/>
  <c r="K137" i="22" s="1"/>
  <c r="J163" i="22"/>
  <c r="H194" i="22"/>
  <c r="K194" i="22" s="1"/>
  <c r="H169" i="22"/>
  <c r="I149" i="22"/>
  <c r="H141" i="22"/>
  <c r="H139" i="22"/>
  <c r="I161" i="22"/>
  <c r="I194" i="22" s="1"/>
  <c r="I152" i="22"/>
  <c r="B26" i="21"/>
  <c r="B34" i="21" s="1"/>
  <c r="C37" i="21" s="1"/>
  <c r="I238" i="22" l="1"/>
  <c r="K237" i="22"/>
  <c r="R237" i="22"/>
  <c r="P238" i="22"/>
  <c r="J236" i="22"/>
  <c r="J238" i="22" s="1"/>
  <c r="Q236" i="22"/>
  <c r="Q238" i="22" s="1"/>
  <c r="G105" i="22"/>
  <c r="G131" i="22" s="1"/>
  <c r="H218" i="22"/>
  <c r="I189" i="22"/>
  <c r="J155" i="22"/>
  <c r="K155" i="22" s="1"/>
  <c r="I188" i="22"/>
  <c r="J189" i="22"/>
  <c r="K164" i="22"/>
  <c r="J168" i="22"/>
  <c r="J201" i="22" s="1"/>
  <c r="K201" i="22" s="1"/>
  <c r="I218" i="22"/>
  <c r="H166" i="22"/>
  <c r="K166" i="22" s="1"/>
  <c r="I136" i="22"/>
  <c r="I200" i="22" s="1"/>
  <c r="K163" i="22"/>
  <c r="I183" i="22"/>
  <c r="I182" i="22"/>
  <c r="J184" i="22"/>
  <c r="H202" i="22"/>
  <c r="K202" i="22" s="1"/>
  <c r="K169" i="22"/>
  <c r="I158" i="22"/>
  <c r="I191" i="22" s="1"/>
  <c r="H154" i="22"/>
  <c r="K140" i="22"/>
  <c r="H204" i="22"/>
  <c r="K204" i="22" s="1"/>
  <c r="H156" i="22"/>
  <c r="I170" i="22"/>
  <c r="I203" i="22" s="1"/>
  <c r="H136" i="22"/>
  <c r="I185" i="22"/>
  <c r="K139" i="22"/>
  <c r="I173" i="22"/>
  <c r="I184" i="22"/>
  <c r="K141" i="22"/>
  <c r="H205" i="22"/>
  <c r="K205" i="22" s="1"/>
  <c r="H190" i="22"/>
  <c r="K190" i="22" s="1"/>
  <c r="K157" i="22"/>
  <c r="H198" i="22"/>
  <c r="K198" i="22" s="1"/>
  <c r="K236" i="22" l="1"/>
  <c r="K238" i="22" s="1"/>
  <c r="R236" i="22"/>
  <c r="R238" i="22"/>
  <c r="K168" i="22"/>
  <c r="I174" i="22"/>
  <c r="H199" i="22"/>
  <c r="K199" i="22" s="1"/>
  <c r="H162" i="22"/>
  <c r="J193" i="22"/>
  <c r="J149" i="22"/>
  <c r="I187" i="22"/>
  <c r="J188" i="22"/>
  <c r="J218" i="22"/>
  <c r="J187" i="22"/>
  <c r="H187" i="22"/>
  <c r="K154" i="22"/>
  <c r="H152" i="22"/>
  <c r="J161" i="22"/>
  <c r="I206" i="22"/>
  <c r="J185" i="22"/>
  <c r="H200" i="22"/>
  <c r="K200" i="22" s="1"/>
  <c r="H183" i="22"/>
  <c r="K156" i="22"/>
  <c r="H189" i="22"/>
  <c r="H188" i="22"/>
  <c r="H184" i="22"/>
  <c r="J183" i="22"/>
  <c r="J158" i="22" l="1"/>
  <c r="J191" i="22" s="1"/>
  <c r="K188" i="22"/>
  <c r="I193" i="22"/>
  <c r="K184" i="22"/>
  <c r="H230" i="22"/>
  <c r="J196" i="22"/>
  <c r="J186" i="22"/>
  <c r="K189" i="22"/>
  <c r="K136" i="22"/>
  <c r="I196" i="22"/>
  <c r="H149" i="22"/>
  <c r="I217" i="22"/>
  <c r="I219" i="22" s="1"/>
  <c r="I221" i="22" s="1"/>
  <c r="H217" i="22"/>
  <c r="J217" i="22"/>
  <c r="J219" i="22" s="1"/>
  <c r="K183" i="22"/>
  <c r="K162" i="22"/>
  <c r="H195" i="22"/>
  <c r="K195" i="22" s="1"/>
  <c r="J170" i="22"/>
  <c r="J203" i="22" s="1"/>
  <c r="K187" i="22"/>
  <c r="I142" i="22"/>
  <c r="I143" i="22" s="1"/>
  <c r="J194" i="22"/>
  <c r="K161" i="22"/>
  <c r="H158" i="22"/>
  <c r="J182" i="22"/>
  <c r="J206" i="22" s="1"/>
  <c r="J173" i="22"/>
  <c r="J174" i="22" s="1"/>
  <c r="K152" i="22"/>
  <c r="H185" i="22"/>
  <c r="K185" i="22" s="1"/>
  <c r="K218" i="22" l="1"/>
  <c r="J142" i="22"/>
  <c r="J143" i="22" s="1"/>
  <c r="H170" i="22"/>
  <c r="H203" i="22" s="1"/>
  <c r="K203" i="22" s="1"/>
  <c r="H142" i="22"/>
  <c r="H143" i="22" s="1"/>
  <c r="I230" i="22"/>
  <c r="J230" i="22" s="1"/>
  <c r="J221" i="22"/>
  <c r="K158" i="22"/>
  <c r="H191" i="22"/>
  <c r="K191" i="22" s="1"/>
  <c r="H193" i="22"/>
  <c r="K193" i="22" s="1"/>
  <c r="K217" i="22"/>
  <c r="H219" i="22"/>
  <c r="H182" i="22"/>
  <c r="H173" i="22"/>
  <c r="H174" i="22" s="1"/>
  <c r="K149" i="22"/>
  <c r="K173" i="22" s="1"/>
  <c r="K174" i="22" s="1"/>
  <c r="H186" i="22"/>
  <c r="K186" i="22" s="1"/>
  <c r="K170" i="22" l="1"/>
  <c r="K142" i="22"/>
  <c r="K143" i="22" s="1"/>
  <c r="H196" i="22"/>
  <c r="K196" i="22" s="1"/>
  <c r="K219" i="22"/>
  <c r="J208" i="22"/>
  <c r="H229" i="22" s="1"/>
  <c r="H206" i="22"/>
  <c r="K182" i="22"/>
  <c r="K206" i="22" s="1"/>
  <c r="K221" i="22" l="1"/>
  <c r="H221" i="22"/>
  <c r="H208" i="22"/>
  <c r="I229" i="22"/>
  <c r="J229" i="22" s="1"/>
  <c r="FA43" i="2" l="1"/>
  <c r="FA48" i="2" l="1"/>
  <c r="FA58" i="2" s="1"/>
  <c r="FA148" i="2" s="1"/>
  <c r="S50" i="31"/>
  <c r="FA150" i="2" l="1"/>
  <c r="FA151" i="2" s="1"/>
  <c r="S60" i="31"/>
  <c r="S166" i="31" s="1"/>
  <c r="P16" i="7"/>
  <c r="S168" i="31" l="1"/>
  <c r="S170" i="31" s="1"/>
  <c r="FA153" i="2"/>
  <c r="L126" i="2"/>
  <c r="L43" i="2"/>
  <c r="J139" i="2" l="1"/>
  <c r="J148" i="2" l="1"/>
  <c r="L139" i="2"/>
  <c r="BA139" i="2"/>
  <c r="BJ139" i="2"/>
  <c r="BS139" i="2" l="1"/>
  <c r="BS165" i="2" s="1"/>
  <c r="BA165" i="2"/>
  <c r="J150" i="2"/>
  <c r="J151" i="2" s="1"/>
  <c r="BJ165" i="2"/>
  <c r="BE159" i="2" l="1"/>
  <c r="BU197" i="2" l="1"/>
  <c r="BV197" i="2"/>
  <c r="BX197" i="2"/>
  <c r="BS197" i="2"/>
  <c r="BW197" i="2"/>
  <c r="BZ197" i="2"/>
  <c r="BT197" i="2"/>
  <c r="BY197" i="2"/>
  <c r="BG159" i="2"/>
  <c r="BF159" i="2"/>
  <c r="BD159" i="2"/>
  <c r="BC159" i="2"/>
  <c r="BN197" i="2" l="1"/>
  <c r="BL197" i="2"/>
  <c r="BO197" i="2"/>
  <c r="BM197" i="2"/>
  <c r="CA197" i="2"/>
  <c r="BP197" i="2"/>
  <c r="BH159" i="2"/>
  <c r="BI159" i="2" l="1"/>
  <c r="BQ197" i="2"/>
  <c r="BR197" i="2"/>
  <c r="E18" i="7" l="1"/>
  <c r="BB186" i="2" l="1"/>
  <c r="BB187" i="2" s="1"/>
  <c r="AB11" i="7"/>
  <c r="AB10" i="7"/>
  <c r="FC139" i="2" l="1"/>
  <c r="FD139" i="2"/>
  <c r="FE139" i="2"/>
  <c r="FF139" i="2"/>
  <c r="FG139" i="2"/>
  <c r="FH139" i="2"/>
  <c r="FI139" i="2"/>
  <c r="FJ139" i="2" l="1"/>
  <c r="U153" i="31" l="1"/>
  <c r="V153" i="31"/>
  <c r="W153" i="31"/>
  <c r="X153" i="31"/>
  <c r="FV139" i="2"/>
  <c r="AF139" i="2"/>
  <c r="BC139" i="2"/>
  <c r="BE139" i="2"/>
  <c r="BG139" i="2"/>
  <c r="BL139" i="2"/>
  <c r="BN139" i="2"/>
  <c r="AB139" i="2"/>
  <c r="Z139" i="2"/>
  <c r="X139" i="2"/>
  <c r="V139" i="2"/>
  <c r="Y153" i="31" l="1"/>
  <c r="BW139" i="2"/>
  <c r="BW165" i="2" s="1"/>
  <c r="BY139" i="2"/>
  <c r="BY165" i="2" s="1"/>
  <c r="BU139" i="2"/>
  <c r="BU165" i="2" s="1"/>
  <c r="BP139" i="2"/>
  <c r="BP165" i="2" s="1"/>
  <c r="BN165" i="2"/>
  <c r="BL165" i="2"/>
  <c r="BG165" i="2"/>
  <c r="BE165" i="2"/>
  <c r="BC165" i="2"/>
  <c r="BM139" i="2"/>
  <c r="BF139" i="2"/>
  <c r="BO139" i="2"/>
  <c r="BD139" i="2"/>
  <c r="BD165" i="2" l="1"/>
  <c r="BM165" i="2"/>
  <c r="BF165" i="2"/>
  <c r="BQ139" i="2"/>
  <c r="BH139" i="2"/>
  <c r="BH165" i="2" l="1"/>
  <c r="BQ165" i="2"/>
  <c r="BI139" i="2"/>
  <c r="BR139" i="2"/>
  <c r="FC43" i="2" l="1"/>
  <c r="FC48" i="2" s="1"/>
  <c r="FC58" i="2" l="1"/>
  <c r="FC148" i="2" s="1"/>
  <c r="BI165" i="2"/>
  <c r="BR165" i="2"/>
  <c r="U50" i="31"/>
  <c r="BR248" i="2"/>
  <c r="BR250" i="2"/>
  <c r="BR257" i="2"/>
  <c r="BR261" i="2"/>
  <c r="BR262" i="2"/>
  <c r="BR265" i="2"/>
  <c r="BR266" i="2"/>
  <c r="BK248" i="2"/>
  <c r="BK250" i="2"/>
  <c r="BK257" i="2"/>
  <c r="BK261" i="2"/>
  <c r="BK262" i="2"/>
  <c r="BK265" i="2"/>
  <c r="BK266" i="2"/>
  <c r="BI248" i="2"/>
  <c r="BI250" i="2"/>
  <c r="BI257" i="2"/>
  <c r="BI261" i="2"/>
  <c r="BI262" i="2"/>
  <c r="BI265" i="2"/>
  <c r="BI266" i="2"/>
  <c r="BB248" i="2"/>
  <c r="BB250" i="2"/>
  <c r="BB257" i="2"/>
  <c r="BB262" i="2"/>
  <c r="BB265" i="2"/>
  <c r="BB266" i="2"/>
  <c r="FC150" i="2" l="1"/>
  <c r="FC151" i="2" s="1"/>
  <c r="U60" i="31"/>
  <c r="U166" i="31" s="1"/>
  <c r="R16" i="7"/>
  <c r="FI43" i="2"/>
  <c r="FI48" i="2" s="1"/>
  <c r="FI58" i="2" s="1"/>
  <c r="FI148" i="2" s="1"/>
  <c r="FI150" i="2" s="1"/>
  <c r="FI151" i="2" s="1"/>
  <c r="FH43" i="2"/>
  <c r="FH48" i="2" s="1"/>
  <c r="FH58" i="2" s="1"/>
  <c r="FH148" i="2" s="1"/>
  <c r="FH150" i="2" s="1"/>
  <c r="FH151" i="2" s="1"/>
  <c r="FG43" i="2"/>
  <c r="FG48" i="2" s="1"/>
  <c r="FG58" i="2" s="1"/>
  <c r="FG148" i="2" s="1"/>
  <c r="FG150" i="2" s="1"/>
  <c r="FG151" i="2" s="1"/>
  <c r="FF43" i="2"/>
  <c r="FF48" i="2" s="1"/>
  <c r="FF58" i="2" s="1"/>
  <c r="FF148" i="2" s="1"/>
  <c r="FF150" i="2" s="1"/>
  <c r="FF151" i="2" s="1"/>
  <c r="FE43" i="2"/>
  <c r="FE48" i="2" s="1"/>
  <c r="FE58" i="2" s="1"/>
  <c r="FE148" i="2" s="1"/>
  <c r="FE150" i="2" s="1"/>
  <c r="FE151" i="2" s="1"/>
  <c r="FD43" i="2"/>
  <c r="FD48" i="2" s="1"/>
  <c r="FD58" i="2" s="1"/>
  <c r="FD148" i="2" s="1"/>
  <c r="FD150" i="2" s="1"/>
  <c r="FD151" i="2" s="1"/>
  <c r="U168" i="31" l="1"/>
  <c r="U170" i="31" s="1"/>
  <c r="FC153" i="2"/>
  <c r="V50" i="31"/>
  <c r="W50" i="31"/>
  <c r="X50" i="31"/>
  <c r="W60" i="31" l="1"/>
  <c r="W166" i="31" s="1"/>
  <c r="FH153" i="2" s="1"/>
  <c r="T16" i="7"/>
  <c r="X60" i="31"/>
  <c r="X166" i="31" s="1"/>
  <c r="FD153" i="2" s="1"/>
  <c r="U16" i="7"/>
  <c r="V60" i="31"/>
  <c r="V166" i="31" s="1"/>
  <c r="FI153" i="2" s="1"/>
  <c r="S16" i="7"/>
  <c r="CO203" i="2"/>
  <c r="CQ139" i="2"/>
  <c r="CO139" i="2"/>
  <c r="CM139" i="2"/>
  <c r="CL139" i="2"/>
  <c r="CK139" i="2"/>
  <c r="CF139" i="2"/>
  <c r="CD139" i="2"/>
  <c r="CB139" i="2"/>
  <c r="CB148" i="2" s="1"/>
  <c r="AN139" i="2"/>
  <c r="AL139" i="2"/>
  <c r="AJ139" i="2"/>
  <c r="AH139" i="2"/>
  <c r="BX139" i="2"/>
  <c r="AD139" i="2"/>
  <c r="BT43" i="2"/>
  <c r="FB43" i="2"/>
  <c r="A3" i="9"/>
  <c r="AB37" i="9"/>
  <c r="AC37" i="9" s="1"/>
  <c r="AB31" i="9"/>
  <c r="AC31" i="9" s="1"/>
  <c r="AB32" i="9"/>
  <c r="AC32" i="9" s="1"/>
  <c r="AB35" i="9"/>
  <c r="AC35" i="9" s="1"/>
  <c r="B13" i="10"/>
  <c r="R13" i="10" s="1"/>
  <c r="Q23" i="9"/>
  <c r="F23" i="9"/>
  <c r="M23" i="9"/>
  <c r="T23" i="9"/>
  <c r="L23" i="9"/>
  <c r="N23" i="9"/>
  <c r="K23" i="9"/>
  <c r="V23" i="9"/>
  <c r="C23" i="9"/>
  <c r="W23" i="9"/>
  <c r="E23" i="9"/>
  <c r="U23" i="9"/>
  <c r="R23" i="9"/>
  <c r="J23" i="9"/>
  <c r="G23" i="9"/>
  <c r="H23" i="9"/>
  <c r="F24" i="9"/>
  <c r="V22" i="9"/>
  <c r="M24" i="9"/>
  <c r="W24" i="9"/>
  <c r="C24" i="9"/>
  <c r="K22" i="9"/>
  <c r="L22" i="9"/>
  <c r="N22" i="9"/>
  <c r="N24" i="9"/>
  <c r="V24" i="9"/>
  <c r="T24" i="9"/>
  <c r="L24" i="9"/>
  <c r="U24" i="9"/>
  <c r="E24" i="9"/>
  <c r="R24" i="9"/>
  <c r="B12" i="10"/>
  <c r="O12" i="10" s="1"/>
  <c r="Q24" i="9"/>
  <c r="K24" i="9"/>
  <c r="J24" i="9"/>
  <c r="R22" i="9"/>
  <c r="W22" i="9"/>
  <c r="C22" i="9"/>
  <c r="T22" i="9"/>
  <c r="B11" i="10"/>
  <c r="R11" i="10" s="1"/>
  <c r="E22" i="9"/>
  <c r="U22" i="9"/>
  <c r="F22" i="9"/>
  <c r="Q22" i="9"/>
  <c r="M22" i="9"/>
  <c r="J22" i="9"/>
  <c r="G24" i="9"/>
  <c r="H24" i="9"/>
  <c r="H22" i="9"/>
  <c r="G22" i="9"/>
  <c r="S19" i="9"/>
  <c r="N18" i="9"/>
  <c r="N19" i="9" s="1"/>
  <c r="L18" i="9"/>
  <c r="J18" i="9"/>
  <c r="J19" i="9" s="1"/>
  <c r="M18" i="9"/>
  <c r="M19" i="9" s="1"/>
  <c r="K18" i="9"/>
  <c r="T18" i="9"/>
  <c r="T19" i="9" s="1"/>
  <c r="E18" i="9"/>
  <c r="U18" i="9"/>
  <c r="U19" i="9" s="1"/>
  <c r="B10" i="10"/>
  <c r="R10" i="10" s="1"/>
  <c r="F18" i="9"/>
  <c r="Q18" i="9"/>
  <c r="Q19" i="9" s="1"/>
  <c r="V18" i="9"/>
  <c r="V19" i="9" s="1"/>
  <c r="R18" i="9"/>
  <c r="R19" i="9" s="1"/>
  <c r="W18" i="9"/>
  <c r="W19" i="9" s="1"/>
  <c r="C18" i="9"/>
  <c r="G18" i="9"/>
  <c r="G19" i="9" s="1"/>
  <c r="H18" i="9"/>
  <c r="S34" i="9"/>
  <c r="B8" i="10"/>
  <c r="O8" i="10" s="1"/>
  <c r="C26" i="9"/>
  <c r="CI266" i="2"/>
  <c r="CH266" i="2"/>
  <c r="CG266" i="2"/>
  <c r="CF266" i="2"/>
  <c r="CE266" i="2"/>
  <c r="CD266" i="2"/>
  <c r="CC266" i="2"/>
  <c r="CB266" i="2"/>
  <c r="CA266" i="2"/>
  <c r="BZ266" i="2"/>
  <c r="BY266" i="2"/>
  <c r="BX266" i="2"/>
  <c r="BW266" i="2"/>
  <c r="BV266" i="2"/>
  <c r="BU266" i="2"/>
  <c r="BT266" i="2"/>
  <c r="BS266" i="2"/>
  <c r="BQ266" i="2"/>
  <c r="BP266" i="2"/>
  <c r="BO266" i="2"/>
  <c r="BN266" i="2"/>
  <c r="BM266" i="2"/>
  <c r="BL266" i="2"/>
  <c r="BJ266" i="2"/>
  <c r="BH266" i="2"/>
  <c r="BG266" i="2"/>
  <c r="BF266" i="2"/>
  <c r="BE266" i="2"/>
  <c r="BD266" i="2"/>
  <c r="BC266" i="2"/>
  <c r="CI265" i="2"/>
  <c r="CH265" i="2"/>
  <c r="CG265" i="2"/>
  <c r="CF265" i="2"/>
  <c r="CE265" i="2"/>
  <c r="CD265" i="2"/>
  <c r="CC265" i="2"/>
  <c r="CB265" i="2"/>
  <c r="CA265" i="2"/>
  <c r="BZ265" i="2"/>
  <c r="BY265" i="2"/>
  <c r="BX265" i="2"/>
  <c r="BW265" i="2"/>
  <c r="BV265" i="2"/>
  <c r="BU265" i="2"/>
  <c r="BT265" i="2"/>
  <c r="BS265" i="2"/>
  <c r="BQ265" i="2"/>
  <c r="BP265" i="2"/>
  <c r="BO265" i="2"/>
  <c r="BN265" i="2"/>
  <c r="BM265" i="2"/>
  <c r="BL265" i="2"/>
  <c r="BJ265" i="2"/>
  <c r="BH265" i="2"/>
  <c r="BG265" i="2"/>
  <c r="BF265" i="2"/>
  <c r="BE265" i="2"/>
  <c r="BD265" i="2"/>
  <c r="BC265" i="2"/>
  <c r="CI262" i="2"/>
  <c r="CH262" i="2"/>
  <c r="CG262" i="2"/>
  <c r="CF262" i="2"/>
  <c r="CE262" i="2"/>
  <c r="CD262" i="2"/>
  <c r="CC262" i="2"/>
  <c r="CB262" i="2"/>
  <c r="CA262" i="2"/>
  <c r="BZ262" i="2"/>
  <c r="BY262" i="2"/>
  <c r="BX262" i="2"/>
  <c r="BW262" i="2"/>
  <c r="BV262" i="2"/>
  <c r="BU262" i="2"/>
  <c r="BT262" i="2"/>
  <c r="BS262" i="2"/>
  <c r="BQ262" i="2"/>
  <c r="BP262" i="2"/>
  <c r="BO262" i="2"/>
  <c r="BN262" i="2"/>
  <c r="BM262" i="2"/>
  <c r="BL262" i="2"/>
  <c r="BJ262" i="2"/>
  <c r="BH262" i="2"/>
  <c r="BG262" i="2"/>
  <c r="BF262" i="2"/>
  <c r="BE262" i="2"/>
  <c r="BD262" i="2"/>
  <c r="BC262" i="2"/>
  <c r="BT261" i="2"/>
  <c r="BQ261" i="2"/>
  <c r="BP261" i="2"/>
  <c r="BO261" i="2"/>
  <c r="BN261" i="2"/>
  <c r="BM261" i="2"/>
  <c r="BL261" i="2"/>
  <c r="BJ261" i="2"/>
  <c r="BH261" i="2"/>
  <c r="BG261" i="2"/>
  <c r="BF261" i="2"/>
  <c r="BE261" i="2"/>
  <c r="BD261" i="2"/>
  <c r="BC261" i="2"/>
  <c r="CI257" i="2"/>
  <c r="CH257" i="2"/>
  <c r="CG257" i="2"/>
  <c r="CF257" i="2"/>
  <c r="CE257" i="2"/>
  <c r="CD257" i="2"/>
  <c r="CC257" i="2"/>
  <c r="CB257" i="2"/>
  <c r="CA257" i="2"/>
  <c r="BZ257" i="2"/>
  <c r="BY257" i="2"/>
  <c r="BX257" i="2"/>
  <c r="BW257" i="2"/>
  <c r="BV257" i="2"/>
  <c r="BU257" i="2"/>
  <c r="BT257" i="2"/>
  <c r="BS257" i="2"/>
  <c r="BQ257" i="2"/>
  <c r="BP257" i="2"/>
  <c r="BO257" i="2"/>
  <c r="BN257" i="2"/>
  <c r="BM257" i="2"/>
  <c r="BL257" i="2"/>
  <c r="BJ257" i="2"/>
  <c r="BH257" i="2"/>
  <c r="BG257" i="2"/>
  <c r="BF257" i="2"/>
  <c r="BE257" i="2"/>
  <c r="BD257" i="2"/>
  <c r="BC257" i="2"/>
  <c r="CI250" i="2"/>
  <c r="CH250" i="2"/>
  <c r="CG250" i="2"/>
  <c r="CF250" i="2"/>
  <c r="CE250" i="2"/>
  <c r="CD250" i="2"/>
  <c r="CC250" i="2"/>
  <c r="CB250" i="2"/>
  <c r="CA250" i="2"/>
  <c r="BZ250" i="2"/>
  <c r="BY250" i="2"/>
  <c r="BX250" i="2"/>
  <c r="BW250" i="2"/>
  <c r="BV250" i="2"/>
  <c r="BU250" i="2"/>
  <c r="BT250" i="2"/>
  <c r="BS250" i="2"/>
  <c r="BQ250" i="2"/>
  <c r="BP250" i="2"/>
  <c r="BO250" i="2"/>
  <c r="BN250" i="2"/>
  <c r="BM250" i="2"/>
  <c r="BL250" i="2"/>
  <c r="BJ250" i="2"/>
  <c r="BH250" i="2"/>
  <c r="BG250" i="2"/>
  <c r="BF250" i="2"/>
  <c r="BE250" i="2"/>
  <c r="BD250" i="2"/>
  <c r="BC250" i="2"/>
  <c r="CI248" i="2"/>
  <c r="CH248" i="2"/>
  <c r="CG248" i="2"/>
  <c r="CF248" i="2"/>
  <c r="CE248" i="2"/>
  <c r="CD248" i="2"/>
  <c r="CC248" i="2"/>
  <c r="CB248" i="2"/>
  <c r="CA248" i="2"/>
  <c r="BZ248" i="2"/>
  <c r="BY248" i="2"/>
  <c r="BX248" i="2"/>
  <c r="BW248" i="2"/>
  <c r="BV248" i="2"/>
  <c r="BU248" i="2"/>
  <c r="BT248" i="2"/>
  <c r="BS248" i="2"/>
  <c r="BQ248" i="2"/>
  <c r="BP248" i="2"/>
  <c r="BO248" i="2"/>
  <c r="BN248" i="2"/>
  <c r="BM248" i="2"/>
  <c r="BL248" i="2"/>
  <c r="BJ248" i="2"/>
  <c r="BH248" i="2"/>
  <c r="BG248" i="2"/>
  <c r="BF248" i="2"/>
  <c r="BE248" i="2"/>
  <c r="BD248" i="2"/>
  <c r="BC248" i="2"/>
  <c r="BA266" i="2"/>
  <c r="BA265" i="2"/>
  <c r="BA262" i="2"/>
  <c r="BA261" i="2"/>
  <c r="BA257" i="2"/>
  <c r="BA250" i="2"/>
  <c r="BA248" i="2"/>
  <c r="DN43" i="2"/>
  <c r="AC11" i="9"/>
  <c r="AC12" i="9"/>
  <c r="AC13" i="9"/>
  <c r="AC14" i="9"/>
  <c r="AC15" i="9"/>
  <c r="AC16" i="9"/>
  <c r="AC17" i="9"/>
  <c r="AC20" i="9"/>
  <c r="C21" i="9"/>
  <c r="AC8" i="9"/>
  <c r="S43" i="2"/>
  <c r="V43" i="2"/>
  <c r="X43" i="2"/>
  <c r="Z43" i="2"/>
  <c r="AB43" i="2"/>
  <c r="AD43" i="2"/>
  <c r="AF43" i="2"/>
  <c r="AH43" i="2"/>
  <c r="AJ43" i="2"/>
  <c r="AL43" i="2"/>
  <c r="AN43" i="2"/>
  <c r="BA43" i="2"/>
  <c r="BC43" i="2"/>
  <c r="BE43" i="2"/>
  <c r="BG43" i="2"/>
  <c r="BJ43" i="2"/>
  <c r="BL43" i="2"/>
  <c r="BN43" i="2"/>
  <c r="BS43" i="2"/>
  <c r="BU43" i="2"/>
  <c r="BW43" i="2"/>
  <c r="BY43" i="2"/>
  <c r="CK43" i="2"/>
  <c r="CM43" i="2"/>
  <c r="CO43" i="2"/>
  <c r="CQ43" i="2"/>
  <c r="DO43" i="2"/>
  <c r="DP43" i="2"/>
  <c r="DQ43" i="2"/>
  <c r="DR43" i="2"/>
  <c r="DS43" i="2"/>
  <c r="DT43" i="2"/>
  <c r="DU43" i="2"/>
  <c r="BP48" i="2"/>
  <c r="BP58" i="2" s="1"/>
  <c r="BP148" i="2" s="1"/>
  <c r="BP150" i="2" s="1"/>
  <c r="BP151" i="2" s="1"/>
  <c r="CD48" i="2"/>
  <c r="CD58" i="2" s="1"/>
  <c r="CF48" i="2"/>
  <c r="CF58" i="2" s="1"/>
  <c r="CH48" i="2"/>
  <c r="CH58" i="2" s="1"/>
  <c r="DK48" i="2"/>
  <c r="DK58" i="2" s="1"/>
  <c r="DK148" i="2" s="1"/>
  <c r="DK150" i="2" s="1"/>
  <c r="DK151" i="2" s="1"/>
  <c r="P10" i="9"/>
  <c r="S10" i="9"/>
  <c r="E21" i="9"/>
  <c r="F21" i="9"/>
  <c r="C29" i="9"/>
  <c r="E29" i="9"/>
  <c r="F29" i="9"/>
  <c r="S30" i="9"/>
  <c r="D3" i="10"/>
  <c r="CL43" i="2"/>
  <c r="CV43" i="2"/>
  <c r="CZ43" i="2"/>
  <c r="CX43" i="2"/>
  <c r="DB43" i="2"/>
  <c r="CY43" i="2"/>
  <c r="DA43" i="2"/>
  <c r="CW43" i="2"/>
  <c r="DC43" i="2"/>
  <c r="T29" i="9"/>
  <c r="S3" i="10"/>
  <c r="V21" i="9"/>
  <c r="U29" i="9"/>
  <c r="T3" i="10"/>
  <c r="W21" i="9"/>
  <c r="Q21" i="9"/>
  <c r="P4" i="10"/>
  <c r="V29" i="9"/>
  <c r="U3" i="10"/>
  <c r="T21" i="9"/>
  <c r="S4" i="10"/>
  <c r="R21" i="9"/>
  <c r="Q29" i="9"/>
  <c r="R29" i="9"/>
  <c r="U21" i="9"/>
  <c r="T4" i="10"/>
  <c r="F9" i="9"/>
  <c r="N29" i="9"/>
  <c r="M3" i="10"/>
  <c r="F27" i="9"/>
  <c r="T27" i="9"/>
  <c r="N28" i="9"/>
  <c r="J28" i="9"/>
  <c r="J26" i="9"/>
  <c r="R4" i="10"/>
  <c r="C33" i="9"/>
  <c r="E26" i="9"/>
  <c r="C9" i="9"/>
  <c r="U33" i="9"/>
  <c r="U34" i="9" s="1"/>
  <c r="L9" i="9"/>
  <c r="J29" i="9"/>
  <c r="I3" i="10"/>
  <c r="F28" i="9"/>
  <c r="C28" i="9"/>
  <c r="L25" i="9"/>
  <c r="N33" i="9"/>
  <c r="N34" i="9" s="1"/>
  <c r="F33" i="9"/>
  <c r="E33" i="9"/>
  <c r="L29" i="9"/>
  <c r="K3" i="10"/>
  <c r="V28" i="9"/>
  <c r="K26" i="9"/>
  <c r="R26" i="9"/>
  <c r="T26" i="9"/>
  <c r="E9" i="9"/>
  <c r="T25" i="9"/>
  <c r="B5" i="10"/>
  <c r="O5" i="10" s="1"/>
  <c r="E28" i="9"/>
  <c r="Q33" i="9"/>
  <c r="Q34" i="9" s="1"/>
  <c r="T33" i="9"/>
  <c r="T34" i="9" s="1"/>
  <c r="Q28" i="9"/>
  <c r="U28" i="9"/>
  <c r="R33" i="9"/>
  <c r="R34" i="9" s="1"/>
  <c r="W33" i="9"/>
  <c r="W34" i="9" s="1"/>
  <c r="T9" i="9"/>
  <c r="M25" i="9"/>
  <c r="U25" i="9"/>
  <c r="K27" i="9"/>
  <c r="J27" i="9"/>
  <c r="V25" i="9"/>
  <c r="B9" i="10"/>
  <c r="R9" i="10" s="1"/>
  <c r="C27" i="9"/>
  <c r="V27" i="9"/>
  <c r="W27" i="9"/>
  <c r="E27" i="9"/>
  <c r="B6" i="10"/>
  <c r="Z6" i="10" s="1"/>
  <c r="F26" i="9"/>
  <c r="R27" i="9"/>
  <c r="B2" i="10"/>
  <c r="Y2" i="10" s="1"/>
  <c r="F4" i="10"/>
  <c r="F25" i="9"/>
  <c r="L26" i="9"/>
  <c r="J25" i="9"/>
  <c r="Q25" i="9"/>
  <c r="V26" i="9"/>
  <c r="E25" i="9"/>
  <c r="V9" i="9"/>
  <c r="V10" i="9" s="1"/>
  <c r="U27" i="9"/>
  <c r="C25" i="9"/>
  <c r="B7" i="10"/>
  <c r="R7" i="10" s="1"/>
  <c r="W25" i="9"/>
  <c r="Q4" i="10"/>
  <c r="R3" i="10"/>
  <c r="Q27" i="9"/>
  <c r="Q3" i="10"/>
  <c r="U9" i="9"/>
  <c r="U10" i="9" s="1"/>
  <c r="E4" i="10"/>
  <c r="U26" i="9"/>
  <c r="F3" i="10"/>
  <c r="V4" i="10"/>
  <c r="W9" i="9"/>
  <c r="R9" i="9"/>
  <c r="Q26" i="9"/>
  <c r="E3" i="10"/>
  <c r="W28" i="9"/>
  <c r="W26" i="9"/>
  <c r="V33" i="9"/>
  <c r="V34" i="9" s="1"/>
  <c r="K28" i="9"/>
  <c r="L33" i="9"/>
  <c r="L34" i="9" s="1"/>
  <c r="R25" i="9"/>
  <c r="R28" i="9"/>
  <c r="M27" i="9"/>
  <c r="T28" i="9"/>
  <c r="K29" i="9"/>
  <c r="J3" i="10"/>
  <c r="W29" i="9"/>
  <c r="V3" i="10"/>
  <c r="L27" i="9"/>
  <c r="N25" i="9"/>
  <c r="L28" i="9"/>
  <c r="Q9" i="9"/>
  <c r="M28" i="9"/>
  <c r="N27" i="9"/>
  <c r="U4" i="10"/>
  <c r="P3" i="10"/>
  <c r="J33" i="9"/>
  <c r="J34" i="9" s="1"/>
  <c r="M26" i="9"/>
  <c r="H26" i="9"/>
  <c r="N26" i="9"/>
  <c r="L21" i="9"/>
  <c r="K4" i="10"/>
  <c r="J21" i="9"/>
  <c r="I4" i="10"/>
  <c r="G27" i="9"/>
  <c r="H27" i="9"/>
  <c r="G29" i="9"/>
  <c r="G3" i="10"/>
  <c r="G26" i="9"/>
  <c r="H25" i="9"/>
  <c r="G25" i="9"/>
  <c r="G21" i="9"/>
  <c r="G4" i="10"/>
  <c r="N9" i="9"/>
  <c r="M9" i="9"/>
  <c r="J9" i="9"/>
  <c r="K25" i="9"/>
  <c r="G9" i="9"/>
  <c r="N21" i="9"/>
  <c r="M4" i="10"/>
  <c r="G33" i="9"/>
  <c r="G34" i="9" s="1"/>
  <c r="M29" i="9"/>
  <c r="H9" i="9"/>
  <c r="G28" i="9"/>
  <c r="K9" i="9"/>
  <c r="K21" i="9"/>
  <c r="J4" i="10"/>
  <c r="M21" i="9"/>
  <c r="L4" i="10"/>
  <c r="H33" i="9"/>
  <c r="H34" i="9" s="1"/>
  <c r="H29" i="9"/>
  <c r="H3" i="10"/>
  <c r="H28" i="9"/>
  <c r="K33" i="9"/>
  <c r="K34" i="9" s="1"/>
  <c r="H21" i="9"/>
  <c r="M33" i="9"/>
  <c r="M34" i="9" s="1"/>
  <c r="L3" i="10"/>
  <c r="AB3" i="10"/>
  <c r="AB4" i="10"/>
  <c r="O4" i="10"/>
  <c r="H4" i="10"/>
  <c r="N4" i="10"/>
  <c r="O3" i="10"/>
  <c r="W3" i="10"/>
  <c r="W4" i="10"/>
  <c r="N3" i="10"/>
  <c r="D7" i="11"/>
  <c r="Y4" i="10"/>
  <c r="X4" i="10"/>
  <c r="Z10" i="9"/>
  <c r="X3" i="10"/>
  <c r="Y3" i="10"/>
  <c r="Z4" i="10"/>
  <c r="Z3" i="10"/>
  <c r="AC9" i="9"/>
  <c r="AA10" i="9"/>
  <c r="BA48" i="2" l="1"/>
  <c r="BA58" i="2" s="1"/>
  <c r="BA148" i="2" s="1"/>
  <c r="BA150" i="2" s="1"/>
  <c r="CD148" i="2"/>
  <c r="CD150" i="2" s="1"/>
  <c r="CD151" i="2" s="1"/>
  <c r="CF148" i="2"/>
  <c r="CF150" i="2" s="1"/>
  <c r="CF151" i="2" s="1"/>
  <c r="CH139" i="2"/>
  <c r="CH148" i="2" s="1"/>
  <c r="CH150" i="2" s="1"/>
  <c r="CH151" i="2" s="1"/>
  <c r="BW48" i="2"/>
  <c r="BW58" i="2" s="1"/>
  <c r="BW148" i="2" s="1"/>
  <c r="BW150" i="2" s="1"/>
  <c r="BW151" i="2" s="1"/>
  <c r="BN48" i="2"/>
  <c r="BN58" i="2" s="1"/>
  <c r="BN148" i="2" s="1"/>
  <c r="BN150" i="2" s="1"/>
  <c r="BN151" i="2" s="1"/>
  <c r="AD48" i="2"/>
  <c r="AD58" i="2" s="1"/>
  <c r="AD148" i="2" s="1"/>
  <c r="AD150" i="2" s="1"/>
  <c r="AD151" i="2" s="1"/>
  <c r="BL48" i="2"/>
  <c r="BL58" i="2" s="1"/>
  <c r="BL148" i="2" s="1"/>
  <c r="BL150" i="2" s="1"/>
  <c r="BL151" i="2" s="1"/>
  <c r="AB48" i="2"/>
  <c r="AB58" i="2" s="1"/>
  <c r="AB148" i="2" s="1"/>
  <c r="AB150" i="2" s="1"/>
  <c r="AB151" i="2" s="1"/>
  <c r="DR48" i="2"/>
  <c r="DR58" i="2" s="1"/>
  <c r="DR148" i="2" s="1"/>
  <c r="DR150" i="2" s="1"/>
  <c r="DR151" i="2" s="1"/>
  <c r="BX165" i="2"/>
  <c r="FS139" i="2"/>
  <c r="FS148" i="2" s="1"/>
  <c r="DQ48" i="2"/>
  <c r="DQ58" i="2" s="1"/>
  <c r="DQ148" i="2" s="1"/>
  <c r="DQ150" i="2" s="1"/>
  <c r="DQ151" i="2" s="1"/>
  <c r="BY48" i="2"/>
  <c r="BY58" i="2" s="1"/>
  <c r="BY148" i="2" s="1"/>
  <c r="BY150" i="2" s="1"/>
  <c r="BY151" i="2" s="1"/>
  <c r="AL48" i="2"/>
  <c r="AL58" i="2" s="1"/>
  <c r="AL148" i="2" s="1"/>
  <c r="FB48" i="2"/>
  <c r="FB58" i="2" s="1"/>
  <c r="FB148" i="2" s="1"/>
  <c r="V168" i="31"/>
  <c r="V170" i="31" s="1"/>
  <c r="X168" i="31"/>
  <c r="X170" i="31" s="1"/>
  <c r="W168" i="31"/>
  <c r="W170" i="31" s="1"/>
  <c r="DP48" i="2"/>
  <c r="DP58" i="2" s="1"/>
  <c r="DP148" i="2" s="1"/>
  <c r="DP150" i="2" s="1"/>
  <c r="DP151" i="2" s="1"/>
  <c r="Z48" i="2"/>
  <c r="Z58" i="2" s="1"/>
  <c r="Z148" i="2" s="1"/>
  <c r="Z150" i="2" s="1"/>
  <c r="Z151" i="2" s="1"/>
  <c r="BG48" i="2"/>
  <c r="BG58" i="2" s="1"/>
  <c r="BG148" i="2" s="1"/>
  <c r="BG150" i="2" s="1"/>
  <c r="BG151" i="2" s="1"/>
  <c r="X48" i="2"/>
  <c r="X58" i="2" s="1"/>
  <c r="X148" i="2" s="1"/>
  <c r="X150" i="2" s="1"/>
  <c r="X151" i="2" s="1"/>
  <c r="BE48" i="2"/>
  <c r="BE58" i="2" s="1"/>
  <c r="BE148" i="2" s="1"/>
  <c r="BE150" i="2" s="1"/>
  <c r="BE151" i="2" s="1"/>
  <c r="V48" i="2"/>
  <c r="V58" i="2" s="1"/>
  <c r="V148" i="2" s="1"/>
  <c r="V150" i="2" s="1"/>
  <c r="V151" i="2" s="1"/>
  <c r="DU48" i="2"/>
  <c r="AJ48" i="2"/>
  <c r="AJ58" i="2" s="1"/>
  <c r="AJ148" i="2" s="1"/>
  <c r="AJ150" i="2" s="1"/>
  <c r="AJ151" i="2" s="1"/>
  <c r="DT48" i="2"/>
  <c r="DT58" i="2" s="1"/>
  <c r="DT148" i="2" s="1"/>
  <c r="DT150" i="2" s="1"/>
  <c r="DT151" i="2" s="1"/>
  <c r="BU48" i="2"/>
  <c r="BU58" i="2" s="1"/>
  <c r="BU148" i="2" s="1"/>
  <c r="BU150" i="2" s="1"/>
  <c r="BU151" i="2" s="1"/>
  <c r="AH48" i="2"/>
  <c r="AH58" i="2" s="1"/>
  <c r="AH148" i="2" s="1"/>
  <c r="AH150" i="2" s="1"/>
  <c r="AH151" i="2" s="1"/>
  <c r="DS48" i="2"/>
  <c r="DS58" i="2" s="1"/>
  <c r="DS148" i="2" s="1"/>
  <c r="BS48" i="2"/>
  <c r="BS58" i="2" s="1"/>
  <c r="BS148" i="2" s="1"/>
  <c r="BS150" i="2" s="1"/>
  <c r="BS151" i="2" s="1"/>
  <c r="AF48" i="2"/>
  <c r="AF58" i="2" s="1"/>
  <c r="AF148" i="2" s="1"/>
  <c r="AF150" i="2" s="1"/>
  <c r="AF151" i="2" s="1"/>
  <c r="CM48" i="2"/>
  <c r="CM58" i="2" s="1"/>
  <c r="CM148" i="2" s="1"/>
  <c r="CM150" i="2" s="1"/>
  <c r="CM151" i="2" s="1"/>
  <c r="BJ48" i="2"/>
  <c r="DO48" i="2"/>
  <c r="DO58" i="2" s="1"/>
  <c r="DO148" i="2" s="1"/>
  <c r="DO150" i="2" s="1"/>
  <c r="DO151" i="2" s="1"/>
  <c r="DN48" i="2"/>
  <c r="DN58" i="2" s="1"/>
  <c r="DN148" i="2" s="1"/>
  <c r="DN150" i="2" s="1"/>
  <c r="DN151" i="2" s="1"/>
  <c r="CO48" i="2"/>
  <c r="CO58" i="2" s="1"/>
  <c r="CO148" i="2" s="1"/>
  <c r="CO150" i="2" s="1"/>
  <c r="CO151" i="2" s="1"/>
  <c r="BC48" i="2"/>
  <c r="BC58" i="2" s="1"/>
  <c r="BC148" i="2" s="1"/>
  <c r="BC150" i="2" s="1"/>
  <c r="BC151" i="2" s="1"/>
  <c r="CQ48" i="2"/>
  <c r="CQ58" i="2" s="1"/>
  <c r="CQ148" i="2" s="1"/>
  <c r="CQ150" i="2" s="1"/>
  <c r="CQ151" i="2" s="1"/>
  <c r="CK48" i="2"/>
  <c r="CK58" i="2" s="1"/>
  <c r="CK148" i="2" s="1"/>
  <c r="CK150" i="2" s="1"/>
  <c r="CK151" i="2" s="1"/>
  <c r="AN48" i="2"/>
  <c r="AN58" i="2" s="1"/>
  <c r="AN148" i="2" s="1"/>
  <c r="AN150" i="2" s="1"/>
  <c r="AN151" i="2" s="1"/>
  <c r="CB150" i="2"/>
  <c r="CB151" i="2" s="1"/>
  <c r="EH43" i="2"/>
  <c r="EH139" i="2"/>
  <c r="EF43" i="2"/>
  <c r="FU43" i="2" s="1"/>
  <c r="EL43" i="2"/>
  <c r="EG43" i="2"/>
  <c r="Z8" i="10"/>
  <c r="J13" i="10"/>
  <c r="M50" i="31"/>
  <c r="EL139" i="2"/>
  <c r="EF139" i="2"/>
  <c r="T50" i="31"/>
  <c r="O6" i="10"/>
  <c r="CW139" i="2"/>
  <c r="CV139" i="2"/>
  <c r="CX139" i="2"/>
  <c r="CZ139" i="2"/>
  <c r="DB139" i="2"/>
  <c r="CH261" i="2"/>
  <c r="BY261" i="2"/>
  <c r="BW261" i="2"/>
  <c r="CF261" i="2"/>
  <c r="CG43" i="2"/>
  <c r="CG48" i="2" s="1"/>
  <c r="CG58" i="2" s="1"/>
  <c r="CE43" i="2"/>
  <c r="K30" i="9"/>
  <c r="H30" i="9"/>
  <c r="V30" i="9"/>
  <c r="V36" i="9" s="1"/>
  <c r="V38" i="9" s="1"/>
  <c r="R30" i="9"/>
  <c r="R36" i="9" s="1"/>
  <c r="T30" i="9"/>
  <c r="T36" i="9" s="1"/>
  <c r="J30" i="9"/>
  <c r="J36" i="9" s="1"/>
  <c r="L30" i="9"/>
  <c r="N30" i="9"/>
  <c r="N36" i="9" s="1"/>
  <c r="W30" i="9"/>
  <c r="W36" i="9" s="1"/>
  <c r="Q30" i="9"/>
  <c r="Q36" i="9" s="1"/>
  <c r="U30" i="9"/>
  <c r="U36" i="9" s="1"/>
  <c r="U38" i="9" s="1"/>
  <c r="U40" i="9" s="1"/>
  <c r="U41" i="9" s="1"/>
  <c r="U42" i="9" s="1"/>
  <c r="O11" i="10"/>
  <c r="O10" i="10"/>
  <c r="Y9" i="10"/>
  <c r="Z7" i="10"/>
  <c r="O9" i="10"/>
  <c r="Y5" i="10"/>
  <c r="R5" i="10"/>
  <c r="Z5" i="10"/>
  <c r="Y8" i="10"/>
  <c r="L13" i="10"/>
  <c r="V8" i="10"/>
  <c r="R8" i="10"/>
  <c r="R2" i="10"/>
  <c r="M8" i="10"/>
  <c r="O13" i="10"/>
  <c r="P13" i="10"/>
  <c r="L48" i="2"/>
  <c r="CG139" i="2"/>
  <c r="BV139" i="2"/>
  <c r="CN139" i="2"/>
  <c r="CP139" i="2"/>
  <c r="BP264" i="2"/>
  <c r="CP43" i="2"/>
  <c r="CP48" i="2" s="1"/>
  <c r="CP58" i="2" s="1"/>
  <c r="CN43" i="2"/>
  <c r="CN48" i="2" s="1"/>
  <c r="CN58" i="2" s="1"/>
  <c r="BJ159" i="2"/>
  <c r="BT159" i="2"/>
  <c r="BY159" i="2"/>
  <c r="BW159" i="2"/>
  <c r="BP159" i="2"/>
  <c r="BU159" i="2"/>
  <c r="CG159" i="2"/>
  <c r="BV43" i="2"/>
  <c r="BD43" i="2"/>
  <c r="BM43" i="2"/>
  <c r="BX43" i="2"/>
  <c r="BX48" i="2" s="1"/>
  <c r="BX58" i="2" s="1"/>
  <c r="BX148" i="2" s="1"/>
  <c r="BF43" i="2"/>
  <c r="BT48" i="2"/>
  <c r="BT58" i="2" s="1"/>
  <c r="BT148" i="2" s="1"/>
  <c r="BT150" i="2" s="1"/>
  <c r="AB9" i="7"/>
  <c r="H6" i="10"/>
  <c r="G6" i="10"/>
  <c r="R6" i="10"/>
  <c r="Y6" i="10"/>
  <c r="O7" i="10"/>
  <c r="AA2" i="10"/>
  <c r="O2" i="10"/>
  <c r="E2" i="10"/>
  <c r="Q11" i="10"/>
  <c r="I7" i="10"/>
  <c r="R12" i="10"/>
  <c r="Z2" i="10"/>
  <c r="Z14" i="10" s="1"/>
  <c r="Y7" i="10"/>
  <c r="S36" i="9"/>
  <c r="S38" i="9" s="1"/>
  <c r="CL48" i="2"/>
  <c r="CL58" i="2" s="1"/>
  <c r="CL148" i="2" s="1"/>
  <c r="CL150" i="2" s="1"/>
  <c r="CL151" i="2" s="1"/>
  <c r="FJ43" i="2"/>
  <c r="FV43" i="2" s="1"/>
  <c r="DB48" i="2"/>
  <c r="DB58" i="2" s="1"/>
  <c r="CZ48" i="2"/>
  <c r="CZ58" i="2" s="1"/>
  <c r="BU264" i="2"/>
  <c r="CD159" i="2"/>
  <c r="CM159" i="2"/>
  <c r="CM245" i="2" s="1"/>
  <c r="CY48" i="2"/>
  <c r="CY58" i="2" s="1"/>
  <c r="CV48" i="2"/>
  <c r="DE43" i="2"/>
  <c r="DE48" i="2" s="1"/>
  <c r="DD43" i="2"/>
  <c r="CF159" i="2"/>
  <c r="DA48" i="2"/>
  <c r="DA58" i="2" s="1"/>
  <c r="DG43" i="2"/>
  <c r="DG48" i="2" s="1"/>
  <c r="DG58" i="2" s="1"/>
  <c r="DG148" i="2" s="1"/>
  <c r="DG150" i="2" s="1"/>
  <c r="DG151" i="2" s="1"/>
  <c r="CK159" i="2"/>
  <c r="CK245" i="2" s="1"/>
  <c r="CQ159" i="2"/>
  <c r="CQ245" i="2" s="1"/>
  <c r="DV43" i="2"/>
  <c r="BO43" i="2"/>
  <c r="BO48" i="2" s="1"/>
  <c r="BO58" i="2" s="1"/>
  <c r="BO148" i="2" s="1"/>
  <c r="BO150" i="2" s="1"/>
  <c r="BO151" i="2" s="1"/>
  <c r="CX48" i="2"/>
  <c r="CX58" i="2" s="1"/>
  <c r="CL159" i="2"/>
  <c r="CL245" i="2" s="1"/>
  <c r="CO159" i="2"/>
  <c r="CO245" i="2" s="1"/>
  <c r="DI43" i="2"/>
  <c r="DI48" i="2" s="1"/>
  <c r="DI58" i="2" s="1"/>
  <c r="DI148" i="2" s="1"/>
  <c r="DI150" i="2" s="1"/>
  <c r="DI151" i="2" s="1"/>
  <c r="CH159" i="2"/>
  <c r="CB159" i="2"/>
  <c r="DF43" i="2"/>
  <c r="DF48" i="2" s="1"/>
  <c r="CE139" i="2"/>
  <c r="U9" i="10"/>
  <c r="U13" i="10"/>
  <c r="U11" i="10"/>
  <c r="L8" i="10"/>
  <c r="V13" i="10"/>
  <c r="L12" i="10"/>
  <c r="Q7" i="10"/>
  <c r="U7" i="10"/>
  <c r="V2" i="10"/>
  <c r="U5" i="10"/>
  <c r="P11" i="10"/>
  <c r="H7" i="10"/>
  <c r="M12" i="10"/>
  <c r="I9" i="10"/>
  <c r="V7" i="10"/>
  <c r="V9" i="10"/>
  <c r="V5" i="10"/>
  <c r="V11" i="10"/>
  <c r="G10" i="9"/>
  <c r="M10" i="9"/>
  <c r="L7" i="10"/>
  <c r="T9" i="10"/>
  <c r="I25" i="9"/>
  <c r="O25" i="9" s="1"/>
  <c r="T12" i="10"/>
  <c r="I29" i="9"/>
  <c r="O29" i="9" s="1"/>
  <c r="J8" i="10"/>
  <c r="P33" i="9"/>
  <c r="X33" i="9" s="1"/>
  <c r="X34" i="9" s="1"/>
  <c r="L2" i="10"/>
  <c r="M6" i="10"/>
  <c r="X9" i="9"/>
  <c r="W5" i="10" s="1"/>
  <c r="P26" i="9"/>
  <c r="X26" i="9" s="1"/>
  <c r="T11" i="10"/>
  <c r="U10" i="10"/>
  <c r="G12" i="10"/>
  <c r="G10" i="10"/>
  <c r="S13" i="10"/>
  <c r="S12" i="10"/>
  <c r="S8" i="10"/>
  <c r="S7" i="10"/>
  <c r="D33" i="9"/>
  <c r="S11" i="10"/>
  <c r="D29" i="9"/>
  <c r="H12" i="10"/>
  <c r="H10" i="9"/>
  <c r="H11" i="10"/>
  <c r="S5" i="10"/>
  <c r="G30" i="9"/>
  <c r="G36" i="9" s="1"/>
  <c r="I21" i="9"/>
  <c r="I5" i="10"/>
  <c r="I6" i="10"/>
  <c r="J10" i="9"/>
  <c r="I9" i="9"/>
  <c r="I10" i="9" s="1"/>
  <c r="I2" i="10"/>
  <c r="H2" i="10"/>
  <c r="P29" i="9"/>
  <c r="X29" i="9" s="1"/>
  <c r="H8" i="10"/>
  <c r="H13" i="10"/>
  <c r="P25" i="9"/>
  <c r="X25" i="9" s="1"/>
  <c r="S2" i="10"/>
  <c r="M2" i="10"/>
  <c r="M5" i="10"/>
  <c r="M13" i="10"/>
  <c r="S10" i="10"/>
  <c r="U8" i="10"/>
  <c r="U2" i="10"/>
  <c r="U6" i="10"/>
  <c r="U12" i="10"/>
  <c r="D28" i="9"/>
  <c r="R10" i="9"/>
  <c r="Q6" i="10"/>
  <c r="Q5" i="10"/>
  <c r="Q9" i="10"/>
  <c r="N10" i="9"/>
  <c r="P8" i="10"/>
  <c r="T10" i="10"/>
  <c r="T8" i="10"/>
  <c r="T2" i="10"/>
  <c r="M10" i="10"/>
  <c r="M9" i="10"/>
  <c r="F12" i="10"/>
  <c r="F8" i="10"/>
  <c r="L10" i="9"/>
  <c r="K5" i="10"/>
  <c r="K7" i="10"/>
  <c r="I33" i="9"/>
  <c r="I34" i="9" s="1"/>
  <c r="M7" i="10"/>
  <c r="P2" i="10"/>
  <c r="P9" i="10"/>
  <c r="P6" i="10"/>
  <c r="L10" i="10"/>
  <c r="L5" i="10"/>
  <c r="Q13" i="10"/>
  <c r="M11" i="10"/>
  <c r="J7" i="10"/>
  <c r="L9" i="10"/>
  <c r="I28" i="9"/>
  <c r="O28" i="9" s="1"/>
  <c r="Q10" i="9"/>
  <c r="K2" i="10"/>
  <c r="Q2" i="10"/>
  <c r="F7" i="10"/>
  <c r="F5" i="10"/>
  <c r="P5" i="10"/>
  <c r="Q8" i="10"/>
  <c r="Q10" i="10"/>
  <c r="D25" i="9"/>
  <c r="W10" i="9"/>
  <c r="V10" i="10"/>
  <c r="V12" i="10"/>
  <c r="V6" i="10"/>
  <c r="T10" i="9"/>
  <c r="S6" i="10"/>
  <c r="S9" i="10"/>
  <c r="D18" i="9"/>
  <c r="P21" i="9"/>
  <c r="P24" i="9"/>
  <c r="X24" i="9" s="1"/>
  <c r="K6" i="10"/>
  <c r="F6" i="10"/>
  <c r="K11" i="10"/>
  <c r="E13" i="10"/>
  <c r="K12" i="10"/>
  <c r="K10" i="10"/>
  <c r="I26" i="9"/>
  <c r="O26" i="9" s="1"/>
  <c r="Y14" i="10"/>
  <c r="M30" i="9"/>
  <c r="M36" i="9" s="1"/>
  <c r="G8" i="10"/>
  <c r="G2" i="10"/>
  <c r="G7" i="10"/>
  <c r="G13" i="10"/>
  <c r="I11" i="10"/>
  <c r="G9" i="10"/>
  <c r="E6" i="10"/>
  <c r="T7" i="10"/>
  <c r="K9" i="10"/>
  <c r="E7" i="10"/>
  <c r="E9" i="10"/>
  <c r="E5" i="10"/>
  <c r="T13" i="10"/>
  <c r="F13" i="10"/>
  <c r="F11" i="10"/>
  <c r="E8" i="10"/>
  <c r="E12" i="10"/>
  <c r="E10" i="10"/>
  <c r="F10" i="10"/>
  <c r="E11" i="10"/>
  <c r="P18" i="9"/>
  <c r="X18" i="9" s="1"/>
  <c r="X19" i="9" s="1"/>
  <c r="K19" i="9"/>
  <c r="K8" i="10"/>
  <c r="G5" i="10"/>
  <c r="G11" i="10"/>
  <c r="I12" i="10"/>
  <c r="F2" i="10"/>
  <c r="F9" i="10"/>
  <c r="T5" i="10"/>
  <c r="T6" i="10"/>
  <c r="K13" i="10"/>
  <c r="H5" i="10"/>
  <c r="L11" i="10"/>
  <c r="J5" i="10"/>
  <c r="L6" i="10"/>
  <c r="Q12" i="10"/>
  <c r="D22" i="9"/>
  <c r="P22" i="9"/>
  <c r="X22" i="9" s="1"/>
  <c r="I23" i="9"/>
  <c r="O23" i="9" s="1"/>
  <c r="P28" i="9"/>
  <c r="X28" i="9" s="1"/>
  <c r="I8" i="10"/>
  <c r="I10" i="10"/>
  <c r="I13" i="10"/>
  <c r="P10" i="10"/>
  <c r="P7" i="10"/>
  <c r="P12" i="10"/>
  <c r="D21" i="9"/>
  <c r="D26" i="9"/>
  <c r="H19" i="9"/>
  <c r="I18" i="9"/>
  <c r="I19" i="9" s="1"/>
  <c r="I22" i="9"/>
  <c r="O22" i="9" s="1"/>
  <c r="P23" i="9"/>
  <c r="X23" i="9" s="1"/>
  <c r="I24" i="9"/>
  <c r="O24" i="9" s="1"/>
  <c r="D23" i="9"/>
  <c r="D27" i="9"/>
  <c r="I27" i="9"/>
  <c r="O27" i="9" s="1"/>
  <c r="P27" i="9"/>
  <c r="X27" i="9" s="1"/>
  <c r="J10" i="10"/>
  <c r="J11" i="10"/>
  <c r="J6" i="10"/>
  <c r="J2" i="10"/>
  <c r="J12" i="10"/>
  <c r="K10" i="9"/>
  <c r="J9" i="10"/>
  <c r="D9" i="9"/>
  <c r="H10" i="10"/>
  <c r="H9" i="10"/>
  <c r="D24" i="9"/>
  <c r="L19" i="9"/>
  <c r="BH43" i="2" l="1"/>
  <c r="CE48" i="2"/>
  <c r="CE58" i="2" s="1"/>
  <c r="CE148" i="2" s="1"/>
  <c r="CE150" i="2" s="1"/>
  <c r="CE151" i="2" s="1"/>
  <c r="CI43" i="2"/>
  <c r="CI48" i="2" s="1"/>
  <c r="CI58" i="2" s="1"/>
  <c r="BV48" i="2"/>
  <c r="BV58" i="2" s="1"/>
  <c r="BV148" i="2" s="1"/>
  <c r="BZ43" i="2"/>
  <c r="BZ48" i="2" s="1"/>
  <c r="BM48" i="2"/>
  <c r="BQ43" i="2"/>
  <c r="BQ48" i="2" s="1"/>
  <c r="BQ58" i="2" s="1"/>
  <c r="BQ148" i="2" s="1"/>
  <c r="BQ150" i="2" s="1"/>
  <c r="BQ151" i="2" s="1"/>
  <c r="CP148" i="2"/>
  <c r="CP150" i="2" s="1"/>
  <c r="CP151" i="2" s="1"/>
  <c r="DB148" i="2"/>
  <c r="DB150" i="2" s="1"/>
  <c r="DB151" i="2" s="1"/>
  <c r="CN148" i="2"/>
  <c r="CN150" i="2" s="1"/>
  <c r="CN151" i="2" s="1"/>
  <c r="CZ148" i="2"/>
  <c r="CZ150" i="2" s="1"/>
  <c r="CZ151" i="2" s="1"/>
  <c r="CX148" i="2"/>
  <c r="CX150" i="2" s="1"/>
  <c r="CX151" i="2" s="1"/>
  <c r="CG148" i="2"/>
  <c r="CG150" i="2" s="1"/>
  <c r="CG151" i="2" s="1"/>
  <c r="CH165" i="2"/>
  <c r="EG139" i="2"/>
  <c r="CL203" i="2" s="1"/>
  <c r="BL157" i="2"/>
  <c r="BL186" i="2" s="1"/>
  <c r="BN157" i="2"/>
  <c r="AL150" i="2"/>
  <c r="AL151" i="2" s="1"/>
  <c r="BD48" i="2"/>
  <c r="BD58" i="2" s="1"/>
  <c r="BD148" i="2" s="1"/>
  <c r="BD150" i="2" s="1"/>
  <c r="BD151" i="2" s="1"/>
  <c r="FR43" i="2"/>
  <c r="BV165" i="2"/>
  <c r="FR139" i="2"/>
  <c r="FR148" i="2" s="1"/>
  <c r="BF48" i="2"/>
  <c r="BF58" i="2" s="1"/>
  <c r="BF148" i="2" s="1"/>
  <c r="BF150" i="2" s="1"/>
  <c r="BF151" i="2" s="1"/>
  <c r="FS43" i="2"/>
  <c r="BX150" i="2"/>
  <c r="BX151" i="2" s="1"/>
  <c r="DS150" i="2"/>
  <c r="DS151" i="2" s="1"/>
  <c r="FU139" i="2"/>
  <c r="BJ58" i="2"/>
  <c r="BJ148" i="2" s="1"/>
  <c r="BJ150" i="2" s="1"/>
  <c r="BJ151" i="2" s="1"/>
  <c r="DF58" i="2"/>
  <c r="DF148" i="2" s="1"/>
  <c r="DF150" i="2" s="1"/>
  <c r="DF151" i="2" s="1"/>
  <c r="DU58" i="2"/>
  <c r="DU148" i="2" s="1"/>
  <c r="DE58" i="2"/>
  <c r="DE148" i="2" s="1"/>
  <c r="CV58" i="2"/>
  <c r="CV148" i="2" s="1"/>
  <c r="BT151" i="2"/>
  <c r="FB150" i="2"/>
  <c r="FB151" i="2" s="1"/>
  <c r="EL48" i="2"/>
  <c r="EL58" i="2" s="1"/>
  <c r="EL148" i="2" s="1"/>
  <c r="FJ48" i="2"/>
  <c r="CQ203" i="2"/>
  <c r="EH48" i="2"/>
  <c r="EH58" i="2" s="1"/>
  <c r="EH148" i="2" s="1"/>
  <c r="CM203" i="2"/>
  <c r="EF48" i="2"/>
  <c r="EF58" i="2" s="1"/>
  <c r="EF148" i="2" s="1"/>
  <c r="DV48" i="2"/>
  <c r="BA195" i="2"/>
  <c r="EI139" i="2"/>
  <c r="EG48" i="2"/>
  <c r="EG58" i="2" s="1"/>
  <c r="EK43" i="2"/>
  <c r="EK48" i="2" s="1"/>
  <c r="EK58" i="2" s="1"/>
  <c r="BE157" i="2"/>
  <c r="BE186" i="2" s="1"/>
  <c r="CQ157" i="2"/>
  <c r="BA157" i="2"/>
  <c r="BA186" i="2" s="1"/>
  <c r="CM157" i="2"/>
  <c r="BJ157" i="2"/>
  <c r="BJ186" i="2" s="1"/>
  <c r="CD157" i="2"/>
  <c r="BS157" i="2"/>
  <c r="BS186" i="2" s="1"/>
  <c r="BC157" i="2"/>
  <c r="BC186" i="2" s="1"/>
  <c r="CO157" i="2"/>
  <c r="BU157" i="2"/>
  <c r="BW157" i="2"/>
  <c r="CH157" i="2"/>
  <c r="BG157" i="2"/>
  <c r="BG186" i="2" s="1"/>
  <c r="CK157" i="2"/>
  <c r="CF157" i="2"/>
  <c r="CC157" i="2"/>
  <c r="BY157" i="2"/>
  <c r="BP157" i="2"/>
  <c r="K16" i="7"/>
  <c r="I50" i="31"/>
  <c r="S40" i="9"/>
  <c r="S41" i="9" s="1"/>
  <c r="S42" i="9" s="1"/>
  <c r="Y50" i="31"/>
  <c r="V16" i="7" s="1"/>
  <c r="CB165" i="2"/>
  <c r="T60" i="31"/>
  <c r="Q16" i="7"/>
  <c r="H50" i="31"/>
  <c r="L58" i="2"/>
  <c r="L148" i="2" s="1"/>
  <c r="L150" i="2" s="1"/>
  <c r="L151" i="2" s="1"/>
  <c r="K50" i="31"/>
  <c r="EK139" i="2"/>
  <c r="CD261" i="2"/>
  <c r="BU261" i="2"/>
  <c r="CC261" i="2"/>
  <c r="CB261" i="2"/>
  <c r="BS261" i="2"/>
  <c r="BB241" i="2"/>
  <c r="CD195" i="2"/>
  <c r="BW195" i="2"/>
  <c r="CH195" i="2"/>
  <c r="BX195" i="2"/>
  <c r="BY195" i="2"/>
  <c r="BU195" i="2"/>
  <c r="BP195" i="2"/>
  <c r="BV195" i="2"/>
  <c r="BS195" i="2"/>
  <c r="BZ195" i="2"/>
  <c r="CB195" i="2"/>
  <c r="CB243" i="2" s="1"/>
  <c r="BT195" i="2"/>
  <c r="BZ261" i="2"/>
  <c r="BV256" i="2"/>
  <c r="CE256" i="2"/>
  <c r="CG256" i="2"/>
  <c r="BX256" i="2"/>
  <c r="BV261" i="2"/>
  <c r="CE261" i="2"/>
  <c r="CG261" i="2"/>
  <c r="BX261" i="2"/>
  <c r="CI261" i="2"/>
  <c r="K36" i="9"/>
  <c r="K38" i="9" s="1"/>
  <c r="K40" i="9" s="1"/>
  <c r="K41" i="9" s="1"/>
  <c r="K42" i="9" s="1"/>
  <c r="P30" i="9"/>
  <c r="I30" i="9"/>
  <c r="I36" i="9" s="1"/>
  <c r="I38" i="9" s="1"/>
  <c r="BN246" i="2"/>
  <c r="BL246" i="2"/>
  <c r="BJ246" i="2"/>
  <c r="BK246" i="2"/>
  <c r="CF247" i="2"/>
  <c r="CD253" i="2"/>
  <c r="CH247" i="2"/>
  <c r="BN247" i="2"/>
  <c r="BV247" i="2"/>
  <c r="CE247" i="2"/>
  <c r="BL247" i="2"/>
  <c r="BX247" i="2"/>
  <c r="CB247" i="2"/>
  <c r="CC247" i="2"/>
  <c r="BJ247" i="2"/>
  <c r="BC259" i="2"/>
  <c r="BV259" i="2"/>
  <c r="BG259" i="2"/>
  <c r="BZ139" i="2"/>
  <c r="CR139" i="2"/>
  <c r="CE259" i="2"/>
  <c r="BG253" i="2"/>
  <c r="BX258" i="2"/>
  <c r="BC258" i="2"/>
  <c r="BG258" i="2"/>
  <c r="BV258" i="2"/>
  <c r="BE258" i="2"/>
  <c r="BB246" i="2"/>
  <c r="BE253" i="2"/>
  <c r="BY253" i="2"/>
  <c r="BC253" i="2"/>
  <c r="BN253" i="2"/>
  <c r="BP253" i="2"/>
  <c r="BL253" i="2"/>
  <c r="CE253" i="2"/>
  <c r="CG253" i="2"/>
  <c r="BP256" i="2"/>
  <c r="BA246" i="2"/>
  <c r="BC260" i="2"/>
  <c r="BE260" i="2"/>
  <c r="BO260" i="2"/>
  <c r="BG260" i="2"/>
  <c r="BO159" i="2"/>
  <c r="BO245" i="2" s="1"/>
  <c r="BX159" i="2"/>
  <c r="BX245" i="2" s="1"/>
  <c r="CR43" i="2"/>
  <c r="CR48" i="2" s="1"/>
  <c r="CR58" i="2" s="1"/>
  <c r="BA264" i="2"/>
  <c r="BA260" i="2"/>
  <c r="BL263" i="2"/>
  <c r="BT249" i="2"/>
  <c r="CE249" i="2"/>
  <c r="BX249" i="2"/>
  <c r="BW249" i="2"/>
  <c r="CH249" i="2"/>
  <c r="BS249" i="2"/>
  <c r="BY249" i="2"/>
  <c r="CD249" i="2"/>
  <c r="BV249" i="2"/>
  <c r="CC249" i="2"/>
  <c r="AB14" i="7"/>
  <c r="CF249" i="2"/>
  <c r="CB249" i="2"/>
  <c r="BU249" i="2"/>
  <c r="CJ159" i="2"/>
  <c r="CP159" i="2"/>
  <c r="CP245" i="2" s="1"/>
  <c r="CE159" i="2"/>
  <c r="CE245" i="2" s="1"/>
  <c r="BM245" i="2"/>
  <c r="BV159" i="2"/>
  <c r="BV245" i="2" s="1"/>
  <c r="DH43" i="2"/>
  <c r="BG256" i="2"/>
  <c r="CC259" i="2"/>
  <c r="BP259" i="2"/>
  <c r="BC256" i="2"/>
  <c r="BW256" i="2"/>
  <c r="BS256" i="2"/>
  <c r="BY256" i="2"/>
  <c r="BU256" i="2"/>
  <c r="CC256" i="2"/>
  <c r="BV264" i="2"/>
  <c r="BW264" i="2"/>
  <c r="BX264" i="2"/>
  <c r="CF259" i="2"/>
  <c r="BM264" i="2"/>
  <c r="BW244" i="2"/>
  <c r="BV244" i="2"/>
  <c r="CF244" i="2"/>
  <c r="BN264" i="2"/>
  <c r="CH256" i="2"/>
  <c r="BS264" i="2"/>
  <c r="CH253" i="2"/>
  <c r="CF246" i="2"/>
  <c r="CH260" i="2"/>
  <c r="BS260" i="2"/>
  <c r="CF264" i="2"/>
  <c r="BY245" i="2"/>
  <c r="CD244" i="2"/>
  <c r="BO264" i="2"/>
  <c r="BU260" i="2"/>
  <c r="CW48" i="2"/>
  <c r="BX260" i="2"/>
  <c r="BU244" i="2"/>
  <c r="CD259" i="2"/>
  <c r="CH264" i="2"/>
  <c r="CE246" i="2"/>
  <c r="BP263" i="2"/>
  <c r="BK260" i="2"/>
  <c r="BK264" i="2"/>
  <c r="BL259" i="2"/>
  <c r="BU245" i="2"/>
  <c r="CD246" i="2"/>
  <c r="CC260" i="2"/>
  <c r="BT256" i="2"/>
  <c r="CB253" i="2"/>
  <c r="CB244" i="2"/>
  <c r="BK244" i="2"/>
  <c r="CC246" i="2"/>
  <c r="BT247" i="2"/>
  <c r="BT264" i="2"/>
  <c r="AA6" i="7"/>
  <c r="BJ260" i="2"/>
  <c r="BV260" i="2"/>
  <c r="CE260" i="2"/>
  <c r="CG258" i="2"/>
  <c r="CD264" i="2"/>
  <c r="BT260" i="2"/>
  <c r="BX246" i="2"/>
  <c r="CF260" i="2"/>
  <c r="BC264" i="2"/>
  <c r="CD260" i="2"/>
  <c r="CH246" i="2"/>
  <c r="BG264" i="2"/>
  <c r="CH258" i="2"/>
  <c r="BX244" i="2"/>
  <c r="BD244" i="2"/>
  <c r="CC244" i="2"/>
  <c r="BU247" i="2"/>
  <c r="BP244" i="2"/>
  <c r="BE256" i="2"/>
  <c r="CC264" i="2"/>
  <c r="BC247" i="2"/>
  <c r="BT244" i="2"/>
  <c r="BN260" i="2"/>
  <c r="BC246" i="2"/>
  <c r="BS244" i="2"/>
  <c r="BJ244" i="2"/>
  <c r="CG245" i="2"/>
  <c r="CG244" i="2"/>
  <c r="BO244" i="2"/>
  <c r="DJ43" i="2"/>
  <c r="DJ48" i="2" s="1"/>
  <c r="DJ58" i="2" s="1"/>
  <c r="DJ148" i="2" s="1"/>
  <c r="DJ150" i="2" s="1"/>
  <c r="DJ151" i="2" s="1"/>
  <c r="CI139" i="2"/>
  <c r="BS245" i="2"/>
  <c r="CD245" i="2"/>
  <c r="CE244" i="2"/>
  <c r="BA256" i="2"/>
  <c r="BL244" i="2"/>
  <c r="BY247" i="2"/>
  <c r="BY260" i="2"/>
  <c r="BN244" i="2"/>
  <c r="BV246" i="2"/>
  <c r="BS247" i="2"/>
  <c r="BW260" i="2"/>
  <c r="BL245" i="2"/>
  <c r="BP260" i="2"/>
  <c r="BN245" i="2"/>
  <c r="BT245" i="2"/>
  <c r="CF256" i="2"/>
  <c r="BY259" i="2"/>
  <c r="BW258" i="2"/>
  <c r="BP245" i="2"/>
  <c r="BJ264" i="2"/>
  <c r="BM260" i="2"/>
  <c r="CG260" i="2"/>
  <c r="BW259" i="2"/>
  <c r="CH245" i="2"/>
  <c r="BU246" i="2"/>
  <c r="CB245" i="2"/>
  <c r="BM244" i="2"/>
  <c r="BL260" i="2"/>
  <c r="CH263" i="2"/>
  <c r="BS246" i="2"/>
  <c r="CD256" i="2"/>
  <c r="CE264" i="2"/>
  <c r="CB260" i="2"/>
  <c r="CB264" i="2"/>
  <c r="BW245" i="2"/>
  <c r="BY246" i="2"/>
  <c r="CB256" i="2"/>
  <c r="BW246" i="2"/>
  <c r="CH259" i="2"/>
  <c r="BW247" i="2"/>
  <c r="BS258" i="2"/>
  <c r="CH244" i="2"/>
  <c r="CG247" i="2"/>
  <c r="CG259" i="2"/>
  <c r="BU263" i="2"/>
  <c r="CF258" i="2"/>
  <c r="CF253" i="2"/>
  <c r="CC253" i="2"/>
  <c r="CB258" i="2"/>
  <c r="BE264" i="2"/>
  <c r="BY263" i="2"/>
  <c r="CF263" i="2"/>
  <c r="CG264" i="2"/>
  <c r="X21" i="9"/>
  <c r="X30" i="9" s="1"/>
  <c r="X36" i="9" s="1"/>
  <c r="CB259" i="2"/>
  <c r="BS259" i="2"/>
  <c r="BK247" i="2"/>
  <c r="BY258" i="2"/>
  <c r="BP246" i="2"/>
  <c r="BU258" i="2"/>
  <c r="W11" i="10"/>
  <c r="Y23" i="9"/>
  <c r="Z23" i="9" s="1"/>
  <c r="W8" i="10"/>
  <c r="O21" i="9"/>
  <c r="O30" i="9" s="1"/>
  <c r="Y24" i="9"/>
  <c r="Z24" i="9" s="1"/>
  <c r="AA24" i="9" s="1"/>
  <c r="BK159" i="2"/>
  <c r="BL264" i="2"/>
  <c r="CD263" i="2"/>
  <c r="CD247" i="2"/>
  <c r="W10" i="10"/>
  <c r="W9" i="10"/>
  <c r="W7" i="10"/>
  <c r="W2" i="10"/>
  <c r="G38" i="9"/>
  <c r="CC263" i="2"/>
  <c r="X10" i="9"/>
  <c r="W6" i="10"/>
  <c r="R38" i="9"/>
  <c r="R40" i="9" s="1"/>
  <c r="R41" i="9" s="1"/>
  <c r="R42" i="9" s="1"/>
  <c r="W12" i="10"/>
  <c r="W13" i="10"/>
  <c r="P34" i="9"/>
  <c r="CD258" i="2"/>
  <c r="Y26" i="9"/>
  <c r="Z26" i="9" s="1"/>
  <c r="AB26" i="9" s="1"/>
  <c r="Y28" i="9"/>
  <c r="Z28" i="9" s="1"/>
  <c r="AB28" i="9" s="1"/>
  <c r="M38" i="9"/>
  <c r="M40" i="9" s="1"/>
  <c r="M41" i="9" s="1"/>
  <c r="M42" i="9" s="1"/>
  <c r="Y22" i="9"/>
  <c r="X11" i="10" s="1"/>
  <c r="Y25" i="9"/>
  <c r="Z25" i="9" s="1"/>
  <c r="AB25" i="9" s="1"/>
  <c r="J38" i="9"/>
  <c r="N38" i="9"/>
  <c r="G47" i="9" s="1"/>
  <c r="T38" i="9"/>
  <c r="T40" i="9" s="1"/>
  <c r="T41" i="9" s="1"/>
  <c r="T42" i="9" s="1"/>
  <c r="Y29" i="9"/>
  <c r="Z29" i="9" s="1"/>
  <c r="AB29" i="9" s="1"/>
  <c r="O9" i="9"/>
  <c r="Y9" i="9" s="1"/>
  <c r="X6" i="10" s="1"/>
  <c r="O33" i="9"/>
  <c r="Q38" i="9"/>
  <c r="Q40" i="9" s="1"/>
  <c r="Q41" i="9" s="1"/>
  <c r="Q42" i="9" s="1"/>
  <c r="P19" i="9"/>
  <c r="Y27" i="9"/>
  <c r="Z27" i="9" s="1"/>
  <c r="AB27" i="9" s="1"/>
  <c r="O18" i="9"/>
  <c r="O19" i="9" s="1"/>
  <c r="H36" i="9"/>
  <c r="H38" i="9" s="1"/>
  <c r="G45" i="9" s="1"/>
  <c r="BZ244" i="2"/>
  <c r="BG244" i="2"/>
  <c r="BB247" i="2"/>
  <c r="CC159" i="2"/>
  <c r="CC245" i="2" s="1"/>
  <c r="BE246" i="2"/>
  <c r="BG246" i="2"/>
  <c r="W38" i="9"/>
  <c r="W40" i="9" s="1"/>
  <c r="W41" i="9" s="1"/>
  <c r="W42" i="9" s="1"/>
  <c r="BG247" i="2"/>
  <c r="CF245" i="2"/>
  <c r="CC258" i="2"/>
  <c r="BE244" i="2"/>
  <c r="L36" i="9"/>
  <c r="L38" i="9" s="1"/>
  <c r="V40" i="9"/>
  <c r="V41" i="9" s="1"/>
  <c r="V42" i="9" s="1"/>
  <c r="BC244" i="2"/>
  <c r="BE247" i="2"/>
  <c r="CI260" i="2"/>
  <c r="DC48" i="2"/>
  <c r="DC58" i="2" s="1"/>
  <c r="AB2" i="10"/>
  <c r="AB5" i="10"/>
  <c r="AB7" i="10"/>
  <c r="AB12" i="10"/>
  <c r="AB6" i="10"/>
  <c r="AB10" i="10"/>
  <c r="AB13" i="10"/>
  <c r="AB8" i="10"/>
  <c r="AB9" i="10"/>
  <c r="AB11" i="10"/>
  <c r="BY264" i="2"/>
  <c r="CE258" i="2"/>
  <c r="CB246" i="2"/>
  <c r="BA244" i="2"/>
  <c r="BB244" i="2"/>
  <c r="BA247" i="2"/>
  <c r="BX263" i="2"/>
  <c r="BT258" i="2"/>
  <c r="BY244" i="2"/>
  <c r="BQ264" i="2"/>
  <c r="BM58" i="2" l="1"/>
  <c r="BM148" i="2" s="1"/>
  <c r="BM150" i="2" s="1"/>
  <c r="BM151" i="2" s="1"/>
  <c r="BM157" i="2"/>
  <c r="I153" i="31"/>
  <c r="K153" i="31"/>
  <c r="H153" i="31"/>
  <c r="EG148" i="2"/>
  <c r="EG150" i="2" s="1"/>
  <c r="EG151" i="2" s="1"/>
  <c r="EK148" i="2"/>
  <c r="EK150" i="2" s="1"/>
  <c r="EK151" i="2" s="1"/>
  <c r="CR148" i="2"/>
  <c r="CR150" i="2" s="1"/>
  <c r="CR151" i="2" s="1"/>
  <c r="CI148" i="2"/>
  <c r="CI150" i="2" s="1"/>
  <c r="CI151" i="2" s="1"/>
  <c r="CH186" i="2"/>
  <c r="BA151" i="2"/>
  <c r="CY139" i="2"/>
  <c r="CY148" i="2" s="1"/>
  <c r="CY150" i="2" s="1"/>
  <c r="CY151" i="2" s="1"/>
  <c r="DA139" i="2"/>
  <c r="DA148" i="2" s="1"/>
  <c r="DA150" i="2" s="1"/>
  <c r="DA151" i="2" s="1"/>
  <c r="EH150" i="2"/>
  <c r="EH151" i="2" s="1"/>
  <c r="BV150" i="2"/>
  <c r="BV151" i="2" s="1"/>
  <c r="EF150" i="2"/>
  <c r="EF151" i="2" s="1"/>
  <c r="BZ165" i="2"/>
  <c r="CV150" i="2"/>
  <c r="CV151" i="2" s="1"/>
  <c r="DE150" i="2"/>
  <c r="DE151" i="2" s="1"/>
  <c r="BH48" i="2"/>
  <c r="BH58" i="2" s="1"/>
  <c r="BH148" i="2" s="1"/>
  <c r="BH150" i="2" s="1"/>
  <c r="BH151" i="2" s="1"/>
  <c r="DU150" i="2"/>
  <c r="DU151" i="2" s="1"/>
  <c r="DV58" i="2"/>
  <c r="DV148" i="2" s="1"/>
  <c r="BZ58" i="2"/>
  <c r="BZ148" i="2" s="1"/>
  <c r="CW58" i="2"/>
  <c r="CW148" i="2" s="1"/>
  <c r="FJ58" i="2"/>
  <c r="FJ148" i="2" s="1"/>
  <c r="CQ195" i="2"/>
  <c r="CQ243" i="2" s="1"/>
  <c r="H60" i="31"/>
  <c r="EI43" i="2"/>
  <c r="EI48" i="2" s="1"/>
  <c r="EI58" i="2" s="1"/>
  <c r="EI148" i="2" s="1"/>
  <c r="EI150" i="2" s="1"/>
  <c r="EI151" i="2" s="1"/>
  <c r="DH48" i="2"/>
  <c r="DH58" i="2" s="1"/>
  <c r="DH148" i="2" s="1"/>
  <c r="DH150" i="2" s="1"/>
  <c r="DH151" i="2" s="1"/>
  <c r="BG187" i="2"/>
  <c r="CI165" i="2"/>
  <c r="CN203" i="2"/>
  <c r="EM43" i="2"/>
  <c r="EM48" i="2" s="1"/>
  <c r="EM58" i="2" s="1"/>
  <c r="J153" i="31"/>
  <c r="BA243" i="2"/>
  <c r="CL157" i="2"/>
  <c r="BT157" i="2"/>
  <c r="BT243" i="2" s="1"/>
  <c r="CE157" i="2"/>
  <c r="CP157" i="2"/>
  <c r="BA187" i="2"/>
  <c r="CG157" i="2"/>
  <c r="BV157" i="2"/>
  <c r="BV243" i="2" s="1"/>
  <c r="CO195" i="2"/>
  <c r="CO243" i="2" s="1"/>
  <c r="CF195" i="2"/>
  <c r="CF243" i="2" s="1"/>
  <c r="BO157" i="2"/>
  <c r="BF157" i="2"/>
  <c r="CN157" i="2"/>
  <c r="BD157" i="2"/>
  <c r="BX157" i="2"/>
  <c r="BX243" i="2" s="1"/>
  <c r="CD203" i="2"/>
  <c r="BZ203" i="2"/>
  <c r="BZ233" i="2" s="1"/>
  <c r="BZ234" i="2" s="1"/>
  <c r="BU203" i="2"/>
  <c r="BU233" i="2" s="1"/>
  <c r="BU234" i="2" s="1"/>
  <c r="CH203" i="2"/>
  <c r="BP203" i="2"/>
  <c r="BP233" i="2" s="1"/>
  <c r="BP234" i="2" s="1"/>
  <c r="BT203" i="2"/>
  <c r="BT233" i="2" s="1"/>
  <c r="BT234" i="2" s="1"/>
  <c r="BW203" i="2"/>
  <c r="BW233" i="2" s="1"/>
  <c r="BW234" i="2" s="1"/>
  <c r="H16" i="7"/>
  <c r="G16" i="7"/>
  <c r="BX203" i="2"/>
  <c r="BX233" i="2" s="1"/>
  <c r="BX234" i="2" s="1"/>
  <c r="BV203" i="2"/>
  <c r="BV233" i="2" s="1"/>
  <c r="BV234" i="2" s="1"/>
  <c r="CB203" i="2"/>
  <c r="CB251" i="2" s="1"/>
  <c r="BY203" i="2"/>
  <c r="BY233" i="2" s="1"/>
  <c r="BY234" i="2" s="1"/>
  <c r="CM195" i="2"/>
  <c r="CM243" i="2" s="1"/>
  <c r="Y60" i="31"/>
  <c r="CD243" i="2"/>
  <c r="CH243" i="2"/>
  <c r="BW243" i="2"/>
  <c r="BU243" i="2"/>
  <c r="BP243" i="2"/>
  <c r="J50" i="31"/>
  <c r="K60" i="31"/>
  <c r="I16" i="7"/>
  <c r="CK195" i="2"/>
  <c r="CK203" i="2"/>
  <c r="BK197" i="2"/>
  <c r="BK245" i="2" s="1"/>
  <c r="M60" i="31"/>
  <c r="M166" i="31" s="1"/>
  <c r="M168" i="31" s="1"/>
  <c r="M170" i="31" s="1"/>
  <c r="CJ43" i="2"/>
  <c r="CJ48" i="2" s="1"/>
  <c r="CJ58" i="2" s="1"/>
  <c r="CP203" i="2"/>
  <c r="BS243" i="2"/>
  <c r="N50" i="31"/>
  <c r="BY243" i="2"/>
  <c r="EM139" i="2"/>
  <c r="CG195" i="2"/>
  <c r="AB15" i="7"/>
  <c r="BV242" i="2"/>
  <c r="BP242" i="2"/>
  <c r="BE242" i="2"/>
  <c r="BX242" i="2"/>
  <c r="BN242" i="2"/>
  <c r="CG242" i="2"/>
  <c r="BL242" i="2"/>
  <c r="CE242" i="2"/>
  <c r="CN242" i="2"/>
  <c r="BG242" i="2"/>
  <c r="BJ242" i="2"/>
  <c r="BK186" i="2"/>
  <c r="BK187" i="2" s="1"/>
  <c r="CK241" i="2"/>
  <c r="CC241" i="2"/>
  <c r="CC186" i="2"/>
  <c r="CB241" i="2"/>
  <c r="CB186" i="2"/>
  <c r="CB187" i="2" s="1"/>
  <c r="CL241" i="2"/>
  <c r="BE241" i="2"/>
  <c r="BC241" i="2"/>
  <c r="CH241" i="2"/>
  <c r="CD241" i="2"/>
  <c r="CO241" i="2"/>
  <c r="CO242" i="2"/>
  <c r="BW241" i="2"/>
  <c r="CF242" i="2"/>
  <c r="CD242" i="2"/>
  <c r="CF241" i="2"/>
  <c r="BY241" i="2"/>
  <c r="CQ241" i="2"/>
  <c r="BG241" i="2"/>
  <c r="BU241" i="2"/>
  <c r="CH242" i="2"/>
  <c r="CP242" i="2"/>
  <c r="CM242" i="2"/>
  <c r="BJ241" i="2"/>
  <c r="BK241" i="2"/>
  <c r="BS242" i="2"/>
  <c r="CC242" i="2"/>
  <c r="BW242" i="2"/>
  <c r="CB242" i="2"/>
  <c r="BE195" i="2"/>
  <c r="BE243" i="2" s="1"/>
  <c r="BL195" i="2"/>
  <c r="BL243" i="2" s="1"/>
  <c r="CK242" i="2"/>
  <c r="BG195" i="2"/>
  <c r="BG243" i="2" s="1"/>
  <c r="BF195" i="2"/>
  <c r="BC195" i="2"/>
  <c r="BC243" i="2" s="1"/>
  <c r="CL242" i="2"/>
  <c r="BN195" i="2"/>
  <c r="BN243" i="2" s="1"/>
  <c r="BJ195" i="2"/>
  <c r="BJ243" i="2" s="1"/>
  <c r="BK195" i="2"/>
  <c r="BK243" i="2" s="1"/>
  <c r="CA195" i="2"/>
  <c r="BL256" i="2"/>
  <c r="BJ256" i="2"/>
  <c r="BN256" i="2"/>
  <c r="CQ242" i="2"/>
  <c r="BY242" i="2"/>
  <c r="BK256" i="2"/>
  <c r="CS139" i="2"/>
  <c r="CS43" i="2"/>
  <c r="CS48" i="2" s="1"/>
  <c r="CS58" i="2" s="1"/>
  <c r="CA261" i="2"/>
  <c r="CJ261" i="2"/>
  <c r="BM249" i="2"/>
  <c r="BM246" i="2"/>
  <c r="BQ246" i="2"/>
  <c r="CI247" i="2"/>
  <c r="CJ245" i="2"/>
  <c r="G44" i="9"/>
  <c r="BF247" i="2"/>
  <c r="BO247" i="2"/>
  <c r="BZ247" i="2"/>
  <c r="BH247" i="2"/>
  <c r="CI259" i="2"/>
  <c r="BF259" i="2"/>
  <c r="BD259" i="2"/>
  <c r="BZ258" i="2"/>
  <c r="BZ260" i="2"/>
  <c r="BP258" i="2"/>
  <c r="BA249" i="2"/>
  <c r="BD260" i="2"/>
  <c r="BT253" i="2"/>
  <c r="CI253" i="2"/>
  <c r="BM253" i="2"/>
  <c r="CJ253" i="2"/>
  <c r="AB13" i="7"/>
  <c r="BP247" i="2"/>
  <c r="BF260" i="2"/>
  <c r="BX259" i="2"/>
  <c r="BR260" i="2"/>
  <c r="BQ260" i="2"/>
  <c r="BZ245" i="2"/>
  <c r="BO259" i="2"/>
  <c r="BQ159" i="2"/>
  <c r="BQ245" i="2" s="1"/>
  <c r="BE249" i="2"/>
  <c r="BG249" i="2"/>
  <c r="BF249" i="2"/>
  <c r="BI43" i="2"/>
  <c r="BI48" i="2" s="1"/>
  <c r="CA43" i="2"/>
  <c r="CA48" i="2" s="1"/>
  <c r="CA58" i="2" s="1"/>
  <c r="BB249" i="2"/>
  <c r="BK253" i="2"/>
  <c r="BS253" i="2"/>
  <c r="BP249" i="2"/>
  <c r="BD249" i="2"/>
  <c r="BK249" i="2"/>
  <c r="CG249" i="2"/>
  <c r="BJ253" i="2"/>
  <c r="BA253" i="2"/>
  <c r="BB253" i="2"/>
  <c r="BD253" i="2"/>
  <c r="BD264" i="2"/>
  <c r="DL43" i="2"/>
  <c r="DL48" i="2" s="1"/>
  <c r="DL58" i="2" s="1"/>
  <c r="DL148" i="2" s="1"/>
  <c r="DL150" i="2" s="1"/>
  <c r="DL151" i="2" s="1"/>
  <c r="BZ259" i="2"/>
  <c r="CJ139" i="2"/>
  <c r="BK259" i="2"/>
  <c r="CI258" i="2"/>
  <c r="CI159" i="2"/>
  <c r="CI245" i="2" s="1"/>
  <c r="BV263" i="2"/>
  <c r="CJ263" i="2"/>
  <c r="BN263" i="2"/>
  <c r="CM241" i="2"/>
  <c r="BJ259" i="2"/>
  <c r="CJ260" i="2"/>
  <c r="DD48" i="2"/>
  <c r="DD58" i="2" s="1"/>
  <c r="BF244" i="2"/>
  <c r="BZ263" i="2"/>
  <c r="BR264" i="2"/>
  <c r="BN259" i="2"/>
  <c r="BR244" i="2"/>
  <c r="BW253" i="2"/>
  <c r="BM259" i="2"/>
  <c r="BF246" i="2"/>
  <c r="BR43" i="2"/>
  <c r="BR48" i="2" s="1"/>
  <c r="BR58" i="2" s="1"/>
  <c r="BR148" i="2" s="1"/>
  <c r="BR150" i="2" s="1"/>
  <c r="BR151" i="2" s="1"/>
  <c r="BF263" i="2"/>
  <c r="BJ258" i="2"/>
  <c r="BQ244" i="2"/>
  <c r="CA264" i="2"/>
  <c r="CI263" i="2"/>
  <c r="BB260" i="2"/>
  <c r="CG263" i="2"/>
  <c r="CI244" i="2"/>
  <c r="BO256" i="2"/>
  <c r="CA260" i="2"/>
  <c r="BD246" i="2"/>
  <c r="CB263" i="2"/>
  <c r="BD256" i="2"/>
  <c r="BD247" i="2"/>
  <c r="BZ264" i="2"/>
  <c r="BA259" i="2"/>
  <c r="BT263" i="2"/>
  <c r="CR159" i="2"/>
  <c r="CR245" i="2" s="1"/>
  <c r="BW263" i="2"/>
  <c r="CE263" i="2"/>
  <c r="AB17" i="7"/>
  <c r="BJ263" i="2"/>
  <c r="X12" i="10"/>
  <c r="BT246" i="2"/>
  <c r="BF264" i="2"/>
  <c r="BU242" i="2"/>
  <c r="P36" i="9"/>
  <c r="P38" i="9" s="1"/>
  <c r="AB8" i="7"/>
  <c r="BF256" i="2"/>
  <c r="CN159" i="2"/>
  <c r="CN245" i="2" s="1"/>
  <c r="CJ264" i="2"/>
  <c r="N5" i="10"/>
  <c r="Y10" i="9"/>
  <c r="AC10" i="9" s="1"/>
  <c r="N7" i="10"/>
  <c r="Y21" i="9"/>
  <c r="Z21" i="9" s="1"/>
  <c r="Z30" i="9" s="1"/>
  <c r="AB30" i="9" s="1"/>
  <c r="G40" i="9"/>
  <c r="G41" i="9" s="1"/>
  <c r="G42" i="9" s="1"/>
  <c r="BM247" i="2"/>
  <c r="BK263" i="2"/>
  <c r="BU253" i="2"/>
  <c r="CG246" i="2"/>
  <c r="CI246" i="2"/>
  <c r="BZ246" i="2"/>
  <c r="AA29" i="9"/>
  <c r="AC29" i="9" s="1"/>
  <c r="Z22" i="9"/>
  <c r="AA22" i="9" s="1"/>
  <c r="Z11" i="10" s="1"/>
  <c r="X9" i="10"/>
  <c r="BS263" i="2"/>
  <c r="N40" i="9"/>
  <c r="N41" i="9" s="1"/>
  <c r="N42" i="9" s="1"/>
  <c r="X38" i="9"/>
  <c r="X40" i="9" s="1"/>
  <c r="X41" i="9" s="1"/>
  <c r="X42" i="9" s="1"/>
  <c r="BU259" i="2"/>
  <c r="AA26" i="9"/>
  <c r="AC26" i="9" s="1"/>
  <c r="J40" i="9"/>
  <c r="J41" i="9" s="1"/>
  <c r="J42" i="9" s="1"/>
  <c r="X7" i="10"/>
  <c r="O10" i="9"/>
  <c r="N12" i="10"/>
  <c r="N13" i="10"/>
  <c r="N6" i="10"/>
  <c r="X8" i="10"/>
  <c r="X2" i="10"/>
  <c r="N9" i="10"/>
  <c r="N2" i="10"/>
  <c r="N10" i="10"/>
  <c r="X5" i="10"/>
  <c r="N8" i="10"/>
  <c r="N11" i="10"/>
  <c r="I40" i="9"/>
  <c r="I41" i="9" s="1"/>
  <c r="I42" i="9" s="1"/>
  <c r="Y18" i="9"/>
  <c r="Z18" i="9" s="1"/>
  <c r="AA18" i="9" s="1"/>
  <c r="O34" i="9"/>
  <c r="O36" i="9" s="1"/>
  <c r="Y33" i="9"/>
  <c r="AA27" i="9"/>
  <c r="AC27" i="9" s="1"/>
  <c r="L40" i="9"/>
  <c r="L41" i="9" s="1"/>
  <c r="L42" i="9" s="1"/>
  <c r="AA25" i="9"/>
  <c r="AC25" i="9" s="1"/>
  <c r="H40" i="9"/>
  <c r="H41" i="9" s="1"/>
  <c r="H42" i="9" s="1"/>
  <c r="BO246" i="2"/>
  <c r="AA28" i="9"/>
  <c r="AC28" i="9" s="1"/>
  <c r="Z12" i="10"/>
  <c r="BC263" i="2"/>
  <c r="BO263" i="2"/>
  <c r="CA244" i="2"/>
  <c r="BF258" i="2"/>
  <c r="BN249" i="2"/>
  <c r="G46" i="9"/>
  <c r="BA258" i="2"/>
  <c r="BD258" i="2"/>
  <c r="BZ249" i="2"/>
  <c r="BC249" i="2"/>
  <c r="BG263" i="2"/>
  <c r="BB264" i="2"/>
  <c r="X13" i="10"/>
  <c r="Y13" i="10"/>
  <c r="AB23" i="9"/>
  <c r="BJ249" i="2"/>
  <c r="BL258" i="2"/>
  <c r="AB12" i="7"/>
  <c r="BE263" i="2"/>
  <c r="BB258" i="2"/>
  <c r="BM258" i="2"/>
  <c r="AA23" i="9"/>
  <c r="BL249" i="2"/>
  <c r="BN258" i="2"/>
  <c r="Y12" i="10"/>
  <c r="AB24" i="9"/>
  <c r="AC24" i="9" s="1"/>
  <c r="BB256" i="2"/>
  <c r="K166" i="31" l="1"/>
  <c r="K168" i="31" s="1"/>
  <c r="K170" i="31" s="1"/>
  <c r="L153" i="31"/>
  <c r="N153" i="31"/>
  <c r="CS148" i="2"/>
  <c r="CS150" i="2" s="1"/>
  <c r="CS151" i="2" s="1"/>
  <c r="CJ148" i="2"/>
  <c r="EM148" i="2"/>
  <c r="EM150" i="2" s="1"/>
  <c r="EM151" i="2" s="1"/>
  <c r="EG153" i="2"/>
  <c r="CA139" i="2"/>
  <c r="DC139" i="2"/>
  <c r="DC148" i="2" s="1"/>
  <c r="DC150" i="2" s="1"/>
  <c r="DC151" i="2" s="1"/>
  <c r="EF153" i="2"/>
  <c r="EL153" i="2"/>
  <c r="EL150" i="2"/>
  <c r="EL151" i="2" s="1"/>
  <c r="BZ150" i="2"/>
  <c r="BZ151" i="2" s="1"/>
  <c r="FJ150" i="2"/>
  <c r="FJ151" i="2" s="1"/>
  <c r="CW150" i="2"/>
  <c r="CW151" i="2" s="1"/>
  <c r="DV150" i="2"/>
  <c r="DV151" i="2" s="1"/>
  <c r="BI58" i="2"/>
  <c r="BI148" i="2" s="1"/>
  <c r="BF315" i="2" s="1"/>
  <c r="H166" i="31"/>
  <c r="H168" i="31" s="1"/>
  <c r="CK233" i="2"/>
  <c r="BE187" i="2"/>
  <c r="BA197" i="2"/>
  <c r="BA245" i="2" s="1"/>
  <c r="BA203" i="2"/>
  <c r="BA251" i="2" s="1"/>
  <c r="EH153" i="2"/>
  <c r="EJ153" i="2"/>
  <c r="CR203" i="2"/>
  <c r="BS203" i="2"/>
  <c r="BS233" i="2" s="1"/>
  <c r="BS234" i="2" s="1"/>
  <c r="BC187" i="2"/>
  <c r="CC187" i="2"/>
  <c r="EN43" i="2"/>
  <c r="EN48" i="2" s="1"/>
  <c r="EN58" i="2" s="1"/>
  <c r="BJ187" i="2"/>
  <c r="CR157" i="2"/>
  <c r="BZ157" i="2"/>
  <c r="BZ243" i="2" s="1"/>
  <c r="CI157" i="2"/>
  <c r="BH157" i="2"/>
  <c r="BQ157" i="2"/>
  <c r="BQ186" i="2" s="1"/>
  <c r="BC203" i="2"/>
  <c r="BC251" i="2" s="1"/>
  <c r="CD165" i="2"/>
  <c r="CD251" i="2" s="1"/>
  <c r="BE203" i="2"/>
  <c r="BE251" i="2" s="1"/>
  <c r="BN203" i="2"/>
  <c r="BN233" i="2" s="1"/>
  <c r="BN234" i="2" s="1"/>
  <c r="BG203" i="2"/>
  <c r="BG251" i="2" s="1"/>
  <c r="BJ203" i="2"/>
  <c r="BJ251" i="2" s="1"/>
  <c r="BK203" i="2"/>
  <c r="BK251" i="2" s="1"/>
  <c r="CA203" i="2"/>
  <c r="CA233" i="2" s="1"/>
  <c r="CA234" i="2" s="1"/>
  <c r="BL203" i="2"/>
  <c r="BF243" i="2"/>
  <c r="BC197" i="2"/>
  <c r="BC245" i="2" s="1"/>
  <c r="BG197" i="2"/>
  <c r="BG245" i="2" s="1"/>
  <c r="BJ197" i="2"/>
  <c r="BJ245" i="2" s="1"/>
  <c r="BF197" i="2"/>
  <c r="BF245" i="2" s="1"/>
  <c r="BO195" i="2"/>
  <c r="BO243" i="2" s="1"/>
  <c r="CK165" i="2"/>
  <c r="CK251" i="2" s="1"/>
  <c r="BY186" i="2"/>
  <c r="BY187" i="2" s="1"/>
  <c r="BU251" i="2"/>
  <c r="BP186" i="2"/>
  <c r="BP187" i="2" s="1"/>
  <c r="CF165" i="2"/>
  <c r="CO165" i="2"/>
  <c r="CO251" i="2" s="1"/>
  <c r="L50" i="31"/>
  <c r="BE197" i="2"/>
  <c r="BE245" i="2" s="1"/>
  <c r="BW251" i="2"/>
  <c r="CM165" i="2"/>
  <c r="CM251" i="2" s="1"/>
  <c r="CQ165" i="2"/>
  <c r="CH187" i="2"/>
  <c r="BL187" i="2"/>
  <c r="CK243" i="2"/>
  <c r="N60" i="31"/>
  <c r="L16" i="7"/>
  <c r="I60" i="31"/>
  <c r="I166" i="31" s="1"/>
  <c r="I168" i="31" s="1"/>
  <c r="I170" i="31" s="1"/>
  <c r="CP195" i="2"/>
  <c r="CP243" i="2" s="1"/>
  <c r="CL195" i="2"/>
  <c r="CL243" i="2" s="1"/>
  <c r="BD195" i="2"/>
  <c r="BD243" i="2" s="1"/>
  <c r="EN139" i="2"/>
  <c r="CG243" i="2"/>
  <c r="EE43" i="2"/>
  <c r="EE48" i="2" s="1"/>
  <c r="EE58" i="2" s="1"/>
  <c r="EE148" i="2" s="1"/>
  <c r="EE150" i="2" s="1"/>
  <c r="EE151" i="2" s="1"/>
  <c r="CI195" i="2"/>
  <c r="CC195" i="2"/>
  <c r="CC243" i="2" s="1"/>
  <c r="CE195" i="2"/>
  <c r="CE243" i="2" s="1"/>
  <c r="BF242" i="2"/>
  <c r="BD242" i="2"/>
  <c r="CE241" i="2"/>
  <c r="BV241" i="2"/>
  <c r="CP241" i="2"/>
  <c r="CN241" i="2"/>
  <c r="CG241" i="2"/>
  <c r="BF241" i="2"/>
  <c r="BF186" i="2"/>
  <c r="BD241" i="2"/>
  <c r="BD186" i="2"/>
  <c r="BX241" i="2"/>
  <c r="BT242" i="2"/>
  <c r="BB242" i="2"/>
  <c r="CI241" i="2"/>
  <c r="BZ241" i="2"/>
  <c r="BM242" i="2"/>
  <c r="BO242" i="2"/>
  <c r="BH241" i="2"/>
  <c r="BK242" i="2"/>
  <c r="BM195" i="2"/>
  <c r="BM243" i="2" s="1"/>
  <c r="BB195" i="2"/>
  <c r="BB243" i="2" s="1"/>
  <c r="CR242" i="2"/>
  <c r="BZ242" i="2"/>
  <c r="CS242" i="2"/>
  <c r="BQ256" i="2"/>
  <c r="CI256" i="2"/>
  <c r="BZ256" i="2"/>
  <c r="BM256" i="2"/>
  <c r="CJ256" i="2"/>
  <c r="CI242" i="2"/>
  <c r="CJ242" i="2"/>
  <c r="CA242" i="2"/>
  <c r="G48" i="9"/>
  <c r="BR246" i="2"/>
  <c r="CJ246" i="2"/>
  <c r="CJ258" i="2"/>
  <c r="BI247" i="2"/>
  <c r="BQ247" i="2"/>
  <c r="CA259" i="2"/>
  <c r="BH259" i="2"/>
  <c r="BZ253" i="2"/>
  <c r="BO253" i="2"/>
  <c r="BH260" i="2"/>
  <c r="BD263" i="2"/>
  <c r="DM43" i="2"/>
  <c r="DM48" i="2" s="1"/>
  <c r="DM58" i="2" s="1"/>
  <c r="DM148" i="2" s="1"/>
  <c r="DM150" i="2" s="1"/>
  <c r="DM151" i="2" s="1"/>
  <c r="BO249" i="2"/>
  <c r="CI249" i="2"/>
  <c r="CA249" i="2"/>
  <c r="CJ249" i="2"/>
  <c r="BH253" i="2"/>
  <c r="AB18" i="7"/>
  <c r="BF253" i="2"/>
  <c r="AB7" i="7"/>
  <c r="BQ259" i="2"/>
  <c r="CJ259" i="2"/>
  <c r="BH256" i="2"/>
  <c r="AB6" i="7"/>
  <c r="BI256" i="2"/>
  <c r="BM263" i="2"/>
  <c r="BO258" i="2"/>
  <c r="BH264" i="2"/>
  <c r="BI244" i="2"/>
  <c r="BH244" i="2"/>
  <c r="BH263" i="2"/>
  <c r="CA263" i="2"/>
  <c r="CA247" i="2"/>
  <c r="CJ244" i="2"/>
  <c r="AB16" i="7"/>
  <c r="BI264" i="2"/>
  <c r="CS159" i="2"/>
  <c r="CS245" i="2" s="1"/>
  <c r="Y30" i="9"/>
  <c r="AB21" i="9"/>
  <c r="AA21" i="9"/>
  <c r="P40" i="9"/>
  <c r="P41" i="9" s="1"/>
  <c r="P42" i="9" s="1"/>
  <c r="Y11" i="10"/>
  <c r="CJ247" i="2"/>
  <c r="AB22" i="9"/>
  <c r="AC22" i="9" s="1"/>
  <c r="CI264" i="2"/>
  <c r="BH246" i="2"/>
  <c r="O38" i="9"/>
  <c r="O40" i="9" s="1"/>
  <c r="O41" i="9" s="1"/>
  <c r="O42" i="9" s="1"/>
  <c r="Y19" i="9"/>
  <c r="X10" i="10"/>
  <c r="Z9" i="10"/>
  <c r="CA258" i="2"/>
  <c r="Y34" i="9"/>
  <c r="Z33" i="9"/>
  <c r="AA33" i="9" s="1"/>
  <c r="BH249" i="2"/>
  <c r="Z10" i="10"/>
  <c r="AA19" i="9"/>
  <c r="Y10" i="10"/>
  <c r="Z19" i="9"/>
  <c r="Z13" i="10"/>
  <c r="AC23" i="9"/>
  <c r="BR263" i="2"/>
  <c r="BA242" i="2"/>
  <c r="BK258" i="2"/>
  <c r="BV253" i="2"/>
  <c r="BC242" i="2"/>
  <c r="BE259" i="2"/>
  <c r="BB259" i="2"/>
  <c r="BG320" i="2" l="1"/>
  <c r="BG328" i="2"/>
  <c r="BI328" i="2" s="1"/>
  <c r="EN148" i="2"/>
  <c r="EN150" i="2" s="1"/>
  <c r="EN151" i="2" s="1"/>
  <c r="CA165" i="2"/>
  <c r="CA148" i="2"/>
  <c r="CA150" i="2" s="1"/>
  <c r="CA151" i="2" s="1"/>
  <c r="DD139" i="2"/>
  <c r="DD148" i="2" s="1"/>
  <c r="DD150" i="2" s="1"/>
  <c r="DD151" i="2" s="1"/>
  <c r="R153" i="31"/>
  <c r="Q153" i="31"/>
  <c r="CK280" i="2"/>
  <c r="CK234" i="2"/>
  <c r="CK235" i="2" s="1"/>
  <c r="CJ150" i="2"/>
  <c r="CJ151" i="2" s="1"/>
  <c r="EF154" i="2"/>
  <c r="FT139" i="2"/>
  <c r="FT43" i="2"/>
  <c r="N166" i="31"/>
  <c r="E50" i="31"/>
  <c r="BA233" i="2"/>
  <c r="BA234" i="2" s="1"/>
  <c r="BF203" i="2"/>
  <c r="BF251" i="2" s="1"/>
  <c r="EI153" i="2"/>
  <c r="CS203" i="2"/>
  <c r="EJ154" i="2"/>
  <c r="EH154" i="2"/>
  <c r="CQ186" i="2"/>
  <c r="CQ187" i="2" s="1"/>
  <c r="CQ188" i="2" s="1"/>
  <c r="CQ251" i="2"/>
  <c r="BS251" i="2"/>
  <c r="BZ186" i="2"/>
  <c r="H170" i="31"/>
  <c r="BV251" i="2"/>
  <c r="BF187" i="2"/>
  <c r="BD187" i="2"/>
  <c r="BX251" i="2"/>
  <c r="BO165" i="2"/>
  <c r="BO186" i="2" s="1"/>
  <c r="BO187" i="2" s="1"/>
  <c r="CF203" i="2"/>
  <c r="CF251" i="2" s="1"/>
  <c r="CD186" i="2"/>
  <c r="CD187" i="2" s="1"/>
  <c r="CD188" i="2" s="1"/>
  <c r="BI157" i="2"/>
  <c r="CJ157" i="2"/>
  <c r="EK153" i="2"/>
  <c r="CS157" i="2"/>
  <c r="CA157" i="2"/>
  <c r="CR195" i="2"/>
  <c r="CR243" i="2" s="1"/>
  <c r="BR157" i="2"/>
  <c r="BN251" i="2"/>
  <c r="BM203" i="2"/>
  <c r="BM233" i="2" s="1"/>
  <c r="BM234" i="2" s="1"/>
  <c r="CI203" i="2"/>
  <c r="CI251" i="2" s="1"/>
  <c r="BJ233" i="2"/>
  <c r="BJ234" i="2" s="1"/>
  <c r="Q50" i="31"/>
  <c r="N16" i="7" s="1"/>
  <c r="CF186" i="2"/>
  <c r="BN186" i="2"/>
  <c r="BN187" i="2" s="1"/>
  <c r="CH251" i="2"/>
  <c r="CO186" i="2"/>
  <c r="CO187" i="2" s="1"/>
  <c r="CO188" i="2" s="1"/>
  <c r="CM186" i="2"/>
  <c r="BY251" i="2"/>
  <c r="CK186" i="2"/>
  <c r="BP251" i="2"/>
  <c r="BW186" i="2"/>
  <c r="BW187" i="2" s="1"/>
  <c r="BS187" i="2"/>
  <c r="J16" i="7"/>
  <c r="CL165" i="2"/>
  <c r="R50" i="31"/>
  <c r="L60" i="31"/>
  <c r="L166" i="31" s="1"/>
  <c r="L168" i="31" s="1"/>
  <c r="L170" i="31" s="1"/>
  <c r="CP165" i="2"/>
  <c r="BT186" i="2"/>
  <c r="BT187" i="2" s="1"/>
  <c r="BB197" i="2"/>
  <c r="BB245" i="2" s="1"/>
  <c r="CN165" i="2"/>
  <c r="BU186" i="2"/>
  <c r="BU187" i="2" s="1"/>
  <c r="BB203" i="2"/>
  <c r="BB251" i="2" s="1"/>
  <c r="BI197" i="2"/>
  <c r="CG165" i="2"/>
  <c r="CG186" i="2" s="1"/>
  <c r="CG187" i="2" s="1"/>
  <c r="BM186" i="2"/>
  <c r="BM187" i="2" s="1"/>
  <c r="BH197" i="2"/>
  <c r="BH245" i="2" s="1"/>
  <c r="CG203" i="2"/>
  <c r="BL251" i="2"/>
  <c r="CE165" i="2"/>
  <c r="CE186" i="2" s="1"/>
  <c r="CE187" i="2" s="1"/>
  <c r="BD197" i="2"/>
  <c r="BD245" i="2" s="1"/>
  <c r="CJ165" i="2"/>
  <c r="CI243" i="2"/>
  <c r="CI186" i="2"/>
  <c r="J60" i="31"/>
  <c r="CN195" i="2"/>
  <c r="CN243" i="2" s="1"/>
  <c r="BH186" i="2"/>
  <c r="BH242" i="2"/>
  <c r="CR241" i="2"/>
  <c r="CA241" i="2"/>
  <c r="CJ241" i="2"/>
  <c r="BH195" i="2"/>
  <c r="BH243" i="2" s="1"/>
  <c r="BQ195" i="2"/>
  <c r="BQ243" i="2" s="1"/>
  <c r="BI195" i="2"/>
  <c r="BQ242" i="2"/>
  <c r="BR242" i="2"/>
  <c r="CA256" i="2"/>
  <c r="BR247" i="2"/>
  <c r="CA246" i="2"/>
  <c r="BI258" i="2"/>
  <c r="CA159" i="2"/>
  <c r="CA245" i="2" s="1"/>
  <c r="BR258" i="2"/>
  <c r="BI260" i="2"/>
  <c r="BR259" i="2"/>
  <c r="BI259" i="2"/>
  <c r="BI249" i="2"/>
  <c r="BQ249" i="2"/>
  <c r="BQ253" i="2"/>
  <c r="BR249" i="2"/>
  <c r="BI253" i="2"/>
  <c r="BQ258" i="2"/>
  <c r="CH188" i="2"/>
  <c r="CB188" i="2"/>
  <c r="BR245" i="2"/>
  <c r="BH258" i="2"/>
  <c r="BQ263" i="2"/>
  <c r="BI246" i="2"/>
  <c r="BI263" i="2"/>
  <c r="AC21" i="9"/>
  <c r="AA30" i="9"/>
  <c r="AC30" i="9" s="1"/>
  <c r="BX253" i="2"/>
  <c r="Y36" i="9"/>
  <c r="Y38" i="9" s="1"/>
  <c r="Y40" i="9" s="1"/>
  <c r="Y41" i="9" s="1"/>
  <c r="Y42" i="9" s="1"/>
  <c r="AA34" i="9"/>
  <c r="AB33" i="9"/>
  <c r="AC33" i="9" s="1"/>
  <c r="Z34" i="9"/>
  <c r="AB34" i="9" s="1"/>
  <c r="AC19" i="9"/>
  <c r="CC188" i="2"/>
  <c r="CA243" i="2" l="1"/>
  <c r="CA186" i="2"/>
  <c r="Z153" i="31"/>
  <c r="CK281" i="2"/>
  <c r="BI150" i="2"/>
  <c r="BI151" i="2" s="1"/>
  <c r="BG315" i="2"/>
  <c r="BH315" i="2" s="1"/>
  <c r="N168" i="31"/>
  <c r="N170" i="31" s="1"/>
  <c r="BD203" i="2"/>
  <c r="BD251" i="2" s="1"/>
  <c r="CE203" i="2"/>
  <c r="CE251" i="2" s="1"/>
  <c r="EG154" i="2"/>
  <c r="BV186" i="2"/>
  <c r="BV187" i="2" s="1"/>
  <c r="CS165" i="2"/>
  <c r="CS251" i="2" s="1"/>
  <c r="CN186" i="2"/>
  <c r="CN187" i="2" s="1"/>
  <c r="CN188" i="2" s="1"/>
  <c r="CN251" i="2"/>
  <c r="CP186" i="2"/>
  <c r="CP187" i="2" s="1"/>
  <c r="CP188" i="2" s="1"/>
  <c r="CP251" i="2"/>
  <c r="CL186" i="2"/>
  <c r="CL187" i="2" s="1"/>
  <c r="CL188" i="2" s="1"/>
  <c r="CL251" i="2"/>
  <c r="BI320" i="2"/>
  <c r="CC203" i="2"/>
  <c r="CC251" i="2" s="1"/>
  <c r="BX186" i="2"/>
  <c r="BX187" i="2" s="1"/>
  <c r="BH187" i="2"/>
  <c r="BQ187" i="2"/>
  <c r="CI187" i="2"/>
  <c r="BR195" i="2"/>
  <c r="BR243" i="2" s="1"/>
  <c r="EK154" i="2"/>
  <c r="CK187" i="2"/>
  <c r="CK188" i="2" s="1"/>
  <c r="CF187" i="2"/>
  <c r="CF188" i="2" s="1"/>
  <c r="CM187" i="2"/>
  <c r="CM188" i="2" s="1"/>
  <c r="BQ203" i="2"/>
  <c r="BQ251" i="2" s="1"/>
  <c r="O16" i="7"/>
  <c r="BB233" i="2"/>
  <c r="BB234" i="2" s="1"/>
  <c r="BI243" i="2"/>
  <c r="BT251" i="2"/>
  <c r="CG251" i="2"/>
  <c r="BM251" i="2"/>
  <c r="R60" i="31"/>
  <c r="R166" i="31" s="1"/>
  <c r="R168" i="31" s="1"/>
  <c r="R170" i="31" s="1"/>
  <c r="Z50" i="31"/>
  <c r="CR165" i="2"/>
  <c r="BZ187" i="2"/>
  <c r="BO203" i="2"/>
  <c r="BO233" i="2" s="1"/>
  <c r="BO234" i="2" s="1"/>
  <c r="Q60" i="31"/>
  <c r="CJ195" i="2"/>
  <c r="CJ243" i="2" s="1"/>
  <c r="CS195" i="2"/>
  <c r="CS243" i="2" s="1"/>
  <c r="CJ186" i="2"/>
  <c r="BR186" i="2"/>
  <c r="BI242" i="2"/>
  <c r="CS241" i="2"/>
  <c r="BI241" i="2"/>
  <c r="BI186" i="2"/>
  <c r="BR256" i="2"/>
  <c r="BI245" i="2"/>
  <c r="CA253" i="2"/>
  <c r="CG188" i="2"/>
  <c r="BR253" i="2"/>
  <c r="CE188" i="2"/>
  <c r="AA36" i="9"/>
  <c r="AA38" i="9" s="1"/>
  <c r="Z36" i="9"/>
  <c r="AB36" i="9" s="1"/>
  <c r="AC34" i="9"/>
  <c r="AB153" i="31" l="1"/>
  <c r="AA153" i="31"/>
  <c r="EI154" i="2"/>
  <c r="BL320" i="2"/>
  <c r="BQ312" i="2"/>
  <c r="CR186" i="2"/>
  <c r="CR187" i="2" s="1"/>
  <c r="CR251" i="2"/>
  <c r="BR187" i="2"/>
  <c r="BI187" i="2"/>
  <c r="CS186" i="2"/>
  <c r="CS187" i="2" s="1"/>
  <c r="CA251" i="2"/>
  <c r="CJ187" i="2"/>
  <c r="CJ188" i="2" s="1"/>
  <c r="BQ233" i="2"/>
  <c r="BQ234" i="2" s="1"/>
  <c r="BH203" i="2"/>
  <c r="BH251" i="2" s="1"/>
  <c r="BI203" i="2"/>
  <c r="BI251" i="2" s="1"/>
  <c r="Z60" i="31"/>
  <c r="Z166" i="31" s="1"/>
  <c r="W16" i="7"/>
  <c r="AA50" i="31"/>
  <c r="AC50" i="31" s="1"/>
  <c r="BO251" i="2"/>
  <c r="BZ251" i="2"/>
  <c r="AC36" i="9"/>
  <c r="Z38" i="9"/>
  <c r="AB38" i="9" s="1"/>
  <c r="AC38" i="9" s="1"/>
  <c r="AA40" i="9"/>
  <c r="AC153" i="31" l="1"/>
  <c r="AD153" i="31" s="1"/>
  <c r="Z168" i="31"/>
  <c r="Z170" i="31" s="1"/>
  <c r="AE153" i="31"/>
  <c r="AD50" i="31"/>
  <c r="AE50" i="31"/>
  <c r="AC60" i="31"/>
  <c r="BI315" i="2"/>
  <c r="BS312" i="2" s="1"/>
  <c r="BR312" i="2"/>
  <c r="BG338" i="2"/>
  <c r="BH338" i="2" s="1"/>
  <c r="Z16" i="7"/>
  <c r="X16" i="7"/>
  <c r="AA60" i="31"/>
  <c r="BR203" i="2"/>
  <c r="CJ203" i="2"/>
  <c r="CJ251" i="2" s="1"/>
  <c r="CS188" i="2"/>
  <c r="CR188" i="2"/>
  <c r="CI188" i="2"/>
  <c r="Z40" i="9"/>
  <c r="Z41" i="9" s="1"/>
  <c r="Z42" i="9" s="1"/>
  <c r="Z15" i="10"/>
  <c r="AA41" i="9"/>
  <c r="AA42" i="9" s="1"/>
  <c r="AE60" i="31" l="1"/>
  <c r="CA187" i="2"/>
  <c r="AB60" i="31"/>
  <c r="Y16" i="7"/>
  <c r="BR251" i="2"/>
  <c r="BR233" i="2"/>
  <c r="BR234" i="2" s="1"/>
  <c r="AC39" i="9"/>
  <c r="Y15" i="10"/>
  <c r="AD60" i="31" l="1"/>
  <c r="K22" i="13"/>
  <c r="BV188" i="2" l="1"/>
  <c r="BX188" i="2"/>
  <c r="BZ188" i="2"/>
  <c r="BA188" i="2"/>
  <c r="BK188" i="2"/>
  <c r="BI188" i="2"/>
  <c r="BB188" i="2"/>
  <c r="BG188" i="2" l="1"/>
  <c r="BH188" i="2"/>
  <c r="BC188" i="2"/>
  <c r="BJ188" i="2"/>
  <c r="CA188" i="2" l="1"/>
  <c r="BD188" i="2"/>
  <c r="BY188" i="2"/>
  <c r="BF188" i="2" l="1"/>
  <c r="BE188" i="2"/>
  <c r="BW188" i="2"/>
  <c r="BU188" i="2"/>
  <c r="BA254" i="2"/>
  <c r="BA252" i="2" l="1"/>
  <c r="BA255" i="2" l="1"/>
  <c r="BA280" i="2" l="1"/>
  <c r="BA287" i="2" s="1"/>
  <c r="BA293" i="2" s="1"/>
  <c r="BA294" i="2" s="1"/>
  <c r="BA235" i="2"/>
  <c r="BO254" i="2"/>
  <c r="BI254" i="2"/>
  <c r="BC254" i="2"/>
  <c r="BO255" i="2"/>
  <c r="BQ255" i="2"/>
  <c r="BJ255" i="2"/>
  <c r="BG254" i="2"/>
  <c r="BK254" i="2"/>
  <c r="BP254" i="2"/>
  <c r="BQ254" i="2"/>
  <c r="BI255" i="2"/>
  <c r="BR254" i="2"/>
  <c r="BB254" i="2"/>
  <c r="BD255" i="2"/>
  <c r="BK252" i="2"/>
  <c r="BG252" i="2"/>
  <c r="BD252" i="2"/>
  <c r="BL254" i="2"/>
  <c r="BQ252" i="2"/>
  <c r="BE252" i="2"/>
  <c r="BD254" i="2"/>
  <c r="BM252" i="2"/>
  <c r="BH254" i="2"/>
  <c r="BP255" i="2"/>
  <c r="BP252" i="2"/>
  <c r="BJ252" i="2"/>
  <c r="BO252" i="2"/>
  <c r="BA281" i="2" l="1"/>
  <c r="BA282" i="2" s="1"/>
  <c r="BF254" i="2"/>
  <c r="BB252" i="2"/>
  <c r="BR252" i="2"/>
  <c r="BN252" i="2"/>
  <c r="BD233" i="2"/>
  <c r="BD234" i="2" s="1"/>
  <c r="BH252" i="2"/>
  <c r="BM255" i="2"/>
  <c r="BM254" i="2"/>
  <c r="BE255" i="2"/>
  <c r="BF255" i="2"/>
  <c r="BL252" i="2"/>
  <c r="BC252" i="2"/>
  <c r="BD280" i="2"/>
  <c r="BR255" i="2"/>
  <c r="BI233" i="2"/>
  <c r="BI234" i="2" s="1"/>
  <c r="BN255" i="2"/>
  <c r="BN254" i="2"/>
  <c r="BI252" i="2"/>
  <c r="BI280" i="2" s="1"/>
  <c r="BI287" i="2" s="1"/>
  <c r="BF252" i="2"/>
  <c r="BL255" i="2"/>
  <c r="BJ254" i="2"/>
  <c r="BJ280" i="2" s="1"/>
  <c r="BA288" i="2" s="1"/>
  <c r="BL310" i="2" l="1"/>
  <c r="BF280" i="2"/>
  <c r="BF287" i="2" s="1"/>
  <c r="BF293" i="2" s="1"/>
  <c r="BF294" i="2" s="1"/>
  <c r="BO235" i="2"/>
  <c r="BF233" i="2"/>
  <c r="BF234" i="2" s="1"/>
  <c r="BA295" i="2"/>
  <c r="BA296" i="2" s="1"/>
  <c r="BQ235" i="2"/>
  <c r="BE254" i="2"/>
  <c r="BE280" i="2" s="1"/>
  <c r="BE233" i="2"/>
  <c r="BE234" i="2" s="1"/>
  <c r="BI235" i="2"/>
  <c r="BD287" i="2"/>
  <c r="BD293" i="2" s="1"/>
  <c r="BD294" i="2" s="1"/>
  <c r="BL233" i="2"/>
  <c r="BL234" i="2" s="1"/>
  <c r="BP235" i="2"/>
  <c r="BD281" i="2"/>
  <c r="BD282" i="2" s="1"/>
  <c r="BD235" i="2"/>
  <c r="BL311" i="2" l="1"/>
  <c r="BI293" i="2"/>
  <c r="BI294" i="2" s="1"/>
  <c r="BI281" i="2"/>
  <c r="BI282" i="2" s="1"/>
  <c r="BF281" i="2"/>
  <c r="BF282" i="2" s="1"/>
  <c r="BN235" i="2"/>
  <c r="BF235" i="2"/>
  <c r="BB255" i="2"/>
  <c r="BB280" i="2" s="1"/>
  <c r="BC255" i="2"/>
  <c r="BC280" i="2" s="1"/>
  <c r="BC287" i="2" s="1"/>
  <c r="BC293" i="2" s="1"/>
  <c r="BC294" i="2" s="1"/>
  <c r="BC233" i="2"/>
  <c r="BC234" i="2" s="1"/>
  <c r="BE281" i="2"/>
  <c r="BE282" i="2" s="1"/>
  <c r="BE235" i="2"/>
  <c r="BG255" i="2"/>
  <c r="BG280" i="2" s="1"/>
  <c r="BG233" i="2"/>
  <c r="BG234" i="2" s="1"/>
  <c r="BL235" i="2"/>
  <c r="BE287" i="2"/>
  <c r="BH255" i="2"/>
  <c r="BH280" i="2" s="1"/>
  <c r="BH233" i="2"/>
  <c r="BH234" i="2" s="1"/>
  <c r="BM235" i="2"/>
  <c r="BR235" i="2"/>
  <c r="BJ281" i="2"/>
  <c r="BJ282" i="2" s="1"/>
  <c r="BJ235" i="2"/>
  <c r="BK255" i="2"/>
  <c r="BK280" i="2" s="1"/>
  <c r="BB288" i="2" s="1"/>
  <c r="BK233" i="2"/>
  <c r="BK234" i="2" s="1"/>
  <c r="BD305" i="2"/>
  <c r="BB287" i="2" l="1"/>
  <c r="BB293" i="2" s="1"/>
  <c r="BB294" i="2" s="1"/>
  <c r="BC235" i="2"/>
  <c r="BC281" i="2"/>
  <c r="BC282" i="2" s="1"/>
  <c r="BB235" i="2"/>
  <c r="BB281" i="2"/>
  <c r="BB282" i="2" s="1"/>
  <c r="BG281" i="2"/>
  <c r="BG282" i="2" s="1"/>
  <c r="BG235" i="2"/>
  <c r="BG287" i="2"/>
  <c r="BG293" i="2" s="1"/>
  <c r="BG294" i="2" s="1"/>
  <c r="BB295" i="2"/>
  <c r="BB296" i="2" s="1"/>
  <c r="BH235" i="2"/>
  <c r="BH281" i="2"/>
  <c r="BH282" i="2" s="1"/>
  <c r="BE293" i="2"/>
  <c r="BE294" i="2" s="1"/>
  <c r="BK235" i="2"/>
  <c r="BK281" i="2"/>
  <c r="BK282" i="2" s="1"/>
  <c r="BH287" i="2"/>
  <c r="BH293" i="2" l="1"/>
  <c r="BH294" i="2" s="1"/>
  <c r="BT254" i="2" l="1"/>
  <c r="BU254" i="2"/>
  <c r="CE254" i="2"/>
  <c r="BZ254" i="2"/>
  <c r="BX254" i="2"/>
  <c r="CI254" i="2"/>
  <c r="CF254" i="2"/>
  <c r="CC254" i="2"/>
  <c r="BW254" i="2"/>
  <c r="BY254" i="2"/>
  <c r="BS254" i="2"/>
  <c r="CH254" i="2"/>
  <c r="CA254" i="2"/>
  <c r="BV254" i="2"/>
  <c r="CD254" i="2"/>
  <c r="CG254" i="2"/>
  <c r="CI255" i="2"/>
  <c r="CG255" i="2"/>
  <c r="CA255" i="2"/>
  <c r="BW255" i="2"/>
  <c r="CB255" i="2"/>
  <c r="CH255" i="2"/>
  <c r="CD255" i="2"/>
  <c r="CF255" i="2"/>
  <c r="CJ255" i="2"/>
  <c r="BU255" i="2"/>
  <c r="BT255" i="2"/>
  <c r="BZ255" i="2"/>
  <c r="BX255" i="2"/>
  <c r="CC255" i="2"/>
  <c r="BV255" i="2"/>
  <c r="BS255" i="2"/>
  <c r="CE255" i="2"/>
  <c r="BY255" i="2"/>
  <c r="CJ233" i="2" l="1"/>
  <c r="CJ234" i="2" s="1"/>
  <c r="CG233" i="2"/>
  <c r="CG234" i="2" s="1"/>
  <c r="CR233" i="2"/>
  <c r="CR234" i="2" s="1"/>
  <c r="CP233" i="2"/>
  <c r="CP234" i="2" s="1"/>
  <c r="CH233" i="2"/>
  <c r="CH234" i="2" s="1"/>
  <c r="CC233" i="2"/>
  <c r="CC234" i="2" s="1"/>
  <c r="CS233" i="2"/>
  <c r="CS234" i="2" s="1"/>
  <c r="CF233" i="2"/>
  <c r="CF234" i="2" s="1"/>
  <c r="CN280" i="2"/>
  <c r="CO280" i="2"/>
  <c r="CQ233" i="2"/>
  <c r="CQ234" i="2" s="1"/>
  <c r="CM233" i="2"/>
  <c r="CM234" i="2" s="1"/>
  <c r="CB252" i="2"/>
  <c r="CE233" i="2"/>
  <c r="CE234" i="2" s="1"/>
  <c r="CD233" i="2"/>
  <c r="CD234" i="2" s="1"/>
  <c r="CL233" i="2"/>
  <c r="CL234" i="2" s="1"/>
  <c r="CJ252" i="2" l="1"/>
  <c r="CJ280" i="2" s="1"/>
  <c r="CB280" i="2"/>
  <c r="BA290" i="2" s="1"/>
  <c r="CS280" i="2"/>
  <c r="CS281" i="2" s="1"/>
  <c r="CS282" i="2" s="1"/>
  <c r="BW252" i="2"/>
  <c r="BW280" i="2" s="1"/>
  <c r="BE289" i="2" s="1"/>
  <c r="CM280" i="2"/>
  <c r="CM281" i="2" s="1"/>
  <c r="CM282" i="2" s="1"/>
  <c r="CE252" i="2"/>
  <c r="CQ280" i="2"/>
  <c r="CQ281" i="2" s="1"/>
  <c r="CQ282" i="2" s="1"/>
  <c r="CF252" i="2"/>
  <c r="CF280" i="2" s="1"/>
  <c r="BY252" i="2"/>
  <c r="BY280" i="2" s="1"/>
  <c r="BG289" i="2" s="1"/>
  <c r="BG297" i="2" s="1"/>
  <c r="BG298" i="2" s="1"/>
  <c r="CA252" i="2"/>
  <c r="CA280" i="2" s="1"/>
  <c r="BI289" i="2" s="1"/>
  <c r="BJ289" i="2" s="1"/>
  <c r="BX252" i="2"/>
  <c r="BX280" i="2" s="1"/>
  <c r="BF289" i="2" s="1"/>
  <c r="BF297" i="2" s="1"/>
  <c r="BF298" i="2" s="1"/>
  <c r="CQ235" i="2"/>
  <c r="BZ252" i="2"/>
  <c r="BZ280" i="2" s="1"/>
  <c r="BH289" i="2" s="1"/>
  <c r="BU252" i="2"/>
  <c r="BU280" i="2" s="1"/>
  <c r="BC289" i="2" s="1"/>
  <c r="BC297" i="2" s="1"/>
  <c r="BC298" i="2" s="1"/>
  <c r="BS252" i="2"/>
  <c r="CR280" i="2"/>
  <c r="CR281" i="2" s="1"/>
  <c r="CR282" i="2" s="1"/>
  <c r="BZ235" i="2"/>
  <c r="CD235" i="2"/>
  <c r="BU235" i="2"/>
  <c r="BS235" i="2"/>
  <c r="CF235" i="2"/>
  <c r="BD308" i="2"/>
  <c r="CL280" i="2"/>
  <c r="CL281" i="2" s="1"/>
  <c r="CL282" i="2" s="1"/>
  <c r="CD252" i="2"/>
  <c r="BV252" i="2"/>
  <c r="BV280" i="2" s="1"/>
  <c r="BD289" i="2" s="1"/>
  <c r="BT252" i="2"/>
  <c r="CP280" i="2"/>
  <c r="CP281" i="2" s="1"/>
  <c r="CP282" i="2" s="1"/>
  <c r="CH252" i="2"/>
  <c r="BW235" i="2"/>
  <c r="CS235" i="2"/>
  <c r="CI233" i="2"/>
  <c r="CI234" i="2" s="1"/>
  <c r="CI252" i="2"/>
  <c r="CL235" i="2"/>
  <c r="CK282" i="2"/>
  <c r="CB233" i="2"/>
  <c r="CB234" i="2" s="1"/>
  <c r="CO233" i="2"/>
  <c r="CO234" i="2" s="1"/>
  <c r="CN233" i="2"/>
  <c r="CN234" i="2" s="1"/>
  <c r="CC252" i="2"/>
  <c r="CP235" i="2"/>
  <c r="CG252" i="2"/>
  <c r="CG235" i="2"/>
  <c r="CR235" i="2"/>
  <c r="CE235" i="2"/>
  <c r="BQ337" i="2" l="1"/>
  <c r="BR337" i="2" s="1"/>
  <c r="BS337" i="2" s="1"/>
  <c r="BL317" i="2"/>
  <c r="BI338" i="2"/>
  <c r="BI290" i="2"/>
  <c r="BJ290" i="2" s="1"/>
  <c r="CJ281" i="2"/>
  <c r="CE280" i="2"/>
  <c r="CE281" i="2" s="1"/>
  <c r="CE282" i="2" s="1"/>
  <c r="CD280" i="2"/>
  <c r="BD290" i="2" s="1"/>
  <c r="CC280" i="2"/>
  <c r="BB290" i="2" s="1"/>
  <c r="CI280" i="2"/>
  <c r="BH290" i="2" s="1"/>
  <c r="BF314" i="2" s="1"/>
  <c r="CH280" i="2"/>
  <c r="BG290" i="2" s="1"/>
  <c r="CG280" i="2"/>
  <c r="BF290" i="2" s="1"/>
  <c r="CF281" i="2"/>
  <c r="CF282" i="2" s="1"/>
  <c r="BE290" i="2"/>
  <c r="CH235" i="2"/>
  <c r="BE297" i="2"/>
  <c r="BE298" i="2" s="1"/>
  <c r="BW281" i="2"/>
  <c r="BW282" i="2" s="1"/>
  <c r="BY281" i="2"/>
  <c r="BY282" i="2" s="1"/>
  <c r="BX281" i="2"/>
  <c r="BX282" i="2" s="1"/>
  <c r="BU281" i="2"/>
  <c r="BU282" i="2" s="1"/>
  <c r="BI297" i="2"/>
  <c r="BI298" i="2" s="1"/>
  <c r="BZ281" i="2"/>
  <c r="BZ282" i="2" s="1"/>
  <c r="BY235" i="2"/>
  <c r="CA281" i="2"/>
  <c r="CA282" i="2" s="1"/>
  <c r="BH297" i="2"/>
  <c r="BH298" i="2" s="1"/>
  <c r="BT235" i="2"/>
  <c r="CA235" i="2"/>
  <c r="CJ235" i="2"/>
  <c r="BD297" i="2"/>
  <c r="BD298" i="2" s="1"/>
  <c r="CC235" i="2"/>
  <c r="CO235" i="2"/>
  <c r="CO281" i="2"/>
  <c r="CO282" i="2" s="1"/>
  <c r="CI235" i="2"/>
  <c r="CM235" i="2"/>
  <c r="CB235" i="2"/>
  <c r="CB281" i="2"/>
  <c r="CB282" i="2" s="1"/>
  <c r="BV235" i="2"/>
  <c r="BX235" i="2"/>
  <c r="CN235" i="2"/>
  <c r="CN281" i="2"/>
  <c r="CN282" i="2" s="1"/>
  <c r="BV281" i="2"/>
  <c r="BV282" i="2" s="1"/>
  <c r="BL334" i="2" l="1"/>
  <c r="BG314" i="2"/>
  <c r="BH314" i="2" s="1"/>
  <c r="BI314" i="2" s="1"/>
  <c r="CJ282" i="2"/>
  <c r="CH281" i="2"/>
  <c r="CH282" i="2" s="1"/>
  <c r="CG281" i="2"/>
  <c r="CG282" i="2" s="1"/>
  <c r="CI281" i="2"/>
  <c r="CI282" i="2" s="1"/>
  <c r="CC281" i="2"/>
  <c r="CC282" i="2" s="1"/>
  <c r="CD281" i="2"/>
  <c r="CD282" i="2" s="1"/>
  <c r="BD307" i="2" l="1"/>
  <c r="BS188" i="2" l="1"/>
  <c r="BN241" i="2"/>
  <c r="BN280" i="2" s="1"/>
  <c r="BE288" i="2" s="1"/>
  <c r="BQ241" i="2"/>
  <c r="BQ280" i="2" s="1"/>
  <c r="BH288" i="2" s="1"/>
  <c r="BP241" i="2"/>
  <c r="BP280" i="2" s="1"/>
  <c r="BG288" i="2" s="1"/>
  <c r="BL241" i="2"/>
  <c r="BL280" i="2" s="1"/>
  <c r="BC290" i="2" s="1"/>
  <c r="BS241" i="2"/>
  <c r="BS280" i="2" s="1"/>
  <c r="BA289" i="2" s="1"/>
  <c r="BC288" i="2" l="1"/>
  <c r="BC295" i="2" s="1"/>
  <c r="BC296" i="2" s="1"/>
  <c r="BP281" i="2"/>
  <c r="BP282" i="2" s="1"/>
  <c r="BN188" i="2"/>
  <c r="BL281" i="2"/>
  <c r="BL282" i="2" s="1"/>
  <c r="BQ281" i="2"/>
  <c r="BQ282" i="2" s="1"/>
  <c r="BM241" i="2"/>
  <c r="BM280" i="2" s="1"/>
  <c r="BD288" i="2" s="1"/>
  <c r="BR241" i="2"/>
  <c r="BR280" i="2" s="1"/>
  <c r="BI288" i="2" s="1"/>
  <c r="BT188" i="2"/>
  <c r="BT241" i="2"/>
  <c r="BT280" i="2" s="1"/>
  <c r="BB289" i="2" s="1"/>
  <c r="BQ188" i="2"/>
  <c r="BH295" i="2"/>
  <c r="BH296" i="2" s="1"/>
  <c r="BH292" i="2"/>
  <c r="BA292" i="2"/>
  <c r="BA297" i="2"/>
  <c r="BA298" i="2" s="1"/>
  <c r="BO241" i="2"/>
  <c r="BO280" i="2" s="1"/>
  <c r="BF288" i="2" s="1"/>
  <c r="BL188" i="2"/>
  <c r="BP188" i="2"/>
  <c r="BG292" i="2"/>
  <c r="BG295" i="2"/>
  <c r="BG296" i="2" s="1"/>
  <c r="BN281" i="2"/>
  <c r="BN282" i="2" s="1"/>
  <c r="BS281" i="2"/>
  <c r="BS282" i="2" s="1"/>
  <c r="BE292" i="2"/>
  <c r="BE295" i="2"/>
  <c r="BE296" i="2" s="1"/>
  <c r="BC292" i="2" l="1"/>
  <c r="BM281" i="2"/>
  <c r="BM282" i="2" s="1"/>
  <c r="BO281" i="2"/>
  <c r="BO282" i="2" s="1"/>
  <c r="BO188" i="2"/>
  <c r="BF295" i="2"/>
  <c r="BF296" i="2" s="1"/>
  <c r="BF292" i="2"/>
  <c r="BR281" i="2"/>
  <c r="BR282" i="2" s="1"/>
  <c r="BR188" i="2"/>
  <c r="BM188" i="2"/>
  <c r="BB297" i="2"/>
  <c r="BB298" i="2" s="1"/>
  <c r="BB292" i="2"/>
  <c r="BT281" i="2"/>
  <c r="BT282" i="2" s="1"/>
  <c r="BD295" i="2"/>
  <c r="BD296" i="2" s="1"/>
  <c r="BD292" i="2"/>
  <c r="BD306" i="2" l="1"/>
  <c r="BI292" i="2"/>
  <c r="BI295" i="2"/>
  <c r="BI296" i="2" s="1"/>
  <c r="K7" i="13" l="1"/>
  <c r="T13" i="31" l="1"/>
  <c r="T166" i="31" s="1"/>
  <c r="FB153" i="2" s="1"/>
  <c r="Y13" i="31"/>
  <c r="Y166" i="31" s="1"/>
  <c r="FJ153" i="2" s="1"/>
  <c r="O13" i="31"/>
  <c r="O166" i="31" s="1"/>
  <c r="EL154" i="2" s="1"/>
  <c r="Y23" i="31" l="1"/>
  <c r="Y168" i="31" s="1"/>
  <c r="Y170" i="31" s="1"/>
  <c r="O23" i="31"/>
  <c r="O168" i="31" s="1"/>
  <c r="O170" i="31" s="1"/>
  <c r="T23" i="31"/>
  <c r="T168" i="31" s="1"/>
  <c r="T170" i="31" s="1"/>
  <c r="J13" i="31"/>
  <c r="J166" i="31" s="1"/>
  <c r="J23" i="31" l="1"/>
  <c r="J168" i="31" s="1"/>
  <c r="J170" i="31" s="1"/>
  <c r="Q13" i="31"/>
  <c r="Q166" i="31" s="1"/>
  <c r="AC13" i="31" l="1"/>
  <c r="Q23" i="31"/>
  <c r="Q168" i="31" s="1"/>
  <c r="Q170" i="31" s="1"/>
  <c r="AA13" i="31"/>
  <c r="AA166" i="31" s="1"/>
  <c r="AC23" i="31" l="1"/>
  <c r="AC166" i="31"/>
  <c r="AE13" i="31"/>
  <c r="AE166" i="31"/>
  <c r="AB13" i="31"/>
  <c r="AA23" i="31"/>
  <c r="AA168" i="31" s="1"/>
  <c r="AA170" i="31" s="1"/>
  <c r="AC168" i="31" l="1"/>
  <c r="AC170" i="31" s="1"/>
  <c r="AB166" i="31"/>
  <c r="AD13" i="31"/>
  <c r="AE168" i="31"/>
  <c r="AE23" i="31"/>
  <c r="AB23" i="31"/>
  <c r="AB168" i="31" l="1"/>
  <c r="AB170" i="31" s="1"/>
  <c r="AD166" i="31"/>
  <c r="AD23" i="31"/>
  <c r="AD168"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Alejandra Pérez</author>
    <author>Gladys Lizeth Acabal</author>
    <author>Alejandra Perez</author>
    <author>Alejandra Pérez</author>
  </authors>
  <commentList>
    <comment ref="EV9" authorId="0" shapeId="0" xr:uid="{779F78B2-064A-4464-A3F4-9FDAED859A28}">
      <text>
        <r>
          <rPr>
            <b/>
            <sz val="9"/>
            <color indexed="81"/>
            <rFont val="Tahoma"/>
            <family val="2"/>
          </rPr>
          <t>Mayra Alejandra Pérez:</t>
        </r>
        <r>
          <rPr>
            <sz val="9"/>
            <color indexed="81"/>
            <rFont val="Tahoma"/>
            <family val="2"/>
          </rPr>
          <t xml:space="preserve">
parqueo mensual</t>
        </r>
      </text>
    </comment>
    <comment ref="EV17" authorId="0" shapeId="0" xr:uid="{00000000-0006-0000-0000-000001000000}">
      <text>
        <r>
          <rPr>
            <b/>
            <sz val="9"/>
            <color indexed="81"/>
            <rFont val="Tahoma"/>
            <family val="2"/>
          </rPr>
          <t>Mayra Alejandra Pérez:</t>
        </r>
        <r>
          <rPr>
            <sz val="9"/>
            <color indexed="81"/>
            <rFont val="Tahoma"/>
            <family val="2"/>
          </rPr>
          <t xml:space="preserve">
240 de parqueo mensuales</t>
        </r>
      </text>
    </comment>
    <comment ref="EV23" authorId="1" shapeId="0" xr:uid="{00000000-0006-0000-0000-000002000000}">
      <text>
        <r>
          <rPr>
            <b/>
            <sz val="9"/>
            <color indexed="81"/>
            <rFont val="Tahoma"/>
            <family val="2"/>
          </rPr>
          <t>Gladys Lizeth Acabal:</t>
        </r>
        <r>
          <rPr>
            <sz val="9"/>
            <color indexed="81"/>
            <rFont val="Tahoma"/>
            <family val="2"/>
          </rPr>
          <t xml:space="preserve">
Uso de parqueo mensual Q 240 +0.28 ISR 2024 QUDDDA EN FB</t>
        </r>
      </text>
    </comment>
    <comment ref="BB29" authorId="0" shapeId="0" xr:uid="{00000000-0006-0000-0000-000004000000}">
      <text>
        <r>
          <rPr>
            <b/>
            <sz val="9"/>
            <color indexed="81"/>
            <rFont val="Tahoma"/>
            <family val="2"/>
          </rPr>
          <t>Mayra Alejandra Pérez:</t>
        </r>
        <r>
          <rPr>
            <sz val="9"/>
            <color indexed="81"/>
            <rFont val="Tahoma"/>
            <family val="2"/>
          </rPr>
          <t xml:space="preserve">
reintegro x descuento de mas</t>
        </r>
      </text>
    </comment>
    <comment ref="EQ29" authorId="2" shapeId="0" xr:uid="{00000000-0006-0000-0000-000005000000}">
      <text>
        <r>
          <rPr>
            <b/>
            <sz val="9"/>
            <color indexed="81"/>
            <rFont val="Tahoma"/>
            <family val="2"/>
          </rPr>
          <t>nuevo prestamo de BANTRAB inicia 15/9/ finaliza el agosto 2025  nuevo credito bantrab inicia abril 2025 finaliza abril 2029</t>
        </r>
      </text>
    </comment>
    <comment ref="EV35" authorId="1" shapeId="0" xr:uid="{00000000-0006-0000-0000-000009000000}">
      <text>
        <r>
          <rPr>
            <b/>
            <sz val="9"/>
            <color indexed="81"/>
            <rFont val="Tahoma"/>
            <family val="2"/>
          </rPr>
          <t>Gladys Lizeth Acabal:</t>
        </r>
        <r>
          <rPr>
            <sz val="9"/>
            <color indexed="81"/>
            <rFont val="Tahoma"/>
            <family val="2"/>
          </rPr>
          <t xml:space="preserve">
Q.240 Mensual por  
Uso de parqueo</t>
        </r>
      </text>
    </comment>
    <comment ref="L41" authorId="1" shapeId="0" xr:uid="{00000000-0006-0000-0000-00000A000000}">
      <text>
        <r>
          <rPr>
            <b/>
            <sz val="9"/>
            <color indexed="81"/>
            <rFont val="Tahoma"/>
            <family val="2"/>
          </rPr>
          <t>Gladys Lizeth Acabal:</t>
        </r>
        <r>
          <rPr>
            <sz val="9"/>
            <color indexed="81"/>
            <rFont val="Tahoma"/>
            <family val="2"/>
          </rPr>
          <t xml:space="preserve">
bono gerencial sobre alcance de objetivos 2 salarios anuales</t>
        </r>
      </text>
    </comment>
    <comment ref="EQ41" authorId="3" shapeId="0" xr:uid="{59FD40F3-BAB4-401E-9DEC-0CA26D89802C}">
      <text>
        <r>
          <rPr>
            <b/>
            <sz val="9"/>
            <color indexed="81"/>
            <rFont val="Tahoma"/>
            <family val="2"/>
          </rPr>
          <t>Alejandra Pérez:</t>
        </r>
        <r>
          <rPr>
            <sz val="9"/>
            <color indexed="81"/>
            <rFont val="Tahoma"/>
            <family val="2"/>
          </rPr>
          <t xml:space="preserve">
nuevo credito inicia abril 26 finaliza marzo 2032</t>
        </r>
      </text>
    </comment>
    <comment ref="EP43" authorId="1" shapeId="0" xr:uid="{00000000-0006-0000-0000-00000B000000}">
      <text>
        <r>
          <rPr>
            <b/>
            <sz val="9"/>
            <color indexed="81"/>
            <rFont val="Tahoma"/>
            <family val="2"/>
          </rPr>
          <t>Gladys Lizeth Acabal:</t>
        </r>
        <r>
          <rPr>
            <sz val="9"/>
            <color indexed="81"/>
            <rFont val="Tahoma"/>
            <family val="2"/>
          </rPr>
          <t xml:space="preserve">
julio colocar 1040.95</t>
        </r>
      </text>
    </comment>
    <comment ref="EV43" authorId="3" shapeId="0" xr:uid="{7E8ADCBE-B99C-4FD0-8FEC-837866891011}">
      <text>
        <r>
          <rPr>
            <b/>
            <sz val="9"/>
            <color indexed="81"/>
            <rFont val="Tahoma"/>
            <family val="2"/>
          </rPr>
          <t>Alejandra Pérez:</t>
        </r>
        <r>
          <rPr>
            <sz val="9"/>
            <color indexed="81"/>
            <rFont val="Tahoma"/>
            <family val="2"/>
          </rPr>
          <t xml:space="preserve">
DESCUENTO DE 1068 SOLO A FIN DE MES INICIA ABRIL 26 FINALIZA JULIO 2032EN JULIO Y DIC DE CADA AÑO SE APLICAN 4220 COMO CUOTA Y UNA ULTIMA CUOTA EN JULIO DE 2032 DE 1371.65</t>
        </r>
      </text>
    </comment>
    <comment ref="L50" authorId="0" shapeId="0" xr:uid="{BE6CAD13-13A8-44AC-8291-FF977BB11B72}">
      <text>
        <r>
          <rPr>
            <b/>
            <sz val="9"/>
            <color indexed="81"/>
            <rFont val="Tahoma"/>
            <family val="2"/>
          </rPr>
          <t>Mayra Alejandra Pérez:</t>
        </r>
        <r>
          <rPr>
            <sz val="9"/>
            <color indexed="81"/>
            <rFont val="Tahoma"/>
            <family val="2"/>
          </rPr>
          <t xml:space="preserve">
incremento de 400 despues de 2 meses de prueba  preautorizado</t>
        </r>
      </text>
    </comment>
    <comment ref="EV50" authorId="3" shapeId="0" xr:uid="{480032BB-98C6-4FD5-B3C2-AA3EAF55BD3B}">
      <text>
        <r>
          <rPr>
            <b/>
            <sz val="9"/>
            <color indexed="81"/>
            <rFont val="Tahoma"/>
            <family val="2"/>
          </rPr>
          <t>Alejandra Pérez:</t>
        </r>
        <r>
          <rPr>
            <sz val="9"/>
            <color indexed="81"/>
            <rFont val="Tahoma"/>
            <family val="2"/>
          </rPr>
          <t xml:space="preserve">
parqueo </t>
        </r>
      </text>
    </comment>
    <comment ref="K68" authorId="1" shapeId="0" xr:uid="{00000000-0006-0000-0000-00000D000000}">
      <text>
        <r>
          <rPr>
            <b/>
            <sz val="9"/>
            <color indexed="81"/>
            <rFont val="Tahoma"/>
            <family val="2"/>
          </rPr>
          <t>Gladys Lizeth Acabal:</t>
        </r>
        <r>
          <rPr>
            <sz val="9"/>
            <color indexed="81"/>
            <rFont val="Tahoma"/>
            <family val="2"/>
          </rPr>
          <t xml:space="preserve">
bono por estudios de 2000 contra constancias</t>
        </r>
      </text>
    </comment>
    <comment ref="BB68" authorId="1" shapeId="0" xr:uid="{00000000-0006-0000-0000-00000E000000}">
      <text>
        <r>
          <rPr>
            <b/>
            <sz val="9"/>
            <color indexed="81"/>
            <rFont val="Tahoma"/>
            <family val="2"/>
          </rPr>
          <t>Gladys Lizeth Acabal:</t>
        </r>
        <r>
          <rPr>
            <sz val="9"/>
            <color indexed="81"/>
            <rFont val="Tahoma"/>
            <family val="2"/>
          </rPr>
          <t xml:space="preserve">
adelanto por bono por indicadores de 1000 mensuales se liquida cada trimestre para ajustar al bono mensual de 2000 + 2000 por bono x estudio se confirma cada trimestre
1020.01 cierre del primer trimestre de idnciadores</t>
        </r>
      </text>
    </comment>
    <comment ref="BT68" authorId="1" shapeId="0" xr:uid="{00000000-0006-0000-0000-00000F000000}">
      <text>
        <r>
          <rPr>
            <b/>
            <sz val="9"/>
            <color indexed="81"/>
            <rFont val="Tahoma"/>
            <family val="2"/>
          </rPr>
          <t>Gladys Lizeth Acabal:</t>
        </r>
        <r>
          <rPr>
            <sz val="9"/>
            <color indexed="81"/>
            <rFont val="Tahoma"/>
            <family val="2"/>
          </rPr>
          <t xml:space="preserve">
cirre del primer trimestre deindicadores 765.009</t>
        </r>
      </text>
    </comment>
    <comment ref="EQ68" authorId="1" shapeId="0" xr:uid="{00000000-0006-0000-0000-000010000000}">
      <text>
        <r>
          <rPr>
            <b/>
            <sz val="9"/>
            <color indexed="81"/>
            <rFont val="Tahoma"/>
            <family val="2"/>
          </rPr>
          <t>Gladys Lizeth Acabal:</t>
        </r>
        <r>
          <rPr>
            <sz val="9"/>
            <color indexed="81"/>
            <rFont val="Tahoma"/>
            <family val="2"/>
          </rPr>
          <t xml:space="preserve">
Bantrab
</t>
        </r>
        <r>
          <rPr>
            <b/>
            <sz val="9"/>
            <color indexed="81"/>
            <rFont val="Tahoma"/>
            <family val="2"/>
          </rPr>
          <t xml:space="preserve">Inicio 15.12.2020  24 </t>
        </r>
        <r>
          <rPr>
            <sz val="9"/>
            <color indexed="81"/>
            <rFont val="Tahoma"/>
            <family val="2"/>
          </rPr>
          <t xml:space="preserve">cuotas de Q.1074.94 
Finaliza 15.11.2022
</t>
        </r>
        <r>
          <rPr>
            <b/>
            <sz val="9"/>
            <color indexed="81"/>
            <rFont val="Tahoma"/>
            <family val="2"/>
          </rPr>
          <t xml:space="preserve">Inicia  15.12.2022 12 </t>
        </r>
        <r>
          <rPr>
            <sz val="9"/>
            <color indexed="81"/>
            <rFont val="Tahoma"/>
            <family val="2"/>
          </rPr>
          <t>cuotas de Q. 1054.71 
Finaliza 15.11.2023
nuevo credito 
INICIA JUNIO 2023 CUOTA DE 1498.57
FINALIZA MAYO 2025
DE JUNIO 2025 A MAYO 26 CUOTA DE 1456.9</t>
        </r>
      </text>
    </comment>
    <comment ref="K69" authorId="1" shapeId="0" xr:uid="{00000000-0006-0000-0000-000011000000}">
      <text>
        <r>
          <rPr>
            <b/>
            <sz val="9"/>
            <color indexed="81"/>
            <rFont val="Tahoma"/>
            <family val="2"/>
          </rPr>
          <t>Gladys Lizeth Acabal:</t>
        </r>
        <r>
          <rPr>
            <sz val="9"/>
            <color indexed="81"/>
            <rFont val="Tahoma"/>
            <family val="2"/>
          </rPr>
          <t xml:space="preserve">
bono por estudios de 1000 contra constancia</t>
        </r>
      </text>
    </comment>
    <comment ref="BB69" authorId="1" shapeId="0" xr:uid="{00000000-0006-0000-0000-000012000000}">
      <text>
        <r>
          <rPr>
            <b/>
            <sz val="9"/>
            <color indexed="81"/>
            <rFont val="Tahoma"/>
            <family val="2"/>
          </rPr>
          <t>Gladys Lizeth Acabal:</t>
        </r>
        <r>
          <rPr>
            <sz val="9"/>
            <color indexed="81"/>
            <rFont val="Tahoma"/>
            <family val="2"/>
          </rPr>
          <t xml:space="preserve">
adelanto de bono x indicador  de 500 se liquidaca cadatrimestre para llegar al monto mensuasl de 1000 +1000 de bono x estudio  se confirma cada trimestre
510.008 cierre de indicadores primer trimestre</t>
        </r>
      </text>
    </comment>
    <comment ref="BK69" authorId="1" shapeId="0" xr:uid="{00000000-0006-0000-0000-000013000000}">
      <text>
        <r>
          <rPr>
            <b/>
            <sz val="9"/>
            <color indexed="81"/>
            <rFont val="Tahoma"/>
            <family val="2"/>
          </rPr>
          <t>Gladys Lizeth Acabal:</t>
        </r>
        <r>
          <rPr>
            <sz val="9"/>
            <color indexed="81"/>
            <rFont val="Tahoma"/>
            <family val="2"/>
          </rPr>
          <t xml:space="preserve">
382.51 cieerre del primer trimestre de indicadores
765.009 cierre del primer trimestre de comisiones</t>
        </r>
      </text>
    </comment>
    <comment ref="BT69" authorId="1" shapeId="0" xr:uid="{00000000-0006-0000-0000-000014000000}">
      <text>
        <r>
          <rPr>
            <b/>
            <sz val="9"/>
            <color indexed="81"/>
            <rFont val="Tahoma"/>
            <family val="2"/>
          </rPr>
          <t>Gladys Lizeth Acabal:</t>
        </r>
        <r>
          <rPr>
            <sz val="9"/>
            <color indexed="81"/>
            <rFont val="Tahoma"/>
            <family val="2"/>
          </rPr>
          <t xml:space="preserve">
cierre del primer trimestre de indicadores 382.51</t>
        </r>
      </text>
    </comment>
    <comment ref="EW69" authorId="3" shapeId="0" xr:uid="{8375FF0A-A1A9-449B-8743-9CACA0043C50}">
      <text>
        <r>
          <rPr>
            <b/>
            <sz val="9"/>
            <color indexed="81"/>
            <rFont val="Tahoma"/>
            <family val="2"/>
          </rPr>
          <t>Alejandra Pérez:</t>
        </r>
        <r>
          <rPr>
            <sz val="9"/>
            <color indexed="81"/>
            <rFont val="Tahoma"/>
            <family val="2"/>
          </rPr>
          <t xml:space="preserve">
queda en feb</t>
        </r>
      </text>
    </comment>
    <comment ref="EP72" authorId="3" shapeId="0" xr:uid="{0446F88F-52F8-4A83-A169-7FF7479CDC35}">
      <text>
        <r>
          <rPr>
            <b/>
            <sz val="9"/>
            <color indexed="81"/>
            <rFont val="Tahoma"/>
            <family val="2"/>
          </rPr>
          <t>nuevo credito bantrab inicia octubre 2024 finaliza sep 2027</t>
        </r>
      </text>
    </comment>
    <comment ref="EQ72" authorId="3" shapeId="0" xr:uid="{00000000-0006-0000-0000-000017000000}">
      <text>
        <r>
          <rPr>
            <b/>
            <sz val="9"/>
            <color indexed="81"/>
            <rFont val="Tahoma"/>
            <family val="2"/>
          </rPr>
          <t>nuevo credito bantrab inicia octubre 2024 finaliza sep 2027</t>
        </r>
      </text>
    </comment>
    <comment ref="EP75" authorId="3" shapeId="0" xr:uid="{7AA432CD-8BF8-4335-8B81-BF09A3B7F2EE}">
      <text>
        <r>
          <rPr>
            <b/>
            <sz val="9"/>
            <color indexed="81"/>
            <rFont val="Tahoma"/>
            <family val="2"/>
          </rPr>
          <t>nuevo credito bantrab inicia octubre 2024 finaliza sep 2027</t>
        </r>
      </text>
    </comment>
    <comment ref="BK82" authorId="1" shapeId="0" xr:uid="{A0D6ADB3-67CA-4962-9630-D5DFBCBA9095}">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K83" authorId="1" shapeId="0" xr:uid="{00000000-0006-0000-0000-00001D000000}">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ER87" authorId="3" shapeId="0" xr:uid="{04117AF3-0008-41C2-9B83-6EFDB4F9E9D7}">
      <text>
        <r>
          <rPr>
            <b/>
            <sz val="9"/>
            <color indexed="81"/>
            <rFont val="Tahoma"/>
            <family val="2"/>
          </rPr>
          <t>Alejandra Pérez:</t>
        </r>
        <r>
          <rPr>
            <sz val="9"/>
            <color indexed="81"/>
            <rFont val="Tahoma"/>
            <family val="2"/>
          </rPr>
          <t xml:space="preserve">
compra de aparato telefonico inicia 28/5 finaliza 15/7 total d 1300 quincenales de 325</t>
        </r>
      </text>
    </comment>
    <comment ref="EX106" authorId="3" shapeId="0" xr:uid="{D654BDC9-0D75-4404-BDFF-F8F38B1F42C1}">
      <text>
        <r>
          <rPr>
            <b/>
            <sz val="9"/>
            <color indexed="81"/>
            <rFont val="Tahoma"/>
            <family val="2"/>
          </rPr>
          <t>Alejandra Pérez:</t>
        </r>
        <r>
          <rPr>
            <sz val="9"/>
            <color indexed="81"/>
            <rFont val="Tahoma"/>
            <family val="2"/>
          </rPr>
          <t xml:space="preserve">
QUEDA EN MAYO</t>
        </r>
      </text>
    </comment>
    <comment ref="EV109" authorId="3" shapeId="0" xr:uid="{705D504A-D188-430E-82BA-8C58E0961A3A}">
      <text>
        <r>
          <rPr>
            <b/>
            <sz val="9"/>
            <color indexed="81"/>
            <rFont val="Tahoma"/>
            <family val="2"/>
          </rPr>
          <t>Alejandra Pérez:</t>
        </r>
        <r>
          <rPr>
            <sz val="9"/>
            <color indexed="81"/>
            <rFont val="Tahoma"/>
            <family val="2"/>
          </rPr>
          <t xml:space="preserve">
parqueo mensual</t>
        </r>
      </text>
    </comment>
    <comment ref="EW124" authorId="3" shapeId="0" xr:uid="{B72919FF-81A6-4A3B-8059-E3B96563119B}">
      <text>
        <r>
          <rPr>
            <b/>
            <sz val="9"/>
            <color indexed="81"/>
            <rFont val="Tahoma"/>
            <family val="2"/>
          </rPr>
          <t>Alejandra Pérez:</t>
        </r>
        <r>
          <rPr>
            <sz val="9"/>
            <color indexed="81"/>
            <rFont val="Tahoma"/>
            <family val="2"/>
          </rPr>
          <t xml:space="preserve">
QUEDA EN MAYO</t>
        </r>
      </text>
    </comment>
    <comment ref="EX124" authorId="3" shapeId="0" xr:uid="{F65603DA-27DF-4B92-B82E-881B92BA402C}">
      <text>
        <r>
          <rPr>
            <b/>
            <sz val="9"/>
            <color indexed="81"/>
            <rFont val="Tahoma"/>
            <family val="2"/>
          </rPr>
          <t>Alejandra Pérez:</t>
        </r>
        <r>
          <rPr>
            <sz val="9"/>
            <color indexed="81"/>
            <rFont val="Tahoma"/>
            <family val="2"/>
          </rPr>
          <t xml:space="preserve">
QUEDA EN MAYO LA PRIMERA QUINCENA TOTAL ES DE 72.75 A FINALES QUITAR EL X2</t>
        </r>
      </text>
    </comment>
    <comment ref="BB129" authorId="1" shapeId="0" xr:uid="{00000000-0006-0000-0000-000020000000}">
      <text>
        <r>
          <rPr>
            <b/>
            <sz val="9"/>
            <color indexed="81"/>
            <rFont val="Tahoma"/>
            <family val="2"/>
          </rPr>
          <t>Gladys Lizeth Acabal:</t>
        </r>
        <r>
          <rPr>
            <sz val="9"/>
            <color indexed="81"/>
            <rFont val="Tahoma"/>
            <family val="2"/>
          </rPr>
          <t xml:space="preserve">
adelanto por bono x indicadores mensual de 1000 se liquida cada trimestre para ajuste mensual d 2000
1101.52 cierre del primer trimestre de comisiones</t>
        </r>
      </text>
    </comment>
    <comment ref="BK129" authorId="1" shapeId="0" xr:uid="{00000000-0006-0000-0000-000021000000}">
      <text>
        <r>
          <rPr>
            <b/>
            <sz val="9"/>
            <color indexed="81"/>
            <rFont val="Tahoma"/>
            <family val="2"/>
          </rPr>
          <t>Gladys Lizeth Acabal:</t>
        </r>
        <r>
          <rPr>
            <sz val="9"/>
            <color indexed="81"/>
            <rFont val="Tahoma"/>
            <family val="2"/>
          </rPr>
          <t xml:space="preserve">
1101.52  cierre del primer trimestre de indicadores</t>
        </r>
      </text>
    </comment>
    <comment ref="EV129" authorId="1" shapeId="0" xr:uid="{00000000-0006-0000-0000-000022000000}">
      <text>
        <r>
          <rPr>
            <b/>
            <sz val="9"/>
            <color indexed="81"/>
            <rFont val="Tahoma"/>
            <family val="2"/>
          </rPr>
          <t>Gladys Lizeth Acabal:</t>
        </r>
        <r>
          <rPr>
            <sz val="9"/>
            <color indexed="81"/>
            <rFont val="Tahoma"/>
            <family val="2"/>
          </rPr>
          <t xml:space="preserve">
Uso de parqueo Q 240</t>
        </r>
      </text>
    </comment>
    <comment ref="BB138" authorId="1" shapeId="0" xr:uid="{21CDC4D8-B5E5-4AEB-A6E1-0A022962126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38" authorId="1" shapeId="0" xr:uid="{4C0C4EB7-F438-4501-B0B5-EE331DBD23A2}">
      <text>
        <r>
          <rPr>
            <b/>
            <sz val="9"/>
            <color indexed="81"/>
            <rFont val="Tahoma"/>
            <family val="2"/>
          </rPr>
          <t>Gladys Lizeth Acabal:</t>
        </r>
        <r>
          <rPr>
            <sz val="9"/>
            <color indexed="81"/>
            <rFont val="Tahoma"/>
            <family val="2"/>
          </rPr>
          <t xml:space="preserve">
2243.66 cierre del primer trimestre de indicadores</t>
        </r>
      </text>
    </comment>
    <comment ref="BB143" authorId="1" shapeId="0" xr:uid="{AF67B974-8EE8-406D-88CF-28C3797C043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43" authorId="1" shapeId="0" xr:uid="{A13A6AD6-893F-476A-943B-DCB2B1BF2F2A}">
      <text>
        <r>
          <rPr>
            <b/>
            <sz val="9"/>
            <color indexed="81"/>
            <rFont val="Tahoma"/>
            <family val="2"/>
          </rPr>
          <t>Gladys Lizeth Acabal:</t>
        </r>
        <r>
          <rPr>
            <sz val="9"/>
            <color indexed="81"/>
            <rFont val="Tahoma"/>
            <family val="2"/>
          </rPr>
          <t xml:space="preserve">
2243.66 cierre del primer trimestre de indicadores</t>
        </r>
      </text>
    </comment>
    <comment ref="BB144" authorId="1" shapeId="0" xr:uid="{39105771-1C34-4047-A74A-7AE678D3D71E}">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44" authorId="1" shapeId="0" xr:uid="{80BB23DF-D721-45B0-9DF7-A6CE474F59B9}">
      <text>
        <r>
          <rPr>
            <b/>
            <sz val="9"/>
            <color indexed="81"/>
            <rFont val="Tahoma"/>
            <family val="2"/>
          </rPr>
          <t>Gladys Lizeth Acabal:</t>
        </r>
        <r>
          <rPr>
            <sz val="9"/>
            <color indexed="81"/>
            <rFont val="Tahoma"/>
            <family val="2"/>
          </rPr>
          <t xml:space="preserve">
2243.66 cierre del primer trimestre de indicadores</t>
        </r>
      </text>
    </comment>
    <comment ref="BQ314" authorId="1" shapeId="0" xr:uid="{00000000-0006-0000-0000-000026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F315" authorId="1" shapeId="0" xr:uid="{E45347E6-2F41-4744-816F-FF0A552ACA3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G315" authorId="1" shapeId="0" xr:uid="{00000000-0006-0000-0000-000027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L317" authorId="1" shapeId="0" xr:uid="{00000000-0006-0000-0000-000028000000}">
      <text>
        <r>
          <rPr>
            <b/>
            <sz val="9"/>
            <color indexed="81"/>
            <rFont val="Tahoma"/>
            <family val="2"/>
          </rPr>
          <t>Gladys Lizeth Acabal:</t>
        </r>
        <r>
          <rPr>
            <sz val="9"/>
            <color indexed="81"/>
            <rFont val="Tahoma"/>
            <family val="2"/>
          </rPr>
          <t xml:space="preserve">
este monto debe cuadrar con el monto de ECONACIONAL en el cuadro de arriba</t>
        </r>
      </text>
    </comment>
    <comment ref="BL320" authorId="1" shapeId="0" xr:uid="{00000000-0006-0000-0000-000029000000}">
      <text>
        <r>
          <rPr>
            <b/>
            <sz val="9"/>
            <color indexed="81"/>
            <rFont val="Tahoma"/>
            <family val="2"/>
          </rPr>
          <t>Gladys Lizeth Acabal:</t>
        </r>
        <r>
          <rPr>
            <sz val="9"/>
            <color indexed="81"/>
            <rFont val="Tahoma"/>
            <family val="2"/>
          </rPr>
          <t xml:space="preserve">
MONTO QUE TIENE PROQUIMA ARRIBA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Alejandra Perez</author>
    <author>Gladys Lizeth Acabal</author>
    <author>Mayra Pérez</author>
    <author/>
  </authors>
  <commentList>
    <comment ref="F20" authorId="0" shapeId="0" xr:uid="{00000000-0006-0000-0100-000001000000}">
      <text>
        <r>
          <rPr>
            <b/>
            <sz val="9"/>
            <color indexed="81"/>
            <rFont val="Tahoma"/>
            <family val="2"/>
          </rPr>
          <t>Alejandra Perez:</t>
        </r>
        <r>
          <rPr>
            <sz val="9"/>
            <color indexed="81"/>
            <rFont val="Tahoma"/>
            <family val="2"/>
          </rPr>
          <t xml:space="preserve">
120 por depreciacion de vehiculo</t>
        </r>
      </text>
    </comment>
    <comment ref="F38" authorId="1" shapeId="0" xr:uid="{00000000-0006-0000-0100-000002000000}">
      <text>
        <r>
          <rPr>
            <b/>
            <sz val="9"/>
            <color indexed="81"/>
            <rFont val="Tahoma"/>
            <family val="2"/>
          </rPr>
          <t>ALEJANDRA
AJUSTE A BONIFICACION DE 500 DESPUES DE 3 MESES INICIO EN NOVIEMBRE</t>
        </r>
      </text>
    </comment>
    <comment ref="F64" authorId="1" shapeId="0" xr:uid="{00000000-0006-0000-0100-000003000000}">
      <text>
        <r>
          <rPr>
            <b/>
            <sz val="9"/>
            <color indexed="81"/>
            <rFont val="Tahoma"/>
            <family val="2"/>
          </rPr>
          <t>Gladys Lizeth Acabal:</t>
        </r>
        <r>
          <rPr>
            <sz val="9"/>
            <color indexed="81"/>
            <rFont val="Tahoma"/>
            <family val="2"/>
          </rPr>
          <t xml:space="preserve">
incremento de salario en noviembre
en ENERO 2022 NUEVO INCREMENTO EN ORDINARIO DE 200</t>
        </r>
      </text>
    </comment>
    <comment ref="F152" authorId="2" shapeId="0" xr:uid="{00000000-0006-0000-0100-000004000000}">
      <text>
        <r>
          <rPr>
            <b/>
            <sz val="8"/>
            <color indexed="81"/>
            <rFont val="Tahoma"/>
            <family val="2"/>
          </rPr>
          <t>Mayra Pérez:</t>
        </r>
        <r>
          <rPr>
            <sz val="8"/>
            <color indexed="81"/>
            <rFont val="Tahoma"/>
            <family val="2"/>
          </rPr>
          <t xml:space="preserve">
bonificacion deQ3000.00 es por 6 meses en julio se confirma el cambio. 
Julio se modifico bonif a 1500</t>
        </r>
      </text>
    </comment>
    <comment ref="F159" authorId="3" shapeId="0" xr:uid="{00000000-0006-0000-0100-000005000000}">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F160" authorId="3" shapeId="0" xr:uid="{00000000-0006-0000-0100-000006000000}">
      <text>
        <r>
          <rPr>
            <b/>
            <sz val="9"/>
            <color indexed="8"/>
            <rFont val="Tahoma"/>
            <family val="2"/>
          </rPr>
          <t>MX:
Pago de bono variable Q 7,000 bono decreto Q 250.00 mensual.  El bono variable se anticipa 75% cada mes al final del trimestre se evalua el resultado para determinar cuánto se le debe
NUEVAS CONDICIONES JULIO 2019
BONIF VARIABLE DE 2000SEGUN TABLA  FUERA DE NOMINA CON FACTURA  500 POR GAS Y 500 ADICIONALES POR CUMPLIMIENTO DE METAS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Alejandra Perez</author>
    <author>Iris Hernandez de Lemus</author>
  </authors>
  <commentList>
    <comment ref="F21" authorId="0" shapeId="0" xr:uid="{00000000-0006-0000-0200-000001000000}">
      <text>
        <r>
          <rPr>
            <b/>
            <sz val="9"/>
            <color indexed="81"/>
            <rFont val="Tahoma"/>
            <family val="2"/>
          </rPr>
          <t>Alejandra Perez:</t>
        </r>
        <r>
          <rPr>
            <sz val="9"/>
            <color indexed="81"/>
            <rFont val="Tahoma"/>
            <family val="2"/>
          </rPr>
          <t xml:space="preserve">
120 por depreciacion de vehiculo</t>
        </r>
      </text>
    </comment>
    <comment ref="Q21" authorId="0" shapeId="0" xr:uid="{00000000-0006-0000-0200-000002000000}">
      <text>
        <r>
          <rPr>
            <b/>
            <sz val="9"/>
            <color indexed="81"/>
            <rFont val="Tahoma"/>
            <family val="2"/>
          </rPr>
          <t>Alejandra Perez:</t>
        </r>
        <r>
          <rPr>
            <sz val="9"/>
            <color indexed="81"/>
            <rFont val="Tahoma"/>
            <family val="2"/>
          </rPr>
          <t xml:space="preserve">
120 por depreciacion de vehiculo</t>
        </r>
      </text>
    </comment>
    <comment ref="E121" authorId="1" shapeId="0" xr:uid="{00000000-0006-0000-0200-000003000000}">
      <text>
        <r>
          <rPr>
            <b/>
            <sz val="9"/>
            <color indexed="81"/>
            <rFont val="Tahoma"/>
            <family val="2"/>
          </rPr>
          <t>Iris Hernandez de Lemus:</t>
        </r>
        <r>
          <rPr>
            <sz val="9"/>
            <color indexed="81"/>
            <rFont val="Tahoma"/>
            <family val="2"/>
          </rPr>
          <t xml:space="preserve">
Mantiene el salario Mínimo nuevo Q 2,825.10 + 40.87 que tiene como diferencia al resto de posiciones.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Alejandra Perez</author>
  </authors>
  <commentList>
    <comment ref="AA9" authorId="0" shapeId="0" xr:uid="{00000000-0006-0000-0600-000001000000}">
      <text>
        <r>
          <rPr>
            <b/>
            <sz val="9"/>
            <color indexed="81"/>
            <rFont val="Tahoma"/>
            <family val="2"/>
          </rPr>
          <t>Alejandra Perez:</t>
        </r>
        <r>
          <rPr>
            <sz val="9"/>
            <color indexed="81"/>
            <rFont val="Tahoma"/>
            <family val="2"/>
          </rPr>
          <t xml:space="preserve">
pago total solo a fin de mes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Mayra Alejandra Pérez</author>
    <author>Gladys Lizeth Acabal</author>
    <author>Alejandra Pérez</author>
  </authors>
  <commentList>
    <comment ref="L9" authorId="0" shapeId="0" xr:uid="{0FE2D7C6-ECCF-4911-B77D-5CE9A5DACEBA}">
      <text>
        <r>
          <rPr>
            <b/>
            <sz val="9"/>
            <color indexed="81"/>
            <rFont val="Tahoma"/>
            <family val="2"/>
          </rPr>
          <t>Mayra Alejandra Pérez:</t>
        </r>
        <r>
          <rPr>
            <sz val="9"/>
            <color indexed="81"/>
            <rFont val="Tahoma"/>
            <family val="2"/>
          </rPr>
          <t xml:space="preserve">
parqueo mensual</t>
        </r>
      </text>
    </comment>
    <comment ref="K17" authorId="0" shapeId="0" xr:uid="{3F67BEB9-90B5-427E-97B3-14662DB3BD0D}">
      <text>
        <r>
          <rPr>
            <b/>
            <sz val="9"/>
            <color indexed="81"/>
            <rFont val="Tahoma"/>
            <family val="2"/>
          </rPr>
          <t>Mayra Alejandra Pérez:</t>
        </r>
        <r>
          <rPr>
            <sz val="9"/>
            <color indexed="81"/>
            <rFont val="Tahoma"/>
            <family val="2"/>
          </rPr>
          <t xml:space="preserve">
240 de parqueo mensuales</t>
        </r>
      </text>
    </comment>
    <comment ref="L23" authorId="1" shapeId="0" xr:uid="{530265E0-A6EC-4E7F-A080-551957E5BB9A}">
      <text>
        <r>
          <rPr>
            <b/>
            <sz val="9"/>
            <color indexed="81"/>
            <rFont val="Tahoma"/>
            <family val="2"/>
          </rPr>
          <t>Gladys Lizeth Acabal:</t>
        </r>
        <r>
          <rPr>
            <sz val="9"/>
            <color indexed="81"/>
            <rFont val="Tahoma"/>
            <family val="2"/>
          </rPr>
          <t xml:space="preserve">
Uso de parqueo mensual Q 240 +0.28 ISR 2024 QUDDDA EN FB</t>
        </r>
      </text>
    </comment>
    <comment ref="L35" authorId="1" shapeId="0" xr:uid="{9F461907-03A2-45E9-AC7C-F9943658C550}">
      <text>
        <r>
          <rPr>
            <b/>
            <sz val="9"/>
            <color indexed="81"/>
            <rFont val="Tahoma"/>
            <family val="2"/>
          </rPr>
          <t>Gladys Lizeth Acabal:</t>
        </r>
        <r>
          <rPr>
            <sz val="9"/>
            <color indexed="81"/>
            <rFont val="Tahoma"/>
            <family val="2"/>
          </rPr>
          <t xml:space="preserve">
Q.240 Mensual por  
Uso de parqueo</t>
        </r>
      </text>
    </comment>
    <comment ref="K43" authorId="2" shapeId="0" xr:uid="{7F30BE19-F7D8-4A12-AF3A-09F2AF89244C}">
      <text>
        <r>
          <rPr>
            <b/>
            <sz val="9"/>
            <color indexed="81"/>
            <rFont val="Tahoma"/>
            <family val="2"/>
          </rPr>
          <t>Alejandra Pérez:</t>
        </r>
        <r>
          <rPr>
            <sz val="9"/>
            <color indexed="81"/>
            <rFont val="Tahoma"/>
            <family val="2"/>
          </rPr>
          <t xml:space="preserve">
DESCUENTO DE 1068 SOLO A FIN DE MES INICIA ABRIL 26 FINALIZA JULIO 2032EN JULIO Y DIC DE CADA AÑO SE APLICAN 4220 COMO CUOTA Y UNA ULTIMA CUOTA EN JULIO DE 2032 DE 1371.65</t>
        </r>
      </text>
    </comment>
    <comment ref="L50" authorId="2" shapeId="0" xr:uid="{92A0D1C9-6B18-4B38-A149-3BA5158DCA06}">
      <text>
        <r>
          <rPr>
            <b/>
            <sz val="9"/>
            <color indexed="81"/>
            <rFont val="Tahoma"/>
            <family val="2"/>
          </rPr>
          <t>Alejandra Pérez:</t>
        </r>
        <r>
          <rPr>
            <sz val="9"/>
            <color indexed="81"/>
            <rFont val="Tahoma"/>
            <family val="2"/>
          </rPr>
          <t xml:space="preserve">
parqueo </t>
        </r>
      </text>
    </comment>
    <comment ref="L109" authorId="2" shapeId="0" xr:uid="{A075453B-CCB3-4406-A39A-33D28147E082}">
      <text>
        <r>
          <rPr>
            <b/>
            <sz val="9"/>
            <color indexed="81"/>
            <rFont val="Tahoma"/>
            <family val="2"/>
          </rPr>
          <t>Alejandra Pérez:</t>
        </r>
        <r>
          <rPr>
            <sz val="9"/>
            <color indexed="81"/>
            <rFont val="Tahoma"/>
            <family val="2"/>
          </rPr>
          <t xml:space="preserve">
parqueo mensual</t>
        </r>
      </text>
    </comment>
    <comment ref="L129" authorId="1" shapeId="0" xr:uid="{36C3CAB7-E1B7-460E-BF2C-935FC2581788}">
      <text>
        <r>
          <rPr>
            <b/>
            <sz val="9"/>
            <color indexed="81"/>
            <rFont val="Tahoma"/>
            <family val="2"/>
          </rPr>
          <t>Gladys Lizeth Acabal:</t>
        </r>
        <r>
          <rPr>
            <sz val="9"/>
            <color indexed="81"/>
            <rFont val="Tahoma"/>
            <family val="2"/>
          </rPr>
          <t xml:space="preserve">
Uso de parqueo Q 240</t>
        </r>
      </text>
    </comment>
  </commentList>
</comments>
</file>

<file path=xl/sharedStrings.xml><?xml version="1.0" encoding="utf-8"?>
<sst xmlns="http://schemas.openxmlformats.org/spreadsheetml/2006/main" count="3626" uniqueCount="788">
  <si>
    <t>DISTRIBUCION DE PERSONAL Y COSTO POR EMPRESA</t>
  </si>
  <si>
    <t>DISTRIBUCION DE EMPLEADOS</t>
  </si>
  <si>
    <t>NOMINAS SEGÚN DISTRIBUCION REAL</t>
  </si>
  <si>
    <t>NOMINAS SEGÚN DISTRIBUCION CONTABILIDAD</t>
  </si>
  <si>
    <t>HORAS EXTRAS PROQUIMA</t>
  </si>
  <si>
    <t>HORAS EXTRAS UNHESA</t>
  </si>
  <si>
    <t>HORAS EXTRAS PROQUIMA MAQUILA</t>
  </si>
  <si>
    <t>COMISIONES</t>
  </si>
  <si>
    <t>PROQUIMA</t>
  </si>
  <si>
    <t>UNHESA</t>
  </si>
  <si>
    <t>UNHESA LIQUIDOS</t>
  </si>
  <si>
    <t>ECONACIONAL</t>
  </si>
  <si>
    <t>EGRESOS MENSUALES</t>
  </si>
  <si>
    <t>EGRESOS</t>
  </si>
  <si>
    <t>DISTRIBUCION REAL</t>
  </si>
  <si>
    <t>Salario</t>
  </si>
  <si>
    <t>Bono</t>
  </si>
  <si>
    <t xml:space="preserve">Total </t>
  </si>
  <si>
    <t>%</t>
  </si>
  <si>
    <t>% Unhesa</t>
  </si>
  <si>
    <t>Observaciones</t>
  </si>
  <si>
    <t>H.E. Simples</t>
  </si>
  <si>
    <t>H.E. Dobles</t>
  </si>
  <si>
    <t>Otrros ingresos</t>
  </si>
  <si>
    <t>cantidad</t>
  </si>
  <si>
    <t xml:space="preserve">Hrs. Extra </t>
  </si>
  <si>
    <t>Comis /</t>
  </si>
  <si>
    <t>Cuota</t>
  </si>
  <si>
    <t>Nueva</t>
  </si>
  <si>
    <t>ISR</t>
  </si>
  <si>
    <t>CELULAR</t>
  </si>
  <si>
    <t>CAFETERIA</t>
  </si>
  <si>
    <t>CALZADO</t>
  </si>
  <si>
    <t>UNIFORME</t>
  </si>
  <si>
    <t>OTROS EGRESOS</t>
  </si>
  <si>
    <t>Nombre</t>
  </si>
  <si>
    <t>Puesto</t>
  </si>
  <si>
    <t>Ordinario</t>
  </si>
  <si>
    <t>Decreto</t>
  </si>
  <si>
    <t>Proquima</t>
  </si>
  <si>
    <t>Unhesa</t>
  </si>
  <si>
    <t>Econacional</t>
  </si>
  <si>
    <t>Cantidad</t>
  </si>
  <si>
    <t>Valor</t>
  </si>
  <si>
    <t>simples</t>
  </si>
  <si>
    <t>dobles</t>
  </si>
  <si>
    <t>Otros</t>
  </si>
  <si>
    <t>Patronal</t>
  </si>
  <si>
    <t>Empresa</t>
  </si>
  <si>
    <t>Calidul</t>
  </si>
  <si>
    <t>Cleartec</t>
  </si>
  <si>
    <t>AREA ADMINISTRATIVA</t>
  </si>
  <si>
    <t xml:space="preserve"> </t>
  </si>
  <si>
    <t>PRESIDENCIA</t>
  </si>
  <si>
    <t>Piloto</t>
  </si>
  <si>
    <t>Asistente de Gerencia General</t>
  </si>
  <si>
    <t>Estrada Robles, Juan Pablo1</t>
  </si>
  <si>
    <t>Total Presidencia</t>
  </si>
  <si>
    <t>ADMINISTRATIVO</t>
  </si>
  <si>
    <t>Piloto de Presidencia</t>
  </si>
  <si>
    <t>Conserje</t>
  </si>
  <si>
    <t>conserje</t>
  </si>
  <si>
    <t>Mensajero</t>
  </si>
  <si>
    <t>Total Administrativo</t>
  </si>
  <si>
    <t>CONTABILIDAD Y FINANZAS</t>
  </si>
  <si>
    <t>Contador General</t>
  </si>
  <si>
    <t>Auxiliar Contable</t>
  </si>
  <si>
    <t>Auditor interno</t>
  </si>
  <si>
    <t>Total Contabilidad y Finanzas</t>
  </si>
  <si>
    <t>INVESTIGACION Y DESARROLLO</t>
  </si>
  <si>
    <t>TotaL Investigacion y desarrollo</t>
  </si>
  <si>
    <t>CONTROL DE CALIDAD</t>
  </si>
  <si>
    <t>Cano Lopez Consuelo Iliana</t>
  </si>
  <si>
    <t>TotaL Control de Calidad</t>
  </si>
  <si>
    <t>INFORMATICA</t>
  </si>
  <si>
    <t>Jefe de Informática</t>
  </si>
  <si>
    <t>RECURSOS HUMANOS</t>
  </si>
  <si>
    <t>Jefe de Recursos Humanos</t>
  </si>
  <si>
    <t>TotaL Recursos Humanos</t>
  </si>
  <si>
    <t>Total AREA ADMINISTRATIVA</t>
  </si>
  <si>
    <t>AREA DE OPERACIONES</t>
  </si>
  <si>
    <t>COMPRAS, IMPORTACIONES Y EXPORTACIONES</t>
  </si>
  <si>
    <t>Asistente de Compras</t>
  </si>
  <si>
    <t>Total Compras e importaciones</t>
  </si>
  <si>
    <t>PRODUCCION</t>
  </si>
  <si>
    <t>DIRECCION</t>
  </si>
  <si>
    <t>Gerente de Operaciones</t>
  </si>
  <si>
    <t>Chanta Bautista, Karlss Heberth</t>
  </si>
  <si>
    <t>Empacadora</t>
  </si>
  <si>
    <t>Operario</t>
  </si>
  <si>
    <t>Gomez Perez, Gerber Saul</t>
  </si>
  <si>
    <t>Total Unhesa</t>
  </si>
  <si>
    <t>Total Proquima</t>
  </si>
  <si>
    <t>Mendoza, Jennifer Viviana</t>
  </si>
  <si>
    <t>Paz Lopez, Jose Ignacio</t>
  </si>
  <si>
    <t>Garrido Aguilar, Maria Elena</t>
  </si>
  <si>
    <t>Lajon Puac, Osmen Gudiel</t>
  </si>
  <si>
    <t>Chavez Sanchez, Federico Wuinebaldo</t>
  </si>
  <si>
    <t>Orellana Gonzalez, Francisco Javier</t>
  </si>
  <si>
    <t>LOGISTICA</t>
  </si>
  <si>
    <t>BODEGA DE PRODUCTO TERMINADO</t>
  </si>
  <si>
    <t>Rodas Morales Rony Alfonso</t>
  </si>
  <si>
    <t>Coordinador bodegas</t>
  </si>
  <si>
    <t>Operador de montacargas</t>
  </si>
  <si>
    <t>Jacinto Aguilar, Kevin Alexander</t>
  </si>
  <si>
    <t>Total BPT</t>
  </si>
  <si>
    <t>BOEDGA MATERIA PRIMA</t>
  </si>
  <si>
    <t>Auxiliar de Bodega</t>
  </si>
  <si>
    <t>Total BMP</t>
  </si>
  <si>
    <t>Total Logística</t>
  </si>
  <si>
    <t>MANTENIMIENTO</t>
  </si>
  <si>
    <t>Mecánico</t>
  </si>
  <si>
    <t>Mantenimiento</t>
  </si>
  <si>
    <t>TotaL Mantenimiento</t>
  </si>
  <si>
    <t>TOTAL AREA OPERACIONES</t>
  </si>
  <si>
    <t>AREA COMERCIALIZACIÓN</t>
  </si>
  <si>
    <t>VENTAS PROQUIMA</t>
  </si>
  <si>
    <t>Total Admón. Comercialización</t>
  </si>
  <si>
    <t>Total Asesores</t>
  </si>
  <si>
    <t>Total Dvisión Proquima</t>
  </si>
  <si>
    <t>División Filtración</t>
  </si>
  <si>
    <t>VENTAS UNHESA</t>
  </si>
  <si>
    <t>Divisió Polvos</t>
  </si>
  <si>
    <t>Samayoa Romero, Maria Antonia</t>
  </si>
  <si>
    <t>Vendedor Mayorista</t>
  </si>
  <si>
    <t>MERCADEO</t>
  </si>
  <si>
    <t>Mercadeo Ruta 1</t>
  </si>
  <si>
    <t>Sagastume Garcia, Evelin Yolibet</t>
  </si>
  <si>
    <t>Total Mercadeo</t>
  </si>
  <si>
    <t>TOTAL GENERAL</t>
  </si>
  <si>
    <t>Total</t>
  </si>
  <si>
    <t>Contabilidad y Finanzas</t>
  </si>
  <si>
    <t>Variaciones</t>
  </si>
  <si>
    <t>Proq. Maquila</t>
  </si>
  <si>
    <t>ORDINARIO</t>
  </si>
  <si>
    <t>EXTRAORDINARIO</t>
  </si>
  <si>
    <t>TOTALES</t>
  </si>
  <si>
    <t>Presidencia</t>
  </si>
  <si>
    <t>Admnistrativo</t>
  </si>
  <si>
    <t>Contabilidad</t>
  </si>
  <si>
    <t>lnvestigacion y desarrollo</t>
  </si>
  <si>
    <t>Control de calidad</t>
  </si>
  <si>
    <t>Informatica</t>
  </si>
  <si>
    <t>Recursos Humanos</t>
  </si>
  <si>
    <t>Compras</t>
  </si>
  <si>
    <t>Producción</t>
  </si>
  <si>
    <t>Producción 29-89</t>
  </si>
  <si>
    <t>Logistica</t>
  </si>
  <si>
    <t>Admon Comercializacion</t>
  </si>
  <si>
    <t>Negocios 2 Leslie Samayoa</t>
  </si>
  <si>
    <t>Negocios 5 Sabrina Santos</t>
  </si>
  <si>
    <t>Negocios 6 Rodolfo Araujo</t>
  </si>
  <si>
    <t>Negocios 8 Brenda Cosillo</t>
  </si>
  <si>
    <t>Ventas Filtracion</t>
  </si>
  <si>
    <t>Ventas Ruta1</t>
  </si>
  <si>
    <t>Ventas Ruta4</t>
  </si>
  <si>
    <t>Ventas Ruta6</t>
  </si>
  <si>
    <t>Ventas Ruta7</t>
  </si>
  <si>
    <t>Ventas Ruta8</t>
  </si>
  <si>
    <t>Mercadeo</t>
  </si>
  <si>
    <t>Totales</t>
  </si>
  <si>
    <t>Variacion contra hoja distribucion</t>
  </si>
  <si>
    <t>Resumen Gastos contabilidad</t>
  </si>
  <si>
    <t>INTEGRACION DE VARIACIONES PARA REGISTRO DE GASTOS REALES</t>
  </si>
  <si>
    <t>Variacion a facturar entre compañias</t>
  </si>
  <si>
    <t>*Nota: los valores en positivo significa que se cargo gasto de mas y lo negativos se dejo de cargar gasto</t>
  </si>
  <si>
    <t>3) VERIFIACION ENTRE NOMINA REAL Y CONTABLE</t>
  </si>
  <si>
    <t>Planillas según Distribucion Real</t>
  </si>
  <si>
    <t>Planillas según Contable</t>
  </si>
  <si>
    <t>BASE</t>
  </si>
  <si>
    <t>IVA</t>
  </si>
  <si>
    <t>TOTAL</t>
  </si>
  <si>
    <t xml:space="preserve">  </t>
  </si>
  <si>
    <t>No.</t>
  </si>
  <si>
    <t>Salario afecto al IGSS</t>
  </si>
  <si>
    <t>Dias laborados</t>
  </si>
  <si>
    <t>REF.</t>
  </si>
  <si>
    <t xml:space="preserve">Salario Ordinario </t>
  </si>
  <si>
    <t>Bonificacion incentivo decreto 37-2001 y 78-89</t>
  </si>
  <si>
    <t>Total devengado</t>
  </si>
  <si>
    <t>Horas Simples</t>
  </si>
  <si>
    <t>Valor Hora E. Simple</t>
  </si>
  <si>
    <t>Horas Dobles</t>
  </si>
  <si>
    <t>Valor Hora E. Doble</t>
  </si>
  <si>
    <t>otros ingresos</t>
  </si>
  <si>
    <t>Salario Total</t>
  </si>
  <si>
    <t>IGSS</t>
  </si>
  <si>
    <t>Celular</t>
  </si>
  <si>
    <t>Otros egresos</t>
  </si>
  <si>
    <t>Total Egresos</t>
  </si>
  <si>
    <t>Liquido a Recibir</t>
  </si>
  <si>
    <t>Primera Quincena</t>
  </si>
  <si>
    <t>Segunda Quincena</t>
  </si>
  <si>
    <t>Administración</t>
  </si>
  <si>
    <t>Compras e importaciones</t>
  </si>
  <si>
    <t>Produccion</t>
  </si>
  <si>
    <t>Dirección</t>
  </si>
  <si>
    <t>TOTAL PRODUCCION</t>
  </si>
  <si>
    <t>DIVISION PROQUIMA</t>
  </si>
  <si>
    <t>RESUMEN DE NOMINA PARA COMPARAR CON HOJA DE DISTRICUCION</t>
  </si>
  <si>
    <t>BONIFICACION</t>
  </si>
  <si>
    <t>NOMBRE EN NOMINA</t>
  </si>
  <si>
    <t>NUMERO DE CUENTA</t>
  </si>
  <si>
    <t>NOMBRE EN BANCO</t>
  </si>
  <si>
    <t>puesto</t>
  </si>
  <si>
    <t>Salario ordinario</t>
  </si>
  <si>
    <t>bono</t>
  </si>
  <si>
    <t>horas simples</t>
  </si>
  <si>
    <t>total  horas simples</t>
  </si>
  <si>
    <t>horas dobles</t>
  </si>
  <si>
    <t>total horas dobles</t>
  </si>
  <si>
    <t>total ingresos</t>
  </si>
  <si>
    <t>igss</t>
  </si>
  <si>
    <t>isr</t>
  </si>
  <si>
    <t>bantrab</t>
  </si>
  <si>
    <t>celular</t>
  </si>
  <si>
    <t>otros egresos</t>
  </si>
  <si>
    <t>total egresos</t>
  </si>
  <si>
    <t>primera quincena</t>
  </si>
  <si>
    <t>segunda quincena</t>
  </si>
  <si>
    <t>NUMERO DE AFILIACION</t>
  </si>
  <si>
    <t>SALARIO AFECTO A IGSS</t>
  </si>
  <si>
    <t>Consuelo Iliana Cano Lopez</t>
  </si>
  <si>
    <t>CHEQUE</t>
  </si>
  <si>
    <t>Nomina</t>
  </si>
  <si>
    <t>Banco</t>
  </si>
  <si>
    <t>cuenta</t>
  </si>
  <si>
    <t>cheque</t>
  </si>
  <si>
    <t>Rax Yat, Selvin Estuardo</t>
  </si>
  <si>
    <t>Selvin Estuardo Rax Yat</t>
  </si>
  <si>
    <t>Federico Wuinebaldo Chavez Sanchez</t>
  </si>
  <si>
    <t>Perez Morales, Luis Israel</t>
  </si>
  <si>
    <t>Luis Israel Perez Morales</t>
  </si>
  <si>
    <t>Kevin Alexander Jacinto Aguilar</t>
  </si>
  <si>
    <t>Jennifer Viviana Mendoza</t>
  </si>
  <si>
    <t>Pineda Macal, Cruz Antonio</t>
  </si>
  <si>
    <t>Cruz Antonio Pineda Macal</t>
  </si>
  <si>
    <t>Maria Antonia Samayoa Romero</t>
  </si>
  <si>
    <t>Karlss Heberth Chanta Bautista</t>
  </si>
  <si>
    <t>Castellanos Barillas, Felix Alberto</t>
  </si>
  <si>
    <t>Felix Alberto Castellanos Barillas</t>
  </si>
  <si>
    <t>Evelin Yolibet Sagastume Garcia</t>
  </si>
  <si>
    <t>Gerber Saul Gomez Perez</t>
  </si>
  <si>
    <t>Guamuche Lopez, Alexander</t>
  </si>
  <si>
    <t>Alexander Guamuche Lopez</t>
  </si>
  <si>
    <t>Espinal, Erick Oswaldo</t>
  </si>
  <si>
    <t>Erick Oswaldo Espinal</t>
  </si>
  <si>
    <t>Alvarez Lopez, Osmin Alexander</t>
  </si>
  <si>
    <t>Osmin Alexander Alvarez Lopez</t>
  </si>
  <si>
    <t>Revolorio Lastro, Maycol Alfredo</t>
  </si>
  <si>
    <t>Maycol Alfredo Revolorio Lastro</t>
  </si>
  <si>
    <t>Molina Revolorio, Luis Antonio</t>
  </si>
  <si>
    <t>Luis Antonio Molina Revolorio</t>
  </si>
  <si>
    <t>Agustin Lopez, Sergio</t>
  </si>
  <si>
    <t xml:space="preserve"> Sergio Agustin Lopez</t>
  </si>
  <si>
    <t>Melgar Cruz, Christian Armando</t>
  </si>
  <si>
    <t>Christian Armando Melgar Cruz</t>
  </si>
  <si>
    <t>Caal Mo, Mario Esteban</t>
  </si>
  <si>
    <t>Mario Esteban Caal Mo</t>
  </si>
  <si>
    <t>Juan Pablo Estrada Robles</t>
  </si>
  <si>
    <t>Lopez Marroquin, Carlos Reyes</t>
  </si>
  <si>
    <t>Lopez Gudiel, Elgin Evelio</t>
  </si>
  <si>
    <t xml:space="preserve">Elgin Evelio Lopez Gudiel </t>
  </si>
  <si>
    <t>Lastro, Marco Antonio</t>
  </si>
  <si>
    <t>Marco Antonio Lastro</t>
  </si>
  <si>
    <t>Tecún Sican, Santiago</t>
  </si>
  <si>
    <t>Santiago Tecun Sican</t>
  </si>
  <si>
    <t>Escobar, Kewin Alexander</t>
  </si>
  <si>
    <t>Kewin Alexander Escobar</t>
  </si>
  <si>
    <t xml:space="preserve">Maria Elena Garrido Aguilar </t>
  </si>
  <si>
    <t>NOMBRE</t>
  </si>
  <si>
    <t>PUESTO</t>
  </si>
  <si>
    <t>VALOR</t>
  </si>
  <si>
    <t>OBSERVACIONES</t>
  </si>
  <si>
    <t>Comisiones</t>
  </si>
  <si>
    <t xml:space="preserve">UNIFORME </t>
  </si>
  <si>
    <t xml:space="preserve">Otros </t>
  </si>
  <si>
    <t>BODEGA MATERIA PRIMA</t>
  </si>
  <si>
    <t>DIVISION POLVOS</t>
  </si>
  <si>
    <t>NOMRE EN NOMINA</t>
  </si>
  <si>
    <t>LIQUIDO A RECIBIR</t>
  </si>
  <si>
    <t>PRIMERA QUINCENA</t>
  </si>
  <si>
    <t>SEGUNDA QUINCENA</t>
  </si>
  <si>
    <t>Reyes Corado, Madelin Isamar</t>
  </si>
  <si>
    <t>Madelin Isamar Reyes Corado</t>
  </si>
  <si>
    <t>Aguilar Carrera, Maria Karina</t>
  </si>
  <si>
    <t xml:space="preserve"> Maria Karina Aguilar Carrera</t>
  </si>
  <si>
    <t>Carlos Reyes Lopez Marroquin</t>
  </si>
  <si>
    <t>Carpio Gonzalez, Ronald Augusto</t>
  </si>
  <si>
    <t>ECONACIONAL, S.A.</t>
  </si>
  <si>
    <t>Jose Ignacio Paz Lopez</t>
  </si>
  <si>
    <t>Mejia Molina, Ederson David</t>
  </si>
  <si>
    <t>Ederson David Mejia Molina</t>
  </si>
  <si>
    <t>Bravo De Leon, Duyi Evelin</t>
  </si>
  <si>
    <t>Duyi Evelin Bravo de Leon</t>
  </si>
  <si>
    <t>Osmen Gudiel Lajon Puac</t>
  </si>
  <si>
    <t>Martinez Guzman, Edin Arnoldo</t>
  </si>
  <si>
    <t>Edin Arnoldo Martinez Guzman</t>
  </si>
  <si>
    <t>Lopez Ricac, Dorcas Noemi</t>
  </si>
  <si>
    <t>Dorcas Noemi Lopez Ricac</t>
  </si>
  <si>
    <t>Hernandez Sanchez, Jose Nery</t>
  </si>
  <si>
    <t>Jose Nery Hernandez Sanchez</t>
  </si>
  <si>
    <t>Francisco Javier Orellana Gonzalez</t>
  </si>
  <si>
    <t>Solorzano Ajanel, Nelson Omar</t>
  </si>
  <si>
    <t>Nelson Omar Solorzano Ajanel</t>
  </si>
  <si>
    <t>Col Escobar, Jorge Luis</t>
  </si>
  <si>
    <t>Jorge Luis Col Escobar</t>
  </si>
  <si>
    <t>Xol Xol, Pedro Alfonso</t>
  </si>
  <si>
    <t>Pedro Alfonso Xol Xol</t>
  </si>
  <si>
    <t>Morales Pineda, Christiam Alexis</t>
  </si>
  <si>
    <t>Christiam Alexis Morales Pineda</t>
  </si>
  <si>
    <t>Hernandez, Shearly Amarelly</t>
  </si>
  <si>
    <t>Shearly Amarelly Hernandez</t>
  </si>
  <si>
    <t>Chom Panjoj, Isaias</t>
  </si>
  <si>
    <t>Isaias Chom Panjoj</t>
  </si>
  <si>
    <t>Alvarez Pineda, Brenda Johanna</t>
  </si>
  <si>
    <t>Brenda Johanna Alvarez Pineda</t>
  </si>
  <si>
    <t>Chun Lopez, Lesly Siomara</t>
  </si>
  <si>
    <t>Lesly Siomara Chun Lopez</t>
  </si>
  <si>
    <t>Ixcoy Morales, Carlos Augusto</t>
  </si>
  <si>
    <t>Carlos Augusto Ixcoy Morales</t>
  </si>
  <si>
    <t>Guarcas Castillo, Fernando Adolfo</t>
  </si>
  <si>
    <t>Fernando Adolfo Guarcas Castillo</t>
  </si>
  <si>
    <t>Franco Mazariegos, Jorge Luis</t>
  </si>
  <si>
    <t>Jorge Luis Franco Mazariegos</t>
  </si>
  <si>
    <t xml:space="preserve"> Ronald Augusto Carpio Gonzalez </t>
  </si>
  <si>
    <t>Ramirez Godoy, Boris Idanny</t>
  </si>
  <si>
    <t>Boris Idanny Ramirez Godoy</t>
  </si>
  <si>
    <t>Juan Pablo Estrada Robles,</t>
  </si>
  <si>
    <t>no aplica</t>
  </si>
  <si>
    <t>Hernandez Garcia, Reuyeris</t>
  </si>
  <si>
    <t>Reuyeris Hernandez Garcia</t>
  </si>
  <si>
    <t>.</t>
  </si>
  <si>
    <t>Gerente Financiero</t>
  </si>
  <si>
    <t>Encargado de Proveeduria</t>
  </si>
  <si>
    <t>Xol Botzoc Hermelindo</t>
  </si>
  <si>
    <t>Asistente de Control de Calidad</t>
  </si>
  <si>
    <t>Auxiliar de Piloto</t>
  </si>
  <si>
    <t>ECOMEZCLAS</t>
  </si>
  <si>
    <t>Total Unhesa Liquidos</t>
  </si>
  <si>
    <t>PROQUMA</t>
  </si>
  <si>
    <t>Total Ruta 5</t>
  </si>
  <si>
    <t>bodega de producto terminado</t>
  </si>
  <si>
    <t>simples Q</t>
  </si>
  <si>
    <t>dobles Q</t>
  </si>
  <si>
    <t>División Proquima Asesores</t>
  </si>
  <si>
    <t>CONTABLE</t>
  </si>
  <si>
    <t>AJUSTE VÍA FACTURA / SERVICIOS RRHH</t>
  </si>
  <si>
    <t>DETERMINACIÓN / RESUMEN FACTURACIÓN</t>
  </si>
  <si>
    <t>UNHESA LIQUIDO</t>
  </si>
  <si>
    <t>BLOQUE LIQUIDOS</t>
  </si>
  <si>
    <t>LIQUIDOS PRODUCCION</t>
  </si>
  <si>
    <t/>
  </si>
  <si>
    <t xml:space="preserve">                         </t>
  </si>
  <si>
    <t>Erik Nordyn Flores Flores</t>
  </si>
  <si>
    <t>Otros ingresos</t>
  </si>
  <si>
    <t>Asistente  Juridico</t>
  </si>
  <si>
    <t>Juan Pablo Tortola Cal</t>
  </si>
  <si>
    <t xml:space="preserve">Asesor   </t>
  </si>
  <si>
    <t>Desarrollador de Vta consumidor</t>
  </si>
  <si>
    <t>Juan Wilberto Cortez Cisnros</t>
  </si>
  <si>
    <t>Luis Fernando Ibarra Martinez</t>
  </si>
  <si>
    <t>PRODUCCION LIMPIEZA</t>
  </si>
  <si>
    <t>Auxiliar de Limpieza</t>
  </si>
  <si>
    <t>Total Limpieza</t>
  </si>
  <si>
    <t>TOTAL OPERACIONES</t>
  </si>
  <si>
    <t>LIMPIEZA PRODUCCION</t>
  </si>
  <si>
    <t>EMITIR FACTURAS DE:</t>
  </si>
  <si>
    <t>Jose Luis Zurdo Morales</t>
  </si>
  <si>
    <t>Victor Manuel Tije Pocon</t>
  </si>
  <si>
    <t>Lopez de Lopez Angelica Elizabeth</t>
  </si>
  <si>
    <t>Sergio Baudilio Ac Lopez</t>
  </si>
  <si>
    <t>Enrique Lopez Cortez</t>
  </si>
  <si>
    <t>LIQUIDOS VENTAS (Desarrolladores de Negocios)</t>
  </si>
  <si>
    <t>Gerente Comercial</t>
  </si>
  <si>
    <t>Total Informatica</t>
  </si>
  <si>
    <t>Total Líquidos Ventas</t>
  </si>
  <si>
    <t>Analista Programador</t>
  </si>
  <si>
    <t>Ruta 5 Ventas (Mayorista Capital)</t>
  </si>
  <si>
    <t>Otros Ingresos</t>
  </si>
  <si>
    <t>Salario Ordinario</t>
  </si>
  <si>
    <t>Empresa Real</t>
  </si>
  <si>
    <t>Bono Decreto</t>
  </si>
  <si>
    <t>Días Laborados</t>
  </si>
  <si>
    <t>% Proquima</t>
  </si>
  <si>
    <t>% Unhesa Liq.</t>
  </si>
  <si>
    <t>% Econacional</t>
  </si>
  <si>
    <t>% Ecomezclas</t>
  </si>
  <si>
    <t>Total % Distribución</t>
  </si>
  <si>
    <t>Cuotas Préstamos Bancos</t>
  </si>
  <si>
    <t>Digitador</t>
  </si>
  <si>
    <t>GRUPO ECONSA</t>
  </si>
  <si>
    <t>VERIFICADOR DE PAGO DE NOMINA</t>
  </si>
  <si>
    <t>FECHA DE PAGO:</t>
  </si>
  <si>
    <t>Nombre de</t>
  </si>
  <si>
    <t>Tipo de</t>
  </si>
  <si>
    <t>Soporte</t>
  </si>
  <si>
    <t xml:space="preserve">Medio de </t>
  </si>
  <si>
    <t>Monto</t>
  </si>
  <si>
    <t>Colaborador</t>
  </si>
  <si>
    <t>Personal</t>
  </si>
  <si>
    <t>de Pago</t>
  </si>
  <si>
    <t>Pago</t>
  </si>
  <si>
    <t>Autorizado por: Walter Mendez (Auditoria Interna)</t>
  </si>
  <si>
    <t>LOTE CORRECTO</t>
  </si>
  <si>
    <t>Varios Plantilla</t>
  </si>
  <si>
    <t>Industrial</t>
  </si>
  <si>
    <t>Transferencia</t>
  </si>
  <si>
    <t xml:space="preserve">   Revisado por: Walter Mendez (Auditoria)</t>
  </si>
  <si>
    <t xml:space="preserve">       Autorizado  por : Gerardo Estrada (Presidencia)</t>
  </si>
  <si>
    <t>Tesorera-Contador</t>
  </si>
  <si>
    <t>Encargada de Bodega PT</t>
  </si>
  <si>
    <t>Vendedor</t>
  </si>
  <si>
    <t>SEGURO</t>
  </si>
  <si>
    <t>Otros Descuentos</t>
  </si>
  <si>
    <t>Melgar Najera Alfredo Emilio</t>
  </si>
  <si>
    <t>FACTURAR CON FECHA  30 DE septiembre SERVICIOS DE RRHH DE septiembre 2019 DE PROQUIMA:</t>
  </si>
  <si>
    <t>Jefe de Producción</t>
  </si>
  <si>
    <t>Mendez Cruz Walter Emilio</t>
  </si>
  <si>
    <t>Jimenez Sosa Luis Eduardo</t>
  </si>
  <si>
    <t>Samayoa Chavarria Leslie Amabilia</t>
  </si>
  <si>
    <t>Veliz Cortez Jonathan Luis</t>
  </si>
  <si>
    <t xml:space="preserve">Macz Cu Carlos Enrique </t>
  </si>
  <si>
    <t>Gaitan Hernandez Luis Daniel</t>
  </si>
  <si>
    <t>Guzman Hernandez Edgar Geovanni</t>
  </si>
  <si>
    <t>Sanchez José Nelson</t>
  </si>
  <si>
    <t>Gómez Laparra Glenda Esmeralda</t>
  </si>
  <si>
    <t xml:space="preserve">Ramos Marcial </t>
  </si>
  <si>
    <t>Lajon Puac Osmen Gudiel</t>
  </si>
  <si>
    <t>Orellana Gonzalez Francisco Javier</t>
  </si>
  <si>
    <t>Cisneros Lopez Marvin Daniel</t>
  </si>
  <si>
    <t>Pu Canto Domingo</t>
  </si>
  <si>
    <t>Alpuaque Aragon Sergio Antonio</t>
  </si>
  <si>
    <t>Lopez Vasquez Flor de Maria</t>
  </si>
  <si>
    <t>Mendez Flores Juan Andres</t>
  </si>
  <si>
    <t>Palma Salvatierra Harim Abdala</t>
  </si>
  <si>
    <t>Toz Putul Martin</t>
  </si>
  <si>
    <t>Cruz Juarez Santos Ernesto</t>
  </si>
  <si>
    <t>Turcios Carlos Alfredo</t>
  </si>
  <si>
    <t>Mendez Velasquez Hector Eduardo</t>
  </si>
  <si>
    <t>Monterroso Barrios Juan Carlos</t>
  </si>
  <si>
    <t>Hernandez Contreras Kewin Josue</t>
  </si>
  <si>
    <t>Choc Caal Augusto Adan</t>
  </si>
  <si>
    <t>López Gerber Alexander</t>
  </si>
  <si>
    <t>Santizo Santizo Rodrigo Eduardo</t>
  </si>
  <si>
    <t>Ixcoy de Quevedo Blanca Francisca</t>
  </si>
  <si>
    <t>Araujo Calderon Jose Rodolfo</t>
  </si>
  <si>
    <t>De Paz Corado Erick Geovanni</t>
  </si>
  <si>
    <t>Yat Mo Marvin Obdulio</t>
  </si>
  <si>
    <t>Cisneros Escobar Walter De Jesus</t>
  </si>
  <si>
    <t>Samayoa Martir Mario Humberto</t>
  </si>
  <si>
    <t>Boror Pirir Jose Cruz</t>
  </si>
  <si>
    <t xml:space="preserve">Guerra Lopez Jonathan Otoniel </t>
  </si>
  <si>
    <t>Tot Paau David Antonio</t>
  </si>
  <si>
    <t>Soto Juarez Mario Antonio</t>
  </si>
  <si>
    <t>Hernandez de Lemus Iris Carolina</t>
  </si>
  <si>
    <t>Huertas Valenzuela Sergio Antonio</t>
  </si>
  <si>
    <t>Si Mes Pablo</t>
  </si>
  <si>
    <t>Chamay Gomez Susana Noemi</t>
  </si>
  <si>
    <t>Ambrocio Sanchez Rolando</t>
  </si>
  <si>
    <t>España Arana Ruth Emilia</t>
  </si>
  <si>
    <t xml:space="preserve">Patzan Quib Lucrecia </t>
  </si>
  <si>
    <t>Gonzalez Gomez Glendy Paola</t>
  </si>
  <si>
    <t>Ramirez Ovando Marilyn Crystal</t>
  </si>
  <si>
    <t>Sontay Cifuentes Leydi Rosivel</t>
  </si>
  <si>
    <t>Aragón Coronado Guillermo Giovanni</t>
  </si>
  <si>
    <t>Castañeda Osorio Estela Angelina</t>
  </si>
  <si>
    <t>Jolon Carrascoza Erwin Antonio</t>
  </si>
  <si>
    <t>Morales Hernandez Ausencio</t>
  </si>
  <si>
    <t>Chacón Morales Katheryne Mariannela</t>
  </si>
  <si>
    <t>Cotzajay Lopez Aura Leticia</t>
  </si>
  <si>
    <t>Garrido Aguilar Maria Elena</t>
  </si>
  <si>
    <t>Boche Mendez Olga Veronica</t>
  </si>
  <si>
    <t>Veliz Carias Elder Danilo</t>
  </si>
  <si>
    <t>Chavez Garcia Benner Amilcar</t>
  </si>
  <si>
    <t>Gerente Compras expo e impo</t>
  </si>
  <si>
    <t>Encargado Administrativo</t>
  </si>
  <si>
    <t>Coordinador Administrativo</t>
  </si>
  <si>
    <t>Jefe I &amp; D</t>
  </si>
  <si>
    <t>Asistente de Recursos Humanos</t>
  </si>
  <si>
    <t>TOTAL EGRESOS Bol Ornato, Seguro, Otros</t>
  </si>
  <si>
    <t>Sical Cruz Manuel Estuardo</t>
  </si>
  <si>
    <t>Supervisor Contable</t>
  </si>
  <si>
    <t xml:space="preserve">   Autorizado por:  Iris de Lemus (Recursos Humanos)</t>
  </si>
  <si>
    <t>Operador</t>
  </si>
  <si>
    <t>Cisneros Gonzales  Esvin Antonio</t>
  </si>
  <si>
    <t>COMPRAS IMPORTACIONES Y EXPORTACIONES</t>
  </si>
  <si>
    <t>Auxiliar de Mantenimiento</t>
  </si>
  <si>
    <t xml:space="preserve">Facturador </t>
  </si>
  <si>
    <t xml:space="preserve">Chávez Velásquez Wendy Lorena </t>
  </si>
  <si>
    <t>Estrada Robles Victor Gerardo 1</t>
  </si>
  <si>
    <t>Gregorio Rodríguez Sulma Maribel</t>
  </si>
  <si>
    <t>Recepcionista</t>
  </si>
  <si>
    <t>Solis Dominguez Angel Gabriel</t>
  </si>
  <si>
    <t>LOTE  A        ELIMINAR</t>
  </si>
  <si>
    <t>Samora Sacul Yocelin Paola</t>
  </si>
  <si>
    <t>Enriquez Donis Alvaro Cristian</t>
  </si>
  <si>
    <t>Communitry Manager</t>
  </si>
  <si>
    <t>Guerra Tobar Melvin Esleiter</t>
  </si>
  <si>
    <t>Gomez Martinez Sandor Felipe</t>
  </si>
  <si>
    <t>Vasquez Bamaca Walter Leonidas</t>
  </si>
  <si>
    <t>Auxiliar Bodega MP</t>
  </si>
  <si>
    <t>Solano Garcia Jorge Alberto</t>
  </si>
  <si>
    <t>Auxiliar de control de calidad</t>
  </si>
  <si>
    <t>Muñoz Laparra Orly Gabriela</t>
  </si>
  <si>
    <t>Empacadora Liquidos</t>
  </si>
  <si>
    <t>Empacadora de Sobres</t>
  </si>
  <si>
    <t>Operario Liquidos</t>
  </si>
  <si>
    <t>Linea de Botes</t>
  </si>
  <si>
    <t>Operario  Sobres</t>
  </si>
  <si>
    <t>Operario  Liquidos</t>
  </si>
  <si>
    <t>Boror López Mayra Guadalupe</t>
  </si>
  <si>
    <t>Jefe de Gestion de calidad</t>
  </si>
  <si>
    <t>Imeri Ordoñez Luis Enrique</t>
  </si>
  <si>
    <t xml:space="preserve">Lopez Orellana Genesis Alejandra </t>
  </si>
  <si>
    <t>Auxiliar de Carga</t>
  </si>
  <si>
    <t>De Floran Rodas Luis  Arnau Estanislao</t>
  </si>
  <si>
    <t>Pirir Toj Luis Alberto</t>
  </si>
  <si>
    <t>Rosales Soberaniz Benito Pedro Pablo</t>
  </si>
  <si>
    <t>Paz Pacheco Otoniel Adonias</t>
  </si>
  <si>
    <t>Project Manager</t>
  </si>
  <si>
    <t>Quej Cau Jose Angel</t>
  </si>
  <si>
    <t>Martinez Garcia Erick Rolando</t>
  </si>
  <si>
    <t>Contreras Vasquez Oscar Jose</t>
  </si>
  <si>
    <t>Ibañez Galicia Jonatan Alexander</t>
  </si>
  <si>
    <t>Cano Cano Nolberto</t>
  </si>
  <si>
    <t>Ramirez Vasquez Audelio</t>
  </si>
  <si>
    <t xml:space="preserve">Operario  </t>
  </si>
  <si>
    <t>Garcia Sarceño Mayvin Armando</t>
  </si>
  <si>
    <t>DESCUENTO  producto</t>
  </si>
  <si>
    <t xml:space="preserve">Nota:  Transferencia programada para    </t>
  </si>
  <si>
    <t>Bran Toc Juan Jose</t>
  </si>
  <si>
    <t>Arriaga García Melvin Rodrigo</t>
  </si>
  <si>
    <t>Ramos Caracun Jose Ottoniel</t>
  </si>
  <si>
    <t>Flores Ruano Yandira Beatriz</t>
  </si>
  <si>
    <t>Velásquez  López Claudia Carolina</t>
  </si>
  <si>
    <t>Revolorio Urías Erick Manolo</t>
  </si>
  <si>
    <t>Morales Ojeda Yefri Misael</t>
  </si>
  <si>
    <t>Salvatierra de Leon Jakeline Marisela</t>
  </si>
  <si>
    <t xml:space="preserve">Ruche Bor José Antonio </t>
  </si>
  <si>
    <t>Ramirez Perez Mynor Estuardo</t>
  </si>
  <si>
    <t>Gomez Likez Rene Alexander</t>
  </si>
  <si>
    <t>Hernandez Aquino Wendy Lizbeth</t>
  </si>
  <si>
    <t>Morales Hernandez Joselyn Arceli</t>
  </si>
  <si>
    <t>Alvarez Caceros Genesis Arleth</t>
  </si>
  <si>
    <t>DESCUENTO PRODUCTO</t>
  </si>
  <si>
    <t>Reyes Salazar Lesly Alejandra</t>
  </si>
  <si>
    <t>Auxiliar de Telemarketing</t>
  </si>
  <si>
    <t>Méndez González Grecia Marbella</t>
  </si>
  <si>
    <t>Sian Ortega Mildred Liliana</t>
  </si>
  <si>
    <t>Ramirez Arcon Maria Nury</t>
  </si>
  <si>
    <t xml:space="preserve">  Revisado por: Iris de Lemus (Recursos Humanos)</t>
  </si>
  <si>
    <t>BANCOS</t>
  </si>
  <si>
    <t>Perez Menendez Mayra Alejandra</t>
  </si>
  <si>
    <t>Castro Aceituno Rodrigo Jose</t>
  </si>
  <si>
    <t>Lopez Calderon Cesar Anibal</t>
  </si>
  <si>
    <t>Cabrera Guzman Javier Antonio</t>
  </si>
  <si>
    <t>Figueros Cardona Gabriel</t>
  </si>
  <si>
    <t>Auxiliar de  Investigacion y Desarrollo</t>
  </si>
  <si>
    <t xml:space="preserve">Hecho por:   Alejandra Pérez </t>
  </si>
  <si>
    <t>Ruano Quevedo Marvin Gerardo</t>
  </si>
  <si>
    <t>Encargado de Bodega MP</t>
  </si>
  <si>
    <t>Orozco Tzic Yenifer Jimena</t>
  </si>
  <si>
    <t>Asistente de Investigacion y Desarrollo</t>
  </si>
  <si>
    <t>Supervisor</t>
  </si>
  <si>
    <t>Lopez Rivera Lourdes Janeth</t>
  </si>
  <si>
    <t>Vasquez Rodriguez Mauro Trinidad</t>
  </si>
  <si>
    <t>Zarate De Leon, Enma Yaneth</t>
  </si>
  <si>
    <t>Asistente de Reclutamiento</t>
  </si>
  <si>
    <t>Estrada Robles Juan Pablo</t>
  </si>
  <si>
    <t>PARQUEOS</t>
  </si>
  <si>
    <t>YANDIRA</t>
  </si>
  <si>
    <t>RONY</t>
  </si>
  <si>
    <t xml:space="preserve">GABRIELA </t>
  </si>
  <si>
    <t>SEGUROS</t>
  </si>
  <si>
    <t>MARVIN CISNEROS</t>
  </si>
  <si>
    <t>SERGIO HUERTAS</t>
  </si>
  <si>
    <t>DEUDA RONY</t>
  </si>
  <si>
    <t>DESCUENTOS JURIDICOS</t>
  </si>
  <si>
    <t>ERROR OTONIEL</t>
  </si>
  <si>
    <t>JOSE RUCHE</t>
  </si>
  <si>
    <t>WENDY CHAVEZ</t>
  </si>
  <si>
    <t>Renovación Examenes</t>
  </si>
  <si>
    <t>Tarjetas de Salud</t>
  </si>
  <si>
    <t>TARJETAS DE SALUD</t>
  </si>
  <si>
    <t xml:space="preserve">TOTAL INTEGRACION COLUMNA </t>
  </si>
  <si>
    <t>RUTH</t>
  </si>
  <si>
    <t xml:space="preserve">RONY </t>
  </si>
  <si>
    <t>PRODUCTO</t>
  </si>
  <si>
    <t>NOMINA MES DE: ENERO  2,022  1a. Quincena)</t>
  </si>
  <si>
    <t>SALARIO VENCIDO</t>
  </si>
  <si>
    <t>SALARIO ACTUAL</t>
  </si>
  <si>
    <t xml:space="preserve">IMPACTO DE INCREMENTO </t>
  </si>
  <si>
    <t>BONIF DTO</t>
  </si>
  <si>
    <t>TOTAL SALARIO</t>
  </si>
  <si>
    <t>TABLA DE RESUMEN DE INCREMENTO</t>
  </si>
  <si>
    <t>IMPACTO POR EMPRESA</t>
  </si>
  <si>
    <t>Lancerio Sete Katherine Maeli</t>
  </si>
  <si>
    <t>Revisado por: Iris de Lemus</t>
  </si>
  <si>
    <t>Vo.Bo. Gerencia General</t>
  </si>
  <si>
    <t>Realizado Por: Alejandra Pèrez</t>
  </si>
  <si>
    <t>Autorizado Por: Walter Mendez</t>
  </si>
  <si>
    <t xml:space="preserve">MONTO BOLETO </t>
  </si>
  <si>
    <t>Osoy Gonzalez Luis Antonio</t>
  </si>
  <si>
    <t>Maldonado Solval Karla Elizabeth</t>
  </si>
  <si>
    <t>Ejecutado por : Alejandra Perez</t>
  </si>
  <si>
    <t>Revisado Por. Walter Mendez</t>
  </si>
  <si>
    <t>Revisado Por: Iris de Lemus</t>
  </si>
  <si>
    <t>Mendizabal Rosales Edgar Osvaldo</t>
  </si>
  <si>
    <t>Cuello Pirir Jorge Renato</t>
  </si>
  <si>
    <t>Saban Culajay Edson Omar</t>
  </si>
  <si>
    <t>Lorenzana Gonzalez Cesar Leonel</t>
  </si>
  <si>
    <t>Ramirez Ramos Brayan Neptaly</t>
  </si>
  <si>
    <t>0142241081</t>
  </si>
  <si>
    <t>Auxiliar de Control De Calidad</t>
  </si>
  <si>
    <t>Saenz Lemus Dulce Maria</t>
  </si>
  <si>
    <t>Administracion Operaciones</t>
  </si>
  <si>
    <t>Davila Morales Estiven Alexander</t>
  </si>
  <si>
    <t>Facturador</t>
  </si>
  <si>
    <t>Administrativo</t>
  </si>
  <si>
    <t>RECEPCION</t>
  </si>
  <si>
    <t>PROYECTOS</t>
  </si>
  <si>
    <t>Auditoria Interna</t>
  </si>
  <si>
    <t>Administracion</t>
  </si>
  <si>
    <t>Contable Financiero</t>
  </si>
  <si>
    <t>Tesoreria</t>
  </si>
  <si>
    <t>Legal</t>
  </si>
  <si>
    <t>Costos y Presupuestos</t>
  </si>
  <si>
    <t>Ruta franquicias 1</t>
  </si>
  <si>
    <t>Ruta Mayoreo 2</t>
  </si>
  <si>
    <t>Ruta Mayoreo 1</t>
  </si>
  <si>
    <t>Ruta Mayoreo 3</t>
  </si>
  <si>
    <t>Ruta Mayoreo 4</t>
  </si>
  <si>
    <t>Ruta Mayoreo 5</t>
  </si>
  <si>
    <t>ONLINE</t>
  </si>
  <si>
    <t>Ruta On line 1</t>
  </si>
  <si>
    <t>Ruta On line 2</t>
  </si>
  <si>
    <t>Exportaciones</t>
  </si>
  <si>
    <t>Premezclas</t>
  </si>
  <si>
    <t>materias Primas</t>
  </si>
  <si>
    <t>Maquila</t>
  </si>
  <si>
    <t>Fabricacion Secos UNHESA</t>
  </si>
  <si>
    <t>Fabricacion Liquidos</t>
  </si>
  <si>
    <t>Fabricacion liquidos maquilas</t>
  </si>
  <si>
    <t>fabricacion maquilas</t>
  </si>
  <si>
    <t>BODEGA MP</t>
  </si>
  <si>
    <t>BODEGA PT</t>
  </si>
  <si>
    <t>TRANSPORTE TERCERIZADO</t>
  </si>
  <si>
    <t>TRANSPORTE PROPIO</t>
  </si>
  <si>
    <t>Despacho en linea</t>
  </si>
  <si>
    <t>importaciones</t>
  </si>
  <si>
    <t>Calidades</t>
  </si>
  <si>
    <t>Aseguramiento de Calidad</t>
  </si>
  <si>
    <t>Control de Calidad</t>
  </si>
  <si>
    <t>Edificios</t>
  </si>
  <si>
    <t xml:space="preserve">Administracion    </t>
  </si>
  <si>
    <t>Maquinaria</t>
  </si>
  <si>
    <t>Fabricacion liquidos</t>
  </si>
  <si>
    <t>Bodega MP</t>
  </si>
  <si>
    <t>Bodega PT</t>
  </si>
  <si>
    <t>Proveeduria</t>
  </si>
  <si>
    <t>CALIDADES</t>
  </si>
  <si>
    <t>Aseguramiento de calidad</t>
  </si>
  <si>
    <t>PRODUCCIONADMINISTRACION</t>
  </si>
  <si>
    <t>FABRICACION LIQUIDOS</t>
  </si>
  <si>
    <t xml:space="preserve">Ruta Franquicias   </t>
  </si>
  <si>
    <t>Ruta Franquicias 2</t>
  </si>
  <si>
    <t>PRODUCCION ADMINISTRACION</t>
  </si>
  <si>
    <t>FIJO</t>
  </si>
  <si>
    <t>INMEDIATO.</t>
  </si>
  <si>
    <t>Jefe de Mantenimiento</t>
  </si>
  <si>
    <t>Manuel Oxlaj Edgar Humberto</t>
  </si>
  <si>
    <t>Tecu Lajuj Hugo Armando</t>
  </si>
  <si>
    <t>Nacho Tun Jonatan Emanuel</t>
  </si>
  <si>
    <t>Choxin Puac Gudiel Alexander</t>
  </si>
  <si>
    <t>Tecnico industrial</t>
  </si>
  <si>
    <t>Contador</t>
  </si>
  <si>
    <t>Asistente Legal Administrativo</t>
  </si>
  <si>
    <t>Gonzalez Torres Tadeo Felix David</t>
  </si>
  <si>
    <t>Marroquin Rueda Jenneffer Ivonne</t>
  </si>
  <si>
    <t>el efecto siempre debe ser 0 en la suma</t>
  </si>
  <si>
    <t>FACTURAR CON FECHA OCTUBRE SERVICIOS DE RRHH DE  OCTUBRE 2024 DE UNHESA A PROQUIMA</t>
  </si>
  <si>
    <t>Yaxon Taquira Juan Pablo Angel</t>
  </si>
  <si>
    <t>Vega Ortega Cesar Javier Arnoldo</t>
  </si>
  <si>
    <t>Total Auditoria</t>
  </si>
  <si>
    <t>Créditos y cobros</t>
  </si>
  <si>
    <t>Admón.</t>
  </si>
  <si>
    <t>Fabricacion secos unhesas</t>
  </si>
  <si>
    <t>Total Producción</t>
  </si>
  <si>
    <t>Total Compras</t>
  </si>
  <si>
    <t>Total Mantenimiento</t>
  </si>
  <si>
    <t>% Cleartec</t>
  </si>
  <si>
    <t>HORAS EXTRAS CLEARTEC</t>
  </si>
  <si>
    <t>CLEARTEC</t>
  </si>
  <si>
    <t>Importaciones</t>
  </si>
  <si>
    <t>Total Administrativa</t>
  </si>
  <si>
    <t>Bonificación incentivo decreto 37-2001 y 78-89</t>
  </si>
  <si>
    <t>Recepción</t>
  </si>
  <si>
    <t xml:space="preserve">TOTAL NOMINA </t>
  </si>
  <si>
    <t>Empresa:    ECONACIONAL, S.A.</t>
  </si>
  <si>
    <t xml:space="preserve"> BI</t>
  </si>
  <si>
    <t xml:space="preserve">Elaborado por: Alejandra Pèrez </t>
  </si>
  <si>
    <t>Empresa:    ECONACIONAL, S. A.</t>
  </si>
  <si>
    <t>MES</t>
  </si>
  <si>
    <t xml:space="preserve">AÑO </t>
  </si>
  <si>
    <t>MES/AÑO</t>
  </si>
  <si>
    <t>CC</t>
  </si>
  <si>
    <t>AUDITORIA INTERNA</t>
  </si>
  <si>
    <t>CONTABLE FINANCIERO</t>
  </si>
  <si>
    <t>CONTABILIDAD</t>
  </si>
  <si>
    <t>TESORERIA</t>
  </si>
  <si>
    <t>LEGAL</t>
  </si>
  <si>
    <t>COSTOS Y PRESUPUESTOS</t>
  </si>
  <si>
    <t>NOMINA ECONACIONAL, S. A.</t>
  </si>
  <si>
    <t>REAL</t>
  </si>
  <si>
    <t>econacional</t>
  </si>
  <si>
    <t>fijo</t>
  </si>
  <si>
    <t>Operador de Montacargas</t>
  </si>
  <si>
    <t xml:space="preserve">MARGEN </t>
  </si>
  <si>
    <t>Lopez Suran Neemias</t>
  </si>
  <si>
    <t>Ordoñez Corado Paola Maritza</t>
  </si>
  <si>
    <t>Analista Financiera</t>
  </si>
  <si>
    <t>Hernandez Maria Andrea</t>
  </si>
  <si>
    <t>Jefe de Operaciones Contables</t>
  </si>
  <si>
    <t>Encargado de Bodega PT</t>
  </si>
  <si>
    <t xml:space="preserve">Perez Barrios Kevin Augusto </t>
  </si>
  <si>
    <t>QUINCENA: 2  MES: 1</t>
  </si>
  <si>
    <t>Cruz Salguero Aramis Antonio</t>
  </si>
  <si>
    <t>Tesorero-Contador</t>
  </si>
  <si>
    <t>hugo</t>
  </si>
  <si>
    <t>Mejia Quijivix Nathalie Guadalupe</t>
  </si>
  <si>
    <t>Asistente de compras locales e Intern</t>
  </si>
  <si>
    <t> 0660260993</t>
  </si>
  <si>
    <t>Gonzalez Perez Alexis Damian</t>
  </si>
  <si>
    <t>Chamale  Peque Jorge Raul</t>
  </si>
  <si>
    <t>Asistente de Aseguramiento de Calidad</t>
  </si>
  <si>
    <t>Dennison Murillo Belkis Carolina</t>
  </si>
  <si>
    <t>Ramos Pineda Alan Fernando</t>
  </si>
  <si>
    <t>Jefe de Logistica y Bodega</t>
  </si>
  <si>
    <t>Código División</t>
  </si>
  <si>
    <t>Quevedo Turcios Julio Cesar</t>
  </si>
  <si>
    <t>5520105569</t>
  </si>
  <si>
    <t>Garcia Lopez Bianca Magdalena</t>
  </si>
  <si>
    <t>Jacome Galindo Francisco</t>
  </si>
  <si>
    <t>alta 15.12</t>
  </si>
  <si>
    <t>Gonzalez Hernandez Luis Roberto</t>
  </si>
  <si>
    <t>Gerente de Compras Export e Import</t>
  </si>
  <si>
    <t>1068 FIN DE MES</t>
  </si>
  <si>
    <t>SEGURO/ tarjeta de salud/boleto de ornato</t>
  </si>
  <si>
    <t>Perez Avilez Steven Andre</t>
  </si>
  <si>
    <t>A.14.1.26 200 BONO VARIABLE</t>
  </si>
  <si>
    <t>Perez Rivera Yoselyn Carolina</t>
  </si>
  <si>
    <t>Auxiliar Contable (digitador)</t>
  </si>
  <si>
    <t>Apen Escalante Ami Adriana</t>
  </si>
  <si>
    <t>Asistente de Auditoria Interna</t>
  </si>
  <si>
    <t>Suministros</t>
  </si>
  <si>
    <t>Zuñiga Gonzalez Elmer David</t>
  </si>
  <si>
    <t>Encargado de Suministros y Servicios</t>
  </si>
  <si>
    <t xml:space="preserve">A.9/2/26 bonif variable de 1000iniciando en abril </t>
  </si>
  <si>
    <t>Roman Morales Mirta de los Angeles</t>
  </si>
  <si>
    <t>Operador de Monitoreo</t>
  </si>
  <si>
    <t>500 pendientes de marzo como indicadores</t>
  </si>
  <si>
    <t>A.23/3</t>
  </si>
  <si>
    <t>Choc Abrego  Enma Leticia</t>
  </si>
  <si>
    <t>DESCUENTO LUCRECIA PATZAN</t>
  </si>
  <si>
    <t>TOTAL DESCONTADO</t>
  </si>
  <si>
    <t>Arguijo Melgar ClaudiaMaria</t>
  </si>
  <si>
    <t>Analista de Compras Internacionales</t>
  </si>
  <si>
    <t>A.8/4  INDICADORES DE 1500</t>
  </si>
  <si>
    <t>Sumale Pelen Elio Rene</t>
  </si>
  <si>
    <t>A.13/4/2026 incremento de 500 en oct 26 y 500 en abril 2027</t>
  </si>
  <si>
    <t>B.10.5</t>
  </si>
  <si>
    <t>Toledo Medrano Khrista Sarai</t>
  </si>
  <si>
    <t>Aux Comercio Exterior</t>
  </si>
  <si>
    <t>A.4.5</t>
  </si>
  <si>
    <t>ssp del 11 al 15/5 alta el 16/5</t>
  </si>
  <si>
    <t>MAYO  2026 2da QUINCENA</t>
  </si>
  <si>
    <t>HIDROXON</t>
  </si>
  <si>
    <t>Lopez Oxcal Kevin Jesus</t>
  </si>
  <si>
    <t>A.11.5.26</t>
  </si>
  <si>
    <t>HORAS EXTRAS HIDROXON</t>
  </si>
  <si>
    <t>FACTURAR CON FECHA MAYO SERVICIOS DE RRHH  DE MAYO 2026 DE ECONACIONAL A PROQUIMA</t>
  </si>
  <si>
    <t>FACTURAR CON FECHA MAYO SERVICIOS DE RRHH DE  MAYO  2026 DE ECONACIONAL  A CLEARTEC</t>
  </si>
  <si>
    <t>FACTURAR CON FECHA MAYO  SERVICIOS DE RRHH DE  MAYO  2026 DE ECONACIONAL  A SABOMIX</t>
  </si>
  <si>
    <t>FACTURAR CON FECHA MAYO SERVICIOS DE RRHH DE  MAYO  2026 DE ECONACIONAL  A UNHESA</t>
  </si>
  <si>
    <t>INMEDIATO</t>
  </si>
  <si>
    <t>PARQUEO</t>
  </si>
  <si>
    <t>CUENTAS POR PAGAR 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</si>
</sst>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quot;Q&quot;* #,##0.00_);_(&quot;Q&quot;* \(#,##0.00\);_(&quot;Q&quot;* &quot;-&quot;??_);_(@_)"/>
    <numFmt numFmtId="165" formatCode="_(* #,##0.00_);_(* \(#,##0.00\);_(* &quot;-&quot;??_);_(@_)"/>
    <numFmt numFmtId="166" formatCode="_(* #,##0.00_);_(* \(#,##0.00\);_(* \-??_);_(@_)"/>
    <numFmt numFmtId="167" formatCode="#,##0.00\ ;&quot; (&quot;#,##0.00\);&quot; -&quot;#\ ;@\ "/>
    <numFmt numFmtId="168" formatCode="_(\Q* #,##0.00_);_(\Q* \(#,##0.00\);_(\Q* \-??_);_(@_)"/>
    <numFmt numFmtId="169" formatCode="_-* #,##0.00_-;\-* #,##0.00_-;_-* \-??_-;_-@_-"/>
    <numFmt numFmtId="170" formatCode="#,##0.00;[Red]#,##0.00"/>
    <numFmt numFmtId="171" formatCode="#,##0.0;[Red]#,##0.0"/>
    <numFmt numFmtId="172" formatCode="#,##0.00_ ;[Red]\-#,##0.00\ "/>
    <numFmt numFmtId="173" formatCode="0000000000"/>
    <numFmt numFmtId="174" formatCode="00000000000"/>
    <numFmt numFmtId="175" formatCode="&quot;Q&quot;#,##0.00"/>
    <numFmt numFmtId="176" formatCode="#,##0.000_ ;[Red]\-#,##0.000\ "/>
    <numFmt numFmtId="177" formatCode="#,##0.0000000_ ;[Red]\-#,##0.0000000\ "/>
    <numFmt numFmtId="178" formatCode="#,##0.0000_ ;[Red]\-#,##0.0000\ "/>
    <numFmt numFmtId="179" formatCode="#,##0_ ;[Red]\-#,##0\ "/>
  </numFmts>
  <fonts count="17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1"/>
      <color indexed="8"/>
      <name val="Arial1"/>
    </font>
    <font>
      <sz val="11"/>
      <color indexed="8"/>
      <name val="Calibri"/>
      <family val="2"/>
      <charset val="1"/>
    </font>
    <font>
      <sz val="10"/>
      <name val="Arial"/>
      <family val="2"/>
    </font>
    <font>
      <sz val="10"/>
      <color indexed="8"/>
      <name val="Arial"/>
      <family val="2"/>
    </font>
    <font>
      <b/>
      <sz val="11"/>
      <color indexed="8"/>
      <name val="Arial1"/>
    </font>
    <font>
      <b/>
      <sz val="9"/>
      <color indexed="8"/>
      <name val="Tahoma"/>
      <family val="2"/>
    </font>
    <font>
      <sz val="8"/>
      <color indexed="8"/>
      <name val="Arial"/>
      <family val="2"/>
      <charset val="1"/>
    </font>
    <font>
      <b/>
      <sz val="10"/>
      <color indexed="8"/>
      <name val="Arial"/>
      <family val="2"/>
    </font>
    <font>
      <b/>
      <sz val="12"/>
      <color indexed="8"/>
      <name val="Arial"/>
      <family val="2"/>
      <charset val="1"/>
    </font>
    <font>
      <b/>
      <sz val="8"/>
      <color indexed="8"/>
      <name val="Arial"/>
      <family val="2"/>
    </font>
    <font>
      <b/>
      <sz val="8"/>
      <name val="Arial"/>
      <family val="2"/>
    </font>
    <font>
      <sz val="8"/>
      <name val="Arial"/>
      <family val="2"/>
      <charset val="1"/>
    </font>
    <font>
      <b/>
      <sz val="8"/>
      <color indexed="8"/>
      <name val="Arial"/>
      <family val="2"/>
      <charset val="1"/>
    </font>
    <font>
      <sz val="9"/>
      <color indexed="8"/>
      <name val="Arial"/>
      <family val="2"/>
    </font>
    <font>
      <u/>
      <sz val="8"/>
      <color indexed="8"/>
      <name val="Arial"/>
      <family val="2"/>
      <charset val="1"/>
    </font>
    <font>
      <b/>
      <sz val="8"/>
      <color indexed="10"/>
      <name val="Arial"/>
      <family val="2"/>
    </font>
    <font>
      <b/>
      <sz val="11"/>
      <color indexed="8"/>
      <name val="Calibri"/>
      <family val="2"/>
    </font>
    <font>
      <sz val="11"/>
      <name val="Calibri"/>
      <family val="2"/>
    </font>
    <font>
      <b/>
      <sz val="9"/>
      <color indexed="8"/>
      <name val="Arial"/>
      <family val="2"/>
    </font>
    <font>
      <b/>
      <sz val="10"/>
      <color indexed="8"/>
      <name val="Arial"/>
      <family val="2"/>
      <charset val="1"/>
    </font>
    <font>
      <b/>
      <sz val="10"/>
      <color indexed="10"/>
      <name val="Arial"/>
      <family val="2"/>
      <charset val="1"/>
    </font>
    <font>
      <b/>
      <sz val="11"/>
      <color indexed="8"/>
      <name val="Calibri"/>
      <family val="2"/>
      <charset val="1"/>
    </font>
    <font>
      <sz val="12"/>
      <color indexed="8"/>
      <name val="Times New Roman"/>
      <family val="1"/>
      <charset val="1"/>
    </font>
    <font>
      <sz val="5"/>
      <color indexed="8"/>
      <name val="Times New Roman"/>
      <family val="1"/>
      <charset val="1"/>
    </font>
    <font>
      <sz val="5"/>
      <color indexed="8"/>
      <name val="Arial"/>
      <family val="2"/>
      <charset val="1"/>
    </font>
    <font>
      <sz val="10"/>
      <color indexed="8"/>
      <name val="Arial Unicode MS"/>
      <family val="2"/>
    </font>
    <font>
      <sz val="8"/>
      <color indexed="8"/>
      <name val="Calibri"/>
      <family val="2"/>
    </font>
    <font>
      <b/>
      <sz val="8"/>
      <color indexed="8"/>
      <name val="Calibri"/>
      <family val="2"/>
    </font>
    <font>
      <sz val="8"/>
      <color indexed="8"/>
      <name val="Arial Unicode MS"/>
      <family val="2"/>
    </font>
    <font>
      <sz val="8"/>
      <color indexed="8"/>
      <name val="Calibri"/>
      <family val="2"/>
      <charset val="1"/>
    </font>
    <font>
      <b/>
      <sz val="10"/>
      <name val="Arial"/>
      <family val="2"/>
      <charset val="1"/>
    </font>
    <font>
      <sz val="8"/>
      <color indexed="8"/>
      <name val="Times New Roman"/>
      <family val="1"/>
      <charset val="1"/>
    </font>
    <font>
      <u/>
      <sz val="8"/>
      <color indexed="8"/>
      <name val="Times New Roman"/>
      <family val="1"/>
      <charset val="1"/>
    </font>
    <font>
      <sz val="11"/>
      <color indexed="8"/>
      <name val="Calibri"/>
      <family val="2"/>
    </font>
    <font>
      <sz val="9"/>
      <color indexed="81"/>
      <name val="Tahoma"/>
      <family val="2"/>
    </font>
    <font>
      <b/>
      <sz val="9"/>
      <color indexed="81"/>
      <name val="Tahoma"/>
      <family val="2"/>
    </font>
    <font>
      <b/>
      <sz val="11"/>
      <name val="Calibri"/>
      <family val="2"/>
    </font>
    <font>
      <b/>
      <sz val="8"/>
      <color rgb="FFFF0000"/>
      <name val="Arial"/>
      <family val="2"/>
    </font>
    <font>
      <sz val="8"/>
      <color indexed="81"/>
      <name val="Tahoma"/>
      <family val="2"/>
    </font>
    <font>
      <b/>
      <sz val="8"/>
      <color indexed="81"/>
      <name val="Tahoma"/>
      <family val="2"/>
    </font>
    <font>
      <b/>
      <sz val="14"/>
      <color indexed="8"/>
      <name val="Arial"/>
      <family val="2"/>
    </font>
    <font>
      <sz val="10"/>
      <color rgb="FF000000"/>
      <name val="Arial"/>
      <family val="2"/>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name val="Arial"/>
      <family val="2"/>
    </font>
    <font>
      <sz val="11"/>
      <color rgb="FF0000FF"/>
      <name val="Calibri"/>
      <family val="2"/>
    </font>
    <font>
      <sz val="12"/>
      <name val="Arial"/>
      <family val="2"/>
    </font>
    <font>
      <sz val="14"/>
      <name val="Calibri"/>
      <family val="2"/>
      <scheme val="minor"/>
    </font>
    <font>
      <b/>
      <sz val="14"/>
      <name val="Calibri"/>
      <family val="2"/>
      <scheme val="minor"/>
    </font>
    <font>
      <sz val="14"/>
      <color theme="0"/>
      <name val="Calibri"/>
      <family val="2"/>
      <scheme val="minor"/>
    </font>
    <font>
      <sz val="10"/>
      <color rgb="FF0000FF"/>
      <name val="Arial"/>
      <family val="2"/>
    </font>
    <font>
      <sz val="11"/>
      <name val="Calibri"/>
      <family val="2"/>
      <charset val="1"/>
    </font>
    <font>
      <sz val="10"/>
      <color rgb="FFFF0000"/>
      <name val="Arial"/>
      <family val="2"/>
    </font>
    <font>
      <sz val="11"/>
      <color theme="1"/>
      <name val="Calibri"/>
      <family val="2"/>
      <charset val="1"/>
    </font>
    <font>
      <sz val="11"/>
      <name val="Calibri"/>
      <family val="2"/>
      <scheme val="minor"/>
    </font>
    <font>
      <sz val="14"/>
      <name val="Calibri"/>
      <family val="2"/>
    </font>
    <font>
      <sz val="11"/>
      <color theme="1"/>
      <name val="Calibri"/>
      <family val="2"/>
    </font>
    <font>
      <sz val="8"/>
      <color theme="1"/>
      <name val="Arial"/>
      <family val="2"/>
    </font>
    <font>
      <sz val="10"/>
      <color theme="1"/>
      <name val="Arial"/>
      <family val="2"/>
    </font>
    <font>
      <sz val="10"/>
      <color theme="1"/>
      <name val="Arial"/>
      <family val="2"/>
      <charset val="1"/>
    </font>
    <font>
      <sz val="9"/>
      <name val="Arial"/>
      <family val="2"/>
    </font>
    <font>
      <sz val="8"/>
      <color theme="1"/>
      <name val="Arial"/>
      <family val="2"/>
      <charset val="1"/>
    </font>
    <font>
      <b/>
      <sz val="8"/>
      <color theme="1"/>
      <name val="Arial"/>
      <family val="2"/>
      <charset val="1"/>
    </font>
    <font>
      <b/>
      <sz val="11"/>
      <color theme="1"/>
      <name val="Calibri"/>
      <family val="2"/>
      <charset val="1"/>
    </font>
    <font>
      <sz val="10"/>
      <name val="Calibri"/>
      <family val="2"/>
      <scheme val="minor"/>
    </font>
    <font>
      <b/>
      <sz val="14"/>
      <name val="Calibri"/>
      <family val="2"/>
    </font>
    <font>
      <b/>
      <sz val="9"/>
      <name val="Calibri"/>
      <family val="2"/>
      <scheme val="minor"/>
    </font>
    <font>
      <sz val="14"/>
      <name val="Arial"/>
      <family val="2"/>
    </font>
    <font>
      <sz val="9"/>
      <color theme="1"/>
      <name val="Arial"/>
      <family val="2"/>
    </font>
    <font>
      <b/>
      <sz val="12"/>
      <color indexed="8"/>
      <name val="Calibri"/>
      <family val="2"/>
    </font>
    <font>
      <b/>
      <sz val="10"/>
      <color theme="1"/>
      <name val="Arial"/>
      <family val="2"/>
    </font>
    <font>
      <b/>
      <sz val="10"/>
      <color theme="1"/>
      <name val="Arial"/>
      <family val="2"/>
      <charset val="1"/>
    </font>
    <font>
      <b/>
      <sz val="10"/>
      <color theme="1"/>
      <name val="Calibri"/>
      <family val="2"/>
      <scheme val="minor"/>
    </font>
    <font>
      <sz val="14"/>
      <color indexed="8"/>
      <name val="Arial"/>
      <family val="2"/>
    </font>
    <font>
      <sz val="14"/>
      <color indexed="9"/>
      <name val="Arial"/>
      <family val="2"/>
    </font>
    <font>
      <sz val="14"/>
      <color theme="1"/>
      <name val="Arial"/>
      <family val="2"/>
    </font>
    <font>
      <sz val="16"/>
      <color indexed="8"/>
      <name val="Calibri"/>
      <family val="2"/>
    </font>
    <font>
      <b/>
      <sz val="16"/>
      <color indexed="8"/>
      <name val="Calibri"/>
      <family val="2"/>
    </font>
    <font>
      <sz val="18"/>
      <color indexed="8"/>
      <name val="Arial"/>
      <family val="2"/>
    </font>
    <font>
      <b/>
      <sz val="18"/>
      <name val="Arial"/>
      <family val="2"/>
    </font>
    <font>
      <b/>
      <sz val="18"/>
      <name val="Arial"/>
      <family val="2"/>
      <charset val="1"/>
    </font>
    <font>
      <sz val="18"/>
      <color indexed="8"/>
      <name val="Arial"/>
      <family val="2"/>
      <charset val="1"/>
    </font>
    <font>
      <b/>
      <sz val="18"/>
      <color indexed="8"/>
      <name val="Arial"/>
      <family val="2"/>
    </font>
    <font>
      <b/>
      <sz val="18"/>
      <color indexed="8"/>
      <name val="Arial"/>
      <family val="2"/>
      <charset val="1"/>
    </font>
    <font>
      <sz val="18"/>
      <color indexed="9"/>
      <name val="Arial"/>
      <family val="2"/>
    </font>
    <font>
      <sz val="18"/>
      <color indexed="9"/>
      <name val="Arial"/>
      <family val="2"/>
      <charset val="1"/>
    </font>
    <font>
      <sz val="18"/>
      <color indexed="8"/>
      <name val="Calibri"/>
      <family val="2"/>
      <charset val="1"/>
    </font>
    <font>
      <b/>
      <sz val="18"/>
      <color indexed="10"/>
      <name val="Arial"/>
      <family val="2"/>
    </font>
    <font>
      <sz val="18"/>
      <name val="Arial"/>
      <family val="2"/>
    </font>
    <font>
      <sz val="18"/>
      <name val="Arial"/>
      <family val="2"/>
      <charset val="1"/>
    </font>
    <font>
      <sz val="18"/>
      <color theme="1"/>
      <name val="Arial"/>
      <family val="2"/>
    </font>
    <font>
      <sz val="18"/>
      <color theme="1"/>
      <name val="Arial"/>
      <family val="2"/>
      <charset val="1"/>
    </font>
    <font>
      <b/>
      <u/>
      <sz val="18"/>
      <color indexed="8"/>
      <name val="Arial"/>
      <family val="2"/>
    </font>
    <font>
      <sz val="18"/>
      <color rgb="FFFF0000"/>
      <name val="Arial"/>
      <family val="2"/>
      <charset val="1"/>
    </font>
    <font>
      <u/>
      <sz val="18"/>
      <color indexed="8"/>
      <name val="Arial"/>
      <family val="2"/>
    </font>
    <font>
      <sz val="18"/>
      <color indexed="8"/>
      <name val="Calibri"/>
      <family val="2"/>
    </font>
    <font>
      <b/>
      <u val="singleAccounting"/>
      <sz val="18"/>
      <color indexed="8"/>
      <name val="Calibri"/>
      <family val="2"/>
    </font>
    <font>
      <b/>
      <sz val="18"/>
      <color indexed="8"/>
      <name val="Calibri"/>
      <family val="2"/>
    </font>
    <font>
      <b/>
      <sz val="20"/>
      <color indexed="8"/>
      <name val="Calibri"/>
      <family val="2"/>
    </font>
    <font>
      <sz val="48"/>
      <color indexed="8"/>
      <name val="Arial"/>
      <family val="2"/>
    </font>
    <font>
      <b/>
      <sz val="48"/>
      <name val="Arial"/>
      <family val="2"/>
    </font>
    <font>
      <b/>
      <sz val="48"/>
      <name val="Arial"/>
      <family val="2"/>
      <charset val="1"/>
    </font>
    <font>
      <sz val="48"/>
      <color indexed="8"/>
      <name val="Arial"/>
      <family val="2"/>
      <charset val="1"/>
    </font>
    <font>
      <b/>
      <sz val="48"/>
      <color indexed="8"/>
      <name val="Arial"/>
      <family val="2"/>
    </font>
    <font>
      <b/>
      <sz val="48"/>
      <color indexed="8"/>
      <name val="Arial"/>
      <family val="2"/>
      <charset val="1"/>
    </font>
    <font>
      <sz val="48"/>
      <color indexed="9"/>
      <name val="Arial"/>
      <family val="2"/>
    </font>
    <font>
      <sz val="48"/>
      <color indexed="9"/>
      <name val="Arial"/>
      <family val="2"/>
      <charset val="1"/>
    </font>
    <font>
      <sz val="48"/>
      <color indexed="8"/>
      <name val="Calibri"/>
      <family val="2"/>
      <charset val="1"/>
    </font>
    <font>
      <b/>
      <sz val="48"/>
      <color indexed="10"/>
      <name val="Arial"/>
      <family val="2"/>
    </font>
    <font>
      <sz val="48"/>
      <name val="Arial"/>
      <family val="2"/>
    </font>
    <font>
      <sz val="48"/>
      <name val="Arial"/>
      <family val="2"/>
      <charset val="1"/>
    </font>
    <font>
      <sz val="48"/>
      <color theme="1"/>
      <name val="Arial"/>
      <family val="2"/>
    </font>
    <font>
      <sz val="48"/>
      <color theme="1"/>
      <name val="Arial"/>
      <family val="2"/>
      <charset val="1"/>
    </font>
    <font>
      <b/>
      <sz val="48"/>
      <color theme="1"/>
      <name val="Arial"/>
      <family val="2"/>
      <charset val="1"/>
    </font>
    <font>
      <b/>
      <u/>
      <sz val="48"/>
      <color indexed="8"/>
      <name val="Arial"/>
      <family val="2"/>
    </font>
    <font>
      <b/>
      <sz val="48"/>
      <color rgb="FFFF0000"/>
      <name val="Arial"/>
      <family val="2"/>
    </font>
    <font>
      <sz val="11"/>
      <color theme="1"/>
      <name val="Arial"/>
      <family val="2"/>
      <charset val="1"/>
    </font>
    <font>
      <b/>
      <sz val="11"/>
      <color theme="1"/>
      <name val="Arial"/>
      <family val="2"/>
    </font>
    <font>
      <b/>
      <sz val="12"/>
      <color theme="1"/>
      <name val="Arial"/>
      <family val="2"/>
    </font>
    <font>
      <b/>
      <sz val="12"/>
      <color theme="1"/>
      <name val="Arial"/>
      <family val="2"/>
      <charset val="1"/>
    </font>
    <font>
      <sz val="12"/>
      <color theme="1"/>
      <name val="Arial"/>
      <family val="2"/>
    </font>
    <font>
      <b/>
      <sz val="8"/>
      <color theme="1"/>
      <name val="Arial"/>
      <family val="2"/>
    </font>
    <font>
      <b/>
      <sz val="14"/>
      <color theme="1"/>
      <name val="Arial"/>
      <family val="2"/>
    </font>
    <font>
      <b/>
      <sz val="9"/>
      <color theme="1"/>
      <name val="Arial"/>
      <family val="2"/>
      <charset val="1"/>
    </font>
    <font>
      <b/>
      <sz val="11"/>
      <color theme="1"/>
      <name val="Arial"/>
      <family val="2"/>
      <charset val="1"/>
    </font>
    <font>
      <sz val="8"/>
      <color theme="1"/>
      <name val="Arial Narrow"/>
      <family val="2"/>
    </font>
    <font>
      <b/>
      <sz val="16"/>
      <color theme="1"/>
      <name val="Arial"/>
      <family val="2"/>
    </font>
    <font>
      <sz val="7"/>
      <color theme="1"/>
      <name val="Arial"/>
      <family val="2"/>
      <charset val="1"/>
    </font>
    <font>
      <b/>
      <u/>
      <sz val="10"/>
      <color theme="1"/>
      <name val="Arial"/>
      <family val="2"/>
    </font>
    <font>
      <sz val="11"/>
      <color indexed="8"/>
      <name val="Calibri"/>
      <family val="2"/>
      <scheme val="minor"/>
    </font>
    <font>
      <b/>
      <u/>
      <sz val="14"/>
      <name val="Calibri"/>
      <family val="2"/>
      <scheme val="minor"/>
    </font>
    <font>
      <sz val="24"/>
      <color theme="1"/>
      <name val="Arial"/>
      <family val="2"/>
    </font>
    <font>
      <b/>
      <sz val="24"/>
      <color indexed="8"/>
      <name val="Arial"/>
      <family val="2"/>
      <charset val="1"/>
    </font>
    <font>
      <b/>
      <sz val="11"/>
      <color theme="0"/>
      <name val="Arial"/>
      <family val="2"/>
      <charset val="1"/>
    </font>
    <font>
      <b/>
      <sz val="24"/>
      <name val="Arial"/>
      <family val="2"/>
      <charset val="1"/>
    </font>
    <font>
      <b/>
      <sz val="24"/>
      <color theme="1"/>
      <name val="Arial"/>
      <family val="2"/>
    </font>
    <font>
      <sz val="7"/>
      <color theme="1"/>
      <name val="Arial"/>
      <family val="2"/>
    </font>
    <font>
      <b/>
      <sz val="24"/>
      <color indexed="8"/>
      <name val="Arial"/>
      <family val="2"/>
    </font>
    <font>
      <sz val="24"/>
      <color indexed="8"/>
      <name val="Arial"/>
      <family val="2"/>
    </font>
    <font>
      <sz val="24"/>
      <color indexed="8"/>
      <name val="Arial"/>
      <family val="2"/>
      <charset val="1"/>
    </font>
    <font>
      <u/>
      <sz val="24"/>
      <color indexed="8"/>
      <name val="Arial"/>
      <family val="2"/>
    </font>
    <font>
      <sz val="24"/>
      <color indexed="8"/>
      <name val="Calibri"/>
      <family val="2"/>
    </font>
    <font>
      <b/>
      <sz val="24"/>
      <color indexed="10"/>
      <name val="Arial"/>
      <family val="2"/>
      <charset val="1"/>
    </font>
    <font>
      <sz val="24"/>
      <name val="Arial"/>
      <family val="2"/>
    </font>
    <font>
      <b/>
      <sz val="24"/>
      <name val="Arial"/>
      <family val="2"/>
    </font>
    <font>
      <b/>
      <sz val="24"/>
      <color rgb="FFFF0000"/>
      <name val="Arial"/>
      <family val="2"/>
    </font>
    <font>
      <sz val="24"/>
      <name val="Arial"/>
      <family val="2"/>
      <charset val="1"/>
    </font>
    <font>
      <sz val="24"/>
      <color rgb="FFFF0000"/>
      <name val="Arial"/>
      <family val="2"/>
    </font>
    <font>
      <sz val="24"/>
      <color rgb="FF0000FF"/>
      <name val="Arial"/>
      <family val="2"/>
    </font>
    <font>
      <sz val="24"/>
      <color rgb="FFFF0000"/>
      <name val="Calibri"/>
      <family val="2"/>
    </font>
    <font>
      <sz val="24"/>
      <color rgb="FFFF0000"/>
      <name val="Arial"/>
      <family val="2"/>
      <charset val="1"/>
    </font>
    <font>
      <b/>
      <sz val="24"/>
      <color rgb="FFFF0000"/>
      <name val="Arial"/>
      <family val="2"/>
      <charset val="1"/>
    </font>
    <font>
      <b/>
      <sz val="9"/>
      <color theme="1"/>
      <name val="Arial"/>
      <family val="2"/>
    </font>
  </fonts>
  <fills count="53">
    <fill>
      <patternFill patternType="none"/>
    </fill>
    <fill>
      <patternFill patternType="gray125"/>
    </fill>
    <fill>
      <patternFill patternType="solid">
        <fgColor indexed="31"/>
        <bgColor indexed="27"/>
      </patternFill>
    </fill>
    <fill>
      <patternFill patternType="solid">
        <fgColor indexed="45"/>
        <bgColor indexed="46"/>
      </patternFill>
    </fill>
    <fill>
      <patternFill patternType="solid">
        <fgColor indexed="42"/>
        <bgColor indexed="26"/>
      </patternFill>
    </fill>
    <fill>
      <patternFill patternType="solid">
        <fgColor indexed="46"/>
        <bgColor indexed="24"/>
      </patternFill>
    </fill>
    <fill>
      <patternFill patternType="solid">
        <fgColor indexed="27"/>
        <bgColor indexed="26"/>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57"/>
      </patternFill>
    </fill>
    <fill>
      <patternFill patternType="solid">
        <fgColor indexed="51"/>
        <bgColor indexed="52"/>
      </patternFill>
    </fill>
    <fill>
      <patternFill patternType="solid">
        <fgColor indexed="43"/>
        <bgColor indexed="26"/>
      </patternFill>
    </fill>
    <fill>
      <patternFill patternType="solid">
        <fgColor indexed="26"/>
        <bgColor indexed="27"/>
      </patternFill>
    </fill>
    <fill>
      <patternFill patternType="solid">
        <fgColor indexed="40"/>
        <bgColor indexed="49"/>
      </patternFill>
    </fill>
    <fill>
      <patternFill patternType="solid">
        <fgColor indexed="13"/>
        <bgColor indexed="34"/>
      </patternFill>
    </fill>
    <fill>
      <patternFill patternType="solid">
        <fgColor indexed="9"/>
        <bgColor indexed="26"/>
      </patternFill>
    </fill>
    <fill>
      <patternFill patternType="solid">
        <fgColor indexed="23"/>
        <bgColor indexed="48"/>
      </patternFill>
    </fill>
    <fill>
      <patternFill patternType="solid">
        <fgColor indexed="50"/>
        <bgColor indexed="55"/>
      </patternFill>
    </fill>
    <fill>
      <patternFill patternType="solid">
        <fgColor indexed="10"/>
        <bgColor indexed="16"/>
      </patternFill>
    </fill>
    <fill>
      <patternFill patternType="solid">
        <fgColor indexed="54"/>
        <bgColor indexed="62"/>
      </patternFill>
    </fill>
    <fill>
      <patternFill patternType="solid">
        <fgColor theme="0"/>
        <bgColor indexed="64"/>
      </patternFill>
    </fill>
    <fill>
      <patternFill patternType="solid">
        <fgColor rgb="FFFFFF00"/>
        <bgColor indexed="64"/>
      </patternFill>
    </fill>
    <fill>
      <patternFill patternType="solid">
        <fgColor theme="0"/>
        <bgColor indexed="26"/>
      </patternFill>
    </fill>
    <fill>
      <patternFill patternType="solid">
        <fgColor theme="4"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bgColor indexed="34"/>
      </patternFill>
    </fill>
    <fill>
      <patternFill patternType="solid">
        <fgColor rgb="FFFFC0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00"/>
        <bgColor indexed="26"/>
      </patternFill>
    </fill>
    <fill>
      <patternFill patternType="solid">
        <fgColor rgb="FF92D050"/>
        <bgColor indexed="64"/>
      </patternFill>
    </fill>
    <fill>
      <patternFill patternType="solid">
        <fgColor theme="5" tint="0.79998168889431442"/>
        <bgColor indexed="64"/>
      </patternFill>
    </fill>
    <fill>
      <patternFill patternType="solid">
        <fgColor theme="5" tint="0.79998168889431442"/>
        <bgColor indexed="26"/>
      </patternFill>
    </fill>
    <fill>
      <patternFill patternType="solid">
        <fgColor rgb="FF00FFFF"/>
        <bgColor indexed="64"/>
      </patternFill>
    </fill>
    <fill>
      <patternFill patternType="solid">
        <fgColor theme="6"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theme="2" tint="-0.249977111117893"/>
        <bgColor indexed="26"/>
      </patternFill>
    </fill>
    <fill>
      <patternFill patternType="solid">
        <fgColor theme="7" tint="0.59999389629810485"/>
        <bgColor indexed="26"/>
      </patternFill>
    </fill>
    <fill>
      <patternFill patternType="solid">
        <fgColor theme="5" tint="0.39997558519241921"/>
        <bgColor indexed="26"/>
      </patternFill>
    </fill>
    <fill>
      <patternFill patternType="solid">
        <fgColor theme="6" tint="0.59999389629810485"/>
        <bgColor indexed="26"/>
      </patternFill>
    </fill>
    <fill>
      <patternFill patternType="solid">
        <fgColor theme="8" tint="0.59999389629810485"/>
        <bgColor indexed="26"/>
      </patternFill>
    </fill>
    <fill>
      <patternFill patternType="solid">
        <fgColor theme="8" tint="-0.249977111117893"/>
        <bgColor indexed="64"/>
      </patternFill>
    </fill>
    <fill>
      <patternFill patternType="solid">
        <fgColor theme="7" tint="0.39997558519241921"/>
        <bgColor indexed="64"/>
      </patternFill>
    </fill>
    <fill>
      <patternFill patternType="solid">
        <fgColor theme="0"/>
        <bgColor indexed="45"/>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B050"/>
        <bgColor indexed="26"/>
      </patternFill>
    </fill>
    <fill>
      <patternFill patternType="solid">
        <fgColor rgb="FF00B050"/>
        <bgColor indexed="64"/>
      </patternFill>
    </fill>
    <fill>
      <patternFill patternType="solid">
        <fgColor theme="4" tint="0.59999389629810485"/>
        <bgColor indexed="26"/>
      </patternFill>
    </fill>
    <fill>
      <patternFill patternType="solid">
        <fgColor theme="5" tint="0.39997558519241921"/>
        <bgColor indexed="64"/>
      </patternFill>
    </fill>
  </fills>
  <borders count="103">
    <border>
      <left/>
      <right/>
      <top/>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bottom/>
      <diagonal/>
    </border>
    <border>
      <left/>
      <right style="medium">
        <color indexed="8"/>
      </right>
      <top/>
      <bottom/>
      <diagonal/>
    </border>
    <border>
      <left/>
      <right/>
      <top/>
      <bottom style="thin">
        <color indexed="8"/>
      </bottom>
      <diagonal/>
    </border>
    <border>
      <left style="hair">
        <color indexed="8"/>
      </left>
      <right/>
      <top style="thin">
        <color indexed="8"/>
      </top>
      <bottom style="hair">
        <color indexed="8"/>
      </bottom>
      <diagonal/>
    </border>
    <border>
      <left style="hair">
        <color indexed="8"/>
      </left>
      <right style="hair">
        <color indexed="8"/>
      </right>
      <top style="thin">
        <color indexed="8"/>
      </top>
      <bottom style="hair">
        <color indexed="8"/>
      </bottom>
      <diagonal/>
    </border>
    <border>
      <left style="medium">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thin">
        <color indexed="8"/>
      </top>
      <bottom style="hair">
        <color indexed="8"/>
      </bottom>
      <diagonal/>
    </border>
    <border>
      <left/>
      <right style="thin">
        <color indexed="8"/>
      </right>
      <top style="thin">
        <color indexed="8"/>
      </top>
      <bottom style="thin">
        <color indexed="8"/>
      </bottom>
      <diagonal/>
    </border>
    <border>
      <left/>
      <right/>
      <top style="thin">
        <color indexed="8"/>
      </top>
      <bottom style="double">
        <color indexed="8"/>
      </bottom>
      <diagonal/>
    </border>
    <border>
      <left style="medium">
        <color indexed="8"/>
      </left>
      <right style="hair">
        <color indexed="8"/>
      </right>
      <top/>
      <bottom style="hair">
        <color indexed="8"/>
      </bottom>
      <diagonal/>
    </border>
    <border>
      <left style="hair">
        <color indexed="8"/>
      </left>
      <right style="hair">
        <color indexed="8"/>
      </right>
      <top/>
      <bottom style="hair">
        <color indexed="8"/>
      </bottom>
      <diagonal/>
    </border>
    <border>
      <left style="hair">
        <color indexed="8"/>
      </left>
      <right/>
      <top/>
      <bottom style="hair">
        <color indexed="8"/>
      </bottom>
      <diagonal/>
    </border>
    <border>
      <left style="hair">
        <color indexed="8"/>
      </left>
      <right style="medium">
        <color indexed="8"/>
      </right>
      <top/>
      <bottom style="hair">
        <color indexed="8"/>
      </bottom>
      <diagonal/>
    </border>
    <border>
      <left/>
      <right style="hair">
        <color indexed="8"/>
      </right>
      <top/>
      <bottom style="hair">
        <color indexed="8"/>
      </bottom>
      <diagonal/>
    </border>
    <border>
      <left/>
      <right/>
      <top/>
      <bottom style="double">
        <color indexed="8"/>
      </bottom>
      <diagonal/>
    </border>
    <border>
      <left/>
      <right style="thin">
        <color indexed="8"/>
      </right>
      <top/>
      <bottom style="thin">
        <color indexed="8"/>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thin">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right/>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8"/>
      </left>
      <right style="medium">
        <color indexed="8"/>
      </right>
      <top style="medium">
        <color indexed="8"/>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thin">
        <color indexed="8"/>
      </right>
      <top style="medium">
        <color indexed="64"/>
      </top>
      <bottom style="thin">
        <color indexed="8"/>
      </bottom>
      <diagonal/>
    </border>
    <border>
      <left style="medium">
        <color indexed="8"/>
      </left>
      <right style="thin">
        <color indexed="8"/>
      </right>
      <top style="medium">
        <color indexed="64"/>
      </top>
      <bottom/>
      <diagonal/>
    </border>
    <border>
      <left style="thin">
        <color indexed="8"/>
      </left>
      <right/>
      <top style="medium">
        <color indexed="64"/>
      </top>
      <bottom/>
      <diagonal/>
    </border>
    <border>
      <left style="thin">
        <color indexed="8"/>
      </left>
      <right style="medium">
        <color indexed="8"/>
      </right>
      <top style="medium">
        <color indexed="64"/>
      </top>
      <bottom/>
      <diagonal/>
    </border>
    <border>
      <left style="thin">
        <color indexed="8"/>
      </left>
      <right style="thin">
        <color indexed="8"/>
      </right>
      <top style="thin">
        <color indexed="8"/>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medium">
        <color indexed="64"/>
      </bottom>
      <diagonal/>
    </border>
    <border>
      <left style="hair">
        <color indexed="64"/>
      </left>
      <right style="hair">
        <color indexed="64"/>
      </right>
      <top style="hair">
        <color indexed="64"/>
      </top>
      <bottom/>
      <diagonal/>
    </border>
    <border>
      <left/>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bottom/>
      <diagonal/>
    </border>
    <border>
      <left/>
      <right/>
      <top style="thin">
        <color indexed="64"/>
      </top>
      <bottom style="thin">
        <color indexed="64"/>
      </bottom>
      <diagonal/>
    </border>
    <border>
      <left style="hair">
        <color indexed="64"/>
      </left>
      <right style="hair">
        <color indexed="64"/>
      </right>
      <top style="hair">
        <color indexed="64"/>
      </top>
      <bottom style="dotted">
        <color indexed="64"/>
      </bottom>
      <diagonal/>
    </border>
    <border>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top style="thin">
        <color indexed="8"/>
      </top>
      <bottom/>
      <diagonal/>
    </border>
    <border>
      <left style="hair">
        <color indexed="8"/>
      </left>
      <right style="medium">
        <color indexed="8"/>
      </right>
      <top style="thin">
        <color indexed="8"/>
      </top>
      <bottom/>
      <diagonal/>
    </border>
    <border>
      <left style="medium">
        <color indexed="8"/>
      </left>
      <right style="hair">
        <color indexed="8"/>
      </right>
      <top style="thin">
        <color indexed="8"/>
      </top>
      <bottom/>
      <diagonal/>
    </border>
    <border>
      <left style="hair">
        <color indexed="64"/>
      </left>
      <right/>
      <top style="medium">
        <color indexed="64"/>
      </top>
      <bottom style="medium">
        <color indexed="64"/>
      </bottom>
      <diagonal/>
    </border>
  </borders>
  <cellStyleXfs count="296">
    <xf numFmtId="0" fontId="0" fillId="0" borderId="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6" fillId="0" borderId="0" applyBorder="0" applyProtection="0"/>
    <xf numFmtId="0" fontId="16" fillId="0" borderId="0" applyBorder="0" applyProtection="0">
      <alignment horizontal="left"/>
    </xf>
    <xf numFmtId="166" fontId="17" fillId="0" borderId="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18" fillId="0" borderId="0" applyFill="0" applyBorder="0" applyAlignment="0" applyProtection="0"/>
    <xf numFmtId="167" fontId="49" fillId="0" borderId="0" applyBorder="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18" fillId="0" borderId="0" applyFill="0" applyBorder="0" applyAlignment="0" applyProtection="0"/>
    <xf numFmtId="168" fontId="49" fillId="0" borderId="0" applyFill="0" applyBorder="0" applyAlignment="0" applyProtection="0"/>
    <xf numFmtId="168" fontId="18"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0" fontId="16" fillId="0" borderId="0" applyBorder="0" applyProtection="0"/>
    <xf numFmtId="0" fontId="17" fillId="0" borderId="0"/>
    <xf numFmtId="166" fontId="17" fillId="0" borderId="0"/>
    <xf numFmtId="166" fontId="49" fillId="0" borderId="0" applyFill="0" applyBorder="0" applyAlignment="0" applyProtection="0"/>
    <xf numFmtId="166"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0" fontId="16" fillId="0" borderId="0"/>
    <xf numFmtId="0" fontId="16" fillId="0" borderId="0"/>
    <xf numFmtId="0" fontId="49" fillId="0" borderId="0"/>
    <xf numFmtId="0" fontId="18" fillId="0" borderId="0"/>
    <xf numFmtId="0" fontId="4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9" fillId="0" borderId="0"/>
    <xf numFmtId="0" fontId="18" fillId="0" borderId="0"/>
    <xf numFmtId="0" fontId="18" fillId="0" borderId="0"/>
    <xf numFmtId="0" fontId="18" fillId="0" borderId="0"/>
    <xf numFmtId="0" fontId="49" fillId="0" borderId="0"/>
    <xf numFmtId="0" fontId="49"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49" fillId="0" borderId="0"/>
    <xf numFmtId="0" fontId="15" fillId="0" borderId="0"/>
    <xf numFmtId="0" fontId="49" fillId="0" borderId="0"/>
    <xf numFmtId="0" fontId="49" fillId="0" borderId="0"/>
    <xf numFmtId="0" fontId="49" fillId="0" borderId="0"/>
    <xf numFmtId="0" fontId="15" fillId="0" borderId="0"/>
    <xf numFmtId="0" fontId="15" fillId="0" borderId="0"/>
    <xf numFmtId="0" fontId="15" fillId="0" borderId="0"/>
    <xf numFmtId="0" fontId="18"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49" fillId="0" borderId="0"/>
    <xf numFmtId="0" fontId="49" fillId="0" borderId="0"/>
    <xf numFmtId="0" fontId="18" fillId="0" borderId="0"/>
    <xf numFmtId="0" fontId="49" fillId="0" borderId="0"/>
    <xf numFmtId="0" fontId="49" fillId="0" borderId="0"/>
    <xf numFmtId="0" fontId="49" fillId="12" borderId="1" applyNumberFormat="0" applyAlignment="0" applyProtection="0"/>
    <xf numFmtId="0" fontId="49" fillId="12" borderId="1" applyNumberFormat="0" applyAlignment="0" applyProtection="0"/>
    <xf numFmtId="0" fontId="49" fillId="13" borderId="2" applyNumberFormat="0" applyAlignment="0" applyProtection="0"/>
    <xf numFmtId="0" fontId="49" fillId="13" borderId="2" applyNumberFormat="0" applyAlignment="0" applyProtection="0"/>
    <xf numFmtId="0" fontId="49" fillId="13" borderId="2" applyNumberFormat="0" applyAlignment="0" applyProtection="0"/>
    <xf numFmtId="0" fontId="49" fillId="13" borderId="2" applyNumberFormat="0" applyAlignment="0" applyProtection="0"/>
    <xf numFmtId="0" fontId="49" fillId="12" borderId="1" applyNumberFormat="0" applyAlignment="0" applyProtection="0"/>
    <xf numFmtId="0" fontId="49" fillId="13" borderId="2" applyNumberFormat="0" applyAlignment="0" applyProtection="0"/>
    <xf numFmtId="0" fontId="49" fillId="12" borderId="1" applyNumberFormat="0" applyAlignment="0" applyProtection="0"/>
    <xf numFmtId="9" fontId="17" fillId="0" borderId="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18" fillId="0" borderId="0" applyFill="0" applyBorder="0" applyAlignment="0" applyProtection="0"/>
    <xf numFmtId="9" fontId="17" fillId="0" borderId="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0" fontId="20" fillId="0" borderId="0" applyBorder="0" applyProtection="0"/>
    <xf numFmtId="0" fontId="20" fillId="0" borderId="0" applyBorder="0" applyProtection="0">
      <alignment horizontal="left"/>
    </xf>
    <xf numFmtId="0" fontId="16" fillId="0" borderId="0" applyBorder="0" applyProtection="0"/>
    <xf numFmtId="0" fontId="14" fillId="0" borderId="0"/>
    <xf numFmtId="165" fontId="14" fillId="0" borderId="0" applyFont="0" applyFill="0" applyBorder="0" applyAlignment="0" applyProtection="0"/>
    <xf numFmtId="0" fontId="13" fillId="0" borderId="0"/>
    <xf numFmtId="0" fontId="13" fillId="0" borderId="0"/>
    <xf numFmtId="0" fontId="10" fillId="0" borderId="0"/>
    <xf numFmtId="0" fontId="9" fillId="0" borderId="0"/>
    <xf numFmtId="0" fontId="8" fillId="0" borderId="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5"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cellStyleXfs>
  <cellXfs count="1387">
    <xf numFmtId="0" fontId="0" fillId="0" borderId="0" xfId="0"/>
    <xf numFmtId="0" fontId="17" fillId="0" borderId="0" xfId="93"/>
    <xf numFmtId="166" fontId="17" fillId="0" borderId="0" xfId="94"/>
    <xf numFmtId="0" fontId="22" fillId="0" borderId="0" xfId="93" applyFont="1"/>
    <xf numFmtId="0" fontId="27" fillId="0" borderId="0" xfId="93" applyFont="1"/>
    <xf numFmtId="0" fontId="24" fillId="0" borderId="0" xfId="93" applyFont="1"/>
    <xf numFmtId="0" fontId="28" fillId="0" borderId="0" xfId="93" applyFont="1"/>
    <xf numFmtId="0" fontId="22" fillId="0" borderId="0" xfId="93" applyFont="1" applyAlignment="1">
      <alignment horizontal="center"/>
    </xf>
    <xf numFmtId="0" fontId="28" fillId="0" borderId="0" xfId="93" applyFont="1" applyAlignment="1">
      <alignment horizontal="center"/>
    </xf>
    <xf numFmtId="0" fontId="35" fillId="0" borderId="0" xfId="93" applyFont="1" applyAlignment="1">
      <alignment horizontal="left"/>
    </xf>
    <xf numFmtId="0" fontId="36" fillId="0" borderId="0" xfId="93" applyFont="1" applyAlignment="1">
      <alignment horizontal="left"/>
    </xf>
    <xf numFmtId="40" fontId="22" fillId="0" borderId="0" xfId="93" applyNumberFormat="1" applyFont="1"/>
    <xf numFmtId="166" fontId="15" fillId="0" borderId="0" xfId="94" applyFont="1"/>
    <xf numFmtId="170" fontId="15" fillId="0" borderId="0" xfId="93" applyNumberFormat="1" applyFont="1"/>
    <xf numFmtId="0" fontId="15" fillId="0" borderId="0" xfId="93" applyFont="1"/>
    <xf numFmtId="0" fontId="25" fillId="0" borderId="0" xfId="93" applyFont="1"/>
    <xf numFmtId="0" fontId="31" fillId="0" borderId="0" xfId="93" applyFont="1"/>
    <xf numFmtId="0" fontId="30" fillId="0" borderId="0" xfId="93" applyFont="1"/>
    <xf numFmtId="170" fontId="15" fillId="0" borderId="28" xfId="93" applyNumberFormat="1" applyFont="1" applyBorder="1"/>
    <xf numFmtId="0" fontId="17" fillId="0" borderId="5" xfId="93" applyBorder="1"/>
    <xf numFmtId="166" fontId="17" fillId="0" borderId="5" xfId="94" applyBorder="1"/>
    <xf numFmtId="1" fontId="17" fillId="0" borderId="5" xfId="93" applyNumberFormat="1" applyBorder="1"/>
    <xf numFmtId="0" fontId="17" fillId="0" borderId="3" xfId="93" applyBorder="1"/>
    <xf numFmtId="173" fontId="17" fillId="0" borderId="27" xfId="93" applyNumberFormat="1" applyBorder="1" applyAlignment="1">
      <alignment horizontal="right"/>
    </xf>
    <xf numFmtId="0" fontId="0" fillId="0" borderId="3" xfId="93" applyFont="1" applyBorder="1"/>
    <xf numFmtId="0" fontId="22" fillId="16" borderId="3" xfId="93" applyFont="1" applyFill="1" applyBorder="1"/>
    <xf numFmtId="0" fontId="22" fillId="16" borderId="0" xfId="93" applyFont="1" applyFill="1"/>
    <xf numFmtId="0" fontId="38" fillId="0" borderId="0" xfId="93" applyFont="1"/>
    <xf numFmtId="166" fontId="17" fillId="0" borderId="0" xfId="93" applyNumberFormat="1"/>
    <xf numFmtId="173" fontId="39" fillId="0" borderId="0" xfId="93" applyNumberFormat="1" applyFont="1" applyAlignment="1">
      <alignment horizontal="left"/>
    </xf>
    <xf numFmtId="1" fontId="32" fillId="0" borderId="0" xfId="0" applyNumberFormat="1" applyFont="1"/>
    <xf numFmtId="0" fontId="27" fillId="15" borderId="3" xfId="93" applyFont="1" applyFill="1" applyBorder="1"/>
    <xf numFmtId="0" fontId="17" fillId="15" borderId="0" xfId="93" applyFill="1"/>
    <xf numFmtId="0" fontId="0" fillId="15" borderId="0" xfId="0" applyFill="1" applyAlignment="1">
      <alignment horizontal="left"/>
    </xf>
    <xf numFmtId="0" fontId="41" fillId="0" borderId="0" xfId="0" applyFont="1" applyAlignment="1">
      <alignment vertical="center"/>
    </xf>
    <xf numFmtId="0" fontId="42" fillId="0" borderId="0" xfId="0" applyFont="1"/>
    <xf numFmtId="0" fontId="42" fillId="16" borderId="0" xfId="0" applyFont="1" applyFill="1"/>
    <xf numFmtId="0" fontId="27" fillId="0" borderId="39" xfId="93" applyFont="1" applyBorder="1"/>
    <xf numFmtId="0" fontId="22" fillId="15" borderId="0" xfId="93" applyFont="1" applyFill="1"/>
    <xf numFmtId="0" fontId="22" fillId="14" borderId="0" xfId="93" applyFont="1" applyFill="1"/>
    <xf numFmtId="0" fontId="39" fillId="0" borderId="0" xfId="93" applyFont="1"/>
    <xf numFmtId="0" fontId="40" fillId="0" borderId="0" xfId="93" applyFont="1"/>
    <xf numFmtId="0" fontId="27" fillId="0" borderId="21" xfId="93" applyFont="1" applyBorder="1"/>
    <xf numFmtId="0" fontId="27" fillId="0" borderId="3" xfId="93" applyFont="1" applyBorder="1"/>
    <xf numFmtId="0" fontId="22" fillId="0" borderId="39" xfId="93" applyFont="1" applyBorder="1"/>
    <xf numFmtId="0" fontId="38" fillId="16" borderId="0" xfId="93" applyFont="1" applyFill="1"/>
    <xf numFmtId="0" fontId="22" fillId="16" borderId="39" xfId="93" applyFont="1" applyFill="1" applyBorder="1"/>
    <xf numFmtId="0" fontId="37" fillId="0" borderId="0" xfId="93" applyFont="1"/>
    <xf numFmtId="0" fontId="32" fillId="0" borderId="7" xfId="93" applyFont="1" applyBorder="1" applyAlignment="1">
      <alignment horizontal="center"/>
    </xf>
    <xf numFmtId="166" fontId="32" fillId="0" borderId="7" xfId="15" applyFont="1" applyBorder="1" applyAlignment="1">
      <alignment horizontal="center"/>
    </xf>
    <xf numFmtId="170" fontId="28" fillId="0" borderId="0" xfId="93" applyNumberFormat="1" applyFont="1" applyAlignment="1">
      <alignment horizontal="center" wrapText="1"/>
    </xf>
    <xf numFmtId="4" fontId="15" fillId="0" borderId="0" xfId="93" applyNumberFormat="1" applyFont="1"/>
    <xf numFmtId="38" fontId="22" fillId="0" borderId="0" xfId="93" applyNumberFormat="1" applyFont="1"/>
    <xf numFmtId="4" fontId="25" fillId="0" borderId="0" xfId="94" applyNumberFormat="1" applyFont="1"/>
    <xf numFmtId="4" fontId="15" fillId="0" borderId="0" xfId="94" applyNumberFormat="1" applyFont="1"/>
    <xf numFmtId="4" fontId="15" fillId="0" borderId="0" xfId="0" applyNumberFormat="1" applyFont="1"/>
    <xf numFmtId="166" fontId="15" fillId="0" borderId="0" xfId="94" applyFont="1" applyAlignment="1">
      <alignment horizontal="right"/>
    </xf>
    <xf numFmtId="166" fontId="25" fillId="0" borderId="0" xfId="94" applyFont="1"/>
    <xf numFmtId="4" fontId="25" fillId="0" borderId="28" xfId="93" applyNumberFormat="1" applyFont="1" applyBorder="1"/>
    <xf numFmtId="0" fontId="37" fillId="0" borderId="42" xfId="93" applyFont="1" applyBorder="1" applyAlignment="1">
      <alignment wrapText="1"/>
    </xf>
    <xf numFmtId="2" fontId="17" fillId="0" borderId="5" xfId="93" applyNumberFormat="1" applyBorder="1"/>
    <xf numFmtId="1" fontId="17" fillId="0" borderId="27" xfId="93" applyNumberFormat="1" applyBorder="1"/>
    <xf numFmtId="0" fontId="27" fillId="14" borderId="3" xfId="93" applyFont="1" applyFill="1" applyBorder="1"/>
    <xf numFmtId="174" fontId="39" fillId="0" borderId="0" xfId="93" applyNumberFormat="1" applyFont="1" applyAlignment="1">
      <alignment horizontal="left"/>
    </xf>
    <xf numFmtId="170" fontId="25" fillId="0" borderId="0" xfId="93" applyNumberFormat="1" applyFont="1"/>
    <xf numFmtId="0" fontId="15" fillId="0" borderId="0" xfId="93" applyFont="1" applyAlignment="1">
      <alignment horizontal="center"/>
    </xf>
    <xf numFmtId="0" fontId="46" fillId="0" borderId="0" xfId="93" applyFont="1" applyAlignment="1">
      <alignment horizontal="left"/>
    </xf>
    <xf numFmtId="170" fontId="25" fillId="0" borderId="0" xfId="93" applyNumberFormat="1" applyFont="1" applyAlignment="1">
      <alignment horizontal="center" wrapText="1"/>
    </xf>
    <xf numFmtId="170" fontId="25" fillId="0" borderId="0" xfId="93" applyNumberFormat="1" applyFont="1" applyAlignment="1">
      <alignment horizontal="center"/>
    </xf>
    <xf numFmtId="4" fontId="25" fillId="0" borderId="28" xfId="93" applyNumberFormat="1" applyFont="1" applyBorder="1" applyAlignment="1">
      <alignment horizontal="right" wrapText="1"/>
    </xf>
    <xf numFmtId="4" fontId="25" fillId="0" borderId="44" xfId="93" applyNumberFormat="1" applyFont="1" applyBorder="1" applyAlignment="1">
      <alignment horizontal="right" wrapText="1"/>
    </xf>
    <xf numFmtId="4" fontId="25" fillId="0" borderId="0" xfId="93" applyNumberFormat="1" applyFont="1" applyAlignment="1">
      <alignment horizontal="right" wrapText="1"/>
    </xf>
    <xf numFmtId="4" fontId="26" fillId="0" borderId="28" xfId="93" applyNumberFormat="1" applyFont="1" applyBorder="1"/>
    <xf numFmtId="4" fontId="25" fillId="0" borderId="28" xfId="94" applyNumberFormat="1" applyFont="1" applyBorder="1"/>
    <xf numFmtId="4" fontId="25" fillId="0" borderId="37" xfId="94" applyNumberFormat="1" applyFont="1" applyBorder="1"/>
    <xf numFmtId="0" fontId="17" fillId="0" borderId="41" xfId="93" applyBorder="1" applyAlignment="1">
      <alignment wrapText="1"/>
    </xf>
    <xf numFmtId="0" fontId="37" fillId="0" borderId="41" xfId="93" applyFont="1" applyBorder="1" applyAlignment="1">
      <alignment wrapText="1"/>
    </xf>
    <xf numFmtId="0" fontId="37" fillId="0" borderId="42" xfId="93" applyFont="1" applyBorder="1" applyAlignment="1">
      <alignment horizontal="center" wrapText="1"/>
    </xf>
    <xf numFmtId="0" fontId="37" fillId="0" borderId="43" xfId="93" applyFont="1" applyBorder="1" applyAlignment="1">
      <alignment wrapText="1"/>
    </xf>
    <xf numFmtId="0" fontId="17" fillId="0" borderId="0" xfId="93" applyAlignment="1">
      <alignment wrapText="1"/>
    </xf>
    <xf numFmtId="0" fontId="0" fillId="0" borderId="5" xfId="93" applyFont="1" applyBorder="1"/>
    <xf numFmtId="173" fontId="17" fillId="0" borderId="5" xfId="93" applyNumberFormat="1" applyBorder="1" applyAlignment="1">
      <alignment horizontal="right"/>
    </xf>
    <xf numFmtId="0" fontId="17" fillId="18" borderId="5" xfId="93" applyFill="1" applyBorder="1"/>
    <xf numFmtId="1" fontId="17" fillId="0" borderId="35" xfId="93" applyNumberFormat="1" applyBorder="1"/>
    <xf numFmtId="49" fontId="17" fillId="0" borderId="5" xfId="93" applyNumberFormat="1" applyBorder="1"/>
    <xf numFmtId="49" fontId="17" fillId="0" borderId="3" xfId="94" applyNumberFormat="1" applyBorder="1"/>
    <xf numFmtId="173" fontId="47" fillId="0" borderId="0" xfId="93" applyNumberFormat="1" applyFont="1" applyAlignment="1">
      <alignment horizontal="left"/>
    </xf>
    <xf numFmtId="0" fontId="17" fillId="14" borderId="0" xfId="93" applyFill="1"/>
    <xf numFmtId="173" fontId="47" fillId="14" borderId="0" xfId="93" applyNumberFormat="1" applyFont="1" applyFill="1" applyAlignment="1">
      <alignment horizontal="left"/>
    </xf>
    <xf numFmtId="0" fontId="39" fillId="16" borderId="0" xfId="93" applyFont="1" applyFill="1"/>
    <xf numFmtId="173" fontId="47" fillId="16" borderId="0" xfId="93" applyNumberFormat="1" applyFont="1" applyFill="1" applyAlignment="1">
      <alignment horizontal="left"/>
    </xf>
    <xf numFmtId="0" fontId="43" fillId="0" borderId="0" xfId="0" applyFont="1"/>
    <xf numFmtId="11" fontId="22" fillId="0" borderId="0" xfId="93" applyNumberFormat="1" applyFont="1"/>
    <xf numFmtId="173" fontId="48" fillId="0" borderId="0" xfId="93" applyNumberFormat="1" applyFont="1" applyAlignment="1">
      <alignment horizontal="left"/>
    </xf>
    <xf numFmtId="0" fontId="27" fillId="16" borderId="0" xfId="93" applyFont="1" applyFill="1"/>
    <xf numFmtId="173" fontId="48" fillId="16" borderId="0" xfId="93" applyNumberFormat="1" applyFont="1" applyFill="1" applyAlignment="1">
      <alignment horizontal="left"/>
    </xf>
    <xf numFmtId="0" fontId="44" fillId="16" borderId="0" xfId="0" applyFont="1" applyFill="1" applyAlignment="1">
      <alignment vertical="center"/>
    </xf>
    <xf numFmtId="0" fontId="47" fillId="0" borderId="0" xfId="93" applyFont="1"/>
    <xf numFmtId="0" fontId="0" fillId="0" borderId="7" xfId="93" applyFont="1" applyBorder="1"/>
    <xf numFmtId="0" fontId="45" fillId="0" borderId="0" xfId="93" applyFont="1"/>
    <xf numFmtId="0" fontId="22" fillId="0" borderId="30" xfId="93" applyFont="1" applyBorder="1"/>
    <xf numFmtId="168" fontId="32" fillId="0" borderId="34" xfId="109" applyFont="1" applyFill="1" applyBorder="1" applyAlignment="1" applyProtection="1"/>
    <xf numFmtId="0" fontId="0" fillId="21" borderId="3" xfId="0" applyFill="1" applyBorder="1"/>
    <xf numFmtId="4" fontId="22" fillId="0" borderId="0" xfId="93" applyNumberFormat="1" applyFont="1"/>
    <xf numFmtId="4" fontId="26" fillId="0" borderId="0" xfId="93" applyNumberFormat="1" applyFont="1"/>
    <xf numFmtId="165" fontId="15" fillId="24" borderId="0" xfId="93" applyNumberFormat="1" applyFont="1" applyFill="1"/>
    <xf numFmtId="170" fontId="53" fillId="24" borderId="0" xfId="93" applyNumberFormat="1" applyFont="1" applyFill="1"/>
    <xf numFmtId="4" fontId="15" fillId="24" borderId="0" xfId="93" applyNumberFormat="1" applyFont="1" applyFill="1"/>
    <xf numFmtId="4" fontId="15" fillId="21" borderId="0" xfId="93" applyNumberFormat="1" applyFont="1" applyFill="1"/>
    <xf numFmtId="173" fontId="17" fillId="21" borderId="27" xfId="93" applyNumberFormat="1" applyFill="1" applyBorder="1" applyAlignment="1">
      <alignment horizontal="right"/>
    </xf>
    <xf numFmtId="0" fontId="22" fillId="21" borderId="0" xfId="93" applyFont="1" applyFill="1"/>
    <xf numFmtId="40" fontId="22" fillId="21" borderId="0" xfId="93" applyNumberFormat="1" applyFont="1" applyFill="1"/>
    <xf numFmtId="166" fontId="15" fillId="21" borderId="0" xfId="94" applyFont="1" applyFill="1"/>
    <xf numFmtId="38" fontId="22" fillId="21" borderId="0" xfId="93" applyNumberFormat="1" applyFont="1" applyFill="1"/>
    <xf numFmtId="0" fontId="15" fillId="21" borderId="0" xfId="163" applyFill="1"/>
    <xf numFmtId="0" fontId="17" fillId="23" borderId="3" xfId="93" applyFill="1" applyBorder="1"/>
    <xf numFmtId="166" fontId="49" fillId="21" borderId="3" xfId="16" applyFill="1" applyBorder="1" applyAlignment="1" applyProtection="1"/>
    <xf numFmtId="0" fontId="0" fillId="21" borderId="0" xfId="0" applyFill="1"/>
    <xf numFmtId="173" fontId="17" fillId="25" borderId="27" xfId="93" applyNumberFormat="1" applyFill="1" applyBorder="1" applyAlignment="1">
      <alignment horizontal="right"/>
    </xf>
    <xf numFmtId="2" fontId="17" fillId="0" borderId="0" xfId="93" applyNumberFormat="1"/>
    <xf numFmtId="2" fontId="17" fillId="0" borderId="0" xfId="94" applyNumberFormat="1"/>
    <xf numFmtId="2" fontId="32" fillId="0" borderId="38" xfId="94" applyNumberFormat="1" applyFont="1" applyBorder="1" applyAlignment="1">
      <alignment wrapText="1"/>
    </xf>
    <xf numFmtId="2" fontId="17" fillId="0" borderId="5" xfId="94" applyNumberFormat="1" applyBorder="1"/>
    <xf numFmtId="0" fontId="19" fillId="0" borderId="0" xfId="93" applyFont="1"/>
    <xf numFmtId="170" fontId="53" fillId="21" borderId="0" xfId="93" applyNumberFormat="1" applyFont="1" applyFill="1"/>
    <xf numFmtId="165" fontId="15" fillId="21" borderId="0" xfId="93" applyNumberFormat="1" applyFont="1" applyFill="1"/>
    <xf numFmtId="0" fontId="15" fillId="21" borderId="0" xfId="93" applyFont="1" applyFill="1" applyAlignment="1">
      <alignment horizontal="right"/>
    </xf>
    <xf numFmtId="4" fontId="15" fillId="21" borderId="0" xfId="0" applyNumberFormat="1" applyFont="1" applyFill="1"/>
    <xf numFmtId="0" fontId="19" fillId="0" borderId="45" xfId="93" applyFont="1" applyBorder="1"/>
    <xf numFmtId="0" fontId="59" fillId="0" borderId="0" xfId="266" applyFont="1"/>
    <xf numFmtId="0" fontId="14" fillId="0" borderId="0" xfId="266"/>
    <xf numFmtId="175" fontId="14" fillId="0" borderId="0" xfId="266" applyNumberFormat="1"/>
    <xf numFmtId="0" fontId="14" fillId="0" borderId="69" xfId="266" applyBorder="1" applyAlignment="1">
      <alignment horizontal="center"/>
    </xf>
    <xf numFmtId="0" fontId="14" fillId="0" borderId="51" xfId="266" applyBorder="1" applyAlignment="1">
      <alignment horizontal="center"/>
    </xf>
    <xf numFmtId="175" fontId="14" fillId="0" borderId="51" xfId="266" applyNumberFormat="1" applyBorder="1" applyAlignment="1">
      <alignment horizontal="center"/>
    </xf>
    <xf numFmtId="0" fontId="14" fillId="0" borderId="48" xfId="266" applyBorder="1" applyAlignment="1">
      <alignment horizontal="center"/>
    </xf>
    <xf numFmtId="0" fontId="14" fillId="0" borderId="54" xfId="266" applyBorder="1" applyAlignment="1">
      <alignment horizontal="center"/>
    </xf>
    <xf numFmtId="175" fontId="14" fillId="0" borderId="54" xfId="266" applyNumberFormat="1" applyBorder="1" applyAlignment="1">
      <alignment horizontal="center"/>
    </xf>
    <xf numFmtId="164" fontId="14" fillId="0" borderId="0" xfId="266" applyNumberFormat="1"/>
    <xf numFmtId="0" fontId="14" fillId="0" borderId="54" xfId="266" applyBorder="1"/>
    <xf numFmtId="0" fontId="60" fillId="0" borderId="0" xfId="266" applyFont="1"/>
    <xf numFmtId="0" fontId="61" fillId="0" borderId="0" xfId="266" applyFont="1"/>
    <xf numFmtId="0" fontId="12" fillId="0" borderId="69" xfId="266" applyFont="1" applyBorder="1" applyAlignment="1">
      <alignment horizontal="center"/>
    </xf>
    <xf numFmtId="0" fontId="12" fillId="0" borderId="48" xfId="266" applyFont="1" applyBorder="1" applyAlignment="1">
      <alignment horizontal="center"/>
    </xf>
    <xf numFmtId="0" fontId="17" fillId="21" borderId="0" xfId="93" applyFill="1"/>
    <xf numFmtId="0" fontId="17" fillId="21" borderId="45" xfId="93" applyFill="1" applyBorder="1"/>
    <xf numFmtId="173" fontId="19" fillId="0" borderId="45" xfId="93" applyNumberFormat="1" applyFont="1" applyBorder="1"/>
    <xf numFmtId="173" fontId="19" fillId="0" borderId="45" xfId="93" applyNumberFormat="1" applyFont="1" applyBorder="1" applyAlignment="1">
      <alignment horizontal="right"/>
    </xf>
    <xf numFmtId="0" fontId="57" fillId="0" borderId="45" xfId="0" applyFont="1" applyBorder="1"/>
    <xf numFmtId="168" fontId="49" fillId="0" borderId="0" xfId="109" applyFill="1"/>
    <xf numFmtId="0" fontId="14" fillId="21" borderId="0" xfId="266" applyFill="1"/>
    <xf numFmtId="175" fontId="14" fillId="21" borderId="0" xfId="266" applyNumberFormat="1" applyFill="1"/>
    <xf numFmtId="166" fontId="17" fillId="0" borderId="45" xfId="94" applyBorder="1" applyAlignment="1">
      <alignment horizontal="center" vertical="center" wrapText="1"/>
    </xf>
    <xf numFmtId="2" fontId="32" fillId="0" borderId="45" xfId="94" applyNumberFormat="1" applyFont="1" applyBorder="1" applyAlignment="1">
      <alignment horizontal="center" wrapText="1"/>
    </xf>
    <xf numFmtId="2" fontId="32" fillId="0" borderId="45" xfId="94" applyNumberFormat="1" applyFont="1" applyBorder="1"/>
    <xf numFmtId="0" fontId="11" fillId="0" borderId="0" xfId="266" applyFont="1"/>
    <xf numFmtId="0" fontId="61" fillId="0" borderId="67" xfId="266" applyFont="1" applyBorder="1"/>
    <xf numFmtId="0" fontId="65" fillId="0" borderId="0" xfId="266" applyFont="1" applyAlignment="1">
      <alignment horizontal="center" vertical="center"/>
    </xf>
    <xf numFmtId="0" fontId="65" fillId="0" borderId="0" xfId="266" applyFont="1" applyAlignment="1">
      <alignment horizontal="center"/>
    </xf>
    <xf numFmtId="0" fontId="64" fillId="0" borderId="0" xfId="93" applyFont="1"/>
    <xf numFmtId="0" fontId="65" fillId="0" borderId="0" xfId="266" applyFont="1"/>
    <xf numFmtId="0" fontId="66" fillId="0" borderId="0" xfId="266" applyFont="1"/>
    <xf numFmtId="0" fontId="65" fillId="0" borderId="67" xfId="266" applyFont="1" applyBorder="1"/>
    <xf numFmtId="0" fontId="69" fillId="0" borderId="0" xfId="93" applyFont="1"/>
    <xf numFmtId="0" fontId="65" fillId="0" borderId="0" xfId="266" applyFont="1" applyAlignment="1">
      <alignment wrapText="1"/>
    </xf>
    <xf numFmtId="0" fontId="65" fillId="0" borderId="0" xfId="266" applyFont="1" applyAlignment="1">
      <alignment horizontal="left"/>
    </xf>
    <xf numFmtId="168" fontId="73" fillId="0" borderId="0" xfId="109" applyFont="1"/>
    <xf numFmtId="0" fontId="75" fillId="0" borderId="80" xfId="93" applyFont="1" applyBorder="1" applyAlignment="1" applyProtection="1">
      <alignment horizontal="left"/>
      <protection locked="0"/>
    </xf>
    <xf numFmtId="173" fontId="18" fillId="21" borderId="45" xfId="93" applyNumberFormat="1" applyFont="1" applyFill="1" applyBorder="1" applyAlignment="1">
      <alignment horizontal="right"/>
    </xf>
    <xf numFmtId="0" fontId="67" fillId="0" borderId="0" xfId="266" applyFont="1"/>
    <xf numFmtId="43" fontId="67" fillId="0" borderId="0" xfId="266" applyNumberFormat="1" applyFont="1"/>
    <xf numFmtId="0" fontId="72" fillId="0" borderId="0" xfId="266" applyFont="1"/>
    <xf numFmtId="0" fontId="69" fillId="21" borderId="45" xfId="93" applyFont="1" applyFill="1" applyBorder="1"/>
    <xf numFmtId="0" fontId="18" fillId="0" borderId="45" xfId="93" applyFont="1" applyBorder="1"/>
    <xf numFmtId="0" fontId="72" fillId="0" borderId="69" xfId="266" applyFont="1" applyBorder="1" applyAlignment="1">
      <alignment horizontal="center"/>
    </xf>
    <xf numFmtId="0" fontId="72" fillId="0" borderId="48" xfId="266" applyFont="1" applyBorder="1" applyAlignment="1">
      <alignment horizontal="center"/>
    </xf>
    <xf numFmtId="175" fontId="65" fillId="0" borderId="0" xfId="266" applyNumberFormat="1" applyFont="1"/>
    <xf numFmtId="175" fontId="66" fillId="0" borderId="0" xfId="266" applyNumberFormat="1" applyFont="1"/>
    <xf numFmtId="166" fontId="33" fillId="0" borderId="0" xfId="94" applyFont="1"/>
    <xf numFmtId="165" fontId="65" fillId="0" borderId="0" xfId="266" applyNumberFormat="1" applyFont="1"/>
    <xf numFmtId="43" fontId="66" fillId="0" borderId="46" xfId="266" applyNumberFormat="1" applyFont="1" applyBorder="1"/>
    <xf numFmtId="164" fontId="66" fillId="0" borderId="46" xfId="266" applyNumberFormat="1" applyFont="1" applyBorder="1"/>
    <xf numFmtId="164" fontId="66" fillId="0" borderId="0" xfId="266" applyNumberFormat="1" applyFont="1"/>
    <xf numFmtId="164" fontId="66" fillId="0" borderId="67" xfId="266" applyNumberFormat="1" applyFont="1" applyBorder="1"/>
    <xf numFmtId="164" fontId="65" fillId="0" borderId="0" xfId="266" applyNumberFormat="1" applyFont="1"/>
    <xf numFmtId="0" fontId="65" fillId="21" borderId="0" xfId="266" applyFont="1" applyFill="1"/>
    <xf numFmtId="0" fontId="7" fillId="0" borderId="0" xfId="266" applyFont="1"/>
    <xf numFmtId="0" fontId="7" fillId="0" borderId="50" xfId="266" applyFont="1" applyBorder="1" applyAlignment="1">
      <alignment horizontal="center"/>
    </xf>
    <xf numFmtId="0" fontId="7" fillId="0" borderId="53" xfId="266" applyFont="1" applyBorder="1" applyAlignment="1">
      <alignment horizontal="center"/>
    </xf>
    <xf numFmtId="168" fontId="73" fillId="21" borderId="0" xfId="109" applyFont="1" applyFill="1"/>
    <xf numFmtId="0" fontId="23" fillId="0" borderId="45" xfId="93" applyFont="1" applyBorder="1" applyAlignment="1">
      <alignment horizontal="center"/>
    </xf>
    <xf numFmtId="0" fontId="34" fillId="0" borderId="45" xfId="93" applyFont="1" applyBorder="1" applyAlignment="1">
      <alignment horizontal="center"/>
    </xf>
    <xf numFmtId="0" fontId="33" fillId="0" borderId="45" xfId="0" applyFont="1" applyBorder="1"/>
    <xf numFmtId="0" fontId="65" fillId="0" borderId="47" xfId="266" applyFont="1" applyBorder="1" applyAlignment="1">
      <alignment horizontal="center" vertical="center"/>
    </xf>
    <xf numFmtId="0" fontId="65" fillId="0" borderId="47" xfId="266" applyFont="1" applyBorder="1" applyAlignment="1">
      <alignment horizontal="center"/>
    </xf>
    <xf numFmtId="164" fontId="66" fillId="0" borderId="47" xfId="266" applyNumberFormat="1" applyFont="1" applyBorder="1"/>
    <xf numFmtId="175" fontId="66" fillId="0" borderId="47" xfId="266" applyNumberFormat="1" applyFont="1" applyBorder="1"/>
    <xf numFmtId="2" fontId="52" fillId="0" borderId="45" xfId="94" applyNumberFormat="1" applyFont="1" applyBorder="1" applyAlignment="1">
      <alignment horizontal="center" wrapText="1"/>
    </xf>
    <xf numFmtId="2" fontId="69" fillId="0" borderId="0" xfId="94" applyNumberFormat="1" applyFont="1"/>
    <xf numFmtId="0" fontId="75" fillId="21" borderId="80" xfId="93" applyFont="1" applyFill="1" applyBorder="1" applyAlignment="1" applyProtection="1">
      <alignment horizontal="left"/>
      <protection locked="0"/>
    </xf>
    <xf numFmtId="0" fontId="75" fillId="21" borderId="80" xfId="93" applyFont="1" applyFill="1" applyBorder="1" applyProtection="1">
      <protection locked="0"/>
    </xf>
    <xf numFmtId="0" fontId="79" fillId="21" borderId="80" xfId="93" applyFont="1" applyFill="1" applyBorder="1" applyProtection="1">
      <protection locked="0"/>
    </xf>
    <xf numFmtId="170" fontId="79" fillId="21" borderId="80" xfId="94" applyNumberFormat="1" applyFont="1" applyFill="1" applyBorder="1" applyProtection="1">
      <protection locked="0"/>
    </xf>
    <xf numFmtId="40" fontId="79" fillId="21" borderId="80" xfId="93" applyNumberFormat="1" applyFont="1" applyFill="1" applyBorder="1" applyProtection="1">
      <protection locked="0"/>
    </xf>
    <xf numFmtId="9" fontId="79" fillId="21" borderId="80" xfId="93" applyNumberFormat="1" applyFont="1" applyFill="1" applyBorder="1" applyProtection="1">
      <protection locked="0"/>
    </xf>
    <xf numFmtId="170" fontId="79" fillId="21" borderId="0" xfId="93" applyNumberFormat="1" applyFont="1" applyFill="1" applyProtection="1">
      <protection locked="0"/>
    </xf>
    <xf numFmtId="2" fontId="79" fillId="21" borderId="80" xfId="94" applyNumberFormat="1" applyFont="1" applyFill="1" applyBorder="1" applyProtection="1">
      <protection locked="0"/>
    </xf>
    <xf numFmtId="2" fontId="79" fillId="21" borderId="80" xfId="93" applyNumberFormat="1" applyFont="1" applyFill="1" applyBorder="1" applyProtection="1">
      <protection locked="0"/>
    </xf>
    <xf numFmtId="1" fontId="79" fillId="21" borderId="80" xfId="93" applyNumberFormat="1" applyFont="1" applyFill="1" applyBorder="1" applyProtection="1">
      <protection locked="0"/>
    </xf>
    <xf numFmtId="1" fontId="80" fillId="21" borderId="80" xfId="93" applyNumberFormat="1" applyFont="1" applyFill="1" applyBorder="1" applyProtection="1">
      <protection locked="0"/>
    </xf>
    <xf numFmtId="40" fontId="80" fillId="21" borderId="80" xfId="93" applyNumberFormat="1" applyFont="1" applyFill="1" applyBorder="1" applyProtection="1">
      <protection locked="0"/>
    </xf>
    <xf numFmtId="170" fontId="80" fillId="21" borderId="80" xfId="94" applyNumberFormat="1" applyFont="1" applyFill="1" applyBorder="1" applyProtection="1">
      <protection locked="0"/>
    </xf>
    <xf numFmtId="169" fontId="79" fillId="21" borderId="80" xfId="94" applyNumberFormat="1" applyFont="1" applyFill="1" applyBorder="1" applyProtection="1">
      <protection locked="0"/>
    </xf>
    <xf numFmtId="40" fontId="80" fillId="21" borderId="27" xfId="93" applyNumberFormat="1" applyFont="1" applyFill="1" applyBorder="1" applyProtection="1">
      <protection locked="0"/>
    </xf>
    <xf numFmtId="40" fontId="80" fillId="21" borderId="3" xfId="93" applyNumberFormat="1" applyFont="1" applyFill="1" applyBorder="1" applyProtection="1">
      <protection locked="0"/>
    </xf>
    <xf numFmtId="40" fontId="80" fillId="21" borderId="15" xfId="93" applyNumberFormat="1" applyFont="1" applyFill="1" applyBorder="1" applyProtection="1">
      <protection locked="0"/>
    </xf>
    <xf numFmtId="0" fontId="79" fillId="21" borderId="0" xfId="93" applyFont="1" applyFill="1" applyProtection="1">
      <protection locked="0"/>
    </xf>
    <xf numFmtId="9" fontId="71" fillId="21" borderId="80" xfId="257" applyFont="1" applyFill="1" applyBorder="1"/>
    <xf numFmtId="9" fontId="81" fillId="21" borderId="80" xfId="257" applyFont="1" applyFill="1" applyBorder="1"/>
    <xf numFmtId="0" fontId="72" fillId="0" borderId="50" xfId="266" applyFont="1" applyBorder="1" applyAlignment="1">
      <alignment horizontal="center"/>
    </xf>
    <xf numFmtId="0" fontId="72" fillId="0" borderId="51" xfId="266" applyFont="1" applyBorder="1" applyAlignment="1">
      <alignment horizontal="center"/>
    </xf>
    <xf numFmtId="168" fontId="73" fillId="0" borderId="51" xfId="109" applyFont="1" applyBorder="1" applyAlignment="1">
      <alignment horizontal="center"/>
    </xf>
    <xf numFmtId="0" fontId="72" fillId="0" borderId="53" xfId="266" applyFont="1" applyBorder="1" applyAlignment="1">
      <alignment horizontal="center"/>
    </xf>
    <xf numFmtId="0" fontId="72" fillId="0" borderId="54" xfId="266" applyFont="1" applyBorder="1" applyAlignment="1">
      <alignment horizontal="center"/>
    </xf>
    <xf numFmtId="168" fontId="73" fillId="0" borderId="54" xfId="109" applyFont="1" applyBorder="1" applyAlignment="1">
      <alignment horizontal="center"/>
    </xf>
    <xf numFmtId="168" fontId="73" fillId="0" borderId="0" xfId="109" applyFont="1" applyFill="1" applyBorder="1"/>
    <xf numFmtId="0" fontId="65" fillId="0" borderId="47" xfId="266" applyFont="1" applyBorder="1" applyAlignment="1">
      <alignment wrapText="1"/>
    </xf>
    <xf numFmtId="0" fontId="65" fillId="0" borderId="47" xfId="266" applyFont="1" applyBorder="1"/>
    <xf numFmtId="168" fontId="73" fillId="0" borderId="0" xfId="109" applyFont="1" applyBorder="1"/>
    <xf numFmtId="0" fontId="65" fillId="21" borderId="47" xfId="266" applyFont="1" applyFill="1" applyBorder="1"/>
    <xf numFmtId="168" fontId="83" fillId="0" borderId="47" xfId="109" applyFont="1" applyBorder="1"/>
    <xf numFmtId="168" fontId="73" fillId="0" borderId="67" xfId="109" applyFont="1" applyBorder="1"/>
    <xf numFmtId="14" fontId="58" fillId="22" borderId="0" xfId="266" applyNumberFormat="1" applyFont="1" applyFill="1"/>
    <xf numFmtId="14" fontId="65" fillId="22" borderId="0" xfId="266" applyNumberFormat="1" applyFont="1" applyFill="1"/>
    <xf numFmtId="168" fontId="49" fillId="0" borderId="0" xfId="109"/>
    <xf numFmtId="0" fontId="75" fillId="21" borderId="0" xfId="93" applyFont="1" applyFill="1" applyProtection="1">
      <protection locked="0"/>
    </xf>
    <xf numFmtId="40" fontId="79" fillId="0" borderId="80" xfId="93" applyNumberFormat="1" applyFont="1" applyBorder="1" applyProtection="1">
      <protection locked="0"/>
    </xf>
    <xf numFmtId="9" fontId="79" fillId="21" borderId="80" xfId="94" applyNumberFormat="1" applyFont="1" applyFill="1" applyBorder="1" applyProtection="1">
      <protection locked="0"/>
    </xf>
    <xf numFmtId="2" fontId="75" fillId="21" borderId="80" xfId="94" applyNumberFormat="1" applyFont="1" applyFill="1" applyBorder="1" applyProtection="1">
      <protection locked="0"/>
    </xf>
    <xf numFmtId="40" fontId="75" fillId="21" borderId="80" xfId="93" applyNumberFormat="1" applyFont="1" applyFill="1" applyBorder="1" applyProtection="1">
      <protection locked="0"/>
    </xf>
    <xf numFmtId="0" fontId="74" fillId="21" borderId="80" xfId="0" applyFont="1" applyFill="1" applyBorder="1" applyProtection="1">
      <protection locked="0"/>
    </xf>
    <xf numFmtId="40" fontId="79" fillId="21" borderId="27" xfId="93" applyNumberFormat="1" applyFont="1" applyFill="1" applyBorder="1" applyProtection="1">
      <protection locked="0"/>
    </xf>
    <xf numFmtId="40" fontId="79" fillId="21" borderId="3" xfId="93" applyNumberFormat="1" applyFont="1" applyFill="1" applyBorder="1" applyProtection="1">
      <protection locked="0"/>
    </xf>
    <xf numFmtId="40" fontId="79" fillId="21" borderId="15" xfId="93" applyNumberFormat="1" applyFont="1" applyFill="1" applyBorder="1" applyProtection="1">
      <protection locked="0"/>
    </xf>
    <xf numFmtId="0" fontId="79" fillId="0" borderId="80" xfId="93" applyFont="1" applyBorder="1" applyProtection="1">
      <protection locked="0"/>
    </xf>
    <xf numFmtId="9" fontId="71" fillId="0" borderId="80" xfId="257" applyFont="1" applyBorder="1"/>
    <xf numFmtId="0" fontId="75" fillId="0" borderId="80" xfId="93" applyFont="1" applyBorder="1" applyProtection="1">
      <protection locked="0"/>
    </xf>
    <xf numFmtId="2" fontId="79" fillId="0" borderId="80" xfId="93" applyNumberFormat="1" applyFont="1" applyBorder="1" applyProtection="1">
      <protection locked="0"/>
    </xf>
    <xf numFmtId="49" fontId="18" fillId="21" borderId="45" xfId="93" applyNumberFormat="1" applyFont="1" applyFill="1" applyBorder="1" applyAlignment="1">
      <alignment horizontal="right"/>
    </xf>
    <xf numFmtId="0" fontId="69" fillId="22" borderId="0" xfId="93" applyFont="1" applyFill="1"/>
    <xf numFmtId="175" fontId="84" fillId="0" borderId="0" xfId="266" applyNumberFormat="1" applyFont="1"/>
    <xf numFmtId="0" fontId="34" fillId="0" borderId="45" xfId="93" applyFont="1" applyBorder="1" applyAlignment="1">
      <alignment horizontal="center" wrapText="1"/>
    </xf>
    <xf numFmtId="168" fontId="32" fillId="0" borderId="45" xfId="109" applyFont="1" applyFill="1" applyBorder="1" applyAlignment="1">
      <alignment horizontal="center" wrapText="1"/>
    </xf>
    <xf numFmtId="0" fontId="29" fillId="0" borderId="45" xfId="93" applyFont="1" applyBorder="1"/>
    <xf numFmtId="0" fontId="49" fillId="0" borderId="45" xfId="109" applyNumberFormat="1" applyFill="1" applyBorder="1"/>
    <xf numFmtId="0" fontId="29" fillId="27" borderId="45" xfId="93" applyFont="1" applyFill="1" applyBorder="1"/>
    <xf numFmtId="0" fontId="33" fillId="21" borderId="45" xfId="109" applyNumberFormat="1" applyFont="1" applyFill="1" applyBorder="1"/>
    <xf numFmtId="0" fontId="33" fillId="0" borderId="45" xfId="109" applyNumberFormat="1" applyFont="1" applyFill="1" applyBorder="1"/>
    <xf numFmtId="0" fontId="63" fillId="21" borderId="45" xfId="109" applyNumberFormat="1" applyFont="1" applyFill="1" applyBorder="1"/>
    <xf numFmtId="0" fontId="66" fillId="22" borderId="0" xfId="266" applyFont="1" applyFill="1"/>
    <xf numFmtId="0" fontId="66" fillId="21" borderId="0" xfId="266" applyFont="1" applyFill="1"/>
    <xf numFmtId="14" fontId="66" fillId="22" borderId="0" xfId="266" applyNumberFormat="1" applyFont="1" applyFill="1"/>
    <xf numFmtId="0" fontId="65" fillId="22" borderId="0" xfId="266" applyFont="1" applyFill="1"/>
    <xf numFmtId="0" fontId="85" fillId="0" borderId="47" xfId="266" applyFont="1" applyBorder="1"/>
    <xf numFmtId="0" fontId="66" fillId="0" borderId="47" xfId="266" applyFont="1" applyBorder="1" applyAlignment="1">
      <alignment horizontal="center"/>
    </xf>
    <xf numFmtId="2" fontId="75" fillId="21" borderId="80" xfId="93" applyNumberFormat="1" applyFont="1" applyFill="1" applyBorder="1" applyProtection="1">
      <protection locked="0"/>
    </xf>
    <xf numFmtId="4" fontId="17" fillId="0" borderId="0" xfId="93" applyNumberFormat="1"/>
    <xf numFmtId="40" fontId="79" fillId="21" borderId="91" xfId="93" applyNumberFormat="1" applyFont="1" applyFill="1" applyBorder="1" applyProtection="1">
      <protection locked="0"/>
    </xf>
    <xf numFmtId="0" fontId="76" fillId="21" borderId="0" xfId="93" applyFont="1" applyFill="1" applyProtection="1">
      <protection locked="0"/>
    </xf>
    <xf numFmtId="40" fontId="75" fillId="22" borderId="80" xfId="93" applyNumberFormat="1" applyFont="1" applyFill="1" applyBorder="1" applyProtection="1">
      <protection locked="0"/>
    </xf>
    <xf numFmtId="9" fontId="75" fillId="21" borderId="80" xfId="93" applyNumberFormat="1" applyFont="1" applyFill="1" applyBorder="1" applyProtection="1">
      <protection locked="0"/>
    </xf>
    <xf numFmtId="0" fontId="78" fillId="21" borderId="45" xfId="93" applyFont="1" applyFill="1" applyBorder="1" applyAlignment="1" applyProtection="1">
      <alignment horizontal="left"/>
      <protection locked="0"/>
    </xf>
    <xf numFmtId="0" fontId="87" fillId="30" borderId="0" xfId="0" applyFont="1" applyFill="1"/>
    <xf numFmtId="43" fontId="14" fillId="0" borderId="0" xfId="266" applyNumberFormat="1"/>
    <xf numFmtId="1" fontId="19" fillId="0" borderId="45" xfId="93" applyNumberFormat="1" applyFont="1" applyBorder="1"/>
    <xf numFmtId="1" fontId="34" fillId="0" borderId="45" xfId="93" applyNumberFormat="1" applyFont="1" applyBorder="1" applyAlignment="1">
      <alignment horizontal="center" wrapText="1"/>
    </xf>
    <xf numFmtId="1" fontId="18" fillId="21" borderId="45" xfId="93" applyNumberFormat="1" applyFont="1" applyFill="1" applyBorder="1"/>
    <xf numFmtId="1" fontId="18" fillId="0" borderId="45" xfId="93" applyNumberFormat="1" applyFont="1" applyBorder="1"/>
    <xf numFmtId="1" fontId="70" fillId="21" borderId="45" xfId="93" applyNumberFormat="1" applyFont="1" applyFill="1" applyBorder="1"/>
    <xf numFmtId="1" fontId="68" fillId="21" borderId="0" xfId="93" applyNumberFormat="1" applyFont="1" applyFill="1"/>
    <xf numFmtId="1" fontId="19" fillId="0" borderId="0" xfId="93" applyNumberFormat="1" applyFont="1"/>
    <xf numFmtId="0" fontId="4" fillId="0" borderId="0" xfId="266" applyFont="1"/>
    <xf numFmtId="0" fontId="0" fillId="38" borderId="0" xfId="0" applyFill="1"/>
    <xf numFmtId="0" fontId="88" fillId="21" borderId="45" xfId="93" applyFont="1" applyFill="1" applyBorder="1" applyAlignment="1" applyProtection="1">
      <alignment horizontal="left" vertical="center"/>
      <protection locked="0"/>
    </xf>
    <xf numFmtId="0" fontId="88" fillId="23" borderId="45" xfId="93" applyFont="1" applyFill="1" applyBorder="1" applyAlignment="1" applyProtection="1">
      <alignment horizontal="center" vertical="center"/>
      <protection locked="0"/>
    </xf>
    <xf numFmtId="166" fontId="58" fillId="21" borderId="45" xfId="94" applyFont="1" applyFill="1" applyBorder="1" applyAlignment="1">
      <alignment horizontal="center" vertical="center" wrapText="1"/>
    </xf>
    <xf numFmtId="4" fontId="77" fillId="21" borderId="80" xfId="93" applyNumberFormat="1" applyFont="1" applyFill="1" applyBorder="1" applyAlignment="1" applyProtection="1">
      <alignment horizontal="center"/>
      <protection locked="0"/>
    </xf>
    <xf numFmtId="4" fontId="77" fillId="22" borderId="80" xfId="93" applyNumberFormat="1" applyFont="1" applyFill="1" applyBorder="1" applyAlignment="1" applyProtection="1">
      <alignment horizontal="center"/>
      <protection locked="0"/>
    </xf>
    <xf numFmtId="4" fontId="76" fillId="21" borderId="80" xfId="93" applyNumberFormat="1" applyFont="1" applyFill="1" applyBorder="1" applyAlignment="1" applyProtection="1">
      <alignment horizontal="center"/>
      <protection locked="0"/>
    </xf>
    <xf numFmtId="4" fontId="89" fillId="21" borderId="80" xfId="93" applyNumberFormat="1" applyFont="1" applyFill="1" applyBorder="1" applyAlignment="1" applyProtection="1">
      <alignment horizontal="center"/>
      <protection locked="0"/>
    </xf>
    <xf numFmtId="0" fontId="3" fillId="21" borderId="0" xfId="0" applyFont="1" applyFill="1"/>
    <xf numFmtId="166" fontId="90" fillId="21" borderId="47" xfId="94" applyFont="1" applyFill="1" applyBorder="1" applyAlignment="1">
      <alignment horizontal="center"/>
    </xf>
    <xf numFmtId="43" fontId="0" fillId="0" borderId="0" xfId="0" applyNumberFormat="1"/>
    <xf numFmtId="43" fontId="0" fillId="38" borderId="0" xfId="0" applyNumberFormat="1" applyFill="1"/>
    <xf numFmtId="43" fontId="0" fillId="26" borderId="0" xfId="0" applyNumberFormat="1" applyFill="1"/>
    <xf numFmtId="0" fontId="91" fillId="16" borderId="0" xfId="93" applyFont="1" applyFill="1" applyProtection="1">
      <protection locked="0"/>
    </xf>
    <xf numFmtId="0" fontId="62" fillId="16" borderId="0" xfId="93" applyFont="1" applyFill="1" applyProtection="1">
      <protection locked="0"/>
    </xf>
    <xf numFmtId="0" fontId="56" fillId="16" borderId="0" xfId="93" applyFont="1" applyFill="1" applyProtection="1">
      <protection locked="0"/>
    </xf>
    <xf numFmtId="0" fontId="56" fillId="34" borderId="0" xfId="93" applyFont="1" applyFill="1" applyProtection="1">
      <protection locked="0"/>
    </xf>
    <xf numFmtId="0" fontId="92" fillId="16" borderId="0" xfId="93" applyFont="1" applyFill="1" applyProtection="1">
      <protection locked="0"/>
    </xf>
    <xf numFmtId="0" fontId="56" fillId="16" borderId="0" xfId="93" applyFont="1" applyFill="1" applyAlignment="1" applyProtection="1">
      <alignment horizontal="center"/>
      <protection locked="0"/>
    </xf>
    <xf numFmtId="0" fontId="56" fillId="16" borderId="84" xfId="93" applyFont="1" applyFill="1" applyBorder="1" applyAlignment="1" applyProtection="1">
      <alignment horizontal="center" vertical="center"/>
      <protection locked="0"/>
    </xf>
    <xf numFmtId="0" fontId="91" fillId="0" borderId="0" xfId="93" applyFont="1" applyProtection="1">
      <protection locked="0"/>
    </xf>
    <xf numFmtId="0" fontId="56" fillId="0" borderId="0" xfId="93" applyFont="1" applyAlignment="1" applyProtection="1">
      <alignment horizontal="center"/>
      <protection locked="0"/>
    </xf>
    <xf numFmtId="0" fontId="85" fillId="21" borderId="80" xfId="93" applyFont="1" applyFill="1" applyBorder="1" applyAlignment="1" applyProtection="1">
      <alignment horizontal="left"/>
      <protection locked="0"/>
    </xf>
    <xf numFmtId="0" fontId="85" fillId="21" borderId="80" xfId="93" applyFont="1" applyFill="1" applyBorder="1" applyProtection="1">
      <protection locked="0"/>
    </xf>
    <xf numFmtId="0" fontId="91" fillId="0" borderId="80" xfId="93" applyFont="1" applyBorder="1" applyProtection="1">
      <protection locked="0"/>
    </xf>
    <xf numFmtId="0" fontId="56" fillId="0" borderId="0" xfId="93" applyFont="1" applyProtection="1">
      <protection locked="0"/>
    </xf>
    <xf numFmtId="0" fontId="85" fillId="0" borderId="80" xfId="93" applyFont="1" applyBorder="1" applyProtection="1">
      <protection locked="0"/>
    </xf>
    <xf numFmtId="0" fontId="62" fillId="0" borderId="0" xfId="93" applyFont="1" applyProtection="1">
      <protection locked="0"/>
    </xf>
    <xf numFmtId="0" fontId="85" fillId="0" borderId="0" xfId="93" applyFont="1" applyProtection="1">
      <protection locked="0"/>
    </xf>
    <xf numFmtId="0" fontId="93" fillId="21" borderId="80" xfId="93" applyFont="1" applyFill="1" applyBorder="1" applyProtection="1">
      <protection locked="0"/>
    </xf>
    <xf numFmtId="0" fontId="91" fillId="21" borderId="0" xfId="93" applyFont="1" applyFill="1" applyProtection="1">
      <protection locked="0"/>
    </xf>
    <xf numFmtId="0" fontId="56" fillId="21" borderId="0" xfId="93" applyFont="1" applyFill="1" applyProtection="1">
      <protection locked="0"/>
    </xf>
    <xf numFmtId="0" fontId="91" fillId="21" borderId="80" xfId="93" applyFont="1" applyFill="1" applyBorder="1" applyProtection="1">
      <protection locked="0"/>
    </xf>
    <xf numFmtId="0" fontId="62" fillId="21" borderId="0" xfId="93" applyFont="1" applyFill="1" applyProtection="1">
      <protection locked="0"/>
    </xf>
    <xf numFmtId="170" fontId="91" fillId="0" borderId="0" xfId="93" applyNumberFormat="1" applyFont="1" applyProtection="1">
      <protection locked="0"/>
    </xf>
    <xf numFmtId="0" fontId="96" fillId="16" borderId="0" xfId="93" applyFont="1" applyFill="1" applyProtection="1">
      <protection locked="0"/>
    </xf>
    <xf numFmtId="0" fontId="97" fillId="21" borderId="0" xfId="93" applyFont="1" applyFill="1" applyAlignment="1" applyProtection="1">
      <alignment horizontal="left"/>
      <protection locked="0"/>
    </xf>
    <xf numFmtId="0" fontId="97" fillId="16" borderId="0" xfId="93" applyFont="1" applyFill="1" applyProtection="1">
      <protection locked="0"/>
    </xf>
    <xf numFmtId="0" fontId="98" fillId="0" borderId="0" xfId="93" applyFont="1" applyProtection="1">
      <protection locked="0"/>
    </xf>
    <xf numFmtId="0" fontId="98" fillId="16" borderId="0" xfId="93" applyFont="1" applyFill="1" applyProtection="1">
      <protection locked="0"/>
    </xf>
    <xf numFmtId="0" fontId="99" fillId="16" borderId="0" xfId="93" applyFont="1" applyFill="1" applyProtection="1">
      <protection locked="0"/>
    </xf>
    <xf numFmtId="170" fontId="96" fillId="16" borderId="0" xfId="93" applyNumberFormat="1" applyFont="1" applyFill="1" applyProtection="1">
      <protection locked="0"/>
    </xf>
    <xf numFmtId="0" fontId="100" fillId="0" borderId="0" xfId="93" applyFont="1" applyAlignment="1" applyProtection="1">
      <alignment horizontal="left"/>
      <protection locked="0"/>
    </xf>
    <xf numFmtId="0" fontId="100" fillId="16" borderId="0" xfId="93" applyFont="1" applyFill="1" applyProtection="1">
      <protection locked="0"/>
    </xf>
    <xf numFmtId="0" fontId="101" fillId="16" borderId="0" xfId="93" applyFont="1" applyFill="1" applyProtection="1">
      <protection locked="0"/>
    </xf>
    <xf numFmtId="170" fontId="101" fillId="16" borderId="0" xfId="93" applyNumberFormat="1" applyFont="1" applyFill="1" applyProtection="1">
      <protection locked="0"/>
    </xf>
    <xf numFmtId="9" fontId="101" fillId="16" borderId="0" xfId="257" applyFont="1" applyFill="1" applyProtection="1">
      <protection locked="0"/>
    </xf>
    <xf numFmtId="0" fontId="97" fillId="33" borderId="0" xfId="93" applyFont="1" applyFill="1" applyAlignment="1" applyProtection="1">
      <alignment horizontal="left"/>
      <protection locked="0"/>
    </xf>
    <xf numFmtId="0" fontId="100" fillId="34" borderId="0" xfId="93" applyFont="1" applyFill="1" applyProtection="1">
      <protection locked="0"/>
    </xf>
    <xf numFmtId="0" fontId="96" fillId="0" borderId="0" xfId="93" applyFont="1" applyAlignment="1" applyProtection="1">
      <alignment horizontal="left"/>
      <protection locked="0"/>
    </xf>
    <xf numFmtId="170" fontId="99" fillId="16" borderId="0" xfId="93" applyNumberFormat="1" applyFont="1" applyFill="1" applyProtection="1">
      <protection locked="0"/>
    </xf>
    <xf numFmtId="9" fontId="99" fillId="16" borderId="0" xfId="257" applyFont="1" applyFill="1" applyProtection="1">
      <protection locked="0"/>
    </xf>
    <xf numFmtId="0" fontId="102" fillId="16" borderId="0" xfId="93" applyFont="1" applyFill="1" applyProtection="1">
      <protection locked="0"/>
    </xf>
    <xf numFmtId="0" fontId="102" fillId="0" borderId="0" xfId="93" applyFont="1" applyAlignment="1" applyProtection="1">
      <alignment horizontal="left"/>
      <protection locked="0"/>
    </xf>
    <xf numFmtId="0" fontId="103" fillId="16" borderId="0" xfId="93" applyFont="1" applyFill="1" applyProtection="1">
      <protection locked="0"/>
    </xf>
    <xf numFmtId="9" fontId="103" fillId="16" borderId="0" xfId="257" applyFont="1" applyFill="1" applyProtection="1">
      <protection locked="0"/>
    </xf>
    <xf numFmtId="0" fontId="96" fillId="16" borderId="0" xfId="93" applyFont="1" applyFill="1" applyAlignment="1" applyProtection="1">
      <alignment horizontal="center"/>
      <protection locked="0"/>
    </xf>
    <xf numFmtId="0" fontId="100" fillId="16" borderId="0" xfId="93" applyFont="1" applyFill="1" applyAlignment="1" applyProtection="1">
      <alignment horizontal="center"/>
      <protection locked="0"/>
    </xf>
    <xf numFmtId="0" fontId="99" fillId="16" borderId="0" xfId="93" applyFont="1" applyFill="1" applyAlignment="1" applyProtection="1">
      <alignment horizontal="center"/>
      <protection locked="0"/>
    </xf>
    <xf numFmtId="0" fontId="100" fillId="0" borderId="83" xfId="93" applyFont="1" applyBorder="1" applyAlignment="1" applyProtection="1">
      <alignment horizontal="left" vertical="center"/>
      <protection locked="0"/>
    </xf>
    <xf numFmtId="0" fontId="100" fillId="16" borderId="84" xfId="93" applyFont="1" applyFill="1" applyBorder="1" applyAlignment="1" applyProtection="1">
      <alignment horizontal="center" vertical="center"/>
      <protection locked="0"/>
    </xf>
    <xf numFmtId="166" fontId="104" fillId="28" borderId="84" xfId="94" applyFont="1" applyFill="1" applyBorder="1" applyAlignment="1">
      <alignment horizontal="center" vertical="center" wrapText="1"/>
    </xf>
    <xf numFmtId="0" fontId="96" fillId="0" borderId="0" xfId="93" applyFont="1" applyProtection="1">
      <protection locked="0"/>
    </xf>
    <xf numFmtId="0" fontId="100" fillId="0" borderId="0" xfId="93" applyFont="1" applyAlignment="1" applyProtection="1">
      <alignment horizontal="center"/>
      <protection locked="0"/>
    </xf>
    <xf numFmtId="0" fontId="96" fillId="0" borderId="0" xfId="93" applyFont="1" applyAlignment="1" applyProtection="1">
      <alignment horizontal="center"/>
      <protection locked="0"/>
    </xf>
    <xf numFmtId="170" fontId="96" fillId="0" borderId="0" xfId="93" applyNumberFormat="1" applyFont="1" applyAlignment="1" applyProtection="1">
      <alignment horizontal="center"/>
      <protection locked="0"/>
    </xf>
    <xf numFmtId="170" fontId="96" fillId="0" borderId="0" xfId="93" applyNumberFormat="1" applyFont="1" applyAlignment="1" applyProtection="1">
      <alignment horizontal="center" vertical="center" wrapText="1"/>
      <protection locked="0"/>
    </xf>
    <xf numFmtId="9" fontId="96" fillId="0" borderId="0" xfId="257" applyFont="1" applyAlignment="1" applyProtection="1">
      <alignment horizontal="center" vertical="center" wrapText="1"/>
      <protection locked="0"/>
    </xf>
    <xf numFmtId="0" fontId="99" fillId="0" borderId="0" xfId="93" applyFont="1" applyProtection="1">
      <protection locked="0"/>
    </xf>
    <xf numFmtId="0" fontId="105" fillId="0" borderId="0" xfId="93" applyFont="1" applyAlignment="1" applyProtection="1">
      <alignment horizontal="left"/>
      <protection locked="0"/>
    </xf>
    <xf numFmtId="0" fontId="101" fillId="0" borderId="0" xfId="93" applyFont="1" applyAlignment="1" applyProtection="1">
      <alignment horizontal="center"/>
      <protection locked="0"/>
    </xf>
    <xf numFmtId="170" fontId="101" fillId="0" borderId="0" xfId="93" applyNumberFormat="1" applyFont="1" applyAlignment="1" applyProtection="1">
      <alignment horizontal="center"/>
      <protection locked="0"/>
    </xf>
    <xf numFmtId="170" fontId="101" fillId="0" borderId="0" xfId="93" applyNumberFormat="1" applyFont="1" applyAlignment="1" applyProtection="1">
      <alignment horizontal="center" vertical="center" wrapText="1"/>
      <protection locked="0"/>
    </xf>
    <xf numFmtId="9" fontId="101" fillId="0" borderId="0" xfId="257" applyFont="1" applyAlignment="1" applyProtection="1">
      <alignment horizontal="center" vertical="center" wrapText="1"/>
      <protection locked="0"/>
    </xf>
    <xf numFmtId="0" fontId="106" fillId="21" borderId="0" xfId="93" applyFont="1" applyFill="1" applyProtection="1">
      <protection locked="0"/>
    </xf>
    <xf numFmtId="0" fontId="106" fillId="21" borderId="80" xfId="93" applyFont="1" applyFill="1" applyBorder="1" applyAlignment="1" applyProtection="1">
      <alignment horizontal="left"/>
      <protection locked="0"/>
    </xf>
    <xf numFmtId="0" fontId="106" fillId="21" borderId="80" xfId="93" applyFont="1" applyFill="1" applyBorder="1" applyProtection="1">
      <protection locked="0"/>
    </xf>
    <xf numFmtId="40" fontId="106" fillId="21" borderId="80" xfId="93" applyNumberFormat="1" applyFont="1" applyFill="1" applyBorder="1" applyProtection="1">
      <protection locked="0"/>
    </xf>
    <xf numFmtId="170" fontId="106" fillId="21" borderId="80" xfId="94" applyNumberFormat="1" applyFont="1" applyFill="1" applyBorder="1" applyProtection="1">
      <protection locked="0"/>
    </xf>
    <xf numFmtId="9" fontId="106" fillId="21" borderId="80" xfId="93" applyNumberFormat="1" applyFont="1" applyFill="1" applyBorder="1" applyProtection="1">
      <protection locked="0"/>
    </xf>
    <xf numFmtId="0" fontId="107" fillId="21" borderId="80" xfId="93" applyFont="1" applyFill="1" applyBorder="1" applyProtection="1">
      <protection locked="0"/>
    </xf>
    <xf numFmtId="40" fontId="107" fillId="21" borderId="80" xfId="93" applyNumberFormat="1" applyFont="1" applyFill="1" applyBorder="1" applyProtection="1">
      <protection locked="0"/>
    </xf>
    <xf numFmtId="170" fontId="107" fillId="21" borderId="80" xfId="94" applyNumberFormat="1" applyFont="1" applyFill="1" applyBorder="1" applyProtection="1">
      <protection locked="0"/>
    </xf>
    <xf numFmtId="9" fontId="107" fillId="21" borderId="80" xfId="93" applyNumberFormat="1" applyFont="1" applyFill="1" applyBorder="1" applyProtection="1">
      <protection locked="0"/>
    </xf>
    <xf numFmtId="0" fontId="107" fillId="21" borderId="0" xfId="93" applyFont="1" applyFill="1" applyProtection="1">
      <protection locked="0"/>
    </xf>
    <xf numFmtId="0" fontId="96" fillId="0" borderId="80" xfId="93" applyFont="1" applyBorder="1" applyAlignment="1" applyProtection="1">
      <alignment horizontal="left"/>
      <protection locked="0"/>
    </xf>
    <xf numFmtId="0" fontId="96" fillId="0" borderId="80" xfId="93" applyFont="1" applyBorder="1" applyProtection="1">
      <protection locked="0"/>
    </xf>
    <xf numFmtId="0" fontId="99" fillId="0" borderId="80" xfId="93" applyFont="1" applyBorder="1" applyProtection="1">
      <protection locked="0"/>
    </xf>
    <xf numFmtId="40" fontId="99" fillId="21" borderId="80" xfId="93" applyNumberFormat="1" applyFont="1" applyFill="1" applyBorder="1" applyProtection="1">
      <protection locked="0"/>
    </xf>
    <xf numFmtId="40" fontId="99" fillId="0" borderId="80" xfId="93" applyNumberFormat="1" applyFont="1" applyBorder="1" applyProtection="1">
      <protection locked="0"/>
    </xf>
    <xf numFmtId="170" fontId="99" fillId="0" borderId="80" xfId="94" applyNumberFormat="1" applyFont="1" applyBorder="1" applyProtection="1">
      <protection locked="0"/>
    </xf>
    <xf numFmtId="9" fontId="99" fillId="0" borderId="80" xfId="93" applyNumberFormat="1" applyFont="1" applyBorder="1" applyProtection="1">
      <protection locked="0"/>
    </xf>
    <xf numFmtId="0" fontId="100" fillId="0" borderId="0" xfId="93" applyFont="1" applyProtection="1">
      <protection locked="0"/>
    </xf>
    <xf numFmtId="40" fontId="100" fillId="21" borderId="34" xfId="93" applyNumberFormat="1" applyFont="1" applyFill="1" applyBorder="1" applyProtection="1">
      <protection locked="0"/>
    </xf>
    <xf numFmtId="9" fontId="99" fillId="0" borderId="0" xfId="93" applyNumberFormat="1" applyFont="1" applyProtection="1">
      <protection locked="0"/>
    </xf>
    <xf numFmtId="40" fontId="100" fillId="21" borderId="0" xfId="93" applyNumberFormat="1" applyFont="1" applyFill="1" applyProtection="1">
      <protection locked="0"/>
    </xf>
    <xf numFmtId="40" fontId="96" fillId="0" borderId="0" xfId="93" applyNumberFormat="1" applyFont="1" applyProtection="1">
      <protection locked="0"/>
    </xf>
    <xf numFmtId="40" fontId="99" fillId="21" borderId="0" xfId="93" applyNumberFormat="1" applyFont="1" applyFill="1" applyProtection="1">
      <protection locked="0"/>
    </xf>
    <xf numFmtId="40" fontId="99" fillId="0" borderId="0" xfId="93" applyNumberFormat="1" applyFont="1" applyProtection="1">
      <protection locked="0"/>
    </xf>
    <xf numFmtId="170" fontId="99" fillId="0" borderId="0" xfId="94" applyNumberFormat="1" applyFont="1" applyProtection="1">
      <protection locked="0"/>
    </xf>
    <xf numFmtId="0" fontId="106" fillId="0" borderId="0" xfId="93" applyFont="1" applyProtection="1">
      <protection locked="0"/>
    </xf>
    <xf numFmtId="0" fontId="106" fillId="0" borderId="80" xfId="93" applyFont="1" applyBorder="1" applyAlignment="1" applyProtection="1">
      <alignment horizontal="left"/>
      <protection locked="0"/>
    </xf>
    <xf numFmtId="0" fontId="106" fillId="0" borderId="80" xfId="93" applyFont="1" applyBorder="1" applyProtection="1">
      <protection locked="0"/>
    </xf>
    <xf numFmtId="0" fontId="107" fillId="0" borderId="80" xfId="93" applyFont="1" applyBorder="1" applyProtection="1">
      <protection locked="0"/>
    </xf>
    <xf numFmtId="40" fontId="107" fillId="0" borderId="80" xfId="93" applyNumberFormat="1" applyFont="1" applyBorder="1" applyProtection="1">
      <protection locked="0"/>
    </xf>
    <xf numFmtId="170" fontId="107" fillId="0" borderId="80" xfId="94" applyNumberFormat="1" applyFont="1" applyBorder="1" applyProtection="1">
      <protection locked="0"/>
    </xf>
    <xf numFmtId="9" fontId="107" fillId="0" borderId="80" xfId="93" applyNumberFormat="1" applyFont="1" applyBorder="1" applyProtection="1">
      <protection locked="0"/>
    </xf>
    <xf numFmtId="0" fontId="107" fillId="0" borderId="0" xfId="93" applyFont="1" applyProtection="1">
      <protection locked="0"/>
    </xf>
    <xf numFmtId="40" fontId="106" fillId="0" borderId="80" xfId="93" applyNumberFormat="1" applyFont="1" applyBorder="1" applyProtection="1">
      <protection locked="0"/>
    </xf>
    <xf numFmtId="170" fontId="98" fillId="0" borderId="80" xfId="94" applyNumberFormat="1" applyFont="1" applyBorder="1" applyProtection="1">
      <protection locked="0"/>
    </xf>
    <xf numFmtId="9" fontId="98" fillId="0" borderId="80" xfId="93" applyNumberFormat="1" applyFont="1" applyBorder="1" applyProtection="1">
      <protection locked="0"/>
    </xf>
    <xf numFmtId="0" fontId="106" fillId="0" borderId="0" xfId="93" applyFont="1" applyAlignment="1" applyProtection="1">
      <alignment horizontal="left"/>
      <protection locked="0"/>
    </xf>
    <xf numFmtId="0" fontId="97" fillId="0" borderId="0" xfId="93" applyFont="1" applyProtection="1">
      <protection locked="0"/>
    </xf>
    <xf numFmtId="40" fontId="100" fillId="0" borderId="34" xfId="93" applyNumberFormat="1" applyFont="1" applyBorder="1" applyProtection="1">
      <protection locked="0"/>
    </xf>
    <xf numFmtId="40" fontId="101" fillId="21" borderId="0" xfId="93" applyNumberFormat="1" applyFont="1" applyFill="1" applyProtection="1">
      <protection locked="0"/>
    </xf>
    <xf numFmtId="40" fontId="101" fillId="0" borderId="0" xfId="93" applyNumberFormat="1" applyFont="1" applyProtection="1">
      <protection locked="0"/>
    </xf>
    <xf numFmtId="170" fontId="96" fillId="0" borderId="0" xfId="94" applyNumberFormat="1" applyFont="1" applyProtection="1">
      <protection locked="0"/>
    </xf>
    <xf numFmtId="170" fontId="101" fillId="21" borderId="0" xfId="94" applyNumberFormat="1" applyFont="1" applyFill="1" applyProtection="1">
      <protection locked="0"/>
    </xf>
    <xf numFmtId="170" fontId="101" fillId="0" borderId="0" xfId="94" applyNumberFormat="1" applyFont="1" applyProtection="1">
      <protection locked="0"/>
    </xf>
    <xf numFmtId="9" fontId="101" fillId="0" borderId="0" xfId="257" applyFont="1" applyProtection="1">
      <protection locked="0"/>
    </xf>
    <xf numFmtId="0" fontId="108" fillId="21" borderId="0" xfId="93" applyFont="1" applyFill="1" applyProtection="1">
      <protection locked="0"/>
    </xf>
    <xf numFmtId="0" fontId="108" fillId="0" borderId="80" xfId="93" applyFont="1" applyBorder="1" applyAlignment="1" applyProtection="1">
      <alignment horizontal="left"/>
      <protection locked="0"/>
    </xf>
    <xf numFmtId="0" fontId="108" fillId="21" borderId="80" xfId="93" applyFont="1" applyFill="1" applyBorder="1" applyProtection="1">
      <protection locked="0"/>
    </xf>
    <xf numFmtId="0" fontId="109" fillId="21" borderId="80" xfId="93" applyFont="1" applyFill="1" applyBorder="1" applyProtection="1">
      <protection locked="0"/>
    </xf>
    <xf numFmtId="170" fontId="109" fillId="21" borderId="80" xfId="94" applyNumberFormat="1" applyFont="1" applyFill="1" applyBorder="1" applyProtection="1">
      <protection locked="0"/>
    </xf>
    <xf numFmtId="9" fontId="109" fillId="21" borderId="80" xfId="94" applyNumberFormat="1" applyFont="1" applyFill="1" applyBorder="1" applyProtection="1">
      <protection locked="0"/>
    </xf>
    <xf numFmtId="9" fontId="109" fillId="21" borderId="80" xfId="93" applyNumberFormat="1" applyFont="1" applyFill="1" applyBorder="1" applyProtection="1">
      <protection locked="0"/>
    </xf>
    <xf numFmtId="0" fontId="109" fillId="21" borderId="0" xfId="93" applyFont="1" applyFill="1" applyProtection="1">
      <protection locked="0"/>
    </xf>
    <xf numFmtId="170" fontId="100" fillId="21" borderId="34" xfId="94" applyNumberFormat="1" applyFont="1" applyFill="1" applyBorder="1" applyProtection="1">
      <protection locked="0"/>
    </xf>
    <xf numFmtId="170" fontId="100" fillId="0" borderId="34" xfId="94" applyNumberFormat="1" applyFont="1" applyBorder="1" applyProtection="1">
      <protection locked="0"/>
    </xf>
    <xf numFmtId="170" fontId="101" fillId="0" borderId="0" xfId="93" applyNumberFormat="1" applyFont="1" applyProtection="1">
      <protection locked="0"/>
    </xf>
    <xf numFmtId="10" fontId="99" fillId="0" borderId="0" xfId="94" applyNumberFormat="1" applyFont="1" applyProtection="1">
      <protection locked="0"/>
    </xf>
    <xf numFmtId="9" fontId="107" fillId="21" borderId="80" xfId="94" applyNumberFormat="1" applyFont="1" applyFill="1" applyBorder="1" applyProtection="1">
      <protection locked="0"/>
    </xf>
    <xf numFmtId="9" fontId="106" fillId="21" borderId="80" xfId="94" applyNumberFormat="1" applyFont="1" applyFill="1" applyBorder="1" applyProtection="1">
      <protection locked="0"/>
    </xf>
    <xf numFmtId="170" fontId="101" fillId="21" borderId="34" xfId="94" applyNumberFormat="1" applyFont="1" applyFill="1" applyBorder="1" applyProtection="1">
      <protection locked="0"/>
    </xf>
    <xf numFmtId="0" fontId="101" fillId="0" borderId="0" xfId="93" applyFont="1" applyProtection="1">
      <protection locked="0"/>
    </xf>
    <xf numFmtId="170" fontId="99" fillId="21" borderId="80" xfId="94" applyNumberFormat="1" applyFont="1" applyFill="1" applyBorder="1" applyProtection="1">
      <protection locked="0"/>
    </xf>
    <xf numFmtId="9" fontId="99" fillId="0" borderId="80" xfId="257" applyFont="1" applyBorder="1" applyProtection="1">
      <protection locked="0"/>
    </xf>
    <xf numFmtId="9" fontId="106" fillId="0" borderId="80" xfId="257" applyFont="1" applyBorder="1" applyProtection="1">
      <protection locked="0"/>
    </xf>
    <xf numFmtId="9" fontId="106" fillId="0" borderId="80" xfId="93" applyNumberFormat="1" applyFont="1" applyBorder="1" applyProtection="1">
      <protection locked="0"/>
    </xf>
    <xf numFmtId="170" fontId="100" fillId="21" borderId="47" xfId="94" applyNumberFormat="1" applyFont="1" applyFill="1" applyBorder="1" applyProtection="1">
      <protection locked="0"/>
    </xf>
    <xf numFmtId="170" fontId="100" fillId="0" borderId="47" xfId="94" applyNumberFormat="1" applyFont="1" applyBorder="1" applyProtection="1">
      <protection locked="0"/>
    </xf>
    <xf numFmtId="9" fontId="99" fillId="0" borderId="0" xfId="257" applyFont="1" applyProtection="1">
      <protection locked="0"/>
    </xf>
    <xf numFmtId="170" fontId="100" fillId="21" borderId="0" xfId="94" applyNumberFormat="1" applyFont="1" applyFill="1" applyProtection="1">
      <protection locked="0"/>
    </xf>
    <xf numFmtId="170" fontId="100" fillId="0" borderId="0" xfId="94" applyNumberFormat="1" applyFont="1" applyProtection="1">
      <protection locked="0"/>
    </xf>
    <xf numFmtId="9" fontId="100" fillId="0" borderId="0" xfId="257" applyFont="1" applyProtection="1">
      <protection locked="0"/>
    </xf>
    <xf numFmtId="170" fontId="99" fillId="21" borderId="0" xfId="94" applyNumberFormat="1" applyFont="1" applyFill="1" applyProtection="1">
      <protection locked="0"/>
    </xf>
    <xf numFmtId="0" fontId="96" fillId="21" borderId="80" xfId="93" applyFont="1" applyFill="1" applyBorder="1" applyAlignment="1" applyProtection="1">
      <alignment horizontal="left"/>
      <protection locked="0"/>
    </xf>
    <xf numFmtId="0" fontId="96" fillId="21" borderId="0" xfId="93" applyFont="1" applyFill="1" applyProtection="1">
      <protection locked="0"/>
    </xf>
    <xf numFmtId="0" fontId="100" fillId="21" borderId="0" xfId="93" applyFont="1" applyFill="1" applyProtection="1">
      <protection locked="0"/>
    </xf>
    <xf numFmtId="40" fontId="100" fillId="21" borderId="47" xfId="93" applyNumberFormat="1" applyFont="1" applyFill="1" applyBorder="1" applyProtection="1">
      <protection locked="0"/>
    </xf>
    <xf numFmtId="9" fontId="100" fillId="21" borderId="0" xfId="257" applyFont="1" applyFill="1" applyProtection="1">
      <protection locked="0"/>
    </xf>
    <xf numFmtId="0" fontId="99" fillId="21" borderId="0" xfId="93" applyFont="1" applyFill="1" applyProtection="1">
      <protection locked="0"/>
    </xf>
    <xf numFmtId="170" fontId="99" fillId="21" borderId="0" xfId="93" applyNumberFormat="1" applyFont="1" applyFill="1" applyProtection="1">
      <protection locked="0"/>
    </xf>
    <xf numFmtId="9" fontId="99" fillId="21" borderId="0" xfId="257" applyFont="1" applyFill="1" applyProtection="1">
      <protection locked="0"/>
    </xf>
    <xf numFmtId="0" fontId="96" fillId="21" borderId="80" xfId="93" applyFont="1" applyFill="1" applyBorder="1" applyProtection="1">
      <protection locked="0"/>
    </xf>
    <xf numFmtId="171" fontId="99" fillId="21" borderId="80" xfId="94" applyNumberFormat="1" applyFont="1" applyFill="1" applyBorder="1" applyProtection="1">
      <protection locked="0"/>
    </xf>
    <xf numFmtId="9" fontId="99" fillId="21" borderId="80" xfId="93" applyNumberFormat="1" applyFont="1" applyFill="1" applyBorder="1" applyProtection="1">
      <protection locked="0"/>
    </xf>
    <xf numFmtId="9" fontId="96" fillId="21" borderId="80" xfId="257" applyFont="1" applyFill="1" applyBorder="1" applyProtection="1">
      <protection locked="0"/>
    </xf>
    <xf numFmtId="171" fontId="107" fillId="21" borderId="80" xfId="94" applyNumberFormat="1" applyFont="1" applyFill="1" applyBorder="1" applyProtection="1">
      <protection locked="0"/>
    </xf>
    <xf numFmtId="9" fontId="106" fillId="21" borderId="80" xfId="257" applyFont="1" applyFill="1" applyBorder="1" applyProtection="1">
      <protection locked="0"/>
    </xf>
    <xf numFmtId="9" fontId="107" fillId="21" borderId="80" xfId="257" applyFont="1" applyFill="1" applyBorder="1" applyProtection="1">
      <protection locked="0"/>
    </xf>
    <xf numFmtId="171" fontId="106" fillId="21" borderId="80" xfId="94" applyNumberFormat="1" applyFont="1" applyFill="1" applyBorder="1" applyProtection="1">
      <protection locked="0"/>
    </xf>
    <xf numFmtId="0" fontId="100" fillId="21" borderId="0" xfId="93" applyFont="1" applyFill="1" applyAlignment="1" applyProtection="1">
      <alignment horizontal="left"/>
      <protection locked="0"/>
    </xf>
    <xf numFmtId="0" fontId="97" fillId="21" borderId="0" xfId="93" applyFont="1" applyFill="1" applyProtection="1">
      <protection locked="0"/>
    </xf>
    <xf numFmtId="9" fontId="101" fillId="21" borderId="0" xfId="257" applyFont="1" applyFill="1" applyProtection="1">
      <protection locked="0"/>
    </xf>
    <xf numFmtId="0" fontId="101" fillId="21" borderId="0" xfId="93" applyFont="1" applyFill="1" applyProtection="1">
      <protection locked="0"/>
    </xf>
    <xf numFmtId="0" fontId="99" fillId="21" borderId="80" xfId="93" applyFont="1" applyFill="1" applyBorder="1" applyProtection="1">
      <protection locked="0"/>
    </xf>
    <xf numFmtId="9" fontId="99" fillId="21" borderId="80" xfId="257" applyFont="1" applyFill="1" applyBorder="1" applyProtection="1">
      <protection locked="0"/>
    </xf>
    <xf numFmtId="9" fontId="96" fillId="21" borderId="80" xfId="93" applyNumberFormat="1" applyFont="1" applyFill="1" applyBorder="1" applyProtection="1">
      <protection locked="0"/>
    </xf>
    <xf numFmtId="40" fontId="98" fillId="21" borderId="80" xfId="93" applyNumberFormat="1" applyFont="1" applyFill="1" applyBorder="1" applyProtection="1">
      <protection locked="0"/>
    </xf>
    <xf numFmtId="170" fontId="98" fillId="21" borderId="80" xfId="94" applyNumberFormat="1" applyFont="1" applyFill="1" applyBorder="1" applyProtection="1">
      <protection locked="0"/>
    </xf>
    <xf numFmtId="171" fontId="98" fillId="21" borderId="80" xfId="94" applyNumberFormat="1" applyFont="1" applyFill="1" applyBorder="1" applyProtection="1">
      <protection locked="0"/>
    </xf>
    <xf numFmtId="9" fontId="98" fillId="21" borderId="80" xfId="257" applyFont="1" applyFill="1" applyBorder="1" applyProtection="1">
      <protection locked="0"/>
    </xf>
    <xf numFmtId="9" fontId="98" fillId="21" borderId="80" xfId="93" applyNumberFormat="1" applyFont="1" applyFill="1" applyBorder="1" applyProtection="1">
      <protection locked="0"/>
    </xf>
    <xf numFmtId="0" fontId="98" fillId="21" borderId="0" xfId="93" applyFont="1" applyFill="1" applyProtection="1">
      <protection locked="0"/>
    </xf>
    <xf numFmtId="170" fontId="96" fillId="21" borderId="0" xfId="94" applyNumberFormat="1" applyFont="1" applyFill="1" applyProtection="1">
      <protection locked="0"/>
    </xf>
    <xf numFmtId="0" fontId="110" fillId="0" borderId="0" xfId="93" applyFont="1" applyAlignment="1" applyProtection="1">
      <alignment horizontal="left"/>
      <protection locked="0"/>
    </xf>
    <xf numFmtId="170" fontId="96" fillId="21" borderId="80" xfId="94" applyNumberFormat="1" applyFont="1" applyFill="1" applyBorder="1" applyProtection="1">
      <protection locked="0"/>
    </xf>
    <xf numFmtId="0" fontId="108" fillId="21" borderId="80" xfId="93" applyFont="1" applyFill="1" applyBorder="1" applyAlignment="1" applyProtection="1">
      <alignment horizontal="left"/>
      <protection locked="0"/>
    </xf>
    <xf numFmtId="170" fontId="108" fillId="21" borderId="80" xfId="94" applyNumberFormat="1" applyFont="1" applyFill="1" applyBorder="1" applyProtection="1">
      <protection locked="0"/>
    </xf>
    <xf numFmtId="170" fontId="100" fillId="21" borderId="0" xfId="93" applyNumberFormat="1" applyFont="1" applyFill="1" applyProtection="1">
      <protection locked="0"/>
    </xf>
    <xf numFmtId="170" fontId="100" fillId="21" borderId="34" xfId="93" applyNumberFormat="1" applyFont="1" applyFill="1" applyBorder="1" applyProtection="1">
      <protection locked="0"/>
    </xf>
    <xf numFmtId="40" fontId="100" fillId="0" borderId="0" xfId="93" applyNumberFormat="1" applyFont="1" applyProtection="1">
      <protection locked="0"/>
    </xf>
    <xf numFmtId="9" fontId="100" fillId="0" borderId="0" xfId="93" applyNumberFormat="1" applyFont="1" applyProtection="1">
      <protection locked="0"/>
    </xf>
    <xf numFmtId="0" fontId="100" fillId="0" borderId="7" xfId="93" applyFont="1" applyBorder="1" applyAlignment="1" applyProtection="1">
      <alignment horizontal="left"/>
      <protection locked="0"/>
    </xf>
    <xf numFmtId="0" fontId="111" fillId="21" borderId="0" xfId="93" applyFont="1" applyFill="1" applyProtection="1">
      <protection locked="0"/>
    </xf>
    <xf numFmtId="171" fontId="101" fillId="0" borderId="34" xfId="94" applyNumberFormat="1" applyFont="1" applyBorder="1" applyProtection="1">
      <protection locked="0"/>
    </xf>
    <xf numFmtId="171" fontId="101" fillId="0" borderId="0" xfId="94" applyNumberFormat="1" applyFont="1" applyProtection="1">
      <protection locked="0"/>
    </xf>
    <xf numFmtId="170" fontId="96" fillId="0" borderId="0" xfId="93" applyNumberFormat="1" applyFont="1" applyProtection="1">
      <protection locked="0"/>
    </xf>
    <xf numFmtId="169" fontId="96" fillId="0" borderId="0" xfId="94" applyNumberFormat="1" applyFont="1" applyAlignment="1" applyProtection="1">
      <alignment horizontal="left"/>
      <protection locked="0"/>
    </xf>
    <xf numFmtId="170" fontId="99" fillId="0" borderId="0" xfId="93" applyNumberFormat="1" applyFont="1" applyProtection="1">
      <protection locked="0"/>
    </xf>
    <xf numFmtId="40" fontId="96" fillId="0" borderId="28" xfId="93" applyNumberFormat="1" applyFont="1" applyBorder="1" applyProtection="1">
      <protection locked="0"/>
    </xf>
    <xf numFmtId="9" fontId="96" fillId="0" borderId="0" xfId="257" applyFont="1" applyProtection="1">
      <protection locked="0"/>
    </xf>
    <xf numFmtId="170" fontId="110" fillId="0" borderId="0" xfId="94" applyNumberFormat="1" applyFont="1" applyProtection="1">
      <protection locked="0"/>
    </xf>
    <xf numFmtId="9" fontId="96" fillId="0" borderId="3" xfId="257" applyFont="1" applyBorder="1" applyAlignment="1" applyProtection="1">
      <alignment horizontal="center"/>
      <protection locked="0"/>
    </xf>
    <xf numFmtId="9" fontId="96" fillId="0" borderId="7" xfId="257" applyFont="1" applyBorder="1" applyAlignment="1" applyProtection="1">
      <alignment horizontal="center"/>
      <protection locked="0"/>
    </xf>
    <xf numFmtId="170" fontId="96" fillId="0" borderId="5" xfId="93" applyNumberFormat="1" applyFont="1" applyBorder="1" applyAlignment="1" applyProtection="1">
      <alignment horizontal="center"/>
      <protection locked="0"/>
    </xf>
    <xf numFmtId="9" fontId="96" fillId="0" borderId="5" xfId="257" applyFont="1" applyBorder="1" applyAlignment="1" applyProtection="1">
      <alignment horizontal="center"/>
      <protection locked="0"/>
    </xf>
    <xf numFmtId="170" fontId="96" fillId="0" borderId="3" xfId="93" applyNumberFormat="1" applyFont="1" applyBorder="1" applyAlignment="1" applyProtection="1">
      <alignment horizontal="center"/>
      <protection locked="0"/>
    </xf>
    <xf numFmtId="170" fontId="96" fillId="0" borderId="0" xfId="93" applyNumberFormat="1" applyFont="1" applyAlignment="1" applyProtection="1">
      <alignment horizontal="left"/>
      <protection locked="0"/>
    </xf>
    <xf numFmtId="40" fontId="96" fillId="0" borderId="37" xfId="93" applyNumberFormat="1" applyFont="1" applyBorder="1" applyProtection="1">
      <protection locked="0"/>
    </xf>
    <xf numFmtId="4" fontId="96" fillId="0" borderId="37" xfId="93" applyNumberFormat="1" applyFont="1" applyBorder="1" applyProtection="1">
      <protection locked="0"/>
    </xf>
    <xf numFmtId="170" fontId="96" fillId="0" borderId="37" xfId="93" applyNumberFormat="1" applyFont="1" applyBorder="1" applyProtection="1">
      <protection locked="0"/>
    </xf>
    <xf numFmtId="4" fontId="96" fillId="0" borderId="0" xfId="93" applyNumberFormat="1" applyFont="1" applyProtection="1">
      <protection locked="0"/>
    </xf>
    <xf numFmtId="170" fontId="112" fillId="0" borderId="0" xfId="94" applyNumberFormat="1" applyFont="1" applyProtection="1">
      <protection locked="0"/>
    </xf>
    <xf numFmtId="40" fontId="96" fillId="0" borderId="6" xfId="93" applyNumberFormat="1" applyFont="1" applyBorder="1" applyProtection="1">
      <protection locked="0"/>
    </xf>
    <xf numFmtId="170" fontId="100" fillId="0" borderId="0" xfId="93" applyNumberFormat="1" applyFont="1" applyProtection="1">
      <protection locked="0"/>
    </xf>
    <xf numFmtId="166" fontId="96" fillId="0" borderId="0" xfId="94" applyFont="1" applyProtection="1">
      <protection locked="0"/>
    </xf>
    <xf numFmtId="172" fontId="96" fillId="0" borderId="0" xfId="93" applyNumberFormat="1" applyFont="1" applyProtection="1">
      <protection locked="0"/>
    </xf>
    <xf numFmtId="172" fontId="96" fillId="0" borderId="28" xfId="93" applyNumberFormat="1" applyFont="1" applyBorder="1" applyProtection="1">
      <protection locked="0"/>
    </xf>
    <xf numFmtId="170" fontId="105" fillId="0" borderId="0" xfId="93" applyNumberFormat="1" applyFont="1" applyProtection="1">
      <protection locked="0"/>
    </xf>
    <xf numFmtId="172" fontId="96" fillId="0" borderId="3" xfId="93" applyNumberFormat="1" applyFont="1" applyBorder="1" applyAlignment="1" applyProtection="1">
      <alignment horizontal="center"/>
      <protection locked="0"/>
    </xf>
    <xf numFmtId="9" fontId="100" fillId="40" borderId="45" xfId="257" applyFont="1" applyFill="1" applyBorder="1" applyAlignment="1" applyProtection="1">
      <alignment horizontal="center"/>
      <protection locked="0"/>
    </xf>
    <xf numFmtId="0" fontId="100" fillId="16" borderId="45" xfId="93" applyFont="1" applyFill="1" applyBorder="1" applyAlignment="1" applyProtection="1">
      <alignment horizontal="center" wrapText="1"/>
      <protection locked="0"/>
    </xf>
    <xf numFmtId="168" fontId="113" fillId="16" borderId="45" xfId="109" applyFont="1" applyFill="1" applyBorder="1" applyProtection="1">
      <protection locked="0"/>
    </xf>
    <xf numFmtId="168" fontId="113" fillId="16" borderId="45" xfId="109" applyFont="1" applyFill="1" applyBorder="1" applyAlignment="1" applyProtection="1">
      <protection locked="0"/>
    </xf>
    <xf numFmtId="9" fontId="100" fillId="16" borderId="45" xfId="257" applyFont="1" applyFill="1" applyBorder="1" applyAlignment="1" applyProtection="1">
      <alignment horizontal="center" wrapText="1"/>
      <protection locked="0"/>
    </xf>
    <xf numFmtId="168" fontId="114" fillId="39" borderId="93" xfId="109" applyFont="1" applyFill="1" applyBorder="1" applyAlignment="1" applyProtection="1">
      <protection locked="0"/>
    </xf>
    <xf numFmtId="9" fontId="100" fillId="16" borderId="48" xfId="257" applyFont="1" applyFill="1" applyBorder="1" applyProtection="1">
      <protection locked="0"/>
    </xf>
    <xf numFmtId="9" fontId="100" fillId="16" borderId="45" xfId="257" applyFont="1" applyFill="1" applyBorder="1" applyProtection="1">
      <protection locked="0"/>
    </xf>
    <xf numFmtId="168" fontId="94" fillId="16" borderId="0" xfId="109" applyFont="1" applyFill="1" applyAlignment="1" applyProtection="1">
      <protection locked="0"/>
    </xf>
    <xf numFmtId="168" fontId="94" fillId="0" borderId="0" xfId="109" applyFont="1" applyFill="1" applyAlignment="1" applyProtection="1">
      <protection locked="0"/>
    </xf>
    <xf numFmtId="168" fontId="94" fillId="16" borderId="0" xfId="109" applyFont="1" applyFill="1" applyProtection="1">
      <protection locked="0"/>
    </xf>
    <xf numFmtId="168" fontId="94" fillId="28" borderId="84" xfId="109" applyFont="1" applyFill="1" applyBorder="1" applyAlignment="1">
      <alignment horizontal="center" vertical="center" wrapText="1"/>
    </xf>
    <xf numFmtId="168" fontId="94" fillId="0" borderId="0" xfId="109" applyFont="1" applyFill="1" applyBorder="1" applyAlignment="1" applyProtection="1">
      <alignment horizontal="center"/>
      <protection locked="0"/>
    </xf>
    <xf numFmtId="168" fontId="94" fillId="0" borderId="0" xfId="109" applyFont="1" applyFill="1" applyBorder="1" applyAlignment="1" applyProtection="1">
      <alignment horizontal="center" vertical="center" wrapText="1"/>
      <protection locked="0"/>
    </xf>
    <xf numFmtId="168" fontId="94" fillId="21" borderId="80" xfId="109" applyFont="1" applyFill="1" applyBorder="1" applyProtection="1">
      <protection locked="0"/>
    </xf>
    <xf numFmtId="168" fontId="94" fillId="21" borderId="80" xfId="109" applyFont="1" applyFill="1" applyBorder="1" applyAlignment="1" applyProtection="1">
      <protection locked="0"/>
    </xf>
    <xf numFmtId="168" fontId="94" fillId="0" borderId="80" xfId="109" applyFont="1" applyFill="1" applyBorder="1" applyProtection="1">
      <protection locked="0"/>
    </xf>
    <xf numFmtId="168" fontId="94" fillId="0" borderId="80" xfId="109" applyFont="1" applyFill="1" applyBorder="1" applyAlignment="1" applyProtection="1">
      <protection locked="0"/>
    </xf>
    <xf numFmtId="168" fontId="94" fillId="21" borderId="34" xfId="109" applyFont="1" applyFill="1" applyBorder="1" applyProtection="1">
      <protection locked="0"/>
    </xf>
    <xf numFmtId="168" fontId="94" fillId="21" borderId="0" xfId="109" applyFont="1" applyFill="1" applyBorder="1" applyProtection="1">
      <protection locked="0"/>
    </xf>
    <xf numFmtId="168" fontId="94" fillId="0" borderId="0" xfId="109" applyFont="1" applyFill="1" applyBorder="1" applyProtection="1">
      <protection locked="0"/>
    </xf>
    <xf numFmtId="168" fontId="94" fillId="0" borderId="0" xfId="109" applyFont="1" applyFill="1" applyBorder="1" applyAlignment="1" applyProtection="1">
      <protection locked="0"/>
    </xf>
    <xf numFmtId="168" fontId="94" fillId="0" borderId="34" xfId="109" applyFont="1" applyFill="1" applyBorder="1" applyProtection="1">
      <protection locked="0"/>
    </xf>
    <xf numFmtId="168" fontId="94" fillId="21" borderId="0" xfId="109" applyFont="1" applyFill="1" applyBorder="1" applyAlignment="1" applyProtection="1">
      <protection locked="0"/>
    </xf>
    <xf numFmtId="168" fontId="94" fillId="21" borderId="34" xfId="109" applyFont="1" applyFill="1" applyBorder="1" applyAlignment="1" applyProtection="1">
      <protection locked="0"/>
    </xf>
    <xf numFmtId="168" fontId="94" fillId="0" borderId="34" xfId="109" applyFont="1" applyFill="1" applyBorder="1" applyAlignment="1" applyProtection="1">
      <protection locked="0"/>
    </xf>
    <xf numFmtId="168" fontId="94" fillId="21" borderId="47" xfId="109" applyFont="1" applyFill="1" applyBorder="1" applyAlignment="1" applyProtection="1">
      <protection locked="0"/>
    </xf>
    <xf numFmtId="168" fontId="94" fillId="0" borderId="47" xfId="109" applyFont="1" applyFill="1" applyBorder="1" applyAlignment="1" applyProtection="1">
      <protection locked="0"/>
    </xf>
    <xf numFmtId="168" fontId="94" fillId="21" borderId="47" xfId="109" applyFont="1" applyFill="1" applyBorder="1" applyProtection="1">
      <protection locked="0"/>
    </xf>
    <xf numFmtId="168" fontId="94" fillId="21" borderId="0" xfId="109" applyFont="1" applyFill="1" applyProtection="1">
      <protection locked="0"/>
    </xf>
    <xf numFmtId="168" fontId="94" fillId="0" borderId="0" xfId="109" applyFont="1" applyFill="1" applyProtection="1">
      <protection locked="0"/>
    </xf>
    <xf numFmtId="168" fontId="94" fillId="16" borderId="0" xfId="109" applyFont="1" applyFill="1" applyBorder="1" applyAlignment="1" applyProtection="1">
      <protection locked="0"/>
    </xf>
    <xf numFmtId="0" fontId="96" fillId="0" borderId="51" xfId="93" applyFont="1" applyBorder="1" applyAlignment="1" applyProtection="1">
      <alignment horizontal="left"/>
      <protection locked="0"/>
    </xf>
    <xf numFmtId="0" fontId="99" fillId="16" borderId="51" xfId="93" applyFont="1" applyFill="1" applyBorder="1" applyProtection="1">
      <protection locked="0"/>
    </xf>
    <xf numFmtId="9" fontId="99" fillId="16" borderId="51" xfId="257" applyFont="1" applyFill="1" applyBorder="1" applyProtection="1">
      <protection locked="0"/>
    </xf>
    <xf numFmtId="168" fontId="116" fillId="16" borderId="48" xfId="109" applyFont="1" applyFill="1" applyBorder="1" applyAlignment="1" applyProtection="1">
      <protection locked="0"/>
    </xf>
    <xf numFmtId="168" fontId="116" fillId="16" borderId="45" xfId="109" applyFont="1" applyFill="1" applyBorder="1" applyAlignment="1" applyProtection="1">
      <protection locked="0"/>
    </xf>
    <xf numFmtId="168" fontId="116" fillId="40" borderId="45" xfId="109" applyFont="1" applyFill="1" applyBorder="1" applyAlignment="1" applyProtection="1">
      <alignment horizontal="center"/>
      <protection locked="0"/>
    </xf>
    <xf numFmtId="168" fontId="95" fillId="16" borderId="45" xfId="109" applyFont="1" applyFill="1" applyBorder="1" applyProtection="1">
      <protection locked="0"/>
    </xf>
    <xf numFmtId="168" fontId="95" fillId="16" borderId="45" xfId="109" applyFont="1" applyFill="1" applyBorder="1" applyAlignment="1" applyProtection="1">
      <protection locked="0"/>
    </xf>
    <xf numFmtId="168" fontId="95" fillId="39" borderId="93" xfId="109" applyFont="1" applyFill="1" applyBorder="1" applyAlignment="1" applyProtection="1">
      <protection locked="0"/>
    </xf>
    <xf numFmtId="0" fontId="117" fillId="16" borderId="0" xfId="93" applyFont="1" applyFill="1" applyProtection="1">
      <protection locked="0"/>
    </xf>
    <xf numFmtId="0" fontId="118" fillId="21" borderId="0" xfId="93" applyFont="1" applyFill="1" applyAlignment="1" applyProtection="1">
      <alignment horizontal="left"/>
      <protection locked="0"/>
    </xf>
    <xf numFmtId="0" fontId="118" fillId="16" borderId="0" xfId="93" applyFont="1" applyFill="1" applyProtection="1">
      <protection locked="0"/>
    </xf>
    <xf numFmtId="0" fontId="119" fillId="0" borderId="0" xfId="93" applyFont="1" applyProtection="1">
      <protection locked="0"/>
    </xf>
    <xf numFmtId="0" fontId="119" fillId="16" borderId="0" xfId="93" applyFont="1" applyFill="1" applyProtection="1">
      <protection locked="0"/>
    </xf>
    <xf numFmtId="0" fontId="120" fillId="16" borderId="0" xfId="93" applyFont="1" applyFill="1" applyProtection="1">
      <protection locked="0"/>
    </xf>
    <xf numFmtId="170" fontId="117" fillId="16" borderId="0" xfId="93" applyNumberFormat="1" applyFont="1" applyFill="1" applyProtection="1">
      <protection locked="0"/>
    </xf>
    <xf numFmtId="0" fontId="121" fillId="0" borderId="0" xfId="93" applyFont="1" applyAlignment="1" applyProtection="1">
      <alignment horizontal="left"/>
      <protection locked="0"/>
    </xf>
    <xf numFmtId="0" fontId="121" fillId="16" borderId="0" xfId="93" applyFont="1" applyFill="1" applyProtection="1">
      <protection locked="0"/>
    </xf>
    <xf numFmtId="0" fontId="122" fillId="16" borderId="0" xfId="93" applyFont="1" applyFill="1" applyProtection="1">
      <protection locked="0"/>
    </xf>
    <xf numFmtId="170" fontId="122" fillId="16" borderId="0" xfId="93" applyNumberFormat="1" applyFont="1" applyFill="1" applyProtection="1">
      <protection locked="0"/>
    </xf>
    <xf numFmtId="0" fontId="118" fillId="33" borderId="0" xfId="93" applyFont="1" applyFill="1" applyAlignment="1" applyProtection="1">
      <alignment horizontal="left"/>
      <protection locked="0"/>
    </xf>
    <xf numFmtId="0" fontId="121" fillId="34" borderId="0" xfId="93" applyFont="1" applyFill="1" applyProtection="1">
      <protection locked="0"/>
    </xf>
    <xf numFmtId="0" fontId="117" fillId="0" borderId="0" xfId="93" applyFont="1" applyAlignment="1" applyProtection="1">
      <alignment horizontal="left"/>
      <protection locked="0"/>
    </xf>
    <xf numFmtId="170" fontId="120" fillId="16" borderId="0" xfId="93" applyNumberFormat="1" applyFont="1" applyFill="1" applyProtection="1">
      <protection locked="0"/>
    </xf>
    <xf numFmtId="0" fontId="123" fillId="16" borderId="0" xfId="93" applyFont="1" applyFill="1" applyProtection="1">
      <protection locked="0"/>
    </xf>
    <xf numFmtId="0" fontId="123" fillId="0" borderId="0" xfId="93" applyFont="1" applyAlignment="1" applyProtection="1">
      <alignment horizontal="left"/>
      <protection locked="0"/>
    </xf>
    <xf numFmtId="0" fontId="124" fillId="16" borderId="0" xfId="93" applyFont="1" applyFill="1" applyProtection="1">
      <protection locked="0"/>
    </xf>
    <xf numFmtId="0" fontId="117" fillId="16" borderId="0" xfId="93" applyFont="1" applyFill="1" applyAlignment="1" applyProtection="1">
      <alignment horizontal="center"/>
      <protection locked="0"/>
    </xf>
    <xf numFmtId="0" fontId="121" fillId="16" borderId="0" xfId="93" applyFont="1" applyFill="1" applyAlignment="1" applyProtection="1">
      <alignment horizontal="center"/>
      <protection locked="0"/>
    </xf>
    <xf numFmtId="0" fontId="120" fillId="16" borderId="0" xfId="93" applyFont="1" applyFill="1" applyAlignment="1" applyProtection="1">
      <alignment horizontal="center"/>
      <protection locked="0"/>
    </xf>
    <xf numFmtId="0" fontId="121" fillId="0" borderId="83" xfId="93" applyFont="1" applyBorder="1" applyAlignment="1" applyProtection="1">
      <alignment horizontal="left" vertical="center"/>
      <protection locked="0"/>
    </xf>
    <xf numFmtId="0" fontId="121" fillId="16" borderId="84" xfId="93" applyFont="1" applyFill="1" applyBorder="1" applyAlignment="1" applyProtection="1">
      <alignment horizontal="center" vertical="center"/>
      <protection locked="0"/>
    </xf>
    <xf numFmtId="166" fontId="125" fillId="28" borderId="84" xfId="94" applyFont="1" applyFill="1" applyBorder="1" applyAlignment="1">
      <alignment horizontal="center" vertical="center" wrapText="1"/>
    </xf>
    <xf numFmtId="166" fontId="125" fillId="45" borderId="84" xfId="94" applyFont="1" applyFill="1" applyBorder="1" applyAlignment="1">
      <alignment horizontal="center" vertical="center" wrapText="1"/>
    </xf>
    <xf numFmtId="0" fontId="117" fillId="0" borderId="0" xfId="93" applyFont="1" applyProtection="1">
      <protection locked="0"/>
    </xf>
    <xf numFmtId="0" fontId="121" fillId="0" borderId="0" xfId="93" applyFont="1" applyAlignment="1" applyProtection="1">
      <alignment horizontal="center"/>
      <protection locked="0"/>
    </xf>
    <xf numFmtId="0" fontId="117" fillId="0" borderId="0" xfId="93" applyFont="1" applyAlignment="1" applyProtection="1">
      <alignment horizontal="center"/>
      <protection locked="0"/>
    </xf>
    <xf numFmtId="170" fontId="117" fillId="0" borderId="0" xfId="93" applyNumberFormat="1" applyFont="1" applyAlignment="1" applyProtection="1">
      <alignment horizontal="center"/>
      <protection locked="0"/>
    </xf>
    <xf numFmtId="170" fontId="117" fillId="0" borderId="0" xfId="93" applyNumberFormat="1" applyFont="1" applyAlignment="1" applyProtection="1">
      <alignment horizontal="center" vertical="center" wrapText="1"/>
      <protection locked="0"/>
    </xf>
    <xf numFmtId="0" fontId="120" fillId="0" borderId="0" xfId="93" applyFont="1" applyProtection="1">
      <protection locked="0"/>
    </xf>
    <xf numFmtId="0" fontId="126" fillId="0" borderId="0" xfId="93" applyFont="1" applyAlignment="1" applyProtection="1">
      <alignment horizontal="left"/>
      <protection locked="0"/>
    </xf>
    <xf numFmtId="0" fontId="122" fillId="0" borderId="0" xfId="93" applyFont="1" applyAlignment="1" applyProtection="1">
      <alignment horizontal="center"/>
      <protection locked="0"/>
    </xf>
    <xf numFmtId="170" fontId="122" fillId="0" borderId="0" xfId="93" applyNumberFormat="1" applyFont="1" applyAlignment="1" applyProtection="1">
      <alignment horizontal="center"/>
      <protection locked="0"/>
    </xf>
    <xf numFmtId="170" fontId="122" fillId="0" borderId="0" xfId="93" applyNumberFormat="1" applyFont="1" applyAlignment="1" applyProtection="1">
      <alignment horizontal="center" vertical="center" wrapText="1"/>
      <protection locked="0"/>
    </xf>
    <xf numFmtId="0" fontId="127" fillId="0" borderId="80" xfId="93" applyFont="1" applyBorder="1" applyAlignment="1" applyProtection="1">
      <alignment horizontal="left"/>
      <protection locked="0"/>
    </xf>
    <xf numFmtId="0" fontId="127" fillId="21" borderId="80" xfId="93" applyFont="1" applyFill="1" applyBorder="1" applyProtection="1">
      <protection locked="0"/>
    </xf>
    <xf numFmtId="40" fontId="127" fillId="21" borderId="80" xfId="93" applyNumberFormat="1" applyFont="1" applyFill="1" applyBorder="1" applyProtection="1">
      <protection locked="0"/>
    </xf>
    <xf numFmtId="170" fontId="127" fillId="21" borderId="80" xfId="94" applyNumberFormat="1" applyFont="1" applyFill="1" applyBorder="1" applyProtection="1">
      <protection locked="0"/>
    </xf>
    <xf numFmtId="0" fontId="127" fillId="21" borderId="0" xfId="93" applyFont="1" applyFill="1" applyProtection="1">
      <protection locked="0"/>
    </xf>
    <xf numFmtId="0" fontId="117" fillId="0" borderId="80" xfId="93" applyFont="1" applyBorder="1" applyAlignment="1" applyProtection="1">
      <alignment horizontal="left"/>
      <protection locked="0"/>
    </xf>
    <xf numFmtId="0" fontId="117" fillId="0" borderId="80" xfId="93" applyFont="1" applyBorder="1" applyProtection="1">
      <protection locked="0"/>
    </xf>
    <xf numFmtId="0" fontId="120" fillId="0" borderId="80" xfId="93" applyFont="1" applyBorder="1" applyProtection="1">
      <protection locked="0"/>
    </xf>
    <xf numFmtId="40" fontId="128" fillId="21" borderId="80" xfId="93" applyNumberFormat="1" applyFont="1" applyFill="1" applyBorder="1" applyProtection="1">
      <protection locked="0"/>
    </xf>
    <xf numFmtId="40" fontId="120" fillId="0" borderId="80" xfId="93" applyNumberFormat="1" applyFont="1" applyBorder="1" applyProtection="1">
      <protection locked="0"/>
    </xf>
    <xf numFmtId="170" fontId="120" fillId="0" borderId="80" xfId="94" applyNumberFormat="1" applyFont="1" applyBorder="1" applyProtection="1">
      <protection locked="0"/>
    </xf>
    <xf numFmtId="0" fontId="127" fillId="0" borderId="80" xfId="93" applyFont="1" applyBorder="1" applyProtection="1">
      <protection locked="0"/>
    </xf>
    <xf numFmtId="0" fontId="128" fillId="0" borderId="80" xfId="93" applyFont="1" applyBorder="1" applyProtection="1">
      <protection locked="0"/>
    </xf>
    <xf numFmtId="40" fontId="128" fillId="0" borderId="80" xfId="93" applyNumberFormat="1" applyFont="1" applyBorder="1" applyProtection="1">
      <protection locked="0"/>
    </xf>
    <xf numFmtId="170" fontId="128" fillId="0" borderId="80" xfId="94" applyNumberFormat="1" applyFont="1" applyBorder="1" applyProtection="1">
      <protection locked="0"/>
    </xf>
    <xf numFmtId="0" fontId="128" fillId="0" borderId="0" xfId="93" applyFont="1" applyProtection="1">
      <protection locked="0"/>
    </xf>
    <xf numFmtId="0" fontId="121" fillId="0" borderId="0" xfId="93" applyFont="1" applyProtection="1">
      <protection locked="0"/>
    </xf>
    <xf numFmtId="40" fontId="121" fillId="21" borderId="34" xfId="93" applyNumberFormat="1" applyFont="1" applyFill="1" applyBorder="1" applyProtection="1">
      <protection locked="0"/>
    </xf>
    <xf numFmtId="40" fontId="117" fillId="0" borderId="0" xfId="93" applyNumberFormat="1" applyFont="1" applyProtection="1">
      <protection locked="0"/>
    </xf>
    <xf numFmtId="40" fontId="120" fillId="21" borderId="0" xfId="93" applyNumberFormat="1" applyFont="1" applyFill="1" applyProtection="1">
      <protection locked="0"/>
    </xf>
    <xf numFmtId="40" fontId="120" fillId="0" borderId="0" xfId="93" applyNumberFormat="1" applyFont="1" applyProtection="1">
      <protection locked="0"/>
    </xf>
    <xf numFmtId="170" fontId="120" fillId="0" borderId="0" xfId="94" applyNumberFormat="1" applyFont="1" applyProtection="1">
      <protection locked="0"/>
    </xf>
    <xf numFmtId="0" fontId="127" fillId="0" borderId="0" xfId="93" applyFont="1" applyProtection="1">
      <protection locked="0"/>
    </xf>
    <xf numFmtId="40" fontId="127" fillId="0" borderId="80" xfId="93" applyNumberFormat="1" applyFont="1" applyBorder="1" applyProtection="1">
      <protection locked="0"/>
    </xf>
    <xf numFmtId="170" fontId="119" fillId="0" borderId="80" xfId="94" applyNumberFormat="1" applyFont="1" applyBorder="1" applyProtection="1">
      <protection locked="0"/>
    </xf>
    <xf numFmtId="0" fontId="127" fillId="21" borderId="80" xfId="93" applyFont="1" applyFill="1" applyBorder="1" applyAlignment="1" applyProtection="1">
      <alignment horizontal="left"/>
      <protection locked="0"/>
    </xf>
    <xf numFmtId="0" fontId="128" fillId="21" borderId="80" xfId="93" applyFont="1" applyFill="1" applyBorder="1" applyProtection="1">
      <protection locked="0"/>
    </xf>
    <xf numFmtId="170" fontId="128" fillId="21" borderId="80" xfId="94" applyNumberFormat="1" applyFont="1" applyFill="1" applyBorder="1" applyProtection="1">
      <protection locked="0"/>
    </xf>
    <xf numFmtId="0" fontId="128" fillId="21" borderId="0" xfId="93" applyFont="1" applyFill="1" applyProtection="1">
      <protection locked="0"/>
    </xf>
    <xf numFmtId="0" fontId="127" fillId="0" borderId="0" xfId="93" applyFont="1" applyAlignment="1" applyProtection="1">
      <alignment horizontal="left"/>
      <protection locked="0"/>
    </xf>
    <xf numFmtId="0" fontId="118" fillId="0" borderId="0" xfId="93" applyFont="1" applyProtection="1">
      <protection locked="0"/>
    </xf>
    <xf numFmtId="40" fontId="121" fillId="0" borderId="34" xfId="93" applyNumberFormat="1" applyFont="1" applyBorder="1" applyProtection="1">
      <protection locked="0"/>
    </xf>
    <xf numFmtId="40" fontId="120" fillId="21" borderId="80" xfId="93" applyNumberFormat="1" applyFont="1" applyFill="1" applyBorder="1" applyProtection="1">
      <protection locked="0"/>
    </xf>
    <xf numFmtId="0" fontId="120" fillId="21" borderId="80" xfId="93" applyFont="1" applyFill="1" applyBorder="1" applyProtection="1">
      <protection locked="0"/>
    </xf>
    <xf numFmtId="170" fontId="120" fillId="21" borderId="80" xfId="94" applyNumberFormat="1" applyFont="1" applyFill="1" applyBorder="1" applyProtection="1">
      <protection locked="0"/>
    </xf>
    <xf numFmtId="0" fontId="120" fillId="21" borderId="0" xfId="93" applyFont="1" applyFill="1" applyProtection="1">
      <protection locked="0"/>
    </xf>
    <xf numFmtId="170" fontId="127" fillId="0" borderId="80" xfId="94" applyNumberFormat="1" applyFont="1" applyBorder="1" applyProtection="1">
      <protection locked="0"/>
    </xf>
    <xf numFmtId="40" fontId="122" fillId="21" borderId="0" xfId="93" applyNumberFormat="1" applyFont="1" applyFill="1" applyProtection="1">
      <protection locked="0"/>
    </xf>
    <xf numFmtId="40" fontId="122" fillId="0" borderId="0" xfId="93" applyNumberFormat="1" applyFont="1" applyProtection="1">
      <protection locked="0"/>
    </xf>
    <xf numFmtId="170" fontId="117" fillId="0" borderId="0" xfId="94" applyNumberFormat="1" applyFont="1" applyProtection="1">
      <protection locked="0"/>
    </xf>
    <xf numFmtId="170" fontId="122" fillId="21" borderId="0" xfId="94" applyNumberFormat="1" applyFont="1" applyFill="1" applyProtection="1">
      <protection locked="0"/>
    </xf>
    <xf numFmtId="170" fontId="122" fillId="0" borderId="0" xfId="94" applyNumberFormat="1" applyFont="1" applyProtection="1">
      <protection locked="0"/>
    </xf>
    <xf numFmtId="0" fontId="129" fillId="21" borderId="0" xfId="93" applyFont="1" applyFill="1" applyProtection="1">
      <protection locked="0"/>
    </xf>
    <xf numFmtId="0" fontId="129" fillId="0" borderId="80" xfId="93" applyFont="1" applyBorder="1" applyAlignment="1" applyProtection="1">
      <alignment horizontal="left"/>
      <protection locked="0"/>
    </xf>
    <xf numFmtId="0" fontId="129" fillId="21" borderId="80" xfId="93" applyFont="1" applyFill="1" applyBorder="1" applyProtection="1">
      <protection locked="0"/>
    </xf>
    <xf numFmtId="0" fontId="130" fillId="21" borderId="80" xfId="93" applyFont="1" applyFill="1" applyBorder="1" applyProtection="1">
      <protection locked="0"/>
    </xf>
    <xf numFmtId="170" fontId="130" fillId="21" borderId="80" xfId="94" applyNumberFormat="1" applyFont="1" applyFill="1" applyBorder="1" applyProtection="1">
      <protection locked="0"/>
    </xf>
    <xf numFmtId="0" fontId="130" fillId="21" borderId="0" xfId="93" applyFont="1" applyFill="1" applyProtection="1">
      <protection locked="0"/>
    </xf>
    <xf numFmtId="170" fontId="128" fillId="36" borderId="80" xfId="94" applyNumberFormat="1" applyFont="1" applyFill="1" applyBorder="1" applyProtection="1">
      <protection locked="0"/>
    </xf>
    <xf numFmtId="170" fontId="121" fillId="21" borderId="34" xfId="94" applyNumberFormat="1" applyFont="1" applyFill="1" applyBorder="1" applyProtection="1">
      <protection locked="0"/>
    </xf>
    <xf numFmtId="170" fontId="121" fillId="0" borderId="34" xfId="94" applyNumberFormat="1" applyFont="1" applyBorder="1" applyProtection="1">
      <protection locked="0"/>
    </xf>
    <xf numFmtId="170" fontId="122" fillId="0" borderId="0" xfId="93" applyNumberFormat="1" applyFont="1" applyProtection="1">
      <protection locked="0"/>
    </xf>
    <xf numFmtId="0" fontId="117" fillId="21" borderId="0" xfId="93" applyFont="1" applyFill="1" applyProtection="1">
      <protection locked="0"/>
    </xf>
    <xf numFmtId="0" fontId="117" fillId="21" borderId="80" xfId="93" applyFont="1" applyFill="1" applyBorder="1" applyAlignment="1" applyProtection="1">
      <alignment horizontal="left"/>
      <protection locked="0"/>
    </xf>
    <xf numFmtId="0" fontId="117" fillId="21" borderId="80" xfId="93" applyFont="1" applyFill="1" applyBorder="1" applyProtection="1">
      <protection locked="0"/>
    </xf>
    <xf numFmtId="170" fontId="122" fillId="21" borderId="34" xfId="94" applyNumberFormat="1" applyFont="1" applyFill="1" applyBorder="1" applyProtection="1">
      <protection locked="0"/>
    </xf>
    <xf numFmtId="0" fontId="122" fillId="0" borderId="0" xfId="93" applyFont="1" applyProtection="1">
      <protection locked="0"/>
    </xf>
    <xf numFmtId="170" fontId="121" fillId="21" borderId="47" xfId="94" applyNumberFormat="1" applyFont="1" applyFill="1" applyBorder="1" applyProtection="1">
      <protection locked="0"/>
    </xf>
    <xf numFmtId="170" fontId="121" fillId="0" borderId="47" xfId="94" applyNumberFormat="1" applyFont="1" applyBorder="1" applyProtection="1">
      <protection locked="0"/>
    </xf>
    <xf numFmtId="170" fontId="122" fillId="21" borderId="0" xfId="93" applyNumberFormat="1" applyFont="1" applyFill="1" applyProtection="1">
      <protection locked="0"/>
    </xf>
    <xf numFmtId="2" fontId="122" fillId="21" borderId="34" xfId="93" applyNumberFormat="1" applyFont="1" applyFill="1" applyBorder="1" applyProtection="1">
      <protection locked="0"/>
    </xf>
    <xf numFmtId="4" fontId="122" fillId="21" borderId="0" xfId="93" applyNumberFormat="1" applyFont="1" applyFill="1" applyProtection="1">
      <protection locked="0"/>
    </xf>
    <xf numFmtId="4" fontId="122" fillId="0" borderId="0" xfId="93" applyNumberFormat="1" applyFont="1" applyProtection="1">
      <protection locked="0"/>
    </xf>
    <xf numFmtId="170" fontId="120" fillId="21" borderId="0" xfId="94" applyNumberFormat="1" applyFont="1" applyFill="1" applyProtection="1">
      <protection locked="0"/>
    </xf>
    <xf numFmtId="0" fontId="129" fillId="36" borderId="0" xfId="93" applyFont="1" applyFill="1" applyProtection="1">
      <protection locked="0"/>
    </xf>
    <xf numFmtId="0" fontId="129" fillId="36" borderId="80" xfId="93" applyFont="1" applyFill="1" applyBorder="1" applyAlignment="1" applyProtection="1">
      <alignment horizontal="left"/>
      <protection locked="0"/>
    </xf>
    <xf numFmtId="0" fontId="129" fillId="36" borderId="80" xfId="93" applyFont="1" applyFill="1" applyBorder="1" applyProtection="1">
      <protection locked="0"/>
    </xf>
    <xf numFmtId="0" fontId="130" fillId="36" borderId="80" xfId="93" applyFont="1" applyFill="1" applyBorder="1" applyProtection="1">
      <protection locked="0"/>
    </xf>
    <xf numFmtId="40" fontId="130" fillId="36" borderId="80" xfId="93" applyNumberFormat="1" applyFont="1" applyFill="1" applyBorder="1" applyProtection="1">
      <protection locked="0"/>
    </xf>
    <xf numFmtId="170" fontId="130" fillId="36" borderId="80" xfId="94" applyNumberFormat="1" applyFont="1" applyFill="1" applyBorder="1" applyProtection="1">
      <protection locked="0"/>
    </xf>
    <xf numFmtId="0" fontId="130" fillId="36" borderId="0" xfId="93" applyFont="1" applyFill="1" applyProtection="1">
      <protection locked="0"/>
    </xf>
    <xf numFmtId="170" fontId="131" fillId="21" borderId="80" xfId="94" applyNumberFormat="1" applyFont="1" applyFill="1" applyBorder="1" applyProtection="1">
      <protection locked="0"/>
    </xf>
    <xf numFmtId="170" fontId="121" fillId="21" borderId="0" xfId="94" applyNumberFormat="1" applyFont="1" applyFill="1" applyProtection="1">
      <protection locked="0"/>
    </xf>
    <xf numFmtId="170" fontId="121" fillId="0" borderId="0" xfId="94" applyNumberFormat="1" applyFont="1" applyProtection="1">
      <protection locked="0"/>
    </xf>
    <xf numFmtId="0" fontId="129" fillId="21" borderId="80" xfId="93" applyFont="1" applyFill="1" applyBorder="1" applyAlignment="1" applyProtection="1">
      <alignment horizontal="left"/>
      <protection locked="0"/>
    </xf>
    <xf numFmtId="0" fontId="122" fillId="21" borderId="0" xfId="93" applyFont="1" applyFill="1" applyProtection="1">
      <protection locked="0"/>
    </xf>
    <xf numFmtId="0" fontId="121" fillId="21" borderId="0" xfId="93" applyFont="1" applyFill="1" applyProtection="1">
      <protection locked="0"/>
    </xf>
    <xf numFmtId="40" fontId="121" fillId="21" borderId="47" xfId="93" applyNumberFormat="1" applyFont="1" applyFill="1" applyBorder="1" applyProtection="1">
      <protection locked="0"/>
    </xf>
    <xf numFmtId="170" fontId="120" fillId="21" borderId="0" xfId="93" applyNumberFormat="1" applyFont="1" applyFill="1" applyProtection="1">
      <protection locked="0"/>
    </xf>
    <xf numFmtId="171" fontId="120" fillId="21" borderId="80" xfId="94" applyNumberFormat="1" applyFont="1" applyFill="1" applyBorder="1" applyProtection="1">
      <protection locked="0"/>
    </xf>
    <xf numFmtId="171" fontId="128" fillId="21" borderId="80" xfId="94" applyNumberFormat="1" applyFont="1" applyFill="1" applyBorder="1" applyProtection="1">
      <protection locked="0"/>
    </xf>
    <xf numFmtId="171" fontId="127" fillId="21" borderId="80" xfId="94" applyNumberFormat="1" applyFont="1" applyFill="1" applyBorder="1" applyProtection="1">
      <protection locked="0"/>
    </xf>
    <xf numFmtId="0" fontId="121" fillId="21" borderId="0" xfId="93" applyFont="1" applyFill="1" applyAlignment="1" applyProtection="1">
      <alignment horizontal="left"/>
      <protection locked="0"/>
    </xf>
    <xf numFmtId="0" fontId="118" fillId="21" borderId="0" xfId="93" applyFont="1" applyFill="1" applyProtection="1">
      <protection locked="0"/>
    </xf>
    <xf numFmtId="170" fontId="119" fillId="21" borderId="80" xfId="94" applyNumberFormat="1" applyFont="1" applyFill="1" applyBorder="1" applyProtection="1">
      <protection locked="0"/>
    </xf>
    <xf numFmtId="171" fontId="119" fillId="21" borderId="80" xfId="94" applyNumberFormat="1" applyFont="1" applyFill="1" applyBorder="1" applyProtection="1">
      <protection locked="0"/>
    </xf>
    <xf numFmtId="0" fontId="119" fillId="21" borderId="0" xfId="93" applyFont="1" applyFill="1" applyProtection="1">
      <protection locked="0"/>
    </xf>
    <xf numFmtId="40" fontId="121" fillId="21" borderId="0" xfId="93" applyNumberFormat="1" applyFont="1" applyFill="1" applyProtection="1">
      <protection locked="0"/>
    </xf>
    <xf numFmtId="170" fontId="121" fillId="21" borderId="28" xfId="94" applyNumberFormat="1" applyFont="1" applyFill="1" applyBorder="1" applyProtection="1">
      <protection locked="0"/>
    </xf>
    <xf numFmtId="170" fontId="117" fillId="21" borderId="0" xfId="94" applyNumberFormat="1" applyFont="1" applyFill="1" applyProtection="1">
      <protection locked="0"/>
    </xf>
    <xf numFmtId="0" fontId="132" fillId="0" borderId="0" xfId="93" applyFont="1" applyAlignment="1" applyProtection="1">
      <alignment horizontal="left"/>
      <protection locked="0"/>
    </xf>
    <xf numFmtId="170" fontId="117" fillId="21" borderId="80" xfId="94" applyNumberFormat="1" applyFont="1" applyFill="1" applyBorder="1" applyProtection="1">
      <protection locked="0"/>
    </xf>
    <xf numFmtId="40" fontId="119" fillId="21" borderId="80" xfId="93" applyNumberFormat="1" applyFont="1" applyFill="1" applyBorder="1" applyProtection="1">
      <protection locked="0"/>
    </xf>
    <xf numFmtId="170" fontId="129" fillId="21" borderId="80" xfId="94" applyNumberFormat="1" applyFont="1" applyFill="1" applyBorder="1" applyProtection="1">
      <protection locked="0"/>
    </xf>
    <xf numFmtId="170" fontId="121" fillId="21" borderId="0" xfId="93" applyNumberFormat="1" applyFont="1" applyFill="1" applyProtection="1">
      <protection locked="0"/>
    </xf>
    <xf numFmtId="170" fontId="121" fillId="21" borderId="34" xfId="93" applyNumberFormat="1" applyFont="1" applyFill="1" applyBorder="1" applyProtection="1">
      <protection locked="0"/>
    </xf>
    <xf numFmtId="0" fontId="129" fillId="0" borderId="80" xfId="93" applyFont="1" applyBorder="1" applyProtection="1">
      <protection locked="0"/>
    </xf>
    <xf numFmtId="40" fontId="121" fillId="0" borderId="0" xfId="93" applyNumberFormat="1" applyFont="1" applyProtection="1">
      <protection locked="0"/>
    </xf>
    <xf numFmtId="170" fontId="121" fillId="0" borderId="28" xfId="94" applyNumberFormat="1" applyFont="1" applyBorder="1" applyProtection="1">
      <protection locked="0"/>
    </xf>
    <xf numFmtId="0" fontId="117" fillId="37" borderId="0" xfId="93" applyFont="1" applyFill="1" applyProtection="1">
      <protection locked="0"/>
    </xf>
    <xf numFmtId="0" fontId="117" fillId="37" borderId="80" xfId="93" applyFont="1" applyFill="1" applyBorder="1" applyAlignment="1" applyProtection="1">
      <alignment horizontal="left"/>
      <protection locked="0"/>
    </xf>
    <xf numFmtId="0" fontId="117" fillId="37" borderId="80" xfId="93" applyFont="1" applyFill="1" applyBorder="1" applyProtection="1">
      <protection locked="0"/>
    </xf>
    <xf numFmtId="0" fontId="120" fillId="37" borderId="80" xfId="93" applyFont="1" applyFill="1" applyBorder="1" applyProtection="1">
      <protection locked="0"/>
    </xf>
    <xf numFmtId="170" fontId="120" fillId="37" borderId="80" xfId="94" applyNumberFormat="1" applyFont="1" applyFill="1" applyBorder="1" applyProtection="1">
      <protection locked="0"/>
    </xf>
    <xf numFmtId="0" fontId="122" fillId="37" borderId="0" xfId="93" applyFont="1" applyFill="1" applyProtection="1">
      <protection locked="0"/>
    </xf>
    <xf numFmtId="0" fontId="118" fillId="0" borderId="0" xfId="93" applyFont="1" applyAlignment="1" applyProtection="1">
      <alignment horizontal="left"/>
      <protection locked="0"/>
    </xf>
    <xf numFmtId="170" fontId="118" fillId="21" borderId="92" xfId="94" applyNumberFormat="1" applyFont="1" applyFill="1" applyBorder="1" applyProtection="1">
      <protection locked="0"/>
    </xf>
    <xf numFmtId="170" fontId="118" fillId="0" borderId="92" xfId="94" applyNumberFormat="1" applyFont="1" applyBorder="1" applyProtection="1">
      <protection locked="0"/>
    </xf>
    <xf numFmtId="0" fontId="127" fillId="21" borderId="91" xfId="93" applyFont="1" applyFill="1" applyBorder="1" applyAlignment="1" applyProtection="1">
      <alignment horizontal="left"/>
      <protection locked="0"/>
    </xf>
    <xf numFmtId="0" fontId="127" fillId="21" borderId="91" xfId="93" applyFont="1" applyFill="1" applyBorder="1" applyProtection="1">
      <protection locked="0"/>
    </xf>
    <xf numFmtId="0" fontId="128" fillId="21" borderId="91" xfId="93" applyFont="1" applyFill="1" applyBorder="1" applyProtection="1">
      <protection locked="0"/>
    </xf>
    <xf numFmtId="170" fontId="128" fillId="21" borderId="91" xfId="94" applyNumberFormat="1" applyFont="1" applyFill="1" applyBorder="1" applyProtection="1">
      <protection locked="0"/>
    </xf>
    <xf numFmtId="0" fontId="126" fillId="0" borderId="80" xfId="93" applyFont="1" applyBorder="1" applyAlignment="1" applyProtection="1">
      <alignment horizontal="left"/>
      <protection locked="0"/>
    </xf>
    <xf numFmtId="0" fontId="121" fillId="0" borderId="80" xfId="93" applyFont="1" applyBorder="1" applyAlignment="1" applyProtection="1">
      <alignment horizontal="left"/>
      <protection locked="0"/>
    </xf>
    <xf numFmtId="40" fontId="121" fillId="21" borderId="80" xfId="93" applyNumberFormat="1" applyFont="1" applyFill="1" applyBorder="1" applyProtection="1">
      <protection locked="0"/>
    </xf>
    <xf numFmtId="40" fontId="121" fillId="0" borderId="80" xfId="93" applyNumberFormat="1" applyFont="1" applyBorder="1" applyProtection="1">
      <protection locked="0"/>
    </xf>
    <xf numFmtId="0" fontId="121" fillId="0" borderId="7" xfId="93" applyFont="1" applyBorder="1" applyAlignment="1" applyProtection="1">
      <alignment horizontal="left"/>
      <protection locked="0"/>
    </xf>
    <xf numFmtId="0" fontId="133" fillId="0" borderId="0" xfId="93" applyFont="1" applyProtection="1">
      <protection locked="0"/>
    </xf>
    <xf numFmtId="0" fontId="117" fillId="44" borderId="0" xfId="93" applyFont="1" applyFill="1" applyProtection="1">
      <protection locked="0"/>
    </xf>
    <xf numFmtId="0" fontId="117" fillId="44" borderId="80" xfId="93" applyFont="1" applyFill="1" applyBorder="1" applyAlignment="1" applyProtection="1">
      <alignment horizontal="left"/>
      <protection locked="0"/>
    </xf>
    <xf numFmtId="0" fontId="117" fillId="44" borderId="80" xfId="93" applyFont="1" applyFill="1" applyBorder="1" applyProtection="1">
      <protection locked="0"/>
    </xf>
    <xf numFmtId="0" fontId="120" fillId="44" borderId="80" xfId="93" applyFont="1" applyFill="1" applyBorder="1" applyProtection="1">
      <protection locked="0"/>
    </xf>
    <xf numFmtId="170" fontId="120" fillId="44" borderId="80" xfId="94" applyNumberFormat="1" applyFont="1" applyFill="1" applyBorder="1" applyProtection="1">
      <protection locked="0"/>
    </xf>
    <xf numFmtId="0" fontId="122" fillId="44" borderId="0" xfId="93" applyFont="1" applyFill="1" applyProtection="1">
      <protection locked="0"/>
    </xf>
    <xf numFmtId="171" fontId="122" fillId="0" borderId="34" xfId="94" applyNumberFormat="1" applyFont="1" applyBorder="1" applyProtection="1">
      <protection locked="0"/>
    </xf>
    <xf numFmtId="170" fontId="117" fillId="0" borderId="0" xfId="93" applyNumberFormat="1" applyFont="1" applyProtection="1">
      <protection locked="0"/>
    </xf>
    <xf numFmtId="170" fontId="117" fillId="0" borderId="0" xfId="93" applyNumberFormat="1" applyFont="1" applyAlignment="1" applyProtection="1">
      <alignment horizontal="left"/>
      <protection locked="0"/>
    </xf>
    <xf numFmtId="170" fontId="120" fillId="0" borderId="0" xfId="93" applyNumberFormat="1" applyFont="1" applyProtection="1">
      <protection locked="0"/>
    </xf>
    <xf numFmtId="9" fontId="117" fillId="0" borderId="0" xfId="257" applyFont="1" applyProtection="1">
      <protection locked="0"/>
    </xf>
    <xf numFmtId="169" fontId="117" fillId="0" borderId="0" xfId="94" applyNumberFormat="1" applyFont="1" applyAlignment="1" applyProtection="1">
      <alignment horizontal="left"/>
      <protection locked="0"/>
    </xf>
    <xf numFmtId="170" fontId="75" fillId="21" borderId="0" xfId="93" applyNumberFormat="1" applyFont="1" applyFill="1" applyProtection="1">
      <protection locked="0"/>
    </xf>
    <xf numFmtId="40" fontId="79" fillId="21" borderId="26" xfId="93" applyNumberFormat="1" applyFont="1" applyFill="1" applyBorder="1" applyProtection="1">
      <protection locked="0"/>
    </xf>
    <xf numFmtId="40" fontId="79" fillId="21" borderId="22" xfId="93" applyNumberFormat="1" applyFont="1" applyFill="1" applyBorder="1" applyProtection="1">
      <protection locked="0"/>
    </xf>
    <xf numFmtId="40" fontId="79" fillId="21" borderId="25" xfId="93" applyNumberFormat="1" applyFont="1" applyFill="1" applyBorder="1" applyProtection="1">
      <protection locked="0"/>
    </xf>
    <xf numFmtId="40" fontId="78" fillId="21" borderId="45" xfId="93" applyNumberFormat="1" applyFont="1" applyFill="1" applyBorder="1" applyAlignment="1" applyProtection="1">
      <alignment horizontal="left"/>
      <protection locked="0"/>
    </xf>
    <xf numFmtId="168" fontId="32" fillId="0" borderId="46" xfId="109" applyFont="1" applyBorder="1"/>
    <xf numFmtId="0" fontId="75" fillId="16" borderId="0" xfId="93" applyFont="1" applyFill="1" applyProtection="1">
      <protection locked="0"/>
    </xf>
    <xf numFmtId="0" fontId="136" fillId="21" borderId="0" xfId="93" applyFont="1" applyFill="1" applyAlignment="1" applyProtection="1">
      <alignment horizontal="left"/>
      <protection locked="0"/>
    </xf>
    <xf numFmtId="0" fontId="136" fillId="16" borderId="0" xfId="93" applyFont="1" applyFill="1" applyProtection="1">
      <protection locked="0"/>
    </xf>
    <xf numFmtId="0" fontId="137" fillId="0" borderId="0" xfId="93" applyFont="1" applyProtection="1">
      <protection locked="0"/>
    </xf>
    <xf numFmtId="0" fontId="137" fillId="16" borderId="0" xfId="93" applyFont="1" applyFill="1" applyProtection="1">
      <protection locked="0"/>
    </xf>
    <xf numFmtId="0" fontId="79" fillId="16" borderId="0" xfId="93" applyFont="1" applyFill="1" applyProtection="1">
      <protection locked="0"/>
    </xf>
    <xf numFmtId="170" fontId="138" fillId="16" borderId="0" xfId="93" applyNumberFormat="1" applyFont="1" applyFill="1" applyProtection="1">
      <protection locked="0"/>
    </xf>
    <xf numFmtId="0" fontId="88" fillId="0" borderId="0" xfId="93" applyFont="1" applyAlignment="1" applyProtection="1">
      <alignment horizontal="left"/>
      <protection locked="0"/>
    </xf>
    <xf numFmtId="170" fontId="137" fillId="16" borderId="0" xfId="93" applyNumberFormat="1" applyFont="1" applyFill="1" applyProtection="1">
      <protection locked="0"/>
    </xf>
    <xf numFmtId="9" fontId="137" fillId="16" borderId="0" xfId="257" applyFont="1" applyFill="1" applyProtection="1">
      <protection locked="0"/>
    </xf>
    <xf numFmtId="0" fontId="139" fillId="0" borderId="0" xfId="93" applyFont="1" applyProtection="1">
      <protection locked="0"/>
    </xf>
    <xf numFmtId="0" fontId="140" fillId="33" borderId="0" xfId="93" applyFont="1" applyFill="1" applyAlignment="1" applyProtection="1">
      <alignment horizontal="left"/>
      <protection locked="0"/>
    </xf>
    <xf numFmtId="0" fontId="75" fillId="0" borderId="0" xfId="93" applyFont="1" applyAlignment="1" applyProtection="1">
      <alignment horizontal="left"/>
      <protection locked="0"/>
    </xf>
    <xf numFmtId="170" fontId="79" fillId="16" borderId="0" xfId="93" applyNumberFormat="1" applyFont="1" applyFill="1" applyProtection="1">
      <protection locked="0"/>
    </xf>
    <xf numFmtId="9" fontId="79" fillId="16" borderId="0" xfId="257" applyFont="1" applyFill="1" applyProtection="1">
      <protection locked="0"/>
    </xf>
    <xf numFmtId="0" fontId="75" fillId="16" borderId="0" xfId="93" applyFont="1" applyFill="1" applyAlignment="1" applyProtection="1">
      <alignment horizontal="center"/>
      <protection locked="0"/>
    </xf>
    <xf numFmtId="0" fontId="139" fillId="0" borderId="0" xfId="93" applyFont="1" applyAlignment="1" applyProtection="1">
      <alignment horizontal="left"/>
      <protection locked="0"/>
    </xf>
    <xf numFmtId="0" fontId="139" fillId="16" borderId="0" xfId="93" applyFont="1" applyFill="1" applyAlignment="1" applyProtection="1">
      <alignment horizontal="center"/>
      <protection locked="0"/>
    </xf>
    <xf numFmtId="9" fontId="80" fillId="16" borderId="0" xfId="257" applyFont="1" applyFill="1" applyAlignment="1" applyProtection="1">
      <alignment horizontal="center" wrapText="1"/>
      <protection locked="0"/>
    </xf>
    <xf numFmtId="170" fontId="80" fillId="6" borderId="89" xfId="93" applyNumberFormat="1" applyFont="1" applyFill="1" applyBorder="1" applyAlignment="1" applyProtection="1">
      <alignment horizontal="center"/>
      <protection locked="0"/>
    </xf>
    <xf numFmtId="170" fontId="80" fillId="6" borderId="73" xfId="93" applyNumberFormat="1" applyFont="1" applyFill="1" applyBorder="1" applyAlignment="1" applyProtection="1">
      <alignment horizontal="center"/>
      <protection locked="0"/>
    </xf>
    <xf numFmtId="170" fontId="80" fillId="6" borderId="74" xfId="93" applyNumberFormat="1" applyFont="1" applyFill="1" applyBorder="1" applyAlignment="1" applyProtection="1">
      <alignment horizontal="center"/>
      <protection locked="0"/>
    </xf>
    <xf numFmtId="170" fontId="80" fillId="13" borderId="74" xfId="93" applyNumberFormat="1" applyFont="1" applyFill="1" applyBorder="1" applyAlignment="1" applyProtection="1">
      <alignment horizontal="center"/>
      <protection locked="0"/>
    </xf>
    <xf numFmtId="170" fontId="80" fillId="17" borderId="74" xfId="93" applyNumberFormat="1" applyFont="1" applyFill="1" applyBorder="1" applyAlignment="1" applyProtection="1">
      <alignment horizontal="center"/>
      <protection locked="0"/>
    </xf>
    <xf numFmtId="170" fontId="80" fillId="3" borderId="74" xfId="93" applyNumberFormat="1" applyFont="1" applyFill="1" applyBorder="1" applyAlignment="1" applyProtection="1">
      <alignment horizontal="center"/>
      <protection locked="0"/>
    </xf>
    <xf numFmtId="170" fontId="143" fillId="16" borderId="74" xfId="93" applyNumberFormat="1" applyFont="1" applyFill="1" applyBorder="1" applyAlignment="1" applyProtection="1">
      <alignment horizontal="center" vertical="center" wrapText="1"/>
      <protection locked="0"/>
    </xf>
    <xf numFmtId="0" fontId="79" fillId="16" borderId="62" xfId="93" applyFont="1" applyFill="1" applyBorder="1" applyAlignment="1" applyProtection="1">
      <alignment horizontal="center"/>
      <protection locked="0"/>
    </xf>
    <xf numFmtId="170" fontId="80" fillId="16" borderId="76" xfId="93" applyNumberFormat="1" applyFont="1" applyFill="1" applyBorder="1" applyAlignment="1" applyProtection="1">
      <alignment horizontal="center"/>
      <protection locked="0"/>
    </xf>
    <xf numFmtId="170" fontId="80" fillId="23" borderId="74" xfId="93" applyNumberFormat="1" applyFont="1" applyFill="1" applyBorder="1" applyAlignment="1" applyProtection="1">
      <alignment horizontal="center"/>
      <protection locked="0"/>
    </xf>
    <xf numFmtId="170" fontId="80" fillId="16" borderId="74" xfId="93" applyNumberFormat="1" applyFont="1" applyFill="1" applyBorder="1" applyAlignment="1" applyProtection="1">
      <alignment horizontal="center"/>
      <protection locked="0"/>
    </xf>
    <xf numFmtId="170" fontId="80" fillId="16" borderId="74" xfId="93" applyNumberFormat="1" applyFont="1" applyFill="1" applyBorder="1" applyAlignment="1" applyProtection="1">
      <alignment horizontal="center" vertical="center" wrapText="1"/>
      <protection locked="0"/>
    </xf>
    <xf numFmtId="170" fontId="80" fillId="16" borderId="77" xfId="93" applyNumberFormat="1" applyFont="1" applyFill="1" applyBorder="1" applyAlignment="1" applyProtection="1">
      <alignment horizontal="center" vertical="center" wrapText="1"/>
      <protection locked="0"/>
    </xf>
    <xf numFmtId="170" fontId="80" fillId="16" borderId="78" xfId="93" applyNumberFormat="1" applyFont="1" applyFill="1" applyBorder="1" applyAlignment="1" applyProtection="1">
      <alignment horizontal="center" wrapText="1"/>
      <protection locked="0"/>
    </xf>
    <xf numFmtId="170" fontId="80" fillId="16" borderId="77" xfId="93" applyNumberFormat="1" applyFont="1" applyFill="1" applyBorder="1" applyAlignment="1" applyProtection="1">
      <alignment horizontal="center" wrapText="1"/>
      <protection locked="0"/>
    </xf>
    <xf numFmtId="0" fontId="79" fillId="16" borderId="0" xfId="93" applyFont="1" applyFill="1" applyAlignment="1" applyProtection="1">
      <alignment horizontal="center"/>
      <protection locked="0"/>
    </xf>
    <xf numFmtId="170" fontId="80" fillId="16" borderId="81" xfId="93" applyNumberFormat="1" applyFont="1" applyFill="1" applyBorder="1" applyAlignment="1" applyProtection="1">
      <alignment horizontal="center"/>
      <protection locked="0"/>
    </xf>
    <xf numFmtId="170" fontId="80" fillId="16" borderId="73" xfId="93" applyNumberFormat="1" applyFont="1" applyFill="1" applyBorder="1" applyAlignment="1" applyProtection="1">
      <alignment horizontal="center"/>
      <protection locked="0"/>
    </xf>
    <xf numFmtId="9" fontId="86" fillId="11" borderId="90" xfId="257" applyFont="1" applyFill="1" applyBorder="1" applyAlignment="1" applyProtection="1">
      <alignment horizontal="center"/>
      <protection locked="0"/>
    </xf>
    <xf numFmtId="9" fontId="86" fillId="11" borderId="84" xfId="257" applyFont="1" applyFill="1" applyBorder="1" applyAlignment="1" applyProtection="1">
      <alignment horizontal="center"/>
      <protection locked="0"/>
    </xf>
    <xf numFmtId="9" fontId="86" fillId="11" borderId="85" xfId="257" applyFont="1" applyFill="1" applyBorder="1" applyAlignment="1" applyProtection="1">
      <alignment horizontal="center"/>
      <protection locked="0"/>
    </xf>
    <xf numFmtId="0" fontId="88" fillId="0" borderId="83" xfId="93" applyFont="1" applyBorder="1" applyAlignment="1" applyProtection="1">
      <alignment horizontal="left" vertical="center"/>
      <protection locked="0"/>
    </xf>
    <xf numFmtId="0" fontId="88" fillId="16" borderId="84" xfId="93" applyFont="1" applyFill="1" applyBorder="1" applyAlignment="1" applyProtection="1">
      <alignment horizontal="center" vertical="center"/>
      <protection locked="0"/>
    </xf>
    <xf numFmtId="166" fontId="71" fillId="28" borderId="84" xfId="94" applyFont="1" applyFill="1" applyBorder="1" applyAlignment="1">
      <alignment horizontal="center" vertical="center" wrapText="1"/>
    </xf>
    <xf numFmtId="9" fontId="80" fillId="16" borderId="71" xfId="257" applyFont="1" applyFill="1" applyBorder="1" applyAlignment="1" applyProtection="1">
      <alignment horizontal="center" vertical="center" wrapText="1"/>
      <protection locked="0"/>
    </xf>
    <xf numFmtId="170" fontId="80" fillId="6" borderId="40" xfId="93" applyNumberFormat="1" applyFont="1" applyFill="1" applyBorder="1" applyAlignment="1" applyProtection="1">
      <alignment horizontal="center"/>
      <protection locked="0"/>
    </xf>
    <xf numFmtId="170" fontId="80" fillId="6" borderId="13" xfId="93" applyNumberFormat="1" applyFont="1" applyFill="1" applyBorder="1" applyAlignment="1" applyProtection="1">
      <alignment horizontal="center"/>
      <protection locked="0"/>
    </xf>
    <xf numFmtId="170" fontId="80" fillId="13" borderId="13" xfId="93" applyNumberFormat="1" applyFont="1" applyFill="1" applyBorder="1" applyAlignment="1" applyProtection="1">
      <alignment horizontal="center"/>
      <protection locked="0"/>
    </xf>
    <xf numFmtId="170" fontId="80" fillId="17" borderId="13" xfId="93" applyNumberFormat="1" applyFont="1" applyFill="1" applyBorder="1" applyAlignment="1" applyProtection="1">
      <alignment horizontal="center"/>
      <protection locked="0"/>
    </xf>
    <xf numFmtId="170" fontId="80" fillId="3" borderId="13" xfId="93" applyNumberFormat="1" applyFont="1" applyFill="1" applyBorder="1" applyAlignment="1" applyProtection="1">
      <alignment horizontal="center"/>
      <protection locked="0"/>
    </xf>
    <xf numFmtId="170" fontId="143" fillId="16" borderId="13" xfId="93" applyNumberFormat="1" applyFont="1" applyFill="1" applyBorder="1" applyAlignment="1" applyProtection="1">
      <alignment horizontal="center" vertical="center" wrapText="1"/>
      <protection locked="0"/>
    </xf>
    <xf numFmtId="170" fontId="80" fillId="16" borderId="12" xfId="93" applyNumberFormat="1" applyFont="1" applyFill="1" applyBorder="1" applyAlignment="1" applyProtection="1">
      <alignment horizontal="center"/>
      <protection locked="0"/>
    </xf>
    <xf numFmtId="170" fontId="80" fillId="23" borderId="13" xfId="93" applyNumberFormat="1" applyFont="1" applyFill="1" applyBorder="1" applyAlignment="1" applyProtection="1">
      <alignment horizontal="center"/>
      <protection locked="0"/>
    </xf>
    <xf numFmtId="170" fontId="80" fillId="16" borderId="13" xfId="93" applyNumberFormat="1" applyFont="1" applyFill="1" applyBorder="1" applyAlignment="1" applyProtection="1">
      <alignment horizontal="center"/>
      <protection locked="0"/>
    </xf>
    <xf numFmtId="170" fontId="80" fillId="16" borderId="4" xfId="93" applyNumberFormat="1" applyFont="1" applyFill="1" applyBorder="1" applyAlignment="1" applyProtection="1">
      <alignment horizontal="center"/>
      <protection locked="0"/>
    </xf>
    <xf numFmtId="170" fontId="80" fillId="16" borderId="14" xfId="93" applyNumberFormat="1" applyFont="1" applyFill="1" applyBorder="1" applyAlignment="1" applyProtection="1">
      <alignment horizontal="center" vertical="center" wrapText="1"/>
      <protection locked="0"/>
    </xf>
    <xf numFmtId="170" fontId="80" fillId="16" borderId="4" xfId="93" applyNumberFormat="1" applyFont="1" applyFill="1" applyBorder="1" applyAlignment="1" applyProtection="1">
      <alignment horizontal="center" vertical="center" wrapText="1"/>
      <protection locked="0"/>
    </xf>
    <xf numFmtId="0" fontId="80" fillId="16" borderId="82" xfId="93" applyFont="1" applyFill="1" applyBorder="1" applyAlignment="1" applyProtection="1">
      <alignment horizontal="center"/>
      <protection locked="0"/>
    </xf>
    <xf numFmtId="170" fontId="80" fillId="16" borderId="40" xfId="93" applyNumberFormat="1" applyFont="1" applyFill="1" applyBorder="1" applyAlignment="1" applyProtection="1">
      <alignment horizontal="center"/>
      <protection locked="0"/>
    </xf>
    <xf numFmtId="0" fontId="79" fillId="9" borderId="84" xfId="93" applyFont="1" applyFill="1" applyBorder="1" applyProtection="1">
      <protection locked="0"/>
    </xf>
    <xf numFmtId="0" fontId="139" fillId="9" borderId="84" xfId="93" applyFont="1" applyFill="1" applyBorder="1" applyAlignment="1" applyProtection="1">
      <alignment horizontal="center" vertical="center"/>
      <protection locked="0"/>
    </xf>
    <xf numFmtId="0" fontId="139" fillId="9" borderId="84" xfId="93" applyFont="1" applyFill="1" applyBorder="1" applyAlignment="1" applyProtection="1">
      <alignment vertical="center"/>
      <protection locked="0"/>
    </xf>
    <xf numFmtId="0" fontId="139" fillId="9" borderId="84" xfId="93" applyFont="1" applyFill="1" applyBorder="1" applyAlignment="1" applyProtection="1">
      <alignment horizontal="center" vertical="center" wrapText="1"/>
      <protection locked="0"/>
    </xf>
    <xf numFmtId="0" fontId="139" fillId="9" borderId="85" xfId="93" applyFont="1" applyFill="1" applyBorder="1" applyAlignment="1" applyProtection="1">
      <alignment horizontal="center" wrapText="1"/>
      <protection locked="0"/>
    </xf>
    <xf numFmtId="0" fontId="139" fillId="7" borderId="83" xfId="93" applyFont="1" applyFill="1" applyBorder="1" applyAlignment="1" applyProtection="1">
      <alignment horizontal="center"/>
      <protection locked="0"/>
    </xf>
    <xf numFmtId="0" fontId="139" fillId="7" borderId="84" xfId="93" applyFont="1" applyFill="1" applyBorder="1" applyAlignment="1" applyProtection="1">
      <alignment horizontal="center"/>
      <protection locked="0"/>
    </xf>
    <xf numFmtId="0" fontId="139" fillId="7" borderId="84" xfId="93" applyFont="1" applyFill="1" applyBorder="1" applyAlignment="1" applyProtection="1">
      <alignment horizontal="center" wrapText="1"/>
      <protection locked="0"/>
    </xf>
    <xf numFmtId="9" fontId="86" fillId="11" borderId="86" xfId="257" applyFont="1" applyFill="1" applyBorder="1" applyAlignment="1" applyProtection="1">
      <alignment horizontal="center" vertical="center"/>
      <protection locked="0"/>
    </xf>
    <xf numFmtId="9" fontId="86" fillId="11" borderId="87" xfId="257" applyFont="1" applyFill="1" applyBorder="1" applyAlignment="1" applyProtection="1">
      <alignment horizontal="center" vertical="center" wrapText="1"/>
      <protection locked="0"/>
    </xf>
    <xf numFmtId="9" fontId="86" fillId="11" borderId="88" xfId="257" applyFont="1" applyFill="1" applyBorder="1" applyAlignment="1" applyProtection="1">
      <alignment horizontal="center" vertical="center" wrapText="1"/>
      <protection locked="0"/>
    </xf>
    <xf numFmtId="0" fontId="75" fillId="0" borderId="0" xfId="93" applyFont="1" applyProtection="1">
      <protection locked="0"/>
    </xf>
    <xf numFmtId="0" fontId="136" fillId="0" borderId="0" xfId="93" applyFont="1" applyAlignment="1" applyProtection="1">
      <alignment horizontal="left"/>
      <protection locked="0"/>
    </xf>
    <xf numFmtId="0" fontId="79" fillId="0" borderId="0" xfId="93" applyFont="1" applyProtection="1">
      <protection locked="0"/>
    </xf>
    <xf numFmtId="0" fontId="135" fillId="0" borderId="0" xfId="93" applyFont="1" applyAlignment="1" applyProtection="1">
      <alignment horizontal="left"/>
      <protection locked="0"/>
    </xf>
    <xf numFmtId="170" fontId="79" fillId="0" borderId="0" xfId="93" applyNumberFormat="1" applyFont="1" applyProtection="1">
      <protection locked="0"/>
    </xf>
    <xf numFmtId="40" fontId="79" fillId="21" borderId="33" xfId="93" applyNumberFormat="1" applyFont="1" applyFill="1" applyBorder="1" applyProtection="1">
      <protection locked="0"/>
    </xf>
    <xf numFmtId="40" fontId="79" fillId="21" borderId="30" xfId="93" applyNumberFormat="1" applyFont="1" applyFill="1" applyBorder="1" applyProtection="1">
      <protection locked="0"/>
    </xf>
    <xf numFmtId="40" fontId="79" fillId="21" borderId="31" xfId="93" applyNumberFormat="1" applyFont="1" applyFill="1" applyBorder="1" applyProtection="1">
      <protection locked="0"/>
    </xf>
    <xf numFmtId="40" fontId="79" fillId="21" borderId="32" xfId="93" applyNumberFormat="1" applyFont="1" applyFill="1" applyBorder="1" applyProtection="1">
      <protection locked="0"/>
    </xf>
    <xf numFmtId="40" fontId="79" fillId="21" borderId="29" xfId="93" applyNumberFormat="1" applyFont="1" applyFill="1" applyBorder="1" applyProtection="1">
      <protection locked="0"/>
    </xf>
    <xf numFmtId="0" fontId="139" fillId="21" borderId="80" xfId="93" applyFont="1" applyFill="1" applyBorder="1" applyProtection="1">
      <protection locked="0"/>
    </xf>
    <xf numFmtId="40" fontId="139" fillId="21" borderId="80" xfId="93" applyNumberFormat="1" applyFont="1" applyFill="1" applyBorder="1" applyProtection="1">
      <protection locked="0"/>
    </xf>
    <xf numFmtId="40" fontId="80" fillId="21" borderId="30" xfId="93" applyNumberFormat="1" applyFont="1" applyFill="1" applyBorder="1" applyProtection="1">
      <protection locked="0"/>
    </xf>
    <xf numFmtId="40" fontId="80" fillId="21" borderId="31" xfId="93" applyNumberFormat="1" applyFont="1" applyFill="1" applyBorder="1" applyProtection="1">
      <protection locked="0"/>
    </xf>
    <xf numFmtId="40" fontId="80" fillId="21" borderId="33" xfId="93" applyNumberFormat="1" applyFont="1" applyFill="1" applyBorder="1" applyProtection="1">
      <protection locked="0"/>
    </xf>
    <xf numFmtId="40" fontId="80" fillId="21" borderId="32" xfId="93" applyNumberFormat="1" applyFont="1" applyFill="1" applyBorder="1" applyProtection="1">
      <protection locked="0"/>
    </xf>
    <xf numFmtId="170" fontId="79" fillId="0" borderId="80" xfId="94" applyNumberFormat="1" applyFont="1" applyBorder="1" applyProtection="1">
      <protection locked="0"/>
    </xf>
    <xf numFmtId="9" fontId="79" fillId="0" borderId="80" xfId="93" applyNumberFormat="1" applyFont="1" applyBorder="1" applyProtection="1">
      <protection locked="0"/>
    </xf>
    <xf numFmtId="1" fontId="79" fillId="0" borderId="80" xfId="93" applyNumberFormat="1" applyFont="1" applyBorder="1" applyProtection="1">
      <protection locked="0"/>
    </xf>
    <xf numFmtId="40" fontId="79" fillId="0" borderId="26" xfId="93" applyNumberFormat="1" applyFont="1" applyBorder="1" applyProtection="1">
      <protection locked="0"/>
    </xf>
    <xf numFmtId="40" fontId="79" fillId="0" borderId="22" xfId="93" applyNumberFormat="1" applyFont="1" applyBorder="1" applyProtection="1">
      <protection locked="0"/>
    </xf>
    <xf numFmtId="0" fontId="139" fillId="0" borderId="80" xfId="93" applyFont="1" applyBorder="1" applyProtection="1">
      <protection locked="0"/>
    </xf>
    <xf numFmtId="40" fontId="79" fillId="0" borderId="0" xfId="93" applyNumberFormat="1" applyFont="1" applyProtection="1">
      <protection locked="0"/>
    </xf>
    <xf numFmtId="9" fontId="79" fillId="0" borderId="0" xfId="93" applyNumberFormat="1" applyFont="1" applyProtection="1">
      <protection locked="0"/>
    </xf>
    <xf numFmtId="9" fontId="71" fillId="0" borderId="0" xfId="257" applyFont="1"/>
    <xf numFmtId="40" fontId="75" fillId="0" borderId="0" xfId="93" applyNumberFormat="1" applyFont="1" applyProtection="1">
      <protection locked="0"/>
    </xf>
    <xf numFmtId="40" fontId="79" fillId="21" borderId="0" xfId="93" applyNumberFormat="1" applyFont="1" applyFill="1" applyProtection="1">
      <protection locked="0"/>
    </xf>
    <xf numFmtId="170" fontId="79" fillId="0" borderId="0" xfId="94" applyNumberFormat="1" applyFont="1" applyProtection="1">
      <protection locked="0"/>
    </xf>
    <xf numFmtId="2" fontId="79" fillId="0" borderId="0" xfId="93" applyNumberFormat="1" applyFont="1" applyProtection="1">
      <protection locked="0"/>
    </xf>
    <xf numFmtId="1" fontId="79" fillId="0" borderId="0" xfId="93" applyNumberFormat="1" applyFont="1" applyProtection="1">
      <protection locked="0"/>
    </xf>
    <xf numFmtId="0" fontId="76" fillId="0" borderId="0" xfId="93" applyFont="1" applyProtection="1">
      <protection locked="0"/>
    </xf>
    <xf numFmtId="170" fontId="139" fillId="0" borderId="0" xfId="93" applyNumberFormat="1" applyFont="1" applyProtection="1">
      <protection locked="0"/>
    </xf>
    <xf numFmtId="40" fontId="75" fillId="0" borderId="80" xfId="93" applyNumberFormat="1" applyFont="1" applyBorder="1" applyProtection="1">
      <protection locked="0"/>
    </xf>
    <xf numFmtId="170" fontId="80" fillId="0" borderId="80" xfId="94" applyNumberFormat="1" applyFont="1" applyBorder="1" applyProtection="1">
      <protection locked="0"/>
    </xf>
    <xf numFmtId="0" fontId="80" fillId="0" borderId="0" xfId="93" applyFont="1" applyProtection="1">
      <protection locked="0"/>
    </xf>
    <xf numFmtId="2" fontId="80" fillId="0" borderId="80" xfId="93" applyNumberFormat="1" applyFont="1" applyBorder="1" applyProtection="1">
      <protection locked="0"/>
    </xf>
    <xf numFmtId="40" fontId="80" fillId="0" borderId="80" xfId="93" applyNumberFormat="1" applyFont="1" applyBorder="1" applyProtection="1">
      <protection locked="0"/>
    </xf>
    <xf numFmtId="0" fontId="80" fillId="0" borderId="80" xfId="93" applyFont="1" applyBorder="1" applyProtection="1">
      <protection locked="0"/>
    </xf>
    <xf numFmtId="170" fontId="139" fillId="21" borderId="0" xfId="93" applyNumberFormat="1" applyFont="1" applyFill="1" applyProtection="1">
      <protection locked="0"/>
    </xf>
    <xf numFmtId="40" fontId="139" fillId="0" borderId="0" xfId="93" applyNumberFormat="1" applyFont="1" applyProtection="1">
      <protection locked="0"/>
    </xf>
    <xf numFmtId="9" fontId="79" fillId="0" borderId="80" xfId="257" applyFont="1" applyBorder="1" applyProtection="1">
      <protection locked="0"/>
    </xf>
    <xf numFmtId="40" fontId="79" fillId="0" borderId="27" xfId="93" applyNumberFormat="1" applyFont="1" applyBorder="1" applyProtection="1">
      <protection locked="0"/>
    </xf>
    <xf numFmtId="40" fontId="79" fillId="0" borderId="3" xfId="93" applyNumberFormat="1" applyFont="1" applyBorder="1" applyProtection="1">
      <protection locked="0"/>
    </xf>
    <xf numFmtId="40" fontId="79" fillId="0" borderId="15" xfId="93" applyNumberFormat="1" applyFont="1" applyBorder="1" applyProtection="1">
      <protection locked="0"/>
    </xf>
    <xf numFmtId="9" fontId="79" fillId="21" borderId="80" xfId="257" applyFont="1" applyFill="1" applyBorder="1" applyProtection="1">
      <protection locked="0"/>
    </xf>
    <xf numFmtId="0" fontId="139" fillId="21" borderId="0" xfId="93" applyFont="1" applyFill="1" applyProtection="1">
      <protection locked="0"/>
    </xf>
    <xf numFmtId="9" fontId="75" fillId="0" borderId="80" xfId="93" applyNumberFormat="1" applyFont="1" applyBorder="1" applyProtection="1">
      <protection locked="0"/>
    </xf>
    <xf numFmtId="40" fontId="80" fillId="0" borderId="0" xfId="93" applyNumberFormat="1" applyFont="1" applyProtection="1">
      <protection locked="0"/>
    </xf>
    <xf numFmtId="40" fontId="80" fillId="21" borderId="0" xfId="93" applyNumberFormat="1" applyFont="1" applyFill="1" applyProtection="1">
      <protection locked="0"/>
    </xf>
    <xf numFmtId="2" fontId="80" fillId="0" borderId="0" xfId="93" applyNumberFormat="1" applyFont="1" applyProtection="1">
      <protection locked="0"/>
    </xf>
    <xf numFmtId="1" fontId="80" fillId="0" borderId="0" xfId="93" applyNumberFormat="1" applyFont="1" applyProtection="1">
      <protection locked="0"/>
    </xf>
    <xf numFmtId="170" fontId="75" fillId="0" borderId="0" xfId="94" applyNumberFormat="1" applyFont="1" applyProtection="1">
      <protection locked="0"/>
    </xf>
    <xf numFmtId="170" fontId="80" fillId="21" borderId="0" xfId="94" applyNumberFormat="1" applyFont="1" applyFill="1" applyProtection="1">
      <protection locked="0"/>
    </xf>
    <xf numFmtId="170" fontId="80" fillId="0" borderId="0" xfId="94" applyNumberFormat="1" applyFont="1" applyProtection="1">
      <protection locked="0"/>
    </xf>
    <xf numFmtId="9" fontId="80" fillId="0" borderId="0" xfId="257" applyFont="1" applyProtection="1">
      <protection locked="0"/>
    </xf>
    <xf numFmtId="2" fontId="80" fillId="0" borderId="0" xfId="94" applyNumberFormat="1" applyFont="1" applyProtection="1">
      <protection locked="0"/>
    </xf>
    <xf numFmtId="1" fontId="80" fillId="0" borderId="0" xfId="94" applyNumberFormat="1" applyFont="1" applyProtection="1">
      <protection locked="0"/>
    </xf>
    <xf numFmtId="169" fontId="79" fillId="0" borderId="0" xfId="94" applyNumberFormat="1" applyFont="1" applyProtection="1">
      <protection locked="0"/>
    </xf>
    <xf numFmtId="169" fontId="139" fillId="0" borderId="0" xfId="94" applyNumberFormat="1" applyFont="1" applyProtection="1">
      <protection locked="0"/>
    </xf>
    <xf numFmtId="170" fontId="80" fillId="0" borderId="0" xfId="93" applyNumberFormat="1" applyFont="1" applyProtection="1">
      <protection locked="0"/>
    </xf>
    <xf numFmtId="10" fontId="79" fillId="0" borderId="0" xfId="94" applyNumberFormat="1" applyFont="1" applyProtection="1">
      <protection locked="0"/>
    </xf>
    <xf numFmtId="170" fontId="75" fillId="21" borderId="80" xfId="94" applyNumberFormat="1" applyFont="1" applyFill="1" applyBorder="1" applyProtection="1">
      <protection locked="0"/>
    </xf>
    <xf numFmtId="9" fontId="75" fillId="21" borderId="80" xfId="94" applyNumberFormat="1" applyFont="1" applyFill="1" applyBorder="1" applyProtection="1">
      <protection locked="0"/>
    </xf>
    <xf numFmtId="1" fontId="75" fillId="21" borderId="80" xfId="93" applyNumberFormat="1" applyFont="1" applyFill="1" applyBorder="1" applyProtection="1">
      <protection locked="0"/>
    </xf>
    <xf numFmtId="170" fontId="80" fillId="21" borderId="34" xfId="94" applyNumberFormat="1" applyFont="1" applyFill="1" applyBorder="1" applyProtection="1">
      <protection locked="0"/>
    </xf>
    <xf numFmtId="170" fontId="139" fillId="0" borderId="0" xfId="94" applyNumberFormat="1" applyFont="1" applyProtection="1">
      <protection locked="0"/>
    </xf>
    <xf numFmtId="2" fontId="75" fillId="0" borderId="0" xfId="94" applyNumberFormat="1" applyFont="1" applyProtection="1">
      <protection locked="0"/>
    </xf>
    <xf numFmtId="169" fontId="80" fillId="0" borderId="0" xfId="94" applyNumberFormat="1" applyFont="1" applyProtection="1">
      <protection locked="0"/>
    </xf>
    <xf numFmtId="0" fontId="80" fillId="21" borderId="0" xfId="93" applyFont="1" applyFill="1" applyProtection="1">
      <protection locked="0"/>
    </xf>
    <xf numFmtId="2" fontId="79" fillId="0" borderId="80" xfId="94" applyNumberFormat="1" applyFont="1" applyBorder="1" applyProtection="1">
      <protection locked="0"/>
    </xf>
    <xf numFmtId="169" fontId="80" fillId="0" borderId="80" xfId="94" applyNumberFormat="1" applyFont="1" applyBorder="1" applyProtection="1">
      <protection locked="0"/>
    </xf>
    <xf numFmtId="9" fontId="75" fillId="0" borderId="80" xfId="257" applyFont="1" applyBorder="1" applyProtection="1">
      <protection locked="0"/>
    </xf>
    <xf numFmtId="40" fontId="80" fillId="22" borderId="80" xfId="93" applyNumberFormat="1" applyFont="1" applyFill="1" applyBorder="1" applyProtection="1">
      <protection locked="0"/>
    </xf>
    <xf numFmtId="40" fontId="80" fillId="0" borderId="27" xfId="93" applyNumberFormat="1" applyFont="1" applyBorder="1" applyProtection="1">
      <protection locked="0"/>
    </xf>
    <xf numFmtId="40" fontId="80" fillId="0" borderId="3" xfId="93" applyNumberFormat="1" applyFont="1" applyBorder="1" applyProtection="1">
      <protection locked="0"/>
    </xf>
    <xf numFmtId="40" fontId="80" fillId="0" borderId="15" xfId="93" applyNumberFormat="1" applyFont="1" applyBorder="1" applyProtection="1">
      <protection locked="0"/>
    </xf>
    <xf numFmtId="0" fontId="80" fillId="21" borderId="80" xfId="93" applyFont="1" applyFill="1" applyBorder="1" applyProtection="1">
      <protection locked="0"/>
    </xf>
    <xf numFmtId="170" fontId="139" fillId="21" borderId="47" xfId="94" applyNumberFormat="1" applyFont="1" applyFill="1" applyBorder="1" applyProtection="1">
      <protection locked="0"/>
    </xf>
    <xf numFmtId="170" fontId="139" fillId="0" borderId="47" xfId="94" applyNumberFormat="1" applyFont="1" applyBorder="1" applyProtection="1">
      <protection locked="0"/>
    </xf>
    <xf numFmtId="9" fontId="79" fillId="0" borderId="0" xfId="257" applyFont="1" applyProtection="1">
      <protection locked="0"/>
    </xf>
    <xf numFmtId="170" fontId="80" fillId="21" borderId="0" xfId="93" applyNumberFormat="1" applyFont="1" applyFill="1" applyProtection="1">
      <protection locked="0"/>
    </xf>
    <xf numFmtId="40" fontId="79" fillId="35" borderId="80" xfId="93" applyNumberFormat="1" applyFont="1" applyFill="1" applyBorder="1" applyProtection="1">
      <protection locked="0"/>
    </xf>
    <xf numFmtId="2" fontId="80" fillId="21" borderId="34" xfId="93" applyNumberFormat="1" applyFont="1" applyFill="1" applyBorder="1" applyProtection="1">
      <protection locked="0"/>
    </xf>
    <xf numFmtId="9" fontId="81" fillId="0" borderId="0" xfId="257" applyFont="1"/>
    <xf numFmtId="9" fontId="139" fillId="0" borderId="0" xfId="257" applyFont="1" applyProtection="1">
      <protection locked="0"/>
    </xf>
    <xf numFmtId="170" fontId="79" fillId="21" borderId="0" xfId="94" applyNumberFormat="1" applyFont="1" applyFill="1" applyProtection="1">
      <protection locked="0"/>
    </xf>
    <xf numFmtId="2" fontId="79" fillId="0" borderId="0" xfId="94" applyNumberFormat="1" applyFont="1" applyProtection="1">
      <protection locked="0"/>
    </xf>
    <xf numFmtId="1" fontId="79" fillId="0" borderId="0" xfId="94" applyNumberFormat="1" applyFont="1" applyProtection="1">
      <protection locked="0"/>
    </xf>
    <xf numFmtId="170" fontId="139" fillId="21" borderId="0" xfId="94" applyNumberFormat="1" applyFont="1" applyFill="1" applyProtection="1">
      <protection locked="0"/>
    </xf>
    <xf numFmtId="40" fontId="75" fillId="32" borderId="80" xfId="93" applyNumberFormat="1" applyFont="1" applyFill="1" applyBorder="1" applyProtection="1">
      <protection locked="0"/>
    </xf>
    <xf numFmtId="2" fontId="139" fillId="21" borderId="80" xfId="93" applyNumberFormat="1" applyFont="1" applyFill="1" applyBorder="1" applyProtection="1">
      <protection locked="0"/>
    </xf>
    <xf numFmtId="9" fontId="75" fillId="21" borderId="80" xfId="257" applyFont="1" applyFill="1" applyBorder="1" applyProtection="1">
      <protection locked="0"/>
    </xf>
    <xf numFmtId="40" fontId="139" fillId="21" borderId="47" xfId="93" applyNumberFormat="1" applyFont="1" applyFill="1" applyBorder="1" applyProtection="1">
      <protection locked="0"/>
    </xf>
    <xf numFmtId="40" fontId="139" fillId="21" borderId="0" xfId="93" applyNumberFormat="1" applyFont="1" applyFill="1" applyProtection="1">
      <protection locked="0"/>
    </xf>
    <xf numFmtId="9" fontId="139" fillId="21" borderId="0" xfId="257" applyFont="1" applyFill="1" applyProtection="1">
      <protection locked="0"/>
    </xf>
    <xf numFmtId="9" fontId="79" fillId="21" borderId="0" xfId="257" applyFont="1" applyFill="1" applyProtection="1">
      <protection locked="0"/>
    </xf>
    <xf numFmtId="171" fontId="79" fillId="21" borderId="80" xfId="94" applyNumberFormat="1" applyFont="1" applyFill="1" applyBorder="1" applyProtection="1">
      <protection locked="0"/>
    </xf>
    <xf numFmtId="171" fontId="75" fillId="21" borderId="80" xfId="94" applyNumberFormat="1" applyFont="1" applyFill="1" applyBorder="1" applyProtection="1">
      <protection locked="0"/>
    </xf>
    <xf numFmtId="169" fontId="75" fillId="21" borderId="80" xfId="94" applyNumberFormat="1" applyFont="1" applyFill="1" applyBorder="1" applyProtection="1">
      <protection locked="0"/>
    </xf>
    <xf numFmtId="40" fontId="75" fillId="21" borderId="27" xfId="93" applyNumberFormat="1" applyFont="1" applyFill="1" applyBorder="1" applyProtection="1">
      <protection locked="0"/>
    </xf>
    <xf numFmtId="40" fontId="75" fillId="21" borderId="3" xfId="93" applyNumberFormat="1" applyFont="1" applyFill="1" applyBorder="1" applyProtection="1">
      <protection locked="0"/>
    </xf>
    <xf numFmtId="40" fontId="75" fillId="21" borderId="15" xfId="93" applyNumberFormat="1" applyFont="1" applyFill="1" applyBorder="1" applyProtection="1">
      <protection locked="0"/>
    </xf>
    <xf numFmtId="2" fontId="139" fillId="21" borderId="80" xfId="94" applyNumberFormat="1" applyFont="1" applyFill="1" applyBorder="1" applyProtection="1">
      <protection locked="0"/>
    </xf>
    <xf numFmtId="2" fontId="79" fillId="22" borderId="80" xfId="93" applyNumberFormat="1" applyFont="1" applyFill="1" applyBorder="1" applyProtection="1">
      <protection locked="0"/>
    </xf>
    <xf numFmtId="169" fontId="75" fillId="21" borderId="80" xfId="94" applyNumberFormat="1" applyFont="1" applyFill="1" applyBorder="1" applyAlignment="1" applyProtection="1">
      <alignment horizontal="left"/>
      <protection locked="0"/>
    </xf>
    <xf numFmtId="40" fontId="75" fillId="21" borderId="0" xfId="93" applyNumberFormat="1" applyFont="1" applyFill="1" applyProtection="1">
      <protection locked="0"/>
    </xf>
    <xf numFmtId="170" fontId="79" fillId="21" borderId="91" xfId="94" applyNumberFormat="1" applyFont="1" applyFill="1" applyBorder="1" applyProtection="1">
      <protection locked="0"/>
    </xf>
    <xf numFmtId="9" fontId="86" fillId="0" borderId="0" xfId="257" applyFont="1" applyProtection="1">
      <protection locked="0"/>
    </xf>
    <xf numFmtId="170" fontId="86" fillId="0" borderId="0" xfId="93" applyNumberFormat="1" applyFont="1" applyProtection="1">
      <protection locked="0"/>
    </xf>
    <xf numFmtId="0" fontId="86" fillId="0" borderId="0" xfId="93" applyFont="1" applyProtection="1">
      <protection locked="0"/>
    </xf>
    <xf numFmtId="170" fontId="86" fillId="0" borderId="0" xfId="94" applyNumberFormat="1" applyFont="1" applyProtection="1">
      <protection locked="0"/>
    </xf>
    <xf numFmtId="172" fontId="86" fillId="0" borderId="0" xfId="93" applyNumberFormat="1" applyFont="1" applyProtection="1">
      <protection locked="0"/>
    </xf>
    <xf numFmtId="170" fontId="80" fillId="16" borderId="8" xfId="93" applyNumberFormat="1" applyFont="1" applyFill="1" applyBorder="1" applyAlignment="1" applyProtection="1">
      <alignment horizontal="center"/>
      <protection locked="0"/>
    </xf>
    <xf numFmtId="170" fontId="80" fillId="16" borderId="9" xfId="93" applyNumberFormat="1" applyFont="1" applyFill="1" applyBorder="1" applyAlignment="1" applyProtection="1">
      <alignment horizontal="center"/>
      <protection locked="0"/>
    </xf>
    <xf numFmtId="170" fontId="80" fillId="16" borderId="9" xfId="93" applyNumberFormat="1" applyFont="1" applyFill="1" applyBorder="1" applyAlignment="1" applyProtection="1">
      <alignment horizontal="center" vertical="center" wrapText="1"/>
      <protection locked="0"/>
    </xf>
    <xf numFmtId="170" fontId="80" fillId="16" borderId="10" xfId="93" applyNumberFormat="1" applyFont="1" applyFill="1" applyBorder="1" applyAlignment="1" applyProtection="1">
      <alignment horizontal="center" vertical="center" wrapText="1"/>
      <protection locked="0"/>
    </xf>
    <xf numFmtId="170" fontId="80" fillId="16" borderId="11" xfId="93" applyNumberFormat="1" applyFont="1" applyFill="1" applyBorder="1" applyAlignment="1" applyProtection="1">
      <alignment horizontal="center" wrapText="1"/>
      <protection locked="0"/>
    </xf>
    <xf numFmtId="170" fontId="80" fillId="16" borderId="10" xfId="93" applyNumberFormat="1" applyFont="1" applyFill="1" applyBorder="1" applyAlignment="1" applyProtection="1">
      <alignment horizontal="center" wrapText="1"/>
      <protection locked="0"/>
    </xf>
    <xf numFmtId="170" fontId="80" fillId="16" borderId="17" xfId="93" applyNumberFormat="1" applyFont="1" applyFill="1" applyBorder="1" applyAlignment="1" applyProtection="1">
      <alignment horizontal="center"/>
      <protection locked="0"/>
    </xf>
    <xf numFmtId="170" fontId="80" fillId="16" borderId="5" xfId="93" applyNumberFormat="1" applyFont="1" applyFill="1" applyBorder="1" applyAlignment="1" applyProtection="1">
      <alignment horizontal="center"/>
      <protection locked="0"/>
    </xf>
    <xf numFmtId="170" fontId="80" fillId="16" borderId="16" xfId="93" applyNumberFormat="1" applyFont="1" applyFill="1" applyBorder="1" applyAlignment="1" applyProtection="1">
      <alignment horizontal="center"/>
      <protection locked="0"/>
    </xf>
    <xf numFmtId="170" fontId="80" fillId="16" borderId="18" xfId="93" applyNumberFormat="1" applyFont="1" applyFill="1" applyBorder="1" applyAlignment="1" applyProtection="1">
      <alignment horizontal="center" vertical="center" wrapText="1"/>
      <protection locked="0"/>
    </xf>
    <xf numFmtId="170" fontId="80" fillId="16" borderId="16" xfId="93" applyNumberFormat="1" applyFont="1" applyFill="1" applyBorder="1" applyAlignment="1" applyProtection="1">
      <alignment horizontal="center" vertical="center" wrapText="1"/>
      <protection locked="0"/>
    </xf>
    <xf numFmtId="0" fontId="88" fillId="16" borderId="0" xfId="93" applyFont="1" applyFill="1" applyAlignment="1" applyProtection="1">
      <alignment horizontal="left"/>
      <protection locked="0"/>
    </xf>
    <xf numFmtId="170" fontId="79" fillId="31" borderId="0" xfId="93" applyNumberFormat="1" applyFont="1" applyFill="1" applyProtection="1">
      <protection locked="0"/>
    </xf>
    <xf numFmtId="0" fontId="146" fillId="0" borderId="0" xfId="93" applyFont="1" applyAlignment="1" applyProtection="1">
      <alignment horizontal="left"/>
      <protection locked="0"/>
    </xf>
    <xf numFmtId="0" fontId="76" fillId="0" borderId="0" xfId="93" applyFont="1" applyAlignment="1" applyProtection="1">
      <alignment horizontal="left"/>
      <protection locked="0"/>
    </xf>
    <xf numFmtId="0" fontId="139" fillId="16" borderId="0" xfId="93" applyFont="1" applyFill="1" applyProtection="1">
      <protection locked="0"/>
    </xf>
    <xf numFmtId="0" fontId="88" fillId="0" borderId="0" xfId="93" applyFont="1" applyAlignment="1" applyProtection="1">
      <alignment horizontal="right"/>
      <protection locked="0"/>
    </xf>
    <xf numFmtId="170" fontId="139" fillId="16" borderId="0" xfId="93" applyNumberFormat="1" applyFont="1" applyFill="1" applyProtection="1">
      <protection locked="0"/>
    </xf>
    <xf numFmtId="9" fontId="139" fillId="16" borderId="0" xfId="257" applyFont="1" applyFill="1" applyProtection="1">
      <protection locked="0"/>
    </xf>
    <xf numFmtId="170" fontId="139" fillId="16" borderId="46" xfId="93" applyNumberFormat="1" applyFont="1" applyFill="1" applyBorder="1" applyProtection="1">
      <protection locked="0"/>
    </xf>
    <xf numFmtId="170" fontId="139" fillId="16" borderId="58" xfId="93" applyNumberFormat="1" applyFont="1" applyFill="1" applyBorder="1" applyProtection="1">
      <protection locked="0"/>
    </xf>
    <xf numFmtId="170" fontId="139" fillId="16" borderId="59" xfId="93" applyNumberFormat="1" applyFont="1" applyFill="1" applyBorder="1" applyProtection="1">
      <protection locked="0"/>
    </xf>
    <xf numFmtId="170" fontId="139" fillId="16" borderId="60" xfId="93" applyNumberFormat="1" applyFont="1" applyFill="1" applyBorder="1" applyProtection="1">
      <protection locked="0"/>
    </xf>
    <xf numFmtId="170" fontId="79" fillId="16" borderId="56" xfId="93" applyNumberFormat="1" applyFont="1" applyFill="1" applyBorder="1" applyProtection="1">
      <protection locked="0"/>
    </xf>
    <xf numFmtId="170" fontId="79" fillId="16" borderId="57" xfId="93" applyNumberFormat="1" applyFont="1" applyFill="1" applyBorder="1" applyProtection="1">
      <protection locked="0"/>
    </xf>
    <xf numFmtId="170" fontId="79" fillId="16" borderId="53" xfId="93" applyNumberFormat="1" applyFont="1" applyFill="1" applyBorder="1" applyProtection="1">
      <protection locked="0"/>
    </xf>
    <xf numFmtId="170" fontId="79" fillId="16" borderId="54" xfId="93" applyNumberFormat="1" applyFont="1" applyFill="1" applyBorder="1" applyProtection="1">
      <protection locked="0"/>
    </xf>
    <xf numFmtId="170" fontId="79" fillId="16" borderId="55" xfId="93" applyNumberFormat="1" applyFont="1" applyFill="1" applyBorder="1" applyProtection="1">
      <protection locked="0"/>
    </xf>
    <xf numFmtId="170" fontId="79" fillId="16" borderId="50" xfId="93" applyNumberFormat="1" applyFont="1" applyFill="1" applyBorder="1" applyProtection="1">
      <protection locked="0"/>
    </xf>
    <xf numFmtId="170" fontId="79" fillId="16" borderId="51" xfId="93" applyNumberFormat="1" applyFont="1" applyFill="1" applyBorder="1" applyProtection="1">
      <protection locked="0"/>
    </xf>
    <xf numFmtId="170" fontId="79" fillId="16" borderId="52" xfId="93" applyNumberFormat="1" applyFont="1" applyFill="1" applyBorder="1" applyProtection="1">
      <protection locked="0"/>
    </xf>
    <xf numFmtId="170" fontId="139" fillId="16" borderId="61" xfId="93" applyNumberFormat="1" applyFont="1" applyFill="1" applyBorder="1" applyProtection="1">
      <protection locked="0"/>
    </xf>
    <xf numFmtId="170" fontId="79" fillId="16" borderId="62" xfId="93" applyNumberFormat="1" applyFont="1" applyFill="1" applyBorder="1" applyProtection="1">
      <protection locked="0"/>
    </xf>
    <xf numFmtId="170" fontId="79" fillId="16" borderId="63" xfId="93" applyNumberFormat="1" applyFont="1" applyFill="1" applyBorder="1" applyProtection="1">
      <protection locked="0"/>
    </xf>
    <xf numFmtId="170" fontId="135" fillId="16" borderId="64" xfId="93" applyNumberFormat="1" applyFont="1" applyFill="1" applyBorder="1" applyProtection="1">
      <protection locked="0"/>
    </xf>
    <xf numFmtId="170" fontId="79" fillId="16" borderId="65" xfId="93" applyNumberFormat="1" applyFont="1" applyFill="1" applyBorder="1" applyProtection="1">
      <protection locked="0"/>
    </xf>
    <xf numFmtId="170" fontId="79" fillId="16" borderId="64" xfId="93" applyNumberFormat="1" applyFont="1" applyFill="1" applyBorder="1" applyProtection="1">
      <protection locked="0"/>
    </xf>
    <xf numFmtId="170" fontId="135" fillId="16" borderId="66" xfId="93" applyNumberFormat="1" applyFont="1" applyFill="1" applyBorder="1" applyProtection="1">
      <protection locked="0"/>
    </xf>
    <xf numFmtId="170" fontId="79" fillId="16" borderId="67" xfId="93" applyNumberFormat="1" applyFont="1" applyFill="1" applyBorder="1" applyProtection="1">
      <protection locked="0"/>
    </xf>
    <xf numFmtId="170" fontId="79" fillId="16" borderId="68" xfId="93" applyNumberFormat="1" applyFont="1" applyFill="1" applyBorder="1" applyProtection="1">
      <protection locked="0"/>
    </xf>
    <xf numFmtId="170" fontId="86" fillId="22" borderId="0" xfId="94" applyNumberFormat="1" applyFont="1" applyFill="1" applyProtection="1">
      <protection locked="0"/>
    </xf>
    <xf numFmtId="9" fontId="86" fillId="22" borderId="0" xfId="257" applyFont="1" applyFill="1" applyProtection="1">
      <protection locked="0"/>
    </xf>
    <xf numFmtId="170" fontId="86" fillId="22" borderId="0" xfId="93" applyNumberFormat="1" applyFont="1" applyFill="1" applyProtection="1">
      <protection locked="0"/>
    </xf>
    <xf numFmtId="172" fontId="86" fillId="0" borderId="7" xfId="93" applyNumberFormat="1" applyFont="1" applyBorder="1" applyAlignment="1" applyProtection="1">
      <alignment horizontal="center"/>
      <protection locked="0"/>
    </xf>
    <xf numFmtId="177" fontId="79" fillId="16" borderId="0" xfId="93" applyNumberFormat="1" applyFont="1" applyFill="1" applyProtection="1">
      <protection locked="0"/>
    </xf>
    <xf numFmtId="172" fontId="86" fillId="0" borderId="45" xfId="93" applyNumberFormat="1" applyFont="1" applyBorder="1" applyProtection="1">
      <protection locked="0"/>
    </xf>
    <xf numFmtId="176" fontId="86" fillId="0" borderId="45" xfId="93" applyNumberFormat="1" applyFont="1" applyBorder="1" applyProtection="1">
      <protection locked="0"/>
    </xf>
    <xf numFmtId="176" fontId="86" fillId="0" borderId="0" xfId="93" applyNumberFormat="1" applyFont="1" applyProtection="1">
      <protection locked="0"/>
    </xf>
    <xf numFmtId="170" fontId="79" fillId="16" borderId="45" xfId="93" applyNumberFormat="1" applyFont="1" applyFill="1" applyBorder="1" applyProtection="1">
      <protection locked="0"/>
    </xf>
    <xf numFmtId="2" fontId="79" fillId="16" borderId="0" xfId="93" applyNumberFormat="1" applyFont="1" applyFill="1" applyProtection="1">
      <protection locked="0"/>
    </xf>
    <xf numFmtId="0" fontId="79" fillId="22" borderId="0" xfId="93" applyFont="1" applyFill="1" applyProtection="1">
      <protection locked="0"/>
    </xf>
    <xf numFmtId="172" fontId="134" fillId="16" borderId="0" xfId="93" applyNumberFormat="1" applyFont="1" applyFill="1" applyProtection="1">
      <protection locked="0"/>
    </xf>
    <xf numFmtId="179" fontId="134" fillId="16" borderId="0" xfId="93" applyNumberFormat="1" applyFont="1" applyFill="1" applyProtection="1">
      <protection locked="0"/>
    </xf>
    <xf numFmtId="0" fontId="134" fillId="16" borderId="0" xfId="93" applyFont="1" applyFill="1" applyProtection="1">
      <protection locked="0"/>
    </xf>
    <xf numFmtId="178" fontId="134" fillId="16" borderId="0" xfId="93" applyNumberFormat="1" applyFont="1" applyFill="1" applyProtection="1">
      <protection locked="0"/>
    </xf>
    <xf numFmtId="170" fontId="134" fillId="16" borderId="0" xfId="93" applyNumberFormat="1" applyFont="1" applyFill="1" applyProtection="1">
      <protection locked="0"/>
    </xf>
    <xf numFmtId="168" fontId="32" fillId="0" borderId="0" xfId="109" applyFont="1" applyBorder="1"/>
    <xf numFmtId="0" fontId="137" fillId="23" borderId="0" xfId="93" applyFont="1" applyFill="1" applyProtection="1">
      <protection locked="0"/>
    </xf>
    <xf numFmtId="0" fontId="75" fillId="23" borderId="0" xfId="93" applyFont="1" applyFill="1" applyProtection="1">
      <protection locked="0"/>
    </xf>
    <xf numFmtId="0" fontId="79" fillId="23" borderId="0" xfId="93" applyFont="1" applyFill="1" applyProtection="1">
      <protection locked="0"/>
    </xf>
    <xf numFmtId="0" fontId="75" fillId="46" borderId="83" xfId="93" applyFont="1" applyFill="1" applyBorder="1" applyProtection="1">
      <protection locked="0"/>
    </xf>
    <xf numFmtId="0" fontId="139" fillId="23" borderId="0" xfId="93" applyFont="1" applyFill="1" applyProtection="1">
      <protection locked="0"/>
    </xf>
    <xf numFmtId="0" fontId="147" fillId="0" borderId="0" xfId="93" applyFont="1"/>
    <xf numFmtId="0" fontId="33" fillId="0" borderId="0" xfId="0" applyFont="1"/>
    <xf numFmtId="4" fontId="78" fillId="21" borderId="45" xfId="93" applyNumberFormat="1" applyFont="1" applyFill="1" applyBorder="1" applyAlignment="1" applyProtection="1">
      <alignment horizontal="left"/>
      <protection locked="0"/>
    </xf>
    <xf numFmtId="168" fontId="65" fillId="0" borderId="0" xfId="266" applyNumberFormat="1" applyFont="1"/>
    <xf numFmtId="0" fontId="0" fillId="0" borderId="0" xfId="0" applyAlignment="1">
      <alignment vertical="center"/>
    </xf>
    <xf numFmtId="0" fontId="79" fillId="21" borderId="94" xfId="93" applyFont="1" applyFill="1" applyBorder="1" applyProtection="1">
      <protection locked="0"/>
    </xf>
    <xf numFmtId="0" fontId="75" fillId="21" borderId="0" xfId="93" applyFont="1" applyFill="1" applyAlignment="1" applyProtection="1">
      <alignment horizontal="left"/>
      <protection locked="0"/>
    </xf>
    <xf numFmtId="40" fontId="79" fillId="0" borderId="6" xfId="93" applyNumberFormat="1" applyFont="1" applyBorder="1" applyProtection="1">
      <protection locked="0"/>
    </xf>
    <xf numFmtId="9" fontId="79" fillId="21" borderId="0" xfId="93" applyNumberFormat="1" applyFont="1" applyFill="1" applyProtection="1">
      <protection locked="0"/>
    </xf>
    <xf numFmtId="9" fontId="80" fillId="21" borderId="0" xfId="93" applyNumberFormat="1" applyFont="1" applyFill="1" applyProtection="1">
      <protection locked="0"/>
    </xf>
    <xf numFmtId="2" fontId="75" fillId="21" borderId="0" xfId="94" applyNumberFormat="1" applyFont="1" applyFill="1" applyProtection="1">
      <protection locked="0"/>
    </xf>
    <xf numFmtId="2" fontId="79" fillId="21" borderId="0" xfId="93" applyNumberFormat="1" applyFont="1" applyFill="1" applyProtection="1">
      <protection locked="0"/>
    </xf>
    <xf numFmtId="1" fontId="79" fillId="21" borderId="0" xfId="93" applyNumberFormat="1" applyFont="1" applyFill="1" applyProtection="1">
      <protection locked="0"/>
    </xf>
    <xf numFmtId="9" fontId="71" fillId="25" borderId="0" xfId="257" applyFont="1" applyFill="1"/>
    <xf numFmtId="9" fontId="81" fillId="25" borderId="0" xfId="257" applyFont="1" applyFill="1"/>
    <xf numFmtId="2" fontId="75" fillId="21" borderId="0" xfId="93" applyNumberFormat="1" applyFont="1" applyFill="1" applyProtection="1">
      <protection locked="0"/>
    </xf>
    <xf numFmtId="1" fontId="75" fillId="21" borderId="0" xfId="93" applyNumberFormat="1" applyFont="1" applyFill="1" applyProtection="1">
      <protection locked="0"/>
    </xf>
    <xf numFmtId="169" fontId="79" fillId="21" borderId="0" xfId="94" applyNumberFormat="1" applyFont="1" applyFill="1" applyProtection="1">
      <protection locked="0"/>
    </xf>
    <xf numFmtId="40" fontId="75" fillId="22" borderId="0" xfId="93" applyNumberFormat="1" applyFont="1" applyFill="1" applyProtection="1">
      <protection locked="0"/>
    </xf>
    <xf numFmtId="9" fontId="71" fillId="21" borderId="0" xfId="257" applyFont="1" applyFill="1"/>
    <xf numFmtId="43" fontId="65" fillId="0" borderId="0" xfId="266" applyNumberFormat="1" applyFont="1"/>
    <xf numFmtId="0" fontId="148" fillId="21" borderId="0" xfId="266" applyFont="1" applyFill="1"/>
    <xf numFmtId="9" fontId="79" fillId="21" borderId="80" xfId="257" applyFont="1" applyFill="1" applyBorder="1" applyAlignment="1" applyProtection="1">
      <alignment horizontal="right"/>
      <protection locked="0"/>
    </xf>
    <xf numFmtId="1" fontId="139" fillId="21" borderId="0" xfId="93" applyNumberFormat="1" applyFont="1" applyFill="1" applyProtection="1">
      <protection locked="0"/>
    </xf>
    <xf numFmtId="1" fontId="80" fillId="21" borderId="0" xfId="93" applyNumberFormat="1" applyFont="1" applyFill="1" applyProtection="1">
      <protection locked="0"/>
    </xf>
    <xf numFmtId="9" fontId="81" fillId="21" borderId="0" xfId="257" applyFont="1" applyFill="1"/>
    <xf numFmtId="0" fontId="139" fillId="21" borderId="0" xfId="93" applyFont="1" applyFill="1" applyAlignment="1" applyProtection="1">
      <alignment horizontal="left"/>
      <protection locked="0"/>
    </xf>
    <xf numFmtId="0" fontId="135" fillId="21" borderId="0" xfId="93" applyFont="1" applyFill="1" applyAlignment="1" applyProtection="1">
      <alignment horizontal="left"/>
      <protection locked="0"/>
    </xf>
    <xf numFmtId="40" fontId="139" fillId="47" borderId="0" xfId="93" applyNumberFormat="1" applyFont="1" applyFill="1" applyProtection="1">
      <protection locked="0"/>
    </xf>
    <xf numFmtId="0" fontId="72" fillId="21" borderId="0" xfId="93" applyFont="1" applyFill="1" applyAlignment="1" applyProtection="1">
      <alignment horizontal="left"/>
      <protection locked="0"/>
    </xf>
    <xf numFmtId="0" fontId="149" fillId="0" borderId="0" xfId="93" applyFont="1" applyAlignment="1" applyProtection="1">
      <alignment horizontal="left"/>
      <protection locked="0"/>
    </xf>
    <xf numFmtId="0" fontId="150" fillId="0" borderId="0" xfId="93" applyFont="1" applyAlignment="1">
      <alignment horizontal="left"/>
    </xf>
    <xf numFmtId="40" fontId="139" fillId="21" borderId="92" xfId="93" applyNumberFormat="1" applyFont="1" applyFill="1" applyBorder="1" applyProtection="1">
      <protection locked="0"/>
    </xf>
    <xf numFmtId="170" fontId="75" fillId="0" borderId="80" xfId="94" applyNumberFormat="1" applyFont="1" applyBorder="1" applyProtection="1">
      <protection locked="0"/>
    </xf>
    <xf numFmtId="40" fontId="80" fillId="21" borderId="47" xfId="93" applyNumberFormat="1" applyFont="1" applyFill="1" applyBorder="1" applyProtection="1">
      <protection locked="0"/>
    </xf>
    <xf numFmtId="170" fontId="79" fillId="21" borderId="96" xfId="94" applyNumberFormat="1" applyFont="1" applyFill="1" applyBorder="1" applyProtection="1">
      <protection locked="0"/>
    </xf>
    <xf numFmtId="170" fontId="80" fillId="21" borderId="47" xfId="94" applyNumberFormat="1" applyFont="1" applyFill="1" applyBorder="1" applyProtection="1">
      <protection locked="0"/>
    </xf>
    <xf numFmtId="40" fontId="75" fillId="0" borderId="26" xfId="93" applyNumberFormat="1" applyFont="1" applyBorder="1" applyProtection="1">
      <protection locked="0"/>
    </xf>
    <xf numFmtId="40" fontId="75" fillId="0" borderId="3" xfId="93" applyNumberFormat="1" applyFont="1" applyBorder="1" applyProtection="1">
      <protection locked="0"/>
    </xf>
    <xf numFmtId="9" fontId="75" fillId="21" borderId="0" xfId="93" applyNumberFormat="1" applyFont="1" applyFill="1" applyProtection="1">
      <protection locked="0"/>
    </xf>
    <xf numFmtId="40" fontId="79" fillId="21" borderId="98" xfId="93" applyNumberFormat="1" applyFont="1" applyFill="1" applyBorder="1" applyProtection="1">
      <protection locked="0"/>
    </xf>
    <xf numFmtId="40" fontId="79" fillId="21" borderId="99" xfId="93" applyNumberFormat="1" applyFont="1" applyFill="1" applyBorder="1" applyProtection="1">
      <protection locked="0"/>
    </xf>
    <xf numFmtId="0" fontId="79" fillId="0" borderId="91" xfId="93" applyFont="1" applyBorder="1" applyProtection="1">
      <protection locked="0"/>
    </xf>
    <xf numFmtId="0" fontId="152" fillId="0" borderId="0" xfId="93" applyFont="1" applyAlignment="1">
      <alignment horizontal="left"/>
    </xf>
    <xf numFmtId="0" fontId="153" fillId="0" borderId="0" xfId="93" applyFont="1" applyAlignment="1" applyProtection="1">
      <alignment horizontal="left"/>
      <protection locked="0"/>
    </xf>
    <xf numFmtId="2" fontId="75" fillId="0" borderId="80" xfId="93" applyNumberFormat="1" applyFont="1" applyBorder="1" applyProtection="1">
      <protection locked="0"/>
    </xf>
    <xf numFmtId="1" fontId="75" fillId="0" borderId="80" xfId="93" applyNumberFormat="1" applyFont="1" applyBorder="1" applyProtection="1">
      <protection locked="0"/>
    </xf>
    <xf numFmtId="0" fontId="154" fillId="21" borderId="80" xfId="93" applyFont="1" applyFill="1" applyBorder="1" applyProtection="1">
      <protection locked="0"/>
    </xf>
    <xf numFmtId="2" fontId="75" fillId="0" borderId="80" xfId="94" applyNumberFormat="1" applyFont="1" applyBorder="1" applyProtection="1">
      <protection locked="0"/>
    </xf>
    <xf numFmtId="169" fontId="75" fillId="0" borderId="80" xfId="94" applyNumberFormat="1" applyFont="1" applyBorder="1" applyProtection="1">
      <protection locked="0"/>
    </xf>
    <xf numFmtId="0" fontId="19" fillId="0" borderId="45" xfId="93" applyFont="1" applyBorder="1" applyAlignment="1">
      <alignment horizontal="right"/>
    </xf>
    <xf numFmtId="0" fontId="1" fillId="0" borderId="0" xfId="266" applyFont="1"/>
    <xf numFmtId="0" fontId="139" fillId="21" borderId="0" xfId="93" applyFont="1" applyFill="1" applyAlignment="1" applyProtection="1">
      <alignment horizontal="center"/>
      <protection locked="0"/>
    </xf>
    <xf numFmtId="0" fontId="136" fillId="16" borderId="0" xfId="93" applyFont="1" applyFill="1" applyAlignment="1" applyProtection="1">
      <alignment horizontal="left"/>
      <protection locked="0"/>
    </xf>
    <xf numFmtId="170" fontId="137" fillId="16" borderId="0" xfId="93" applyNumberFormat="1" applyFont="1" applyFill="1" applyAlignment="1" applyProtection="1">
      <alignment horizontal="center"/>
      <protection locked="0"/>
    </xf>
    <xf numFmtId="0" fontId="88" fillId="16" borderId="45" xfId="93" applyFont="1" applyFill="1" applyBorder="1" applyAlignment="1" applyProtection="1">
      <alignment horizontal="center" vertical="center"/>
      <protection locked="0"/>
    </xf>
    <xf numFmtId="0" fontId="75" fillId="21" borderId="0" xfId="93" applyFont="1" applyFill="1" applyAlignment="1" applyProtection="1">
      <alignment horizontal="center"/>
      <protection locked="0"/>
    </xf>
    <xf numFmtId="0" fontId="75" fillId="21" borderId="0" xfId="93" quotePrefix="1" applyFont="1" applyFill="1" applyProtection="1">
      <protection locked="0"/>
    </xf>
    <xf numFmtId="170" fontId="80" fillId="16" borderId="45" xfId="93" applyNumberFormat="1" applyFont="1" applyFill="1" applyBorder="1" applyAlignment="1" applyProtection="1">
      <alignment horizontal="center"/>
      <protection locked="0"/>
    </xf>
    <xf numFmtId="170" fontId="80" fillId="16" borderId="45" xfId="93" applyNumberFormat="1" applyFont="1" applyFill="1" applyBorder="1" applyAlignment="1" applyProtection="1">
      <alignment horizontal="center" vertical="center" wrapText="1"/>
      <protection locked="0"/>
    </xf>
    <xf numFmtId="9" fontId="79" fillId="22" borderId="80" xfId="93" applyNumberFormat="1" applyFont="1" applyFill="1" applyBorder="1" applyProtection="1">
      <protection locked="0"/>
    </xf>
    <xf numFmtId="9" fontId="75" fillId="22" borderId="80" xfId="93" applyNumberFormat="1" applyFont="1" applyFill="1" applyBorder="1" applyProtection="1">
      <protection locked="0"/>
    </xf>
    <xf numFmtId="0" fontId="19" fillId="0" borderId="0" xfId="93" applyFont="1" applyAlignment="1">
      <alignment horizontal="left"/>
    </xf>
    <xf numFmtId="0" fontId="139" fillId="21" borderId="0" xfId="93" quotePrefix="1" applyFont="1" applyFill="1" applyProtection="1">
      <protection locked="0"/>
    </xf>
    <xf numFmtId="9" fontId="80" fillId="0" borderId="0" xfId="93" applyNumberFormat="1" applyFont="1" applyProtection="1">
      <protection locked="0"/>
    </xf>
    <xf numFmtId="40" fontId="79" fillId="22" borderId="80" xfId="93" applyNumberFormat="1" applyFont="1" applyFill="1" applyBorder="1" applyProtection="1">
      <protection locked="0"/>
    </xf>
    <xf numFmtId="170" fontId="75" fillId="22" borderId="80" xfId="94" applyNumberFormat="1" applyFont="1" applyFill="1" applyBorder="1" applyProtection="1">
      <protection locked="0"/>
    </xf>
    <xf numFmtId="170" fontId="79" fillId="22" borderId="80" xfId="94" applyNumberFormat="1" applyFont="1" applyFill="1" applyBorder="1" applyProtection="1">
      <protection locked="0"/>
    </xf>
    <xf numFmtId="0" fontId="156" fillId="0" borderId="0" xfId="93" applyFont="1"/>
    <xf numFmtId="0" fontId="157" fillId="0" borderId="0" xfId="93" applyFont="1" applyAlignment="1">
      <alignment horizontal="left"/>
    </xf>
    <xf numFmtId="0" fontId="150" fillId="0" borderId="0" xfId="93" applyFont="1"/>
    <xf numFmtId="0" fontId="150" fillId="21" borderId="0" xfId="93" applyFont="1" applyFill="1"/>
    <xf numFmtId="4" fontId="155" fillId="0" borderId="0" xfId="93" applyNumberFormat="1" applyFont="1"/>
    <xf numFmtId="0" fontId="156" fillId="0" borderId="51" xfId="93" applyFont="1" applyBorder="1"/>
    <xf numFmtId="0" fontId="156" fillId="0" borderId="51" xfId="93" applyFont="1" applyBorder="1" applyAlignment="1">
      <alignment horizontal="left"/>
    </xf>
    <xf numFmtId="0" fontId="158" fillId="0" borderId="0" xfId="93" applyFont="1"/>
    <xf numFmtId="0" fontId="156" fillId="21" borderId="0" xfId="93" applyFont="1" applyFill="1"/>
    <xf numFmtId="170" fontId="156" fillId="0" borderId="0" xfId="93" applyNumberFormat="1" applyFont="1"/>
    <xf numFmtId="4" fontId="156" fillId="0" borderId="0" xfId="93" applyNumberFormat="1" applyFont="1"/>
    <xf numFmtId="4" fontId="156" fillId="0" borderId="51" xfId="93" applyNumberFormat="1" applyFont="1" applyBorder="1"/>
    <xf numFmtId="0" fontId="157" fillId="0" borderId="0" xfId="93" applyFont="1"/>
    <xf numFmtId="0" fontId="159" fillId="0" borderId="0" xfId="0" applyFont="1" applyAlignment="1">
      <alignment horizontal="left"/>
    </xf>
    <xf numFmtId="170" fontId="156" fillId="0" borderId="51" xfId="93" applyNumberFormat="1" applyFont="1" applyBorder="1"/>
    <xf numFmtId="0" fontId="157" fillId="21" borderId="0" xfId="93" applyFont="1" applyFill="1"/>
    <xf numFmtId="170" fontId="157" fillId="0" borderId="0" xfId="93" applyNumberFormat="1" applyFont="1"/>
    <xf numFmtId="0" fontId="156" fillId="0" borderId="47" xfId="93" applyFont="1" applyBorder="1"/>
    <xf numFmtId="0" fontId="156" fillId="0" borderId="47" xfId="93" applyFont="1" applyBorder="1" applyAlignment="1">
      <alignment horizontal="left"/>
    </xf>
    <xf numFmtId="0" fontId="155" fillId="0" borderId="47" xfId="93" applyFont="1" applyBorder="1"/>
    <xf numFmtId="4" fontId="155" fillId="21" borderId="47" xfId="93" applyNumberFormat="1" applyFont="1" applyFill="1" applyBorder="1"/>
    <xf numFmtId="4" fontId="155" fillId="0" borderId="47" xfId="93" applyNumberFormat="1" applyFont="1" applyBorder="1"/>
    <xf numFmtId="2" fontId="157" fillId="0" borderId="0" xfId="93" applyNumberFormat="1" applyFont="1"/>
    <xf numFmtId="0" fontId="155" fillId="0" borderId="0" xfId="93" applyFont="1" applyAlignment="1">
      <alignment horizontal="left"/>
    </xf>
    <xf numFmtId="170" fontId="150" fillId="0" borderId="0" xfId="93" applyNumberFormat="1" applyFont="1"/>
    <xf numFmtId="2" fontId="150" fillId="0" borderId="0" xfId="93" applyNumberFormat="1" applyFont="1"/>
    <xf numFmtId="2" fontId="157" fillId="21" borderId="0" xfId="93" applyNumberFormat="1" applyFont="1" applyFill="1"/>
    <xf numFmtId="0" fontId="150" fillId="33" borderId="0" xfId="93" applyFont="1" applyFill="1"/>
    <xf numFmtId="0" fontId="156" fillId="33" borderId="21" xfId="93" applyFont="1" applyFill="1" applyBorder="1" applyAlignment="1">
      <alignment horizontal="left"/>
    </xf>
    <xf numFmtId="170" fontId="150" fillId="0" borderId="6" xfId="93" applyNumberFormat="1" applyFont="1" applyBorder="1" applyAlignment="1">
      <alignment horizontal="center"/>
    </xf>
    <xf numFmtId="0" fontId="157" fillId="0" borderId="0" xfId="93" applyFont="1" applyAlignment="1">
      <alignment horizontal="center"/>
    </xf>
    <xf numFmtId="170" fontId="150" fillId="0" borderId="0" xfId="93" applyNumberFormat="1" applyFont="1" applyAlignment="1">
      <alignment horizontal="center"/>
    </xf>
    <xf numFmtId="170" fontId="150" fillId="0" borderId="21" xfId="93" applyNumberFormat="1" applyFont="1" applyBorder="1" applyAlignment="1">
      <alignment horizontal="center"/>
    </xf>
    <xf numFmtId="0" fontId="156" fillId="0" borderId="0" xfId="93" applyFont="1" applyAlignment="1">
      <alignment horizontal="center"/>
    </xf>
    <xf numFmtId="0" fontId="150" fillId="0" borderId="0" xfId="93" applyFont="1" applyAlignment="1">
      <alignment horizontal="center"/>
    </xf>
    <xf numFmtId="170" fontId="150" fillId="21" borderId="0" xfId="93" applyNumberFormat="1" applyFont="1" applyFill="1" applyAlignment="1">
      <alignment horizontal="center" wrapText="1"/>
    </xf>
    <xf numFmtId="170" fontId="150" fillId="0" borderId="7" xfId="93" applyNumberFormat="1" applyFont="1" applyBorder="1" applyAlignment="1">
      <alignment horizontal="center" wrapText="1"/>
    </xf>
    <xf numFmtId="170" fontId="150" fillId="0" borderId="40" xfId="93" applyNumberFormat="1" applyFont="1" applyBorder="1" applyAlignment="1">
      <alignment horizontal="center"/>
    </xf>
    <xf numFmtId="170" fontId="150" fillId="0" borderId="0" xfId="93" applyNumberFormat="1" applyFont="1" applyAlignment="1">
      <alignment horizontal="center" wrapText="1"/>
    </xf>
    <xf numFmtId="2" fontId="150" fillId="0" borderId="0" xfId="93" applyNumberFormat="1" applyFont="1" applyAlignment="1">
      <alignment horizontal="center"/>
    </xf>
    <xf numFmtId="2" fontId="150" fillId="0" borderId="0" xfId="93" applyNumberFormat="1" applyFont="1" applyAlignment="1">
      <alignment horizontal="center" wrapText="1"/>
    </xf>
    <xf numFmtId="2" fontId="150" fillId="21" borderId="0" xfId="93" applyNumberFormat="1" applyFont="1" applyFill="1" applyAlignment="1">
      <alignment horizontal="center" wrapText="1"/>
    </xf>
    <xf numFmtId="0" fontId="160" fillId="0" borderId="0" xfId="93" applyFont="1" applyAlignment="1">
      <alignment horizontal="left"/>
    </xf>
    <xf numFmtId="40" fontId="149" fillId="0" borderId="0" xfId="93" applyNumberFormat="1" applyFont="1"/>
    <xf numFmtId="40" fontId="149" fillId="21" borderId="0" xfId="93" applyNumberFormat="1" applyFont="1" applyFill="1"/>
    <xf numFmtId="38" fontId="149" fillId="0" borderId="0" xfId="93" applyNumberFormat="1" applyFont="1"/>
    <xf numFmtId="166" fontId="149" fillId="0" borderId="0" xfId="94" applyFont="1"/>
    <xf numFmtId="4" fontId="149" fillId="0" borderId="0" xfId="93" applyNumberFormat="1" applyFont="1"/>
    <xf numFmtId="2" fontId="149" fillId="0" borderId="0" xfId="93" applyNumberFormat="1" applyFont="1"/>
    <xf numFmtId="2" fontId="156" fillId="0" borderId="0" xfId="93" applyNumberFormat="1" applyFont="1"/>
    <xf numFmtId="2" fontId="156" fillId="21" borderId="0" xfId="93" applyNumberFormat="1" applyFont="1" applyFill="1"/>
    <xf numFmtId="4" fontId="157" fillId="0" borderId="0" xfId="93" applyNumberFormat="1" applyFont="1"/>
    <xf numFmtId="0" fontId="149" fillId="0" borderId="0" xfId="93" applyFont="1"/>
    <xf numFmtId="40" fontId="157" fillId="0" borderId="0" xfId="93" applyNumberFormat="1" applyFont="1"/>
    <xf numFmtId="40" fontId="157" fillId="21" borderId="0" xfId="93" applyNumberFormat="1" applyFont="1" applyFill="1"/>
    <xf numFmtId="38" fontId="157" fillId="0" borderId="0" xfId="93" applyNumberFormat="1" applyFont="1"/>
    <xf numFmtId="166" fontId="156" fillId="0" borderId="0" xfId="94" applyFont="1"/>
    <xf numFmtId="4" fontId="161" fillId="0" borderId="0" xfId="93" applyNumberFormat="1" applyFont="1"/>
    <xf numFmtId="0" fontId="162" fillId="0" borderId="0" xfId="93" applyFont="1" applyAlignment="1">
      <alignment horizontal="left"/>
    </xf>
    <xf numFmtId="0" fontId="162" fillId="0" borderId="0" xfId="93" applyFont="1"/>
    <xf numFmtId="0" fontId="155" fillId="21" borderId="0" xfId="93" applyFont="1" applyFill="1"/>
    <xf numFmtId="0" fontId="159" fillId="0" borderId="0" xfId="0" applyFont="1"/>
    <xf numFmtId="4" fontId="155" fillId="0" borderId="0" xfId="0" applyNumberFormat="1" applyFont="1"/>
    <xf numFmtId="0" fontId="155" fillId="0" borderId="0" xfId="93" applyFont="1"/>
    <xf numFmtId="0" fontId="163" fillId="0" borderId="0" xfId="93" applyFont="1" applyAlignment="1" applyProtection="1">
      <alignment horizontal="left"/>
      <protection locked="0"/>
    </xf>
    <xf numFmtId="0" fontId="149" fillId="21" borderId="0" xfId="93" applyFont="1" applyFill="1" applyAlignment="1" applyProtection="1">
      <alignment horizontal="left"/>
      <protection locked="0"/>
    </xf>
    <xf numFmtId="4" fontId="155" fillId="0" borderId="95" xfId="0" applyNumberFormat="1" applyFont="1" applyBorder="1"/>
    <xf numFmtId="2" fontId="155" fillId="0" borderId="0" xfId="0" applyNumberFormat="1" applyFont="1"/>
    <xf numFmtId="0" fontId="164" fillId="0" borderId="0" xfId="93" applyFont="1" applyAlignment="1">
      <alignment horizontal="left"/>
    </xf>
    <xf numFmtId="4" fontId="156" fillId="21" borderId="0" xfId="93" applyNumberFormat="1" applyFont="1" applyFill="1"/>
    <xf numFmtId="4" fontId="155" fillId="0" borderId="37" xfId="0" applyNumberFormat="1" applyFont="1" applyBorder="1"/>
    <xf numFmtId="4" fontId="156" fillId="0" borderId="0" xfId="0" applyNumberFormat="1" applyFont="1"/>
    <xf numFmtId="2" fontId="156" fillId="0" borderId="0" xfId="0" applyNumberFormat="1" applyFont="1"/>
    <xf numFmtId="2" fontId="156" fillId="21" borderId="0" xfId="0" applyNumberFormat="1" applyFont="1" applyFill="1"/>
    <xf numFmtId="40" fontId="161" fillId="0" borderId="0" xfId="93" applyNumberFormat="1" applyFont="1"/>
    <xf numFmtId="40" fontId="161" fillId="21" borderId="0" xfId="93" applyNumberFormat="1" applyFont="1" applyFill="1"/>
    <xf numFmtId="38" fontId="161" fillId="0" borderId="0" xfId="93" applyNumberFormat="1" applyFont="1"/>
    <xf numFmtId="166" fontId="161" fillId="0" borderId="0" xfId="94" applyFont="1"/>
    <xf numFmtId="2" fontId="161" fillId="0" borderId="0" xfId="93" applyNumberFormat="1" applyFont="1"/>
    <xf numFmtId="0" fontId="164" fillId="0" borderId="0" xfId="93" applyFont="1"/>
    <xf numFmtId="4" fontId="156" fillId="0" borderId="54" xfId="93" applyNumberFormat="1" applyFont="1" applyBorder="1"/>
    <xf numFmtId="4" fontId="161" fillId="0" borderId="54" xfId="93" applyNumberFormat="1" applyFont="1" applyBorder="1"/>
    <xf numFmtId="2" fontId="156" fillId="0" borderId="54" xfId="93" applyNumberFormat="1" applyFont="1" applyBorder="1"/>
    <xf numFmtId="4" fontId="155" fillId="0" borderId="95" xfId="93" applyNumberFormat="1" applyFont="1" applyBorder="1"/>
    <xf numFmtId="166" fontId="156" fillId="0" borderId="54" xfId="94" applyFont="1" applyBorder="1"/>
    <xf numFmtId="0" fontId="163" fillId="21" borderId="0" xfId="93" applyFont="1" applyFill="1" applyAlignment="1" applyProtection="1">
      <alignment horizontal="left"/>
      <protection locked="0"/>
    </xf>
    <xf numFmtId="0" fontId="153" fillId="21" borderId="0" xfId="93" applyFont="1" applyFill="1" applyAlignment="1" applyProtection="1">
      <alignment horizontal="left"/>
      <protection locked="0"/>
    </xf>
    <xf numFmtId="0" fontId="149" fillId="21" borderId="0" xfId="93" applyFont="1" applyFill="1" applyProtection="1">
      <protection locked="0"/>
    </xf>
    <xf numFmtId="4" fontId="155" fillId="21" borderId="0" xfId="93" applyNumberFormat="1" applyFont="1" applyFill="1"/>
    <xf numFmtId="2" fontId="155" fillId="21" borderId="0" xfId="93" applyNumberFormat="1" applyFont="1" applyFill="1"/>
    <xf numFmtId="0" fontId="165" fillId="21" borderId="0" xfId="93" applyFont="1" applyFill="1" applyAlignment="1" applyProtection="1">
      <alignment horizontal="left"/>
      <protection locked="0"/>
    </xf>
    <xf numFmtId="2" fontId="161" fillId="21" borderId="0" xfId="93" applyNumberFormat="1" applyFont="1" applyFill="1"/>
    <xf numFmtId="0" fontId="165" fillId="0" borderId="0" xfId="93" applyFont="1"/>
    <xf numFmtId="0" fontId="166" fillId="0" borderId="0" xfId="93" applyFont="1"/>
    <xf numFmtId="2" fontId="166" fillId="0" borderId="0" xfId="93" applyNumberFormat="1" applyFont="1"/>
    <xf numFmtId="2" fontId="155" fillId="0" borderId="0" xfId="93" applyNumberFormat="1" applyFont="1"/>
    <xf numFmtId="0" fontId="161" fillId="0" borderId="0" xfId="93" applyFont="1" applyAlignment="1">
      <alignment horizontal="left"/>
    </xf>
    <xf numFmtId="2" fontId="155" fillId="0" borderId="37" xfId="0" applyNumberFormat="1" applyFont="1" applyBorder="1"/>
    <xf numFmtId="0" fontId="163" fillId="0" borderId="0" xfId="93" applyFont="1" applyAlignment="1">
      <alignment horizontal="left"/>
    </xf>
    <xf numFmtId="0" fontId="163" fillId="0" borderId="0" xfId="93" applyFont="1"/>
    <xf numFmtId="0" fontId="163" fillId="21" borderId="0" xfId="93" applyFont="1" applyFill="1"/>
    <xf numFmtId="0" fontId="167" fillId="0" borderId="0" xfId="0" applyFont="1"/>
    <xf numFmtId="166" fontId="165" fillId="0" borderId="0" xfId="94" applyFont="1"/>
    <xf numFmtId="4" fontId="163" fillId="0" borderId="0" xfId="93" applyNumberFormat="1" applyFont="1"/>
    <xf numFmtId="2" fontId="163" fillId="0" borderId="0" xfId="93" applyNumberFormat="1" applyFont="1"/>
    <xf numFmtId="2" fontId="165" fillId="0" borderId="0" xfId="93" applyNumberFormat="1" applyFont="1"/>
    <xf numFmtId="2" fontId="163" fillId="21" borderId="0" xfId="93" applyNumberFormat="1" applyFont="1" applyFill="1"/>
    <xf numFmtId="0" fontId="168" fillId="0" borderId="0" xfId="93" applyFont="1"/>
    <xf numFmtId="0" fontId="161" fillId="21" borderId="0" xfId="93" applyFont="1" applyFill="1" applyAlignment="1" applyProtection="1">
      <alignment horizontal="left"/>
      <protection locked="0"/>
    </xf>
    <xf numFmtId="0" fontId="161" fillId="0" borderId="0" xfId="93" applyFont="1"/>
    <xf numFmtId="40" fontId="162" fillId="0" borderId="0" xfId="93" applyNumberFormat="1" applyFont="1"/>
    <xf numFmtId="4" fontId="156" fillId="0" borderId="0" xfId="94" applyNumberFormat="1" applyFont="1"/>
    <xf numFmtId="2" fontId="156" fillId="0" borderId="0" xfId="94" applyNumberFormat="1" applyFont="1"/>
    <xf numFmtId="2" fontId="155" fillId="21" borderId="0" xfId="0" applyNumberFormat="1" applyFont="1" applyFill="1"/>
    <xf numFmtId="0" fontId="156" fillId="0" borderId="0" xfId="93" applyFont="1" applyAlignment="1">
      <alignment horizontal="left"/>
    </xf>
    <xf numFmtId="0" fontId="152" fillId="0" borderId="0" xfId="93" applyFont="1"/>
    <xf numFmtId="38" fontId="156" fillId="0" borderId="0" xfId="93" applyNumberFormat="1" applyFont="1"/>
    <xf numFmtId="40" fontId="156" fillId="0" borderId="0" xfId="93" applyNumberFormat="1" applyFont="1"/>
    <xf numFmtId="40" fontId="156" fillId="21" borderId="0" xfId="93" applyNumberFormat="1" applyFont="1" applyFill="1"/>
    <xf numFmtId="40" fontId="164" fillId="0" borderId="0" xfId="93" applyNumberFormat="1" applyFont="1"/>
    <xf numFmtId="40" fontId="164" fillId="21" borderId="0" xfId="93" applyNumberFormat="1" applyFont="1" applyFill="1"/>
    <xf numFmtId="2" fontId="164" fillId="0" borderId="0" xfId="93" applyNumberFormat="1" applyFont="1"/>
    <xf numFmtId="4" fontId="164" fillId="0" borderId="0" xfId="93" applyNumberFormat="1" applyFont="1"/>
    <xf numFmtId="0" fontId="164" fillId="21" borderId="0" xfId="93" applyFont="1" applyFill="1" applyAlignment="1" applyProtection="1">
      <alignment horizontal="left"/>
      <protection locked="0"/>
    </xf>
    <xf numFmtId="166" fontId="164" fillId="0" borderId="0" xfId="94" applyFont="1"/>
    <xf numFmtId="38" fontId="164" fillId="0" borderId="0" xfId="93" applyNumberFormat="1" applyFont="1"/>
    <xf numFmtId="166" fontId="162" fillId="0" borderId="0" xfId="94" applyFont="1"/>
    <xf numFmtId="2" fontId="162" fillId="0" borderId="37" xfId="93" applyNumberFormat="1" applyFont="1" applyBorder="1"/>
    <xf numFmtId="2" fontId="162" fillId="0" borderId="0" xfId="93" applyNumberFormat="1" applyFont="1"/>
    <xf numFmtId="2" fontId="162" fillId="21" borderId="0" xfId="93" applyNumberFormat="1" applyFont="1" applyFill="1"/>
    <xf numFmtId="0" fontId="169" fillId="0" borderId="0" xfId="93" applyFont="1" applyAlignment="1">
      <alignment horizontal="left"/>
    </xf>
    <xf numFmtId="0" fontId="162" fillId="21" borderId="0" xfId="93" applyFont="1" applyFill="1" applyAlignment="1" applyProtection="1">
      <alignment horizontal="left"/>
      <protection locked="0"/>
    </xf>
    <xf numFmtId="4" fontId="149" fillId="0" borderId="54" xfId="93" applyNumberFormat="1" applyFont="1" applyBorder="1"/>
    <xf numFmtId="40" fontId="164" fillId="0" borderId="54" xfId="93" applyNumberFormat="1" applyFont="1" applyBorder="1"/>
    <xf numFmtId="40" fontId="164" fillId="21" borderId="54" xfId="93" applyNumberFormat="1" applyFont="1" applyFill="1" applyBorder="1"/>
    <xf numFmtId="2" fontId="164" fillId="0" borderId="54" xfId="93" applyNumberFormat="1" applyFont="1" applyBorder="1"/>
    <xf numFmtId="4" fontId="164" fillId="0" borderId="54" xfId="93" applyNumberFormat="1" applyFont="1" applyBorder="1"/>
    <xf numFmtId="166" fontId="156" fillId="0" borderId="0" xfId="94" applyFont="1" applyAlignment="1">
      <alignment horizontal="right"/>
    </xf>
    <xf numFmtId="0" fontId="157" fillId="21" borderId="0" xfId="93" applyFont="1" applyFill="1" applyAlignment="1">
      <alignment horizontal="left"/>
    </xf>
    <xf numFmtId="165" fontId="156" fillId="21" borderId="0" xfId="93" applyNumberFormat="1" applyFont="1" applyFill="1"/>
    <xf numFmtId="4" fontId="157" fillId="21" borderId="0" xfId="93" applyNumberFormat="1" applyFont="1" applyFill="1"/>
    <xf numFmtId="170" fontId="163" fillId="21" borderId="0" xfId="93" applyNumberFormat="1" applyFont="1" applyFill="1"/>
    <xf numFmtId="2" fontId="166" fillId="21" borderId="0" xfId="93" applyNumberFormat="1" applyFont="1" applyFill="1"/>
    <xf numFmtId="0" fontId="156" fillId="21" borderId="0" xfId="93" applyFont="1" applyFill="1" applyAlignment="1" applyProtection="1">
      <alignment horizontal="left"/>
      <protection locked="0"/>
    </xf>
    <xf numFmtId="177" fontId="75" fillId="16" borderId="0" xfId="93" applyNumberFormat="1" applyFont="1" applyFill="1" applyProtection="1">
      <protection locked="0"/>
    </xf>
    <xf numFmtId="170" fontId="75" fillId="16" borderId="0" xfId="93" applyNumberFormat="1" applyFont="1" applyFill="1" applyProtection="1">
      <protection locked="0"/>
    </xf>
    <xf numFmtId="170" fontId="75" fillId="16" borderId="45" xfId="93" applyNumberFormat="1" applyFont="1" applyFill="1" applyBorder="1" applyProtection="1">
      <protection locked="0"/>
    </xf>
    <xf numFmtId="0" fontId="156" fillId="0" borderId="95" xfId="93" applyFont="1" applyBorder="1"/>
    <xf numFmtId="0" fontId="157" fillId="0" borderId="95" xfId="93" applyFont="1" applyBorder="1" applyAlignment="1">
      <alignment horizontal="left"/>
    </xf>
    <xf numFmtId="38" fontId="157" fillId="0" borderId="95" xfId="93" applyNumberFormat="1" applyFont="1" applyBorder="1"/>
    <xf numFmtId="166" fontId="156" fillId="0" borderId="95" xfId="94" applyFont="1" applyBorder="1"/>
    <xf numFmtId="0" fontId="157" fillId="0" borderId="95" xfId="93" applyFont="1" applyBorder="1"/>
    <xf numFmtId="0" fontId="162" fillId="0" borderId="95" xfId="93" applyFont="1" applyBorder="1" applyAlignment="1">
      <alignment horizontal="left"/>
    </xf>
    <xf numFmtId="0" fontId="162" fillId="0" borderId="95" xfId="93" applyFont="1" applyBorder="1"/>
    <xf numFmtId="0" fontId="155" fillId="21" borderId="95" xfId="93" applyFont="1" applyFill="1" applyBorder="1"/>
    <xf numFmtId="0" fontId="159" fillId="0" borderId="95" xfId="0" applyFont="1" applyBorder="1"/>
    <xf numFmtId="0" fontId="155" fillId="0" borderId="95" xfId="93" applyFont="1" applyBorder="1"/>
    <xf numFmtId="0" fontId="149" fillId="0" borderId="95" xfId="93" applyFont="1" applyBorder="1" applyAlignment="1" applyProtection="1">
      <alignment horizontal="left"/>
      <protection locked="0"/>
    </xf>
    <xf numFmtId="166" fontId="156" fillId="0" borderId="95" xfId="94" applyFont="1" applyBorder="1" applyAlignment="1">
      <alignment horizontal="right"/>
    </xf>
    <xf numFmtId="0" fontId="75" fillId="48" borderId="80" xfId="93" applyFont="1" applyFill="1" applyBorder="1" applyProtection="1">
      <protection locked="0"/>
    </xf>
    <xf numFmtId="0" fontId="22" fillId="0" borderId="0" xfId="93" applyFont="1" applyProtection="1">
      <protection locked="0"/>
    </xf>
    <xf numFmtId="172" fontId="22" fillId="0" borderId="0" xfId="93" applyNumberFormat="1" applyFont="1" applyProtection="1">
      <protection locked="0"/>
    </xf>
    <xf numFmtId="0" fontId="79" fillId="49" borderId="0" xfId="93" applyFont="1" applyFill="1" applyProtection="1">
      <protection locked="0"/>
    </xf>
    <xf numFmtId="0" fontId="79" fillId="50" borderId="0" xfId="93" applyFont="1" applyFill="1" applyProtection="1">
      <protection locked="0"/>
    </xf>
    <xf numFmtId="2" fontId="22" fillId="50" borderId="0" xfId="93" applyNumberFormat="1" applyFont="1" applyFill="1" applyProtection="1">
      <protection locked="0"/>
    </xf>
    <xf numFmtId="172" fontId="79" fillId="16" borderId="0" xfId="93" applyNumberFormat="1" applyFont="1" applyFill="1" applyProtection="1">
      <protection locked="0"/>
    </xf>
    <xf numFmtId="168" fontId="49" fillId="16" borderId="0" xfId="109" applyFill="1" applyProtection="1">
      <protection locked="0"/>
    </xf>
    <xf numFmtId="0" fontId="22" fillId="21" borderId="0" xfId="93" applyFont="1" applyFill="1" applyProtection="1">
      <protection locked="0"/>
    </xf>
    <xf numFmtId="172" fontId="22" fillId="21" borderId="0" xfId="93" applyNumberFormat="1" applyFont="1" applyFill="1" applyProtection="1">
      <protection locked="0"/>
    </xf>
    <xf numFmtId="2" fontId="22" fillId="21" borderId="0" xfId="93" applyNumberFormat="1" applyFont="1" applyFill="1" applyProtection="1">
      <protection locked="0"/>
    </xf>
    <xf numFmtId="20" fontId="66" fillId="22" borderId="0" xfId="266" applyNumberFormat="1" applyFont="1" applyFill="1"/>
    <xf numFmtId="0" fontId="88" fillId="22" borderId="0" xfId="93" applyFont="1" applyFill="1" applyProtection="1">
      <protection locked="0"/>
    </xf>
    <xf numFmtId="0" fontId="88" fillId="51" borderId="0" xfId="93" applyFont="1" applyFill="1" applyAlignment="1" applyProtection="1">
      <alignment horizontal="center" vertical="center" wrapText="1"/>
      <protection locked="0"/>
    </xf>
    <xf numFmtId="170" fontId="75" fillId="21" borderId="34" xfId="94" applyNumberFormat="1" applyFont="1" applyFill="1" applyBorder="1" applyProtection="1">
      <protection locked="0"/>
    </xf>
    <xf numFmtId="0" fontId="139" fillId="52" borderId="80" xfId="93" applyFont="1" applyFill="1" applyBorder="1" applyProtection="1">
      <protection locked="0"/>
    </xf>
    <xf numFmtId="0" fontId="79" fillId="52" borderId="80" xfId="93" applyFont="1" applyFill="1" applyBorder="1" applyProtection="1">
      <protection locked="0"/>
    </xf>
    <xf numFmtId="0" fontId="75" fillId="52" borderId="80" xfId="93" applyFont="1" applyFill="1" applyBorder="1" applyProtection="1">
      <protection locked="0"/>
    </xf>
    <xf numFmtId="0" fontId="80" fillId="52" borderId="80" xfId="93" applyFont="1" applyFill="1" applyBorder="1" applyProtection="1">
      <protection locked="0"/>
    </xf>
    <xf numFmtId="170" fontId="75" fillId="52" borderId="80" xfId="93" applyNumberFormat="1" applyFont="1" applyFill="1" applyBorder="1" applyProtection="1">
      <protection locked="0"/>
    </xf>
    <xf numFmtId="2" fontId="80" fillId="21" borderId="80" xfId="93" applyNumberFormat="1" applyFont="1" applyFill="1" applyBorder="1" applyProtection="1">
      <protection locked="0"/>
    </xf>
    <xf numFmtId="40" fontId="80" fillId="21" borderId="26" xfId="93" applyNumberFormat="1" applyFont="1" applyFill="1" applyBorder="1" applyProtection="1">
      <protection locked="0"/>
    </xf>
    <xf numFmtId="40" fontId="80" fillId="21" borderId="23" xfId="93" applyNumberFormat="1" applyFont="1" applyFill="1" applyBorder="1" applyProtection="1">
      <protection locked="0"/>
    </xf>
    <xf numFmtId="40" fontId="80" fillId="21" borderId="22" xfId="93" applyNumberFormat="1" applyFont="1" applyFill="1" applyBorder="1" applyProtection="1">
      <protection locked="0"/>
    </xf>
    <xf numFmtId="40" fontId="80" fillId="21" borderId="25" xfId="93" applyNumberFormat="1" applyFont="1" applyFill="1" applyBorder="1" applyProtection="1">
      <protection locked="0"/>
    </xf>
    <xf numFmtId="40" fontId="80" fillId="21" borderId="24" xfId="93" applyNumberFormat="1" applyFont="1" applyFill="1" applyBorder="1" applyProtection="1">
      <protection locked="0"/>
    </xf>
    <xf numFmtId="40" fontId="75" fillId="21" borderId="26" xfId="93" applyNumberFormat="1" applyFont="1" applyFill="1" applyBorder="1" applyProtection="1">
      <protection locked="0"/>
    </xf>
    <xf numFmtId="0" fontId="75" fillId="29" borderId="0" xfId="93" applyFont="1" applyFill="1" applyAlignment="1" applyProtection="1">
      <alignment horizontal="center"/>
      <protection locked="0"/>
    </xf>
    <xf numFmtId="0" fontId="75" fillId="29" borderId="0" xfId="93" quotePrefix="1" applyFont="1" applyFill="1" applyProtection="1">
      <protection locked="0"/>
    </xf>
    <xf numFmtId="0" fontId="75" fillId="29" borderId="0" xfId="93" applyFont="1" applyFill="1" applyProtection="1">
      <protection locked="0"/>
    </xf>
    <xf numFmtId="0" fontId="76" fillId="29" borderId="0" xfId="93" applyFont="1" applyFill="1" applyProtection="1">
      <protection locked="0"/>
    </xf>
    <xf numFmtId="0" fontId="75" fillId="29" borderId="80" xfId="93" applyFont="1" applyFill="1" applyBorder="1" applyAlignment="1" applyProtection="1">
      <alignment horizontal="left"/>
      <protection locked="0"/>
    </xf>
    <xf numFmtId="0" fontId="75" fillId="29" borderId="80" xfId="93" applyFont="1" applyFill="1" applyBorder="1" applyProtection="1">
      <protection locked="0"/>
    </xf>
    <xf numFmtId="0" fontId="79" fillId="29" borderId="80" xfId="93" applyFont="1" applyFill="1" applyBorder="1" applyProtection="1">
      <protection locked="0"/>
    </xf>
    <xf numFmtId="40" fontId="79" fillId="29" borderId="80" xfId="93" applyNumberFormat="1" applyFont="1" applyFill="1" applyBorder="1" applyProtection="1">
      <protection locked="0"/>
    </xf>
    <xf numFmtId="170" fontId="79" fillId="29" borderId="80" xfId="94" applyNumberFormat="1" applyFont="1" applyFill="1" applyBorder="1" applyProtection="1">
      <protection locked="0"/>
    </xf>
    <xf numFmtId="9" fontId="79" fillId="29" borderId="80" xfId="93" applyNumberFormat="1" applyFont="1" applyFill="1" applyBorder="1" applyProtection="1">
      <protection locked="0"/>
    </xf>
    <xf numFmtId="170" fontId="79" fillId="29" borderId="0" xfId="93" applyNumberFormat="1" applyFont="1" applyFill="1" applyProtection="1">
      <protection locked="0"/>
    </xf>
    <xf numFmtId="2" fontId="79" fillId="29" borderId="80" xfId="93" applyNumberFormat="1" applyFont="1" applyFill="1" applyBorder="1" applyProtection="1">
      <protection locked="0"/>
    </xf>
    <xf numFmtId="1" fontId="79" fillId="29" borderId="80" xfId="93" applyNumberFormat="1" applyFont="1" applyFill="1" applyBorder="1" applyProtection="1">
      <protection locked="0"/>
    </xf>
    <xf numFmtId="40" fontId="79" fillId="29" borderId="27" xfId="93" applyNumberFormat="1" applyFont="1" applyFill="1" applyBorder="1" applyProtection="1">
      <protection locked="0"/>
    </xf>
    <xf numFmtId="40" fontId="79" fillId="29" borderId="3" xfId="93" applyNumberFormat="1" applyFont="1" applyFill="1" applyBorder="1" applyProtection="1">
      <protection locked="0"/>
    </xf>
    <xf numFmtId="0" fontId="79" fillId="29" borderId="0" xfId="93" applyFont="1" applyFill="1" applyProtection="1">
      <protection locked="0"/>
    </xf>
    <xf numFmtId="9" fontId="71" fillId="29" borderId="80" xfId="257" applyFont="1" applyFill="1" applyBorder="1"/>
    <xf numFmtId="0" fontId="22" fillId="29" borderId="0" xfId="93" applyFont="1" applyFill="1" applyProtection="1">
      <protection locked="0"/>
    </xf>
    <xf numFmtId="172" fontId="22" fillId="29" borderId="0" xfId="93" applyNumberFormat="1" applyFont="1" applyFill="1" applyProtection="1">
      <protection locked="0"/>
    </xf>
    <xf numFmtId="2" fontId="22" fillId="29" borderId="0" xfId="93" applyNumberFormat="1" applyFont="1" applyFill="1" applyProtection="1">
      <protection locked="0"/>
    </xf>
    <xf numFmtId="40" fontId="75" fillId="29" borderId="80" xfId="93" applyNumberFormat="1" applyFont="1" applyFill="1" applyBorder="1" applyProtection="1">
      <protection locked="0"/>
    </xf>
    <xf numFmtId="2" fontId="75" fillId="29" borderId="80" xfId="93" applyNumberFormat="1" applyFont="1" applyFill="1" applyBorder="1" applyProtection="1">
      <protection locked="0"/>
    </xf>
    <xf numFmtId="169" fontId="79" fillId="29" borderId="80" xfId="94" applyNumberFormat="1" applyFont="1" applyFill="1" applyBorder="1" applyProtection="1">
      <protection locked="0"/>
    </xf>
    <xf numFmtId="40" fontId="80" fillId="29" borderId="80" xfId="93" applyNumberFormat="1" applyFont="1" applyFill="1" applyBorder="1" applyProtection="1">
      <protection locked="0"/>
    </xf>
    <xf numFmtId="170" fontId="75" fillId="21" borderId="80" xfId="93" applyNumberFormat="1" applyFont="1" applyFill="1" applyBorder="1" applyProtection="1">
      <protection locked="0"/>
    </xf>
    <xf numFmtId="9" fontId="75" fillId="29" borderId="80" xfId="93" applyNumberFormat="1" applyFont="1" applyFill="1" applyBorder="1" applyProtection="1">
      <protection locked="0"/>
    </xf>
    <xf numFmtId="40" fontId="139" fillId="29" borderId="80" xfId="93" applyNumberFormat="1" applyFont="1" applyFill="1" applyBorder="1" applyProtection="1">
      <protection locked="0"/>
    </xf>
    <xf numFmtId="9" fontId="81" fillId="29" borderId="80" xfId="257" applyFont="1" applyFill="1" applyBorder="1"/>
    <xf numFmtId="38" fontId="157" fillId="21" borderId="0" xfId="93" applyNumberFormat="1" applyFont="1" applyFill="1"/>
    <xf numFmtId="166" fontId="156" fillId="21" borderId="0" xfId="94" applyFont="1" applyFill="1"/>
    <xf numFmtId="4" fontId="149" fillId="21" borderId="0" xfId="93" applyNumberFormat="1" applyFont="1" applyFill="1"/>
    <xf numFmtId="4" fontId="161" fillId="21" borderId="0" xfId="93" applyNumberFormat="1" applyFont="1" applyFill="1"/>
    <xf numFmtId="2" fontId="79" fillId="29" borderId="80" xfId="94" applyNumberFormat="1" applyFont="1" applyFill="1" applyBorder="1" applyProtection="1">
      <protection locked="0"/>
    </xf>
    <xf numFmtId="40" fontId="79" fillId="21" borderId="97" xfId="93" applyNumberFormat="1" applyFont="1" applyFill="1" applyBorder="1" applyProtection="1">
      <protection locked="0"/>
    </xf>
    <xf numFmtId="40" fontId="79" fillId="21" borderId="100" xfId="93" applyNumberFormat="1" applyFont="1" applyFill="1" applyBorder="1" applyProtection="1">
      <protection locked="0"/>
    </xf>
    <xf numFmtId="40" fontId="79" fillId="21" borderId="101" xfId="93" applyNumberFormat="1" applyFont="1" applyFill="1" applyBorder="1" applyProtection="1">
      <protection locked="0"/>
    </xf>
    <xf numFmtId="40" fontId="75" fillId="21" borderId="91" xfId="93" applyNumberFormat="1" applyFont="1" applyFill="1" applyBorder="1" applyProtection="1">
      <protection locked="0"/>
    </xf>
    <xf numFmtId="40" fontId="80" fillId="21" borderId="91" xfId="93" applyNumberFormat="1" applyFont="1" applyFill="1" applyBorder="1" applyProtection="1">
      <protection locked="0"/>
    </xf>
    <xf numFmtId="40" fontId="79" fillId="21" borderId="36" xfId="93" applyNumberFormat="1" applyFont="1" applyFill="1" applyBorder="1" applyProtection="1">
      <protection locked="0"/>
    </xf>
    <xf numFmtId="40" fontId="79" fillId="21" borderId="7" xfId="93" applyNumberFormat="1" applyFont="1" applyFill="1" applyBorder="1" applyProtection="1">
      <protection locked="0"/>
    </xf>
    <xf numFmtId="0" fontId="139" fillId="21" borderId="80" xfId="93" applyFont="1" applyFill="1" applyBorder="1" applyAlignment="1" applyProtection="1">
      <alignment horizontal="left"/>
      <protection locked="0"/>
    </xf>
    <xf numFmtId="0" fontId="79" fillId="21" borderId="91" xfId="93" applyFont="1" applyFill="1" applyBorder="1" applyProtection="1">
      <protection locked="0"/>
    </xf>
    <xf numFmtId="2" fontId="79" fillId="21" borderId="91" xfId="93" applyNumberFormat="1" applyFont="1" applyFill="1" applyBorder="1" applyProtection="1">
      <protection locked="0"/>
    </xf>
    <xf numFmtId="9" fontId="80" fillId="29" borderId="80" xfId="257" applyFont="1" applyFill="1" applyBorder="1" applyProtection="1">
      <protection locked="0"/>
    </xf>
    <xf numFmtId="1" fontId="80" fillId="29" borderId="80" xfId="93" applyNumberFormat="1" applyFont="1" applyFill="1" applyBorder="1" applyProtection="1">
      <protection locked="0"/>
    </xf>
    <xf numFmtId="170" fontId="80" fillId="29" borderId="80" xfId="94" applyNumberFormat="1" applyFont="1" applyFill="1" applyBorder="1" applyProtection="1">
      <protection locked="0"/>
    </xf>
    <xf numFmtId="40" fontId="80" fillId="29" borderId="27" xfId="93" applyNumberFormat="1" applyFont="1" applyFill="1" applyBorder="1" applyProtection="1">
      <protection locked="0"/>
    </xf>
    <xf numFmtId="40" fontId="80" fillId="29" borderId="3" xfId="93" applyNumberFormat="1" applyFont="1" applyFill="1" applyBorder="1" applyProtection="1">
      <protection locked="0"/>
    </xf>
    <xf numFmtId="40" fontId="80" fillId="29" borderId="15" xfId="93" applyNumberFormat="1" applyFont="1" applyFill="1" applyBorder="1" applyProtection="1">
      <protection locked="0"/>
    </xf>
    <xf numFmtId="0" fontId="88" fillId="21" borderId="0" xfId="93" applyFont="1" applyFill="1" applyProtection="1">
      <protection locked="0"/>
    </xf>
    <xf numFmtId="173" fontId="18" fillId="22" borderId="45" xfId="93" applyNumberFormat="1" applyFont="1" applyFill="1" applyBorder="1" applyAlignment="1">
      <alignment horizontal="right"/>
    </xf>
    <xf numFmtId="2" fontId="0" fillId="0" borderId="0" xfId="0" applyNumberFormat="1"/>
    <xf numFmtId="0" fontId="79" fillId="22" borderId="80" xfId="93" applyFont="1" applyFill="1" applyBorder="1" applyProtection="1">
      <protection locked="0"/>
    </xf>
    <xf numFmtId="0" fontId="75" fillId="52" borderId="0" xfId="93" applyFont="1" applyFill="1" applyAlignment="1" applyProtection="1">
      <alignment horizontal="center"/>
      <protection locked="0"/>
    </xf>
    <xf numFmtId="0" fontId="75" fillId="52" borderId="0" xfId="93" quotePrefix="1" applyFont="1" applyFill="1" applyProtection="1">
      <protection locked="0"/>
    </xf>
    <xf numFmtId="0" fontId="75" fillId="52" borderId="0" xfId="93" applyFont="1" applyFill="1" applyProtection="1">
      <protection locked="0"/>
    </xf>
    <xf numFmtId="0" fontId="76" fillId="52" borderId="0" xfId="93" applyFont="1" applyFill="1" applyProtection="1">
      <protection locked="0"/>
    </xf>
    <xf numFmtId="0" fontId="75" fillId="52" borderId="80" xfId="93" applyFont="1" applyFill="1" applyBorder="1" applyAlignment="1" applyProtection="1">
      <alignment horizontal="left"/>
      <protection locked="0"/>
    </xf>
    <xf numFmtId="40" fontId="79" fillId="52" borderId="80" xfId="93" applyNumberFormat="1" applyFont="1" applyFill="1" applyBorder="1" applyProtection="1">
      <protection locked="0"/>
    </xf>
    <xf numFmtId="170" fontId="75" fillId="52" borderId="80" xfId="94" applyNumberFormat="1" applyFont="1" applyFill="1" applyBorder="1" applyProtection="1">
      <protection locked="0"/>
    </xf>
    <xf numFmtId="9" fontId="75" fillId="52" borderId="80" xfId="257" applyFont="1" applyFill="1" applyBorder="1" applyProtection="1">
      <protection locked="0"/>
    </xf>
    <xf numFmtId="9" fontId="79" fillId="52" borderId="80" xfId="93" applyNumberFormat="1" applyFont="1" applyFill="1" applyBorder="1" applyProtection="1">
      <protection locked="0"/>
    </xf>
    <xf numFmtId="170" fontId="139" fillId="52" borderId="0" xfId="93" applyNumberFormat="1" applyFont="1" applyFill="1" applyProtection="1">
      <protection locked="0"/>
    </xf>
    <xf numFmtId="2" fontId="139" fillId="52" borderId="80" xfId="94" applyNumberFormat="1" applyFont="1" applyFill="1" applyBorder="1" applyProtection="1">
      <protection locked="0"/>
    </xf>
    <xf numFmtId="40" fontId="75" fillId="52" borderId="80" xfId="93" applyNumberFormat="1" applyFont="1" applyFill="1" applyBorder="1" applyProtection="1">
      <protection locked="0"/>
    </xf>
    <xf numFmtId="2" fontId="75" fillId="52" borderId="80" xfId="93" applyNumberFormat="1" applyFont="1" applyFill="1" applyBorder="1" applyProtection="1">
      <protection locked="0"/>
    </xf>
    <xf numFmtId="2" fontId="75" fillId="52" borderId="80" xfId="94" applyNumberFormat="1" applyFont="1" applyFill="1" applyBorder="1" applyProtection="1">
      <protection locked="0"/>
    </xf>
    <xf numFmtId="1" fontId="75" fillId="52" borderId="80" xfId="93" applyNumberFormat="1" applyFont="1" applyFill="1" applyBorder="1" applyProtection="1">
      <protection locked="0"/>
    </xf>
    <xf numFmtId="169" fontId="75" fillId="52" borderId="80" xfId="94" applyNumberFormat="1" applyFont="1" applyFill="1" applyBorder="1" applyProtection="1">
      <protection locked="0"/>
    </xf>
    <xf numFmtId="40" fontId="75" fillId="52" borderId="27" xfId="93" applyNumberFormat="1" applyFont="1" applyFill="1" applyBorder="1" applyProtection="1">
      <protection locked="0"/>
    </xf>
    <xf numFmtId="40" fontId="75" fillId="52" borderId="3" xfId="93" applyNumberFormat="1" applyFont="1" applyFill="1" applyBorder="1" applyProtection="1">
      <protection locked="0"/>
    </xf>
    <xf numFmtId="40" fontId="79" fillId="52" borderId="22" xfId="93" applyNumberFormat="1" applyFont="1" applyFill="1" applyBorder="1" applyProtection="1">
      <protection locked="0"/>
    </xf>
    <xf numFmtId="40" fontId="75" fillId="52" borderId="15" xfId="93" applyNumberFormat="1" applyFont="1" applyFill="1" applyBorder="1" applyProtection="1">
      <protection locked="0"/>
    </xf>
    <xf numFmtId="40" fontId="80" fillId="52" borderId="80" xfId="93" applyNumberFormat="1" applyFont="1" applyFill="1" applyBorder="1" applyProtection="1">
      <protection locked="0"/>
    </xf>
    <xf numFmtId="40" fontId="79" fillId="52" borderId="27" xfId="93" applyNumberFormat="1" applyFont="1" applyFill="1" applyBorder="1" applyProtection="1">
      <protection locked="0"/>
    </xf>
    <xf numFmtId="40" fontId="79" fillId="52" borderId="3" xfId="93" applyNumberFormat="1" applyFont="1" applyFill="1" applyBorder="1" applyProtection="1">
      <protection locked="0"/>
    </xf>
    <xf numFmtId="0" fontId="139" fillId="52" borderId="0" xfId="93" applyFont="1" applyFill="1" applyProtection="1">
      <protection locked="0"/>
    </xf>
    <xf numFmtId="2" fontId="79" fillId="52" borderId="80" xfId="93" applyNumberFormat="1" applyFont="1" applyFill="1" applyBorder="1" applyProtection="1">
      <protection locked="0"/>
    </xf>
    <xf numFmtId="9" fontId="71" fillId="52" borderId="80" xfId="257" applyFont="1" applyFill="1" applyBorder="1"/>
    <xf numFmtId="0" fontId="79" fillId="52" borderId="0" xfId="93" applyFont="1" applyFill="1" applyProtection="1">
      <protection locked="0"/>
    </xf>
    <xf numFmtId="0" fontId="22" fillId="52" borderId="0" xfId="93" applyFont="1" applyFill="1" applyProtection="1">
      <protection locked="0"/>
    </xf>
    <xf numFmtId="172" fontId="22" fillId="52" borderId="0" xfId="93" applyNumberFormat="1" applyFont="1" applyFill="1" applyProtection="1">
      <protection locked="0"/>
    </xf>
    <xf numFmtId="2" fontId="22" fillId="52" borderId="0" xfId="93" applyNumberFormat="1" applyFont="1" applyFill="1" applyProtection="1">
      <protection locked="0"/>
    </xf>
    <xf numFmtId="0" fontId="75" fillId="22" borderId="0" xfId="93" applyFont="1" applyFill="1" applyAlignment="1" applyProtection="1">
      <alignment horizontal="center"/>
      <protection locked="0"/>
    </xf>
    <xf numFmtId="0" fontId="75" fillId="22" borderId="0" xfId="93" quotePrefix="1" applyFont="1" applyFill="1" applyProtection="1">
      <protection locked="0"/>
    </xf>
    <xf numFmtId="0" fontId="75" fillId="22" borderId="0" xfId="93" applyFont="1" applyFill="1" applyProtection="1">
      <protection locked="0"/>
    </xf>
    <xf numFmtId="0" fontId="76" fillId="22" borderId="0" xfId="93" applyFont="1" applyFill="1" applyProtection="1">
      <protection locked="0"/>
    </xf>
    <xf numFmtId="0" fontId="75" fillId="22" borderId="80" xfId="93" applyFont="1" applyFill="1" applyBorder="1" applyAlignment="1" applyProtection="1">
      <alignment horizontal="left"/>
      <protection locked="0"/>
    </xf>
    <xf numFmtId="0" fontId="75" fillId="22" borderId="80" xfId="93" applyFont="1" applyFill="1" applyBorder="1" applyProtection="1">
      <protection locked="0"/>
    </xf>
    <xf numFmtId="170" fontId="88" fillId="22" borderId="0" xfId="93" applyNumberFormat="1" applyFont="1" applyFill="1" applyProtection="1">
      <protection locked="0"/>
    </xf>
    <xf numFmtId="1" fontId="79" fillId="22" borderId="80" xfId="93" applyNumberFormat="1" applyFont="1" applyFill="1" applyBorder="1" applyProtection="1">
      <protection locked="0"/>
    </xf>
    <xf numFmtId="0" fontId="145" fillId="22" borderId="80" xfId="93" applyFont="1" applyFill="1" applyBorder="1" applyProtection="1">
      <protection locked="0"/>
    </xf>
    <xf numFmtId="40" fontId="79" fillId="22" borderId="26" xfId="93" applyNumberFormat="1" applyFont="1" applyFill="1" applyBorder="1" applyProtection="1">
      <protection locked="0"/>
    </xf>
    <xf numFmtId="40" fontId="79" fillId="22" borderId="23" xfId="93" applyNumberFormat="1" applyFont="1" applyFill="1" applyBorder="1" applyProtection="1">
      <protection locked="0"/>
    </xf>
    <xf numFmtId="40" fontId="79" fillId="22" borderId="22" xfId="93" applyNumberFormat="1" applyFont="1" applyFill="1" applyBorder="1" applyProtection="1">
      <protection locked="0"/>
    </xf>
    <xf numFmtId="40" fontId="79" fillId="22" borderId="25" xfId="93" applyNumberFormat="1" applyFont="1" applyFill="1" applyBorder="1" applyProtection="1">
      <protection locked="0"/>
    </xf>
    <xf numFmtId="40" fontId="79" fillId="22" borderId="24" xfId="93" applyNumberFormat="1" applyFont="1" applyFill="1" applyBorder="1" applyProtection="1">
      <protection locked="0"/>
    </xf>
    <xf numFmtId="40" fontId="79" fillId="22" borderId="3" xfId="93" applyNumberFormat="1" applyFont="1" applyFill="1" applyBorder="1" applyProtection="1">
      <protection locked="0"/>
    </xf>
    <xf numFmtId="0" fontId="170" fillId="22" borderId="0" xfId="93" applyFont="1" applyFill="1" applyProtection="1">
      <protection locked="0"/>
    </xf>
    <xf numFmtId="9" fontId="71" fillId="22" borderId="80" xfId="257" applyFont="1" applyFill="1" applyBorder="1"/>
    <xf numFmtId="0" fontId="22" fillId="22" borderId="0" xfId="93" applyFont="1" applyFill="1" applyProtection="1">
      <protection locked="0"/>
    </xf>
    <xf numFmtId="172" fontId="22" fillId="22" borderId="0" xfId="93" applyNumberFormat="1" applyFont="1" applyFill="1" applyProtection="1">
      <protection locked="0"/>
    </xf>
    <xf numFmtId="2" fontId="22" fillId="22" borderId="0" xfId="93" applyNumberFormat="1" applyFont="1" applyFill="1" applyProtection="1">
      <protection locked="0"/>
    </xf>
    <xf numFmtId="17" fontId="0" fillId="0" borderId="0" xfId="0" applyNumberFormat="1"/>
    <xf numFmtId="0" fontId="29" fillId="21" borderId="45" xfId="93" applyFont="1" applyFill="1" applyBorder="1"/>
    <xf numFmtId="0" fontId="19" fillId="21" borderId="0" xfId="93" applyFont="1" applyFill="1"/>
    <xf numFmtId="0" fontId="140" fillId="16" borderId="0" xfId="93" applyFont="1" applyFill="1" applyAlignment="1" applyProtection="1">
      <alignment horizontal="center" vertical="center"/>
      <protection locked="0"/>
    </xf>
    <xf numFmtId="0" fontId="76" fillId="11" borderId="3" xfId="93" applyFont="1" applyFill="1" applyBorder="1" applyAlignment="1" applyProtection="1">
      <alignment horizontal="center"/>
      <protection locked="0"/>
    </xf>
    <xf numFmtId="168" fontId="49" fillId="22" borderId="0" xfId="109" applyFill="1"/>
    <xf numFmtId="0" fontId="139" fillId="9" borderId="102" xfId="93" applyFont="1" applyFill="1" applyBorder="1" applyAlignment="1" applyProtection="1">
      <alignment horizontal="center" vertical="center" wrapText="1"/>
      <protection locked="0"/>
    </xf>
    <xf numFmtId="40" fontId="157" fillId="22" borderId="0" xfId="93" applyNumberFormat="1" applyFont="1" applyFill="1"/>
    <xf numFmtId="40" fontId="157" fillId="22" borderId="54" xfId="93" applyNumberFormat="1" applyFont="1" applyFill="1" applyBorder="1"/>
    <xf numFmtId="40" fontId="161" fillId="22" borderId="0" xfId="93" applyNumberFormat="1" applyFont="1" applyFill="1"/>
    <xf numFmtId="0" fontId="164" fillId="22" borderId="0" xfId="93" applyFont="1" applyFill="1"/>
    <xf numFmtId="0" fontId="151" fillId="20" borderId="72" xfId="93" applyFont="1" applyFill="1" applyBorder="1" applyAlignment="1" applyProtection="1">
      <alignment horizontal="center"/>
      <protection locked="0"/>
    </xf>
    <xf numFmtId="0" fontId="76" fillId="11" borderId="3" xfId="93" applyFont="1" applyFill="1" applyBorder="1" applyAlignment="1" applyProtection="1">
      <alignment horizontal="center"/>
      <protection locked="0"/>
    </xf>
    <xf numFmtId="0" fontId="137" fillId="11" borderId="0" xfId="93" applyFont="1" applyFill="1" applyAlignment="1" applyProtection="1">
      <alignment horizontal="center"/>
      <protection locked="0"/>
    </xf>
    <xf numFmtId="0" fontId="137" fillId="18" borderId="0" xfId="93" applyFont="1" applyFill="1" applyAlignment="1" applyProtection="1">
      <alignment horizontal="center"/>
      <protection locked="0"/>
    </xf>
    <xf numFmtId="0" fontId="80" fillId="6" borderId="69" xfId="93" applyFont="1" applyFill="1" applyBorder="1" applyAlignment="1" applyProtection="1">
      <alignment horizontal="center"/>
      <protection locked="0"/>
    </xf>
    <xf numFmtId="0" fontId="80" fillId="13" borderId="69" xfId="93" applyFont="1" applyFill="1" applyBorder="1" applyAlignment="1" applyProtection="1">
      <alignment horizontal="center"/>
      <protection locked="0"/>
    </xf>
    <xf numFmtId="0" fontId="80" fillId="17" borderId="69" xfId="93" applyFont="1" applyFill="1" applyBorder="1" applyAlignment="1" applyProtection="1">
      <alignment horizontal="center"/>
      <protection locked="0"/>
    </xf>
    <xf numFmtId="0" fontId="80" fillId="3" borderId="69" xfId="93" applyFont="1" applyFill="1" applyBorder="1" applyAlignment="1" applyProtection="1">
      <alignment horizontal="center"/>
      <protection locked="0"/>
    </xf>
    <xf numFmtId="0" fontId="89" fillId="16" borderId="69" xfId="93" applyFont="1" applyFill="1" applyBorder="1" applyAlignment="1" applyProtection="1">
      <alignment horizontal="center" wrapText="1"/>
      <protection locked="0"/>
    </xf>
    <xf numFmtId="0" fontId="142" fillId="20" borderId="20" xfId="93" applyFont="1" applyFill="1" applyBorder="1" applyAlignment="1" applyProtection="1">
      <alignment horizontal="center"/>
      <protection locked="0"/>
    </xf>
    <xf numFmtId="0" fontId="142" fillId="19" borderId="72" xfId="93" applyFont="1" applyFill="1" applyBorder="1" applyAlignment="1" applyProtection="1">
      <alignment horizontal="center"/>
      <protection locked="0"/>
    </xf>
    <xf numFmtId="0" fontId="142" fillId="17" borderId="19" xfId="93" applyFont="1" applyFill="1" applyBorder="1" applyAlignment="1" applyProtection="1">
      <alignment horizontal="center"/>
      <protection locked="0"/>
    </xf>
    <xf numFmtId="0" fontId="142" fillId="11" borderId="70" xfId="93" applyFont="1" applyFill="1" applyBorder="1" applyAlignment="1" applyProtection="1">
      <alignment horizontal="center"/>
      <protection locked="0"/>
    </xf>
    <xf numFmtId="0" fontId="142" fillId="3" borderId="70" xfId="93" applyFont="1" applyFill="1" applyBorder="1" applyAlignment="1" applyProtection="1">
      <alignment horizontal="center"/>
      <protection locked="0"/>
    </xf>
    <xf numFmtId="0" fontId="77" fillId="6" borderId="7" xfId="93" applyFont="1" applyFill="1" applyBorder="1" applyAlignment="1" applyProtection="1">
      <alignment horizontal="center"/>
      <protection locked="0"/>
    </xf>
    <xf numFmtId="170" fontId="143" fillId="16" borderId="75" xfId="93" applyNumberFormat="1" applyFont="1" applyFill="1" applyBorder="1" applyAlignment="1" applyProtection="1">
      <alignment horizontal="center" vertical="center" wrapText="1"/>
      <protection locked="0"/>
    </xf>
    <xf numFmtId="170" fontId="143" fillId="16" borderId="79" xfId="93" applyNumberFormat="1" applyFont="1" applyFill="1" applyBorder="1" applyAlignment="1" applyProtection="1">
      <alignment horizontal="center" vertical="center" wrapText="1"/>
      <protection locked="0"/>
    </xf>
    <xf numFmtId="0" fontId="151" fillId="19" borderId="72" xfId="93" applyFont="1" applyFill="1" applyBorder="1" applyAlignment="1" applyProtection="1">
      <alignment horizontal="center"/>
      <protection locked="0"/>
    </xf>
    <xf numFmtId="0" fontId="151" fillId="17" borderId="72" xfId="93" applyFont="1" applyFill="1" applyBorder="1" applyAlignment="1" applyProtection="1">
      <alignment horizontal="center"/>
      <protection locked="0"/>
    </xf>
    <xf numFmtId="0" fontId="151" fillId="11" borderId="72" xfId="93" applyFont="1" applyFill="1" applyBorder="1" applyAlignment="1" applyProtection="1">
      <alignment horizontal="center"/>
      <protection locked="0"/>
    </xf>
    <xf numFmtId="0" fontId="151" fillId="3" borderId="72" xfId="93" applyFont="1" applyFill="1" applyBorder="1" applyAlignment="1" applyProtection="1">
      <alignment horizontal="center"/>
      <protection locked="0"/>
    </xf>
    <xf numFmtId="0" fontId="140" fillId="16" borderId="0" xfId="93" applyFont="1" applyFill="1" applyAlignment="1" applyProtection="1">
      <alignment horizontal="center" vertical="center"/>
      <protection locked="0"/>
    </xf>
    <xf numFmtId="0" fontId="144" fillId="16" borderId="58" xfId="93" applyFont="1" applyFill="1" applyBorder="1" applyAlignment="1" applyProtection="1">
      <alignment horizontal="center"/>
      <protection locked="0"/>
    </xf>
    <xf numFmtId="0" fontId="144" fillId="16" borderId="59" xfId="93" applyFont="1" applyFill="1" applyBorder="1" applyAlignment="1" applyProtection="1">
      <alignment horizontal="center"/>
      <protection locked="0"/>
    </xf>
    <xf numFmtId="0" fontId="144" fillId="16" borderId="60" xfId="93" applyFont="1" applyFill="1" applyBorder="1" applyAlignment="1" applyProtection="1">
      <alignment horizontal="center"/>
      <protection locked="0"/>
    </xf>
    <xf numFmtId="0" fontId="140" fillId="33" borderId="0" xfId="93" applyFont="1" applyFill="1" applyAlignment="1" applyProtection="1">
      <alignment horizontal="left"/>
      <protection locked="0"/>
    </xf>
    <xf numFmtId="170" fontId="139" fillId="0" borderId="49" xfId="93" applyNumberFormat="1" applyFont="1" applyBorder="1" applyAlignment="1" applyProtection="1">
      <alignment horizontal="center"/>
      <protection locked="0"/>
    </xf>
    <xf numFmtId="0" fontId="141" fillId="16" borderId="50" xfId="93" applyFont="1" applyFill="1" applyBorder="1" applyAlignment="1" applyProtection="1">
      <alignment horizontal="center"/>
      <protection locked="0"/>
    </xf>
    <xf numFmtId="0" fontId="141" fillId="16" borderId="51" xfId="93" applyFont="1" applyFill="1" applyBorder="1" applyAlignment="1" applyProtection="1">
      <alignment horizontal="center"/>
      <protection locked="0"/>
    </xf>
    <xf numFmtId="0" fontId="141" fillId="16" borderId="52" xfId="93" applyFont="1" applyFill="1" applyBorder="1" applyAlignment="1" applyProtection="1">
      <alignment horizontal="center"/>
      <protection locked="0"/>
    </xf>
    <xf numFmtId="0" fontId="117" fillId="11" borderId="3" xfId="93" applyFont="1" applyFill="1" applyBorder="1" applyAlignment="1" applyProtection="1">
      <alignment horizontal="center"/>
      <protection locked="0"/>
    </xf>
    <xf numFmtId="168" fontId="116" fillId="16" borderId="45" xfId="109" applyFont="1" applyFill="1" applyBorder="1" applyAlignment="1" applyProtection="1">
      <alignment horizontal="center"/>
      <protection locked="0"/>
    </xf>
    <xf numFmtId="168" fontId="116" fillId="43" borderId="45" xfId="109" applyFont="1" applyFill="1" applyBorder="1" applyAlignment="1" applyProtection="1">
      <alignment horizontal="center"/>
      <protection locked="0"/>
    </xf>
    <xf numFmtId="9" fontId="96" fillId="0" borderId="3" xfId="257" applyFont="1" applyBorder="1" applyAlignment="1" applyProtection="1">
      <alignment horizontal="center"/>
      <protection locked="0"/>
    </xf>
    <xf numFmtId="0" fontId="96" fillId="11" borderId="3" xfId="93" applyFont="1" applyFill="1" applyBorder="1" applyAlignment="1" applyProtection="1">
      <alignment horizontal="center"/>
      <protection locked="0"/>
    </xf>
    <xf numFmtId="168" fontId="115" fillId="43" borderId="45" xfId="109" applyFont="1" applyFill="1" applyBorder="1" applyAlignment="1" applyProtection="1">
      <alignment horizontal="center"/>
      <protection locked="0"/>
    </xf>
    <xf numFmtId="9" fontId="110" fillId="41" borderId="0" xfId="257" applyFont="1" applyFill="1" applyAlignment="1" applyProtection="1">
      <alignment horizontal="center"/>
      <protection locked="0"/>
    </xf>
    <xf numFmtId="9" fontId="100" fillId="42" borderId="45" xfId="257" applyFont="1" applyFill="1" applyBorder="1" applyAlignment="1" applyProtection="1">
      <alignment horizontal="center"/>
      <protection locked="0"/>
    </xf>
    <xf numFmtId="168" fontId="115" fillId="16" borderId="45" xfId="109" applyFont="1" applyFill="1" applyBorder="1" applyAlignment="1" applyProtection="1">
      <alignment horizontal="center"/>
      <protection locked="0"/>
    </xf>
    <xf numFmtId="168" fontId="116" fillId="41" borderId="0" xfId="109" applyFont="1" applyFill="1" applyBorder="1" applyAlignment="1" applyProtection="1">
      <alignment horizontal="center"/>
      <protection locked="0"/>
    </xf>
    <xf numFmtId="168" fontId="116" fillId="42" borderId="45" xfId="109" applyFont="1" applyFill="1" applyBorder="1" applyAlignment="1" applyProtection="1">
      <alignment horizontal="center"/>
      <protection locked="0"/>
    </xf>
    <xf numFmtId="2" fontId="150" fillId="0" borderId="37" xfId="93" applyNumberFormat="1" applyFont="1" applyBorder="1" applyAlignment="1">
      <alignment horizontal="center" vertical="center" wrapText="1"/>
    </xf>
    <xf numFmtId="2" fontId="150" fillId="21" borderId="27" xfId="93" applyNumberFormat="1" applyFont="1" applyFill="1" applyBorder="1" applyAlignment="1">
      <alignment horizontal="center" vertical="center" wrapText="1"/>
    </xf>
    <xf numFmtId="170" fontId="150" fillId="0" borderId="37" xfId="93" applyNumberFormat="1" applyFont="1" applyBorder="1" applyAlignment="1">
      <alignment horizontal="center" vertical="center"/>
    </xf>
    <xf numFmtId="2" fontId="150" fillId="0" borderId="37" xfId="93" applyNumberFormat="1" applyFont="1" applyBorder="1" applyAlignment="1">
      <alignment horizontal="center" vertical="center"/>
    </xf>
    <xf numFmtId="170" fontId="150" fillId="0" borderId="37" xfId="93" applyNumberFormat="1" applyFont="1" applyBorder="1" applyAlignment="1">
      <alignment horizontal="center" wrapText="1"/>
    </xf>
    <xf numFmtId="170" fontId="150" fillId="0" borderId="15" xfId="93" applyNumberFormat="1" applyFont="1" applyBorder="1" applyAlignment="1">
      <alignment horizontal="center" wrapText="1"/>
    </xf>
    <xf numFmtId="170" fontId="150" fillId="0" borderId="37" xfId="93" applyNumberFormat="1" applyFont="1" applyBorder="1" applyAlignment="1">
      <alignment horizontal="center" vertical="center" wrapText="1"/>
    </xf>
    <xf numFmtId="0" fontId="155" fillId="33" borderId="0" xfId="93" applyFont="1" applyFill="1" applyAlignment="1">
      <alignment horizontal="left"/>
    </xf>
    <xf numFmtId="0" fontId="155" fillId="0" borderId="0" xfId="93" applyFont="1" applyAlignment="1">
      <alignment horizontal="left"/>
    </xf>
    <xf numFmtId="170" fontId="150" fillId="0" borderId="3" xfId="93" applyNumberFormat="1" applyFont="1" applyBorder="1" applyAlignment="1">
      <alignment horizontal="center"/>
    </xf>
    <xf numFmtId="0" fontId="156" fillId="0" borderId="15" xfId="93" applyFont="1" applyBorder="1" applyAlignment="1">
      <alignment horizontal="center"/>
    </xf>
    <xf numFmtId="0" fontId="150" fillId="0" borderId="37" xfId="93" applyFont="1" applyBorder="1" applyAlignment="1">
      <alignment horizontal="center"/>
    </xf>
    <xf numFmtId="170" fontId="150" fillId="21" borderId="27" xfId="93" applyNumberFormat="1" applyFont="1" applyFill="1" applyBorder="1" applyAlignment="1">
      <alignment horizontal="center" wrapText="1"/>
    </xf>
    <xf numFmtId="170" fontId="150" fillId="0" borderId="3" xfId="93" applyNumberFormat="1" applyFont="1" applyBorder="1" applyAlignment="1">
      <alignment horizontal="center" wrapText="1"/>
    </xf>
    <xf numFmtId="170" fontId="28" fillId="0" borderId="7" xfId="93" applyNumberFormat="1" applyFont="1" applyBorder="1" applyAlignment="1">
      <alignment horizontal="center"/>
    </xf>
    <xf numFmtId="0" fontId="28" fillId="0" borderId="15" xfId="93" applyFont="1" applyBorder="1" applyAlignment="1">
      <alignment horizontal="center"/>
    </xf>
    <xf numFmtId="0" fontId="28" fillId="0" borderId="37" xfId="93" applyFont="1" applyBorder="1" applyAlignment="1">
      <alignment horizontal="center"/>
    </xf>
    <xf numFmtId="0" fontId="28" fillId="0" borderId="6" xfId="93" applyFont="1" applyBorder="1" applyAlignment="1">
      <alignment horizontal="center"/>
    </xf>
    <xf numFmtId="170" fontId="28" fillId="0" borderId="36" xfId="93" applyNumberFormat="1" applyFont="1" applyBorder="1" applyAlignment="1">
      <alignment horizontal="center" wrapText="1"/>
    </xf>
    <xf numFmtId="170" fontId="28" fillId="0" borderId="7" xfId="93" applyNumberFormat="1" applyFont="1" applyBorder="1" applyAlignment="1">
      <alignment horizontal="center" wrapText="1"/>
    </xf>
    <xf numFmtId="170" fontId="28" fillId="0" borderId="37" xfId="93" applyNumberFormat="1" applyFont="1" applyBorder="1" applyAlignment="1">
      <alignment horizontal="center" wrapText="1"/>
    </xf>
    <xf numFmtId="170" fontId="25" fillId="0" borderId="15" xfId="93" applyNumberFormat="1" applyFont="1" applyBorder="1" applyAlignment="1">
      <alignment horizontal="center" wrapText="1"/>
    </xf>
    <xf numFmtId="170" fontId="25" fillId="0" borderId="37" xfId="93" applyNumberFormat="1" applyFont="1" applyBorder="1" applyAlignment="1">
      <alignment horizontal="center" wrapText="1"/>
    </xf>
    <xf numFmtId="170" fontId="25" fillId="0" borderId="37" xfId="93" applyNumberFormat="1" applyFont="1" applyBorder="1" applyAlignment="1">
      <alignment horizontal="center"/>
    </xf>
    <xf numFmtId="0" fontId="82" fillId="29" borderId="45" xfId="266" applyFont="1" applyFill="1" applyBorder="1" applyAlignment="1">
      <alignment horizontal="center" wrapText="1"/>
    </xf>
    <xf numFmtId="0" fontId="72" fillId="29" borderId="52" xfId="266" applyFont="1" applyFill="1" applyBorder="1" applyAlignment="1">
      <alignment horizontal="center" vertical="center" wrapText="1"/>
    </xf>
    <xf numFmtId="0" fontId="72" fillId="29" borderId="55" xfId="266" applyFont="1" applyFill="1" applyBorder="1" applyAlignment="1">
      <alignment horizontal="center" vertical="center" wrapText="1"/>
    </xf>
    <xf numFmtId="0" fontId="66" fillId="22" borderId="0" xfId="266" applyFont="1" applyFill="1" applyAlignment="1">
      <alignment horizontal="center"/>
    </xf>
  </cellXfs>
  <cellStyles count="29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Campo de la tabla dinámica" xfId="13" xr:uid="{00000000-0005-0000-0000-00000C000000}"/>
    <cellStyle name="Categoría de la tabla dinámica" xfId="14" xr:uid="{00000000-0005-0000-0000-00000D000000}"/>
    <cellStyle name="Comma 2" xfId="15" xr:uid="{00000000-0005-0000-0000-00000E000000}"/>
    <cellStyle name="Comma 3" xfId="16" xr:uid="{00000000-0005-0000-0000-00000F000000}"/>
    <cellStyle name="Comma 3 10" xfId="17" xr:uid="{00000000-0005-0000-0000-000010000000}"/>
    <cellStyle name="Comma 3 11" xfId="18" xr:uid="{00000000-0005-0000-0000-000011000000}"/>
    <cellStyle name="Comma 3 2" xfId="19" xr:uid="{00000000-0005-0000-0000-000012000000}"/>
    <cellStyle name="Comma 3 2 2" xfId="20" xr:uid="{00000000-0005-0000-0000-000013000000}"/>
    <cellStyle name="Comma 3 2 2 2" xfId="21" xr:uid="{00000000-0005-0000-0000-000014000000}"/>
    <cellStyle name="Comma 3 2 2 3" xfId="22" xr:uid="{00000000-0005-0000-0000-000015000000}"/>
    <cellStyle name="Comma 3 2 2 4" xfId="23" xr:uid="{00000000-0005-0000-0000-000016000000}"/>
    <cellStyle name="Comma 3 2 2 5" xfId="24" xr:uid="{00000000-0005-0000-0000-000017000000}"/>
    <cellStyle name="Comma 3 2 2 6" xfId="25" xr:uid="{00000000-0005-0000-0000-000018000000}"/>
    <cellStyle name="Comma 3 2 2 7" xfId="26" xr:uid="{00000000-0005-0000-0000-000019000000}"/>
    <cellStyle name="Comma 3 2 2 8" xfId="27" xr:uid="{00000000-0005-0000-0000-00001A000000}"/>
    <cellStyle name="Comma 3 2 3" xfId="28" xr:uid="{00000000-0005-0000-0000-00001B000000}"/>
    <cellStyle name="Comma 3 2 4" xfId="29" xr:uid="{00000000-0005-0000-0000-00001C000000}"/>
    <cellStyle name="Comma 3 2 5" xfId="30" xr:uid="{00000000-0005-0000-0000-00001D000000}"/>
    <cellStyle name="Comma 3 2 6" xfId="31" xr:uid="{00000000-0005-0000-0000-00001E000000}"/>
    <cellStyle name="Comma 3 2 7" xfId="32" xr:uid="{00000000-0005-0000-0000-00001F000000}"/>
    <cellStyle name="Comma 3 2 8" xfId="33" xr:uid="{00000000-0005-0000-0000-000020000000}"/>
    <cellStyle name="Comma 3 2 9" xfId="34" xr:uid="{00000000-0005-0000-0000-000021000000}"/>
    <cellStyle name="Comma 3 2_RECIBO E IGSS ECONACIONAL" xfId="35" xr:uid="{00000000-0005-0000-0000-000022000000}"/>
    <cellStyle name="Comma 3 3" xfId="36" xr:uid="{00000000-0005-0000-0000-000023000000}"/>
    <cellStyle name="Comma 3 3 2" xfId="37" xr:uid="{00000000-0005-0000-0000-000024000000}"/>
    <cellStyle name="Comma 3 3 3" xfId="38" xr:uid="{00000000-0005-0000-0000-000025000000}"/>
    <cellStyle name="Comma 3 3 4" xfId="39" xr:uid="{00000000-0005-0000-0000-000026000000}"/>
    <cellStyle name="Comma 3 3 5" xfId="40" xr:uid="{00000000-0005-0000-0000-000027000000}"/>
    <cellStyle name="Comma 3 3 6" xfId="41" xr:uid="{00000000-0005-0000-0000-000028000000}"/>
    <cellStyle name="Comma 3 3 7" xfId="42" xr:uid="{00000000-0005-0000-0000-000029000000}"/>
    <cellStyle name="Comma 3 3 8" xfId="43" xr:uid="{00000000-0005-0000-0000-00002A000000}"/>
    <cellStyle name="Comma 3 4" xfId="44" xr:uid="{00000000-0005-0000-0000-00002B000000}"/>
    <cellStyle name="Comma 3 4 2" xfId="45" xr:uid="{00000000-0005-0000-0000-00002C000000}"/>
    <cellStyle name="Comma 3 4 3" xfId="46" xr:uid="{00000000-0005-0000-0000-00002D000000}"/>
    <cellStyle name="Comma 3 4 4" xfId="47" xr:uid="{00000000-0005-0000-0000-00002E000000}"/>
    <cellStyle name="Comma 3 4 5" xfId="48" xr:uid="{00000000-0005-0000-0000-00002F000000}"/>
    <cellStyle name="Comma 3 5" xfId="49" xr:uid="{00000000-0005-0000-0000-000030000000}"/>
    <cellStyle name="Comma 3 6" xfId="50" xr:uid="{00000000-0005-0000-0000-000031000000}"/>
    <cellStyle name="Comma 3 7" xfId="51" xr:uid="{00000000-0005-0000-0000-000032000000}"/>
    <cellStyle name="Comma 3 8" xfId="52" xr:uid="{00000000-0005-0000-0000-000033000000}"/>
    <cellStyle name="Comma 3 9" xfId="53" xr:uid="{00000000-0005-0000-0000-000034000000}"/>
    <cellStyle name="Comma 3_RECIBO E IGSS ECONACIONAL" xfId="54" xr:uid="{00000000-0005-0000-0000-000035000000}"/>
    <cellStyle name="Comma 4" xfId="55" xr:uid="{00000000-0005-0000-0000-000036000000}"/>
    <cellStyle name="Comma 4 10" xfId="56" xr:uid="{00000000-0005-0000-0000-000037000000}"/>
    <cellStyle name="Comma 4 2" xfId="57" xr:uid="{00000000-0005-0000-0000-000038000000}"/>
    <cellStyle name="Comma 4 2 2" xfId="58" xr:uid="{00000000-0005-0000-0000-000039000000}"/>
    <cellStyle name="Comma 4 2 3" xfId="59" xr:uid="{00000000-0005-0000-0000-00003A000000}"/>
    <cellStyle name="Comma 4 2 4" xfId="60" xr:uid="{00000000-0005-0000-0000-00003B000000}"/>
    <cellStyle name="Comma 4 2 5" xfId="61" xr:uid="{00000000-0005-0000-0000-00003C000000}"/>
    <cellStyle name="Comma 4 2 6" xfId="62" xr:uid="{00000000-0005-0000-0000-00003D000000}"/>
    <cellStyle name="Comma 4 2 7" xfId="63" xr:uid="{00000000-0005-0000-0000-00003E000000}"/>
    <cellStyle name="Comma 4 2 8" xfId="64" xr:uid="{00000000-0005-0000-0000-00003F000000}"/>
    <cellStyle name="Comma 4 3" xfId="65" xr:uid="{00000000-0005-0000-0000-000040000000}"/>
    <cellStyle name="Comma 4 4" xfId="66" xr:uid="{00000000-0005-0000-0000-000041000000}"/>
    <cellStyle name="Comma 4 5" xfId="67" xr:uid="{00000000-0005-0000-0000-000042000000}"/>
    <cellStyle name="Comma 4 6" xfId="68" xr:uid="{00000000-0005-0000-0000-000043000000}"/>
    <cellStyle name="Comma 4 7" xfId="69" xr:uid="{00000000-0005-0000-0000-000044000000}"/>
    <cellStyle name="Comma 4 8" xfId="70" xr:uid="{00000000-0005-0000-0000-000045000000}"/>
    <cellStyle name="Comma 4 9" xfId="71" xr:uid="{00000000-0005-0000-0000-000046000000}"/>
    <cellStyle name="Comma 4_RECIBO E IGSS ECONACIONAL" xfId="72" xr:uid="{00000000-0005-0000-0000-000047000000}"/>
    <cellStyle name="Comma 5" xfId="73" xr:uid="{00000000-0005-0000-0000-000048000000}"/>
    <cellStyle name="Comma 5 2" xfId="74" xr:uid="{00000000-0005-0000-0000-000049000000}"/>
    <cellStyle name="Comma 5 3" xfId="75" xr:uid="{00000000-0005-0000-0000-00004A000000}"/>
    <cellStyle name="Comma 5 4" xfId="76" xr:uid="{00000000-0005-0000-0000-00004B000000}"/>
    <cellStyle name="Comma 5 5" xfId="77" xr:uid="{00000000-0005-0000-0000-00004C000000}"/>
    <cellStyle name="Comma 5 6" xfId="78" xr:uid="{00000000-0005-0000-0000-00004D000000}"/>
    <cellStyle name="Comma 6" xfId="79" xr:uid="{00000000-0005-0000-0000-00004E000000}"/>
    <cellStyle name="Comma 6 2" xfId="80" xr:uid="{00000000-0005-0000-0000-00004F000000}"/>
    <cellStyle name="Comma 7" xfId="81" xr:uid="{00000000-0005-0000-0000-000050000000}"/>
    <cellStyle name="Comma 8" xfId="82" xr:uid="{00000000-0005-0000-0000-000051000000}"/>
    <cellStyle name="Currency 2" xfId="83" xr:uid="{00000000-0005-0000-0000-000052000000}"/>
    <cellStyle name="Currency 2 2" xfId="84" xr:uid="{00000000-0005-0000-0000-000053000000}"/>
    <cellStyle name="Currency 2 3" xfId="85" xr:uid="{00000000-0005-0000-0000-000054000000}"/>
    <cellStyle name="Currency 3" xfId="86" xr:uid="{00000000-0005-0000-0000-000055000000}"/>
    <cellStyle name="Currency 3 2" xfId="87" xr:uid="{00000000-0005-0000-0000-000056000000}"/>
    <cellStyle name="Currency 3 3" xfId="88" xr:uid="{00000000-0005-0000-0000-000057000000}"/>
    <cellStyle name="Currency 3 4" xfId="89" xr:uid="{00000000-0005-0000-0000-000058000000}"/>
    <cellStyle name="Currency 4" xfId="90" xr:uid="{00000000-0005-0000-0000-000059000000}"/>
    <cellStyle name="Currency 5" xfId="91" xr:uid="{00000000-0005-0000-0000-00005A000000}"/>
    <cellStyle name="Esquina de la tabla dinámica" xfId="92" xr:uid="{00000000-0005-0000-0000-00005B000000}"/>
    <cellStyle name="Excel Built-in Normal" xfId="93" xr:uid="{00000000-0005-0000-0000-00005C000000}"/>
    <cellStyle name="Millares" xfId="94" builtinId="3"/>
    <cellStyle name="Millares 2" xfId="95" xr:uid="{00000000-0005-0000-0000-00005E000000}"/>
    <cellStyle name="Millares 2 2" xfId="96" xr:uid="{00000000-0005-0000-0000-00005F000000}"/>
    <cellStyle name="Millares 2 2 2" xfId="97" xr:uid="{00000000-0005-0000-0000-000060000000}"/>
    <cellStyle name="Millares 2 2 2 2" xfId="98" xr:uid="{00000000-0005-0000-0000-000061000000}"/>
    <cellStyle name="Millares 2 2 3" xfId="99" xr:uid="{00000000-0005-0000-0000-000062000000}"/>
    <cellStyle name="Millares 2 2 3 2" xfId="100" xr:uid="{00000000-0005-0000-0000-000063000000}"/>
    <cellStyle name="Millares 2 2 4" xfId="101" xr:uid="{00000000-0005-0000-0000-000064000000}"/>
    <cellStyle name="Millares 2 3" xfId="102" xr:uid="{00000000-0005-0000-0000-000065000000}"/>
    <cellStyle name="Millares 2 3 2" xfId="103" xr:uid="{00000000-0005-0000-0000-000066000000}"/>
    <cellStyle name="Millares 2 4" xfId="104" xr:uid="{00000000-0005-0000-0000-000067000000}"/>
    <cellStyle name="Millares 2 4 2" xfId="105" xr:uid="{00000000-0005-0000-0000-000068000000}"/>
    <cellStyle name="Millares 2 5" xfId="106" xr:uid="{00000000-0005-0000-0000-000069000000}"/>
    <cellStyle name="Millares 2 5 2" xfId="107" xr:uid="{00000000-0005-0000-0000-00006A000000}"/>
    <cellStyle name="Millares 3" xfId="108" xr:uid="{00000000-0005-0000-0000-00006B000000}"/>
    <cellStyle name="Millares 4" xfId="267" xr:uid="{00000000-0005-0000-0000-00006C000000}"/>
    <cellStyle name="Millares 4 2" xfId="274" xr:uid="{00000000-0005-0000-0000-00006D000000}"/>
    <cellStyle name="Millares 4 2 2" xfId="289" xr:uid="{00000000-0005-0000-0000-00006E000000}"/>
    <cellStyle name="Millares 4 3" xfId="282" xr:uid="{00000000-0005-0000-0000-00006F000000}"/>
    <cellStyle name="Moneda" xfId="109" builtinId="4"/>
    <cellStyle name="Moneda 2" xfId="110" xr:uid="{00000000-0005-0000-0000-000071000000}"/>
    <cellStyle name="Moneda 2 2" xfId="111" xr:uid="{00000000-0005-0000-0000-000072000000}"/>
    <cellStyle name="Moneda 2 3" xfId="112" xr:uid="{00000000-0005-0000-0000-000073000000}"/>
    <cellStyle name="Moneda 2 4" xfId="113" xr:uid="{00000000-0005-0000-0000-000074000000}"/>
    <cellStyle name="Moneda 3" xfId="114" xr:uid="{00000000-0005-0000-0000-000075000000}"/>
    <cellStyle name="Moneda 3 2" xfId="115" xr:uid="{00000000-0005-0000-0000-000076000000}"/>
    <cellStyle name="Moneda 4" xfId="116" xr:uid="{00000000-0005-0000-0000-000077000000}"/>
    <cellStyle name="Moneda 5" xfId="117" xr:uid="{00000000-0005-0000-0000-000078000000}"/>
    <cellStyle name="Moneda 5 2" xfId="118" xr:uid="{00000000-0005-0000-0000-000079000000}"/>
    <cellStyle name="Moneda 6" xfId="119" xr:uid="{00000000-0005-0000-0000-00007A000000}"/>
    <cellStyle name="Moneda 6 2" xfId="120" xr:uid="{00000000-0005-0000-0000-00007B000000}"/>
    <cellStyle name="Moneda 7" xfId="121" xr:uid="{00000000-0005-0000-0000-00007C000000}"/>
    <cellStyle name="Normal" xfId="0" builtinId="0"/>
    <cellStyle name="Normal 10" xfId="122" xr:uid="{00000000-0005-0000-0000-00007E000000}"/>
    <cellStyle name="Normal 10 2" xfId="123" xr:uid="{00000000-0005-0000-0000-00007F000000}"/>
    <cellStyle name="Normal 10 3" xfId="124" xr:uid="{00000000-0005-0000-0000-000080000000}"/>
    <cellStyle name="Normal 11" xfId="125" xr:uid="{00000000-0005-0000-0000-000081000000}"/>
    <cellStyle name="Normal 12" xfId="126" xr:uid="{00000000-0005-0000-0000-000082000000}"/>
    <cellStyle name="Normal 13" xfId="266" xr:uid="{00000000-0005-0000-0000-000083000000}"/>
    <cellStyle name="Normal 13 2" xfId="269" xr:uid="{00000000-0005-0000-0000-000084000000}"/>
    <cellStyle name="Normal 13 2 2" xfId="276" xr:uid="{00000000-0005-0000-0000-000085000000}"/>
    <cellStyle name="Normal 13 2 2 2" xfId="291" xr:uid="{00000000-0005-0000-0000-000086000000}"/>
    <cellStyle name="Normal 13 2 3" xfId="280" xr:uid="{00000000-0005-0000-0000-000087000000}"/>
    <cellStyle name="Normal 13 2 3 2" xfId="295" xr:uid="{00000000-0005-0000-0000-000088000000}"/>
    <cellStyle name="Normal 13 2 4" xfId="284" xr:uid="{00000000-0005-0000-0000-000089000000}"/>
    <cellStyle name="Normal 13 3" xfId="273" xr:uid="{00000000-0005-0000-0000-00008A000000}"/>
    <cellStyle name="Normal 13 3 2" xfId="288" xr:uid="{00000000-0005-0000-0000-00008B000000}"/>
    <cellStyle name="Normal 13 4" xfId="281" xr:uid="{00000000-0005-0000-0000-00008C000000}"/>
    <cellStyle name="Normal 14" xfId="268" xr:uid="{00000000-0005-0000-0000-00008D000000}"/>
    <cellStyle name="Normal 14 2" xfId="275" xr:uid="{00000000-0005-0000-0000-00008E000000}"/>
    <cellStyle name="Normal 14 2 2" xfId="290" xr:uid="{00000000-0005-0000-0000-00008F000000}"/>
    <cellStyle name="Normal 14 3" xfId="283" xr:uid="{00000000-0005-0000-0000-000090000000}"/>
    <cellStyle name="Normal 15" xfId="270" xr:uid="{00000000-0005-0000-0000-000091000000}"/>
    <cellStyle name="Normal 15 2" xfId="277" xr:uid="{00000000-0005-0000-0000-000092000000}"/>
    <cellStyle name="Normal 15 2 2" xfId="292" xr:uid="{00000000-0005-0000-0000-000093000000}"/>
    <cellStyle name="Normal 15 3" xfId="285" xr:uid="{00000000-0005-0000-0000-000094000000}"/>
    <cellStyle name="Normal 16" xfId="271" xr:uid="{00000000-0005-0000-0000-000095000000}"/>
    <cellStyle name="Normal 16 2" xfId="278" xr:uid="{00000000-0005-0000-0000-000096000000}"/>
    <cellStyle name="Normal 16 2 2" xfId="293" xr:uid="{00000000-0005-0000-0000-000097000000}"/>
    <cellStyle name="Normal 16 3" xfId="286" xr:uid="{00000000-0005-0000-0000-000098000000}"/>
    <cellStyle name="Normal 17" xfId="272" xr:uid="{00000000-0005-0000-0000-000099000000}"/>
    <cellStyle name="Normal 17 2" xfId="279" xr:uid="{00000000-0005-0000-0000-00009A000000}"/>
    <cellStyle name="Normal 17 2 2" xfId="294" xr:uid="{00000000-0005-0000-0000-00009B000000}"/>
    <cellStyle name="Normal 17 3" xfId="287" xr:uid="{00000000-0005-0000-0000-00009C000000}"/>
    <cellStyle name="Normal 2" xfId="127" xr:uid="{00000000-0005-0000-0000-00009D000000}"/>
    <cellStyle name="Normal 2 2" xfId="128" xr:uid="{00000000-0005-0000-0000-00009E000000}"/>
    <cellStyle name="Normal 2 2 2" xfId="129" xr:uid="{00000000-0005-0000-0000-00009F000000}"/>
    <cellStyle name="Normal 2 3" xfId="130" xr:uid="{00000000-0005-0000-0000-0000A0000000}"/>
    <cellStyle name="Normal 2 3 2" xfId="131" xr:uid="{00000000-0005-0000-0000-0000A1000000}"/>
    <cellStyle name="Normal 2 4" xfId="132" xr:uid="{00000000-0005-0000-0000-0000A2000000}"/>
    <cellStyle name="Normal 2 4 2" xfId="133" xr:uid="{00000000-0005-0000-0000-0000A3000000}"/>
    <cellStyle name="Normal 2 5" xfId="134" xr:uid="{00000000-0005-0000-0000-0000A4000000}"/>
    <cellStyle name="Normal 2 5 2" xfId="135" xr:uid="{00000000-0005-0000-0000-0000A5000000}"/>
    <cellStyle name="Normal 2 6" xfId="136" xr:uid="{00000000-0005-0000-0000-0000A6000000}"/>
    <cellStyle name="Normal 2 7" xfId="137" xr:uid="{00000000-0005-0000-0000-0000A7000000}"/>
    <cellStyle name="Normal 3" xfId="138" xr:uid="{00000000-0005-0000-0000-0000A8000000}"/>
    <cellStyle name="Normal 3 2" xfId="139" xr:uid="{00000000-0005-0000-0000-0000A9000000}"/>
    <cellStyle name="Normal 3 3" xfId="140" xr:uid="{00000000-0005-0000-0000-0000AA000000}"/>
    <cellStyle name="Normal 3 4" xfId="141" xr:uid="{00000000-0005-0000-0000-0000AB000000}"/>
    <cellStyle name="Normal 4" xfId="142" xr:uid="{00000000-0005-0000-0000-0000AC000000}"/>
    <cellStyle name="Normal 4 2" xfId="143" xr:uid="{00000000-0005-0000-0000-0000AD000000}"/>
    <cellStyle name="Normal 4 2 2" xfId="144" xr:uid="{00000000-0005-0000-0000-0000AE000000}"/>
    <cellStyle name="Normal 4 2 2 2" xfId="145" xr:uid="{00000000-0005-0000-0000-0000AF000000}"/>
    <cellStyle name="Normal 4 2 2 3" xfId="146" xr:uid="{00000000-0005-0000-0000-0000B0000000}"/>
    <cellStyle name="Normal 4 2 2 4" xfId="147" xr:uid="{00000000-0005-0000-0000-0000B1000000}"/>
    <cellStyle name="Normal 4 2 3" xfId="148" xr:uid="{00000000-0005-0000-0000-0000B2000000}"/>
    <cellStyle name="Normal 4 2 3 2" xfId="149" xr:uid="{00000000-0005-0000-0000-0000B3000000}"/>
    <cellStyle name="Normal 4 2 3 3" xfId="150" xr:uid="{00000000-0005-0000-0000-0000B4000000}"/>
    <cellStyle name="Normal 4 2 4" xfId="151" xr:uid="{00000000-0005-0000-0000-0000B5000000}"/>
    <cellStyle name="Normal 4 2 5" xfId="152" xr:uid="{00000000-0005-0000-0000-0000B6000000}"/>
    <cellStyle name="Normal 4 2 6" xfId="153" xr:uid="{00000000-0005-0000-0000-0000B7000000}"/>
    <cellStyle name="Normal 4 2 7" xfId="154" xr:uid="{00000000-0005-0000-0000-0000B8000000}"/>
    <cellStyle name="Normal 4 3" xfId="155" xr:uid="{00000000-0005-0000-0000-0000B9000000}"/>
    <cellStyle name="Normal 4 3 2" xfId="156" xr:uid="{00000000-0005-0000-0000-0000BA000000}"/>
    <cellStyle name="Normal 4 4" xfId="157" xr:uid="{00000000-0005-0000-0000-0000BB000000}"/>
    <cellStyle name="Normal 4 4 2" xfId="158" xr:uid="{00000000-0005-0000-0000-0000BC000000}"/>
    <cellStyle name="Normal 4 5" xfId="159" xr:uid="{00000000-0005-0000-0000-0000BD000000}"/>
    <cellStyle name="Normal 5" xfId="160" xr:uid="{00000000-0005-0000-0000-0000BE000000}"/>
    <cellStyle name="Normal 5 2" xfId="161" xr:uid="{00000000-0005-0000-0000-0000BF000000}"/>
    <cellStyle name="Normal 5 3" xfId="162" xr:uid="{00000000-0005-0000-0000-0000C0000000}"/>
    <cellStyle name="Normal 6" xfId="163" xr:uid="{00000000-0005-0000-0000-0000C1000000}"/>
    <cellStyle name="Normal 6 10" xfId="164" xr:uid="{00000000-0005-0000-0000-0000C2000000}"/>
    <cellStyle name="Normal 6 11" xfId="165" xr:uid="{00000000-0005-0000-0000-0000C3000000}"/>
    <cellStyle name="Normal 6 12" xfId="166" xr:uid="{00000000-0005-0000-0000-0000C4000000}"/>
    <cellStyle name="Normal 6 2" xfId="167" xr:uid="{00000000-0005-0000-0000-0000C5000000}"/>
    <cellStyle name="Normal 6 2 10" xfId="168" xr:uid="{00000000-0005-0000-0000-0000C6000000}"/>
    <cellStyle name="Normal 6 2 11" xfId="169" xr:uid="{00000000-0005-0000-0000-0000C7000000}"/>
    <cellStyle name="Normal 6 2 2" xfId="170" xr:uid="{00000000-0005-0000-0000-0000C8000000}"/>
    <cellStyle name="Normal 6 2 2 2" xfId="171" xr:uid="{00000000-0005-0000-0000-0000C9000000}"/>
    <cellStyle name="Normal 6 2 2 3" xfId="172" xr:uid="{00000000-0005-0000-0000-0000CA000000}"/>
    <cellStyle name="Normal 6 2 2 4" xfId="173" xr:uid="{00000000-0005-0000-0000-0000CB000000}"/>
    <cellStyle name="Normal 6 2 2 5" xfId="174" xr:uid="{00000000-0005-0000-0000-0000CC000000}"/>
    <cellStyle name="Normal 6 2 2 6" xfId="175" xr:uid="{00000000-0005-0000-0000-0000CD000000}"/>
    <cellStyle name="Normal 6 2 2 7" xfId="176" xr:uid="{00000000-0005-0000-0000-0000CE000000}"/>
    <cellStyle name="Normal 6 2 2 8" xfId="177" xr:uid="{00000000-0005-0000-0000-0000CF000000}"/>
    <cellStyle name="Normal 6 2 3" xfId="178" xr:uid="{00000000-0005-0000-0000-0000D0000000}"/>
    <cellStyle name="Normal 6 2 3 2" xfId="179" xr:uid="{00000000-0005-0000-0000-0000D1000000}"/>
    <cellStyle name="Normal 6 2 4" xfId="180" xr:uid="{00000000-0005-0000-0000-0000D2000000}"/>
    <cellStyle name="Normal 6 2 5" xfId="181" xr:uid="{00000000-0005-0000-0000-0000D3000000}"/>
    <cellStyle name="Normal 6 2 6" xfId="182" xr:uid="{00000000-0005-0000-0000-0000D4000000}"/>
    <cellStyle name="Normal 6 2 7" xfId="183" xr:uid="{00000000-0005-0000-0000-0000D5000000}"/>
    <cellStyle name="Normal 6 2 8" xfId="184" xr:uid="{00000000-0005-0000-0000-0000D6000000}"/>
    <cellStyle name="Normal 6 2 9" xfId="185" xr:uid="{00000000-0005-0000-0000-0000D7000000}"/>
    <cellStyle name="Normal 6 3" xfId="186" xr:uid="{00000000-0005-0000-0000-0000D8000000}"/>
    <cellStyle name="Normal 6 3 2" xfId="187" xr:uid="{00000000-0005-0000-0000-0000D9000000}"/>
    <cellStyle name="Normal 6 3 3" xfId="188" xr:uid="{00000000-0005-0000-0000-0000DA000000}"/>
    <cellStyle name="Normal 6 3 4" xfId="189" xr:uid="{00000000-0005-0000-0000-0000DB000000}"/>
    <cellStyle name="Normal 6 3 5" xfId="190" xr:uid="{00000000-0005-0000-0000-0000DC000000}"/>
    <cellStyle name="Normal 6 3 6" xfId="191" xr:uid="{00000000-0005-0000-0000-0000DD000000}"/>
    <cellStyle name="Normal 6 3 7" xfId="192" xr:uid="{00000000-0005-0000-0000-0000DE000000}"/>
    <cellStyle name="Normal 6 3 8" xfId="193" xr:uid="{00000000-0005-0000-0000-0000DF000000}"/>
    <cellStyle name="Normal 6 4" xfId="194" xr:uid="{00000000-0005-0000-0000-0000E0000000}"/>
    <cellStyle name="Normal 6 4 2" xfId="195" xr:uid="{00000000-0005-0000-0000-0000E1000000}"/>
    <cellStyle name="Normal 6 4 3" xfId="196" xr:uid="{00000000-0005-0000-0000-0000E2000000}"/>
    <cellStyle name="Normal 6 4 4" xfId="197" xr:uid="{00000000-0005-0000-0000-0000E3000000}"/>
    <cellStyle name="Normal 6 4 5" xfId="198" xr:uid="{00000000-0005-0000-0000-0000E4000000}"/>
    <cellStyle name="Normal 6 5" xfId="199" xr:uid="{00000000-0005-0000-0000-0000E5000000}"/>
    <cellStyle name="Normal 6 6" xfId="200" xr:uid="{00000000-0005-0000-0000-0000E6000000}"/>
    <cellStyle name="Normal 6 7" xfId="201" xr:uid="{00000000-0005-0000-0000-0000E7000000}"/>
    <cellStyle name="Normal 6 8" xfId="202" xr:uid="{00000000-0005-0000-0000-0000E8000000}"/>
    <cellStyle name="Normal 6 9" xfId="203" xr:uid="{00000000-0005-0000-0000-0000E9000000}"/>
    <cellStyle name="Normal 7" xfId="204" xr:uid="{00000000-0005-0000-0000-0000EA000000}"/>
    <cellStyle name="Normal 7 10" xfId="205" xr:uid="{00000000-0005-0000-0000-0000EB000000}"/>
    <cellStyle name="Normal 7 11" xfId="206" xr:uid="{00000000-0005-0000-0000-0000EC000000}"/>
    <cellStyle name="Normal 7 12" xfId="207" xr:uid="{00000000-0005-0000-0000-0000ED000000}"/>
    <cellStyle name="Normal 7 2" xfId="208" xr:uid="{00000000-0005-0000-0000-0000EE000000}"/>
    <cellStyle name="Normal 7 2 2" xfId="209" xr:uid="{00000000-0005-0000-0000-0000EF000000}"/>
    <cellStyle name="Normal 7 2 3" xfId="210" xr:uid="{00000000-0005-0000-0000-0000F0000000}"/>
    <cellStyle name="Normal 7 2 4" xfId="211" xr:uid="{00000000-0005-0000-0000-0000F1000000}"/>
    <cellStyle name="Normal 7 2 5" xfId="212" xr:uid="{00000000-0005-0000-0000-0000F2000000}"/>
    <cellStyle name="Normal 7 2 6" xfId="213" xr:uid="{00000000-0005-0000-0000-0000F3000000}"/>
    <cellStyle name="Normal 7 2 7" xfId="214" xr:uid="{00000000-0005-0000-0000-0000F4000000}"/>
    <cellStyle name="Normal 7 2 8" xfId="215" xr:uid="{00000000-0005-0000-0000-0000F5000000}"/>
    <cellStyle name="Normal 7 2 9" xfId="216" xr:uid="{00000000-0005-0000-0000-0000F6000000}"/>
    <cellStyle name="Normal 7 3" xfId="217" xr:uid="{00000000-0005-0000-0000-0000F7000000}"/>
    <cellStyle name="Normal 7 3 2" xfId="218" xr:uid="{00000000-0005-0000-0000-0000F8000000}"/>
    <cellStyle name="Normal 7 4" xfId="219" xr:uid="{00000000-0005-0000-0000-0000F9000000}"/>
    <cellStyle name="Normal 7 4 2" xfId="220" xr:uid="{00000000-0005-0000-0000-0000FA000000}"/>
    <cellStyle name="Normal 7 5" xfId="221" xr:uid="{00000000-0005-0000-0000-0000FB000000}"/>
    <cellStyle name="Normal 7 6" xfId="222" xr:uid="{00000000-0005-0000-0000-0000FC000000}"/>
    <cellStyle name="Normal 7 7" xfId="223" xr:uid="{00000000-0005-0000-0000-0000FD000000}"/>
    <cellStyle name="Normal 7 8" xfId="224" xr:uid="{00000000-0005-0000-0000-0000FE000000}"/>
    <cellStyle name="Normal 7 9" xfId="225" xr:uid="{00000000-0005-0000-0000-0000FF000000}"/>
    <cellStyle name="Normal 8" xfId="226" xr:uid="{00000000-0005-0000-0000-000000010000}"/>
    <cellStyle name="Normal 8 2" xfId="227" xr:uid="{00000000-0005-0000-0000-000001010000}"/>
    <cellStyle name="Normal 8 3" xfId="228" xr:uid="{00000000-0005-0000-0000-000002010000}"/>
    <cellStyle name="Normal 8 4" xfId="229" xr:uid="{00000000-0005-0000-0000-000003010000}"/>
    <cellStyle name="Normal 8 5" xfId="230" xr:uid="{00000000-0005-0000-0000-000004010000}"/>
    <cellStyle name="Normal 8 6" xfId="231" xr:uid="{00000000-0005-0000-0000-000005010000}"/>
    <cellStyle name="Normal 8 7" xfId="232" xr:uid="{00000000-0005-0000-0000-000006010000}"/>
    <cellStyle name="Normal 8 8" xfId="233" xr:uid="{00000000-0005-0000-0000-000007010000}"/>
    <cellStyle name="Normal 8 9" xfId="234" xr:uid="{00000000-0005-0000-0000-000008010000}"/>
    <cellStyle name="Normal 9" xfId="235" xr:uid="{00000000-0005-0000-0000-000009010000}"/>
    <cellStyle name="Normal 9 2" xfId="236" xr:uid="{00000000-0005-0000-0000-00000A010000}"/>
    <cellStyle name="Normal 9 3" xfId="237" xr:uid="{00000000-0005-0000-0000-00000B010000}"/>
    <cellStyle name="Normal 9 4" xfId="238" xr:uid="{00000000-0005-0000-0000-00000C010000}"/>
    <cellStyle name="Normal 9 5" xfId="239" xr:uid="{00000000-0005-0000-0000-00000D010000}"/>
    <cellStyle name="Note 2" xfId="240" xr:uid="{00000000-0005-0000-0000-00000E010000}"/>
    <cellStyle name="Note 2 2" xfId="241" xr:uid="{00000000-0005-0000-0000-00000F010000}"/>
    <cellStyle name="Note 2 2 2" xfId="242" xr:uid="{00000000-0005-0000-0000-000010010000}"/>
    <cellStyle name="Note 2 2 3" xfId="243" xr:uid="{00000000-0005-0000-0000-000011010000}"/>
    <cellStyle name="Note 2 2 4" xfId="244" xr:uid="{00000000-0005-0000-0000-000012010000}"/>
    <cellStyle name="Note 2 2 5" xfId="245" xr:uid="{00000000-0005-0000-0000-000013010000}"/>
    <cellStyle name="Note 2 2 6" xfId="246" xr:uid="{00000000-0005-0000-0000-000014010000}"/>
    <cellStyle name="Note 2 2 7" xfId="247" xr:uid="{00000000-0005-0000-0000-000015010000}"/>
    <cellStyle name="Note 2 3" xfId="248" xr:uid="{00000000-0005-0000-0000-000016010000}"/>
    <cellStyle name="Percent 2" xfId="249" xr:uid="{00000000-0005-0000-0000-000017010000}"/>
    <cellStyle name="Percent 3" xfId="250" xr:uid="{00000000-0005-0000-0000-000018010000}"/>
    <cellStyle name="Percent 3 2" xfId="251" xr:uid="{00000000-0005-0000-0000-000019010000}"/>
    <cellStyle name="Percent 3 3" xfId="252" xr:uid="{00000000-0005-0000-0000-00001A010000}"/>
    <cellStyle name="Percent 3 4" xfId="253" xr:uid="{00000000-0005-0000-0000-00001B010000}"/>
    <cellStyle name="Percent 3 5" xfId="254" xr:uid="{00000000-0005-0000-0000-00001C010000}"/>
    <cellStyle name="Percent 3 6" xfId="255" xr:uid="{00000000-0005-0000-0000-00001D010000}"/>
    <cellStyle name="Percent 4" xfId="256" xr:uid="{00000000-0005-0000-0000-00001E010000}"/>
    <cellStyle name="Porcentaje" xfId="257" builtinId="5"/>
    <cellStyle name="Porcentual 2" xfId="258" xr:uid="{00000000-0005-0000-0000-000020010000}"/>
    <cellStyle name="Porcentual 2 2" xfId="259" xr:uid="{00000000-0005-0000-0000-000021010000}"/>
    <cellStyle name="Porcentual 2 2 2" xfId="260" xr:uid="{00000000-0005-0000-0000-000022010000}"/>
    <cellStyle name="Porcentual 2 3" xfId="261" xr:uid="{00000000-0005-0000-0000-000023010000}"/>
    <cellStyle name="Porcentual 2 3 2" xfId="262" xr:uid="{00000000-0005-0000-0000-000024010000}"/>
    <cellStyle name="Resultado de la tabla dinámica" xfId="263" xr:uid="{00000000-0005-0000-0000-000025010000}"/>
    <cellStyle name="Título de la tabla dinámica" xfId="264" xr:uid="{00000000-0005-0000-0000-000026010000}"/>
    <cellStyle name="Valor de la tabla dinámica" xfId="265" xr:uid="{00000000-0005-0000-0000-000027010000}"/>
  </cellStyles>
  <dxfs count="7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558ED5"/>
      <rgbColor rgb="009999FF"/>
      <rgbColor rgb="00993366"/>
      <rgbColor rgb="00EBF1DE"/>
      <rgbColor rgb="00DCE6F2"/>
      <rgbColor rgb="00660066"/>
      <rgbColor rgb="00FF7C80"/>
      <rgbColor rgb="000066CC"/>
      <rgbColor rgb="00CCCCFF"/>
      <rgbColor rgb="00000080"/>
      <rgbColor rgb="00FF00FF"/>
      <rgbColor rgb="00FFFF00"/>
      <rgbColor rgb="0000FFFF"/>
      <rgbColor rgb="00800080"/>
      <rgbColor rgb="00800000"/>
      <rgbColor rgb="00008080"/>
      <rgbColor rgb="000000FF"/>
      <rgbColor rgb="0000CCFF"/>
      <rgbColor rgb="0099FFFF"/>
      <rgbColor rgb="00CCFFCC"/>
      <rgbColor rgb="00FFFF99"/>
      <rgbColor rgb="0099CCFF"/>
      <rgbColor rgb="00FF99CC"/>
      <rgbColor rgb="00CC99FF"/>
      <rgbColor rgb="00FAC090"/>
      <rgbColor rgb="003366FF"/>
      <rgbColor rgb="0033CCCC"/>
      <rgbColor rgb="0092D050"/>
      <rgbColor rgb="00FFC000"/>
      <rgbColor rgb="00FF9900"/>
      <rgbColor rgb="00E46C0A"/>
      <rgbColor rgb="00376092"/>
      <rgbColor rgb="00A6A6A6"/>
      <rgbColor rgb="00003366"/>
      <rgbColor rgb="0000B050"/>
      <rgbColor rgb="00003300"/>
      <rgbColor rgb="001C1C1C"/>
      <rgbColor rgb="00993300"/>
      <rgbColor rgb="00993366"/>
      <rgbColor rgb="00333399"/>
      <rgbColor rgb="00333333"/>
    </indexedColors>
    <mruColors>
      <color rgb="FF0000FF"/>
      <color rgb="FFFFFFCC"/>
      <color rgb="FFFB31C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56</xdr:col>
      <xdr:colOff>95558</xdr:colOff>
      <xdr:row>320</xdr:row>
      <xdr:rowOff>128561</xdr:rowOff>
    </xdr:from>
    <xdr:to>
      <xdr:col>61</xdr:col>
      <xdr:colOff>204362</xdr:colOff>
      <xdr:row>322</xdr:row>
      <xdr:rowOff>5327</xdr:rowOff>
    </xdr:to>
    <xdr:pic>
      <xdr:nvPicPr>
        <xdr:cNvPr id="4" name="Imagen 6">
          <a:extLst>
            <a:ext uri="{FF2B5EF4-FFF2-40B4-BE49-F238E27FC236}">
              <a16:creationId xmlns:a16="http://schemas.microsoft.com/office/drawing/2014/main" id="{518EDE7D-05CA-487B-BB21-19A38A864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963398" y="56051741"/>
          <a:ext cx="4421724" cy="227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64</xdr:col>
      <xdr:colOff>783535</xdr:colOff>
      <xdr:row>317</xdr:row>
      <xdr:rowOff>10995</xdr:rowOff>
    </xdr:from>
    <xdr:to>
      <xdr:col>70</xdr:col>
      <xdr:colOff>111833</xdr:colOff>
      <xdr:row>318</xdr:row>
      <xdr:rowOff>63020</xdr:rowOff>
    </xdr:to>
    <xdr:pic>
      <xdr:nvPicPr>
        <xdr:cNvPr id="5" name="Imagen 6">
          <a:extLst>
            <a:ext uri="{FF2B5EF4-FFF2-40B4-BE49-F238E27FC236}">
              <a16:creationId xmlns:a16="http://schemas.microsoft.com/office/drawing/2014/main" id="{B78B5711-59AC-4FCA-B92D-EA0034E7D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87662" y="98781628"/>
          <a:ext cx="4382576" cy="2256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55</xdr:col>
      <xdr:colOff>721075</xdr:colOff>
      <xdr:row>329</xdr:row>
      <xdr:rowOff>39984</xdr:rowOff>
    </xdr:from>
    <xdr:to>
      <xdr:col>61</xdr:col>
      <xdr:colOff>6919</xdr:colOff>
      <xdr:row>330</xdr:row>
      <xdr:rowOff>122490</xdr:rowOff>
    </xdr:to>
    <xdr:pic>
      <xdr:nvPicPr>
        <xdr:cNvPr id="2" name="Imagen 6">
          <a:extLst>
            <a:ext uri="{FF2B5EF4-FFF2-40B4-BE49-F238E27FC236}">
              <a16:creationId xmlns:a16="http://schemas.microsoft.com/office/drawing/2014/main" id="{9E80620A-F791-4AFF-9C64-D1CC1742B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754311" y="57541018"/>
          <a:ext cx="4414361" cy="22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57"/>
  </sheetPr>
  <dimension ref="A1:JF340"/>
  <sheetViews>
    <sheetView showGridLines="0" tabSelected="1" zoomScale="96" zoomScaleNormal="96" workbookViewId="0">
      <pane xSplit="8" ySplit="7" topLeftCell="I134" activePane="bottomRight" state="frozen"/>
      <selection activeCell="H25" sqref="H25"/>
      <selection pane="topRight" activeCell="H25" sqref="H25"/>
      <selection pane="bottomLeft" activeCell="H25" sqref="H25"/>
      <selection pane="bottomRight" activeCell="N140" sqref="N140"/>
    </sheetView>
  </sheetViews>
  <sheetFormatPr baseColWidth="10" defaultColWidth="11.44140625" defaultRowHeight="10.199999999999999" outlineLevelRow="1" outlineLevelCol="2"/>
  <cols>
    <col min="1" max="1" width="9.6640625" style="741" hidden="1" customWidth="1" outlineLevel="1"/>
    <col min="2" max="2" width="6.6640625" style="741" hidden="1" customWidth="1" outlineLevel="1"/>
    <col min="3" max="3" width="12.44140625" style="712" hidden="1" customWidth="1" outlineLevel="1"/>
    <col min="4" max="4" width="19" style="712" hidden="1" customWidth="1" outlineLevel="1"/>
    <col min="5" max="5" width="9.44140625" style="712" customWidth="1" outlineLevel="1"/>
    <col min="6" max="6" width="7" style="707" hidden="1" customWidth="1"/>
    <col min="7" max="7" width="28.109375" style="719" customWidth="1"/>
    <col min="8" max="8" width="29.109375" style="707" customWidth="1"/>
    <col min="9" max="9" width="13.88671875" style="712" customWidth="1"/>
    <col min="10" max="10" width="11.33203125" style="720" customWidth="1" outlineLevel="1"/>
    <col min="11" max="11" width="13.44140625" style="720" customWidth="1" outlineLevel="1"/>
    <col min="12" max="12" width="10.6640625" style="720" customWidth="1" outlineLevel="1"/>
    <col min="13" max="13" width="9.6640625" style="720" customWidth="1" outlineLevel="1"/>
    <col min="14" max="16" width="11.109375" style="721" customWidth="1" outlineLevel="1"/>
    <col min="17" max="17" width="12.33203125" style="721" customWidth="1" outlineLevel="2"/>
    <col min="18" max="18" width="13.33203125" style="721" customWidth="1" outlineLevel="2"/>
    <col min="19" max="19" width="11.33203125" style="721" customWidth="1" outlineLevel="1"/>
    <col min="20" max="20" width="24.109375" style="720" customWidth="1" outlineLevel="1"/>
    <col min="21" max="21" width="11.88671875" style="720" customWidth="1" outlineLevel="1"/>
    <col min="22" max="32" width="10" style="720" customWidth="1" outlineLevel="1"/>
    <col min="33" max="36" width="10" style="720" customWidth="1" outlineLevel="2"/>
    <col min="37" max="40" width="10" style="780" customWidth="1" outlineLevel="2"/>
    <col min="41" max="41" width="9.33203125" style="720" customWidth="1" outlineLevel="2"/>
    <col min="42" max="42" width="12.5546875" style="720" customWidth="1" outlineLevel="2"/>
    <col min="43" max="43" width="7.6640625" style="720" customWidth="1" outlineLevel="2"/>
    <col min="44" max="44" width="7.109375" style="720" customWidth="1" outlineLevel="2"/>
    <col min="45" max="45" width="7.6640625" style="720" customWidth="1" outlineLevel="2"/>
    <col min="46" max="46" width="9.33203125" style="720" customWidth="1" outlineLevel="2"/>
    <col min="47" max="47" width="9" style="720" customWidth="1" outlineLevel="2"/>
    <col min="48" max="48" width="7.6640625" style="720" customWidth="1" outlineLevel="2"/>
    <col min="49" max="49" width="12.109375" style="720" customWidth="1" outlineLevel="2"/>
    <col min="50" max="50" width="8.5546875" style="720" customWidth="1" outlineLevel="2"/>
    <col min="51" max="51" width="8.109375" style="720" customWidth="1" outlineLevel="2"/>
    <col min="52" max="52" width="10.109375" style="712" customWidth="1" outlineLevel="2"/>
    <col min="53" max="53" width="13.33203125" style="720" customWidth="1" outlineLevel="1"/>
    <col min="54" max="54" width="12.33203125" style="720" customWidth="1" outlineLevel="1"/>
    <col min="55" max="55" width="12.44140625" style="720" customWidth="1" outlineLevel="1"/>
    <col min="56" max="58" width="12" style="720" customWidth="1" outlineLevel="1"/>
    <col min="59" max="59" width="13.88671875" style="720" customWidth="1" outlineLevel="1"/>
    <col min="60" max="60" width="12" style="720" customWidth="1" outlineLevel="1"/>
    <col min="61" max="61" width="13" style="720" customWidth="1" outlineLevel="1"/>
    <col min="62" max="62" width="12" style="720" customWidth="1" outlineLevel="1"/>
    <col min="63" max="63" width="15.33203125" style="720" customWidth="1" outlineLevel="1"/>
    <col min="64" max="64" width="16" style="720" customWidth="1" outlineLevel="1"/>
    <col min="65" max="79" width="12" style="720" customWidth="1" outlineLevel="1"/>
    <col min="80" max="97" width="12" style="720" customWidth="1" outlineLevel="2"/>
    <col min="98" max="98" width="2.109375" style="712" customWidth="1" outlineLevel="1"/>
    <col min="99" max="99" width="11.44140625" style="712" customWidth="1" outlineLevel="1"/>
    <col min="100" max="100" width="11.33203125" style="720" customWidth="1" outlineLevel="1"/>
    <col min="101" max="102" width="10.6640625" style="720" customWidth="1" outlineLevel="1"/>
    <col min="103" max="103" width="14.109375" style="720" customWidth="1" outlineLevel="1"/>
    <col min="104" max="104" width="12.5546875" style="720" customWidth="1" outlineLevel="1"/>
    <col min="105" max="106" width="10.5546875" style="720" customWidth="1" outlineLevel="1"/>
    <col min="107" max="107" width="9.88671875" style="720" customWidth="1" outlineLevel="1"/>
    <col min="108" max="108" width="12.6640625" style="720" customWidth="1" outlineLevel="1"/>
    <col min="109" max="109" width="10.33203125" style="720" customWidth="1" outlineLevel="1"/>
    <col min="110" max="115" width="11" style="720" customWidth="1" outlineLevel="1"/>
    <col min="116" max="116" width="10" style="720" customWidth="1" outlineLevel="1"/>
    <col min="117" max="117" width="11.33203125" style="720" customWidth="1" outlineLevel="1"/>
    <col min="118" max="118" width="10.109375" style="720" customWidth="1" outlineLevel="1"/>
    <col min="119" max="119" width="9.33203125" style="720" customWidth="1" outlineLevel="1"/>
    <col min="120" max="120" width="11.33203125" style="720" customWidth="1" outlineLevel="1"/>
    <col min="121" max="121" width="11.44140625" style="720" customWidth="1" outlineLevel="1"/>
    <col min="122" max="122" width="10.6640625" style="720" customWidth="1" outlineLevel="1"/>
    <col min="123" max="123" width="8.88671875" style="720" customWidth="1" outlineLevel="1"/>
    <col min="124" max="124" width="9.6640625" style="720" customWidth="1" outlineLevel="1"/>
    <col min="125" max="125" width="13.44140625" style="720" customWidth="1" outlineLevel="1"/>
    <col min="126" max="126" width="10" style="720" customWidth="1" outlineLevel="1"/>
    <col min="127" max="127" width="11.109375" style="720" customWidth="1" outlineLevel="2"/>
    <col min="128" max="134" width="8.88671875" style="720" customWidth="1" outlineLevel="2"/>
    <col min="135" max="135" width="7.6640625" style="720" customWidth="1" outlineLevel="2"/>
    <col min="136" max="144" width="11.33203125" style="720" customWidth="1" outlineLevel="2"/>
    <col min="145" max="145" width="8.109375" style="712" customWidth="1" outlineLevel="1"/>
    <col min="146" max="146" width="13.6640625" style="946" customWidth="1"/>
    <col min="147" max="147" width="13.88671875" style="712" customWidth="1"/>
    <col min="148" max="148" width="12.88671875" style="712" customWidth="1"/>
    <col min="149" max="149" width="18.21875" style="712" customWidth="1"/>
    <col min="150" max="150" width="13.44140625" style="712" customWidth="1"/>
    <col min="151" max="151" width="13.5546875" style="712" customWidth="1"/>
    <col min="152" max="154" width="12.33203125" style="712" customWidth="1"/>
    <col min="155" max="155" width="14.44140625" style="712" customWidth="1"/>
    <col min="156" max="156" width="13" style="712" customWidth="1"/>
    <col min="157" max="165" width="11.44140625" style="712" customWidth="1"/>
    <col min="166" max="166" width="17.33203125" style="712" customWidth="1"/>
    <col min="167" max="171" width="11.44140625" style="712" customWidth="1"/>
    <col min="172" max="172" width="16.88671875" style="712" customWidth="1"/>
    <col min="173" max="173" width="11.44140625" style="712" customWidth="1"/>
    <col min="174" max="16384" width="11.44140625" style="712"/>
  </cols>
  <sheetData>
    <row r="1" spans="1:183" ht="15.6">
      <c r="G1" s="708">
        <v>1</v>
      </c>
      <c r="H1" s="709">
        <v>2</v>
      </c>
      <c r="I1" s="710">
        <v>3</v>
      </c>
      <c r="J1" s="711">
        <v>4</v>
      </c>
      <c r="K1" s="710">
        <v>5</v>
      </c>
      <c r="L1" s="711">
        <v>6</v>
      </c>
      <c r="M1" s="710">
        <v>7</v>
      </c>
      <c r="N1" s="711">
        <v>8</v>
      </c>
      <c r="O1" s="710">
        <v>9</v>
      </c>
      <c r="P1" s="711">
        <v>10</v>
      </c>
      <c r="Q1" s="710">
        <v>11</v>
      </c>
      <c r="R1" s="711">
        <v>12</v>
      </c>
      <c r="S1" s="710">
        <v>13</v>
      </c>
      <c r="T1" s="711">
        <v>14</v>
      </c>
      <c r="U1" s="710">
        <v>15</v>
      </c>
      <c r="V1" s="711">
        <v>16</v>
      </c>
      <c r="W1" s="710">
        <v>17</v>
      </c>
      <c r="X1" s="711">
        <v>18</v>
      </c>
      <c r="Y1" s="710">
        <v>19</v>
      </c>
      <c r="Z1" s="711">
        <v>20</v>
      </c>
      <c r="AA1" s="710">
        <v>21</v>
      </c>
      <c r="AB1" s="711">
        <v>22</v>
      </c>
      <c r="AC1" s="710">
        <v>23</v>
      </c>
      <c r="AD1" s="711">
        <v>24</v>
      </c>
      <c r="AE1" s="710">
        <v>25</v>
      </c>
      <c r="AF1" s="711">
        <v>26</v>
      </c>
      <c r="AG1" s="710">
        <v>27</v>
      </c>
      <c r="AH1" s="711">
        <v>28</v>
      </c>
      <c r="AI1" s="710">
        <v>29</v>
      </c>
      <c r="AJ1" s="711">
        <v>30</v>
      </c>
      <c r="AK1" s="710">
        <v>31</v>
      </c>
      <c r="AL1" s="711">
        <v>32</v>
      </c>
      <c r="AM1" s="710">
        <v>33</v>
      </c>
      <c r="AN1" s="711">
        <v>34</v>
      </c>
      <c r="AO1" s="710">
        <v>35</v>
      </c>
      <c r="AP1" s="711">
        <v>36</v>
      </c>
      <c r="AQ1" s="710">
        <v>37</v>
      </c>
      <c r="AR1" s="711">
        <v>38</v>
      </c>
      <c r="AS1" s="710">
        <v>39</v>
      </c>
      <c r="AT1" s="711">
        <v>40</v>
      </c>
      <c r="AU1" s="710">
        <v>41</v>
      </c>
      <c r="AV1" s="711">
        <v>42</v>
      </c>
      <c r="AW1" s="710">
        <v>43</v>
      </c>
      <c r="AX1" s="711">
        <v>44</v>
      </c>
      <c r="AY1" s="710">
        <v>45</v>
      </c>
      <c r="AZ1" s="711">
        <v>46</v>
      </c>
      <c r="BA1" s="710">
        <v>47</v>
      </c>
      <c r="BB1" s="711">
        <v>48</v>
      </c>
      <c r="BC1" s="710">
        <v>49</v>
      </c>
      <c r="BD1" s="711">
        <v>50</v>
      </c>
      <c r="BE1" s="710">
        <v>51</v>
      </c>
      <c r="BF1" s="711">
        <v>52</v>
      </c>
      <c r="BG1" s="710">
        <v>53</v>
      </c>
      <c r="BH1" s="711">
        <v>54</v>
      </c>
      <c r="BI1" s="710">
        <v>55</v>
      </c>
      <c r="BJ1" s="711">
        <v>56</v>
      </c>
      <c r="BK1" s="710">
        <v>57</v>
      </c>
      <c r="BL1" s="711">
        <v>58</v>
      </c>
      <c r="BM1" s="710">
        <v>59</v>
      </c>
      <c r="BN1" s="711">
        <v>60</v>
      </c>
      <c r="BO1" s="710">
        <v>61</v>
      </c>
      <c r="BP1" s="711">
        <v>62</v>
      </c>
      <c r="BQ1" s="710">
        <v>63</v>
      </c>
      <c r="BR1" s="711">
        <v>64</v>
      </c>
      <c r="BS1" s="710">
        <v>65</v>
      </c>
      <c r="BT1" s="711">
        <v>66</v>
      </c>
      <c r="BU1" s="710">
        <v>67</v>
      </c>
      <c r="BV1" s="711">
        <v>68</v>
      </c>
      <c r="BW1" s="710">
        <v>69</v>
      </c>
      <c r="BX1" s="711">
        <v>70</v>
      </c>
      <c r="BY1" s="710">
        <v>71</v>
      </c>
      <c r="BZ1" s="711">
        <v>72</v>
      </c>
      <c r="CA1" s="710">
        <v>73</v>
      </c>
      <c r="CB1" s="711">
        <v>74</v>
      </c>
      <c r="CC1" s="710">
        <v>75</v>
      </c>
      <c r="CD1" s="711">
        <v>76</v>
      </c>
      <c r="CE1" s="710">
        <v>77</v>
      </c>
      <c r="CF1" s="711">
        <v>78</v>
      </c>
      <c r="CG1" s="710">
        <v>79</v>
      </c>
      <c r="CH1" s="711">
        <v>80</v>
      </c>
      <c r="CI1" s="710">
        <v>81</v>
      </c>
      <c r="CJ1" s="711">
        <v>82</v>
      </c>
      <c r="CK1" s="710">
        <v>83</v>
      </c>
      <c r="CL1" s="711">
        <v>84</v>
      </c>
      <c r="CM1" s="710">
        <v>85</v>
      </c>
      <c r="CN1" s="711">
        <v>86</v>
      </c>
      <c r="CO1" s="710">
        <v>87</v>
      </c>
      <c r="CP1" s="711">
        <v>88</v>
      </c>
      <c r="CQ1" s="710">
        <v>89</v>
      </c>
      <c r="CR1" s="711">
        <v>90</v>
      </c>
      <c r="CS1" s="710">
        <v>91</v>
      </c>
      <c r="CT1" s="711">
        <v>92</v>
      </c>
      <c r="CU1" s="710">
        <v>93</v>
      </c>
      <c r="CV1" s="711">
        <v>94</v>
      </c>
      <c r="CW1" s="710">
        <v>95</v>
      </c>
      <c r="CX1" s="711">
        <v>96</v>
      </c>
      <c r="CY1" s="710">
        <v>97</v>
      </c>
      <c r="CZ1" s="711">
        <v>98</v>
      </c>
      <c r="DA1" s="710">
        <v>99</v>
      </c>
      <c r="DB1" s="711">
        <v>100</v>
      </c>
      <c r="DC1" s="710">
        <v>101</v>
      </c>
      <c r="DD1" s="711">
        <v>102</v>
      </c>
      <c r="DE1" s="710">
        <v>103</v>
      </c>
      <c r="DF1" s="711">
        <v>104</v>
      </c>
      <c r="DG1" s="710">
        <v>105</v>
      </c>
      <c r="DH1" s="711">
        <v>106</v>
      </c>
      <c r="DI1" s="710">
        <v>107</v>
      </c>
      <c r="DJ1" s="711">
        <v>108</v>
      </c>
      <c r="DK1" s="710">
        <v>109</v>
      </c>
      <c r="DL1" s="711">
        <v>110</v>
      </c>
      <c r="DM1" s="710">
        <v>111</v>
      </c>
      <c r="DN1" s="711">
        <v>112</v>
      </c>
      <c r="DO1" s="710">
        <v>113</v>
      </c>
      <c r="DP1" s="711">
        <v>114</v>
      </c>
      <c r="DQ1" s="710">
        <v>115</v>
      </c>
      <c r="DR1" s="711">
        <v>116</v>
      </c>
      <c r="DS1" s="710">
        <v>117</v>
      </c>
      <c r="DT1" s="711">
        <v>118</v>
      </c>
      <c r="DU1" s="710">
        <v>119</v>
      </c>
      <c r="DV1" s="711">
        <v>120</v>
      </c>
      <c r="DW1" s="710">
        <v>121</v>
      </c>
      <c r="DX1" s="711">
        <v>122</v>
      </c>
      <c r="DY1" s="710">
        <v>123</v>
      </c>
      <c r="DZ1" s="711">
        <v>124</v>
      </c>
      <c r="EA1" s="710">
        <v>125</v>
      </c>
      <c r="EB1" s="711">
        <v>126</v>
      </c>
      <c r="EC1" s="710">
        <v>127</v>
      </c>
      <c r="ED1" s="711">
        <v>128</v>
      </c>
      <c r="EE1" s="710">
        <v>129</v>
      </c>
      <c r="EF1" s="711">
        <v>130</v>
      </c>
      <c r="EG1" s="710">
        <v>131</v>
      </c>
      <c r="EH1" s="711">
        <v>132</v>
      </c>
      <c r="EI1" s="710">
        <v>133</v>
      </c>
      <c r="EJ1" s="711">
        <v>134</v>
      </c>
      <c r="EK1" s="710">
        <v>135</v>
      </c>
      <c r="EL1" s="711">
        <v>136</v>
      </c>
      <c r="EM1" s="710">
        <v>137</v>
      </c>
      <c r="EN1" s="711">
        <v>138</v>
      </c>
      <c r="EO1" s="710">
        <v>139</v>
      </c>
      <c r="EP1" s="945">
        <v>140</v>
      </c>
      <c r="EQ1" s="710">
        <v>141</v>
      </c>
      <c r="ER1" s="711">
        <v>142</v>
      </c>
      <c r="ES1" s="711">
        <v>143</v>
      </c>
      <c r="ET1" s="711">
        <v>144</v>
      </c>
      <c r="EU1" s="711">
        <v>145</v>
      </c>
      <c r="EV1" s="711">
        <v>146</v>
      </c>
      <c r="EW1" s="711">
        <v>147</v>
      </c>
      <c r="EX1" s="710">
        <v>148</v>
      </c>
      <c r="EY1" s="710">
        <v>149</v>
      </c>
      <c r="EZ1" s="711">
        <v>150</v>
      </c>
      <c r="FA1" s="710">
        <v>151</v>
      </c>
      <c r="FB1" s="711">
        <v>152</v>
      </c>
      <c r="FC1" s="710">
        <v>153</v>
      </c>
      <c r="FD1" s="710">
        <v>154</v>
      </c>
      <c r="FE1" s="710">
        <v>155</v>
      </c>
      <c r="FF1" s="710">
        <v>156</v>
      </c>
      <c r="FG1" s="710">
        <v>157</v>
      </c>
      <c r="FH1" s="710">
        <v>158</v>
      </c>
      <c r="FI1" s="710">
        <v>159</v>
      </c>
      <c r="FJ1" s="711">
        <v>160</v>
      </c>
    </row>
    <row r="2" spans="1:183" s="715" customFormat="1" ht="15.6">
      <c r="A2" s="1004"/>
      <c r="B2" s="1004"/>
      <c r="F2" s="713"/>
      <c r="G2" s="714" t="s">
        <v>52</v>
      </c>
      <c r="H2" s="709"/>
      <c r="I2" s="711"/>
      <c r="N2" s="716"/>
      <c r="O2" s="716"/>
      <c r="P2" s="716"/>
      <c r="R2" s="716"/>
      <c r="S2" s="716"/>
      <c r="AZ2" s="712"/>
      <c r="CT2" s="712"/>
      <c r="CU2" s="712"/>
      <c r="EO2" s="712"/>
      <c r="EP2" s="946"/>
      <c r="EQ2" s="712"/>
      <c r="ER2" s="712"/>
      <c r="ES2" s="717"/>
      <c r="ET2" s="717"/>
      <c r="EU2" s="717"/>
      <c r="EV2" s="717"/>
      <c r="EW2" s="717"/>
      <c r="EX2" s="712"/>
      <c r="EY2" s="712"/>
      <c r="EZ2" s="712"/>
      <c r="FA2" s="712"/>
      <c r="FB2" s="712"/>
      <c r="FC2" s="712"/>
      <c r="FD2" s="712"/>
      <c r="FE2" s="712"/>
      <c r="FF2" s="712"/>
      <c r="FG2" s="712"/>
      <c r="FH2" s="712"/>
      <c r="FI2" s="712"/>
      <c r="FJ2" s="712"/>
      <c r="FK2" s="712"/>
      <c r="FL2" s="712"/>
      <c r="FM2" s="712"/>
      <c r="FN2" s="712"/>
      <c r="FO2" s="712"/>
      <c r="FP2" s="712"/>
      <c r="FQ2" s="712"/>
      <c r="FR2" s="712"/>
      <c r="FS2" s="712"/>
      <c r="FT2" s="712"/>
      <c r="FU2" s="712"/>
    </row>
    <row r="3" spans="1:183" ht="17.399999999999999">
      <c r="G3" s="1343" t="s">
        <v>713</v>
      </c>
      <c r="H3" s="1343"/>
      <c r="J3" s="712"/>
      <c r="K3" s="712"/>
      <c r="L3" s="712"/>
      <c r="M3" s="712"/>
      <c r="N3" s="712"/>
      <c r="O3" s="712"/>
      <c r="P3" s="712"/>
      <c r="Q3" s="716"/>
      <c r="R3" s="712" t="s">
        <v>332</v>
      </c>
      <c r="S3" s="712"/>
      <c r="T3" s="712"/>
      <c r="U3" s="712"/>
      <c r="V3" s="712"/>
      <c r="W3" s="712"/>
      <c r="X3" s="712"/>
      <c r="Y3" s="712"/>
      <c r="Z3" s="712"/>
      <c r="AA3" s="712"/>
      <c r="AB3" s="712"/>
      <c r="AC3" s="712"/>
      <c r="AD3" s="712"/>
      <c r="AE3" s="712"/>
      <c r="AF3" s="712"/>
      <c r="AG3" s="712"/>
      <c r="AH3" s="712"/>
      <c r="AI3" s="712"/>
      <c r="AJ3" s="712"/>
      <c r="AK3" s="712"/>
      <c r="AL3" s="712"/>
      <c r="AM3" s="712"/>
      <c r="AN3" s="712"/>
      <c r="AO3" s="712"/>
      <c r="AP3" s="712"/>
      <c r="AQ3" s="712"/>
      <c r="AR3" s="712"/>
      <c r="AS3" s="712"/>
      <c r="AT3" s="712"/>
      <c r="AU3" s="712"/>
      <c r="AV3" s="712"/>
      <c r="AW3" s="712"/>
      <c r="AX3" s="712"/>
      <c r="AY3" s="712"/>
      <c r="BA3" s="712"/>
      <c r="BB3" s="712"/>
      <c r="BC3" s="712"/>
      <c r="BD3" s="712"/>
      <c r="BE3" s="712"/>
      <c r="BF3" s="712"/>
      <c r="BG3" s="712"/>
      <c r="BH3" s="712"/>
      <c r="BI3" s="712"/>
      <c r="BJ3" s="712"/>
      <c r="BK3" s="712"/>
      <c r="BL3" s="712"/>
      <c r="BM3" s="712"/>
      <c r="BN3" s="712"/>
      <c r="BO3" s="712"/>
      <c r="BP3" s="712"/>
      <c r="BQ3" s="712"/>
      <c r="BR3" s="712"/>
      <c r="BS3" s="712"/>
      <c r="BT3" s="712"/>
      <c r="BU3" s="712"/>
      <c r="BV3" s="712"/>
      <c r="BW3" s="712"/>
      <c r="BX3" s="712"/>
      <c r="BY3" s="712"/>
      <c r="BZ3" s="712"/>
      <c r="CA3" s="712"/>
      <c r="CB3" s="712"/>
      <c r="CC3" s="712"/>
      <c r="CD3" s="712"/>
      <c r="CE3" s="712"/>
      <c r="CF3" s="712"/>
      <c r="CG3" s="712"/>
      <c r="CH3" s="712"/>
      <c r="CI3" s="712"/>
      <c r="CJ3" s="712"/>
      <c r="CK3" s="712"/>
      <c r="CL3" s="712"/>
      <c r="CM3" s="712"/>
      <c r="CN3" s="712"/>
      <c r="CO3" s="712"/>
      <c r="CP3" s="712"/>
      <c r="CQ3" s="712"/>
      <c r="CR3" s="712"/>
      <c r="CS3" s="712"/>
      <c r="CV3" s="712"/>
      <c r="CW3" s="712"/>
      <c r="CX3" s="712"/>
      <c r="CY3" s="712"/>
      <c r="CZ3" s="712"/>
      <c r="DA3" s="712"/>
      <c r="DB3" s="712"/>
      <c r="DC3" s="712"/>
      <c r="DD3" s="712"/>
      <c r="DE3" s="712"/>
      <c r="DF3" s="712"/>
      <c r="DG3" s="712"/>
      <c r="DH3" s="712"/>
      <c r="DI3" s="712"/>
      <c r="DJ3" s="712"/>
      <c r="DK3" s="712"/>
      <c r="DL3" s="712"/>
      <c r="DM3" s="712"/>
      <c r="DN3" s="712"/>
      <c r="DO3" s="712"/>
      <c r="DP3" s="712"/>
      <c r="DQ3" s="712"/>
      <c r="DR3" s="712"/>
      <c r="DS3" s="712"/>
      <c r="DT3" s="712"/>
      <c r="DU3" s="712"/>
      <c r="DV3" s="712"/>
      <c r="DW3" s="712"/>
      <c r="DX3" s="712"/>
      <c r="DY3" s="712"/>
      <c r="DZ3" s="712"/>
      <c r="EA3" s="712"/>
      <c r="EB3" s="712"/>
      <c r="EC3" s="712"/>
      <c r="ED3" s="712"/>
      <c r="EE3" s="712"/>
      <c r="EF3" s="712"/>
      <c r="EG3" s="712"/>
      <c r="EH3" s="712"/>
      <c r="EI3" s="712"/>
      <c r="EJ3" s="712"/>
      <c r="EK3" s="712"/>
      <c r="EL3" s="712"/>
      <c r="EM3" s="712"/>
      <c r="EN3" s="712"/>
      <c r="EQ3" s="937"/>
    </row>
    <row r="4" spans="1:183" ht="18.600000000000001" customHeight="1" thickBot="1">
      <c r="G4" s="718" t="s">
        <v>776</v>
      </c>
      <c r="H4" s="1003" t="s">
        <v>52</v>
      </c>
      <c r="T4" s="710"/>
      <c r="U4" s="710"/>
      <c r="V4" s="710"/>
      <c r="W4" s="710"/>
      <c r="X4" s="710"/>
      <c r="Y4" s="710"/>
      <c r="Z4" s="710"/>
      <c r="AA4" s="710"/>
      <c r="AB4" s="710"/>
      <c r="AC4" s="710"/>
      <c r="AD4" s="710"/>
      <c r="AE4" s="710"/>
      <c r="AF4" s="710"/>
      <c r="AG4" s="710"/>
      <c r="AH4" s="710"/>
      <c r="AI4" s="710"/>
      <c r="AJ4" s="710"/>
      <c r="AK4" s="710"/>
      <c r="AL4" s="710"/>
      <c r="AM4" s="710"/>
      <c r="AN4" s="710"/>
      <c r="AO4" s="710"/>
      <c r="AP4" s="710"/>
      <c r="AQ4" s="710"/>
      <c r="AR4" s="710"/>
      <c r="AS4" s="710"/>
      <c r="AT4" s="710"/>
      <c r="AU4" s="710"/>
      <c r="AV4" s="710"/>
      <c r="AW4" s="710"/>
      <c r="AX4" s="710"/>
      <c r="AY4" s="710"/>
      <c r="AZ4" s="710"/>
      <c r="BA4" s="1320" t="s">
        <v>2</v>
      </c>
      <c r="BB4" s="1320"/>
      <c r="BC4" s="1320"/>
      <c r="BD4" s="1320"/>
      <c r="BE4" s="1320"/>
      <c r="BF4" s="1320"/>
      <c r="BG4" s="1320"/>
      <c r="BH4" s="1320"/>
      <c r="BI4" s="1320"/>
      <c r="BJ4" s="1320"/>
      <c r="BK4" s="1320"/>
      <c r="BL4" s="1320"/>
      <c r="BM4" s="1320"/>
      <c r="BN4" s="1320"/>
      <c r="BO4" s="1320"/>
      <c r="BP4" s="1320"/>
      <c r="BQ4" s="1320"/>
      <c r="BR4" s="1320"/>
      <c r="BS4" s="1320"/>
      <c r="BT4" s="1320"/>
      <c r="BU4" s="1320"/>
      <c r="BV4" s="1320"/>
      <c r="BW4" s="1320"/>
      <c r="BX4" s="1320"/>
      <c r="BY4" s="1320"/>
      <c r="BZ4" s="1320"/>
      <c r="CA4" s="1320"/>
      <c r="CB4" s="1320"/>
      <c r="CC4" s="1320"/>
      <c r="CD4" s="1320"/>
      <c r="CE4" s="1320"/>
      <c r="CF4" s="1320"/>
      <c r="CG4" s="1320"/>
      <c r="CH4" s="1320"/>
      <c r="CI4" s="1320"/>
      <c r="CJ4" s="1320"/>
      <c r="CK4" s="1320"/>
      <c r="CL4" s="1320"/>
      <c r="CM4" s="1320"/>
      <c r="CN4" s="1320"/>
      <c r="CO4" s="1320"/>
      <c r="CP4" s="1320"/>
      <c r="CQ4" s="1320"/>
      <c r="CR4" s="1320"/>
      <c r="CS4" s="1320"/>
      <c r="CT4" s="711"/>
      <c r="CU4" s="711"/>
      <c r="CV4" s="1321" t="s">
        <v>3</v>
      </c>
      <c r="CW4" s="1321"/>
      <c r="CX4" s="1321"/>
      <c r="CY4" s="1321"/>
      <c r="CZ4" s="1321"/>
      <c r="DA4" s="1321"/>
      <c r="DB4" s="1321"/>
      <c r="DC4" s="1321"/>
      <c r="DD4" s="1321"/>
      <c r="DE4" s="1321"/>
      <c r="DF4" s="1321"/>
      <c r="DG4" s="1321"/>
      <c r="DH4" s="1321"/>
      <c r="DI4" s="1321"/>
      <c r="DJ4" s="1321"/>
      <c r="DK4" s="1321"/>
      <c r="DL4" s="1321"/>
      <c r="DM4" s="1321"/>
      <c r="DN4" s="1321"/>
      <c r="DO4" s="1321"/>
      <c r="DP4" s="1321"/>
      <c r="DQ4" s="1321"/>
      <c r="DR4" s="1321"/>
      <c r="DS4" s="1321"/>
      <c r="DT4" s="1321"/>
      <c r="DU4" s="1321"/>
      <c r="DV4" s="1321"/>
      <c r="DW4" s="1321"/>
      <c r="DX4" s="1321"/>
      <c r="DY4" s="1321"/>
      <c r="DZ4" s="1321"/>
      <c r="EA4" s="1321"/>
      <c r="EB4" s="1321"/>
      <c r="EC4" s="1321"/>
      <c r="ED4" s="1321"/>
      <c r="EE4" s="1321"/>
      <c r="EF4" s="1321"/>
      <c r="EG4" s="1321"/>
      <c r="EH4" s="1321"/>
      <c r="EI4" s="1321"/>
      <c r="EJ4" s="1321"/>
      <c r="EK4" s="1321"/>
      <c r="EL4" s="1321"/>
      <c r="EM4" s="1321"/>
      <c r="EN4" s="1321"/>
      <c r="FV4" s="1180" t="s">
        <v>726</v>
      </c>
      <c r="FW4" s="1180"/>
    </row>
    <row r="5" spans="1:183" ht="15" customHeight="1" thickBot="1">
      <c r="G5" s="718">
        <v>2026</v>
      </c>
      <c r="J5" s="712">
        <v>5</v>
      </c>
      <c r="K5" s="712">
        <v>6</v>
      </c>
      <c r="L5" s="712"/>
      <c r="M5" s="712"/>
      <c r="T5" s="712"/>
      <c r="U5" s="1322" t="s">
        <v>4</v>
      </c>
      <c r="V5" s="1322"/>
      <c r="W5" s="1322"/>
      <c r="X5" s="1322"/>
      <c r="Y5" s="1323" t="s">
        <v>5</v>
      </c>
      <c r="Z5" s="1323"/>
      <c r="AA5" s="1323"/>
      <c r="AB5" s="1323"/>
      <c r="AC5" s="1322" t="s">
        <v>780</v>
      </c>
      <c r="AD5" s="1322"/>
      <c r="AE5" s="1322"/>
      <c r="AF5" s="1322"/>
      <c r="AG5" s="1324" t="s">
        <v>692</v>
      </c>
      <c r="AH5" s="1324"/>
      <c r="AI5" s="1324"/>
      <c r="AJ5" s="1324"/>
      <c r="AK5" s="1325" t="s">
        <v>6</v>
      </c>
      <c r="AL5" s="1325"/>
      <c r="AM5" s="1325"/>
      <c r="AN5" s="1325"/>
      <c r="AO5" s="1345" t="s">
        <v>379</v>
      </c>
      <c r="AP5" s="1346"/>
      <c r="AQ5" s="1346"/>
      <c r="AR5" s="1346"/>
      <c r="AS5" s="1347"/>
      <c r="AT5" s="1326" t="s">
        <v>274</v>
      </c>
      <c r="AU5" s="1326"/>
      <c r="AV5" s="1326"/>
      <c r="AW5" s="1326"/>
      <c r="AX5" s="1326"/>
      <c r="AY5" s="712"/>
      <c r="BA5" s="1327" t="s">
        <v>8</v>
      </c>
      <c r="BB5" s="1327"/>
      <c r="BC5" s="1327"/>
      <c r="BD5" s="1327"/>
      <c r="BE5" s="1327"/>
      <c r="BF5" s="1327"/>
      <c r="BG5" s="1327"/>
      <c r="BH5" s="1327"/>
      <c r="BI5" s="1327"/>
      <c r="BJ5" s="1328" t="s">
        <v>9</v>
      </c>
      <c r="BK5" s="1328"/>
      <c r="BL5" s="1328"/>
      <c r="BM5" s="1328"/>
      <c r="BN5" s="1328"/>
      <c r="BO5" s="1328"/>
      <c r="BP5" s="1328"/>
      <c r="BQ5" s="1328"/>
      <c r="BR5" s="1328"/>
      <c r="BS5" s="1329" t="s">
        <v>777</v>
      </c>
      <c r="BT5" s="1329"/>
      <c r="BU5" s="1329"/>
      <c r="BV5" s="1329"/>
      <c r="BW5" s="1329"/>
      <c r="BX5" s="1329"/>
      <c r="BY5" s="1329"/>
      <c r="BZ5" s="1329"/>
      <c r="CA5" s="1329"/>
      <c r="CB5" s="1330" t="s">
        <v>693</v>
      </c>
      <c r="CC5" s="1330"/>
      <c r="CD5" s="1330"/>
      <c r="CE5" s="1330"/>
      <c r="CF5" s="1330"/>
      <c r="CG5" s="1330"/>
      <c r="CH5" s="1330"/>
      <c r="CI5" s="1330"/>
      <c r="CJ5" s="1330"/>
      <c r="CK5" s="1331" t="s">
        <v>52</v>
      </c>
      <c r="CL5" s="1331"/>
      <c r="CM5" s="1331"/>
      <c r="CN5" s="1331"/>
      <c r="CO5" s="1331"/>
      <c r="CP5" s="1331"/>
      <c r="CQ5" s="1331"/>
      <c r="CR5" s="1331"/>
      <c r="CS5" s="1331"/>
      <c r="CV5" s="1318" t="s">
        <v>8</v>
      </c>
      <c r="CW5" s="1318"/>
      <c r="CX5" s="1318"/>
      <c r="CY5" s="1318"/>
      <c r="CZ5" s="1318"/>
      <c r="DA5" s="1318"/>
      <c r="DB5" s="1318"/>
      <c r="DC5" s="1318"/>
      <c r="DD5" s="1318"/>
      <c r="DE5" s="1335" t="s">
        <v>9</v>
      </c>
      <c r="DF5" s="1335"/>
      <c r="DG5" s="1335"/>
      <c r="DH5" s="1335"/>
      <c r="DI5" s="1335"/>
      <c r="DJ5" s="1335"/>
      <c r="DK5" s="1335"/>
      <c r="DL5" s="1335"/>
      <c r="DM5" s="1335"/>
      <c r="DN5" s="1336" t="s">
        <v>10</v>
      </c>
      <c r="DO5" s="1336"/>
      <c r="DP5" s="1336"/>
      <c r="DQ5" s="1336"/>
      <c r="DR5" s="1336"/>
      <c r="DS5" s="1336"/>
      <c r="DT5" s="1336"/>
      <c r="DU5" s="1336"/>
      <c r="DV5" s="1336"/>
      <c r="DW5" s="1337" t="s">
        <v>693</v>
      </c>
      <c r="DX5" s="1337"/>
      <c r="DY5" s="1337"/>
      <c r="DZ5" s="1337"/>
      <c r="EA5" s="1337"/>
      <c r="EB5" s="1337"/>
      <c r="EC5" s="1337"/>
      <c r="ED5" s="1337"/>
      <c r="EE5" s="1337"/>
      <c r="EF5" s="1338" t="s">
        <v>11</v>
      </c>
      <c r="EG5" s="1338"/>
      <c r="EH5" s="1338"/>
      <c r="EI5" s="1338"/>
      <c r="EJ5" s="1338"/>
      <c r="EK5" s="1338"/>
      <c r="EL5" s="1338"/>
      <c r="EM5" s="1338"/>
      <c r="EN5" s="1338"/>
      <c r="EP5" s="947"/>
      <c r="ET5" s="903"/>
      <c r="FK5" s="1332" t="s">
        <v>14</v>
      </c>
      <c r="FL5" s="1332"/>
      <c r="FM5" s="1332"/>
      <c r="FN5" s="1332"/>
      <c r="FO5" s="1332"/>
      <c r="FP5" s="1332"/>
      <c r="FV5" s="1181">
        <v>2</v>
      </c>
    </row>
    <row r="6" spans="1:183" s="741" customFormat="1" ht="25.5" customHeight="1" thickBot="1">
      <c r="F6" s="722"/>
      <c r="G6" s="723"/>
      <c r="H6" s="724"/>
      <c r="I6" s="1319" t="s">
        <v>1</v>
      </c>
      <c r="J6" s="1319"/>
      <c r="K6" s="1319"/>
      <c r="L6" s="1319"/>
      <c r="M6" s="1319"/>
      <c r="N6" s="1319"/>
      <c r="O6" s="1319"/>
      <c r="P6" s="1319"/>
      <c r="Q6" s="1319"/>
      <c r="R6" s="1319"/>
      <c r="S6" s="1319"/>
      <c r="T6" s="725" t="s">
        <v>52</v>
      </c>
      <c r="U6" s="726" t="s">
        <v>21</v>
      </c>
      <c r="V6" s="727" t="s">
        <v>21</v>
      </c>
      <c r="W6" s="728" t="s">
        <v>22</v>
      </c>
      <c r="X6" s="728" t="s">
        <v>22</v>
      </c>
      <c r="Y6" s="729" t="s">
        <v>21</v>
      </c>
      <c r="Z6" s="729" t="s">
        <v>21</v>
      </c>
      <c r="AA6" s="729" t="s">
        <v>22</v>
      </c>
      <c r="AB6" s="729" t="s">
        <v>22</v>
      </c>
      <c r="AC6" s="728" t="s">
        <v>21</v>
      </c>
      <c r="AD6" s="728" t="s">
        <v>21</v>
      </c>
      <c r="AE6" s="728" t="s">
        <v>22</v>
      </c>
      <c r="AF6" s="728" t="s">
        <v>22</v>
      </c>
      <c r="AG6" s="730" t="s">
        <v>21</v>
      </c>
      <c r="AH6" s="730" t="s">
        <v>21</v>
      </c>
      <c r="AI6" s="730" t="s">
        <v>22</v>
      </c>
      <c r="AJ6" s="730" t="s">
        <v>22</v>
      </c>
      <c r="AK6" s="731" t="s">
        <v>21</v>
      </c>
      <c r="AL6" s="731" t="s">
        <v>21</v>
      </c>
      <c r="AM6" s="731" t="s">
        <v>22</v>
      </c>
      <c r="AN6" s="731" t="s">
        <v>22</v>
      </c>
      <c r="AO6" s="1333" t="s">
        <v>39</v>
      </c>
      <c r="AP6" s="1333" t="s">
        <v>40</v>
      </c>
      <c r="AQ6" s="1333" t="s">
        <v>49</v>
      </c>
      <c r="AR6" s="1333" t="s">
        <v>41</v>
      </c>
      <c r="AS6" s="1333" t="s">
        <v>50</v>
      </c>
      <c r="AT6" s="1333" t="s">
        <v>39</v>
      </c>
      <c r="AU6" s="1333" t="s">
        <v>40</v>
      </c>
      <c r="AV6" s="1333" t="s">
        <v>49</v>
      </c>
      <c r="AW6" s="1333" t="s">
        <v>41</v>
      </c>
      <c r="AX6" s="1333" t="s">
        <v>50</v>
      </c>
      <c r="AY6" s="732" t="s">
        <v>23</v>
      </c>
      <c r="AZ6" s="733">
        <v>0</v>
      </c>
      <c r="BA6" s="734" t="s">
        <v>15</v>
      </c>
      <c r="BB6" s="735" t="s">
        <v>16</v>
      </c>
      <c r="BC6" s="736" t="s">
        <v>24</v>
      </c>
      <c r="BD6" s="737" t="s">
        <v>25</v>
      </c>
      <c r="BE6" s="737" t="s">
        <v>24</v>
      </c>
      <c r="BF6" s="737" t="s">
        <v>25</v>
      </c>
      <c r="BG6" s="738" t="s">
        <v>26</v>
      </c>
      <c r="BH6" s="738" t="s">
        <v>27</v>
      </c>
      <c r="BI6" s="739" t="s">
        <v>17</v>
      </c>
      <c r="BJ6" s="734" t="s">
        <v>15</v>
      </c>
      <c r="BK6" s="736" t="s">
        <v>16</v>
      </c>
      <c r="BL6" s="736" t="s">
        <v>24</v>
      </c>
      <c r="BM6" s="737" t="s">
        <v>25</v>
      </c>
      <c r="BN6" s="737" t="s">
        <v>24</v>
      </c>
      <c r="BO6" s="737" t="s">
        <v>25</v>
      </c>
      <c r="BP6" s="738" t="s">
        <v>26</v>
      </c>
      <c r="BQ6" s="738" t="s">
        <v>27</v>
      </c>
      <c r="BR6" s="739" t="s">
        <v>17</v>
      </c>
      <c r="BS6" s="734" t="s">
        <v>15</v>
      </c>
      <c r="BT6" s="736" t="s">
        <v>16</v>
      </c>
      <c r="BU6" s="736" t="s">
        <v>24</v>
      </c>
      <c r="BV6" s="737" t="s">
        <v>25</v>
      </c>
      <c r="BW6" s="737" t="s">
        <v>24</v>
      </c>
      <c r="BX6" s="737" t="s">
        <v>25</v>
      </c>
      <c r="BY6" s="738" t="s">
        <v>26</v>
      </c>
      <c r="BZ6" s="738" t="s">
        <v>27</v>
      </c>
      <c r="CA6" s="739" t="s">
        <v>17</v>
      </c>
      <c r="CB6" s="734" t="s">
        <v>15</v>
      </c>
      <c r="CC6" s="736" t="s">
        <v>16</v>
      </c>
      <c r="CD6" s="736" t="s">
        <v>24</v>
      </c>
      <c r="CE6" s="737" t="s">
        <v>25</v>
      </c>
      <c r="CF6" s="737" t="s">
        <v>24</v>
      </c>
      <c r="CG6" s="737" t="s">
        <v>25</v>
      </c>
      <c r="CH6" s="738" t="s">
        <v>26</v>
      </c>
      <c r="CI6" s="738" t="s">
        <v>27</v>
      </c>
      <c r="CJ6" s="739" t="s">
        <v>17</v>
      </c>
      <c r="CK6" s="734" t="s">
        <v>15</v>
      </c>
      <c r="CL6" s="736" t="s">
        <v>16</v>
      </c>
      <c r="CM6" s="736" t="s">
        <v>24</v>
      </c>
      <c r="CN6" s="737" t="s">
        <v>25</v>
      </c>
      <c r="CO6" s="737" t="s">
        <v>24</v>
      </c>
      <c r="CP6" s="737" t="s">
        <v>25</v>
      </c>
      <c r="CQ6" s="738" t="s">
        <v>26</v>
      </c>
      <c r="CR6" s="738" t="s">
        <v>27</v>
      </c>
      <c r="CS6" s="740" t="s">
        <v>17</v>
      </c>
      <c r="CU6" s="742" t="s">
        <v>28</v>
      </c>
      <c r="CV6" s="743" t="s">
        <v>15</v>
      </c>
      <c r="CW6" s="736" t="s">
        <v>16</v>
      </c>
      <c r="CX6" s="736" t="s">
        <v>24</v>
      </c>
      <c r="CY6" s="737" t="s">
        <v>25</v>
      </c>
      <c r="CZ6" s="737" t="s">
        <v>24</v>
      </c>
      <c r="DA6" s="737" t="s">
        <v>25</v>
      </c>
      <c r="DB6" s="738" t="s">
        <v>26</v>
      </c>
      <c r="DC6" s="738" t="s">
        <v>27</v>
      </c>
      <c r="DD6" s="739" t="s">
        <v>17</v>
      </c>
      <c r="DE6" s="734" t="s">
        <v>15</v>
      </c>
      <c r="DF6" s="736" t="s">
        <v>16</v>
      </c>
      <c r="DG6" s="736" t="s">
        <v>24</v>
      </c>
      <c r="DH6" s="737" t="s">
        <v>25</v>
      </c>
      <c r="DI6" s="737" t="s">
        <v>24</v>
      </c>
      <c r="DJ6" s="737" t="s">
        <v>25</v>
      </c>
      <c r="DK6" s="738" t="s">
        <v>26</v>
      </c>
      <c r="DL6" s="738" t="s">
        <v>27</v>
      </c>
      <c r="DM6" s="739" t="s">
        <v>17</v>
      </c>
      <c r="DN6" s="734" t="s">
        <v>15</v>
      </c>
      <c r="DO6" s="736" t="s">
        <v>16</v>
      </c>
      <c r="DP6" s="736" t="s">
        <v>24</v>
      </c>
      <c r="DQ6" s="737" t="s">
        <v>25</v>
      </c>
      <c r="DR6" s="737" t="s">
        <v>24</v>
      </c>
      <c r="DS6" s="737" t="s">
        <v>25</v>
      </c>
      <c r="DT6" s="738" t="s">
        <v>26</v>
      </c>
      <c r="DU6" s="738" t="s">
        <v>27</v>
      </c>
      <c r="DV6" s="739" t="s">
        <v>17</v>
      </c>
      <c r="DW6" s="734" t="s">
        <v>15</v>
      </c>
      <c r="DX6" s="736" t="s">
        <v>16</v>
      </c>
      <c r="DY6" s="736" t="s">
        <v>24</v>
      </c>
      <c r="DZ6" s="737" t="s">
        <v>25</v>
      </c>
      <c r="EA6" s="737" t="s">
        <v>24</v>
      </c>
      <c r="EB6" s="737" t="s">
        <v>25</v>
      </c>
      <c r="EC6" s="738" t="s">
        <v>26</v>
      </c>
      <c r="ED6" s="738" t="s">
        <v>27</v>
      </c>
      <c r="EE6" s="739" t="s">
        <v>17</v>
      </c>
      <c r="EF6" s="734" t="s">
        <v>15</v>
      </c>
      <c r="EG6" s="736" t="s">
        <v>16</v>
      </c>
      <c r="EH6" s="736" t="s">
        <v>24</v>
      </c>
      <c r="EI6" s="737" t="s">
        <v>25</v>
      </c>
      <c r="EJ6" s="737" t="s">
        <v>24</v>
      </c>
      <c r="EK6" s="737" t="s">
        <v>25</v>
      </c>
      <c r="EL6" s="738" t="s">
        <v>26</v>
      </c>
      <c r="EM6" s="738" t="s">
        <v>27</v>
      </c>
      <c r="EN6" s="740" t="s">
        <v>17</v>
      </c>
      <c r="EP6" s="1339" t="s">
        <v>12</v>
      </c>
      <c r="EQ6" s="1339"/>
      <c r="ER6" s="1339"/>
      <c r="ES6" s="1339"/>
      <c r="ET6" s="1339"/>
      <c r="EU6" s="1339"/>
      <c r="EV6" s="1339"/>
      <c r="EW6" s="1339"/>
      <c r="EX6" s="1339"/>
      <c r="EY6" s="712"/>
      <c r="EZ6" s="712"/>
      <c r="FA6" s="1340" t="s">
        <v>13</v>
      </c>
      <c r="FB6" s="1341"/>
      <c r="FC6" s="1341"/>
      <c r="FD6" s="1341"/>
      <c r="FE6" s="1341"/>
      <c r="FF6" s="1341"/>
      <c r="FG6" s="1341"/>
      <c r="FH6" s="1341"/>
      <c r="FI6" s="1341"/>
      <c r="FJ6" s="1342"/>
      <c r="FK6" s="744" t="s">
        <v>18</v>
      </c>
      <c r="FL6" s="745" t="s">
        <v>18</v>
      </c>
      <c r="FM6" s="745" t="s">
        <v>18</v>
      </c>
      <c r="FN6" s="745" t="s">
        <v>18</v>
      </c>
      <c r="FO6" s="745" t="s">
        <v>18</v>
      </c>
      <c r="FP6" s="746" t="s">
        <v>18</v>
      </c>
    </row>
    <row r="7" spans="1:183" ht="31.2" thickBot="1">
      <c r="A7" s="1005" t="s">
        <v>703</v>
      </c>
      <c r="B7" s="1005" t="s">
        <v>704</v>
      </c>
      <c r="C7" s="1005" t="s">
        <v>705</v>
      </c>
      <c r="D7" s="1005" t="s">
        <v>706</v>
      </c>
      <c r="E7" s="1190" t="s">
        <v>739</v>
      </c>
      <c r="G7" s="747" t="s">
        <v>35</v>
      </c>
      <c r="H7" s="748" t="s">
        <v>36</v>
      </c>
      <c r="I7" s="749" t="s">
        <v>381</v>
      </c>
      <c r="J7" s="749" t="s">
        <v>380</v>
      </c>
      <c r="K7" s="749" t="s">
        <v>382</v>
      </c>
      <c r="L7" s="749" t="s">
        <v>17</v>
      </c>
      <c r="M7" s="749" t="s">
        <v>383</v>
      </c>
      <c r="N7" s="749" t="s">
        <v>384</v>
      </c>
      <c r="O7" s="749" t="s">
        <v>19</v>
      </c>
      <c r="P7" s="749" t="s">
        <v>777</v>
      </c>
      <c r="Q7" s="749" t="s">
        <v>691</v>
      </c>
      <c r="R7" s="749" t="s">
        <v>52</v>
      </c>
      <c r="S7" s="749" t="s">
        <v>388</v>
      </c>
      <c r="T7" s="750" t="s">
        <v>20</v>
      </c>
      <c r="U7" s="751" t="s">
        <v>42</v>
      </c>
      <c r="V7" s="752" t="s">
        <v>43</v>
      </c>
      <c r="W7" s="752" t="s">
        <v>42</v>
      </c>
      <c r="X7" s="752" t="s">
        <v>43</v>
      </c>
      <c r="Y7" s="753" t="s">
        <v>42</v>
      </c>
      <c r="Z7" s="753" t="s">
        <v>43</v>
      </c>
      <c r="AA7" s="753" t="s">
        <v>42</v>
      </c>
      <c r="AB7" s="753" t="s">
        <v>43</v>
      </c>
      <c r="AC7" s="752" t="s">
        <v>42</v>
      </c>
      <c r="AD7" s="752" t="s">
        <v>43</v>
      </c>
      <c r="AE7" s="752" t="s">
        <v>42</v>
      </c>
      <c r="AF7" s="752" t="s">
        <v>43</v>
      </c>
      <c r="AG7" s="754" t="s">
        <v>42</v>
      </c>
      <c r="AH7" s="754" t="s">
        <v>43</v>
      </c>
      <c r="AI7" s="754" t="s">
        <v>42</v>
      </c>
      <c r="AJ7" s="754" t="s">
        <v>43</v>
      </c>
      <c r="AK7" s="755" t="s">
        <v>42</v>
      </c>
      <c r="AL7" s="755" t="s">
        <v>43</v>
      </c>
      <c r="AM7" s="755" t="s">
        <v>42</v>
      </c>
      <c r="AN7" s="755" t="s">
        <v>43</v>
      </c>
      <c r="AO7" s="1334"/>
      <c r="AP7" s="1334"/>
      <c r="AQ7" s="1334"/>
      <c r="AR7" s="1334"/>
      <c r="AS7" s="1334"/>
      <c r="AT7" s="1334"/>
      <c r="AU7" s="1334"/>
      <c r="AV7" s="1334"/>
      <c r="AW7" s="1334"/>
      <c r="AX7" s="1334"/>
      <c r="AY7" s="756"/>
      <c r="BA7" s="757" t="s">
        <v>37</v>
      </c>
      <c r="BB7" s="758" t="s">
        <v>38</v>
      </c>
      <c r="BC7" s="759" t="s">
        <v>44</v>
      </c>
      <c r="BD7" s="759" t="s">
        <v>44</v>
      </c>
      <c r="BE7" s="759" t="s">
        <v>45</v>
      </c>
      <c r="BF7" s="759" t="s">
        <v>45</v>
      </c>
      <c r="BG7" s="760" t="s">
        <v>46</v>
      </c>
      <c r="BH7" s="760" t="s">
        <v>47</v>
      </c>
      <c r="BI7" s="761"/>
      <c r="BJ7" s="757" t="s">
        <v>37</v>
      </c>
      <c r="BK7" s="759" t="s">
        <v>38</v>
      </c>
      <c r="BL7" s="759" t="s">
        <v>44</v>
      </c>
      <c r="BM7" s="759" t="s">
        <v>44</v>
      </c>
      <c r="BN7" s="759" t="s">
        <v>45</v>
      </c>
      <c r="BO7" s="759" t="s">
        <v>45</v>
      </c>
      <c r="BP7" s="760" t="s">
        <v>46</v>
      </c>
      <c r="BQ7" s="760" t="s">
        <v>47</v>
      </c>
      <c r="BR7" s="761"/>
      <c r="BS7" s="757" t="s">
        <v>37</v>
      </c>
      <c r="BT7" s="759" t="s">
        <v>38</v>
      </c>
      <c r="BU7" s="759" t="s">
        <v>44</v>
      </c>
      <c r="BV7" s="759" t="s">
        <v>44</v>
      </c>
      <c r="BW7" s="759" t="s">
        <v>45</v>
      </c>
      <c r="BX7" s="759" t="s">
        <v>45</v>
      </c>
      <c r="BY7" s="760" t="s">
        <v>46</v>
      </c>
      <c r="BZ7" s="760" t="s">
        <v>47</v>
      </c>
      <c r="CA7" s="761"/>
      <c r="CB7" s="757" t="s">
        <v>37</v>
      </c>
      <c r="CC7" s="759" t="s">
        <v>38</v>
      </c>
      <c r="CD7" s="759" t="s">
        <v>44</v>
      </c>
      <c r="CE7" s="759" t="s">
        <v>44</v>
      </c>
      <c r="CF7" s="759" t="s">
        <v>45</v>
      </c>
      <c r="CG7" s="759" t="s">
        <v>45</v>
      </c>
      <c r="CH7" s="760" t="s">
        <v>46</v>
      </c>
      <c r="CI7" s="760" t="s">
        <v>47</v>
      </c>
      <c r="CJ7" s="761"/>
      <c r="CK7" s="757" t="s">
        <v>37</v>
      </c>
      <c r="CL7" s="759" t="s">
        <v>38</v>
      </c>
      <c r="CM7" s="759" t="s">
        <v>44</v>
      </c>
      <c r="CN7" s="759" t="s">
        <v>44</v>
      </c>
      <c r="CO7" s="759" t="s">
        <v>45</v>
      </c>
      <c r="CP7" s="759" t="s">
        <v>45</v>
      </c>
      <c r="CQ7" s="760" t="s">
        <v>46</v>
      </c>
      <c r="CR7" s="760" t="s">
        <v>47</v>
      </c>
      <c r="CS7" s="762"/>
      <c r="CU7" s="763" t="s">
        <v>48</v>
      </c>
      <c r="CV7" s="764" t="s">
        <v>37</v>
      </c>
      <c r="CW7" s="759" t="s">
        <v>38</v>
      </c>
      <c r="CX7" s="759" t="s">
        <v>44</v>
      </c>
      <c r="CY7" s="759" t="s">
        <v>44</v>
      </c>
      <c r="CZ7" s="759" t="s">
        <v>45</v>
      </c>
      <c r="DA7" s="759" t="s">
        <v>45</v>
      </c>
      <c r="DB7" s="760" t="s">
        <v>46</v>
      </c>
      <c r="DC7" s="760" t="s">
        <v>47</v>
      </c>
      <c r="DD7" s="761"/>
      <c r="DE7" s="757" t="s">
        <v>37</v>
      </c>
      <c r="DF7" s="759" t="s">
        <v>38</v>
      </c>
      <c r="DG7" s="759" t="s">
        <v>44</v>
      </c>
      <c r="DH7" s="759" t="s">
        <v>44</v>
      </c>
      <c r="DI7" s="759" t="s">
        <v>45</v>
      </c>
      <c r="DJ7" s="759" t="s">
        <v>45</v>
      </c>
      <c r="DK7" s="760" t="s">
        <v>46</v>
      </c>
      <c r="DL7" s="760" t="s">
        <v>47</v>
      </c>
      <c r="DM7" s="761"/>
      <c r="DN7" s="757" t="s">
        <v>37</v>
      </c>
      <c r="DO7" s="759" t="s">
        <v>38</v>
      </c>
      <c r="DP7" s="759" t="s">
        <v>44</v>
      </c>
      <c r="DQ7" s="759" t="s">
        <v>44</v>
      </c>
      <c r="DR7" s="759" t="s">
        <v>45</v>
      </c>
      <c r="DS7" s="759" t="s">
        <v>45</v>
      </c>
      <c r="DT7" s="760" t="s">
        <v>46</v>
      </c>
      <c r="DU7" s="760" t="s">
        <v>47</v>
      </c>
      <c r="DV7" s="761"/>
      <c r="DW7" s="757" t="s">
        <v>37</v>
      </c>
      <c r="DX7" s="759" t="s">
        <v>38</v>
      </c>
      <c r="DY7" s="759" t="s">
        <v>44</v>
      </c>
      <c r="DZ7" s="759" t="s">
        <v>44</v>
      </c>
      <c r="EA7" s="759" t="s">
        <v>45</v>
      </c>
      <c r="EB7" s="759" t="s">
        <v>45</v>
      </c>
      <c r="EC7" s="760" t="s">
        <v>46</v>
      </c>
      <c r="ED7" s="760" t="s">
        <v>47</v>
      </c>
      <c r="EE7" s="761"/>
      <c r="EF7" s="757" t="s">
        <v>37</v>
      </c>
      <c r="EG7" s="759" t="s">
        <v>38</v>
      </c>
      <c r="EH7" s="759" t="s">
        <v>44</v>
      </c>
      <c r="EI7" s="759" t="s">
        <v>44</v>
      </c>
      <c r="EJ7" s="759" t="s">
        <v>45</v>
      </c>
      <c r="EK7" s="759" t="s">
        <v>45</v>
      </c>
      <c r="EL7" s="760" t="s">
        <v>46</v>
      </c>
      <c r="EM7" s="760" t="s">
        <v>47</v>
      </c>
      <c r="EN7" s="762"/>
      <c r="EP7" s="948" t="s">
        <v>29</v>
      </c>
      <c r="EQ7" s="765" t="s">
        <v>552</v>
      </c>
      <c r="ER7" s="766" t="s">
        <v>30</v>
      </c>
      <c r="ES7" s="767" t="s">
        <v>31</v>
      </c>
      <c r="ET7" s="768" t="s">
        <v>529</v>
      </c>
      <c r="EU7" s="768" t="s">
        <v>748</v>
      </c>
      <c r="EV7" s="768" t="s">
        <v>414</v>
      </c>
      <c r="EW7" s="766" t="s">
        <v>32</v>
      </c>
      <c r="EX7" s="766" t="s">
        <v>33</v>
      </c>
      <c r="EY7" s="769" t="s">
        <v>480</v>
      </c>
      <c r="FA7" s="770" t="s">
        <v>29</v>
      </c>
      <c r="FB7" s="771" t="s">
        <v>552</v>
      </c>
      <c r="FC7" s="771" t="s">
        <v>30</v>
      </c>
      <c r="FD7" s="771" t="s">
        <v>31</v>
      </c>
      <c r="FE7" s="772" t="s">
        <v>545</v>
      </c>
      <c r="FF7" s="772" t="s">
        <v>413</v>
      </c>
      <c r="FG7" s="772" t="s">
        <v>414</v>
      </c>
      <c r="FH7" s="771" t="s">
        <v>32</v>
      </c>
      <c r="FI7" s="771" t="s">
        <v>33</v>
      </c>
      <c r="FJ7" s="771" t="s">
        <v>34</v>
      </c>
      <c r="FK7" s="773" t="s">
        <v>384</v>
      </c>
      <c r="FL7" s="774" t="s">
        <v>19</v>
      </c>
      <c r="FM7" s="774" t="s">
        <v>385</v>
      </c>
      <c r="FN7" s="774" t="s">
        <v>386</v>
      </c>
      <c r="FO7" s="774" t="s">
        <v>387</v>
      </c>
      <c r="FP7" s="775" t="s">
        <v>388</v>
      </c>
    </row>
    <row r="8" spans="1:183" s="216" customFormat="1" ht="15" customHeight="1" outlineLevel="1">
      <c r="A8" s="1006" t="str">
        <f>+$G$4</f>
        <v>MAYO  2026 2da QUINCENA</v>
      </c>
      <c r="B8" s="1006">
        <f>+$G$5</f>
        <v>2026</v>
      </c>
      <c r="C8" s="1007" t="str">
        <f>A8 &amp; B8</f>
        <v>MAYO  2026 2da QUINCENA2026</v>
      </c>
      <c r="D8" s="235" t="str">
        <f>+$G$8</f>
        <v>ADMINISTRATIVO</v>
      </c>
      <c r="E8" s="235">
        <v>102010</v>
      </c>
      <c r="F8" s="268"/>
      <c r="G8" s="779" t="s">
        <v>58</v>
      </c>
      <c r="H8" s="200"/>
      <c r="I8" s="201"/>
      <c r="J8" s="203"/>
      <c r="K8" s="203"/>
      <c r="L8" s="202"/>
      <c r="M8" s="203"/>
      <c r="N8" s="204"/>
      <c r="O8" s="204"/>
      <c r="P8" s="204"/>
      <c r="Q8" s="204"/>
      <c r="R8" s="204"/>
      <c r="S8" s="204"/>
      <c r="T8" s="205"/>
      <c r="U8" s="207"/>
      <c r="V8" s="203"/>
      <c r="W8" s="207"/>
      <c r="X8" s="203"/>
      <c r="Y8" s="207"/>
      <c r="Z8" s="203"/>
      <c r="AA8" s="207"/>
      <c r="AB8" s="203"/>
      <c r="AC8" s="207"/>
      <c r="AD8" s="203"/>
      <c r="AE8" s="208"/>
      <c r="AF8" s="203"/>
      <c r="AG8" s="209"/>
      <c r="AH8" s="203"/>
      <c r="AI8" s="209"/>
      <c r="AJ8" s="203"/>
      <c r="AK8" s="210"/>
      <c r="AL8" s="203"/>
      <c r="AM8" s="209"/>
      <c r="AN8" s="203"/>
      <c r="AO8" s="210"/>
      <c r="AP8" s="210"/>
      <c r="AQ8" s="210"/>
      <c r="AR8" s="210"/>
      <c r="AS8" s="210"/>
      <c r="AT8" s="210"/>
      <c r="AU8" s="210"/>
      <c r="AV8" s="210"/>
      <c r="AW8" s="210"/>
      <c r="AX8" s="210"/>
      <c r="AY8" s="203"/>
      <c r="AZ8" s="201"/>
      <c r="BA8" s="203"/>
      <c r="BB8" s="787"/>
      <c r="BC8" s="203"/>
      <c r="BD8" s="203"/>
      <c r="BE8" s="203"/>
      <c r="BF8" s="203"/>
      <c r="BG8" s="203"/>
      <c r="BH8" s="203"/>
      <c r="BI8" s="203"/>
      <c r="BJ8" s="203"/>
      <c r="BK8" s="203"/>
      <c r="BL8" s="203"/>
      <c r="BM8" s="203"/>
      <c r="BN8" s="203"/>
      <c r="BO8" s="203"/>
      <c r="BP8" s="203"/>
      <c r="BQ8" s="203"/>
      <c r="BR8" s="202"/>
      <c r="BS8" s="203"/>
      <c r="BT8" s="203"/>
      <c r="BU8" s="203"/>
      <c r="BV8" s="203"/>
      <c r="BW8" s="203"/>
      <c r="BX8" s="203"/>
      <c r="BY8" s="203"/>
      <c r="BZ8" s="203"/>
      <c r="CA8" s="203"/>
      <c r="CB8" s="781"/>
      <c r="CC8" s="782"/>
      <c r="CD8" s="782"/>
      <c r="CE8" s="782"/>
      <c r="CF8" s="782"/>
      <c r="CG8" s="782"/>
      <c r="CH8" s="782"/>
      <c r="CI8" s="783"/>
      <c r="CJ8" s="784"/>
      <c r="CK8" s="785"/>
      <c r="CL8" s="782"/>
      <c r="CM8" s="782"/>
      <c r="CN8" s="782"/>
      <c r="CO8" s="782"/>
      <c r="CP8" s="782"/>
      <c r="CQ8" s="782"/>
      <c r="CR8" s="783"/>
      <c r="CS8" s="783"/>
      <c r="CU8" s="201"/>
      <c r="CV8" s="203"/>
      <c r="CW8" s="203"/>
      <c r="CX8" s="203"/>
      <c r="CY8" s="203"/>
      <c r="CZ8" s="203"/>
      <c r="DA8" s="203"/>
      <c r="DB8" s="203"/>
      <c r="DC8" s="203"/>
      <c r="DD8" s="203"/>
      <c r="DE8" s="203"/>
      <c r="DF8" s="203"/>
      <c r="DG8" s="203"/>
      <c r="DH8" s="203"/>
      <c r="DI8" s="203"/>
      <c r="DJ8" s="203"/>
      <c r="DK8" s="203"/>
      <c r="DL8" s="203"/>
      <c r="DM8" s="203"/>
      <c r="DN8" s="210"/>
      <c r="DO8" s="210"/>
      <c r="DP8" s="210"/>
      <c r="DQ8" s="210"/>
      <c r="DR8" s="210"/>
      <c r="DS8" s="210"/>
      <c r="DT8" s="210"/>
      <c r="DU8" s="210"/>
      <c r="DV8" s="210"/>
      <c r="DW8" s="790"/>
      <c r="DX8" s="788"/>
      <c r="DY8" s="788"/>
      <c r="DZ8" s="788"/>
      <c r="EA8" s="788"/>
      <c r="EB8" s="788"/>
      <c r="EC8" s="789"/>
      <c r="ED8" s="789"/>
      <c r="EE8" s="791"/>
      <c r="EF8" s="790"/>
      <c r="EG8" s="788"/>
      <c r="EH8" s="788"/>
      <c r="EI8" s="788"/>
      <c r="EJ8" s="788"/>
      <c r="EK8" s="788"/>
      <c r="EL8" s="789"/>
      <c r="EM8" s="789"/>
      <c r="EN8" s="789"/>
      <c r="EP8" s="265"/>
      <c r="EQ8" s="201"/>
      <c r="ER8" s="200"/>
      <c r="ES8" s="201"/>
      <c r="ET8" s="201"/>
      <c r="EU8" s="201"/>
      <c r="EV8" s="201"/>
      <c r="EW8" s="201"/>
      <c r="EX8" s="201"/>
      <c r="EY8" s="201"/>
      <c r="FA8" s="207"/>
      <c r="FB8" s="207"/>
      <c r="FC8" s="207"/>
      <c r="FD8" s="207"/>
      <c r="FE8" s="207"/>
      <c r="FF8" s="207"/>
      <c r="FG8" s="207"/>
      <c r="FH8" s="207"/>
      <c r="FI8" s="207"/>
      <c r="FJ8" s="207"/>
      <c r="FK8" s="217"/>
      <c r="FL8" s="217"/>
      <c r="FM8" s="217"/>
      <c r="FN8" s="217"/>
      <c r="FO8" s="217"/>
      <c r="FP8" s="218"/>
    </row>
    <row r="9" spans="1:183" s="216" customFormat="1" ht="15" customHeight="1" outlineLevel="1">
      <c r="A9" s="1006"/>
      <c r="B9" s="1006"/>
      <c r="C9" s="1007"/>
      <c r="D9" s="235"/>
      <c r="E9" s="235">
        <v>102010</v>
      </c>
      <c r="F9" s="268">
        <v>1</v>
      </c>
      <c r="G9" s="199" t="s">
        <v>722</v>
      </c>
      <c r="H9" s="200" t="s">
        <v>55</v>
      </c>
      <c r="I9" s="201" t="s">
        <v>11</v>
      </c>
      <c r="J9" s="203">
        <v>5000</v>
      </c>
      <c r="K9" s="203">
        <v>1000</v>
      </c>
      <c r="L9" s="202">
        <f t="shared" ref="L9" si="0">+J9+K9</f>
        <v>6000</v>
      </c>
      <c r="M9" s="203">
        <v>30</v>
      </c>
      <c r="N9" s="204">
        <v>0.5</v>
      </c>
      <c r="O9" s="204">
        <v>0.4</v>
      </c>
      <c r="P9" s="204">
        <v>0.1</v>
      </c>
      <c r="Q9" s="204">
        <v>0</v>
      </c>
      <c r="R9" s="204">
        <v>0</v>
      </c>
      <c r="S9" s="204">
        <f t="shared" ref="S9" si="1">SUM(N9:R9)</f>
        <v>1</v>
      </c>
      <c r="T9" s="205"/>
      <c r="U9" s="207"/>
      <c r="V9" s="239">
        <f t="shared" ref="V9" si="2">($J9/30/8*1.5)*U9</f>
        <v>0</v>
      </c>
      <c r="W9" s="265"/>
      <c r="X9" s="239">
        <f t="shared" ref="X9" si="3">($J9/30/8*2)*W9</f>
        <v>0</v>
      </c>
      <c r="Y9" s="265"/>
      <c r="Z9" s="239">
        <f t="shared" ref="Z9" si="4">($J9/30/8*1.5)*Y9</f>
        <v>0</v>
      </c>
      <c r="AA9" s="265"/>
      <c r="AB9" s="239">
        <f t="shared" ref="AB9" si="5">($J9/30/8*2)*AA9</f>
        <v>0</v>
      </c>
      <c r="AC9" s="265"/>
      <c r="AD9" s="239">
        <f t="shared" ref="AD9" si="6">(($J9/30/8)*1.5)*AC9</f>
        <v>0</v>
      </c>
      <c r="AE9" s="839"/>
      <c r="AF9" s="239">
        <f t="shared" ref="AF9" si="7">(($J9/30/8)*2)*AE9</f>
        <v>0</v>
      </c>
      <c r="AG9" s="839"/>
      <c r="AH9" s="239">
        <f t="shared" ref="AH9" si="8">(($J9/30/8)*1.5)*AG9</f>
        <v>0</v>
      </c>
      <c r="AI9" s="839">
        <v>0</v>
      </c>
      <c r="AJ9" s="239">
        <f>(($J9/30/8)*2)*AI9</f>
        <v>0</v>
      </c>
      <c r="AK9" s="239"/>
      <c r="AL9" s="239">
        <f t="shared" ref="AL9" si="9">(($J9/30/8)*1.5)*AK9</f>
        <v>0</v>
      </c>
      <c r="AM9" s="839"/>
      <c r="AN9" s="239">
        <f t="shared" ref="AN9" si="10">(($J9/30/8)*2)*AM9</f>
        <v>0</v>
      </c>
      <c r="AO9" s="239"/>
      <c r="AP9" s="239"/>
      <c r="AQ9" s="239"/>
      <c r="AR9" s="239"/>
      <c r="AS9" s="239"/>
      <c r="AT9" s="239"/>
      <c r="AU9" s="239"/>
      <c r="AV9" s="239"/>
      <c r="AW9" s="239"/>
      <c r="AX9" s="239"/>
      <c r="AY9" s="239"/>
      <c r="AZ9" s="200"/>
      <c r="BA9" s="203">
        <f>(($J9/30)*$M9)*$N9</f>
        <v>2500</v>
      </c>
      <c r="BB9" s="203">
        <f>((K9/30)*M9)*$N9</f>
        <v>500.00000000000006</v>
      </c>
      <c r="BC9" s="203">
        <f t="shared" ref="BC9" si="11">U9</f>
        <v>0</v>
      </c>
      <c r="BD9" s="203">
        <f t="shared" ref="BD9" si="12">V9</f>
        <v>0</v>
      </c>
      <c r="BE9" s="203">
        <f t="shared" ref="BE9" si="13">W9</f>
        <v>0</v>
      </c>
      <c r="BF9" s="203">
        <f t="shared" ref="BF9" si="14">X9</f>
        <v>0</v>
      </c>
      <c r="BG9" s="203">
        <f t="shared" ref="BG9" si="15">AO9+AT9</f>
        <v>0</v>
      </c>
      <c r="BH9" s="203">
        <f>(BA9+BD9+BF9+BG9)*0.1267</f>
        <v>316.75</v>
      </c>
      <c r="BI9" s="203">
        <f t="shared" ref="BI9" si="16">SUM(BA9:BH9)-BC9-BE9</f>
        <v>3316.75</v>
      </c>
      <c r="BJ9" s="203">
        <f>(($J9/30)*$M9)*$O9</f>
        <v>2000</v>
      </c>
      <c r="BK9" s="203">
        <f>(($K9/30)*$M9)*$O9</f>
        <v>400.00000000000006</v>
      </c>
      <c r="BL9" s="203">
        <f t="shared" ref="BL9" si="17">Y9</f>
        <v>0</v>
      </c>
      <c r="BM9" s="203">
        <f t="shared" ref="BM9" si="18">Z9</f>
        <v>0</v>
      </c>
      <c r="BN9" s="203">
        <f t="shared" ref="BN9" si="19">AA9</f>
        <v>0</v>
      </c>
      <c r="BO9" s="203">
        <f t="shared" ref="BO9" si="20">AB9</f>
        <v>0</v>
      </c>
      <c r="BP9" s="203">
        <f t="shared" ref="BP9" si="21">AP9+AU9</f>
        <v>0</v>
      </c>
      <c r="BQ9" s="203">
        <f>(+BJ9+BM9+BO9+BP9)*0.1267</f>
        <v>253.4</v>
      </c>
      <c r="BR9" s="202">
        <f t="shared" ref="BR9" si="22">SUM(BJ9:BQ9)-BL9-BN9</f>
        <v>2653.4</v>
      </c>
      <c r="BS9" s="203">
        <f t="shared" ref="BS9:BS11" si="23">(($J9/30)*$M9)*$P9</f>
        <v>500</v>
      </c>
      <c r="BT9" s="203">
        <f t="shared" ref="BT9:BT11" si="24">(($K9/30)*$M9)*$P9</f>
        <v>100.00000000000001</v>
      </c>
      <c r="BU9" s="203">
        <f t="shared" ref="BU9" si="25">AC9</f>
        <v>0</v>
      </c>
      <c r="BV9" s="203">
        <f t="shared" ref="BV9" si="26">AD9</f>
        <v>0</v>
      </c>
      <c r="BW9" s="203">
        <f t="shared" ref="BW9" si="27">AE9</f>
        <v>0</v>
      </c>
      <c r="BX9" s="203">
        <f t="shared" ref="BX9" si="28">AF9</f>
        <v>0</v>
      </c>
      <c r="BY9" s="203">
        <f t="shared" ref="BY9" si="29">AQ9+AV9</f>
        <v>0</v>
      </c>
      <c r="BZ9" s="203">
        <f>(BS9+BV9+BX9+BY9)*0.1267</f>
        <v>63.35</v>
      </c>
      <c r="CA9" s="203">
        <f t="shared" ref="CA9" si="30">SUM(BS9:BZ9)-BU9-BW9</f>
        <v>663.35</v>
      </c>
      <c r="CB9" s="781">
        <f t="shared" ref="CB9:CB11" si="31">(($J9/30)*$M9)*$Q9</f>
        <v>0</v>
      </c>
      <c r="CC9" s="782">
        <f t="shared" ref="CC9:CC11" si="32">(($K9/30)*$M9)*$Q9</f>
        <v>0</v>
      </c>
      <c r="CD9" s="782">
        <f t="shared" ref="CD9" si="33">AG9</f>
        <v>0</v>
      </c>
      <c r="CE9" s="782">
        <f>AH9</f>
        <v>0</v>
      </c>
      <c r="CF9" s="782">
        <f t="shared" ref="CF9" si="34">AI9</f>
        <v>0</v>
      </c>
      <c r="CG9" s="782">
        <f t="shared" ref="CG9" si="35">AJ9</f>
        <v>0</v>
      </c>
      <c r="CH9" s="782">
        <f t="shared" ref="CH9" si="36">AR9+AW9</f>
        <v>0</v>
      </c>
      <c r="CI9" s="703">
        <f>(CB9+CE9+CG9+CH9)*0.1267</f>
        <v>0</v>
      </c>
      <c r="CJ9" s="784">
        <f t="shared" ref="CJ9" si="37">SUM(CB9:CI9)-CD9-CF9</f>
        <v>0</v>
      </c>
      <c r="CK9" s="785">
        <f t="shared" ref="CK9" si="38">(($J9/30)*$M9)*R9</f>
        <v>0</v>
      </c>
      <c r="CL9" s="782">
        <f t="shared" ref="CL9" si="39">(($K9/30)*$M9)*$R9</f>
        <v>0</v>
      </c>
      <c r="CM9" s="782">
        <f t="shared" ref="CM9" si="40">+AK9</f>
        <v>0</v>
      </c>
      <c r="CN9" s="782">
        <f t="shared" ref="CN9" si="41">AL9</f>
        <v>0</v>
      </c>
      <c r="CO9" s="782">
        <f t="shared" ref="CO9" si="42">AM9</f>
        <v>0</v>
      </c>
      <c r="CP9" s="782">
        <f t="shared" ref="CP9" si="43">AN9</f>
        <v>0</v>
      </c>
      <c r="CQ9" s="782">
        <f t="shared" ref="CQ9" si="44">AS9+AX9</f>
        <v>0</v>
      </c>
      <c r="CR9" s="783">
        <f t="shared" ref="CR9" si="45">(CK9+CN9+CP9)*0.1267</f>
        <v>0</v>
      </c>
      <c r="CS9" s="783">
        <f t="shared" ref="CS9" si="46">SUM(CK9:CR9)-CM9-CO9</f>
        <v>0</v>
      </c>
      <c r="CU9" s="201" t="s">
        <v>11</v>
      </c>
      <c r="CV9" s="203">
        <f t="shared" ref="CV9:CV11" si="47">IF($CU9="PROQUIMA",$BA9+$BJ9+$BS9+$CB9+$CK9,0)</f>
        <v>0</v>
      </c>
      <c r="CW9" s="203">
        <f t="shared" ref="CW9:CW11" si="48">IF($CU9="PROQUIMA",$BB9+$BK9+$BT9+$CC9+$CL9,0)</f>
        <v>0</v>
      </c>
      <c r="CX9" s="203">
        <f t="shared" ref="CX9:CX11" si="49">IF($CU9="PROQUIMA",$BC9+$BL9+$BU9+$CD9+$CM9,0)</f>
        <v>0</v>
      </c>
      <c r="CY9" s="203">
        <f t="shared" ref="CY9:CY11" si="50">IF($CU9="PROQUIMA",$BD9+$BM9+$BV9+$CE9+$CN9,0)</f>
        <v>0</v>
      </c>
      <c r="CZ9" s="203">
        <f t="shared" ref="CZ9:CZ11" si="51">IF($CU9="PROQUIMA",$BE9+$BN9+$BW9+$CF9+$CO9,0)</f>
        <v>0</v>
      </c>
      <c r="DA9" s="203">
        <f t="shared" ref="DA9:DA11" si="52">IF($CU9="PROQUIMA",$BF9+$BO9+$BX9+$CG9+$CP9,0)</f>
        <v>0</v>
      </c>
      <c r="DB9" s="203">
        <f t="shared" ref="DB9:DB11" si="53">IF($CU9="PROQUIMA",$BG9+$BP9+$BY9+$CH9+$CQ9,0)</f>
        <v>0</v>
      </c>
      <c r="DC9" s="203">
        <f t="shared" ref="DC9" si="54">IF($CU9="PROQUIMA",$BH9+$BQ9+$BZ9+$CI9+CR9,0)</f>
        <v>0</v>
      </c>
      <c r="DD9" s="203">
        <f t="shared" ref="DD9" si="55">SUM(CV9:DC9)-CX9-CZ9</f>
        <v>0</v>
      </c>
      <c r="DE9" s="239">
        <f t="shared" ref="DE9:DE11" si="56">IF($CU9="UNHESA",$BA9+$BJ9+$BS9+$CB9+$CK9,0)</f>
        <v>0</v>
      </c>
      <c r="DF9" s="203">
        <f t="shared" ref="DF9:DF11" si="57">IF($CU9="UNHESA",$BB9+$BK9+$BT9+$CC9+$CL9,0)</f>
        <v>0</v>
      </c>
      <c r="DG9" s="203">
        <f t="shared" ref="DG9:DG11" si="58">IF($CU9="UNHESA",$BC9+$BL9+$BU9+$CD9+$CM9,0)</f>
        <v>0</v>
      </c>
      <c r="DH9" s="203">
        <f t="shared" ref="DH9:DH11" si="59">IF($CU9="UNHESA",$BD9+$BM9+$BV9+$CE9+$CN9,0)</f>
        <v>0</v>
      </c>
      <c r="DI9" s="203">
        <f>IF($CU9="UNHESA",$BE9+$BN9+$BW9+$CF9+$CO9,0)</f>
        <v>0</v>
      </c>
      <c r="DJ9" s="203">
        <f t="shared" ref="DJ9:DJ11" si="60">IF($CU9="UNHESA",$BF9+$BO9+$BX9+$CG9+$CP9,0)</f>
        <v>0</v>
      </c>
      <c r="DK9" s="203">
        <f t="shared" ref="DK9:DK11" si="61">IF($CU9="UNHESA",$BG9+$BP9+$BY9+$CH9+$CQ9,0)</f>
        <v>0</v>
      </c>
      <c r="DL9" s="203">
        <f t="shared" ref="DL9:DL11" si="62">IF($CU9="UNHESA",$BH9+$BQ9+$BZ9+$CI9+$CR9,0)</f>
        <v>0</v>
      </c>
      <c r="DM9" s="203">
        <f t="shared" ref="DM9" si="63">SUM(DE9:DL9)-DG9-DI9</f>
        <v>0</v>
      </c>
      <c r="DN9" s="203">
        <f t="shared" ref="DN9" si="64">SUM(DF9:DM9)-DH9-DJ9</f>
        <v>0</v>
      </c>
      <c r="DO9" s="203">
        <f t="shared" ref="DO9" si="65">SUM(DG9:DN9)-DI9-DK9</f>
        <v>0</v>
      </c>
      <c r="DP9" s="203">
        <f t="shared" ref="DP9" si="66">SUM(DH9:DO9)-DJ9-DL9</f>
        <v>0</v>
      </c>
      <c r="DQ9" s="203">
        <f t="shared" ref="DQ9" si="67">SUM(DI9:DP9)-DK9-DM9</f>
        <v>0</v>
      </c>
      <c r="DR9" s="203">
        <f t="shared" ref="DR9" si="68">SUM(DJ9:DQ9)-DL9-DN9</f>
        <v>0</v>
      </c>
      <c r="DS9" s="203">
        <f t="shared" ref="DS9" si="69">SUM(DK9:DR9)-DM9-DO9</f>
        <v>0</v>
      </c>
      <c r="DT9" s="203">
        <f t="shared" ref="DT9" si="70">SUM(DL9:DS9)-DN9-DP9</f>
        <v>0</v>
      </c>
      <c r="DU9" s="203">
        <f t="shared" ref="DU9" si="71">SUM(DM9:DT9)-DO9-DQ9</f>
        <v>0</v>
      </c>
      <c r="DV9" s="203">
        <f t="shared" ref="DV9" si="72">SUM(DN9:DU9)-DP9-DR9</f>
        <v>0</v>
      </c>
      <c r="DW9" s="1203">
        <f t="shared" ref="DW9:DW11" si="73">IF($CU9="CLEARTEC",$BA9+$BJ9+$BS9+$CB9+$CK9,0)</f>
        <v>0</v>
      </c>
      <c r="DX9" s="1203">
        <f t="shared" ref="DX9:EE11" si="74">IF($CU9="CLEARTEC",$BA9+$BJ9+$BS9+$CB9+$CK9,0)</f>
        <v>0</v>
      </c>
      <c r="DY9" s="1203">
        <f t="shared" si="74"/>
        <v>0</v>
      </c>
      <c r="DZ9" s="1203">
        <f t="shared" si="74"/>
        <v>0</v>
      </c>
      <c r="EA9" s="1203">
        <f t="shared" si="74"/>
        <v>0</v>
      </c>
      <c r="EB9" s="1203">
        <f t="shared" si="74"/>
        <v>0</v>
      </c>
      <c r="EC9" s="1203">
        <f t="shared" si="74"/>
        <v>0</v>
      </c>
      <c r="ED9" s="1203">
        <f t="shared" si="74"/>
        <v>0</v>
      </c>
      <c r="EE9" s="1203">
        <f t="shared" si="74"/>
        <v>0</v>
      </c>
      <c r="EF9" s="203">
        <f t="shared" ref="EF9" si="75">IF(CU9="ECONACIONAL",$BA9+$BJ9+$BS9+$CB9+$CK9)</f>
        <v>5000</v>
      </c>
      <c r="EG9" s="242">
        <f t="shared" ref="EG9:EG11" si="76">IF($CU9="ECONACIONAL",$BB9+$BK9+$BT9+$CC9+$CL9,0)</f>
        <v>1000.0000000000001</v>
      </c>
      <c r="EH9" s="203">
        <f>IF(CU9="ECONACIONAL",$BC9+$BL9+$BU9+$CD9+$CM9)</f>
        <v>0</v>
      </c>
      <c r="EI9" s="203">
        <f>IF(CU9="ECONACIONAL",$BD9+$DH9+$DQ9+$DZ9+BM9+BV9+CE9+CN9)</f>
        <v>0</v>
      </c>
      <c r="EJ9" s="242">
        <f t="shared" ref="EJ9:EJ11" si="77">IF($CU9="CLEARTEC",$BE9+$BN9+$BW9+$CF9+$CO9,0)</f>
        <v>0</v>
      </c>
      <c r="EK9" s="203">
        <f t="shared" ref="EK9" si="78">IF(CU9="ECONACIONAL",$BF9+$BO9+$BX9+$CG9+$CP9)</f>
        <v>0</v>
      </c>
      <c r="EL9" s="203">
        <f t="shared" ref="EL9" si="79">IF(CU9="ECONACIONAL",$BG9+$BP9+$BY9+$CH9+$CQ9)</f>
        <v>0</v>
      </c>
      <c r="EM9" s="203">
        <f t="shared" ref="EM9" si="80">IF(CU9="ECONACIONAL",BH9+BQ9+BZ9+CI9+CR9)</f>
        <v>633.5</v>
      </c>
      <c r="EN9" s="203">
        <f t="shared" ref="EN9" si="81">SUM(EF9:EM9)-EH9-EJ9</f>
        <v>6633.5</v>
      </c>
      <c r="EP9" s="201">
        <v>87.92</v>
      </c>
      <c r="EQ9" s="201"/>
      <c r="ER9" s="201"/>
      <c r="ES9" s="201">
        <v>65</v>
      </c>
      <c r="ET9" s="201"/>
      <c r="EU9" s="201"/>
      <c r="EV9" s="201">
        <v>350</v>
      </c>
      <c r="EW9" s="201"/>
      <c r="EX9" s="201"/>
      <c r="EY9" s="201">
        <f t="shared" ref="EY9" si="82">+ET9+EU9+EV9</f>
        <v>350</v>
      </c>
      <c r="FA9" s="207">
        <f>IF($M9&lt;=15,EP9/2,EP9)</f>
        <v>87.92</v>
      </c>
      <c r="FB9" s="207">
        <f t="shared" ref="FB9" si="83">IF($M9&lt;=15,EQ9/2,EQ9)</f>
        <v>0</v>
      </c>
      <c r="FC9" s="207">
        <f t="shared" ref="FC9" si="84">IF($M9&lt;=15,ER9/2,ER9)</f>
        <v>0</v>
      </c>
      <c r="FD9" s="207">
        <f>IF($M9&lt;=15,ES9/2,ES9)</f>
        <v>65</v>
      </c>
      <c r="FE9" s="207">
        <f t="shared" ref="FE9" si="85">IF($M9&lt;=15,ET9/2,ET9)</f>
        <v>0</v>
      </c>
      <c r="FF9" s="207">
        <f t="shared" ref="FF9" si="86">IF($M9&lt;=15,EU9/2,EU9)</f>
        <v>0</v>
      </c>
      <c r="FG9" s="207">
        <f>IF($M9&lt;=15,EV9/2,EV9)</f>
        <v>350</v>
      </c>
      <c r="FH9" s="207">
        <f>IF($M9&lt;=15,EW9/2,EW9)</f>
        <v>0</v>
      </c>
      <c r="FI9" s="207">
        <f t="shared" ref="FI9" si="87">IF($M9&lt;=15,EX9/2,EX9)</f>
        <v>0</v>
      </c>
      <c r="FJ9" s="207">
        <f t="shared" ref="FJ9" si="88">IF($M9&lt;=15,EY9/2,EY9)</f>
        <v>350</v>
      </c>
      <c r="FK9" s="217"/>
      <c r="FL9" s="217"/>
      <c r="FM9" s="217"/>
      <c r="FN9" s="217"/>
      <c r="FO9" s="217"/>
      <c r="FP9" s="218"/>
      <c r="FR9" s="1185">
        <f>(((J9/30/8)*1.5)*(U9+Y9+AC9))-(BD9+BM9+BV9)</f>
        <v>0</v>
      </c>
      <c r="FS9" s="1185">
        <f t="shared" ref="FS9" si="89">(((J9/30/8)*2)*(W9+AA9+AE9))-(BF9+BO9+BX9)</f>
        <v>0</v>
      </c>
      <c r="FT9" s="1186">
        <f>(SUM(BA9:CJ9))-(SUM(EF9:EN9))</f>
        <v>0</v>
      </c>
      <c r="FU9" s="1185">
        <f>(J9/30*M9)-(EF9)</f>
        <v>0</v>
      </c>
      <c r="FV9" s="1187">
        <f>(SUM(EP9:EY9))-((SUM(FA9:FJ9))*$FV$5)</f>
        <v>-852.92000000000007</v>
      </c>
    </row>
    <row r="10" spans="1:183" s="844" customFormat="1" ht="15" customHeight="1" outlineLevel="1">
      <c r="A10" s="1006" t="str">
        <f>$G$4</f>
        <v>MAYO  2026 2da QUINCENA</v>
      </c>
      <c r="B10" s="1006">
        <f t="shared" ref="B10:B74" si="90">+$G$5</f>
        <v>2026</v>
      </c>
      <c r="C10" s="1007" t="str">
        <f t="shared" ref="C10" si="91">A10 &amp; B10</f>
        <v>MAYO  2026 2da QUINCENA2026</v>
      </c>
      <c r="D10" s="235" t="str">
        <f t="shared" ref="D10" si="92">+$G$8</f>
        <v>ADMINISTRATIVO</v>
      </c>
      <c r="E10" s="235">
        <v>102050</v>
      </c>
      <c r="F10" s="268">
        <v>2</v>
      </c>
      <c r="G10" s="199" t="s">
        <v>431</v>
      </c>
      <c r="H10" s="200" t="s">
        <v>60</v>
      </c>
      <c r="I10" s="200" t="s">
        <v>11</v>
      </c>
      <c r="J10" s="203">
        <v>4002.28</v>
      </c>
      <c r="K10" s="239">
        <v>250</v>
      </c>
      <c r="L10" s="837">
        <f t="shared" ref="L10" si="93">+J10+K10</f>
        <v>4252.2800000000007</v>
      </c>
      <c r="M10" s="203">
        <v>30</v>
      </c>
      <c r="N10" s="270">
        <v>0.5</v>
      </c>
      <c r="O10" s="270">
        <v>0.5</v>
      </c>
      <c r="P10" s="270">
        <v>0</v>
      </c>
      <c r="Q10" s="270">
        <v>0</v>
      </c>
      <c r="R10" s="270">
        <v>0</v>
      </c>
      <c r="S10" s="270">
        <f t="shared" ref="S10" si="94">SUM(N10:R10)</f>
        <v>1</v>
      </c>
      <c r="U10" s="1197"/>
      <c r="V10" s="239">
        <f t="shared" ref="V10" si="95">($J10/30/8*1.5)*U10</f>
        <v>0</v>
      </c>
      <c r="W10" s="265"/>
      <c r="X10" s="239">
        <f t="shared" ref="X10" si="96">($J10/30/8*2)*W10</f>
        <v>0</v>
      </c>
      <c r="Y10" s="265"/>
      <c r="Z10" s="239">
        <f t="shared" ref="Z10" si="97">($J10/30/8*1.5)*Y10</f>
        <v>0</v>
      </c>
      <c r="AA10" s="265"/>
      <c r="AB10" s="239">
        <f t="shared" ref="AB10" si="98">($J10/30/8*2)*AA10</f>
        <v>0</v>
      </c>
      <c r="AC10" s="265"/>
      <c r="AD10" s="239">
        <f t="shared" ref="AD10" si="99">(($J10/30/8)*1.5)*AC10</f>
        <v>0</v>
      </c>
      <c r="AE10" s="839"/>
      <c r="AF10" s="239">
        <f t="shared" ref="AF10" si="100">(($J10/30/8)*2)*AE10</f>
        <v>0</v>
      </c>
      <c r="AG10" s="839"/>
      <c r="AH10" s="239">
        <f t="shared" ref="AH10" si="101">(($J10/30/8)*1.5)*AG10</f>
        <v>0</v>
      </c>
      <c r="AI10" s="839"/>
      <c r="AJ10" s="239">
        <f t="shared" ref="AJ10" si="102">(($J10/30/8)*2)*AI10</f>
        <v>0</v>
      </c>
      <c r="AK10" s="239"/>
      <c r="AL10" s="239">
        <f t="shared" ref="AL10" si="103">(($J10/30/8)*1.5)*AK10</f>
        <v>0</v>
      </c>
      <c r="AM10" s="839"/>
      <c r="AN10" s="239">
        <f t="shared" ref="AN10" si="104">(($J10/30/8)*2)*AM10</f>
        <v>0</v>
      </c>
      <c r="AO10" s="239"/>
      <c r="AP10" s="239"/>
      <c r="AQ10" s="239"/>
      <c r="AR10" s="239"/>
      <c r="AS10" s="239"/>
      <c r="AT10" s="239"/>
      <c r="AU10" s="239"/>
      <c r="AV10" s="239"/>
      <c r="AW10" s="239"/>
      <c r="AX10" s="239"/>
      <c r="AY10" s="239"/>
      <c r="AZ10" s="997"/>
      <c r="BA10" s="239">
        <f t="shared" ref="BA10" si="105">((J10/30)*M10)*$N10</f>
        <v>2001.14</v>
      </c>
      <c r="BB10" s="239">
        <f>((K10/30)*M10)*$N10</f>
        <v>125.00000000000001</v>
      </c>
      <c r="BC10" s="239">
        <f t="shared" ref="BC10" si="106">U10</f>
        <v>0</v>
      </c>
      <c r="BD10" s="239">
        <f t="shared" ref="BD10" si="107">V10</f>
        <v>0</v>
      </c>
      <c r="BE10" s="239">
        <f t="shared" ref="BE10" si="108">W10</f>
        <v>0</v>
      </c>
      <c r="BF10" s="239">
        <f t="shared" ref="BF10" si="109">X10</f>
        <v>0</v>
      </c>
      <c r="BG10" s="239">
        <f t="shared" ref="BG10" si="110">AO10+AT10</f>
        <v>0</v>
      </c>
      <c r="BH10" s="203">
        <f t="shared" ref="BH10" si="111">(BA10+BD10+BF10+BG10)*0.1267</f>
        <v>253.54443800000001</v>
      </c>
      <c r="BI10" s="239">
        <f t="shared" ref="BI10" si="112">SUM(BA10:BH10)-BC10-BE10</f>
        <v>2379.6844380000002</v>
      </c>
      <c r="BJ10" s="239">
        <f t="shared" ref="BJ10:BJ11" si="113">(($J10/30)*$M10)*$O10</f>
        <v>2001.14</v>
      </c>
      <c r="BK10" s="210">
        <f>(($K10/30)*$M10)*$O10</f>
        <v>125.00000000000001</v>
      </c>
      <c r="BL10" s="210">
        <f t="shared" ref="BL10" si="114">Y10</f>
        <v>0</v>
      </c>
      <c r="BM10" s="210">
        <f t="shared" ref="BM10" si="115">Z10</f>
        <v>0</v>
      </c>
      <c r="BN10" s="210">
        <f t="shared" ref="BN10" si="116">AA10</f>
        <v>0</v>
      </c>
      <c r="BO10" s="210">
        <f t="shared" ref="BO10" si="117">AB10</f>
        <v>0</v>
      </c>
      <c r="BP10" s="210">
        <f t="shared" ref="BP10" si="118">AP10+AU10</f>
        <v>0</v>
      </c>
      <c r="BQ10" s="210">
        <f t="shared" ref="BQ10" si="119">(+BJ10+BM10+BO10+BP10)*0.1267</f>
        <v>253.54443800000001</v>
      </c>
      <c r="BR10" s="211">
        <f t="shared" ref="BR10" si="120">SUM(BJ10:BQ10)-BL10-BN10</f>
        <v>2379.6844380000002</v>
      </c>
      <c r="BS10" s="210">
        <f t="shared" si="23"/>
        <v>0</v>
      </c>
      <c r="BT10" s="210">
        <f t="shared" si="24"/>
        <v>0</v>
      </c>
      <c r="BU10" s="210">
        <f t="shared" ref="BU10" si="121">AC10</f>
        <v>0</v>
      </c>
      <c r="BV10" s="210">
        <f t="shared" ref="BV10" si="122">AD10</f>
        <v>0</v>
      </c>
      <c r="BW10" s="210">
        <f t="shared" ref="BW10" si="123">AE10</f>
        <v>0</v>
      </c>
      <c r="BX10" s="210">
        <f t="shared" ref="BX10" si="124">AF10</f>
        <v>0</v>
      </c>
      <c r="BY10" s="210">
        <f t="shared" ref="BY10" si="125">AQ10+AV10</f>
        <v>0</v>
      </c>
      <c r="BZ10" s="210">
        <f>(BS10+BV10+BX10)*0.09</f>
        <v>0</v>
      </c>
      <c r="CA10" s="210">
        <f t="shared" ref="CA10" si="126">SUM(BS10:BZ10)-BU10-BW10</f>
        <v>0</v>
      </c>
      <c r="CB10" s="1198">
        <f t="shared" si="31"/>
        <v>0</v>
      </c>
      <c r="CC10" s="1199">
        <f t="shared" si="32"/>
        <v>0</v>
      </c>
      <c r="CD10" s="1199">
        <f t="shared" ref="CD10" si="127">AG10</f>
        <v>0</v>
      </c>
      <c r="CE10" s="1199">
        <f>AH10</f>
        <v>0</v>
      </c>
      <c r="CF10" s="1199">
        <f t="shared" ref="CF10" si="128">AI10</f>
        <v>0</v>
      </c>
      <c r="CG10" s="1199">
        <f t="shared" ref="CG10" si="129">AJ10</f>
        <v>0</v>
      </c>
      <c r="CH10" s="1199">
        <f t="shared" ref="CH10" si="130">AR10+AW10</f>
        <v>0</v>
      </c>
      <c r="CI10" s="1200">
        <f>(CB10+CE10+CG10)*0.09</f>
        <v>0</v>
      </c>
      <c r="CJ10" s="1201">
        <f t="shared" ref="CJ10" si="131">SUM(CB10:CI10)-CD10-CF10</f>
        <v>0</v>
      </c>
      <c r="CK10" s="1202">
        <f t="shared" ref="CK10" si="132">(($J10/30)*$M10)*R10</f>
        <v>0</v>
      </c>
      <c r="CL10" s="1199">
        <f t="shared" ref="CL10:CL11" si="133">(($K10/30)*$M10)*$R10</f>
        <v>0</v>
      </c>
      <c r="CM10" s="1199">
        <f t="shared" ref="CM10" si="134">+AK10</f>
        <v>0</v>
      </c>
      <c r="CN10" s="1199">
        <f t="shared" ref="CN10" si="135">AL10</f>
        <v>0</v>
      </c>
      <c r="CO10" s="1199">
        <f t="shared" ref="CO10" si="136">AM10</f>
        <v>0</v>
      </c>
      <c r="CP10" s="1199">
        <f t="shared" ref="CP10" si="137">AN10</f>
        <v>0</v>
      </c>
      <c r="CQ10" s="1199">
        <f t="shared" ref="CQ10" si="138">AS10+AX10</f>
        <v>0</v>
      </c>
      <c r="CR10" s="1200">
        <f>(CK10+CN10+CP10)*0.09</f>
        <v>0</v>
      </c>
      <c r="CS10" s="1200">
        <f t="shared" ref="CS10" si="139">SUM(CK10:CR10)-CM10-CO10</f>
        <v>0</v>
      </c>
      <c r="CU10" s="201" t="s">
        <v>11</v>
      </c>
      <c r="CV10" s="210">
        <f t="shared" si="47"/>
        <v>0</v>
      </c>
      <c r="CW10" s="210">
        <f t="shared" si="48"/>
        <v>0</v>
      </c>
      <c r="CX10" s="210">
        <f t="shared" si="49"/>
        <v>0</v>
      </c>
      <c r="CY10" s="210">
        <f t="shared" si="50"/>
        <v>0</v>
      </c>
      <c r="CZ10" s="210">
        <f t="shared" si="51"/>
        <v>0</v>
      </c>
      <c r="DA10" s="210">
        <f t="shared" si="52"/>
        <v>0</v>
      </c>
      <c r="DB10" s="210">
        <f t="shared" si="53"/>
        <v>0</v>
      </c>
      <c r="DC10" s="210">
        <f t="shared" ref="DC10" si="140">IF($CU10="PROQUIMA",$BH10+$BQ10+$BZ10+$CI10+CR10,0)</f>
        <v>0</v>
      </c>
      <c r="DD10" s="210">
        <f t="shared" ref="DD10" si="141">SUM(CV10:DC10)-CX10-CZ10</f>
        <v>0</v>
      </c>
      <c r="DE10" s="210">
        <f t="shared" si="56"/>
        <v>0</v>
      </c>
      <c r="DF10" s="210">
        <f t="shared" si="57"/>
        <v>0</v>
      </c>
      <c r="DG10" s="210">
        <f t="shared" si="58"/>
        <v>0</v>
      </c>
      <c r="DH10" s="210">
        <f t="shared" si="59"/>
        <v>0</v>
      </c>
      <c r="DI10" s="210">
        <f t="shared" ref="DI10:DI11" si="142">IF($CU10="UNHESA",$BE10+$BN10+$BW10+$CF10+$CO10,0)</f>
        <v>0</v>
      </c>
      <c r="DJ10" s="210">
        <f t="shared" si="60"/>
        <v>0</v>
      </c>
      <c r="DK10" s="210">
        <f t="shared" si="61"/>
        <v>0</v>
      </c>
      <c r="DL10" s="210">
        <f t="shared" si="62"/>
        <v>0</v>
      </c>
      <c r="DM10" s="210">
        <f t="shared" ref="DM10" si="143">SUM(DE10:DL10)-DG10-DI10</f>
        <v>0</v>
      </c>
      <c r="DN10" s="210">
        <f t="shared" ref="DN10:DN11" si="144">IF($CU10="UNHESA LIQUIDOS",$BA10+$BJ10+$BS10+$CB10+$CK10,0)</f>
        <v>0</v>
      </c>
      <c r="DO10" s="210">
        <f t="shared" ref="DO10:DO11" si="145">IF($CU10="CALIDUL",$BB10+$BK10+$BT10+$CC10+$CL10,0)</f>
        <v>0</v>
      </c>
      <c r="DP10" s="210">
        <f t="shared" ref="DP10:DP11" si="146">IF($CU10="CALIDUL",$BC10+$BL10+$BU10+$CD10+$CM10,0)</f>
        <v>0</v>
      </c>
      <c r="DQ10" s="210">
        <f t="shared" ref="DQ10:DQ11" si="147">IF($CU10="CALIDUL",$BD10+$BM10+$BV10+$CE10+$CN10,0)</f>
        <v>0</v>
      </c>
      <c r="DR10" s="210">
        <f t="shared" ref="DR10:DR11" si="148">IF($CU10="CALIDUL",$BE10+$BN10+$BW10+$CF10+$CO10,0)</f>
        <v>0</v>
      </c>
      <c r="DS10" s="210">
        <f t="shared" ref="DS10:DS11" si="149">IF($CU10="CALIDUL",$BF10+$BO10+$BX10+$CG10+$CP10,0)</f>
        <v>0</v>
      </c>
      <c r="DT10" s="210">
        <f t="shared" ref="DT10:DT11" si="150">IF($CU10="CALIDUL",$BG10+$BP10+$BY10+$CH10+$CQ10,0)</f>
        <v>0</v>
      </c>
      <c r="DU10" s="210">
        <f t="shared" ref="DU10:DU11" si="151">IF($CU10="CALIDUL",$BH10+$BQ10+$BZ10+$CI10+$CR10,0)</f>
        <v>0</v>
      </c>
      <c r="DV10" s="210">
        <f t="shared" ref="DV10" si="152">SUM(DN10:DU10)-DP10-DR10</f>
        <v>0</v>
      </c>
      <c r="DW10" s="1203">
        <f t="shared" si="73"/>
        <v>0</v>
      </c>
      <c r="DX10" s="1203">
        <f t="shared" si="74"/>
        <v>0</v>
      </c>
      <c r="DY10" s="1203">
        <f t="shared" si="74"/>
        <v>0</v>
      </c>
      <c r="DZ10" s="1203">
        <f t="shared" si="74"/>
        <v>0</v>
      </c>
      <c r="EA10" s="1203">
        <f t="shared" si="74"/>
        <v>0</v>
      </c>
      <c r="EB10" s="1203">
        <f t="shared" si="74"/>
        <v>0</v>
      </c>
      <c r="EC10" s="1203">
        <f t="shared" si="74"/>
        <v>0</v>
      </c>
      <c r="ED10" s="1203">
        <f t="shared" si="74"/>
        <v>0</v>
      </c>
      <c r="EE10" s="1203">
        <f t="shared" si="74"/>
        <v>0</v>
      </c>
      <c r="EF10" s="203">
        <f t="shared" ref="EF10" si="153">IF(CU10="ECONACIONAL",$BA10+$BJ10+$BS10+$CB10+$CK10)</f>
        <v>4002.28</v>
      </c>
      <c r="EG10" s="242">
        <f t="shared" si="76"/>
        <v>250.00000000000003</v>
      </c>
      <c r="EH10" s="203">
        <f t="shared" ref="EH10" si="154">IF(CU10="ECONACIONAL",$BC10+$BL10+$BU10+$CD10+$CM10)</f>
        <v>0</v>
      </c>
      <c r="EI10" s="203">
        <f t="shared" ref="EI10" si="155">IF(CU10="ECONACIONAL",$BD10+$DH10+$DQ10+$DZ10+BM10+BV10+CE10+CN10)</f>
        <v>0</v>
      </c>
      <c r="EJ10" s="242">
        <f t="shared" si="77"/>
        <v>0</v>
      </c>
      <c r="EK10" s="203">
        <f t="shared" ref="EK10" si="156">IF(CU10="ECONACIONAL",$BF10+$BO10+$BX10+$CG10+$CP10)</f>
        <v>0</v>
      </c>
      <c r="EL10" s="203">
        <f t="shared" ref="EL10" si="157">IF(CU10="ECONACIONAL",$BG10+$BP10+$BY10+$CH10+$CQ10)</f>
        <v>0</v>
      </c>
      <c r="EM10" s="203">
        <f t="shared" ref="EM10" si="158">IF(CU10="ECONACIONAL",BH10+BQ10+BZ10+CI10+CR10)</f>
        <v>507.08887600000003</v>
      </c>
      <c r="EN10" s="203">
        <f t="shared" ref="EN10" si="159">SUM(EF10:EM10)-EH10-EJ10</f>
        <v>4759.3688760000005</v>
      </c>
      <c r="EP10" s="786"/>
      <c r="EQ10" s="786"/>
      <c r="ER10" s="852"/>
      <c r="ES10" s="852"/>
      <c r="ET10" s="201"/>
      <c r="EU10" s="201"/>
      <c r="EV10" s="201"/>
      <c r="EW10" s="852"/>
      <c r="EX10" s="852"/>
      <c r="EY10" s="201">
        <f t="shared" ref="EY10" si="160">+ET10+EU10+EV10</f>
        <v>0</v>
      </c>
      <c r="FA10" s="1197">
        <f t="shared" ref="FA10" si="161">IF($M10&lt;=15,EP10/2,EP10)</f>
        <v>0</v>
      </c>
      <c r="FB10" s="1197">
        <f t="shared" ref="FB10" si="162">IF($M10&lt;=15,EQ10/2,EQ10)</f>
        <v>0</v>
      </c>
      <c r="FC10" s="1197">
        <f t="shared" ref="FC10" si="163">IF($M10&lt;=15,ER10/2,ER10)</f>
        <v>0</v>
      </c>
      <c r="FD10" s="1197">
        <f t="shared" ref="FD10" si="164">IF($M10&lt;=15,ES10/2,ES10)</f>
        <v>0</v>
      </c>
      <c r="FE10" s="1197">
        <f t="shared" ref="FE10" si="165">IF($M10&lt;=15,ET10/2,ET10)</f>
        <v>0</v>
      </c>
      <c r="FF10" s="1197">
        <f t="shared" ref="FF10" si="166">IF($M10&lt;=15,EU10/2,EU10)</f>
        <v>0</v>
      </c>
      <c r="FG10" s="1197">
        <f t="shared" ref="FG10" si="167">IF($M10&lt;=15,EV10/2,EV10)</f>
        <v>0</v>
      </c>
      <c r="FH10" s="1197">
        <f t="shared" ref="FH10" si="168">IF($M10&lt;=15,EW10/2,EW10)</f>
        <v>0</v>
      </c>
      <c r="FI10" s="1197">
        <f t="shared" ref="FI10" si="169">IF($M10&lt;=15,EX10/2,EX10)</f>
        <v>0</v>
      </c>
      <c r="FJ10" s="1197">
        <f t="shared" ref="FJ10" si="170">IF($M10&lt;=15,EY10/2,EY10)</f>
        <v>0</v>
      </c>
      <c r="FK10" s="218">
        <v>0.5</v>
      </c>
      <c r="FL10" s="218">
        <v>0.5</v>
      </c>
      <c r="FM10" s="218">
        <v>0</v>
      </c>
      <c r="FN10" s="218">
        <v>0</v>
      </c>
      <c r="FO10" s="218">
        <v>0</v>
      </c>
      <c r="FP10" s="218">
        <v>1</v>
      </c>
      <c r="FR10" s="1185">
        <f t="shared" ref="FR10" si="171">(((J10/30/8)*1.5)*(U10+Y10+AC10))-(BD10+BM10+BV10)</f>
        <v>0</v>
      </c>
      <c r="FS10" s="1185">
        <f t="shared" ref="FS10" si="172">(((J10/30/8)*2)*(W10+AA10+AE10))-(BF10+BO10+BX10)</f>
        <v>0</v>
      </c>
      <c r="FT10" s="1186">
        <f t="shared" ref="FT10" si="173">(SUM(BA10:CJ10))-(SUM(EF10:EN10))</f>
        <v>0</v>
      </c>
      <c r="FU10" s="1185">
        <f t="shared" ref="FU10" si="174">(J10/30*M10)-(EF10)</f>
        <v>0</v>
      </c>
      <c r="FV10" s="1187">
        <f t="shared" ref="FV10" si="175">(SUM(EP10:EY10))-((SUM(FA10:FJ10))*$FV$5)</f>
        <v>0</v>
      </c>
    </row>
    <row r="11" spans="1:183" s="216" customFormat="1" ht="15" customHeight="1" outlineLevel="1">
      <c r="A11" s="1006"/>
      <c r="B11" s="1006"/>
      <c r="C11" s="1007"/>
      <c r="D11" s="235"/>
      <c r="E11" s="235">
        <v>102050</v>
      </c>
      <c r="F11" s="806"/>
      <c r="G11" s="199" t="s">
        <v>763</v>
      </c>
      <c r="H11" s="200" t="s">
        <v>60</v>
      </c>
      <c r="I11" s="201" t="s">
        <v>11</v>
      </c>
      <c r="J11" s="203">
        <v>4002.28</v>
      </c>
      <c r="K11" s="239">
        <v>250</v>
      </c>
      <c r="L11" s="837">
        <f t="shared" ref="L11" si="176">+J11+K11</f>
        <v>4252.2800000000007</v>
      </c>
      <c r="M11" s="203">
        <v>30</v>
      </c>
      <c r="N11" s="270">
        <v>0.5</v>
      </c>
      <c r="O11" s="270">
        <v>0.4</v>
      </c>
      <c r="P11" s="270">
        <v>0.1</v>
      </c>
      <c r="Q11" s="270">
        <v>0</v>
      </c>
      <c r="R11" s="270">
        <v>0</v>
      </c>
      <c r="S11" s="270">
        <f t="shared" ref="S11" si="177">SUM(N11:R11)</f>
        <v>1</v>
      </c>
      <c r="T11" s="844" t="s">
        <v>762</v>
      </c>
      <c r="U11" s="1197"/>
      <c r="V11" s="239">
        <f t="shared" ref="V11" si="178">($J11/30/8*1.5)*U11</f>
        <v>0</v>
      </c>
      <c r="W11" s="265"/>
      <c r="X11" s="239">
        <f t="shared" ref="X11" si="179">($J11/30/8*2)*W11</f>
        <v>0</v>
      </c>
      <c r="Y11" s="265"/>
      <c r="Z11" s="239">
        <f t="shared" ref="Z11" si="180">($J11/30/8*1.5)*Y11</f>
        <v>0</v>
      </c>
      <c r="AA11" s="265"/>
      <c r="AB11" s="239">
        <f t="shared" ref="AB11" si="181">($J11/30/8*2)*AA11</f>
        <v>0</v>
      </c>
      <c r="AC11" s="265"/>
      <c r="AD11" s="239">
        <f t="shared" ref="AD11" si="182">(($J11/30/8)*1.5)*AC11</f>
        <v>0</v>
      </c>
      <c r="AE11" s="839"/>
      <c r="AF11" s="239">
        <f t="shared" ref="AF11" si="183">(($J11/30/8)*2)*AE11</f>
        <v>0</v>
      </c>
      <c r="AG11" s="839"/>
      <c r="AH11" s="239">
        <f t="shared" ref="AH11" si="184">(($J11/30/8)*1.5)*AG11</f>
        <v>0</v>
      </c>
      <c r="AI11" s="839"/>
      <c r="AJ11" s="239">
        <f t="shared" ref="AJ11" si="185">(($J11/30/8)*2)*AI11</f>
        <v>0</v>
      </c>
      <c r="AK11" s="239"/>
      <c r="AL11" s="239">
        <f t="shared" ref="AL11" si="186">(($J11/30/8)*1.5)*AK11</f>
        <v>0</v>
      </c>
      <c r="AM11" s="839"/>
      <c r="AN11" s="239">
        <f t="shared" ref="AN11" si="187">(($J11/30/8)*2)*AM11</f>
        <v>0</v>
      </c>
      <c r="AO11" s="239"/>
      <c r="AP11" s="239"/>
      <c r="AQ11" s="239"/>
      <c r="AR11" s="239"/>
      <c r="AS11" s="239"/>
      <c r="AT11" s="239"/>
      <c r="AU11" s="239"/>
      <c r="AV11" s="239"/>
      <c r="AW11" s="239"/>
      <c r="AX11" s="239"/>
      <c r="AY11" s="239"/>
      <c r="AZ11" s="997"/>
      <c r="BA11" s="239">
        <f t="shared" ref="BA11" si="188">((J11/30)*M11)*$N11</f>
        <v>2001.14</v>
      </c>
      <c r="BB11" s="239">
        <f>((K11/30)*M11)*$N11</f>
        <v>125.00000000000001</v>
      </c>
      <c r="BC11" s="239">
        <f t="shared" ref="BC11" si="189">U11</f>
        <v>0</v>
      </c>
      <c r="BD11" s="239">
        <f t="shared" ref="BD11" si="190">V11</f>
        <v>0</v>
      </c>
      <c r="BE11" s="239">
        <f t="shared" ref="BE11" si="191">W11</f>
        <v>0</v>
      </c>
      <c r="BF11" s="239">
        <f t="shared" ref="BF11" si="192">X11</f>
        <v>0</v>
      </c>
      <c r="BG11" s="239">
        <f t="shared" ref="BG11" si="193">AO11+AT11</f>
        <v>0</v>
      </c>
      <c r="BH11" s="203">
        <f t="shared" ref="BH11" si="194">(BA11+BD11+BF11+BG11)*0.1267</f>
        <v>253.54443800000001</v>
      </c>
      <c r="BI11" s="239">
        <f t="shared" ref="BI11" si="195">SUM(BA11:BH11)-BC11-BE11</f>
        <v>2379.6844380000002</v>
      </c>
      <c r="BJ11" s="239">
        <f t="shared" si="113"/>
        <v>1600.9120000000003</v>
      </c>
      <c r="BK11" s="210">
        <f>(($K11/30)*$M11)*$O11</f>
        <v>100.00000000000001</v>
      </c>
      <c r="BL11" s="210">
        <f t="shared" ref="BL11" si="196">Y11</f>
        <v>0</v>
      </c>
      <c r="BM11" s="210">
        <f t="shared" ref="BM11" si="197">Z11</f>
        <v>0</v>
      </c>
      <c r="BN11" s="210">
        <f t="shared" ref="BN11" si="198">AA11</f>
        <v>0</v>
      </c>
      <c r="BO11" s="210">
        <f t="shared" ref="BO11" si="199">AB11</f>
        <v>0</v>
      </c>
      <c r="BP11" s="210">
        <f t="shared" ref="BP11" si="200">AP11+AU11</f>
        <v>0</v>
      </c>
      <c r="BQ11" s="210">
        <f t="shared" ref="BQ11" si="201">(+BJ11+BM11+BO11+BP11)*0.1267</f>
        <v>202.83555040000005</v>
      </c>
      <c r="BR11" s="211">
        <f t="shared" ref="BR11" si="202">SUM(BJ11:BQ11)-BL11-BN11</f>
        <v>1903.7475504000004</v>
      </c>
      <c r="BS11" s="210">
        <f t="shared" si="23"/>
        <v>400.22800000000007</v>
      </c>
      <c r="BT11" s="210">
        <f t="shared" si="24"/>
        <v>25.000000000000004</v>
      </c>
      <c r="BU11" s="210">
        <f t="shared" ref="BU11" si="203">AC11</f>
        <v>0</v>
      </c>
      <c r="BV11" s="210">
        <f t="shared" ref="BV11" si="204">AD11</f>
        <v>0</v>
      </c>
      <c r="BW11" s="210">
        <f t="shared" ref="BW11" si="205">AE11</f>
        <v>0</v>
      </c>
      <c r="BX11" s="210">
        <f t="shared" ref="BX11" si="206">AF11</f>
        <v>0</v>
      </c>
      <c r="BY11" s="210">
        <f t="shared" ref="BY11" si="207">AQ11+AV11</f>
        <v>0</v>
      </c>
      <c r="BZ11" s="210">
        <f>(BS11+BV11+BX11)*0.09</f>
        <v>36.020520000000005</v>
      </c>
      <c r="CA11" s="210">
        <f t="shared" ref="CA11" si="208">SUM(BS11:BZ11)-BU11-BW11</f>
        <v>461.2485200000001</v>
      </c>
      <c r="CB11" s="1198">
        <f t="shared" si="31"/>
        <v>0</v>
      </c>
      <c r="CC11" s="1199">
        <f t="shared" si="32"/>
        <v>0</v>
      </c>
      <c r="CD11" s="1199">
        <f t="shared" ref="CD11" si="209">AG11</f>
        <v>0</v>
      </c>
      <c r="CE11" s="1199">
        <f>AH11</f>
        <v>0</v>
      </c>
      <c r="CF11" s="1199">
        <f t="shared" ref="CF11" si="210">AI11</f>
        <v>0</v>
      </c>
      <c r="CG11" s="1199">
        <f t="shared" ref="CG11" si="211">AJ11</f>
        <v>0</v>
      </c>
      <c r="CH11" s="1199">
        <f t="shared" ref="CH11" si="212">AR11+AW11</f>
        <v>0</v>
      </c>
      <c r="CI11" s="1200">
        <f>(CB11+CE11+CG11)*0.09</f>
        <v>0</v>
      </c>
      <c r="CJ11" s="1201">
        <f t="shared" ref="CJ11" si="213">SUM(CB11:CI11)-CD11-CF11</f>
        <v>0</v>
      </c>
      <c r="CK11" s="1202">
        <f t="shared" ref="CK11" si="214">(($J11/30)*$M11)*R11</f>
        <v>0</v>
      </c>
      <c r="CL11" s="1199">
        <f t="shared" si="133"/>
        <v>0</v>
      </c>
      <c r="CM11" s="1199">
        <f t="shared" ref="CM11" si="215">+AK11</f>
        <v>0</v>
      </c>
      <c r="CN11" s="1199">
        <f t="shared" ref="CN11" si="216">AL11</f>
        <v>0</v>
      </c>
      <c r="CO11" s="1199">
        <f t="shared" ref="CO11" si="217">AM11</f>
        <v>0</v>
      </c>
      <c r="CP11" s="1199">
        <f t="shared" ref="CP11" si="218">AN11</f>
        <v>0</v>
      </c>
      <c r="CQ11" s="1199">
        <f t="shared" ref="CQ11" si="219">AS11+AX11</f>
        <v>0</v>
      </c>
      <c r="CR11" s="1200">
        <f>(CK11+CN11+CP11)*0.09</f>
        <v>0</v>
      </c>
      <c r="CS11" s="1200">
        <f t="shared" ref="CS11" si="220">SUM(CK11:CR11)-CM11-CO11</f>
        <v>0</v>
      </c>
      <c r="CT11" s="844"/>
      <c r="CU11" s="201" t="s">
        <v>11</v>
      </c>
      <c r="CV11" s="210">
        <f t="shared" si="47"/>
        <v>0</v>
      </c>
      <c r="CW11" s="210">
        <f t="shared" si="48"/>
        <v>0</v>
      </c>
      <c r="CX11" s="210">
        <f t="shared" si="49"/>
        <v>0</v>
      </c>
      <c r="CY11" s="210">
        <f t="shared" si="50"/>
        <v>0</v>
      </c>
      <c r="CZ11" s="210">
        <f t="shared" si="51"/>
        <v>0</v>
      </c>
      <c r="DA11" s="210">
        <f t="shared" si="52"/>
        <v>0</v>
      </c>
      <c r="DB11" s="210">
        <f t="shared" si="53"/>
        <v>0</v>
      </c>
      <c r="DC11" s="210">
        <f t="shared" ref="DC11" si="221">IF($CU11="PROQUIMA",$BH11+$BQ11+$BZ11+$CI11+CR11,0)</f>
        <v>0</v>
      </c>
      <c r="DD11" s="210">
        <f t="shared" ref="DD11" si="222">SUM(CV11:DC11)-CX11-CZ11</f>
        <v>0</v>
      </c>
      <c r="DE11" s="210">
        <f t="shared" si="56"/>
        <v>0</v>
      </c>
      <c r="DF11" s="210">
        <f t="shared" si="57"/>
        <v>0</v>
      </c>
      <c r="DG11" s="210">
        <f t="shared" si="58"/>
        <v>0</v>
      </c>
      <c r="DH11" s="210">
        <f t="shared" si="59"/>
        <v>0</v>
      </c>
      <c r="DI11" s="210">
        <f t="shared" si="142"/>
        <v>0</v>
      </c>
      <c r="DJ11" s="210">
        <f t="shared" si="60"/>
        <v>0</v>
      </c>
      <c r="DK11" s="210">
        <f t="shared" si="61"/>
        <v>0</v>
      </c>
      <c r="DL11" s="210">
        <f t="shared" si="62"/>
        <v>0</v>
      </c>
      <c r="DM11" s="210">
        <f t="shared" ref="DM11" si="223">SUM(DE11:DL11)-DG11-DI11</f>
        <v>0</v>
      </c>
      <c r="DN11" s="210">
        <f t="shared" si="144"/>
        <v>0</v>
      </c>
      <c r="DO11" s="210">
        <f t="shared" si="145"/>
        <v>0</v>
      </c>
      <c r="DP11" s="210">
        <f t="shared" si="146"/>
        <v>0</v>
      </c>
      <c r="DQ11" s="210">
        <f t="shared" si="147"/>
        <v>0</v>
      </c>
      <c r="DR11" s="210">
        <f t="shared" si="148"/>
        <v>0</v>
      </c>
      <c r="DS11" s="210">
        <f t="shared" si="149"/>
        <v>0</v>
      </c>
      <c r="DT11" s="210">
        <f t="shared" si="150"/>
        <v>0</v>
      </c>
      <c r="DU11" s="210">
        <f t="shared" si="151"/>
        <v>0</v>
      </c>
      <c r="DV11" s="210">
        <f t="shared" ref="DV11" si="224">SUM(DN11:DU11)-DP11-DR11</f>
        <v>0</v>
      </c>
      <c r="DW11" s="1203">
        <f t="shared" si="73"/>
        <v>0</v>
      </c>
      <c r="DX11" s="1203">
        <f t="shared" si="74"/>
        <v>0</v>
      </c>
      <c r="DY11" s="1203">
        <f t="shared" si="74"/>
        <v>0</v>
      </c>
      <c r="DZ11" s="1203">
        <f t="shared" si="74"/>
        <v>0</v>
      </c>
      <c r="EA11" s="1203">
        <f t="shared" si="74"/>
        <v>0</v>
      </c>
      <c r="EB11" s="1203">
        <f t="shared" si="74"/>
        <v>0</v>
      </c>
      <c r="EC11" s="1203">
        <f t="shared" si="74"/>
        <v>0</v>
      </c>
      <c r="ED11" s="1203">
        <f t="shared" si="74"/>
        <v>0</v>
      </c>
      <c r="EE11" s="1203">
        <f t="shared" si="74"/>
        <v>0</v>
      </c>
      <c r="EF11" s="203">
        <f t="shared" ref="EF11" si="225">IF(CU11="ECONACIONAL",$BA11+$BJ11+$BS11+$CB11+$CK11)</f>
        <v>4002.2800000000007</v>
      </c>
      <c r="EG11" s="242">
        <f t="shared" si="76"/>
        <v>250.00000000000003</v>
      </c>
      <c r="EH11" s="203">
        <f t="shared" ref="EH11" si="226">IF(CU11="ECONACIONAL",$BC11+$BL11+$BU11+$CD11+$CM11)</f>
        <v>0</v>
      </c>
      <c r="EI11" s="203">
        <f t="shared" ref="EI11" si="227">IF(CU11="ECONACIONAL",$BD11+$DH11+$DQ11+$DZ11+BM11+BV11+CE11+CN11)</f>
        <v>0</v>
      </c>
      <c r="EJ11" s="242">
        <f t="shared" si="77"/>
        <v>0</v>
      </c>
      <c r="EK11" s="203">
        <f t="shared" ref="EK11" si="228">IF(CU11="ECONACIONAL",$BF11+$BO11+$BX11+$CG11+$CP11)</f>
        <v>0</v>
      </c>
      <c r="EL11" s="203">
        <f t="shared" ref="EL11" si="229">IF(CU11="ECONACIONAL",$BG11+$BP11+$BY11+$CH11+$CQ11)</f>
        <v>0</v>
      </c>
      <c r="EM11" s="203">
        <f t="shared" ref="EM11" si="230">IF(CU11="ECONACIONAL",BH11+BQ11+BZ11+CI11+CR11)</f>
        <v>492.40050840000004</v>
      </c>
      <c r="EN11" s="203">
        <f t="shared" ref="EN11" si="231">SUM(EF11:EM11)-EH11-EJ11</f>
        <v>4744.6805084000007</v>
      </c>
      <c r="EO11" s="844"/>
      <c r="EP11" s="786"/>
      <c r="EQ11" s="786"/>
      <c r="ER11" s="852"/>
      <c r="ES11" s="852"/>
      <c r="ET11" s="201"/>
      <c r="EU11" s="201"/>
      <c r="EV11" s="201"/>
      <c r="EW11" s="852"/>
      <c r="EX11" s="852"/>
      <c r="EY11" s="201">
        <f t="shared" ref="EY11" si="232">+ET11+EU11+EV11</f>
        <v>0</v>
      </c>
      <c r="EZ11" s="844"/>
      <c r="FA11" s="1197">
        <f t="shared" ref="FA11" si="233">IF($M11&lt;=15,EP11/2,EP11)</f>
        <v>0</v>
      </c>
      <c r="FB11" s="1197">
        <f t="shared" ref="FB11" si="234">IF($M11&lt;=15,EQ11/2,EQ11)</f>
        <v>0</v>
      </c>
      <c r="FC11" s="1197">
        <f t="shared" ref="FC11" si="235">IF($M11&lt;=15,ER11/2,ER11)</f>
        <v>0</v>
      </c>
      <c r="FD11" s="1197">
        <f t="shared" ref="FD11" si="236">IF($M11&lt;=15,ES11/2,ES11)</f>
        <v>0</v>
      </c>
      <c r="FE11" s="1197">
        <f t="shared" ref="FE11" si="237">IF($M11&lt;=15,ET11/2,ET11)</f>
        <v>0</v>
      </c>
      <c r="FF11" s="1197">
        <f t="shared" ref="FF11" si="238">IF($M11&lt;=15,EU11/2,EU11)</f>
        <v>0</v>
      </c>
      <c r="FG11" s="1197">
        <f t="shared" ref="FG11" si="239">IF($M11&lt;=15,EV11/2,EV11)</f>
        <v>0</v>
      </c>
      <c r="FH11" s="1197">
        <f t="shared" ref="FH11" si="240">IF($M11&lt;=15,EW11/2,EW11)</f>
        <v>0</v>
      </c>
      <c r="FI11" s="1197">
        <f t="shared" ref="FI11" si="241">IF($M11&lt;=15,EX11/2,EX11)</f>
        <v>0</v>
      </c>
      <c r="FJ11" s="1197">
        <f t="shared" ref="FJ11" si="242">IF($M11&lt;=15,EY11/2,EY11)</f>
        <v>0</v>
      </c>
      <c r="FK11" s="218">
        <v>0.5</v>
      </c>
      <c r="FL11" s="218">
        <v>0.5</v>
      </c>
      <c r="FM11" s="218">
        <v>0</v>
      </c>
      <c r="FN11" s="218">
        <v>0</v>
      </c>
      <c r="FO11" s="218">
        <v>0</v>
      </c>
      <c r="FP11" s="218">
        <v>1</v>
      </c>
      <c r="FQ11" s="844"/>
      <c r="FR11" s="1185">
        <f t="shared" ref="FR11" si="243">(((J11/30/8)*1.5)*(U11+Y11+AC11))-(BD11+BM11+BV11)</f>
        <v>0</v>
      </c>
      <c r="FS11" s="1185">
        <f t="shared" ref="FS11" si="244">(((J11/30/8)*2)*(W11+AA11+AE11))-(BF11+BO11+BX11)</f>
        <v>0</v>
      </c>
      <c r="FT11" s="1186">
        <f t="shared" ref="FT11" si="245">(SUM(BA11:CJ11))-(SUM(EF11:EN11))</f>
        <v>0</v>
      </c>
      <c r="FU11" s="1185">
        <f t="shared" ref="FU11" si="246">(J11/30*M11)-(EF11)</f>
        <v>0</v>
      </c>
      <c r="FV11" s="1187">
        <f t="shared" ref="FV11" si="247">(SUM(EP11:EY11))-((SUM(FA11:FJ11))*$FV$5)</f>
        <v>0</v>
      </c>
      <c r="FW11" s="844"/>
      <c r="FX11" s="844"/>
      <c r="FY11" s="844"/>
      <c r="FZ11" s="844"/>
      <c r="GA11" s="844"/>
    </row>
    <row r="12" spans="1:183" s="216" customFormat="1" ht="15" customHeight="1" outlineLevel="1">
      <c r="A12" s="1006" t="s">
        <v>52</v>
      </c>
      <c r="B12" s="1006" t="s">
        <v>52</v>
      </c>
      <c r="C12" s="1007" t="s">
        <v>52</v>
      </c>
      <c r="D12" s="235"/>
      <c r="E12" s="235"/>
      <c r="F12" s="806"/>
      <c r="G12" s="956"/>
      <c r="H12" s="786" t="s">
        <v>619</v>
      </c>
      <c r="I12" s="201"/>
      <c r="J12" s="787">
        <f>SUM(J9:J11)</f>
        <v>13004.560000000001</v>
      </c>
      <c r="K12" s="787">
        <f>SUM(K9:K11)</f>
        <v>1500</v>
      </c>
      <c r="L12" s="787">
        <f>SUM(L9:L11)</f>
        <v>14504.560000000001</v>
      </c>
      <c r="M12" s="787"/>
      <c r="N12" s="203"/>
      <c r="O12" s="203"/>
      <c r="P12" s="203"/>
      <c r="Q12" s="203"/>
      <c r="R12" s="203"/>
      <c r="S12" s="203"/>
      <c r="T12" s="787">
        <f t="shared" ref="T12:AY12" si="248">SUM(T9:T11)</f>
        <v>0</v>
      </c>
      <c r="U12" s="787">
        <f t="shared" si="248"/>
        <v>0</v>
      </c>
      <c r="V12" s="787">
        <f t="shared" si="248"/>
        <v>0</v>
      </c>
      <c r="W12" s="787">
        <f t="shared" si="248"/>
        <v>0</v>
      </c>
      <c r="X12" s="787">
        <f t="shared" si="248"/>
        <v>0</v>
      </c>
      <c r="Y12" s="787">
        <f t="shared" si="248"/>
        <v>0</v>
      </c>
      <c r="Z12" s="787">
        <f t="shared" si="248"/>
        <v>0</v>
      </c>
      <c r="AA12" s="787">
        <f t="shared" si="248"/>
        <v>0</v>
      </c>
      <c r="AB12" s="787">
        <f t="shared" si="248"/>
        <v>0</v>
      </c>
      <c r="AC12" s="787">
        <f t="shared" si="248"/>
        <v>0</v>
      </c>
      <c r="AD12" s="787">
        <f t="shared" si="248"/>
        <v>0</v>
      </c>
      <c r="AE12" s="787">
        <f t="shared" si="248"/>
        <v>0</v>
      </c>
      <c r="AF12" s="787">
        <f t="shared" si="248"/>
        <v>0</v>
      </c>
      <c r="AG12" s="787">
        <f t="shared" si="248"/>
        <v>0</v>
      </c>
      <c r="AH12" s="787">
        <f t="shared" si="248"/>
        <v>0</v>
      </c>
      <c r="AI12" s="787">
        <f t="shared" si="248"/>
        <v>0</v>
      </c>
      <c r="AJ12" s="787">
        <f t="shared" si="248"/>
        <v>0</v>
      </c>
      <c r="AK12" s="787">
        <f t="shared" si="248"/>
        <v>0</v>
      </c>
      <c r="AL12" s="787">
        <f t="shared" si="248"/>
        <v>0</v>
      </c>
      <c r="AM12" s="787">
        <f t="shared" si="248"/>
        <v>0</v>
      </c>
      <c r="AN12" s="787">
        <f t="shared" si="248"/>
        <v>0</v>
      </c>
      <c r="AO12" s="787">
        <f t="shared" si="248"/>
        <v>0</v>
      </c>
      <c r="AP12" s="787">
        <f t="shared" si="248"/>
        <v>0</v>
      </c>
      <c r="AQ12" s="787">
        <f t="shared" si="248"/>
        <v>0</v>
      </c>
      <c r="AR12" s="787">
        <f t="shared" si="248"/>
        <v>0</v>
      </c>
      <c r="AS12" s="787">
        <f t="shared" si="248"/>
        <v>0</v>
      </c>
      <c r="AT12" s="787">
        <f t="shared" si="248"/>
        <v>0</v>
      </c>
      <c r="AU12" s="787">
        <f t="shared" si="248"/>
        <v>0</v>
      </c>
      <c r="AV12" s="787">
        <f t="shared" si="248"/>
        <v>0</v>
      </c>
      <c r="AW12" s="787">
        <f t="shared" si="248"/>
        <v>0</v>
      </c>
      <c r="AX12" s="787">
        <f t="shared" si="248"/>
        <v>0</v>
      </c>
      <c r="AY12" s="787">
        <f t="shared" si="248"/>
        <v>0</v>
      </c>
      <c r="AZ12" s="787">
        <f t="shared" ref="AZ12:CE12" si="249">SUM(AZ9:AZ11)</f>
        <v>0</v>
      </c>
      <c r="BA12" s="787">
        <f>SUM(BA9:BA11)</f>
        <v>6502.2800000000007</v>
      </c>
      <c r="BB12" s="787">
        <f t="shared" si="249"/>
        <v>750.00000000000011</v>
      </c>
      <c r="BC12" s="787">
        <f t="shared" si="249"/>
        <v>0</v>
      </c>
      <c r="BD12" s="787">
        <f t="shared" si="249"/>
        <v>0</v>
      </c>
      <c r="BE12" s="787">
        <f t="shared" si="249"/>
        <v>0</v>
      </c>
      <c r="BF12" s="787">
        <f t="shared" si="249"/>
        <v>0</v>
      </c>
      <c r="BG12" s="787">
        <f t="shared" si="249"/>
        <v>0</v>
      </c>
      <c r="BH12" s="787">
        <f t="shared" si="249"/>
        <v>823.83887600000003</v>
      </c>
      <c r="BI12" s="787">
        <f t="shared" si="249"/>
        <v>8076.1188760000005</v>
      </c>
      <c r="BJ12" s="787">
        <f t="shared" si="249"/>
        <v>5602.0520000000006</v>
      </c>
      <c r="BK12" s="787">
        <f t="shared" si="249"/>
        <v>625.00000000000011</v>
      </c>
      <c r="BL12" s="787">
        <f t="shared" si="249"/>
        <v>0</v>
      </c>
      <c r="BM12" s="787">
        <f t="shared" si="249"/>
        <v>0</v>
      </c>
      <c r="BN12" s="787">
        <f t="shared" si="249"/>
        <v>0</v>
      </c>
      <c r="BO12" s="787">
        <f t="shared" si="249"/>
        <v>0</v>
      </c>
      <c r="BP12" s="787">
        <f t="shared" si="249"/>
        <v>0</v>
      </c>
      <c r="BQ12" s="787">
        <f t="shared" si="249"/>
        <v>709.77998840000009</v>
      </c>
      <c r="BR12" s="787">
        <f t="shared" si="249"/>
        <v>6936.8319884000002</v>
      </c>
      <c r="BS12" s="787">
        <f t="shared" si="249"/>
        <v>900.22800000000007</v>
      </c>
      <c r="BT12" s="787">
        <f t="shared" si="249"/>
        <v>125.00000000000001</v>
      </c>
      <c r="BU12" s="787">
        <f t="shared" si="249"/>
        <v>0</v>
      </c>
      <c r="BV12" s="787">
        <f t="shared" si="249"/>
        <v>0</v>
      </c>
      <c r="BW12" s="787">
        <f t="shared" si="249"/>
        <v>0</v>
      </c>
      <c r="BX12" s="787">
        <f t="shared" si="249"/>
        <v>0</v>
      </c>
      <c r="BY12" s="787">
        <f t="shared" si="249"/>
        <v>0</v>
      </c>
      <c r="BZ12" s="787">
        <f t="shared" si="249"/>
        <v>99.370519999999999</v>
      </c>
      <c r="CA12" s="787">
        <f t="shared" si="249"/>
        <v>1124.59852</v>
      </c>
      <c r="CB12" s="787">
        <f t="shared" si="249"/>
        <v>0</v>
      </c>
      <c r="CC12" s="787">
        <f t="shared" si="249"/>
        <v>0</v>
      </c>
      <c r="CD12" s="787">
        <f t="shared" si="249"/>
        <v>0</v>
      </c>
      <c r="CE12" s="787">
        <f t="shared" si="249"/>
        <v>0</v>
      </c>
      <c r="CF12" s="787">
        <f t="shared" ref="CF12:DK12" si="250">SUM(CF9:CF11)</f>
        <v>0</v>
      </c>
      <c r="CG12" s="787">
        <f t="shared" si="250"/>
        <v>0</v>
      </c>
      <c r="CH12" s="787">
        <f t="shared" si="250"/>
        <v>0</v>
      </c>
      <c r="CI12" s="787">
        <f t="shared" si="250"/>
        <v>0</v>
      </c>
      <c r="CJ12" s="787">
        <f t="shared" si="250"/>
        <v>0</v>
      </c>
      <c r="CK12" s="787">
        <f t="shared" si="250"/>
        <v>0</v>
      </c>
      <c r="CL12" s="787">
        <f t="shared" si="250"/>
        <v>0</v>
      </c>
      <c r="CM12" s="787">
        <f t="shared" si="250"/>
        <v>0</v>
      </c>
      <c r="CN12" s="787">
        <f t="shared" si="250"/>
        <v>0</v>
      </c>
      <c r="CO12" s="787">
        <f t="shared" si="250"/>
        <v>0</v>
      </c>
      <c r="CP12" s="787">
        <f t="shared" si="250"/>
        <v>0</v>
      </c>
      <c r="CQ12" s="787">
        <f t="shared" si="250"/>
        <v>0</v>
      </c>
      <c r="CR12" s="787">
        <f t="shared" si="250"/>
        <v>0</v>
      </c>
      <c r="CS12" s="787">
        <f t="shared" si="250"/>
        <v>0</v>
      </c>
      <c r="CT12" s="787">
        <f t="shared" si="250"/>
        <v>0</v>
      </c>
      <c r="CU12" s="787">
        <f t="shared" si="250"/>
        <v>0</v>
      </c>
      <c r="CV12" s="787">
        <f t="shared" si="250"/>
        <v>0</v>
      </c>
      <c r="CW12" s="787">
        <f t="shared" si="250"/>
        <v>0</v>
      </c>
      <c r="CX12" s="787">
        <f t="shared" si="250"/>
        <v>0</v>
      </c>
      <c r="CY12" s="787">
        <f t="shared" si="250"/>
        <v>0</v>
      </c>
      <c r="CZ12" s="787">
        <f t="shared" si="250"/>
        <v>0</v>
      </c>
      <c r="DA12" s="787">
        <f t="shared" si="250"/>
        <v>0</v>
      </c>
      <c r="DB12" s="787">
        <f t="shared" si="250"/>
        <v>0</v>
      </c>
      <c r="DC12" s="787">
        <f t="shared" si="250"/>
        <v>0</v>
      </c>
      <c r="DD12" s="787">
        <f t="shared" si="250"/>
        <v>0</v>
      </c>
      <c r="DE12" s="787">
        <f t="shared" si="250"/>
        <v>0</v>
      </c>
      <c r="DF12" s="787">
        <f t="shared" si="250"/>
        <v>0</v>
      </c>
      <c r="DG12" s="787">
        <f t="shared" si="250"/>
        <v>0</v>
      </c>
      <c r="DH12" s="787">
        <f t="shared" si="250"/>
        <v>0</v>
      </c>
      <c r="DI12" s="787">
        <f t="shared" si="250"/>
        <v>0</v>
      </c>
      <c r="DJ12" s="787">
        <f t="shared" si="250"/>
        <v>0</v>
      </c>
      <c r="DK12" s="787">
        <f t="shared" si="250"/>
        <v>0</v>
      </c>
      <c r="DL12" s="787">
        <f t="shared" ref="DL12:EQ12" si="251">SUM(DL9:DL11)</f>
        <v>0</v>
      </c>
      <c r="DM12" s="787">
        <f t="shared" si="251"/>
        <v>0</v>
      </c>
      <c r="DN12" s="787">
        <f t="shared" si="251"/>
        <v>0</v>
      </c>
      <c r="DO12" s="787">
        <f t="shared" si="251"/>
        <v>0</v>
      </c>
      <c r="DP12" s="787">
        <f t="shared" si="251"/>
        <v>0</v>
      </c>
      <c r="DQ12" s="787">
        <f t="shared" si="251"/>
        <v>0</v>
      </c>
      <c r="DR12" s="787">
        <f t="shared" si="251"/>
        <v>0</v>
      </c>
      <c r="DS12" s="787">
        <f t="shared" si="251"/>
        <v>0</v>
      </c>
      <c r="DT12" s="787">
        <f t="shared" si="251"/>
        <v>0</v>
      </c>
      <c r="DU12" s="787">
        <f t="shared" si="251"/>
        <v>0</v>
      </c>
      <c r="DV12" s="787">
        <f t="shared" si="251"/>
        <v>0</v>
      </c>
      <c r="DW12" s="787">
        <f t="shared" si="251"/>
        <v>0</v>
      </c>
      <c r="DX12" s="787">
        <f t="shared" si="251"/>
        <v>0</v>
      </c>
      <c r="DY12" s="787">
        <f t="shared" si="251"/>
        <v>0</v>
      </c>
      <c r="DZ12" s="787">
        <f t="shared" si="251"/>
        <v>0</v>
      </c>
      <c r="EA12" s="787">
        <f t="shared" si="251"/>
        <v>0</v>
      </c>
      <c r="EB12" s="787">
        <f t="shared" si="251"/>
        <v>0</v>
      </c>
      <c r="EC12" s="787">
        <f t="shared" si="251"/>
        <v>0</v>
      </c>
      <c r="ED12" s="787">
        <f t="shared" si="251"/>
        <v>0</v>
      </c>
      <c r="EE12" s="787">
        <f t="shared" si="251"/>
        <v>0</v>
      </c>
      <c r="EF12" s="787">
        <f t="shared" si="251"/>
        <v>13004.560000000001</v>
      </c>
      <c r="EG12" s="787">
        <f t="shared" si="251"/>
        <v>1500.0000000000002</v>
      </c>
      <c r="EH12" s="787">
        <f t="shared" si="251"/>
        <v>0</v>
      </c>
      <c r="EI12" s="787">
        <f t="shared" si="251"/>
        <v>0</v>
      </c>
      <c r="EJ12" s="787">
        <f t="shared" si="251"/>
        <v>0</v>
      </c>
      <c r="EK12" s="787">
        <f t="shared" si="251"/>
        <v>0</v>
      </c>
      <c r="EL12" s="787">
        <f t="shared" si="251"/>
        <v>0</v>
      </c>
      <c r="EM12" s="787">
        <f t="shared" si="251"/>
        <v>1632.9893844000001</v>
      </c>
      <c r="EN12" s="787">
        <f t="shared" si="251"/>
        <v>16137.549384400001</v>
      </c>
      <c r="EO12" s="787"/>
      <c r="EP12" s="787">
        <f t="shared" si="251"/>
        <v>87.92</v>
      </c>
      <c r="EQ12" s="787">
        <f t="shared" si="251"/>
        <v>0</v>
      </c>
      <c r="ER12" s="787">
        <f t="shared" ref="ER12:FP12" si="252">SUM(ER9:ER11)</f>
        <v>0</v>
      </c>
      <c r="ES12" s="787">
        <f t="shared" si="252"/>
        <v>65</v>
      </c>
      <c r="ET12" s="787">
        <f t="shared" si="252"/>
        <v>0</v>
      </c>
      <c r="EU12" s="787">
        <f t="shared" si="252"/>
        <v>0</v>
      </c>
      <c r="EV12" s="787">
        <f>SUM(EV9:EV11)</f>
        <v>350</v>
      </c>
      <c r="EW12" s="787">
        <f t="shared" si="252"/>
        <v>0</v>
      </c>
      <c r="EX12" s="787">
        <f t="shared" si="252"/>
        <v>0</v>
      </c>
      <c r="EY12" s="787">
        <f t="shared" si="252"/>
        <v>350</v>
      </c>
      <c r="EZ12" s="787"/>
      <c r="FA12" s="787">
        <f t="shared" si="252"/>
        <v>87.92</v>
      </c>
      <c r="FB12" s="787">
        <f t="shared" si="252"/>
        <v>0</v>
      </c>
      <c r="FC12" s="787">
        <f t="shared" si="252"/>
        <v>0</v>
      </c>
      <c r="FD12" s="787">
        <f t="shared" si="252"/>
        <v>65</v>
      </c>
      <c r="FE12" s="787">
        <f t="shared" si="252"/>
        <v>0</v>
      </c>
      <c r="FF12" s="787">
        <f t="shared" si="252"/>
        <v>0</v>
      </c>
      <c r="FG12" s="787">
        <f t="shared" si="252"/>
        <v>350</v>
      </c>
      <c r="FH12" s="787">
        <f t="shared" si="252"/>
        <v>0</v>
      </c>
      <c r="FI12" s="787">
        <f t="shared" si="252"/>
        <v>0</v>
      </c>
      <c r="FJ12" s="787">
        <f t="shared" si="252"/>
        <v>350</v>
      </c>
      <c r="FK12" s="787">
        <f t="shared" si="252"/>
        <v>1</v>
      </c>
      <c r="FL12" s="787">
        <f t="shared" si="252"/>
        <v>1</v>
      </c>
      <c r="FM12" s="787">
        <f t="shared" si="252"/>
        <v>0</v>
      </c>
      <c r="FN12" s="787">
        <f t="shared" si="252"/>
        <v>0</v>
      </c>
      <c r="FO12" s="787">
        <f t="shared" si="252"/>
        <v>0</v>
      </c>
      <c r="FP12" s="787">
        <f t="shared" si="252"/>
        <v>2</v>
      </c>
    </row>
    <row r="13" spans="1:183" s="778" customFormat="1" ht="15" customHeight="1" outlineLevel="1">
      <c r="A13" s="1006" t="str">
        <f t="shared" ref="A13:A74" si="253">$G$4</f>
        <v>MAYO  2026 2da QUINCENA</v>
      </c>
      <c r="B13" s="1006">
        <f t="shared" si="90"/>
        <v>2026</v>
      </c>
      <c r="C13" s="1007" t="str">
        <f t="shared" ref="C13:C74" si="254">A13 &amp; B13</f>
        <v>MAYO  2026 2da QUINCENA2026</v>
      </c>
      <c r="D13" s="235" t="str">
        <f>+$G$8</f>
        <v>ADMINISTRATIVO</v>
      </c>
      <c r="E13" s="235">
        <v>102030</v>
      </c>
      <c r="F13" s="776"/>
      <c r="G13" s="779" t="s">
        <v>620</v>
      </c>
      <c r="H13" s="776"/>
      <c r="I13" s="776"/>
      <c r="J13" s="802"/>
      <c r="K13" s="798"/>
      <c r="L13" s="798"/>
      <c r="M13" s="798"/>
      <c r="T13" s="780"/>
      <c r="U13" s="804"/>
      <c r="V13" s="798"/>
      <c r="W13" s="804"/>
      <c r="X13" s="798"/>
      <c r="Y13" s="804"/>
      <c r="Z13" s="798"/>
      <c r="AA13" s="804"/>
      <c r="AB13" s="798"/>
      <c r="AC13" s="804"/>
      <c r="AD13" s="798"/>
      <c r="AE13" s="805"/>
      <c r="AF13" s="798"/>
      <c r="AG13" s="805"/>
      <c r="AH13" s="798"/>
      <c r="AI13" s="805"/>
      <c r="AJ13" s="798"/>
      <c r="AK13" s="798"/>
      <c r="AL13" s="798"/>
      <c r="AM13" s="805"/>
      <c r="AN13" s="798"/>
      <c r="AO13" s="798"/>
      <c r="AP13" s="798"/>
      <c r="AQ13" s="798"/>
      <c r="AR13" s="798"/>
      <c r="AS13" s="798"/>
      <c r="AT13" s="798"/>
      <c r="AU13" s="798"/>
      <c r="AV13" s="798"/>
      <c r="AW13" s="798"/>
      <c r="AX13" s="798"/>
      <c r="AY13" s="798"/>
      <c r="BA13" s="798"/>
      <c r="BB13" s="798"/>
      <c r="BC13" s="798"/>
      <c r="BD13" s="798"/>
      <c r="BE13" s="798"/>
      <c r="BF13" s="798"/>
      <c r="BG13" s="798"/>
      <c r="BH13" s="798"/>
      <c r="BI13" s="798"/>
      <c r="BJ13" s="798"/>
      <c r="BK13" s="798"/>
      <c r="BL13" s="798"/>
      <c r="BM13" s="798"/>
      <c r="BN13" s="798"/>
      <c r="BO13" s="798"/>
      <c r="BP13" s="798"/>
      <c r="BQ13" s="798"/>
      <c r="BR13" s="803"/>
      <c r="BS13" s="798"/>
      <c r="BT13" s="798"/>
      <c r="BU13" s="798"/>
      <c r="BV13" s="798"/>
      <c r="BW13" s="798"/>
      <c r="BX13" s="798"/>
      <c r="BY13" s="798"/>
      <c r="BZ13" s="798"/>
      <c r="CA13" s="798"/>
      <c r="CB13" s="798"/>
      <c r="CC13" s="798"/>
      <c r="CD13" s="798"/>
      <c r="CE13" s="798"/>
      <c r="CF13" s="798"/>
      <c r="CG13" s="798"/>
      <c r="CH13" s="798"/>
      <c r="CI13" s="798"/>
      <c r="CJ13" s="798"/>
      <c r="CK13" s="798"/>
      <c r="CL13" s="798"/>
      <c r="CM13" s="798"/>
      <c r="CN13" s="798"/>
      <c r="CO13" s="798"/>
      <c r="CP13" s="798"/>
      <c r="CQ13" s="798"/>
      <c r="CR13" s="798"/>
      <c r="CS13" s="798"/>
      <c r="CV13" s="798"/>
      <c r="CW13" s="798"/>
      <c r="CX13" s="798"/>
      <c r="CY13" s="798"/>
      <c r="CZ13" s="798"/>
      <c r="DA13" s="798"/>
      <c r="DB13" s="798"/>
      <c r="DC13" s="798"/>
      <c r="DD13" s="798"/>
      <c r="DE13" s="798"/>
      <c r="DF13" s="798"/>
      <c r="DG13" s="798"/>
      <c r="DH13" s="798"/>
      <c r="DI13" s="798"/>
      <c r="DJ13" s="798"/>
      <c r="DK13" s="798"/>
      <c r="DL13" s="798"/>
      <c r="DM13" s="798"/>
      <c r="DN13" s="798"/>
      <c r="DO13" s="798"/>
      <c r="DP13" s="798"/>
      <c r="DQ13" s="798"/>
      <c r="DR13" s="798"/>
      <c r="DS13" s="798"/>
      <c r="DT13" s="798"/>
      <c r="DU13" s="798"/>
      <c r="DV13" s="798"/>
      <c r="DW13" s="798"/>
      <c r="DX13" s="798"/>
      <c r="DY13" s="798"/>
      <c r="DZ13" s="798"/>
      <c r="EA13" s="798"/>
      <c r="EB13" s="798"/>
      <c r="EC13" s="798"/>
      <c r="ED13" s="798"/>
      <c r="EE13" s="798"/>
      <c r="EF13" s="798"/>
      <c r="EG13" s="798"/>
      <c r="EH13" s="798"/>
      <c r="EI13" s="798"/>
      <c r="EJ13" s="798"/>
      <c r="EK13" s="798"/>
      <c r="EL13" s="798"/>
      <c r="EM13" s="798"/>
      <c r="EN13" s="798"/>
      <c r="EP13" s="235"/>
      <c r="FK13" s="800"/>
      <c r="FL13" s="800"/>
      <c r="FM13" s="800"/>
      <c r="FN13" s="800"/>
      <c r="FO13" s="800"/>
      <c r="FP13" s="800"/>
    </row>
    <row r="14" spans="1:183" s="216" customFormat="1" ht="15" customHeight="1" outlineLevel="1">
      <c r="A14" s="1006"/>
      <c r="B14" s="1006"/>
      <c r="C14" s="1007"/>
      <c r="D14" s="235"/>
      <c r="E14" s="235"/>
      <c r="F14" s="268"/>
      <c r="G14" s="199"/>
      <c r="H14" s="200"/>
      <c r="I14" s="201"/>
      <c r="J14" s="203"/>
      <c r="K14" s="203"/>
      <c r="L14" s="202"/>
      <c r="M14" s="203"/>
      <c r="N14" s="204"/>
      <c r="O14" s="204"/>
      <c r="P14" s="204"/>
      <c r="Q14" s="204"/>
      <c r="R14" s="204"/>
      <c r="S14" s="204"/>
      <c r="T14" s="814"/>
      <c r="U14" s="207"/>
      <c r="V14" s="203"/>
      <c r="W14" s="207"/>
      <c r="X14" s="203"/>
      <c r="Y14" s="207"/>
      <c r="Z14" s="203"/>
      <c r="AA14" s="207"/>
      <c r="AB14" s="203"/>
      <c r="AC14" s="207"/>
      <c r="AD14" s="203"/>
      <c r="AE14" s="208"/>
      <c r="AF14" s="203"/>
      <c r="AG14" s="208"/>
      <c r="AH14" s="203"/>
      <c r="AI14" s="208"/>
      <c r="AJ14" s="203"/>
      <c r="AK14" s="203"/>
      <c r="AL14" s="203"/>
      <c r="AM14" s="208"/>
      <c r="AN14" s="203"/>
      <c r="AO14" s="203"/>
      <c r="AP14" s="203"/>
      <c r="AQ14" s="203"/>
      <c r="AR14" s="203"/>
      <c r="AS14" s="203"/>
      <c r="AT14" s="203"/>
      <c r="AU14" s="203"/>
      <c r="AV14" s="203"/>
      <c r="AW14" s="203"/>
      <c r="AX14" s="203"/>
      <c r="AY14" s="203"/>
      <c r="AZ14" s="201"/>
      <c r="BA14" s="203"/>
      <c r="BB14" s="203"/>
      <c r="BC14" s="203"/>
      <c r="BD14" s="203"/>
      <c r="BE14" s="203"/>
      <c r="BF14" s="203"/>
      <c r="BG14" s="203"/>
      <c r="BH14" s="203"/>
      <c r="BI14" s="203"/>
      <c r="BJ14" s="203"/>
      <c r="BK14" s="203"/>
      <c r="BL14" s="203"/>
      <c r="BM14" s="203"/>
      <c r="BN14" s="203"/>
      <c r="BO14" s="203"/>
      <c r="BP14" s="203"/>
      <c r="BQ14" s="203"/>
      <c r="BR14" s="202"/>
      <c r="BS14" s="203"/>
      <c r="BT14" s="203"/>
      <c r="BU14" s="203"/>
      <c r="BV14" s="203"/>
      <c r="BW14" s="203"/>
      <c r="BX14" s="203"/>
      <c r="BY14" s="203"/>
      <c r="BZ14" s="203"/>
      <c r="CA14" s="203"/>
      <c r="CB14" s="781"/>
      <c r="CC14" s="782"/>
      <c r="CD14" s="782"/>
      <c r="CE14" s="782"/>
      <c r="CF14" s="782"/>
      <c r="CG14" s="782"/>
      <c r="CH14" s="782"/>
      <c r="CI14" s="703"/>
      <c r="CJ14" s="784"/>
      <c r="CK14" s="785"/>
      <c r="CL14" s="782"/>
      <c r="CM14" s="782"/>
      <c r="CN14" s="782"/>
      <c r="CO14" s="782"/>
      <c r="CP14" s="782"/>
      <c r="CQ14" s="782"/>
      <c r="CR14" s="783"/>
      <c r="CS14" s="783"/>
      <c r="CU14" s="201"/>
      <c r="CV14" s="203"/>
      <c r="CW14" s="203"/>
      <c r="CX14" s="203"/>
      <c r="CY14" s="203"/>
      <c r="CZ14" s="203"/>
      <c r="DA14" s="203"/>
      <c r="DB14" s="203"/>
      <c r="DC14" s="203"/>
      <c r="DD14" s="203"/>
      <c r="DE14" s="203"/>
      <c r="DF14" s="203"/>
      <c r="DG14" s="203"/>
      <c r="DH14" s="203"/>
      <c r="DI14" s="203"/>
      <c r="DJ14" s="203"/>
      <c r="DK14" s="203"/>
      <c r="DL14" s="203"/>
      <c r="DM14" s="203"/>
      <c r="DN14" s="203"/>
      <c r="DO14" s="203"/>
      <c r="DP14" s="203"/>
      <c r="DQ14" s="203"/>
      <c r="DR14" s="203"/>
      <c r="DS14" s="203"/>
      <c r="DT14" s="203"/>
      <c r="DU14" s="203"/>
      <c r="DV14" s="203"/>
      <c r="DW14" s="702"/>
      <c r="DX14" s="702"/>
      <c r="DY14" s="702"/>
      <c r="DZ14" s="702"/>
      <c r="EA14" s="702"/>
      <c r="EB14" s="702"/>
      <c r="EC14" s="702"/>
      <c r="ED14" s="702"/>
      <c r="EE14" s="704"/>
      <c r="EF14" s="203"/>
      <c r="EG14" s="242"/>
      <c r="EH14" s="203"/>
      <c r="EI14" s="203"/>
      <c r="EJ14" s="242"/>
      <c r="EK14" s="203"/>
      <c r="EL14" s="203"/>
      <c r="EM14" s="203"/>
      <c r="EN14" s="203"/>
      <c r="EP14" s="201"/>
      <c r="EQ14" s="201"/>
      <c r="ER14" s="201"/>
      <c r="ES14" s="201"/>
      <c r="ET14" s="201"/>
      <c r="EU14" s="201"/>
      <c r="EV14" s="201"/>
      <c r="EW14" s="201"/>
      <c r="EX14" s="852"/>
      <c r="EY14" s="201"/>
      <c r="FA14" s="207"/>
      <c r="FB14" s="207"/>
      <c r="FC14" s="207"/>
      <c r="FD14" s="207"/>
      <c r="FE14" s="207"/>
      <c r="FF14" s="207"/>
      <c r="FG14" s="207"/>
      <c r="FH14" s="207"/>
      <c r="FI14" s="207"/>
      <c r="FJ14" s="207"/>
      <c r="FK14" s="217"/>
      <c r="FL14" s="217"/>
      <c r="FM14" s="217"/>
      <c r="FN14" s="217"/>
      <c r="FO14" s="217"/>
      <c r="FP14" s="217"/>
      <c r="FR14" s="1185"/>
      <c r="FS14" s="1185"/>
      <c r="FT14" s="1186"/>
      <c r="FU14" s="1185"/>
      <c r="FV14" s="1187"/>
    </row>
    <row r="15" spans="1:183" s="778" customFormat="1" ht="15" customHeight="1" outlineLevel="1">
      <c r="A15" s="1006" t="s">
        <v>52</v>
      </c>
      <c r="B15" s="1006" t="s">
        <v>52</v>
      </c>
      <c r="C15" s="1007" t="str">
        <f t="shared" si="254"/>
        <v xml:space="preserve">  </v>
      </c>
      <c r="D15" s="776"/>
      <c r="E15" s="235"/>
      <c r="F15" s="806"/>
      <c r="G15" s="719"/>
      <c r="H15" s="717" t="s">
        <v>697</v>
      </c>
      <c r="J15" s="869">
        <f>SUM(J14:J14)</f>
        <v>0</v>
      </c>
      <c r="K15" s="869">
        <f>SUM(K14:K14)</f>
        <v>0</v>
      </c>
      <c r="L15" s="869">
        <f>SUM(L14:L14)</f>
        <v>0</v>
      </c>
      <c r="M15" s="203"/>
      <c r="N15" s="799"/>
      <c r="O15" s="799"/>
      <c r="P15" s="799"/>
      <c r="Q15" s="799"/>
      <c r="R15" s="799"/>
      <c r="S15" s="799"/>
      <c r="T15" s="807"/>
      <c r="U15" s="869">
        <f t="shared" ref="U15:AZ15" si="255">SUM(U14:U14)</f>
        <v>0</v>
      </c>
      <c r="V15" s="869">
        <f t="shared" si="255"/>
        <v>0</v>
      </c>
      <c r="W15" s="869">
        <f t="shared" si="255"/>
        <v>0</v>
      </c>
      <c r="X15" s="869">
        <f t="shared" si="255"/>
        <v>0</v>
      </c>
      <c r="Y15" s="869">
        <f t="shared" si="255"/>
        <v>0</v>
      </c>
      <c r="Z15" s="869">
        <f t="shared" si="255"/>
        <v>0</v>
      </c>
      <c r="AA15" s="869">
        <f t="shared" si="255"/>
        <v>0</v>
      </c>
      <c r="AB15" s="869">
        <f t="shared" si="255"/>
        <v>0</v>
      </c>
      <c r="AC15" s="869">
        <f t="shared" si="255"/>
        <v>0</v>
      </c>
      <c r="AD15" s="869">
        <f t="shared" si="255"/>
        <v>0</v>
      </c>
      <c r="AE15" s="869">
        <f t="shared" si="255"/>
        <v>0</v>
      </c>
      <c r="AF15" s="869">
        <f t="shared" si="255"/>
        <v>0</v>
      </c>
      <c r="AG15" s="869">
        <f t="shared" si="255"/>
        <v>0</v>
      </c>
      <c r="AH15" s="869">
        <f t="shared" si="255"/>
        <v>0</v>
      </c>
      <c r="AI15" s="869">
        <f t="shared" si="255"/>
        <v>0</v>
      </c>
      <c r="AJ15" s="869">
        <f t="shared" si="255"/>
        <v>0</v>
      </c>
      <c r="AK15" s="869">
        <f t="shared" si="255"/>
        <v>0</v>
      </c>
      <c r="AL15" s="869">
        <f t="shared" si="255"/>
        <v>0</v>
      </c>
      <c r="AM15" s="869">
        <f t="shared" si="255"/>
        <v>0</v>
      </c>
      <c r="AN15" s="869">
        <f t="shared" si="255"/>
        <v>0</v>
      </c>
      <c r="AO15" s="869">
        <f t="shared" si="255"/>
        <v>0</v>
      </c>
      <c r="AP15" s="869">
        <f t="shared" si="255"/>
        <v>0</v>
      </c>
      <c r="AQ15" s="869">
        <f t="shared" si="255"/>
        <v>0</v>
      </c>
      <c r="AR15" s="869">
        <f t="shared" si="255"/>
        <v>0</v>
      </c>
      <c r="AS15" s="869">
        <f t="shared" si="255"/>
        <v>0</v>
      </c>
      <c r="AT15" s="869">
        <f t="shared" si="255"/>
        <v>0</v>
      </c>
      <c r="AU15" s="869">
        <f t="shared" si="255"/>
        <v>0</v>
      </c>
      <c r="AV15" s="869">
        <f t="shared" si="255"/>
        <v>0</v>
      </c>
      <c r="AW15" s="869">
        <f t="shared" si="255"/>
        <v>0</v>
      </c>
      <c r="AX15" s="869">
        <f t="shared" si="255"/>
        <v>0</v>
      </c>
      <c r="AY15" s="869">
        <f t="shared" si="255"/>
        <v>0</v>
      </c>
      <c r="AZ15" s="869">
        <f t="shared" si="255"/>
        <v>0</v>
      </c>
      <c r="BA15" s="869">
        <f>SUM(BA14:BA14)</f>
        <v>0</v>
      </c>
      <c r="BB15" s="869">
        <f t="shared" ref="BB15:CF15" si="256">SUM(BB14:BB14)</f>
        <v>0</v>
      </c>
      <c r="BC15" s="869">
        <f t="shared" si="256"/>
        <v>0</v>
      </c>
      <c r="BD15" s="869">
        <f t="shared" si="256"/>
        <v>0</v>
      </c>
      <c r="BE15" s="869">
        <f t="shared" si="256"/>
        <v>0</v>
      </c>
      <c r="BF15" s="869">
        <f t="shared" si="256"/>
        <v>0</v>
      </c>
      <c r="BG15" s="869">
        <f t="shared" si="256"/>
        <v>0</v>
      </c>
      <c r="BH15" s="869">
        <f t="shared" si="256"/>
        <v>0</v>
      </c>
      <c r="BI15" s="869">
        <f t="shared" si="256"/>
        <v>0</v>
      </c>
      <c r="BJ15" s="869">
        <f t="shared" si="256"/>
        <v>0</v>
      </c>
      <c r="BK15" s="869">
        <f t="shared" si="256"/>
        <v>0</v>
      </c>
      <c r="BL15" s="869">
        <f t="shared" si="256"/>
        <v>0</v>
      </c>
      <c r="BM15" s="869">
        <f t="shared" si="256"/>
        <v>0</v>
      </c>
      <c r="BN15" s="869">
        <f t="shared" si="256"/>
        <v>0</v>
      </c>
      <c r="BO15" s="869">
        <f t="shared" si="256"/>
        <v>0</v>
      </c>
      <c r="BP15" s="869">
        <f t="shared" si="256"/>
        <v>0</v>
      </c>
      <c r="BQ15" s="869">
        <f t="shared" si="256"/>
        <v>0</v>
      </c>
      <c r="BR15" s="869">
        <f t="shared" si="256"/>
        <v>0</v>
      </c>
      <c r="BS15" s="869">
        <f t="shared" si="256"/>
        <v>0</v>
      </c>
      <c r="BT15" s="869">
        <f t="shared" si="256"/>
        <v>0</v>
      </c>
      <c r="BU15" s="869">
        <f t="shared" si="256"/>
        <v>0</v>
      </c>
      <c r="BV15" s="869">
        <f t="shared" si="256"/>
        <v>0</v>
      </c>
      <c r="BW15" s="869">
        <f t="shared" si="256"/>
        <v>0</v>
      </c>
      <c r="BX15" s="869">
        <f t="shared" si="256"/>
        <v>0</v>
      </c>
      <c r="BY15" s="869">
        <f t="shared" si="256"/>
        <v>0</v>
      </c>
      <c r="BZ15" s="869">
        <f t="shared" si="256"/>
        <v>0</v>
      </c>
      <c r="CA15" s="869">
        <f t="shared" si="256"/>
        <v>0</v>
      </c>
      <c r="CB15" s="869">
        <f t="shared" si="256"/>
        <v>0</v>
      </c>
      <c r="CC15" s="869">
        <f t="shared" si="256"/>
        <v>0</v>
      </c>
      <c r="CD15" s="869">
        <f t="shared" si="256"/>
        <v>0</v>
      </c>
      <c r="CE15" s="869">
        <f t="shared" si="256"/>
        <v>0</v>
      </c>
      <c r="CF15" s="869">
        <f t="shared" si="256"/>
        <v>0</v>
      </c>
      <c r="CG15" s="869">
        <f t="shared" ref="CG15:DL15" si="257">SUM(CG14:CG14)</f>
        <v>0</v>
      </c>
      <c r="CH15" s="869">
        <f t="shared" si="257"/>
        <v>0</v>
      </c>
      <c r="CI15" s="869">
        <f t="shared" si="257"/>
        <v>0</v>
      </c>
      <c r="CJ15" s="869">
        <f t="shared" si="257"/>
        <v>0</v>
      </c>
      <c r="CK15" s="869">
        <f t="shared" si="257"/>
        <v>0</v>
      </c>
      <c r="CL15" s="869">
        <f t="shared" si="257"/>
        <v>0</v>
      </c>
      <c r="CM15" s="869">
        <f t="shared" si="257"/>
        <v>0</v>
      </c>
      <c r="CN15" s="869">
        <f t="shared" si="257"/>
        <v>0</v>
      </c>
      <c r="CO15" s="869">
        <f t="shared" si="257"/>
        <v>0</v>
      </c>
      <c r="CP15" s="869">
        <f t="shared" si="257"/>
        <v>0</v>
      </c>
      <c r="CQ15" s="869">
        <f t="shared" si="257"/>
        <v>0</v>
      </c>
      <c r="CR15" s="869">
        <f t="shared" si="257"/>
        <v>0</v>
      </c>
      <c r="CS15" s="869">
        <f t="shared" si="257"/>
        <v>0</v>
      </c>
      <c r="CT15" s="869">
        <f t="shared" si="257"/>
        <v>0</v>
      </c>
      <c r="CU15" s="869">
        <f t="shared" si="257"/>
        <v>0</v>
      </c>
      <c r="CV15" s="869">
        <f t="shared" si="257"/>
        <v>0</v>
      </c>
      <c r="CW15" s="869">
        <f t="shared" si="257"/>
        <v>0</v>
      </c>
      <c r="CX15" s="869">
        <f t="shared" si="257"/>
        <v>0</v>
      </c>
      <c r="CY15" s="869">
        <f t="shared" si="257"/>
        <v>0</v>
      </c>
      <c r="CZ15" s="869">
        <f t="shared" si="257"/>
        <v>0</v>
      </c>
      <c r="DA15" s="869">
        <f t="shared" si="257"/>
        <v>0</v>
      </c>
      <c r="DB15" s="869">
        <f t="shared" si="257"/>
        <v>0</v>
      </c>
      <c r="DC15" s="869">
        <f t="shared" si="257"/>
        <v>0</v>
      </c>
      <c r="DD15" s="869">
        <f t="shared" si="257"/>
        <v>0</v>
      </c>
      <c r="DE15" s="869">
        <f t="shared" si="257"/>
        <v>0</v>
      </c>
      <c r="DF15" s="869">
        <f t="shared" si="257"/>
        <v>0</v>
      </c>
      <c r="DG15" s="869">
        <f t="shared" si="257"/>
        <v>0</v>
      </c>
      <c r="DH15" s="869">
        <f t="shared" si="257"/>
        <v>0</v>
      </c>
      <c r="DI15" s="869">
        <f t="shared" si="257"/>
        <v>0</v>
      </c>
      <c r="DJ15" s="869">
        <f t="shared" si="257"/>
        <v>0</v>
      </c>
      <c r="DK15" s="869">
        <f t="shared" si="257"/>
        <v>0</v>
      </c>
      <c r="DL15" s="869">
        <f t="shared" si="257"/>
        <v>0</v>
      </c>
      <c r="DM15" s="869">
        <f t="shared" ref="DM15:ER15" si="258">SUM(DM14:DM14)</f>
        <v>0</v>
      </c>
      <c r="DN15" s="869">
        <f t="shared" si="258"/>
        <v>0</v>
      </c>
      <c r="DO15" s="869">
        <f t="shared" si="258"/>
        <v>0</v>
      </c>
      <c r="DP15" s="869">
        <f t="shared" si="258"/>
        <v>0</v>
      </c>
      <c r="DQ15" s="869">
        <f t="shared" si="258"/>
        <v>0</v>
      </c>
      <c r="DR15" s="869">
        <f t="shared" si="258"/>
        <v>0</v>
      </c>
      <c r="DS15" s="869">
        <f t="shared" si="258"/>
        <v>0</v>
      </c>
      <c r="DT15" s="869">
        <f t="shared" si="258"/>
        <v>0</v>
      </c>
      <c r="DU15" s="869">
        <f t="shared" si="258"/>
        <v>0</v>
      </c>
      <c r="DV15" s="869">
        <f t="shared" si="258"/>
        <v>0</v>
      </c>
      <c r="DW15" s="869">
        <f t="shared" si="258"/>
        <v>0</v>
      </c>
      <c r="DX15" s="869">
        <f t="shared" si="258"/>
        <v>0</v>
      </c>
      <c r="DY15" s="869">
        <f t="shared" si="258"/>
        <v>0</v>
      </c>
      <c r="DZ15" s="869">
        <f t="shared" si="258"/>
        <v>0</v>
      </c>
      <c r="EA15" s="869">
        <f t="shared" si="258"/>
        <v>0</v>
      </c>
      <c r="EB15" s="869">
        <f t="shared" si="258"/>
        <v>0</v>
      </c>
      <c r="EC15" s="869">
        <f t="shared" si="258"/>
        <v>0</v>
      </c>
      <c r="ED15" s="869">
        <f t="shared" si="258"/>
        <v>0</v>
      </c>
      <c r="EE15" s="869">
        <f t="shared" si="258"/>
        <v>0</v>
      </c>
      <c r="EF15" s="869">
        <f t="shared" si="258"/>
        <v>0</v>
      </c>
      <c r="EG15" s="869">
        <f t="shared" si="258"/>
        <v>0</v>
      </c>
      <c r="EH15" s="869">
        <f t="shared" si="258"/>
        <v>0</v>
      </c>
      <c r="EI15" s="869">
        <f t="shared" si="258"/>
        <v>0</v>
      </c>
      <c r="EJ15" s="869">
        <f t="shared" si="258"/>
        <v>0</v>
      </c>
      <c r="EK15" s="869">
        <f t="shared" si="258"/>
        <v>0</v>
      </c>
      <c r="EL15" s="869">
        <f t="shared" si="258"/>
        <v>0</v>
      </c>
      <c r="EM15" s="869">
        <f t="shared" si="258"/>
        <v>0</v>
      </c>
      <c r="EN15" s="869">
        <f t="shared" si="258"/>
        <v>0</v>
      </c>
      <c r="EO15" s="869">
        <f t="shared" si="258"/>
        <v>0</v>
      </c>
      <c r="EP15" s="869">
        <f t="shared" si="258"/>
        <v>0</v>
      </c>
      <c r="EQ15" s="869">
        <f t="shared" si="258"/>
        <v>0</v>
      </c>
      <c r="ER15" s="869">
        <f t="shared" si="258"/>
        <v>0</v>
      </c>
      <c r="ES15" s="869">
        <f t="shared" ref="ES15:FP15" si="259">SUM(ES14:ES14)</f>
        <v>0</v>
      </c>
      <c r="ET15" s="869">
        <f t="shared" si="259"/>
        <v>0</v>
      </c>
      <c r="EU15" s="869">
        <f t="shared" si="259"/>
        <v>0</v>
      </c>
      <c r="EV15" s="869">
        <f t="shared" si="259"/>
        <v>0</v>
      </c>
      <c r="EW15" s="869">
        <f t="shared" si="259"/>
        <v>0</v>
      </c>
      <c r="EX15" s="869">
        <f t="shared" si="259"/>
        <v>0</v>
      </c>
      <c r="EY15" s="869">
        <f t="shared" si="259"/>
        <v>0</v>
      </c>
      <c r="EZ15" s="869">
        <f t="shared" si="259"/>
        <v>0</v>
      </c>
      <c r="FA15" s="869">
        <f t="shared" si="259"/>
        <v>0</v>
      </c>
      <c r="FB15" s="869">
        <f t="shared" si="259"/>
        <v>0</v>
      </c>
      <c r="FC15" s="869">
        <f t="shared" si="259"/>
        <v>0</v>
      </c>
      <c r="FD15" s="869">
        <f t="shared" si="259"/>
        <v>0</v>
      </c>
      <c r="FE15" s="869">
        <f t="shared" si="259"/>
        <v>0</v>
      </c>
      <c r="FF15" s="869">
        <f t="shared" si="259"/>
        <v>0</v>
      </c>
      <c r="FG15" s="869">
        <f t="shared" si="259"/>
        <v>0</v>
      </c>
      <c r="FH15" s="869">
        <f t="shared" si="259"/>
        <v>0</v>
      </c>
      <c r="FI15" s="869">
        <f t="shared" si="259"/>
        <v>0</v>
      </c>
      <c r="FJ15" s="869">
        <f t="shared" si="259"/>
        <v>0</v>
      </c>
      <c r="FK15" s="869">
        <f t="shared" si="259"/>
        <v>0</v>
      </c>
      <c r="FL15" s="869">
        <f t="shared" si="259"/>
        <v>0</v>
      </c>
      <c r="FM15" s="869">
        <f t="shared" si="259"/>
        <v>0</v>
      </c>
      <c r="FN15" s="869">
        <f t="shared" si="259"/>
        <v>0</v>
      </c>
      <c r="FO15" s="869">
        <f t="shared" si="259"/>
        <v>0</v>
      </c>
      <c r="FP15" s="869">
        <f t="shared" si="259"/>
        <v>0</v>
      </c>
    </row>
    <row r="16" spans="1:183" s="778" customFormat="1" ht="15" customHeight="1" outlineLevel="1">
      <c r="A16" s="1006" t="str">
        <f t="shared" si="253"/>
        <v>MAYO  2026 2da QUINCENA</v>
      </c>
      <c r="B16" s="1006">
        <f t="shared" si="90"/>
        <v>2026</v>
      </c>
      <c r="C16" s="1007" t="str">
        <f t="shared" si="254"/>
        <v>MAYO  2026 2da QUINCENA2026</v>
      </c>
      <c r="D16" s="776" t="str">
        <f>+G16</f>
        <v>PROYECTOS</v>
      </c>
      <c r="E16" s="235">
        <v>102040</v>
      </c>
      <c r="F16" s="806"/>
      <c r="G16" s="779" t="s">
        <v>621</v>
      </c>
      <c r="H16" s="776"/>
      <c r="J16" s="802"/>
      <c r="K16" s="798"/>
      <c r="L16" s="803"/>
      <c r="M16" s="802"/>
      <c r="N16" s="799"/>
      <c r="O16" s="799"/>
      <c r="P16" s="799"/>
      <c r="Q16" s="799"/>
      <c r="R16" s="799"/>
      <c r="S16" s="799"/>
      <c r="T16" s="807"/>
      <c r="U16" s="804"/>
      <c r="V16" s="798"/>
      <c r="W16" s="804"/>
      <c r="X16" s="798"/>
      <c r="Y16" s="804"/>
      <c r="Z16" s="798"/>
      <c r="AA16" s="804"/>
      <c r="AB16" s="798"/>
      <c r="AC16" s="804"/>
      <c r="AD16" s="798"/>
      <c r="AE16" s="805"/>
      <c r="AF16" s="798"/>
      <c r="AG16" s="805"/>
      <c r="AH16" s="798"/>
      <c r="AI16" s="805"/>
      <c r="AJ16" s="798"/>
      <c r="AK16" s="798"/>
      <c r="AL16" s="798"/>
      <c r="AM16" s="805"/>
      <c r="AN16" s="798"/>
      <c r="AO16" s="798"/>
      <c r="AP16" s="798"/>
      <c r="AQ16" s="798"/>
      <c r="AR16" s="798"/>
      <c r="AS16" s="798"/>
      <c r="AT16" s="798"/>
      <c r="AU16" s="798"/>
      <c r="AV16" s="798"/>
      <c r="AW16" s="798"/>
      <c r="AX16" s="798"/>
      <c r="AY16" s="798"/>
      <c r="BA16" s="798"/>
      <c r="BB16" s="802"/>
      <c r="BC16" s="798"/>
      <c r="BD16" s="798"/>
      <c r="BE16" s="798"/>
      <c r="BF16" s="798"/>
      <c r="BG16" s="798"/>
      <c r="BH16" s="798"/>
      <c r="BI16" s="798"/>
      <c r="BJ16" s="798"/>
      <c r="BK16" s="802"/>
      <c r="BL16" s="798"/>
      <c r="BM16" s="798"/>
      <c r="BN16" s="798"/>
      <c r="BO16" s="798"/>
      <c r="BP16" s="798"/>
      <c r="BQ16" s="798"/>
      <c r="BR16" s="803"/>
      <c r="BS16" s="798"/>
      <c r="BT16" s="798"/>
      <c r="BU16" s="798"/>
      <c r="BV16" s="798"/>
      <c r="BW16" s="798"/>
      <c r="BX16" s="798"/>
      <c r="BY16" s="798"/>
      <c r="BZ16" s="798"/>
      <c r="CA16" s="798"/>
      <c r="CB16" s="798"/>
      <c r="CC16" s="798"/>
      <c r="CD16" s="798"/>
      <c r="CE16" s="798"/>
      <c r="CF16" s="798"/>
      <c r="CG16" s="798"/>
      <c r="CH16" s="798"/>
      <c r="CI16" s="798"/>
      <c r="CJ16" s="798"/>
      <c r="CK16" s="798"/>
      <c r="CL16" s="798"/>
      <c r="CM16" s="798"/>
      <c r="CN16" s="798"/>
      <c r="CO16" s="798"/>
      <c r="CP16" s="798"/>
      <c r="CQ16" s="798"/>
      <c r="CR16" s="798"/>
      <c r="CS16" s="798"/>
      <c r="CV16" s="798"/>
      <c r="CW16" s="798"/>
      <c r="CX16" s="798"/>
      <c r="CY16" s="798"/>
      <c r="CZ16" s="798"/>
      <c r="DA16" s="798"/>
      <c r="DB16" s="798"/>
      <c r="DC16" s="798"/>
      <c r="DD16" s="798"/>
      <c r="DE16" s="798"/>
      <c r="DF16" s="798"/>
      <c r="DG16" s="798"/>
      <c r="DH16" s="798"/>
      <c r="DI16" s="798"/>
      <c r="DJ16" s="798"/>
      <c r="DK16" s="798"/>
      <c r="DL16" s="798"/>
      <c r="DM16" s="798"/>
      <c r="DN16" s="798"/>
      <c r="DO16" s="798"/>
      <c r="DP16" s="798"/>
      <c r="DQ16" s="798"/>
      <c r="DR16" s="798"/>
      <c r="DS16" s="798"/>
      <c r="DT16" s="798"/>
      <c r="DU16" s="798"/>
      <c r="DV16" s="798"/>
      <c r="DW16" s="798"/>
      <c r="DX16" s="798"/>
      <c r="DY16" s="798"/>
      <c r="DZ16" s="798"/>
      <c r="EA16" s="798"/>
      <c r="EB16" s="798"/>
      <c r="EC16" s="798"/>
      <c r="ED16" s="798"/>
      <c r="EE16" s="798"/>
      <c r="EF16" s="798"/>
      <c r="EG16" s="798"/>
      <c r="EH16" s="798"/>
      <c r="EI16" s="798"/>
      <c r="EJ16" s="798"/>
      <c r="EK16" s="798"/>
      <c r="EL16" s="798"/>
      <c r="EM16" s="798"/>
      <c r="EN16" s="798"/>
      <c r="EP16" s="216"/>
      <c r="EX16" s="810"/>
      <c r="FA16" s="804"/>
      <c r="FB16" s="804"/>
      <c r="FC16" s="804"/>
      <c r="FD16" s="804"/>
      <c r="FE16" s="804"/>
      <c r="FF16" s="804"/>
      <c r="FG16" s="804"/>
      <c r="FH16" s="804"/>
      <c r="FI16" s="804"/>
      <c r="FJ16" s="804"/>
      <c r="FK16" s="800"/>
      <c r="FL16" s="800"/>
      <c r="FM16" s="800"/>
      <c r="FN16" s="800"/>
      <c r="FO16" s="800"/>
      <c r="FP16" s="800"/>
    </row>
    <row r="17" spans="1:178" s="216" customFormat="1" ht="15" customHeight="1" outlineLevel="1">
      <c r="A17" s="1006"/>
      <c r="B17" s="1006"/>
      <c r="C17" s="1007"/>
      <c r="D17" s="235"/>
      <c r="E17" s="235"/>
      <c r="F17" s="268"/>
      <c r="G17" s="199"/>
      <c r="H17" s="200"/>
      <c r="I17" s="201"/>
      <c r="J17" s="203"/>
      <c r="K17" s="203"/>
      <c r="L17" s="202"/>
      <c r="M17" s="203"/>
      <c r="N17" s="204"/>
      <c r="O17" s="204"/>
      <c r="P17" s="204"/>
      <c r="Q17" s="1010"/>
      <c r="R17" s="204"/>
      <c r="S17" s="204"/>
      <c r="T17" s="205"/>
      <c r="U17" s="207"/>
      <c r="V17" s="203"/>
      <c r="W17" s="207"/>
      <c r="X17" s="203"/>
      <c r="Y17" s="207"/>
      <c r="Z17" s="203"/>
      <c r="AA17" s="207"/>
      <c r="AB17" s="203"/>
      <c r="AC17" s="207"/>
      <c r="AD17" s="203"/>
      <c r="AE17" s="208"/>
      <c r="AF17" s="203"/>
      <c r="AG17" s="209"/>
      <c r="AH17" s="203"/>
      <c r="AI17" s="209"/>
      <c r="AJ17" s="203"/>
      <c r="AK17" s="210"/>
      <c r="AL17" s="203"/>
      <c r="AM17" s="209"/>
      <c r="AN17" s="203"/>
      <c r="AO17" s="210"/>
      <c r="AP17" s="210"/>
      <c r="AQ17" s="210"/>
      <c r="AR17" s="210"/>
      <c r="AS17" s="210"/>
      <c r="AT17" s="210"/>
      <c r="AU17" s="210"/>
      <c r="AV17" s="210"/>
      <c r="AW17" s="210"/>
      <c r="AX17" s="210"/>
      <c r="AY17" s="203"/>
      <c r="AZ17" s="201"/>
      <c r="BA17" s="203"/>
      <c r="BB17" s="236"/>
      <c r="BC17" s="203"/>
      <c r="BD17" s="203"/>
      <c r="BE17" s="203"/>
      <c r="BF17" s="203"/>
      <c r="BG17" s="203"/>
      <c r="BH17" s="203"/>
      <c r="BI17" s="203"/>
      <c r="BJ17" s="203"/>
      <c r="BK17" s="203"/>
      <c r="BL17" s="203"/>
      <c r="BM17" s="203"/>
      <c r="BN17" s="203"/>
      <c r="BO17" s="203"/>
      <c r="BP17" s="203"/>
      <c r="BQ17" s="236"/>
      <c r="BR17" s="202"/>
      <c r="BS17" s="203"/>
      <c r="BT17" s="203"/>
      <c r="BU17" s="203"/>
      <c r="BV17" s="203"/>
      <c r="BW17" s="203"/>
      <c r="BX17" s="203"/>
      <c r="BY17" s="203"/>
      <c r="BZ17" s="236"/>
      <c r="CA17" s="203"/>
      <c r="CB17" s="781"/>
      <c r="CC17" s="782"/>
      <c r="CD17" s="782"/>
      <c r="CE17" s="782"/>
      <c r="CF17" s="782"/>
      <c r="CG17" s="782"/>
      <c r="CH17" s="782"/>
      <c r="CI17" s="796"/>
      <c r="CJ17" s="784"/>
      <c r="CK17" s="785"/>
      <c r="CL17" s="782"/>
      <c r="CM17" s="782"/>
      <c r="CN17" s="782"/>
      <c r="CO17" s="782"/>
      <c r="CP17" s="782"/>
      <c r="CQ17" s="782"/>
      <c r="CR17" s="783"/>
      <c r="CS17" s="783"/>
      <c r="CU17" s="201"/>
      <c r="CV17" s="203"/>
      <c r="CW17" s="203"/>
      <c r="CX17" s="203"/>
      <c r="CY17" s="203"/>
      <c r="CZ17" s="203"/>
      <c r="DA17" s="203"/>
      <c r="DB17" s="203"/>
      <c r="DC17" s="203"/>
      <c r="DD17" s="203"/>
      <c r="DE17" s="203"/>
      <c r="DF17" s="203"/>
      <c r="DG17" s="203"/>
      <c r="DH17" s="203"/>
      <c r="DI17" s="203"/>
      <c r="DJ17" s="203"/>
      <c r="DK17" s="203"/>
      <c r="DL17" s="203"/>
      <c r="DM17" s="203"/>
      <c r="DN17" s="210"/>
      <c r="DO17" s="210"/>
      <c r="DP17" s="210"/>
      <c r="DQ17" s="210"/>
      <c r="DR17" s="210"/>
      <c r="DS17" s="210"/>
      <c r="DT17" s="210"/>
      <c r="DU17" s="210"/>
      <c r="DV17" s="210"/>
      <c r="DW17" s="702"/>
      <c r="DX17" s="702"/>
      <c r="DY17" s="702"/>
      <c r="DZ17" s="702"/>
      <c r="EA17" s="702"/>
      <c r="EB17" s="702"/>
      <c r="EC17" s="702"/>
      <c r="ED17" s="702"/>
      <c r="EE17" s="704"/>
      <c r="EF17" s="203"/>
      <c r="EG17" s="242"/>
      <c r="EH17" s="203"/>
      <c r="EI17" s="203"/>
      <c r="EJ17" s="242"/>
      <c r="EK17" s="203"/>
      <c r="EL17" s="203"/>
      <c r="EM17" s="203"/>
      <c r="EN17" s="203"/>
      <c r="EP17" s="1177"/>
      <c r="EQ17" s="201"/>
      <c r="ER17" s="200"/>
      <c r="ES17" s="200"/>
      <c r="ET17" s="201"/>
      <c r="EU17" s="201"/>
      <c r="EV17" s="201"/>
      <c r="EW17" s="201"/>
      <c r="EX17" s="201"/>
      <c r="EY17" s="201"/>
      <c r="EZ17" s="938"/>
      <c r="FA17" s="879"/>
      <c r="FB17" s="879"/>
      <c r="FC17" s="879"/>
      <c r="FD17" s="879"/>
      <c r="FE17" s="879"/>
      <c r="FF17" s="879"/>
      <c r="FG17" s="879"/>
      <c r="FH17" s="879"/>
      <c r="FI17" s="879"/>
      <c r="FJ17" s="879"/>
      <c r="FK17" s="217"/>
      <c r="FL17" s="217"/>
      <c r="FM17" s="217"/>
      <c r="FN17" s="217"/>
      <c r="FO17" s="217"/>
      <c r="FP17" s="218"/>
      <c r="FR17" s="1178"/>
      <c r="FS17" s="1178"/>
      <c r="FT17" s="1179"/>
      <c r="FU17" s="1178"/>
      <c r="FV17" s="1182"/>
    </row>
    <row r="18" spans="1:178" s="823" customFormat="1" ht="15.75" customHeight="1" outlineLevel="1">
      <c r="A18" s="1002"/>
      <c r="B18" s="1002"/>
      <c r="C18" s="1013"/>
      <c r="D18" s="815"/>
      <c r="E18" s="815"/>
      <c r="F18" s="815"/>
      <c r="G18" s="723"/>
      <c r="H18" s="717" t="s">
        <v>130</v>
      </c>
      <c r="I18" s="810"/>
      <c r="J18" s="824">
        <f>+J17</f>
        <v>0</v>
      </c>
      <c r="K18" s="824">
        <f t="shared" ref="K18:L18" si="260">+K17</f>
        <v>0</v>
      </c>
      <c r="L18" s="824">
        <f t="shared" si="260"/>
        <v>0</v>
      </c>
      <c r="N18" s="1014"/>
      <c r="O18" s="810"/>
      <c r="P18" s="810"/>
      <c r="Q18" s="810"/>
      <c r="R18" s="810"/>
      <c r="S18" s="810"/>
      <c r="T18" s="835"/>
      <c r="U18" s="824">
        <f t="shared" ref="U18:CF18" si="261">+U17</f>
        <v>0</v>
      </c>
      <c r="V18" s="824">
        <f t="shared" si="261"/>
        <v>0</v>
      </c>
      <c r="W18" s="824">
        <f t="shared" si="261"/>
        <v>0</v>
      </c>
      <c r="X18" s="824">
        <f t="shared" si="261"/>
        <v>0</v>
      </c>
      <c r="Y18" s="824">
        <f t="shared" si="261"/>
        <v>0</v>
      </c>
      <c r="Z18" s="824">
        <f t="shared" si="261"/>
        <v>0</v>
      </c>
      <c r="AA18" s="824">
        <f t="shared" si="261"/>
        <v>0</v>
      </c>
      <c r="AB18" s="824">
        <f t="shared" si="261"/>
        <v>0</v>
      </c>
      <c r="AC18" s="824">
        <f t="shared" si="261"/>
        <v>0</v>
      </c>
      <c r="AD18" s="824">
        <f t="shared" si="261"/>
        <v>0</v>
      </c>
      <c r="AE18" s="824">
        <f t="shared" si="261"/>
        <v>0</v>
      </c>
      <c r="AF18" s="824">
        <f t="shared" si="261"/>
        <v>0</v>
      </c>
      <c r="AG18" s="824">
        <f t="shared" si="261"/>
        <v>0</v>
      </c>
      <c r="AH18" s="824">
        <f t="shared" si="261"/>
        <v>0</v>
      </c>
      <c r="AI18" s="824">
        <f t="shared" si="261"/>
        <v>0</v>
      </c>
      <c r="AJ18" s="824">
        <f t="shared" si="261"/>
        <v>0</v>
      </c>
      <c r="AK18" s="824">
        <f t="shared" si="261"/>
        <v>0</v>
      </c>
      <c r="AL18" s="824">
        <f t="shared" si="261"/>
        <v>0</v>
      </c>
      <c r="AM18" s="824">
        <f t="shared" si="261"/>
        <v>0</v>
      </c>
      <c r="AN18" s="824">
        <f t="shared" si="261"/>
        <v>0</v>
      </c>
      <c r="AO18" s="824">
        <f t="shared" si="261"/>
        <v>0</v>
      </c>
      <c r="AP18" s="824">
        <f t="shared" si="261"/>
        <v>0</v>
      </c>
      <c r="AQ18" s="824">
        <f t="shared" si="261"/>
        <v>0</v>
      </c>
      <c r="AR18" s="824">
        <f t="shared" si="261"/>
        <v>0</v>
      </c>
      <c r="AS18" s="824">
        <f t="shared" si="261"/>
        <v>0</v>
      </c>
      <c r="AT18" s="824">
        <f t="shared" si="261"/>
        <v>0</v>
      </c>
      <c r="AU18" s="824">
        <f t="shared" si="261"/>
        <v>0</v>
      </c>
      <c r="AV18" s="824">
        <f t="shared" si="261"/>
        <v>0</v>
      </c>
      <c r="AW18" s="824">
        <f t="shared" si="261"/>
        <v>0</v>
      </c>
      <c r="AX18" s="824">
        <f t="shared" si="261"/>
        <v>0</v>
      </c>
      <c r="AY18" s="824">
        <f t="shared" si="261"/>
        <v>0</v>
      </c>
      <c r="AZ18" s="824">
        <f t="shared" si="261"/>
        <v>0</v>
      </c>
      <c r="BA18" s="824">
        <f t="shared" si="261"/>
        <v>0</v>
      </c>
      <c r="BB18" s="824">
        <f t="shared" si="261"/>
        <v>0</v>
      </c>
      <c r="BC18" s="824">
        <f t="shared" si="261"/>
        <v>0</v>
      </c>
      <c r="BD18" s="824">
        <f t="shared" si="261"/>
        <v>0</v>
      </c>
      <c r="BE18" s="824">
        <f t="shared" si="261"/>
        <v>0</v>
      </c>
      <c r="BF18" s="824">
        <f t="shared" si="261"/>
        <v>0</v>
      </c>
      <c r="BG18" s="824">
        <f t="shared" si="261"/>
        <v>0</v>
      </c>
      <c r="BH18" s="824">
        <f t="shared" si="261"/>
        <v>0</v>
      </c>
      <c r="BI18" s="824">
        <f t="shared" si="261"/>
        <v>0</v>
      </c>
      <c r="BJ18" s="824">
        <f t="shared" si="261"/>
        <v>0</v>
      </c>
      <c r="BK18" s="824">
        <f t="shared" si="261"/>
        <v>0</v>
      </c>
      <c r="BL18" s="824">
        <f t="shared" si="261"/>
        <v>0</v>
      </c>
      <c r="BM18" s="824">
        <f t="shared" si="261"/>
        <v>0</v>
      </c>
      <c r="BN18" s="824">
        <f t="shared" si="261"/>
        <v>0</v>
      </c>
      <c r="BO18" s="824">
        <f t="shared" si="261"/>
        <v>0</v>
      </c>
      <c r="BP18" s="824">
        <f t="shared" si="261"/>
        <v>0</v>
      </c>
      <c r="BQ18" s="824">
        <f t="shared" si="261"/>
        <v>0</v>
      </c>
      <c r="BR18" s="824">
        <f t="shared" si="261"/>
        <v>0</v>
      </c>
      <c r="BS18" s="824">
        <f t="shared" si="261"/>
        <v>0</v>
      </c>
      <c r="BT18" s="824">
        <f t="shared" si="261"/>
        <v>0</v>
      </c>
      <c r="BU18" s="824">
        <f t="shared" si="261"/>
        <v>0</v>
      </c>
      <c r="BV18" s="824">
        <f t="shared" si="261"/>
        <v>0</v>
      </c>
      <c r="BW18" s="824">
        <f t="shared" si="261"/>
        <v>0</v>
      </c>
      <c r="BX18" s="824">
        <f t="shared" si="261"/>
        <v>0</v>
      </c>
      <c r="BY18" s="824">
        <f t="shared" si="261"/>
        <v>0</v>
      </c>
      <c r="BZ18" s="824">
        <f t="shared" si="261"/>
        <v>0</v>
      </c>
      <c r="CA18" s="824">
        <f t="shared" si="261"/>
        <v>0</v>
      </c>
      <c r="CB18" s="824">
        <f t="shared" si="261"/>
        <v>0</v>
      </c>
      <c r="CC18" s="824">
        <f t="shared" si="261"/>
        <v>0</v>
      </c>
      <c r="CD18" s="824">
        <f t="shared" si="261"/>
        <v>0</v>
      </c>
      <c r="CE18" s="824">
        <f t="shared" si="261"/>
        <v>0</v>
      </c>
      <c r="CF18" s="824">
        <f t="shared" si="261"/>
        <v>0</v>
      </c>
      <c r="CG18" s="824">
        <f t="shared" ref="CG18:ER18" si="262">+CG17</f>
        <v>0</v>
      </c>
      <c r="CH18" s="824">
        <f t="shared" si="262"/>
        <v>0</v>
      </c>
      <c r="CI18" s="824">
        <f t="shared" si="262"/>
        <v>0</v>
      </c>
      <c r="CJ18" s="824">
        <f t="shared" si="262"/>
        <v>0</v>
      </c>
      <c r="CK18" s="824">
        <f t="shared" si="262"/>
        <v>0</v>
      </c>
      <c r="CL18" s="824">
        <f t="shared" si="262"/>
        <v>0</v>
      </c>
      <c r="CM18" s="824">
        <f t="shared" si="262"/>
        <v>0</v>
      </c>
      <c r="CN18" s="824">
        <f t="shared" si="262"/>
        <v>0</v>
      </c>
      <c r="CO18" s="824">
        <f t="shared" si="262"/>
        <v>0</v>
      </c>
      <c r="CP18" s="824">
        <f t="shared" si="262"/>
        <v>0</v>
      </c>
      <c r="CQ18" s="824">
        <f t="shared" si="262"/>
        <v>0</v>
      </c>
      <c r="CR18" s="824">
        <f t="shared" si="262"/>
        <v>0</v>
      </c>
      <c r="CS18" s="824">
        <f t="shared" si="262"/>
        <v>0</v>
      </c>
      <c r="CT18" s="824">
        <f t="shared" si="262"/>
        <v>0</v>
      </c>
      <c r="CU18" s="824">
        <f t="shared" si="262"/>
        <v>0</v>
      </c>
      <c r="CV18" s="824">
        <f t="shared" si="262"/>
        <v>0</v>
      </c>
      <c r="CW18" s="824">
        <f t="shared" si="262"/>
        <v>0</v>
      </c>
      <c r="CX18" s="824">
        <f t="shared" si="262"/>
        <v>0</v>
      </c>
      <c r="CY18" s="824">
        <f t="shared" si="262"/>
        <v>0</v>
      </c>
      <c r="CZ18" s="824">
        <f t="shared" si="262"/>
        <v>0</v>
      </c>
      <c r="DA18" s="824">
        <f t="shared" si="262"/>
        <v>0</v>
      </c>
      <c r="DB18" s="824">
        <f t="shared" si="262"/>
        <v>0</v>
      </c>
      <c r="DC18" s="824">
        <f t="shared" si="262"/>
        <v>0</v>
      </c>
      <c r="DD18" s="824">
        <f t="shared" si="262"/>
        <v>0</v>
      </c>
      <c r="DE18" s="824">
        <f t="shared" si="262"/>
        <v>0</v>
      </c>
      <c r="DF18" s="824">
        <f t="shared" si="262"/>
        <v>0</v>
      </c>
      <c r="DG18" s="824">
        <f t="shared" si="262"/>
        <v>0</v>
      </c>
      <c r="DH18" s="824">
        <f t="shared" si="262"/>
        <v>0</v>
      </c>
      <c r="DI18" s="824">
        <f t="shared" si="262"/>
        <v>0</v>
      </c>
      <c r="DJ18" s="824">
        <f t="shared" si="262"/>
        <v>0</v>
      </c>
      <c r="DK18" s="824">
        <f t="shared" si="262"/>
        <v>0</v>
      </c>
      <c r="DL18" s="824">
        <f t="shared" si="262"/>
        <v>0</v>
      </c>
      <c r="DM18" s="824">
        <f t="shared" si="262"/>
        <v>0</v>
      </c>
      <c r="DN18" s="824">
        <f t="shared" si="262"/>
        <v>0</v>
      </c>
      <c r="DO18" s="824">
        <f t="shared" si="262"/>
        <v>0</v>
      </c>
      <c r="DP18" s="824">
        <f t="shared" si="262"/>
        <v>0</v>
      </c>
      <c r="DQ18" s="824">
        <f t="shared" si="262"/>
        <v>0</v>
      </c>
      <c r="DR18" s="824">
        <f t="shared" si="262"/>
        <v>0</v>
      </c>
      <c r="DS18" s="824">
        <f t="shared" si="262"/>
        <v>0</v>
      </c>
      <c r="DT18" s="824">
        <f t="shared" si="262"/>
        <v>0</v>
      </c>
      <c r="DU18" s="824">
        <f t="shared" si="262"/>
        <v>0</v>
      </c>
      <c r="DV18" s="824">
        <f t="shared" si="262"/>
        <v>0</v>
      </c>
      <c r="DW18" s="824">
        <f t="shared" si="262"/>
        <v>0</v>
      </c>
      <c r="DX18" s="824">
        <f t="shared" si="262"/>
        <v>0</v>
      </c>
      <c r="DY18" s="824">
        <f t="shared" si="262"/>
        <v>0</v>
      </c>
      <c r="DZ18" s="824">
        <f t="shared" si="262"/>
        <v>0</v>
      </c>
      <c r="EA18" s="824">
        <f t="shared" si="262"/>
        <v>0</v>
      </c>
      <c r="EB18" s="824">
        <f t="shared" si="262"/>
        <v>0</v>
      </c>
      <c r="EC18" s="824">
        <f t="shared" si="262"/>
        <v>0</v>
      </c>
      <c r="ED18" s="824">
        <f t="shared" si="262"/>
        <v>0</v>
      </c>
      <c r="EE18" s="824">
        <f t="shared" si="262"/>
        <v>0</v>
      </c>
      <c r="EF18" s="824">
        <f t="shared" si="262"/>
        <v>0</v>
      </c>
      <c r="EG18" s="824">
        <f t="shared" si="262"/>
        <v>0</v>
      </c>
      <c r="EH18" s="824">
        <f t="shared" si="262"/>
        <v>0</v>
      </c>
      <c r="EI18" s="824">
        <f t="shared" si="262"/>
        <v>0</v>
      </c>
      <c r="EJ18" s="824">
        <f t="shared" si="262"/>
        <v>0</v>
      </c>
      <c r="EK18" s="824">
        <f t="shared" si="262"/>
        <v>0</v>
      </c>
      <c r="EL18" s="824">
        <f t="shared" si="262"/>
        <v>0</v>
      </c>
      <c r="EM18" s="824">
        <f t="shared" si="262"/>
        <v>0</v>
      </c>
      <c r="EN18" s="824">
        <f t="shared" si="262"/>
        <v>0</v>
      </c>
      <c r="EO18" s="824"/>
      <c r="EP18" s="824">
        <f t="shared" si="262"/>
        <v>0</v>
      </c>
      <c r="EQ18" s="824">
        <f t="shared" si="262"/>
        <v>0</v>
      </c>
      <c r="ER18" s="824">
        <f t="shared" si="262"/>
        <v>0</v>
      </c>
      <c r="ES18" s="824">
        <f t="shared" ref="ES18:FJ18" si="263">+ES17</f>
        <v>0</v>
      </c>
      <c r="ET18" s="824">
        <f t="shared" si="263"/>
        <v>0</v>
      </c>
      <c r="EU18" s="824">
        <f t="shared" si="263"/>
        <v>0</v>
      </c>
      <c r="EV18" s="824">
        <f t="shared" si="263"/>
        <v>0</v>
      </c>
      <c r="EW18" s="824">
        <f t="shared" si="263"/>
        <v>0</v>
      </c>
      <c r="EX18" s="824">
        <f t="shared" si="263"/>
        <v>0</v>
      </c>
      <c r="EY18" s="824">
        <f t="shared" si="263"/>
        <v>0</v>
      </c>
      <c r="EZ18" s="824"/>
      <c r="FA18" s="824">
        <f t="shared" si="263"/>
        <v>0</v>
      </c>
      <c r="FB18" s="824">
        <f t="shared" si="263"/>
        <v>0</v>
      </c>
      <c r="FC18" s="824">
        <f t="shared" si="263"/>
        <v>0</v>
      </c>
      <c r="FD18" s="824">
        <f t="shared" si="263"/>
        <v>0</v>
      </c>
      <c r="FE18" s="824">
        <f t="shared" si="263"/>
        <v>0</v>
      </c>
      <c r="FF18" s="824">
        <f t="shared" si="263"/>
        <v>0</v>
      </c>
      <c r="FG18" s="824">
        <f t="shared" si="263"/>
        <v>0</v>
      </c>
      <c r="FH18" s="824">
        <f t="shared" si="263"/>
        <v>0</v>
      </c>
      <c r="FI18" s="824">
        <f t="shared" si="263"/>
        <v>0</v>
      </c>
      <c r="FJ18" s="824">
        <f t="shared" si="263"/>
        <v>0</v>
      </c>
      <c r="FK18" s="859"/>
      <c r="FL18" s="859"/>
      <c r="FM18" s="859"/>
      <c r="FN18" s="859"/>
      <c r="FO18" s="859"/>
      <c r="FP18" s="859"/>
      <c r="FQ18" s="810"/>
      <c r="FR18" s="810"/>
      <c r="FS18" s="810"/>
      <c r="FT18" s="810"/>
      <c r="FU18" s="810"/>
    </row>
    <row r="19" spans="1:178" s="798" customFormat="1" ht="15.75" customHeight="1" outlineLevel="1" thickBot="1">
      <c r="A19" s="1006"/>
      <c r="B19" s="1006"/>
      <c r="C19" s="1007"/>
      <c r="D19" s="801"/>
      <c r="E19" s="801"/>
      <c r="F19" s="801"/>
      <c r="G19" s="719"/>
      <c r="H19" s="717" t="s">
        <v>63</v>
      </c>
      <c r="I19" s="778"/>
      <c r="J19" s="868">
        <f>+J12+J15+J18</f>
        <v>13004.560000000001</v>
      </c>
      <c r="K19" s="868">
        <f>+K12+K15+K18</f>
        <v>1500</v>
      </c>
      <c r="L19" s="868">
        <f>+L12+L15+L18</f>
        <v>14504.560000000001</v>
      </c>
      <c r="N19" s="799"/>
      <c r="O19" s="778"/>
      <c r="P19" s="778"/>
      <c r="Q19" s="778"/>
      <c r="R19" s="778"/>
      <c r="S19" s="778"/>
      <c r="T19" s="780"/>
      <c r="U19" s="868">
        <f t="shared" ref="U19:AZ19" si="264">+U12+U15+U18</f>
        <v>0</v>
      </c>
      <c r="V19" s="868">
        <f t="shared" si="264"/>
        <v>0</v>
      </c>
      <c r="W19" s="868">
        <f t="shared" si="264"/>
        <v>0</v>
      </c>
      <c r="X19" s="868">
        <f t="shared" si="264"/>
        <v>0</v>
      </c>
      <c r="Y19" s="868">
        <f t="shared" si="264"/>
        <v>0</v>
      </c>
      <c r="Z19" s="868">
        <f t="shared" si="264"/>
        <v>0</v>
      </c>
      <c r="AA19" s="868">
        <f t="shared" si="264"/>
        <v>0</v>
      </c>
      <c r="AB19" s="868">
        <f t="shared" si="264"/>
        <v>0</v>
      </c>
      <c r="AC19" s="868">
        <f t="shared" si="264"/>
        <v>0</v>
      </c>
      <c r="AD19" s="868">
        <f t="shared" si="264"/>
        <v>0</v>
      </c>
      <c r="AE19" s="868">
        <f t="shared" si="264"/>
        <v>0</v>
      </c>
      <c r="AF19" s="868">
        <f t="shared" si="264"/>
        <v>0</v>
      </c>
      <c r="AG19" s="868">
        <f t="shared" si="264"/>
        <v>0</v>
      </c>
      <c r="AH19" s="868">
        <f t="shared" si="264"/>
        <v>0</v>
      </c>
      <c r="AI19" s="868">
        <f t="shared" si="264"/>
        <v>0</v>
      </c>
      <c r="AJ19" s="868">
        <f t="shared" si="264"/>
        <v>0</v>
      </c>
      <c r="AK19" s="868">
        <f t="shared" si="264"/>
        <v>0</v>
      </c>
      <c r="AL19" s="868">
        <f t="shared" si="264"/>
        <v>0</v>
      </c>
      <c r="AM19" s="868">
        <f t="shared" si="264"/>
        <v>0</v>
      </c>
      <c r="AN19" s="868">
        <f t="shared" si="264"/>
        <v>0</v>
      </c>
      <c r="AO19" s="868">
        <f t="shared" si="264"/>
        <v>0</v>
      </c>
      <c r="AP19" s="868">
        <f t="shared" si="264"/>
        <v>0</v>
      </c>
      <c r="AQ19" s="868">
        <f t="shared" si="264"/>
        <v>0</v>
      </c>
      <c r="AR19" s="868">
        <f t="shared" si="264"/>
        <v>0</v>
      </c>
      <c r="AS19" s="868">
        <f t="shared" si="264"/>
        <v>0</v>
      </c>
      <c r="AT19" s="868">
        <f t="shared" si="264"/>
        <v>0</v>
      </c>
      <c r="AU19" s="868">
        <f t="shared" si="264"/>
        <v>0</v>
      </c>
      <c r="AV19" s="868">
        <f t="shared" si="264"/>
        <v>0</v>
      </c>
      <c r="AW19" s="868">
        <f t="shared" si="264"/>
        <v>0</v>
      </c>
      <c r="AX19" s="868">
        <f t="shared" si="264"/>
        <v>0</v>
      </c>
      <c r="AY19" s="868">
        <f t="shared" si="264"/>
        <v>0</v>
      </c>
      <c r="AZ19" s="868">
        <f t="shared" si="264"/>
        <v>0</v>
      </c>
      <c r="BA19" s="868">
        <f>+BA12+BA15+BA18</f>
        <v>6502.2800000000007</v>
      </c>
      <c r="BB19" s="868">
        <f t="shared" ref="BB19:CF19" si="265">+BB12+BB15+BB18</f>
        <v>750.00000000000011</v>
      </c>
      <c r="BC19" s="868">
        <f t="shared" si="265"/>
        <v>0</v>
      </c>
      <c r="BD19" s="868">
        <f t="shared" si="265"/>
        <v>0</v>
      </c>
      <c r="BE19" s="868">
        <f t="shared" si="265"/>
        <v>0</v>
      </c>
      <c r="BF19" s="868">
        <f t="shared" si="265"/>
        <v>0</v>
      </c>
      <c r="BG19" s="868">
        <f t="shared" si="265"/>
        <v>0</v>
      </c>
      <c r="BH19" s="868">
        <f t="shared" si="265"/>
        <v>823.83887600000003</v>
      </c>
      <c r="BI19" s="868">
        <f t="shared" si="265"/>
        <v>8076.1188760000005</v>
      </c>
      <c r="BJ19" s="868">
        <f t="shared" si="265"/>
        <v>5602.0520000000006</v>
      </c>
      <c r="BK19" s="868">
        <f t="shared" si="265"/>
        <v>625.00000000000011</v>
      </c>
      <c r="BL19" s="868">
        <f t="shared" si="265"/>
        <v>0</v>
      </c>
      <c r="BM19" s="868">
        <f t="shared" si="265"/>
        <v>0</v>
      </c>
      <c r="BN19" s="868">
        <f t="shared" si="265"/>
        <v>0</v>
      </c>
      <c r="BO19" s="868">
        <f t="shared" si="265"/>
        <v>0</v>
      </c>
      <c r="BP19" s="868">
        <f t="shared" si="265"/>
        <v>0</v>
      </c>
      <c r="BQ19" s="868">
        <f t="shared" si="265"/>
        <v>709.77998840000009</v>
      </c>
      <c r="BR19" s="868">
        <f t="shared" si="265"/>
        <v>6936.8319884000002</v>
      </c>
      <c r="BS19" s="868">
        <f t="shared" si="265"/>
        <v>900.22800000000007</v>
      </c>
      <c r="BT19" s="868">
        <f t="shared" si="265"/>
        <v>125.00000000000001</v>
      </c>
      <c r="BU19" s="868">
        <f t="shared" si="265"/>
        <v>0</v>
      </c>
      <c r="BV19" s="868">
        <f t="shared" si="265"/>
        <v>0</v>
      </c>
      <c r="BW19" s="868">
        <f t="shared" si="265"/>
        <v>0</v>
      </c>
      <c r="BX19" s="868">
        <f t="shared" si="265"/>
        <v>0</v>
      </c>
      <c r="BY19" s="868">
        <f t="shared" si="265"/>
        <v>0</v>
      </c>
      <c r="BZ19" s="868">
        <f t="shared" si="265"/>
        <v>99.370519999999999</v>
      </c>
      <c r="CA19" s="868">
        <f t="shared" si="265"/>
        <v>1124.59852</v>
      </c>
      <c r="CB19" s="868">
        <f t="shared" si="265"/>
        <v>0</v>
      </c>
      <c r="CC19" s="868">
        <f t="shared" si="265"/>
        <v>0</v>
      </c>
      <c r="CD19" s="868">
        <f t="shared" si="265"/>
        <v>0</v>
      </c>
      <c r="CE19" s="868">
        <f t="shared" si="265"/>
        <v>0</v>
      </c>
      <c r="CF19" s="868">
        <f t="shared" si="265"/>
        <v>0</v>
      </c>
      <c r="CG19" s="868">
        <f t="shared" ref="CG19:DL19" si="266">+CG12+CG15+CG18</f>
        <v>0</v>
      </c>
      <c r="CH19" s="868">
        <f t="shared" si="266"/>
        <v>0</v>
      </c>
      <c r="CI19" s="868">
        <f t="shared" si="266"/>
        <v>0</v>
      </c>
      <c r="CJ19" s="868">
        <f t="shared" si="266"/>
        <v>0</v>
      </c>
      <c r="CK19" s="868">
        <f t="shared" si="266"/>
        <v>0</v>
      </c>
      <c r="CL19" s="868">
        <f t="shared" si="266"/>
        <v>0</v>
      </c>
      <c r="CM19" s="868">
        <f t="shared" si="266"/>
        <v>0</v>
      </c>
      <c r="CN19" s="868">
        <f t="shared" si="266"/>
        <v>0</v>
      </c>
      <c r="CO19" s="868">
        <f t="shared" si="266"/>
        <v>0</v>
      </c>
      <c r="CP19" s="868">
        <f t="shared" si="266"/>
        <v>0</v>
      </c>
      <c r="CQ19" s="868">
        <f t="shared" si="266"/>
        <v>0</v>
      </c>
      <c r="CR19" s="868">
        <f t="shared" si="266"/>
        <v>0</v>
      </c>
      <c r="CS19" s="868">
        <f t="shared" si="266"/>
        <v>0</v>
      </c>
      <c r="CT19" s="868">
        <f t="shared" si="266"/>
        <v>0</v>
      </c>
      <c r="CU19" s="868">
        <f t="shared" si="266"/>
        <v>0</v>
      </c>
      <c r="CV19" s="868">
        <f t="shared" si="266"/>
        <v>0</v>
      </c>
      <c r="CW19" s="868">
        <f t="shared" si="266"/>
        <v>0</v>
      </c>
      <c r="CX19" s="868">
        <f t="shared" si="266"/>
        <v>0</v>
      </c>
      <c r="CY19" s="868">
        <f t="shared" si="266"/>
        <v>0</v>
      </c>
      <c r="CZ19" s="868">
        <f t="shared" si="266"/>
        <v>0</v>
      </c>
      <c r="DA19" s="868">
        <f t="shared" si="266"/>
        <v>0</v>
      </c>
      <c r="DB19" s="868">
        <f t="shared" si="266"/>
        <v>0</v>
      </c>
      <c r="DC19" s="868">
        <f t="shared" si="266"/>
        <v>0</v>
      </c>
      <c r="DD19" s="868">
        <f t="shared" si="266"/>
        <v>0</v>
      </c>
      <c r="DE19" s="868">
        <f t="shared" si="266"/>
        <v>0</v>
      </c>
      <c r="DF19" s="868">
        <f t="shared" si="266"/>
        <v>0</v>
      </c>
      <c r="DG19" s="868">
        <f t="shared" si="266"/>
        <v>0</v>
      </c>
      <c r="DH19" s="868">
        <f t="shared" si="266"/>
        <v>0</v>
      </c>
      <c r="DI19" s="868">
        <f t="shared" si="266"/>
        <v>0</v>
      </c>
      <c r="DJ19" s="868">
        <f t="shared" si="266"/>
        <v>0</v>
      </c>
      <c r="DK19" s="868">
        <f t="shared" si="266"/>
        <v>0</v>
      </c>
      <c r="DL19" s="868">
        <f t="shared" si="266"/>
        <v>0</v>
      </c>
      <c r="DM19" s="868">
        <f t="shared" ref="DM19:EN19" si="267">+DM12+DM15+DM18</f>
        <v>0</v>
      </c>
      <c r="DN19" s="868">
        <f t="shared" si="267"/>
        <v>0</v>
      </c>
      <c r="DO19" s="868">
        <f t="shared" si="267"/>
        <v>0</v>
      </c>
      <c r="DP19" s="868">
        <f t="shared" si="267"/>
        <v>0</v>
      </c>
      <c r="DQ19" s="868">
        <f t="shared" si="267"/>
        <v>0</v>
      </c>
      <c r="DR19" s="868">
        <f t="shared" si="267"/>
        <v>0</v>
      </c>
      <c r="DS19" s="868">
        <f t="shared" si="267"/>
        <v>0</v>
      </c>
      <c r="DT19" s="868">
        <f t="shared" si="267"/>
        <v>0</v>
      </c>
      <c r="DU19" s="868">
        <f t="shared" si="267"/>
        <v>0</v>
      </c>
      <c r="DV19" s="868">
        <f t="shared" si="267"/>
        <v>0</v>
      </c>
      <c r="DW19" s="868">
        <f t="shared" si="267"/>
        <v>0</v>
      </c>
      <c r="DX19" s="868">
        <f t="shared" si="267"/>
        <v>0</v>
      </c>
      <c r="DY19" s="868">
        <f t="shared" si="267"/>
        <v>0</v>
      </c>
      <c r="DZ19" s="868">
        <f t="shared" si="267"/>
        <v>0</v>
      </c>
      <c r="EA19" s="868">
        <f t="shared" si="267"/>
        <v>0</v>
      </c>
      <c r="EB19" s="868">
        <f t="shared" si="267"/>
        <v>0</v>
      </c>
      <c r="EC19" s="868">
        <f t="shared" si="267"/>
        <v>0</v>
      </c>
      <c r="ED19" s="868">
        <f t="shared" si="267"/>
        <v>0</v>
      </c>
      <c r="EE19" s="868">
        <f t="shared" si="267"/>
        <v>0</v>
      </c>
      <c r="EF19" s="868">
        <f t="shared" si="267"/>
        <v>13004.560000000001</v>
      </c>
      <c r="EG19" s="868">
        <f t="shared" si="267"/>
        <v>1500.0000000000002</v>
      </c>
      <c r="EH19" s="868">
        <f t="shared" si="267"/>
        <v>0</v>
      </c>
      <c r="EI19" s="868">
        <f t="shared" si="267"/>
        <v>0</v>
      </c>
      <c r="EJ19" s="868">
        <f t="shared" si="267"/>
        <v>0</v>
      </c>
      <c r="EK19" s="868">
        <f t="shared" si="267"/>
        <v>0</v>
      </c>
      <c r="EL19" s="868">
        <f t="shared" si="267"/>
        <v>0</v>
      </c>
      <c r="EM19" s="868">
        <f t="shared" si="267"/>
        <v>1632.9893844000001</v>
      </c>
      <c r="EN19" s="868">
        <f t="shared" si="267"/>
        <v>16137.549384400001</v>
      </c>
      <c r="EO19" s="868"/>
      <c r="EP19" s="868">
        <f t="shared" ref="EP19:EY19" si="268">+EP12+EP15+EP18</f>
        <v>87.92</v>
      </c>
      <c r="EQ19" s="868">
        <f t="shared" si="268"/>
        <v>0</v>
      </c>
      <c r="ER19" s="868">
        <f t="shared" si="268"/>
        <v>0</v>
      </c>
      <c r="ES19" s="868">
        <f t="shared" si="268"/>
        <v>65</v>
      </c>
      <c r="ET19" s="868">
        <f t="shared" si="268"/>
        <v>0</v>
      </c>
      <c r="EU19" s="868">
        <f t="shared" si="268"/>
        <v>0</v>
      </c>
      <c r="EV19" s="868">
        <f>+EV12+EV15+EV18</f>
        <v>350</v>
      </c>
      <c r="EW19" s="868">
        <f t="shared" si="268"/>
        <v>0</v>
      </c>
      <c r="EX19" s="868">
        <f t="shared" si="268"/>
        <v>0</v>
      </c>
      <c r="EY19" s="868">
        <f t="shared" si="268"/>
        <v>350</v>
      </c>
      <c r="EZ19" s="868"/>
      <c r="FA19" s="868">
        <f t="shared" ref="FA19:FP19" si="269">+FA12+FA15+FA18</f>
        <v>87.92</v>
      </c>
      <c r="FB19" s="868">
        <f t="shared" si="269"/>
        <v>0</v>
      </c>
      <c r="FC19" s="868">
        <f t="shared" si="269"/>
        <v>0</v>
      </c>
      <c r="FD19" s="868">
        <f t="shared" si="269"/>
        <v>65</v>
      </c>
      <c r="FE19" s="868">
        <f t="shared" si="269"/>
        <v>0</v>
      </c>
      <c r="FF19" s="868">
        <f t="shared" si="269"/>
        <v>0</v>
      </c>
      <c r="FG19" s="868">
        <f t="shared" si="269"/>
        <v>350</v>
      </c>
      <c r="FH19" s="868">
        <f t="shared" si="269"/>
        <v>0</v>
      </c>
      <c r="FI19" s="868">
        <f t="shared" si="269"/>
        <v>0</v>
      </c>
      <c r="FJ19" s="868">
        <f t="shared" si="269"/>
        <v>350</v>
      </c>
      <c r="FK19" s="868">
        <f t="shared" si="269"/>
        <v>1</v>
      </c>
      <c r="FL19" s="868">
        <f t="shared" si="269"/>
        <v>1</v>
      </c>
      <c r="FM19" s="868">
        <f t="shared" si="269"/>
        <v>0</v>
      </c>
      <c r="FN19" s="868">
        <f t="shared" si="269"/>
        <v>0</v>
      </c>
      <c r="FO19" s="868">
        <f t="shared" si="269"/>
        <v>0</v>
      </c>
      <c r="FP19" s="868">
        <f t="shared" si="269"/>
        <v>2</v>
      </c>
      <c r="FQ19" s="778"/>
      <c r="FR19" s="778"/>
      <c r="FS19" s="778"/>
      <c r="FT19" s="778"/>
      <c r="FU19" s="778"/>
    </row>
    <row r="20" spans="1:178" s="829" customFormat="1" ht="15" customHeight="1" outlineLevel="1" thickTop="1">
      <c r="A20" s="1006"/>
      <c r="B20" s="1006"/>
      <c r="C20" s="1007"/>
      <c r="D20" s="841"/>
      <c r="E20" s="235">
        <v>103010</v>
      </c>
      <c r="F20" s="827"/>
      <c r="G20" s="779" t="s">
        <v>76</v>
      </c>
      <c r="H20" s="717"/>
      <c r="I20" s="810"/>
      <c r="J20" s="828"/>
      <c r="N20" s="830"/>
      <c r="O20" s="830"/>
      <c r="P20" s="830"/>
      <c r="Q20" s="830"/>
      <c r="R20" s="830"/>
      <c r="S20" s="830"/>
      <c r="U20" s="831"/>
      <c r="W20" s="831"/>
      <c r="Y20" s="831"/>
      <c r="AA20" s="831"/>
      <c r="AC20" s="831"/>
      <c r="AE20" s="832"/>
      <c r="AG20" s="832"/>
      <c r="AI20" s="832"/>
      <c r="AK20" s="832"/>
      <c r="AM20" s="832"/>
      <c r="AZ20" s="843"/>
      <c r="CT20" s="810"/>
      <c r="CU20" s="810"/>
      <c r="EO20" s="810"/>
      <c r="EP20" s="235"/>
      <c r="EQ20" s="810"/>
      <c r="ER20" s="810"/>
      <c r="ES20" s="844"/>
      <c r="ET20" s="810"/>
      <c r="EU20" s="810"/>
      <c r="EV20" s="810"/>
      <c r="EW20" s="810"/>
      <c r="EX20" s="810"/>
      <c r="EY20" s="810"/>
      <c r="EZ20" s="810"/>
      <c r="FA20" s="778"/>
      <c r="FB20" s="778"/>
      <c r="FC20" s="778"/>
      <c r="FD20" s="778"/>
      <c r="FE20" s="778"/>
      <c r="FF20" s="778"/>
      <c r="FG20" s="778"/>
      <c r="FH20" s="778"/>
      <c r="FI20" s="778"/>
      <c r="FJ20" s="778"/>
      <c r="FK20" s="800"/>
      <c r="FL20" s="800"/>
      <c r="FM20" s="800"/>
      <c r="FN20" s="800"/>
      <c r="FO20" s="800"/>
      <c r="FP20" s="800"/>
      <c r="FQ20" s="778"/>
      <c r="FR20" s="778"/>
      <c r="FS20" s="778"/>
      <c r="FT20" s="778"/>
      <c r="FU20" s="778"/>
    </row>
    <row r="21" spans="1:178" s="829" customFormat="1" ht="15" customHeight="1" outlineLevel="1">
      <c r="A21" s="1006" t="str">
        <f t="shared" si="253"/>
        <v>MAYO  2026 2da QUINCENA</v>
      </c>
      <c r="B21" s="1006">
        <f t="shared" si="90"/>
        <v>2026</v>
      </c>
      <c r="C21" s="1007" t="str">
        <f t="shared" si="254"/>
        <v>MAYO  2026 2da QUINCENA2026</v>
      </c>
      <c r="D21" s="827" t="str">
        <f>+$G$20</f>
        <v>RECURSOS HUMANOS</v>
      </c>
      <c r="E21" s="235">
        <v>103010</v>
      </c>
      <c r="F21" s="827"/>
      <c r="G21" s="779" t="s">
        <v>623</v>
      </c>
      <c r="H21" s="717"/>
      <c r="I21" s="810"/>
      <c r="J21" s="828"/>
      <c r="N21" s="830"/>
      <c r="O21" s="830"/>
      <c r="P21" s="830"/>
      <c r="Q21" s="830"/>
      <c r="R21" s="830"/>
      <c r="S21" s="830"/>
      <c r="U21" s="831"/>
      <c r="W21" s="831"/>
      <c r="Y21" s="831"/>
      <c r="AA21" s="831"/>
      <c r="AC21" s="831"/>
      <c r="AE21" s="832"/>
      <c r="AG21" s="832"/>
      <c r="AI21" s="832"/>
      <c r="AK21" s="832"/>
      <c r="AM21" s="832"/>
      <c r="AZ21" s="843"/>
      <c r="CT21" s="810"/>
      <c r="CU21" s="810"/>
      <c r="EO21" s="810"/>
      <c r="EP21" s="235"/>
      <c r="EQ21" s="810"/>
      <c r="ER21" s="810"/>
      <c r="ES21" s="844"/>
      <c r="ET21" s="810"/>
      <c r="EU21" s="810"/>
      <c r="EV21" s="810"/>
      <c r="EW21" s="810"/>
      <c r="EX21" s="810"/>
      <c r="EY21" s="810"/>
      <c r="EZ21" s="810"/>
      <c r="FA21" s="778"/>
      <c r="FB21" s="778"/>
      <c r="FC21" s="778"/>
      <c r="FD21" s="778"/>
      <c r="FE21" s="778"/>
      <c r="FF21" s="778"/>
      <c r="FG21" s="778"/>
      <c r="FH21" s="778"/>
      <c r="FI21" s="778"/>
      <c r="FJ21" s="778"/>
      <c r="FK21" s="800"/>
      <c r="FL21" s="800"/>
      <c r="FM21" s="800"/>
      <c r="FN21" s="800"/>
      <c r="FO21" s="800"/>
      <c r="FP21" s="800"/>
      <c r="FQ21" s="778"/>
      <c r="FR21" s="778"/>
      <c r="FS21" s="778"/>
      <c r="FT21" s="778"/>
      <c r="FU21" s="778"/>
    </row>
    <row r="22" spans="1:178" s="778" customFormat="1" ht="15" customHeight="1" outlineLevel="1">
      <c r="A22" s="1006" t="str">
        <f t="shared" si="253"/>
        <v>MAYO  2026 2da QUINCENA</v>
      </c>
      <c r="B22" s="1006">
        <f t="shared" si="90"/>
        <v>2026</v>
      </c>
      <c r="C22" s="1007" t="str">
        <f t="shared" si="254"/>
        <v>MAYO  2026 2da QUINCENA2026</v>
      </c>
      <c r="D22" s="827" t="str">
        <f t="shared" ref="D22:D25" si="270">+$G$20</f>
        <v>RECURSOS HUMANOS</v>
      </c>
      <c r="E22" s="235">
        <v>103010</v>
      </c>
      <c r="F22" s="806">
        <f>F17+1</f>
        <v>1</v>
      </c>
      <c r="G22" s="167" t="s">
        <v>455</v>
      </c>
      <c r="H22" s="246" t="s">
        <v>77</v>
      </c>
      <c r="I22" s="244" t="s">
        <v>11</v>
      </c>
      <c r="J22" s="202">
        <v>9150</v>
      </c>
      <c r="K22" s="792">
        <v>4500</v>
      </c>
      <c r="L22" s="202">
        <f>+J22+K22</f>
        <v>13650</v>
      </c>
      <c r="M22" s="203">
        <v>30</v>
      </c>
      <c r="N22" s="816">
        <v>0.4</v>
      </c>
      <c r="O22" s="816">
        <v>0.35</v>
      </c>
      <c r="P22" s="816">
        <v>0.05</v>
      </c>
      <c r="Q22" s="1010">
        <v>0.2</v>
      </c>
      <c r="R22" s="793">
        <v>0</v>
      </c>
      <c r="S22" s="793">
        <f>SUM(N22:R22)</f>
        <v>1</v>
      </c>
      <c r="T22" s="780"/>
      <c r="U22" s="845"/>
      <c r="V22" s="236">
        <f>($J22/30/8*1.5)*U22</f>
        <v>0</v>
      </c>
      <c r="W22" s="247"/>
      <c r="X22" s="236">
        <f>($J22/30/8*2)*W22</f>
        <v>0</v>
      </c>
      <c r="Y22" s="247"/>
      <c r="Z22" s="236">
        <f>($J22/30/8*1.5)*Y22</f>
        <v>0</v>
      </c>
      <c r="AA22" s="247"/>
      <c r="AB22" s="236">
        <f>($J22/30/8*2)*AA22</f>
        <v>0</v>
      </c>
      <c r="AC22" s="247"/>
      <c r="AD22" s="236">
        <f>(($J22/30/8)*1.5)*AC22</f>
        <v>0</v>
      </c>
      <c r="AE22" s="794"/>
      <c r="AF22" s="236">
        <f>(($J22/30/8)*2)*AE22</f>
        <v>0</v>
      </c>
      <c r="AG22" s="794"/>
      <c r="AH22" s="236">
        <f>(($J22/30/8)*1.5)*AG22</f>
        <v>0</v>
      </c>
      <c r="AI22" s="794"/>
      <c r="AJ22" s="236">
        <f>(($J22/30/8)*2)*AI22</f>
        <v>0</v>
      </c>
      <c r="AK22" s="794"/>
      <c r="AL22" s="236">
        <f>(($J22/30/8)*1.5)*AK22</f>
        <v>0</v>
      </c>
      <c r="AM22" s="794"/>
      <c r="AN22" s="236">
        <f>(($J22/30/8)*2)*AM22</f>
        <v>0</v>
      </c>
      <c r="AO22" s="792"/>
      <c r="AP22" s="792"/>
      <c r="AQ22" s="792"/>
      <c r="AR22" s="792"/>
      <c r="AS22" s="792"/>
      <c r="AT22" s="792"/>
      <c r="AU22" s="792"/>
      <c r="AV22" s="792"/>
      <c r="AW22" s="792"/>
      <c r="AX22" s="792"/>
      <c r="AY22" s="792"/>
      <c r="AZ22" s="846"/>
      <c r="BA22" s="236">
        <f>((J22/30)*M22)*$N22</f>
        <v>3660</v>
      </c>
      <c r="BB22" s="857">
        <f>((K22/30)*M22)*$N22</f>
        <v>1800</v>
      </c>
      <c r="BC22" s="236">
        <f t="shared" ref="BC22:BC24" si="271">U22</f>
        <v>0</v>
      </c>
      <c r="BD22" s="236">
        <f t="shared" ref="BD22:BD24" si="272">V22</f>
        <v>0</v>
      </c>
      <c r="BE22" s="236">
        <f t="shared" ref="BE22:BE24" si="273">W22</f>
        <v>0</v>
      </c>
      <c r="BF22" s="236">
        <f t="shared" ref="BF22:BF24" si="274">X22</f>
        <v>0</v>
      </c>
      <c r="BG22" s="236">
        <f>AO22+AT22</f>
        <v>0</v>
      </c>
      <c r="BH22" s="203">
        <f t="shared" ref="BH22:BH25" si="275">(BA22+BD22+BF22+BG22)*0.1267</f>
        <v>463.72200000000004</v>
      </c>
      <c r="BI22" s="236">
        <f>SUM(BA22:BH22)-BC22-BE22</f>
        <v>5923.7219999999998</v>
      </c>
      <c r="BJ22" s="236">
        <f>(($J22/30)*$M22)*$O22</f>
        <v>3202.5</v>
      </c>
      <c r="BK22" s="203">
        <f>(($K22/30)*$M22)*$O22</f>
        <v>1575</v>
      </c>
      <c r="BL22" s="236">
        <f t="shared" ref="BL22:BL24" si="276">Y22</f>
        <v>0</v>
      </c>
      <c r="BM22" s="236">
        <f t="shared" ref="BM22:BM24" si="277">Z22</f>
        <v>0</v>
      </c>
      <c r="BN22" s="236">
        <f t="shared" ref="BN22:BN24" si="278">AA22</f>
        <v>0</v>
      </c>
      <c r="BO22" s="236">
        <f t="shared" ref="BO22:BO24" si="279">AB22</f>
        <v>0</v>
      </c>
      <c r="BP22" s="236">
        <f>AP22+AU22</f>
        <v>0</v>
      </c>
      <c r="BQ22" s="203">
        <f t="shared" ref="BQ22:BQ25" si="280">(+BJ22+BM22+BO22+BP22)*0.1267</f>
        <v>405.75675000000001</v>
      </c>
      <c r="BR22" s="792">
        <f>SUM(BJ22:BQ22)-BL22-BN22</f>
        <v>5183.2567500000005</v>
      </c>
      <c r="BS22" s="236">
        <f>(($J22/30)*$M22)*$P22</f>
        <v>457.5</v>
      </c>
      <c r="BT22" s="236">
        <f>(($K22/30)*$M22)*$P22</f>
        <v>225</v>
      </c>
      <c r="BU22" s="236">
        <f t="shared" ref="BU22:BU24" si="281">AC22</f>
        <v>0</v>
      </c>
      <c r="BV22" s="236">
        <f t="shared" ref="BV22:BV24" si="282">AD22</f>
        <v>0</v>
      </c>
      <c r="BW22" s="236">
        <f t="shared" ref="BW22:BW24" si="283">AE22</f>
        <v>0</v>
      </c>
      <c r="BX22" s="236">
        <f t="shared" ref="BX22:BX24" si="284">AF22</f>
        <v>0</v>
      </c>
      <c r="BY22" s="236">
        <f>AQ22+AV22</f>
        <v>0</v>
      </c>
      <c r="BZ22" s="203">
        <f t="shared" ref="BZ22:BZ25" si="285">(BS22+BV22+BX22+BY22)*0.1267</f>
        <v>57.965250000000005</v>
      </c>
      <c r="CA22" s="236">
        <f>SUM(BS22:BZ22)-BU22-BW22</f>
        <v>740.46524999999997</v>
      </c>
      <c r="CB22" s="817">
        <f>(($J22/30)*$M22)*$Q22</f>
        <v>1830</v>
      </c>
      <c r="CC22" s="818">
        <f>(($K22/30)*$M22)*$Q22</f>
        <v>900</v>
      </c>
      <c r="CD22" s="818">
        <f t="shared" ref="CD22:CD24" si="286">AG22</f>
        <v>0</v>
      </c>
      <c r="CE22" s="818">
        <f t="shared" ref="CE22:CE24" si="287">AH22</f>
        <v>0</v>
      </c>
      <c r="CF22" s="818">
        <f t="shared" ref="CF22:CF24" si="288">AI22</f>
        <v>0</v>
      </c>
      <c r="CG22" s="818">
        <f t="shared" ref="CG22:CG24" si="289">AJ22</f>
        <v>0</v>
      </c>
      <c r="CH22" s="818">
        <f>AR22+AW22</f>
        <v>0</v>
      </c>
      <c r="CI22" s="703">
        <f t="shared" ref="CI22:CI25" si="290">(CB22+CE22+CG22+CH22)*0.1267</f>
        <v>231.86100000000002</v>
      </c>
      <c r="CJ22" s="818">
        <f>SUM(CB22:CI22)-CD22-CF22</f>
        <v>2961.8609999999999</v>
      </c>
      <c r="CK22" s="818">
        <f>(($J22/30)*$M22)*R22</f>
        <v>0</v>
      </c>
      <c r="CL22" s="818">
        <f>(($K22/30)*$M22)*$R22</f>
        <v>0</v>
      </c>
      <c r="CM22" s="818">
        <f>+AK22</f>
        <v>0</v>
      </c>
      <c r="CN22" s="818">
        <f t="shared" ref="CN22:CN23" si="291">AL22</f>
        <v>0</v>
      </c>
      <c r="CO22" s="818">
        <f t="shared" ref="CO22:CO23" si="292">AM22</f>
        <v>0</v>
      </c>
      <c r="CP22" s="818">
        <f t="shared" ref="CP22:CP23" si="293">AN22</f>
        <v>0</v>
      </c>
      <c r="CQ22" s="818">
        <f>AS22+AX22</f>
        <v>0</v>
      </c>
      <c r="CR22" s="818">
        <f>(CK22+CN22+CP22)*0.1267</f>
        <v>0</v>
      </c>
      <c r="CS22" s="819">
        <f>SUM(CK22:CR22)-CM22-CO22</f>
        <v>0</v>
      </c>
      <c r="CT22" s="810"/>
      <c r="CU22" s="244" t="s">
        <v>11</v>
      </c>
      <c r="CV22" s="236">
        <f>IF($CU22="PROQUIMA",$BA22+$BJ22+$BS22+$CB22+$CK22,0)</f>
        <v>0</v>
      </c>
      <c r="CW22" s="236">
        <f>IF($CU22="PROQUIMA",$BB22+$BK22+$BT22+$CC22+$CL22,0)</f>
        <v>0</v>
      </c>
      <c r="CX22" s="236">
        <f>IF($CU22="PROQUIMA",$BC22+$BL22+$BU22+$CD22+$CM22,0)</f>
        <v>0</v>
      </c>
      <c r="CY22" s="236">
        <f>IF($CU22="PROQUIMA",$BD22+$BM22+$BV22+$CE22+$CN22,0)</f>
        <v>0</v>
      </c>
      <c r="CZ22" s="236">
        <f>IF($CU22="PROQUIMA",$BE22+$BN22+$BW22+$CF22+$CO22,0)</f>
        <v>0</v>
      </c>
      <c r="DA22" s="236">
        <f>IF($CU22="PROQUIMA",$BF22+$BO22+$BX22+$CG22+$CP22,0)</f>
        <v>0</v>
      </c>
      <c r="DB22" s="236">
        <f>IF($CU22="PROQUIMA",$BG22+$BP22+$BY22+$CH22+$CQ22,0)</f>
        <v>0</v>
      </c>
      <c r="DC22" s="236">
        <f>IF($CU22="PROQUIMA",$BH22+$BQ22+$BZ22+$CI22+CR22,0)</f>
        <v>0</v>
      </c>
      <c r="DD22" s="236">
        <f>SUM(CV22:DC22)-CX22-CZ22</f>
        <v>0</v>
      </c>
      <c r="DE22" s="236">
        <f>IF($CU22="UNHESA",$BA22+$BJ22+$BS22+$CB22+$CK22,0)</f>
        <v>0</v>
      </c>
      <c r="DF22" s="236">
        <f>IF($CU22="UNHESA",$BB22+$BK22+$BT22+$CC22+$CL22,0)</f>
        <v>0</v>
      </c>
      <c r="DG22" s="236">
        <f>IF($CU22="UNHESA",$BC22+$BL22+$BU22+$CD22+$CM22,0)</f>
        <v>0</v>
      </c>
      <c r="DH22" s="236">
        <f>IF($CU22="UNHESA",$BD22+$BM22+$BV22+$CE22+$CN22,0)</f>
        <v>0</v>
      </c>
      <c r="DI22" s="236">
        <f>IF($CU22="UNHESA",$BE22+$BN22+$BW22+$CF22+$CO22,0)</f>
        <v>0</v>
      </c>
      <c r="DJ22" s="236">
        <f>IF($CU22="UNHESA",$BF22+$BO22+$BX22+$CG22+$CP22,0)</f>
        <v>0</v>
      </c>
      <c r="DK22" s="236">
        <f>IF($CU22="UNHESA",$BG22+$BP22+$BY22+$CH22+$CQ22,0)</f>
        <v>0</v>
      </c>
      <c r="DL22" s="236">
        <f>IF($CU22="UNHESA",$BH22+$BQ22+$BZ22+$CI22+$CR22,0)</f>
        <v>0</v>
      </c>
      <c r="DM22" s="236">
        <f>SUM(DE22:DL22)-DG22-DI22</f>
        <v>0</v>
      </c>
      <c r="DN22" s="236">
        <f>IF($CU22="UNHESA LIQUIDOS",$BA22+$BJ22+$BS22+$CB22+$CK22,0)</f>
        <v>0</v>
      </c>
      <c r="DO22" s="236">
        <f>IF($CU22="UNHESA LIQUIDOS",$BB22+$BK22+$BT22+$CC22+$CL22,0)</f>
        <v>0</v>
      </c>
      <c r="DP22" s="236">
        <f>IF($CU22="UNHESA LIQUIDOS",$BC22+$BL22+$BU22+$CD22+$CM22,0)</f>
        <v>0</v>
      </c>
      <c r="DQ22" s="236">
        <f>IF($CU22="UNHESA LIQUIDOS",$BD22+$BM22+$BV22+$CE22+$CN22,0)</f>
        <v>0</v>
      </c>
      <c r="DR22" s="236">
        <f>IF($CU22="UNHESA LIQUIDOS",$BE22+$BN22+$BW22+$CF22+$CO22,0)</f>
        <v>0</v>
      </c>
      <c r="DS22" s="236">
        <f>IF($CU22="UNHESA LIQUIDOS",$BF22+$BO22+$BX22+$CG22+$CP22,0)</f>
        <v>0</v>
      </c>
      <c r="DT22" s="236">
        <f>IF($CU22="UNHESA LIQUIDOS",$BG22+$BP22+$BY22+$CH22+$CQ22,0)</f>
        <v>0</v>
      </c>
      <c r="DU22" s="236">
        <f>IF($CU22="UNHESA LIQUIDOS",$BH22+$BQ22+$BZ22+$CI22+$CR22,0)</f>
        <v>0</v>
      </c>
      <c r="DV22" s="236">
        <f>SUM(DN22:DU22)-DP22-DR22</f>
        <v>0</v>
      </c>
      <c r="DW22" s="987">
        <f>IF($CU22="CLEARTEC",$BA22+$BJ22+$BS22+$CB22+$CK22,0)</f>
        <v>0</v>
      </c>
      <c r="DX22" s="987">
        <f t="shared" ref="DX22:EE25" si="294">IF($CU22="CLEARTEC",$BA22+$BJ22+$BS22+$CB22+$CK22,0)</f>
        <v>0</v>
      </c>
      <c r="DY22" s="987">
        <f t="shared" si="294"/>
        <v>0</v>
      </c>
      <c r="DZ22" s="987">
        <f t="shared" si="294"/>
        <v>0</v>
      </c>
      <c r="EA22" s="987">
        <f t="shared" si="294"/>
        <v>0</v>
      </c>
      <c r="EB22" s="987">
        <f t="shared" si="294"/>
        <v>0</v>
      </c>
      <c r="EC22" s="987">
        <f t="shared" si="294"/>
        <v>0</v>
      </c>
      <c r="ED22" s="987">
        <f t="shared" si="294"/>
        <v>0</v>
      </c>
      <c r="EE22" s="987">
        <f t="shared" si="294"/>
        <v>0</v>
      </c>
      <c r="EF22" s="203">
        <f t="shared" ref="EF22:EF25" si="295">IF(CU22="ECONACIONAL",$BA22+$BJ22+$BS22+$CB22+$CK22)</f>
        <v>9150</v>
      </c>
      <c r="EG22" s="242">
        <f t="shared" ref="EG22:EG25" si="296">IF($CU22="ECONACIONAL",$BB22+$BK22+$BT22+$CC22+$CL22,0)</f>
        <v>4500</v>
      </c>
      <c r="EH22" s="203">
        <f t="shared" ref="EH22:EH25" si="297">IF(CU22="ECONACIONAL",$BC22+$BL22+$BU22+$CD22+$CM22)</f>
        <v>0</v>
      </c>
      <c r="EI22" s="203">
        <f t="shared" ref="EI22:EI25" si="298">IF(CU22="ECONACIONAL",$BD22+$DH22+$DQ22+$DZ22+BM22+BV22+CE22+CN22)</f>
        <v>0</v>
      </c>
      <c r="EJ22" s="242">
        <f t="shared" ref="EJ22:EJ25" si="299">IF($CU22="CLEARTEC",$BE22+$BN22+$BW22+$CF22+$CO22,0)</f>
        <v>0</v>
      </c>
      <c r="EK22" s="203">
        <f t="shared" ref="EK22:EK25" si="300">IF(CU22="ECONACIONAL",$BF22+$BO22+$BX22+$CG22+$CP22)</f>
        <v>0</v>
      </c>
      <c r="EL22" s="203">
        <f t="shared" ref="EL22:EL25" si="301">IF(CU22="ECONACIONAL",$BG22+$BP22+$BY22+$CH22+$CQ22)</f>
        <v>0</v>
      </c>
      <c r="EM22" s="203">
        <f t="shared" ref="EM22:EM25" si="302">IF(CU22="ECONACIONAL",BH22+BQ22+BZ22+CI22+CR22)</f>
        <v>1159.3050000000001</v>
      </c>
      <c r="EN22" s="203">
        <f t="shared" ref="EN22:EN25" si="303">SUM(EF22:EM22)-EH22-EJ22</f>
        <v>14809.305</v>
      </c>
      <c r="EO22" s="810"/>
      <c r="EP22" s="1194">
        <v>429.5</v>
      </c>
      <c r="EQ22" s="813"/>
      <c r="ER22" s="813"/>
      <c r="ES22" s="246">
        <f>86+75</f>
        <v>161</v>
      </c>
      <c r="ET22" s="813"/>
      <c r="EU22" s="813"/>
      <c r="EV22" s="813"/>
      <c r="EW22" s="813"/>
      <c r="EX22" s="813"/>
      <c r="EY22" s="201">
        <f t="shared" ref="EY22:EY25" si="304">+ET22+EU22+EV22</f>
        <v>0</v>
      </c>
      <c r="EZ22" s="717"/>
      <c r="FA22" s="247">
        <f t="shared" ref="FA22:FA24" si="305">IF($M22&lt;=15,EP22/2,EP22)</f>
        <v>429.5</v>
      </c>
      <c r="FB22" s="247">
        <f t="shared" ref="FB22:FB24" si="306">IF($M22&lt;=15,EQ22/2,EQ22)</f>
        <v>0</v>
      </c>
      <c r="FC22" s="247">
        <f t="shared" ref="FC22:FC24" si="307">IF($M22&lt;=15,ER22/2,ER22)</f>
        <v>0</v>
      </c>
      <c r="FD22" s="247">
        <f t="shared" ref="FD22:FD24" si="308">IF($M22&lt;=15,ES22/2,ES22)</f>
        <v>161</v>
      </c>
      <c r="FE22" s="247">
        <f t="shared" ref="FE22:FE24" si="309">IF($M22&lt;=15,ET22/2,ET22)</f>
        <v>0</v>
      </c>
      <c r="FF22" s="247">
        <f t="shared" ref="FF22:FF24" si="310">IF($M22&lt;=15,EU22/2,EU22)</f>
        <v>0</v>
      </c>
      <c r="FG22" s="247">
        <f t="shared" ref="FG22:FG24" si="311">IF($M22&lt;=15,EV22/2,EV22)</f>
        <v>0</v>
      </c>
      <c r="FH22" s="247">
        <f t="shared" ref="FH22:FH24" si="312">IF($M22&lt;=15,EW22/2,EW22)</f>
        <v>0</v>
      </c>
      <c r="FI22" s="247">
        <f t="shared" ref="FI22:FI24" si="313">IF($M22&lt;=15,EX22/2,EX22)</f>
        <v>0</v>
      </c>
      <c r="FJ22" s="247">
        <f t="shared" ref="FJ22:FJ24" si="314">IF($M22&lt;=15,EY22/2,EY22)</f>
        <v>0</v>
      </c>
      <c r="FK22" s="245">
        <v>0.5</v>
      </c>
      <c r="FL22" s="245">
        <v>0.5</v>
      </c>
      <c r="FM22" s="245">
        <v>0</v>
      </c>
      <c r="FN22" s="245">
        <v>0</v>
      </c>
      <c r="FO22" s="245">
        <v>0</v>
      </c>
      <c r="FP22" s="245">
        <v>1</v>
      </c>
      <c r="FR22" s="1178">
        <f t="shared" ref="FR22:FR25" si="315">(((J22/30/8)*1.5)*(U22+Y22+AC22))-(BD22+BM22+BV22)</f>
        <v>0</v>
      </c>
      <c r="FS22" s="1178">
        <f t="shared" ref="FS22:FS25" si="316">(((J22/30/8)*2)*(W22+AA22+AE22))-(BF22+BO22+BX22)</f>
        <v>0</v>
      </c>
      <c r="FT22" s="1179">
        <f t="shared" ref="FT22:FT25" si="317">(SUM(BA22:CJ22))-(SUM(EF22:EN22))</f>
        <v>0</v>
      </c>
      <c r="FU22" s="1178">
        <f t="shared" ref="FU22:FU25" si="318">(J22/30*M22)-(EF22)</f>
        <v>0</v>
      </c>
      <c r="FV22" s="1182">
        <f t="shared" ref="FV22:FV25" si="319">(SUM(EP22:EY22))-((SUM(FA22:FJ22))*$FV$5)</f>
        <v>-590.5</v>
      </c>
    </row>
    <row r="23" spans="1:178" s="778" customFormat="1" ht="15" customHeight="1" outlineLevel="1">
      <c r="A23" s="1006" t="str">
        <f t="shared" si="253"/>
        <v>MAYO  2026 2da QUINCENA</v>
      </c>
      <c r="B23" s="1006">
        <f t="shared" si="90"/>
        <v>2026</v>
      </c>
      <c r="C23" s="1007" t="str">
        <f t="shared" si="254"/>
        <v>MAYO  2026 2da QUINCENA2026</v>
      </c>
      <c r="D23" s="827" t="str">
        <f t="shared" si="270"/>
        <v>RECURSOS HUMANOS</v>
      </c>
      <c r="E23" s="235">
        <v>103010</v>
      </c>
      <c r="F23" s="806">
        <f>+F22+1</f>
        <v>2</v>
      </c>
      <c r="G23" s="167" t="s">
        <v>553</v>
      </c>
      <c r="H23" s="246" t="s">
        <v>479</v>
      </c>
      <c r="I23" s="244" t="s">
        <v>11</v>
      </c>
      <c r="J23" s="202">
        <v>4850</v>
      </c>
      <c r="K23" s="792">
        <v>1000</v>
      </c>
      <c r="L23" s="792">
        <f>+J23+K23</f>
        <v>5850</v>
      </c>
      <c r="M23" s="203">
        <v>30</v>
      </c>
      <c r="N23" s="816">
        <v>0.4</v>
      </c>
      <c r="O23" s="816">
        <v>0.35</v>
      </c>
      <c r="P23" s="816">
        <v>0.05</v>
      </c>
      <c r="Q23" s="1010">
        <v>0.2</v>
      </c>
      <c r="R23" s="793">
        <v>0</v>
      </c>
      <c r="S23" s="793">
        <f>SUM(N23:R23)</f>
        <v>1</v>
      </c>
      <c r="T23" s="807"/>
      <c r="U23" s="845"/>
      <c r="V23" s="236">
        <f>($J23/30/8*1.5)*U23</f>
        <v>0</v>
      </c>
      <c r="W23" s="247"/>
      <c r="X23" s="236">
        <f>($J23/30/8*2)*W23</f>
        <v>0</v>
      </c>
      <c r="Y23" s="247"/>
      <c r="Z23" s="236">
        <f>($J23/30/8*1.5)*Y23</f>
        <v>0</v>
      </c>
      <c r="AA23" s="247"/>
      <c r="AB23" s="236">
        <f>($J23/30/8*2)*AA23</f>
        <v>0</v>
      </c>
      <c r="AC23" s="247"/>
      <c r="AD23" s="236">
        <f>(($J23/30/8)*1.5)*AC23</f>
        <v>0</v>
      </c>
      <c r="AE23" s="794"/>
      <c r="AF23" s="236">
        <f>(($J23/30/8)*2)*AE23</f>
        <v>0</v>
      </c>
      <c r="AG23" s="794"/>
      <c r="AH23" s="236">
        <f>(($J23/30/8)*1.5)*AG23</f>
        <v>0</v>
      </c>
      <c r="AI23" s="794"/>
      <c r="AJ23" s="236">
        <f>(($J23/30/8)*2)*AI23</f>
        <v>0</v>
      </c>
      <c r="AK23" s="794"/>
      <c r="AL23" s="236">
        <f>(($J23/30/8)*1.5)*AK23</f>
        <v>0</v>
      </c>
      <c r="AM23" s="794"/>
      <c r="AN23" s="236">
        <f>(($J23/30/8)*2)*AM23</f>
        <v>0</v>
      </c>
      <c r="AO23" s="792"/>
      <c r="AP23" s="792"/>
      <c r="AQ23" s="792"/>
      <c r="AR23" s="792"/>
      <c r="AS23" s="792"/>
      <c r="AT23" s="792"/>
      <c r="AU23" s="792"/>
      <c r="AV23" s="792"/>
      <c r="AW23" s="792"/>
      <c r="AX23" s="792"/>
      <c r="AY23" s="792"/>
      <c r="AZ23" s="846"/>
      <c r="BA23" s="236">
        <f>((J23/30)*M23)*$N23</f>
        <v>1940</v>
      </c>
      <c r="BB23" s="203">
        <f>((K23/30)*M23)*$N23</f>
        <v>400.00000000000006</v>
      </c>
      <c r="BC23" s="236">
        <f t="shared" si="271"/>
        <v>0</v>
      </c>
      <c r="BD23" s="236">
        <f t="shared" si="272"/>
        <v>0</v>
      </c>
      <c r="BE23" s="236">
        <f t="shared" si="273"/>
        <v>0</v>
      </c>
      <c r="BF23" s="236">
        <f t="shared" si="274"/>
        <v>0</v>
      </c>
      <c r="BG23" s="236">
        <f>AO23+AT23</f>
        <v>0</v>
      </c>
      <c r="BH23" s="203">
        <f t="shared" si="275"/>
        <v>245.798</v>
      </c>
      <c r="BI23" s="236">
        <f>SUM(BA23:BH23)-BC23-BE23</f>
        <v>2585.7979999999998</v>
      </c>
      <c r="BJ23" s="236">
        <f>(($J23/30)*$M23)*$O23</f>
        <v>1697.5</v>
      </c>
      <c r="BK23" s="203">
        <f>(($K23/30)*$M23)*$O23</f>
        <v>350</v>
      </c>
      <c r="BL23" s="236">
        <f t="shared" si="276"/>
        <v>0</v>
      </c>
      <c r="BM23" s="236">
        <f t="shared" si="277"/>
        <v>0</v>
      </c>
      <c r="BN23" s="236">
        <f t="shared" si="278"/>
        <v>0</v>
      </c>
      <c r="BO23" s="236">
        <f t="shared" si="279"/>
        <v>0</v>
      </c>
      <c r="BP23" s="236">
        <f>AP23+AU23</f>
        <v>0</v>
      </c>
      <c r="BQ23" s="203">
        <f t="shared" si="280"/>
        <v>215.07325</v>
      </c>
      <c r="BR23" s="792">
        <f>SUM(BJ23:BQ23)-BL23-BN23</f>
        <v>2262.5732499999999</v>
      </c>
      <c r="BS23" s="236">
        <f>(($J23/30)*$M23)*$P23</f>
        <v>242.5</v>
      </c>
      <c r="BT23" s="236">
        <f>(($K23/30)*$M23)*$P23</f>
        <v>50.000000000000007</v>
      </c>
      <c r="BU23" s="236">
        <f t="shared" si="281"/>
        <v>0</v>
      </c>
      <c r="BV23" s="236">
        <f t="shared" si="282"/>
        <v>0</v>
      </c>
      <c r="BW23" s="236">
        <f t="shared" si="283"/>
        <v>0</v>
      </c>
      <c r="BX23" s="236">
        <f t="shared" si="284"/>
        <v>0</v>
      </c>
      <c r="BY23" s="236">
        <f>AQ23+AV23</f>
        <v>0</v>
      </c>
      <c r="BZ23" s="203">
        <f t="shared" si="285"/>
        <v>30.72475</v>
      </c>
      <c r="CA23" s="236">
        <f>SUM(BS23:BZ23)-BU23-BW23</f>
        <v>323.22474999999997</v>
      </c>
      <c r="CB23" s="817">
        <f>(($J23/30)*$M23)*$Q23</f>
        <v>970</v>
      </c>
      <c r="CC23" s="818">
        <f>(($K23/30)*$M23)*$Q23</f>
        <v>200.00000000000003</v>
      </c>
      <c r="CD23" s="818">
        <f t="shared" si="286"/>
        <v>0</v>
      </c>
      <c r="CE23" s="818">
        <f t="shared" si="287"/>
        <v>0</v>
      </c>
      <c r="CF23" s="818">
        <f t="shared" si="288"/>
        <v>0</v>
      </c>
      <c r="CG23" s="818">
        <f t="shared" si="289"/>
        <v>0</v>
      </c>
      <c r="CH23" s="818">
        <f>AR23+AW23</f>
        <v>0</v>
      </c>
      <c r="CI23" s="703">
        <f t="shared" si="290"/>
        <v>122.899</v>
      </c>
      <c r="CJ23" s="818">
        <f>SUM(CB23:CI23)-CD23-CF23</f>
        <v>1292.8989999999999</v>
      </c>
      <c r="CK23" s="818">
        <f>(($J23/30)*$M23)*R23</f>
        <v>0</v>
      </c>
      <c r="CL23" s="818">
        <f>(($K23/30)*$M23)*$R23</f>
        <v>0</v>
      </c>
      <c r="CM23" s="818">
        <f>+AK23</f>
        <v>0</v>
      </c>
      <c r="CN23" s="818">
        <f t="shared" si="291"/>
        <v>0</v>
      </c>
      <c r="CO23" s="818">
        <f t="shared" si="292"/>
        <v>0</v>
      </c>
      <c r="CP23" s="818">
        <f t="shared" si="293"/>
        <v>0</v>
      </c>
      <c r="CQ23" s="818">
        <f>AS23+AX23</f>
        <v>0</v>
      </c>
      <c r="CR23" s="818">
        <f>(CK23+CN23+CP23)*0.1267</f>
        <v>0</v>
      </c>
      <c r="CS23" s="819">
        <f>SUM(CK23:CR23)-CM23-CO23</f>
        <v>0</v>
      </c>
      <c r="CT23" s="810"/>
      <c r="CU23" s="244" t="s">
        <v>11</v>
      </c>
      <c r="CV23" s="236">
        <f>IF($CU23="PROQUIMA",$BA23+$BJ23+$BS23+$CB23+$CK23,0)</f>
        <v>0</v>
      </c>
      <c r="CW23" s="236">
        <f>IF($CU23="PROQUIMA",$BB23+$BK23+$BT23+$CC23+$CL23,0)</f>
        <v>0</v>
      </c>
      <c r="CX23" s="236">
        <f>IF($CU23="PROQUIMA",$BC23+$BL23+$BU23+$CD23+$CM23,0)</f>
        <v>0</v>
      </c>
      <c r="CY23" s="236">
        <f>IF($CU23="PROQUIMA",$BD23+$BM23+$BV23+$CE23+$CN23,0)</f>
        <v>0</v>
      </c>
      <c r="CZ23" s="236">
        <f>IF($CU23="PROQUIMA",$BE23+$BN23+$BW23+$CF23+$CO23,0)</f>
        <v>0</v>
      </c>
      <c r="DA23" s="236">
        <f>IF($CU23="PROQUIMA",$BF23+$BO23+$BX23+$CG23+$CP23,0)</f>
        <v>0</v>
      </c>
      <c r="DB23" s="236">
        <f>IF($CU23="PROQUIMA",$BG23+$BP23+$BY23+$CH23+$CQ23,0)</f>
        <v>0</v>
      </c>
      <c r="DC23" s="236">
        <f>IF($CU23="PROQUIMA",$BH23+$BQ23+$BZ23+$CI23+CR23,0)</f>
        <v>0</v>
      </c>
      <c r="DD23" s="236">
        <f>SUM(CV23:DC23)-CX23-CZ23</f>
        <v>0</v>
      </c>
      <c r="DE23" s="236">
        <f>IF($CU23="UNHESA",$BA23+$BJ23+$BS23+$CB23+$CK23,0)</f>
        <v>0</v>
      </c>
      <c r="DF23" s="236">
        <f>IF($CU23="UNHESA",$BB23+$BK23+$BT23+$CC23+$CL23,0)</f>
        <v>0</v>
      </c>
      <c r="DG23" s="236">
        <f>IF($CU23="UNHESA",$BC23+$BL23+$BU23+$CD23+$CM23,0)</f>
        <v>0</v>
      </c>
      <c r="DH23" s="236">
        <f>IF($CU23="UNHESA",$BD23+$BM23+$BV23+$CE23+$CN23,0)</f>
        <v>0</v>
      </c>
      <c r="DI23" s="236">
        <f>IF($CU23="UNHESA",$BE23+$BN23+$BW23+$CF23+$CO23,0)</f>
        <v>0</v>
      </c>
      <c r="DJ23" s="236">
        <f>IF($CU23="UNHESA",$BF23+$BO23+$BX23+$CG23+$CP23,0)</f>
        <v>0</v>
      </c>
      <c r="DK23" s="236">
        <f>IF($CU23="UNHESA",$BG23+$BP23+$BY23+$CH23+$CQ23,0)</f>
        <v>0</v>
      </c>
      <c r="DL23" s="236">
        <f>IF($CU23="UNHESA",$BH23+$BQ23+$BZ23+$CI23+$CR23,0)</f>
        <v>0</v>
      </c>
      <c r="DM23" s="236">
        <f>SUM(DE23:DL23)-DG23-DI23</f>
        <v>0</v>
      </c>
      <c r="DN23" s="236">
        <f>IF($CU23="UNHESA LIQUIDOS",$BA23+$BJ23+$BS23+$CB23+$CK23,0)</f>
        <v>0</v>
      </c>
      <c r="DO23" s="236">
        <f>IF($CU23="UNHESA LIQUIDOS",$BB23+$BK23+$BT23+$CC23+$CL23,0)</f>
        <v>0</v>
      </c>
      <c r="DP23" s="236">
        <f>IF($CU23="UNHESA LIQUIDOS",$BC23+$BL23+$BU23+$CD23+$CM23,0)</f>
        <v>0</v>
      </c>
      <c r="DQ23" s="236">
        <f>IF($CU23="UNHESA LIQUIDOS",$BD23+$BM23+$BV23+$CE23+$CN23,0)</f>
        <v>0</v>
      </c>
      <c r="DR23" s="236">
        <f>IF($CU23="UNHESA LIQUIDOS",$BE23+$BN23+$BW23+$CF23+$CO23,0)</f>
        <v>0</v>
      </c>
      <c r="DS23" s="236">
        <f>IF($CU23="UNHESA LIQUIDOS",$BF23+$BO23+$BX23+$CG23+$CP23,0)</f>
        <v>0</v>
      </c>
      <c r="DT23" s="236">
        <f>IF($CU23="UNHESA LIQUIDOS",$BG23+$BP23+$BY23+$CH23+$CQ23,0)</f>
        <v>0</v>
      </c>
      <c r="DU23" s="236">
        <f>IF($CU23="UNHESA LIQUIDOS",$BH23+$BQ23+$BZ23+$CI23+$CR23,0)</f>
        <v>0</v>
      </c>
      <c r="DV23" s="236">
        <f>SUM(DN23:DU23)-DP23-DR23</f>
        <v>0</v>
      </c>
      <c r="DW23" s="987">
        <f t="shared" ref="DW23:DW25" si="320">IF($CU23="CLEARTEC",$BA23+$BJ23+$BS23+$CB23+$CK23,0)</f>
        <v>0</v>
      </c>
      <c r="DX23" s="987">
        <f t="shared" si="294"/>
        <v>0</v>
      </c>
      <c r="DY23" s="987">
        <f t="shared" si="294"/>
        <v>0</v>
      </c>
      <c r="DZ23" s="987">
        <f t="shared" si="294"/>
        <v>0</v>
      </c>
      <c r="EA23" s="987">
        <f t="shared" si="294"/>
        <v>0</v>
      </c>
      <c r="EB23" s="987">
        <f t="shared" si="294"/>
        <v>0</v>
      </c>
      <c r="EC23" s="987">
        <f t="shared" si="294"/>
        <v>0</v>
      </c>
      <c r="ED23" s="987">
        <f t="shared" si="294"/>
        <v>0</v>
      </c>
      <c r="EE23" s="987">
        <f t="shared" si="294"/>
        <v>0</v>
      </c>
      <c r="EF23" s="203">
        <f t="shared" si="295"/>
        <v>4850</v>
      </c>
      <c r="EG23" s="242">
        <f t="shared" si="296"/>
        <v>1000</v>
      </c>
      <c r="EH23" s="203">
        <f t="shared" si="297"/>
        <v>0</v>
      </c>
      <c r="EI23" s="203">
        <f t="shared" si="298"/>
        <v>0</v>
      </c>
      <c r="EJ23" s="242">
        <f t="shared" si="299"/>
        <v>0</v>
      </c>
      <c r="EK23" s="203">
        <f t="shared" si="300"/>
        <v>0</v>
      </c>
      <c r="EL23" s="203">
        <f t="shared" si="301"/>
        <v>0</v>
      </c>
      <c r="EM23" s="203">
        <f t="shared" si="302"/>
        <v>614.495</v>
      </c>
      <c r="EN23" s="203">
        <f t="shared" si="303"/>
        <v>6464.4949999999999</v>
      </c>
      <c r="EO23" s="810"/>
      <c r="EP23" s="1195">
        <v>66.53</v>
      </c>
      <c r="EQ23" s="813"/>
      <c r="ER23" s="813"/>
      <c r="ES23" s="246">
        <f>76.75+55</f>
        <v>131.75</v>
      </c>
      <c r="ET23" s="813"/>
      <c r="EU23" s="813"/>
      <c r="EV23" s="1177">
        <v>350</v>
      </c>
      <c r="EW23" s="813"/>
      <c r="EX23" s="813"/>
      <c r="EY23" s="201">
        <f t="shared" si="304"/>
        <v>350</v>
      </c>
      <c r="EZ23" s="717"/>
      <c r="FA23" s="247">
        <f t="shared" si="305"/>
        <v>66.53</v>
      </c>
      <c r="FB23" s="247">
        <f t="shared" si="306"/>
        <v>0</v>
      </c>
      <c r="FC23" s="247">
        <f t="shared" si="307"/>
        <v>0</v>
      </c>
      <c r="FD23" s="247">
        <f t="shared" si="308"/>
        <v>131.75</v>
      </c>
      <c r="FE23" s="247">
        <f t="shared" si="309"/>
        <v>0</v>
      </c>
      <c r="FF23" s="247">
        <f t="shared" si="310"/>
        <v>0</v>
      </c>
      <c r="FG23" s="247">
        <f t="shared" si="311"/>
        <v>350</v>
      </c>
      <c r="FH23" s="247">
        <f t="shared" si="312"/>
        <v>0</v>
      </c>
      <c r="FI23" s="247">
        <f t="shared" si="313"/>
        <v>0</v>
      </c>
      <c r="FJ23" s="247">
        <f t="shared" si="314"/>
        <v>350</v>
      </c>
      <c r="FK23" s="245"/>
      <c r="FL23" s="245"/>
      <c r="FM23" s="245"/>
      <c r="FN23" s="245"/>
      <c r="FO23" s="245"/>
      <c r="FP23" s="245"/>
      <c r="FR23" s="1178">
        <f t="shared" si="315"/>
        <v>0</v>
      </c>
      <c r="FS23" s="1178">
        <f t="shared" si="316"/>
        <v>0</v>
      </c>
      <c r="FT23" s="1179">
        <f t="shared" si="317"/>
        <v>0</v>
      </c>
      <c r="FU23" s="1178">
        <f t="shared" si="318"/>
        <v>0</v>
      </c>
      <c r="FV23" s="1182">
        <f t="shared" si="319"/>
        <v>-898.28</v>
      </c>
    </row>
    <row r="24" spans="1:178" s="216" customFormat="1" ht="15" customHeight="1" outlineLevel="1">
      <c r="A24" s="1006" t="str">
        <f t="shared" si="253"/>
        <v>MAYO  2026 2da QUINCENA</v>
      </c>
      <c r="B24" s="1006">
        <f t="shared" si="90"/>
        <v>2026</v>
      </c>
      <c r="C24" s="1007" t="str">
        <f t="shared" ref="C24" si="321">A24 &amp; B24</f>
        <v>MAYO  2026 2da QUINCENA2026</v>
      </c>
      <c r="D24" s="235" t="str">
        <f>+$G$8</f>
        <v>ADMINISTRATIVO</v>
      </c>
      <c r="E24" s="235">
        <v>103010</v>
      </c>
      <c r="F24" s="268">
        <v>4</v>
      </c>
      <c r="G24" s="1244" t="s">
        <v>615</v>
      </c>
      <c r="H24" s="200" t="s">
        <v>492</v>
      </c>
      <c r="I24" s="201" t="s">
        <v>11</v>
      </c>
      <c r="J24" s="203">
        <v>4250.03</v>
      </c>
      <c r="K24" s="203">
        <v>250</v>
      </c>
      <c r="L24" s="202">
        <f>+J24+K24</f>
        <v>4500.03</v>
      </c>
      <c r="M24" s="203">
        <v>30</v>
      </c>
      <c r="N24" s="204">
        <v>0.5</v>
      </c>
      <c r="O24" s="204">
        <v>0.45</v>
      </c>
      <c r="P24" s="204">
        <v>0.05</v>
      </c>
      <c r="Q24" s="204">
        <v>0</v>
      </c>
      <c r="R24" s="204">
        <v>0</v>
      </c>
      <c r="S24" s="204">
        <f t="shared" ref="S24" si="322">SUM(N24:R24)</f>
        <v>1</v>
      </c>
      <c r="T24" s="814"/>
      <c r="U24" s="207"/>
      <c r="V24" s="203">
        <f>($J24/30/8*1.5)*U24</f>
        <v>0</v>
      </c>
      <c r="W24" s="207"/>
      <c r="X24" s="203">
        <f>($J24/30/8*2)*W24</f>
        <v>0</v>
      </c>
      <c r="Y24" s="207"/>
      <c r="Z24" s="203">
        <f>($J24/30/8*1.5)*Y24</f>
        <v>0</v>
      </c>
      <c r="AA24" s="207"/>
      <c r="AB24" s="203">
        <f>($J24/30/8*2)*AA24</f>
        <v>0</v>
      </c>
      <c r="AC24" s="207"/>
      <c r="AD24" s="203">
        <f>(($J24/30/8)*1.5)*AC24</f>
        <v>0</v>
      </c>
      <c r="AE24" s="208"/>
      <c r="AF24" s="203">
        <f t="shared" ref="AF24" si="323">(($J24/30/8)*2)*AE24</f>
        <v>0</v>
      </c>
      <c r="AG24" s="208"/>
      <c r="AH24" s="203">
        <f t="shared" ref="AH24" si="324">(($J24/30/8)*1.5)*AG24</f>
        <v>0</v>
      </c>
      <c r="AI24" s="208"/>
      <c r="AJ24" s="203">
        <f t="shared" ref="AJ24" si="325">(($J24/30/8)*2)*AI24</f>
        <v>0</v>
      </c>
      <c r="AK24" s="203"/>
      <c r="AL24" s="203"/>
      <c r="AM24" s="208"/>
      <c r="AN24" s="203"/>
      <c r="AO24" s="203"/>
      <c r="AP24" s="203"/>
      <c r="AQ24" s="203"/>
      <c r="AR24" s="203"/>
      <c r="AS24" s="203"/>
      <c r="AT24" s="203"/>
      <c r="AU24" s="203"/>
      <c r="AV24" s="203"/>
      <c r="AW24" s="203"/>
      <c r="AX24" s="203"/>
      <c r="AY24" s="203"/>
      <c r="AZ24" s="201"/>
      <c r="BA24" s="203">
        <f t="shared" ref="BA24" si="326">((J24/30)*M24)*$N24</f>
        <v>2125.0149999999999</v>
      </c>
      <c r="BB24" s="203">
        <f t="shared" ref="BB24" si="327">((K24/30)*M24)*$N24</f>
        <v>125.00000000000001</v>
      </c>
      <c r="BC24" s="203">
        <f t="shared" si="271"/>
        <v>0</v>
      </c>
      <c r="BD24" s="203">
        <f t="shared" si="272"/>
        <v>0</v>
      </c>
      <c r="BE24" s="203">
        <f t="shared" si="273"/>
        <v>0</v>
      </c>
      <c r="BF24" s="203">
        <f t="shared" si="274"/>
        <v>0</v>
      </c>
      <c r="BG24" s="203">
        <f>AO24+AT24</f>
        <v>0</v>
      </c>
      <c r="BH24" s="203">
        <f t="shared" si="275"/>
        <v>269.23940049999999</v>
      </c>
      <c r="BI24" s="203">
        <f>SUM(BA24:BH24)-BC24-BE24</f>
        <v>2519.2544005</v>
      </c>
      <c r="BJ24" s="203">
        <f>(($J24/30)*$M24)*$O24</f>
        <v>1912.5135</v>
      </c>
      <c r="BK24" s="203">
        <f>(($K24/30)*$M24)*$O24</f>
        <v>112.50000000000001</v>
      </c>
      <c r="BL24" s="203">
        <f t="shared" si="276"/>
        <v>0</v>
      </c>
      <c r="BM24" s="203">
        <f t="shared" si="277"/>
        <v>0</v>
      </c>
      <c r="BN24" s="203">
        <f t="shared" si="278"/>
        <v>0</v>
      </c>
      <c r="BO24" s="203">
        <f t="shared" si="279"/>
        <v>0</v>
      </c>
      <c r="BP24" s="203">
        <f>AP24+AU24</f>
        <v>0</v>
      </c>
      <c r="BQ24" s="203">
        <f>(+BJ24+BM24+BO24+BP24)*0.1267</f>
        <v>242.31546045000002</v>
      </c>
      <c r="BR24" s="202">
        <f>SUM(BJ24:BQ24)-BL24-BN24</f>
        <v>2267.3289604500001</v>
      </c>
      <c r="BS24" s="203">
        <f t="shared" ref="BS24" si="328">(($J24/30)*$M24)*$P24</f>
        <v>212.50149999999999</v>
      </c>
      <c r="BT24" s="203">
        <f t="shared" ref="BT24" si="329">(($K24/30)*$M24)*$P24</f>
        <v>12.500000000000002</v>
      </c>
      <c r="BU24" s="203">
        <f t="shared" si="281"/>
        <v>0</v>
      </c>
      <c r="BV24" s="203">
        <f t="shared" si="282"/>
        <v>0</v>
      </c>
      <c r="BW24" s="203">
        <f t="shared" si="283"/>
        <v>0</v>
      </c>
      <c r="BX24" s="203">
        <f t="shared" si="284"/>
        <v>0</v>
      </c>
      <c r="BY24" s="203">
        <f>AQ24+AV24</f>
        <v>0</v>
      </c>
      <c r="BZ24" s="203">
        <f>(BS24+BV24+BX24+BY24)*0.1267</f>
        <v>26.923940050000002</v>
      </c>
      <c r="CA24" s="203">
        <f>SUM(BS24:BZ24)-BU24-BW24</f>
        <v>251.92544004999999</v>
      </c>
      <c r="CB24" s="781">
        <f t="shared" ref="CB24" si="330">(($J24/30)*$M24)*$Q24</f>
        <v>0</v>
      </c>
      <c r="CC24" s="782">
        <f t="shared" ref="CC24" si="331">(($K24/30)*$M24)*$Q24</f>
        <v>0</v>
      </c>
      <c r="CD24" s="782">
        <f t="shared" si="286"/>
        <v>0</v>
      </c>
      <c r="CE24" s="782">
        <f t="shared" si="287"/>
        <v>0</v>
      </c>
      <c r="CF24" s="782">
        <f t="shared" si="288"/>
        <v>0</v>
      </c>
      <c r="CG24" s="782">
        <f t="shared" si="289"/>
        <v>0</v>
      </c>
      <c r="CH24" s="782">
        <f t="shared" ref="CH24" si="332">AR24+AW24</f>
        <v>0</v>
      </c>
      <c r="CI24" s="703">
        <f>(CB24+CE24+CG24+CH24)*0.1267</f>
        <v>0</v>
      </c>
      <c r="CJ24" s="784">
        <f t="shared" ref="CJ24" si="333">SUM(CB24:CI24)-CD24-CF24</f>
        <v>0</v>
      </c>
      <c r="CK24" s="785"/>
      <c r="CL24" s="782"/>
      <c r="CM24" s="782"/>
      <c r="CN24" s="782"/>
      <c r="CO24" s="782"/>
      <c r="CP24" s="782"/>
      <c r="CQ24" s="782"/>
      <c r="CR24" s="783"/>
      <c r="CS24" s="783"/>
      <c r="CU24" s="201" t="s">
        <v>11</v>
      </c>
      <c r="CV24" s="203">
        <f t="shared" ref="CV24" si="334">IF($CU24="PROQUIMA",$BA24+$BJ24+$BS24+$CB24+$CK24,0)</f>
        <v>0</v>
      </c>
      <c r="CW24" s="203">
        <f t="shared" ref="CW24" si="335">IF($CU24="PROQUIMA",$BB24+$BK24+$BT24+$CC24+$CL24,0)</f>
        <v>0</v>
      </c>
      <c r="CX24" s="203">
        <f t="shared" ref="CX24" si="336">IF($CU24="PROQUIMA",$BC24+$BL24+$BU24+$CD24+$CM24,0)</f>
        <v>0</v>
      </c>
      <c r="CY24" s="203">
        <f t="shared" ref="CY24" si="337">IF($CU24="PROQUIMA",$BD24+$BM24+$BV24+$CE24+$CN24,0)</f>
        <v>0</v>
      </c>
      <c r="CZ24" s="203">
        <f t="shared" ref="CZ24" si="338">IF($CU24="PROQUIMA",$BE24+$BN24+$BW24+$CF24+$CO24,0)</f>
        <v>0</v>
      </c>
      <c r="DA24" s="203">
        <f t="shared" ref="DA24" si="339">IF($CU24="PROQUIMA",$BF24+$BO24+$BX24+$CG24+$CP24,0)</f>
        <v>0</v>
      </c>
      <c r="DB24" s="203">
        <f t="shared" ref="DB24" si="340">IF($CU24="PROQUIMA",$BG24+$BP24+$BY24+$CH24+$CQ24,0)</f>
        <v>0</v>
      </c>
      <c r="DC24" s="203">
        <f>IF($CU24="PROQUIMA",$BH24+$BQ24+$BZ24+$CI24+CR24,0)</f>
        <v>0</v>
      </c>
      <c r="DD24" s="203">
        <f>SUM(CV24:DC24)-CX24-CZ24</f>
        <v>0</v>
      </c>
      <c r="DE24" s="203">
        <f t="shared" ref="DE24" si="341">IF($CU24="UNHESA",$BA24+$BJ24+$BS24+$CB24+$CK24,0)</f>
        <v>0</v>
      </c>
      <c r="DF24" s="203">
        <f t="shared" ref="DF24" si="342">IF($CU24="UNHESA",$BB24+$BK24+$BT24+$CC24+$CL24,0)</f>
        <v>0</v>
      </c>
      <c r="DG24" s="203">
        <f t="shared" ref="DG24" si="343">IF($CU24="UNHESA",$BC24+$BL24+$BU24+$CD24+$CM24,0)</f>
        <v>0</v>
      </c>
      <c r="DH24" s="203">
        <f t="shared" ref="DH24" si="344">IF($CU24="UNHESA",$BD24+$BM24+$BV24+$CE24+$CN24,0)</f>
        <v>0</v>
      </c>
      <c r="DI24" s="203">
        <f t="shared" ref="DI24" si="345">IF($CU24="UNHESA",$BE24+$BN24+$BW24+$CF24+$CO24,0)</f>
        <v>0</v>
      </c>
      <c r="DJ24" s="203">
        <f t="shared" ref="DJ24" si="346">IF($CU24="UNHESA",$BF24+$BO24+$BX24+$CG24+$CP24,0)</f>
        <v>0</v>
      </c>
      <c r="DK24" s="203">
        <f t="shared" ref="DK24" si="347">IF($CU24="UNHESA",$BG24+$BP24+$BY24+$CH24+$CQ24,0)</f>
        <v>0</v>
      </c>
      <c r="DL24" s="203">
        <f t="shared" ref="DL24" si="348">IF($CU24="UNHESA",$BH24+$BQ24+$BZ24+$CI24+$CR24,0)</f>
        <v>0</v>
      </c>
      <c r="DM24" s="203">
        <f>SUM(DE24:DL24)-DG24-DI24</f>
        <v>0</v>
      </c>
      <c r="DN24" s="203">
        <f t="shared" ref="DN24" si="349">IF($CU24="UNHESA LIQUIDOS",$BA24+$BJ24+$BS24+$CB24+$CK24,0)</f>
        <v>0</v>
      </c>
      <c r="DO24" s="203">
        <f t="shared" ref="DO24" si="350">IF($CU24="CALIDUL",$BB24+$BK24+$BT24+$CC24+$CL24,0)</f>
        <v>0</v>
      </c>
      <c r="DP24" s="203">
        <f t="shared" ref="DP24" si="351">IF($CU24="CALIDUL",$BC24+$BL24+$BU24+$CD24+$CM24,0)</f>
        <v>0</v>
      </c>
      <c r="DQ24" s="203">
        <f t="shared" ref="DQ24" si="352">IF($CU24="CALIDUL",$BD24+$BM24+$BV24+$CE24+$CN24,0)</f>
        <v>0</v>
      </c>
      <c r="DR24" s="203">
        <f t="shared" ref="DR24" si="353">IF($CU24="CALIDUL",$BE24+$BN24+$BW24+$CF24+$CO24,0)</f>
        <v>0</v>
      </c>
      <c r="DS24" s="203">
        <f t="shared" ref="DS24" si="354">IF($CU24="CALIDUL",$BF24+$BO24+$BX24+$CG24+$CP24,0)</f>
        <v>0</v>
      </c>
      <c r="DT24" s="203">
        <f t="shared" ref="DT24" si="355">IF($CU24="CALIDUL",$BG24+$BP24+$BY24+$CH24+$CQ24,0)</f>
        <v>0</v>
      </c>
      <c r="DU24" s="203">
        <f t="shared" ref="DU24" si="356">IF($CU24="CALIDUL",$BH24+$BQ24+$BZ24+$CI24+$CR24,0)</f>
        <v>0</v>
      </c>
      <c r="DV24" s="203">
        <f>SUM(DN24:DU24)-DP24-DR24</f>
        <v>0</v>
      </c>
      <c r="DW24" s="702">
        <f>IF($CU24="CLEARTEC",$BA24+$BJ24+$BS24+$CB24+$CK24,0)</f>
        <v>0</v>
      </c>
      <c r="DX24" s="702">
        <f t="shared" si="294"/>
        <v>0</v>
      </c>
      <c r="DY24" s="702">
        <f t="shared" si="294"/>
        <v>0</v>
      </c>
      <c r="DZ24" s="702">
        <f t="shared" si="294"/>
        <v>0</v>
      </c>
      <c r="EA24" s="702">
        <f t="shared" si="294"/>
        <v>0</v>
      </c>
      <c r="EB24" s="702">
        <f t="shared" si="294"/>
        <v>0</v>
      </c>
      <c r="EC24" s="702">
        <f t="shared" si="294"/>
        <v>0</v>
      </c>
      <c r="ED24" s="702">
        <f t="shared" si="294"/>
        <v>0</v>
      </c>
      <c r="EE24" s="704">
        <f t="shared" ref="EE24" si="357">SUM(DW24:ED24)-DY24-EA24</f>
        <v>0</v>
      </c>
      <c r="EF24" s="203">
        <f t="shared" si="295"/>
        <v>4250.03</v>
      </c>
      <c r="EG24" s="242">
        <f t="shared" si="296"/>
        <v>250.00000000000003</v>
      </c>
      <c r="EH24" s="203">
        <f t="shared" si="297"/>
        <v>0</v>
      </c>
      <c r="EI24" s="203">
        <f t="shared" si="298"/>
        <v>0</v>
      </c>
      <c r="EJ24" s="242">
        <f t="shared" si="299"/>
        <v>0</v>
      </c>
      <c r="EK24" s="203">
        <f t="shared" si="300"/>
        <v>0</v>
      </c>
      <c r="EL24" s="203">
        <f t="shared" si="301"/>
        <v>0</v>
      </c>
      <c r="EM24" s="203">
        <f t="shared" si="302"/>
        <v>538.47880100000009</v>
      </c>
      <c r="EN24" s="203">
        <f t="shared" si="303"/>
        <v>5038.5088009999999</v>
      </c>
      <c r="EP24" s="201">
        <v>4.51</v>
      </c>
      <c r="EQ24" s="201"/>
      <c r="ER24" s="201"/>
      <c r="ES24" s="201">
        <f>102+78</f>
        <v>180</v>
      </c>
      <c r="ET24" s="201"/>
      <c r="EU24" s="201"/>
      <c r="EV24" s="201"/>
      <c r="EW24" s="201"/>
      <c r="EX24" s="852"/>
      <c r="EY24" s="201">
        <f t="shared" si="304"/>
        <v>0</v>
      </c>
      <c r="FA24" s="207">
        <f t="shared" si="305"/>
        <v>4.51</v>
      </c>
      <c r="FB24" s="207">
        <f t="shared" si="306"/>
        <v>0</v>
      </c>
      <c r="FC24" s="207">
        <f t="shared" si="307"/>
        <v>0</v>
      </c>
      <c r="FD24" s="207">
        <f t="shared" si="308"/>
        <v>180</v>
      </c>
      <c r="FE24" s="207">
        <f t="shared" si="309"/>
        <v>0</v>
      </c>
      <c r="FF24" s="207">
        <f t="shared" si="310"/>
        <v>0</v>
      </c>
      <c r="FG24" s="207">
        <f t="shared" si="311"/>
        <v>0</v>
      </c>
      <c r="FH24" s="207">
        <f t="shared" si="312"/>
        <v>0</v>
      </c>
      <c r="FI24" s="207">
        <f t="shared" si="313"/>
        <v>0</v>
      </c>
      <c r="FJ24" s="207">
        <f t="shared" si="314"/>
        <v>0</v>
      </c>
      <c r="FK24" s="217"/>
      <c r="FL24" s="217"/>
      <c r="FM24" s="217"/>
      <c r="FN24" s="217"/>
      <c r="FO24" s="217"/>
      <c r="FP24" s="217"/>
      <c r="FR24" s="1185">
        <f>(((J24/30/8)*1.5)*(U24+Y24+AC24))-(BD24+BM24+BV24)</f>
        <v>0</v>
      </c>
      <c r="FS24" s="1185">
        <f t="shared" si="316"/>
        <v>0</v>
      </c>
      <c r="FT24" s="1186">
        <f>(SUM(BA24:CJ24))-(SUM(EF24:EN24))</f>
        <v>0</v>
      </c>
      <c r="FU24" s="1185">
        <f>(J24/30*M24)-(EF24)</f>
        <v>0</v>
      </c>
      <c r="FV24" s="1187">
        <f>(SUM(EP24:EY24))-((SUM(FA24:FJ24))*$FV$5)</f>
        <v>-184.51</v>
      </c>
    </row>
    <row r="25" spans="1:178" s="778" customFormat="1" ht="15" customHeight="1" outlineLevel="1">
      <c r="A25" s="1006" t="str">
        <f t="shared" si="253"/>
        <v>MAYO  2026 2da QUINCENA</v>
      </c>
      <c r="B25" s="1006">
        <f t="shared" si="90"/>
        <v>2026</v>
      </c>
      <c r="C25" s="1007" t="str">
        <f t="shared" si="254"/>
        <v>MAYO  2026 2da QUINCENA2026</v>
      </c>
      <c r="D25" s="827" t="str">
        <f t="shared" si="270"/>
        <v>RECURSOS HUMANOS</v>
      </c>
      <c r="E25" s="235">
        <v>103010</v>
      </c>
      <c r="F25" s="806">
        <v>9</v>
      </c>
      <c r="G25" s="167" t="s">
        <v>679</v>
      </c>
      <c r="H25" s="246" t="s">
        <v>568</v>
      </c>
      <c r="I25" s="244" t="s">
        <v>11</v>
      </c>
      <c r="J25" s="202">
        <v>4725</v>
      </c>
      <c r="K25" s="792">
        <v>1000</v>
      </c>
      <c r="L25" s="792">
        <f>+J25+K25</f>
        <v>5725</v>
      </c>
      <c r="M25" s="203">
        <v>30</v>
      </c>
      <c r="N25" s="816">
        <v>0.4</v>
      </c>
      <c r="O25" s="816">
        <v>0.35</v>
      </c>
      <c r="P25" s="816">
        <v>0.05</v>
      </c>
      <c r="Q25" s="1010">
        <v>0.2</v>
      </c>
      <c r="R25" s="793">
        <v>0</v>
      </c>
      <c r="S25" s="793">
        <f>SUM(N25:R25)</f>
        <v>1</v>
      </c>
      <c r="T25" s="807"/>
      <c r="U25" s="845"/>
      <c r="V25" s="236">
        <f>($J25/30/8*1.5)*U25</f>
        <v>0</v>
      </c>
      <c r="W25" s="247"/>
      <c r="X25" s="236">
        <f>($J25/30/8*2)*W25</f>
        <v>0</v>
      </c>
      <c r="Y25" s="247"/>
      <c r="Z25" s="236">
        <f>($J25/30/8*1.5)*Y25</f>
        <v>0</v>
      </c>
      <c r="AA25" s="247"/>
      <c r="AB25" s="236">
        <f>($J25/30/8*2)*AA25</f>
        <v>0</v>
      </c>
      <c r="AC25" s="247"/>
      <c r="AD25" s="236">
        <f>(($J25/30/8)*1.5)*AC25</f>
        <v>0</v>
      </c>
      <c r="AE25" s="794"/>
      <c r="AF25" s="236">
        <f>(($J25/30/8)*2)*AE25</f>
        <v>0</v>
      </c>
      <c r="AG25" s="794"/>
      <c r="AH25" s="236">
        <f>(($J25/30/8)*1.5)*AG25</f>
        <v>0</v>
      </c>
      <c r="AI25" s="794"/>
      <c r="AJ25" s="236">
        <f>(($J25/30/8)*2)*AI25</f>
        <v>0</v>
      </c>
      <c r="AK25" s="794"/>
      <c r="AL25" s="236">
        <f>(($J25/30/8)*1.5)*AK25</f>
        <v>0</v>
      </c>
      <c r="AM25" s="794"/>
      <c r="AN25" s="236">
        <f>(($J25/30/8)*2)*AM25</f>
        <v>0</v>
      </c>
      <c r="AO25" s="792"/>
      <c r="AP25" s="792"/>
      <c r="AQ25" s="792"/>
      <c r="AR25" s="792"/>
      <c r="AS25" s="792"/>
      <c r="AT25" s="792"/>
      <c r="AU25" s="792"/>
      <c r="AV25" s="792"/>
      <c r="AW25" s="792"/>
      <c r="AX25" s="792"/>
      <c r="AY25" s="792"/>
      <c r="AZ25" s="846"/>
      <c r="BA25" s="236">
        <f>((J25/30)*M25)*$N25</f>
        <v>1890</v>
      </c>
      <c r="BB25" s="203">
        <f>((K25/30)*M25)*$N25</f>
        <v>400.00000000000006</v>
      </c>
      <c r="BC25" s="236">
        <f t="shared" ref="BC25" si="358">U25</f>
        <v>0</v>
      </c>
      <c r="BD25" s="236">
        <f t="shared" ref="BD25" si="359">V25</f>
        <v>0</v>
      </c>
      <c r="BE25" s="236">
        <f t="shared" ref="BE25" si="360">W25</f>
        <v>0</v>
      </c>
      <c r="BF25" s="236">
        <f t="shared" ref="BF25" si="361">X25</f>
        <v>0</v>
      </c>
      <c r="BG25" s="236">
        <f>AO25+AT25</f>
        <v>0</v>
      </c>
      <c r="BH25" s="203">
        <f t="shared" si="275"/>
        <v>239.46300000000002</v>
      </c>
      <c r="BI25" s="236">
        <f>SUM(BA25:BH25)-BC25-BE25</f>
        <v>2529.4630000000002</v>
      </c>
      <c r="BJ25" s="236">
        <f>(($J25/30)*$M25)*$O25</f>
        <v>1653.75</v>
      </c>
      <c r="BK25" s="203">
        <f>(($K25/30)*$M25)*$O25</f>
        <v>350</v>
      </c>
      <c r="BL25" s="236">
        <f t="shared" ref="BL25" si="362">Y25</f>
        <v>0</v>
      </c>
      <c r="BM25" s="236">
        <f t="shared" ref="BM25" si="363">Z25</f>
        <v>0</v>
      </c>
      <c r="BN25" s="236">
        <f t="shared" ref="BN25" si="364">AA25</f>
        <v>0</v>
      </c>
      <c r="BO25" s="236">
        <f t="shared" ref="BO25" si="365">AB25</f>
        <v>0</v>
      </c>
      <c r="BP25" s="236">
        <f>AP25+AU25</f>
        <v>0</v>
      </c>
      <c r="BQ25" s="203">
        <f t="shared" si="280"/>
        <v>209.530125</v>
      </c>
      <c r="BR25" s="792">
        <f>SUM(BJ25:BQ25)-BL25-BN25</f>
        <v>2213.2801250000002</v>
      </c>
      <c r="BS25" s="236">
        <f>(($J25/30)*$M25)*$P25</f>
        <v>236.25</v>
      </c>
      <c r="BT25" s="236">
        <f>(($K25/30)*$M25)*$P25</f>
        <v>50.000000000000007</v>
      </c>
      <c r="BU25" s="236">
        <f t="shared" ref="BU25" si="366">AC25</f>
        <v>0</v>
      </c>
      <c r="BV25" s="236">
        <f t="shared" ref="BV25" si="367">AD25</f>
        <v>0</v>
      </c>
      <c r="BW25" s="236">
        <f t="shared" ref="BW25" si="368">AE25</f>
        <v>0</v>
      </c>
      <c r="BX25" s="236">
        <f t="shared" ref="BX25" si="369">AF25</f>
        <v>0</v>
      </c>
      <c r="BY25" s="236">
        <f>AQ25+AV25</f>
        <v>0</v>
      </c>
      <c r="BZ25" s="203">
        <f t="shared" si="285"/>
        <v>29.932875000000003</v>
      </c>
      <c r="CA25" s="236">
        <f>SUM(BS25:BZ25)-BU25-BW25</f>
        <v>316.18287500000002</v>
      </c>
      <c r="CB25" s="817">
        <f>(($J25/30)*$M25)*$Q25</f>
        <v>945</v>
      </c>
      <c r="CC25" s="818">
        <f>(($K25/30)*$M25)*$Q25</f>
        <v>200.00000000000003</v>
      </c>
      <c r="CD25" s="818">
        <f t="shared" ref="CD25" si="370">AG25</f>
        <v>0</v>
      </c>
      <c r="CE25" s="818">
        <f t="shared" ref="CE25" si="371">AH25</f>
        <v>0</v>
      </c>
      <c r="CF25" s="818">
        <f t="shared" ref="CF25" si="372">AI25</f>
        <v>0</v>
      </c>
      <c r="CG25" s="818">
        <f t="shared" ref="CG25" si="373">AJ25</f>
        <v>0</v>
      </c>
      <c r="CH25" s="818">
        <f>AR25+AW25</f>
        <v>0</v>
      </c>
      <c r="CI25" s="703">
        <f t="shared" si="290"/>
        <v>119.73150000000001</v>
      </c>
      <c r="CJ25" s="818">
        <f>SUM(CB25:CI25)-CD25-CF25</f>
        <v>1264.7315000000001</v>
      </c>
      <c r="CK25" s="818">
        <f>(($J25/30)*$M25)*R25</f>
        <v>0</v>
      </c>
      <c r="CL25" s="818">
        <f>(($K25/30)*$M25)*$R25</f>
        <v>0</v>
      </c>
      <c r="CM25" s="818">
        <f>+AK25</f>
        <v>0</v>
      </c>
      <c r="CN25" s="818">
        <f t="shared" ref="CN25" si="374">AL25</f>
        <v>0</v>
      </c>
      <c r="CO25" s="818">
        <f t="shared" ref="CO25" si="375">AM25</f>
        <v>0</v>
      </c>
      <c r="CP25" s="818">
        <f t="shared" ref="CP25" si="376">AN25</f>
        <v>0</v>
      </c>
      <c r="CQ25" s="818">
        <f>AS25+AX25</f>
        <v>0</v>
      </c>
      <c r="CR25" s="818">
        <f>(CK25+CN25+CP25)*0.1267</f>
        <v>0</v>
      </c>
      <c r="CS25" s="819">
        <f>SUM(CK25:CR25)-CM25-CO25</f>
        <v>0</v>
      </c>
      <c r="CT25" s="810"/>
      <c r="CU25" s="992" t="s">
        <v>11</v>
      </c>
      <c r="CV25" s="236">
        <f>IF($CU25="PROQUIMA",$BA25+$BJ25+$BS25+$CB25+$CK25,0)</f>
        <v>0</v>
      </c>
      <c r="CW25" s="236">
        <f>IF($CU25="PROQUIMA",$BB25+$BK25+$BT25+$CC25+$CL25,0)</f>
        <v>0</v>
      </c>
      <c r="CX25" s="236">
        <f>IF($CU25="PROQUIMA",$BC25+$BL25+$BU25+$CD25+$CM25,0)</f>
        <v>0</v>
      </c>
      <c r="CY25" s="236">
        <f>IF($CU25="PROQUIMA",$BD25+$BM25+$BV25+$CE25+$CN25,0)</f>
        <v>0</v>
      </c>
      <c r="CZ25" s="236">
        <f>IF($CU25="PROQUIMA",$BE25+$BN25+$BW25+$CF25+$CO25,0)</f>
        <v>0</v>
      </c>
      <c r="DA25" s="236">
        <f>IF($CU25="PROQUIMA",$BF25+$BO25+$BX25+$CG25+$CP25,0)</f>
        <v>0</v>
      </c>
      <c r="DB25" s="236">
        <f>IF($CU25="PROQUIMA",$BG25+$BP25+$BY25+$CH25+$CQ25,0)</f>
        <v>0</v>
      </c>
      <c r="DC25" s="236">
        <f>IF($CU25="PROQUIMA",$BH25+$BQ25+$BZ25+$CI25+CR25,0)</f>
        <v>0</v>
      </c>
      <c r="DD25" s="236">
        <f>SUM(CV25:DC25)-CX25-CZ25</f>
        <v>0</v>
      </c>
      <c r="DE25" s="236">
        <f>IF($CU25="UNHESA",$BA25+$BJ25+$BS25+$CB25+$CK25,0)</f>
        <v>0</v>
      </c>
      <c r="DF25" s="236">
        <f>IF($CU25="UNHESA",$BB25+$BK25+$BT25+$CC25+$CL25,0)</f>
        <v>0</v>
      </c>
      <c r="DG25" s="236">
        <f>IF($CU25="UNHESA",$BC25+$BL25+$BU25+$CD25+$CM25,0)</f>
        <v>0</v>
      </c>
      <c r="DH25" s="236">
        <f>IF($CU25="UNHESA",$BD25+$BM25+$BV25+$CE25+$CN25,0)</f>
        <v>0</v>
      </c>
      <c r="DI25" s="236">
        <f>IF($CU25="UNHESA",$BE25+$BN25+$BW25+$CF25+$CO25,0)</f>
        <v>0</v>
      </c>
      <c r="DJ25" s="236">
        <f>IF($CU25="UNHESA",$BF25+$BO25+$BX25+$CG25+$CP25,0)</f>
        <v>0</v>
      </c>
      <c r="DK25" s="236">
        <f>IF($CU25="UNHESA",$BG25+$BP25+$BY25+$CH25+$CQ25,0)</f>
        <v>0</v>
      </c>
      <c r="DL25" s="236">
        <f>IF($CU25="UNHESA",$BH25+$BQ25+$BZ25+$CI25+$CR25,0)</f>
        <v>0</v>
      </c>
      <c r="DM25" s="236">
        <f>SUM(DE25:DL25)-DG25-DI25</f>
        <v>0</v>
      </c>
      <c r="DN25" s="236">
        <f>IF($CU25="UNHESA LIQUIDOS",$BA25+$BJ25+$BS25+$CB25+$CK25,0)</f>
        <v>0</v>
      </c>
      <c r="DO25" s="236">
        <f>IF($CU25="UNHESA LIQUIDOS",$BB25+$BK25+$BT25+$CC25+$CL25,0)</f>
        <v>0</v>
      </c>
      <c r="DP25" s="236">
        <f>IF($CU25="UNHESA LIQUIDOS",$BC25+$BL25+$BU25+$CD25+$CM25,0)</f>
        <v>0</v>
      </c>
      <c r="DQ25" s="236">
        <f>IF($CU25="UNHESA LIQUIDOS",$BD25+$BM25+$BV25+$CE25+$CN25,0)</f>
        <v>0</v>
      </c>
      <c r="DR25" s="236">
        <f>IF($CU25="UNHESA LIQUIDOS",$BE25+$BN25+$BW25+$CF25+$CO25,0)</f>
        <v>0</v>
      </c>
      <c r="DS25" s="236">
        <f>IF($CU25="UNHESA LIQUIDOS",$BF25+$BO25+$BX25+$CG25+$CP25,0)</f>
        <v>0</v>
      </c>
      <c r="DT25" s="236">
        <f>IF($CU25="UNHESA LIQUIDOS",$BG25+$BP25+$BY25+$CH25+$CQ25,0)</f>
        <v>0</v>
      </c>
      <c r="DU25" s="236">
        <f>IF($CU25="UNHESA LIQUIDOS",$BH25+$BQ25+$BZ25+$CI25+$CR25,0)</f>
        <v>0</v>
      </c>
      <c r="DV25" s="236">
        <f>SUM(DN25:DU25)-DP25-DR25</f>
        <v>0</v>
      </c>
      <c r="DW25" s="987">
        <f t="shared" si="320"/>
        <v>0</v>
      </c>
      <c r="DX25" s="987">
        <f t="shared" si="294"/>
        <v>0</v>
      </c>
      <c r="DY25" s="987">
        <f t="shared" si="294"/>
        <v>0</v>
      </c>
      <c r="DZ25" s="987">
        <f t="shared" si="294"/>
        <v>0</v>
      </c>
      <c r="EA25" s="987">
        <f t="shared" si="294"/>
        <v>0</v>
      </c>
      <c r="EB25" s="987">
        <f t="shared" si="294"/>
        <v>0</v>
      </c>
      <c r="EC25" s="987">
        <f t="shared" si="294"/>
        <v>0</v>
      </c>
      <c r="ED25" s="987">
        <f t="shared" si="294"/>
        <v>0</v>
      </c>
      <c r="EE25" s="987">
        <f t="shared" si="294"/>
        <v>0</v>
      </c>
      <c r="EF25" s="203">
        <f t="shared" si="295"/>
        <v>4725</v>
      </c>
      <c r="EG25" s="242">
        <f t="shared" si="296"/>
        <v>1000</v>
      </c>
      <c r="EH25" s="203">
        <f t="shared" si="297"/>
        <v>0</v>
      </c>
      <c r="EI25" s="203">
        <f t="shared" si="298"/>
        <v>0</v>
      </c>
      <c r="EJ25" s="242">
        <f t="shared" si="299"/>
        <v>0</v>
      </c>
      <c r="EK25" s="203">
        <f t="shared" si="300"/>
        <v>0</v>
      </c>
      <c r="EL25" s="203">
        <f t="shared" si="301"/>
        <v>0</v>
      </c>
      <c r="EM25" s="203">
        <f t="shared" si="302"/>
        <v>598.65750000000003</v>
      </c>
      <c r="EN25" s="203">
        <f t="shared" si="303"/>
        <v>6323.6575000000003</v>
      </c>
      <c r="EO25" s="810"/>
      <c r="EP25" s="1195">
        <v>61.78</v>
      </c>
      <c r="EQ25" s="813"/>
      <c r="ER25" s="813"/>
      <c r="ES25" s="813">
        <f>116.5+145.5</f>
        <v>262</v>
      </c>
      <c r="ET25" s="813">
        <v>168.3</v>
      </c>
      <c r="EU25" s="813"/>
      <c r="EV25" s="813"/>
      <c r="EW25" s="813"/>
      <c r="EX25" s="813"/>
      <c r="EY25" s="201">
        <f t="shared" si="304"/>
        <v>168.3</v>
      </c>
      <c r="EZ25" s="717"/>
      <c r="FA25" s="247">
        <f t="shared" ref="FA25" si="377">IF($M25&lt;=15,EP25/2,EP25)</f>
        <v>61.78</v>
      </c>
      <c r="FB25" s="247">
        <f t="shared" ref="FB25" si="378">IF($M25&lt;=15,EQ25/2,EQ25)</f>
        <v>0</v>
      </c>
      <c r="FC25" s="247">
        <f t="shared" ref="FC25" si="379">IF($M25&lt;=15,ER25/2,ER25)</f>
        <v>0</v>
      </c>
      <c r="FD25" s="247">
        <f t="shared" ref="FD25" si="380">IF($M25&lt;=15,ES25/2,ES25)</f>
        <v>262</v>
      </c>
      <c r="FE25" s="247">
        <f t="shared" ref="FE25" si="381">IF($M25&lt;=15,ET25/2,ET25)</f>
        <v>168.3</v>
      </c>
      <c r="FF25" s="247">
        <f t="shared" ref="FF25" si="382">IF($M25&lt;=15,EU25/2,EU25)</f>
        <v>0</v>
      </c>
      <c r="FG25" s="247">
        <f t="shared" ref="FG25" si="383">IF($M25&lt;=15,EV25/2,EV25)</f>
        <v>0</v>
      </c>
      <c r="FH25" s="247">
        <f t="shared" ref="FH25" si="384">IF($M25&lt;=15,EW25/2,EW25)</f>
        <v>0</v>
      </c>
      <c r="FI25" s="247">
        <f t="shared" ref="FI25" si="385">IF($M25&lt;=15,EX25/2,EX25)</f>
        <v>0</v>
      </c>
      <c r="FJ25" s="247">
        <f t="shared" ref="FJ25" si="386">IF($M25&lt;=15,EY25/2,EY25)</f>
        <v>168.3</v>
      </c>
      <c r="FK25" s="245"/>
      <c r="FL25" s="245"/>
      <c r="FM25" s="245"/>
      <c r="FN25" s="245"/>
      <c r="FO25" s="245"/>
      <c r="FP25" s="245"/>
      <c r="FR25" s="1178">
        <f t="shared" si="315"/>
        <v>0</v>
      </c>
      <c r="FS25" s="1178">
        <f t="shared" si="316"/>
        <v>0</v>
      </c>
      <c r="FT25" s="1179">
        <f t="shared" si="317"/>
        <v>0</v>
      </c>
      <c r="FU25" s="1178">
        <f t="shared" si="318"/>
        <v>0</v>
      </c>
      <c r="FV25" s="1182">
        <f t="shared" si="319"/>
        <v>-660.38</v>
      </c>
    </row>
    <row r="26" spans="1:178" s="810" customFormat="1" ht="15.75" customHeight="1" outlineLevel="1" thickBot="1">
      <c r="A26" s="1006"/>
      <c r="B26" s="1006"/>
      <c r="C26" s="1007"/>
      <c r="D26" s="717"/>
      <c r="E26" s="717"/>
      <c r="F26" s="776"/>
      <c r="G26" s="723"/>
      <c r="H26" s="717" t="s">
        <v>78</v>
      </c>
      <c r="J26" s="858">
        <f>SUM(J22:J25)</f>
        <v>22975.03</v>
      </c>
      <c r="K26" s="858">
        <f>SUM(K22:K25)</f>
        <v>6750</v>
      </c>
      <c r="L26" s="858">
        <f>SUM(L22:L25)</f>
        <v>29725.03</v>
      </c>
      <c r="M26" s="835"/>
      <c r="N26" s="830"/>
      <c r="O26" s="830"/>
      <c r="P26" s="830"/>
      <c r="Q26" s="830"/>
      <c r="R26" s="830"/>
      <c r="S26" s="830"/>
      <c r="T26" s="835"/>
      <c r="U26" s="858">
        <f t="shared" ref="U26:AZ26" si="387">SUM(U22:U25)</f>
        <v>0</v>
      </c>
      <c r="V26" s="858">
        <f t="shared" si="387"/>
        <v>0</v>
      </c>
      <c r="W26" s="858">
        <f t="shared" si="387"/>
        <v>0</v>
      </c>
      <c r="X26" s="858">
        <f t="shared" si="387"/>
        <v>0</v>
      </c>
      <c r="Y26" s="858">
        <f t="shared" si="387"/>
        <v>0</v>
      </c>
      <c r="Z26" s="858">
        <f t="shared" si="387"/>
        <v>0</v>
      </c>
      <c r="AA26" s="858">
        <f t="shared" si="387"/>
        <v>0</v>
      </c>
      <c r="AB26" s="858">
        <f t="shared" si="387"/>
        <v>0</v>
      </c>
      <c r="AC26" s="858">
        <f t="shared" si="387"/>
        <v>0</v>
      </c>
      <c r="AD26" s="858">
        <f t="shared" si="387"/>
        <v>0</v>
      </c>
      <c r="AE26" s="858">
        <f t="shared" si="387"/>
        <v>0</v>
      </c>
      <c r="AF26" s="858">
        <f t="shared" si="387"/>
        <v>0</v>
      </c>
      <c r="AG26" s="858">
        <f t="shared" si="387"/>
        <v>0</v>
      </c>
      <c r="AH26" s="858">
        <f t="shared" si="387"/>
        <v>0</v>
      </c>
      <c r="AI26" s="858">
        <f t="shared" si="387"/>
        <v>0</v>
      </c>
      <c r="AJ26" s="858">
        <f t="shared" si="387"/>
        <v>0</v>
      </c>
      <c r="AK26" s="858">
        <f t="shared" si="387"/>
        <v>0</v>
      </c>
      <c r="AL26" s="858">
        <f t="shared" si="387"/>
        <v>0</v>
      </c>
      <c r="AM26" s="858">
        <f t="shared" si="387"/>
        <v>0</v>
      </c>
      <c r="AN26" s="858">
        <f t="shared" si="387"/>
        <v>0</v>
      </c>
      <c r="AO26" s="858">
        <f t="shared" si="387"/>
        <v>0</v>
      </c>
      <c r="AP26" s="858">
        <f t="shared" si="387"/>
        <v>0</v>
      </c>
      <c r="AQ26" s="858">
        <f t="shared" si="387"/>
        <v>0</v>
      </c>
      <c r="AR26" s="858">
        <f t="shared" si="387"/>
        <v>0</v>
      </c>
      <c r="AS26" s="858">
        <f t="shared" si="387"/>
        <v>0</v>
      </c>
      <c r="AT26" s="858">
        <f t="shared" si="387"/>
        <v>0</v>
      </c>
      <c r="AU26" s="858">
        <f t="shared" si="387"/>
        <v>0</v>
      </c>
      <c r="AV26" s="858">
        <f t="shared" si="387"/>
        <v>0</v>
      </c>
      <c r="AW26" s="858">
        <f t="shared" si="387"/>
        <v>0</v>
      </c>
      <c r="AX26" s="858">
        <f t="shared" si="387"/>
        <v>0</v>
      </c>
      <c r="AY26" s="858">
        <f t="shared" si="387"/>
        <v>0</v>
      </c>
      <c r="AZ26" s="858">
        <f t="shared" si="387"/>
        <v>0</v>
      </c>
      <c r="BA26" s="858">
        <f t="shared" ref="BA26:CF26" si="388">SUM(BA22:BA25)</f>
        <v>9615.0149999999994</v>
      </c>
      <c r="BB26" s="858">
        <f t="shared" si="388"/>
        <v>2725</v>
      </c>
      <c r="BC26" s="858">
        <f t="shared" si="388"/>
        <v>0</v>
      </c>
      <c r="BD26" s="858">
        <f t="shared" si="388"/>
        <v>0</v>
      </c>
      <c r="BE26" s="858">
        <f t="shared" si="388"/>
        <v>0</v>
      </c>
      <c r="BF26" s="858">
        <f t="shared" si="388"/>
        <v>0</v>
      </c>
      <c r="BG26" s="858">
        <f t="shared" si="388"/>
        <v>0</v>
      </c>
      <c r="BH26" s="858">
        <f t="shared" si="388"/>
        <v>1218.2224005</v>
      </c>
      <c r="BI26" s="858">
        <f t="shared" si="388"/>
        <v>13558.2374005</v>
      </c>
      <c r="BJ26" s="858">
        <f t="shared" si="388"/>
        <v>8466.2635000000009</v>
      </c>
      <c r="BK26" s="858">
        <f t="shared" si="388"/>
        <v>2387.5</v>
      </c>
      <c r="BL26" s="858">
        <f t="shared" si="388"/>
        <v>0</v>
      </c>
      <c r="BM26" s="858">
        <f t="shared" si="388"/>
        <v>0</v>
      </c>
      <c r="BN26" s="858">
        <f t="shared" si="388"/>
        <v>0</v>
      </c>
      <c r="BO26" s="858">
        <f t="shared" si="388"/>
        <v>0</v>
      </c>
      <c r="BP26" s="858">
        <f t="shared" si="388"/>
        <v>0</v>
      </c>
      <c r="BQ26" s="858">
        <f t="shared" si="388"/>
        <v>1072.6755854500002</v>
      </c>
      <c r="BR26" s="858">
        <f t="shared" si="388"/>
        <v>11926.439085450002</v>
      </c>
      <c r="BS26" s="858">
        <f t="shared" si="388"/>
        <v>1148.7514999999999</v>
      </c>
      <c r="BT26" s="858">
        <f t="shared" si="388"/>
        <v>337.5</v>
      </c>
      <c r="BU26" s="858">
        <f t="shared" si="388"/>
        <v>0</v>
      </c>
      <c r="BV26" s="858">
        <f t="shared" si="388"/>
        <v>0</v>
      </c>
      <c r="BW26" s="858">
        <f t="shared" si="388"/>
        <v>0</v>
      </c>
      <c r="BX26" s="858">
        <f t="shared" si="388"/>
        <v>0</v>
      </c>
      <c r="BY26" s="858">
        <f t="shared" si="388"/>
        <v>0</v>
      </c>
      <c r="BZ26" s="858">
        <f t="shared" si="388"/>
        <v>145.54681504999999</v>
      </c>
      <c r="CA26" s="858">
        <f t="shared" si="388"/>
        <v>1631.7983150499999</v>
      </c>
      <c r="CB26" s="858">
        <f t="shared" si="388"/>
        <v>3745</v>
      </c>
      <c r="CC26" s="858">
        <f t="shared" si="388"/>
        <v>1300</v>
      </c>
      <c r="CD26" s="858">
        <f t="shared" si="388"/>
        <v>0</v>
      </c>
      <c r="CE26" s="858">
        <f t="shared" si="388"/>
        <v>0</v>
      </c>
      <c r="CF26" s="858">
        <f t="shared" si="388"/>
        <v>0</v>
      </c>
      <c r="CG26" s="858">
        <f t="shared" ref="CG26:DL26" si="389">SUM(CG22:CG25)</f>
        <v>0</v>
      </c>
      <c r="CH26" s="858">
        <f t="shared" si="389"/>
        <v>0</v>
      </c>
      <c r="CI26" s="858">
        <f t="shared" si="389"/>
        <v>474.49149999999997</v>
      </c>
      <c r="CJ26" s="858">
        <f t="shared" si="389"/>
        <v>5519.4915000000001</v>
      </c>
      <c r="CK26" s="858">
        <f t="shared" si="389"/>
        <v>0</v>
      </c>
      <c r="CL26" s="858">
        <f t="shared" si="389"/>
        <v>0</v>
      </c>
      <c r="CM26" s="858">
        <f t="shared" si="389"/>
        <v>0</v>
      </c>
      <c r="CN26" s="858">
        <f t="shared" si="389"/>
        <v>0</v>
      </c>
      <c r="CO26" s="858">
        <f t="shared" si="389"/>
        <v>0</v>
      </c>
      <c r="CP26" s="858">
        <f t="shared" si="389"/>
        <v>0</v>
      </c>
      <c r="CQ26" s="858">
        <f t="shared" si="389"/>
        <v>0</v>
      </c>
      <c r="CR26" s="858">
        <f t="shared" si="389"/>
        <v>0</v>
      </c>
      <c r="CS26" s="858">
        <f t="shared" si="389"/>
        <v>0</v>
      </c>
      <c r="CT26" s="858">
        <f t="shared" si="389"/>
        <v>0</v>
      </c>
      <c r="CU26" s="858">
        <f t="shared" si="389"/>
        <v>0</v>
      </c>
      <c r="CV26" s="858">
        <f t="shared" si="389"/>
        <v>0</v>
      </c>
      <c r="CW26" s="858">
        <f t="shared" si="389"/>
        <v>0</v>
      </c>
      <c r="CX26" s="858">
        <f t="shared" si="389"/>
        <v>0</v>
      </c>
      <c r="CY26" s="858">
        <f t="shared" si="389"/>
        <v>0</v>
      </c>
      <c r="CZ26" s="858">
        <f t="shared" si="389"/>
        <v>0</v>
      </c>
      <c r="DA26" s="858">
        <f t="shared" si="389"/>
        <v>0</v>
      </c>
      <c r="DB26" s="858">
        <f t="shared" si="389"/>
        <v>0</v>
      </c>
      <c r="DC26" s="858">
        <f t="shared" si="389"/>
        <v>0</v>
      </c>
      <c r="DD26" s="858">
        <f t="shared" si="389"/>
        <v>0</v>
      </c>
      <c r="DE26" s="858">
        <f t="shared" si="389"/>
        <v>0</v>
      </c>
      <c r="DF26" s="858">
        <f t="shared" si="389"/>
        <v>0</v>
      </c>
      <c r="DG26" s="858">
        <f t="shared" si="389"/>
        <v>0</v>
      </c>
      <c r="DH26" s="858">
        <f t="shared" si="389"/>
        <v>0</v>
      </c>
      <c r="DI26" s="858">
        <f t="shared" si="389"/>
        <v>0</v>
      </c>
      <c r="DJ26" s="858">
        <f t="shared" si="389"/>
        <v>0</v>
      </c>
      <c r="DK26" s="858">
        <f t="shared" si="389"/>
        <v>0</v>
      </c>
      <c r="DL26" s="858">
        <f t="shared" si="389"/>
        <v>0</v>
      </c>
      <c r="DM26" s="858">
        <f t="shared" ref="DM26:EN26" si="390">SUM(DM22:DM25)</f>
        <v>0</v>
      </c>
      <c r="DN26" s="858">
        <f t="shared" si="390"/>
        <v>0</v>
      </c>
      <c r="DO26" s="858">
        <f t="shared" si="390"/>
        <v>0</v>
      </c>
      <c r="DP26" s="858">
        <f t="shared" si="390"/>
        <v>0</v>
      </c>
      <c r="DQ26" s="858">
        <f t="shared" si="390"/>
        <v>0</v>
      </c>
      <c r="DR26" s="858">
        <f t="shared" si="390"/>
        <v>0</v>
      </c>
      <c r="DS26" s="858">
        <f t="shared" si="390"/>
        <v>0</v>
      </c>
      <c r="DT26" s="858">
        <f t="shared" si="390"/>
        <v>0</v>
      </c>
      <c r="DU26" s="858">
        <f t="shared" si="390"/>
        <v>0</v>
      </c>
      <c r="DV26" s="858">
        <f t="shared" si="390"/>
        <v>0</v>
      </c>
      <c r="DW26" s="858">
        <f t="shared" si="390"/>
        <v>0</v>
      </c>
      <c r="DX26" s="858">
        <f t="shared" si="390"/>
        <v>0</v>
      </c>
      <c r="DY26" s="858">
        <f t="shared" si="390"/>
        <v>0</v>
      </c>
      <c r="DZ26" s="858">
        <f t="shared" si="390"/>
        <v>0</v>
      </c>
      <c r="EA26" s="858">
        <f t="shared" si="390"/>
        <v>0</v>
      </c>
      <c r="EB26" s="858">
        <f t="shared" si="390"/>
        <v>0</v>
      </c>
      <c r="EC26" s="858">
        <f t="shared" si="390"/>
        <v>0</v>
      </c>
      <c r="ED26" s="858">
        <f t="shared" si="390"/>
        <v>0</v>
      </c>
      <c r="EE26" s="858">
        <f t="shared" si="390"/>
        <v>0</v>
      </c>
      <c r="EF26" s="858">
        <f t="shared" si="390"/>
        <v>22975.03</v>
      </c>
      <c r="EG26" s="858">
        <f t="shared" si="390"/>
        <v>6750</v>
      </c>
      <c r="EH26" s="858">
        <f t="shared" si="390"/>
        <v>0</v>
      </c>
      <c r="EI26" s="858">
        <f t="shared" si="390"/>
        <v>0</v>
      </c>
      <c r="EJ26" s="858">
        <f t="shared" si="390"/>
        <v>0</v>
      </c>
      <c r="EK26" s="858">
        <f t="shared" si="390"/>
        <v>0</v>
      </c>
      <c r="EL26" s="858">
        <f t="shared" si="390"/>
        <v>0</v>
      </c>
      <c r="EM26" s="858">
        <f t="shared" si="390"/>
        <v>2910.9363010000006</v>
      </c>
      <c r="EN26" s="858">
        <f t="shared" si="390"/>
        <v>32635.966301</v>
      </c>
      <c r="EO26" s="858"/>
      <c r="EP26" s="858">
        <f t="shared" ref="EP26:EY26" si="391">SUM(EP22:EP25)</f>
        <v>562.31999999999994</v>
      </c>
      <c r="EQ26" s="858">
        <f t="shared" si="391"/>
        <v>0</v>
      </c>
      <c r="ER26" s="858">
        <f t="shared" si="391"/>
        <v>0</v>
      </c>
      <c r="ES26" s="858">
        <f t="shared" si="391"/>
        <v>734.75</v>
      </c>
      <c r="ET26" s="858">
        <f t="shared" si="391"/>
        <v>168.3</v>
      </c>
      <c r="EU26" s="858">
        <f t="shared" si="391"/>
        <v>0</v>
      </c>
      <c r="EV26" s="858">
        <f>SUM(EV22:EV25)</f>
        <v>350</v>
      </c>
      <c r="EW26" s="858">
        <f t="shared" si="391"/>
        <v>0</v>
      </c>
      <c r="EX26" s="858">
        <f t="shared" si="391"/>
        <v>0</v>
      </c>
      <c r="EY26" s="858">
        <f t="shared" si="391"/>
        <v>518.29999999999995</v>
      </c>
      <c r="EZ26" s="858"/>
      <c r="FA26" s="858">
        <f t="shared" ref="FA26:FJ26" si="392">SUM(FA22:FA25)</f>
        <v>562.31999999999994</v>
      </c>
      <c r="FB26" s="858">
        <f t="shared" si="392"/>
        <v>0</v>
      </c>
      <c r="FC26" s="858">
        <f t="shared" si="392"/>
        <v>0</v>
      </c>
      <c r="FD26" s="858">
        <f t="shared" si="392"/>
        <v>734.75</v>
      </c>
      <c r="FE26" s="858">
        <f t="shared" si="392"/>
        <v>168.3</v>
      </c>
      <c r="FF26" s="858">
        <f t="shared" si="392"/>
        <v>0</v>
      </c>
      <c r="FG26" s="858">
        <f t="shared" si="392"/>
        <v>350</v>
      </c>
      <c r="FH26" s="858">
        <f t="shared" si="392"/>
        <v>0</v>
      </c>
      <c r="FI26" s="858">
        <f t="shared" si="392"/>
        <v>0</v>
      </c>
      <c r="FJ26" s="858">
        <f t="shared" si="392"/>
        <v>518.29999999999995</v>
      </c>
      <c r="FK26" s="859"/>
      <c r="FL26" s="859"/>
      <c r="FM26" s="859"/>
      <c r="FN26" s="859"/>
      <c r="FO26" s="859"/>
      <c r="FP26" s="859"/>
    </row>
    <row r="27" spans="1:178" s="829" customFormat="1" ht="15" customHeight="1" outlineLevel="1" thickTop="1">
      <c r="A27" s="1006"/>
      <c r="B27" s="1006"/>
      <c r="C27" s="1007"/>
      <c r="D27" s="841"/>
      <c r="E27" s="841"/>
      <c r="F27" s="827"/>
      <c r="G27" s="779" t="s">
        <v>74</v>
      </c>
      <c r="H27" s="717"/>
      <c r="I27" s="810"/>
      <c r="J27" s="828"/>
      <c r="N27" s="830"/>
      <c r="O27" s="830"/>
      <c r="P27" s="830"/>
      <c r="Q27" s="830"/>
      <c r="R27" s="830"/>
      <c r="S27" s="830"/>
      <c r="U27" s="842"/>
      <c r="W27" s="831"/>
      <c r="Y27" s="831"/>
      <c r="AA27" s="831"/>
      <c r="AC27" s="831"/>
      <c r="AE27" s="832"/>
      <c r="AG27" s="832"/>
      <c r="AI27" s="832"/>
      <c r="AK27" s="832"/>
      <c r="AM27" s="832"/>
      <c r="AZ27" s="843"/>
      <c r="CT27" s="810"/>
      <c r="CU27" s="810"/>
      <c r="EO27" s="810"/>
      <c r="EP27" s="235"/>
      <c r="EQ27" s="810"/>
      <c r="ER27" s="810"/>
      <c r="ES27" s="844"/>
      <c r="ET27" s="810"/>
      <c r="EU27" s="810"/>
      <c r="EV27" s="810"/>
      <c r="EW27" s="810"/>
      <c r="EX27" s="810"/>
      <c r="EY27" s="810"/>
      <c r="EZ27" s="810"/>
      <c r="FA27" s="778"/>
      <c r="FB27" s="778"/>
      <c r="FC27" s="778"/>
      <c r="FD27" s="778"/>
      <c r="FE27" s="778"/>
      <c r="FF27" s="778"/>
      <c r="FG27" s="778"/>
      <c r="FH27" s="778"/>
      <c r="FI27" s="778"/>
      <c r="FJ27" s="778"/>
      <c r="FK27" s="800"/>
      <c r="FL27" s="800"/>
      <c r="FM27" s="800"/>
      <c r="FN27" s="800"/>
      <c r="FO27" s="800"/>
      <c r="FP27" s="800"/>
      <c r="FQ27" s="778"/>
      <c r="FR27" s="810"/>
      <c r="FS27" s="810"/>
      <c r="FT27" s="810"/>
      <c r="FU27" s="810"/>
    </row>
    <row r="28" spans="1:178" s="829" customFormat="1" ht="15" customHeight="1" outlineLevel="1">
      <c r="A28" s="1006" t="str">
        <f t="shared" si="253"/>
        <v>MAYO  2026 2da QUINCENA</v>
      </c>
      <c r="B28" s="1006">
        <f t="shared" si="90"/>
        <v>2026</v>
      </c>
      <c r="C28" s="1007" t="str">
        <f t="shared" si="254"/>
        <v>MAYO  2026 2da QUINCENA2026</v>
      </c>
      <c r="D28" s="827" t="str">
        <f>+$G$27</f>
        <v>INFORMATICA</v>
      </c>
      <c r="E28" s="235">
        <v>104010</v>
      </c>
      <c r="F28" s="827"/>
      <c r="G28" s="779" t="s">
        <v>623</v>
      </c>
      <c r="H28" s="717"/>
      <c r="I28" s="810"/>
      <c r="J28" s="828"/>
      <c r="N28" s="830"/>
      <c r="O28" s="830"/>
      <c r="P28" s="830"/>
      <c r="Q28" s="830"/>
      <c r="R28" s="830"/>
      <c r="S28" s="830"/>
      <c r="U28" s="842"/>
      <c r="W28" s="831"/>
      <c r="Y28" s="831"/>
      <c r="AA28" s="831"/>
      <c r="AC28" s="831"/>
      <c r="AE28" s="832"/>
      <c r="AG28" s="832"/>
      <c r="AI28" s="832"/>
      <c r="AK28" s="832"/>
      <c r="AM28" s="832"/>
      <c r="AZ28" s="843"/>
      <c r="CT28" s="810"/>
      <c r="CU28" s="810"/>
      <c r="EO28" s="810"/>
      <c r="EP28" s="235"/>
      <c r="EQ28" s="810"/>
      <c r="ER28" s="810"/>
      <c r="ES28" s="844"/>
      <c r="ET28" s="810"/>
      <c r="EU28" s="810"/>
      <c r="EV28" s="810"/>
      <c r="EW28" s="810"/>
      <c r="EX28" s="810"/>
      <c r="EY28" s="810"/>
      <c r="EZ28" s="810"/>
      <c r="FA28" s="778"/>
      <c r="FB28" s="778"/>
      <c r="FC28" s="778"/>
      <c r="FD28" s="778"/>
      <c r="FE28" s="778"/>
      <c r="FF28" s="778"/>
      <c r="FG28" s="778"/>
      <c r="FH28" s="778"/>
      <c r="FI28" s="778"/>
      <c r="FJ28" s="778"/>
      <c r="FK28" s="800"/>
      <c r="FL28" s="800"/>
      <c r="FM28" s="800"/>
      <c r="FN28" s="800"/>
      <c r="FO28" s="800"/>
      <c r="FP28" s="800"/>
      <c r="FQ28" s="778"/>
      <c r="FR28" s="810"/>
      <c r="FS28" s="810"/>
      <c r="FT28" s="810"/>
      <c r="FU28" s="810"/>
    </row>
    <row r="29" spans="1:178" s="810" customFormat="1" ht="15" customHeight="1" outlineLevel="1">
      <c r="A29" s="1006" t="str">
        <f t="shared" si="253"/>
        <v>MAYO  2026 2da QUINCENA</v>
      </c>
      <c r="B29" s="1006">
        <f t="shared" si="90"/>
        <v>2026</v>
      </c>
      <c r="C29" s="1007" t="str">
        <f t="shared" si="254"/>
        <v>MAYO  2026 2da QUINCENA2026</v>
      </c>
      <c r="D29" s="827" t="str">
        <f t="shared" ref="D29:D31" si="393">+$G$27</f>
        <v>INFORMATICA</v>
      </c>
      <c r="E29" s="235">
        <v>104010</v>
      </c>
      <c r="F29" s="806">
        <f>F25+1</f>
        <v>10</v>
      </c>
      <c r="G29" s="167" t="s">
        <v>419</v>
      </c>
      <c r="H29" s="246" t="s">
        <v>75</v>
      </c>
      <c r="I29" s="244" t="s">
        <v>11</v>
      </c>
      <c r="J29" s="202">
        <v>8000</v>
      </c>
      <c r="K29" s="792">
        <v>7500</v>
      </c>
      <c r="L29" s="792">
        <f t="shared" ref="L29" si="394">+J29+K29</f>
        <v>15500</v>
      </c>
      <c r="M29" s="203">
        <v>30</v>
      </c>
      <c r="N29" s="816">
        <v>0.5</v>
      </c>
      <c r="O29" s="816">
        <v>0.45</v>
      </c>
      <c r="P29" s="816">
        <v>0.05</v>
      </c>
      <c r="Q29" s="1010"/>
      <c r="R29" s="793">
        <v>0</v>
      </c>
      <c r="S29" s="793">
        <f t="shared" ref="S29" si="395">SUM(N29:R29)</f>
        <v>1</v>
      </c>
      <c r="U29" s="998">
        <v>0</v>
      </c>
      <c r="V29" s="808">
        <f t="shared" ref="V29" si="396">($J29/30/8*1.5)*U29</f>
        <v>0</v>
      </c>
      <c r="W29" s="995"/>
      <c r="X29" s="808">
        <f t="shared" ref="X29" si="397">($J29/30/8*2)*W29</f>
        <v>0</v>
      </c>
      <c r="Y29" s="995"/>
      <c r="Z29" s="808">
        <f t="shared" ref="Z29" si="398">($J29/30/8*1.5)*Y29</f>
        <v>0</v>
      </c>
      <c r="AA29" s="995"/>
      <c r="AB29" s="808">
        <f t="shared" ref="AB29" si="399">($J29/30/8*2)*AA29</f>
        <v>0</v>
      </c>
      <c r="AC29" s="995"/>
      <c r="AD29" s="808">
        <f t="shared" ref="AD29" si="400">(($J29/30/8)*1.5)*AC29</f>
        <v>0</v>
      </c>
      <c r="AE29" s="996"/>
      <c r="AF29" s="808">
        <f t="shared" ref="AF29" si="401">(($J29/30/8)*2)*AE29</f>
        <v>0</v>
      </c>
      <c r="AG29" s="996"/>
      <c r="AH29" s="808">
        <f t="shared" ref="AH29" si="402">(($J29/30/8)*1.5)*AG29</f>
        <v>0</v>
      </c>
      <c r="AI29" s="996"/>
      <c r="AJ29" s="808">
        <f t="shared" ref="AJ29" si="403">(($J29/30/8)*2)*AI29</f>
        <v>0</v>
      </c>
      <c r="AK29" s="996"/>
      <c r="AL29" s="808">
        <f t="shared" ref="AL29" si="404">(($J29/30/8)*1.5)*AK29</f>
        <v>0</v>
      </c>
      <c r="AM29" s="996"/>
      <c r="AN29" s="808">
        <f t="shared" ref="AN29" si="405">(($J29/30/8)*2)*AM29</f>
        <v>0</v>
      </c>
      <c r="AO29" s="983"/>
      <c r="AP29" s="983"/>
      <c r="AQ29" s="983"/>
      <c r="AR29" s="983"/>
      <c r="AS29" s="983"/>
      <c r="AT29" s="983"/>
      <c r="AU29" s="983"/>
      <c r="AV29" s="983"/>
      <c r="AW29" s="983"/>
      <c r="AX29" s="983"/>
      <c r="AY29" s="983"/>
      <c r="AZ29" s="999"/>
      <c r="BA29" s="236">
        <f t="shared" ref="BA29" si="406">((J29/30)*M29)*$N29</f>
        <v>4000.0000000000005</v>
      </c>
      <c r="BB29" s="236">
        <f>((K29/30)*M29)*$N29</f>
        <v>3750</v>
      </c>
      <c r="BC29" s="236">
        <f t="shared" ref="BC29" si="407">U29</f>
        <v>0</v>
      </c>
      <c r="BD29" s="236">
        <f t="shared" ref="BD29" si="408">V29</f>
        <v>0</v>
      </c>
      <c r="BE29" s="236">
        <f t="shared" ref="BE29" si="409">W29</f>
        <v>0</v>
      </c>
      <c r="BF29" s="236">
        <f t="shared" ref="BF29" si="410">X29</f>
        <v>0</v>
      </c>
      <c r="BG29" s="236">
        <f t="shared" ref="BG29" si="411">AO29+AT29</f>
        <v>0</v>
      </c>
      <c r="BH29" s="203">
        <f t="shared" ref="BH29:BH31" si="412">(BA29+BD29+BF29+BG29)*0.1267</f>
        <v>506.80000000000007</v>
      </c>
      <c r="BI29" s="236">
        <f t="shared" ref="BI29" si="413">SUM(BA29:BH29)-BC29-BE29</f>
        <v>8256.7999999999993</v>
      </c>
      <c r="BJ29" s="236">
        <f t="shared" ref="BJ29:BJ31" si="414">(($J29/30)*$M29)*$O29</f>
        <v>3600.0000000000005</v>
      </c>
      <c r="BK29" s="236">
        <f>(($K29/30)*$M29)*$O29</f>
        <v>3375</v>
      </c>
      <c r="BL29" s="236">
        <f t="shared" ref="BL29" si="415">Y29</f>
        <v>0</v>
      </c>
      <c r="BM29" s="236">
        <f t="shared" ref="BM29" si="416">Z29</f>
        <v>0</v>
      </c>
      <c r="BN29" s="236">
        <f t="shared" ref="BN29" si="417">AA29</f>
        <v>0</v>
      </c>
      <c r="BO29" s="236">
        <f t="shared" ref="BO29" si="418">AB29</f>
        <v>0</v>
      </c>
      <c r="BP29" s="236">
        <f t="shared" ref="BP29" si="419">AP29+AU29</f>
        <v>0</v>
      </c>
      <c r="BQ29" s="203">
        <f t="shared" ref="BQ29:BQ31" si="420">(+BJ29+BM29+BO29+BP29)*0.1267</f>
        <v>456.12000000000006</v>
      </c>
      <c r="BR29" s="792">
        <f t="shared" ref="BR29" si="421">SUM(BJ29:BQ29)-BL29-BN29</f>
        <v>7431.12</v>
      </c>
      <c r="BS29" s="236">
        <f t="shared" ref="BS29:BS31" si="422">(($J29/30)*$M29)*$P29</f>
        <v>400.00000000000006</v>
      </c>
      <c r="BT29" s="236">
        <f t="shared" ref="BT29:BT31" si="423">(($K29/30)*$M29)*$P29</f>
        <v>375</v>
      </c>
      <c r="BU29" s="236">
        <f t="shared" ref="BU29" si="424">AC29</f>
        <v>0</v>
      </c>
      <c r="BV29" s="236">
        <f t="shared" ref="BV29" si="425">AD29</f>
        <v>0</v>
      </c>
      <c r="BW29" s="236">
        <f t="shared" ref="BW29" si="426">AE29</f>
        <v>0</v>
      </c>
      <c r="BX29" s="236">
        <f t="shared" ref="BX29" si="427">AF29</f>
        <v>0</v>
      </c>
      <c r="BY29" s="236">
        <f t="shared" ref="BY29" si="428">AQ29+AV29</f>
        <v>0</v>
      </c>
      <c r="BZ29" s="203">
        <f t="shared" ref="BZ29:BZ31" si="429">(BS29+BV29+BX29+BY29)*0.1267</f>
        <v>50.680000000000007</v>
      </c>
      <c r="CA29" s="236">
        <f t="shared" ref="CA29" si="430">SUM(BS29:BZ29)-BU29-BW29</f>
        <v>825.68000000000006</v>
      </c>
      <c r="CB29" s="817">
        <f>(($J29/30)*$M29)*$Q29</f>
        <v>0</v>
      </c>
      <c r="CC29" s="818">
        <f t="shared" ref="CC29:CC31" si="431">(($K29/30)*$M29)*$Q29</f>
        <v>0</v>
      </c>
      <c r="CD29" s="818">
        <f t="shared" ref="CD29" si="432">AG29</f>
        <v>0</v>
      </c>
      <c r="CE29" s="818">
        <f t="shared" ref="CE29" si="433">AH29</f>
        <v>0</v>
      </c>
      <c r="CF29" s="818">
        <f t="shared" ref="CF29" si="434">AI29</f>
        <v>0</v>
      </c>
      <c r="CG29" s="818">
        <f t="shared" ref="CG29" si="435">AJ29</f>
        <v>0</v>
      </c>
      <c r="CH29" s="818">
        <f t="shared" ref="CH29" si="436">AR29+AW29</f>
        <v>0</v>
      </c>
      <c r="CI29" s="703">
        <f t="shared" ref="CI29:CI31" si="437">(CB29+CE29+CG29+CH29)*0.1267</f>
        <v>0</v>
      </c>
      <c r="CJ29" s="818">
        <f t="shared" ref="CJ29" si="438">SUM(CB29:CI29)-CD29-CF29</f>
        <v>0</v>
      </c>
      <c r="CK29" s="818">
        <f t="shared" ref="CK29" si="439">(($J29/30)*$M29)*R29</f>
        <v>0</v>
      </c>
      <c r="CL29" s="818">
        <f t="shared" ref="CL29:CL31" si="440">(($K29/30)*$M29)*$R29</f>
        <v>0</v>
      </c>
      <c r="CM29" s="818">
        <f t="shared" ref="CM29" si="441">+AK29</f>
        <v>0</v>
      </c>
      <c r="CN29" s="818">
        <f t="shared" ref="CN29" si="442">AL29</f>
        <v>0</v>
      </c>
      <c r="CO29" s="818">
        <f t="shared" ref="CO29" si="443">AM29</f>
        <v>0</v>
      </c>
      <c r="CP29" s="818">
        <f t="shared" ref="CP29" si="444">AN29</f>
        <v>0</v>
      </c>
      <c r="CQ29" s="818">
        <f t="shared" ref="CQ29" si="445">AS29+AX29</f>
        <v>0</v>
      </c>
      <c r="CR29" s="818">
        <f t="shared" ref="CR29" si="446">(CK29+CN29+CP29)*0.1267</f>
        <v>0</v>
      </c>
      <c r="CS29" s="819">
        <f t="shared" ref="CS29" si="447">SUM(CK29:CR29)-CM29-CO29</f>
        <v>0</v>
      </c>
      <c r="CU29" s="244" t="s">
        <v>11</v>
      </c>
      <c r="CV29" s="236">
        <f t="shared" ref="CV29:CV31" si="448">IF($CU29="PROQUIMA",$BA29+$BJ29+$BS29+$CB29+$CK29,0)</f>
        <v>0</v>
      </c>
      <c r="CW29" s="236">
        <f t="shared" ref="CW29:CW31" si="449">IF($CU29="PROQUIMA",$BB29+$BK29+$BT29+$CC29+$CL29,0)</f>
        <v>0</v>
      </c>
      <c r="CX29" s="236">
        <f t="shared" ref="CX29:CX31" si="450">IF($CU29="PROQUIMA",$BC29+$BL29+$BU29+$CD29+$CM29,0)</f>
        <v>0</v>
      </c>
      <c r="CY29" s="236">
        <f t="shared" ref="CY29:CY31" si="451">IF($CU29="PROQUIMA",$BD29+$BM29+$BV29+$CE29+$CN29,0)</f>
        <v>0</v>
      </c>
      <c r="CZ29" s="236">
        <f t="shared" ref="CZ29:CZ31" si="452">IF($CU29="PROQUIMA",$BE29+$BN29+$BW29+$CF29+$CO29,0)</f>
        <v>0</v>
      </c>
      <c r="DA29" s="236">
        <f t="shared" ref="DA29:DA31" si="453">IF($CU29="PROQUIMA",$BF29+$BO29+$BX29+$CG29+$CP29,0)</f>
        <v>0</v>
      </c>
      <c r="DB29" s="236">
        <f t="shared" ref="DB29:DB31" si="454">IF($CU29="PROQUIMA",$BG29+$BP29+$BY29+$CH29+$CQ29,0)</f>
        <v>0</v>
      </c>
      <c r="DC29" s="236">
        <f t="shared" ref="DC29" si="455">IF($CU29="PROQUIMA",$BH29+$BQ29+$BZ29+$CI29+CR29,0)</f>
        <v>0</v>
      </c>
      <c r="DD29" s="236">
        <f t="shared" ref="DD29" si="456">SUM(CV29:DC29)-CX29-CZ29</f>
        <v>0</v>
      </c>
      <c r="DE29" s="236">
        <f t="shared" ref="DE29:DE31" si="457">IF($CU29="UNHESA",$BA29+$BJ29+$BS29+$CB29+$CK29,0)</f>
        <v>0</v>
      </c>
      <c r="DF29" s="236">
        <f t="shared" ref="DF29:DF31" si="458">IF($CU29="UNHESA",$BB29+$BK29+$BT29+$CC29+$CL29,0)</f>
        <v>0</v>
      </c>
      <c r="DG29" s="236">
        <f t="shared" ref="DG29:DG31" si="459">IF($CU29="UNHESA",$BC29+$BL29+$BU29+$CD29+$CM29,0)</f>
        <v>0</v>
      </c>
      <c r="DH29" s="236">
        <f t="shared" ref="DH29:DH31" si="460">IF($CU29="UNHESA",$BD29+$BM29+$BV29+$CE29+$CN29,0)</f>
        <v>0</v>
      </c>
      <c r="DI29" s="236">
        <f t="shared" ref="DI29:DI31" si="461">IF($CU29="UNHESA",$BE29+$BN29+$BW29+$CF29+$CO29,0)</f>
        <v>0</v>
      </c>
      <c r="DJ29" s="236">
        <f t="shared" ref="DJ29:DJ31" si="462">IF($CU29="UNHESA",$BF29+$BO29+$BX29+$CG29+$CP29,0)</f>
        <v>0</v>
      </c>
      <c r="DK29" s="236">
        <f t="shared" ref="DK29:DK31" si="463">IF($CU29="UNHESA",$BG29+$BP29+$BY29+$CH29+$CQ29,0)</f>
        <v>0</v>
      </c>
      <c r="DL29" s="236">
        <f t="shared" ref="DL29:DL31" si="464">IF($CU29="UNHESA",$BH29+$BQ29+$BZ29+$CI29+$CR29,0)</f>
        <v>0</v>
      </c>
      <c r="DM29" s="236">
        <f t="shared" ref="DM29" si="465">SUM(DE29:DL29)-DG29-DI29</f>
        <v>0</v>
      </c>
      <c r="DN29" s="236">
        <f t="shared" ref="DN29:DN31" si="466">IF($CU29="UNHESA LIQUIDOS",$BA29+$BJ29+$BS29+$CB29+$CK29,0)</f>
        <v>0</v>
      </c>
      <c r="DO29" s="236">
        <f t="shared" ref="DO29:DO31" si="467">IF($CU29="CALIDUL",$BB29+$BK29+$BT29+$CC29+$CL29,0)</f>
        <v>0</v>
      </c>
      <c r="DP29" s="236">
        <f t="shared" ref="DP29:DP31" si="468">IF($CU29="CALIDUL",$BC29+$BL29+$BU29+$CD29+$CM29,0)</f>
        <v>0</v>
      </c>
      <c r="DQ29" s="236">
        <f t="shared" ref="DQ29:DQ31" si="469">IF($CU29="CALIDUL",$BD29+$BM29+$BV29+$CE29+$CN29,0)</f>
        <v>0</v>
      </c>
      <c r="DR29" s="236">
        <f t="shared" ref="DR29:DR31" si="470">IF($CU29="CALIDUL",$BE29+$BN29+$BW29+$CF29+$CO29,0)</f>
        <v>0</v>
      </c>
      <c r="DS29" s="236">
        <f t="shared" ref="DS29:DS31" si="471">IF($CU29="CALIDUL",$BF29+$BO29+$BX29+$CG29+$CP29,0)</f>
        <v>0</v>
      </c>
      <c r="DT29" s="236">
        <f t="shared" ref="DT29:DT31" si="472">IF($CU29="CALIDUL",$BG29+$BP29+$BY29+$CH29+$CQ29,0)</f>
        <v>0</v>
      </c>
      <c r="DU29" s="236">
        <f t="shared" ref="DU29:DU31" si="473">IF($CU29="CALIDUL",$BH29+$BQ29+$BZ29+$CI29+$CR29,0)</f>
        <v>0</v>
      </c>
      <c r="DV29" s="236">
        <f t="shared" ref="DV29" si="474">SUM(DN29:DU29)-DP29-DR29</f>
        <v>0</v>
      </c>
      <c r="DW29" s="817">
        <f>IF($CU29="CLEARTEC",$BA29+$BJ29+$BS29+$CB29+$CK29,0)</f>
        <v>0</v>
      </c>
      <c r="DX29" s="817">
        <f t="shared" ref="DX29:ED31" si="475">IF($CU29="CLEARTEC",$BA29+$BJ29+$BS29+$CB29+$CK29,0)</f>
        <v>0</v>
      </c>
      <c r="DY29" s="817">
        <f t="shared" si="475"/>
        <v>0</v>
      </c>
      <c r="DZ29" s="817">
        <f t="shared" si="475"/>
        <v>0</v>
      </c>
      <c r="EA29" s="817">
        <f t="shared" si="475"/>
        <v>0</v>
      </c>
      <c r="EB29" s="817">
        <f t="shared" si="475"/>
        <v>0</v>
      </c>
      <c r="EC29" s="817">
        <f t="shared" si="475"/>
        <v>0</v>
      </c>
      <c r="ED29" s="817">
        <f t="shared" si="475"/>
        <v>0</v>
      </c>
      <c r="EE29" s="818">
        <f t="shared" ref="EE29" si="476">SUM(DW29:ED29)-DY29-EA29</f>
        <v>0</v>
      </c>
      <c r="EF29" s="203">
        <f t="shared" ref="EF29:EF31" si="477">IF(CU29="ECONACIONAL",$BA29+$BJ29+$BS29+$CB29+$CK29)</f>
        <v>8000.0000000000009</v>
      </c>
      <c r="EG29" s="242">
        <f t="shared" ref="EG29:EG31" si="478">IF($CU29="ECONACIONAL",$BB29+$BK29+$BT29+$CC29+$CL29,0)</f>
        <v>7500</v>
      </c>
      <c r="EH29" s="203">
        <f t="shared" ref="EH29:EH31" si="479">IF(CU29="ECONACIONAL",$BC29+$BL29+$BU29+$CD29+$CM29)</f>
        <v>0</v>
      </c>
      <c r="EI29" s="203">
        <f t="shared" ref="EI29:EI31" si="480">IF(CU29="ECONACIONAL",$BD29+$DH29+$DQ29+$DZ29+BM29+BV29+CE29+CN29)</f>
        <v>0</v>
      </c>
      <c r="EJ29" s="242">
        <f t="shared" ref="EJ29:EJ31" si="481">IF($CU29="CLEARTEC",$BE29+$BN29+$BW29+$CF29+$CO29,0)</f>
        <v>0</v>
      </c>
      <c r="EK29" s="203">
        <f t="shared" ref="EK29:EK31" si="482">IF(CU29="ECONACIONAL",$BF29+$BO29+$BX29+$CG29+$CP29)</f>
        <v>0</v>
      </c>
      <c r="EL29" s="203">
        <f t="shared" ref="EL29:EL31" si="483">IF(CU29="ECONACIONAL",$BG29+$BP29+$BY29+$CH29+$CQ29)</f>
        <v>0</v>
      </c>
      <c r="EM29" s="203">
        <f t="shared" ref="EM29:EM31" si="484">IF(CU29="ECONACIONAL",BH29+BQ29+BZ29+CI29+CR29)</f>
        <v>1013.6000000000001</v>
      </c>
      <c r="EN29" s="203">
        <f t="shared" ref="EN29:EN31" si="485">SUM(EF29:EM29)-EH29-EJ29</f>
        <v>16513.599999999999</v>
      </c>
      <c r="EP29" s="1195">
        <v>493.18</v>
      </c>
      <c r="EQ29" s="786">
        <v>2633.75</v>
      </c>
      <c r="ER29" s="813"/>
      <c r="ES29" s="201"/>
      <c r="ET29" s="813"/>
      <c r="EU29" s="813"/>
      <c r="EV29" s="813"/>
      <c r="EW29" s="813"/>
      <c r="EX29" s="813"/>
      <c r="EY29" s="244">
        <f>+ET29+EU29+EV29</f>
        <v>0</v>
      </c>
      <c r="EZ29" s="717"/>
      <c r="FA29" s="247">
        <f t="shared" ref="FA29" si="486">IF($M29&lt;=15,EP29/2,EP29)</f>
        <v>493.18</v>
      </c>
      <c r="FB29" s="247">
        <f t="shared" ref="FB29" si="487">IF($M29&lt;=15,EQ29/2,EQ29)</f>
        <v>2633.75</v>
      </c>
      <c r="FC29" s="247">
        <f t="shared" ref="FC29" si="488">IF($M29&lt;=15,ER29/2,ER29)</f>
        <v>0</v>
      </c>
      <c r="FD29" s="247">
        <f t="shared" ref="FD29" si="489">IF($M29&lt;=15,ES29/2,ES29)</f>
        <v>0</v>
      </c>
      <c r="FE29" s="247">
        <f t="shared" ref="FE29" si="490">IF($M29&lt;=15,ET29/2,ET29)</f>
        <v>0</v>
      </c>
      <c r="FF29" s="247">
        <f t="shared" ref="FF29" si="491">IF($M29&lt;=15,EU29/2,EU29)</f>
        <v>0</v>
      </c>
      <c r="FG29" s="247">
        <f t="shared" ref="FG29" si="492">IF($M29&lt;=15,EV29/2,EV29)</f>
        <v>0</v>
      </c>
      <c r="FH29" s="247">
        <f t="shared" ref="FH29" si="493">IF($M29&lt;=15,EW29/2,EW29)</f>
        <v>0</v>
      </c>
      <c r="FI29" s="247">
        <f t="shared" ref="FI29" si="494">IF($M29&lt;=15,EX29/2,EX29)</f>
        <v>0</v>
      </c>
      <c r="FJ29" s="247">
        <f t="shared" ref="FJ29" si="495">IF($M29&lt;=15,EY29/2,EY29)</f>
        <v>0</v>
      </c>
      <c r="FK29" s="245">
        <v>0.7</v>
      </c>
      <c r="FL29" s="245">
        <v>0.3</v>
      </c>
      <c r="FM29" s="245">
        <v>0</v>
      </c>
      <c r="FN29" s="245">
        <v>0</v>
      </c>
      <c r="FO29" s="245">
        <v>0</v>
      </c>
      <c r="FP29" s="245">
        <v>1</v>
      </c>
      <c r="FQ29" s="778"/>
      <c r="FR29" s="1178">
        <f t="shared" ref="FR29:FR31" si="496">(((J29/30/8)*1.5)*(U29+Y29+AC29))-(BD29+BM29+BV29)</f>
        <v>0</v>
      </c>
      <c r="FS29" s="1178">
        <f t="shared" ref="FS29:FS31" si="497">(((J29/30/8)*2)*(W29+AA29+AE29))-(BF29+BO29+BX29)</f>
        <v>0</v>
      </c>
      <c r="FT29" s="1179">
        <f t="shared" ref="FT29:FT31" si="498">(SUM(BA29:CJ29))-(SUM(EF29:EN29))</f>
        <v>0</v>
      </c>
      <c r="FU29" s="1178">
        <f t="shared" ref="FU29:FU31" si="499">(J29/30*M29)-(EF29)</f>
        <v>0</v>
      </c>
      <c r="FV29" s="1182">
        <f t="shared" ref="FV29:FV31" si="500">(SUM(EP29:EY29))-((SUM(FA29:FJ29))*$FV$5)</f>
        <v>-3126.93</v>
      </c>
    </row>
    <row r="30" spans="1:178" s="810" customFormat="1" ht="15" customHeight="1" outlineLevel="1">
      <c r="A30" s="1006" t="str">
        <f t="shared" si="253"/>
        <v>MAYO  2026 2da QUINCENA</v>
      </c>
      <c r="B30" s="1006">
        <f t="shared" si="90"/>
        <v>2026</v>
      </c>
      <c r="C30" s="1007" t="str">
        <f t="shared" si="254"/>
        <v>MAYO  2026 2da QUINCENA2026</v>
      </c>
      <c r="D30" s="827" t="str">
        <f t="shared" si="393"/>
        <v>INFORMATICA</v>
      </c>
      <c r="E30" s="235">
        <v>104020</v>
      </c>
      <c r="F30" s="806">
        <v>11</v>
      </c>
      <c r="G30" s="167" t="s">
        <v>682</v>
      </c>
      <c r="H30" s="246" t="s">
        <v>377</v>
      </c>
      <c r="I30" s="244" t="s">
        <v>11</v>
      </c>
      <c r="J30" s="203">
        <v>4200</v>
      </c>
      <c r="K30" s="1016">
        <v>600</v>
      </c>
      <c r="L30" s="837">
        <f t="shared" ref="L30" si="501">+J30+K30</f>
        <v>4800</v>
      </c>
      <c r="M30" s="203">
        <v>30</v>
      </c>
      <c r="N30" s="847">
        <v>0.5</v>
      </c>
      <c r="O30" s="847">
        <v>0.45</v>
      </c>
      <c r="P30" s="847">
        <v>0.05</v>
      </c>
      <c r="Q30" s="1011"/>
      <c r="R30" s="822">
        <v>0</v>
      </c>
      <c r="S30" s="822">
        <f t="shared" ref="S30" si="502">SUM(N30:R30)</f>
        <v>1</v>
      </c>
      <c r="U30" s="998"/>
      <c r="V30" s="808">
        <f t="shared" ref="V30" si="503">($J30/30/8*1.5)*U30</f>
        <v>0</v>
      </c>
      <c r="W30" s="995"/>
      <c r="X30" s="808">
        <f t="shared" ref="X30" si="504">($J30/30/8*2)*W30</f>
        <v>0</v>
      </c>
      <c r="Y30" s="995"/>
      <c r="Z30" s="808">
        <f t="shared" ref="Z30" si="505">($J30/30/8*1.5)*Y30</f>
        <v>0</v>
      </c>
      <c r="AA30" s="995"/>
      <c r="AB30" s="808">
        <f t="shared" ref="AB30" si="506">($J30/30/8*2)*AA30</f>
        <v>0</v>
      </c>
      <c r="AC30" s="995"/>
      <c r="AD30" s="808">
        <f t="shared" ref="AD30" si="507">(($J30/30/8)*1.5)*AC30</f>
        <v>0</v>
      </c>
      <c r="AE30" s="996"/>
      <c r="AF30" s="808">
        <f t="shared" ref="AF30" si="508">(($J30/30/8)*2)*AE30</f>
        <v>0</v>
      </c>
      <c r="AG30" s="996"/>
      <c r="AH30" s="808">
        <f t="shared" ref="AH30" si="509">(($J30/30/8)*1.5)*AG30</f>
        <v>0</v>
      </c>
      <c r="AI30" s="996"/>
      <c r="AJ30" s="808">
        <f t="shared" ref="AJ30" si="510">(($J30/30/8)*2)*AI30</f>
        <v>0</v>
      </c>
      <c r="AK30" s="996"/>
      <c r="AL30" s="808">
        <f t="shared" ref="AL30" si="511">(($J30/30/8)*1.5)*AK30</f>
        <v>0</v>
      </c>
      <c r="AM30" s="996"/>
      <c r="AN30" s="808">
        <f t="shared" ref="AN30" si="512">(($J30/30/8)*2)*AM30</f>
        <v>0</v>
      </c>
      <c r="AO30" s="983"/>
      <c r="AP30" s="983"/>
      <c r="AQ30" s="983"/>
      <c r="AR30" s="983"/>
      <c r="AS30" s="983"/>
      <c r="AT30" s="983"/>
      <c r="AU30" s="983"/>
      <c r="AV30" s="983"/>
      <c r="AW30" s="983"/>
      <c r="AX30" s="983"/>
      <c r="AY30" s="983"/>
      <c r="AZ30" s="999"/>
      <c r="BA30" s="236">
        <f t="shared" ref="BA30" si="513">((J30/30)*M30)*$N30</f>
        <v>2100</v>
      </c>
      <c r="BB30" s="848">
        <f>((K30/30)*M30)*$N30</f>
        <v>300</v>
      </c>
      <c r="BC30" s="812">
        <f t="shared" ref="BC30" si="514">U30</f>
        <v>0</v>
      </c>
      <c r="BD30" s="812">
        <f t="shared" ref="BD30" si="515">V30</f>
        <v>0</v>
      </c>
      <c r="BE30" s="812">
        <f t="shared" ref="BE30" si="516">W30</f>
        <v>0</v>
      </c>
      <c r="BF30" s="812">
        <f t="shared" ref="BF30" si="517">X30</f>
        <v>0</v>
      </c>
      <c r="BG30" s="812">
        <f t="shared" ref="BG30" si="518">AO30+AT30</f>
        <v>0</v>
      </c>
      <c r="BH30" s="203">
        <f t="shared" si="412"/>
        <v>266.07</v>
      </c>
      <c r="BI30" s="812">
        <f t="shared" ref="BI30" si="519">SUM(BA30:BH30)-BC30-BE30</f>
        <v>2666.07</v>
      </c>
      <c r="BJ30" s="812">
        <f t="shared" si="414"/>
        <v>1890</v>
      </c>
      <c r="BK30" s="210">
        <f>(($K30/30)*$M30)*$O30</f>
        <v>270</v>
      </c>
      <c r="BL30" s="812">
        <f t="shared" ref="BL30" si="520">Y30</f>
        <v>0</v>
      </c>
      <c r="BM30" s="812">
        <f t="shared" ref="BM30" si="521">Z30</f>
        <v>0</v>
      </c>
      <c r="BN30" s="812">
        <f t="shared" ref="BN30" si="522">AA30</f>
        <v>0</v>
      </c>
      <c r="BO30" s="812">
        <f t="shared" ref="BO30" si="523">AB30</f>
        <v>0</v>
      </c>
      <c r="BP30" s="812">
        <f t="shared" ref="BP30" si="524">AP30+AU30</f>
        <v>0</v>
      </c>
      <c r="BQ30" s="203">
        <f t="shared" si="420"/>
        <v>239.46300000000002</v>
      </c>
      <c r="BR30" s="809">
        <f t="shared" ref="BR30" si="525">SUM(BJ30:BQ30)-BL30-BN30</f>
        <v>2399.4630000000002</v>
      </c>
      <c r="BS30" s="812">
        <f t="shared" si="422"/>
        <v>210</v>
      </c>
      <c r="BT30" s="812">
        <f t="shared" si="423"/>
        <v>30</v>
      </c>
      <c r="BU30" s="812">
        <f t="shared" ref="BU30" si="526">AC30</f>
        <v>0</v>
      </c>
      <c r="BV30" s="812">
        <f t="shared" ref="BV30" si="527">AD30</f>
        <v>0</v>
      </c>
      <c r="BW30" s="812">
        <f t="shared" ref="BW30" si="528">AE30</f>
        <v>0</v>
      </c>
      <c r="BX30" s="812">
        <f t="shared" ref="BX30" si="529">AF30</f>
        <v>0</v>
      </c>
      <c r="BY30" s="812">
        <f t="shared" ref="BY30" si="530">AQ30+AV30</f>
        <v>0</v>
      </c>
      <c r="BZ30" s="203">
        <f t="shared" si="429"/>
        <v>26.607000000000003</v>
      </c>
      <c r="CA30" s="812">
        <f t="shared" ref="CA30" si="531">SUM(BS30:BZ30)-BU30-BW30</f>
        <v>266.60700000000003</v>
      </c>
      <c r="CB30" s="849">
        <f>(($J30/30)*$M30)*$Q30</f>
        <v>0</v>
      </c>
      <c r="CC30" s="850">
        <f t="shared" si="431"/>
        <v>0</v>
      </c>
      <c r="CD30" s="850">
        <f t="shared" ref="CD30" si="532">AG30</f>
        <v>0</v>
      </c>
      <c r="CE30" s="850">
        <f t="shared" ref="CE30" si="533">AH30</f>
        <v>0</v>
      </c>
      <c r="CF30" s="850">
        <f t="shared" ref="CF30" si="534">AI30</f>
        <v>0</v>
      </c>
      <c r="CG30" s="850">
        <f t="shared" ref="CG30" si="535">AJ30</f>
        <v>0</v>
      </c>
      <c r="CH30" s="850">
        <f t="shared" ref="CH30" si="536">AR30+AW30</f>
        <v>0</v>
      </c>
      <c r="CI30" s="703">
        <f t="shared" si="437"/>
        <v>0</v>
      </c>
      <c r="CJ30" s="850">
        <f>SUM(CB30:CI30)-CD30-CF30</f>
        <v>0</v>
      </c>
      <c r="CK30" s="850">
        <f t="shared" ref="CK30" si="537">(($J30/30)*$M30)*R30</f>
        <v>0</v>
      </c>
      <c r="CL30" s="850">
        <f t="shared" si="440"/>
        <v>0</v>
      </c>
      <c r="CM30" s="850">
        <f t="shared" ref="CM30" si="538">+AK30</f>
        <v>0</v>
      </c>
      <c r="CN30" s="850">
        <f t="shared" ref="CN30" si="539">AL30</f>
        <v>0</v>
      </c>
      <c r="CO30" s="850">
        <f t="shared" ref="CO30" si="540">AM30</f>
        <v>0</v>
      </c>
      <c r="CP30" s="850">
        <f t="shared" ref="CP30" si="541">AN30</f>
        <v>0</v>
      </c>
      <c r="CQ30" s="850">
        <f t="shared" ref="CQ30" si="542">AS30+AX30</f>
        <v>0</v>
      </c>
      <c r="CR30" s="850">
        <f t="shared" ref="CR30" si="543">(CK30+CN30+CP30)*0.1267</f>
        <v>0</v>
      </c>
      <c r="CS30" s="851">
        <f t="shared" ref="CS30" si="544">SUM(CK30:CR30)-CM30-CO30</f>
        <v>0</v>
      </c>
      <c r="CU30" s="244" t="s">
        <v>11</v>
      </c>
      <c r="CV30" s="812">
        <f t="shared" si="448"/>
        <v>0</v>
      </c>
      <c r="CW30" s="812">
        <f t="shared" si="449"/>
        <v>0</v>
      </c>
      <c r="CX30" s="812">
        <f t="shared" si="450"/>
        <v>0</v>
      </c>
      <c r="CY30" s="812">
        <f t="shared" si="451"/>
        <v>0</v>
      </c>
      <c r="CZ30" s="812">
        <f t="shared" si="452"/>
        <v>0</v>
      </c>
      <c r="DA30" s="812">
        <f t="shared" si="453"/>
        <v>0</v>
      </c>
      <c r="DB30" s="812">
        <f t="shared" si="454"/>
        <v>0</v>
      </c>
      <c r="DC30" s="812">
        <f t="shared" ref="DC30" si="545">IF($CU30="PROQUIMA",$BH30+$BQ30+$BZ30+$CI30+CR30,0)</f>
        <v>0</v>
      </c>
      <c r="DD30" s="812">
        <f t="shared" ref="DD30" si="546">SUM(CV30:DC30)-CX30-CZ30</f>
        <v>0</v>
      </c>
      <c r="DE30" s="812">
        <f t="shared" si="457"/>
        <v>0</v>
      </c>
      <c r="DF30" s="812">
        <f t="shared" si="458"/>
        <v>0</v>
      </c>
      <c r="DG30" s="812">
        <f t="shared" si="459"/>
        <v>0</v>
      </c>
      <c r="DH30" s="812">
        <f t="shared" si="460"/>
        <v>0</v>
      </c>
      <c r="DI30" s="812">
        <f t="shared" si="461"/>
        <v>0</v>
      </c>
      <c r="DJ30" s="812">
        <f t="shared" si="462"/>
        <v>0</v>
      </c>
      <c r="DK30" s="812">
        <f t="shared" si="463"/>
        <v>0</v>
      </c>
      <c r="DL30" s="812">
        <f t="shared" si="464"/>
        <v>0</v>
      </c>
      <c r="DM30" s="812">
        <f t="shared" ref="DM30" si="547">SUM(DE30:DL30)-DG30-DI30</f>
        <v>0</v>
      </c>
      <c r="DN30" s="812">
        <f t="shared" si="466"/>
        <v>0</v>
      </c>
      <c r="DO30" s="812">
        <f t="shared" si="467"/>
        <v>0</v>
      </c>
      <c r="DP30" s="812">
        <f t="shared" si="468"/>
        <v>0</v>
      </c>
      <c r="DQ30" s="812">
        <f t="shared" si="469"/>
        <v>0</v>
      </c>
      <c r="DR30" s="812">
        <f t="shared" si="470"/>
        <v>0</v>
      </c>
      <c r="DS30" s="812">
        <f t="shared" si="471"/>
        <v>0</v>
      </c>
      <c r="DT30" s="812">
        <f t="shared" si="472"/>
        <v>0</v>
      </c>
      <c r="DU30" s="812">
        <f t="shared" si="473"/>
        <v>0</v>
      </c>
      <c r="DV30" s="812">
        <f t="shared" ref="DV30" si="548">SUM(DN30:DU30)-DP30-DR30</f>
        <v>0</v>
      </c>
      <c r="DW30" s="817">
        <f t="shared" ref="DW30:DW31" si="549">IF($CU30="CLEARTEC",$BA30+$BJ30+$BS30+$CB30+$CK30,0)</f>
        <v>0</v>
      </c>
      <c r="DX30" s="817">
        <f t="shared" si="475"/>
        <v>0</v>
      </c>
      <c r="DY30" s="817">
        <f t="shared" si="475"/>
        <v>0</v>
      </c>
      <c r="DZ30" s="817">
        <f t="shared" si="475"/>
        <v>0</v>
      </c>
      <c r="EA30" s="817">
        <f t="shared" si="475"/>
        <v>0</v>
      </c>
      <c r="EB30" s="817">
        <f t="shared" si="475"/>
        <v>0</v>
      </c>
      <c r="EC30" s="817">
        <f t="shared" si="475"/>
        <v>0</v>
      </c>
      <c r="ED30" s="817">
        <f t="shared" si="475"/>
        <v>0</v>
      </c>
      <c r="EE30" s="988">
        <f t="shared" ref="EE30" si="550">SUM(DW30:ED30)-DY30-EA30</f>
        <v>0</v>
      </c>
      <c r="EF30" s="203">
        <f t="shared" si="477"/>
        <v>4200</v>
      </c>
      <c r="EG30" s="242">
        <f t="shared" si="478"/>
        <v>600</v>
      </c>
      <c r="EH30" s="203">
        <f t="shared" si="479"/>
        <v>0</v>
      </c>
      <c r="EI30" s="203">
        <f t="shared" si="480"/>
        <v>0</v>
      </c>
      <c r="EJ30" s="242">
        <f t="shared" si="481"/>
        <v>0</v>
      </c>
      <c r="EK30" s="203">
        <f t="shared" si="482"/>
        <v>0</v>
      </c>
      <c r="EL30" s="203">
        <f t="shared" si="483"/>
        <v>0</v>
      </c>
      <c r="EM30" s="203">
        <f t="shared" si="484"/>
        <v>532.14</v>
      </c>
      <c r="EN30" s="203">
        <f t="shared" si="485"/>
        <v>5332.14</v>
      </c>
      <c r="EP30" s="852">
        <v>21</v>
      </c>
      <c r="EQ30" s="852"/>
      <c r="ER30" s="813"/>
      <c r="ES30" s="852"/>
      <c r="ET30" s="813"/>
      <c r="EU30" s="797"/>
      <c r="EV30" s="813"/>
      <c r="EW30" s="813"/>
      <c r="EX30" s="813"/>
      <c r="EY30" s="813">
        <f>+ET30+EU30+EV30</f>
        <v>0</v>
      </c>
      <c r="EZ30" s="717"/>
      <c r="FA30" s="811">
        <f t="shared" ref="FA30" si="551">IF($M30&lt;=15,EP30/2,EP30)</f>
        <v>21</v>
      </c>
      <c r="FB30" s="811">
        <f t="shared" ref="FB30" si="552">IF($M30&lt;=15,EQ30/2,EQ30)</f>
        <v>0</v>
      </c>
      <c r="FC30" s="811">
        <f t="shared" ref="FC30" si="553">IF($M30&lt;=15,ER30/2,ER30)</f>
        <v>0</v>
      </c>
      <c r="FD30" s="811">
        <f t="shared" ref="FD30" si="554">IF($M30&lt;=15,ES30/2,ES30)</f>
        <v>0</v>
      </c>
      <c r="FE30" s="811">
        <f t="shared" ref="FE30" si="555">IF($M30&lt;=15,ET30/2,ET30)</f>
        <v>0</v>
      </c>
      <c r="FF30" s="811">
        <f t="shared" ref="FF30" si="556">IF($M30&lt;=15,EU30/2,EU30)</f>
        <v>0</v>
      </c>
      <c r="FG30" s="811">
        <f t="shared" ref="FG30" si="557">IF($M30&lt;=15,EV30/2,EV30)</f>
        <v>0</v>
      </c>
      <c r="FH30" s="811">
        <f t="shared" ref="FH30" si="558">IF($M30&lt;=15,EW30/2,EW30)</f>
        <v>0</v>
      </c>
      <c r="FI30" s="811">
        <f t="shared" ref="FI30" si="559">IF($M30&lt;=15,EX30/2,EX30)</f>
        <v>0</v>
      </c>
      <c r="FJ30" s="811">
        <f t="shared" ref="FJ30" si="560">IF($M30&lt;=15,EY30/2,EY30)</f>
        <v>0</v>
      </c>
      <c r="FK30" s="245"/>
      <c r="FL30" s="245"/>
      <c r="FM30" s="245"/>
      <c r="FN30" s="245"/>
      <c r="FO30" s="245"/>
      <c r="FP30" s="245"/>
      <c r="FQ30" s="778"/>
      <c r="FR30" s="1178">
        <f t="shared" si="496"/>
        <v>0</v>
      </c>
      <c r="FS30" s="1178">
        <f t="shared" si="497"/>
        <v>0</v>
      </c>
      <c r="FT30" s="1179">
        <f t="shared" si="498"/>
        <v>0</v>
      </c>
      <c r="FU30" s="1178">
        <f t="shared" si="499"/>
        <v>0</v>
      </c>
      <c r="FV30" s="1182">
        <f t="shared" si="500"/>
        <v>-21</v>
      </c>
    </row>
    <row r="31" spans="1:178" s="810" customFormat="1" ht="15" customHeight="1" outlineLevel="1">
      <c r="A31" s="1006" t="str">
        <f t="shared" si="253"/>
        <v>MAYO  2026 2da QUINCENA</v>
      </c>
      <c r="B31" s="1006">
        <f t="shared" si="90"/>
        <v>2026</v>
      </c>
      <c r="C31" s="1007" t="str">
        <f t="shared" si="254"/>
        <v>MAYO  2026 2da QUINCENA2026</v>
      </c>
      <c r="D31" s="827" t="str">
        <f t="shared" si="393"/>
        <v>INFORMATICA</v>
      </c>
      <c r="E31" s="235">
        <v>104020</v>
      </c>
      <c r="F31" s="806">
        <v>12</v>
      </c>
      <c r="G31" s="167" t="s">
        <v>683</v>
      </c>
      <c r="H31" s="246" t="s">
        <v>377</v>
      </c>
      <c r="I31" s="244" t="s">
        <v>11</v>
      </c>
      <c r="J31" s="203">
        <v>4200</v>
      </c>
      <c r="K31" s="837">
        <v>600</v>
      </c>
      <c r="L31" s="837">
        <f t="shared" ref="L31" si="561">+J31+K31</f>
        <v>4800</v>
      </c>
      <c r="M31" s="203">
        <v>30</v>
      </c>
      <c r="N31" s="847">
        <v>0.45</v>
      </c>
      <c r="O31" s="847">
        <v>0.37</v>
      </c>
      <c r="P31" s="847">
        <v>0.03</v>
      </c>
      <c r="Q31" s="1011">
        <v>0.15</v>
      </c>
      <c r="R31" s="822">
        <v>0</v>
      </c>
      <c r="S31" s="822">
        <f t="shared" ref="S31" si="562">SUM(N31:R31)</f>
        <v>1</v>
      </c>
      <c r="U31" s="998"/>
      <c r="V31" s="808">
        <f t="shared" ref="V31" si="563">($J31/30/8*1.5)*U31</f>
        <v>0</v>
      </c>
      <c r="W31" s="995"/>
      <c r="X31" s="808">
        <f t="shared" ref="X31" si="564">($J31/30/8*2)*W31</f>
        <v>0</v>
      </c>
      <c r="Y31" s="995"/>
      <c r="Z31" s="808">
        <f t="shared" ref="Z31" si="565">($J31/30/8*1.5)*Y31</f>
        <v>0</v>
      </c>
      <c r="AA31" s="995"/>
      <c r="AB31" s="808">
        <f t="shared" ref="AB31" si="566">($J31/30/8*2)*AA31</f>
        <v>0</v>
      </c>
      <c r="AC31" s="995"/>
      <c r="AD31" s="808">
        <f t="shared" ref="AD31" si="567">(($J31/30/8)*1.5)*AC31</f>
        <v>0</v>
      </c>
      <c r="AE31" s="996"/>
      <c r="AF31" s="808">
        <f t="shared" ref="AF31" si="568">(($J31/30/8)*2)*AE31</f>
        <v>0</v>
      </c>
      <c r="AG31" s="996"/>
      <c r="AH31" s="808">
        <f t="shared" ref="AH31" si="569">(($J31/30/8)*1.5)*AG31</f>
        <v>0</v>
      </c>
      <c r="AI31" s="996"/>
      <c r="AJ31" s="808">
        <f t="shared" ref="AJ31" si="570">(($J31/30/8)*2)*AI31</f>
        <v>0</v>
      </c>
      <c r="AK31" s="996"/>
      <c r="AL31" s="808">
        <f t="shared" ref="AL31" si="571">(($J31/30/8)*1.5)*AK31</f>
        <v>0</v>
      </c>
      <c r="AM31" s="996"/>
      <c r="AN31" s="808">
        <f t="shared" ref="AN31" si="572">(($J31/30/8)*2)*AM31</f>
        <v>0</v>
      </c>
      <c r="AO31" s="983"/>
      <c r="AP31" s="983"/>
      <c r="AQ31" s="983"/>
      <c r="AR31" s="983"/>
      <c r="AS31" s="983"/>
      <c r="AT31" s="983"/>
      <c r="AU31" s="983"/>
      <c r="AV31" s="983"/>
      <c r="AW31" s="983"/>
      <c r="AX31" s="983"/>
      <c r="AY31" s="983"/>
      <c r="AZ31" s="999"/>
      <c r="BA31" s="236">
        <f t="shared" ref="BA31" si="573">((J31/30)*M31)*$N31</f>
        <v>1890</v>
      </c>
      <c r="BB31" s="848">
        <f>((K31/30)*M31)*$N31</f>
        <v>270</v>
      </c>
      <c r="BC31" s="812">
        <f t="shared" ref="BC31" si="574">U31</f>
        <v>0</v>
      </c>
      <c r="BD31" s="812">
        <f t="shared" ref="BD31" si="575">V31</f>
        <v>0</v>
      </c>
      <c r="BE31" s="812">
        <f t="shared" ref="BE31" si="576">W31</f>
        <v>0</v>
      </c>
      <c r="BF31" s="812">
        <f t="shared" ref="BF31" si="577">X31</f>
        <v>0</v>
      </c>
      <c r="BG31" s="812">
        <f t="shared" ref="BG31" si="578">AO31+AT31</f>
        <v>0</v>
      </c>
      <c r="BH31" s="203">
        <f t="shared" si="412"/>
        <v>239.46300000000002</v>
      </c>
      <c r="BI31" s="812">
        <f t="shared" ref="BI31" si="579">SUM(BA31:BH31)-BC31-BE31</f>
        <v>2399.4630000000002</v>
      </c>
      <c r="BJ31" s="812">
        <f t="shared" si="414"/>
        <v>1554</v>
      </c>
      <c r="BK31" s="210">
        <f>(($K31/30)*$M31)*$O31</f>
        <v>222</v>
      </c>
      <c r="BL31" s="812">
        <f t="shared" ref="BL31" si="580">Y31</f>
        <v>0</v>
      </c>
      <c r="BM31" s="812">
        <f t="shared" ref="BM31" si="581">Z31</f>
        <v>0</v>
      </c>
      <c r="BN31" s="812">
        <f t="shared" ref="BN31" si="582">AA31</f>
        <v>0</v>
      </c>
      <c r="BO31" s="812">
        <f t="shared" ref="BO31" si="583">AB31</f>
        <v>0</v>
      </c>
      <c r="BP31" s="812">
        <f t="shared" ref="BP31" si="584">AP31+AU31</f>
        <v>0</v>
      </c>
      <c r="BQ31" s="203">
        <f t="shared" si="420"/>
        <v>196.89180000000002</v>
      </c>
      <c r="BR31" s="809">
        <f t="shared" ref="BR31" si="585">SUM(BJ31:BQ31)-BL31-BN31</f>
        <v>1972.8918000000001</v>
      </c>
      <c r="BS31" s="812">
        <f t="shared" si="422"/>
        <v>126</v>
      </c>
      <c r="BT31" s="812">
        <f t="shared" si="423"/>
        <v>18</v>
      </c>
      <c r="BU31" s="812">
        <f t="shared" ref="BU31" si="586">AC31</f>
        <v>0</v>
      </c>
      <c r="BV31" s="812">
        <f t="shared" ref="BV31" si="587">AD31</f>
        <v>0</v>
      </c>
      <c r="BW31" s="812">
        <f t="shared" ref="BW31" si="588">AE31</f>
        <v>0</v>
      </c>
      <c r="BX31" s="812">
        <f t="shared" ref="BX31" si="589">AF31</f>
        <v>0</v>
      </c>
      <c r="BY31" s="812">
        <f t="shared" ref="BY31" si="590">AQ31+AV31</f>
        <v>0</v>
      </c>
      <c r="BZ31" s="203">
        <f t="shared" si="429"/>
        <v>15.964200000000002</v>
      </c>
      <c r="CA31" s="812">
        <f t="shared" ref="CA31" si="591">SUM(BS31:BZ31)-BU31-BW31</f>
        <v>159.96420000000001</v>
      </c>
      <c r="CB31" s="849">
        <f>(($J31/30)*$M31)*$Q31</f>
        <v>630</v>
      </c>
      <c r="CC31" s="850">
        <f t="shared" si="431"/>
        <v>90</v>
      </c>
      <c r="CD31" s="850">
        <f t="shared" ref="CD31" si="592">AG31</f>
        <v>0</v>
      </c>
      <c r="CE31" s="850">
        <f t="shared" ref="CE31" si="593">AH31</f>
        <v>0</v>
      </c>
      <c r="CF31" s="850">
        <f t="shared" ref="CF31" si="594">AI31</f>
        <v>0</v>
      </c>
      <c r="CG31" s="850">
        <f t="shared" ref="CG31" si="595">AJ31</f>
        <v>0</v>
      </c>
      <c r="CH31" s="850">
        <f t="shared" ref="CH31" si="596">AR31+AW31</f>
        <v>0</v>
      </c>
      <c r="CI31" s="703">
        <f t="shared" si="437"/>
        <v>79.820999999999998</v>
      </c>
      <c r="CJ31" s="850">
        <f>SUM(CB31:CI31)-CD31-CF31</f>
        <v>799.82100000000003</v>
      </c>
      <c r="CK31" s="850">
        <f t="shared" ref="CK31" si="597">(($J31/30)*$M31)*R31</f>
        <v>0</v>
      </c>
      <c r="CL31" s="850">
        <f t="shared" si="440"/>
        <v>0</v>
      </c>
      <c r="CM31" s="850">
        <f t="shared" ref="CM31" si="598">+AK31</f>
        <v>0</v>
      </c>
      <c r="CN31" s="850">
        <f t="shared" ref="CN31" si="599">AL31</f>
        <v>0</v>
      </c>
      <c r="CO31" s="850">
        <f t="shared" ref="CO31" si="600">AM31</f>
        <v>0</v>
      </c>
      <c r="CP31" s="850">
        <f t="shared" ref="CP31" si="601">AN31</f>
        <v>0</v>
      </c>
      <c r="CQ31" s="850">
        <f t="shared" ref="CQ31" si="602">AS31+AX31</f>
        <v>0</v>
      </c>
      <c r="CR31" s="850">
        <f t="shared" ref="CR31" si="603">(CK31+CN31+CP31)*0.1267</f>
        <v>0</v>
      </c>
      <c r="CS31" s="851">
        <f t="shared" ref="CS31" si="604">SUM(CK31:CR31)-CM31-CO31</f>
        <v>0</v>
      </c>
      <c r="CU31" s="244" t="s">
        <v>11</v>
      </c>
      <c r="CV31" s="812">
        <f t="shared" si="448"/>
        <v>0</v>
      </c>
      <c r="CW31" s="812">
        <f t="shared" si="449"/>
        <v>0</v>
      </c>
      <c r="CX31" s="812">
        <f t="shared" si="450"/>
        <v>0</v>
      </c>
      <c r="CY31" s="812">
        <f t="shared" si="451"/>
        <v>0</v>
      </c>
      <c r="CZ31" s="812">
        <f t="shared" si="452"/>
        <v>0</v>
      </c>
      <c r="DA31" s="812">
        <f t="shared" si="453"/>
        <v>0</v>
      </c>
      <c r="DB31" s="812">
        <f t="shared" si="454"/>
        <v>0</v>
      </c>
      <c r="DC31" s="812">
        <f t="shared" ref="DC31" si="605">IF($CU31="PROQUIMA",$BH31+$BQ31+$BZ31+$CI31+CR31,0)</f>
        <v>0</v>
      </c>
      <c r="DD31" s="812">
        <f t="shared" ref="DD31" si="606">SUM(CV31:DC31)-CX31-CZ31</f>
        <v>0</v>
      </c>
      <c r="DE31" s="812">
        <f t="shared" si="457"/>
        <v>0</v>
      </c>
      <c r="DF31" s="812">
        <f t="shared" si="458"/>
        <v>0</v>
      </c>
      <c r="DG31" s="812">
        <f t="shared" si="459"/>
        <v>0</v>
      </c>
      <c r="DH31" s="812">
        <f t="shared" si="460"/>
        <v>0</v>
      </c>
      <c r="DI31" s="812">
        <f t="shared" si="461"/>
        <v>0</v>
      </c>
      <c r="DJ31" s="812">
        <f t="shared" si="462"/>
        <v>0</v>
      </c>
      <c r="DK31" s="812">
        <f t="shared" si="463"/>
        <v>0</v>
      </c>
      <c r="DL31" s="812">
        <f t="shared" si="464"/>
        <v>0</v>
      </c>
      <c r="DM31" s="812">
        <f t="shared" ref="DM31" si="607">SUM(DE31:DL31)-DG31-DI31</f>
        <v>0</v>
      </c>
      <c r="DN31" s="812">
        <f t="shared" si="466"/>
        <v>0</v>
      </c>
      <c r="DO31" s="812">
        <f t="shared" si="467"/>
        <v>0</v>
      </c>
      <c r="DP31" s="812">
        <f t="shared" si="468"/>
        <v>0</v>
      </c>
      <c r="DQ31" s="812">
        <f t="shared" si="469"/>
        <v>0</v>
      </c>
      <c r="DR31" s="812">
        <f t="shared" si="470"/>
        <v>0</v>
      </c>
      <c r="DS31" s="812">
        <f t="shared" si="471"/>
        <v>0</v>
      </c>
      <c r="DT31" s="812">
        <f t="shared" si="472"/>
        <v>0</v>
      </c>
      <c r="DU31" s="812">
        <f t="shared" si="473"/>
        <v>0</v>
      </c>
      <c r="DV31" s="812">
        <f t="shared" ref="DV31" si="608">SUM(DN31:DU31)-DP31-DR31</f>
        <v>0</v>
      </c>
      <c r="DW31" s="817">
        <f t="shared" si="549"/>
        <v>0</v>
      </c>
      <c r="DX31" s="817">
        <f t="shared" si="475"/>
        <v>0</v>
      </c>
      <c r="DY31" s="817">
        <f t="shared" si="475"/>
        <v>0</v>
      </c>
      <c r="DZ31" s="817">
        <f t="shared" si="475"/>
        <v>0</v>
      </c>
      <c r="EA31" s="817">
        <f t="shared" si="475"/>
        <v>0</v>
      </c>
      <c r="EB31" s="817">
        <f t="shared" si="475"/>
        <v>0</v>
      </c>
      <c r="EC31" s="817">
        <f t="shared" si="475"/>
        <v>0</v>
      </c>
      <c r="ED31" s="817">
        <f t="shared" si="475"/>
        <v>0</v>
      </c>
      <c r="EE31" s="988">
        <f t="shared" ref="EE31" si="609">SUM(DW31:ED31)-DY31-EA31</f>
        <v>0</v>
      </c>
      <c r="EF31" s="203">
        <f t="shared" si="477"/>
        <v>4200</v>
      </c>
      <c r="EG31" s="242">
        <f t="shared" si="478"/>
        <v>600</v>
      </c>
      <c r="EH31" s="203">
        <f t="shared" si="479"/>
        <v>0</v>
      </c>
      <c r="EI31" s="203">
        <f t="shared" si="480"/>
        <v>0</v>
      </c>
      <c r="EJ31" s="242">
        <f t="shared" si="481"/>
        <v>0</v>
      </c>
      <c r="EK31" s="203">
        <f t="shared" si="482"/>
        <v>0</v>
      </c>
      <c r="EL31" s="203">
        <f t="shared" si="483"/>
        <v>0</v>
      </c>
      <c r="EM31" s="203">
        <f t="shared" si="484"/>
        <v>532.1400000000001</v>
      </c>
      <c r="EN31" s="203">
        <f t="shared" si="485"/>
        <v>5332.14</v>
      </c>
      <c r="EP31" s="813">
        <v>21</v>
      </c>
      <c r="EQ31" s="813"/>
      <c r="ER31" s="813"/>
      <c r="ES31" s="852"/>
      <c r="ET31" s="813"/>
      <c r="EU31" s="797"/>
      <c r="EV31" s="813"/>
      <c r="EW31" s="813"/>
      <c r="EX31" s="813"/>
      <c r="EY31" s="813">
        <f>+ET31+EU31+EV31</f>
        <v>0</v>
      </c>
      <c r="EZ31" s="717"/>
      <c r="FA31" s="811">
        <f t="shared" ref="FA31" si="610">IF($M31&lt;=15,EP31/2,EP31)</f>
        <v>21</v>
      </c>
      <c r="FB31" s="811">
        <f t="shared" ref="FB31" si="611">IF($M31&lt;=15,EQ31/2,EQ31)</f>
        <v>0</v>
      </c>
      <c r="FC31" s="811">
        <f t="shared" ref="FC31" si="612">IF($M31&lt;=15,ER31/2,ER31)</f>
        <v>0</v>
      </c>
      <c r="FD31" s="811">
        <f t="shared" ref="FD31" si="613">IF($M31&lt;=15,ES31/2,ES31)</f>
        <v>0</v>
      </c>
      <c r="FE31" s="811">
        <f t="shared" ref="FE31" si="614">IF($M31&lt;=15,ET31/2,ET31)</f>
        <v>0</v>
      </c>
      <c r="FF31" s="811">
        <f t="shared" ref="FF31" si="615">IF($M31&lt;=15,EU31/2,EU31)</f>
        <v>0</v>
      </c>
      <c r="FG31" s="811">
        <f t="shared" ref="FG31" si="616">IF($M31&lt;=15,EV31/2,EV31)</f>
        <v>0</v>
      </c>
      <c r="FH31" s="811">
        <f t="shared" ref="FH31" si="617">IF($M31&lt;=15,EW31/2,EW31)</f>
        <v>0</v>
      </c>
      <c r="FI31" s="811">
        <f t="shared" ref="FI31" si="618">IF($M31&lt;=15,EX31/2,EX31)</f>
        <v>0</v>
      </c>
      <c r="FJ31" s="811">
        <f t="shared" ref="FJ31" si="619">IF($M31&lt;=15,EY31/2,EY31)</f>
        <v>0</v>
      </c>
      <c r="FK31" s="245"/>
      <c r="FL31" s="245"/>
      <c r="FM31" s="245"/>
      <c r="FN31" s="245"/>
      <c r="FO31" s="245"/>
      <c r="FP31" s="245"/>
      <c r="FQ31" s="778"/>
      <c r="FR31" s="1178">
        <f t="shared" si="496"/>
        <v>0</v>
      </c>
      <c r="FS31" s="1178">
        <f t="shared" si="497"/>
        <v>0</v>
      </c>
      <c r="FT31" s="1179">
        <f t="shared" si="498"/>
        <v>0</v>
      </c>
      <c r="FU31" s="1178">
        <f t="shared" si="499"/>
        <v>0</v>
      </c>
      <c r="FV31" s="1182">
        <f t="shared" si="500"/>
        <v>-21</v>
      </c>
    </row>
    <row r="32" spans="1:178" s="810" customFormat="1" ht="15.75" customHeight="1" outlineLevel="1" thickBot="1">
      <c r="A32" s="1006" t="s">
        <v>52</v>
      </c>
      <c r="B32" s="1006" t="s">
        <v>52</v>
      </c>
      <c r="C32" s="1007" t="str">
        <f t="shared" si="254"/>
        <v xml:space="preserve">  </v>
      </c>
      <c r="D32" s="717"/>
      <c r="E32" s="235"/>
      <c r="F32" s="776"/>
      <c r="G32" s="719"/>
      <c r="H32" s="717" t="s">
        <v>375</v>
      </c>
      <c r="I32" s="778"/>
      <c r="J32" s="853">
        <f>+SUM(J29:J31)</f>
        <v>16400</v>
      </c>
      <c r="K32" s="854">
        <f>+SUM(K29:K31)</f>
        <v>8700</v>
      </c>
      <c r="L32" s="854">
        <f>+SUM(L29:L31)</f>
        <v>25100</v>
      </c>
      <c r="M32" s="798"/>
      <c r="N32" s="855"/>
      <c r="O32" s="855"/>
      <c r="P32" s="855"/>
      <c r="Q32" s="799"/>
      <c r="R32" s="799"/>
      <c r="S32" s="799"/>
      <c r="U32" s="854">
        <f t="shared" ref="U32:CF32" si="620">+SUM(U29:U31)</f>
        <v>0</v>
      </c>
      <c r="V32" s="854">
        <f t="shared" si="620"/>
        <v>0</v>
      </c>
      <c r="W32" s="854">
        <f t="shared" si="620"/>
        <v>0</v>
      </c>
      <c r="X32" s="854">
        <f t="shared" si="620"/>
        <v>0</v>
      </c>
      <c r="Y32" s="854">
        <f t="shared" si="620"/>
        <v>0</v>
      </c>
      <c r="Z32" s="854">
        <f t="shared" si="620"/>
        <v>0</v>
      </c>
      <c r="AA32" s="854">
        <f t="shared" si="620"/>
        <v>0</v>
      </c>
      <c r="AB32" s="854">
        <f t="shared" si="620"/>
        <v>0</v>
      </c>
      <c r="AC32" s="854">
        <f t="shared" si="620"/>
        <v>0</v>
      </c>
      <c r="AD32" s="854">
        <f t="shared" si="620"/>
        <v>0</v>
      </c>
      <c r="AE32" s="854">
        <f t="shared" si="620"/>
        <v>0</v>
      </c>
      <c r="AF32" s="854">
        <f t="shared" si="620"/>
        <v>0</v>
      </c>
      <c r="AG32" s="854">
        <f t="shared" si="620"/>
        <v>0</v>
      </c>
      <c r="AH32" s="854">
        <f t="shared" si="620"/>
        <v>0</v>
      </c>
      <c r="AI32" s="854">
        <f t="shared" si="620"/>
        <v>0</v>
      </c>
      <c r="AJ32" s="854">
        <f t="shared" si="620"/>
        <v>0</v>
      </c>
      <c r="AK32" s="854">
        <f t="shared" si="620"/>
        <v>0</v>
      </c>
      <c r="AL32" s="854">
        <f t="shared" si="620"/>
        <v>0</v>
      </c>
      <c r="AM32" s="854">
        <f t="shared" si="620"/>
        <v>0</v>
      </c>
      <c r="AN32" s="854">
        <f t="shared" si="620"/>
        <v>0</v>
      </c>
      <c r="AO32" s="854">
        <f t="shared" si="620"/>
        <v>0</v>
      </c>
      <c r="AP32" s="854">
        <f t="shared" si="620"/>
        <v>0</v>
      </c>
      <c r="AQ32" s="854">
        <f t="shared" si="620"/>
        <v>0</v>
      </c>
      <c r="AR32" s="854">
        <f t="shared" si="620"/>
        <v>0</v>
      </c>
      <c r="AS32" s="854">
        <f t="shared" si="620"/>
        <v>0</v>
      </c>
      <c r="AT32" s="854">
        <f t="shared" si="620"/>
        <v>0</v>
      </c>
      <c r="AU32" s="854">
        <f t="shared" si="620"/>
        <v>0</v>
      </c>
      <c r="AV32" s="854">
        <f t="shared" si="620"/>
        <v>0</v>
      </c>
      <c r="AW32" s="854">
        <f t="shared" si="620"/>
        <v>0</v>
      </c>
      <c r="AX32" s="854">
        <f t="shared" si="620"/>
        <v>0</v>
      </c>
      <c r="AY32" s="854">
        <f t="shared" si="620"/>
        <v>0</v>
      </c>
      <c r="AZ32" s="854">
        <f t="shared" si="620"/>
        <v>0</v>
      </c>
      <c r="BA32" s="854">
        <f>+SUM(BA29:BA31)</f>
        <v>7990</v>
      </c>
      <c r="BB32" s="854">
        <f t="shared" si="620"/>
        <v>4320</v>
      </c>
      <c r="BC32" s="854">
        <f t="shared" si="620"/>
        <v>0</v>
      </c>
      <c r="BD32" s="854">
        <f t="shared" si="620"/>
        <v>0</v>
      </c>
      <c r="BE32" s="854">
        <f t="shared" si="620"/>
        <v>0</v>
      </c>
      <c r="BF32" s="854">
        <f t="shared" si="620"/>
        <v>0</v>
      </c>
      <c r="BG32" s="854">
        <f t="shared" si="620"/>
        <v>0</v>
      </c>
      <c r="BH32" s="854">
        <f t="shared" si="620"/>
        <v>1012.3330000000001</v>
      </c>
      <c r="BI32" s="854">
        <f t="shared" si="620"/>
        <v>13322.332999999999</v>
      </c>
      <c r="BJ32" s="854">
        <f t="shared" si="620"/>
        <v>7044</v>
      </c>
      <c r="BK32" s="854">
        <f t="shared" si="620"/>
        <v>3867</v>
      </c>
      <c r="BL32" s="854">
        <f t="shared" si="620"/>
        <v>0</v>
      </c>
      <c r="BM32" s="854">
        <f t="shared" si="620"/>
        <v>0</v>
      </c>
      <c r="BN32" s="854">
        <f t="shared" si="620"/>
        <v>0</v>
      </c>
      <c r="BO32" s="854">
        <f t="shared" si="620"/>
        <v>0</v>
      </c>
      <c r="BP32" s="854">
        <f t="shared" si="620"/>
        <v>0</v>
      </c>
      <c r="BQ32" s="854">
        <f t="shared" si="620"/>
        <v>892.47480000000007</v>
      </c>
      <c r="BR32" s="854">
        <f t="shared" si="620"/>
        <v>11803.4748</v>
      </c>
      <c r="BS32" s="854">
        <f t="shared" si="620"/>
        <v>736</v>
      </c>
      <c r="BT32" s="854">
        <f t="shared" si="620"/>
        <v>423</v>
      </c>
      <c r="BU32" s="854">
        <f t="shared" si="620"/>
        <v>0</v>
      </c>
      <c r="BV32" s="854">
        <f t="shared" si="620"/>
        <v>0</v>
      </c>
      <c r="BW32" s="854">
        <f t="shared" si="620"/>
        <v>0</v>
      </c>
      <c r="BX32" s="854">
        <f t="shared" si="620"/>
        <v>0</v>
      </c>
      <c r="BY32" s="854">
        <f t="shared" si="620"/>
        <v>0</v>
      </c>
      <c r="BZ32" s="854">
        <f t="shared" si="620"/>
        <v>93.251200000000011</v>
      </c>
      <c r="CA32" s="854">
        <f t="shared" si="620"/>
        <v>1252.2512000000002</v>
      </c>
      <c r="CB32" s="854">
        <f t="shared" si="620"/>
        <v>630</v>
      </c>
      <c r="CC32" s="854">
        <f t="shared" si="620"/>
        <v>90</v>
      </c>
      <c r="CD32" s="854">
        <f t="shared" si="620"/>
        <v>0</v>
      </c>
      <c r="CE32" s="854">
        <f t="shared" si="620"/>
        <v>0</v>
      </c>
      <c r="CF32" s="854">
        <f t="shared" si="620"/>
        <v>0</v>
      </c>
      <c r="CG32" s="854">
        <f t="shared" ref="CG32:ER32" si="621">+SUM(CG29:CG31)</f>
        <v>0</v>
      </c>
      <c r="CH32" s="854">
        <f t="shared" si="621"/>
        <v>0</v>
      </c>
      <c r="CI32" s="854">
        <f t="shared" si="621"/>
        <v>79.820999999999998</v>
      </c>
      <c r="CJ32" s="854">
        <f t="shared" si="621"/>
        <v>799.82100000000003</v>
      </c>
      <c r="CK32" s="854">
        <f t="shared" si="621"/>
        <v>0</v>
      </c>
      <c r="CL32" s="854">
        <f t="shared" si="621"/>
        <v>0</v>
      </c>
      <c r="CM32" s="854">
        <f t="shared" si="621"/>
        <v>0</v>
      </c>
      <c r="CN32" s="854">
        <f t="shared" si="621"/>
        <v>0</v>
      </c>
      <c r="CO32" s="854">
        <f t="shared" si="621"/>
        <v>0</v>
      </c>
      <c r="CP32" s="854">
        <f t="shared" si="621"/>
        <v>0</v>
      </c>
      <c r="CQ32" s="854">
        <f t="shared" si="621"/>
        <v>0</v>
      </c>
      <c r="CR32" s="854">
        <f t="shared" si="621"/>
        <v>0</v>
      </c>
      <c r="CS32" s="854">
        <f t="shared" si="621"/>
        <v>0</v>
      </c>
      <c r="CT32" s="854">
        <f t="shared" si="621"/>
        <v>0</v>
      </c>
      <c r="CU32" s="854">
        <f t="shared" si="621"/>
        <v>0</v>
      </c>
      <c r="CV32" s="854">
        <f t="shared" si="621"/>
        <v>0</v>
      </c>
      <c r="CW32" s="854">
        <f t="shared" si="621"/>
        <v>0</v>
      </c>
      <c r="CX32" s="854">
        <f t="shared" si="621"/>
        <v>0</v>
      </c>
      <c r="CY32" s="854">
        <f t="shared" si="621"/>
        <v>0</v>
      </c>
      <c r="CZ32" s="854">
        <f t="shared" si="621"/>
        <v>0</v>
      </c>
      <c r="DA32" s="854">
        <f t="shared" si="621"/>
        <v>0</v>
      </c>
      <c r="DB32" s="854">
        <f t="shared" si="621"/>
        <v>0</v>
      </c>
      <c r="DC32" s="854">
        <f t="shared" si="621"/>
        <v>0</v>
      </c>
      <c r="DD32" s="854">
        <f t="shared" si="621"/>
        <v>0</v>
      </c>
      <c r="DE32" s="854">
        <f t="shared" si="621"/>
        <v>0</v>
      </c>
      <c r="DF32" s="854">
        <f t="shared" si="621"/>
        <v>0</v>
      </c>
      <c r="DG32" s="854">
        <f t="shared" si="621"/>
        <v>0</v>
      </c>
      <c r="DH32" s="854">
        <f t="shared" si="621"/>
        <v>0</v>
      </c>
      <c r="DI32" s="854">
        <f t="shared" si="621"/>
        <v>0</v>
      </c>
      <c r="DJ32" s="854">
        <f t="shared" si="621"/>
        <v>0</v>
      </c>
      <c r="DK32" s="854">
        <f t="shared" si="621"/>
        <v>0</v>
      </c>
      <c r="DL32" s="854">
        <f t="shared" si="621"/>
        <v>0</v>
      </c>
      <c r="DM32" s="854">
        <f t="shared" si="621"/>
        <v>0</v>
      </c>
      <c r="DN32" s="854">
        <f t="shared" si="621"/>
        <v>0</v>
      </c>
      <c r="DO32" s="854">
        <f t="shared" si="621"/>
        <v>0</v>
      </c>
      <c r="DP32" s="854">
        <f t="shared" si="621"/>
        <v>0</v>
      </c>
      <c r="DQ32" s="854">
        <f t="shared" si="621"/>
        <v>0</v>
      </c>
      <c r="DR32" s="854">
        <f t="shared" si="621"/>
        <v>0</v>
      </c>
      <c r="DS32" s="854">
        <f t="shared" si="621"/>
        <v>0</v>
      </c>
      <c r="DT32" s="854">
        <f t="shared" si="621"/>
        <v>0</v>
      </c>
      <c r="DU32" s="854">
        <f t="shared" si="621"/>
        <v>0</v>
      </c>
      <c r="DV32" s="854">
        <f t="shared" si="621"/>
        <v>0</v>
      </c>
      <c r="DW32" s="854">
        <f t="shared" si="621"/>
        <v>0</v>
      </c>
      <c r="DX32" s="854">
        <f t="shared" si="621"/>
        <v>0</v>
      </c>
      <c r="DY32" s="854">
        <f t="shared" si="621"/>
        <v>0</v>
      </c>
      <c r="DZ32" s="854">
        <f t="shared" si="621"/>
        <v>0</v>
      </c>
      <c r="EA32" s="854">
        <f t="shared" si="621"/>
        <v>0</v>
      </c>
      <c r="EB32" s="854">
        <f t="shared" si="621"/>
        <v>0</v>
      </c>
      <c r="EC32" s="854">
        <f t="shared" si="621"/>
        <v>0</v>
      </c>
      <c r="ED32" s="854">
        <f t="shared" si="621"/>
        <v>0</v>
      </c>
      <c r="EE32" s="854">
        <f t="shared" si="621"/>
        <v>0</v>
      </c>
      <c r="EF32" s="854">
        <f t="shared" si="621"/>
        <v>16400</v>
      </c>
      <c r="EG32" s="854">
        <f t="shared" si="621"/>
        <v>8700</v>
      </c>
      <c r="EH32" s="854">
        <f t="shared" si="621"/>
        <v>0</v>
      </c>
      <c r="EI32" s="854">
        <f t="shared" si="621"/>
        <v>0</v>
      </c>
      <c r="EJ32" s="854">
        <f t="shared" si="621"/>
        <v>0</v>
      </c>
      <c r="EK32" s="854">
        <f t="shared" si="621"/>
        <v>0</v>
      </c>
      <c r="EL32" s="854">
        <f t="shared" si="621"/>
        <v>0</v>
      </c>
      <c r="EM32" s="854">
        <f t="shared" si="621"/>
        <v>2077.88</v>
      </c>
      <c r="EN32" s="854">
        <f t="shared" si="621"/>
        <v>27177.879999999997</v>
      </c>
      <c r="EO32" s="854"/>
      <c r="EP32" s="854">
        <f t="shared" si="621"/>
        <v>535.18000000000006</v>
      </c>
      <c r="EQ32" s="854">
        <f t="shared" si="621"/>
        <v>2633.75</v>
      </c>
      <c r="ER32" s="854">
        <f t="shared" si="621"/>
        <v>0</v>
      </c>
      <c r="ES32" s="854">
        <f t="shared" ref="ES32:FJ32" si="622">+SUM(ES29:ES31)</f>
        <v>0</v>
      </c>
      <c r="ET32" s="854">
        <f t="shared" si="622"/>
        <v>0</v>
      </c>
      <c r="EU32" s="854">
        <f t="shared" si="622"/>
        <v>0</v>
      </c>
      <c r="EV32" s="854">
        <f t="shared" si="622"/>
        <v>0</v>
      </c>
      <c r="EW32" s="854">
        <f t="shared" si="622"/>
        <v>0</v>
      </c>
      <c r="EX32" s="854">
        <f t="shared" si="622"/>
        <v>0</v>
      </c>
      <c r="EY32" s="854">
        <f t="shared" si="622"/>
        <v>0</v>
      </c>
      <c r="EZ32" s="854"/>
      <c r="FA32" s="854">
        <f t="shared" si="622"/>
        <v>535.18000000000006</v>
      </c>
      <c r="FB32" s="854">
        <f t="shared" si="622"/>
        <v>2633.75</v>
      </c>
      <c r="FC32" s="854">
        <f t="shared" si="622"/>
        <v>0</v>
      </c>
      <c r="FD32" s="854">
        <f t="shared" si="622"/>
        <v>0</v>
      </c>
      <c r="FE32" s="854">
        <f t="shared" si="622"/>
        <v>0</v>
      </c>
      <c r="FF32" s="854">
        <f t="shared" si="622"/>
        <v>0</v>
      </c>
      <c r="FG32" s="854">
        <f t="shared" si="622"/>
        <v>0</v>
      </c>
      <c r="FH32" s="854">
        <f t="shared" si="622"/>
        <v>0</v>
      </c>
      <c r="FI32" s="854">
        <f t="shared" si="622"/>
        <v>0</v>
      </c>
      <c r="FJ32" s="854">
        <f t="shared" si="622"/>
        <v>0</v>
      </c>
      <c r="FK32" s="800"/>
      <c r="FL32" s="800"/>
      <c r="FM32" s="800"/>
      <c r="FN32" s="800"/>
      <c r="FO32" s="800"/>
      <c r="FP32" s="800"/>
      <c r="FQ32" s="778"/>
    </row>
    <row r="33" spans="1:178" s="810" customFormat="1" ht="15.75" customHeight="1" outlineLevel="1" thickTop="1">
      <c r="A33" s="1006" t="s">
        <v>52</v>
      </c>
      <c r="B33" s="1006" t="s">
        <v>52</v>
      </c>
      <c r="C33" s="1007" t="str">
        <f t="shared" si="254"/>
        <v xml:space="preserve">  </v>
      </c>
      <c r="D33" s="717"/>
      <c r="E33" s="235">
        <v>105010</v>
      </c>
      <c r="F33" s="776"/>
      <c r="G33" s="779" t="s">
        <v>707</v>
      </c>
      <c r="H33" s="717"/>
      <c r="I33" s="778"/>
      <c r="J33" s="864"/>
      <c r="K33" s="841"/>
      <c r="L33" s="841"/>
      <c r="M33" s="798"/>
      <c r="N33" s="855"/>
      <c r="O33" s="855"/>
      <c r="P33" s="855"/>
      <c r="Q33" s="799"/>
      <c r="R33" s="799"/>
      <c r="S33" s="799"/>
      <c r="U33" s="841"/>
      <c r="V33" s="841"/>
      <c r="W33" s="841"/>
      <c r="X33" s="841"/>
      <c r="Y33" s="841"/>
      <c r="Z33" s="841"/>
      <c r="AA33" s="841"/>
      <c r="AB33" s="841"/>
      <c r="AC33" s="841"/>
      <c r="AD33" s="841"/>
      <c r="AE33" s="841"/>
      <c r="AF33" s="841"/>
      <c r="AG33" s="841"/>
      <c r="AH33" s="841"/>
      <c r="AI33" s="841"/>
      <c r="AJ33" s="841"/>
      <c r="AK33" s="841"/>
      <c r="AL33" s="841"/>
      <c r="AM33" s="841"/>
      <c r="AN33" s="841"/>
      <c r="AO33" s="841"/>
      <c r="AP33" s="841"/>
      <c r="AQ33" s="841"/>
      <c r="AR33" s="841"/>
      <c r="AS33" s="841"/>
      <c r="AT33" s="841"/>
      <c r="AU33" s="841"/>
      <c r="AV33" s="841"/>
      <c r="AW33" s="841"/>
      <c r="AX33" s="841"/>
      <c r="AY33" s="841"/>
      <c r="AZ33" s="841"/>
      <c r="BA33" s="841"/>
      <c r="BB33" s="841"/>
      <c r="BC33" s="841"/>
      <c r="BD33" s="841"/>
      <c r="BE33" s="841"/>
      <c r="BF33" s="841"/>
      <c r="BG33" s="841"/>
      <c r="BH33" s="841"/>
      <c r="BI33" s="841"/>
      <c r="BJ33" s="841"/>
      <c r="BK33" s="841"/>
      <c r="BL33" s="841"/>
      <c r="BM33" s="841"/>
      <c r="BN33" s="841"/>
      <c r="BO33" s="841"/>
      <c r="BP33" s="841"/>
      <c r="BQ33" s="841"/>
      <c r="BR33" s="841"/>
      <c r="BS33" s="841"/>
      <c r="BT33" s="841"/>
      <c r="BU33" s="841"/>
      <c r="BV33" s="841"/>
      <c r="BW33" s="841"/>
      <c r="BX33" s="841"/>
      <c r="BY33" s="841"/>
      <c r="BZ33" s="841"/>
      <c r="CA33" s="841"/>
      <c r="CB33" s="803"/>
      <c r="CC33" s="803"/>
      <c r="CD33" s="803"/>
      <c r="CE33" s="803"/>
      <c r="CF33" s="803"/>
      <c r="CG33" s="803"/>
      <c r="CH33" s="803"/>
      <c r="CI33" s="803"/>
      <c r="CJ33" s="803"/>
      <c r="CK33" s="803"/>
      <c r="CL33" s="803"/>
      <c r="CM33" s="803"/>
      <c r="CN33" s="803"/>
      <c r="CO33" s="803"/>
      <c r="CP33" s="803"/>
      <c r="CQ33" s="803"/>
      <c r="CR33" s="803"/>
      <c r="CS33" s="803"/>
      <c r="CT33" s="803"/>
      <c r="CU33" s="717"/>
      <c r="CV33" s="841"/>
      <c r="CW33" s="841"/>
      <c r="CX33" s="841"/>
      <c r="CY33" s="841"/>
      <c r="CZ33" s="841"/>
      <c r="DA33" s="841"/>
      <c r="DB33" s="841"/>
      <c r="DC33" s="841"/>
      <c r="DD33" s="841"/>
      <c r="DE33" s="841"/>
      <c r="DF33" s="841"/>
      <c r="DG33" s="841"/>
      <c r="DH33" s="841"/>
      <c r="DI33" s="841"/>
      <c r="DJ33" s="841"/>
      <c r="DK33" s="841"/>
      <c r="DL33" s="841"/>
      <c r="DM33" s="841"/>
      <c r="DN33" s="841"/>
      <c r="DO33" s="841"/>
      <c r="DP33" s="841"/>
      <c r="DQ33" s="841"/>
      <c r="DR33" s="841"/>
      <c r="DS33" s="841"/>
      <c r="DT33" s="841"/>
      <c r="DU33" s="841"/>
      <c r="DV33" s="841"/>
      <c r="DW33" s="803"/>
      <c r="DX33" s="803"/>
      <c r="DY33" s="803"/>
      <c r="DZ33" s="803"/>
      <c r="EA33" s="803"/>
      <c r="EB33" s="803"/>
      <c r="EC33" s="803"/>
      <c r="ED33" s="803"/>
      <c r="EE33" s="803"/>
      <c r="EF33" s="803"/>
      <c r="EG33" s="803"/>
      <c r="EH33" s="803"/>
      <c r="EI33" s="803"/>
      <c r="EJ33" s="803"/>
      <c r="EK33" s="803"/>
      <c r="EL33" s="803"/>
      <c r="EM33" s="803"/>
      <c r="EN33" s="803"/>
      <c r="EO33" s="803"/>
      <c r="EP33" s="864"/>
      <c r="EQ33" s="841"/>
      <c r="ER33" s="841"/>
      <c r="ES33" s="864"/>
      <c r="ET33" s="841"/>
      <c r="EU33" s="841"/>
      <c r="EV33" s="841"/>
      <c r="EW33" s="841"/>
      <c r="EX33" s="841"/>
      <c r="EY33" s="841"/>
      <c r="EZ33" s="717"/>
      <c r="FA33" s="841"/>
      <c r="FB33" s="841"/>
      <c r="FC33" s="841"/>
      <c r="FD33" s="841"/>
      <c r="FE33" s="841"/>
      <c r="FF33" s="841"/>
      <c r="FG33" s="841"/>
      <c r="FH33" s="841"/>
      <c r="FI33" s="841"/>
      <c r="FJ33" s="841"/>
      <c r="FK33" s="800"/>
      <c r="FL33" s="800"/>
      <c r="FM33" s="800"/>
      <c r="FN33" s="800"/>
      <c r="FO33" s="800"/>
      <c r="FP33" s="800"/>
      <c r="FQ33" s="778"/>
    </row>
    <row r="34" spans="1:178" s="810" customFormat="1" ht="15.75" customHeight="1" outlineLevel="1">
      <c r="A34" s="1006" t="str">
        <f t="shared" si="253"/>
        <v>MAYO  2026 2da QUINCENA</v>
      </c>
      <c r="B34" s="1006">
        <f t="shared" si="90"/>
        <v>2026</v>
      </c>
      <c r="C34" s="1007" t="str">
        <f t="shared" si="254"/>
        <v>MAYO  2026 2da QUINCENA2026</v>
      </c>
      <c r="D34" s="776" t="str">
        <f>+$G$33</f>
        <v>AUDITORIA INTERNA</v>
      </c>
      <c r="E34" s="235">
        <v>105010</v>
      </c>
      <c r="F34" s="776"/>
      <c r="G34" s="779" t="s">
        <v>623</v>
      </c>
      <c r="H34" s="717"/>
      <c r="I34" s="778"/>
      <c r="J34" s="864"/>
      <c r="K34" s="841"/>
      <c r="L34" s="841"/>
      <c r="M34" s="798"/>
      <c r="N34" s="855"/>
      <c r="O34" s="855"/>
      <c r="P34" s="855"/>
      <c r="Q34" s="799"/>
      <c r="R34" s="799"/>
      <c r="S34" s="799"/>
      <c r="U34" s="841"/>
      <c r="V34" s="841"/>
      <c r="W34" s="841"/>
      <c r="X34" s="841"/>
      <c r="Y34" s="841"/>
      <c r="Z34" s="841"/>
      <c r="AA34" s="841"/>
      <c r="AB34" s="841"/>
      <c r="AC34" s="841"/>
      <c r="AD34" s="841"/>
      <c r="AE34" s="841"/>
      <c r="AF34" s="841"/>
      <c r="AG34" s="841"/>
      <c r="AH34" s="841"/>
      <c r="AI34" s="841"/>
      <c r="AJ34" s="841"/>
      <c r="AK34" s="841"/>
      <c r="AL34" s="841"/>
      <c r="AM34" s="841"/>
      <c r="AN34" s="841"/>
      <c r="AO34" s="841"/>
      <c r="AP34" s="841"/>
      <c r="AQ34" s="841"/>
      <c r="AR34" s="841"/>
      <c r="AS34" s="841"/>
      <c r="AT34" s="841"/>
      <c r="AU34" s="841"/>
      <c r="AV34" s="841"/>
      <c r="AW34" s="841"/>
      <c r="AX34" s="841"/>
      <c r="AY34" s="841"/>
      <c r="AZ34" s="841"/>
      <c r="BA34" s="841"/>
      <c r="BB34" s="841"/>
      <c r="BC34" s="841"/>
      <c r="BD34" s="841"/>
      <c r="BE34" s="841"/>
      <c r="BF34" s="841"/>
      <c r="BG34" s="841"/>
      <c r="BH34" s="841"/>
      <c r="BI34" s="841"/>
      <c r="BJ34" s="841"/>
      <c r="BK34" s="841"/>
      <c r="BL34" s="841"/>
      <c r="BM34" s="841"/>
      <c r="BN34" s="841"/>
      <c r="BO34" s="841"/>
      <c r="BP34" s="841"/>
      <c r="BQ34" s="841"/>
      <c r="BR34" s="841"/>
      <c r="BS34" s="841"/>
      <c r="BT34" s="841"/>
      <c r="BU34" s="841"/>
      <c r="BV34" s="841"/>
      <c r="BW34" s="841"/>
      <c r="BX34" s="841"/>
      <c r="BY34" s="841"/>
      <c r="BZ34" s="841"/>
      <c r="CA34" s="841"/>
      <c r="CB34" s="803"/>
      <c r="CC34" s="803"/>
      <c r="CD34" s="803"/>
      <c r="CE34" s="803"/>
      <c r="CF34" s="803"/>
      <c r="CG34" s="803"/>
      <c r="CH34" s="803"/>
      <c r="CI34" s="803"/>
      <c r="CJ34" s="803"/>
      <c r="CK34" s="803"/>
      <c r="CL34" s="803"/>
      <c r="CM34" s="803"/>
      <c r="CN34" s="803"/>
      <c r="CO34" s="803"/>
      <c r="CP34" s="803"/>
      <c r="CQ34" s="803"/>
      <c r="CR34" s="803"/>
      <c r="CS34" s="803"/>
      <c r="CT34" s="803"/>
      <c r="CU34" s="717"/>
      <c r="CV34" s="841"/>
      <c r="CW34" s="841"/>
      <c r="CX34" s="841"/>
      <c r="CY34" s="841"/>
      <c r="CZ34" s="841"/>
      <c r="DA34" s="841"/>
      <c r="DB34" s="841"/>
      <c r="DC34" s="841"/>
      <c r="DD34" s="841"/>
      <c r="DE34" s="841"/>
      <c r="DF34" s="841"/>
      <c r="DG34" s="841"/>
      <c r="DH34" s="841"/>
      <c r="DI34" s="841"/>
      <c r="DJ34" s="841"/>
      <c r="DK34" s="841"/>
      <c r="DL34" s="841"/>
      <c r="DM34" s="841"/>
      <c r="DN34" s="841"/>
      <c r="DO34" s="841"/>
      <c r="DP34" s="841"/>
      <c r="DQ34" s="841"/>
      <c r="DR34" s="841"/>
      <c r="DS34" s="841"/>
      <c r="DT34" s="841"/>
      <c r="DU34" s="841"/>
      <c r="DV34" s="841"/>
      <c r="DW34" s="803"/>
      <c r="DX34" s="803"/>
      <c r="DY34" s="803"/>
      <c r="DZ34" s="803"/>
      <c r="EA34" s="803"/>
      <c r="EB34" s="803"/>
      <c r="EC34" s="803"/>
      <c r="ED34" s="803"/>
      <c r="EE34" s="803"/>
      <c r="EF34" s="803"/>
      <c r="EG34" s="803"/>
      <c r="EH34" s="803"/>
      <c r="EI34" s="803"/>
      <c r="EJ34" s="803"/>
      <c r="EK34" s="803"/>
      <c r="EL34" s="803"/>
      <c r="EM34" s="803"/>
      <c r="EN34" s="803"/>
      <c r="EO34" s="803"/>
      <c r="EP34" s="864"/>
      <c r="EQ34" s="841"/>
      <c r="ER34" s="841"/>
      <c r="ES34" s="864"/>
      <c r="ET34" s="841"/>
      <c r="EU34" s="841"/>
      <c r="EV34" s="841"/>
      <c r="EW34" s="841"/>
      <c r="EX34" s="841"/>
      <c r="EY34" s="841"/>
      <c r="EZ34" s="717"/>
      <c r="FA34" s="841"/>
      <c r="FB34" s="841"/>
      <c r="FC34" s="841"/>
      <c r="FD34" s="841"/>
      <c r="FE34" s="841"/>
      <c r="FF34" s="841"/>
      <c r="FG34" s="841"/>
      <c r="FH34" s="841"/>
      <c r="FI34" s="841"/>
      <c r="FJ34" s="841"/>
      <c r="FK34" s="800"/>
      <c r="FL34" s="800"/>
      <c r="FM34" s="800"/>
      <c r="FN34" s="800"/>
      <c r="FO34" s="800"/>
      <c r="FP34" s="800"/>
      <c r="FQ34" s="778"/>
    </row>
    <row r="35" spans="1:178" s="216" customFormat="1" ht="15" customHeight="1" outlineLevel="1">
      <c r="A35" s="1006" t="str">
        <f t="shared" si="253"/>
        <v>MAYO  2026 2da QUINCENA</v>
      </c>
      <c r="B35" s="1006">
        <f t="shared" si="90"/>
        <v>2026</v>
      </c>
      <c r="C35" s="1007" t="str">
        <f t="shared" si="254"/>
        <v>MAYO  2026 2da QUINCENA2026</v>
      </c>
      <c r="D35" s="235" t="str">
        <f t="shared" ref="D35" si="623">+$G$33</f>
        <v>AUDITORIA INTERNA</v>
      </c>
      <c r="E35" s="235">
        <v>105010</v>
      </c>
      <c r="F35" s="268">
        <v>13</v>
      </c>
      <c r="G35" s="199" t="s">
        <v>418</v>
      </c>
      <c r="H35" s="200" t="s">
        <v>67</v>
      </c>
      <c r="I35" s="201" t="s">
        <v>11</v>
      </c>
      <c r="J35" s="203">
        <v>8000</v>
      </c>
      <c r="K35" s="203">
        <v>4000</v>
      </c>
      <c r="L35" s="202">
        <f t="shared" ref="L35:L36" si="624">+J35+K35</f>
        <v>12000</v>
      </c>
      <c r="M35" s="203">
        <v>30</v>
      </c>
      <c r="N35" s="204">
        <v>0.5</v>
      </c>
      <c r="O35" s="204">
        <v>0.35</v>
      </c>
      <c r="P35" s="204">
        <v>0.05</v>
      </c>
      <c r="Q35" s="204">
        <v>0.1</v>
      </c>
      <c r="R35" s="820">
        <v>0</v>
      </c>
      <c r="S35" s="204">
        <f t="shared" ref="S35" si="625">SUM(N35:R35)</f>
        <v>1</v>
      </c>
      <c r="T35" s="205" t="s">
        <v>52</v>
      </c>
      <c r="U35" s="207"/>
      <c r="V35" s="203">
        <f t="shared" ref="V35:V36" si="626">($J35/30/8*1.5)*U35</f>
        <v>0</v>
      </c>
      <c r="W35" s="207"/>
      <c r="X35" s="203">
        <f t="shared" ref="X35:X36" si="627">($J35/30/8*2)*W35</f>
        <v>0</v>
      </c>
      <c r="Y35" s="207"/>
      <c r="Z35" s="203">
        <f t="shared" ref="Z35:Z36" si="628">($J35/30/8*1.5)*Y35</f>
        <v>0</v>
      </c>
      <c r="AA35" s="207"/>
      <c r="AB35" s="203">
        <f t="shared" ref="AB35:AB36" si="629">($J35/30/8*2)*AA35</f>
        <v>0</v>
      </c>
      <c r="AC35" s="207"/>
      <c r="AD35" s="203">
        <f t="shared" ref="AD35:AD36" si="630">(($J35/30/8)*1.5)*AC35</f>
        <v>0</v>
      </c>
      <c r="AE35" s="208"/>
      <c r="AF35" s="203">
        <f t="shared" ref="AF35:AF36" si="631">(($J35/30/8)*2)*AE35</f>
        <v>0</v>
      </c>
      <c r="AG35" s="208"/>
      <c r="AH35" s="203">
        <f t="shared" ref="AH35:AH36" si="632">(($J35/30/8)*1.5)*AG35</f>
        <v>0</v>
      </c>
      <c r="AI35" s="208"/>
      <c r="AJ35" s="203">
        <f t="shared" ref="AJ35:AJ36" si="633">(($J35/30/8)*2)*AI35</f>
        <v>0</v>
      </c>
      <c r="AK35" s="203"/>
      <c r="AL35" s="203">
        <f t="shared" ref="AL35:AL36" si="634">(($J35/30/8)*1.5)*AK35</f>
        <v>0</v>
      </c>
      <c r="AM35" s="208"/>
      <c r="AN35" s="203">
        <f t="shared" ref="AN35:AN36" si="635">(($J35/30/8)*2)*AM35</f>
        <v>0</v>
      </c>
      <c r="AO35" s="203"/>
      <c r="AP35" s="203"/>
      <c r="AQ35" s="203"/>
      <c r="AR35" s="203"/>
      <c r="AS35" s="203"/>
      <c r="AT35" s="203"/>
      <c r="AU35" s="203"/>
      <c r="AV35" s="203"/>
      <c r="AW35" s="203"/>
      <c r="AX35" s="203"/>
      <c r="AY35" s="203"/>
      <c r="AZ35" s="201"/>
      <c r="BA35" s="203">
        <f t="shared" ref="BA35:BA36" si="636">((J35/30)*M35)*$N35</f>
        <v>4000.0000000000005</v>
      </c>
      <c r="BB35" s="203">
        <f>((K35/30)*M35)*$N35</f>
        <v>2000.0000000000002</v>
      </c>
      <c r="BC35" s="203">
        <f t="shared" ref="BC35:BC36" si="637">U35</f>
        <v>0</v>
      </c>
      <c r="BD35" s="203">
        <f t="shared" ref="BD35:BD36" si="638">V35</f>
        <v>0</v>
      </c>
      <c r="BE35" s="203">
        <f t="shared" ref="BE35:BE36" si="639">W35</f>
        <v>0</v>
      </c>
      <c r="BF35" s="203">
        <f t="shared" ref="BF35:BF36" si="640">X35</f>
        <v>0</v>
      </c>
      <c r="BG35" s="203">
        <f t="shared" ref="BG35:BG36" si="641">AO35+AT35</f>
        <v>0</v>
      </c>
      <c r="BH35" s="203">
        <f t="shared" ref="BH35:BH37" si="642">(BA35+BD35+BF35+BG35)*0.1267</f>
        <v>506.80000000000007</v>
      </c>
      <c r="BI35" s="203">
        <f t="shared" ref="BI35" si="643">SUM(BA35:BH35)-BC35-BE35</f>
        <v>6506.8000000000011</v>
      </c>
      <c r="BJ35" s="203">
        <f t="shared" ref="BJ35:BJ37" si="644">(($J35/30)*$M35)*$O35</f>
        <v>2800</v>
      </c>
      <c r="BK35" s="203">
        <f t="shared" ref="BK35:BK37" si="645">(($K35/30)*$M35)*$O35</f>
        <v>1400</v>
      </c>
      <c r="BL35" s="203">
        <f t="shared" ref="BL35:BL36" si="646">Y35</f>
        <v>0</v>
      </c>
      <c r="BM35" s="203">
        <f t="shared" ref="BM35:BM36" si="647">Z35</f>
        <v>0</v>
      </c>
      <c r="BN35" s="203">
        <f t="shared" ref="BN35:BN36" si="648">AA35</f>
        <v>0</v>
      </c>
      <c r="BO35" s="203">
        <f t="shared" ref="BO35:BO36" si="649">AB35</f>
        <v>0</v>
      </c>
      <c r="BP35" s="203">
        <f t="shared" ref="BP35:BP36" si="650">AP35+AU35</f>
        <v>0</v>
      </c>
      <c r="BQ35" s="203">
        <f t="shared" ref="BQ35:BQ37" si="651">(+BJ35+BM35+BO35+BP35)*0.1267</f>
        <v>354.76000000000005</v>
      </c>
      <c r="BR35" s="202">
        <f t="shared" ref="BR35" si="652">SUM(BJ35:BQ35)-BL35-BN35</f>
        <v>4554.76</v>
      </c>
      <c r="BS35" s="203">
        <f t="shared" ref="BS35:BS37" si="653">(($J35/30)*$M35)*$P35</f>
        <v>400.00000000000006</v>
      </c>
      <c r="BT35" s="203">
        <f t="shared" ref="BT35:BT37" si="654">(($K35/30)*$M35)*$P35</f>
        <v>200.00000000000003</v>
      </c>
      <c r="BU35" s="203">
        <f t="shared" ref="BU35:BU36" si="655">AC35</f>
        <v>0</v>
      </c>
      <c r="BV35" s="203">
        <f t="shared" ref="BV35:BV36" si="656">AD35</f>
        <v>0</v>
      </c>
      <c r="BW35" s="203">
        <f t="shared" ref="BW35:BW36" si="657">AE35</f>
        <v>0</v>
      </c>
      <c r="BX35" s="203">
        <f t="shared" ref="BX35:BX36" si="658">AF35</f>
        <v>0</v>
      </c>
      <c r="BY35" s="203">
        <f t="shared" ref="BY35:BY36" si="659">AQ35+AV35</f>
        <v>0</v>
      </c>
      <c r="BZ35" s="203">
        <f t="shared" ref="BZ35:BZ37" si="660">(BS35+BV35+BX35+BY35)*0.1267</f>
        <v>50.680000000000007</v>
      </c>
      <c r="CA35" s="203">
        <f t="shared" ref="CA35" si="661">SUM(BS35:BZ35)-BU35-BW35</f>
        <v>650.68000000000006</v>
      </c>
      <c r="CB35" s="241">
        <f t="shared" ref="CB35:CB37" si="662">(($J35/30)*$M35)*$Q35</f>
        <v>800.00000000000011</v>
      </c>
      <c r="CC35" s="242">
        <f t="shared" ref="CC35:CC37" si="663">(($K35/30)*$M35)*$Q35</f>
        <v>400.00000000000006</v>
      </c>
      <c r="CD35" s="242">
        <f t="shared" ref="CD35:CD36" si="664">AG35</f>
        <v>0</v>
      </c>
      <c r="CE35" s="242">
        <f t="shared" ref="CE35:CE36" si="665">AH35</f>
        <v>0</v>
      </c>
      <c r="CF35" s="242">
        <f t="shared" ref="CF35:CF36" si="666">AI35</f>
        <v>0</v>
      </c>
      <c r="CG35" s="242">
        <f t="shared" ref="CG35:CG36" si="667">AJ35</f>
        <v>0</v>
      </c>
      <c r="CH35" s="242">
        <f t="shared" ref="CH35:CH36" si="668">AR35+AW35</f>
        <v>0</v>
      </c>
      <c r="CI35" s="703">
        <f t="shared" ref="CI35:CI37" si="669">(CB35+CE35+CG35+CH35)*0.1267</f>
        <v>101.36000000000001</v>
      </c>
      <c r="CJ35" s="242">
        <f t="shared" ref="CJ35" si="670">SUM(CB35:CI35)-CD35-CF35</f>
        <v>1301.3600000000001</v>
      </c>
      <c r="CK35" s="242">
        <f t="shared" ref="CK35:CK36" si="671">(($J35/30)*$M35)*R35</f>
        <v>0</v>
      </c>
      <c r="CL35" s="242">
        <f t="shared" ref="CL35:CL37" si="672">(($K35/30)*$M35)*$R35</f>
        <v>0</v>
      </c>
      <c r="CM35" s="242">
        <f t="shared" ref="CM35:CM36" si="673">+AK35</f>
        <v>0</v>
      </c>
      <c r="CN35" s="242">
        <f t="shared" ref="CN35:CN36" si="674">AL35</f>
        <v>0</v>
      </c>
      <c r="CO35" s="242">
        <f t="shared" ref="CO35:CO36" si="675">AM35</f>
        <v>0</v>
      </c>
      <c r="CP35" s="242">
        <f t="shared" ref="CP35:CP36" si="676">AN35</f>
        <v>0</v>
      </c>
      <c r="CQ35" s="242">
        <f t="shared" ref="CQ35:CQ36" si="677">AS35+AX35</f>
        <v>0</v>
      </c>
      <c r="CR35" s="242">
        <f t="shared" ref="CR35:CR36" si="678">(CK35+CN35+CP35)*0.1267</f>
        <v>0</v>
      </c>
      <c r="CS35" s="243">
        <f t="shared" ref="CS35:CS36" si="679">SUM(CK35:CR35)-CM35-CO35</f>
        <v>0</v>
      </c>
      <c r="CU35" s="201" t="s">
        <v>11</v>
      </c>
      <c r="CV35" s="203">
        <f t="shared" ref="CV35:CV37" si="680">IF($CU35="PROQUIMA",$BA35+$BJ35+$BS35+$CB35+$CK35,0)</f>
        <v>0</v>
      </c>
      <c r="CW35" s="203">
        <f t="shared" ref="CW35:CW37" si="681">IF($CU35="PROQUIMA",$BB35+$BK35+$BT35+$CC35+$CL35,0)</f>
        <v>0</v>
      </c>
      <c r="CX35" s="203">
        <f t="shared" ref="CX35:CX37" si="682">IF($CU35="PROQUIMA",$BC35+$BL35+$BU35+$CD35+$CM35,0)</f>
        <v>0</v>
      </c>
      <c r="CY35" s="203">
        <f t="shared" ref="CY35:CY37" si="683">IF($CU35="PROQUIMA",$BD35+$BM35+$BV35+$CE35+$CN35,0)</f>
        <v>0</v>
      </c>
      <c r="CZ35" s="203">
        <f t="shared" ref="CZ35:CZ37" si="684">IF($CU35="PROQUIMA",$BE35+$BN35+$BW35+$CF35+$CO35,0)</f>
        <v>0</v>
      </c>
      <c r="DA35" s="203">
        <f t="shared" ref="DA35:DA37" si="685">IF($CU35="PROQUIMA",$BF35+$BO35+$BX35+$CG35+$CP35,0)</f>
        <v>0</v>
      </c>
      <c r="DB35" s="203">
        <f t="shared" ref="DB35:DB37" si="686">IF($CU35="PROQUIMA",$BG35+$BP35+$BY35+$CH35+$CQ35,0)</f>
        <v>0</v>
      </c>
      <c r="DC35" s="203">
        <f t="shared" ref="DC35:DC36" si="687">IF($CU35="PROQUIMA",$BH35+$BQ35+$BZ35+$CI35+CR35,0)</f>
        <v>0</v>
      </c>
      <c r="DD35" s="203">
        <f t="shared" ref="DD35:DD36" si="688">SUM(CV35:DC35)-CX35-CZ35</f>
        <v>0</v>
      </c>
      <c r="DE35" s="203">
        <f t="shared" ref="DE35:DE37" si="689">IF($CU35="UNHESA",$BA35+$BJ35+$BS35+$CB35+$CK35,0)</f>
        <v>0</v>
      </c>
      <c r="DF35" s="203">
        <f t="shared" ref="DF35:DF37" si="690">IF($CU35="UNHESA",$BB35+$BK35+$BT35+$CC35+$CL35,0)</f>
        <v>0</v>
      </c>
      <c r="DG35" s="203">
        <f t="shared" ref="DG35:DG37" si="691">IF($CU35="UNHESA",$BC35+$BL35+$BU35+$CD35+$CM35,0)</f>
        <v>0</v>
      </c>
      <c r="DH35" s="203">
        <f t="shared" ref="DH35:DH37" si="692">IF($CU35="UNHESA",$BD35+$BM35+$BV35+$CE35+$CN35,0)</f>
        <v>0</v>
      </c>
      <c r="DI35" s="203">
        <f t="shared" ref="DI35:DI37" si="693">IF($CU35="UNHESA",$BE35+$BN35+$BW35+$CF35+$CO35,0)</f>
        <v>0</v>
      </c>
      <c r="DJ35" s="203">
        <f t="shared" ref="DJ35:DJ37" si="694">IF($CU35="UNHESA",$BF35+$BO35+$BX35+$CG35+$CP35,0)</f>
        <v>0</v>
      </c>
      <c r="DK35" s="203">
        <f t="shared" ref="DK35:DK37" si="695">IF($CU35="UNHESA",$BG35+$BP35+$BY35+$CH35+$CQ35,0)</f>
        <v>0</v>
      </c>
      <c r="DL35" s="203">
        <f t="shared" ref="DL35:DL37" si="696">IF($CU35="UNHESA",$BH35+$BQ35+$BZ35+$CI35+$CR35,0)</f>
        <v>0</v>
      </c>
      <c r="DM35" s="203">
        <f t="shared" ref="DM35" si="697">SUM(DE35:DL35)-DG35-DI35</f>
        <v>0</v>
      </c>
      <c r="DN35" s="203">
        <f t="shared" ref="DN35:DN37" si="698">IF($CU35="UNHESA LIQUIDOS",$BA35+$BJ35+$BS35+$CB35+$CK35,0)</f>
        <v>0</v>
      </c>
      <c r="DO35" s="203">
        <f t="shared" ref="DO35:DO37" si="699">IF($CU35="CALIDUL",$BB35+$BK35+$BT35+$CC35+$CL35,0)</f>
        <v>0</v>
      </c>
      <c r="DP35" s="203">
        <f t="shared" ref="DP35:DP37" si="700">IF($CU35="CALIDUL",$BC35+$BL35+$BU35+$CD35+$CM35,0)</f>
        <v>0</v>
      </c>
      <c r="DQ35" s="203">
        <f t="shared" ref="DQ35:DQ37" si="701">IF($CU35="CALIDUL",$BD35+$BM35+$BV35+$CE35+$CN35,0)</f>
        <v>0</v>
      </c>
      <c r="DR35" s="203">
        <f t="shared" ref="DR35:DR37" si="702">IF($CU35="CALIDUL",$BE35+$BN35+$BW35+$CF35+$CO35,0)</f>
        <v>0</v>
      </c>
      <c r="DS35" s="203">
        <f t="shared" ref="DS35:DS37" si="703">IF($CU35="CALIDUL",$BF35+$BO35+$BX35+$CG35+$CP35,0)</f>
        <v>0</v>
      </c>
      <c r="DT35" s="203">
        <f t="shared" ref="DT35:DT37" si="704">IF($CU35="CALIDUL",$BG35+$BP35+$BY35+$CH35+$CQ35,0)</f>
        <v>0</v>
      </c>
      <c r="DU35" s="203">
        <f t="shared" ref="DU35:DU37" si="705">IF($CU35="CALIDUL",$BH35+$BQ35+$BZ35+$CI35+$CR35,0)</f>
        <v>0</v>
      </c>
      <c r="DV35" s="203">
        <f t="shared" ref="DV35" si="706">SUM(DN35:DU35)-DP35-DR35</f>
        <v>0</v>
      </c>
      <c r="DW35" s="241">
        <f>IF($CU35="CLEARTEC",$BA35+$BJ35+$BS35+$CB35+$CK35,0)</f>
        <v>0</v>
      </c>
      <c r="DX35" s="241">
        <f t="shared" ref="DX35:ED37" si="707">IF($CU35="CLEARTEC",$BA35+$BJ35+$BS35+$CB35+$CK35,0)</f>
        <v>0</v>
      </c>
      <c r="DY35" s="241">
        <f t="shared" si="707"/>
        <v>0</v>
      </c>
      <c r="DZ35" s="241">
        <f t="shared" si="707"/>
        <v>0</v>
      </c>
      <c r="EA35" s="241">
        <f t="shared" si="707"/>
        <v>0</v>
      </c>
      <c r="EB35" s="241">
        <f t="shared" si="707"/>
        <v>0</v>
      </c>
      <c r="EC35" s="241">
        <f t="shared" si="707"/>
        <v>0</v>
      </c>
      <c r="ED35" s="241">
        <f t="shared" si="707"/>
        <v>0</v>
      </c>
      <c r="EE35" s="242">
        <f t="shared" ref="EE35:EE36" si="708">SUM(DW35:ED35)-DY35-EA35</f>
        <v>0</v>
      </c>
      <c r="EF35" s="203">
        <f t="shared" ref="EF35:EF36" si="709">IF(CU35="ECONACIONAL",$BA35+$BJ35+$BS35+$CB35+$CK35)</f>
        <v>8000</v>
      </c>
      <c r="EG35" s="242">
        <f t="shared" ref="EG35:EG37" si="710">IF($CU35="ECONACIONAL",$BB35+$BK35+$BT35+$CC35+$CL35,0)</f>
        <v>4000</v>
      </c>
      <c r="EH35" s="203">
        <f t="shared" ref="EH35:EH36" si="711">IF(CU35="ECONACIONAL",$BC35+$BL35+$BU35+$CD35+$CM35)</f>
        <v>0</v>
      </c>
      <c r="EI35" s="203">
        <f t="shared" ref="EI35:EI36" si="712">IF(CU35="ECONACIONAL",$BD35+$DH35+$DQ35+$DZ35+BM35+BV35+CE35+CN35)</f>
        <v>0</v>
      </c>
      <c r="EJ35" s="242">
        <f t="shared" ref="EJ35:EJ37" si="713">IF($CU35="CLEARTEC",$BE35+$BN35+$BW35+$CF35+$CO35,0)</f>
        <v>0</v>
      </c>
      <c r="EK35" s="203">
        <f t="shared" ref="EK35:EK36" si="714">IF(CU35="ECONACIONAL",$BF35+$BO35+$BX35+$CG35+$CP35)</f>
        <v>0</v>
      </c>
      <c r="EL35" s="203">
        <f t="shared" ref="EL35:EL36" si="715">IF(CU35="ECONACIONAL",$BG35+$BP35+$BY35+$CH35+$CQ35)</f>
        <v>0</v>
      </c>
      <c r="EM35" s="203">
        <f t="shared" ref="EM35:EM36" si="716">IF(CU35="ECONACIONAL",BH35+BQ35+BZ35+CI35+CR35)</f>
        <v>1013.6000000000003</v>
      </c>
      <c r="EN35" s="203">
        <f t="shared" ref="EN35:EN36" si="717">SUM(EF35:EM35)-EH35-EJ35</f>
        <v>13013.6</v>
      </c>
      <c r="EP35" s="786">
        <v>358.88</v>
      </c>
      <c r="EQ35" s="201"/>
      <c r="ER35" s="201"/>
      <c r="ES35" s="201"/>
      <c r="ET35" s="201"/>
      <c r="EU35" s="201"/>
      <c r="EV35" s="200">
        <v>350</v>
      </c>
      <c r="EW35" s="201"/>
      <c r="EX35" s="201"/>
      <c r="EY35" s="201">
        <f>+ET35+EU35+EV35</f>
        <v>350</v>
      </c>
      <c r="EZ35" s="821"/>
      <c r="FA35" s="207">
        <f t="shared" ref="FA35:FA36" si="718">IF($M35&lt;=15,EP35/2,EP35)</f>
        <v>358.88</v>
      </c>
      <c r="FB35" s="207">
        <f t="shared" ref="FB35:FB36" si="719">IF($M35&lt;=15,EQ35/2,EQ35)</f>
        <v>0</v>
      </c>
      <c r="FC35" s="207">
        <f t="shared" ref="FC35:FC36" si="720">IF($M35&lt;=15,ER35/2,ER35)</f>
        <v>0</v>
      </c>
      <c r="FD35" s="207">
        <f t="shared" ref="FD35:FD36" si="721">IF($M35&lt;=15,ES35/2,ES35)</f>
        <v>0</v>
      </c>
      <c r="FE35" s="207">
        <f t="shared" ref="FE35:FE36" si="722">IF($M35&lt;=15,ET35/2,ET35)</f>
        <v>0</v>
      </c>
      <c r="FF35" s="207">
        <f t="shared" ref="FF35:FF36" si="723">IF($M35&lt;=15,EU35/2,EU35)</f>
        <v>0</v>
      </c>
      <c r="FG35" s="207">
        <f>IF($M35&lt;=15,EV35/2,EV35)</f>
        <v>350</v>
      </c>
      <c r="FH35" s="207">
        <f t="shared" ref="FH35:FH36" si="724">IF($M35&lt;=15,EW35/2,EW35)</f>
        <v>0</v>
      </c>
      <c r="FI35" s="207">
        <f t="shared" ref="FI35:FI36" si="725">IF($M35&lt;=15,EX35/2,EX35)</f>
        <v>0</v>
      </c>
      <c r="FJ35" s="207">
        <f t="shared" ref="FJ35:FJ36" si="726">IF($M35&lt;=15,EY35/2,EY35)</f>
        <v>350</v>
      </c>
      <c r="FK35" s="217">
        <v>0.75</v>
      </c>
      <c r="FL35" s="217">
        <v>0.25</v>
      </c>
      <c r="FM35" s="217">
        <v>0</v>
      </c>
      <c r="FN35" s="217">
        <v>0</v>
      </c>
      <c r="FO35" s="217">
        <v>0</v>
      </c>
      <c r="FP35" s="217">
        <v>1</v>
      </c>
      <c r="FR35" s="1185">
        <f>(((J35/30/8)*1.5)*(U35+Y35+AC35))-(BD35+BM35+BV35)</f>
        <v>0</v>
      </c>
      <c r="FS35" s="1185">
        <f t="shared" ref="FS35:FS36" si="727">(((J35/30/8)*2)*(W35+AA35+AE35))-(BF35+BO35+BX35)</f>
        <v>0</v>
      </c>
      <c r="FT35" s="1186">
        <f>(SUM(BA35:CJ35))-(SUM(EF35:EN35))</f>
        <v>0</v>
      </c>
      <c r="FU35" s="1185">
        <f>(J35/30*M35)-(EF35)</f>
        <v>0</v>
      </c>
      <c r="FV35" s="1187">
        <f>(SUM(EP35:EY35))-((SUM(FA35:FJ35))*$FV$5)</f>
        <v>-1058.8800000000001</v>
      </c>
    </row>
    <row r="36" spans="1:178" s="216" customFormat="1" ht="15" customHeight="1" outlineLevel="1">
      <c r="A36" s="1006"/>
      <c r="B36" s="1006"/>
      <c r="C36" s="1007"/>
      <c r="D36" s="235"/>
      <c r="E36" s="235">
        <v>105010</v>
      </c>
      <c r="F36" s="268"/>
      <c r="G36" s="199" t="s">
        <v>759</v>
      </c>
      <c r="H36" s="200" t="s">
        <v>760</v>
      </c>
      <c r="I36" s="201" t="s">
        <v>11</v>
      </c>
      <c r="J36" s="203">
        <v>4200</v>
      </c>
      <c r="K36" s="203">
        <v>250</v>
      </c>
      <c r="L36" s="202">
        <f t="shared" si="624"/>
        <v>4450</v>
      </c>
      <c r="M36" s="203">
        <v>30</v>
      </c>
      <c r="N36" s="204">
        <v>0.5</v>
      </c>
      <c r="O36" s="204">
        <v>0.5</v>
      </c>
      <c r="P36" s="204">
        <v>0</v>
      </c>
      <c r="Q36" s="204">
        <v>0</v>
      </c>
      <c r="R36" s="820">
        <v>0</v>
      </c>
      <c r="S36" s="204">
        <f t="shared" ref="S36" si="728">SUM(N36:R36)</f>
        <v>1</v>
      </c>
      <c r="T36" s="205"/>
      <c r="U36" s="207"/>
      <c r="V36" s="203">
        <f t="shared" si="626"/>
        <v>0</v>
      </c>
      <c r="W36" s="207"/>
      <c r="X36" s="203">
        <f t="shared" si="627"/>
        <v>0</v>
      </c>
      <c r="Y36" s="207"/>
      <c r="Z36" s="203">
        <f t="shared" si="628"/>
        <v>0</v>
      </c>
      <c r="AA36" s="207"/>
      <c r="AB36" s="203">
        <f t="shared" si="629"/>
        <v>0</v>
      </c>
      <c r="AC36" s="207"/>
      <c r="AD36" s="203">
        <f t="shared" si="630"/>
        <v>0</v>
      </c>
      <c r="AE36" s="208"/>
      <c r="AF36" s="203">
        <f t="shared" si="631"/>
        <v>0</v>
      </c>
      <c r="AG36" s="208"/>
      <c r="AH36" s="203">
        <f t="shared" si="632"/>
        <v>0</v>
      </c>
      <c r="AI36" s="208"/>
      <c r="AJ36" s="203">
        <f t="shared" si="633"/>
        <v>0</v>
      </c>
      <c r="AK36" s="203"/>
      <c r="AL36" s="203">
        <f t="shared" si="634"/>
        <v>0</v>
      </c>
      <c r="AM36" s="208"/>
      <c r="AN36" s="203">
        <f t="shared" si="635"/>
        <v>0</v>
      </c>
      <c r="AO36" s="203"/>
      <c r="AP36" s="203"/>
      <c r="AQ36" s="203"/>
      <c r="AR36" s="203"/>
      <c r="AS36" s="203"/>
      <c r="AT36" s="203"/>
      <c r="AU36" s="203"/>
      <c r="AV36" s="203"/>
      <c r="AW36" s="203"/>
      <c r="AX36" s="203"/>
      <c r="AY36" s="203"/>
      <c r="AZ36" s="201"/>
      <c r="BA36" s="203">
        <f t="shared" si="636"/>
        <v>2100</v>
      </c>
      <c r="BB36" s="203">
        <f>((K36/30)*M36)*$N36</f>
        <v>125.00000000000001</v>
      </c>
      <c r="BC36" s="203">
        <f t="shared" si="637"/>
        <v>0</v>
      </c>
      <c r="BD36" s="203">
        <f t="shared" si="638"/>
        <v>0</v>
      </c>
      <c r="BE36" s="203">
        <f t="shared" si="639"/>
        <v>0</v>
      </c>
      <c r="BF36" s="203">
        <f t="shared" si="640"/>
        <v>0</v>
      </c>
      <c r="BG36" s="203">
        <f t="shared" si="641"/>
        <v>0</v>
      </c>
      <c r="BH36" s="203">
        <f t="shared" ref="BH36" si="729">(BA36+BD36+BF36+BG36)*0.1267</f>
        <v>266.07</v>
      </c>
      <c r="BI36" s="203">
        <f t="shared" ref="BI36" si="730">SUM(BA36:BH36)-BC36-BE36</f>
        <v>2491.0700000000002</v>
      </c>
      <c r="BJ36" s="203">
        <f t="shared" si="644"/>
        <v>2100</v>
      </c>
      <c r="BK36" s="203">
        <f t="shared" si="645"/>
        <v>125.00000000000001</v>
      </c>
      <c r="BL36" s="203">
        <f t="shared" si="646"/>
        <v>0</v>
      </c>
      <c r="BM36" s="203">
        <f t="shared" si="647"/>
        <v>0</v>
      </c>
      <c r="BN36" s="203">
        <f t="shared" si="648"/>
        <v>0</v>
      </c>
      <c r="BO36" s="203">
        <f t="shared" si="649"/>
        <v>0</v>
      </c>
      <c r="BP36" s="203">
        <f t="shared" si="650"/>
        <v>0</v>
      </c>
      <c r="BQ36" s="203">
        <f t="shared" ref="BQ36" si="731">(+BJ36+BM36+BO36+BP36)*0.1267</f>
        <v>266.07</v>
      </c>
      <c r="BR36" s="202">
        <f t="shared" ref="BR36" si="732">SUM(BJ36:BQ36)-BL36-BN36</f>
        <v>2491.0700000000002</v>
      </c>
      <c r="BS36" s="203">
        <f t="shared" si="653"/>
        <v>0</v>
      </c>
      <c r="BT36" s="203">
        <f t="shared" si="654"/>
        <v>0</v>
      </c>
      <c r="BU36" s="203">
        <f t="shared" si="655"/>
        <v>0</v>
      </c>
      <c r="BV36" s="203">
        <f t="shared" si="656"/>
        <v>0</v>
      </c>
      <c r="BW36" s="203">
        <f t="shared" si="657"/>
        <v>0</v>
      </c>
      <c r="BX36" s="203">
        <f t="shared" si="658"/>
        <v>0</v>
      </c>
      <c r="BY36" s="203">
        <f t="shared" si="659"/>
        <v>0</v>
      </c>
      <c r="BZ36" s="203">
        <f t="shared" ref="BZ36" si="733">(BS36+BV36+BX36+BY36)*0.1267</f>
        <v>0</v>
      </c>
      <c r="CA36" s="203">
        <f t="shared" ref="CA36" si="734">SUM(BS36:BZ36)-BU36-BW36</f>
        <v>0</v>
      </c>
      <c r="CB36" s="241">
        <f t="shared" si="662"/>
        <v>0</v>
      </c>
      <c r="CC36" s="242">
        <f t="shared" si="663"/>
        <v>0</v>
      </c>
      <c r="CD36" s="242">
        <f t="shared" si="664"/>
        <v>0</v>
      </c>
      <c r="CE36" s="242">
        <f t="shared" si="665"/>
        <v>0</v>
      </c>
      <c r="CF36" s="242">
        <f t="shared" si="666"/>
        <v>0</v>
      </c>
      <c r="CG36" s="242">
        <f t="shared" si="667"/>
        <v>0</v>
      </c>
      <c r="CH36" s="242">
        <f t="shared" si="668"/>
        <v>0</v>
      </c>
      <c r="CI36" s="703">
        <f t="shared" ref="CI36" si="735">(CB36+CE36+CG36+CH36)*0.1267</f>
        <v>0</v>
      </c>
      <c r="CJ36" s="242">
        <f t="shared" ref="CJ36" si="736">SUM(CB36:CI36)-CD36-CF36</f>
        <v>0</v>
      </c>
      <c r="CK36" s="242">
        <f t="shared" si="671"/>
        <v>0</v>
      </c>
      <c r="CL36" s="242">
        <f t="shared" si="672"/>
        <v>0</v>
      </c>
      <c r="CM36" s="242">
        <f t="shared" si="673"/>
        <v>0</v>
      </c>
      <c r="CN36" s="242">
        <f t="shared" si="674"/>
        <v>0</v>
      </c>
      <c r="CO36" s="242">
        <f t="shared" si="675"/>
        <v>0</v>
      </c>
      <c r="CP36" s="242">
        <f t="shared" si="676"/>
        <v>0</v>
      </c>
      <c r="CQ36" s="242">
        <f t="shared" si="677"/>
        <v>0</v>
      </c>
      <c r="CR36" s="242">
        <f t="shared" si="678"/>
        <v>0</v>
      </c>
      <c r="CS36" s="243">
        <f t="shared" si="679"/>
        <v>0</v>
      </c>
      <c r="CU36" s="201" t="s">
        <v>11</v>
      </c>
      <c r="CV36" s="203">
        <f t="shared" si="680"/>
        <v>0</v>
      </c>
      <c r="CW36" s="203">
        <f t="shared" si="681"/>
        <v>0</v>
      </c>
      <c r="CX36" s="203">
        <f t="shared" si="682"/>
        <v>0</v>
      </c>
      <c r="CY36" s="203">
        <f t="shared" si="683"/>
        <v>0</v>
      </c>
      <c r="CZ36" s="203">
        <f t="shared" si="684"/>
        <v>0</v>
      </c>
      <c r="DA36" s="203">
        <f t="shared" si="685"/>
        <v>0</v>
      </c>
      <c r="DB36" s="203">
        <f t="shared" si="686"/>
        <v>0</v>
      </c>
      <c r="DC36" s="203">
        <f t="shared" si="687"/>
        <v>0</v>
      </c>
      <c r="DD36" s="203">
        <f t="shared" si="688"/>
        <v>0</v>
      </c>
      <c r="DE36" s="203">
        <f t="shared" si="689"/>
        <v>0</v>
      </c>
      <c r="DF36" s="203">
        <f t="shared" si="690"/>
        <v>0</v>
      </c>
      <c r="DG36" s="203">
        <f t="shared" si="691"/>
        <v>0</v>
      </c>
      <c r="DH36" s="203">
        <f t="shared" si="692"/>
        <v>0</v>
      </c>
      <c r="DI36" s="203">
        <f t="shared" si="693"/>
        <v>0</v>
      </c>
      <c r="DJ36" s="203">
        <f t="shared" si="694"/>
        <v>0</v>
      </c>
      <c r="DK36" s="203">
        <f t="shared" si="695"/>
        <v>0</v>
      </c>
      <c r="DL36" s="203">
        <f t="shared" si="696"/>
        <v>0</v>
      </c>
      <c r="DM36" s="203">
        <f t="shared" ref="DM36" si="737">SUM(DE36:DL36)-DG36-DI36</f>
        <v>0</v>
      </c>
      <c r="DN36" s="203">
        <f t="shared" si="698"/>
        <v>0</v>
      </c>
      <c r="DO36" s="203">
        <f t="shared" si="699"/>
        <v>0</v>
      </c>
      <c r="DP36" s="203">
        <f t="shared" si="700"/>
        <v>0</v>
      </c>
      <c r="DQ36" s="203">
        <f t="shared" si="701"/>
        <v>0</v>
      </c>
      <c r="DR36" s="203">
        <f t="shared" si="702"/>
        <v>0</v>
      </c>
      <c r="DS36" s="203">
        <f t="shared" si="703"/>
        <v>0</v>
      </c>
      <c r="DT36" s="203">
        <f t="shared" si="704"/>
        <v>0</v>
      </c>
      <c r="DU36" s="203">
        <f t="shared" si="705"/>
        <v>0</v>
      </c>
      <c r="DV36" s="203">
        <f t="shared" ref="DV36" si="738">SUM(DN36:DU36)-DP36-DR36</f>
        <v>0</v>
      </c>
      <c r="DW36" s="241">
        <f>IF($CU36="CLEARTEC",$BA36+$BJ36+$BS36+$CB36+$CK36,0)</f>
        <v>0</v>
      </c>
      <c r="DX36" s="241">
        <f t="shared" si="707"/>
        <v>0</v>
      </c>
      <c r="DY36" s="241">
        <f t="shared" si="707"/>
        <v>0</v>
      </c>
      <c r="DZ36" s="241">
        <f t="shared" si="707"/>
        <v>0</v>
      </c>
      <c r="EA36" s="241">
        <f t="shared" si="707"/>
        <v>0</v>
      </c>
      <c r="EB36" s="241">
        <f t="shared" si="707"/>
        <v>0</v>
      </c>
      <c r="EC36" s="241">
        <f t="shared" si="707"/>
        <v>0</v>
      </c>
      <c r="ED36" s="241">
        <f t="shared" si="707"/>
        <v>0</v>
      </c>
      <c r="EE36" s="242">
        <f t="shared" si="708"/>
        <v>0</v>
      </c>
      <c r="EF36" s="203">
        <f t="shared" si="709"/>
        <v>4200</v>
      </c>
      <c r="EG36" s="242">
        <f t="shared" si="710"/>
        <v>250.00000000000003</v>
      </c>
      <c r="EH36" s="203">
        <f t="shared" si="711"/>
        <v>0</v>
      </c>
      <c r="EI36" s="203">
        <f t="shared" si="712"/>
        <v>0</v>
      </c>
      <c r="EJ36" s="242">
        <f t="shared" si="713"/>
        <v>0</v>
      </c>
      <c r="EK36" s="203">
        <f t="shared" si="714"/>
        <v>0</v>
      </c>
      <c r="EL36" s="203">
        <f t="shared" si="715"/>
        <v>0</v>
      </c>
      <c r="EM36" s="203">
        <f t="shared" si="716"/>
        <v>532.14</v>
      </c>
      <c r="EN36" s="203">
        <f t="shared" si="717"/>
        <v>4982.1400000000003</v>
      </c>
      <c r="EP36" s="201"/>
      <c r="EQ36" s="201"/>
      <c r="ER36" s="201"/>
      <c r="ES36" s="201"/>
      <c r="ET36" s="201">
        <v>45</v>
      </c>
      <c r="EU36" s="201"/>
      <c r="EV36" s="201"/>
      <c r="EW36" s="201"/>
      <c r="EX36" s="201"/>
      <c r="EY36" s="201">
        <f>+ET36+EU36+EV36</f>
        <v>45</v>
      </c>
      <c r="EZ36" s="821"/>
      <c r="FA36" s="207">
        <f t="shared" si="718"/>
        <v>0</v>
      </c>
      <c r="FB36" s="207">
        <f t="shared" si="719"/>
        <v>0</v>
      </c>
      <c r="FC36" s="207">
        <f t="shared" si="720"/>
        <v>0</v>
      </c>
      <c r="FD36" s="207">
        <f t="shared" si="721"/>
        <v>0</v>
      </c>
      <c r="FE36" s="207">
        <f t="shared" si="722"/>
        <v>45</v>
      </c>
      <c r="FF36" s="207">
        <f t="shared" si="723"/>
        <v>0</v>
      </c>
      <c r="FG36" s="207">
        <f>IF($M36&lt;=15,EV36/2,EV36)</f>
        <v>0</v>
      </c>
      <c r="FH36" s="207">
        <f t="shared" si="724"/>
        <v>0</v>
      </c>
      <c r="FI36" s="207">
        <f t="shared" si="725"/>
        <v>0</v>
      </c>
      <c r="FJ36" s="207">
        <f t="shared" si="726"/>
        <v>45</v>
      </c>
      <c r="FK36" s="217">
        <v>0.75</v>
      </c>
      <c r="FL36" s="217">
        <v>0.25</v>
      </c>
      <c r="FM36" s="217">
        <v>0</v>
      </c>
      <c r="FN36" s="217">
        <v>0</v>
      </c>
      <c r="FO36" s="217">
        <v>0</v>
      </c>
      <c r="FP36" s="217">
        <v>1</v>
      </c>
      <c r="FR36" s="1185">
        <f>(((J36/30/8)*1.5)*(U36+Y36+AC36))-(BD36+BM36+BV36)</f>
        <v>0</v>
      </c>
      <c r="FS36" s="1185">
        <f t="shared" si="727"/>
        <v>0</v>
      </c>
      <c r="FT36" s="1186">
        <f>(SUM(BA36:CJ36))-(SUM(EF36:EN36))</f>
        <v>0</v>
      </c>
      <c r="FU36" s="1185">
        <f>(J36/30*M36)-(EF36)</f>
        <v>0</v>
      </c>
      <c r="FV36" s="1187">
        <f>(SUM(EP36:EY36))-((SUM(FA36:FJ36))*$FV$5)</f>
        <v>-90</v>
      </c>
    </row>
    <row r="37" spans="1:178" s="216" customFormat="1" ht="15" customHeight="1" outlineLevel="1">
      <c r="A37" s="1006"/>
      <c r="B37" s="1006"/>
      <c r="C37" s="1007"/>
      <c r="D37" s="235"/>
      <c r="E37" s="235">
        <v>105010</v>
      </c>
      <c r="F37" s="268"/>
      <c r="G37" s="199" t="s">
        <v>753</v>
      </c>
      <c r="H37" s="200" t="s">
        <v>754</v>
      </c>
      <c r="I37" s="201" t="s">
        <v>11</v>
      </c>
      <c r="J37" s="203">
        <v>4500</v>
      </c>
      <c r="K37" s="203">
        <v>500</v>
      </c>
      <c r="L37" s="202">
        <f t="shared" ref="L37" si="739">+J37+K37</f>
        <v>5000</v>
      </c>
      <c r="M37" s="203">
        <v>30</v>
      </c>
      <c r="N37" s="204">
        <v>0.5</v>
      </c>
      <c r="O37" s="204">
        <v>0.4</v>
      </c>
      <c r="P37" s="204">
        <v>0.1</v>
      </c>
      <c r="Q37" s="204">
        <v>0</v>
      </c>
      <c r="R37" s="820">
        <v>0</v>
      </c>
      <c r="S37" s="204">
        <f t="shared" ref="S37" si="740">SUM(N37:R37)</f>
        <v>1</v>
      </c>
      <c r="T37" s="205"/>
      <c r="U37" s="207"/>
      <c r="V37" s="203">
        <f t="shared" ref="V37" si="741">($J37/30/8*1.5)*U37</f>
        <v>0</v>
      </c>
      <c r="W37" s="207"/>
      <c r="X37" s="203">
        <f t="shared" ref="X37" si="742">($J37/30/8*2)*W37</f>
        <v>0</v>
      </c>
      <c r="Y37" s="207"/>
      <c r="Z37" s="203">
        <f t="shared" ref="Z37" si="743">($J37/30/8*1.5)*Y37</f>
        <v>0</v>
      </c>
      <c r="AA37" s="207"/>
      <c r="AB37" s="203">
        <f t="shared" ref="AB37" si="744">($J37/30/8*2)*AA37</f>
        <v>0</v>
      </c>
      <c r="AC37" s="207"/>
      <c r="AD37" s="203">
        <f t="shared" ref="AD37" si="745">(($J37/30/8)*1.5)*AC37</f>
        <v>0</v>
      </c>
      <c r="AE37" s="208"/>
      <c r="AF37" s="203">
        <f t="shared" ref="AF37" si="746">(($J37/30/8)*2)*AE37</f>
        <v>0</v>
      </c>
      <c r="AG37" s="208"/>
      <c r="AH37" s="203">
        <f t="shared" ref="AH37" si="747">(($J37/30/8)*1.5)*AG37</f>
        <v>0</v>
      </c>
      <c r="AI37" s="208"/>
      <c r="AJ37" s="203">
        <f t="shared" ref="AJ37" si="748">(($J37/30/8)*2)*AI37</f>
        <v>0</v>
      </c>
      <c r="AK37" s="203"/>
      <c r="AL37" s="203">
        <f t="shared" ref="AL37" si="749">(($J37/30/8)*1.5)*AK37</f>
        <v>0</v>
      </c>
      <c r="AM37" s="208"/>
      <c r="AN37" s="203">
        <f t="shared" ref="AN37" si="750">(($J37/30/8)*2)*AM37</f>
        <v>0</v>
      </c>
      <c r="AO37" s="203"/>
      <c r="AP37" s="203"/>
      <c r="AQ37" s="203"/>
      <c r="AR37" s="203"/>
      <c r="AS37" s="203"/>
      <c r="AT37" s="203"/>
      <c r="AU37" s="203"/>
      <c r="AV37" s="203"/>
      <c r="AW37" s="203"/>
      <c r="AX37" s="203"/>
      <c r="AY37" s="203"/>
      <c r="AZ37" s="201"/>
      <c r="BA37" s="203">
        <f t="shared" ref="BA37" si="751">((J37/30)*M37)*$N37</f>
        <v>2250</v>
      </c>
      <c r="BB37" s="203">
        <f>((K37/30)*M37)*$N37</f>
        <v>250.00000000000003</v>
      </c>
      <c r="BC37" s="203">
        <f t="shared" ref="BC37" si="752">U37</f>
        <v>0</v>
      </c>
      <c r="BD37" s="203">
        <f t="shared" ref="BD37" si="753">V37</f>
        <v>0</v>
      </c>
      <c r="BE37" s="203">
        <f t="shared" ref="BE37" si="754">W37</f>
        <v>0</v>
      </c>
      <c r="BF37" s="203">
        <f t="shared" ref="BF37" si="755">X37</f>
        <v>0</v>
      </c>
      <c r="BG37" s="203">
        <f t="shared" ref="BG37" si="756">AO37+AT37</f>
        <v>0</v>
      </c>
      <c r="BH37" s="203">
        <f t="shared" si="642"/>
        <v>285.07499999999999</v>
      </c>
      <c r="BI37" s="203">
        <f t="shared" ref="BI37" si="757">SUM(BA37:BH37)-BC37-BE37</f>
        <v>2785.0749999999998</v>
      </c>
      <c r="BJ37" s="203">
        <f t="shared" si="644"/>
        <v>1800</v>
      </c>
      <c r="BK37" s="203">
        <f t="shared" si="645"/>
        <v>200.00000000000003</v>
      </c>
      <c r="BL37" s="203">
        <f t="shared" ref="BL37" si="758">Y37</f>
        <v>0</v>
      </c>
      <c r="BM37" s="203">
        <f t="shared" ref="BM37" si="759">Z37</f>
        <v>0</v>
      </c>
      <c r="BN37" s="203">
        <f t="shared" ref="BN37" si="760">AA37</f>
        <v>0</v>
      </c>
      <c r="BO37" s="203">
        <f t="shared" ref="BO37" si="761">AB37</f>
        <v>0</v>
      </c>
      <c r="BP37" s="203">
        <f t="shared" ref="BP37" si="762">AP37+AU37</f>
        <v>0</v>
      </c>
      <c r="BQ37" s="203">
        <f t="shared" si="651"/>
        <v>228.06</v>
      </c>
      <c r="BR37" s="202">
        <f t="shared" ref="BR37" si="763">SUM(BJ37:BQ37)-BL37-BN37</f>
        <v>2228.06</v>
      </c>
      <c r="BS37" s="203">
        <f t="shared" si="653"/>
        <v>450</v>
      </c>
      <c r="BT37" s="203">
        <f t="shared" si="654"/>
        <v>50.000000000000007</v>
      </c>
      <c r="BU37" s="203">
        <f t="shared" ref="BU37" si="764">AC37</f>
        <v>0</v>
      </c>
      <c r="BV37" s="203">
        <f t="shared" ref="BV37" si="765">AD37</f>
        <v>0</v>
      </c>
      <c r="BW37" s="203">
        <f t="shared" ref="BW37" si="766">AE37</f>
        <v>0</v>
      </c>
      <c r="BX37" s="203">
        <f t="shared" ref="BX37" si="767">AF37</f>
        <v>0</v>
      </c>
      <c r="BY37" s="203">
        <f t="shared" ref="BY37" si="768">AQ37+AV37</f>
        <v>0</v>
      </c>
      <c r="BZ37" s="203">
        <f t="shared" si="660"/>
        <v>57.015000000000001</v>
      </c>
      <c r="CA37" s="203">
        <f t="shared" ref="CA37" si="769">SUM(BS37:BZ37)-BU37-BW37</f>
        <v>557.01499999999999</v>
      </c>
      <c r="CB37" s="241">
        <f t="shared" si="662"/>
        <v>0</v>
      </c>
      <c r="CC37" s="242">
        <f t="shared" si="663"/>
        <v>0</v>
      </c>
      <c r="CD37" s="242">
        <f t="shared" ref="CD37" si="770">AG37</f>
        <v>0</v>
      </c>
      <c r="CE37" s="242">
        <f t="shared" ref="CE37" si="771">AH37</f>
        <v>0</v>
      </c>
      <c r="CF37" s="242">
        <f t="shared" ref="CF37" si="772">AI37</f>
        <v>0</v>
      </c>
      <c r="CG37" s="242">
        <f t="shared" ref="CG37" si="773">AJ37</f>
        <v>0</v>
      </c>
      <c r="CH37" s="242">
        <f t="shared" ref="CH37" si="774">AR37+AW37</f>
        <v>0</v>
      </c>
      <c r="CI37" s="703">
        <f t="shared" si="669"/>
        <v>0</v>
      </c>
      <c r="CJ37" s="242">
        <f t="shared" ref="CJ37" si="775">SUM(CB37:CI37)-CD37-CF37</f>
        <v>0</v>
      </c>
      <c r="CK37" s="242">
        <f t="shared" ref="CK37" si="776">(($J37/30)*$M37)*R37</f>
        <v>0</v>
      </c>
      <c r="CL37" s="242">
        <f t="shared" si="672"/>
        <v>0</v>
      </c>
      <c r="CM37" s="242">
        <f t="shared" ref="CM37" si="777">+AK37</f>
        <v>0</v>
      </c>
      <c r="CN37" s="242">
        <f t="shared" ref="CN37" si="778">AL37</f>
        <v>0</v>
      </c>
      <c r="CO37" s="242">
        <f t="shared" ref="CO37" si="779">AM37</f>
        <v>0</v>
      </c>
      <c r="CP37" s="242">
        <f t="shared" ref="CP37" si="780">AN37</f>
        <v>0</v>
      </c>
      <c r="CQ37" s="242">
        <f t="shared" ref="CQ37" si="781">AS37+AX37</f>
        <v>0</v>
      </c>
      <c r="CR37" s="242">
        <f t="shared" ref="CR37" si="782">(CK37+CN37+CP37)*0.1267</f>
        <v>0</v>
      </c>
      <c r="CS37" s="243">
        <f t="shared" ref="CS37" si="783">SUM(CK37:CR37)-CM37-CO37</f>
        <v>0</v>
      </c>
      <c r="CU37" s="201" t="s">
        <v>11</v>
      </c>
      <c r="CV37" s="203">
        <f t="shared" si="680"/>
        <v>0</v>
      </c>
      <c r="CW37" s="203">
        <f t="shared" si="681"/>
        <v>0</v>
      </c>
      <c r="CX37" s="203">
        <f t="shared" si="682"/>
        <v>0</v>
      </c>
      <c r="CY37" s="203">
        <f t="shared" si="683"/>
        <v>0</v>
      </c>
      <c r="CZ37" s="203">
        <f t="shared" si="684"/>
        <v>0</v>
      </c>
      <c r="DA37" s="203">
        <f t="shared" si="685"/>
        <v>0</v>
      </c>
      <c r="DB37" s="203">
        <f t="shared" si="686"/>
        <v>0</v>
      </c>
      <c r="DC37" s="203">
        <f t="shared" ref="DC37" si="784">IF($CU37="PROQUIMA",$BH37+$BQ37+$BZ37+$CI37+CR37,0)</f>
        <v>0</v>
      </c>
      <c r="DD37" s="203">
        <f t="shared" ref="DD37" si="785">SUM(CV37:DC37)-CX37-CZ37</f>
        <v>0</v>
      </c>
      <c r="DE37" s="203">
        <f t="shared" si="689"/>
        <v>0</v>
      </c>
      <c r="DF37" s="203">
        <f t="shared" si="690"/>
        <v>0</v>
      </c>
      <c r="DG37" s="203">
        <f t="shared" si="691"/>
        <v>0</v>
      </c>
      <c r="DH37" s="203">
        <f t="shared" si="692"/>
        <v>0</v>
      </c>
      <c r="DI37" s="203">
        <f t="shared" si="693"/>
        <v>0</v>
      </c>
      <c r="DJ37" s="203">
        <f t="shared" si="694"/>
        <v>0</v>
      </c>
      <c r="DK37" s="203">
        <f t="shared" si="695"/>
        <v>0</v>
      </c>
      <c r="DL37" s="203">
        <f t="shared" si="696"/>
        <v>0</v>
      </c>
      <c r="DM37" s="203">
        <f t="shared" ref="DM37" si="786">SUM(DE37:DL37)-DG37-DI37</f>
        <v>0</v>
      </c>
      <c r="DN37" s="203">
        <f t="shared" si="698"/>
        <v>0</v>
      </c>
      <c r="DO37" s="203">
        <f t="shared" si="699"/>
        <v>0</v>
      </c>
      <c r="DP37" s="203">
        <f t="shared" si="700"/>
        <v>0</v>
      </c>
      <c r="DQ37" s="203">
        <f t="shared" si="701"/>
        <v>0</v>
      </c>
      <c r="DR37" s="203">
        <f t="shared" si="702"/>
        <v>0</v>
      </c>
      <c r="DS37" s="203">
        <f t="shared" si="703"/>
        <v>0</v>
      </c>
      <c r="DT37" s="203">
        <f t="shared" si="704"/>
        <v>0</v>
      </c>
      <c r="DU37" s="203">
        <f t="shared" si="705"/>
        <v>0</v>
      </c>
      <c r="DV37" s="203">
        <f t="shared" ref="DV37" si="787">SUM(DN37:DU37)-DP37-DR37</f>
        <v>0</v>
      </c>
      <c r="DW37" s="241">
        <f>IF($CU37="CLEARTEC",$BA37+$BJ37+$BS37+$CB37+$CK37,0)</f>
        <v>0</v>
      </c>
      <c r="DX37" s="241">
        <f t="shared" si="707"/>
        <v>0</v>
      </c>
      <c r="DY37" s="241">
        <f t="shared" si="707"/>
        <v>0</v>
      </c>
      <c r="DZ37" s="241">
        <f t="shared" si="707"/>
        <v>0</v>
      </c>
      <c r="EA37" s="241">
        <f t="shared" si="707"/>
        <v>0</v>
      </c>
      <c r="EB37" s="241">
        <f t="shared" si="707"/>
        <v>0</v>
      </c>
      <c r="EC37" s="241">
        <f t="shared" si="707"/>
        <v>0</v>
      </c>
      <c r="ED37" s="241">
        <f t="shared" si="707"/>
        <v>0</v>
      </c>
      <c r="EE37" s="242">
        <f t="shared" ref="EE37" si="788">SUM(DW37:ED37)-DY37-EA37</f>
        <v>0</v>
      </c>
      <c r="EF37" s="203">
        <f t="shared" ref="EF37" si="789">IF(CU37="ECONACIONAL",$BA37+$BJ37+$BS37+$CB37+$CK37)</f>
        <v>4500</v>
      </c>
      <c r="EG37" s="242">
        <f t="shared" si="710"/>
        <v>500.00000000000006</v>
      </c>
      <c r="EH37" s="203">
        <f t="shared" ref="EH37" si="790">IF(CU37="ECONACIONAL",$BC37+$BL37+$BU37+$CD37+$CM37)</f>
        <v>0</v>
      </c>
      <c r="EI37" s="203">
        <f t="shared" ref="EI37" si="791">IF(CU37="ECONACIONAL",$BD37+$DH37+$DQ37+$DZ37+BM37+BV37+CE37+CN37)</f>
        <v>0</v>
      </c>
      <c r="EJ37" s="242">
        <f t="shared" si="713"/>
        <v>0</v>
      </c>
      <c r="EK37" s="203">
        <f t="shared" ref="EK37" si="792">IF(CU37="ECONACIONAL",$BF37+$BO37+$BX37+$CG37+$CP37)</f>
        <v>0</v>
      </c>
      <c r="EL37" s="203">
        <f t="shared" ref="EL37" si="793">IF(CU37="ECONACIONAL",$BG37+$BP37+$BY37+$CH37+$CQ37)</f>
        <v>0</v>
      </c>
      <c r="EM37" s="203">
        <f t="shared" ref="EM37" si="794">IF(CU37="ECONACIONAL",BH37+BQ37+BZ37+CI37+CR37)</f>
        <v>570.15</v>
      </c>
      <c r="EN37" s="203">
        <f t="shared" ref="EN37" si="795">SUM(EF37:EM37)-EH37-EJ37</f>
        <v>5570.15</v>
      </c>
      <c r="EP37" s="201"/>
      <c r="EQ37" s="201"/>
      <c r="ER37" s="201"/>
      <c r="ES37" s="201"/>
      <c r="ET37" s="201">
        <v>140</v>
      </c>
      <c r="EU37" s="201"/>
      <c r="EV37" s="201"/>
      <c r="EW37" s="201"/>
      <c r="EX37" s="201"/>
      <c r="EY37" s="201">
        <f>+ET37+EU37+EV37</f>
        <v>140</v>
      </c>
      <c r="EZ37" s="821"/>
      <c r="FA37" s="207">
        <f t="shared" ref="FA37" si="796">IF($M37&lt;=15,EP37/2,EP37)</f>
        <v>0</v>
      </c>
      <c r="FB37" s="207">
        <f t="shared" ref="FB37" si="797">IF($M37&lt;=15,EQ37/2,EQ37)</f>
        <v>0</v>
      </c>
      <c r="FC37" s="207">
        <f t="shared" ref="FC37" si="798">IF($M37&lt;=15,ER37/2,ER37)</f>
        <v>0</v>
      </c>
      <c r="FD37" s="207">
        <f t="shared" ref="FD37" si="799">IF($M37&lt;=15,ES37/2,ES37)</f>
        <v>0</v>
      </c>
      <c r="FE37" s="207">
        <f t="shared" ref="FE37" si="800">IF($M37&lt;=15,ET37/2,ET37)</f>
        <v>140</v>
      </c>
      <c r="FF37" s="207">
        <f t="shared" ref="FF37" si="801">IF($M37&lt;=15,EU37/2,EU37)</f>
        <v>0</v>
      </c>
      <c r="FG37" s="207">
        <f>IF($M37&lt;=15,EV37/2,EV37)</f>
        <v>0</v>
      </c>
      <c r="FH37" s="207">
        <f t="shared" ref="FH37" si="802">IF($M37&lt;=15,EW37/2,EW37)</f>
        <v>0</v>
      </c>
      <c r="FI37" s="207">
        <f t="shared" ref="FI37" si="803">IF($M37&lt;=15,EX37/2,EX37)</f>
        <v>0</v>
      </c>
      <c r="FJ37" s="207">
        <f t="shared" ref="FJ37" si="804">IF($M37&lt;=15,EY37/2,EY37)</f>
        <v>140</v>
      </c>
      <c r="FK37" s="217">
        <v>0.75</v>
      </c>
      <c r="FL37" s="217">
        <v>0.25</v>
      </c>
      <c r="FM37" s="217">
        <v>0</v>
      </c>
      <c r="FN37" s="217">
        <v>0</v>
      </c>
      <c r="FO37" s="217">
        <v>0</v>
      </c>
      <c r="FP37" s="217">
        <v>1</v>
      </c>
      <c r="FR37" s="1185">
        <f>(((J37/30/8)*1.5)*(U37+Y37+AC37))-(BD37+BM37+BV37)</f>
        <v>0</v>
      </c>
      <c r="FS37" s="1185">
        <f t="shared" ref="FS37" si="805">(((J37/30/8)*2)*(W37+AA37+AE37))-(BF37+BO37+BX37)</f>
        <v>0</v>
      </c>
      <c r="FT37" s="1186">
        <f>(SUM(BA37:CJ37))-(SUM(EF37:EN37))</f>
        <v>0</v>
      </c>
      <c r="FU37" s="1185">
        <f>(J37/30*M37)-(EF37)</f>
        <v>0</v>
      </c>
      <c r="FV37" s="1187">
        <f>(SUM(EP37:EY37))-((SUM(FA37:FJ37))*$FV$5)</f>
        <v>-280</v>
      </c>
    </row>
    <row r="38" spans="1:178" s="798" customFormat="1" ht="15.75" customHeight="1" outlineLevel="1" thickBot="1">
      <c r="A38" s="1006"/>
      <c r="B38" s="1006"/>
      <c r="C38" s="1007"/>
      <c r="D38" s="801"/>
      <c r="E38" s="235"/>
      <c r="F38" s="801"/>
      <c r="G38" s="719"/>
      <c r="H38" s="717" t="s">
        <v>684</v>
      </c>
      <c r="I38" s="778"/>
      <c r="J38" s="982">
        <f>SUM(J35:J37)</f>
        <v>16700</v>
      </c>
      <c r="K38" s="982">
        <f>SUM(K35:K37)</f>
        <v>4750</v>
      </c>
      <c r="L38" s="982">
        <f>SUM(L35:L37)</f>
        <v>21450</v>
      </c>
      <c r="N38" s="799"/>
      <c r="O38" s="778"/>
      <c r="P38" s="778"/>
      <c r="Q38" s="778"/>
      <c r="R38" s="778"/>
      <c r="S38" s="778"/>
      <c r="T38" s="780"/>
      <c r="U38" s="982">
        <f t="shared" ref="U38:AZ38" si="806">SUM(U35:U37)</f>
        <v>0</v>
      </c>
      <c r="V38" s="982">
        <f t="shared" si="806"/>
        <v>0</v>
      </c>
      <c r="W38" s="982">
        <f t="shared" si="806"/>
        <v>0</v>
      </c>
      <c r="X38" s="982">
        <f t="shared" si="806"/>
        <v>0</v>
      </c>
      <c r="Y38" s="982">
        <f t="shared" si="806"/>
        <v>0</v>
      </c>
      <c r="Z38" s="982">
        <f t="shared" si="806"/>
        <v>0</v>
      </c>
      <c r="AA38" s="982">
        <f t="shared" si="806"/>
        <v>0</v>
      </c>
      <c r="AB38" s="982">
        <f t="shared" si="806"/>
        <v>0</v>
      </c>
      <c r="AC38" s="982">
        <f t="shared" si="806"/>
        <v>0</v>
      </c>
      <c r="AD38" s="982">
        <f t="shared" si="806"/>
        <v>0</v>
      </c>
      <c r="AE38" s="982">
        <f t="shared" si="806"/>
        <v>0</v>
      </c>
      <c r="AF38" s="982">
        <f t="shared" si="806"/>
        <v>0</v>
      </c>
      <c r="AG38" s="982">
        <f t="shared" si="806"/>
        <v>0</v>
      </c>
      <c r="AH38" s="982">
        <f t="shared" si="806"/>
        <v>0</v>
      </c>
      <c r="AI38" s="982">
        <f t="shared" si="806"/>
        <v>0</v>
      </c>
      <c r="AJ38" s="982">
        <f t="shared" si="806"/>
        <v>0</v>
      </c>
      <c r="AK38" s="982">
        <f t="shared" si="806"/>
        <v>0</v>
      </c>
      <c r="AL38" s="982">
        <f t="shared" si="806"/>
        <v>0</v>
      </c>
      <c r="AM38" s="982">
        <f t="shared" si="806"/>
        <v>0</v>
      </c>
      <c r="AN38" s="982">
        <f t="shared" si="806"/>
        <v>0</v>
      </c>
      <c r="AO38" s="982">
        <f t="shared" si="806"/>
        <v>0</v>
      </c>
      <c r="AP38" s="982">
        <f t="shared" si="806"/>
        <v>0</v>
      </c>
      <c r="AQ38" s="982">
        <f t="shared" si="806"/>
        <v>0</v>
      </c>
      <c r="AR38" s="982">
        <f t="shared" si="806"/>
        <v>0</v>
      </c>
      <c r="AS38" s="982">
        <f t="shared" si="806"/>
        <v>0</v>
      </c>
      <c r="AT38" s="982">
        <f t="shared" si="806"/>
        <v>0</v>
      </c>
      <c r="AU38" s="982">
        <f t="shared" si="806"/>
        <v>0</v>
      </c>
      <c r="AV38" s="982">
        <f t="shared" si="806"/>
        <v>0</v>
      </c>
      <c r="AW38" s="982">
        <f t="shared" si="806"/>
        <v>0</v>
      </c>
      <c r="AX38" s="982">
        <f t="shared" si="806"/>
        <v>0</v>
      </c>
      <c r="AY38" s="982">
        <f t="shared" si="806"/>
        <v>0</v>
      </c>
      <c r="AZ38" s="982">
        <f t="shared" si="806"/>
        <v>0</v>
      </c>
      <c r="BA38" s="982">
        <f>SUM(BA35:BA37)</f>
        <v>8350</v>
      </c>
      <c r="BB38" s="982">
        <f t="shared" ref="BB38:CF38" si="807">SUM(BB35:BB37)</f>
        <v>2375.0000000000005</v>
      </c>
      <c r="BC38" s="982">
        <f t="shared" si="807"/>
        <v>0</v>
      </c>
      <c r="BD38" s="982">
        <f t="shared" si="807"/>
        <v>0</v>
      </c>
      <c r="BE38" s="982">
        <f t="shared" si="807"/>
        <v>0</v>
      </c>
      <c r="BF38" s="982">
        <f t="shared" si="807"/>
        <v>0</v>
      </c>
      <c r="BG38" s="982">
        <f t="shared" si="807"/>
        <v>0</v>
      </c>
      <c r="BH38" s="982">
        <f t="shared" si="807"/>
        <v>1057.9450000000002</v>
      </c>
      <c r="BI38" s="982">
        <f t="shared" si="807"/>
        <v>11782.945</v>
      </c>
      <c r="BJ38" s="982">
        <f t="shared" si="807"/>
        <v>6700</v>
      </c>
      <c r="BK38" s="982">
        <f t="shared" si="807"/>
        <v>1725</v>
      </c>
      <c r="BL38" s="982">
        <f t="shared" si="807"/>
        <v>0</v>
      </c>
      <c r="BM38" s="982">
        <f t="shared" si="807"/>
        <v>0</v>
      </c>
      <c r="BN38" s="982">
        <f t="shared" si="807"/>
        <v>0</v>
      </c>
      <c r="BO38" s="982">
        <f t="shared" si="807"/>
        <v>0</v>
      </c>
      <c r="BP38" s="982">
        <f t="shared" si="807"/>
        <v>0</v>
      </c>
      <c r="BQ38" s="982">
        <f t="shared" si="807"/>
        <v>848.8900000000001</v>
      </c>
      <c r="BR38" s="982">
        <f t="shared" si="807"/>
        <v>9273.89</v>
      </c>
      <c r="BS38" s="982">
        <f t="shared" si="807"/>
        <v>850</v>
      </c>
      <c r="BT38" s="982">
        <f t="shared" si="807"/>
        <v>250.00000000000003</v>
      </c>
      <c r="BU38" s="982">
        <f t="shared" si="807"/>
        <v>0</v>
      </c>
      <c r="BV38" s="982">
        <f t="shared" si="807"/>
        <v>0</v>
      </c>
      <c r="BW38" s="982">
        <f t="shared" si="807"/>
        <v>0</v>
      </c>
      <c r="BX38" s="982">
        <f t="shared" si="807"/>
        <v>0</v>
      </c>
      <c r="BY38" s="982">
        <f t="shared" si="807"/>
        <v>0</v>
      </c>
      <c r="BZ38" s="982">
        <f t="shared" si="807"/>
        <v>107.69500000000001</v>
      </c>
      <c r="CA38" s="982">
        <f t="shared" si="807"/>
        <v>1207.6950000000002</v>
      </c>
      <c r="CB38" s="982">
        <f t="shared" si="807"/>
        <v>800.00000000000011</v>
      </c>
      <c r="CC38" s="982">
        <f t="shared" si="807"/>
        <v>400.00000000000006</v>
      </c>
      <c r="CD38" s="982">
        <f t="shared" si="807"/>
        <v>0</v>
      </c>
      <c r="CE38" s="982">
        <f t="shared" si="807"/>
        <v>0</v>
      </c>
      <c r="CF38" s="982">
        <f t="shared" si="807"/>
        <v>0</v>
      </c>
      <c r="CG38" s="982">
        <f t="shared" ref="CG38:DL38" si="808">SUM(CG35:CG37)</f>
        <v>0</v>
      </c>
      <c r="CH38" s="982">
        <f t="shared" si="808"/>
        <v>0</v>
      </c>
      <c r="CI38" s="982">
        <f t="shared" si="808"/>
        <v>101.36000000000001</v>
      </c>
      <c r="CJ38" s="982">
        <f t="shared" si="808"/>
        <v>1301.3600000000001</v>
      </c>
      <c r="CK38" s="982">
        <f t="shared" si="808"/>
        <v>0</v>
      </c>
      <c r="CL38" s="982">
        <f t="shared" si="808"/>
        <v>0</v>
      </c>
      <c r="CM38" s="982">
        <f t="shared" si="808"/>
        <v>0</v>
      </c>
      <c r="CN38" s="982">
        <f t="shared" si="808"/>
        <v>0</v>
      </c>
      <c r="CO38" s="982">
        <f t="shared" si="808"/>
        <v>0</v>
      </c>
      <c r="CP38" s="982">
        <f t="shared" si="808"/>
        <v>0</v>
      </c>
      <c r="CQ38" s="982">
        <f t="shared" si="808"/>
        <v>0</v>
      </c>
      <c r="CR38" s="982">
        <f t="shared" si="808"/>
        <v>0</v>
      </c>
      <c r="CS38" s="982">
        <f t="shared" si="808"/>
        <v>0</v>
      </c>
      <c r="CT38" s="982">
        <f t="shared" si="808"/>
        <v>0</v>
      </c>
      <c r="CU38" s="982">
        <f t="shared" si="808"/>
        <v>0</v>
      </c>
      <c r="CV38" s="982">
        <f t="shared" si="808"/>
        <v>0</v>
      </c>
      <c r="CW38" s="982">
        <f t="shared" si="808"/>
        <v>0</v>
      </c>
      <c r="CX38" s="982">
        <f t="shared" si="808"/>
        <v>0</v>
      </c>
      <c r="CY38" s="982">
        <f t="shared" si="808"/>
        <v>0</v>
      </c>
      <c r="CZ38" s="982">
        <f t="shared" si="808"/>
        <v>0</v>
      </c>
      <c r="DA38" s="982">
        <f t="shared" si="808"/>
        <v>0</v>
      </c>
      <c r="DB38" s="982">
        <f t="shared" si="808"/>
        <v>0</v>
      </c>
      <c r="DC38" s="982">
        <f t="shared" si="808"/>
        <v>0</v>
      </c>
      <c r="DD38" s="982">
        <f t="shared" si="808"/>
        <v>0</v>
      </c>
      <c r="DE38" s="982">
        <f t="shared" si="808"/>
        <v>0</v>
      </c>
      <c r="DF38" s="982">
        <f t="shared" si="808"/>
        <v>0</v>
      </c>
      <c r="DG38" s="982">
        <f t="shared" si="808"/>
        <v>0</v>
      </c>
      <c r="DH38" s="982">
        <f t="shared" si="808"/>
        <v>0</v>
      </c>
      <c r="DI38" s="982">
        <f t="shared" si="808"/>
        <v>0</v>
      </c>
      <c r="DJ38" s="982">
        <f t="shared" si="808"/>
        <v>0</v>
      </c>
      <c r="DK38" s="982">
        <f t="shared" si="808"/>
        <v>0</v>
      </c>
      <c r="DL38" s="982">
        <f t="shared" si="808"/>
        <v>0</v>
      </c>
      <c r="DM38" s="982">
        <f t="shared" ref="DM38:EN38" si="809">SUM(DM35:DM37)</f>
        <v>0</v>
      </c>
      <c r="DN38" s="982">
        <f t="shared" si="809"/>
        <v>0</v>
      </c>
      <c r="DO38" s="982">
        <f t="shared" si="809"/>
        <v>0</v>
      </c>
      <c r="DP38" s="982">
        <f t="shared" si="809"/>
        <v>0</v>
      </c>
      <c r="DQ38" s="982">
        <f t="shared" si="809"/>
        <v>0</v>
      </c>
      <c r="DR38" s="982">
        <f t="shared" si="809"/>
        <v>0</v>
      </c>
      <c r="DS38" s="982">
        <f t="shared" si="809"/>
        <v>0</v>
      </c>
      <c r="DT38" s="982">
        <f t="shared" si="809"/>
        <v>0</v>
      </c>
      <c r="DU38" s="982">
        <f t="shared" si="809"/>
        <v>0</v>
      </c>
      <c r="DV38" s="982">
        <f t="shared" si="809"/>
        <v>0</v>
      </c>
      <c r="DW38" s="982">
        <f t="shared" si="809"/>
        <v>0</v>
      </c>
      <c r="DX38" s="982">
        <f t="shared" si="809"/>
        <v>0</v>
      </c>
      <c r="DY38" s="982">
        <f t="shared" si="809"/>
        <v>0</v>
      </c>
      <c r="DZ38" s="982">
        <f t="shared" si="809"/>
        <v>0</v>
      </c>
      <c r="EA38" s="982">
        <f t="shared" si="809"/>
        <v>0</v>
      </c>
      <c r="EB38" s="982">
        <f t="shared" si="809"/>
        <v>0</v>
      </c>
      <c r="EC38" s="982">
        <f t="shared" si="809"/>
        <v>0</v>
      </c>
      <c r="ED38" s="982">
        <f t="shared" si="809"/>
        <v>0</v>
      </c>
      <c r="EE38" s="982">
        <f t="shared" si="809"/>
        <v>0</v>
      </c>
      <c r="EF38" s="982">
        <f t="shared" si="809"/>
        <v>16700</v>
      </c>
      <c r="EG38" s="982">
        <f t="shared" si="809"/>
        <v>4750</v>
      </c>
      <c r="EH38" s="982">
        <f t="shared" si="809"/>
        <v>0</v>
      </c>
      <c r="EI38" s="982">
        <f t="shared" si="809"/>
        <v>0</v>
      </c>
      <c r="EJ38" s="982">
        <f t="shared" si="809"/>
        <v>0</v>
      </c>
      <c r="EK38" s="982">
        <f t="shared" si="809"/>
        <v>0</v>
      </c>
      <c r="EL38" s="982">
        <f t="shared" si="809"/>
        <v>0</v>
      </c>
      <c r="EM38" s="982">
        <f t="shared" si="809"/>
        <v>2115.8900000000003</v>
      </c>
      <c r="EN38" s="982">
        <f t="shared" si="809"/>
        <v>23565.89</v>
      </c>
      <c r="EO38" s="982"/>
      <c r="EP38" s="982">
        <f t="shared" ref="EP38:EY38" si="810">SUM(EP35:EP37)</f>
        <v>358.88</v>
      </c>
      <c r="EQ38" s="982">
        <f t="shared" si="810"/>
        <v>0</v>
      </c>
      <c r="ER38" s="982">
        <f t="shared" si="810"/>
        <v>0</v>
      </c>
      <c r="ES38" s="982">
        <f t="shared" si="810"/>
        <v>0</v>
      </c>
      <c r="ET38" s="982">
        <f t="shared" si="810"/>
        <v>185</v>
      </c>
      <c r="EU38" s="982">
        <f t="shared" si="810"/>
        <v>0</v>
      </c>
      <c r="EV38" s="982">
        <f t="shared" si="810"/>
        <v>350</v>
      </c>
      <c r="EW38" s="982">
        <f t="shared" si="810"/>
        <v>0</v>
      </c>
      <c r="EX38" s="982">
        <f t="shared" si="810"/>
        <v>0</v>
      </c>
      <c r="EY38" s="982">
        <f t="shared" si="810"/>
        <v>535</v>
      </c>
      <c r="EZ38" s="982"/>
      <c r="FA38" s="982">
        <f t="shared" ref="FA38:FP38" si="811">SUM(FA35:FA37)</f>
        <v>358.88</v>
      </c>
      <c r="FB38" s="982">
        <f t="shared" si="811"/>
        <v>0</v>
      </c>
      <c r="FC38" s="982">
        <f t="shared" si="811"/>
        <v>0</v>
      </c>
      <c r="FD38" s="982">
        <f t="shared" si="811"/>
        <v>0</v>
      </c>
      <c r="FE38" s="982">
        <f t="shared" si="811"/>
        <v>185</v>
      </c>
      <c r="FF38" s="982">
        <f t="shared" si="811"/>
        <v>0</v>
      </c>
      <c r="FG38" s="982">
        <f t="shared" si="811"/>
        <v>350</v>
      </c>
      <c r="FH38" s="982">
        <f t="shared" si="811"/>
        <v>0</v>
      </c>
      <c r="FI38" s="982">
        <f t="shared" si="811"/>
        <v>0</v>
      </c>
      <c r="FJ38" s="982">
        <f t="shared" si="811"/>
        <v>535</v>
      </c>
      <c r="FK38" s="982">
        <f t="shared" si="811"/>
        <v>2.25</v>
      </c>
      <c r="FL38" s="982">
        <f t="shared" si="811"/>
        <v>0.75</v>
      </c>
      <c r="FM38" s="982">
        <f t="shared" si="811"/>
        <v>0</v>
      </c>
      <c r="FN38" s="982">
        <f t="shared" si="811"/>
        <v>0</v>
      </c>
      <c r="FO38" s="982">
        <f t="shared" si="811"/>
        <v>0</v>
      </c>
      <c r="FP38" s="982">
        <f t="shared" si="811"/>
        <v>3</v>
      </c>
      <c r="FQ38" s="778"/>
      <c r="FR38" s="778"/>
      <c r="FS38" s="778"/>
      <c r="FT38" s="778"/>
      <c r="FU38" s="778"/>
    </row>
    <row r="39" spans="1:178" s="778" customFormat="1" ht="15" customHeight="1" outlineLevel="1" thickTop="1">
      <c r="A39" s="1006"/>
      <c r="B39" s="1006"/>
      <c r="C39" s="1007"/>
      <c r="D39" s="776"/>
      <c r="E39" s="235"/>
      <c r="F39" s="776"/>
      <c r="G39" s="779" t="s">
        <v>708</v>
      </c>
      <c r="H39" s="776"/>
      <c r="J39" s="802"/>
      <c r="K39" s="798"/>
      <c r="L39" s="798"/>
      <c r="M39" s="798"/>
      <c r="T39" s="780"/>
      <c r="U39" s="804"/>
      <c r="V39" s="798"/>
      <c r="W39" s="804"/>
      <c r="X39" s="798"/>
      <c r="Y39" s="804"/>
      <c r="Z39" s="798"/>
      <c r="AA39" s="804"/>
      <c r="AB39" s="798"/>
      <c r="AC39" s="804"/>
      <c r="AD39" s="798"/>
      <c r="AE39" s="805"/>
      <c r="AF39" s="798"/>
      <c r="AG39" s="805"/>
      <c r="AH39" s="798"/>
      <c r="AI39" s="805"/>
      <c r="AJ39" s="798"/>
      <c r="AK39" s="798"/>
      <c r="AL39" s="798"/>
      <c r="AM39" s="805"/>
      <c r="AN39" s="798"/>
      <c r="AO39" s="798"/>
      <c r="AP39" s="798"/>
      <c r="AQ39" s="798"/>
      <c r="AR39" s="798"/>
      <c r="AS39" s="798"/>
      <c r="AT39" s="798"/>
      <c r="AU39" s="798"/>
      <c r="AV39" s="798"/>
      <c r="AW39" s="798"/>
      <c r="AX39" s="798"/>
      <c r="AY39" s="798"/>
      <c r="BA39" s="798"/>
      <c r="BB39" s="798"/>
      <c r="BC39" s="798"/>
      <c r="BD39" s="798"/>
      <c r="BE39" s="798"/>
      <c r="BF39" s="798"/>
      <c r="BG39" s="798"/>
      <c r="BH39" s="798"/>
      <c r="BI39" s="798"/>
      <c r="BJ39" s="798"/>
      <c r="BK39" s="798"/>
      <c r="BL39" s="798"/>
      <c r="BM39" s="798"/>
      <c r="BN39" s="798"/>
      <c r="BO39" s="798"/>
      <c r="BP39" s="798"/>
      <c r="BQ39" s="798"/>
      <c r="BR39" s="803"/>
      <c r="BS39" s="798"/>
      <c r="BT39" s="798"/>
      <c r="BU39" s="798"/>
      <c r="BV39" s="798"/>
      <c r="BW39" s="798"/>
      <c r="BX39" s="798"/>
      <c r="BY39" s="798"/>
      <c r="BZ39" s="798"/>
      <c r="CA39" s="798"/>
      <c r="CB39" s="798"/>
      <c r="CC39" s="798"/>
      <c r="CD39" s="798"/>
      <c r="CE39" s="798"/>
      <c r="CF39" s="798"/>
      <c r="CG39" s="798"/>
      <c r="CH39" s="798"/>
      <c r="CI39" s="798"/>
      <c r="CJ39" s="798"/>
      <c r="CK39" s="798"/>
      <c r="CL39" s="798"/>
      <c r="CM39" s="798"/>
      <c r="CN39" s="798"/>
      <c r="CO39" s="798"/>
      <c r="CP39" s="798"/>
      <c r="CQ39" s="798"/>
      <c r="CR39" s="798"/>
      <c r="CS39" s="798"/>
      <c r="CV39" s="798"/>
      <c r="CW39" s="798"/>
      <c r="CX39" s="798"/>
      <c r="CY39" s="798"/>
      <c r="CZ39" s="798"/>
      <c r="DA39" s="798"/>
      <c r="DB39" s="798"/>
      <c r="DC39" s="798"/>
      <c r="DD39" s="798"/>
      <c r="DE39" s="798"/>
      <c r="DF39" s="798"/>
      <c r="DG39" s="798"/>
      <c r="DH39" s="798"/>
      <c r="DI39" s="798"/>
      <c r="DJ39" s="798"/>
      <c r="DK39" s="798"/>
      <c r="DL39" s="798"/>
      <c r="DM39" s="798"/>
      <c r="DN39" s="798"/>
      <c r="DO39" s="798"/>
      <c r="DP39" s="798"/>
      <c r="DQ39" s="798"/>
      <c r="DR39" s="798"/>
      <c r="DS39" s="798"/>
      <c r="DT39" s="798"/>
      <c r="DU39" s="798"/>
      <c r="DV39" s="798"/>
      <c r="DW39" s="798"/>
      <c r="DX39" s="798"/>
      <c r="DY39" s="798"/>
      <c r="DZ39" s="798"/>
      <c r="EA39" s="798"/>
      <c r="EB39" s="798"/>
      <c r="EC39" s="798"/>
      <c r="ED39" s="798"/>
      <c r="EE39" s="798"/>
      <c r="EF39" s="798"/>
      <c r="EG39" s="798"/>
      <c r="EH39" s="798"/>
      <c r="EI39" s="798"/>
      <c r="EJ39" s="798"/>
      <c r="EK39" s="798"/>
      <c r="EL39" s="798"/>
      <c r="EM39" s="798"/>
      <c r="EN39" s="798"/>
      <c r="EP39" s="235"/>
      <c r="ES39" s="216"/>
      <c r="FK39" s="800"/>
      <c r="FL39" s="800"/>
      <c r="FM39" s="800"/>
      <c r="FN39" s="800"/>
      <c r="FO39" s="800"/>
      <c r="FP39" s="800"/>
    </row>
    <row r="40" spans="1:178" s="778" customFormat="1" ht="15" customHeight="1" outlineLevel="1">
      <c r="A40" s="1006" t="str">
        <f t="shared" si="253"/>
        <v>MAYO  2026 2da QUINCENA</v>
      </c>
      <c r="B40" s="1006">
        <f t="shared" si="90"/>
        <v>2026</v>
      </c>
      <c r="C40" s="1007" t="str">
        <f t="shared" si="254"/>
        <v>MAYO  2026 2da QUINCENA2026</v>
      </c>
      <c r="D40" s="776" t="str">
        <f>+$G$39</f>
        <v>CONTABLE FINANCIERO</v>
      </c>
      <c r="E40" s="776">
        <v>106010</v>
      </c>
      <c r="F40" s="776"/>
      <c r="G40" s="779" t="s">
        <v>623</v>
      </c>
      <c r="H40" s="776"/>
      <c r="J40" s="802"/>
      <c r="K40" s="798"/>
      <c r="L40" s="798"/>
      <c r="M40" s="798"/>
      <c r="T40" s="780"/>
      <c r="U40" s="804"/>
      <c r="V40" s="798"/>
      <c r="W40" s="804"/>
      <c r="X40" s="798"/>
      <c r="Y40" s="804"/>
      <c r="Z40" s="798"/>
      <c r="AA40" s="804"/>
      <c r="AB40" s="798"/>
      <c r="AC40" s="804"/>
      <c r="AD40" s="798"/>
      <c r="AE40" s="805"/>
      <c r="AF40" s="798"/>
      <c r="AG40" s="805"/>
      <c r="AH40" s="798"/>
      <c r="AI40" s="805"/>
      <c r="AJ40" s="798"/>
      <c r="AK40" s="798"/>
      <c r="AL40" s="798"/>
      <c r="AM40" s="805"/>
      <c r="AN40" s="798"/>
      <c r="AO40" s="798"/>
      <c r="AP40" s="798"/>
      <c r="AQ40" s="798"/>
      <c r="AR40" s="798"/>
      <c r="AS40" s="798"/>
      <c r="AT40" s="798"/>
      <c r="AU40" s="798"/>
      <c r="AV40" s="798"/>
      <c r="AW40" s="798"/>
      <c r="AX40" s="798"/>
      <c r="AY40" s="798"/>
      <c r="BA40" s="798"/>
      <c r="BB40" s="798"/>
      <c r="BC40" s="798"/>
      <c r="BD40" s="798"/>
      <c r="BE40" s="798"/>
      <c r="BF40" s="798"/>
      <c r="BG40" s="798"/>
      <c r="BH40" s="798"/>
      <c r="BI40" s="798"/>
      <c r="BJ40" s="798"/>
      <c r="BK40" s="798"/>
      <c r="BL40" s="798"/>
      <c r="BM40" s="798"/>
      <c r="BN40" s="798"/>
      <c r="BO40" s="798"/>
      <c r="BP40" s="798"/>
      <c r="BQ40" s="798"/>
      <c r="BR40" s="803"/>
      <c r="BS40" s="798"/>
      <c r="BT40" s="798"/>
      <c r="BU40" s="798"/>
      <c r="BV40" s="798"/>
      <c r="BW40" s="798"/>
      <c r="BX40" s="798"/>
      <c r="BY40" s="798"/>
      <c r="BZ40" s="798"/>
      <c r="CA40" s="798"/>
      <c r="CB40" s="798"/>
      <c r="CC40" s="798"/>
      <c r="CD40" s="798"/>
      <c r="CE40" s="798"/>
      <c r="CF40" s="798"/>
      <c r="CG40" s="798"/>
      <c r="CH40" s="798"/>
      <c r="CI40" s="798"/>
      <c r="CJ40" s="798"/>
      <c r="CK40" s="798"/>
      <c r="CL40" s="798"/>
      <c r="CM40" s="798"/>
      <c r="CN40" s="798"/>
      <c r="CO40" s="798"/>
      <c r="CP40" s="798"/>
      <c r="CQ40" s="798"/>
      <c r="CR40" s="798"/>
      <c r="CS40" s="798"/>
      <c r="CV40" s="798"/>
      <c r="CW40" s="798"/>
      <c r="CX40" s="798"/>
      <c r="CY40" s="798"/>
      <c r="CZ40" s="798"/>
      <c r="DA40" s="798"/>
      <c r="DB40" s="798"/>
      <c r="DC40" s="798"/>
      <c r="DD40" s="798"/>
      <c r="DE40" s="798"/>
      <c r="DF40" s="798"/>
      <c r="DG40" s="798"/>
      <c r="DH40" s="798"/>
      <c r="DI40" s="798"/>
      <c r="DJ40" s="798"/>
      <c r="DK40" s="798"/>
      <c r="DL40" s="798"/>
      <c r="DM40" s="798"/>
      <c r="DN40" s="798"/>
      <c r="DO40" s="798"/>
      <c r="DP40" s="798"/>
      <c r="DQ40" s="798"/>
      <c r="DR40" s="798"/>
      <c r="DS40" s="798"/>
      <c r="DT40" s="798"/>
      <c r="DU40" s="798"/>
      <c r="DV40" s="798"/>
      <c r="DW40" s="798"/>
      <c r="DX40" s="798"/>
      <c r="DY40" s="798"/>
      <c r="DZ40" s="798"/>
      <c r="EA40" s="798"/>
      <c r="EB40" s="798"/>
      <c r="EC40" s="798"/>
      <c r="ED40" s="798"/>
      <c r="EE40" s="798"/>
      <c r="EF40" s="798"/>
      <c r="EG40" s="798"/>
      <c r="EH40" s="798"/>
      <c r="EI40" s="798"/>
      <c r="EJ40" s="798"/>
      <c r="EK40" s="798"/>
      <c r="EL40" s="798"/>
      <c r="EM40" s="798"/>
      <c r="EN40" s="798"/>
      <c r="EP40" s="235"/>
      <c r="ES40" s="216"/>
      <c r="FK40" s="800"/>
      <c r="FL40" s="800"/>
      <c r="FM40" s="800"/>
      <c r="FN40" s="800"/>
      <c r="FO40" s="800"/>
      <c r="FP40" s="800"/>
    </row>
    <row r="41" spans="1:178" s="778" customFormat="1" ht="15" customHeight="1" outlineLevel="1">
      <c r="A41" s="1006" t="str">
        <f t="shared" si="253"/>
        <v>MAYO  2026 2da QUINCENA</v>
      </c>
      <c r="B41" s="1006">
        <f t="shared" si="90"/>
        <v>2026</v>
      </c>
      <c r="C41" s="1007" t="str">
        <f t="shared" si="254"/>
        <v>MAYO  2026 2da QUINCENA2026</v>
      </c>
      <c r="D41" s="776" t="str">
        <f>+$G$39</f>
        <v>CONTABLE FINANCIERO</v>
      </c>
      <c r="E41" s="776">
        <v>106010</v>
      </c>
      <c r="F41" s="806">
        <v>16</v>
      </c>
      <c r="G41" s="167" t="s">
        <v>611</v>
      </c>
      <c r="H41" s="246" t="s">
        <v>333</v>
      </c>
      <c r="I41" s="244" t="s">
        <v>11</v>
      </c>
      <c r="J41" s="203">
        <v>20000</v>
      </c>
      <c r="K41" s="236">
        <v>7000</v>
      </c>
      <c r="L41" s="202">
        <f t="shared" ref="L41" si="812">+J41+K41</f>
        <v>27000</v>
      </c>
      <c r="M41" s="203">
        <v>30</v>
      </c>
      <c r="N41" s="793">
        <v>0.45</v>
      </c>
      <c r="O41" s="793">
        <v>0.26</v>
      </c>
      <c r="P41" s="793">
        <v>0.04</v>
      </c>
      <c r="Q41" s="1010">
        <v>0.25</v>
      </c>
      <c r="R41" s="816">
        <v>0</v>
      </c>
      <c r="S41" s="793">
        <f>SUM(N41:R41)</f>
        <v>1</v>
      </c>
      <c r="T41" s="780"/>
      <c r="U41" s="247"/>
      <c r="V41" s="236">
        <f t="shared" ref="V41" si="813">($J41/30/8*1.5)*U41</f>
        <v>0</v>
      </c>
      <c r="W41" s="247"/>
      <c r="X41" s="236">
        <f t="shared" ref="X41" si="814">($J41/30/8*2)*W41</f>
        <v>0</v>
      </c>
      <c r="Y41" s="247"/>
      <c r="Z41" s="236">
        <f t="shared" ref="Z41" si="815">($J41/30/8*1.5)*Y41</f>
        <v>0</v>
      </c>
      <c r="AA41" s="247"/>
      <c r="AB41" s="236">
        <f t="shared" ref="AB41" si="816">($J41/30/8*2)*AA41</f>
        <v>0</v>
      </c>
      <c r="AC41" s="247"/>
      <c r="AD41" s="236">
        <f t="shared" ref="AD41" si="817">(($J41/30/8)*1.5)*AC41</f>
        <v>0</v>
      </c>
      <c r="AE41" s="794"/>
      <c r="AF41" s="236">
        <f t="shared" ref="AF41" si="818">(($J41/30/8)*2)*AE41</f>
        <v>0</v>
      </c>
      <c r="AG41" s="794"/>
      <c r="AH41" s="236">
        <f t="shared" ref="AH41" si="819">(($J41/30/8)*1.5)*AG41</f>
        <v>0</v>
      </c>
      <c r="AI41" s="794"/>
      <c r="AJ41" s="236">
        <f t="shared" ref="AJ41" si="820">(($J41/30/8)*2)*AI41</f>
        <v>0</v>
      </c>
      <c r="AK41" s="236"/>
      <c r="AL41" s="236">
        <f t="shared" ref="AL41" si="821">(($J41/30/8)*1.5)*AK41</f>
        <v>0</v>
      </c>
      <c r="AM41" s="794"/>
      <c r="AN41" s="236">
        <f t="shared" ref="AN41" si="822">(($J41/30/8)*2)*AM41</f>
        <v>0</v>
      </c>
      <c r="AO41" s="236"/>
      <c r="AP41" s="236"/>
      <c r="AQ41" s="236"/>
      <c r="AR41" s="236"/>
      <c r="AS41" s="236"/>
      <c r="AT41" s="236"/>
      <c r="AU41" s="236"/>
      <c r="AV41" s="236"/>
      <c r="AW41" s="236"/>
      <c r="AX41" s="236"/>
      <c r="AY41" s="236"/>
      <c r="AZ41" s="244"/>
      <c r="BA41" s="236">
        <f t="shared" ref="BA41" si="823">((J41/30)*M41)*$N41</f>
        <v>9000</v>
      </c>
      <c r="BB41" s="236">
        <f t="shared" ref="BB41" si="824">((K41/30)*M41)*$N41</f>
        <v>3150</v>
      </c>
      <c r="BC41" s="236">
        <f t="shared" ref="BC41" si="825">U41</f>
        <v>0</v>
      </c>
      <c r="BD41" s="236">
        <f t="shared" ref="BD41" si="826">V41</f>
        <v>0</v>
      </c>
      <c r="BE41" s="236">
        <f t="shared" ref="BE41" si="827">W41</f>
        <v>0</v>
      </c>
      <c r="BF41" s="236">
        <f t="shared" ref="BF41" si="828">X41</f>
        <v>0</v>
      </c>
      <c r="BG41" s="236">
        <f t="shared" ref="BG41" si="829">AO41+AT41</f>
        <v>0</v>
      </c>
      <c r="BH41" s="203">
        <f t="shared" ref="BH41:BH46" si="830">(BA41+BD41+BF41+BG41)*0.1267</f>
        <v>1140.3</v>
      </c>
      <c r="BI41" s="236">
        <f t="shared" ref="BI41" si="831">SUM(BA41:BH41)-BC41-BE41</f>
        <v>13290.3</v>
      </c>
      <c r="BJ41" s="236">
        <f t="shared" ref="BJ41:BJ46" si="832">(($J41/30)*$M41)*$O41</f>
        <v>5200</v>
      </c>
      <c r="BK41" s="236">
        <f t="shared" ref="BK41" si="833">(($K41/30)*$M41)*$O41</f>
        <v>1820</v>
      </c>
      <c r="BL41" s="236">
        <f t="shared" ref="BL41" si="834">Y41</f>
        <v>0</v>
      </c>
      <c r="BM41" s="236">
        <f t="shared" ref="BM41" si="835">Z41</f>
        <v>0</v>
      </c>
      <c r="BN41" s="236">
        <f t="shared" ref="BN41" si="836">AA41</f>
        <v>0</v>
      </c>
      <c r="BO41" s="236">
        <f t="shared" ref="BO41" si="837">AB41</f>
        <v>0</v>
      </c>
      <c r="BP41" s="236">
        <f t="shared" ref="BP41" si="838">AP41+AU41</f>
        <v>0</v>
      </c>
      <c r="BQ41" s="203">
        <f t="shared" ref="BQ41:BQ46" si="839">(+BJ41+BM41+BO41+BP41)*0.1267</f>
        <v>658.84</v>
      </c>
      <c r="BR41" s="792">
        <f t="shared" ref="BR41" si="840">SUM(BJ41:BQ41)-BL41-BN41</f>
        <v>7678.84</v>
      </c>
      <c r="BS41" s="236">
        <f t="shared" ref="BS41:BS46" si="841">(($J41/30)*$M41)*$P41</f>
        <v>800</v>
      </c>
      <c r="BT41" s="236">
        <f t="shared" ref="BT41:BT46" si="842">(($K41/30)*$M41)*$P41</f>
        <v>280</v>
      </c>
      <c r="BU41" s="236">
        <f t="shared" ref="BU41" si="843">AC41</f>
        <v>0</v>
      </c>
      <c r="BV41" s="236">
        <f t="shared" ref="BV41" si="844">AD41</f>
        <v>0</v>
      </c>
      <c r="BW41" s="236">
        <f t="shared" ref="BW41" si="845">AE41</f>
        <v>0</v>
      </c>
      <c r="BX41" s="236">
        <f t="shared" ref="BX41" si="846">AF41</f>
        <v>0</v>
      </c>
      <c r="BY41" s="236">
        <f t="shared" ref="BY41" si="847">AQ41+AV41</f>
        <v>0</v>
      </c>
      <c r="BZ41" s="203">
        <f t="shared" ref="BZ41:BZ46" si="848">(BS41+BV41+BX41+BY41)*0.1267</f>
        <v>101.36</v>
      </c>
      <c r="CA41" s="236">
        <f t="shared" ref="CA41" si="849">SUM(BS41:BZ41)-BU41-BW41</f>
        <v>1181.3599999999999</v>
      </c>
      <c r="CB41" s="817">
        <f t="shared" ref="CB41:CB46" si="850">(($J41/30)*$M41)*$Q41</f>
        <v>5000</v>
      </c>
      <c r="CC41" s="818">
        <f>((($K41/30*$M41)*$Q41))</f>
        <v>1750</v>
      </c>
      <c r="CD41" s="818">
        <f t="shared" ref="CD41" si="851">AG41</f>
        <v>0</v>
      </c>
      <c r="CE41" s="818">
        <f t="shared" ref="CE41" si="852">AH41</f>
        <v>0</v>
      </c>
      <c r="CF41" s="818">
        <f t="shared" ref="CF41" si="853">AI41</f>
        <v>0</v>
      </c>
      <c r="CG41" s="818">
        <f t="shared" ref="CG41" si="854">AJ41</f>
        <v>0</v>
      </c>
      <c r="CH41" s="818">
        <f t="shared" ref="CH41" si="855">AR41+AW41</f>
        <v>0</v>
      </c>
      <c r="CI41" s="703">
        <f t="shared" ref="CI41:CI46" si="856">(CB41+CE41+CG41+CH41)*0.1267</f>
        <v>633.5</v>
      </c>
      <c r="CJ41" s="818">
        <f t="shared" ref="CJ41" si="857">SUM(CB41:CI41)-CD41-CF41</f>
        <v>7383.5</v>
      </c>
      <c r="CK41" s="818">
        <f t="shared" ref="CK41" si="858">(($J41/30)*$M41)*R41</f>
        <v>0</v>
      </c>
      <c r="CL41" s="818">
        <f t="shared" ref="CL41:CL46" si="859">(($K41/30)*$M41)*$R41</f>
        <v>0</v>
      </c>
      <c r="CM41" s="818">
        <f t="shared" ref="CM41" si="860">+AK41</f>
        <v>0</v>
      </c>
      <c r="CN41" s="818">
        <f t="shared" ref="CN41" si="861">AL41</f>
        <v>0</v>
      </c>
      <c r="CO41" s="818">
        <f t="shared" ref="CO41" si="862">AM41</f>
        <v>0</v>
      </c>
      <c r="CP41" s="818">
        <f t="shared" ref="CP41" si="863">AN41</f>
        <v>0</v>
      </c>
      <c r="CQ41" s="818">
        <f t="shared" ref="CQ41" si="864">AS41+AX41</f>
        <v>0</v>
      </c>
      <c r="CR41" s="818">
        <f t="shared" ref="CR41" si="865">(CK41+CN41+CP41)*0.1267</f>
        <v>0</v>
      </c>
      <c r="CS41" s="819">
        <f t="shared" ref="CS41" si="866">SUM(CK41:CR41)-CM41-CO41</f>
        <v>0</v>
      </c>
      <c r="CU41" s="244" t="s">
        <v>11</v>
      </c>
      <c r="CV41" s="236">
        <f t="shared" ref="CV41:CV46" si="867">IF($CU41="PROQUIMA",$BA41+$BJ41+$BS41+$CB41+$CK41,0)</f>
        <v>0</v>
      </c>
      <c r="CW41" s="236">
        <f t="shared" ref="CW41:CW46" si="868">IF($CU41="PROQUIMA",$BB41+$BK41+$BT41+$CC41+$CL41,0)</f>
        <v>0</v>
      </c>
      <c r="CX41" s="236">
        <f t="shared" ref="CX41:CX46" si="869">IF($CU41="PROQUIMA",$BC41+$BL41+$BU41+$CD41+$CM41,0)</f>
        <v>0</v>
      </c>
      <c r="CY41" s="236">
        <f t="shared" ref="CY41:CY46" si="870">IF($CU41="PROQUIMA",$BD41+$BM41+$BV41+$CE41+$CN41,0)</f>
        <v>0</v>
      </c>
      <c r="CZ41" s="236">
        <f t="shared" ref="CZ41:CZ46" si="871">IF($CU41="PROQUIMA",$BE41+$BN41+$BW41+$CF41+$CO41,0)</f>
        <v>0</v>
      </c>
      <c r="DA41" s="236">
        <f t="shared" ref="DA41:DA46" si="872">IF($CU41="PROQUIMA",$BF41+$BO41+$BX41+$CG41+$CP41,0)</f>
        <v>0</v>
      </c>
      <c r="DB41" s="236">
        <f t="shared" ref="DB41:DB46" si="873">IF($CU41="PROQUIMA",$BG41+$BP41+$BY41+$CH41+$CQ41,0)</f>
        <v>0</v>
      </c>
      <c r="DC41" s="236">
        <f t="shared" ref="DC41" si="874">IF($CU41="PROQUIMA",$BH41+$BQ41+$BZ41+$CI41+CR41,0)</f>
        <v>0</v>
      </c>
      <c r="DD41" s="236">
        <f t="shared" ref="DD41" si="875">SUM(CV41:DC41)-CX41-CZ41</f>
        <v>0</v>
      </c>
      <c r="DE41" s="236">
        <f t="shared" ref="DE41:DE46" si="876">IF($CU41="UNHESA",$BA41+$BJ41+$BS41+$CB41+$CK41,0)</f>
        <v>0</v>
      </c>
      <c r="DF41" s="236">
        <f t="shared" ref="DF41:DF46" si="877">IF($CU41="UNHESA",$BB41+$BK41+$BT41+$CC41+$CL41,0)</f>
        <v>0</v>
      </c>
      <c r="DG41" s="236">
        <f t="shared" ref="DG41:DG46" si="878">IF($CU41="UNHESA",$BC41+$BL41+$BU41+$CD41+$CM41,0)</f>
        <v>0</v>
      </c>
      <c r="DH41" s="236">
        <f t="shared" ref="DH41:DH46" si="879">IF($CU41="UNHESA",$BD41+$BM41+$BV41+$CE41+$CN41,0)</f>
        <v>0</v>
      </c>
      <c r="DI41" s="236">
        <f t="shared" ref="DI41:DI46" si="880">IF($CU41="UNHESA",$BE41+$BN41+$BW41+$CF41+$CO41,0)</f>
        <v>0</v>
      </c>
      <c r="DJ41" s="236">
        <f t="shared" ref="DJ41:DJ46" si="881">IF($CU41="UNHESA",$BF41+$BO41+$BX41+$CG41+$CP41,0)</f>
        <v>0</v>
      </c>
      <c r="DK41" s="236">
        <f t="shared" ref="DK41:DK46" si="882">IF($CU41="UNHESA",$BG41+$BP41+$BY41+$CH41+$CQ41,0)</f>
        <v>0</v>
      </c>
      <c r="DL41" s="236">
        <f t="shared" ref="DL41:DL46" si="883">IF($CU41="UNHESA",$BH41+$BQ41+$BZ41+$CI41+$CR41,0)</f>
        <v>0</v>
      </c>
      <c r="DM41" s="236">
        <f t="shared" ref="DM41" si="884">SUM(DE41:DL41)-DG41-DI41</f>
        <v>0</v>
      </c>
      <c r="DN41" s="236">
        <f t="shared" ref="DN41:DN46" si="885">IF($CU41="UNHESA LIQUIDOS",$BA41+$BJ41+$BS41+$CB41+$CK41,0)</f>
        <v>0</v>
      </c>
      <c r="DO41" s="236">
        <f t="shared" ref="DO41:DO46" si="886">IF($CU41="CALIDUL",$BB41+$BK41+$BT41+$CC41+$CL41,0)</f>
        <v>0</v>
      </c>
      <c r="DP41" s="236">
        <f t="shared" ref="DP41:DP46" si="887">IF($CU41="CALIDUL",$BC41+$BL41+$BU41+$CD41+$CM41,0)</f>
        <v>0</v>
      </c>
      <c r="DQ41" s="236">
        <f t="shared" ref="DQ41:DQ46" si="888">IF($CU41="CALIDUL",$BD41+$BM41+$BV41+$CE41+$CN41,0)</f>
        <v>0</v>
      </c>
      <c r="DR41" s="236">
        <f t="shared" ref="DR41:DR46" si="889">IF($CU41="CALIDUL",$BE41+$BN41+$BW41+$CF41+$CO41,0)</f>
        <v>0</v>
      </c>
      <c r="DS41" s="236">
        <f t="shared" ref="DS41:DS46" si="890">IF($CU41="CALIDUL",$BF41+$BO41+$BX41+$CG41+$CP41,0)</f>
        <v>0</v>
      </c>
      <c r="DT41" s="236">
        <f t="shared" ref="DT41:DT46" si="891">IF($CU41="CALIDUL",$BG41+$BP41+$BY41+$CH41+$CQ41,0)</f>
        <v>0</v>
      </c>
      <c r="DU41" s="236">
        <f t="shared" ref="DU41:DU46" si="892">IF($CU41="CALIDUL",$BH41+$BQ41+$BZ41+$CI41+$CR41,0)</f>
        <v>0</v>
      </c>
      <c r="DV41" s="236">
        <f t="shared" ref="DV41" si="893">SUM(DN41:DU41)-DP41-DR41</f>
        <v>0</v>
      </c>
      <c r="DW41" s="817">
        <f>IF($CU41="CLEARTEC",$BA41+$BJ41+$BS41+$CB41+$CK41,0)</f>
        <v>0</v>
      </c>
      <c r="DX41" s="817">
        <f t="shared" ref="DX41:ED41" si="894">IF($CU41="CLEARTEC",$BA41+$BJ41+$BS41+$CB41+$CK41,0)</f>
        <v>0</v>
      </c>
      <c r="DY41" s="817">
        <f t="shared" si="894"/>
        <v>0</v>
      </c>
      <c r="DZ41" s="817">
        <f t="shared" si="894"/>
        <v>0</v>
      </c>
      <c r="EA41" s="817">
        <f t="shared" si="894"/>
        <v>0</v>
      </c>
      <c r="EB41" s="817">
        <f t="shared" si="894"/>
        <v>0</v>
      </c>
      <c r="EC41" s="817">
        <f t="shared" si="894"/>
        <v>0</v>
      </c>
      <c r="ED41" s="817">
        <f t="shared" si="894"/>
        <v>0</v>
      </c>
      <c r="EE41" s="818">
        <f t="shared" ref="EE41" si="895">SUM(DW41:ED41)-DY41-EA41</f>
        <v>0</v>
      </c>
      <c r="EF41" s="203">
        <f t="shared" ref="EF41" si="896">IF(CU41="ECONACIONAL",$BA41+$BJ41+$BS41+$CB41+$CK41)</f>
        <v>20000</v>
      </c>
      <c r="EG41" s="242">
        <f t="shared" ref="EG41:EG46" si="897">IF($CU41="ECONACIONAL",$BB41+$BK41+$BT41+$CC41+$CL41,0)</f>
        <v>7000</v>
      </c>
      <c r="EH41" s="203">
        <f t="shared" ref="EH41:EH45" si="898">IF(CU41="ECONACIONAL",$BC41+$BL41+$BU41+$CD41+$CM41)</f>
        <v>0</v>
      </c>
      <c r="EI41" s="203">
        <f t="shared" ref="EI41:EI45" si="899">IF(CU41="ECONACIONAL",$BD41+$DH41+$DQ41+$DZ41+BM41+BV41+CE41+CN41)</f>
        <v>0</v>
      </c>
      <c r="EJ41" s="242">
        <f t="shared" ref="EJ41:EJ46" si="900">IF($CU41="CLEARTEC",$BE41+$BN41+$BW41+$CF41+$CO41,0)</f>
        <v>0</v>
      </c>
      <c r="EK41" s="203">
        <f t="shared" ref="EK41" si="901">IF(CU41="ECONACIONAL",$BF41+$BO41+$BX41+$CG41+$CP41)</f>
        <v>0</v>
      </c>
      <c r="EL41" s="203">
        <f t="shared" ref="EL41" si="902">IF(CU41="ECONACIONAL",$BG41+$BP41+$BY41+$CH41+$CQ41)</f>
        <v>0</v>
      </c>
      <c r="EM41" s="203">
        <f t="shared" ref="EM41" si="903">IF(CU41="ECONACIONAL",BH41+BQ41+BZ41+CI41+CR41)</f>
        <v>2534</v>
      </c>
      <c r="EN41" s="203">
        <f t="shared" ref="EN41" si="904">SUM(EF41:EM41)-EH41-EJ41</f>
        <v>29534</v>
      </c>
      <c r="EP41" s="1193">
        <v>1108.97</v>
      </c>
      <c r="EQ41" s="244">
        <v>9519.84</v>
      </c>
      <c r="ER41" s="244"/>
      <c r="ES41" s="201"/>
      <c r="ET41" s="201"/>
      <c r="EU41" s="201"/>
      <c r="EV41" s="244"/>
      <c r="EW41" s="244"/>
      <c r="EX41" s="244"/>
      <c r="EY41" s="201">
        <f t="shared" ref="EY41:EY45" si="905">+ET41+EU41+EV41</f>
        <v>0</v>
      </c>
      <c r="FA41" s="247">
        <f t="shared" ref="FA41" si="906">IF($M41&lt;=15,EP41/2,EP41)</f>
        <v>1108.97</v>
      </c>
      <c r="FB41" s="247">
        <f t="shared" ref="FB41" si="907">IF($M41&lt;=15,EQ41/2,EQ41)</f>
        <v>9519.84</v>
      </c>
      <c r="FC41" s="247">
        <f t="shared" ref="FC41" si="908">IF($M41&lt;=15,ER41/2,ER41)</f>
        <v>0</v>
      </c>
      <c r="FD41" s="247">
        <f t="shared" ref="FD41" si="909">IF($M41&lt;=15,ES41/2,ES41)</f>
        <v>0</v>
      </c>
      <c r="FE41" s="247">
        <f t="shared" ref="FE41" si="910">IF($M41&lt;=15,ET41/2,ET41)</f>
        <v>0</v>
      </c>
      <c r="FF41" s="247">
        <f t="shared" ref="FF41" si="911">IF($M41&lt;=15,EU41/2,EU41)</f>
        <v>0</v>
      </c>
      <c r="FG41" s="247">
        <f t="shared" ref="FG41" si="912">IF($M41&lt;=15,EV41/2,EV41)</f>
        <v>0</v>
      </c>
      <c r="FH41" s="247">
        <f t="shared" ref="FH41" si="913">IF($M41&lt;=15,EW41/2,EW41)</f>
        <v>0</v>
      </c>
      <c r="FI41" s="247">
        <f t="shared" ref="FI41" si="914">IF($M41&lt;=15,EX41/2,EX41)</f>
        <v>0</v>
      </c>
      <c r="FJ41" s="247">
        <f t="shared" ref="FJ41" si="915">IF($M41&lt;=15,EY41/2,EY41)</f>
        <v>0</v>
      </c>
      <c r="FK41" s="245"/>
      <c r="FL41" s="245"/>
      <c r="FM41" s="245"/>
      <c r="FN41" s="245"/>
      <c r="FO41" s="245"/>
      <c r="FP41" s="245"/>
      <c r="FR41" s="1178">
        <f>(((J41/30/8)*1.5)*(U41+Y41+AC41))-(BD41+BM41+BV41)</f>
        <v>0</v>
      </c>
      <c r="FS41" s="1178">
        <f t="shared" ref="FS41" si="916">(((J41/30/8)*2)*(W41+AA41+AE41))-(BF41+BO41+BX41)</f>
        <v>0</v>
      </c>
      <c r="FT41" s="1179">
        <f>(SUM(BA41:CJ41))-(SUM(EF41:EN41))</f>
        <v>0</v>
      </c>
      <c r="FU41" s="1178">
        <f>(J41/30*M41)-(EF41)</f>
        <v>0</v>
      </c>
      <c r="FV41" s="1182">
        <f>(SUM(EP41:EY41))-((SUM(FA41:FJ41))*$FV$5)</f>
        <v>-10628.81</v>
      </c>
    </row>
    <row r="42" spans="1:178" s="778" customFormat="1" ht="15" customHeight="1" outlineLevel="1">
      <c r="A42" s="1006" t="s">
        <v>52</v>
      </c>
      <c r="B42" s="1006" t="s">
        <v>52</v>
      </c>
      <c r="C42" s="1007" t="s">
        <v>52</v>
      </c>
      <c r="D42" s="776"/>
      <c r="E42" s="776">
        <v>106020</v>
      </c>
      <c r="F42" s="806"/>
      <c r="G42" s="779" t="s">
        <v>709</v>
      </c>
      <c r="H42" s="246" t="s">
        <v>52</v>
      </c>
      <c r="I42" s="244"/>
      <c r="J42" s="203"/>
      <c r="K42" s="236"/>
      <c r="L42" s="202"/>
      <c r="M42" s="203"/>
      <c r="N42" s="793"/>
      <c r="O42" s="793"/>
      <c r="P42" s="793"/>
      <c r="Q42" s="793"/>
      <c r="R42" s="816"/>
      <c r="S42" s="793"/>
      <c r="T42" s="780"/>
      <c r="U42" s="247"/>
      <c r="V42" s="236"/>
      <c r="W42" s="247"/>
      <c r="X42" s="236"/>
      <c r="Y42" s="247"/>
      <c r="Z42" s="236"/>
      <c r="AA42" s="247"/>
      <c r="AB42" s="236"/>
      <c r="AC42" s="247"/>
      <c r="AD42" s="236"/>
      <c r="AE42" s="794"/>
      <c r="AF42" s="236"/>
      <c r="AG42" s="794"/>
      <c r="AH42" s="236"/>
      <c r="AI42" s="794"/>
      <c r="AJ42" s="236"/>
      <c r="AK42" s="236"/>
      <c r="AL42" s="236"/>
      <c r="AM42" s="794"/>
      <c r="AN42" s="236"/>
      <c r="AO42" s="236"/>
      <c r="AP42" s="236"/>
      <c r="AQ42" s="236"/>
      <c r="AR42" s="236"/>
      <c r="AS42" s="236"/>
      <c r="AT42" s="236"/>
      <c r="AU42" s="236"/>
      <c r="AV42" s="236"/>
      <c r="AW42" s="236"/>
      <c r="AX42" s="236"/>
      <c r="AY42" s="236"/>
      <c r="AZ42" s="244"/>
      <c r="BA42" s="236"/>
      <c r="BB42" s="236"/>
      <c r="BC42" s="236"/>
      <c r="BD42" s="236"/>
      <c r="BE42" s="236"/>
      <c r="BF42" s="236"/>
      <c r="BG42" s="236"/>
      <c r="BH42" s="236"/>
      <c r="BI42" s="236"/>
      <c r="BJ42" s="236"/>
      <c r="BK42" s="236"/>
      <c r="BL42" s="236"/>
      <c r="BM42" s="236"/>
      <c r="BN42" s="236"/>
      <c r="BO42" s="236"/>
      <c r="BP42" s="236"/>
      <c r="BQ42" s="236"/>
      <c r="BR42" s="792"/>
      <c r="BS42" s="236"/>
      <c r="BT42" s="236"/>
      <c r="BU42" s="236"/>
      <c r="BV42" s="236"/>
      <c r="BW42" s="236"/>
      <c r="BX42" s="236"/>
      <c r="BY42" s="236"/>
      <c r="BZ42" s="236"/>
      <c r="CA42" s="236"/>
      <c r="CB42" s="957"/>
      <c r="CC42" s="957"/>
      <c r="CD42" s="957"/>
      <c r="CE42" s="957"/>
      <c r="CF42" s="957"/>
      <c r="CG42" s="957"/>
      <c r="CH42" s="957"/>
      <c r="CI42" s="957"/>
      <c r="CJ42" s="957"/>
      <c r="CK42" s="957"/>
      <c r="CL42" s="957"/>
      <c r="CM42" s="957"/>
      <c r="CN42" s="957"/>
      <c r="CO42" s="957"/>
      <c r="CP42" s="957"/>
      <c r="CQ42" s="957"/>
      <c r="CR42" s="957"/>
      <c r="CS42" s="957"/>
      <c r="CU42" s="244"/>
      <c r="CV42" s="236"/>
      <c r="CW42" s="236"/>
      <c r="CX42" s="236"/>
      <c r="CY42" s="236"/>
      <c r="CZ42" s="236"/>
      <c r="DA42" s="236"/>
      <c r="DB42" s="236"/>
      <c r="DC42" s="236"/>
      <c r="DD42" s="236"/>
      <c r="DE42" s="236"/>
      <c r="DF42" s="236"/>
      <c r="DG42" s="236"/>
      <c r="DH42" s="236"/>
      <c r="DI42" s="236"/>
      <c r="DJ42" s="236"/>
      <c r="DK42" s="236"/>
      <c r="DL42" s="236"/>
      <c r="DM42" s="236"/>
      <c r="DN42" s="236"/>
      <c r="DO42" s="236"/>
      <c r="DP42" s="236"/>
      <c r="DQ42" s="236"/>
      <c r="DR42" s="236"/>
      <c r="DS42" s="236"/>
      <c r="DT42" s="236"/>
      <c r="DU42" s="236"/>
      <c r="DV42" s="236"/>
      <c r="DW42" s="957"/>
      <c r="DX42" s="957"/>
      <c r="DY42" s="957"/>
      <c r="DZ42" s="957"/>
      <c r="EA42" s="957"/>
      <c r="EB42" s="957"/>
      <c r="EC42" s="957"/>
      <c r="ED42" s="957"/>
      <c r="EE42" s="957"/>
      <c r="EF42" s="957"/>
      <c r="EG42" s="957"/>
      <c r="EH42" s="957"/>
      <c r="EI42" s="957"/>
      <c r="EJ42" s="957"/>
      <c r="EK42" s="957"/>
      <c r="EL42" s="957"/>
      <c r="EM42" s="957"/>
      <c r="EN42" s="957"/>
      <c r="EP42" s="201"/>
      <c r="EQ42" s="244"/>
      <c r="ER42" s="244"/>
      <c r="ES42" s="201"/>
      <c r="ET42" s="244"/>
      <c r="EU42" s="244"/>
      <c r="EV42" s="244"/>
      <c r="EW42" s="244"/>
      <c r="EX42" s="244"/>
      <c r="EY42" s="244"/>
      <c r="FA42" s="247"/>
      <c r="FB42" s="247"/>
      <c r="FC42" s="247"/>
      <c r="FD42" s="247"/>
      <c r="FE42" s="247"/>
      <c r="FF42" s="247"/>
      <c r="FG42" s="247"/>
      <c r="FH42" s="247"/>
      <c r="FI42" s="247"/>
      <c r="FJ42" s="247"/>
      <c r="FK42" s="245"/>
      <c r="FL42" s="245"/>
      <c r="FM42" s="245"/>
      <c r="FN42" s="245"/>
      <c r="FO42" s="245"/>
      <c r="FP42" s="245"/>
    </row>
    <row r="43" spans="1:178" s="938" customFormat="1" ht="15" customHeight="1" outlineLevel="1">
      <c r="A43" s="1287" t="str">
        <f t="shared" si="253"/>
        <v>MAYO  2026 2da QUINCENA</v>
      </c>
      <c r="B43" s="1287">
        <f t="shared" si="90"/>
        <v>2026</v>
      </c>
      <c r="C43" s="1288" t="str">
        <f t="shared" si="254"/>
        <v>MAYO  2026 2da QUINCENA2026</v>
      </c>
      <c r="D43" s="1289" t="str">
        <f>+$G$42</f>
        <v>CONTABILIDAD</v>
      </c>
      <c r="E43" s="1289">
        <v>106020</v>
      </c>
      <c r="F43" s="1290">
        <f>+F41+1</f>
        <v>17</v>
      </c>
      <c r="G43" s="1291" t="s">
        <v>461</v>
      </c>
      <c r="H43" s="1292" t="s">
        <v>723</v>
      </c>
      <c r="I43" s="1256" t="s">
        <v>11</v>
      </c>
      <c r="J43" s="1015">
        <v>10500</v>
      </c>
      <c r="K43" s="1015">
        <v>1800</v>
      </c>
      <c r="L43" s="1017">
        <f t="shared" ref="L43" si="917">+J43+K43</f>
        <v>12300</v>
      </c>
      <c r="M43" s="203">
        <v>30</v>
      </c>
      <c r="N43" s="1010">
        <v>0.56999999999999995</v>
      </c>
      <c r="O43" s="1010">
        <v>0.3</v>
      </c>
      <c r="P43" s="1010">
        <v>0.03</v>
      </c>
      <c r="Q43" s="1010">
        <v>0.1</v>
      </c>
      <c r="R43" s="1010">
        <v>0</v>
      </c>
      <c r="S43" s="1010">
        <f t="shared" ref="S43" si="918">SUM(N43:R43)</f>
        <v>0.99999999999999989</v>
      </c>
      <c r="T43" s="1293"/>
      <c r="U43" s="879"/>
      <c r="V43" s="1015">
        <f t="shared" ref="V43" si="919">($J43/30/8*1.5)*U43</f>
        <v>0</v>
      </c>
      <c r="W43" s="879"/>
      <c r="X43" s="1015">
        <f t="shared" ref="X43" si="920">($J43/30/8*2)*W43</f>
        <v>0</v>
      </c>
      <c r="Y43" s="879"/>
      <c r="Z43" s="1015">
        <f t="shared" ref="Z43" si="921">($J43/30/8*1.5)*Y43</f>
        <v>0</v>
      </c>
      <c r="AA43" s="879"/>
      <c r="AB43" s="1015">
        <f t="shared" ref="AB43" si="922">($J43/30/8*2)*AA43</f>
        <v>0</v>
      </c>
      <c r="AC43" s="879"/>
      <c r="AD43" s="1015">
        <f t="shared" ref="AD43" si="923">(($J43/30/8)*1.5)*AC43</f>
        <v>0</v>
      </c>
      <c r="AE43" s="1294"/>
      <c r="AF43" s="1015">
        <f>(($J43/30/8)*2)*AE43</f>
        <v>0</v>
      </c>
      <c r="AG43" s="1294"/>
      <c r="AH43" s="1015">
        <f t="shared" ref="AH43" si="924">(($J43/30/8)*1.5)*AG43</f>
        <v>0</v>
      </c>
      <c r="AI43" s="1294"/>
      <c r="AJ43" s="1015">
        <f t="shared" ref="AJ43" si="925">(($J43/30/8)*2)*AI43</f>
        <v>0</v>
      </c>
      <c r="AK43" s="1015"/>
      <c r="AL43" s="1015">
        <f t="shared" ref="AL43" si="926">(($J43/30/8)*1.5)*AK43</f>
        <v>0</v>
      </c>
      <c r="AM43" s="1294"/>
      <c r="AN43" s="1015">
        <f t="shared" ref="AN43" si="927">(($J43/30/8)*2)*AM43</f>
        <v>0</v>
      </c>
      <c r="AO43" s="1015"/>
      <c r="AP43" s="1015"/>
      <c r="AQ43" s="1015"/>
      <c r="AR43" s="1015"/>
      <c r="AS43" s="1015"/>
      <c r="AT43" s="1015"/>
      <c r="AU43" s="1015"/>
      <c r="AV43" s="1015"/>
      <c r="AW43" s="1015"/>
      <c r="AX43" s="1015"/>
      <c r="AY43" s="1015"/>
      <c r="AZ43" s="1295"/>
      <c r="BA43" s="1015">
        <f t="shared" ref="BA43" si="928">((J43/30)*M43)*$N43</f>
        <v>5984.9999999999991</v>
      </c>
      <c r="BB43" s="269">
        <f t="shared" ref="BB43" si="929">((K43/30)*M43)*$N43</f>
        <v>1026</v>
      </c>
      <c r="BC43" s="1015">
        <f t="shared" ref="BC43" si="930">U43</f>
        <v>0</v>
      </c>
      <c r="BD43" s="1015">
        <f t="shared" ref="BD43" si="931">V43</f>
        <v>0</v>
      </c>
      <c r="BE43" s="1015">
        <f t="shared" ref="BE43" si="932">W43</f>
        <v>0</v>
      </c>
      <c r="BF43" s="1015">
        <f t="shared" ref="BF43" si="933">X43</f>
        <v>0</v>
      </c>
      <c r="BG43" s="1015">
        <f t="shared" ref="BG43" si="934">AO43+AT43</f>
        <v>0</v>
      </c>
      <c r="BH43" s="1015">
        <f t="shared" si="830"/>
        <v>758.29949999999997</v>
      </c>
      <c r="BI43" s="1015">
        <f t="shared" ref="BI43" si="935">SUM(BA43:BH43)-BC43-BE43</f>
        <v>7769.2994999999992</v>
      </c>
      <c r="BJ43" s="1015">
        <f t="shared" si="832"/>
        <v>3150</v>
      </c>
      <c r="BK43" s="1015">
        <f>(($K43/30)*$M43)*$O43</f>
        <v>540</v>
      </c>
      <c r="BL43" s="1015">
        <f t="shared" ref="BL43" si="936">Y43</f>
        <v>0</v>
      </c>
      <c r="BM43" s="1015">
        <f t="shared" ref="BM43" si="937">Z43</f>
        <v>0</v>
      </c>
      <c r="BN43" s="1015">
        <f t="shared" ref="BN43" si="938">AA43</f>
        <v>0</v>
      </c>
      <c r="BO43" s="1015">
        <f t="shared" ref="BO43" si="939">AB43</f>
        <v>0</v>
      </c>
      <c r="BP43" s="1015">
        <f>AP43+AU43</f>
        <v>0</v>
      </c>
      <c r="BQ43" s="1015">
        <f t="shared" si="839"/>
        <v>399.10500000000002</v>
      </c>
      <c r="BR43" s="1017">
        <f t="shared" ref="BR43" si="940">SUM(BJ43:BQ43)-BL43-BN43</f>
        <v>4089.105</v>
      </c>
      <c r="BS43" s="1015">
        <f t="shared" si="841"/>
        <v>315</v>
      </c>
      <c r="BT43" s="1015">
        <f t="shared" si="842"/>
        <v>54</v>
      </c>
      <c r="BU43" s="1015">
        <f t="shared" ref="BU43" si="941">AC43</f>
        <v>0</v>
      </c>
      <c r="BV43" s="1015">
        <f t="shared" ref="BV43" si="942">AD43</f>
        <v>0</v>
      </c>
      <c r="BW43" s="1015">
        <f t="shared" ref="BW43" si="943">AE43</f>
        <v>0</v>
      </c>
      <c r="BX43" s="1015">
        <f t="shared" ref="BX43" si="944">AF43</f>
        <v>0</v>
      </c>
      <c r="BY43" s="1015">
        <f t="shared" ref="BY43" si="945">AQ43+AV43</f>
        <v>0</v>
      </c>
      <c r="BZ43" s="1015">
        <f t="shared" si="848"/>
        <v>39.910499999999999</v>
      </c>
      <c r="CA43" s="1015">
        <f t="shared" ref="CA43" si="946">SUM(BS43:BZ43)-BU43-BW43</f>
        <v>408.91050000000001</v>
      </c>
      <c r="CB43" s="1296">
        <f>(($J43/30)*$M43)*$Q43</f>
        <v>1050</v>
      </c>
      <c r="CC43" s="1297">
        <f>(($K43/30)*$M43)*$Q43</f>
        <v>180</v>
      </c>
      <c r="CD43" s="1297">
        <f t="shared" ref="CD43:CG43" si="947">AG43</f>
        <v>0</v>
      </c>
      <c r="CE43" s="1297">
        <f t="shared" si="947"/>
        <v>0</v>
      </c>
      <c r="CF43" s="1297">
        <f t="shared" si="947"/>
        <v>0</v>
      </c>
      <c r="CG43" s="1297">
        <f t="shared" si="947"/>
        <v>0</v>
      </c>
      <c r="CH43" s="1297">
        <f>AR43+AW43</f>
        <v>0</v>
      </c>
      <c r="CI43" s="1298">
        <f t="shared" si="856"/>
        <v>133.035</v>
      </c>
      <c r="CJ43" s="1299">
        <f>SUM(CB43:CI43)-CD43-CF43</f>
        <v>1363.0350000000001</v>
      </c>
      <c r="CK43" s="1300">
        <f>(($J43/30)*$M43)*R43</f>
        <v>0</v>
      </c>
      <c r="CL43" s="1297">
        <f t="shared" si="859"/>
        <v>0</v>
      </c>
      <c r="CM43" s="1297">
        <f t="shared" ref="CM43" si="948">+AK43</f>
        <v>0</v>
      </c>
      <c r="CN43" s="1297">
        <f t="shared" ref="CN43:CP43" si="949">AL43</f>
        <v>0</v>
      </c>
      <c r="CO43" s="1297">
        <f t="shared" si="949"/>
        <v>0</v>
      </c>
      <c r="CP43" s="1297">
        <f t="shared" si="949"/>
        <v>0</v>
      </c>
      <c r="CQ43" s="1297">
        <f t="shared" ref="CQ43" si="950">AS43+AX43</f>
        <v>0</v>
      </c>
      <c r="CR43" s="1298">
        <f t="shared" ref="CR43" si="951">(CK43+CN43+CP43)*0.1267</f>
        <v>0</v>
      </c>
      <c r="CS43" s="1298">
        <f t="shared" ref="CS43" si="952">SUM(CK43:CR43)-CM43-CO43</f>
        <v>0</v>
      </c>
      <c r="CU43" s="1256" t="s">
        <v>11</v>
      </c>
      <c r="CV43" s="1015">
        <f t="shared" si="867"/>
        <v>0</v>
      </c>
      <c r="CW43" s="1015">
        <f t="shared" si="868"/>
        <v>0</v>
      </c>
      <c r="CX43" s="1015">
        <f t="shared" si="869"/>
        <v>0</v>
      </c>
      <c r="CY43" s="1015">
        <f t="shared" si="870"/>
        <v>0</v>
      </c>
      <c r="CZ43" s="1015">
        <f t="shared" si="871"/>
        <v>0</v>
      </c>
      <c r="DA43" s="1015">
        <f t="shared" si="872"/>
        <v>0</v>
      </c>
      <c r="DB43" s="1015">
        <f t="shared" si="873"/>
        <v>0</v>
      </c>
      <c r="DC43" s="1015">
        <f t="shared" ref="DC43" si="953">IF($CU43="PROQUIMA",$BH43+$BQ43+$BZ43+$CI43+CR43,0)</f>
        <v>0</v>
      </c>
      <c r="DD43" s="1015">
        <f t="shared" ref="DD43" si="954">SUM(CV43:DC43)-CX43-CZ43</f>
        <v>0</v>
      </c>
      <c r="DE43" s="1015">
        <f t="shared" si="876"/>
        <v>0</v>
      </c>
      <c r="DF43" s="1015">
        <f t="shared" si="877"/>
        <v>0</v>
      </c>
      <c r="DG43" s="1015">
        <f t="shared" si="878"/>
        <v>0</v>
      </c>
      <c r="DH43" s="1015">
        <f t="shared" si="879"/>
        <v>0</v>
      </c>
      <c r="DI43" s="1015">
        <f t="shared" si="880"/>
        <v>0</v>
      </c>
      <c r="DJ43" s="1015">
        <f t="shared" si="881"/>
        <v>0</v>
      </c>
      <c r="DK43" s="1015">
        <v>0</v>
      </c>
      <c r="DL43" s="1015">
        <f t="shared" si="883"/>
        <v>0</v>
      </c>
      <c r="DM43" s="1015">
        <f t="shared" ref="DM43" si="955">SUM(DE43:DL43)-DG43-DI43</f>
        <v>0</v>
      </c>
      <c r="DN43" s="1015">
        <f t="shared" si="885"/>
        <v>0</v>
      </c>
      <c r="DO43" s="1015">
        <f t="shared" si="886"/>
        <v>0</v>
      </c>
      <c r="DP43" s="1015">
        <f t="shared" si="887"/>
        <v>0</v>
      </c>
      <c r="DQ43" s="1015">
        <f t="shared" si="888"/>
        <v>0</v>
      </c>
      <c r="DR43" s="1015">
        <f t="shared" si="889"/>
        <v>0</v>
      </c>
      <c r="DS43" s="1015">
        <f t="shared" si="890"/>
        <v>0</v>
      </c>
      <c r="DT43" s="1015">
        <f t="shared" si="891"/>
        <v>0</v>
      </c>
      <c r="DU43" s="1015">
        <f t="shared" si="892"/>
        <v>0</v>
      </c>
      <c r="DV43" s="1015">
        <f t="shared" ref="DV43" si="956">SUM(DN43:DU43)-DP43-DR43</f>
        <v>0</v>
      </c>
      <c r="DW43" s="1296">
        <f>IF($CU43="CLEARTEC",$BA43+$BJ43+$BS43+$CB43+$CK43,0)</f>
        <v>0</v>
      </c>
      <c r="DX43" s="1296">
        <f t="shared" ref="DX43:ED46" si="957">IF($CU43="CLEARTEC",$BA43+$BJ43+$BS43+$CB43+$CK43,0)</f>
        <v>0</v>
      </c>
      <c r="DY43" s="1296">
        <f t="shared" si="957"/>
        <v>0</v>
      </c>
      <c r="DZ43" s="1296">
        <f t="shared" si="957"/>
        <v>0</v>
      </c>
      <c r="EA43" s="1296">
        <f t="shared" si="957"/>
        <v>0</v>
      </c>
      <c r="EB43" s="1296">
        <f t="shared" si="957"/>
        <v>0</v>
      </c>
      <c r="EC43" s="1296">
        <f t="shared" si="957"/>
        <v>0</v>
      </c>
      <c r="ED43" s="1296">
        <f t="shared" si="957"/>
        <v>0</v>
      </c>
      <c r="EE43" s="1299">
        <f>SUM(DW43:ED43)-DY43-EA43</f>
        <v>0</v>
      </c>
      <c r="EF43" s="1015">
        <f t="shared" ref="EF43:EF45" si="958">IF(CU43="ECONACIONAL",$BA43+$BJ43+$BS43+$CB43+$CK43)</f>
        <v>10500</v>
      </c>
      <c r="EG43" s="1301">
        <f t="shared" si="897"/>
        <v>1800</v>
      </c>
      <c r="EH43" s="1015">
        <f t="shared" si="898"/>
        <v>0</v>
      </c>
      <c r="EI43" s="1015">
        <f t="shared" si="899"/>
        <v>0</v>
      </c>
      <c r="EJ43" s="1301">
        <f t="shared" si="900"/>
        <v>0</v>
      </c>
      <c r="EK43" s="1015">
        <f t="shared" ref="EK43:EK45" si="959">IF(CU43="ECONACIONAL",$BF43+$BO43+$BX43+$CG43+$CP43)</f>
        <v>0</v>
      </c>
      <c r="EL43" s="1015">
        <f t="shared" ref="EL43:EL45" si="960">IF(CU43="ECONACIONAL",$BG43+$BP43+$BY43+$CH43+$CQ43)</f>
        <v>0</v>
      </c>
      <c r="EM43" s="1015">
        <f t="shared" ref="EM43:EM45" si="961">IF(CU43="ECONACIONAL",BH43+BQ43+BZ43+CI43+CR43)</f>
        <v>1330.3500000000001</v>
      </c>
      <c r="EN43" s="1015">
        <f t="shared" ref="EN43:EN45" si="962">SUM(EF43:EM43)-EH43-EJ43</f>
        <v>13630.35</v>
      </c>
      <c r="EO43" s="1302" t="s">
        <v>747</v>
      </c>
      <c r="EP43" s="1292">
        <v>393.64</v>
      </c>
      <c r="EQ43" s="1256"/>
      <c r="ER43" s="1256">
        <v>200</v>
      </c>
      <c r="ES43" s="1256"/>
      <c r="ET43" s="1256"/>
      <c r="EU43" s="1256"/>
      <c r="EV43" s="1256">
        <v>1068</v>
      </c>
      <c r="EW43" s="1256"/>
      <c r="EX43" s="1256"/>
      <c r="EY43" s="1256">
        <f t="shared" si="905"/>
        <v>1068</v>
      </c>
      <c r="FA43" s="879">
        <f t="shared" ref="FA43" si="963">IF($M43&lt;=15,EP43/2,EP43)</f>
        <v>393.64</v>
      </c>
      <c r="FB43" s="879">
        <f t="shared" ref="FB43" si="964">IF($M43&lt;=15,EQ43/2,EQ43)</f>
        <v>0</v>
      </c>
      <c r="FC43" s="879">
        <f t="shared" ref="FC43" si="965">IF($M43&lt;=15,ER43/2,ER43)</f>
        <v>200</v>
      </c>
      <c r="FD43" s="879">
        <f t="shared" ref="FD43" si="966">IF($M43&lt;=15,ES43/2,ES43)</f>
        <v>0</v>
      </c>
      <c r="FE43" s="879">
        <f t="shared" ref="FE43" si="967">IF($M43&lt;=15,ET43/2,ET43)</f>
        <v>0</v>
      </c>
      <c r="FF43" s="879">
        <f t="shared" ref="FF43" si="968">IF($M43&lt;=15,EU43/2,EU43)</f>
        <v>0</v>
      </c>
      <c r="FG43" s="879">
        <f t="shared" ref="FG43" si="969">IF($M43&lt;=15,EV43/2,EV43)</f>
        <v>1068</v>
      </c>
      <c r="FH43" s="879">
        <f t="shared" ref="FH43" si="970">IF($M43&lt;=15,EW43/2,EW43)</f>
        <v>0</v>
      </c>
      <c r="FI43" s="879">
        <f t="shared" ref="FI43" si="971">IF($M43&lt;=15,EX43/2,EX43)</f>
        <v>0</v>
      </c>
      <c r="FJ43" s="879">
        <f t="shared" ref="FJ43" si="972">IF($M43&lt;=15,EY43/2,EY43)</f>
        <v>1068</v>
      </c>
      <c r="FK43" s="1303">
        <v>0.65</v>
      </c>
      <c r="FL43" s="1303">
        <v>0.35</v>
      </c>
      <c r="FM43" s="1303"/>
      <c r="FN43" s="1303">
        <v>0</v>
      </c>
      <c r="FO43" s="1303">
        <v>0</v>
      </c>
      <c r="FP43" s="1303">
        <v>1</v>
      </c>
      <c r="FR43" s="1304">
        <f t="shared" ref="FR43:FR45" si="973">(((J43/30/8)*1.5)*(U43+Y43+AC43))-(BD43+BM43+BV43)</f>
        <v>0</v>
      </c>
      <c r="FS43" s="1304">
        <f t="shared" ref="FS43:FS45" si="974">(((J43/30/8)*2)*(W43+AA43+AE43))-(BF43+BO43+BX43)</f>
        <v>0</v>
      </c>
      <c r="FT43" s="1305">
        <f t="shared" ref="FT43:FT45" si="975">(SUM(BA43:CJ43))-(SUM(EF43:EN43))</f>
        <v>0</v>
      </c>
      <c r="FU43" s="1304">
        <f t="shared" ref="FU43:FU45" si="976">(J43/30*M43)-(EF43)</f>
        <v>0</v>
      </c>
      <c r="FV43" s="1306">
        <f t="shared" ref="FV43:FV45" si="977">(SUM(EP43:EY43))-((SUM(FA43:FJ43))*$FV$5)</f>
        <v>-2729.64</v>
      </c>
    </row>
    <row r="44" spans="1:178" s="216" customFormat="1" ht="15" customHeight="1" outlineLevel="1">
      <c r="A44" s="1006"/>
      <c r="B44" s="1006"/>
      <c r="C44" s="1007"/>
      <c r="D44" s="235"/>
      <c r="E44" s="235">
        <v>106020</v>
      </c>
      <c r="F44" s="1253"/>
      <c r="G44" s="199" t="s">
        <v>769</v>
      </c>
      <c r="H44" s="200" t="s">
        <v>676</v>
      </c>
      <c r="I44" s="201" t="s">
        <v>11</v>
      </c>
      <c r="J44" s="203">
        <v>5250</v>
      </c>
      <c r="K44" s="203">
        <v>1750</v>
      </c>
      <c r="L44" s="202">
        <f t="shared" ref="L44" si="978">+J44+K44</f>
        <v>7000</v>
      </c>
      <c r="M44" s="203">
        <v>30</v>
      </c>
      <c r="N44" s="204">
        <v>0.5</v>
      </c>
      <c r="O44" s="204">
        <v>0.4</v>
      </c>
      <c r="P44" s="204">
        <v>0</v>
      </c>
      <c r="Q44" s="204">
        <v>0.1</v>
      </c>
      <c r="R44" s="820">
        <v>0</v>
      </c>
      <c r="S44" s="204">
        <f t="shared" ref="S44" si="979">SUM(N44:R44)</f>
        <v>1</v>
      </c>
      <c r="T44" s="205" t="s">
        <v>770</v>
      </c>
      <c r="U44" s="207"/>
      <c r="V44" s="203">
        <f t="shared" ref="V44" si="980">($J44/30/8*1.5)*U44</f>
        <v>0</v>
      </c>
      <c r="W44" s="866"/>
      <c r="X44" s="203">
        <f t="shared" ref="X44" si="981">($J44/30/8*2)*W44</f>
        <v>0</v>
      </c>
      <c r="Y44" s="207"/>
      <c r="Z44" s="203">
        <f t="shared" ref="Z44" si="982">($J44/30/8*1.5)*Y44</f>
        <v>0</v>
      </c>
      <c r="AA44" s="207"/>
      <c r="AB44" s="203">
        <f t="shared" ref="AB44" si="983">($J44/30/8*2)*AA44</f>
        <v>0</v>
      </c>
      <c r="AC44" s="207">
        <v>0</v>
      </c>
      <c r="AD44" s="203">
        <f t="shared" ref="AD44" si="984">(($J44/30/8)*1.5)*AC44</f>
        <v>0</v>
      </c>
      <c r="AE44" s="208"/>
      <c r="AF44" s="203">
        <f t="shared" ref="AF44" si="985">(($J44/30/8)*2)*AE44</f>
        <v>0</v>
      </c>
      <c r="AG44" s="208"/>
      <c r="AH44" s="203">
        <f t="shared" ref="AH44" si="986">(($J44/30/8)*1.5)*AG44</f>
        <v>0</v>
      </c>
      <c r="AI44" s="208"/>
      <c r="AJ44" s="203">
        <f t="shared" ref="AJ44" si="987">(($J44/30/8)*2)*AI44</f>
        <v>0</v>
      </c>
      <c r="AK44" s="203"/>
      <c r="AL44" s="203">
        <f t="shared" ref="AL44" si="988">(($J44/30/8)*1.5)*AK44</f>
        <v>0</v>
      </c>
      <c r="AM44" s="208"/>
      <c r="AN44" s="203">
        <f t="shared" ref="AN44" si="989">(($J44/30/8)*2)*AM44</f>
        <v>0</v>
      </c>
      <c r="AO44" s="203"/>
      <c r="AP44" s="203"/>
      <c r="AQ44" s="203"/>
      <c r="AR44" s="203"/>
      <c r="AS44" s="203"/>
      <c r="AT44" s="203"/>
      <c r="AU44" s="203"/>
      <c r="AV44" s="203"/>
      <c r="AW44" s="203"/>
      <c r="AX44" s="203"/>
      <c r="AY44" s="203"/>
      <c r="AZ44" s="201"/>
      <c r="BA44" s="203">
        <f t="shared" ref="BA44" si="990">((J44/30)*M44)*$N44</f>
        <v>2625</v>
      </c>
      <c r="BB44" s="203">
        <f>((K44/30)*M44)*$N44</f>
        <v>875</v>
      </c>
      <c r="BC44" s="203">
        <f t="shared" ref="BC44" si="991">U44</f>
        <v>0</v>
      </c>
      <c r="BD44" s="203">
        <f t="shared" ref="BD44" si="992">V44</f>
        <v>0</v>
      </c>
      <c r="BE44" s="203">
        <f t="shared" ref="BE44" si="993">W44</f>
        <v>0</v>
      </c>
      <c r="BF44" s="203">
        <f t="shared" ref="BF44" si="994">X44</f>
        <v>0</v>
      </c>
      <c r="BG44" s="203">
        <f t="shared" ref="BG44" si="995">AO44+AT44</f>
        <v>0</v>
      </c>
      <c r="BH44" s="203">
        <f t="shared" ref="BH44" si="996">(BA44+BD44+BF44+BG44)*0.1267</f>
        <v>332.58750000000003</v>
      </c>
      <c r="BI44" s="203">
        <f t="shared" ref="BI44" si="997">SUM(BA44:BH44)-BC44-BE44</f>
        <v>3832.5875000000001</v>
      </c>
      <c r="BJ44" s="203">
        <f t="shared" si="832"/>
        <v>2100</v>
      </c>
      <c r="BK44" s="203">
        <f>(($K44/30)*$M44)*$O44</f>
        <v>700</v>
      </c>
      <c r="BL44" s="203">
        <f t="shared" ref="BL44" si="998">Y44</f>
        <v>0</v>
      </c>
      <c r="BM44" s="203">
        <f t="shared" ref="BM44" si="999">Z44</f>
        <v>0</v>
      </c>
      <c r="BN44" s="203">
        <f t="shared" ref="BN44" si="1000">AA44</f>
        <v>0</v>
      </c>
      <c r="BO44" s="203">
        <f t="shared" ref="BO44" si="1001">AB44</f>
        <v>0</v>
      </c>
      <c r="BP44" s="203">
        <f t="shared" ref="BP44" si="1002">AP44+AU44</f>
        <v>0</v>
      </c>
      <c r="BQ44" s="203">
        <f t="shared" ref="BQ44" si="1003">(+BJ44+BM44+BO44+BP44)*0.1267</f>
        <v>266.07</v>
      </c>
      <c r="BR44" s="202">
        <f t="shared" ref="BR44" si="1004">SUM(BJ44:BQ44)-BL44-BN44</f>
        <v>3066.07</v>
      </c>
      <c r="BS44" s="203">
        <f t="shared" si="841"/>
        <v>0</v>
      </c>
      <c r="BT44" s="203">
        <f>(($K44/30)*$M44)*$P44</f>
        <v>0</v>
      </c>
      <c r="BU44" s="203">
        <f t="shared" ref="BU44" si="1005">AC44</f>
        <v>0</v>
      </c>
      <c r="BV44" s="203">
        <f t="shared" ref="BV44" si="1006">AD44</f>
        <v>0</v>
      </c>
      <c r="BW44" s="203">
        <f t="shared" ref="BW44" si="1007">AE44</f>
        <v>0</v>
      </c>
      <c r="BX44" s="203">
        <f t="shared" ref="BX44" si="1008">AF44</f>
        <v>0</v>
      </c>
      <c r="BY44" s="203">
        <f t="shared" ref="BY44" si="1009">AQ44+AV44</f>
        <v>0</v>
      </c>
      <c r="BZ44" s="203">
        <f t="shared" ref="BZ44" si="1010">(BS44+BV44+BX44+BY44)*0.1267</f>
        <v>0</v>
      </c>
      <c r="CA44" s="203">
        <f t="shared" ref="CA44" si="1011">SUM(BS44:BZ44)-BU44-BW44</f>
        <v>0</v>
      </c>
      <c r="CB44" s="241">
        <f t="shared" si="850"/>
        <v>525</v>
      </c>
      <c r="CC44" s="242">
        <f>(($K44/30)*$M44)*$Q44</f>
        <v>175</v>
      </c>
      <c r="CD44" s="242">
        <f t="shared" ref="CD44" si="1012">AG44</f>
        <v>0</v>
      </c>
      <c r="CE44" s="242">
        <f t="shared" ref="CE44" si="1013">AH44</f>
        <v>0</v>
      </c>
      <c r="CF44" s="242">
        <f t="shared" ref="CF44" si="1014">AI44</f>
        <v>0</v>
      </c>
      <c r="CG44" s="242">
        <f t="shared" ref="CG44" si="1015">AJ44</f>
        <v>0</v>
      </c>
      <c r="CH44" s="242">
        <f t="shared" ref="CH44" si="1016">AR44+AW44</f>
        <v>0</v>
      </c>
      <c r="CI44" s="703">
        <f t="shared" ref="CI44" si="1017">(CB44+CE44+CG44+CH44)*0.1267</f>
        <v>66.517499999999998</v>
      </c>
      <c r="CJ44" s="242">
        <f>SUM(CB44:CI44)-CD44-CF44</f>
        <v>766.51750000000004</v>
      </c>
      <c r="CK44" s="242">
        <f t="shared" ref="CK44" si="1018">(($J44/30)*$M44)*R44</f>
        <v>0</v>
      </c>
      <c r="CL44" s="242">
        <f t="shared" si="859"/>
        <v>0</v>
      </c>
      <c r="CM44" s="242">
        <f t="shared" ref="CM44" si="1019">+AK44</f>
        <v>0</v>
      </c>
      <c r="CN44" s="242">
        <f t="shared" ref="CN44" si="1020">AL44</f>
        <v>0</v>
      </c>
      <c r="CO44" s="242">
        <f t="shared" ref="CO44" si="1021">AM44</f>
        <v>0</v>
      </c>
      <c r="CP44" s="242">
        <f t="shared" ref="CP44" si="1022">AN44</f>
        <v>0</v>
      </c>
      <c r="CQ44" s="242">
        <f t="shared" ref="CQ44" si="1023">AS44+AX44</f>
        <v>0</v>
      </c>
      <c r="CR44" s="242">
        <f t="shared" ref="CR44" si="1024">(CK44+CN44+CP44)*0.1267</f>
        <v>0</v>
      </c>
      <c r="CS44" s="243">
        <f t="shared" ref="CS44" si="1025">SUM(CK44:CR44)-CM44-CO44</f>
        <v>0</v>
      </c>
      <c r="CU44" s="201" t="s">
        <v>11</v>
      </c>
      <c r="CV44" s="203">
        <f t="shared" si="867"/>
        <v>0</v>
      </c>
      <c r="CW44" s="203">
        <f t="shared" si="868"/>
        <v>0</v>
      </c>
      <c r="CX44" s="203">
        <f t="shared" si="869"/>
        <v>0</v>
      </c>
      <c r="CY44" s="203">
        <f t="shared" si="870"/>
        <v>0</v>
      </c>
      <c r="CZ44" s="203">
        <f t="shared" si="871"/>
        <v>0</v>
      </c>
      <c r="DA44" s="203">
        <f t="shared" si="872"/>
        <v>0</v>
      </c>
      <c r="DB44" s="203">
        <f t="shared" si="873"/>
        <v>0</v>
      </c>
      <c r="DC44" s="203">
        <f t="shared" ref="DC44" si="1026">IF($CU44="PROQUIMA",$BH44+$BQ44+$BZ44+$CI44+CR44,0)</f>
        <v>0</v>
      </c>
      <c r="DD44" s="203">
        <f t="shared" ref="DD44" si="1027">SUM(CV44:DC44)-CX44-CZ44</f>
        <v>0</v>
      </c>
      <c r="DE44" s="203">
        <f t="shared" si="876"/>
        <v>0</v>
      </c>
      <c r="DF44" s="203">
        <f t="shared" si="877"/>
        <v>0</v>
      </c>
      <c r="DG44" s="203">
        <f t="shared" si="878"/>
        <v>0</v>
      </c>
      <c r="DH44" s="203">
        <f t="shared" si="879"/>
        <v>0</v>
      </c>
      <c r="DI44" s="203">
        <f t="shared" si="880"/>
        <v>0</v>
      </c>
      <c r="DJ44" s="203">
        <f t="shared" si="881"/>
        <v>0</v>
      </c>
      <c r="DK44" s="203">
        <f t="shared" si="882"/>
        <v>0</v>
      </c>
      <c r="DL44" s="203">
        <f t="shared" si="883"/>
        <v>0</v>
      </c>
      <c r="DM44" s="203">
        <f t="shared" ref="DM44" si="1028">SUM(DE44:DL44)-DG44-DI44</f>
        <v>0</v>
      </c>
      <c r="DN44" s="203">
        <f t="shared" si="885"/>
        <v>0</v>
      </c>
      <c r="DO44" s="203">
        <f t="shared" si="886"/>
        <v>0</v>
      </c>
      <c r="DP44" s="203">
        <f t="shared" si="887"/>
        <v>0</v>
      </c>
      <c r="DQ44" s="203">
        <f t="shared" si="888"/>
        <v>0</v>
      </c>
      <c r="DR44" s="203">
        <f t="shared" si="889"/>
        <v>0</v>
      </c>
      <c r="DS44" s="203">
        <f t="shared" si="890"/>
        <v>0</v>
      </c>
      <c r="DT44" s="203">
        <f t="shared" si="891"/>
        <v>0</v>
      </c>
      <c r="DU44" s="203">
        <f t="shared" si="892"/>
        <v>0</v>
      </c>
      <c r="DV44" s="203">
        <f t="shared" ref="DV44" si="1029">SUM(DN44:DU44)-DP44-DR44</f>
        <v>0</v>
      </c>
      <c r="DW44" s="702">
        <f t="shared" ref="DW44:DW46" si="1030">IF($CU44="CLEARTEC",$BA44+$BJ44+$BS44+$CB44+$CK44,0)</f>
        <v>0</v>
      </c>
      <c r="DX44" s="702">
        <f t="shared" si="957"/>
        <v>0</v>
      </c>
      <c r="DY44" s="702">
        <f t="shared" si="957"/>
        <v>0</v>
      </c>
      <c r="DZ44" s="702">
        <f t="shared" si="957"/>
        <v>0</v>
      </c>
      <c r="EA44" s="702">
        <f t="shared" si="957"/>
        <v>0</v>
      </c>
      <c r="EB44" s="702">
        <f t="shared" si="957"/>
        <v>0</v>
      </c>
      <c r="EC44" s="702">
        <f t="shared" si="957"/>
        <v>0</v>
      </c>
      <c r="ED44" s="702">
        <f t="shared" si="957"/>
        <v>0</v>
      </c>
      <c r="EE44" s="242">
        <f t="shared" ref="EE44" si="1031">SUM(DW44:ED44)-DY44-EA44</f>
        <v>0</v>
      </c>
      <c r="EF44" s="203">
        <f t="shared" ref="EF44" si="1032">IF(CU44="ECONACIONAL",$BA44+$BJ44+$BS44+$CB44+$CK44)</f>
        <v>5250</v>
      </c>
      <c r="EG44" s="242">
        <f t="shared" si="897"/>
        <v>1750</v>
      </c>
      <c r="EH44" s="203">
        <f t="shared" ref="EH44" si="1033">IF(CU44="ECONACIONAL",$BC44+$BL44+$BU44+$CD44+$CM44)</f>
        <v>0</v>
      </c>
      <c r="EI44" s="203">
        <f t="shared" ref="EI44" si="1034">IF(CU44="ECONACIONAL",$BD44+$DH44+$DQ44+$DZ44+BM44+BV44+CE44+CN44)</f>
        <v>0</v>
      </c>
      <c r="EJ44" s="242">
        <f t="shared" si="900"/>
        <v>0</v>
      </c>
      <c r="EK44" s="203">
        <f t="shared" ref="EK44" si="1035">IF(CU44="ECONACIONAL",$BF44+$BO44+$BX44+$CG44+$CP44)</f>
        <v>0</v>
      </c>
      <c r="EL44" s="203">
        <f t="shared" ref="EL44" si="1036">IF(CU44="ECONACIONAL",$BG44+$BP44+$BY44+$CH44+$CQ44)</f>
        <v>0</v>
      </c>
      <c r="EM44" s="203">
        <f t="shared" ref="EM44" si="1037">IF(CU44="ECONACIONAL",BH44+BQ44+BZ44+CI44+CR44)</f>
        <v>665.17500000000007</v>
      </c>
      <c r="EN44" s="203">
        <f t="shared" ref="EN44" si="1038">SUM(EF44:EM44)-EH44-EJ44</f>
        <v>7665.1750000000002</v>
      </c>
      <c r="EP44" s="786">
        <v>178</v>
      </c>
      <c r="EQ44" s="201"/>
      <c r="ER44" s="201"/>
      <c r="ES44" s="201"/>
      <c r="ET44" s="201"/>
      <c r="EU44" s="201"/>
      <c r="EV44" s="201"/>
      <c r="EW44" s="201"/>
      <c r="EX44" s="201"/>
      <c r="EY44" s="201">
        <f t="shared" ref="EY44" si="1039">+ET44+EU44+EV44</f>
        <v>0</v>
      </c>
      <c r="EZ44" s="821"/>
      <c r="FA44" s="207">
        <f t="shared" ref="FA44" si="1040">IF($M44&lt;=15,EP44/2,EP44)</f>
        <v>178</v>
      </c>
      <c r="FB44" s="207">
        <f t="shared" ref="FB44" si="1041">IF($M44&lt;=15,EQ44/2,EQ44)</f>
        <v>0</v>
      </c>
      <c r="FC44" s="207">
        <f t="shared" ref="FC44" si="1042">IF($M44&lt;=15,ER44/2,ER44)</f>
        <v>0</v>
      </c>
      <c r="FD44" s="207">
        <f t="shared" ref="FD44" si="1043">IF($M44&lt;=15,ES44/2,ES44)</f>
        <v>0</v>
      </c>
      <c r="FE44" s="207">
        <f t="shared" ref="FE44" si="1044">IF($M44&lt;=15,ET44/2,ET44)</f>
        <v>0</v>
      </c>
      <c r="FF44" s="207">
        <f t="shared" ref="FF44" si="1045">IF($M44&lt;=15,EU44/2,EU44)</f>
        <v>0</v>
      </c>
      <c r="FG44" s="207">
        <f t="shared" ref="FG44" si="1046">IF($M44&lt;=15,EV44/2,EV44)</f>
        <v>0</v>
      </c>
      <c r="FH44" s="207">
        <f t="shared" ref="FH44" si="1047">IF($M44&lt;=15,EW44/2,EW44)</f>
        <v>0</v>
      </c>
      <c r="FI44" s="207">
        <f t="shared" ref="FI44" si="1048">IF($M44&lt;=15,EX44/2,EX44)</f>
        <v>0</v>
      </c>
      <c r="FJ44" s="207">
        <f t="shared" ref="FJ44" si="1049">IF($M44&lt;=15,EY44/2,EY44)</f>
        <v>0</v>
      </c>
      <c r="FK44" s="217">
        <v>1</v>
      </c>
      <c r="FL44" s="217">
        <v>0</v>
      </c>
      <c r="FM44" s="217">
        <v>0</v>
      </c>
      <c r="FN44" s="217">
        <v>0</v>
      </c>
      <c r="FO44" s="217">
        <v>0</v>
      </c>
      <c r="FP44" s="217">
        <v>1</v>
      </c>
      <c r="FR44" s="1185">
        <f t="shared" ref="FR44" si="1050">(((J44/30/8)*1.5)*(U44+Y44+AC44))-(BD44+BM44+BV44)</f>
        <v>0</v>
      </c>
      <c r="FS44" s="1185">
        <f t="shared" ref="FS44" si="1051">(((J44/30/8)*2)*(W44+AA44+AE44))-(BF44+BO44+BX44)</f>
        <v>0</v>
      </c>
      <c r="FT44" s="1186">
        <f t="shared" ref="FT44" si="1052">(SUM(BA44:CJ44))-(SUM(EF44:EN44))</f>
        <v>0</v>
      </c>
      <c r="FU44" s="1185">
        <f t="shared" ref="FU44" si="1053">(J44/30*M44)-(EF44)</f>
        <v>0</v>
      </c>
      <c r="FV44" s="1187">
        <f t="shared" ref="FV44" si="1054">(SUM(EP44:EY44))-((SUM(FA44:FJ44))*$FV$5)</f>
        <v>-178</v>
      </c>
    </row>
    <row r="45" spans="1:178" s="216" customFormat="1" ht="15" customHeight="1" outlineLevel="1">
      <c r="A45" s="1006" t="str">
        <f t="shared" si="253"/>
        <v>MAYO  2026 2da QUINCENA</v>
      </c>
      <c r="B45" s="1006">
        <f t="shared" si="90"/>
        <v>2026</v>
      </c>
      <c r="C45" s="1007" t="str">
        <f t="shared" si="254"/>
        <v>MAYO  2026 2da QUINCENA2026</v>
      </c>
      <c r="D45" s="235" t="str">
        <f t="shared" ref="D45" si="1055">+$G$42</f>
        <v>CONTABILIDAD</v>
      </c>
      <c r="E45" s="235">
        <v>106020</v>
      </c>
      <c r="F45" s="1253" t="e">
        <f>+#REF!+1</f>
        <v>#REF!</v>
      </c>
      <c r="G45" s="199" t="s">
        <v>678</v>
      </c>
      <c r="H45" s="200" t="s">
        <v>65</v>
      </c>
      <c r="I45" s="201" t="s">
        <v>11</v>
      </c>
      <c r="J45" s="203">
        <v>6000</v>
      </c>
      <c r="K45" s="203">
        <v>3000</v>
      </c>
      <c r="L45" s="202">
        <f t="shared" ref="L45:L46" si="1056">+J45+K45</f>
        <v>9000</v>
      </c>
      <c r="M45" s="203">
        <v>30</v>
      </c>
      <c r="N45" s="204">
        <v>0.45</v>
      </c>
      <c r="O45" s="204">
        <v>0.5</v>
      </c>
      <c r="P45" s="204">
        <v>0.05</v>
      </c>
      <c r="Q45" s="204">
        <v>0</v>
      </c>
      <c r="R45" s="820">
        <v>0</v>
      </c>
      <c r="S45" s="204">
        <f t="shared" ref="S45" si="1057">SUM(N45:R45)</f>
        <v>1</v>
      </c>
      <c r="T45" s="205"/>
      <c r="U45" s="207"/>
      <c r="V45" s="203">
        <f t="shared" ref="V45" si="1058">($J45/30/8*1.5)*U45</f>
        <v>0</v>
      </c>
      <c r="W45" s="866"/>
      <c r="X45" s="203">
        <f t="shared" ref="X45" si="1059">($J45/30/8*2)*W45</f>
        <v>0</v>
      </c>
      <c r="Y45" s="207"/>
      <c r="Z45" s="203">
        <f t="shared" ref="Z45" si="1060">($J45/30/8*1.5)*Y45</f>
        <v>0</v>
      </c>
      <c r="AA45" s="207"/>
      <c r="AB45" s="203">
        <f t="shared" ref="AB45" si="1061">($J45/30/8*2)*AA45</f>
        <v>0</v>
      </c>
      <c r="AC45" s="207">
        <v>0</v>
      </c>
      <c r="AD45" s="203">
        <f t="shared" ref="AD45" si="1062">(($J45/30/8)*1.5)*AC45</f>
        <v>0</v>
      </c>
      <c r="AE45" s="208"/>
      <c r="AF45" s="203">
        <f t="shared" ref="AF45:AF46" si="1063">(($J45/30/8)*2)*AE45</f>
        <v>0</v>
      </c>
      <c r="AG45" s="208"/>
      <c r="AH45" s="203">
        <f t="shared" ref="AH45" si="1064">(($J45/30/8)*1.5)*AG45</f>
        <v>0</v>
      </c>
      <c r="AI45" s="208"/>
      <c r="AJ45" s="203">
        <f t="shared" ref="AJ45" si="1065">(($J45/30/8)*2)*AI45</f>
        <v>0</v>
      </c>
      <c r="AK45" s="203"/>
      <c r="AL45" s="203">
        <f t="shared" ref="AL45" si="1066">(($J45/30/8)*1.5)*AK45</f>
        <v>0</v>
      </c>
      <c r="AM45" s="208"/>
      <c r="AN45" s="203">
        <f t="shared" ref="AN45" si="1067">(($J45/30/8)*2)*AM45</f>
        <v>0</v>
      </c>
      <c r="AO45" s="203"/>
      <c r="AP45" s="203"/>
      <c r="AQ45" s="203"/>
      <c r="AR45" s="203"/>
      <c r="AS45" s="203"/>
      <c r="AT45" s="203"/>
      <c r="AU45" s="203"/>
      <c r="AV45" s="203"/>
      <c r="AW45" s="203"/>
      <c r="AX45" s="203"/>
      <c r="AY45" s="203"/>
      <c r="AZ45" s="201"/>
      <c r="BA45" s="203">
        <f t="shared" ref="BA45:BA46" si="1068">((J45/30)*M45)*$N45</f>
        <v>2700</v>
      </c>
      <c r="BB45" s="203">
        <f>((K45/30)*M45)*$N45+450</f>
        <v>1800</v>
      </c>
      <c r="BC45" s="203">
        <f t="shared" ref="BC45:BC46" si="1069">U45</f>
        <v>0</v>
      </c>
      <c r="BD45" s="203">
        <f t="shared" ref="BD45:BD46" si="1070">V45</f>
        <v>0</v>
      </c>
      <c r="BE45" s="203">
        <f t="shared" ref="BE45:BE46" si="1071">W45</f>
        <v>0</v>
      </c>
      <c r="BF45" s="203">
        <f t="shared" ref="BF45:BF46" si="1072">X45</f>
        <v>0</v>
      </c>
      <c r="BG45" s="203">
        <f t="shared" ref="BG45" si="1073">AO45+AT45</f>
        <v>0</v>
      </c>
      <c r="BH45" s="203">
        <f t="shared" si="830"/>
        <v>342.09000000000003</v>
      </c>
      <c r="BI45" s="203">
        <f t="shared" ref="BI45" si="1074">SUM(BA45:BH45)-BC45-BE45</f>
        <v>4842.09</v>
      </c>
      <c r="BJ45" s="203">
        <f t="shared" si="832"/>
        <v>3000</v>
      </c>
      <c r="BK45" s="203">
        <f>(($K45/30)*$M45)*$O45+450</f>
        <v>1950</v>
      </c>
      <c r="BL45" s="203">
        <f t="shared" ref="BL45:BL46" si="1075">Y45</f>
        <v>0</v>
      </c>
      <c r="BM45" s="203">
        <f t="shared" ref="BM45:BM46" si="1076">Z45</f>
        <v>0</v>
      </c>
      <c r="BN45" s="203">
        <f t="shared" ref="BN45:BN46" si="1077">AA45</f>
        <v>0</v>
      </c>
      <c r="BO45" s="203">
        <f t="shared" ref="BO45:BO46" si="1078">AB45</f>
        <v>0</v>
      </c>
      <c r="BP45" s="203">
        <f t="shared" ref="BP45" si="1079">AP45+AU45</f>
        <v>0</v>
      </c>
      <c r="BQ45" s="203">
        <f t="shared" si="839"/>
        <v>380.1</v>
      </c>
      <c r="BR45" s="202">
        <f t="shared" ref="BR45" si="1080">SUM(BJ45:BQ45)-BL45-BN45</f>
        <v>5330.1</v>
      </c>
      <c r="BS45" s="203">
        <f t="shared" si="841"/>
        <v>300</v>
      </c>
      <c r="BT45" s="203">
        <f>(($K45/30)*$M45)*$P45+100</f>
        <v>250</v>
      </c>
      <c r="BU45" s="203">
        <f t="shared" ref="BU45:BU46" si="1081">AC45</f>
        <v>0</v>
      </c>
      <c r="BV45" s="203">
        <f t="shared" ref="BV45:BV46" si="1082">AD45</f>
        <v>0</v>
      </c>
      <c r="BW45" s="203">
        <f t="shared" ref="BW45:BW46" si="1083">AE45</f>
        <v>0</v>
      </c>
      <c r="BX45" s="203">
        <f t="shared" ref="BX45:BX46" si="1084">AF45</f>
        <v>0</v>
      </c>
      <c r="BY45" s="203">
        <f t="shared" ref="BY45" si="1085">AQ45+AV45</f>
        <v>0</v>
      </c>
      <c r="BZ45" s="203">
        <f t="shared" si="848"/>
        <v>38.010000000000005</v>
      </c>
      <c r="CA45" s="203">
        <f t="shared" ref="CA45" si="1086">SUM(BS45:BZ45)-BU45-BW45</f>
        <v>588.01</v>
      </c>
      <c r="CB45" s="241">
        <f t="shared" si="850"/>
        <v>0</v>
      </c>
      <c r="CC45" s="242">
        <f>(($K45/30)*$M45)*$Q45</f>
        <v>0</v>
      </c>
      <c r="CD45" s="242">
        <f t="shared" ref="CD45:CD46" si="1087">AG45</f>
        <v>0</v>
      </c>
      <c r="CE45" s="242">
        <f t="shared" ref="CE45:CE46" si="1088">AH45</f>
        <v>0</v>
      </c>
      <c r="CF45" s="242">
        <f t="shared" ref="CF45:CF46" si="1089">AI45</f>
        <v>0</v>
      </c>
      <c r="CG45" s="242">
        <f t="shared" ref="CG45:CG46" si="1090">AJ45</f>
        <v>0</v>
      </c>
      <c r="CH45" s="242">
        <f t="shared" ref="CH45" si="1091">AR45+AW45</f>
        <v>0</v>
      </c>
      <c r="CI45" s="703">
        <f t="shared" si="856"/>
        <v>0</v>
      </c>
      <c r="CJ45" s="242">
        <f t="shared" ref="CJ45" si="1092">SUM(CB45:CI45)-CD45-CF45</f>
        <v>0</v>
      </c>
      <c r="CK45" s="242">
        <f t="shared" ref="CK45:CK46" si="1093">(($J45/30)*$M45)*R45</f>
        <v>0</v>
      </c>
      <c r="CL45" s="242">
        <f t="shared" si="859"/>
        <v>0</v>
      </c>
      <c r="CM45" s="242">
        <f t="shared" ref="CM45" si="1094">+AK45</f>
        <v>0</v>
      </c>
      <c r="CN45" s="242">
        <f t="shared" ref="CN45:CN46" si="1095">AL45</f>
        <v>0</v>
      </c>
      <c r="CO45" s="242">
        <f t="shared" ref="CO45:CO46" si="1096">AM45</f>
        <v>0</v>
      </c>
      <c r="CP45" s="242">
        <f t="shared" ref="CP45:CP46" si="1097">AN45</f>
        <v>0</v>
      </c>
      <c r="CQ45" s="242">
        <f t="shared" ref="CQ45" si="1098">AS45+AX45</f>
        <v>0</v>
      </c>
      <c r="CR45" s="242">
        <f t="shared" ref="CR45" si="1099">(CK45+CN45+CP45)*0.1267</f>
        <v>0</v>
      </c>
      <c r="CS45" s="243">
        <f t="shared" ref="CS45" si="1100">SUM(CK45:CR45)-CM45-CO45</f>
        <v>0</v>
      </c>
      <c r="CU45" s="201" t="s">
        <v>11</v>
      </c>
      <c r="CV45" s="203">
        <f t="shared" si="867"/>
        <v>0</v>
      </c>
      <c r="CW45" s="203">
        <f t="shared" si="868"/>
        <v>0</v>
      </c>
      <c r="CX45" s="203">
        <f t="shared" si="869"/>
        <v>0</v>
      </c>
      <c r="CY45" s="203">
        <f t="shared" si="870"/>
        <v>0</v>
      </c>
      <c r="CZ45" s="203">
        <f t="shared" si="871"/>
        <v>0</v>
      </c>
      <c r="DA45" s="203">
        <f t="shared" si="872"/>
        <v>0</v>
      </c>
      <c r="DB45" s="203">
        <f t="shared" si="873"/>
        <v>0</v>
      </c>
      <c r="DC45" s="203">
        <f t="shared" ref="DC45" si="1101">IF($CU45="PROQUIMA",$BH45+$BQ45+$BZ45+$CI45+CR45,0)</f>
        <v>0</v>
      </c>
      <c r="DD45" s="203">
        <f t="shared" ref="DD45" si="1102">SUM(CV45:DC45)-CX45-CZ45</f>
        <v>0</v>
      </c>
      <c r="DE45" s="203">
        <f t="shared" si="876"/>
        <v>0</v>
      </c>
      <c r="DF45" s="203">
        <f t="shared" si="877"/>
        <v>0</v>
      </c>
      <c r="DG45" s="203">
        <f t="shared" si="878"/>
        <v>0</v>
      </c>
      <c r="DH45" s="203">
        <f t="shared" si="879"/>
        <v>0</v>
      </c>
      <c r="DI45" s="203">
        <f t="shared" si="880"/>
        <v>0</v>
      </c>
      <c r="DJ45" s="203">
        <f t="shared" si="881"/>
        <v>0</v>
      </c>
      <c r="DK45" s="203">
        <f t="shared" si="882"/>
        <v>0</v>
      </c>
      <c r="DL45" s="203">
        <f t="shared" si="883"/>
        <v>0</v>
      </c>
      <c r="DM45" s="203">
        <f t="shared" ref="DM45" si="1103">SUM(DE45:DL45)-DG45-DI45</f>
        <v>0</v>
      </c>
      <c r="DN45" s="203">
        <f t="shared" si="885"/>
        <v>0</v>
      </c>
      <c r="DO45" s="203">
        <f t="shared" si="886"/>
        <v>0</v>
      </c>
      <c r="DP45" s="203">
        <f t="shared" si="887"/>
        <v>0</v>
      </c>
      <c r="DQ45" s="203">
        <f t="shared" si="888"/>
        <v>0</v>
      </c>
      <c r="DR45" s="203">
        <f t="shared" si="889"/>
        <v>0</v>
      </c>
      <c r="DS45" s="203">
        <f t="shared" si="890"/>
        <v>0</v>
      </c>
      <c r="DT45" s="203">
        <f t="shared" si="891"/>
        <v>0</v>
      </c>
      <c r="DU45" s="203">
        <f t="shared" si="892"/>
        <v>0</v>
      </c>
      <c r="DV45" s="203">
        <f t="shared" ref="DV45" si="1104">SUM(DN45:DU45)-DP45-DR45</f>
        <v>0</v>
      </c>
      <c r="DW45" s="702">
        <f t="shared" si="1030"/>
        <v>0</v>
      </c>
      <c r="DX45" s="702">
        <f t="shared" si="957"/>
        <v>0</v>
      </c>
      <c r="DY45" s="702">
        <f t="shared" si="957"/>
        <v>0</v>
      </c>
      <c r="DZ45" s="702">
        <f t="shared" si="957"/>
        <v>0</v>
      </c>
      <c r="EA45" s="702">
        <f t="shared" si="957"/>
        <v>0</v>
      </c>
      <c r="EB45" s="702">
        <f t="shared" si="957"/>
        <v>0</v>
      </c>
      <c r="EC45" s="702">
        <f t="shared" si="957"/>
        <v>0</v>
      </c>
      <c r="ED45" s="702">
        <f t="shared" si="957"/>
        <v>0</v>
      </c>
      <c r="EE45" s="242">
        <f t="shared" ref="EE45" si="1105">SUM(DW45:ED45)-DY45-EA45</f>
        <v>0</v>
      </c>
      <c r="EF45" s="203">
        <f t="shared" si="958"/>
        <v>6000</v>
      </c>
      <c r="EG45" s="242">
        <f t="shared" si="897"/>
        <v>4000</v>
      </c>
      <c r="EH45" s="203">
        <f t="shared" si="898"/>
        <v>0</v>
      </c>
      <c r="EI45" s="203">
        <f t="shared" si="899"/>
        <v>0</v>
      </c>
      <c r="EJ45" s="242">
        <f t="shared" si="900"/>
        <v>0</v>
      </c>
      <c r="EK45" s="203">
        <f t="shared" si="959"/>
        <v>0</v>
      </c>
      <c r="EL45" s="203">
        <f t="shared" si="960"/>
        <v>0</v>
      </c>
      <c r="EM45" s="203">
        <f t="shared" si="961"/>
        <v>760.2</v>
      </c>
      <c r="EN45" s="203">
        <f t="shared" si="962"/>
        <v>10760.2</v>
      </c>
      <c r="EP45" s="201">
        <v>289.93</v>
      </c>
      <c r="EQ45" s="201"/>
      <c r="ER45" s="201"/>
      <c r="ES45" s="201"/>
      <c r="ET45" s="201"/>
      <c r="EU45" s="201"/>
      <c r="EV45" s="201">
        <v>350</v>
      </c>
      <c r="EW45" s="201"/>
      <c r="EX45" s="201"/>
      <c r="EY45" s="201">
        <f t="shared" si="905"/>
        <v>350</v>
      </c>
      <c r="EZ45" s="821"/>
      <c r="FA45" s="207">
        <f>IF($M45&lt;=15,EP45/2,EP45)</f>
        <v>289.93</v>
      </c>
      <c r="FB45" s="207">
        <f t="shared" ref="FB45:FB46" si="1106">IF($M45&lt;=15,EQ45/2,EQ45)</f>
        <v>0</v>
      </c>
      <c r="FC45" s="207">
        <f t="shared" ref="FC45:FC46" si="1107">IF($M45&lt;=15,ER45/2,ER45)</f>
        <v>0</v>
      </c>
      <c r="FD45" s="207">
        <f t="shared" ref="FD45:FD46" si="1108">IF($M45&lt;=15,ES45/2,ES45)</f>
        <v>0</v>
      </c>
      <c r="FE45" s="207">
        <f t="shared" ref="FE45:FE46" si="1109">IF($M45&lt;=15,ET45/2,ET45)</f>
        <v>0</v>
      </c>
      <c r="FF45" s="207">
        <f t="shared" ref="FF45:FF46" si="1110">IF($M45&lt;=15,EU45/2,EU45)</f>
        <v>0</v>
      </c>
      <c r="FG45" s="207">
        <f t="shared" ref="FG45:FG46" si="1111">IF($M45&lt;=15,EV45/2,EV45)</f>
        <v>350</v>
      </c>
      <c r="FH45" s="207">
        <f t="shared" ref="FH45:FH46" si="1112">IF($M45&lt;=15,EW45/2,EW45)</f>
        <v>0</v>
      </c>
      <c r="FI45" s="207">
        <f t="shared" ref="FI45:FI46" si="1113">IF($M45&lt;=15,EX45/2,EX45)</f>
        <v>0</v>
      </c>
      <c r="FJ45" s="207">
        <f>IF($M45&lt;=15,EY45/2,EY45)</f>
        <v>350</v>
      </c>
      <c r="FK45" s="217"/>
      <c r="FL45" s="217"/>
      <c r="FM45" s="217"/>
      <c r="FN45" s="217"/>
      <c r="FO45" s="217"/>
      <c r="FP45" s="217"/>
      <c r="FR45" s="1185">
        <f t="shared" si="973"/>
        <v>0</v>
      </c>
      <c r="FS45" s="1185">
        <f t="shared" si="974"/>
        <v>0</v>
      </c>
      <c r="FT45" s="1186">
        <f t="shared" si="975"/>
        <v>0</v>
      </c>
      <c r="FU45" s="1185">
        <f t="shared" si="976"/>
        <v>0</v>
      </c>
      <c r="FV45" s="1187">
        <f t="shared" si="977"/>
        <v>-989.93000000000006</v>
      </c>
    </row>
    <row r="46" spans="1:178" s="216" customFormat="1" ht="15" customHeight="1" outlineLevel="1">
      <c r="A46" s="1006"/>
      <c r="B46" s="1006"/>
      <c r="C46" s="1007"/>
      <c r="D46" s="235"/>
      <c r="E46" s="235">
        <v>106020</v>
      </c>
      <c r="F46" s="1253"/>
      <c r="G46" s="199" t="s">
        <v>751</v>
      </c>
      <c r="H46" s="200" t="s">
        <v>752</v>
      </c>
      <c r="I46" s="201" t="s">
        <v>11</v>
      </c>
      <c r="J46" s="203">
        <v>4002.28</v>
      </c>
      <c r="K46" s="267">
        <v>405.16</v>
      </c>
      <c r="L46" s="882">
        <f t="shared" si="1056"/>
        <v>4407.4400000000005</v>
      </c>
      <c r="M46" s="203">
        <v>30</v>
      </c>
      <c r="N46" s="204">
        <v>0.43</v>
      </c>
      <c r="O46" s="204">
        <v>0.42</v>
      </c>
      <c r="P46" s="204">
        <v>0.15</v>
      </c>
      <c r="Q46" s="204">
        <v>0</v>
      </c>
      <c r="R46" s="820">
        <v>0</v>
      </c>
      <c r="S46" s="204">
        <f>SUM(N46:R46)</f>
        <v>1</v>
      </c>
      <c r="T46" s="205"/>
      <c r="U46" s="207"/>
      <c r="V46" s="203">
        <f>($J46/30/8*1.5)*U46</f>
        <v>0</v>
      </c>
      <c r="W46" s="207"/>
      <c r="X46" s="203">
        <f>($J46/30/8*2)*W46</f>
        <v>0</v>
      </c>
      <c r="Y46" s="207"/>
      <c r="Z46" s="203">
        <f>($J46/30/8*1.5)*Y46</f>
        <v>0</v>
      </c>
      <c r="AA46" s="207"/>
      <c r="AB46" s="203">
        <f>($J46/30/8*2)*AA46</f>
        <v>0</v>
      </c>
      <c r="AC46" s="207">
        <v>0</v>
      </c>
      <c r="AD46" s="203">
        <f>(($J46/30/8)*1.5)*AC46</f>
        <v>0</v>
      </c>
      <c r="AE46" s="208"/>
      <c r="AF46" s="203">
        <f t="shared" si="1063"/>
        <v>0</v>
      </c>
      <c r="AG46" s="208"/>
      <c r="AH46" s="203">
        <f>(($J46/30/8)*1.5)*AG46</f>
        <v>0</v>
      </c>
      <c r="AI46" s="208"/>
      <c r="AJ46" s="203">
        <f>(($J46/30/8)*2)*AI46</f>
        <v>0</v>
      </c>
      <c r="AK46" s="203"/>
      <c r="AL46" s="203">
        <f>(($J46/30/8)*1.5)*AK46</f>
        <v>0</v>
      </c>
      <c r="AM46" s="208"/>
      <c r="AN46" s="203">
        <f>(($J46/30/8)*2)*AM46</f>
        <v>0</v>
      </c>
      <c r="AO46" s="203"/>
      <c r="AP46" s="203"/>
      <c r="AQ46" s="203"/>
      <c r="AR46" s="203"/>
      <c r="AS46" s="203"/>
      <c r="AT46" s="203"/>
      <c r="AU46" s="203"/>
      <c r="AV46" s="203"/>
      <c r="AW46" s="203"/>
      <c r="AX46" s="203"/>
      <c r="AY46" s="203"/>
      <c r="AZ46" s="201"/>
      <c r="BA46" s="203">
        <f t="shared" si="1068"/>
        <v>1720.9804000000001</v>
      </c>
      <c r="BB46" s="203">
        <f>((K46/30)*M46)*$N46</f>
        <v>174.21880000000002</v>
      </c>
      <c r="BC46" s="203">
        <f t="shared" si="1069"/>
        <v>0</v>
      </c>
      <c r="BD46" s="203">
        <f t="shared" si="1070"/>
        <v>0</v>
      </c>
      <c r="BE46" s="203">
        <f t="shared" si="1071"/>
        <v>0</v>
      </c>
      <c r="BF46" s="203">
        <f t="shared" si="1072"/>
        <v>0</v>
      </c>
      <c r="BG46" s="203">
        <f>AO46+AT46</f>
        <v>0</v>
      </c>
      <c r="BH46" s="203">
        <f t="shared" si="830"/>
        <v>218.04821668000002</v>
      </c>
      <c r="BI46" s="203">
        <f>SUM(BA46:BH46)-BC46-BE46</f>
        <v>2113.2474166800002</v>
      </c>
      <c r="BJ46" s="203">
        <f t="shared" si="832"/>
        <v>1680.9576</v>
      </c>
      <c r="BK46" s="203">
        <f>(($K46/30)*$M46)*$O46</f>
        <v>170.16720000000001</v>
      </c>
      <c r="BL46" s="203">
        <f t="shared" si="1075"/>
        <v>0</v>
      </c>
      <c r="BM46" s="203">
        <f t="shared" si="1076"/>
        <v>0</v>
      </c>
      <c r="BN46" s="203">
        <f t="shared" si="1077"/>
        <v>0</v>
      </c>
      <c r="BO46" s="203">
        <f t="shared" si="1078"/>
        <v>0</v>
      </c>
      <c r="BP46" s="203">
        <f>AP46+AU46</f>
        <v>0</v>
      </c>
      <c r="BQ46" s="203">
        <f t="shared" si="839"/>
        <v>212.97732791999999</v>
      </c>
      <c r="BR46" s="202">
        <f>SUM(BJ46:BQ46)-BL46-BN46</f>
        <v>2064.1021279199999</v>
      </c>
      <c r="BS46" s="203">
        <f t="shared" si="841"/>
        <v>600.34199999999998</v>
      </c>
      <c r="BT46" s="203">
        <f t="shared" si="842"/>
        <v>60.774000000000001</v>
      </c>
      <c r="BU46" s="203">
        <f t="shared" si="1081"/>
        <v>0</v>
      </c>
      <c r="BV46" s="203">
        <f t="shared" si="1082"/>
        <v>0</v>
      </c>
      <c r="BW46" s="203">
        <f t="shared" si="1083"/>
        <v>0</v>
      </c>
      <c r="BX46" s="203">
        <f t="shared" si="1084"/>
        <v>0</v>
      </c>
      <c r="BY46" s="203">
        <f>AQ46+AV46</f>
        <v>0</v>
      </c>
      <c r="BZ46" s="203">
        <f t="shared" si="848"/>
        <v>76.063331399999996</v>
      </c>
      <c r="CA46" s="203">
        <f>SUM(BS46:BZ46)-BU46-BW46</f>
        <v>737.17933140000002</v>
      </c>
      <c r="CB46" s="241">
        <f t="shared" si="850"/>
        <v>0</v>
      </c>
      <c r="CC46" s="242">
        <f t="shared" ref="CC46" si="1114">(($K46/30)*$M46)*$Q46</f>
        <v>0</v>
      </c>
      <c r="CD46" s="242">
        <f t="shared" si="1087"/>
        <v>0</v>
      </c>
      <c r="CE46" s="242">
        <f t="shared" si="1088"/>
        <v>0</v>
      </c>
      <c r="CF46" s="242">
        <f t="shared" si="1089"/>
        <v>0</v>
      </c>
      <c r="CG46" s="242">
        <f t="shared" si="1090"/>
        <v>0</v>
      </c>
      <c r="CH46" s="242">
        <f>AR46+AW46</f>
        <v>0</v>
      </c>
      <c r="CI46" s="703">
        <f t="shared" si="856"/>
        <v>0</v>
      </c>
      <c r="CJ46" s="242">
        <f>SUM(CB46:CI46)-CD46-CF46</f>
        <v>0</v>
      </c>
      <c r="CK46" s="242">
        <f t="shared" si="1093"/>
        <v>0</v>
      </c>
      <c r="CL46" s="242">
        <f t="shared" si="859"/>
        <v>0</v>
      </c>
      <c r="CM46" s="242">
        <f>+AK46</f>
        <v>0</v>
      </c>
      <c r="CN46" s="242">
        <f t="shared" si="1095"/>
        <v>0</v>
      </c>
      <c r="CO46" s="242">
        <f t="shared" si="1096"/>
        <v>0</v>
      </c>
      <c r="CP46" s="242">
        <f t="shared" si="1097"/>
        <v>0</v>
      </c>
      <c r="CQ46" s="242">
        <f>AS46+AX46</f>
        <v>0</v>
      </c>
      <c r="CR46" s="242">
        <f>(CK46+CN46+CP46)*0.1267</f>
        <v>0</v>
      </c>
      <c r="CS46" s="243">
        <f>SUM(CK46:CR46)-CM46-CO46</f>
        <v>0</v>
      </c>
      <c r="CU46" s="244" t="s">
        <v>11</v>
      </c>
      <c r="CV46" s="203">
        <f t="shared" si="867"/>
        <v>0</v>
      </c>
      <c r="CW46" s="203">
        <f t="shared" si="868"/>
        <v>0</v>
      </c>
      <c r="CX46" s="203">
        <f t="shared" si="869"/>
        <v>0</v>
      </c>
      <c r="CY46" s="203">
        <f t="shared" si="870"/>
        <v>0</v>
      </c>
      <c r="CZ46" s="203">
        <f t="shared" si="871"/>
        <v>0</v>
      </c>
      <c r="DA46" s="203">
        <f t="shared" si="872"/>
        <v>0</v>
      </c>
      <c r="DB46" s="203">
        <f t="shared" si="873"/>
        <v>0</v>
      </c>
      <c r="DC46" s="203">
        <f>IF($CU46="PROQUIMA",$BH46+$BQ46+$BZ46+$CI46+CR46,0)</f>
        <v>0</v>
      </c>
      <c r="DD46" s="203">
        <f>SUM(CV46:DC46)-CX46-CZ46</f>
        <v>0</v>
      </c>
      <c r="DE46" s="203">
        <f t="shared" si="876"/>
        <v>0</v>
      </c>
      <c r="DF46" s="203">
        <f t="shared" si="877"/>
        <v>0</v>
      </c>
      <c r="DG46" s="203">
        <f t="shared" si="878"/>
        <v>0</v>
      </c>
      <c r="DH46" s="203">
        <f t="shared" si="879"/>
        <v>0</v>
      </c>
      <c r="DI46" s="203">
        <f t="shared" si="880"/>
        <v>0</v>
      </c>
      <c r="DJ46" s="203">
        <f t="shared" si="881"/>
        <v>0</v>
      </c>
      <c r="DK46" s="203">
        <f t="shared" si="882"/>
        <v>0</v>
      </c>
      <c r="DL46" s="203">
        <f t="shared" si="883"/>
        <v>0</v>
      </c>
      <c r="DM46" s="203">
        <f>SUM(DE46:DL46)-DG46-DI46</f>
        <v>0</v>
      </c>
      <c r="DN46" s="203">
        <f t="shared" si="885"/>
        <v>0</v>
      </c>
      <c r="DO46" s="203">
        <f t="shared" si="886"/>
        <v>0</v>
      </c>
      <c r="DP46" s="203">
        <f t="shared" si="887"/>
        <v>0</v>
      </c>
      <c r="DQ46" s="203">
        <f t="shared" si="888"/>
        <v>0</v>
      </c>
      <c r="DR46" s="203">
        <f t="shared" si="889"/>
        <v>0</v>
      </c>
      <c r="DS46" s="203">
        <f t="shared" si="890"/>
        <v>0</v>
      </c>
      <c r="DT46" s="203">
        <f t="shared" si="891"/>
        <v>0</v>
      </c>
      <c r="DU46" s="203">
        <f t="shared" si="892"/>
        <v>0</v>
      </c>
      <c r="DV46" s="203">
        <f>SUM(DN46:DU46)-DP46-DR46</f>
        <v>0</v>
      </c>
      <c r="DW46" s="795">
        <f t="shared" si="1030"/>
        <v>0</v>
      </c>
      <c r="DX46" s="795">
        <f t="shared" si="957"/>
        <v>0</v>
      </c>
      <c r="DY46" s="795">
        <f t="shared" si="957"/>
        <v>0</v>
      </c>
      <c r="DZ46" s="795">
        <f t="shared" si="957"/>
        <v>0</v>
      </c>
      <c r="EA46" s="795">
        <f t="shared" si="957"/>
        <v>0</v>
      </c>
      <c r="EB46" s="795">
        <f t="shared" si="957"/>
        <v>0</v>
      </c>
      <c r="EC46" s="795">
        <f t="shared" si="957"/>
        <v>0</v>
      </c>
      <c r="ED46" s="795">
        <f t="shared" si="957"/>
        <v>0</v>
      </c>
      <c r="EE46" s="242">
        <f>SUM(DW46:ED46)-DY46-EA46</f>
        <v>0</v>
      </c>
      <c r="EF46" s="203">
        <f t="shared" ref="EF46" si="1115">IF(CU46="ECONACIONAL",$BA46+$BJ46+$BS46+$CB46+$CK46)</f>
        <v>4002.28</v>
      </c>
      <c r="EG46" s="242">
        <f t="shared" si="897"/>
        <v>405.16</v>
      </c>
      <c r="EH46" s="203">
        <f t="shared" ref="EH46" si="1116">IF(CU46="ECONACIONAL",$BC46+$BL46+$BU46+$CD46+$CM46)</f>
        <v>0</v>
      </c>
      <c r="EI46" s="203">
        <f t="shared" ref="EI46" si="1117">IF(CU46="ECONACIONAL",$BD46+$DH46+$DQ46+$DZ46+BM46+BV46+CE46+CN46)</f>
        <v>0</v>
      </c>
      <c r="EJ46" s="242">
        <f t="shared" si="900"/>
        <v>0</v>
      </c>
      <c r="EK46" s="203">
        <f t="shared" ref="EK46" si="1118">IF(CU46="ECONACIONAL",$BF46+$BO46+$BX46+$CG46+$CP46)</f>
        <v>0</v>
      </c>
      <c r="EL46" s="203">
        <f t="shared" ref="EL46" si="1119">IF(CU46="ECONACIONAL",$BG46+$BP46+$BY46+$CH46+$CQ46)</f>
        <v>0</v>
      </c>
      <c r="EM46" s="203">
        <f t="shared" ref="EM46" si="1120">IF(CU46="ECONACIONAL",BH46+BQ46+BZ46+CI46+CR46)</f>
        <v>507.08887599999997</v>
      </c>
      <c r="EN46" s="203">
        <f t="shared" ref="EN46" si="1121">SUM(EF46:EM46)-EH46-EJ46</f>
        <v>4914.5288760000003</v>
      </c>
      <c r="EP46" s="201"/>
      <c r="EQ46" s="201"/>
      <c r="ER46" s="201"/>
      <c r="ES46" s="201"/>
      <c r="ET46" s="201"/>
      <c r="EU46" s="244"/>
      <c r="EV46" s="201"/>
      <c r="EW46" s="201"/>
      <c r="EX46" s="201"/>
      <c r="EY46" s="201">
        <f t="shared" ref="EY46" si="1122">+ET46+EU46+EV46</f>
        <v>0</v>
      </c>
      <c r="EZ46" s="821"/>
      <c r="FA46" s="207">
        <f t="shared" ref="FA46" si="1123">IF($M46&lt;=15,EP46/2,EP46)</f>
        <v>0</v>
      </c>
      <c r="FB46" s="207">
        <f t="shared" si="1106"/>
        <v>0</v>
      </c>
      <c r="FC46" s="207">
        <f t="shared" si="1107"/>
        <v>0</v>
      </c>
      <c r="FD46" s="207">
        <f t="shared" si="1108"/>
        <v>0</v>
      </c>
      <c r="FE46" s="207">
        <f t="shared" si="1109"/>
        <v>0</v>
      </c>
      <c r="FF46" s="207">
        <f t="shared" si="1110"/>
        <v>0</v>
      </c>
      <c r="FG46" s="207">
        <f t="shared" si="1111"/>
        <v>0</v>
      </c>
      <c r="FH46" s="207">
        <f t="shared" si="1112"/>
        <v>0</v>
      </c>
      <c r="FI46" s="207">
        <f t="shared" si="1113"/>
        <v>0</v>
      </c>
      <c r="FJ46" s="207">
        <f t="shared" ref="FJ46" si="1124">IF($M46&lt;=15,EY46/2,EY46)</f>
        <v>0</v>
      </c>
      <c r="FK46" s="217"/>
      <c r="FL46" s="217"/>
      <c r="FM46" s="217"/>
      <c r="FN46" s="217"/>
      <c r="FO46" s="217"/>
      <c r="FP46" s="217"/>
      <c r="FR46" s="1178">
        <f t="shared" ref="FR46" si="1125">(((J46/30/8)*1.5)*(U46+Y46+AC46))-(BD46+BM46+BV46)</f>
        <v>0</v>
      </c>
      <c r="FS46" s="1178">
        <f t="shared" ref="FS46" si="1126">(((J46/30/8)*2)*(W46+AA46+AE46))-(BF46+BO46+BX46)</f>
        <v>0</v>
      </c>
      <c r="FT46" s="1179">
        <f t="shared" ref="FT46" si="1127">(SUM(BA46:CJ46))-(SUM(EF46:EN46))</f>
        <v>0</v>
      </c>
      <c r="FU46" s="1178">
        <f t="shared" ref="FU46" si="1128">(J46/30*M46)-(EF46)</f>
        <v>0</v>
      </c>
      <c r="FV46" s="1182">
        <f t="shared" ref="FV46" si="1129">(SUM(EP46:EY46))-((SUM(FA46:FJ46))*$FV$5)</f>
        <v>0</v>
      </c>
    </row>
    <row r="47" spans="1:178" s="216" customFormat="1" ht="15" customHeight="1" outlineLevel="1">
      <c r="A47" s="1006"/>
      <c r="B47" s="1006"/>
      <c r="C47" s="1007"/>
      <c r="D47" s="776"/>
      <c r="E47" s="776"/>
      <c r="F47" s="1189"/>
      <c r="G47" s="199"/>
      <c r="H47" s="200"/>
      <c r="I47" s="201"/>
      <c r="J47" s="203"/>
      <c r="K47" s="267"/>
      <c r="L47" s="882"/>
      <c r="M47" s="203"/>
      <c r="N47" s="204"/>
      <c r="O47" s="204"/>
      <c r="P47" s="204"/>
      <c r="Q47" s="204"/>
      <c r="R47" s="820"/>
      <c r="S47" s="204"/>
      <c r="T47" s="205"/>
      <c r="U47" s="207"/>
      <c r="V47" s="203"/>
      <c r="W47" s="207"/>
      <c r="X47" s="203"/>
      <c r="Y47" s="207"/>
      <c r="Z47" s="203"/>
      <c r="AA47" s="207"/>
      <c r="AB47" s="203"/>
      <c r="AC47" s="207"/>
      <c r="AD47" s="203"/>
      <c r="AE47" s="208"/>
      <c r="AF47" s="203"/>
      <c r="AG47" s="208"/>
      <c r="AH47" s="203"/>
      <c r="AI47" s="208"/>
      <c r="AJ47" s="203"/>
      <c r="AK47" s="203"/>
      <c r="AL47" s="203"/>
      <c r="AM47" s="208"/>
      <c r="AN47" s="203"/>
      <c r="AO47" s="203"/>
      <c r="AP47" s="203"/>
      <c r="AQ47" s="203"/>
      <c r="AR47" s="203"/>
      <c r="AS47" s="203"/>
      <c r="AT47" s="203"/>
      <c r="AU47" s="203"/>
      <c r="AV47" s="203"/>
      <c r="AW47" s="203"/>
      <c r="AX47" s="203"/>
      <c r="AY47" s="203"/>
      <c r="AZ47" s="201"/>
      <c r="BA47" s="203"/>
      <c r="BB47" s="203"/>
      <c r="BC47" s="203"/>
      <c r="BD47" s="203"/>
      <c r="BE47" s="203"/>
      <c r="BF47" s="203"/>
      <c r="BG47" s="203"/>
      <c r="BH47" s="203"/>
      <c r="BI47" s="203"/>
      <c r="BJ47" s="203"/>
      <c r="BK47" s="203"/>
      <c r="BL47" s="203"/>
      <c r="BM47" s="203"/>
      <c r="BN47" s="203"/>
      <c r="BO47" s="203"/>
      <c r="BP47" s="203"/>
      <c r="BQ47" s="203"/>
      <c r="BR47" s="202"/>
      <c r="BS47" s="203"/>
      <c r="BT47" s="203"/>
      <c r="BU47" s="203"/>
      <c r="BV47" s="203"/>
      <c r="BW47" s="203"/>
      <c r="BX47" s="203"/>
      <c r="BY47" s="203"/>
      <c r="BZ47" s="203"/>
      <c r="CA47" s="203"/>
      <c r="CB47" s="241"/>
      <c r="CC47" s="242"/>
      <c r="CD47" s="242"/>
      <c r="CE47" s="242"/>
      <c r="CF47" s="242"/>
      <c r="CG47" s="242"/>
      <c r="CH47" s="242"/>
      <c r="CI47" s="242"/>
      <c r="CJ47" s="242"/>
      <c r="CK47" s="242"/>
      <c r="CL47" s="242"/>
      <c r="CM47" s="242"/>
      <c r="CN47" s="242"/>
      <c r="CO47" s="242"/>
      <c r="CP47" s="242"/>
      <c r="CQ47" s="242"/>
      <c r="CR47" s="242"/>
      <c r="CS47" s="243"/>
      <c r="CU47" s="244"/>
      <c r="CV47" s="203"/>
      <c r="CW47" s="203"/>
      <c r="CX47" s="203"/>
      <c r="CY47" s="203"/>
      <c r="CZ47" s="203"/>
      <c r="DA47" s="203"/>
      <c r="DB47" s="203"/>
      <c r="DC47" s="203"/>
      <c r="DD47" s="203"/>
      <c r="DE47" s="203"/>
      <c r="DF47" s="203"/>
      <c r="DG47" s="203"/>
      <c r="DH47" s="203"/>
      <c r="DI47" s="203"/>
      <c r="DJ47" s="203"/>
      <c r="DK47" s="203"/>
      <c r="DL47" s="203"/>
      <c r="DM47" s="203"/>
      <c r="DN47" s="203"/>
      <c r="DO47" s="203"/>
      <c r="DP47" s="203"/>
      <c r="DQ47" s="203"/>
      <c r="DR47" s="203"/>
      <c r="DS47" s="203"/>
      <c r="DT47" s="203"/>
      <c r="DU47" s="203"/>
      <c r="DV47" s="203"/>
      <c r="DW47" s="795"/>
      <c r="DX47" s="795"/>
      <c r="DY47" s="795"/>
      <c r="DZ47" s="795"/>
      <c r="EA47" s="795"/>
      <c r="EB47" s="795"/>
      <c r="EC47" s="795"/>
      <c r="ED47" s="795"/>
      <c r="EE47" s="242"/>
      <c r="EF47" s="203"/>
      <c r="EG47" s="242"/>
      <c r="EH47" s="203"/>
      <c r="EI47" s="203"/>
      <c r="EJ47" s="242"/>
      <c r="EK47" s="203"/>
      <c r="EL47" s="203"/>
      <c r="EM47" s="203"/>
      <c r="EN47" s="203"/>
      <c r="EP47" s="1193"/>
      <c r="EQ47" s="201"/>
      <c r="ER47" s="201"/>
      <c r="ES47" s="201"/>
      <c r="ET47" s="201"/>
      <c r="EU47" s="244"/>
      <c r="EV47" s="201"/>
      <c r="EW47" s="201"/>
      <c r="EX47" s="201"/>
      <c r="EY47" s="201"/>
      <c r="EZ47" s="821"/>
      <c r="FA47" s="207"/>
      <c r="FB47" s="207"/>
      <c r="FC47" s="207"/>
      <c r="FD47" s="207"/>
      <c r="FE47" s="207"/>
      <c r="FF47" s="207"/>
      <c r="FG47" s="207"/>
      <c r="FH47" s="207"/>
      <c r="FI47" s="207"/>
      <c r="FJ47" s="207"/>
      <c r="FK47" s="217"/>
      <c r="FL47" s="217"/>
      <c r="FM47" s="217"/>
      <c r="FN47" s="217"/>
      <c r="FO47" s="217"/>
      <c r="FP47" s="217"/>
      <c r="FR47" s="1178"/>
      <c r="FS47" s="1178"/>
      <c r="FT47" s="1179"/>
      <c r="FU47" s="1178"/>
      <c r="FV47" s="1182"/>
    </row>
    <row r="48" spans="1:178" s="778" customFormat="1" ht="15.75" customHeight="1" outlineLevel="1">
      <c r="A48" s="1006" t="s">
        <v>52</v>
      </c>
      <c r="B48" s="1006" t="s">
        <v>52</v>
      </c>
      <c r="C48" s="1007" t="s">
        <v>52</v>
      </c>
      <c r="D48" s="776"/>
      <c r="E48" s="776"/>
      <c r="F48" s="776"/>
      <c r="G48" s="723"/>
      <c r="H48" s="717" t="s">
        <v>131</v>
      </c>
      <c r="J48" s="869">
        <f>SUM(J41:J47)</f>
        <v>45752.28</v>
      </c>
      <c r="K48" s="869">
        <f>SUM(K41:K47)</f>
        <v>13955.16</v>
      </c>
      <c r="L48" s="869">
        <f>SUM(L41:L47)</f>
        <v>59707.44</v>
      </c>
      <c r="M48" s="823" t="s">
        <v>52</v>
      </c>
      <c r="N48" s="799"/>
      <c r="O48" s="799"/>
      <c r="P48" s="799"/>
      <c r="Q48" s="799"/>
      <c r="R48" s="799"/>
      <c r="S48" s="799"/>
      <c r="T48" s="780"/>
      <c r="U48" s="869">
        <f t="shared" ref="U48:AZ48" si="1130">SUM(U41:U47)</f>
        <v>0</v>
      </c>
      <c r="V48" s="869">
        <f t="shared" si="1130"/>
        <v>0</v>
      </c>
      <c r="W48" s="869">
        <f t="shared" si="1130"/>
        <v>0</v>
      </c>
      <c r="X48" s="869">
        <f t="shared" si="1130"/>
        <v>0</v>
      </c>
      <c r="Y48" s="869">
        <f t="shared" si="1130"/>
        <v>0</v>
      </c>
      <c r="Z48" s="869">
        <f t="shared" si="1130"/>
        <v>0</v>
      </c>
      <c r="AA48" s="869">
        <f t="shared" si="1130"/>
        <v>0</v>
      </c>
      <c r="AB48" s="869">
        <f t="shared" si="1130"/>
        <v>0</v>
      </c>
      <c r="AC48" s="869">
        <f t="shared" si="1130"/>
        <v>0</v>
      </c>
      <c r="AD48" s="869">
        <f t="shared" si="1130"/>
        <v>0</v>
      </c>
      <c r="AE48" s="869">
        <f t="shared" si="1130"/>
        <v>0</v>
      </c>
      <c r="AF48" s="869">
        <f t="shared" si="1130"/>
        <v>0</v>
      </c>
      <c r="AG48" s="869">
        <f t="shared" si="1130"/>
        <v>0</v>
      </c>
      <c r="AH48" s="869">
        <f t="shared" si="1130"/>
        <v>0</v>
      </c>
      <c r="AI48" s="869">
        <f t="shared" si="1130"/>
        <v>0</v>
      </c>
      <c r="AJ48" s="869">
        <f t="shared" si="1130"/>
        <v>0</v>
      </c>
      <c r="AK48" s="869">
        <f t="shared" si="1130"/>
        <v>0</v>
      </c>
      <c r="AL48" s="869">
        <f t="shared" si="1130"/>
        <v>0</v>
      </c>
      <c r="AM48" s="869">
        <f t="shared" si="1130"/>
        <v>0</v>
      </c>
      <c r="AN48" s="869">
        <f t="shared" si="1130"/>
        <v>0</v>
      </c>
      <c r="AO48" s="869">
        <f t="shared" si="1130"/>
        <v>0</v>
      </c>
      <c r="AP48" s="869">
        <f t="shared" si="1130"/>
        <v>0</v>
      </c>
      <c r="AQ48" s="869">
        <f t="shared" si="1130"/>
        <v>0</v>
      </c>
      <c r="AR48" s="869">
        <f t="shared" si="1130"/>
        <v>0</v>
      </c>
      <c r="AS48" s="869">
        <f t="shared" si="1130"/>
        <v>0</v>
      </c>
      <c r="AT48" s="869">
        <f t="shared" si="1130"/>
        <v>0</v>
      </c>
      <c r="AU48" s="869">
        <f t="shared" si="1130"/>
        <v>0</v>
      </c>
      <c r="AV48" s="869">
        <f t="shared" si="1130"/>
        <v>0</v>
      </c>
      <c r="AW48" s="869">
        <f t="shared" si="1130"/>
        <v>0</v>
      </c>
      <c r="AX48" s="869">
        <f t="shared" si="1130"/>
        <v>0</v>
      </c>
      <c r="AY48" s="869">
        <f t="shared" si="1130"/>
        <v>0</v>
      </c>
      <c r="AZ48" s="869">
        <f t="shared" si="1130"/>
        <v>0</v>
      </c>
      <c r="BA48" s="869">
        <f t="shared" ref="BA48:CF48" si="1131">SUM(BA41:BA47)</f>
        <v>22030.9804</v>
      </c>
      <c r="BB48" s="869">
        <f t="shared" si="1131"/>
        <v>7025.2187999999996</v>
      </c>
      <c r="BC48" s="869">
        <f t="shared" si="1131"/>
        <v>0</v>
      </c>
      <c r="BD48" s="869">
        <f t="shared" si="1131"/>
        <v>0</v>
      </c>
      <c r="BE48" s="869">
        <f t="shared" si="1131"/>
        <v>0</v>
      </c>
      <c r="BF48" s="869">
        <f t="shared" si="1131"/>
        <v>0</v>
      </c>
      <c r="BG48" s="869">
        <f t="shared" si="1131"/>
        <v>0</v>
      </c>
      <c r="BH48" s="869">
        <f t="shared" si="1131"/>
        <v>2791.3252166800003</v>
      </c>
      <c r="BI48" s="869">
        <f t="shared" si="1131"/>
        <v>31847.524416679997</v>
      </c>
      <c r="BJ48" s="869">
        <f t="shared" si="1131"/>
        <v>15130.9576</v>
      </c>
      <c r="BK48" s="869">
        <f t="shared" si="1131"/>
        <v>5180.1671999999999</v>
      </c>
      <c r="BL48" s="869">
        <f t="shared" si="1131"/>
        <v>0</v>
      </c>
      <c r="BM48" s="869">
        <f t="shared" si="1131"/>
        <v>0</v>
      </c>
      <c r="BN48" s="869">
        <f t="shared" si="1131"/>
        <v>0</v>
      </c>
      <c r="BO48" s="869">
        <f t="shared" si="1131"/>
        <v>0</v>
      </c>
      <c r="BP48" s="869">
        <f t="shared" si="1131"/>
        <v>0</v>
      </c>
      <c r="BQ48" s="869">
        <f t="shared" si="1131"/>
        <v>1917.0923279200001</v>
      </c>
      <c r="BR48" s="869">
        <f t="shared" si="1131"/>
        <v>22228.217127919997</v>
      </c>
      <c r="BS48" s="869">
        <f t="shared" si="1131"/>
        <v>2015.3420000000001</v>
      </c>
      <c r="BT48" s="869">
        <f t="shared" si="1131"/>
        <v>644.774</v>
      </c>
      <c r="BU48" s="869">
        <f t="shared" si="1131"/>
        <v>0</v>
      </c>
      <c r="BV48" s="869">
        <f t="shared" si="1131"/>
        <v>0</v>
      </c>
      <c r="BW48" s="869">
        <f t="shared" si="1131"/>
        <v>0</v>
      </c>
      <c r="BX48" s="869">
        <f t="shared" si="1131"/>
        <v>0</v>
      </c>
      <c r="BY48" s="869">
        <f t="shared" si="1131"/>
        <v>0</v>
      </c>
      <c r="BZ48" s="869">
        <f t="shared" si="1131"/>
        <v>255.3438314</v>
      </c>
      <c r="CA48" s="869">
        <f t="shared" si="1131"/>
        <v>2915.4598314</v>
      </c>
      <c r="CB48" s="869">
        <f t="shared" si="1131"/>
        <v>6575</v>
      </c>
      <c r="CC48" s="869">
        <f t="shared" si="1131"/>
        <v>2105</v>
      </c>
      <c r="CD48" s="869">
        <f t="shared" si="1131"/>
        <v>0</v>
      </c>
      <c r="CE48" s="869">
        <f t="shared" si="1131"/>
        <v>0</v>
      </c>
      <c r="CF48" s="869">
        <f t="shared" si="1131"/>
        <v>0</v>
      </c>
      <c r="CG48" s="869">
        <f t="shared" ref="CG48:DL48" si="1132">SUM(CG41:CG47)</f>
        <v>0</v>
      </c>
      <c r="CH48" s="869">
        <f t="shared" si="1132"/>
        <v>0</v>
      </c>
      <c r="CI48" s="869">
        <f t="shared" si="1132"/>
        <v>833.05250000000001</v>
      </c>
      <c r="CJ48" s="869">
        <f t="shared" si="1132"/>
        <v>9513.0524999999998</v>
      </c>
      <c r="CK48" s="869">
        <f t="shared" si="1132"/>
        <v>0</v>
      </c>
      <c r="CL48" s="869">
        <f t="shared" si="1132"/>
        <v>0</v>
      </c>
      <c r="CM48" s="869">
        <f t="shared" si="1132"/>
        <v>0</v>
      </c>
      <c r="CN48" s="869">
        <f t="shared" si="1132"/>
        <v>0</v>
      </c>
      <c r="CO48" s="869">
        <f t="shared" si="1132"/>
        <v>0</v>
      </c>
      <c r="CP48" s="869">
        <f t="shared" si="1132"/>
        <v>0</v>
      </c>
      <c r="CQ48" s="869">
        <f t="shared" si="1132"/>
        <v>0</v>
      </c>
      <c r="CR48" s="869">
        <f t="shared" si="1132"/>
        <v>0</v>
      </c>
      <c r="CS48" s="869">
        <f t="shared" si="1132"/>
        <v>0</v>
      </c>
      <c r="CT48" s="869">
        <f t="shared" si="1132"/>
        <v>0</v>
      </c>
      <c r="CU48" s="869">
        <f t="shared" si="1132"/>
        <v>0</v>
      </c>
      <c r="CV48" s="869">
        <f t="shared" si="1132"/>
        <v>0</v>
      </c>
      <c r="CW48" s="869">
        <f t="shared" si="1132"/>
        <v>0</v>
      </c>
      <c r="CX48" s="869">
        <f t="shared" si="1132"/>
        <v>0</v>
      </c>
      <c r="CY48" s="869">
        <f t="shared" si="1132"/>
        <v>0</v>
      </c>
      <c r="CZ48" s="869">
        <f t="shared" si="1132"/>
        <v>0</v>
      </c>
      <c r="DA48" s="869">
        <f t="shared" si="1132"/>
        <v>0</v>
      </c>
      <c r="DB48" s="869">
        <f t="shared" si="1132"/>
        <v>0</v>
      </c>
      <c r="DC48" s="869">
        <f t="shared" si="1132"/>
        <v>0</v>
      </c>
      <c r="DD48" s="869">
        <f t="shared" si="1132"/>
        <v>0</v>
      </c>
      <c r="DE48" s="869">
        <f t="shared" si="1132"/>
        <v>0</v>
      </c>
      <c r="DF48" s="869">
        <f t="shared" si="1132"/>
        <v>0</v>
      </c>
      <c r="DG48" s="869">
        <f t="shared" si="1132"/>
        <v>0</v>
      </c>
      <c r="DH48" s="869">
        <f t="shared" si="1132"/>
        <v>0</v>
      </c>
      <c r="DI48" s="869">
        <f t="shared" si="1132"/>
        <v>0</v>
      </c>
      <c r="DJ48" s="869">
        <f t="shared" si="1132"/>
        <v>0</v>
      </c>
      <c r="DK48" s="869">
        <f t="shared" si="1132"/>
        <v>0</v>
      </c>
      <c r="DL48" s="869">
        <f t="shared" si="1132"/>
        <v>0</v>
      </c>
      <c r="DM48" s="869">
        <f t="shared" ref="DM48:EN48" si="1133">SUM(DM41:DM47)</f>
        <v>0</v>
      </c>
      <c r="DN48" s="869">
        <f t="shared" si="1133"/>
        <v>0</v>
      </c>
      <c r="DO48" s="869">
        <f t="shared" si="1133"/>
        <v>0</v>
      </c>
      <c r="DP48" s="869">
        <f t="shared" si="1133"/>
        <v>0</v>
      </c>
      <c r="DQ48" s="869">
        <f t="shared" si="1133"/>
        <v>0</v>
      </c>
      <c r="DR48" s="869">
        <f t="shared" si="1133"/>
        <v>0</v>
      </c>
      <c r="DS48" s="869">
        <f t="shared" si="1133"/>
        <v>0</v>
      </c>
      <c r="DT48" s="869">
        <f t="shared" si="1133"/>
        <v>0</v>
      </c>
      <c r="DU48" s="869">
        <f t="shared" si="1133"/>
        <v>0</v>
      </c>
      <c r="DV48" s="869">
        <f t="shared" si="1133"/>
        <v>0</v>
      </c>
      <c r="DW48" s="869">
        <f t="shared" si="1133"/>
        <v>0</v>
      </c>
      <c r="DX48" s="869">
        <f t="shared" si="1133"/>
        <v>0</v>
      </c>
      <c r="DY48" s="869">
        <f t="shared" si="1133"/>
        <v>0</v>
      </c>
      <c r="DZ48" s="869">
        <f t="shared" si="1133"/>
        <v>0</v>
      </c>
      <c r="EA48" s="869">
        <f t="shared" si="1133"/>
        <v>0</v>
      </c>
      <c r="EB48" s="869">
        <f t="shared" si="1133"/>
        <v>0</v>
      </c>
      <c r="EC48" s="869">
        <f t="shared" si="1133"/>
        <v>0</v>
      </c>
      <c r="ED48" s="869">
        <f t="shared" si="1133"/>
        <v>0</v>
      </c>
      <c r="EE48" s="869">
        <f t="shared" si="1133"/>
        <v>0</v>
      </c>
      <c r="EF48" s="869">
        <f t="shared" si="1133"/>
        <v>45752.28</v>
      </c>
      <c r="EG48" s="869">
        <f t="shared" si="1133"/>
        <v>14955.16</v>
      </c>
      <c r="EH48" s="869">
        <f t="shared" si="1133"/>
        <v>0</v>
      </c>
      <c r="EI48" s="869">
        <f t="shared" si="1133"/>
        <v>0</v>
      </c>
      <c r="EJ48" s="869">
        <f t="shared" si="1133"/>
        <v>0</v>
      </c>
      <c r="EK48" s="869">
        <f t="shared" si="1133"/>
        <v>0</v>
      </c>
      <c r="EL48" s="869">
        <f t="shared" si="1133"/>
        <v>0</v>
      </c>
      <c r="EM48" s="869">
        <f t="shared" si="1133"/>
        <v>5796.8138760000002</v>
      </c>
      <c r="EN48" s="869">
        <f t="shared" si="1133"/>
        <v>66504.253876000002</v>
      </c>
      <c r="EO48" s="869"/>
      <c r="EP48" s="869">
        <f t="shared" ref="EP48:EY48" si="1134">SUM(EP41:EP47)</f>
        <v>1970.5400000000002</v>
      </c>
      <c r="EQ48" s="869">
        <f t="shared" si="1134"/>
        <v>9519.84</v>
      </c>
      <c r="ER48" s="869">
        <f t="shared" si="1134"/>
        <v>200</v>
      </c>
      <c r="ES48" s="869">
        <f t="shared" si="1134"/>
        <v>0</v>
      </c>
      <c r="ET48" s="869">
        <f t="shared" si="1134"/>
        <v>0</v>
      </c>
      <c r="EU48" s="869">
        <f t="shared" si="1134"/>
        <v>0</v>
      </c>
      <c r="EV48" s="869">
        <f t="shared" si="1134"/>
        <v>1418</v>
      </c>
      <c r="EW48" s="869">
        <f t="shared" si="1134"/>
        <v>0</v>
      </c>
      <c r="EX48" s="869">
        <f t="shared" si="1134"/>
        <v>0</v>
      </c>
      <c r="EY48" s="869">
        <f t="shared" si="1134"/>
        <v>1418</v>
      </c>
      <c r="EZ48" s="869"/>
      <c r="FA48" s="869">
        <f t="shared" ref="FA48:FJ48" si="1135">SUM(FA41:FA47)</f>
        <v>1970.5400000000002</v>
      </c>
      <c r="FB48" s="869">
        <f t="shared" si="1135"/>
        <v>9519.84</v>
      </c>
      <c r="FC48" s="869">
        <f t="shared" si="1135"/>
        <v>200</v>
      </c>
      <c r="FD48" s="869">
        <f t="shared" si="1135"/>
        <v>0</v>
      </c>
      <c r="FE48" s="869">
        <f t="shared" si="1135"/>
        <v>0</v>
      </c>
      <c r="FF48" s="869">
        <f t="shared" si="1135"/>
        <v>0</v>
      </c>
      <c r="FG48" s="869">
        <f t="shared" si="1135"/>
        <v>1418</v>
      </c>
      <c r="FH48" s="869">
        <f t="shared" si="1135"/>
        <v>0</v>
      </c>
      <c r="FI48" s="869">
        <f t="shared" si="1135"/>
        <v>0</v>
      </c>
      <c r="FJ48" s="869">
        <f t="shared" si="1135"/>
        <v>1418</v>
      </c>
      <c r="FK48" s="800"/>
      <c r="FL48" s="800"/>
      <c r="FM48" s="800"/>
      <c r="FN48" s="800"/>
      <c r="FO48" s="800"/>
      <c r="FP48" s="800"/>
    </row>
    <row r="49" spans="1:178" s="778" customFormat="1" ht="15.75" customHeight="1" outlineLevel="1">
      <c r="A49" s="1006" t="str">
        <f t="shared" si="253"/>
        <v>MAYO  2026 2da QUINCENA</v>
      </c>
      <c r="B49" s="1006">
        <f t="shared" si="90"/>
        <v>2026</v>
      </c>
      <c r="C49" s="1007" t="str">
        <f t="shared" si="254"/>
        <v>MAYO  2026 2da QUINCENA2026</v>
      </c>
      <c r="D49" s="776"/>
      <c r="E49" s="235">
        <v>106030</v>
      </c>
      <c r="F49" s="776"/>
      <c r="G49" s="779" t="s">
        <v>710</v>
      </c>
      <c r="H49" s="717"/>
      <c r="J49" s="869"/>
      <c r="K49" s="869"/>
      <c r="L49" s="869"/>
      <c r="M49" s="823"/>
      <c r="N49" s="799"/>
      <c r="O49" s="799"/>
      <c r="P49" s="799"/>
      <c r="Q49" s="799"/>
      <c r="R49" s="799"/>
      <c r="S49" s="799"/>
      <c r="T49" s="780"/>
      <c r="U49" s="815"/>
      <c r="V49" s="815"/>
      <c r="W49" s="815"/>
      <c r="X49" s="815"/>
      <c r="Y49" s="815"/>
      <c r="Z49" s="815"/>
      <c r="AA49" s="815"/>
      <c r="AB49" s="815"/>
      <c r="AC49" s="815"/>
      <c r="AD49" s="815"/>
      <c r="AE49" s="815"/>
      <c r="AF49" s="815"/>
      <c r="AG49" s="815"/>
      <c r="AH49" s="815"/>
      <c r="AI49" s="815"/>
      <c r="AJ49" s="815"/>
      <c r="AK49" s="815"/>
      <c r="AL49" s="815"/>
      <c r="AM49" s="815"/>
      <c r="AN49" s="815"/>
      <c r="AO49" s="815"/>
      <c r="AP49" s="815"/>
      <c r="AQ49" s="815"/>
      <c r="AR49" s="815"/>
      <c r="AS49" s="815"/>
      <c r="AT49" s="815"/>
      <c r="AU49" s="815"/>
      <c r="AV49" s="815"/>
      <c r="AW49" s="815"/>
      <c r="AX49" s="815"/>
      <c r="AY49" s="801"/>
      <c r="AZ49" s="776"/>
      <c r="BA49" s="815"/>
      <c r="BB49" s="815"/>
      <c r="BC49" s="815"/>
      <c r="BD49" s="815"/>
      <c r="BE49" s="815"/>
      <c r="BF49" s="815"/>
      <c r="BG49" s="815"/>
      <c r="BH49" s="815"/>
      <c r="BI49" s="815"/>
      <c r="BJ49" s="815"/>
      <c r="BK49" s="815"/>
      <c r="BL49" s="815"/>
      <c r="BM49" s="815"/>
      <c r="BN49" s="815"/>
      <c r="BO49" s="815"/>
      <c r="BP49" s="815"/>
      <c r="BQ49" s="815"/>
      <c r="BR49" s="815"/>
      <c r="BS49" s="815"/>
      <c r="BT49" s="815"/>
      <c r="BU49" s="815"/>
      <c r="BV49" s="815"/>
      <c r="BW49" s="815"/>
      <c r="BX49" s="815"/>
      <c r="BY49" s="815"/>
      <c r="BZ49" s="815"/>
      <c r="CA49" s="815"/>
      <c r="CB49" s="823"/>
      <c r="CC49" s="823"/>
      <c r="CD49" s="823"/>
      <c r="CE49" s="823"/>
      <c r="CF49" s="823"/>
      <c r="CG49" s="823"/>
      <c r="CH49" s="823"/>
      <c r="CI49" s="823"/>
      <c r="CJ49" s="823"/>
      <c r="CK49" s="823"/>
      <c r="CL49" s="823"/>
      <c r="CM49" s="823"/>
      <c r="CN49" s="823"/>
      <c r="CO49" s="823"/>
      <c r="CP49" s="823"/>
      <c r="CQ49" s="823"/>
      <c r="CR49" s="823"/>
      <c r="CS49" s="823"/>
      <c r="CV49" s="815"/>
      <c r="CW49" s="815"/>
      <c r="CX49" s="815"/>
      <c r="CY49" s="815"/>
      <c r="CZ49" s="815"/>
      <c r="DA49" s="815"/>
      <c r="DB49" s="815"/>
      <c r="DC49" s="815"/>
      <c r="DD49" s="815"/>
      <c r="DE49" s="815"/>
      <c r="DF49" s="815"/>
      <c r="DG49" s="815"/>
      <c r="DH49" s="815"/>
      <c r="DI49" s="815"/>
      <c r="DJ49" s="815"/>
      <c r="DK49" s="815"/>
      <c r="DL49" s="815"/>
      <c r="DM49" s="815"/>
      <c r="DN49" s="815"/>
      <c r="DO49" s="815"/>
      <c r="DP49" s="815"/>
      <c r="DQ49" s="815"/>
      <c r="DR49" s="815"/>
      <c r="DS49" s="815"/>
      <c r="DT49" s="815"/>
      <c r="DU49" s="815"/>
      <c r="DV49" s="815"/>
      <c r="DW49" s="823"/>
      <c r="DX49" s="823"/>
      <c r="DY49" s="823"/>
      <c r="DZ49" s="823"/>
      <c r="EA49" s="823"/>
      <c r="EB49" s="823"/>
      <c r="EC49" s="823"/>
      <c r="ED49" s="823"/>
      <c r="EE49" s="823"/>
      <c r="EF49" s="823"/>
      <c r="EG49" s="823"/>
      <c r="EH49" s="823"/>
      <c r="EI49" s="823"/>
      <c r="EJ49" s="823"/>
      <c r="EK49" s="823"/>
      <c r="EL49" s="823"/>
      <c r="EM49" s="823"/>
      <c r="EN49" s="823"/>
      <c r="EP49" s="869"/>
      <c r="EQ49" s="815"/>
      <c r="ER49" s="815"/>
      <c r="ES49" s="815"/>
      <c r="ET49" s="815"/>
      <c r="EU49" s="815"/>
      <c r="EV49" s="815"/>
      <c r="EW49" s="815"/>
      <c r="EX49" s="815"/>
      <c r="EY49" s="815"/>
      <c r="EZ49" s="717"/>
      <c r="FA49" s="823"/>
      <c r="FB49" s="823"/>
      <c r="FC49" s="823"/>
      <c r="FD49" s="823"/>
      <c r="FE49" s="823"/>
      <c r="FF49" s="823"/>
      <c r="FG49" s="823"/>
      <c r="FH49" s="823"/>
      <c r="FI49" s="823"/>
      <c r="FJ49" s="823"/>
      <c r="FK49" s="800"/>
      <c r="FL49" s="800"/>
      <c r="FM49" s="800"/>
      <c r="FN49" s="800"/>
      <c r="FO49" s="800"/>
      <c r="FP49" s="800"/>
    </row>
    <row r="50" spans="1:178" s="216" customFormat="1" ht="15" customHeight="1" outlineLevel="1">
      <c r="A50" s="1006"/>
      <c r="B50" s="1006"/>
      <c r="C50" s="1007"/>
      <c r="D50" s="235"/>
      <c r="E50" s="235">
        <v>106030</v>
      </c>
      <c r="F50" s="268">
        <v>22</v>
      </c>
      <c r="G50" s="199" t="s">
        <v>727</v>
      </c>
      <c r="H50" s="200" t="s">
        <v>728</v>
      </c>
      <c r="I50" s="201" t="s">
        <v>11</v>
      </c>
      <c r="J50" s="203">
        <v>4850</v>
      </c>
      <c r="K50" s="203">
        <v>900</v>
      </c>
      <c r="L50" s="202">
        <f t="shared" ref="L50" si="1136">+J50+K50</f>
        <v>5750</v>
      </c>
      <c r="M50" s="203">
        <v>30</v>
      </c>
      <c r="N50" s="204">
        <v>0.45</v>
      </c>
      <c r="O50" s="204">
        <v>0.45</v>
      </c>
      <c r="P50" s="204">
        <v>0.05</v>
      </c>
      <c r="Q50" s="204">
        <v>0.05</v>
      </c>
      <c r="R50" s="820">
        <v>0</v>
      </c>
      <c r="S50" s="204">
        <f t="shared" ref="S50" si="1137">SUM(N50:R50)</f>
        <v>1</v>
      </c>
      <c r="T50" s="205"/>
      <c r="U50" s="207"/>
      <c r="V50" s="203">
        <f t="shared" ref="V50" si="1138">($F50/30/8*1.5)*U50</f>
        <v>0</v>
      </c>
      <c r="W50" s="866"/>
      <c r="X50" s="203">
        <f t="shared" ref="X50" si="1139">($F50/30/8*2)*W50</f>
        <v>0</v>
      </c>
      <c r="Y50" s="207"/>
      <c r="Z50" s="203">
        <f t="shared" ref="Z50" si="1140">($F50/30/8*1.5)*Y50</f>
        <v>0</v>
      </c>
      <c r="AA50" s="207"/>
      <c r="AB50" s="203">
        <f t="shared" ref="AB50" si="1141">($F50/30/8*2)*AA50</f>
        <v>0</v>
      </c>
      <c r="AC50" s="207">
        <v>0</v>
      </c>
      <c r="AD50" s="203">
        <f t="shared" ref="AD50" si="1142">(($F50/30/8)*1.5)*AC50</f>
        <v>0</v>
      </c>
      <c r="AE50" s="208"/>
      <c r="AF50" s="203">
        <f t="shared" ref="AF50" si="1143">(($F50/30/8)*2)*AE50</f>
        <v>0</v>
      </c>
      <c r="AG50" s="208"/>
      <c r="AH50" s="203">
        <f t="shared" ref="AH50" si="1144">(($F50/30/8)*1.5)*AG50</f>
        <v>0</v>
      </c>
      <c r="AI50" s="208"/>
      <c r="AJ50" s="203">
        <f t="shared" ref="AJ50" si="1145">(($F50/30/8)*2)*AI50</f>
        <v>0</v>
      </c>
      <c r="AK50" s="203"/>
      <c r="AL50" s="203">
        <f t="shared" ref="AL50" si="1146">(($F50/30/8)*1.5)*AK50</f>
        <v>0</v>
      </c>
      <c r="AM50" s="208"/>
      <c r="AN50" s="203">
        <f t="shared" ref="AN50" si="1147">(($F50/30/8)*2)*AM50</f>
        <v>0</v>
      </c>
      <c r="AO50" s="203"/>
      <c r="AP50" s="203"/>
      <c r="AQ50" s="203"/>
      <c r="AR50" s="203"/>
      <c r="AS50" s="203"/>
      <c r="AT50" s="203"/>
      <c r="AU50" s="203"/>
      <c r="AV50" s="203"/>
      <c r="AW50" s="203"/>
      <c r="AX50" s="203"/>
      <c r="AY50" s="203"/>
      <c r="AZ50" s="201"/>
      <c r="BA50" s="203">
        <f>((J50/30)*M50)*$N50</f>
        <v>2182.5</v>
      </c>
      <c r="BB50" s="203">
        <f>((K50/30)*M50)*$N50+450</f>
        <v>855</v>
      </c>
      <c r="BC50" s="203">
        <f t="shared" ref="BC50" si="1148">U50</f>
        <v>0</v>
      </c>
      <c r="BD50" s="203">
        <f t="shared" ref="BD50" si="1149">V50</f>
        <v>0</v>
      </c>
      <c r="BE50" s="203">
        <f t="shared" ref="BE50" si="1150">W50</f>
        <v>0</v>
      </c>
      <c r="BF50" s="203">
        <f t="shared" ref="BF50" si="1151">X50</f>
        <v>0</v>
      </c>
      <c r="BG50" s="203">
        <f>AO50+AT50</f>
        <v>0</v>
      </c>
      <c r="BH50" s="203">
        <f t="shared" ref="BH50" si="1152">(BA50+BD50+BF50+BG50)*0.1267</f>
        <v>276.52275000000003</v>
      </c>
      <c r="BI50" s="203">
        <f>SUM(BA50:BH50)-BC50-BE50</f>
        <v>3314.0227500000001</v>
      </c>
      <c r="BJ50" s="203">
        <f t="shared" ref="BJ50" si="1153">(($J50/30)*$M50)*$O50</f>
        <v>2182.5</v>
      </c>
      <c r="BK50" s="203">
        <f>(($K50/30)*$M50)*$O50+350</f>
        <v>755</v>
      </c>
      <c r="BL50" s="203">
        <f t="shared" ref="BL50" si="1154">Y50</f>
        <v>0</v>
      </c>
      <c r="BM50" s="203">
        <f t="shared" ref="BM50" si="1155">Z50</f>
        <v>0</v>
      </c>
      <c r="BN50" s="203">
        <f t="shared" ref="BN50" si="1156">AA50</f>
        <v>0</v>
      </c>
      <c r="BO50" s="203">
        <f t="shared" ref="BO50" si="1157">AB50</f>
        <v>0</v>
      </c>
      <c r="BP50" s="203">
        <f>AP50+AU50</f>
        <v>0</v>
      </c>
      <c r="BQ50" s="203">
        <f t="shared" ref="BQ50" si="1158">(+BJ50+BM50+BO50+BP50)*0.1267</f>
        <v>276.52275000000003</v>
      </c>
      <c r="BR50" s="202">
        <f>SUM(BJ50:BQ50)-BL50-BN50</f>
        <v>3214.0227500000001</v>
      </c>
      <c r="BS50" s="203">
        <f t="shared" ref="BS50" si="1159">(($J50/30)*$M50)*$P50</f>
        <v>242.5</v>
      </c>
      <c r="BT50" s="203">
        <f>(($K50/30)*$M50)*$P50+150</f>
        <v>195</v>
      </c>
      <c r="BU50" s="203">
        <f t="shared" ref="BU50" si="1160">AC50</f>
        <v>0</v>
      </c>
      <c r="BV50" s="203">
        <f t="shared" ref="BV50" si="1161">AD50</f>
        <v>0</v>
      </c>
      <c r="BW50" s="203">
        <f t="shared" ref="BW50" si="1162">AE50</f>
        <v>0</v>
      </c>
      <c r="BX50" s="203">
        <f t="shared" ref="BX50" si="1163">AF50</f>
        <v>0</v>
      </c>
      <c r="BY50" s="203">
        <f>AQ50+AV50</f>
        <v>0</v>
      </c>
      <c r="BZ50" s="203">
        <f t="shared" ref="BZ50" si="1164">(BS50+BV50+BX50+BY50)*0.1267</f>
        <v>30.72475</v>
      </c>
      <c r="CA50" s="203">
        <f>SUM(BS50:BZ50)-BU50-BW50</f>
        <v>468.22474999999997</v>
      </c>
      <c r="CB50" s="241">
        <f t="shared" ref="CB50" si="1165">(($J50/30)*$M50)*$Q50</f>
        <v>242.5</v>
      </c>
      <c r="CC50" s="242">
        <f>(($K50/30)*$M50)*$Q50+50</f>
        <v>95</v>
      </c>
      <c r="CD50" s="242">
        <f t="shared" ref="CD50" si="1166">AG50</f>
        <v>0</v>
      </c>
      <c r="CE50" s="242">
        <f t="shared" ref="CE50" si="1167">AH50</f>
        <v>0</v>
      </c>
      <c r="CF50" s="242">
        <f t="shared" ref="CF50" si="1168">AI50</f>
        <v>0</v>
      </c>
      <c r="CG50" s="242">
        <f t="shared" ref="CG50" si="1169">AJ50</f>
        <v>0</v>
      </c>
      <c r="CH50" s="242">
        <f>AR50+AW50</f>
        <v>0</v>
      </c>
      <c r="CI50" s="703">
        <f t="shared" ref="CI50" si="1170">(CB50+CE50+CG50+CH50)*0.1267</f>
        <v>30.72475</v>
      </c>
      <c r="CJ50" s="242">
        <f>SUM(CB50:CI50)-CD50-CF50</f>
        <v>368.22474999999997</v>
      </c>
      <c r="CK50" s="242">
        <f t="shared" ref="CK50" si="1171">(($J50/30)*$M50)*R50</f>
        <v>0</v>
      </c>
      <c r="CL50" s="242">
        <f t="shared" ref="CL50" si="1172">(($K50/30)*$M50)*$R50</f>
        <v>0</v>
      </c>
      <c r="CM50" s="242">
        <f>+AK50</f>
        <v>0</v>
      </c>
      <c r="CN50" s="242">
        <f t="shared" ref="CN50" si="1173">AL50</f>
        <v>0</v>
      </c>
      <c r="CO50" s="242">
        <f t="shared" ref="CO50" si="1174">AM50</f>
        <v>0</v>
      </c>
      <c r="CP50" s="242">
        <f t="shared" ref="CP50" si="1175">AN50</f>
        <v>0</v>
      </c>
      <c r="CQ50" s="242">
        <f>AS50+AX50</f>
        <v>0</v>
      </c>
      <c r="CR50" s="242">
        <f>(CK50+CN50+CP50)*0.1267</f>
        <v>0</v>
      </c>
      <c r="CS50" s="243">
        <f>SUM(CK50:CR50)-CM50-CO50</f>
        <v>0</v>
      </c>
      <c r="CU50" s="201" t="s">
        <v>11</v>
      </c>
      <c r="CV50" s="203">
        <f t="shared" ref="CV50" si="1176">IF($CU50="PROQUIMA",$BA50+$BJ50+$BS50+$CB50+$CK50,0)</f>
        <v>0</v>
      </c>
      <c r="CW50" s="203">
        <f t="shared" ref="CW50" si="1177">IF($CU50="PROQUIMA",$BB50+$BK50+$BT50+$CC50+$CL50,0)</f>
        <v>0</v>
      </c>
      <c r="CX50" s="203">
        <f t="shared" ref="CX50" si="1178">IF($CU50="PROQUIMA",$BC50+$BL50+$BU50+$CD50+$CM50,0)</f>
        <v>0</v>
      </c>
      <c r="CY50" s="203">
        <f t="shared" ref="CY50" si="1179">IF($CU50="PROQUIMA",$BD50+$BM50+$BV50+$CE50+$CN50,0)</f>
        <v>0</v>
      </c>
      <c r="CZ50" s="203">
        <f t="shared" ref="CZ50" si="1180">IF($CU50="PROQUIMA",$BE50+$BN50+$BW50+$CF50+$CO50,0)</f>
        <v>0</v>
      </c>
      <c r="DA50" s="203">
        <f t="shared" ref="DA50" si="1181">IF($CU50="PROQUIMA",$BF50+$BO50+$BX50+$CG50+$CP50,0)</f>
        <v>0</v>
      </c>
      <c r="DB50" s="203">
        <f t="shared" ref="DB50" si="1182">IF($CU50="PROQUIMA",$BG50+$BP50+$BY50+$CH50+$CQ50,0)</f>
        <v>0</v>
      </c>
      <c r="DC50" s="203">
        <f>IF($CU50="PROQUIMA",$BH50+$BQ50+$BZ50+$CI50+CR50,0)</f>
        <v>0</v>
      </c>
      <c r="DD50" s="203">
        <f>SUM(CV50:DC50)-CX50-CZ50</f>
        <v>0</v>
      </c>
      <c r="DE50" s="203">
        <f t="shared" ref="DE50" si="1183">IF($CU50="UNHESA",$BA50+$BJ50+$BS50+$CB50+$CK50,0)</f>
        <v>0</v>
      </c>
      <c r="DF50" s="203">
        <f t="shared" ref="DF50" si="1184">IF($CU50="UNHESA",$BB50+$BK50+$BT50+$CC50+$CL50,0)</f>
        <v>0</v>
      </c>
      <c r="DG50" s="203">
        <f t="shared" ref="DG50" si="1185">IF($CU50="UNHESA",$BC50+$BL50+$BU50+$CD50+$CM50,0)</f>
        <v>0</v>
      </c>
      <c r="DH50" s="203">
        <f t="shared" ref="DH50" si="1186">IF($CU50="UNHESA",$BD50+$BM50+$BV50+$CE50+$CN50,0)</f>
        <v>0</v>
      </c>
      <c r="DI50" s="203">
        <f t="shared" ref="DI50" si="1187">IF($CU50="UNHESA",$BE50+$BN50+$BW50+$CF50+$CO50,0)</f>
        <v>0</v>
      </c>
      <c r="DJ50" s="203">
        <f t="shared" ref="DJ50" si="1188">IF($CU50="UNHESA",$BF50+$BO50+$BX50+$CG50+$CP50,0)</f>
        <v>0</v>
      </c>
      <c r="DK50" s="203">
        <f t="shared" ref="DK50" si="1189">IF($CU50="UNHESA",$BG50+$BP50+$BY50+$CH50+$CQ50,0)</f>
        <v>0</v>
      </c>
      <c r="DL50" s="203">
        <f t="shared" ref="DL50" si="1190">IF($CU50="UNHESA",$BH50+$BQ50+$BZ50+$CI50+$CR50,0)</f>
        <v>0</v>
      </c>
      <c r="DM50" s="203">
        <f>SUM(DE50:DL50)-DG50-DI50</f>
        <v>0</v>
      </c>
      <c r="DN50" s="203">
        <f t="shared" ref="DN50" si="1191">IF($CU50="UNHESA LIQUIDOS",$BA50+$BJ50+$BS50+$CB50+$CK50,0)</f>
        <v>0</v>
      </c>
      <c r="DO50" s="203">
        <f t="shared" ref="DO50" si="1192">IF($CU50="CALIDUL",$BB50+$BK50+$BT50+$CC50+$CL50,0)</f>
        <v>0</v>
      </c>
      <c r="DP50" s="203">
        <f t="shared" ref="DP50" si="1193">IF($CU50="CALIDUL",$BC50+$BL50+$BU50+$CD50+$CM50,0)</f>
        <v>0</v>
      </c>
      <c r="DQ50" s="203">
        <f t="shared" ref="DQ50" si="1194">IF($CU50="CALIDUL",$BD50+$BM50+$BV50+$CE50+$CN50,0)</f>
        <v>0</v>
      </c>
      <c r="DR50" s="203">
        <f t="shared" ref="DR50" si="1195">IF($CU50="CALIDUL",$BE50+$BN50+$BW50+$CF50+$CO50,0)</f>
        <v>0</v>
      </c>
      <c r="DS50" s="203">
        <f t="shared" ref="DS50" si="1196">IF($CU50="CALIDUL",$BF50+$BO50+$BX50+$CG50+$CP50,0)</f>
        <v>0</v>
      </c>
      <c r="DT50" s="203">
        <f t="shared" ref="DT50" si="1197">IF($CU50="CALIDUL",$BG50+$BP50+$BY50+$CH50+$CQ50,0)</f>
        <v>0</v>
      </c>
      <c r="DU50" s="203">
        <f t="shared" ref="DU50" si="1198">IF($CU50="CALIDUL",$BH50+$BQ50+$BZ50+$CI50+$CR50,0)</f>
        <v>0</v>
      </c>
      <c r="DV50" s="203">
        <f>SUM(DN50:DU50)-DP50-DR50</f>
        <v>0</v>
      </c>
      <c r="DW50" s="702">
        <f t="shared" ref="DW50:ED50" si="1199">IF($CU50="CLEARTEC",$BA50+$BJ50+$BS50+$CB50+$CK50,0)</f>
        <v>0</v>
      </c>
      <c r="DX50" s="702">
        <f t="shared" si="1199"/>
        <v>0</v>
      </c>
      <c r="DY50" s="702">
        <f t="shared" si="1199"/>
        <v>0</v>
      </c>
      <c r="DZ50" s="702">
        <f t="shared" si="1199"/>
        <v>0</v>
      </c>
      <c r="EA50" s="702">
        <f t="shared" si="1199"/>
        <v>0</v>
      </c>
      <c r="EB50" s="702">
        <f t="shared" si="1199"/>
        <v>0</v>
      </c>
      <c r="EC50" s="702">
        <f t="shared" si="1199"/>
        <v>0</v>
      </c>
      <c r="ED50" s="702">
        <f t="shared" si="1199"/>
        <v>0</v>
      </c>
      <c r="EE50" s="242">
        <f>SUM(DW50:ED50)-DY50-EA50</f>
        <v>0</v>
      </c>
      <c r="EF50" s="203">
        <f t="shared" ref="EF50" si="1200">IF(CU50="ECONACIONAL",$BA50+$BJ50+$BS50+$CB50+$CK50)</f>
        <v>4850</v>
      </c>
      <c r="EG50" s="242">
        <f t="shared" ref="EG50" si="1201">IF($CU50="ECONACIONAL",$BB50+$BK50+$BT50+$CC50+$CL50,0)</f>
        <v>1900</v>
      </c>
      <c r="EH50" s="203">
        <f t="shared" ref="EH50" si="1202">IF(CU50="ECONACIONAL",$BC50+$BL50+$BU50+$CD50+$CM50)</f>
        <v>0</v>
      </c>
      <c r="EI50" s="203">
        <f t="shared" ref="EI50" si="1203">IF(CU50="ECONACIONAL",$BD50+$DH50+$DQ50+$DZ50+BM50+BV50+CE50+CN50)</f>
        <v>0</v>
      </c>
      <c r="EJ50" s="242">
        <f t="shared" ref="EJ50" si="1204">IF($CU50="CLEARTEC",$BE50+$BN50+$BW50+$CF50+$CO50,0)</f>
        <v>0</v>
      </c>
      <c r="EK50" s="203">
        <f t="shared" ref="EK50" si="1205">IF(CU50="ECONACIONAL",$BF50+$BO50+$BX50+$CG50+$CP50)</f>
        <v>0</v>
      </c>
      <c r="EL50" s="203">
        <f t="shared" ref="EL50" si="1206">IF(CU50="ECONACIONAL",$BG50+$BP50+$BY50+$CH50+$CQ50)</f>
        <v>0</v>
      </c>
      <c r="EM50" s="203">
        <f t="shared" ref="EM50" si="1207">IF(CU50="ECONACIONAL",BH50+BQ50+BZ50+CI50+CR50)</f>
        <v>614.495</v>
      </c>
      <c r="EN50" s="203">
        <f t="shared" ref="EN50" si="1208">SUM(EF50:EM50)-EH50-EJ50</f>
        <v>7364.4949999999999</v>
      </c>
      <c r="EP50" s="786">
        <v>141.36000000000001</v>
      </c>
      <c r="EQ50" s="201"/>
      <c r="ER50" s="201"/>
      <c r="ES50" s="201">
        <f>140+184</f>
        <v>324</v>
      </c>
      <c r="ET50" s="201"/>
      <c r="EU50" s="201"/>
      <c r="EV50" s="201">
        <v>350</v>
      </c>
      <c r="EW50" s="201"/>
      <c r="EX50" s="201"/>
      <c r="EY50" s="201">
        <f>+ET50+EU50+EV50</f>
        <v>350</v>
      </c>
      <c r="EZ50" s="821"/>
      <c r="FA50" s="207">
        <f t="shared" ref="FA50" si="1209">IF($M50&lt;=15,EP50/2,EP50)</f>
        <v>141.36000000000001</v>
      </c>
      <c r="FB50" s="207">
        <f t="shared" ref="FB50" si="1210">IF($M50&lt;=15,EQ50/2,EQ50)</f>
        <v>0</v>
      </c>
      <c r="FC50" s="207">
        <f t="shared" ref="FC50" si="1211">IF($M50&lt;=15,ER50/2,ER50)</f>
        <v>0</v>
      </c>
      <c r="FD50" s="207">
        <f t="shared" ref="FD50" si="1212">IF($M50&lt;=15,ES50/2,ES50)</f>
        <v>324</v>
      </c>
      <c r="FE50" s="207">
        <f t="shared" ref="FE50" si="1213">IF($M50&lt;=15,ET50/2,ET50)</f>
        <v>0</v>
      </c>
      <c r="FF50" s="207">
        <f t="shared" ref="FF50" si="1214">IF($M50&lt;=15,EU50/2,EU50)</f>
        <v>0</v>
      </c>
      <c r="FG50" s="207">
        <f t="shared" ref="FG50" si="1215">IF($M50&lt;=15,EV50/2,EV50)</f>
        <v>350</v>
      </c>
      <c r="FH50" s="207">
        <f t="shared" ref="FH50" si="1216">IF($M50&lt;=15,EW50/2,EW50)</f>
        <v>0</v>
      </c>
      <c r="FI50" s="207">
        <f t="shared" ref="FI50" si="1217">IF($M50&lt;=15,EX50/2,EX50)</f>
        <v>0</v>
      </c>
      <c r="FJ50" s="207">
        <f>IF($M50&lt;=15,EY50/2,EY50)</f>
        <v>350</v>
      </c>
      <c r="FK50" s="217"/>
      <c r="FL50" s="217"/>
      <c r="FM50" s="217"/>
      <c r="FN50" s="217"/>
      <c r="FO50" s="217"/>
      <c r="FP50" s="217"/>
      <c r="FR50" s="1185">
        <f>(((J50/30/8)*1.5)*(U50+Y50+AC50))-(BD50+BM50+BV50)</f>
        <v>0</v>
      </c>
      <c r="FS50" s="1185">
        <f t="shared" ref="FS50" si="1218">(((J50/30/8)*2)*(W50+AA50+AE50))-(BF50+BO50+BX50)</f>
        <v>0</v>
      </c>
      <c r="FT50" s="1186">
        <f>(SUM(BA50:CJ50))-(SUM(EF50:EN50))</f>
        <v>0</v>
      </c>
      <c r="FU50" s="1185">
        <f>(J50/30*M50)-(EF50)</f>
        <v>0</v>
      </c>
      <c r="FV50" s="1187">
        <f>(SUM(EP50:EY50))-((SUM(FA50:FJ50))*$FV$5)</f>
        <v>-1165.3600000000001</v>
      </c>
    </row>
    <row r="51" spans="1:178" s="778" customFormat="1" ht="15.75" customHeight="1" outlineLevel="1">
      <c r="A51" s="1006" t="s">
        <v>52</v>
      </c>
      <c r="B51" s="1006" t="s">
        <v>52</v>
      </c>
      <c r="C51" s="1007" t="s">
        <v>52</v>
      </c>
      <c r="D51" s="776"/>
      <c r="E51" s="776"/>
      <c r="F51" s="776"/>
      <c r="G51" s="723"/>
      <c r="H51" s="717" t="s">
        <v>625</v>
      </c>
      <c r="J51" s="824">
        <f>+J50</f>
        <v>4850</v>
      </c>
      <c r="K51" s="824">
        <f t="shared" ref="K51:L51" si="1219">+K50</f>
        <v>900</v>
      </c>
      <c r="L51" s="824">
        <f t="shared" si="1219"/>
        <v>5750</v>
      </c>
      <c r="M51" s="823"/>
      <c r="N51" s="799"/>
      <c r="O51" s="799"/>
      <c r="P51" s="799"/>
      <c r="Q51" s="799"/>
      <c r="R51" s="799"/>
      <c r="S51" s="799"/>
      <c r="T51" s="780"/>
      <c r="U51" s="824">
        <f t="shared" ref="U51:CF51" si="1220">+U50</f>
        <v>0</v>
      </c>
      <c r="V51" s="824">
        <f t="shared" si="1220"/>
        <v>0</v>
      </c>
      <c r="W51" s="824">
        <f t="shared" si="1220"/>
        <v>0</v>
      </c>
      <c r="X51" s="824">
        <f t="shared" si="1220"/>
        <v>0</v>
      </c>
      <c r="Y51" s="824">
        <f t="shared" si="1220"/>
        <v>0</v>
      </c>
      <c r="Z51" s="824">
        <f t="shared" si="1220"/>
        <v>0</v>
      </c>
      <c r="AA51" s="824">
        <f t="shared" si="1220"/>
        <v>0</v>
      </c>
      <c r="AB51" s="824">
        <f t="shared" si="1220"/>
        <v>0</v>
      </c>
      <c r="AC51" s="824">
        <f t="shared" si="1220"/>
        <v>0</v>
      </c>
      <c r="AD51" s="824">
        <f t="shared" si="1220"/>
        <v>0</v>
      </c>
      <c r="AE51" s="824">
        <f t="shared" si="1220"/>
        <v>0</v>
      </c>
      <c r="AF51" s="824">
        <f t="shared" si="1220"/>
        <v>0</v>
      </c>
      <c r="AG51" s="824">
        <f t="shared" si="1220"/>
        <v>0</v>
      </c>
      <c r="AH51" s="824">
        <f t="shared" si="1220"/>
        <v>0</v>
      </c>
      <c r="AI51" s="824">
        <f t="shared" si="1220"/>
        <v>0</v>
      </c>
      <c r="AJ51" s="824">
        <f t="shared" si="1220"/>
        <v>0</v>
      </c>
      <c r="AK51" s="824">
        <f t="shared" si="1220"/>
        <v>0</v>
      </c>
      <c r="AL51" s="824">
        <f t="shared" si="1220"/>
        <v>0</v>
      </c>
      <c r="AM51" s="824">
        <f t="shared" si="1220"/>
        <v>0</v>
      </c>
      <c r="AN51" s="824">
        <f t="shared" si="1220"/>
        <v>0</v>
      </c>
      <c r="AO51" s="824">
        <f t="shared" si="1220"/>
        <v>0</v>
      </c>
      <c r="AP51" s="824">
        <f t="shared" si="1220"/>
        <v>0</v>
      </c>
      <c r="AQ51" s="824">
        <f t="shared" si="1220"/>
        <v>0</v>
      </c>
      <c r="AR51" s="824">
        <f t="shared" si="1220"/>
        <v>0</v>
      </c>
      <c r="AS51" s="824">
        <f t="shared" si="1220"/>
        <v>0</v>
      </c>
      <c r="AT51" s="824">
        <f t="shared" si="1220"/>
        <v>0</v>
      </c>
      <c r="AU51" s="824">
        <f t="shared" si="1220"/>
        <v>0</v>
      </c>
      <c r="AV51" s="824">
        <f t="shared" si="1220"/>
        <v>0</v>
      </c>
      <c r="AW51" s="824">
        <f t="shared" si="1220"/>
        <v>0</v>
      </c>
      <c r="AX51" s="824">
        <f t="shared" si="1220"/>
        <v>0</v>
      </c>
      <c r="AY51" s="824">
        <f t="shared" si="1220"/>
        <v>0</v>
      </c>
      <c r="AZ51" s="824">
        <f t="shared" si="1220"/>
        <v>0</v>
      </c>
      <c r="BA51" s="824">
        <f>+BA50</f>
        <v>2182.5</v>
      </c>
      <c r="BB51" s="824">
        <f t="shared" si="1220"/>
        <v>855</v>
      </c>
      <c r="BC51" s="824">
        <f t="shared" si="1220"/>
        <v>0</v>
      </c>
      <c r="BD51" s="824">
        <f t="shared" si="1220"/>
        <v>0</v>
      </c>
      <c r="BE51" s="824">
        <f t="shared" si="1220"/>
        <v>0</v>
      </c>
      <c r="BF51" s="824">
        <f t="shared" si="1220"/>
        <v>0</v>
      </c>
      <c r="BG51" s="824">
        <f t="shared" si="1220"/>
        <v>0</v>
      </c>
      <c r="BH51" s="824">
        <f t="shared" si="1220"/>
        <v>276.52275000000003</v>
      </c>
      <c r="BI51" s="824">
        <f t="shared" si="1220"/>
        <v>3314.0227500000001</v>
      </c>
      <c r="BJ51" s="824">
        <f t="shared" si="1220"/>
        <v>2182.5</v>
      </c>
      <c r="BK51" s="824">
        <f t="shared" si="1220"/>
        <v>755</v>
      </c>
      <c r="BL51" s="824">
        <f t="shared" si="1220"/>
        <v>0</v>
      </c>
      <c r="BM51" s="824">
        <f t="shared" si="1220"/>
        <v>0</v>
      </c>
      <c r="BN51" s="824">
        <f t="shared" si="1220"/>
        <v>0</v>
      </c>
      <c r="BO51" s="824">
        <f t="shared" si="1220"/>
        <v>0</v>
      </c>
      <c r="BP51" s="824">
        <f t="shared" si="1220"/>
        <v>0</v>
      </c>
      <c r="BQ51" s="824">
        <f t="shared" si="1220"/>
        <v>276.52275000000003</v>
      </c>
      <c r="BR51" s="824">
        <f t="shared" si="1220"/>
        <v>3214.0227500000001</v>
      </c>
      <c r="BS51" s="824">
        <f t="shared" si="1220"/>
        <v>242.5</v>
      </c>
      <c r="BT51" s="824">
        <f t="shared" si="1220"/>
        <v>195</v>
      </c>
      <c r="BU51" s="824">
        <f t="shared" si="1220"/>
        <v>0</v>
      </c>
      <c r="BV51" s="824">
        <f t="shared" si="1220"/>
        <v>0</v>
      </c>
      <c r="BW51" s="824">
        <f t="shared" si="1220"/>
        <v>0</v>
      </c>
      <c r="BX51" s="824">
        <f t="shared" si="1220"/>
        <v>0</v>
      </c>
      <c r="BY51" s="824">
        <f t="shared" si="1220"/>
        <v>0</v>
      </c>
      <c r="BZ51" s="824">
        <f t="shared" si="1220"/>
        <v>30.72475</v>
      </c>
      <c r="CA51" s="824">
        <f t="shared" si="1220"/>
        <v>468.22474999999997</v>
      </c>
      <c r="CB51" s="824">
        <f t="shared" si="1220"/>
        <v>242.5</v>
      </c>
      <c r="CC51" s="824">
        <f t="shared" si="1220"/>
        <v>95</v>
      </c>
      <c r="CD51" s="824">
        <f t="shared" si="1220"/>
        <v>0</v>
      </c>
      <c r="CE51" s="824">
        <f t="shared" si="1220"/>
        <v>0</v>
      </c>
      <c r="CF51" s="824">
        <f t="shared" si="1220"/>
        <v>0</v>
      </c>
      <c r="CG51" s="824">
        <f t="shared" ref="CG51:ER51" si="1221">+CG50</f>
        <v>0</v>
      </c>
      <c r="CH51" s="824">
        <f t="shared" si="1221"/>
        <v>0</v>
      </c>
      <c r="CI51" s="824">
        <f t="shared" si="1221"/>
        <v>30.72475</v>
      </c>
      <c r="CJ51" s="824">
        <f t="shared" si="1221"/>
        <v>368.22474999999997</v>
      </c>
      <c r="CK51" s="824">
        <f t="shared" si="1221"/>
        <v>0</v>
      </c>
      <c r="CL51" s="824">
        <f t="shared" si="1221"/>
        <v>0</v>
      </c>
      <c r="CM51" s="824">
        <f t="shared" si="1221"/>
        <v>0</v>
      </c>
      <c r="CN51" s="824">
        <f t="shared" si="1221"/>
        <v>0</v>
      </c>
      <c r="CO51" s="824">
        <f t="shared" si="1221"/>
        <v>0</v>
      </c>
      <c r="CP51" s="824">
        <f t="shared" si="1221"/>
        <v>0</v>
      </c>
      <c r="CQ51" s="824">
        <f t="shared" si="1221"/>
        <v>0</v>
      </c>
      <c r="CR51" s="824">
        <f t="shared" si="1221"/>
        <v>0</v>
      </c>
      <c r="CS51" s="824">
        <f t="shared" si="1221"/>
        <v>0</v>
      </c>
      <c r="CT51" s="824">
        <f t="shared" si="1221"/>
        <v>0</v>
      </c>
      <c r="CU51" s="824" t="str">
        <f t="shared" si="1221"/>
        <v>ECONACIONAL</v>
      </c>
      <c r="CV51" s="824">
        <f t="shared" si="1221"/>
        <v>0</v>
      </c>
      <c r="CW51" s="824">
        <f t="shared" si="1221"/>
        <v>0</v>
      </c>
      <c r="CX51" s="824">
        <f t="shared" si="1221"/>
        <v>0</v>
      </c>
      <c r="CY51" s="824">
        <f t="shared" si="1221"/>
        <v>0</v>
      </c>
      <c r="CZ51" s="824">
        <f t="shared" si="1221"/>
        <v>0</v>
      </c>
      <c r="DA51" s="824">
        <f t="shared" si="1221"/>
        <v>0</v>
      </c>
      <c r="DB51" s="824">
        <f t="shared" si="1221"/>
        <v>0</v>
      </c>
      <c r="DC51" s="824">
        <f t="shared" si="1221"/>
        <v>0</v>
      </c>
      <c r="DD51" s="824">
        <f t="shared" si="1221"/>
        <v>0</v>
      </c>
      <c r="DE51" s="824">
        <f t="shared" si="1221"/>
        <v>0</v>
      </c>
      <c r="DF51" s="824">
        <f t="shared" si="1221"/>
        <v>0</v>
      </c>
      <c r="DG51" s="824">
        <f t="shared" si="1221"/>
        <v>0</v>
      </c>
      <c r="DH51" s="824">
        <f t="shared" si="1221"/>
        <v>0</v>
      </c>
      <c r="DI51" s="824">
        <f t="shared" si="1221"/>
        <v>0</v>
      </c>
      <c r="DJ51" s="824">
        <f t="shared" si="1221"/>
        <v>0</v>
      </c>
      <c r="DK51" s="824">
        <f t="shared" si="1221"/>
        <v>0</v>
      </c>
      <c r="DL51" s="824">
        <f t="shared" si="1221"/>
        <v>0</v>
      </c>
      <c r="DM51" s="824">
        <f t="shared" si="1221"/>
        <v>0</v>
      </c>
      <c r="DN51" s="824">
        <f t="shared" si="1221"/>
        <v>0</v>
      </c>
      <c r="DO51" s="824">
        <f t="shared" si="1221"/>
        <v>0</v>
      </c>
      <c r="DP51" s="824">
        <f t="shared" si="1221"/>
        <v>0</v>
      </c>
      <c r="DQ51" s="824">
        <f t="shared" si="1221"/>
        <v>0</v>
      </c>
      <c r="DR51" s="824">
        <f t="shared" si="1221"/>
        <v>0</v>
      </c>
      <c r="DS51" s="824">
        <f t="shared" si="1221"/>
        <v>0</v>
      </c>
      <c r="DT51" s="824">
        <f t="shared" si="1221"/>
        <v>0</v>
      </c>
      <c r="DU51" s="824">
        <f t="shared" si="1221"/>
        <v>0</v>
      </c>
      <c r="DV51" s="824">
        <f t="shared" si="1221"/>
        <v>0</v>
      </c>
      <c r="DW51" s="824">
        <f t="shared" si="1221"/>
        <v>0</v>
      </c>
      <c r="DX51" s="824">
        <f t="shared" si="1221"/>
        <v>0</v>
      </c>
      <c r="DY51" s="824">
        <f t="shared" si="1221"/>
        <v>0</v>
      </c>
      <c r="DZ51" s="824">
        <f t="shared" si="1221"/>
        <v>0</v>
      </c>
      <c r="EA51" s="824">
        <f t="shared" si="1221"/>
        <v>0</v>
      </c>
      <c r="EB51" s="824">
        <f t="shared" si="1221"/>
        <v>0</v>
      </c>
      <c r="EC51" s="824">
        <f t="shared" si="1221"/>
        <v>0</v>
      </c>
      <c r="ED51" s="824">
        <f t="shared" si="1221"/>
        <v>0</v>
      </c>
      <c r="EE51" s="824">
        <f t="shared" si="1221"/>
        <v>0</v>
      </c>
      <c r="EF51" s="824">
        <f t="shared" si="1221"/>
        <v>4850</v>
      </c>
      <c r="EG51" s="824">
        <f t="shared" si="1221"/>
        <v>1900</v>
      </c>
      <c r="EH51" s="824">
        <f t="shared" si="1221"/>
        <v>0</v>
      </c>
      <c r="EI51" s="824">
        <f t="shared" si="1221"/>
        <v>0</v>
      </c>
      <c r="EJ51" s="824">
        <f t="shared" si="1221"/>
        <v>0</v>
      </c>
      <c r="EK51" s="824">
        <f t="shared" si="1221"/>
        <v>0</v>
      </c>
      <c r="EL51" s="824">
        <f t="shared" si="1221"/>
        <v>0</v>
      </c>
      <c r="EM51" s="824">
        <f t="shared" si="1221"/>
        <v>614.495</v>
      </c>
      <c r="EN51" s="824">
        <f t="shared" si="1221"/>
        <v>7364.4949999999999</v>
      </c>
      <c r="EO51" s="824"/>
      <c r="EP51" s="824">
        <f t="shared" si="1221"/>
        <v>141.36000000000001</v>
      </c>
      <c r="EQ51" s="824">
        <f t="shared" si="1221"/>
        <v>0</v>
      </c>
      <c r="ER51" s="824">
        <f t="shared" si="1221"/>
        <v>0</v>
      </c>
      <c r="ES51" s="824">
        <f t="shared" ref="ES51:FJ51" si="1222">+ES50</f>
        <v>324</v>
      </c>
      <c r="ET51" s="824">
        <f t="shared" si="1222"/>
        <v>0</v>
      </c>
      <c r="EU51" s="824">
        <f t="shared" si="1222"/>
        <v>0</v>
      </c>
      <c r="EV51" s="824">
        <f t="shared" si="1222"/>
        <v>350</v>
      </c>
      <c r="EW51" s="824">
        <f t="shared" si="1222"/>
        <v>0</v>
      </c>
      <c r="EX51" s="824">
        <f t="shared" si="1222"/>
        <v>0</v>
      </c>
      <c r="EY51" s="824">
        <f t="shared" si="1222"/>
        <v>350</v>
      </c>
      <c r="EZ51" s="824"/>
      <c r="FA51" s="824">
        <f t="shared" si="1222"/>
        <v>141.36000000000001</v>
      </c>
      <c r="FB51" s="824">
        <f t="shared" si="1222"/>
        <v>0</v>
      </c>
      <c r="FC51" s="824">
        <f t="shared" si="1222"/>
        <v>0</v>
      </c>
      <c r="FD51" s="824">
        <f t="shared" si="1222"/>
        <v>324</v>
      </c>
      <c r="FE51" s="824">
        <f t="shared" si="1222"/>
        <v>0</v>
      </c>
      <c r="FF51" s="824">
        <f t="shared" si="1222"/>
        <v>0</v>
      </c>
      <c r="FG51" s="824">
        <f t="shared" si="1222"/>
        <v>350</v>
      </c>
      <c r="FH51" s="824">
        <f t="shared" si="1222"/>
        <v>0</v>
      </c>
      <c r="FI51" s="824">
        <f t="shared" si="1222"/>
        <v>0</v>
      </c>
      <c r="FJ51" s="824">
        <f t="shared" si="1222"/>
        <v>350</v>
      </c>
      <c r="FK51" s="800"/>
      <c r="FL51" s="800"/>
      <c r="FM51" s="800"/>
      <c r="FN51" s="800"/>
      <c r="FO51" s="800"/>
      <c r="FP51" s="800"/>
    </row>
    <row r="52" spans="1:178" s="778" customFormat="1" ht="15.75" customHeight="1" outlineLevel="1">
      <c r="A52" s="1006" t="str">
        <f t="shared" si="253"/>
        <v>MAYO  2026 2da QUINCENA</v>
      </c>
      <c r="B52" s="1006">
        <f t="shared" si="90"/>
        <v>2026</v>
      </c>
      <c r="C52" s="1007" t="str">
        <f t="shared" si="254"/>
        <v>MAYO  2026 2da QUINCENA2026</v>
      </c>
      <c r="D52" s="776"/>
      <c r="E52" s="235">
        <v>106050</v>
      </c>
      <c r="F52" s="776"/>
      <c r="G52" s="779" t="s">
        <v>711</v>
      </c>
      <c r="H52" s="776"/>
      <c r="J52" s="824"/>
      <c r="K52" s="823"/>
      <c r="L52" s="823"/>
      <c r="M52" s="823"/>
      <c r="N52" s="799"/>
      <c r="O52" s="799"/>
      <c r="P52" s="799"/>
      <c r="Q52" s="799"/>
      <c r="R52" s="799"/>
      <c r="S52" s="799"/>
      <c r="T52" s="780"/>
      <c r="U52" s="825"/>
      <c r="V52" s="823"/>
      <c r="W52" s="825"/>
      <c r="X52" s="823"/>
      <c r="Y52" s="825"/>
      <c r="Z52" s="823"/>
      <c r="AA52" s="825"/>
      <c r="AB52" s="823"/>
      <c r="AC52" s="825"/>
      <c r="AD52" s="823"/>
      <c r="AE52" s="826"/>
      <c r="AF52" s="823"/>
      <c r="AG52" s="826"/>
      <c r="AH52" s="823"/>
      <c r="AI52" s="826"/>
      <c r="AJ52" s="823"/>
      <c r="AK52" s="823"/>
      <c r="AL52" s="823"/>
      <c r="AM52" s="826"/>
      <c r="AN52" s="823"/>
      <c r="AO52" s="823"/>
      <c r="AP52" s="823"/>
      <c r="AQ52" s="823"/>
      <c r="AR52" s="823"/>
      <c r="AS52" s="823"/>
      <c r="AT52" s="823"/>
      <c r="AU52" s="823"/>
      <c r="AV52" s="823"/>
      <c r="AW52" s="823"/>
      <c r="AX52" s="823"/>
      <c r="AY52" s="798"/>
      <c r="BA52" s="823"/>
      <c r="BB52" s="823"/>
      <c r="BC52" s="823"/>
      <c r="BD52" s="823"/>
      <c r="BE52" s="823"/>
      <c r="BF52" s="823"/>
      <c r="BG52" s="823"/>
      <c r="BH52" s="823"/>
      <c r="BI52" s="823"/>
      <c r="BJ52" s="823"/>
      <c r="BK52" s="823"/>
      <c r="BL52" s="823"/>
      <c r="BM52" s="823"/>
      <c r="BN52" s="823"/>
      <c r="BO52" s="823"/>
      <c r="BP52" s="823"/>
      <c r="BQ52" s="823"/>
      <c r="BR52" s="823"/>
      <c r="BS52" s="823"/>
      <c r="BT52" s="823"/>
      <c r="BU52" s="823"/>
      <c r="BV52" s="823"/>
      <c r="BW52" s="823"/>
      <c r="BX52" s="823"/>
      <c r="BY52" s="823"/>
      <c r="BZ52" s="823"/>
      <c r="CA52" s="823"/>
      <c r="CB52" s="823"/>
      <c r="CC52" s="823"/>
      <c r="CD52" s="823"/>
      <c r="CE52" s="823"/>
      <c r="CF52" s="823"/>
      <c r="CG52" s="823"/>
      <c r="CH52" s="823"/>
      <c r="CI52" s="823"/>
      <c r="CJ52" s="823"/>
      <c r="CK52" s="823"/>
      <c r="CL52" s="823"/>
      <c r="CM52" s="823"/>
      <c r="CN52" s="823"/>
      <c r="CO52" s="823"/>
      <c r="CP52" s="823"/>
      <c r="CQ52" s="823"/>
      <c r="CR52" s="823"/>
      <c r="CS52" s="823"/>
      <c r="CV52" s="803"/>
      <c r="CW52" s="803"/>
      <c r="CX52" s="803"/>
      <c r="CY52" s="803"/>
      <c r="CZ52" s="803"/>
      <c r="DA52" s="803"/>
      <c r="DB52" s="803"/>
      <c r="DC52" s="803"/>
      <c r="DD52" s="803"/>
      <c r="DE52" s="803"/>
      <c r="DF52" s="803"/>
      <c r="DG52" s="803"/>
      <c r="DH52" s="803"/>
      <c r="DI52" s="803"/>
      <c r="DJ52" s="803"/>
      <c r="DK52" s="803"/>
      <c r="DL52" s="803"/>
      <c r="DM52" s="798"/>
      <c r="DN52" s="803"/>
      <c r="DO52" s="803"/>
      <c r="DP52" s="803"/>
      <c r="DQ52" s="803"/>
      <c r="DR52" s="803"/>
      <c r="DS52" s="803"/>
      <c r="DT52" s="803"/>
      <c r="DU52" s="803"/>
      <c r="DV52" s="803"/>
      <c r="DW52" s="803"/>
      <c r="DX52" s="803"/>
      <c r="DY52" s="803"/>
      <c r="DZ52" s="803"/>
      <c r="EA52" s="803"/>
      <c r="EB52" s="803"/>
      <c r="EC52" s="803"/>
      <c r="ED52" s="803"/>
      <c r="EE52" s="803"/>
      <c r="EF52" s="803"/>
      <c r="EG52" s="803"/>
      <c r="EH52" s="803"/>
      <c r="EI52" s="803"/>
      <c r="EJ52" s="803"/>
      <c r="EK52" s="803"/>
      <c r="EL52" s="803"/>
      <c r="EM52" s="803"/>
      <c r="EN52" s="803"/>
      <c r="EP52" s="235"/>
      <c r="ES52" s="216"/>
      <c r="EZ52" s="717"/>
      <c r="FK52" s="800"/>
      <c r="FL52" s="800"/>
      <c r="FM52" s="800"/>
      <c r="FN52" s="800"/>
      <c r="FO52" s="800"/>
      <c r="FP52" s="800"/>
    </row>
    <row r="53" spans="1:178" s="216" customFormat="1" ht="15" customHeight="1" outlineLevel="1">
      <c r="A53" s="1006" t="str">
        <f t="shared" si="253"/>
        <v>MAYO  2026 2da QUINCENA</v>
      </c>
      <c r="B53" s="1006">
        <f t="shared" si="90"/>
        <v>2026</v>
      </c>
      <c r="C53" s="1007" t="str">
        <f t="shared" si="254"/>
        <v>MAYO  2026 2da QUINCENA2026</v>
      </c>
      <c r="D53" s="235" t="str">
        <f>+$G$52</f>
        <v>LEGAL</v>
      </c>
      <c r="E53" s="235">
        <v>106050</v>
      </c>
      <c r="F53" s="268">
        <v>23</v>
      </c>
      <c r="G53" s="199" t="s">
        <v>609</v>
      </c>
      <c r="H53" s="200" t="s">
        <v>677</v>
      </c>
      <c r="I53" s="201" t="s">
        <v>11</v>
      </c>
      <c r="J53" s="203">
        <v>4500</v>
      </c>
      <c r="K53" s="203">
        <v>2000</v>
      </c>
      <c r="L53" s="202">
        <f t="shared" ref="L53" si="1223">+J53+K53</f>
        <v>6500</v>
      </c>
      <c r="M53" s="203">
        <v>30</v>
      </c>
      <c r="N53" s="204">
        <v>0.5</v>
      </c>
      <c r="O53" s="204">
        <v>0.42</v>
      </c>
      <c r="P53" s="204">
        <v>0.03</v>
      </c>
      <c r="Q53" s="204">
        <v>0.05</v>
      </c>
      <c r="R53" s="820">
        <v>0</v>
      </c>
      <c r="S53" s="204">
        <f>SUM(N53:R53)</f>
        <v>1</v>
      </c>
      <c r="T53" s="205"/>
      <c r="U53" s="207"/>
      <c r="V53" s="203">
        <f t="shared" ref="V53" si="1224">($J53/30/8*1.5)*U53</f>
        <v>0</v>
      </c>
      <c r="W53" s="207"/>
      <c r="X53" s="203">
        <f t="shared" ref="X53" si="1225">($J53/30/8*2)*W53</f>
        <v>0</v>
      </c>
      <c r="Y53" s="207"/>
      <c r="Z53" s="203">
        <f t="shared" ref="Z53" si="1226">($J53/30/8*1.5)*Y53</f>
        <v>0</v>
      </c>
      <c r="AA53" s="207"/>
      <c r="AB53" s="203">
        <f t="shared" ref="AB53" si="1227">($J53/30/8*2)*AA53</f>
        <v>0</v>
      </c>
      <c r="AC53" s="207"/>
      <c r="AD53" s="203">
        <f t="shared" ref="AD53" si="1228">(($J53/30/8)*1.5)*AC53</f>
        <v>0</v>
      </c>
      <c r="AE53" s="208"/>
      <c r="AF53" s="203">
        <f t="shared" ref="AF53" si="1229">(($J53/30/8)*2)*AE53</f>
        <v>0</v>
      </c>
      <c r="AG53" s="208"/>
      <c r="AH53" s="203">
        <f t="shared" ref="AH53" si="1230">(($J53/30/8)*1.5)*AG53</f>
        <v>0</v>
      </c>
      <c r="AI53" s="208"/>
      <c r="AJ53" s="203">
        <f t="shared" ref="AJ53" si="1231">(($J53/30/8)*2)*AI53</f>
        <v>0</v>
      </c>
      <c r="AK53" s="203"/>
      <c r="AL53" s="203">
        <f t="shared" ref="AL53" si="1232">(($J53/30/8)*1.5)*AK53</f>
        <v>0</v>
      </c>
      <c r="AM53" s="208"/>
      <c r="AN53" s="203">
        <f t="shared" ref="AN53" si="1233">(($J53/30/8)*2)*AM53</f>
        <v>0</v>
      </c>
      <c r="AO53" s="203"/>
      <c r="AP53" s="203"/>
      <c r="AQ53" s="203"/>
      <c r="AR53" s="203"/>
      <c r="AS53" s="203"/>
      <c r="AT53" s="203"/>
      <c r="AU53" s="203"/>
      <c r="AV53" s="203"/>
      <c r="AW53" s="203"/>
      <c r="AX53" s="203"/>
      <c r="AY53" s="203"/>
      <c r="AZ53" s="201"/>
      <c r="BA53" s="203">
        <f t="shared" ref="BA53" si="1234">((J53/30)*M53)*$N53</f>
        <v>2250</v>
      </c>
      <c r="BB53" s="203">
        <f>((K53/30)*M53)*$N53+250</f>
        <v>1250</v>
      </c>
      <c r="BC53" s="203">
        <f t="shared" ref="BC53" si="1235">U53</f>
        <v>0</v>
      </c>
      <c r="BD53" s="203">
        <f t="shared" ref="BD53" si="1236">V53</f>
        <v>0</v>
      </c>
      <c r="BE53" s="203">
        <f t="shared" ref="BE53" si="1237">W53</f>
        <v>0</v>
      </c>
      <c r="BF53" s="203">
        <f t="shared" ref="BF53" si="1238">X53</f>
        <v>0</v>
      </c>
      <c r="BG53" s="203">
        <f t="shared" ref="BG53" si="1239">AO53+AT53</f>
        <v>0</v>
      </c>
      <c r="BH53" s="203">
        <f>(BA53+BD53+BF53+BG53)*0.1267</f>
        <v>285.07499999999999</v>
      </c>
      <c r="BI53" s="203">
        <f t="shared" ref="BI53" si="1240">SUM(BA53:BH53)-BC53-BE53</f>
        <v>3785.0749999999998</v>
      </c>
      <c r="BJ53" s="203">
        <f t="shared" ref="BJ53" si="1241">(($J53/30)*$M53)*$O53</f>
        <v>1890</v>
      </c>
      <c r="BK53" s="203">
        <f>(($K53/30)*$M53)*$O53+145</f>
        <v>985.00000000000011</v>
      </c>
      <c r="BL53" s="203">
        <f t="shared" ref="BL53" si="1242">Y53</f>
        <v>0</v>
      </c>
      <c r="BM53" s="203">
        <f t="shared" ref="BM53" si="1243">Z53</f>
        <v>0</v>
      </c>
      <c r="BN53" s="203">
        <f t="shared" ref="BN53" si="1244">AA53</f>
        <v>0</v>
      </c>
      <c r="BO53" s="203">
        <f t="shared" ref="BO53" si="1245">AB53</f>
        <v>0</v>
      </c>
      <c r="BP53" s="203">
        <f t="shared" ref="BP53" si="1246">AP53+AU53</f>
        <v>0</v>
      </c>
      <c r="BQ53" s="203">
        <f t="shared" ref="BQ53" si="1247">(+BJ53+BM53+BO53+BP53)*0.1267</f>
        <v>239.46300000000002</v>
      </c>
      <c r="BR53" s="202">
        <f t="shared" ref="BR53" si="1248">SUM(BJ53:BQ53)-BL53-BN53</f>
        <v>3114.4630000000002</v>
      </c>
      <c r="BS53" s="203">
        <f t="shared" ref="BS53" si="1249">(($J53/30)*$M53)*$P53</f>
        <v>135</v>
      </c>
      <c r="BT53" s="203">
        <f>(($K53/30)*$M53)*$P53+80</f>
        <v>140</v>
      </c>
      <c r="BU53" s="203">
        <f t="shared" ref="BU53" si="1250">AC53</f>
        <v>0</v>
      </c>
      <c r="BV53" s="203">
        <f t="shared" ref="BV53" si="1251">AD53</f>
        <v>0</v>
      </c>
      <c r="BW53" s="203">
        <f t="shared" ref="BW53" si="1252">AE53</f>
        <v>0</v>
      </c>
      <c r="BX53" s="203">
        <f t="shared" ref="BX53" si="1253">AF53</f>
        <v>0</v>
      </c>
      <c r="BY53" s="203">
        <f t="shared" ref="BY53" si="1254">AQ53+AV53</f>
        <v>0</v>
      </c>
      <c r="BZ53" s="203">
        <f t="shared" ref="BZ53" si="1255">(BS53+BV53+BX53+BY53)*0.1267</f>
        <v>17.104500000000002</v>
      </c>
      <c r="CA53" s="203">
        <f t="shared" ref="CA53" si="1256">SUM(BS53:BZ53)-BU53-BW53</f>
        <v>292.10450000000003</v>
      </c>
      <c r="CB53" s="241">
        <f t="shared" ref="CB53" si="1257">(($J53/30)*$M53)*$Q53</f>
        <v>225</v>
      </c>
      <c r="CC53" s="242">
        <f>(($K53/30)*$M53)*$Q53+25</f>
        <v>125.00000000000001</v>
      </c>
      <c r="CD53" s="242">
        <f t="shared" ref="CD53" si="1258">AG53</f>
        <v>0</v>
      </c>
      <c r="CE53" s="242">
        <f t="shared" ref="CE53" si="1259">AH53</f>
        <v>0</v>
      </c>
      <c r="CF53" s="242">
        <f t="shared" ref="CF53" si="1260">AI53</f>
        <v>0</v>
      </c>
      <c r="CG53" s="242">
        <f t="shared" ref="CG53" si="1261">AJ53</f>
        <v>0</v>
      </c>
      <c r="CH53" s="242">
        <f t="shared" ref="CH53" si="1262">AR53+AW53</f>
        <v>0</v>
      </c>
      <c r="CI53" s="703">
        <f t="shared" ref="CI53" si="1263">(CB53+CE53+CG53+CH53)*0.1267</f>
        <v>28.5075</v>
      </c>
      <c r="CJ53" s="242">
        <f t="shared" ref="CJ53" si="1264">SUM(CB53:CI53)-CD53-CF53</f>
        <v>378.50749999999999</v>
      </c>
      <c r="CK53" s="242">
        <f t="shared" ref="CK53" si="1265">(($J53/30)*$M53)*R53</f>
        <v>0</v>
      </c>
      <c r="CL53" s="242">
        <f t="shared" ref="CL53" si="1266">(($K53/30)*$M53)*$R53</f>
        <v>0</v>
      </c>
      <c r="CM53" s="242">
        <f t="shared" ref="CM53" si="1267">+AK53</f>
        <v>0</v>
      </c>
      <c r="CN53" s="242">
        <f t="shared" ref="CN53" si="1268">AL53</f>
        <v>0</v>
      </c>
      <c r="CO53" s="242">
        <f t="shared" ref="CO53" si="1269">AM53</f>
        <v>0</v>
      </c>
      <c r="CP53" s="242">
        <f t="shared" ref="CP53" si="1270">AN53</f>
        <v>0</v>
      </c>
      <c r="CQ53" s="242">
        <f t="shared" ref="CQ53" si="1271">AS53+AX53</f>
        <v>0</v>
      </c>
      <c r="CR53" s="242">
        <f t="shared" ref="CR53" si="1272">(CK53+CN53+CP53)*0.1267</f>
        <v>0</v>
      </c>
      <c r="CS53" s="243">
        <f t="shared" ref="CS53" si="1273">SUM(CK53:CR53)-CM53-CO53</f>
        <v>0</v>
      </c>
      <c r="CU53" s="201" t="s">
        <v>11</v>
      </c>
      <c r="CV53" s="203">
        <f t="shared" ref="CV53" si="1274">IF($CU53="PROQUIMA",$BA53+$BJ53+$BS53+$CB53+$CK53,0)</f>
        <v>0</v>
      </c>
      <c r="CW53" s="203">
        <f t="shared" ref="CW53" si="1275">IF($CU53="PROQUIMA",$BB53+$BK53+$BT53+$CC53+$CL53,0)</f>
        <v>0</v>
      </c>
      <c r="CX53" s="203">
        <f t="shared" ref="CX53" si="1276">IF($CU53="PROQUIMA",$BC53+$BL53+$BU53+$CD53+$CM53,0)</f>
        <v>0</v>
      </c>
      <c r="CY53" s="203">
        <f t="shared" ref="CY53" si="1277">IF($CU53="PROQUIMA",$BD53+$BM53+$BV53+$CE53+$CN53,0)</f>
        <v>0</v>
      </c>
      <c r="CZ53" s="203">
        <f t="shared" ref="CZ53" si="1278">IF($CU53="PROQUIMA",$BE53+$BN53+$BW53+$CF53+$CO53,0)</f>
        <v>0</v>
      </c>
      <c r="DA53" s="203">
        <f t="shared" ref="DA53" si="1279">IF($CU53="PROQUIMA",$BF53+$BO53+$BX53+$CG53+$CP53,0)</f>
        <v>0</v>
      </c>
      <c r="DB53" s="203">
        <f>IF($CU53="PROQUIMA",$BG53+$BP53+$BY53+$CH53+$CQ53,0)</f>
        <v>0</v>
      </c>
      <c r="DC53" s="203">
        <f t="shared" ref="DC53" si="1280">IF($CU53="PROQUIMA",$BH53+$BQ53+$BZ53+$CI53+CR53,0)</f>
        <v>0</v>
      </c>
      <c r="DD53" s="203">
        <f t="shared" ref="DD53" si="1281">SUM(CV53:DC53)-CX53-CZ53</f>
        <v>0</v>
      </c>
      <c r="DE53" s="203">
        <f t="shared" ref="DE53" si="1282">IF($CU53="UNHESA",$BA53+$BJ53+$BS53+$CB53+$CK53,0)</f>
        <v>0</v>
      </c>
      <c r="DF53" s="203">
        <f t="shared" ref="DF53" si="1283">IF($CU53="UNHESA",$BB53+$BK53+$BT53+$CC53+$CL53,0)</f>
        <v>0</v>
      </c>
      <c r="DG53" s="203">
        <f t="shared" ref="DG53" si="1284">IF($CU53="UNHESA",$BC53+$BL53+$BU53+$CD53+$CM53,0)</f>
        <v>0</v>
      </c>
      <c r="DH53" s="203">
        <f t="shared" ref="DH53" si="1285">IF($CU53="UNHESA",$BD53+$BM53+$BV53+$CE53+$CN53,0)</f>
        <v>0</v>
      </c>
      <c r="DI53" s="203">
        <f t="shared" ref="DI53" si="1286">IF($CU53="UNHESA",$BE53+$BN53+$BW53+$CF53+$CO53,0)</f>
        <v>0</v>
      </c>
      <c r="DJ53" s="203">
        <f t="shared" ref="DJ53" si="1287">IF($CU53="UNHESA",$BF53+$BO53+$BX53+$CG53+$CP53,0)</f>
        <v>0</v>
      </c>
      <c r="DK53" s="203">
        <f t="shared" ref="DK53" si="1288">IF($CU53="UNHESA",$BG53+$BP53+$BY53+$CH53+$CQ53,0)</f>
        <v>0</v>
      </c>
      <c r="DL53" s="203">
        <f t="shared" ref="DL53" si="1289">IF($CU53="UNHESA",$BH53+$BQ53+$BZ53+$CI53+$CR53,0)</f>
        <v>0</v>
      </c>
      <c r="DM53" s="203">
        <f t="shared" ref="DM53" si="1290">SUM(DE53:DL53)-DG53-DI53</f>
        <v>0</v>
      </c>
      <c r="DN53" s="203">
        <f t="shared" ref="DN53" si="1291">IF($CU53="UNHESA LIQUIDOS",$BA53+$BJ53+$BS53+$CB53+$CK53,0)</f>
        <v>0</v>
      </c>
      <c r="DO53" s="203">
        <f t="shared" ref="DO53" si="1292">IF($CU53="CALIDUL",$BB53+$BK53+$BT53+$CC53+$CL53,0)</f>
        <v>0</v>
      </c>
      <c r="DP53" s="203">
        <f t="shared" ref="DP53" si="1293">IF($CU53="CALIDUL",$BC53+$BL53+$BU53+$CD53+$CM53,0)</f>
        <v>0</v>
      </c>
      <c r="DQ53" s="203">
        <f t="shared" ref="DQ53" si="1294">IF($CU53="CALIDUL",$BD53+$BM53+$BV53+$CE53+$CN53,0)</f>
        <v>0</v>
      </c>
      <c r="DR53" s="203">
        <f t="shared" ref="DR53" si="1295">IF($CU53="CALIDUL",$BE53+$BN53+$BW53+$CF53+$CO53,0)</f>
        <v>0</v>
      </c>
      <c r="DS53" s="203">
        <f t="shared" ref="DS53" si="1296">IF($CU53="CALIDUL",$BF53+$BO53+$BX53+$CG53+$CP53,0)</f>
        <v>0</v>
      </c>
      <c r="DT53" s="203">
        <f t="shared" ref="DT53" si="1297">IF($CU53="CALIDUL",$BG53+$BP53+$BY53+$CH53+$CQ53,0)</f>
        <v>0</v>
      </c>
      <c r="DU53" s="203">
        <f t="shared" ref="DU53" si="1298">IF($CU53="CALIDUL",$BH53+$BQ53+$BZ53+$CI53+$CR53,0)</f>
        <v>0</v>
      </c>
      <c r="DV53" s="203">
        <f t="shared" ref="DV53" si="1299">SUM(DN53:DU53)-DP53-DR53</f>
        <v>0</v>
      </c>
      <c r="DW53" s="241">
        <f>IF($CU53="CLEARTEC",$BA53+$BJ53+$BS53+$CB53+$CK53,0)</f>
        <v>0</v>
      </c>
      <c r="DX53" s="241">
        <f t="shared" ref="DX53:ED53" si="1300">IF($CU53="CLEARTEC",$BA53+$BJ53+$BS53+$CB53+$CK53,0)</f>
        <v>0</v>
      </c>
      <c r="DY53" s="241">
        <f t="shared" si="1300"/>
        <v>0</v>
      </c>
      <c r="DZ53" s="241">
        <f t="shared" si="1300"/>
        <v>0</v>
      </c>
      <c r="EA53" s="241">
        <f t="shared" si="1300"/>
        <v>0</v>
      </c>
      <c r="EB53" s="241">
        <f t="shared" si="1300"/>
        <v>0</v>
      </c>
      <c r="EC53" s="241">
        <f t="shared" si="1300"/>
        <v>0</v>
      </c>
      <c r="ED53" s="241">
        <f t="shared" si="1300"/>
        <v>0</v>
      </c>
      <c r="EE53" s="242">
        <f t="shared" ref="EE53" si="1301">SUM(DW53:ED53)-DY53-EA53</f>
        <v>0</v>
      </c>
      <c r="EF53" s="203">
        <f t="shared" ref="EF53" si="1302">IF(CU53="ECONACIONAL",$BA53+$BJ53+$BS53+$CB53+$CK53)</f>
        <v>4500</v>
      </c>
      <c r="EG53" s="242">
        <f t="shared" ref="EG53" si="1303">IF($CU53="ECONACIONAL",$BB53+$BK53+$BT53+$CC53+$CL53,0)</f>
        <v>2500</v>
      </c>
      <c r="EH53" s="203">
        <f t="shared" ref="EH53" si="1304">IF(CU53="ECONACIONAL",$BC53+$BL53+$BU53+$CD53+$CM53)</f>
        <v>0</v>
      </c>
      <c r="EI53" s="203">
        <f t="shared" ref="EI53" si="1305">IF(CU53="ECONACIONAL",$BD53+$DH53+$DQ53+$DZ53+BM53+BV53+CE53+CN53)</f>
        <v>0</v>
      </c>
      <c r="EJ53" s="242">
        <f t="shared" ref="EJ53" si="1306">IF($CU53="CLEARTEC",$BE53+$BN53+$BW53+$CF53+$CO53,0)</f>
        <v>0</v>
      </c>
      <c r="EK53" s="203">
        <f t="shared" ref="EK53" si="1307">IF(CU53="ECONACIONAL",$BF53+$BO53+$BX53+$CG53+$CP53)</f>
        <v>0</v>
      </c>
      <c r="EL53" s="203">
        <f>IF(CU53="ECONACIONAL",$BG53+$BP53+$BY53+$CH53+$CQ53)</f>
        <v>0</v>
      </c>
      <c r="EM53" s="203">
        <f t="shared" ref="EM53" si="1308">IF(CU53="ECONACIONAL",BH53+BQ53+BZ53+CI53+CR53)</f>
        <v>570.15000000000009</v>
      </c>
      <c r="EN53" s="203">
        <f t="shared" ref="EN53" si="1309">SUM(EF53:EM53)-EH53-EJ53</f>
        <v>7570.15</v>
      </c>
      <c r="EO53" s="216">
        <v>251.16</v>
      </c>
      <c r="EP53" s="201">
        <v>161.31</v>
      </c>
      <c r="EQ53" s="201"/>
      <c r="ER53" s="201"/>
      <c r="ES53" s="201"/>
      <c r="ET53" s="201"/>
      <c r="EU53" s="201"/>
      <c r="EV53" s="201"/>
      <c r="EW53" s="201"/>
      <c r="EX53" s="201"/>
      <c r="EY53" s="201">
        <f t="shared" ref="EY53" si="1310">+ET53+EU53+EV53</f>
        <v>0</v>
      </c>
      <c r="EZ53" s="955"/>
      <c r="FA53" s="207">
        <f>IF($M53&lt;=15,EP53/2,EP53)</f>
        <v>161.31</v>
      </c>
      <c r="FB53" s="207">
        <f t="shared" ref="FB53" si="1311">IF($M53&lt;=15,EQ53/2,EQ53)</f>
        <v>0</v>
      </c>
      <c r="FC53" s="207">
        <f t="shared" ref="FC53" si="1312">IF($M53&lt;=15,ER53/2,ER53)</f>
        <v>0</v>
      </c>
      <c r="FD53" s="207">
        <f t="shared" ref="FD53" si="1313">IF($M53&lt;=15,ES53/2,ES53)</f>
        <v>0</v>
      </c>
      <c r="FE53" s="207">
        <f t="shared" ref="FE53" si="1314">IF($M53&lt;=15,ET53/2,ET53)</f>
        <v>0</v>
      </c>
      <c r="FF53" s="207">
        <f t="shared" ref="FF53" si="1315">IF($M53&lt;=15,EU53/2,EU53)</f>
        <v>0</v>
      </c>
      <c r="FG53" s="207">
        <f t="shared" ref="FG53" si="1316">IF($M53&lt;=15,EV53/2,EV53)</f>
        <v>0</v>
      </c>
      <c r="FH53" s="207">
        <f t="shared" ref="FH53" si="1317">IF($M53&lt;=15,EW53/2,EW53)</f>
        <v>0</v>
      </c>
      <c r="FI53" s="207">
        <f t="shared" ref="FI53" si="1318">IF($M53&lt;=15,EX53/2,EX53)</f>
        <v>0</v>
      </c>
      <c r="FJ53" s="207">
        <f t="shared" ref="FJ53" si="1319">IF($M53&lt;=15,EY53/2,EY53)</f>
        <v>0</v>
      </c>
      <c r="FK53" s="217"/>
      <c r="FL53" s="217"/>
      <c r="FM53" s="217"/>
      <c r="FN53" s="217"/>
      <c r="FO53" s="217"/>
      <c r="FP53" s="217"/>
      <c r="FR53" s="1185">
        <f>(((J53/30/8)*1.5)*(U53+Y53+AC53))-(BD53+BM53+BV53)</f>
        <v>0</v>
      </c>
      <c r="FS53" s="1185">
        <f t="shared" ref="FS53" si="1320">(((J53/30/8)*2)*(W53+AA53+AE53))-(BF53+BO53+BX53)</f>
        <v>0</v>
      </c>
      <c r="FT53" s="1186">
        <f>(SUM(BA53:CJ53))-(SUM(EF53:EN53))</f>
        <v>0</v>
      </c>
      <c r="FU53" s="1185">
        <f>(J53/30*M53)-(EF53)</f>
        <v>0</v>
      </c>
      <c r="FV53" s="1187">
        <f>(SUM(EP53:EY53))-((SUM(FA53:FJ53))*$FV$5)</f>
        <v>-161.31</v>
      </c>
    </row>
    <row r="54" spans="1:178" s="778" customFormat="1" ht="15.75" customHeight="1" outlineLevel="1">
      <c r="A54" s="1006" t="s">
        <v>52</v>
      </c>
      <c r="B54" s="1006" t="s">
        <v>52</v>
      </c>
      <c r="C54" s="1007" t="s">
        <v>52</v>
      </c>
      <c r="D54" s="776"/>
      <c r="E54" s="776"/>
      <c r="F54" s="776"/>
      <c r="G54" s="723"/>
      <c r="H54" s="717" t="s">
        <v>685</v>
      </c>
      <c r="J54" s="824">
        <f>+J53</f>
        <v>4500</v>
      </c>
      <c r="K54" s="824">
        <f t="shared" ref="K54:L54" si="1321">+K53</f>
        <v>2000</v>
      </c>
      <c r="L54" s="824">
        <f t="shared" si="1321"/>
        <v>6500</v>
      </c>
      <c r="M54" s="823"/>
      <c r="N54" s="799"/>
      <c r="O54" s="799"/>
      <c r="P54" s="799"/>
      <c r="Q54" s="799"/>
      <c r="R54" s="799"/>
      <c r="S54" s="799"/>
      <c r="T54" s="780"/>
      <c r="U54" s="824">
        <f t="shared" ref="U54:CF54" si="1322">+U53</f>
        <v>0</v>
      </c>
      <c r="V54" s="824">
        <f t="shared" si="1322"/>
        <v>0</v>
      </c>
      <c r="W54" s="824">
        <f t="shared" si="1322"/>
        <v>0</v>
      </c>
      <c r="X54" s="824">
        <f t="shared" si="1322"/>
        <v>0</v>
      </c>
      <c r="Y54" s="824">
        <f t="shared" si="1322"/>
        <v>0</v>
      </c>
      <c r="Z54" s="824">
        <f t="shared" si="1322"/>
        <v>0</v>
      </c>
      <c r="AA54" s="824">
        <f t="shared" si="1322"/>
        <v>0</v>
      </c>
      <c r="AB54" s="824">
        <f t="shared" si="1322"/>
        <v>0</v>
      </c>
      <c r="AC54" s="824">
        <f t="shared" si="1322"/>
        <v>0</v>
      </c>
      <c r="AD54" s="824">
        <f t="shared" si="1322"/>
        <v>0</v>
      </c>
      <c r="AE54" s="824">
        <f t="shared" si="1322"/>
        <v>0</v>
      </c>
      <c r="AF54" s="824">
        <f t="shared" si="1322"/>
        <v>0</v>
      </c>
      <c r="AG54" s="824">
        <f t="shared" si="1322"/>
        <v>0</v>
      </c>
      <c r="AH54" s="824">
        <f t="shared" si="1322"/>
        <v>0</v>
      </c>
      <c r="AI54" s="824">
        <f t="shared" si="1322"/>
        <v>0</v>
      </c>
      <c r="AJ54" s="824">
        <f t="shared" si="1322"/>
        <v>0</v>
      </c>
      <c r="AK54" s="824">
        <f t="shared" si="1322"/>
        <v>0</v>
      </c>
      <c r="AL54" s="824">
        <f t="shared" si="1322"/>
        <v>0</v>
      </c>
      <c r="AM54" s="824">
        <f t="shared" si="1322"/>
        <v>0</v>
      </c>
      <c r="AN54" s="824">
        <f t="shared" si="1322"/>
        <v>0</v>
      </c>
      <c r="AO54" s="824">
        <f t="shared" si="1322"/>
        <v>0</v>
      </c>
      <c r="AP54" s="824">
        <f t="shared" si="1322"/>
        <v>0</v>
      </c>
      <c r="AQ54" s="824">
        <f t="shared" si="1322"/>
        <v>0</v>
      </c>
      <c r="AR54" s="824">
        <f t="shared" si="1322"/>
        <v>0</v>
      </c>
      <c r="AS54" s="824">
        <f t="shared" si="1322"/>
        <v>0</v>
      </c>
      <c r="AT54" s="824">
        <f t="shared" si="1322"/>
        <v>0</v>
      </c>
      <c r="AU54" s="824">
        <f t="shared" si="1322"/>
        <v>0</v>
      </c>
      <c r="AV54" s="824">
        <f t="shared" si="1322"/>
        <v>0</v>
      </c>
      <c r="AW54" s="824">
        <f t="shared" si="1322"/>
        <v>0</v>
      </c>
      <c r="AX54" s="824">
        <f t="shared" si="1322"/>
        <v>0</v>
      </c>
      <c r="AY54" s="824">
        <f t="shared" si="1322"/>
        <v>0</v>
      </c>
      <c r="AZ54" s="824">
        <f t="shared" si="1322"/>
        <v>0</v>
      </c>
      <c r="BA54" s="824">
        <f t="shared" si="1322"/>
        <v>2250</v>
      </c>
      <c r="BB54" s="824">
        <f t="shared" si="1322"/>
        <v>1250</v>
      </c>
      <c r="BC54" s="824">
        <f t="shared" si="1322"/>
        <v>0</v>
      </c>
      <c r="BD54" s="824">
        <f t="shared" si="1322"/>
        <v>0</v>
      </c>
      <c r="BE54" s="824">
        <f t="shared" si="1322"/>
        <v>0</v>
      </c>
      <c r="BF54" s="824">
        <f t="shared" si="1322"/>
        <v>0</v>
      </c>
      <c r="BG54" s="824">
        <f t="shared" si="1322"/>
        <v>0</v>
      </c>
      <c r="BH54" s="824">
        <f t="shared" si="1322"/>
        <v>285.07499999999999</v>
      </c>
      <c r="BI54" s="824">
        <f t="shared" si="1322"/>
        <v>3785.0749999999998</v>
      </c>
      <c r="BJ54" s="824">
        <f t="shared" si="1322"/>
        <v>1890</v>
      </c>
      <c r="BK54" s="824">
        <f t="shared" si="1322"/>
        <v>985.00000000000011</v>
      </c>
      <c r="BL54" s="824">
        <f t="shared" si="1322"/>
        <v>0</v>
      </c>
      <c r="BM54" s="824">
        <f t="shared" si="1322"/>
        <v>0</v>
      </c>
      <c r="BN54" s="824">
        <f t="shared" si="1322"/>
        <v>0</v>
      </c>
      <c r="BO54" s="824">
        <f t="shared" si="1322"/>
        <v>0</v>
      </c>
      <c r="BP54" s="824">
        <f t="shared" si="1322"/>
        <v>0</v>
      </c>
      <c r="BQ54" s="824">
        <f t="shared" si="1322"/>
        <v>239.46300000000002</v>
      </c>
      <c r="BR54" s="824">
        <f t="shared" si="1322"/>
        <v>3114.4630000000002</v>
      </c>
      <c r="BS54" s="824">
        <f t="shared" si="1322"/>
        <v>135</v>
      </c>
      <c r="BT54" s="824">
        <f t="shared" si="1322"/>
        <v>140</v>
      </c>
      <c r="BU54" s="824">
        <f t="shared" si="1322"/>
        <v>0</v>
      </c>
      <c r="BV54" s="824">
        <f t="shared" si="1322"/>
        <v>0</v>
      </c>
      <c r="BW54" s="824">
        <f t="shared" si="1322"/>
        <v>0</v>
      </c>
      <c r="BX54" s="824">
        <f t="shared" si="1322"/>
        <v>0</v>
      </c>
      <c r="BY54" s="824">
        <f t="shared" si="1322"/>
        <v>0</v>
      </c>
      <c r="BZ54" s="824">
        <f t="shared" si="1322"/>
        <v>17.104500000000002</v>
      </c>
      <c r="CA54" s="824">
        <f t="shared" si="1322"/>
        <v>292.10450000000003</v>
      </c>
      <c r="CB54" s="824">
        <f t="shared" si="1322"/>
        <v>225</v>
      </c>
      <c r="CC54" s="824">
        <f t="shared" si="1322"/>
        <v>125.00000000000001</v>
      </c>
      <c r="CD54" s="824">
        <f t="shared" si="1322"/>
        <v>0</v>
      </c>
      <c r="CE54" s="824">
        <f t="shared" si="1322"/>
        <v>0</v>
      </c>
      <c r="CF54" s="824">
        <f t="shared" si="1322"/>
        <v>0</v>
      </c>
      <c r="CG54" s="824">
        <f t="shared" ref="CG54:ER54" si="1323">+CG53</f>
        <v>0</v>
      </c>
      <c r="CH54" s="824">
        <f t="shared" si="1323"/>
        <v>0</v>
      </c>
      <c r="CI54" s="824">
        <f t="shared" si="1323"/>
        <v>28.5075</v>
      </c>
      <c r="CJ54" s="824">
        <f t="shared" si="1323"/>
        <v>378.50749999999999</v>
      </c>
      <c r="CK54" s="824">
        <f t="shared" si="1323"/>
        <v>0</v>
      </c>
      <c r="CL54" s="824">
        <f t="shared" si="1323"/>
        <v>0</v>
      </c>
      <c r="CM54" s="824">
        <f t="shared" si="1323"/>
        <v>0</v>
      </c>
      <c r="CN54" s="824">
        <f t="shared" si="1323"/>
        <v>0</v>
      </c>
      <c r="CO54" s="824">
        <f t="shared" si="1323"/>
        <v>0</v>
      </c>
      <c r="CP54" s="824">
        <f t="shared" si="1323"/>
        <v>0</v>
      </c>
      <c r="CQ54" s="824">
        <f t="shared" si="1323"/>
        <v>0</v>
      </c>
      <c r="CR54" s="824">
        <f t="shared" si="1323"/>
        <v>0</v>
      </c>
      <c r="CS54" s="824">
        <f t="shared" si="1323"/>
        <v>0</v>
      </c>
      <c r="CT54" s="824">
        <f t="shared" si="1323"/>
        <v>0</v>
      </c>
      <c r="CU54" s="824" t="str">
        <f t="shared" si="1323"/>
        <v>ECONACIONAL</v>
      </c>
      <c r="CV54" s="824">
        <f t="shared" si="1323"/>
        <v>0</v>
      </c>
      <c r="CW54" s="824">
        <f t="shared" si="1323"/>
        <v>0</v>
      </c>
      <c r="CX54" s="824">
        <f t="shared" si="1323"/>
        <v>0</v>
      </c>
      <c r="CY54" s="824">
        <f t="shared" si="1323"/>
        <v>0</v>
      </c>
      <c r="CZ54" s="824">
        <f t="shared" si="1323"/>
        <v>0</v>
      </c>
      <c r="DA54" s="824">
        <f t="shared" si="1323"/>
        <v>0</v>
      </c>
      <c r="DB54" s="824">
        <f t="shared" si="1323"/>
        <v>0</v>
      </c>
      <c r="DC54" s="824">
        <f t="shared" si="1323"/>
        <v>0</v>
      </c>
      <c r="DD54" s="824">
        <f t="shared" si="1323"/>
        <v>0</v>
      </c>
      <c r="DE54" s="824">
        <f t="shared" si="1323"/>
        <v>0</v>
      </c>
      <c r="DF54" s="824">
        <f t="shared" si="1323"/>
        <v>0</v>
      </c>
      <c r="DG54" s="824">
        <f t="shared" si="1323"/>
        <v>0</v>
      </c>
      <c r="DH54" s="824">
        <f t="shared" si="1323"/>
        <v>0</v>
      </c>
      <c r="DI54" s="824">
        <f t="shared" si="1323"/>
        <v>0</v>
      </c>
      <c r="DJ54" s="824">
        <f t="shared" si="1323"/>
        <v>0</v>
      </c>
      <c r="DK54" s="824">
        <f t="shared" si="1323"/>
        <v>0</v>
      </c>
      <c r="DL54" s="824">
        <f t="shared" si="1323"/>
        <v>0</v>
      </c>
      <c r="DM54" s="824">
        <f t="shared" si="1323"/>
        <v>0</v>
      </c>
      <c r="DN54" s="824">
        <f t="shared" si="1323"/>
        <v>0</v>
      </c>
      <c r="DO54" s="824">
        <f t="shared" si="1323"/>
        <v>0</v>
      </c>
      <c r="DP54" s="824">
        <f t="shared" si="1323"/>
        <v>0</v>
      </c>
      <c r="DQ54" s="824">
        <f t="shared" si="1323"/>
        <v>0</v>
      </c>
      <c r="DR54" s="824">
        <f t="shared" si="1323"/>
        <v>0</v>
      </c>
      <c r="DS54" s="824">
        <f t="shared" si="1323"/>
        <v>0</v>
      </c>
      <c r="DT54" s="824">
        <f t="shared" si="1323"/>
        <v>0</v>
      </c>
      <c r="DU54" s="824">
        <f t="shared" si="1323"/>
        <v>0</v>
      </c>
      <c r="DV54" s="824">
        <f t="shared" si="1323"/>
        <v>0</v>
      </c>
      <c r="DW54" s="824">
        <f t="shared" si="1323"/>
        <v>0</v>
      </c>
      <c r="DX54" s="824">
        <f t="shared" si="1323"/>
        <v>0</v>
      </c>
      <c r="DY54" s="824">
        <f t="shared" si="1323"/>
        <v>0</v>
      </c>
      <c r="DZ54" s="824">
        <f t="shared" si="1323"/>
        <v>0</v>
      </c>
      <c r="EA54" s="824">
        <f t="shared" si="1323"/>
        <v>0</v>
      </c>
      <c r="EB54" s="824">
        <f t="shared" si="1323"/>
        <v>0</v>
      </c>
      <c r="EC54" s="824">
        <f t="shared" si="1323"/>
        <v>0</v>
      </c>
      <c r="ED54" s="824">
        <f t="shared" si="1323"/>
        <v>0</v>
      </c>
      <c r="EE54" s="824">
        <f t="shared" si="1323"/>
        <v>0</v>
      </c>
      <c r="EF54" s="824">
        <f t="shared" si="1323"/>
        <v>4500</v>
      </c>
      <c r="EG54" s="824">
        <f t="shared" si="1323"/>
        <v>2500</v>
      </c>
      <c r="EH54" s="824">
        <f t="shared" si="1323"/>
        <v>0</v>
      </c>
      <c r="EI54" s="824">
        <f t="shared" si="1323"/>
        <v>0</v>
      </c>
      <c r="EJ54" s="824">
        <f t="shared" si="1323"/>
        <v>0</v>
      </c>
      <c r="EK54" s="824">
        <f t="shared" si="1323"/>
        <v>0</v>
      </c>
      <c r="EL54" s="824">
        <f t="shared" si="1323"/>
        <v>0</v>
      </c>
      <c r="EM54" s="824">
        <f t="shared" si="1323"/>
        <v>570.15000000000009</v>
      </c>
      <c r="EN54" s="824">
        <f t="shared" si="1323"/>
        <v>7570.15</v>
      </c>
      <c r="EO54" s="824"/>
      <c r="EP54" s="824">
        <f t="shared" si="1323"/>
        <v>161.31</v>
      </c>
      <c r="EQ54" s="824">
        <f t="shared" si="1323"/>
        <v>0</v>
      </c>
      <c r="ER54" s="824">
        <f t="shared" si="1323"/>
        <v>0</v>
      </c>
      <c r="ES54" s="824">
        <f t="shared" ref="ES54:FJ54" si="1324">+ES53</f>
        <v>0</v>
      </c>
      <c r="ET54" s="824">
        <f t="shared" si="1324"/>
        <v>0</v>
      </c>
      <c r="EU54" s="824">
        <f t="shared" si="1324"/>
        <v>0</v>
      </c>
      <c r="EV54" s="824">
        <f t="shared" si="1324"/>
        <v>0</v>
      </c>
      <c r="EW54" s="824">
        <f t="shared" si="1324"/>
        <v>0</v>
      </c>
      <c r="EX54" s="824">
        <f t="shared" si="1324"/>
        <v>0</v>
      </c>
      <c r="EY54" s="824">
        <f t="shared" si="1324"/>
        <v>0</v>
      </c>
      <c r="EZ54" s="824"/>
      <c r="FA54" s="824">
        <f t="shared" si="1324"/>
        <v>161.31</v>
      </c>
      <c r="FB54" s="824">
        <f t="shared" si="1324"/>
        <v>0</v>
      </c>
      <c r="FC54" s="824">
        <f t="shared" si="1324"/>
        <v>0</v>
      </c>
      <c r="FD54" s="824">
        <f t="shared" si="1324"/>
        <v>0</v>
      </c>
      <c r="FE54" s="824">
        <f t="shared" si="1324"/>
        <v>0</v>
      </c>
      <c r="FF54" s="824">
        <f t="shared" si="1324"/>
        <v>0</v>
      </c>
      <c r="FG54" s="824">
        <f t="shared" si="1324"/>
        <v>0</v>
      </c>
      <c r="FH54" s="824">
        <f t="shared" si="1324"/>
        <v>0</v>
      </c>
      <c r="FI54" s="824">
        <f t="shared" si="1324"/>
        <v>0</v>
      </c>
      <c r="FJ54" s="824">
        <f t="shared" si="1324"/>
        <v>0</v>
      </c>
      <c r="FK54" s="800"/>
      <c r="FL54" s="800"/>
      <c r="FM54" s="800"/>
      <c r="FN54" s="800"/>
      <c r="FO54" s="800"/>
      <c r="FP54" s="800"/>
    </row>
    <row r="55" spans="1:178" s="778" customFormat="1" ht="15.75" customHeight="1" outlineLevel="1">
      <c r="A55" s="1006" t="str">
        <f t="shared" si="253"/>
        <v>MAYO  2026 2da QUINCENA</v>
      </c>
      <c r="B55" s="1006">
        <f t="shared" si="90"/>
        <v>2026</v>
      </c>
      <c r="C55" s="1007" t="str">
        <f t="shared" si="254"/>
        <v>MAYO  2026 2da QUINCENA2026</v>
      </c>
      <c r="D55" s="776"/>
      <c r="E55" s="776">
        <v>106060</v>
      </c>
      <c r="F55" s="776"/>
      <c r="G55" s="779" t="s">
        <v>712</v>
      </c>
      <c r="H55" s="776"/>
      <c r="J55" s="824"/>
      <c r="K55" s="824"/>
      <c r="L55" s="824"/>
      <c r="M55" s="823"/>
      <c r="N55" s="799"/>
      <c r="O55" s="799"/>
      <c r="P55" s="799"/>
      <c r="Q55" s="799"/>
      <c r="R55" s="799"/>
      <c r="S55" s="799"/>
      <c r="T55" s="780"/>
      <c r="U55" s="825"/>
      <c r="V55" s="823"/>
      <c r="W55" s="825"/>
      <c r="X55" s="823"/>
      <c r="Y55" s="825"/>
      <c r="Z55" s="823"/>
      <c r="AA55" s="825"/>
      <c r="AB55" s="823"/>
      <c r="AC55" s="825"/>
      <c r="AD55" s="823"/>
      <c r="AE55" s="826"/>
      <c r="AF55" s="823"/>
      <c r="AG55" s="826"/>
      <c r="AH55" s="823"/>
      <c r="AI55" s="826"/>
      <c r="AJ55" s="823"/>
      <c r="AK55" s="823"/>
      <c r="AL55" s="823"/>
      <c r="AM55" s="826"/>
      <c r="AN55" s="823"/>
      <c r="AO55" s="823"/>
      <c r="AP55" s="823"/>
      <c r="AQ55" s="823"/>
      <c r="AR55" s="823"/>
      <c r="AS55" s="823"/>
      <c r="AT55" s="823"/>
      <c r="AU55" s="823"/>
      <c r="AV55" s="823"/>
      <c r="AW55" s="823"/>
      <c r="AX55" s="823"/>
      <c r="AY55" s="798"/>
      <c r="BA55" s="823"/>
      <c r="BB55" s="823"/>
      <c r="BC55" s="823"/>
      <c r="BD55" s="823"/>
      <c r="BE55" s="823"/>
      <c r="BF55" s="823"/>
      <c r="BG55" s="823"/>
      <c r="BH55" s="823"/>
      <c r="BI55" s="823"/>
      <c r="BJ55" s="823"/>
      <c r="BK55" s="823"/>
      <c r="BL55" s="823"/>
      <c r="BM55" s="823"/>
      <c r="BN55" s="823"/>
      <c r="BO55" s="823"/>
      <c r="BP55" s="823"/>
      <c r="BQ55" s="823"/>
      <c r="BR55" s="823"/>
      <c r="BS55" s="823"/>
      <c r="BT55" s="823"/>
      <c r="BU55" s="823"/>
      <c r="BV55" s="823"/>
      <c r="BW55" s="823"/>
      <c r="BX55" s="823"/>
      <c r="BY55" s="823"/>
      <c r="BZ55" s="823"/>
      <c r="CA55" s="823"/>
      <c r="CB55" s="823"/>
      <c r="CC55" s="823"/>
      <c r="CD55" s="823"/>
      <c r="CE55" s="823"/>
      <c r="CF55" s="823"/>
      <c r="CG55" s="823"/>
      <c r="CH55" s="823"/>
      <c r="CI55" s="823"/>
      <c r="CJ55" s="823"/>
      <c r="CK55" s="823"/>
      <c r="CL55" s="823"/>
      <c r="CM55" s="823"/>
      <c r="CN55" s="823"/>
      <c r="CO55" s="823"/>
      <c r="CP55" s="823"/>
      <c r="CQ55" s="823"/>
      <c r="CR55" s="823"/>
      <c r="CS55" s="823"/>
      <c r="CV55" s="803"/>
      <c r="CW55" s="803"/>
      <c r="CX55" s="803"/>
      <c r="CY55" s="803"/>
      <c r="CZ55" s="803"/>
      <c r="DA55" s="803"/>
      <c r="DB55" s="803"/>
      <c r="DC55" s="803"/>
      <c r="DD55" s="803"/>
      <c r="DE55" s="803"/>
      <c r="DF55" s="803"/>
      <c r="DG55" s="803"/>
      <c r="DH55" s="803"/>
      <c r="DI55" s="803"/>
      <c r="DJ55" s="803"/>
      <c r="DK55" s="803"/>
      <c r="DL55" s="803"/>
      <c r="DM55" s="798"/>
      <c r="DN55" s="803"/>
      <c r="DO55" s="803"/>
      <c r="DP55" s="803"/>
      <c r="DQ55" s="803"/>
      <c r="DR55" s="803"/>
      <c r="DS55" s="803"/>
      <c r="DT55" s="803"/>
      <c r="DU55" s="803"/>
      <c r="DV55" s="803"/>
      <c r="DW55" s="803"/>
      <c r="DX55" s="803"/>
      <c r="DY55" s="803"/>
      <c r="DZ55" s="803"/>
      <c r="EA55" s="803"/>
      <c r="EB55" s="803"/>
      <c r="EC55" s="803"/>
      <c r="ED55" s="803"/>
      <c r="EE55" s="803"/>
      <c r="EF55" s="803"/>
      <c r="EG55" s="803"/>
      <c r="EH55" s="803"/>
      <c r="EI55" s="803"/>
      <c r="EJ55" s="803"/>
      <c r="EK55" s="803"/>
      <c r="EL55" s="803"/>
      <c r="EM55" s="803"/>
      <c r="EN55" s="803"/>
      <c r="EP55" s="235"/>
      <c r="ES55" s="216"/>
      <c r="EZ55" s="717"/>
      <c r="FK55" s="800"/>
      <c r="FL55" s="800"/>
      <c r="FM55" s="800"/>
      <c r="FN55" s="800"/>
      <c r="FO55" s="800"/>
      <c r="FP55" s="800"/>
    </row>
    <row r="56" spans="1:178" s="216" customFormat="1" ht="15" customHeight="1" outlineLevel="1">
      <c r="A56" s="1006"/>
      <c r="B56" s="1006"/>
      <c r="C56" s="1007"/>
      <c r="D56" s="235"/>
      <c r="E56" s="235">
        <v>106060</v>
      </c>
      <c r="F56" s="268">
        <v>24</v>
      </c>
      <c r="G56" s="199" t="s">
        <v>720</v>
      </c>
      <c r="H56" s="200" t="s">
        <v>721</v>
      </c>
      <c r="I56" s="201" t="s">
        <v>11</v>
      </c>
      <c r="J56" s="203">
        <v>6500</v>
      </c>
      <c r="K56" s="203">
        <v>3500</v>
      </c>
      <c r="L56" s="202">
        <f t="shared" ref="L56" si="1325">+J56+K56</f>
        <v>10000</v>
      </c>
      <c r="M56" s="203">
        <v>30</v>
      </c>
      <c r="N56" s="204">
        <v>0.55000000000000004</v>
      </c>
      <c r="O56" s="204">
        <v>0.35</v>
      </c>
      <c r="P56" s="204">
        <v>0.05</v>
      </c>
      <c r="Q56" s="204">
        <v>0.05</v>
      </c>
      <c r="R56" s="820">
        <v>0</v>
      </c>
      <c r="S56" s="204">
        <f>SUM(N56:R56)</f>
        <v>1</v>
      </c>
      <c r="T56" s="205"/>
      <c r="U56" s="207"/>
      <c r="V56" s="203">
        <f t="shared" ref="V56" si="1326">($J56/30/8*1.5)*U56</f>
        <v>0</v>
      </c>
      <c r="W56" s="207"/>
      <c r="X56" s="203">
        <f t="shared" ref="X56" si="1327">($J56/30/8*2)*W56</f>
        <v>0</v>
      </c>
      <c r="Y56" s="207"/>
      <c r="Z56" s="203">
        <f t="shared" ref="Z56" si="1328">($J56/30/8*1.5)*Y56</f>
        <v>0</v>
      </c>
      <c r="AA56" s="207"/>
      <c r="AB56" s="203">
        <f t="shared" ref="AB56" si="1329">($J56/30/8*2)*AA56</f>
        <v>0</v>
      </c>
      <c r="AC56" s="207"/>
      <c r="AD56" s="203">
        <f t="shared" ref="AD56" si="1330">(($J56/30/8)*1.5)*AC56</f>
        <v>0</v>
      </c>
      <c r="AE56" s="208"/>
      <c r="AF56" s="203">
        <f t="shared" ref="AF56" si="1331">(($J56/30/8)*2)*AE56</f>
        <v>0</v>
      </c>
      <c r="AG56" s="208"/>
      <c r="AH56" s="203">
        <f t="shared" ref="AH56" si="1332">(($J56/30/8)*1.5)*AG56</f>
        <v>0</v>
      </c>
      <c r="AI56" s="208"/>
      <c r="AJ56" s="203">
        <f t="shared" ref="AJ56" si="1333">(($J56/30/8)*2)*AI56</f>
        <v>0</v>
      </c>
      <c r="AK56" s="203"/>
      <c r="AL56" s="203">
        <f t="shared" ref="AL56" si="1334">(($J56/30/8)*1.5)*AK56</f>
        <v>0</v>
      </c>
      <c r="AM56" s="208"/>
      <c r="AN56" s="203">
        <f t="shared" ref="AN56" si="1335">(($J56/30/8)*2)*AM56</f>
        <v>0</v>
      </c>
      <c r="AO56" s="203"/>
      <c r="AP56" s="203"/>
      <c r="AQ56" s="203"/>
      <c r="AR56" s="203"/>
      <c r="AS56" s="203"/>
      <c r="AT56" s="203"/>
      <c r="AU56" s="203"/>
      <c r="AV56" s="203"/>
      <c r="AW56" s="203"/>
      <c r="AX56" s="203"/>
      <c r="AY56" s="203"/>
      <c r="AZ56" s="201"/>
      <c r="BA56" s="203">
        <f t="shared" ref="BA56" si="1336">((J56/30)*M56)*$N56</f>
        <v>3575.0000000000005</v>
      </c>
      <c r="BB56" s="203">
        <f>((K56/30)*M56)*$N56+825</f>
        <v>2750</v>
      </c>
      <c r="BC56" s="203">
        <f t="shared" ref="BC56" si="1337">U56</f>
        <v>0</v>
      </c>
      <c r="BD56" s="203">
        <f t="shared" ref="BD56" si="1338">V56</f>
        <v>0</v>
      </c>
      <c r="BE56" s="203">
        <f t="shared" ref="BE56" si="1339">W56</f>
        <v>0</v>
      </c>
      <c r="BF56" s="203">
        <f t="shared" ref="BF56" si="1340">X56</f>
        <v>0</v>
      </c>
      <c r="BG56" s="203">
        <f t="shared" ref="BG56" si="1341">AO56+AT56</f>
        <v>0</v>
      </c>
      <c r="BH56" s="203">
        <f t="shared" ref="BH56" si="1342">(BA56+BD56+BF56+BG56)*0.1267</f>
        <v>452.9525000000001</v>
      </c>
      <c r="BI56" s="203">
        <f t="shared" ref="BI56" si="1343">SUM(BA56:BH56)-BC56-BE56</f>
        <v>6777.9525000000003</v>
      </c>
      <c r="BJ56" s="203">
        <f t="shared" ref="BJ56" si="1344">(($J56/30)*$M56)*$O56</f>
        <v>2275</v>
      </c>
      <c r="BK56" s="203">
        <f>(($K56/30)*$M56)*$O56+375</f>
        <v>1600</v>
      </c>
      <c r="BL56" s="203">
        <f t="shared" ref="BL56" si="1345">Y56</f>
        <v>0</v>
      </c>
      <c r="BM56" s="203">
        <f t="shared" ref="BM56" si="1346">Z56</f>
        <v>0</v>
      </c>
      <c r="BN56" s="203">
        <f t="shared" ref="BN56" si="1347">AA56</f>
        <v>0</v>
      </c>
      <c r="BO56" s="203">
        <f t="shared" ref="BO56" si="1348">AB56</f>
        <v>0</v>
      </c>
      <c r="BP56" s="203">
        <f t="shared" ref="BP56" si="1349">AP56+AU56</f>
        <v>0</v>
      </c>
      <c r="BQ56" s="203">
        <f t="shared" ref="BQ56" si="1350">(+BJ56+BM56+BO56+BP56)*0.1267</f>
        <v>288.24250000000001</v>
      </c>
      <c r="BR56" s="202">
        <f t="shared" ref="BR56" si="1351">SUM(BJ56:BQ56)-BL56-BN56</f>
        <v>4163.2425000000003</v>
      </c>
      <c r="BS56" s="203">
        <f t="shared" ref="BS56" si="1352">(($J56/30)*$M56)*$P56</f>
        <v>325</v>
      </c>
      <c r="BT56" s="203">
        <f>(($K56/30)*$M56)*$P56+225</f>
        <v>400</v>
      </c>
      <c r="BU56" s="203">
        <f t="shared" ref="BU56" si="1353">AC56</f>
        <v>0</v>
      </c>
      <c r="BV56" s="203">
        <f t="shared" ref="BV56" si="1354">AD56</f>
        <v>0</v>
      </c>
      <c r="BW56" s="203">
        <f t="shared" ref="BW56" si="1355">AE56</f>
        <v>0</v>
      </c>
      <c r="BX56" s="203">
        <f t="shared" ref="BX56" si="1356">AF56</f>
        <v>0</v>
      </c>
      <c r="BY56" s="203">
        <f t="shared" ref="BY56" si="1357">AQ56+AV56</f>
        <v>0</v>
      </c>
      <c r="BZ56" s="203">
        <f t="shared" ref="BZ56" si="1358">(BS56+BV56+BX56+BY56)*0.1267</f>
        <v>41.177500000000002</v>
      </c>
      <c r="CA56" s="203">
        <f t="shared" ref="CA56" si="1359">SUM(BS56:BZ56)-BU56-BW56</f>
        <v>766.17750000000001</v>
      </c>
      <c r="CB56" s="241">
        <f t="shared" ref="CB56" si="1360">(($J56/30)*$M56)*$Q56</f>
        <v>325</v>
      </c>
      <c r="CC56" s="242">
        <f>(($K56/30)*$M56)*$Q56+75</f>
        <v>250</v>
      </c>
      <c r="CD56" s="242">
        <f t="shared" ref="CD56" si="1361">AG56</f>
        <v>0</v>
      </c>
      <c r="CE56" s="242">
        <f t="shared" ref="CE56" si="1362">AH56</f>
        <v>0</v>
      </c>
      <c r="CF56" s="242">
        <f t="shared" ref="CF56" si="1363">AI56</f>
        <v>0</v>
      </c>
      <c r="CG56" s="242">
        <f t="shared" ref="CG56" si="1364">AJ56</f>
        <v>0</v>
      </c>
      <c r="CH56" s="242">
        <f t="shared" ref="CH56" si="1365">AR56+AW56</f>
        <v>0</v>
      </c>
      <c r="CI56" s="703">
        <f t="shared" ref="CI56" si="1366">(CB56+CE56+CG56+CH56)*0.1267</f>
        <v>41.177500000000002</v>
      </c>
      <c r="CJ56" s="242">
        <f t="shared" ref="CJ56" si="1367">SUM(CB56:CI56)-CD56-CF56</f>
        <v>616.17750000000001</v>
      </c>
      <c r="CK56" s="242">
        <f t="shared" ref="CK56" si="1368">(($J56/30)*$M56)*R56</f>
        <v>0</v>
      </c>
      <c r="CL56" s="242">
        <f t="shared" ref="CL56" si="1369">(($K56/30)*$M56)*$R56</f>
        <v>0</v>
      </c>
      <c r="CM56" s="242">
        <f t="shared" ref="CM56" si="1370">+AK56</f>
        <v>0</v>
      </c>
      <c r="CN56" s="242">
        <f t="shared" ref="CN56" si="1371">AL56</f>
        <v>0</v>
      </c>
      <c r="CO56" s="242">
        <f t="shared" ref="CO56" si="1372">AM56</f>
        <v>0</v>
      </c>
      <c r="CP56" s="242">
        <f t="shared" ref="CP56" si="1373">AN56</f>
        <v>0</v>
      </c>
      <c r="CQ56" s="242">
        <f t="shared" ref="CQ56" si="1374">AS56+AX56</f>
        <v>0</v>
      </c>
      <c r="CR56" s="242">
        <f t="shared" ref="CR56" si="1375">(CK56+CN56+CP56)*0.1267</f>
        <v>0</v>
      </c>
      <c r="CS56" s="243">
        <f t="shared" ref="CS56" si="1376">SUM(CK56:CR56)-CM56-CO56</f>
        <v>0</v>
      </c>
      <c r="CU56" s="201" t="s">
        <v>11</v>
      </c>
      <c r="CV56" s="203">
        <f t="shared" ref="CV56" si="1377">IF($CU56="PROQUIMA",$BA56+$BJ56+$BS56+$CB56+$CK56,0)</f>
        <v>0</v>
      </c>
      <c r="CW56" s="203">
        <f t="shared" ref="CW56" si="1378">IF($CU56="PROQUIMA",$BB56+$BK56+$BT56+$CC56+$CL56,0)</f>
        <v>0</v>
      </c>
      <c r="CX56" s="203">
        <f t="shared" ref="CX56" si="1379">IF($CU56="PROQUIMA",$BC56+$BL56+$BU56+$CD56+$CM56,0)</f>
        <v>0</v>
      </c>
      <c r="CY56" s="203">
        <f t="shared" ref="CY56" si="1380">IF($CU56="PROQUIMA",$BD56+$BM56+$BV56+$CE56+$CN56,0)</f>
        <v>0</v>
      </c>
      <c r="CZ56" s="203">
        <f t="shared" ref="CZ56" si="1381">IF($CU56="PROQUIMA",$BE56+$BN56+$BW56+$CF56+$CO56,0)</f>
        <v>0</v>
      </c>
      <c r="DA56" s="203">
        <f t="shared" ref="DA56" si="1382">IF($CU56="PROQUIMA",$BF56+$BO56+$BX56+$CG56+$CP56,0)</f>
        <v>0</v>
      </c>
      <c r="DB56" s="203">
        <f t="shared" ref="DB56" si="1383">IF($CU56="PROQUIMA",$BG56+$BP56+$BY56+$CH56+$CQ56,0)</f>
        <v>0</v>
      </c>
      <c r="DC56" s="203">
        <f t="shared" ref="DC56" si="1384">IF($CU56="PROQUIMA",$BH56+$BQ56+$BZ56+$CI56+CR56,0)</f>
        <v>0</v>
      </c>
      <c r="DD56" s="203">
        <f t="shared" ref="DD56" si="1385">SUM(CV56:DC56)-CX56-CZ56</f>
        <v>0</v>
      </c>
      <c r="DE56" s="203">
        <f t="shared" ref="DE56" si="1386">IF($CU56="UNHESA",$BA56+$BJ56+$BS56+$CB56+$CK56,0)</f>
        <v>0</v>
      </c>
      <c r="DF56" s="203">
        <f t="shared" ref="DF56" si="1387">IF($CU56="UNHESA",$BB56+$BK56+$BT56+$CC56+$CL56,0)</f>
        <v>0</v>
      </c>
      <c r="DG56" s="203">
        <f t="shared" ref="DG56" si="1388">IF($CU56="UNHESA",$BC56+$BL56+$BU56+$CD56+$CM56,0)</f>
        <v>0</v>
      </c>
      <c r="DH56" s="203">
        <f t="shared" ref="DH56" si="1389">IF($CU56="UNHESA",$BD56+$BM56+$BV56+$CE56+$CN56,0)</f>
        <v>0</v>
      </c>
      <c r="DI56" s="203">
        <f t="shared" ref="DI56" si="1390">IF($CU56="UNHESA",$BE56+$BN56+$BW56+$CF56+$CO56,0)</f>
        <v>0</v>
      </c>
      <c r="DJ56" s="203">
        <f t="shared" ref="DJ56" si="1391">IF($CU56="UNHESA",$BF56+$BO56+$BX56+$CG56+$CP56,0)</f>
        <v>0</v>
      </c>
      <c r="DK56" s="203">
        <f t="shared" ref="DK56" si="1392">IF($CU56="UNHESA",$BG56+$BP56+$BY56+$CH56+$CQ56,0)</f>
        <v>0</v>
      </c>
      <c r="DL56" s="203">
        <f t="shared" ref="DL56" si="1393">IF($CU56="UNHESA",$BH56+$BQ56+$BZ56+$CI56+$CR56,0)</f>
        <v>0</v>
      </c>
      <c r="DM56" s="203">
        <f t="shared" ref="DM56" si="1394">SUM(DE56:DL56)-DG56-DI56</f>
        <v>0</v>
      </c>
      <c r="DN56" s="203">
        <f t="shared" ref="DN56" si="1395">IF($CU56="UNHESA LIQUIDOS",$BA56+$BJ56+$BS56+$CB56+$CK56,0)</f>
        <v>0</v>
      </c>
      <c r="DO56" s="203">
        <f t="shared" ref="DO56" si="1396">IF($CU56="CALIDUL",$BB56+$BK56+$BT56+$CC56+$CL56,0)</f>
        <v>0</v>
      </c>
      <c r="DP56" s="203">
        <f t="shared" ref="DP56" si="1397">IF($CU56="CALIDUL",$BC56+$BL56+$BU56+$CD56+$CM56,0)</f>
        <v>0</v>
      </c>
      <c r="DQ56" s="203">
        <f t="shared" ref="DQ56" si="1398">IF($CU56="CALIDUL",$BD56+$BM56+$BV56+$CE56+$CN56,0)</f>
        <v>0</v>
      </c>
      <c r="DR56" s="203">
        <f t="shared" ref="DR56" si="1399">IF($CU56="CALIDUL",$BE56+$BN56+$BW56+$CF56+$CO56,0)</f>
        <v>0</v>
      </c>
      <c r="DS56" s="203">
        <f t="shared" ref="DS56" si="1400">IF($CU56="CALIDUL",$BF56+$BO56+$BX56+$CG56+$CP56,0)</f>
        <v>0</v>
      </c>
      <c r="DT56" s="203">
        <f t="shared" ref="DT56" si="1401">IF($CU56="CALIDUL",$BG56+$BP56+$BY56+$CH56+$CQ56,0)</f>
        <v>0</v>
      </c>
      <c r="DU56" s="203">
        <f t="shared" ref="DU56" si="1402">IF($CU56="CALIDUL",$BH56+$BQ56+$BZ56+$CI56+$CR56,0)</f>
        <v>0</v>
      </c>
      <c r="DV56" s="203">
        <f t="shared" ref="DV56" si="1403">SUM(DN56:DU56)-DP56-DR56</f>
        <v>0</v>
      </c>
      <c r="DW56" s="241">
        <f>IF($CU56="CLEARTEC",$BA56+$BJ56+$BS56+$CB56+$CK56,0)</f>
        <v>0</v>
      </c>
      <c r="DX56" s="241">
        <f t="shared" ref="DX56:ED56" si="1404">IF($CU56="CLEARTEC",$BA56+$BJ56+$BS56+$CB56+$CK56,0)</f>
        <v>0</v>
      </c>
      <c r="DY56" s="241">
        <f t="shared" si="1404"/>
        <v>0</v>
      </c>
      <c r="DZ56" s="241">
        <f t="shared" si="1404"/>
        <v>0</v>
      </c>
      <c r="EA56" s="241">
        <f t="shared" si="1404"/>
        <v>0</v>
      </c>
      <c r="EB56" s="241">
        <f t="shared" si="1404"/>
        <v>0</v>
      </c>
      <c r="EC56" s="241">
        <f t="shared" si="1404"/>
        <v>0</v>
      </c>
      <c r="ED56" s="241">
        <f t="shared" si="1404"/>
        <v>0</v>
      </c>
      <c r="EE56" s="242">
        <f t="shared" ref="EE56" si="1405">SUM(DW56:ED56)-DY56-EA56</f>
        <v>0</v>
      </c>
      <c r="EF56" s="203">
        <f t="shared" ref="EF56" si="1406">IF(CU56="ECONACIONAL",$BA56+$BJ56+$BS56+$CB56+$CK56)</f>
        <v>6500</v>
      </c>
      <c r="EG56" s="242">
        <f t="shared" ref="EG56" si="1407">IF($CU56="ECONACIONAL",$BB56+$BK56+$BT56+$CC56+$CL56,0)</f>
        <v>5000</v>
      </c>
      <c r="EH56" s="203">
        <f t="shared" ref="EH56" si="1408">IF(CU56="ECONACIONAL",$BC56+$BL56+$BU56+$CD56+$CM56)</f>
        <v>0</v>
      </c>
      <c r="EI56" s="203">
        <f t="shared" ref="EI56" si="1409">IF(CU56="ECONACIONAL",$BD56+$DH56+$DQ56+$DZ56+BM56+BV56+CE56+CN56)</f>
        <v>0</v>
      </c>
      <c r="EJ56" s="242">
        <f t="shared" ref="EJ56" si="1410">IF($CU56="CLEARTEC",$BE56+$BN56+$BW56+$CF56+$CO56,0)</f>
        <v>0</v>
      </c>
      <c r="EK56" s="203">
        <f t="shared" ref="EK56" si="1411">IF(CU56="ECONACIONAL",$BF56+$BO56+$BX56+$CG56+$CP56)</f>
        <v>0</v>
      </c>
      <c r="EL56" s="203">
        <f t="shared" ref="EL56" si="1412">IF(CU56="ECONACIONAL",$BG56+$BP56+$BY56+$CH56+$CQ56)</f>
        <v>0</v>
      </c>
      <c r="EM56" s="203">
        <f t="shared" ref="EM56" si="1413">IF(CU56="ECONACIONAL",BH56+BQ56+BZ56+CI56+CR56)</f>
        <v>823.55000000000018</v>
      </c>
      <c r="EN56" s="203">
        <f t="shared" ref="EN56" si="1414">SUM(EF56:EM56)-EH56-EJ56</f>
        <v>12323.55</v>
      </c>
      <c r="EP56" s="201">
        <v>367.44</v>
      </c>
      <c r="EQ56" s="201"/>
      <c r="ER56" s="201"/>
      <c r="ES56" s="201"/>
      <c r="ET56" s="201"/>
      <c r="EU56" s="201"/>
      <c r="EV56" s="201">
        <v>350</v>
      </c>
      <c r="EW56" s="201"/>
      <c r="EX56" s="201"/>
      <c r="EY56" s="201">
        <f t="shared" ref="EY56" si="1415">+ET56+EU56+EV56</f>
        <v>350</v>
      </c>
      <c r="EZ56" s="955"/>
      <c r="FA56" s="207">
        <f t="shared" ref="FA56" si="1416">IF($M56&lt;=15,EP56/2,EP56)</f>
        <v>367.44</v>
      </c>
      <c r="FB56" s="207">
        <f t="shared" ref="FB56" si="1417">IF($M56&lt;=15,EQ56/2,EQ56)</f>
        <v>0</v>
      </c>
      <c r="FC56" s="207">
        <f t="shared" ref="FC56" si="1418">IF($M56&lt;=15,ER56/2,ER56)</f>
        <v>0</v>
      </c>
      <c r="FD56" s="207">
        <f t="shared" ref="FD56" si="1419">IF($M56&lt;=15,ES56/2,ES56)</f>
        <v>0</v>
      </c>
      <c r="FE56" s="207">
        <f t="shared" ref="FE56" si="1420">IF($M56&lt;=15,ET56/2,ET56)</f>
        <v>0</v>
      </c>
      <c r="FF56" s="207">
        <f t="shared" ref="FF56" si="1421">IF($M56&lt;=15,EU56/2,EU56)</f>
        <v>0</v>
      </c>
      <c r="FG56" s="207">
        <f t="shared" ref="FG56" si="1422">IF($M56&lt;=15,EV56/2,EV56)</f>
        <v>350</v>
      </c>
      <c r="FH56" s="207">
        <f t="shared" ref="FH56" si="1423">IF($M56&lt;=15,EW56/2,EW56)</f>
        <v>0</v>
      </c>
      <c r="FI56" s="207">
        <f>IF($M56&lt;=15,EX56/2,EX56)</f>
        <v>0</v>
      </c>
      <c r="FJ56" s="207">
        <f t="shared" ref="FJ56" si="1424">IF($M56&lt;=15,EY56/2,EY56)</f>
        <v>350</v>
      </c>
      <c r="FK56" s="217"/>
      <c r="FL56" s="217"/>
      <c r="FM56" s="217"/>
      <c r="FN56" s="217"/>
      <c r="FO56" s="217"/>
      <c r="FP56" s="217"/>
      <c r="FR56" s="1185">
        <f>(((J56/30/8)*1.5)*(U56+Y56+AC56))-(BD56+BM56+BV56)</f>
        <v>0</v>
      </c>
      <c r="FS56" s="1185">
        <f t="shared" ref="FS56" si="1425">(((J56/30/8)*2)*(W56+AA56+AE56))-(BF56+BO56+BX56)</f>
        <v>0</v>
      </c>
      <c r="FT56" s="1186">
        <f>(SUM(BA56:CJ56))-(SUM(EF56:EN56))</f>
        <v>0</v>
      </c>
      <c r="FU56" s="1185">
        <f>(J56/30*M56)-(EF56)</f>
        <v>0</v>
      </c>
      <c r="FV56" s="1187">
        <f>(SUM(EP56:EY56))-((SUM(FA56:FJ56))*$FV$5)</f>
        <v>-1067.44</v>
      </c>
    </row>
    <row r="57" spans="1:178" s="778" customFormat="1" ht="15.75" customHeight="1" outlineLevel="1">
      <c r="A57" s="1006" t="s">
        <v>52</v>
      </c>
      <c r="B57" s="1006" t="s">
        <v>52</v>
      </c>
      <c r="C57" s="1007" t="s">
        <v>52</v>
      </c>
      <c r="D57" s="776"/>
      <c r="E57" s="776"/>
      <c r="F57" s="776"/>
      <c r="G57" s="723"/>
      <c r="H57" s="717" t="s">
        <v>627</v>
      </c>
      <c r="J57" s="824">
        <f>SUM(J56)</f>
        <v>6500</v>
      </c>
      <c r="K57" s="824">
        <f t="shared" ref="K57:L57" si="1426">SUM(K56)</f>
        <v>3500</v>
      </c>
      <c r="L57" s="824">
        <f t="shared" si="1426"/>
        <v>10000</v>
      </c>
      <c r="M57" s="823"/>
      <c r="N57" s="799"/>
      <c r="O57" s="799"/>
      <c r="P57" s="799"/>
      <c r="Q57" s="799"/>
      <c r="R57" s="799"/>
      <c r="S57" s="799"/>
      <c r="T57" s="780"/>
      <c r="U57" s="824">
        <f t="shared" ref="U57:CF57" si="1427">SUM(U56)</f>
        <v>0</v>
      </c>
      <c r="V57" s="824">
        <f t="shared" si="1427"/>
        <v>0</v>
      </c>
      <c r="W57" s="824">
        <f t="shared" si="1427"/>
        <v>0</v>
      </c>
      <c r="X57" s="824">
        <f t="shared" si="1427"/>
        <v>0</v>
      </c>
      <c r="Y57" s="824">
        <f t="shared" si="1427"/>
        <v>0</v>
      </c>
      <c r="Z57" s="824">
        <f t="shared" si="1427"/>
        <v>0</v>
      </c>
      <c r="AA57" s="824">
        <f t="shared" si="1427"/>
        <v>0</v>
      </c>
      <c r="AB57" s="824">
        <f t="shared" si="1427"/>
        <v>0</v>
      </c>
      <c r="AC57" s="824">
        <f t="shared" si="1427"/>
        <v>0</v>
      </c>
      <c r="AD57" s="824">
        <f t="shared" si="1427"/>
        <v>0</v>
      </c>
      <c r="AE57" s="824">
        <f t="shared" si="1427"/>
        <v>0</v>
      </c>
      <c r="AF57" s="824">
        <f t="shared" si="1427"/>
        <v>0</v>
      </c>
      <c r="AG57" s="824">
        <f t="shared" si="1427"/>
        <v>0</v>
      </c>
      <c r="AH57" s="824">
        <f t="shared" si="1427"/>
        <v>0</v>
      </c>
      <c r="AI57" s="824">
        <f t="shared" si="1427"/>
        <v>0</v>
      </c>
      <c r="AJ57" s="824">
        <f t="shared" si="1427"/>
        <v>0</v>
      </c>
      <c r="AK57" s="824">
        <f t="shared" si="1427"/>
        <v>0</v>
      </c>
      <c r="AL57" s="824">
        <f t="shared" si="1427"/>
        <v>0</v>
      </c>
      <c r="AM57" s="824">
        <f t="shared" si="1427"/>
        <v>0</v>
      </c>
      <c r="AN57" s="824">
        <f t="shared" si="1427"/>
        <v>0</v>
      </c>
      <c r="AO57" s="824">
        <f t="shared" si="1427"/>
        <v>0</v>
      </c>
      <c r="AP57" s="824">
        <f t="shared" si="1427"/>
        <v>0</v>
      </c>
      <c r="AQ57" s="824">
        <f t="shared" si="1427"/>
        <v>0</v>
      </c>
      <c r="AR57" s="824">
        <f t="shared" si="1427"/>
        <v>0</v>
      </c>
      <c r="AS57" s="824">
        <f t="shared" si="1427"/>
        <v>0</v>
      </c>
      <c r="AT57" s="824">
        <f t="shared" si="1427"/>
        <v>0</v>
      </c>
      <c r="AU57" s="824">
        <f t="shared" si="1427"/>
        <v>0</v>
      </c>
      <c r="AV57" s="824">
        <f t="shared" si="1427"/>
        <v>0</v>
      </c>
      <c r="AW57" s="824">
        <f t="shared" si="1427"/>
        <v>0</v>
      </c>
      <c r="AX57" s="824">
        <f t="shared" si="1427"/>
        <v>0</v>
      </c>
      <c r="AY57" s="824">
        <f t="shared" si="1427"/>
        <v>0</v>
      </c>
      <c r="AZ57" s="824">
        <f t="shared" si="1427"/>
        <v>0</v>
      </c>
      <c r="BA57" s="824">
        <f>SUM(BA56)</f>
        <v>3575.0000000000005</v>
      </c>
      <c r="BB57" s="824">
        <f t="shared" si="1427"/>
        <v>2750</v>
      </c>
      <c r="BC57" s="824">
        <f t="shared" si="1427"/>
        <v>0</v>
      </c>
      <c r="BD57" s="824">
        <f t="shared" si="1427"/>
        <v>0</v>
      </c>
      <c r="BE57" s="824">
        <f t="shared" si="1427"/>
        <v>0</v>
      </c>
      <c r="BF57" s="824">
        <f t="shared" si="1427"/>
        <v>0</v>
      </c>
      <c r="BG57" s="824">
        <f t="shared" si="1427"/>
        <v>0</v>
      </c>
      <c r="BH57" s="824">
        <f t="shared" si="1427"/>
        <v>452.9525000000001</v>
      </c>
      <c r="BI57" s="824">
        <f t="shared" si="1427"/>
        <v>6777.9525000000003</v>
      </c>
      <c r="BJ57" s="824">
        <f t="shared" si="1427"/>
        <v>2275</v>
      </c>
      <c r="BK57" s="824">
        <f t="shared" si="1427"/>
        <v>1600</v>
      </c>
      <c r="BL57" s="824">
        <f t="shared" si="1427"/>
        <v>0</v>
      </c>
      <c r="BM57" s="824">
        <f t="shared" si="1427"/>
        <v>0</v>
      </c>
      <c r="BN57" s="824">
        <f t="shared" si="1427"/>
        <v>0</v>
      </c>
      <c r="BO57" s="824">
        <f t="shared" si="1427"/>
        <v>0</v>
      </c>
      <c r="BP57" s="824">
        <f t="shared" si="1427"/>
        <v>0</v>
      </c>
      <c r="BQ57" s="824">
        <f t="shared" si="1427"/>
        <v>288.24250000000001</v>
      </c>
      <c r="BR57" s="824">
        <f t="shared" si="1427"/>
        <v>4163.2425000000003</v>
      </c>
      <c r="BS57" s="824">
        <f t="shared" si="1427"/>
        <v>325</v>
      </c>
      <c r="BT57" s="824">
        <f t="shared" si="1427"/>
        <v>400</v>
      </c>
      <c r="BU57" s="824">
        <f t="shared" si="1427"/>
        <v>0</v>
      </c>
      <c r="BV57" s="824">
        <f t="shared" si="1427"/>
        <v>0</v>
      </c>
      <c r="BW57" s="824">
        <f t="shared" si="1427"/>
        <v>0</v>
      </c>
      <c r="BX57" s="824">
        <f t="shared" si="1427"/>
        <v>0</v>
      </c>
      <c r="BY57" s="824">
        <f t="shared" si="1427"/>
        <v>0</v>
      </c>
      <c r="BZ57" s="824">
        <f t="shared" si="1427"/>
        <v>41.177500000000002</v>
      </c>
      <c r="CA57" s="824">
        <f t="shared" si="1427"/>
        <v>766.17750000000001</v>
      </c>
      <c r="CB57" s="824">
        <f t="shared" si="1427"/>
        <v>325</v>
      </c>
      <c r="CC57" s="824">
        <f t="shared" si="1427"/>
        <v>250</v>
      </c>
      <c r="CD57" s="824">
        <f t="shared" si="1427"/>
        <v>0</v>
      </c>
      <c r="CE57" s="824">
        <f t="shared" si="1427"/>
        <v>0</v>
      </c>
      <c r="CF57" s="824">
        <f t="shared" si="1427"/>
        <v>0</v>
      </c>
      <c r="CG57" s="824">
        <f t="shared" ref="CG57:ER57" si="1428">SUM(CG56)</f>
        <v>0</v>
      </c>
      <c r="CH57" s="824">
        <f t="shared" si="1428"/>
        <v>0</v>
      </c>
      <c r="CI57" s="824">
        <f t="shared" si="1428"/>
        <v>41.177500000000002</v>
      </c>
      <c r="CJ57" s="824">
        <f t="shared" si="1428"/>
        <v>616.17750000000001</v>
      </c>
      <c r="CK57" s="824">
        <f t="shared" si="1428"/>
        <v>0</v>
      </c>
      <c r="CL57" s="824">
        <f t="shared" si="1428"/>
        <v>0</v>
      </c>
      <c r="CM57" s="824">
        <f t="shared" si="1428"/>
        <v>0</v>
      </c>
      <c r="CN57" s="824">
        <f t="shared" si="1428"/>
        <v>0</v>
      </c>
      <c r="CO57" s="824">
        <f t="shared" si="1428"/>
        <v>0</v>
      </c>
      <c r="CP57" s="824">
        <f t="shared" si="1428"/>
        <v>0</v>
      </c>
      <c r="CQ57" s="824">
        <f t="shared" si="1428"/>
        <v>0</v>
      </c>
      <c r="CR57" s="824">
        <f t="shared" si="1428"/>
        <v>0</v>
      </c>
      <c r="CS57" s="824">
        <f t="shared" si="1428"/>
        <v>0</v>
      </c>
      <c r="CT57" s="824">
        <f t="shared" si="1428"/>
        <v>0</v>
      </c>
      <c r="CU57" s="824">
        <f t="shared" si="1428"/>
        <v>0</v>
      </c>
      <c r="CV57" s="824">
        <f t="shared" si="1428"/>
        <v>0</v>
      </c>
      <c r="CW57" s="824">
        <f t="shared" si="1428"/>
        <v>0</v>
      </c>
      <c r="CX57" s="824">
        <f t="shared" si="1428"/>
        <v>0</v>
      </c>
      <c r="CY57" s="824">
        <f t="shared" si="1428"/>
        <v>0</v>
      </c>
      <c r="CZ57" s="824">
        <f t="shared" si="1428"/>
        <v>0</v>
      </c>
      <c r="DA57" s="824">
        <f t="shared" si="1428"/>
        <v>0</v>
      </c>
      <c r="DB57" s="824">
        <f t="shared" si="1428"/>
        <v>0</v>
      </c>
      <c r="DC57" s="824">
        <f t="shared" si="1428"/>
        <v>0</v>
      </c>
      <c r="DD57" s="824">
        <f t="shared" si="1428"/>
        <v>0</v>
      </c>
      <c r="DE57" s="824">
        <f t="shared" si="1428"/>
        <v>0</v>
      </c>
      <c r="DF57" s="824">
        <f t="shared" si="1428"/>
        <v>0</v>
      </c>
      <c r="DG57" s="824">
        <f t="shared" si="1428"/>
        <v>0</v>
      </c>
      <c r="DH57" s="824">
        <f t="shared" si="1428"/>
        <v>0</v>
      </c>
      <c r="DI57" s="824">
        <f t="shared" si="1428"/>
        <v>0</v>
      </c>
      <c r="DJ57" s="824">
        <f t="shared" si="1428"/>
        <v>0</v>
      </c>
      <c r="DK57" s="824">
        <f t="shared" si="1428"/>
        <v>0</v>
      </c>
      <c r="DL57" s="824">
        <f t="shared" si="1428"/>
        <v>0</v>
      </c>
      <c r="DM57" s="824">
        <f t="shared" si="1428"/>
        <v>0</v>
      </c>
      <c r="DN57" s="824">
        <f t="shared" si="1428"/>
        <v>0</v>
      </c>
      <c r="DO57" s="824">
        <f t="shared" si="1428"/>
        <v>0</v>
      </c>
      <c r="DP57" s="824">
        <f t="shared" si="1428"/>
        <v>0</v>
      </c>
      <c r="DQ57" s="824">
        <f t="shared" si="1428"/>
        <v>0</v>
      </c>
      <c r="DR57" s="824">
        <f t="shared" si="1428"/>
        <v>0</v>
      </c>
      <c r="DS57" s="824">
        <f t="shared" si="1428"/>
        <v>0</v>
      </c>
      <c r="DT57" s="824">
        <f t="shared" si="1428"/>
        <v>0</v>
      </c>
      <c r="DU57" s="824">
        <f t="shared" si="1428"/>
        <v>0</v>
      </c>
      <c r="DV57" s="824">
        <f t="shared" si="1428"/>
        <v>0</v>
      </c>
      <c r="DW57" s="824">
        <f t="shared" si="1428"/>
        <v>0</v>
      </c>
      <c r="DX57" s="824">
        <f t="shared" si="1428"/>
        <v>0</v>
      </c>
      <c r="DY57" s="824">
        <f t="shared" si="1428"/>
        <v>0</v>
      </c>
      <c r="DZ57" s="824">
        <f t="shared" si="1428"/>
        <v>0</v>
      </c>
      <c r="EA57" s="824">
        <f t="shared" si="1428"/>
        <v>0</v>
      </c>
      <c r="EB57" s="824">
        <f t="shared" si="1428"/>
        <v>0</v>
      </c>
      <c r="EC57" s="824">
        <f t="shared" si="1428"/>
        <v>0</v>
      </c>
      <c r="ED57" s="824">
        <f t="shared" si="1428"/>
        <v>0</v>
      </c>
      <c r="EE57" s="824">
        <f t="shared" si="1428"/>
        <v>0</v>
      </c>
      <c r="EF57" s="824">
        <f t="shared" si="1428"/>
        <v>6500</v>
      </c>
      <c r="EG57" s="824">
        <f t="shared" si="1428"/>
        <v>5000</v>
      </c>
      <c r="EH57" s="824">
        <f t="shared" si="1428"/>
        <v>0</v>
      </c>
      <c r="EI57" s="824">
        <f t="shared" si="1428"/>
        <v>0</v>
      </c>
      <c r="EJ57" s="824">
        <f t="shared" si="1428"/>
        <v>0</v>
      </c>
      <c r="EK57" s="824">
        <f t="shared" si="1428"/>
        <v>0</v>
      </c>
      <c r="EL57" s="824">
        <f t="shared" si="1428"/>
        <v>0</v>
      </c>
      <c r="EM57" s="824">
        <f t="shared" si="1428"/>
        <v>823.55000000000018</v>
      </c>
      <c r="EN57" s="824">
        <f t="shared" si="1428"/>
        <v>12323.55</v>
      </c>
      <c r="EO57" s="824"/>
      <c r="EP57" s="824">
        <f t="shared" si="1428"/>
        <v>367.44</v>
      </c>
      <c r="EQ57" s="824">
        <f t="shared" si="1428"/>
        <v>0</v>
      </c>
      <c r="ER57" s="824">
        <f t="shared" si="1428"/>
        <v>0</v>
      </c>
      <c r="ES57" s="824">
        <f t="shared" ref="ES57:FP57" si="1429">SUM(ES56)</f>
        <v>0</v>
      </c>
      <c r="ET57" s="824">
        <f t="shared" si="1429"/>
        <v>0</v>
      </c>
      <c r="EU57" s="824">
        <f t="shared" si="1429"/>
        <v>0</v>
      </c>
      <c r="EV57" s="824">
        <f t="shared" si="1429"/>
        <v>350</v>
      </c>
      <c r="EW57" s="824">
        <f t="shared" si="1429"/>
        <v>0</v>
      </c>
      <c r="EX57" s="824">
        <f t="shared" si="1429"/>
        <v>0</v>
      </c>
      <c r="EY57" s="824">
        <f t="shared" si="1429"/>
        <v>350</v>
      </c>
      <c r="EZ57" s="824"/>
      <c r="FA57" s="824">
        <f t="shared" si="1429"/>
        <v>367.44</v>
      </c>
      <c r="FB57" s="824">
        <f t="shared" si="1429"/>
        <v>0</v>
      </c>
      <c r="FC57" s="824">
        <f t="shared" si="1429"/>
        <v>0</v>
      </c>
      <c r="FD57" s="824">
        <f t="shared" si="1429"/>
        <v>0</v>
      </c>
      <c r="FE57" s="824">
        <f t="shared" si="1429"/>
        <v>0</v>
      </c>
      <c r="FF57" s="824">
        <f t="shared" si="1429"/>
        <v>0</v>
      </c>
      <c r="FG57" s="824">
        <f t="shared" si="1429"/>
        <v>350</v>
      </c>
      <c r="FH57" s="824">
        <f t="shared" si="1429"/>
        <v>0</v>
      </c>
      <c r="FI57" s="824">
        <f t="shared" si="1429"/>
        <v>0</v>
      </c>
      <c r="FJ57" s="824">
        <f t="shared" si="1429"/>
        <v>350</v>
      </c>
      <c r="FK57" s="824">
        <f t="shared" si="1429"/>
        <v>0</v>
      </c>
      <c r="FL57" s="824">
        <f t="shared" si="1429"/>
        <v>0</v>
      </c>
      <c r="FM57" s="824">
        <f t="shared" si="1429"/>
        <v>0</v>
      </c>
      <c r="FN57" s="824">
        <f t="shared" si="1429"/>
        <v>0</v>
      </c>
      <c r="FO57" s="824">
        <f t="shared" si="1429"/>
        <v>0</v>
      </c>
      <c r="FP57" s="824">
        <f t="shared" si="1429"/>
        <v>0</v>
      </c>
    </row>
    <row r="58" spans="1:178" s="778" customFormat="1" ht="15.75" customHeight="1" outlineLevel="1" thickBot="1">
      <c r="A58" s="1006" t="s">
        <v>52</v>
      </c>
      <c r="B58" s="1006" t="s">
        <v>52</v>
      </c>
      <c r="C58" s="1007" t="s">
        <v>52</v>
      </c>
      <c r="D58" s="776"/>
      <c r="E58" s="776"/>
      <c r="F58" s="776"/>
      <c r="G58" s="723"/>
      <c r="H58" s="717" t="s">
        <v>68</v>
      </c>
      <c r="J58" s="984">
        <f>+J48+J51+J54+J57</f>
        <v>61602.28</v>
      </c>
      <c r="K58" s="984">
        <f>+K48+K51+K54+K57</f>
        <v>20355.16</v>
      </c>
      <c r="L58" s="984">
        <f>+L48+L51+L54+L57</f>
        <v>81957.440000000002</v>
      </c>
      <c r="M58" s="823"/>
      <c r="N58" s="799"/>
      <c r="O58" s="799"/>
      <c r="P58" s="799"/>
      <c r="Q58" s="799"/>
      <c r="R58" s="799"/>
      <c r="S58" s="799"/>
      <c r="T58" s="780"/>
      <c r="U58" s="984">
        <f t="shared" ref="U58:CF58" si="1430">+U48+U51+U54+U57</f>
        <v>0</v>
      </c>
      <c r="V58" s="984">
        <f t="shared" si="1430"/>
        <v>0</v>
      </c>
      <c r="W58" s="984">
        <f t="shared" si="1430"/>
        <v>0</v>
      </c>
      <c r="X58" s="984">
        <f t="shared" si="1430"/>
        <v>0</v>
      </c>
      <c r="Y58" s="984">
        <f t="shared" si="1430"/>
        <v>0</v>
      </c>
      <c r="Z58" s="984">
        <f t="shared" si="1430"/>
        <v>0</v>
      </c>
      <c r="AA58" s="984">
        <f t="shared" si="1430"/>
        <v>0</v>
      </c>
      <c r="AB58" s="984">
        <f t="shared" si="1430"/>
        <v>0</v>
      </c>
      <c r="AC58" s="984">
        <f t="shared" si="1430"/>
        <v>0</v>
      </c>
      <c r="AD58" s="984">
        <f t="shared" si="1430"/>
        <v>0</v>
      </c>
      <c r="AE58" s="984">
        <f t="shared" si="1430"/>
        <v>0</v>
      </c>
      <c r="AF58" s="984">
        <f t="shared" si="1430"/>
        <v>0</v>
      </c>
      <c r="AG58" s="984">
        <f t="shared" si="1430"/>
        <v>0</v>
      </c>
      <c r="AH58" s="984">
        <f t="shared" si="1430"/>
        <v>0</v>
      </c>
      <c r="AI58" s="984">
        <f t="shared" si="1430"/>
        <v>0</v>
      </c>
      <c r="AJ58" s="984">
        <f t="shared" si="1430"/>
        <v>0</v>
      </c>
      <c r="AK58" s="984">
        <f t="shared" si="1430"/>
        <v>0</v>
      </c>
      <c r="AL58" s="984">
        <f t="shared" si="1430"/>
        <v>0</v>
      </c>
      <c r="AM58" s="984">
        <f t="shared" si="1430"/>
        <v>0</v>
      </c>
      <c r="AN58" s="984">
        <f t="shared" si="1430"/>
        <v>0</v>
      </c>
      <c r="AO58" s="984">
        <f t="shared" si="1430"/>
        <v>0</v>
      </c>
      <c r="AP58" s="984">
        <f t="shared" si="1430"/>
        <v>0</v>
      </c>
      <c r="AQ58" s="984">
        <f t="shared" si="1430"/>
        <v>0</v>
      </c>
      <c r="AR58" s="984">
        <f t="shared" si="1430"/>
        <v>0</v>
      </c>
      <c r="AS58" s="984">
        <f t="shared" si="1430"/>
        <v>0</v>
      </c>
      <c r="AT58" s="984">
        <f t="shared" si="1430"/>
        <v>0</v>
      </c>
      <c r="AU58" s="984">
        <f t="shared" si="1430"/>
        <v>0</v>
      </c>
      <c r="AV58" s="984">
        <f t="shared" si="1430"/>
        <v>0</v>
      </c>
      <c r="AW58" s="984">
        <f t="shared" si="1430"/>
        <v>0</v>
      </c>
      <c r="AX58" s="984">
        <f t="shared" si="1430"/>
        <v>0</v>
      </c>
      <c r="AY58" s="984">
        <f t="shared" si="1430"/>
        <v>0</v>
      </c>
      <c r="AZ58" s="984">
        <f t="shared" si="1430"/>
        <v>0</v>
      </c>
      <c r="BA58" s="984">
        <f>+BA48+BA51+BA54+BA57</f>
        <v>30038.4804</v>
      </c>
      <c r="BB58" s="984">
        <f t="shared" si="1430"/>
        <v>11880.218799999999</v>
      </c>
      <c r="BC58" s="984">
        <f t="shared" si="1430"/>
        <v>0</v>
      </c>
      <c r="BD58" s="984">
        <f t="shared" si="1430"/>
        <v>0</v>
      </c>
      <c r="BE58" s="984">
        <f t="shared" si="1430"/>
        <v>0</v>
      </c>
      <c r="BF58" s="984">
        <f t="shared" si="1430"/>
        <v>0</v>
      </c>
      <c r="BG58" s="984">
        <f t="shared" si="1430"/>
        <v>0</v>
      </c>
      <c r="BH58" s="984">
        <f t="shared" si="1430"/>
        <v>3805.8754666800005</v>
      </c>
      <c r="BI58" s="984">
        <f t="shared" si="1430"/>
        <v>45724.574666679997</v>
      </c>
      <c r="BJ58" s="984">
        <f t="shared" si="1430"/>
        <v>21478.457600000002</v>
      </c>
      <c r="BK58" s="984">
        <f t="shared" si="1430"/>
        <v>8520.1671999999999</v>
      </c>
      <c r="BL58" s="984">
        <f t="shared" si="1430"/>
        <v>0</v>
      </c>
      <c r="BM58" s="984">
        <f t="shared" si="1430"/>
        <v>0</v>
      </c>
      <c r="BN58" s="984">
        <f t="shared" si="1430"/>
        <v>0</v>
      </c>
      <c r="BO58" s="984">
        <f t="shared" si="1430"/>
        <v>0</v>
      </c>
      <c r="BP58" s="984">
        <f t="shared" si="1430"/>
        <v>0</v>
      </c>
      <c r="BQ58" s="984">
        <f t="shared" si="1430"/>
        <v>2721.3205779200002</v>
      </c>
      <c r="BR58" s="984">
        <f t="shared" si="1430"/>
        <v>32719.945377919998</v>
      </c>
      <c r="BS58" s="984">
        <f t="shared" si="1430"/>
        <v>2717.8420000000001</v>
      </c>
      <c r="BT58" s="984">
        <f t="shared" si="1430"/>
        <v>1379.7739999999999</v>
      </c>
      <c r="BU58" s="984">
        <f t="shared" si="1430"/>
        <v>0</v>
      </c>
      <c r="BV58" s="984">
        <f t="shared" si="1430"/>
        <v>0</v>
      </c>
      <c r="BW58" s="984">
        <f t="shared" si="1430"/>
        <v>0</v>
      </c>
      <c r="BX58" s="984">
        <f t="shared" si="1430"/>
        <v>0</v>
      </c>
      <c r="BY58" s="984">
        <f t="shared" si="1430"/>
        <v>0</v>
      </c>
      <c r="BZ58" s="984">
        <f t="shared" si="1430"/>
        <v>344.35058140000001</v>
      </c>
      <c r="CA58" s="984">
        <f t="shared" si="1430"/>
        <v>4441.9665814</v>
      </c>
      <c r="CB58" s="984">
        <f t="shared" si="1430"/>
        <v>7367.5</v>
      </c>
      <c r="CC58" s="984">
        <f t="shared" si="1430"/>
        <v>2575</v>
      </c>
      <c r="CD58" s="984">
        <f t="shared" si="1430"/>
        <v>0</v>
      </c>
      <c r="CE58" s="984">
        <f t="shared" si="1430"/>
        <v>0</v>
      </c>
      <c r="CF58" s="984">
        <f t="shared" si="1430"/>
        <v>0</v>
      </c>
      <c r="CG58" s="984">
        <f t="shared" ref="CG58:ER58" si="1431">+CG48+CG51+CG54+CG57</f>
        <v>0</v>
      </c>
      <c r="CH58" s="984">
        <f t="shared" si="1431"/>
        <v>0</v>
      </c>
      <c r="CI58" s="984">
        <f t="shared" si="1431"/>
        <v>933.46225000000004</v>
      </c>
      <c r="CJ58" s="984">
        <f t="shared" si="1431"/>
        <v>10875.962249999999</v>
      </c>
      <c r="CK58" s="984">
        <f t="shared" si="1431"/>
        <v>0</v>
      </c>
      <c r="CL58" s="984">
        <f t="shared" si="1431"/>
        <v>0</v>
      </c>
      <c r="CM58" s="984">
        <f t="shared" si="1431"/>
        <v>0</v>
      </c>
      <c r="CN58" s="984">
        <f t="shared" si="1431"/>
        <v>0</v>
      </c>
      <c r="CO58" s="984">
        <f t="shared" si="1431"/>
        <v>0</v>
      </c>
      <c r="CP58" s="984">
        <f t="shared" si="1431"/>
        <v>0</v>
      </c>
      <c r="CQ58" s="984">
        <f t="shared" si="1431"/>
        <v>0</v>
      </c>
      <c r="CR58" s="984">
        <f t="shared" si="1431"/>
        <v>0</v>
      </c>
      <c r="CS58" s="984">
        <f t="shared" si="1431"/>
        <v>0</v>
      </c>
      <c r="CT58" s="984">
        <f t="shared" si="1431"/>
        <v>0</v>
      </c>
      <c r="CU58" s="984" t="e">
        <f t="shared" si="1431"/>
        <v>#VALUE!</v>
      </c>
      <c r="CV58" s="984">
        <f t="shared" si="1431"/>
        <v>0</v>
      </c>
      <c r="CW58" s="984">
        <f t="shared" si="1431"/>
        <v>0</v>
      </c>
      <c r="CX58" s="984">
        <f t="shared" si="1431"/>
        <v>0</v>
      </c>
      <c r="CY58" s="984">
        <f t="shared" si="1431"/>
        <v>0</v>
      </c>
      <c r="CZ58" s="984">
        <f t="shared" si="1431"/>
        <v>0</v>
      </c>
      <c r="DA58" s="984">
        <f t="shared" si="1431"/>
        <v>0</v>
      </c>
      <c r="DB58" s="984">
        <f t="shared" si="1431"/>
        <v>0</v>
      </c>
      <c r="DC58" s="984">
        <f t="shared" si="1431"/>
        <v>0</v>
      </c>
      <c r="DD58" s="984">
        <f t="shared" si="1431"/>
        <v>0</v>
      </c>
      <c r="DE58" s="984">
        <f t="shared" si="1431"/>
        <v>0</v>
      </c>
      <c r="DF58" s="984">
        <f t="shared" si="1431"/>
        <v>0</v>
      </c>
      <c r="DG58" s="984">
        <f t="shared" si="1431"/>
        <v>0</v>
      </c>
      <c r="DH58" s="984">
        <f t="shared" si="1431"/>
        <v>0</v>
      </c>
      <c r="DI58" s="984">
        <f t="shared" si="1431"/>
        <v>0</v>
      </c>
      <c r="DJ58" s="984">
        <f t="shared" si="1431"/>
        <v>0</v>
      </c>
      <c r="DK58" s="984">
        <f t="shared" si="1431"/>
        <v>0</v>
      </c>
      <c r="DL58" s="984">
        <f t="shared" si="1431"/>
        <v>0</v>
      </c>
      <c r="DM58" s="984">
        <f t="shared" si="1431"/>
        <v>0</v>
      </c>
      <c r="DN58" s="984">
        <f t="shared" si="1431"/>
        <v>0</v>
      </c>
      <c r="DO58" s="984">
        <f t="shared" si="1431"/>
        <v>0</v>
      </c>
      <c r="DP58" s="984">
        <f t="shared" si="1431"/>
        <v>0</v>
      </c>
      <c r="DQ58" s="984">
        <f t="shared" si="1431"/>
        <v>0</v>
      </c>
      <c r="DR58" s="984">
        <f t="shared" si="1431"/>
        <v>0</v>
      </c>
      <c r="DS58" s="984">
        <f t="shared" si="1431"/>
        <v>0</v>
      </c>
      <c r="DT58" s="984">
        <f t="shared" si="1431"/>
        <v>0</v>
      </c>
      <c r="DU58" s="984">
        <f t="shared" si="1431"/>
        <v>0</v>
      </c>
      <c r="DV58" s="984">
        <f t="shared" si="1431"/>
        <v>0</v>
      </c>
      <c r="DW58" s="984">
        <f t="shared" si="1431"/>
        <v>0</v>
      </c>
      <c r="DX58" s="984">
        <f t="shared" si="1431"/>
        <v>0</v>
      </c>
      <c r="DY58" s="984">
        <f t="shared" si="1431"/>
        <v>0</v>
      </c>
      <c r="DZ58" s="984">
        <f t="shared" si="1431"/>
        <v>0</v>
      </c>
      <c r="EA58" s="984">
        <f t="shared" si="1431"/>
        <v>0</v>
      </c>
      <c r="EB58" s="984">
        <f t="shared" si="1431"/>
        <v>0</v>
      </c>
      <c r="EC58" s="984">
        <f t="shared" si="1431"/>
        <v>0</v>
      </c>
      <c r="ED58" s="984">
        <f t="shared" si="1431"/>
        <v>0</v>
      </c>
      <c r="EE58" s="984">
        <f t="shared" si="1431"/>
        <v>0</v>
      </c>
      <c r="EF58" s="984">
        <f t="shared" si="1431"/>
        <v>61602.28</v>
      </c>
      <c r="EG58" s="984">
        <f t="shared" si="1431"/>
        <v>24355.16</v>
      </c>
      <c r="EH58" s="984">
        <f t="shared" si="1431"/>
        <v>0</v>
      </c>
      <c r="EI58" s="984">
        <f t="shared" si="1431"/>
        <v>0</v>
      </c>
      <c r="EJ58" s="984">
        <f t="shared" si="1431"/>
        <v>0</v>
      </c>
      <c r="EK58" s="984">
        <f t="shared" si="1431"/>
        <v>0</v>
      </c>
      <c r="EL58" s="984">
        <f t="shared" si="1431"/>
        <v>0</v>
      </c>
      <c r="EM58" s="984">
        <f t="shared" si="1431"/>
        <v>7805.0088760000008</v>
      </c>
      <c r="EN58" s="984">
        <f t="shared" si="1431"/>
        <v>93762.448875999995</v>
      </c>
      <c r="EO58" s="984"/>
      <c r="EP58" s="984">
        <f t="shared" si="1431"/>
        <v>2640.65</v>
      </c>
      <c r="EQ58" s="984">
        <f t="shared" si="1431"/>
        <v>9519.84</v>
      </c>
      <c r="ER58" s="984">
        <f t="shared" si="1431"/>
        <v>200</v>
      </c>
      <c r="ES58" s="984">
        <f t="shared" ref="ES58:FJ58" si="1432">+ES48+ES51+ES54+ES57</f>
        <v>324</v>
      </c>
      <c r="ET58" s="984">
        <f t="shared" si="1432"/>
        <v>0</v>
      </c>
      <c r="EU58" s="984">
        <f t="shared" si="1432"/>
        <v>0</v>
      </c>
      <c r="EV58" s="984">
        <f t="shared" si="1432"/>
        <v>2118</v>
      </c>
      <c r="EW58" s="984">
        <f t="shared" si="1432"/>
        <v>0</v>
      </c>
      <c r="EX58" s="984">
        <f t="shared" si="1432"/>
        <v>0</v>
      </c>
      <c r="EY58" s="984">
        <f t="shared" si="1432"/>
        <v>2118</v>
      </c>
      <c r="EZ58" s="984"/>
      <c r="FA58" s="984">
        <f t="shared" si="1432"/>
        <v>2640.65</v>
      </c>
      <c r="FB58" s="984">
        <f t="shared" si="1432"/>
        <v>9519.84</v>
      </c>
      <c r="FC58" s="984">
        <f t="shared" si="1432"/>
        <v>200</v>
      </c>
      <c r="FD58" s="984">
        <f t="shared" si="1432"/>
        <v>324</v>
      </c>
      <c r="FE58" s="984">
        <f t="shared" si="1432"/>
        <v>0</v>
      </c>
      <c r="FF58" s="984">
        <f t="shared" si="1432"/>
        <v>0</v>
      </c>
      <c r="FG58" s="984">
        <f t="shared" si="1432"/>
        <v>2118</v>
      </c>
      <c r="FH58" s="984">
        <f t="shared" si="1432"/>
        <v>0</v>
      </c>
      <c r="FI58" s="984">
        <f t="shared" si="1432"/>
        <v>0</v>
      </c>
      <c r="FJ58" s="984">
        <f t="shared" si="1432"/>
        <v>2118</v>
      </c>
      <c r="FK58" s="800"/>
      <c r="FL58" s="800"/>
      <c r="FM58" s="800"/>
      <c r="FN58" s="800"/>
      <c r="FO58" s="800"/>
      <c r="FP58" s="800"/>
    </row>
    <row r="59" spans="1:178" s="778" customFormat="1" ht="15.75" customHeight="1" outlineLevel="1" thickTop="1">
      <c r="A59" s="1006" t="str">
        <f t="shared" si="253"/>
        <v>MAYO  2026 2da QUINCENA</v>
      </c>
      <c r="B59" s="1006">
        <f t="shared" si="90"/>
        <v>2026</v>
      </c>
      <c r="C59" s="1007" t="str">
        <f t="shared" si="254"/>
        <v>MAYO  2026 2da QUINCENA2026</v>
      </c>
      <c r="D59" s="776"/>
      <c r="E59" s="776">
        <v>303030</v>
      </c>
      <c r="F59" s="776"/>
      <c r="G59" s="723" t="s">
        <v>637</v>
      </c>
      <c r="H59" s="776"/>
      <c r="J59" s="824"/>
      <c r="K59" s="824"/>
      <c r="L59" s="824"/>
      <c r="M59" s="823"/>
      <c r="N59" s="799"/>
      <c r="O59" s="799"/>
      <c r="P59" s="799"/>
      <c r="Q59" s="799"/>
      <c r="R59" s="799"/>
      <c r="S59" s="799"/>
      <c r="T59" s="780"/>
      <c r="U59" s="825"/>
      <c r="V59" s="823"/>
      <c r="W59" s="825"/>
      <c r="X59" s="823"/>
      <c r="Y59" s="825"/>
      <c r="Z59" s="823"/>
      <c r="AA59" s="825"/>
      <c r="AB59" s="823"/>
      <c r="AC59" s="825"/>
      <c r="AD59" s="823"/>
      <c r="AE59" s="826"/>
      <c r="AF59" s="823"/>
      <c r="AG59" s="826"/>
      <c r="AH59" s="823"/>
      <c r="AI59" s="826"/>
      <c r="AJ59" s="823"/>
      <c r="AK59" s="823"/>
      <c r="AL59" s="823"/>
      <c r="AM59" s="826"/>
      <c r="AN59" s="823"/>
      <c r="AO59" s="823"/>
      <c r="AP59" s="823"/>
      <c r="AQ59" s="823"/>
      <c r="AR59" s="823"/>
      <c r="AS59" s="823"/>
      <c r="AT59" s="823"/>
      <c r="AU59" s="823"/>
      <c r="AV59" s="823"/>
      <c r="AW59" s="823"/>
      <c r="AX59" s="823"/>
      <c r="AY59" s="798"/>
      <c r="BA59" s="823"/>
      <c r="BB59" s="823"/>
      <c r="BC59" s="823"/>
      <c r="BD59" s="823"/>
      <c r="BE59" s="823"/>
      <c r="BF59" s="823"/>
      <c r="BG59" s="823"/>
      <c r="BH59" s="823"/>
      <c r="BI59" s="823"/>
      <c r="BJ59" s="823"/>
      <c r="BK59" s="823"/>
      <c r="BL59" s="823"/>
      <c r="BM59" s="823"/>
      <c r="BN59" s="823"/>
      <c r="BO59" s="823"/>
      <c r="BP59" s="823"/>
      <c r="BQ59" s="823"/>
      <c r="BR59" s="823"/>
      <c r="BS59" s="823"/>
      <c r="BT59" s="823"/>
      <c r="BU59" s="823"/>
      <c r="BV59" s="823"/>
      <c r="BW59" s="823"/>
      <c r="BX59" s="823"/>
      <c r="BY59" s="823"/>
      <c r="BZ59" s="823"/>
      <c r="CA59" s="823"/>
      <c r="CB59" s="823"/>
      <c r="CC59" s="823"/>
      <c r="CD59" s="823"/>
      <c r="CE59" s="823"/>
      <c r="CF59" s="823"/>
      <c r="CG59" s="823"/>
      <c r="CH59" s="823"/>
      <c r="CI59" s="823"/>
      <c r="CJ59" s="823"/>
      <c r="CK59" s="823"/>
      <c r="CL59" s="823"/>
      <c r="CM59" s="823"/>
      <c r="CN59" s="823"/>
      <c r="CO59" s="823"/>
      <c r="CP59" s="823"/>
      <c r="CQ59" s="823"/>
      <c r="CR59" s="823"/>
      <c r="CS59" s="823"/>
      <c r="CV59" s="803"/>
      <c r="CW59" s="803"/>
      <c r="CX59" s="803"/>
      <c r="CY59" s="803"/>
      <c r="CZ59" s="803"/>
      <c r="DA59" s="803"/>
      <c r="DB59" s="803"/>
      <c r="DC59" s="803"/>
      <c r="DD59" s="803"/>
      <c r="DE59" s="803"/>
      <c r="DF59" s="803"/>
      <c r="DG59" s="803"/>
      <c r="DH59" s="803"/>
      <c r="DI59" s="803"/>
      <c r="DJ59" s="803"/>
      <c r="DK59" s="803"/>
      <c r="DL59" s="803"/>
      <c r="DM59" s="798"/>
      <c r="DN59" s="803"/>
      <c r="DO59" s="803"/>
      <c r="DP59" s="803"/>
      <c r="DQ59" s="803"/>
      <c r="DR59" s="803"/>
      <c r="DS59" s="803"/>
      <c r="DT59" s="803"/>
      <c r="DU59" s="803"/>
      <c r="DV59" s="803"/>
      <c r="DW59" s="803"/>
      <c r="DX59" s="803"/>
      <c r="DY59" s="803"/>
      <c r="DZ59" s="803"/>
      <c r="EA59" s="803"/>
      <c r="EB59" s="803"/>
      <c r="EC59" s="803"/>
      <c r="ED59" s="803"/>
      <c r="EE59" s="803"/>
      <c r="EF59" s="803"/>
      <c r="EG59" s="803"/>
      <c r="EH59" s="803"/>
      <c r="EI59" s="803"/>
      <c r="EJ59" s="803"/>
      <c r="EK59" s="803"/>
      <c r="EL59" s="803"/>
      <c r="EM59" s="803"/>
      <c r="EN59" s="803"/>
      <c r="EP59" s="235"/>
      <c r="ES59" s="216"/>
      <c r="EZ59" s="717"/>
      <c r="FK59" s="800"/>
      <c r="FL59" s="800"/>
      <c r="FM59" s="800"/>
      <c r="FN59" s="800"/>
      <c r="FO59" s="800"/>
      <c r="FP59" s="800"/>
    </row>
    <row r="60" spans="1:178" s="778" customFormat="1" ht="15.75" customHeight="1" outlineLevel="1">
      <c r="A60" s="1006" t="str">
        <f t="shared" si="253"/>
        <v>MAYO  2026 2da QUINCENA</v>
      </c>
      <c r="B60" s="1006">
        <f t="shared" si="90"/>
        <v>2026</v>
      </c>
      <c r="C60" s="1007" t="str">
        <f t="shared" si="254"/>
        <v>MAYO  2026 2da QUINCENA2026</v>
      </c>
      <c r="D60" s="776"/>
      <c r="E60" s="776"/>
      <c r="F60" s="776"/>
      <c r="G60" s="723" t="s">
        <v>638</v>
      </c>
      <c r="H60" s="776"/>
      <c r="J60" s="824"/>
      <c r="K60" s="824"/>
      <c r="L60" s="824"/>
      <c r="M60" s="823"/>
      <c r="N60" s="799"/>
      <c r="O60" s="799"/>
      <c r="P60" s="799"/>
      <c r="Q60" s="799"/>
      <c r="R60" s="799"/>
      <c r="S60" s="799"/>
      <c r="T60" s="780"/>
      <c r="U60" s="825"/>
      <c r="V60" s="823"/>
      <c r="W60" s="825"/>
      <c r="X60" s="823"/>
      <c r="Y60" s="825"/>
      <c r="Z60" s="823"/>
      <c r="AA60" s="825"/>
      <c r="AB60" s="823"/>
      <c r="AC60" s="825"/>
      <c r="AD60" s="823"/>
      <c r="AE60" s="826"/>
      <c r="AF60" s="823"/>
      <c r="AG60" s="826"/>
      <c r="AH60" s="823"/>
      <c r="AI60" s="826"/>
      <c r="AJ60" s="823"/>
      <c r="AK60" s="823"/>
      <c r="AL60" s="823"/>
      <c r="AM60" s="826"/>
      <c r="AN60" s="823"/>
      <c r="AO60" s="823"/>
      <c r="AP60" s="823"/>
      <c r="AQ60" s="823"/>
      <c r="AR60" s="823"/>
      <c r="AS60" s="823"/>
      <c r="AT60" s="823"/>
      <c r="AU60" s="823"/>
      <c r="AV60" s="823"/>
      <c r="AW60" s="823"/>
      <c r="AX60" s="823"/>
      <c r="AY60" s="798"/>
      <c r="BA60" s="823"/>
      <c r="BB60" s="823"/>
      <c r="BC60" s="823"/>
      <c r="BD60" s="823"/>
      <c r="BE60" s="823"/>
      <c r="BF60" s="823"/>
      <c r="BG60" s="823"/>
      <c r="BH60" s="823"/>
      <c r="BI60" s="823"/>
      <c r="BJ60" s="823"/>
      <c r="BK60" s="823"/>
      <c r="BL60" s="823"/>
      <c r="BM60" s="823"/>
      <c r="BN60" s="823"/>
      <c r="BO60" s="823"/>
      <c r="BP60" s="823"/>
      <c r="BQ60" s="823"/>
      <c r="BR60" s="823"/>
      <c r="BS60" s="823"/>
      <c r="BT60" s="823"/>
      <c r="BU60" s="823"/>
      <c r="BV60" s="823"/>
      <c r="BW60" s="823"/>
      <c r="BX60" s="823"/>
      <c r="BY60" s="823"/>
      <c r="BZ60" s="823"/>
      <c r="CA60" s="823"/>
      <c r="CB60" s="823"/>
      <c r="CC60" s="823"/>
      <c r="CD60" s="823"/>
      <c r="CE60" s="823"/>
      <c r="CF60" s="823"/>
      <c r="CG60" s="823"/>
      <c r="CH60" s="823"/>
      <c r="CI60" s="823"/>
      <c r="CJ60" s="823"/>
      <c r="CK60" s="823"/>
      <c r="CL60" s="823"/>
      <c r="CM60" s="823"/>
      <c r="CN60" s="823"/>
      <c r="CO60" s="823"/>
      <c r="CP60" s="823"/>
      <c r="CQ60" s="823"/>
      <c r="CR60" s="823"/>
      <c r="CS60" s="823"/>
      <c r="CV60" s="803"/>
      <c r="CW60" s="803"/>
      <c r="CX60" s="803"/>
      <c r="CY60" s="803"/>
      <c r="CZ60" s="803"/>
      <c r="DA60" s="803"/>
      <c r="DB60" s="803"/>
      <c r="DC60" s="803"/>
      <c r="DD60" s="803"/>
      <c r="DE60" s="803"/>
      <c r="DF60" s="803"/>
      <c r="DG60" s="803"/>
      <c r="DH60" s="803"/>
      <c r="DI60" s="803"/>
      <c r="DJ60" s="803"/>
      <c r="DK60" s="803"/>
      <c r="DL60" s="803"/>
      <c r="DM60" s="798"/>
      <c r="DN60" s="803"/>
      <c r="DO60" s="803"/>
      <c r="DP60" s="803"/>
      <c r="DQ60" s="803"/>
      <c r="DR60" s="803"/>
      <c r="DS60" s="803"/>
      <c r="DT60" s="803"/>
      <c r="DU60" s="803"/>
      <c r="DV60" s="803"/>
      <c r="DW60" s="803"/>
      <c r="DX60" s="803"/>
      <c r="DY60" s="803"/>
      <c r="DZ60" s="803"/>
      <c r="EA60" s="803"/>
      <c r="EB60" s="803"/>
      <c r="EC60" s="803"/>
      <c r="ED60" s="803"/>
      <c r="EE60" s="803"/>
      <c r="EF60" s="803"/>
      <c r="EG60" s="803"/>
      <c r="EH60" s="803"/>
      <c r="EI60" s="803"/>
      <c r="EJ60" s="803"/>
      <c r="EK60" s="803"/>
      <c r="EL60" s="803"/>
      <c r="EM60" s="803"/>
      <c r="EN60" s="803"/>
      <c r="EP60" s="235"/>
      <c r="ES60" s="216"/>
      <c r="EZ60" s="717"/>
      <c r="FK60" s="800"/>
      <c r="FL60" s="800"/>
      <c r="FM60" s="800"/>
      <c r="FN60" s="800"/>
      <c r="FO60" s="800"/>
      <c r="FP60" s="800"/>
    </row>
    <row r="61" spans="1:178" s="778" customFormat="1" ht="15.75" customHeight="1" outlineLevel="1">
      <c r="A61" s="1006" t="str">
        <f t="shared" si="253"/>
        <v>MAYO  2026 2da QUINCENA</v>
      </c>
      <c r="B61" s="1006">
        <f t="shared" si="90"/>
        <v>2026</v>
      </c>
      <c r="C61" s="1007" t="str">
        <f t="shared" si="254"/>
        <v>MAYO  2026 2da QUINCENA2026</v>
      </c>
      <c r="D61" s="776"/>
      <c r="E61" s="776"/>
      <c r="F61" s="776"/>
      <c r="G61" s="723" t="s">
        <v>639</v>
      </c>
      <c r="H61" s="776"/>
      <c r="J61" s="824"/>
      <c r="K61" s="824"/>
      <c r="L61" s="824"/>
      <c r="M61" s="823"/>
      <c r="N61" s="799"/>
      <c r="O61" s="799"/>
      <c r="P61" s="799"/>
      <c r="Q61" s="799"/>
      <c r="R61" s="799"/>
      <c r="S61" s="799"/>
      <c r="T61" s="780"/>
      <c r="U61" s="825"/>
      <c r="V61" s="823"/>
      <c r="W61" s="825"/>
      <c r="X61" s="823"/>
      <c r="Y61" s="825"/>
      <c r="Z61" s="823"/>
      <c r="AA61" s="825"/>
      <c r="AB61" s="823"/>
      <c r="AC61" s="825"/>
      <c r="AD61" s="823"/>
      <c r="AE61" s="826"/>
      <c r="AF61" s="823"/>
      <c r="AG61" s="826"/>
      <c r="AH61" s="823"/>
      <c r="AI61" s="826"/>
      <c r="AJ61" s="823"/>
      <c r="AK61" s="823"/>
      <c r="AL61" s="823"/>
      <c r="AM61" s="826"/>
      <c r="AN61" s="823"/>
      <c r="AO61" s="823"/>
      <c r="AP61" s="823"/>
      <c r="AQ61" s="823"/>
      <c r="AR61" s="823"/>
      <c r="AS61" s="823"/>
      <c r="AT61" s="823"/>
      <c r="AU61" s="823"/>
      <c r="AV61" s="823"/>
      <c r="AW61" s="823"/>
      <c r="AX61" s="823"/>
      <c r="AY61" s="798"/>
      <c r="BA61" s="823"/>
      <c r="BB61" s="823"/>
      <c r="BC61" s="823"/>
      <c r="BD61" s="823"/>
      <c r="BE61" s="823"/>
      <c r="BF61" s="823"/>
      <c r="BG61" s="823"/>
      <c r="BH61" s="823"/>
      <c r="BI61" s="823"/>
      <c r="BJ61" s="823"/>
      <c r="BK61" s="823"/>
      <c r="BL61" s="823"/>
      <c r="BM61" s="823"/>
      <c r="BN61" s="823"/>
      <c r="BO61" s="823"/>
      <c r="BP61" s="823"/>
      <c r="BQ61" s="823"/>
      <c r="BR61" s="823"/>
      <c r="BS61" s="823"/>
      <c r="BT61" s="823"/>
      <c r="BU61" s="823"/>
      <c r="BV61" s="823"/>
      <c r="BW61" s="823"/>
      <c r="BX61" s="823"/>
      <c r="BY61" s="823"/>
      <c r="BZ61" s="823"/>
      <c r="CA61" s="823"/>
      <c r="CB61" s="823"/>
      <c r="CC61" s="823"/>
      <c r="CD61" s="823"/>
      <c r="CE61" s="823"/>
      <c r="CF61" s="823"/>
      <c r="CG61" s="823"/>
      <c r="CH61" s="823"/>
      <c r="CI61" s="823"/>
      <c r="CJ61" s="823"/>
      <c r="CK61" s="823"/>
      <c r="CL61" s="823"/>
      <c r="CM61" s="823"/>
      <c r="CN61" s="823"/>
      <c r="CO61" s="823"/>
      <c r="CP61" s="823"/>
      <c r="CQ61" s="823"/>
      <c r="CR61" s="823"/>
      <c r="CS61" s="823"/>
      <c r="CV61" s="803"/>
      <c r="CW61" s="803"/>
      <c r="CX61" s="803"/>
      <c r="CY61" s="803"/>
      <c r="CZ61" s="803"/>
      <c r="DA61" s="803"/>
      <c r="DB61" s="803"/>
      <c r="DC61" s="803"/>
      <c r="DD61" s="803"/>
      <c r="DE61" s="803"/>
      <c r="DF61" s="803"/>
      <c r="DG61" s="803"/>
      <c r="DH61" s="803"/>
      <c r="DI61" s="803"/>
      <c r="DJ61" s="803"/>
      <c r="DK61" s="803"/>
      <c r="DL61" s="803"/>
      <c r="DM61" s="798"/>
      <c r="DN61" s="803"/>
      <c r="DO61" s="803"/>
      <c r="DP61" s="803"/>
      <c r="DQ61" s="803"/>
      <c r="DR61" s="803"/>
      <c r="DS61" s="803"/>
      <c r="DT61" s="803"/>
      <c r="DU61" s="803"/>
      <c r="DV61" s="803"/>
      <c r="DW61" s="803"/>
      <c r="DX61" s="803"/>
      <c r="DY61" s="803"/>
      <c r="DZ61" s="803"/>
      <c r="EA61" s="803"/>
      <c r="EB61" s="803"/>
      <c r="EC61" s="803"/>
      <c r="ED61" s="803"/>
      <c r="EE61" s="803"/>
      <c r="EF61" s="803"/>
      <c r="EG61" s="803"/>
      <c r="EH61" s="803"/>
      <c r="EI61" s="803"/>
      <c r="EJ61" s="803"/>
      <c r="EK61" s="803"/>
      <c r="EL61" s="803"/>
      <c r="EM61" s="803"/>
      <c r="EN61" s="803"/>
      <c r="EP61" s="235"/>
      <c r="ES61" s="216"/>
      <c r="EZ61" s="717"/>
      <c r="FK61" s="800"/>
      <c r="FL61" s="800"/>
      <c r="FM61" s="800"/>
      <c r="FN61" s="800"/>
      <c r="FO61" s="800"/>
      <c r="FP61" s="800"/>
    </row>
    <row r="62" spans="1:178" s="778" customFormat="1" ht="15.75" customHeight="1" outlineLevel="1">
      <c r="A62" s="1006" t="str">
        <f t="shared" si="253"/>
        <v>MAYO  2026 2da QUINCENA</v>
      </c>
      <c r="B62" s="1006">
        <f t="shared" si="90"/>
        <v>2026</v>
      </c>
      <c r="C62" s="1007" t="str">
        <f t="shared" si="254"/>
        <v>MAYO  2026 2da QUINCENA2026</v>
      </c>
      <c r="D62" s="776"/>
      <c r="E62" s="776"/>
      <c r="F62" s="776"/>
      <c r="G62" s="723" t="s">
        <v>640</v>
      </c>
      <c r="H62" s="776"/>
      <c r="J62" s="824"/>
      <c r="K62" s="824"/>
      <c r="L62" s="824"/>
      <c r="M62" s="823"/>
      <c r="N62" s="799"/>
      <c r="O62" s="799"/>
      <c r="P62" s="799"/>
      <c r="Q62" s="799"/>
      <c r="R62" s="799"/>
      <c r="S62" s="799"/>
      <c r="T62" s="780"/>
      <c r="U62" s="825"/>
      <c r="V62" s="823"/>
      <c r="W62" s="825"/>
      <c r="X62" s="823"/>
      <c r="Y62" s="825"/>
      <c r="Z62" s="823"/>
      <c r="AA62" s="825"/>
      <c r="AB62" s="823"/>
      <c r="AC62" s="825"/>
      <c r="AD62" s="823"/>
      <c r="AE62" s="826"/>
      <c r="AF62" s="823"/>
      <c r="AG62" s="826"/>
      <c r="AH62" s="823"/>
      <c r="AI62" s="826"/>
      <c r="AJ62" s="823"/>
      <c r="AK62" s="823"/>
      <c r="AL62" s="823"/>
      <c r="AM62" s="826"/>
      <c r="AN62" s="823"/>
      <c r="AO62" s="823"/>
      <c r="AP62" s="823"/>
      <c r="AQ62" s="823"/>
      <c r="AR62" s="823"/>
      <c r="AS62" s="823"/>
      <c r="AT62" s="823"/>
      <c r="AU62" s="823"/>
      <c r="AV62" s="823"/>
      <c r="AW62" s="823"/>
      <c r="AX62" s="823"/>
      <c r="AY62" s="798"/>
      <c r="BA62" s="823"/>
      <c r="BB62" s="823"/>
      <c r="BC62" s="823"/>
      <c r="BD62" s="823"/>
      <c r="BE62" s="823"/>
      <c r="BF62" s="823"/>
      <c r="BG62" s="823"/>
      <c r="BH62" s="823"/>
      <c r="BI62" s="823"/>
      <c r="BJ62" s="823"/>
      <c r="BK62" s="823"/>
      <c r="BL62" s="823"/>
      <c r="BM62" s="823"/>
      <c r="BN62" s="823"/>
      <c r="BO62" s="823"/>
      <c r="BP62" s="823"/>
      <c r="BQ62" s="823"/>
      <c r="BR62" s="823"/>
      <c r="BS62" s="823"/>
      <c r="BT62" s="823"/>
      <c r="BU62" s="823"/>
      <c r="BV62" s="823"/>
      <c r="BW62" s="823"/>
      <c r="BX62" s="823"/>
      <c r="BY62" s="823"/>
      <c r="BZ62" s="823"/>
      <c r="CA62" s="823"/>
      <c r="CB62" s="823"/>
      <c r="CC62" s="823"/>
      <c r="CD62" s="823"/>
      <c r="CE62" s="823"/>
      <c r="CF62" s="823"/>
      <c r="CG62" s="823"/>
      <c r="CH62" s="823"/>
      <c r="CI62" s="823"/>
      <c r="CJ62" s="823"/>
      <c r="CK62" s="823"/>
      <c r="CL62" s="823"/>
      <c r="CM62" s="823"/>
      <c r="CN62" s="823"/>
      <c r="CO62" s="823"/>
      <c r="CP62" s="823"/>
      <c r="CQ62" s="823"/>
      <c r="CR62" s="823"/>
      <c r="CS62" s="823"/>
      <c r="CV62" s="803"/>
      <c r="CW62" s="803"/>
      <c r="CX62" s="803"/>
      <c r="CY62" s="803"/>
      <c r="CZ62" s="803"/>
      <c r="DA62" s="803"/>
      <c r="DB62" s="803"/>
      <c r="DC62" s="803"/>
      <c r="DD62" s="803"/>
      <c r="DE62" s="803"/>
      <c r="DF62" s="803"/>
      <c r="DG62" s="803"/>
      <c r="DH62" s="803"/>
      <c r="DI62" s="803"/>
      <c r="DJ62" s="803"/>
      <c r="DK62" s="803"/>
      <c r="DL62" s="803"/>
      <c r="DM62" s="798"/>
      <c r="DN62" s="803"/>
      <c r="DO62" s="803"/>
      <c r="DP62" s="803"/>
      <c r="DQ62" s="803"/>
      <c r="DR62" s="803"/>
      <c r="DS62" s="803"/>
      <c r="DT62" s="803"/>
      <c r="DU62" s="803"/>
      <c r="DV62" s="803"/>
      <c r="DW62" s="803"/>
      <c r="DX62" s="803"/>
      <c r="DY62" s="803"/>
      <c r="DZ62" s="803"/>
      <c r="EA62" s="803"/>
      <c r="EB62" s="803"/>
      <c r="EC62" s="803"/>
      <c r="ED62" s="803"/>
      <c r="EE62" s="803"/>
      <c r="EF62" s="803"/>
      <c r="EG62" s="803"/>
      <c r="EH62" s="803"/>
      <c r="EI62" s="803"/>
      <c r="EJ62" s="803"/>
      <c r="EK62" s="803"/>
      <c r="EL62" s="803"/>
      <c r="EM62" s="803"/>
      <c r="EN62" s="803"/>
      <c r="EP62" s="235"/>
      <c r="ES62" s="216"/>
      <c r="EZ62" s="717"/>
      <c r="FK62" s="800"/>
      <c r="FL62" s="800"/>
      <c r="FM62" s="800"/>
      <c r="FN62" s="800"/>
      <c r="FO62" s="800"/>
      <c r="FP62" s="800"/>
    </row>
    <row r="63" spans="1:178" s="778" customFormat="1" ht="15.75" customHeight="1" outlineLevel="1">
      <c r="A63" s="1006" t="str">
        <f t="shared" si="253"/>
        <v>MAYO  2026 2da QUINCENA</v>
      </c>
      <c r="B63" s="1006">
        <f t="shared" si="90"/>
        <v>2026</v>
      </c>
      <c r="C63" s="1007" t="str">
        <f t="shared" si="254"/>
        <v>MAYO  2026 2da QUINCENA2026</v>
      </c>
      <c r="D63" s="776"/>
      <c r="E63" s="776">
        <v>202010</v>
      </c>
      <c r="F63" s="776"/>
      <c r="G63" s="779" t="s">
        <v>159</v>
      </c>
      <c r="H63" s="776"/>
      <c r="J63" s="824"/>
      <c r="K63" s="824"/>
      <c r="L63" s="824"/>
      <c r="M63" s="823"/>
      <c r="N63" s="799"/>
      <c r="O63" s="799"/>
      <c r="P63" s="799"/>
      <c r="Q63" s="799"/>
      <c r="R63" s="799"/>
      <c r="S63" s="799"/>
      <c r="T63" s="780"/>
      <c r="U63" s="825"/>
      <c r="V63" s="823"/>
      <c r="W63" s="825"/>
      <c r="X63" s="823"/>
      <c r="Y63" s="825"/>
      <c r="Z63" s="823"/>
      <c r="AA63" s="825"/>
      <c r="AB63" s="823"/>
      <c r="AC63" s="825"/>
      <c r="AD63" s="823"/>
      <c r="AE63" s="826"/>
      <c r="AF63" s="823"/>
      <c r="AG63" s="826"/>
      <c r="AH63" s="823"/>
      <c r="AI63" s="826"/>
      <c r="AJ63" s="823"/>
      <c r="AK63" s="823"/>
      <c r="AL63" s="823"/>
      <c r="AM63" s="826"/>
      <c r="AN63" s="823"/>
      <c r="AO63" s="823"/>
      <c r="AP63" s="823"/>
      <c r="AQ63" s="823"/>
      <c r="AR63" s="823"/>
      <c r="AS63" s="823"/>
      <c r="AT63" s="823"/>
      <c r="AU63" s="823"/>
      <c r="AV63" s="823"/>
      <c r="AW63" s="823"/>
      <c r="AX63" s="823"/>
      <c r="AY63" s="798"/>
      <c r="BA63" s="823"/>
      <c r="BB63" s="823"/>
      <c r="BC63" s="823"/>
      <c r="BD63" s="823"/>
      <c r="BE63" s="823"/>
      <c r="BF63" s="823"/>
      <c r="BG63" s="823"/>
      <c r="BH63" s="823"/>
      <c r="BI63" s="823"/>
      <c r="BJ63" s="823"/>
      <c r="BK63" s="823"/>
      <c r="BL63" s="823"/>
      <c r="BM63" s="823"/>
      <c r="BN63" s="823"/>
      <c r="BO63" s="823"/>
      <c r="BP63" s="823"/>
      <c r="BQ63" s="823"/>
      <c r="BR63" s="823"/>
      <c r="BS63" s="823"/>
      <c r="BT63" s="823"/>
      <c r="BU63" s="823"/>
      <c r="BV63" s="823"/>
      <c r="BW63" s="823"/>
      <c r="BX63" s="823"/>
      <c r="BY63" s="823"/>
      <c r="BZ63" s="823"/>
      <c r="CA63" s="823"/>
      <c r="CB63" s="823"/>
      <c r="CC63" s="823"/>
      <c r="CD63" s="823"/>
      <c r="CE63" s="823"/>
      <c r="CF63" s="823"/>
      <c r="CG63" s="823"/>
      <c r="CH63" s="823"/>
      <c r="CI63" s="823"/>
      <c r="CJ63" s="823"/>
      <c r="CK63" s="823"/>
      <c r="CL63" s="823"/>
      <c r="CM63" s="823"/>
      <c r="CN63" s="823"/>
      <c r="CO63" s="823"/>
      <c r="CP63" s="823"/>
      <c r="CQ63" s="823"/>
      <c r="CR63" s="823"/>
      <c r="CS63" s="823"/>
      <c r="CV63" s="803"/>
      <c r="CW63" s="803"/>
      <c r="CX63" s="803"/>
      <c r="CY63" s="803"/>
      <c r="CZ63" s="803"/>
      <c r="DA63" s="803"/>
      <c r="DB63" s="803"/>
      <c r="DC63" s="803"/>
      <c r="DD63" s="803"/>
      <c r="DE63" s="803"/>
      <c r="DF63" s="803"/>
      <c r="DG63" s="803"/>
      <c r="DH63" s="803"/>
      <c r="DI63" s="803"/>
      <c r="DJ63" s="803"/>
      <c r="DK63" s="803"/>
      <c r="DL63" s="803"/>
      <c r="DM63" s="798"/>
      <c r="DN63" s="803"/>
      <c r="DO63" s="803"/>
      <c r="DP63" s="803"/>
      <c r="DQ63" s="803"/>
      <c r="DR63" s="803"/>
      <c r="DS63" s="803"/>
      <c r="DT63" s="803"/>
      <c r="DU63" s="803"/>
      <c r="DV63" s="803"/>
      <c r="DW63" s="803"/>
      <c r="DX63" s="803"/>
      <c r="DY63" s="803"/>
      <c r="DZ63" s="803"/>
      <c r="EA63" s="803"/>
      <c r="EB63" s="803"/>
      <c r="EC63" s="803"/>
      <c r="ED63" s="803"/>
      <c r="EE63" s="803"/>
      <c r="EF63" s="803"/>
      <c r="EG63" s="803"/>
      <c r="EH63" s="803"/>
      <c r="EI63" s="803"/>
      <c r="EJ63" s="803"/>
      <c r="EK63" s="803"/>
      <c r="EL63" s="803"/>
      <c r="EM63" s="803"/>
      <c r="EN63" s="803"/>
      <c r="EP63" s="235"/>
      <c r="ES63" s="216"/>
      <c r="EZ63" s="717"/>
      <c r="FK63" s="800"/>
      <c r="FL63" s="800"/>
      <c r="FM63" s="800"/>
      <c r="FN63" s="800"/>
      <c r="FO63" s="800"/>
      <c r="FP63" s="800"/>
    </row>
    <row r="64" spans="1:178" s="778" customFormat="1" ht="15.75" customHeight="1" outlineLevel="1">
      <c r="A64" s="1006" t="str">
        <f t="shared" si="253"/>
        <v>MAYO  2026 2da QUINCENA</v>
      </c>
      <c r="B64" s="1006">
        <f t="shared" si="90"/>
        <v>2026</v>
      </c>
      <c r="C64" s="1007" t="str">
        <f t="shared" si="254"/>
        <v>MAYO  2026 2da QUINCENA2026</v>
      </c>
      <c r="D64" s="776"/>
      <c r="E64" s="776">
        <v>202010</v>
      </c>
      <c r="F64" s="776"/>
      <c r="G64" s="723" t="s">
        <v>623</v>
      </c>
      <c r="H64" s="776"/>
      <c r="J64" s="824"/>
      <c r="K64" s="824"/>
      <c r="L64" s="824"/>
      <c r="M64" s="823"/>
      <c r="N64" s="799"/>
      <c r="O64" s="799"/>
      <c r="P64" s="799"/>
      <c r="Q64" s="799"/>
      <c r="R64" s="799"/>
      <c r="S64" s="799"/>
      <c r="T64" s="780"/>
      <c r="U64" s="825"/>
      <c r="V64" s="823"/>
      <c r="W64" s="825"/>
      <c r="X64" s="823"/>
      <c r="Y64" s="825"/>
      <c r="Z64" s="823"/>
      <c r="AA64" s="825"/>
      <c r="AB64" s="823"/>
      <c r="AC64" s="825"/>
      <c r="AD64" s="823"/>
      <c r="AE64" s="826"/>
      <c r="AF64" s="823"/>
      <c r="AG64" s="826"/>
      <c r="AH64" s="823"/>
      <c r="AI64" s="826"/>
      <c r="AJ64" s="823"/>
      <c r="AK64" s="823"/>
      <c r="AL64" s="823"/>
      <c r="AM64" s="826"/>
      <c r="AN64" s="823"/>
      <c r="AO64" s="823"/>
      <c r="AP64" s="823"/>
      <c r="AQ64" s="823"/>
      <c r="AR64" s="823"/>
      <c r="AS64" s="823"/>
      <c r="AT64" s="823"/>
      <c r="AU64" s="823"/>
      <c r="AV64" s="823"/>
      <c r="AW64" s="823"/>
      <c r="AX64" s="823"/>
      <c r="AY64" s="798"/>
      <c r="BA64" s="823"/>
      <c r="BB64" s="823"/>
      <c r="BC64" s="823"/>
      <c r="BD64" s="823"/>
      <c r="BE64" s="823"/>
      <c r="BF64" s="823"/>
      <c r="BG64" s="823"/>
      <c r="BH64" s="823"/>
      <c r="BI64" s="823"/>
      <c r="BJ64" s="823"/>
      <c r="BK64" s="823"/>
      <c r="BL64" s="823"/>
      <c r="BM64" s="823"/>
      <c r="BN64" s="823"/>
      <c r="BO64" s="823"/>
      <c r="BP64" s="823"/>
      <c r="BQ64" s="823"/>
      <c r="BR64" s="823"/>
      <c r="BS64" s="823"/>
      <c r="BT64" s="823"/>
      <c r="BU64" s="823"/>
      <c r="BV64" s="823"/>
      <c r="BW64" s="823"/>
      <c r="BX64" s="823"/>
      <c r="BY64" s="823"/>
      <c r="BZ64" s="823"/>
      <c r="CA64" s="823"/>
      <c r="CB64" s="823"/>
      <c r="CC64" s="823"/>
      <c r="CD64" s="823"/>
      <c r="CE64" s="823"/>
      <c r="CF64" s="823"/>
      <c r="CG64" s="823"/>
      <c r="CH64" s="823"/>
      <c r="CI64" s="823"/>
      <c r="CJ64" s="823"/>
      <c r="CK64" s="823"/>
      <c r="CL64" s="823"/>
      <c r="CM64" s="823"/>
      <c r="CN64" s="823"/>
      <c r="CO64" s="823"/>
      <c r="CP64" s="823"/>
      <c r="CQ64" s="823"/>
      <c r="CR64" s="823"/>
      <c r="CS64" s="823"/>
      <c r="CV64" s="803"/>
      <c r="CW64" s="803"/>
      <c r="CX64" s="803"/>
      <c r="CY64" s="803"/>
      <c r="CZ64" s="803"/>
      <c r="DA64" s="803"/>
      <c r="DB64" s="803"/>
      <c r="DC64" s="803"/>
      <c r="DD64" s="803"/>
      <c r="DE64" s="803"/>
      <c r="DF64" s="803"/>
      <c r="DG64" s="803"/>
      <c r="DH64" s="803"/>
      <c r="DI64" s="803"/>
      <c r="DJ64" s="803"/>
      <c r="DK64" s="803"/>
      <c r="DL64" s="803"/>
      <c r="DM64" s="798"/>
      <c r="DN64" s="803"/>
      <c r="DO64" s="803"/>
      <c r="DP64" s="803"/>
      <c r="DQ64" s="803"/>
      <c r="DR64" s="803"/>
      <c r="DS64" s="803"/>
      <c r="DT64" s="803"/>
      <c r="DU64" s="803"/>
      <c r="DV64" s="803"/>
      <c r="DW64" s="803"/>
      <c r="DX64" s="803"/>
      <c r="DY64" s="803"/>
      <c r="DZ64" s="803"/>
      <c r="EA64" s="803"/>
      <c r="EB64" s="803"/>
      <c r="EC64" s="803"/>
      <c r="ED64" s="803"/>
      <c r="EE64" s="803"/>
      <c r="EF64" s="803"/>
      <c r="EG64" s="803"/>
      <c r="EH64" s="803"/>
      <c r="EI64" s="803"/>
      <c r="EJ64" s="803"/>
      <c r="EK64" s="803"/>
      <c r="EL64" s="803"/>
      <c r="EM64" s="803"/>
      <c r="EN64" s="803"/>
      <c r="EP64" s="235"/>
      <c r="ES64" s="216"/>
      <c r="EZ64" s="717"/>
      <c r="FK64" s="800"/>
      <c r="FL64" s="800"/>
      <c r="FM64" s="800"/>
      <c r="FN64" s="800"/>
      <c r="FO64" s="800"/>
      <c r="FP64" s="800"/>
    </row>
    <row r="65" spans="1:178" s="778" customFormat="1" ht="15.75" customHeight="1" outlineLevel="1">
      <c r="A65" s="1006" t="s">
        <v>52</v>
      </c>
      <c r="B65" s="1006" t="s">
        <v>52</v>
      </c>
      <c r="C65" s="1007" t="s">
        <v>52</v>
      </c>
      <c r="D65" s="776"/>
      <c r="E65" s="776"/>
      <c r="F65" s="776"/>
      <c r="G65" s="723"/>
      <c r="H65" s="717"/>
      <c r="J65" s="864"/>
      <c r="K65" s="841"/>
      <c r="L65" s="841"/>
      <c r="M65" s="829"/>
      <c r="N65" s="829"/>
      <c r="O65" s="829"/>
      <c r="P65" s="829"/>
      <c r="Q65" s="829"/>
      <c r="R65" s="829"/>
      <c r="S65" s="829"/>
      <c r="T65" s="780"/>
      <c r="U65" s="841"/>
      <c r="V65" s="841"/>
      <c r="W65" s="841"/>
      <c r="X65" s="841"/>
      <c r="Y65" s="841"/>
      <c r="Z65" s="841"/>
      <c r="AA65" s="841"/>
      <c r="AB65" s="841"/>
      <c r="AC65" s="841"/>
      <c r="AD65" s="841"/>
      <c r="AE65" s="841"/>
      <c r="AF65" s="841"/>
      <c r="AG65" s="841"/>
      <c r="AH65" s="841"/>
      <c r="AI65" s="841"/>
      <c r="AJ65" s="841"/>
      <c r="AK65" s="841"/>
      <c r="AL65" s="841"/>
      <c r="AM65" s="841"/>
      <c r="AN65" s="841"/>
      <c r="AO65" s="841"/>
      <c r="AP65" s="841"/>
      <c r="AQ65" s="841"/>
      <c r="AR65" s="841"/>
      <c r="AS65" s="841"/>
      <c r="AT65" s="841"/>
      <c r="AU65" s="841"/>
      <c r="AV65" s="841"/>
      <c r="AW65" s="841"/>
      <c r="AX65" s="841"/>
      <c r="AY65" s="841"/>
      <c r="AZ65" s="834"/>
      <c r="BA65" s="841"/>
      <c r="BB65" s="841"/>
      <c r="BC65" s="841"/>
      <c r="BD65" s="841"/>
      <c r="BE65" s="841"/>
      <c r="BF65" s="841"/>
      <c r="BG65" s="841"/>
      <c r="BH65" s="841"/>
      <c r="BI65" s="841"/>
      <c r="BJ65" s="841"/>
      <c r="BK65" s="841"/>
      <c r="BL65" s="841"/>
      <c r="BM65" s="841"/>
      <c r="BN65" s="841"/>
      <c r="BO65" s="841"/>
      <c r="BP65" s="841"/>
      <c r="BQ65" s="841"/>
      <c r="BR65" s="841"/>
      <c r="BS65" s="841"/>
      <c r="BT65" s="841"/>
      <c r="BU65" s="841"/>
      <c r="BV65" s="841"/>
      <c r="BW65" s="841"/>
      <c r="BX65" s="841"/>
      <c r="BY65" s="841"/>
      <c r="BZ65" s="841"/>
      <c r="CA65" s="841"/>
      <c r="CB65" s="829"/>
      <c r="CC65" s="829"/>
      <c r="CD65" s="829"/>
      <c r="CE65" s="829"/>
      <c r="CF65" s="829"/>
      <c r="CG65" s="829"/>
      <c r="CH65" s="829"/>
      <c r="CI65" s="829"/>
      <c r="CJ65" s="829"/>
      <c r="CK65" s="829"/>
      <c r="CL65" s="829"/>
      <c r="CM65" s="829"/>
      <c r="CN65" s="829"/>
      <c r="CO65" s="829"/>
      <c r="CP65" s="829"/>
      <c r="CQ65" s="829"/>
      <c r="CR65" s="829"/>
      <c r="CS65" s="829"/>
      <c r="CV65" s="829"/>
      <c r="CW65" s="829"/>
      <c r="CX65" s="829"/>
      <c r="CY65" s="829"/>
      <c r="CZ65" s="829"/>
      <c r="DA65" s="829"/>
      <c r="DB65" s="829"/>
      <c r="DC65" s="829"/>
      <c r="DD65" s="829"/>
      <c r="DE65" s="829"/>
      <c r="DF65" s="829"/>
      <c r="DG65" s="829"/>
      <c r="DH65" s="829"/>
      <c r="DI65" s="829"/>
      <c r="DJ65" s="829"/>
      <c r="DK65" s="829"/>
      <c r="DL65" s="829"/>
      <c r="DM65" s="829"/>
      <c r="DN65" s="829"/>
      <c r="DO65" s="829"/>
      <c r="DP65" s="829"/>
      <c r="DQ65" s="829"/>
      <c r="DR65" s="829"/>
      <c r="DS65" s="829"/>
      <c r="DT65" s="829"/>
      <c r="DU65" s="829"/>
      <c r="DV65" s="829"/>
      <c r="DW65" s="823"/>
      <c r="DX65" s="823"/>
      <c r="DY65" s="823"/>
      <c r="DZ65" s="823"/>
      <c r="EA65" s="823"/>
      <c r="EB65" s="823"/>
      <c r="EC65" s="823"/>
      <c r="ED65" s="823"/>
      <c r="EE65" s="823"/>
      <c r="EF65" s="823"/>
      <c r="EG65" s="823"/>
      <c r="EH65" s="823"/>
      <c r="EI65" s="823"/>
      <c r="EJ65" s="823"/>
      <c r="EK65" s="823"/>
      <c r="EL65" s="823"/>
      <c r="EM65" s="823"/>
      <c r="EN65" s="823"/>
      <c r="EP65" s="864"/>
      <c r="EQ65" s="841"/>
      <c r="ER65" s="841"/>
      <c r="ES65" s="864"/>
      <c r="ET65" s="841"/>
      <c r="EU65" s="841"/>
      <c r="EV65" s="841"/>
      <c r="EW65" s="841"/>
      <c r="EX65" s="841"/>
      <c r="EY65" s="841"/>
      <c r="EZ65" s="717"/>
      <c r="FA65" s="829"/>
      <c r="FB65" s="829"/>
      <c r="FC65" s="829"/>
      <c r="FD65" s="829"/>
      <c r="FE65" s="829"/>
      <c r="FF65" s="829"/>
      <c r="FG65" s="829"/>
      <c r="FH65" s="829"/>
      <c r="FI65" s="829"/>
      <c r="FJ65" s="829"/>
      <c r="FK65" s="800"/>
      <c r="FL65" s="800"/>
      <c r="FM65" s="800"/>
      <c r="FN65" s="800"/>
      <c r="FO65" s="800"/>
      <c r="FP65" s="800"/>
    </row>
    <row r="66" spans="1:178" s="778" customFormat="1" ht="15.75" customHeight="1" outlineLevel="1">
      <c r="A66" s="1006" t="str">
        <f t="shared" si="253"/>
        <v>MAYO  2026 2da QUINCENA</v>
      </c>
      <c r="B66" s="1006">
        <f t="shared" si="90"/>
        <v>2026</v>
      </c>
      <c r="C66" s="1007" t="str">
        <f t="shared" si="254"/>
        <v>MAYO  2026 2da QUINCENA2026</v>
      </c>
      <c r="D66" s="776"/>
      <c r="E66" s="776">
        <v>301010</v>
      </c>
      <c r="F66" s="776"/>
      <c r="G66" s="779" t="s">
        <v>195</v>
      </c>
      <c r="H66" s="717"/>
      <c r="J66" s="864"/>
      <c r="K66" s="841"/>
      <c r="L66" s="841"/>
      <c r="M66" s="829"/>
      <c r="N66" s="829"/>
      <c r="O66" s="829"/>
      <c r="P66" s="829"/>
      <c r="Q66" s="829"/>
      <c r="R66" s="829"/>
      <c r="S66" s="829"/>
      <c r="T66" s="780"/>
      <c r="U66" s="841"/>
      <c r="V66" s="841"/>
      <c r="W66" s="841"/>
      <c r="X66" s="841"/>
      <c r="Y66" s="841"/>
      <c r="Z66" s="841"/>
      <c r="AA66" s="841"/>
      <c r="AB66" s="841"/>
      <c r="AC66" s="841"/>
      <c r="AD66" s="841"/>
      <c r="AE66" s="841"/>
      <c r="AF66" s="841"/>
      <c r="AG66" s="841"/>
      <c r="AH66" s="841"/>
      <c r="AI66" s="841"/>
      <c r="AJ66" s="841"/>
      <c r="AK66" s="841"/>
      <c r="AL66" s="841"/>
      <c r="AM66" s="841"/>
      <c r="AN66" s="841"/>
      <c r="AO66" s="841"/>
      <c r="AP66" s="841"/>
      <c r="AQ66" s="841"/>
      <c r="AR66" s="841"/>
      <c r="AS66" s="841"/>
      <c r="AT66" s="841"/>
      <c r="AU66" s="841"/>
      <c r="AV66" s="841"/>
      <c r="AW66" s="841"/>
      <c r="AX66" s="841"/>
      <c r="AY66" s="841"/>
      <c r="AZ66" s="834"/>
      <c r="BA66" s="841"/>
      <c r="BB66" s="841"/>
      <c r="BC66" s="841"/>
      <c r="BD66" s="841"/>
      <c r="BE66" s="841"/>
      <c r="BF66" s="841"/>
      <c r="BG66" s="841"/>
      <c r="BH66" s="841"/>
      <c r="BI66" s="841"/>
      <c r="BJ66" s="841"/>
      <c r="BK66" s="841"/>
      <c r="BL66" s="841"/>
      <c r="BM66" s="841"/>
      <c r="BN66" s="841"/>
      <c r="BO66" s="841"/>
      <c r="BP66" s="841"/>
      <c r="BQ66" s="841"/>
      <c r="BR66" s="841"/>
      <c r="BS66" s="841"/>
      <c r="BT66" s="841"/>
      <c r="BU66" s="841"/>
      <c r="BV66" s="841"/>
      <c r="BW66" s="841"/>
      <c r="BX66" s="841"/>
      <c r="BY66" s="841"/>
      <c r="BZ66" s="841"/>
      <c r="CA66" s="841"/>
      <c r="CB66" s="829"/>
      <c r="CC66" s="829"/>
      <c r="CD66" s="829"/>
      <c r="CE66" s="829"/>
      <c r="CF66" s="829"/>
      <c r="CG66" s="829"/>
      <c r="CH66" s="829"/>
      <c r="CI66" s="829"/>
      <c r="CJ66" s="829"/>
      <c r="CK66" s="829"/>
      <c r="CL66" s="829"/>
      <c r="CM66" s="829"/>
      <c r="CN66" s="829"/>
      <c r="CO66" s="829"/>
      <c r="CP66" s="829"/>
      <c r="CQ66" s="829"/>
      <c r="CR66" s="829"/>
      <c r="CS66" s="829"/>
      <c r="CV66" s="829"/>
      <c r="CW66" s="829"/>
      <c r="CX66" s="829"/>
      <c r="CY66" s="829"/>
      <c r="CZ66" s="829"/>
      <c r="DA66" s="829"/>
      <c r="DB66" s="829"/>
      <c r="DC66" s="829"/>
      <c r="DD66" s="829"/>
      <c r="DE66" s="829"/>
      <c r="DF66" s="829"/>
      <c r="DG66" s="829"/>
      <c r="DH66" s="829"/>
      <c r="DI66" s="829"/>
      <c r="DJ66" s="829"/>
      <c r="DK66" s="829"/>
      <c r="DL66" s="829"/>
      <c r="DM66" s="829"/>
      <c r="DN66" s="829"/>
      <c r="DO66" s="829"/>
      <c r="DP66" s="829"/>
      <c r="DQ66" s="829"/>
      <c r="DR66" s="829"/>
      <c r="DS66" s="829"/>
      <c r="DT66" s="829"/>
      <c r="DU66" s="829"/>
      <c r="DV66" s="829"/>
      <c r="DW66" s="823"/>
      <c r="DX66" s="823"/>
      <c r="DY66" s="823"/>
      <c r="DZ66" s="823"/>
      <c r="EA66" s="823"/>
      <c r="EB66" s="823"/>
      <c r="EC66" s="823"/>
      <c r="ED66" s="823"/>
      <c r="EE66" s="823"/>
      <c r="EF66" s="823"/>
      <c r="EG66" s="823"/>
      <c r="EH66" s="823"/>
      <c r="EI66" s="823"/>
      <c r="EJ66" s="823"/>
      <c r="EK66" s="823"/>
      <c r="EL66" s="823"/>
      <c r="EM66" s="823"/>
      <c r="EN66" s="823"/>
      <c r="EP66" s="864"/>
      <c r="EQ66" s="841"/>
      <c r="ER66" s="841"/>
      <c r="ES66" s="864"/>
      <c r="ET66" s="841"/>
      <c r="EU66" s="841"/>
      <c r="EV66" s="841"/>
      <c r="EW66" s="841"/>
      <c r="EX66" s="841"/>
      <c r="EY66" s="841"/>
      <c r="EZ66" s="717"/>
      <c r="FA66" s="829"/>
      <c r="FB66" s="829"/>
      <c r="FC66" s="829"/>
      <c r="FD66" s="829"/>
      <c r="FE66" s="829"/>
      <c r="FF66" s="829"/>
      <c r="FG66" s="829"/>
      <c r="FH66" s="829"/>
      <c r="FI66" s="829"/>
      <c r="FJ66" s="829"/>
      <c r="FK66" s="800"/>
      <c r="FL66" s="800"/>
      <c r="FM66" s="800"/>
      <c r="FN66" s="800"/>
      <c r="FO66" s="800"/>
      <c r="FP66" s="800"/>
    </row>
    <row r="67" spans="1:178" s="778" customFormat="1" ht="15.75" customHeight="1" outlineLevel="1">
      <c r="A67" s="1006" t="str">
        <f t="shared" si="253"/>
        <v>MAYO  2026 2da QUINCENA</v>
      </c>
      <c r="B67" s="1006">
        <f t="shared" si="90"/>
        <v>2026</v>
      </c>
      <c r="C67" s="1007" t="str">
        <f t="shared" si="254"/>
        <v>MAYO  2026 2da QUINCENA2026</v>
      </c>
      <c r="D67" s="776" t="str">
        <f>+$G$66</f>
        <v>Produccion</v>
      </c>
      <c r="E67" s="776">
        <v>301010</v>
      </c>
      <c r="F67" s="776"/>
      <c r="G67" s="723" t="s">
        <v>623</v>
      </c>
      <c r="H67" s="717"/>
      <c r="J67" s="864"/>
      <c r="K67" s="841"/>
      <c r="L67" s="841"/>
      <c r="M67" s="829"/>
      <c r="N67" s="829"/>
      <c r="O67" s="829"/>
      <c r="P67" s="829"/>
      <c r="Q67" s="829"/>
      <c r="R67" s="829"/>
      <c r="S67" s="829"/>
      <c r="T67" s="780"/>
      <c r="U67" s="841"/>
      <c r="V67" s="841"/>
      <c r="W67" s="841"/>
      <c r="X67" s="841"/>
      <c r="Y67" s="841"/>
      <c r="Z67" s="841"/>
      <c r="AA67" s="841"/>
      <c r="AB67" s="841"/>
      <c r="AC67" s="841"/>
      <c r="AD67" s="841"/>
      <c r="AE67" s="841"/>
      <c r="AF67" s="841"/>
      <c r="AG67" s="841"/>
      <c r="AH67" s="841"/>
      <c r="AI67" s="841"/>
      <c r="AJ67" s="841"/>
      <c r="AK67" s="841"/>
      <c r="AL67" s="841"/>
      <c r="AM67" s="841"/>
      <c r="AN67" s="841"/>
      <c r="AO67" s="841"/>
      <c r="AP67" s="841"/>
      <c r="AQ67" s="841"/>
      <c r="AR67" s="841"/>
      <c r="AS67" s="841"/>
      <c r="AT67" s="841"/>
      <c r="AU67" s="841"/>
      <c r="AV67" s="841"/>
      <c r="AW67" s="841"/>
      <c r="AX67" s="841"/>
      <c r="AY67" s="841"/>
      <c r="AZ67" s="834"/>
      <c r="BA67" s="841"/>
      <c r="BB67" s="841"/>
      <c r="BC67" s="841"/>
      <c r="BD67" s="841"/>
      <c r="BE67" s="841"/>
      <c r="BF67" s="841"/>
      <c r="BG67" s="841"/>
      <c r="BH67" s="841"/>
      <c r="BI67" s="841"/>
      <c r="BJ67" s="841"/>
      <c r="BK67" s="841"/>
      <c r="BL67" s="841"/>
      <c r="BM67" s="841"/>
      <c r="BN67" s="841"/>
      <c r="BO67" s="841"/>
      <c r="BP67" s="841"/>
      <c r="BQ67" s="841"/>
      <c r="BR67" s="841"/>
      <c r="BS67" s="841"/>
      <c r="BT67" s="841"/>
      <c r="BU67" s="841"/>
      <c r="BV67" s="841"/>
      <c r="BW67" s="841"/>
      <c r="BX67" s="841"/>
      <c r="BY67" s="841"/>
      <c r="BZ67" s="841"/>
      <c r="CA67" s="841"/>
      <c r="CB67" s="829"/>
      <c r="CC67" s="829"/>
      <c r="CD67" s="829"/>
      <c r="CE67" s="829"/>
      <c r="CF67" s="829"/>
      <c r="CG67" s="829"/>
      <c r="CH67" s="829"/>
      <c r="CI67" s="829"/>
      <c r="CJ67" s="829"/>
      <c r="CK67" s="829"/>
      <c r="CL67" s="829"/>
      <c r="CM67" s="829"/>
      <c r="CN67" s="829"/>
      <c r="CO67" s="829"/>
      <c r="CP67" s="829"/>
      <c r="CQ67" s="829"/>
      <c r="CR67" s="829"/>
      <c r="CS67" s="829"/>
      <c r="CV67" s="829"/>
      <c r="CW67" s="829"/>
      <c r="CX67" s="829"/>
      <c r="CY67" s="829"/>
      <c r="CZ67" s="829"/>
      <c r="DA67" s="829"/>
      <c r="DB67" s="829"/>
      <c r="DC67" s="829"/>
      <c r="DD67" s="829"/>
      <c r="DE67" s="829"/>
      <c r="DF67" s="829"/>
      <c r="DG67" s="829"/>
      <c r="DH67" s="829"/>
      <c r="DI67" s="829"/>
      <c r="DJ67" s="829"/>
      <c r="DK67" s="829"/>
      <c r="DL67" s="829"/>
      <c r="DM67" s="829"/>
      <c r="DN67" s="829"/>
      <c r="DO67" s="829"/>
      <c r="DP67" s="829"/>
      <c r="DQ67" s="829"/>
      <c r="DR67" s="829"/>
      <c r="DS67" s="829"/>
      <c r="DT67" s="829"/>
      <c r="DU67" s="829"/>
      <c r="DV67" s="829"/>
      <c r="DW67" s="823"/>
      <c r="DX67" s="823"/>
      <c r="DY67" s="823"/>
      <c r="DZ67" s="823"/>
      <c r="EA67" s="823"/>
      <c r="EB67" s="823"/>
      <c r="EC67" s="823"/>
      <c r="ED67" s="823"/>
      <c r="EE67" s="823"/>
      <c r="EF67" s="823"/>
      <c r="EG67" s="823"/>
      <c r="EH67" s="823"/>
      <c r="EI67" s="823"/>
      <c r="EJ67" s="823"/>
      <c r="EK67" s="823"/>
      <c r="EL67" s="823"/>
      <c r="EM67" s="823"/>
      <c r="EN67" s="823"/>
      <c r="EP67" s="864"/>
      <c r="EQ67" s="841"/>
      <c r="ER67" s="841"/>
      <c r="ES67" s="864"/>
      <c r="ET67" s="841"/>
      <c r="EU67" s="841"/>
      <c r="EV67" s="841"/>
      <c r="EW67" s="841"/>
      <c r="EX67" s="841"/>
      <c r="EY67" s="841"/>
      <c r="EZ67" s="717"/>
      <c r="FA67" s="829"/>
      <c r="FB67" s="829"/>
      <c r="FC67" s="829"/>
      <c r="FD67" s="829"/>
      <c r="FE67" s="829"/>
      <c r="FF67" s="829"/>
      <c r="FG67" s="829"/>
      <c r="FH67" s="829"/>
      <c r="FI67" s="829"/>
      <c r="FJ67" s="829"/>
      <c r="FK67" s="800"/>
      <c r="FL67" s="800"/>
      <c r="FM67" s="800"/>
      <c r="FN67" s="800"/>
      <c r="FO67" s="800"/>
      <c r="FP67" s="800"/>
    </row>
    <row r="68" spans="1:178" s="216" customFormat="1" ht="15" customHeight="1" outlineLevel="1">
      <c r="A68" s="1006"/>
      <c r="B68" s="1006"/>
      <c r="C68" s="1007"/>
      <c r="D68" s="776"/>
      <c r="E68" s="776"/>
      <c r="F68" s="268"/>
      <c r="G68" s="199"/>
      <c r="H68" s="200"/>
      <c r="I68" s="201"/>
      <c r="J68" s="202"/>
      <c r="K68" s="202"/>
      <c r="L68" s="202"/>
      <c r="M68" s="203"/>
      <c r="N68" s="838"/>
      <c r="O68" s="270"/>
      <c r="P68" s="270"/>
      <c r="Q68" s="204"/>
      <c r="R68" s="204"/>
      <c r="S68" s="204"/>
      <c r="T68" s="205"/>
      <c r="U68" s="238"/>
      <c r="V68" s="203"/>
      <c r="W68" s="265"/>
      <c r="X68" s="239"/>
      <c r="Y68" s="866"/>
      <c r="Z68" s="239"/>
      <c r="AA68" s="265"/>
      <c r="AB68" s="203"/>
      <c r="AC68" s="207"/>
      <c r="AD68" s="203"/>
      <c r="AE68" s="208"/>
      <c r="AF68" s="203"/>
      <c r="AG68" s="208"/>
      <c r="AH68" s="203"/>
      <c r="AI68" s="208"/>
      <c r="AJ68" s="203"/>
      <c r="AK68" s="203"/>
      <c r="AL68" s="203"/>
      <c r="AM68" s="208"/>
      <c r="AN68" s="203"/>
      <c r="AO68" s="202"/>
      <c r="AP68" s="202"/>
      <c r="AQ68" s="202"/>
      <c r="AR68" s="202"/>
      <c r="AS68" s="202"/>
      <c r="AT68" s="202"/>
      <c r="AU68" s="202"/>
      <c r="AV68" s="202"/>
      <c r="AW68" s="202"/>
      <c r="AX68" s="202"/>
      <c r="AY68" s="202"/>
      <c r="AZ68" s="212"/>
      <c r="BA68" s="203"/>
      <c r="BB68" s="239"/>
      <c r="BC68" s="203"/>
      <c r="BD68" s="203"/>
      <c r="BE68" s="203"/>
      <c r="BF68" s="203"/>
      <c r="BG68" s="203"/>
      <c r="BH68" s="203"/>
      <c r="BI68" s="203"/>
      <c r="BJ68" s="239"/>
      <c r="BK68" s="239"/>
      <c r="BL68" s="203"/>
      <c r="BM68" s="203"/>
      <c r="BN68" s="203"/>
      <c r="BO68" s="203"/>
      <c r="BP68" s="203"/>
      <c r="BQ68" s="203"/>
      <c r="BR68" s="202"/>
      <c r="BS68" s="203"/>
      <c r="BT68" s="203"/>
      <c r="BU68" s="203"/>
      <c r="BV68" s="203"/>
      <c r="BW68" s="203"/>
      <c r="BX68" s="203"/>
      <c r="BY68" s="203"/>
      <c r="BZ68" s="203"/>
      <c r="CA68" s="203"/>
      <c r="CB68" s="241"/>
      <c r="CC68" s="242"/>
      <c r="CD68" s="242"/>
      <c r="CE68" s="242"/>
      <c r="CF68" s="242"/>
      <c r="CG68" s="242"/>
      <c r="CH68" s="242"/>
      <c r="CI68" s="242"/>
      <c r="CJ68" s="242"/>
      <c r="CK68" s="242"/>
      <c r="CL68" s="242"/>
      <c r="CM68" s="242"/>
      <c r="CN68" s="242"/>
      <c r="CO68" s="242"/>
      <c r="CP68" s="242"/>
      <c r="CQ68" s="242"/>
      <c r="CR68" s="242"/>
      <c r="CS68" s="243"/>
      <c r="CU68" s="201"/>
      <c r="CV68" s="203"/>
      <c r="CW68" s="203"/>
      <c r="CX68" s="203"/>
      <c r="CY68" s="203"/>
      <c r="CZ68" s="203"/>
      <c r="DA68" s="203"/>
      <c r="DB68" s="203"/>
      <c r="DC68" s="203"/>
      <c r="DD68" s="203"/>
      <c r="DE68" s="203"/>
      <c r="DF68" s="203"/>
      <c r="DG68" s="203"/>
      <c r="DH68" s="203"/>
      <c r="DI68" s="203"/>
      <c r="DJ68" s="203"/>
      <c r="DK68" s="203"/>
      <c r="DL68" s="203"/>
      <c r="DM68" s="203"/>
      <c r="DN68" s="210"/>
      <c r="DO68" s="210"/>
      <c r="DP68" s="210"/>
      <c r="DQ68" s="210"/>
      <c r="DR68" s="210"/>
      <c r="DS68" s="210"/>
      <c r="DT68" s="210"/>
      <c r="DU68" s="210"/>
      <c r="DV68" s="210"/>
      <c r="DW68" s="241"/>
      <c r="DX68" s="241"/>
      <c r="DY68" s="241"/>
      <c r="DZ68" s="241"/>
      <c r="EA68" s="241"/>
      <c r="EB68" s="241"/>
      <c r="EC68" s="241"/>
      <c r="ED68" s="241"/>
      <c r="EE68" s="242"/>
      <c r="EF68" s="203"/>
      <c r="EG68" s="242"/>
      <c r="EH68" s="203"/>
      <c r="EI68" s="203"/>
      <c r="EJ68" s="242"/>
      <c r="EK68" s="203"/>
      <c r="EL68" s="203"/>
      <c r="EM68" s="203"/>
      <c r="EN68" s="203"/>
      <c r="EP68" s="1192"/>
      <c r="EQ68" s="786"/>
      <c r="ER68" s="200"/>
      <c r="ES68" s="201"/>
      <c r="ET68" s="201"/>
      <c r="EU68" s="201"/>
      <c r="EV68" s="201"/>
      <c r="EW68" s="201"/>
      <c r="EX68" s="200"/>
      <c r="EY68" s="201"/>
      <c r="EZ68" s="821"/>
      <c r="FA68" s="207"/>
      <c r="FB68" s="207"/>
      <c r="FC68" s="207"/>
      <c r="FD68" s="207"/>
      <c r="FE68" s="207"/>
      <c r="FF68" s="207"/>
      <c r="FG68" s="207"/>
      <c r="FH68" s="207"/>
      <c r="FI68" s="207"/>
      <c r="FJ68" s="207"/>
      <c r="FK68" s="217"/>
      <c r="FL68" s="217"/>
      <c r="FM68" s="217"/>
      <c r="FN68" s="217"/>
      <c r="FO68" s="217"/>
      <c r="FP68" s="217"/>
      <c r="FR68" s="1178"/>
      <c r="FS68" s="1178"/>
      <c r="FT68" s="1179"/>
      <c r="FU68" s="1178"/>
      <c r="FV68" s="1182"/>
    </row>
    <row r="69" spans="1:178" s="844" customFormat="1" ht="15" customHeight="1" outlineLevel="1">
      <c r="A69" s="1006"/>
      <c r="B69" s="1006"/>
      <c r="C69" s="1007"/>
      <c r="D69" s="235"/>
      <c r="E69" s="776"/>
      <c r="F69" s="268"/>
      <c r="G69" s="199"/>
      <c r="H69" s="200"/>
      <c r="I69" s="201"/>
      <c r="J69" s="203"/>
      <c r="K69" s="882"/>
      <c r="L69" s="882"/>
      <c r="M69" s="203"/>
      <c r="N69" s="867"/>
      <c r="O69" s="867"/>
      <c r="P69" s="867"/>
      <c r="Q69" s="204"/>
      <c r="R69" s="820"/>
      <c r="S69" s="204"/>
      <c r="T69" s="235"/>
      <c r="U69" s="206"/>
      <c r="V69" s="203"/>
      <c r="W69" s="265"/>
      <c r="X69" s="239"/>
      <c r="Y69" s="265"/>
      <c r="Z69" s="239"/>
      <c r="AA69" s="265"/>
      <c r="AB69" s="203"/>
      <c r="AC69" s="207"/>
      <c r="AD69" s="203"/>
      <c r="AE69" s="208"/>
      <c r="AF69" s="203"/>
      <c r="AG69" s="208"/>
      <c r="AH69" s="203"/>
      <c r="AI69" s="208"/>
      <c r="AJ69" s="203"/>
      <c r="AK69" s="203"/>
      <c r="AL69" s="203"/>
      <c r="AM69" s="208"/>
      <c r="AN69" s="203"/>
      <c r="AO69" s="202"/>
      <c r="AP69" s="202"/>
      <c r="AQ69" s="202"/>
      <c r="AR69" s="202"/>
      <c r="AS69" s="202"/>
      <c r="AT69" s="203"/>
      <c r="AU69" s="202"/>
      <c r="AV69" s="202"/>
      <c r="AW69" s="202"/>
      <c r="AX69" s="202"/>
      <c r="AY69" s="202"/>
      <c r="AZ69" s="212"/>
      <c r="BA69" s="203"/>
      <c r="BB69" s="239"/>
      <c r="BC69" s="203"/>
      <c r="BD69" s="203"/>
      <c r="BE69" s="203"/>
      <c r="BF69" s="203"/>
      <c r="BG69" s="203"/>
      <c r="BH69" s="203"/>
      <c r="BI69" s="203"/>
      <c r="BJ69" s="239"/>
      <c r="BK69" s="239"/>
      <c r="BL69" s="203"/>
      <c r="BM69" s="203"/>
      <c r="BN69" s="203"/>
      <c r="BO69" s="203"/>
      <c r="BP69" s="203"/>
      <c r="BQ69" s="203"/>
      <c r="BR69" s="202"/>
      <c r="BS69" s="203"/>
      <c r="BT69" s="203"/>
      <c r="BU69" s="203"/>
      <c r="BV69" s="203"/>
      <c r="BW69" s="203"/>
      <c r="BX69" s="203"/>
      <c r="BY69" s="203"/>
      <c r="BZ69" s="203"/>
      <c r="CA69" s="203"/>
      <c r="CB69" s="241"/>
      <c r="CC69" s="242"/>
      <c r="CD69" s="242"/>
      <c r="CE69" s="242"/>
      <c r="CF69" s="242"/>
      <c r="CG69" s="242"/>
      <c r="CH69" s="242"/>
      <c r="CI69" s="242"/>
      <c r="CJ69" s="242"/>
      <c r="CK69" s="242"/>
      <c r="CL69" s="242"/>
      <c r="CM69" s="242"/>
      <c r="CN69" s="242"/>
      <c r="CO69" s="242"/>
      <c r="CP69" s="242"/>
      <c r="CQ69" s="242"/>
      <c r="CR69" s="242"/>
      <c r="CS69" s="243"/>
      <c r="CU69" s="201"/>
      <c r="CV69" s="203"/>
      <c r="CW69" s="203"/>
      <c r="CX69" s="203"/>
      <c r="CY69" s="203"/>
      <c r="CZ69" s="203"/>
      <c r="DA69" s="203"/>
      <c r="DB69" s="203"/>
      <c r="DC69" s="203"/>
      <c r="DD69" s="203"/>
      <c r="DE69" s="203"/>
      <c r="DF69" s="203"/>
      <c r="DG69" s="203"/>
      <c r="DH69" s="203"/>
      <c r="DI69" s="203"/>
      <c r="DJ69" s="203"/>
      <c r="DK69" s="203"/>
      <c r="DL69" s="203"/>
      <c r="DM69" s="203"/>
      <c r="DN69" s="210"/>
      <c r="DO69" s="210"/>
      <c r="DP69" s="210"/>
      <c r="DQ69" s="210"/>
      <c r="DR69" s="210"/>
      <c r="DS69" s="210"/>
      <c r="DT69" s="210"/>
      <c r="DU69" s="210"/>
      <c r="DV69" s="210"/>
      <c r="DW69" s="241"/>
      <c r="DX69" s="241"/>
      <c r="DY69" s="241"/>
      <c r="DZ69" s="241"/>
      <c r="EA69" s="241"/>
      <c r="EB69" s="241"/>
      <c r="EC69" s="241"/>
      <c r="ED69" s="241"/>
      <c r="EE69" s="242"/>
      <c r="EF69" s="203"/>
      <c r="EG69" s="242"/>
      <c r="EH69" s="203"/>
      <c r="EI69" s="203"/>
      <c r="EJ69" s="242"/>
      <c r="EK69" s="203"/>
      <c r="EL69" s="203"/>
      <c r="EM69" s="203"/>
      <c r="EN69" s="203"/>
      <c r="EP69" s="1193"/>
      <c r="EQ69" s="201"/>
      <c r="ER69" s="201"/>
      <c r="ES69" s="201"/>
      <c r="ET69" s="201"/>
      <c r="EU69" s="201"/>
      <c r="EV69" s="201"/>
      <c r="EW69" s="201"/>
      <c r="EX69" s="200"/>
      <c r="EY69" s="201"/>
      <c r="EZ69" s="821"/>
      <c r="FA69" s="207"/>
      <c r="FB69" s="207"/>
      <c r="FC69" s="207"/>
      <c r="FD69" s="207"/>
      <c r="FE69" s="207"/>
      <c r="FF69" s="207"/>
      <c r="FG69" s="207"/>
      <c r="FH69" s="207"/>
      <c r="FI69" s="207"/>
      <c r="FJ69" s="207"/>
      <c r="FK69" s="217"/>
      <c r="FL69" s="217"/>
      <c r="FM69" s="217"/>
      <c r="FN69" s="217"/>
      <c r="FO69" s="217"/>
      <c r="FP69" s="217"/>
      <c r="FQ69" s="216"/>
      <c r="FR69" s="1178"/>
      <c r="FS69" s="1178"/>
      <c r="FT69" s="1179"/>
      <c r="FU69" s="1178"/>
      <c r="FV69" s="1182"/>
    </row>
    <row r="70" spans="1:178" s="778" customFormat="1" ht="15.75" customHeight="1" outlineLevel="1">
      <c r="A70" s="1006" t="s">
        <v>52</v>
      </c>
      <c r="B70" s="1006" t="s">
        <v>52</v>
      </c>
      <c r="C70" s="1007" t="s">
        <v>52</v>
      </c>
      <c r="D70" s="776"/>
      <c r="E70" s="776">
        <v>301010</v>
      </c>
      <c r="F70" s="776"/>
      <c r="G70" s="723"/>
      <c r="H70" s="717"/>
      <c r="J70" s="864">
        <f>SUM(J68:J69)</f>
        <v>0</v>
      </c>
      <c r="K70" s="864">
        <f t="shared" ref="K70:L70" si="1433">SUM(K68:K69)</f>
        <v>0</v>
      </c>
      <c r="L70" s="864">
        <f t="shared" si="1433"/>
        <v>0</v>
      </c>
      <c r="M70" s="829"/>
      <c r="N70" s="829"/>
      <c r="O70" s="829"/>
      <c r="P70" s="829"/>
      <c r="Q70" s="829"/>
      <c r="R70" s="829"/>
      <c r="S70" s="829"/>
      <c r="T70" s="780"/>
      <c r="U70" s="864">
        <f t="shared" ref="U70:CF70" si="1434">SUM(U68:U69)</f>
        <v>0</v>
      </c>
      <c r="V70" s="864">
        <f t="shared" si="1434"/>
        <v>0</v>
      </c>
      <c r="W70" s="864">
        <f t="shared" si="1434"/>
        <v>0</v>
      </c>
      <c r="X70" s="864">
        <f t="shared" si="1434"/>
        <v>0</v>
      </c>
      <c r="Y70" s="864">
        <f t="shared" si="1434"/>
        <v>0</v>
      </c>
      <c r="Z70" s="864">
        <f t="shared" si="1434"/>
        <v>0</v>
      </c>
      <c r="AA70" s="864">
        <f t="shared" si="1434"/>
        <v>0</v>
      </c>
      <c r="AB70" s="864">
        <f t="shared" si="1434"/>
        <v>0</v>
      </c>
      <c r="AC70" s="864">
        <f t="shared" si="1434"/>
        <v>0</v>
      </c>
      <c r="AD70" s="864">
        <f t="shared" si="1434"/>
        <v>0</v>
      </c>
      <c r="AE70" s="864">
        <f t="shared" si="1434"/>
        <v>0</v>
      </c>
      <c r="AF70" s="864">
        <f t="shared" si="1434"/>
        <v>0</v>
      </c>
      <c r="AG70" s="864">
        <f t="shared" si="1434"/>
        <v>0</v>
      </c>
      <c r="AH70" s="864">
        <f t="shared" si="1434"/>
        <v>0</v>
      </c>
      <c r="AI70" s="864">
        <f t="shared" si="1434"/>
        <v>0</v>
      </c>
      <c r="AJ70" s="864">
        <f t="shared" si="1434"/>
        <v>0</v>
      </c>
      <c r="AK70" s="864">
        <f t="shared" si="1434"/>
        <v>0</v>
      </c>
      <c r="AL70" s="864">
        <f t="shared" si="1434"/>
        <v>0</v>
      </c>
      <c r="AM70" s="864">
        <f t="shared" si="1434"/>
        <v>0</v>
      </c>
      <c r="AN70" s="864">
        <f t="shared" si="1434"/>
        <v>0</v>
      </c>
      <c r="AO70" s="864">
        <f t="shared" si="1434"/>
        <v>0</v>
      </c>
      <c r="AP70" s="864">
        <f t="shared" si="1434"/>
        <v>0</v>
      </c>
      <c r="AQ70" s="864">
        <f t="shared" si="1434"/>
        <v>0</v>
      </c>
      <c r="AR70" s="864">
        <f t="shared" si="1434"/>
        <v>0</v>
      </c>
      <c r="AS70" s="864">
        <f t="shared" si="1434"/>
        <v>0</v>
      </c>
      <c r="AT70" s="864">
        <f t="shared" si="1434"/>
        <v>0</v>
      </c>
      <c r="AU70" s="864">
        <f t="shared" si="1434"/>
        <v>0</v>
      </c>
      <c r="AV70" s="864">
        <f t="shared" si="1434"/>
        <v>0</v>
      </c>
      <c r="AW70" s="864">
        <f t="shared" si="1434"/>
        <v>0</v>
      </c>
      <c r="AX70" s="864">
        <f t="shared" si="1434"/>
        <v>0</v>
      </c>
      <c r="AY70" s="864">
        <f t="shared" si="1434"/>
        <v>0</v>
      </c>
      <c r="AZ70" s="864">
        <f t="shared" si="1434"/>
        <v>0</v>
      </c>
      <c r="BA70" s="864">
        <f t="shared" si="1434"/>
        <v>0</v>
      </c>
      <c r="BB70" s="864">
        <f t="shared" si="1434"/>
        <v>0</v>
      </c>
      <c r="BC70" s="864">
        <f t="shared" si="1434"/>
        <v>0</v>
      </c>
      <c r="BD70" s="864">
        <f t="shared" si="1434"/>
        <v>0</v>
      </c>
      <c r="BE70" s="864">
        <f t="shared" si="1434"/>
        <v>0</v>
      </c>
      <c r="BF70" s="864">
        <f t="shared" si="1434"/>
        <v>0</v>
      </c>
      <c r="BG70" s="864">
        <f t="shared" si="1434"/>
        <v>0</v>
      </c>
      <c r="BH70" s="864">
        <f t="shared" si="1434"/>
        <v>0</v>
      </c>
      <c r="BI70" s="864">
        <f t="shared" si="1434"/>
        <v>0</v>
      </c>
      <c r="BJ70" s="864">
        <f t="shared" si="1434"/>
        <v>0</v>
      </c>
      <c r="BK70" s="864">
        <f t="shared" si="1434"/>
        <v>0</v>
      </c>
      <c r="BL70" s="864">
        <f t="shared" si="1434"/>
        <v>0</v>
      </c>
      <c r="BM70" s="864">
        <f t="shared" si="1434"/>
        <v>0</v>
      </c>
      <c r="BN70" s="864">
        <f t="shared" si="1434"/>
        <v>0</v>
      </c>
      <c r="BO70" s="864">
        <f t="shared" si="1434"/>
        <v>0</v>
      </c>
      <c r="BP70" s="864">
        <f t="shared" si="1434"/>
        <v>0</v>
      </c>
      <c r="BQ70" s="864">
        <f t="shared" si="1434"/>
        <v>0</v>
      </c>
      <c r="BR70" s="864">
        <f t="shared" si="1434"/>
        <v>0</v>
      </c>
      <c r="BS70" s="864">
        <f t="shared" si="1434"/>
        <v>0</v>
      </c>
      <c r="BT70" s="864">
        <f t="shared" si="1434"/>
        <v>0</v>
      </c>
      <c r="BU70" s="864">
        <f t="shared" si="1434"/>
        <v>0</v>
      </c>
      <c r="BV70" s="864">
        <f t="shared" si="1434"/>
        <v>0</v>
      </c>
      <c r="BW70" s="864">
        <f t="shared" si="1434"/>
        <v>0</v>
      </c>
      <c r="BX70" s="864">
        <f t="shared" si="1434"/>
        <v>0</v>
      </c>
      <c r="BY70" s="864">
        <f t="shared" si="1434"/>
        <v>0</v>
      </c>
      <c r="BZ70" s="864">
        <f t="shared" si="1434"/>
        <v>0</v>
      </c>
      <c r="CA70" s="864">
        <f t="shared" si="1434"/>
        <v>0</v>
      </c>
      <c r="CB70" s="864">
        <f t="shared" si="1434"/>
        <v>0</v>
      </c>
      <c r="CC70" s="864">
        <f t="shared" si="1434"/>
        <v>0</v>
      </c>
      <c r="CD70" s="864">
        <f t="shared" si="1434"/>
        <v>0</v>
      </c>
      <c r="CE70" s="864">
        <f t="shared" si="1434"/>
        <v>0</v>
      </c>
      <c r="CF70" s="864">
        <f t="shared" si="1434"/>
        <v>0</v>
      </c>
      <c r="CG70" s="864">
        <f t="shared" ref="CG70:ER70" si="1435">SUM(CG68:CG69)</f>
        <v>0</v>
      </c>
      <c r="CH70" s="864">
        <f t="shared" si="1435"/>
        <v>0</v>
      </c>
      <c r="CI70" s="864">
        <f t="shared" si="1435"/>
        <v>0</v>
      </c>
      <c r="CJ70" s="864">
        <f t="shared" si="1435"/>
        <v>0</v>
      </c>
      <c r="CK70" s="864">
        <f t="shared" si="1435"/>
        <v>0</v>
      </c>
      <c r="CL70" s="864">
        <f t="shared" si="1435"/>
        <v>0</v>
      </c>
      <c r="CM70" s="864">
        <f t="shared" si="1435"/>
        <v>0</v>
      </c>
      <c r="CN70" s="864">
        <f t="shared" si="1435"/>
        <v>0</v>
      </c>
      <c r="CO70" s="864">
        <f t="shared" si="1435"/>
        <v>0</v>
      </c>
      <c r="CP70" s="864">
        <f t="shared" si="1435"/>
        <v>0</v>
      </c>
      <c r="CQ70" s="864">
        <f t="shared" si="1435"/>
        <v>0</v>
      </c>
      <c r="CR70" s="864">
        <f t="shared" si="1435"/>
        <v>0</v>
      </c>
      <c r="CS70" s="864">
        <f t="shared" si="1435"/>
        <v>0</v>
      </c>
      <c r="CT70" s="864">
        <f t="shared" si="1435"/>
        <v>0</v>
      </c>
      <c r="CU70" s="864">
        <f t="shared" si="1435"/>
        <v>0</v>
      </c>
      <c r="CV70" s="864">
        <f t="shared" si="1435"/>
        <v>0</v>
      </c>
      <c r="CW70" s="864">
        <f t="shared" si="1435"/>
        <v>0</v>
      </c>
      <c r="CX70" s="864">
        <f t="shared" si="1435"/>
        <v>0</v>
      </c>
      <c r="CY70" s="864">
        <f t="shared" si="1435"/>
        <v>0</v>
      </c>
      <c r="CZ70" s="864">
        <f t="shared" si="1435"/>
        <v>0</v>
      </c>
      <c r="DA70" s="864">
        <f t="shared" si="1435"/>
        <v>0</v>
      </c>
      <c r="DB70" s="864">
        <f t="shared" si="1435"/>
        <v>0</v>
      </c>
      <c r="DC70" s="864">
        <f t="shared" si="1435"/>
        <v>0</v>
      </c>
      <c r="DD70" s="864">
        <f t="shared" si="1435"/>
        <v>0</v>
      </c>
      <c r="DE70" s="864">
        <f t="shared" si="1435"/>
        <v>0</v>
      </c>
      <c r="DF70" s="864">
        <f t="shared" si="1435"/>
        <v>0</v>
      </c>
      <c r="DG70" s="864">
        <f t="shared" si="1435"/>
        <v>0</v>
      </c>
      <c r="DH70" s="864">
        <f t="shared" si="1435"/>
        <v>0</v>
      </c>
      <c r="DI70" s="864">
        <f t="shared" si="1435"/>
        <v>0</v>
      </c>
      <c r="DJ70" s="864">
        <f t="shared" si="1435"/>
        <v>0</v>
      </c>
      <c r="DK70" s="864">
        <f t="shared" si="1435"/>
        <v>0</v>
      </c>
      <c r="DL70" s="864">
        <f t="shared" si="1435"/>
        <v>0</v>
      </c>
      <c r="DM70" s="864">
        <f t="shared" si="1435"/>
        <v>0</v>
      </c>
      <c r="DN70" s="864">
        <f t="shared" si="1435"/>
        <v>0</v>
      </c>
      <c r="DO70" s="864">
        <f t="shared" si="1435"/>
        <v>0</v>
      </c>
      <c r="DP70" s="864">
        <f t="shared" si="1435"/>
        <v>0</v>
      </c>
      <c r="DQ70" s="864">
        <f t="shared" si="1435"/>
        <v>0</v>
      </c>
      <c r="DR70" s="864">
        <f t="shared" si="1435"/>
        <v>0</v>
      </c>
      <c r="DS70" s="864">
        <f t="shared" si="1435"/>
        <v>0</v>
      </c>
      <c r="DT70" s="864">
        <f t="shared" si="1435"/>
        <v>0</v>
      </c>
      <c r="DU70" s="864">
        <f t="shared" si="1435"/>
        <v>0</v>
      </c>
      <c r="DV70" s="864">
        <f t="shared" si="1435"/>
        <v>0</v>
      </c>
      <c r="DW70" s="864">
        <f t="shared" si="1435"/>
        <v>0</v>
      </c>
      <c r="DX70" s="864">
        <f t="shared" si="1435"/>
        <v>0</v>
      </c>
      <c r="DY70" s="864">
        <f t="shared" si="1435"/>
        <v>0</v>
      </c>
      <c r="DZ70" s="864">
        <f t="shared" si="1435"/>
        <v>0</v>
      </c>
      <c r="EA70" s="864">
        <f t="shared" si="1435"/>
        <v>0</v>
      </c>
      <c r="EB70" s="864">
        <f t="shared" si="1435"/>
        <v>0</v>
      </c>
      <c r="EC70" s="864">
        <f t="shared" si="1435"/>
        <v>0</v>
      </c>
      <c r="ED70" s="864">
        <f t="shared" si="1435"/>
        <v>0</v>
      </c>
      <c r="EE70" s="864">
        <f t="shared" si="1435"/>
        <v>0</v>
      </c>
      <c r="EF70" s="864">
        <f t="shared" si="1435"/>
        <v>0</v>
      </c>
      <c r="EG70" s="864">
        <f t="shared" si="1435"/>
        <v>0</v>
      </c>
      <c r="EH70" s="864">
        <f t="shared" si="1435"/>
        <v>0</v>
      </c>
      <c r="EI70" s="864">
        <f t="shared" si="1435"/>
        <v>0</v>
      </c>
      <c r="EJ70" s="864">
        <f t="shared" si="1435"/>
        <v>0</v>
      </c>
      <c r="EK70" s="864">
        <f t="shared" si="1435"/>
        <v>0</v>
      </c>
      <c r="EL70" s="864">
        <f t="shared" si="1435"/>
        <v>0</v>
      </c>
      <c r="EM70" s="864">
        <f t="shared" si="1435"/>
        <v>0</v>
      </c>
      <c r="EN70" s="864">
        <f t="shared" si="1435"/>
        <v>0</v>
      </c>
      <c r="EO70" s="864"/>
      <c r="EP70" s="864">
        <f t="shared" si="1435"/>
        <v>0</v>
      </c>
      <c r="EQ70" s="864">
        <f t="shared" si="1435"/>
        <v>0</v>
      </c>
      <c r="ER70" s="864">
        <f t="shared" si="1435"/>
        <v>0</v>
      </c>
      <c r="ES70" s="864">
        <f t="shared" ref="ES70:FP70" si="1436">SUM(ES68:ES69)</f>
        <v>0</v>
      </c>
      <c r="ET70" s="864">
        <f t="shared" si="1436"/>
        <v>0</v>
      </c>
      <c r="EU70" s="864">
        <f t="shared" si="1436"/>
        <v>0</v>
      </c>
      <c r="EV70" s="864">
        <f t="shared" si="1436"/>
        <v>0</v>
      </c>
      <c r="EW70" s="864">
        <f t="shared" si="1436"/>
        <v>0</v>
      </c>
      <c r="EX70" s="864">
        <f t="shared" si="1436"/>
        <v>0</v>
      </c>
      <c r="EY70" s="864">
        <f t="shared" si="1436"/>
        <v>0</v>
      </c>
      <c r="EZ70" s="864"/>
      <c r="FA70" s="864">
        <f t="shared" si="1436"/>
        <v>0</v>
      </c>
      <c r="FB70" s="864">
        <f t="shared" si="1436"/>
        <v>0</v>
      </c>
      <c r="FC70" s="864">
        <f t="shared" si="1436"/>
        <v>0</v>
      </c>
      <c r="FD70" s="864">
        <f t="shared" si="1436"/>
        <v>0</v>
      </c>
      <c r="FE70" s="864">
        <f t="shared" si="1436"/>
        <v>0</v>
      </c>
      <c r="FF70" s="864">
        <f t="shared" si="1436"/>
        <v>0</v>
      </c>
      <c r="FG70" s="864">
        <f t="shared" si="1436"/>
        <v>0</v>
      </c>
      <c r="FH70" s="864">
        <f t="shared" si="1436"/>
        <v>0</v>
      </c>
      <c r="FI70" s="864">
        <f t="shared" si="1436"/>
        <v>0</v>
      </c>
      <c r="FJ70" s="864">
        <f t="shared" si="1436"/>
        <v>0</v>
      </c>
      <c r="FK70" s="864">
        <f t="shared" si="1436"/>
        <v>0</v>
      </c>
      <c r="FL70" s="864">
        <f t="shared" si="1436"/>
        <v>0</v>
      </c>
      <c r="FM70" s="864">
        <f t="shared" si="1436"/>
        <v>0</v>
      </c>
      <c r="FN70" s="864">
        <f t="shared" si="1436"/>
        <v>0</v>
      </c>
      <c r="FO70" s="864">
        <f t="shared" si="1436"/>
        <v>0</v>
      </c>
      <c r="FP70" s="864">
        <f t="shared" si="1436"/>
        <v>0</v>
      </c>
    </row>
    <row r="71" spans="1:178" s="216" customFormat="1" ht="15" customHeight="1" outlineLevel="1">
      <c r="A71" s="1006" t="str">
        <f t="shared" si="253"/>
        <v>MAYO  2026 2da QUINCENA</v>
      </c>
      <c r="B71" s="1006">
        <f t="shared" si="90"/>
        <v>2026</v>
      </c>
      <c r="C71" s="1007" t="str">
        <f t="shared" si="254"/>
        <v>MAYO  2026 2da QUINCENA2026</v>
      </c>
      <c r="D71" s="235"/>
      <c r="E71" s="235">
        <v>301020</v>
      </c>
      <c r="F71" s="268"/>
      <c r="G71" s="976" t="s">
        <v>641</v>
      </c>
      <c r="H71" s="235"/>
      <c r="J71" s="802"/>
      <c r="K71" s="802"/>
      <c r="L71" s="802"/>
      <c r="M71" s="802"/>
      <c r="N71" s="871"/>
      <c r="O71" s="958"/>
      <c r="P71" s="958"/>
      <c r="Q71" s="959"/>
      <c r="R71" s="959"/>
      <c r="S71" s="958"/>
      <c r="T71" s="701"/>
      <c r="U71" s="960"/>
      <c r="V71" s="802"/>
      <c r="W71" s="961"/>
      <c r="X71" s="802"/>
      <c r="Y71" s="961"/>
      <c r="Z71" s="802"/>
      <c r="AA71" s="961"/>
      <c r="AB71" s="881"/>
      <c r="AC71" s="961"/>
      <c r="AD71" s="802"/>
      <c r="AE71" s="962"/>
      <c r="AF71" s="802"/>
      <c r="AG71" s="973"/>
      <c r="AH71" s="802"/>
      <c r="AI71" s="974"/>
      <c r="AJ71" s="802"/>
      <c r="AK71" s="824"/>
      <c r="AL71" s="824"/>
      <c r="AM71" s="974"/>
      <c r="AN71" s="824"/>
      <c r="AO71" s="828"/>
      <c r="AP71" s="828"/>
      <c r="AQ71" s="828"/>
      <c r="AR71" s="828"/>
      <c r="AS71" s="828"/>
      <c r="AT71" s="828"/>
      <c r="AU71" s="828"/>
      <c r="AV71" s="828"/>
      <c r="AW71" s="828"/>
      <c r="AX71" s="828"/>
      <c r="AY71" s="861"/>
      <c r="AZ71" s="967"/>
      <c r="BA71" s="802"/>
      <c r="BB71" s="881"/>
      <c r="BC71" s="802"/>
      <c r="BD71" s="802"/>
      <c r="BE71" s="802"/>
      <c r="BF71" s="802"/>
      <c r="BG71" s="802"/>
      <c r="BH71" s="802"/>
      <c r="BI71" s="802"/>
      <c r="BJ71" s="802"/>
      <c r="BK71" s="802"/>
      <c r="BL71" s="802"/>
      <c r="BM71" s="802"/>
      <c r="BN71" s="802"/>
      <c r="BO71" s="802"/>
      <c r="BP71" s="802"/>
      <c r="BQ71" s="802"/>
      <c r="BR71" s="861"/>
      <c r="BS71" s="802"/>
      <c r="BT71" s="802"/>
      <c r="BU71" s="802"/>
      <c r="BV71" s="802"/>
      <c r="BW71" s="802"/>
      <c r="BX71" s="802"/>
      <c r="BY71" s="802"/>
      <c r="BZ71" s="802"/>
      <c r="CA71" s="802"/>
      <c r="CB71" s="802"/>
      <c r="CC71" s="802"/>
      <c r="CD71" s="802"/>
      <c r="CE71" s="802"/>
      <c r="CF71" s="802"/>
      <c r="CG71" s="802"/>
      <c r="CH71" s="802"/>
      <c r="CI71" s="802"/>
      <c r="CJ71" s="802"/>
      <c r="CK71" s="824"/>
      <c r="CL71" s="824"/>
      <c r="CM71" s="824"/>
      <c r="CN71" s="824"/>
      <c r="CO71" s="824"/>
      <c r="CP71" s="824"/>
      <c r="CQ71" s="824"/>
      <c r="CR71" s="824"/>
      <c r="CS71" s="824"/>
      <c r="CV71" s="802"/>
      <c r="CW71" s="802"/>
      <c r="CX71" s="802"/>
      <c r="CY71" s="802"/>
      <c r="CZ71" s="802"/>
      <c r="DA71" s="802"/>
      <c r="DB71" s="802"/>
      <c r="DC71" s="802"/>
      <c r="DD71" s="802"/>
      <c r="DE71" s="802"/>
      <c r="DF71" s="802"/>
      <c r="DG71" s="802"/>
      <c r="DH71" s="802"/>
      <c r="DI71" s="802"/>
      <c r="DJ71" s="802"/>
      <c r="DK71" s="802"/>
      <c r="DL71" s="802"/>
      <c r="DM71" s="802"/>
      <c r="DN71" s="824"/>
      <c r="DO71" s="824"/>
      <c r="DP71" s="824"/>
      <c r="DQ71" s="824"/>
      <c r="DR71" s="824"/>
      <c r="DS71" s="824"/>
      <c r="DT71" s="824"/>
      <c r="DU71" s="824"/>
      <c r="DV71" s="824"/>
      <c r="DW71" s="241" t="s">
        <v>52</v>
      </c>
      <c r="DX71" s="242" t="s">
        <v>52</v>
      </c>
      <c r="DY71" s="242" t="s">
        <v>52</v>
      </c>
      <c r="DZ71" s="242" t="s">
        <v>52</v>
      </c>
      <c r="EA71" s="242" t="s">
        <v>52</v>
      </c>
      <c r="EB71" s="242" t="s">
        <v>52</v>
      </c>
      <c r="EC71" s="242" t="s">
        <v>52</v>
      </c>
      <c r="ED71" s="242" t="s">
        <v>52</v>
      </c>
      <c r="EE71" s="242" t="s">
        <v>52</v>
      </c>
      <c r="EF71" s="242">
        <f t="shared" ref="EF71:EF74" si="1437">IF($CU71="CLEARTEC",$BA71+$BJ71+$BS71+$CB71+$CK71,0)</f>
        <v>0</v>
      </c>
      <c r="EG71" s="824"/>
      <c r="EH71" s="824"/>
      <c r="EI71" s="824"/>
      <c r="EJ71" s="824"/>
      <c r="EK71" s="824"/>
      <c r="EL71" s="824"/>
      <c r="EM71" s="824"/>
      <c r="EN71" s="824"/>
      <c r="EX71" s="821"/>
      <c r="EY71" s="961"/>
      <c r="FA71" s="961"/>
      <c r="FB71" s="961"/>
      <c r="FC71" s="961"/>
      <c r="FD71" s="961"/>
      <c r="FE71" s="961"/>
      <c r="FF71" s="961"/>
      <c r="FG71" s="961"/>
      <c r="FH71" s="961"/>
      <c r="FI71" s="961"/>
      <c r="FJ71" s="961"/>
      <c r="FK71" s="969"/>
      <c r="FL71" s="969"/>
      <c r="FM71" s="969"/>
      <c r="FN71" s="969"/>
      <c r="FO71" s="969"/>
      <c r="FP71" s="975"/>
    </row>
    <row r="72" spans="1:178" s="235" customFormat="1" ht="15" customHeight="1" outlineLevel="1">
      <c r="A72" s="1006"/>
      <c r="B72" s="1006"/>
      <c r="C72" s="1007"/>
      <c r="E72" s="235">
        <v>301020</v>
      </c>
      <c r="F72" s="806"/>
      <c r="G72" s="199"/>
      <c r="H72" s="200"/>
      <c r="I72" s="200"/>
      <c r="J72" s="1015"/>
      <c r="K72" s="1016"/>
      <c r="L72" s="837"/>
      <c r="M72" s="203"/>
      <c r="N72" s="838"/>
      <c r="O72" s="270"/>
      <c r="P72" s="270"/>
      <c r="Q72" s="204"/>
      <c r="R72" s="204"/>
      <c r="S72" s="270"/>
      <c r="T72" s="701"/>
      <c r="U72" s="238"/>
      <c r="V72" s="239"/>
      <c r="W72" s="265"/>
      <c r="X72" s="239"/>
      <c r="Y72" s="265"/>
      <c r="Z72" s="239"/>
      <c r="AA72" s="265"/>
      <c r="AB72" s="239"/>
      <c r="AC72" s="265"/>
      <c r="AD72" s="239"/>
      <c r="AE72" s="839"/>
      <c r="AF72" s="239"/>
      <c r="AG72" s="208"/>
      <c r="AH72" s="203"/>
      <c r="AI72" s="208"/>
      <c r="AJ72" s="203"/>
      <c r="AK72" s="203"/>
      <c r="AL72" s="203"/>
      <c r="AM72" s="208"/>
      <c r="AN72" s="203"/>
      <c r="AO72" s="202"/>
      <c r="AP72" s="202"/>
      <c r="AQ72" s="202"/>
      <c r="AR72" s="202"/>
      <c r="AS72" s="202"/>
      <c r="AT72" s="202"/>
      <c r="AU72" s="202"/>
      <c r="AV72" s="202"/>
      <c r="AW72" s="202"/>
      <c r="AX72" s="202"/>
      <c r="AY72" s="202"/>
      <c r="AZ72" s="240"/>
      <c r="BA72" s="239"/>
      <c r="BB72" s="239"/>
      <c r="BC72" s="239"/>
      <c r="BD72" s="239"/>
      <c r="BE72" s="239"/>
      <c r="BF72" s="239"/>
      <c r="BG72" s="239"/>
      <c r="BH72" s="239"/>
      <c r="BI72" s="239"/>
      <c r="BJ72" s="239"/>
      <c r="BK72" s="239"/>
      <c r="BL72" s="239"/>
      <c r="BM72" s="239"/>
      <c r="BN72" s="239"/>
      <c r="BO72" s="239"/>
      <c r="BP72" s="239"/>
      <c r="BQ72" s="239"/>
      <c r="BR72" s="837"/>
      <c r="BS72" s="239"/>
      <c r="BT72" s="239"/>
      <c r="BU72" s="239"/>
      <c r="BV72" s="239"/>
      <c r="BW72" s="239"/>
      <c r="BX72" s="239"/>
      <c r="BY72" s="239"/>
      <c r="BZ72" s="239"/>
      <c r="CA72" s="239"/>
      <c r="CB72" s="241"/>
      <c r="CC72" s="242"/>
      <c r="CD72" s="242"/>
      <c r="CE72" s="242"/>
      <c r="CF72" s="242"/>
      <c r="CG72" s="242"/>
      <c r="CH72" s="242"/>
      <c r="CI72" s="242"/>
      <c r="CJ72" s="242"/>
      <c r="CK72" s="242"/>
      <c r="CL72" s="242"/>
      <c r="CM72" s="242"/>
      <c r="CN72" s="242"/>
      <c r="CO72" s="242"/>
      <c r="CP72" s="242"/>
      <c r="CQ72" s="242"/>
      <c r="CR72" s="242"/>
      <c r="CS72" s="243"/>
      <c r="CU72" s="201"/>
      <c r="CV72" s="203"/>
      <c r="CW72" s="203"/>
      <c r="CX72" s="203"/>
      <c r="CY72" s="203"/>
      <c r="CZ72" s="203"/>
      <c r="DA72" s="203"/>
      <c r="DB72" s="203"/>
      <c r="DC72" s="203"/>
      <c r="DD72" s="203"/>
      <c r="DE72" s="203"/>
      <c r="DF72" s="203"/>
      <c r="DG72" s="239"/>
      <c r="DH72" s="239"/>
      <c r="DI72" s="239"/>
      <c r="DJ72" s="203"/>
      <c r="DK72" s="203"/>
      <c r="DL72" s="203"/>
      <c r="DM72" s="203"/>
      <c r="DN72" s="210"/>
      <c r="DO72" s="210"/>
      <c r="DP72" s="210"/>
      <c r="DQ72" s="210"/>
      <c r="DR72" s="210"/>
      <c r="DS72" s="210"/>
      <c r="DT72" s="210"/>
      <c r="DU72" s="210"/>
      <c r="DV72" s="210"/>
      <c r="DW72" s="241"/>
      <c r="DX72" s="241"/>
      <c r="DY72" s="241"/>
      <c r="DZ72" s="241"/>
      <c r="EA72" s="241"/>
      <c r="EB72" s="241"/>
      <c r="EC72" s="241"/>
      <c r="ED72" s="241"/>
      <c r="EE72" s="242"/>
      <c r="EF72" s="203">
        <v>0</v>
      </c>
      <c r="EG72" s="242">
        <f t="shared" ref="EG72" si="1438">IF($CU72="ECONACIONAL",$BB72+$BK72+$BT72+$CC72+$CL72,0)</f>
        <v>0</v>
      </c>
      <c r="EH72" s="203">
        <v>0</v>
      </c>
      <c r="EI72" s="203">
        <v>0</v>
      </c>
      <c r="EJ72" s="242">
        <f t="shared" ref="EJ72" si="1439">IF($CU72="CLEARTEC",$BE72+$BN72+$BW72+$CF72+$CO72,0)</f>
        <v>0</v>
      </c>
      <c r="EK72" s="203">
        <v>0</v>
      </c>
      <c r="EL72" s="203">
        <v>0</v>
      </c>
      <c r="EM72" s="203">
        <v>0</v>
      </c>
      <c r="EN72" s="203">
        <f t="shared" ref="EN72" si="1440">SUM(EF72:EM72)-EH72-EJ72</f>
        <v>0</v>
      </c>
      <c r="EP72" s="200"/>
      <c r="EQ72" s="200"/>
      <c r="ER72" s="200"/>
      <c r="ES72" s="201"/>
      <c r="ET72" s="200"/>
      <c r="EU72" s="201"/>
      <c r="EV72" s="201"/>
      <c r="EW72" s="201"/>
      <c r="EX72" s="201"/>
      <c r="EY72" s="201">
        <f t="shared" ref="EY72" si="1441">+ET72+EU72+EV72</f>
        <v>0</v>
      </c>
      <c r="FA72" s="265"/>
      <c r="FB72" s="265"/>
      <c r="FC72" s="265"/>
      <c r="FD72" s="265"/>
      <c r="FE72" s="265"/>
      <c r="FF72" s="265"/>
      <c r="FG72" s="265"/>
      <c r="FH72" s="265"/>
      <c r="FI72" s="265"/>
      <c r="FJ72" s="265"/>
      <c r="FK72" s="217"/>
      <c r="FL72" s="217"/>
      <c r="FM72" s="217"/>
      <c r="FN72" s="217"/>
      <c r="FO72" s="217"/>
      <c r="FP72" s="217"/>
      <c r="FR72" s="1178">
        <f>(((J72/30/8)*1.5)*(U72+Y72+AC72))-(BD72+BM72+BV72)</f>
        <v>0</v>
      </c>
      <c r="FS72" s="1178">
        <f t="shared" ref="FS72" si="1442">(((J72/30/8)*2)*(W72+AA72+AE72))-(BF72+BO72+BX72)</f>
        <v>0</v>
      </c>
      <c r="FT72" s="1179">
        <f>(SUM(BA72:CJ72))-(SUM(EF72:EN72))</f>
        <v>0</v>
      </c>
      <c r="FU72" s="1178">
        <f>(J72/30*M72)-(EF72)</f>
        <v>0</v>
      </c>
      <c r="FV72" s="1182">
        <f>(SUM(EP72:EY72))-((SUM(FA72:FJ72))*$FV$5)</f>
        <v>0</v>
      </c>
    </row>
    <row r="73" spans="1:178" s="216" customFormat="1" ht="15" customHeight="1" outlineLevel="1">
      <c r="A73" s="1006" t="str">
        <f t="shared" si="253"/>
        <v>MAYO  2026 2da QUINCENA</v>
      </c>
      <c r="B73" s="1006">
        <f t="shared" si="90"/>
        <v>2026</v>
      </c>
      <c r="C73" s="1007" t="str">
        <f t="shared" si="254"/>
        <v>MAYO  2026 2da QUINCENA2026</v>
      </c>
      <c r="D73" s="235"/>
      <c r="E73" s="235">
        <v>301020</v>
      </c>
      <c r="F73" s="268"/>
      <c r="G73" s="956"/>
      <c r="H73" s="235" t="s">
        <v>687</v>
      </c>
      <c r="J73" s="869">
        <f>SUM(J72:J72)</f>
        <v>0</v>
      </c>
      <c r="K73" s="869">
        <f>SUM(K72:K72)</f>
        <v>0</v>
      </c>
      <c r="L73" s="869">
        <f>SUM(L72:L72)</f>
        <v>0</v>
      </c>
      <c r="M73" s="802"/>
      <c r="N73" s="871"/>
      <c r="O73" s="958"/>
      <c r="P73" s="958"/>
      <c r="Q73" s="959"/>
      <c r="R73" s="959"/>
      <c r="S73" s="958"/>
      <c r="T73" s="701"/>
      <c r="U73" s="869">
        <f t="shared" ref="U73:CF73" si="1443">SUM(U72:U72)</f>
        <v>0</v>
      </c>
      <c r="V73" s="869">
        <f t="shared" si="1443"/>
        <v>0</v>
      </c>
      <c r="W73" s="869">
        <f t="shared" si="1443"/>
        <v>0</v>
      </c>
      <c r="X73" s="869">
        <f t="shared" si="1443"/>
        <v>0</v>
      </c>
      <c r="Y73" s="869">
        <f t="shared" si="1443"/>
        <v>0</v>
      </c>
      <c r="Z73" s="869">
        <f t="shared" si="1443"/>
        <v>0</v>
      </c>
      <c r="AA73" s="869">
        <f t="shared" si="1443"/>
        <v>0</v>
      </c>
      <c r="AB73" s="869">
        <f t="shared" si="1443"/>
        <v>0</v>
      </c>
      <c r="AC73" s="869">
        <f t="shared" si="1443"/>
        <v>0</v>
      </c>
      <c r="AD73" s="869">
        <f t="shared" si="1443"/>
        <v>0</v>
      </c>
      <c r="AE73" s="869">
        <f t="shared" si="1443"/>
        <v>0</v>
      </c>
      <c r="AF73" s="869">
        <f t="shared" si="1443"/>
        <v>0</v>
      </c>
      <c r="AG73" s="869">
        <f t="shared" si="1443"/>
        <v>0</v>
      </c>
      <c r="AH73" s="869">
        <f t="shared" si="1443"/>
        <v>0</v>
      </c>
      <c r="AI73" s="869">
        <f t="shared" si="1443"/>
        <v>0</v>
      </c>
      <c r="AJ73" s="869">
        <f t="shared" si="1443"/>
        <v>0</v>
      </c>
      <c r="AK73" s="869">
        <f t="shared" si="1443"/>
        <v>0</v>
      </c>
      <c r="AL73" s="869">
        <f t="shared" si="1443"/>
        <v>0</v>
      </c>
      <c r="AM73" s="869">
        <f t="shared" si="1443"/>
        <v>0</v>
      </c>
      <c r="AN73" s="869">
        <f t="shared" si="1443"/>
        <v>0</v>
      </c>
      <c r="AO73" s="869">
        <f t="shared" si="1443"/>
        <v>0</v>
      </c>
      <c r="AP73" s="869">
        <f t="shared" si="1443"/>
        <v>0</v>
      </c>
      <c r="AQ73" s="869">
        <f t="shared" si="1443"/>
        <v>0</v>
      </c>
      <c r="AR73" s="869">
        <f t="shared" si="1443"/>
        <v>0</v>
      </c>
      <c r="AS73" s="869">
        <f t="shared" si="1443"/>
        <v>0</v>
      </c>
      <c r="AT73" s="869">
        <f t="shared" si="1443"/>
        <v>0</v>
      </c>
      <c r="AU73" s="869">
        <f t="shared" si="1443"/>
        <v>0</v>
      </c>
      <c r="AV73" s="869">
        <f t="shared" si="1443"/>
        <v>0</v>
      </c>
      <c r="AW73" s="869">
        <f t="shared" si="1443"/>
        <v>0</v>
      </c>
      <c r="AX73" s="869">
        <f t="shared" si="1443"/>
        <v>0</v>
      </c>
      <c r="AY73" s="869">
        <f t="shared" si="1443"/>
        <v>0</v>
      </c>
      <c r="AZ73" s="869">
        <f t="shared" si="1443"/>
        <v>0</v>
      </c>
      <c r="BA73" s="869">
        <f t="shared" si="1443"/>
        <v>0</v>
      </c>
      <c r="BB73" s="869">
        <f t="shared" si="1443"/>
        <v>0</v>
      </c>
      <c r="BC73" s="869">
        <f t="shared" si="1443"/>
        <v>0</v>
      </c>
      <c r="BD73" s="869">
        <f t="shared" si="1443"/>
        <v>0</v>
      </c>
      <c r="BE73" s="869">
        <f t="shared" si="1443"/>
        <v>0</v>
      </c>
      <c r="BF73" s="869">
        <f t="shared" si="1443"/>
        <v>0</v>
      </c>
      <c r="BG73" s="869">
        <f t="shared" si="1443"/>
        <v>0</v>
      </c>
      <c r="BH73" s="869">
        <f t="shared" si="1443"/>
        <v>0</v>
      </c>
      <c r="BI73" s="869">
        <f t="shared" si="1443"/>
        <v>0</v>
      </c>
      <c r="BJ73" s="869">
        <f t="shared" si="1443"/>
        <v>0</v>
      </c>
      <c r="BK73" s="869">
        <f t="shared" si="1443"/>
        <v>0</v>
      </c>
      <c r="BL73" s="869">
        <f t="shared" si="1443"/>
        <v>0</v>
      </c>
      <c r="BM73" s="869">
        <f t="shared" si="1443"/>
        <v>0</v>
      </c>
      <c r="BN73" s="869">
        <f t="shared" si="1443"/>
        <v>0</v>
      </c>
      <c r="BO73" s="869">
        <f t="shared" si="1443"/>
        <v>0</v>
      </c>
      <c r="BP73" s="869">
        <f t="shared" si="1443"/>
        <v>0</v>
      </c>
      <c r="BQ73" s="869">
        <f t="shared" si="1443"/>
        <v>0</v>
      </c>
      <c r="BR73" s="869">
        <f t="shared" si="1443"/>
        <v>0</v>
      </c>
      <c r="BS73" s="869">
        <f t="shared" si="1443"/>
        <v>0</v>
      </c>
      <c r="BT73" s="869">
        <f t="shared" si="1443"/>
        <v>0</v>
      </c>
      <c r="BU73" s="869">
        <f t="shared" si="1443"/>
        <v>0</v>
      </c>
      <c r="BV73" s="869">
        <f t="shared" si="1443"/>
        <v>0</v>
      </c>
      <c r="BW73" s="869">
        <f t="shared" si="1443"/>
        <v>0</v>
      </c>
      <c r="BX73" s="869">
        <f t="shared" si="1443"/>
        <v>0</v>
      </c>
      <c r="BY73" s="869">
        <f t="shared" si="1443"/>
        <v>0</v>
      </c>
      <c r="BZ73" s="869">
        <f t="shared" si="1443"/>
        <v>0</v>
      </c>
      <c r="CA73" s="869">
        <f t="shared" si="1443"/>
        <v>0</v>
      </c>
      <c r="CB73" s="869">
        <f t="shared" si="1443"/>
        <v>0</v>
      </c>
      <c r="CC73" s="869">
        <f t="shared" si="1443"/>
        <v>0</v>
      </c>
      <c r="CD73" s="869">
        <f t="shared" si="1443"/>
        <v>0</v>
      </c>
      <c r="CE73" s="869">
        <f t="shared" si="1443"/>
        <v>0</v>
      </c>
      <c r="CF73" s="869">
        <f t="shared" si="1443"/>
        <v>0</v>
      </c>
      <c r="CG73" s="869">
        <f t="shared" ref="CG73:ER73" si="1444">SUM(CG72:CG72)</f>
        <v>0</v>
      </c>
      <c r="CH73" s="869">
        <f t="shared" si="1444"/>
        <v>0</v>
      </c>
      <c r="CI73" s="869">
        <f t="shared" si="1444"/>
        <v>0</v>
      </c>
      <c r="CJ73" s="869">
        <f t="shared" si="1444"/>
        <v>0</v>
      </c>
      <c r="CK73" s="869">
        <f t="shared" si="1444"/>
        <v>0</v>
      </c>
      <c r="CL73" s="869">
        <f t="shared" si="1444"/>
        <v>0</v>
      </c>
      <c r="CM73" s="869">
        <f t="shared" si="1444"/>
        <v>0</v>
      </c>
      <c r="CN73" s="869">
        <f t="shared" si="1444"/>
        <v>0</v>
      </c>
      <c r="CO73" s="869">
        <f t="shared" si="1444"/>
        <v>0</v>
      </c>
      <c r="CP73" s="869">
        <f t="shared" si="1444"/>
        <v>0</v>
      </c>
      <c r="CQ73" s="869">
        <f t="shared" si="1444"/>
        <v>0</v>
      </c>
      <c r="CR73" s="869">
        <f t="shared" si="1444"/>
        <v>0</v>
      </c>
      <c r="CS73" s="869">
        <f t="shared" si="1444"/>
        <v>0</v>
      </c>
      <c r="CT73" s="869">
        <f t="shared" si="1444"/>
        <v>0</v>
      </c>
      <c r="CU73" s="869">
        <f t="shared" si="1444"/>
        <v>0</v>
      </c>
      <c r="CV73" s="869">
        <f t="shared" si="1444"/>
        <v>0</v>
      </c>
      <c r="CW73" s="869">
        <f t="shared" si="1444"/>
        <v>0</v>
      </c>
      <c r="CX73" s="869">
        <f t="shared" si="1444"/>
        <v>0</v>
      </c>
      <c r="CY73" s="869">
        <f t="shared" si="1444"/>
        <v>0</v>
      </c>
      <c r="CZ73" s="869">
        <f t="shared" si="1444"/>
        <v>0</v>
      </c>
      <c r="DA73" s="869">
        <f t="shared" si="1444"/>
        <v>0</v>
      </c>
      <c r="DB73" s="869">
        <f t="shared" si="1444"/>
        <v>0</v>
      </c>
      <c r="DC73" s="869">
        <f t="shared" si="1444"/>
        <v>0</v>
      </c>
      <c r="DD73" s="869">
        <f t="shared" si="1444"/>
        <v>0</v>
      </c>
      <c r="DE73" s="869">
        <f t="shared" si="1444"/>
        <v>0</v>
      </c>
      <c r="DF73" s="869">
        <f t="shared" si="1444"/>
        <v>0</v>
      </c>
      <c r="DG73" s="869">
        <f t="shared" si="1444"/>
        <v>0</v>
      </c>
      <c r="DH73" s="869">
        <f t="shared" si="1444"/>
        <v>0</v>
      </c>
      <c r="DI73" s="869">
        <f t="shared" si="1444"/>
        <v>0</v>
      </c>
      <c r="DJ73" s="869">
        <f t="shared" si="1444"/>
        <v>0</v>
      </c>
      <c r="DK73" s="869">
        <f t="shared" si="1444"/>
        <v>0</v>
      </c>
      <c r="DL73" s="869">
        <f t="shared" si="1444"/>
        <v>0</v>
      </c>
      <c r="DM73" s="869">
        <f t="shared" si="1444"/>
        <v>0</v>
      </c>
      <c r="DN73" s="869">
        <f t="shared" si="1444"/>
        <v>0</v>
      </c>
      <c r="DO73" s="869">
        <f t="shared" si="1444"/>
        <v>0</v>
      </c>
      <c r="DP73" s="869">
        <f t="shared" si="1444"/>
        <v>0</v>
      </c>
      <c r="DQ73" s="869">
        <f t="shared" si="1444"/>
        <v>0</v>
      </c>
      <c r="DR73" s="869">
        <f t="shared" si="1444"/>
        <v>0</v>
      </c>
      <c r="DS73" s="869">
        <f t="shared" si="1444"/>
        <v>0</v>
      </c>
      <c r="DT73" s="869">
        <f t="shared" si="1444"/>
        <v>0</v>
      </c>
      <c r="DU73" s="869">
        <f t="shared" si="1444"/>
        <v>0</v>
      </c>
      <c r="DV73" s="869">
        <f t="shared" si="1444"/>
        <v>0</v>
      </c>
      <c r="DW73" s="869">
        <f t="shared" si="1444"/>
        <v>0</v>
      </c>
      <c r="DX73" s="869">
        <f t="shared" si="1444"/>
        <v>0</v>
      </c>
      <c r="DY73" s="869">
        <f t="shared" si="1444"/>
        <v>0</v>
      </c>
      <c r="DZ73" s="869">
        <f t="shared" si="1444"/>
        <v>0</v>
      </c>
      <c r="EA73" s="869">
        <f t="shared" si="1444"/>
        <v>0</v>
      </c>
      <c r="EB73" s="869">
        <f t="shared" si="1444"/>
        <v>0</v>
      </c>
      <c r="EC73" s="869">
        <f t="shared" si="1444"/>
        <v>0</v>
      </c>
      <c r="ED73" s="869">
        <f t="shared" si="1444"/>
        <v>0</v>
      </c>
      <c r="EE73" s="869">
        <f t="shared" si="1444"/>
        <v>0</v>
      </c>
      <c r="EF73" s="869">
        <f t="shared" si="1444"/>
        <v>0</v>
      </c>
      <c r="EG73" s="869">
        <f t="shared" si="1444"/>
        <v>0</v>
      </c>
      <c r="EH73" s="869">
        <f t="shared" si="1444"/>
        <v>0</v>
      </c>
      <c r="EI73" s="869">
        <f t="shared" si="1444"/>
        <v>0</v>
      </c>
      <c r="EJ73" s="869">
        <f t="shared" si="1444"/>
        <v>0</v>
      </c>
      <c r="EK73" s="869">
        <f t="shared" si="1444"/>
        <v>0</v>
      </c>
      <c r="EL73" s="869">
        <f t="shared" si="1444"/>
        <v>0</v>
      </c>
      <c r="EM73" s="869">
        <f t="shared" si="1444"/>
        <v>0</v>
      </c>
      <c r="EN73" s="869">
        <f t="shared" si="1444"/>
        <v>0</v>
      </c>
      <c r="EO73" s="869"/>
      <c r="EP73" s="869">
        <f t="shared" si="1444"/>
        <v>0</v>
      </c>
      <c r="EQ73" s="869">
        <f t="shared" si="1444"/>
        <v>0</v>
      </c>
      <c r="ER73" s="869">
        <f t="shared" si="1444"/>
        <v>0</v>
      </c>
      <c r="ES73" s="869">
        <f t="shared" ref="ES73:FP73" si="1445">SUM(ES72:ES72)</f>
        <v>0</v>
      </c>
      <c r="ET73" s="869">
        <f t="shared" si="1445"/>
        <v>0</v>
      </c>
      <c r="EU73" s="869">
        <f t="shared" si="1445"/>
        <v>0</v>
      </c>
      <c r="EV73" s="869">
        <f t="shared" si="1445"/>
        <v>0</v>
      </c>
      <c r="EW73" s="869">
        <f t="shared" si="1445"/>
        <v>0</v>
      </c>
      <c r="EX73" s="869">
        <f t="shared" si="1445"/>
        <v>0</v>
      </c>
      <c r="EY73" s="869">
        <f t="shared" si="1445"/>
        <v>0</v>
      </c>
      <c r="EZ73" s="869"/>
      <c r="FA73" s="869">
        <f t="shared" si="1445"/>
        <v>0</v>
      </c>
      <c r="FB73" s="869">
        <f t="shared" si="1445"/>
        <v>0</v>
      </c>
      <c r="FC73" s="869">
        <f t="shared" si="1445"/>
        <v>0</v>
      </c>
      <c r="FD73" s="869">
        <f t="shared" si="1445"/>
        <v>0</v>
      </c>
      <c r="FE73" s="869">
        <f t="shared" si="1445"/>
        <v>0</v>
      </c>
      <c r="FF73" s="869">
        <f t="shared" si="1445"/>
        <v>0</v>
      </c>
      <c r="FG73" s="869">
        <f t="shared" si="1445"/>
        <v>0</v>
      </c>
      <c r="FH73" s="869">
        <f t="shared" si="1445"/>
        <v>0</v>
      </c>
      <c r="FI73" s="869">
        <f t="shared" si="1445"/>
        <v>0</v>
      </c>
      <c r="FJ73" s="869">
        <f t="shared" si="1445"/>
        <v>0</v>
      </c>
      <c r="FK73" s="869">
        <f t="shared" si="1445"/>
        <v>0</v>
      </c>
      <c r="FL73" s="869">
        <f t="shared" si="1445"/>
        <v>0</v>
      </c>
      <c r="FM73" s="869">
        <f t="shared" si="1445"/>
        <v>0</v>
      </c>
      <c r="FN73" s="869">
        <f t="shared" si="1445"/>
        <v>0</v>
      </c>
      <c r="FO73" s="869">
        <f t="shared" si="1445"/>
        <v>0</v>
      </c>
      <c r="FP73" s="869">
        <f t="shared" si="1445"/>
        <v>0</v>
      </c>
    </row>
    <row r="74" spans="1:178" s="216" customFormat="1" ht="15" customHeight="1" outlineLevel="1">
      <c r="A74" s="1006" t="str">
        <f t="shared" si="253"/>
        <v>MAYO  2026 2da QUINCENA</v>
      </c>
      <c r="B74" s="1006">
        <f t="shared" si="90"/>
        <v>2026</v>
      </c>
      <c r="C74" s="1007" t="str">
        <f t="shared" si="254"/>
        <v>MAYO  2026 2da QUINCENA2026</v>
      </c>
      <c r="D74" s="235"/>
      <c r="E74" s="235">
        <v>301030</v>
      </c>
      <c r="F74" s="268"/>
      <c r="G74" s="976" t="s">
        <v>642</v>
      </c>
      <c r="H74" s="235"/>
      <c r="J74" s="802"/>
      <c r="K74" s="802"/>
      <c r="L74" s="802"/>
      <c r="M74" s="802"/>
      <c r="N74" s="871"/>
      <c r="O74" s="958"/>
      <c r="P74" s="958"/>
      <c r="Q74" s="959"/>
      <c r="R74" s="959"/>
      <c r="S74" s="958"/>
      <c r="T74" s="701"/>
      <c r="U74" s="960"/>
      <c r="V74" s="802"/>
      <c r="W74" s="961"/>
      <c r="X74" s="802"/>
      <c r="Y74" s="961"/>
      <c r="Z74" s="802"/>
      <c r="AA74" s="961"/>
      <c r="AB74" s="881"/>
      <c r="AC74" s="961"/>
      <c r="AD74" s="802"/>
      <c r="AE74" s="962"/>
      <c r="AF74" s="802"/>
      <c r="AG74" s="973"/>
      <c r="AH74" s="802"/>
      <c r="AI74" s="974"/>
      <c r="AJ74" s="802"/>
      <c r="AK74" s="824"/>
      <c r="AL74" s="824"/>
      <c r="AM74" s="974"/>
      <c r="AN74" s="824"/>
      <c r="AO74" s="828"/>
      <c r="AP74" s="828"/>
      <c r="AQ74" s="828"/>
      <c r="AR74" s="828"/>
      <c r="AS74" s="828"/>
      <c r="AT74" s="828"/>
      <c r="AU74" s="828"/>
      <c r="AV74" s="828"/>
      <c r="AW74" s="828"/>
      <c r="AX74" s="828"/>
      <c r="AY74" s="861"/>
      <c r="AZ74" s="967"/>
      <c r="BA74" s="802"/>
      <c r="BB74" s="881"/>
      <c r="BC74" s="802"/>
      <c r="BD74" s="802"/>
      <c r="BE74" s="802"/>
      <c r="BF74" s="802"/>
      <c r="BG74" s="802"/>
      <c r="BH74" s="802"/>
      <c r="BI74" s="802"/>
      <c r="BJ74" s="802"/>
      <c r="BK74" s="802"/>
      <c r="BL74" s="802"/>
      <c r="BM74" s="802"/>
      <c r="BN74" s="802"/>
      <c r="BO74" s="802"/>
      <c r="BP74" s="802"/>
      <c r="BQ74" s="802"/>
      <c r="BR74" s="861"/>
      <c r="BS74" s="802"/>
      <c r="BT74" s="802"/>
      <c r="BU74" s="802"/>
      <c r="BV74" s="802"/>
      <c r="BW74" s="802"/>
      <c r="BX74" s="802"/>
      <c r="BY74" s="802"/>
      <c r="BZ74" s="802"/>
      <c r="CA74" s="802"/>
      <c r="CB74" s="802"/>
      <c r="CC74" s="802"/>
      <c r="CD74" s="802"/>
      <c r="CE74" s="802"/>
      <c r="CF74" s="802"/>
      <c r="CG74" s="802"/>
      <c r="CH74" s="802"/>
      <c r="CI74" s="802"/>
      <c r="CJ74" s="802"/>
      <c r="CK74" s="824"/>
      <c r="CL74" s="824"/>
      <c r="CM74" s="824"/>
      <c r="CN74" s="824"/>
      <c r="CO74" s="824"/>
      <c r="CP74" s="824"/>
      <c r="CQ74" s="824"/>
      <c r="CR74" s="824"/>
      <c r="CS74" s="824"/>
      <c r="CV74" s="802"/>
      <c r="CW74" s="802"/>
      <c r="CX74" s="802"/>
      <c r="CY74" s="802"/>
      <c r="CZ74" s="802"/>
      <c r="DA74" s="802"/>
      <c r="DB74" s="802"/>
      <c r="DC74" s="802"/>
      <c r="DD74" s="802"/>
      <c r="DE74" s="802"/>
      <c r="DF74" s="802"/>
      <c r="DG74" s="802"/>
      <c r="DH74" s="802"/>
      <c r="DI74" s="802"/>
      <c r="DJ74" s="802"/>
      <c r="DK74" s="802"/>
      <c r="DL74" s="802"/>
      <c r="DM74" s="802"/>
      <c r="DN74" s="824"/>
      <c r="DO74" s="824"/>
      <c r="DP74" s="824"/>
      <c r="DQ74" s="824"/>
      <c r="DR74" s="824"/>
      <c r="DS74" s="824"/>
      <c r="DT74" s="824"/>
      <c r="DU74" s="824"/>
      <c r="DV74" s="824"/>
      <c r="DW74" s="241" t="s">
        <v>52</v>
      </c>
      <c r="DX74" s="242" t="s">
        <v>52</v>
      </c>
      <c r="DY74" s="242" t="s">
        <v>52</v>
      </c>
      <c r="DZ74" s="242" t="s">
        <v>52</v>
      </c>
      <c r="EA74" s="242" t="s">
        <v>52</v>
      </c>
      <c r="EB74" s="242" t="s">
        <v>52</v>
      </c>
      <c r="EC74" s="242" t="s">
        <v>52</v>
      </c>
      <c r="ED74" s="242" t="s">
        <v>52</v>
      </c>
      <c r="EE74" s="242" t="s">
        <v>52</v>
      </c>
      <c r="EF74" s="242">
        <f t="shared" si="1437"/>
        <v>0</v>
      </c>
      <c r="EG74" s="824"/>
      <c r="EH74" s="824"/>
      <c r="EI74" s="824"/>
      <c r="EJ74" s="824"/>
      <c r="EK74" s="824"/>
      <c r="EL74" s="824"/>
      <c r="EM74" s="824"/>
      <c r="EN74" s="824"/>
      <c r="EX74" s="821"/>
      <c r="EY74" s="961"/>
      <c r="FA74" s="961"/>
      <c r="FB74" s="961"/>
      <c r="FC74" s="961"/>
      <c r="FD74" s="961"/>
      <c r="FE74" s="961"/>
      <c r="FF74" s="961"/>
      <c r="FG74" s="961"/>
      <c r="FH74" s="961"/>
      <c r="FI74" s="961"/>
      <c r="FJ74" s="961"/>
      <c r="FK74" s="969"/>
      <c r="FL74" s="969"/>
      <c r="FM74" s="969"/>
      <c r="FN74" s="969"/>
      <c r="FO74" s="969"/>
      <c r="FP74" s="975"/>
    </row>
    <row r="75" spans="1:178" s="216" customFormat="1" ht="15" customHeight="1" outlineLevel="1">
      <c r="A75" s="1006"/>
      <c r="B75" s="1006"/>
      <c r="C75" s="1007"/>
      <c r="D75" s="235"/>
      <c r="E75" s="235">
        <v>301030</v>
      </c>
      <c r="F75" s="268"/>
      <c r="G75" s="199"/>
      <c r="H75" s="200"/>
      <c r="I75" s="200"/>
      <c r="J75" s="1015"/>
      <c r="K75" s="1017"/>
      <c r="L75" s="872"/>
      <c r="M75" s="203"/>
      <c r="N75" s="204"/>
      <c r="O75" s="204"/>
      <c r="P75" s="204"/>
      <c r="Q75" s="867"/>
      <c r="R75" s="204"/>
      <c r="S75" s="204"/>
      <c r="T75" s="701"/>
      <c r="U75" s="238"/>
      <c r="V75" s="239"/>
      <c r="W75" s="265"/>
      <c r="X75" s="239"/>
      <c r="Y75" s="238"/>
      <c r="Z75" s="239"/>
      <c r="AA75" s="265"/>
      <c r="AB75" s="239"/>
      <c r="AC75" s="265"/>
      <c r="AD75" s="239"/>
      <c r="AE75" s="839"/>
      <c r="AF75" s="239"/>
      <c r="AG75" s="239"/>
      <c r="AH75" s="839"/>
      <c r="AI75" s="837"/>
      <c r="AJ75" s="837"/>
      <c r="AK75" s="837"/>
      <c r="AL75" s="265"/>
      <c r="AM75" s="239"/>
      <c r="AN75" s="265"/>
      <c r="AO75" s="239"/>
      <c r="AP75" s="839"/>
      <c r="AQ75" s="239"/>
      <c r="AR75" s="239"/>
      <c r="AS75" s="839"/>
      <c r="AT75" s="837"/>
      <c r="AU75" s="837"/>
      <c r="AV75" s="837"/>
      <c r="AW75" s="265"/>
      <c r="AX75" s="239"/>
      <c r="AY75" s="265"/>
      <c r="AZ75" s="239"/>
      <c r="BA75" s="239"/>
      <c r="BB75" s="239"/>
      <c r="BC75" s="239"/>
      <c r="BD75" s="839"/>
      <c r="BE75" s="837"/>
      <c r="BF75" s="837"/>
      <c r="BG75" s="837"/>
      <c r="BH75" s="265"/>
      <c r="BI75" s="239"/>
      <c r="BJ75" s="239"/>
      <c r="BK75" s="239"/>
      <c r="BL75" s="239"/>
      <c r="BM75" s="239"/>
      <c r="BN75" s="239"/>
      <c r="BO75" s="239"/>
      <c r="BP75" s="239"/>
      <c r="BQ75" s="239"/>
      <c r="BR75" s="837"/>
      <c r="BS75" s="239"/>
      <c r="BT75" s="239"/>
      <c r="BU75" s="239"/>
      <c r="BV75" s="239"/>
      <c r="BW75" s="239"/>
      <c r="BX75" s="239"/>
      <c r="BY75" s="239"/>
      <c r="BZ75" s="239"/>
      <c r="CA75" s="239"/>
      <c r="CB75" s="875"/>
      <c r="CC75" s="876"/>
      <c r="CD75" s="876"/>
      <c r="CE75" s="876"/>
      <c r="CF75" s="876"/>
      <c r="CG75" s="876"/>
      <c r="CH75" s="876"/>
      <c r="CI75" s="876"/>
      <c r="CJ75" s="876"/>
      <c r="CK75" s="876"/>
      <c r="CL75" s="876"/>
      <c r="CM75" s="876"/>
      <c r="CN75" s="876"/>
      <c r="CO75" s="876"/>
      <c r="CP75" s="876"/>
      <c r="CQ75" s="876"/>
      <c r="CR75" s="876"/>
      <c r="CS75" s="877"/>
      <c r="CT75" s="235"/>
      <c r="CU75" s="201"/>
      <c r="CV75" s="203"/>
      <c r="CW75" s="203"/>
      <c r="CX75" s="203"/>
      <c r="CY75" s="203"/>
      <c r="CZ75" s="203"/>
      <c r="DA75" s="203"/>
      <c r="DB75" s="203"/>
      <c r="DC75" s="203"/>
      <c r="DD75" s="203"/>
      <c r="DE75" s="203"/>
      <c r="DF75" s="203"/>
      <c r="DG75" s="239"/>
      <c r="DH75" s="239"/>
      <c r="DI75" s="239"/>
      <c r="DJ75" s="203"/>
      <c r="DK75" s="203"/>
      <c r="DL75" s="203"/>
      <c r="DM75" s="203"/>
      <c r="DN75" s="210"/>
      <c r="DO75" s="210"/>
      <c r="DP75" s="210"/>
      <c r="DQ75" s="210"/>
      <c r="DR75" s="210"/>
      <c r="DS75" s="210"/>
      <c r="DT75" s="210"/>
      <c r="DU75" s="210"/>
      <c r="DV75" s="210"/>
      <c r="DW75" s="241"/>
      <c r="DX75" s="241"/>
      <c r="DY75" s="241"/>
      <c r="DZ75" s="241"/>
      <c r="EA75" s="241"/>
      <c r="EB75" s="241"/>
      <c r="EC75" s="241"/>
      <c r="ED75" s="241"/>
      <c r="EE75" s="242"/>
      <c r="EF75" s="203">
        <v>0</v>
      </c>
      <c r="EG75" s="242">
        <f t="shared" ref="EG75" si="1446">IF($CU75="ECONACIONAL",$BB75+$BK75+$BT75+$CC75+$CL75,0)</f>
        <v>0</v>
      </c>
      <c r="EH75" s="203">
        <v>0</v>
      </c>
      <c r="EI75" s="203">
        <v>0</v>
      </c>
      <c r="EJ75" s="242">
        <f t="shared" ref="EJ75" si="1447">IF($CU75="CLEARTEC",$BE75+$BN75+$BW75+$CF75+$CO75,0)</f>
        <v>0</v>
      </c>
      <c r="EK75" s="203">
        <v>0</v>
      </c>
      <c r="EL75" s="203">
        <v>0</v>
      </c>
      <c r="EM75" s="203">
        <v>0</v>
      </c>
      <c r="EN75" s="203">
        <f t="shared" ref="EN75" si="1448">SUM(EF75:EM75)-EH75-EJ75</f>
        <v>0</v>
      </c>
      <c r="EO75" s="235"/>
      <c r="EP75" s="200"/>
      <c r="EQ75" s="200"/>
      <c r="ER75" s="200"/>
      <c r="ES75" s="201"/>
      <c r="ET75" s="201"/>
      <c r="EU75" s="201"/>
      <c r="EV75" s="201"/>
      <c r="EW75" s="200"/>
      <c r="EX75" s="201"/>
      <c r="EY75" s="201">
        <f t="shared" ref="EY75" si="1449">+ET75+EU75+EV75</f>
        <v>0</v>
      </c>
      <c r="FA75" s="207"/>
      <c r="FB75" s="207"/>
      <c r="FC75" s="207"/>
      <c r="FD75" s="207"/>
      <c r="FE75" s="207"/>
      <c r="FF75" s="207"/>
      <c r="FG75" s="207"/>
      <c r="FH75" s="207"/>
      <c r="FI75" s="207"/>
      <c r="FJ75" s="207"/>
      <c r="FK75" s="217"/>
      <c r="FL75" s="217"/>
      <c r="FM75" s="217"/>
      <c r="FN75" s="217"/>
      <c r="FO75" s="217"/>
      <c r="FP75" s="217"/>
    </row>
    <row r="76" spans="1:178" s="216" customFormat="1" ht="15" customHeight="1" outlineLevel="1">
      <c r="A76" s="1006" t="s">
        <v>52</v>
      </c>
      <c r="B76" s="1006" t="s">
        <v>52</v>
      </c>
      <c r="C76" s="1007" t="s">
        <v>52</v>
      </c>
      <c r="D76" s="235"/>
      <c r="E76" s="235">
        <v>301030</v>
      </c>
      <c r="F76" s="268"/>
      <c r="G76" s="956"/>
      <c r="H76" s="235" t="s">
        <v>657</v>
      </c>
      <c r="J76" s="869">
        <f>SUM(J75:J75)</f>
        <v>0</v>
      </c>
      <c r="K76" s="869">
        <f>SUM(K75:K75)</f>
        <v>0</v>
      </c>
      <c r="L76" s="869">
        <f>SUM(L75:L75)</f>
        <v>0</v>
      </c>
      <c r="M76" s="802"/>
      <c r="N76" s="871"/>
      <c r="O76" s="958"/>
      <c r="P76" s="958"/>
      <c r="Q76" s="959"/>
      <c r="R76" s="959"/>
      <c r="S76" s="958"/>
      <c r="T76" s="701"/>
      <c r="U76" s="869">
        <f t="shared" ref="U76:AZ76" si="1450">SUM(U75:U75)</f>
        <v>0</v>
      </c>
      <c r="V76" s="869">
        <f t="shared" si="1450"/>
        <v>0</v>
      </c>
      <c r="W76" s="869">
        <f t="shared" si="1450"/>
        <v>0</v>
      </c>
      <c r="X76" s="869">
        <f t="shared" si="1450"/>
        <v>0</v>
      </c>
      <c r="Y76" s="869">
        <f t="shared" si="1450"/>
        <v>0</v>
      </c>
      <c r="Z76" s="869">
        <f t="shared" si="1450"/>
        <v>0</v>
      </c>
      <c r="AA76" s="869">
        <f t="shared" si="1450"/>
        <v>0</v>
      </c>
      <c r="AB76" s="869">
        <f t="shared" si="1450"/>
        <v>0</v>
      </c>
      <c r="AC76" s="869">
        <f t="shared" si="1450"/>
        <v>0</v>
      </c>
      <c r="AD76" s="869">
        <f t="shared" si="1450"/>
        <v>0</v>
      </c>
      <c r="AE76" s="869">
        <f t="shared" si="1450"/>
        <v>0</v>
      </c>
      <c r="AF76" s="869">
        <f t="shared" si="1450"/>
        <v>0</v>
      </c>
      <c r="AG76" s="869">
        <f t="shared" si="1450"/>
        <v>0</v>
      </c>
      <c r="AH76" s="869">
        <f t="shared" si="1450"/>
        <v>0</v>
      </c>
      <c r="AI76" s="869">
        <f t="shared" si="1450"/>
        <v>0</v>
      </c>
      <c r="AJ76" s="869">
        <f t="shared" si="1450"/>
        <v>0</v>
      </c>
      <c r="AK76" s="869">
        <f t="shared" si="1450"/>
        <v>0</v>
      </c>
      <c r="AL76" s="869">
        <f t="shared" si="1450"/>
        <v>0</v>
      </c>
      <c r="AM76" s="869">
        <f t="shared" si="1450"/>
        <v>0</v>
      </c>
      <c r="AN76" s="869">
        <f t="shared" si="1450"/>
        <v>0</v>
      </c>
      <c r="AO76" s="869">
        <f t="shared" si="1450"/>
        <v>0</v>
      </c>
      <c r="AP76" s="869">
        <f t="shared" si="1450"/>
        <v>0</v>
      </c>
      <c r="AQ76" s="869">
        <f t="shared" si="1450"/>
        <v>0</v>
      </c>
      <c r="AR76" s="869">
        <f t="shared" si="1450"/>
        <v>0</v>
      </c>
      <c r="AS76" s="869">
        <f t="shared" si="1450"/>
        <v>0</v>
      </c>
      <c r="AT76" s="869">
        <f t="shared" si="1450"/>
        <v>0</v>
      </c>
      <c r="AU76" s="869">
        <f t="shared" si="1450"/>
        <v>0</v>
      </c>
      <c r="AV76" s="869">
        <f t="shared" si="1450"/>
        <v>0</v>
      </c>
      <c r="AW76" s="869">
        <f t="shared" si="1450"/>
        <v>0</v>
      </c>
      <c r="AX76" s="869">
        <f t="shared" si="1450"/>
        <v>0</v>
      </c>
      <c r="AY76" s="869">
        <f t="shared" si="1450"/>
        <v>0</v>
      </c>
      <c r="AZ76" s="869">
        <f t="shared" si="1450"/>
        <v>0</v>
      </c>
      <c r="BA76" s="978">
        <f t="shared" ref="BA76:CF76" si="1451">SUM(BA75:BA75)</f>
        <v>0</v>
      </c>
      <c r="BB76" s="869">
        <f t="shared" si="1451"/>
        <v>0</v>
      </c>
      <c r="BC76" s="869">
        <f t="shared" si="1451"/>
        <v>0</v>
      </c>
      <c r="BD76" s="869">
        <f t="shared" si="1451"/>
        <v>0</v>
      </c>
      <c r="BE76" s="869">
        <f t="shared" si="1451"/>
        <v>0</v>
      </c>
      <c r="BF76" s="869">
        <f t="shared" si="1451"/>
        <v>0</v>
      </c>
      <c r="BG76" s="869">
        <f t="shared" si="1451"/>
        <v>0</v>
      </c>
      <c r="BH76" s="869">
        <f t="shared" si="1451"/>
        <v>0</v>
      </c>
      <c r="BI76" s="869">
        <f t="shared" si="1451"/>
        <v>0</v>
      </c>
      <c r="BJ76" s="869">
        <f t="shared" si="1451"/>
        <v>0</v>
      </c>
      <c r="BK76" s="869">
        <f t="shared" si="1451"/>
        <v>0</v>
      </c>
      <c r="BL76" s="869">
        <f t="shared" si="1451"/>
        <v>0</v>
      </c>
      <c r="BM76" s="869">
        <f t="shared" si="1451"/>
        <v>0</v>
      </c>
      <c r="BN76" s="869">
        <f t="shared" si="1451"/>
        <v>0</v>
      </c>
      <c r="BO76" s="869">
        <f t="shared" si="1451"/>
        <v>0</v>
      </c>
      <c r="BP76" s="869">
        <f t="shared" si="1451"/>
        <v>0</v>
      </c>
      <c r="BQ76" s="869">
        <f t="shared" si="1451"/>
        <v>0</v>
      </c>
      <c r="BR76" s="869">
        <f t="shared" si="1451"/>
        <v>0</v>
      </c>
      <c r="BS76" s="869">
        <f t="shared" si="1451"/>
        <v>0</v>
      </c>
      <c r="BT76" s="869">
        <f t="shared" si="1451"/>
        <v>0</v>
      </c>
      <c r="BU76" s="869">
        <f t="shared" si="1451"/>
        <v>0</v>
      </c>
      <c r="BV76" s="869">
        <f t="shared" si="1451"/>
        <v>0</v>
      </c>
      <c r="BW76" s="869">
        <f t="shared" si="1451"/>
        <v>0</v>
      </c>
      <c r="BX76" s="869">
        <f t="shared" si="1451"/>
        <v>0</v>
      </c>
      <c r="BY76" s="869">
        <f t="shared" si="1451"/>
        <v>0</v>
      </c>
      <c r="BZ76" s="869">
        <f t="shared" si="1451"/>
        <v>0</v>
      </c>
      <c r="CA76" s="869">
        <f t="shared" si="1451"/>
        <v>0</v>
      </c>
      <c r="CB76" s="869">
        <f t="shared" si="1451"/>
        <v>0</v>
      </c>
      <c r="CC76" s="869">
        <f t="shared" si="1451"/>
        <v>0</v>
      </c>
      <c r="CD76" s="869">
        <f t="shared" si="1451"/>
        <v>0</v>
      </c>
      <c r="CE76" s="869">
        <f t="shared" si="1451"/>
        <v>0</v>
      </c>
      <c r="CF76" s="869">
        <f t="shared" si="1451"/>
        <v>0</v>
      </c>
      <c r="CG76" s="869">
        <f t="shared" ref="CG76:DL76" si="1452">SUM(CG75:CG75)</f>
        <v>0</v>
      </c>
      <c r="CH76" s="869">
        <f t="shared" si="1452"/>
        <v>0</v>
      </c>
      <c r="CI76" s="869">
        <f t="shared" si="1452"/>
        <v>0</v>
      </c>
      <c r="CJ76" s="869">
        <f t="shared" si="1452"/>
        <v>0</v>
      </c>
      <c r="CK76" s="869">
        <f t="shared" si="1452"/>
        <v>0</v>
      </c>
      <c r="CL76" s="869">
        <f t="shared" si="1452"/>
        <v>0</v>
      </c>
      <c r="CM76" s="869">
        <f t="shared" si="1452"/>
        <v>0</v>
      </c>
      <c r="CN76" s="869">
        <f t="shared" si="1452"/>
        <v>0</v>
      </c>
      <c r="CO76" s="869">
        <f t="shared" si="1452"/>
        <v>0</v>
      </c>
      <c r="CP76" s="869">
        <f t="shared" si="1452"/>
        <v>0</v>
      </c>
      <c r="CQ76" s="869">
        <f t="shared" si="1452"/>
        <v>0</v>
      </c>
      <c r="CR76" s="869">
        <f t="shared" si="1452"/>
        <v>0</v>
      </c>
      <c r="CS76" s="869">
        <f t="shared" si="1452"/>
        <v>0</v>
      </c>
      <c r="CT76" s="869" t="s">
        <v>52</v>
      </c>
      <c r="CU76" s="869" t="s">
        <v>52</v>
      </c>
      <c r="CV76" s="869">
        <f t="shared" si="1452"/>
        <v>0</v>
      </c>
      <c r="CW76" s="869">
        <f t="shared" si="1452"/>
        <v>0</v>
      </c>
      <c r="CX76" s="869">
        <f t="shared" si="1452"/>
        <v>0</v>
      </c>
      <c r="CY76" s="869">
        <f t="shared" si="1452"/>
        <v>0</v>
      </c>
      <c r="CZ76" s="869">
        <f t="shared" si="1452"/>
        <v>0</v>
      </c>
      <c r="DA76" s="869">
        <f t="shared" si="1452"/>
        <v>0</v>
      </c>
      <c r="DB76" s="869">
        <f t="shared" si="1452"/>
        <v>0</v>
      </c>
      <c r="DC76" s="869">
        <f t="shared" si="1452"/>
        <v>0</v>
      </c>
      <c r="DD76" s="869">
        <f t="shared" si="1452"/>
        <v>0</v>
      </c>
      <c r="DE76" s="869">
        <f t="shared" si="1452"/>
        <v>0</v>
      </c>
      <c r="DF76" s="869">
        <f t="shared" si="1452"/>
        <v>0</v>
      </c>
      <c r="DG76" s="869">
        <f t="shared" si="1452"/>
        <v>0</v>
      </c>
      <c r="DH76" s="869">
        <f t="shared" si="1452"/>
        <v>0</v>
      </c>
      <c r="DI76" s="869">
        <f t="shared" si="1452"/>
        <v>0</v>
      </c>
      <c r="DJ76" s="869">
        <f t="shared" si="1452"/>
        <v>0</v>
      </c>
      <c r="DK76" s="869">
        <f t="shared" si="1452"/>
        <v>0</v>
      </c>
      <c r="DL76" s="869">
        <f t="shared" si="1452"/>
        <v>0</v>
      </c>
      <c r="DM76" s="869">
        <f t="shared" ref="DM76:ER76" si="1453">SUM(DM75:DM75)</f>
        <v>0</v>
      </c>
      <c r="DN76" s="869">
        <f t="shared" si="1453"/>
        <v>0</v>
      </c>
      <c r="DO76" s="869">
        <f t="shared" si="1453"/>
        <v>0</v>
      </c>
      <c r="DP76" s="869">
        <f t="shared" si="1453"/>
        <v>0</v>
      </c>
      <c r="DQ76" s="869">
        <f t="shared" si="1453"/>
        <v>0</v>
      </c>
      <c r="DR76" s="869">
        <f t="shared" si="1453"/>
        <v>0</v>
      </c>
      <c r="DS76" s="869">
        <f t="shared" si="1453"/>
        <v>0</v>
      </c>
      <c r="DT76" s="869">
        <f t="shared" si="1453"/>
        <v>0</v>
      </c>
      <c r="DU76" s="869">
        <f t="shared" si="1453"/>
        <v>0</v>
      </c>
      <c r="DV76" s="869">
        <f t="shared" si="1453"/>
        <v>0</v>
      </c>
      <c r="DW76" s="869">
        <f t="shared" si="1453"/>
        <v>0</v>
      </c>
      <c r="DX76" s="869">
        <f t="shared" si="1453"/>
        <v>0</v>
      </c>
      <c r="DY76" s="869">
        <f t="shared" si="1453"/>
        <v>0</v>
      </c>
      <c r="DZ76" s="869">
        <f t="shared" si="1453"/>
        <v>0</v>
      </c>
      <c r="EA76" s="869">
        <f t="shared" si="1453"/>
        <v>0</v>
      </c>
      <c r="EB76" s="869">
        <f t="shared" si="1453"/>
        <v>0</v>
      </c>
      <c r="EC76" s="869">
        <f t="shared" si="1453"/>
        <v>0</v>
      </c>
      <c r="ED76" s="869">
        <f t="shared" si="1453"/>
        <v>0</v>
      </c>
      <c r="EE76" s="869">
        <f t="shared" si="1453"/>
        <v>0</v>
      </c>
      <c r="EF76" s="869">
        <f t="shared" si="1453"/>
        <v>0</v>
      </c>
      <c r="EG76" s="869">
        <f t="shared" si="1453"/>
        <v>0</v>
      </c>
      <c r="EH76" s="869">
        <f t="shared" si="1453"/>
        <v>0</v>
      </c>
      <c r="EI76" s="869">
        <f t="shared" si="1453"/>
        <v>0</v>
      </c>
      <c r="EJ76" s="869">
        <f t="shared" si="1453"/>
        <v>0</v>
      </c>
      <c r="EK76" s="869">
        <f t="shared" si="1453"/>
        <v>0</v>
      </c>
      <c r="EL76" s="869">
        <f t="shared" si="1453"/>
        <v>0</v>
      </c>
      <c r="EM76" s="869">
        <f t="shared" si="1453"/>
        <v>0</v>
      </c>
      <c r="EN76" s="869">
        <f t="shared" si="1453"/>
        <v>0</v>
      </c>
      <c r="EO76" s="869"/>
      <c r="EP76" s="869">
        <f t="shared" si="1453"/>
        <v>0</v>
      </c>
      <c r="EQ76" s="869">
        <f t="shared" si="1453"/>
        <v>0</v>
      </c>
      <c r="ER76" s="869">
        <f t="shared" si="1453"/>
        <v>0</v>
      </c>
      <c r="ES76" s="869">
        <f t="shared" ref="ES76:FJ76" si="1454">SUM(ES75:ES75)</f>
        <v>0</v>
      </c>
      <c r="ET76" s="869">
        <f t="shared" si="1454"/>
        <v>0</v>
      </c>
      <c r="EU76" s="869">
        <f t="shared" si="1454"/>
        <v>0</v>
      </c>
      <c r="EV76" s="869">
        <f t="shared" si="1454"/>
        <v>0</v>
      </c>
      <c r="EW76" s="869">
        <f t="shared" si="1454"/>
        <v>0</v>
      </c>
      <c r="EX76" s="869">
        <f t="shared" si="1454"/>
        <v>0</v>
      </c>
      <c r="EY76" s="869">
        <f t="shared" si="1454"/>
        <v>0</v>
      </c>
      <c r="EZ76" s="869"/>
      <c r="FA76" s="869">
        <f t="shared" si="1454"/>
        <v>0</v>
      </c>
      <c r="FB76" s="869">
        <f t="shared" si="1454"/>
        <v>0</v>
      </c>
      <c r="FC76" s="869">
        <f t="shared" si="1454"/>
        <v>0</v>
      </c>
      <c r="FD76" s="869">
        <f t="shared" si="1454"/>
        <v>0</v>
      </c>
      <c r="FE76" s="869">
        <f t="shared" si="1454"/>
        <v>0</v>
      </c>
      <c r="FF76" s="869">
        <f t="shared" si="1454"/>
        <v>0</v>
      </c>
      <c r="FG76" s="869">
        <f t="shared" si="1454"/>
        <v>0</v>
      </c>
      <c r="FH76" s="869">
        <f t="shared" si="1454"/>
        <v>0</v>
      </c>
      <c r="FI76" s="869">
        <f t="shared" si="1454"/>
        <v>0</v>
      </c>
      <c r="FJ76" s="869">
        <f t="shared" si="1454"/>
        <v>0</v>
      </c>
      <c r="FK76" s="963"/>
      <c r="FL76" s="963"/>
      <c r="FM76" s="963"/>
      <c r="FN76" s="963"/>
      <c r="FO76" s="963"/>
      <c r="FP76" s="964"/>
    </row>
    <row r="77" spans="1:178" s="216" customFormat="1" ht="15" customHeight="1" outlineLevel="1">
      <c r="A77" s="1006" t="s">
        <v>52</v>
      </c>
      <c r="B77" s="1006" t="s">
        <v>52</v>
      </c>
      <c r="C77" s="1007" t="s">
        <v>52</v>
      </c>
      <c r="D77" s="235"/>
      <c r="E77" s="235"/>
      <c r="F77" s="268"/>
      <c r="G77" s="976" t="s">
        <v>643</v>
      </c>
      <c r="H77" s="235"/>
      <c r="J77" s="802"/>
      <c r="K77" s="802"/>
      <c r="L77" s="802"/>
      <c r="M77" s="802"/>
      <c r="N77" s="871"/>
      <c r="O77" s="958"/>
      <c r="P77" s="958"/>
      <c r="Q77" s="959"/>
      <c r="R77" s="959"/>
      <c r="S77" s="958"/>
      <c r="T77" s="701"/>
      <c r="U77" s="960"/>
      <c r="V77" s="802"/>
      <c r="W77" s="961"/>
      <c r="X77" s="802"/>
      <c r="Y77" s="961"/>
      <c r="Z77" s="802"/>
      <c r="AA77" s="961"/>
      <c r="AB77" s="881"/>
      <c r="AC77" s="961"/>
      <c r="AD77" s="802"/>
      <c r="AE77" s="962"/>
      <c r="AF77" s="802"/>
      <c r="AG77" s="973"/>
      <c r="AH77" s="802"/>
      <c r="AI77" s="974"/>
      <c r="AJ77" s="802"/>
      <c r="AK77" s="824"/>
      <c r="AL77" s="824"/>
      <c r="AM77" s="974"/>
      <c r="AN77" s="824"/>
      <c r="AO77" s="828"/>
      <c r="AP77" s="828"/>
      <c r="AQ77" s="828"/>
      <c r="AR77" s="828"/>
      <c r="AS77" s="828"/>
      <c r="AT77" s="828"/>
      <c r="AU77" s="828"/>
      <c r="AV77" s="828"/>
      <c r="AW77" s="828"/>
      <c r="AX77" s="828"/>
      <c r="AY77" s="861"/>
      <c r="AZ77" s="967"/>
      <c r="BA77" s="802"/>
      <c r="BB77" s="881"/>
      <c r="BC77" s="802"/>
      <c r="BD77" s="802"/>
      <c r="BE77" s="802"/>
      <c r="BF77" s="802"/>
      <c r="BG77" s="802"/>
      <c r="BH77" s="802"/>
      <c r="BI77" s="802"/>
      <c r="BJ77" s="802"/>
      <c r="BK77" s="802"/>
      <c r="BL77" s="802"/>
      <c r="BM77" s="802"/>
      <c r="BN77" s="802"/>
      <c r="BO77" s="802"/>
      <c r="BP77" s="802"/>
      <c r="BQ77" s="802"/>
      <c r="BR77" s="861"/>
      <c r="BS77" s="802"/>
      <c r="BT77" s="802"/>
      <c r="BU77" s="802"/>
      <c r="BV77" s="802"/>
      <c r="BW77" s="802"/>
      <c r="BX77" s="802"/>
      <c r="BY77" s="802"/>
      <c r="BZ77" s="802"/>
      <c r="CA77" s="802"/>
      <c r="CB77" s="802"/>
      <c r="CC77" s="802"/>
      <c r="CD77" s="802"/>
      <c r="CE77" s="802"/>
      <c r="CF77" s="802"/>
      <c r="CG77" s="802"/>
      <c r="CH77" s="802"/>
      <c r="CI77" s="802"/>
      <c r="CJ77" s="802"/>
      <c r="CK77" s="824"/>
      <c r="CL77" s="824"/>
      <c r="CM77" s="824"/>
      <c r="CN77" s="824"/>
      <c r="CO77" s="824"/>
      <c r="CP77" s="824"/>
      <c r="CQ77" s="824"/>
      <c r="CR77" s="824"/>
      <c r="CS77" s="824"/>
      <c r="CV77" s="802"/>
      <c r="CW77" s="802"/>
      <c r="CX77" s="802"/>
      <c r="CY77" s="802"/>
      <c r="CZ77" s="802"/>
      <c r="DA77" s="802"/>
      <c r="DB77" s="802"/>
      <c r="DC77" s="802"/>
      <c r="DD77" s="802"/>
      <c r="DE77" s="802"/>
      <c r="DF77" s="802"/>
      <c r="DG77" s="802"/>
      <c r="DH77" s="802"/>
      <c r="DI77" s="802"/>
      <c r="DJ77" s="802"/>
      <c r="DK77" s="802"/>
      <c r="DL77" s="802"/>
      <c r="DM77" s="802"/>
      <c r="DN77" s="824"/>
      <c r="DO77" s="824"/>
      <c r="DP77" s="824"/>
      <c r="DQ77" s="824"/>
      <c r="DR77" s="824"/>
      <c r="DS77" s="824"/>
      <c r="DT77" s="824"/>
      <c r="DU77" s="824"/>
      <c r="DV77" s="824"/>
      <c r="DW77" s="824"/>
      <c r="DX77" s="824"/>
      <c r="DY77" s="824"/>
      <c r="DZ77" s="824"/>
      <c r="EA77" s="824"/>
      <c r="EB77" s="824"/>
      <c r="EC77" s="824"/>
      <c r="ED77" s="824"/>
      <c r="EE77" s="824"/>
      <c r="EF77" s="824"/>
      <c r="EG77" s="824"/>
      <c r="EH77" s="824"/>
      <c r="EI77" s="824"/>
      <c r="EJ77" s="824"/>
      <c r="EK77" s="824"/>
      <c r="EL77" s="824"/>
      <c r="EM77" s="824"/>
      <c r="EN77" s="824"/>
      <c r="EX77" s="821"/>
      <c r="EY77" s="961"/>
      <c r="FA77" s="961"/>
      <c r="FB77" s="961"/>
      <c r="FC77" s="961"/>
      <c r="FD77" s="961"/>
      <c r="FE77" s="961"/>
      <c r="FF77" s="961"/>
      <c r="FG77" s="961"/>
      <c r="FH77" s="961"/>
      <c r="FI77" s="961"/>
      <c r="FJ77" s="961"/>
      <c r="FK77" s="969"/>
      <c r="FL77" s="969"/>
      <c r="FM77" s="969"/>
      <c r="FN77" s="969"/>
      <c r="FO77" s="969"/>
      <c r="FP77" s="975"/>
    </row>
    <row r="78" spans="1:178" s="216" customFormat="1" ht="15" customHeight="1" outlineLevel="1">
      <c r="A78" s="1006" t="s">
        <v>52</v>
      </c>
      <c r="B78" s="1006" t="s">
        <v>52</v>
      </c>
      <c r="C78" s="1007" t="s">
        <v>52</v>
      </c>
      <c r="D78" s="235"/>
      <c r="E78" s="235"/>
      <c r="F78" s="268"/>
      <c r="G78" s="976" t="s">
        <v>644</v>
      </c>
      <c r="H78" s="235"/>
      <c r="J78" s="802"/>
      <c r="K78" s="802"/>
      <c r="L78" s="802"/>
      <c r="M78" s="802"/>
      <c r="N78" s="871"/>
      <c r="O78" s="958"/>
      <c r="P78" s="958"/>
      <c r="Q78" s="959"/>
      <c r="R78" s="959"/>
      <c r="S78" s="958"/>
      <c r="T78" s="701"/>
      <c r="U78" s="960"/>
      <c r="V78" s="802"/>
      <c r="W78" s="961"/>
      <c r="X78" s="802"/>
      <c r="Y78" s="961"/>
      <c r="Z78" s="802"/>
      <c r="AA78" s="961"/>
      <c r="AB78" s="881"/>
      <c r="AC78" s="961"/>
      <c r="AD78" s="802"/>
      <c r="AE78" s="962"/>
      <c r="AF78" s="802"/>
      <c r="AG78" s="973"/>
      <c r="AH78" s="802"/>
      <c r="AI78" s="974"/>
      <c r="AJ78" s="802"/>
      <c r="AK78" s="824"/>
      <c r="AL78" s="824"/>
      <c r="AM78" s="974"/>
      <c r="AN78" s="824"/>
      <c r="AO78" s="828"/>
      <c r="AP78" s="828"/>
      <c r="AQ78" s="828"/>
      <c r="AR78" s="828"/>
      <c r="AS78" s="828"/>
      <c r="AT78" s="828"/>
      <c r="AU78" s="828"/>
      <c r="AV78" s="828"/>
      <c r="AW78" s="828"/>
      <c r="AX78" s="828"/>
      <c r="AY78" s="861"/>
      <c r="AZ78" s="967"/>
      <c r="BA78" s="802"/>
      <c r="BB78" s="881"/>
      <c r="BC78" s="802"/>
      <c r="BD78" s="802"/>
      <c r="BE78" s="802"/>
      <c r="BF78" s="802"/>
      <c r="BG78" s="802"/>
      <c r="BH78" s="802"/>
      <c r="BI78" s="802"/>
      <c r="BJ78" s="802"/>
      <c r="BK78" s="802"/>
      <c r="BL78" s="802"/>
      <c r="BM78" s="802"/>
      <c r="BN78" s="802"/>
      <c r="BO78" s="802"/>
      <c r="BP78" s="802"/>
      <c r="BQ78" s="802"/>
      <c r="BR78" s="861"/>
      <c r="BS78" s="802"/>
      <c r="BT78" s="802"/>
      <c r="BU78" s="802"/>
      <c r="BV78" s="802"/>
      <c r="BW78" s="802"/>
      <c r="BX78" s="802"/>
      <c r="BY78" s="802"/>
      <c r="BZ78" s="802"/>
      <c r="CA78" s="802"/>
      <c r="CB78" s="802"/>
      <c r="CC78" s="802"/>
      <c r="CD78" s="802"/>
      <c r="CE78" s="802"/>
      <c r="CF78" s="802"/>
      <c r="CG78" s="802"/>
      <c r="CH78" s="802"/>
      <c r="CI78" s="802"/>
      <c r="CJ78" s="802"/>
      <c r="CK78" s="824"/>
      <c r="CL78" s="824"/>
      <c r="CM78" s="824"/>
      <c r="CN78" s="824"/>
      <c r="CO78" s="824"/>
      <c r="CP78" s="824"/>
      <c r="CQ78" s="824"/>
      <c r="CR78" s="824"/>
      <c r="CS78" s="824"/>
      <c r="CV78" s="802"/>
      <c r="CW78" s="802"/>
      <c r="CX78" s="802"/>
      <c r="CY78" s="802"/>
      <c r="CZ78" s="802"/>
      <c r="DA78" s="802"/>
      <c r="DB78" s="802"/>
      <c r="DC78" s="802"/>
      <c r="DD78" s="802"/>
      <c r="DE78" s="802"/>
      <c r="DF78" s="802"/>
      <c r="DG78" s="802"/>
      <c r="DH78" s="802"/>
      <c r="DI78" s="802"/>
      <c r="DJ78" s="802"/>
      <c r="DK78" s="802"/>
      <c r="DL78" s="802"/>
      <c r="DM78" s="802"/>
      <c r="DN78" s="824"/>
      <c r="DO78" s="824"/>
      <c r="DP78" s="824"/>
      <c r="DQ78" s="824"/>
      <c r="DR78" s="824"/>
      <c r="DS78" s="824"/>
      <c r="DT78" s="824"/>
      <c r="DU78" s="824"/>
      <c r="DV78" s="824"/>
      <c r="DW78" s="824"/>
      <c r="DX78" s="824"/>
      <c r="DY78" s="824"/>
      <c r="DZ78" s="824"/>
      <c r="EA78" s="824"/>
      <c r="EB78" s="824"/>
      <c r="EC78" s="824"/>
      <c r="ED78" s="824"/>
      <c r="EE78" s="824"/>
      <c r="EF78" s="824"/>
      <c r="EG78" s="824"/>
      <c r="EH78" s="824"/>
      <c r="EI78" s="824"/>
      <c r="EJ78" s="824"/>
      <c r="EK78" s="824"/>
      <c r="EL78" s="824"/>
      <c r="EM78" s="824"/>
      <c r="EN78" s="824"/>
      <c r="EX78" s="821"/>
      <c r="EY78" s="961"/>
      <c r="FA78" s="961"/>
      <c r="FB78" s="961"/>
      <c r="FC78" s="961"/>
      <c r="FD78" s="961"/>
      <c r="FE78" s="961"/>
      <c r="FF78" s="961"/>
      <c r="FG78" s="961"/>
      <c r="FH78" s="961"/>
      <c r="FI78" s="961"/>
      <c r="FJ78" s="961"/>
      <c r="FK78" s="969"/>
      <c r="FL78" s="969"/>
      <c r="FM78" s="969"/>
      <c r="FN78" s="969"/>
      <c r="FO78" s="969"/>
      <c r="FP78" s="975"/>
    </row>
    <row r="79" spans="1:178" s="216" customFormat="1" ht="15" customHeight="1" outlineLevel="1" thickBot="1">
      <c r="A79" s="1006" t="s">
        <v>52</v>
      </c>
      <c r="B79" s="1006" t="s">
        <v>52</v>
      </c>
      <c r="C79" s="1007" t="s">
        <v>52</v>
      </c>
      <c r="D79" s="235"/>
      <c r="E79" s="235"/>
      <c r="F79" s="268"/>
      <c r="G79" s="976"/>
      <c r="H79" s="821" t="s">
        <v>688</v>
      </c>
      <c r="J79" s="868">
        <f>+J70+J73+J76</f>
        <v>0</v>
      </c>
      <c r="K79" s="868">
        <f t="shared" ref="K79:L79" si="1455">+K70+K73+K76</f>
        <v>0</v>
      </c>
      <c r="L79" s="868">
        <f t="shared" si="1455"/>
        <v>0</v>
      </c>
      <c r="M79" s="802"/>
      <c r="N79" s="871"/>
      <c r="O79" s="958"/>
      <c r="P79" s="958"/>
      <c r="Q79" s="959"/>
      <c r="R79" s="959"/>
      <c r="S79" s="958"/>
      <c r="T79" s="701"/>
      <c r="U79" s="868">
        <f t="shared" ref="U79:CF79" si="1456">+U70+U73+U76</f>
        <v>0</v>
      </c>
      <c r="V79" s="868">
        <f t="shared" si="1456"/>
        <v>0</v>
      </c>
      <c r="W79" s="868">
        <f t="shared" si="1456"/>
        <v>0</v>
      </c>
      <c r="X79" s="868">
        <f t="shared" si="1456"/>
        <v>0</v>
      </c>
      <c r="Y79" s="868">
        <f t="shared" si="1456"/>
        <v>0</v>
      </c>
      <c r="Z79" s="868">
        <f t="shared" si="1456"/>
        <v>0</v>
      </c>
      <c r="AA79" s="868">
        <f t="shared" si="1456"/>
        <v>0</v>
      </c>
      <c r="AB79" s="868">
        <f t="shared" si="1456"/>
        <v>0</v>
      </c>
      <c r="AC79" s="868">
        <f t="shared" si="1456"/>
        <v>0</v>
      </c>
      <c r="AD79" s="868">
        <f t="shared" si="1456"/>
        <v>0</v>
      </c>
      <c r="AE79" s="868">
        <f t="shared" si="1456"/>
        <v>0</v>
      </c>
      <c r="AF79" s="868">
        <f t="shared" si="1456"/>
        <v>0</v>
      </c>
      <c r="AG79" s="868">
        <f t="shared" si="1456"/>
        <v>0</v>
      </c>
      <c r="AH79" s="868">
        <f t="shared" si="1456"/>
        <v>0</v>
      </c>
      <c r="AI79" s="868">
        <f t="shared" si="1456"/>
        <v>0</v>
      </c>
      <c r="AJ79" s="868">
        <f t="shared" si="1456"/>
        <v>0</v>
      </c>
      <c r="AK79" s="868">
        <f t="shared" si="1456"/>
        <v>0</v>
      </c>
      <c r="AL79" s="868">
        <f t="shared" si="1456"/>
        <v>0</v>
      </c>
      <c r="AM79" s="868">
        <f t="shared" si="1456"/>
        <v>0</v>
      </c>
      <c r="AN79" s="868">
        <f t="shared" si="1456"/>
        <v>0</v>
      </c>
      <c r="AO79" s="868">
        <f t="shared" si="1456"/>
        <v>0</v>
      </c>
      <c r="AP79" s="868">
        <f t="shared" si="1456"/>
        <v>0</v>
      </c>
      <c r="AQ79" s="868">
        <f t="shared" si="1456"/>
        <v>0</v>
      </c>
      <c r="AR79" s="868">
        <f t="shared" si="1456"/>
        <v>0</v>
      </c>
      <c r="AS79" s="868">
        <f t="shared" si="1456"/>
        <v>0</v>
      </c>
      <c r="AT79" s="868">
        <f t="shared" si="1456"/>
        <v>0</v>
      </c>
      <c r="AU79" s="868">
        <f t="shared" si="1456"/>
        <v>0</v>
      </c>
      <c r="AV79" s="868">
        <f t="shared" si="1456"/>
        <v>0</v>
      </c>
      <c r="AW79" s="868">
        <f t="shared" si="1456"/>
        <v>0</v>
      </c>
      <c r="AX79" s="868">
        <f t="shared" si="1456"/>
        <v>0</v>
      </c>
      <c r="AY79" s="868">
        <f t="shared" si="1456"/>
        <v>0</v>
      </c>
      <c r="AZ79" s="868">
        <f t="shared" si="1456"/>
        <v>0</v>
      </c>
      <c r="BA79" s="868">
        <f t="shared" si="1456"/>
        <v>0</v>
      </c>
      <c r="BB79" s="868">
        <f t="shared" si="1456"/>
        <v>0</v>
      </c>
      <c r="BC79" s="868">
        <f t="shared" si="1456"/>
        <v>0</v>
      </c>
      <c r="BD79" s="868">
        <f t="shared" si="1456"/>
        <v>0</v>
      </c>
      <c r="BE79" s="868">
        <f t="shared" si="1456"/>
        <v>0</v>
      </c>
      <c r="BF79" s="868">
        <f t="shared" si="1456"/>
        <v>0</v>
      </c>
      <c r="BG79" s="868">
        <f t="shared" si="1456"/>
        <v>0</v>
      </c>
      <c r="BH79" s="868">
        <f t="shared" si="1456"/>
        <v>0</v>
      </c>
      <c r="BI79" s="868">
        <f t="shared" si="1456"/>
        <v>0</v>
      </c>
      <c r="BJ79" s="868">
        <f t="shared" si="1456"/>
        <v>0</v>
      </c>
      <c r="BK79" s="868">
        <f t="shared" si="1456"/>
        <v>0</v>
      </c>
      <c r="BL79" s="868">
        <f t="shared" si="1456"/>
        <v>0</v>
      </c>
      <c r="BM79" s="868">
        <f t="shared" si="1456"/>
        <v>0</v>
      </c>
      <c r="BN79" s="868">
        <f t="shared" si="1456"/>
        <v>0</v>
      </c>
      <c r="BO79" s="868">
        <f t="shared" si="1456"/>
        <v>0</v>
      </c>
      <c r="BP79" s="868">
        <f t="shared" si="1456"/>
        <v>0</v>
      </c>
      <c r="BQ79" s="868">
        <f t="shared" si="1456"/>
        <v>0</v>
      </c>
      <c r="BR79" s="868">
        <f t="shared" si="1456"/>
        <v>0</v>
      </c>
      <c r="BS79" s="868">
        <f t="shared" si="1456"/>
        <v>0</v>
      </c>
      <c r="BT79" s="868">
        <f t="shared" si="1456"/>
        <v>0</v>
      </c>
      <c r="BU79" s="868">
        <f t="shared" si="1456"/>
        <v>0</v>
      </c>
      <c r="BV79" s="868">
        <f t="shared" si="1456"/>
        <v>0</v>
      </c>
      <c r="BW79" s="868">
        <f t="shared" si="1456"/>
        <v>0</v>
      </c>
      <c r="BX79" s="868">
        <f t="shared" si="1456"/>
        <v>0</v>
      </c>
      <c r="BY79" s="868">
        <f t="shared" si="1456"/>
        <v>0</v>
      </c>
      <c r="BZ79" s="868">
        <f t="shared" si="1456"/>
        <v>0</v>
      </c>
      <c r="CA79" s="868">
        <f t="shared" si="1456"/>
        <v>0</v>
      </c>
      <c r="CB79" s="868">
        <f t="shared" si="1456"/>
        <v>0</v>
      </c>
      <c r="CC79" s="868">
        <f t="shared" si="1456"/>
        <v>0</v>
      </c>
      <c r="CD79" s="868">
        <f t="shared" si="1456"/>
        <v>0</v>
      </c>
      <c r="CE79" s="868">
        <f t="shared" si="1456"/>
        <v>0</v>
      </c>
      <c r="CF79" s="868">
        <f t="shared" si="1456"/>
        <v>0</v>
      </c>
      <c r="CG79" s="868">
        <f t="shared" ref="CG79:ER79" si="1457">+CG70+CG73+CG76</f>
        <v>0</v>
      </c>
      <c r="CH79" s="868">
        <f t="shared" si="1457"/>
        <v>0</v>
      </c>
      <c r="CI79" s="868">
        <f t="shared" si="1457"/>
        <v>0</v>
      </c>
      <c r="CJ79" s="868">
        <f t="shared" si="1457"/>
        <v>0</v>
      </c>
      <c r="CK79" s="868">
        <f t="shared" si="1457"/>
        <v>0</v>
      </c>
      <c r="CL79" s="868">
        <f t="shared" si="1457"/>
        <v>0</v>
      </c>
      <c r="CM79" s="868">
        <f t="shared" si="1457"/>
        <v>0</v>
      </c>
      <c r="CN79" s="868">
        <f t="shared" si="1457"/>
        <v>0</v>
      </c>
      <c r="CO79" s="868">
        <f t="shared" si="1457"/>
        <v>0</v>
      </c>
      <c r="CP79" s="868">
        <f t="shared" si="1457"/>
        <v>0</v>
      </c>
      <c r="CQ79" s="868">
        <f t="shared" si="1457"/>
        <v>0</v>
      </c>
      <c r="CR79" s="868">
        <f t="shared" si="1457"/>
        <v>0</v>
      </c>
      <c r="CS79" s="868">
        <f t="shared" si="1457"/>
        <v>0</v>
      </c>
      <c r="CT79" s="868" t="e">
        <f t="shared" si="1457"/>
        <v>#VALUE!</v>
      </c>
      <c r="CU79" s="868" t="e">
        <f t="shared" si="1457"/>
        <v>#VALUE!</v>
      </c>
      <c r="CV79" s="868">
        <f t="shared" si="1457"/>
        <v>0</v>
      </c>
      <c r="CW79" s="868">
        <f t="shared" si="1457"/>
        <v>0</v>
      </c>
      <c r="CX79" s="868">
        <f t="shared" si="1457"/>
        <v>0</v>
      </c>
      <c r="CY79" s="868">
        <f t="shared" si="1457"/>
        <v>0</v>
      </c>
      <c r="CZ79" s="868">
        <f t="shared" si="1457"/>
        <v>0</v>
      </c>
      <c r="DA79" s="868">
        <f t="shared" si="1457"/>
        <v>0</v>
      </c>
      <c r="DB79" s="868">
        <f t="shared" si="1457"/>
        <v>0</v>
      </c>
      <c r="DC79" s="868">
        <f t="shared" si="1457"/>
        <v>0</v>
      </c>
      <c r="DD79" s="868">
        <f t="shared" si="1457"/>
        <v>0</v>
      </c>
      <c r="DE79" s="868">
        <f t="shared" si="1457"/>
        <v>0</v>
      </c>
      <c r="DF79" s="868">
        <f t="shared" si="1457"/>
        <v>0</v>
      </c>
      <c r="DG79" s="868">
        <f t="shared" si="1457"/>
        <v>0</v>
      </c>
      <c r="DH79" s="868">
        <f t="shared" si="1457"/>
        <v>0</v>
      </c>
      <c r="DI79" s="868">
        <f t="shared" si="1457"/>
        <v>0</v>
      </c>
      <c r="DJ79" s="868">
        <f t="shared" si="1457"/>
        <v>0</v>
      </c>
      <c r="DK79" s="868">
        <f t="shared" si="1457"/>
        <v>0</v>
      </c>
      <c r="DL79" s="868">
        <f t="shared" si="1457"/>
        <v>0</v>
      </c>
      <c r="DM79" s="868">
        <f t="shared" si="1457"/>
        <v>0</v>
      </c>
      <c r="DN79" s="868">
        <f t="shared" si="1457"/>
        <v>0</v>
      </c>
      <c r="DO79" s="868">
        <f t="shared" si="1457"/>
        <v>0</v>
      </c>
      <c r="DP79" s="868">
        <f t="shared" si="1457"/>
        <v>0</v>
      </c>
      <c r="DQ79" s="868">
        <f t="shared" si="1457"/>
        <v>0</v>
      </c>
      <c r="DR79" s="868">
        <f t="shared" si="1457"/>
        <v>0</v>
      </c>
      <c r="DS79" s="868">
        <f t="shared" si="1457"/>
        <v>0</v>
      </c>
      <c r="DT79" s="868">
        <f t="shared" si="1457"/>
        <v>0</v>
      </c>
      <c r="DU79" s="868">
        <f t="shared" si="1457"/>
        <v>0</v>
      </c>
      <c r="DV79" s="868">
        <f t="shared" si="1457"/>
        <v>0</v>
      </c>
      <c r="DW79" s="868">
        <f t="shared" si="1457"/>
        <v>0</v>
      </c>
      <c r="DX79" s="868">
        <f t="shared" si="1457"/>
        <v>0</v>
      </c>
      <c r="DY79" s="868">
        <f t="shared" si="1457"/>
        <v>0</v>
      </c>
      <c r="DZ79" s="868">
        <f t="shared" si="1457"/>
        <v>0</v>
      </c>
      <c r="EA79" s="868">
        <f t="shared" si="1457"/>
        <v>0</v>
      </c>
      <c r="EB79" s="868">
        <f t="shared" si="1457"/>
        <v>0</v>
      </c>
      <c r="EC79" s="868">
        <f t="shared" si="1457"/>
        <v>0</v>
      </c>
      <c r="ED79" s="868">
        <f t="shared" si="1457"/>
        <v>0</v>
      </c>
      <c r="EE79" s="868">
        <f t="shared" si="1457"/>
        <v>0</v>
      </c>
      <c r="EF79" s="868">
        <f t="shared" si="1457"/>
        <v>0</v>
      </c>
      <c r="EG79" s="868">
        <f t="shared" si="1457"/>
        <v>0</v>
      </c>
      <c r="EH79" s="868">
        <f t="shared" si="1457"/>
        <v>0</v>
      </c>
      <c r="EI79" s="868">
        <f t="shared" si="1457"/>
        <v>0</v>
      </c>
      <c r="EJ79" s="868">
        <f t="shared" si="1457"/>
        <v>0</v>
      </c>
      <c r="EK79" s="868">
        <f t="shared" si="1457"/>
        <v>0</v>
      </c>
      <c r="EL79" s="868">
        <f t="shared" si="1457"/>
        <v>0</v>
      </c>
      <c r="EM79" s="868">
        <f t="shared" si="1457"/>
        <v>0</v>
      </c>
      <c r="EN79" s="868">
        <f t="shared" si="1457"/>
        <v>0</v>
      </c>
      <c r="EO79" s="868"/>
      <c r="EP79" s="868">
        <f t="shared" si="1457"/>
        <v>0</v>
      </c>
      <c r="EQ79" s="868">
        <f t="shared" si="1457"/>
        <v>0</v>
      </c>
      <c r="ER79" s="868">
        <f t="shared" si="1457"/>
        <v>0</v>
      </c>
      <c r="ES79" s="868">
        <f t="shared" ref="ES79:FJ79" si="1458">+ES70+ES73+ES76</f>
        <v>0</v>
      </c>
      <c r="ET79" s="868">
        <f t="shared" si="1458"/>
        <v>0</v>
      </c>
      <c r="EU79" s="868">
        <f t="shared" si="1458"/>
        <v>0</v>
      </c>
      <c r="EV79" s="868">
        <f t="shared" si="1458"/>
        <v>0</v>
      </c>
      <c r="EW79" s="868">
        <f t="shared" si="1458"/>
        <v>0</v>
      </c>
      <c r="EX79" s="868">
        <f t="shared" si="1458"/>
        <v>0</v>
      </c>
      <c r="EY79" s="868">
        <f t="shared" si="1458"/>
        <v>0</v>
      </c>
      <c r="EZ79" s="868"/>
      <c r="FA79" s="868">
        <f t="shared" si="1458"/>
        <v>0</v>
      </c>
      <c r="FB79" s="868">
        <f t="shared" si="1458"/>
        <v>0</v>
      </c>
      <c r="FC79" s="868">
        <f t="shared" si="1458"/>
        <v>0</v>
      </c>
      <c r="FD79" s="868">
        <f t="shared" si="1458"/>
        <v>0</v>
      </c>
      <c r="FE79" s="868">
        <f t="shared" si="1458"/>
        <v>0</v>
      </c>
      <c r="FF79" s="868">
        <f t="shared" si="1458"/>
        <v>0</v>
      </c>
      <c r="FG79" s="868">
        <f t="shared" si="1458"/>
        <v>0</v>
      </c>
      <c r="FH79" s="868">
        <f t="shared" si="1458"/>
        <v>0</v>
      </c>
      <c r="FI79" s="868">
        <f t="shared" si="1458"/>
        <v>0</v>
      </c>
      <c r="FJ79" s="868">
        <f t="shared" si="1458"/>
        <v>0</v>
      </c>
      <c r="FK79" s="969"/>
      <c r="FL79" s="969"/>
      <c r="FM79" s="969"/>
      <c r="FN79" s="969"/>
      <c r="FO79" s="969"/>
      <c r="FP79" s="975"/>
    </row>
    <row r="80" spans="1:178" s="216" customFormat="1" ht="15" customHeight="1" outlineLevel="1" thickTop="1">
      <c r="A80" s="1006" t="str">
        <f>$G$4</f>
        <v>MAYO  2026 2da QUINCENA</v>
      </c>
      <c r="B80" s="1006">
        <f>+$G$5</f>
        <v>2026</v>
      </c>
      <c r="C80" s="1007" t="str">
        <f t="shared" ref="C80:C137" si="1459">A80 &amp; B80</f>
        <v>MAYO  2026 2da QUINCENA2026</v>
      </c>
      <c r="D80" s="235"/>
      <c r="E80" s="235">
        <v>302010</v>
      </c>
      <c r="F80" s="268"/>
      <c r="G80" s="977" t="s">
        <v>99</v>
      </c>
      <c r="H80" s="235"/>
      <c r="J80" s="802"/>
      <c r="K80" s="802"/>
      <c r="L80" s="802"/>
      <c r="M80" s="802"/>
      <c r="N80" s="871"/>
      <c r="O80" s="958"/>
      <c r="P80" s="958"/>
      <c r="Q80" s="959"/>
      <c r="R80" s="959"/>
      <c r="S80" s="958"/>
      <c r="T80" s="701"/>
      <c r="U80" s="960"/>
      <c r="V80" s="802"/>
      <c r="W80" s="961"/>
      <c r="X80" s="802"/>
      <c r="Y80" s="961"/>
      <c r="Z80" s="802"/>
      <c r="AA80" s="961"/>
      <c r="AB80" s="881"/>
      <c r="AC80" s="961"/>
      <c r="AD80" s="802"/>
      <c r="AE80" s="962"/>
      <c r="AF80" s="802"/>
      <c r="AG80" s="973"/>
      <c r="AH80" s="802"/>
      <c r="AI80" s="974"/>
      <c r="AJ80" s="802"/>
      <c r="AK80" s="824"/>
      <c r="AL80" s="824"/>
      <c r="AM80" s="974"/>
      <c r="AN80" s="824"/>
      <c r="AO80" s="828"/>
      <c r="AP80" s="828"/>
      <c r="AQ80" s="828"/>
      <c r="AR80" s="828"/>
      <c r="AS80" s="828"/>
      <c r="AT80" s="828"/>
      <c r="AU80" s="828"/>
      <c r="AV80" s="828"/>
      <c r="AW80" s="828"/>
      <c r="AX80" s="828"/>
      <c r="AY80" s="861"/>
      <c r="AZ80" s="967"/>
      <c r="BA80" s="802"/>
      <c r="BB80" s="881"/>
      <c r="BC80" s="802"/>
      <c r="BD80" s="802"/>
      <c r="BE80" s="802"/>
      <c r="BF80" s="802"/>
      <c r="BG80" s="802"/>
      <c r="BH80" s="802"/>
      <c r="BI80" s="802"/>
      <c r="BJ80" s="802"/>
      <c r="BK80" s="802"/>
      <c r="BL80" s="802"/>
      <c r="BM80" s="802"/>
      <c r="BN80" s="802"/>
      <c r="BO80" s="802"/>
      <c r="BP80" s="802"/>
      <c r="BQ80" s="802"/>
      <c r="BR80" s="861"/>
      <c r="BS80" s="802"/>
      <c r="BT80" s="802"/>
      <c r="BU80" s="802"/>
      <c r="BV80" s="802"/>
      <c r="BW80" s="802"/>
      <c r="BX80" s="802"/>
      <c r="BY80" s="802"/>
      <c r="BZ80" s="802"/>
      <c r="CA80" s="802"/>
      <c r="CB80" s="802"/>
      <c r="CC80" s="802"/>
      <c r="CD80" s="802"/>
      <c r="CE80" s="802"/>
      <c r="CF80" s="802"/>
      <c r="CG80" s="802"/>
      <c r="CH80" s="802"/>
      <c r="CI80" s="802"/>
      <c r="CJ80" s="802"/>
      <c r="CK80" s="824"/>
      <c r="CL80" s="824"/>
      <c r="CM80" s="824"/>
      <c r="CN80" s="824"/>
      <c r="CO80" s="824"/>
      <c r="CP80" s="824"/>
      <c r="CQ80" s="824"/>
      <c r="CR80" s="824"/>
      <c r="CS80" s="824"/>
      <c r="CV80" s="802"/>
      <c r="CW80" s="802"/>
      <c r="CX80" s="802"/>
      <c r="CY80" s="802"/>
      <c r="CZ80" s="802"/>
      <c r="DA80" s="802"/>
      <c r="DB80" s="802"/>
      <c r="DC80" s="802"/>
      <c r="DD80" s="802"/>
      <c r="DE80" s="802"/>
      <c r="DF80" s="802"/>
      <c r="DG80" s="802"/>
      <c r="DH80" s="802"/>
      <c r="DI80" s="802"/>
      <c r="DJ80" s="802"/>
      <c r="DK80" s="802"/>
      <c r="DL80" s="802"/>
      <c r="DM80" s="802"/>
      <c r="DN80" s="824"/>
      <c r="DO80" s="824"/>
      <c r="DP80" s="824"/>
      <c r="DQ80" s="824"/>
      <c r="DR80" s="824"/>
      <c r="DS80" s="824"/>
      <c r="DT80" s="824"/>
      <c r="DU80" s="824"/>
      <c r="DV80" s="824"/>
      <c r="DW80" s="824"/>
      <c r="DX80" s="824"/>
      <c r="DY80" s="824"/>
      <c r="DZ80" s="824"/>
      <c r="EA80" s="824"/>
      <c r="EB80" s="824"/>
      <c r="EC80" s="824"/>
      <c r="ED80" s="824"/>
      <c r="EE80" s="824"/>
      <c r="EF80" s="824"/>
      <c r="EG80" s="824"/>
      <c r="EH80" s="824"/>
      <c r="EI80" s="824"/>
      <c r="EJ80" s="824"/>
      <c r="EK80" s="824"/>
      <c r="EL80" s="824"/>
      <c r="EM80" s="824"/>
      <c r="EN80" s="824"/>
      <c r="EX80" s="821"/>
      <c r="EY80" s="961"/>
      <c r="FA80" s="961"/>
      <c r="FB80" s="961"/>
      <c r="FC80" s="961"/>
      <c r="FD80" s="961"/>
      <c r="FE80" s="961"/>
      <c r="FF80" s="961"/>
      <c r="FG80" s="961"/>
      <c r="FH80" s="961"/>
      <c r="FI80" s="961"/>
      <c r="FJ80" s="961"/>
      <c r="FK80" s="969"/>
      <c r="FL80" s="969"/>
      <c r="FM80" s="969"/>
      <c r="FN80" s="969"/>
      <c r="FO80" s="969"/>
      <c r="FP80" s="975"/>
    </row>
    <row r="81" spans="1:184" s="216" customFormat="1" ht="15" customHeight="1" outlineLevel="1">
      <c r="A81" s="1006" t="str">
        <f>$G$4</f>
        <v>MAYO  2026 2da QUINCENA</v>
      </c>
      <c r="B81" s="1006">
        <f>+$G$5</f>
        <v>2026</v>
      </c>
      <c r="C81" s="1007" t="str">
        <f t="shared" si="1459"/>
        <v>MAYO  2026 2da QUINCENA2026</v>
      </c>
      <c r="D81" s="235"/>
      <c r="E81" s="235">
        <v>302010</v>
      </c>
      <c r="F81" s="268"/>
      <c r="G81" s="976" t="s">
        <v>623</v>
      </c>
      <c r="H81" s="235"/>
      <c r="J81" s="802"/>
      <c r="K81" s="802"/>
      <c r="L81" s="802"/>
      <c r="M81" s="802"/>
      <c r="N81" s="871"/>
      <c r="O81" s="958"/>
      <c r="P81" s="958"/>
      <c r="Q81" s="959"/>
      <c r="R81" s="959"/>
      <c r="S81" s="958"/>
      <c r="T81" s="701"/>
      <c r="U81" s="960"/>
      <c r="V81" s="802"/>
      <c r="W81" s="961"/>
      <c r="X81" s="802"/>
      <c r="Y81" s="961"/>
      <c r="Z81" s="802"/>
      <c r="AA81" s="961"/>
      <c r="AB81" s="881"/>
      <c r="AC81" s="961"/>
      <c r="AD81" s="802"/>
      <c r="AE81" s="962"/>
      <c r="AF81" s="802"/>
      <c r="AG81" s="973"/>
      <c r="AH81" s="802"/>
      <c r="AI81" s="974"/>
      <c r="AJ81" s="802"/>
      <c r="AK81" s="824"/>
      <c r="AL81" s="824"/>
      <c r="AM81" s="974"/>
      <c r="AN81" s="824"/>
      <c r="AO81" s="828"/>
      <c r="AP81" s="828"/>
      <c r="AQ81" s="828"/>
      <c r="AR81" s="828"/>
      <c r="AS81" s="828"/>
      <c r="AT81" s="828"/>
      <c r="AU81" s="828"/>
      <c r="AV81" s="828"/>
      <c r="AW81" s="828"/>
      <c r="AX81" s="828"/>
      <c r="AY81" s="861"/>
      <c r="AZ81" s="967"/>
      <c r="BA81" s="802"/>
      <c r="BB81" s="881"/>
      <c r="BC81" s="802"/>
      <c r="BD81" s="802"/>
      <c r="BE81" s="802"/>
      <c r="BF81" s="802"/>
      <c r="BG81" s="802"/>
      <c r="BH81" s="802"/>
      <c r="BI81" s="802"/>
      <c r="BJ81" s="802"/>
      <c r="BK81" s="802"/>
      <c r="BL81" s="802"/>
      <c r="BM81" s="802"/>
      <c r="BN81" s="802"/>
      <c r="BO81" s="802"/>
      <c r="BP81" s="802"/>
      <c r="BQ81" s="802"/>
      <c r="BR81" s="861"/>
      <c r="BS81" s="802"/>
      <c r="BT81" s="802"/>
      <c r="BU81" s="802"/>
      <c r="BV81" s="802"/>
      <c r="BW81" s="802"/>
      <c r="BX81" s="802"/>
      <c r="BY81" s="802"/>
      <c r="BZ81" s="802"/>
      <c r="CA81" s="802"/>
      <c r="CB81" s="802"/>
      <c r="CC81" s="802"/>
      <c r="CD81" s="802"/>
      <c r="CE81" s="802"/>
      <c r="CF81" s="802"/>
      <c r="CG81" s="802"/>
      <c r="CH81" s="802"/>
      <c r="CI81" s="802"/>
      <c r="CJ81" s="802"/>
      <c r="CK81" s="824"/>
      <c r="CL81" s="824"/>
      <c r="CM81" s="824"/>
      <c r="CN81" s="824"/>
      <c r="CO81" s="824"/>
      <c r="CP81" s="824"/>
      <c r="CQ81" s="824"/>
      <c r="CR81" s="824"/>
      <c r="CS81" s="824"/>
      <c r="CV81" s="802"/>
      <c r="CW81" s="802"/>
      <c r="CX81" s="802"/>
      <c r="CY81" s="802"/>
      <c r="CZ81" s="802"/>
      <c r="DA81" s="802"/>
      <c r="DB81" s="802"/>
      <c r="DC81" s="802"/>
      <c r="DD81" s="802"/>
      <c r="DE81" s="802"/>
      <c r="DF81" s="802"/>
      <c r="DG81" s="802"/>
      <c r="DH81" s="802"/>
      <c r="DI81" s="802"/>
      <c r="DJ81" s="802"/>
      <c r="DK81" s="802"/>
      <c r="DL81" s="802"/>
      <c r="DM81" s="802"/>
      <c r="DN81" s="824"/>
      <c r="DO81" s="824"/>
      <c r="DP81" s="824"/>
      <c r="DQ81" s="824"/>
      <c r="DR81" s="824"/>
      <c r="DS81" s="824"/>
      <c r="DT81" s="824"/>
      <c r="DU81" s="824"/>
      <c r="DV81" s="824"/>
      <c r="DW81" s="824"/>
      <c r="DX81" s="824"/>
      <c r="DY81" s="824"/>
      <c r="DZ81" s="824"/>
      <c r="EA81" s="824"/>
      <c r="EB81" s="824"/>
      <c r="EC81" s="824"/>
      <c r="ED81" s="824"/>
      <c r="EE81" s="824"/>
      <c r="EF81" s="824"/>
      <c r="EG81" s="824"/>
      <c r="EH81" s="824"/>
      <c r="EI81" s="824"/>
      <c r="EJ81" s="824"/>
      <c r="EK81" s="824"/>
      <c r="EL81" s="824"/>
      <c r="EM81" s="824"/>
      <c r="EN81" s="824"/>
      <c r="EX81" s="821"/>
      <c r="EY81" s="961"/>
      <c r="FA81" s="961"/>
      <c r="FB81" s="961"/>
      <c r="FC81" s="961"/>
      <c r="FD81" s="961"/>
      <c r="FE81" s="961"/>
      <c r="FF81" s="961"/>
      <c r="FG81" s="961"/>
      <c r="FH81" s="961"/>
      <c r="FI81" s="961"/>
      <c r="FJ81" s="961"/>
      <c r="FK81" s="969"/>
      <c r="FL81" s="969"/>
      <c r="FM81" s="969"/>
      <c r="FN81" s="969"/>
      <c r="FO81" s="969"/>
      <c r="FP81" s="975"/>
    </row>
    <row r="82" spans="1:184" s="1283" customFormat="1" ht="15" customHeight="1" outlineLevel="1">
      <c r="A82" s="1257"/>
      <c r="B82" s="1257"/>
      <c r="C82" s="1258"/>
      <c r="D82" s="1259"/>
      <c r="E82" s="1259">
        <v>302010</v>
      </c>
      <c r="F82" s="1260">
        <v>27</v>
      </c>
      <c r="G82" s="1261" t="s">
        <v>737</v>
      </c>
      <c r="H82" s="1194" t="s">
        <v>738</v>
      </c>
      <c r="I82" s="1194" t="s">
        <v>11</v>
      </c>
      <c r="J82" s="1262">
        <v>5500</v>
      </c>
      <c r="K82" s="1263">
        <v>3500</v>
      </c>
      <c r="L82" s="1263">
        <f t="shared" ref="L82" si="1460">+J82+K82</f>
        <v>9000</v>
      </c>
      <c r="M82" s="203">
        <v>30</v>
      </c>
      <c r="N82" s="1264">
        <v>0.35</v>
      </c>
      <c r="O82" s="1264">
        <v>0.45</v>
      </c>
      <c r="P82" s="1264">
        <v>0.2</v>
      </c>
      <c r="Q82" s="1265">
        <v>0</v>
      </c>
      <c r="R82" s="1265">
        <v>0</v>
      </c>
      <c r="S82" s="1265">
        <f t="shared" ref="S82" si="1461">SUM(N82:R82)</f>
        <v>1</v>
      </c>
      <c r="T82" s="1266" t="s">
        <v>761</v>
      </c>
      <c r="U82" s="1267"/>
      <c r="V82" s="1268">
        <f t="shared" ref="V82" si="1462">($J82/30/8*1.5)*U82</f>
        <v>0</v>
      </c>
      <c r="W82" s="1269"/>
      <c r="X82" s="1268">
        <f t="shared" ref="X82" si="1463">($J82/30/8*2)*W82</f>
        <v>0</v>
      </c>
      <c r="Y82" s="1270"/>
      <c r="Z82" s="1268">
        <f t="shared" ref="Z82" si="1464">($J82/30/8*1.5)*Y82</f>
        <v>0</v>
      </c>
      <c r="AA82" s="1269"/>
      <c r="AB82" s="1268">
        <f t="shared" ref="AB82" si="1465">($J82/30/8*2)*AA82</f>
        <v>0</v>
      </c>
      <c r="AC82" s="1269"/>
      <c r="AD82" s="1268">
        <f t="shared" ref="AD82" si="1466">(($J82/30/8)*1.5)*AC82</f>
        <v>0</v>
      </c>
      <c r="AE82" s="1271"/>
      <c r="AF82" s="1268">
        <f t="shared" ref="AF82" si="1467">(($J82/30/8)*2)*AE82</f>
        <v>0</v>
      </c>
      <c r="AG82" s="1263"/>
      <c r="AH82" s="1263">
        <f t="shared" ref="AH82" si="1468">(($J82/30/8)*1.5)*AG82</f>
        <v>0</v>
      </c>
      <c r="AI82" s="1263"/>
      <c r="AJ82" s="1263">
        <f t="shared" ref="AJ82" si="1469">(($J82/30/8)*2)*AI82</f>
        <v>0</v>
      </c>
      <c r="AK82" s="1263"/>
      <c r="AL82" s="1263">
        <f t="shared" ref="AL82" si="1470">(($J82/30/8)*1.5)*AK82</f>
        <v>0</v>
      </c>
      <c r="AM82" s="1272"/>
      <c r="AN82" s="1269">
        <f t="shared" ref="AN82" si="1471">(($J82/30/8)*2)*AM82</f>
        <v>0</v>
      </c>
      <c r="AO82" s="1268"/>
      <c r="AP82" s="1271"/>
      <c r="AQ82" s="1268"/>
      <c r="AR82" s="1263"/>
      <c r="AS82" s="1263"/>
      <c r="AT82" s="1263"/>
      <c r="AU82" s="1263"/>
      <c r="AV82" s="1263"/>
      <c r="AW82" s="1263"/>
      <c r="AX82" s="1272"/>
      <c r="AY82" s="1269"/>
      <c r="AZ82" s="1268"/>
      <c r="BA82" s="1271">
        <f t="shared" ref="BA82" si="1472">((J82/30)*M82)*$N82</f>
        <v>1924.9999999999998</v>
      </c>
      <c r="BB82" s="1268">
        <f>((K82/30)*M82)*$N82+350</f>
        <v>1575</v>
      </c>
      <c r="BC82" s="1263">
        <f t="shared" ref="BC82" si="1473">U82</f>
        <v>0</v>
      </c>
      <c r="BD82" s="1263">
        <f t="shared" ref="BD82" si="1474">V82</f>
        <v>0</v>
      </c>
      <c r="BE82" s="1263">
        <f t="shared" ref="BE82" si="1475">W82</f>
        <v>0</v>
      </c>
      <c r="BF82" s="1263">
        <f t="shared" ref="BF82" si="1476">X82</f>
        <v>0</v>
      </c>
      <c r="BG82" s="1263">
        <f t="shared" ref="BG82" si="1477">AO82+AT82</f>
        <v>0</v>
      </c>
      <c r="BH82" s="1262">
        <f t="shared" ref="BH82:BH83" si="1478">(BA82+BD82+BF82+BG82)*0.1267</f>
        <v>243.89749999999998</v>
      </c>
      <c r="BI82" s="1272">
        <f>SUM(BA82:BH82)-BC82-BE82</f>
        <v>3743.8975</v>
      </c>
      <c r="BJ82" s="1268">
        <f t="shared" ref="BJ82:BJ83" si="1479">(($J82/30)*$M82)*$O82</f>
        <v>2475</v>
      </c>
      <c r="BK82" s="1268">
        <f>(($K82/30)*$M82)*$O82+650</f>
        <v>2225</v>
      </c>
      <c r="BL82" s="1268">
        <f t="shared" ref="BL82" si="1480">Y82</f>
        <v>0</v>
      </c>
      <c r="BM82" s="1268">
        <f t="shared" ref="BM82" si="1481">Z82</f>
        <v>0</v>
      </c>
      <c r="BN82" s="1268">
        <f t="shared" ref="BN82" si="1482">AA82</f>
        <v>0</v>
      </c>
      <c r="BO82" s="1268">
        <f t="shared" ref="BO82" si="1483">AB82</f>
        <v>0</v>
      </c>
      <c r="BP82" s="1268">
        <v>0</v>
      </c>
      <c r="BQ82" s="1262">
        <f t="shared" ref="BQ82:BQ83" si="1484">(+BJ82+BM82+BO82+BP82)*0.1267</f>
        <v>313.58250000000004</v>
      </c>
      <c r="BR82" s="1263">
        <f t="shared" ref="BR82" si="1485">SUM(BJ82:BQ82)-BL82-BN82</f>
        <v>5013.5825000000004</v>
      </c>
      <c r="BS82" s="1268">
        <f t="shared" ref="BS82:BS83" si="1486">(($J82/30)*$M82)*$P82</f>
        <v>1100</v>
      </c>
      <c r="BT82" s="1268">
        <f>(($K82/30)*$M82)*$P82</f>
        <v>700</v>
      </c>
      <c r="BU82" s="1268">
        <f t="shared" ref="BU82" si="1487">AC82</f>
        <v>0</v>
      </c>
      <c r="BV82" s="1268">
        <f t="shared" ref="BV82" si="1488">AD82</f>
        <v>0</v>
      </c>
      <c r="BW82" s="1268">
        <f t="shared" ref="BW82" si="1489">AE82</f>
        <v>0</v>
      </c>
      <c r="BX82" s="1268">
        <f t="shared" ref="BX82" si="1490">AF82</f>
        <v>0</v>
      </c>
      <c r="BY82" s="1268">
        <f t="shared" ref="BY82" si="1491">AQ82+AV82</f>
        <v>0</v>
      </c>
      <c r="BZ82" s="1262">
        <f t="shared" ref="BZ82:BZ83" si="1492">(BS82+BV82+BX82+BY82)*0.1267</f>
        <v>139.37</v>
      </c>
      <c r="CA82" s="1268">
        <f t="shared" ref="CA82" si="1493">SUM(BS82:BZ82)-BU82-BW82</f>
        <v>1939.37</v>
      </c>
      <c r="CB82" s="1273">
        <f t="shared" ref="CB82:CB83" si="1494">(($J82/30)*$M82)*$Q82</f>
        <v>0</v>
      </c>
      <c r="CC82" s="1274">
        <f t="shared" ref="CC82:CC83" si="1495">(($K82/30)*$M82)*$Q82</f>
        <v>0</v>
      </c>
      <c r="CD82" s="1274">
        <f t="shared" ref="CD82" si="1496">AG82</f>
        <v>0</v>
      </c>
      <c r="CE82" s="1274">
        <f t="shared" ref="CE82" si="1497">AH82</f>
        <v>0</v>
      </c>
      <c r="CF82" s="1274">
        <f t="shared" ref="CF82" si="1498">AI82</f>
        <v>0</v>
      </c>
      <c r="CG82" s="1274">
        <f t="shared" ref="CG82" si="1499">AJ82</f>
        <v>0</v>
      </c>
      <c r="CH82" s="1274">
        <f t="shared" ref="CH82" si="1500">AR82+AW82</f>
        <v>0</v>
      </c>
      <c r="CI82" s="1275">
        <f t="shared" ref="CI82:CI83" si="1501">(CB82+CE82+CG82+CH82)*0.1267</f>
        <v>0</v>
      </c>
      <c r="CJ82" s="1274">
        <f t="shared" ref="CJ82" si="1502">SUM(CB82:CI82)-CD82-CF82</f>
        <v>0</v>
      </c>
      <c r="CK82" s="1274">
        <f t="shared" ref="CK82" si="1503">(($J82/30)*$M82)*R82</f>
        <v>0</v>
      </c>
      <c r="CL82" s="1274">
        <f t="shared" ref="CL82:CL83" si="1504">(($K82/30)*$M82)*$R82</f>
        <v>0</v>
      </c>
      <c r="CM82" s="1274">
        <f>+AK82</f>
        <v>0</v>
      </c>
      <c r="CN82" s="1274">
        <f t="shared" ref="CN82" si="1505">AL82</f>
        <v>0</v>
      </c>
      <c r="CO82" s="1274">
        <f t="shared" ref="CO82" si="1506">AM82</f>
        <v>0</v>
      </c>
      <c r="CP82" s="1274">
        <f t="shared" ref="CP82" si="1507">AN82</f>
        <v>0</v>
      </c>
      <c r="CQ82" s="1274">
        <f t="shared" ref="CQ82" si="1508">AS82+AX82</f>
        <v>0</v>
      </c>
      <c r="CR82" s="1274">
        <f t="shared" ref="CR82" si="1509">(CK82+CN82+CP82)*0.1267</f>
        <v>0</v>
      </c>
      <c r="CS82" s="1276">
        <f t="shared" ref="CS82" si="1510">SUM(CK82:CR82)-CM82-CO82</f>
        <v>0</v>
      </c>
      <c r="CT82" s="1259"/>
      <c r="CU82" s="1194" t="s">
        <v>11</v>
      </c>
      <c r="CV82" s="1262">
        <f t="shared" ref="CV82:CV83" si="1511">IF($CU82="PROQUIMA",$BA82+$BJ82+$BS82+$CB82+$CK82,0)</f>
        <v>0</v>
      </c>
      <c r="CW82" s="1262">
        <f t="shared" ref="CW82:CW83" si="1512">IF($CU82="PROQUIMA",$BB82+$BK82+$BT82+$CC82+$CL82,0)</f>
        <v>0</v>
      </c>
      <c r="CX82" s="1262">
        <f t="shared" ref="CX82:CX83" si="1513">IF($CU82="PROQUIMA",$BC82+$BL82+$BU82+$CD82+$CM82,0)</f>
        <v>0</v>
      </c>
      <c r="CY82" s="1262">
        <f t="shared" ref="CY82:CY83" si="1514">IF($CU82="PROQUIMA",$BD82+$BM82+$BV82+$CE82+$CN82,0)</f>
        <v>0</v>
      </c>
      <c r="CZ82" s="1262">
        <f t="shared" ref="CZ82:CZ83" si="1515">IF($CU82="PROQUIMA",$BE82+$BN82+$BW82+$CF82+$CO82,0)</f>
        <v>0</v>
      </c>
      <c r="DA82" s="1262">
        <f t="shared" ref="DA82:DA83" si="1516">IF($CU82="PROQUIMA",$BF82+$BO82+$BX82+$CG82+$CP82,0)</f>
        <v>0</v>
      </c>
      <c r="DB82" s="1262">
        <f t="shared" ref="DB82:DB83" si="1517">IF($CU82="PROQUIMA",$BG82+$BP82+$BY82+$CH82+$CQ82,0)</f>
        <v>0</v>
      </c>
      <c r="DC82" s="1262">
        <f t="shared" ref="DC82" si="1518">IF($CU82="PROQUIMA",$BH82+$BQ82+$BZ82+$CI82+CR82,0)</f>
        <v>0</v>
      </c>
      <c r="DD82" s="1262">
        <f t="shared" ref="DD82" si="1519">SUM(CV82:DC82)-CX82-CZ82</f>
        <v>0</v>
      </c>
      <c r="DE82" s="1262">
        <f t="shared" ref="DE82:DE83" si="1520">IF($CU82="UNHESA",$BA82+$BJ82+$BS82+$CB82+$CK82,0)</f>
        <v>0</v>
      </c>
      <c r="DF82" s="1262">
        <f t="shared" ref="DF82:DF83" si="1521">IF($CU82="UNHESA",$BB82+$BK82+$BT82+$CC82+$CL82,0)</f>
        <v>0</v>
      </c>
      <c r="DG82" s="1268">
        <f t="shared" ref="DG82:DG83" si="1522">IF($CU82="UNHESA",$BC82+$BL82+$BU82+$CD82+$CM82,0)</f>
        <v>0</v>
      </c>
      <c r="DH82" s="1268">
        <f t="shared" ref="DH82:DH83" si="1523">IF($CU82="UNHESA",$BD82+$BM82+$BV82+$CE82+$CN82,0)</f>
        <v>0</v>
      </c>
      <c r="DI82" s="1268">
        <f t="shared" ref="DI82:DI83" si="1524">IF($CU82="UNHESA",$BE82+$BN82+$BW82+$CF82+$CO82,0)</f>
        <v>0</v>
      </c>
      <c r="DJ82" s="1262">
        <f t="shared" ref="DJ82:DJ83" si="1525">IF($CU82="UNHESA",$BF82+$BO82+$BX82+$CG82+$CP82,0)</f>
        <v>0</v>
      </c>
      <c r="DK82" s="1262">
        <f t="shared" ref="DK82:DK83" si="1526">IF($CU82="UNHESA",$BG82+$BP82+$BY82+$CH82+$CQ82,0)</f>
        <v>0</v>
      </c>
      <c r="DL82" s="1262">
        <f t="shared" ref="DL82:DL83" si="1527">IF($CU82="UNHESA",$BH82+$BQ82+$BZ82+$CI82+$CR82,0)</f>
        <v>0</v>
      </c>
      <c r="DM82" s="1262">
        <f t="shared" ref="DM82" si="1528">SUM(DE82:DL82)-DG82-DI82</f>
        <v>0</v>
      </c>
      <c r="DN82" s="1277">
        <f t="shared" ref="DN82:DN83" si="1529">IF($CU82="UNHESA LIQUIDOS",$BA82+$BJ82+$BS82+$CB82+$CK82,0)</f>
        <v>0</v>
      </c>
      <c r="DO82" s="1277">
        <f t="shared" ref="DO82:DO83" si="1530">IF($CU82="UNHESA LIQUIDOS",$BB82+$BK82+$BT82+$CC82+$CL82,0)</f>
        <v>0</v>
      </c>
      <c r="DP82" s="1277">
        <f t="shared" ref="DP82:DP83" si="1531">IF($CU82="UNHESA LIQUIDOS",$BC82+$BL82+$BU82+$CD82+$CM82,0)</f>
        <v>0</v>
      </c>
      <c r="DQ82" s="1277">
        <f t="shared" ref="DQ82:DQ83" si="1532">IF($CU82="UNHESA LIQUIDOS",$BD82+$BM82+$BV82+$CE82+$CN82,0)</f>
        <v>0</v>
      </c>
      <c r="DR82" s="1277">
        <f t="shared" ref="DR82:DR83" si="1533">IF($CU82="UNHESA LIQUIDOS",$BE82+$BN82+$BW82+$CF82+$CO82,0)</f>
        <v>0</v>
      </c>
      <c r="DS82" s="1277">
        <f t="shared" ref="DS82:DS83" si="1534">IF($CU82="UNHESA LIQUIDOS",$BF82+$BO82+$BX82+$CG82+$CP82,0)</f>
        <v>0</v>
      </c>
      <c r="DT82" s="1277">
        <f t="shared" ref="DT82:DT83" si="1535">IF($CU82="UNHESA LIQUIDOS",$BG82+$BP82+$BY82+$CH82+$CQ82,0)</f>
        <v>0</v>
      </c>
      <c r="DU82" s="1277">
        <f t="shared" ref="DU82:DU83" si="1536">IF($CU82="UNHESA LIQUIDOS",$BH82+$BQ82+$BZ82+$CI82+$CR82,0)</f>
        <v>0</v>
      </c>
      <c r="DV82" s="1277">
        <f t="shared" ref="DV82" si="1537">SUM(DN82:DU82)-DP82-DR82</f>
        <v>0</v>
      </c>
      <c r="DW82" s="1278">
        <f>IF($CU82="CLEARTEC",$BA82+$BJ82+$BS82+$CB82+$CK82,0)</f>
        <v>0</v>
      </c>
      <c r="DX82" s="1278">
        <f t="shared" ref="DX82:ED83" si="1538">IF($CU82="CLEARTEC",$BA82+$BJ82+$BS82+$CB82+$CK82,0)</f>
        <v>0</v>
      </c>
      <c r="DY82" s="1278">
        <f t="shared" si="1538"/>
        <v>0</v>
      </c>
      <c r="DZ82" s="1278">
        <f t="shared" si="1538"/>
        <v>0</v>
      </c>
      <c r="EA82" s="1278">
        <f t="shared" si="1538"/>
        <v>0</v>
      </c>
      <c r="EB82" s="1278">
        <f t="shared" si="1538"/>
        <v>0</v>
      </c>
      <c r="EC82" s="1278">
        <f t="shared" si="1538"/>
        <v>0</v>
      </c>
      <c r="ED82" s="1278">
        <f t="shared" si="1538"/>
        <v>0</v>
      </c>
      <c r="EE82" s="1279">
        <f t="shared" ref="EE82" si="1539">SUM(DW82:ED82)-DY82-EA82</f>
        <v>0</v>
      </c>
      <c r="EF82" s="1262">
        <f t="shared" ref="EF82" si="1540">IF(CU82="ECONACIONAL",$BA82+$BJ82+$BS82+$CB82+$CK82)</f>
        <v>5500</v>
      </c>
      <c r="EG82" s="1279">
        <f t="shared" ref="EG82:EG83" si="1541">IF($CU82="ECONACIONAL",$BB82+$BK82+$BT82+$CC82+$CL82,0)</f>
        <v>4500</v>
      </c>
      <c r="EH82" s="1262">
        <f t="shared" ref="EH82" si="1542">IF(CU82="ECONACIONAL",$BC82+$BL82+$BU82+$CD82+$CM82)</f>
        <v>0</v>
      </c>
      <c r="EI82" s="1262">
        <f t="shared" ref="EI82" si="1543">IF(CU82="ECONACIONAL",$BD82+$DH82+$DQ82+$DZ82+BM82+BV82+CE82+CN82)</f>
        <v>0</v>
      </c>
      <c r="EJ82" s="1279">
        <f t="shared" ref="EJ82:EJ83" si="1544">IF($CU82="CLEARTEC",$BE82+$BN82+$BW82+$CF82+$CO82,0)</f>
        <v>0</v>
      </c>
      <c r="EK82" s="1262">
        <f t="shared" ref="EK82" si="1545">IF(CU82="ECONACIONAL",$BF82+$BO82+$BX82+$CG82+$CP82)</f>
        <v>0</v>
      </c>
      <c r="EL82" s="1262">
        <f t="shared" ref="EL82" si="1546">IF(CU82="ECONACIONAL",$BG82+$BP82+$BY82+$CH82+$CQ82)</f>
        <v>0</v>
      </c>
      <c r="EM82" s="1262">
        <f t="shared" ref="EM82" si="1547">IF(CU82="ECONACIONAL",BH82+BQ82+BZ82+CI82+CR82)</f>
        <v>696.85</v>
      </c>
      <c r="EN82" s="1262">
        <f t="shared" ref="EN82" si="1548">SUM(EF82:EM82)-EH82-EJ82</f>
        <v>10696.85</v>
      </c>
      <c r="EO82" s="1259"/>
      <c r="EP82" s="1194">
        <v>199.22</v>
      </c>
      <c r="EQ82" s="1194"/>
      <c r="ER82" s="1193"/>
      <c r="ES82" s="1194"/>
      <c r="ET82" s="1193"/>
      <c r="EU82" s="1193"/>
      <c r="EV82" s="1193"/>
      <c r="EW82" s="1193"/>
      <c r="EX82" s="1193"/>
      <c r="EY82" s="1193">
        <f t="shared" ref="EY82" si="1549">+ET82+EU82+EV82</f>
        <v>0</v>
      </c>
      <c r="EZ82" s="1280"/>
      <c r="FA82" s="1281">
        <f t="shared" ref="FA82" si="1550">IF($M82&lt;=15,EP82/2,EP82)</f>
        <v>199.22</v>
      </c>
      <c r="FB82" s="1281">
        <f t="shared" ref="FB82" si="1551">IF($M82&lt;=15,EQ82/2,EQ82)</f>
        <v>0</v>
      </c>
      <c r="FC82" s="1281">
        <f t="shared" ref="FC82" si="1552">IF($M82&lt;=15,ER82/2,ER82)</f>
        <v>0</v>
      </c>
      <c r="FD82" s="1281">
        <f t="shared" ref="FD82" si="1553">IF($M82&lt;=15,ES82/2,ES82)</f>
        <v>0</v>
      </c>
      <c r="FE82" s="1281">
        <f t="shared" ref="FE82" si="1554">IF($M82&lt;=15,ET82/2,ET82)</f>
        <v>0</v>
      </c>
      <c r="FF82" s="1281">
        <f t="shared" ref="FF82" si="1555">IF($M82&lt;=15,EU82/2,EU82)</f>
        <v>0</v>
      </c>
      <c r="FG82" s="1281">
        <f t="shared" ref="FG82" si="1556">IF($M82&lt;=15,EV82/2,EV82)</f>
        <v>0</v>
      </c>
      <c r="FH82" s="1281">
        <f t="shared" ref="FH82" si="1557">IF($M82&lt;=15,EW82/2,EW82)</f>
        <v>0</v>
      </c>
      <c r="FI82" s="1281">
        <f>IF($M82&lt;=15,EX82/2,EX82)</f>
        <v>0</v>
      </c>
      <c r="FJ82" s="1281">
        <f t="shared" ref="FJ82" si="1558">IF($M82&lt;=15,EY82/2,EY82)</f>
        <v>0</v>
      </c>
      <c r="FK82" s="1282"/>
      <c r="FL82" s="1282"/>
      <c r="FM82" s="1282"/>
      <c r="FN82" s="1282"/>
      <c r="FO82" s="1282"/>
      <c r="FP82" s="1282"/>
      <c r="FR82" s="1284">
        <f t="shared" ref="FR82" si="1559">(((J82/30/8)*1.5)*(U82+Y82+AC82))-(BD82+BM82+BV82)</f>
        <v>0</v>
      </c>
      <c r="FS82" s="1284">
        <f t="shared" ref="FS82" si="1560">(((J82/30/8)*2)*(W82+AA82+AE82))-(BF82+BO82+BX82)</f>
        <v>0</v>
      </c>
      <c r="FT82" s="1285">
        <f t="shared" ref="FT82" si="1561">(SUM(BA82:CJ82))-(SUM(EF82:EN82))</f>
        <v>0</v>
      </c>
      <c r="FU82" s="1284">
        <f t="shared" ref="FU82" si="1562">(J82/30*M82)-(EF82)</f>
        <v>0</v>
      </c>
      <c r="FV82" s="1286">
        <f t="shared" ref="FV82" si="1563">(SUM(EP82:EY82))-((SUM(FA82:FJ82))*$FV$5)</f>
        <v>-199.22</v>
      </c>
    </row>
    <row r="83" spans="1:184" s="216" customFormat="1" ht="15" customHeight="1" outlineLevel="1">
      <c r="A83" s="1006" t="str">
        <f>$G$4</f>
        <v>MAYO  2026 2da QUINCENA</v>
      </c>
      <c r="B83" s="1006">
        <f>+$G$5</f>
        <v>2026</v>
      </c>
      <c r="C83" s="1007" t="str">
        <f t="shared" si="1459"/>
        <v>MAYO  2026 2da QUINCENA2026</v>
      </c>
      <c r="D83" s="235" t="str">
        <f>+G80</f>
        <v>LOGISTICA</v>
      </c>
      <c r="E83" s="235">
        <v>302010</v>
      </c>
      <c r="F83" s="268">
        <v>28</v>
      </c>
      <c r="G83" s="199" t="s">
        <v>617</v>
      </c>
      <c r="H83" s="200" t="s">
        <v>618</v>
      </c>
      <c r="I83" s="200" t="s">
        <v>11</v>
      </c>
      <c r="J83" s="203">
        <v>4100</v>
      </c>
      <c r="K83" s="837">
        <v>250</v>
      </c>
      <c r="L83" s="837">
        <f t="shared" ref="L83" si="1564">+J83+K83</f>
        <v>4350</v>
      </c>
      <c r="M83" s="203">
        <v>30</v>
      </c>
      <c r="N83" s="867">
        <v>0.4</v>
      </c>
      <c r="O83" s="867">
        <v>0.4</v>
      </c>
      <c r="P83" s="867">
        <v>0.2</v>
      </c>
      <c r="Q83" s="204">
        <v>0</v>
      </c>
      <c r="R83" s="204">
        <v>0</v>
      </c>
      <c r="S83" s="204">
        <f t="shared" ref="S83" si="1565">SUM(N83:R83)</f>
        <v>1</v>
      </c>
      <c r="T83" s="814"/>
      <c r="U83" s="878"/>
      <c r="V83" s="239">
        <f t="shared" ref="V83" si="1566">($J83/30/8*1.5)*U83</f>
        <v>0</v>
      </c>
      <c r="W83" s="265"/>
      <c r="X83" s="239">
        <f t="shared" ref="X83" si="1567">($J83/30/8*2)*W83</f>
        <v>0</v>
      </c>
      <c r="Y83" s="238">
        <v>21</v>
      </c>
      <c r="Z83" s="239">
        <f t="shared" ref="Z83" si="1568">($J83/30/8*1.5)*Y83</f>
        <v>538.125</v>
      </c>
      <c r="AA83" s="265"/>
      <c r="AB83" s="239">
        <f t="shared" ref="AB83" si="1569">($J83/30/8*2)*AA83</f>
        <v>0</v>
      </c>
      <c r="AC83" s="265"/>
      <c r="AD83" s="239">
        <f t="shared" ref="AD83" si="1570">(($J83/30/8)*1.5)*AC83</f>
        <v>0</v>
      </c>
      <c r="AE83" s="839"/>
      <c r="AF83" s="239">
        <f t="shared" ref="AF83" si="1571">(($J83/30/8)*2)*AE83</f>
        <v>0</v>
      </c>
      <c r="AG83" s="837"/>
      <c r="AH83" s="837">
        <f t="shared" ref="AH83" si="1572">(($J83/30/8)*1.5)*AG83</f>
        <v>0</v>
      </c>
      <c r="AI83" s="837"/>
      <c r="AJ83" s="837">
        <f t="shared" ref="AJ83" si="1573">(($J83/30/8)*2)*AI83</f>
        <v>0</v>
      </c>
      <c r="AK83" s="837"/>
      <c r="AL83" s="837">
        <f t="shared" ref="AL83" si="1574">(($J83/30/8)*1.5)*AK83</f>
        <v>0</v>
      </c>
      <c r="AM83" s="874"/>
      <c r="AN83" s="265">
        <f t="shared" ref="AN83" si="1575">(($J83/30/8)*2)*AM83</f>
        <v>0</v>
      </c>
      <c r="AO83" s="239"/>
      <c r="AP83" s="839"/>
      <c r="AQ83" s="239"/>
      <c r="AR83" s="837"/>
      <c r="AS83" s="837"/>
      <c r="AT83" s="837"/>
      <c r="AU83" s="837"/>
      <c r="AV83" s="837"/>
      <c r="AW83" s="837"/>
      <c r="AX83" s="874"/>
      <c r="AY83" s="265"/>
      <c r="AZ83" s="239"/>
      <c r="BA83" s="839">
        <f t="shared" ref="BA83" si="1576">((J83/30)*M83)*$N83</f>
        <v>1640</v>
      </c>
      <c r="BB83" s="239">
        <f>((K83/30)*M83)*$N83+190</f>
        <v>290</v>
      </c>
      <c r="BC83" s="837">
        <f t="shared" ref="BC83" si="1577">U83</f>
        <v>0</v>
      </c>
      <c r="BD83" s="837">
        <f t="shared" ref="BD83" si="1578">V83</f>
        <v>0</v>
      </c>
      <c r="BE83" s="837">
        <f t="shared" ref="BE83" si="1579">W83</f>
        <v>0</v>
      </c>
      <c r="BF83" s="837">
        <f t="shared" ref="BF83" si="1580">X83</f>
        <v>0</v>
      </c>
      <c r="BG83" s="837">
        <f t="shared" ref="BG83" si="1581">AO83+AT83</f>
        <v>0</v>
      </c>
      <c r="BH83" s="203">
        <f t="shared" si="1478"/>
        <v>207.78800000000001</v>
      </c>
      <c r="BI83" s="874">
        <f>SUM(BA83:BH83)-BC83-BE83</f>
        <v>2137.788</v>
      </c>
      <c r="BJ83" s="239">
        <f t="shared" si="1479"/>
        <v>1640</v>
      </c>
      <c r="BK83" s="239">
        <f>(($K83/30)*$M83)*$O83+142.5</f>
        <v>242.5</v>
      </c>
      <c r="BL83" s="239">
        <f t="shared" ref="BL83" si="1582">Y83</f>
        <v>21</v>
      </c>
      <c r="BM83" s="239">
        <f t="shared" ref="BM83" si="1583">Z83</f>
        <v>538.125</v>
      </c>
      <c r="BN83" s="239">
        <f t="shared" ref="BN83" si="1584">AA83</f>
        <v>0</v>
      </c>
      <c r="BO83" s="239">
        <f t="shared" ref="BO83" si="1585">AB83</f>
        <v>0</v>
      </c>
      <c r="BP83" s="239">
        <v>0</v>
      </c>
      <c r="BQ83" s="203">
        <f t="shared" si="1484"/>
        <v>275.96843749999999</v>
      </c>
      <c r="BR83" s="837">
        <f t="shared" ref="BR83" si="1586">SUM(BJ83:BQ83)-BL83-BN83</f>
        <v>2696.5934375000002</v>
      </c>
      <c r="BS83" s="239">
        <f t="shared" si="1486"/>
        <v>820</v>
      </c>
      <c r="BT83" s="239">
        <f>(($K83/30)*$M83)*$P83+142.5</f>
        <v>192.5</v>
      </c>
      <c r="BU83" s="239">
        <f t="shared" ref="BU83" si="1587">AC83</f>
        <v>0</v>
      </c>
      <c r="BV83" s="239">
        <f t="shared" ref="BV83" si="1588">AD83</f>
        <v>0</v>
      </c>
      <c r="BW83" s="239">
        <f t="shared" ref="BW83" si="1589">AE83</f>
        <v>0</v>
      </c>
      <c r="BX83" s="239">
        <f t="shared" ref="BX83" si="1590">AF83</f>
        <v>0</v>
      </c>
      <c r="BY83" s="239">
        <f t="shared" ref="BY83" si="1591">AQ83+AV83</f>
        <v>0</v>
      </c>
      <c r="BZ83" s="203">
        <f t="shared" si="1492"/>
        <v>103.89400000000001</v>
      </c>
      <c r="CA83" s="239">
        <f t="shared" ref="CA83" si="1592">SUM(BS83:BZ83)-BU83-BW83</f>
        <v>1116.394</v>
      </c>
      <c r="CB83" s="875">
        <f t="shared" si="1494"/>
        <v>0</v>
      </c>
      <c r="CC83" s="876">
        <f t="shared" si="1495"/>
        <v>0</v>
      </c>
      <c r="CD83" s="876">
        <f t="shared" ref="CD83" si="1593">AG83</f>
        <v>0</v>
      </c>
      <c r="CE83" s="876">
        <f t="shared" ref="CE83" si="1594">AH83</f>
        <v>0</v>
      </c>
      <c r="CF83" s="876">
        <f t="shared" ref="CF83" si="1595">AI83</f>
        <v>0</v>
      </c>
      <c r="CG83" s="876">
        <f t="shared" ref="CG83" si="1596">AJ83</f>
        <v>0</v>
      </c>
      <c r="CH83" s="876">
        <f t="shared" ref="CH83" si="1597">AR83+AW83</f>
        <v>0</v>
      </c>
      <c r="CI83" s="703">
        <f t="shared" si="1501"/>
        <v>0</v>
      </c>
      <c r="CJ83" s="876">
        <f t="shared" ref="CJ83" si="1598">SUM(CB83:CI83)-CD83-CF83</f>
        <v>0</v>
      </c>
      <c r="CK83" s="876">
        <f t="shared" ref="CK83" si="1599">(($J83/30)*$M83)*R83</f>
        <v>0</v>
      </c>
      <c r="CL83" s="876">
        <f t="shared" si="1504"/>
        <v>0</v>
      </c>
      <c r="CM83" s="876">
        <f>+AK83</f>
        <v>0</v>
      </c>
      <c r="CN83" s="876">
        <f t="shared" ref="CN83" si="1600">AL83</f>
        <v>0</v>
      </c>
      <c r="CO83" s="876">
        <f t="shared" ref="CO83" si="1601">AM83</f>
        <v>0</v>
      </c>
      <c r="CP83" s="876">
        <f t="shared" ref="CP83" si="1602">AN83</f>
        <v>0</v>
      </c>
      <c r="CQ83" s="876">
        <f t="shared" ref="CQ83" si="1603">AS83+AX83</f>
        <v>0</v>
      </c>
      <c r="CR83" s="876">
        <f t="shared" ref="CR83" si="1604">(CK83+CN83+CP83)*0.1267</f>
        <v>0</v>
      </c>
      <c r="CS83" s="877">
        <f t="shared" ref="CS83" si="1605">SUM(CK83:CR83)-CM83-CO83</f>
        <v>0</v>
      </c>
      <c r="CT83" s="235"/>
      <c r="CU83" s="200" t="s">
        <v>11</v>
      </c>
      <c r="CV83" s="203">
        <f t="shared" si="1511"/>
        <v>0</v>
      </c>
      <c r="CW83" s="203">
        <f t="shared" si="1512"/>
        <v>0</v>
      </c>
      <c r="CX83" s="203">
        <f t="shared" si="1513"/>
        <v>0</v>
      </c>
      <c r="CY83" s="203">
        <f t="shared" si="1514"/>
        <v>0</v>
      </c>
      <c r="CZ83" s="203">
        <f t="shared" si="1515"/>
        <v>0</v>
      </c>
      <c r="DA83" s="203">
        <f t="shared" si="1516"/>
        <v>0</v>
      </c>
      <c r="DB83" s="203">
        <f t="shared" si="1517"/>
        <v>0</v>
      </c>
      <c r="DC83" s="203">
        <f t="shared" ref="DC83" si="1606">IF($CU83="PROQUIMA",$BH83+$BQ83+$BZ83+$CI83+CR83,0)</f>
        <v>0</v>
      </c>
      <c r="DD83" s="203">
        <f t="shared" ref="DD83" si="1607">SUM(CV83:DC83)-CX83-CZ83</f>
        <v>0</v>
      </c>
      <c r="DE83" s="203">
        <f t="shared" si="1520"/>
        <v>0</v>
      </c>
      <c r="DF83" s="203">
        <f t="shared" si="1521"/>
        <v>0</v>
      </c>
      <c r="DG83" s="239">
        <f t="shared" si="1522"/>
        <v>0</v>
      </c>
      <c r="DH83" s="239">
        <f t="shared" si="1523"/>
        <v>0</v>
      </c>
      <c r="DI83" s="239">
        <f t="shared" si="1524"/>
        <v>0</v>
      </c>
      <c r="DJ83" s="203">
        <f t="shared" si="1525"/>
        <v>0</v>
      </c>
      <c r="DK83" s="203">
        <f t="shared" si="1526"/>
        <v>0</v>
      </c>
      <c r="DL83" s="203">
        <f t="shared" si="1527"/>
        <v>0</v>
      </c>
      <c r="DM83" s="203">
        <f t="shared" ref="DM83" si="1608">SUM(DE83:DL83)-DG83-DI83</f>
        <v>0</v>
      </c>
      <c r="DN83" s="210">
        <f t="shared" si="1529"/>
        <v>0</v>
      </c>
      <c r="DO83" s="210">
        <f t="shared" si="1530"/>
        <v>0</v>
      </c>
      <c r="DP83" s="210">
        <f t="shared" si="1531"/>
        <v>0</v>
      </c>
      <c r="DQ83" s="210">
        <f t="shared" si="1532"/>
        <v>0</v>
      </c>
      <c r="DR83" s="210">
        <f t="shared" si="1533"/>
        <v>0</v>
      </c>
      <c r="DS83" s="210">
        <f t="shared" si="1534"/>
        <v>0</v>
      </c>
      <c r="DT83" s="210">
        <f t="shared" si="1535"/>
        <v>0</v>
      </c>
      <c r="DU83" s="210">
        <f t="shared" si="1536"/>
        <v>0</v>
      </c>
      <c r="DV83" s="210">
        <f t="shared" ref="DV83" si="1609">SUM(DN83:DU83)-DP83-DR83</f>
        <v>0</v>
      </c>
      <c r="DW83" s="241">
        <f>IF($CU83="CLEARTEC",$BA83+$BJ83+$BS83+$CB83+$CK83,0)</f>
        <v>0</v>
      </c>
      <c r="DX83" s="241">
        <f t="shared" si="1538"/>
        <v>0</v>
      </c>
      <c r="DY83" s="241">
        <f t="shared" si="1538"/>
        <v>0</v>
      </c>
      <c r="DZ83" s="241">
        <f t="shared" si="1538"/>
        <v>0</v>
      </c>
      <c r="EA83" s="241">
        <f t="shared" si="1538"/>
        <v>0</v>
      </c>
      <c r="EB83" s="241">
        <f t="shared" si="1538"/>
        <v>0</v>
      </c>
      <c r="EC83" s="241">
        <f t="shared" si="1538"/>
        <v>0</v>
      </c>
      <c r="ED83" s="241">
        <f t="shared" si="1538"/>
        <v>0</v>
      </c>
      <c r="EE83" s="242">
        <f t="shared" ref="EE83" si="1610">SUM(DW83:ED83)-DY83-EA83</f>
        <v>0</v>
      </c>
      <c r="EF83" s="203">
        <f t="shared" ref="EF83" si="1611">IF(CU83="ECONACIONAL",$BA83+$BJ83+$BS83+$CB83+$CK83)</f>
        <v>4100</v>
      </c>
      <c r="EG83" s="242">
        <f t="shared" si="1541"/>
        <v>725</v>
      </c>
      <c r="EH83" s="203">
        <f t="shared" ref="EH83" si="1612">IF(CU83="ECONACIONAL",$BC83+$BL83+$BU83+$CD83+$CM83)</f>
        <v>21</v>
      </c>
      <c r="EI83" s="203">
        <f t="shared" ref="EI83" si="1613">IF(CU83="ECONACIONAL",$BD83+$DH83+$DQ83+$DZ83+BM83+BV83+CE83+CN83)</f>
        <v>538.125</v>
      </c>
      <c r="EJ83" s="242">
        <f t="shared" si="1544"/>
        <v>0</v>
      </c>
      <c r="EK83" s="203">
        <f t="shared" ref="EK83" si="1614">IF(CU83="ECONACIONAL",$BF83+$BO83+$BX83+$CG83+$CP83)</f>
        <v>0</v>
      </c>
      <c r="EL83" s="203">
        <f t="shared" ref="EL83" si="1615">IF(CU83="ECONACIONAL",$BG83+$BP83+$BY83+$CH83+$CQ83)</f>
        <v>0</v>
      </c>
      <c r="EM83" s="203">
        <f t="shared" ref="EM83" si="1616">IF(CU83="ECONACIONAL",BH83+BQ83+BZ83+CI83+CR83)</f>
        <v>587.65043749999995</v>
      </c>
      <c r="EN83" s="203">
        <f t="shared" ref="EN83" si="1617">SUM(EF83:EM83)-EH83-EJ83</f>
        <v>5950.7754375000004</v>
      </c>
      <c r="EO83" s="235"/>
      <c r="EP83" s="1194">
        <v>175</v>
      </c>
      <c r="EQ83" s="200"/>
      <c r="ER83" s="201"/>
      <c r="ES83" s="200"/>
      <c r="ET83" s="201"/>
      <c r="EU83" s="201"/>
      <c r="EV83" s="201"/>
      <c r="EW83" s="201"/>
      <c r="EX83" s="201"/>
      <c r="EY83" s="201">
        <f t="shared" ref="EY83" si="1618">+ET83+EU83+EV83</f>
        <v>0</v>
      </c>
      <c r="EZ83" s="821"/>
      <c r="FA83" s="207">
        <f t="shared" ref="FA83" si="1619">IF($M83&lt;=15,EP83/2,EP83)</f>
        <v>175</v>
      </c>
      <c r="FB83" s="207">
        <f t="shared" ref="FB83" si="1620">IF($M83&lt;=15,EQ83/2,EQ83)</f>
        <v>0</v>
      </c>
      <c r="FC83" s="207">
        <f t="shared" ref="FC83" si="1621">IF($M83&lt;=15,ER83/2,ER83)</f>
        <v>0</v>
      </c>
      <c r="FD83" s="207">
        <f t="shared" ref="FD83" si="1622">IF($M83&lt;=15,ES83/2,ES83)</f>
        <v>0</v>
      </c>
      <c r="FE83" s="207">
        <f t="shared" ref="FE83" si="1623">IF($M83&lt;=15,ET83/2,ET83)</f>
        <v>0</v>
      </c>
      <c r="FF83" s="207">
        <f t="shared" ref="FF83" si="1624">IF($M83&lt;=15,EU83/2,EU83)</f>
        <v>0</v>
      </c>
      <c r="FG83" s="207">
        <f t="shared" ref="FG83" si="1625">IF($M83&lt;=15,EV83/2,EV83)</f>
        <v>0</v>
      </c>
      <c r="FH83" s="207">
        <f t="shared" ref="FH83" si="1626">IF($M83&lt;=15,EW83/2,EW83)</f>
        <v>0</v>
      </c>
      <c r="FI83" s="879">
        <f>IF($M83&lt;=15,EX83/2,EX83)</f>
        <v>0</v>
      </c>
      <c r="FJ83" s="207">
        <f t="shared" ref="FJ83" si="1627">IF($M83&lt;=15,EY83/2,EY83)</f>
        <v>0</v>
      </c>
      <c r="FK83" s="217"/>
      <c r="FL83" s="217"/>
      <c r="FM83" s="217"/>
      <c r="FN83" s="217"/>
      <c r="FO83" s="217"/>
      <c r="FP83" s="217"/>
      <c r="FR83" s="1178">
        <f t="shared" ref="FR83" si="1628">(((J83/30/8)*1.5)*(U83+Y83+AC83))-(BD83+BM83+BV83)</f>
        <v>0</v>
      </c>
      <c r="FS83" s="1178">
        <f t="shared" ref="FS83" si="1629">(((J83/30/8)*2)*(W83+AA83+AE83))-(BF83+BO83+BX83)</f>
        <v>0</v>
      </c>
      <c r="FT83" s="1179">
        <f t="shared" ref="FT83" si="1630">(SUM(BA83:CJ83))-(SUM(EF83:EN83))</f>
        <v>0</v>
      </c>
      <c r="FU83" s="1178">
        <f t="shared" ref="FU83" si="1631">(J83/30*M83)-(EF83)</f>
        <v>0</v>
      </c>
      <c r="FV83" s="1182">
        <f t="shared" ref="FV83" si="1632">(SUM(EP83:EY83))-((SUM(FA83:FJ83))*$FV$5)</f>
        <v>-175</v>
      </c>
    </row>
    <row r="84" spans="1:184" s="216" customFormat="1" ht="15" customHeight="1" outlineLevel="1">
      <c r="A84" s="1006" t="s">
        <v>52</v>
      </c>
      <c r="B84" s="1006" t="s">
        <v>52</v>
      </c>
      <c r="C84" s="1007" t="s">
        <v>52</v>
      </c>
      <c r="D84" s="235"/>
      <c r="E84" s="235"/>
      <c r="F84" s="268"/>
      <c r="G84" s="956"/>
      <c r="H84" s="821" t="s">
        <v>686</v>
      </c>
      <c r="J84" s="869">
        <f>SUM(J82:J83)</f>
        <v>9600</v>
      </c>
      <c r="K84" s="869">
        <f t="shared" ref="K84:BV84" si="1633">SUM(K82:K83)</f>
        <v>3750</v>
      </c>
      <c r="L84" s="869">
        <f t="shared" si="1633"/>
        <v>13350</v>
      </c>
      <c r="M84" s="869" t="s">
        <v>52</v>
      </c>
      <c r="N84" s="869" t="s">
        <v>52</v>
      </c>
      <c r="O84" s="869" t="s">
        <v>52</v>
      </c>
      <c r="P84" s="869" t="s">
        <v>52</v>
      </c>
      <c r="Q84" s="869" t="s">
        <v>52</v>
      </c>
      <c r="R84" s="869" t="s">
        <v>52</v>
      </c>
      <c r="S84" s="869" t="s">
        <v>52</v>
      </c>
      <c r="T84" s="869"/>
      <c r="U84" s="869">
        <f t="shared" si="1633"/>
        <v>0</v>
      </c>
      <c r="V84" s="869">
        <f t="shared" si="1633"/>
        <v>0</v>
      </c>
      <c r="W84" s="869">
        <f t="shared" si="1633"/>
        <v>0</v>
      </c>
      <c r="X84" s="869">
        <f t="shared" si="1633"/>
        <v>0</v>
      </c>
      <c r="Y84" s="869">
        <f t="shared" si="1633"/>
        <v>21</v>
      </c>
      <c r="Z84" s="869">
        <f t="shared" si="1633"/>
        <v>538.125</v>
      </c>
      <c r="AA84" s="869">
        <f t="shared" si="1633"/>
        <v>0</v>
      </c>
      <c r="AB84" s="869">
        <f t="shared" si="1633"/>
        <v>0</v>
      </c>
      <c r="AC84" s="869">
        <f t="shared" si="1633"/>
        <v>0</v>
      </c>
      <c r="AD84" s="869">
        <f t="shared" si="1633"/>
        <v>0</v>
      </c>
      <c r="AE84" s="869">
        <f t="shared" si="1633"/>
        <v>0</v>
      </c>
      <c r="AF84" s="869">
        <f t="shared" si="1633"/>
        <v>0</v>
      </c>
      <c r="AG84" s="869">
        <f t="shared" si="1633"/>
        <v>0</v>
      </c>
      <c r="AH84" s="869">
        <f t="shared" si="1633"/>
        <v>0</v>
      </c>
      <c r="AI84" s="869">
        <f t="shared" si="1633"/>
        <v>0</v>
      </c>
      <c r="AJ84" s="869">
        <f t="shared" si="1633"/>
        <v>0</v>
      </c>
      <c r="AK84" s="869">
        <f t="shared" si="1633"/>
        <v>0</v>
      </c>
      <c r="AL84" s="869">
        <f t="shared" si="1633"/>
        <v>0</v>
      </c>
      <c r="AM84" s="869">
        <f t="shared" si="1633"/>
        <v>0</v>
      </c>
      <c r="AN84" s="869">
        <f t="shared" si="1633"/>
        <v>0</v>
      </c>
      <c r="AO84" s="869">
        <f t="shared" si="1633"/>
        <v>0</v>
      </c>
      <c r="AP84" s="869">
        <f t="shared" si="1633"/>
        <v>0</v>
      </c>
      <c r="AQ84" s="869">
        <f t="shared" si="1633"/>
        <v>0</v>
      </c>
      <c r="AR84" s="869">
        <f t="shared" si="1633"/>
        <v>0</v>
      </c>
      <c r="AS84" s="869">
        <f t="shared" si="1633"/>
        <v>0</v>
      </c>
      <c r="AT84" s="869">
        <f t="shared" si="1633"/>
        <v>0</v>
      </c>
      <c r="AU84" s="869">
        <f t="shared" si="1633"/>
        <v>0</v>
      </c>
      <c r="AV84" s="869">
        <f t="shared" si="1633"/>
        <v>0</v>
      </c>
      <c r="AW84" s="869">
        <f t="shared" si="1633"/>
        <v>0</v>
      </c>
      <c r="AX84" s="869">
        <f t="shared" si="1633"/>
        <v>0</v>
      </c>
      <c r="AY84" s="869">
        <f t="shared" si="1633"/>
        <v>0</v>
      </c>
      <c r="AZ84" s="869">
        <f t="shared" si="1633"/>
        <v>0</v>
      </c>
      <c r="BA84" s="869">
        <f t="shared" si="1633"/>
        <v>3565</v>
      </c>
      <c r="BB84" s="869">
        <f t="shared" si="1633"/>
        <v>1865</v>
      </c>
      <c r="BC84" s="869">
        <f t="shared" si="1633"/>
        <v>0</v>
      </c>
      <c r="BD84" s="869">
        <f t="shared" si="1633"/>
        <v>0</v>
      </c>
      <c r="BE84" s="869">
        <f t="shared" si="1633"/>
        <v>0</v>
      </c>
      <c r="BF84" s="869">
        <f t="shared" si="1633"/>
        <v>0</v>
      </c>
      <c r="BG84" s="869">
        <f t="shared" si="1633"/>
        <v>0</v>
      </c>
      <c r="BH84" s="869">
        <f t="shared" si="1633"/>
        <v>451.68549999999999</v>
      </c>
      <c r="BI84" s="869">
        <f t="shared" si="1633"/>
        <v>5881.6854999999996</v>
      </c>
      <c r="BJ84" s="869">
        <f t="shared" si="1633"/>
        <v>4115</v>
      </c>
      <c r="BK84" s="869">
        <f t="shared" si="1633"/>
        <v>2467.5</v>
      </c>
      <c r="BL84" s="869">
        <f t="shared" si="1633"/>
        <v>21</v>
      </c>
      <c r="BM84" s="869">
        <f t="shared" si="1633"/>
        <v>538.125</v>
      </c>
      <c r="BN84" s="869">
        <f t="shared" si="1633"/>
        <v>0</v>
      </c>
      <c r="BO84" s="869">
        <f t="shared" si="1633"/>
        <v>0</v>
      </c>
      <c r="BP84" s="869">
        <f t="shared" si="1633"/>
        <v>0</v>
      </c>
      <c r="BQ84" s="869">
        <f t="shared" si="1633"/>
        <v>589.55093750000003</v>
      </c>
      <c r="BR84" s="869">
        <f t="shared" si="1633"/>
        <v>7710.1759375000001</v>
      </c>
      <c r="BS84" s="869">
        <f t="shared" si="1633"/>
        <v>1920</v>
      </c>
      <c r="BT84" s="869">
        <f t="shared" si="1633"/>
        <v>892.5</v>
      </c>
      <c r="BU84" s="869">
        <f t="shared" si="1633"/>
        <v>0</v>
      </c>
      <c r="BV84" s="869">
        <f t="shared" si="1633"/>
        <v>0</v>
      </c>
      <c r="BW84" s="869">
        <f t="shared" ref="BW84:EH84" si="1634">SUM(BW82:BW83)</f>
        <v>0</v>
      </c>
      <c r="BX84" s="869">
        <f t="shared" si="1634"/>
        <v>0</v>
      </c>
      <c r="BY84" s="869">
        <f t="shared" si="1634"/>
        <v>0</v>
      </c>
      <c r="BZ84" s="869">
        <f t="shared" si="1634"/>
        <v>243.26400000000001</v>
      </c>
      <c r="CA84" s="869">
        <f t="shared" si="1634"/>
        <v>3055.7640000000001</v>
      </c>
      <c r="CB84" s="869">
        <f t="shared" si="1634"/>
        <v>0</v>
      </c>
      <c r="CC84" s="869">
        <f t="shared" si="1634"/>
        <v>0</v>
      </c>
      <c r="CD84" s="869">
        <f t="shared" si="1634"/>
        <v>0</v>
      </c>
      <c r="CE84" s="869">
        <f t="shared" si="1634"/>
        <v>0</v>
      </c>
      <c r="CF84" s="869">
        <f t="shared" si="1634"/>
        <v>0</v>
      </c>
      <c r="CG84" s="869">
        <f t="shared" si="1634"/>
        <v>0</v>
      </c>
      <c r="CH84" s="869">
        <f t="shared" si="1634"/>
        <v>0</v>
      </c>
      <c r="CI84" s="869">
        <f t="shared" si="1634"/>
        <v>0</v>
      </c>
      <c r="CJ84" s="869">
        <f t="shared" si="1634"/>
        <v>0</v>
      </c>
      <c r="CK84" s="869">
        <f t="shared" si="1634"/>
        <v>0</v>
      </c>
      <c r="CL84" s="869">
        <f t="shared" si="1634"/>
        <v>0</v>
      </c>
      <c r="CM84" s="869">
        <f t="shared" si="1634"/>
        <v>0</v>
      </c>
      <c r="CN84" s="869">
        <f t="shared" si="1634"/>
        <v>0</v>
      </c>
      <c r="CO84" s="869">
        <f t="shared" si="1634"/>
        <v>0</v>
      </c>
      <c r="CP84" s="869">
        <f t="shared" si="1634"/>
        <v>0</v>
      </c>
      <c r="CQ84" s="869">
        <f t="shared" si="1634"/>
        <v>0</v>
      </c>
      <c r="CR84" s="869">
        <f t="shared" si="1634"/>
        <v>0</v>
      </c>
      <c r="CS84" s="869">
        <f t="shared" si="1634"/>
        <v>0</v>
      </c>
      <c r="CT84" s="869">
        <f t="shared" si="1634"/>
        <v>0</v>
      </c>
      <c r="CU84" s="869">
        <f t="shared" si="1634"/>
        <v>0</v>
      </c>
      <c r="CV84" s="869">
        <f t="shared" si="1634"/>
        <v>0</v>
      </c>
      <c r="CW84" s="869">
        <f t="shared" si="1634"/>
        <v>0</v>
      </c>
      <c r="CX84" s="869">
        <f t="shared" si="1634"/>
        <v>0</v>
      </c>
      <c r="CY84" s="869">
        <f t="shared" si="1634"/>
        <v>0</v>
      </c>
      <c r="CZ84" s="869">
        <f t="shared" si="1634"/>
        <v>0</v>
      </c>
      <c r="DA84" s="869">
        <f t="shared" si="1634"/>
        <v>0</v>
      </c>
      <c r="DB84" s="869">
        <f t="shared" si="1634"/>
        <v>0</v>
      </c>
      <c r="DC84" s="869">
        <f t="shared" si="1634"/>
        <v>0</v>
      </c>
      <c r="DD84" s="869">
        <f t="shared" si="1634"/>
        <v>0</v>
      </c>
      <c r="DE84" s="869">
        <f t="shared" si="1634"/>
        <v>0</v>
      </c>
      <c r="DF84" s="869">
        <f t="shared" si="1634"/>
        <v>0</v>
      </c>
      <c r="DG84" s="869">
        <f t="shared" si="1634"/>
        <v>0</v>
      </c>
      <c r="DH84" s="869">
        <f t="shared" si="1634"/>
        <v>0</v>
      </c>
      <c r="DI84" s="869">
        <f t="shared" si="1634"/>
        <v>0</v>
      </c>
      <c r="DJ84" s="869">
        <f t="shared" si="1634"/>
        <v>0</v>
      </c>
      <c r="DK84" s="869">
        <f t="shared" si="1634"/>
        <v>0</v>
      </c>
      <c r="DL84" s="869">
        <f t="shared" si="1634"/>
        <v>0</v>
      </c>
      <c r="DM84" s="869">
        <f t="shared" si="1634"/>
        <v>0</v>
      </c>
      <c r="DN84" s="869">
        <f t="shared" si="1634"/>
        <v>0</v>
      </c>
      <c r="DO84" s="869">
        <f t="shared" si="1634"/>
        <v>0</v>
      </c>
      <c r="DP84" s="869">
        <f t="shared" si="1634"/>
        <v>0</v>
      </c>
      <c r="DQ84" s="869">
        <f t="shared" si="1634"/>
        <v>0</v>
      </c>
      <c r="DR84" s="869">
        <f t="shared" si="1634"/>
        <v>0</v>
      </c>
      <c r="DS84" s="869">
        <f t="shared" si="1634"/>
        <v>0</v>
      </c>
      <c r="DT84" s="869">
        <f t="shared" si="1634"/>
        <v>0</v>
      </c>
      <c r="DU84" s="869">
        <f t="shared" si="1634"/>
        <v>0</v>
      </c>
      <c r="DV84" s="869">
        <f t="shared" si="1634"/>
        <v>0</v>
      </c>
      <c r="DW84" s="869">
        <f t="shared" si="1634"/>
        <v>0</v>
      </c>
      <c r="DX84" s="869">
        <f t="shared" si="1634"/>
        <v>0</v>
      </c>
      <c r="DY84" s="869">
        <f t="shared" si="1634"/>
        <v>0</v>
      </c>
      <c r="DZ84" s="869">
        <f t="shared" si="1634"/>
        <v>0</v>
      </c>
      <c r="EA84" s="869">
        <f t="shared" si="1634"/>
        <v>0</v>
      </c>
      <c r="EB84" s="869">
        <f t="shared" si="1634"/>
        <v>0</v>
      </c>
      <c r="EC84" s="869">
        <f t="shared" si="1634"/>
        <v>0</v>
      </c>
      <c r="ED84" s="869">
        <f t="shared" si="1634"/>
        <v>0</v>
      </c>
      <c r="EE84" s="869">
        <f t="shared" si="1634"/>
        <v>0</v>
      </c>
      <c r="EF84" s="869">
        <f t="shared" si="1634"/>
        <v>9600</v>
      </c>
      <c r="EG84" s="869">
        <f t="shared" si="1634"/>
        <v>5225</v>
      </c>
      <c r="EH84" s="869">
        <f t="shared" si="1634"/>
        <v>21</v>
      </c>
      <c r="EI84" s="869">
        <f t="shared" ref="EI84:FP84" si="1635">SUM(EI82:EI83)</f>
        <v>538.125</v>
      </c>
      <c r="EJ84" s="869">
        <f t="shared" si="1635"/>
        <v>0</v>
      </c>
      <c r="EK84" s="869">
        <f t="shared" si="1635"/>
        <v>0</v>
      </c>
      <c r="EL84" s="869">
        <f t="shared" si="1635"/>
        <v>0</v>
      </c>
      <c r="EM84" s="869">
        <f t="shared" si="1635"/>
        <v>1284.5004374999999</v>
      </c>
      <c r="EN84" s="869">
        <f t="shared" si="1635"/>
        <v>16647.625437499999</v>
      </c>
      <c r="EO84" s="869"/>
      <c r="EP84" s="869">
        <f t="shared" si="1635"/>
        <v>374.22</v>
      </c>
      <c r="EQ84" s="869">
        <f t="shared" si="1635"/>
        <v>0</v>
      </c>
      <c r="ER84" s="869">
        <f t="shared" si="1635"/>
        <v>0</v>
      </c>
      <c r="ES84" s="869">
        <f t="shared" si="1635"/>
        <v>0</v>
      </c>
      <c r="ET84" s="869">
        <f t="shared" si="1635"/>
        <v>0</v>
      </c>
      <c r="EU84" s="869">
        <f t="shared" si="1635"/>
        <v>0</v>
      </c>
      <c r="EV84" s="869">
        <f t="shared" si="1635"/>
        <v>0</v>
      </c>
      <c r="EW84" s="869">
        <f t="shared" si="1635"/>
        <v>0</v>
      </c>
      <c r="EX84" s="869">
        <f t="shared" si="1635"/>
        <v>0</v>
      </c>
      <c r="EY84" s="869">
        <f t="shared" si="1635"/>
        <v>0</v>
      </c>
      <c r="EZ84" s="869"/>
      <c r="FA84" s="869">
        <f t="shared" si="1635"/>
        <v>374.22</v>
      </c>
      <c r="FB84" s="869">
        <f t="shared" si="1635"/>
        <v>0</v>
      </c>
      <c r="FC84" s="869">
        <f t="shared" si="1635"/>
        <v>0</v>
      </c>
      <c r="FD84" s="869">
        <f t="shared" si="1635"/>
        <v>0</v>
      </c>
      <c r="FE84" s="869">
        <f t="shared" si="1635"/>
        <v>0</v>
      </c>
      <c r="FF84" s="869">
        <f t="shared" si="1635"/>
        <v>0</v>
      </c>
      <c r="FG84" s="869">
        <f t="shared" si="1635"/>
        <v>0</v>
      </c>
      <c r="FH84" s="869">
        <f t="shared" si="1635"/>
        <v>0</v>
      </c>
      <c r="FI84" s="869">
        <f t="shared" si="1635"/>
        <v>0</v>
      </c>
      <c r="FJ84" s="869">
        <f t="shared" si="1635"/>
        <v>0</v>
      </c>
      <c r="FK84" s="869">
        <f t="shared" si="1635"/>
        <v>0</v>
      </c>
      <c r="FL84" s="869">
        <f t="shared" si="1635"/>
        <v>0</v>
      </c>
      <c r="FM84" s="869">
        <f t="shared" si="1635"/>
        <v>0</v>
      </c>
      <c r="FN84" s="869">
        <f t="shared" si="1635"/>
        <v>0</v>
      </c>
      <c r="FO84" s="869">
        <f t="shared" si="1635"/>
        <v>0</v>
      </c>
      <c r="FP84" s="869">
        <f t="shared" si="1635"/>
        <v>0</v>
      </c>
    </row>
    <row r="85" spans="1:184" s="216" customFormat="1" ht="15" customHeight="1" outlineLevel="1">
      <c r="A85" s="1006" t="s">
        <v>52</v>
      </c>
      <c r="B85" s="1006" t="s">
        <v>52</v>
      </c>
      <c r="C85" s="1007" t="s">
        <v>52</v>
      </c>
      <c r="D85" s="235"/>
      <c r="E85" s="235"/>
      <c r="F85" s="268"/>
      <c r="G85" s="976" t="s">
        <v>645</v>
      </c>
      <c r="H85" s="235"/>
      <c r="J85" s="802"/>
      <c r="K85" s="802"/>
      <c r="L85" s="802"/>
      <c r="M85" s="802"/>
      <c r="N85" s="871"/>
      <c r="O85" s="958"/>
      <c r="P85" s="958"/>
      <c r="Q85" s="959"/>
      <c r="R85" s="959"/>
      <c r="S85" s="958"/>
      <c r="T85" s="701"/>
      <c r="U85" s="960"/>
      <c r="V85" s="802"/>
      <c r="W85" s="961"/>
      <c r="X85" s="802"/>
      <c r="Y85" s="961"/>
      <c r="Z85" s="802"/>
      <c r="AA85" s="961"/>
      <c r="AB85" s="881"/>
      <c r="AC85" s="961"/>
      <c r="AD85" s="802"/>
      <c r="AE85" s="962"/>
      <c r="AF85" s="802"/>
      <c r="AG85" s="973"/>
      <c r="AH85" s="802"/>
      <c r="AI85" s="974"/>
      <c r="AJ85" s="802"/>
      <c r="AK85" s="824"/>
      <c r="AL85" s="824"/>
      <c r="AM85" s="974"/>
      <c r="AN85" s="824"/>
      <c r="AO85" s="828"/>
      <c r="AP85" s="828"/>
      <c r="AQ85" s="828"/>
      <c r="AR85" s="828"/>
      <c r="AS85" s="828"/>
      <c r="AT85" s="828"/>
      <c r="AU85" s="828"/>
      <c r="AV85" s="828"/>
      <c r="AW85" s="828"/>
      <c r="AX85" s="828"/>
      <c r="AY85" s="861"/>
      <c r="AZ85" s="967"/>
      <c r="BA85" s="802"/>
      <c r="BB85" s="881"/>
      <c r="BC85" s="802"/>
      <c r="BD85" s="802"/>
      <c r="BE85" s="802"/>
      <c r="BF85" s="802"/>
      <c r="BG85" s="802"/>
      <c r="BH85" s="802"/>
      <c r="BI85" s="802"/>
      <c r="BJ85" s="802"/>
      <c r="BK85" s="802"/>
      <c r="BL85" s="802"/>
      <c r="BM85" s="802"/>
      <c r="BN85" s="802"/>
      <c r="BO85" s="802"/>
      <c r="BP85" s="802"/>
      <c r="BQ85" s="802"/>
      <c r="BR85" s="861"/>
      <c r="BS85" s="802"/>
      <c r="BT85" s="802"/>
      <c r="BU85" s="802"/>
      <c r="BV85" s="802"/>
      <c r="BW85" s="802"/>
      <c r="BX85" s="802"/>
      <c r="BY85" s="802"/>
      <c r="BZ85" s="802"/>
      <c r="CA85" s="802"/>
      <c r="CB85" s="802"/>
      <c r="CC85" s="802"/>
      <c r="CD85" s="802"/>
      <c r="CE85" s="802"/>
      <c r="CF85" s="802"/>
      <c r="CG85" s="802"/>
      <c r="CH85" s="802"/>
      <c r="CI85" s="802"/>
      <c r="CJ85" s="802"/>
      <c r="CK85" s="824"/>
      <c r="CL85" s="824"/>
      <c r="CM85" s="824"/>
      <c r="CN85" s="824"/>
      <c r="CO85" s="824"/>
      <c r="CP85" s="824"/>
      <c r="CQ85" s="824"/>
      <c r="CR85" s="824"/>
      <c r="CS85" s="824"/>
      <c r="CV85" s="802"/>
      <c r="CW85" s="802"/>
      <c r="CX85" s="802"/>
      <c r="CY85" s="802"/>
      <c r="CZ85" s="802"/>
      <c r="DA85" s="802"/>
      <c r="DB85" s="802"/>
      <c r="DC85" s="802"/>
      <c r="DD85" s="802"/>
      <c r="DE85" s="802"/>
      <c r="DF85" s="802"/>
      <c r="DG85" s="802"/>
      <c r="DH85" s="802"/>
      <c r="DI85" s="802"/>
      <c r="DJ85" s="802"/>
      <c r="DK85" s="802"/>
      <c r="DL85" s="802"/>
      <c r="DM85" s="802"/>
      <c r="DN85" s="824"/>
      <c r="DO85" s="824"/>
      <c r="DP85" s="824"/>
      <c r="DQ85" s="824"/>
      <c r="DR85" s="824"/>
      <c r="DS85" s="824"/>
      <c r="DT85" s="824"/>
      <c r="DU85" s="824"/>
      <c r="DV85" s="824"/>
      <c r="DW85" s="824"/>
      <c r="DX85" s="824"/>
      <c r="DY85" s="824"/>
      <c r="DZ85" s="824"/>
      <c r="EA85" s="824"/>
      <c r="EB85" s="824"/>
      <c r="EC85" s="824"/>
      <c r="ED85" s="824"/>
      <c r="EE85" s="824"/>
      <c r="EF85" s="824"/>
      <c r="EG85" s="824"/>
      <c r="EH85" s="824"/>
      <c r="EI85" s="824"/>
      <c r="EJ85" s="824"/>
      <c r="EK85" s="824"/>
      <c r="EL85" s="824"/>
      <c r="EM85" s="824"/>
      <c r="EN85" s="824"/>
      <c r="EX85" s="821"/>
      <c r="EY85" s="961"/>
      <c r="FA85" s="961"/>
      <c r="FB85" s="961"/>
      <c r="FC85" s="961"/>
      <c r="FD85" s="961"/>
      <c r="FE85" s="961"/>
      <c r="FF85" s="961"/>
      <c r="FG85" s="961"/>
      <c r="FH85" s="961"/>
      <c r="FI85" s="961"/>
      <c r="FJ85" s="961"/>
      <c r="FK85" s="969"/>
      <c r="FL85" s="969"/>
      <c r="FM85" s="969"/>
      <c r="FN85" s="969"/>
      <c r="FO85" s="969"/>
      <c r="FP85" s="975"/>
    </row>
    <row r="86" spans="1:184" s="821" customFormat="1" ht="15" customHeight="1" outlineLevel="1">
      <c r="A86" s="1006" t="str">
        <f>$G$4</f>
        <v>MAYO  2026 2da QUINCENA</v>
      </c>
      <c r="B86" s="1006">
        <f>+$G$5</f>
        <v>2026</v>
      </c>
      <c r="C86" s="1007" t="str">
        <f t="shared" si="1459"/>
        <v>MAYO  2026 2da QUINCENA2026</v>
      </c>
      <c r="D86" s="235" t="str">
        <f>+$G$85</f>
        <v>BODEGA MP</v>
      </c>
      <c r="E86" s="235">
        <v>302020</v>
      </c>
      <c r="F86" s="268">
        <v>29</v>
      </c>
      <c r="G86" s="199" t="s">
        <v>425</v>
      </c>
      <c r="H86" s="200" t="s">
        <v>103</v>
      </c>
      <c r="I86" s="200" t="s">
        <v>11</v>
      </c>
      <c r="J86" s="203">
        <v>4500</v>
      </c>
      <c r="K86" s="837">
        <v>350</v>
      </c>
      <c r="L86" s="837">
        <f t="shared" ref="L86:L88" si="1636">+J86+K86</f>
        <v>4850</v>
      </c>
      <c r="M86" s="203">
        <v>30</v>
      </c>
      <c r="N86" s="204">
        <v>0.4</v>
      </c>
      <c r="O86" s="204">
        <v>0.4</v>
      </c>
      <c r="P86" s="204">
        <v>0.2</v>
      </c>
      <c r="Q86" s="867">
        <v>0</v>
      </c>
      <c r="R86" s="204">
        <v>0</v>
      </c>
      <c r="S86" s="204">
        <f t="shared" ref="S86" si="1637">SUM(N86:R86)</f>
        <v>1</v>
      </c>
      <c r="T86" s="205"/>
      <c r="U86" s="238"/>
      <c r="V86" s="239">
        <f t="shared" ref="V86" si="1638">($J86/30/8*1.5)*U86</f>
        <v>0</v>
      </c>
      <c r="W86" s="265"/>
      <c r="X86" s="239">
        <f t="shared" ref="X86" si="1639">($J86/30/8*2)*W86</f>
        <v>0</v>
      </c>
      <c r="Y86" s="238">
        <v>1</v>
      </c>
      <c r="Z86" s="239">
        <f t="shared" ref="Z86" si="1640">($J86/30/8*1.5)*Y86</f>
        <v>28.125</v>
      </c>
      <c r="AA86" s="265"/>
      <c r="AB86" s="239">
        <f t="shared" ref="AB86" si="1641">($J86/30/8*2)*AA86</f>
        <v>0</v>
      </c>
      <c r="AC86" s="866"/>
      <c r="AD86" s="203">
        <f t="shared" ref="AD86:AD87" si="1642">(($J86/30/8)*1.5)*AC86</f>
        <v>0</v>
      </c>
      <c r="AE86" s="208"/>
      <c r="AF86" s="203">
        <f t="shared" ref="AF86:AF87" si="1643">(($J86/30/8)*2)*AE86</f>
        <v>0</v>
      </c>
      <c r="AG86" s="208"/>
      <c r="AH86" s="203">
        <f t="shared" ref="AH86:AH87" si="1644">(($J86/30/8)*1.5)*AG86</f>
        <v>0</v>
      </c>
      <c r="AI86" s="208"/>
      <c r="AJ86" s="203">
        <f t="shared" ref="AJ86:AJ87" si="1645">(($J86/30/8)*2)*AI86</f>
        <v>0</v>
      </c>
      <c r="AK86" s="208"/>
      <c r="AL86" s="203">
        <f t="shared" ref="AL86:AL87" si="1646">(($J86/30/8)*1.5)*AK86</f>
        <v>0</v>
      </c>
      <c r="AM86" s="208"/>
      <c r="AN86" s="203">
        <f t="shared" ref="AN86:AN87" si="1647">(($J86/30/8)*2)*AM86</f>
        <v>0</v>
      </c>
      <c r="AO86" s="202"/>
      <c r="AP86" s="202"/>
      <c r="AQ86" s="202"/>
      <c r="AR86" s="202"/>
      <c r="AS86" s="202"/>
      <c r="AT86" s="202"/>
      <c r="AU86" s="202"/>
      <c r="AV86" s="202"/>
      <c r="AW86" s="202"/>
      <c r="AX86" s="202"/>
      <c r="AY86" s="202"/>
      <c r="AZ86" s="212"/>
      <c r="BA86" s="239">
        <f t="shared" ref="BA86:BA87" si="1648">((J86/30)*M86)*$N86</f>
        <v>1800</v>
      </c>
      <c r="BB86" s="239">
        <f>((K86/30)*M86)*$N86+240</f>
        <v>380</v>
      </c>
      <c r="BC86" s="837">
        <f t="shared" ref="BC86:BC87" si="1649">U86</f>
        <v>0</v>
      </c>
      <c r="BD86" s="239">
        <f t="shared" ref="BD86:BD87" si="1650">V86</f>
        <v>0</v>
      </c>
      <c r="BE86" s="239">
        <f t="shared" ref="BE86:BE87" si="1651">W86</f>
        <v>0</v>
      </c>
      <c r="BF86" s="239">
        <f t="shared" ref="BF86:BF87" si="1652">X86</f>
        <v>0</v>
      </c>
      <c r="BG86" s="239">
        <f t="shared" ref="BG86:BG87" si="1653">AO86+AT86</f>
        <v>0</v>
      </c>
      <c r="BH86" s="203">
        <f t="shared" ref="BH86:BH89" si="1654">(BA86+BD86+BF86+BG86)*0.1267</f>
        <v>228.06</v>
      </c>
      <c r="BI86" s="239">
        <f t="shared" ref="BI86:BI87" si="1655">SUM(BA86:BH86)-BC86-BE86</f>
        <v>2408.06</v>
      </c>
      <c r="BJ86" s="239">
        <f t="shared" ref="BJ86:BJ88" si="1656">(($J86/30)*$M86)*$O86</f>
        <v>1800</v>
      </c>
      <c r="BK86" s="239">
        <f>(($K86/30)*$M86)*$O86+2250</f>
        <v>2390</v>
      </c>
      <c r="BL86" s="239">
        <f t="shared" ref="BL86:BL87" si="1657">Y86</f>
        <v>1</v>
      </c>
      <c r="BM86" s="239">
        <f t="shared" ref="BM86:BM87" si="1658">Z86</f>
        <v>28.125</v>
      </c>
      <c r="BN86" s="239">
        <f t="shared" ref="BN86:BN87" si="1659">AA86</f>
        <v>0</v>
      </c>
      <c r="BO86" s="239">
        <f t="shared" ref="BO86:BO87" si="1660">AB86</f>
        <v>0</v>
      </c>
      <c r="BP86" s="239">
        <f t="shared" ref="BP86:BP87" si="1661">AP86+AU86</f>
        <v>0</v>
      </c>
      <c r="BQ86" s="203">
        <f t="shared" ref="BQ86:BQ89" si="1662">(+BJ86+BM86+BO86+BP86)*0.1267</f>
        <v>231.62343750000002</v>
      </c>
      <c r="BR86" s="837">
        <f t="shared" ref="BR86:BR87" si="1663">SUM(BJ86:BQ86)-BL86-BN86</f>
        <v>4449.7484375000004</v>
      </c>
      <c r="BS86" s="239">
        <f t="shared" ref="BS86:BS89" si="1664">(($J86/30)*$M86)*$P86</f>
        <v>900</v>
      </c>
      <c r="BT86" s="239">
        <f t="shared" ref="BT86" si="1665">(($K86/30)*$M86)*$P86</f>
        <v>70</v>
      </c>
      <c r="BU86" s="239">
        <f t="shared" ref="BU86:BU87" si="1666">AC86</f>
        <v>0</v>
      </c>
      <c r="BV86" s="239">
        <f t="shared" ref="BV86:BV87" si="1667">AD86</f>
        <v>0</v>
      </c>
      <c r="BW86" s="239">
        <f t="shared" ref="BW86:BW87" si="1668">AE86</f>
        <v>0</v>
      </c>
      <c r="BX86" s="239">
        <f t="shared" ref="BX86:BX87" si="1669">AF86</f>
        <v>0</v>
      </c>
      <c r="BY86" s="239">
        <f t="shared" ref="BY86:BY87" si="1670">AQ86+AV86</f>
        <v>0</v>
      </c>
      <c r="BZ86" s="203">
        <f t="shared" ref="BZ86:BZ89" si="1671">(BS86+BV86+BX86+BY86)*0.1267</f>
        <v>114.03</v>
      </c>
      <c r="CA86" s="239">
        <f t="shared" ref="CA86:CA87" si="1672">SUM(BS86:BZ86)-BU86-BW86</f>
        <v>1084.03</v>
      </c>
      <c r="CB86" s="875">
        <f t="shared" ref="CB86:CB89" si="1673">(($J86/30)*$M86)*$Q86</f>
        <v>0</v>
      </c>
      <c r="CC86" s="876">
        <f t="shared" ref="CC86:CC89" si="1674">(($K86/30)*$M86)*$Q86</f>
        <v>0</v>
      </c>
      <c r="CD86" s="876">
        <f t="shared" ref="CD86:CD87" si="1675">AG86</f>
        <v>0</v>
      </c>
      <c r="CE86" s="876">
        <f t="shared" ref="CE86:CE87" si="1676">AH86</f>
        <v>0</v>
      </c>
      <c r="CF86" s="876">
        <f t="shared" ref="CF86:CF87" si="1677">AI86</f>
        <v>0</v>
      </c>
      <c r="CG86" s="876">
        <f t="shared" ref="CG86:CG87" si="1678">AJ86</f>
        <v>0</v>
      </c>
      <c r="CH86" s="876">
        <f t="shared" ref="CH86:CH87" si="1679">AR86+AW86</f>
        <v>0</v>
      </c>
      <c r="CI86" s="703">
        <f t="shared" ref="CI86:CI89" si="1680">(CB86+CE86+CG86+CH86)*0.1267</f>
        <v>0</v>
      </c>
      <c r="CJ86" s="876">
        <f t="shared" ref="CJ86:CJ87" si="1681">SUM(CB86:CI86)-CD86-CF86</f>
        <v>0</v>
      </c>
      <c r="CK86" s="876">
        <f t="shared" ref="CK86:CK87" si="1682">(($J86/30)*$M86)*R86</f>
        <v>0</v>
      </c>
      <c r="CL86" s="876">
        <f t="shared" ref="CL86:CL89" si="1683">(($K86/30)*$M86)*$R86</f>
        <v>0</v>
      </c>
      <c r="CM86" s="876">
        <f t="shared" ref="CM86:CM87" si="1684">+AK86</f>
        <v>0</v>
      </c>
      <c r="CN86" s="876">
        <f t="shared" ref="CN86:CN87" si="1685">AL86</f>
        <v>0</v>
      </c>
      <c r="CO86" s="876">
        <f t="shared" ref="CO86:CO87" si="1686">AM86</f>
        <v>0</v>
      </c>
      <c r="CP86" s="876">
        <f t="shared" ref="CP86:CP87" si="1687">AN86</f>
        <v>0</v>
      </c>
      <c r="CQ86" s="876">
        <f t="shared" ref="CQ86:CQ87" si="1688">AS86+AX86</f>
        <v>0</v>
      </c>
      <c r="CR86" s="876">
        <f t="shared" ref="CR86:CR87" si="1689">(CK86+CN86+CP86)*0.1267</f>
        <v>0</v>
      </c>
      <c r="CS86" s="877">
        <f t="shared" ref="CS86:CS87" si="1690">SUM(CK86:CR86)-CM86-CO86</f>
        <v>0</v>
      </c>
      <c r="CT86" s="235"/>
      <c r="CU86" s="201" t="s">
        <v>11</v>
      </c>
      <c r="CV86" s="203">
        <f t="shared" ref="CV86:CV89" si="1691">IF($CU86="PROQUIMA",$BA86+$BJ86+$BS86+$CB86+$CK86,0)</f>
        <v>0</v>
      </c>
      <c r="CW86" s="203">
        <f t="shared" ref="CW86:CW89" si="1692">IF($CU86="PROQUIMA",$BB86+$BK86+$BT86+$CC86+$CL86,0)</f>
        <v>0</v>
      </c>
      <c r="CX86" s="203">
        <f t="shared" ref="CX86:CX89" si="1693">IF($CU86="PROQUIMA",$BC86+$BL86+$BU86+$CD86+$CM86,0)</f>
        <v>0</v>
      </c>
      <c r="CY86" s="203">
        <f t="shared" ref="CY86:CY89" si="1694">IF($CU86="PROQUIMA",$BD86+$BM86+$BV86+$CE86+$CN86,0)</f>
        <v>0</v>
      </c>
      <c r="CZ86" s="203">
        <f t="shared" ref="CZ86:CZ89" si="1695">IF($CU86="PROQUIMA",$BE86+$BN86+$BW86+$CF86+$CO86,0)</f>
        <v>0</v>
      </c>
      <c r="DA86" s="203">
        <f t="shared" ref="DA86:DA89" si="1696">IF($CU86="PROQUIMA",$BF86+$BO86+$BX86+$CG86+$CP86,0)</f>
        <v>0</v>
      </c>
      <c r="DB86" s="203">
        <f t="shared" ref="DB86:DB89" si="1697">IF($CU86="PROQUIMA",$BG86+$BP86+$BY86+$CH86+$CQ86,0)</f>
        <v>0</v>
      </c>
      <c r="DC86" s="203">
        <f t="shared" ref="DC86:DC87" si="1698">IF($CU86="PROQUIMA",$BH86+$BQ86+$BZ86+$CI86+CR86,0)</f>
        <v>0</v>
      </c>
      <c r="DD86" s="203">
        <f t="shared" ref="DD86:DD87" si="1699">SUM(CV86:DC86)-CX86-CZ86</f>
        <v>0</v>
      </c>
      <c r="DE86" s="203">
        <f t="shared" ref="DE86:DE89" si="1700">IF($CU86="UNHESA",$BA86+$BJ86+$BS86+$CB86+$CK86,0)</f>
        <v>0</v>
      </c>
      <c r="DF86" s="203">
        <f t="shared" ref="DF86:DF89" si="1701">IF($CU86="UNHESA",$BB86+$BK86+$BT86+$CC86+$CL86,0)</f>
        <v>0</v>
      </c>
      <c r="DG86" s="239">
        <f t="shared" ref="DG86:DG89" si="1702">IF($CU86="UNHESA",$BC86+$BL86+$BU86+$CD86+$CM86,0)</f>
        <v>0</v>
      </c>
      <c r="DH86" s="239">
        <f t="shared" ref="DH86:DH89" si="1703">IF($CU86="UNHESA",$BD86+$BM86+$BV86+$CE86+$CN86,0)</f>
        <v>0</v>
      </c>
      <c r="DI86" s="239">
        <f t="shared" ref="DI86:DI89" si="1704">IF($CU86="UNHESA",$BE86+$BN86+$BW86+$CF86+$CO86,0)</f>
        <v>0</v>
      </c>
      <c r="DJ86" s="203">
        <f t="shared" ref="DJ86:DJ89" si="1705">IF($CU86="UNHESA",$BF86+$BO86+$BX86+$CG86+$CP86,0)</f>
        <v>0</v>
      </c>
      <c r="DK86" s="203">
        <f t="shared" ref="DK86:DK89" si="1706">IF($CU86="UNHESA",$BG86+$BP86+$BY86+$CH86+$CQ86,0)</f>
        <v>0</v>
      </c>
      <c r="DL86" s="203">
        <f t="shared" ref="DL86:DL89" si="1707">IF($CU86="UNHESA",$BH86+$BQ86+$BZ86+$CI86+$CR86,0)</f>
        <v>0</v>
      </c>
      <c r="DM86" s="203">
        <f t="shared" ref="DM86:DM87" si="1708">SUM(DE86:DL86)-DG86-DI86</f>
        <v>0</v>
      </c>
      <c r="DN86" s="210">
        <f t="shared" ref="DN86:DN89" si="1709">IF($CU86="UNHESA LIQUIDOS",$BA86+$BJ86+$BS86+$CB86+$CK86,0)</f>
        <v>0</v>
      </c>
      <c r="DO86" s="210">
        <f t="shared" ref="DO86:DO89" si="1710">IF($CU86="UNHESA LIQUIDOS",$BB86+$BK86+$BT86+$CC86+$CL86,0)</f>
        <v>0</v>
      </c>
      <c r="DP86" s="210">
        <f t="shared" ref="DP86:DP89" si="1711">IF($CU86="UNHESA LIQUIDOS",$BC86+$BL86+$BU86+$CD86+$CM86,0)</f>
        <v>0</v>
      </c>
      <c r="DQ86" s="210">
        <f t="shared" ref="DQ86:DQ89" si="1712">IF($CU86="UNHESA LIQUIDOS",$BD86+$BM86+$BV86+$CE86+$CN86,0)</f>
        <v>0</v>
      </c>
      <c r="DR86" s="210">
        <f t="shared" ref="DR86:DR89" si="1713">IF($CU86="UNHESA LIQUIDOS",$BE86+$BN86+$BW86+$CF86+$CO86,0)</f>
        <v>0</v>
      </c>
      <c r="DS86" s="210">
        <f t="shared" ref="DS86:DS89" si="1714">IF($CU86="UNHESA LIQUIDOS",$BF86+$BO86+$BX86+$CG86+$CP86,0)</f>
        <v>0</v>
      </c>
      <c r="DT86" s="210">
        <f t="shared" ref="DT86:DT89" si="1715">IF($CU86="UNHESA LIQUIDOS",$BG86+$BP86+$BY86+$CH86+$CQ86,0)</f>
        <v>0</v>
      </c>
      <c r="DU86" s="210">
        <f t="shared" ref="DU86:DU89" si="1716">IF($CU86="UNHESA LIQUIDOS",$BH86+$BQ86+$BZ86+$CI86+$CR86,0)</f>
        <v>0</v>
      </c>
      <c r="DV86" s="210">
        <f t="shared" ref="DV86:DV87" si="1717">SUM(DN86:DU86)-DP86-DR86</f>
        <v>0</v>
      </c>
      <c r="DW86" s="241">
        <f>IF($CU86="CLEARTEC",$BA86+$BJ86+$BS86+$CB86+$CK86,0)</f>
        <v>0</v>
      </c>
      <c r="DX86" s="241">
        <f t="shared" ref="DX86:ED89" si="1718">IF($CU86="CLEARTEC",$BA86+$BJ86+$BS86+$CB86+$CK86,0)</f>
        <v>0</v>
      </c>
      <c r="DY86" s="241">
        <f t="shared" si="1718"/>
        <v>0</v>
      </c>
      <c r="DZ86" s="241">
        <f t="shared" si="1718"/>
        <v>0</v>
      </c>
      <c r="EA86" s="241">
        <f t="shared" si="1718"/>
        <v>0</v>
      </c>
      <c r="EB86" s="241">
        <f t="shared" si="1718"/>
        <v>0</v>
      </c>
      <c r="EC86" s="241">
        <f t="shared" si="1718"/>
        <v>0</v>
      </c>
      <c r="ED86" s="241">
        <f t="shared" si="1718"/>
        <v>0</v>
      </c>
      <c r="EE86" s="242">
        <f t="shared" ref="EE86" si="1719">SUM(DW86:ED86)-DY86-EA86</f>
        <v>0</v>
      </c>
      <c r="EF86" s="203">
        <f t="shared" ref="EF86:EF87" si="1720">IF(CU86="ECONACIONAL",$BA86+$BJ86+$BS86+$CB86+$CK86)</f>
        <v>4500</v>
      </c>
      <c r="EG86" s="242">
        <f t="shared" ref="EG86" si="1721">IF($CU86="ECONACIONAL",$BB86+$BK86+$BT86+$CC86+$CL86,0)</f>
        <v>2840</v>
      </c>
      <c r="EH86" s="203">
        <f t="shared" ref="EH86:EH87" si="1722">IF(CU86="ECONACIONAL",$BC86+$BL86+$BU86+$CD86+$CM86)</f>
        <v>1</v>
      </c>
      <c r="EI86" s="203">
        <f t="shared" ref="EI86:EI87" si="1723">IF(CU86="ECONACIONAL",$BD86+$DH86+$DQ86+$DZ86+BM86+BV86+CE86+CN86)</f>
        <v>28.125</v>
      </c>
      <c r="EJ86" s="242">
        <f t="shared" ref="EJ86:EJ89" si="1724">IF($CU86="CLEARTEC",$BE86+$BN86+$BW86+$CF86+$CO86,0)</f>
        <v>0</v>
      </c>
      <c r="EK86" s="203">
        <f t="shared" ref="EK86:EK87" si="1725">IF(CU86="ECONACIONAL",$BF86+$BO86+$BX86+$CG86+$CP86)</f>
        <v>0</v>
      </c>
      <c r="EL86" s="203">
        <f t="shared" ref="EL86:EL87" si="1726">IF(CU86="ECONACIONAL",$BG86+$BP86+$BY86+$CH86+$CQ86)</f>
        <v>0</v>
      </c>
      <c r="EM86" s="203">
        <f t="shared" ref="EM86:EM87" si="1727">IF(CU86="ECONACIONAL",BH86+BQ86+BZ86+CI86+CR86)</f>
        <v>573.71343750000005</v>
      </c>
      <c r="EN86" s="203">
        <f t="shared" ref="EN86:EN87" si="1728">SUM(EF86:EM86)-EH86-EJ86</f>
        <v>7941.8384375000005</v>
      </c>
      <c r="EO86" s="235"/>
      <c r="EP86" s="1196">
        <v>282</v>
      </c>
      <c r="EQ86" s="786"/>
      <c r="ER86" s="786"/>
      <c r="ES86" s="201"/>
      <c r="ET86" s="200"/>
      <c r="EU86" s="200"/>
      <c r="EV86" s="200"/>
      <c r="EW86" s="786"/>
      <c r="EX86" s="786"/>
      <c r="EY86" s="201">
        <f t="shared" ref="EY86:EY87" si="1729">+ET86+EU86+EV86</f>
        <v>0</v>
      </c>
      <c r="FA86" s="207">
        <f t="shared" ref="FA86:FA87" si="1730">IF($M86&lt;=15,EP86/2,EP86)</f>
        <v>282</v>
      </c>
      <c r="FB86" s="207">
        <f t="shared" ref="FB86:FB87" si="1731">IF($M86&lt;=15,EQ86/2,EQ86)</f>
        <v>0</v>
      </c>
      <c r="FC86" s="207">
        <f t="shared" ref="FC86:FC87" si="1732">IF($M86&lt;=15,ER86/2,ER86)</f>
        <v>0</v>
      </c>
      <c r="FD86" s="207">
        <f t="shared" ref="FD86:FD87" si="1733">IF($M86&lt;=15,ES86/2,ES86)</f>
        <v>0</v>
      </c>
      <c r="FE86" s="207">
        <f t="shared" ref="FE86:FE87" si="1734">IF($M86&lt;=15,ET86/2,ET86)</f>
        <v>0</v>
      </c>
      <c r="FF86" s="207">
        <f t="shared" ref="FF86:FF87" si="1735">IF($M86&lt;=15,EU86/2,EU86)</f>
        <v>0</v>
      </c>
      <c r="FG86" s="207">
        <f t="shared" ref="FG86:FG87" si="1736">IF($M86&lt;=15,EV86/2,EV86)</f>
        <v>0</v>
      </c>
      <c r="FH86" s="207">
        <f t="shared" ref="FH86:FH87" si="1737">IF($M86&lt;=15,EW86/2,EW86)</f>
        <v>0</v>
      </c>
      <c r="FI86" s="207">
        <f t="shared" ref="FI86:FI87" si="1738">IF($M86&lt;=15,EX86/2,EX86)</f>
        <v>0</v>
      </c>
      <c r="FJ86" s="207">
        <f t="shared" ref="FJ86:FJ87" si="1739">IF($M86&lt;=15,EY86/2,EY86)</f>
        <v>0</v>
      </c>
      <c r="FK86" s="217">
        <v>0.4</v>
      </c>
      <c r="FL86" s="217">
        <v>0.4</v>
      </c>
      <c r="FM86" s="217">
        <v>0.2</v>
      </c>
      <c r="FN86" s="217">
        <v>0</v>
      </c>
      <c r="FO86" s="217">
        <v>0</v>
      </c>
      <c r="FP86" s="217">
        <f>FO86+FN86+FM86+FL86+FK86</f>
        <v>1</v>
      </c>
      <c r="FQ86" s="216"/>
      <c r="FR86" s="1178">
        <f t="shared" ref="FR86:FR87" si="1740">(((J86/30/8)*1.5)*(U86+Y86+AC86))-(BD86+BM86+BV86)</f>
        <v>0</v>
      </c>
      <c r="FS86" s="1178">
        <f t="shared" ref="FS86:FS87" si="1741">(((J86/30/8)*2)*(W86+AA86+AE86))-(BF86+BO86+BX86)</f>
        <v>0</v>
      </c>
      <c r="FT86" s="1179">
        <f t="shared" ref="FT86:FT87" si="1742">(SUM(BA86:CJ86))-(SUM(EF86:EN86))</f>
        <v>0</v>
      </c>
      <c r="FU86" s="1178">
        <f t="shared" ref="FU86:FU87" si="1743">(J86/30*M86)-(EF86)</f>
        <v>0</v>
      </c>
      <c r="FV86" s="1182">
        <f t="shared" ref="FV86:FV87" si="1744">(SUM(EP86:EY86))-((SUM(FA86:FJ86))*$FV$5)</f>
        <v>-282</v>
      </c>
    </row>
    <row r="87" spans="1:184" s="821" customFormat="1" ht="15" customHeight="1" outlineLevel="1">
      <c r="A87" s="1006" t="str">
        <f>$G$4</f>
        <v>MAYO  2026 2da QUINCENA</v>
      </c>
      <c r="B87" s="1006">
        <f>+$G$5</f>
        <v>2026</v>
      </c>
      <c r="C87" s="1007" t="str">
        <f t="shared" si="1459"/>
        <v>MAYO  2026 2da QUINCENA2026</v>
      </c>
      <c r="D87" s="235" t="str">
        <f t="shared" ref="D87" si="1745">+$G$85</f>
        <v>BODEGA MP</v>
      </c>
      <c r="E87" s="235">
        <v>302020</v>
      </c>
      <c r="F87" s="268">
        <f>+F86+1</f>
        <v>30</v>
      </c>
      <c r="G87" s="199" t="s">
        <v>608</v>
      </c>
      <c r="H87" s="200" t="s">
        <v>561</v>
      </c>
      <c r="I87" s="200" t="s">
        <v>11</v>
      </c>
      <c r="J87" s="203">
        <v>4500</v>
      </c>
      <c r="K87" s="837">
        <v>502.28</v>
      </c>
      <c r="L87" s="837">
        <f t="shared" si="1636"/>
        <v>5002.28</v>
      </c>
      <c r="M87" s="203">
        <v>30</v>
      </c>
      <c r="N87" s="204">
        <v>0.5</v>
      </c>
      <c r="O87" s="204">
        <v>0.3</v>
      </c>
      <c r="P87" s="204">
        <v>0.2</v>
      </c>
      <c r="Q87" s="867">
        <v>0</v>
      </c>
      <c r="R87" s="204">
        <v>0</v>
      </c>
      <c r="S87" s="204">
        <f t="shared" ref="S87:S88" si="1746">SUM(N87:R87)</f>
        <v>1</v>
      </c>
      <c r="T87" s="205"/>
      <c r="U87" s="238">
        <v>3</v>
      </c>
      <c r="V87" s="239">
        <f>($J87/30/8*1.5)*U87</f>
        <v>84.375</v>
      </c>
      <c r="W87" s="265"/>
      <c r="X87" s="239">
        <f>($J87/30/8*2)*W87</f>
        <v>0</v>
      </c>
      <c r="Y87" s="238"/>
      <c r="Z87" s="239">
        <f>($J87/30/8*1.5)*Y87</f>
        <v>0</v>
      </c>
      <c r="AA87" s="265"/>
      <c r="AB87" s="239">
        <f>($J87/30/8*2)*AA87</f>
        <v>0</v>
      </c>
      <c r="AC87" s="866"/>
      <c r="AD87" s="203">
        <f t="shared" si="1642"/>
        <v>0</v>
      </c>
      <c r="AE87" s="208"/>
      <c r="AF87" s="203">
        <f t="shared" si="1643"/>
        <v>0</v>
      </c>
      <c r="AG87" s="208"/>
      <c r="AH87" s="203">
        <f t="shared" si="1644"/>
        <v>0</v>
      </c>
      <c r="AI87" s="208"/>
      <c r="AJ87" s="203">
        <f t="shared" si="1645"/>
        <v>0</v>
      </c>
      <c r="AK87" s="208"/>
      <c r="AL87" s="203">
        <f t="shared" si="1646"/>
        <v>0</v>
      </c>
      <c r="AM87" s="208"/>
      <c r="AN87" s="203">
        <f t="shared" si="1647"/>
        <v>0</v>
      </c>
      <c r="AO87" s="202"/>
      <c r="AP87" s="202"/>
      <c r="AQ87" s="202"/>
      <c r="AR87" s="202"/>
      <c r="AS87" s="202"/>
      <c r="AT87" s="202"/>
      <c r="AU87" s="202"/>
      <c r="AV87" s="202"/>
      <c r="AW87" s="202"/>
      <c r="AX87" s="202"/>
      <c r="AY87" s="202"/>
      <c r="AZ87" s="212"/>
      <c r="BA87" s="239">
        <f t="shared" si="1648"/>
        <v>2250</v>
      </c>
      <c r="BB87" s="239">
        <f>((K87/30)*M87)*$N87+230</f>
        <v>481.14</v>
      </c>
      <c r="BC87" s="837">
        <f t="shared" si="1649"/>
        <v>3</v>
      </c>
      <c r="BD87" s="239">
        <f t="shared" si="1650"/>
        <v>84.375</v>
      </c>
      <c r="BE87" s="239">
        <f t="shared" si="1651"/>
        <v>0</v>
      </c>
      <c r="BF87" s="239">
        <f t="shared" si="1652"/>
        <v>0</v>
      </c>
      <c r="BG87" s="239">
        <f t="shared" si="1653"/>
        <v>0</v>
      </c>
      <c r="BH87" s="203">
        <f t="shared" si="1654"/>
        <v>295.76531249999999</v>
      </c>
      <c r="BI87" s="239">
        <f t="shared" si="1655"/>
        <v>3111.2803125</v>
      </c>
      <c r="BJ87" s="239">
        <f t="shared" si="1656"/>
        <v>1350</v>
      </c>
      <c r="BK87" s="239">
        <f>(($K87/30)*$M87)*$O87+115</f>
        <v>265.68399999999997</v>
      </c>
      <c r="BL87" s="239">
        <f t="shared" si="1657"/>
        <v>0</v>
      </c>
      <c r="BM87" s="239">
        <f t="shared" si="1658"/>
        <v>0</v>
      </c>
      <c r="BN87" s="239">
        <f t="shared" si="1659"/>
        <v>0</v>
      </c>
      <c r="BO87" s="239">
        <f t="shared" si="1660"/>
        <v>0</v>
      </c>
      <c r="BP87" s="239">
        <f t="shared" si="1661"/>
        <v>0</v>
      </c>
      <c r="BQ87" s="203">
        <f t="shared" si="1662"/>
        <v>171.04500000000002</v>
      </c>
      <c r="BR87" s="837">
        <f t="shared" si="1663"/>
        <v>1786.729</v>
      </c>
      <c r="BS87" s="239">
        <f t="shared" si="1664"/>
        <v>900</v>
      </c>
      <c r="BT87" s="239">
        <f>(($K87/30)*$M87)*$P87+115</f>
        <v>215.45600000000002</v>
      </c>
      <c r="BU87" s="239">
        <f t="shared" si="1666"/>
        <v>0</v>
      </c>
      <c r="BV87" s="239">
        <f t="shared" si="1667"/>
        <v>0</v>
      </c>
      <c r="BW87" s="239">
        <f t="shared" si="1668"/>
        <v>0</v>
      </c>
      <c r="BX87" s="239">
        <f t="shared" si="1669"/>
        <v>0</v>
      </c>
      <c r="BY87" s="239">
        <f t="shared" si="1670"/>
        <v>0</v>
      </c>
      <c r="BZ87" s="203">
        <f t="shared" si="1671"/>
        <v>114.03</v>
      </c>
      <c r="CA87" s="239">
        <f t="shared" si="1672"/>
        <v>1229.4860000000001</v>
      </c>
      <c r="CB87" s="875">
        <f t="shared" si="1673"/>
        <v>0</v>
      </c>
      <c r="CC87" s="876">
        <f t="shared" si="1674"/>
        <v>0</v>
      </c>
      <c r="CD87" s="876">
        <f t="shared" si="1675"/>
        <v>0</v>
      </c>
      <c r="CE87" s="876">
        <f t="shared" si="1676"/>
        <v>0</v>
      </c>
      <c r="CF87" s="876">
        <f t="shared" si="1677"/>
        <v>0</v>
      </c>
      <c r="CG87" s="876">
        <f t="shared" si="1678"/>
        <v>0</v>
      </c>
      <c r="CH87" s="876">
        <f t="shared" si="1679"/>
        <v>0</v>
      </c>
      <c r="CI87" s="703">
        <f t="shared" si="1680"/>
        <v>0</v>
      </c>
      <c r="CJ87" s="876">
        <f t="shared" si="1681"/>
        <v>0</v>
      </c>
      <c r="CK87" s="876">
        <f t="shared" si="1682"/>
        <v>0</v>
      </c>
      <c r="CL87" s="876">
        <f t="shared" si="1683"/>
        <v>0</v>
      </c>
      <c r="CM87" s="876">
        <f t="shared" si="1684"/>
        <v>0</v>
      </c>
      <c r="CN87" s="876">
        <f t="shared" si="1685"/>
        <v>0</v>
      </c>
      <c r="CO87" s="876">
        <f t="shared" si="1686"/>
        <v>0</v>
      </c>
      <c r="CP87" s="876">
        <f t="shared" si="1687"/>
        <v>0</v>
      </c>
      <c r="CQ87" s="876">
        <f t="shared" si="1688"/>
        <v>0</v>
      </c>
      <c r="CR87" s="876">
        <f t="shared" si="1689"/>
        <v>0</v>
      </c>
      <c r="CS87" s="877">
        <f t="shared" si="1690"/>
        <v>0</v>
      </c>
      <c r="CT87" s="235"/>
      <c r="CU87" s="201" t="s">
        <v>11</v>
      </c>
      <c r="CV87" s="203">
        <f t="shared" si="1691"/>
        <v>0</v>
      </c>
      <c r="CW87" s="203">
        <f t="shared" si="1692"/>
        <v>0</v>
      </c>
      <c r="CX87" s="203">
        <f t="shared" si="1693"/>
        <v>0</v>
      </c>
      <c r="CY87" s="203">
        <f t="shared" si="1694"/>
        <v>0</v>
      </c>
      <c r="CZ87" s="203">
        <f t="shared" si="1695"/>
        <v>0</v>
      </c>
      <c r="DA87" s="203">
        <f t="shared" si="1696"/>
        <v>0</v>
      </c>
      <c r="DB87" s="203">
        <f t="shared" si="1697"/>
        <v>0</v>
      </c>
      <c r="DC87" s="203">
        <f t="shared" si="1698"/>
        <v>0</v>
      </c>
      <c r="DD87" s="203">
        <f t="shared" si="1699"/>
        <v>0</v>
      </c>
      <c r="DE87" s="203">
        <f t="shared" si="1700"/>
        <v>0</v>
      </c>
      <c r="DF87" s="203">
        <f t="shared" si="1701"/>
        <v>0</v>
      </c>
      <c r="DG87" s="239">
        <f t="shared" si="1702"/>
        <v>0</v>
      </c>
      <c r="DH87" s="239">
        <f t="shared" si="1703"/>
        <v>0</v>
      </c>
      <c r="DI87" s="239">
        <f t="shared" si="1704"/>
        <v>0</v>
      </c>
      <c r="DJ87" s="203">
        <f t="shared" si="1705"/>
        <v>0</v>
      </c>
      <c r="DK87" s="203">
        <f t="shared" si="1706"/>
        <v>0</v>
      </c>
      <c r="DL87" s="203">
        <f t="shared" si="1707"/>
        <v>0</v>
      </c>
      <c r="DM87" s="203">
        <f t="shared" si="1708"/>
        <v>0</v>
      </c>
      <c r="DN87" s="210">
        <f t="shared" si="1709"/>
        <v>0</v>
      </c>
      <c r="DO87" s="210">
        <f t="shared" si="1710"/>
        <v>0</v>
      </c>
      <c r="DP87" s="210">
        <f t="shared" si="1711"/>
        <v>0</v>
      </c>
      <c r="DQ87" s="210">
        <f t="shared" si="1712"/>
        <v>0</v>
      </c>
      <c r="DR87" s="210">
        <f t="shared" si="1713"/>
        <v>0</v>
      </c>
      <c r="DS87" s="210">
        <f t="shared" si="1714"/>
        <v>0</v>
      </c>
      <c r="DT87" s="210">
        <f t="shared" si="1715"/>
        <v>0</v>
      </c>
      <c r="DU87" s="210">
        <f t="shared" si="1716"/>
        <v>0</v>
      </c>
      <c r="DV87" s="210">
        <f t="shared" si="1717"/>
        <v>0</v>
      </c>
      <c r="DW87" s="241">
        <f t="shared" ref="DW87:DW89" si="1747">IF($CU87="CLEARTEC",$BA87+$BJ87+$BS87+$CB87+$CK87,0)</f>
        <v>0</v>
      </c>
      <c r="DX87" s="241">
        <f t="shared" si="1718"/>
        <v>0</v>
      </c>
      <c r="DY87" s="241">
        <f t="shared" si="1718"/>
        <v>0</v>
      </c>
      <c r="DZ87" s="241">
        <f t="shared" si="1718"/>
        <v>0</v>
      </c>
      <c r="EA87" s="241">
        <f t="shared" si="1718"/>
        <v>0</v>
      </c>
      <c r="EB87" s="241">
        <f t="shared" si="1718"/>
        <v>0</v>
      </c>
      <c r="EC87" s="241">
        <f t="shared" si="1718"/>
        <v>0</v>
      </c>
      <c r="ED87" s="241">
        <f t="shared" si="1718"/>
        <v>0</v>
      </c>
      <c r="EE87" s="242">
        <f t="shared" ref="EE87" si="1748">SUM(DW87:ED87)-DY87-EA87</f>
        <v>0</v>
      </c>
      <c r="EF87" s="203">
        <f t="shared" si="1720"/>
        <v>4500</v>
      </c>
      <c r="EG87" s="242">
        <f>IF($CU87="ECONACIONAL",$BB87+$BK87+$BT87+$CC87+$CL87,0)</f>
        <v>962.28</v>
      </c>
      <c r="EH87" s="203">
        <f t="shared" si="1722"/>
        <v>3</v>
      </c>
      <c r="EI87" s="203">
        <f t="shared" si="1723"/>
        <v>84.375</v>
      </c>
      <c r="EJ87" s="242">
        <f t="shared" si="1724"/>
        <v>0</v>
      </c>
      <c r="EK87" s="203">
        <f t="shared" si="1725"/>
        <v>0</v>
      </c>
      <c r="EL87" s="203">
        <f t="shared" si="1726"/>
        <v>0</v>
      </c>
      <c r="EM87" s="203">
        <f t="shared" si="1727"/>
        <v>580.84031249999998</v>
      </c>
      <c r="EN87" s="203">
        <f t="shared" si="1728"/>
        <v>6127.4953124999993</v>
      </c>
      <c r="EO87" s="235"/>
      <c r="EP87" s="1228">
        <v>210</v>
      </c>
      <c r="EQ87" s="786"/>
      <c r="ER87" s="786">
        <v>325</v>
      </c>
      <c r="ES87" s="200">
        <f>210+245</f>
        <v>455</v>
      </c>
      <c r="ET87" s="200"/>
      <c r="EU87" s="200"/>
      <c r="EV87" s="200"/>
      <c r="EW87" s="786"/>
      <c r="EX87" s="786"/>
      <c r="EY87" s="201">
        <f t="shared" si="1729"/>
        <v>0</v>
      </c>
      <c r="FA87" s="207">
        <f t="shared" si="1730"/>
        <v>210</v>
      </c>
      <c r="FB87" s="207">
        <f t="shared" si="1731"/>
        <v>0</v>
      </c>
      <c r="FC87" s="207">
        <f t="shared" si="1732"/>
        <v>325</v>
      </c>
      <c r="FD87" s="207">
        <f t="shared" si="1733"/>
        <v>455</v>
      </c>
      <c r="FE87" s="207">
        <f t="shared" si="1734"/>
        <v>0</v>
      </c>
      <c r="FF87" s="207">
        <f t="shared" si="1735"/>
        <v>0</v>
      </c>
      <c r="FG87" s="207">
        <f t="shared" si="1736"/>
        <v>0</v>
      </c>
      <c r="FH87" s="207">
        <f t="shared" si="1737"/>
        <v>0</v>
      </c>
      <c r="FI87" s="207">
        <f t="shared" si="1738"/>
        <v>0</v>
      </c>
      <c r="FJ87" s="207">
        <f t="shared" si="1739"/>
        <v>0</v>
      </c>
      <c r="FK87" s="217"/>
      <c r="FL87" s="217"/>
      <c r="FM87" s="217"/>
      <c r="FN87" s="217"/>
      <c r="FO87" s="217"/>
      <c r="FP87" s="217"/>
      <c r="FQ87" s="216"/>
      <c r="FR87" s="1185">
        <f t="shared" si="1740"/>
        <v>0</v>
      </c>
      <c r="FS87" s="1185">
        <f t="shared" si="1741"/>
        <v>0</v>
      </c>
      <c r="FT87" s="1186">
        <f t="shared" si="1742"/>
        <v>0</v>
      </c>
      <c r="FU87" s="1185">
        <f t="shared" si="1743"/>
        <v>0</v>
      </c>
      <c r="FV87" s="1187">
        <f t="shared" si="1744"/>
        <v>-990</v>
      </c>
    </row>
    <row r="88" spans="1:184" s="821" customFormat="1" ht="15" customHeight="1" outlineLevel="1">
      <c r="A88" s="1006"/>
      <c r="B88" s="1006"/>
      <c r="C88" s="1007"/>
      <c r="D88" s="235"/>
      <c r="E88" s="235">
        <v>302020</v>
      </c>
      <c r="F88" s="268"/>
      <c r="G88" s="199" t="s">
        <v>740</v>
      </c>
      <c r="H88" s="200" t="s">
        <v>107</v>
      </c>
      <c r="I88" s="200" t="s">
        <v>11</v>
      </c>
      <c r="J88" s="203">
        <v>4002.28</v>
      </c>
      <c r="K88" s="837">
        <v>250</v>
      </c>
      <c r="L88" s="837">
        <f t="shared" si="1636"/>
        <v>4252.2800000000007</v>
      </c>
      <c r="M88" s="203">
        <v>30</v>
      </c>
      <c r="N88" s="867">
        <v>0.5</v>
      </c>
      <c r="O88" s="867">
        <v>0.3</v>
      </c>
      <c r="P88" s="867">
        <v>0.2</v>
      </c>
      <c r="Q88" s="204">
        <v>0</v>
      </c>
      <c r="R88" s="204">
        <v>0</v>
      </c>
      <c r="S88" s="204">
        <f t="shared" si="1746"/>
        <v>1</v>
      </c>
      <c r="T88" s="814"/>
      <c r="U88" s="878">
        <v>1</v>
      </c>
      <c r="V88" s="239">
        <f>($J88/30/8*1.5)*U88</f>
        <v>25.014250000000001</v>
      </c>
      <c r="W88" s="265"/>
      <c r="X88" s="239">
        <f t="shared" ref="X88" si="1749">($F88/30/8*2)*W88</f>
        <v>0</v>
      </c>
      <c r="Y88" s="238"/>
      <c r="Z88" s="239">
        <f>($J88/30/8*1.5)*Y88</f>
        <v>0</v>
      </c>
      <c r="AA88" s="265"/>
      <c r="AB88" s="239">
        <f t="shared" ref="AB88" si="1750">($F88/30/8*2)*AA88</f>
        <v>0</v>
      </c>
      <c r="AC88" s="265"/>
      <c r="AD88" s="239">
        <f t="shared" ref="AD88" si="1751">(($F88/30/8)*1.5)*AC88</f>
        <v>0</v>
      </c>
      <c r="AE88" s="839"/>
      <c r="AF88" s="239">
        <f t="shared" ref="AF88" si="1752">(($F88/30/8)*2)*AE88</f>
        <v>0</v>
      </c>
      <c r="AG88" s="837"/>
      <c r="AH88" s="837">
        <f t="shared" ref="AH88" si="1753">(($F88/30/8)*1.5)*AG88</f>
        <v>0</v>
      </c>
      <c r="AI88" s="837"/>
      <c r="AJ88" s="837">
        <f t="shared" ref="AJ88" si="1754">(($F88/30/8)*2)*AI88</f>
        <v>0</v>
      </c>
      <c r="AK88" s="837"/>
      <c r="AL88" s="837">
        <f t="shared" ref="AL88" si="1755">(($F88/30/8)*1.5)*AK88</f>
        <v>0</v>
      </c>
      <c r="AM88" s="874"/>
      <c r="AN88" s="265">
        <f t="shared" ref="AN88" si="1756">(($F88/30/8)*2)*AM88</f>
        <v>0</v>
      </c>
      <c r="AO88" s="239"/>
      <c r="AP88" s="839"/>
      <c r="AQ88" s="239"/>
      <c r="AR88" s="837"/>
      <c r="AS88" s="837"/>
      <c r="AT88" s="837"/>
      <c r="AU88" s="837"/>
      <c r="AV88" s="837"/>
      <c r="AW88" s="837"/>
      <c r="AX88" s="874"/>
      <c r="AY88" s="265"/>
      <c r="AZ88" s="239"/>
      <c r="BA88" s="239">
        <f t="shared" ref="BA88" si="1757">((J88/30)*M88)*$N88</f>
        <v>2001.14</v>
      </c>
      <c r="BB88" s="239">
        <f>((K88/30)*M88)*$N88+91.25</f>
        <v>216.25</v>
      </c>
      <c r="BC88" s="837">
        <f t="shared" ref="BC88" si="1758">U88</f>
        <v>1</v>
      </c>
      <c r="BD88" s="239">
        <f t="shared" ref="BD88" si="1759">V88</f>
        <v>25.014250000000001</v>
      </c>
      <c r="BE88" s="239">
        <f t="shared" ref="BE88" si="1760">W88</f>
        <v>0</v>
      </c>
      <c r="BF88" s="239">
        <f t="shared" ref="BF88" si="1761">X88</f>
        <v>0</v>
      </c>
      <c r="BG88" s="239">
        <f t="shared" ref="BG88" si="1762">AO88+AT88</f>
        <v>0</v>
      </c>
      <c r="BH88" s="203">
        <f t="shared" si="1654"/>
        <v>256.713743475</v>
      </c>
      <c r="BI88" s="239">
        <f t="shared" ref="BI88" si="1763">SUM(BA88:BH88)-BC88-BE88</f>
        <v>2499.1179934750007</v>
      </c>
      <c r="BJ88" s="239">
        <f t="shared" si="1656"/>
        <v>1200.684</v>
      </c>
      <c r="BK88" s="239">
        <f>(($K88/30)*$M88)*$O88+45.62</f>
        <v>120.62</v>
      </c>
      <c r="BL88" s="239">
        <f t="shared" ref="BL88" si="1764">Y88</f>
        <v>0</v>
      </c>
      <c r="BM88" s="239">
        <f t="shared" ref="BM88" si="1765">Z88</f>
        <v>0</v>
      </c>
      <c r="BN88" s="239">
        <f t="shared" ref="BN88" si="1766">AA88</f>
        <v>0</v>
      </c>
      <c r="BO88" s="239">
        <f t="shared" ref="BO88" si="1767">AB88</f>
        <v>0</v>
      </c>
      <c r="BP88" s="239">
        <f t="shared" ref="BP88" si="1768">AP88+AU88</f>
        <v>0</v>
      </c>
      <c r="BQ88" s="203">
        <f t="shared" si="1662"/>
        <v>152.12666279999999</v>
      </c>
      <c r="BR88" s="837">
        <f t="shared" ref="BR88" si="1769">SUM(BJ88:BQ88)-BL88-BN88</f>
        <v>1473.4306628000002</v>
      </c>
      <c r="BS88" s="239">
        <f t="shared" si="1664"/>
        <v>800.45600000000013</v>
      </c>
      <c r="BT88" s="239">
        <f>(($K88/30)*$M88)*$P88+45.62</f>
        <v>95.62</v>
      </c>
      <c r="BU88" s="239">
        <f t="shared" ref="BU88" si="1770">AC88</f>
        <v>0</v>
      </c>
      <c r="BV88" s="239">
        <f t="shared" ref="BV88" si="1771">AD88</f>
        <v>0</v>
      </c>
      <c r="BW88" s="239">
        <f t="shared" ref="BW88" si="1772">AE88</f>
        <v>0</v>
      </c>
      <c r="BX88" s="239">
        <f t="shared" ref="BX88" si="1773">AF88</f>
        <v>0</v>
      </c>
      <c r="BY88" s="239">
        <f t="shared" ref="BY88" si="1774">AQ88+AV88</f>
        <v>0</v>
      </c>
      <c r="BZ88" s="203">
        <f t="shared" si="1671"/>
        <v>101.41777520000002</v>
      </c>
      <c r="CA88" s="239">
        <f t="shared" ref="CA88" si="1775">SUM(BS88:BZ88)-BU88-BW88</f>
        <v>997.49377520000019</v>
      </c>
      <c r="CB88" s="875">
        <f t="shared" si="1673"/>
        <v>0</v>
      </c>
      <c r="CC88" s="876">
        <f t="shared" si="1674"/>
        <v>0</v>
      </c>
      <c r="CD88" s="876">
        <f t="shared" ref="CD88" si="1776">AG88</f>
        <v>0</v>
      </c>
      <c r="CE88" s="876">
        <f t="shared" ref="CE88" si="1777">AH88</f>
        <v>0</v>
      </c>
      <c r="CF88" s="876">
        <f t="shared" ref="CF88" si="1778">AI88</f>
        <v>0</v>
      </c>
      <c r="CG88" s="876">
        <f t="shared" ref="CG88" si="1779">AJ88</f>
        <v>0</v>
      </c>
      <c r="CH88" s="876">
        <f t="shared" ref="CH88" si="1780">AR88+AW88</f>
        <v>0</v>
      </c>
      <c r="CI88" s="703">
        <f t="shared" si="1680"/>
        <v>0</v>
      </c>
      <c r="CJ88" s="876">
        <f t="shared" ref="CJ88" si="1781">SUM(CB88:CI88)-CD88-CF88</f>
        <v>0</v>
      </c>
      <c r="CK88" s="876">
        <f t="shared" ref="CK88" si="1782">(($J88/30)*$M88)*R88</f>
        <v>0</v>
      </c>
      <c r="CL88" s="876">
        <f t="shared" si="1683"/>
        <v>0</v>
      </c>
      <c r="CM88" s="876">
        <f t="shared" ref="CM88" si="1783">+AK88</f>
        <v>0</v>
      </c>
      <c r="CN88" s="876">
        <f t="shared" ref="CN88" si="1784">AL88</f>
        <v>0</v>
      </c>
      <c r="CO88" s="876">
        <f t="shared" ref="CO88" si="1785">AM88</f>
        <v>0</v>
      </c>
      <c r="CP88" s="876">
        <f t="shared" ref="CP88" si="1786">AN88</f>
        <v>0</v>
      </c>
      <c r="CQ88" s="876">
        <f t="shared" ref="CQ88" si="1787">AS88+AX88</f>
        <v>0</v>
      </c>
      <c r="CR88" s="876">
        <f t="shared" ref="CR88" si="1788">(CK88+CN88+CP88)*0.1267</f>
        <v>0</v>
      </c>
      <c r="CS88" s="877">
        <f t="shared" ref="CS88" si="1789">SUM(CK88:CR88)-CM88-CO88</f>
        <v>0</v>
      </c>
      <c r="CT88" s="235"/>
      <c r="CU88" s="201" t="s">
        <v>11</v>
      </c>
      <c r="CV88" s="203">
        <f t="shared" si="1691"/>
        <v>0</v>
      </c>
      <c r="CW88" s="203">
        <f t="shared" si="1692"/>
        <v>0</v>
      </c>
      <c r="CX88" s="203">
        <f t="shared" si="1693"/>
        <v>0</v>
      </c>
      <c r="CY88" s="203">
        <f t="shared" si="1694"/>
        <v>0</v>
      </c>
      <c r="CZ88" s="203">
        <f t="shared" si="1695"/>
        <v>0</v>
      </c>
      <c r="DA88" s="203">
        <f t="shared" si="1696"/>
        <v>0</v>
      </c>
      <c r="DB88" s="203">
        <f t="shared" si="1697"/>
        <v>0</v>
      </c>
      <c r="DC88" s="203">
        <f t="shared" ref="DC88" si="1790">IF($CU88="PROQUIMA",$BH88+$BQ88+$BZ88+$CI88+CR88,0)</f>
        <v>0</v>
      </c>
      <c r="DD88" s="203">
        <f t="shared" ref="DD88" si="1791">SUM(CV88:DC88)-CX88-CZ88</f>
        <v>0</v>
      </c>
      <c r="DE88" s="203">
        <f t="shared" si="1700"/>
        <v>0</v>
      </c>
      <c r="DF88" s="203">
        <f t="shared" si="1701"/>
        <v>0</v>
      </c>
      <c r="DG88" s="239">
        <f t="shared" si="1702"/>
        <v>0</v>
      </c>
      <c r="DH88" s="239">
        <f t="shared" si="1703"/>
        <v>0</v>
      </c>
      <c r="DI88" s="239">
        <f t="shared" si="1704"/>
        <v>0</v>
      </c>
      <c r="DJ88" s="203">
        <f t="shared" si="1705"/>
        <v>0</v>
      </c>
      <c r="DK88" s="203">
        <f t="shared" si="1706"/>
        <v>0</v>
      </c>
      <c r="DL88" s="203">
        <f t="shared" si="1707"/>
        <v>0</v>
      </c>
      <c r="DM88" s="203">
        <f t="shared" ref="DM88" si="1792">SUM(DE88:DL88)-DG88-DI88</f>
        <v>0</v>
      </c>
      <c r="DN88" s="210">
        <f t="shared" si="1709"/>
        <v>0</v>
      </c>
      <c r="DO88" s="210">
        <f t="shared" si="1710"/>
        <v>0</v>
      </c>
      <c r="DP88" s="210">
        <f t="shared" si="1711"/>
        <v>0</v>
      </c>
      <c r="DQ88" s="210">
        <f t="shared" si="1712"/>
        <v>0</v>
      </c>
      <c r="DR88" s="210">
        <f t="shared" si="1713"/>
        <v>0</v>
      </c>
      <c r="DS88" s="210">
        <f t="shared" si="1714"/>
        <v>0</v>
      </c>
      <c r="DT88" s="210">
        <f t="shared" si="1715"/>
        <v>0</v>
      </c>
      <c r="DU88" s="210">
        <f t="shared" si="1716"/>
        <v>0</v>
      </c>
      <c r="DV88" s="210">
        <f t="shared" ref="DV88" si="1793">SUM(DN88:DU88)-DP88-DR88</f>
        <v>0</v>
      </c>
      <c r="DW88" s="241">
        <f t="shared" si="1747"/>
        <v>0</v>
      </c>
      <c r="DX88" s="241">
        <f t="shared" si="1718"/>
        <v>0</v>
      </c>
      <c r="DY88" s="241">
        <f t="shared" si="1718"/>
        <v>0</v>
      </c>
      <c r="DZ88" s="241">
        <f t="shared" si="1718"/>
        <v>0</v>
      </c>
      <c r="EA88" s="241">
        <f t="shared" si="1718"/>
        <v>0</v>
      </c>
      <c r="EB88" s="241">
        <f t="shared" si="1718"/>
        <v>0</v>
      </c>
      <c r="EC88" s="241">
        <f t="shared" si="1718"/>
        <v>0</v>
      </c>
      <c r="ED88" s="241">
        <f t="shared" si="1718"/>
        <v>0</v>
      </c>
      <c r="EE88" s="242">
        <f t="shared" ref="EE88" si="1794">SUM(DW88:ED88)-DY88-EA88</f>
        <v>0</v>
      </c>
      <c r="EF88" s="203">
        <f t="shared" ref="EF88" si="1795">IF(CU88="ECONACIONAL",$BA88+$BJ88+$BS88+$CB88+$CK88)</f>
        <v>4002.28</v>
      </c>
      <c r="EG88" s="242">
        <f t="shared" ref="EG88:EG89" si="1796">IF($CU88="ECONACIONAL",$BB88+$BK88+$BT88+$CC88+$CL88,0)</f>
        <v>432.49</v>
      </c>
      <c r="EH88" s="203">
        <f t="shared" ref="EH88" si="1797">IF(CU88="ECONACIONAL",$BC88+$BL88+$BU88+$CD88+$CM88)</f>
        <v>1</v>
      </c>
      <c r="EI88" s="203">
        <f t="shared" ref="EI88" si="1798">IF(CU88="ECONACIONAL",$BD88+$DH88+$DQ88+$DZ88+BM88+BV88+CE88+CN88)</f>
        <v>25.014250000000001</v>
      </c>
      <c r="EJ88" s="242">
        <f t="shared" si="1724"/>
        <v>0</v>
      </c>
      <c r="EK88" s="203">
        <f t="shared" ref="EK88" si="1799">IF(CU88="ECONACIONAL",$BF88+$BO88+$BX88+$CG88+$CP88)</f>
        <v>0</v>
      </c>
      <c r="EL88" s="203">
        <f t="shared" ref="EL88" si="1800">IF(CU88="ECONACIONAL",$BG88+$BP88+$BY88+$CH88+$CQ88)</f>
        <v>0</v>
      </c>
      <c r="EM88" s="203">
        <f t="shared" ref="EM88" si="1801">IF(CU88="ECONACIONAL",BH88+BQ88+BZ88+CI88+CR88)</f>
        <v>510.25818147500001</v>
      </c>
      <c r="EN88" s="203">
        <f t="shared" ref="EN88" si="1802">SUM(EF88:EM88)-EH88-EJ88</f>
        <v>4970.0424314750007</v>
      </c>
      <c r="EO88" s="235"/>
      <c r="EP88" s="786"/>
      <c r="EQ88" s="786"/>
      <c r="ER88" s="786"/>
      <c r="ES88" s="200">
        <f>39.5</f>
        <v>39.5</v>
      </c>
      <c r="ET88" s="200"/>
      <c r="EU88" s="200"/>
      <c r="EV88" s="200"/>
      <c r="EW88" s="786"/>
      <c r="EX88" s="786"/>
      <c r="EY88" s="201">
        <f t="shared" ref="EY88" si="1803">+ET88+EU88+EV88</f>
        <v>0</v>
      </c>
      <c r="FA88" s="207">
        <f t="shared" ref="FA88" si="1804">IF($M88&lt;=15,EP88/2,EP88)</f>
        <v>0</v>
      </c>
      <c r="FB88" s="207">
        <f t="shared" ref="FB88" si="1805">IF($M88&lt;=15,EQ88/2,EQ88)</f>
        <v>0</v>
      </c>
      <c r="FC88" s="207">
        <f t="shared" ref="FC88" si="1806">IF($M88&lt;=15,ER88/2,ER88)</f>
        <v>0</v>
      </c>
      <c r="FD88" s="207">
        <f t="shared" ref="FD88" si="1807">IF($M88&lt;=15,ES88/2,ES88)</f>
        <v>39.5</v>
      </c>
      <c r="FE88" s="207">
        <f t="shared" ref="FE88" si="1808">IF($M88&lt;=15,ET88/2,ET88)</f>
        <v>0</v>
      </c>
      <c r="FF88" s="207">
        <f t="shared" ref="FF88" si="1809">IF($M88&lt;=15,EU88/2,EU88)</f>
        <v>0</v>
      </c>
      <c r="FG88" s="207">
        <f t="shared" ref="FG88" si="1810">IF($M88&lt;=15,EV88/2,EV88)</f>
        <v>0</v>
      </c>
      <c r="FH88" s="207">
        <f t="shared" ref="FH88" si="1811">IF($M88&lt;=15,EW88/2,EW88)</f>
        <v>0</v>
      </c>
      <c r="FI88" s="207">
        <f t="shared" ref="FI88" si="1812">IF($M88&lt;=15,EX88/2,EX88)</f>
        <v>0</v>
      </c>
      <c r="FJ88" s="207">
        <f t="shared" ref="FJ88" si="1813">IF($M88&lt;=15,EY88/2,EY88)</f>
        <v>0</v>
      </c>
      <c r="FK88" s="217"/>
      <c r="FL88" s="217"/>
      <c r="FM88" s="217"/>
      <c r="FN88" s="217"/>
      <c r="FO88" s="217"/>
      <c r="FP88" s="217"/>
      <c r="FQ88" s="216"/>
      <c r="FR88" s="1178">
        <f t="shared" ref="FR88" si="1814">(((J88/30/8)*1.5)*(U88+Y88+AC88))-(BD88+BM88+BV88)</f>
        <v>0</v>
      </c>
      <c r="FS88" s="1178">
        <f t="shared" ref="FS88" si="1815">(((J88/30/8)*2)*(W88+AA88+AE88))-(BF88+BO88+BX88)</f>
        <v>0</v>
      </c>
      <c r="FT88" s="1179">
        <f t="shared" ref="FT88" si="1816">(SUM(BA88:CJ88))-(SUM(EF88:EN88))</f>
        <v>0</v>
      </c>
      <c r="FU88" s="1178">
        <f t="shared" ref="FU88" si="1817">(J88/30*M88)-(EF88)</f>
        <v>0</v>
      </c>
      <c r="FV88" s="1182">
        <f t="shared" ref="FV88" si="1818">(SUM(EP88:EY88))-((SUM(FA88:FJ88))*$FV$5)</f>
        <v>-39.5</v>
      </c>
    </row>
    <row r="89" spans="1:184" s="821" customFormat="1" ht="15" customHeight="1" outlineLevel="1">
      <c r="A89" s="1006"/>
      <c r="B89" s="1006"/>
      <c r="C89" s="1007"/>
      <c r="D89" s="235"/>
      <c r="E89" s="235">
        <v>302020</v>
      </c>
      <c r="F89" s="268">
        <f>+F87+1</f>
        <v>31</v>
      </c>
      <c r="G89" s="199" t="s">
        <v>733</v>
      </c>
      <c r="H89" s="200" t="s">
        <v>107</v>
      </c>
      <c r="I89" s="201" t="s">
        <v>11</v>
      </c>
      <c r="J89" s="203">
        <v>4002.28</v>
      </c>
      <c r="K89" s="202">
        <v>250</v>
      </c>
      <c r="L89" s="837">
        <f t="shared" ref="L89" si="1819">+J89+K89</f>
        <v>4252.2800000000007</v>
      </c>
      <c r="M89" s="203">
        <v>30</v>
      </c>
      <c r="N89" s="204">
        <v>0.5</v>
      </c>
      <c r="O89" s="820">
        <v>0.3</v>
      </c>
      <c r="P89" s="204">
        <v>0.2</v>
      </c>
      <c r="Q89" s="204">
        <v>0</v>
      </c>
      <c r="R89" s="204">
        <v>0</v>
      </c>
      <c r="S89" s="204">
        <f t="shared" ref="S89" si="1820">SUM(N89:R89)</f>
        <v>1</v>
      </c>
      <c r="T89" s="814"/>
      <c r="U89" s="238"/>
      <c r="V89" s="203">
        <f t="shared" ref="V89" si="1821">($J89/30/8*1.5)*U89</f>
        <v>0</v>
      </c>
      <c r="W89" s="207"/>
      <c r="X89" s="203">
        <f t="shared" ref="X89" si="1822">($J89/30/8*2)*W89</f>
        <v>0</v>
      </c>
      <c r="Y89" s="207">
        <v>8</v>
      </c>
      <c r="Z89" s="203">
        <f t="shared" ref="Z89" si="1823">($J89/30/8*1.5)*Y89</f>
        <v>200.114</v>
      </c>
      <c r="AA89" s="206"/>
      <c r="AB89" s="203">
        <f t="shared" ref="AB89" si="1824">($J89/30/8*2)*AA89</f>
        <v>0</v>
      </c>
      <c r="AC89" s="207"/>
      <c r="AD89" s="203">
        <f t="shared" ref="AD89" si="1825">(($J89/30/8)*1.5)*AC89</f>
        <v>0</v>
      </c>
      <c r="AE89" s="208"/>
      <c r="AF89" s="203">
        <f t="shared" ref="AF89" si="1826">(($J89/30/8)*2)*AE89</f>
        <v>0</v>
      </c>
      <c r="AG89" s="208"/>
      <c r="AH89" s="203">
        <f t="shared" ref="AH89" si="1827">(($J89/30/8)*1.5)*AG89</f>
        <v>0</v>
      </c>
      <c r="AI89" s="208"/>
      <c r="AJ89" s="203">
        <f t="shared" ref="AJ89" si="1828">(($J89/30/8)*2)*AI89</f>
        <v>0</v>
      </c>
      <c r="AK89" s="203"/>
      <c r="AL89" s="203">
        <f t="shared" ref="AL89" si="1829">(($J89/30/8)*1.5)*AK89</f>
        <v>0</v>
      </c>
      <c r="AM89" s="208"/>
      <c r="AN89" s="203">
        <f t="shared" ref="AN89" si="1830">(($J89/30/8)*2)*AM89</f>
        <v>0</v>
      </c>
      <c r="AO89" s="202"/>
      <c r="AP89" s="202"/>
      <c r="AQ89" s="202"/>
      <c r="AR89" s="202"/>
      <c r="AS89" s="202"/>
      <c r="AT89" s="202"/>
      <c r="AU89" s="202"/>
      <c r="AV89" s="202"/>
      <c r="AW89" s="202"/>
      <c r="AX89" s="202"/>
      <c r="AY89" s="202"/>
      <c r="AZ89" s="240"/>
      <c r="BA89" s="239">
        <f t="shared" ref="BA89" si="1831">((J89/30)*M89)*$N89</f>
        <v>2001.14</v>
      </c>
      <c r="BB89" s="239">
        <f>((K89/30)*M89)*$N89+86.25</f>
        <v>211.25</v>
      </c>
      <c r="BC89" s="837">
        <f t="shared" ref="BC89" si="1832">U89</f>
        <v>0</v>
      </c>
      <c r="BD89" s="203">
        <f t="shared" ref="BD89" si="1833">V89</f>
        <v>0</v>
      </c>
      <c r="BE89" s="203">
        <f t="shared" ref="BE89" si="1834">W89</f>
        <v>0</v>
      </c>
      <c r="BF89" s="203">
        <f t="shared" ref="BF89" si="1835">X89</f>
        <v>0</v>
      </c>
      <c r="BG89" s="203">
        <f t="shared" ref="BG89" si="1836">AO89+AT89</f>
        <v>0</v>
      </c>
      <c r="BH89" s="203">
        <f t="shared" si="1654"/>
        <v>253.54443800000001</v>
      </c>
      <c r="BI89" s="203">
        <f t="shared" ref="BI89" si="1837">SUM(BA89:BH89)-BC89-BE89</f>
        <v>2465.9344380000002</v>
      </c>
      <c r="BJ89" s="203">
        <f>(($J89/30)*$M89)*$O89</f>
        <v>1200.684</v>
      </c>
      <c r="BK89" s="203">
        <f>(($K89/30)*$M89)*$O89+43.12</f>
        <v>118.12</v>
      </c>
      <c r="BL89" s="239">
        <f t="shared" ref="BL89" si="1838">Y89</f>
        <v>8</v>
      </c>
      <c r="BM89" s="203">
        <f t="shared" ref="BM89" si="1839">Z89</f>
        <v>200.114</v>
      </c>
      <c r="BN89" s="203">
        <f t="shared" ref="BN89" si="1840">AA89</f>
        <v>0</v>
      </c>
      <c r="BO89" s="203">
        <f t="shared" ref="BO89" si="1841">AB89</f>
        <v>0</v>
      </c>
      <c r="BP89" s="203">
        <f t="shared" ref="BP89" si="1842">AP89+AU89</f>
        <v>0</v>
      </c>
      <c r="BQ89" s="203">
        <f t="shared" si="1662"/>
        <v>177.4811066</v>
      </c>
      <c r="BR89" s="202">
        <f t="shared" ref="BR89" si="1843">SUM(BJ89:BQ89)-BL89-BN89</f>
        <v>1696.3991066000001</v>
      </c>
      <c r="BS89" s="203">
        <f t="shared" si="1664"/>
        <v>800.45600000000013</v>
      </c>
      <c r="BT89" s="203">
        <f>(($K89/30)*$M89)*$P89+43.12</f>
        <v>93.12</v>
      </c>
      <c r="BU89" s="203">
        <f t="shared" ref="BU89" si="1844">AC89</f>
        <v>0</v>
      </c>
      <c r="BV89" s="203">
        <f t="shared" ref="BV89" si="1845">AD89</f>
        <v>0</v>
      </c>
      <c r="BW89" s="203">
        <f t="shared" ref="BW89" si="1846">AE89</f>
        <v>0</v>
      </c>
      <c r="BX89" s="203">
        <f t="shared" ref="BX89" si="1847">AF89</f>
        <v>0</v>
      </c>
      <c r="BY89" s="203">
        <f t="shared" ref="BY89" si="1848">AQ89+AV89</f>
        <v>0</v>
      </c>
      <c r="BZ89" s="203">
        <f t="shared" si="1671"/>
        <v>101.41777520000002</v>
      </c>
      <c r="CA89" s="203">
        <f t="shared" ref="CA89" si="1849">SUM(BS89:BZ89)-BU89-BW89</f>
        <v>994.99377520000019</v>
      </c>
      <c r="CB89" s="241">
        <f t="shared" si="1673"/>
        <v>0</v>
      </c>
      <c r="CC89" s="242">
        <f t="shared" si="1674"/>
        <v>0</v>
      </c>
      <c r="CD89" s="242">
        <f t="shared" ref="CD89" si="1850">AG89</f>
        <v>0</v>
      </c>
      <c r="CE89" s="242">
        <f t="shared" ref="CE89" si="1851">AH89</f>
        <v>0</v>
      </c>
      <c r="CF89" s="242">
        <f t="shared" ref="CF89" si="1852">AI89</f>
        <v>0</v>
      </c>
      <c r="CG89" s="242">
        <f t="shared" ref="CG89" si="1853">AJ89</f>
        <v>0</v>
      </c>
      <c r="CH89" s="242">
        <f t="shared" ref="CH89" si="1854">AR89+AW89</f>
        <v>0</v>
      </c>
      <c r="CI89" s="703">
        <f t="shared" si="1680"/>
        <v>0</v>
      </c>
      <c r="CJ89" s="242">
        <f t="shared" ref="CJ89" si="1855">SUM(CB89:CI89)-CD89-CF89</f>
        <v>0</v>
      </c>
      <c r="CK89" s="242">
        <f t="shared" ref="CK89" si="1856">(($J89/30)*$M89)*R89</f>
        <v>0</v>
      </c>
      <c r="CL89" s="242">
        <f t="shared" si="1683"/>
        <v>0</v>
      </c>
      <c r="CM89" s="242">
        <f>+AK89</f>
        <v>0</v>
      </c>
      <c r="CN89" s="242">
        <f t="shared" ref="CN89" si="1857">AL89</f>
        <v>0</v>
      </c>
      <c r="CO89" s="242">
        <f t="shared" ref="CO89" si="1858">AM89</f>
        <v>0</v>
      </c>
      <c r="CP89" s="242">
        <f t="shared" ref="CP89" si="1859">AN89</f>
        <v>0</v>
      </c>
      <c r="CQ89" s="242">
        <f t="shared" ref="CQ89" si="1860">AS89+AX89</f>
        <v>0</v>
      </c>
      <c r="CR89" s="242">
        <f t="shared" ref="CR89" si="1861">(CK89+CN89+CP89)*0.1267</f>
        <v>0</v>
      </c>
      <c r="CS89" s="243">
        <f t="shared" ref="CS89" si="1862">SUM(CK89:CR89)-CM89-CO89</f>
        <v>0</v>
      </c>
      <c r="CT89" s="216"/>
      <c r="CU89" s="201" t="s">
        <v>11</v>
      </c>
      <c r="CV89" s="203">
        <f t="shared" si="1691"/>
        <v>0</v>
      </c>
      <c r="CW89" s="203">
        <f t="shared" si="1692"/>
        <v>0</v>
      </c>
      <c r="CX89" s="203">
        <f t="shared" si="1693"/>
        <v>0</v>
      </c>
      <c r="CY89" s="203">
        <f t="shared" si="1694"/>
        <v>0</v>
      </c>
      <c r="CZ89" s="203">
        <f t="shared" si="1695"/>
        <v>0</v>
      </c>
      <c r="DA89" s="203">
        <f t="shared" si="1696"/>
        <v>0</v>
      </c>
      <c r="DB89" s="203">
        <f t="shared" si="1697"/>
        <v>0</v>
      </c>
      <c r="DC89" s="203">
        <f t="shared" ref="DC89" si="1863">IF($CU89="PROQUIMA",$BH89+$BQ89+$BZ89+$CI89+CR89,0)</f>
        <v>0</v>
      </c>
      <c r="DD89" s="203">
        <f t="shared" ref="DD89" si="1864">SUM(CV89:DC89)-CX89-CZ89</f>
        <v>0</v>
      </c>
      <c r="DE89" s="203">
        <f t="shared" si="1700"/>
        <v>0</v>
      </c>
      <c r="DF89" s="203">
        <f t="shared" si="1701"/>
        <v>0</v>
      </c>
      <c r="DG89" s="239">
        <f t="shared" si="1702"/>
        <v>0</v>
      </c>
      <c r="DH89" s="239">
        <f t="shared" si="1703"/>
        <v>0</v>
      </c>
      <c r="DI89" s="239">
        <f t="shared" si="1704"/>
        <v>0</v>
      </c>
      <c r="DJ89" s="203">
        <f t="shared" si="1705"/>
        <v>0</v>
      </c>
      <c r="DK89" s="203">
        <f t="shared" si="1706"/>
        <v>0</v>
      </c>
      <c r="DL89" s="203">
        <f t="shared" si="1707"/>
        <v>0</v>
      </c>
      <c r="DM89" s="203">
        <f t="shared" ref="DM89" si="1865">SUM(DE89:DL89)-DG89-DI89</f>
        <v>0</v>
      </c>
      <c r="DN89" s="210">
        <f t="shared" si="1709"/>
        <v>0</v>
      </c>
      <c r="DO89" s="210">
        <f t="shared" si="1710"/>
        <v>0</v>
      </c>
      <c r="DP89" s="210">
        <f t="shared" si="1711"/>
        <v>0</v>
      </c>
      <c r="DQ89" s="210">
        <f t="shared" si="1712"/>
        <v>0</v>
      </c>
      <c r="DR89" s="210">
        <f t="shared" si="1713"/>
        <v>0</v>
      </c>
      <c r="DS89" s="210">
        <f t="shared" si="1714"/>
        <v>0</v>
      </c>
      <c r="DT89" s="210">
        <f t="shared" si="1715"/>
        <v>0</v>
      </c>
      <c r="DU89" s="210">
        <f t="shared" si="1716"/>
        <v>0</v>
      </c>
      <c r="DV89" s="210">
        <f t="shared" ref="DV89" si="1866">SUM(DN89:DU89)-DP89-DR89</f>
        <v>0</v>
      </c>
      <c r="DW89" s="241">
        <f t="shared" si="1747"/>
        <v>0</v>
      </c>
      <c r="DX89" s="241">
        <f t="shared" si="1718"/>
        <v>0</v>
      </c>
      <c r="DY89" s="241">
        <f t="shared" si="1718"/>
        <v>0</v>
      </c>
      <c r="DZ89" s="241">
        <f t="shared" si="1718"/>
        <v>0</v>
      </c>
      <c r="EA89" s="241">
        <f t="shared" si="1718"/>
        <v>0</v>
      </c>
      <c r="EB89" s="241">
        <f t="shared" si="1718"/>
        <v>0</v>
      </c>
      <c r="EC89" s="241">
        <f t="shared" si="1718"/>
        <v>0</v>
      </c>
      <c r="ED89" s="241">
        <f t="shared" si="1718"/>
        <v>0</v>
      </c>
      <c r="EE89" s="242">
        <f t="shared" ref="EE89" si="1867">SUM(DW89:ED89)-DY89-EA89</f>
        <v>0</v>
      </c>
      <c r="EF89" s="203">
        <f t="shared" ref="EF89" si="1868">IF(CU89="ECONACIONAL",$BA89+$BJ89+$BS89+$CB89+$CK89)</f>
        <v>4002.28</v>
      </c>
      <c r="EG89" s="242">
        <f t="shared" si="1796"/>
        <v>422.49</v>
      </c>
      <c r="EH89" s="203">
        <f t="shared" ref="EH89" si="1869">IF(CU89="ECONACIONAL",$BC89+$BL89+$BU89+$CD89+$CM89)</f>
        <v>8</v>
      </c>
      <c r="EI89" s="203">
        <f t="shared" ref="EI89" si="1870">IF(CU89="ECONACIONAL",$BD89+$DH89+$DQ89+$DZ89+BM89+BV89+CE89+CN89)</f>
        <v>200.114</v>
      </c>
      <c r="EJ89" s="242">
        <f t="shared" si="1724"/>
        <v>0</v>
      </c>
      <c r="EK89" s="203">
        <f t="shared" ref="EK89" si="1871">IF(CU89="ECONACIONAL",$BF89+$BO89+$BX89+$CG89+$CP89)</f>
        <v>0</v>
      </c>
      <c r="EL89" s="203">
        <f t="shared" ref="EL89" si="1872">IF(CU89="ECONACIONAL",$BG89+$BP89+$BY89+$CH89+$CQ89)</f>
        <v>0</v>
      </c>
      <c r="EM89" s="203">
        <f t="shared" ref="EM89" si="1873">IF(CU89="ECONACIONAL",BH89+BQ89+BZ89+CI89+CR89)</f>
        <v>532.44331980000004</v>
      </c>
      <c r="EN89" s="203">
        <f t="shared" ref="EN89" si="1874">SUM(EF89:EM89)-EH89-EJ89</f>
        <v>5157.3273197999997</v>
      </c>
      <c r="EO89" s="216"/>
      <c r="EP89" s="201"/>
      <c r="EQ89" s="201"/>
      <c r="ER89" s="201"/>
      <c r="ES89" s="813">
        <f>216.5+295.5</f>
        <v>512</v>
      </c>
      <c r="ET89" s="813">
        <v>234</v>
      </c>
      <c r="EU89" s="200"/>
      <c r="EV89" s="813"/>
      <c r="EW89" s="813"/>
      <c r="EX89" s="813"/>
      <c r="EY89" s="201">
        <f t="shared" ref="EY89" si="1875">+ET89+EU89+EV89</f>
        <v>234</v>
      </c>
      <c r="EZ89" s="216"/>
      <c r="FA89" s="207">
        <f t="shared" ref="FA89" si="1876">IF($M89&lt;=15,EP89/2,EP89)</f>
        <v>0</v>
      </c>
      <c r="FB89" s="207">
        <f t="shared" ref="FB89" si="1877">IF($M89&lt;=15,EQ89/2,EQ89)</f>
        <v>0</v>
      </c>
      <c r="FC89" s="207">
        <f t="shared" ref="FC89" si="1878">IF($M89&lt;=15,ER89/2,ER89)</f>
        <v>0</v>
      </c>
      <c r="FD89" s="207">
        <f t="shared" ref="FD89" si="1879">IF($M89&lt;=15,ES89/2,ES89)</f>
        <v>512</v>
      </c>
      <c r="FE89" s="207">
        <f t="shared" ref="FE89" si="1880">IF($M89&lt;=15,ET89/2,ET89)</f>
        <v>234</v>
      </c>
      <c r="FF89" s="207">
        <f t="shared" ref="FF89" si="1881">IF($M89&lt;=15,EU89/2,EU89)</f>
        <v>0</v>
      </c>
      <c r="FG89" s="207">
        <f t="shared" ref="FG89" si="1882">IF($M89&lt;=15,EV89/2,EV89)</f>
        <v>0</v>
      </c>
      <c r="FH89" s="207">
        <f t="shared" ref="FH89" si="1883">IF($M89&lt;=15,EW89/2,EW89)</f>
        <v>0</v>
      </c>
      <c r="FI89" s="207">
        <f t="shared" ref="FI89" si="1884">IF($M89&lt;=15,EX89/2,EX89)</f>
        <v>0</v>
      </c>
      <c r="FJ89" s="207">
        <f t="shared" ref="FJ89" si="1885">IF($M89&lt;=15,EY89/2,EY89)</f>
        <v>234</v>
      </c>
      <c r="FK89" s="217">
        <v>1</v>
      </c>
      <c r="FL89" s="217">
        <v>0</v>
      </c>
      <c r="FM89" s="217">
        <v>0</v>
      </c>
      <c r="FN89" s="217">
        <v>0</v>
      </c>
      <c r="FO89" s="217">
        <v>0</v>
      </c>
      <c r="FP89" s="217">
        <v>1</v>
      </c>
      <c r="FQ89" s="216"/>
      <c r="FR89" s="1178"/>
      <c r="FS89" s="1178"/>
      <c r="FT89" s="1179"/>
      <c r="FU89" s="1178"/>
      <c r="FV89" s="1182"/>
    </row>
    <row r="90" spans="1:184" s="235" customFormat="1" ht="15" customHeight="1" outlineLevel="1">
      <c r="A90" s="1006"/>
      <c r="B90" s="1006"/>
      <c r="C90" s="1007"/>
      <c r="F90" s="268"/>
      <c r="G90" s="199"/>
      <c r="H90" s="200"/>
      <c r="I90" s="200"/>
      <c r="J90" s="203"/>
      <c r="K90" s="837"/>
      <c r="L90" s="837"/>
      <c r="M90" s="203"/>
      <c r="N90" s="204"/>
      <c r="O90" s="204"/>
      <c r="P90" s="204"/>
      <c r="Q90" s="867"/>
      <c r="R90" s="204"/>
      <c r="S90" s="204"/>
      <c r="T90" s="701"/>
      <c r="U90" s="238"/>
      <c r="V90" s="239"/>
      <c r="W90" s="265"/>
      <c r="X90" s="239"/>
      <c r="Y90" s="238"/>
      <c r="Z90" s="239"/>
      <c r="AA90" s="265"/>
      <c r="AB90" s="239"/>
      <c r="AC90" s="265"/>
      <c r="AD90" s="239"/>
      <c r="AE90" s="839"/>
      <c r="AF90" s="239"/>
      <c r="AG90" s="839"/>
      <c r="AH90" s="239"/>
      <c r="AI90" s="839"/>
      <c r="AJ90" s="239"/>
      <c r="AK90" s="239"/>
      <c r="AL90" s="239"/>
      <c r="AM90" s="839"/>
      <c r="AN90" s="239"/>
      <c r="AO90" s="837"/>
      <c r="AP90" s="837"/>
      <c r="AQ90" s="837"/>
      <c r="AR90" s="837"/>
      <c r="AS90" s="837"/>
      <c r="AT90" s="837"/>
      <c r="AU90" s="837"/>
      <c r="AV90" s="837"/>
      <c r="AW90" s="837"/>
      <c r="AX90" s="837"/>
      <c r="AY90" s="837"/>
      <c r="AZ90" s="880"/>
      <c r="BA90" s="239"/>
      <c r="BB90" s="239"/>
      <c r="BC90" s="837"/>
      <c r="BD90" s="239"/>
      <c r="BE90" s="239"/>
      <c r="BF90" s="239"/>
      <c r="BG90" s="239"/>
      <c r="BH90" s="239"/>
      <c r="BI90" s="239"/>
      <c r="BJ90" s="239"/>
      <c r="BK90" s="239"/>
      <c r="BL90" s="239"/>
      <c r="BM90" s="239"/>
      <c r="BN90" s="239"/>
      <c r="BO90" s="239"/>
      <c r="BP90" s="239"/>
      <c r="BQ90" s="239"/>
      <c r="BR90" s="837"/>
      <c r="BS90" s="239"/>
      <c r="BT90" s="239"/>
      <c r="BU90" s="239"/>
      <c r="BV90" s="239"/>
      <c r="BW90" s="239"/>
      <c r="BX90" s="239"/>
      <c r="BY90" s="239"/>
      <c r="BZ90" s="239"/>
      <c r="CA90" s="239"/>
      <c r="CB90" s="875"/>
      <c r="CC90" s="876"/>
      <c r="CD90" s="876"/>
      <c r="CE90" s="876"/>
      <c r="CF90" s="876"/>
      <c r="CG90" s="876"/>
      <c r="CH90" s="876"/>
      <c r="CI90" s="876"/>
      <c r="CJ90" s="876"/>
      <c r="CK90" s="876"/>
      <c r="CL90" s="876"/>
      <c r="CM90" s="876"/>
      <c r="CN90" s="876"/>
      <c r="CO90" s="876"/>
      <c r="CP90" s="876"/>
      <c r="CQ90" s="876"/>
      <c r="CR90" s="876"/>
      <c r="CS90" s="877"/>
      <c r="CU90" s="201"/>
      <c r="CV90" s="203"/>
      <c r="CW90" s="203"/>
      <c r="CX90" s="203"/>
      <c r="CY90" s="203"/>
      <c r="CZ90" s="203"/>
      <c r="DA90" s="203"/>
      <c r="DB90" s="203"/>
      <c r="DC90" s="203"/>
      <c r="DD90" s="203"/>
      <c r="DE90" s="203"/>
      <c r="DF90" s="203"/>
      <c r="DG90" s="239"/>
      <c r="DH90" s="239"/>
      <c r="DI90" s="239"/>
      <c r="DJ90" s="203"/>
      <c r="DK90" s="203"/>
      <c r="DL90" s="203"/>
      <c r="DM90" s="203"/>
      <c r="DN90" s="210"/>
      <c r="DO90" s="210"/>
      <c r="DP90" s="210"/>
      <c r="DQ90" s="210"/>
      <c r="DR90" s="210"/>
      <c r="DS90" s="210"/>
      <c r="DT90" s="210"/>
      <c r="DU90" s="210"/>
      <c r="DV90" s="210"/>
      <c r="DW90" s="241"/>
      <c r="DX90" s="241"/>
      <c r="DY90" s="241"/>
      <c r="DZ90" s="241"/>
      <c r="EA90" s="241"/>
      <c r="EB90" s="241"/>
      <c r="EC90" s="241"/>
      <c r="ED90" s="241"/>
      <c r="EE90" s="242"/>
      <c r="EF90" s="203"/>
      <c r="EG90" s="242"/>
      <c r="EH90" s="203"/>
      <c r="EI90" s="203"/>
      <c r="EJ90" s="242"/>
      <c r="EK90" s="203"/>
      <c r="EL90" s="203"/>
      <c r="EM90" s="203"/>
      <c r="EN90" s="203"/>
      <c r="EP90" s="200"/>
      <c r="EQ90" s="200"/>
      <c r="ER90" s="200"/>
      <c r="ES90" s="200"/>
      <c r="ET90" s="201"/>
      <c r="EU90" s="200"/>
      <c r="EV90" s="200"/>
      <c r="EW90" s="200"/>
      <c r="EX90" s="200"/>
      <c r="EY90" s="201"/>
      <c r="FA90" s="207"/>
      <c r="FB90" s="207"/>
      <c r="FC90" s="207"/>
      <c r="FD90" s="207"/>
      <c r="FE90" s="207"/>
      <c r="FF90" s="207"/>
      <c r="FG90" s="207"/>
      <c r="FH90" s="207"/>
      <c r="FI90" s="207"/>
      <c r="FJ90" s="207"/>
      <c r="FK90" s="217"/>
      <c r="FL90" s="217"/>
      <c r="FM90" s="217"/>
      <c r="FN90" s="217"/>
      <c r="FO90" s="217"/>
      <c r="FP90" s="217"/>
      <c r="FQ90" s="216"/>
      <c r="FR90" s="1185"/>
      <c r="FS90" s="1185"/>
      <c r="FT90" s="1186"/>
      <c r="FU90" s="1185"/>
      <c r="FV90" s="1187"/>
    </row>
    <row r="91" spans="1:184" s="216" customFormat="1" ht="15" customHeight="1" outlineLevel="1">
      <c r="A91" s="1006" t="s">
        <v>52</v>
      </c>
      <c r="B91" s="1006" t="s">
        <v>52</v>
      </c>
      <c r="C91" s="1007" t="s">
        <v>52</v>
      </c>
      <c r="D91" s="235"/>
      <c r="E91" s="235"/>
      <c r="F91" s="268" t="s">
        <v>52</v>
      </c>
      <c r="G91" s="956"/>
      <c r="H91" s="821" t="s">
        <v>658</v>
      </c>
      <c r="J91" s="869">
        <f>SUM(J86:J90)</f>
        <v>17004.560000000001</v>
      </c>
      <c r="K91" s="869">
        <f>SUM(K86:K90)</f>
        <v>1352.28</v>
      </c>
      <c r="L91" s="869">
        <f>SUM(L86:L90)</f>
        <v>18356.84</v>
      </c>
      <c r="M91" s="802"/>
      <c r="N91" s="871"/>
      <c r="O91" s="958"/>
      <c r="P91" s="958"/>
      <c r="Q91" s="959"/>
      <c r="R91" s="959"/>
      <c r="S91" s="958"/>
      <c r="T91" s="701"/>
      <c r="U91" s="869">
        <f t="shared" ref="U91:AZ91" si="1886">SUM(U86:U90)</f>
        <v>4</v>
      </c>
      <c r="V91" s="869">
        <f t="shared" si="1886"/>
        <v>109.38925</v>
      </c>
      <c r="W91" s="869">
        <f t="shared" si="1886"/>
        <v>0</v>
      </c>
      <c r="X91" s="869">
        <f t="shared" si="1886"/>
        <v>0</v>
      </c>
      <c r="Y91" s="869">
        <f t="shared" si="1886"/>
        <v>9</v>
      </c>
      <c r="Z91" s="869">
        <f t="shared" si="1886"/>
        <v>228.239</v>
      </c>
      <c r="AA91" s="869">
        <f t="shared" si="1886"/>
        <v>0</v>
      </c>
      <c r="AB91" s="869">
        <f t="shared" si="1886"/>
        <v>0</v>
      </c>
      <c r="AC91" s="869">
        <f t="shared" si="1886"/>
        <v>0</v>
      </c>
      <c r="AD91" s="869">
        <f t="shared" si="1886"/>
        <v>0</v>
      </c>
      <c r="AE91" s="869">
        <f t="shared" si="1886"/>
        <v>0</v>
      </c>
      <c r="AF91" s="869">
        <f t="shared" si="1886"/>
        <v>0</v>
      </c>
      <c r="AG91" s="869">
        <f t="shared" si="1886"/>
        <v>0</v>
      </c>
      <c r="AH91" s="869">
        <f t="shared" si="1886"/>
        <v>0</v>
      </c>
      <c r="AI91" s="869">
        <f t="shared" si="1886"/>
        <v>0</v>
      </c>
      <c r="AJ91" s="869">
        <f t="shared" si="1886"/>
        <v>0</v>
      </c>
      <c r="AK91" s="869">
        <f t="shared" si="1886"/>
        <v>0</v>
      </c>
      <c r="AL91" s="869">
        <f t="shared" si="1886"/>
        <v>0</v>
      </c>
      <c r="AM91" s="869">
        <f t="shared" si="1886"/>
        <v>0</v>
      </c>
      <c r="AN91" s="869">
        <f t="shared" si="1886"/>
        <v>0</v>
      </c>
      <c r="AO91" s="869">
        <f t="shared" si="1886"/>
        <v>0</v>
      </c>
      <c r="AP91" s="869">
        <f t="shared" si="1886"/>
        <v>0</v>
      </c>
      <c r="AQ91" s="869">
        <f t="shared" si="1886"/>
        <v>0</v>
      </c>
      <c r="AR91" s="869">
        <f t="shared" si="1886"/>
        <v>0</v>
      </c>
      <c r="AS91" s="869">
        <f t="shared" si="1886"/>
        <v>0</v>
      </c>
      <c r="AT91" s="869">
        <f t="shared" si="1886"/>
        <v>0</v>
      </c>
      <c r="AU91" s="869">
        <f t="shared" si="1886"/>
        <v>0</v>
      </c>
      <c r="AV91" s="869">
        <f t="shared" si="1886"/>
        <v>0</v>
      </c>
      <c r="AW91" s="869">
        <f t="shared" si="1886"/>
        <v>0</v>
      </c>
      <c r="AX91" s="869">
        <f t="shared" si="1886"/>
        <v>0</v>
      </c>
      <c r="AY91" s="869">
        <f t="shared" si="1886"/>
        <v>0</v>
      </c>
      <c r="AZ91" s="869">
        <f t="shared" si="1886"/>
        <v>0</v>
      </c>
      <c r="BA91" s="869">
        <f t="shared" ref="BA91:BS91" si="1887">SUM(BA86:BA90)</f>
        <v>8052.2800000000007</v>
      </c>
      <c r="BB91" s="869">
        <f t="shared" si="1887"/>
        <v>1288.6399999999999</v>
      </c>
      <c r="BC91" s="869">
        <f t="shared" si="1887"/>
        <v>4</v>
      </c>
      <c r="BD91" s="869">
        <f t="shared" si="1887"/>
        <v>109.38925</v>
      </c>
      <c r="BE91" s="869">
        <f t="shared" si="1887"/>
        <v>0</v>
      </c>
      <c r="BF91" s="869">
        <f t="shared" si="1887"/>
        <v>0</v>
      </c>
      <c r="BG91" s="869">
        <f t="shared" si="1887"/>
        <v>0</v>
      </c>
      <c r="BH91" s="869">
        <f t="shared" si="1887"/>
        <v>1034.083493975</v>
      </c>
      <c r="BI91" s="869">
        <f t="shared" si="1887"/>
        <v>10484.392743975</v>
      </c>
      <c r="BJ91" s="869">
        <f t="shared" si="1887"/>
        <v>5551.3680000000004</v>
      </c>
      <c r="BK91" s="869">
        <f t="shared" si="1887"/>
        <v>2894.424</v>
      </c>
      <c r="BL91" s="869">
        <f t="shared" si="1887"/>
        <v>9</v>
      </c>
      <c r="BM91" s="869">
        <f t="shared" si="1887"/>
        <v>228.239</v>
      </c>
      <c r="BN91" s="869">
        <f t="shared" si="1887"/>
        <v>0</v>
      </c>
      <c r="BO91" s="869">
        <f t="shared" si="1887"/>
        <v>0</v>
      </c>
      <c r="BP91" s="869">
        <f t="shared" si="1887"/>
        <v>0</v>
      </c>
      <c r="BQ91" s="869">
        <f t="shared" si="1887"/>
        <v>732.27620690000003</v>
      </c>
      <c r="BR91" s="869">
        <f t="shared" si="1887"/>
        <v>9406.3072069000009</v>
      </c>
      <c r="BS91" s="869">
        <f t="shared" si="1887"/>
        <v>3400.9120000000003</v>
      </c>
      <c r="BT91" s="869">
        <f>SUM(BT86:BT90)</f>
        <v>474.19600000000003</v>
      </c>
      <c r="BU91" s="869">
        <f t="shared" ref="BU91:EF91" si="1888">SUM(BU86:BU90)</f>
        <v>0</v>
      </c>
      <c r="BV91" s="869">
        <f t="shared" si="1888"/>
        <v>0</v>
      </c>
      <c r="BW91" s="869">
        <f t="shared" si="1888"/>
        <v>0</v>
      </c>
      <c r="BX91" s="869">
        <f t="shared" si="1888"/>
        <v>0</v>
      </c>
      <c r="BY91" s="869">
        <f t="shared" si="1888"/>
        <v>0</v>
      </c>
      <c r="BZ91" s="869">
        <f t="shared" si="1888"/>
        <v>430.89555040000005</v>
      </c>
      <c r="CA91" s="869">
        <f t="shared" si="1888"/>
        <v>4306.0035504000007</v>
      </c>
      <c r="CB91" s="869">
        <f t="shared" si="1888"/>
        <v>0</v>
      </c>
      <c r="CC91" s="869">
        <f t="shared" si="1888"/>
        <v>0</v>
      </c>
      <c r="CD91" s="869">
        <f t="shared" si="1888"/>
        <v>0</v>
      </c>
      <c r="CE91" s="869">
        <f t="shared" si="1888"/>
        <v>0</v>
      </c>
      <c r="CF91" s="869">
        <f t="shared" si="1888"/>
        <v>0</v>
      </c>
      <c r="CG91" s="869">
        <f t="shared" si="1888"/>
        <v>0</v>
      </c>
      <c r="CH91" s="869">
        <f t="shared" si="1888"/>
        <v>0</v>
      </c>
      <c r="CI91" s="869">
        <f t="shared" si="1888"/>
        <v>0</v>
      </c>
      <c r="CJ91" s="869">
        <f t="shared" si="1888"/>
        <v>0</v>
      </c>
      <c r="CK91" s="869">
        <f t="shared" si="1888"/>
        <v>0</v>
      </c>
      <c r="CL91" s="869">
        <f t="shared" si="1888"/>
        <v>0</v>
      </c>
      <c r="CM91" s="869">
        <f t="shared" si="1888"/>
        <v>0</v>
      </c>
      <c r="CN91" s="869">
        <f t="shared" si="1888"/>
        <v>0</v>
      </c>
      <c r="CO91" s="869">
        <f t="shared" si="1888"/>
        <v>0</v>
      </c>
      <c r="CP91" s="869">
        <f t="shared" si="1888"/>
        <v>0</v>
      </c>
      <c r="CQ91" s="869">
        <f t="shared" si="1888"/>
        <v>0</v>
      </c>
      <c r="CR91" s="869">
        <f t="shared" si="1888"/>
        <v>0</v>
      </c>
      <c r="CS91" s="869">
        <f t="shared" si="1888"/>
        <v>0</v>
      </c>
      <c r="CT91" s="869">
        <f t="shared" si="1888"/>
        <v>0</v>
      </c>
      <c r="CU91" s="869">
        <f t="shared" si="1888"/>
        <v>0</v>
      </c>
      <c r="CV91" s="869">
        <f t="shared" si="1888"/>
        <v>0</v>
      </c>
      <c r="CW91" s="869">
        <f t="shared" si="1888"/>
        <v>0</v>
      </c>
      <c r="CX91" s="869">
        <f t="shared" si="1888"/>
        <v>0</v>
      </c>
      <c r="CY91" s="869">
        <f t="shared" si="1888"/>
        <v>0</v>
      </c>
      <c r="CZ91" s="869">
        <f t="shared" si="1888"/>
        <v>0</v>
      </c>
      <c r="DA91" s="869">
        <f t="shared" si="1888"/>
        <v>0</v>
      </c>
      <c r="DB91" s="869">
        <f t="shared" si="1888"/>
        <v>0</v>
      </c>
      <c r="DC91" s="869">
        <f t="shared" si="1888"/>
        <v>0</v>
      </c>
      <c r="DD91" s="869">
        <f t="shared" si="1888"/>
        <v>0</v>
      </c>
      <c r="DE91" s="869">
        <f t="shared" si="1888"/>
        <v>0</v>
      </c>
      <c r="DF91" s="869">
        <f t="shared" si="1888"/>
        <v>0</v>
      </c>
      <c r="DG91" s="869">
        <f t="shared" si="1888"/>
        <v>0</v>
      </c>
      <c r="DH91" s="869">
        <f t="shared" si="1888"/>
        <v>0</v>
      </c>
      <c r="DI91" s="869">
        <f t="shared" si="1888"/>
        <v>0</v>
      </c>
      <c r="DJ91" s="869">
        <f t="shared" si="1888"/>
        <v>0</v>
      </c>
      <c r="DK91" s="869">
        <f t="shared" si="1888"/>
        <v>0</v>
      </c>
      <c r="DL91" s="869">
        <f t="shared" si="1888"/>
        <v>0</v>
      </c>
      <c r="DM91" s="869">
        <f t="shared" si="1888"/>
        <v>0</v>
      </c>
      <c r="DN91" s="869">
        <f t="shared" si="1888"/>
        <v>0</v>
      </c>
      <c r="DO91" s="869">
        <f t="shared" si="1888"/>
        <v>0</v>
      </c>
      <c r="DP91" s="869">
        <f t="shared" si="1888"/>
        <v>0</v>
      </c>
      <c r="DQ91" s="869">
        <f t="shared" si="1888"/>
        <v>0</v>
      </c>
      <c r="DR91" s="869">
        <f t="shared" si="1888"/>
        <v>0</v>
      </c>
      <c r="DS91" s="869">
        <f t="shared" si="1888"/>
        <v>0</v>
      </c>
      <c r="DT91" s="869">
        <f t="shared" si="1888"/>
        <v>0</v>
      </c>
      <c r="DU91" s="869">
        <f t="shared" si="1888"/>
        <v>0</v>
      </c>
      <c r="DV91" s="869">
        <f t="shared" si="1888"/>
        <v>0</v>
      </c>
      <c r="DW91" s="869">
        <f t="shared" si="1888"/>
        <v>0</v>
      </c>
      <c r="DX91" s="869">
        <f t="shared" si="1888"/>
        <v>0</v>
      </c>
      <c r="DY91" s="869">
        <f t="shared" si="1888"/>
        <v>0</v>
      </c>
      <c r="DZ91" s="869">
        <f t="shared" si="1888"/>
        <v>0</v>
      </c>
      <c r="EA91" s="869">
        <f t="shared" si="1888"/>
        <v>0</v>
      </c>
      <c r="EB91" s="869">
        <f t="shared" si="1888"/>
        <v>0</v>
      </c>
      <c r="EC91" s="869">
        <f t="shared" si="1888"/>
        <v>0</v>
      </c>
      <c r="ED91" s="869">
        <f t="shared" si="1888"/>
        <v>0</v>
      </c>
      <c r="EE91" s="869">
        <f t="shared" si="1888"/>
        <v>0</v>
      </c>
      <c r="EF91" s="869">
        <f t="shared" si="1888"/>
        <v>17004.560000000001</v>
      </c>
      <c r="EG91" s="869">
        <f t="shared" ref="EG91:GB91" si="1889">SUM(EG86:EG90)</f>
        <v>4657.2599999999993</v>
      </c>
      <c r="EH91" s="869">
        <f t="shared" si="1889"/>
        <v>13</v>
      </c>
      <c r="EI91" s="869">
        <f t="shared" si="1889"/>
        <v>337.62824999999998</v>
      </c>
      <c r="EJ91" s="869">
        <f t="shared" si="1889"/>
        <v>0</v>
      </c>
      <c r="EK91" s="869">
        <f t="shared" si="1889"/>
        <v>0</v>
      </c>
      <c r="EL91" s="869">
        <f t="shared" si="1889"/>
        <v>0</v>
      </c>
      <c r="EM91" s="869">
        <f t="shared" si="1889"/>
        <v>2197.2552512750003</v>
      </c>
      <c r="EN91" s="869">
        <f t="shared" si="1889"/>
        <v>24196.703501274998</v>
      </c>
      <c r="EO91" s="869">
        <f t="shared" si="1889"/>
        <v>0</v>
      </c>
      <c r="EP91" s="869">
        <f t="shared" si="1889"/>
        <v>492</v>
      </c>
      <c r="EQ91" s="869">
        <f t="shared" si="1889"/>
        <v>0</v>
      </c>
      <c r="ER91" s="869">
        <f t="shared" si="1889"/>
        <v>325</v>
      </c>
      <c r="ES91" s="869">
        <f t="shared" si="1889"/>
        <v>1006.5</v>
      </c>
      <c r="ET91" s="869">
        <f t="shared" si="1889"/>
        <v>234</v>
      </c>
      <c r="EU91" s="869">
        <f t="shared" si="1889"/>
        <v>0</v>
      </c>
      <c r="EV91" s="869">
        <f t="shared" si="1889"/>
        <v>0</v>
      </c>
      <c r="EW91" s="869">
        <f t="shared" si="1889"/>
        <v>0</v>
      </c>
      <c r="EX91" s="869">
        <f t="shared" si="1889"/>
        <v>0</v>
      </c>
      <c r="EY91" s="869">
        <f t="shared" si="1889"/>
        <v>234</v>
      </c>
      <c r="EZ91" s="869">
        <f t="shared" si="1889"/>
        <v>0</v>
      </c>
      <c r="FA91" s="869">
        <f t="shared" si="1889"/>
        <v>492</v>
      </c>
      <c r="FB91" s="869">
        <f t="shared" si="1889"/>
        <v>0</v>
      </c>
      <c r="FC91" s="869">
        <f t="shared" si="1889"/>
        <v>325</v>
      </c>
      <c r="FD91" s="869">
        <f t="shared" si="1889"/>
        <v>1006.5</v>
      </c>
      <c r="FE91" s="869">
        <f t="shared" si="1889"/>
        <v>234</v>
      </c>
      <c r="FF91" s="869">
        <f t="shared" si="1889"/>
        <v>0</v>
      </c>
      <c r="FG91" s="869">
        <f t="shared" si="1889"/>
        <v>0</v>
      </c>
      <c r="FH91" s="869">
        <f t="shared" si="1889"/>
        <v>0</v>
      </c>
      <c r="FI91" s="869">
        <f t="shared" si="1889"/>
        <v>0</v>
      </c>
      <c r="FJ91" s="869">
        <f t="shared" si="1889"/>
        <v>234</v>
      </c>
      <c r="FK91" s="869">
        <f t="shared" si="1889"/>
        <v>1.4</v>
      </c>
      <c r="FL91" s="869">
        <f t="shared" si="1889"/>
        <v>0.4</v>
      </c>
      <c r="FM91" s="869">
        <f t="shared" si="1889"/>
        <v>0.2</v>
      </c>
      <c r="FN91" s="869">
        <f t="shared" si="1889"/>
        <v>0</v>
      </c>
      <c r="FO91" s="869">
        <f t="shared" si="1889"/>
        <v>0</v>
      </c>
      <c r="FP91" s="869">
        <f t="shared" si="1889"/>
        <v>2</v>
      </c>
      <c r="FQ91" s="869">
        <f t="shared" si="1889"/>
        <v>0</v>
      </c>
      <c r="FR91" s="869">
        <f t="shared" si="1889"/>
        <v>0</v>
      </c>
      <c r="FS91" s="869">
        <f t="shared" si="1889"/>
        <v>0</v>
      </c>
      <c r="FT91" s="869">
        <f t="shared" si="1889"/>
        <v>0</v>
      </c>
      <c r="FU91" s="869">
        <f t="shared" si="1889"/>
        <v>0</v>
      </c>
      <c r="FV91" s="869">
        <f t="shared" si="1889"/>
        <v>-1311.5</v>
      </c>
      <c r="FW91" s="869">
        <f t="shared" si="1889"/>
        <v>0</v>
      </c>
      <c r="FX91" s="869">
        <f t="shared" si="1889"/>
        <v>0</v>
      </c>
      <c r="FY91" s="869">
        <f t="shared" si="1889"/>
        <v>0</v>
      </c>
      <c r="FZ91" s="869">
        <f t="shared" si="1889"/>
        <v>0</v>
      </c>
      <c r="GA91" s="869">
        <f t="shared" si="1889"/>
        <v>0</v>
      </c>
      <c r="GB91" s="869">
        <f t="shared" si="1889"/>
        <v>0</v>
      </c>
    </row>
    <row r="92" spans="1:184" s="216" customFormat="1" ht="15" customHeight="1" outlineLevel="1">
      <c r="A92" s="1006" t="str">
        <f>$G$4</f>
        <v>MAYO  2026 2da QUINCENA</v>
      </c>
      <c r="B92" s="1006">
        <f>+$G$5</f>
        <v>2026</v>
      </c>
      <c r="C92" s="1007" t="str">
        <f t="shared" si="1459"/>
        <v>MAYO  2026 2da QUINCENA2026</v>
      </c>
      <c r="D92" s="235"/>
      <c r="E92" s="235">
        <v>302030</v>
      </c>
      <c r="F92" s="268"/>
      <c r="G92" s="976" t="s">
        <v>646</v>
      </c>
      <c r="H92" s="235"/>
      <c r="J92" s="802"/>
      <c r="K92" s="802"/>
      <c r="L92" s="802"/>
      <c r="M92" s="802"/>
      <c r="N92" s="871"/>
      <c r="O92" s="958"/>
      <c r="P92" s="958"/>
      <c r="Q92" s="959"/>
      <c r="R92" s="959"/>
      <c r="S92" s="958"/>
      <c r="T92" s="701"/>
      <c r="U92" s="960"/>
      <c r="V92" s="802"/>
      <c r="W92" s="961"/>
      <c r="X92" s="802"/>
      <c r="Y92" s="961"/>
      <c r="Z92" s="802"/>
      <c r="AA92" s="961"/>
      <c r="AB92" s="881"/>
      <c r="AC92" s="961"/>
      <c r="AD92" s="802"/>
      <c r="AE92" s="962"/>
      <c r="AF92" s="802"/>
      <c r="AG92" s="973"/>
      <c r="AH92" s="802"/>
      <c r="AI92" s="974"/>
      <c r="AJ92" s="802"/>
      <c r="AK92" s="824"/>
      <c r="AL92" s="824"/>
      <c r="AM92" s="974"/>
      <c r="AN92" s="824"/>
      <c r="AO92" s="828"/>
      <c r="AP92" s="828"/>
      <c r="AQ92" s="828"/>
      <c r="AR92" s="828"/>
      <c r="AS92" s="828"/>
      <c r="AT92" s="828"/>
      <c r="AU92" s="828"/>
      <c r="AV92" s="828"/>
      <c r="AW92" s="828"/>
      <c r="AX92" s="828"/>
      <c r="AY92" s="861"/>
      <c r="AZ92" s="967"/>
      <c r="BA92" s="802"/>
      <c r="BB92" s="881"/>
      <c r="BC92" s="802"/>
      <c r="BD92" s="802"/>
      <c r="BE92" s="802"/>
      <c r="BF92" s="802"/>
      <c r="BG92" s="802"/>
      <c r="BH92" s="802"/>
      <c r="BI92" s="802"/>
      <c r="BJ92" s="802"/>
      <c r="BK92" s="802"/>
      <c r="BL92" s="802"/>
      <c r="BM92" s="802"/>
      <c r="BN92" s="802"/>
      <c r="BO92" s="802"/>
      <c r="BP92" s="802"/>
      <c r="BQ92" s="802"/>
      <c r="BR92" s="861"/>
      <c r="BS92" s="802"/>
      <c r="BT92" s="802"/>
      <c r="BU92" s="802"/>
      <c r="BV92" s="802"/>
      <c r="BW92" s="802"/>
      <c r="BX92" s="802"/>
      <c r="BY92" s="802"/>
      <c r="BZ92" s="802"/>
      <c r="CA92" s="802"/>
      <c r="CB92" s="802"/>
      <c r="CC92" s="802"/>
      <c r="CD92" s="802"/>
      <c r="CE92" s="802"/>
      <c r="CF92" s="802"/>
      <c r="CG92" s="802"/>
      <c r="CH92" s="802"/>
      <c r="CI92" s="802"/>
      <c r="CJ92" s="802"/>
      <c r="CK92" s="824"/>
      <c r="CL92" s="824"/>
      <c r="CM92" s="824"/>
      <c r="CN92" s="824"/>
      <c r="CO92" s="824"/>
      <c r="CP92" s="824"/>
      <c r="CQ92" s="824"/>
      <c r="CR92" s="824"/>
      <c r="CS92" s="824"/>
      <c r="CV92" s="802"/>
      <c r="CW92" s="802"/>
      <c r="CX92" s="802"/>
      <c r="CY92" s="802"/>
      <c r="CZ92" s="802"/>
      <c r="DA92" s="802"/>
      <c r="DB92" s="802"/>
      <c r="DC92" s="802"/>
      <c r="DD92" s="802"/>
      <c r="DE92" s="802"/>
      <c r="DF92" s="802"/>
      <c r="DG92" s="802"/>
      <c r="DH92" s="802"/>
      <c r="DI92" s="802"/>
      <c r="DJ92" s="802"/>
      <c r="DK92" s="802"/>
      <c r="DL92" s="802"/>
      <c r="DM92" s="802"/>
      <c r="DN92" s="824"/>
      <c r="DO92" s="824"/>
      <c r="DP92" s="824"/>
      <c r="DQ92" s="824"/>
      <c r="DR92" s="824"/>
      <c r="DS92" s="824"/>
      <c r="DT92" s="824"/>
      <c r="DU92" s="824"/>
      <c r="DV92" s="824"/>
      <c r="DW92" s="824"/>
      <c r="DX92" s="824"/>
      <c r="DY92" s="824"/>
      <c r="DZ92" s="824"/>
      <c r="EA92" s="824"/>
      <c r="EB92" s="824"/>
      <c r="EC92" s="824"/>
      <c r="ED92" s="824"/>
      <c r="EE92" s="824"/>
      <c r="EF92" s="824"/>
      <c r="EG92" s="824"/>
      <c r="EH92" s="824"/>
      <c r="EI92" s="824"/>
      <c r="EJ92" s="824"/>
      <c r="EK92" s="824"/>
      <c r="EL92" s="824"/>
      <c r="EM92" s="824"/>
      <c r="EN92" s="824"/>
      <c r="EX92" s="821"/>
      <c r="EY92" s="961"/>
      <c r="FA92" s="961"/>
      <c r="FB92" s="961"/>
      <c r="FC92" s="961"/>
      <c r="FD92" s="961"/>
      <c r="FE92" s="961"/>
      <c r="FF92" s="961"/>
      <c r="FG92" s="961"/>
      <c r="FH92" s="961"/>
      <c r="FI92" s="961"/>
      <c r="FJ92" s="961"/>
      <c r="FK92" s="969"/>
      <c r="FL92" s="969"/>
      <c r="FM92" s="969"/>
      <c r="FN92" s="969"/>
      <c r="FO92" s="969"/>
      <c r="FP92" s="975"/>
    </row>
    <row r="93" spans="1:184" s="235" customFormat="1" ht="15" customHeight="1" outlineLevel="1">
      <c r="A93" s="1006"/>
      <c r="B93" s="1006"/>
      <c r="C93" s="1007"/>
      <c r="E93" s="235">
        <v>302030</v>
      </c>
      <c r="F93" s="268"/>
      <c r="G93" s="199" t="s">
        <v>749</v>
      </c>
      <c r="H93" s="200" t="s">
        <v>107</v>
      </c>
      <c r="I93" s="200" t="s">
        <v>11</v>
      </c>
      <c r="J93" s="203">
        <v>4002.28</v>
      </c>
      <c r="K93" s="837">
        <v>250</v>
      </c>
      <c r="L93" s="837">
        <f t="shared" ref="L93" si="1890">+J93+K93</f>
        <v>4252.2800000000007</v>
      </c>
      <c r="M93" s="203">
        <v>30</v>
      </c>
      <c r="N93" s="204">
        <v>0.5</v>
      </c>
      <c r="O93" s="204">
        <v>0.25</v>
      </c>
      <c r="P93" s="204">
        <v>0.25</v>
      </c>
      <c r="Q93" s="867">
        <v>0</v>
      </c>
      <c r="R93" s="204">
        <v>0</v>
      </c>
      <c r="S93" s="204">
        <f t="shared" ref="S93:S96" si="1891">SUM(N93:R93)</f>
        <v>1</v>
      </c>
      <c r="T93" s="701" t="s">
        <v>750</v>
      </c>
      <c r="U93" s="238"/>
      <c r="V93" s="239">
        <f t="shared" ref="V93" si="1892">($J93/30/8*1.5)*U93</f>
        <v>0</v>
      </c>
      <c r="W93" s="265"/>
      <c r="X93" s="239">
        <f t="shared" ref="X93" si="1893">($J93/30/8*2)*W93</f>
        <v>0</v>
      </c>
      <c r="Y93" s="238">
        <v>7</v>
      </c>
      <c r="Z93" s="239">
        <f t="shared" ref="Z93" si="1894">($J93/30/8*1.5)*Y93</f>
        <v>175.09975</v>
      </c>
      <c r="AA93" s="265"/>
      <c r="AB93" s="239">
        <f t="shared" ref="AB93" si="1895">($J93/30/8*2)*AA93</f>
        <v>0</v>
      </c>
      <c r="AC93" s="265"/>
      <c r="AD93" s="239">
        <f t="shared" ref="AD93" si="1896">(($J93/30/8)*1.5)*AC93</f>
        <v>0</v>
      </c>
      <c r="AE93" s="839"/>
      <c r="AF93" s="239">
        <f t="shared" ref="AF93" si="1897">(($J93/30/8)*2)*AE93</f>
        <v>0</v>
      </c>
      <c r="AG93" s="839"/>
      <c r="AH93" s="239">
        <f t="shared" ref="AH93" si="1898">(($J93/30/8)*1.5)*AG93</f>
        <v>0</v>
      </c>
      <c r="AI93" s="839"/>
      <c r="AJ93" s="239">
        <f t="shared" ref="AJ93" si="1899">(($J93/30/8)*2)*AI93</f>
        <v>0</v>
      </c>
      <c r="AK93" s="239"/>
      <c r="AL93" s="239">
        <f t="shared" ref="AL93" si="1900">(($J93/30/8)*1.5)*AK93</f>
        <v>0</v>
      </c>
      <c r="AM93" s="839"/>
      <c r="AN93" s="239">
        <f t="shared" ref="AN93" si="1901">(($J93/30/8)*2)*AM93</f>
        <v>0</v>
      </c>
      <c r="AO93" s="837"/>
      <c r="AP93" s="837"/>
      <c r="AQ93" s="837"/>
      <c r="AR93" s="837"/>
      <c r="AS93" s="837"/>
      <c r="AT93" s="837"/>
      <c r="AU93" s="837"/>
      <c r="AV93" s="837"/>
      <c r="AW93" s="837"/>
      <c r="AX93" s="837"/>
      <c r="AY93" s="837"/>
      <c r="AZ93" s="880"/>
      <c r="BA93" s="239">
        <f t="shared" ref="BA93" si="1902">((J93/30)*M93)*$N93</f>
        <v>2001.14</v>
      </c>
      <c r="BB93" s="239">
        <f>((K93/30)*M93)*$N93+83.75</f>
        <v>208.75</v>
      </c>
      <c r="BC93" s="837">
        <f t="shared" ref="BC93" si="1903">U93</f>
        <v>0</v>
      </c>
      <c r="BD93" s="239">
        <f t="shared" ref="BD93" si="1904">V93</f>
        <v>0</v>
      </c>
      <c r="BE93" s="239">
        <f t="shared" ref="BE93" si="1905">W93</f>
        <v>0</v>
      </c>
      <c r="BF93" s="239">
        <f t="shared" ref="BF93" si="1906">X93</f>
        <v>0</v>
      </c>
      <c r="BG93" s="239">
        <f t="shared" ref="BG93" si="1907">AO93+AT93</f>
        <v>0</v>
      </c>
      <c r="BH93" s="203">
        <f t="shared" ref="BH93:BH96" si="1908">(BA93+BD93+BF93+BG93)*0.1267</f>
        <v>253.54443800000001</v>
      </c>
      <c r="BI93" s="239">
        <f t="shared" ref="BI93" si="1909">SUM(BA93:BH93)-BC93-BE93</f>
        <v>2463.4344380000002</v>
      </c>
      <c r="BJ93" s="239">
        <f t="shared" ref="BJ93:BJ96" si="1910">(($J93/30)*$M93)*$O93</f>
        <v>1000.57</v>
      </c>
      <c r="BK93" s="239">
        <f>(($K93/30)*$M93)*$O93+83.75+240</f>
        <v>386.25</v>
      </c>
      <c r="BL93" s="239">
        <f t="shared" ref="BL93" si="1911">Y93</f>
        <v>7</v>
      </c>
      <c r="BM93" s="239">
        <f t="shared" ref="BM93" si="1912">Z93</f>
        <v>175.09975</v>
      </c>
      <c r="BN93" s="239">
        <f t="shared" ref="BN93" si="1913">AA93</f>
        <v>0</v>
      </c>
      <c r="BO93" s="239">
        <f t="shared" ref="BO93" si="1914">AB93</f>
        <v>0</v>
      </c>
      <c r="BP93" s="239">
        <f t="shared" ref="BP93" si="1915">AP93+AU93</f>
        <v>0</v>
      </c>
      <c r="BQ93" s="203">
        <f t="shared" ref="BQ93:BQ96" si="1916">(+BJ93+BM93+BO93+BP93)*0.1267</f>
        <v>148.957357325</v>
      </c>
      <c r="BR93" s="837">
        <f t="shared" ref="BR93" si="1917">SUM(BJ93:BQ93)-BL93-BN93</f>
        <v>1710.8771073250002</v>
      </c>
      <c r="BS93" s="239">
        <f t="shared" ref="BS93:BS96" si="1918">(($J93/30)*$M93)*$P93</f>
        <v>1000.57</v>
      </c>
      <c r="BT93" s="239">
        <f>(($K93/30)*$M93)*$P93</f>
        <v>62.500000000000007</v>
      </c>
      <c r="BU93" s="239">
        <f t="shared" ref="BU93" si="1919">AC93</f>
        <v>0</v>
      </c>
      <c r="BV93" s="239">
        <f t="shared" ref="BV93" si="1920">AD93</f>
        <v>0</v>
      </c>
      <c r="BW93" s="239">
        <f t="shared" ref="BW93" si="1921">AE93</f>
        <v>0</v>
      </c>
      <c r="BX93" s="239">
        <f t="shared" ref="BX93" si="1922">AF93</f>
        <v>0</v>
      </c>
      <c r="BY93" s="239">
        <f t="shared" ref="BY93" si="1923">AQ93+AV93</f>
        <v>0</v>
      </c>
      <c r="BZ93" s="203">
        <f t="shared" ref="BZ93:BZ96" si="1924">(BS93+BV93+BX93+BY93)*0.1267</f>
        <v>126.77221900000001</v>
      </c>
      <c r="CA93" s="239">
        <f t="shared" ref="CA93" si="1925">SUM(BS93:BZ93)-BU93-BW93</f>
        <v>1189.8422190000001</v>
      </c>
      <c r="CB93" s="875">
        <f t="shared" ref="CB93:CB96" si="1926">(($J93/30)*$M93)*$Q93</f>
        <v>0</v>
      </c>
      <c r="CC93" s="876">
        <f t="shared" ref="CC93:CC96" si="1927">(($K93/30)*$M93)*$Q93</f>
        <v>0</v>
      </c>
      <c r="CD93" s="876">
        <f t="shared" ref="CD93" si="1928">AG93</f>
        <v>0</v>
      </c>
      <c r="CE93" s="876">
        <f t="shared" ref="CE93" si="1929">AH93</f>
        <v>0</v>
      </c>
      <c r="CF93" s="876">
        <f t="shared" ref="CF93" si="1930">AI93</f>
        <v>0</v>
      </c>
      <c r="CG93" s="876">
        <f t="shared" ref="CG93" si="1931">AJ93</f>
        <v>0</v>
      </c>
      <c r="CH93" s="876">
        <f t="shared" ref="CH93" si="1932">AR93+AW93</f>
        <v>0</v>
      </c>
      <c r="CI93" s="703">
        <f t="shared" ref="CI93:CI96" si="1933">(CB93+CE93+CG93+CH93)*0.1267</f>
        <v>0</v>
      </c>
      <c r="CJ93" s="876">
        <f t="shared" ref="CJ93" si="1934">SUM(CB93:CI93)-CD93-CF93</f>
        <v>0</v>
      </c>
      <c r="CK93" s="876">
        <f t="shared" ref="CK93" si="1935">(($J93/30)*$M93)*R93</f>
        <v>0</v>
      </c>
      <c r="CL93" s="876">
        <f t="shared" ref="CL93:CL96" si="1936">(($K93/30)*$M93)*$R93</f>
        <v>0</v>
      </c>
      <c r="CM93" s="876">
        <f t="shared" ref="CM93" si="1937">+AK93</f>
        <v>0</v>
      </c>
      <c r="CN93" s="876">
        <f t="shared" ref="CN93" si="1938">AL93</f>
        <v>0</v>
      </c>
      <c r="CO93" s="876">
        <f t="shared" ref="CO93" si="1939">AM93</f>
        <v>0</v>
      </c>
      <c r="CP93" s="876">
        <f t="shared" ref="CP93" si="1940">AN93</f>
        <v>0</v>
      </c>
      <c r="CQ93" s="876">
        <f t="shared" ref="CQ93" si="1941">AS93+AX93</f>
        <v>0</v>
      </c>
      <c r="CR93" s="876">
        <f t="shared" ref="CR93" si="1942">(CK93+CN93+CP93)*0.1267</f>
        <v>0</v>
      </c>
      <c r="CS93" s="877">
        <f t="shared" ref="CS93" si="1943">SUM(CK93:CR93)-CM93-CO93</f>
        <v>0</v>
      </c>
      <c r="CU93" s="201" t="s">
        <v>11</v>
      </c>
      <c r="CV93" s="203">
        <f t="shared" ref="CV93:CV96" si="1944">IF($CU93="PROQUIMA",$BA93+$BJ93+$BS93+$CB93+$CK93,0)</f>
        <v>0</v>
      </c>
      <c r="CW93" s="203">
        <f t="shared" ref="CW93:CW96" si="1945">IF($CU93="PROQUIMA",$BB93+$BK93+$BT93+$CC93+$CL93,0)</f>
        <v>0</v>
      </c>
      <c r="CX93" s="203">
        <f t="shared" ref="CX93:CX96" si="1946">IF($CU93="PROQUIMA",$BC93+$BL93+$BU93+$CD93+$CM93,0)</f>
        <v>0</v>
      </c>
      <c r="CY93" s="203">
        <f t="shared" ref="CY93:CY96" si="1947">IF($CU93="PROQUIMA",$BD93+$BM93+$BV93+$CE93+$CN93,0)</f>
        <v>0</v>
      </c>
      <c r="CZ93" s="203">
        <f t="shared" ref="CZ93:CZ96" si="1948">IF($CU93="PROQUIMA",$BE93+$BN93+$BW93+$CF93+$CO93,0)</f>
        <v>0</v>
      </c>
      <c r="DA93" s="203">
        <f t="shared" ref="DA93:DA96" si="1949">IF($CU93="PROQUIMA",$BF93+$BO93+$BX93+$CG93+$CP93,0)</f>
        <v>0</v>
      </c>
      <c r="DB93" s="203">
        <f t="shared" ref="DB93:DB96" si="1950">IF($CU93="PROQUIMA",$BG93+$BP93+$BY93+$CH93+$CQ93,0)</f>
        <v>0</v>
      </c>
      <c r="DC93" s="203">
        <f t="shared" ref="DC93" si="1951">IF($CU93="PROQUIMA",$BH93+$BQ93+$BZ93+$CI93+CR93,0)</f>
        <v>0</v>
      </c>
      <c r="DD93" s="203">
        <f t="shared" ref="DD93" si="1952">SUM(CV93:DC93)-CX93-CZ93</f>
        <v>0</v>
      </c>
      <c r="DE93" s="203">
        <f t="shared" ref="DE93:DE96" si="1953">IF($CU93="UNHESA",$BA93+$BJ93+$BS93+$CB93+$CK93,0)</f>
        <v>0</v>
      </c>
      <c r="DF93" s="203">
        <f t="shared" ref="DF93:DF96" si="1954">IF($CU93="UNHESA",$BB93+$BK93+$BT93+$CC93+$CL93,0)</f>
        <v>0</v>
      </c>
      <c r="DG93" s="239">
        <f t="shared" ref="DG93:DG96" si="1955">IF($CU93="UNHESA",$BC93+$BL93+$BU93+$CD93+$CM93,0)</f>
        <v>0</v>
      </c>
      <c r="DH93" s="239">
        <f t="shared" ref="DH93:DH96" si="1956">IF($CU93="UNHESA",$BD93+$BM93+$BV93+$CE93+$CN93,0)</f>
        <v>0</v>
      </c>
      <c r="DI93" s="239">
        <f t="shared" ref="DI93:DI96" si="1957">IF($CU93="UNHESA",$BE93+$BN93+$BW93+$CF93+$CO93,0)</f>
        <v>0</v>
      </c>
      <c r="DJ93" s="203">
        <f t="shared" ref="DJ93:DJ96" si="1958">IF($CU93="UNHESA",$BF93+$BO93+$BX93+$CG93+$CP93,0)</f>
        <v>0</v>
      </c>
      <c r="DK93" s="203">
        <f t="shared" ref="DK93:DK96" si="1959">IF($CU93="UNHESA",$BG93+$BP93+$BY93+$CH93+$CQ93,0)</f>
        <v>0</v>
      </c>
      <c r="DL93" s="203">
        <f t="shared" ref="DL93:DL96" si="1960">IF($CU93="UNHESA",$BH93+$BQ93+$BZ93+$CI93+$CR93,0)</f>
        <v>0</v>
      </c>
      <c r="DM93" s="203">
        <f t="shared" ref="DM93" si="1961">SUM(DE93:DL93)-DG93-DI93</f>
        <v>0</v>
      </c>
      <c r="DN93" s="210">
        <f t="shared" ref="DN93:DN96" si="1962">IF($CU93="UNHESA LIQUIDOS",$BA93+$BJ93+$BS93+$CB93+$CK93,0)</f>
        <v>0</v>
      </c>
      <c r="DO93" s="210">
        <f t="shared" ref="DO93:DO96" si="1963">IF($CU93="UNHESA LIQUIDOS",$BB93+$BK93+$BT93+$CC93+$CL93,0)</f>
        <v>0</v>
      </c>
      <c r="DP93" s="210">
        <f t="shared" ref="DP93:DP96" si="1964">IF($CU93="UNHESA LIQUIDOS",$BC93+$BL93+$BU93+$CD93+$CM93,0)</f>
        <v>0</v>
      </c>
      <c r="DQ93" s="210">
        <f t="shared" ref="DQ93:DQ96" si="1965">IF($CU93="UNHESA LIQUIDOS",$BD93+$BM93+$BV93+$CE93+$CN93,0)</f>
        <v>0</v>
      </c>
      <c r="DR93" s="210">
        <f t="shared" ref="DR93:DR96" si="1966">IF($CU93="UNHESA LIQUIDOS",$BE93+$BN93+$BW93+$CF93+$CO93,0)</f>
        <v>0</v>
      </c>
      <c r="DS93" s="210">
        <f t="shared" ref="DS93:DS96" si="1967">IF($CU93="UNHESA LIQUIDOS",$BF93+$BO93+$BX93+$CG93+$CP93,0)</f>
        <v>0</v>
      </c>
      <c r="DT93" s="210">
        <f t="shared" ref="DT93:DT96" si="1968">IF($CU93="UNHESA LIQUIDOS",$BG93+$BP93+$BY93+$CH93+$CQ93,0)</f>
        <v>0</v>
      </c>
      <c r="DU93" s="210">
        <f t="shared" ref="DU93:DU96" si="1969">IF($CU93="UNHESA LIQUIDOS",$BH93+$BQ93+$BZ93+$CI93+$CR93,0)</f>
        <v>0</v>
      </c>
      <c r="DV93" s="210">
        <f t="shared" ref="DV93" si="1970">SUM(DN93:DU93)-DP93-DR93</f>
        <v>0</v>
      </c>
      <c r="DW93" s="241">
        <f>IF($CU93="CLEARTEC",$BA93+$BJ93+$BS93+$CB93+$CK93,0)</f>
        <v>0</v>
      </c>
      <c r="DX93" s="241">
        <f t="shared" ref="DX93:ED96" si="1971">IF($CU93="CLEARTEC",$BA93+$BJ93+$BS93+$CB93+$CK93,0)</f>
        <v>0</v>
      </c>
      <c r="DY93" s="241">
        <f t="shared" si="1971"/>
        <v>0</v>
      </c>
      <c r="DZ93" s="241">
        <f t="shared" si="1971"/>
        <v>0</v>
      </c>
      <c r="EA93" s="241">
        <f t="shared" si="1971"/>
        <v>0</v>
      </c>
      <c r="EB93" s="241">
        <f t="shared" si="1971"/>
        <v>0</v>
      </c>
      <c r="EC93" s="241">
        <f t="shared" si="1971"/>
        <v>0</v>
      </c>
      <c r="ED93" s="241">
        <f t="shared" si="1971"/>
        <v>0</v>
      </c>
      <c r="EE93" s="242">
        <f t="shared" ref="EE93" si="1972">SUM(DW93:ED93)-DY93-EA93</f>
        <v>0</v>
      </c>
      <c r="EF93" s="203">
        <f t="shared" ref="EF93" si="1973">IF(CU93="ECONACIONAL",$BA93+$BJ93+$BS93+$CB93+$CK93)</f>
        <v>4002.28</v>
      </c>
      <c r="EG93" s="242">
        <f t="shared" ref="EG93:EG96" si="1974">IF($CU93="ECONACIONAL",$BB93+$BK93+$BT93+$CC93+$CL93,0)</f>
        <v>657.5</v>
      </c>
      <c r="EH93" s="203">
        <f t="shared" ref="EH93" si="1975">IF(CU93="ECONACIONAL",$BC93+$BL93+$BU93+$CD93+$CM93)</f>
        <v>7</v>
      </c>
      <c r="EI93" s="203">
        <f t="shared" ref="EI93" si="1976">IF(CU93="ECONACIONAL",$BD93+$DH93+$DQ93+$DZ93+BM93+BV93+CE93+CN93)</f>
        <v>175.09975</v>
      </c>
      <c r="EJ93" s="242">
        <f t="shared" ref="EJ93:EJ96" si="1977">IF($CU93="CLEARTEC",$BE93+$BN93+$BW93+$CF93+$CO93,0)</f>
        <v>0</v>
      </c>
      <c r="EK93" s="203">
        <f t="shared" ref="EK93" si="1978">IF(CU93="ECONACIONAL",$BF93+$BO93+$BX93+$CG93+$CP93)</f>
        <v>0</v>
      </c>
      <c r="EL93" s="203">
        <f t="shared" ref="EL93" si="1979">IF(CU93="ECONACIONAL",$BG93+$BP93+$BY93+$CH93+$CQ93)</f>
        <v>0</v>
      </c>
      <c r="EM93" s="203">
        <f t="shared" ref="EM93" si="1980">IF(CU93="ECONACIONAL",BH93+BQ93+BZ93+CI93+CR93)</f>
        <v>529.27401432500005</v>
      </c>
      <c r="EN93" s="203">
        <f t="shared" ref="EN93" si="1981">SUM(EF93:EM93)-EH93-EJ93</f>
        <v>5364.1537643250012</v>
      </c>
      <c r="EP93" s="200"/>
      <c r="EQ93" s="200"/>
      <c r="ER93" s="200"/>
      <c r="ES93" s="200">
        <f>641.5+553.75</f>
        <v>1195.25</v>
      </c>
      <c r="ET93" s="200"/>
      <c r="EU93" s="200"/>
      <c r="EV93" s="201"/>
      <c r="EW93" s="201"/>
      <c r="EX93" s="201"/>
      <c r="EY93" s="201">
        <f t="shared" ref="EY93" si="1982">+ET93+EU93+EV93</f>
        <v>0</v>
      </c>
      <c r="FA93" s="207">
        <f t="shared" ref="FA93" si="1983">IF($M93&lt;=15,EP93/2,EP93)</f>
        <v>0</v>
      </c>
      <c r="FB93" s="207">
        <f t="shared" ref="FB93" si="1984">IF($M93&lt;=15,EQ93/2,EQ93)</f>
        <v>0</v>
      </c>
      <c r="FC93" s="207">
        <f t="shared" ref="FC93" si="1985">IF($M93&lt;=15,ER93/2,ER93)</f>
        <v>0</v>
      </c>
      <c r="FD93" s="207">
        <f t="shared" ref="FD93" si="1986">IF($M93&lt;=15,ES93/2,ES93)</f>
        <v>1195.25</v>
      </c>
      <c r="FE93" s="207">
        <f t="shared" ref="FE93" si="1987">IF($M93&lt;=15,ET93/2,ET93)</f>
        <v>0</v>
      </c>
      <c r="FF93" s="207">
        <f t="shared" ref="FF93" si="1988">IF($M93&lt;=15,EU93/2,EU93)</f>
        <v>0</v>
      </c>
      <c r="FG93" s="207">
        <f t="shared" ref="FG93" si="1989">IF($M93&lt;=15,EV93/2,EV93)</f>
        <v>0</v>
      </c>
      <c r="FH93" s="207">
        <f t="shared" ref="FH93" si="1990">IF($M93&lt;=15,EW93/2,EW93)</f>
        <v>0</v>
      </c>
      <c r="FI93" s="207">
        <f t="shared" ref="FI93" si="1991">IF($M93&lt;=15,EX93/2,EX93)</f>
        <v>0</v>
      </c>
      <c r="FJ93" s="207">
        <f t="shared" ref="FJ93" si="1992">IF($M93&lt;=15,EY93/2,EY93)</f>
        <v>0</v>
      </c>
      <c r="FK93" s="217"/>
      <c r="FL93" s="217"/>
      <c r="FM93" s="217"/>
      <c r="FN93" s="217"/>
      <c r="FO93" s="217"/>
      <c r="FP93" s="217"/>
      <c r="FQ93" s="216"/>
      <c r="FR93" s="1178">
        <f t="shared" ref="FR93" si="1993">(((J93/30/8)*1.5)*(U93+Y93+AC93))-(BD93+BM93+BV93)</f>
        <v>0</v>
      </c>
      <c r="FS93" s="1178">
        <f t="shared" ref="FS93" si="1994">(((J93/30/8)*2)*(W93+AA93+AE93))-(BF93+BO93+BX93)</f>
        <v>0</v>
      </c>
      <c r="FT93" s="1179">
        <f t="shared" ref="FT93" si="1995">(SUM(BA93:CJ93))-(SUM(EF93:EN93))</f>
        <v>0</v>
      </c>
      <c r="FU93" s="1178">
        <f t="shared" ref="FU93" si="1996">(J93/30*M93)-(EF93)</f>
        <v>0</v>
      </c>
      <c r="FV93" s="1182">
        <f t="shared" ref="FV93" si="1997">(SUM(EP93:EY93))-((SUM(FA93:FJ93))*$FV$5)</f>
        <v>-1195.25</v>
      </c>
    </row>
    <row r="94" spans="1:184" s="235" customFormat="1" ht="15" customHeight="1" outlineLevel="1">
      <c r="A94" s="1006"/>
      <c r="B94" s="1006"/>
      <c r="C94" s="1007"/>
      <c r="F94" s="268"/>
      <c r="G94" s="199" t="s">
        <v>778</v>
      </c>
      <c r="H94" s="200" t="s">
        <v>107</v>
      </c>
      <c r="I94" s="200" t="s">
        <v>11</v>
      </c>
      <c r="J94" s="203">
        <v>4002.28</v>
      </c>
      <c r="K94" s="837">
        <v>250</v>
      </c>
      <c r="L94" s="837">
        <f t="shared" ref="L94" si="1998">+J94+K94</f>
        <v>4252.2800000000007</v>
      </c>
      <c r="M94" s="203">
        <v>20</v>
      </c>
      <c r="N94" s="204">
        <v>0.5</v>
      </c>
      <c r="O94" s="204">
        <v>0.5</v>
      </c>
      <c r="P94" s="204">
        <v>0</v>
      </c>
      <c r="Q94" s="867">
        <v>0</v>
      </c>
      <c r="R94" s="204">
        <v>0</v>
      </c>
      <c r="S94" s="204">
        <f t="shared" ref="S94" si="1999">SUM(N94:R94)</f>
        <v>1</v>
      </c>
      <c r="T94" s="701" t="s">
        <v>779</v>
      </c>
      <c r="U94" s="238"/>
      <c r="V94" s="239">
        <f t="shared" ref="V94" si="2000">($J94/30/8*1.5)*U94</f>
        <v>0</v>
      </c>
      <c r="W94" s="265"/>
      <c r="X94" s="239">
        <f t="shared" ref="X94" si="2001">($J94/30/8*2)*W94</f>
        <v>0</v>
      </c>
      <c r="Y94" s="238"/>
      <c r="Z94" s="239">
        <f t="shared" ref="Z94" si="2002">($J94/30/8*1.5)*Y94</f>
        <v>0</v>
      </c>
      <c r="AA94" s="265"/>
      <c r="AB94" s="239">
        <f t="shared" ref="AB94" si="2003">($J94/30/8*2)*AA94</f>
        <v>0</v>
      </c>
      <c r="AC94" s="265"/>
      <c r="AD94" s="239">
        <f t="shared" ref="AD94" si="2004">(($J94/30/8)*1.5)*AC94</f>
        <v>0</v>
      </c>
      <c r="AE94" s="839"/>
      <c r="AF94" s="239">
        <f t="shared" ref="AF94" si="2005">(($J94/30/8)*2)*AE94</f>
        <v>0</v>
      </c>
      <c r="AG94" s="839"/>
      <c r="AH94" s="239">
        <f t="shared" ref="AH94" si="2006">(($J94/30/8)*1.5)*AG94</f>
        <v>0</v>
      </c>
      <c r="AI94" s="839"/>
      <c r="AJ94" s="239">
        <f t="shared" ref="AJ94" si="2007">(($J94/30/8)*2)*AI94</f>
        <v>0</v>
      </c>
      <c r="AK94" s="239"/>
      <c r="AL94" s="239">
        <f t="shared" ref="AL94" si="2008">(($J94/30/8)*1.5)*AK94</f>
        <v>0</v>
      </c>
      <c r="AM94" s="839"/>
      <c r="AN94" s="239">
        <f t="shared" ref="AN94" si="2009">(($J94/30/8)*2)*AM94</f>
        <v>0</v>
      </c>
      <c r="AO94" s="837"/>
      <c r="AP94" s="837"/>
      <c r="AQ94" s="837"/>
      <c r="AR94" s="837"/>
      <c r="AS94" s="837"/>
      <c r="AT94" s="837"/>
      <c r="AU94" s="837"/>
      <c r="AV94" s="837"/>
      <c r="AW94" s="837"/>
      <c r="AX94" s="837"/>
      <c r="AY94" s="837"/>
      <c r="AZ94" s="880"/>
      <c r="BA94" s="239">
        <f t="shared" ref="BA94" si="2010">((J94/30)*M94)*$N94</f>
        <v>1334.0933333333332</v>
      </c>
      <c r="BB94" s="239">
        <f>((K94/30)*M94)*$N94</f>
        <v>83.333333333333343</v>
      </c>
      <c r="BC94" s="837">
        <f t="shared" ref="BC94" si="2011">U94</f>
        <v>0</v>
      </c>
      <c r="BD94" s="239">
        <f t="shared" ref="BD94" si="2012">V94</f>
        <v>0</v>
      </c>
      <c r="BE94" s="239">
        <f t="shared" ref="BE94" si="2013">W94</f>
        <v>0</v>
      </c>
      <c r="BF94" s="239">
        <f t="shared" ref="BF94" si="2014">X94</f>
        <v>0</v>
      </c>
      <c r="BG94" s="239">
        <f t="shared" ref="BG94" si="2015">AO94+AT94</f>
        <v>0</v>
      </c>
      <c r="BH94" s="203">
        <f t="shared" ref="BH94" si="2016">(BA94+BD94+BF94+BG94)*0.1267</f>
        <v>169.02962533333334</v>
      </c>
      <c r="BI94" s="239">
        <f t="shared" ref="BI94" si="2017">SUM(BA94:BH94)-BC94-BE94</f>
        <v>1586.4562919999998</v>
      </c>
      <c r="BJ94" s="239">
        <f t="shared" si="1910"/>
        <v>1334.0933333333332</v>
      </c>
      <c r="BK94" s="239">
        <f>(($K94/30)*$M94)*$O94</f>
        <v>83.333333333333343</v>
      </c>
      <c r="BL94" s="239">
        <f t="shared" ref="BL94" si="2018">Y94</f>
        <v>0</v>
      </c>
      <c r="BM94" s="239">
        <f t="shared" ref="BM94" si="2019">Z94</f>
        <v>0</v>
      </c>
      <c r="BN94" s="239">
        <f t="shared" ref="BN94" si="2020">AA94</f>
        <v>0</v>
      </c>
      <c r="BO94" s="239">
        <f t="shared" ref="BO94" si="2021">AB94</f>
        <v>0</v>
      </c>
      <c r="BP94" s="239">
        <f t="shared" ref="BP94" si="2022">AP94+AU94</f>
        <v>0</v>
      </c>
      <c r="BQ94" s="203">
        <f t="shared" ref="BQ94" si="2023">(+BJ94+BM94+BO94+BP94)*0.1267</f>
        <v>169.02962533333334</v>
      </c>
      <c r="BR94" s="837">
        <f t="shared" ref="BR94" si="2024">SUM(BJ94:BQ94)-BL94-BN94</f>
        <v>1586.4562919999998</v>
      </c>
      <c r="BS94" s="239">
        <f t="shared" si="1918"/>
        <v>0</v>
      </c>
      <c r="BT94" s="239">
        <f>(($K94/30)*$M94)*$P94</f>
        <v>0</v>
      </c>
      <c r="BU94" s="239">
        <f t="shared" ref="BU94" si="2025">AC94</f>
        <v>0</v>
      </c>
      <c r="BV94" s="239">
        <f t="shared" ref="BV94" si="2026">AD94</f>
        <v>0</v>
      </c>
      <c r="BW94" s="239">
        <f t="shared" ref="BW94" si="2027">AE94</f>
        <v>0</v>
      </c>
      <c r="BX94" s="239">
        <f t="shared" ref="BX94" si="2028">AF94</f>
        <v>0</v>
      </c>
      <c r="BY94" s="239">
        <f t="shared" ref="BY94" si="2029">AQ94+AV94</f>
        <v>0</v>
      </c>
      <c r="BZ94" s="203">
        <f t="shared" ref="BZ94" si="2030">(BS94+BV94+BX94+BY94)*0.1267</f>
        <v>0</v>
      </c>
      <c r="CA94" s="239">
        <f t="shared" ref="CA94" si="2031">SUM(BS94:BZ94)-BU94-BW94</f>
        <v>0</v>
      </c>
      <c r="CB94" s="875">
        <f t="shared" si="1926"/>
        <v>0</v>
      </c>
      <c r="CC94" s="876">
        <f t="shared" si="1927"/>
        <v>0</v>
      </c>
      <c r="CD94" s="876">
        <f t="shared" ref="CD94" si="2032">AG94</f>
        <v>0</v>
      </c>
      <c r="CE94" s="876">
        <f t="shared" ref="CE94" si="2033">AH94</f>
        <v>0</v>
      </c>
      <c r="CF94" s="876">
        <f t="shared" ref="CF94" si="2034">AI94</f>
        <v>0</v>
      </c>
      <c r="CG94" s="876">
        <f t="shared" ref="CG94" si="2035">AJ94</f>
        <v>0</v>
      </c>
      <c r="CH94" s="876">
        <f t="shared" ref="CH94" si="2036">AR94+AW94</f>
        <v>0</v>
      </c>
      <c r="CI94" s="703">
        <f t="shared" ref="CI94" si="2037">(CB94+CE94+CG94+CH94)*0.1267</f>
        <v>0</v>
      </c>
      <c r="CJ94" s="876">
        <f t="shared" ref="CJ94" si="2038">SUM(CB94:CI94)-CD94-CF94</f>
        <v>0</v>
      </c>
      <c r="CK94" s="876">
        <f t="shared" ref="CK94" si="2039">(($J94/30)*$M94)*R94</f>
        <v>0</v>
      </c>
      <c r="CL94" s="876">
        <f t="shared" si="1936"/>
        <v>0</v>
      </c>
      <c r="CM94" s="876">
        <f t="shared" ref="CM94" si="2040">+AK94</f>
        <v>0</v>
      </c>
      <c r="CN94" s="876">
        <f t="shared" ref="CN94" si="2041">AL94</f>
        <v>0</v>
      </c>
      <c r="CO94" s="876">
        <f t="shared" ref="CO94" si="2042">AM94</f>
        <v>0</v>
      </c>
      <c r="CP94" s="876">
        <f t="shared" ref="CP94" si="2043">AN94</f>
        <v>0</v>
      </c>
      <c r="CQ94" s="876">
        <f t="shared" ref="CQ94" si="2044">AS94+AX94</f>
        <v>0</v>
      </c>
      <c r="CR94" s="876">
        <f t="shared" ref="CR94" si="2045">(CK94+CN94+CP94)*0.1267</f>
        <v>0</v>
      </c>
      <c r="CS94" s="877">
        <f t="shared" ref="CS94" si="2046">SUM(CK94:CR94)-CM94-CO94</f>
        <v>0</v>
      </c>
      <c r="CU94" s="201" t="s">
        <v>11</v>
      </c>
      <c r="CV94" s="203">
        <f t="shared" si="1944"/>
        <v>0</v>
      </c>
      <c r="CW94" s="203">
        <f t="shared" si="1945"/>
        <v>0</v>
      </c>
      <c r="CX94" s="203">
        <f t="shared" si="1946"/>
        <v>0</v>
      </c>
      <c r="CY94" s="203">
        <f t="shared" si="1947"/>
        <v>0</v>
      </c>
      <c r="CZ94" s="203">
        <f t="shared" si="1948"/>
        <v>0</v>
      </c>
      <c r="DA94" s="203">
        <f t="shared" si="1949"/>
        <v>0</v>
      </c>
      <c r="DB94" s="203">
        <f t="shared" si="1950"/>
        <v>0</v>
      </c>
      <c r="DC94" s="203">
        <f t="shared" ref="DC94" si="2047">IF($CU94="PROQUIMA",$BH94+$BQ94+$BZ94+$CI94+CR94,0)</f>
        <v>0</v>
      </c>
      <c r="DD94" s="203">
        <f t="shared" ref="DD94" si="2048">SUM(CV94:DC94)-CX94-CZ94</f>
        <v>0</v>
      </c>
      <c r="DE94" s="203">
        <f t="shared" si="1953"/>
        <v>0</v>
      </c>
      <c r="DF94" s="203">
        <f t="shared" si="1954"/>
        <v>0</v>
      </c>
      <c r="DG94" s="239">
        <f t="shared" si="1955"/>
        <v>0</v>
      </c>
      <c r="DH94" s="239">
        <f t="shared" si="1956"/>
        <v>0</v>
      </c>
      <c r="DI94" s="239">
        <f t="shared" si="1957"/>
        <v>0</v>
      </c>
      <c r="DJ94" s="203">
        <f t="shared" si="1958"/>
        <v>0</v>
      </c>
      <c r="DK94" s="203">
        <f t="shared" si="1959"/>
        <v>0</v>
      </c>
      <c r="DL94" s="203">
        <f t="shared" si="1960"/>
        <v>0</v>
      </c>
      <c r="DM94" s="203">
        <f t="shared" ref="DM94" si="2049">SUM(DE94:DL94)-DG94-DI94</f>
        <v>0</v>
      </c>
      <c r="DN94" s="210">
        <f t="shared" si="1962"/>
        <v>0</v>
      </c>
      <c r="DO94" s="210">
        <f t="shared" si="1963"/>
        <v>0</v>
      </c>
      <c r="DP94" s="210">
        <f t="shared" si="1964"/>
        <v>0</v>
      </c>
      <c r="DQ94" s="210">
        <f t="shared" si="1965"/>
        <v>0</v>
      </c>
      <c r="DR94" s="210">
        <f t="shared" si="1966"/>
        <v>0</v>
      </c>
      <c r="DS94" s="210">
        <f t="shared" si="1967"/>
        <v>0</v>
      </c>
      <c r="DT94" s="210">
        <f t="shared" si="1968"/>
        <v>0</v>
      </c>
      <c r="DU94" s="210">
        <f t="shared" si="1969"/>
        <v>0</v>
      </c>
      <c r="DV94" s="210">
        <f t="shared" ref="DV94" si="2050">SUM(DN94:DU94)-DP94-DR94</f>
        <v>0</v>
      </c>
      <c r="DW94" s="241">
        <f>IF($CU94="CLEARTEC",$BA94+$BJ94+$BS94+$CB94+$CK94,0)</f>
        <v>0</v>
      </c>
      <c r="DX94" s="241">
        <f t="shared" si="1971"/>
        <v>0</v>
      </c>
      <c r="DY94" s="241">
        <f t="shared" si="1971"/>
        <v>0</v>
      </c>
      <c r="DZ94" s="241">
        <f t="shared" si="1971"/>
        <v>0</v>
      </c>
      <c r="EA94" s="241">
        <f t="shared" si="1971"/>
        <v>0</v>
      </c>
      <c r="EB94" s="241">
        <f t="shared" si="1971"/>
        <v>0</v>
      </c>
      <c r="EC94" s="241">
        <f t="shared" si="1971"/>
        <v>0</v>
      </c>
      <c r="ED94" s="241">
        <f t="shared" si="1971"/>
        <v>0</v>
      </c>
      <c r="EE94" s="242">
        <f t="shared" ref="EE94" si="2051">SUM(DW94:ED94)-DY94-EA94</f>
        <v>0</v>
      </c>
      <c r="EF94" s="203">
        <f t="shared" ref="EF94" si="2052">IF(CU94="ECONACIONAL",$BA94+$BJ94+$BS94+$CB94+$CK94)</f>
        <v>2668.1866666666665</v>
      </c>
      <c r="EG94" s="242">
        <f t="shared" si="1974"/>
        <v>166.66666666666669</v>
      </c>
      <c r="EH94" s="203">
        <f t="shared" ref="EH94" si="2053">IF(CU94="ECONACIONAL",$BC94+$BL94+$BU94+$CD94+$CM94)</f>
        <v>0</v>
      </c>
      <c r="EI94" s="203">
        <f t="shared" ref="EI94" si="2054">IF(CU94="ECONACIONAL",$BD94+$DH94+$DQ94+$DZ94+BM94+BV94+CE94+CN94)</f>
        <v>0</v>
      </c>
      <c r="EJ94" s="242">
        <f t="shared" si="1977"/>
        <v>0</v>
      </c>
      <c r="EK94" s="203">
        <f t="shared" ref="EK94" si="2055">IF(CU94="ECONACIONAL",$BF94+$BO94+$BX94+$CG94+$CP94)</f>
        <v>0</v>
      </c>
      <c r="EL94" s="203">
        <f t="shared" ref="EL94" si="2056">IF(CU94="ECONACIONAL",$BG94+$BP94+$BY94+$CH94+$CQ94)</f>
        <v>0</v>
      </c>
      <c r="EM94" s="203">
        <f t="shared" ref="EM94" si="2057">IF(CU94="ECONACIONAL",BH94+BQ94+BZ94+CI94+CR94)</f>
        <v>338.05925066666668</v>
      </c>
      <c r="EN94" s="203">
        <f t="shared" ref="EN94" si="2058">SUM(EF94:EM94)-EH94-EJ94</f>
        <v>3172.9125839999997</v>
      </c>
      <c r="EP94" s="200"/>
      <c r="EQ94" s="200"/>
      <c r="ER94" s="200"/>
      <c r="ES94" s="200"/>
      <c r="ET94" s="200"/>
      <c r="EU94" s="200"/>
      <c r="EV94" s="201"/>
      <c r="EW94" s="201"/>
      <c r="EX94" s="201"/>
      <c r="EY94" s="201">
        <f t="shared" ref="EY94" si="2059">+ET94+EU94+EV94</f>
        <v>0</v>
      </c>
      <c r="FA94" s="207">
        <f t="shared" ref="FA94" si="2060">IF($M94&lt;=15,EP94/2,EP94)</f>
        <v>0</v>
      </c>
      <c r="FB94" s="207">
        <f t="shared" ref="FB94" si="2061">IF($M94&lt;=15,EQ94/2,EQ94)</f>
        <v>0</v>
      </c>
      <c r="FC94" s="207">
        <f t="shared" ref="FC94" si="2062">IF($M94&lt;=15,ER94/2,ER94)</f>
        <v>0</v>
      </c>
      <c r="FD94" s="207">
        <f t="shared" ref="FD94" si="2063">IF($M94&lt;=15,ES94/2,ES94)</f>
        <v>0</v>
      </c>
      <c r="FE94" s="207">
        <f t="shared" ref="FE94" si="2064">IF($M94&lt;=15,ET94/2,ET94)</f>
        <v>0</v>
      </c>
      <c r="FF94" s="207">
        <f t="shared" ref="FF94" si="2065">IF($M94&lt;=15,EU94/2,EU94)</f>
        <v>0</v>
      </c>
      <c r="FG94" s="207">
        <f t="shared" ref="FG94" si="2066">IF($M94&lt;=15,EV94/2,EV94)</f>
        <v>0</v>
      </c>
      <c r="FH94" s="207">
        <f t="shared" ref="FH94" si="2067">IF($M94&lt;=15,EW94/2,EW94)</f>
        <v>0</v>
      </c>
      <c r="FI94" s="207">
        <f t="shared" ref="FI94" si="2068">IF($M94&lt;=15,EX94/2,EX94)</f>
        <v>0</v>
      </c>
      <c r="FJ94" s="207">
        <f t="shared" ref="FJ94" si="2069">IF($M94&lt;=15,EY94/2,EY94)</f>
        <v>0</v>
      </c>
      <c r="FK94" s="217"/>
      <c r="FL94" s="217"/>
      <c r="FM94" s="217"/>
      <c r="FN94" s="217"/>
      <c r="FO94" s="217"/>
      <c r="FP94" s="217"/>
      <c r="FQ94" s="216"/>
      <c r="FR94" s="1178">
        <f t="shared" ref="FR94" si="2070">(((J94/30/8)*1.5)*(U94+Y94+AC94))-(BD94+BM94+BV94)</f>
        <v>0</v>
      </c>
      <c r="FS94" s="1178">
        <f t="shared" ref="FS94" si="2071">(((J94/30/8)*2)*(W94+AA94+AE94))-(BF94+BO94+BX94)</f>
        <v>0</v>
      </c>
      <c r="FT94" s="1179">
        <f t="shared" ref="FT94" si="2072">(SUM(BA94:CJ94))-(SUM(EF94:EN94))</f>
        <v>0</v>
      </c>
      <c r="FU94" s="1178">
        <f t="shared" ref="FU94" si="2073">(J94/30*M94)-(EF94)</f>
        <v>0</v>
      </c>
      <c r="FV94" s="1182">
        <f t="shared" ref="FV94" si="2074">(SUM(EP94:EY94))-((SUM(FA94:FJ94))*$FV$5)</f>
        <v>0</v>
      </c>
    </row>
    <row r="95" spans="1:184" s="235" customFormat="1" ht="15" customHeight="1" outlineLevel="1">
      <c r="A95" s="1006"/>
      <c r="B95" s="1006"/>
      <c r="C95" s="1007"/>
      <c r="E95" s="235">
        <v>302030</v>
      </c>
      <c r="F95" s="268">
        <f>+F93+1</f>
        <v>1</v>
      </c>
      <c r="G95" s="199" t="s">
        <v>428</v>
      </c>
      <c r="H95" s="200" t="s">
        <v>717</v>
      </c>
      <c r="I95" s="200" t="s">
        <v>11</v>
      </c>
      <c r="J95" s="203">
        <v>4250</v>
      </c>
      <c r="K95" s="837">
        <v>350</v>
      </c>
      <c r="L95" s="837">
        <f t="shared" ref="L95" si="2075">+J95+K95</f>
        <v>4600</v>
      </c>
      <c r="M95" s="203">
        <v>30</v>
      </c>
      <c r="N95" s="204">
        <v>0.4</v>
      </c>
      <c r="O95" s="204">
        <v>0.3</v>
      </c>
      <c r="P95" s="204">
        <v>0.3</v>
      </c>
      <c r="Q95" s="867">
        <v>0</v>
      </c>
      <c r="R95" s="204">
        <v>0</v>
      </c>
      <c r="S95" s="204">
        <f t="shared" si="1891"/>
        <v>1</v>
      </c>
      <c r="T95" s="701"/>
      <c r="U95" s="238"/>
      <c r="V95" s="239">
        <f t="shared" ref="V95" si="2076">($J95/30/8*1.5)*U95</f>
        <v>0</v>
      </c>
      <c r="W95" s="265"/>
      <c r="X95" s="239">
        <f t="shared" ref="X95" si="2077">($J95/30/8*2)*W95</f>
        <v>0</v>
      </c>
      <c r="Y95" s="238">
        <v>17</v>
      </c>
      <c r="Z95" s="239">
        <f t="shared" ref="Z95" si="2078">($J95/30/8*1.5)*Y95</f>
        <v>451.5625</v>
      </c>
      <c r="AA95" s="265"/>
      <c r="AB95" s="239">
        <f t="shared" ref="AB95" si="2079">($J95/30/8*2)*AA95</f>
        <v>0</v>
      </c>
      <c r="AC95" s="265"/>
      <c r="AD95" s="239">
        <f t="shared" ref="AD95" si="2080">(($J95/30/8)*1.5)*AC95</f>
        <v>0</v>
      </c>
      <c r="AE95" s="839"/>
      <c r="AF95" s="239">
        <f t="shared" ref="AF95" si="2081">(($J95/30/8)*2)*AE95</f>
        <v>0</v>
      </c>
      <c r="AG95" s="839"/>
      <c r="AH95" s="239">
        <f t="shared" ref="AH95" si="2082">(($J95/30/8)*1.5)*AG95</f>
        <v>0</v>
      </c>
      <c r="AI95" s="839"/>
      <c r="AJ95" s="239">
        <f t="shared" ref="AJ95" si="2083">(($J95/30/8)*2)*AI95</f>
        <v>0</v>
      </c>
      <c r="AK95" s="239"/>
      <c r="AL95" s="239">
        <f t="shared" ref="AL95" si="2084">(($J95/30/8)*1.5)*AK95</f>
        <v>0</v>
      </c>
      <c r="AM95" s="839"/>
      <c r="AN95" s="239">
        <f t="shared" ref="AN95" si="2085">(($J95/30/8)*2)*AM95</f>
        <v>0</v>
      </c>
      <c r="AO95" s="837"/>
      <c r="AP95" s="837"/>
      <c r="AQ95" s="837"/>
      <c r="AR95" s="837"/>
      <c r="AS95" s="837"/>
      <c r="AT95" s="837"/>
      <c r="AU95" s="837"/>
      <c r="AV95" s="837"/>
      <c r="AW95" s="837"/>
      <c r="AX95" s="837"/>
      <c r="AY95" s="837"/>
      <c r="AZ95" s="880"/>
      <c r="BA95" s="239">
        <f t="shared" ref="BA95" si="2086">((J95/30)*M95)*$N95</f>
        <v>1700</v>
      </c>
      <c r="BB95" s="239">
        <f>((K95/30)*M95)*$N95</f>
        <v>140</v>
      </c>
      <c r="BC95" s="837">
        <f t="shared" ref="BC95" si="2087">U95</f>
        <v>0</v>
      </c>
      <c r="BD95" s="239">
        <f t="shared" ref="BD95" si="2088">V95</f>
        <v>0</v>
      </c>
      <c r="BE95" s="239">
        <f t="shared" ref="BE95" si="2089">W95</f>
        <v>0</v>
      </c>
      <c r="BF95" s="239">
        <f t="shared" ref="BF95" si="2090">X95</f>
        <v>0</v>
      </c>
      <c r="BG95" s="239">
        <f t="shared" ref="BG95" si="2091">AO95+AT95</f>
        <v>0</v>
      </c>
      <c r="BH95" s="203">
        <f t="shared" si="1908"/>
        <v>215.39000000000001</v>
      </c>
      <c r="BI95" s="239">
        <f t="shared" ref="BI95" si="2092">SUM(BA95:BH95)-BC95-BE95</f>
        <v>2055.39</v>
      </c>
      <c r="BJ95" s="239">
        <f t="shared" si="1910"/>
        <v>1275</v>
      </c>
      <c r="BK95" s="239">
        <f>(($K95/30)*$M95)*$O95+480</f>
        <v>585</v>
      </c>
      <c r="BL95" s="239">
        <f t="shared" ref="BL95" si="2093">Y95</f>
        <v>17</v>
      </c>
      <c r="BM95" s="239">
        <f t="shared" ref="BM95" si="2094">Z95</f>
        <v>451.5625</v>
      </c>
      <c r="BN95" s="239">
        <f t="shared" ref="BN95" si="2095">AA95</f>
        <v>0</v>
      </c>
      <c r="BO95" s="239">
        <f t="shared" ref="BO95" si="2096">AB95</f>
        <v>0</v>
      </c>
      <c r="BP95" s="239">
        <f t="shared" ref="BP95" si="2097">AP95+AU95</f>
        <v>0</v>
      </c>
      <c r="BQ95" s="203">
        <f t="shared" si="1916"/>
        <v>218.75546875000001</v>
      </c>
      <c r="BR95" s="837">
        <f t="shared" ref="BR95" si="2098">SUM(BJ95:BQ95)-BL95-BN95</f>
        <v>2530.3179687500001</v>
      </c>
      <c r="BS95" s="239">
        <f t="shared" si="1918"/>
        <v>1275</v>
      </c>
      <c r="BT95" s="239">
        <f>(($K95/30)*$M95)*$P95</f>
        <v>105</v>
      </c>
      <c r="BU95" s="239">
        <f t="shared" ref="BU95" si="2099">AC95</f>
        <v>0</v>
      </c>
      <c r="BV95" s="239">
        <f t="shared" ref="BV95" si="2100">AD95</f>
        <v>0</v>
      </c>
      <c r="BW95" s="239">
        <f t="shared" ref="BW95" si="2101">AE95</f>
        <v>0</v>
      </c>
      <c r="BX95" s="239">
        <f t="shared" ref="BX95" si="2102">AF95</f>
        <v>0</v>
      </c>
      <c r="BY95" s="239">
        <f t="shared" ref="BY95" si="2103">AQ95+AV95</f>
        <v>0</v>
      </c>
      <c r="BZ95" s="203">
        <f t="shared" si="1924"/>
        <v>161.54250000000002</v>
      </c>
      <c r="CA95" s="239">
        <f t="shared" ref="CA95" si="2104">SUM(BS95:BZ95)-BU95-BW95</f>
        <v>1541.5425</v>
      </c>
      <c r="CB95" s="875">
        <f t="shared" si="1926"/>
        <v>0</v>
      </c>
      <c r="CC95" s="876">
        <f t="shared" si="1927"/>
        <v>0</v>
      </c>
      <c r="CD95" s="876">
        <f t="shared" ref="CD95" si="2105">AG95</f>
        <v>0</v>
      </c>
      <c r="CE95" s="876">
        <f t="shared" ref="CE95" si="2106">AH95</f>
        <v>0</v>
      </c>
      <c r="CF95" s="876">
        <f t="shared" ref="CF95" si="2107">AI95</f>
        <v>0</v>
      </c>
      <c r="CG95" s="876">
        <f t="shared" ref="CG95" si="2108">AJ95</f>
        <v>0</v>
      </c>
      <c r="CH95" s="876">
        <f t="shared" ref="CH95" si="2109">AR95+AW95</f>
        <v>0</v>
      </c>
      <c r="CI95" s="703">
        <f t="shared" si="1933"/>
        <v>0</v>
      </c>
      <c r="CJ95" s="876">
        <f t="shared" ref="CJ95" si="2110">SUM(CB95:CI95)-CD95-CF95</f>
        <v>0</v>
      </c>
      <c r="CK95" s="876">
        <f t="shared" ref="CK95" si="2111">(($J95/30)*$M95)*R95</f>
        <v>0</v>
      </c>
      <c r="CL95" s="876">
        <f t="shared" si="1936"/>
        <v>0</v>
      </c>
      <c r="CM95" s="876">
        <f t="shared" ref="CM95" si="2112">+AK95</f>
        <v>0</v>
      </c>
      <c r="CN95" s="876">
        <f t="shared" ref="CN95" si="2113">AL95</f>
        <v>0</v>
      </c>
      <c r="CO95" s="876">
        <f t="shared" ref="CO95" si="2114">AM95</f>
        <v>0</v>
      </c>
      <c r="CP95" s="876">
        <f t="shared" ref="CP95" si="2115">AN95</f>
        <v>0</v>
      </c>
      <c r="CQ95" s="876">
        <f t="shared" ref="CQ95" si="2116">AS95+AX95</f>
        <v>0</v>
      </c>
      <c r="CR95" s="876">
        <f t="shared" ref="CR95" si="2117">(CK95+CN95+CP95)*0.1267</f>
        <v>0</v>
      </c>
      <c r="CS95" s="877">
        <f t="shared" ref="CS95" si="2118">SUM(CK95:CR95)-CM95-CO95</f>
        <v>0</v>
      </c>
      <c r="CU95" s="201" t="s">
        <v>11</v>
      </c>
      <c r="CV95" s="203">
        <f t="shared" si="1944"/>
        <v>0</v>
      </c>
      <c r="CW95" s="203">
        <f t="shared" si="1945"/>
        <v>0</v>
      </c>
      <c r="CX95" s="203">
        <f t="shared" si="1946"/>
        <v>0</v>
      </c>
      <c r="CY95" s="203">
        <f t="shared" si="1947"/>
        <v>0</v>
      </c>
      <c r="CZ95" s="203">
        <f t="shared" si="1948"/>
        <v>0</v>
      </c>
      <c r="DA95" s="203">
        <f t="shared" si="1949"/>
        <v>0</v>
      </c>
      <c r="DB95" s="203">
        <f t="shared" si="1950"/>
        <v>0</v>
      </c>
      <c r="DC95" s="203">
        <f t="shared" ref="DC95" si="2119">IF($CU95="PROQUIMA",$BH95+$BQ95+$BZ95+$CI95+CR95,0)</f>
        <v>0</v>
      </c>
      <c r="DD95" s="203">
        <f t="shared" ref="DD95" si="2120">SUM(CV95:DC95)-CX95-CZ95</f>
        <v>0</v>
      </c>
      <c r="DE95" s="203">
        <f t="shared" si="1953"/>
        <v>0</v>
      </c>
      <c r="DF95" s="203">
        <f t="shared" si="1954"/>
        <v>0</v>
      </c>
      <c r="DG95" s="239">
        <f t="shared" si="1955"/>
        <v>0</v>
      </c>
      <c r="DH95" s="239">
        <f t="shared" si="1956"/>
        <v>0</v>
      </c>
      <c r="DI95" s="239">
        <f t="shared" si="1957"/>
        <v>0</v>
      </c>
      <c r="DJ95" s="203">
        <f t="shared" si="1958"/>
        <v>0</v>
      </c>
      <c r="DK95" s="203">
        <f t="shared" si="1959"/>
        <v>0</v>
      </c>
      <c r="DL95" s="203">
        <f t="shared" si="1960"/>
        <v>0</v>
      </c>
      <c r="DM95" s="203">
        <f t="shared" ref="DM95" si="2121">SUM(DE95:DL95)-DG95-DI95</f>
        <v>0</v>
      </c>
      <c r="DN95" s="210">
        <f t="shared" si="1962"/>
        <v>0</v>
      </c>
      <c r="DO95" s="210">
        <f t="shared" si="1963"/>
        <v>0</v>
      </c>
      <c r="DP95" s="210">
        <f t="shared" si="1964"/>
        <v>0</v>
      </c>
      <c r="DQ95" s="210">
        <f t="shared" si="1965"/>
        <v>0</v>
      </c>
      <c r="DR95" s="210">
        <f t="shared" si="1966"/>
        <v>0</v>
      </c>
      <c r="DS95" s="210">
        <f t="shared" si="1967"/>
        <v>0</v>
      </c>
      <c r="DT95" s="210">
        <f t="shared" si="1968"/>
        <v>0</v>
      </c>
      <c r="DU95" s="210">
        <f t="shared" si="1969"/>
        <v>0</v>
      </c>
      <c r="DV95" s="210">
        <f t="shared" ref="DV95" si="2122">SUM(DN95:DU95)-DP95-DR95</f>
        <v>0</v>
      </c>
      <c r="DW95" s="241">
        <f>IF($CU95="CLEARTEC",$BA95+$BJ95+$BS95+$CB95+$CK95,0)</f>
        <v>0</v>
      </c>
      <c r="DX95" s="241">
        <f t="shared" si="1971"/>
        <v>0</v>
      </c>
      <c r="DY95" s="241">
        <f t="shared" si="1971"/>
        <v>0</v>
      </c>
      <c r="DZ95" s="241">
        <f t="shared" si="1971"/>
        <v>0</v>
      </c>
      <c r="EA95" s="241">
        <f t="shared" si="1971"/>
        <v>0</v>
      </c>
      <c r="EB95" s="241">
        <f t="shared" si="1971"/>
        <v>0</v>
      </c>
      <c r="EC95" s="241">
        <f t="shared" si="1971"/>
        <v>0</v>
      </c>
      <c r="ED95" s="241">
        <f t="shared" si="1971"/>
        <v>0</v>
      </c>
      <c r="EE95" s="242">
        <f t="shared" ref="EE95" si="2123">SUM(DW95:ED95)-DY95-EA95</f>
        <v>0</v>
      </c>
      <c r="EF95" s="203">
        <f t="shared" ref="EF95" si="2124">IF(CU95="ECONACIONAL",$BA95+$BJ95+$BS95+$CB95+$CK95)</f>
        <v>4250</v>
      </c>
      <c r="EG95" s="242">
        <f t="shared" si="1974"/>
        <v>830</v>
      </c>
      <c r="EH95" s="203">
        <f t="shared" ref="EH95" si="2125">IF(CU95="ECONACIONAL",$BC95+$BL95+$BU95+$CD95+$CM95)</f>
        <v>17</v>
      </c>
      <c r="EI95" s="203">
        <f t="shared" ref="EI95" si="2126">IF(CU95="ECONACIONAL",$BD95+$DH95+$DQ95+$DZ95+BM95+BV95+CE95+CN95)</f>
        <v>451.5625</v>
      </c>
      <c r="EJ95" s="242">
        <f t="shared" si="1977"/>
        <v>0</v>
      </c>
      <c r="EK95" s="203">
        <f t="shared" ref="EK95" si="2127">IF(CU95="ECONACIONAL",$BF95+$BO95+$BX95+$CG95+$CP95)</f>
        <v>0</v>
      </c>
      <c r="EL95" s="203">
        <f t="shared" ref="EL95" si="2128">IF(CU95="ECONACIONAL",$BG95+$BP95+$BY95+$CH95+$CQ95)</f>
        <v>0</v>
      </c>
      <c r="EM95" s="203">
        <f t="shared" ref="EM95" si="2129">IF(CU95="ECONACIONAL",BH95+BQ95+BZ95+CI95+CR95)</f>
        <v>595.68796874999998</v>
      </c>
      <c r="EN95" s="203">
        <f t="shared" ref="EN95" si="2130">SUM(EF95:EM95)-EH95-EJ95</f>
        <v>6127.2504687500004</v>
      </c>
      <c r="EP95" s="1194">
        <v>176</v>
      </c>
      <c r="EQ95" s="200"/>
      <c r="ER95" s="200"/>
      <c r="ES95" s="200">
        <f>166+237.25</f>
        <v>403.25</v>
      </c>
      <c r="ET95" s="200"/>
      <c r="EU95" s="201"/>
      <c r="EV95" s="201"/>
      <c r="EW95" s="201"/>
      <c r="EX95" s="201"/>
      <c r="EY95" s="201">
        <f t="shared" ref="EY95" si="2131">+ET95+EU95+EV95</f>
        <v>0</v>
      </c>
      <c r="FA95" s="207">
        <f t="shared" ref="FA95" si="2132">IF($M95&lt;=15,EP95/2,EP95)</f>
        <v>176</v>
      </c>
      <c r="FB95" s="207">
        <f t="shared" ref="FB95" si="2133">IF($M95&lt;=15,EQ95/2,EQ95)</f>
        <v>0</v>
      </c>
      <c r="FC95" s="207">
        <f t="shared" ref="FC95" si="2134">IF($M95&lt;=15,ER95/2,ER95)</f>
        <v>0</v>
      </c>
      <c r="FD95" s="207">
        <f t="shared" ref="FD95" si="2135">IF($M95&lt;=15,ES95/2,ES95)</f>
        <v>403.25</v>
      </c>
      <c r="FE95" s="207">
        <f t="shared" ref="FE95" si="2136">IF($M95&lt;=15,ET95/2,ET95)</f>
        <v>0</v>
      </c>
      <c r="FF95" s="207">
        <f t="shared" ref="FF95" si="2137">IF($M95&lt;=15,EU95/2,EU95)</f>
        <v>0</v>
      </c>
      <c r="FG95" s="207">
        <f t="shared" ref="FG95" si="2138">IF($M95&lt;=15,EV95/2,EV95)</f>
        <v>0</v>
      </c>
      <c r="FH95" s="207">
        <f t="shared" ref="FH95" si="2139">IF($M95&lt;=15,EW95/2,EW95)</f>
        <v>0</v>
      </c>
      <c r="FI95" s="207">
        <f t="shared" ref="FI95" si="2140">IF($M95&lt;=15,EX95/2,EX95)</f>
        <v>0</v>
      </c>
      <c r="FJ95" s="207">
        <f t="shared" ref="FJ95" si="2141">IF($M95&lt;=15,EY95/2,EY95)</f>
        <v>0</v>
      </c>
      <c r="FK95" s="217"/>
      <c r="FL95" s="217"/>
      <c r="FM95" s="217"/>
      <c r="FN95" s="217"/>
      <c r="FO95" s="217"/>
      <c r="FP95" s="217"/>
      <c r="FQ95" s="216"/>
      <c r="FR95" s="1178">
        <f t="shared" ref="FR95:FR96" si="2142">(((J95/30/8)*1.5)*(U95+Y95+AC95))-(BD95+BM95+BV95)</f>
        <v>0</v>
      </c>
      <c r="FS95" s="1178">
        <f t="shared" ref="FS95:FS96" si="2143">(((J95/30/8)*2)*(W95+AA95+AE95))-(BF95+BO95+BX95)</f>
        <v>0</v>
      </c>
      <c r="FT95" s="1179">
        <f t="shared" ref="FT95:FT96" si="2144">(SUM(BA95:CJ95))-(SUM(EF95:EN95))</f>
        <v>0</v>
      </c>
      <c r="FU95" s="1178">
        <f t="shared" ref="FU95:FU96" si="2145">(J95/30*M95)-(EF95)</f>
        <v>0</v>
      </c>
      <c r="FV95" s="1182">
        <f t="shared" ref="FV95:FV96" si="2146">(SUM(EP95:EY95))-((SUM(FA95:FJ95))*$FV$5)</f>
        <v>-579.25</v>
      </c>
    </row>
    <row r="96" spans="1:184" s="235" customFormat="1" ht="15" customHeight="1" outlineLevel="1">
      <c r="A96" s="1006"/>
      <c r="B96" s="1006"/>
      <c r="C96" s="1007"/>
      <c r="E96" s="235">
        <v>302030</v>
      </c>
      <c r="F96" s="268">
        <f>+F95+1</f>
        <v>2</v>
      </c>
      <c r="G96" s="199" t="s">
        <v>725</v>
      </c>
      <c r="H96" s="200" t="s">
        <v>724</v>
      </c>
      <c r="I96" s="200" t="s">
        <v>11</v>
      </c>
      <c r="J96" s="203">
        <v>4500</v>
      </c>
      <c r="K96" s="837">
        <v>502.28</v>
      </c>
      <c r="L96" s="837">
        <f t="shared" ref="L96" si="2147">+J96+K96</f>
        <v>5002.28</v>
      </c>
      <c r="M96" s="203">
        <v>30</v>
      </c>
      <c r="N96" s="204">
        <v>0.5</v>
      </c>
      <c r="O96" s="204">
        <v>0.25</v>
      </c>
      <c r="P96" s="204">
        <v>0.25</v>
      </c>
      <c r="Q96" s="867">
        <v>0</v>
      </c>
      <c r="R96" s="204">
        <v>0</v>
      </c>
      <c r="S96" s="204">
        <f t="shared" si="1891"/>
        <v>1</v>
      </c>
      <c r="T96" s="701"/>
      <c r="U96" s="238"/>
      <c r="V96" s="239">
        <f t="shared" ref="V96" si="2148">($J96/30/8*1.5)*U96</f>
        <v>0</v>
      </c>
      <c r="W96" s="265"/>
      <c r="X96" s="239">
        <f t="shared" ref="X96" si="2149">($J96/30/8*2)*W96</f>
        <v>0</v>
      </c>
      <c r="Y96" s="238">
        <v>39</v>
      </c>
      <c r="Z96" s="239">
        <f t="shared" ref="Z96" si="2150">($J96/30/8*1.5)*Y96</f>
        <v>1096.875</v>
      </c>
      <c r="AA96" s="265"/>
      <c r="AB96" s="239">
        <f t="shared" ref="AB96" si="2151">($J96/30/8*2)*AA96</f>
        <v>0</v>
      </c>
      <c r="AC96" s="265"/>
      <c r="AD96" s="239">
        <f t="shared" ref="AD96" si="2152">(($J96/30/8)*1.5)*AC96</f>
        <v>0</v>
      </c>
      <c r="AE96" s="839"/>
      <c r="AF96" s="239">
        <f t="shared" ref="AF96" si="2153">(($J96/30/8)*2)*AE96</f>
        <v>0</v>
      </c>
      <c r="AG96" s="839"/>
      <c r="AH96" s="239">
        <f t="shared" ref="AH96" si="2154">(($J96/30/8)*1.5)*AG96</f>
        <v>0</v>
      </c>
      <c r="AI96" s="839"/>
      <c r="AJ96" s="239">
        <f t="shared" ref="AJ96" si="2155">(($J96/30/8)*2)*AI96</f>
        <v>0</v>
      </c>
      <c r="AK96" s="239"/>
      <c r="AL96" s="239">
        <f t="shared" ref="AL96" si="2156">(($J96/30/8)*1.5)*AK96</f>
        <v>0</v>
      </c>
      <c r="AM96" s="839"/>
      <c r="AN96" s="239">
        <f t="shared" ref="AN96" si="2157">(($J96/30/8)*2)*AM96</f>
        <v>0</v>
      </c>
      <c r="AO96" s="837"/>
      <c r="AP96" s="837"/>
      <c r="AQ96" s="837"/>
      <c r="AR96" s="837"/>
      <c r="AS96" s="837"/>
      <c r="AT96" s="837"/>
      <c r="AU96" s="837"/>
      <c r="AV96" s="837"/>
      <c r="AW96" s="837"/>
      <c r="AX96" s="837"/>
      <c r="AY96" s="837"/>
      <c r="AZ96" s="880"/>
      <c r="BA96" s="239">
        <f t="shared" ref="BA96" si="2158">((J96/30)*M96)*$N96</f>
        <v>2250</v>
      </c>
      <c r="BB96" s="239">
        <f>((K96/30)*M96)*$N96+227.5</f>
        <v>478.64</v>
      </c>
      <c r="BC96" s="837">
        <f t="shared" ref="BC96" si="2159">U96</f>
        <v>0</v>
      </c>
      <c r="BD96" s="239">
        <f t="shared" ref="BD96" si="2160">V96</f>
        <v>0</v>
      </c>
      <c r="BE96" s="239">
        <f t="shared" ref="BE96" si="2161">W96</f>
        <v>0</v>
      </c>
      <c r="BF96" s="239">
        <f t="shared" ref="BF96" si="2162">X96</f>
        <v>0</v>
      </c>
      <c r="BG96" s="239">
        <f t="shared" ref="BG96" si="2163">AO96+AT96</f>
        <v>0</v>
      </c>
      <c r="BH96" s="203">
        <f t="shared" si="1908"/>
        <v>285.07499999999999</v>
      </c>
      <c r="BI96" s="239">
        <f t="shared" ref="BI96" si="2164">SUM(BA96:BH96)-BC96-BE96</f>
        <v>3013.7149999999997</v>
      </c>
      <c r="BJ96" s="239">
        <f t="shared" si="1910"/>
        <v>1125</v>
      </c>
      <c r="BK96" s="239">
        <f>(($K96/30)*$M96)*$O96+113.75</f>
        <v>239.32</v>
      </c>
      <c r="BL96" s="239">
        <f t="shared" ref="BL96" si="2165">Y96</f>
        <v>39</v>
      </c>
      <c r="BM96" s="239">
        <f t="shared" ref="BM96" si="2166">Z96</f>
        <v>1096.875</v>
      </c>
      <c r="BN96" s="239">
        <f t="shared" ref="BN96" si="2167">AA96</f>
        <v>0</v>
      </c>
      <c r="BO96" s="239">
        <f t="shared" ref="BO96" si="2168">AB96</f>
        <v>0</v>
      </c>
      <c r="BP96" s="239">
        <f t="shared" ref="BP96" si="2169">AP96+AU96</f>
        <v>0</v>
      </c>
      <c r="BQ96" s="203">
        <f t="shared" si="1916"/>
        <v>281.51156250000003</v>
      </c>
      <c r="BR96" s="837">
        <f t="shared" ref="BR96" si="2170">SUM(BJ96:BQ96)-BL96-BN96</f>
        <v>2742.7065624999996</v>
      </c>
      <c r="BS96" s="239">
        <f t="shared" si="1918"/>
        <v>1125</v>
      </c>
      <c r="BT96" s="239">
        <f>(($K96/30)*$M96)*$P96+113.75</f>
        <v>239.32</v>
      </c>
      <c r="BU96" s="239">
        <f t="shared" ref="BU96" si="2171">AC96</f>
        <v>0</v>
      </c>
      <c r="BV96" s="239">
        <f t="shared" ref="BV96" si="2172">AD96</f>
        <v>0</v>
      </c>
      <c r="BW96" s="239">
        <f t="shared" ref="BW96" si="2173">AE96</f>
        <v>0</v>
      </c>
      <c r="BX96" s="239">
        <f t="shared" ref="BX96" si="2174">AF96</f>
        <v>0</v>
      </c>
      <c r="BY96" s="239">
        <f t="shared" ref="BY96" si="2175">AQ96+AV96</f>
        <v>0</v>
      </c>
      <c r="BZ96" s="203">
        <f t="shared" si="1924"/>
        <v>142.53749999999999</v>
      </c>
      <c r="CA96" s="239">
        <f t="shared" ref="CA96" si="2176">SUM(BS96:BZ96)-BU96-BW96</f>
        <v>1506.8574999999998</v>
      </c>
      <c r="CB96" s="875">
        <f t="shared" si="1926"/>
        <v>0</v>
      </c>
      <c r="CC96" s="876">
        <f t="shared" si="1927"/>
        <v>0</v>
      </c>
      <c r="CD96" s="876">
        <f t="shared" ref="CD96" si="2177">AG96</f>
        <v>0</v>
      </c>
      <c r="CE96" s="876">
        <f t="shared" ref="CE96" si="2178">AH96</f>
        <v>0</v>
      </c>
      <c r="CF96" s="876">
        <f t="shared" ref="CF96" si="2179">AI96</f>
        <v>0</v>
      </c>
      <c r="CG96" s="876">
        <f t="shared" ref="CG96" si="2180">AJ96</f>
        <v>0</v>
      </c>
      <c r="CH96" s="876">
        <f t="shared" ref="CH96" si="2181">AR96+AW96</f>
        <v>0</v>
      </c>
      <c r="CI96" s="703">
        <f t="shared" si="1933"/>
        <v>0</v>
      </c>
      <c r="CJ96" s="876">
        <f t="shared" ref="CJ96" si="2182">SUM(CB96:CI96)-CD96-CF96</f>
        <v>0</v>
      </c>
      <c r="CK96" s="876">
        <f t="shared" ref="CK96" si="2183">(($J96/30)*$M96)*R96</f>
        <v>0</v>
      </c>
      <c r="CL96" s="876">
        <f t="shared" si="1936"/>
        <v>0</v>
      </c>
      <c r="CM96" s="876">
        <f t="shared" ref="CM96" si="2184">+AK96</f>
        <v>0</v>
      </c>
      <c r="CN96" s="876">
        <f t="shared" ref="CN96" si="2185">AL96</f>
        <v>0</v>
      </c>
      <c r="CO96" s="876">
        <f t="shared" ref="CO96" si="2186">AM96</f>
        <v>0</v>
      </c>
      <c r="CP96" s="876">
        <f t="shared" ref="CP96" si="2187">AN96</f>
        <v>0</v>
      </c>
      <c r="CQ96" s="876">
        <f t="shared" ref="CQ96" si="2188">AS96+AX96</f>
        <v>0</v>
      </c>
      <c r="CR96" s="876">
        <f t="shared" ref="CR96" si="2189">(CK96+CN96+CP96)*0.1267</f>
        <v>0</v>
      </c>
      <c r="CS96" s="877">
        <f t="shared" ref="CS96" si="2190">SUM(CK96:CR96)-CM96-CO96</f>
        <v>0</v>
      </c>
      <c r="CU96" s="201" t="s">
        <v>11</v>
      </c>
      <c r="CV96" s="203">
        <f t="shared" si="1944"/>
        <v>0</v>
      </c>
      <c r="CW96" s="203">
        <f t="shared" si="1945"/>
        <v>0</v>
      </c>
      <c r="CX96" s="203">
        <f t="shared" si="1946"/>
        <v>0</v>
      </c>
      <c r="CY96" s="203">
        <f t="shared" si="1947"/>
        <v>0</v>
      </c>
      <c r="CZ96" s="203">
        <f t="shared" si="1948"/>
        <v>0</v>
      </c>
      <c r="DA96" s="203">
        <f t="shared" si="1949"/>
        <v>0</v>
      </c>
      <c r="DB96" s="203">
        <f t="shared" si="1950"/>
        <v>0</v>
      </c>
      <c r="DC96" s="203">
        <f t="shared" ref="DC96" si="2191">IF($CU96="PROQUIMA",$BH96+$BQ96+$BZ96+$CI96+CR96,0)</f>
        <v>0</v>
      </c>
      <c r="DD96" s="203">
        <f t="shared" ref="DD96" si="2192">SUM(CV96:DC96)-CX96-CZ96</f>
        <v>0</v>
      </c>
      <c r="DE96" s="203">
        <f t="shared" si="1953"/>
        <v>0</v>
      </c>
      <c r="DF96" s="203">
        <f t="shared" si="1954"/>
        <v>0</v>
      </c>
      <c r="DG96" s="239">
        <f t="shared" si="1955"/>
        <v>0</v>
      </c>
      <c r="DH96" s="239">
        <f t="shared" si="1956"/>
        <v>0</v>
      </c>
      <c r="DI96" s="239">
        <f t="shared" si="1957"/>
        <v>0</v>
      </c>
      <c r="DJ96" s="203">
        <f t="shared" si="1958"/>
        <v>0</v>
      </c>
      <c r="DK96" s="203">
        <f t="shared" si="1959"/>
        <v>0</v>
      </c>
      <c r="DL96" s="203">
        <f t="shared" si="1960"/>
        <v>0</v>
      </c>
      <c r="DM96" s="203">
        <f t="shared" ref="DM96" si="2193">SUM(DE96:DL96)-DG96-DI96</f>
        <v>0</v>
      </c>
      <c r="DN96" s="210">
        <f t="shared" si="1962"/>
        <v>0</v>
      </c>
      <c r="DO96" s="210">
        <f t="shared" si="1963"/>
        <v>0</v>
      </c>
      <c r="DP96" s="210">
        <f t="shared" si="1964"/>
        <v>0</v>
      </c>
      <c r="DQ96" s="210">
        <f t="shared" si="1965"/>
        <v>0</v>
      </c>
      <c r="DR96" s="210">
        <f t="shared" si="1966"/>
        <v>0</v>
      </c>
      <c r="DS96" s="210">
        <f t="shared" si="1967"/>
        <v>0</v>
      </c>
      <c r="DT96" s="210">
        <f t="shared" si="1968"/>
        <v>0</v>
      </c>
      <c r="DU96" s="210">
        <f t="shared" si="1969"/>
        <v>0</v>
      </c>
      <c r="DV96" s="210">
        <f t="shared" ref="DV96" si="2194">SUM(DN96:DU96)-DP96-DR96</f>
        <v>0</v>
      </c>
      <c r="DW96" s="241">
        <f>IF($CU96="CLEARTEC",$BA96+$BJ96+$BS96+$CB96+$CK96,0)</f>
        <v>0</v>
      </c>
      <c r="DX96" s="241">
        <f t="shared" si="1971"/>
        <v>0</v>
      </c>
      <c r="DY96" s="241">
        <f t="shared" si="1971"/>
        <v>0</v>
      </c>
      <c r="DZ96" s="241">
        <f t="shared" si="1971"/>
        <v>0</v>
      </c>
      <c r="EA96" s="241">
        <f t="shared" si="1971"/>
        <v>0</v>
      </c>
      <c r="EB96" s="241">
        <f t="shared" si="1971"/>
        <v>0</v>
      </c>
      <c r="EC96" s="241">
        <f t="shared" si="1971"/>
        <v>0</v>
      </c>
      <c r="ED96" s="241">
        <f t="shared" si="1971"/>
        <v>0</v>
      </c>
      <c r="EE96" s="242">
        <f t="shared" ref="EE96" si="2195">SUM(DW96:ED96)-DY96-EA96</f>
        <v>0</v>
      </c>
      <c r="EF96" s="203">
        <f t="shared" ref="EF96" si="2196">IF(CU96="ECONACIONAL",$BA96+$BJ96+$BS96+$CB96+$CK96)</f>
        <v>4500</v>
      </c>
      <c r="EG96" s="242">
        <f t="shared" si="1974"/>
        <v>957.28</v>
      </c>
      <c r="EH96" s="203">
        <f t="shared" ref="EH96" si="2197">IF(CU96="ECONACIONAL",$BC96+$BL96+$BU96+$CD96+$CM96)</f>
        <v>39</v>
      </c>
      <c r="EI96" s="203">
        <f t="shared" ref="EI96" si="2198">IF(CU96="ECONACIONAL",$BD96+$DH96+$DQ96+$DZ96+BM96+BV96+CE96+CN96)</f>
        <v>1096.875</v>
      </c>
      <c r="EJ96" s="242">
        <f t="shared" si="1977"/>
        <v>0</v>
      </c>
      <c r="EK96" s="203">
        <f t="shared" ref="EK96" si="2199">IF(CU96="ECONACIONAL",$BF96+$BO96+$BX96+$CG96+$CP96)</f>
        <v>0</v>
      </c>
      <c r="EL96" s="203">
        <f t="shared" ref="EL96" si="2200">IF(CU96="ECONACIONAL",$BG96+$BP96+$BY96+$CH96+$CQ96)</f>
        <v>0</v>
      </c>
      <c r="EM96" s="203">
        <f t="shared" ref="EM96" si="2201">IF(CU96="ECONACIONAL",BH96+BQ96+BZ96+CI96+CR96)</f>
        <v>709.12406250000004</v>
      </c>
      <c r="EN96" s="203">
        <f t="shared" ref="EN96" si="2202">SUM(EF96:EM96)-EH96-EJ96</f>
        <v>7263.2790624999998</v>
      </c>
      <c r="EP96" s="200">
        <v>196</v>
      </c>
      <c r="EQ96" s="200"/>
      <c r="ER96" s="200"/>
      <c r="ES96" s="200"/>
      <c r="ET96" s="200"/>
      <c r="EU96" s="201"/>
      <c r="EV96" s="201"/>
      <c r="EW96" s="201"/>
      <c r="EX96" s="201"/>
      <c r="EY96" s="201">
        <f t="shared" ref="EY96" si="2203">+ET96+EU96+EV96</f>
        <v>0</v>
      </c>
      <c r="FA96" s="207">
        <f t="shared" ref="FA96" si="2204">IF($M96&lt;=15,EP96/2,EP96)</f>
        <v>196</v>
      </c>
      <c r="FB96" s="207">
        <f t="shared" ref="FB96" si="2205">IF($M96&lt;=15,EQ96/2,EQ96)</f>
        <v>0</v>
      </c>
      <c r="FC96" s="207">
        <f t="shared" ref="FC96" si="2206">IF($M96&lt;=15,ER96/2,ER96)</f>
        <v>0</v>
      </c>
      <c r="FD96" s="207">
        <f t="shared" ref="FD96" si="2207">IF($M96&lt;=15,ES96/2,ES96)</f>
        <v>0</v>
      </c>
      <c r="FE96" s="207">
        <f t="shared" ref="FE96" si="2208">IF($M96&lt;=15,ET96/2,ET96)</f>
        <v>0</v>
      </c>
      <c r="FF96" s="207">
        <f t="shared" ref="FF96" si="2209">IF($M96&lt;=15,EU96/2,EU96)</f>
        <v>0</v>
      </c>
      <c r="FG96" s="207">
        <f t="shared" ref="FG96" si="2210">IF($M96&lt;=15,EV96/2,EV96)</f>
        <v>0</v>
      </c>
      <c r="FH96" s="207">
        <f t="shared" ref="FH96" si="2211">IF($M96&lt;=15,EW96/2,EW96)</f>
        <v>0</v>
      </c>
      <c r="FI96" s="207">
        <f t="shared" ref="FI96" si="2212">IF($M96&lt;=15,EX96/2,EX96)</f>
        <v>0</v>
      </c>
      <c r="FJ96" s="207">
        <f t="shared" ref="FJ96" si="2213">IF($M96&lt;=15,EY96/2,EY96)</f>
        <v>0</v>
      </c>
      <c r="FK96" s="217"/>
      <c r="FL96" s="217"/>
      <c r="FM96" s="217"/>
      <c r="FN96" s="217"/>
      <c r="FO96" s="217"/>
      <c r="FP96" s="217"/>
      <c r="FQ96" s="216"/>
      <c r="FR96" s="1178">
        <f t="shared" si="2142"/>
        <v>0</v>
      </c>
      <c r="FS96" s="1178">
        <f t="shared" si="2143"/>
        <v>0</v>
      </c>
      <c r="FT96" s="1179">
        <f t="shared" si="2144"/>
        <v>0</v>
      </c>
      <c r="FU96" s="1178">
        <f t="shared" si="2145"/>
        <v>0</v>
      </c>
      <c r="FV96" s="1182">
        <f t="shared" si="2146"/>
        <v>-196</v>
      </c>
    </row>
    <row r="97" spans="1:184" s="216" customFormat="1" ht="15" customHeight="1" outlineLevel="1">
      <c r="A97" s="1006" t="s">
        <v>52</v>
      </c>
      <c r="B97" s="1006" t="s">
        <v>52</v>
      </c>
      <c r="C97" s="1007" t="s">
        <v>52</v>
      </c>
      <c r="D97" s="235"/>
      <c r="E97" s="235">
        <v>302030</v>
      </c>
      <c r="F97" s="268"/>
      <c r="G97" s="956"/>
      <c r="H97" s="821" t="s">
        <v>659</v>
      </c>
      <c r="I97" s="821"/>
      <c r="J97" s="869">
        <f>SUM(J93:J96)</f>
        <v>16754.560000000001</v>
      </c>
      <c r="K97" s="869">
        <f>SUM(K93:K96)</f>
        <v>1352.28</v>
      </c>
      <c r="L97" s="869">
        <f>SUM(L93:L96)</f>
        <v>18106.84</v>
      </c>
      <c r="M97" s="802"/>
      <c r="N97" s="871"/>
      <c r="O97" s="958"/>
      <c r="P97" s="958"/>
      <c r="Q97" s="959"/>
      <c r="R97" s="959"/>
      <c r="S97" s="958"/>
      <c r="T97" s="701"/>
      <c r="U97" s="869">
        <f t="shared" ref="U97:AZ97" si="2214">SUM(U93:U96)</f>
        <v>0</v>
      </c>
      <c r="V97" s="869">
        <f t="shared" si="2214"/>
        <v>0</v>
      </c>
      <c r="W97" s="869">
        <f t="shared" si="2214"/>
        <v>0</v>
      </c>
      <c r="X97" s="869">
        <f t="shared" si="2214"/>
        <v>0</v>
      </c>
      <c r="Y97" s="869">
        <f t="shared" si="2214"/>
        <v>63</v>
      </c>
      <c r="Z97" s="869">
        <f t="shared" si="2214"/>
        <v>1723.5372499999999</v>
      </c>
      <c r="AA97" s="869">
        <f t="shared" si="2214"/>
        <v>0</v>
      </c>
      <c r="AB97" s="869">
        <f t="shared" si="2214"/>
        <v>0</v>
      </c>
      <c r="AC97" s="869">
        <f t="shared" si="2214"/>
        <v>0</v>
      </c>
      <c r="AD97" s="869">
        <f t="shared" si="2214"/>
        <v>0</v>
      </c>
      <c r="AE97" s="869">
        <f t="shared" si="2214"/>
        <v>0</v>
      </c>
      <c r="AF97" s="869">
        <f t="shared" si="2214"/>
        <v>0</v>
      </c>
      <c r="AG97" s="869">
        <f t="shared" si="2214"/>
        <v>0</v>
      </c>
      <c r="AH97" s="869">
        <f t="shared" si="2214"/>
        <v>0</v>
      </c>
      <c r="AI97" s="869">
        <f t="shared" si="2214"/>
        <v>0</v>
      </c>
      <c r="AJ97" s="869">
        <f t="shared" si="2214"/>
        <v>0</v>
      </c>
      <c r="AK97" s="869">
        <f t="shared" si="2214"/>
        <v>0</v>
      </c>
      <c r="AL97" s="869">
        <f t="shared" si="2214"/>
        <v>0</v>
      </c>
      <c r="AM97" s="869">
        <f t="shared" si="2214"/>
        <v>0</v>
      </c>
      <c r="AN97" s="869">
        <f t="shared" si="2214"/>
        <v>0</v>
      </c>
      <c r="AO97" s="869">
        <f t="shared" si="2214"/>
        <v>0</v>
      </c>
      <c r="AP97" s="869">
        <f t="shared" si="2214"/>
        <v>0</v>
      </c>
      <c r="AQ97" s="869">
        <f t="shared" si="2214"/>
        <v>0</v>
      </c>
      <c r="AR97" s="869">
        <f t="shared" si="2214"/>
        <v>0</v>
      </c>
      <c r="AS97" s="869">
        <f t="shared" si="2214"/>
        <v>0</v>
      </c>
      <c r="AT97" s="869">
        <f t="shared" si="2214"/>
        <v>0</v>
      </c>
      <c r="AU97" s="869">
        <f t="shared" si="2214"/>
        <v>0</v>
      </c>
      <c r="AV97" s="869">
        <f t="shared" si="2214"/>
        <v>0</v>
      </c>
      <c r="AW97" s="869">
        <f t="shared" si="2214"/>
        <v>0</v>
      </c>
      <c r="AX97" s="869">
        <f t="shared" si="2214"/>
        <v>0</v>
      </c>
      <c r="AY97" s="869">
        <f t="shared" si="2214"/>
        <v>0</v>
      </c>
      <c r="AZ97" s="869">
        <f t="shared" si="2214"/>
        <v>0</v>
      </c>
      <c r="BA97" s="869">
        <f t="shared" ref="BA97:CF97" si="2215">SUM(BA93:BA96)</f>
        <v>7285.2333333333336</v>
      </c>
      <c r="BB97" s="869">
        <f t="shared" si="2215"/>
        <v>910.72333333333336</v>
      </c>
      <c r="BC97" s="869">
        <f t="shared" si="2215"/>
        <v>0</v>
      </c>
      <c r="BD97" s="869">
        <f t="shared" si="2215"/>
        <v>0</v>
      </c>
      <c r="BE97" s="869">
        <f t="shared" si="2215"/>
        <v>0</v>
      </c>
      <c r="BF97" s="869">
        <f t="shared" si="2215"/>
        <v>0</v>
      </c>
      <c r="BG97" s="869">
        <f t="shared" si="2215"/>
        <v>0</v>
      </c>
      <c r="BH97" s="869">
        <f t="shared" si="2215"/>
        <v>923.03906333333339</v>
      </c>
      <c r="BI97" s="869">
        <f t="shared" si="2215"/>
        <v>9118.9957300000005</v>
      </c>
      <c r="BJ97" s="869">
        <f t="shared" si="2215"/>
        <v>4734.6633333333339</v>
      </c>
      <c r="BK97" s="869">
        <f t="shared" si="2215"/>
        <v>1293.9033333333334</v>
      </c>
      <c r="BL97" s="869">
        <f t="shared" si="2215"/>
        <v>63</v>
      </c>
      <c r="BM97" s="869">
        <f t="shared" si="2215"/>
        <v>1723.5372499999999</v>
      </c>
      <c r="BN97" s="869">
        <f t="shared" si="2215"/>
        <v>0</v>
      </c>
      <c r="BO97" s="869">
        <f t="shared" si="2215"/>
        <v>0</v>
      </c>
      <c r="BP97" s="869">
        <f t="shared" si="2215"/>
        <v>0</v>
      </c>
      <c r="BQ97" s="869">
        <f t="shared" si="2215"/>
        <v>818.25401390833326</v>
      </c>
      <c r="BR97" s="869">
        <f t="shared" si="2215"/>
        <v>8570.357930574999</v>
      </c>
      <c r="BS97" s="869">
        <f t="shared" si="2215"/>
        <v>3400.57</v>
      </c>
      <c r="BT97" s="869">
        <f t="shared" si="2215"/>
        <v>406.82</v>
      </c>
      <c r="BU97" s="869">
        <f t="shared" si="2215"/>
        <v>0</v>
      </c>
      <c r="BV97" s="869">
        <f t="shared" si="2215"/>
        <v>0</v>
      </c>
      <c r="BW97" s="869">
        <f t="shared" si="2215"/>
        <v>0</v>
      </c>
      <c r="BX97" s="869">
        <f t="shared" si="2215"/>
        <v>0</v>
      </c>
      <c r="BY97" s="869">
        <f t="shared" si="2215"/>
        <v>0</v>
      </c>
      <c r="BZ97" s="869">
        <f t="shared" si="2215"/>
        <v>430.85221899999999</v>
      </c>
      <c r="CA97" s="869">
        <f t="shared" si="2215"/>
        <v>4238.2422189999997</v>
      </c>
      <c r="CB97" s="869">
        <f t="shared" si="2215"/>
        <v>0</v>
      </c>
      <c r="CC97" s="869">
        <f t="shared" si="2215"/>
        <v>0</v>
      </c>
      <c r="CD97" s="869">
        <f t="shared" si="2215"/>
        <v>0</v>
      </c>
      <c r="CE97" s="869">
        <f t="shared" si="2215"/>
        <v>0</v>
      </c>
      <c r="CF97" s="869">
        <f t="shared" si="2215"/>
        <v>0</v>
      </c>
      <c r="CG97" s="869">
        <f t="shared" ref="CG97:DL97" si="2216">SUM(CG93:CG96)</f>
        <v>0</v>
      </c>
      <c r="CH97" s="869">
        <f t="shared" si="2216"/>
        <v>0</v>
      </c>
      <c r="CI97" s="869">
        <f t="shared" si="2216"/>
        <v>0</v>
      </c>
      <c r="CJ97" s="869">
        <f t="shared" si="2216"/>
        <v>0</v>
      </c>
      <c r="CK97" s="869">
        <f t="shared" si="2216"/>
        <v>0</v>
      </c>
      <c r="CL97" s="869">
        <f t="shared" si="2216"/>
        <v>0</v>
      </c>
      <c r="CM97" s="869">
        <f t="shared" si="2216"/>
        <v>0</v>
      </c>
      <c r="CN97" s="869">
        <f t="shared" si="2216"/>
        <v>0</v>
      </c>
      <c r="CO97" s="869">
        <f t="shared" si="2216"/>
        <v>0</v>
      </c>
      <c r="CP97" s="869">
        <f t="shared" si="2216"/>
        <v>0</v>
      </c>
      <c r="CQ97" s="869">
        <f t="shared" si="2216"/>
        <v>0</v>
      </c>
      <c r="CR97" s="869">
        <f t="shared" si="2216"/>
        <v>0</v>
      </c>
      <c r="CS97" s="869">
        <f t="shared" si="2216"/>
        <v>0</v>
      </c>
      <c r="CT97" s="869">
        <f t="shared" si="2216"/>
        <v>0</v>
      </c>
      <c r="CU97" s="869">
        <f t="shared" si="2216"/>
        <v>0</v>
      </c>
      <c r="CV97" s="869">
        <f t="shared" si="2216"/>
        <v>0</v>
      </c>
      <c r="CW97" s="869">
        <f t="shared" si="2216"/>
        <v>0</v>
      </c>
      <c r="CX97" s="869">
        <f t="shared" si="2216"/>
        <v>0</v>
      </c>
      <c r="CY97" s="869">
        <f t="shared" si="2216"/>
        <v>0</v>
      </c>
      <c r="CZ97" s="869">
        <f t="shared" si="2216"/>
        <v>0</v>
      </c>
      <c r="DA97" s="869">
        <f t="shared" si="2216"/>
        <v>0</v>
      </c>
      <c r="DB97" s="869">
        <f t="shared" si="2216"/>
        <v>0</v>
      </c>
      <c r="DC97" s="869">
        <f t="shared" si="2216"/>
        <v>0</v>
      </c>
      <c r="DD97" s="869">
        <f t="shared" si="2216"/>
        <v>0</v>
      </c>
      <c r="DE97" s="869">
        <f t="shared" si="2216"/>
        <v>0</v>
      </c>
      <c r="DF97" s="869">
        <f t="shared" si="2216"/>
        <v>0</v>
      </c>
      <c r="DG97" s="869">
        <f t="shared" si="2216"/>
        <v>0</v>
      </c>
      <c r="DH97" s="869">
        <f t="shared" si="2216"/>
        <v>0</v>
      </c>
      <c r="DI97" s="869">
        <f t="shared" si="2216"/>
        <v>0</v>
      </c>
      <c r="DJ97" s="869">
        <f t="shared" si="2216"/>
        <v>0</v>
      </c>
      <c r="DK97" s="869">
        <f t="shared" si="2216"/>
        <v>0</v>
      </c>
      <c r="DL97" s="869">
        <f t="shared" si="2216"/>
        <v>0</v>
      </c>
      <c r="DM97" s="869">
        <f t="shared" ref="DM97:EN97" si="2217">SUM(DM93:DM96)</f>
        <v>0</v>
      </c>
      <c r="DN97" s="869">
        <f t="shared" si="2217"/>
        <v>0</v>
      </c>
      <c r="DO97" s="869">
        <f t="shared" si="2217"/>
        <v>0</v>
      </c>
      <c r="DP97" s="869">
        <f t="shared" si="2217"/>
        <v>0</v>
      </c>
      <c r="DQ97" s="869">
        <f t="shared" si="2217"/>
        <v>0</v>
      </c>
      <c r="DR97" s="869">
        <f t="shared" si="2217"/>
        <v>0</v>
      </c>
      <c r="DS97" s="869">
        <f t="shared" si="2217"/>
        <v>0</v>
      </c>
      <c r="DT97" s="869">
        <f t="shared" si="2217"/>
        <v>0</v>
      </c>
      <c r="DU97" s="869">
        <f t="shared" si="2217"/>
        <v>0</v>
      </c>
      <c r="DV97" s="869">
        <f t="shared" si="2217"/>
        <v>0</v>
      </c>
      <c r="DW97" s="869">
        <f t="shared" si="2217"/>
        <v>0</v>
      </c>
      <c r="DX97" s="869">
        <f t="shared" si="2217"/>
        <v>0</v>
      </c>
      <c r="DY97" s="869">
        <f t="shared" si="2217"/>
        <v>0</v>
      </c>
      <c r="DZ97" s="869">
        <f t="shared" si="2217"/>
        <v>0</v>
      </c>
      <c r="EA97" s="869">
        <f t="shared" si="2217"/>
        <v>0</v>
      </c>
      <c r="EB97" s="869">
        <f t="shared" si="2217"/>
        <v>0</v>
      </c>
      <c r="EC97" s="869">
        <f t="shared" si="2217"/>
        <v>0</v>
      </c>
      <c r="ED97" s="869">
        <f t="shared" si="2217"/>
        <v>0</v>
      </c>
      <c r="EE97" s="869">
        <f t="shared" si="2217"/>
        <v>0</v>
      </c>
      <c r="EF97" s="869">
        <f t="shared" si="2217"/>
        <v>15420.466666666667</v>
      </c>
      <c r="EG97" s="869">
        <f t="shared" si="2217"/>
        <v>2611.4466666666667</v>
      </c>
      <c r="EH97" s="869">
        <f t="shared" si="2217"/>
        <v>63</v>
      </c>
      <c r="EI97" s="869">
        <f t="shared" si="2217"/>
        <v>1723.5372499999999</v>
      </c>
      <c r="EJ97" s="869">
        <f t="shared" si="2217"/>
        <v>0</v>
      </c>
      <c r="EK97" s="869">
        <f t="shared" si="2217"/>
        <v>0</v>
      </c>
      <c r="EL97" s="869">
        <f t="shared" si="2217"/>
        <v>0</v>
      </c>
      <c r="EM97" s="869">
        <f t="shared" si="2217"/>
        <v>2172.145296241667</v>
      </c>
      <c r="EN97" s="869">
        <f t="shared" si="2217"/>
        <v>21927.595879575001</v>
      </c>
      <c r="EO97" s="869"/>
      <c r="EP97" s="869">
        <f t="shared" ref="EP97:EY97" si="2218">SUM(EP93:EP96)</f>
        <v>372</v>
      </c>
      <c r="EQ97" s="869">
        <f t="shared" si="2218"/>
        <v>0</v>
      </c>
      <c r="ER97" s="869">
        <f t="shared" si="2218"/>
        <v>0</v>
      </c>
      <c r="ES97" s="869">
        <f t="shared" si="2218"/>
        <v>1598.5</v>
      </c>
      <c r="ET97" s="869">
        <f t="shared" si="2218"/>
        <v>0</v>
      </c>
      <c r="EU97" s="869">
        <f t="shared" si="2218"/>
        <v>0</v>
      </c>
      <c r="EV97" s="869">
        <f t="shared" si="2218"/>
        <v>0</v>
      </c>
      <c r="EW97" s="869">
        <f t="shared" si="2218"/>
        <v>0</v>
      </c>
      <c r="EX97" s="869">
        <f t="shared" si="2218"/>
        <v>0</v>
      </c>
      <c r="EY97" s="869">
        <f t="shared" si="2218"/>
        <v>0</v>
      </c>
      <c r="EZ97" s="869"/>
      <c r="FA97" s="869">
        <f t="shared" ref="FA97:FP97" si="2219">SUM(FA93:FA96)</f>
        <v>372</v>
      </c>
      <c r="FB97" s="869">
        <f t="shared" si="2219"/>
        <v>0</v>
      </c>
      <c r="FC97" s="869">
        <f t="shared" si="2219"/>
        <v>0</v>
      </c>
      <c r="FD97" s="869">
        <f t="shared" si="2219"/>
        <v>1598.5</v>
      </c>
      <c r="FE97" s="869">
        <f t="shared" si="2219"/>
        <v>0</v>
      </c>
      <c r="FF97" s="869">
        <f t="shared" si="2219"/>
        <v>0</v>
      </c>
      <c r="FG97" s="869">
        <f t="shared" si="2219"/>
        <v>0</v>
      </c>
      <c r="FH97" s="869">
        <f t="shared" si="2219"/>
        <v>0</v>
      </c>
      <c r="FI97" s="869">
        <f t="shared" si="2219"/>
        <v>0</v>
      </c>
      <c r="FJ97" s="869">
        <f t="shared" si="2219"/>
        <v>0</v>
      </c>
      <c r="FK97" s="869">
        <f t="shared" si="2219"/>
        <v>0</v>
      </c>
      <c r="FL97" s="869">
        <f t="shared" si="2219"/>
        <v>0</v>
      </c>
      <c r="FM97" s="869">
        <f t="shared" si="2219"/>
        <v>0</v>
      </c>
      <c r="FN97" s="869">
        <f t="shared" si="2219"/>
        <v>0</v>
      </c>
      <c r="FO97" s="869">
        <f t="shared" si="2219"/>
        <v>0</v>
      </c>
      <c r="FP97" s="869">
        <f t="shared" si="2219"/>
        <v>0</v>
      </c>
    </row>
    <row r="98" spans="1:184" s="216" customFormat="1" ht="15" customHeight="1" outlineLevel="1">
      <c r="A98" s="1006" t="s">
        <v>52</v>
      </c>
      <c r="B98" s="1006" t="s">
        <v>52</v>
      </c>
      <c r="C98" s="1007" t="s">
        <v>52</v>
      </c>
      <c r="D98" s="235"/>
      <c r="E98" s="235"/>
      <c r="F98" s="268"/>
      <c r="G98" s="976" t="s">
        <v>647</v>
      </c>
      <c r="H98" s="235"/>
      <c r="J98" s="802"/>
      <c r="K98" s="802"/>
      <c r="L98" s="802"/>
      <c r="M98" s="802"/>
      <c r="N98" s="871"/>
      <c r="O98" s="958"/>
      <c r="P98" s="958"/>
      <c r="Q98" s="959"/>
      <c r="R98" s="959"/>
      <c r="S98" s="958"/>
      <c r="T98" s="701"/>
      <c r="U98" s="960"/>
      <c r="V98" s="802"/>
      <c r="W98" s="961"/>
      <c r="X98" s="802"/>
      <c r="Y98" s="961"/>
      <c r="Z98" s="802"/>
      <c r="AA98" s="961"/>
      <c r="AB98" s="881"/>
      <c r="AC98" s="961"/>
      <c r="AD98" s="802"/>
      <c r="AE98" s="962"/>
      <c r="AF98" s="802"/>
      <c r="AG98" s="973"/>
      <c r="AH98" s="802"/>
      <c r="AI98" s="974"/>
      <c r="AJ98" s="802"/>
      <c r="AK98" s="824"/>
      <c r="AL98" s="824"/>
      <c r="AM98" s="974"/>
      <c r="AN98" s="824"/>
      <c r="AO98" s="828"/>
      <c r="AP98" s="828"/>
      <c r="AQ98" s="828"/>
      <c r="AR98" s="828"/>
      <c r="AS98" s="828"/>
      <c r="AT98" s="828"/>
      <c r="AU98" s="828"/>
      <c r="AV98" s="828"/>
      <c r="AW98" s="828"/>
      <c r="AX98" s="828"/>
      <c r="AY98" s="861"/>
      <c r="AZ98" s="967"/>
      <c r="BA98" s="802"/>
      <c r="BB98" s="881"/>
      <c r="BC98" s="802"/>
      <c r="BD98" s="802"/>
      <c r="BE98" s="802"/>
      <c r="BF98" s="802"/>
      <c r="BG98" s="802"/>
      <c r="BH98" s="802"/>
      <c r="BI98" s="802"/>
      <c r="BJ98" s="802"/>
      <c r="BK98" s="802"/>
      <c r="BL98" s="802"/>
      <c r="BM98" s="802"/>
      <c r="BN98" s="802"/>
      <c r="BO98" s="802"/>
      <c r="BP98" s="802"/>
      <c r="BQ98" s="802"/>
      <c r="BR98" s="861"/>
      <c r="BS98" s="802"/>
      <c r="BT98" s="802"/>
      <c r="BU98" s="802"/>
      <c r="BV98" s="802"/>
      <c r="BW98" s="802"/>
      <c r="BX98" s="802"/>
      <c r="BY98" s="802"/>
      <c r="BZ98" s="802"/>
      <c r="CA98" s="802"/>
      <c r="CB98" s="802"/>
      <c r="CC98" s="802"/>
      <c r="CD98" s="802"/>
      <c r="CE98" s="802"/>
      <c r="CF98" s="802"/>
      <c r="CG98" s="802"/>
      <c r="CH98" s="802"/>
      <c r="CI98" s="802"/>
      <c r="CJ98" s="802"/>
      <c r="CK98" s="824"/>
      <c r="CL98" s="824"/>
      <c r="CM98" s="824"/>
      <c r="CN98" s="824"/>
      <c r="CO98" s="824"/>
      <c r="CP98" s="824"/>
      <c r="CQ98" s="824"/>
      <c r="CR98" s="824"/>
      <c r="CS98" s="824"/>
      <c r="CV98" s="802"/>
      <c r="CW98" s="802"/>
      <c r="CX98" s="802"/>
      <c r="CY98" s="802"/>
      <c r="CZ98" s="802"/>
      <c r="DA98" s="802"/>
      <c r="DB98" s="802"/>
      <c r="DC98" s="802"/>
      <c r="DD98" s="802"/>
      <c r="DE98" s="802"/>
      <c r="DF98" s="802"/>
      <c r="DG98" s="802"/>
      <c r="DH98" s="802"/>
      <c r="DI98" s="802"/>
      <c r="DJ98" s="802"/>
      <c r="DK98" s="802"/>
      <c r="DL98" s="802"/>
      <c r="DM98" s="802"/>
      <c r="DN98" s="824"/>
      <c r="DO98" s="824"/>
      <c r="DP98" s="824"/>
      <c r="DQ98" s="824"/>
      <c r="DR98" s="824"/>
      <c r="DS98" s="824"/>
      <c r="DT98" s="824"/>
      <c r="DU98" s="824"/>
      <c r="DV98" s="824"/>
      <c r="DW98" s="824"/>
      <c r="DX98" s="824"/>
      <c r="DY98" s="824"/>
      <c r="DZ98" s="824"/>
      <c r="EA98" s="824"/>
      <c r="EB98" s="824"/>
      <c r="EC98" s="824"/>
      <c r="ED98" s="824"/>
      <c r="EE98" s="824"/>
      <c r="EF98" s="824"/>
      <c r="EG98" s="824"/>
      <c r="EH98" s="824"/>
      <c r="EI98" s="824"/>
      <c r="EJ98" s="824"/>
      <c r="EK98" s="824"/>
      <c r="EL98" s="824"/>
      <c r="EM98" s="824"/>
      <c r="EN98" s="824"/>
      <c r="EX98" s="821"/>
      <c r="EY98" s="961"/>
      <c r="FA98" s="961"/>
      <c r="FB98" s="961"/>
      <c r="FC98" s="961"/>
      <c r="FD98" s="961"/>
      <c r="FE98" s="961"/>
      <c r="FF98" s="961"/>
      <c r="FG98" s="961"/>
      <c r="FH98" s="961"/>
      <c r="FI98" s="961"/>
      <c r="FJ98" s="961"/>
      <c r="FK98" s="969"/>
      <c r="FL98" s="969"/>
      <c r="FM98" s="969"/>
      <c r="FN98" s="969"/>
      <c r="FO98" s="969"/>
      <c r="FP98" s="975"/>
    </row>
    <row r="99" spans="1:184" s="216" customFormat="1" ht="15" customHeight="1" outlineLevel="1">
      <c r="A99" s="1006" t="s">
        <v>52</v>
      </c>
      <c r="B99" s="1006" t="s">
        <v>52</v>
      </c>
      <c r="C99" s="1007" t="s">
        <v>52</v>
      </c>
      <c r="D99" s="235"/>
      <c r="E99" s="235">
        <v>302060</v>
      </c>
      <c r="F99" s="268"/>
      <c r="G99" s="976" t="s">
        <v>648</v>
      </c>
      <c r="H99" s="235"/>
      <c r="J99" s="802"/>
      <c r="K99" s="802"/>
      <c r="L99" s="802"/>
      <c r="M99" s="802"/>
      <c r="N99" s="871"/>
      <c r="O99" s="958"/>
      <c r="P99" s="958"/>
      <c r="Q99" s="959"/>
      <c r="R99" s="959"/>
      <c r="S99" s="958"/>
      <c r="T99" s="701"/>
      <c r="U99" s="960"/>
      <c r="V99" s="802"/>
      <c r="W99" s="961"/>
      <c r="X99" s="802"/>
      <c r="Y99" s="961"/>
      <c r="Z99" s="802"/>
      <c r="AA99" s="961"/>
      <c r="AB99" s="881"/>
      <c r="AC99" s="961"/>
      <c r="AD99" s="802"/>
      <c r="AE99" s="962"/>
      <c r="AF99" s="802"/>
      <c r="AG99" s="973"/>
      <c r="AH99" s="802"/>
      <c r="AI99" s="974"/>
      <c r="AJ99" s="802"/>
      <c r="AK99" s="824"/>
      <c r="AL99" s="824"/>
      <c r="AM99" s="974"/>
      <c r="AN99" s="824"/>
      <c r="AO99" s="828"/>
      <c r="AP99" s="828"/>
      <c r="AQ99" s="828"/>
      <c r="AR99" s="828"/>
      <c r="AS99" s="828"/>
      <c r="AT99" s="828"/>
      <c r="AU99" s="828"/>
      <c r="AV99" s="828"/>
      <c r="AW99" s="828"/>
      <c r="AX99" s="828"/>
      <c r="AY99" s="861"/>
      <c r="AZ99" s="967"/>
      <c r="BA99" s="802"/>
      <c r="BB99" s="881"/>
      <c r="BC99" s="802"/>
      <c r="BD99" s="802"/>
      <c r="BE99" s="802"/>
      <c r="BF99" s="802"/>
      <c r="BG99" s="802"/>
      <c r="BH99" s="802"/>
      <c r="BI99" s="802"/>
      <c r="BJ99" s="802"/>
      <c r="BK99" s="802"/>
      <c r="BL99" s="802"/>
      <c r="BM99" s="802"/>
      <c r="BN99" s="802"/>
      <c r="BO99" s="802"/>
      <c r="BP99" s="802"/>
      <c r="BQ99" s="802"/>
      <c r="BR99" s="861"/>
      <c r="BS99" s="802"/>
      <c r="BT99" s="802"/>
      <c r="BU99" s="802"/>
      <c r="BV99" s="802"/>
      <c r="BW99" s="802"/>
      <c r="BX99" s="802"/>
      <c r="BY99" s="802"/>
      <c r="BZ99" s="802"/>
      <c r="CA99" s="802"/>
      <c r="CB99" s="802"/>
      <c r="CC99" s="802"/>
      <c r="CD99" s="802"/>
      <c r="CE99" s="802"/>
      <c r="CF99" s="802"/>
      <c r="CG99" s="802"/>
      <c r="CH99" s="802"/>
      <c r="CI99" s="802"/>
      <c r="CJ99" s="802"/>
      <c r="CK99" s="824"/>
      <c r="CL99" s="824"/>
      <c r="CM99" s="824"/>
      <c r="CN99" s="824"/>
      <c r="CO99" s="824"/>
      <c r="CP99" s="824"/>
      <c r="CQ99" s="824"/>
      <c r="CR99" s="824"/>
      <c r="CS99" s="824"/>
      <c r="CV99" s="802"/>
      <c r="CW99" s="802"/>
      <c r="CX99" s="802"/>
      <c r="CY99" s="802"/>
      <c r="CZ99" s="802"/>
      <c r="DA99" s="802"/>
      <c r="DB99" s="802"/>
      <c r="DC99" s="802"/>
      <c r="DD99" s="802"/>
      <c r="DE99" s="802"/>
      <c r="DF99" s="802"/>
      <c r="DG99" s="802"/>
      <c r="DH99" s="802"/>
      <c r="DI99" s="802"/>
      <c r="DJ99" s="802"/>
      <c r="DK99" s="802"/>
      <c r="DL99" s="802"/>
      <c r="DM99" s="802"/>
      <c r="DN99" s="824"/>
      <c r="DO99" s="824"/>
      <c r="DP99" s="824"/>
      <c r="DQ99" s="824"/>
      <c r="DR99" s="824"/>
      <c r="DS99" s="824"/>
      <c r="DT99" s="824"/>
      <c r="DU99" s="824"/>
      <c r="DV99" s="824"/>
      <c r="DW99" s="824"/>
      <c r="DX99" s="824"/>
      <c r="DY99" s="824"/>
      <c r="DZ99" s="824"/>
      <c r="EA99" s="824"/>
      <c r="EB99" s="824"/>
      <c r="EC99" s="824"/>
      <c r="ED99" s="824"/>
      <c r="EE99" s="824"/>
      <c r="EF99" s="824"/>
      <c r="EG99" s="824"/>
      <c r="EH99" s="824"/>
      <c r="EI99" s="824"/>
      <c r="EJ99" s="824"/>
      <c r="EK99" s="824"/>
      <c r="EL99" s="824"/>
      <c r="EM99" s="824"/>
      <c r="EN99" s="824"/>
      <c r="EX99" s="821"/>
      <c r="EY99" s="961"/>
      <c r="FA99" s="961"/>
      <c r="FB99" s="961"/>
      <c r="FC99" s="961"/>
      <c r="FD99" s="961"/>
      <c r="FE99" s="961"/>
      <c r="FF99" s="961"/>
      <c r="FG99" s="961"/>
      <c r="FH99" s="961"/>
      <c r="FI99" s="961"/>
      <c r="FJ99" s="961"/>
      <c r="FK99" s="969"/>
      <c r="FL99" s="969"/>
      <c r="FM99" s="969"/>
      <c r="FN99" s="969"/>
      <c r="FO99" s="969"/>
      <c r="FP99" s="975"/>
    </row>
    <row r="100" spans="1:184" s="216" customFormat="1" ht="15" customHeight="1" outlineLevel="1">
      <c r="A100" s="1006" t="s">
        <v>52</v>
      </c>
      <c r="B100" s="1006" t="s">
        <v>52</v>
      </c>
      <c r="C100" s="1007" t="s">
        <v>52</v>
      </c>
      <c r="D100" s="235"/>
      <c r="E100" s="235"/>
      <c r="F100" s="268"/>
      <c r="G100" s="976" t="s">
        <v>649</v>
      </c>
      <c r="H100" s="235"/>
      <c r="J100" s="802"/>
      <c r="K100" s="802"/>
      <c r="L100" s="802"/>
      <c r="M100" s="802"/>
      <c r="N100" s="871"/>
      <c r="O100" s="958"/>
      <c r="P100" s="958"/>
      <c r="Q100" s="959"/>
      <c r="R100" s="959"/>
      <c r="S100" s="958"/>
      <c r="T100" s="701"/>
      <c r="U100" s="960"/>
      <c r="V100" s="802"/>
      <c r="W100" s="961"/>
      <c r="X100" s="802"/>
      <c r="Y100" s="961"/>
      <c r="Z100" s="802"/>
      <c r="AA100" s="961"/>
      <c r="AB100" s="881"/>
      <c r="AC100" s="961"/>
      <c r="AD100" s="802"/>
      <c r="AE100" s="962"/>
      <c r="AF100" s="802"/>
      <c r="AG100" s="973"/>
      <c r="AH100" s="802"/>
      <c r="AI100" s="974"/>
      <c r="AJ100" s="802"/>
      <c r="AK100" s="824"/>
      <c r="AL100" s="824"/>
      <c r="AM100" s="974"/>
      <c r="AN100" s="824"/>
      <c r="AO100" s="828"/>
      <c r="AP100" s="828"/>
      <c r="AQ100" s="828"/>
      <c r="AR100" s="828"/>
      <c r="AS100" s="828"/>
      <c r="AT100" s="828"/>
      <c r="AU100" s="828"/>
      <c r="AV100" s="828"/>
      <c r="AW100" s="828"/>
      <c r="AX100" s="828"/>
      <c r="AY100" s="861"/>
      <c r="AZ100" s="967"/>
      <c r="BA100" s="802"/>
      <c r="BB100" s="881"/>
      <c r="BC100" s="802"/>
      <c r="BD100" s="802"/>
      <c r="BE100" s="802"/>
      <c r="BF100" s="802"/>
      <c r="BG100" s="802"/>
      <c r="BH100" s="802"/>
      <c r="BI100" s="802"/>
      <c r="BJ100" s="802"/>
      <c r="BK100" s="802"/>
      <c r="BL100" s="802"/>
      <c r="BM100" s="802"/>
      <c r="BN100" s="802"/>
      <c r="BO100" s="802"/>
      <c r="BP100" s="802"/>
      <c r="BQ100" s="802"/>
      <c r="BR100" s="861"/>
      <c r="BS100" s="802"/>
      <c r="BT100" s="802"/>
      <c r="BU100" s="802"/>
      <c r="BV100" s="802"/>
      <c r="BW100" s="802"/>
      <c r="BX100" s="802"/>
      <c r="BY100" s="802"/>
      <c r="BZ100" s="802"/>
      <c r="CA100" s="802"/>
      <c r="CB100" s="802"/>
      <c r="CC100" s="802"/>
      <c r="CD100" s="802"/>
      <c r="CE100" s="802"/>
      <c r="CF100" s="802"/>
      <c r="CG100" s="802"/>
      <c r="CH100" s="802"/>
      <c r="CI100" s="802"/>
      <c r="CJ100" s="802"/>
      <c r="CK100" s="824"/>
      <c r="CL100" s="824"/>
      <c r="CM100" s="824"/>
      <c r="CN100" s="824"/>
      <c r="CO100" s="824"/>
      <c r="CP100" s="824"/>
      <c r="CQ100" s="824"/>
      <c r="CR100" s="824"/>
      <c r="CS100" s="824"/>
      <c r="CV100" s="802"/>
      <c r="CW100" s="802"/>
      <c r="CX100" s="802"/>
      <c r="CY100" s="802"/>
      <c r="CZ100" s="802"/>
      <c r="DA100" s="802"/>
      <c r="DB100" s="802"/>
      <c r="DC100" s="802"/>
      <c r="DD100" s="802"/>
      <c r="DE100" s="802"/>
      <c r="DF100" s="802"/>
      <c r="DG100" s="802"/>
      <c r="DH100" s="802"/>
      <c r="DI100" s="802"/>
      <c r="DJ100" s="802"/>
      <c r="DK100" s="802"/>
      <c r="DL100" s="802"/>
      <c r="DM100" s="802"/>
      <c r="DN100" s="824"/>
      <c r="DO100" s="824"/>
      <c r="DP100" s="824"/>
      <c r="DQ100" s="824"/>
      <c r="DR100" s="824"/>
      <c r="DS100" s="824"/>
      <c r="DT100" s="824"/>
      <c r="DU100" s="824"/>
      <c r="DV100" s="824"/>
      <c r="DW100" s="824"/>
      <c r="DX100" s="824"/>
      <c r="DY100" s="824"/>
      <c r="DZ100" s="824"/>
      <c r="EA100" s="824"/>
      <c r="EB100" s="824"/>
      <c r="EC100" s="824"/>
      <c r="ED100" s="824"/>
      <c r="EE100" s="824"/>
      <c r="EF100" s="824"/>
      <c r="EG100" s="824"/>
      <c r="EH100" s="824"/>
      <c r="EI100" s="824"/>
      <c r="EJ100" s="824"/>
      <c r="EK100" s="824"/>
      <c r="EL100" s="824"/>
      <c r="EM100" s="824"/>
      <c r="EN100" s="824"/>
      <c r="EX100" s="821"/>
      <c r="EY100" s="961"/>
      <c r="FA100" s="961"/>
      <c r="FB100" s="961"/>
      <c r="FC100" s="961"/>
      <c r="FD100" s="961"/>
      <c r="FE100" s="961"/>
      <c r="FF100" s="961"/>
      <c r="FG100" s="961"/>
      <c r="FH100" s="961"/>
      <c r="FI100" s="961"/>
      <c r="FJ100" s="961"/>
      <c r="FK100" s="969"/>
      <c r="FL100" s="969"/>
      <c r="FM100" s="969"/>
      <c r="FN100" s="969"/>
      <c r="FO100" s="969"/>
      <c r="FP100" s="975"/>
    </row>
    <row r="101" spans="1:184" s="216" customFormat="1" ht="15" customHeight="1" outlineLevel="1" thickBot="1">
      <c r="A101" s="1006" t="s">
        <v>52</v>
      </c>
      <c r="B101" s="1006" t="s">
        <v>52</v>
      </c>
      <c r="C101" s="1007" t="s">
        <v>52</v>
      </c>
      <c r="D101" s="235"/>
      <c r="E101" s="235"/>
      <c r="F101" s="268"/>
      <c r="G101" s="956"/>
      <c r="H101" s="821" t="s">
        <v>109</v>
      </c>
      <c r="J101" s="868">
        <f>+J84+J91+J97</f>
        <v>43359.12</v>
      </c>
      <c r="K101" s="868">
        <f>+K84+K91+K97</f>
        <v>6454.5599999999995</v>
      </c>
      <c r="L101" s="868">
        <f>+L84+L91+L97</f>
        <v>49813.68</v>
      </c>
      <c r="M101" s="802"/>
      <c r="N101" s="871"/>
      <c r="O101" s="958"/>
      <c r="P101" s="958"/>
      <c r="Q101" s="959"/>
      <c r="R101" s="959"/>
      <c r="S101" s="958"/>
      <c r="T101" s="701"/>
      <c r="U101" s="868">
        <f t="shared" ref="U101:AZ101" si="2220">+U84+U91+U97</f>
        <v>4</v>
      </c>
      <c r="V101" s="868">
        <f t="shared" si="2220"/>
        <v>109.38925</v>
      </c>
      <c r="W101" s="868">
        <f t="shared" si="2220"/>
        <v>0</v>
      </c>
      <c r="X101" s="868">
        <f t="shared" si="2220"/>
        <v>0</v>
      </c>
      <c r="Y101" s="868">
        <f t="shared" si="2220"/>
        <v>93</v>
      </c>
      <c r="Z101" s="868">
        <f t="shared" si="2220"/>
        <v>2489.9012499999999</v>
      </c>
      <c r="AA101" s="868">
        <f t="shared" si="2220"/>
        <v>0</v>
      </c>
      <c r="AB101" s="868">
        <f t="shared" si="2220"/>
        <v>0</v>
      </c>
      <c r="AC101" s="868">
        <f t="shared" si="2220"/>
        <v>0</v>
      </c>
      <c r="AD101" s="868">
        <f t="shared" si="2220"/>
        <v>0</v>
      </c>
      <c r="AE101" s="868">
        <f t="shared" si="2220"/>
        <v>0</v>
      </c>
      <c r="AF101" s="868">
        <f t="shared" si="2220"/>
        <v>0</v>
      </c>
      <c r="AG101" s="868">
        <f t="shared" si="2220"/>
        <v>0</v>
      </c>
      <c r="AH101" s="868">
        <f t="shared" si="2220"/>
        <v>0</v>
      </c>
      <c r="AI101" s="868">
        <f t="shared" si="2220"/>
        <v>0</v>
      </c>
      <c r="AJ101" s="868">
        <f t="shared" si="2220"/>
        <v>0</v>
      </c>
      <c r="AK101" s="868">
        <f t="shared" si="2220"/>
        <v>0</v>
      </c>
      <c r="AL101" s="868">
        <f t="shared" si="2220"/>
        <v>0</v>
      </c>
      <c r="AM101" s="868">
        <f t="shared" si="2220"/>
        <v>0</v>
      </c>
      <c r="AN101" s="868">
        <f t="shared" si="2220"/>
        <v>0</v>
      </c>
      <c r="AO101" s="868">
        <f t="shared" si="2220"/>
        <v>0</v>
      </c>
      <c r="AP101" s="868">
        <f t="shared" si="2220"/>
        <v>0</v>
      </c>
      <c r="AQ101" s="868">
        <f t="shared" si="2220"/>
        <v>0</v>
      </c>
      <c r="AR101" s="868">
        <f t="shared" si="2220"/>
        <v>0</v>
      </c>
      <c r="AS101" s="868">
        <f t="shared" si="2220"/>
        <v>0</v>
      </c>
      <c r="AT101" s="868">
        <f t="shared" si="2220"/>
        <v>0</v>
      </c>
      <c r="AU101" s="868">
        <f t="shared" si="2220"/>
        <v>0</v>
      </c>
      <c r="AV101" s="868">
        <f t="shared" si="2220"/>
        <v>0</v>
      </c>
      <c r="AW101" s="868">
        <f t="shared" si="2220"/>
        <v>0</v>
      </c>
      <c r="AX101" s="868">
        <f t="shared" si="2220"/>
        <v>0</v>
      </c>
      <c r="AY101" s="868">
        <f t="shared" si="2220"/>
        <v>0</v>
      </c>
      <c r="AZ101" s="868">
        <f t="shared" si="2220"/>
        <v>0</v>
      </c>
      <c r="BA101" s="868">
        <f t="shared" ref="BA101:CF101" si="2221">+BA84+BA91+BA97</f>
        <v>18902.513333333336</v>
      </c>
      <c r="BB101" s="868">
        <f t="shared" si="2221"/>
        <v>4064.3633333333332</v>
      </c>
      <c r="BC101" s="868">
        <f t="shared" si="2221"/>
        <v>4</v>
      </c>
      <c r="BD101" s="868">
        <f t="shared" si="2221"/>
        <v>109.38925</v>
      </c>
      <c r="BE101" s="868">
        <f t="shared" si="2221"/>
        <v>0</v>
      </c>
      <c r="BF101" s="868">
        <f t="shared" si="2221"/>
        <v>0</v>
      </c>
      <c r="BG101" s="868">
        <f t="shared" si="2221"/>
        <v>0</v>
      </c>
      <c r="BH101" s="868">
        <f t="shared" si="2221"/>
        <v>2408.8080573083334</v>
      </c>
      <c r="BI101" s="868">
        <f t="shared" si="2221"/>
        <v>25485.073973974999</v>
      </c>
      <c r="BJ101" s="868">
        <f t="shared" si="2221"/>
        <v>14401.031333333334</v>
      </c>
      <c r="BK101" s="868">
        <f t="shared" si="2221"/>
        <v>6655.8273333333336</v>
      </c>
      <c r="BL101" s="868">
        <f t="shared" si="2221"/>
        <v>93</v>
      </c>
      <c r="BM101" s="868">
        <f t="shared" si="2221"/>
        <v>2489.9012499999999</v>
      </c>
      <c r="BN101" s="868">
        <f t="shared" si="2221"/>
        <v>0</v>
      </c>
      <c r="BO101" s="868">
        <f t="shared" si="2221"/>
        <v>0</v>
      </c>
      <c r="BP101" s="868">
        <f t="shared" si="2221"/>
        <v>0</v>
      </c>
      <c r="BQ101" s="868">
        <f t="shared" si="2221"/>
        <v>2140.0811583083332</v>
      </c>
      <c r="BR101" s="868">
        <f t="shared" si="2221"/>
        <v>25686.841074975</v>
      </c>
      <c r="BS101" s="868">
        <f t="shared" si="2221"/>
        <v>8721.482</v>
      </c>
      <c r="BT101" s="868">
        <f t="shared" si="2221"/>
        <v>1773.5159999999998</v>
      </c>
      <c r="BU101" s="868">
        <f t="shared" si="2221"/>
        <v>0</v>
      </c>
      <c r="BV101" s="868">
        <f t="shared" si="2221"/>
        <v>0</v>
      </c>
      <c r="BW101" s="868">
        <f t="shared" si="2221"/>
        <v>0</v>
      </c>
      <c r="BX101" s="868">
        <f t="shared" si="2221"/>
        <v>0</v>
      </c>
      <c r="BY101" s="868">
        <f t="shared" si="2221"/>
        <v>0</v>
      </c>
      <c r="BZ101" s="868">
        <f t="shared" si="2221"/>
        <v>1105.0117694</v>
      </c>
      <c r="CA101" s="868">
        <f t="shared" si="2221"/>
        <v>11600.0097694</v>
      </c>
      <c r="CB101" s="868">
        <f t="shared" si="2221"/>
        <v>0</v>
      </c>
      <c r="CC101" s="868">
        <f t="shared" si="2221"/>
        <v>0</v>
      </c>
      <c r="CD101" s="868">
        <f t="shared" si="2221"/>
        <v>0</v>
      </c>
      <c r="CE101" s="868">
        <f t="shared" si="2221"/>
        <v>0</v>
      </c>
      <c r="CF101" s="868">
        <f t="shared" si="2221"/>
        <v>0</v>
      </c>
      <c r="CG101" s="868">
        <f t="shared" ref="CG101:DL101" si="2222">+CG84+CG91+CG97</f>
        <v>0</v>
      </c>
      <c r="CH101" s="868">
        <f t="shared" si="2222"/>
        <v>0</v>
      </c>
      <c r="CI101" s="868">
        <f t="shared" si="2222"/>
        <v>0</v>
      </c>
      <c r="CJ101" s="868">
        <f t="shared" si="2222"/>
        <v>0</v>
      </c>
      <c r="CK101" s="868">
        <f t="shared" si="2222"/>
        <v>0</v>
      </c>
      <c r="CL101" s="868">
        <f t="shared" si="2222"/>
        <v>0</v>
      </c>
      <c r="CM101" s="868">
        <f t="shared" si="2222"/>
        <v>0</v>
      </c>
      <c r="CN101" s="868">
        <f t="shared" si="2222"/>
        <v>0</v>
      </c>
      <c r="CO101" s="868">
        <f t="shared" si="2222"/>
        <v>0</v>
      </c>
      <c r="CP101" s="868">
        <f t="shared" si="2222"/>
        <v>0</v>
      </c>
      <c r="CQ101" s="868">
        <f t="shared" si="2222"/>
        <v>0</v>
      </c>
      <c r="CR101" s="868">
        <f t="shared" si="2222"/>
        <v>0</v>
      </c>
      <c r="CS101" s="868">
        <f t="shared" si="2222"/>
        <v>0</v>
      </c>
      <c r="CT101" s="868">
        <f t="shared" si="2222"/>
        <v>0</v>
      </c>
      <c r="CU101" s="868">
        <f t="shared" si="2222"/>
        <v>0</v>
      </c>
      <c r="CV101" s="868">
        <f t="shared" si="2222"/>
        <v>0</v>
      </c>
      <c r="CW101" s="868">
        <f t="shared" si="2222"/>
        <v>0</v>
      </c>
      <c r="CX101" s="868">
        <f t="shared" si="2222"/>
        <v>0</v>
      </c>
      <c r="CY101" s="868">
        <f t="shared" si="2222"/>
        <v>0</v>
      </c>
      <c r="CZ101" s="868">
        <f t="shared" si="2222"/>
        <v>0</v>
      </c>
      <c r="DA101" s="868">
        <f t="shared" si="2222"/>
        <v>0</v>
      </c>
      <c r="DB101" s="868">
        <f t="shared" si="2222"/>
        <v>0</v>
      </c>
      <c r="DC101" s="868">
        <f t="shared" si="2222"/>
        <v>0</v>
      </c>
      <c r="DD101" s="868">
        <f t="shared" si="2222"/>
        <v>0</v>
      </c>
      <c r="DE101" s="868">
        <f t="shared" si="2222"/>
        <v>0</v>
      </c>
      <c r="DF101" s="868">
        <f t="shared" si="2222"/>
        <v>0</v>
      </c>
      <c r="DG101" s="868">
        <f t="shared" si="2222"/>
        <v>0</v>
      </c>
      <c r="DH101" s="868">
        <f t="shared" si="2222"/>
        <v>0</v>
      </c>
      <c r="DI101" s="868">
        <f t="shared" si="2222"/>
        <v>0</v>
      </c>
      <c r="DJ101" s="868">
        <f t="shared" si="2222"/>
        <v>0</v>
      </c>
      <c r="DK101" s="868">
        <f t="shared" si="2222"/>
        <v>0</v>
      </c>
      <c r="DL101" s="868">
        <f t="shared" si="2222"/>
        <v>0</v>
      </c>
      <c r="DM101" s="868">
        <f t="shared" ref="DM101:EN101" si="2223">+DM84+DM91+DM97</f>
        <v>0</v>
      </c>
      <c r="DN101" s="868">
        <f t="shared" si="2223"/>
        <v>0</v>
      </c>
      <c r="DO101" s="868">
        <f t="shared" si="2223"/>
        <v>0</v>
      </c>
      <c r="DP101" s="868">
        <f t="shared" si="2223"/>
        <v>0</v>
      </c>
      <c r="DQ101" s="868">
        <f t="shared" si="2223"/>
        <v>0</v>
      </c>
      <c r="DR101" s="868">
        <f t="shared" si="2223"/>
        <v>0</v>
      </c>
      <c r="DS101" s="868">
        <f t="shared" si="2223"/>
        <v>0</v>
      </c>
      <c r="DT101" s="868">
        <f t="shared" si="2223"/>
        <v>0</v>
      </c>
      <c r="DU101" s="868">
        <f t="shared" si="2223"/>
        <v>0</v>
      </c>
      <c r="DV101" s="868">
        <f t="shared" si="2223"/>
        <v>0</v>
      </c>
      <c r="DW101" s="868">
        <f t="shared" si="2223"/>
        <v>0</v>
      </c>
      <c r="DX101" s="868">
        <f t="shared" si="2223"/>
        <v>0</v>
      </c>
      <c r="DY101" s="868">
        <f t="shared" si="2223"/>
        <v>0</v>
      </c>
      <c r="DZ101" s="868">
        <f t="shared" si="2223"/>
        <v>0</v>
      </c>
      <c r="EA101" s="868">
        <f t="shared" si="2223"/>
        <v>0</v>
      </c>
      <c r="EB101" s="868">
        <f t="shared" si="2223"/>
        <v>0</v>
      </c>
      <c r="EC101" s="868">
        <f t="shared" si="2223"/>
        <v>0</v>
      </c>
      <c r="ED101" s="868">
        <f t="shared" si="2223"/>
        <v>0</v>
      </c>
      <c r="EE101" s="868">
        <f t="shared" si="2223"/>
        <v>0</v>
      </c>
      <c r="EF101" s="868">
        <f t="shared" si="2223"/>
        <v>42025.026666666672</v>
      </c>
      <c r="EG101" s="868">
        <f t="shared" si="2223"/>
        <v>12493.706666666665</v>
      </c>
      <c r="EH101" s="868">
        <f t="shared" si="2223"/>
        <v>97</v>
      </c>
      <c r="EI101" s="868">
        <f t="shared" si="2223"/>
        <v>2599.2905000000001</v>
      </c>
      <c r="EJ101" s="868">
        <f t="shared" si="2223"/>
        <v>0</v>
      </c>
      <c r="EK101" s="868">
        <f t="shared" si="2223"/>
        <v>0</v>
      </c>
      <c r="EL101" s="868">
        <f t="shared" si="2223"/>
        <v>0</v>
      </c>
      <c r="EM101" s="868">
        <f t="shared" si="2223"/>
        <v>5653.9009850166676</v>
      </c>
      <c r="EN101" s="868">
        <f t="shared" si="2223"/>
        <v>62771.924818350002</v>
      </c>
      <c r="EO101" s="868"/>
      <c r="EP101" s="868">
        <f t="shared" ref="EP101:EY101" si="2224">+EP84+EP91+EP97</f>
        <v>1238.22</v>
      </c>
      <c r="EQ101" s="868">
        <f t="shared" si="2224"/>
        <v>0</v>
      </c>
      <c r="ER101" s="868">
        <f t="shared" si="2224"/>
        <v>325</v>
      </c>
      <c r="ES101" s="868">
        <f t="shared" si="2224"/>
        <v>2605</v>
      </c>
      <c r="ET101" s="868">
        <f t="shared" si="2224"/>
        <v>234</v>
      </c>
      <c r="EU101" s="868">
        <f t="shared" si="2224"/>
        <v>0</v>
      </c>
      <c r="EV101" s="868">
        <f t="shared" si="2224"/>
        <v>0</v>
      </c>
      <c r="EW101" s="868">
        <f t="shared" si="2224"/>
        <v>0</v>
      </c>
      <c r="EX101" s="868">
        <f t="shared" si="2224"/>
        <v>0</v>
      </c>
      <c r="EY101" s="868">
        <f t="shared" si="2224"/>
        <v>234</v>
      </c>
      <c r="EZ101" s="868"/>
      <c r="FA101" s="868">
        <f t="shared" ref="FA101:FP101" si="2225">+FA84+FA91+FA97</f>
        <v>1238.22</v>
      </c>
      <c r="FB101" s="868">
        <f t="shared" si="2225"/>
        <v>0</v>
      </c>
      <c r="FC101" s="868">
        <f t="shared" si="2225"/>
        <v>325</v>
      </c>
      <c r="FD101" s="868">
        <f t="shared" si="2225"/>
        <v>2605</v>
      </c>
      <c r="FE101" s="868">
        <f t="shared" si="2225"/>
        <v>234</v>
      </c>
      <c r="FF101" s="868">
        <f t="shared" si="2225"/>
        <v>0</v>
      </c>
      <c r="FG101" s="868">
        <f t="shared" si="2225"/>
        <v>0</v>
      </c>
      <c r="FH101" s="868">
        <f t="shared" si="2225"/>
        <v>0</v>
      </c>
      <c r="FI101" s="868">
        <f t="shared" si="2225"/>
        <v>0</v>
      </c>
      <c r="FJ101" s="868">
        <f t="shared" si="2225"/>
        <v>234</v>
      </c>
      <c r="FK101" s="868">
        <f t="shared" si="2225"/>
        <v>1.4</v>
      </c>
      <c r="FL101" s="868">
        <f t="shared" si="2225"/>
        <v>0.4</v>
      </c>
      <c r="FM101" s="868">
        <f t="shared" si="2225"/>
        <v>0.2</v>
      </c>
      <c r="FN101" s="868">
        <f t="shared" si="2225"/>
        <v>0</v>
      </c>
      <c r="FO101" s="868">
        <f t="shared" si="2225"/>
        <v>0</v>
      </c>
      <c r="FP101" s="868">
        <f t="shared" si="2225"/>
        <v>2</v>
      </c>
    </row>
    <row r="102" spans="1:184" s="216" customFormat="1" ht="15" customHeight="1" outlineLevel="1" thickTop="1">
      <c r="A102" s="1006" t="str">
        <f t="shared" ref="A102:A113" si="2226">$G$4</f>
        <v>MAYO  2026 2da QUINCENA</v>
      </c>
      <c r="B102" s="1006">
        <f t="shared" ref="B102:B113" si="2227">+$G$5</f>
        <v>2026</v>
      </c>
      <c r="C102" s="1007" t="str">
        <f t="shared" si="1459"/>
        <v>MAYO  2026 2da QUINCENA2026</v>
      </c>
      <c r="D102" s="235"/>
      <c r="E102" s="235">
        <v>303010</v>
      </c>
      <c r="F102" s="268"/>
      <c r="G102" s="977" t="s">
        <v>144</v>
      </c>
      <c r="H102" s="235"/>
      <c r="J102" s="802"/>
      <c r="K102" s="802"/>
      <c r="L102" s="802"/>
      <c r="M102" s="802"/>
      <c r="N102" s="871"/>
      <c r="O102" s="958"/>
      <c r="P102" s="958"/>
      <c r="Q102" s="959"/>
      <c r="R102" s="959"/>
      <c r="S102" s="958"/>
      <c r="T102" s="701"/>
      <c r="U102" s="960"/>
      <c r="V102" s="802"/>
      <c r="W102" s="961"/>
      <c r="X102" s="802"/>
      <c r="Y102" s="961"/>
      <c r="Z102" s="802"/>
      <c r="AA102" s="961"/>
      <c r="AB102" s="881"/>
      <c r="AC102" s="961"/>
      <c r="AD102" s="802"/>
      <c r="AE102" s="962"/>
      <c r="AF102" s="802"/>
      <c r="AG102" s="973"/>
      <c r="AH102" s="802"/>
      <c r="AI102" s="974"/>
      <c r="AJ102" s="802"/>
      <c r="AK102" s="824"/>
      <c r="AL102" s="824"/>
      <c r="AM102" s="974"/>
      <c r="AN102" s="824"/>
      <c r="AO102" s="828"/>
      <c r="AP102" s="828"/>
      <c r="AQ102" s="828"/>
      <c r="AR102" s="828"/>
      <c r="AS102" s="828"/>
      <c r="AT102" s="828"/>
      <c r="AU102" s="828"/>
      <c r="AV102" s="828"/>
      <c r="AW102" s="828"/>
      <c r="AX102" s="828"/>
      <c r="AY102" s="861"/>
      <c r="AZ102" s="967"/>
      <c r="BA102" s="802"/>
      <c r="BB102" s="881"/>
      <c r="BC102" s="802"/>
      <c r="BD102" s="802"/>
      <c r="BE102" s="802"/>
      <c r="BF102" s="802"/>
      <c r="BG102" s="802"/>
      <c r="BH102" s="802"/>
      <c r="BI102" s="802"/>
      <c r="BJ102" s="802"/>
      <c r="BK102" s="802"/>
      <c r="BL102" s="802"/>
      <c r="BM102" s="802"/>
      <c r="BN102" s="802"/>
      <c r="BO102" s="802"/>
      <c r="BP102" s="802"/>
      <c r="BQ102" s="802"/>
      <c r="BR102" s="861"/>
      <c r="BS102" s="802"/>
      <c r="BT102" s="802"/>
      <c r="BU102" s="802"/>
      <c r="BV102" s="802"/>
      <c r="BW102" s="802"/>
      <c r="BX102" s="802"/>
      <c r="BY102" s="802"/>
      <c r="BZ102" s="802"/>
      <c r="CA102" s="802"/>
      <c r="CB102" s="802"/>
      <c r="CC102" s="802"/>
      <c r="CD102" s="802"/>
      <c r="CE102" s="802"/>
      <c r="CF102" s="802"/>
      <c r="CG102" s="802"/>
      <c r="CH102" s="802"/>
      <c r="CI102" s="802"/>
      <c r="CJ102" s="802"/>
      <c r="CK102" s="824"/>
      <c r="CL102" s="824"/>
      <c r="CM102" s="824"/>
      <c r="CN102" s="824"/>
      <c r="CO102" s="824"/>
      <c r="CP102" s="824"/>
      <c r="CQ102" s="824"/>
      <c r="CR102" s="824"/>
      <c r="CS102" s="824"/>
      <c r="CV102" s="802"/>
      <c r="CW102" s="802"/>
      <c r="CX102" s="802"/>
      <c r="CY102" s="802"/>
      <c r="CZ102" s="802"/>
      <c r="DA102" s="802"/>
      <c r="DB102" s="802"/>
      <c r="DC102" s="802"/>
      <c r="DD102" s="802"/>
      <c r="DE102" s="802"/>
      <c r="DF102" s="802"/>
      <c r="DG102" s="802"/>
      <c r="DH102" s="802"/>
      <c r="DI102" s="802"/>
      <c r="DJ102" s="802"/>
      <c r="DK102" s="802"/>
      <c r="DL102" s="802"/>
      <c r="DM102" s="802"/>
      <c r="DN102" s="824"/>
      <c r="DO102" s="824"/>
      <c r="DP102" s="824"/>
      <c r="DQ102" s="824"/>
      <c r="DR102" s="824"/>
      <c r="DS102" s="824"/>
      <c r="DT102" s="824"/>
      <c r="DU102" s="824"/>
      <c r="DV102" s="824"/>
      <c r="DW102" s="824"/>
      <c r="DX102" s="824"/>
      <c r="DY102" s="824"/>
      <c r="DZ102" s="824"/>
      <c r="EA102" s="824"/>
      <c r="EB102" s="824"/>
      <c r="EC102" s="824"/>
      <c r="ED102" s="824"/>
      <c r="EE102" s="824"/>
      <c r="EF102" s="824"/>
      <c r="EG102" s="824"/>
      <c r="EH102" s="824"/>
      <c r="EI102" s="824"/>
      <c r="EJ102" s="824"/>
      <c r="EK102" s="824"/>
      <c r="EL102" s="824"/>
      <c r="EM102" s="824"/>
      <c r="EN102" s="824"/>
      <c r="EX102" s="821"/>
      <c r="EY102" s="961"/>
      <c r="FA102" s="961"/>
      <c r="FB102" s="961"/>
      <c r="FC102" s="961"/>
      <c r="FD102" s="961"/>
      <c r="FE102" s="961"/>
      <c r="FF102" s="961"/>
      <c r="FG102" s="961"/>
      <c r="FH102" s="961"/>
      <c r="FI102" s="961"/>
      <c r="FJ102" s="961"/>
      <c r="FK102" s="969"/>
      <c r="FL102" s="969"/>
      <c r="FM102" s="969"/>
      <c r="FN102" s="969"/>
      <c r="FO102" s="969"/>
      <c r="FP102" s="975"/>
    </row>
    <row r="103" spans="1:184" s="216" customFormat="1" ht="15" customHeight="1" outlineLevel="1">
      <c r="A103" s="1006" t="str">
        <f t="shared" si="2226"/>
        <v>MAYO  2026 2da QUINCENA</v>
      </c>
      <c r="B103" s="1006">
        <f t="shared" si="2227"/>
        <v>2026</v>
      </c>
      <c r="C103" s="1007" t="str">
        <f t="shared" si="1459"/>
        <v>MAYO  2026 2da QUINCENA2026</v>
      </c>
      <c r="D103" s="235" t="str">
        <f>+$G$102</f>
        <v>Compras</v>
      </c>
      <c r="E103" s="235">
        <v>303010</v>
      </c>
      <c r="F103" s="268"/>
      <c r="G103" s="976" t="s">
        <v>623</v>
      </c>
      <c r="H103" s="235"/>
      <c r="J103" s="802"/>
      <c r="K103" s="802"/>
      <c r="L103" s="802"/>
      <c r="M103" s="802"/>
      <c r="N103" s="871"/>
      <c r="O103" s="958"/>
      <c r="P103" s="958"/>
      <c r="Q103" s="959"/>
      <c r="R103" s="959"/>
      <c r="S103" s="958"/>
      <c r="T103" s="701"/>
      <c r="U103" s="960"/>
      <c r="V103" s="802"/>
      <c r="W103" s="961"/>
      <c r="X103" s="802"/>
      <c r="Y103" s="961"/>
      <c r="Z103" s="802"/>
      <c r="AA103" s="961"/>
      <c r="AB103" s="881"/>
      <c r="AC103" s="961"/>
      <c r="AD103" s="802"/>
      <c r="AE103" s="962"/>
      <c r="AF103" s="802"/>
      <c r="AG103" s="973"/>
      <c r="AH103" s="802"/>
      <c r="AI103" s="974"/>
      <c r="AJ103" s="802"/>
      <c r="AK103" s="824"/>
      <c r="AL103" s="824"/>
      <c r="AM103" s="974"/>
      <c r="AN103" s="824"/>
      <c r="AO103" s="828"/>
      <c r="AP103" s="828"/>
      <c r="AQ103" s="828"/>
      <c r="AR103" s="828"/>
      <c r="AS103" s="828"/>
      <c r="AT103" s="828"/>
      <c r="AU103" s="828"/>
      <c r="AV103" s="828"/>
      <c r="AW103" s="828"/>
      <c r="AX103" s="828"/>
      <c r="AY103" s="861"/>
      <c r="AZ103" s="967"/>
      <c r="BA103" s="802"/>
      <c r="BB103" s="881"/>
      <c r="BC103" s="802"/>
      <c r="BD103" s="802"/>
      <c r="BE103" s="802"/>
      <c r="BF103" s="802"/>
      <c r="BG103" s="802"/>
      <c r="BH103" s="802"/>
      <c r="BI103" s="802"/>
      <c r="BJ103" s="802"/>
      <c r="BK103" s="802"/>
      <c r="BL103" s="802"/>
      <c r="BM103" s="802"/>
      <c r="BN103" s="802"/>
      <c r="BO103" s="802"/>
      <c r="BP103" s="802"/>
      <c r="BQ103" s="802"/>
      <c r="BR103" s="861"/>
      <c r="BS103" s="802"/>
      <c r="BT103" s="802"/>
      <c r="BU103" s="802"/>
      <c r="BV103" s="802"/>
      <c r="BW103" s="802"/>
      <c r="BX103" s="802"/>
      <c r="BY103" s="802"/>
      <c r="BZ103" s="802"/>
      <c r="CA103" s="802"/>
      <c r="CB103" s="802"/>
      <c r="CC103" s="802"/>
      <c r="CD103" s="802"/>
      <c r="CE103" s="802"/>
      <c r="CF103" s="802"/>
      <c r="CG103" s="802"/>
      <c r="CH103" s="802"/>
      <c r="CI103" s="802"/>
      <c r="CJ103" s="802"/>
      <c r="CK103" s="824"/>
      <c r="CL103" s="824"/>
      <c r="CM103" s="824"/>
      <c r="CN103" s="824"/>
      <c r="CO103" s="824"/>
      <c r="CP103" s="824"/>
      <c r="CQ103" s="824"/>
      <c r="CR103" s="824"/>
      <c r="CS103" s="824"/>
      <c r="CV103" s="802"/>
      <c r="CW103" s="802"/>
      <c r="CX103" s="802"/>
      <c r="CY103" s="802"/>
      <c r="CZ103" s="802"/>
      <c r="DA103" s="802"/>
      <c r="DB103" s="802"/>
      <c r="DC103" s="802"/>
      <c r="DD103" s="802"/>
      <c r="DE103" s="802"/>
      <c r="DF103" s="802"/>
      <c r="DG103" s="802"/>
      <c r="DH103" s="802"/>
      <c r="DI103" s="802"/>
      <c r="DJ103" s="802"/>
      <c r="DK103" s="802"/>
      <c r="DL103" s="802"/>
      <c r="DM103" s="802"/>
      <c r="DN103" s="824"/>
      <c r="DO103" s="824"/>
      <c r="DP103" s="824"/>
      <c r="DQ103" s="824"/>
      <c r="DR103" s="824"/>
      <c r="DS103" s="824"/>
      <c r="DT103" s="824"/>
      <c r="DU103" s="824"/>
      <c r="DV103" s="824"/>
      <c r="DW103" s="824"/>
      <c r="DX103" s="824"/>
      <c r="DY103" s="824"/>
      <c r="DZ103" s="824"/>
      <c r="EA103" s="824"/>
      <c r="EB103" s="824"/>
      <c r="EC103" s="824"/>
      <c r="ED103" s="824"/>
      <c r="EE103" s="824"/>
      <c r="EF103" s="824"/>
      <c r="EG103" s="824"/>
      <c r="EH103" s="824"/>
      <c r="EI103" s="824"/>
      <c r="EJ103" s="824"/>
      <c r="EK103" s="824"/>
      <c r="EL103" s="824"/>
      <c r="EM103" s="824"/>
      <c r="EN103" s="824"/>
      <c r="EX103" s="821"/>
      <c r="EY103" s="961"/>
      <c r="FA103" s="961"/>
      <c r="FB103" s="961"/>
      <c r="FC103" s="961"/>
      <c r="FD103" s="961"/>
      <c r="FE103" s="961"/>
      <c r="FF103" s="961"/>
      <c r="FG103" s="961"/>
      <c r="FH103" s="961"/>
      <c r="FI103" s="961"/>
      <c r="FJ103" s="961"/>
      <c r="FK103" s="969"/>
      <c r="FL103" s="969"/>
      <c r="FM103" s="969"/>
      <c r="FN103" s="969"/>
      <c r="FO103" s="969"/>
      <c r="FP103" s="975"/>
    </row>
    <row r="104" spans="1:184" s="216" customFormat="1" ht="15" customHeight="1" outlineLevel="1">
      <c r="A104" s="1006"/>
      <c r="B104" s="1006"/>
      <c r="C104" s="1007"/>
      <c r="D104" s="235"/>
      <c r="E104" s="235">
        <v>303010</v>
      </c>
      <c r="F104" s="268"/>
      <c r="G104" s="199" t="s">
        <v>745</v>
      </c>
      <c r="H104" s="200" t="s">
        <v>746</v>
      </c>
      <c r="I104" s="200" t="s">
        <v>11</v>
      </c>
      <c r="J104" s="203">
        <v>13000</v>
      </c>
      <c r="K104" s="837">
        <v>2000</v>
      </c>
      <c r="L104" s="837">
        <f t="shared" ref="L104" si="2228">+J104+K104</f>
        <v>15000</v>
      </c>
      <c r="M104" s="203">
        <v>30</v>
      </c>
      <c r="N104" s="204">
        <v>0.4</v>
      </c>
      <c r="O104" s="204">
        <v>0.48</v>
      </c>
      <c r="P104" s="204">
        <v>0.12</v>
      </c>
      <c r="Q104" s="867">
        <v>0</v>
      </c>
      <c r="R104" s="204">
        <v>0</v>
      </c>
      <c r="S104" s="204">
        <f t="shared" ref="S104:S106" si="2229">SUM(N104:R104)</f>
        <v>1</v>
      </c>
      <c r="T104" s="701"/>
      <c r="U104" s="238"/>
      <c r="V104" s="239">
        <f t="shared" ref="V104" si="2230">($J104/30/8*1.5)*U104</f>
        <v>0</v>
      </c>
      <c r="W104" s="265"/>
      <c r="X104" s="239">
        <f t="shared" ref="X104" si="2231">($J104/30/8*2)*W104</f>
        <v>0</v>
      </c>
      <c r="Y104" s="238"/>
      <c r="Z104" s="239">
        <f t="shared" ref="Z104" si="2232">($J104/30/8*1.5)*Y104</f>
        <v>0</v>
      </c>
      <c r="AA104" s="265"/>
      <c r="AB104" s="239">
        <f t="shared" ref="AB104" si="2233">($J104/30/8*2)*AA104</f>
        <v>0</v>
      </c>
      <c r="AC104" s="265"/>
      <c r="AD104" s="239">
        <f t="shared" ref="AD104" si="2234">(($J104/30/8)*1.5)*AC104</f>
        <v>0</v>
      </c>
      <c r="AE104" s="839"/>
      <c r="AF104" s="239">
        <f t="shared" ref="AF104" si="2235">(($J104/30/8)*2)*AE104</f>
        <v>0</v>
      </c>
      <c r="AG104" s="839"/>
      <c r="AH104" s="239">
        <f t="shared" ref="AH104" si="2236">(($J104/30/8)*1.5)*AG104</f>
        <v>0</v>
      </c>
      <c r="AI104" s="839"/>
      <c r="AJ104" s="239">
        <f t="shared" ref="AJ104" si="2237">(($J104/30/8)*2)*AI104</f>
        <v>0</v>
      </c>
      <c r="AK104" s="239"/>
      <c r="AL104" s="239">
        <f t="shared" ref="AL104" si="2238">(($J104/30/8)*1.5)*AK104</f>
        <v>0</v>
      </c>
      <c r="AM104" s="839"/>
      <c r="AN104" s="239">
        <f t="shared" ref="AN104" si="2239">(($J104/30/8)*2)*AM104</f>
        <v>0</v>
      </c>
      <c r="AO104" s="837"/>
      <c r="AP104" s="837"/>
      <c r="AQ104" s="837"/>
      <c r="AR104" s="837"/>
      <c r="AS104" s="837"/>
      <c r="AT104" s="837"/>
      <c r="AU104" s="837"/>
      <c r="AV104" s="837"/>
      <c r="AW104" s="837"/>
      <c r="AX104" s="837"/>
      <c r="AY104" s="837"/>
      <c r="AZ104" s="880"/>
      <c r="BA104" s="239">
        <f t="shared" ref="BA104" si="2240">((J104/30)*M104)*$N104</f>
        <v>5200</v>
      </c>
      <c r="BB104" s="239">
        <f>((K104/30)*M104)*$N104</f>
        <v>800.00000000000011</v>
      </c>
      <c r="BC104" s="837">
        <f t="shared" ref="BC104" si="2241">U104</f>
        <v>0</v>
      </c>
      <c r="BD104" s="239">
        <f t="shared" ref="BD104" si="2242">V104</f>
        <v>0</v>
      </c>
      <c r="BE104" s="239">
        <f t="shared" ref="BE104" si="2243">W104</f>
        <v>0</v>
      </c>
      <c r="BF104" s="239">
        <f t="shared" ref="BF104" si="2244">X104</f>
        <v>0</v>
      </c>
      <c r="BG104" s="239">
        <f t="shared" ref="BG104" si="2245">AO104+AT104</f>
        <v>0</v>
      </c>
      <c r="BH104" s="203">
        <f t="shared" ref="BH104" si="2246">(BA104+BD104+BF104+BG104)*0.1267</f>
        <v>658.84</v>
      </c>
      <c r="BI104" s="239">
        <f t="shared" ref="BI104" si="2247">SUM(BA104:BH104)-BC104-BE104</f>
        <v>6658.84</v>
      </c>
      <c r="BJ104" s="239">
        <f t="shared" ref="BJ104" si="2248">(($J104/30)*$M104)*$O104</f>
        <v>6240</v>
      </c>
      <c r="BK104" s="239">
        <f>(($K104/30)*$M104)*$O104</f>
        <v>960.00000000000011</v>
      </c>
      <c r="BL104" s="239">
        <f t="shared" ref="BL104" si="2249">Y104</f>
        <v>0</v>
      </c>
      <c r="BM104" s="239">
        <f t="shared" ref="BM104" si="2250">Z104</f>
        <v>0</v>
      </c>
      <c r="BN104" s="239">
        <f t="shared" ref="BN104" si="2251">AA104</f>
        <v>0</v>
      </c>
      <c r="BO104" s="239">
        <f t="shared" ref="BO104" si="2252">AB104</f>
        <v>0</v>
      </c>
      <c r="BP104" s="239">
        <f t="shared" ref="BP104" si="2253">AP104+AU104</f>
        <v>0</v>
      </c>
      <c r="BQ104" s="203">
        <f t="shared" ref="BQ104" si="2254">(+BJ104+BM104+BO104+BP104)*0.1267</f>
        <v>790.60800000000006</v>
      </c>
      <c r="BR104" s="837">
        <f t="shared" ref="BR104" si="2255">SUM(BJ104:BQ104)-BL104-BN104</f>
        <v>7990.6080000000002</v>
      </c>
      <c r="BS104" s="239">
        <f t="shared" ref="BS104" si="2256">(($J104/30)*$M104)*$P104</f>
        <v>1560</v>
      </c>
      <c r="BT104" s="239">
        <f>(($K104/30)*$M104)*$P104</f>
        <v>240.00000000000003</v>
      </c>
      <c r="BU104" s="239">
        <f t="shared" ref="BU104" si="2257">AC104</f>
        <v>0</v>
      </c>
      <c r="BV104" s="239">
        <f t="shared" ref="BV104" si="2258">AD104</f>
        <v>0</v>
      </c>
      <c r="BW104" s="239">
        <f t="shared" ref="BW104" si="2259">AE104</f>
        <v>0</v>
      </c>
      <c r="BX104" s="239">
        <f t="shared" ref="BX104" si="2260">AF104</f>
        <v>0</v>
      </c>
      <c r="BY104" s="239">
        <f t="shared" ref="BY104" si="2261">AQ104+AV104</f>
        <v>0</v>
      </c>
      <c r="BZ104" s="203">
        <f t="shared" ref="BZ104" si="2262">(BS104+BV104+BX104+BY104)*0.1267</f>
        <v>197.65200000000002</v>
      </c>
      <c r="CA104" s="239">
        <f t="shared" ref="CA104" si="2263">SUM(BS104:BZ104)-BU104-BW104</f>
        <v>1997.652</v>
      </c>
      <c r="CB104" s="875">
        <f t="shared" ref="CB104" si="2264">(($J104/30)*$M104)*$Q104</f>
        <v>0</v>
      </c>
      <c r="CC104" s="876">
        <f t="shared" ref="CC104" si="2265">(($K104/30)*$M104)*$Q104</f>
        <v>0</v>
      </c>
      <c r="CD104" s="876">
        <f t="shared" ref="CD104" si="2266">AG104</f>
        <v>0</v>
      </c>
      <c r="CE104" s="876">
        <f t="shared" ref="CE104" si="2267">AH104</f>
        <v>0</v>
      </c>
      <c r="CF104" s="876">
        <f t="shared" ref="CF104" si="2268">AI104</f>
        <v>0</v>
      </c>
      <c r="CG104" s="876">
        <f t="shared" ref="CG104" si="2269">AJ104</f>
        <v>0</v>
      </c>
      <c r="CH104" s="876">
        <f t="shared" ref="CH104" si="2270">AR104+AW104</f>
        <v>0</v>
      </c>
      <c r="CI104" s="703">
        <f t="shared" ref="CI104" si="2271">(CB104+CE104+CG104+CH104)*0.1267</f>
        <v>0</v>
      </c>
      <c r="CJ104" s="876">
        <f t="shared" ref="CJ104" si="2272">SUM(CB104:CI104)-CD104-CF104</f>
        <v>0</v>
      </c>
      <c r="CK104" s="876">
        <f t="shared" ref="CK104" si="2273">(($J104/30)*$M104)*R104</f>
        <v>0</v>
      </c>
      <c r="CL104" s="876">
        <f t="shared" ref="CL104" si="2274">(($K104/30)*$M104)*$R104</f>
        <v>0</v>
      </c>
      <c r="CM104" s="876">
        <f t="shared" ref="CM104" si="2275">+AK104</f>
        <v>0</v>
      </c>
      <c r="CN104" s="876">
        <f t="shared" ref="CN104" si="2276">AL104</f>
        <v>0</v>
      </c>
      <c r="CO104" s="876">
        <f t="shared" ref="CO104" si="2277">AM104</f>
        <v>0</v>
      </c>
      <c r="CP104" s="876">
        <f t="shared" ref="CP104" si="2278">AN104</f>
        <v>0</v>
      </c>
      <c r="CQ104" s="876">
        <f t="shared" ref="CQ104" si="2279">AS104+AX104</f>
        <v>0</v>
      </c>
      <c r="CR104" s="876">
        <f t="shared" ref="CR104" si="2280">(CK104+CN104+CP104)*0.1267</f>
        <v>0</v>
      </c>
      <c r="CS104" s="877">
        <f t="shared" ref="CS104" si="2281">SUM(CK104:CR104)-CM104-CO104</f>
        <v>0</v>
      </c>
      <c r="CT104" s="235"/>
      <c r="CU104" s="201" t="s">
        <v>11</v>
      </c>
      <c r="CV104" s="203">
        <f t="shared" ref="CV104" si="2282">IF($CU104="PROQUIMA",$BA104+$BJ104+$BS104+$CB104+$CK104,0)</f>
        <v>0</v>
      </c>
      <c r="CW104" s="203">
        <f t="shared" ref="CW104" si="2283">IF($CU104="PROQUIMA",$BB104+$BK104+$BT104+$CC104+$CL104,0)</f>
        <v>0</v>
      </c>
      <c r="CX104" s="203">
        <f t="shared" ref="CX104" si="2284">IF($CU104="PROQUIMA",$BC104+$BL104+$BU104+$CD104+$CM104,0)</f>
        <v>0</v>
      </c>
      <c r="CY104" s="203">
        <f t="shared" ref="CY104" si="2285">IF($CU104="PROQUIMA",$BD104+$BM104+$BV104+$CE104+$CN104,0)</f>
        <v>0</v>
      </c>
      <c r="CZ104" s="203">
        <f t="shared" ref="CZ104" si="2286">IF($CU104="PROQUIMA",$BE104+$BN104+$BW104+$CF104+$CO104,0)</f>
        <v>0</v>
      </c>
      <c r="DA104" s="203">
        <f t="shared" ref="DA104" si="2287">IF($CU104="PROQUIMA",$BF104+$BO104+$BX104+$CG104+$CP104,0)</f>
        <v>0</v>
      </c>
      <c r="DB104" s="203">
        <f t="shared" ref="DB104" si="2288">IF($CU104="PROQUIMA",$BG104+$BP104+$BY104+$CH104+$CQ104,0)</f>
        <v>0</v>
      </c>
      <c r="DC104" s="203">
        <f t="shared" ref="DC104" si="2289">IF($CU104="PROQUIMA",$BH104+$BQ104+$BZ104+$CI104+CR104,0)</f>
        <v>0</v>
      </c>
      <c r="DD104" s="203">
        <f t="shared" ref="DD104" si="2290">SUM(CV104:DC104)-CX104-CZ104</f>
        <v>0</v>
      </c>
      <c r="DE104" s="203">
        <f t="shared" ref="DE104" si="2291">IF($CU104="UNHESA",$BA104+$BJ104+$BS104+$CB104+$CK104,0)</f>
        <v>0</v>
      </c>
      <c r="DF104" s="203">
        <f t="shared" ref="DF104" si="2292">IF($CU104="UNHESA",$BB104+$BK104+$BT104+$CC104+$CL104,0)</f>
        <v>0</v>
      </c>
      <c r="DG104" s="239">
        <f t="shared" ref="DG104" si="2293">IF($CU104="UNHESA",$BC104+$BL104+$BU104+$CD104+$CM104,0)</f>
        <v>0</v>
      </c>
      <c r="DH104" s="239">
        <f t="shared" ref="DH104" si="2294">IF($CU104="UNHESA",$BD104+$BM104+$BV104+$CE104+$CN104,0)</f>
        <v>0</v>
      </c>
      <c r="DI104" s="239">
        <f t="shared" ref="DI104" si="2295">IF($CU104="UNHESA",$BE104+$BN104+$BW104+$CF104+$CO104,0)</f>
        <v>0</v>
      </c>
      <c r="DJ104" s="203">
        <f t="shared" ref="DJ104" si="2296">IF($CU104="UNHESA",$BF104+$BO104+$BX104+$CG104+$CP104,0)</f>
        <v>0</v>
      </c>
      <c r="DK104" s="203">
        <f t="shared" ref="DK104" si="2297">IF($CU104="UNHESA",$BG104+$BP104+$BY104+$CH104+$CQ104,0)</f>
        <v>0</v>
      </c>
      <c r="DL104" s="203">
        <f t="shared" ref="DL104" si="2298">IF($CU104="UNHESA",$BH104+$BQ104+$BZ104+$CI104+$CR104,0)</f>
        <v>0</v>
      </c>
      <c r="DM104" s="203">
        <f t="shared" ref="DM104" si="2299">SUM(DE104:DL104)-DG104-DI104</f>
        <v>0</v>
      </c>
      <c r="DN104" s="210">
        <f t="shared" ref="DN104" si="2300">IF($CU104="UNHESA LIQUIDOS",$BA104+$BJ104+$BS104+$CB104+$CK104,0)</f>
        <v>0</v>
      </c>
      <c r="DO104" s="210">
        <f t="shared" ref="DO104" si="2301">IF($CU104="UNHESA LIQUIDOS",$BB104+$BK104+$BT104+$CC104+$CL104,0)</f>
        <v>0</v>
      </c>
      <c r="DP104" s="210">
        <f t="shared" ref="DP104" si="2302">IF($CU104="UNHESA LIQUIDOS",$BC104+$BL104+$BU104+$CD104+$CM104,0)</f>
        <v>0</v>
      </c>
      <c r="DQ104" s="210">
        <f t="shared" ref="DQ104" si="2303">IF($CU104="UNHESA LIQUIDOS",$BD104+$BM104+$BV104+$CE104+$CN104,0)</f>
        <v>0</v>
      </c>
      <c r="DR104" s="210">
        <f t="shared" ref="DR104" si="2304">IF($CU104="UNHESA LIQUIDOS",$BE104+$BN104+$BW104+$CF104+$CO104,0)</f>
        <v>0</v>
      </c>
      <c r="DS104" s="210">
        <f t="shared" ref="DS104" si="2305">IF($CU104="UNHESA LIQUIDOS",$BF104+$BO104+$BX104+$CG104+$CP104,0)</f>
        <v>0</v>
      </c>
      <c r="DT104" s="210">
        <f t="shared" ref="DT104" si="2306">IF($CU104="UNHESA LIQUIDOS",$BG104+$BP104+$BY104+$CH104+$CQ104,0)</f>
        <v>0</v>
      </c>
      <c r="DU104" s="210">
        <f t="shared" ref="DU104" si="2307">IF($CU104="UNHESA LIQUIDOS",$BH104+$BQ104+$BZ104+$CI104+$CR104,0)</f>
        <v>0</v>
      </c>
      <c r="DV104" s="210">
        <f t="shared" ref="DV104" si="2308">SUM(DN104:DU104)-DP104-DR104</f>
        <v>0</v>
      </c>
      <c r="DW104" s="241">
        <f>IF($CU104="CLEARTEC",$BA104+$BJ104+$BS104+$CB104+$CK104,0)</f>
        <v>0</v>
      </c>
      <c r="DX104" s="241">
        <f t="shared" ref="DX104:ED104" si="2309">IF($CU104="CLEARTEC",$BA104+$BJ104+$BS104+$CB104+$CK104,0)</f>
        <v>0</v>
      </c>
      <c r="DY104" s="241">
        <f t="shared" si="2309"/>
        <v>0</v>
      </c>
      <c r="DZ104" s="241">
        <f t="shared" si="2309"/>
        <v>0</v>
      </c>
      <c r="EA104" s="241">
        <f t="shared" si="2309"/>
        <v>0</v>
      </c>
      <c r="EB104" s="241">
        <f t="shared" si="2309"/>
        <v>0</v>
      </c>
      <c r="EC104" s="241">
        <f t="shared" si="2309"/>
        <v>0</v>
      </c>
      <c r="ED104" s="241">
        <f t="shared" si="2309"/>
        <v>0</v>
      </c>
      <c r="EE104" s="242">
        <f t="shared" ref="EE104" si="2310">SUM(DW104:ED104)-DY104-EA104</f>
        <v>0</v>
      </c>
      <c r="EF104" s="203">
        <f t="shared" ref="EF104" si="2311">IF(CU104="ECONACIONAL",$BA104+$BJ104+$BS104+$CB104+$CK104)</f>
        <v>13000</v>
      </c>
      <c r="EG104" s="242">
        <f t="shared" ref="EG104" si="2312">IF($CU104="ECONACIONAL",$BB104+$BK104+$BT104+$CC104+$CL104,0)</f>
        <v>2000.0000000000002</v>
      </c>
      <c r="EH104" s="203">
        <f t="shared" ref="EH104" si="2313">IF(CU104="ECONACIONAL",$BC104+$BL104+$BU104+$CD104+$CM104)</f>
        <v>0</v>
      </c>
      <c r="EI104" s="203">
        <f t="shared" ref="EI104" si="2314">IF(CU104="ECONACIONAL",$BD104+$DH104+$DQ104+$DZ104+BM104+BV104+CE104+CN104)</f>
        <v>0</v>
      </c>
      <c r="EJ104" s="242">
        <f t="shared" ref="EJ104" si="2315">IF($CU104="CLEARTEC",$BE104+$BN104+$BW104+$CF104+$CO104,0)</f>
        <v>0</v>
      </c>
      <c r="EK104" s="203">
        <f t="shared" ref="EK104" si="2316">IF(CU104="ECONACIONAL",$BF104+$BO104+$BX104+$CG104+$CP104)</f>
        <v>0</v>
      </c>
      <c r="EL104" s="203">
        <f t="shared" ref="EL104" si="2317">IF(CU104="ECONACIONAL",$BG104+$BP104+$BY104+$CH104+$CQ104)</f>
        <v>0</v>
      </c>
      <c r="EM104" s="203">
        <f t="shared" ref="EM104" si="2318">IF(CU104="ECONACIONAL",BH104+BQ104+BZ104+CI104+CR104)</f>
        <v>1647.1000000000001</v>
      </c>
      <c r="EN104" s="203">
        <f t="shared" ref="EN104" si="2319">SUM(EF104:EM104)-EH104-EJ104</f>
        <v>16647.099999999999</v>
      </c>
      <c r="EO104" s="235"/>
      <c r="EP104" s="200">
        <v>622.33000000000004</v>
      </c>
      <c r="EQ104" s="200"/>
      <c r="ER104" s="200"/>
      <c r="ES104" s="200"/>
      <c r="ET104" s="200"/>
      <c r="EU104" s="200"/>
      <c r="EV104" s="201"/>
      <c r="EW104" s="201"/>
      <c r="EX104" s="201"/>
      <c r="EY104" s="201">
        <f t="shared" ref="EY104" si="2320">+ET104+EU104+EV104</f>
        <v>0</v>
      </c>
      <c r="EZ104" s="235"/>
      <c r="FA104" s="207">
        <f t="shared" ref="FA104" si="2321">IF($M104&lt;=15,EP104/2,EP104)</f>
        <v>622.33000000000004</v>
      </c>
      <c r="FB104" s="207">
        <f t="shared" ref="FB104" si="2322">IF($M104&lt;=15,EQ104/2,EQ104)</f>
        <v>0</v>
      </c>
      <c r="FC104" s="207">
        <f t="shared" ref="FC104" si="2323">IF($M104&lt;=15,ER104/2,ER104)</f>
        <v>0</v>
      </c>
      <c r="FD104" s="207">
        <f t="shared" ref="FD104" si="2324">IF($M104&lt;=15,ES104/2,ES104)</f>
        <v>0</v>
      </c>
      <c r="FE104" s="207">
        <f t="shared" ref="FE104" si="2325">IF($M104&lt;=15,ET104/2,ET104)</f>
        <v>0</v>
      </c>
      <c r="FF104" s="207">
        <f t="shared" ref="FF104" si="2326">IF($M104&lt;=15,EU104/2,EU104)</f>
        <v>0</v>
      </c>
      <c r="FG104" s="207">
        <f t="shared" ref="FG104" si="2327">IF($M104&lt;=15,EV104/2,EV104)</f>
        <v>0</v>
      </c>
      <c r="FH104" s="207">
        <f t="shared" ref="FH104" si="2328">IF($M104&lt;=15,EW104/2,EW104)</f>
        <v>0</v>
      </c>
      <c r="FI104" s="207">
        <f t="shared" ref="FI104" si="2329">IF($M104&lt;=15,EX104/2,EX104)</f>
        <v>0</v>
      </c>
      <c r="FJ104" s="207">
        <f t="shared" ref="FJ104" si="2330">IF($M104&lt;=15,EY104/2,EY104)</f>
        <v>0</v>
      </c>
      <c r="FK104" s="217"/>
      <c r="FL104" s="217"/>
      <c r="FM104" s="217"/>
      <c r="FN104" s="217"/>
      <c r="FO104" s="217"/>
      <c r="FP104" s="217"/>
      <c r="FR104" s="1178">
        <f t="shared" ref="FR104" si="2331">(((J104/30/8)*1.5)*(U104+Y104+AC104))-(BD104+BM104+BV104)</f>
        <v>0</v>
      </c>
      <c r="FS104" s="1178">
        <f t="shared" ref="FS104" si="2332">(((J104/30/8)*2)*(W104+AA104+AE104))-(BF104+BO104+BX104)</f>
        <v>0</v>
      </c>
      <c r="FT104" s="1179">
        <f t="shared" ref="FT104" si="2333">(SUM(BA104:CJ104))-(SUM(EF104:EN104))</f>
        <v>0</v>
      </c>
      <c r="FU104" s="1178">
        <f t="shared" ref="FU104" si="2334">(J104/30*M104)-(EF104)</f>
        <v>0</v>
      </c>
      <c r="FV104" s="1182">
        <f t="shared" ref="FV104" si="2335">(SUM(EP104:EY104))-((SUM(FA104:FJ104))*$FV$5)</f>
        <v>-622.33000000000004</v>
      </c>
      <c r="FW104" s="235"/>
      <c r="FX104" s="235"/>
      <c r="FY104" s="235"/>
      <c r="FZ104" s="235"/>
      <c r="GA104" s="235"/>
      <c r="GB104" s="235"/>
    </row>
    <row r="105" spans="1:184" s="216" customFormat="1" ht="15" customHeight="1" outlineLevel="1">
      <c r="A105" s="1006" t="str">
        <f t="shared" si="2226"/>
        <v>MAYO  2026 2da QUINCENA</v>
      </c>
      <c r="B105" s="1006">
        <f t="shared" si="2227"/>
        <v>2026</v>
      </c>
      <c r="C105" s="1007" t="str">
        <f t="shared" si="1459"/>
        <v>MAYO  2026 2da QUINCENA2026</v>
      </c>
      <c r="D105" s="235"/>
      <c r="E105" s="235">
        <v>303020</v>
      </c>
      <c r="F105" s="268"/>
      <c r="G105" s="976" t="s">
        <v>650</v>
      </c>
      <c r="H105" s="235"/>
      <c r="J105" s="802"/>
      <c r="K105" s="802"/>
      <c r="L105" s="802"/>
      <c r="M105" s="802"/>
      <c r="N105" s="871"/>
      <c r="O105" s="958"/>
      <c r="P105" s="958"/>
      <c r="Q105" s="959"/>
      <c r="R105" s="989"/>
      <c r="S105" s="958"/>
      <c r="T105" s="701"/>
      <c r="U105" s="960"/>
      <c r="V105" s="802"/>
      <c r="W105" s="961"/>
      <c r="X105" s="802"/>
      <c r="Y105" s="961"/>
      <c r="Z105" s="802"/>
      <c r="AA105" s="961"/>
      <c r="AB105" s="881"/>
      <c r="AC105" s="961"/>
      <c r="AD105" s="802"/>
      <c r="AE105" s="962"/>
      <c r="AF105" s="802"/>
      <c r="AG105" s="973"/>
      <c r="AH105" s="802"/>
      <c r="AI105" s="974"/>
      <c r="AJ105" s="802"/>
      <c r="AK105" s="824"/>
      <c r="AL105" s="824"/>
      <c r="AM105" s="974"/>
      <c r="AN105" s="824"/>
      <c r="AO105" s="828"/>
      <c r="AP105" s="828"/>
      <c r="AQ105" s="828"/>
      <c r="AR105" s="828"/>
      <c r="AS105" s="828"/>
      <c r="AT105" s="828"/>
      <c r="AU105" s="828"/>
      <c r="AV105" s="828"/>
      <c r="AW105" s="828"/>
      <c r="AX105" s="828"/>
      <c r="AY105" s="861"/>
      <c r="AZ105" s="967"/>
      <c r="BA105" s="802"/>
      <c r="BB105" s="881"/>
      <c r="BC105" s="802"/>
      <c r="BD105" s="802"/>
      <c r="BE105" s="802"/>
      <c r="BF105" s="802"/>
      <c r="BG105" s="802"/>
      <c r="BH105" s="802"/>
      <c r="BI105" s="802"/>
      <c r="BJ105" s="802"/>
      <c r="BK105" s="802"/>
      <c r="BL105" s="802"/>
      <c r="BM105" s="802"/>
      <c r="BN105" s="802"/>
      <c r="BO105" s="802"/>
      <c r="BP105" s="802"/>
      <c r="BQ105" s="802"/>
      <c r="BR105" s="861"/>
      <c r="BS105" s="802"/>
      <c r="BT105" s="802"/>
      <c r="BU105" s="802"/>
      <c r="BV105" s="802"/>
      <c r="BW105" s="802"/>
      <c r="BX105" s="802"/>
      <c r="BY105" s="802"/>
      <c r="BZ105" s="802"/>
      <c r="CA105" s="802"/>
      <c r="CB105" s="802"/>
      <c r="CC105" s="802"/>
      <c r="CD105" s="802"/>
      <c r="CE105" s="802"/>
      <c r="CF105" s="802"/>
      <c r="CG105" s="802"/>
      <c r="CH105" s="802"/>
      <c r="CI105" s="802"/>
      <c r="CJ105" s="802"/>
      <c r="CK105" s="824"/>
      <c r="CL105" s="824"/>
      <c r="CM105" s="824"/>
      <c r="CN105" s="824"/>
      <c r="CO105" s="824"/>
      <c r="CP105" s="824"/>
      <c r="CQ105" s="824"/>
      <c r="CR105" s="824"/>
      <c r="CS105" s="824"/>
      <c r="CV105" s="802"/>
      <c r="CW105" s="802"/>
      <c r="CX105" s="802"/>
      <c r="CY105" s="802"/>
      <c r="CZ105" s="802"/>
      <c r="DA105" s="802"/>
      <c r="DB105" s="802"/>
      <c r="DC105" s="802"/>
      <c r="DD105" s="802"/>
      <c r="DE105" s="802"/>
      <c r="DF105" s="802"/>
      <c r="DG105" s="802"/>
      <c r="DH105" s="802"/>
      <c r="DI105" s="802"/>
      <c r="DJ105" s="802"/>
      <c r="DK105" s="802"/>
      <c r="DL105" s="802"/>
      <c r="DM105" s="802"/>
      <c r="DN105" s="824"/>
      <c r="DO105" s="824"/>
      <c r="DP105" s="824"/>
      <c r="DQ105" s="824"/>
      <c r="DR105" s="824"/>
      <c r="DS105" s="824"/>
      <c r="DT105" s="824"/>
      <c r="DU105" s="824"/>
      <c r="DV105" s="824"/>
      <c r="DW105" s="824"/>
      <c r="DX105" s="824"/>
      <c r="DY105" s="824"/>
      <c r="DZ105" s="824"/>
      <c r="EA105" s="824"/>
      <c r="EB105" s="824"/>
      <c r="EC105" s="824"/>
      <c r="ED105" s="824"/>
      <c r="EE105" s="824"/>
      <c r="EF105" s="824"/>
      <c r="EG105" s="824"/>
      <c r="EH105" s="824"/>
      <c r="EI105" s="824"/>
      <c r="EJ105" s="824"/>
      <c r="EK105" s="824"/>
      <c r="EL105" s="824"/>
      <c r="EM105" s="824"/>
      <c r="EN105" s="824"/>
      <c r="EP105" s="852"/>
      <c r="EQ105" s="852"/>
      <c r="ER105" s="852"/>
      <c r="ES105" s="852"/>
      <c r="ET105" s="852"/>
      <c r="EU105" s="852"/>
      <c r="EV105" s="852"/>
      <c r="EW105" s="852"/>
      <c r="EX105" s="852"/>
      <c r="EY105" s="201"/>
      <c r="FA105" s="961"/>
      <c r="FB105" s="961"/>
      <c r="FC105" s="961"/>
      <c r="FD105" s="961"/>
      <c r="FE105" s="961"/>
      <c r="FF105" s="961"/>
      <c r="FG105" s="961"/>
      <c r="FH105" s="961"/>
      <c r="FI105" s="961"/>
      <c r="FJ105" s="961"/>
      <c r="FK105" s="969"/>
      <c r="FL105" s="969"/>
      <c r="FM105" s="969"/>
      <c r="FN105" s="969"/>
      <c r="FO105" s="969"/>
      <c r="FP105" s="975"/>
    </row>
    <row r="106" spans="1:184" s="216" customFormat="1" ht="14.25" customHeight="1" outlineLevel="1">
      <c r="A106" s="1006"/>
      <c r="B106" s="1006"/>
      <c r="C106" s="1007"/>
      <c r="D106" s="235"/>
      <c r="E106" s="235">
        <v>303020</v>
      </c>
      <c r="F106" s="268"/>
      <c r="G106" s="199" t="s">
        <v>766</v>
      </c>
      <c r="H106" s="200" t="s">
        <v>767</v>
      </c>
      <c r="I106" s="201" t="s">
        <v>11</v>
      </c>
      <c r="J106" s="203">
        <v>6500</v>
      </c>
      <c r="K106" s="203">
        <v>1000</v>
      </c>
      <c r="L106" s="202">
        <f t="shared" ref="L106" si="2336">+J106+K106</f>
        <v>7500</v>
      </c>
      <c r="M106" s="203">
        <v>30</v>
      </c>
      <c r="N106" s="972">
        <v>0.6</v>
      </c>
      <c r="O106" s="820">
        <v>0.35</v>
      </c>
      <c r="P106" s="820">
        <v>0.05</v>
      </c>
      <c r="Q106" s="204">
        <v>0</v>
      </c>
      <c r="R106" s="867">
        <v>0</v>
      </c>
      <c r="S106" s="204">
        <f t="shared" si="2229"/>
        <v>1</v>
      </c>
      <c r="T106" s="814" t="s">
        <v>768</v>
      </c>
      <c r="U106" s="206"/>
      <c r="V106" s="203">
        <f t="shared" ref="V106" si="2337">($J106/30/8*1.5)*U106</f>
        <v>0</v>
      </c>
      <c r="W106" s="207"/>
      <c r="X106" s="203">
        <f t="shared" ref="X106" si="2338">($J106/30/8*2)*W106</f>
        <v>0</v>
      </c>
      <c r="Y106" s="207"/>
      <c r="Z106" s="203">
        <f t="shared" ref="Z106" si="2339">($J106/30/8*1.5)*Y106</f>
        <v>0</v>
      </c>
      <c r="AA106" s="207"/>
      <c r="AB106" s="203">
        <f t="shared" ref="AB106" si="2340">($J106/30/8*2)*AA106</f>
        <v>0</v>
      </c>
      <c r="AC106" s="207"/>
      <c r="AD106" s="203">
        <f t="shared" ref="AD106" si="2341">(($J106/30/8)*1.5)*AC106</f>
        <v>0</v>
      </c>
      <c r="AE106" s="208"/>
      <c r="AF106" s="203">
        <f t="shared" ref="AF106" si="2342">(($J106/30/8)*2)*AE106</f>
        <v>0</v>
      </c>
      <c r="AG106" s="208"/>
      <c r="AH106" s="203">
        <f t="shared" ref="AH106" si="2343">(($J106/30/8)*1.5)*AG106</f>
        <v>0</v>
      </c>
      <c r="AI106" s="208"/>
      <c r="AJ106" s="203">
        <f t="shared" ref="AJ106" si="2344">(($J106/30/8)*2)*AI106</f>
        <v>0</v>
      </c>
      <c r="AK106" s="203"/>
      <c r="AL106" s="203">
        <f t="shared" ref="AL106" si="2345">(($J106/30/8)*1.5)*AK106</f>
        <v>0</v>
      </c>
      <c r="AM106" s="208"/>
      <c r="AN106" s="203">
        <f t="shared" ref="AN106" si="2346">(($J106/30/8)*2)*AM106</f>
        <v>0</v>
      </c>
      <c r="AO106" s="202"/>
      <c r="AP106" s="202"/>
      <c r="AQ106" s="202"/>
      <c r="AR106" s="202"/>
      <c r="AS106" s="202"/>
      <c r="AT106" s="202"/>
      <c r="AU106" s="202"/>
      <c r="AV106" s="202"/>
      <c r="AW106" s="202"/>
      <c r="AX106" s="202"/>
      <c r="AY106" s="202"/>
      <c r="AZ106" s="212"/>
      <c r="BA106" s="203">
        <f>((J106/30)*M106)*$N106</f>
        <v>3900</v>
      </c>
      <c r="BB106" s="203">
        <f>((K106/30)*M106)*$N106</f>
        <v>600</v>
      </c>
      <c r="BC106" s="203">
        <f t="shared" ref="BC106" si="2347">U106</f>
        <v>0</v>
      </c>
      <c r="BD106" s="203">
        <f t="shared" ref="BD106" si="2348">V106</f>
        <v>0</v>
      </c>
      <c r="BE106" s="203">
        <f t="shared" ref="BE106" si="2349">W106</f>
        <v>0</v>
      </c>
      <c r="BF106" s="203">
        <f t="shared" ref="BF106" si="2350">X106</f>
        <v>0</v>
      </c>
      <c r="BG106" s="203">
        <f>AO106+AT106</f>
        <v>0</v>
      </c>
      <c r="BH106" s="203">
        <f t="shared" ref="BH106" si="2351">(BA106+BD106+BF106+BG106)*0.1267</f>
        <v>494.13000000000005</v>
      </c>
      <c r="BI106" s="203">
        <f t="shared" ref="BI106" si="2352">SUM(BA106:BH106)-BC106-BE106</f>
        <v>4994.13</v>
      </c>
      <c r="BJ106" s="203">
        <f t="shared" ref="BJ106" si="2353">(($J106/30)*$M106)*$O106</f>
        <v>2275</v>
      </c>
      <c r="BK106" s="203">
        <f>(($K106/30)*$M106)*$O106</f>
        <v>350</v>
      </c>
      <c r="BL106" s="203">
        <f t="shared" ref="BL106" si="2354">Y106</f>
        <v>0</v>
      </c>
      <c r="BM106" s="203">
        <f t="shared" ref="BM106" si="2355">Z106</f>
        <v>0</v>
      </c>
      <c r="BN106" s="203">
        <f t="shared" ref="BN106" si="2356">AA106</f>
        <v>0</v>
      </c>
      <c r="BO106" s="203">
        <f t="shared" ref="BO106" si="2357">AB106</f>
        <v>0</v>
      </c>
      <c r="BP106" s="203">
        <f t="shared" ref="BP106" si="2358">AP106+AU106</f>
        <v>0</v>
      </c>
      <c r="BQ106" s="203">
        <f t="shared" ref="BQ106" si="2359">(+BJ106+BM106+BO106+BP106)*0.1267</f>
        <v>288.24250000000001</v>
      </c>
      <c r="BR106" s="202">
        <f t="shared" ref="BR106" si="2360">SUM(BJ106:BQ106)-BL106-BN106</f>
        <v>2913.2424999999998</v>
      </c>
      <c r="BS106" s="203">
        <f t="shared" ref="BS106" si="2361">(($J106/30)*$M106)*$P106</f>
        <v>325</v>
      </c>
      <c r="BT106" s="203">
        <f t="shared" ref="BT106" si="2362">(($K106/30)*$M106)*$P106</f>
        <v>50.000000000000007</v>
      </c>
      <c r="BU106" s="203">
        <f t="shared" ref="BU106" si="2363">AC106</f>
        <v>0</v>
      </c>
      <c r="BV106" s="203">
        <f t="shared" ref="BV106" si="2364">AD106</f>
        <v>0</v>
      </c>
      <c r="BW106" s="203">
        <f t="shared" ref="BW106" si="2365">AE106</f>
        <v>0</v>
      </c>
      <c r="BX106" s="203">
        <f t="shared" ref="BX106" si="2366">AF106</f>
        <v>0</v>
      </c>
      <c r="BY106" s="203">
        <f t="shared" ref="BY106" si="2367">AQ106+AV106</f>
        <v>0</v>
      </c>
      <c r="BZ106" s="203">
        <f t="shared" ref="BZ106" si="2368">(BS106+BV106+BX106+BY106)*0.1267</f>
        <v>41.177500000000002</v>
      </c>
      <c r="CA106" s="203">
        <f t="shared" ref="CA106" si="2369">SUM(BS106:BZ106)-BU106-BW106</f>
        <v>416.17750000000001</v>
      </c>
      <c r="CB106" s="241">
        <f>(($J106/30)*$M106)*$Q106</f>
        <v>0</v>
      </c>
      <c r="CC106" s="242">
        <f>(($K106/30)*$M106)*$Q106</f>
        <v>0</v>
      </c>
      <c r="CD106" s="242">
        <f t="shared" ref="CD106" si="2370">AG106</f>
        <v>0</v>
      </c>
      <c r="CE106" s="242">
        <f t="shared" ref="CE106" si="2371">AH106</f>
        <v>0</v>
      </c>
      <c r="CF106" s="242">
        <f t="shared" ref="CF106" si="2372">AI106</f>
        <v>0</v>
      </c>
      <c r="CG106" s="242">
        <f t="shared" ref="CG106" si="2373">AJ106</f>
        <v>0</v>
      </c>
      <c r="CH106" s="242">
        <f t="shared" ref="CH106" si="2374">AR106+AW106</f>
        <v>0</v>
      </c>
      <c r="CI106" s="703">
        <f t="shared" ref="CI106" si="2375">(CB106+CE106+CG106+CH106)*0.1267</f>
        <v>0</v>
      </c>
      <c r="CJ106" s="242">
        <f>SUM(CB106:CI106)-CD106-CF106</f>
        <v>0</v>
      </c>
      <c r="CK106" s="242">
        <f t="shared" ref="CK106" si="2376">(($J106/30)*$M106)*R106</f>
        <v>0</v>
      </c>
      <c r="CL106" s="242">
        <f t="shared" ref="CL106" si="2377">(($K106/30)*$M106)*$R106</f>
        <v>0</v>
      </c>
      <c r="CM106" s="242">
        <f t="shared" ref="CM106" si="2378">+AK106</f>
        <v>0</v>
      </c>
      <c r="CN106" s="242">
        <f t="shared" ref="CN106" si="2379">AL106</f>
        <v>0</v>
      </c>
      <c r="CO106" s="242">
        <f t="shared" ref="CO106" si="2380">AM106</f>
        <v>0</v>
      </c>
      <c r="CP106" s="242">
        <f t="shared" ref="CP106" si="2381">AN106</f>
        <v>0</v>
      </c>
      <c r="CQ106" s="242">
        <f t="shared" ref="CQ106" si="2382">AS106+AX106</f>
        <v>0</v>
      </c>
      <c r="CR106" s="242">
        <f t="shared" ref="CR106" si="2383">(CK106+CN106+CP106)*0.1267</f>
        <v>0</v>
      </c>
      <c r="CS106" s="243">
        <f t="shared" ref="CS106" si="2384">SUM(CK106:CR106)-CM106-CO106</f>
        <v>0</v>
      </c>
      <c r="CU106" s="201" t="s">
        <v>11</v>
      </c>
      <c r="CV106" s="203">
        <f t="shared" ref="CV106" si="2385">IF($CU106="PROQUIMA",$BA106+$BJ106+$BS106+$CB106+$CK106,0)</f>
        <v>0</v>
      </c>
      <c r="CW106" s="203">
        <f t="shared" ref="CW106" si="2386">IF($CU106="PROQUIMA",$BB106+$BK106+$BT106+$CC106+$CL106,0)</f>
        <v>0</v>
      </c>
      <c r="CX106" s="203">
        <f t="shared" ref="CX106" si="2387">IF($CU106="PROQUIMA",$BC106+$BL106+$BU106+$CD106+$CM106,0)</f>
        <v>0</v>
      </c>
      <c r="CY106" s="203">
        <f t="shared" ref="CY106" si="2388">IF($CU106="PROQUIMA",$BD106+$BM106+$BV106+$CE106+$CN106,0)</f>
        <v>0</v>
      </c>
      <c r="CZ106" s="203">
        <f t="shared" ref="CZ106" si="2389">IF($CU106="PROQUIMA",$BE106+$BN106+$BW106+$CF106+$CO106,0)</f>
        <v>0</v>
      </c>
      <c r="DA106" s="203">
        <f t="shared" ref="DA106" si="2390">IF($CU106="PROQUIMA",$BF106+$BO106+$BX106+$CG106+$CP106,0)</f>
        <v>0</v>
      </c>
      <c r="DB106" s="203">
        <f t="shared" ref="DB106" si="2391">IF($CU106="PROQUIMA",$BG106+$BP106+$BY106+$CH106+$CQ106,0)</f>
        <v>0</v>
      </c>
      <c r="DC106" s="203">
        <f t="shared" ref="DC106" si="2392">IF($CU106="PROQUIMA",$BH106+$BQ106+$BZ106+$CI106+CR106,0)</f>
        <v>0</v>
      </c>
      <c r="DD106" s="203">
        <f t="shared" ref="DD106" si="2393">SUM(CV106:DC106)-CX106-CZ106</f>
        <v>0</v>
      </c>
      <c r="DE106" s="203">
        <f t="shared" ref="DE106" si="2394">IF($CU106="UNHESA",$BA106+$BJ106+$BS106+$CB106+$CK106,0)</f>
        <v>0</v>
      </c>
      <c r="DF106" s="203">
        <f t="shared" ref="DF106" si="2395">IF($CU106="UNHESA",$BB106+$BK106+$BT106+$CC106+$CL106,0)</f>
        <v>0</v>
      </c>
      <c r="DG106" s="239">
        <f t="shared" ref="DG106" si="2396">IF($CU106="UNHESA",$BC106+$BL106+$BU106+$CD106+$CM106,0)</f>
        <v>0</v>
      </c>
      <c r="DH106" s="239">
        <f t="shared" ref="DH106" si="2397">IF($CU106="UNHESA",$BD106+$BM106+$BV106+$CE106+$CN106,0)</f>
        <v>0</v>
      </c>
      <c r="DI106" s="239">
        <f t="shared" ref="DI106" si="2398">IF($CU106="UNHESA",$BE106+$BN106+$BW106+$CF106+$CO106,0)</f>
        <v>0</v>
      </c>
      <c r="DJ106" s="203">
        <f t="shared" ref="DJ106" si="2399">IF($CU106="UNHESA",$BF106+$BO106+$BX106+$CG106+$CP106,0)</f>
        <v>0</v>
      </c>
      <c r="DK106" s="203">
        <f t="shared" ref="DK106" si="2400">IF($CU106="UNHESA",$BG106+$BP106+$BY106+$CH106+$CQ106,0)</f>
        <v>0</v>
      </c>
      <c r="DL106" s="203">
        <f t="shared" ref="DL106" si="2401">IF($CU106="UNHESA",$BH106+$BQ106+$BZ106+$CI106+$CR106,0)</f>
        <v>0</v>
      </c>
      <c r="DM106" s="203">
        <f t="shared" ref="DM106" si="2402">SUM(DE106:DL106)-DG106-DI106</f>
        <v>0</v>
      </c>
      <c r="DN106" s="210">
        <f t="shared" ref="DN106" si="2403">IF($CU106="UNHESA LIQUIDOS",$BA106+$BJ106+$BS106+$CB106+$CK106,0)</f>
        <v>0</v>
      </c>
      <c r="DO106" s="210">
        <f t="shared" ref="DO106" si="2404">IF($CU106="UNHESA LIQUIDOS",$BB106+$BK106+$BT106+$CC106+$CL106,0)</f>
        <v>0</v>
      </c>
      <c r="DP106" s="210">
        <f t="shared" ref="DP106" si="2405">IF($CU106="UNHESA LIQUIDOS",$BC106+$BL106+$BU106+$CD106+$CM106,0)</f>
        <v>0</v>
      </c>
      <c r="DQ106" s="210">
        <f t="shared" ref="DQ106" si="2406">IF($CU106="UNHESA LIQUIDOS",$BD106+$BM106+$BV106+$CE106+$CN106,0)</f>
        <v>0</v>
      </c>
      <c r="DR106" s="210">
        <f t="shared" ref="DR106" si="2407">IF($CU106="UNHESA LIQUIDOS",$BE106+$BN106+$BW106+$CF106+$CO106,0)</f>
        <v>0</v>
      </c>
      <c r="DS106" s="210">
        <f t="shared" ref="DS106" si="2408">IF($CU106="UNHESA LIQUIDOS",$BF106+$BO106+$BX106+$CG106+$CP106,0)</f>
        <v>0</v>
      </c>
      <c r="DT106" s="210">
        <f t="shared" ref="DT106" si="2409">IF($CU106="UNHESA LIQUIDOS",$BG106+$BP106+$BY106+$CH106+$CQ106,0)</f>
        <v>0</v>
      </c>
      <c r="DU106" s="210">
        <f t="shared" ref="DU106" si="2410">IF($CU106="UNHESA LIQUIDOS",$BH106+$BQ106+$BZ106+$CI106+$CR106,0)</f>
        <v>0</v>
      </c>
      <c r="DV106" s="210">
        <f t="shared" ref="DV106" si="2411">SUM(DN106:DU106)-DP106-DR106</f>
        <v>0</v>
      </c>
      <c r="DW106" s="241">
        <f>IF($CU106="CLEARTEC",$BA106+$BJ106+$BS106+$CB106+$CK106,0)</f>
        <v>0</v>
      </c>
      <c r="DX106" s="241">
        <f t="shared" ref="DX106:ED106" si="2412">IF($CU106="CLEARTEC",$BA106+$BJ106+$BS106+$CB106+$CK106,0)</f>
        <v>0</v>
      </c>
      <c r="DY106" s="241">
        <f t="shared" si="2412"/>
        <v>0</v>
      </c>
      <c r="DZ106" s="241">
        <f t="shared" si="2412"/>
        <v>0</v>
      </c>
      <c r="EA106" s="241">
        <f t="shared" si="2412"/>
        <v>0</v>
      </c>
      <c r="EB106" s="241">
        <f t="shared" si="2412"/>
        <v>0</v>
      </c>
      <c r="EC106" s="241">
        <f t="shared" si="2412"/>
        <v>0</v>
      </c>
      <c r="ED106" s="241">
        <f t="shared" si="2412"/>
        <v>0</v>
      </c>
      <c r="EE106" s="242">
        <f t="shared" ref="EE106" si="2413">SUM(DW106:ED106)-DY106-EA106</f>
        <v>0</v>
      </c>
      <c r="EF106" s="203">
        <f t="shared" ref="EF106" si="2414">IF(CU106="ECONACIONAL",$BA106+$BJ106+$BS106+$CB106+$CK106)</f>
        <v>6500</v>
      </c>
      <c r="EG106" s="242">
        <f t="shared" ref="EG106" si="2415">IF($CU106="ECONACIONAL",$BB106+$BK106+$BT106+$CC106+$CL106,0)</f>
        <v>1000</v>
      </c>
      <c r="EH106" s="203">
        <f t="shared" ref="EH106" si="2416">IF(CU106="ECONACIONAL",$BC106+$BL106+$BU106+$CD106+$CM106)</f>
        <v>0</v>
      </c>
      <c r="EI106" s="203">
        <f t="shared" ref="EI106" si="2417">IF(CU106="ECONACIONAL",$BD106+$DH106+$DQ106+$DZ106+BM106+BV106+CE106+CN106)</f>
        <v>0</v>
      </c>
      <c r="EJ106" s="242">
        <f t="shared" ref="EJ106" si="2418">IF($CU106="CLEARTEC",$BE106+$BN106+$BW106+$CF106+$CO106,0)</f>
        <v>0</v>
      </c>
      <c r="EK106" s="203">
        <f t="shared" ref="EK106" si="2419">IF(CU106="ECONACIONAL",$BF106+$BO106+$BX106+$CG106+$CP106)</f>
        <v>0</v>
      </c>
      <c r="EL106" s="203">
        <f t="shared" ref="EL106" si="2420">IF(CU106="ECONACIONAL",$BG106+$BP106+$BY106+$CH106+$CQ106)</f>
        <v>0</v>
      </c>
      <c r="EM106" s="203">
        <f t="shared" ref="EM106" si="2421">IF(CU106="ECONACIONAL",BH106+BQ106+BZ106+CI106+CR106)</f>
        <v>823.55000000000007</v>
      </c>
      <c r="EN106" s="203">
        <f t="shared" ref="EN106" si="2422">SUM(EF106:EM106)-EH106-EJ106</f>
        <v>8323.5499999999993</v>
      </c>
      <c r="EP106" s="852">
        <v>175</v>
      </c>
      <c r="EQ106" s="852"/>
      <c r="ER106" s="852"/>
      <c r="ES106" s="201"/>
      <c r="ET106" s="201"/>
      <c r="EU106" s="201"/>
      <c r="EV106" s="852"/>
      <c r="EW106" s="201"/>
      <c r="EX106" s="201">
        <v>306.26</v>
      </c>
      <c r="EY106" s="201">
        <f t="shared" ref="EY106" si="2423">+ET106+EU106+EV106</f>
        <v>0</v>
      </c>
      <c r="EZ106" s="821"/>
      <c r="FA106" s="207">
        <f t="shared" ref="FA106" si="2424">IF($M106&lt;=15,EP106/2,EP106)</f>
        <v>175</v>
      </c>
      <c r="FB106" s="207">
        <f t="shared" ref="FB106" si="2425">IF($M106&lt;=15,EQ106/2,EQ106)</f>
        <v>0</v>
      </c>
      <c r="FC106" s="207">
        <f t="shared" ref="FC106" si="2426">IF($M106&lt;=15,ER106/2,ER106)</f>
        <v>0</v>
      </c>
      <c r="FD106" s="207">
        <f t="shared" ref="FD106" si="2427">IF($M106&lt;=15,ES106/2,ES106)</f>
        <v>0</v>
      </c>
      <c r="FE106" s="207">
        <f t="shared" ref="FE106" si="2428">IF($M106&lt;=15,ET106/2,ET106)</f>
        <v>0</v>
      </c>
      <c r="FF106" s="207">
        <f t="shared" ref="FF106" si="2429">IF($M106&lt;=15,EU106/2,EU106)</f>
        <v>0</v>
      </c>
      <c r="FG106" s="207">
        <f t="shared" ref="FG106" si="2430">IF($M106&lt;=15,EV106/2,EV106)</f>
        <v>0</v>
      </c>
      <c r="FH106" s="207">
        <f t="shared" ref="FH106" si="2431">IF($M106&lt;=15,EW106/2,EW106)</f>
        <v>0</v>
      </c>
      <c r="FI106" s="207">
        <f t="shared" ref="FI106" si="2432">IF($M106&lt;=15,EX106/2,EX106)</f>
        <v>306.26</v>
      </c>
      <c r="FJ106" s="207">
        <f>IF($M106&lt;=15,EY106/2,EY106)</f>
        <v>0</v>
      </c>
      <c r="FK106" s="217"/>
      <c r="FL106" s="217"/>
      <c r="FM106" s="217"/>
      <c r="FN106" s="217"/>
      <c r="FO106" s="217"/>
      <c r="FP106" s="217"/>
    </row>
    <row r="107" spans="1:184" s="216" customFormat="1" ht="14.25" customHeight="1" outlineLevel="1">
      <c r="A107" s="1006"/>
      <c r="B107" s="1006"/>
      <c r="C107" s="1007"/>
      <c r="D107" s="235"/>
      <c r="E107" s="235"/>
      <c r="F107" s="268"/>
      <c r="G107" s="199"/>
      <c r="H107" s="200"/>
      <c r="I107" s="201"/>
      <c r="J107" s="203"/>
      <c r="K107" s="203"/>
      <c r="L107" s="202"/>
      <c r="M107" s="203"/>
      <c r="N107" s="972"/>
      <c r="O107" s="820"/>
      <c r="P107" s="820"/>
      <c r="Q107" s="204"/>
      <c r="R107" s="867"/>
      <c r="S107" s="204"/>
      <c r="T107" s="814"/>
      <c r="U107" s="206"/>
      <c r="V107" s="203"/>
      <c r="W107" s="207"/>
      <c r="X107" s="203"/>
      <c r="Y107" s="207"/>
      <c r="Z107" s="203"/>
      <c r="AA107" s="207"/>
      <c r="AB107" s="203"/>
      <c r="AC107" s="207"/>
      <c r="AD107" s="203"/>
      <c r="AE107" s="208"/>
      <c r="AF107" s="203"/>
      <c r="AG107" s="208"/>
      <c r="AH107" s="203"/>
      <c r="AI107" s="208"/>
      <c r="AJ107" s="203"/>
      <c r="AK107" s="203"/>
      <c r="AL107" s="203"/>
      <c r="AM107" s="208"/>
      <c r="AN107" s="203"/>
      <c r="AO107" s="202"/>
      <c r="AP107" s="202"/>
      <c r="AQ107" s="202"/>
      <c r="AR107" s="202"/>
      <c r="AS107" s="202"/>
      <c r="AT107" s="202"/>
      <c r="AU107" s="202"/>
      <c r="AV107" s="202"/>
      <c r="AW107" s="202"/>
      <c r="AX107" s="202"/>
      <c r="AY107" s="202"/>
      <c r="AZ107" s="212"/>
      <c r="BA107" s="203"/>
      <c r="BB107" s="203"/>
      <c r="BC107" s="203"/>
      <c r="BD107" s="203"/>
      <c r="BE107" s="203"/>
      <c r="BF107" s="203"/>
      <c r="BG107" s="203"/>
      <c r="BH107" s="203"/>
      <c r="BI107" s="203"/>
      <c r="BJ107" s="203"/>
      <c r="BK107" s="203"/>
      <c r="BL107" s="203"/>
      <c r="BM107" s="203"/>
      <c r="BN107" s="203"/>
      <c r="BO107" s="203"/>
      <c r="BP107" s="203"/>
      <c r="BQ107" s="203"/>
      <c r="BR107" s="202"/>
      <c r="BS107" s="203"/>
      <c r="BT107" s="203"/>
      <c r="BU107" s="203"/>
      <c r="BV107" s="203"/>
      <c r="BW107" s="203"/>
      <c r="BX107" s="203"/>
      <c r="BY107" s="203"/>
      <c r="BZ107" s="203"/>
      <c r="CA107" s="203"/>
      <c r="CB107" s="241"/>
      <c r="CC107" s="242"/>
      <c r="CD107" s="242"/>
      <c r="CE107" s="242"/>
      <c r="CF107" s="242"/>
      <c r="CG107" s="242"/>
      <c r="CH107" s="242"/>
      <c r="CI107" s="703"/>
      <c r="CJ107" s="242"/>
      <c r="CK107" s="242"/>
      <c r="CL107" s="242"/>
      <c r="CM107" s="242"/>
      <c r="CN107" s="242"/>
      <c r="CO107" s="242"/>
      <c r="CP107" s="242"/>
      <c r="CQ107" s="242"/>
      <c r="CR107" s="242"/>
      <c r="CS107" s="243"/>
      <c r="CU107" s="201"/>
      <c r="CV107" s="203"/>
      <c r="CW107" s="203"/>
      <c r="CX107" s="203"/>
      <c r="CY107" s="203"/>
      <c r="CZ107" s="203"/>
      <c r="DA107" s="203"/>
      <c r="DB107" s="203"/>
      <c r="DC107" s="203"/>
      <c r="DD107" s="203"/>
      <c r="DE107" s="203"/>
      <c r="DF107" s="203"/>
      <c r="DG107" s="239"/>
      <c r="DH107" s="239"/>
      <c r="DI107" s="239"/>
      <c r="DJ107" s="203"/>
      <c r="DK107" s="203"/>
      <c r="DL107" s="203"/>
      <c r="DM107" s="203"/>
      <c r="DN107" s="210"/>
      <c r="DO107" s="210"/>
      <c r="DP107" s="210"/>
      <c r="DQ107" s="210"/>
      <c r="DR107" s="210"/>
      <c r="DS107" s="210"/>
      <c r="DT107" s="210"/>
      <c r="DU107" s="210"/>
      <c r="DV107" s="210"/>
      <c r="DW107" s="241"/>
      <c r="DX107" s="241"/>
      <c r="DY107" s="241"/>
      <c r="DZ107" s="241"/>
      <c r="EA107" s="241"/>
      <c r="EB107" s="241"/>
      <c r="EC107" s="241"/>
      <c r="ED107" s="241"/>
      <c r="EE107" s="242"/>
      <c r="EF107" s="203"/>
      <c r="EG107" s="242"/>
      <c r="EH107" s="203"/>
      <c r="EI107" s="203"/>
      <c r="EJ107" s="242"/>
      <c r="EK107" s="203"/>
      <c r="EL107" s="203"/>
      <c r="EM107" s="203"/>
      <c r="EN107" s="203"/>
      <c r="EP107" s="852"/>
      <c r="EQ107" s="852"/>
      <c r="ER107" s="852"/>
      <c r="ES107" s="201"/>
      <c r="ET107" s="201"/>
      <c r="EU107" s="201"/>
      <c r="EV107" s="201"/>
      <c r="EW107" s="201"/>
      <c r="EX107" s="852"/>
      <c r="EY107" s="201"/>
      <c r="EZ107" s="821"/>
      <c r="FA107" s="207"/>
      <c r="FB107" s="207"/>
      <c r="FC107" s="207"/>
      <c r="FD107" s="207"/>
      <c r="FE107" s="207"/>
      <c r="FF107" s="207"/>
      <c r="FG107" s="207"/>
      <c r="FH107" s="207"/>
      <c r="FI107" s="207"/>
      <c r="FJ107" s="207"/>
      <c r="FK107" s="217"/>
      <c r="FL107" s="217"/>
      <c r="FM107" s="217"/>
      <c r="FN107" s="217"/>
      <c r="FO107" s="217"/>
      <c r="FP107" s="217"/>
      <c r="FR107" s="1185"/>
      <c r="FS107" s="1185"/>
      <c r="FT107" s="1186"/>
      <c r="FU107" s="1185"/>
      <c r="FV107" s="1187"/>
    </row>
    <row r="108" spans="1:184" s="216" customFormat="1" ht="15" customHeight="1" outlineLevel="1">
      <c r="A108" s="1006" t="str">
        <f t="shared" si="2226"/>
        <v>MAYO  2026 2da QUINCENA</v>
      </c>
      <c r="B108" s="1006">
        <f t="shared" si="2227"/>
        <v>2026</v>
      </c>
      <c r="C108" s="1007" t="str">
        <f t="shared" si="1459"/>
        <v>MAYO  2026 2da QUINCENA2026</v>
      </c>
      <c r="D108" s="235"/>
      <c r="E108" s="235">
        <v>303030</v>
      </c>
      <c r="F108" s="268"/>
      <c r="G108" s="976" t="s">
        <v>637</v>
      </c>
      <c r="H108" s="235"/>
      <c r="J108" s="802"/>
      <c r="K108" s="802"/>
      <c r="L108" s="802"/>
      <c r="M108" s="802"/>
      <c r="N108" s="871"/>
      <c r="O108" s="958"/>
      <c r="P108" s="958"/>
      <c r="Q108" s="959"/>
      <c r="R108" s="989"/>
      <c r="S108" s="958"/>
      <c r="T108" s="701"/>
      <c r="U108" s="802"/>
      <c r="V108" s="802"/>
      <c r="W108" s="802"/>
      <c r="X108" s="802"/>
      <c r="Y108" s="802"/>
      <c r="Z108" s="802"/>
      <c r="AA108" s="802"/>
      <c r="AB108" s="802"/>
      <c r="AC108" s="802"/>
      <c r="AD108" s="802"/>
      <c r="AE108" s="802"/>
      <c r="AF108" s="802"/>
      <c r="AG108" s="802"/>
      <c r="AH108" s="802"/>
      <c r="AI108" s="802"/>
      <c r="AJ108" s="802"/>
      <c r="AK108" s="802"/>
      <c r="AL108" s="802"/>
      <c r="AM108" s="802"/>
      <c r="AN108" s="802"/>
      <c r="AO108" s="802"/>
      <c r="AP108" s="802"/>
      <c r="AQ108" s="802"/>
      <c r="AR108" s="802"/>
      <c r="AS108" s="802"/>
      <c r="AT108" s="802"/>
      <c r="AU108" s="802"/>
      <c r="AV108" s="802"/>
      <c r="AW108" s="802"/>
      <c r="AX108" s="802"/>
      <c r="AY108" s="802"/>
      <c r="AZ108" s="802"/>
      <c r="BA108" s="802"/>
      <c r="BB108" s="802"/>
      <c r="BC108" s="802"/>
      <c r="BD108" s="802"/>
      <c r="BE108" s="802"/>
      <c r="BF108" s="802"/>
      <c r="BG108" s="802"/>
      <c r="BH108" s="802"/>
      <c r="BI108" s="802"/>
      <c r="BJ108" s="802"/>
      <c r="BK108" s="802"/>
      <c r="BL108" s="802"/>
      <c r="BM108" s="802"/>
      <c r="BN108" s="802"/>
      <c r="BO108" s="802"/>
      <c r="BP108" s="802"/>
      <c r="BQ108" s="802"/>
      <c r="BR108" s="802"/>
      <c r="BS108" s="802"/>
      <c r="BT108" s="802"/>
      <c r="BU108" s="802"/>
      <c r="BV108" s="802"/>
      <c r="BW108" s="802"/>
      <c r="BX108" s="802"/>
      <c r="BY108" s="802"/>
      <c r="BZ108" s="802"/>
      <c r="CA108" s="802"/>
      <c r="CB108" s="802"/>
      <c r="CC108" s="802"/>
      <c r="CD108" s="802"/>
      <c r="CE108" s="802"/>
      <c r="CF108" s="802"/>
      <c r="CG108" s="802"/>
      <c r="CH108" s="802"/>
      <c r="CI108" s="802"/>
      <c r="CJ108" s="802"/>
      <c r="CK108" s="802"/>
      <c r="CL108" s="802"/>
      <c r="CM108" s="802"/>
      <c r="CN108" s="802"/>
      <c r="CO108" s="802"/>
      <c r="CP108" s="802"/>
      <c r="CQ108" s="802"/>
      <c r="CR108" s="802"/>
      <c r="CS108" s="802"/>
      <c r="CT108" s="802"/>
      <c r="CU108" s="802"/>
      <c r="CV108" s="802"/>
      <c r="CW108" s="802"/>
      <c r="CX108" s="802"/>
      <c r="CY108" s="802"/>
      <c r="CZ108" s="802"/>
      <c r="DA108" s="802"/>
      <c r="DB108" s="802"/>
      <c r="DC108" s="802"/>
      <c r="DD108" s="802"/>
      <c r="DE108" s="802"/>
      <c r="DF108" s="802"/>
      <c r="DG108" s="802"/>
      <c r="DH108" s="802"/>
      <c r="DI108" s="802"/>
      <c r="DJ108" s="802"/>
      <c r="DK108" s="802"/>
      <c r="DL108" s="802"/>
      <c r="DM108" s="802"/>
      <c r="DN108" s="802"/>
      <c r="DO108" s="802"/>
      <c r="DP108" s="802"/>
      <c r="DQ108" s="802"/>
      <c r="DR108" s="802"/>
      <c r="DS108" s="802"/>
      <c r="DT108" s="802"/>
      <c r="DU108" s="802"/>
      <c r="DV108" s="802"/>
      <c r="DW108" s="802"/>
      <c r="DX108" s="802"/>
      <c r="DY108" s="802"/>
      <c r="DZ108" s="802"/>
      <c r="EA108" s="802"/>
      <c r="EB108" s="802"/>
      <c r="EC108" s="802"/>
      <c r="ED108" s="802"/>
      <c r="EE108" s="802"/>
      <c r="EF108" s="802"/>
      <c r="EG108" s="802"/>
      <c r="EH108" s="802"/>
      <c r="EI108" s="802"/>
      <c r="EJ108" s="802"/>
      <c r="EK108" s="802"/>
      <c r="EL108" s="802"/>
      <c r="EM108" s="802"/>
      <c r="EN108" s="802"/>
      <c r="EO108" s="802"/>
      <c r="EP108" s="802"/>
      <c r="EQ108" s="802"/>
      <c r="ER108" s="802"/>
      <c r="ES108" s="802"/>
      <c r="ET108" s="802"/>
      <c r="EU108" s="802"/>
      <c r="EV108" s="802"/>
      <c r="EW108" s="802"/>
      <c r="EX108" s="802"/>
      <c r="EY108" s="802"/>
      <c r="EZ108" s="802"/>
      <c r="FA108" s="802"/>
      <c r="FB108" s="802"/>
      <c r="FC108" s="802"/>
      <c r="FD108" s="802"/>
      <c r="FE108" s="802"/>
      <c r="FF108" s="802"/>
      <c r="FG108" s="802"/>
      <c r="FH108" s="802"/>
      <c r="FI108" s="802"/>
      <c r="FJ108" s="802"/>
      <c r="FK108" s="802"/>
      <c r="FL108" s="802"/>
      <c r="FM108" s="802"/>
      <c r="FN108" s="802"/>
      <c r="FO108" s="802"/>
      <c r="FP108" s="802"/>
    </row>
    <row r="109" spans="1:184" s="216" customFormat="1" ht="14.25" customHeight="1" outlineLevel="1">
      <c r="A109" s="1006"/>
      <c r="B109" s="1006"/>
      <c r="C109" s="1007"/>
      <c r="D109" s="235"/>
      <c r="E109" s="235">
        <v>303030</v>
      </c>
      <c r="F109" s="268">
        <v>39</v>
      </c>
      <c r="G109" s="199" t="s">
        <v>730</v>
      </c>
      <c r="H109" s="200" t="s">
        <v>731</v>
      </c>
      <c r="I109" s="201" t="s">
        <v>11</v>
      </c>
      <c r="J109" s="203">
        <v>6200</v>
      </c>
      <c r="K109" s="203">
        <v>1300</v>
      </c>
      <c r="L109" s="202">
        <f t="shared" ref="L109" si="2433">+J109+K109</f>
        <v>7500</v>
      </c>
      <c r="M109" s="203">
        <v>10</v>
      </c>
      <c r="N109" s="972">
        <v>0.4</v>
      </c>
      <c r="O109" s="820">
        <v>0.45</v>
      </c>
      <c r="P109" s="820">
        <v>0.15</v>
      </c>
      <c r="Q109" s="204">
        <v>0</v>
      </c>
      <c r="R109" s="867">
        <v>0</v>
      </c>
      <c r="S109" s="204">
        <f t="shared" ref="S109" si="2434">SUM(N109:R109)</f>
        <v>1</v>
      </c>
      <c r="T109" s="814" t="s">
        <v>771</v>
      </c>
      <c r="U109" s="206"/>
      <c r="V109" s="203">
        <f t="shared" ref="V109" si="2435">($J109/30/8*1.5)*U109</f>
        <v>0</v>
      </c>
      <c r="W109" s="207"/>
      <c r="X109" s="203">
        <f t="shared" ref="X109" si="2436">($J109/30/8*2)*W109</f>
        <v>0</v>
      </c>
      <c r="Y109" s="207"/>
      <c r="Z109" s="203">
        <f t="shared" ref="Z109" si="2437">($J109/30/8*1.5)*Y109</f>
        <v>0</v>
      </c>
      <c r="AA109" s="207"/>
      <c r="AB109" s="203">
        <f t="shared" ref="AB109" si="2438">($J109/30/8*2)*AA109</f>
        <v>0</v>
      </c>
      <c r="AC109" s="207"/>
      <c r="AD109" s="203">
        <f t="shared" ref="AD109" si="2439">(($J109/30/8)*1.5)*AC109</f>
        <v>0</v>
      </c>
      <c r="AE109" s="208"/>
      <c r="AF109" s="203">
        <f t="shared" ref="AF109" si="2440">(($J109/30/8)*2)*AE109</f>
        <v>0</v>
      </c>
      <c r="AG109" s="208"/>
      <c r="AH109" s="203">
        <f t="shared" ref="AH109" si="2441">(($J109/30/8)*1.5)*AG109</f>
        <v>0</v>
      </c>
      <c r="AI109" s="208"/>
      <c r="AJ109" s="203">
        <f t="shared" ref="AJ109" si="2442">(($J109/30/8)*2)*AI109</f>
        <v>0</v>
      </c>
      <c r="AK109" s="203"/>
      <c r="AL109" s="203">
        <f t="shared" ref="AL109" si="2443">(($J109/30/8)*1.5)*AK109</f>
        <v>0</v>
      </c>
      <c r="AM109" s="208"/>
      <c r="AN109" s="203">
        <f t="shared" ref="AN109" si="2444">(($J109/30/8)*2)*AM109</f>
        <v>0</v>
      </c>
      <c r="AO109" s="202"/>
      <c r="AP109" s="202"/>
      <c r="AQ109" s="202"/>
      <c r="AR109" s="202"/>
      <c r="AS109" s="202"/>
      <c r="AT109" s="202"/>
      <c r="AU109" s="202"/>
      <c r="AV109" s="202"/>
      <c r="AW109" s="202"/>
      <c r="AX109" s="202"/>
      <c r="AY109" s="202"/>
      <c r="AZ109" s="212"/>
      <c r="BA109" s="203">
        <f>((J109/30)*M109)*$N109</f>
        <v>826.66666666666663</v>
      </c>
      <c r="BB109" s="203">
        <f>((K109/30)*M109)*$N109</f>
        <v>173.33333333333337</v>
      </c>
      <c r="BC109" s="203">
        <f t="shared" ref="BC109" si="2445">U109</f>
        <v>0</v>
      </c>
      <c r="BD109" s="203">
        <f t="shared" ref="BD109" si="2446">V109</f>
        <v>0</v>
      </c>
      <c r="BE109" s="203">
        <f t="shared" ref="BE109" si="2447">W109</f>
        <v>0</v>
      </c>
      <c r="BF109" s="203">
        <f t="shared" ref="BF109" si="2448">X109</f>
        <v>0</v>
      </c>
      <c r="BG109" s="203">
        <f>AO109+AT109</f>
        <v>0</v>
      </c>
      <c r="BH109" s="203">
        <f t="shared" ref="BH109" si="2449">(BA109+BD109+BF109+BG109)*0.1267</f>
        <v>104.73866666666667</v>
      </c>
      <c r="BI109" s="203">
        <f t="shared" ref="BI109" si="2450">SUM(BA109:BH109)-BC109-BE109</f>
        <v>1104.7386666666666</v>
      </c>
      <c r="BJ109" s="203">
        <f t="shared" ref="BJ109:BJ110" si="2451">(($J109/30)*$M109)*$O109</f>
        <v>930</v>
      </c>
      <c r="BK109" s="203">
        <f>(($K109/30)*$M109)*$O109</f>
        <v>195.00000000000003</v>
      </c>
      <c r="BL109" s="203">
        <f t="shared" ref="BL109" si="2452">Y109</f>
        <v>0</v>
      </c>
      <c r="BM109" s="203">
        <f t="shared" ref="BM109" si="2453">Z109</f>
        <v>0</v>
      </c>
      <c r="BN109" s="203">
        <f t="shared" ref="BN109" si="2454">AA109</f>
        <v>0</v>
      </c>
      <c r="BO109" s="203">
        <f t="shared" ref="BO109" si="2455">AB109</f>
        <v>0</v>
      </c>
      <c r="BP109" s="203">
        <f t="shared" ref="BP109" si="2456">AP109+AU109</f>
        <v>0</v>
      </c>
      <c r="BQ109" s="203">
        <f t="shared" ref="BQ109" si="2457">(+BJ109+BM109+BO109+BP109)*0.1267</f>
        <v>117.831</v>
      </c>
      <c r="BR109" s="202">
        <f t="shared" ref="BR109" si="2458">SUM(BJ109:BQ109)-BL109-BN109</f>
        <v>1242.8309999999999</v>
      </c>
      <c r="BS109" s="203">
        <f t="shared" ref="BS109:BS110" si="2459">(($J109/30)*$M109)*$P109</f>
        <v>309.99999999999994</v>
      </c>
      <c r="BT109" s="203">
        <f t="shared" ref="BT109:BT110" si="2460">(($K109/30)*$M109)*$P109</f>
        <v>65</v>
      </c>
      <c r="BU109" s="203">
        <f t="shared" ref="BU109" si="2461">AC109</f>
        <v>0</v>
      </c>
      <c r="BV109" s="203">
        <f t="shared" ref="BV109" si="2462">AD109</f>
        <v>0</v>
      </c>
      <c r="BW109" s="203">
        <f t="shared" ref="BW109" si="2463">AE109</f>
        <v>0</v>
      </c>
      <c r="BX109" s="203">
        <f t="shared" ref="BX109" si="2464">AF109</f>
        <v>0</v>
      </c>
      <c r="BY109" s="203">
        <f t="shared" ref="BY109" si="2465">AQ109+AV109</f>
        <v>0</v>
      </c>
      <c r="BZ109" s="203">
        <f t="shared" ref="BZ109" si="2466">(BS109+BV109+BX109+BY109)*0.1267</f>
        <v>39.276999999999994</v>
      </c>
      <c r="CA109" s="203">
        <f t="shared" ref="CA109" si="2467">SUM(BS109:BZ109)-BU109-BW109</f>
        <v>414.27699999999993</v>
      </c>
      <c r="CB109" s="241">
        <f>(($J109/30)*$M109)*$Q109</f>
        <v>0</v>
      </c>
      <c r="CC109" s="242">
        <f>(($K109/30)*$M109)*$Q109</f>
        <v>0</v>
      </c>
      <c r="CD109" s="242">
        <f t="shared" ref="CD109" si="2468">AG109</f>
        <v>0</v>
      </c>
      <c r="CE109" s="242">
        <f t="shared" ref="CE109" si="2469">AH109</f>
        <v>0</v>
      </c>
      <c r="CF109" s="242">
        <f t="shared" ref="CF109" si="2470">AI109</f>
        <v>0</v>
      </c>
      <c r="CG109" s="242">
        <f t="shared" ref="CG109" si="2471">AJ109</f>
        <v>0</v>
      </c>
      <c r="CH109" s="242">
        <f t="shared" ref="CH109" si="2472">AR109+AW109</f>
        <v>0</v>
      </c>
      <c r="CI109" s="703">
        <f t="shared" ref="CI109" si="2473">(CB109+CE109+CG109+CH109)*0.1267</f>
        <v>0</v>
      </c>
      <c r="CJ109" s="242">
        <f>SUM(CB109:CI109)-CD109-CF109</f>
        <v>0</v>
      </c>
      <c r="CK109" s="242">
        <f t="shared" ref="CK109" si="2474">(($J109/30)*$M109)*R109</f>
        <v>0</v>
      </c>
      <c r="CL109" s="242">
        <f t="shared" ref="CL109:CL110" si="2475">(($K109/30)*$M109)*$R109</f>
        <v>0</v>
      </c>
      <c r="CM109" s="242">
        <f t="shared" ref="CM109" si="2476">+AK109</f>
        <v>0</v>
      </c>
      <c r="CN109" s="242">
        <f t="shared" ref="CN109" si="2477">AL109</f>
        <v>0</v>
      </c>
      <c r="CO109" s="242">
        <f t="shared" ref="CO109" si="2478">AM109</f>
        <v>0</v>
      </c>
      <c r="CP109" s="242">
        <f t="shared" ref="CP109" si="2479">AN109</f>
        <v>0</v>
      </c>
      <c r="CQ109" s="242">
        <f t="shared" ref="CQ109" si="2480">AS109+AX109</f>
        <v>0</v>
      </c>
      <c r="CR109" s="242">
        <f t="shared" ref="CR109" si="2481">(CK109+CN109+CP109)*0.1267</f>
        <v>0</v>
      </c>
      <c r="CS109" s="243">
        <f t="shared" ref="CS109" si="2482">SUM(CK109:CR109)-CM109-CO109</f>
        <v>0</v>
      </c>
      <c r="CU109" s="201" t="s">
        <v>11</v>
      </c>
      <c r="CV109" s="203">
        <f t="shared" ref="CV109:CV110" si="2483">IF($CU109="PROQUIMA",$BA109+$BJ109+$BS109+$CB109+$CK109,0)</f>
        <v>0</v>
      </c>
      <c r="CW109" s="203">
        <f t="shared" ref="CW109:CW110" si="2484">IF($CU109="PROQUIMA",$BB109+$BK109+$BT109+$CC109+$CL109,0)</f>
        <v>0</v>
      </c>
      <c r="CX109" s="203">
        <f t="shared" ref="CX109:CX110" si="2485">IF($CU109="PROQUIMA",$BC109+$BL109+$BU109+$CD109+$CM109,0)</f>
        <v>0</v>
      </c>
      <c r="CY109" s="203">
        <f t="shared" ref="CY109:CY110" si="2486">IF($CU109="PROQUIMA",$BD109+$BM109+$BV109+$CE109+$CN109,0)</f>
        <v>0</v>
      </c>
      <c r="CZ109" s="203">
        <f t="shared" ref="CZ109:CZ110" si="2487">IF($CU109="PROQUIMA",$BE109+$BN109+$BW109+$CF109+$CO109,0)</f>
        <v>0</v>
      </c>
      <c r="DA109" s="203">
        <f t="shared" ref="DA109:DA110" si="2488">IF($CU109="PROQUIMA",$BF109+$BO109+$BX109+$CG109+$CP109,0)</f>
        <v>0</v>
      </c>
      <c r="DB109" s="203">
        <f t="shared" ref="DB109:DB110" si="2489">IF($CU109="PROQUIMA",$BG109+$BP109+$BY109+$CH109+$CQ109,0)</f>
        <v>0</v>
      </c>
      <c r="DC109" s="203">
        <f t="shared" ref="DC109" si="2490">IF($CU109="PROQUIMA",$BH109+$BQ109+$BZ109+$CI109+CR109,0)</f>
        <v>0</v>
      </c>
      <c r="DD109" s="203">
        <f t="shared" ref="DD109" si="2491">SUM(CV109:DC109)-CX109-CZ109</f>
        <v>0</v>
      </c>
      <c r="DE109" s="203">
        <f t="shared" ref="DE109:DE110" si="2492">IF($CU109="UNHESA",$BA109+$BJ109+$BS109+$CB109+$CK109,0)</f>
        <v>0</v>
      </c>
      <c r="DF109" s="203">
        <f t="shared" ref="DF109:DF110" si="2493">IF($CU109="UNHESA",$BB109+$BK109+$BT109+$CC109+$CL109,0)</f>
        <v>0</v>
      </c>
      <c r="DG109" s="239">
        <f t="shared" ref="DG109:DG110" si="2494">IF($CU109="UNHESA",$BC109+$BL109+$BU109+$CD109+$CM109,0)</f>
        <v>0</v>
      </c>
      <c r="DH109" s="239">
        <f t="shared" ref="DH109:DH110" si="2495">IF($CU109="UNHESA",$BD109+$BM109+$BV109+$CE109+$CN109,0)</f>
        <v>0</v>
      </c>
      <c r="DI109" s="239">
        <f t="shared" ref="DI109:DI110" si="2496">IF($CU109="UNHESA",$BE109+$BN109+$BW109+$CF109+$CO109,0)</f>
        <v>0</v>
      </c>
      <c r="DJ109" s="203">
        <f t="shared" ref="DJ109:DJ110" si="2497">IF($CU109="UNHESA",$BF109+$BO109+$BX109+$CG109+$CP109,0)</f>
        <v>0</v>
      </c>
      <c r="DK109" s="203">
        <f t="shared" ref="DK109:DK110" si="2498">IF($CU109="UNHESA",$BG109+$BP109+$BY109+$CH109+$CQ109,0)</f>
        <v>0</v>
      </c>
      <c r="DL109" s="203">
        <f t="shared" ref="DL109:DL110" si="2499">IF($CU109="UNHESA",$BH109+$BQ109+$BZ109+$CI109+$CR109,0)</f>
        <v>0</v>
      </c>
      <c r="DM109" s="203">
        <f t="shared" ref="DM109" si="2500">SUM(DE109:DL109)-DG109-DI109</f>
        <v>0</v>
      </c>
      <c r="DN109" s="210">
        <f t="shared" ref="DN109:DN110" si="2501">IF($CU109="UNHESA LIQUIDOS",$BA109+$BJ109+$BS109+$CB109+$CK109,0)</f>
        <v>0</v>
      </c>
      <c r="DO109" s="210">
        <f t="shared" ref="DO109:DO110" si="2502">IF($CU109="UNHESA LIQUIDOS",$BB109+$BK109+$BT109+$CC109+$CL109,0)</f>
        <v>0</v>
      </c>
      <c r="DP109" s="210">
        <f t="shared" ref="DP109:DP110" si="2503">IF($CU109="UNHESA LIQUIDOS",$BC109+$BL109+$BU109+$CD109+$CM109,0)</f>
        <v>0</v>
      </c>
      <c r="DQ109" s="210">
        <f t="shared" ref="DQ109:DQ110" si="2504">IF($CU109="UNHESA LIQUIDOS",$BD109+$BM109+$BV109+$CE109+$CN109,0)</f>
        <v>0</v>
      </c>
      <c r="DR109" s="210">
        <f t="shared" ref="DR109:DR110" si="2505">IF($CU109="UNHESA LIQUIDOS",$BE109+$BN109+$BW109+$CF109+$CO109,0)</f>
        <v>0</v>
      </c>
      <c r="DS109" s="210">
        <f t="shared" ref="DS109:DS110" si="2506">IF($CU109="UNHESA LIQUIDOS",$BF109+$BO109+$BX109+$CG109+$CP109,0)</f>
        <v>0</v>
      </c>
      <c r="DT109" s="210">
        <f t="shared" ref="DT109:DT110" si="2507">IF($CU109="UNHESA LIQUIDOS",$BG109+$BP109+$BY109+$CH109+$CQ109,0)</f>
        <v>0</v>
      </c>
      <c r="DU109" s="210">
        <f t="shared" ref="DU109:DU110" si="2508">IF($CU109="UNHESA LIQUIDOS",$BH109+$BQ109+$BZ109+$CI109+$CR109,0)</f>
        <v>0</v>
      </c>
      <c r="DV109" s="210">
        <f t="shared" ref="DV109" si="2509">SUM(DN109:DU109)-DP109-DR109</f>
        <v>0</v>
      </c>
      <c r="DW109" s="241">
        <f>IF($CU109="CLEARTEC",$BA109+$BJ109+$BS109+$CB109+$CK109,0)</f>
        <v>0</v>
      </c>
      <c r="DX109" s="241">
        <f t="shared" ref="DX109:ED110" si="2510">IF($CU109="CLEARTEC",$BA109+$BJ109+$BS109+$CB109+$CK109,0)</f>
        <v>0</v>
      </c>
      <c r="DY109" s="241">
        <f t="shared" si="2510"/>
        <v>0</v>
      </c>
      <c r="DZ109" s="241">
        <f t="shared" si="2510"/>
        <v>0</v>
      </c>
      <c r="EA109" s="241">
        <f t="shared" si="2510"/>
        <v>0</v>
      </c>
      <c r="EB109" s="241">
        <f t="shared" si="2510"/>
        <v>0</v>
      </c>
      <c r="EC109" s="241">
        <f t="shared" si="2510"/>
        <v>0</v>
      </c>
      <c r="ED109" s="241">
        <f t="shared" si="2510"/>
        <v>0</v>
      </c>
      <c r="EE109" s="242">
        <f t="shared" ref="EE109" si="2511">SUM(DW109:ED109)-DY109-EA109</f>
        <v>0</v>
      </c>
      <c r="EF109" s="203">
        <f t="shared" ref="EF109" si="2512">IF(CU109="ECONACIONAL",$BA109+$BJ109+$BS109+$CB109+$CK109)</f>
        <v>2066.6666666666665</v>
      </c>
      <c r="EG109" s="242">
        <f t="shared" ref="EG109:EG113" si="2513">IF($CU109="ECONACIONAL",$BB109+$BK109+$BT109+$CC109+$CL109,0)</f>
        <v>433.33333333333337</v>
      </c>
      <c r="EH109" s="203">
        <f t="shared" ref="EH109" si="2514">IF(CU109="ECONACIONAL",$BC109+$BL109+$BU109+$CD109+$CM109)</f>
        <v>0</v>
      </c>
      <c r="EI109" s="203">
        <f t="shared" ref="EI109" si="2515">IF(CU109="ECONACIONAL",$BD109+$DH109+$DQ109+$DZ109+BM109+BV109+CE109+CN109)</f>
        <v>0</v>
      </c>
      <c r="EJ109" s="242">
        <f t="shared" ref="EJ109:EJ113" si="2516">IF($CU109="CLEARTEC",$BE109+$BN109+$BW109+$CF109+$CO109,0)</f>
        <v>0</v>
      </c>
      <c r="EK109" s="203">
        <f t="shared" ref="EK109" si="2517">IF(CU109="ECONACIONAL",$BF109+$BO109+$BX109+$CG109+$CP109)</f>
        <v>0</v>
      </c>
      <c r="EL109" s="203">
        <f t="shared" ref="EL109" si="2518">IF(CU109="ECONACIONAL",$BG109+$BP109+$BY109+$CH109+$CQ109)</f>
        <v>0</v>
      </c>
      <c r="EM109" s="203">
        <f t="shared" ref="EM109" si="2519">IF(CU109="ECONACIONAL",BH109+BQ109+BZ109+CI109+CR109)</f>
        <v>261.84666666666669</v>
      </c>
      <c r="EN109" s="203">
        <f t="shared" ref="EN109" si="2520">SUM(EF109:EM109)-EH109-EJ109</f>
        <v>2761.8466666666668</v>
      </c>
      <c r="EP109" s="852"/>
      <c r="EQ109" s="852"/>
      <c r="ER109" s="852"/>
      <c r="ES109" s="201"/>
      <c r="ET109" s="201"/>
      <c r="EU109" s="201"/>
      <c r="EV109" s="201">
        <v>350</v>
      </c>
      <c r="EW109" s="201"/>
      <c r="EX109" s="201"/>
      <c r="EY109" s="201">
        <f t="shared" ref="EY109" si="2521">+ET109+EU109+EV109</f>
        <v>350</v>
      </c>
      <c r="EZ109" s="821"/>
      <c r="FA109" s="207">
        <f t="shared" ref="FA109" si="2522">IF($M109&lt;=15,EP109/2,EP109)</f>
        <v>0</v>
      </c>
      <c r="FB109" s="207">
        <f t="shared" ref="FB109" si="2523">IF($M109&lt;=15,EQ109/2,EQ109)</f>
        <v>0</v>
      </c>
      <c r="FC109" s="207">
        <f t="shared" ref="FC109" si="2524">IF($M109&lt;=15,ER109/2,ER109)</f>
        <v>0</v>
      </c>
      <c r="FD109" s="207">
        <f t="shared" ref="FD109" si="2525">IF($M109&lt;=15,ES109/2,ES109)</f>
        <v>0</v>
      </c>
      <c r="FE109" s="207">
        <f t="shared" ref="FE109" si="2526">IF($M109&lt;=15,ET109/2,ET109)</f>
        <v>0</v>
      </c>
      <c r="FF109" s="207">
        <f t="shared" ref="FF109" si="2527">IF($M109&lt;=15,EU109/2,EU109)</f>
        <v>0</v>
      </c>
      <c r="FG109" s="207">
        <f t="shared" ref="FG109" si="2528">IF($M109&lt;=15,EV109/2,EV109)</f>
        <v>175</v>
      </c>
      <c r="FH109" s="207">
        <f t="shared" ref="FH109" si="2529">IF($M109&lt;=15,EW109/2,EW109)</f>
        <v>0</v>
      </c>
      <c r="FI109" s="207">
        <f t="shared" ref="FI109" si="2530">IF($M109&lt;=15,EX109/2,EX109)</f>
        <v>0</v>
      </c>
      <c r="FJ109" s="207">
        <f>IF($M109&lt;=15,EY109/2,EY109)</f>
        <v>175</v>
      </c>
      <c r="FK109" s="217"/>
      <c r="FL109" s="217"/>
      <c r="FM109" s="217"/>
      <c r="FN109" s="217"/>
      <c r="FO109" s="217"/>
      <c r="FP109" s="217"/>
    </row>
    <row r="110" spans="1:184" s="216" customFormat="1" ht="14.25" customHeight="1" outlineLevel="1">
      <c r="A110" s="1006"/>
      <c r="B110" s="1006"/>
      <c r="C110" s="1007"/>
      <c r="D110" s="235"/>
      <c r="E110" s="235"/>
      <c r="F110" s="268"/>
      <c r="G110" s="956" t="s">
        <v>772</v>
      </c>
      <c r="H110" s="200" t="s">
        <v>773</v>
      </c>
      <c r="I110" s="201" t="s">
        <v>11</v>
      </c>
      <c r="J110" s="203">
        <v>4250</v>
      </c>
      <c r="K110" s="203">
        <v>750</v>
      </c>
      <c r="L110" s="202">
        <f t="shared" ref="L110" si="2531">+J110+K110</f>
        <v>5000</v>
      </c>
      <c r="M110" s="203">
        <v>27</v>
      </c>
      <c r="N110" s="972">
        <v>0.4</v>
      </c>
      <c r="O110" s="820">
        <v>0.45</v>
      </c>
      <c r="P110" s="820">
        <v>0.15</v>
      </c>
      <c r="Q110" s="204">
        <v>0</v>
      </c>
      <c r="R110" s="867">
        <v>0</v>
      </c>
      <c r="S110" s="204">
        <f t="shared" ref="S110" si="2532">SUM(N110:R110)</f>
        <v>1</v>
      </c>
      <c r="T110" s="814" t="s">
        <v>774</v>
      </c>
      <c r="U110" s="206"/>
      <c r="V110" s="203">
        <f t="shared" ref="V110" si="2533">($J110/30/8*1.5)*U110</f>
        <v>0</v>
      </c>
      <c r="W110" s="207"/>
      <c r="X110" s="203">
        <f t="shared" ref="X110" si="2534">($J110/30/8*2)*W110</f>
        <v>0</v>
      </c>
      <c r="Y110" s="207"/>
      <c r="Z110" s="203">
        <f t="shared" ref="Z110" si="2535">($J110/30/8*1.5)*Y110</f>
        <v>0</v>
      </c>
      <c r="AA110" s="207"/>
      <c r="AB110" s="203">
        <f t="shared" ref="AB110" si="2536">($J110/30/8*2)*AA110</f>
        <v>0</v>
      </c>
      <c r="AC110" s="207"/>
      <c r="AD110" s="203">
        <f t="shared" ref="AD110" si="2537">(($J110/30/8)*1.5)*AC110</f>
        <v>0</v>
      </c>
      <c r="AE110" s="208"/>
      <c r="AF110" s="203">
        <f t="shared" ref="AF110" si="2538">(($J110/30/8)*2)*AE110</f>
        <v>0</v>
      </c>
      <c r="AG110" s="208"/>
      <c r="AH110" s="203">
        <f t="shared" ref="AH110" si="2539">(($J110/30/8)*1.5)*AG110</f>
        <v>0</v>
      </c>
      <c r="AI110" s="208"/>
      <c r="AJ110" s="203">
        <f t="shared" ref="AJ110" si="2540">(($J110/30/8)*2)*AI110</f>
        <v>0</v>
      </c>
      <c r="AK110" s="203"/>
      <c r="AL110" s="203">
        <f t="shared" ref="AL110" si="2541">(($J110/30/8)*1.5)*AK110</f>
        <v>0</v>
      </c>
      <c r="AM110" s="208"/>
      <c r="AN110" s="203">
        <f t="shared" ref="AN110" si="2542">(($J110/30/8)*2)*AM110</f>
        <v>0</v>
      </c>
      <c r="AO110" s="202"/>
      <c r="AP110" s="202"/>
      <c r="AQ110" s="202"/>
      <c r="AR110" s="202"/>
      <c r="AS110" s="202"/>
      <c r="AT110" s="202"/>
      <c r="AU110" s="202"/>
      <c r="AV110" s="202"/>
      <c r="AW110" s="202"/>
      <c r="AX110" s="202"/>
      <c r="AY110" s="202"/>
      <c r="AZ110" s="212"/>
      <c r="BA110" s="203">
        <f>((J110/30)*M110)*$N110</f>
        <v>1530</v>
      </c>
      <c r="BB110" s="203">
        <f>((K110/30)*M110)*$N110</f>
        <v>270</v>
      </c>
      <c r="BC110" s="203">
        <f t="shared" ref="BC110" si="2543">U110</f>
        <v>0</v>
      </c>
      <c r="BD110" s="203">
        <f t="shared" ref="BD110" si="2544">V110</f>
        <v>0</v>
      </c>
      <c r="BE110" s="203">
        <f t="shared" ref="BE110" si="2545">W110</f>
        <v>0</v>
      </c>
      <c r="BF110" s="203">
        <f t="shared" ref="BF110" si="2546">X110</f>
        <v>0</v>
      </c>
      <c r="BG110" s="203">
        <f>AO110+AT110</f>
        <v>0</v>
      </c>
      <c r="BH110" s="203">
        <f t="shared" ref="BH110" si="2547">(BA110+BD110+BF110+BG110)*0.1267</f>
        <v>193.851</v>
      </c>
      <c r="BI110" s="203">
        <f t="shared" ref="BI110" si="2548">SUM(BA110:BH110)-BC110-BE110</f>
        <v>1993.8510000000001</v>
      </c>
      <c r="BJ110" s="203">
        <f t="shared" si="2451"/>
        <v>1721.2499999999998</v>
      </c>
      <c r="BK110" s="203">
        <f>(($K110/30)*$M110)*$O110</f>
        <v>303.75</v>
      </c>
      <c r="BL110" s="203">
        <f t="shared" ref="BL110" si="2549">Y110</f>
        <v>0</v>
      </c>
      <c r="BM110" s="203">
        <f t="shared" ref="BM110" si="2550">Z110</f>
        <v>0</v>
      </c>
      <c r="BN110" s="203">
        <f t="shared" ref="BN110" si="2551">AA110</f>
        <v>0</v>
      </c>
      <c r="BO110" s="203">
        <f t="shared" ref="BO110" si="2552">AB110</f>
        <v>0</v>
      </c>
      <c r="BP110" s="203">
        <f t="shared" ref="BP110" si="2553">AP110+AU110</f>
        <v>0</v>
      </c>
      <c r="BQ110" s="203">
        <f t="shared" ref="BQ110" si="2554">(+BJ110+BM110+BO110+BP110)*0.1267</f>
        <v>218.08237499999998</v>
      </c>
      <c r="BR110" s="202">
        <f t="shared" ref="BR110" si="2555">SUM(BJ110:BQ110)-BL110-BN110</f>
        <v>2243.082375</v>
      </c>
      <c r="BS110" s="203">
        <f t="shared" si="2459"/>
        <v>573.74999999999989</v>
      </c>
      <c r="BT110" s="203">
        <f t="shared" si="2460"/>
        <v>101.25</v>
      </c>
      <c r="BU110" s="203">
        <f t="shared" ref="BU110" si="2556">AC110</f>
        <v>0</v>
      </c>
      <c r="BV110" s="203">
        <f t="shared" ref="BV110" si="2557">AD110</f>
        <v>0</v>
      </c>
      <c r="BW110" s="203">
        <f t="shared" ref="BW110" si="2558">AE110</f>
        <v>0</v>
      </c>
      <c r="BX110" s="203">
        <f t="shared" ref="BX110" si="2559">AF110</f>
        <v>0</v>
      </c>
      <c r="BY110" s="203">
        <f t="shared" ref="BY110" si="2560">AQ110+AV110</f>
        <v>0</v>
      </c>
      <c r="BZ110" s="203">
        <f t="shared" ref="BZ110" si="2561">(BS110+BV110+BX110+BY110)*0.1267</f>
        <v>72.694124999999985</v>
      </c>
      <c r="CA110" s="203">
        <f t="shared" ref="CA110" si="2562">SUM(BS110:BZ110)-BU110-BW110</f>
        <v>747.69412499999987</v>
      </c>
      <c r="CB110" s="241">
        <f>(($J110/30)*$M110)*$Q110</f>
        <v>0</v>
      </c>
      <c r="CC110" s="242">
        <f>(($K110/30)*$M110)*$Q110</f>
        <v>0</v>
      </c>
      <c r="CD110" s="242">
        <f t="shared" ref="CD110" si="2563">AG110</f>
        <v>0</v>
      </c>
      <c r="CE110" s="242">
        <f t="shared" ref="CE110" si="2564">AH110</f>
        <v>0</v>
      </c>
      <c r="CF110" s="242">
        <f t="shared" ref="CF110" si="2565">AI110</f>
        <v>0</v>
      </c>
      <c r="CG110" s="242">
        <f t="shared" ref="CG110" si="2566">AJ110</f>
        <v>0</v>
      </c>
      <c r="CH110" s="242">
        <f t="shared" ref="CH110" si="2567">AR110+AW110</f>
        <v>0</v>
      </c>
      <c r="CI110" s="703">
        <f t="shared" ref="CI110" si="2568">(CB110+CE110+CG110+CH110)*0.1267</f>
        <v>0</v>
      </c>
      <c r="CJ110" s="242">
        <f>SUM(CB110:CI110)-CD110-CF110</f>
        <v>0</v>
      </c>
      <c r="CK110" s="242">
        <f t="shared" ref="CK110" si="2569">(($J110/30)*$M110)*R110</f>
        <v>0</v>
      </c>
      <c r="CL110" s="242">
        <f t="shared" si="2475"/>
        <v>0</v>
      </c>
      <c r="CM110" s="242">
        <f t="shared" ref="CM110" si="2570">+AK110</f>
        <v>0</v>
      </c>
      <c r="CN110" s="242">
        <f t="shared" ref="CN110" si="2571">AL110</f>
        <v>0</v>
      </c>
      <c r="CO110" s="242">
        <f t="shared" ref="CO110" si="2572">AM110</f>
        <v>0</v>
      </c>
      <c r="CP110" s="242">
        <f t="shared" ref="CP110" si="2573">AN110</f>
        <v>0</v>
      </c>
      <c r="CQ110" s="242">
        <f t="shared" ref="CQ110" si="2574">AS110+AX110</f>
        <v>0</v>
      </c>
      <c r="CR110" s="242">
        <f t="shared" ref="CR110" si="2575">(CK110+CN110+CP110)*0.1267</f>
        <v>0</v>
      </c>
      <c r="CS110" s="243">
        <f t="shared" ref="CS110" si="2576">SUM(CK110:CR110)-CM110-CO110</f>
        <v>0</v>
      </c>
      <c r="CU110" s="201" t="s">
        <v>11</v>
      </c>
      <c r="CV110" s="203">
        <f t="shared" si="2483"/>
        <v>0</v>
      </c>
      <c r="CW110" s="203">
        <f t="shared" si="2484"/>
        <v>0</v>
      </c>
      <c r="CX110" s="203">
        <f t="shared" si="2485"/>
        <v>0</v>
      </c>
      <c r="CY110" s="203">
        <f t="shared" si="2486"/>
        <v>0</v>
      </c>
      <c r="CZ110" s="203">
        <f t="shared" si="2487"/>
        <v>0</v>
      </c>
      <c r="DA110" s="203">
        <f t="shared" si="2488"/>
        <v>0</v>
      </c>
      <c r="DB110" s="203">
        <f t="shared" si="2489"/>
        <v>0</v>
      </c>
      <c r="DC110" s="203">
        <f t="shared" ref="DC110" si="2577">IF($CU110="PROQUIMA",$BH110+$BQ110+$BZ110+$CI110+CR110,0)</f>
        <v>0</v>
      </c>
      <c r="DD110" s="203">
        <f t="shared" ref="DD110" si="2578">SUM(CV110:DC110)-CX110-CZ110</f>
        <v>0</v>
      </c>
      <c r="DE110" s="203">
        <f t="shared" si="2492"/>
        <v>0</v>
      </c>
      <c r="DF110" s="203">
        <f t="shared" si="2493"/>
        <v>0</v>
      </c>
      <c r="DG110" s="239">
        <f t="shared" si="2494"/>
        <v>0</v>
      </c>
      <c r="DH110" s="239">
        <f t="shared" si="2495"/>
        <v>0</v>
      </c>
      <c r="DI110" s="239">
        <f t="shared" si="2496"/>
        <v>0</v>
      </c>
      <c r="DJ110" s="203">
        <f t="shared" si="2497"/>
        <v>0</v>
      </c>
      <c r="DK110" s="203">
        <f t="shared" si="2498"/>
        <v>0</v>
      </c>
      <c r="DL110" s="203">
        <f t="shared" si="2499"/>
        <v>0</v>
      </c>
      <c r="DM110" s="203">
        <f t="shared" ref="DM110" si="2579">SUM(DE110:DL110)-DG110-DI110</f>
        <v>0</v>
      </c>
      <c r="DN110" s="210">
        <f t="shared" si="2501"/>
        <v>0</v>
      </c>
      <c r="DO110" s="210">
        <f t="shared" si="2502"/>
        <v>0</v>
      </c>
      <c r="DP110" s="210">
        <f t="shared" si="2503"/>
        <v>0</v>
      </c>
      <c r="DQ110" s="210">
        <f t="shared" si="2504"/>
        <v>0</v>
      </c>
      <c r="DR110" s="210">
        <f t="shared" si="2505"/>
        <v>0</v>
      </c>
      <c r="DS110" s="210">
        <f t="shared" si="2506"/>
        <v>0</v>
      </c>
      <c r="DT110" s="210">
        <f t="shared" si="2507"/>
        <v>0</v>
      </c>
      <c r="DU110" s="210">
        <f t="shared" si="2508"/>
        <v>0</v>
      </c>
      <c r="DV110" s="210">
        <f t="shared" ref="DV110" si="2580">SUM(DN110:DU110)-DP110-DR110</f>
        <v>0</v>
      </c>
      <c r="DW110" s="241">
        <f>IF($CU110="CLEARTEC",$BA110+$BJ110+$BS110+$CB110+$CK110,0)</f>
        <v>0</v>
      </c>
      <c r="DX110" s="241">
        <f t="shared" si="2510"/>
        <v>0</v>
      </c>
      <c r="DY110" s="241">
        <f t="shared" si="2510"/>
        <v>0</v>
      </c>
      <c r="DZ110" s="241">
        <f t="shared" si="2510"/>
        <v>0</v>
      </c>
      <c r="EA110" s="241">
        <f t="shared" si="2510"/>
        <v>0</v>
      </c>
      <c r="EB110" s="241">
        <f t="shared" si="2510"/>
        <v>0</v>
      </c>
      <c r="EC110" s="241">
        <f t="shared" si="2510"/>
        <v>0</v>
      </c>
      <c r="ED110" s="241">
        <f t="shared" si="2510"/>
        <v>0</v>
      </c>
      <c r="EE110" s="242">
        <f t="shared" ref="EE110" si="2581">SUM(DW110:ED110)-DY110-EA110</f>
        <v>0</v>
      </c>
      <c r="EF110" s="203">
        <f t="shared" ref="EF110" si="2582">IF(CU110="ECONACIONAL",$BA110+$BJ110+$BS110+$CB110+$CK110)</f>
        <v>3825</v>
      </c>
      <c r="EG110" s="242">
        <f t="shared" si="2513"/>
        <v>675</v>
      </c>
      <c r="EH110" s="203">
        <f t="shared" ref="EH110" si="2583">IF(CU110="ECONACIONAL",$BC110+$BL110+$BU110+$CD110+$CM110)</f>
        <v>0</v>
      </c>
      <c r="EI110" s="203">
        <f t="shared" ref="EI110" si="2584">IF(CU110="ECONACIONAL",$BD110+$DH110+$DQ110+$DZ110+BM110+BV110+CE110+CN110)</f>
        <v>0</v>
      </c>
      <c r="EJ110" s="242">
        <f t="shared" si="2516"/>
        <v>0</v>
      </c>
      <c r="EK110" s="203">
        <f t="shared" ref="EK110" si="2585">IF(CU110="ECONACIONAL",$BF110+$BO110+$BX110+$CG110+$CP110)</f>
        <v>0</v>
      </c>
      <c r="EL110" s="203">
        <f t="shared" ref="EL110" si="2586">IF(CU110="ECONACIONAL",$BG110+$BP110+$BY110+$CH110+$CQ110)</f>
        <v>0</v>
      </c>
      <c r="EM110" s="203">
        <f t="shared" ref="EM110" si="2587">IF(CU110="ECONACIONAL",BH110+BQ110+BZ110+CI110+CR110)</f>
        <v>484.62749999999994</v>
      </c>
      <c r="EN110" s="203">
        <f t="shared" ref="EN110" si="2588">SUM(EF110:EM110)-EH110-EJ110</f>
        <v>4984.6274999999996</v>
      </c>
      <c r="EP110" s="852"/>
      <c r="EQ110" s="852"/>
      <c r="ER110" s="852"/>
      <c r="ES110" s="201"/>
      <c r="ET110" s="201"/>
      <c r="EU110" s="201"/>
      <c r="EV110" s="201"/>
      <c r="EW110" s="201"/>
      <c r="EX110" s="201"/>
      <c r="EY110" s="201">
        <f t="shared" ref="EY110" si="2589">+ET110+EU110+EV110</f>
        <v>0</v>
      </c>
      <c r="EZ110" s="821"/>
      <c r="FA110" s="207">
        <f t="shared" ref="FA110" si="2590">IF($M110&lt;=15,EP110/2,EP110)</f>
        <v>0</v>
      </c>
      <c r="FB110" s="207">
        <f t="shared" ref="FB110" si="2591">IF($M110&lt;=15,EQ110/2,EQ110)</f>
        <v>0</v>
      </c>
      <c r="FC110" s="207">
        <f t="shared" ref="FC110" si="2592">IF($M110&lt;=15,ER110/2,ER110)</f>
        <v>0</v>
      </c>
      <c r="FD110" s="207">
        <f t="shared" ref="FD110" si="2593">IF($M110&lt;=15,ES110/2,ES110)</f>
        <v>0</v>
      </c>
      <c r="FE110" s="207">
        <f t="shared" ref="FE110" si="2594">IF($M110&lt;=15,ET110/2,ET110)</f>
        <v>0</v>
      </c>
      <c r="FF110" s="207">
        <f t="shared" ref="FF110" si="2595">IF($M110&lt;=15,EU110/2,EU110)</f>
        <v>0</v>
      </c>
      <c r="FG110" s="207">
        <f t="shared" ref="FG110" si="2596">IF($M110&lt;=15,EV110/2,EV110)</f>
        <v>0</v>
      </c>
      <c r="FH110" s="207">
        <f t="shared" ref="FH110" si="2597">IF($M110&lt;=15,EW110/2,EW110)</f>
        <v>0</v>
      </c>
      <c r="FI110" s="207">
        <f t="shared" ref="FI110" si="2598">IF($M110&lt;=15,EX110/2,EX110)</f>
        <v>0</v>
      </c>
      <c r="FJ110" s="207">
        <f>IF($M110&lt;=15,EY110/2,EY110)</f>
        <v>0</v>
      </c>
      <c r="FK110" s="217"/>
      <c r="FL110" s="217"/>
      <c r="FM110" s="217"/>
      <c r="FN110" s="217"/>
      <c r="FO110" s="217"/>
      <c r="FP110" s="217"/>
    </row>
    <row r="111" spans="1:184" s="216" customFormat="1" ht="15" customHeight="1" outlineLevel="1">
      <c r="A111" s="1006" t="str">
        <f t="shared" si="2226"/>
        <v>MAYO  2026 2da QUINCENA</v>
      </c>
      <c r="B111" s="1006">
        <f t="shared" si="2227"/>
        <v>2026</v>
      </c>
      <c r="C111" s="1007" t="str">
        <f t="shared" si="1459"/>
        <v>MAYO  2026 2da QUINCENA2026</v>
      </c>
      <c r="D111" s="235"/>
      <c r="E111" s="235">
        <v>303050</v>
      </c>
      <c r="F111" s="268"/>
      <c r="G111" s="976" t="s">
        <v>755</v>
      </c>
      <c r="H111" s="235"/>
      <c r="J111" s="802"/>
      <c r="K111" s="802"/>
      <c r="L111" s="802"/>
      <c r="M111" s="802"/>
      <c r="N111" s="871"/>
      <c r="O111" s="958"/>
      <c r="P111" s="958"/>
      <c r="Q111" s="959"/>
      <c r="R111" s="959"/>
      <c r="S111" s="958"/>
      <c r="T111" s="701"/>
      <c r="U111" s="960"/>
      <c r="V111" s="802"/>
      <c r="W111" s="961"/>
      <c r="X111" s="802"/>
      <c r="Y111" s="961"/>
      <c r="Z111" s="802"/>
      <c r="AA111" s="961"/>
      <c r="AB111" s="881"/>
      <c r="AC111" s="961"/>
      <c r="AD111" s="802"/>
      <c r="AE111" s="962"/>
      <c r="AF111" s="802"/>
      <c r="AG111" s="973"/>
      <c r="AH111" s="802"/>
      <c r="AI111" s="974"/>
      <c r="AJ111" s="802"/>
      <c r="AK111" s="824"/>
      <c r="AL111" s="824"/>
      <c r="AM111" s="974"/>
      <c r="AN111" s="824"/>
      <c r="AO111" s="828"/>
      <c r="AP111" s="828"/>
      <c r="AQ111" s="828"/>
      <c r="AR111" s="828"/>
      <c r="AS111" s="828"/>
      <c r="AT111" s="828"/>
      <c r="AU111" s="828"/>
      <c r="AV111" s="828"/>
      <c r="AW111" s="828"/>
      <c r="AX111" s="828"/>
      <c r="AY111" s="861"/>
      <c r="AZ111" s="967"/>
      <c r="BA111" s="802"/>
      <c r="BB111" s="881"/>
      <c r="BC111" s="802"/>
      <c r="BD111" s="802"/>
      <c r="BE111" s="802"/>
      <c r="BF111" s="802"/>
      <c r="BG111" s="802"/>
      <c r="BH111" s="802"/>
      <c r="BI111" s="802"/>
      <c r="BJ111" s="802"/>
      <c r="BK111" s="802"/>
      <c r="BL111" s="802"/>
      <c r="BM111" s="802"/>
      <c r="BN111" s="802"/>
      <c r="BO111" s="802"/>
      <c r="BP111" s="802"/>
      <c r="BQ111" s="802"/>
      <c r="BR111" s="861"/>
      <c r="BS111" s="802"/>
      <c r="BT111" s="802"/>
      <c r="BU111" s="802"/>
      <c r="BV111" s="802"/>
      <c r="BW111" s="802"/>
      <c r="BX111" s="802"/>
      <c r="BY111" s="802"/>
      <c r="BZ111" s="802"/>
      <c r="CA111" s="802"/>
      <c r="CB111" s="802"/>
      <c r="CC111" s="802"/>
      <c r="CD111" s="802"/>
      <c r="CE111" s="802"/>
      <c r="CF111" s="802"/>
      <c r="CG111" s="802"/>
      <c r="CH111" s="802"/>
      <c r="CI111" s="802"/>
      <c r="CJ111" s="802"/>
      <c r="CK111" s="824"/>
      <c r="CL111" s="824"/>
      <c r="CM111" s="824"/>
      <c r="CN111" s="824"/>
      <c r="CO111" s="824"/>
      <c r="CP111" s="824"/>
      <c r="CQ111" s="824"/>
      <c r="CR111" s="824"/>
      <c r="CS111" s="824"/>
      <c r="CV111" s="802"/>
      <c r="CW111" s="802"/>
      <c r="CX111" s="802"/>
      <c r="CY111" s="802"/>
      <c r="CZ111" s="802"/>
      <c r="DA111" s="802"/>
      <c r="DB111" s="802"/>
      <c r="DC111" s="802"/>
      <c r="DD111" s="802"/>
      <c r="DE111" s="802"/>
      <c r="DF111" s="802"/>
      <c r="DG111" s="802"/>
      <c r="DH111" s="802"/>
      <c r="DI111" s="802"/>
      <c r="DJ111" s="802"/>
      <c r="DK111" s="802"/>
      <c r="DL111" s="802"/>
      <c r="DM111" s="802"/>
      <c r="DN111" s="824"/>
      <c r="DO111" s="824"/>
      <c r="DP111" s="824"/>
      <c r="DQ111" s="824"/>
      <c r="DR111" s="824"/>
      <c r="DS111" s="824"/>
      <c r="DT111" s="824"/>
      <c r="DU111" s="824"/>
      <c r="DV111" s="824"/>
      <c r="DW111" s="824"/>
      <c r="DX111" s="824"/>
      <c r="DY111" s="824"/>
      <c r="DZ111" s="824"/>
      <c r="EA111" s="824"/>
      <c r="EB111" s="824"/>
      <c r="EC111" s="824"/>
      <c r="ED111" s="824"/>
      <c r="EE111" s="824"/>
      <c r="EF111" s="824"/>
      <c r="EG111" s="824"/>
      <c r="EH111" s="824"/>
      <c r="EI111" s="824"/>
      <c r="EJ111" s="824"/>
      <c r="EK111" s="824"/>
      <c r="EL111" s="824"/>
      <c r="EM111" s="824"/>
      <c r="EN111" s="824"/>
      <c r="EP111" s="852"/>
      <c r="EQ111" s="852" t="s">
        <v>332</v>
      </c>
      <c r="ER111" s="852"/>
      <c r="ES111" s="201"/>
      <c r="ET111" s="201"/>
      <c r="EU111" s="201"/>
      <c r="EV111" s="201"/>
      <c r="EW111" s="201"/>
      <c r="EX111" s="201"/>
      <c r="EY111" s="201"/>
      <c r="FA111" s="961"/>
      <c r="FB111" s="961"/>
      <c r="FC111" s="961"/>
      <c r="FD111" s="961"/>
      <c r="FE111" s="961"/>
      <c r="FF111" s="961"/>
      <c r="FG111" s="961"/>
      <c r="FH111" s="961"/>
      <c r="FI111" s="961"/>
      <c r="FJ111" s="961"/>
      <c r="FK111" s="969"/>
      <c r="FL111" s="969"/>
      <c r="FM111" s="969"/>
      <c r="FN111" s="969"/>
      <c r="FO111" s="969"/>
      <c r="FP111" s="975"/>
    </row>
    <row r="112" spans="1:184" s="216" customFormat="1" ht="14.25" customHeight="1" outlineLevel="1">
      <c r="A112" s="1006"/>
      <c r="B112" s="1006"/>
      <c r="C112" s="1007"/>
      <c r="D112" s="235"/>
      <c r="E112" s="235"/>
      <c r="F112" s="268"/>
      <c r="G112" s="199"/>
      <c r="H112" s="200"/>
      <c r="I112" s="201"/>
      <c r="J112" s="203"/>
      <c r="K112" s="203"/>
      <c r="L112" s="202"/>
      <c r="M112" s="203"/>
      <c r="N112" s="204"/>
      <c r="O112" s="204"/>
      <c r="P112" s="204"/>
      <c r="Q112" s="204"/>
      <c r="R112" s="204"/>
      <c r="S112" s="204"/>
      <c r="T112" s="701"/>
      <c r="U112" s="207"/>
      <c r="V112" s="203"/>
      <c r="W112" s="207"/>
      <c r="X112" s="203"/>
      <c r="Y112" s="207"/>
      <c r="Z112" s="203"/>
      <c r="AA112" s="207"/>
      <c r="AB112" s="203"/>
      <c r="AC112" s="207"/>
      <c r="AD112" s="203"/>
      <c r="AE112" s="208"/>
      <c r="AF112" s="203"/>
      <c r="AG112" s="208"/>
      <c r="AH112" s="203"/>
      <c r="AI112" s="208"/>
      <c r="AJ112" s="203"/>
      <c r="AK112" s="203"/>
      <c r="AL112" s="203"/>
      <c r="AM112" s="208"/>
      <c r="AN112" s="203"/>
      <c r="AO112" s="203"/>
      <c r="AP112" s="203"/>
      <c r="AQ112" s="203"/>
      <c r="AR112" s="203"/>
      <c r="AS112" s="203"/>
      <c r="AT112" s="202"/>
      <c r="AU112" s="203"/>
      <c r="AV112" s="203"/>
      <c r="AW112" s="203"/>
      <c r="AX112" s="203"/>
      <c r="AY112" s="203"/>
      <c r="AZ112" s="201"/>
      <c r="BA112" s="267"/>
      <c r="BB112" s="267"/>
      <c r="BC112" s="267"/>
      <c r="BD112" s="267"/>
      <c r="BE112" s="267"/>
      <c r="BF112" s="267"/>
      <c r="BG112" s="203"/>
      <c r="BH112" s="267"/>
      <c r="BI112" s="267"/>
      <c r="BJ112" s="267"/>
      <c r="BK112" s="267"/>
      <c r="BL112" s="267"/>
      <c r="BM112" s="267"/>
      <c r="BN112" s="267"/>
      <c r="BO112" s="267"/>
      <c r="BP112" s="267"/>
      <c r="BQ112" s="267"/>
      <c r="BR112" s="882"/>
      <c r="BS112" s="267"/>
      <c r="BT112" s="267"/>
      <c r="BU112" s="267"/>
      <c r="BV112" s="267"/>
      <c r="BW112" s="267"/>
      <c r="BX112" s="267"/>
      <c r="BY112" s="267"/>
      <c r="BZ112" s="267"/>
      <c r="CA112" s="267"/>
      <c r="CB112" s="1237"/>
      <c r="CC112" s="990"/>
      <c r="CD112" s="990"/>
      <c r="CE112" s="990"/>
      <c r="CF112" s="990"/>
      <c r="CG112" s="990"/>
      <c r="CH112" s="990"/>
      <c r="CI112" s="991"/>
      <c r="CJ112" s="1238"/>
      <c r="CK112" s="1239"/>
      <c r="CL112" s="990"/>
      <c r="CM112" s="990"/>
      <c r="CN112" s="990"/>
      <c r="CO112" s="990"/>
      <c r="CP112" s="990"/>
      <c r="CQ112" s="990"/>
      <c r="CR112" s="991"/>
      <c r="CS112" s="991"/>
      <c r="CU112" s="201"/>
      <c r="CV112" s="267"/>
      <c r="CW112" s="267"/>
      <c r="CX112" s="267"/>
      <c r="CY112" s="267"/>
      <c r="CZ112" s="267"/>
      <c r="DA112" s="267"/>
      <c r="DB112" s="267"/>
      <c r="DC112" s="267"/>
      <c r="DD112" s="267"/>
      <c r="DE112" s="267"/>
      <c r="DF112" s="267"/>
      <c r="DG112" s="1240"/>
      <c r="DH112" s="1240"/>
      <c r="DI112" s="1240"/>
      <c r="DJ112" s="267"/>
      <c r="DK112" s="267"/>
      <c r="DL112" s="267"/>
      <c r="DM112" s="267"/>
      <c r="DN112" s="1241"/>
      <c r="DO112" s="1241"/>
      <c r="DP112" s="1241"/>
      <c r="DQ112" s="1241"/>
      <c r="DR112" s="1241"/>
      <c r="DS112" s="1241"/>
      <c r="DT112" s="1241"/>
      <c r="DU112" s="1241"/>
      <c r="DV112" s="1241"/>
      <c r="DW112" s="1242"/>
      <c r="DX112" s="1242"/>
      <c r="DY112" s="1242"/>
      <c r="DZ112" s="1242"/>
      <c r="EA112" s="1242"/>
      <c r="EB112" s="1242"/>
      <c r="EC112" s="1242"/>
      <c r="ED112" s="1242"/>
      <c r="EE112" s="1243"/>
      <c r="EF112" s="203"/>
      <c r="EG112" s="242"/>
      <c r="EH112" s="203"/>
      <c r="EI112" s="203"/>
      <c r="EJ112" s="242"/>
      <c r="EK112" s="203"/>
      <c r="EL112" s="203"/>
      <c r="EM112" s="203"/>
      <c r="EN112" s="203"/>
      <c r="EP112" s="852"/>
      <c r="EQ112" s="852"/>
      <c r="ER112" s="852"/>
      <c r="ES112" s="201"/>
      <c r="ET112" s="201"/>
      <c r="EU112" s="201"/>
      <c r="EV112" s="201"/>
      <c r="EW112" s="201"/>
      <c r="EX112" s="201"/>
      <c r="EY112" s="201"/>
      <c r="FA112" s="207"/>
      <c r="FB112" s="207"/>
      <c r="FC112" s="207"/>
      <c r="FD112" s="207"/>
      <c r="FE112" s="207"/>
      <c r="FF112" s="207"/>
      <c r="FG112" s="207"/>
      <c r="FH112" s="207"/>
      <c r="FI112" s="207"/>
      <c r="FJ112" s="207"/>
      <c r="FK112" s="217"/>
      <c r="FL112" s="217"/>
      <c r="FM112" s="217"/>
      <c r="FN112" s="217"/>
      <c r="FO112" s="217"/>
      <c r="FP112" s="217"/>
      <c r="FR112" s="1185"/>
      <c r="FS112" s="1185"/>
      <c r="FT112" s="1186"/>
      <c r="FU112" s="1185"/>
      <c r="FV112" s="1187"/>
    </row>
    <row r="113" spans="1:185" s="216" customFormat="1" ht="14.25" customHeight="1" outlineLevel="1">
      <c r="A113" s="1006" t="str">
        <f t="shared" si="2226"/>
        <v>MAYO  2026 2da QUINCENA</v>
      </c>
      <c r="B113" s="1006">
        <f t="shared" si="2227"/>
        <v>2026</v>
      </c>
      <c r="C113" s="1007" t="str">
        <f t="shared" ref="C113" si="2599">A113 &amp; B113</f>
        <v>MAYO  2026 2da QUINCENA2026</v>
      </c>
      <c r="D113" s="235" t="s">
        <v>144</v>
      </c>
      <c r="E113" s="235">
        <v>303050</v>
      </c>
      <c r="F113" s="268">
        <v>40</v>
      </c>
      <c r="G113" s="199" t="s">
        <v>756</v>
      </c>
      <c r="H113" s="200" t="s">
        <v>757</v>
      </c>
      <c r="I113" s="201" t="s">
        <v>11</v>
      </c>
      <c r="J113" s="203">
        <v>4002.28</v>
      </c>
      <c r="K113" s="203">
        <f>747.72+250</f>
        <v>997.72</v>
      </c>
      <c r="L113" s="202">
        <f t="shared" ref="L113" si="2600">+J113+K113</f>
        <v>5000</v>
      </c>
      <c r="M113" s="203">
        <v>30</v>
      </c>
      <c r="N113" s="204">
        <v>0.35</v>
      </c>
      <c r="O113" s="204">
        <v>0.4</v>
      </c>
      <c r="P113" s="204">
        <v>0.1</v>
      </c>
      <c r="Q113" s="204">
        <v>0.15</v>
      </c>
      <c r="R113" s="204">
        <v>0</v>
      </c>
      <c r="S113" s="204">
        <f t="shared" ref="S113" si="2601">SUM(N113:R113)</f>
        <v>1</v>
      </c>
      <c r="T113" s="701" t="s">
        <v>758</v>
      </c>
      <c r="U113" s="207"/>
      <c r="V113" s="203">
        <f t="shared" ref="V113" si="2602">($J113/30/8*1.5)*U113</f>
        <v>0</v>
      </c>
      <c r="W113" s="207"/>
      <c r="X113" s="203">
        <f t="shared" ref="X113" si="2603">($J113/30/8*2)*W113</f>
        <v>0</v>
      </c>
      <c r="Y113" s="207"/>
      <c r="Z113" s="203">
        <f t="shared" ref="Z113" si="2604">($J113/30/8*1.5)*Y113</f>
        <v>0</v>
      </c>
      <c r="AA113" s="207"/>
      <c r="AB113" s="203">
        <f t="shared" ref="AB113" si="2605">($J113/30/8*2)*AA113</f>
        <v>0</v>
      </c>
      <c r="AC113" s="207"/>
      <c r="AD113" s="203">
        <f t="shared" ref="AD113" si="2606">(($J113/30/8)*1.5)*AC113</f>
        <v>0</v>
      </c>
      <c r="AE113" s="208"/>
      <c r="AF113" s="203">
        <f t="shared" ref="AF113" si="2607">(($J113/30/8)*2)*AE113</f>
        <v>0</v>
      </c>
      <c r="AG113" s="208"/>
      <c r="AH113" s="203">
        <f t="shared" ref="AH113" si="2608">(($J113/30/8)*1.5)*AG113</f>
        <v>0</v>
      </c>
      <c r="AI113" s="208"/>
      <c r="AJ113" s="203">
        <f t="shared" ref="AJ113" si="2609">(($J113/30/8)*2)*AI113</f>
        <v>0</v>
      </c>
      <c r="AK113" s="203"/>
      <c r="AL113" s="203">
        <f t="shared" ref="AL113" si="2610">(($J113/30/8)*1.5)*AK113</f>
        <v>0</v>
      </c>
      <c r="AM113" s="208"/>
      <c r="AN113" s="203">
        <f t="shared" ref="AN113" si="2611">(($J113/30/8)*2)*AM113</f>
        <v>0</v>
      </c>
      <c r="AO113" s="203">
        <v>0</v>
      </c>
      <c r="AP113" s="203">
        <v>0</v>
      </c>
      <c r="AQ113" s="203"/>
      <c r="AR113" s="203">
        <v>0</v>
      </c>
      <c r="AS113" s="203"/>
      <c r="AT113" s="202"/>
      <c r="AU113" s="203"/>
      <c r="AV113" s="203"/>
      <c r="AW113" s="203"/>
      <c r="AX113" s="203"/>
      <c r="AY113" s="203"/>
      <c r="AZ113" s="201"/>
      <c r="BA113" s="267">
        <f t="shared" ref="BA113" si="2612">((J113/30)*M113)*$N113</f>
        <v>1400.798</v>
      </c>
      <c r="BB113" s="267">
        <f>((K113/30)*M113)*$N113+341.53</f>
        <v>690.73199999999997</v>
      </c>
      <c r="BC113" s="267">
        <f t="shared" ref="BC113" si="2613">U113</f>
        <v>0</v>
      </c>
      <c r="BD113" s="267">
        <f t="shared" ref="BD113" si="2614">V113</f>
        <v>0</v>
      </c>
      <c r="BE113" s="267">
        <f t="shared" ref="BE113" si="2615">W113</f>
        <v>0</v>
      </c>
      <c r="BF113" s="267">
        <f t="shared" ref="BF113" si="2616">X113</f>
        <v>0</v>
      </c>
      <c r="BG113" s="203">
        <f>AO113+AT113</f>
        <v>0</v>
      </c>
      <c r="BH113" s="203">
        <f t="shared" ref="BH113" si="2617">(BA113+BD113+BF113+BG113)*0.1267</f>
        <v>177.4811066</v>
      </c>
      <c r="BI113" s="267">
        <f t="shared" ref="BI113" si="2618">SUM(BA113:BH113)-BC113-BE113</f>
        <v>2269.0111065999999</v>
      </c>
      <c r="BJ113" s="267">
        <f t="shared" ref="BJ113" si="2619">(($J113/30)*$M113)*$O113</f>
        <v>1600.9120000000003</v>
      </c>
      <c r="BK113" s="267">
        <f>(($K113/30)*$M113)*$O113+487.9</f>
        <v>886.98800000000006</v>
      </c>
      <c r="BL113" s="267">
        <f t="shared" ref="BL113" si="2620">Y113</f>
        <v>0</v>
      </c>
      <c r="BM113" s="267">
        <f t="shared" ref="BM113" si="2621">Z113</f>
        <v>0</v>
      </c>
      <c r="BN113" s="267">
        <f t="shared" ref="BN113" si="2622">AA113</f>
        <v>0</v>
      </c>
      <c r="BO113" s="267">
        <f t="shared" ref="BO113" si="2623">AB113</f>
        <v>0</v>
      </c>
      <c r="BP113" s="267">
        <f t="shared" ref="BP113" si="2624">AP113+AU113</f>
        <v>0</v>
      </c>
      <c r="BQ113" s="203">
        <f t="shared" ref="BQ113" si="2625">(+BJ113+BM113+BO113+BP113)*0.1267</f>
        <v>202.83555040000005</v>
      </c>
      <c r="BR113" s="882">
        <f t="shared" ref="BR113" si="2626">SUM(BJ113:BQ113)-BL113-BN113</f>
        <v>2690.7355504000006</v>
      </c>
      <c r="BS113" s="267">
        <f t="shared" ref="BS113" si="2627">(($J113/30)*$M113)*$P113</f>
        <v>400.22800000000007</v>
      </c>
      <c r="BT113" s="267">
        <f t="shared" ref="BT113" si="2628">(($K113/30)*$M113)*$P113</f>
        <v>99.772000000000006</v>
      </c>
      <c r="BU113" s="267">
        <f t="shared" ref="BU113" si="2629">AC113</f>
        <v>0</v>
      </c>
      <c r="BV113" s="267">
        <f t="shared" ref="BV113" si="2630">AD113</f>
        <v>0</v>
      </c>
      <c r="BW113" s="267">
        <f t="shared" ref="BW113" si="2631">AE113</f>
        <v>0</v>
      </c>
      <c r="BX113" s="267">
        <f t="shared" ref="BX113" si="2632">AF113</f>
        <v>0</v>
      </c>
      <c r="BY113" s="267">
        <f t="shared" ref="BY113" si="2633">AQ113+AV113</f>
        <v>0</v>
      </c>
      <c r="BZ113" s="203">
        <f t="shared" ref="BZ113" si="2634">(BS113+BV113+BX113+BY113)*0.1267</f>
        <v>50.708887600000011</v>
      </c>
      <c r="CA113" s="267">
        <f t="shared" ref="CA113" si="2635">SUM(BS113:BZ113)-BU113-BW113</f>
        <v>550.70888760000003</v>
      </c>
      <c r="CB113" s="1237">
        <f t="shared" ref="CB113" si="2636">(($J113/30)*$M113)*$Q113</f>
        <v>600.34199999999998</v>
      </c>
      <c r="CC113" s="990">
        <f>(($K113/30)*$M113)*$Q113+146.37</f>
        <v>296.02800000000002</v>
      </c>
      <c r="CD113" s="990">
        <f t="shared" ref="CD113" si="2637">AG113</f>
        <v>0</v>
      </c>
      <c r="CE113" s="990">
        <f t="shared" ref="CE113" si="2638">AH113</f>
        <v>0</v>
      </c>
      <c r="CF113" s="990">
        <f t="shared" ref="CF113" si="2639">AI113</f>
        <v>0</v>
      </c>
      <c r="CG113" s="990">
        <f t="shared" ref="CG113" si="2640">AJ113</f>
        <v>0</v>
      </c>
      <c r="CH113" s="990">
        <f t="shared" ref="CH113" si="2641">AR113+AW113</f>
        <v>0</v>
      </c>
      <c r="CI113" s="703">
        <f t="shared" ref="CI113" si="2642">(CB113+CE113+CG113+CH113)*0.1267</f>
        <v>76.063331399999996</v>
      </c>
      <c r="CJ113" s="1238">
        <f>SUM(CB113:CI113)-CD113-CF113</f>
        <v>972.43333140000004</v>
      </c>
      <c r="CK113" s="1239">
        <f t="shared" ref="CK113" si="2643">(($J113/30)*$M113)*R113</f>
        <v>0</v>
      </c>
      <c r="CL113" s="990">
        <f t="shared" ref="CL113" si="2644">(($K113/30)*$M113)*$R113</f>
        <v>0</v>
      </c>
      <c r="CM113" s="990">
        <f t="shared" ref="CM113" si="2645">+AK113</f>
        <v>0</v>
      </c>
      <c r="CN113" s="990">
        <f t="shared" ref="CN113" si="2646">AL113</f>
        <v>0</v>
      </c>
      <c r="CO113" s="990">
        <f t="shared" ref="CO113" si="2647">AM113</f>
        <v>0</v>
      </c>
      <c r="CP113" s="990">
        <f t="shared" ref="CP113" si="2648">AN113</f>
        <v>0</v>
      </c>
      <c r="CQ113" s="990">
        <f t="shared" ref="CQ113" si="2649">AS113+AX113</f>
        <v>0</v>
      </c>
      <c r="CR113" s="991">
        <f t="shared" ref="CR113" si="2650">(CK113+CN113+CP113)*0.1267</f>
        <v>0</v>
      </c>
      <c r="CS113" s="991">
        <f t="shared" ref="CS113" si="2651">SUM(CK113:CR113)-CM113-CO113</f>
        <v>0</v>
      </c>
      <c r="CU113" s="201" t="s">
        <v>11</v>
      </c>
      <c r="CV113" s="267">
        <f t="shared" ref="CV113" si="2652">IF($CU113="PROQUIMA",$BA113+$BJ113+$BS113+$CB113+$CK113,0)</f>
        <v>0</v>
      </c>
      <c r="CW113" s="267">
        <f t="shared" ref="CW113" si="2653">IF($CU113="PROQUIMA",$BB113+$BK113+$BT113+$CC113+$CL113,0)</f>
        <v>0</v>
      </c>
      <c r="CX113" s="267">
        <f t="shared" ref="CX113" si="2654">IF($CU113="PROQUIMA",$BC113+$BL113+$BU113+$CD113+$CM113,0)</f>
        <v>0</v>
      </c>
      <c r="CY113" s="267">
        <f t="shared" ref="CY113" si="2655">IF($CU113="PROQUIMA",$BD113+$BM113+$BV113+$CE113+$CN113,0)</f>
        <v>0</v>
      </c>
      <c r="CZ113" s="267">
        <f t="shared" ref="CZ113" si="2656">IF($CU113="PROQUIMA",$BE113+$BN113+$BW113+$CF113+$CO113,0)</f>
        <v>0</v>
      </c>
      <c r="DA113" s="267">
        <f t="shared" ref="DA113" si="2657">IF($CU113="PROQUIMA",$BF113+$BO113+$BX113+$CG113+$CP113,0)</f>
        <v>0</v>
      </c>
      <c r="DB113" s="267">
        <f t="shared" ref="DB113" si="2658">IF($CU113="PROQUIMA",$BG113+$BP113+$BY113+$CH113+$CQ113,0)</f>
        <v>0</v>
      </c>
      <c r="DC113" s="267">
        <f t="shared" ref="DC113" si="2659">IF($CU113="PROQUIMA",$BH113+$BQ113+$BZ113+$CI113+CR113,0)</f>
        <v>0</v>
      </c>
      <c r="DD113" s="267">
        <f t="shared" ref="DD113" si="2660">SUM(CV113:DC113)-CX113-CZ113</f>
        <v>0</v>
      </c>
      <c r="DE113" s="267">
        <f t="shared" ref="DE113" si="2661">IF($CU113="UNHESA",$BA113+$BJ113+$BS113+$CB113+$CK113,0)</f>
        <v>0</v>
      </c>
      <c r="DF113" s="267">
        <f t="shared" ref="DF113" si="2662">IF($CU113="UNHESA",$BB113+$BK113+$BT113+$CC113+$CL113,0)</f>
        <v>0</v>
      </c>
      <c r="DG113" s="1240">
        <f t="shared" ref="DG113" si="2663">IF($CU113="UNHESA",$BC113+$BL113+$BU113+$CD113+$CM113,0)</f>
        <v>0</v>
      </c>
      <c r="DH113" s="1240">
        <f t="shared" ref="DH113" si="2664">IF($CU113="UNHESA",$BD113+$BM113+$BV113+$CE113+$CN113,0)</f>
        <v>0</v>
      </c>
      <c r="DI113" s="1240">
        <f t="shared" ref="DI113" si="2665">IF($CU113="UNHESA",$BE113+$BN113+$BW113+$CF113+$CO113,0)</f>
        <v>0</v>
      </c>
      <c r="DJ113" s="267">
        <f t="shared" ref="DJ113" si="2666">IF($CU113="UNHESA",$BF113+$BO113+$BX113+$CG113+$CP113,0)</f>
        <v>0</v>
      </c>
      <c r="DK113" s="267">
        <f t="shared" ref="DK113" si="2667">IF($CU113="UNHESA",$BG113+$BP113+$BY113+$CH113+$CQ113,0)</f>
        <v>0</v>
      </c>
      <c r="DL113" s="267">
        <f t="shared" ref="DL113" si="2668">IF($CU113="UNHESA",$BH113+$BQ113+$BZ113+$CI113+$CR113,0)</f>
        <v>0</v>
      </c>
      <c r="DM113" s="267">
        <f t="shared" ref="DM113" si="2669">SUM(DE113:DL113)-DG113-DI113</f>
        <v>0</v>
      </c>
      <c r="DN113" s="1241">
        <f t="shared" ref="DN113" si="2670">IF($CU113="UNHESA LIQUIDOS",$BA113+$BJ113+$BS113+$CB113+$CK113,0)</f>
        <v>0</v>
      </c>
      <c r="DO113" s="1241">
        <f t="shared" ref="DO113" si="2671">IF($CU113="UNHESA LIQUIDOS",$BB113+$BK113+$BT113+$CC113+$CL113,0)</f>
        <v>0</v>
      </c>
      <c r="DP113" s="1241">
        <f t="shared" ref="DP113" si="2672">IF($CU113="UNHESA LIQUIDOS",$BC113+$BL113+$BU113+$CD113+$CM113,0)</f>
        <v>0</v>
      </c>
      <c r="DQ113" s="1241">
        <f t="shared" ref="DQ113" si="2673">IF($CU113="UNHESA LIQUIDOS",$BD113+$BM113+$BV113+$CE113+$CN113,0)</f>
        <v>0</v>
      </c>
      <c r="DR113" s="1241">
        <f t="shared" ref="DR113" si="2674">IF($CU113="UNHESA LIQUIDOS",$BE113+$BN113+$BW113+$CF113+$CO113,0)</f>
        <v>0</v>
      </c>
      <c r="DS113" s="1241">
        <f t="shared" ref="DS113" si="2675">IF($CU113="UNHESA LIQUIDOS",$BF113+$BO113+$BX113+$CG113+$CP113,0)</f>
        <v>0</v>
      </c>
      <c r="DT113" s="1241">
        <f t="shared" ref="DT113" si="2676">IF($CU113="UNHESA LIQUIDOS",$BG113+$BP113+$BY113+$CH113+$CQ113,0)</f>
        <v>0</v>
      </c>
      <c r="DU113" s="1241">
        <f t="shared" ref="DU113" si="2677">IF($CU113="UNHESA LIQUIDOS",$BH113+$BQ113+$BZ113+$CI113+$CR113,0)</f>
        <v>0</v>
      </c>
      <c r="DV113" s="1241">
        <f t="shared" ref="DV113" si="2678">SUM(DN113:DU113)-DP113-DR113</f>
        <v>0</v>
      </c>
      <c r="DW113" s="1242">
        <f>IF($CU113="CLEARTEC",$BA113+$BJ113+$BS113+$CB113+$CK113,0)</f>
        <v>0</v>
      </c>
      <c r="DX113" s="1242">
        <f t="shared" ref="DX113:ED113" si="2679">IF($CU113="CLEARTEC",$BA113+$BJ113+$BS113+$CB113+$CK113,0)</f>
        <v>0</v>
      </c>
      <c r="DY113" s="1242">
        <f t="shared" si="2679"/>
        <v>0</v>
      </c>
      <c r="DZ113" s="1242">
        <f t="shared" si="2679"/>
        <v>0</v>
      </c>
      <c r="EA113" s="1242">
        <f t="shared" si="2679"/>
        <v>0</v>
      </c>
      <c r="EB113" s="1242">
        <f t="shared" si="2679"/>
        <v>0</v>
      </c>
      <c r="EC113" s="1242">
        <f t="shared" si="2679"/>
        <v>0</v>
      </c>
      <c r="ED113" s="1242">
        <f t="shared" si="2679"/>
        <v>0</v>
      </c>
      <c r="EE113" s="1243">
        <f t="shared" ref="EE113" si="2680">SUM(DW113:ED113)-DY113-EA113</f>
        <v>0</v>
      </c>
      <c r="EF113" s="203">
        <f t="shared" ref="EF113" si="2681">IF(CU113="ECONACIONAL",$BA113+$BJ113+$BS113+$CB113+$CK113)</f>
        <v>4002.28</v>
      </c>
      <c r="EG113" s="242">
        <f t="shared" si="2513"/>
        <v>1973.52</v>
      </c>
      <c r="EH113" s="203">
        <f t="shared" ref="EH113" si="2682">IF(CU113="ECONACIONAL",$BC113+$BL113+$BU113+$CD113+$CM113)</f>
        <v>0</v>
      </c>
      <c r="EI113" s="203">
        <f t="shared" ref="EI113" si="2683">IF(CU113="ECONACIONAL",$BD113+$DH113+$DQ113+$DZ113+BM113+BV113+CE113+CN113)</f>
        <v>0</v>
      </c>
      <c r="EJ113" s="242">
        <f t="shared" si="2516"/>
        <v>0</v>
      </c>
      <c r="EK113" s="203">
        <f t="shared" ref="EK113" si="2684">IF(CU113="ECONACIONAL",$BF113+$BO113+$BX113+$CG113+$CP113)</f>
        <v>0</v>
      </c>
      <c r="EL113" s="203">
        <f t="shared" ref="EL113" si="2685">IF(CU113="ECONACIONAL",$BG113+$BP113+$BY113+$CH113+$CQ113)</f>
        <v>0</v>
      </c>
      <c r="EM113" s="203">
        <f t="shared" ref="EM113" si="2686">IF(CU113="ECONACIONAL",BH113+BQ113+BZ113+CI113+CR113)</f>
        <v>507.08887600000008</v>
      </c>
      <c r="EN113" s="203">
        <f t="shared" ref="EN113" si="2687">SUM(EF113:EM113)-EH113-EJ113</f>
        <v>6482.888876</v>
      </c>
      <c r="EP113" s="852"/>
      <c r="EQ113" s="852"/>
      <c r="ER113" s="852"/>
      <c r="ES113" s="852"/>
      <c r="ET113" s="201"/>
      <c r="EU113" s="201"/>
      <c r="EV113" s="201"/>
      <c r="EW113" s="201"/>
      <c r="EX113" s="201"/>
      <c r="EY113" s="201">
        <f t="shared" ref="EY113" si="2688">+ET113+EU113+EV113</f>
        <v>0</v>
      </c>
      <c r="FA113" s="207">
        <f t="shared" ref="FA113" si="2689">IF($M113&lt;=15,EP113/2,EP113)</f>
        <v>0</v>
      </c>
      <c r="FB113" s="207">
        <f t="shared" ref="FB113" si="2690">IF($M113&lt;=15,EQ113/2,EQ113)</f>
        <v>0</v>
      </c>
      <c r="FC113" s="207">
        <f t="shared" ref="FC113" si="2691">IF($M113&lt;=15,ER113/2,ER113)</f>
        <v>0</v>
      </c>
      <c r="FD113" s="207">
        <f t="shared" ref="FD113" si="2692">IF($M113&lt;=15,ES113/2,ES113)</f>
        <v>0</v>
      </c>
      <c r="FE113" s="207">
        <f t="shared" ref="FE113" si="2693">IF($M113&lt;=15,ET113/2,ET113)</f>
        <v>0</v>
      </c>
      <c r="FF113" s="207">
        <f t="shared" ref="FF113" si="2694">IF($M113&lt;=15,EU113/2,EU113)</f>
        <v>0</v>
      </c>
      <c r="FG113" s="207">
        <f>IF($M113&lt;=15,EV113/2,EV113)</f>
        <v>0</v>
      </c>
      <c r="FH113" s="207">
        <f t="shared" ref="FH113" si="2695">IF($M113&lt;=15,EW113/2,EW113)</f>
        <v>0</v>
      </c>
      <c r="FI113" s="207">
        <f>IF($M113&lt;=15,EX113/2,EX113)</f>
        <v>0</v>
      </c>
      <c r="FJ113" s="207">
        <f t="shared" ref="FJ113" si="2696">IF($M113&lt;=15,EY113/2,EY113)</f>
        <v>0</v>
      </c>
      <c r="FK113" s="217"/>
      <c r="FL113" s="217"/>
      <c r="FM113" s="217"/>
      <c r="FN113" s="217"/>
      <c r="FO113" s="217"/>
      <c r="FP113" s="217"/>
      <c r="FR113" s="1185">
        <f>(((J113/30/8)*1.5)*(U113+Y113+AC113))-(BD113+BM113+BV113)</f>
        <v>0</v>
      </c>
      <c r="FS113" s="1185">
        <f t="shared" ref="FS113" si="2697">(((J113/30/8)*2)*(W113+AA113+AE113))-(BF113+BO113+BX113)</f>
        <v>0</v>
      </c>
      <c r="FT113" s="1186">
        <f>(SUM(BA113:CJ113))-(SUM(EF113:EN113))</f>
        <v>0</v>
      </c>
      <c r="FU113" s="1185">
        <f>(J113/30*M113)-(EF113)</f>
        <v>0</v>
      </c>
      <c r="FV113" s="1187">
        <f>(SUM(EP113:EY113))-((SUM(FA113:FJ113))*$FV$5)</f>
        <v>0</v>
      </c>
    </row>
    <row r="114" spans="1:185" s="216" customFormat="1" ht="15" customHeight="1" outlineLevel="1" thickBot="1">
      <c r="A114" s="1006" t="s">
        <v>52</v>
      </c>
      <c r="B114" s="1006" t="s">
        <v>52</v>
      </c>
      <c r="C114" s="1007" t="s">
        <v>52</v>
      </c>
      <c r="D114" s="235"/>
      <c r="E114" s="235"/>
      <c r="F114" s="268"/>
      <c r="G114" s="956"/>
      <c r="H114" s="821" t="s">
        <v>689</v>
      </c>
      <c r="J114" s="982">
        <f>SUM(J112:J113)</f>
        <v>4002.28</v>
      </c>
      <c r="K114" s="982">
        <f t="shared" ref="K114:L114" si="2698">SUM(K112:K113)</f>
        <v>997.72</v>
      </c>
      <c r="L114" s="982">
        <f t="shared" si="2698"/>
        <v>5000</v>
      </c>
      <c r="M114" s="203"/>
      <c r="N114" s="802"/>
      <c r="O114" s="802"/>
      <c r="P114" s="802"/>
      <c r="Q114" s="802"/>
      <c r="R114" s="802"/>
      <c r="S114" s="802"/>
      <c r="T114" s="802"/>
      <c r="U114" s="982">
        <f t="shared" ref="U114" si="2699">SUM(U112:U113)</f>
        <v>0</v>
      </c>
      <c r="V114" s="982">
        <f t="shared" ref="V114" si="2700">SUM(V112:V113)</f>
        <v>0</v>
      </c>
      <c r="W114" s="982">
        <f t="shared" ref="W114" si="2701">SUM(W112:W113)</f>
        <v>0</v>
      </c>
      <c r="X114" s="982">
        <f t="shared" ref="X114" si="2702">SUM(X112:X113)</f>
        <v>0</v>
      </c>
      <c r="Y114" s="982">
        <f t="shared" ref="Y114" si="2703">SUM(Y112:Y113)</f>
        <v>0</v>
      </c>
      <c r="Z114" s="982">
        <f t="shared" ref="Z114" si="2704">SUM(Z112:Z113)</f>
        <v>0</v>
      </c>
      <c r="AA114" s="982">
        <f t="shared" ref="AA114" si="2705">SUM(AA112:AA113)</f>
        <v>0</v>
      </c>
      <c r="AB114" s="982">
        <f t="shared" ref="AB114" si="2706">SUM(AB112:AB113)</f>
        <v>0</v>
      </c>
      <c r="AC114" s="982">
        <f t="shared" ref="AC114" si="2707">SUM(AC112:AC113)</f>
        <v>0</v>
      </c>
      <c r="AD114" s="982">
        <f t="shared" ref="AD114" si="2708">SUM(AD112:AD113)</f>
        <v>0</v>
      </c>
      <c r="AE114" s="982">
        <f t="shared" ref="AE114" si="2709">SUM(AE112:AE113)</f>
        <v>0</v>
      </c>
      <c r="AF114" s="982">
        <f t="shared" ref="AF114" si="2710">SUM(AF112:AF113)</f>
        <v>0</v>
      </c>
      <c r="AG114" s="982">
        <f t="shared" ref="AG114" si="2711">SUM(AG112:AG113)</f>
        <v>0</v>
      </c>
      <c r="AH114" s="982">
        <f t="shared" ref="AH114" si="2712">SUM(AH112:AH113)</f>
        <v>0</v>
      </c>
      <c r="AI114" s="982">
        <f t="shared" ref="AI114" si="2713">SUM(AI112:AI113)</f>
        <v>0</v>
      </c>
      <c r="AJ114" s="982">
        <f t="shared" ref="AJ114" si="2714">SUM(AJ112:AJ113)</f>
        <v>0</v>
      </c>
      <c r="AK114" s="982">
        <f t="shared" ref="AK114" si="2715">SUM(AK112:AK113)</f>
        <v>0</v>
      </c>
      <c r="AL114" s="982">
        <f t="shared" ref="AL114" si="2716">SUM(AL112:AL113)</f>
        <v>0</v>
      </c>
      <c r="AM114" s="982">
        <f t="shared" ref="AM114" si="2717">SUM(AM112:AM113)</f>
        <v>0</v>
      </c>
      <c r="AN114" s="982">
        <f t="shared" ref="AN114" si="2718">SUM(AN112:AN113)</f>
        <v>0</v>
      </c>
      <c r="AO114" s="982">
        <f t="shared" ref="AO114" si="2719">SUM(AO112:AO113)</f>
        <v>0</v>
      </c>
      <c r="AP114" s="982">
        <f t="shared" ref="AP114" si="2720">SUM(AP112:AP113)</f>
        <v>0</v>
      </c>
      <c r="AQ114" s="982">
        <f t="shared" ref="AQ114" si="2721">SUM(AQ112:AQ113)</f>
        <v>0</v>
      </c>
      <c r="AR114" s="982">
        <f t="shared" ref="AR114" si="2722">SUM(AR112:AR113)</f>
        <v>0</v>
      </c>
      <c r="AS114" s="982">
        <f t="shared" ref="AS114" si="2723">SUM(AS112:AS113)</f>
        <v>0</v>
      </c>
      <c r="AT114" s="982">
        <f t="shared" ref="AT114" si="2724">SUM(AT112:AT113)</f>
        <v>0</v>
      </c>
      <c r="AU114" s="982">
        <f t="shared" ref="AU114" si="2725">SUM(AU112:AU113)</f>
        <v>0</v>
      </c>
      <c r="AV114" s="982">
        <f t="shared" ref="AV114" si="2726">SUM(AV112:AV113)</f>
        <v>0</v>
      </c>
      <c r="AW114" s="982">
        <f t="shared" ref="AW114" si="2727">SUM(AW112:AW113)</f>
        <v>0</v>
      </c>
      <c r="AX114" s="982">
        <f t="shared" ref="AX114" si="2728">SUM(AX112:AX113)</f>
        <v>0</v>
      </c>
      <c r="AY114" s="982">
        <f t="shared" ref="AY114" si="2729">SUM(AY112:AY113)</f>
        <v>0</v>
      </c>
      <c r="AZ114" s="982">
        <f t="shared" ref="AZ114" si="2730">SUM(AZ112:AZ113)</f>
        <v>0</v>
      </c>
      <c r="BA114" s="982">
        <f>SUM(BA104:BA113)</f>
        <v>12857.464666666667</v>
      </c>
      <c r="BB114" s="982">
        <f t="shared" ref="BB114:DM114" si="2731">SUM(BB104:BB113)</f>
        <v>2534.0653333333335</v>
      </c>
      <c r="BC114" s="982">
        <f t="shared" si="2731"/>
        <v>0</v>
      </c>
      <c r="BD114" s="982">
        <f t="shared" si="2731"/>
        <v>0</v>
      </c>
      <c r="BE114" s="982">
        <f t="shared" si="2731"/>
        <v>0</v>
      </c>
      <c r="BF114" s="982">
        <f t="shared" si="2731"/>
        <v>0</v>
      </c>
      <c r="BG114" s="982">
        <f t="shared" si="2731"/>
        <v>0</v>
      </c>
      <c r="BH114" s="982">
        <f t="shared" si="2731"/>
        <v>1629.0407732666665</v>
      </c>
      <c r="BI114" s="982">
        <f t="shared" si="2731"/>
        <v>17020.570773266667</v>
      </c>
      <c r="BJ114" s="982">
        <f t="shared" si="2731"/>
        <v>12767.162</v>
      </c>
      <c r="BK114" s="982">
        <f t="shared" si="2731"/>
        <v>2695.7380000000003</v>
      </c>
      <c r="BL114" s="982">
        <f t="shared" si="2731"/>
        <v>0</v>
      </c>
      <c r="BM114" s="982">
        <f t="shared" si="2731"/>
        <v>0</v>
      </c>
      <c r="BN114" s="982">
        <f t="shared" si="2731"/>
        <v>0</v>
      </c>
      <c r="BO114" s="982">
        <f t="shared" si="2731"/>
        <v>0</v>
      </c>
      <c r="BP114" s="982">
        <f t="shared" si="2731"/>
        <v>0</v>
      </c>
      <c r="BQ114" s="982">
        <f t="shared" si="2731"/>
        <v>1617.5994254</v>
      </c>
      <c r="BR114" s="982">
        <f t="shared" si="2731"/>
        <v>17080.499425400001</v>
      </c>
      <c r="BS114" s="982">
        <f t="shared" si="2731"/>
        <v>3168.9780000000001</v>
      </c>
      <c r="BT114" s="982">
        <f t="shared" si="2731"/>
        <v>556.02200000000005</v>
      </c>
      <c r="BU114" s="982">
        <f t="shared" si="2731"/>
        <v>0</v>
      </c>
      <c r="BV114" s="982">
        <f t="shared" si="2731"/>
        <v>0</v>
      </c>
      <c r="BW114" s="982">
        <f t="shared" si="2731"/>
        <v>0</v>
      </c>
      <c r="BX114" s="982">
        <f t="shared" si="2731"/>
        <v>0</v>
      </c>
      <c r="BY114" s="982">
        <f t="shared" si="2731"/>
        <v>0</v>
      </c>
      <c r="BZ114" s="982">
        <f t="shared" si="2731"/>
        <v>401.50951260000005</v>
      </c>
      <c r="CA114" s="982">
        <f t="shared" si="2731"/>
        <v>4126.5095125999997</v>
      </c>
      <c r="CB114" s="982">
        <f t="shared" si="2731"/>
        <v>600.34199999999998</v>
      </c>
      <c r="CC114" s="982">
        <f t="shared" si="2731"/>
        <v>296.02800000000002</v>
      </c>
      <c r="CD114" s="982">
        <f t="shared" si="2731"/>
        <v>0</v>
      </c>
      <c r="CE114" s="982">
        <f t="shared" si="2731"/>
        <v>0</v>
      </c>
      <c r="CF114" s="982">
        <f t="shared" si="2731"/>
        <v>0</v>
      </c>
      <c r="CG114" s="982">
        <f t="shared" si="2731"/>
        <v>0</v>
      </c>
      <c r="CH114" s="982">
        <f t="shared" si="2731"/>
        <v>0</v>
      </c>
      <c r="CI114" s="982">
        <f t="shared" si="2731"/>
        <v>76.063331399999996</v>
      </c>
      <c r="CJ114" s="982">
        <f t="shared" si="2731"/>
        <v>972.43333140000004</v>
      </c>
      <c r="CK114" s="982">
        <f t="shared" si="2731"/>
        <v>0</v>
      </c>
      <c r="CL114" s="982">
        <f t="shared" si="2731"/>
        <v>0</v>
      </c>
      <c r="CM114" s="982">
        <f t="shared" si="2731"/>
        <v>0</v>
      </c>
      <c r="CN114" s="982">
        <f t="shared" si="2731"/>
        <v>0</v>
      </c>
      <c r="CO114" s="982">
        <f t="shared" si="2731"/>
        <v>0</v>
      </c>
      <c r="CP114" s="982">
        <f t="shared" si="2731"/>
        <v>0</v>
      </c>
      <c r="CQ114" s="982">
        <f t="shared" si="2731"/>
        <v>0</v>
      </c>
      <c r="CR114" s="982">
        <f t="shared" si="2731"/>
        <v>0</v>
      </c>
      <c r="CS114" s="982">
        <f t="shared" si="2731"/>
        <v>0</v>
      </c>
      <c r="CT114" s="982">
        <f t="shared" si="2731"/>
        <v>0</v>
      </c>
      <c r="CU114" s="982">
        <f t="shared" si="2731"/>
        <v>0</v>
      </c>
      <c r="CV114" s="982">
        <f t="shared" si="2731"/>
        <v>0</v>
      </c>
      <c r="CW114" s="982">
        <f t="shared" si="2731"/>
        <v>0</v>
      </c>
      <c r="CX114" s="982">
        <f t="shared" si="2731"/>
        <v>0</v>
      </c>
      <c r="CY114" s="982">
        <f t="shared" si="2731"/>
        <v>0</v>
      </c>
      <c r="CZ114" s="982">
        <f t="shared" si="2731"/>
        <v>0</v>
      </c>
      <c r="DA114" s="982">
        <f t="shared" si="2731"/>
        <v>0</v>
      </c>
      <c r="DB114" s="982">
        <f t="shared" si="2731"/>
        <v>0</v>
      </c>
      <c r="DC114" s="982">
        <f t="shared" si="2731"/>
        <v>0</v>
      </c>
      <c r="DD114" s="982">
        <f t="shared" si="2731"/>
        <v>0</v>
      </c>
      <c r="DE114" s="982">
        <f t="shared" si="2731"/>
        <v>0</v>
      </c>
      <c r="DF114" s="982">
        <f t="shared" si="2731"/>
        <v>0</v>
      </c>
      <c r="DG114" s="982">
        <f t="shared" si="2731"/>
        <v>0</v>
      </c>
      <c r="DH114" s="982">
        <f t="shared" si="2731"/>
        <v>0</v>
      </c>
      <c r="DI114" s="982">
        <f t="shared" si="2731"/>
        <v>0</v>
      </c>
      <c r="DJ114" s="982">
        <f t="shared" si="2731"/>
        <v>0</v>
      </c>
      <c r="DK114" s="982">
        <f t="shared" si="2731"/>
        <v>0</v>
      </c>
      <c r="DL114" s="982">
        <f t="shared" si="2731"/>
        <v>0</v>
      </c>
      <c r="DM114" s="982">
        <f t="shared" si="2731"/>
        <v>0</v>
      </c>
      <c r="DN114" s="982">
        <f t="shared" ref="DN114:FY114" si="2732">SUM(DN104:DN113)</f>
        <v>0</v>
      </c>
      <c r="DO114" s="982">
        <f t="shared" si="2732"/>
        <v>0</v>
      </c>
      <c r="DP114" s="982">
        <f t="shared" si="2732"/>
        <v>0</v>
      </c>
      <c r="DQ114" s="982">
        <f t="shared" si="2732"/>
        <v>0</v>
      </c>
      <c r="DR114" s="982">
        <f t="shared" si="2732"/>
        <v>0</v>
      </c>
      <c r="DS114" s="982">
        <f t="shared" si="2732"/>
        <v>0</v>
      </c>
      <c r="DT114" s="982">
        <f t="shared" si="2732"/>
        <v>0</v>
      </c>
      <c r="DU114" s="982">
        <f t="shared" si="2732"/>
        <v>0</v>
      </c>
      <c r="DV114" s="982">
        <f t="shared" si="2732"/>
        <v>0</v>
      </c>
      <c r="DW114" s="982">
        <f t="shared" si="2732"/>
        <v>0</v>
      </c>
      <c r="DX114" s="982">
        <f t="shared" si="2732"/>
        <v>0</v>
      </c>
      <c r="DY114" s="982">
        <f t="shared" si="2732"/>
        <v>0</v>
      </c>
      <c r="DZ114" s="982">
        <f t="shared" si="2732"/>
        <v>0</v>
      </c>
      <c r="EA114" s="982">
        <f t="shared" si="2732"/>
        <v>0</v>
      </c>
      <c r="EB114" s="982">
        <f t="shared" si="2732"/>
        <v>0</v>
      </c>
      <c r="EC114" s="982">
        <f t="shared" si="2732"/>
        <v>0</v>
      </c>
      <c r="ED114" s="982">
        <f t="shared" si="2732"/>
        <v>0</v>
      </c>
      <c r="EE114" s="982">
        <f t="shared" si="2732"/>
        <v>0</v>
      </c>
      <c r="EF114" s="982">
        <f t="shared" si="2732"/>
        <v>29393.946666666667</v>
      </c>
      <c r="EG114" s="982">
        <f t="shared" si="2732"/>
        <v>6081.8533333333344</v>
      </c>
      <c r="EH114" s="982">
        <f t="shared" si="2732"/>
        <v>0</v>
      </c>
      <c r="EI114" s="982">
        <f t="shared" si="2732"/>
        <v>0</v>
      </c>
      <c r="EJ114" s="982">
        <f t="shared" si="2732"/>
        <v>0</v>
      </c>
      <c r="EK114" s="982">
        <f t="shared" si="2732"/>
        <v>0</v>
      </c>
      <c r="EL114" s="982">
        <f t="shared" si="2732"/>
        <v>0</v>
      </c>
      <c r="EM114" s="982">
        <f t="shared" si="2732"/>
        <v>3724.2130426666672</v>
      </c>
      <c r="EN114" s="982">
        <f t="shared" si="2732"/>
        <v>39200.013042666666</v>
      </c>
      <c r="EO114" s="982">
        <f t="shared" si="2732"/>
        <v>0</v>
      </c>
      <c r="EP114" s="982">
        <f t="shared" si="2732"/>
        <v>797.33</v>
      </c>
      <c r="EQ114" s="982">
        <f t="shared" si="2732"/>
        <v>0</v>
      </c>
      <c r="ER114" s="982">
        <f t="shared" si="2732"/>
        <v>0</v>
      </c>
      <c r="ES114" s="982">
        <f t="shared" si="2732"/>
        <v>0</v>
      </c>
      <c r="ET114" s="982">
        <f t="shared" si="2732"/>
        <v>0</v>
      </c>
      <c r="EU114" s="982">
        <f t="shared" si="2732"/>
        <v>0</v>
      </c>
      <c r="EV114" s="982">
        <f t="shared" si="2732"/>
        <v>350</v>
      </c>
      <c r="EW114" s="982">
        <f t="shared" si="2732"/>
        <v>0</v>
      </c>
      <c r="EX114" s="982">
        <f t="shared" si="2732"/>
        <v>306.26</v>
      </c>
      <c r="EY114" s="982">
        <f t="shared" si="2732"/>
        <v>350</v>
      </c>
      <c r="EZ114" s="982">
        <f t="shared" si="2732"/>
        <v>0</v>
      </c>
      <c r="FA114" s="982">
        <f t="shared" si="2732"/>
        <v>797.33</v>
      </c>
      <c r="FB114" s="982">
        <f t="shared" si="2732"/>
        <v>0</v>
      </c>
      <c r="FC114" s="982">
        <f t="shared" si="2732"/>
        <v>0</v>
      </c>
      <c r="FD114" s="982">
        <f t="shared" si="2732"/>
        <v>0</v>
      </c>
      <c r="FE114" s="982">
        <f t="shared" si="2732"/>
        <v>0</v>
      </c>
      <c r="FF114" s="982">
        <f t="shared" si="2732"/>
        <v>0</v>
      </c>
      <c r="FG114" s="982">
        <f t="shared" si="2732"/>
        <v>175</v>
      </c>
      <c r="FH114" s="982">
        <f t="shared" si="2732"/>
        <v>0</v>
      </c>
      <c r="FI114" s="982">
        <f t="shared" si="2732"/>
        <v>306.26</v>
      </c>
      <c r="FJ114" s="982">
        <f t="shared" si="2732"/>
        <v>175</v>
      </c>
      <c r="FK114" s="982">
        <f t="shared" si="2732"/>
        <v>0</v>
      </c>
      <c r="FL114" s="982">
        <f t="shared" si="2732"/>
        <v>0</v>
      </c>
      <c r="FM114" s="982">
        <f t="shared" si="2732"/>
        <v>0</v>
      </c>
      <c r="FN114" s="982">
        <f t="shared" si="2732"/>
        <v>0</v>
      </c>
      <c r="FO114" s="982">
        <f t="shared" si="2732"/>
        <v>0</v>
      </c>
      <c r="FP114" s="982">
        <f t="shared" si="2732"/>
        <v>0</v>
      </c>
      <c r="FQ114" s="982">
        <f t="shared" si="2732"/>
        <v>0</v>
      </c>
      <c r="FR114" s="982">
        <f t="shared" si="2732"/>
        <v>0</v>
      </c>
      <c r="FS114" s="982">
        <f t="shared" si="2732"/>
        <v>0</v>
      </c>
      <c r="FT114" s="982">
        <f t="shared" si="2732"/>
        <v>0</v>
      </c>
      <c r="FU114" s="982">
        <f t="shared" si="2732"/>
        <v>0</v>
      </c>
      <c r="FV114" s="982">
        <f t="shared" si="2732"/>
        <v>-622.33000000000004</v>
      </c>
      <c r="FW114" s="982">
        <f t="shared" si="2732"/>
        <v>0</v>
      </c>
      <c r="FX114" s="982">
        <f t="shared" si="2732"/>
        <v>0</v>
      </c>
      <c r="FY114" s="982">
        <f t="shared" si="2732"/>
        <v>0</v>
      </c>
      <c r="FZ114" s="982">
        <f t="shared" ref="FZ114:GC114" si="2733">SUM(FZ104:FZ113)</f>
        <v>0</v>
      </c>
      <c r="GA114" s="982">
        <f t="shared" si="2733"/>
        <v>0</v>
      </c>
      <c r="GB114" s="982">
        <f t="shared" si="2733"/>
        <v>0</v>
      </c>
      <c r="GC114" s="982">
        <f t="shared" si="2733"/>
        <v>0</v>
      </c>
    </row>
    <row r="115" spans="1:185" s="829" customFormat="1" ht="15" customHeight="1" outlineLevel="1" thickTop="1">
      <c r="A115" s="1006" t="str">
        <f t="shared" ref="A115:A125" si="2734">$G$4</f>
        <v>MAYO  2026 2da QUINCENA</v>
      </c>
      <c r="B115" s="1006">
        <f t="shared" ref="B115:B125" si="2735">+$G$5</f>
        <v>2026</v>
      </c>
      <c r="C115" s="1007" t="str">
        <f t="shared" si="1459"/>
        <v>MAYO  2026 2da QUINCENA2026</v>
      </c>
      <c r="D115" s="841"/>
      <c r="E115" s="841"/>
      <c r="F115" s="827"/>
      <c r="G115" s="779" t="s">
        <v>651</v>
      </c>
      <c r="H115" s="776"/>
      <c r="I115" s="778"/>
      <c r="J115" s="828"/>
      <c r="N115" s="830"/>
      <c r="O115" s="830"/>
      <c r="P115" s="830"/>
      <c r="Q115" s="830"/>
      <c r="R115" s="830"/>
      <c r="S115" s="830"/>
      <c r="T115" s="780"/>
      <c r="U115" s="831"/>
      <c r="W115" s="831"/>
      <c r="Y115" s="831"/>
      <c r="AA115" s="831"/>
      <c r="AC115" s="831"/>
      <c r="AE115" s="832"/>
      <c r="AG115" s="832"/>
      <c r="AI115" s="832"/>
      <c r="AM115" s="832"/>
      <c r="AZ115" s="833"/>
      <c r="CT115" s="778"/>
      <c r="CU115" s="778"/>
      <c r="EO115" s="778"/>
      <c r="EP115" s="235"/>
      <c r="EQ115" s="778"/>
      <c r="ER115" s="778"/>
      <c r="ES115" s="216"/>
      <c r="ET115" s="778"/>
      <c r="EU115" s="778"/>
      <c r="EV115" s="778"/>
      <c r="EW115" s="778"/>
      <c r="EX115" s="778"/>
      <c r="EY115" s="778"/>
      <c r="EZ115" s="717"/>
      <c r="FA115" s="778"/>
      <c r="FB115" s="778"/>
      <c r="FC115" s="778"/>
      <c r="FD115" s="778"/>
      <c r="FE115" s="778"/>
      <c r="FF115" s="778"/>
      <c r="FG115" s="778"/>
      <c r="FH115" s="778"/>
      <c r="FI115" s="778"/>
      <c r="FJ115" s="778"/>
      <c r="FK115" s="800"/>
      <c r="FL115" s="800"/>
      <c r="FM115" s="800"/>
      <c r="FN115" s="800"/>
      <c r="FO115" s="800"/>
      <c r="FP115" s="800"/>
      <c r="FQ115" s="778"/>
      <c r="FR115" s="778"/>
      <c r="FS115" s="778"/>
      <c r="FT115" s="778"/>
      <c r="FU115" s="778"/>
    </row>
    <row r="116" spans="1:185" s="829" customFormat="1" ht="15" customHeight="1" outlineLevel="1">
      <c r="A116" s="1006" t="str">
        <f t="shared" si="2734"/>
        <v>MAYO  2026 2da QUINCENA</v>
      </c>
      <c r="B116" s="1006">
        <f t="shared" si="2735"/>
        <v>2026</v>
      </c>
      <c r="C116" s="1007" t="str">
        <f t="shared" si="1459"/>
        <v>MAYO  2026 2da QUINCENA2026</v>
      </c>
      <c r="D116" s="841"/>
      <c r="E116" s="235">
        <v>304010</v>
      </c>
      <c r="F116" s="827"/>
      <c r="G116" s="723" t="s">
        <v>623</v>
      </c>
      <c r="H116" s="776"/>
      <c r="I116" s="778"/>
      <c r="J116" s="828"/>
      <c r="N116" s="830"/>
      <c r="O116" s="830"/>
      <c r="P116" s="830"/>
      <c r="Q116" s="830"/>
      <c r="R116" s="830"/>
      <c r="S116" s="830"/>
      <c r="T116" s="780"/>
      <c r="U116" s="831"/>
      <c r="W116" s="831"/>
      <c r="Y116" s="831"/>
      <c r="AA116" s="831"/>
      <c r="AC116" s="831"/>
      <c r="AE116" s="832"/>
      <c r="AG116" s="832"/>
      <c r="AI116" s="832"/>
      <c r="AM116" s="832"/>
      <c r="AZ116" s="833"/>
      <c r="CT116" s="778"/>
      <c r="CU116" s="778"/>
      <c r="EO116" s="778"/>
      <c r="EP116" s="235"/>
      <c r="EQ116" s="778"/>
      <c r="ER116" s="778"/>
      <c r="ES116" s="216"/>
      <c r="ET116" s="778"/>
      <c r="EU116" s="778"/>
      <c r="EV116" s="778"/>
      <c r="EW116" s="778"/>
      <c r="EX116" s="778"/>
      <c r="EY116" s="778"/>
      <c r="EZ116" s="717"/>
      <c r="FA116" s="778"/>
      <c r="FB116" s="778"/>
      <c r="FC116" s="778"/>
      <c r="FD116" s="778"/>
      <c r="FE116" s="778"/>
      <c r="FF116" s="778"/>
      <c r="FG116" s="778"/>
      <c r="FH116" s="778"/>
      <c r="FI116" s="778"/>
      <c r="FJ116" s="778"/>
      <c r="FK116" s="800"/>
      <c r="FL116" s="800"/>
      <c r="FM116" s="800"/>
      <c r="FN116" s="800"/>
      <c r="FO116" s="800"/>
      <c r="FP116" s="800"/>
      <c r="FQ116" s="778"/>
      <c r="FR116" s="778"/>
      <c r="FS116" s="778"/>
      <c r="FT116" s="778"/>
      <c r="FU116" s="778"/>
    </row>
    <row r="117" spans="1:185" s="216" customFormat="1" ht="15" customHeight="1" outlineLevel="1">
      <c r="A117" s="1006" t="str">
        <f t="shared" si="2734"/>
        <v>MAYO  2026 2da QUINCENA</v>
      </c>
      <c r="B117" s="1006">
        <f t="shared" si="2735"/>
        <v>2026</v>
      </c>
      <c r="C117" s="1007" t="str">
        <f t="shared" si="1459"/>
        <v>MAYO  2026 2da QUINCENA2026</v>
      </c>
      <c r="D117" s="235" t="str">
        <f>+$G$115</f>
        <v>Calidades</v>
      </c>
      <c r="E117" s="235">
        <v>304010</v>
      </c>
      <c r="F117" s="806">
        <v>41</v>
      </c>
      <c r="G117" s="199" t="s">
        <v>610</v>
      </c>
      <c r="H117" s="200" t="s">
        <v>512</v>
      </c>
      <c r="I117" s="201" t="s">
        <v>11</v>
      </c>
      <c r="J117" s="202">
        <v>6520</v>
      </c>
      <c r="K117" s="837">
        <v>3200</v>
      </c>
      <c r="L117" s="202">
        <f t="shared" ref="L117" si="2736">+J117+K117</f>
        <v>9720</v>
      </c>
      <c r="M117" s="203">
        <v>30</v>
      </c>
      <c r="N117" s="237">
        <v>0.5</v>
      </c>
      <c r="O117" s="204">
        <v>0.25</v>
      </c>
      <c r="P117" s="204">
        <v>0.2</v>
      </c>
      <c r="Q117" s="204">
        <v>0.05</v>
      </c>
      <c r="R117" s="204">
        <v>0</v>
      </c>
      <c r="S117" s="204">
        <f t="shared" ref="S117" si="2737">SUM(N117:R117)</f>
        <v>1</v>
      </c>
      <c r="T117" s="701"/>
      <c r="U117" s="238"/>
      <c r="V117" s="203">
        <f t="shared" ref="V117" si="2738">($J117/30/8*1.5)*U117</f>
        <v>0</v>
      </c>
      <c r="W117" s="207">
        <v>0</v>
      </c>
      <c r="X117" s="203">
        <f t="shared" ref="X117" si="2739">($J117/30/8*2)*W117</f>
        <v>0</v>
      </c>
      <c r="Y117" s="207"/>
      <c r="Z117" s="239">
        <f t="shared" ref="Z117" si="2740">($J117/30/8*1.5)*Y117</f>
        <v>0</v>
      </c>
      <c r="AA117" s="207"/>
      <c r="AB117" s="203">
        <f t="shared" ref="AB117" si="2741">($J117/30/8*2)*AA117</f>
        <v>0</v>
      </c>
      <c r="AC117" s="207"/>
      <c r="AD117" s="203">
        <f t="shared" ref="AD117" si="2742">(($J117/30/8)*1.5)*AC117</f>
        <v>0</v>
      </c>
      <c r="AE117" s="208"/>
      <c r="AF117" s="203">
        <f t="shared" ref="AF117" si="2743">(($J117/30/8)*2)*AE117</f>
        <v>0</v>
      </c>
      <c r="AG117" s="208"/>
      <c r="AH117" s="203">
        <f t="shared" ref="AH117" si="2744">(($J117/30/8)*1.5)*AG117</f>
        <v>0</v>
      </c>
      <c r="AI117" s="208"/>
      <c r="AJ117" s="203">
        <f t="shared" ref="AJ117" si="2745">(($J117/30/8)*2)*AI117</f>
        <v>0</v>
      </c>
      <c r="AK117" s="203"/>
      <c r="AL117" s="203">
        <f t="shared" ref="AL117" si="2746">(($J117/30/8)*1.5)*AK117</f>
        <v>0</v>
      </c>
      <c r="AM117" s="208"/>
      <c r="AN117" s="203">
        <f t="shared" ref="AN117" si="2747">(($J117/30/8)*2)*AM117</f>
        <v>0</v>
      </c>
      <c r="AO117" s="202"/>
      <c r="AP117" s="202"/>
      <c r="AQ117" s="202"/>
      <c r="AR117" s="202"/>
      <c r="AS117" s="202"/>
      <c r="AT117" s="202"/>
      <c r="AU117" s="202"/>
      <c r="AV117" s="202"/>
      <c r="AW117" s="202"/>
      <c r="AX117" s="202"/>
      <c r="AY117" s="202"/>
      <c r="AZ117" s="240"/>
      <c r="BA117" s="203">
        <f t="shared" ref="BA117" si="2748">((J117/30)*M117)*$N117</f>
        <v>3260</v>
      </c>
      <c r="BB117" s="203">
        <f>((K117/30)*M117)*$N117</f>
        <v>1600</v>
      </c>
      <c r="BC117" s="203">
        <f t="shared" ref="BC117" si="2749">U117</f>
        <v>0</v>
      </c>
      <c r="BD117" s="203">
        <f t="shared" ref="BD117" si="2750">V117</f>
        <v>0</v>
      </c>
      <c r="BE117" s="203">
        <f t="shared" ref="BE117" si="2751">W117</f>
        <v>0</v>
      </c>
      <c r="BF117" s="203">
        <f t="shared" ref="BF117" si="2752">X117</f>
        <v>0</v>
      </c>
      <c r="BG117" s="203">
        <f t="shared" ref="BG117" si="2753">AO117+AT117</f>
        <v>0</v>
      </c>
      <c r="BH117" s="203">
        <f t="shared" ref="BH117:BH125" si="2754">(BA117+BD117+BF117+BG117)*0.1267</f>
        <v>413.04200000000003</v>
      </c>
      <c r="BI117" s="203">
        <f t="shared" ref="BI117" si="2755">SUM(BA117:BH117)-BC117-BE117</f>
        <v>5273.0420000000004</v>
      </c>
      <c r="BJ117" s="203">
        <f t="shared" ref="BJ117:BJ125" si="2756">(($J117/30)*$M117)*$O117</f>
        <v>1630</v>
      </c>
      <c r="BK117" s="203">
        <f t="shared" ref="BK117" si="2757">(($K117/30)*$M117)*$O117</f>
        <v>800</v>
      </c>
      <c r="BL117" s="203">
        <f t="shared" ref="BL117" si="2758">Y117</f>
        <v>0</v>
      </c>
      <c r="BM117" s="203">
        <f t="shared" ref="BM117" si="2759">Z117</f>
        <v>0</v>
      </c>
      <c r="BN117" s="203">
        <f t="shared" ref="BN117" si="2760">AA117</f>
        <v>0</v>
      </c>
      <c r="BO117" s="203">
        <f t="shared" ref="BO117" si="2761">AB117</f>
        <v>0</v>
      </c>
      <c r="BP117" s="203">
        <f t="shared" ref="BP117" si="2762">AP117+AU117</f>
        <v>0</v>
      </c>
      <c r="BQ117" s="203">
        <f t="shared" ref="BQ117:BQ125" si="2763">(+BJ117+BM117+BO117+BP117)*0.1267</f>
        <v>206.52100000000002</v>
      </c>
      <c r="BR117" s="202">
        <f t="shared" ref="BR117" si="2764">SUM(BJ117:BQ117)-BL117-BN117</f>
        <v>2636.5210000000002</v>
      </c>
      <c r="BS117" s="203">
        <f t="shared" ref="BS117:BS125" si="2765">(($J117/30)*$M117)*$P117</f>
        <v>1304</v>
      </c>
      <c r="BT117" s="203">
        <f>(($K117/30)*$M117)*$P117</f>
        <v>640</v>
      </c>
      <c r="BU117" s="203">
        <f t="shared" ref="BU117" si="2766">AC117</f>
        <v>0</v>
      </c>
      <c r="BV117" s="203">
        <f t="shared" ref="BV117" si="2767">AD117</f>
        <v>0</v>
      </c>
      <c r="BW117" s="203">
        <f t="shared" ref="BW117" si="2768">AE117</f>
        <v>0</v>
      </c>
      <c r="BX117" s="203">
        <f t="shared" ref="BX117" si="2769">AF117</f>
        <v>0</v>
      </c>
      <c r="BY117" s="203">
        <f t="shared" ref="BY117" si="2770">AQ117+AV117</f>
        <v>0</v>
      </c>
      <c r="BZ117" s="203">
        <f t="shared" ref="BZ117:BZ125" si="2771">(BS117+BV117+BX117+BY117)*0.1267</f>
        <v>165.21680000000001</v>
      </c>
      <c r="CA117" s="203">
        <f t="shared" ref="CA117" si="2772">SUM(BS117:BZ117)-BU117-BW117</f>
        <v>2109.2168000000001</v>
      </c>
      <c r="CB117" s="241">
        <f t="shared" ref="CB117:CB125" si="2773">(($J117/30)*$M117)*$Q117</f>
        <v>326</v>
      </c>
      <c r="CC117" s="242">
        <f t="shared" ref="CC117:CC125" si="2774">(($K117/30)*$M117)*$Q117</f>
        <v>160</v>
      </c>
      <c r="CD117" s="242"/>
      <c r="CE117" s="242">
        <f t="shared" ref="CE117" si="2775">AH117</f>
        <v>0</v>
      </c>
      <c r="CF117" s="242"/>
      <c r="CG117" s="242">
        <f>AJ117</f>
        <v>0</v>
      </c>
      <c r="CH117" s="242"/>
      <c r="CI117" s="703">
        <f t="shared" ref="CI117:CI125" si="2776">(CB117+CE117+CG117+CH117)*0.1267</f>
        <v>41.304200000000002</v>
      </c>
      <c r="CJ117" s="242">
        <f>SUM(CB117:CI117)</f>
        <v>527.30420000000004</v>
      </c>
      <c r="CK117" s="242">
        <f t="shared" ref="CK117" si="2777">(($J117/30)*$M117)*R117</f>
        <v>0</v>
      </c>
      <c r="CL117" s="242">
        <f t="shared" ref="CL117:CL125" si="2778">(($K117/30)*$M117)*$R117</f>
        <v>0</v>
      </c>
      <c r="CM117" s="990">
        <f t="shared" ref="CM117" si="2779">+AK117</f>
        <v>0</v>
      </c>
      <c r="CN117" s="242">
        <f t="shared" ref="CN117" si="2780">AL117</f>
        <v>0</v>
      </c>
      <c r="CO117" s="242"/>
      <c r="CP117" s="242">
        <f t="shared" ref="CP117" si="2781">AN117</f>
        <v>0</v>
      </c>
      <c r="CQ117" s="242"/>
      <c r="CR117" s="242">
        <f t="shared" ref="CR117" si="2782">(CK117+CN117+CP117)*0.1267</f>
        <v>0</v>
      </c>
      <c r="CS117" s="991">
        <f t="shared" ref="CS117" si="2783">SUM(CK117:CR117)-CM117-CO117</f>
        <v>0</v>
      </c>
      <c r="CU117" s="201" t="s">
        <v>11</v>
      </c>
      <c r="CV117" s="203">
        <f t="shared" ref="CV117:CV125" si="2784">IF($CU117="PROQUIMA",$BA117+$BJ117+$BS117+$CB117+$CK117,0)</f>
        <v>0</v>
      </c>
      <c r="CW117" s="203">
        <f t="shared" ref="CW117:CW125" si="2785">IF($CU117="PROQUIMA",$BB117+$BK117+$BT117+$CC117+$CL117,0)</f>
        <v>0</v>
      </c>
      <c r="CX117" s="203">
        <f t="shared" ref="CX117:CX125" si="2786">IF($CU117="PROQUIMA",$BC117+$BL117+$BU117+$CD117+$CM117,0)</f>
        <v>0</v>
      </c>
      <c r="CY117" s="203">
        <f t="shared" ref="CY117:CY125" si="2787">IF($CU117="PROQUIMA",$BD117+$BM117+$BV117+$CE117+$CN117,0)</f>
        <v>0</v>
      </c>
      <c r="CZ117" s="203">
        <f t="shared" ref="CZ117:CZ125" si="2788">IF($CU117="PROQUIMA",$BE117+$BN117+$BW117+$CF117+$CO117,0)</f>
        <v>0</v>
      </c>
      <c r="DA117" s="203">
        <f t="shared" ref="DA117:DA125" si="2789">IF($CU117="PROQUIMA",$BF117+$BO117+$BX117+$CG117+$CP117,0)</f>
        <v>0</v>
      </c>
      <c r="DB117" s="203">
        <f t="shared" ref="DB117:DB125" si="2790">IF($CU117="PROQUIMA",$BG117+$BP117+$BY117+$CH117+$CQ117,0)</f>
        <v>0</v>
      </c>
      <c r="DC117" s="203">
        <f t="shared" ref="DC117" si="2791">IF($CU117="PROQUIMA",$BH117+$BQ117+$BZ117+$CI117+CR117,0)</f>
        <v>0</v>
      </c>
      <c r="DD117" s="203">
        <f t="shared" ref="DD117" si="2792">SUM(CV117:DC117)-CX117-CZ117</f>
        <v>0</v>
      </c>
      <c r="DE117" s="203">
        <f t="shared" ref="DE117:DE125" si="2793">IF($CU117="UNHESA",$BA117+$BJ117+$BS117+$CB117+$CK117,0)</f>
        <v>0</v>
      </c>
      <c r="DF117" s="203">
        <f t="shared" ref="DF117:DF125" si="2794">IF($CU117="UNHESA",$BB117+$BK117+$BT117+$CC117+$CL117,0)</f>
        <v>0</v>
      </c>
      <c r="DG117" s="239">
        <f t="shared" ref="DG117:DG125" si="2795">IF($CU117="UNHESA",$BC117+$BL117+$BU117+$CD117+$CM117,0)</f>
        <v>0</v>
      </c>
      <c r="DH117" s="239">
        <f t="shared" ref="DH117:DH125" si="2796">IF($CU117="UNHESA",$BD117+$BM117+$BV117+$CE117+$CN117,0)</f>
        <v>0</v>
      </c>
      <c r="DI117" s="239">
        <f t="shared" ref="DI117:DI125" si="2797">IF($CU117="UNHESA",$BE117+$BN117+$BW117+$CF117+$CO117,0)</f>
        <v>0</v>
      </c>
      <c r="DJ117" s="203">
        <f t="shared" ref="DJ117:DJ125" si="2798">IF($CU117="UNHESA",$BF117+$BO117+$BX117+$CG117+$CP117,0)</f>
        <v>0</v>
      </c>
      <c r="DK117" s="203">
        <f t="shared" ref="DK117:DK125" si="2799">IF($CU117="UNHESA",$BG117+$BP117+$BY117+$CH117+$CQ117,0)</f>
        <v>0</v>
      </c>
      <c r="DL117" s="203">
        <f t="shared" ref="DL117:DL125" si="2800">IF($CU117="UNHESA",$BH117+$BQ117+$BZ117+$CI117+$CR117,0)</f>
        <v>0</v>
      </c>
      <c r="DM117" s="203">
        <f t="shared" ref="DM117" si="2801">SUM(DE117:DL117)-DG117-DI117</f>
        <v>0</v>
      </c>
      <c r="DN117" s="210">
        <f t="shared" ref="DN117:DN125" si="2802">IF($CU117="UNHESA LIQUIDOS",$BA117+$BJ117+$BS117+$CB117+$CK117,0)</f>
        <v>0</v>
      </c>
      <c r="DO117" s="210">
        <f t="shared" ref="DO117:DO125" si="2803">IF($CU117="UNHESA LIQUIDOS",$BB117+$BK117+$BT117+$CC117+$CL117,0)</f>
        <v>0</v>
      </c>
      <c r="DP117" s="210">
        <f t="shared" ref="DP117:DP125" si="2804">IF($CU117="UNHESA LIQUIDOS",$BC117+$BL117+$BU117+$CD117+$CM117,0)</f>
        <v>0</v>
      </c>
      <c r="DQ117" s="210">
        <f t="shared" ref="DQ117:DQ125" si="2805">IF($CU117="UNHESA LIQUIDOS",$BD117+$BM117+$BV117+$CE117+$CN117,0)</f>
        <v>0</v>
      </c>
      <c r="DR117" s="210">
        <f t="shared" ref="DR117:DR125" si="2806">IF($CU117="UNHESA LIQUIDOS",$BE117+$BN117+$BW117+$CF117+$CO117,0)</f>
        <v>0</v>
      </c>
      <c r="DS117" s="210">
        <f t="shared" ref="DS117:DS125" si="2807">IF($CU117="UNHESA LIQUIDOS",$BF117+$BO117+$BX117+$CG117+$CP117,0)</f>
        <v>0</v>
      </c>
      <c r="DT117" s="210">
        <f t="shared" ref="DT117:DT125" si="2808">IF($CU117="UNHESA LIQUIDOS",$BG117+$BP117+$BY117+$CH117+$CQ117,0)</f>
        <v>0</v>
      </c>
      <c r="DU117" s="210">
        <f t="shared" ref="DU117:DU125" si="2809">IF($CU117="UNHESA LIQUIDOS",$BH117+$BQ117+$BZ117+$CI117+$CR117,0)</f>
        <v>0</v>
      </c>
      <c r="DV117" s="210">
        <f t="shared" ref="DV117" si="2810">SUM(DN117:DU117)-DP117-DR117</f>
        <v>0</v>
      </c>
      <c r="DW117" s="241">
        <f>IF($CU117="CLEARTEC",$BA117+$BJ117+$BS117+$CB117+$CK117,0)</f>
        <v>0</v>
      </c>
      <c r="DX117" s="241">
        <f t="shared" ref="DX117:ED117" si="2811">IF($CU117="CLEARTEC",$BA117+$BJ117+$BS117+$CB117+$CK117,0)</f>
        <v>0</v>
      </c>
      <c r="DY117" s="241">
        <f t="shared" si="2811"/>
        <v>0</v>
      </c>
      <c r="DZ117" s="241">
        <f t="shared" si="2811"/>
        <v>0</v>
      </c>
      <c r="EA117" s="241">
        <f t="shared" si="2811"/>
        <v>0</v>
      </c>
      <c r="EB117" s="241">
        <f t="shared" si="2811"/>
        <v>0</v>
      </c>
      <c r="EC117" s="241">
        <f t="shared" si="2811"/>
        <v>0</v>
      </c>
      <c r="ED117" s="241">
        <f t="shared" si="2811"/>
        <v>0</v>
      </c>
      <c r="EE117" s="242">
        <f t="shared" ref="EE117" si="2812">SUM(DW117:ED117)-DY117-EA117</f>
        <v>0</v>
      </c>
      <c r="EF117" s="203">
        <f t="shared" ref="EF117" si="2813">IF(CU117="ECONACIONAL",$BA117+$BJ117+$BS117+$CB117+$CK117)</f>
        <v>6520</v>
      </c>
      <c r="EG117" s="242">
        <f t="shared" ref="EG117:EG125" si="2814">IF($CU117="ECONACIONAL",$BB117+$BK117+$BT117+$CC117+$CL117,0)</f>
        <v>3200</v>
      </c>
      <c r="EH117" s="203">
        <f t="shared" ref="EH117:EH125" si="2815">IF(CU117="ECONACIONAL",$BC117+$BL117+$BU117+$CD117+$CM117)</f>
        <v>0</v>
      </c>
      <c r="EI117" s="203">
        <f t="shared" ref="EI117:EI125" si="2816">IF(CU117="ECONACIONAL",$BD117+$DH117+$DQ117+$DZ117+BM117+BV117+CE117+CN117)</f>
        <v>0</v>
      </c>
      <c r="EJ117" s="242">
        <f t="shared" ref="EJ117:EJ125" si="2817">IF($CU117="CLEARTEC",$BE117+$BN117+$BW117+$CF117+$CO117,0)</f>
        <v>0</v>
      </c>
      <c r="EK117" s="203">
        <f t="shared" ref="EK117" si="2818">IF(CU117="ECONACIONAL",$BF117+$BO117+$BX117+$CG117+$CP117)</f>
        <v>0</v>
      </c>
      <c r="EL117" s="203">
        <f t="shared" ref="EL117" si="2819">IF(CU117="ECONACIONAL",$BG117+$BP117+$BY117+$CH117+$CQ117)</f>
        <v>0</v>
      </c>
      <c r="EM117" s="203">
        <f t="shared" ref="EM117" si="2820">IF(CU117="ECONACIONAL",BH117+BQ117+BZ117+CI117+CR117)</f>
        <v>826.08400000000017</v>
      </c>
      <c r="EN117" s="203">
        <f t="shared" ref="EN117" si="2821">SUM(EF117:EM117)-EH117-EJ117</f>
        <v>10546.084000000001</v>
      </c>
      <c r="EP117" s="1193">
        <v>245.51</v>
      </c>
      <c r="EQ117" s="201"/>
      <c r="ER117" s="201"/>
      <c r="ES117" s="201">
        <f>310.5+403.75</f>
        <v>714.25</v>
      </c>
      <c r="ET117" s="201"/>
      <c r="EU117" s="201"/>
      <c r="EV117" s="201"/>
      <c r="EW117" s="201"/>
      <c r="EX117" s="201"/>
      <c r="EY117" s="201">
        <f t="shared" ref="EY117:EY125" si="2822">+ET117+EU117+EV117</f>
        <v>0</v>
      </c>
      <c r="EZ117" s="821"/>
      <c r="FA117" s="207">
        <f t="shared" ref="FA117" si="2823">IF($M117&lt;=15,EP117/2,EP117)</f>
        <v>245.51</v>
      </c>
      <c r="FB117" s="207">
        <f t="shared" ref="FB117" si="2824">IF($M117&lt;=15,EQ117/2,EQ117)</f>
        <v>0</v>
      </c>
      <c r="FC117" s="207">
        <f t="shared" ref="FC117" si="2825">IF($M117&lt;=15,ER117/2,ER117)</f>
        <v>0</v>
      </c>
      <c r="FD117" s="207">
        <f t="shared" ref="FD117" si="2826">IF($M117&lt;=15,ES117/2,ES117)</f>
        <v>714.25</v>
      </c>
      <c r="FE117" s="207">
        <f t="shared" ref="FE117" si="2827">IF($M117&lt;=15,ET117/2,ET117)</f>
        <v>0</v>
      </c>
      <c r="FF117" s="207">
        <f t="shared" ref="FF117" si="2828">IF($M117&lt;=15,EU117/2,EU117)</f>
        <v>0</v>
      </c>
      <c r="FG117" s="207">
        <f>IF($M117&lt;=15,EV117/2,EV117)</f>
        <v>0</v>
      </c>
      <c r="FH117" s="207">
        <f t="shared" ref="FH117" si="2829">IF($M117&lt;=15,EW117/2,EW117)</f>
        <v>0</v>
      </c>
      <c r="FI117" s="207">
        <f>IF($M117&lt;=15,EX117/2,EX117)</f>
        <v>0</v>
      </c>
      <c r="FJ117" s="207">
        <f>IF($M117&lt;=15,EY117/2,EY117)</f>
        <v>0</v>
      </c>
      <c r="FK117" s="217"/>
      <c r="FL117" s="217"/>
      <c r="FM117" s="217"/>
      <c r="FN117" s="217"/>
      <c r="FO117" s="217"/>
      <c r="FP117" s="217"/>
      <c r="FR117" s="1178">
        <f>(((J117/30/8)*1.5)*(U117+Y117+AC117))-(BD117+BM117+BV117)</f>
        <v>0</v>
      </c>
      <c r="FS117" s="1178">
        <f t="shared" ref="FS117" si="2830">(((J117/30/8)*2)*(W117+AA117+AE117))-(BF117+BO117+BX117)</f>
        <v>0</v>
      </c>
      <c r="FT117" s="1179">
        <f>(SUM(BA117:CJ117))-(SUM(EF117:EN117))</f>
        <v>0</v>
      </c>
      <c r="FU117" s="1178">
        <f>(J117/30*M117)-(EF117)</f>
        <v>0</v>
      </c>
      <c r="FV117" s="1182">
        <f>(SUM(EP117:EY117))-((SUM(FA117:FJ117))*$FV$5)</f>
        <v>-959.76</v>
      </c>
    </row>
    <row r="118" spans="1:185" s="216" customFormat="1" ht="15" customHeight="1" outlineLevel="1">
      <c r="A118" s="1006" t="str">
        <f t="shared" si="2734"/>
        <v>MAYO  2026 2da QUINCENA</v>
      </c>
      <c r="B118" s="1006">
        <f t="shared" si="2735"/>
        <v>2026</v>
      </c>
      <c r="C118" s="1007" t="str">
        <f t="shared" si="1459"/>
        <v>MAYO  2026 2da QUINCENA2026</v>
      </c>
      <c r="D118" s="235"/>
      <c r="E118" s="235">
        <v>304020</v>
      </c>
      <c r="F118" s="806"/>
      <c r="G118" s="723" t="s">
        <v>652</v>
      </c>
      <c r="H118" s="200"/>
      <c r="I118" s="201"/>
      <c r="J118" s="202"/>
      <c r="K118" s="202"/>
      <c r="L118" s="202"/>
      <c r="M118" s="203"/>
      <c r="N118" s="237"/>
      <c r="O118" s="204"/>
      <c r="P118" s="204"/>
      <c r="Q118" s="204"/>
      <c r="R118" s="204"/>
      <c r="S118" s="204"/>
      <c r="T118" s="701"/>
      <c r="U118" s="238"/>
      <c r="V118" s="203"/>
      <c r="W118" s="207"/>
      <c r="X118" s="203"/>
      <c r="Y118" s="207"/>
      <c r="Z118" s="239"/>
      <c r="AA118" s="207"/>
      <c r="AB118" s="203"/>
      <c r="AC118" s="207"/>
      <c r="AD118" s="203"/>
      <c r="AE118" s="208"/>
      <c r="AF118" s="203"/>
      <c r="AG118" s="208"/>
      <c r="AH118" s="203"/>
      <c r="AI118" s="208"/>
      <c r="AJ118" s="203"/>
      <c r="AK118" s="203"/>
      <c r="AL118" s="203"/>
      <c r="AM118" s="208"/>
      <c r="AN118" s="203"/>
      <c r="AO118" s="202"/>
      <c r="AP118" s="202"/>
      <c r="AQ118" s="202"/>
      <c r="AR118" s="202"/>
      <c r="AS118" s="202"/>
      <c r="AT118" s="202"/>
      <c r="AU118" s="202"/>
      <c r="AV118" s="202"/>
      <c r="AW118" s="202"/>
      <c r="AX118" s="202"/>
      <c r="AY118" s="202"/>
      <c r="AZ118" s="240"/>
      <c r="BA118" s="203"/>
      <c r="BB118" s="203"/>
      <c r="BC118" s="203"/>
      <c r="BD118" s="203"/>
      <c r="BE118" s="203"/>
      <c r="BF118" s="203"/>
      <c r="BG118" s="203"/>
      <c r="BH118" s="203"/>
      <c r="BI118" s="203"/>
      <c r="BJ118" s="203"/>
      <c r="BK118" s="203"/>
      <c r="BL118" s="203"/>
      <c r="BM118" s="203"/>
      <c r="BN118" s="203"/>
      <c r="BO118" s="203"/>
      <c r="BP118" s="203"/>
      <c r="BQ118" s="203"/>
      <c r="BR118" s="202"/>
      <c r="BS118" s="203"/>
      <c r="BT118" s="203"/>
      <c r="BU118" s="203"/>
      <c r="BV118" s="203"/>
      <c r="BW118" s="203"/>
      <c r="BX118" s="203"/>
      <c r="BY118" s="203"/>
      <c r="BZ118" s="203"/>
      <c r="CA118" s="203"/>
      <c r="CB118" s="241"/>
      <c r="CC118" s="242"/>
      <c r="CD118" s="242"/>
      <c r="CE118" s="242"/>
      <c r="CF118" s="242"/>
      <c r="CG118" s="242"/>
      <c r="CH118" s="242"/>
      <c r="CI118" s="242"/>
      <c r="CJ118" s="242"/>
      <c r="CK118" s="242"/>
      <c r="CL118" s="242"/>
      <c r="CM118" s="242"/>
      <c r="CN118" s="242"/>
      <c r="CO118" s="242"/>
      <c r="CP118" s="242"/>
      <c r="CQ118" s="242"/>
      <c r="CR118" s="242"/>
      <c r="CS118" s="243"/>
      <c r="CU118" s="201"/>
      <c r="CV118" s="203"/>
      <c r="CW118" s="203"/>
      <c r="CX118" s="203"/>
      <c r="CY118" s="203"/>
      <c r="CZ118" s="203"/>
      <c r="DA118" s="203"/>
      <c r="DB118" s="203"/>
      <c r="DC118" s="203"/>
      <c r="DD118" s="203"/>
      <c r="DE118" s="203"/>
      <c r="DF118" s="203"/>
      <c r="DG118" s="203"/>
      <c r="DH118" s="203"/>
      <c r="DI118" s="203"/>
      <c r="DJ118" s="203"/>
      <c r="DK118" s="203"/>
      <c r="DL118" s="203"/>
      <c r="DM118" s="203"/>
      <c r="DN118" s="203"/>
      <c r="DO118" s="203"/>
      <c r="DP118" s="203"/>
      <c r="DQ118" s="203"/>
      <c r="DR118" s="203"/>
      <c r="DS118" s="203"/>
      <c r="DT118" s="203"/>
      <c r="DU118" s="203"/>
      <c r="DV118" s="203"/>
      <c r="DW118" s="241"/>
      <c r="DX118" s="242"/>
      <c r="DY118" s="242"/>
      <c r="DZ118" s="242"/>
      <c r="EA118" s="242"/>
      <c r="EB118" s="242"/>
      <c r="EC118" s="242"/>
      <c r="ED118" s="242"/>
      <c r="EE118" s="242"/>
      <c r="EF118" s="242"/>
      <c r="EG118" s="242"/>
      <c r="EH118" s="242"/>
      <c r="EI118" s="242"/>
      <c r="EJ118" s="242"/>
      <c r="EK118" s="242"/>
      <c r="EL118" s="242"/>
      <c r="EM118" s="242"/>
      <c r="EN118" s="243"/>
      <c r="EP118" s="201"/>
      <c r="EQ118" s="201"/>
      <c r="ER118" s="201"/>
      <c r="ES118" s="201"/>
      <c r="ET118" s="201"/>
      <c r="EU118" s="201"/>
      <c r="EV118" s="201"/>
      <c r="EW118" s="201"/>
      <c r="EX118" s="201"/>
      <c r="EY118" s="201"/>
      <c r="EZ118" s="821"/>
      <c r="FA118" s="207"/>
      <c r="FB118" s="207"/>
      <c r="FC118" s="207"/>
      <c r="FD118" s="207"/>
      <c r="FE118" s="207"/>
      <c r="FF118" s="207"/>
      <c r="FG118" s="207"/>
      <c r="FH118" s="207"/>
      <c r="FI118" s="207"/>
      <c r="FJ118" s="207"/>
      <c r="FK118" s="217"/>
      <c r="FL118" s="217"/>
      <c r="FM118" s="217"/>
      <c r="FN118" s="217"/>
      <c r="FO118" s="217"/>
      <c r="FP118" s="217"/>
    </row>
    <row r="119" spans="1:185" s="216" customFormat="1" ht="15" customHeight="1" outlineLevel="1">
      <c r="A119" s="1006"/>
      <c r="B119" s="1006"/>
      <c r="C119" s="1007"/>
      <c r="D119" s="235"/>
      <c r="E119" s="235">
        <v>304020</v>
      </c>
      <c r="F119" s="201">
        <v>42</v>
      </c>
      <c r="G119" s="199" t="s">
        <v>736</v>
      </c>
      <c r="H119" s="200" t="s">
        <v>735</v>
      </c>
      <c r="I119" s="200" t="s">
        <v>11</v>
      </c>
      <c r="J119" s="203">
        <v>4800</v>
      </c>
      <c r="K119" s="837">
        <v>1000</v>
      </c>
      <c r="L119" s="873">
        <f>+J119+K119</f>
        <v>5800</v>
      </c>
      <c r="M119" s="203">
        <v>30</v>
      </c>
      <c r="N119" s="270">
        <v>0.44</v>
      </c>
      <c r="O119" s="204">
        <v>0.33</v>
      </c>
      <c r="P119" s="270">
        <v>0.18</v>
      </c>
      <c r="Q119" s="204">
        <v>0.05</v>
      </c>
      <c r="R119" s="204">
        <v>0</v>
      </c>
      <c r="S119" s="204">
        <f>+N119+O119+P119+Q119+R119</f>
        <v>1</v>
      </c>
      <c r="T119" s="814"/>
      <c r="U119" s="238">
        <v>10.5</v>
      </c>
      <c r="V119" s="203">
        <f t="shared" ref="V119" si="2831">($J119/30/8*1.5)*U119</f>
        <v>315</v>
      </c>
      <c r="W119" s="265"/>
      <c r="X119" s="203">
        <f t="shared" ref="X119" si="2832">($J119/30/8*2)*W119</f>
        <v>0</v>
      </c>
      <c r="Y119" s="207">
        <v>0.5</v>
      </c>
      <c r="Z119" s="239">
        <f t="shared" ref="Z119" si="2833">($J119/30/8*1.5)*Y119</f>
        <v>15</v>
      </c>
      <c r="AA119" s="207"/>
      <c r="AB119" s="203">
        <f t="shared" ref="AB119" si="2834">($J119/30/8*2)*AA119</f>
        <v>0</v>
      </c>
      <c r="AC119" s="207"/>
      <c r="AD119" s="203">
        <f t="shared" ref="AD119" si="2835">(($J119/30/8)*1.5)*AC119</f>
        <v>0</v>
      </c>
      <c r="AE119" s="208"/>
      <c r="AF119" s="203">
        <f t="shared" ref="AF119" si="2836">(($J119/30/8)*2)*AE119</f>
        <v>0</v>
      </c>
      <c r="AG119" s="208"/>
      <c r="AH119" s="203">
        <f t="shared" ref="AH119" si="2837">(($J119/30/8)*1.5)*AG119</f>
        <v>0</v>
      </c>
      <c r="AI119" s="208"/>
      <c r="AJ119" s="203">
        <f t="shared" ref="AJ119" si="2838">(($J119/30/8)*2)*AI119</f>
        <v>0</v>
      </c>
      <c r="AK119" s="203"/>
      <c r="AL119" s="203">
        <f t="shared" ref="AL119" si="2839">(($J119/30/8)*1.5)*AK119</f>
        <v>0</v>
      </c>
      <c r="AM119" s="208"/>
      <c r="AN119" s="203">
        <f t="shared" ref="AN119" si="2840">(($J119/30/8)*2)*AM119</f>
        <v>0</v>
      </c>
      <c r="AO119" s="202"/>
      <c r="AP119" s="202"/>
      <c r="AQ119" s="202"/>
      <c r="AR119" s="202"/>
      <c r="AS119" s="202"/>
      <c r="AT119" s="202"/>
      <c r="AU119" s="202"/>
      <c r="AV119" s="202"/>
      <c r="AW119" s="202"/>
      <c r="AX119" s="202"/>
      <c r="AY119" s="202"/>
      <c r="AZ119" s="240"/>
      <c r="BA119" s="203">
        <f t="shared" ref="BA119" si="2841">((J119/30)*M119)*$N119</f>
        <v>2112</v>
      </c>
      <c r="BB119" s="787">
        <f>((K119/30)*M119)*$N119</f>
        <v>440.00000000000006</v>
      </c>
      <c r="BC119" s="203">
        <f t="shared" ref="BC119" si="2842">U119</f>
        <v>10.5</v>
      </c>
      <c r="BD119" s="203">
        <f t="shared" ref="BD119" si="2843">V119</f>
        <v>315</v>
      </c>
      <c r="BE119" s="203">
        <f t="shared" ref="BE119" si="2844">W119</f>
        <v>0</v>
      </c>
      <c r="BF119" s="203">
        <f t="shared" ref="BF119" si="2845">X119</f>
        <v>0</v>
      </c>
      <c r="BG119" s="203">
        <f t="shared" ref="BG119" si="2846">AO119+AT119</f>
        <v>0</v>
      </c>
      <c r="BH119" s="203">
        <f t="shared" si="2754"/>
        <v>307.5009</v>
      </c>
      <c r="BI119" s="203">
        <f t="shared" ref="BI119" si="2847">SUM(BA119:BH119)-BC119-BE119</f>
        <v>3174.5009</v>
      </c>
      <c r="BJ119" s="203">
        <f t="shared" si="2756"/>
        <v>1584</v>
      </c>
      <c r="BK119" s="203">
        <f>(($K119/30)*$M119)*$O119</f>
        <v>330.00000000000006</v>
      </c>
      <c r="BL119" s="203">
        <f t="shared" ref="BL119" si="2848">Y119</f>
        <v>0.5</v>
      </c>
      <c r="BM119" s="203">
        <f t="shared" ref="BM119" si="2849">Z119</f>
        <v>15</v>
      </c>
      <c r="BN119" s="203">
        <f t="shared" ref="BN119" si="2850">AA119</f>
        <v>0</v>
      </c>
      <c r="BO119" s="203">
        <f t="shared" ref="BO119" si="2851">AB119</f>
        <v>0</v>
      </c>
      <c r="BP119" s="203">
        <f t="shared" ref="BP119" si="2852">AP119+AU119</f>
        <v>0</v>
      </c>
      <c r="BQ119" s="203">
        <f t="shared" si="2763"/>
        <v>202.5933</v>
      </c>
      <c r="BR119" s="202">
        <f t="shared" ref="BR119" si="2853">SUM(BJ119:BQ119)-BL119-BN119</f>
        <v>2131.5933</v>
      </c>
      <c r="BS119" s="203">
        <f t="shared" si="2765"/>
        <v>864</v>
      </c>
      <c r="BT119" s="203">
        <f>(($K119/30)*$M119)*$P119</f>
        <v>180</v>
      </c>
      <c r="BU119" s="203">
        <f t="shared" ref="BU119" si="2854">AC119</f>
        <v>0</v>
      </c>
      <c r="BV119" s="203">
        <f t="shared" ref="BV119" si="2855">AD119</f>
        <v>0</v>
      </c>
      <c r="BW119" s="203">
        <f t="shared" ref="BW119" si="2856">AE119</f>
        <v>0</v>
      </c>
      <c r="BX119" s="203">
        <f t="shared" ref="BX119" si="2857">AF119</f>
        <v>0</v>
      </c>
      <c r="BY119" s="203">
        <f t="shared" ref="BY119" si="2858">AQ119+AV119</f>
        <v>0</v>
      </c>
      <c r="BZ119" s="203">
        <f t="shared" si="2771"/>
        <v>109.4688</v>
      </c>
      <c r="CA119" s="203">
        <f t="shared" ref="CA119" si="2859">SUM(BS119:BZ119)-BU119-BW119</f>
        <v>1153.4688000000001</v>
      </c>
      <c r="CB119" s="241">
        <f t="shared" si="2773"/>
        <v>240</v>
      </c>
      <c r="CC119" s="242">
        <f>(($K119/30)*$M119)*$Q119</f>
        <v>50.000000000000007</v>
      </c>
      <c r="CD119" s="242"/>
      <c r="CE119" s="242">
        <f t="shared" ref="CE119" si="2860">AH119</f>
        <v>0</v>
      </c>
      <c r="CF119" s="242"/>
      <c r="CG119" s="242">
        <f t="shared" ref="CG119" si="2861">AJ119</f>
        <v>0</v>
      </c>
      <c r="CH119" s="242">
        <f>+AS119</f>
        <v>0</v>
      </c>
      <c r="CI119" s="703">
        <f t="shared" si="2776"/>
        <v>30.408000000000001</v>
      </c>
      <c r="CJ119" s="242">
        <f t="shared" ref="CJ119" si="2862">SUM(CB119:CI119)</f>
        <v>320.40800000000002</v>
      </c>
      <c r="CK119" s="242">
        <f t="shared" ref="CK119" si="2863">(($J119/30)*$M119)*R119</f>
        <v>0</v>
      </c>
      <c r="CL119" s="242">
        <f t="shared" si="2778"/>
        <v>0</v>
      </c>
      <c r="CM119" s="990">
        <f t="shared" ref="CM119" si="2864">+AK119</f>
        <v>0</v>
      </c>
      <c r="CN119" s="242">
        <f t="shared" ref="CN119" si="2865">AL119</f>
        <v>0</v>
      </c>
      <c r="CO119" s="242"/>
      <c r="CP119" s="242">
        <f t="shared" ref="CP119" si="2866">AN119</f>
        <v>0</v>
      </c>
      <c r="CQ119" s="242"/>
      <c r="CR119" s="242">
        <f t="shared" ref="CR119" si="2867">(CK119+CN119+CP119)*0.1267</f>
        <v>0</v>
      </c>
      <c r="CS119" s="991">
        <f t="shared" ref="CS119" si="2868">SUM(CK119:CR119)-CM119-CO119</f>
        <v>0</v>
      </c>
      <c r="CU119" s="201" t="s">
        <v>11</v>
      </c>
      <c r="CV119" s="203">
        <f t="shared" si="2784"/>
        <v>0</v>
      </c>
      <c r="CW119" s="203">
        <f t="shared" si="2785"/>
        <v>0</v>
      </c>
      <c r="CX119" s="203">
        <f t="shared" si="2786"/>
        <v>0</v>
      </c>
      <c r="CY119" s="203">
        <f t="shared" si="2787"/>
        <v>0</v>
      </c>
      <c r="CZ119" s="203">
        <f t="shared" si="2788"/>
        <v>0</v>
      </c>
      <c r="DA119" s="203">
        <f t="shared" si="2789"/>
        <v>0</v>
      </c>
      <c r="DB119" s="203">
        <f t="shared" si="2790"/>
        <v>0</v>
      </c>
      <c r="DC119" s="203">
        <f t="shared" ref="DC119" si="2869">IF($CU119="PROQUIMA",$BH119+$BQ119+$BZ119+$CI119+CR119,0)</f>
        <v>0</v>
      </c>
      <c r="DD119" s="203">
        <f t="shared" ref="DD119" si="2870">SUM(CV119:DC119)-CX119-CZ119</f>
        <v>0</v>
      </c>
      <c r="DE119" s="203">
        <f t="shared" si="2793"/>
        <v>0</v>
      </c>
      <c r="DF119" s="203">
        <f t="shared" si="2794"/>
        <v>0</v>
      </c>
      <c r="DG119" s="239">
        <f t="shared" si="2795"/>
        <v>0</v>
      </c>
      <c r="DH119" s="239">
        <f t="shared" si="2796"/>
        <v>0</v>
      </c>
      <c r="DI119" s="239">
        <f t="shared" si="2797"/>
        <v>0</v>
      </c>
      <c r="DJ119" s="203">
        <f t="shared" si="2798"/>
        <v>0</v>
      </c>
      <c r="DK119" s="203">
        <f t="shared" si="2799"/>
        <v>0</v>
      </c>
      <c r="DL119" s="203">
        <f t="shared" si="2800"/>
        <v>0</v>
      </c>
      <c r="DM119" s="203">
        <f t="shared" ref="DM119" si="2871">SUM(DE119:DL119)-DG119-DI119</f>
        <v>0</v>
      </c>
      <c r="DN119" s="210">
        <f t="shared" si="2802"/>
        <v>0</v>
      </c>
      <c r="DO119" s="210">
        <f t="shared" si="2803"/>
        <v>0</v>
      </c>
      <c r="DP119" s="210">
        <f t="shared" si="2804"/>
        <v>0</v>
      </c>
      <c r="DQ119" s="210">
        <f t="shared" si="2805"/>
        <v>0</v>
      </c>
      <c r="DR119" s="210">
        <f t="shared" si="2806"/>
        <v>0</v>
      </c>
      <c r="DS119" s="210">
        <f t="shared" si="2807"/>
        <v>0</v>
      </c>
      <c r="DT119" s="210">
        <f t="shared" si="2808"/>
        <v>0</v>
      </c>
      <c r="DU119" s="210">
        <f t="shared" si="2809"/>
        <v>0</v>
      </c>
      <c r="DV119" s="210">
        <f t="shared" ref="DV119" si="2872">SUM(DN119:DU119)-DP119-DR119</f>
        <v>0</v>
      </c>
      <c r="DW119" s="241">
        <f>IF($CU119="CLEARTEC",$BA119+$BJ119+$BS119+$CB119+$CK119,0)</f>
        <v>0</v>
      </c>
      <c r="DX119" s="241">
        <f t="shared" ref="DX119:ED125" si="2873">IF($CU119="CLEARTEC",$BA119+$BJ119+$BS119+$CB119+$CK119,0)</f>
        <v>0</v>
      </c>
      <c r="DY119" s="241">
        <f t="shared" si="2873"/>
        <v>0</v>
      </c>
      <c r="DZ119" s="241">
        <f t="shared" si="2873"/>
        <v>0</v>
      </c>
      <c r="EA119" s="241">
        <f t="shared" si="2873"/>
        <v>0</v>
      </c>
      <c r="EB119" s="241">
        <f t="shared" si="2873"/>
        <v>0</v>
      </c>
      <c r="EC119" s="241">
        <f t="shared" si="2873"/>
        <v>0</v>
      </c>
      <c r="ED119" s="241">
        <f t="shared" si="2873"/>
        <v>0</v>
      </c>
      <c r="EE119" s="242">
        <f t="shared" ref="EE119" si="2874">SUM(DW119:ED119)-DY119-EA119</f>
        <v>0</v>
      </c>
      <c r="EF119" s="203">
        <f t="shared" ref="EF119" si="2875">IF(CU119="ECONACIONAL",$BA119+$BJ119+$BS119+$CB119+$CK119)</f>
        <v>4800</v>
      </c>
      <c r="EG119" s="242">
        <f t="shared" si="2814"/>
        <v>1000.0000000000001</v>
      </c>
      <c r="EH119" s="203">
        <f t="shared" ref="EH119" si="2876">IF(CU119="ECONACIONAL",$BC119+$BL119+$BU119+$CD119+$CM119)</f>
        <v>11</v>
      </c>
      <c r="EI119" s="203">
        <f t="shared" ref="EI119" si="2877">IF(CU119="ECONACIONAL",$BD119+$DH119+$DQ119+$DZ119+BM119+BV119+CE119+CN119)</f>
        <v>330</v>
      </c>
      <c r="EJ119" s="242">
        <f t="shared" si="2817"/>
        <v>0</v>
      </c>
      <c r="EK119" s="203">
        <f t="shared" ref="EK119" si="2878">IF(CU119="ECONACIONAL",$BF119+$BO119+$BX119+$CG119+$CP119)</f>
        <v>0</v>
      </c>
      <c r="EL119" s="203">
        <f>IF(CU119="ECONACIONAL",$BG119+$BP119+$BY119+$CH119+$CQ119)</f>
        <v>0</v>
      </c>
      <c r="EM119" s="203">
        <f t="shared" ref="EM119" si="2879">IF(CU119="ECONACIONAL",BH119+BQ119+BZ119+CI119+CR119)</f>
        <v>649.971</v>
      </c>
      <c r="EN119" s="203">
        <f t="shared" ref="EN119" si="2880">SUM(EF119:EM119)-EH119-EJ119</f>
        <v>6779.9709999999995</v>
      </c>
      <c r="EP119" s="201">
        <v>156</v>
      </c>
      <c r="EQ119" s="201"/>
      <c r="ER119" s="201"/>
      <c r="ES119" s="201"/>
      <c r="ET119" s="201"/>
      <c r="EU119" s="201"/>
      <c r="EV119" s="201"/>
      <c r="EW119" s="201"/>
      <c r="EX119" s="201"/>
      <c r="EY119" s="201">
        <f t="shared" ref="EY119" si="2881">+ET119+EU119+EV119</f>
        <v>0</v>
      </c>
      <c r="EZ119" s="821"/>
      <c r="FA119" s="207">
        <f t="shared" ref="FA119" si="2882">IF($M119&lt;=15,EP119/2,EP119)</f>
        <v>156</v>
      </c>
      <c r="FB119" s="207">
        <f t="shared" ref="FB119" si="2883">IF($M119&lt;=15,EQ119/2,EQ119)</f>
        <v>0</v>
      </c>
      <c r="FC119" s="207">
        <f t="shared" ref="FC119" si="2884">IF($M119&lt;=15,ER119/2,ER119)</f>
        <v>0</v>
      </c>
      <c r="FD119" s="207">
        <f t="shared" ref="FD119" si="2885">IF($M119&lt;=15,ES119/2,ES119)</f>
        <v>0</v>
      </c>
      <c r="FE119" s="207">
        <f t="shared" ref="FE119" si="2886">IF($M119&lt;=15,ET119/2,ET119)</f>
        <v>0</v>
      </c>
      <c r="FF119" s="207">
        <f t="shared" ref="FF119" si="2887">IF($M119&lt;=15,EU119/2,EU119)</f>
        <v>0</v>
      </c>
      <c r="FG119" s="207">
        <f t="shared" ref="FG119" si="2888">IF($M119&lt;=15,EV119/2,EV119)</f>
        <v>0</v>
      </c>
      <c r="FH119" s="207">
        <f t="shared" ref="FH119" si="2889">IF($M119&lt;=15,EW119/2,EW119)</f>
        <v>0</v>
      </c>
      <c r="FI119" s="207">
        <f t="shared" ref="FI119" si="2890">IF($M119&lt;=15,EX119/2,EX119)</f>
        <v>0</v>
      </c>
      <c r="FJ119" s="207">
        <f t="shared" ref="FJ119" si="2891">IF($M119&lt;=15,EY119/2,EY119)</f>
        <v>0</v>
      </c>
      <c r="FK119" s="217"/>
      <c r="FL119" s="217"/>
      <c r="FM119" s="217"/>
      <c r="FN119" s="217"/>
      <c r="FO119" s="217"/>
      <c r="FP119" s="217"/>
      <c r="FR119" s="1185">
        <f t="shared" ref="FR119" si="2892">(((J119/30/8)*1.5)*(U119+Y119+AC119))-(BD119+BM119+BV119)</f>
        <v>0</v>
      </c>
      <c r="FS119" s="1185">
        <f t="shared" ref="FS119" si="2893">(((J119/30/8)*2)*(W119+AA119+AE119))-(BF119+BO119+BX119)</f>
        <v>0</v>
      </c>
      <c r="FT119" s="1186">
        <f t="shared" ref="FT119" si="2894">(SUM(BA119:CJ119))-(SUM(EF119:EN119))</f>
        <v>0</v>
      </c>
      <c r="FU119" s="1185">
        <f t="shared" ref="FU119" si="2895">(J119/30*M119)-(EF119)</f>
        <v>0</v>
      </c>
      <c r="FV119" s="1187">
        <f t="shared" ref="FV119" si="2896">(SUM(EP119:EY119))-((SUM(FA119:FJ119))*$FV$5)</f>
        <v>-156</v>
      </c>
    </row>
    <row r="120" spans="1:185" s="216" customFormat="1" ht="15" customHeight="1" outlineLevel="1">
      <c r="A120" s="1006" t="str">
        <f t="shared" si="2734"/>
        <v>MAYO  2026 2da QUINCENA</v>
      </c>
      <c r="B120" s="1006">
        <f t="shared" si="2735"/>
        <v>2026</v>
      </c>
      <c r="C120" s="1007" t="str">
        <f t="shared" si="1459"/>
        <v>MAYO  2026 2da QUINCENA2026</v>
      </c>
      <c r="D120" s="235"/>
      <c r="E120" s="235">
        <v>304030</v>
      </c>
      <c r="F120" s="806"/>
      <c r="G120" s="723" t="s">
        <v>653</v>
      </c>
      <c r="H120" s="200"/>
      <c r="I120" s="201"/>
      <c r="J120" s="202"/>
      <c r="K120" s="202"/>
      <c r="L120" s="202"/>
      <c r="M120" s="203"/>
      <c r="N120" s="237"/>
      <c r="O120" s="204"/>
      <c r="P120" s="204"/>
      <c r="Q120" s="204"/>
      <c r="R120" s="204"/>
      <c r="S120" s="204"/>
      <c r="T120" s="701"/>
      <c r="U120" s="238"/>
      <c r="V120" s="203"/>
      <c r="W120" s="265"/>
      <c r="X120" s="203"/>
      <c r="Y120" s="207"/>
      <c r="Z120" s="239"/>
      <c r="AA120" s="207"/>
      <c r="AB120" s="203"/>
      <c r="AC120" s="207"/>
      <c r="AD120" s="203"/>
      <c r="AE120" s="208"/>
      <c r="AF120" s="203"/>
      <c r="AG120" s="208"/>
      <c r="AH120" s="203"/>
      <c r="AI120" s="208"/>
      <c r="AJ120" s="203"/>
      <c r="AK120" s="203"/>
      <c r="AL120" s="203"/>
      <c r="AM120" s="208"/>
      <c r="AN120" s="203"/>
      <c r="AO120" s="202"/>
      <c r="AP120" s="202"/>
      <c r="AQ120" s="202"/>
      <c r="AR120" s="202"/>
      <c r="AS120" s="202"/>
      <c r="AT120" s="202"/>
      <c r="AU120" s="202"/>
      <c r="AV120" s="202"/>
      <c r="AW120" s="202"/>
      <c r="AX120" s="202"/>
      <c r="AY120" s="202"/>
      <c r="AZ120" s="240"/>
      <c r="BA120" s="203"/>
      <c r="BB120" s="787"/>
      <c r="BC120" s="203"/>
      <c r="BD120" s="203"/>
      <c r="BE120" s="203"/>
      <c r="BF120" s="203"/>
      <c r="BG120" s="203"/>
      <c r="BH120" s="203"/>
      <c r="BI120" s="203"/>
      <c r="BJ120" s="203"/>
      <c r="BK120" s="203"/>
      <c r="BL120" s="203"/>
      <c r="BM120" s="203"/>
      <c r="BN120" s="203"/>
      <c r="BO120" s="203"/>
      <c r="BP120" s="203"/>
      <c r="BQ120" s="203"/>
      <c r="BR120" s="202"/>
      <c r="BS120" s="203"/>
      <c r="BT120" s="203"/>
      <c r="BU120" s="203"/>
      <c r="BV120" s="203"/>
      <c r="BW120" s="203"/>
      <c r="BX120" s="203"/>
      <c r="BY120" s="203"/>
      <c r="BZ120" s="203"/>
      <c r="CA120" s="203"/>
      <c r="CB120" s="241"/>
      <c r="CC120" s="242"/>
      <c r="CD120" s="242"/>
      <c r="CE120" s="242"/>
      <c r="CF120" s="242"/>
      <c r="CG120" s="242"/>
      <c r="CH120" s="242"/>
      <c r="CI120" s="242"/>
      <c r="CJ120" s="242"/>
      <c r="CK120" s="242"/>
      <c r="CL120" s="242"/>
      <c r="CM120" s="242"/>
      <c r="CN120" s="242"/>
      <c r="CO120" s="242"/>
      <c r="CP120" s="242"/>
      <c r="CQ120" s="242"/>
      <c r="CR120" s="242"/>
      <c r="CS120" s="243"/>
      <c r="CU120" s="201"/>
      <c r="CV120" s="203"/>
      <c r="CW120" s="203"/>
      <c r="CX120" s="203"/>
      <c r="CY120" s="203"/>
      <c r="CZ120" s="203"/>
      <c r="DA120" s="203"/>
      <c r="DB120" s="203"/>
      <c r="DC120" s="203"/>
      <c r="DD120" s="203"/>
      <c r="DE120" s="203"/>
      <c r="DF120" s="203"/>
      <c r="DG120" s="203"/>
      <c r="DH120" s="203"/>
      <c r="DI120" s="203"/>
      <c r="DJ120" s="203"/>
      <c r="DK120" s="203"/>
      <c r="DL120" s="203"/>
      <c r="DM120" s="203"/>
      <c r="DN120" s="203"/>
      <c r="DO120" s="203"/>
      <c r="DP120" s="203"/>
      <c r="DQ120" s="203"/>
      <c r="DR120" s="203"/>
      <c r="DS120" s="203"/>
      <c r="DT120" s="203"/>
      <c r="DU120" s="203"/>
      <c r="DV120" s="203"/>
      <c r="DW120" s="241"/>
      <c r="DX120" s="242"/>
      <c r="DY120" s="242"/>
      <c r="DZ120" s="242"/>
      <c r="EA120" s="242"/>
      <c r="EB120" s="242"/>
      <c r="EC120" s="242"/>
      <c r="ED120" s="242"/>
      <c r="EE120" s="242"/>
      <c r="EF120" s="242"/>
      <c r="EG120" s="242"/>
      <c r="EH120" s="242"/>
      <c r="EI120" s="242"/>
      <c r="EJ120" s="242"/>
      <c r="EK120" s="242"/>
      <c r="EL120" s="242"/>
      <c r="EM120" s="242"/>
      <c r="EN120" s="243"/>
      <c r="EP120" s="201"/>
      <c r="EQ120" s="201"/>
      <c r="ER120" s="201"/>
      <c r="ES120" s="201"/>
      <c r="ET120" s="201"/>
      <c r="EU120" s="201"/>
      <c r="EV120" s="200"/>
      <c r="EW120" s="201"/>
      <c r="EX120" s="201"/>
      <c r="EY120" s="201"/>
      <c r="EZ120" s="821"/>
      <c r="FA120" s="207"/>
      <c r="FB120" s="207"/>
      <c r="FC120" s="207"/>
      <c r="FD120" s="207"/>
      <c r="FE120" s="207"/>
      <c r="FF120" s="207"/>
      <c r="FG120" s="207"/>
      <c r="FH120" s="207"/>
      <c r="FI120" s="207"/>
      <c r="FJ120" s="207"/>
      <c r="FK120" s="217"/>
      <c r="FL120" s="217"/>
      <c r="FM120" s="217"/>
      <c r="FN120" s="217"/>
      <c r="FO120" s="217"/>
      <c r="FP120" s="217"/>
    </row>
    <row r="121" spans="1:185" s="216" customFormat="1" ht="15" customHeight="1" outlineLevel="1">
      <c r="A121" s="1006" t="str">
        <f t="shared" si="2734"/>
        <v>MAYO  2026 2da QUINCENA</v>
      </c>
      <c r="B121" s="1006">
        <f t="shared" si="2735"/>
        <v>2026</v>
      </c>
      <c r="C121" s="1007" t="str">
        <f t="shared" si="1459"/>
        <v>MAYO  2026 2da QUINCENA2026</v>
      </c>
      <c r="D121" s="235" t="s">
        <v>651</v>
      </c>
      <c r="E121" s="235">
        <v>304030</v>
      </c>
      <c r="F121" s="268">
        <v>43</v>
      </c>
      <c r="G121" s="199" t="s">
        <v>672</v>
      </c>
      <c r="H121" s="200" t="s">
        <v>614</v>
      </c>
      <c r="I121" s="200" t="s">
        <v>11</v>
      </c>
      <c r="J121" s="203">
        <v>5000</v>
      </c>
      <c r="K121" s="837">
        <v>1100</v>
      </c>
      <c r="L121" s="873">
        <f>+J121+K121</f>
        <v>6100</v>
      </c>
      <c r="M121" s="203">
        <v>30</v>
      </c>
      <c r="N121" s="270">
        <v>0.4</v>
      </c>
      <c r="O121" s="204">
        <v>0.45</v>
      </c>
      <c r="P121" s="270">
        <v>0.15</v>
      </c>
      <c r="Q121" s="204">
        <v>0</v>
      </c>
      <c r="R121" s="204">
        <v>0</v>
      </c>
      <c r="S121" s="204">
        <f>+N121+O121+P121+Q121+R121</f>
        <v>1</v>
      </c>
      <c r="T121" s="814"/>
      <c r="U121" s="238">
        <v>11.5</v>
      </c>
      <c r="V121" s="203">
        <f t="shared" ref="V121:V123" si="2897">($J121/30/8*1.5)*U121</f>
        <v>359.375</v>
      </c>
      <c r="W121" s="265"/>
      <c r="X121" s="203">
        <f t="shared" ref="X121:X123" si="2898">($J121/30/8*2)*W121</f>
        <v>0</v>
      </c>
      <c r="Y121" s="207">
        <v>25</v>
      </c>
      <c r="Z121" s="239">
        <f t="shared" ref="Z121:Z123" si="2899">($J121/30/8*1.5)*Y121</f>
        <v>781.25</v>
      </c>
      <c r="AA121" s="207"/>
      <c r="AB121" s="203">
        <f t="shared" ref="AB121:AB123" si="2900">($J121/30/8*2)*AA121</f>
        <v>0</v>
      </c>
      <c r="AC121" s="207"/>
      <c r="AD121" s="203">
        <f t="shared" ref="AD121:AD123" si="2901">(($J121/30/8)*1.5)*AC121</f>
        <v>0</v>
      </c>
      <c r="AE121" s="208"/>
      <c r="AF121" s="203">
        <f t="shared" ref="AF121:AF123" si="2902">(($J121/30/8)*2)*AE121</f>
        <v>0</v>
      </c>
      <c r="AG121" s="208"/>
      <c r="AH121" s="203">
        <f t="shared" ref="AH121:AH123" si="2903">(($J121/30/8)*1.5)*AG121</f>
        <v>0</v>
      </c>
      <c r="AI121" s="208"/>
      <c r="AJ121" s="203">
        <f t="shared" ref="AJ121:AJ123" si="2904">(($J121/30/8)*2)*AI121</f>
        <v>0</v>
      </c>
      <c r="AK121" s="203"/>
      <c r="AL121" s="203">
        <f t="shared" ref="AL121:AL123" si="2905">(($J121/30/8)*1.5)*AK121</f>
        <v>0</v>
      </c>
      <c r="AM121" s="208"/>
      <c r="AN121" s="203">
        <f t="shared" ref="AN121:AN123" si="2906">(($J121/30/8)*2)*AM121</f>
        <v>0</v>
      </c>
      <c r="AO121" s="202"/>
      <c r="AP121" s="202"/>
      <c r="AQ121" s="202"/>
      <c r="AR121" s="202"/>
      <c r="AS121" s="202"/>
      <c r="AT121" s="202"/>
      <c r="AU121" s="202"/>
      <c r="AV121" s="202"/>
      <c r="AW121" s="202"/>
      <c r="AX121" s="202"/>
      <c r="AY121" s="202"/>
      <c r="AZ121" s="240"/>
      <c r="BA121" s="203">
        <f t="shared" ref="BA121:BA123" si="2907">((J121/30)*M121)*$N121</f>
        <v>2000</v>
      </c>
      <c r="BB121" s="787">
        <f t="shared" ref="BB121:BB125" si="2908">((K121/30)*M121)*$N121</f>
        <v>440</v>
      </c>
      <c r="BC121" s="203">
        <f t="shared" ref="BC121:BC125" si="2909">U121</f>
        <v>11.5</v>
      </c>
      <c r="BD121" s="203">
        <f t="shared" ref="BD121:BD123" si="2910">V121</f>
        <v>359.375</v>
      </c>
      <c r="BE121" s="203">
        <f t="shared" ref="BE121:BE123" si="2911">W121</f>
        <v>0</v>
      </c>
      <c r="BF121" s="203">
        <f t="shared" ref="BF121:BF123" si="2912">X121</f>
        <v>0</v>
      </c>
      <c r="BG121" s="203">
        <f t="shared" ref="BG121:BG123" si="2913">AO121+AT121</f>
        <v>0</v>
      </c>
      <c r="BH121" s="203">
        <f t="shared" si="2754"/>
        <v>298.93281250000001</v>
      </c>
      <c r="BI121" s="203">
        <f t="shared" ref="BI121:BI123" si="2914">SUM(BA121:BH121)-BC121-BE121</f>
        <v>3098.3078125000002</v>
      </c>
      <c r="BJ121" s="203">
        <f t="shared" si="2756"/>
        <v>2250</v>
      </c>
      <c r="BK121" s="203">
        <f t="shared" ref="BK121:BK124" si="2915">(($K121/30)*$M121)*$O121</f>
        <v>495</v>
      </c>
      <c r="BL121" s="203">
        <f t="shared" ref="BL121:BL123" si="2916">Y121</f>
        <v>25</v>
      </c>
      <c r="BM121" s="203">
        <f t="shared" ref="BM121:BM123" si="2917">Z121</f>
        <v>781.25</v>
      </c>
      <c r="BN121" s="203">
        <f t="shared" ref="BN121:BN123" si="2918">AA121</f>
        <v>0</v>
      </c>
      <c r="BO121" s="203">
        <f t="shared" ref="BO121:BO123" si="2919">AB121</f>
        <v>0</v>
      </c>
      <c r="BP121" s="203">
        <f t="shared" ref="BP121:BP125" si="2920">AP121+AU121</f>
        <v>0</v>
      </c>
      <c r="BQ121" s="203">
        <f t="shared" si="2763"/>
        <v>384.05937500000005</v>
      </c>
      <c r="BR121" s="202">
        <f t="shared" ref="BR121:BR125" si="2921">SUM(BJ121:BQ121)-BL121-BN121</f>
        <v>3910.3093749999998</v>
      </c>
      <c r="BS121" s="203">
        <f t="shared" si="2765"/>
        <v>750</v>
      </c>
      <c r="BT121" s="203">
        <f t="shared" ref="BT121:BT124" si="2922">(($K121/30)*$M121)*$P121</f>
        <v>165</v>
      </c>
      <c r="BU121" s="203">
        <f t="shared" ref="BU121:BU123" si="2923">AC121</f>
        <v>0</v>
      </c>
      <c r="BV121" s="203">
        <f t="shared" ref="BV121:BV123" si="2924">AD121</f>
        <v>0</v>
      </c>
      <c r="BW121" s="203">
        <f t="shared" ref="BW121:BW123" si="2925">AE121</f>
        <v>0</v>
      </c>
      <c r="BX121" s="203">
        <f t="shared" ref="BX121:BX123" si="2926">AF121</f>
        <v>0</v>
      </c>
      <c r="BY121" s="203">
        <f t="shared" ref="BY121:BY123" si="2927">AQ121+AV121</f>
        <v>0</v>
      </c>
      <c r="BZ121" s="203">
        <f t="shared" si="2771"/>
        <v>95.025000000000006</v>
      </c>
      <c r="CA121" s="203">
        <f t="shared" ref="CA121:CA123" si="2928">SUM(BS121:BZ121)-BU121-BW121</f>
        <v>1010.025</v>
      </c>
      <c r="CB121" s="241">
        <f t="shared" si="2773"/>
        <v>0</v>
      </c>
      <c r="CC121" s="242">
        <f t="shared" si="2774"/>
        <v>0</v>
      </c>
      <c r="CD121" s="242"/>
      <c r="CE121" s="242">
        <f t="shared" ref="CE121:CE123" si="2929">AH121</f>
        <v>0</v>
      </c>
      <c r="CF121" s="242"/>
      <c r="CG121" s="242">
        <f t="shared" ref="CG121:CG123" si="2930">AJ121</f>
        <v>0</v>
      </c>
      <c r="CH121" s="242"/>
      <c r="CI121" s="703">
        <f t="shared" si="2776"/>
        <v>0</v>
      </c>
      <c r="CJ121" s="242">
        <f t="shared" ref="CJ121" si="2931">SUM(CB121:CI121)</f>
        <v>0</v>
      </c>
      <c r="CK121" s="242">
        <f t="shared" ref="CK121:CK123" si="2932">(($J121/30)*$M121)*R121</f>
        <v>0</v>
      </c>
      <c r="CL121" s="242">
        <f t="shared" si="2778"/>
        <v>0</v>
      </c>
      <c r="CM121" s="990">
        <f t="shared" ref="CM121:CM125" si="2933">+AK121</f>
        <v>0</v>
      </c>
      <c r="CN121" s="242">
        <f t="shared" ref="CN121:CN123" si="2934">AL121</f>
        <v>0</v>
      </c>
      <c r="CO121" s="242"/>
      <c r="CP121" s="242">
        <f t="shared" ref="CP121:CP123" si="2935">AN121</f>
        <v>0</v>
      </c>
      <c r="CQ121" s="242"/>
      <c r="CR121" s="242">
        <f t="shared" ref="CR121:CR123" si="2936">(CK121+CN121+CP121)*0.1267</f>
        <v>0</v>
      </c>
      <c r="CS121" s="991">
        <f t="shared" ref="CS121:CS125" si="2937">SUM(CK121:CR121)-CM121-CO121</f>
        <v>0</v>
      </c>
      <c r="CU121" s="201" t="s">
        <v>11</v>
      </c>
      <c r="CV121" s="203">
        <f t="shared" si="2784"/>
        <v>0</v>
      </c>
      <c r="CW121" s="203">
        <f t="shared" si="2785"/>
        <v>0</v>
      </c>
      <c r="CX121" s="203">
        <f t="shared" si="2786"/>
        <v>0</v>
      </c>
      <c r="CY121" s="203">
        <f t="shared" si="2787"/>
        <v>0</v>
      </c>
      <c r="CZ121" s="203">
        <f t="shared" si="2788"/>
        <v>0</v>
      </c>
      <c r="DA121" s="203">
        <f t="shared" si="2789"/>
        <v>0</v>
      </c>
      <c r="DB121" s="203">
        <f t="shared" si="2790"/>
        <v>0</v>
      </c>
      <c r="DC121" s="203">
        <f t="shared" ref="DC121:DC125" si="2938">IF($CU121="PROQUIMA",$BH121+$BQ121+$BZ121+$CI121+CR121,0)</f>
        <v>0</v>
      </c>
      <c r="DD121" s="203">
        <f t="shared" ref="DD121:DD125" si="2939">SUM(CV121:DC121)-CX121-CZ121</f>
        <v>0</v>
      </c>
      <c r="DE121" s="203">
        <f t="shared" si="2793"/>
        <v>0</v>
      </c>
      <c r="DF121" s="203">
        <f t="shared" si="2794"/>
        <v>0</v>
      </c>
      <c r="DG121" s="239">
        <f t="shared" si="2795"/>
        <v>0</v>
      </c>
      <c r="DH121" s="239">
        <f t="shared" si="2796"/>
        <v>0</v>
      </c>
      <c r="DI121" s="239">
        <f t="shared" si="2797"/>
        <v>0</v>
      </c>
      <c r="DJ121" s="203">
        <f t="shared" si="2798"/>
        <v>0</v>
      </c>
      <c r="DK121" s="203">
        <f t="shared" si="2799"/>
        <v>0</v>
      </c>
      <c r="DL121" s="203">
        <f t="shared" si="2800"/>
        <v>0</v>
      </c>
      <c r="DM121" s="203">
        <f t="shared" ref="DM121:DM125" si="2940">SUM(DE121:DL121)-DG121-DI121</f>
        <v>0</v>
      </c>
      <c r="DN121" s="210">
        <f t="shared" si="2802"/>
        <v>0</v>
      </c>
      <c r="DO121" s="210">
        <f t="shared" si="2803"/>
        <v>0</v>
      </c>
      <c r="DP121" s="210">
        <f t="shared" si="2804"/>
        <v>0</v>
      </c>
      <c r="DQ121" s="210">
        <f t="shared" si="2805"/>
        <v>0</v>
      </c>
      <c r="DR121" s="210">
        <f t="shared" si="2806"/>
        <v>0</v>
      </c>
      <c r="DS121" s="210">
        <f t="shared" si="2807"/>
        <v>0</v>
      </c>
      <c r="DT121" s="210">
        <f t="shared" si="2808"/>
        <v>0</v>
      </c>
      <c r="DU121" s="210">
        <f t="shared" si="2809"/>
        <v>0</v>
      </c>
      <c r="DV121" s="210">
        <f t="shared" ref="DV121:DV125" si="2941">SUM(DN121:DU121)-DP121-DR121</f>
        <v>0</v>
      </c>
      <c r="DW121" s="241">
        <f>IF($CU121="CLEARTEC",$BA121+$BJ121+$BS121+$CB121+$CK121,0)</f>
        <v>0</v>
      </c>
      <c r="DX121" s="241">
        <f t="shared" si="2873"/>
        <v>0</v>
      </c>
      <c r="DY121" s="241">
        <f t="shared" si="2873"/>
        <v>0</v>
      </c>
      <c r="DZ121" s="241">
        <f t="shared" si="2873"/>
        <v>0</v>
      </c>
      <c r="EA121" s="241">
        <f t="shared" si="2873"/>
        <v>0</v>
      </c>
      <c r="EB121" s="241">
        <f t="shared" si="2873"/>
        <v>0</v>
      </c>
      <c r="EC121" s="241">
        <f t="shared" si="2873"/>
        <v>0</v>
      </c>
      <c r="ED121" s="241">
        <f t="shared" si="2873"/>
        <v>0</v>
      </c>
      <c r="EE121" s="242">
        <f t="shared" ref="EE121:EE123" si="2942">SUM(DW121:ED121)-DY121-EA121</f>
        <v>0</v>
      </c>
      <c r="EF121" s="203">
        <f t="shared" ref="EF121:EF125" si="2943">IF(CU121="ECONACIONAL",$BA121+$BJ121+$BS121+$CB121+$CK121)</f>
        <v>5000</v>
      </c>
      <c r="EG121" s="242">
        <f t="shared" si="2814"/>
        <v>1100</v>
      </c>
      <c r="EH121" s="203">
        <f t="shared" si="2815"/>
        <v>36.5</v>
      </c>
      <c r="EI121" s="203">
        <f t="shared" si="2816"/>
        <v>1140.625</v>
      </c>
      <c r="EJ121" s="242">
        <f t="shared" si="2817"/>
        <v>0</v>
      </c>
      <c r="EK121" s="203">
        <f t="shared" ref="EK121:EK125" si="2944">IF(CU121="ECONACIONAL",$BF121+$BO121+$BX121+$CG121+$CP121)</f>
        <v>0</v>
      </c>
      <c r="EL121" s="203">
        <f t="shared" ref="EL121:EL125" si="2945">IF(CU121="ECONACIONAL",$BG121+$BP121+$BY121+$CH121+$CQ121)</f>
        <v>0</v>
      </c>
      <c r="EM121" s="203">
        <f t="shared" ref="EM121:EM125" si="2946">IF(CU121="ECONACIONAL",BH121+BQ121+BZ121+CI121+CR121)</f>
        <v>778.01718749999998</v>
      </c>
      <c r="EN121" s="203">
        <f t="shared" ref="EN121:EN125" si="2947">SUM(EF121:EM121)-EH121-EJ121</f>
        <v>8018.6421874999996</v>
      </c>
      <c r="EP121" s="201">
        <v>162</v>
      </c>
      <c r="EQ121" s="201"/>
      <c r="ER121" s="201"/>
      <c r="ES121" s="201"/>
      <c r="ET121" s="201"/>
      <c r="EU121" s="201"/>
      <c r="EV121" s="201"/>
      <c r="EW121" s="200"/>
      <c r="EX121" s="201"/>
      <c r="EY121" s="201">
        <f t="shared" si="2822"/>
        <v>0</v>
      </c>
      <c r="EZ121" s="821"/>
      <c r="FA121" s="207">
        <f t="shared" ref="FA121:FA123" si="2948">IF($M121&lt;=15,EP121/2,EP121)</f>
        <v>162</v>
      </c>
      <c r="FB121" s="207">
        <f t="shared" ref="FB121:FB123" si="2949">IF($M121&lt;=15,EQ121/2,EQ121)</f>
        <v>0</v>
      </c>
      <c r="FC121" s="207">
        <f t="shared" ref="FC121:FC123" si="2950">IF($M121&lt;=15,ER121/2,ER121)</f>
        <v>0</v>
      </c>
      <c r="FD121" s="207">
        <f t="shared" ref="FD121:FD123" si="2951">IF($M121&lt;=15,ES121/2,ES121)</f>
        <v>0</v>
      </c>
      <c r="FE121" s="207">
        <f t="shared" ref="FE121:FE123" si="2952">IF($M121&lt;=15,ET121/2,ET121)</f>
        <v>0</v>
      </c>
      <c r="FF121" s="207">
        <f t="shared" ref="FF121:FF123" si="2953">IF($M121&lt;=15,EU121/2,EU121)</f>
        <v>0</v>
      </c>
      <c r="FG121" s="207">
        <f t="shared" ref="FG121:FG123" si="2954">IF($M121&lt;=15,EV121/2,EV121)</f>
        <v>0</v>
      </c>
      <c r="FH121" s="207">
        <f t="shared" ref="FH121:FH123" si="2955">IF($M121&lt;=15,EW121/2,EW121)</f>
        <v>0</v>
      </c>
      <c r="FI121" s="207">
        <f t="shared" ref="FI121:FI123" si="2956">IF($M121&lt;=15,EX121/2,EX121)</f>
        <v>0</v>
      </c>
      <c r="FJ121" s="207">
        <f t="shared" ref="FJ121:FJ125" si="2957">IF($M121&lt;=15,EY121/2,EY121)</f>
        <v>0</v>
      </c>
      <c r="FK121" s="217"/>
      <c r="FL121" s="217"/>
      <c r="FM121" s="217"/>
      <c r="FN121" s="217"/>
      <c r="FO121" s="217"/>
      <c r="FP121" s="217"/>
      <c r="FR121" s="1185">
        <f t="shared" ref="FR121:FR125" si="2958">(((J121/30/8)*1.5)*(U121+Y121+AC121))-(BD121+BM121+BV121)</f>
        <v>0</v>
      </c>
      <c r="FS121" s="1185">
        <f t="shared" ref="FS121:FS125" si="2959">(((J121/30/8)*2)*(W121+AA121+AE121))-(BF121+BO121+BX121)</f>
        <v>0</v>
      </c>
      <c r="FT121" s="1186">
        <f t="shared" ref="FT121:FT125" si="2960">(SUM(BA121:CJ121))-(SUM(EF121:EN121))</f>
        <v>0</v>
      </c>
      <c r="FU121" s="1185">
        <f t="shared" ref="FU121:FU125" si="2961">(J121/30*M121)-(EF121)</f>
        <v>0</v>
      </c>
      <c r="FV121" s="1187">
        <f t="shared" ref="FV121:FV125" si="2962">(SUM(EP121:EY121))-((SUM(FA121:FJ121))*$FV$5)</f>
        <v>-162</v>
      </c>
    </row>
    <row r="122" spans="1:185" s="216" customFormat="1" ht="15" customHeight="1" outlineLevel="1">
      <c r="A122" s="1006"/>
      <c r="B122" s="1006"/>
      <c r="C122" s="1007"/>
      <c r="D122" s="235"/>
      <c r="E122" s="235">
        <v>304030</v>
      </c>
      <c r="F122" s="268"/>
      <c r="G122" s="199" t="s">
        <v>742</v>
      </c>
      <c r="H122" s="200" t="s">
        <v>336</v>
      </c>
      <c r="I122" s="200" t="s">
        <v>11</v>
      </c>
      <c r="J122" s="203">
        <v>4387.55</v>
      </c>
      <c r="K122" s="837">
        <v>1112.45</v>
      </c>
      <c r="L122" s="873">
        <f>+J122+K122</f>
        <v>5500</v>
      </c>
      <c r="M122" s="203">
        <v>25</v>
      </c>
      <c r="N122" s="270">
        <v>0.5</v>
      </c>
      <c r="O122" s="204">
        <v>0.3</v>
      </c>
      <c r="P122" s="270">
        <v>0.2</v>
      </c>
      <c r="Q122" s="204">
        <v>0</v>
      </c>
      <c r="R122" s="204">
        <v>0</v>
      </c>
      <c r="S122" s="204">
        <f>+N122+O122+P122+Q122+R122</f>
        <v>1</v>
      </c>
      <c r="T122" s="814" t="s">
        <v>775</v>
      </c>
      <c r="U122" s="238">
        <v>8.5</v>
      </c>
      <c r="V122" s="203">
        <f t="shared" ref="V122" si="2963">($J122/30/8*1.5)*U122</f>
        <v>233.08859375</v>
      </c>
      <c r="W122" s="265"/>
      <c r="X122" s="203">
        <f t="shared" ref="X122" si="2964">($J122/30/8*2)*W122</f>
        <v>0</v>
      </c>
      <c r="Y122" s="207">
        <v>2</v>
      </c>
      <c r="Z122" s="239">
        <f t="shared" ref="Z122" si="2965">($J122/30/8*1.5)*Y122</f>
        <v>54.844374999999999</v>
      </c>
      <c r="AA122" s="207"/>
      <c r="AB122" s="203">
        <f t="shared" ref="AB122" si="2966">($J122/30/8*2)*AA122</f>
        <v>0</v>
      </c>
      <c r="AC122" s="207"/>
      <c r="AD122" s="203">
        <f t="shared" ref="AD122" si="2967">(($J122/30/8)*1.5)*AC122</f>
        <v>0</v>
      </c>
      <c r="AE122" s="208"/>
      <c r="AF122" s="203">
        <f t="shared" ref="AF122" si="2968">(($J122/30/8)*2)*AE122</f>
        <v>0</v>
      </c>
      <c r="AG122" s="208"/>
      <c r="AH122" s="203">
        <f t="shared" ref="AH122" si="2969">(($J122/30/8)*1.5)*AG122</f>
        <v>0</v>
      </c>
      <c r="AI122" s="208"/>
      <c r="AJ122" s="203">
        <f t="shared" ref="AJ122" si="2970">(($J122/30/8)*2)*AI122</f>
        <v>0</v>
      </c>
      <c r="AK122" s="203"/>
      <c r="AL122" s="203">
        <f t="shared" ref="AL122" si="2971">(($J122/30/8)*1.5)*AK122</f>
        <v>0</v>
      </c>
      <c r="AM122" s="208"/>
      <c r="AN122" s="203">
        <f t="shared" ref="AN122" si="2972">(($J122/30/8)*2)*AM122</f>
        <v>0</v>
      </c>
      <c r="AO122" s="202"/>
      <c r="AP122" s="202"/>
      <c r="AQ122" s="202"/>
      <c r="AR122" s="202"/>
      <c r="AS122" s="202"/>
      <c r="AT122" s="202"/>
      <c r="AU122" s="202"/>
      <c r="AV122" s="202"/>
      <c r="AW122" s="202"/>
      <c r="AX122" s="202"/>
      <c r="AY122" s="202"/>
      <c r="AZ122" s="240"/>
      <c r="BA122" s="203">
        <f t="shared" ref="BA122" si="2973">((J122/30)*M122)*$N122</f>
        <v>1828.1458333333333</v>
      </c>
      <c r="BB122" s="787">
        <f>((K122/30)*M122)*$N122</f>
        <v>463.52083333333337</v>
      </c>
      <c r="BC122" s="203">
        <f t="shared" ref="BC122" si="2974">U122</f>
        <v>8.5</v>
      </c>
      <c r="BD122" s="203">
        <f t="shared" ref="BD122" si="2975">V122</f>
        <v>233.08859375</v>
      </c>
      <c r="BE122" s="203">
        <f t="shared" ref="BE122" si="2976">W122</f>
        <v>0</v>
      </c>
      <c r="BF122" s="203">
        <f t="shared" ref="BF122" si="2977">X122</f>
        <v>0</v>
      </c>
      <c r="BG122" s="203">
        <f t="shared" ref="BG122" si="2978">AO122+AT122</f>
        <v>0</v>
      </c>
      <c r="BH122" s="203">
        <f t="shared" si="2754"/>
        <v>261.15840191145833</v>
      </c>
      <c r="BI122" s="203">
        <f t="shared" ref="BI122" si="2979">SUM(BA122:BH122)-BC122-BE122</f>
        <v>2785.9136623281252</v>
      </c>
      <c r="BJ122" s="203">
        <f t="shared" si="2756"/>
        <v>1096.8874999999998</v>
      </c>
      <c r="BK122" s="203">
        <f>(($K122/30)*$M122)*$O122</f>
        <v>278.11250000000001</v>
      </c>
      <c r="BL122" s="203">
        <f t="shared" ref="BL122" si="2980">Y122</f>
        <v>2</v>
      </c>
      <c r="BM122" s="203">
        <f t="shared" ref="BM122" si="2981">Z122</f>
        <v>54.844374999999999</v>
      </c>
      <c r="BN122" s="203">
        <f t="shared" ref="BN122" si="2982">AA122</f>
        <v>0</v>
      </c>
      <c r="BO122" s="203">
        <f t="shared" ref="BO122" si="2983">AB122</f>
        <v>0</v>
      </c>
      <c r="BP122" s="203">
        <f t="shared" ref="BP122" si="2984">AP122+AU122</f>
        <v>0</v>
      </c>
      <c r="BQ122" s="203">
        <f t="shared" si="2763"/>
        <v>145.92442856249997</v>
      </c>
      <c r="BR122" s="202">
        <f t="shared" ref="BR122" si="2985">SUM(BJ122:BQ122)-BL122-BN122</f>
        <v>1575.7688035624997</v>
      </c>
      <c r="BS122" s="203">
        <f t="shared" si="2765"/>
        <v>731.25833333333333</v>
      </c>
      <c r="BT122" s="203">
        <f t="shared" si="2922"/>
        <v>185.40833333333336</v>
      </c>
      <c r="BU122" s="203">
        <f t="shared" ref="BU122" si="2986">AC122</f>
        <v>0</v>
      </c>
      <c r="BV122" s="203">
        <f t="shared" ref="BV122" si="2987">AD122</f>
        <v>0</v>
      </c>
      <c r="BW122" s="203">
        <f t="shared" ref="BW122" si="2988">AE122</f>
        <v>0</v>
      </c>
      <c r="BX122" s="203">
        <f t="shared" ref="BX122" si="2989">AF122</f>
        <v>0</v>
      </c>
      <c r="BY122" s="203">
        <f t="shared" ref="BY122" si="2990">AQ122+AV122</f>
        <v>0</v>
      </c>
      <c r="BZ122" s="203">
        <f t="shared" si="2771"/>
        <v>92.650430833333331</v>
      </c>
      <c r="CA122" s="203">
        <f t="shared" ref="CA122" si="2991">SUM(BS122:BZ122)-BU122-BW122</f>
        <v>1009.3170975</v>
      </c>
      <c r="CB122" s="241">
        <f t="shared" si="2773"/>
        <v>0</v>
      </c>
      <c r="CC122" s="242">
        <f t="shared" si="2774"/>
        <v>0</v>
      </c>
      <c r="CD122" s="242"/>
      <c r="CE122" s="242">
        <f t="shared" ref="CE122" si="2992">AH122</f>
        <v>0</v>
      </c>
      <c r="CF122" s="242"/>
      <c r="CG122" s="242">
        <f t="shared" ref="CG122" si="2993">AJ122</f>
        <v>0</v>
      </c>
      <c r="CH122" s="242"/>
      <c r="CI122" s="703">
        <f t="shared" si="2776"/>
        <v>0</v>
      </c>
      <c r="CJ122" s="242">
        <f t="shared" ref="CJ122" si="2994">SUM(CB122:CI122)</f>
        <v>0</v>
      </c>
      <c r="CK122" s="242">
        <f t="shared" ref="CK122" si="2995">(($J122/30)*$M122)*R122</f>
        <v>0</v>
      </c>
      <c r="CL122" s="242">
        <f t="shared" si="2778"/>
        <v>0</v>
      </c>
      <c r="CM122" s="990">
        <f t="shared" ref="CM122" si="2996">+AK122</f>
        <v>0</v>
      </c>
      <c r="CN122" s="242">
        <f t="shared" ref="CN122" si="2997">AL122</f>
        <v>0</v>
      </c>
      <c r="CO122" s="242"/>
      <c r="CP122" s="242">
        <f t="shared" ref="CP122" si="2998">AN122</f>
        <v>0</v>
      </c>
      <c r="CQ122" s="242"/>
      <c r="CR122" s="242">
        <f t="shared" ref="CR122" si="2999">(CK122+CN122+CP122)*0.1267</f>
        <v>0</v>
      </c>
      <c r="CS122" s="991">
        <f t="shared" ref="CS122" si="3000">SUM(CK122:CR122)-CM122-CO122</f>
        <v>0</v>
      </c>
      <c r="CU122" s="201" t="s">
        <v>11</v>
      </c>
      <c r="CV122" s="203">
        <f t="shared" si="2784"/>
        <v>0</v>
      </c>
      <c r="CW122" s="203">
        <f t="shared" si="2785"/>
        <v>0</v>
      </c>
      <c r="CX122" s="203">
        <f t="shared" si="2786"/>
        <v>0</v>
      </c>
      <c r="CY122" s="203">
        <f t="shared" si="2787"/>
        <v>0</v>
      </c>
      <c r="CZ122" s="203">
        <f t="shared" si="2788"/>
        <v>0</v>
      </c>
      <c r="DA122" s="203">
        <f t="shared" si="2789"/>
        <v>0</v>
      </c>
      <c r="DB122" s="203">
        <f t="shared" si="2790"/>
        <v>0</v>
      </c>
      <c r="DC122" s="203">
        <f t="shared" ref="DC122" si="3001">IF($CU122="PROQUIMA",$BH122+$BQ122+$BZ122+$CI122+CR122,0)</f>
        <v>0</v>
      </c>
      <c r="DD122" s="203">
        <f t="shared" ref="DD122" si="3002">SUM(CV122:DC122)-CX122-CZ122</f>
        <v>0</v>
      </c>
      <c r="DE122" s="203">
        <f t="shared" si="2793"/>
        <v>0</v>
      </c>
      <c r="DF122" s="203">
        <f t="shared" si="2794"/>
        <v>0</v>
      </c>
      <c r="DG122" s="239">
        <f t="shared" si="2795"/>
        <v>0</v>
      </c>
      <c r="DH122" s="239">
        <f t="shared" si="2796"/>
        <v>0</v>
      </c>
      <c r="DI122" s="239">
        <f t="shared" si="2797"/>
        <v>0</v>
      </c>
      <c r="DJ122" s="203">
        <f t="shared" si="2798"/>
        <v>0</v>
      </c>
      <c r="DK122" s="203">
        <f t="shared" si="2799"/>
        <v>0</v>
      </c>
      <c r="DL122" s="203">
        <f t="shared" si="2800"/>
        <v>0</v>
      </c>
      <c r="DM122" s="203">
        <f t="shared" ref="DM122" si="3003">SUM(DE122:DL122)-DG122-DI122</f>
        <v>0</v>
      </c>
      <c r="DN122" s="210">
        <f t="shared" si="2802"/>
        <v>0</v>
      </c>
      <c r="DO122" s="210">
        <f t="shared" si="2803"/>
        <v>0</v>
      </c>
      <c r="DP122" s="210">
        <f t="shared" si="2804"/>
        <v>0</v>
      </c>
      <c r="DQ122" s="210">
        <f t="shared" si="2805"/>
        <v>0</v>
      </c>
      <c r="DR122" s="210">
        <f t="shared" si="2806"/>
        <v>0</v>
      </c>
      <c r="DS122" s="210">
        <f t="shared" si="2807"/>
        <v>0</v>
      </c>
      <c r="DT122" s="210">
        <f t="shared" si="2808"/>
        <v>0</v>
      </c>
      <c r="DU122" s="210">
        <f t="shared" si="2809"/>
        <v>0</v>
      </c>
      <c r="DV122" s="210">
        <f t="shared" ref="DV122" si="3004">SUM(DN122:DU122)-DP122-DR122</f>
        <v>0</v>
      </c>
      <c r="DW122" s="241">
        <f>IF($CU122="CLEARTEC",$BA122+$BJ122+$BS122+$CB122+$CK122,0)</f>
        <v>0</v>
      </c>
      <c r="DX122" s="241">
        <f t="shared" si="2873"/>
        <v>0</v>
      </c>
      <c r="DY122" s="241">
        <f t="shared" si="2873"/>
        <v>0</v>
      </c>
      <c r="DZ122" s="241">
        <f t="shared" si="2873"/>
        <v>0</v>
      </c>
      <c r="EA122" s="241">
        <f t="shared" si="2873"/>
        <v>0</v>
      </c>
      <c r="EB122" s="241">
        <f t="shared" si="2873"/>
        <v>0</v>
      </c>
      <c r="EC122" s="241">
        <f t="shared" si="2873"/>
        <v>0</v>
      </c>
      <c r="ED122" s="241">
        <f t="shared" si="2873"/>
        <v>0</v>
      </c>
      <c r="EE122" s="242">
        <f t="shared" ref="EE122" si="3005">SUM(DW122:ED122)-DY122-EA122</f>
        <v>0</v>
      </c>
      <c r="EF122" s="203">
        <f t="shared" ref="EF122" si="3006">IF(CU122="ECONACIONAL",$BA122+$BJ122+$BS122+$CB122+$CK122)</f>
        <v>3656.2916666666661</v>
      </c>
      <c r="EG122" s="242">
        <f t="shared" si="2814"/>
        <v>927.04166666666674</v>
      </c>
      <c r="EH122" s="203">
        <f t="shared" ref="EH122" si="3007">IF(CU122="ECONACIONAL",$BC122+$BL122+$BU122+$CD122+$CM122)</f>
        <v>10.5</v>
      </c>
      <c r="EI122" s="203">
        <f t="shared" ref="EI122" si="3008">IF(CU122="ECONACIONAL",$BD122+$DH122+$DQ122+$DZ122+BM122+BV122+CE122+CN122)</f>
        <v>287.93296874999999</v>
      </c>
      <c r="EJ122" s="242">
        <f t="shared" si="2817"/>
        <v>0</v>
      </c>
      <c r="EK122" s="203">
        <f t="shared" ref="EK122" si="3009">IF(CU122="ECONACIONAL",$BF122+$BO122+$BX122+$CG122+$CP122)</f>
        <v>0</v>
      </c>
      <c r="EL122" s="203">
        <f t="shared" ref="EL122" si="3010">IF(CU122="ECONACIONAL",$BG122+$BP122+$BY122+$CH122+$CQ122)</f>
        <v>0</v>
      </c>
      <c r="EM122" s="203">
        <f t="shared" ref="EM122" si="3011">IF(CU122="ECONACIONAL",BH122+BQ122+BZ122+CI122+CR122)</f>
        <v>499.73326130729163</v>
      </c>
      <c r="EN122" s="203">
        <f t="shared" ref="EN122" si="3012">SUM(EF122:EM122)-EH122-EJ122</f>
        <v>5370.9995633906246</v>
      </c>
      <c r="EP122" s="201"/>
      <c r="EQ122" s="201"/>
      <c r="ER122" s="201"/>
      <c r="ES122" s="201"/>
      <c r="ET122" s="201"/>
      <c r="EU122" s="201"/>
      <c r="EV122" s="201"/>
      <c r="EW122" s="200"/>
      <c r="EX122" s="200"/>
      <c r="EY122" s="201">
        <f t="shared" ref="EY122" si="3013">+ET122+EU122+EV122</f>
        <v>0</v>
      </c>
      <c r="EZ122" s="821"/>
      <c r="FA122" s="207">
        <f t="shared" ref="FA122" si="3014">IF($M122&lt;=15,EP122/2,EP122)</f>
        <v>0</v>
      </c>
      <c r="FB122" s="207">
        <f t="shared" ref="FB122" si="3015">IF($M122&lt;=15,EQ122/2,EQ122)</f>
        <v>0</v>
      </c>
      <c r="FC122" s="207">
        <f t="shared" ref="FC122" si="3016">IF($M122&lt;=15,ER122/2,ER122)</f>
        <v>0</v>
      </c>
      <c r="FD122" s="207">
        <f t="shared" ref="FD122" si="3017">IF($M122&lt;=15,ES122/2,ES122)</f>
        <v>0</v>
      </c>
      <c r="FE122" s="207">
        <f t="shared" ref="FE122" si="3018">IF($M122&lt;=15,ET122/2,ET122)</f>
        <v>0</v>
      </c>
      <c r="FF122" s="207">
        <f t="shared" ref="FF122" si="3019">IF($M122&lt;=15,EU122/2,EU122)</f>
        <v>0</v>
      </c>
      <c r="FG122" s="207">
        <f t="shared" ref="FG122" si="3020">IF($M122&lt;=15,EV122/2,EV122)</f>
        <v>0</v>
      </c>
      <c r="FH122" s="207">
        <f t="shared" ref="FH122" si="3021">IF($M122&lt;=15,EW122/2,EW122)</f>
        <v>0</v>
      </c>
      <c r="FI122" s="207">
        <f t="shared" ref="FI122" si="3022">IF($M122&lt;=15,EX122/2,EX122)</f>
        <v>0</v>
      </c>
      <c r="FJ122" s="207">
        <f t="shared" ref="FJ122" si="3023">IF($M122&lt;=15,EY122/2,EY122)</f>
        <v>0</v>
      </c>
      <c r="FK122" s="217"/>
      <c r="FL122" s="217"/>
      <c r="FM122" s="217"/>
      <c r="FN122" s="217"/>
      <c r="FO122" s="217"/>
      <c r="FP122" s="217"/>
      <c r="FR122" s="1185">
        <f t="shared" ref="FR122" si="3024">(((J122/30/8)*1.5)*(U122+Y122+AC122))-(BD122+BM122+BV122)</f>
        <v>0</v>
      </c>
      <c r="FS122" s="1185">
        <f t="shared" ref="FS122" si="3025">(((J122/30/8)*2)*(W122+AA122+AE122))-(BF122+BO122+BX122)</f>
        <v>0</v>
      </c>
      <c r="FT122" s="1186">
        <f t="shared" ref="FT122" si="3026">(SUM(BA122:CJ122))-(SUM(EF122:EN122))</f>
        <v>0</v>
      </c>
      <c r="FU122" s="1185">
        <f t="shared" ref="FU122" si="3027">(J122/30*M122)-(EF122)</f>
        <v>0</v>
      </c>
      <c r="FV122" s="1187">
        <f t="shared" ref="FV122" si="3028">(SUM(EP122:EY122))-((SUM(FA122:FJ122))*$FV$5)</f>
        <v>0</v>
      </c>
    </row>
    <row r="123" spans="1:185" s="216" customFormat="1" ht="15" customHeight="1" outlineLevel="1">
      <c r="A123" s="1006" t="str">
        <f>$G$4</f>
        <v>MAYO  2026 2da QUINCENA</v>
      </c>
      <c r="B123" s="1006">
        <f>+$G$5</f>
        <v>2026</v>
      </c>
      <c r="C123" s="1007" t="str">
        <f t="shared" ref="C123" si="3029">A123 &amp; B123</f>
        <v>MAYO  2026 2da QUINCENA2026</v>
      </c>
      <c r="D123" s="235" t="str">
        <f t="shared" ref="D123" si="3030">+$G$85</f>
        <v>BODEGA MP</v>
      </c>
      <c r="E123" s="235">
        <v>304030</v>
      </c>
      <c r="F123" s="268">
        <f t="shared" ref="F123" si="3031">+F121+1</f>
        <v>44</v>
      </c>
      <c r="G123" s="199" t="s">
        <v>671</v>
      </c>
      <c r="H123" s="200" t="s">
        <v>614</v>
      </c>
      <c r="I123" s="201" t="s">
        <v>11</v>
      </c>
      <c r="J123" s="203">
        <v>4100</v>
      </c>
      <c r="K123" s="202">
        <v>550</v>
      </c>
      <c r="L123" s="837">
        <f t="shared" ref="L123" si="3032">+J123+K123</f>
        <v>4650</v>
      </c>
      <c r="M123" s="203">
        <v>30</v>
      </c>
      <c r="N123" s="204">
        <v>0.5</v>
      </c>
      <c r="O123" s="820">
        <v>0.3</v>
      </c>
      <c r="P123" s="204">
        <v>0.2</v>
      </c>
      <c r="Q123" s="204">
        <v>0</v>
      </c>
      <c r="R123" s="204">
        <v>0</v>
      </c>
      <c r="S123" s="204">
        <f t="shared" ref="S123" si="3033">SUM(N123:R123)</f>
        <v>1</v>
      </c>
      <c r="T123" s="814"/>
      <c r="U123" s="238">
        <v>7</v>
      </c>
      <c r="V123" s="203">
        <f t="shared" si="2897"/>
        <v>179.375</v>
      </c>
      <c r="W123" s="207"/>
      <c r="X123" s="203">
        <f t="shared" si="2898"/>
        <v>0</v>
      </c>
      <c r="Y123" s="207"/>
      <c r="Z123" s="203">
        <f t="shared" si="2899"/>
        <v>0</v>
      </c>
      <c r="AA123" s="206"/>
      <c r="AB123" s="203">
        <f t="shared" si="2900"/>
        <v>0</v>
      </c>
      <c r="AC123" s="207"/>
      <c r="AD123" s="203">
        <f t="shared" si="2901"/>
        <v>0</v>
      </c>
      <c r="AE123" s="208"/>
      <c r="AF123" s="203">
        <f t="shared" si="2902"/>
        <v>0</v>
      </c>
      <c r="AG123" s="208"/>
      <c r="AH123" s="203">
        <f t="shared" si="2903"/>
        <v>0</v>
      </c>
      <c r="AI123" s="208"/>
      <c r="AJ123" s="203">
        <f t="shared" si="2904"/>
        <v>0</v>
      </c>
      <c r="AK123" s="203"/>
      <c r="AL123" s="203">
        <f t="shared" si="2905"/>
        <v>0</v>
      </c>
      <c r="AM123" s="208"/>
      <c r="AN123" s="203">
        <f t="shared" si="2906"/>
        <v>0</v>
      </c>
      <c r="AO123" s="202"/>
      <c r="AP123" s="202"/>
      <c r="AQ123" s="202"/>
      <c r="AR123" s="202"/>
      <c r="AS123" s="202"/>
      <c r="AT123" s="202"/>
      <c r="AU123" s="202"/>
      <c r="AV123" s="202"/>
      <c r="AW123" s="202"/>
      <c r="AX123" s="202"/>
      <c r="AY123" s="202"/>
      <c r="AZ123" s="240"/>
      <c r="BA123" s="239">
        <f t="shared" si="2907"/>
        <v>2050</v>
      </c>
      <c r="BB123" s="239">
        <f>((K123/30)*M123)*$N123</f>
        <v>275</v>
      </c>
      <c r="BC123" s="837">
        <f t="shared" si="2909"/>
        <v>7</v>
      </c>
      <c r="BD123" s="203">
        <f t="shared" si="2910"/>
        <v>179.375</v>
      </c>
      <c r="BE123" s="203">
        <f t="shared" si="2911"/>
        <v>0</v>
      </c>
      <c r="BF123" s="203">
        <f t="shared" si="2912"/>
        <v>0</v>
      </c>
      <c r="BG123" s="203">
        <f t="shared" si="2913"/>
        <v>0</v>
      </c>
      <c r="BH123" s="203">
        <f t="shared" si="2754"/>
        <v>282.46181250000001</v>
      </c>
      <c r="BI123" s="203">
        <f t="shared" si="2914"/>
        <v>2786.8368125000002</v>
      </c>
      <c r="BJ123" s="203">
        <f>(($J123/30)*$M123)*$O123</f>
        <v>1230</v>
      </c>
      <c r="BK123" s="203">
        <f>(($K123/30)*$M123)*$O123</f>
        <v>165</v>
      </c>
      <c r="BL123" s="239">
        <f t="shared" si="2916"/>
        <v>0</v>
      </c>
      <c r="BM123" s="203">
        <f t="shared" si="2917"/>
        <v>0</v>
      </c>
      <c r="BN123" s="203">
        <f t="shared" si="2918"/>
        <v>0</v>
      </c>
      <c r="BO123" s="203">
        <f t="shared" si="2919"/>
        <v>0</v>
      </c>
      <c r="BP123" s="203">
        <f t="shared" si="2920"/>
        <v>0</v>
      </c>
      <c r="BQ123" s="203">
        <f t="shared" si="2763"/>
        <v>155.84100000000001</v>
      </c>
      <c r="BR123" s="202">
        <f t="shared" si="2921"/>
        <v>1550.8409999999999</v>
      </c>
      <c r="BS123" s="203">
        <f t="shared" si="2765"/>
        <v>820</v>
      </c>
      <c r="BT123" s="203">
        <f>(($K123/30)*$M123)*$P123</f>
        <v>110</v>
      </c>
      <c r="BU123" s="203">
        <f t="shared" si="2923"/>
        <v>0</v>
      </c>
      <c r="BV123" s="203">
        <f t="shared" si="2924"/>
        <v>0</v>
      </c>
      <c r="BW123" s="203">
        <f t="shared" si="2925"/>
        <v>0</v>
      </c>
      <c r="BX123" s="203">
        <f t="shared" si="2926"/>
        <v>0</v>
      </c>
      <c r="BY123" s="203">
        <f t="shared" si="2927"/>
        <v>0</v>
      </c>
      <c r="BZ123" s="203">
        <f t="shared" si="2771"/>
        <v>103.89400000000001</v>
      </c>
      <c r="CA123" s="203">
        <f t="shared" si="2928"/>
        <v>1033.894</v>
      </c>
      <c r="CB123" s="241">
        <f t="shared" si="2773"/>
        <v>0</v>
      </c>
      <c r="CC123" s="242">
        <f t="shared" si="2774"/>
        <v>0</v>
      </c>
      <c r="CD123" s="242">
        <f t="shared" ref="CD123" si="3034">AG123</f>
        <v>0</v>
      </c>
      <c r="CE123" s="242">
        <f t="shared" si="2929"/>
        <v>0</v>
      </c>
      <c r="CF123" s="242">
        <f t="shared" ref="CF123" si="3035">AI123</f>
        <v>0</v>
      </c>
      <c r="CG123" s="242">
        <f t="shared" si="2930"/>
        <v>0</v>
      </c>
      <c r="CH123" s="242">
        <f t="shared" ref="CH123" si="3036">AR123+AW123</f>
        <v>0</v>
      </c>
      <c r="CI123" s="703">
        <f t="shared" si="2776"/>
        <v>0</v>
      </c>
      <c r="CJ123" s="242">
        <f t="shared" ref="CJ123" si="3037">SUM(CB123:CI123)-CD123-CF123</f>
        <v>0</v>
      </c>
      <c r="CK123" s="242">
        <f t="shared" si="2932"/>
        <v>0</v>
      </c>
      <c r="CL123" s="242">
        <f t="shared" si="2778"/>
        <v>0</v>
      </c>
      <c r="CM123" s="242">
        <f>+AK123</f>
        <v>0</v>
      </c>
      <c r="CN123" s="242">
        <f t="shared" si="2934"/>
        <v>0</v>
      </c>
      <c r="CO123" s="242">
        <f t="shared" ref="CO123" si="3038">AM123</f>
        <v>0</v>
      </c>
      <c r="CP123" s="242">
        <f t="shared" si="2935"/>
        <v>0</v>
      </c>
      <c r="CQ123" s="242">
        <f t="shared" ref="CQ123" si="3039">AS123+AX123</f>
        <v>0</v>
      </c>
      <c r="CR123" s="242">
        <f t="shared" si="2936"/>
        <v>0</v>
      </c>
      <c r="CS123" s="243">
        <f t="shared" si="2937"/>
        <v>0</v>
      </c>
      <c r="CU123" s="201" t="s">
        <v>11</v>
      </c>
      <c r="CV123" s="203">
        <f t="shared" si="2784"/>
        <v>0</v>
      </c>
      <c r="CW123" s="203">
        <f t="shared" si="2785"/>
        <v>0</v>
      </c>
      <c r="CX123" s="203">
        <f t="shared" si="2786"/>
        <v>0</v>
      </c>
      <c r="CY123" s="203">
        <f t="shared" si="2787"/>
        <v>0</v>
      </c>
      <c r="CZ123" s="203">
        <f t="shared" si="2788"/>
        <v>0</v>
      </c>
      <c r="DA123" s="203">
        <f t="shared" si="2789"/>
        <v>0</v>
      </c>
      <c r="DB123" s="203">
        <f t="shared" si="2790"/>
        <v>0</v>
      </c>
      <c r="DC123" s="203">
        <f t="shared" si="2938"/>
        <v>0</v>
      </c>
      <c r="DD123" s="203">
        <f t="shared" si="2939"/>
        <v>0</v>
      </c>
      <c r="DE123" s="203">
        <f t="shared" si="2793"/>
        <v>0</v>
      </c>
      <c r="DF123" s="203">
        <f t="shared" si="2794"/>
        <v>0</v>
      </c>
      <c r="DG123" s="239">
        <f t="shared" si="2795"/>
        <v>0</v>
      </c>
      <c r="DH123" s="239">
        <f t="shared" si="2796"/>
        <v>0</v>
      </c>
      <c r="DI123" s="239">
        <f t="shared" si="2797"/>
        <v>0</v>
      </c>
      <c r="DJ123" s="203">
        <f t="shared" si="2798"/>
        <v>0</v>
      </c>
      <c r="DK123" s="203">
        <f t="shared" si="2799"/>
        <v>0</v>
      </c>
      <c r="DL123" s="203">
        <f t="shared" si="2800"/>
        <v>0</v>
      </c>
      <c r="DM123" s="203">
        <f t="shared" ref="DM123" si="3040">SUM(DE123:DL123)-DG123-DI123</f>
        <v>0</v>
      </c>
      <c r="DN123" s="210">
        <f t="shared" si="2802"/>
        <v>0</v>
      </c>
      <c r="DO123" s="210">
        <f t="shared" si="2803"/>
        <v>0</v>
      </c>
      <c r="DP123" s="210">
        <f t="shared" si="2804"/>
        <v>0</v>
      </c>
      <c r="DQ123" s="210">
        <f t="shared" si="2805"/>
        <v>0</v>
      </c>
      <c r="DR123" s="210">
        <f t="shared" si="2806"/>
        <v>0</v>
      </c>
      <c r="DS123" s="210">
        <f t="shared" si="2807"/>
        <v>0</v>
      </c>
      <c r="DT123" s="210">
        <f t="shared" si="2808"/>
        <v>0</v>
      </c>
      <c r="DU123" s="210">
        <f t="shared" si="2809"/>
        <v>0</v>
      </c>
      <c r="DV123" s="210">
        <f t="shared" ref="DV123" si="3041">SUM(DN123:DU123)-DP123-DR123</f>
        <v>0</v>
      </c>
      <c r="DW123" s="241">
        <f t="shared" ref="DW123" si="3042">IF($CU123="CLEARTEC",$BA123+$BJ123+$BS123+$CB123+$CK123,0)</f>
        <v>0</v>
      </c>
      <c r="DX123" s="241">
        <f t="shared" si="2873"/>
        <v>0</v>
      </c>
      <c r="DY123" s="241">
        <f t="shared" si="2873"/>
        <v>0</v>
      </c>
      <c r="DZ123" s="241">
        <f t="shared" si="2873"/>
        <v>0</v>
      </c>
      <c r="EA123" s="241">
        <f t="shared" si="2873"/>
        <v>0</v>
      </c>
      <c r="EB123" s="241">
        <f t="shared" si="2873"/>
        <v>0</v>
      </c>
      <c r="EC123" s="241">
        <f t="shared" si="2873"/>
        <v>0</v>
      </c>
      <c r="ED123" s="241">
        <f t="shared" si="2873"/>
        <v>0</v>
      </c>
      <c r="EE123" s="242">
        <f t="shared" si="2942"/>
        <v>0</v>
      </c>
      <c r="EF123" s="203">
        <f t="shared" si="2943"/>
        <v>4100</v>
      </c>
      <c r="EG123" s="242">
        <f t="shared" si="2814"/>
        <v>550</v>
      </c>
      <c r="EH123" s="203">
        <f t="shared" si="2815"/>
        <v>7</v>
      </c>
      <c r="EI123" s="203">
        <f t="shared" si="2816"/>
        <v>179.375</v>
      </c>
      <c r="EJ123" s="242">
        <f t="shared" si="2817"/>
        <v>0</v>
      </c>
      <c r="EK123" s="203">
        <f t="shared" si="2944"/>
        <v>0</v>
      </c>
      <c r="EL123" s="203">
        <f t="shared" si="2945"/>
        <v>0</v>
      </c>
      <c r="EM123" s="203">
        <f t="shared" si="2946"/>
        <v>542.19681250000008</v>
      </c>
      <c r="EN123" s="203">
        <f t="shared" si="2947"/>
        <v>5371.5718125000003</v>
      </c>
      <c r="EP123" s="201">
        <v>59</v>
      </c>
      <c r="EQ123" s="201"/>
      <c r="ER123" s="201"/>
      <c r="ES123" s="201"/>
      <c r="ET123" s="852"/>
      <c r="EU123" s="200"/>
      <c r="EV123" s="200"/>
      <c r="EW123" s="201"/>
      <c r="EX123" s="201"/>
      <c r="EY123" s="201">
        <f t="shared" si="2822"/>
        <v>0</v>
      </c>
      <c r="FA123" s="207">
        <f t="shared" si="2948"/>
        <v>59</v>
      </c>
      <c r="FB123" s="207">
        <f t="shared" si="2949"/>
        <v>0</v>
      </c>
      <c r="FC123" s="207">
        <f t="shared" si="2950"/>
        <v>0</v>
      </c>
      <c r="FD123" s="207">
        <f t="shared" si="2951"/>
        <v>0</v>
      </c>
      <c r="FE123" s="207">
        <f t="shared" si="2952"/>
        <v>0</v>
      </c>
      <c r="FF123" s="207">
        <f t="shared" si="2953"/>
        <v>0</v>
      </c>
      <c r="FG123" s="207">
        <f t="shared" si="2954"/>
        <v>0</v>
      </c>
      <c r="FH123" s="207">
        <f t="shared" si="2955"/>
        <v>0</v>
      </c>
      <c r="FI123" s="207">
        <f t="shared" si="2956"/>
        <v>0</v>
      </c>
      <c r="FJ123" s="207">
        <f t="shared" si="2957"/>
        <v>0</v>
      </c>
      <c r="FK123" s="217">
        <v>1</v>
      </c>
      <c r="FL123" s="217">
        <v>0</v>
      </c>
      <c r="FM123" s="217">
        <v>0</v>
      </c>
      <c r="FN123" s="217">
        <v>0</v>
      </c>
      <c r="FO123" s="217">
        <v>0</v>
      </c>
      <c r="FP123" s="217">
        <v>1</v>
      </c>
      <c r="FR123" s="1185">
        <f t="shared" si="2958"/>
        <v>0</v>
      </c>
      <c r="FS123" s="1185">
        <f t="shared" si="2959"/>
        <v>0</v>
      </c>
      <c r="FT123" s="1186">
        <f t="shared" si="2960"/>
        <v>0</v>
      </c>
      <c r="FU123" s="1185">
        <f t="shared" si="2961"/>
        <v>0</v>
      </c>
      <c r="FV123" s="1187">
        <f t="shared" si="2962"/>
        <v>-59</v>
      </c>
    </row>
    <row r="124" spans="1:185" s="216" customFormat="1" ht="15" customHeight="1" outlineLevel="1">
      <c r="A124" s="1006"/>
      <c r="B124" s="1006"/>
      <c r="C124" s="1007"/>
      <c r="D124" s="235"/>
      <c r="E124" s="235">
        <v>304030</v>
      </c>
      <c r="F124" s="268">
        <f>+F121+1</f>
        <v>44</v>
      </c>
      <c r="G124" s="199" t="s">
        <v>734</v>
      </c>
      <c r="H124" s="200" t="s">
        <v>614</v>
      </c>
      <c r="I124" s="200" t="s">
        <v>11</v>
      </c>
      <c r="J124" s="203">
        <v>4100</v>
      </c>
      <c r="K124" s="837">
        <v>300</v>
      </c>
      <c r="L124" s="873">
        <f>+J124+K124</f>
        <v>4400</v>
      </c>
      <c r="M124" s="203">
        <v>30</v>
      </c>
      <c r="N124" s="270">
        <v>0.7</v>
      </c>
      <c r="O124" s="204">
        <v>0.15</v>
      </c>
      <c r="P124" s="270">
        <v>0.15</v>
      </c>
      <c r="Q124" s="204">
        <v>0</v>
      </c>
      <c r="R124" s="204">
        <v>0</v>
      </c>
      <c r="S124" s="204">
        <f>+N124+O124+P124+Q124+R124</f>
        <v>1</v>
      </c>
      <c r="T124" s="814"/>
      <c r="U124" s="238"/>
      <c r="V124" s="203">
        <f t="shared" ref="V124" si="3043">($J124/30/8*1.5)*U124</f>
        <v>0</v>
      </c>
      <c r="W124" s="265"/>
      <c r="X124" s="203">
        <f t="shared" ref="X124" si="3044">($J124/30/8*2)*W124</f>
        <v>0</v>
      </c>
      <c r="Y124" s="207">
        <v>35.5</v>
      </c>
      <c r="Z124" s="239">
        <f t="shared" ref="Z124" si="3045">($J124/30/8*1.5)*Y124</f>
        <v>909.6875</v>
      </c>
      <c r="AA124" s="207"/>
      <c r="AB124" s="203">
        <f t="shared" ref="AB124" si="3046">($J124/30/8*2)*AA124</f>
        <v>0</v>
      </c>
      <c r="AC124" s="207"/>
      <c r="AD124" s="203">
        <f t="shared" ref="AD124" si="3047">(($J124/30/8)*1.5)*AC124</f>
        <v>0</v>
      </c>
      <c r="AE124" s="208"/>
      <c r="AF124" s="203">
        <f t="shared" ref="AF124" si="3048">(($J124/30/8)*2)*AE124</f>
        <v>0</v>
      </c>
      <c r="AG124" s="208"/>
      <c r="AH124" s="203">
        <f t="shared" ref="AH124" si="3049">(($J124/30/8)*1.5)*AG124</f>
        <v>0</v>
      </c>
      <c r="AI124" s="208"/>
      <c r="AJ124" s="203">
        <f t="shared" ref="AJ124" si="3050">(($J124/30/8)*2)*AI124</f>
        <v>0</v>
      </c>
      <c r="AK124" s="203"/>
      <c r="AL124" s="203">
        <f t="shared" ref="AL124" si="3051">(($J124/30/8)*1.5)*AK124</f>
        <v>0</v>
      </c>
      <c r="AM124" s="208"/>
      <c r="AN124" s="203">
        <f t="shared" ref="AN124" si="3052">(($J124/30/8)*2)*AM124</f>
        <v>0</v>
      </c>
      <c r="AO124" s="202"/>
      <c r="AP124" s="202"/>
      <c r="AQ124" s="202"/>
      <c r="AR124" s="202"/>
      <c r="AS124" s="202"/>
      <c r="AT124" s="202"/>
      <c r="AU124" s="202"/>
      <c r="AV124" s="202"/>
      <c r="AW124" s="202"/>
      <c r="AX124" s="202"/>
      <c r="AY124" s="202"/>
      <c r="AZ124" s="240"/>
      <c r="BA124" s="203">
        <f t="shared" ref="BA124" si="3053">((J124/30)*M124)*$N124</f>
        <v>2870</v>
      </c>
      <c r="BB124" s="787">
        <f t="shared" ref="BB124" si="3054">((K124/30)*M124)*$N124</f>
        <v>210</v>
      </c>
      <c r="BC124" s="203">
        <f t="shared" ref="BC124" si="3055">U124</f>
        <v>0</v>
      </c>
      <c r="BD124" s="203">
        <f t="shared" ref="BD124" si="3056">V124</f>
        <v>0</v>
      </c>
      <c r="BE124" s="203">
        <f t="shared" ref="BE124" si="3057">W124</f>
        <v>0</v>
      </c>
      <c r="BF124" s="203">
        <f t="shared" ref="BF124" si="3058">X124</f>
        <v>0</v>
      </c>
      <c r="BG124" s="203">
        <f t="shared" ref="BG124" si="3059">AO124+AT124</f>
        <v>0</v>
      </c>
      <c r="BH124" s="203">
        <f t="shared" si="2754"/>
        <v>363.62900000000002</v>
      </c>
      <c r="BI124" s="203">
        <f t="shared" ref="BI124" si="3060">SUM(BA124:BH124)-BC124-BE124</f>
        <v>3443.6289999999999</v>
      </c>
      <c r="BJ124" s="203">
        <f t="shared" si="2756"/>
        <v>615</v>
      </c>
      <c r="BK124" s="203">
        <f t="shared" si="2915"/>
        <v>45</v>
      </c>
      <c r="BL124" s="203">
        <f t="shared" ref="BL124" si="3061">Y124</f>
        <v>35.5</v>
      </c>
      <c r="BM124" s="203">
        <f t="shared" ref="BM124" si="3062">Z124</f>
        <v>909.6875</v>
      </c>
      <c r="BN124" s="203">
        <f t="shared" ref="BN124" si="3063">AA124</f>
        <v>0</v>
      </c>
      <c r="BO124" s="203">
        <f t="shared" ref="BO124" si="3064">AB124</f>
        <v>0</v>
      </c>
      <c r="BP124" s="203">
        <f t="shared" ref="BP124" si="3065">AP124+AU124</f>
        <v>0</v>
      </c>
      <c r="BQ124" s="203">
        <f t="shared" si="2763"/>
        <v>193.17790625000001</v>
      </c>
      <c r="BR124" s="202">
        <f t="shared" ref="BR124" si="3066">SUM(BJ124:BQ124)-BL124-BN124</f>
        <v>1762.86540625</v>
      </c>
      <c r="BS124" s="203">
        <f t="shared" si="2765"/>
        <v>615</v>
      </c>
      <c r="BT124" s="203">
        <f t="shared" si="2922"/>
        <v>45</v>
      </c>
      <c r="BU124" s="203">
        <f t="shared" ref="BU124" si="3067">AC124</f>
        <v>0</v>
      </c>
      <c r="BV124" s="203">
        <f t="shared" ref="BV124" si="3068">AD124</f>
        <v>0</v>
      </c>
      <c r="BW124" s="203">
        <f t="shared" ref="BW124" si="3069">AE124</f>
        <v>0</v>
      </c>
      <c r="BX124" s="203">
        <f t="shared" ref="BX124" si="3070">AF124</f>
        <v>0</v>
      </c>
      <c r="BY124" s="203">
        <f t="shared" ref="BY124" si="3071">AQ124+AV124</f>
        <v>0</v>
      </c>
      <c r="BZ124" s="203">
        <f t="shared" si="2771"/>
        <v>77.920500000000004</v>
      </c>
      <c r="CA124" s="203">
        <f t="shared" ref="CA124" si="3072">SUM(BS124:BZ124)-BU124-BW124</f>
        <v>737.92049999999995</v>
      </c>
      <c r="CB124" s="241">
        <f t="shared" si="2773"/>
        <v>0</v>
      </c>
      <c r="CC124" s="242">
        <f t="shared" si="2774"/>
        <v>0</v>
      </c>
      <c r="CD124" s="242"/>
      <c r="CE124" s="242">
        <f t="shared" ref="CE124" si="3073">AH124</f>
        <v>0</v>
      </c>
      <c r="CF124" s="242"/>
      <c r="CG124" s="242">
        <f t="shared" ref="CG124" si="3074">AJ124</f>
        <v>0</v>
      </c>
      <c r="CH124" s="242"/>
      <c r="CI124" s="703">
        <f t="shared" si="2776"/>
        <v>0</v>
      </c>
      <c r="CJ124" s="242">
        <f t="shared" ref="CJ124" si="3075">SUM(CB124:CI124)</f>
        <v>0</v>
      </c>
      <c r="CK124" s="242">
        <f t="shared" ref="CK124" si="3076">(($J124/30)*$M124)*R124</f>
        <v>0</v>
      </c>
      <c r="CL124" s="242">
        <f t="shared" si="2778"/>
        <v>0</v>
      </c>
      <c r="CM124" s="990">
        <f t="shared" ref="CM124" si="3077">+AK124</f>
        <v>0</v>
      </c>
      <c r="CN124" s="242">
        <f t="shared" ref="CN124" si="3078">AL124</f>
        <v>0</v>
      </c>
      <c r="CO124" s="242"/>
      <c r="CP124" s="242">
        <f t="shared" ref="CP124" si="3079">AN124</f>
        <v>0</v>
      </c>
      <c r="CQ124" s="242"/>
      <c r="CR124" s="242">
        <f t="shared" ref="CR124" si="3080">(CK124+CN124+CP124)*0.1267</f>
        <v>0</v>
      </c>
      <c r="CS124" s="991">
        <f t="shared" ref="CS124" si="3081">SUM(CK124:CR124)-CM124-CO124</f>
        <v>0</v>
      </c>
      <c r="CU124" s="201" t="s">
        <v>11</v>
      </c>
      <c r="CV124" s="203">
        <f t="shared" si="2784"/>
        <v>0</v>
      </c>
      <c r="CW124" s="203">
        <f t="shared" si="2785"/>
        <v>0</v>
      </c>
      <c r="CX124" s="203">
        <f t="shared" si="2786"/>
        <v>0</v>
      </c>
      <c r="CY124" s="203">
        <f t="shared" si="2787"/>
        <v>0</v>
      </c>
      <c r="CZ124" s="203">
        <f t="shared" si="2788"/>
        <v>0</v>
      </c>
      <c r="DA124" s="203">
        <f t="shared" si="2789"/>
        <v>0</v>
      </c>
      <c r="DB124" s="203">
        <f t="shared" si="2790"/>
        <v>0</v>
      </c>
      <c r="DC124" s="203">
        <f t="shared" ref="DC124" si="3082">IF($CU124="PROQUIMA",$BH124+$BQ124+$BZ124+$CI124+CR124,0)</f>
        <v>0</v>
      </c>
      <c r="DD124" s="203">
        <f t="shared" ref="DD124" si="3083">SUM(CV124:DC124)-CX124-CZ124</f>
        <v>0</v>
      </c>
      <c r="DE124" s="203">
        <f t="shared" si="2793"/>
        <v>0</v>
      </c>
      <c r="DF124" s="203">
        <f t="shared" si="2794"/>
        <v>0</v>
      </c>
      <c r="DG124" s="239">
        <f t="shared" si="2795"/>
        <v>0</v>
      </c>
      <c r="DH124" s="239">
        <f t="shared" si="2796"/>
        <v>0</v>
      </c>
      <c r="DI124" s="239">
        <f t="shared" si="2797"/>
        <v>0</v>
      </c>
      <c r="DJ124" s="203">
        <f t="shared" si="2798"/>
        <v>0</v>
      </c>
      <c r="DK124" s="203">
        <f t="shared" si="2799"/>
        <v>0</v>
      </c>
      <c r="DL124" s="203">
        <f t="shared" si="2800"/>
        <v>0</v>
      </c>
      <c r="DM124" s="203">
        <f t="shared" ref="DM124" si="3084">SUM(DE124:DL124)-DG124-DI124</f>
        <v>0</v>
      </c>
      <c r="DN124" s="210">
        <f t="shared" si="2802"/>
        <v>0</v>
      </c>
      <c r="DO124" s="210">
        <f t="shared" si="2803"/>
        <v>0</v>
      </c>
      <c r="DP124" s="210">
        <f t="shared" si="2804"/>
        <v>0</v>
      </c>
      <c r="DQ124" s="210">
        <f t="shared" si="2805"/>
        <v>0</v>
      </c>
      <c r="DR124" s="210">
        <f t="shared" si="2806"/>
        <v>0</v>
      </c>
      <c r="DS124" s="210">
        <f t="shared" si="2807"/>
        <v>0</v>
      </c>
      <c r="DT124" s="210">
        <f t="shared" si="2808"/>
        <v>0</v>
      </c>
      <c r="DU124" s="210">
        <f t="shared" si="2809"/>
        <v>0</v>
      </c>
      <c r="DV124" s="210">
        <f t="shared" ref="DV124" si="3085">SUM(DN124:DU124)-DP124-DR124</f>
        <v>0</v>
      </c>
      <c r="DW124" s="241">
        <f t="shared" ref="DW124:DW125" si="3086">IF($CU124="CLEARTEC",$BA124+$BJ124+$BS124+$CB124+$CK124,0)</f>
        <v>0</v>
      </c>
      <c r="DX124" s="241">
        <f t="shared" si="2873"/>
        <v>0</v>
      </c>
      <c r="DY124" s="241">
        <f t="shared" si="2873"/>
        <v>0</v>
      </c>
      <c r="DZ124" s="241">
        <f t="shared" si="2873"/>
        <v>0</v>
      </c>
      <c r="EA124" s="241">
        <f t="shared" si="2873"/>
        <v>0</v>
      </c>
      <c r="EB124" s="241">
        <f t="shared" si="2873"/>
        <v>0</v>
      </c>
      <c r="EC124" s="241">
        <f t="shared" si="2873"/>
        <v>0</v>
      </c>
      <c r="ED124" s="241">
        <f t="shared" si="2873"/>
        <v>0</v>
      </c>
      <c r="EE124" s="242">
        <f t="shared" ref="EE124" si="3087">SUM(DW124:ED124)-DY124-EA124</f>
        <v>0</v>
      </c>
      <c r="EF124" s="203">
        <f t="shared" ref="EF124" si="3088">IF(CU124="ECONACIONAL",$BA124+$BJ124+$BS124+$CB124+$CK124)</f>
        <v>4100</v>
      </c>
      <c r="EG124" s="242">
        <f t="shared" si="2814"/>
        <v>300</v>
      </c>
      <c r="EH124" s="203">
        <f t="shared" ref="EH124" si="3089">IF(CU124="ECONACIONAL",$BC124+$BL124+$BU124+$CD124+$CM124)</f>
        <v>35.5</v>
      </c>
      <c r="EI124" s="203">
        <f t="shared" ref="EI124" si="3090">IF(CU124="ECONACIONAL",$BD124+$DH124+$DQ124+$DZ124+BM124+BV124+CE124+CN124)</f>
        <v>909.6875</v>
      </c>
      <c r="EJ124" s="242">
        <f t="shared" si="2817"/>
        <v>0</v>
      </c>
      <c r="EK124" s="203">
        <f t="shared" ref="EK124" si="3091">IF(CU124="ECONACIONAL",$BF124+$BO124+$BX124+$CG124+$CP124)</f>
        <v>0</v>
      </c>
      <c r="EL124" s="203">
        <f t="shared" ref="EL124" si="3092">IF(CU124="ECONACIONAL",$BG124+$BP124+$BY124+$CH124+$CQ124)</f>
        <v>0</v>
      </c>
      <c r="EM124" s="203">
        <f t="shared" ref="EM124" si="3093">IF(CU124="ECONACIONAL",BH124+BQ124+BZ124+CI124+CR124)</f>
        <v>634.72740625000006</v>
      </c>
      <c r="EN124" s="203">
        <f t="shared" ref="EN124" si="3094">SUM(EF124:EM124)-EH124-EJ124</f>
        <v>5944.4149062500001</v>
      </c>
      <c r="EP124" s="201"/>
      <c r="EQ124" s="201"/>
      <c r="ER124" s="201"/>
      <c r="ES124" s="201">
        <f>160+200</f>
        <v>360</v>
      </c>
      <c r="ET124" s="201"/>
      <c r="EU124" s="201"/>
      <c r="EV124" s="201"/>
      <c r="EW124" s="201">
        <v>162.5</v>
      </c>
      <c r="EX124" s="1256">
        <f>72.75</f>
        <v>72.75</v>
      </c>
      <c r="EY124" s="201">
        <f t="shared" ref="EY124" si="3095">+ET124+EU124+EV124</f>
        <v>0</v>
      </c>
      <c r="EZ124" s="821"/>
      <c r="FA124" s="207">
        <f t="shared" ref="FA124" si="3096">IF($M124&lt;=15,EP124/2,EP124)</f>
        <v>0</v>
      </c>
      <c r="FB124" s="207">
        <f t="shared" ref="FB124" si="3097">IF($M124&lt;=15,EQ124/2,EQ124)</f>
        <v>0</v>
      </c>
      <c r="FC124" s="207">
        <f t="shared" ref="FC124" si="3098">IF($M124&lt;=15,ER124/2,ER124)</f>
        <v>0</v>
      </c>
      <c r="FD124" s="207">
        <f t="shared" ref="FD124" si="3099">IF($M124&lt;=15,ES124/2,ES124)</f>
        <v>360</v>
      </c>
      <c r="FE124" s="207">
        <f t="shared" ref="FE124" si="3100">IF($M124&lt;=15,ET124/2,ET124)</f>
        <v>0</v>
      </c>
      <c r="FF124" s="207">
        <f t="shared" ref="FF124" si="3101">IF($M124&lt;=15,EU124/2,EU124)</f>
        <v>0</v>
      </c>
      <c r="FG124" s="207">
        <f t="shared" ref="FG124" si="3102">IF($M124&lt;=15,EV124/2,EV124)</f>
        <v>0</v>
      </c>
      <c r="FH124" s="207">
        <f t="shared" ref="FH124" si="3103">IF($M124&lt;=15,EW124/2,EW124)</f>
        <v>162.5</v>
      </c>
      <c r="FI124" s="207">
        <f t="shared" ref="FI124" si="3104">IF($M124&lt;=15,EX124/2,EX124)</f>
        <v>72.75</v>
      </c>
      <c r="FJ124" s="207">
        <f t="shared" ref="FJ124" si="3105">IF($M124&lt;=15,EY124/2,EY124)</f>
        <v>0</v>
      </c>
      <c r="FK124" s="217"/>
      <c r="FL124" s="217"/>
      <c r="FM124" s="217"/>
      <c r="FN124" s="217"/>
      <c r="FO124" s="217"/>
      <c r="FP124" s="217"/>
      <c r="FR124" s="1185">
        <f t="shared" si="2958"/>
        <v>0</v>
      </c>
      <c r="FS124" s="1185"/>
      <c r="FT124" s="1186"/>
      <c r="FU124" s="1185"/>
      <c r="FV124" s="1187"/>
    </row>
    <row r="125" spans="1:185" s="235" customFormat="1" ht="15" customHeight="1" outlineLevel="1">
      <c r="A125" s="1006" t="str">
        <f t="shared" si="2734"/>
        <v>MAYO  2026 2da QUINCENA</v>
      </c>
      <c r="B125" s="1006">
        <f t="shared" si="2735"/>
        <v>2026</v>
      </c>
      <c r="C125" s="1007" t="str">
        <f t="shared" si="1459"/>
        <v>MAYO  2026 2da QUINCENA2026</v>
      </c>
      <c r="D125" s="235" t="s">
        <v>651</v>
      </c>
      <c r="E125" s="235">
        <v>304030</v>
      </c>
      <c r="F125" s="268" t="e">
        <f>+#REF!+1</f>
        <v>#REF!</v>
      </c>
      <c r="G125" s="199" t="s">
        <v>612</v>
      </c>
      <c r="H125" s="200" t="s">
        <v>614</v>
      </c>
      <c r="I125" s="200" t="s">
        <v>11</v>
      </c>
      <c r="J125" s="203">
        <v>4100</v>
      </c>
      <c r="K125" s="837">
        <v>600</v>
      </c>
      <c r="L125" s="873">
        <f>+J125+K125</f>
        <v>4700</v>
      </c>
      <c r="M125" s="203">
        <v>30</v>
      </c>
      <c r="N125" s="270">
        <v>0.7</v>
      </c>
      <c r="O125" s="204">
        <v>0.15</v>
      </c>
      <c r="P125" s="270">
        <v>0.15</v>
      </c>
      <c r="Q125" s="204">
        <v>0</v>
      </c>
      <c r="R125" s="204">
        <v>0</v>
      </c>
      <c r="S125" s="204">
        <f t="shared" ref="S125" si="3106">+N125+O125+P125+Q125+R125</f>
        <v>1</v>
      </c>
      <c r="T125" s="814"/>
      <c r="U125" s="238">
        <v>19.5</v>
      </c>
      <c r="V125" s="203">
        <f t="shared" ref="V125" si="3107">($J125/30/8*1.5)*U125</f>
        <v>499.6875</v>
      </c>
      <c r="W125" s="265"/>
      <c r="X125" s="203">
        <f t="shared" ref="X125" si="3108">($J125/30/8*2)*W125</f>
        <v>0</v>
      </c>
      <c r="Y125" s="207">
        <v>15.5</v>
      </c>
      <c r="Z125" s="239">
        <f t="shared" ref="Z125" si="3109">($J125/30/8*1.5)*Y125</f>
        <v>397.1875</v>
      </c>
      <c r="AA125" s="207"/>
      <c r="AB125" s="203">
        <f t="shared" ref="AB125" si="3110">($J125/30/8*2)*AA125</f>
        <v>0</v>
      </c>
      <c r="AC125" s="207"/>
      <c r="AD125" s="203">
        <f t="shared" ref="AD125" si="3111">(($J125/30/8)*1.5)*AC125</f>
        <v>0</v>
      </c>
      <c r="AE125" s="208"/>
      <c r="AF125" s="203">
        <f t="shared" ref="AF125" si="3112">(($J125/30/8)*2)*AE125</f>
        <v>0</v>
      </c>
      <c r="AG125" s="208"/>
      <c r="AH125" s="203">
        <f t="shared" ref="AH125" si="3113">(($J125/30/8)*1.5)*AG125</f>
        <v>0</v>
      </c>
      <c r="AI125" s="208"/>
      <c r="AJ125" s="203">
        <f t="shared" ref="AJ125" si="3114">(($J125/30/8)*2)*AI125</f>
        <v>0</v>
      </c>
      <c r="AK125" s="203"/>
      <c r="AL125" s="203">
        <f t="shared" ref="AL125" si="3115">(($J125/30/8)*1.5)*AK125</f>
        <v>0</v>
      </c>
      <c r="AM125" s="208"/>
      <c r="AN125" s="203">
        <f t="shared" ref="AN125" si="3116">(($J125/30/8)*2)*AM125</f>
        <v>0</v>
      </c>
      <c r="AO125" s="202"/>
      <c r="AP125" s="202"/>
      <c r="AQ125" s="202"/>
      <c r="AR125" s="202"/>
      <c r="AS125" s="202"/>
      <c r="AT125" s="202"/>
      <c r="AU125" s="202"/>
      <c r="AV125" s="202"/>
      <c r="AW125" s="202"/>
      <c r="AX125" s="202"/>
      <c r="AY125" s="202"/>
      <c r="AZ125" s="240"/>
      <c r="BA125" s="203">
        <f t="shared" ref="BA125" si="3117">((J125/30)*M125)*$N125</f>
        <v>2870</v>
      </c>
      <c r="BB125" s="787">
        <f t="shared" si="2908"/>
        <v>420</v>
      </c>
      <c r="BC125" s="203">
        <f t="shared" si="2909"/>
        <v>19.5</v>
      </c>
      <c r="BD125" s="203">
        <f t="shared" ref="BD125" si="3118">V125</f>
        <v>499.6875</v>
      </c>
      <c r="BE125" s="203">
        <f t="shared" ref="BE125" si="3119">W125</f>
        <v>0</v>
      </c>
      <c r="BF125" s="203">
        <f t="shared" ref="BF125" si="3120">X125</f>
        <v>0</v>
      </c>
      <c r="BG125" s="203">
        <f t="shared" ref="BG125" si="3121">AO125+AT125</f>
        <v>0</v>
      </c>
      <c r="BH125" s="203">
        <f t="shared" si="2754"/>
        <v>426.93940625000005</v>
      </c>
      <c r="BI125" s="203">
        <f t="shared" ref="BI125" si="3122">SUM(BA125:BH125)-BC125-BE125</f>
        <v>4216.6269062499996</v>
      </c>
      <c r="BJ125" s="203">
        <f t="shared" si="2756"/>
        <v>615</v>
      </c>
      <c r="BK125" s="203">
        <f>(($K125/30)*$M125)*$O125</f>
        <v>90</v>
      </c>
      <c r="BL125" s="203">
        <f t="shared" ref="BL125" si="3123">Y125</f>
        <v>15.5</v>
      </c>
      <c r="BM125" s="203">
        <f t="shared" ref="BM125" si="3124">Z125</f>
        <v>397.1875</v>
      </c>
      <c r="BN125" s="203">
        <f t="shared" ref="BN125" si="3125">AA125</f>
        <v>0</v>
      </c>
      <c r="BO125" s="203">
        <f t="shared" ref="BO125" si="3126">AB125</f>
        <v>0</v>
      </c>
      <c r="BP125" s="203">
        <f t="shared" si="2920"/>
        <v>0</v>
      </c>
      <c r="BQ125" s="203">
        <f t="shared" si="2763"/>
        <v>128.24415625</v>
      </c>
      <c r="BR125" s="202">
        <f t="shared" si="2921"/>
        <v>1230.4316562500001</v>
      </c>
      <c r="BS125" s="203">
        <f t="shared" si="2765"/>
        <v>615</v>
      </c>
      <c r="BT125" s="203">
        <f>(($K125/30)*$M125)*$P125</f>
        <v>90</v>
      </c>
      <c r="BU125" s="203">
        <f t="shared" ref="BU125" si="3127">AC125</f>
        <v>0</v>
      </c>
      <c r="BV125" s="203">
        <f t="shared" ref="BV125" si="3128">AD125</f>
        <v>0</v>
      </c>
      <c r="BW125" s="203">
        <f t="shared" ref="BW125" si="3129">AE125</f>
        <v>0</v>
      </c>
      <c r="BX125" s="203">
        <f t="shared" ref="BX125" si="3130">AF125</f>
        <v>0</v>
      </c>
      <c r="BY125" s="203">
        <f t="shared" ref="BY125" si="3131">AQ125+AV125</f>
        <v>0</v>
      </c>
      <c r="BZ125" s="203">
        <f t="shared" si="2771"/>
        <v>77.920500000000004</v>
      </c>
      <c r="CA125" s="203">
        <f t="shared" ref="CA125" si="3132">SUM(BS125:BZ125)-BU125-BW125</f>
        <v>782.92049999999995</v>
      </c>
      <c r="CB125" s="241">
        <f t="shared" si="2773"/>
        <v>0</v>
      </c>
      <c r="CC125" s="242">
        <f t="shared" si="2774"/>
        <v>0</v>
      </c>
      <c r="CD125" s="242"/>
      <c r="CE125" s="242">
        <f t="shared" ref="CE125" si="3133">AH125</f>
        <v>0</v>
      </c>
      <c r="CF125" s="242"/>
      <c r="CG125" s="242">
        <f t="shared" ref="CG125" si="3134">AJ125</f>
        <v>0</v>
      </c>
      <c r="CH125" s="242"/>
      <c r="CI125" s="703">
        <f t="shared" si="2776"/>
        <v>0</v>
      </c>
      <c r="CJ125" s="242">
        <f t="shared" ref="CJ125" si="3135">SUM(CB125:CI125)</f>
        <v>0</v>
      </c>
      <c r="CK125" s="242">
        <f t="shared" ref="CK125" si="3136">(($J125/30)*$M125)*R125</f>
        <v>0</v>
      </c>
      <c r="CL125" s="242">
        <f t="shared" si="2778"/>
        <v>0</v>
      </c>
      <c r="CM125" s="990">
        <f t="shared" si="2933"/>
        <v>0</v>
      </c>
      <c r="CN125" s="242">
        <f t="shared" ref="CN125" si="3137">AL125</f>
        <v>0</v>
      </c>
      <c r="CO125" s="242"/>
      <c r="CP125" s="242">
        <f t="shared" ref="CP125" si="3138">AN125</f>
        <v>0</v>
      </c>
      <c r="CQ125" s="242"/>
      <c r="CR125" s="242">
        <f t="shared" ref="CR125" si="3139">(CK125+CN125+CP125)*0.1267</f>
        <v>0</v>
      </c>
      <c r="CS125" s="991">
        <f t="shared" si="2937"/>
        <v>0</v>
      </c>
      <c r="CT125" s="216"/>
      <c r="CU125" s="1245" t="s">
        <v>11</v>
      </c>
      <c r="CV125" s="203">
        <f t="shared" si="2784"/>
        <v>0</v>
      </c>
      <c r="CW125" s="203">
        <f t="shared" si="2785"/>
        <v>0</v>
      </c>
      <c r="CX125" s="203">
        <f t="shared" si="2786"/>
        <v>0</v>
      </c>
      <c r="CY125" s="203">
        <f t="shared" si="2787"/>
        <v>0</v>
      </c>
      <c r="CZ125" s="203">
        <f t="shared" si="2788"/>
        <v>0</v>
      </c>
      <c r="DA125" s="203">
        <f t="shared" si="2789"/>
        <v>0</v>
      </c>
      <c r="DB125" s="203">
        <f t="shared" si="2790"/>
        <v>0</v>
      </c>
      <c r="DC125" s="203">
        <f t="shared" si="2938"/>
        <v>0</v>
      </c>
      <c r="DD125" s="203">
        <f t="shared" si="2939"/>
        <v>0</v>
      </c>
      <c r="DE125" s="203">
        <f t="shared" si="2793"/>
        <v>0</v>
      </c>
      <c r="DF125" s="203">
        <f t="shared" si="2794"/>
        <v>0</v>
      </c>
      <c r="DG125" s="239">
        <f t="shared" si="2795"/>
        <v>0</v>
      </c>
      <c r="DH125" s="239">
        <f t="shared" si="2796"/>
        <v>0</v>
      </c>
      <c r="DI125" s="239">
        <f t="shared" si="2797"/>
        <v>0</v>
      </c>
      <c r="DJ125" s="203">
        <f t="shared" si="2798"/>
        <v>0</v>
      </c>
      <c r="DK125" s="203">
        <f t="shared" si="2799"/>
        <v>0</v>
      </c>
      <c r="DL125" s="203">
        <f t="shared" si="2800"/>
        <v>0</v>
      </c>
      <c r="DM125" s="203">
        <f t="shared" si="2940"/>
        <v>0</v>
      </c>
      <c r="DN125" s="210">
        <f t="shared" si="2802"/>
        <v>0</v>
      </c>
      <c r="DO125" s="210">
        <f t="shared" si="2803"/>
        <v>0</v>
      </c>
      <c r="DP125" s="210">
        <f t="shared" si="2804"/>
        <v>0</v>
      </c>
      <c r="DQ125" s="210">
        <f t="shared" si="2805"/>
        <v>0</v>
      </c>
      <c r="DR125" s="210">
        <f t="shared" si="2806"/>
        <v>0</v>
      </c>
      <c r="DS125" s="210">
        <f t="shared" si="2807"/>
        <v>0</v>
      </c>
      <c r="DT125" s="210">
        <f t="shared" si="2808"/>
        <v>0</v>
      </c>
      <c r="DU125" s="210">
        <f t="shared" si="2809"/>
        <v>0</v>
      </c>
      <c r="DV125" s="210">
        <f t="shared" si="2941"/>
        <v>0</v>
      </c>
      <c r="DW125" s="241">
        <f t="shared" si="3086"/>
        <v>0</v>
      </c>
      <c r="DX125" s="241">
        <f t="shared" si="2873"/>
        <v>0</v>
      </c>
      <c r="DY125" s="241">
        <f t="shared" si="2873"/>
        <v>0</v>
      </c>
      <c r="DZ125" s="241">
        <f t="shared" si="2873"/>
        <v>0</v>
      </c>
      <c r="EA125" s="241">
        <f t="shared" si="2873"/>
        <v>0</v>
      </c>
      <c r="EB125" s="241">
        <f t="shared" si="2873"/>
        <v>0</v>
      </c>
      <c r="EC125" s="241">
        <f t="shared" si="2873"/>
        <v>0</v>
      </c>
      <c r="ED125" s="241">
        <f t="shared" si="2873"/>
        <v>0</v>
      </c>
      <c r="EE125" s="242">
        <f t="shared" ref="EE125" si="3140">SUM(DW125:ED125)-DY125-EA125</f>
        <v>0</v>
      </c>
      <c r="EF125" s="203">
        <f t="shared" si="2943"/>
        <v>4100</v>
      </c>
      <c r="EG125" s="242">
        <f t="shared" si="2814"/>
        <v>600</v>
      </c>
      <c r="EH125" s="203">
        <f t="shared" si="2815"/>
        <v>35</v>
      </c>
      <c r="EI125" s="203">
        <f t="shared" si="2816"/>
        <v>896.875</v>
      </c>
      <c r="EJ125" s="242">
        <f t="shared" si="2817"/>
        <v>0</v>
      </c>
      <c r="EK125" s="203">
        <f t="shared" si="2944"/>
        <v>0</v>
      </c>
      <c r="EL125" s="203">
        <f t="shared" si="2945"/>
        <v>0</v>
      </c>
      <c r="EM125" s="203">
        <f t="shared" si="2946"/>
        <v>633.10406250000005</v>
      </c>
      <c r="EN125" s="203">
        <f t="shared" si="2947"/>
        <v>6229.9790625000005</v>
      </c>
      <c r="EO125" s="216"/>
      <c r="EP125" s="1245">
        <v>160</v>
      </c>
      <c r="EQ125" s="1245"/>
      <c r="ER125" s="1245"/>
      <c r="ES125" s="1245"/>
      <c r="ET125" s="1245"/>
      <c r="EU125" s="1245"/>
      <c r="EV125" s="1245"/>
      <c r="EW125" s="201"/>
      <c r="EX125" s="201"/>
      <c r="EY125" s="201">
        <f t="shared" si="2822"/>
        <v>0</v>
      </c>
      <c r="EZ125" s="821"/>
      <c r="FA125" s="1246">
        <f t="shared" ref="FA125" si="3141">IF($M125&lt;=15,EP125/2,EP125)</f>
        <v>160</v>
      </c>
      <c r="FB125" s="1246">
        <f t="shared" ref="FB125" si="3142">IF($M125&lt;=15,EQ125/2,EQ125)</f>
        <v>0</v>
      </c>
      <c r="FC125" s="1246">
        <f t="shared" ref="FC125" si="3143">IF($M125&lt;=15,ER125/2,ER125)</f>
        <v>0</v>
      </c>
      <c r="FD125" s="1246">
        <f t="shared" ref="FD125" si="3144">IF($M125&lt;=15,ES125/2,ES125)</f>
        <v>0</v>
      </c>
      <c r="FE125" s="1246">
        <f t="shared" ref="FE125" si="3145">IF($M125&lt;=15,ET125/2,ET125)</f>
        <v>0</v>
      </c>
      <c r="FF125" s="1246">
        <f t="shared" ref="FF125" si="3146">IF($M125&lt;=15,EU125/2,EU125)</f>
        <v>0</v>
      </c>
      <c r="FG125" s="1246">
        <f t="shared" ref="FG125" si="3147">IF($M125&lt;=15,EV125/2,EV125)</f>
        <v>0</v>
      </c>
      <c r="FH125" s="1246">
        <f t="shared" ref="FH125" si="3148">IF($M125&lt;=15,EW125/2,EW125)</f>
        <v>0</v>
      </c>
      <c r="FI125" s="1246">
        <f t="shared" ref="FI125" si="3149">IF($M125&lt;=15,EX125/2,EX125)</f>
        <v>0</v>
      </c>
      <c r="FJ125" s="1246">
        <f t="shared" si="2957"/>
        <v>0</v>
      </c>
      <c r="FK125" s="217"/>
      <c r="FL125" s="217"/>
      <c r="FM125" s="217"/>
      <c r="FN125" s="217"/>
      <c r="FO125" s="217"/>
      <c r="FP125" s="217"/>
      <c r="FR125" s="1185">
        <f t="shared" si="2958"/>
        <v>0</v>
      </c>
      <c r="FS125" s="1185">
        <f t="shared" si="2959"/>
        <v>0</v>
      </c>
      <c r="FT125" s="1186">
        <f t="shared" si="2960"/>
        <v>0</v>
      </c>
      <c r="FU125" s="1185">
        <f t="shared" si="2961"/>
        <v>0</v>
      </c>
      <c r="FV125" s="1187">
        <f t="shared" si="2962"/>
        <v>-160</v>
      </c>
    </row>
    <row r="126" spans="1:185" s="778" customFormat="1" ht="15.75" customHeight="1" outlineLevel="1" thickBot="1">
      <c r="A126" s="1006" t="s">
        <v>52</v>
      </c>
      <c r="B126" s="1006" t="s">
        <v>52</v>
      </c>
      <c r="C126" s="1007" t="s">
        <v>52</v>
      </c>
      <c r="D126" s="776"/>
      <c r="E126" s="776"/>
      <c r="F126" s="776"/>
      <c r="G126" s="723"/>
      <c r="H126" s="776" t="s">
        <v>73</v>
      </c>
      <c r="J126" s="840">
        <f>SUM(J117:J125)</f>
        <v>33007.550000000003</v>
      </c>
      <c r="K126" s="840">
        <f>SUM(K117:K125)</f>
        <v>7862.45</v>
      </c>
      <c r="L126" s="840">
        <f>SUM(L117:L125)</f>
        <v>40870</v>
      </c>
      <c r="M126" s="203"/>
      <c r="N126" s="836"/>
      <c r="O126" s="836"/>
      <c r="P126" s="836"/>
      <c r="Q126" s="836"/>
      <c r="R126" s="836"/>
      <c r="S126" s="836"/>
      <c r="T126" s="780"/>
      <c r="U126" s="840">
        <f t="shared" ref="U126:AZ126" si="3150">SUM(U117:U125)</f>
        <v>57</v>
      </c>
      <c r="V126" s="840">
        <f t="shared" si="3150"/>
        <v>1586.52609375</v>
      </c>
      <c r="W126" s="840">
        <f t="shared" si="3150"/>
        <v>0</v>
      </c>
      <c r="X126" s="840">
        <f t="shared" si="3150"/>
        <v>0</v>
      </c>
      <c r="Y126" s="840">
        <f t="shared" si="3150"/>
        <v>78.5</v>
      </c>
      <c r="Z126" s="840">
        <f t="shared" si="3150"/>
        <v>2157.9693750000001</v>
      </c>
      <c r="AA126" s="840">
        <f t="shared" si="3150"/>
        <v>0</v>
      </c>
      <c r="AB126" s="840">
        <f t="shared" si="3150"/>
        <v>0</v>
      </c>
      <c r="AC126" s="840">
        <f t="shared" si="3150"/>
        <v>0</v>
      </c>
      <c r="AD126" s="840">
        <f t="shared" si="3150"/>
        <v>0</v>
      </c>
      <c r="AE126" s="840">
        <f t="shared" si="3150"/>
        <v>0</v>
      </c>
      <c r="AF126" s="840">
        <f t="shared" si="3150"/>
        <v>0</v>
      </c>
      <c r="AG126" s="840">
        <f t="shared" si="3150"/>
        <v>0</v>
      </c>
      <c r="AH126" s="840">
        <f t="shared" si="3150"/>
        <v>0</v>
      </c>
      <c r="AI126" s="840">
        <f t="shared" si="3150"/>
        <v>0</v>
      </c>
      <c r="AJ126" s="840">
        <f t="shared" si="3150"/>
        <v>0</v>
      </c>
      <c r="AK126" s="840">
        <f t="shared" si="3150"/>
        <v>0</v>
      </c>
      <c r="AL126" s="840">
        <f t="shared" si="3150"/>
        <v>0</v>
      </c>
      <c r="AM126" s="840">
        <f t="shared" si="3150"/>
        <v>0</v>
      </c>
      <c r="AN126" s="840">
        <f t="shared" si="3150"/>
        <v>0</v>
      </c>
      <c r="AO126" s="840">
        <f t="shared" si="3150"/>
        <v>0</v>
      </c>
      <c r="AP126" s="840">
        <f t="shared" si="3150"/>
        <v>0</v>
      </c>
      <c r="AQ126" s="840">
        <f t="shared" si="3150"/>
        <v>0</v>
      </c>
      <c r="AR126" s="840">
        <f t="shared" si="3150"/>
        <v>0</v>
      </c>
      <c r="AS126" s="840">
        <f t="shared" si="3150"/>
        <v>0</v>
      </c>
      <c r="AT126" s="840">
        <f t="shared" si="3150"/>
        <v>0</v>
      </c>
      <c r="AU126" s="840">
        <f t="shared" si="3150"/>
        <v>0</v>
      </c>
      <c r="AV126" s="840">
        <f t="shared" si="3150"/>
        <v>0</v>
      </c>
      <c r="AW126" s="840">
        <f t="shared" si="3150"/>
        <v>0</v>
      </c>
      <c r="AX126" s="840">
        <f t="shared" si="3150"/>
        <v>0</v>
      </c>
      <c r="AY126" s="840">
        <f t="shared" si="3150"/>
        <v>0</v>
      </c>
      <c r="AZ126" s="840">
        <f t="shared" si="3150"/>
        <v>0</v>
      </c>
      <c r="BA126" s="840">
        <f>SUM(BA117:BA125)</f>
        <v>16990.145833333336</v>
      </c>
      <c r="BB126" s="840">
        <f t="shared" ref="BB126:CF126" si="3151">SUM(BB117:BB125)</f>
        <v>3848.5208333333335</v>
      </c>
      <c r="BC126" s="840">
        <f t="shared" si="3151"/>
        <v>57</v>
      </c>
      <c r="BD126" s="840">
        <f t="shared" si="3151"/>
        <v>1586.52609375</v>
      </c>
      <c r="BE126" s="840">
        <f t="shared" si="3151"/>
        <v>0</v>
      </c>
      <c r="BF126" s="840">
        <f t="shared" si="3151"/>
        <v>0</v>
      </c>
      <c r="BG126" s="840">
        <f t="shared" si="3151"/>
        <v>0</v>
      </c>
      <c r="BH126" s="840">
        <f t="shared" si="3151"/>
        <v>2353.6643331614587</v>
      </c>
      <c r="BI126" s="840">
        <f t="shared" si="3151"/>
        <v>24778.857093578124</v>
      </c>
      <c r="BJ126" s="840">
        <f t="shared" si="3151"/>
        <v>9020.8875000000007</v>
      </c>
      <c r="BK126" s="840">
        <f t="shared" si="3151"/>
        <v>2203.1125000000002</v>
      </c>
      <c r="BL126" s="840">
        <f t="shared" si="3151"/>
        <v>78.5</v>
      </c>
      <c r="BM126" s="840">
        <f t="shared" si="3151"/>
        <v>2157.9693750000001</v>
      </c>
      <c r="BN126" s="840">
        <f t="shared" si="3151"/>
        <v>0</v>
      </c>
      <c r="BO126" s="840">
        <f t="shared" si="3151"/>
        <v>0</v>
      </c>
      <c r="BP126" s="840">
        <f t="shared" si="3151"/>
        <v>0</v>
      </c>
      <c r="BQ126" s="840">
        <f t="shared" si="3151"/>
        <v>1416.3611660624999</v>
      </c>
      <c r="BR126" s="840">
        <f t="shared" si="3151"/>
        <v>14798.330541062502</v>
      </c>
      <c r="BS126" s="840">
        <f t="shared" si="3151"/>
        <v>5699.2583333333332</v>
      </c>
      <c r="BT126" s="840">
        <f t="shared" si="3151"/>
        <v>1415.4083333333333</v>
      </c>
      <c r="BU126" s="840">
        <f t="shared" si="3151"/>
        <v>0</v>
      </c>
      <c r="BV126" s="840">
        <f t="shared" si="3151"/>
        <v>0</v>
      </c>
      <c r="BW126" s="840">
        <f t="shared" si="3151"/>
        <v>0</v>
      </c>
      <c r="BX126" s="840">
        <f t="shared" si="3151"/>
        <v>0</v>
      </c>
      <c r="BY126" s="840">
        <f t="shared" si="3151"/>
        <v>0</v>
      </c>
      <c r="BZ126" s="840">
        <f t="shared" si="3151"/>
        <v>722.09603083333332</v>
      </c>
      <c r="CA126" s="840">
        <f t="shared" si="3151"/>
        <v>7836.7626975000012</v>
      </c>
      <c r="CB126" s="840">
        <f t="shared" si="3151"/>
        <v>566</v>
      </c>
      <c r="CC126" s="840">
        <f t="shared" si="3151"/>
        <v>210</v>
      </c>
      <c r="CD126" s="840">
        <f t="shared" si="3151"/>
        <v>0</v>
      </c>
      <c r="CE126" s="840">
        <f t="shared" si="3151"/>
        <v>0</v>
      </c>
      <c r="CF126" s="840">
        <f t="shared" si="3151"/>
        <v>0</v>
      </c>
      <c r="CG126" s="840">
        <f t="shared" ref="CG126:DL126" si="3152">SUM(CG117:CG125)</f>
        <v>0</v>
      </c>
      <c r="CH126" s="840">
        <f t="shared" si="3152"/>
        <v>0</v>
      </c>
      <c r="CI126" s="840">
        <f t="shared" si="3152"/>
        <v>71.712199999999996</v>
      </c>
      <c r="CJ126" s="840">
        <f t="shared" si="3152"/>
        <v>847.71220000000005</v>
      </c>
      <c r="CK126" s="840">
        <f t="shared" si="3152"/>
        <v>0</v>
      </c>
      <c r="CL126" s="840">
        <f t="shared" si="3152"/>
        <v>0</v>
      </c>
      <c r="CM126" s="840">
        <f t="shared" si="3152"/>
        <v>0</v>
      </c>
      <c r="CN126" s="840">
        <f t="shared" si="3152"/>
        <v>0</v>
      </c>
      <c r="CO126" s="840">
        <f t="shared" si="3152"/>
        <v>0</v>
      </c>
      <c r="CP126" s="840">
        <f t="shared" si="3152"/>
        <v>0</v>
      </c>
      <c r="CQ126" s="840">
        <f t="shared" si="3152"/>
        <v>0</v>
      </c>
      <c r="CR126" s="840">
        <f t="shared" si="3152"/>
        <v>0</v>
      </c>
      <c r="CS126" s="840">
        <f t="shared" si="3152"/>
        <v>0</v>
      </c>
      <c r="CT126" s="840">
        <f t="shared" si="3152"/>
        <v>0</v>
      </c>
      <c r="CU126" s="840">
        <f t="shared" si="3152"/>
        <v>0</v>
      </c>
      <c r="CV126" s="840">
        <f t="shared" si="3152"/>
        <v>0</v>
      </c>
      <c r="CW126" s="840">
        <f t="shared" si="3152"/>
        <v>0</v>
      </c>
      <c r="CX126" s="840">
        <f t="shared" si="3152"/>
        <v>0</v>
      </c>
      <c r="CY126" s="840">
        <f t="shared" si="3152"/>
        <v>0</v>
      </c>
      <c r="CZ126" s="840">
        <f t="shared" si="3152"/>
        <v>0</v>
      </c>
      <c r="DA126" s="840">
        <f t="shared" si="3152"/>
        <v>0</v>
      </c>
      <c r="DB126" s="840">
        <f t="shared" si="3152"/>
        <v>0</v>
      </c>
      <c r="DC126" s="840">
        <f t="shared" si="3152"/>
        <v>0</v>
      </c>
      <c r="DD126" s="840">
        <f t="shared" si="3152"/>
        <v>0</v>
      </c>
      <c r="DE126" s="840">
        <f t="shared" si="3152"/>
        <v>0</v>
      </c>
      <c r="DF126" s="840">
        <f t="shared" si="3152"/>
        <v>0</v>
      </c>
      <c r="DG126" s="840">
        <f t="shared" si="3152"/>
        <v>0</v>
      </c>
      <c r="DH126" s="840">
        <f t="shared" si="3152"/>
        <v>0</v>
      </c>
      <c r="DI126" s="840">
        <f t="shared" si="3152"/>
        <v>0</v>
      </c>
      <c r="DJ126" s="840">
        <f t="shared" si="3152"/>
        <v>0</v>
      </c>
      <c r="DK126" s="840">
        <f t="shared" si="3152"/>
        <v>0</v>
      </c>
      <c r="DL126" s="840">
        <f t="shared" si="3152"/>
        <v>0</v>
      </c>
      <c r="DM126" s="840">
        <f t="shared" ref="DM126:EN126" si="3153">SUM(DM117:DM125)</f>
        <v>0</v>
      </c>
      <c r="DN126" s="840">
        <f t="shared" si="3153"/>
        <v>0</v>
      </c>
      <c r="DO126" s="840">
        <f t="shared" si="3153"/>
        <v>0</v>
      </c>
      <c r="DP126" s="840">
        <f t="shared" si="3153"/>
        <v>0</v>
      </c>
      <c r="DQ126" s="840">
        <f t="shared" si="3153"/>
        <v>0</v>
      </c>
      <c r="DR126" s="840">
        <f t="shared" si="3153"/>
        <v>0</v>
      </c>
      <c r="DS126" s="840">
        <f t="shared" si="3153"/>
        <v>0</v>
      </c>
      <c r="DT126" s="840">
        <f t="shared" si="3153"/>
        <v>0</v>
      </c>
      <c r="DU126" s="840">
        <f t="shared" si="3153"/>
        <v>0</v>
      </c>
      <c r="DV126" s="840">
        <f t="shared" si="3153"/>
        <v>0</v>
      </c>
      <c r="DW126" s="840">
        <f t="shared" si="3153"/>
        <v>0</v>
      </c>
      <c r="DX126" s="840">
        <f t="shared" si="3153"/>
        <v>0</v>
      </c>
      <c r="DY126" s="840">
        <f t="shared" si="3153"/>
        <v>0</v>
      </c>
      <c r="DZ126" s="840">
        <f t="shared" si="3153"/>
        <v>0</v>
      </c>
      <c r="EA126" s="840">
        <f t="shared" si="3153"/>
        <v>0</v>
      </c>
      <c r="EB126" s="840">
        <f t="shared" si="3153"/>
        <v>0</v>
      </c>
      <c r="EC126" s="840">
        <f t="shared" si="3153"/>
        <v>0</v>
      </c>
      <c r="ED126" s="840">
        <f t="shared" si="3153"/>
        <v>0</v>
      </c>
      <c r="EE126" s="840">
        <f t="shared" si="3153"/>
        <v>0</v>
      </c>
      <c r="EF126" s="840">
        <f t="shared" si="3153"/>
        <v>32276.291666666664</v>
      </c>
      <c r="EG126" s="840">
        <f t="shared" si="3153"/>
        <v>7677.041666666667</v>
      </c>
      <c r="EH126" s="840">
        <f t="shared" si="3153"/>
        <v>135.5</v>
      </c>
      <c r="EI126" s="840">
        <f t="shared" si="3153"/>
        <v>3744.4954687499999</v>
      </c>
      <c r="EJ126" s="840">
        <f t="shared" si="3153"/>
        <v>0</v>
      </c>
      <c r="EK126" s="840">
        <f t="shared" si="3153"/>
        <v>0</v>
      </c>
      <c r="EL126" s="840">
        <f t="shared" si="3153"/>
        <v>0</v>
      </c>
      <c r="EM126" s="840">
        <f t="shared" si="3153"/>
        <v>4563.833730057293</v>
      </c>
      <c r="EN126" s="840">
        <f t="shared" si="3153"/>
        <v>48261.662532140632</v>
      </c>
      <c r="EO126" s="840"/>
      <c r="EP126" s="840">
        <f t="shared" ref="EP126:EY126" si="3154">SUM(EP117:EP125)</f>
        <v>782.51</v>
      </c>
      <c r="EQ126" s="840">
        <f t="shared" si="3154"/>
        <v>0</v>
      </c>
      <c r="ER126" s="840">
        <f t="shared" si="3154"/>
        <v>0</v>
      </c>
      <c r="ES126" s="840">
        <f t="shared" si="3154"/>
        <v>1074.25</v>
      </c>
      <c r="ET126" s="840">
        <f t="shared" si="3154"/>
        <v>0</v>
      </c>
      <c r="EU126" s="840">
        <f t="shared" si="3154"/>
        <v>0</v>
      </c>
      <c r="EV126" s="840">
        <f t="shared" si="3154"/>
        <v>0</v>
      </c>
      <c r="EW126" s="840">
        <f t="shared" si="3154"/>
        <v>162.5</v>
      </c>
      <c r="EX126" s="1191">
        <f t="shared" si="3154"/>
        <v>72.75</v>
      </c>
      <c r="EY126" s="840">
        <f t="shared" si="3154"/>
        <v>0</v>
      </c>
      <c r="EZ126" s="840"/>
      <c r="FA126" s="840">
        <f t="shared" ref="FA126:FP126" si="3155">SUM(FA117:FA125)</f>
        <v>782.51</v>
      </c>
      <c r="FB126" s="840">
        <f t="shared" si="3155"/>
        <v>0</v>
      </c>
      <c r="FC126" s="840">
        <f t="shared" si="3155"/>
        <v>0</v>
      </c>
      <c r="FD126" s="840">
        <f t="shared" si="3155"/>
        <v>1074.25</v>
      </c>
      <c r="FE126" s="840">
        <f t="shared" si="3155"/>
        <v>0</v>
      </c>
      <c r="FF126" s="840">
        <f t="shared" si="3155"/>
        <v>0</v>
      </c>
      <c r="FG126" s="840">
        <f t="shared" si="3155"/>
        <v>0</v>
      </c>
      <c r="FH126" s="840">
        <f t="shared" si="3155"/>
        <v>162.5</v>
      </c>
      <c r="FI126" s="840">
        <f t="shared" si="3155"/>
        <v>72.75</v>
      </c>
      <c r="FJ126" s="840">
        <f t="shared" si="3155"/>
        <v>0</v>
      </c>
      <c r="FK126" s="840">
        <f t="shared" si="3155"/>
        <v>1</v>
      </c>
      <c r="FL126" s="840">
        <f t="shared" si="3155"/>
        <v>0</v>
      </c>
      <c r="FM126" s="840">
        <f t="shared" si="3155"/>
        <v>0</v>
      </c>
      <c r="FN126" s="840">
        <f t="shared" si="3155"/>
        <v>0</v>
      </c>
      <c r="FO126" s="840">
        <f t="shared" si="3155"/>
        <v>0</v>
      </c>
      <c r="FP126" s="840">
        <f t="shared" si="3155"/>
        <v>1</v>
      </c>
    </row>
    <row r="127" spans="1:185" s="778" customFormat="1" ht="15.75" customHeight="1" outlineLevel="1" thickTop="1">
      <c r="A127" s="1006" t="str">
        <f t="shared" ref="A127:A134" si="3156">$G$4</f>
        <v>MAYO  2026 2da QUINCENA</v>
      </c>
      <c r="B127" s="1006">
        <f t="shared" ref="B127:B134" si="3157">+$G$5</f>
        <v>2026</v>
      </c>
      <c r="C127" s="1007" t="str">
        <f t="shared" si="1459"/>
        <v>MAYO  2026 2da QUINCENA2026</v>
      </c>
      <c r="D127" s="776"/>
      <c r="E127" s="776"/>
      <c r="F127" s="776"/>
      <c r="G127" s="779" t="s">
        <v>112</v>
      </c>
      <c r="H127" s="776"/>
      <c r="J127" s="856"/>
      <c r="K127" s="835"/>
      <c r="L127" s="835"/>
      <c r="M127" s="835"/>
      <c r="N127" s="855"/>
      <c r="O127" s="855"/>
      <c r="P127" s="855"/>
      <c r="Q127" s="855"/>
      <c r="R127" s="855"/>
      <c r="S127" s="855"/>
      <c r="U127" s="825"/>
      <c r="V127" s="835"/>
      <c r="W127" s="825"/>
      <c r="X127" s="835"/>
      <c r="Y127" s="825"/>
      <c r="Z127" s="835"/>
      <c r="AA127" s="825"/>
      <c r="AB127" s="835"/>
      <c r="AC127" s="825"/>
      <c r="AD127" s="835"/>
      <c r="AE127" s="826"/>
      <c r="AF127" s="835"/>
      <c r="AG127" s="826"/>
      <c r="AH127" s="835"/>
      <c r="AI127" s="826"/>
      <c r="AJ127" s="835"/>
      <c r="AK127" s="826"/>
      <c r="AL127" s="835"/>
      <c r="AM127" s="826"/>
      <c r="AN127" s="835"/>
      <c r="AO127" s="835"/>
      <c r="AP127" s="835"/>
      <c r="AQ127" s="835"/>
      <c r="AR127" s="835"/>
      <c r="AS127" s="835"/>
      <c r="AT127" s="835"/>
      <c r="AU127" s="835"/>
      <c r="AV127" s="835"/>
      <c r="AW127" s="835"/>
      <c r="AX127" s="835"/>
      <c r="AY127" s="835"/>
      <c r="BA127" s="835"/>
      <c r="BB127" s="835"/>
      <c r="BC127" s="835"/>
      <c r="BD127" s="835"/>
      <c r="BE127" s="835"/>
      <c r="BF127" s="835"/>
      <c r="BG127" s="835"/>
      <c r="BH127" s="835"/>
      <c r="BI127" s="835"/>
      <c r="BJ127" s="835"/>
      <c r="BK127" s="835"/>
      <c r="BL127" s="835"/>
      <c r="BM127" s="835"/>
      <c r="BN127" s="835"/>
      <c r="BO127" s="835"/>
      <c r="BP127" s="835"/>
      <c r="BQ127" s="835"/>
      <c r="BR127" s="835"/>
      <c r="BS127" s="835"/>
      <c r="BT127" s="835"/>
      <c r="BU127" s="835"/>
      <c r="BV127" s="835"/>
      <c r="BW127" s="835"/>
      <c r="BX127" s="835"/>
      <c r="BY127" s="835"/>
      <c r="BZ127" s="835"/>
      <c r="CA127" s="835"/>
      <c r="CB127" s="835"/>
      <c r="CC127" s="835"/>
      <c r="CD127" s="835"/>
      <c r="CE127" s="835"/>
      <c r="CF127" s="835"/>
      <c r="CG127" s="835"/>
      <c r="CH127" s="835"/>
      <c r="CI127" s="835"/>
      <c r="CJ127" s="835"/>
      <c r="CK127" s="835"/>
      <c r="CL127" s="835"/>
      <c r="CM127" s="835"/>
      <c r="CN127" s="835"/>
      <c r="CO127" s="835"/>
      <c r="CP127" s="835"/>
      <c r="CQ127" s="835"/>
      <c r="CR127" s="835"/>
      <c r="CS127" s="835"/>
      <c r="CV127" s="823"/>
      <c r="CW127" s="823"/>
      <c r="CX127" s="823"/>
      <c r="CY127" s="823"/>
      <c r="CZ127" s="823"/>
      <c r="DA127" s="823"/>
      <c r="DB127" s="823"/>
      <c r="DC127" s="823"/>
      <c r="DD127" s="823"/>
      <c r="DE127" s="823"/>
      <c r="DF127" s="823"/>
      <c r="DG127" s="823"/>
      <c r="DH127" s="823"/>
      <c r="DI127" s="823"/>
      <c r="DJ127" s="823"/>
      <c r="DK127" s="823"/>
      <c r="DL127" s="823"/>
      <c r="DM127" s="823"/>
      <c r="DN127" s="823"/>
      <c r="DO127" s="823"/>
      <c r="DP127" s="823"/>
      <c r="DQ127" s="823"/>
      <c r="DR127" s="823"/>
      <c r="DS127" s="823"/>
      <c r="DT127" s="823"/>
      <c r="DU127" s="823"/>
      <c r="DV127" s="823"/>
      <c r="DW127" s="823"/>
      <c r="DX127" s="823"/>
      <c r="DY127" s="823"/>
      <c r="DZ127" s="823"/>
      <c r="EA127" s="823"/>
      <c r="EB127" s="823"/>
      <c r="EC127" s="823"/>
      <c r="ED127" s="823"/>
      <c r="EE127" s="823"/>
      <c r="EF127" s="823"/>
      <c r="EG127" s="823"/>
      <c r="EH127" s="823"/>
      <c r="EI127" s="823"/>
      <c r="EJ127" s="823"/>
      <c r="EK127" s="823"/>
      <c r="EL127" s="823"/>
      <c r="EM127" s="823"/>
      <c r="EN127" s="823"/>
      <c r="EP127" s="235"/>
      <c r="ES127" s="216"/>
      <c r="EV127" s="778" t="s">
        <v>52</v>
      </c>
      <c r="FK127" s="800"/>
      <c r="FL127" s="800"/>
      <c r="FM127" s="800"/>
      <c r="FN127" s="800"/>
      <c r="FO127" s="800"/>
      <c r="FP127" s="800"/>
    </row>
    <row r="128" spans="1:185" s="778" customFormat="1" ht="15.75" customHeight="1" outlineLevel="1">
      <c r="A128" s="1006" t="str">
        <f t="shared" si="3156"/>
        <v>MAYO  2026 2da QUINCENA</v>
      </c>
      <c r="B128" s="1006">
        <f t="shared" si="3157"/>
        <v>2026</v>
      </c>
      <c r="C128" s="1007" t="str">
        <f t="shared" si="1459"/>
        <v>MAYO  2026 2da QUINCENA2026</v>
      </c>
      <c r="D128" s="776" t="str">
        <f>+$G$127</f>
        <v>Mantenimiento</v>
      </c>
      <c r="E128" s="776">
        <v>305010</v>
      </c>
      <c r="F128" s="776"/>
      <c r="G128" s="723" t="s">
        <v>623</v>
      </c>
      <c r="H128" s="776"/>
      <c r="J128" s="856"/>
      <c r="K128" s="835"/>
      <c r="L128" s="835"/>
      <c r="M128" s="835"/>
      <c r="N128" s="855"/>
      <c r="O128" s="855"/>
      <c r="P128" s="855"/>
      <c r="Q128" s="855"/>
      <c r="R128" s="855"/>
      <c r="S128" s="855"/>
      <c r="U128" s="825"/>
      <c r="V128" s="835"/>
      <c r="W128" s="825"/>
      <c r="X128" s="835"/>
      <c r="Y128" s="825"/>
      <c r="Z128" s="835"/>
      <c r="AA128" s="825"/>
      <c r="AB128" s="835"/>
      <c r="AC128" s="825"/>
      <c r="AD128" s="835"/>
      <c r="AE128" s="826"/>
      <c r="AF128" s="835"/>
      <c r="AG128" s="826"/>
      <c r="AH128" s="835"/>
      <c r="AI128" s="826"/>
      <c r="AJ128" s="835"/>
      <c r="AK128" s="826"/>
      <c r="AL128" s="835"/>
      <c r="AM128" s="826"/>
      <c r="AN128" s="835"/>
      <c r="AO128" s="835"/>
      <c r="AP128" s="835"/>
      <c r="AQ128" s="835"/>
      <c r="AR128" s="835"/>
      <c r="AS128" s="835"/>
      <c r="AT128" s="835"/>
      <c r="AU128" s="835"/>
      <c r="AV128" s="835"/>
      <c r="AW128" s="835"/>
      <c r="AX128" s="835"/>
      <c r="AY128" s="835"/>
      <c r="BA128" s="835"/>
      <c r="BB128" s="835"/>
      <c r="BC128" s="835"/>
      <c r="BD128" s="835"/>
      <c r="BE128" s="835"/>
      <c r="BF128" s="835"/>
      <c r="BG128" s="835"/>
      <c r="BH128" s="835"/>
      <c r="BI128" s="835"/>
      <c r="BJ128" s="835"/>
      <c r="BK128" s="835"/>
      <c r="BL128" s="835"/>
      <c r="BM128" s="835"/>
      <c r="BN128" s="835"/>
      <c r="BO128" s="835"/>
      <c r="BP128" s="835"/>
      <c r="BQ128" s="835"/>
      <c r="BR128" s="835"/>
      <c r="BS128" s="835"/>
      <c r="BT128" s="835"/>
      <c r="BU128" s="835"/>
      <c r="BV128" s="835"/>
      <c r="BW128" s="835"/>
      <c r="BX128" s="835"/>
      <c r="BY128" s="835"/>
      <c r="BZ128" s="835"/>
      <c r="CA128" s="835"/>
      <c r="CB128" s="835"/>
      <c r="CC128" s="835"/>
      <c r="CD128" s="835"/>
      <c r="CE128" s="835"/>
      <c r="CF128" s="835"/>
      <c r="CG128" s="835"/>
      <c r="CH128" s="835"/>
      <c r="CI128" s="835"/>
      <c r="CJ128" s="835"/>
      <c r="CK128" s="835"/>
      <c r="CL128" s="835"/>
      <c r="CM128" s="835"/>
      <c r="CN128" s="835"/>
      <c r="CO128" s="835"/>
      <c r="CP128" s="835"/>
      <c r="CQ128" s="835"/>
      <c r="CR128" s="835"/>
      <c r="CS128" s="835"/>
      <c r="CV128" s="823"/>
      <c r="CW128" s="823"/>
      <c r="CX128" s="823"/>
      <c r="CY128" s="823"/>
      <c r="CZ128" s="823"/>
      <c r="DA128" s="823"/>
      <c r="DB128" s="823"/>
      <c r="DC128" s="823"/>
      <c r="DD128" s="823"/>
      <c r="DE128" s="823"/>
      <c r="DF128" s="823"/>
      <c r="DG128" s="823"/>
      <c r="DH128" s="823"/>
      <c r="DI128" s="823"/>
      <c r="DJ128" s="823"/>
      <c r="DK128" s="823"/>
      <c r="DL128" s="823"/>
      <c r="DM128" s="823"/>
      <c r="DN128" s="823"/>
      <c r="DO128" s="823"/>
      <c r="DP128" s="823"/>
      <c r="DQ128" s="823"/>
      <c r="DR128" s="823"/>
      <c r="DS128" s="823"/>
      <c r="DT128" s="823"/>
      <c r="DU128" s="823"/>
      <c r="DV128" s="823"/>
      <c r="DW128" s="823"/>
      <c r="DX128" s="823"/>
      <c r="DY128" s="823"/>
      <c r="DZ128" s="823"/>
      <c r="EA128" s="823"/>
      <c r="EB128" s="823"/>
      <c r="EC128" s="823"/>
      <c r="ED128" s="823"/>
      <c r="EE128" s="823"/>
      <c r="EF128" s="823"/>
      <c r="EG128" s="823"/>
      <c r="EH128" s="823"/>
      <c r="EI128" s="823"/>
      <c r="EJ128" s="823"/>
      <c r="EK128" s="823"/>
      <c r="EL128" s="823"/>
      <c r="EM128" s="823"/>
      <c r="EN128" s="823"/>
      <c r="EP128" s="235"/>
      <c r="ES128" s="216"/>
      <c r="FK128" s="800"/>
      <c r="FL128" s="800"/>
      <c r="FM128" s="800"/>
      <c r="FN128" s="800"/>
      <c r="FO128" s="800"/>
      <c r="FP128" s="800"/>
    </row>
    <row r="129" spans="1:184" s="216" customFormat="1" ht="15" customHeight="1" outlineLevel="1">
      <c r="A129" s="1006" t="str">
        <f t="shared" si="3156"/>
        <v>MAYO  2026 2da QUINCENA</v>
      </c>
      <c r="B129" s="1006">
        <f t="shared" si="3157"/>
        <v>2026</v>
      </c>
      <c r="C129" s="1007" t="str">
        <f t="shared" si="1459"/>
        <v>MAYO  2026 2da QUINCENA2026</v>
      </c>
      <c r="D129" s="776" t="str">
        <f>+$G$127</f>
        <v>Mantenimiento</v>
      </c>
      <c r="E129" s="776">
        <v>305010</v>
      </c>
      <c r="F129" s="268">
        <v>47</v>
      </c>
      <c r="G129" s="199" t="s">
        <v>421</v>
      </c>
      <c r="H129" s="200" t="s">
        <v>670</v>
      </c>
      <c r="I129" s="201" t="s">
        <v>11</v>
      </c>
      <c r="J129" s="202">
        <v>6500</v>
      </c>
      <c r="K129" s="202">
        <v>800</v>
      </c>
      <c r="L129" s="202">
        <f>+J129+K129</f>
        <v>7300</v>
      </c>
      <c r="M129" s="203">
        <v>30</v>
      </c>
      <c r="N129" s="820">
        <v>0.45</v>
      </c>
      <c r="O129" s="820">
        <v>0.4</v>
      </c>
      <c r="P129" s="820">
        <v>0.1</v>
      </c>
      <c r="Q129" s="204">
        <v>0.05</v>
      </c>
      <c r="R129" s="820">
        <v>0</v>
      </c>
      <c r="S129" s="204">
        <f>SUM(N129:R129)</f>
        <v>1</v>
      </c>
      <c r="T129" s="205"/>
      <c r="U129" s="238"/>
      <c r="V129" s="203">
        <f>($J129/30/8*1.5)*U129</f>
        <v>0</v>
      </c>
      <c r="W129" s="207">
        <v>0</v>
      </c>
      <c r="X129" s="203">
        <f>($J129/30/8*2)*W129</f>
        <v>0</v>
      </c>
      <c r="Y129" s="207"/>
      <c r="Z129" s="203">
        <f>($J129/30/8*1.5)*Y129</f>
        <v>0</v>
      </c>
      <c r="AA129" s="207"/>
      <c r="AB129" s="203">
        <f>($J129/30/8*2)*AA129</f>
        <v>0</v>
      </c>
      <c r="AC129" s="207">
        <v>0</v>
      </c>
      <c r="AD129" s="203">
        <f>(($J129/30/8)*1.5)*AC129</f>
        <v>0</v>
      </c>
      <c r="AE129" s="208"/>
      <c r="AF129" s="203">
        <f>(($J129/30/8)*2)*AE129</f>
        <v>0</v>
      </c>
      <c r="AG129" s="839"/>
      <c r="AH129" s="203">
        <f>(($J129/30/8)*1.5)*AG129</f>
        <v>0</v>
      </c>
      <c r="AI129" s="208"/>
      <c r="AJ129" s="203">
        <f>(($J129/30/8)*2)*AI129</f>
        <v>0</v>
      </c>
      <c r="AK129" s="203"/>
      <c r="AL129" s="203">
        <f>(($J129/30/8)*1.5)*AK129</f>
        <v>0</v>
      </c>
      <c r="AM129" s="208"/>
      <c r="AN129" s="203">
        <f>(($J129/30/8)*2)*AM129</f>
        <v>0</v>
      </c>
      <c r="AO129" s="202"/>
      <c r="AP129" s="202"/>
      <c r="AQ129" s="202"/>
      <c r="AR129" s="202"/>
      <c r="AS129" s="202"/>
      <c r="AT129" s="202"/>
      <c r="AU129" s="202"/>
      <c r="AV129" s="202"/>
      <c r="AW129" s="202"/>
      <c r="AX129" s="202"/>
      <c r="AY129" s="202"/>
      <c r="AZ129" s="212"/>
      <c r="BA129" s="239">
        <f>((J129/30)*M129)*$N129</f>
        <v>2925</v>
      </c>
      <c r="BB129" s="269">
        <f>((K129/30)*M129)*$N129+450</f>
        <v>810</v>
      </c>
      <c r="BC129" s="203">
        <f t="shared" ref="BC129:BC132" si="3158">U129</f>
        <v>0</v>
      </c>
      <c r="BD129" s="203">
        <f t="shared" ref="BD129" si="3159">V129</f>
        <v>0</v>
      </c>
      <c r="BE129" s="203">
        <f t="shared" ref="BE129" si="3160">W129</f>
        <v>0</v>
      </c>
      <c r="BF129" s="203">
        <f t="shared" ref="BF129" si="3161">X129</f>
        <v>0</v>
      </c>
      <c r="BG129" s="203">
        <f>AO129+AT129</f>
        <v>0</v>
      </c>
      <c r="BH129" s="203">
        <f t="shared" ref="BH129:BH134" si="3162">(BA129+BD129+BF129+BG129)*0.1267</f>
        <v>370.59750000000003</v>
      </c>
      <c r="BI129" s="203">
        <f>SUM(BA129:BH129)-BC129-BE129</f>
        <v>4105.5974999999999</v>
      </c>
      <c r="BJ129" s="203">
        <f>(($J129/30)*$M129)*$O129</f>
        <v>2600</v>
      </c>
      <c r="BK129" s="865">
        <f>(($K129/30)*$M129)*$O129+500</f>
        <v>820</v>
      </c>
      <c r="BL129" s="203">
        <f t="shared" ref="BL129" si="3163">Y129</f>
        <v>0</v>
      </c>
      <c r="BM129" s="203">
        <f t="shared" ref="BM129" si="3164">Z129</f>
        <v>0</v>
      </c>
      <c r="BN129" s="203">
        <f t="shared" ref="BN129" si="3165">AA129</f>
        <v>0</v>
      </c>
      <c r="BO129" s="203">
        <f t="shared" ref="BO129" si="3166">AB129</f>
        <v>0</v>
      </c>
      <c r="BP129" s="203">
        <f>AP129+AU129</f>
        <v>0</v>
      </c>
      <c r="BQ129" s="203">
        <f t="shared" ref="BQ129:BQ134" si="3167">(+BJ129+BM129+BO129+BP129)*0.1267</f>
        <v>329.42</v>
      </c>
      <c r="BR129" s="202">
        <f>SUM(BJ129:BQ129)-BL129-BN129</f>
        <v>3749.42</v>
      </c>
      <c r="BS129" s="203">
        <f>(($J129/30)*$M129)*$P129</f>
        <v>650</v>
      </c>
      <c r="BT129" s="239">
        <f>(($K129/30)*$M129)*$P129</f>
        <v>80</v>
      </c>
      <c r="BU129" s="203">
        <f t="shared" ref="BU129" si="3168">AC129</f>
        <v>0</v>
      </c>
      <c r="BV129" s="203">
        <f t="shared" ref="BV129" si="3169">AD129</f>
        <v>0</v>
      </c>
      <c r="BW129" s="203">
        <f t="shared" ref="BW129" si="3170">AE129</f>
        <v>0</v>
      </c>
      <c r="BX129" s="203">
        <f>AF129</f>
        <v>0</v>
      </c>
      <c r="BY129" s="203">
        <f>AQ129+AV129</f>
        <v>0</v>
      </c>
      <c r="BZ129" s="203">
        <f t="shared" ref="BZ129:BZ134" si="3171">(BS129+BV129+BX129+BY129)*0.1267</f>
        <v>82.355000000000004</v>
      </c>
      <c r="CA129" s="203">
        <f>SUM(BS129:BZ129)-BU129-BW129</f>
        <v>812.35500000000002</v>
      </c>
      <c r="CB129" s="241">
        <f>(($J129/30)*$M129)*$Q129</f>
        <v>325</v>
      </c>
      <c r="CC129" s="242">
        <f>(($K129/30)*$M129)*$Q129+50</f>
        <v>90</v>
      </c>
      <c r="CD129" s="242">
        <f t="shared" ref="CD129" si="3172">AG129</f>
        <v>0</v>
      </c>
      <c r="CE129" s="242">
        <f t="shared" ref="CE129" si="3173">AH129</f>
        <v>0</v>
      </c>
      <c r="CF129" s="242">
        <f t="shared" ref="CF129" si="3174">AI129</f>
        <v>0</v>
      </c>
      <c r="CG129" s="242">
        <f t="shared" ref="CG129" si="3175">AJ129</f>
        <v>0</v>
      </c>
      <c r="CH129" s="242">
        <f>AR129+AW129</f>
        <v>0</v>
      </c>
      <c r="CI129" s="703">
        <f t="shared" ref="CI129:CI134" si="3176">(CB129+CE129+CG129+CH129)*0.1267</f>
        <v>41.177500000000002</v>
      </c>
      <c r="CJ129" s="242">
        <f>SUM(CB129:CI129)-CD129-CF129</f>
        <v>456.17750000000001</v>
      </c>
      <c r="CK129" s="242">
        <f>(($J129/30)*$M129)*R129</f>
        <v>0</v>
      </c>
      <c r="CL129" s="242">
        <f>(($K129/30)*$M129)*$R129</f>
        <v>0</v>
      </c>
      <c r="CM129" s="242">
        <f>+AK129</f>
        <v>0</v>
      </c>
      <c r="CN129" s="242">
        <f t="shared" ref="CN129" si="3177">AL129</f>
        <v>0</v>
      </c>
      <c r="CO129" s="242">
        <f t="shared" ref="CO129" si="3178">AM129</f>
        <v>0</v>
      </c>
      <c r="CP129" s="242">
        <f t="shared" ref="CP129" si="3179">AN129</f>
        <v>0</v>
      </c>
      <c r="CQ129" s="242">
        <f>AS129+AX129</f>
        <v>0</v>
      </c>
      <c r="CR129" s="242">
        <f>(CK129+CN129+CP129)*0.1267</f>
        <v>0</v>
      </c>
      <c r="CS129" s="243">
        <f>SUM(CK129:CR129)-CM129-CO129</f>
        <v>0</v>
      </c>
      <c r="CU129" s="201" t="s">
        <v>11</v>
      </c>
      <c r="CV129" s="203">
        <f t="shared" ref="CV129" si="3180">IF($CU129="PROQUIMA",$BA129+$BJ129+$BS129+$CB129+$CK129,0)</f>
        <v>0</v>
      </c>
      <c r="CW129" s="203">
        <f t="shared" ref="CW129" si="3181">IF($CU129="PROQUIMA",$BB129+$BK129+$BT129+$CC129+$CL129,0)</f>
        <v>0</v>
      </c>
      <c r="CX129" s="203">
        <f t="shared" ref="CX129" si="3182">IF($CU129="PROQUIMA",$BC129+$BL129+$BU129+$CD129+$CM129,0)</f>
        <v>0</v>
      </c>
      <c r="CY129" s="203">
        <f t="shared" ref="CY129" si="3183">IF($CU129="PROQUIMA",$BD129+$BM129+$BV129+$CE129+$CN129,0)</f>
        <v>0</v>
      </c>
      <c r="CZ129" s="203">
        <f t="shared" ref="CZ129" si="3184">IF($CU129="PROQUIMA",$BE129+$BN129+$BW129+$CF129+$CO129,0)</f>
        <v>0</v>
      </c>
      <c r="DA129" s="203">
        <f t="shared" ref="DA129" si="3185">IF($CU129="PROQUIMA",$BF129+$BO129+$BX129+$CG129+$CP129,0)</f>
        <v>0</v>
      </c>
      <c r="DB129" s="203">
        <f t="shared" ref="DB129" si="3186">IF($CU129="PROQUIMA",$BG129+$BP129+$BY129+$CH129+$CQ129,0)</f>
        <v>0</v>
      </c>
      <c r="DC129" s="203">
        <f t="shared" ref="DC129" si="3187">IF($CU129="PROQUIMA",$BH129+$BQ129+$BZ129+$CI129+CR129,0)</f>
        <v>0</v>
      </c>
      <c r="DD129" s="203">
        <f t="shared" ref="DD129" si="3188">SUM(CV129:DC129)-CX129-CZ129</f>
        <v>0</v>
      </c>
      <c r="DE129" s="203">
        <f t="shared" ref="DE129" si="3189">IF($CU129="UNHESA",$BA129+$BJ129+$BS129+$CB129+$CK129,0)</f>
        <v>0</v>
      </c>
      <c r="DF129" s="203">
        <f t="shared" ref="DF129" si="3190">IF($CU129="UNHESA",$BB129+$BK129+$BT129+$CC129+$CL129,0)</f>
        <v>0</v>
      </c>
      <c r="DG129" s="239">
        <f t="shared" ref="DG129" si="3191">IF($CU129="UNHESA",$BC129+$BL129+$BU129+$CD129+$CM129,0)</f>
        <v>0</v>
      </c>
      <c r="DH129" s="239">
        <f t="shared" ref="DH129" si="3192">IF($CU129="UNHESA",$BD129+$BM129+$BV129+$CE129+$CN129,0)</f>
        <v>0</v>
      </c>
      <c r="DI129" s="239">
        <f t="shared" ref="DI129" si="3193">IF($CU129="UNHESA",$BE129+$BN129+$BW129+$CF129+$CO129,0)</f>
        <v>0</v>
      </c>
      <c r="DJ129" s="203">
        <f t="shared" ref="DJ129" si="3194">IF($CU129="UNHESA",$BF129+$BO129+$BX129+$CG129+$CP129,0)</f>
        <v>0</v>
      </c>
      <c r="DK129" s="203">
        <f t="shared" ref="DK129" si="3195">IF($CU129="UNHESA",$BG129+$BP129+$BY129+$CH129+$CQ129,0)</f>
        <v>0</v>
      </c>
      <c r="DL129" s="203">
        <f t="shared" ref="DL129" si="3196">IF($CU129="UNHESA",$BH129+$BQ129+$BZ129+$CI129+$CR129,0)</f>
        <v>0</v>
      </c>
      <c r="DM129" s="203">
        <f t="shared" ref="DM129" si="3197">SUM(DE129:DL129)-DG129-DI129</f>
        <v>0</v>
      </c>
      <c r="DN129" s="210">
        <f t="shared" ref="DN129" si="3198">IF($CU129="UNHESA LIQUIDOS",$BA129+$BJ129+$BS129+$CB129+$CK129,0)</f>
        <v>0</v>
      </c>
      <c r="DO129" s="210">
        <f t="shared" ref="DO129" si="3199">IF($CU129="UNHESA LIQUIDOS",$BB129+$BK129+$BT129+$CC129+$CL129,0)</f>
        <v>0</v>
      </c>
      <c r="DP129" s="210">
        <f t="shared" ref="DP129" si="3200">IF($CU129="UNHESA LIQUIDOS",$BC129+$BL129+$BU129+$CD129+$CM129,0)</f>
        <v>0</v>
      </c>
      <c r="DQ129" s="210">
        <f t="shared" ref="DQ129" si="3201">IF($CU129="UNHESA LIQUIDOS",$BD129+$BM129+$BV129+$CE129+$CN129,0)</f>
        <v>0</v>
      </c>
      <c r="DR129" s="210">
        <f t="shared" ref="DR129" si="3202">IF($CU129="UNHESA LIQUIDOS",$BE129+$BN129+$BW129+$CF129+$CO129,0)</f>
        <v>0</v>
      </c>
      <c r="DS129" s="210">
        <f t="shared" ref="DS129" si="3203">IF($CU129="UNHESA LIQUIDOS",$BF129+$BO129+$BX129+$CG129+$CP129,0)</f>
        <v>0</v>
      </c>
      <c r="DT129" s="210">
        <f t="shared" ref="DT129" si="3204">IF($CU129="UNHESA LIQUIDOS",$BG129+$BP129+$BY129+$CH129+$CQ129,0)</f>
        <v>0</v>
      </c>
      <c r="DU129" s="210">
        <f t="shared" ref="DU129" si="3205">IF($CU129="UNHESA LIQUIDOS",$BH129+$BQ129+$BZ129+$CI129+$CR129,0)</f>
        <v>0</v>
      </c>
      <c r="DV129" s="210">
        <f t="shared" ref="DV129" si="3206">SUM(DN129:DU129)-DP129-DR129</f>
        <v>0</v>
      </c>
      <c r="DW129" s="241">
        <f>IF($CU129="CLEARTEC",$BA129+$BJ129+$BS129+$CB129+$CK129,0)</f>
        <v>0</v>
      </c>
      <c r="DX129" s="241">
        <f t="shared" ref="DX129:ED129" si="3207">IF($CU129="CLEARTEC",$BA129+$BJ129+$BS129+$CB129+$CK129,0)</f>
        <v>0</v>
      </c>
      <c r="DY129" s="241">
        <f t="shared" si="3207"/>
        <v>0</v>
      </c>
      <c r="DZ129" s="241">
        <f t="shared" si="3207"/>
        <v>0</v>
      </c>
      <c r="EA129" s="241">
        <f t="shared" si="3207"/>
        <v>0</v>
      </c>
      <c r="EB129" s="241">
        <f t="shared" si="3207"/>
        <v>0</v>
      </c>
      <c r="EC129" s="241">
        <f t="shared" si="3207"/>
        <v>0</v>
      </c>
      <c r="ED129" s="241">
        <f t="shared" si="3207"/>
        <v>0</v>
      </c>
      <c r="EE129" s="242">
        <f t="shared" ref="EE129" si="3208">SUM(DW129:ED129)-DY129-EA129</f>
        <v>0</v>
      </c>
      <c r="EF129" s="203">
        <f t="shared" ref="EF129" si="3209">IF(CU129="ECONACIONAL",$BA129+$BJ129+$BS129+$CB129+$CK129)</f>
        <v>6500</v>
      </c>
      <c r="EG129" s="242">
        <f t="shared" ref="EG129:EG134" si="3210">IF($CU129="ECONACIONAL",$BB129+$BK129+$BT129+$CC129+$CL129,0)</f>
        <v>1800</v>
      </c>
      <c r="EH129" s="203">
        <f t="shared" ref="EH129:EH134" si="3211">IF(CU129="ECONACIONAL",$BC129+$BL129+$BU129+$CD129+$CM129)</f>
        <v>0</v>
      </c>
      <c r="EI129" s="203">
        <f t="shared" ref="EI129:EI134" si="3212">IF(CU129="ECONACIONAL",$BD129+$DH129+$DQ129+$DZ129+BM129+BV129+CE129+CN129)</f>
        <v>0</v>
      </c>
      <c r="EJ129" s="242">
        <f t="shared" ref="EJ129:EJ134" si="3213">IF($CU129="CLEARTEC",$BE129+$BN129+$BW129+$CF129+$CO129,0)</f>
        <v>0</v>
      </c>
      <c r="EK129" s="203">
        <f t="shared" ref="EK129" si="3214">IF(CU129="ECONACIONAL",$BF129+$BO129+$BX129+$CG129+$CP129)</f>
        <v>0</v>
      </c>
      <c r="EL129" s="203">
        <f t="shared" ref="EL129" si="3215">IF(CU129="ECONACIONAL",$BG129+$BP129+$BY129+$CH129+$CQ129)</f>
        <v>0</v>
      </c>
      <c r="EM129" s="203">
        <f t="shared" ref="EM129" si="3216">IF(CU129="ECONACIONAL",BH129+BQ129+BZ129+CI129+CR129)</f>
        <v>823.55000000000007</v>
      </c>
      <c r="EN129" s="203">
        <f t="shared" ref="EN129" si="3217">SUM(EF129:EM129)-EH129-EJ129</f>
        <v>9123.5499999999993</v>
      </c>
      <c r="EP129" s="1193">
        <v>213</v>
      </c>
      <c r="EQ129" s="201"/>
      <c r="ER129" s="201"/>
      <c r="ES129" s="201">
        <f>276+375</f>
        <v>651</v>
      </c>
      <c r="ET129" s="201"/>
      <c r="EU129" s="200"/>
      <c r="EV129" s="200">
        <v>350</v>
      </c>
      <c r="EW129" s="201"/>
      <c r="EX129" s="201"/>
      <c r="EY129" s="201">
        <f t="shared" ref="EY129:EY134" si="3218">+ET129+EU129+EV129</f>
        <v>350</v>
      </c>
      <c r="FA129" s="207">
        <f t="shared" ref="FA129:FJ129" si="3219">IF($M129&lt;=15,EP129/2,EP129)</f>
        <v>213</v>
      </c>
      <c r="FB129" s="207">
        <f t="shared" si="3219"/>
        <v>0</v>
      </c>
      <c r="FC129" s="207">
        <f t="shared" si="3219"/>
        <v>0</v>
      </c>
      <c r="FD129" s="207">
        <f t="shared" si="3219"/>
        <v>651</v>
      </c>
      <c r="FE129" s="207">
        <f t="shared" si="3219"/>
        <v>0</v>
      </c>
      <c r="FF129" s="207">
        <f t="shared" si="3219"/>
        <v>0</v>
      </c>
      <c r="FG129" s="207">
        <f t="shared" si="3219"/>
        <v>350</v>
      </c>
      <c r="FH129" s="207">
        <f t="shared" si="3219"/>
        <v>0</v>
      </c>
      <c r="FI129" s="207">
        <f t="shared" si="3219"/>
        <v>0</v>
      </c>
      <c r="FJ129" s="207">
        <f t="shared" si="3219"/>
        <v>350</v>
      </c>
      <c r="FK129" s="217">
        <v>0.5</v>
      </c>
      <c r="FL129" s="217">
        <v>0.25</v>
      </c>
      <c r="FM129" s="217">
        <v>0.25</v>
      </c>
      <c r="FN129" s="217">
        <v>0</v>
      </c>
      <c r="FO129" s="217">
        <v>0</v>
      </c>
      <c r="FP129" s="217">
        <v>1</v>
      </c>
      <c r="FR129" s="1178">
        <f>(((J129/30/8)*1.5)*(U129+Y129+AC129))-(BD129+BM129+BV129)</f>
        <v>0</v>
      </c>
      <c r="FS129" s="1178">
        <f t="shared" ref="FS129" si="3220">(((J129/30/8)*2)*(W129+AA129+AE129))-(BF129+BO129+BX129)</f>
        <v>0</v>
      </c>
      <c r="FT129" s="1179">
        <f>(SUM(BA129:CJ129))-(SUM(EF129:EN129))</f>
        <v>0</v>
      </c>
      <c r="FU129" s="1178">
        <f>(J129/30*M129)-(EF129)</f>
        <v>0</v>
      </c>
      <c r="FV129" s="1182">
        <f>(SUM(EP129:EY129))-((SUM(FA129:FJ129))*$FV$5)</f>
        <v>-1564</v>
      </c>
    </row>
    <row r="130" spans="1:184" s="216" customFormat="1" ht="15" customHeight="1" outlineLevel="1">
      <c r="A130" s="1006" t="str">
        <f t="shared" si="3156"/>
        <v>MAYO  2026 2da QUINCENA</v>
      </c>
      <c r="B130" s="1006">
        <f t="shared" si="3157"/>
        <v>2026</v>
      </c>
      <c r="C130" s="1007" t="str">
        <f t="shared" si="1459"/>
        <v>MAYO  2026 2da QUINCENA2026</v>
      </c>
      <c r="D130" s="235"/>
      <c r="E130" s="776">
        <v>305010</v>
      </c>
      <c r="F130" s="268"/>
      <c r="G130" s="723" t="s">
        <v>656</v>
      </c>
      <c r="H130" s="235"/>
      <c r="J130" s="861"/>
      <c r="K130" s="861" t="s">
        <v>52</v>
      </c>
      <c r="L130" s="861"/>
      <c r="M130" s="802"/>
      <c r="N130" s="871"/>
      <c r="O130" s="871"/>
      <c r="P130" s="871"/>
      <c r="Q130" s="958"/>
      <c r="R130" s="871"/>
      <c r="S130" s="958"/>
      <c r="T130" s="205"/>
      <c r="U130" s="960"/>
      <c r="V130" s="802"/>
      <c r="W130" s="961"/>
      <c r="X130" s="802"/>
      <c r="Y130" s="961"/>
      <c r="Z130" s="802"/>
      <c r="AA130" s="961"/>
      <c r="AB130" s="802"/>
      <c r="AC130" s="961"/>
      <c r="AD130" s="802"/>
      <c r="AE130" s="962"/>
      <c r="AF130" s="802"/>
      <c r="AG130" s="966"/>
      <c r="AH130" s="802"/>
      <c r="AI130" s="962"/>
      <c r="AJ130" s="802"/>
      <c r="AK130" s="802"/>
      <c r="AL130" s="802"/>
      <c r="AM130" s="962"/>
      <c r="AN130" s="802"/>
      <c r="AO130" s="861"/>
      <c r="AP130" s="861"/>
      <c r="AQ130" s="861"/>
      <c r="AR130" s="861"/>
      <c r="AS130" s="861"/>
      <c r="AT130" s="861"/>
      <c r="AU130" s="861"/>
      <c r="AV130" s="861"/>
      <c r="AW130" s="861"/>
      <c r="AX130" s="861"/>
      <c r="AY130" s="861"/>
      <c r="AZ130" s="967"/>
      <c r="BA130" s="881"/>
      <c r="BB130" s="881"/>
      <c r="BC130" s="802"/>
      <c r="BD130" s="802"/>
      <c r="BE130" s="802"/>
      <c r="BF130" s="802"/>
      <c r="BG130" s="802"/>
      <c r="BH130" s="802"/>
      <c r="BI130" s="802"/>
      <c r="BJ130" s="802"/>
      <c r="BK130" s="802"/>
      <c r="BL130" s="802"/>
      <c r="BM130" s="802"/>
      <c r="BN130" s="802"/>
      <c r="BO130" s="802"/>
      <c r="BP130" s="802"/>
      <c r="BQ130" s="802"/>
      <c r="BR130" s="861"/>
      <c r="BS130" s="802"/>
      <c r="BT130" s="881"/>
      <c r="BU130" s="802"/>
      <c r="BV130" s="802"/>
      <c r="BW130" s="802"/>
      <c r="BX130" s="802"/>
      <c r="BY130" s="802"/>
      <c r="BZ130" s="802"/>
      <c r="CA130" s="802"/>
      <c r="CB130" s="802"/>
      <c r="CC130" s="802"/>
      <c r="CD130" s="802"/>
      <c r="CE130" s="802"/>
      <c r="CF130" s="802"/>
      <c r="CG130" s="802"/>
      <c r="CH130" s="802"/>
      <c r="CI130" s="802"/>
      <c r="CJ130" s="802"/>
      <c r="CK130" s="802"/>
      <c r="CL130" s="802"/>
      <c r="CM130" s="802"/>
      <c r="CN130" s="802"/>
      <c r="CO130" s="802"/>
      <c r="CP130" s="802"/>
      <c r="CQ130" s="802"/>
      <c r="CR130" s="802"/>
      <c r="CS130" s="802"/>
      <c r="CV130" s="802"/>
      <c r="CW130" s="802"/>
      <c r="CX130" s="802"/>
      <c r="CY130" s="802"/>
      <c r="CZ130" s="802"/>
      <c r="DA130" s="802"/>
      <c r="DB130" s="802"/>
      <c r="DC130" s="802"/>
      <c r="DD130" s="802"/>
      <c r="DE130" s="802"/>
      <c r="DF130" s="802"/>
      <c r="DG130" s="802"/>
      <c r="DH130" s="802"/>
      <c r="DI130" s="802"/>
      <c r="DJ130" s="802"/>
      <c r="DK130" s="802"/>
      <c r="DL130" s="802"/>
      <c r="DM130" s="802"/>
      <c r="DN130" s="802"/>
      <c r="DO130" s="802"/>
      <c r="DP130" s="802"/>
      <c r="DQ130" s="802"/>
      <c r="DR130" s="802"/>
      <c r="DS130" s="802"/>
      <c r="DT130" s="802"/>
      <c r="DU130" s="802"/>
      <c r="DV130" s="802"/>
      <c r="DW130" s="802"/>
      <c r="DX130" s="802"/>
      <c r="DY130" s="802"/>
      <c r="DZ130" s="802"/>
      <c r="EA130" s="802"/>
      <c r="EB130" s="802"/>
      <c r="EC130" s="802"/>
      <c r="ED130" s="802"/>
      <c r="EE130" s="802"/>
      <c r="EF130" s="802"/>
      <c r="EG130" s="802"/>
      <c r="EH130" s="802"/>
      <c r="EI130" s="802"/>
      <c r="EJ130" s="802"/>
      <c r="EK130" s="802"/>
      <c r="EL130" s="802"/>
      <c r="EM130" s="802"/>
      <c r="EN130" s="802"/>
      <c r="EV130" s="235"/>
      <c r="EX130" s="235"/>
      <c r="FA130" s="961"/>
      <c r="FB130" s="961"/>
      <c r="FC130" s="961"/>
      <c r="FD130" s="961"/>
      <c r="FE130" s="961"/>
      <c r="FF130" s="961"/>
      <c r="FG130" s="961"/>
      <c r="FH130" s="961"/>
      <c r="FI130" s="961"/>
      <c r="FJ130" s="961"/>
      <c r="FK130" s="969"/>
      <c r="FL130" s="969"/>
      <c r="FM130" s="969"/>
      <c r="FN130" s="969"/>
      <c r="FO130" s="969"/>
      <c r="FP130" s="969"/>
    </row>
    <row r="131" spans="1:184" s="216" customFormat="1" ht="14.4" outlineLevel="1">
      <c r="A131" s="1006"/>
      <c r="B131" s="1006"/>
      <c r="C131" s="1007"/>
      <c r="D131" s="235"/>
      <c r="E131" s="235"/>
      <c r="F131" s="268"/>
      <c r="G131" s="199"/>
      <c r="H131" s="200"/>
      <c r="I131" s="201"/>
      <c r="J131" s="203"/>
      <c r="K131" s="985"/>
      <c r="L131" s="202"/>
      <c r="M131" s="203"/>
      <c r="N131" s="820"/>
      <c r="O131" s="820"/>
      <c r="P131" s="820"/>
      <c r="Q131" s="204"/>
      <c r="R131" s="820"/>
      <c r="S131" s="204"/>
      <c r="T131" s="205"/>
      <c r="U131" s="238"/>
      <c r="V131" s="203"/>
      <c r="W131" s="207"/>
      <c r="X131" s="203"/>
      <c r="Y131" s="265"/>
      <c r="Z131" s="239"/>
      <c r="AA131" s="265"/>
      <c r="AB131" s="203"/>
      <c r="AC131" s="207"/>
      <c r="AD131" s="203"/>
      <c r="AE131" s="208"/>
      <c r="AF131" s="203"/>
      <c r="AG131" s="839"/>
      <c r="AH131" s="203"/>
      <c r="AI131" s="208"/>
      <c r="AJ131" s="203"/>
      <c r="AK131" s="203"/>
      <c r="AL131" s="203"/>
      <c r="AM131" s="208"/>
      <c r="AN131" s="203"/>
      <c r="AO131" s="202"/>
      <c r="AP131" s="202"/>
      <c r="AQ131" s="202"/>
      <c r="AR131" s="202"/>
      <c r="AS131" s="202"/>
      <c r="AT131" s="202"/>
      <c r="AU131" s="202"/>
      <c r="AV131" s="202"/>
      <c r="AW131" s="202"/>
      <c r="AX131" s="202"/>
      <c r="AY131" s="202"/>
      <c r="AZ131" s="212"/>
      <c r="BA131" s="239"/>
      <c r="BB131" s="269"/>
      <c r="BC131" s="203"/>
      <c r="BD131" s="203"/>
      <c r="BE131" s="203"/>
      <c r="BF131" s="203"/>
      <c r="BG131" s="203"/>
      <c r="BH131" s="203"/>
      <c r="BI131" s="203"/>
      <c r="BJ131" s="203"/>
      <c r="BK131" s="269"/>
      <c r="BL131" s="203"/>
      <c r="BM131" s="203"/>
      <c r="BN131" s="203"/>
      <c r="BO131" s="203"/>
      <c r="BP131" s="203"/>
      <c r="BQ131" s="203"/>
      <c r="BR131" s="202"/>
      <c r="BS131" s="203"/>
      <c r="BT131" s="203"/>
      <c r="BU131" s="203"/>
      <c r="BV131" s="203"/>
      <c r="BW131" s="203"/>
      <c r="BX131" s="203"/>
      <c r="BY131" s="203"/>
      <c r="BZ131" s="203"/>
      <c r="CA131" s="203"/>
      <c r="CB131" s="241"/>
      <c r="CC131" s="242"/>
      <c r="CD131" s="242"/>
      <c r="CE131" s="242"/>
      <c r="CF131" s="242"/>
      <c r="CG131" s="242"/>
      <c r="CH131" s="242"/>
      <c r="CI131" s="703"/>
      <c r="CJ131" s="242"/>
      <c r="CK131" s="242"/>
      <c r="CL131" s="242"/>
      <c r="CM131" s="242"/>
      <c r="CN131" s="242"/>
      <c r="CO131" s="242"/>
      <c r="CP131" s="242"/>
      <c r="CQ131" s="242"/>
      <c r="CR131" s="242"/>
      <c r="CS131" s="243"/>
      <c r="CU131" s="201"/>
      <c r="CV131" s="203"/>
      <c r="CW131" s="203"/>
      <c r="CX131" s="203"/>
      <c r="CY131" s="203"/>
      <c r="CZ131" s="203"/>
      <c r="DA131" s="203"/>
      <c r="DB131" s="203"/>
      <c r="DC131" s="203"/>
      <c r="DD131" s="203"/>
      <c r="DE131" s="203"/>
      <c r="DF131" s="203"/>
      <c r="DG131" s="239"/>
      <c r="DH131" s="239"/>
      <c r="DI131" s="239"/>
      <c r="DJ131" s="203"/>
      <c r="DK131" s="203"/>
      <c r="DL131" s="203"/>
      <c r="DM131" s="203"/>
      <c r="DN131" s="210"/>
      <c r="DO131" s="210"/>
      <c r="DP131" s="210"/>
      <c r="DQ131" s="210"/>
      <c r="DR131" s="210"/>
      <c r="DS131" s="210"/>
      <c r="DT131" s="210"/>
      <c r="DU131" s="210"/>
      <c r="DV131" s="210"/>
      <c r="DW131" s="241"/>
      <c r="DX131" s="241"/>
      <c r="DY131" s="241"/>
      <c r="DZ131" s="241"/>
      <c r="EA131" s="241"/>
      <c r="EB131" s="241"/>
      <c r="EC131" s="241"/>
      <c r="ED131" s="241"/>
      <c r="EE131" s="242"/>
      <c r="EF131" s="203"/>
      <c r="EG131" s="242"/>
      <c r="EH131" s="203"/>
      <c r="EI131" s="203"/>
      <c r="EJ131" s="242"/>
      <c r="EK131" s="203"/>
      <c r="EL131" s="203"/>
      <c r="EM131" s="203"/>
      <c r="EN131" s="203"/>
      <c r="EP131" s="201"/>
      <c r="EQ131" s="201"/>
      <c r="ER131" s="201"/>
      <c r="ES131" s="201"/>
      <c r="ET131" s="201"/>
      <c r="EU131" s="200"/>
      <c r="EV131" s="201"/>
      <c r="EW131" s="201"/>
      <c r="EX131" s="201"/>
      <c r="EY131" s="201"/>
      <c r="FA131" s="207"/>
      <c r="FB131" s="207"/>
      <c r="FC131" s="207"/>
      <c r="FD131" s="207"/>
      <c r="FE131" s="207"/>
      <c r="FF131" s="207"/>
      <c r="FG131" s="207"/>
      <c r="FH131" s="207"/>
      <c r="FI131" s="207"/>
      <c r="FJ131" s="207"/>
      <c r="FK131" s="217"/>
      <c r="FL131" s="217"/>
      <c r="FM131" s="217"/>
      <c r="FN131" s="217"/>
      <c r="FO131" s="217"/>
      <c r="FP131" s="217"/>
      <c r="FR131" s="1178"/>
      <c r="FS131" s="1178"/>
      <c r="FT131" s="1179"/>
      <c r="FU131" s="1178"/>
      <c r="FV131" s="1182"/>
    </row>
    <row r="132" spans="1:184" s="216" customFormat="1" ht="14.4" outlineLevel="1">
      <c r="A132" s="1006" t="str">
        <f t="shared" si="3156"/>
        <v>MAYO  2026 2da QUINCENA</v>
      </c>
      <c r="B132" s="1006">
        <f t="shared" si="3157"/>
        <v>2026</v>
      </c>
      <c r="C132" s="1007" t="str">
        <f t="shared" si="1459"/>
        <v>MAYO  2026 2da QUINCENA2026</v>
      </c>
      <c r="D132" s="235" t="s">
        <v>112</v>
      </c>
      <c r="E132" s="235">
        <v>305020</v>
      </c>
      <c r="F132" s="268">
        <v>48</v>
      </c>
      <c r="G132" s="199" t="s">
        <v>674</v>
      </c>
      <c r="H132" s="200" t="s">
        <v>675</v>
      </c>
      <c r="I132" s="201" t="s">
        <v>11</v>
      </c>
      <c r="J132" s="203">
        <v>4200</v>
      </c>
      <c r="K132" s="985">
        <v>800</v>
      </c>
      <c r="L132" s="202">
        <f>+J132+K132</f>
        <v>5000</v>
      </c>
      <c r="M132" s="203">
        <v>30</v>
      </c>
      <c r="N132" s="820">
        <v>0.5</v>
      </c>
      <c r="O132" s="820">
        <v>0.3</v>
      </c>
      <c r="P132" s="820">
        <v>0.2</v>
      </c>
      <c r="Q132" s="204">
        <v>0</v>
      </c>
      <c r="R132" s="820">
        <v>0</v>
      </c>
      <c r="S132" s="204">
        <f>SUM(N132:R132)</f>
        <v>1</v>
      </c>
      <c r="T132" s="205"/>
      <c r="U132" s="238"/>
      <c r="V132" s="203">
        <f>($J132/30/8*1.5)*U132</f>
        <v>0</v>
      </c>
      <c r="W132" s="207">
        <v>0</v>
      </c>
      <c r="X132" s="203">
        <f>($J132/30/8*2)*W132</f>
        <v>0</v>
      </c>
      <c r="Y132" s="265">
        <v>11</v>
      </c>
      <c r="Z132" s="239">
        <f>($J132/30/8*1.5)*Y132</f>
        <v>288.75</v>
      </c>
      <c r="AA132" s="265"/>
      <c r="AB132" s="203">
        <f>($J132/30/8*2)*AA132</f>
        <v>0</v>
      </c>
      <c r="AC132" s="207">
        <v>0</v>
      </c>
      <c r="AD132" s="203">
        <f>(($J132/30/8)*1.5)*AC132</f>
        <v>0</v>
      </c>
      <c r="AE132" s="208"/>
      <c r="AF132" s="203">
        <f>(($J132/30/8)*2)*AE132</f>
        <v>0</v>
      </c>
      <c r="AG132" s="839">
        <v>0</v>
      </c>
      <c r="AH132" s="203">
        <f>(($J132/30/8)*1.5)*AG132</f>
        <v>0</v>
      </c>
      <c r="AI132" s="208"/>
      <c r="AJ132" s="203">
        <f>(($J132/30/8)*2)*AI132</f>
        <v>0</v>
      </c>
      <c r="AK132" s="203"/>
      <c r="AL132" s="203">
        <f>(($J132/30/8)*1.5)*AK132</f>
        <v>0</v>
      </c>
      <c r="AM132" s="208"/>
      <c r="AN132" s="203">
        <f>(($J132/30/8)*2)*AM132</f>
        <v>0</v>
      </c>
      <c r="AO132" s="202"/>
      <c r="AP132" s="202"/>
      <c r="AQ132" s="202"/>
      <c r="AR132" s="202"/>
      <c r="AS132" s="202"/>
      <c r="AT132" s="202"/>
      <c r="AU132" s="202"/>
      <c r="AV132" s="202"/>
      <c r="AW132" s="202"/>
      <c r="AX132" s="202"/>
      <c r="AY132" s="202"/>
      <c r="AZ132" s="212"/>
      <c r="BA132" s="239">
        <f>((J132/30)*M132)*$N132</f>
        <v>2100</v>
      </c>
      <c r="BB132" s="269">
        <f>((K132/30)*M132)*$N132+525</f>
        <v>925</v>
      </c>
      <c r="BC132" s="203">
        <f t="shared" si="3158"/>
        <v>0</v>
      </c>
      <c r="BD132" s="203">
        <f t="shared" ref="BD132" si="3221">V132</f>
        <v>0</v>
      </c>
      <c r="BE132" s="203">
        <f t="shared" ref="BE132" si="3222">W132</f>
        <v>0</v>
      </c>
      <c r="BF132" s="203">
        <f t="shared" ref="BF132" si="3223">X132</f>
        <v>0</v>
      </c>
      <c r="BG132" s="203">
        <f>AO132+AT132</f>
        <v>0</v>
      </c>
      <c r="BH132" s="203">
        <f t="shared" si="3162"/>
        <v>266.07</v>
      </c>
      <c r="BI132" s="203">
        <f>SUM(BA132:BH132)-BC132-BE132</f>
        <v>3291.07</v>
      </c>
      <c r="BJ132" s="203">
        <f>(($J132/30)*$M132)*$O132</f>
        <v>1260</v>
      </c>
      <c r="BK132" s="269">
        <f>(($K132/30)*$M132)*$O132+1575</f>
        <v>1815</v>
      </c>
      <c r="BL132" s="203">
        <f t="shared" ref="BL132" si="3224">Y132</f>
        <v>11</v>
      </c>
      <c r="BM132" s="203">
        <f t="shared" ref="BM132" si="3225">Z132</f>
        <v>288.75</v>
      </c>
      <c r="BN132" s="203">
        <f t="shared" ref="BN132" si="3226">AA132</f>
        <v>0</v>
      </c>
      <c r="BO132" s="203">
        <f t="shared" ref="BO132" si="3227">AB132</f>
        <v>0</v>
      </c>
      <c r="BP132" s="203">
        <f>AP132+AU132</f>
        <v>0</v>
      </c>
      <c r="BQ132" s="203">
        <f t="shared" si="3167"/>
        <v>196.22662500000001</v>
      </c>
      <c r="BR132" s="202">
        <f>SUM(BJ132:BQ132)-BL132-BN132</f>
        <v>3559.9766250000002</v>
      </c>
      <c r="BS132" s="203">
        <f>(($J132/30)*$M132)*$P132</f>
        <v>840</v>
      </c>
      <c r="BT132" s="203">
        <f>(($K132/30)*$M132)*$P132</f>
        <v>160</v>
      </c>
      <c r="BU132" s="203">
        <f t="shared" ref="BU132" si="3228">AC132</f>
        <v>0</v>
      </c>
      <c r="BV132" s="203">
        <f t="shared" ref="BV132" si="3229">AD132</f>
        <v>0</v>
      </c>
      <c r="BW132" s="203">
        <f t="shared" ref="BW132" si="3230">AE132</f>
        <v>0</v>
      </c>
      <c r="BX132" s="203">
        <f>AF132</f>
        <v>0</v>
      </c>
      <c r="BY132" s="203">
        <f>AQ132+AV132</f>
        <v>0</v>
      </c>
      <c r="BZ132" s="203">
        <f t="shared" si="3171"/>
        <v>106.42800000000001</v>
      </c>
      <c r="CA132" s="203">
        <f>SUM(BS132:BZ132)-BU132-BW132</f>
        <v>1106.4280000000001</v>
      </c>
      <c r="CB132" s="241">
        <f>(($J132/30)*$M132)*$Q132</f>
        <v>0</v>
      </c>
      <c r="CC132" s="242">
        <f>(($K132/30)*$M132)*$Q132</f>
        <v>0</v>
      </c>
      <c r="CD132" s="242">
        <f t="shared" ref="CD132" si="3231">AG132</f>
        <v>0</v>
      </c>
      <c r="CE132" s="242">
        <f t="shared" ref="CE132" si="3232">AH132</f>
        <v>0</v>
      </c>
      <c r="CF132" s="242">
        <f t="shared" ref="CF132" si="3233">AI132</f>
        <v>0</v>
      </c>
      <c r="CG132" s="242">
        <f t="shared" ref="CG132" si="3234">AJ132</f>
        <v>0</v>
      </c>
      <c r="CH132" s="242">
        <f>AR132+AW132</f>
        <v>0</v>
      </c>
      <c r="CI132" s="703">
        <f t="shared" si="3176"/>
        <v>0</v>
      </c>
      <c r="CJ132" s="242">
        <f>SUM(CB132:CI132)-CD132-CF132</f>
        <v>0</v>
      </c>
      <c r="CK132" s="242">
        <f>(($J132/30)*$M132)*R132</f>
        <v>0</v>
      </c>
      <c r="CL132" s="242">
        <f>(($K132/30)*$M132)*$R132</f>
        <v>0</v>
      </c>
      <c r="CM132" s="242">
        <f>+AK132</f>
        <v>0</v>
      </c>
      <c r="CN132" s="242">
        <f t="shared" ref="CN132" si="3235">AL132</f>
        <v>0</v>
      </c>
      <c r="CO132" s="242">
        <f t="shared" ref="CO132" si="3236">AM132</f>
        <v>0</v>
      </c>
      <c r="CP132" s="242">
        <f t="shared" ref="CP132" si="3237">AN132</f>
        <v>0</v>
      </c>
      <c r="CQ132" s="242">
        <f>AS132+AX132</f>
        <v>0</v>
      </c>
      <c r="CR132" s="242">
        <f>(CK132+CN132+CP132)*0.1267</f>
        <v>0</v>
      </c>
      <c r="CS132" s="243">
        <f>SUM(CK132:CR132)-CM132-CO132</f>
        <v>0</v>
      </c>
      <c r="CU132" s="201" t="s">
        <v>11</v>
      </c>
      <c r="CV132" s="203">
        <f t="shared" ref="CV132" si="3238">IF($CU132="PROQUIMA",$BA132+$BJ132+$BS132+$CB132+$CK132,0)</f>
        <v>0</v>
      </c>
      <c r="CW132" s="203">
        <f t="shared" ref="CW132" si="3239">IF($CU132="PROQUIMA",$BB132+$BK132+$BT132+$CC132+$CL132,0)</f>
        <v>0</v>
      </c>
      <c r="CX132" s="203">
        <f t="shared" ref="CX132" si="3240">IF($CU132="PROQUIMA",$BC132+$BL132+$BU132+$CD132+$CM132,0)</f>
        <v>0</v>
      </c>
      <c r="CY132" s="203">
        <f t="shared" ref="CY132" si="3241">IF($CU132="PROQUIMA",$BD132+$BM132+$BV132+$CE132+$CN132,0)</f>
        <v>0</v>
      </c>
      <c r="CZ132" s="203">
        <f t="shared" ref="CZ132" si="3242">IF($CU132="PROQUIMA",$BE132+$BN132+$BW132+$CF132+$CO132,0)</f>
        <v>0</v>
      </c>
      <c r="DA132" s="203">
        <f t="shared" ref="DA132" si="3243">IF($CU132="PROQUIMA",$BF132+$BO132+$BX132+$CG132+$CP132,0)</f>
        <v>0</v>
      </c>
      <c r="DB132" s="203">
        <f t="shared" ref="DB132" si="3244">IF($CU132="PROQUIMA",$BG132+$BP132+$BY132+$CH132+$CQ132,0)</f>
        <v>0</v>
      </c>
      <c r="DC132" s="203">
        <f>IF($CU132="PROQUIMA",$BH132+$BQ132+$BZ132+$CI132+CR132,0)</f>
        <v>0</v>
      </c>
      <c r="DD132" s="203">
        <f t="shared" ref="DD132" si="3245">SUM(CV132:DC132)-CX132-CZ132</f>
        <v>0</v>
      </c>
      <c r="DE132" s="203">
        <f t="shared" ref="DE132" si="3246">IF($CU132="UNHESA",$BA132+$BJ132+$BS132+$CB132+$CK132,0)</f>
        <v>0</v>
      </c>
      <c r="DF132" s="203">
        <f t="shared" ref="DF132" si="3247">IF($CU132="UNHESA",$BB132+$BK132+$BT132+$CC132+$CL132,0)</f>
        <v>0</v>
      </c>
      <c r="DG132" s="239">
        <f t="shared" ref="DG132" si="3248">IF($CU132="UNHESA",$BC132+$BL132+$BU132+$CD132+$CM132,0)</f>
        <v>0</v>
      </c>
      <c r="DH132" s="239">
        <f t="shared" ref="DH132" si="3249">IF($CU132="UNHESA",$BD132+$BM132+$BV132+$CE132+$CN132,0)</f>
        <v>0</v>
      </c>
      <c r="DI132" s="239">
        <f t="shared" ref="DI132" si="3250">IF($CU132="UNHESA",$BE132+$BN132+$BW132+$CF132+$CO132,0)</f>
        <v>0</v>
      </c>
      <c r="DJ132" s="203">
        <f t="shared" ref="DJ132" si="3251">IF($CU132="UNHESA",$BF132+$BO132+$BX132+$CG132+$CP132,0)</f>
        <v>0</v>
      </c>
      <c r="DK132" s="203">
        <f t="shared" ref="DK132" si="3252">IF($CU132="UNHESA",$BG132+$BP132+$BY132+$CH132+$CQ132,0)</f>
        <v>0</v>
      </c>
      <c r="DL132" s="203">
        <f t="shared" ref="DL132" si="3253">IF($CU132="UNHESA",$BH132+$BQ132+$BZ132+$CI132+$CR132,0)</f>
        <v>0</v>
      </c>
      <c r="DM132" s="203">
        <f t="shared" ref="DM132" si="3254">SUM(DE132:DL132)-DG132-DI132</f>
        <v>0</v>
      </c>
      <c r="DN132" s="210">
        <f t="shared" ref="DN132" si="3255">IF($CU132="UNHESA LIQUIDOS",$BA132+$BJ132+$BS132+$CB132+$CK132,0)</f>
        <v>0</v>
      </c>
      <c r="DO132" s="210">
        <f t="shared" ref="DO132" si="3256">IF($CU132="UNHESA LIQUIDOS",$BB132+$BK132+$BT132+$CC132+$CL132,0)</f>
        <v>0</v>
      </c>
      <c r="DP132" s="210">
        <f t="shared" ref="DP132" si="3257">IF($CU132="UNHESA LIQUIDOS",$BC132+$BL132+$BU132+$CD132+$CM132,0)</f>
        <v>0</v>
      </c>
      <c r="DQ132" s="210">
        <f t="shared" ref="DQ132" si="3258">IF($CU132="UNHESA LIQUIDOS",$BD132+$BM132+$BV132+$CE132+$CN132,0)</f>
        <v>0</v>
      </c>
      <c r="DR132" s="210">
        <f t="shared" ref="DR132" si="3259">IF($CU132="UNHESA LIQUIDOS",$BE132+$BN132+$BW132+$CF132+$CO132,0)</f>
        <v>0</v>
      </c>
      <c r="DS132" s="210">
        <f t="shared" ref="DS132" si="3260">IF($CU132="UNHESA LIQUIDOS",$BF132+$BO132+$BX132+$CG132+$CP132,0)</f>
        <v>0</v>
      </c>
      <c r="DT132" s="210">
        <f t="shared" ref="DT132" si="3261">IF($CU132="UNHESA LIQUIDOS",$BG132+$BP132+$BY132+$CH132+$CQ132,0)</f>
        <v>0</v>
      </c>
      <c r="DU132" s="210">
        <f t="shared" ref="DU132" si="3262">IF($CU132="UNHESA LIQUIDOS",$BH132+$BQ132+$BZ132+$CI132+$CR132,0)</f>
        <v>0</v>
      </c>
      <c r="DV132" s="210">
        <f t="shared" ref="DV132" si="3263">SUM(DN132:DU132)-DP132-DR132</f>
        <v>0</v>
      </c>
      <c r="DW132" s="241">
        <f>IF($CU132="CLEARTEC",$BA132+$BJ132+$BS132+$CB132+$CK132,0)</f>
        <v>0</v>
      </c>
      <c r="DX132" s="241">
        <f t="shared" ref="DX132:ED132" si="3264">IF($CU132="CLEARTEC",$BA132+$BJ132+$BS132+$CB132+$CK132,0)</f>
        <v>0</v>
      </c>
      <c r="DY132" s="241">
        <f t="shared" si="3264"/>
        <v>0</v>
      </c>
      <c r="DZ132" s="241">
        <f t="shared" si="3264"/>
        <v>0</v>
      </c>
      <c r="EA132" s="241">
        <f t="shared" si="3264"/>
        <v>0</v>
      </c>
      <c r="EB132" s="241">
        <f t="shared" si="3264"/>
        <v>0</v>
      </c>
      <c r="EC132" s="241">
        <f t="shared" si="3264"/>
        <v>0</v>
      </c>
      <c r="ED132" s="241">
        <f t="shared" si="3264"/>
        <v>0</v>
      </c>
      <c r="EE132" s="242">
        <f t="shared" ref="EE132" si="3265">SUM(DW132:ED132)-DY132-EA132</f>
        <v>0</v>
      </c>
      <c r="EF132" s="203">
        <f t="shared" ref="EF132" si="3266">IF(CU132="ECONACIONAL",$BA132+$BJ132+$BS132+$CB132+$CK132)</f>
        <v>4200</v>
      </c>
      <c r="EG132" s="242">
        <f t="shared" si="3210"/>
        <v>2900</v>
      </c>
      <c r="EH132" s="203">
        <f t="shared" si="3211"/>
        <v>11</v>
      </c>
      <c r="EI132" s="203">
        <f t="shared" si="3212"/>
        <v>288.75</v>
      </c>
      <c r="EJ132" s="242">
        <f t="shared" si="3213"/>
        <v>0</v>
      </c>
      <c r="EK132" s="203">
        <f t="shared" ref="EK132" si="3267">IF(CU132="ECONACIONAL",$BF132+$BO132+$BX132+$CG132+$CP132)</f>
        <v>0</v>
      </c>
      <c r="EL132" s="203">
        <f t="shared" ref="EL132" si="3268">IF(CU132="ECONACIONAL",$BG132+$BP132+$BY132+$CH132+$CQ132)</f>
        <v>0</v>
      </c>
      <c r="EM132" s="203">
        <f t="shared" ref="EM132" si="3269">IF(CU132="ECONACIONAL",BH132+BQ132+BZ132+CI132+CR132)</f>
        <v>568.72462500000006</v>
      </c>
      <c r="EN132" s="203">
        <f t="shared" ref="EN132" si="3270">SUM(EF132:EM132)-EH132-EJ132</f>
        <v>7957.4746249999998</v>
      </c>
      <c r="EP132" s="1192">
        <v>186</v>
      </c>
      <c r="EQ132" s="201"/>
      <c r="ER132" s="201"/>
      <c r="ES132" s="201"/>
      <c r="ET132" s="201"/>
      <c r="EU132" s="200"/>
      <c r="EV132" s="200"/>
      <c r="EW132" s="201"/>
      <c r="EX132" s="201"/>
      <c r="EY132" s="201">
        <f t="shared" si="3218"/>
        <v>0</v>
      </c>
      <c r="FA132" s="207">
        <f>IF($M132&lt;=15,EP132/2,EP132)</f>
        <v>186</v>
      </c>
      <c r="FB132" s="207">
        <f t="shared" ref="FB132:FJ132" si="3271">IF($M132&lt;=15,EQ132/2,EQ132)</f>
        <v>0</v>
      </c>
      <c r="FC132" s="207">
        <f t="shared" si="3271"/>
        <v>0</v>
      </c>
      <c r="FD132" s="207">
        <f>IF($M132&lt;=15,ES132/2,ES132)</f>
        <v>0</v>
      </c>
      <c r="FE132" s="207">
        <f t="shared" si="3271"/>
        <v>0</v>
      </c>
      <c r="FF132" s="207">
        <f t="shared" si="3271"/>
        <v>0</v>
      </c>
      <c r="FG132" s="207">
        <f t="shared" si="3271"/>
        <v>0</v>
      </c>
      <c r="FH132" s="207">
        <f t="shared" si="3271"/>
        <v>0</v>
      </c>
      <c r="FI132" s="207">
        <f t="shared" si="3271"/>
        <v>0</v>
      </c>
      <c r="FJ132" s="207">
        <f t="shared" si="3271"/>
        <v>0</v>
      </c>
      <c r="FK132" s="217">
        <v>0.5</v>
      </c>
      <c r="FL132" s="217">
        <v>0.25</v>
      </c>
      <c r="FM132" s="217">
        <v>0.25</v>
      </c>
      <c r="FN132" s="217">
        <v>0</v>
      </c>
      <c r="FO132" s="217">
        <v>0</v>
      </c>
      <c r="FP132" s="217">
        <v>1</v>
      </c>
      <c r="FR132" s="1178">
        <f>(((J132/30/8)*1.5)*(U132+Y132+AC132))-(BD132+BM132+BV132)</f>
        <v>0</v>
      </c>
      <c r="FS132" s="1178">
        <f t="shared" ref="FS132" si="3272">(((J132/30/8)*2)*(W132+AA132+AE132))-(BF132+BO132+BX132)</f>
        <v>0</v>
      </c>
      <c r="FT132" s="1179">
        <f>(SUM(BA132:CJ132))-(SUM(EF132:EN132))</f>
        <v>0</v>
      </c>
      <c r="FU132" s="1178">
        <f>(J132/30*M132)-(EF132)</f>
        <v>0</v>
      </c>
      <c r="FV132" s="1182">
        <f>(SUM(EP132:EY132))-((SUM(FA132:FJ132))*$FV$5)</f>
        <v>-186</v>
      </c>
    </row>
    <row r="133" spans="1:184" s="216" customFormat="1" ht="15" customHeight="1" outlineLevel="1">
      <c r="A133" s="1006" t="str">
        <f t="shared" si="3156"/>
        <v>MAYO  2026 2da QUINCENA</v>
      </c>
      <c r="B133" s="1006">
        <f t="shared" si="3157"/>
        <v>2026</v>
      </c>
      <c r="C133" s="1007" t="str">
        <f t="shared" si="1459"/>
        <v>MAYO  2026 2da QUINCENA2026</v>
      </c>
      <c r="D133" s="235"/>
      <c r="E133" s="235">
        <v>305040</v>
      </c>
      <c r="F133" s="268"/>
      <c r="G133" s="723" t="s">
        <v>654</v>
      </c>
      <c r="H133" s="235"/>
      <c r="J133" s="802"/>
      <c r="K133" s="861"/>
      <c r="L133" s="861"/>
      <c r="M133" s="802"/>
      <c r="N133" s="871"/>
      <c r="O133" s="871"/>
      <c r="P133" s="871"/>
      <c r="Q133" s="958"/>
      <c r="R133" s="871"/>
      <c r="S133" s="958"/>
      <c r="T133" s="205"/>
      <c r="U133" s="960"/>
      <c r="V133" s="802"/>
      <c r="W133" s="961"/>
      <c r="X133" s="802"/>
      <c r="Y133" s="965"/>
      <c r="Z133" s="881"/>
      <c r="AA133" s="965"/>
      <c r="AB133" s="802"/>
      <c r="AC133" s="961"/>
      <c r="AD133" s="802"/>
      <c r="AE133" s="962"/>
      <c r="AF133" s="802"/>
      <c r="AG133" s="966"/>
      <c r="AH133" s="802"/>
      <c r="AI133" s="962"/>
      <c r="AJ133" s="802"/>
      <c r="AK133" s="802"/>
      <c r="AL133" s="802"/>
      <c r="AM133" s="962"/>
      <c r="AN133" s="802"/>
      <c r="AO133" s="861"/>
      <c r="AP133" s="861"/>
      <c r="AQ133" s="861"/>
      <c r="AR133" s="861"/>
      <c r="AS133" s="861"/>
      <c r="AT133" s="861"/>
      <c r="AU133" s="861"/>
      <c r="AV133" s="861"/>
      <c r="AW133" s="861"/>
      <c r="AX133" s="861"/>
      <c r="AY133" s="861"/>
      <c r="AZ133" s="967"/>
      <c r="BA133" s="881"/>
      <c r="BB133" s="968"/>
      <c r="BC133" s="802"/>
      <c r="BD133" s="802"/>
      <c r="BE133" s="802"/>
      <c r="BF133" s="802"/>
      <c r="BG133" s="802"/>
      <c r="BH133" s="802"/>
      <c r="BI133" s="802"/>
      <c r="BJ133" s="802"/>
      <c r="BK133" s="968"/>
      <c r="BL133" s="802"/>
      <c r="BM133" s="802"/>
      <c r="BN133" s="802"/>
      <c r="BO133" s="802"/>
      <c r="BP133" s="802"/>
      <c r="BQ133" s="802"/>
      <c r="BR133" s="861"/>
      <c r="BS133" s="802"/>
      <c r="BT133" s="802"/>
      <c r="BU133" s="802"/>
      <c r="BV133" s="802"/>
      <c r="BW133" s="802"/>
      <c r="BX133" s="802"/>
      <c r="BY133" s="802"/>
      <c r="BZ133" s="802"/>
      <c r="CA133" s="802"/>
      <c r="CB133" s="802"/>
      <c r="CC133" s="802"/>
      <c r="CD133" s="802"/>
      <c r="CE133" s="802"/>
      <c r="CF133" s="802"/>
      <c r="CG133" s="802"/>
      <c r="CH133" s="802"/>
      <c r="CI133" s="802"/>
      <c r="CJ133" s="802"/>
      <c r="CK133" s="802"/>
      <c r="CL133" s="802"/>
      <c r="CM133" s="802"/>
      <c r="CN133" s="802"/>
      <c r="CO133" s="802"/>
      <c r="CP133" s="802"/>
      <c r="CQ133" s="802"/>
      <c r="CR133" s="802"/>
      <c r="CS133" s="802"/>
      <c r="CV133" s="802"/>
      <c r="CW133" s="802"/>
      <c r="CX133" s="802"/>
      <c r="CY133" s="802"/>
      <c r="CZ133" s="802"/>
      <c r="DA133" s="802"/>
      <c r="DB133" s="802"/>
      <c r="DC133" s="802"/>
      <c r="DD133" s="802"/>
      <c r="DE133" s="802"/>
      <c r="DF133" s="802"/>
      <c r="DG133" s="802"/>
      <c r="DH133" s="802"/>
      <c r="DI133" s="802"/>
      <c r="DJ133" s="802"/>
      <c r="DK133" s="802"/>
      <c r="DL133" s="802"/>
      <c r="DM133" s="802"/>
      <c r="DN133" s="802"/>
      <c r="DO133" s="802"/>
      <c r="DP133" s="802"/>
      <c r="DQ133" s="802"/>
      <c r="DR133" s="802"/>
      <c r="DS133" s="802"/>
      <c r="DT133" s="802"/>
      <c r="DU133" s="802"/>
      <c r="DV133" s="802"/>
      <c r="DW133" s="802"/>
      <c r="DX133" s="802"/>
      <c r="DY133" s="802"/>
      <c r="DZ133" s="802"/>
      <c r="EA133" s="802"/>
      <c r="EB133" s="802"/>
      <c r="EC133" s="802"/>
      <c r="ED133" s="802"/>
      <c r="EE133" s="802"/>
      <c r="EF133" s="802"/>
      <c r="EG133" s="802"/>
      <c r="EH133" s="802"/>
      <c r="EI133" s="802"/>
      <c r="EJ133" s="802"/>
      <c r="EK133" s="802"/>
      <c r="EL133" s="802"/>
      <c r="EM133" s="802"/>
      <c r="EN133" s="802"/>
      <c r="ES133" s="235"/>
      <c r="FA133" s="961"/>
      <c r="FB133" s="961"/>
      <c r="FC133" s="961"/>
      <c r="FD133" s="961"/>
      <c r="FE133" s="961"/>
      <c r="FF133" s="961"/>
      <c r="FG133" s="961"/>
      <c r="FH133" s="961"/>
      <c r="FI133" s="961"/>
      <c r="FJ133" s="961"/>
      <c r="FK133" s="969"/>
      <c r="FL133" s="969"/>
      <c r="FM133" s="969"/>
      <c r="FN133" s="969"/>
      <c r="FO133" s="969"/>
      <c r="FP133" s="969"/>
    </row>
    <row r="134" spans="1:184" s="216" customFormat="1" ht="14.4" outlineLevel="1">
      <c r="A134" s="1006" t="str">
        <f t="shared" si="3156"/>
        <v>MAYO  2026 2da QUINCENA</v>
      </c>
      <c r="B134" s="1006">
        <f t="shared" si="3157"/>
        <v>2026</v>
      </c>
      <c r="C134" s="1007" t="str">
        <f t="shared" si="1459"/>
        <v>MAYO  2026 2da QUINCENA2026</v>
      </c>
      <c r="D134" s="235" t="s">
        <v>112</v>
      </c>
      <c r="E134" s="235">
        <v>305040</v>
      </c>
      <c r="F134" s="268">
        <v>49</v>
      </c>
      <c r="G134" s="199" t="s">
        <v>673</v>
      </c>
      <c r="H134" s="200" t="s">
        <v>487</v>
      </c>
      <c r="I134" s="201" t="s">
        <v>11</v>
      </c>
      <c r="J134" s="203">
        <v>4002.28</v>
      </c>
      <c r="K134" s="202">
        <v>300</v>
      </c>
      <c r="L134" s="202">
        <f>+J134+K134</f>
        <v>4302.2800000000007</v>
      </c>
      <c r="M134" s="203">
        <v>30</v>
      </c>
      <c r="N134" s="820">
        <v>0.5</v>
      </c>
      <c r="O134" s="820">
        <v>0.25</v>
      </c>
      <c r="P134" s="820">
        <v>0.25</v>
      </c>
      <c r="Q134" s="204">
        <v>0</v>
      </c>
      <c r="R134" s="820">
        <v>0</v>
      </c>
      <c r="S134" s="204">
        <f>SUM(N134:R134)</f>
        <v>1</v>
      </c>
      <c r="T134" s="205"/>
      <c r="U134" s="238"/>
      <c r="V134" s="203">
        <f>($J134/30/8*1.5)*U134</f>
        <v>0</v>
      </c>
      <c r="W134" s="207">
        <v>0</v>
      </c>
      <c r="X134" s="203">
        <f>($J134/30/8*2)*W134</f>
        <v>0</v>
      </c>
      <c r="Y134" s="265">
        <v>2</v>
      </c>
      <c r="Z134" s="239">
        <f>($J134/30/8*1.5)*Y134</f>
        <v>50.028500000000001</v>
      </c>
      <c r="AA134" s="265"/>
      <c r="AB134" s="203">
        <f>($J134/30/8*2)*AA134</f>
        <v>0</v>
      </c>
      <c r="AC134" s="207">
        <v>0</v>
      </c>
      <c r="AD134" s="203">
        <f>(($J134/30/8)*1.5)*AC134</f>
        <v>0</v>
      </c>
      <c r="AE134" s="208"/>
      <c r="AF134" s="203">
        <f>(($J134/30/8)*2)*AE134</f>
        <v>0</v>
      </c>
      <c r="AG134" s="839">
        <v>0</v>
      </c>
      <c r="AH134" s="203">
        <f>(($J134/30/8)*1.5)*AG134</f>
        <v>0</v>
      </c>
      <c r="AI134" s="208"/>
      <c r="AJ134" s="203">
        <f>(($J134/30/8)*2)*AI134</f>
        <v>0</v>
      </c>
      <c r="AK134" s="203"/>
      <c r="AL134" s="203">
        <f>(($J134/30/8)*1.5)*AK134</f>
        <v>0</v>
      </c>
      <c r="AM134" s="208"/>
      <c r="AN134" s="203">
        <f>(($J134/30/8)*2)*AM134</f>
        <v>0</v>
      </c>
      <c r="AO134" s="861"/>
      <c r="AP134" s="861"/>
      <c r="AQ134" s="202"/>
      <c r="AR134" s="202"/>
      <c r="AS134" s="202"/>
      <c r="AT134" s="202"/>
      <c r="AU134" s="202"/>
      <c r="AV134" s="202"/>
      <c r="AW134" s="202"/>
      <c r="AX134" s="202"/>
      <c r="AY134" s="202"/>
      <c r="AZ134" s="212"/>
      <c r="BA134" s="239">
        <f>((J134/30)*M134)*$N134</f>
        <v>2001.14</v>
      </c>
      <c r="BB134" s="269">
        <f>((K134/30)*M134)*$N134+275</f>
        <v>425</v>
      </c>
      <c r="BC134" s="203">
        <f>U134</f>
        <v>0</v>
      </c>
      <c r="BD134" s="203">
        <f t="shared" ref="BD134" si="3273">V134</f>
        <v>0</v>
      </c>
      <c r="BE134" s="203">
        <f t="shared" ref="BE134" si="3274">W134</f>
        <v>0</v>
      </c>
      <c r="BF134" s="203">
        <f t="shared" ref="BF134" si="3275">X134</f>
        <v>0</v>
      </c>
      <c r="BG134" s="203">
        <f>AO134+AT134</f>
        <v>0</v>
      </c>
      <c r="BH134" s="203">
        <f t="shared" si="3162"/>
        <v>253.54443800000001</v>
      </c>
      <c r="BI134" s="203">
        <f>SUM(BA134:BH134)-BC134-BE134</f>
        <v>2679.6844380000002</v>
      </c>
      <c r="BJ134" s="203">
        <f>(($J134/30)*$M134)*$O134</f>
        <v>1000.57</v>
      </c>
      <c r="BK134" s="269">
        <f>(($K134/30)*$M134)*$O134+825</f>
        <v>900</v>
      </c>
      <c r="BL134" s="203">
        <f t="shared" ref="BL134" si="3276">Y134</f>
        <v>2</v>
      </c>
      <c r="BM134" s="203">
        <f t="shared" ref="BM134" si="3277">Z134</f>
        <v>50.028500000000001</v>
      </c>
      <c r="BN134" s="203">
        <f t="shared" ref="BN134" si="3278">AA134</f>
        <v>0</v>
      </c>
      <c r="BO134" s="203">
        <f t="shared" ref="BO134" si="3279">AB134</f>
        <v>0</v>
      </c>
      <c r="BP134" s="203">
        <f>AP134+AU134</f>
        <v>0</v>
      </c>
      <c r="BQ134" s="203">
        <f t="shared" si="3167"/>
        <v>133.11082995000001</v>
      </c>
      <c r="BR134" s="202">
        <f>SUM(BJ134:BQ134)-BL134-BN134</f>
        <v>2083.7093299500002</v>
      </c>
      <c r="BS134" s="203">
        <f>(($J134/30)*$M134)*$P134</f>
        <v>1000.57</v>
      </c>
      <c r="BT134" s="203">
        <f>(($K134/30)*$M134)*$P134</f>
        <v>75</v>
      </c>
      <c r="BU134" s="203">
        <f t="shared" ref="BU134" si="3280">AC134</f>
        <v>0</v>
      </c>
      <c r="BV134" s="203">
        <f t="shared" ref="BV134" si="3281">AD134</f>
        <v>0</v>
      </c>
      <c r="BW134" s="203">
        <f t="shared" ref="BW134" si="3282">AE134</f>
        <v>0</v>
      </c>
      <c r="BX134" s="203">
        <f>AF134</f>
        <v>0</v>
      </c>
      <c r="BY134" s="203">
        <f>AQ134+AV134</f>
        <v>0</v>
      </c>
      <c r="BZ134" s="203">
        <f t="shared" si="3171"/>
        <v>126.77221900000001</v>
      </c>
      <c r="CA134" s="203">
        <f>SUM(BS134:BZ134)-BU134-BW134</f>
        <v>1202.3422190000001</v>
      </c>
      <c r="CB134" s="241">
        <f>(($J134/30)*$M134)*$Q134</f>
        <v>0</v>
      </c>
      <c r="CC134" s="242">
        <f>(($K134/30)*$M134)*$Q134</f>
        <v>0</v>
      </c>
      <c r="CD134" s="242">
        <f t="shared" ref="CD134" si="3283">AG134</f>
        <v>0</v>
      </c>
      <c r="CE134" s="242">
        <f t="shared" ref="CE134" si="3284">AH134</f>
        <v>0</v>
      </c>
      <c r="CF134" s="242">
        <f t="shared" ref="CF134" si="3285">AI134</f>
        <v>0</v>
      </c>
      <c r="CG134" s="242">
        <f t="shared" ref="CG134" si="3286">AJ134</f>
        <v>0</v>
      </c>
      <c r="CH134" s="242">
        <f>AR134+AW134</f>
        <v>0</v>
      </c>
      <c r="CI134" s="703">
        <f t="shared" si="3176"/>
        <v>0</v>
      </c>
      <c r="CJ134" s="242">
        <f>SUM(CB134:CI134)-CD134-CF134</f>
        <v>0</v>
      </c>
      <c r="CK134" s="242">
        <f>(($J134/30)*$M134)*R134</f>
        <v>0</v>
      </c>
      <c r="CL134" s="242">
        <f>(($K134/30)*$M134)*$R134</f>
        <v>0</v>
      </c>
      <c r="CM134" s="242">
        <f>+AK134</f>
        <v>0</v>
      </c>
      <c r="CN134" s="242">
        <f t="shared" ref="CN134" si="3287">AL134</f>
        <v>0</v>
      </c>
      <c r="CO134" s="242">
        <f t="shared" ref="CO134" si="3288">AM134</f>
        <v>0</v>
      </c>
      <c r="CP134" s="242">
        <f t="shared" ref="CP134" si="3289">AN134</f>
        <v>0</v>
      </c>
      <c r="CQ134" s="242">
        <f>AS134+AX134</f>
        <v>0</v>
      </c>
      <c r="CR134" s="242">
        <f>(CK134+CN134+CP134)*0.1267</f>
        <v>0</v>
      </c>
      <c r="CS134" s="243">
        <f>SUM(CK134:CR134)-CM134-CO134</f>
        <v>0</v>
      </c>
      <c r="CU134" s="201" t="s">
        <v>11</v>
      </c>
      <c r="CV134" s="203">
        <f t="shared" ref="CV134" si="3290">IF($CU134="PROQUIMA",$BA134+$BJ134+$BS134+$CB134+$CK134,0)</f>
        <v>0</v>
      </c>
      <c r="CW134" s="203">
        <f t="shared" ref="CW134" si="3291">IF($CU134="PROQUIMA",$BB134+$BK134+$BT134+$CC134+$CL134,0)</f>
        <v>0</v>
      </c>
      <c r="CX134" s="203">
        <f t="shared" ref="CX134" si="3292">IF($CU134="PROQUIMA",$BC134+$BL134+$BU134+$CD134+$CM134,0)</f>
        <v>0</v>
      </c>
      <c r="CY134" s="203">
        <f t="shared" ref="CY134" si="3293">IF($CU134="PROQUIMA",$BD134+$BM134+$BV134+$CE134+$CN134,0)</f>
        <v>0</v>
      </c>
      <c r="CZ134" s="203">
        <f t="shared" ref="CZ134" si="3294">IF($CU134="PROQUIMA",$BE134+$BN134+$BW134+$CF134+$CO134,0)</f>
        <v>0</v>
      </c>
      <c r="DA134" s="203">
        <f t="shared" ref="DA134" si="3295">IF($CU134="PROQUIMA",$BF134+$BO134+$BX134+$CG134+$CP134,0)</f>
        <v>0</v>
      </c>
      <c r="DB134" s="203">
        <f t="shared" ref="DB134" si="3296">IF($CU134="PROQUIMA",$BG134+$BP134+$BY134+$CH134+$CQ134,0)</f>
        <v>0</v>
      </c>
      <c r="DC134" s="203">
        <f t="shared" ref="DC134" si="3297">IF($CU134="PROQUIMA",$BH134+$BQ134+$BZ134+$CI134+CR134,0)</f>
        <v>0</v>
      </c>
      <c r="DD134" s="203">
        <f t="shared" ref="DD134" si="3298">SUM(CV134:DC134)-CX134-CZ134</f>
        <v>0</v>
      </c>
      <c r="DE134" s="203">
        <f t="shared" ref="DE134" si="3299">IF($CU134="UNHESA",$BA134+$BJ134+$BS134+$CB134+$CK134,0)</f>
        <v>0</v>
      </c>
      <c r="DF134" s="203">
        <f t="shared" ref="DF134" si="3300">IF($CU134="UNHESA",$BB134+$BK134+$BT134+$CC134+$CL134,0)</f>
        <v>0</v>
      </c>
      <c r="DG134" s="239">
        <f t="shared" ref="DG134" si="3301">IF($CU134="UNHESA",$BC134+$BL134+$BU134+$CD134+$CM134,0)</f>
        <v>0</v>
      </c>
      <c r="DH134" s="239">
        <f t="shared" ref="DH134" si="3302">IF($CU134="UNHESA",$BD134+$BM134+$BV134+$CE134+$CN134,0)</f>
        <v>0</v>
      </c>
      <c r="DI134" s="239">
        <f t="shared" ref="DI134" si="3303">IF($CU134="UNHESA",$BE134+$BN134+$BW134+$CF134+$CO134,0)</f>
        <v>0</v>
      </c>
      <c r="DJ134" s="203">
        <f t="shared" ref="DJ134" si="3304">IF($CU134="UNHESA",$BF134+$BO134+$BX134+$CG134+$CP134,0)</f>
        <v>0</v>
      </c>
      <c r="DK134" s="203">
        <f t="shared" ref="DK134" si="3305">IF($CU134="UNHESA",$BG134+$BP134+$BY134+$CH134+$CQ134,0)</f>
        <v>0</v>
      </c>
      <c r="DL134" s="203">
        <f t="shared" ref="DL134" si="3306">IF($CU134="UNHESA",$BH134+$BQ134+$BZ134+$CI134+$CR134,0)</f>
        <v>0</v>
      </c>
      <c r="DM134" s="203">
        <f t="shared" ref="DM134" si="3307">SUM(DE134:DL134)-DG134-DI134</f>
        <v>0</v>
      </c>
      <c r="DN134" s="210">
        <f t="shared" ref="DN134" si="3308">IF($CU134="UNHESA LIQUIDOS",$BA134+$BJ134+$BS134+$CB134+$CK134,0)</f>
        <v>0</v>
      </c>
      <c r="DO134" s="210">
        <f t="shared" ref="DO134" si="3309">IF($CU134="UNHESA LIQUIDOS",$BB134+$BK134+$BT134+$CC134+$CL134,0)</f>
        <v>0</v>
      </c>
      <c r="DP134" s="210">
        <f t="shared" ref="DP134" si="3310">IF($CU134="UNHESA LIQUIDOS",$BC134+$BL134+$BU134+$CD134+$CM134,0)</f>
        <v>0</v>
      </c>
      <c r="DQ134" s="210">
        <f t="shared" ref="DQ134" si="3311">IF($CU134="UNHESA LIQUIDOS",$BD134+$BM134+$BV134+$CE134+$CN134,0)</f>
        <v>0</v>
      </c>
      <c r="DR134" s="210">
        <f t="shared" ref="DR134" si="3312">IF($CU134="UNHESA LIQUIDOS",$BE134+$BN134+$BW134+$CF134+$CO134,0)</f>
        <v>0</v>
      </c>
      <c r="DS134" s="210">
        <f t="shared" ref="DS134" si="3313">IF($CU134="UNHESA LIQUIDOS",$BF134+$BO134+$BX134+$CG134+$CP134,0)</f>
        <v>0</v>
      </c>
      <c r="DT134" s="210">
        <f t="shared" ref="DT134" si="3314">IF($CU134="UNHESA LIQUIDOS",$BG134+$BP134+$BY134+$CH134+$CQ134,0)</f>
        <v>0</v>
      </c>
      <c r="DU134" s="210">
        <f t="shared" ref="DU134" si="3315">IF($CU134="UNHESA LIQUIDOS",$BH134+$BQ134+$BZ134+$CI134+$CR134,0)</f>
        <v>0</v>
      </c>
      <c r="DV134" s="210">
        <f t="shared" ref="DV134" si="3316">SUM(DN134:DU134)-DP134-DR134</f>
        <v>0</v>
      </c>
      <c r="DW134" s="241">
        <f>IF($CU134="CLEARTEC",$BA134+$BJ134+$BS134+$CB134+$CK134,0)</f>
        <v>0</v>
      </c>
      <c r="DX134" s="241">
        <f t="shared" ref="DX134:ED134" si="3317">IF($CU134="CLEARTEC",$BA134+$BJ134+$BS134+$CB134+$CK134,0)</f>
        <v>0</v>
      </c>
      <c r="DY134" s="241">
        <f t="shared" si="3317"/>
        <v>0</v>
      </c>
      <c r="DZ134" s="241">
        <f t="shared" si="3317"/>
        <v>0</v>
      </c>
      <c r="EA134" s="241">
        <f t="shared" si="3317"/>
        <v>0</v>
      </c>
      <c r="EB134" s="241">
        <f t="shared" si="3317"/>
        <v>0</v>
      </c>
      <c r="EC134" s="241">
        <f t="shared" si="3317"/>
        <v>0</v>
      </c>
      <c r="ED134" s="241">
        <f t="shared" si="3317"/>
        <v>0</v>
      </c>
      <c r="EE134" s="242">
        <f t="shared" ref="EE134" si="3318">SUM(DW134:ED134)-DY134-EA134</f>
        <v>0</v>
      </c>
      <c r="EF134" s="203">
        <f t="shared" ref="EF134" si="3319">IF(CU134="ECONACIONAL",$BA134+$BJ134+$BS134+$CB134+$CK134)</f>
        <v>4002.28</v>
      </c>
      <c r="EG134" s="242">
        <f t="shared" si="3210"/>
        <v>1400</v>
      </c>
      <c r="EH134" s="203">
        <f t="shared" si="3211"/>
        <v>2</v>
      </c>
      <c r="EI134" s="203">
        <f t="shared" si="3212"/>
        <v>50.028500000000001</v>
      </c>
      <c r="EJ134" s="242">
        <f t="shared" si="3213"/>
        <v>0</v>
      </c>
      <c r="EK134" s="203">
        <f t="shared" ref="EK134" si="3320">IF(CU134="ECONACIONAL",$BF134+$BO134+$BX134+$CG134+$CP134)</f>
        <v>0</v>
      </c>
      <c r="EL134" s="203">
        <f t="shared" ref="EL134" si="3321">IF(CU134="ECONACIONAL",$BG134+$BP134+$BY134+$CH134+$CQ134)</f>
        <v>0</v>
      </c>
      <c r="EM134" s="203">
        <f t="shared" ref="EM134" si="3322">IF(CU134="ECONACIONAL",BH134+BQ134+BZ134+CI134+CR134)</f>
        <v>513.42748695</v>
      </c>
      <c r="EN134" s="203">
        <f t="shared" ref="EN134" si="3323">SUM(EF134:EM134)-EH134-EJ134</f>
        <v>5965.7359869500015</v>
      </c>
      <c r="EP134" s="1192">
        <v>207</v>
      </c>
      <c r="EQ134" s="201"/>
      <c r="ER134" s="201"/>
      <c r="ES134" s="201"/>
      <c r="ET134" s="201"/>
      <c r="EU134" s="201"/>
      <c r="EV134" s="201"/>
      <c r="EW134" s="201"/>
      <c r="EX134" s="201"/>
      <c r="EY134" s="201">
        <f t="shared" si="3218"/>
        <v>0</v>
      </c>
      <c r="FA134" s="207">
        <f t="shared" ref="FA134:FJ134" si="3324">IF($M134&lt;=15,EP134/2,EP134)</f>
        <v>207</v>
      </c>
      <c r="FB134" s="207">
        <f t="shared" si="3324"/>
        <v>0</v>
      </c>
      <c r="FC134" s="207">
        <f t="shared" si="3324"/>
        <v>0</v>
      </c>
      <c r="FD134" s="207">
        <f t="shared" si="3324"/>
        <v>0</v>
      </c>
      <c r="FE134" s="207">
        <f t="shared" si="3324"/>
        <v>0</v>
      </c>
      <c r="FF134" s="207">
        <f t="shared" si="3324"/>
        <v>0</v>
      </c>
      <c r="FG134" s="207">
        <f t="shared" si="3324"/>
        <v>0</v>
      </c>
      <c r="FH134" s="207">
        <f t="shared" si="3324"/>
        <v>0</v>
      </c>
      <c r="FI134" s="207">
        <f t="shared" si="3324"/>
        <v>0</v>
      </c>
      <c r="FJ134" s="207">
        <f t="shared" si="3324"/>
        <v>0</v>
      </c>
      <c r="FK134" s="217"/>
      <c r="FL134" s="217"/>
      <c r="FM134" s="217"/>
      <c r="FN134" s="217"/>
      <c r="FO134" s="217"/>
      <c r="FP134" s="217"/>
      <c r="FR134" s="1178">
        <f>(((J134/30/8)*1.5)*(U134+Y134+AC134))-(BD134+BM134+BV134)</f>
        <v>0</v>
      </c>
      <c r="FS134" s="1178">
        <f t="shared" ref="FS134" si="3325">(((J134/30/8)*2)*(W134+AA134+AE134))-(BF134+BO134+BX134)</f>
        <v>0</v>
      </c>
      <c r="FT134" s="1179">
        <f>(SUM(BA134:CJ134))-(SUM(EF134:EN134))</f>
        <v>0</v>
      </c>
      <c r="FU134" s="1178">
        <f>(J134/30*M134)-(EF134)</f>
        <v>0</v>
      </c>
      <c r="FV134" s="1182">
        <f>(SUM(EP134:EY134))-((SUM(FA134:FJ134))*$FV$5)</f>
        <v>-207</v>
      </c>
    </row>
    <row r="135" spans="1:184" s="778" customFormat="1" ht="15.75" customHeight="1" outlineLevel="1" thickBot="1">
      <c r="A135" s="1006" t="s">
        <v>52</v>
      </c>
      <c r="B135" s="1006" t="s">
        <v>52</v>
      </c>
      <c r="C135" s="1007" t="s">
        <v>52</v>
      </c>
      <c r="D135" s="776"/>
      <c r="E135" s="235">
        <v>305040</v>
      </c>
      <c r="F135" s="776"/>
      <c r="G135" s="723"/>
      <c r="H135" s="717" t="s">
        <v>690</v>
      </c>
      <c r="J135" s="986">
        <f>SUM(J129:J134)</f>
        <v>14702.28</v>
      </c>
      <c r="K135" s="986">
        <f t="shared" ref="K135" si="3326">SUM(K129:K134)</f>
        <v>1900</v>
      </c>
      <c r="L135" s="986">
        <f>SUM(L129:L134)</f>
        <v>16602.28</v>
      </c>
      <c r="M135" s="829"/>
      <c r="N135" s="836"/>
      <c r="O135" s="836"/>
      <c r="P135" s="836"/>
      <c r="Q135" s="836"/>
      <c r="R135" s="836"/>
      <c r="S135" s="836"/>
      <c r="T135" s="780"/>
      <c r="U135" s="986">
        <f t="shared" ref="U135:CF135" si="3327">SUM(U129:U134)</f>
        <v>0</v>
      </c>
      <c r="V135" s="986">
        <f t="shared" si="3327"/>
        <v>0</v>
      </c>
      <c r="W135" s="986">
        <f t="shared" si="3327"/>
        <v>0</v>
      </c>
      <c r="X135" s="986">
        <f t="shared" si="3327"/>
        <v>0</v>
      </c>
      <c r="Y135" s="986">
        <f t="shared" si="3327"/>
        <v>13</v>
      </c>
      <c r="Z135" s="986">
        <f t="shared" si="3327"/>
        <v>338.77850000000001</v>
      </c>
      <c r="AA135" s="986">
        <f t="shared" si="3327"/>
        <v>0</v>
      </c>
      <c r="AB135" s="986">
        <f t="shared" si="3327"/>
        <v>0</v>
      </c>
      <c r="AC135" s="986">
        <f t="shared" si="3327"/>
        <v>0</v>
      </c>
      <c r="AD135" s="986">
        <f t="shared" si="3327"/>
        <v>0</v>
      </c>
      <c r="AE135" s="986">
        <f t="shared" si="3327"/>
        <v>0</v>
      </c>
      <c r="AF135" s="986">
        <f t="shared" si="3327"/>
        <v>0</v>
      </c>
      <c r="AG135" s="986">
        <f t="shared" si="3327"/>
        <v>0</v>
      </c>
      <c r="AH135" s="986">
        <f t="shared" si="3327"/>
        <v>0</v>
      </c>
      <c r="AI135" s="986">
        <f t="shared" si="3327"/>
        <v>0</v>
      </c>
      <c r="AJ135" s="986">
        <f t="shared" si="3327"/>
        <v>0</v>
      </c>
      <c r="AK135" s="986">
        <f t="shared" si="3327"/>
        <v>0</v>
      </c>
      <c r="AL135" s="986">
        <f t="shared" si="3327"/>
        <v>0</v>
      </c>
      <c r="AM135" s="986">
        <f t="shared" si="3327"/>
        <v>0</v>
      </c>
      <c r="AN135" s="986">
        <f t="shared" si="3327"/>
        <v>0</v>
      </c>
      <c r="AO135" s="986">
        <f t="shared" si="3327"/>
        <v>0</v>
      </c>
      <c r="AP135" s="986">
        <f t="shared" si="3327"/>
        <v>0</v>
      </c>
      <c r="AQ135" s="986">
        <f t="shared" si="3327"/>
        <v>0</v>
      </c>
      <c r="AR135" s="986">
        <f t="shared" si="3327"/>
        <v>0</v>
      </c>
      <c r="AS135" s="986">
        <f t="shared" si="3327"/>
        <v>0</v>
      </c>
      <c r="AT135" s="986">
        <f t="shared" si="3327"/>
        <v>0</v>
      </c>
      <c r="AU135" s="986">
        <f t="shared" si="3327"/>
        <v>0</v>
      </c>
      <c r="AV135" s="986">
        <f t="shared" si="3327"/>
        <v>0</v>
      </c>
      <c r="AW135" s="986">
        <f t="shared" si="3327"/>
        <v>0</v>
      </c>
      <c r="AX135" s="986">
        <f t="shared" si="3327"/>
        <v>0</v>
      </c>
      <c r="AY135" s="986">
        <f t="shared" si="3327"/>
        <v>0</v>
      </c>
      <c r="AZ135" s="986">
        <f t="shared" si="3327"/>
        <v>0</v>
      </c>
      <c r="BA135" s="986">
        <f>SUM(BA129:BA134)</f>
        <v>7026.14</v>
      </c>
      <c r="BB135" s="986">
        <f t="shared" si="3327"/>
        <v>2160</v>
      </c>
      <c r="BC135" s="986">
        <f t="shared" si="3327"/>
        <v>0</v>
      </c>
      <c r="BD135" s="986">
        <f t="shared" si="3327"/>
        <v>0</v>
      </c>
      <c r="BE135" s="986">
        <f t="shared" si="3327"/>
        <v>0</v>
      </c>
      <c r="BF135" s="986">
        <f t="shared" si="3327"/>
        <v>0</v>
      </c>
      <c r="BG135" s="986">
        <f t="shared" si="3327"/>
        <v>0</v>
      </c>
      <c r="BH135" s="986">
        <f t="shared" si="3327"/>
        <v>890.21193800000003</v>
      </c>
      <c r="BI135" s="986">
        <f t="shared" si="3327"/>
        <v>10076.351938</v>
      </c>
      <c r="BJ135" s="986">
        <f t="shared" si="3327"/>
        <v>4860.57</v>
      </c>
      <c r="BK135" s="986">
        <f t="shared" si="3327"/>
        <v>3535</v>
      </c>
      <c r="BL135" s="986">
        <f t="shared" si="3327"/>
        <v>13</v>
      </c>
      <c r="BM135" s="986">
        <f t="shared" si="3327"/>
        <v>338.77850000000001</v>
      </c>
      <c r="BN135" s="986">
        <f t="shared" si="3327"/>
        <v>0</v>
      </c>
      <c r="BO135" s="986">
        <f t="shared" si="3327"/>
        <v>0</v>
      </c>
      <c r="BP135" s="986">
        <f t="shared" si="3327"/>
        <v>0</v>
      </c>
      <c r="BQ135" s="986">
        <f t="shared" si="3327"/>
        <v>658.75745495000012</v>
      </c>
      <c r="BR135" s="986">
        <f t="shared" si="3327"/>
        <v>9393.1059549500005</v>
      </c>
      <c r="BS135" s="986">
        <f t="shared" si="3327"/>
        <v>2490.5700000000002</v>
      </c>
      <c r="BT135" s="986">
        <f t="shared" si="3327"/>
        <v>315</v>
      </c>
      <c r="BU135" s="986">
        <f t="shared" si="3327"/>
        <v>0</v>
      </c>
      <c r="BV135" s="986">
        <f t="shared" si="3327"/>
        <v>0</v>
      </c>
      <c r="BW135" s="986">
        <f t="shared" si="3327"/>
        <v>0</v>
      </c>
      <c r="BX135" s="986">
        <f t="shared" si="3327"/>
        <v>0</v>
      </c>
      <c r="BY135" s="986">
        <f t="shared" si="3327"/>
        <v>0</v>
      </c>
      <c r="BZ135" s="986">
        <f t="shared" si="3327"/>
        <v>315.55521900000002</v>
      </c>
      <c r="CA135" s="986">
        <f t="shared" si="3327"/>
        <v>3121.1252190000005</v>
      </c>
      <c r="CB135" s="986">
        <f t="shared" si="3327"/>
        <v>325</v>
      </c>
      <c r="CC135" s="986">
        <f t="shared" si="3327"/>
        <v>90</v>
      </c>
      <c r="CD135" s="986">
        <f t="shared" si="3327"/>
        <v>0</v>
      </c>
      <c r="CE135" s="986">
        <f t="shared" si="3327"/>
        <v>0</v>
      </c>
      <c r="CF135" s="986">
        <f t="shared" si="3327"/>
        <v>0</v>
      </c>
      <c r="CG135" s="986">
        <f t="shared" ref="CG135:ER135" si="3328">SUM(CG129:CG134)</f>
        <v>0</v>
      </c>
      <c r="CH135" s="986">
        <f t="shared" si="3328"/>
        <v>0</v>
      </c>
      <c r="CI135" s="986">
        <f t="shared" si="3328"/>
        <v>41.177500000000002</v>
      </c>
      <c r="CJ135" s="986">
        <f t="shared" si="3328"/>
        <v>456.17750000000001</v>
      </c>
      <c r="CK135" s="986">
        <f t="shared" si="3328"/>
        <v>0</v>
      </c>
      <c r="CL135" s="986">
        <f t="shared" si="3328"/>
        <v>0</v>
      </c>
      <c r="CM135" s="986">
        <f t="shared" si="3328"/>
        <v>0</v>
      </c>
      <c r="CN135" s="986">
        <f t="shared" si="3328"/>
        <v>0</v>
      </c>
      <c r="CO135" s="986">
        <f t="shared" si="3328"/>
        <v>0</v>
      </c>
      <c r="CP135" s="986">
        <f t="shared" si="3328"/>
        <v>0</v>
      </c>
      <c r="CQ135" s="986">
        <f t="shared" si="3328"/>
        <v>0</v>
      </c>
      <c r="CR135" s="986">
        <f t="shared" si="3328"/>
        <v>0</v>
      </c>
      <c r="CS135" s="986">
        <f t="shared" si="3328"/>
        <v>0</v>
      </c>
      <c r="CT135" s="986">
        <f t="shared" si="3328"/>
        <v>0</v>
      </c>
      <c r="CU135" s="986">
        <f t="shared" si="3328"/>
        <v>0</v>
      </c>
      <c r="CV135" s="986">
        <f t="shared" si="3328"/>
        <v>0</v>
      </c>
      <c r="CW135" s="986">
        <f t="shared" si="3328"/>
        <v>0</v>
      </c>
      <c r="CX135" s="986">
        <f t="shared" si="3328"/>
        <v>0</v>
      </c>
      <c r="CY135" s="986">
        <f t="shared" si="3328"/>
        <v>0</v>
      </c>
      <c r="CZ135" s="986">
        <f t="shared" si="3328"/>
        <v>0</v>
      </c>
      <c r="DA135" s="986">
        <f t="shared" si="3328"/>
        <v>0</v>
      </c>
      <c r="DB135" s="986">
        <f t="shared" si="3328"/>
        <v>0</v>
      </c>
      <c r="DC135" s="986">
        <f t="shared" si="3328"/>
        <v>0</v>
      </c>
      <c r="DD135" s="986">
        <f t="shared" si="3328"/>
        <v>0</v>
      </c>
      <c r="DE135" s="986">
        <f t="shared" si="3328"/>
        <v>0</v>
      </c>
      <c r="DF135" s="986">
        <f t="shared" si="3328"/>
        <v>0</v>
      </c>
      <c r="DG135" s="986">
        <f t="shared" si="3328"/>
        <v>0</v>
      </c>
      <c r="DH135" s="986">
        <f t="shared" si="3328"/>
        <v>0</v>
      </c>
      <c r="DI135" s="986">
        <f t="shared" si="3328"/>
        <v>0</v>
      </c>
      <c r="DJ135" s="986">
        <f t="shared" si="3328"/>
        <v>0</v>
      </c>
      <c r="DK135" s="986">
        <f t="shared" si="3328"/>
        <v>0</v>
      </c>
      <c r="DL135" s="986">
        <f t="shared" si="3328"/>
        <v>0</v>
      </c>
      <c r="DM135" s="986">
        <f t="shared" si="3328"/>
        <v>0</v>
      </c>
      <c r="DN135" s="986">
        <f t="shared" si="3328"/>
        <v>0</v>
      </c>
      <c r="DO135" s="986">
        <f t="shared" si="3328"/>
        <v>0</v>
      </c>
      <c r="DP135" s="986">
        <f t="shared" si="3328"/>
        <v>0</v>
      </c>
      <c r="DQ135" s="986">
        <f t="shared" si="3328"/>
        <v>0</v>
      </c>
      <c r="DR135" s="986">
        <f t="shared" si="3328"/>
        <v>0</v>
      </c>
      <c r="DS135" s="986">
        <f t="shared" si="3328"/>
        <v>0</v>
      </c>
      <c r="DT135" s="986">
        <f t="shared" si="3328"/>
        <v>0</v>
      </c>
      <c r="DU135" s="986">
        <f t="shared" si="3328"/>
        <v>0</v>
      </c>
      <c r="DV135" s="986">
        <f t="shared" si="3328"/>
        <v>0</v>
      </c>
      <c r="DW135" s="986">
        <f t="shared" si="3328"/>
        <v>0</v>
      </c>
      <c r="DX135" s="986">
        <f t="shared" si="3328"/>
        <v>0</v>
      </c>
      <c r="DY135" s="986">
        <f t="shared" si="3328"/>
        <v>0</v>
      </c>
      <c r="DZ135" s="986">
        <f t="shared" si="3328"/>
        <v>0</v>
      </c>
      <c r="EA135" s="986">
        <f t="shared" si="3328"/>
        <v>0</v>
      </c>
      <c r="EB135" s="986">
        <f t="shared" si="3328"/>
        <v>0</v>
      </c>
      <c r="EC135" s="986">
        <f t="shared" si="3328"/>
        <v>0</v>
      </c>
      <c r="ED135" s="986">
        <f t="shared" si="3328"/>
        <v>0</v>
      </c>
      <c r="EE135" s="986">
        <f t="shared" si="3328"/>
        <v>0</v>
      </c>
      <c r="EF135" s="986">
        <f t="shared" si="3328"/>
        <v>14702.28</v>
      </c>
      <c r="EG135" s="986">
        <f t="shared" si="3328"/>
        <v>6100</v>
      </c>
      <c r="EH135" s="986">
        <f t="shared" si="3328"/>
        <v>13</v>
      </c>
      <c r="EI135" s="986">
        <f t="shared" si="3328"/>
        <v>338.77850000000001</v>
      </c>
      <c r="EJ135" s="986">
        <f t="shared" si="3328"/>
        <v>0</v>
      </c>
      <c r="EK135" s="986">
        <f t="shared" si="3328"/>
        <v>0</v>
      </c>
      <c r="EL135" s="986">
        <f t="shared" si="3328"/>
        <v>0</v>
      </c>
      <c r="EM135" s="986">
        <f t="shared" si="3328"/>
        <v>1905.70211195</v>
      </c>
      <c r="EN135" s="986">
        <f t="shared" si="3328"/>
        <v>23046.760611949998</v>
      </c>
      <c r="EO135" s="986"/>
      <c r="EP135" s="986">
        <f t="shared" si="3328"/>
        <v>606</v>
      </c>
      <c r="EQ135" s="986">
        <f t="shared" si="3328"/>
        <v>0</v>
      </c>
      <c r="ER135" s="986">
        <f t="shared" si="3328"/>
        <v>0</v>
      </c>
      <c r="ES135" s="986">
        <f t="shared" ref="ES135:FJ135" si="3329">SUM(ES129:ES134)</f>
        <v>651</v>
      </c>
      <c r="ET135" s="986">
        <f t="shared" si="3329"/>
        <v>0</v>
      </c>
      <c r="EU135" s="986">
        <f t="shared" si="3329"/>
        <v>0</v>
      </c>
      <c r="EV135" s="986">
        <f t="shared" si="3329"/>
        <v>350</v>
      </c>
      <c r="EW135" s="986">
        <f t="shared" si="3329"/>
        <v>0</v>
      </c>
      <c r="EX135" s="986">
        <f t="shared" si="3329"/>
        <v>0</v>
      </c>
      <c r="EY135" s="986">
        <f t="shared" si="3329"/>
        <v>350</v>
      </c>
      <c r="EZ135" s="986"/>
      <c r="FA135" s="986">
        <f t="shared" si="3329"/>
        <v>606</v>
      </c>
      <c r="FB135" s="986">
        <f t="shared" si="3329"/>
        <v>0</v>
      </c>
      <c r="FC135" s="986">
        <f t="shared" si="3329"/>
        <v>0</v>
      </c>
      <c r="FD135" s="986">
        <f t="shared" si="3329"/>
        <v>651</v>
      </c>
      <c r="FE135" s="986">
        <f t="shared" si="3329"/>
        <v>0</v>
      </c>
      <c r="FF135" s="986">
        <f t="shared" si="3329"/>
        <v>0</v>
      </c>
      <c r="FG135" s="986">
        <f t="shared" si="3329"/>
        <v>350</v>
      </c>
      <c r="FH135" s="986">
        <f t="shared" si="3329"/>
        <v>0</v>
      </c>
      <c r="FI135" s="986">
        <f t="shared" si="3329"/>
        <v>0</v>
      </c>
      <c r="FJ135" s="986">
        <f t="shared" si="3329"/>
        <v>350</v>
      </c>
      <c r="FK135" s="986">
        <f t="shared" ref="FK135:FP135" si="3330">SUM(FK129:FK134)</f>
        <v>1</v>
      </c>
      <c r="FL135" s="986">
        <f t="shared" si="3330"/>
        <v>0.5</v>
      </c>
      <c r="FM135" s="986">
        <f t="shared" si="3330"/>
        <v>0.5</v>
      </c>
      <c r="FN135" s="986">
        <f t="shared" si="3330"/>
        <v>0</v>
      </c>
      <c r="FO135" s="986">
        <f t="shared" si="3330"/>
        <v>0</v>
      </c>
      <c r="FP135" s="986">
        <f t="shared" si="3330"/>
        <v>2</v>
      </c>
    </row>
    <row r="136" spans="1:184" s="717" customFormat="1" ht="16.5" customHeight="1" outlineLevel="1" thickTop="1">
      <c r="A136" s="1006" t="str">
        <f>$G$4</f>
        <v>MAYO  2026 2da QUINCENA</v>
      </c>
      <c r="B136" s="1006">
        <f>+$G$5</f>
        <v>2026</v>
      </c>
      <c r="C136" s="1007" t="str">
        <f t="shared" si="1459"/>
        <v>MAYO  2026 2da QUINCENA2026</v>
      </c>
      <c r="F136" s="776"/>
      <c r="G136" s="777" t="s">
        <v>616</v>
      </c>
      <c r="J136" s="864"/>
      <c r="K136" s="841"/>
      <c r="L136" s="841"/>
      <c r="M136" s="841"/>
      <c r="N136" s="860"/>
      <c r="O136" s="860"/>
      <c r="P136" s="860"/>
      <c r="Q136" s="860"/>
      <c r="R136" s="860"/>
      <c r="S136" s="860"/>
      <c r="T136" s="807"/>
      <c r="U136" s="841"/>
      <c r="V136" s="841"/>
      <c r="W136" s="841"/>
      <c r="X136" s="841"/>
      <c r="Y136" s="841"/>
      <c r="Z136" s="841"/>
      <c r="AA136" s="841"/>
      <c r="AB136" s="841"/>
      <c r="AC136" s="841"/>
      <c r="AD136" s="841"/>
      <c r="AE136" s="841"/>
      <c r="AF136" s="841"/>
      <c r="AG136" s="841"/>
      <c r="AH136" s="841"/>
      <c r="AI136" s="841"/>
      <c r="AJ136" s="841"/>
      <c r="AK136" s="841"/>
      <c r="AL136" s="841"/>
      <c r="AM136" s="841"/>
      <c r="AN136" s="841"/>
      <c r="AO136" s="841"/>
      <c r="AP136" s="841"/>
      <c r="AQ136" s="841"/>
      <c r="AR136" s="841"/>
      <c r="AS136" s="841"/>
      <c r="AT136" s="841"/>
      <c r="AU136" s="841"/>
      <c r="AV136" s="841"/>
      <c r="AW136" s="841"/>
      <c r="AX136" s="841"/>
      <c r="AY136" s="841"/>
      <c r="AZ136" s="841"/>
      <c r="BA136" s="841"/>
      <c r="BB136" s="841"/>
      <c r="BC136" s="841"/>
      <c r="BD136" s="841"/>
      <c r="BE136" s="841"/>
      <c r="BF136" s="841"/>
      <c r="BG136" s="841"/>
      <c r="BH136" s="841"/>
      <c r="BI136" s="841"/>
      <c r="BJ136" s="841"/>
      <c r="BK136" s="841"/>
      <c r="BL136" s="841"/>
      <c r="BM136" s="841"/>
      <c r="BN136" s="841"/>
      <c r="BO136" s="841"/>
      <c r="BP136" s="841"/>
      <c r="BQ136" s="841"/>
      <c r="BR136" s="841"/>
      <c r="BS136" s="841"/>
      <c r="BT136" s="841"/>
      <c r="BU136" s="841"/>
      <c r="BV136" s="841"/>
      <c r="BW136" s="841"/>
      <c r="BX136" s="841"/>
      <c r="BY136" s="841"/>
      <c r="BZ136" s="841"/>
      <c r="CA136" s="841"/>
      <c r="CB136" s="841"/>
      <c r="CC136" s="841"/>
      <c r="CD136" s="841"/>
      <c r="CE136" s="841"/>
      <c r="CF136" s="841"/>
      <c r="CG136" s="841"/>
      <c r="CH136" s="841"/>
      <c r="CI136" s="841"/>
      <c r="CJ136" s="841"/>
      <c r="CK136" s="841"/>
      <c r="CL136" s="841"/>
      <c r="CM136" s="841"/>
      <c r="CN136" s="841"/>
      <c r="CO136" s="841"/>
      <c r="CP136" s="841"/>
      <c r="CQ136" s="841"/>
      <c r="CR136" s="841"/>
      <c r="CS136" s="841"/>
      <c r="CT136" s="841"/>
      <c r="CU136" s="841"/>
      <c r="CV136" s="841"/>
      <c r="CW136" s="841"/>
      <c r="CX136" s="841"/>
      <c r="CY136" s="841"/>
      <c r="CZ136" s="841"/>
      <c r="DA136" s="841"/>
      <c r="DB136" s="841"/>
      <c r="DC136" s="841"/>
      <c r="DD136" s="841"/>
      <c r="DE136" s="841"/>
      <c r="DF136" s="841"/>
      <c r="DG136" s="841"/>
      <c r="DH136" s="841"/>
      <c r="DI136" s="841"/>
      <c r="DJ136" s="841"/>
      <c r="DK136" s="841"/>
      <c r="DL136" s="841"/>
      <c r="DM136" s="841"/>
      <c r="DN136" s="841"/>
      <c r="DO136" s="841"/>
      <c r="DP136" s="841"/>
      <c r="DQ136" s="841"/>
      <c r="DR136" s="841"/>
      <c r="DS136" s="841"/>
      <c r="DT136" s="841"/>
      <c r="DU136" s="841"/>
      <c r="DV136" s="841"/>
      <c r="DW136" s="841"/>
      <c r="DX136" s="841"/>
      <c r="DY136" s="841"/>
      <c r="DZ136" s="841"/>
      <c r="EA136" s="841"/>
      <c r="EB136" s="841"/>
      <c r="EC136" s="841"/>
      <c r="ED136" s="841"/>
      <c r="EE136" s="841"/>
      <c r="EF136" s="841"/>
      <c r="EG136" s="841"/>
      <c r="EH136" s="841"/>
      <c r="EI136" s="841"/>
      <c r="EJ136" s="841"/>
      <c r="EK136" s="841"/>
      <c r="EL136" s="841"/>
      <c r="EM136" s="841"/>
      <c r="EN136" s="841"/>
      <c r="EO136" s="841"/>
      <c r="EP136" s="864"/>
      <c r="EQ136" s="841"/>
      <c r="ER136" s="841"/>
      <c r="ES136" s="864"/>
      <c r="ET136" s="841"/>
      <c r="EU136" s="841"/>
      <c r="EV136" s="841"/>
      <c r="EW136" s="841"/>
      <c r="EX136" s="841"/>
      <c r="EY136" s="841"/>
      <c r="FA136" s="841"/>
      <c r="FB136" s="841"/>
      <c r="FC136" s="841"/>
      <c r="FD136" s="841"/>
      <c r="FE136" s="841"/>
      <c r="FF136" s="841"/>
      <c r="FG136" s="841"/>
      <c r="FH136" s="841"/>
      <c r="FI136" s="841"/>
      <c r="FJ136" s="841"/>
      <c r="FK136" s="800"/>
      <c r="FL136" s="800"/>
      <c r="FM136" s="800"/>
      <c r="FN136" s="800"/>
      <c r="FO136" s="800"/>
      <c r="FP136" s="800"/>
      <c r="FQ136" s="778"/>
    </row>
    <row r="137" spans="1:184" s="803" customFormat="1" ht="15" customHeight="1" outlineLevel="1">
      <c r="A137" s="1006" t="str">
        <f>$G$4</f>
        <v>MAYO  2026 2da QUINCENA</v>
      </c>
      <c r="B137" s="1006">
        <f>+$G$5</f>
        <v>2026</v>
      </c>
      <c r="C137" s="1007" t="str">
        <f t="shared" si="1459"/>
        <v>MAYO  2026 2da QUINCENA2026</v>
      </c>
      <c r="D137" s="827"/>
      <c r="E137" s="235">
        <v>306010</v>
      </c>
      <c r="F137" s="827"/>
      <c r="G137" s="779" t="s">
        <v>655</v>
      </c>
      <c r="H137" s="776"/>
      <c r="I137" s="778"/>
      <c r="J137" s="861"/>
      <c r="N137" s="855"/>
      <c r="O137" s="855"/>
      <c r="P137" s="855"/>
      <c r="Q137" s="855"/>
      <c r="R137" s="855"/>
      <c r="S137" s="855"/>
      <c r="T137" s="780"/>
      <c r="U137" s="862"/>
      <c r="W137" s="862"/>
      <c r="Y137" s="862"/>
      <c r="AA137" s="862"/>
      <c r="AC137" s="862"/>
      <c r="AE137" s="863"/>
      <c r="AG137" s="863"/>
      <c r="AI137" s="863"/>
      <c r="AM137" s="863"/>
      <c r="AZ137" s="833"/>
      <c r="CT137" s="778"/>
      <c r="CU137" s="778"/>
      <c r="EO137" s="778"/>
      <c r="EP137" s="235"/>
      <c r="EQ137" s="778"/>
      <c r="ER137" s="778"/>
      <c r="ES137" s="216"/>
      <c r="ET137" s="778"/>
      <c r="EU137" s="778"/>
      <c r="EV137" s="778"/>
      <c r="EW137" s="778"/>
      <c r="EX137" s="778"/>
      <c r="EY137" s="778"/>
      <c r="EZ137" s="778"/>
      <c r="FA137" s="778"/>
      <c r="FB137" s="778"/>
      <c r="FC137" s="778"/>
      <c r="FD137" s="778"/>
      <c r="FE137" s="778"/>
      <c r="FF137" s="778"/>
      <c r="FG137" s="778"/>
      <c r="FH137" s="778"/>
      <c r="FI137" s="778"/>
      <c r="FJ137" s="778"/>
      <c r="FK137" s="800"/>
      <c r="FL137" s="800"/>
      <c r="FM137" s="800"/>
      <c r="FN137" s="800"/>
      <c r="FO137" s="800"/>
      <c r="FP137" s="800"/>
      <c r="FQ137" s="778"/>
      <c r="FR137" s="778"/>
      <c r="FS137" s="778"/>
      <c r="FT137" s="778"/>
      <c r="FU137" s="778"/>
    </row>
    <row r="138" spans="1:184" s="1219" customFormat="1" ht="15" customHeight="1" outlineLevel="1">
      <c r="A138" s="1204" t="str">
        <f>$G$4</f>
        <v>MAYO  2026 2da QUINCENA</v>
      </c>
      <c r="B138" s="1204">
        <f>+$G$5</f>
        <v>2026</v>
      </c>
      <c r="C138" s="1205" t="str">
        <f t="shared" ref="C138" si="3331">A138 &amp; B138</f>
        <v>MAYO  2026 2da QUINCENA2026</v>
      </c>
      <c r="D138" s="1206" t="s">
        <v>112</v>
      </c>
      <c r="E138" s="1206">
        <v>306010</v>
      </c>
      <c r="F138" s="1207">
        <v>50</v>
      </c>
      <c r="G138" s="1208" t="s">
        <v>743</v>
      </c>
      <c r="H138" s="1209" t="s">
        <v>86</v>
      </c>
      <c r="I138" s="1210" t="s">
        <v>11</v>
      </c>
      <c r="J138" s="1212">
        <v>19000</v>
      </c>
      <c r="K138" s="1212">
        <v>5000</v>
      </c>
      <c r="L138" s="1212">
        <f t="shared" ref="L138" si="3332">+J138+K138</f>
        <v>24000</v>
      </c>
      <c r="M138" s="203">
        <v>30</v>
      </c>
      <c r="N138" s="1229">
        <v>0.4</v>
      </c>
      <c r="O138" s="1229">
        <v>0.45</v>
      </c>
      <c r="P138" s="1229">
        <v>0.1</v>
      </c>
      <c r="Q138" s="1247">
        <v>0.05</v>
      </c>
      <c r="R138" s="1229">
        <v>0</v>
      </c>
      <c r="S138" s="1213">
        <f t="shared" ref="S138" si="3333">SUM(N138:R138)</f>
        <v>1</v>
      </c>
      <c r="T138" s="1214" t="s">
        <v>744</v>
      </c>
      <c r="U138" s="1236"/>
      <c r="V138" s="1211">
        <f t="shared" ref="V138" si="3334">($J138/30/8*1.5)*U138</f>
        <v>0</v>
      </c>
      <c r="W138" s="1225"/>
      <c r="X138" s="1224">
        <f t="shared" ref="X138" si="3335">($J138/30/8*2)*W138</f>
        <v>0</v>
      </c>
      <c r="Y138" s="1225"/>
      <c r="Z138" s="1224">
        <f t="shared" ref="Z138" si="3336">($J138/30/8*1.5)*Y138</f>
        <v>0</v>
      </c>
      <c r="AA138" s="1225"/>
      <c r="AB138" s="1211">
        <f t="shared" ref="AB138" si="3337">($J138/30/8*2)*AA138</f>
        <v>0</v>
      </c>
      <c r="AC138" s="1215"/>
      <c r="AD138" s="1211">
        <f t="shared" ref="AD138" si="3338">(($J138/30/8)*1.5)*AC138</f>
        <v>0</v>
      </c>
      <c r="AE138" s="1216"/>
      <c r="AF138" s="1211">
        <f t="shared" ref="AF138" si="3339">(($J138/30/8)*2)*AE138</f>
        <v>0</v>
      </c>
      <c r="AG138" s="1248"/>
      <c r="AH138" s="1227">
        <f t="shared" ref="AH138" si="3340">(($J138/30/8)*1.5)*AG138</f>
        <v>0</v>
      </c>
      <c r="AI138" s="1248"/>
      <c r="AJ138" s="1227">
        <f t="shared" ref="AJ138" si="3341">(($J138/30/8)*2)*AI138</f>
        <v>0</v>
      </c>
      <c r="AK138" s="1227"/>
      <c r="AL138" s="1227">
        <f>(($J138/30/8)*1.5)*AK138</f>
        <v>0</v>
      </c>
      <c r="AM138" s="1248"/>
      <c r="AN138" s="1227">
        <f>(($J138/30/8)*2)*AM138</f>
        <v>0</v>
      </c>
      <c r="AO138" s="1249"/>
      <c r="AP138" s="1249"/>
      <c r="AQ138" s="1249"/>
      <c r="AR138" s="1249"/>
      <c r="AS138" s="1249"/>
      <c r="AT138" s="1249"/>
      <c r="AU138" s="1249"/>
      <c r="AV138" s="1249"/>
      <c r="AW138" s="1249"/>
      <c r="AX138" s="1249"/>
      <c r="AY138" s="1212"/>
      <c r="AZ138" s="1226"/>
      <c r="BA138" s="1211">
        <f t="shared" ref="BA138" si="3342">((J138/30)*M138)*$N138</f>
        <v>7600</v>
      </c>
      <c r="BB138" s="1230">
        <f>((K138/30)*M138)*$N138</f>
        <v>2000</v>
      </c>
      <c r="BC138" s="1211">
        <f t="shared" ref="BC138" si="3343">U138</f>
        <v>0</v>
      </c>
      <c r="BD138" s="1211">
        <f t="shared" ref="BD138" si="3344">V138</f>
        <v>0</v>
      </c>
      <c r="BE138" s="1211">
        <f t="shared" ref="BE138" si="3345">W138</f>
        <v>0</v>
      </c>
      <c r="BF138" s="1211">
        <f t="shared" ref="BF138" si="3346">X138</f>
        <v>0</v>
      </c>
      <c r="BG138" s="1211">
        <f t="shared" ref="BG138" si="3347">AO138+AT138</f>
        <v>0</v>
      </c>
      <c r="BH138" s="203">
        <f t="shared" ref="BH138" si="3348">(BA138+BD138+BF138+BG138)*0.1267</f>
        <v>962.92000000000007</v>
      </c>
      <c r="BI138" s="1211">
        <f t="shared" ref="BI138" si="3349">SUM(BA138:BH138)-BC138-BE138</f>
        <v>10562.92</v>
      </c>
      <c r="BJ138" s="1224">
        <f t="shared" ref="BJ138" si="3350">(($J138/30)*$M138)*$O138</f>
        <v>8550</v>
      </c>
      <c r="BK138" s="1224">
        <f>(($K138/30)*$M138)*$O138</f>
        <v>2250</v>
      </c>
      <c r="BL138" s="1211">
        <f t="shared" ref="BL138" si="3351">Y138</f>
        <v>0</v>
      </c>
      <c r="BM138" s="1211">
        <f t="shared" ref="BM138" si="3352">Z138</f>
        <v>0</v>
      </c>
      <c r="BN138" s="1211">
        <f t="shared" ref="BN138" si="3353">AA138</f>
        <v>0</v>
      </c>
      <c r="BO138" s="1211">
        <f t="shared" ref="BO138" si="3354">AB138</f>
        <v>0</v>
      </c>
      <c r="BP138" s="1211">
        <f t="shared" ref="BP138" si="3355">AP138+AU138</f>
        <v>0</v>
      </c>
      <c r="BQ138" s="203">
        <f t="shared" ref="BQ138" si="3356">(+BJ138+BM138+BO138+BP138)*0.1267</f>
        <v>1083.2850000000001</v>
      </c>
      <c r="BR138" s="1212">
        <f t="shared" ref="BR138" si="3357">SUM(BJ138:BQ138)-BL138-BN138</f>
        <v>11883.285</v>
      </c>
      <c r="BS138" s="1224">
        <f t="shared" ref="BS138" si="3358">(($J138/30)*$M138)*$P138</f>
        <v>1900</v>
      </c>
      <c r="BT138" s="1224">
        <f>(($K138/30)*$M138)*$P138</f>
        <v>500</v>
      </c>
      <c r="BU138" s="1211">
        <f t="shared" ref="BU138" si="3359">AC138</f>
        <v>0</v>
      </c>
      <c r="BV138" s="1211">
        <f t="shared" ref="BV138" si="3360">AD138</f>
        <v>0</v>
      </c>
      <c r="BW138" s="1211">
        <f t="shared" ref="BW138" si="3361">AE138</f>
        <v>0</v>
      </c>
      <c r="BX138" s="1211">
        <f t="shared" ref="BX138" si="3362">AF138</f>
        <v>0</v>
      </c>
      <c r="BY138" s="1211">
        <f t="shared" ref="BY138" si="3363">AQ138+AV138</f>
        <v>0</v>
      </c>
      <c r="BZ138" s="203">
        <f t="shared" ref="BZ138" si="3364">(BS138+BV138+BX138+BY138)*0.1267</f>
        <v>240.73000000000002</v>
      </c>
      <c r="CA138" s="1211">
        <f t="shared" ref="CA138" si="3365">SUM(BS138:BZ138)-BU138-BW138</f>
        <v>2640.73</v>
      </c>
      <c r="CB138" s="1250">
        <f>(($J138/30)*$M138)*$Q138</f>
        <v>950</v>
      </c>
      <c r="CC138" s="1251">
        <f>(($K138/30)*$M138)*$Q138</f>
        <v>250</v>
      </c>
      <c r="CD138" s="1251">
        <f t="shared" ref="CD138:CG138" si="3366">AG138</f>
        <v>0</v>
      </c>
      <c r="CE138" s="1251">
        <f t="shared" si="3366"/>
        <v>0</v>
      </c>
      <c r="CF138" s="1251">
        <f t="shared" si="3366"/>
        <v>0</v>
      </c>
      <c r="CG138" s="1251">
        <f t="shared" si="3366"/>
        <v>0</v>
      </c>
      <c r="CH138" s="1251">
        <f>AR138+AW138</f>
        <v>0</v>
      </c>
      <c r="CI138" s="703">
        <f t="shared" ref="CI138" si="3367">(CB138+CE138+CG138+CH138)*0.1267</f>
        <v>120.36500000000001</v>
      </c>
      <c r="CJ138" s="1251">
        <f>SUM(CB138:CI138)-CD138-CF138</f>
        <v>1320.365</v>
      </c>
      <c r="CK138" s="1251">
        <f>(($J138/30)*$M138)*R138</f>
        <v>0</v>
      </c>
      <c r="CL138" s="1251">
        <f>(($K138/30)*$M138)*$R138</f>
        <v>0</v>
      </c>
      <c r="CM138" s="1251">
        <f>+AK138</f>
        <v>0</v>
      </c>
      <c r="CN138" s="1251">
        <f t="shared" ref="CN138:CP138" si="3368">AL138</f>
        <v>0</v>
      </c>
      <c r="CO138" s="1251">
        <f t="shared" si="3368"/>
        <v>0</v>
      </c>
      <c r="CP138" s="1251">
        <f t="shared" si="3368"/>
        <v>0</v>
      </c>
      <c r="CQ138" s="1251">
        <f>AS138+AX138</f>
        <v>0</v>
      </c>
      <c r="CR138" s="1251">
        <f>(CK138+CN138+CP138)*0.1267</f>
        <v>0</v>
      </c>
      <c r="CS138" s="1252">
        <f>SUM(CK138:CR138)-CM138-CO138</f>
        <v>0</v>
      </c>
      <c r="CU138" s="1210" t="s">
        <v>11</v>
      </c>
      <c r="CV138" s="1211">
        <f t="shared" ref="CV138" si="3369">IF($CU138="PROQUIMA",$BA138+$BJ138+$BS138+$CB138+$CK138,0)</f>
        <v>0</v>
      </c>
      <c r="CW138" s="1211">
        <f t="shared" ref="CW138" si="3370">IF($CU138="PROQUIMA",$BB138+$BK138+$BT138+$CC138+$CL138,0)</f>
        <v>0</v>
      </c>
      <c r="CX138" s="1211">
        <f t="shared" ref="CX138" si="3371">IF($CU138="PROQUIMA",$BC138+$BL138+$BU138+$CD138+$CM138,0)</f>
        <v>0</v>
      </c>
      <c r="CY138" s="1211">
        <f t="shared" ref="CY138" si="3372">IF($CU138="PROQUIMA",$BD138+$BM138+$BV138+$CE138+$CN138,0)</f>
        <v>0</v>
      </c>
      <c r="CZ138" s="1211">
        <f t="shared" ref="CZ138" si="3373">IF($CU138="PROQUIMA",$BE138+$BN138+$BW138+$CF138+$CO138,0)</f>
        <v>0</v>
      </c>
      <c r="DA138" s="1211">
        <f t="shared" ref="DA138" si="3374">IF($CU138="PROQUIMA",$BF138+$BO138+$BX138+$CG138+$CP138,0)</f>
        <v>0</v>
      </c>
      <c r="DB138" s="1211">
        <f t="shared" ref="DB138" si="3375">IF($CU138="PROQUIMA",$BG138+$BP138+$BY138+$CH138+$CQ138,0)</f>
        <v>0</v>
      </c>
      <c r="DC138" s="1211">
        <f t="shared" ref="DC138" si="3376">IF($CU138="PROQUIMA",$BH138+$BQ138+$BZ138+$CI138+CR138,0)</f>
        <v>0</v>
      </c>
      <c r="DD138" s="1211">
        <f t="shared" ref="DD138" si="3377">SUM(CV138:DC138)-CX138-CZ138</f>
        <v>0</v>
      </c>
      <c r="DE138" s="1211">
        <f t="shared" ref="DE138" si="3378">IF($CU138="UNHESA",$BA138+$BJ138+$BS138+$CB138+$CK138,0)</f>
        <v>0</v>
      </c>
      <c r="DF138" s="1211">
        <f t="shared" ref="DF138" si="3379">IF($CU138="UNHESA",$BB138+$BK138+$BT138+$CC138+$CL138,0)</f>
        <v>0</v>
      </c>
      <c r="DG138" s="1224">
        <f t="shared" ref="DG138" si="3380">IF($CU138="UNHESA",$BC138+$BL138+$BU138+$CD138+$CM138,0)</f>
        <v>0</v>
      </c>
      <c r="DH138" s="1224">
        <f t="shared" ref="DH138" si="3381">IF($CU138="UNHESA",$BD138+$BM138+$BV138+$CE138+$CN138,0)</f>
        <v>0</v>
      </c>
      <c r="DI138" s="1224">
        <f t="shared" ref="DI138" si="3382">IF($CU138="UNHESA",$BE138+$BN138+$BW138+$CF138+$CO138,0)</f>
        <v>0</v>
      </c>
      <c r="DJ138" s="1211">
        <f t="shared" ref="DJ138" si="3383">IF($CU138="UNHESA",$BF138+$BO138+$BX138+$CG138+$CP138,0)</f>
        <v>0</v>
      </c>
      <c r="DK138" s="1211">
        <f t="shared" ref="DK138" si="3384">IF($CU138="UNHESA",$BG138+$BP138+$BY138+$CH138+$CQ138,0)</f>
        <v>0</v>
      </c>
      <c r="DL138" s="1211">
        <f t="shared" ref="DL138" si="3385">IF($CU138="UNHESA",$BH138+$BQ138+$BZ138+$CI138+$CR138,0)</f>
        <v>0</v>
      </c>
      <c r="DM138" s="1211">
        <f t="shared" ref="DM138" si="3386">SUM(DE138:DL138)-DG138-DI138</f>
        <v>0</v>
      </c>
      <c r="DN138" s="1227">
        <f t="shared" ref="DN138" si="3387">IF($CU138="UNHESA LIQUIDOS",$BA138+$BJ138+$BS138+$CB138+$CK138,0)</f>
        <v>0</v>
      </c>
      <c r="DO138" s="1227">
        <f t="shared" ref="DO138" si="3388">IF($CU138="UNHESA LIQUIDOS",$BB138+$BK138+$BT138+$CC138+$CL138,0)</f>
        <v>0</v>
      </c>
      <c r="DP138" s="1227">
        <f t="shared" ref="DP138" si="3389">IF($CU138="UNHESA LIQUIDOS",$BC138+$BL138+$BU138+$CD138+$CM138,0)</f>
        <v>0</v>
      </c>
      <c r="DQ138" s="1227">
        <f t="shared" ref="DQ138" si="3390">IF($CU138="UNHESA LIQUIDOS",$BD138+$BM138+$BV138+$CE138+$CN138,0)</f>
        <v>0</v>
      </c>
      <c r="DR138" s="1227">
        <f t="shared" ref="DR138" si="3391">IF($CU138="UNHESA LIQUIDOS",$BE138+$BN138+$BW138+$CF138+$CO138,0)</f>
        <v>0</v>
      </c>
      <c r="DS138" s="1227">
        <f t="shared" ref="DS138" si="3392">IF($CU138="UNHESA LIQUIDOS",$BF138+$BO138+$BX138+$CG138+$CP138,0)</f>
        <v>0</v>
      </c>
      <c r="DT138" s="1227">
        <f t="shared" ref="DT138" si="3393">IF($CU138="UNHESA LIQUIDOS",$BG138+$BP138+$BY138+$CH138+$CQ138,0)</f>
        <v>0</v>
      </c>
      <c r="DU138" s="1227">
        <f t="shared" ref="DU138" si="3394">IF($CU138="UNHESA LIQUIDOS",$BH138+$BQ138+$BZ138+$CI138+$CR138,0)</f>
        <v>0</v>
      </c>
      <c r="DV138" s="1227">
        <f t="shared" ref="DV138" si="3395">SUM(DN138:DU138)-DP138-DR138</f>
        <v>0</v>
      </c>
      <c r="DW138" s="1217">
        <f>IF($CU138="CLEARTEC",$BA138+$BJ138+$BS138+$CB138+$CK138,0)</f>
        <v>0</v>
      </c>
      <c r="DX138" s="1217">
        <f t="shared" ref="DX138:ED138" si="3396">IF($CU138="CLEARTEC",$BA138+$BJ138+$BS138+$CB138+$CK138,0)</f>
        <v>0</v>
      </c>
      <c r="DY138" s="1217">
        <f t="shared" si="3396"/>
        <v>0</v>
      </c>
      <c r="DZ138" s="1217">
        <f t="shared" si="3396"/>
        <v>0</v>
      </c>
      <c r="EA138" s="1217">
        <f t="shared" si="3396"/>
        <v>0</v>
      </c>
      <c r="EB138" s="1217">
        <f t="shared" si="3396"/>
        <v>0</v>
      </c>
      <c r="EC138" s="1217">
        <f t="shared" si="3396"/>
        <v>0</v>
      </c>
      <c r="ED138" s="1217">
        <f t="shared" si="3396"/>
        <v>0</v>
      </c>
      <c r="EE138" s="1218">
        <f t="shared" ref="EE138" si="3397">SUM(DW138:ED138)-DY138-EA138</f>
        <v>0</v>
      </c>
      <c r="EF138" s="1211">
        <f t="shared" ref="EF138" si="3398">IF(CU138="ECONACIONAL",$BA138+$BJ138+$BS138+$CB138+$CK138)</f>
        <v>19000</v>
      </c>
      <c r="EG138" s="1218">
        <f t="shared" ref="EG138" si="3399">IF($CU138="ECONACIONAL",$BB138+$BK138+$BT138+$CC138+$CL138,0)</f>
        <v>5000</v>
      </c>
      <c r="EH138" s="1211">
        <f t="shared" ref="EH138" si="3400">IF(CU138="ECONACIONAL",$BC138+$BL138+$BU138+$CD138+$CM138)</f>
        <v>0</v>
      </c>
      <c r="EI138" s="1211">
        <f t="shared" ref="EI138" si="3401">IF(CU138="ECONACIONAL",$BD138+$DH138+$DQ138+$DZ138+BM138+BV138+CE138+CN138)</f>
        <v>0</v>
      </c>
      <c r="EJ138" s="1218">
        <f t="shared" ref="EJ138" si="3402">IF($CU138="CLEARTEC",$BE138+$BN138+$BW138+$CF138+$CO138,0)</f>
        <v>0</v>
      </c>
      <c r="EK138" s="1211">
        <f t="shared" ref="EK138" si="3403">IF(CU138="ECONACIONAL",$BF138+$BO138+$BX138+$CG138+$CP138)</f>
        <v>0</v>
      </c>
      <c r="EL138" s="1211">
        <f t="shared" ref="EL138" si="3404">IF(CU138="ECONACIONAL",$BG138+$BP138+$BY138+$CH138+$CQ138)</f>
        <v>0</v>
      </c>
      <c r="EM138" s="1211">
        <f t="shared" ref="EM138" si="3405">IF(CU138="ECONACIONAL",BH138+BQ138+BZ138+CI138+CR138)</f>
        <v>2407.3000000000002</v>
      </c>
      <c r="EN138" s="1211">
        <f t="shared" ref="EN138" si="3406">SUM(EF138:EM138)-EH138-EJ138</f>
        <v>26407.3</v>
      </c>
      <c r="EP138" s="1210">
        <v>1144.94</v>
      </c>
      <c r="EQ138" s="1210"/>
      <c r="ER138" s="1210"/>
      <c r="ES138" s="1210"/>
      <c r="ET138" s="1210"/>
      <c r="EU138" s="1210"/>
      <c r="EV138" s="1210"/>
      <c r="EW138" s="1210"/>
      <c r="EX138" s="1210"/>
      <c r="EY138" s="1210">
        <f t="shared" ref="EY138" si="3407">+ET138+EU138+EV138</f>
        <v>0</v>
      </c>
      <c r="FA138" s="1215">
        <f t="shared" ref="FA138" si="3408">IF($M138&lt;=15,EP138/2,EP138)</f>
        <v>1144.94</v>
      </c>
      <c r="FB138" s="1215">
        <f t="shared" ref="FB138" si="3409">IF($M138&lt;=15,EQ138/2,EQ138)</f>
        <v>0</v>
      </c>
      <c r="FC138" s="1215">
        <f t="shared" ref="FC138" si="3410">IF($M138&lt;=15,ER138/2,ER138)</f>
        <v>0</v>
      </c>
      <c r="FD138" s="1215">
        <f t="shared" ref="FD138" si="3411">IF($M138&lt;=15,ES138/2,ES138)</f>
        <v>0</v>
      </c>
      <c r="FE138" s="1215">
        <f t="shared" ref="FE138" si="3412">IF($M138&lt;=15,ET138/2,ET138)</f>
        <v>0</v>
      </c>
      <c r="FF138" s="1215">
        <f t="shared" ref="FF138" si="3413">IF($M138&lt;=15,EU138/2,EU138)</f>
        <v>0</v>
      </c>
      <c r="FG138" s="1215">
        <f>IF($M138&lt;=15,EV138/2,EV138)</f>
        <v>0</v>
      </c>
      <c r="FH138" s="1215">
        <f t="shared" ref="FH138" si="3414">IF($M138&lt;=15,EW138/2,EW138)</f>
        <v>0</v>
      </c>
      <c r="FI138" s="1215">
        <f t="shared" ref="FI138" si="3415">IF($M138&lt;=15,EX138/2,EX138)</f>
        <v>0</v>
      </c>
      <c r="FJ138" s="1215">
        <f t="shared" ref="FJ138" si="3416">IF($M138&lt;=15,EY138/2,EY138)</f>
        <v>0</v>
      </c>
      <c r="FK138" s="1220">
        <v>0.6</v>
      </c>
      <c r="FL138" s="1220">
        <v>0.4</v>
      </c>
      <c r="FM138" s="1220">
        <v>0</v>
      </c>
      <c r="FN138" s="1220">
        <v>0</v>
      </c>
      <c r="FO138" s="1220">
        <v>0</v>
      </c>
      <c r="FP138" s="1231">
        <v>1</v>
      </c>
      <c r="FR138" s="1221">
        <f>(((J138/30/8)*1.5)*(U138+Y138+AC138))-(BD138+BM138+BV138)</f>
        <v>0</v>
      </c>
      <c r="FS138" s="1221">
        <f t="shared" ref="FS138" si="3417">(((J138/30/8)*2)*(W138+AA138+AE138))-(BF138+BO138+BX138)</f>
        <v>0</v>
      </c>
      <c r="FT138" s="1222">
        <f>(SUM(BA138:CJ138))-(SUM(EF138:EN138))</f>
        <v>0</v>
      </c>
      <c r="FU138" s="1221">
        <f>(J138/30*M138)-(EF138)</f>
        <v>0</v>
      </c>
      <c r="FV138" s="1223">
        <f>(SUM(EP138:EY138))-((SUM(FA138:FJ138))*$FV$5)</f>
        <v>-1144.94</v>
      </c>
    </row>
    <row r="139" spans="1:184" s="821" customFormat="1" ht="15.75" customHeight="1" outlineLevel="1" thickBot="1">
      <c r="A139" s="1002"/>
      <c r="B139" s="1002"/>
      <c r="E139" s="235">
        <v>306010</v>
      </c>
      <c r="F139" s="235"/>
      <c r="G139" s="723"/>
      <c r="J139" s="868">
        <f>SUM(J138:J138)</f>
        <v>19000</v>
      </c>
      <c r="K139" s="868">
        <f>SUM(K138:K138)</f>
        <v>5000</v>
      </c>
      <c r="L139" s="868">
        <f>SUM(L138:L138)</f>
        <v>24000</v>
      </c>
      <c r="M139" s="869"/>
      <c r="N139" s="870"/>
      <c r="O139" s="870"/>
      <c r="P139" s="870"/>
      <c r="Q139" s="870"/>
      <c r="R139" s="870"/>
      <c r="S139" s="870"/>
      <c r="T139" s="814"/>
      <c r="U139" s="868">
        <f t="shared" ref="U139:AZ139" si="3418">SUM(U138:U138)</f>
        <v>0</v>
      </c>
      <c r="V139" s="868">
        <f t="shared" si="3418"/>
        <v>0</v>
      </c>
      <c r="W139" s="868">
        <f t="shared" si="3418"/>
        <v>0</v>
      </c>
      <c r="X139" s="868">
        <f t="shared" si="3418"/>
        <v>0</v>
      </c>
      <c r="Y139" s="868">
        <f t="shared" si="3418"/>
        <v>0</v>
      </c>
      <c r="Z139" s="868">
        <f t="shared" si="3418"/>
        <v>0</v>
      </c>
      <c r="AA139" s="868">
        <f t="shared" si="3418"/>
        <v>0</v>
      </c>
      <c r="AB139" s="868">
        <f t="shared" si="3418"/>
        <v>0</v>
      </c>
      <c r="AC139" s="868">
        <f t="shared" si="3418"/>
        <v>0</v>
      </c>
      <c r="AD139" s="868">
        <f t="shared" si="3418"/>
        <v>0</v>
      </c>
      <c r="AE139" s="868">
        <f t="shared" si="3418"/>
        <v>0</v>
      </c>
      <c r="AF139" s="868">
        <f t="shared" si="3418"/>
        <v>0</v>
      </c>
      <c r="AG139" s="868">
        <f t="shared" si="3418"/>
        <v>0</v>
      </c>
      <c r="AH139" s="868">
        <f t="shared" si="3418"/>
        <v>0</v>
      </c>
      <c r="AI139" s="868">
        <f t="shared" si="3418"/>
        <v>0</v>
      </c>
      <c r="AJ139" s="868">
        <f t="shared" si="3418"/>
        <v>0</v>
      </c>
      <c r="AK139" s="868">
        <f t="shared" si="3418"/>
        <v>0</v>
      </c>
      <c r="AL139" s="868">
        <f t="shared" si="3418"/>
        <v>0</v>
      </c>
      <c r="AM139" s="868">
        <f t="shared" si="3418"/>
        <v>0</v>
      </c>
      <c r="AN139" s="868">
        <f t="shared" si="3418"/>
        <v>0</v>
      </c>
      <c r="AO139" s="868">
        <f t="shared" si="3418"/>
        <v>0</v>
      </c>
      <c r="AP139" s="868">
        <f t="shared" si="3418"/>
        <v>0</v>
      </c>
      <c r="AQ139" s="868">
        <f t="shared" si="3418"/>
        <v>0</v>
      </c>
      <c r="AR139" s="868">
        <f t="shared" si="3418"/>
        <v>0</v>
      </c>
      <c r="AS139" s="868">
        <f t="shared" si="3418"/>
        <v>0</v>
      </c>
      <c r="AT139" s="868">
        <f t="shared" si="3418"/>
        <v>0</v>
      </c>
      <c r="AU139" s="868">
        <f t="shared" si="3418"/>
        <v>0</v>
      </c>
      <c r="AV139" s="868">
        <f t="shared" si="3418"/>
        <v>0</v>
      </c>
      <c r="AW139" s="868">
        <f t="shared" si="3418"/>
        <v>0</v>
      </c>
      <c r="AX139" s="868">
        <f t="shared" si="3418"/>
        <v>0</v>
      </c>
      <c r="AY139" s="868">
        <f t="shared" si="3418"/>
        <v>0</v>
      </c>
      <c r="AZ139" s="868">
        <f t="shared" si="3418"/>
        <v>0</v>
      </c>
      <c r="BA139" s="868">
        <f t="shared" ref="BA139:CF139" si="3419">SUM(BA138:BA138)</f>
        <v>7600</v>
      </c>
      <c r="BB139" s="868">
        <f t="shared" si="3419"/>
        <v>2000</v>
      </c>
      <c r="BC139" s="868">
        <f t="shared" si="3419"/>
        <v>0</v>
      </c>
      <c r="BD139" s="868">
        <f t="shared" si="3419"/>
        <v>0</v>
      </c>
      <c r="BE139" s="868">
        <f t="shared" si="3419"/>
        <v>0</v>
      </c>
      <c r="BF139" s="868">
        <f t="shared" si="3419"/>
        <v>0</v>
      </c>
      <c r="BG139" s="868">
        <f t="shared" si="3419"/>
        <v>0</v>
      </c>
      <c r="BH139" s="868">
        <f t="shared" si="3419"/>
        <v>962.92000000000007</v>
      </c>
      <c r="BI139" s="868">
        <f t="shared" si="3419"/>
        <v>10562.92</v>
      </c>
      <c r="BJ139" s="868">
        <f t="shared" si="3419"/>
        <v>8550</v>
      </c>
      <c r="BK139" s="868">
        <f t="shared" si="3419"/>
        <v>2250</v>
      </c>
      <c r="BL139" s="868">
        <f t="shared" si="3419"/>
        <v>0</v>
      </c>
      <c r="BM139" s="868">
        <f t="shared" si="3419"/>
        <v>0</v>
      </c>
      <c r="BN139" s="868">
        <f t="shared" si="3419"/>
        <v>0</v>
      </c>
      <c r="BO139" s="868">
        <f t="shared" si="3419"/>
        <v>0</v>
      </c>
      <c r="BP139" s="868">
        <f t="shared" si="3419"/>
        <v>0</v>
      </c>
      <c r="BQ139" s="868">
        <f t="shared" si="3419"/>
        <v>1083.2850000000001</v>
      </c>
      <c r="BR139" s="868">
        <f t="shared" si="3419"/>
        <v>11883.285</v>
      </c>
      <c r="BS139" s="868">
        <f t="shared" si="3419"/>
        <v>1900</v>
      </c>
      <c r="BT139" s="868">
        <f t="shared" si="3419"/>
        <v>500</v>
      </c>
      <c r="BU139" s="868">
        <f t="shared" si="3419"/>
        <v>0</v>
      </c>
      <c r="BV139" s="868">
        <f t="shared" si="3419"/>
        <v>0</v>
      </c>
      <c r="BW139" s="868">
        <f t="shared" si="3419"/>
        <v>0</v>
      </c>
      <c r="BX139" s="868">
        <f t="shared" si="3419"/>
        <v>0</v>
      </c>
      <c r="BY139" s="868">
        <f t="shared" si="3419"/>
        <v>0</v>
      </c>
      <c r="BZ139" s="868">
        <f t="shared" si="3419"/>
        <v>240.73000000000002</v>
      </c>
      <c r="CA139" s="868">
        <f t="shared" si="3419"/>
        <v>2640.73</v>
      </c>
      <c r="CB139" s="868">
        <f t="shared" si="3419"/>
        <v>950</v>
      </c>
      <c r="CC139" s="868">
        <f t="shared" si="3419"/>
        <v>250</v>
      </c>
      <c r="CD139" s="868">
        <f t="shared" si="3419"/>
        <v>0</v>
      </c>
      <c r="CE139" s="868">
        <f t="shared" si="3419"/>
        <v>0</v>
      </c>
      <c r="CF139" s="868">
        <f t="shared" si="3419"/>
        <v>0</v>
      </c>
      <c r="CG139" s="868">
        <f t="shared" ref="CG139:DL139" si="3420">SUM(CG138:CG138)</f>
        <v>0</v>
      </c>
      <c r="CH139" s="868">
        <f t="shared" si="3420"/>
        <v>0</v>
      </c>
      <c r="CI139" s="868">
        <f t="shared" si="3420"/>
        <v>120.36500000000001</v>
      </c>
      <c r="CJ139" s="868">
        <f t="shared" si="3420"/>
        <v>1320.365</v>
      </c>
      <c r="CK139" s="868">
        <f t="shared" si="3420"/>
        <v>0</v>
      </c>
      <c r="CL139" s="868">
        <f t="shared" si="3420"/>
        <v>0</v>
      </c>
      <c r="CM139" s="868">
        <f t="shared" si="3420"/>
        <v>0</v>
      </c>
      <c r="CN139" s="868">
        <f t="shared" si="3420"/>
        <v>0</v>
      </c>
      <c r="CO139" s="868">
        <f t="shared" si="3420"/>
        <v>0</v>
      </c>
      <c r="CP139" s="868">
        <f t="shared" si="3420"/>
        <v>0</v>
      </c>
      <c r="CQ139" s="868">
        <f t="shared" si="3420"/>
        <v>0</v>
      </c>
      <c r="CR139" s="868">
        <f t="shared" si="3420"/>
        <v>0</v>
      </c>
      <c r="CS139" s="868">
        <f t="shared" si="3420"/>
        <v>0</v>
      </c>
      <c r="CT139" s="868">
        <f t="shared" si="3420"/>
        <v>0</v>
      </c>
      <c r="CU139" s="868">
        <f t="shared" si="3420"/>
        <v>0</v>
      </c>
      <c r="CV139" s="868">
        <f t="shared" si="3420"/>
        <v>0</v>
      </c>
      <c r="CW139" s="868">
        <f t="shared" si="3420"/>
        <v>0</v>
      </c>
      <c r="CX139" s="868">
        <f t="shared" si="3420"/>
        <v>0</v>
      </c>
      <c r="CY139" s="868">
        <f t="shared" si="3420"/>
        <v>0</v>
      </c>
      <c r="CZ139" s="868">
        <f t="shared" si="3420"/>
        <v>0</v>
      </c>
      <c r="DA139" s="868">
        <f t="shared" si="3420"/>
        <v>0</v>
      </c>
      <c r="DB139" s="868">
        <f t="shared" si="3420"/>
        <v>0</v>
      </c>
      <c r="DC139" s="868">
        <f t="shared" si="3420"/>
        <v>0</v>
      </c>
      <c r="DD139" s="868">
        <f t="shared" si="3420"/>
        <v>0</v>
      </c>
      <c r="DE139" s="868">
        <f t="shared" si="3420"/>
        <v>0</v>
      </c>
      <c r="DF139" s="868">
        <f t="shared" si="3420"/>
        <v>0</v>
      </c>
      <c r="DG139" s="868">
        <f t="shared" si="3420"/>
        <v>0</v>
      </c>
      <c r="DH139" s="868">
        <f t="shared" si="3420"/>
        <v>0</v>
      </c>
      <c r="DI139" s="868">
        <f t="shared" si="3420"/>
        <v>0</v>
      </c>
      <c r="DJ139" s="868">
        <f t="shared" si="3420"/>
        <v>0</v>
      </c>
      <c r="DK139" s="868">
        <f t="shared" si="3420"/>
        <v>0</v>
      </c>
      <c r="DL139" s="868">
        <f t="shared" si="3420"/>
        <v>0</v>
      </c>
      <c r="DM139" s="868">
        <f t="shared" ref="DM139:ER139" si="3421">SUM(DM138:DM138)</f>
        <v>0</v>
      </c>
      <c r="DN139" s="868">
        <f t="shared" si="3421"/>
        <v>0</v>
      </c>
      <c r="DO139" s="868">
        <f t="shared" si="3421"/>
        <v>0</v>
      </c>
      <c r="DP139" s="868">
        <f t="shared" si="3421"/>
        <v>0</v>
      </c>
      <c r="DQ139" s="868">
        <f t="shared" si="3421"/>
        <v>0</v>
      </c>
      <c r="DR139" s="868">
        <f t="shared" si="3421"/>
        <v>0</v>
      </c>
      <c r="DS139" s="868">
        <f t="shared" si="3421"/>
        <v>0</v>
      </c>
      <c r="DT139" s="868">
        <f t="shared" si="3421"/>
        <v>0</v>
      </c>
      <c r="DU139" s="868">
        <f t="shared" si="3421"/>
        <v>0</v>
      </c>
      <c r="DV139" s="868">
        <f t="shared" si="3421"/>
        <v>0</v>
      </c>
      <c r="DW139" s="868">
        <f t="shared" si="3421"/>
        <v>0</v>
      </c>
      <c r="DX139" s="868">
        <f t="shared" si="3421"/>
        <v>0</v>
      </c>
      <c r="DY139" s="868">
        <f t="shared" si="3421"/>
        <v>0</v>
      </c>
      <c r="DZ139" s="868">
        <f t="shared" si="3421"/>
        <v>0</v>
      </c>
      <c r="EA139" s="868">
        <f t="shared" si="3421"/>
        <v>0</v>
      </c>
      <c r="EB139" s="868">
        <f t="shared" si="3421"/>
        <v>0</v>
      </c>
      <c r="EC139" s="868">
        <f t="shared" si="3421"/>
        <v>0</v>
      </c>
      <c r="ED139" s="868">
        <f t="shared" si="3421"/>
        <v>0</v>
      </c>
      <c r="EE139" s="868">
        <f t="shared" si="3421"/>
        <v>0</v>
      </c>
      <c r="EF139" s="868">
        <f t="shared" si="3421"/>
        <v>19000</v>
      </c>
      <c r="EG139" s="868">
        <f t="shared" si="3421"/>
        <v>5000</v>
      </c>
      <c r="EH139" s="868">
        <f t="shared" si="3421"/>
        <v>0</v>
      </c>
      <c r="EI139" s="868">
        <f t="shared" si="3421"/>
        <v>0</v>
      </c>
      <c r="EJ139" s="868">
        <f t="shared" si="3421"/>
        <v>0</v>
      </c>
      <c r="EK139" s="868">
        <f t="shared" si="3421"/>
        <v>0</v>
      </c>
      <c r="EL139" s="868">
        <f t="shared" si="3421"/>
        <v>0</v>
      </c>
      <c r="EM139" s="868">
        <f t="shared" si="3421"/>
        <v>2407.3000000000002</v>
      </c>
      <c r="EN139" s="868">
        <f t="shared" si="3421"/>
        <v>26407.3</v>
      </c>
      <c r="EO139" s="868">
        <f t="shared" si="3421"/>
        <v>0</v>
      </c>
      <c r="EP139" s="868">
        <f t="shared" si="3421"/>
        <v>1144.94</v>
      </c>
      <c r="EQ139" s="868">
        <f t="shared" si="3421"/>
        <v>0</v>
      </c>
      <c r="ER139" s="868">
        <f t="shared" si="3421"/>
        <v>0</v>
      </c>
      <c r="ES139" s="868">
        <f t="shared" ref="ES139:FX139" si="3422">SUM(ES138:ES138)</f>
        <v>0</v>
      </c>
      <c r="ET139" s="868">
        <f t="shared" si="3422"/>
        <v>0</v>
      </c>
      <c r="EU139" s="868">
        <f t="shared" si="3422"/>
        <v>0</v>
      </c>
      <c r="EV139" s="868">
        <f t="shared" si="3422"/>
        <v>0</v>
      </c>
      <c r="EW139" s="868">
        <f t="shared" si="3422"/>
        <v>0</v>
      </c>
      <c r="EX139" s="868">
        <f t="shared" si="3422"/>
        <v>0</v>
      </c>
      <c r="EY139" s="868">
        <f t="shared" si="3422"/>
        <v>0</v>
      </c>
      <c r="EZ139" s="868">
        <f t="shared" si="3422"/>
        <v>0</v>
      </c>
      <c r="FA139" s="868">
        <f t="shared" si="3422"/>
        <v>1144.94</v>
      </c>
      <c r="FB139" s="868">
        <f t="shared" si="3422"/>
        <v>0</v>
      </c>
      <c r="FC139" s="868">
        <f t="shared" si="3422"/>
        <v>0</v>
      </c>
      <c r="FD139" s="868">
        <f t="shared" si="3422"/>
        <v>0</v>
      </c>
      <c r="FE139" s="868">
        <f t="shared" si="3422"/>
        <v>0</v>
      </c>
      <c r="FF139" s="868">
        <f t="shared" si="3422"/>
        <v>0</v>
      </c>
      <c r="FG139" s="868">
        <f t="shared" si="3422"/>
        <v>0</v>
      </c>
      <c r="FH139" s="868">
        <f t="shared" si="3422"/>
        <v>0</v>
      </c>
      <c r="FI139" s="868">
        <f t="shared" si="3422"/>
        <v>0</v>
      </c>
      <c r="FJ139" s="868">
        <f t="shared" si="3422"/>
        <v>0</v>
      </c>
      <c r="FK139" s="868">
        <f t="shared" si="3422"/>
        <v>0.6</v>
      </c>
      <c r="FL139" s="868">
        <f t="shared" si="3422"/>
        <v>0.4</v>
      </c>
      <c r="FM139" s="868">
        <f t="shared" si="3422"/>
        <v>0</v>
      </c>
      <c r="FN139" s="868">
        <f t="shared" si="3422"/>
        <v>0</v>
      </c>
      <c r="FO139" s="868">
        <f t="shared" si="3422"/>
        <v>0</v>
      </c>
      <c r="FP139" s="868">
        <f t="shared" si="3422"/>
        <v>1</v>
      </c>
      <c r="FQ139" s="868">
        <f t="shared" si="3422"/>
        <v>0</v>
      </c>
      <c r="FR139" s="868">
        <f t="shared" si="3422"/>
        <v>0</v>
      </c>
      <c r="FS139" s="868">
        <f t="shared" si="3422"/>
        <v>0</v>
      </c>
      <c r="FT139" s="868">
        <f t="shared" si="3422"/>
        <v>0</v>
      </c>
      <c r="FU139" s="868">
        <f t="shared" si="3422"/>
        <v>0</v>
      </c>
      <c r="FV139" s="868">
        <f t="shared" si="3422"/>
        <v>-1144.94</v>
      </c>
      <c r="FW139" s="868">
        <f t="shared" si="3422"/>
        <v>0</v>
      </c>
      <c r="FX139" s="868">
        <f t="shared" si="3422"/>
        <v>0</v>
      </c>
      <c r="FY139" s="868">
        <f t="shared" ref="FY139:GB139" si="3423">SUM(FY138:FY138)</f>
        <v>0</v>
      </c>
      <c r="FZ139" s="868">
        <f t="shared" si="3423"/>
        <v>0</v>
      </c>
      <c r="GA139" s="868">
        <f t="shared" si="3423"/>
        <v>0</v>
      </c>
      <c r="GB139" s="868">
        <f t="shared" si="3423"/>
        <v>0</v>
      </c>
    </row>
    <row r="140" spans="1:184" s="821" customFormat="1" ht="15.75" customHeight="1" outlineLevel="1" thickTop="1">
      <c r="A140" s="1002"/>
      <c r="B140" s="1002"/>
      <c r="F140" s="235"/>
      <c r="G140" s="723"/>
      <c r="J140" s="869"/>
      <c r="K140" s="869"/>
      <c r="L140" s="869"/>
      <c r="M140" s="869"/>
      <c r="N140" s="870"/>
      <c r="O140" s="870"/>
      <c r="P140" s="870"/>
      <c r="Q140" s="870"/>
      <c r="R140" s="870"/>
      <c r="S140" s="870"/>
      <c r="T140" s="814"/>
      <c r="U140" s="869"/>
      <c r="V140" s="869"/>
      <c r="W140" s="869"/>
      <c r="X140" s="869"/>
      <c r="Y140" s="869"/>
      <c r="Z140" s="869"/>
      <c r="AA140" s="869"/>
      <c r="AB140" s="869"/>
      <c r="AC140" s="869"/>
      <c r="AD140" s="869"/>
      <c r="AE140" s="869"/>
      <c r="AF140" s="869"/>
      <c r="AG140" s="869"/>
      <c r="AH140" s="869"/>
      <c r="AI140" s="869"/>
      <c r="AJ140" s="869"/>
      <c r="AK140" s="869"/>
      <c r="AL140" s="869"/>
      <c r="AM140" s="869"/>
      <c r="AN140" s="869"/>
      <c r="AO140" s="869"/>
      <c r="AP140" s="869"/>
      <c r="AQ140" s="869"/>
      <c r="AR140" s="869"/>
      <c r="AS140" s="869"/>
      <c r="AT140" s="869"/>
      <c r="AU140" s="869"/>
      <c r="AV140" s="869"/>
      <c r="AW140" s="869"/>
      <c r="AX140" s="869"/>
      <c r="AY140" s="869"/>
      <c r="AZ140" s="869"/>
      <c r="BA140" s="978"/>
      <c r="BB140" s="869"/>
      <c r="BC140" s="869"/>
      <c r="BD140" s="869"/>
      <c r="BE140" s="869"/>
      <c r="BF140" s="869"/>
      <c r="BG140" s="869"/>
      <c r="BH140" s="869"/>
      <c r="BI140" s="869"/>
      <c r="BJ140" s="869"/>
      <c r="BK140" s="869"/>
      <c r="BL140" s="869"/>
      <c r="BM140" s="869"/>
      <c r="BN140" s="869"/>
      <c r="BO140" s="869"/>
      <c r="BP140" s="869"/>
      <c r="BQ140" s="869"/>
      <c r="BR140" s="869"/>
      <c r="BS140" s="869"/>
      <c r="BT140" s="869"/>
      <c r="BU140" s="869"/>
      <c r="BV140" s="869"/>
      <c r="BW140" s="869"/>
      <c r="BX140" s="869"/>
      <c r="BY140" s="869"/>
      <c r="BZ140" s="869"/>
      <c r="CA140" s="869"/>
      <c r="CB140" s="869"/>
      <c r="CC140" s="869"/>
      <c r="CD140" s="869"/>
      <c r="CE140" s="869"/>
      <c r="CF140" s="869"/>
      <c r="CG140" s="869"/>
      <c r="CH140" s="869"/>
      <c r="CI140" s="869"/>
      <c r="CJ140" s="869"/>
      <c r="CK140" s="869"/>
      <c r="CL140" s="869"/>
      <c r="CM140" s="869"/>
      <c r="CN140" s="869"/>
      <c r="CO140" s="869"/>
      <c r="CP140" s="869"/>
      <c r="CQ140" s="869"/>
      <c r="CR140" s="869"/>
      <c r="CS140" s="869"/>
      <c r="CT140" s="869"/>
      <c r="CU140" s="869"/>
      <c r="CV140" s="869"/>
      <c r="CW140" s="869"/>
      <c r="CX140" s="869"/>
      <c r="CY140" s="869"/>
      <c r="CZ140" s="869"/>
      <c r="DA140" s="869"/>
      <c r="DB140" s="869"/>
      <c r="DC140" s="869"/>
      <c r="DD140" s="869"/>
      <c r="DE140" s="869"/>
      <c r="DF140" s="869"/>
      <c r="DG140" s="869"/>
      <c r="DH140" s="869"/>
      <c r="DI140" s="869"/>
      <c r="DJ140" s="869"/>
      <c r="DK140" s="869"/>
      <c r="DL140" s="869"/>
      <c r="DM140" s="869"/>
      <c r="DN140" s="869"/>
      <c r="DO140" s="869"/>
      <c r="DP140" s="869"/>
      <c r="DQ140" s="869"/>
      <c r="DR140" s="869"/>
      <c r="DS140" s="869"/>
      <c r="DT140" s="869"/>
      <c r="DU140" s="869"/>
      <c r="DV140" s="869"/>
      <c r="DW140" s="869"/>
      <c r="DX140" s="869"/>
      <c r="DY140" s="869"/>
      <c r="DZ140" s="869"/>
      <c r="EA140" s="869"/>
      <c r="EB140" s="869"/>
      <c r="EC140" s="869"/>
      <c r="ED140" s="869"/>
      <c r="EE140" s="869"/>
      <c r="EF140" s="869"/>
      <c r="EG140" s="869"/>
      <c r="EH140" s="869"/>
      <c r="EI140" s="869"/>
      <c r="EJ140" s="869"/>
      <c r="EK140" s="869"/>
      <c r="EL140" s="869"/>
      <c r="EM140" s="869"/>
      <c r="EN140" s="869"/>
      <c r="EO140" s="869"/>
      <c r="EP140" s="869"/>
      <c r="EQ140" s="869"/>
      <c r="ER140" s="869"/>
      <c r="ES140" s="869"/>
      <c r="ET140" s="869"/>
      <c r="EU140" s="869"/>
      <c r="EV140" s="869"/>
      <c r="EW140" s="869"/>
      <c r="EX140" s="869"/>
      <c r="EY140" s="869"/>
      <c r="EZ140" s="869"/>
      <c r="FA140" s="869"/>
      <c r="FB140" s="869"/>
      <c r="FC140" s="869"/>
      <c r="FD140" s="869"/>
      <c r="FE140" s="869"/>
      <c r="FF140" s="869"/>
      <c r="FG140" s="869"/>
      <c r="FH140" s="869"/>
      <c r="FI140" s="869"/>
      <c r="FJ140" s="869"/>
      <c r="FK140" s="800"/>
      <c r="FL140" s="800"/>
      <c r="FM140" s="800"/>
      <c r="FN140" s="800"/>
      <c r="FO140" s="800"/>
      <c r="FP140" s="800"/>
      <c r="FQ140" s="778"/>
    </row>
    <row r="141" spans="1:184" s="821" customFormat="1" ht="15.75" customHeight="1" outlineLevel="1">
      <c r="A141" s="1002"/>
      <c r="B141" s="1002"/>
      <c r="F141" s="235"/>
      <c r="G141" s="723"/>
      <c r="J141" s="869"/>
      <c r="K141" s="869"/>
      <c r="L141" s="869"/>
      <c r="M141" s="869"/>
      <c r="N141" s="870"/>
      <c r="O141" s="870"/>
      <c r="P141" s="870"/>
      <c r="Q141" s="870"/>
      <c r="R141" s="870"/>
      <c r="S141" s="870"/>
      <c r="T141" s="814"/>
      <c r="U141" s="869"/>
      <c r="V141" s="869"/>
      <c r="W141" s="869"/>
      <c r="X141" s="869"/>
      <c r="Y141" s="869"/>
      <c r="Z141" s="869"/>
      <c r="AA141" s="869"/>
      <c r="AB141" s="869"/>
      <c r="AC141" s="869"/>
      <c r="AD141" s="869"/>
      <c r="AE141" s="869"/>
      <c r="AF141" s="869"/>
      <c r="AG141" s="869"/>
      <c r="AH141" s="869"/>
      <c r="AI141" s="869"/>
      <c r="AJ141" s="869"/>
      <c r="AK141" s="869"/>
      <c r="AL141" s="869"/>
      <c r="AM141" s="869"/>
      <c r="AN141" s="869"/>
      <c r="AO141" s="869"/>
      <c r="AP141" s="869"/>
      <c r="AQ141" s="869"/>
      <c r="AR141" s="869"/>
      <c r="AS141" s="869"/>
      <c r="AT141" s="869"/>
      <c r="AU141" s="869"/>
      <c r="AV141" s="869"/>
      <c r="AW141" s="869"/>
      <c r="AX141" s="869"/>
      <c r="AY141" s="869"/>
      <c r="AZ141" s="869"/>
      <c r="BA141" s="978"/>
      <c r="BB141" s="869"/>
      <c r="BC141" s="869"/>
      <c r="BD141" s="869"/>
      <c r="BE141" s="869"/>
      <c r="BF141" s="869"/>
      <c r="BG141" s="869"/>
      <c r="BH141" s="869"/>
      <c r="BI141" s="869"/>
      <c r="BJ141" s="869"/>
      <c r="BK141" s="869"/>
      <c r="BL141" s="869"/>
      <c r="BM141" s="869"/>
      <c r="BN141" s="869"/>
      <c r="BO141" s="869"/>
      <c r="BP141" s="869"/>
      <c r="BQ141" s="869"/>
      <c r="BR141" s="869"/>
      <c r="BS141" s="869"/>
      <c r="BT141" s="869"/>
      <c r="BU141" s="869"/>
      <c r="BV141" s="869"/>
      <c r="BW141" s="869"/>
      <c r="BX141" s="869"/>
      <c r="BY141" s="869"/>
      <c r="BZ141" s="869"/>
      <c r="CA141" s="869"/>
      <c r="CB141" s="869"/>
      <c r="CC141" s="869"/>
      <c r="CD141" s="869"/>
      <c r="CE141" s="869"/>
      <c r="CF141" s="869"/>
      <c r="CG141" s="869"/>
      <c r="CH141" s="869"/>
      <c r="CI141" s="869"/>
      <c r="CJ141" s="869"/>
      <c r="CK141" s="869"/>
      <c r="CL141" s="869"/>
      <c r="CM141" s="869"/>
      <c r="CN141" s="869"/>
      <c r="CO141" s="869"/>
      <c r="CP141" s="869"/>
      <c r="CQ141" s="869"/>
      <c r="CR141" s="869"/>
      <c r="CS141" s="869"/>
      <c r="CT141" s="869"/>
      <c r="CU141" s="869"/>
      <c r="CV141" s="869"/>
      <c r="CW141" s="869"/>
      <c r="CX141" s="869"/>
      <c r="CY141" s="869"/>
      <c r="CZ141" s="869"/>
      <c r="DA141" s="869"/>
      <c r="DB141" s="869"/>
      <c r="DC141" s="869"/>
      <c r="DD141" s="869"/>
      <c r="DE141" s="869"/>
      <c r="DF141" s="869"/>
      <c r="DG141" s="869"/>
      <c r="DH141" s="869"/>
      <c r="DI141" s="869"/>
      <c r="DJ141" s="869"/>
      <c r="DK141" s="869"/>
      <c r="DL141" s="869"/>
      <c r="DM141" s="869"/>
      <c r="DN141" s="869"/>
      <c r="DO141" s="869"/>
      <c r="DP141" s="869"/>
      <c r="DQ141" s="869"/>
      <c r="DR141" s="869"/>
      <c r="DS141" s="869"/>
      <c r="DT141" s="869"/>
      <c r="DU141" s="869"/>
      <c r="DV141" s="869"/>
      <c r="DW141" s="869"/>
      <c r="DX141" s="869"/>
      <c r="DY141" s="869"/>
      <c r="DZ141" s="869"/>
      <c r="EA141" s="869"/>
      <c r="EB141" s="869"/>
      <c r="EC141" s="869"/>
      <c r="ED141" s="869"/>
      <c r="EE141" s="869"/>
      <c r="EF141" s="869"/>
      <c r="EG141" s="869"/>
      <c r="EH141" s="869"/>
      <c r="EI141" s="869"/>
      <c r="EJ141" s="869"/>
      <c r="EK141" s="869"/>
      <c r="EL141" s="869"/>
      <c r="EM141" s="869"/>
      <c r="EN141" s="869"/>
      <c r="EO141" s="869"/>
      <c r="EP141" s="869"/>
      <c r="EQ141" s="869"/>
      <c r="ER141" s="869"/>
      <c r="ES141" s="869"/>
      <c r="ET141" s="869"/>
      <c r="EU141" s="869"/>
      <c r="EV141" s="869"/>
      <c r="EW141" s="869"/>
      <c r="EX141" s="869"/>
      <c r="EY141" s="869"/>
      <c r="EZ141" s="869"/>
      <c r="FA141" s="869"/>
      <c r="FB141" s="869"/>
      <c r="FC141" s="869"/>
      <c r="FD141" s="869"/>
      <c r="FE141" s="869"/>
      <c r="FF141" s="869"/>
      <c r="FG141" s="869"/>
      <c r="FH141" s="869"/>
      <c r="FI141" s="869"/>
      <c r="FJ141" s="869"/>
      <c r="FK141" s="800"/>
      <c r="FL141" s="800"/>
      <c r="FM141" s="800"/>
      <c r="FN141" s="800"/>
      <c r="FO141" s="800"/>
      <c r="FP141" s="800"/>
      <c r="FQ141" s="778"/>
    </row>
    <row r="142" spans="1:184" s="821" customFormat="1" ht="15.75" customHeight="1" outlineLevel="1">
      <c r="A142" s="1002"/>
      <c r="B142" s="1002"/>
      <c r="E142" s="235">
        <v>301060</v>
      </c>
      <c r="F142" s="235"/>
      <c r="G142" s="777" t="s">
        <v>362</v>
      </c>
      <c r="J142" s="869"/>
      <c r="K142" s="869"/>
      <c r="L142" s="869"/>
      <c r="M142" s="869"/>
      <c r="N142" s="870"/>
      <c r="O142" s="870"/>
      <c r="P142" s="870"/>
      <c r="Q142" s="870"/>
      <c r="R142" s="870"/>
      <c r="S142" s="870"/>
      <c r="T142" s="814"/>
      <c r="U142" s="869"/>
      <c r="V142" s="869"/>
      <c r="W142" s="869"/>
      <c r="X142" s="869"/>
      <c r="Y142" s="869"/>
      <c r="Z142" s="869"/>
      <c r="AA142" s="869"/>
      <c r="AB142" s="869"/>
      <c r="AC142" s="869"/>
      <c r="AD142" s="869"/>
      <c r="AE142" s="869"/>
      <c r="AF142" s="869"/>
      <c r="AG142" s="869"/>
      <c r="AH142" s="869"/>
      <c r="AI142" s="869"/>
      <c r="AJ142" s="869"/>
      <c r="AK142" s="869"/>
      <c r="AL142" s="869"/>
      <c r="AM142" s="869"/>
      <c r="AN142" s="869"/>
      <c r="AO142" s="869"/>
      <c r="AP142" s="869"/>
      <c r="AQ142" s="869"/>
      <c r="AR142" s="869"/>
      <c r="AS142" s="869"/>
      <c r="AT142" s="869"/>
      <c r="AU142" s="869"/>
      <c r="AV142" s="869"/>
      <c r="AW142" s="869"/>
      <c r="AX142" s="869"/>
      <c r="AY142" s="869"/>
      <c r="AZ142" s="869"/>
      <c r="BA142" s="978"/>
      <c r="BB142" s="869"/>
      <c r="BC142" s="869"/>
      <c r="BD142" s="869"/>
      <c r="BE142" s="869"/>
      <c r="BF142" s="869"/>
      <c r="BG142" s="869"/>
      <c r="BH142" s="869"/>
      <c r="BI142" s="869"/>
      <c r="BJ142" s="869"/>
      <c r="BK142" s="869"/>
      <c r="BL142" s="869"/>
      <c r="BM142" s="869"/>
      <c r="BN142" s="869"/>
      <c r="BO142" s="869"/>
      <c r="BP142" s="869"/>
      <c r="BQ142" s="869"/>
      <c r="BR142" s="869"/>
      <c r="BS142" s="869"/>
      <c r="BT142" s="869"/>
      <c r="BU142" s="869"/>
      <c r="BV142" s="869"/>
      <c r="BW142" s="869"/>
      <c r="BX142" s="869"/>
      <c r="BY142" s="869"/>
      <c r="BZ142" s="869"/>
      <c r="CA142" s="869"/>
      <c r="CB142" s="869"/>
      <c r="CC142" s="869"/>
      <c r="CD142" s="869"/>
      <c r="CE142" s="869"/>
      <c r="CF142" s="869"/>
      <c r="CG142" s="869"/>
      <c r="CH142" s="869"/>
      <c r="CI142" s="869"/>
      <c r="CJ142" s="869"/>
      <c r="CK142" s="869"/>
      <c r="CL142" s="869"/>
      <c r="CM142" s="869"/>
      <c r="CN142" s="869"/>
      <c r="CO142" s="869"/>
      <c r="CP142" s="869"/>
      <c r="CQ142" s="869"/>
      <c r="CR142" s="869"/>
      <c r="CS142" s="869"/>
      <c r="CT142" s="869"/>
      <c r="CU142" s="869"/>
      <c r="CV142" s="869"/>
      <c r="CW142" s="869"/>
      <c r="CX142" s="869"/>
      <c r="CY142" s="869"/>
      <c r="CZ142" s="869"/>
      <c r="DA142" s="869"/>
      <c r="DB142" s="869"/>
      <c r="DC142" s="869"/>
      <c r="DD142" s="869"/>
      <c r="DE142" s="869"/>
      <c r="DF142" s="869"/>
      <c r="DG142" s="869"/>
      <c r="DH142" s="869"/>
      <c r="DI142" s="869"/>
      <c r="DJ142" s="869"/>
      <c r="DK142" s="869"/>
      <c r="DL142" s="869"/>
      <c r="DM142" s="869"/>
      <c r="DN142" s="869"/>
      <c r="DO142" s="869"/>
      <c r="DP142" s="869"/>
      <c r="DQ142" s="869"/>
      <c r="DR142" s="869"/>
      <c r="DS142" s="869"/>
      <c r="DT142" s="869"/>
      <c r="DU142" s="869"/>
      <c r="DV142" s="869"/>
      <c r="DW142" s="869"/>
      <c r="DX142" s="869"/>
      <c r="DY142" s="869"/>
      <c r="DZ142" s="869"/>
      <c r="EA142" s="869"/>
      <c r="EB142" s="869"/>
      <c r="EC142" s="869"/>
      <c r="ED142" s="869"/>
      <c r="EE142" s="869"/>
      <c r="EF142" s="869"/>
      <c r="EG142" s="869"/>
      <c r="EH142" s="869"/>
      <c r="EI142" s="869"/>
      <c r="EJ142" s="869"/>
      <c r="EK142" s="869"/>
      <c r="EL142" s="869"/>
      <c r="EM142" s="869"/>
      <c r="EN142" s="869"/>
      <c r="EO142" s="869"/>
      <c r="EP142" s="869"/>
      <c r="EQ142" s="869"/>
      <c r="ER142" s="869"/>
      <c r="ES142" s="869"/>
      <c r="ET142" s="869"/>
      <c r="EU142" s="869"/>
      <c r="EV142" s="869"/>
      <c r="EW142" s="869"/>
      <c r="EX142" s="869"/>
      <c r="EY142" s="869"/>
      <c r="EZ142" s="869"/>
      <c r="FA142" s="869"/>
      <c r="FB142" s="869"/>
      <c r="FC142" s="869"/>
      <c r="FD142" s="869"/>
      <c r="FE142" s="869"/>
      <c r="FF142" s="869"/>
      <c r="FG142" s="869"/>
      <c r="FH142" s="869"/>
      <c r="FI142" s="869"/>
      <c r="FJ142" s="869"/>
      <c r="FK142" s="800"/>
      <c r="FL142" s="800"/>
      <c r="FM142" s="800"/>
      <c r="FN142" s="800"/>
      <c r="FO142" s="800"/>
      <c r="FP142" s="800"/>
      <c r="FQ142" s="778"/>
    </row>
    <row r="143" spans="1:184" s="821" customFormat="1" ht="15.75" customHeight="1" outlineLevel="1">
      <c r="A143" s="1002"/>
      <c r="B143" s="1002"/>
      <c r="E143" s="235">
        <v>301060</v>
      </c>
      <c r="F143" s="235">
        <v>51</v>
      </c>
      <c r="G143" s="167" t="s">
        <v>465</v>
      </c>
      <c r="H143" s="200" t="s">
        <v>363</v>
      </c>
      <c r="I143" s="201" t="s">
        <v>11</v>
      </c>
      <c r="J143" s="203">
        <v>4002.28</v>
      </c>
      <c r="K143" s="202">
        <v>300</v>
      </c>
      <c r="L143" s="202">
        <f t="shared" ref="L143:L144" si="3424">+J143+K143</f>
        <v>4302.2800000000007</v>
      </c>
      <c r="M143" s="203">
        <v>30</v>
      </c>
      <c r="N143" s="204">
        <v>0.2</v>
      </c>
      <c r="O143" s="820">
        <v>0.6</v>
      </c>
      <c r="P143" s="204">
        <v>0.2</v>
      </c>
      <c r="Q143" s="204">
        <v>0</v>
      </c>
      <c r="R143" s="204">
        <v>0</v>
      </c>
      <c r="S143" s="204">
        <f t="shared" ref="S143:S144" si="3425">SUM(N143:R143)</f>
        <v>1</v>
      </c>
      <c r="T143" s="814"/>
      <c r="U143" s="206"/>
      <c r="V143" s="203">
        <f t="shared" ref="V143" si="3426">($J143/30/8*1.5)*U143</f>
        <v>0</v>
      </c>
      <c r="W143" s="265"/>
      <c r="X143" s="239">
        <f t="shared" ref="X143" si="3427">($J143/30/8*2)*W143</f>
        <v>0</v>
      </c>
      <c r="Y143" s="265"/>
      <c r="Z143" s="239">
        <f t="shared" ref="Z143" si="3428">($J143/30/8*1.5)*Y143</f>
        <v>0</v>
      </c>
      <c r="AA143" s="265"/>
      <c r="AB143" s="203">
        <f t="shared" ref="AB143" si="3429">($J143/30/8*2)*AA143</f>
        <v>0</v>
      </c>
      <c r="AC143" s="207"/>
      <c r="AD143" s="203">
        <f t="shared" ref="AD143" si="3430">(($J143/30/8)*1.5)*AC143</f>
        <v>0</v>
      </c>
      <c r="AE143" s="208"/>
      <c r="AF143" s="203">
        <f t="shared" ref="AF143" si="3431">(($J143/30/8)*2)*AE143</f>
        <v>0</v>
      </c>
      <c r="AG143" s="209"/>
      <c r="AH143" s="210">
        <f t="shared" ref="AH143" si="3432">(($J143/30/8)*1.5)*AG143</f>
        <v>0</v>
      </c>
      <c r="AI143" s="209"/>
      <c r="AJ143" s="210">
        <f t="shared" ref="AJ143" si="3433">(($J143/30/8)*2)*AI143</f>
        <v>0</v>
      </c>
      <c r="AK143" s="210"/>
      <c r="AL143" s="210">
        <f>(($J143/30/8)*1.5)*AK143</f>
        <v>0</v>
      </c>
      <c r="AM143" s="209"/>
      <c r="AN143" s="210">
        <f>(($J143/30/8)*2)*AM143</f>
        <v>0</v>
      </c>
      <c r="AO143" s="211"/>
      <c r="AP143" s="211"/>
      <c r="AQ143" s="211"/>
      <c r="AR143" s="211"/>
      <c r="AS143" s="211"/>
      <c r="AT143" s="211"/>
      <c r="AU143" s="211"/>
      <c r="AV143" s="211"/>
      <c r="AW143" s="211"/>
      <c r="AX143" s="211"/>
      <c r="AY143" s="202"/>
      <c r="AZ143" s="212"/>
      <c r="BA143" s="203">
        <f t="shared" ref="BA143" si="3434">((J143/30)*M143)*$N143</f>
        <v>800.45600000000013</v>
      </c>
      <c r="BB143" s="787">
        <f>((K143/30)*M143)*$N143</f>
        <v>60</v>
      </c>
      <c r="BC143" s="203">
        <f t="shared" ref="BC143" si="3435">U143</f>
        <v>0</v>
      </c>
      <c r="BD143" s="203">
        <f t="shared" ref="BD143" si="3436">V143</f>
        <v>0</v>
      </c>
      <c r="BE143" s="203">
        <f t="shared" ref="BE143" si="3437">W143</f>
        <v>0</v>
      </c>
      <c r="BF143" s="203">
        <f t="shared" ref="BF143" si="3438">X143</f>
        <v>0</v>
      </c>
      <c r="BG143" s="203">
        <f t="shared" ref="BG143" si="3439">AO143+AT143</f>
        <v>0</v>
      </c>
      <c r="BH143" s="203">
        <f t="shared" ref="BH143:BH144" si="3440">(BA143+BD143+BF143+BG143)*0.1267</f>
        <v>101.41777520000002</v>
      </c>
      <c r="BI143" s="203">
        <f t="shared" ref="BI143" si="3441">SUM(BA143:BH143)-BC143-BE143</f>
        <v>961.87377520000018</v>
      </c>
      <c r="BJ143" s="239">
        <f t="shared" ref="BJ143:BJ144" si="3442">(($J143/30)*$M143)*$O143</f>
        <v>2401.3679999999999</v>
      </c>
      <c r="BK143" s="239">
        <f>(($K143/30)*$M143)*$O143</f>
        <v>180</v>
      </c>
      <c r="BL143" s="203">
        <f t="shared" ref="BL143" si="3443">Y143</f>
        <v>0</v>
      </c>
      <c r="BM143" s="203">
        <f t="shared" ref="BM143" si="3444">Z143</f>
        <v>0</v>
      </c>
      <c r="BN143" s="203">
        <f t="shared" ref="BN143" si="3445">AA143</f>
        <v>0</v>
      </c>
      <c r="BO143" s="203">
        <f t="shared" ref="BO143" si="3446">AB143</f>
        <v>0</v>
      </c>
      <c r="BP143" s="203">
        <f t="shared" ref="BP143" si="3447">AP143+AU143</f>
        <v>0</v>
      </c>
      <c r="BQ143" s="203">
        <f t="shared" ref="BQ143:BQ144" si="3448">(+BJ143+BM143+BO143+BP143)*0.1267</f>
        <v>304.25332559999998</v>
      </c>
      <c r="BR143" s="202">
        <f t="shared" ref="BR143" si="3449">SUM(BJ143:BQ143)-BL143-BN143</f>
        <v>2885.6213256000001</v>
      </c>
      <c r="BS143" s="239">
        <f>(($J143/30)*$M143)*$P143</f>
        <v>800.45600000000013</v>
      </c>
      <c r="BT143" s="239">
        <f>(($K143/30)*$M143)*$P143</f>
        <v>60</v>
      </c>
      <c r="BU143" s="203">
        <f t="shared" ref="BU143" si="3450">AC143</f>
        <v>0</v>
      </c>
      <c r="BV143" s="203">
        <f t="shared" ref="BV143" si="3451">AD143</f>
        <v>0</v>
      </c>
      <c r="BW143" s="203">
        <f t="shared" ref="BW143" si="3452">AE143</f>
        <v>0</v>
      </c>
      <c r="BX143" s="203">
        <f t="shared" ref="BX143" si="3453">AF143</f>
        <v>0</v>
      </c>
      <c r="BY143" s="203">
        <f t="shared" ref="BY143" si="3454">AQ143+AV143</f>
        <v>0</v>
      </c>
      <c r="BZ143" s="203">
        <f t="shared" ref="BZ143:BZ144" si="3455">(BS143+BV143+BX143+BY143)*0.1267</f>
        <v>101.41777520000002</v>
      </c>
      <c r="CA143" s="203">
        <f t="shared" ref="CA143" si="3456">SUM(BS143:BZ143)-BU143-BW143</f>
        <v>961.87377520000018</v>
      </c>
      <c r="CB143" s="213">
        <f>(($J143/30)*$M143)*$Q143</f>
        <v>0</v>
      </c>
      <c r="CC143" s="214">
        <f>(($K143/30)*$M143)*$Q143</f>
        <v>0</v>
      </c>
      <c r="CD143" s="214">
        <f t="shared" ref="CD143:CG144" si="3457">AG143</f>
        <v>0</v>
      </c>
      <c r="CE143" s="214">
        <f t="shared" si="3457"/>
        <v>0</v>
      </c>
      <c r="CF143" s="214">
        <f t="shared" si="3457"/>
        <v>0</v>
      </c>
      <c r="CG143" s="214">
        <f t="shared" si="3457"/>
        <v>0</v>
      </c>
      <c r="CH143" s="214">
        <f>AR143+AW143</f>
        <v>0</v>
      </c>
      <c r="CI143" s="703">
        <f t="shared" ref="CI143:CI144" si="3458">(CB143+CE143+CG143+CH143)*0.1267</f>
        <v>0</v>
      </c>
      <c r="CJ143" s="214">
        <f>SUM(CB143:CI143)-CD143-CF143</f>
        <v>0</v>
      </c>
      <c r="CK143" s="214">
        <f>(($J143/30)*$M143)*R143</f>
        <v>0</v>
      </c>
      <c r="CL143" s="214">
        <f>(($K143/30)*$M143)*$R143</f>
        <v>0</v>
      </c>
      <c r="CM143" s="214">
        <f>+AK143</f>
        <v>0</v>
      </c>
      <c r="CN143" s="214">
        <f t="shared" ref="CN143:CP144" si="3459">AL143</f>
        <v>0</v>
      </c>
      <c r="CO143" s="214">
        <f t="shared" si="3459"/>
        <v>0</v>
      </c>
      <c r="CP143" s="214">
        <f t="shared" si="3459"/>
        <v>0</v>
      </c>
      <c r="CQ143" s="214">
        <f>AS143+AX143</f>
        <v>0</v>
      </c>
      <c r="CR143" s="214">
        <f>(CK143+CN143+CP143)*0.1267</f>
        <v>0</v>
      </c>
      <c r="CS143" s="215">
        <f>SUM(CK143:CR143)-CM143-CO143</f>
        <v>0</v>
      </c>
      <c r="CT143" s="216"/>
      <c r="CU143" s="201" t="s">
        <v>11</v>
      </c>
      <c r="CV143" s="203">
        <f t="shared" ref="CV143:CV144" si="3460">IF($CU143="PROQUIMA",$BA143+$BJ143+$BS143+$CB143+$CK143,0)</f>
        <v>0</v>
      </c>
      <c r="CW143" s="203">
        <f t="shared" ref="CW143:CW144" si="3461">IF($CU143="PROQUIMA",$BB143+$BK143+$BT143+$CC143+$CL143,0)</f>
        <v>0</v>
      </c>
      <c r="CX143" s="203">
        <f t="shared" ref="CX143:CX144" si="3462">IF($CU143="PROQUIMA",$BC143+$BL143+$BU143+$CD143+$CM143,0)</f>
        <v>0</v>
      </c>
      <c r="CY143" s="203">
        <f t="shared" ref="CY143:CY144" si="3463">IF($CU143="PROQUIMA",$BD143+$BM143+$BV143+$CE143+$CN143,0)</f>
        <v>0</v>
      </c>
      <c r="CZ143" s="203">
        <f t="shared" ref="CZ143:CZ144" si="3464">IF($CU143="PROQUIMA",$BE143+$BN143+$BW143+$CF143+$CO143,0)</f>
        <v>0</v>
      </c>
      <c r="DA143" s="203">
        <f t="shared" ref="DA143:DA144" si="3465">IF($CU143="PROQUIMA",$BF143+$BO143+$BX143+$CG143+$CP143,0)</f>
        <v>0</v>
      </c>
      <c r="DB143" s="203">
        <f t="shared" ref="DB143:DB144" si="3466">IF($CU143="PROQUIMA",$BG143+$BP143+$BY143+$CH143+$CQ143,0)</f>
        <v>0</v>
      </c>
      <c r="DC143" s="203">
        <f t="shared" ref="DC143" si="3467">IF($CU143="PROQUIMA",$BH143+$BQ143+$BZ143+$CI143+CR143,0)</f>
        <v>0</v>
      </c>
      <c r="DD143" s="203">
        <f t="shared" ref="DD143" si="3468">SUM(CV143:DC143)-CX143-CZ143</f>
        <v>0</v>
      </c>
      <c r="DE143" s="203">
        <f t="shared" ref="DE143:DE144" si="3469">IF($CU143="UNHESA",$BA143+$BJ143+$BS143+$CB143+$CK143,0)</f>
        <v>0</v>
      </c>
      <c r="DF143" s="203">
        <f t="shared" ref="DF143:DF144" si="3470">IF($CU143="UNHESA",$BB143+$BK143+$BT143+$CC143+$CL143,0)</f>
        <v>0</v>
      </c>
      <c r="DG143" s="239">
        <f t="shared" ref="DG143:DG144" si="3471">IF($CU143="UNHESA",$BC143+$BL143+$BU143+$CD143+$CM143,0)</f>
        <v>0</v>
      </c>
      <c r="DH143" s="239">
        <f t="shared" ref="DH143:DH144" si="3472">IF($CU143="UNHESA",$BD143+$BM143+$BV143+$CE143+$CN143,0)</f>
        <v>0</v>
      </c>
      <c r="DI143" s="239">
        <f t="shared" ref="DI143:DI144" si="3473">IF($CU143="UNHESA",$BE143+$BN143+$BW143+$CF143+$CO143,0)</f>
        <v>0</v>
      </c>
      <c r="DJ143" s="203">
        <f t="shared" ref="DJ143:DJ144" si="3474">IF($CU143="UNHESA",$BF143+$BO143+$BX143+$CG143+$CP143,0)</f>
        <v>0</v>
      </c>
      <c r="DK143" s="203">
        <f t="shared" ref="DK143:DK144" si="3475">IF($CU143="UNHESA",$BG143+$BP143+$BY143+$CH143+$CQ143,0)</f>
        <v>0</v>
      </c>
      <c r="DL143" s="203">
        <f t="shared" ref="DL143:DL144" si="3476">IF($CU143="UNHESA",$BH143+$BQ143+$BZ143+$CI143+$CR143,0)</f>
        <v>0</v>
      </c>
      <c r="DM143" s="203">
        <f t="shared" ref="DM143" si="3477">SUM(DE143:DL143)-DG143-DI143</f>
        <v>0</v>
      </c>
      <c r="DN143" s="210">
        <f t="shared" ref="DN143:DN144" si="3478">IF($CU143="UNHESA LIQUIDOS",$BA143+$BJ143+$BS143+$CB143+$CK143,0)</f>
        <v>0</v>
      </c>
      <c r="DO143" s="210">
        <f t="shared" ref="DO143:DO144" si="3479">IF($CU143="UNHESA LIQUIDOS",$BB143+$BK143+$BT143+$CC143+$CL143,0)</f>
        <v>0</v>
      </c>
      <c r="DP143" s="210">
        <f t="shared" ref="DP143:DP144" si="3480">IF($CU143="UNHESA LIQUIDOS",$BC143+$BL143+$BU143+$CD143+$CM143,0)</f>
        <v>0</v>
      </c>
      <c r="DQ143" s="210">
        <f t="shared" ref="DQ143:DQ144" si="3481">IF($CU143="UNHESA LIQUIDOS",$BD143+$BM143+$BV143+$CE143+$CN143,0)</f>
        <v>0</v>
      </c>
      <c r="DR143" s="210">
        <f t="shared" ref="DR143:DR144" si="3482">IF($CU143="UNHESA LIQUIDOS",$BE143+$BN143+$BW143+$CF143+$CO143,0)</f>
        <v>0</v>
      </c>
      <c r="DS143" s="210">
        <f t="shared" ref="DS143:DS144" si="3483">IF($CU143="UNHESA LIQUIDOS",$BF143+$BO143+$BX143+$CG143+$CP143,0)</f>
        <v>0</v>
      </c>
      <c r="DT143" s="210">
        <f t="shared" ref="DT143:DT144" si="3484">IF($CU143="UNHESA LIQUIDOS",$BG143+$BP143+$BY143+$CH143+$CQ143,0)</f>
        <v>0</v>
      </c>
      <c r="DU143" s="210">
        <f t="shared" ref="DU143:DU144" si="3485">IF($CU143="UNHESA LIQUIDOS",$BH143+$BQ143+$BZ143+$CI143+$CR143,0)</f>
        <v>0</v>
      </c>
      <c r="DV143" s="210">
        <f t="shared" ref="DV143" si="3486">SUM(DN143:DU143)-DP143-DR143</f>
        <v>0</v>
      </c>
      <c r="DW143" s="241">
        <f>IF($CU143="CLEARTEC",$BA143+$BJ143+$BS143+$CB143+$CK143,0)</f>
        <v>0</v>
      </c>
      <c r="DX143" s="241">
        <f t="shared" ref="DX143:ED144" si="3487">IF($CU143="CLEARTEC",$BA143+$BJ143+$BS143+$CB143+$CK143,0)</f>
        <v>0</v>
      </c>
      <c r="DY143" s="241">
        <f t="shared" si="3487"/>
        <v>0</v>
      </c>
      <c r="DZ143" s="241">
        <f t="shared" si="3487"/>
        <v>0</v>
      </c>
      <c r="EA143" s="241">
        <f t="shared" si="3487"/>
        <v>0</v>
      </c>
      <c r="EB143" s="241">
        <f t="shared" si="3487"/>
        <v>0</v>
      </c>
      <c r="EC143" s="241">
        <f t="shared" si="3487"/>
        <v>0</v>
      </c>
      <c r="ED143" s="241">
        <f t="shared" si="3487"/>
        <v>0</v>
      </c>
      <c r="EE143" s="242">
        <f t="shared" ref="EE143" si="3488">SUM(DW143:ED143)-DY143-EA143</f>
        <v>0</v>
      </c>
      <c r="EF143" s="203">
        <f t="shared" ref="EF143" si="3489">IF(CU143="ECONACIONAL",$BA143+$BJ143+$BS143+$CB143+$CK143)</f>
        <v>4002.28</v>
      </c>
      <c r="EG143" s="242">
        <f t="shared" ref="EG143:EG144" si="3490">IF($CU143="ECONACIONAL",$BB143+$BK143+$BT143+$CC143+$CL143,0)</f>
        <v>300</v>
      </c>
      <c r="EH143" s="203">
        <f t="shared" ref="EH143" si="3491">IF(CU143="ECONACIONAL",$BC143+$BL143+$BU143+$CD143+$CM143)</f>
        <v>0</v>
      </c>
      <c r="EI143" s="203">
        <f t="shared" ref="EI143" si="3492">IF(CU143="ECONACIONAL",$BD143+$DH143+$DQ143+$DZ143+BM143+BV143+CE143+CN143)</f>
        <v>0</v>
      </c>
      <c r="EJ143" s="242">
        <f t="shared" ref="EJ143:EJ144" si="3493">IF($CU143="CLEARTEC",$BE143+$BN143+$BW143+$CF143+$CO143,0)</f>
        <v>0</v>
      </c>
      <c r="EK143" s="203">
        <f t="shared" ref="EK143" si="3494">IF(CU143="ECONACIONAL",$BF143+$BO143+$BX143+$CG143+$CP143)</f>
        <v>0</v>
      </c>
      <c r="EL143" s="203">
        <f t="shared" ref="EL143" si="3495">IF(CU143="ECONACIONAL",$BG143+$BP143+$BY143+$CH143+$CQ143)</f>
        <v>0</v>
      </c>
      <c r="EM143" s="203">
        <f t="shared" ref="EM143" si="3496">IF(CU143="ECONACIONAL",BH143+BQ143+BZ143+CI143+CR143)</f>
        <v>507.08887600000003</v>
      </c>
      <c r="EN143" s="203">
        <f t="shared" ref="EN143" si="3497">SUM(EF143:EM143)-EH143-EJ143</f>
        <v>4809.3688760000005</v>
      </c>
      <c r="EO143" s="216"/>
      <c r="EP143" s="201"/>
      <c r="EQ143" s="201"/>
      <c r="ER143" s="201"/>
      <c r="ES143" s="201">
        <f>39.5+51</f>
        <v>90.5</v>
      </c>
      <c r="ET143" s="201"/>
      <c r="EU143" s="201"/>
      <c r="EV143" s="201"/>
      <c r="EW143" s="201"/>
      <c r="EX143" s="201"/>
      <c r="EY143" s="201">
        <f t="shared" ref="EY143:EY144" si="3498">+ET143+EU143+EV143</f>
        <v>0</v>
      </c>
      <c r="EZ143" s="216"/>
      <c r="FA143" s="207">
        <f t="shared" ref="FA143" si="3499">IF($M143&lt;=15,EP143/2,EP143)</f>
        <v>0</v>
      </c>
      <c r="FB143" s="207">
        <f t="shared" ref="FB143" si="3500">IF($M143&lt;=15,EQ143/2,EQ143)</f>
        <v>0</v>
      </c>
      <c r="FC143" s="207">
        <f t="shared" ref="FC143" si="3501">IF($M143&lt;=15,ER143/2,ER143)</f>
        <v>0</v>
      </c>
      <c r="FD143" s="207">
        <f t="shared" ref="FD143" si="3502">IF($M143&lt;=15,ES143/2,ES143)</f>
        <v>90.5</v>
      </c>
      <c r="FE143" s="207">
        <f t="shared" ref="FE143" si="3503">IF($M143&lt;=15,ET143/2,ET143)</f>
        <v>0</v>
      </c>
      <c r="FF143" s="207">
        <f t="shared" ref="FF143" si="3504">IF($M143&lt;=15,EU143/2,EU143)</f>
        <v>0</v>
      </c>
      <c r="FG143" s="207">
        <f>IF($M143&lt;=15,EV143/2,EV143)</f>
        <v>0</v>
      </c>
      <c r="FH143" s="207">
        <f t="shared" ref="FH143" si="3505">IF($M143&lt;=15,EW143/2,EW143)</f>
        <v>0</v>
      </c>
      <c r="FI143" s="207">
        <f t="shared" ref="FI143" si="3506">IF($M143&lt;=15,EX143/2,EX143)</f>
        <v>0</v>
      </c>
      <c r="FJ143" s="207">
        <f t="shared" ref="FJ143" si="3507">IF($M143&lt;=15,EY143/2,EY143)</f>
        <v>0</v>
      </c>
      <c r="FK143" s="800"/>
      <c r="FL143" s="800"/>
      <c r="FM143" s="800"/>
      <c r="FN143" s="800"/>
      <c r="FO143" s="800"/>
      <c r="FP143" s="800"/>
      <c r="FQ143" s="778"/>
      <c r="FR143" s="1178">
        <f t="shared" ref="FR143:FR144" si="3508">(((J143/30/8)*1.5)*(U143+Y143+AC143))-(BD143+BM143+BV143)</f>
        <v>0</v>
      </c>
      <c r="FS143" s="1178">
        <f t="shared" ref="FS143:FS144" si="3509">(((J143/30/8)*2)*(W143+AA143+AE143))-(BF143+BO143+BX143)</f>
        <v>0</v>
      </c>
      <c r="FT143" s="1179">
        <f t="shared" ref="FT143:FT144" si="3510">(SUM(BA143:CJ143))-(SUM(EF143:EN143))</f>
        <v>0</v>
      </c>
      <c r="FU143" s="1178">
        <f t="shared" ref="FU143:FU144" si="3511">(J143/30*M143)-(EF143)</f>
        <v>0</v>
      </c>
      <c r="FV143" s="1182">
        <f t="shared" ref="FV143:FV144" si="3512">(SUM(EP143:EY143))-((SUM(FA143:FJ143))*$FV$5)</f>
        <v>-90.5</v>
      </c>
    </row>
    <row r="144" spans="1:184" s="821" customFormat="1" ht="15.75" customHeight="1" outlineLevel="1">
      <c r="A144" s="1002"/>
      <c r="B144" s="1002"/>
      <c r="E144" s="235">
        <v>301060</v>
      </c>
      <c r="F144" s="235">
        <v>52</v>
      </c>
      <c r="G144" s="199" t="s">
        <v>719</v>
      </c>
      <c r="H144" s="200" t="s">
        <v>363</v>
      </c>
      <c r="I144" s="201" t="s">
        <v>11</v>
      </c>
      <c r="J144" s="203">
        <v>4002.28</v>
      </c>
      <c r="K144" s="202">
        <v>250</v>
      </c>
      <c r="L144" s="202">
        <f t="shared" si="3424"/>
        <v>4252.2800000000007</v>
      </c>
      <c r="M144" s="203">
        <v>30</v>
      </c>
      <c r="N144" s="820">
        <v>0.8</v>
      </c>
      <c r="O144" s="204">
        <v>0.1</v>
      </c>
      <c r="P144" s="204">
        <v>0.1</v>
      </c>
      <c r="Q144" s="204">
        <v>0</v>
      </c>
      <c r="R144" s="204">
        <v>0</v>
      </c>
      <c r="S144" s="204">
        <f t="shared" si="3425"/>
        <v>1</v>
      </c>
      <c r="T144" s="814"/>
      <c r="U144" s="206"/>
      <c r="V144" s="203">
        <f t="shared" ref="V144" si="3513">($J144/30/8*1.5)*U144</f>
        <v>0</v>
      </c>
      <c r="W144" s="265"/>
      <c r="X144" s="239">
        <f t="shared" ref="X144" si="3514">($J144/30/8*2)*W144</f>
        <v>0</v>
      </c>
      <c r="Y144" s="265"/>
      <c r="Z144" s="239">
        <f t="shared" ref="Z144" si="3515">($J144/30/8*1.5)*Y144</f>
        <v>0</v>
      </c>
      <c r="AA144" s="265"/>
      <c r="AB144" s="203">
        <f t="shared" ref="AB144" si="3516">($J144/30/8*2)*AA144</f>
        <v>0</v>
      </c>
      <c r="AC144" s="207"/>
      <c r="AD144" s="203">
        <f t="shared" ref="AD144" si="3517">(($J144/30/8)*1.5)*AC144</f>
        <v>0</v>
      </c>
      <c r="AE144" s="208"/>
      <c r="AF144" s="203">
        <f t="shared" ref="AF144" si="3518">(($J144/30/8)*2)*AE144</f>
        <v>0</v>
      </c>
      <c r="AG144" s="209"/>
      <c r="AH144" s="210">
        <f t="shared" ref="AH144" si="3519">(($J144/30/8)*1.5)*AG144</f>
        <v>0</v>
      </c>
      <c r="AI144" s="209"/>
      <c r="AJ144" s="210">
        <f t="shared" ref="AJ144" si="3520">(($J144/30/8)*2)*AI144</f>
        <v>0</v>
      </c>
      <c r="AK144" s="210"/>
      <c r="AL144" s="210">
        <f>(($J144/30/8)*1.5)*AK144</f>
        <v>0</v>
      </c>
      <c r="AM144" s="209"/>
      <c r="AN144" s="210">
        <f>(($J144/30/8)*2)*AM144</f>
        <v>0</v>
      </c>
      <c r="AO144" s="211"/>
      <c r="AP144" s="211"/>
      <c r="AQ144" s="211"/>
      <c r="AR144" s="211"/>
      <c r="AS144" s="211"/>
      <c r="AT144" s="211"/>
      <c r="AU144" s="211"/>
      <c r="AV144" s="211"/>
      <c r="AW144" s="211"/>
      <c r="AX144" s="211"/>
      <c r="AY144" s="202"/>
      <c r="AZ144" s="212"/>
      <c r="BA144" s="203">
        <f t="shared" ref="BA144" si="3521">((J144/30)*M144)*$N144</f>
        <v>3201.8240000000005</v>
      </c>
      <c r="BB144" s="787">
        <f>((K144/30)*M144)*$N144+450</f>
        <v>650</v>
      </c>
      <c r="BC144" s="203">
        <f t="shared" ref="BC144" si="3522">U144</f>
        <v>0</v>
      </c>
      <c r="BD144" s="203">
        <f t="shared" ref="BD144" si="3523">V144</f>
        <v>0</v>
      </c>
      <c r="BE144" s="203">
        <f t="shared" ref="BE144" si="3524">W144</f>
        <v>0</v>
      </c>
      <c r="BF144" s="203">
        <f t="shared" ref="BF144" si="3525">X144</f>
        <v>0</v>
      </c>
      <c r="BG144" s="203">
        <f t="shared" ref="BG144" si="3526">AO144+AT144</f>
        <v>0</v>
      </c>
      <c r="BH144" s="203">
        <f t="shared" si="3440"/>
        <v>405.67110080000009</v>
      </c>
      <c r="BI144" s="203">
        <f>SUM(BA144:BH144)-BC144-BE144</f>
        <v>4257.4951008000007</v>
      </c>
      <c r="BJ144" s="239">
        <f t="shared" si="3442"/>
        <v>400.22800000000007</v>
      </c>
      <c r="BK144" s="239">
        <f>(($K144/30)*$M144)*$O144+450</f>
        <v>475</v>
      </c>
      <c r="BL144" s="203">
        <f t="shared" ref="BL144" si="3527">Y144</f>
        <v>0</v>
      </c>
      <c r="BM144" s="203">
        <f t="shared" ref="BM144" si="3528">Z144</f>
        <v>0</v>
      </c>
      <c r="BN144" s="203">
        <f t="shared" ref="BN144" si="3529">AA144</f>
        <v>0</v>
      </c>
      <c r="BO144" s="203">
        <f t="shared" ref="BO144" si="3530">AB144</f>
        <v>0</v>
      </c>
      <c r="BP144" s="203">
        <f t="shared" ref="BP144" si="3531">AP144+AU144</f>
        <v>0</v>
      </c>
      <c r="BQ144" s="203">
        <f t="shared" si="3448"/>
        <v>50.708887600000011</v>
      </c>
      <c r="BR144" s="202">
        <f t="shared" ref="BR144" si="3532">SUM(BJ144:BQ144)-BL144-BN144</f>
        <v>925.93688760000009</v>
      </c>
      <c r="BS144" s="239">
        <f t="shared" ref="BS144" si="3533">(($J144/30)*$M144)*$P144</f>
        <v>400.22800000000007</v>
      </c>
      <c r="BT144" s="239">
        <f>(($K144/30)*$M144)*$P144</f>
        <v>25.000000000000004</v>
      </c>
      <c r="BU144" s="203">
        <f t="shared" ref="BU144" si="3534">AC144</f>
        <v>0</v>
      </c>
      <c r="BV144" s="203">
        <f t="shared" ref="BV144" si="3535">AD144</f>
        <v>0</v>
      </c>
      <c r="BW144" s="203">
        <f t="shared" ref="BW144" si="3536">AE144</f>
        <v>0</v>
      </c>
      <c r="BX144" s="203">
        <f t="shared" ref="BX144" si="3537">AF144</f>
        <v>0</v>
      </c>
      <c r="BY144" s="203">
        <f t="shared" ref="BY144" si="3538">AQ144+AV144</f>
        <v>0</v>
      </c>
      <c r="BZ144" s="203">
        <f t="shared" si="3455"/>
        <v>50.708887600000011</v>
      </c>
      <c r="CA144" s="203">
        <f t="shared" ref="CA144" si="3539">SUM(BS144:BZ144)-BU144-BW144</f>
        <v>475.93688760000009</v>
      </c>
      <c r="CB144" s="213">
        <f>(($J144/30)*$M144)*$Q144</f>
        <v>0</v>
      </c>
      <c r="CC144" s="214">
        <f>(($K144/30)*$M144)*$Q144</f>
        <v>0</v>
      </c>
      <c r="CD144" s="214">
        <f t="shared" si="3457"/>
        <v>0</v>
      </c>
      <c r="CE144" s="214">
        <f t="shared" si="3457"/>
        <v>0</v>
      </c>
      <c r="CF144" s="214">
        <f t="shared" si="3457"/>
        <v>0</v>
      </c>
      <c r="CG144" s="214">
        <f t="shared" si="3457"/>
        <v>0</v>
      </c>
      <c r="CH144" s="214">
        <f>AR144+AW144</f>
        <v>0</v>
      </c>
      <c r="CI144" s="703">
        <f t="shared" si="3458"/>
        <v>0</v>
      </c>
      <c r="CJ144" s="214">
        <f>SUM(CB144:CI144)-CD144-CF144</f>
        <v>0</v>
      </c>
      <c r="CK144" s="214">
        <f>(($J144/30)*$M144)*R144</f>
        <v>0</v>
      </c>
      <c r="CL144" s="214">
        <f>(($K144/30)*$M144)*$R144</f>
        <v>0</v>
      </c>
      <c r="CM144" s="214">
        <f>+AK144</f>
        <v>0</v>
      </c>
      <c r="CN144" s="214">
        <f t="shared" si="3459"/>
        <v>0</v>
      </c>
      <c r="CO144" s="214">
        <f t="shared" si="3459"/>
        <v>0</v>
      </c>
      <c r="CP144" s="214">
        <f t="shared" si="3459"/>
        <v>0</v>
      </c>
      <c r="CQ144" s="214">
        <f>AS144+AX144</f>
        <v>0</v>
      </c>
      <c r="CR144" s="214">
        <f>(CK144+CN144+CP144)*0.1267</f>
        <v>0</v>
      </c>
      <c r="CS144" s="215">
        <f>SUM(CK144:CR144)-CM144-CO144</f>
        <v>0</v>
      </c>
      <c r="CT144" s="216"/>
      <c r="CU144" s="201" t="s">
        <v>11</v>
      </c>
      <c r="CV144" s="203">
        <f t="shared" si="3460"/>
        <v>0</v>
      </c>
      <c r="CW144" s="203">
        <f t="shared" si="3461"/>
        <v>0</v>
      </c>
      <c r="CX144" s="203">
        <f t="shared" si="3462"/>
        <v>0</v>
      </c>
      <c r="CY144" s="203">
        <f t="shared" si="3463"/>
        <v>0</v>
      </c>
      <c r="CZ144" s="203">
        <f t="shared" si="3464"/>
        <v>0</v>
      </c>
      <c r="DA144" s="203">
        <f t="shared" si="3465"/>
        <v>0</v>
      </c>
      <c r="DB144" s="203">
        <f t="shared" si="3466"/>
        <v>0</v>
      </c>
      <c r="DC144" s="203">
        <f t="shared" ref="DC144" si="3540">IF($CU144="PROQUIMA",$BH144+$BQ144+$BZ144+$CI144+CR144,0)</f>
        <v>0</v>
      </c>
      <c r="DD144" s="203">
        <f t="shared" ref="DD144" si="3541">SUM(CV144:DC144)-CX144-CZ144</f>
        <v>0</v>
      </c>
      <c r="DE144" s="203">
        <f t="shared" si="3469"/>
        <v>0</v>
      </c>
      <c r="DF144" s="203">
        <f t="shared" si="3470"/>
        <v>0</v>
      </c>
      <c r="DG144" s="239">
        <f t="shared" si="3471"/>
        <v>0</v>
      </c>
      <c r="DH144" s="239">
        <f t="shared" si="3472"/>
        <v>0</v>
      </c>
      <c r="DI144" s="239">
        <f t="shared" si="3473"/>
        <v>0</v>
      </c>
      <c r="DJ144" s="203">
        <f t="shared" si="3474"/>
        <v>0</v>
      </c>
      <c r="DK144" s="203">
        <f t="shared" si="3475"/>
        <v>0</v>
      </c>
      <c r="DL144" s="203">
        <f t="shared" si="3476"/>
        <v>0</v>
      </c>
      <c r="DM144" s="203">
        <f t="shared" ref="DM144" si="3542">SUM(DE144:DL144)-DG144-DI144</f>
        <v>0</v>
      </c>
      <c r="DN144" s="210">
        <f t="shared" si="3478"/>
        <v>0</v>
      </c>
      <c r="DO144" s="210">
        <f t="shared" si="3479"/>
        <v>0</v>
      </c>
      <c r="DP144" s="210">
        <f t="shared" si="3480"/>
        <v>0</v>
      </c>
      <c r="DQ144" s="210">
        <f t="shared" si="3481"/>
        <v>0</v>
      </c>
      <c r="DR144" s="210">
        <f t="shared" si="3482"/>
        <v>0</v>
      </c>
      <c r="DS144" s="210">
        <f t="shared" si="3483"/>
        <v>0</v>
      </c>
      <c r="DT144" s="210">
        <f t="shared" si="3484"/>
        <v>0</v>
      </c>
      <c r="DU144" s="210">
        <f t="shared" si="3485"/>
        <v>0</v>
      </c>
      <c r="DV144" s="210">
        <f t="shared" ref="DV144" si="3543">SUM(DN144:DU144)-DP144-DR144</f>
        <v>0</v>
      </c>
      <c r="DW144" s="241">
        <f>IF($CU144="CLEARTEC",$BA144+$BJ144+$BS144+$CB144+$CK144,0)</f>
        <v>0</v>
      </c>
      <c r="DX144" s="241">
        <f t="shared" si="3487"/>
        <v>0</v>
      </c>
      <c r="DY144" s="241">
        <f t="shared" si="3487"/>
        <v>0</v>
      </c>
      <c r="DZ144" s="241">
        <f t="shared" si="3487"/>
        <v>0</v>
      </c>
      <c r="EA144" s="241">
        <f t="shared" si="3487"/>
        <v>0</v>
      </c>
      <c r="EB144" s="241">
        <f t="shared" si="3487"/>
        <v>0</v>
      </c>
      <c r="EC144" s="241">
        <f t="shared" si="3487"/>
        <v>0</v>
      </c>
      <c r="ED144" s="241">
        <f t="shared" si="3487"/>
        <v>0</v>
      </c>
      <c r="EE144" s="242">
        <f t="shared" ref="EE144" si="3544">SUM(DW144:ED144)-DY144-EA144</f>
        <v>0</v>
      </c>
      <c r="EF144" s="203">
        <f t="shared" ref="EF144" si="3545">IF(CU144="ECONACIONAL",$BA144+$BJ144+$BS144+$CB144+$CK144)</f>
        <v>4002.2800000000007</v>
      </c>
      <c r="EG144" s="242">
        <f t="shared" si="3490"/>
        <v>1150</v>
      </c>
      <c r="EH144" s="203">
        <f t="shared" ref="EH144" si="3546">IF(CU144="ECONACIONAL",$BC144+$BL144+$BU144+$CD144+$CM144)</f>
        <v>0</v>
      </c>
      <c r="EI144" s="203">
        <f t="shared" ref="EI144" si="3547">IF(CU144="ECONACIONAL",$BD144+$DH144+$DQ144+$DZ144+BM144+BV144+CE144+CN144)</f>
        <v>0</v>
      </c>
      <c r="EJ144" s="242">
        <f t="shared" si="3493"/>
        <v>0</v>
      </c>
      <c r="EK144" s="203">
        <f t="shared" ref="EK144" si="3548">IF(CU144="ECONACIONAL",$BF144+$BO144+$BX144+$CG144+$CP144)</f>
        <v>0</v>
      </c>
      <c r="EL144" s="203">
        <f t="shared" ref="EL144" si="3549">IF(CU144="ECONACIONAL",$BG144+$BP144+$BY144+$CH144+$CQ144)</f>
        <v>0</v>
      </c>
      <c r="EM144" s="203">
        <f t="shared" ref="EM144" si="3550">IF(CU144="ECONACIONAL",BH144+BQ144+BZ144+CI144+CR144)</f>
        <v>507.08887600000014</v>
      </c>
      <c r="EN144" s="203">
        <f t="shared" ref="EN144" si="3551">SUM(EF144:EM144)-EH144-EJ144</f>
        <v>5659.3688760000005</v>
      </c>
      <c r="EO144" s="216"/>
      <c r="EP144" s="201"/>
      <c r="EQ144" s="201"/>
      <c r="ER144" s="201"/>
      <c r="ES144" s="201"/>
      <c r="ET144" s="201"/>
      <c r="EU144" s="201"/>
      <c r="EV144" s="201"/>
      <c r="EW144" s="201"/>
      <c r="EX144" s="201"/>
      <c r="EY144" s="201">
        <f t="shared" si="3498"/>
        <v>0</v>
      </c>
      <c r="EZ144" s="216"/>
      <c r="FA144" s="207">
        <f t="shared" ref="FA144" si="3552">IF($M144&lt;=15,EP144/2,EP144)</f>
        <v>0</v>
      </c>
      <c r="FB144" s="207">
        <f t="shared" ref="FB144" si="3553">IF($M144&lt;=15,EQ144/2,EQ144)</f>
        <v>0</v>
      </c>
      <c r="FC144" s="207">
        <f t="shared" ref="FC144" si="3554">IF($M144&lt;=15,ER144/2,ER144)</f>
        <v>0</v>
      </c>
      <c r="FD144" s="207">
        <f t="shared" ref="FD144" si="3555">IF($M144&lt;=15,ES144/2,ES144)</f>
        <v>0</v>
      </c>
      <c r="FE144" s="207">
        <f t="shared" ref="FE144" si="3556">IF($M144&lt;=15,ET144/2,ET144)</f>
        <v>0</v>
      </c>
      <c r="FF144" s="207">
        <f t="shared" ref="FF144" si="3557">IF($M144&lt;=15,EU144/2,EU144)</f>
        <v>0</v>
      </c>
      <c r="FG144" s="207">
        <f>IF($M144&lt;=15,EV144/2,EV144)</f>
        <v>0</v>
      </c>
      <c r="FH144" s="207">
        <f t="shared" ref="FH144" si="3558">IF($M144&lt;=15,EW144/2,EW144)</f>
        <v>0</v>
      </c>
      <c r="FI144" s="207">
        <f t="shared" ref="FI144" si="3559">IF($M144&lt;=15,EX144/2,EX144)</f>
        <v>0</v>
      </c>
      <c r="FJ144" s="207">
        <f t="shared" ref="FJ144" si="3560">IF($M144&lt;=15,EY144/2,EY144)</f>
        <v>0</v>
      </c>
      <c r="FK144" s="800"/>
      <c r="FL144" s="800"/>
      <c r="FM144" s="800"/>
      <c r="FN144" s="800"/>
      <c r="FO144" s="800"/>
      <c r="FP144" s="800"/>
      <c r="FQ144" s="778"/>
      <c r="FR144" s="1178">
        <f t="shared" si="3508"/>
        <v>0</v>
      </c>
      <c r="FS144" s="1178">
        <f t="shared" si="3509"/>
        <v>0</v>
      </c>
      <c r="FT144" s="1179">
        <f t="shared" si="3510"/>
        <v>0</v>
      </c>
      <c r="FU144" s="1178">
        <f t="shared" si="3511"/>
        <v>0</v>
      </c>
      <c r="FV144" s="1182">
        <f t="shared" si="3512"/>
        <v>0</v>
      </c>
    </row>
    <row r="145" spans="1:175" s="821" customFormat="1" ht="15.75" customHeight="1" outlineLevel="1" thickBot="1">
      <c r="A145" s="1002"/>
      <c r="B145" s="1002"/>
      <c r="E145" s="235">
        <v>301060</v>
      </c>
      <c r="F145" s="235"/>
      <c r="G145" s="723"/>
      <c r="J145" s="868">
        <f>SUM(J143:J144)</f>
        <v>8004.56</v>
      </c>
      <c r="K145" s="868">
        <f t="shared" ref="K145:L145" si="3561">SUM(K143:K144)</f>
        <v>550</v>
      </c>
      <c r="L145" s="868">
        <f t="shared" si="3561"/>
        <v>8554.5600000000013</v>
      </c>
      <c r="M145" s="869"/>
      <c r="N145" s="870"/>
      <c r="O145" s="870"/>
      <c r="P145" s="870"/>
      <c r="Q145" s="870"/>
      <c r="R145" s="870"/>
      <c r="S145" s="870"/>
      <c r="T145" s="814"/>
      <c r="U145" s="868">
        <f t="shared" ref="U145:CF145" si="3562">SUM(U143:U144)</f>
        <v>0</v>
      </c>
      <c r="V145" s="868">
        <f t="shared" si="3562"/>
        <v>0</v>
      </c>
      <c r="W145" s="868">
        <f t="shared" si="3562"/>
        <v>0</v>
      </c>
      <c r="X145" s="868">
        <f t="shared" si="3562"/>
        <v>0</v>
      </c>
      <c r="Y145" s="868">
        <f t="shared" si="3562"/>
        <v>0</v>
      </c>
      <c r="Z145" s="868">
        <f t="shared" si="3562"/>
        <v>0</v>
      </c>
      <c r="AA145" s="868">
        <f t="shared" si="3562"/>
        <v>0</v>
      </c>
      <c r="AB145" s="868">
        <f t="shared" si="3562"/>
        <v>0</v>
      </c>
      <c r="AC145" s="868">
        <f t="shared" si="3562"/>
        <v>0</v>
      </c>
      <c r="AD145" s="868">
        <f t="shared" si="3562"/>
        <v>0</v>
      </c>
      <c r="AE145" s="868">
        <f t="shared" si="3562"/>
        <v>0</v>
      </c>
      <c r="AF145" s="868">
        <f t="shared" si="3562"/>
        <v>0</v>
      </c>
      <c r="AG145" s="868">
        <f t="shared" si="3562"/>
        <v>0</v>
      </c>
      <c r="AH145" s="868">
        <f t="shared" si="3562"/>
        <v>0</v>
      </c>
      <c r="AI145" s="868">
        <f t="shared" si="3562"/>
        <v>0</v>
      </c>
      <c r="AJ145" s="868">
        <f t="shared" si="3562"/>
        <v>0</v>
      </c>
      <c r="AK145" s="868">
        <f t="shared" si="3562"/>
        <v>0</v>
      </c>
      <c r="AL145" s="868">
        <f t="shared" si="3562"/>
        <v>0</v>
      </c>
      <c r="AM145" s="868">
        <f t="shared" si="3562"/>
        <v>0</v>
      </c>
      <c r="AN145" s="868">
        <f t="shared" si="3562"/>
        <v>0</v>
      </c>
      <c r="AO145" s="868">
        <f t="shared" si="3562"/>
        <v>0</v>
      </c>
      <c r="AP145" s="868">
        <f t="shared" si="3562"/>
        <v>0</v>
      </c>
      <c r="AQ145" s="868">
        <f t="shared" si="3562"/>
        <v>0</v>
      </c>
      <c r="AR145" s="868">
        <f t="shared" si="3562"/>
        <v>0</v>
      </c>
      <c r="AS145" s="868">
        <f t="shared" si="3562"/>
        <v>0</v>
      </c>
      <c r="AT145" s="868">
        <f t="shared" si="3562"/>
        <v>0</v>
      </c>
      <c r="AU145" s="868">
        <f t="shared" si="3562"/>
        <v>0</v>
      </c>
      <c r="AV145" s="868">
        <f t="shared" si="3562"/>
        <v>0</v>
      </c>
      <c r="AW145" s="868">
        <f t="shared" si="3562"/>
        <v>0</v>
      </c>
      <c r="AX145" s="868">
        <f t="shared" si="3562"/>
        <v>0</v>
      </c>
      <c r="AY145" s="868">
        <f t="shared" si="3562"/>
        <v>0</v>
      </c>
      <c r="AZ145" s="868">
        <f t="shared" si="3562"/>
        <v>0</v>
      </c>
      <c r="BA145" s="868">
        <f>SUM(BA143:BA144)</f>
        <v>4002.2800000000007</v>
      </c>
      <c r="BB145" s="868">
        <f t="shared" si="3562"/>
        <v>710</v>
      </c>
      <c r="BC145" s="868">
        <f t="shared" si="3562"/>
        <v>0</v>
      </c>
      <c r="BD145" s="868">
        <f t="shared" si="3562"/>
        <v>0</v>
      </c>
      <c r="BE145" s="868">
        <f t="shared" si="3562"/>
        <v>0</v>
      </c>
      <c r="BF145" s="868">
        <f t="shared" si="3562"/>
        <v>0</v>
      </c>
      <c r="BG145" s="868">
        <f t="shared" si="3562"/>
        <v>0</v>
      </c>
      <c r="BH145" s="868">
        <f t="shared" si="3562"/>
        <v>507.08887600000014</v>
      </c>
      <c r="BI145" s="868">
        <f t="shared" si="3562"/>
        <v>5219.3688760000005</v>
      </c>
      <c r="BJ145" s="868">
        <f t="shared" si="3562"/>
        <v>2801.596</v>
      </c>
      <c r="BK145" s="868">
        <f t="shared" si="3562"/>
        <v>655</v>
      </c>
      <c r="BL145" s="868">
        <f t="shared" si="3562"/>
        <v>0</v>
      </c>
      <c r="BM145" s="868">
        <f t="shared" si="3562"/>
        <v>0</v>
      </c>
      <c r="BN145" s="868">
        <f t="shared" si="3562"/>
        <v>0</v>
      </c>
      <c r="BO145" s="868">
        <f t="shared" si="3562"/>
        <v>0</v>
      </c>
      <c r="BP145" s="868">
        <f t="shared" si="3562"/>
        <v>0</v>
      </c>
      <c r="BQ145" s="868">
        <f t="shared" si="3562"/>
        <v>354.96221320000001</v>
      </c>
      <c r="BR145" s="868">
        <f t="shared" si="3562"/>
        <v>3811.5582132</v>
      </c>
      <c r="BS145" s="868">
        <f t="shared" si="3562"/>
        <v>1200.6840000000002</v>
      </c>
      <c r="BT145" s="868">
        <f t="shared" si="3562"/>
        <v>85</v>
      </c>
      <c r="BU145" s="868">
        <f t="shared" si="3562"/>
        <v>0</v>
      </c>
      <c r="BV145" s="868">
        <f t="shared" si="3562"/>
        <v>0</v>
      </c>
      <c r="BW145" s="868">
        <f t="shared" si="3562"/>
        <v>0</v>
      </c>
      <c r="BX145" s="868">
        <f t="shared" si="3562"/>
        <v>0</v>
      </c>
      <c r="BY145" s="868">
        <f t="shared" si="3562"/>
        <v>0</v>
      </c>
      <c r="BZ145" s="868">
        <f t="shared" si="3562"/>
        <v>152.12666280000002</v>
      </c>
      <c r="CA145" s="868">
        <f t="shared" si="3562"/>
        <v>1437.8106628000003</v>
      </c>
      <c r="CB145" s="868">
        <f t="shared" si="3562"/>
        <v>0</v>
      </c>
      <c r="CC145" s="868">
        <f t="shared" si="3562"/>
        <v>0</v>
      </c>
      <c r="CD145" s="868">
        <f t="shared" si="3562"/>
        <v>0</v>
      </c>
      <c r="CE145" s="868">
        <f t="shared" si="3562"/>
        <v>0</v>
      </c>
      <c r="CF145" s="868">
        <f t="shared" si="3562"/>
        <v>0</v>
      </c>
      <c r="CG145" s="868">
        <f t="shared" ref="CG145:ER145" si="3563">SUM(CG143:CG144)</f>
        <v>0</v>
      </c>
      <c r="CH145" s="868">
        <f t="shared" si="3563"/>
        <v>0</v>
      </c>
      <c r="CI145" s="868">
        <f t="shared" si="3563"/>
        <v>0</v>
      </c>
      <c r="CJ145" s="868">
        <f t="shared" si="3563"/>
        <v>0</v>
      </c>
      <c r="CK145" s="868">
        <f t="shared" si="3563"/>
        <v>0</v>
      </c>
      <c r="CL145" s="868">
        <f t="shared" si="3563"/>
        <v>0</v>
      </c>
      <c r="CM145" s="868">
        <f t="shared" si="3563"/>
        <v>0</v>
      </c>
      <c r="CN145" s="868">
        <f t="shared" si="3563"/>
        <v>0</v>
      </c>
      <c r="CO145" s="868">
        <f t="shared" si="3563"/>
        <v>0</v>
      </c>
      <c r="CP145" s="868">
        <f t="shared" si="3563"/>
        <v>0</v>
      </c>
      <c r="CQ145" s="868">
        <f t="shared" si="3563"/>
        <v>0</v>
      </c>
      <c r="CR145" s="868">
        <f t="shared" si="3563"/>
        <v>0</v>
      </c>
      <c r="CS145" s="868">
        <f t="shared" si="3563"/>
        <v>0</v>
      </c>
      <c r="CT145" s="868">
        <f t="shared" si="3563"/>
        <v>0</v>
      </c>
      <c r="CU145" s="868">
        <f t="shared" si="3563"/>
        <v>0</v>
      </c>
      <c r="CV145" s="868">
        <f t="shared" si="3563"/>
        <v>0</v>
      </c>
      <c r="CW145" s="868">
        <f t="shared" si="3563"/>
        <v>0</v>
      </c>
      <c r="CX145" s="868">
        <f t="shared" si="3563"/>
        <v>0</v>
      </c>
      <c r="CY145" s="868">
        <f t="shared" si="3563"/>
        <v>0</v>
      </c>
      <c r="CZ145" s="868">
        <f t="shared" si="3563"/>
        <v>0</v>
      </c>
      <c r="DA145" s="868">
        <f t="shared" si="3563"/>
        <v>0</v>
      </c>
      <c r="DB145" s="868">
        <f t="shared" si="3563"/>
        <v>0</v>
      </c>
      <c r="DC145" s="868">
        <f t="shared" si="3563"/>
        <v>0</v>
      </c>
      <c r="DD145" s="868">
        <f t="shared" si="3563"/>
        <v>0</v>
      </c>
      <c r="DE145" s="868">
        <f t="shared" si="3563"/>
        <v>0</v>
      </c>
      <c r="DF145" s="868">
        <f t="shared" si="3563"/>
        <v>0</v>
      </c>
      <c r="DG145" s="868">
        <f t="shared" si="3563"/>
        <v>0</v>
      </c>
      <c r="DH145" s="868">
        <f t="shared" si="3563"/>
        <v>0</v>
      </c>
      <c r="DI145" s="868">
        <f t="shared" si="3563"/>
        <v>0</v>
      </c>
      <c r="DJ145" s="868">
        <f t="shared" si="3563"/>
        <v>0</v>
      </c>
      <c r="DK145" s="868">
        <f t="shared" si="3563"/>
        <v>0</v>
      </c>
      <c r="DL145" s="868">
        <f t="shared" si="3563"/>
        <v>0</v>
      </c>
      <c r="DM145" s="868">
        <f t="shared" si="3563"/>
        <v>0</v>
      </c>
      <c r="DN145" s="868">
        <f t="shared" si="3563"/>
        <v>0</v>
      </c>
      <c r="DO145" s="868">
        <f t="shared" si="3563"/>
        <v>0</v>
      </c>
      <c r="DP145" s="868">
        <f t="shared" si="3563"/>
        <v>0</v>
      </c>
      <c r="DQ145" s="868">
        <f t="shared" si="3563"/>
        <v>0</v>
      </c>
      <c r="DR145" s="868">
        <f t="shared" si="3563"/>
        <v>0</v>
      </c>
      <c r="DS145" s="868">
        <f t="shared" si="3563"/>
        <v>0</v>
      </c>
      <c r="DT145" s="868">
        <f t="shared" si="3563"/>
        <v>0</v>
      </c>
      <c r="DU145" s="868">
        <f t="shared" si="3563"/>
        <v>0</v>
      </c>
      <c r="DV145" s="868">
        <f t="shared" si="3563"/>
        <v>0</v>
      </c>
      <c r="DW145" s="868">
        <f t="shared" si="3563"/>
        <v>0</v>
      </c>
      <c r="DX145" s="868">
        <f t="shared" si="3563"/>
        <v>0</v>
      </c>
      <c r="DY145" s="868">
        <f t="shared" si="3563"/>
        <v>0</v>
      </c>
      <c r="DZ145" s="868">
        <f t="shared" si="3563"/>
        <v>0</v>
      </c>
      <c r="EA145" s="868">
        <f t="shared" si="3563"/>
        <v>0</v>
      </c>
      <c r="EB145" s="868">
        <f t="shared" si="3563"/>
        <v>0</v>
      </c>
      <c r="EC145" s="868">
        <f t="shared" si="3563"/>
        <v>0</v>
      </c>
      <c r="ED145" s="868">
        <f t="shared" si="3563"/>
        <v>0</v>
      </c>
      <c r="EE145" s="868">
        <f t="shared" si="3563"/>
        <v>0</v>
      </c>
      <c r="EF145" s="868">
        <f>SUM(EF143:EF144)</f>
        <v>8004.5600000000013</v>
      </c>
      <c r="EG145" s="868">
        <f t="shared" si="3563"/>
        <v>1450</v>
      </c>
      <c r="EH145" s="868">
        <f t="shared" si="3563"/>
        <v>0</v>
      </c>
      <c r="EI145" s="868">
        <f t="shared" si="3563"/>
        <v>0</v>
      </c>
      <c r="EJ145" s="868">
        <f t="shared" si="3563"/>
        <v>0</v>
      </c>
      <c r="EK145" s="868">
        <f t="shared" si="3563"/>
        <v>0</v>
      </c>
      <c r="EL145" s="868">
        <f t="shared" si="3563"/>
        <v>0</v>
      </c>
      <c r="EM145" s="868">
        <f t="shared" si="3563"/>
        <v>1014.1777520000002</v>
      </c>
      <c r="EN145" s="868">
        <f t="shared" si="3563"/>
        <v>10468.737752000001</v>
      </c>
      <c r="EO145" s="868"/>
      <c r="EP145" s="868">
        <f t="shared" si="3563"/>
        <v>0</v>
      </c>
      <c r="EQ145" s="868">
        <f t="shared" si="3563"/>
        <v>0</v>
      </c>
      <c r="ER145" s="868">
        <f t="shared" si="3563"/>
        <v>0</v>
      </c>
      <c r="ES145" s="868">
        <f t="shared" ref="ES145:FJ145" si="3564">SUM(ES143:ES144)</f>
        <v>90.5</v>
      </c>
      <c r="ET145" s="868">
        <f t="shared" si="3564"/>
        <v>0</v>
      </c>
      <c r="EU145" s="868">
        <f t="shared" si="3564"/>
        <v>0</v>
      </c>
      <c r="EV145" s="868">
        <f t="shared" si="3564"/>
        <v>0</v>
      </c>
      <c r="EW145" s="868">
        <f t="shared" si="3564"/>
        <v>0</v>
      </c>
      <c r="EX145" s="868">
        <f t="shared" si="3564"/>
        <v>0</v>
      </c>
      <c r="EY145" s="868">
        <f t="shared" si="3564"/>
        <v>0</v>
      </c>
      <c r="EZ145" s="868"/>
      <c r="FA145" s="868">
        <f t="shared" si="3564"/>
        <v>0</v>
      </c>
      <c r="FB145" s="868">
        <f t="shared" si="3564"/>
        <v>0</v>
      </c>
      <c r="FC145" s="868">
        <f t="shared" si="3564"/>
        <v>0</v>
      </c>
      <c r="FD145" s="868">
        <f t="shared" si="3564"/>
        <v>90.5</v>
      </c>
      <c r="FE145" s="868">
        <f t="shared" si="3564"/>
        <v>0</v>
      </c>
      <c r="FF145" s="868">
        <f t="shared" si="3564"/>
        <v>0</v>
      </c>
      <c r="FG145" s="868">
        <f t="shared" si="3564"/>
        <v>0</v>
      </c>
      <c r="FH145" s="868">
        <f t="shared" si="3564"/>
        <v>0</v>
      </c>
      <c r="FI145" s="868">
        <f t="shared" si="3564"/>
        <v>0</v>
      </c>
      <c r="FJ145" s="868">
        <f t="shared" si="3564"/>
        <v>0</v>
      </c>
      <c r="FK145" s="800"/>
      <c r="FL145" s="800"/>
      <c r="FM145" s="800"/>
      <c r="FN145" s="800"/>
      <c r="FO145" s="800"/>
      <c r="FP145" s="800"/>
      <c r="FQ145" s="778"/>
    </row>
    <row r="146" spans="1:175" s="821" customFormat="1" ht="15.75" customHeight="1" outlineLevel="1" thickTop="1">
      <c r="A146" s="1002"/>
      <c r="B146" s="1002"/>
      <c r="F146" s="235"/>
      <c r="G146" s="723"/>
      <c r="J146" s="869"/>
      <c r="K146" s="869"/>
      <c r="L146" s="869"/>
      <c r="M146" s="869"/>
      <c r="N146" s="870"/>
      <c r="O146" s="870"/>
      <c r="P146" s="870"/>
      <c r="Q146" s="870"/>
      <c r="R146" s="870"/>
      <c r="S146" s="870"/>
      <c r="T146" s="814"/>
      <c r="U146" s="869"/>
      <c r="V146" s="869"/>
      <c r="W146" s="869"/>
      <c r="X146" s="869"/>
      <c r="Y146" s="869"/>
      <c r="Z146" s="869"/>
      <c r="AA146" s="869"/>
      <c r="AB146" s="869"/>
      <c r="AC146" s="869"/>
      <c r="AD146" s="869"/>
      <c r="AE146" s="869"/>
      <c r="AF146" s="869"/>
      <c r="AG146" s="869"/>
      <c r="AH146" s="869"/>
      <c r="AI146" s="869"/>
      <c r="AJ146" s="869"/>
      <c r="AK146" s="869"/>
      <c r="AL146" s="869"/>
      <c r="AM146" s="869"/>
      <c r="AN146" s="869"/>
      <c r="AO146" s="869"/>
      <c r="AP146" s="869"/>
      <c r="AQ146" s="869"/>
      <c r="AR146" s="869"/>
      <c r="AS146" s="869"/>
      <c r="AT146" s="869"/>
      <c r="AU146" s="869"/>
      <c r="AV146" s="869"/>
      <c r="AW146" s="869"/>
      <c r="AX146" s="869"/>
      <c r="AY146" s="869"/>
      <c r="AZ146" s="869"/>
      <c r="BA146" s="978"/>
      <c r="BB146" s="869"/>
      <c r="BC146" s="869"/>
      <c r="BD146" s="869"/>
      <c r="BE146" s="869"/>
      <c r="BF146" s="869"/>
      <c r="BG146" s="869"/>
      <c r="BH146" s="869"/>
      <c r="BI146" s="869"/>
      <c r="BJ146" s="869"/>
      <c r="BK146" s="869"/>
      <c r="BL146" s="869"/>
      <c r="BM146" s="869"/>
      <c r="BN146" s="869"/>
      <c r="BO146" s="869"/>
      <c r="BP146" s="869"/>
      <c r="BQ146" s="869"/>
      <c r="BR146" s="869"/>
      <c r="BS146" s="869"/>
      <c r="BT146" s="869"/>
      <c r="BU146" s="869"/>
      <c r="BV146" s="869"/>
      <c r="BW146" s="869"/>
      <c r="BX146" s="869"/>
      <c r="BY146" s="869"/>
      <c r="BZ146" s="869"/>
      <c r="CA146" s="869"/>
      <c r="CB146" s="869"/>
      <c r="CC146" s="869"/>
      <c r="CD146" s="869"/>
      <c r="CE146" s="869"/>
      <c r="CF146" s="869"/>
      <c r="CG146" s="869"/>
      <c r="CH146" s="869"/>
      <c r="CI146" s="869"/>
      <c r="CJ146" s="869"/>
      <c r="CK146" s="869"/>
      <c r="CL146" s="869"/>
      <c r="CM146" s="869"/>
      <c r="CN146" s="869"/>
      <c r="CO146" s="869"/>
      <c r="CP146" s="869"/>
      <c r="CQ146" s="869"/>
      <c r="CR146" s="869"/>
      <c r="CS146" s="869"/>
      <c r="CT146" s="869"/>
      <c r="CU146" s="869"/>
      <c r="CV146" s="869"/>
      <c r="CW146" s="869"/>
      <c r="CX146" s="869"/>
      <c r="CY146" s="869"/>
      <c r="CZ146" s="869"/>
      <c r="DA146" s="869"/>
      <c r="DB146" s="869"/>
      <c r="DC146" s="869"/>
      <c r="DD146" s="869"/>
      <c r="DE146" s="869"/>
      <c r="DF146" s="869"/>
      <c r="DG146" s="869"/>
      <c r="DH146" s="869"/>
      <c r="DI146" s="869"/>
      <c r="DJ146" s="869"/>
      <c r="DK146" s="869"/>
      <c r="DL146" s="869"/>
      <c r="DM146" s="869"/>
      <c r="DN146" s="869"/>
      <c r="DO146" s="869"/>
      <c r="DP146" s="869"/>
      <c r="DQ146" s="869"/>
      <c r="DR146" s="869"/>
      <c r="DS146" s="869"/>
      <c r="DT146" s="869"/>
      <c r="DU146" s="869"/>
      <c r="DV146" s="869"/>
      <c r="DW146" s="869"/>
      <c r="DX146" s="869"/>
      <c r="DY146" s="869"/>
      <c r="DZ146" s="869"/>
      <c r="EA146" s="869"/>
      <c r="EB146" s="869"/>
      <c r="EC146" s="869"/>
      <c r="ED146" s="869"/>
      <c r="EE146" s="869"/>
      <c r="EF146" s="869"/>
      <c r="EG146" s="869"/>
      <c r="EH146" s="869"/>
      <c r="EI146" s="869"/>
      <c r="EJ146" s="869"/>
      <c r="EK146" s="869"/>
      <c r="EL146" s="869"/>
      <c r="EM146" s="869"/>
      <c r="EN146" s="869"/>
      <c r="EO146" s="869"/>
      <c r="EP146" s="869"/>
      <c r="EQ146" s="869"/>
      <c r="ER146" s="869"/>
      <c r="ES146" s="869"/>
      <c r="ET146" s="869"/>
      <c r="EU146" s="869"/>
      <c r="EV146" s="869"/>
      <c r="EW146" s="869"/>
      <c r="EX146" s="869"/>
      <c r="EY146" s="869"/>
      <c r="EZ146" s="869"/>
      <c r="FA146" s="869"/>
      <c r="FB146" s="869"/>
      <c r="FC146" s="869"/>
      <c r="FD146" s="869"/>
      <c r="FE146" s="869"/>
      <c r="FF146" s="869"/>
      <c r="FG146" s="869"/>
      <c r="FH146" s="869"/>
      <c r="FI146" s="869"/>
      <c r="FJ146" s="869"/>
      <c r="FK146" s="800"/>
      <c r="FL146" s="800"/>
      <c r="FM146" s="800"/>
      <c r="FN146" s="800"/>
      <c r="FO146" s="800"/>
      <c r="FP146" s="800"/>
      <c r="FQ146" s="778"/>
    </row>
    <row r="147" spans="1:175" s="821" customFormat="1" ht="15.75" customHeight="1" outlineLevel="1">
      <c r="A147" s="1002"/>
      <c r="B147" s="1002"/>
      <c r="F147" s="235"/>
      <c r="G147" s="723"/>
      <c r="J147" s="869"/>
      <c r="K147" s="869"/>
      <c r="L147" s="869"/>
      <c r="M147" s="869"/>
      <c r="N147" s="870"/>
      <c r="O147" s="870"/>
      <c r="P147" s="870"/>
      <c r="Q147" s="870"/>
      <c r="R147" s="870"/>
      <c r="S147" s="870"/>
      <c r="T147" s="814"/>
      <c r="U147" s="869"/>
      <c r="V147" s="869"/>
      <c r="W147" s="869"/>
      <c r="X147" s="869"/>
      <c r="Y147" s="869"/>
      <c r="Z147" s="869"/>
      <c r="AA147" s="869"/>
      <c r="AB147" s="869"/>
      <c r="AC147" s="869"/>
      <c r="AD147" s="869"/>
      <c r="AE147" s="869"/>
      <c r="AF147" s="869"/>
      <c r="AG147" s="869"/>
      <c r="AH147" s="869"/>
      <c r="AI147" s="869"/>
      <c r="AJ147" s="869"/>
      <c r="AK147" s="869"/>
      <c r="AL147" s="869"/>
      <c r="AM147" s="869"/>
      <c r="AN147" s="869"/>
      <c r="AO147" s="869"/>
      <c r="AP147" s="869"/>
      <c r="AQ147" s="869"/>
      <c r="AR147" s="869"/>
      <c r="AS147" s="869"/>
      <c r="AT147" s="869"/>
      <c r="AU147" s="869"/>
      <c r="AV147" s="869"/>
      <c r="AW147" s="869"/>
      <c r="AX147" s="869"/>
      <c r="AY147" s="869"/>
      <c r="AZ147" s="869"/>
      <c r="BA147" s="978"/>
      <c r="BB147" s="869"/>
      <c r="BC147" s="869"/>
      <c r="BD147" s="869"/>
      <c r="BE147" s="869"/>
      <c r="BF147" s="869"/>
      <c r="BG147" s="869"/>
      <c r="BH147" s="869"/>
      <c r="BI147" s="869"/>
      <c r="BJ147" s="869"/>
      <c r="BK147" s="869"/>
      <c r="BL147" s="869"/>
      <c r="BM147" s="869"/>
      <c r="BN147" s="869"/>
      <c r="BO147" s="869"/>
      <c r="BP147" s="869"/>
      <c r="BQ147" s="869"/>
      <c r="BR147" s="869"/>
      <c r="BS147" s="869"/>
      <c r="BT147" s="869"/>
      <c r="BU147" s="869"/>
      <c r="BV147" s="869"/>
      <c r="BW147" s="869"/>
      <c r="BX147" s="869"/>
      <c r="BY147" s="869"/>
      <c r="BZ147" s="869"/>
      <c r="CA147" s="869"/>
      <c r="CB147" s="869"/>
      <c r="CC147" s="869"/>
      <c r="CD147" s="869"/>
      <c r="CE147" s="869"/>
      <c r="CF147" s="869"/>
      <c r="CG147" s="869"/>
      <c r="CH147" s="869"/>
      <c r="CI147" s="869"/>
      <c r="CJ147" s="869"/>
      <c r="CK147" s="869"/>
      <c r="CL147" s="869"/>
      <c r="CM147" s="869"/>
      <c r="CN147" s="869"/>
      <c r="CO147" s="869"/>
      <c r="CP147" s="869"/>
      <c r="CQ147" s="869"/>
      <c r="CR147" s="869"/>
      <c r="CS147" s="869"/>
      <c r="CT147" s="869"/>
      <c r="CU147" s="869"/>
      <c r="CV147" s="869"/>
      <c r="CW147" s="869"/>
      <c r="CX147" s="869"/>
      <c r="CY147" s="869"/>
      <c r="CZ147" s="869"/>
      <c r="DA147" s="869"/>
      <c r="DB147" s="869"/>
      <c r="DC147" s="869"/>
      <c r="DD147" s="869"/>
      <c r="DE147" s="869"/>
      <c r="DF147" s="869"/>
      <c r="DG147" s="869"/>
      <c r="DH147" s="869"/>
      <c r="DI147" s="869"/>
      <c r="DJ147" s="869"/>
      <c r="DK147" s="869"/>
      <c r="DL147" s="869"/>
      <c r="DM147" s="869"/>
      <c r="DN147" s="869"/>
      <c r="DO147" s="869"/>
      <c r="DP147" s="869"/>
      <c r="DQ147" s="869"/>
      <c r="DR147" s="869"/>
      <c r="DS147" s="869"/>
      <c r="DT147" s="869"/>
      <c r="DU147" s="869"/>
      <c r="DV147" s="869"/>
      <c r="DW147" s="869"/>
      <c r="DX147" s="869"/>
      <c r="DY147" s="869"/>
      <c r="DZ147" s="869"/>
      <c r="EA147" s="869"/>
      <c r="EB147" s="869"/>
      <c r="EC147" s="869"/>
      <c r="ED147" s="869"/>
      <c r="EE147" s="869"/>
      <c r="EF147" s="869"/>
      <c r="EG147" s="869"/>
      <c r="EH147" s="869"/>
      <c r="EI147" s="869"/>
      <c r="EJ147" s="869"/>
      <c r="EK147" s="869"/>
      <c r="EL147" s="869"/>
      <c r="EM147" s="869"/>
      <c r="EN147" s="869"/>
      <c r="EO147" s="869"/>
      <c r="EP147" s="869"/>
      <c r="EQ147" s="869"/>
      <c r="ER147" s="869"/>
      <c r="ES147" s="869"/>
      <c r="ET147" s="869"/>
      <c r="EU147" s="869"/>
      <c r="EV147" s="869"/>
      <c r="EW147" s="869"/>
      <c r="EX147" s="869"/>
      <c r="EY147" s="869"/>
      <c r="EZ147" s="869"/>
      <c r="FA147" s="869"/>
      <c r="FB147" s="869"/>
      <c r="FC147" s="869"/>
      <c r="FD147" s="869"/>
      <c r="FE147" s="869"/>
      <c r="FF147" s="869"/>
      <c r="FG147" s="869"/>
      <c r="FH147" s="869"/>
      <c r="FI147" s="869"/>
      <c r="FJ147" s="869"/>
      <c r="FK147" s="800"/>
      <c r="FL147" s="800"/>
      <c r="FM147" s="800"/>
      <c r="FN147" s="800"/>
      <c r="FO147" s="800"/>
      <c r="FP147" s="800"/>
      <c r="FQ147" s="778"/>
    </row>
    <row r="148" spans="1:175" s="821" customFormat="1" ht="15.75" customHeight="1" outlineLevel="1" thickBot="1">
      <c r="A148" s="1002"/>
      <c r="B148" s="1002"/>
      <c r="F148" s="235"/>
      <c r="G148" s="723"/>
      <c r="H148" s="821" t="s">
        <v>171</v>
      </c>
      <c r="J148" s="868">
        <f>+J19+J26+J32+J38+J58+J79+J101+J114+J126+J135+J139+J145</f>
        <v>252757.66</v>
      </c>
      <c r="K148" s="868">
        <f>+K19+K26+K32+K38+K58+K79+K101+K114+K126+K135+K139+K145</f>
        <v>64819.89</v>
      </c>
      <c r="L148" s="868">
        <f>+L19+L26+L32+L38+L58+L79+L101+L114+L126+L135+L139+L145</f>
        <v>317577.55</v>
      </c>
      <c r="M148" s="869"/>
      <c r="N148" s="870"/>
      <c r="O148" s="870"/>
      <c r="P148" s="870"/>
      <c r="Q148" s="870"/>
      <c r="R148" s="870"/>
      <c r="S148" s="870"/>
      <c r="T148" s="814"/>
      <c r="U148" s="868">
        <f t="shared" ref="U148:AZ148" si="3565">+U19+U26+U32+U38+U58+U79+U101+U114+U126+U135+U139+U145</f>
        <v>61</v>
      </c>
      <c r="V148" s="868">
        <f t="shared" si="3565"/>
        <v>1695.9153437499999</v>
      </c>
      <c r="W148" s="868">
        <f t="shared" si="3565"/>
        <v>0</v>
      </c>
      <c r="X148" s="868">
        <f t="shared" si="3565"/>
        <v>0</v>
      </c>
      <c r="Y148" s="868">
        <f t="shared" si="3565"/>
        <v>184.5</v>
      </c>
      <c r="Z148" s="868">
        <f t="shared" si="3565"/>
        <v>4986.6491249999999</v>
      </c>
      <c r="AA148" s="868">
        <f t="shared" si="3565"/>
        <v>0</v>
      </c>
      <c r="AB148" s="868">
        <f t="shared" si="3565"/>
        <v>0</v>
      </c>
      <c r="AC148" s="868">
        <f t="shared" si="3565"/>
        <v>0</v>
      </c>
      <c r="AD148" s="868">
        <f t="shared" si="3565"/>
        <v>0</v>
      </c>
      <c r="AE148" s="868">
        <f t="shared" si="3565"/>
        <v>0</v>
      </c>
      <c r="AF148" s="868">
        <f t="shared" si="3565"/>
        <v>0</v>
      </c>
      <c r="AG148" s="868">
        <f t="shared" si="3565"/>
        <v>0</v>
      </c>
      <c r="AH148" s="868">
        <f t="shared" si="3565"/>
        <v>0</v>
      </c>
      <c r="AI148" s="868">
        <f t="shared" si="3565"/>
        <v>0</v>
      </c>
      <c r="AJ148" s="868">
        <f t="shared" si="3565"/>
        <v>0</v>
      </c>
      <c r="AK148" s="868">
        <f t="shared" si="3565"/>
        <v>0</v>
      </c>
      <c r="AL148" s="868">
        <f t="shared" si="3565"/>
        <v>0</v>
      </c>
      <c r="AM148" s="868">
        <f t="shared" si="3565"/>
        <v>0</v>
      </c>
      <c r="AN148" s="868">
        <f t="shared" si="3565"/>
        <v>0</v>
      </c>
      <c r="AO148" s="868">
        <f t="shared" si="3565"/>
        <v>0</v>
      </c>
      <c r="AP148" s="868">
        <f t="shared" si="3565"/>
        <v>0</v>
      </c>
      <c r="AQ148" s="868">
        <f t="shared" si="3565"/>
        <v>0</v>
      </c>
      <c r="AR148" s="868">
        <f t="shared" si="3565"/>
        <v>0</v>
      </c>
      <c r="AS148" s="868">
        <f t="shared" si="3565"/>
        <v>0</v>
      </c>
      <c r="AT148" s="868">
        <f t="shared" si="3565"/>
        <v>0</v>
      </c>
      <c r="AU148" s="868">
        <f t="shared" si="3565"/>
        <v>0</v>
      </c>
      <c r="AV148" s="868">
        <f t="shared" si="3565"/>
        <v>0</v>
      </c>
      <c r="AW148" s="868">
        <f t="shared" si="3565"/>
        <v>0</v>
      </c>
      <c r="AX148" s="868">
        <f t="shared" si="3565"/>
        <v>0</v>
      </c>
      <c r="AY148" s="868">
        <f t="shared" si="3565"/>
        <v>0</v>
      </c>
      <c r="AZ148" s="868">
        <f t="shared" si="3565"/>
        <v>0</v>
      </c>
      <c r="BA148" s="868">
        <f t="shared" ref="BA148:CF148" si="3566">+BA19+BA26+BA32+BA38+BA58+BA79+BA101+BA114+BA126+BA135+BA139+BA145</f>
        <v>129874.31923333333</v>
      </c>
      <c r="BB148" s="868">
        <f t="shared" si="3566"/>
        <v>37367.168299999998</v>
      </c>
      <c r="BC148" s="868">
        <f t="shared" si="3566"/>
        <v>61</v>
      </c>
      <c r="BD148" s="868">
        <f t="shared" si="3566"/>
        <v>1695.9153437499999</v>
      </c>
      <c r="BE148" s="868">
        <f t="shared" si="3566"/>
        <v>0</v>
      </c>
      <c r="BF148" s="868">
        <f t="shared" si="3566"/>
        <v>0</v>
      </c>
      <c r="BG148" s="868">
        <f t="shared" si="3566"/>
        <v>0</v>
      </c>
      <c r="BH148" s="868">
        <f t="shared" si="3566"/>
        <v>16669.948720916462</v>
      </c>
      <c r="BI148" s="868">
        <f t="shared" si="3566"/>
        <v>185607.3515979998</v>
      </c>
      <c r="BJ148" s="868">
        <f t="shared" si="3566"/>
        <v>101692.01993333334</v>
      </c>
      <c r="BK148" s="868">
        <f t="shared" si="3566"/>
        <v>35119.345033333331</v>
      </c>
      <c r="BL148" s="868">
        <f t="shared" si="3566"/>
        <v>184.5</v>
      </c>
      <c r="BM148" s="868">
        <f t="shared" si="3566"/>
        <v>4986.6491249999999</v>
      </c>
      <c r="BN148" s="868">
        <f t="shared" si="3566"/>
        <v>0</v>
      </c>
      <c r="BO148" s="868">
        <f t="shared" si="3566"/>
        <v>0</v>
      </c>
      <c r="BP148" s="868">
        <f t="shared" si="3566"/>
        <v>0</v>
      </c>
      <c r="BQ148" s="868">
        <f t="shared" si="3566"/>
        <v>13516.187369690835</v>
      </c>
      <c r="BR148" s="868">
        <f t="shared" si="3566"/>
        <v>155314.20146135753</v>
      </c>
      <c r="BS148" s="868">
        <f t="shared" si="3566"/>
        <v>29533.793833333337</v>
      </c>
      <c r="BT148" s="868">
        <f t="shared" si="3566"/>
        <v>7160.2203333333327</v>
      </c>
      <c r="BU148" s="868">
        <f t="shared" si="3566"/>
        <v>0</v>
      </c>
      <c r="BV148" s="868">
        <f t="shared" si="3566"/>
        <v>0</v>
      </c>
      <c r="BW148" s="868">
        <f t="shared" si="3566"/>
        <v>0</v>
      </c>
      <c r="BX148" s="868">
        <f t="shared" si="3566"/>
        <v>0</v>
      </c>
      <c r="BY148" s="868">
        <f t="shared" si="3566"/>
        <v>0</v>
      </c>
      <c r="BZ148" s="868">
        <f t="shared" si="3566"/>
        <v>3727.2433110833331</v>
      </c>
      <c r="CA148" s="868">
        <f t="shared" si="3566"/>
        <v>40421.257477750012</v>
      </c>
      <c r="CB148" s="868">
        <f t="shared" si="3566"/>
        <v>14983.842000000001</v>
      </c>
      <c r="CC148" s="868">
        <f t="shared" si="3566"/>
        <v>5211.0280000000002</v>
      </c>
      <c r="CD148" s="868">
        <f t="shared" si="3566"/>
        <v>0</v>
      </c>
      <c r="CE148" s="868">
        <f t="shared" si="3566"/>
        <v>0</v>
      </c>
      <c r="CF148" s="868">
        <f t="shared" si="3566"/>
        <v>0</v>
      </c>
      <c r="CG148" s="868">
        <f t="shared" ref="CG148:DL148" si="3567">+CG19+CG26+CG32+CG38+CG58+CG79+CG101+CG114+CG126+CG135+CG139+CG145</f>
        <v>0</v>
      </c>
      <c r="CH148" s="868">
        <f t="shared" si="3567"/>
        <v>0</v>
      </c>
      <c r="CI148" s="868">
        <f t="shared" si="3567"/>
        <v>1898.4527814</v>
      </c>
      <c r="CJ148" s="868">
        <f t="shared" si="3567"/>
        <v>22093.322781400002</v>
      </c>
      <c r="CK148" s="868">
        <f t="shared" si="3567"/>
        <v>0</v>
      </c>
      <c r="CL148" s="868">
        <f t="shared" si="3567"/>
        <v>0</v>
      </c>
      <c r="CM148" s="868">
        <f t="shared" si="3567"/>
        <v>0</v>
      </c>
      <c r="CN148" s="868">
        <f t="shared" si="3567"/>
        <v>0</v>
      </c>
      <c r="CO148" s="868">
        <f t="shared" si="3567"/>
        <v>0</v>
      </c>
      <c r="CP148" s="868">
        <f t="shared" si="3567"/>
        <v>0</v>
      </c>
      <c r="CQ148" s="868">
        <f t="shared" si="3567"/>
        <v>0</v>
      </c>
      <c r="CR148" s="868">
        <f t="shared" si="3567"/>
        <v>0</v>
      </c>
      <c r="CS148" s="868">
        <f t="shared" si="3567"/>
        <v>0</v>
      </c>
      <c r="CT148" s="868" t="e">
        <f t="shared" si="3567"/>
        <v>#VALUE!</v>
      </c>
      <c r="CU148" s="868" t="e">
        <f t="shared" si="3567"/>
        <v>#VALUE!</v>
      </c>
      <c r="CV148" s="868">
        <f t="shared" si="3567"/>
        <v>0</v>
      </c>
      <c r="CW148" s="868">
        <f t="shared" si="3567"/>
        <v>0</v>
      </c>
      <c r="CX148" s="868">
        <f t="shared" si="3567"/>
        <v>0</v>
      </c>
      <c r="CY148" s="868">
        <f t="shared" si="3567"/>
        <v>0</v>
      </c>
      <c r="CZ148" s="868">
        <f t="shared" si="3567"/>
        <v>0</v>
      </c>
      <c r="DA148" s="868">
        <f t="shared" si="3567"/>
        <v>0</v>
      </c>
      <c r="DB148" s="868">
        <f t="shared" si="3567"/>
        <v>0</v>
      </c>
      <c r="DC148" s="868">
        <f t="shared" si="3567"/>
        <v>0</v>
      </c>
      <c r="DD148" s="868">
        <f t="shared" si="3567"/>
        <v>0</v>
      </c>
      <c r="DE148" s="868">
        <f t="shared" si="3567"/>
        <v>0</v>
      </c>
      <c r="DF148" s="868">
        <f t="shared" si="3567"/>
        <v>0</v>
      </c>
      <c r="DG148" s="868">
        <f t="shared" si="3567"/>
        <v>0</v>
      </c>
      <c r="DH148" s="868">
        <f t="shared" si="3567"/>
        <v>0</v>
      </c>
      <c r="DI148" s="868">
        <f t="shared" si="3567"/>
        <v>0</v>
      </c>
      <c r="DJ148" s="868">
        <f t="shared" si="3567"/>
        <v>0</v>
      </c>
      <c r="DK148" s="868">
        <f t="shared" si="3567"/>
        <v>0</v>
      </c>
      <c r="DL148" s="868">
        <f t="shared" si="3567"/>
        <v>0</v>
      </c>
      <c r="DM148" s="868">
        <f t="shared" ref="DM148:ER148" si="3568">+DM19+DM26+DM32+DM38+DM58+DM79+DM101+DM114+DM126+DM135+DM139+DM145</f>
        <v>0</v>
      </c>
      <c r="DN148" s="868">
        <f t="shared" si="3568"/>
        <v>0</v>
      </c>
      <c r="DO148" s="868">
        <f t="shared" si="3568"/>
        <v>0</v>
      </c>
      <c r="DP148" s="868">
        <f t="shared" si="3568"/>
        <v>0</v>
      </c>
      <c r="DQ148" s="868">
        <f t="shared" si="3568"/>
        <v>0</v>
      </c>
      <c r="DR148" s="868">
        <f t="shared" si="3568"/>
        <v>0</v>
      </c>
      <c r="DS148" s="868">
        <f t="shared" si="3568"/>
        <v>0</v>
      </c>
      <c r="DT148" s="868">
        <f t="shared" si="3568"/>
        <v>0</v>
      </c>
      <c r="DU148" s="868">
        <f t="shared" si="3568"/>
        <v>0</v>
      </c>
      <c r="DV148" s="868">
        <f t="shared" si="3568"/>
        <v>0</v>
      </c>
      <c r="DW148" s="868">
        <f t="shared" si="3568"/>
        <v>0</v>
      </c>
      <c r="DX148" s="868">
        <f t="shared" si="3568"/>
        <v>0</v>
      </c>
      <c r="DY148" s="868">
        <f t="shared" si="3568"/>
        <v>0</v>
      </c>
      <c r="DZ148" s="868">
        <f t="shared" si="3568"/>
        <v>0</v>
      </c>
      <c r="EA148" s="868">
        <f t="shared" si="3568"/>
        <v>0</v>
      </c>
      <c r="EB148" s="868">
        <f t="shared" si="3568"/>
        <v>0</v>
      </c>
      <c r="EC148" s="868">
        <f t="shared" si="3568"/>
        <v>0</v>
      </c>
      <c r="ED148" s="868">
        <f t="shared" si="3568"/>
        <v>0</v>
      </c>
      <c r="EE148" s="868">
        <f t="shared" si="3568"/>
        <v>0</v>
      </c>
      <c r="EF148" s="868">
        <f t="shared" si="3568"/>
        <v>276083.97499999998</v>
      </c>
      <c r="EG148" s="868">
        <f t="shared" si="3568"/>
        <v>84857.761666666673</v>
      </c>
      <c r="EH148" s="868">
        <f t="shared" si="3568"/>
        <v>245.5</v>
      </c>
      <c r="EI148" s="868">
        <f t="shared" si="3568"/>
        <v>6682.5644687500007</v>
      </c>
      <c r="EJ148" s="868">
        <f t="shared" si="3568"/>
        <v>0</v>
      </c>
      <c r="EK148" s="868">
        <f t="shared" si="3568"/>
        <v>0</v>
      </c>
      <c r="EL148" s="868">
        <f t="shared" si="3568"/>
        <v>0</v>
      </c>
      <c r="EM148" s="868">
        <f t="shared" si="3568"/>
        <v>35811.832183090635</v>
      </c>
      <c r="EN148" s="868">
        <f t="shared" si="3568"/>
        <v>403436.13331850729</v>
      </c>
      <c r="EO148" s="868">
        <f t="shared" si="3568"/>
        <v>0</v>
      </c>
      <c r="EP148" s="868">
        <f t="shared" si="3568"/>
        <v>8753.9500000000007</v>
      </c>
      <c r="EQ148" s="868">
        <f t="shared" si="3568"/>
        <v>12153.59</v>
      </c>
      <c r="ER148" s="868">
        <f t="shared" si="3568"/>
        <v>525</v>
      </c>
      <c r="ES148" s="868">
        <f t="shared" ref="ES148:FS148" si="3569">+ES19+ES26+ES32+ES38+ES58+ES79+ES101+ES114+ES126+ES135+ES139+ES145</f>
        <v>5544.5</v>
      </c>
      <c r="ET148" s="868">
        <f t="shared" si="3569"/>
        <v>587.29999999999995</v>
      </c>
      <c r="EU148" s="868">
        <f t="shared" si="3569"/>
        <v>0</v>
      </c>
      <c r="EV148" s="868">
        <f>+EV19+EV26+EV32+EV38+EV58+EV79+EV101+EV114+EV126+EV135+EV139+EV145</f>
        <v>3868</v>
      </c>
      <c r="EW148" s="868">
        <f t="shared" si="3569"/>
        <v>162.5</v>
      </c>
      <c r="EX148" s="868">
        <f t="shared" si="3569"/>
        <v>379.01</v>
      </c>
      <c r="EY148" s="868">
        <f t="shared" si="3569"/>
        <v>4455.3</v>
      </c>
      <c r="EZ148" s="868">
        <f t="shared" si="3569"/>
        <v>0</v>
      </c>
      <c r="FA148" s="868">
        <f t="shared" si="3569"/>
        <v>8753.9500000000007</v>
      </c>
      <c r="FB148" s="868">
        <f t="shared" si="3569"/>
        <v>12153.59</v>
      </c>
      <c r="FC148" s="868">
        <f t="shared" si="3569"/>
        <v>525</v>
      </c>
      <c r="FD148" s="868">
        <f t="shared" si="3569"/>
        <v>5544.5</v>
      </c>
      <c r="FE148" s="868">
        <f t="shared" si="3569"/>
        <v>587.29999999999995</v>
      </c>
      <c r="FF148" s="868">
        <f t="shared" si="3569"/>
        <v>0</v>
      </c>
      <c r="FG148" s="868">
        <f t="shared" si="3569"/>
        <v>3693</v>
      </c>
      <c r="FH148" s="868">
        <f t="shared" si="3569"/>
        <v>162.5</v>
      </c>
      <c r="FI148" s="868">
        <f t="shared" si="3569"/>
        <v>379.01</v>
      </c>
      <c r="FJ148" s="868">
        <f t="shared" si="3569"/>
        <v>4280.3</v>
      </c>
      <c r="FK148" s="868">
        <f t="shared" si="3569"/>
        <v>7.25</v>
      </c>
      <c r="FL148" s="868">
        <f t="shared" si="3569"/>
        <v>3.05</v>
      </c>
      <c r="FM148" s="868">
        <f t="shared" si="3569"/>
        <v>0.7</v>
      </c>
      <c r="FN148" s="868">
        <f t="shared" si="3569"/>
        <v>0</v>
      </c>
      <c r="FO148" s="868">
        <f t="shared" si="3569"/>
        <v>0</v>
      </c>
      <c r="FP148" s="868">
        <f t="shared" si="3569"/>
        <v>11</v>
      </c>
      <c r="FQ148" s="868">
        <f t="shared" si="3569"/>
        <v>0</v>
      </c>
      <c r="FR148" s="868">
        <f t="shared" si="3569"/>
        <v>0</v>
      </c>
      <c r="FS148" s="868">
        <f t="shared" si="3569"/>
        <v>0</v>
      </c>
    </row>
    <row r="149" spans="1:175" s="821" customFormat="1" ht="15.75" customHeight="1" outlineLevel="1" thickTop="1">
      <c r="A149" s="1002"/>
      <c r="B149" s="1002"/>
      <c r="F149" s="235"/>
      <c r="G149" s="723"/>
      <c r="J149" s="869"/>
      <c r="K149" s="869"/>
      <c r="L149" s="869"/>
      <c r="M149" s="869"/>
      <c r="N149" s="870"/>
      <c r="O149" s="870"/>
      <c r="P149" s="870"/>
      <c r="Q149" s="870"/>
      <c r="R149" s="870"/>
      <c r="S149" s="870"/>
      <c r="T149" s="814"/>
      <c r="U149" s="869"/>
      <c r="V149" s="869"/>
      <c r="W149" s="869"/>
      <c r="X149" s="869"/>
      <c r="Y149" s="869"/>
      <c r="Z149" s="869"/>
      <c r="AA149" s="869"/>
      <c r="AB149" s="869"/>
      <c r="AC149" s="869"/>
      <c r="AD149" s="869"/>
      <c r="AE149" s="869"/>
      <c r="AF149" s="869"/>
      <c r="AG149" s="869"/>
      <c r="AH149" s="869"/>
      <c r="AI149" s="869"/>
      <c r="AJ149" s="869"/>
      <c r="AK149" s="869"/>
      <c r="AL149" s="869"/>
      <c r="AM149" s="869"/>
      <c r="AN149" s="869"/>
      <c r="AO149" s="869"/>
      <c r="AP149" s="869"/>
      <c r="AQ149" s="869"/>
      <c r="AR149" s="869"/>
      <c r="AS149" s="869"/>
      <c r="AT149" s="869"/>
      <c r="AU149" s="869"/>
      <c r="AV149" s="869"/>
      <c r="AW149" s="869"/>
      <c r="AX149" s="869"/>
      <c r="AY149" s="869"/>
      <c r="AZ149" s="869"/>
      <c r="BA149" s="869"/>
      <c r="BB149" s="869"/>
      <c r="BC149" s="869"/>
      <c r="BD149" s="869"/>
      <c r="BE149" s="869"/>
      <c r="BF149" s="869"/>
      <c r="BG149" s="869"/>
      <c r="BH149" s="869"/>
      <c r="BI149" s="869"/>
      <c r="BJ149" s="869"/>
      <c r="BK149" s="869"/>
      <c r="BL149" s="869"/>
      <c r="BM149" s="869"/>
      <c r="BN149" s="869"/>
      <c r="BO149" s="869"/>
      <c r="BP149" s="869"/>
      <c r="BQ149" s="869"/>
      <c r="BR149" s="869"/>
      <c r="BS149" s="869"/>
      <c r="BT149" s="869"/>
      <c r="BU149" s="869"/>
      <c r="BV149" s="869"/>
      <c r="BW149" s="869"/>
      <c r="BX149" s="869"/>
      <c r="BY149" s="869"/>
      <c r="BZ149" s="869"/>
      <c r="CA149" s="869"/>
      <c r="CB149" s="869"/>
      <c r="CC149" s="869"/>
      <c r="CD149" s="869"/>
      <c r="CE149" s="869"/>
      <c r="CF149" s="869"/>
      <c r="CG149" s="869"/>
      <c r="CH149" s="869"/>
      <c r="CI149" s="869"/>
      <c r="CJ149" s="869"/>
      <c r="CK149" s="869"/>
      <c r="CL149" s="869"/>
      <c r="CM149" s="869"/>
      <c r="CN149" s="869"/>
      <c r="CO149" s="869"/>
      <c r="CP149" s="869"/>
      <c r="CQ149" s="869"/>
      <c r="CR149" s="869"/>
      <c r="CS149" s="869"/>
      <c r="CT149" s="869"/>
      <c r="CU149" s="869"/>
      <c r="CV149" s="869"/>
      <c r="CW149" s="869"/>
      <c r="CX149" s="869"/>
      <c r="CY149" s="869"/>
      <c r="CZ149" s="869"/>
      <c r="DA149" s="869"/>
      <c r="DB149" s="869"/>
      <c r="DC149" s="869"/>
      <c r="DD149" s="869"/>
      <c r="DE149" s="869"/>
      <c r="DF149" s="869"/>
      <c r="DG149" s="869"/>
      <c r="DH149" s="869"/>
      <c r="DI149" s="869"/>
      <c r="DJ149" s="869"/>
      <c r="DK149" s="869"/>
      <c r="DL149" s="869"/>
      <c r="DM149" s="869"/>
      <c r="DN149" s="869"/>
      <c r="DO149" s="869"/>
      <c r="DP149" s="869"/>
      <c r="DQ149" s="869"/>
      <c r="DR149" s="869"/>
      <c r="DS149" s="869"/>
      <c r="DT149" s="869"/>
      <c r="DU149" s="869"/>
      <c r="DV149" s="869"/>
      <c r="DW149" s="869"/>
      <c r="DX149" s="869"/>
      <c r="DY149" s="869"/>
      <c r="DZ149" s="869"/>
      <c r="EA149" s="869"/>
      <c r="EB149" s="869"/>
      <c r="EC149" s="869"/>
      <c r="ED149" s="869"/>
      <c r="EE149" s="869"/>
      <c r="EF149" s="869"/>
      <c r="EG149" s="869"/>
      <c r="EH149" s="869"/>
      <c r="EI149" s="869"/>
      <c r="EJ149" s="869"/>
      <c r="EK149" s="869"/>
      <c r="EL149" s="869"/>
      <c r="EM149" s="869"/>
      <c r="EN149" s="869"/>
      <c r="EO149" s="869"/>
      <c r="EP149" s="869"/>
      <c r="EQ149" s="869"/>
      <c r="ER149" s="869"/>
      <c r="ES149" s="869"/>
      <c r="ET149" s="869"/>
      <c r="EU149" s="869"/>
      <c r="EV149" s="869"/>
      <c r="EW149" s="869"/>
      <c r="EX149" s="869"/>
      <c r="EY149" s="869"/>
      <c r="EZ149" s="869"/>
      <c r="FA149" s="869"/>
      <c r="FB149" s="869"/>
      <c r="FC149" s="869"/>
      <c r="FD149" s="869"/>
      <c r="FE149" s="869"/>
      <c r="FF149" s="869"/>
      <c r="FG149" s="869"/>
      <c r="FH149" s="869"/>
      <c r="FI149" s="869"/>
      <c r="FJ149" s="869"/>
      <c r="FK149" s="869"/>
      <c r="FL149" s="869"/>
      <c r="FM149" s="800"/>
      <c r="FN149" s="800"/>
      <c r="FO149" s="800"/>
      <c r="FP149" s="800"/>
      <c r="FQ149" s="778"/>
    </row>
    <row r="150" spans="1:175" s="821" customFormat="1" ht="15.75" customHeight="1" outlineLevel="1">
      <c r="A150" s="1002"/>
      <c r="B150" s="1002"/>
      <c r="F150" s="235"/>
      <c r="G150" s="723"/>
      <c r="J150" s="869">
        <f>SUM(J8:J148)-J12-J15-J18-J19-J26-J32-J38-J48-J51-J54-J57-J58-J70-J73-J76-J79-J84-J91-J97-J101-J114-J126-J135-J139-J148-J145-J108</f>
        <v>282707.65999999997</v>
      </c>
      <c r="K150" s="869">
        <f>SUM(K8:K148)-K12-K15-K18-K19-K26-K32-K38-K48-K51-K54-K57-K58-K70-K73-K76-K79-K84-K91-K97-K101-K114-K126-K135-K139-K148-K145-K108</f>
        <v>69869.89</v>
      </c>
      <c r="L150" s="869">
        <f>SUM(L8:L148)-L12-L15-L18-L19-L26-L32-L38-L48-L51-L54-L57-L58-L70-L73-L76-L79-L84-L91-L97-L101-L114-L126-L135-L139-L148-L145-L108</f>
        <v>352577.55000000028</v>
      </c>
      <c r="M150" s="869"/>
      <c r="N150" s="869"/>
      <c r="O150" s="869"/>
      <c r="P150" s="869"/>
      <c r="Q150" s="869"/>
      <c r="R150" s="869"/>
      <c r="S150" s="869"/>
      <c r="T150" s="869">
        <f>SUM(T9:T148)--T12-T15-T19-T18-T26-T32-T38-T48-T51-T54-T57-T58-T70-T73-T76-T79-T84-T91-T97-T101-T114-T126-T135-T139-T148</f>
        <v>0</v>
      </c>
      <c r="U150" s="869">
        <f t="shared" ref="U150:AZ150" si="3570">SUM(U8:U148)-U12-U15-U18-U19-U26-U32-U38-U48-U51-U54-U57-U58-U70-U73-U76-U79-U84-U91-U97-U101-U114-U126-U135-U139-U148-U145-U108</f>
        <v>61</v>
      </c>
      <c r="V150" s="869">
        <f t="shared" si="3570"/>
        <v>1695.9153437499999</v>
      </c>
      <c r="W150" s="869">
        <f t="shared" si="3570"/>
        <v>0</v>
      </c>
      <c r="X150" s="869">
        <f t="shared" si="3570"/>
        <v>0</v>
      </c>
      <c r="Y150" s="869">
        <f t="shared" si="3570"/>
        <v>184.5</v>
      </c>
      <c r="Z150" s="869">
        <f t="shared" si="3570"/>
        <v>4986.6491249999999</v>
      </c>
      <c r="AA150" s="869">
        <f t="shared" si="3570"/>
        <v>0</v>
      </c>
      <c r="AB150" s="869">
        <f t="shared" si="3570"/>
        <v>0</v>
      </c>
      <c r="AC150" s="869">
        <f t="shared" si="3570"/>
        <v>0</v>
      </c>
      <c r="AD150" s="869">
        <f t="shared" si="3570"/>
        <v>0</v>
      </c>
      <c r="AE150" s="869">
        <f t="shared" si="3570"/>
        <v>0</v>
      </c>
      <c r="AF150" s="869">
        <f t="shared" si="3570"/>
        <v>0</v>
      </c>
      <c r="AG150" s="869">
        <f t="shared" si="3570"/>
        <v>0</v>
      </c>
      <c r="AH150" s="869">
        <f t="shared" si="3570"/>
        <v>0</v>
      </c>
      <c r="AI150" s="869">
        <f t="shared" si="3570"/>
        <v>0</v>
      </c>
      <c r="AJ150" s="869">
        <f t="shared" si="3570"/>
        <v>0</v>
      </c>
      <c r="AK150" s="869">
        <f t="shared" si="3570"/>
        <v>0</v>
      </c>
      <c r="AL150" s="869">
        <f t="shared" si="3570"/>
        <v>0</v>
      </c>
      <c r="AM150" s="869">
        <f t="shared" si="3570"/>
        <v>0</v>
      </c>
      <c r="AN150" s="869">
        <f t="shared" si="3570"/>
        <v>0</v>
      </c>
      <c r="AO150" s="869">
        <f t="shared" si="3570"/>
        <v>0</v>
      </c>
      <c r="AP150" s="869">
        <f t="shared" si="3570"/>
        <v>0</v>
      </c>
      <c r="AQ150" s="869">
        <f t="shared" si="3570"/>
        <v>0</v>
      </c>
      <c r="AR150" s="869">
        <f t="shared" si="3570"/>
        <v>0</v>
      </c>
      <c r="AS150" s="869">
        <f t="shared" si="3570"/>
        <v>0</v>
      </c>
      <c r="AT150" s="869">
        <f t="shared" si="3570"/>
        <v>0</v>
      </c>
      <c r="AU150" s="869">
        <f t="shared" si="3570"/>
        <v>0</v>
      </c>
      <c r="AV150" s="869">
        <f t="shared" si="3570"/>
        <v>0</v>
      </c>
      <c r="AW150" s="869">
        <f t="shared" si="3570"/>
        <v>0</v>
      </c>
      <c r="AX150" s="869">
        <f t="shared" si="3570"/>
        <v>0</v>
      </c>
      <c r="AY150" s="869">
        <f t="shared" si="3570"/>
        <v>0</v>
      </c>
      <c r="AZ150" s="869">
        <f t="shared" si="3570"/>
        <v>0</v>
      </c>
      <c r="BA150" s="869">
        <f>SUM(BA8:BA148)-BA148-BA145-BA139-BA135-BA126-BA114-BA101-BA58-BA38-BA32-BA26-BA19-BA97-BA91-BA84-BA57-BA54-BA51-BA48-BA15-BA12</f>
        <v>129874.31923333349</v>
      </c>
      <c r="BB150" s="869">
        <f t="shared" ref="BB150:CG150" si="3571">SUM(BB8:BB148)-BB12-BB15-BB18-BB19-BB26-BB32-BB38-BB48-BB51-BB54-BB57-BB58-BB70-BB73-BB76-BB79-BB84-BB91-BB97-BB101-BB114-BB126-BB135-BB139-BB148-BB145-BB108</f>
        <v>37367.168299999998</v>
      </c>
      <c r="BC150" s="869">
        <f t="shared" si="3571"/>
        <v>61</v>
      </c>
      <c r="BD150" s="869">
        <f t="shared" si="3571"/>
        <v>1695.9153437499999</v>
      </c>
      <c r="BE150" s="869">
        <f t="shared" si="3571"/>
        <v>0</v>
      </c>
      <c r="BF150" s="869">
        <f t="shared" si="3571"/>
        <v>0</v>
      </c>
      <c r="BG150" s="869">
        <f t="shared" si="3571"/>
        <v>0</v>
      </c>
      <c r="BH150" s="869">
        <f t="shared" si="3571"/>
        <v>16669.948720916476</v>
      </c>
      <c r="BI150" s="869">
        <f t="shared" si="3571"/>
        <v>185607.3515980001</v>
      </c>
      <c r="BJ150" s="869">
        <f t="shared" si="3571"/>
        <v>101692.01993333324</v>
      </c>
      <c r="BK150" s="869">
        <f t="shared" si="3571"/>
        <v>35119.34503333336</v>
      </c>
      <c r="BL150" s="869">
        <f t="shared" si="3571"/>
        <v>184.5</v>
      </c>
      <c r="BM150" s="869">
        <f t="shared" si="3571"/>
        <v>4986.6491249999999</v>
      </c>
      <c r="BN150" s="869">
        <f t="shared" si="3571"/>
        <v>0</v>
      </c>
      <c r="BO150" s="869">
        <f t="shared" si="3571"/>
        <v>0</v>
      </c>
      <c r="BP150" s="869">
        <f t="shared" si="3571"/>
        <v>0</v>
      </c>
      <c r="BQ150" s="869">
        <f t="shared" si="3571"/>
        <v>13516.187369690828</v>
      </c>
      <c r="BR150" s="869">
        <f t="shared" si="3571"/>
        <v>155314.20146135747</v>
      </c>
      <c r="BS150" s="869">
        <f t="shared" si="3571"/>
        <v>29533.793833333322</v>
      </c>
      <c r="BT150" s="869">
        <f t="shared" si="3571"/>
        <v>7160.2203333333327</v>
      </c>
      <c r="BU150" s="869">
        <f t="shared" si="3571"/>
        <v>0</v>
      </c>
      <c r="BV150" s="869">
        <f t="shared" si="3571"/>
        <v>0</v>
      </c>
      <c r="BW150" s="869">
        <f t="shared" si="3571"/>
        <v>0</v>
      </c>
      <c r="BX150" s="869">
        <f t="shared" si="3571"/>
        <v>0</v>
      </c>
      <c r="BY150" s="869">
        <f t="shared" si="3571"/>
        <v>0</v>
      </c>
      <c r="BZ150" s="869">
        <f t="shared" si="3571"/>
        <v>3727.2433110833335</v>
      </c>
      <c r="CA150" s="869">
        <f t="shared" si="3571"/>
        <v>40421.257477749961</v>
      </c>
      <c r="CB150" s="869">
        <f t="shared" si="3571"/>
        <v>14983.841999999997</v>
      </c>
      <c r="CC150" s="869">
        <f t="shared" si="3571"/>
        <v>5211.0280000000021</v>
      </c>
      <c r="CD150" s="869">
        <f t="shared" si="3571"/>
        <v>0</v>
      </c>
      <c r="CE150" s="869">
        <f t="shared" si="3571"/>
        <v>0</v>
      </c>
      <c r="CF150" s="869">
        <f t="shared" si="3571"/>
        <v>0</v>
      </c>
      <c r="CG150" s="869">
        <f t="shared" si="3571"/>
        <v>0</v>
      </c>
      <c r="CH150" s="869">
        <f t="shared" ref="CH150:DM150" si="3572">SUM(CH8:CH148)-CH12-CH15-CH18-CH19-CH26-CH32-CH38-CH48-CH51-CH54-CH57-CH58-CH70-CH73-CH76-CH79-CH84-CH91-CH97-CH101-CH114-CH126-CH135-CH139-CH148-CH145-CH108</f>
        <v>0</v>
      </c>
      <c r="CI150" s="869">
        <f t="shared" si="3572"/>
        <v>1898.4527813999987</v>
      </c>
      <c r="CJ150" s="869">
        <f t="shared" si="3572"/>
        <v>22093.322781400009</v>
      </c>
      <c r="CK150" s="869">
        <f t="shared" si="3572"/>
        <v>0</v>
      </c>
      <c r="CL150" s="869">
        <f t="shared" si="3572"/>
        <v>0</v>
      </c>
      <c r="CM150" s="869">
        <f t="shared" si="3572"/>
        <v>0</v>
      </c>
      <c r="CN150" s="869">
        <f t="shared" si="3572"/>
        <v>0</v>
      </c>
      <c r="CO150" s="869">
        <f t="shared" si="3572"/>
        <v>0</v>
      </c>
      <c r="CP150" s="869">
        <f t="shared" si="3572"/>
        <v>0</v>
      </c>
      <c r="CQ150" s="869">
        <f t="shared" si="3572"/>
        <v>0</v>
      </c>
      <c r="CR150" s="869">
        <f t="shared" si="3572"/>
        <v>0</v>
      </c>
      <c r="CS150" s="869">
        <f t="shared" si="3572"/>
        <v>0</v>
      </c>
      <c r="CT150" s="869" t="e">
        <f t="shared" si="3572"/>
        <v>#VALUE!</v>
      </c>
      <c r="CU150" s="869" t="e">
        <f t="shared" si="3572"/>
        <v>#VALUE!</v>
      </c>
      <c r="CV150" s="869">
        <f t="shared" si="3572"/>
        <v>0</v>
      </c>
      <c r="CW150" s="869">
        <f t="shared" si="3572"/>
        <v>0</v>
      </c>
      <c r="CX150" s="869">
        <f t="shared" si="3572"/>
        <v>0</v>
      </c>
      <c r="CY150" s="869">
        <f t="shared" si="3572"/>
        <v>0</v>
      </c>
      <c r="CZ150" s="869">
        <f t="shared" si="3572"/>
        <v>0</v>
      </c>
      <c r="DA150" s="869">
        <f t="shared" si="3572"/>
        <v>0</v>
      </c>
      <c r="DB150" s="869">
        <f t="shared" si="3572"/>
        <v>0</v>
      </c>
      <c r="DC150" s="869">
        <f t="shared" si="3572"/>
        <v>0</v>
      </c>
      <c r="DD150" s="869">
        <f t="shared" si="3572"/>
        <v>0</v>
      </c>
      <c r="DE150" s="869">
        <f t="shared" si="3572"/>
        <v>0</v>
      </c>
      <c r="DF150" s="869">
        <f t="shared" si="3572"/>
        <v>0</v>
      </c>
      <c r="DG150" s="869">
        <f t="shared" si="3572"/>
        <v>0</v>
      </c>
      <c r="DH150" s="869">
        <f t="shared" si="3572"/>
        <v>0</v>
      </c>
      <c r="DI150" s="869">
        <f t="shared" si="3572"/>
        <v>0</v>
      </c>
      <c r="DJ150" s="869">
        <f t="shared" si="3572"/>
        <v>0</v>
      </c>
      <c r="DK150" s="869">
        <f t="shared" si="3572"/>
        <v>0</v>
      </c>
      <c r="DL150" s="869">
        <f t="shared" si="3572"/>
        <v>0</v>
      </c>
      <c r="DM150" s="869">
        <f t="shared" si="3572"/>
        <v>0</v>
      </c>
      <c r="DN150" s="869">
        <f t="shared" ref="DN150:EN150" si="3573">SUM(DN8:DN148)-DN12-DN15-DN18-DN19-DN26-DN32-DN38-DN48-DN51-DN54-DN57-DN58-DN70-DN73-DN76-DN79-DN84-DN91-DN97-DN101-DN114-DN126-DN135-DN139-DN148-DN145-DN108</f>
        <v>0</v>
      </c>
      <c r="DO150" s="869">
        <f t="shared" si="3573"/>
        <v>0</v>
      </c>
      <c r="DP150" s="869">
        <f t="shared" si="3573"/>
        <v>0</v>
      </c>
      <c r="DQ150" s="869">
        <f t="shared" si="3573"/>
        <v>0</v>
      </c>
      <c r="DR150" s="869">
        <f t="shared" si="3573"/>
        <v>0</v>
      </c>
      <c r="DS150" s="869">
        <f t="shared" si="3573"/>
        <v>0</v>
      </c>
      <c r="DT150" s="869">
        <f t="shared" si="3573"/>
        <v>0</v>
      </c>
      <c r="DU150" s="869">
        <f t="shared" si="3573"/>
        <v>0</v>
      </c>
      <c r="DV150" s="869">
        <f t="shared" si="3573"/>
        <v>0</v>
      </c>
      <c r="DW150" s="869">
        <f t="shared" si="3573"/>
        <v>0</v>
      </c>
      <c r="DX150" s="869">
        <f t="shared" si="3573"/>
        <v>0</v>
      </c>
      <c r="DY150" s="869">
        <f t="shared" si="3573"/>
        <v>0</v>
      </c>
      <c r="DZ150" s="869">
        <f t="shared" si="3573"/>
        <v>0</v>
      </c>
      <c r="EA150" s="869">
        <f t="shared" si="3573"/>
        <v>0</v>
      </c>
      <c r="EB150" s="869">
        <f t="shared" si="3573"/>
        <v>0</v>
      </c>
      <c r="EC150" s="869">
        <f t="shared" si="3573"/>
        <v>0</v>
      </c>
      <c r="ED150" s="869">
        <f t="shared" si="3573"/>
        <v>0</v>
      </c>
      <c r="EE150" s="869">
        <f t="shared" si="3573"/>
        <v>0</v>
      </c>
      <c r="EF150" s="869">
        <f t="shared" si="3573"/>
        <v>276083.97500000003</v>
      </c>
      <c r="EG150" s="869">
        <f t="shared" si="3573"/>
        <v>84857.761666666614</v>
      </c>
      <c r="EH150" s="869">
        <f t="shared" si="3573"/>
        <v>245.5</v>
      </c>
      <c r="EI150" s="869">
        <f t="shared" si="3573"/>
        <v>6682.5644687500007</v>
      </c>
      <c r="EJ150" s="869">
        <f t="shared" si="3573"/>
        <v>0</v>
      </c>
      <c r="EK150" s="869">
        <f t="shared" si="3573"/>
        <v>0</v>
      </c>
      <c r="EL150" s="869">
        <f t="shared" si="3573"/>
        <v>0</v>
      </c>
      <c r="EM150" s="869">
        <f t="shared" si="3573"/>
        <v>35811.832183090621</v>
      </c>
      <c r="EN150" s="869">
        <f t="shared" si="3573"/>
        <v>403436.13331850787</v>
      </c>
      <c r="EO150" s="869"/>
      <c r="EP150" s="869">
        <f t="shared" ref="EP150:EY150" si="3574">SUM(EP8:EP148)-EP12-EP15-EP18-EP19-EP26-EP32-EP38-EP48-EP51-EP54-EP57-EP58-EP70-EP73-EP76-EP79-EP84-EP91-EP97-EP101-EP114-EP126-EP135-EP139-EP148-EP145-EP108</f>
        <v>8753.9499999999935</v>
      </c>
      <c r="EQ150" s="869">
        <f t="shared" si="3574"/>
        <v>12153.590000000004</v>
      </c>
      <c r="ER150" s="869">
        <f t="shared" si="3574"/>
        <v>525</v>
      </c>
      <c r="ES150" s="869">
        <f t="shared" si="3574"/>
        <v>5544.5</v>
      </c>
      <c r="ET150" s="869">
        <f t="shared" si="3574"/>
        <v>587.29999999999995</v>
      </c>
      <c r="EU150" s="869">
        <f t="shared" si="3574"/>
        <v>0</v>
      </c>
      <c r="EV150" s="869">
        <f t="shared" si="3574"/>
        <v>3868</v>
      </c>
      <c r="EW150" s="869">
        <f t="shared" si="3574"/>
        <v>162.5</v>
      </c>
      <c r="EX150" s="869">
        <f t="shared" si="3574"/>
        <v>379.01</v>
      </c>
      <c r="EY150" s="869">
        <f t="shared" si="3574"/>
        <v>4455.300000000002</v>
      </c>
      <c r="EZ150" s="869"/>
      <c r="FA150" s="869">
        <f t="shared" ref="FA150:FJ150" si="3575">SUM(FA8:FA148)-FA12-FA15-FA18-FA19-FA26-FA32-FA38-FA48-FA51-FA54-FA57-FA58-FA70-FA73-FA76-FA79-FA84-FA91-FA97-FA101-FA114-FA126-FA135-FA139-FA148-FA145-FA108</f>
        <v>8753.9499999999935</v>
      </c>
      <c r="FB150" s="869">
        <f t="shared" si="3575"/>
        <v>12153.590000000004</v>
      </c>
      <c r="FC150" s="869">
        <f t="shared" si="3575"/>
        <v>525</v>
      </c>
      <c r="FD150" s="869">
        <f t="shared" si="3575"/>
        <v>5544.5</v>
      </c>
      <c r="FE150" s="869">
        <f t="shared" si="3575"/>
        <v>587.29999999999995</v>
      </c>
      <c r="FF150" s="869">
        <f t="shared" si="3575"/>
        <v>0</v>
      </c>
      <c r="FG150" s="869">
        <f t="shared" si="3575"/>
        <v>3693</v>
      </c>
      <c r="FH150" s="869">
        <f t="shared" si="3575"/>
        <v>162.5</v>
      </c>
      <c r="FI150" s="869">
        <f t="shared" si="3575"/>
        <v>379.01</v>
      </c>
      <c r="FJ150" s="869">
        <f t="shared" si="3575"/>
        <v>4280.300000000002</v>
      </c>
      <c r="FK150" s="869"/>
      <c r="FL150" s="869"/>
      <c r="FM150" s="800"/>
      <c r="FN150" s="800"/>
      <c r="FO150" s="800"/>
      <c r="FP150" s="800"/>
      <c r="FQ150" s="778"/>
    </row>
    <row r="151" spans="1:175" s="821" customFormat="1" ht="15.75" customHeight="1" outlineLevel="1">
      <c r="A151" s="1002"/>
      <c r="B151" s="1002"/>
      <c r="F151" s="235"/>
      <c r="G151" s="723"/>
      <c r="J151" s="869">
        <f>J150-J148</f>
        <v>29949.999999999971</v>
      </c>
      <c r="K151" s="869">
        <f t="shared" ref="K151:L151" si="3576">K150-K148</f>
        <v>5050</v>
      </c>
      <c r="L151" s="869">
        <f t="shared" si="3576"/>
        <v>35000.000000000291</v>
      </c>
      <c r="M151" s="869"/>
      <c r="N151" s="869"/>
      <c r="O151" s="869"/>
      <c r="P151" s="869"/>
      <c r="Q151" s="869"/>
      <c r="R151" s="869"/>
      <c r="S151" s="869"/>
      <c r="T151" s="869"/>
      <c r="U151" s="869">
        <f t="shared" ref="U151" si="3577">U150-U148</f>
        <v>0</v>
      </c>
      <c r="V151" s="869">
        <f t="shared" ref="V151" si="3578">V150-V148</f>
        <v>0</v>
      </c>
      <c r="W151" s="869">
        <f t="shared" ref="W151" si="3579">W150-W148</f>
        <v>0</v>
      </c>
      <c r="X151" s="869">
        <f t="shared" ref="X151" si="3580">X150-X148</f>
        <v>0</v>
      </c>
      <c r="Y151" s="869">
        <f t="shared" ref="Y151" si="3581">Y150-Y148</f>
        <v>0</v>
      </c>
      <c r="Z151" s="869">
        <f t="shared" ref="Z151" si="3582">Z150-Z148</f>
        <v>0</v>
      </c>
      <c r="AA151" s="869">
        <f t="shared" ref="AA151" si="3583">AA150-AA148</f>
        <v>0</v>
      </c>
      <c r="AB151" s="869">
        <f t="shared" ref="AB151" si="3584">AB150-AB148</f>
        <v>0</v>
      </c>
      <c r="AC151" s="869">
        <f t="shared" ref="AC151" si="3585">AC150-AC148</f>
        <v>0</v>
      </c>
      <c r="AD151" s="869">
        <f t="shared" ref="AD151" si="3586">AD150-AD148</f>
        <v>0</v>
      </c>
      <c r="AE151" s="869">
        <f t="shared" ref="AE151" si="3587">AE150-AE148</f>
        <v>0</v>
      </c>
      <c r="AF151" s="869">
        <f t="shared" ref="AF151" si="3588">AF150-AF148</f>
        <v>0</v>
      </c>
      <c r="AG151" s="869">
        <f t="shared" ref="AG151" si="3589">AG150-AG148</f>
        <v>0</v>
      </c>
      <c r="AH151" s="869">
        <f t="shared" ref="AH151" si="3590">AH150-AH148</f>
        <v>0</v>
      </c>
      <c r="AI151" s="869">
        <f t="shared" ref="AI151" si="3591">AI150-AI148</f>
        <v>0</v>
      </c>
      <c r="AJ151" s="869">
        <f t="shared" ref="AJ151" si="3592">AJ150-AJ148</f>
        <v>0</v>
      </c>
      <c r="AK151" s="869">
        <f t="shared" ref="AK151" si="3593">AK150-AK148</f>
        <v>0</v>
      </c>
      <c r="AL151" s="869">
        <f t="shared" ref="AL151" si="3594">AL150-AL148</f>
        <v>0</v>
      </c>
      <c r="AM151" s="869">
        <f t="shared" ref="AM151" si="3595">AM150-AM148</f>
        <v>0</v>
      </c>
      <c r="AN151" s="869">
        <f t="shared" ref="AN151" si="3596">AN150-AN148</f>
        <v>0</v>
      </c>
      <c r="AO151" s="869">
        <f t="shared" ref="AO151" si="3597">AO150-AO148</f>
        <v>0</v>
      </c>
      <c r="AP151" s="869">
        <f t="shared" ref="AP151" si="3598">AP150-AP148</f>
        <v>0</v>
      </c>
      <c r="AQ151" s="869">
        <f t="shared" ref="AQ151" si="3599">AQ150-AQ148</f>
        <v>0</v>
      </c>
      <c r="AR151" s="869">
        <f t="shared" ref="AR151" si="3600">AR150-AR148</f>
        <v>0</v>
      </c>
      <c r="AS151" s="869">
        <f t="shared" ref="AS151" si="3601">AS150-AS148</f>
        <v>0</v>
      </c>
      <c r="AT151" s="869">
        <f t="shared" ref="AT151" si="3602">AT150-AT148</f>
        <v>0</v>
      </c>
      <c r="AU151" s="869">
        <f t="shared" ref="AU151" si="3603">AU150-AU148</f>
        <v>0</v>
      </c>
      <c r="AV151" s="869">
        <f t="shared" ref="AV151" si="3604">AV150-AV148</f>
        <v>0</v>
      </c>
      <c r="AW151" s="869">
        <f t="shared" ref="AW151" si="3605">AW150-AW148</f>
        <v>0</v>
      </c>
      <c r="AX151" s="869">
        <f t="shared" ref="AX151" si="3606">AX150-AX148</f>
        <v>0</v>
      </c>
      <c r="AY151" s="869">
        <f t="shared" ref="AY151" si="3607">AY150-AY148</f>
        <v>0</v>
      </c>
      <c r="AZ151" s="869">
        <f t="shared" ref="AZ151" si="3608">AZ150-AZ148</f>
        <v>0</v>
      </c>
      <c r="BA151" s="869">
        <f t="shared" ref="BA151:BC151" si="3609">BA150-BA148</f>
        <v>1.6007106751203537E-10</v>
      </c>
      <c r="BB151" s="869">
        <f t="shared" si="3609"/>
        <v>0</v>
      </c>
      <c r="BC151" s="869">
        <f t="shared" si="3609"/>
        <v>0</v>
      </c>
      <c r="BD151" s="869">
        <f t="shared" ref="BD151" si="3610">BD150-BD148</f>
        <v>0</v>
      </c>
      <c r="BE151" s="869">
        <f t="shared" ref="BE151" si="3611">BE150-BE148</f>
        <v>0</v>
      </c>
      <c r="BF151" s="869">
        <f t="shared" ref="BF151" si="3612">BF150-BF148</f>
        <v>0</v>
      </c>
      <c r="BG151" s="869">
        <f t="shared" ref="BG151" si="3613">BG150-BG148</f>
        <v>0</v>
      </c>
      <c r="BH151" s="869">
        <f t="shared" ref="BH151" si="3614">BH150-BH148</f>
        <v>0</v>
      </c>
      <c r="BI151" s="869">
        <f t="shared" ref="BI151" si="3615">BI150-BI148</f>
        <v>2.9103830456733704E-10</v>
      </c>
      <c r="BJ151" s="869">
        <f t="shared" ref="BJ151" si="3616">BJ150-BJ148</f>
        <v>0</v>
      </c>
      <c r="BK151" s="869">
        <f t="shared" ref="BK151" si="3617">BK150-BK148</f>
        <v>0</v>
      </c>
      <c r="BL151" s="869">
        <f t="shared" ref="BL151" si="3618">BL150-BL148</f>
        <v>0</v>
      </c>
      <c r="BM151" s="869">
        <f t="shared" ref="BM151" si="3619">BM150-BM148</f>
        <v>0</v>
      </c>
      <c r="BN151" s="869">
        <f t="shared" ref="BN151" si="3620">BN150-BN148</f>
        <v>0</v>
      </c>
      <c r="BO151" s="869">
        <f t="shared" ref="BO151" si="3621">BO150-BO148</f>
        <v>0</v>
      </c>
      <c r="BP151" s="869">
        <f t="shared" ref="BP151" si="3622">BP150-BP148</f>
        <v>0</v>
      </c>
      <c r="BQ151" s="869">
        <f t="shared" ref="BQ151" si="3623">BQ150-BQ148</f>
        <v>0</v>
      </c>
      <c r="BR151" s="869">
        <f t="shared" ref="BR151" si="3624">BR150-BR148</f>
        <v>0</v>
      </c>
      <c r="BS151" s="869">
        <f t="shared" ref="BS151" si="3625">BS150-BS148</f>
        <v>0</v>
      </c>
      <c r="BT151" s="869">
        <f t="shared" ref="BT151" si="3626">BT150-BT148</f>
        <v>0</v>
      </c>
      <c r="BU151" s="869">
        <f t="shared" ref="BU151" si="3627">BU150-BU148</f>
        <v>0</v>
      </c>
      <c r="BV151" s="869">
        <f t="shared" ref="BV151" si="3628">BV150-BV148</f>
        <v>0</v>
      </c>
      <c r="BW151" s="869">
        <f t="shared" ref="BW151" si="3629">BW150-BW148</f>
        <v>0</v>
      </c>
      <c r="BX151" s="869">
        <f t="shared" ref="BX151" si="3630">BX150-BX148</f>
        <v>0</v>
      </c>
      <c r="BY151" s="869">
        <f t="shared" ref="BY151" si="3631">BY150-BY148</f>
        <v>0</v>
      </c>
      <c r="BZ151" s="869">
        <f t="shared" ref="BZ151" si="3632">BZ150-BZ148</f>
        <v>0</v>
      </c>
      <c r="CA151" s="869">
        <f t="shared" ref="CA151" si="3633">CA150-CA148</f>
        <v>0</v>
      </c>
      <c r="CB151" s="869">
        <f t="shared" ref="CB151" si="3634">CB150-CB148</f>
        <v>0</v>
      </c>
      <c r="CC151" s="869">
        <f t="shared" ref="CC151" si="3635">CC150-CC148</f>
        <v>0</v>
      </c>
      <c r="CD151" s="869">
        <f t="shared" ref="CD151" si="3636">CD150-CD148</f>
        <v>0</v>
      </c>
      <c r="CE151" s="869">
        <f t="shared" ref="CE151" si="3637">CE150-CE148</f>
        <v>0</v>
      </c>
      <c r="CF151" s="869">
        <f t="shared" ref="CF151" si="3638">CF150-CF148</f>
        <v>0</v>
      </c>
      <c r="CG151" s="869">
        <f t="shared" ref="CG151" si="3639">CG150-CG148</f>
        <v>0</v>
      </c>
      <c r="CH151" s="869">
        <f t="shared" ref="CH151" si="3640">CH150-CH148</f>
        <v>0</v>
      </c>
      <c r="CI151" s="869">
        <f t="shared" ref="CI151" si="3641">CI150-CI148</f>
        <v>0</v>
      </c>
      <c r="CJ151" s="869">
        <f t="shared" ref="CJ151" si="3642">CJ150-CJ148</f>
        <v>0</v>
      </c>
      <c r="CK151" s="869">
        <f t="shared" ref="CK151" si="3643">CK150-CK148</f>
        <v>0</v>
      </c>
      <c r="CL151" s="869">
        <f t="shared" ref="CL151" si="3644">CL150-CL148</f>
        <v>0</v>
      </c>
      <c r="CM151" s="869">
        <f t="shared" ref="CM151" si="3645">CM150-CM148</f>
        <v>0</v>
      </c>
      <c r="CN151" s="869">
        <f t="shared" ref="CN151" si="3646">CN150-CN148</f>
        <v>0</v>
      </c>
      <c r="CO151" s="869">
        <f t="shared" ref="CO151" si="3647">CO150-CO148</f>
        <v>0</v>
      </c>
      <c r="CP151" s="869">
        <f t="shared" ref="CP151" si="3648">CP150-CP148</f>
        <v>0</v>
      </c>
      <c r="CQ151" s="869">
        <f t="shared" ref="CQ151" si="3649">CQ150-CQ148</f>
        <v>0</v>
      </c>
      <c r="CR151" s="869">
        <f t="shared" ref="CR151" si="3650">CR150-CR148</f>
        <v>0</v>
      </c>
      <c r="CS151" s="869">
        <f t="shared" ref="CS151" si="3651">CS150-CS148</f>
        <v>0</v>
      </c>
      <c r="CT151" s="869" t="e">
        <f t="shared" ref="CT151" si="3652">CT150-CT148</f>
        <v>#VALUE!</v>
      </c>
      <c r="CU151" s="869" t="e">
        <f t="shared" ref="CU151" si="3653">CU150-CU148</f>
        <v>#VALUE!</v>
      </c>
      <c r="CV151" s="869">
        <f t="shared" ref="CV151" si="3654">CV150-CV148</f>
        <v>0</v>
      </c>
      <c r="CW151" s="869">
        <f t="shared" ref="CW151" si="3655">CW150-CW148</f>
        <v>0</v>
      </c>
      <c r="CX151" s="869">
        <f t="shared" ref="CX151" si="3656">CX150-CX148</f>
        <v>0</v>
      </c>
      <c r="CY151" s="869">
        <f t="shared" ref="CY151" si="3657">CY150-CY148</f>
        <v>0</v>
      </c>
      <c r="CZ151" s="869">
        <f t="shared" ref="CZ151" si="3658">CZ150-CZ148</f>
        <v>0</v>
      </c>
      <c r="DA151" s="869">
        <f t="shared" ref="DA151" si="3659">DA150-DA148</f>
        <v>0</v>
      </c>
      <c r="DB151" s="869">
        <f t="shared" ref="DB151" si="3660">DB150-DB148</f>
        <v>0</v>
      </c>
      <c r="DC151" s="869">
        <f t="shared" ref="DC151" si="3661">DC150-DC148</f>
        <v>0</v>
      </c>
      <c r="DD151" s="869">
        <f t="shared" ref="DD151" si="3662">DD150-DD148</f>
        <v>0</v>
      </c>
      <c r="DE151" s="869">
        <f t="shared" ref="DE151" si="3663">DE150-DE148</f>
        <v>0</v>
      </c>
      <c r="DF151" s="869">
        <f t="shared" ref="DF151" si="3664">DF150-DF148</f>
        <v>0</v>
      </c>
      <c r="DG151" s="869">
        <f t="shared" ref="DG151" si="3665">DG150-DG148</f>
        <v>0</v>
      </c>
      <c r="DH151" s="869">
        <f t="shared" ref="DH151" si="3666">DH150-DH148</f>
        <v>0</v>
      </c>
      <c r="DI151" s="869">
        <f t="shared" ref="DI151" si="3667">DI150-DI148</f>
        <v>0</v>
      </c>
      <c r="DJ151" s="869">
        <f t="shared" ref="DJ151" si="3668">DJ150-DJ148</f>
        <v>0</v>
      </c>
      <c r="DK151" s="869">
        <f t="shared" ref="DK151" si="3669">DK150-DK148</f>
        <v>0</v>
      </c>
      <c r="DL151" s="869">
        <f t="shared" ref="DL151" si="3670">DL150-DL148</f>
        <v>0</v>
      </c>
      <c r="DM151" s="869">
        <f t="shared" ref="DM151" si="3671">DM150-DM148</f>
        <v>0</v>
      </c>
      <c r="DN151" s="869">
        <f t="shared" ref="DN151" si="3672">DN150-DN148</f>
        <v>0</v>
      </c>
      <c r="DO151" s="869">
        <f t="shared" ref="DO151" si="3673">DO150-DO148</f>
        <v>0</v>
      </c>
      <c r="DP151" s="869">
        <f t="shared" ref="DP151" si="3674">DP150-DP148</f>
        <v>0</v>
      </c>
      <c r="DQ151" s="869">
        <f t="shared" ref="DQ151" si="3675">DQ150-DQ148</f>
        <v>0</v>
      </c>
      <c r="DR151" s="869">
        <f t="shared" ref="DR151" si="3676">DR150-DR148</f>
        <v>0</v>
      </c>
      <c r="DS151" s="869">
        <f t="shared" ref="DS151" si="3677">DS150-DS148</f>
        <v>0</v>
      </c>
      <c r="DT151" s="869">
        <f t="shared" ref="DT151" si="3678">DT150-DT148</f>
        <v>0</v>
      </c>
      <c r="DU151" s="869">
        <f t="shared" ref="DU151" si="3679">DU150-DU148</f>
        <v>0</v>
      </c>
      <c r="DV151" s="869">
        <f t="shared" ref="DV151" si="3680">DV150-DV148</f>
        <v>0</v>
      </c>
      <c r="DW151" s="869">
        <f t="shared" ref="DW151" si="3681">DW150-DW148</f>
        <v>0</v>
      </c>
      <c r="DX151" s="869">
        <f t="shared" ref="DX151" si="3682">DX150-DX148</f>
        <v>0</v>
      </c>
      <c r="DY151" s="869">
        <f t="shared" ref="DY151" si="3683">DY150-DY148</f>
        <v>0</v>
      </c>
      <c r="DZ151" s="869">
        <f t="shared" ref="DZ151" si="3684">DZ150-DZ148</f>
        <v>0</v>
      </c>
      <c r="EA151" s="869">
        <f t="shared" ref="EA151" si="3685">EA150-EA148</f>
        <v>0</v>
      </c>
      <c r="EB151" s="869">
        <f t="shared" ref="EB151" si="3686">EB150-EB148</f>
        <v>0</v>
      </c>
      <c r="EC151" s="869">
        <f t="shared" ref="EC151" si="3687">EC150-EC148</f>
        <v>0</v>
      </c>
      <c r="ED151" s="869">
        <f t="shared" ref="ED151" si="3688">ED150-ED148</f>
        <v>0</v>
      </c>
      <c r="EE151" s="869">
        <f t="shared" ref="EE151" si="3689">EE150-EE148</f>
        <v>0</v>
      </c>
      <c r="EF151" s="869">
        <f t="shared" ref="EF151" si="3690">EF150-EF148</f>
        <v>0</v>
      </c>
      <c r="EG151" s="869">
        <f t="shared" ref="EG151" si="3691">EG150-EG148</f>
        <v>0</v>
      </c>
      <c r="EH151" s="869">
        <f t="shared" ref="EH151" si="3692">EH150-EH148</f>
        <v>0</v>
      </c>
      <c r="EI151" s="869">
        <f t="shared" ref="EI151" si="3693">EI150-EI148</f>
        <v>0</v>
      </c>
      <c r="EJ151" s="869">
        <f t="shared" ref="EJ151" si="3694">EJ150-EJ148</f>
        <v>0</v>
      </c>
      <c r="EK151" s="869">
        <f t="shared" ref="EK151" si="3695">EK150-EK148</f>
        <v>0</v>
      </c>
      <c r="EL151" s="869">
        <f t="shared" ref="EL151" si="3696">EL150-EL148</f>
        <v>0</v>
      </c>
      <c r="EM151" s="869">
        <f t="shared" ref="EM151" si="3697">EM150-EM148</f>
        <v>0</v>
      </c>
      <c r="EN151" s="869">
        <f t="shared" ref="EN151" si="3698">EN150-EN148</f>
        <v>5.8207660913467407E-10</v>
      </c>
      <c r="EO151" s="869"/>
      <c r="EP151" s="869">
        <f t="shared" ref="EP151" si="3699">EP150-EP148</f>
        <v>0</v>
      </c>
      <c r="EQ151" s="869">
        <f t="shared" ref="EQ151" si="3700">EQ150-EQ148</f>
        <v>0</v>
      </c>
      <c r="ER151" s="869">
        <f t="shared" ref="ER151" si="3701">ER150-ER148</f>
        <v>0</v>
      </c>
      <c r="ES151" s="869">
        <f t="shared" ref="ES151" si="3702">ES150-ES148</f>
        <v>0</v>
      </c>
      <c r="ET151" s="869">
        <f t="shared" ref="ET151" si="3703">ET150-ET148</f>
        <v>0</v>
      </c>
      <c r="EU151" s="869">
        <f t="shared" ref="EU151" si="3704">EU150-EU148</f>
        <v>0</v>
      </c>
      <c r="EV151" s="869">
        <f t="shared" ref="EV151" si="3705">EV150-EV148</f>
        <v>0</v>
      </c>
      <c r="EW151" s="869">
        <f t="shared" ref="EW151" si="3706">EW150-EW148</f>
        <v>0</v>
      </c>
      <c r="EX151" s="869">
        <f t="shared" ref="EX151" si="3707">EX150-EX148</f>
        <v>0</v>
      </c>
      <c r="EY151" s="869">
        <f t="shared" ref="EY151" si="3708">EY150-EY148</f>
        <v>0</v>
      </c>
      <c r="EZ151" s="869"/>
      <c r="FA151" s="869">
        <f t="shared" ref="FA151" si="3709">FA150-FA148</f>
        <v>0</v>
      </c>
      <c r="FB151" s="869">
        <f t="shared" ref="FB151" si="3710">FB150-FB148</f>
        <v>0</v>
      </c>
      <c r="FC151" s="869">
        <f t="shared" ref="FC151" si="3711">FC150-FC148</f>
        <v>0</v>
      </c>
      <c r="FD151" s="869">
        <f t="shared" ref="FD151" si="3712">FD150-FD148</f>
        <v>0</v>
      </c>
      <c r="FE151" s="869">
        <f t="shared" ref="FE151" si="3713">FE150-FE148</f>
        <v>0</v>
      </c>
      <c r="FF151" s="869">
        <f t="shared" ref="FF151" si="3714">FF150-FF148</f>
        <v>0</v>
      </c>
      <c r="FG151" s="869">
        <f t="shared" ref="FG151" si="3715">FG150-FG148</f>
        <v>0</v>
      </c>
      <c r="FH151" s="869">
        <f t="shared" ref="FH151" si="3716">FH150-FH148</f>
        <v>0</v>
      </c>
      <c r="FI151" s="869">
        <f t="shared" ref="FI151" si="3717">FI150-FI148</f>
        <v>0</v>
      </c>
      <c r="FJ151" s="869">
        <f t="shared" ref="FJ151" si="3718">FJ150-FJ148</f>
        <v>0</v>
      </c>
      <c r="FK151" s="869"/>
      <c r="FL151" s="869"/>
      <c r="FM151" s="800"/>
      <c r="FN151" s="800"/>
      <c r="FO151" s="800"/>
      <c r="FP151" s="800"/>
      <c r="FQ151" s="778"/>
    </row>
    <row r="152" spans="1:175" s="821" customFormat="1" ht="15.75" customHeight="1" outlineLevel="1">
      <c r="A152" s="1002"/>
      <c r="B152" s="1002"/>
      <c r="F152" s="235"/>
      <c r="G152" s="723"/>
      <c r="M152" s="869"/>
      <c r="N152" s="870"/>
      <c r="O152" s="870"/>
      <c r="P152" s="870"/>
      <c r="Q152" s="870"/>
      <c r="R152" s="870"/>
      <c r="S152" s="870"/>
      <c r="T152" s="814"/>
      <c r="U152" s="869"/>
      <c r="V152" s="869"/>
      <c r="W152" s="869"/>
      <c r="X152" s="869"/>
      <c r="Y152" s="869"/>
      <c r="Z152" s="869"/>
      <c r="AA152" s="869"/>
      <c r="AB152" s="869"/>
      <c r="AC152" s="869"/>
      <c r="AD152" s="869"/>
      <c r="AE152" s="869"/>
      <c r="AF152" s="869"/>
      <c r="AG152" s="869"/>
      <c r="AH152" s="869"/>
      <c r="AI152" s="869"/>
      <c r="AJ152" s="869"/>
      <c r="AK152" s="869"/>
      <c r="AL152" s="869"/>
      <c r="AM152" s="869"/>
      <c r="AN152" s="869"/>
      <c r="AO152" s="869"/>
      <c r="AP152" s="869"/>
      <c r="AQ152" s="869"/>
      <c r="AR152" s="869"/>
      <c r="AS152" s="869"/>
      <c r="AT152" s="869"/>
      <c r="AU152" s="869"/>
      <c r="AV152" s="869"/>
      <c r="AW152" s="869"/>
      <c r="AX152" s="869"/>
      <c r="AY152" s="869"/>
      <c r="AZ152" s="869"/>
      <c r="BA152" s="978"/>
      <c r="BB152" s="869"/>
      <c r="BC152" s="869"/>
      <c r="BD152" s="869"/>
      <c r="BE152" s="869" t="s">
        <v>714</v>
      </c>
      <c r="BF152" s="869"/>
      <c r="BG152" s="869"/>
      <c r="BH152" s="869"/>
      <c r="BI152" s="869"/>
      <c r="BJ152" s="869"/>
      <c r="BK152" s="869"/>
      <c r="BL152" s="869"/>
      <c r="BM152" s="869"/>
      <c r="BN152" s="869"/>
      <c r="BO152" s="869"/>
      <c r="BP152" s="869"/>
      <c r="BQ152" s="869"/>
      <c r="BR152" s="869"/>
      <c r="BS152" s="869"/>
      <c r="BT152" s="869"/>
      <c r="BU152" s="869"/>
      <c r="BV152" s="869"/>
      <c r="BW152" s="869" t="s">
        <v>714</v>
      </c>
      <c r="BX152" s="869"/>
      <c r="BY152" s="869"/>
      <c r="BZ152" s="869"/>
      <c r="CA152" s="869"/>
      <c r="CB152" s="869"/>
      <c r="CC152" s="869"/>
      <c r="CD152" s="869"/>
      <c r="CE152" s="869"/>
      <c r="CF152" s="869"/>
      <c r="CG152" s="869"/>
      <c r="CH152" s="869"/>
      <c r="CI152" s="869"/>
      <c r="CJ152" s="869"/>
      <c r="CK152" s="869"/>
      <c r="CL152" s="869"/>
      <c r="CM152" s="869"/>
      <c r="CN152" s="869"/>
      <c r="CO152" s="869"/>
      <c r="CP152" s="869"/>
      <c r="CQ152" s="869"/>
      <c r="CR152" s="869"/>
      <c r="CS152" s="869"/>
      <c r="CT152" s="869"/>
      <c r="CU152" s="869"/>
      <c r="CV152" s="869"/>
      <c r="CW152" s="869"/>
      <c r="CX152" s="869"/>
      <c r="CY152" s="869"/>
      <c r="CZ152" s="869"/>
      <c r="DA152" s="869"/>
      <c r="DB152" s="869"/>
      <c r="DC152" s="869"/>
      <c r="DD152" s="869"/>
      <c r="DE152" s="869"/>
      <c r="DF152" s="869"/>
      <c r="DG152" s="869"/>
      <c r="DH152" s="869"/>
      <c r="DI152" s="869"/>
      <c r="DJ152" s="869"/>
      <c r="DK152" s="869"/>
      <c r="DL152" s="869"/>
      <c r="DM152" s="869"/>
      <c r="DN152" s="869"/>
      <c r="DO152" s="869"/>
      <c r="DP152" s="869"/>
      <c r="DQ152" s="869"/>
      <c r="DR152" s="869"/>
      <c r="DS152" s="869"/>
      <c r="DT152" s="869"/>
      <c r="DU152" s="869"/>
      <c r="DV152" s="869"/>
      <c r="DW152" s="869"/>
      <c r="DX152" s="869"/>
      <c r="DY152" s="869"/>
      <c r="DZ152" s="869"/>
      <c r="EA152" s="869"/>
      <c r="EB152" s="869"/>
      <c r="EC152" s="869"/>
      <c r="ED152" s="869"/>
      <c r="EE152" s="869"/>
      <c r="EF152" s="869"/>
      <c r="EG152" s="869"/>
      <c r="EH152" s="869"/>
      <c r="EI152" s="869"/>
      <c r="EJ152" s="869"/>
      <c r="EK152" s="869"/>
      <c r="EL152" s="869"/>
      <c r="EM152" s="869"/>
      <c r="EN152" s="869"/>
      <c r="EO152" s="869"/>
      <c r="EP152" s="869"/>
      <c r="EQ152" s="869"/>
      <c r="ER152" s="869"/>
      <c r="ES152" s="869"/>
      <c r="ET152" s="869"/>
      <c r="EU152" s="869"/>
      <c r="EV152" s="869"/>
      <c r="EW152" s="869"/>
      <c r="EX152" s="869"/>
      <c r="EY152" s="869"/>
      <c r="EZ152" s="869"/>
      <c r="FA152" s="869"/>
      <c r="FB152" s="869"/>
      <c r="FC152" s="869"/>
      <c r="FD152" s="869"/>
      <c r="FE152" s="869"/>
      <c r="FF152" s="869"/>
      <c r="FG152" s="869"/>
      <c r="FH152" s="869"/>
      <c r="FI152" s="869"/>
      <c r="FJ152" s="869"/>
      <c r="FK152" s="800"/>
      <c r="FL152" s="800"/>
      <c r="FM152" s="800"/>
      <c r="FN152" s="800"/>
      <c r="FO152" s="800"/>
      <c r="FP152" s="800"/>
      <c r="FQ152" s="778"/>
    </row>
    <row r="153" spans="1:175" ht="14.4">
      <c r="BA153" s="1008" t="s">
        <v>37</v>
      </c>
      <c r="BB153" s="1008" t="s">
        <v>38</v>
      </c>
      <c r="BC153" s="1008" t="s">
        <v>44</v>
      </c>
      <c r="BD153" s="1008" t="s">
        <v>343</v>
      </c>
      <c r="BE153" s="1008" t="s">
        <v>45</v>
      </c>
      <c r="BF153" s="1008" t="s">
        <v>344</v>
      </c>
      <c r="BG153" s="1008" t="s">
        <v>46</v>
      </c>
      <c r="BH153" s="1008" t="s">
        <v>47</v>
      </c>
      <c r="BI153" s="1009"/>
      <c r="BJ153" s="1008" t="s">
        <v>37</v>
      </c>
      <c r="BK153" s="1008" t="s">
        <v>38</v>
      </c>
      <c r="BL153" s="1008" t="s">
        <v>44</v>
      </c>
      <c r="BM153" s="1008" t="s">
        <v>343</v>
      </c>
      <c r="BN153" s="1008" t="s">
        <v>45</v>
      </c>
      <c r="BO153" s="1008" t="s">
        <v>344</v>
      </c>
      <c r="BP153" s="1008" t="s">
        <v>46</v>
      </c>
      <c r="BQ153" s="1008" t="s">
        <v>47</v>
      </c>
      <c r="BR153" s="1009"/>
      <c r="BS153" s="1008" t="s">
        <v>37</v>
      </c>
      <c r="BT153" s="1008" t="s">
        <v>38</v>
      </c>
      <c r="BU153" s="1008" t="s">
        <v>44</v>
      </c>
      <c r="BV153" s="1008" t="s">
        <v>343</v>
      </c>
      <c r="BW153" s="1008" t="s">
        <v>45</v>
      </c>
      <c r="BX153" s="1008" t="s">
        <v>344</v>
      </c>
      <c r="BY153" s="1008" t="s">
        <v>46</v>
      </c>
      <c r="BZ153" s="1008" t="s">
        <v>47</v>
      </c>
      <c r="CA153" s="1009"/>
      <c r="CB153" s="1008" t="s">
        <v>37</v>
      </c>
      <c r="CC153" s="1008" t="s">
        <v>38</v>
      </c>
      <c r="CD153" s="1008" t="s">
        <v>44</v>
      </c>
      <c r="CE153" s="1008" t="s">
        <v>343</v>
      </c>
      <c r="CF153" s="1008" t="s">
        <v>45</v>
      </c>
      <c r="CG153" s="1008" t="s">
        <v>344</v>
      </c>
      <c r="CH153" s="1008" t="s">
        <v>46</v>
      </c>
      <c r="CI153" s="1008" t="s">
        <v>47</v>
      </c>
      <c r="CJ153" s="1009"/>
      <c r="CK153" s="1008" t="s">
        <v>37</v>
      </c>
      <c r="CL153" s="1008" t="s">
        <v>38</v>
      </c>
      <c r="CM153" s="1008" t="s">
        <v>44</v>
      </c>
      <c r="CN153" s="1008" t="s">
        <v>343</v>
      </c>
      <c r="CO153" s="1008" t="s">
        <v>45</v>
      </c>
      <c r="CP153" s="1008" t="s">
        <v>344</v>
      </c>
      <c r="CQ153" s="1008" t="s">
        <v>46</v>
      </c>
      <c r="CR153" s="1008" t="s">
        <v>47</v>
      </c>
      <c r="CS153" s="1009"/>
      <c r="EF153" s="720">
        <f>+BA150+BJ148+BS148+CB148+CK148-EF148</f>
        <v>0</v>
      </c>
      <c r="EG153" s="720">
        <f>+BB150+BK148+BT148+CC148+CL148-EG148</f>
        <v>0</v>
      </c>
      <c r="EH153" s="720">
        <f>+BC148+BL148+BU148+CM148</f>
        <v>245.5</v>
      </c>
      <c r="EI153" s="720">
        <f>+BD148+BM148+BV148+CE148+CN148</f>
        <v>6682.5644687499998</v>
      </c>
      <c r="EJ153" s="720">
        <f t="shared" ref="EJ153:EL153" si="3719">EJ148-BE148-BN148-BW148-CF148-CO148</f>
        <v>0</v>
      </c>
      <c r="EK153" s="720">
        <f t="shared" si="3719"/>
        <v>0</v>
      </c>
      <c r="EL153" s="720">
        <f t="shared" si="3719"/>
        <v>0</v>
      </c>
      <c r="FA153" s="1184">
        <f>FA148-ECONACIONAL!S166</f>
        <v>0</v>
      </c>
      <c r="FB153" s="1184">
        <f>FB148-ECONACIONAL!T166</f>
        <v>0</v>
      </c>
      <c r="FC153" s="1184">
        <f>FC148-ECONACIONAL!U166</f>
        <v>0</v>
      </c>
      <c r="FD153" s="1184">
        <f>FD148-ECONACIONAL!X166</f>
        <v>0</v>
      </c>
      <c r="FE153" s="1184"/>
      <c r="FH153" s="1183">
        <f>FH148-ECONACIONAL!W166</f>
        <v>0</v>
      </c>
      <c r="FI153" s="1183">
        <f>FI148-ECONACIONAL!V166</f>
        <v>0</v>
      </c>
      <c r="FJ153" s="1183">
        <f>FJ148-ECONACIONAL!Y166</f>
        <v>0</v>
      </c>
    </row>
    <row r="154" spans="1:175" ht="13.2">
      <c r="G154" s="719">
        <v>1</v>
      </c>
      <c r="H154" s="899" t="s">
        <v>51</v>
      </c>
      <c r="EF154" s="720">
        <f>ECONACIONAL!H166-EF148</f>
        <v>5.0000000628642738E-3</v>
      </c>
      <c r="EG154" s="720">
        <f>ECONACIONAL!I166-EG148</f>
        <v>-1.6666666633682325E-3</v>
      </c>
      <c r="EH154" s="720">
        <f>ECONACIONAL!K166-EH148</f>
        <v>0</v>
      </c>
      <c r="EI154" s="720">
        <f>ECONACIONAL!L166-EI148</f>
        <v>2.5531249999403371E-2</v>
      </c>
      <c r="EJ154" s="720">
        <f>ECONACIONAL!M166-EJ148</f>
        <v>0</v>
      </c>
      <c r="EK154" s="720">
        <f>ECONACIONAL!N166-EK148</f>
        <v>0</v>
      </c>
      <c r="EL154" s="720">
        <f>ECONACIONAL!O166+ECONACIONAL!P166-EL148</f>
        <v>0</v>
      </c>
    </row>
    <row r="155" spans="1:175" ht="13.2">
      <c r="G155" s="719" t="s">
        <v>729</v>
      </c>
      <c r="H155" s="714" t="s">
        <v>53</v>
      </c>
    </row>
    <row r="156" spans="1:175" ht="13.2">
      <c r="G156" s="719">
        <v>3</v>
      </c>
      <c r="H156" s="714" t="s">
        <v>58</v>
      </c>
      <c r="BA156" s="720">
        <f t="shared" ref="BA156:CS156" si="3720">+BA12+BA15+BA18</f>
        <v>6502.2800000000007</v>
      </c>
      <c r="BB156" s="720">
        <f t="shared" si="3720"/>
        <v>750.00000000000011</v>
      </c>
      <c r="BC156" s="720">
        <f t="shared" si="3720"/>
        <v>0</v>
      </c>
      <c r="BD156" s="720">
        <f t="shared" si="3720"/>
        <v>0</v>
      </c>
      <c r="BE156" s="720">
        <f t="shared" si="3720"/>
        <v>0</v>
      </c>
      <c r="BF156" s="720">
        <f t="shared" si="3720"/>
        <v>0</v>
      </c>
      <c r="BG156" s="720">
        <f t="shared" si="3720"/>
        <v>0</v>
      </c>
      <c r="BH156" s="720">
        <f t="shared" si="3720"/>
        <v>823.83887600000003</v>
      </c>
      <c r="BI156" s="720">
        <f t="shared" si="3720"/>
        <v>8076.1188760000005</v>
      </c>
      <c r="BJ156" s="720">
        <f t="shared" si="3720"/>
        <v>5602.0520000000006</v>
      </c>
      <c r="BK156" s="720">
        <f t="shared" si="3720"/>
        <v>625.00000000000011</v>
      </c>
      <c r="BL156" s="720">
        <f t="shared" si="3720"/>
        <v>0</v>
      </c>
      <c r="BM156" s="720">
        <f t="shared" si="3720"/>
        <v>0</v>
      </c>
      <c r="BN156" s="720">
        <f t="shared" si="3720"/>
        <v>0</v>
      </c>
      <c r="BO156" s="720">
        <f t="shared" si="3720"/>
        <v>0</v>
      </c>
      <c r="BP156" s="720">
        <f t="shared" si="3720"/>
        <v>0</v>
      </c>
      <c r="BQ156" s="720">
        <f t="shared" si="3720"/>
        <v>709.77998840000009</v>
      </c>
      <c r="BR156" s="720">
        <f t="shared" si="3720"/>
        <v>6936.8319884000002</v>
      </c>
      <c r="BS156" s="720">
        <f t="shared" si="3720"/>
        <v>900.22800000000007</v>
      </c>
      <c r="BT156" s="720">
        <f t="shared" si="3720"/>
        <v>125.00000000000001</v>
      </c>
      <c r="BU156" s="720">
        <f t="shared" si="3720"/>
        <v>0</v>
      </c>
      <c r="BV156" s="720">
        <f t="shared" si="3720"/>
        <v>0</v>
      </c>
      <c r="BW156" s="720">
        <f t="shared" si="3720"/>
        <v>0</v>
      </c>
      <c r="BX156" s="720">
        <f t="shared" si="3720"/>
        <v>0</v>
      </c>
      <c r="BY156" s="720">
        <f t="shared" si="3720"/>
        <v>0</v>
      </c>
      <c r="BZ156" s="720">
        <f t="shared" si="3720"/>
        <v>99.370519999999999</v>
      </c>
      <c r="CA156" s="720">
        <f t="shared" si="3720"/>
        <v>1124.59852</v>
      </c>
      <c r="CB156" s="720">
        <f t="shared" si="3720"/>
        <v>0</v>
      </c>
      <c r="CC156" s="720">
        <f t="shared" si="3720"/>
        <v>0</v>
      </c>
      <c r="CD156" s="720">
        <f t="shared" si="3720"/>
        <v>0</v>
      </c>
      <c r="CE156" s="720">
        <f t="shared" si="3720"/>
        <v>0</v>
      </c>
      <c r="CF156" s="720">
        <f t="shared" si="3720"/>
        <v>0</v>
      </c>
      <c r="CG156" s="720">
        <f t="shared" si="3720"/>
        <v>0</v>
      </c>
      <c r="CH156" s="720">
        <f t="shared" si="3720"/>
        <v>0</v>
      </c>
      <c r="CI156" s="720">
        <f t="shared" si="3720"/>
        <v>0</v>
      </c>
      <c r="CJ156" s="720">
        <f t="shared" si="3720"/>
        <v>0</v>
      </c>
      <c r="CK156" s="720">
        <f t="shared" si="3720"/>
        <v>0</v>
      </c>
      <c r="CL156" s="720">
        <f t="shared" si="3720"/>
        <v>0</v>
      </c>
      <c r="CM156" s="720">
        <f t="shared" si="3720"/>
        <v>0</v>
      </c>
      <c r="CN156" s="720">
        <f t="shared" si="3720"/>
        <v>0</v>
      </c>
      <c r="CO156" s="720">
        <f t="shared" si="3720"/>
        <v>0</v>
      </c>
      <c r="CP156" s="720">
        <f t="shared" si="3720"/>
        <v>0</v>
      </c>
      <c r="CQ156" s="720">
        <f t="shared" si="3720"/>
        <v>0</v>
      </c>
      <c r="CR156" s="720">
        <f t="shared" si="3720"/>
        <v>0</v>
      </c>
      <c r="CS156" s="720">
        <f t="shared" si="3720"/>
        <v>0</v>
      </c>
      <c r="CT156" s="720"/>
    </row>
    <row r="157" spans="1:175" ht="13.2">
      <c r="G157" s="719">
        <f>+G156+1</f>
        <v>4</v>
      </c>
      <c r="H157" s="714" t="s">
        <v>64</v>
      </c>
      <c r="BA157" s="720">
        <f t="shared" ref="BA157:CS157" si="3721">BA48+BA51+BA54+BA38+BA57</f>
        <v>38388.4804</v>
      </c>
      <c r="BB157" s="720">
        <f t="shared" si="3721"/>
        <v>14255.218799999999</v>
      </c>
      <c r="BC157" s="720">
        <f t="shared" si="3721"/>
        <v>0</v>
      </c>
      <c r="BD157" s="720">
        <f t="shared" si="3721"/>
        <v>0</v>
      </c>
      <c r="BE157" s="720">
        <f t="shared" si="3721"/>
        <v>0</v>
      </c>
      <c r="BF157" s="720">
        <f t="shared" si="3721"/>
        <v>0</v>
      </c>
      <c r="BG157" s="720">
        <f t="shared" si="3721"/>
        <v>0</v>
      </c>
      <c r="BH157" s="720">
        <f t="shared" si="3721"/>
        <v>4863.8204666800002</v>
      </c>
      <c r="BI157" s="720">
        <f t="shared" si="3721"/>
        <v>57507.519666679997</v>
      </c>
      <c r="BJ157" s="720">
        <f t="shared" si="3721"/>
        <v>28178.457600000002</v>
      </c>
      <c r="BK157" s="720">
        <f t="shared" si="3721"/>
        <v>10245.1672</v>
      </c>
      <c r="BL157" s="720">
        <f t="shared" si="3721"/>
        <v>0</v>
      </c>
      <c r="BM157" s="720">
        <f t="shared" si="3721"/>
        <v>0</v>
      </c>
      <c r="BN157" s="720">
        <f t="shared" si="3721"/>
        <v>0</v>
      </c>
      <c r="BO157" s="720">
        <f t="shared" si="3721"/>
        <v>0</v>
      </c>
      <c r="BP157" s="720">
        <f t="shared" si="3721"/>
        <v>0</v>
      </c>
      <c r="BQ157" s="720">
        <f t="shared" si="3721"/>
        <v>3570.2105779200006</v>
      </c>
      <c r="BR157" s="720">
        <f t="shared" si="3721"/>
        <v>41993.835377919997</v>
      </c>
      <c r="BS157" s="720">
        <f t="shared" si="3721"/>
        <v>3567.8420000000001</v>
      </c>
      <c r="BT157" s="720">
        <f t="shared" si="3721"/>
        <v>1629.7740000000001</v>
      </c>
      <c r="BU157" s="720">
        <f t="shared" si="3721"/>
        <v>0</v>
      </c>
      <c r="BV157" s="720">
        <f t="shared" si="3721"/>
        <v>0</v>
      </c>
      <c r="BW157" s="720">
        <f t="shared" si="3721"/>
        <v>0</v>
      </c>
      <c r="BX157" s="720">
        <f t="shared" si="3721"/>
        <v>0</v>
      </c>
      <c r="BY157" s="720">
        <f t="shared" si="3721"/>
        <v>0</v>
      </c>
      <c r="BZ157" s="720">
        <f t="shared" si="3721"/>
        <v>452.0455814</v>
      </c>
      <c r="CA157" s="720">
        <f t="shared" si="3721"/>
        <v>5649.6615813999997</v>
      </c>
      <c r="CB157" s="720">
        <f t="shared" si="3721"/>
        <v>8167.5</v>
      </c>
      <c r="CC157" s="720">
        <f t="shared" si="3721"/>
        <v>2975</v>
      </c>
      <c r="CD157" s="720">
        <f t="shared" si="3721"/>
        <v>0</v>
      </c>
      <c r="CE157" s="720">
        <f t="shared" si="3721"/>
        <v>0</v>
      </c>
      <c r="CF157" s="720">
        <f t="shared" si="3721"/>
        <v>0</v>
      </c>
      <c r="CG157" s="720">
        <f t="shared" si="3721"/>
        <v>0</v>
      </c>
      <c r="CH157" s="720">
        <f t="shared" si="3721"/>
        <v>0</v>
      </c>
      <c r="CI157" s="720">
        <f t="shared" si="3721"/>
        <v>1034.8222499999999</v>
      </c>
      <c r="CJ157" s="720">
        <f t="shared" si="3721"/>
        <v>12177.322249999999</v>
      </c>
      <c r="CK157" s="720">
        <f t="shared" si="3721"/>
        <v>0</v>
      </c>
      <c r="CL157" s="720">
        <f t="shared" si="3721"/>
        <v>0</v>
      </c>
      <c r="CM157" s="720">
        <f t="shared" si="3721"/>
        <v>0</v>
      </c>
      <c r="CN157" s="720">
        <f t="shared" si="3721"/>
        <v>0</v>
      </c>
      <c r="CO157" s="720">
        <f t="shared" si="3721"/>
        <v>0</v>
      </c>
      <c r="CP157" s="720">
        <f t="shared" si="3721"/>
        <v>0</v>
      </c>
      <c r="CQ157" s="720">
        <f t="shared" si="3721"/>
        <v>0</v>
      </c>
      <c r="CR157" s="720">
        <f t="shared" si="3721"/>
        <v>0</v>
      </c>
      <c r="CS157" s="720">
        <f t="shared" si="3721"/>
        <v>0</v>
      </c>
      <c r="CT157" s="720"/>
      <c r="CU157" s="720"/>
      <c r="EI157" s="720">
        <f>3779.15-3590.33</f>
        <v>188.82000000000016</v>
      </c>
    </row>
    <row r="158" spans="1:175" ht="13.2">
      <c r="G158" s="719">
        <f t="shared" ref="G158:G185" si="3722">+G157+1</f>
        <v>5</v>
      </c>
      <c r="H158" s="714" t="s">
        <v>69</v>
      </c>
    </row>
    <row r="159" spans="1:175" ht="13.2">
      <c r="G159" s="719">
        <f t="shared" si="3722"/>
        <v>6</v>
      </c>
      <c r="H159" s="714" t="s">
        <v>71</v>
      </c>
      <c r="BA159" s="720">
        <f t="shared" ref="BA159:CS159" si="3723">BA126</f>
        <v>16990.145833333336</v>
      </c>
      <c r="BB159" s="720">
        <f t="shared" si="3723"/>
        <v>3848.5208333333335</v>
      </c>
      <c r="BC159" s="720">
        <f t="shared" si="3723"/>
        <v>57</v>
      </c>
      <c r="BD159" s="720">
        <f t="shared" si="3723"/>
        <v>1586.52609375</v>
      </c>
      <c r="BE159" s="720">
        <f t="shared" si="3723"/>
        <v>0</v>
      </c>
      <c r="BF159" s="720">
        <f t="shared" si="3723"/>
        <v>0</v>
      </c>
      <c r="BG159" s="720">
        <f t="shared" si="3723"/>
        <v>0</v>
      </c>
      <c r="BH159" s="720">
        <f t="shared" si="3723"/>
        <v>2353.6643331614587</v>
      </c>
      <c r="BI159" s="720">
        <f t="shared" si="3723"/>
        <v>24778.857093578124</v>
      </c>
      <c r="BJ159" s="720">
        <f t="shared" si="3723"/>
        <v>9020.8875000000007</v>
      </c>
      <c r="BK159" s="720">
        <f t="shared" si="3723"/>
        <v>2203.1125000000002</v>
      </c>
      <c r="BL159" s="720">
        <f t="shared" si="3723"/>
        <v>78.5</v>
      </c>
      <c r="BM159" s="720">
        <f t="shared" si="3723"/>
        <v>2157.9693750000001</v>
      </c>
      <c r="BN159" s="720">
        <f t="shared" si="3723"/>
        <v>0</v>
      </c>
      <c r="BO159" s="720">
        <f t="shared" si="3723"/>
        <v>0</v>
      </c>
      <c r="BP159" s="720">
        <f t="shared" si="3723"/>
        <v>0</v>
      </c>
      <c r="BQ159" s="720">
        <f t="shared" si="3723"/>
        <v>1416.3611660624999</v>
      </c>
      <c r="BR159" s="720">
        <f t="shared" si="3723"/>
        <v>14798.330541062502</v>
      </c>
      <c r="BS159" s="720">
        <f t="shared" si="3723"/>
        <v>5699.2583333333332</v>
      </c>
      <c r="BT159" s="720">
        <f t="shared" si="3723"/>
        <v>1415.4083333333333</v>
      </c>
      <c r="BU159" s="720">
        <f t="shared" si="3723"/>
        <v>0</v>
      </c>
      <c r="BV159" s="720">
        <f t="shared" si="3723"/>
        <v>0</v>
      </c>
      <c r="BW159" s="720">
        <f t="shared" si="3723"/>
        <v>0</v>
      </c>
      <c r="BX159" s="720">
        <f t="shared" si="3723"/>
        <v>0</v>
      </c>
      <c r="BY159" s="720">
        <f t="shared" si="3723"/>
        <v>0</v>
      </c>
      <c r="BZ159" s="720">
        <f t="shared" si="3723"/>
        <v>722.09603083333332</v>
      </c>
      <c r="CA159" s="720">
        <f t="shared" si="3723"/>
        <v>7836.7626975000012</v>
      </c>
      <c r="CB159" s="720">
        <f t="shared" si="3723"/>
        <v>566</v>
      </c>
      <c r="CC159" s="720">
        <f t="shared" si="3723"/>
        <v>210</v>
      </c>
      <c r="CD159" s="720">
        <f t="shared" si="3723"/>
        <v>0</v>
      </c>
      <c r="CE159" s="720">
        <f t="shared" si="3723"/>
        <v>0</v>
      </c>
      <c r="CF159" s="720">
        <f t="shared" si="3723"/>
        <v>0</v>
      </c>
      <c r="CG159" s="720">
        <f t="shared" si="3723"/>
        <v>0</v>
      </c>
      <c r="CH159" s="720">
        <f t="shared" si="3723"/>
        <v>0</v>
      </c>
      <c r="CI159" s="720">
        <f t="shared" si="3723"/>
        <v>71.712199999999996</v>
      </c>
      <c r="CJ159" s="720">
        <f t="shared" si="3723"/>
        <v>847.71220000000005</v>
      </c>
      <c r="CK159" s="720">
        <f t="shared" si="3723"/>
        <v>0</v>
      </c>
      <c r="CL159" s="720">
        <f t="shared" si="3723"/>
        <v>0</v>
      </c>
      <c r="CM159" s="720">
        <f t="shared" si="3723"/>
        <v>0</v>
      </c>
      <c r="CN159" s="720">
        <f t="shared" si="3723"/>
        <v>0</v>
      </c>
      <c r="CO159" s="720">
        <f t="shared" si="3723"/>
        <v>0</v>
      </c>
      <c r="CP159" s="720">
        <f t="shared" si="3723"/>
        <v>0</v>
      </c>
      <c r="CQ159" s="720">
        <f t="shared" si="3723"/>
        <v>0</v>
      </c>
      <c r="CR159" s="720">
        <f t="shared" si="3723"/>
        <v>0</v>
      </c>
      <c r="CS159" s="720">
        <f t="shared" si="3723"/>
        <v>0</v>
      </c>
    </row>
    <row r="160" spans="1:175" ht="13.2">
      <c r="G160" s="719">
        <f t="shared" si="3722"/>
        <v>7</v>
      </c>
      <c r="H160" s="714" t="s">
        <v>74</v>
      </c>
      <c r="BA160" s="720">
        <f t="shared" ref="BA160:CS160" si="3724">+BA32</f>
        <v>7990</v>
      </c>
      <c r="BB160" s="720">
        <f t="shared" si="3724"/>
        <v>4320</v>
      </c>
      <c r="BC160" s="720">
        <f t="shared" si="3724"/>
        <v>0</v>
      </c>
      <c r="BD160" s="720">
        <f t="shared" si="3724"/>
        <v>0</v>
      </c>
      <c r="BE160" s="720">
        <f t="shared" si="3724"/>
        <v>0</v>
      </c>
      <c r="BF160" s="720">
        <f t="shared" si="3724"/>
        <v>0</v>
      </c>
      <c r="BG160" s="720">
        <f t="shared" si="3724"/>
        <v>0</v>
      </c>
      <c r="BH160" s="720">
        <f t="shared" si="3724"/>
        <v>1012.3330000000001</v>
      </c>
      <c r="BI160" s="720">
        <f t="shared" si="3724"/>
        <v>13322.332999999999</v>
      </c>
      <c r="BJ160" s="720">
        <f t="shared" si="3724"/>
        <v>7044</v>
      </c>
      <c r="BK160" s="720">
        <f t="shared" si="3724"/>
        <v>3867</v>
      </c>
      <c r="BL160" s="720">
        <f t="shared" si="3724"/>
        <v>0</v>
      </c>
      <c r="BM160" s="720">
        <f t="shared" si="3724"/>
        <v>0</v>
      </c>
      <c r="BN160" s="720">
        <f t="shared" si="3724"/>
        <v>0</v>
      </c>
      <c r="BO160" s="720">
        <f t="shared" si="3724"/>
        <v>0</v>
      </c>
      <c r="BP160" s="720">
        <f t="shared" si="3724"/>
        <v>0</v>
      </c>
      <c r="BQ160" s="720">
        <f t="shared" si="3724"/>
        <v>892.47480000000007</v>
      </c>
      <c r="BR160" s="720">
        <f t="shared" si="3724"/>
        <v>11803.4748</v>
      </c>
      <c r="BS160" s="720">
        <f t="shared" si="3724"/>
        <v>736</v>
      </c>
      <c r="BT160" s="720">
        <f t="shared" si="3724"/>
        <v>423</v>
      </c>
      <c r="BU160" s="720">
        <f t="shared" si="3724"/>
        <v>0</v>
      </c>
      <c r="BV160" s="720">
        <f t="shared" si="3724"/>
        <v>0</v>
      </c>
      <c r="BW160" s="720">
        <f t="shared" si="3724"/>
        <v>0</v>
      </c>
      <c r="BX160" s="720">
        <f t="shared" si="3724"/>
        <v>0</v>
      </c>
      <c r="BY160" s="720">
        <f t="shared" si="3724"/>
        <v>0</v>
      </c>
      <c r="BZ160" s="720">
        <f t="shared" si="3724"/>
        <v>93.251200000000011</v>
      </c>
      <c r="CA160" s="720">
        <f t="shared" si="3724"/>
        <v>1252.2512000000002</v>
      </c>
      <c r="CB160" s="720">
        <f t="shared" si="3724"/>
        <v>630</v>
      </c>
      <c r="CC160" s="720">
        <f t="shared" si="3724"/>
        <v>90</v>
      </c>
      <c r="CD160" s="720">
        <f t="shared" si="3724"/>
        <v>0</v>
      </c>
      <c r="CE160" s="720">
        <f t="shared" si="3724"/>
        <v>0</v>
      </c>
      <c r="CF160" s="720">
        <f t="shared" si="3724"/>
        <v>0</v>
      </c>
      <c r="CG160" s="720">
        <f t="shared" si="3724"/>
        <v>0</v>
      </c>
      <c r="CH160" s="720">
        <f t="shared" si="3724"/>
        <v>0</v>
      </c>
      <c r="CI160" s="720">
        <f t="shared" si="3724"/>
        <v>79.820999999999998</v>
      </c>
      <c r="CJ160" s="720">
        <f t="shared" si="3724"/>
        <v>799.82100000000003</v>
      </c>
      <c r="CK160" s="720">
        <f t="shared" si="3724"/>
        <v>0</v>
      </c>
      <c r="CL160" s="720">
        <f t="shared" si="3724"/>
        <v>0</v>
      </c>
      <c r="CM160" s="720">
        <f t="shared" si="3724"/>
        <v>0</v>
      </c>
      <c r="CN160" s="720">
        <f t="shared" si="3724"/>
        <v>0</v>
      </c>
      <c r="CO160" s="720">
        <f t="shared" si="3724"/>
        <v>0</v>
      </c>
      <c r="CP160" s="720">
        <f t="shared" si="3724"/>
        <v>0</v>
      </c>
      <c r="CQ160" s="720">
        <f t="shared" si="3724"/>
        <v>0</v>
      </c>
      <c r="CR160" s="720">
        <f t="shared" si="3724"/>
        <v>0</v>
      </c>
      <c r="CS160" s="720">
        <f t="shared" si="3724"/>
        <v>0</v>
      </c>
    </row>
    <row r="161" spans="7:98" ht="13.2">
      <c r="G161" s="719">
        <f t="shared" si="3722"/>
        <v>8</v>
      </c>
      <c r="H161" s="714" t="s">
        <v>76</v>
      </c>
      <c r="BA161" s="720">
        <f t="shared" ref="BA161:CS161" si="3725">+BA26</f>
        <v>9615.0149999999994</v>
      </c>
      <c r="BB161" s="720">
        <f t="shared" si="3725"/>
        <v>2725</v>
      </c>
      <c r="BC161" s="720">
        <f t="shared" si="3725"/>
        <v>0</v>
      </c>
      <c r="BD161" s="720">
        <f t="shared" si="3725"/>
        <v>0</v>
      </c>
      <c r="BE161" s="720">
        <f t="shared" si="3725"/>
        <v>0</v>
      </c>
      <c r="BF161" s="720">
        <f t="shared" si="3725"/>
        <v>0</v>
      </c>
      <c r="BG161" s="720">
        <f t="shared" si="3725"/>
        <v>0</v>
      </c>
      <c r="BH161" s="720">
        <f t="shared" si="3725"/>
        <v>1218.2224005</v>
      </c>
      <c r="BI161" s="720">
        <f t="shared" si="3725"/>
        <v>13558.2374005</v>
      </c>
      <c r="BJ161" s="720">
        <f t="shared" si="3725"/>
        <v>8466.2635000000009</v>
      </c>
      <c r="BK161" s="720">
        <f t="shared" si="3725"/>
        <v>2387.5</v>
      </c>
      <c r="BL161" s="720">
        <f t="shared" si="3725"/>
        <v>0</v>
      </c>
      <c r="BM161" s="720">
        <f t="shared" si="3725"/>
        <v>0</v>
      </c>
      <c r="BN161" s="720">
        <f t="shared" si="3725"/>
        <v>0</v>
      </c>
      <c r="BO161" s="720">
        <f t="shared" si="3725"/>
        <v>0</v>
      </c>
      <c r="BP161" s="720">
        <f t="shared" si="3725"/>
        <v>0</v>
      </c>
      <c r="BQ161" s="720">
        <f t="shared" si="3725"/>
        <v>1072.6755854500002</v>
      </c>
      <c r="BR161" s="720">
        <f t="shared" si="3725"/>
        <v>11926.439085450002</v>
      </c>
      <c r="BS161" s="720">
        <f t="shared" si="3725"/>
        <v>1148.7514999999999</v>
      </c>
      <c r="BT161" s="720">
        <f t="shared" si="3725"/>
        <v>337.5</v>
      </c>
      <c r="BU161" s="720">
        <f t="shared" si="3725"/>
        <v>0</v>
      </c>
      <c r="BV161" s="720">
        <f t="shared" si="3725"/>
        <v>0</v>
      </c>
      <c r="BW161" s="720">
        <f t="shared" si="3725"/>
        <v>0</v>
      </c>
      <c r="BX161" s="720">
        <f t="shared" si="3725"/>
        <v>0</v>
      </c>
      <c r="BY161" s="720">
        <f t="shared" si="3725"/>
        <v>0</v>
      </c>
      <c r="BZ161" s="720">
        <f t="shared" si="3725"/>
        <v>145.54681504999999</v>
      </c>
      <c r="CA161" s="720">
        <f t="shared" si="3725"/>
        <v>1631.7983150499999</v>
      </c>
      <c r="CB161" s="720">
        <f t="shared" si="3725"/>
        <v>3745</v>
      </c>
      <c r="CC161" s="720">
        <f t="shared" si="3725"/>
        <v>1300</v>
      </c>
      <c r="CD161" s="720">
        <f t="shared" si="3725"/>
        <v>0</v>
      </c>
      <c r="CE161" s="720">
        <f t="shared" si="3725"/>
        <v>0</v>
      </c>
      <c r="CF161" s="720">
        <f t="shared" si="3725"/>
        <v>0</v>
      </c>
      <c r="CG161" s="720">
        <f t="shared" si="3725"/>
        <v>0</v>
      </c>
      <c r="CH161" s="720">
        <f t="shared" si="3725"/>
        <v>0</v>
      </c>
      <c r="CI161" s="720">
        <f t="shared" si="3725"/>
        <v>474.49149999999997</v>
      </c>
      <c r="CJ161" s="720">
        <f t="shared" si="3725"/>
        <v>5519.4915000000001</v>
      </c>
      <c r="CK161" s="720">
        <f t="shared" si="3725"/>
        <v>0</v>
      </c>
      <c r="CL161" s="720">
        <f t="shared" si="3725"/>
        <v>0</v>
      </c>
      <c r="CM161" s="720">
        <f t="shared" si="3725"/>
        <v>0</v>
      </c>
      <c r="CN161" s="720">
        <f t="shared" si="3725"/>
        <v>0</v>
      </c>
      <c r="CO161" s="720">
        <f t="shared" si="3725"/>
        <v>0</v>
      </c>
      <c r="CP161" s="720">
        <f t="shared" si="3725"/>
        <v>0</v>
      </c>
      <c r="CQ161" s="720">
        <f t="shared" si="3725"/>
        <v>0</v>
      </c>
      <c r="CR161" s="720">
        <f t="shared" si="3725"/>
        <v>0</v>
      </c>
      <c r="CS161" s="720">
        <f t="shared" si="3725"/>
        <v>0</v>
      </c>
    </row>
    <row r="162" spans="7:98" ht="13.2">
      <c r="G162" s="719">
        <f t="shared" si="3722"/>
        <v>9</v>
      </c>
      <c r="H162" s="714" t="s">
        <v>80</v>
      </c>
      <c r="CT162" s="720"/>
    </row>
    <row r="163" spans="7:98" ht="13.2">
      <c r="G163" s="719">
        <f t="shared" si="3722"/>
        <v>10</v>
      </c>
      <c r="H163" s="714" t="s">
        <v>81</v>
      </c>
      <c r="BA163" s="720">
        <f t="shared" ref="BA163:CS163" si="3726">+BA114</f>
        <v>12857.464666666667</v>
      </c>
      <c r="BB163" s="720">
        <f t="shared" si="3726"/>
        <v>2534.0653333333335</v>
      </c>
      <c r="BC163" s="720">
        <f t="shared" si="3726"/>
        <v>0</v>
      </c>
      <c r="BD163" s="720">
        <f t="shared" si="3726"/>
        <v>0</v>
      </c>
      <c r="BE163" s="720">
        <f t="shared" si="3726"/>
        <v>0</v>
      </c>
      <c r="BF163" s="720">
        <f t="shared" si="3726"/>
        <v>0</v>
      </c>
      <c r="BG163" s="720">
        <f t="shared" si="3726"/>
        <v>0</v>
      </c>
      <c r="BH163" s="720">
        <f t="shared" si="3726"/>
        <v>1629.0407732666665</v>
      </c>
      <c r="BI163" s="720">
        <f t="shared" si="3726"/>
        <v>17020.570773266667</v>
      </c>
      <c r="BJ163" s="720">
        <f t="shared" si="3726"/>
        <v>12767.162</v>
      </c>
      <c r="BK163" s="720">
        <f t="shared" si="3726"/>
        <v>2695.7380000000003</v>
      </c>
      <c r="BL163" s="720">
        <f t="shared" si="3726"/>
        <v>0</v>
      </c>
      <c r="BM163" s="720">
        <f t="shared" si="3726"/>
        <v>0</v>
      </c>
      <c r="BN163" s="720">
        <f t="shared" si="3726"/>
        <v>0</v>
      </c>
      <c r="BO163" s="720">
        <f t="shared" si="3726"/>
        <v>0</v>
      </c>
      <c r="BP163" s="720">
        <f t="shared" si="3726"/>
        <v>0</v>
      </c>
      <c r="BQ163" s="720">
        <f t="shared" si="3726"/>
        <v>1617.5994254</v>
      </c>
      <c r="BR163" s="720">
        <f t="shared" si="3726"/>
        <v>17080.499425400001</v>
      </c>
      <c r="BS163" s="720">
        <f t="shared" si="3726"/>
        <v>3168.9780000000001</v>
      </c>
      <c r="BT163" s="720">
        <f t="shared" si="3726"/>
        <v>556.02200000000005</v>
      </c>
      <c r="BU163" s="720">
        <f t="shared" si="3726"/>
        <v>0</v>
      </c>
      <c r="BV163" s="720">
        <f t="shared" si="3726"/>
        <v>0</v>
      </c>
      <c r="BW163" s="720">
        <f t="shared" si="3726"/>
        <v>0</v>
      </c>
      <c r="BX163" s="720">
        <f t="shared" si="3726"/>
        <v>0</v>
      </c>
      <c r="BY163" s="720">
        <f t="shared" si="3726"/>
        <v>0</v>
      </c>
      <c r="BZ163" s="720">
        <f t="shared" si="3726"/>
        <v>401.50951260000005</v>
      </c>
      <c r="CA163" s="720">
        <f t="shared" si="3726"/>
        <v>4126.5095125999997</v>
      </c>
      <c r="CB163" s="720">
        <f t="shared" si="3726"/>
        <v>600.34199999999998</v>
      </c>
      <c r="CC163" s="720">
        <f t="shared" si="3726"/>
        <v>296.02800000000002</v>
      </c>
      <c r="CD163" s="720">
        <f t="shared" si="3726"/>
        <v>0</v>
      </c>
      <c r="CE163" s="720">
        <f t="shared" si="3726"/>
        <v>0</v>
      </c>
      <c r="CF163" s="720">
        <f t="shared" si="3726"/>
        <v>0</v>
      </c>
      <c r="CG163" s="720">
        <f t="shared" si="3726"/>
        <v>0</v>
      </c>
      <c r="CH163" s="720">
        <f t="shared" si="3726"/>
        <v>0</v>
      </c>
      <c r="CI163" s="720">
        <f t="shared" si="3726"/>
        <v>76.063331399999996</v>
      </c>
      <c r="CJ163" s="720">
        <f t="shared" si="3726"/>
        <v>972.43333140000004</v>
      </c>
      <c r="CK163" s="720">
        <f t="shared" si="3726"/>
        <v>0</v>
      </c>
      <c r="CL163" s="720">
        <f t="shared" si="3726"/>
        <v>0</v>
      </c>
      <c r="CM163" s="720">
        <f t="shared" si="3726"/>
        <v>0</v>
      </c>
      <c r="CN163" s="720">
        <f t="shared" si="3726"/>
        <v>0</v>
      </c>
      <c r="CO163" s="720">
        <f t="shared" si="3726"/>
        <v>0</v>
      </c>
      <c r="CP163" s="720">
        <f t="shared" si="3726"/>
        <v>0</v>
      </c>
      <c r="CQ163" s="720">
        <f t="shared" si="3726"/>
        <v>0</v>
      </c>
      <c r="CR163" s="720">
        <f t="shared" si="3726"/>
        <v>0</v>
      </c>
      <c r="CS163" s="720">
        <f t="shared" si="3726"/>
        <v>0</v>
      </c>
      <c r="CT163" s="720"/>
    </row>
    <row r="164" spans="7:98" ht="13.2">
      <c r="G164" s="719">
        <f t="shared" si="3722"/>
        <v>11</v>
      </c>
      <c r="H164" s="714" t="s">
        <v>663</v>
      </c>
      <c r="BA164" s="720">
        <f t="shared" ref="BA164:CS164" si="3727">+BA70</f>
        <v>0</v>
      </c>
      <c r="BB164" s="720">
        <f t="shared" si="3727"/>
        <v>0</v>
      </c>
      <c r="BC164" s="720">
        <f t="shared" si="3727"/>
        <v>0</v>
      </c>
      <c r="BD164" s="720">
        <f t="shared" si="3727"/>
        <v>0</v>
      </c>
      <c r="BE164" s="720">
        <f t="shared" si="3727"/>
        <v>0</v>
      </c>
      <c r="BF164" s="720">
        <f t="shared" si="3727"/>
        <v>0</v>
      </c>
      <c r="BG164" s="720">
        <f t="shared" si="3727"/>
        <v>0</v>
      </c>
      <c r="BH164" s="720">
        <f t="shared" si="3727"/>
        <v>0</v>
      </c>
      <c r="BI164" s="720">
        <f t="shared" si="3727"/>
        <v>0</v>
      </c>
      <c r="BJ164" s="720">
        <f t="shared" si="3727"/>
        <v>0</v>
      </c>
      <c r="BK164" s="720">
        <f t="shared" si="3727"/>
        <v>0</v>
      </c>
      <c r="BL164" s="720">
        <f t="shared" si="3727"/>
        <v>0</v>
      </c>
      <c r="BM164" s="720">
        <f t="shared" si="3727"/>
        <v>0</v>
      </c>
      <c r="BN164" s="720">
        <f t="shared" si="3727"/>
        <v>0</v>
      </c>
      <c r="BO164" s="720">
        <f t="shared" si="3727"/>
        <v>0</v>
      </c>
      <c r="BP164" s="720">
        <f t="shared" si="3727"/>
        <v>0</v>
      </c>
      <c r="BQ164" s="720">
        <f t="shared" si="3727"/>
        <v>0</v>
      </c>
      <c r="BR164" s="720">
        <f t="shared" si="3727"/>
        <v>0</v>
      </c>
      <c r="BS164" s="720">
        <f t="shared" si="3727"/>
        <v>0</v>
      </c>
      <c r="BT164" s="720">
        <f t="shared" si="3727"/>
        <v>0</v>
      </c>
      <c r="BU164" s="720">
        <f t="shared" si="3727"/>
        <v>0</v>
      </c>
      <c r="BV164" s="720">
        <f t="shared" si="3727"/>
        <v>0</v>
      </c>
      <c r="BW164" s="720">
        <f t="shared" si="3727"/>
        <v>0</v>
      </c>
      <c r="BX164" s="720">
        <f t="shared" si="3727"/>
        <v>0</v>
      </c>
      <c r="BY164" s="720">
        <f t="shared" si="3727"/>
        <v>0</v>
      </c>
      <c r="BZ164" s="720">
        <f t="shared" si="3727"/>
        <v>0</v>
      </c>
      <c r="CA164" s="720">
        <f t="shared" si="3727"/>
        <v>0</v>
      </c>
      <c r="CB164" s="720">
        <f t="shared" si="3727"/>
        <v>0</v>
      </c>
      <c r="CC164" s="720">
        <f t="shared" si="3727"/>
        <v>0</v>
      </c>
      <c r="CD164" s="720">
        <f t="shared" si="3727"/>
        <v>0</v>
      </c>
      <c r="CE164" s="720">
        <f t="shared" si="3727"/>
        <v>0</v>
      </c>
      <c r="CF164" s="720">
        <f t="shared" si="3727"/>
        <v>0</v>
      </c>
      <c r="CG164" s="720">
        <f t="shared" si="3727"/>
        <v>0</v>
      </c>
      <c r="CH164" s="720">
        <f t="shared" si="3727"/>
        <v>0</v>
      </c>
      <c r="CI164" s="720">
        <f t="shared" si="3727"/>
        <v>0</v>
      </c>
      <c r="CJ164" s="720">
        <f t="shared" si="3727"/>
        <v>0</v>
      </c>
      <c r="CK164" s="720">
        <f t="shared" si="3727"/>
        <v>0</v>
      </c>
      <c r="CL164" s="720">
        <f t="shared" si="3727"/>
        <v>0</v>
      </c>
      <c r="CM164" s="720">
        <f t="shared" si="3727"/>
        <v>0</v>
      </c>
      <c r="CN164" s="720">
        <f t="shared" si="3727"/>
        <v>0</v>
      </c>
      <c r="CO164" s="720">
        <f t="shared" si="3727"/>
        <v>0</v>
      </c>
      <c r="CP164" s="720">
        <f t="shared" si="3727"/>
        <v>0</v>
      </c>
      <c r="CQ164" s="720">
        <f t="shared" si="3727"/>
        <v>0</v>
      </c>
      <c r="CR164" s="720">
        <f t="shared" si="3727"/>
        <v>0</v>
      </c>
      <c r="CS164" s="720">
        <f t="shared" si="3727"/>
        <v>0</v>
      </c>
      <c r="CT164" s="720"/>
    </row>
    <row r="165" spans="7:98" ht="13.2">
      <c r="G165" s="719">
        <f t="shared" si="3722"/>
        <v>12</v>
      </c>
      <c r="H165" s="714" t="s">
        <v>85</v>
      </c>
      <c r="BA165" s="720">
        <f t="shared" ref="BA165:BK165" si="3728">BA139</f>
        <v>7600</v>
      </c>
      <c r="BB165" s="720">
        <f t="shared" si="3728"/>
        <v>2000</v>
      </c>
      <c r="BC165" s="720">
        <f t="shared" si="3728"/>
        <v>0</v>
      </c>
      <c r="BD165" s="720">
        <f t="shared" si="3728"/>
        <v>0</v>
      </c>
      <c r="BE165" s="720">
        <f t="shared" si="3728"/>
        <v>0</v>
      </c>
      <c r="BF165" s="720">
        <f t="shared" si="3728"/>
        <v>0</v>
      </c>
      <c r="BG165" s="720">
        <f t="shared" si="3728"/>
        <v>0</v>
      </c>
      <c r="BH165" s="720">
        <f t="shared" si="3728"/>
        <v>962.92000000000007</v>
      </c>
      <c r="BI165" s="720">
        <f t="shared" si="3728"/>
        <v>10562.92</v>
      </c>
      <c r="BJ165" s="720">
        <f t="shared" si="3728"/>
        <v>8550</v>
      </c>
      <c r="BK165" s="720">
        <f t="shared" si="3728"/>
        <v>2250</v>
      </c>
      <c r="BL165" s="720">
        <f t="shared" ref="BL165:BM165" si="3729">BL139</f>
        <v>0</v>
      </c>
      <c r="BM165" s="720">
        <f t="shared" si="3729"/>
        <v>0</v>
      </c>
      <c r="BN165" s="720">
        <f t="shared" ref="BN165" si="3730">BN139</f>
        <v>0</v>
      </c>
      <c r="BO165" s="720">
        <f>BO139+BO148</f>
        <v>0</v>
      </c>
      <c r="BP165" s="720">
        <f>BP139+BP145</f>
        <v>0</v>
      </c>
      <c r="BQ165" s="720">
        <f>+BQ139</f>
        <v>1083.2850000000001</v>
      </c>
      <c r="BR165" s="720">
        <f>+BR139</f>
        <v>11883.285</v>
      </c>
      <c r="BS165" s="720">
        <f>+BS139</f>
        <v>1900</v>
      </c>
      <c r="BT165" s="720">
        <f t="shared" ref="BT165:CA165" si="3731">+BT139</f>
        <v>500</v>
      </c>
      <c r="BU165" s="720">
        <f t="shared" si="3731"/>
        <v>0</v>
      </c>
      <c r="BV165" s="720">
        <f t="shared" si="3731"/>
        <v>0</v>
      </c>
      <c r="BW165" s="720">
        <f t="shared" si="3731"/>
        <v>0</v>
      </c>
      <c r="BX165" s="720">
        <f t="shared" si="3731"/>
        <v>0</v>
      </c>
      <c r="BY165" s="720">
        <f t="shared" si="3731"/>
        <v>0</v>
      </c>
      <c r="BZ165" s="720">
        <f t="shared" si="3731"/>
        <v>240.73000000000002</v>
      </c>
      <c r="CA165" s="720">
        <f t="shared" si="3731"/>
        <v>2640.73</v>
      </c>
      <c r="CB165" s="720">
        <f>CB139</f>
        <v>950</v>
      </c>
      <c r="CC165" s="720">
        <f>CC139</f>
        <v>250</v>
      </c>
      <c r="CD165" s="720">
        <f>CD139+CD148</f>
        <v>0</v>
      </c>
      <c r="CE165" s="720">
        <f>CE139+CE148</f>
        <v>0</v>
      </c>
      <c r="CF165" s="720">
        <f>CF139+CF148</f>
        <v>0</v>
      </c>
      <c r="CG165" s="720">
        <f>CG139+CG148</f>
        <v>0</v>
      </c>
      <c r="CH165" s="720">
        <f>CH139+CH145</f>
        <v>0</v>
      </c>
      <c r="CI165" s="720">
        <f>CI139</f>
        <v>120.36500000000001</v>
      </c>
      <c r="CJ165" s="720">
        <f>CJ139</f>
        <v>1320.365</v>
      </c>
      <c r="CK165" s="720">
        <f t="shared" ref="CK165:CS165" si="3732">CK139+CK148</f>
        <v>0</v>
      </c>
      <c r="CL165" s="720">
        <f t="shared" si="3732"/>
        <v>0</v>
      </c>
      <c r="CM165" s="720">
        <f t="shared" si="3732"/>
        <v>0</v>
      </c>
      <c r="CN165" s="720">
        <f t="shared" si="3732"/>
        <v>0</v>
      </c>
      <c r="CO165" s="720">
        <f t="shared" si="3732"/>
        <v>0</v>
      </c>
      <c r="CP165" s="720">
        <f t="shared" si="3732"/>
        <v>0</v>
      </c>
      <c r="CQ165" s="720">
        <f t="shared" si="3732"/>
        <v>0</v>
      </c>
      <c r="CR165" s="720">
        <f t="shared" si="3732"/>
        <v>0</v>
      </c>
      <c r="CS165" s="720">
        <f t="shared" si="3732"/>
        <v>0</v>
      </c>
      <c r="CT165" s="720"/>
    </row>
    <row r="166" spans="7:98" ht="13.2">
      <c r="G166" s="719">
        <f t="shared" si="3722"/>
        <v>13</v>
      </c>
      <c r="H166" s="714" t="s">
        <v>9</v>
      </c>
      <c r="BA166" s="720">
        <f t="shared" ref="BA166:CS166" si="3733">+BA73</f>
        <v>0</v>
      </c>
      <c r="BB166" s="720">
        <f t="shared" si="3733"/>
        <v>0</v>
      </c>
      <c r="BC166" s="720">
        <f t="shared" si="3733"/>
        <v>0</v>
      </c>
      <c r="BD166" s="720">
        <f t="shared" si="3733"/>
        <v>0</v>
      </c>
      <c r="BE166" s="720">
        <f t="shared" si="3733"/>
        <v>0</v>
      </c>
      <c r="BF166" s="720">
        <f t="shared" si="3733"/>
        <v>0</v>
      </c>
      <c r="BG166" s="720">
        <f t="shared" si="3733"/>
        <v>0</v>
      </c>
      <c r="BH166" s="720">
        <f t="shared" si="3733"/>
        <v>0</v>
      </c>
      <c r="BI166" s="720">
        <f t="shared" si="3733"/>
        <v>0</v>
      </c>
      <c r="BJ166" s="720">
        <f t="shared" si="3733"/>
        <v>0</v>
      </c>
      <c r="BK166" s="720">
        <f t="shared" si="3733"/>
        <v>0</v>
      </c>
      <c r="BL166" s="720">
        <f t="shared" si="3733"/>
        <v>0</v>
      </c>
      <c r="BM166" s="720">
        <f t="shared" si="3733"/>
        <v>0</v>
      </c>
      <c r="BN166" s="720">
        <f t="shared" si="3733"/>
        <v>0</v>
      </c>
      <c r="BO166" s="720">
        <f t="shared" si="3733"/>
        <v>0</v>
      </c>
      <c r="BP166" s="720">
        <f t="shared" si="3733"/>
        <v>0</v>
      </c>
      <c r="BQ166" s="720">
        <f t="shared" si="3733"/>
        <v>0</v>
      </c>
      <c r="BR166" s="720">
        <f t="shared" si="3733"/>
        <v>0</v>
      </c>
      <c r="BS166" s="720">
        <f t="shared" si="3733"/>
        <v>0</v>
      </c>
      <c r="BT166" s="720">
        <f t="shared" si="3733"/>
        <v>0</v>
      </c>
      <c r="BU166" s="720">
        <f t="shared" si="3733"/>
        <v>0</v>
      </c>
      <c r="BV166" s="720">
        <f t="shared" si="3733"/>
        <v>0</v>
      </c>
      <c r="BW166" s="720">
        <f t="shared" si="3733"/>
        <v>0</v>
      </c>
      <c r="BX166" s="720">
        <f t="shared" si="3733"/>
        <v>0</v>
      </c>
      <c r="BY166" s="720">
        <f t="shared" si="3733"/>
        <v>0</v>
      </c>
      <c r="BZ166" s="720">
        <f t="shared" si="3733"/>
        <v>0</v>
      </c>
      <c r="CA166" s="720">
        <f t="shared" si="3733"/>
        <v>0</v>
      </c>
      <c r="CB166" s="720">
        <f t="shared" si="3733"/>
        <v>0</v>
      </c>
      <c r="CC166" s="720">
        <f t="shared" si="3733"/>
        <v>0</v>
      </c>
      <c r="CD166" s="720">
        <f t="shared" si="3733"/>
        <v>0</v>
      </c>
      <c r="CE166" s="720">
        <f t="shared" si="3733"/>
        <v>0</v>
      </c>
      <c r="CF166" s="720">
        <f t="shared" si="3733"/>
        <v>0</v>
      </c>
      <c r="CG166" s="720">
        <f t="shared" si="3733"/>
        <v>0</v>
      </c>
      <c r="CH166" s="720">
        <f t="shared" si="3733"/>
        <v>0</v>
      </c>
      <c r="CI166" s="720">
        <f t="shared" si="3733"/>
        <v>0</v>
      </c>
      <c r="CJ166" s="720">
        <f t="shared" si="3733"/>
        <v>0</v>
      </c>
      <c r="CK166" s="720">
        <f t="shared" si="3733"/>
        <v>0</v>
      </c>
      <c r="CL166" s="720">
        <f t="shared" si="3733"/>
        <v>0</v>
      </c>
      <c r="CM166" s="720">
        <f t="shared" si="3733"/>
        <v>0</v>
      </c>
      <c r="CN166" s="720">
        <f t="shared" si="3733"/>
        <v>0</v>
      </c>
      <c r="CO166" s="720">
        <f t="shared" si="3733"/>
        <v>0</v>
      </c>
      <c r="CP166" s="720">
        <f t="shared" si="3733"/>
        <v>0</v>
      </c>
      <c r="CQ166" s="720">
        <f t="shared" si="3733"/>
        <v>0</v>
      </c>
      <c r="CR166" s="720">
        <f t="shared" si="3733"/>
        <v>0</v>
      </c>
      <c r="CS166" s="720">
        <f t="shared" si="3733"/>
        <v>0</v>
      </c>
    </row>
    <row r="167" spans="7:98" ht="13.2">
      <c r="G167" s="719">
        <f t="shared" si="3722"/>
        <v>14</v>
      </c>
      <c r="H167" s="714" t="s">
        <v>664</v>
      </c>
      <c r="BA167" s="720">
        <f t="shared" ref="BA167:CS167" si="3734">+BA76</f>
        <v>0</v>
      </c>
      <c r="BB167" s="720">
        <f t="shared" si="3734"/>
        <v>0</v>
      </c>
      <c r="BC167" s="720">
        <f t="shared" si="3734"/>
        <v>0</v>
      </c>
      <c r="BD167" s="720">
        <f t="shared" si="3734"/>
        <v>0</v>
      </c>
      <c r="BE167" s="720">
        <f t="shared" si="3734"/>
        <v>0</v>
      </c>
      <c r="BF167" s="720">
        <f t="shared" si="3734"/>
        <v>0</v>
      </c>
      <c r="BG167" s="720">
        <f t="shared" si="3734"/>
        <v>0</v>
      </c>
      <c r="BH167" s="720">
        <f t="shared" si="3734"/>
        <v>0</v>
      </c>
      <c r="BI167" s="720">
        <f t="shared" si="3734"/>
        <v>0</v>
      </c>
      <c r="BJ167" s="720">
        <f t="shared" si="3734"/>
        <v>0</v>
      </c>
      <c r="BK167" s="720">
        <f t="shared" si="3734"/>
        <v>0</v>
      </c>
      <c r="BL167" s="720">
        <f t="shared" si="3734"/>
        <v>0</v>
      </c>
      <c r="BM167" s="720">
        <f t="shared" si="3734"/>
        <v>0</v>
      </c>
      <c r="BN167" s="720">
        <f t="shared" si="3734"/>
        <v>0</v>
      </c>
      <c r="BO167" s="720">
        <f t="shared" si="3734"/>
        <v>0</v>
      </c>
      <c r="BP167" s="720">
        <f t="shared" si="3734"/>
        <v>0</v>
      </c>
      <c r="BQ167" s="720">
        <f t="shared" si="3734"/>
        <v>0</v>
      </c>
      <c r="BR167" s="720">
        <f t="shared" si="3734"/>
        <v>0</v>
      </c>
      <c r="BS167" s="720">
        <f t="shared" si="3734"/>
        <v>0</v>
      </c>
      <c r="BT167" s="720">
        <f t="shared" si="3734"/>
        <v>0</v>
      </c>
      <c r="BU167" s="720">
        <f t="shared" si="3734"/>
        <v>0</v>
      </c>
      <c r="BV167" s="720">
        <f t="shared" si="3734"/>
        <v>0</v>
      </c>
      <c r="BW167" s="720">
        <f t="shared" si="3734"/>
        <v>0</v>
      </c>
      <c r="BX167" s="720">
        <f t="shared" si="3734"/>
        <v>0</v>
      </c>
      <c r="BY167" s="720">
        <f t="shared" si="3734"/>
        <v>0</v>
      </c>
      <c r="BZ167" s="720">
        <f t="shared" si="3734"/>
        <v>0</v>
      </c>
      <c r="CA167" s="720">
        <f t="shared" si="3734"/>
        <v>0</v>
      </c>
      <c r="CB167" s="720">
        <f t="shared" si="3734"/>
        <v>0</v>
      </c>
      <c r="CC167" s="720">
        <f t="shared" si="3734"/>
        <v>0</v>
      </c>
      <c r="CD167" s="720">
        <f t="shared" si="3734"/>
        <v>0</v>
      </c>
      <c r="CE167" s="720">
        <f t="shared" si="3734"/>
        <v>0</v>
      </c>
      <c r="CF167" s="720">
        <f t="shared" si="3734"/>
        <v>0</v>
      </c>
      <c r="CG167" s="720">
        <f t="shared" si="3734"/>
        <v>0</v>
      </c>
      <c r="CH167" s="720">
        <f t="shared" si="3734"/>
        <v>0</v>
      </c>
      <c r="CI167" s="720">
        <f t="shared" si="3734"/>
        <v>0</v>
      </c>
      <c r="CJ167" s="720">
        <f t="shared" si="3734"/>
        <v>0</v>
      </c>
      <c r="CK167" s="720">
        <f t="shared" si="3734"/>
        <v>0</v>
      </c>
      <c r="CL167" s="720">
        <f t="shared" si="3734"/>
        <v>0</v>
      </c>
      <c r="CM167" s="720">
        <f t="shared" si="3734"/>
        <v>0</v>
      </c>
      <c r="CN167" s="720">
        <f t="shared" si="3734"/>
        <v>0</v>
      </c>
      <c r="CO167" s="720">
        <f t="shared" si="3734"/>
        <v>0</v>
      </c>
      <c r="CP167" s="720">
        <f t="shared" si="3734"/>
        <v>0</v>
      </c>
      <c r="CQ167" s="720">
        <f t="shared" si="3734"/>
        <v>0</v>
      </c>
      <c r="CR167" s="720">
        <f t="shared" si="3734"/>
        <v>0</v>
      </c>
      <c r="CS167" s="720">
        <f t="shared" si="3734"/>
        <v>0</v>
      </c>
      <c r="CT167" s="720"/>
    </row>
    <row r="168" spans="7:98" ht="13.2">
      <c r="G168" s="719">
        <f t="shared" si="3722"/>
        <v>15</v>
      </c>
      <c r="H168" s="714" t="s">
        <v>8</v>
      </c>
    </row>
    <row r="169" spans="7:98" ht="13.2">
      <c r="G169" s="719">
        <f t="shared" si="3722"/>
        <v>16</v>
      </c>
      <c r="H169" s="714" t="s">
        <v>8</v>
      </c>
      <c r="CT169" s="720"/>
    </row>
    <row r="170" spans="7:98" ht="13.2">
      <c r="G170" s="719">
        <f t="shared" si="3722"/>
        <v>17</v>
      </c>
      <c r="H170" s="714" t="s">
        <v>366</v>
      </c>
      <c r="BA170" s="720">
        <f>+BA145</f>
        <v>4002.2800000000007</v>
      </c>
      <c r="BB170" s="720">
        <f t="shared" ref="BB170:CT170" si="3735">+BB145</f>
        <v>710</v>
      </c>
      <c r="BC170" s="720">
        <f t="shared" si="3735"/>
        <v>0</v>
      </c>
      <c r="BD170" s="720">
        <f t="shared" si="3735"/>
        <v>0</v>
      </c>
      <c r="BE170" s="720">
        <f t="shared" si="3735"/>
        <v>0</v>
      </c>
      <c r="BF170" s="720">
        <f t="shared" si="3735"/>
        <v>0</v>
      </c>
      <c r="BG170" s="720">
        <f t="shared" si="3735"/>
        <v>0</v>
      </c>
      <c r="BH170" s="720">
        <f t="shared" si="3735"/>
        <v>507.08887600000014</v>
      </c>
      <c r="BI170" s="720">
        <f t="shared" si="3735"/>
        <v>5219.3688760000005</v>
      </c>
      <c r="BJ170" s="720">
        <f t="shared" si="3735"/>
        <v>2801.596</v>
      </c>
      <c r="BK170" s="720">
        <f t="shared" si="3735"/>
        <v>655</v>
      </c>
      <c r="BL170" s="720">
        <f t="shared" si="3735"/>
        <v>0</v>
      </c>
      <c r="BM170" s="720">
        <f t="shared" si="3735"/>
        <v>0</v>
      </c>
      <c r="BN170" s="720">
        <f t="shared" si="3735"/>
        <v>0</v>
      </c>
      <c r="BO170" s="720">
        <f t="shared" si="3735"/>
        <v>0</v>
      </c>
      <c r="BP170" s="720">
        <f t="shared" si="3735"/>
        <v>0</v>
      </c>
      <c r="BQ170" s="720">
        <f t="shared" si="3735"/>
        <v>354.96221320000001</v>
      </c>
      <c r="BR170" s="720">
        <f t="shared" si="3735"/>
        <v>3811.5582132</v>
      </c>
      <c r="BS170" s="720">
        <f>+BS145</f>
        <v>1200.6840000000002</v>
      </c>
      <c r="BT170" s="720">
        <f t="shared" si="3735"/>
        <v>85</v>
      </c>
      <c r="BU170" s="720">
        <f t="shared" si="3735"/>
        <v>0</v>
      </c>
      <c r="BV170" s="720">
        <f t="shared" si="3735"/>
        <v>0</v>
      </c>
      <c r="BW170" s="720">
        <f t="shared" si="3735"/>
        <v>0</v>
      </c>
      <c r="BX170" s="720">
        <f t="shared" si="3735"/>
        <v>0</v>
      </c>
      <c r="BY170" s="720">
        <f t="shared" si="3735"/>
        <v>0</v>
      </c>
      <c r="BZ170" s="720">
        <f t="shared" si="3735"/>
        <v>152.12666280000002</v>
      </c>
      <c r="CA170" s="720">
        <f t="shared" si="3735"/>
        <v>1437.8106628000003</v>
      </c>
      <c r="CB170" s="720">
        <f t="shared" si="3735"/>
        <v>0</v>
      </c>
      <c r="CC170" s="720">
        <f t="shared" si="3735"/>
        <v>0</v>
      </c>
      <c r="CD170" s="720">
        <f t="shared" si="3735"/>
        <v>0</v>
      </c>
      <c r="CE170" s="720">
        <f t="shared" si="3735"/>
        <v>0</v>
      </c>
      <c r="CF170" s="720">
        <f t="shared" si="3735"/>
        <v>0</v>
      </c>
      <c r="CG170" s="720">
        <f t="shared" si="3735"/>
        <v>0</v>
      </c>
      <c r="CH170" s="720">
        <f t="shared" si="3735"/>
        <v>0</v>
      </c>
      <c r="CI170" s="720">
        <f t="shared" si="3735"/>
        <v>0</v>
      </c>
      <c r="CJ170" s="720">
        <f t="shared" si="3735"/>
        <v>0</v>
      </c>
      <c r="CK170" s="720">
        <f t="shared" si="3735"/>
        <v>0</v>
      </c>
      <c r="CL170" s="720">
        <f t="shared" si="3735"/>
        <v>0</v>
      </c>
      <c r="CM170" s="720">
        <f t="shared" si="3735"/>
        <v>0</v>
      </c>
      <c r="CN170" s="720">
        <f t="shared" si="3735"/>
        <v>0</v>
      </c>
      <c r="CO170" s="720">
        <f t="shared" si="3735"/>
        <v>0</v>
      </c>
      <c r="CP170" s="720">
        <f t="shared" si="3735"/>
        <v>0</v>
      </c>
      <c r="CQ170" s="720">
        <f t="shared" si="3735"/>
        <v>0</v>
      </c>
      <c r="CR170" s="720">
        <f t="shared" si="3735"/>
        <v>0</v>
      </c>
      <c r="CS170" s="720">
        <f t="shared" si="3735"/>
        <v>0</v>
      </c>
      <c r="CT170" s="720">
        <f t="shared" si="3735"/>
        <v>0</v>
      </c>
    </row>
    <row r="171" spans="7:98" ht="13.2">
      <c r="G171" s="719">
        <f t="shared" si="3722"/>
        <v>18</v>
      </c>
      <c r="H171" s="714" t="s">
        <v>99</v>
      </c>
      <c r="BA171" s="720">
        <f t="shared" ref="BA171:CS171" si="3736">+BA84</f>
        <v>3565</v>
      </c>
      <c r="BB171" s="720">
        <f t="shared" si="3736"/>
        <v>1865</v>
      </c>
      <c r="BC171" s="720">
        <f t="shared" si="3736"/>
        <v>0</v>
      </c>
      <c r="BD171" s="720">
        <f t="shared" si="3736"/>
        <v>0</v>
      </c>
      <c r="BE171" s="720">
        <f t="shared" si="3736"/>
        <v>0</v>
      </c>
      <c r="BF171" s="720">
        <f t="shared" si="3736"/>
        <v>0</v>
      </c>
      <c r="BG171" s="720">
        <f t="shared" si="3736"/>
        <v>0</v>
      </c>
      <c r="BH171" s="720">
        <f t="shared" si="3736"/>
        <v>451.68549999999999</v>
      </c>
      <c r="BI171" s="720">
        <f t="shared" si="3736"/>
        <v>5881.6854999999996</v>
      </c>
      <c r="BJ171" s="720">
        <f t="shared" si="3736"/>
        <v>4115</v>
      </c>
      <c r="BK171" s="720">
        <f t="shared" si="3736"/>
        <v>2467.5</v>
      </c>
      <c r="BL171" s="720">
        <f t="shared" si="3736"/>
        <v>21</v>
      </c>
      <c r="BM171" s="720">
        <f t="shared" si="3736"/>
        <v>538.125</v>
      </c>
      <c r="BN171" s="720">
        <f t="shared" si="3736"/>
        <v>0</v>
      </c>
      <c r="BO171" s="720">
        <f t="shared" si="3736"/>
        <v>0</v>
      </c>
      <c r="BP171" s="720">
        <f t="shared" si="3736"/>
        <v>0</v>
      </c>
      <c r="BQ171" s="720">
        <f t="shared" si="3736"/>
        <v>589.55093750000003</v>
      </c>
      <c r="BR171" s="720">
        <f t="shared" si="3736"/>
        <v>7710.1759375000001</v>
      </c>
      <c r="BS171" s="720">
        <f t="shared" si="3736"/>
        <v>1920</v>
      </c>
      <c r="BT171" s="720">
        <f t="shared" si="3736"/>
        <v>892.5</v>
      </c>
      <c r="BU171" s="720">
        <f t="shared" si="3736"/>
        <v>0</v>
      </c>
      <c r="BV171" s="720">
        <f t="shared" si="3736"/>
        <v>0</v>
      </c>
      <c r="BW171" s="720">
        <f t="shared" si="3736"/>
        <v>0</v>
      </c>
      <c r="BX171" s="720">
        <f t="shared" si="3736"/>
        <v>0</v>
      </c>
      <c r="BY171" s="720">
        <f t="shared" si="3736"/>
        <v>0</v>
      </c>
      <c r="BZ171" s="720">
        <f t="shared" si="3736"/>
        <v>243.26400000000001</v>
      </c>
      <c r="CA171" s="720">
        <f t="shared" si="3736"/>
        <v>3055.7640000000001</v>
      </c>
      <c r="CB171" s="720">
        <f t="shared" si="3736"/>
        <v>0</v>
      </c>
      <c r="CC171" s="720">
        <f t="shared" si="3736"/>
        <v>0</v>
      </c>
      <c r="CD171" s="720">
        <f t="shared" si="3736"/>
        <v>0</v>
      </c>
      <c r="CE171" s="720">
        <f t="shared" si="3736"/>
        <v>0</v>
      </c>
      <c r="CF171" s="720">
        <f t="shared" si="3736"/>
        <v>0</v>
      </c>
      <c r="CG171" s="720">
        <f t="shared" si="3736"/>
        <v>0</v>
      </c>
      <c r="CH171" s="720">
        <f t="shared" si="3736"/>
        <v>0</v>
      </c>
      <c r="CI171" s="720">
        <f t="shared" si="3736"/>
        <v>0</v>
      </c>
      <c r="CJ171" s="720">
        <f t="shared" si="3736"/>
        <v>0</v>
      </c>
      <c r="CK171" s="720">
        <f t="shared" si="3736"/>
        <v>0</v>
      </c>
      <c r="CL171" s="720">
        <f t="shared" si="3736"/>
        <v>0</v>
      </c>
      <c r="CM171" s="720">
        <f t="shared" si="3736"/>
        <v>0</v>
      </c>
      <c r="CN171" s="720">
        <f t="shared" si="3736"/>
        <v>0</v>
      </c>
      <c r="CO171" s="720">
        <f t="shared" si="3736"/>
        <v>0</v>
      </c>
      <c r="CP171" s="720">
        <f t="shared" si="3736"/>
        <v>0</v>
      </c>
      <c r="CQ171" s="720">
        <f t="shared" si="3736"/>
        <v>0</v>
      </c>
      <c r="CR171" s="720">
        <f t="shared" si="3736"/>
        <v>0</v>
      </c>
      <c r="CS171" s="720">
        <f t="shared" si="3736"/>
        <v>0</v>
      </c>
      <c r="CT171" s="720"/>
    </row>
    <row r="172" spans="7:98" ht="13.2">
      <c r="G172" s="719">
        <f t="shared" si="3722"/>
        <v>19</v>
      </c>
      <c r="H172" s="901" t="s">
        <v>100</v>
      </c>
      <c r="BA172" s="720">
        <f t="shared" ref="BA172:CS172" si="3737">+BA97</f>
        <v>7285.2333333333336</v>
      </c>
      <c r="BB172" s="720">
        <f t="shared" si="3737"/>
        <v>910.72333333333336</v>
      </c>
      <c r="BC172" s="720">
        <f t="shared" si="3737"/>
        <v>0</v>
      </c>
      <c r="BD172" s="720">
        <f t="shared" si="3737"/>
        <v>0</v>
      </c>
      <c r="BE172" s="720">
        <f t="shared" si="3737"/>
        <v>0</v>
      </c>
      <c r="BF172" s="720">
        <f t="shared" si="3737"/>
        <v>0</v>
      </c>
      <c r="BG172" s="720">
        <f t="shared" si="3737"/>
        <v>0</v>
      </c>
      <c r="BH172" s="720">
        <f t="shared" si="3737"/>
        <v>923.03906333333339</v>
      </c>
      <c r="BI172" s="720">
        <f t="shared" si="3737"/>
        <v>9118.9957300000005</v>
      </c>
      <c r="BJ172" s="720">
        <f t="shared" si="3737"/>
        <v>4734.6633333333339</v>
      </c>
      <c r="BK172" s="720">
        <f t="shared" si="3737"/>
        <v>1293.9033333333334</v>
      </c>
      <c r="BL172" s="720">
        <f t="shared" si="3737"/>
        <v>63</v>
      </c>
      <c r="BM172" s="720">
        <f t="shared" si="3737"/>
        <v>1723.5372499999999</v>
      </c>
      <c r="BN172" s="720">
        <f t="shared" si="3737"/>
        <v>0</v>
      </c>
      <c r="BO172" s="720">
        <f t="shared" si="3737"/>
        <v>0</v>
      </c>
      <c r="BP172" s="720">
        <f t="shared" si="3737"/>
        <v>0</v>
      </c>
      <c r="BQ172" s="720">
        <f t="shared" si="3737"/>
        <v>818.25401390833326</v>
      </c>
      <c r="BR172" s="720">
        <f t="shared" si="3737"/>
        <v>8570.357930574999</v>
      </c>
      <c r="BS172" s="720">
        <f t="shared" si="3737"/>
        <v>3400.57</v>
      </c>
      <c r="BT172" s="720">
        <f t="shared" si="3737"/>
        <v>406.82</v>
      </c>
      <c r="BU172" s="720">
        <f t="shared" si="3737"/>
        <v>0</v>
      </c>
      <c r="BV172" s="720">
        <f t="shared" si="3737"/>
        <v>0</v>
      </c>
      <c r="BW172" s="720">
        <f t="shared" si="3737"/>
        <v>0</v>
      </c>
      <c r="BX172" s="720">
        <f t="shared" si="3737"/>
        <v>0</v>
      </c>
      <c r="BY172" s="720">
        <f t="shared" si="3737"/>
        <v>0</v>
      </c>
      <c r="BZ172" s="720">
        <f t="shared" si="3737"/>
        <v>430.85221899999999</v>
      </c>
      <c r="CA172" s="720">
        <f t="shared" si="3737"/>
        <v>4238.2422189999997</v>
      </c>
      <c r="CB172" s="720">
        <f t="shared" si="3737"/>
        <v>0</v>
      </c>
      <c r="CC172" s="720">
        <f t="shared" si="3737"/>
        <v>0</v>
      </c>
      <c r="CD172" s="720">
        <f t="shared" si="3737"/>
        <v>0</v>
      </c>
      <c r="CE172" s="720">
        <f t="shared" si="3737"/>
        <v>0</v>
      </c>
      <c r="CF172" s="720">
        <f t="shared" si="3737"/>
        <v>0</v>
      </c>
      <c r="CG172" s="720">
        <f t="shared" si="3737"/>
        <v>0</v>
      </c>
      <c r="CH172" s="720">
        <f t="shared" si="3737"/>
        <v>0</v>
      </c>
      <c r="CI172" s="720">
        <f t="shared" si="3737"/>
        <v>0</v>
      </c>
      <c r="CJ172" s="720">
        <f t="shared" si="3737"/>
        <v>0</v>
      </c>
      <c r="CK172" s="720">
        <f t="shared" si="3737"/>
        <v>0</v>
      </c>
      <c r="CL172" s="720">
        <f t="shared" si="3737"/>
        <v>0</v>
      </c>
      <c r="CM172" s="720">
        <f t="shared" si="3737"/>
        <v>0</v>
      </c>
      <c r="CN172" s="720">
        <f t="shared" si="3737"/>
        <v>0</v>
      </c>
      <c r="CO172" s="720">
        <f t="shared" si="3737"/>
        <v>0</v>
      </c>
      <c r="CP172" s="720">
        <f t="shared" si="3737"/>
        <v>0</v>
      </c>
      <c r="CQ172" s="720">
        <f t="shared" si="3737"/>
        <v>0</v>
      </c>
      <c r="CR172" s="720">
        <f t="shared" si="3737"/>
        <v>0</v>
      </c>
      <c r="CS172" s="720">
        <f t="shared" si="3737"/>
        <v>0</v>
      </c>
    </row>
    <row r="173" spans="7:98" ht="13.2">
      <c r="G173" s="719">
        <f t="shared" si="3722"/>
        <v>20</v>
      </c>
      <c r="H173" s="901" t="s">
        <v>106</v>
      </c>
      <c r="BA173" s="720">
        <f t="shared" ref="BA173:CA173" si="3738">+BA91</f>
        <v>8052.2800000000007</v>
      </c>
      <c r="BB173" s="720">
        <f t="shared" si="3738"/>
        <v>1288.6399999999999</v>
      </c>
      <c r="BC173" s="720">
        <f t="shared" si="3738"/>
        <v>4</v>
      </c>
      <c r="BD173" s="720">
        <f t="shared" si="3738"/>
        <v>109.38925</v>
      </c>
      <c r="BE173" s="720">
        <f t="shared" si="3738"/>
        <v>0</v>
      </c>
      <c r="BF173" s="720">
        <f t="shared" si="3738"/>
        <v>0</v>
      </c>
      <c r="BG173" s="720">
        <f t="shared" si="3738"/>
        <v>0</v>
      </c>
      <c r="BH173" s="720">
        <f t="shared" si="3738"/>
        <v>1034.083493975</v>
      </c>
      <c r="BI173" s="720">
        <f t="shared" si="3738"/>
        <v>10484.392743975</v>
      </c>
      <c r="BJ173" s="720">
        <f t="shared" si="3738"/>
        <v>5551.3680000000004</v>
      </c>
      <c r="BK173" s="720">
        <f t="shared" si="3738"/>
        <v>2894.424</v>
      </c>
      <c r="BL173" s="720">
        <f t="shared" si="3738"/>
        <v>9</v>
      </c>
      <c r="BM173" s="720">
        <f t="shared" si="3738"/>
        <v>228.239</v>
      </c>
      <c r="BN173" s="720">
        <f t="shared" si="3738"/>
        <v>0</v>
      </c>
      <c r="BO173" s="720">
        <f t="shared" si="3738"/>
        <v>0</v>
      </c>
      <c r="BP173" s="720">
        <f t="shared" si="3738"/>
        <v>0</v>
      </c>
      <c r="BQ173" s="720">
        <f t="shared" si="3738"/>
        <v>732.27620690000003</v>
      </c>
      <c r="BR173" s="720">
        <f t="shared" si="3738"/>
        <v>9406.3072069000009</v>
      </c>
      <c r="BS173" s="720">
        <f t="shared" si="3738"/>
        <v>3400.9120000000003</v>
      </c>
      <c r="BT173" s="720">
        <f t="shared" si="3738"/>
        <v>474.19600000000003</v>
      </c>
      <c r="BU173" s="720">
        <f t="shared" si="3738"/>
        <v>0</v>
      </c>
      <c r="BV173" s="720">
        <f t="shared" si="3738"/>
        <v>0</v>
      </c>
      <c r="BW173" s="720">
        <f t="shared" si="3738"/>
        <v>0</v>
      </c>
      <c r="BX173" s="720">
        <f t="shared" si="3738"/>
        <v>0</v>
      </c>
      <c r="BY173" s="720">
        <f t="shared" si="3738"/>
        <v>0</v>
      </c>
      <c r="BZ173" s="720">
        <f t="shared" si="3738"/>
        <v>430.89555040000005</v>
      </c>
      <c r="CA173" s="720">
        <f t="shared" si="3738"/>
        <v>4306.0035504000007</v>
      </c>
      <c r="CB173" s="720">
        <f t="shared" ref="CB173:CS173" si="3739">+CB98</f>
        <v>0</v>
      </c>
      <c r="CC173" s="720">
        <f t="shared" si="3739"/>
        <v>0</v>
      </c>
      <c r="CD173" s="720">
        <f t="shared" si="3739"/>
        <v>0</v>
      </c>
      <c r="CE173" s="720">
        <f t="shared" si="3739"/>
        <v>0</v>
      </c>
      <c r="CF173" s="720">
        <f t="shared" si="3739"/>
        <v>0</v>
      </c>
      <c r="CG173" s="720">
        <f t="shared" si="3739"/>
        <v>0</v>
      </c>
      <c r="CH173" s="720">
        <f t="shared" si="3739"/>
        <v>0</v>
      </c>
      <c r="CI173" s="720">
        <f t="shared" si="3739"/>
        <v>0</v>
      </c>
      <c r="CJ173" s="720">
        <f t="shared" si="3739"/>
        <v>0</v>
      </c>
      <c r="CK173" s="720">
        <f t="shared" si="3739"/>
        <v>0</v>
      </c>
      <c r="CL173" s="720">
        <f t="shared" si="3739"/>
        <v>0</v>
      </c>
      <c r="CM173" s="720">
        <f t="shared" si="3739"/>
        <v>0</v>
      </c>
      <c r="CN173" s="720">
        <f t="shared" si="3739"/>
        <v>0</v>
      </c>
      <c r="CO173" s="720">
        <f t="shared" si="3739"/>
        <v>0</v>
      </c>
      <c r="CP173" s="720">
        <f t="shared" si="3739"/>
        <v>0</v>
      </c>
      <c r="CQ173" s="720">
        <f t="shared" si="3739"/>
        <v>0</v>
      </c>
      <c r="CR173" s="720">
        <f t="shared" si="3739"/>
        <v>0</v>
      </c>
      <c r="CS173" s="720">
        <f t="shared" si="3739"/>
        <v>0</v>
      </c>
      <c r="CT173" s="720"/>
    </row>
    <row r="174" spans="7:98" ht="13.2">
      <c r="G174" s="719">
        <f t="shared" si="3722"/>
        <v>21</v>
      </c>
      <c r="H174" s="714" t="s">
        <v>110</v>
      </c>
      <c r="BA174" s="720">
        <f t="shared" ref="BA174:CS174" si="3740">+BA135</f>
        <v>7026.14</v>
      </c>
      <c r="BB174" s="720">
        <f t="shared" si="3740"/>
        <v>2160</v>
      </c>
      <c r="BC174" s="720">
        <f t="shared" si="3740"/>
        <v>0</v>
      </c>
      <c r="BD174" s="720">
        <f t="shared" si="3740"/>
        <v>0</v>
      </c>
      <c r="BE174" s="720">
        <f t="shared" si="3740"/>
        <v>0</v>
      </c>
      <c r="BF174" s="720">
        <f t="shared" si="3740"/>
        <v>0</v>
      </c>
      <c r="BG174" s="720">
        <f t="shared" si="3740"/>
        <v>0</v>
      </c>
      <c r="BH174" s="720">
        <f t="shared" si="3740"/>
        <v>890.21193800000003</v>
      </c>
      <c r="BI174" s="720">
        <f t="shared" si="3740"/>
        <v>10076.351938</v>
      </c>
      <c r="BJ174" s="720">
        <f t="shared" si="3740"/>
        <v>4860.57</v>
      </c>
      <c r="BK174" s="720">
        <f t="shared" si="3740"/>
        <v>3535</v>
      </c>
      <c r="BL174" s="720">
        <f t="shared" si="3740"/>
        <v>13</v>
      </c>
      <c r="BM174" s="720">
        <f t="shared" si="3740"/>
        <v>338.77850000000001</v>
      </c>
      <c r="BN174" s="720">
        <f t="shared" si="3740"/>
        <v>0</v>
      </c>
      <c r="BO174" s="720">
        <f t="shared" si="3740"/>
        <v>0</v>
      </c>
      <c r="BP174" s="720">
        <f t="shared" si="3740"/>
        <v>0</v>
      </c>
      <c r="BQ174" s="720">
        <f t="shared" si="3740"/>
        <v>658.75745495000012</v>
      </c>
      <c r="BR174" s="720">
        <f t="shared" si="3740"/>
        <v>9393.1059549500005</v>
      </c>
      <c r="BS174" s="720">
        <f t="shared" si="3740"/>
        <v>2490.5700000000002</v>
      </c>
      <c r="BT174" s="720">
        <f t="shared" si="3740"/>
        <v>315</v>
      </c>
      <c r="BU174" s="720">
        <f t="shared" si="3740"/>
        <v>0</v>
      </c>
      <c r="BV174" s="720">
        <f t="shared" si="3740"/>
        <v>0</v>
      </c>
      <c r="BW174" s="720">
        <f t="shared" si="3740"/>
        <v>0</v>
      </c>
      <c r="BX174" s="720">
        <f t="shared" si="3740"/>
        <v>0</v>
      </c>
      <c r="BY174" s="720">
        <f t="shared" si="3740"/>
        <v>0</v>
      </c>
      <c r="BZ174" s="720">
        <f t="shared" si="3740"/>
        <v>315.55521900000002</v>
      </c>
      <c r="CA174" s="720">
        <f t="shared" si="3740"/>
        <v>3121.1252190000005</v>
      </c>
      <c r="CB174" s="720">
        <f t="shared" si="3740"/>
        <v>325</v>
      </c>
      <c r="CC174" s="720">
        <f t="shared" si="3740"/>
        <v>90</v>
      </c>
      <c r="CD174" s="720">
        <f t="shared" si="3740"/>
        <v>0</v>
      </c>
      <c r="CE174" s="720">
        <f t="shared" si="3740"/>
        <v>0</v>
      </c>
      <c r="CF174" s="720">
        <f t="shared" si="3740"/>
        <v>0</v>
      </c>
      <c r="CG174" s="720">
        <f t="shared" si="3740"/>
        <v>0</v>
      </c>
      <c r="CH174" s="720">
        <f t="shared" si="3740"/>
        <v>0</v>
      </c>
      <c r="CI174" s="720">
        <f t="shared" si="3740"/>
        <v>41.177500000000002</v>
      </c>
      <c r="CJ174" s="720">
        <f t="shared" si="3740"/>
        <v>456.17750000000001</v>
      </c>
      <c r="CK174" s="720">
        <f t="shared" si="3740"/>
        <v>0</v>
      </c>
      <c r="CL174" s="720">
        <f t="shared" si="3740"/>
        <v>0</v>
      </c>
      <c r="CM174" s="720">
        <f t="shared" si="3740"/>
        <v>0</v>
      </c>
      <c r="CN174" s="720">
        <f t="shared" si="3740"/>
        <v>0</v>
      </c>
      <c r="CO174" s="720">
        <f t="shared" si="3740"/>
        <v>0</v>
      </c>
      <c r="CP174" s="720">
        <f t="shared" si="3740"/>
        <v>0</v>
      </c>
      <c r="CQ174" s="720">
        <f t="shared" si="3740"/>
        <v>0</v>
      </c>
      <c r="CR174" s="720">
        <f t="shared" si="3740"/>
        <v>0</v>
      </c>
      <c r="CS174" s="720">
        <f t="shared" si="3740"/>
        <v>0</v>
      </c>
      <c r="CT174" s="720"/>
    </row>
    <row r="175" spans="7:98" ht="13.2">
      <c r="G175" s="719">
        <f t="shared" si="3722"/>
        <v>22</v>
      </c>
      <c r="H175" s="714" t="s">
        <v>115</v>
      </c>
      <c r="CT175" s="720"/>
    </row>
    <row r="176" spans="7:98" ht="13.2">
      <c r="G176" s="719">
        <f t="shared" si="3722"/>
        <v>23</v>
      </c>
      <c r="H176" s="714" t="s">
        <v>116</v>
      </c>
    </row>
    <row r="177" spans="1:266" ht="13.2">
      <c r="G177" s="719">
        <f t="shared" si="3722"/>
        <v>24</v>
      </c>
      <c r="H177" s="714" t="s">
        <v>193</v>
      </c>
      <c r="CT177" s="720"/>
    </row>
    <row r="178" spans="1:266" ht="13.2">
      <c r="G178" s="719">
        <f t="shared" si="3722"/>
        <v>25</v>
      </c>
      <c r="H178" s="714" t="s">
        <v>345</v>
      </c>
      <c r="CT178" s="720"/>
    </row>
    <row r="179" spans="1:266" ht="13.2">
      <c r="G179" s="719">
        <f t="shared" si="3722"/>
        <v>26</v>
      </c>
      <c r="H179" s="714" t="s">
        <v>121</v>
      </c>
    </row>
    <row r="180" spans="1:266" ht="13.2">
      <c r="G180" s="719">
        <f t="shared" si="3722"/>
        <v>27</v>
      </c>
      <c r="H180" s="714" t="s">
        <v>122</v>
      </c>
    </row>
    <row r="181" spans="1:266" ht="13.2">
      <c r="G181" s="719" t="e">
        <f>+#REF!+1</f>
        <v>#REF!</v>
      </c>
      <c r="H181" s="902" t="str">
        <f>+G63</f>
        <v>Mercadeo</v>
      </c>
      <c r="BA181" s="720" t="s">
        <v>52</v>
      </c>
      <c r="BB181" s="720" t="s">
        <v>52</v>
      </c>
      <c r="BC181" s="720" t="s">
        <v>52</v>
      </c>
      <c r="BD181" s="720" t="s">
        <v>52</v>
      </c>
      <c r="BE181" s="720" t="s">
        <v>52</v>
      </c>
      <c r="BF181" s="720" t="s">
        <v>52</v>
      </c>
      <c r="BG181" s="720" t="s">
        <v>52</v>
      </c>
      <c r="BH181" s="720" t="s">
        <v>52</v>
      </c>
      <c r="BI181" s="720" t="s">
        <v>52</v>
      </c>
      <c r="BJ181" s="720" t="s">
        <v>52</v>
      </c>
      <c r="BK181" s="720" t="s">
        <v>52</v>
      </c>
      <c r="BL181" s="720" t="s">
        <v>52</v>
      </c>
      <c r="BM181" s="720" t="s">
        <v>52</v>
      </c>
      <c r="BN181" s="720" t="s">
        <v>52</v>
      </c>
      <c r="BO181" s="720" t="s">
        <v>52</v>
      </c>
      <c r="BP181" s="720" t="s">
        <v>52</v>
      </c>
      <c r="BQ181" s="720" t="s">
        <v>52</v>
      </c>
      <c r="BR181" s="720" t="s">
        <v>52</v>
      </c>
      <c r="BS181" s="720" t="s">
        <v>52</v>
      </c>
      <c r="BT181" s="720" t="s">
        <v>52</v>
      </c>
      <c r="BU181" s="720" t="s">
        <v>52</v>
      </c>
      <c r="BV181" s="720" t="s">
        <v>52</v>
      </c>
      <c r="BW181" s="720" t="s">
        <v>52</v>
      </c>
      <c r="BX181" s="720" t="s">
        <v>52</v>
      </c>
      <c r="BY181" s="720" t="s">
        <v>52</v>
      </c>
      <c r="BZ181" s="720" t="s">
        <v>52</v>
      </c>
      <c r="CA181" s="720" t="s">
        <v>52</v>
      </c>
      <c r="CB181" s="720" t="s">
        <v>52</v>
      </c>
      <c r="CC181" s="720" t="s">
        <v>52</v>
      </c>
      <c r="CD181" s="720" t="s">
        <v>52</v>
      </c>
      <c r="CE181" s="720" t="s">
        <v>52</v>
      </c>
      <c r="CF181" s="720" t="s">
        <v>52</v>
      </c>
      <c r="CG181" s="720" t="s">
        <v>52</v>
      </c>
      <c r="CH181" s="720" t="s">
        <v>52</v>
      </c>
      <c r="CI181" s="720" t="s">
        <v>52</v>
      </c>
      <c r="CJ181" s="720" t="s">
        <v>52</v>
      </c>
      <c r="CK181" s="720" t="s">
        <v>52</v>
      </c>
      <c r="CL181" s="720" t="s">
        <v>52</v>
      </c>
      <c r="CM181" s="720" t="s">
        <v>52</v>
      </c>
      <c r="CN181" s="720" t="s">
        <v>52</v>
      </c>
      <c r="CO181" s="720" t="s">
        <v>52</v>
      </c>
      <c r="CP181" s="720" t="s">
        <v>52</v>
      </c>
      <c r="CQ181" s="720" t="s">
        <v>52</v>
      </c>
      <c r="CR181" s="720" t="s">
        <v>52</v>
      </c>
      <c r="CS181" s="720" t="s">
        <v>52</v>
      </c>
    </row>
    <row r="182" spans="1:266" s="903" customFormat="1" ht="13.2">
      <c r="A182" s="724"/>
      <c r="B182" s="724"/>
      <c r="F182" s="707"/>
      <c r="G182" s="719" t="e">
        <f t="shared" si="3722"/>
        <v>#REF!</v>
      </c>
      <c r="H182" s="902" t="str">
        <f>+G64</f>
        <v>Administracion</v>
      </c>
      <c r="I182" s="712"/>
      <c r="J182" s="720"/>
      <c r="K182" s="720"/>
      <c r="L182" s="720"/>
      <c r="M182" s="720"/>
      <c r="N182" s="721"/>
      <c r="O182" s="721"/>
      <c r="P182" s="721"/>
      <c r="Q182" s="721"/>
      <c r="R182" s="721"/>
      <c r="S182" s="721"/>
      <c r="T182" s="720"/>
      <c r="U182" s="720"/>
      <c r="V182" s="720"/>
      <c r="W182" s="720"/>
      <c r="X182" s="720"/>
      <c r="Y182" s="720"/>
      <c r="Z182" s="720"/>
      <c r="AA182" s="720"/>
      <c r="AB182" s="720"/>
      <c r="AC182" s="720"/>
      <c r="AD182" s="720"/>
      <c r="AE182" s="720"/>
      <c r="AF182" s="720"/>
      <c r="AG182" s="720"/>
      <c r="AH182" s="720"/>
      <c r="AI182" s="720"/>
      <c r="AJ182" s="720"/>
      <c r="AK182" s="780"/>
      <c r="AL182" s="780"/>
      <c r="AM182" s="780"/>
      <c r="AN182" s="780"/>
      <c r="AO182" s="720"/>
      <c r="AP182" s="720"/>
      <c r="AQ182" s="720"/>
      <c r="AR182" s="720"/>
      <c r="AS182" s="720"/>
      <c r="AT182" s="720"/>
      <c r="AU182" s="720"/>
      <c r="AV182" s="720"/>
      <c r="AW182" s="720"/>
      <c r="AX182" s="720"/>
      <c r="AY182" s="720"/>
      <c r="AZ182" s="712"/>
      <c r="BA182" s="720" t="s">
        <v>52</v>
      </c>
      <c r="BB182" s="720" t="s">
        <v>52</v>
      </c>
      <c r="BC182" s="720" t="s">
        <v>52</v>
      </c>
      <c r="BD182" s="720" t="s">
        <v>52</v>
      </c>
      <c r="BE182" s="720" t="s">
        <v>52</v>
      </c>
      <c r="BF182" s="720" t="s">
        <v>52</v>
      </c>
      <c r="BG182" s="720" t="s">
        <v>52</v>
      </c>
      <c r="BH182" s="720" t="s">
        <v>52</v>
      </c>
      <c r="BI182" s="720" t="s">
        <v>52</v>
      </c>
      <c r="BJ182" s="720" t="s">
        <v>52</v>
      </c>
      <c r="BK182" s="720" t="s">
        <v>52</v>
      </c>
      <c r="BL182" s="720" t="s">
        <v>52</v>
      </c>
      <c r="BM182" s="720" t="s">
        <v>52</v>
      </c>
      <c r="BN182" s="720" t="s">
        <v>52</v>
      </c>
      <c r="BO182" s="720" t="s">
        <v>52</v>
      </c>
      <c r="BP182" s="720" t="s">
        <v>52</v>
      </c>
      <c r="BQ182" s="720" t="s">
        <v>52</v>
      </c>
      <c r="BR182" s="720" t="s">
        <v>52</v>
      </c>
      <c r="BS182" s="720" t="s">
        <v>52</v>
      </c>
      <c r="BT182" s="720" t="s">
        <v>52</v>
      </c>
      <c r="BU182" s="720" t="s">
        <v>52</v>
      </c>
      <c r="BV182" s="720" t="s">
        <v>52</v>
      </c>
      <c r="BW182" s="720" t="s">
        <v>52</v>
      </c>
      <c r="BX182" s="720" t="s">
        <v>52</v>
      </c>
      <c r="BY182" s="720" t="s">
        <v>52</v>
      </c>
      <c r="BZ182" s="720" t="s">
        <v>52</v>
      </c>
      <c r="CA182" s="720" t="s">
        <v>52</v>
      </c>
      <c r="CB182" s="720" t="s">
        <v>52</v>
      </c>
      <c r="CC182" s="720" t="s">
        <v>52</v>
      </c>
      <c r="CD182" s="720" t="s">
        <v>52</v>
      </c>
      <c r="CE182" s="720" t="s">
        <v>52</v>
      </c>
      <c r="CF182" s="720" t="s">
        <v>52</v>
      </c>
      <c r="CG182" s="720" t="s">
        <v>52</v>
      </c>
      <c r="CH182" s="720" t="s">
        <v>52</v>
      </c>
      <c r="CI182" s="720" t="s">
        <v>52</v>
      </c>
      <c r="CJ182" s="720" t="s">
        <v>52</v>
      </c>
      <c r="CK182" s="720" t="s">
        <v>52</v>
      </c>
      <c r="CL182" s="720" t="s">
        <v>52</v>
      </c>
      <c r="CM182" s="720" t="s">
        <v>52</v>
      </c>
      <c r="CN182" s="720" t="s">
        <v>52</v>
      </c>
      <c r="CO182" s="720" t="s">
        <v>52</v>
      </c>
      <c r="CP182" s="720" t="s">
        <v>52</v>
      </c>
      <c r="CQ182" s="720" t="s">
        <v>52</v>
      </c>
      <c r="CR182" s="720" t="s">
        <v>52</v>
      </c>
      <c r="CS182" s="720" t="s">
        <v>52</v>
      </c>
      <c r="CT182" s="712"/>
      <c r="CU182" s="712"/>
      <c r="CV182" s="720"/>
      <c r="CW182" s="720"/>
      <c r="CX182" s="720"/>
      <c r="CY182" s="720"/>
      <c r="CZ182" s="720"/>
      <c r="DA182" s="720"/>
      <c r="DB182" s="720"/>
      <c r="DC182" s="720"/>
      <c r="DD182" s="720"/>
      <c r="DE182" s="720"/>
      <c r="DF182" s="720"/>
      <c r="DG182" s="720"/>
      <c r="DH182" s="720"/>
      <c r="DI182" s="720"/>
      <c r="DJ182" s="720"/>
      <c r="DK182" s="720"/>
      <c r="DL182" s="720"/>
      <c r="DM182" s="720"/>
      <c r="DN182" s="720"/>
      <c r="DO182" s="720"/>
      <c r="DP182" s="720"/>
      <c r="DQ182" s="720"/>
      <c r="DR182" s="720"/>
      <c r="DS182" s="720"/>
      <c r="DT182" s="720"/>
      <c r="DU182" s="720"/>
      <c r="DV182" s="720"/>
      <c r="DW182" s="720"/>
      <c r="DX182" s="720"/>
      <c r="DY182" s="720"/>
      <c r="DZ182" s="720"/>
      <c r="EA182" s="720"/>
      <c r="EB182" s="720"/>
      <c r="EC182" s="720"/>
      <c r="ED182" s="720"/>
      <c r="EE182" s="720"/>
      <c r="EF182" s="720"/>
      <c r="EG182" s="720"/>
      <c r="EH182" s="720"/>
      <c r="EI182" s="720"/>
      <c r="EJ182" s="720"/>
      <c r="EK182" s="720"/>
      <c r="EL182" s="720"/>
      <c r="EM182" s="720"/>
      <c r="EN182" s="720"/>
      <c r="EO182" s="712"/>
      <c r="EP182" s="946"/>
      <c r="EQ182" s="712"/>
      <c r="ER182" s="712"/>
      <c r="ES182" s="712"/>
      <c r="ET182" s="712"/>
      <c r="EU182" s="712"/>
      <c r="EV182" s="712"/>
      <c r="EW182" s="712"/>
      <c r="EX182" s="712"/>
      <c r="EY182" s="712"/>
      <c r="EZ182" s="712"/>
      <c r="FA182" s="712"/>
      <c r="FB182" s="712"/>
      <c r="FC182" s="712"/>
      <c r="FD182" s="712"/>
      <c r="FE182" s="712"/>
      <c r="FF182" s="712"/>
      <c r="FG182" s="712"/>
      <c r="FH182" s="712"/>
      <c r="FI182" s="712"/>
      <c r="FJ182" s="712"/>
      <c r="FK182" s="712"/>
      <c r="FL182" s="712"/>
      <c r="FM182" s="712"/>
      <c r="FN182" s="712"/>
      <c r="FO182" s="712"/>
      <c r="FP182" s="712"/>
      <c r="FQ182" s="712"/>
      <c r="FR182" s="712"/>
      <c r="FS182" s="712"/>
      <c r="FT182" s="712"/>
      <c r="FU182" s="712"/>
      <c r="FV182" s="712"/>
      <c r="FW182" s="712"/>
      <c r="FX182" s="712"/>
      <c r="FY182" s="712"/>
      <c r="FZ182" s="712"/>
      <c r="GA182" s="712"/>
      <c r="GB182" s="712"/>
      <c r="GC182" s="712"/>
      <c r="GD182" s="712"/>
      <c r="GE182" s="712"/>
      <c r="GF182" s="712"/>
      <c r="GG182" s="712"/>
      <c r="GH182" s="712"/>
      <c r="GI182" s="712"/>
      <c r="GJ182" s="712"/>
      <c r="GK182" s="712"/>
      <c r="GL182" s="712"/>
      <c r="GM182" s="712"/>
      <c r="GN182" s="712"/>
      <c r="GO182" s="712"/>
      <c r="GP182" s="712"/>
      <c r="GQ182" s="712"/>
      <c r="GR182" s="712"/>
      <c r="GS182" s="712"/>
      <c r="GT182" s="712"/>
      <c r="GU182" s="712"/>
      <c r="GV182" s="712"/>
      <c r="GW182" s="712"/>
      <c r="GX182" s="712"/>
      <c r="GY182" s="712"/>
      <c r="GZ182" s="712"/>
      <c r="HA182" s="712"/>
      <c r="HB182" s="712"/>
      <c r="HC182" s="712"/>
      <c r="HD182" s="712"/>
      <c r="HE182" s="712"/>
      <c r="HF182" s="712"/>
      <c r="HG182" s="712"/>
      <c r="HH182" s="712"/>
      <c r="HI182" s="712"/>
      <c r="HJ182" s="712"/>
      <c r="HK182" s="712"/>
      <c r="HL182" s="712"/>
      <c r="HM182" s="712"/>
      <c r="HN182" s="712"/>
      <c r="HO182" s="712"/>
      <c r="HP182" s="712"/>
      <c r="HQ182" s="712"/>
      <c r="HR182" s="712"/>
      <c r="HS182" s="712"/>
      <c r="HT182" s="712"/>
      <c r="HU182" s="712"/>
      <c r="HV182" s="712"/>
      <c r="HW182" s="712"/>
      <c r="HX182" s="712"/>
      <c r="HY182" s="712"/>
      <c r="HZ182" s="712"/>
      <c r="IA182" s="712"/>
      <c r="IB182" s="712"/>
      <c r="IC182" s="712"/>
      <c r="ID182" s="712"/>
      <c r="IE182" s="712"/>
      <c r="IF182" s="712"/>
      <c r="IG182" s="712"/>
      <c r="IH182" s="712"/>
      <c r="II182" s="712"/>
      <c r="IJ182" s="712"/>
      <c r="IK182" s="712"/>
      <c r="IL182" s="712"/>
      <c r="IM182" s="712"/>
      <c r="IN182" s="712"/>
      <c r="IO182" s="712"/>
      <c r="IP182" s="712"/>
      <c r="IQ182" s="712"/>
      <c r="IR182" s="712"/>
      <c r="IS182" s="712"/>
      <c r="IT182" s="712"/>
      <c r="IU182" s="712"/>
      <c r="IV182" s="712"/>
      <c r="IW182" s="712"/>
      <c r="IX182" s="712"/>
      <c r="IY182" s="712"/>
      <c r="IZ182" s="712"/>
      <c r="JA182" s="712"/>
      <c r="JB182" s="712"/>
      <c r="JC182" s="712"/>
      <c r="JD182" s="712"/>
      <c r="JE182" s="712"/>
      <c r="JF182" s="712"/>
    </row>
    <row r="183" spans="1:266" ht="13.2">
      <c r="G183" s="719" t="e">
        <f t="shared" si="3722"/>
        <v>#REF!</v>
      </c>
      <c r="H183" s="714" t="s">
        <v>665</v>
      </c>
      <c r="BA183" s="720" t="s">
        <v>52</v>
      </c>
      <c r="BB183" s="720" t="s">
        <v>52</v>
      </c>
      <c r="BC183" s="720" t="s">
        <v>52</v>
      </c>
      <c r="BD183" s="720" t="s">
        <v>52</v>
      </c>
      <c r="BE183" s="720" t="s">
        <v>52</v>
      </c>
      <c r="BF183" s="720" t="s">
        <v>52</v>
      </c>
      <c r="BG183" s="720" t="s">
        <v>52</v>
      </c>
      <c r="BH183" s="720" t="s">
        <v>52</v>
      </c>
      <c r="BI183" s="720" t="s">
        <v>52</v>
      </c>
      <c r="BJ183" s="720" t="s">
        <v>52</v>
      </c>
      <c r="BK183" s="720" t="s">
        <v>52</v>
      </c>
      <c r="BL183" s="720" t="s">
        <v>52</v>
      </c>
      <c r="BM183" s="720" t="s">
        <v>52</v>
      </c>
      <c r="BN183" s="720" t="s">
        <v>52</v>
      </c>
      <c r="BO183" s="720" t="s">
        <v>52</v>
      </c>
      <c r="BP183" s="720" t="s">
        <v>52</v>
      </c>
      <c r="BQ183" s="720" t="s">
        <v>52</v>
      </c>
      <c r="BR183" s="720" t="s">
        <v>52</v>
      </c>
      <c r="BS183" s="720" t="s">
        <v>52</v>
      </c>
      <c r="BT183" s="720" t="s">
        <v>52</v>
      </c>
      <c r="BU183" s="720" t="s">
        <v>52</v>
      </c>
      <c r="BV183" s="720" t="s">
        <v>52</v>
      </c>
      <c r="BW183" s="720" t="s">
        <v>52</v>
      </c>
      <c r="BX183" s="720" t="s">
        <v>52</v>
      </c>
      <c r="BY183" s="720" t="s">
        <v>52</v>
      </c>
      <c r="BZ183" s="720" t="s">
        <v>52</v>
      </c>
      <c r="CA183" s="720" t="s">
        <v>52</v>
      </c>
      <c r="CB183" s="720" t="s">
        <v>52</v>
      </c>
      <c r="CC183" s="720" t="s">
        <v>52</v>
      </c>
      <c r="CD183" s="720" t="s">
        <v>52</v>
      </c>
      <c r="CE183" s="720" t="s">
        <v>52</v>
      </c>
      <c r="CF183" s="720" t="s">
        <v>52</v>
      </c>
      <c r="CG183" s="720" t="s">
        <v>52</v>
      </c>
      <c r="CH183" s="720" t="s">
        <v>52</v>
      </c>
      <c r="CI183" s="720" t="s">
        <v>52</v>
      </c>
      <c r="CJ183" s="720" t="s">
        <v>52</v>
      </c>
      <c r="CK183" s="720" t="s">
        <v>52</v>
      </c>
      <c r="CL183" s="720" t="s">
        <v>52</v>
      </c>
      <c r="CM183" s="720" t="s">
        <v>52</v>
      </c>
      <c r="CN183" s="720" t="s">
        <v>52</v>
      </c>
      <c r="CO183" s="720" t="s">
        <v>52</v>
      </c>
      <c r="CP183" s="720" t="s">
        <v>52</v>
      </c>
      <c r="CQ183" s="720" t="s">
        <v>52</v>
      </c>
      <c r="CR183" s="720" t="s">
        <v>52</v>
      </c>
      <c r="CS183" s="720" t="s">
        <v>52</v>
      </c>
    </row>
    <row r="184" spans="1:266" ht="13.2">
      <c r="G184" s="719" t="e">
        <f t="shared" si="3722"/>
        <v>#REF!</v>
      </c>
      <c r="H184" s="902" t="s">
        <v>52</v>
      </c>
      <c r="BA184" s="720" t="s">
        <v>52</v>
      </c>
      <c r="BB184" s="720" t="s">
        <v>52</v>
      </c>
      <c r="BC184" s="720" t="s">
        <v>52</v>
      </c>
      <c r="BD184" s="720" t="s">
        <v>52</v>
      </c>
      <c r="BE184" s="720" t="s">
        <v>52</v>
      </c>
      <c r="BF184" s="720" t="s">
        <v>52</v>
      </c>
      <c r="BG184" s="720" t="s">
        <v>52</v>
      </c>
      <c r="BH184" s="720" t="s">
        <v>52</v>
      </c>
      <c r="BI184" s="720" t="s">
        <v>52</v>
      </c>
      <c r="BJ184" s="720" t="s">
        <v>52</v>
      </c>
      <c r="BK184" s="720" t="s">
        <v>52</v>
      </c>
      <c r="BL184" s="720" t="s">
        <v>52</v>
      </c>
      <c r="BM184" s="720" t="s">
        <v>52</v>
      </c>
      <c r="BN184" s="720" t="s">
        <v>52</v>
      </c>
      <c r="BO184" s="720" t="s">
        <v>52</v>
      </c>
      <c r="BP184" s="720" t="s">
        <v>52</v>
      </c>
      <c r="BQ184" s="720" t="s">
        <v>52</v>
      </c>
      <c r="BR184" s="720" t="s">
        <v>52</v>
      </c>
      <c r="BS184" s="720" t="s">
        <v>52</v>
      </c>
      <c r="BT184" s="720" t="s">
        <v>52</v>
      </c>
      <c r="BU184" s="720" t="s">
        <v>52</v>
      </c>
      <c r="BV184" s="720" t="s">
        <v>52</v>
      </c>
      <c r="BW184" s="720" t="s">
        <v>52</v>
      </c>
      <c r="BX184" s="720" t="s">
        <v>52</v>
      </c>
      <c r="BY184" s="720" t="s">
        <v>52</v>
      </c>
      <c r="BZ184" s="720" t="s">
        <v>52</v>
      </c>
      <c r="CA184" s="720" t="s">
        <v>52</v>
      </c>
      <c r="CB184" s="720" t="s">
        <v>52</v>
      </c>
      <c r="CC184" s="720" t="s">
        <v>52</v>
      </c>
      <c r="CD184" s="720" t="s">
        <v>52</v>
      </c>
      <c r="CE184" s="720" t="s">
        <v>52</v>
      </c>
      <c r="CF184" s="720" t="s">
        <v>52</v>
      </c>
      <c r="CG184" s="720" t="s">
        <v>52</v>
      </c>
      <c r="CH184" s="720" t="s">
        <v>52</v>
      </c>
      <c r="CI184" s="720" t="s">
        <v>52</v>
      </c>
      <c r="CJ184" s="720" t="s">
        <v>52</v>
      </c>
      <c r="CK184" s="720" t="s">
        <v>52</v>
      </c>
      <c r="CL184" s="720" t="s">
        <v>52</v>
      </c>
      <c r="CM184" s="720" t="s">
        <v>52</v>
      </c>
      <c r="CN184" s="720" t="s">
        <v>52</v>
      </c>
      <c r="CO184" s="720" t="s">
        <v>52</v>
      </c>
      <c r="CP184" s="720" t="s">
        <v>52</v>
      </c>
      <c r="CQ184" s="720" t="s">
        <v>52</v>
      </c>
      <c r="CR184" s="720" t="s">
        <v>52</v>
      </c>
      <c r="CS184" s="720" t="s">
        <v>52</v>
      </c>
    </row>
    <row r="185" spans="1:266" ht="13.2">
      <c r="G185" s="719" t="e">
        <f t="shared" si="3722"/>
        <v>#REF!</v>
      </c>
      <c r="H185" s="902" t="s">
        <v>666</v>
      </c>
      <c r="BA185" s="720" t="s">
        <v>52</v>
      </c>
      <c r="BB185" s="720" t="s">
        <v>52</v>
      </c>
      <c r="BC185" s="720" t="s">
        <v>52</v>
      </c>
      <c r="BD185" s="720" t="s">
        <v>52</v>
      </c>
      <c r="BE185" s="720" t="s">
        <v>52</v>
      </c>
      <c r="BF185" s="720" t="s">
        <v>52</v>
      </c>
      <c r="BG185" s="720" t="s">
        <v>52</v>
      </c>
      <c r="BH185" s="720" t="s">
        <v>52</v>
      </c>
      <c r="BI185" s="720" t="s">
        <v>52</v>
      </c>
      <c r="BJ185" s="720" t="s">
        <v>52</v>
      </c>
      <c r="BK185" s="720" t="s">
        <v>52</v>
      </c>
      <c r="BL185" s="720" t="s">
        <v>52</v>
      </c>
      <c r="BM185" s="720" t="s">
        <v>52</v>
      </c>
      <c r="BN185" s="720" t="s">
        <v>52</v>
      </c>
      <c r="BO185" s="720" t="s">
        <v>52</v>
      </c>
      <c r="BP185" s="720" t="s">
        <v>52</v>
      </c>
      <c r="BQ185" s="720" t="s">
        <v>52</v>
      </c>
      <c r="BR185" s="720" t="s">
        <v>52</v>
      </c>
      <c r="BS185" s="720" t="s">
        <v>52</v>
      </c>
      <c r="BT185" s="720" t="s">
        <v>52</v>
      </c>
      <c r="BU185" s="720" t="s">
        <v>52</v>
      </c>
      <c r="BV185" s="720" t="s">
        <v>52</v>
      </c>
      <c r="BW185" s="720" t="s">
        <v>52</v>
      </c>
      <c r="BX185" s="720" t="s">
        <v>52</v>
      </c>
      <c r="BY185" s="720" t="s">
        <v>52</v>
      </c>
      <c r="BZ185" s="720" t="s">
        <v>52</v>
      </c>
      <c r="CA185" s="720" t="s">
        <v>52</v>
      </c>
      <c r="CB185" s="720" t="s">
        <v>52</v>
      </c>
      <c r="CC185" s="720" t="s">
        <v>52</v>
      </c>
      <c r="CD185" s="720" t="s">
        <v>52</v>
      </c>
      <c r="CE185" s="720" t="s">
        <v>52</v>
      </c>
      <c r="CF185" s="720" t="s">
        <v>52</v>
      </c>
      <c r="CG185" s="720" t="s">
        <v>52</v>
      </c>
      <c r="CH185" s="720" t="s">
        <v>52</v>
      </c>
      <c r="CI185" s="720" t="s">
        <v>52</v>
      </c>
      <c r="CJ185" s="720" t="s">
        <v>52</v>
      </c>
      <c r="CK185" s="720" t="s">
        <v>52</v>
      </c>
      <c r="CL185" s="720" t="s">
        <v>52</v>
      </c>
      <c r="CM185" s="720" t="s">
        <v>52</v>
      </c>
      <c r="CN185" s="720" t="s">
        <v>52</v>
      </c>
      <c r="CO185" s="720" t="s">
        <v>52</v>
      </c>
      <c r="CP185" s="720" t="s">
        <v>52</v>
      </c>
      <c r="CQ185" s="720" t="s">
        <v>52</v>
      </c>
      <c r="CR185" s="720" t="s">
        <v>52</v>
      </c>
      <c r="CS185" s="720" t="s">
        <v>52</v>
      </c>
      <c r="CT185" s="720"/>
    </row>
    <row r="186" spans="1:266" ht="13.8" thickBot="1">
      <c r="G186" s="714" t="s">
        <v>171</v>
      </c>
      <c r="H186" s="904" t="s">
        <v>171</v>
      </c>
      <c r="I186" s="903"/>
      <c r="J186" s="905"/>
      <c r="K186" s="905"/>
      <c r="L186" s="905"/>
      <c r="M186" s="905"/>
      <c r="N186" s="906"/>
      <c r="O186" s="906"/>
      <c r="P186" s="906"/>
      <c r="Q186" s="906"/>
      <c r="R186" s="906"/>
      <c r="S186" s="906"/>
      <c r="T186" s="905"/>
      <c r="U186" s="905"/>
      <c r="V186" s="905"/>
      <c r="W186" s="905"/>
      <c r="X186" s="905"/>
      <c r="Y186" s="905"/>
      <c r="Z186" s="905"/>
      <c r="AA186" s="905"/>
      <c r="AB186" s="905"/>
      <c r="AC186" s="905"/>
      <c r="AD186" s="905"/>
      <c r="AE186" s="905"/>
      <c r="AF186" s="905"/>
      <c r="AG186" s="905"/>
      <c r="AH186" s="905"/>
      <c r="AI186" s="905"/>
      <c r="AJ186" s="905"/>
      <c r="AK186" s="807"/>
      <c r="AL186" s="807"/>
      <c r="AM186" s="807"/>
      <c r="AN186" s="807"/>
      <c r="AO186" s="905"/>
      <c r="AP186" s="905"/>
      <c r="AQ186" s="905"/>
      <c r="AR186" s="905"/>
      <c r="AS186" s="905"/>
      <c r="AT186" s="905"/>
      <c r="AU186" s="905"/>
      <c r="AV186" s="905"/>
      <c r="AW186" s="905"/>
      <c r="AX186" s="905"/>
      <c r="AY186" s="905"/>
      <c r="AZ186" s="903"/>
      <c r="BA186" s="907">
        <f>SUM(BA155:BA185)</f>
        <v>129874.31923333334</v>
      </c>
      <c r="BB186" s="907">
        <f t="shared" ref="BB186:CS186" si="3741">SUM(BB155:BB185)</f>
        <v>37367.168299999998</v>
      </c>
      <c r="BC186" s="907">
        <f t="shared" si="3741"/>
        <v>61</v>
      </c>
      <c r="BD186" s="907">
        <f t="shared" si="3741"/>
        <v>1695.9153437499999</v>
      </c>
      <c r="BE186" s="907">
        <f t="shared" si="3741"/>
        <v>0</v>
      </c>
      <c r="BF186" s="907">
        <f t="shared" si="3741"/>
        <v>0</v>
      </c>
      <c r="BG186" s="907">
        <f t="shared" si="3741"/>
        <v>0</v>
      </c>
      <c r="BH186" s="907">
        <f t="shared" si="3741"/>
        <v>16669.948720916458</v>
      </c>
      <c r="BI186" s="907">
        <f t="shared" si="3741"/>
        <v>185607.3515979998</v>
      </c>
      <c r="BJ186" s="907">
        <f t="shared" si="3741"/>
        <v>101692.01993333333</v>
      </c>
      <c r="BK186" s="907">
        <f t="shared" si="3741"/>
        <v>35119.345033333331</v>
      </c>
      <c r="BL186" s="907">
        <f>SUM(BL155:BL185)</f>
        <v>184.5</v>
      </c>
      <c r="BM186" s="907">
        <f t="shared" si="3741"/>
        <v>4986.6491249999999</v>
      </c>
      <c r="BN186" s="907">
        <f t="shared" si="3741"/>
        <v>0</v>
      </c>
      <c r="BO186" s="907">
        <f t="shared" si="3741"/>
        <v>0</v>
      </c>
      <c r="BP186" s="907">
        <f t="shared" si="3741"/>
        <v>0</v>
      </c>
      <c r="BQ186" s="907">
        <f t="shared" si="3741"/>
        <v>13516.187369690835</v>
      </c>
      <c r="BR186" s="907">
        <f t="shared" si="3741"/>
        <v>155314.20146135753</v>
      </c>
      <c r="BS186" s="907">
        <f>SUM(BS155:BS185)</f>
        <v>29533.793833333333</v>
      </c>
      <c r="BT186" s="907">
        <f t="shared" si="3741"/>
        <v>7160.2203333333327</v>
      </c>
      <c r="BU186" s="907">
        <f t="shared" si="3741"/>
        <v>0</v>
      </c>
      <c r="BV186" s="907">
        <f t="shared" si="3741"/>
        <v>0</v>
      </c>
      <c r="BW186" s="907">
        <f t="shared" si="3741"/>
        <v>0</v>
      </c>
      <c r="BX186" s="907">
        <f t="shared" si="3741"/>
        <v>0</v>
      </c>
      <c r="BY186" s="907">
        <f t="shared" si="3741"/>
        <v>0</v>
      </c>
      <c r="BZ186" s="907">
        <f>SUM(BZ155:BZ185)</f>
        <v>3727.2433110833331</v>
      </c>
      <c r="CA186" s="907">
        <f>SUM(CA155:CA185)</f>
        <v>40421.25747774999</v>
      </c>
      <c r="CB186" s="907">
        <f t="shared" si="3741"/>
        <v>14983.842000000001</v>
      </c>
      <c r="CC186" s="907">
        <f t="shared" si="3741"/>
        <v>5211.0280000000002</v>
      </c>
      <c r="CD186" s="907">
        <f t="shared" si="3741"/>
        <v>0</v>
      </c>
      <c r="CE186" s="907">
        <f t="shared" si="3741"/>
        <v>0</v>
      </c>
      <c r="CF186" s="907">
        <f t="shared" si="3741"/>
        <v>0</v>
      </c>
      <c r="CG186" s="907">
        <f t="shared" si="3741"/>
        <v>0</v>
      </c>
      <c r="CH186" s="907">
        <f>SUM(CH155:CH185)</f>
        <v>0</v>
      </c>
      <c r="CI186" s="907">
        <f t="shared" si="3741"/>
        <v>1898.4527813999996</v>
      </c>
      <c r="CJ186" s="907">
        <f t="shared" si="3741"/>
        <v>22093.322781400002</v>
      </c>
      <c r="CK186" s="907">
        <f t="shared" si="3741"/>
        <v>0</v>
      </c>
      <c r="CL186" s="907">
        <f t="shared" si="3741"/>
        <v>0</v>
      </c>
      <c r="CM186" s="907">
        <f t="shared" si="3741"/>
        <v>0</v>
      </c>
      <c r="CN186" s="907">
        <f t="shared" si="3741"/>
        <v>0</v>
      </c>
      <c r="CO186" s="907">
        <f t="shared" si="3741"/>
        <v>0</v>
      </c>
      <c r="CP186" s="907">
        <f t="shared" si="3741"/>
        <v>0</v>
      </c>
      <c r="CQ186" s="907">
        <f t="shared" si="3741"/>
        <v>0</v>
      </c>
      <c r="CR186" s="907">
        <f t="shared" si="3741"/>
        <v>0</v>
      </c>
      <c r="CS186" s="907">
        <f t="shared" si="3741"/>
        <v>0</v>
      </c>
      <c r="CT186" s="907"/>
      <c r="CU186" s="903"/>
      <c r="CV186" s="905"/>
      <c r="CW186" s="905"/>
      <c r="CX186" s="905"/>
      <c r="CY186" s="905"/>
      <c r="CZ186" s="905"/>
      <c r="DA186" s="905"/>
      <c r="DB186" s="905"/>
      <c r="DC186" s="905"/>
      <c r="DD186" s="905"/>
      <c r="DE186" s="905"/>
      <c r="DF186" s="905"/>
      <c r="DG186" s="905"/>
      <c r="DH186" s="905"/>
      <c r="DI186" s="905"/>
      <c r="DJ186" s="905"/>
      <c r="DK186" s="905"/>
      <c r="DL186" s="905"/>
      <c r="DM186" s="905"/>
      <c r="DN186" s="905"/>
      <c r="DO186" s="905"/>
      <c r="DP186" s="905"/>
      <c r="DQ186" s="905"/>
      <c r="DR186" s="905"/>
      <c r="DS186" s="905"/>
      <c r="DT186" s="905"/>
      <c r="DU186" s="905"/>
      <c r="DV186" s="905"/>
      <c r="DW186" s="905"/>
      <c r="DX186" s="905"/>
      <c r="DY186" s="905"/>
      <c r="DZ186" s="905"/>
      <c r="EA186" s="905"/>
      <c r="EB186" s="905"/>
      <c r="EC186" s="905"/>
      <c r="ED186" s="905"/>
      <c r="EE186" s="905"/>
      <c r="EF186" s="905"/>
      <c r="EG186" s="905"/>
      <c r="EH186" s="905"/>
      <c r="EI186" s="905"/>
      <c r="EJ186" s="905"/>
      <c r="EK186" s="905"/>
      <c r="EL186" s="905"/>
      <c r="EM186" s="905"/>
      <c r="EN186" s="905"/>
      <c r="EO186" s="903"/>
      <c r="EP186" s="949"/>
      <c r="EQ186" s="903"/>
      <c r="ER186" s="903"/>
      <c r="ES186" s="903"/>
      <c r="ET186" s="903"/>
      <c r="EU186" s="903"/>
      <c r="EV186" s="903"/>
      <c r="EW186" s="903"/>
      <c r="EX186" s="903"/>
      <c r="EY186" s="903"/>
      <c r="EZ186" s="903"/>
      <c r="FA186" s="903"/>
      <c r="FB186" s="903"/>
      <c r="FC186" s="903"/>
      <c r="FD186" s="903"/>
      <c r="FE186" s="903"/>
      <c r="FF186" s="903"/>
      <c r="FG186" s="903"/>
      <c r="FH186" s="903"/>
      <c r="FI186" s="903"/>
      <c r="FJ186" s="903"/>
      <c r="FK186" s="903"/>
      <c r="FL186" s="903"/>
      <c r="FM186" s="903"/>
      <c r="FN186" s="903"/>
      <c r="FO186" s="903"/>
      <c r="FP186" s="903"/>
      <c r="FQ186" s="903"/>
      <c r="FR186" s="903"/>
      <c r="FS186" s="903"/>
      <c r="FT186" s="903"/>
      <c r="FU186" s="903"/>
      <c r="FV186" s="903"/>
      <c r="FW186" s="903"/>
      <c r="FX186" s="903"/>
      <c r="FY186" s="903"/>
      <c r="FZ186" s="903"/>
      <c r="GA186" s="903"/>
      <c r="GB186" s="903"/>
      <c r="GC186" s="903"/>
      <c r="GD186" s="903"/>
      <c r="GE186" s="903"/>
      <c r="GF186" s="903"/>
      <c r="GG186" s="903"/>
      <c r="GH186" s="903"/>
      <c r="GI186" s="903"/>
      <c r="GJ186" s="903"/>
      <c r="GK186" s="903"/>
      <c r="GL186" s="903"/>
      <c r="GM186" s="903"/>
      <c r="GN186" s="903"/>
      <c r="GO186" s="903"/>
      <c r="GP186" s="903"/>
      <c r="GQ186" s="903"/>
      <c r="GR186" s="903"/>
      <c r="GS186" s="903"/>
      <c r="GT186" s="903"/>
      <c r="GU186" s="903"/>
      <c r="GV186" s="903"/>
      <c r="GW186" s="903"/>
      <c r="GX186" s="903"/>
      <c r="GY186" s="903"/>
      <c r="GZ186" s="903"/>
      <c r="HA186" s="903"/>
      <c r="HB186" s="903"/>
      <c r="HC186" s="903"/>
      <c r="HD186" s="903"/>
      <c r="HE186" s="903"/>
      <c r="HF186" s="903"/>
      <c r="HG186" s="903"/>
      <c r="HH186" s="903"/>
      <c r="HI186" s="903"/>
      <c r="HJ186" s="903"/>
      <c r="HK186" s="903"/>
      <c r="HL186" s="903"/>
      <c r="HM186" s="903"/>
      <c r="HN186" s="903"/>
      <c r="HO186" s="903"/>
      <c r="HP186" s="903"/>
      <c r="HQ186" s="903"/>
      <c r="HR186" s="903"/>
      <c r="HS186" s="903"/>
      <c r="HT186" s="903"/>
      <c r="HU186" s="903"/>
      <c r="HV186" s="903"/>
      <c r="HW186" s="903"/>
      <c r="HX186" s="903"/>
      <c r="HY186" s="903"/>
      <c r="HZ186" s="903"/>
      <c r="IA186" s="903"/>
      <c r="IB186" s="903"/>
      <c r="IC186" s="903"/>
      <c r="ID186" s="903"/>
      <c r="IE186" s="903"/>
      <c r="IF186" s="903"/>
      <c r="IG186" s="903"/>
      <c r="IH186" s="903"/>
      <c r="II186" s="903"/>
      <c r="IJ186" s="903"/>
      <c r="IK186" s="903"/>
      <c r="IL186" s="903"/>
      <c r="IM186" s="903"/>
      <c r="IN186" s="903"/>
      <c r="IO186" s="903"/>
      <c r="IP186" s="903"/>
      <c r="IQ186" s="903"/>
      <c r="IR186" s="903"/>
      <c r="IS186" s="903"/>
      <c r="IT186" s="903"/>
      <c r="IU186" s="903"/>
      <c r="IV186" s="903"/>
      <c r="IW186" s="903"/>
      <c r="IX186" s="903"/>
      <c r="IY186" s="903"/>
      <c r="IZ186" s="903"/>
      <c r="JA186" s="903"/>
      <c r="JB186" s="903"/>
      <c r="JC186" s="903"/>
      <c r="JD186" s="903"/>
      <c r="JE186" s="903"/>
      <c r="JF186" s="903"/>
    </row>
    <row r="187" spans="1:266" ht="10.8" thickTop="1">
      <c r="BA187" s="720">
        <f>BA148-BA186</f>
        <v>0</v>
      </c>
      <c r="BB187" s="720">
        <f t="shared" ref="BB187:CS187" si="3742">BB148-BB186</f>
        <v>0</v>
      </c>
      <c r="BC187" s="720">
        <f t="shared" si="3742"/>
        <v>0</v>
      </c>
      <c r="BD187" s="720">
        <f t="shared" si="3742"/>
        <v>0</v>
      </c>
      <c r="BE187" s="720">
        <f t="shared" si="3742"/>
        <v>0</v>
      </c>
      <c r="BF187" s="720">
        <f t="shared" si="3742"/>
        <v>0</v>
      </c>
      <c r="BG187" s="720">
        <f t="shared" si="3742"/>
        <v>0</v>
      </c>
      <c r="BH187" s="720">
        <f t="shared" si="3742"/>
        <v>0</v>
      </c>
      <c r="BI187" s="720">
        <f t="shared" si="3742"/>
        <v>0</v>
      </c>
      <c r="BJ187" s="720">
        <f t="shared" si="3742"/>
        <v>0</v>
      </c>
      <c r="BK187" s="720">
        <f t="shared" si="3742"/>
        <v>0</v>
      </c>
      <c r="BL187" s="720">
        <f t="shared" si="3742"/>
        <v>0</v>
      </c>
      <c r="BM187" s="720">
        <f t="shared" si="3742"/>
        <v>0</v>
      </c>
      <c r="BN187" s="720">
        <f t="shared" si="3742"/>
        <v>0</v>
      </c>
      <c r="BO187" s="720">
        <f t="shared" si="3742"/>
        <v>0</v>
      </c>
      <c r="BP187" s="720">
        <f t="shared" si="3742"/>
        <v>0</v>
      </c>
      <c r="BQ187" s="720">
        <f t="shared" si="3742"/>
        <v>0</v>
      </c>
      <c r="BR187" s="720">
        <f t="shared" si="3742"/>
        <v>0</v>
      </c>
      <c r="BS187" s="720">
        <f t="shared" si="3742"/>
        <v>0</v>
      </c>
      <c r="BT187" s="720">
        <f>BT148-BT186</f>
        <v>0</v>
      </c>
      <c r="BU187" s="720">
        <f t="shared" si="3742"/>
        <v>0</v>
      </c>
      <c r="BV187" s="720">
        <f t="shared" si="3742"/>
        <v>0</v>
      </c>
      <c r="BW187" s="720">
        <f t="shared" si="3742"/>
        <v>0</v>
      </c>
      <c r="BX187" s="720">
        <f t="shared" si="3742"/>
        <v>0</v>
      </c>
      <c r="BY187" s="720">
        <f t="shared" si="3742"/>
        <v>0</v>
      </c>
      <c r="BZ187" s="720">
        <f t="shared" si="3742"/>
        <v>0</v>
      </c>
      <c r="CA187" s="720">
        <f t="shared" si="3742"/>
        <v>0</v>
      </c>
      <c r="CB187" s="720">
        <f t="shared" si="3742"/>
        <v>0</v>
      </c>
      <c r="CC187" s="720">
        <f t="shared" si="3742"/>
        <v>0</v>
      </c>
      <c r="CD187" s="720">
        <f t="shared" si="3742"/>
        <v>0</v>
      </c>
      <c r="CE187" s="720">
        <f t="shared" si="3742"/>
        <v>0</v>
      </c>
      <c r="CF187" s="720">
        <f t="shared" si="3742"/>
        <v>0</v>
      </c>
      <c r="CG187" s="720">
        <f t="shared" si="3742"/>
        <v>0</v>
      </c>
      <c r="CH187" s="720">
        <f t="shared" si="3742"/>
        <v>0</v>
      </c>
      <c r="CI187" s="720">
        <f t="shared" si="3742"/>
        <v>0</v>
      </c>
      <c r="CJ187" s="720">
        <f t="shared" si="3742"/>
        <v>0</v>
      </c>
      <c r="CK187" s="720">
        <f t="shared" si="3742"/>
        <v>0</v>
      </c>
      <c r="CL187" s="720">
        <f t="shared" si="3742"/>
        <v>0</v>
      </c>
      <c r="CM187" s="720">
        <f t="shared" si="3742"/>
        <v>0</v>
      </c>
      <c r="CN187" s="720">
        <f t="shared" si="3742"/>
        <v>0</v>
      </c>
      <c r="CO187" s="720">
        <f t="shared" si="3742"/>
        <v>0</v>
      </c>
      <c r="CP187" s="720">
        <f t="shared" si="3742"/>
        <v>0</v>
      </c>
      <c r="CQ187" s="720">
        <f t="shared" si="3742"/>
        <v>0</v>
      </c>
      <c r="CR187" s="720">
        <f t="shared" si="3742"/>
        <v>0</v>
      </c>
      <c r="CS187" s="720">
        <f t="shared" si="3742"/>
        <v>0</v>
      </c>
    </row>
    <row r="188" spans="1:266">
      <c r="BA188" s="720" t="str">
        <f>IF(BA187&lt;&gt;0,"ERROR VERIFICAR TRASLADO DE DATOS DE DISTRIBUCIÓN A CUADRO","")</f>
        <v/>
      </c>
      <c r="BB188" s="720" t="str">
        <f>IF(BB187&lt;&gt;0,"ERROR VERIFICAR TRASLADO DE DATOS DE DISTRIBUCIÓN A CUADRO","")</f>
        <v/>
      </c>
      <c r="BC188" s="720" t="str">
        <f t="shared" ref="BC188:CS188" si="3743">IF(BC187&lt;&gt;0,"ERROR VERIFICAR TRASLADO DE DATOS DE DISTRIBUCIÓN A CUADRO","")</f>
        <v/>
      </c>
      <c r="BD188" s="720" t="str">
        <f t="shared" si="3743"/>
        <v/>
      </c>
      <c r="BE188" s="720" t="str">
        <f t="shared" si="3743"/>
        <v/>
      </c>
      <c r="BF188" s="720" t="str">
        <f t="shared" si="3743"/>
        <v/>
      </c>
      <c r="BG188" s="720" t="str">
        <f t="shared" si="3743"/>
        <v/>
      </c>
      <c r="BH188" s="720" t="str">
        <f t="shared" si="3743"/>
        <v/>
      </c>
      <c r="BI188" s="720" t="str">
        <f t="shared" si="3743"/>
        <v/>
      </c>
      <c r="BJ188" s="720" t="str">
        <f t="shared" si="3743"/>
        <v/>
      </c>
      <c r="BK188" s="720" t="str">
        <f t="shared" si="3743"/>
        <v/>
      </c>
      <c r="BL188" s="720" t="str">
        <f t="shared" si="3743"/>
        <v/>
      </c>
      <c r="BM188" s="720" t="str">
        <f t="shared" si="3743"/>
        <v/>
      </c>
      <c r="BN188" s="720" t="str">
        <f t="shared" si="3743"/>
        <v/>
      </c>
      <c r="BO188" s="720" t="str">
        <f t="shared" si="3743"/>
        <v/>
      </c>
      <c r="BP188" s="720" t="str">
        <f t="shared" si="3743"/>
        <v/>
      </c>
      <c r="BQ188" s="720" t="str">
        <f t="shared" si="3743"/>
        <v/>
      </c>
      <c r="BR188" s="720" t="str">
        <f t="shared" si="3743"/>
        <v/>
      </c>
      <c r="BS188" s="720" t="str">
        <f t="shared" si="3743"/>
        <v/>
      </c>
      <c r="BT188" s="720" t="str">
        <f t="shared" si="3743"/>
        <v/>
      </c>
      <c r="BU188" s="720" t="str">
        <f t="shared" si="3743"/>
        <v/>
      </c>
      <c r="BV188" s="720" t="str">
        <f t="shared" si="3743"/>
        <v/>
      </c>
      <c r="BW188" s="720" t="str">
        <f t="shared" si="3743"/>
        <v/>
      </c>
      <c r="BX188" s="720" t="str">
        <f t="shared" si="3743"/>
        <v/>
      </c>
      <c r="BY188" s="720" t="str">
        <f t="shared" si="3743"/>
        <v/>
      </c>
      <c r="BZ188" s="720" t="str">
        <f t="shared" si="3743"/>
        <v/>
      </c>
      <c r="CA188" s="720" t="str">
        <f t="shared" si="3743"/>
        <v/>
      </c>
      <c r="CB188" s="720" t="str">
        <f t="shared" si="3743"/>
        <v/>
      </c>
      <c r="CC188" s="720" t="str">
        <f t="shared" si="3743"/>
        <v/>
      </c>
      <c r="CD188" s="720" t="str">
        <f t="shared" si="3743"/>
        <v/>
      </c>
      <c r="CE188" s="720" t="str">
        <f t="shared" si="3743"/>
        <v/>
      </c>
      <c r="CF188" s="720" t="str">
        <f t="shared" si="3743"/>
        <v/>
      </c>
      <c r="CG188" s="720" t="str">
        <f t="shared" si="3743"/>
        <v/>
      </c>
      <c r="CH188" s="720" t="str">
        <f t="shared" si="3743"/>
        <v/>
      </c>
      <c r="CI188" s="720" t="str">
        <f t="shared" si="3743"/>
        <v/>
      </c>
      <c r="CJ188" s="720" t="str">
        <f t="shared" si="3743"/>
        <v/>
      </c>
      <c r="CK188" s="720" t="str">
        <f t="shared" si="3743"/>
        <v/>
      </c>
      <c r="CL188" s="720" t="str">
        <f t="shared" si="3743"/>
        <v/>
      </c>
      <c r="CM188" s="720" t="str">
        <f t="shared" si="3743"/>
        <v/>
      </c>
      <c r="CN188" s="720" t="str">
        <f t="shared" si="3743"/>
        <v/>
      </c>
      <c r="CO188" s="720" t="str">
        <f t="shared" si="3743"/>
        <v/>
      </c>
      <c r="CP188" s="720" t="str">
        <f t="shared" si="3743"/>
        <v/>
      </c>
      <c r="CQ188" s="720" t="str">
        <f t="shared" si="3743"/>
        <v/>
      </c>
      <c r="CR188" s="720" t="str">
        <f t="shared" si="3743"/>
        <v/>
      </c>
      <c r="CS188" s="720" t="str">
        <f t="shared" si="3743"/>
        <v/>
      </c>
    </row>
    <row r="189" spans="1:266" ht="10.8" thickBot="1">
      <c r="BA189" s="1344" t="s">
        <v>346</v>
      </c>
      <c r="BB189" s="1344"/>
      <c r="BC189" s="1344"/>
      <c r="BD189" s="1344"/>
      <c r="BE189" s="1344"/>
      <c r="BF189" s="1344"/>
      <c r="BG189" s="1344"/>
      <c r="BH189" s="1344"/>
      <c r="BI189" s="1344"/>
      <c r="BJ189" s="1344" t="s">
        <v>346</v>
      </c>
      <c r="BK189" s="1344"/>
      <c r="BL189" s="1344"/>
      <c r="BM189" s="1344"/>
      <c r="BN189" s="1344"/>
      <c r="BO189" s="1344"/>
      <c r="BP189" s="1344"/>
      <c r="BQ189" s="1344"/>
      <c r="BR189" s="1344"/>
      <c r="BS189" s="1344" t="s">
        <v>346</v>
      </c>
      <c r="BT189" s="1344"/>
      <c r="BU189" s="1344"/>
      <c r="BV189" s="1344"/>
      <c r="BW189" s="1344"/>
      <c r="BX189" s="1344"/>
      <c r="BY189" s="1344"/>
      <c r="BZ189" s="1344"/>
      <c r="CA189" s="1344"/>
      <c r="CB189" s="1344" t="s">
        <v>346</v>
      </c>
      <c r="CC189" s="1344"/>
      <c r="CD189" s="1344"/>
      <c r="CE189" s="1344"/>
      <c r="CF189" s="1344"/>
      <c r="CG189" s="1344"/>
      <c r="CH189" s="1344"/>
      <c r="CI189" s="1344"/>
      <c r="CJ189" s="1344"/>
      <c r="CK189" s="1344" t="s">
        <v>346</v>
      </c>
      <c r="CL189" s="1344"/>
      <c r="CM189" s="1344"/>
      <c r="CN189" s="1344"/>
      <c r="CO189" s="1344"/>
      <c r="CP189" s="1344"/>
      <c r="CQ189" s="1344"/>
      <c r="CR189" s="1344"/>
      <c r="CS189" s="1344"/>
    </row>
    <row r="190" spans="1:266">
      <c r="BA190" s="888" t="s">
        <v>15</v>
      </c>
      <c r="BB190" s="889" t="s">
        <v>16</v>
      </c>
      <c r="BC190" s="889" t="s">
        <v>24</v>
      </c>
      <c r="BD190" s="890" t="s">
        <v>25</v>
      </c>
      <c r="BE190" s="890" t="s">
        <v>24</v>
      </c>
      <c r="BF190" s="890" t="s">
        <v>25</v>
      </c>
      <c r="BG190" s="891" t="s">
        <v>26</v>
      </c>
      <c r="BH190" s="891" t="s">
        <v>27</v>
      </c>
      <c r="BI190" s="892" t="s">
        <v>17</v>
      </c>
      <c r="BJ190" s="888" t="s">
        <v>15</v>
      </c>
      <c r="BK190" s="889" t="s">
        <v>16</v>
      </c>
      <c r="BL190" s="889" t="s">
        <v>24</v>
      </c>
      <c r="BM190" s="890" t="s">
        <v>25</v>
      </c>
      <c r="BN190" s="890" t="s">
        <v>24</v>
      </c>
      <c r="BO190" s="890" t="s">
        <v>25</v>
      </c>
      <c r="BP190" s="891" t="s">
        <v>26</v>
      </c>
      <c r="BQ190" s="891" t="s">
        <v>27</v>
      </c>
      <c r="BR190" s="892" t="s">
        <v>17</v>
      </c>
      <c r="BS190" s="888" t="s">
        <v>15</v>
      </c>
      <c r="BT190" s="889" t="s">
        <v>16</v>
      </c>
      <c r="BU190" s="889" t="s">
        <v>24</v>
      </c>
      <c r="BV190" s="890" t="s">
        <v>25</v>
      </c>
      <c r="BW190" s="890" t="s">
        <v>24</v>
      </c>
      <c r="BX190" s="890" t="s">
        <v>25</v>
      </c>
      <c r="BY190" s="891" t="s">
        <v>26</v>
      </c>
      <c r="BZ190" s="891" t="s">
        <v>27</v>
      </c>
      <c r="CA190" s="892" t="s">
        <v>17</v>
      </c>
      <c r="CB190" s="888" t="s">
        <v>15</v>
      </c>
      <c r="CC190" s="889" t="s">
        <v>16</v>
      </c>
      <c r="CD190" s="889" t="s">
        <v>24</v>
      </c>
      <c r="CE190" s="890" t="s">
        <v>25</v>
      </c>
      <c r="CF190" s="890" t="s">
        <v>24</v>
      </c>
      <c r="CG190" s="890" t="s">
        <v>25</v>
      </c>
      <c r="CH190" s="891" t="s">
        <v>26</v>
      </c>
      <c r="CI190" s="891" t="s">
        <v>27</v>
      </c>
      <c r="CJ190" s="892" t="s">
        <v>17</v>
      </c>
      <c r="CK190" s="888" t="s">
        <v>15</v>
      </c>
      <c r="CL190" s="889" t="s">
        <v>16</v>
      </c>
      <c r="CM190" s="889" t="s">
        <v>24</v>
      </c>
      <c r="CN190" s="890" t="s">
        <v>25</v>
      </c>
      <c r="CO190" s="890" t="s">
        <v>24</v>
      </c>
      <c r="CP190" s="890" t="s">
        <v>25</v>
      </c>
      <c r="CQ190" s="891" t="s">
        <v>26</v>
      </c>
      <c r="CR190" s="891" t="s">
        <v>27</v>
      </c>
      <c r="CS190" s="893" t="s">
        <v>17</v>
      </c>
    </row>
    <row r="191" spans="1:266">
      <c r="BA191" s="894" t="s">
        <v>37</v>
      </c>
      <c r="BB191" s="895" t="s">
        <v>38</v>
      </c>
      <c r="BC191" s="895" t="s">
        <v>44</v>
      </c>
      <c r="BD191" s="895" t="s">
        <v>343</v>
      </c>
      <c r="BE191" s="895" t="s">
        <v>45</v>
      </c>
      <c r="BF191" s="895" t="s">
        <v>344</v>
      </c>
      <c r="BG191" s="896" t="s">
        <v>46</v>
      </c>
      <c r="BH191" s="896" t="s">
        <v>47</v>
      </c>
      <c r="BI191" s="897"/>
      <c r="BJ191" s="894" t="s">
        <v>37</v>
      </c>
      <c r="BK191" s="895" t="s">
        <v>38</v>
      </c>
      <c r="BL191" s="895" t="s">
        <v>44</v>
      </c>
      <c r="BM191" s="895" t="s">
        <v>343</v>
      </c>
      <c r="BN191" s="895" t="s">
        <v>45</v>
      </c>
      <c r="BO191" s="895" t="s">
        <v>344</v>
      </c>
      <c r="BP191" s="896" t="s">
        <v>46</v>
      </c>
      <c r="BQ191" s="896" t="s">
        <v>47</v>
      </c>
      <c r="BR191" s="897"/>
      <c r="BS191" s="894" t="s">
        <v>37</v>
      </c>
      <c r="BT191" s="895" t="s">
        <v>38</v>
      </c>
      <c r="BU191" s="895" t="s">
        <v>44</v>
      </c>
      <c r="BV191" s="895" t="s">
        <v>343</v>
      </c>
      <c r="BW191" s="895" t="s">
        <v>45</v>
      </c>
      <c r="BX191" s="895" t="s">
        <v>344</v>
      </c>
      <c r="BY191" s="896" t="s">
        <v>46</v>
      </c>
      <c r="BZ191" s="896" t="s">
        <v>47</v>
      </c>
      <c r="CA191" s="897"/>
      <c r="CB191" s="894" t="s">
        <v>37</v>
      </c>
      <c r="CC191" s="895" t="s">
        <v>38</v>
      </c>
      <c r="CD191" s="895" t="s">
        <v>44</v>
      </c>
      <c r="CE191" s="895" t="s">
        <v>343</v>
      </c>
      <c r="CF191" s="895" t="s">
        <v>45</v>
      </c>
      <c r="CG191" s="895" t="s">
        <v>344</v>
      </c>
      <c r="CH191" s="896" t="s">
        <v>46</v>
      </c>
      <c r="CI191" s="896" t="s">
        <v>47</v>
      </c>
      <c r="CJ191" s="897"/>
      <c r="CK191" s="894" t="s">
        <v>37</v>
      </c>
      <c r="CL191" s="895" t="s">
        <v>38</v>
      </c>
      <c r="CM191" s="895" t="s">
        <v>44</v>
      </c>
      <c r="CN191" s="895" t="s">
        <v>343</v>
      </c>
      <c r="CO191" s="895" t="s">
        <v>45</v>
      </c>
      <c r="CP191" s="895" t="s">
        <v>344</v>
      </c>
      <c r="CQ191" s="896" t="s">
        <v>46</v>
      </c>
      <c r="CR191" s="896" t="s">
        <v>47</v>
      </c>
      <c r="CS191" s="898"/>
    </row>
    <row r="192" spans="1:266" ht="13.2">
      <c r="H192" s="899" t="s">
        <v>51</v>
      </c>
      <c r="BA192" s="712"/>
      <c r="BB192" s="712"/>
      <c r="BJ192" s="712"/>
      <c r="BK192" s="712"/>
      <c r="BS192" s="712"/>
      <c r="BT192" s="712"/>
      <c r="CB192" s="712"/>
      <c r="CC192" s="712"/>
      <c r="CK192" s="712"/>
      <c r="CL192" s="712"/>
      <c r="CV192" s="712"/>
      <c r="CW192" s="712"/>
      <c r="CX192" s="712"/>
      <c r="CY192" s="712"/>
      <c r="CZ192" s="712"/>
      <c r="DA192" s="712"/>
      <c r="DB192" s="712"/>
      <c r="DC192" s="712"/>
      <c r="DD192" s="712"/>
      <c r="DE192" s="712"/>
      <c r="DF192" s="712"/>
      <c r="DG192" s="712"/>
      <c r="DH192" s="712"/>
      <c r="DI192" s="712"/>
      <c r="DJ192" s="712"/>
      <c r="DK192" s="712"/>
      <c r="DL192" s="712"/>
      <c r="DM192" s="712"/>
      <c r="DN192" s="712"/>
      <c r="DO192" s="712"/>
      <c r="DP192" s="712"/>
      <c r="DQ192" s="712"/>
      <c r="DR192" s="712"/>
      <c r="DS192" s="712"/>
      <c r="DT192" s="712"/>
      <c r="DU192" s="712"/>
      <c r="DV192" s="712"/>
      <c r="DW192" s="712"/>
      <c r="DX192" s="712"/>
      <c r="DY192" s="712"/>
      <c r="DZ192" s="712"/>
      <c r="EA192" s="712"/>
      <c r="EB192" s="712"/>
      <c r="EC192" s="712"/>
      <c r="ED192" s="712"/>
      <c r="EE192" s="712"/>
      <c r="EF192" s="712"/>
      <c r="EG192" s="712"/>
      <c r="EH192" s="712"/>
      <c r="EI192" s="712"/>
      <c r="EJ192" s="712"/>
      <c r="EK192" s="712"/>
      <c r="EL192" s="712"/>
      <c r="EM192" s="712"/>
      <c r="EN192" s="712"/>
      <c r="EP192" s="947"/>
    </row>
    <row r="193" spans="7:146" ht="13.2">
      <c r="G193" s="719">
        <v>1</v>
      </c>
      <c r="H193" s="714" t="s">
        <v>53</v>
      </c>
      <c r="BA193" s="720">
        <v>0</v>
      </c>
      <c r="BB193" s="720">
        <v>0</v>
      </c>
      <c r="BC193" s="720">
        <v>0</v>
      </c>
      <c r="BD193" s="720">
        <v>0</v>
      </c>
      <c r="BE193" s="720">
        <v>0</v>
      </c>
      <c r="BF193" s="720">
        <v>0</v>
      </c>
      <c r="BG193" s="720">
        <v>0</v>
      </c>
      <c r="BH193" s="720">
        <v>0</v>
      </c>
      <c r="BI193" s="720">
        <v>0</v>
      </c>
      <c r="BJ193" s="720">
        <v>0</v>
      </c>
      <c r="BK193" s="720">
        <v>0</v>
      </c>
      <c r="BL193" s="720">
        <v>0</v>
      </c>
      <c r="BM193" s="720">
        <v>0</v>
      </c>
      <c r="BN193" s="720">
        <v>0</v>
      </c>
      <c r="BO193" s="720">
        <v>0</v>
      </c>
      <c r="BP193" s="720">
        <v>0</v>
      </c>
      <c r="BQ193" s="720">
        <v>0</v>
      </c>
      <c r="BR193" s="720">
        <v>0</v>
      </c>
      <c r="BS193" s="720">
        <v>0</v>
      </c>
      <c r="BT193" s="720">
        <v>0</v>
      </c>
      <c r="BU193" s="720">
        <v>0</v>
      </c>
      <c r="BV193" s="720">
        <v>0</v>
      </c>
      <c r="BW193" s="720">
        <v>0</v>
      </c>
      <c r="BX193" s="720">
        <v>0</v>
      </c>
      <c r="BY193" s="720">
        <v>0</v>
      </c>
      <c r="BZ193" s="720">
        <v>0</v>
      </c>
      <c r="CA193" s="720">
        <v>0</v>
      </c>
      <c r="CB193" s="720">
        <v>0</v>
      </c>
      <c r="CC193" s="720">
        <v>0</v>
      </c>
      <c r="CD193" s="720">
        <v>0</v>
      </c>
      <c r="CE193" s="720">
        <v>0</v>
      </c>
      <c r="CF193" s="720">
        <v>0</v>
      </c>
      <c r="CG193" s="720">
        <v>0</v>
      </c>
      <c r="CH193" s="720">
        <v>0</v>
      </c>
      <c r="CI193" s="720">
        <v>0</v>
      </c>
      <c r="CJ193" s="720">
        <v>0</v>
      </c>
      <c r="CK193" s="720">
        <v>0</v>
      </c>
      <c r="CL193" s="720">
        <v>0</v>
      </c>
      <c r="CM193" s="720">
        <v>0</v>
      </c>
      <c r="CN193" s="720">
        <v>0</v>
      </c>
      <c r="CO193" s="720">
        <v>0</v>
      </c>
      <c r="CP193" s="720">
        <v>0</v>
      </c>
      <c r="CQ193" s="720">
        <v>0</v>
      </c>
      <c r="CR193" s="720">
        <v>0</v>
      </c>
      <c r="CS193" s="720">
        <v>0</v>
      </c>
      <c r="CT193" s="720">
        <v>0</v>
      </c>
      <c r="CV193" s="712"/>
      <c r="CW193" s="712"/>
      <c r="CX193" s="712"/>
      <c r="CY193" s="712"/>
      <c r="CZ193" s="712"/>
      <c r="DA193" s="712"/>
      <c r="DB193" s="712"/>
      <c r="DC193" s="712"/>
      <c r="DD193" s="712"/>
      <c r="DE193" s="712"/>
      <c r="DF193" s="712"/>
      <c r="DG193" s="712"/>
      <c r="DH193" s="712"/>
      <c r="DI193" s="712"/>
      <c r="DJ193" s="712"/>
      <c r="DK193" s="712"/>
      <c r="DL193" s="712"/>
      <c r="DM193" s="712"/>
      <c r="DN193" s="712"/>
      <c r="DO193" s="712"/>
      <c r="DP193" s="712"/>
      <c r="DQ193" s="712"/>
      <c r="DR193" s="712"/>
      <c r="DS193" s="712"/>
      <c r="DT193" s="712"/>
      <c r="DU193" s="712"/>
      <c r="DV193" s="712"/>
      <c r="DW193" s="712"/>
      <c r="DX193" s="712"/>
      <c r="DY193" s="712"/>
      <c r="DZ193" s="712"/>
      <c r="EA193" s="712"/>
      <c r="EB193" s="712"/>
      <c r="EC193" s="712"/>
      <c r="ED193" s="712"/>
      <c r="EE193" s="712"/>
      <c r="EF193" s="712"/>
      <c r="EG193" s="712"/>
      <c r="EH193" s="712"/>
      <c r="EI193" s="712"/>
      <c r="EJ193" s="712"/>
      <c r="EK193" s="712"/>
      <c r="EL193" s="712"/>
      <c r="EM193" s="712"/>
      <c r="EN193" s="712"/>
      <c r="EP193" s="947"/>
    </row>
    <row r="194" spans="7:146" ht="13.2">
      <c r="G194" s="719">
        <v>2</v>
      </c>
      <c r="H194" s="714" t="s">
        <v>58</v>
      </c>
      <c r="BA194" s="720">
        <f t="shared" ref="BA194:CS194" si="3744">+CV12+CV15+CV18</f>
        <v>0</v>
      </c>
      <c r="BB194" s="720">
        <f t="shared" si="3744"/>
        <v>0</v>
      </c>
      <c r="BC194" s="720">
        <f t="shared" si="3744"/>
        <v>0</v>
      </c>
      <c r="BD194" s="720">
        <f t="shared" si="3744"/>
        <v>0</v>
      </c>
      <c r="BE194" s="720">
        <f t="shared" si="3744"/>
        <v>0</v>
      </c>
      <c r="BF194" s="720">
        <f t="shared" si="3744"/>
        <v>0</v>
      </c>
      <c r="BG194" s="720">
        <f t="shared" si="3744"/>
        <v>0</v>
      </c>
      <c r="BH194" s="720">
        <f t="shared" si="3744"/>
        <v>0</v>
      </c>
      <c r="BI194" s="720">
        <f t="shared" si="3744"/>
        <v>0</v>
      </c>
      <c r="BJ194" s="720">
        <f t="shared" si="3744"/>
        <v>0</v>
      </c>
      <c r="BK194" s="720">
        <f t="shared" si="3744"/>
        <v>0</v>
      </c>
      <c r="BL194" s="720">
        <f t="shared" si="3744"/>
        <v>0</v>
      </c>
      <c r="BM194" s="720">
        <f t="shared" si="3744"/>
        <v>0</v>
      </c>
      <c r="BN194" s="720">
        <f t="shared" si="3744"/>
        <v>0</v>
      </c>
      <c r="BO194" s="720">
        <f t="shared" si="3744"/>
        <v>0</v>
      </c>
      <c r="BP194" s="720">
        <f t="shared" si="3744"/>
        <v>0</v>
      </c>
      <c r="BQ194" s="720">
        <f t="shared" si="3744"/>
        <v>0</v>
      </c>
      <c r="BR194" s="720">
        <f t="shared" si="3744"/>
        <v>0</v>
      </c>
      <c r="BS194" s="720">
        <f t="shared" si="3744"/>
        <v>0</v>
      </c>
      <c r="BT194" s="720">
        <f t="shared" si="3744"/>
        <v>0</v>
      </c>
      <c r="BU194" s="720">
        <f t="shared" si="3744"/>
        <v>0</v>
      </c>
      <c r="BV194" s="720">
        <f t="shared" si="3744"/>
        <v>0</v>
      </c>
      <c r="BW194" s="720">
        <f t="shared" si="3744"/>
        <v>0</v>
      </c>
      <c r="BX194" s="720">
        <f t="shared" si="3744"/>
        <v>0</v>
      </c>
      <c r="BY194" s="720">
        <f t="shared" si="3744"/>
        <v>0</v>
      </c>
      <c r="BZ194" s="720">
        <f t="shared" si="3744"/>
        <v>0</v>
      </c>
      <c r="CA194" s="720">
        <f t="shared" si="3744"/>
        <v>0</v>
      </c>
      <c r="CB194" s="720">
        <f t="shared" si="3744"/>
        <v>0</v>
      </c>
      <c r="CC194" s="720">
        <f t="shared" si="3744"/>
        <v>0</v>
      </c>
      <c r="CD194" s="720">
        <f t="shared" si="3744"/>
        <v>0</v>
      </c>
      <c r="CE194" s="720">
        <f t="shared" si="3744"/>
        <v>0</v>
      </c>
      <c r="CF194" s="720">
        <f t="shared" si="3744"/>
        <v>0</v>
      </c>
      <c r="CG194" s="720">
        <f t="shared" si="3744"/>
        <v>0</v>
      </c>
      <c r="CH194" s="720">
        <f t="shared" si="3744"/>
        <v>0</v>
      </c>
      <c r="CI194" s="720">
        <f t="shared" si="3744"/>
        <v>0</v>
      </c>
      <c r="CJ194" s="720">
        <f t="shared" si="3744"/>
        <v>0</v>
      </c>
      <c r="CK194" s="720">
        <f t="shared" si="3744"/>
        <v>13004.560000000001</v>
      </c>
      <c r="CL194" s="720">
        <f t="shared" si="3744"/>
        <v>1500.0000000000002</v>
      </c>
      <c r="CM194" s="720">
        <f t="shared" si="3744"/>
        <v>0</v>
      </c>
      <c r="CN194" s="720">
        <f t="shared" si="3744"/>
        <v>0</v>
      </c>
      <c r="CO194" s="720">
        <f t="shared" si="3744"/>
        <v>0</v>
      </c>
      <c r="CP194" s="720">
        <f t="shared" si="3744"/>
        <v>0</v>
      </c>
      <c r="CQ194" s="720">
        <f t="shared" si="3744"/>
        <v>0</v>
      </c>
      <c r="CR194" s="720">
        <f t="shared" si="3744"/>
        <v>1632.9893844000001</v>
      </c>
      <c r="CS194" s="720">
        <f t="shared" si="3744"/>
        <v>16137.549384400001</v>
      </c>
      <c r="CT194" s="720"/>
      <c r="CV194" s="712"/>
      <c r="CW194" s="712"/>
      <c r="CX194" s="712"/>
      <c r="CY194" s="712"/>
      <c r="CZ194" s="712"/>
      <c r="DA194" s="712"/>
      <c r="DB194" s="712"/>
      <c r="DC194" s="712"/>
      <c r="DD194" s="712"/>
      <c r="DE194" s="712"/>
      <c r="DF194" s="712"/>
      <c r="DG194" s="712"/>
      <c r="DH194" s="712"/>
      <c r="DI194" s="712"/>
      <c r="DJ194" s="712"/>
      <c r="DK194" s="712"/>
      <c r="DL194" s="712"/>
      <c r="DM194" s="712"/>
      <c r="DN194" s="712"/>
      <c r="DO194" s="712"/>
      <c r="DP194" s="712"/>
      <c r="DQ194" s="712"/>
      <c r="DR194" s="712"/>
      <c r="DS194" s="712"/>
      <c r="DT194" s="712"/>
      <c r="DU194" s="712"/>
      <c r="DV194" s="712"/>
      <c r="DW194" s="712"/>
      <c r="DX194" s="712"/>
      <c r="DY194" s="712"/>
      <c r="DZ194" s="712"/>
      <c r="EA194" s="712"/>
      <c r="EB194" s="712"/>
      <c r="EC194" s="712"/>
      <c r="ED194" s="712"/>
      <c r="EE194" s="712"/>
      <c r="EF194" s="712"/>
      <c r="EG194" s="712"/>
      <c r="EH194" s="712"/>
      <c r="EI194" s="712"/>
      <c r="EJ194" s="712"/>
      <c r="EK194" s="712"/>
      <c r="EL194" s="712"/>
      <c r="EM194" s="712"/>
      <c r="EN194" s="712"/>
      <c r="EP194" s="947"/>
    </row>
    <row r="195" spans="7:146" ht="13.2">
      <c r="G195" s="719">
        <v>3</v>
      </c>
      <c r="H195" s="714" t="s">
        <v>64</v>
      </c>
      <c r="BA195" s="720">
        <f t="shared" ref="BA195:BJ196" si="3745">CV48+CV38+CV51+CV54+CV56</f>
        <v>0</v>
      </c>
      <c r="BB195" s="720">
        <f t="shared" si="3745"/>
        <v>0</v>
      </c>
      <c r="BC195" s="720">
        <f t="shared" si="3745"/>
        <v>0</v>
      </c>
      <c r="BD195" s="720">
        <f t="shared" si="3745"/>
        <v>0</v>
      </c>
      <c r="BE195" s="720">
        <f t="shared" si="3745"/>
        <v>0</v>
      </c>
      <c r="BF195" s="720">
        <f t="shared" si="3745"/>
        <v>0</v>
      </c>
      <c r="BG195" s="720">
        <f t="shared" si="3745"/>
        <v>0</v>
      </c>
      <c r="BH195" s="720">
        <f t="shared" si="3745"/>
        <v>0</v>
      </c>
      <c r="BI195" s="720">
        <f t="shared" si="3745"/>
        <v>0</v>
      </c>
      <c r="BJ195" s="720">
        <f t="shared" si="3745"/>
        <v>0</v>
      </c>
      <c r="BK195" s="720">
        <f t="shared" ref="BK195:BT196" si="3746">DF48+DF38+DF51+DF54+DF56</f>
        <v>0</v>
      </c>
      <c r="BL195" s="720">
        <f t="shared" si="3746"/>
        <v>0</v>
      </c>
      <c r="BM195" s="720">
        <f t="shared" si="3746"/>
        <v>0</v>
      </c>
      <c r="BN195" s="720">
        <f t="shared" si="3746"/>
        <v>0</v>
      </c>
      <c r="BO195" s="720">
        <f t="shared" si="3746"/>
        <v>0</v>
      </c>
      <c r="BP195" s="720">
        <f t="shared" si="3746"/>
        <v>0</v>
      </c>
      <c r="BQ195" s="720">
        <f t="shared" si="3746"/>
        <v>0</v>
      </c>
      <c r="BR195" s="720">
        <f t="shared" si="3746"/>
        <v>0</v>
      </c>
      <c r="BS195" s="720">
        <f t="shared" si="3746"/>
        <v>0</v>
      </c>
      <c r="BT195" s="720">
        <f t="shared" si="3746"/>
        <v>0</v>
      </c>
      <c r="BU195" s="720">
        <f t="shared" ref="BU195:CD196" si="3747">DP48+DP38+DP51+DP54+DP56</f>
        <v>0</v>
      </c>
      <c r="BV195" s="720">
        <f t="shared" si="3747"/>
        <v>0</v>
      </c>
      <c r="BW195" s="720">
        <f t="shared" si="3747"/>
        <v>0</v>
      </c>
      <c r="BX195" s="720">
        <f t="shared" si="3747"/>
        <v>0</v>
      </c>
      <c r="BY195" s="720">
        <f t="shared" si="3747"/>
        <v>0</v>
      </c>
      <c r="BZ195" s="720">
        <f t="shared" si="3747"/>
        <v>0</v>
      </c>
      <c r="CA195" s="720">
        <f t="shared" si="3747"/>
        <v>0</v>
      </c>
      <c r="CB195" s="720">
        <f t="shared" si="3747"/>
        <v>0</v>
      </c>
      <c r="CC195" s="720">
        <f t="shared" si="3747"/>
        <v>0</v>
      </c>
      <c r="CD195" s="720">
        <f t="shared" si="3747"/>
        <v>0</v>
      </c>
      <c r="CE195" s="720">
        <f t="shared" ref="CE195:CJ196" si="3748">DZ48+DZ38+DZ51+DZ54+DZ56</f>
        <v>0</v>
      </c>
      <c r="CF195" s="720">
        <f t="shared" si="3748"/>
        <v>0</v>
      </c>
      <c r="CG195" s="720">
        <f t="shared" si="3748"/>
        <v>0</v>
      </c>
      <c r="CH195" s="720">
        <f t="shared" si="3748"/>
        <v>0</v>
      </c>
      <c r="CI195" s="720">
        <f t="shared" si="3748"/>
        <v>0</v>
      </c>
      <c r="CJ195" s="720">
        <f t="shared" si="3748"/>
        <v>0</v>
      </c>
      <c r="CK195" s="720">
        <f>+EF38+EF48+EF51+EF54+EF57</f>
        <v>78302.28</v>
      </c>
      <c r="CL195" s="720">
        <f t="shared" ref="CL195:CS195" si="3749">EG48+EG38+EG51+EG54+EG56</f>
        <v>29105.16</v>
      </c>
      <c r="CM195" s="720">
        <f t="shared" si="3749"/>
        <v>0</v>
      </c>
      <c r="CN195" s="720">
        <f t="shared" si="3749"/>
        <v>0</v>
      </c>
      <c r="CO195" s="720">
        <f t="shared" si="3749"/>
        <v>0</v>
      </c>
      <c r="CP195" s="720">
        <f t="shared" si="3749"/>
        <v>0</v>
      </c>
      <c r="CQ195" s="720">
        <f t="shared" si="3749"/>
        <v>0</v>
      </c>
      <c r="CR195" s="720">
        <f t="shared" si="3749"/>
        <v>9920.8988759999993</v>
      </c>
      <c r="CS195" s="720">
        <f t="shared" si="3749"/>
        <v>117328.33887599999</v>
      </c>
      <c r="CT195" s="720"/>
      <c r="CU195" s="720"/>
      <c r="EP195" s="947"/>
    </row>
    <row r="196" spans="7:146" ht="13.2">
      <c r="G196" s="719">
        <v>4</v>
      </c>
      <c r="H196" s="714" t="s">
        <v>69</v>
      </c>
      <c r="BA196" s="720">
        <f t="shared" si="3745"/>
        <v>0</v>
      </c>
      <c r="BB196" s="720">
        <f t="shared" si="3745"/>
        <v>0</v>
      </c>
      <c r="BC196" s="720">
        <f t="shared" si="3745"/>
        <v>0</v>
      </c>
      <c r="BD196" s="720">
        <f t="shared" si="3745"/>
        <v>0</v>
      </c>
      <c r="BE196" s="720">
        <f t="shared" si="3745"/>
        <v>0</v>
      </c>
      <c r="BF196" s="720">
        <f t="shared" si="3745"/>
        <v>0</v>
      </c>
      <c r="BG196" s="720">
        <f t="shared" si="3745"/>
        <v>0</v>
      </c>
      <c r="BH196" s="720">
        <f t="shared" si="3745"/>
        <v>0</v>
      </c>
      <c r="BI196" s="720">
        <f t="shared" si="3745"/>
        <v>0</v>
      </c>
      <c r="BJ196" s="720">
        <f t="shared" si="3745"/>
        <v>0</v>
      </c>
      <c r="BK196" s="720">
        <f t="shared" si="3746"/>
        <v>0</v>
      </c>
      <c r="BL196" s="720">
        <f t="shared" si="3746"/>
        <v>0</v>
      </c>
      <c r="BM196" s="720">
        <f t="shared" si="3746"/>
        <v>0</v>
      </c>
      <c r="BN196" s="720">
        <f t="shared" si="3746"/>
        <v>0</v>
      </c>
      <c r="BO196" s="720">
        <f t="shared" si="3746"/>
        <v>0</v>
      </c>
      <c r="BP196" s="720">
        <f t="shared" si="3746"/>
        <v>0</v>
      </c>
      <c r="BQ196" s="720">
        <f t="shared" si="3746"/>
        <v>0</v>
      </c>
      <c r="BR196" s="720">
        <f t="shared" si="3746"/>
        <v>0</v>
      </c>
      <c r="BS196" s="720">
        <f t="shared" si="3746"/>
        <v>0</v>
      </c>
      <c r="BT196" s="720">
        <f t="shared" si="3746"/>
        <v>0</v>
      </c>
      <c r="BU196" s="720">
        <f t="shared" si="3747"/>
        <v>0</v>
      </c>
      <c r="BV196" s="720">
        <f t="shared" si="3747"/>
        <v>0</v>
      </c>
      <c r="BW196" s="720">
        <f t="shared" si="3747"/>
        <v>0</v>
      </c>
      <c r="BX196" s="720">
        <f t="shared" si="3747"/>
        <v>0</v>
      </c>
      <c r="BY196" s="720">
        <f t="shared" si="3747"/>
        <v>0</v>
      </c>
      <c r="BZ196" s="720">
        <f t="shared" si="3747"/>
        <v>0</v>
      </c>
      <c r="CA196" s="720">
        <f t="shared" si="3747"/>
        <v>0</v>
      </c>
      <c r="CB196" s="720">
        <f t="shared" si="3747"/>
        <v>0</v>
      </c>
      <c r="CC196" s="720">
        <f t="shared" si="3747"/>
        <v>0</v>
      </c>
      <c r="CD196" s="720">
        <f t="shared" si="3747"/>
        <v>0</v>
      </c>
      <c r="CE196" s="720">
        <f t="shared" si="3748"/>
        <v>0</v>
      </c>
      <c r="CF196" s="720">
        <f t="shared" si="3748"/>
        <v>0</v>
      </c>
      <c r="CG196" s="720">
        <f t="shared" si="3748"/>
        <v>0</v>
      </c>
      <c r="CH196" s="720">
        <f t="shared" si="3748"/>
        <v>0</v>
      </c>
      <c r="CI196" s="720">
        <f t="shared" si="3748"/>
        <v>0</v>
      </c>
      <c r="CJ196" s="720">
        <f t="shared" si="3748"/>
        <v>0</v>
      </c>
      <c r="CK196" s="720">
        <v>0</v>
      </c>
      <c r="CL196" s="720">
        <v>0</v>
      </c>
      <c r="CM196" s="720">
        <f>EH49+EH39+EH52+EH55+EH57</f>
        <v>0</v>
      </c>
      <c r="CN196" s="720">
        <f>EI49+EI39+EI52+EI55+EI57</f>
        <v>0</v>
      </c>
      <c r="CO196" s="720">
        <f>EJ49+EJ39+EJ52+EJ55+EJ57</f>
        <v>0</v>
      </c>
      <c r="CP196" s="720">
        <f>EK49+EK39+EK52+EK55+EK57</f>
        <v>0</v>
      </c>
      <c r="CQ196" s="720">
        <f>EL49+EL39+EL52+EL55+EL57</f>
        <v>0</v>
      </c>
      <c r="CR196" s="720">
        <v>0</v>
      </c>
      <c r="CS196" s="720">
        <v>0</v>
      </c>
      <c r="CT196" s="720"/>
      <c r="CV196" s="712"/>
      <c r="CW196" s="712"/>
      <c r="CX196" s="712"/>
      <c r="CY196" s="712"/>
      <c r="CZ196" s="712"/>
      <c r="DA196" s="712"/>
      <c r="DB196" s="712"/>
      <c r="DC196" s="712"/>
      <c r="DD196" s="712"/>
      <c r="DE196" s="712"/>
      <c r="DF196" s="712"/>
      <c r="DG196" s="712"/>
      <c r="DH196" s="712"/>
      <c r="DI196" s="712"/>
      <c r="DJ196" s="712"/>
      <c r="DK196" s="712"/>
      <c r="DL196" s="712"/>
      <c r="DM196" s="712"/>
      <c r="DN196" s="712"/>
      <c r="DO196" s="712"/>
      <c r="DP196" s="712"/>
      <c r="DQ196" s="712"/>
      <c r="DR196" s="712"/>
      <c r="DS196" s="712"/>
      <c r="DT196" s="712"/>
      <c r="DU196" s="712"/>
      <c r="DV196" s="712"/>
      <c r="DW196" s="712"/>
      <c r="DX196" s="712"/>
      <c r="DY196" s="712"/>
      <c r="DZ196" s="712"/>
      <c r="EA196" s="712"/>
      <c r="EB196" s="712"/>
      <c r="EC196" s="712"/>
      <c r="ED196" s="712"/>
      <c r="EE196" s="712"/>
      <c r="EF196" s="712"/>
      <c r="EG196" s="712"/>
      <c r="EH196" s="712"/>
      <c r="EI196" s="712"/>
      <c r="EJ196" s="712"/>
      <c r="EK196" s="712"/>
      <c r="EL196" s="712"/>
      <c r="EM196" s="712"/>
      <c r="EN196" s="712"/>
      <c r="EP196" s="947"/>
    </row>
    <row r="197" spans="7:146" ht="13.2">
      <c r="G197" s="719">
        <v>5</v>
      </c>
      <c r="H197" s="714" t="s">
        <v>71</v>
      </c>
      <c r="BA197" s="720">
        <f t="shared" ref="BA197:BK197" si="3750">CV50+CV40+CV53+CV56+CV58</f>
        <v>0</v>
      </c>
      <c r="BB197" s="720">
        <f t="shared" si="3750"/>
        <v>0</v>
      </c>
      <c r="BC197" s="720">
        <f t="shared" si="3750"/>
        <v>0</v>
      </c>
      <c r="BD197" s="720">
        <f t="shared" si="3750"/>
        <v>0</v>
      </c>
      <c r="BE197" s="720">
        <f t="shared" si="3750"/>
        <v>0</v>
      </c>
      <c r="BF197" s="720">
        <f t="shared" si="3750"/>
        <v>0</v>
      </c>
      <c r="BG197" s="720">
        <f t="shared" si="3750"/>
        <v>0</v>
      </c>
      <c r="BH197" s="720">
        <f t="shared" si="3750"/>
        <v>0</v>
      </c>
      <c r="BI197" s="720">
        <f t="shared" si="3750"/>
        <v>0</v>
      </c>
      <c r="BJ197" s="720">
        <f t="shared" si="3750"/>
        <v>0</v>
      </c>
      <c r="BK197" s="720">
        <f t="shared" si="3750"/>
        <v>0</v>
      </c>
      <c r="BL197" s="720">
        <f t="shared" ref="BL197:CS197" si="3751">DG126</f>
        <v>0</v>
      </c>
      <c r="BM197" s="720">
        <f t="shared" si="3751"/>
        <v>0</v>
      </c>
      <c r="BN197" s="720">
        <f t="shared" si="3751"/>
        <v>0</v>
      </c>
      <c r="BO197" s="720">
        <f t="shared" si="3751"/>
        <v>0</v>
      </c>
      <c r="BP197" s="720">
        <f t="shared" si="3751"/>
        <v>0</v>
      </c>
      <c r="BQ197" s="720">
        <f t="shared" si="3751"/>
        <v>0</v>
      </c>
      <c r="BR197" s="720">
        <f t="shared" si="3751"/>
        <v>0</v>
      </c>
      <c r="BS197" s="720">
        <f t="shared" si="3751"/>
        <v>0</v>
      </c>
      <c r="BT197" s="720">
        <f t="shared" si="3751"/>
        <v>0</v>
      </c>
      <c r="BU197" s="720">
        <f t="shared" si="3751"/>
        <v>0</v>
      </c>
      <c r="BV197" s="720">
        <f t="shared" si="3751"/>
        <v>0</v>
      </c>
      <c r="BW197" s="720">
        <f t="shared" si="3751"/>
        <v>0</v>
      </c>
      <c r="BX197" s="720">
        <f t="shared" si="3751"/>
        <v>0</v>
      </c>
      <c r="BY197" s="720">
        <f t="shared" si="3751"/>
        <v>0</v>
      </c>
      <c r="BZ197" s="720">
        <f t="shared" si="3751"/>
        <v>0</v>
      </c>
      <c r="CA197" s="720">
        <f t="shared" si="3751"/>
        <v>0</v>
      </c>
      <c r="CB197" s="720">
        <f t="shared" si="3751"/>
        <v>0</v>
      </c>
      <c r="CC197" s="720">
        <f t="shared" si="3751"/>
        <v>0</v>
      </c>
      <c r="CD197" s="720">
        <f t="shared" si="3751"/>
        <v>0</v>
      </c>
      <c r="CE197" s="720">
        <f t="shared" si="3751"/>
        <v>0</v>
      </c>
      <c r="CF197" s="720">
        <f t="shared" si="3751"/>
        <v>0</v>
      </c>
      <c r="CG197" s="720">
        <f t="shared" si="3751"/>
        <v>0</v>
      </c>
      <c r="CH197" s="720">
        <f t="shared" si="3751"/>
        <v>0</v>
      </c>
      <c r="CI197" s="720">
        <f t="shared" si="3751"/>
        <v>0</v>
      </c>
      <c r="CJ197" s="720">
        <f t="shared" si="3751"/>
        <v>0</v>
      </c>
      <c r="CK197" s="720">
        <f t="shared" si="3751"/>
        <v>32276.291666666664</v>
      </c>
      <c r="CL197" s="720">
        <f t="shared" si="3751"/>
        <v>7677.041666666667</v>
      </c>
      <c r="CM197" s="720">
        <f t="shared" si="3751"/>
        <v>135.5</v>
      </c>
      <c r="CN197" s="720">
        <f t="shared" si="3751"/>
        <v>3744.4954687499999</v>
      </c>
      <c r="CO197" s="720">
        <f t="shared" si="3751"/>
        <v>0</v>
      </c>
      <c r="CP197" s="720">
        <f t="shared" si="3751"/>
        <v>0</v>
      </c>
      <c r="CQ197" s="720">
        <f t="shared" si="3751"/>
        <v>0</v>
      </c>
      <c r="CR197" s="720">
        <f t="shared" si="3751"/>
        <v>4563.833730057293</v>
      </c>
      <c r="CS197" s="720">
        <f t="shared" si="3751"/>
        <v>48261.662532140632</v>
      </c>
      <c r="CT197" s="720"/>
      <c r="CV197" s="712"/>
      <c r="CW197" s="712"/>
      <c r="CX197" s="712"/>
      <c r="CY197" s="712"/>
      <c r="CZ197" s="712"/>
      <c r="DA197" s="712"/>
      <c r="DB197" s="712"/>
      <c r="DC197" s="712"/>
      <c r="DD197" s="712"/>
      <c r="DE197" s="712"/>
      <c r="DF197" s="712"/>
      <c r="DG197" s="712"/>
      <c r="DH197" s="712"/>
      <c r="DI197" s="712"/>
      <c r="DJ197" s="712"/>
      <c r="DK197" s="712"/>
      <c r="DL197" s="712"/>
      <c r="DM197" s="712"/>
      <c r="DN197" s="712"/>
      <c r="DO197" s="712"/>
      <c r="DP197" s="712"/>
      <c r="DQ197" s="712"/>
      <c r="DR197" s="712"/>
      <c r="DS197" s="712"/>
      <c r="DT197" s="712"/>
      <c r="DU197" s="712"/>
      <c r="DV197" s="712"/>
      <c r="DW197" s="712"/>
      <c r="DX197" s="712"/>
      <c r="DY197" s="712"/>
      <c r="DZ197" s="712"/>
      <c r="EA197" s="712"/>
      <c r="EB197" s="712"/>
      <c r="EC197" s="712"/>
      <c r="ED197" s="712"/>
      <c r="EE197" s="712"/>
      <c r="EF197" s="712"/>
      <c r="EG197" s="712"/>
      <c r="EH197" s="712"/>
      <c r="EI197" s="712"/>
      <c r="EJ197" s="712"/>
      <c r="EK197" s="712"/>
      <c r="EL197" s="712"/>
      <c r="EM197" s="712"/>
      <c r="EN197" s="712"/>
      <c r="EP197" s="947"/>
    </row>
    <row r="198" spans="7:146" ht="13.2">
      <c r="G198" s="719">
        <v>6</v>
      </c>
      <c r="H198" s="714" t="s">
        <v>74</v>
      </c>
      <c r="BA198" s="720">
        <f>+CV32</f>
        <v>0</v>
      </c>
      <c r="BB198" s="720">
        <f>+CW32</f>
        <v>0</v>
      </c>
      <c r="BC198" s="720">
        <f>+CX32</f>
        <v>0</v>
      </c>
      <c r="BD198" s="720">
        <f>+CY32</f>
        <v>0</v>
      </c>
      <c r="BE198" s="720">
        <f>CZ51+CZ41+CZ54+CZ57+CZ59</f>
        <v>0</v>
      </c>
      <c r="BF198" s="720">
        <f>DA51+DA41+DA54+DA57+DA59</f>
        <v>0</v>
      </c>
      <c r="BG198" s="720">
        <f t="shared" ref="BG198:CS198" si="3752">+DB32</f>
        <v>0</v>
      </c>
      <c r="BH198" s="720">
        <f t="shared" si="3752"/>
        <v>0</v>
      </c>
      <c r="BI198" s="720">
        <f t="shared" si="3752"/>
        <v>0</v>
      </c>
      <c r="BJ198" s="720">
        <f t="shared" si="3752"/>
        <v>0</v>
      </c>
      <c r="BK198" s="720">
        <f t="shared" si="3752"/>
        <v>0</v>
      </c>
      <c r="BL198" s="720">
        <f t="shared" si="3752"/>
        <v>0</v>
      </c>
      <c r="BM198" s="720">
        <f t="shared" si="3752"/>
        <v>0</v>
      </c>
      <c r="BN198" s="720">
        <f t="shared" si="3752"/>
        <v>0</v>
      </c>
      <c r="BO198" s="720">
        <f t="shared" si="3752"/>
        <v>0</v>
      </c>
      <c r="BP198" s="720">
        <f t="shared" si="3752"/>
        <v>0</v>
      </c>
      <c r="BQ198" s="720">
        <f t="shared" si="3752"/>
        <v>0</v>
      </c>
      <c r="BR198" s="720">
        <f t="shared" si="3752"/>
        <v>0</v>
      </c>
      <c r="BS198" s="720">
        <f t="shared" si="3752"/>
        <v>0</v>
      </c>
      <c r="BT198" s="720">
        <f t="shared" si="3752"/>
        <v>0</v>
      </c>
      <c r="BU198" s="720">
        <f t="shared" si="3752"/>
        <v>0</v>
      </c>
      <c r="BV198" s="720">
        <f t="shared" si="3752"/>
        <v>0</v>
      </c>
      <c r="BW198" s="720">
        <f t="shared" si="3752"/>
        <v>0</v>
      </c>
      <c r="BX198" s="720">
        <f t="shared" si="3752"/>
        <v>0</v>
      </c>
      <c r="BY198" s="720">
        <f t="shared" si="3752"/>
        <v>0</v>
      </c>
      <c r="BZ198" s="720">
        <f t="shared" si="3752"/>
        <v>0</v>
      </c>
      <c r="CA198" s="720">
        <f t="shared" si="3752"/>
        <v>0</v>
      </c>
      <c r="CB198" s="720">
        <f t="shared" si="3752"/>
        <v>0</v>
      </c>
      <c r="CC198" s="720">
        <f t="shared" si="3752"/>
        <v>0</v>
      </c>
      <c r="CD198" s="720">
        <f t="shared" si="3752"/>
        <v>0</v>
      </c>
      <c r="CE198" s="720">
        <f t="shared" si="3752"/>
        <v>0</v>
      </c>
      <c r="CF198" s="720">
        <f t="shared" si="3752"/>
        <v>0</v>
      </c>
      <c r="CG198" s="720">
        <f t="shared" si="3752"/>
        <v>0</v>
      </c>
      <c r="CH198" s="720">
        <f t="shared" si="3752"/>
        <v>0</v>
      </c>
      <c r="CI198" s="720">
        <f t="shared" si="3752"/>
        <v>0</v>
      </c>
      <c r="CJ198" s="720">
        <f t="shared" si="3752"/>
        <v>0</v>
      </c>
      <c r="CK198" s="720">
        <f t="shared" si="3752"/>
        <v>16400</v>
      </c>
      <c r="CL198" s="720">
        <f t="shared" si="3752"/>
        <v>8700</v>
      </c>
      <c r="CM198" s="720">
        <f t="shared" si="3752"/>
        <v>0</v>
      </c>
      <c r="CN198" s="720">
        <f t="shared" si="3752"/>
        <v>0</v>
      </c>
      <c r="CO198" s="720">
        <f t="shared" si="3752"/>
        <v>0</v>
      </c>
      <c r="CP198" s="720">
        <f t="shared" si="3752"/>
        <v>0</v>
      </c>
      <c r="CQ198" s="720">
        <f t="shared" si="3752"/>
        <v>0</v>
      </c>
      <c r="CR198" s="720">
        <f t="shared" si="3752"/>
        <v>2077.88</v>
      </c>
      <c r="CS198" s="720">
        <f t="shared" si="3752"/>
        <v>27177.879999999997</v>
      </c>
      <c r="CT198" s="720"/>
      <c r="CV198" s="712"/>
      <c r="CW198" s="712"/>
      <c r="CX198" s="712"/>
      <c r="CY198" s="712"/>
      <c r="CZ198" s="712"/>
      <c r="DA198" s="712"/>
      <c r="DB198" s="712"/>
      <c r="DC198" s="712"/>
      <c r="DD198" s="712"/>
      <c r="DE198" s="712"/>
      <c r="DF198" s="712"/>
      <c r="DG198" s="712"/>
      <c r="DH198" s="712"/>
      <c r="DI198" s="712"/>
      <c r="DJ198" s="712"/>
      <c r="DK198" s="712"/>
      <c r="DL198" s="712"/>
      <c r="DM198" s="712"/>
      <c r="DN198" s="712"/>
      <c r="DO198" s="712"/>
      <c r="DP198" s="712"/>
      <c r="DQ198" s="712"/>
      <c r="DR198" s="712"/>
      <c r="DS198" s="712"/>
      <c r="DT198" s="712"/>
      <c r="DU198" s="712"/>
      <c r="DV198" s="712"/>
      <c r="DW198" s="712"/>
      <c r="DX198" s="712"/>
      <c r="DY198" s="712"/>
      <c r="DZ198" s="712"/>
      <c r="EA198" s="712"/>
      <c r="EB198" s="712"/>
      <c r="EC198" s="712"/>
      <c r="ED198" s="712"/>
      <c r="EE198" s="712"/>
      <c r="EF198" s="712"/>
      <c r="EG198" s="712"/>
      <c r="EH198" s="712"/>
      <c r="EI198" s="712"/>
      <c r="EJ198" s="712"/>
      <c r="EK198" s="712"/>
      <c r="EL198" s="712"/>
      <c r="EM198" s="712"/>
      <c r="EN198" s="712"/>
      <c r="EP198" s="947"/>
    </row>
    <row r="199" spans="7:146" ht="13.2">
      <c r="G199" s="719">
        <v>7</v>
      </c>
      <c r="H199" s="714" t="s">
        <v>76</v>
      </c>
      <c r="BA199" s="720">
        <f t="shared" ref="BA199:CS199" si="3753">+CV26</f>
        <v>0</v>
      </c>
      <c r="BB199" s="720">
        <f t="shared" si="3753"/>
        <v>0</v>
      </c>
      <c r="BC199" s="720">
        <f t="shared" si="3753"/>
        <v>0</v>
      </c>
      <c r="BD199" s="720">
        <f t="shared" si="3753"/>
        <v>0</v>
      </c>
      <c r="BE199" s="720">
        <f t="shared" si="3753"/>
        <v>0</v>
      </c>
      <c r="BF199" s="720">
        <f t="shared" si="3753"/>
        <v>0</v>
      </c>
      <c r="BG199" s="720">
        <f t="shared" si="3753"/>
        <v>0</v>
      </c>
      <c r="BH199" s="720">
        <f t="shared" si="3753"/>
        <v>0</v>
      </c>
      <c r="BI199" s="720">
        <f t="shared" si="3753"/>
        <v>0</v>
      </c>
      <c r="BJ199" s="720">
        <f t="shared" si="3753"/>
        <v>0</v>
      </c>
      <c r="BK199" s="720">
        <f t="shared" si="3753"/>
        <v>0</v>
      </c>
      <c r="BL199" s="720">
        <f t="shared" si="3753"/>
        <v>0</v>
      </c>
      <c r="BM199" s="720">
        <f t="shared" si="3753"/>
        <v>0</v>
      </c>
      <c r="BN199" s="720">
        <f t="shared" si="3753"/>
        <v>0</v>
      </c>
      <c r="BO199" s="720">
        <f t="shared" si="3753"/>
        <v>0</v>
      </c>
      <c r="BP199" s="720">
        <f t="shared" si="3753"/>
        <v>0</v>
      </c>
      <c r="BQ199" s="720">
        <f t="shared" si="3753"/>
        <v>0</v>
      </c>
      <c r="BR199" s="720">
        <f t="shared" si="3753"/>
        <v>0</v>
      </c>
      <c r="BS199" s="720">
        <f t="shared" si="3753"/>
        <v>0</v>
      </c>
      <c r="BT199" s="720">
        <f t="shared" si="3753"/>
        <v>0</v>
      </c>
      <c r="BU199" s="720">
        <f t="shared" si="3753"/>
        <v>0</v>
      </c>
      <c r="BV199" s="720">
        <f t="shared" si="3753"/>
        <v>0</v>
      </c>
      <c r="BW199" s="720">
        <f t="shared" si="3753"/>
        <v>0</v>
      </c>
      <c r="BX199" s="720">
        <f t="shared" si="3753"/>
        <v>0</v>
      </c>
      <c r="BY199" s="720">
        <f t="shared" si="3753"/>
        <v>0</v>
      </c>
      <c r="BZ199" s="720">
        <f t="shared" si="3753"/>
        <v>0</v>
      </c>
      <c r="CA199" s="720">
        <f t="shared" si="3753"/>
        <v>0</v>
      </c>
      <c r="CB199" s="720">
        <f t="shared" si="3753"/>
        <v>0</v>
      </c>
      <c r="CC199" s="720">
        <f t="shared" si="3753"/>
        <v>0</v>
      </c>
      <c r="CD199" s="720">
        <f t="shared" si="3753"/>
        <v>0</v>
      </c>
      <c r="CE199" s="720">
        <f t="shared" si="3753"/>
        <v>0</v>
      </c>
      <c r="CF199" s="720">
        <f t="shared" si="3753"/>
        <v>0</v>
      </c>
      <c r="CG199" s="720">
        <f t="shared" si="3753"/>
        <v>0</v>
      </c>
      <c r="CH199" s="720">
        <f t="shared" si="3753"/>
        <v>0</v>
      </c>
      <c r="CI199" s="720">
        <f t="shared" si="3753"/>
        <v>0</v>
      </c>
      <c r="CJ199" s="720">
        <f t="shared" si="3753"/>
        <v>0</v>
      </c>
      <c r="CK199" s="720">
        <f t="shared" si="3753"/>
        <v>22975.03</v>
      </c>
      <c r="CL199" s="720">
        <f t="shared" si="3753"/>
        <v>6750</v>
      </c>
      <c r="CM199" s="720">
        <f t="shared" si="3753"/>
        <v>0</v>
      </c>
      <c r="CN199" s="720">
        <f t="shared" si="3753"/>
        <v>0</v>
      </c>
      <c r="CO199" s="720">
        <f t="shared" si="3753"/>
        <v>0</v>
      </c>
      <c r="CP199" s="720">
        <f t="shared" si="3753"/>
        <v>0</v>
      </c>
      <c r="CQ199" s="720">
        <f t="shared" si="3753"/>
        <v>0</v>
      </c>
      <c r="CR199" s="720">
        <f t="shared" si="3753"/>
        <v>2910.9363010000006</v>
      </c>
      <c r="CS199" s="720">
        <f t="shared" si="3753"/>
        <v>32635.966301</v>
      </c>
      <c r="CT199" s="720"/>
      <c r="CV199" s="712"/>
      <c r="CW199" s="712"/>
      <c r="CX199" s="712"/>
      <c r="CY199" s="712"/>
      <c r="CZ199" s="712"/>
      <c r="DA199" s="712"/>
      <c r="DB199" s="712"/>
      <c r="DC199" s="712"/>
      <c r="DD199" s="712"/>
      <c r="DE199" s="712"/>
      <c r="DF199" s="712"/>
      <c r="DG199" s="712"/>
      <c r="DH199" s="712"/>
      <c r="DI199" s="712"/>
      <c r="DJ199" s="712"/>
      <c r="DK199" s="712"/>
      <c r="DL199" s="712"/>
      <c r="DM199" s="712"/>
      <c r="DN199" s="712"/>
      <c r="DO199" s="712"/>
      <c r="DP199" s="712"/>
      <c r="DQ199" s="712"/>
      <c r="DR199" s="712"/>
      <c r="DS199" s="712"/>
      <c r="DT199" s="712"/>
      <c r="DU199" s="712"/>
      <c r="DV199" s="712"/>
      <c r="DW199" s="712"/>
      <c r="DX199" s="712"/>
      <c r="DY199" s="712"/>
      <c r="DZ199" s="712"/>
      <c r="EA199" s="712"/>
      <c r="EB199" s="712"/>
      <c r="EC199" s="712"/>
      <c r="ED199" s="712"/>
      <c r="EE199" s="712"/>
      <c r="EF199" s="712"/>
      <c r="EG199" s="712"/>
      <c r="EH199" s="712"/>
      <c r="EI199" s="712"/>
      <c r="EJ199" s="712"/>
      <c r="EK199" s="712"/>
      <c r="EL199" s="712"/>
      <c r="EM199" s="712"/>
      <c r="EN199" s="712"/>
      <c r="EP199" s="947"/>
    </row>
    <row r="200" spans="7:146" ht="13.2">
      <c r="G200" s="719">
        <v>8</v>
      </c>
      <c r="H200" s="714" t="s">
        <v>80</v>
      </c>
      <c r="BA200" s="720">
        <f t="shared" ref="BA200:BL201" si="3754">+CV27</f>
        <v>0</v>
      </c>
      <c r="BB200" s="720">
        <f t="shared" si="3754"/>
        <v>0</v>
      </c>
      <c r="BC200" s="720">
        <f t="shared" si="3754"/>
        <v>0</v>
      </c>
      <c r="BD200" s="720">
        <f t="shared" si="3754"/>
        <v>0</v>
      </c>
      <c r="BE200" s="720">
        <f t="shared" si="3754"/>
        <v>0</v>
      </c>
      <c r="BF200" s="720">
        <f t="shared" si="3754"/>
        <v>0</v>
      </c>
      <c r="BG200" s="720">
        <f t="shared" si="3754"/>
        <v>0</v>
      </c>
      <c r="BH200" s="720">
        <f t="shared" si="3754"/>
        <v>0</v>
      </c>
      <c r="BI200" s="720">
        <f t="shared" si="3754"/>
        <v>0</v>
      </c>
      <c r="BJ200" s="720">
        <f t="shared" si="3754"/>
        <v>0</v>
      </c>
      <c r="BK200" s="720">
        <f t="shared" si="3754"/>
        <v>0</v>
      </c>
      <c r="BL200" s="720">
        <f t="shared" si="3754"/>
        <v>0</v>
      </c>
      <c r="CT200" s="720"/>
      <c r="CV200" s="712"/>
      <c r="CW200" s="712"/>
      <c r="CX200" s="712"/>
      <c r="CY200" s="712"/>
      <c r="CZ200" s="712"/>
      <c r="DA200" s="712"/>
      <c r="DB200" s="712"/>
      <c r="DC200" s="712"/>
      <c r="DD200" s="712"/>
      <c r="DE200" s="712"/>
      <c r="DF200" s="712"/>
      <c r="DG200" s="712"/>
      <c r="DH200" s="712"/>
      <c r="DI200" s="712"/>
      <c r="DJ200" s="712"/>
      <c r="DK200" s="712"/>
      <c r="DL200" s="712"/>
      <c r="DM200" s="712"/>
      <c r="DN200" s="712"/>
      <c r="DO200" s="712"/>
      <c r="DP200" s="712"/>
      <c r="DQ200" s="712"/>
      <c r="DR200" s="712"/>
      <c r="DS200" s="712"/>
      <c r="DT200" s="712"/>
      <c r="DU200" s="712"/>
      <c r="DV200" s="712"/>
      <c r="DW200" s="712"/>
      <c r="DX200" s="712"/>
      <c r="DY200" s="712"/>
      <c r="DZ200" s="712"/>
      <c r="EA200" s="712"/>
      <c r="EB200" s="712"/>
      <c r="EC200" s="712"/>
      <c r="ED200" s="712"/>
      <c r="EE200" s="712"/>
      <c r="EF200" s="712"/>
      <c r="EG200" s="712"/>
      <c r="EH200" s="712"/>
      <c r="EI200" s="712"/>
      <c r="EJ200" s="712"/>
      <c r="EK200" s="712"/>
      <c r="EL200" s="712"/>
      <c r="EM200" s="712"/>
      <c r="EN200" s="712"/>
      <c r="EP200" s="947"/>
    </row>
    <row r="201" spans="7:146" ht="13.2">
      <c r="G201" s="719">
        <v>9</v>
      </c>
      <c r="H201" s="714" t="s">
        <v>81</v>
      </c>
      <c r="BA201" s="720">
        <f t="shared" si="3754"/>
        <v>0</v>
      </c>
      <c r="BB201" s="720">
        <f t="shared" si="3754"/>
        <v>0</v>
      </c>
      <c r="BC201" s="720">
        <f t="shared" si="3754"/>
        <v>0</v>
      </c>
      <c r="BD201" s="720">
        <f t="shared" si="3754"/>
        <v>0</v>
      </c>
      <c r="BE201" s="720">
        <f t="shared" si="3754"/>
        <v>0</v>
      </c>
      <c r="BF201" s="720">
        <f t="shared" si="3754"/>
        <v>0</v>
      </c>
      <c r="BG201" s="720">
        <f t="shared" si="3754"/>
        <v>0</v>
      </c>
      <c r="BH201" s="720">
        <f t="shared" si="3754"/>
        <v>0</v>
      </c>
      <c r="BI201" s="720">
        <f t="shared" si="3754"/>
        <v>0</v>
      </c>
      <c r="BJ201" s="720">
        <f t="shared" si="3754"/>
        <v>0</v>
      </c>
      <c r="BK201" s="720">
        <f t="shared" si="3754"/>
        <v>0</v>
      </c>
      <c r="BL201" s="720">
        <f t="shared" si="3754"/>
        <v>0</v>
      </c>
      <c r="BM201" s="720">
        <f t="shared" ref="BM201:CJ201" si="3755">+DH28</f>
        <v>0</v>
      </c>
      <c r="BN201" s="720">
        <f t="shared" si="3755"/>
        <v>0</v>
      </c>
      <c r="BO201" s="720">
        <f t="shared" si="3755"/>
        <v>0</v>
      </c>
      <c r="BP201" s="720">
        <f t="shared" si="3755"/>
        <v>0</v>
      </c>
      <c r="BQ201" s="720">
        <f t="shared" si="3755"/>
        <v>0</v>
      </c>
      <c r="BR201" s="720">
        <f t="shared" si="3755"/>
        <v>0</v>
      </c>
      <c r="BS201" s="720">
        <f t="shared" si="3755"/>
        <v>0</v>
      </c>
      <c r="BT201" s="720">
        <f t="shared" si="3755"/>
        <v>0</v>
      </c>
      <c r="BU201" s="720">
        <f t="shared" si="3755"/>
        <v>0</v>
      </c>
      <c r="BV201" s="720">
        <f t="shared" si="3755"/>
        <v>0</v>
      </c>
      <c r="BW201" s="720">
        <f t="shared" si="3755"/>
        <v>0</v>
      </c>
      <c r="BX201" s="720">
        <f t="shared" si="3755"/>
        <v>0</v>
      </c>
      <c r="BY201" s="720">
        <f t="shared" si="3755"/>
        <v>0</v>
      </c>
      <c r="BZ201" s="720">
        <f t="shared" si="3755"/>
        <v>0</v>
      </c>
      <c r="CA201" s="720">
        <f t="shared" si="3755"/>
        <v>0</v>
      </c>
      <c r="CB201" s="720">
        <f t="shared" si="3755"/>
        <v>0</v>
      </c>
      <c r="CC201" s="720">
        <f t="shared" si="3755"/>
        <v>0</v>
      </c>
      <c r="CD201" s="720">
        <f t="shared" si="3755"/>
        <v>0</v>
      </c>
      <c r="CE201" s="720">
        <f t="shared" si="3755"/>
        <v>0</v>
      </c>
      <c r="CF201" s="720">
        <f t="shared" si="3755"/>
        <v>0</v>
      </c>
      <c r="CG201" s="720">
        <f t="shared" si="3755"/>
        <v>0</v>
      </c>
      <c r="CH201" s="720">
        <f t="shared" si="3755"/>
        <v>0</v>
      </c>
      <c r="CI201" s="720">
        <f t="shared" si="3755"/>
        <v>0</v>
      </c>
      <c r="CJ201" s="720">
        <f t="shared" si="3755"/>
        <v>0</v>
      </c>
      <c r="CK201" s="720">
        <f t="shared" ref="CK201:CS201" si="3756">+EF114</f>
        <v>29393.946666666667</v>
      </c>
      <c r="CL201" s="720">
        <f t="shared" si="3756"/>
        <v>6081.8533333333344</v>
      </c>
      <c r="CM201" s="720">
        <f t="shared" si="3756"/>
        <v>0</v>
      </c>
      <c r="CN201" s="720">
        <f t="shared" si="3756"/>
        <v>0</v>
      </c>
      <c r="CO201" s="720">
        <f t="shared" si="3756"/>
        <v>0</v>
      </c>
      <c r="CP201" s="720">
        <f t="shared" si="3756"/>
        <v>0</v>
      </c>
      <c r="CQ201" s="720">
        <f t="shared" si="3756"/>
        <v>0</v>
      </c>
      <c r="CR201" s="720">
        <f t="shared" si="3756"/>
        <v>3724.2130426666672</v>
      </c>
      <c r="CS201" s="720">
        <f t="shared" si="3756"/>
        <v>39200.013042666666</v>
      </c>
      <c r="CT201" s="720"/>
      <c r="CV201" s="712"/>
      <c r="CW201" s="712"/>
      <c r="CX201" s="712"/>
      <c r="CY201" s="712"/>
      <c r="CZ201" s="712"/>
      <c r="DA201" s="712"/>
      <c r="DB201" s="712"/>
      <c r="DC201" s="712"/>
      <c r="DD201" s="712"/>
      <c r="DE201" s="712"/>
      <c r="DF201" s="712"/>
      <c r="DG201" s="712"/>
      <c r="DH201" s="712"/>
      <c r="DI201" s="712"/>
      <c r="DJ201" s="712"/>
      <c r="DK201" s="712"/>
      <c r="DL201" s="712"/>
      <c r="DM201" s="712"/>
      <c r="DN201" s="712"/>
      <c r="DO201" s="712"/>
      <c r="DP201" s="712"/>
      <c r="DQ201" s="712"/>
      <c r="DR201" s="712"/>
      <c r="DS201" s="712"/>
      <c r="DT201" s="712"/>
      <c r="DU201" s="712"/>
      <c r="DV201" s="712"/>
      <c r="DW201" s="712"/>
      <c r="DX201" s="712"/>
      <c r="DY201" s="712"/>
      <c r="DZ201" s="712"/>
      <c r="EA201" s="712"/>
      <c r="EB201" s="712"/>
      <c r="EC201" s="712"/>
      <c r="ED201" s="712"/>
      <c r="EE201" s="712"/>
      <c r="EF201" s="712"/>
      <c r="EG201" s="712"/>
      <c r="EH201" s="712"/>
      <c r="EI201" s="712"/>
      <c r="EJ201" s="712"/>
      <c r="EK201" s="712"/>
      <c r="EL201" s="712"/>
      <c r="EM201" s="712"/>
      <c r="EN201" s="712"/>
      <c r="EP201" s="947"/>
    </row>
    <row r="202" spans="7:146" ht="13.2">
      <c r="G202" s="719">
        <v>10</v>
      </c>
      <c r="H202" s="714" t="s">
        <v>667</v>
      </c>
      <c r="BA202" s="720">
        <f t="shared" ref="BA202:BG202" si="3757">+CV29</f>
        <v>0</v>
      </c>
      <c r="BB202" s="720">
        <f t="shared" si="3757"/>
        <v>0</v>
      </c>
      <c r="BC202" s="720">
        <f t="shared" si="3757"/>
        <v>0</v>
      </c>
      <c r="BD202" s="720">
        <f t="shared" si="3757"/>
        <v>0</v>
      </c>
      <c r="BE202" s="720">
        <f t="shared" si="3757"/>
        <v>0</v>
      </c>
      <c r="BF202" s="720">
        <f t="shared" si="3757"/>
        <v>0</v>
      </c>
      <c r="BG202" s="720">
        <f t="shared" si="3757"/>
        <v>0</v>
      </c>
      <c r="BH202" s="720">
        <f>+DC70</f>
        <v>0</v>
      </c>
      <c r="BI202" s="720">
        <f>+DD29</f>
        <v>0</v>
      </c>
      <c r="BJ202" s="720">
        <f>+DE29</f>
        <v>0</v>
      </c>
      <c r="BK202" s="720">
        <f>+DF29</f>
        <v>0</v>
      </c>
      <c r="BL202" s="720">
        <f>+DG29</f>
        <v>0</v>
      </c>
      <c r="BM202" s="720">
        <f t="shared" ref="BM202:CS202" si="3758">+DH70</f>
        <v>0</v>
      </c>
      <c r="BN202" s="720">
        <f t="shared" si="3758"/>
        <v>0</v>
      </c>
      <c r="BO202" s="720">
        <f t="shared" si="3758"/>
        <v>0</v>
      </c>
      <c r="BP202" s="720">
        <f t="shared" si="3758"/>
        <v>0</v>
      </c>
      <c r="BQ202" s="720">
        <f t="shared" si="3758"/>
        <v>0</v>
      </c>
      <c r="BR202" s="720">
        <f t="shared" si="3758"/>
        <v>0</v>
      </c>
      <c r="BS202" s="720">
        <f t="shared" si="3758"/>
        <v>0</v>
      </c>
      <c r="BT202" s="720">
        <f t="shared" si="3758"/>
        <v>0</v>
      </c>
      <c r="BU202" s="720">
        <f t="shared" si="3758"/>
        <v>0</v>
      </c>
      <c r="BV202" s="720">
        <f t="shared" si="3758"/>
        <v>0</v>
      </c>
      <c r="BW202" s="720">
        <f t="shared" si="3758"/>
        <v>0</v>
      </c>
      <c r="BX202" s="720">
        <f t="shared" si="3758"/>
        <v>0</v>
      </c>
      <c r="BY202" s="720">
        <f t="shared" si="3758"/>
        <v>0</v>
      </c>
      <c r="BZ202" s="720">
        <f t="shared" si="3758"/>
        <v>0</v>
      </c>
      <c r="CA202" s="720">
        <f t="shared" si="3758"/>
        <v>0</v>
      </c>
      <c r="CB202" s="720">
        <f t="shared" si="3758"/>
        <v>0</v>
      </c>
      <c r="CC202" s="720">
        <f t="shared" si="3758"/>
        <v>0</v>
      </c>
      <c r="CD202" s="720">
        <f t="shared" si="3758"/>
        <v>0</v>
      </c>
      <c r="CE202" s="720">
        <f t="shared" si="3758"/>
        <v>0</v>
      </c>
      <c r="CF202" s="720">
        <f t="shared" si="3758"/>
        <v>0</v>
      </c>
      <c r="CG202" s="720">
        <f t="shared" si="3758"/>
        <v>0</v>
      </c>
      <c r="CH202" s="720">
        <f t="shared" si="3758"/>
        <v>0</v>
      </c>
      <c r="CI202" s="720">
        <f t="shared" si="3758"/>
        <v>0</v>
      </c>
      <c r="CJ202" s="720">
        <f t="shared" si="3758"/>
        <v>0</v>
      </c>
      <c r="CK202" s="720">
        <f t="shared" si="3758"/>
        <v>0</v>
      </c>
      <c r="CL202" s="720">
        <f t="shared" si="3758"/>
        <v>0</v>
      </c>
      <c r="CM202" s="720">
        <f t="shared" si="3758"/>
        <v>0</v>
      </c>
      <c r="CN202" s="720">
        <f t="shared" si="3758"/>
        <v>0</v>
      </c>
      <c r="CO202" s="720">
        <f t="shared" si="3758"/>
        <v>0</v>
      </c>
      <c r="CP202" s="720">
        <f t="shared" si="3758"/>
        <v>0</v>
      </c>
      <c r="CQ202" s="720">
        <f t="shared" si="3758"/>
        <v>0</v>
      </c>
      <c r="CR202" s="720">
        <f t="shared" si="3758"/>
        <v>0</v>
      </c>
      <c r="CS202" s="720">
        <f t="shared" si="3758"/>
        <v>0</v>
      </c>
      <c r="CT202" s="720"/>
      <c r="CV202" s="712"/>
      <c r="CW202" s="712"/>
      <c r="CX202" s="712"/>
      <c r="CY202" s="712"/>
      <c r="CZ202" s="712"/>
      <c r="DA202" s="712"/>
      <c r="DB202" s="712"/>
      <c r="DC202" s="712"/>
      <c r="DD202" s="712"/>
      <c r="DE202" s="712"/>
      <c r="DF202" s="712"/>
      <c r="DG202" s="712"/>
      <c r="DH202" s="712"/>
      <c r="DI202" s="712"/>
      <c r="DJ202" s="712"/>
      <c r="DK202" s="712"/>
      <c r="DL202" s="712"/>
      <c r="DM202" s="712"/>
      <c r="DN202" s="712"/>
      <c r="DO202" s="712"/>
      <c r="DP202" s="712"/>
      <c r="DQ202" s="712"/>
      <c r="DR202" s="712"/>
      <c r="DS202" s="712"/>
      <c r="DT202" s="712"/>
      <c r="DU202" s="712"/>
      <c r="DV202" s="712"/>
      <c r="DW202" s="712"/>
      <c r="DX202" s="712"/>
      <c r="DY202" s="712"/>
      <c r="DZ202" s="712"/>
      <c r="EA202" s="712"/>
      <c r="EB202" s="712"/>
      <c r="EC202" s="712"/>
      <c r="ED202" s="712"/>
      <c r="EE202" s="712"/>
      <c r="EF202" s="712"/>
      <c r="EG202" s="712"/>
      <c r="EH202" s="712"/>
      <c r="EI202" s="712"/>
      <c r="EJ202" s="712"/>
      <c r="EK202" s="712"/>
      <c r="EL202" s="712"/>
      <c r="EM202" s="712"/>
      <c r="EN202" s="712"/>
      <c r="EP202" s="947"/>
    </row>
    <row r="203" spans="7:146" ht="13.2">
      <c r="G203" s="719">
        <v>11</v>
      </c>
      <c r="H203" s="714" t="s">
        <v>85</v>
      </c>
      <c r="BA203" s="720">
        <f t="shared" ref="BA203:CJ203" si="3759">CV139+CV148</f>
        <v>0</v>
      </c>
      <c r="BB203" s="720">
        <f t="shared" si="3759"/>
        <v>0</v>
      </c>
      <c r="BC203" s="720">
        <f t="shared" si="3759"/>
        <v>0</v>
      </c>
      <c r="BD203" s="720">
        <f t="shared" si="3759"/>
        <v>0</v>
      </c>
      <c r="BE203" s="720">
        <f t="shared" si="3759"/>
        <v>0</v>
      </c>
      <c r="BF203" s="720">
        <f t="shared" si="3759"/>
        <v>0</v>
      </c>
      <c r="BG203" s="720">
        <f t="shared" si="3759"/>
        <v>0</v>
      </c>
      <c r="BH203" s="720">
        <f t="shared" si="3759"/>
        <v>0</v>
      </c>
      <c r="BI203" s="720">
        <f t="shared" si="3759"/>
        <v>0</v>
      </c>
      <c r="BJ203" s="720">
        <f t="shared" si="3759"/>
        <v>0</v>
      </c>
      <c r="BK203" s="720">
        <f t="shared" si="3759"/>
        <v>0</v>
      </c>
      <c r="BL203" s="720">
        <f t="shared" si="3759"/>
        <v>0</v>
      </c>
      <c r="BM203" s="720">
        <f t="shared" si="3759"/>
        <v>0</v>
      </c>
      <c r="BN203" s="720">
        <f t="shared" si="3759"/>
        <v>0</v>
      </c>
      <c r="BO203" s="720">
        <f t="shared" si="3759"/>
        <v>0</v>
      </c>
      <c r="BP203" s="720">
        <f t="shared" si="3759"/>
        <v>0</v>
      </c>
      <c r="BQ203" s="720">
        <f t="shared" si="3759"/>
        <v>0</v>
      </c>
      <c r="BR203" s="720">
        <f t="shared" si="3759"/>
        <v>0</v>
      </c>
      <c r="BS203" s="720">
        <f t="shared" si="3759"/>
        <v>0</v>
      </c>
      <c r="BT203" s="720">
        <f t="shared" si="3759"/>
        <v>0</v>
      </c>
      <c r="BU203" s="720">
        <f t="shared" si="3759"/>
        <v>0</v>
      </c>
      <c r="BV203" s="720">
        <f t="shared" si="3759"/>
        <v>0</v>
      </c>
      <c r="BW203" s="720">
        <f t="shared" si="3759"/>
        <v>0</v>
      </c>
      <c r="BX203" s="720">
        <f t="shared" si="3759"/>
        <v>0</v>
      </c>
      <c r="BY203" s="720">
        <f t="shared" si="3759"/>
        <v>0</v>
      </c>
      <c r="BZ203" s="720">
        <f t="shared" si="3759"/>
        <v>0</v>
      </c>
      <c r="CA203" s="720">
        <f t="shared" si="3759"/>
        <v>0</v>
      </c>
      <c r="CB203" s="720">
        <f t="shared" si="3759"/>
        <v>0</v>
      </c>
      <c r="CC203" s="720">
        <f t="shared" si="3759"/>
        <v>0</v>
      </c>
      <c r="CD203" s="720">
        <f t="shared" si="3759"/>
        <v>0</v>
      </c>
      <c r="CE203" s="720">
        <f t="shared" si="3759"/>
        <v>0</v>
      </c>
      <c r="CF203" s="720">
        <f t="shared" si="3759"/>
        <v>0</v>
      </c>
      <c r="CG203" s="720">
        <f t="shared" si="3759"/>
        <v>0</v>
      </c>
      <c r="CH203" s="720">
        <f t="shared" si="3759"/>
        <v>0</v>
      </c>
      <c r="CI203" s="720">
        <f t="shared" si="3759"/>
        <v>0</v>
      </c>
      <c r="CJ203" s="720">
        <f t="shared" si="3759"/>
        <v>0</v>
      </c>
      <c r="CK203" s="720">
        <f>EF139</f>
        <v>19000</v>
      </c>
      <c r="CL203" s="720">
        <f t="shared" ref="CL203:CS203" si="3760">EG139</f>
        <v>5000</v>
      </c>
      <c r="CM203" s="720">
        <f t="shared" si="3760"/>
        <v>0</v>
      </c>
      <c r="CN203" s="720">
        <f t="shared" si="3760"/>
        <v>0</v>
      </c>
      <c r="CO203" s="720">
        <f t="shared" si="3760"/>
        <v>0</v>
      </c>
      <c r="CP203" s="720">
        <f t="shared" si="3760"/>
        <v>0</v>
      </c>
      <c r="CQ203" s="720">
        <f t="shared" si="3760"/>
        <v>0</v>
      </c>
      <c r="CR203" s="720">
        <f t="shared" si="3760"/>
        <v>2407.3000000000002</v>
      </c>
      <c r="CS203" s="720">
        <f t="shared" si="3760"/>
        <v>26407.3</v>
      </c>
      <c r="CT203" s="720"/>
      <c r="CV203" s="712"/>
      <c r="CW203" s="712"/>
      <c r="CX203" s="712"/>
      <c r="CY203" s="712"/>
      <c r="CZ203" s="712"/>
      <c r="DA203" s="712"/>
      <c r="DB203" s="712"/>
      <c r="DC203" s="712"/>
      <c r="DD203" s="712"/>
      <c r="DE203" s="712"/>
      <c r="DF203" s="712"/>
      <c r="DG203" s="712"/>
      <c r="DH203" s="712"/>
      <c r="DI203" s="712"/>
      <c r="DJ203" s="712"/>
      <c r="DK203" s="712"/>
      <c r="DL203" s="712"/>
      <c r="DM203" s="712"/>
      <c r="DN203" s="712"/>
      <c r="DO203" s="712"/>
      <c r="DP203" s="712"/>
      <c r="DQ203" s="712"/>
      <c r="DR203" s="712"/>
      <c r="DS203" s="712"/>
      <c r="DT203" s="712"/>
      <c r="DU203" s="712"/>
      <c r="DV203" s="712"/>
      <c r="DW203" s="712"/>
      <c r="DX203" s="712"/>
      <c r="DY203" s="712"/>
      <c r="DZ203" s="712"/>
      <c r="EA203" s="712"/>
      <c r="EB203" s="712"/>
      <c r="EC203" s="712"/>
      <c r="ED203" s="712"/>
      <c r="EE203" s="712"/>
      <c r="EF203" s="712"/>
      <c r="EG203" s="712"/>
      <c r="EH203" s="712"/>
      <c r="EI203" s="712"/>
      <c r="EJ203" s="712"/>
      <c r="EK203" s="712"/>
      <c r="EL203" s="712"/>
      <c r="EM203" s="712"/>
      <c r="EN203" s="712"/>
      <c r="EP203" s="947"/>
    </row>
    <row r="204" spans="7:146" ht="13.2">
      <c r="G204" s="719">
        <v>12</v>
      </c>
      <c r="H204" s="714" t="s">
        <v>9</v>
      </c>
      <c r="BA204" s="720">
        <f t="shared" ref="BA204:CS204" si="3761">+CV73</f>
        <v>0</v>
      </c>
      <c r="BB204" s="720">
        <f t="shared" si="3761"/>
        <v>0</v>
      </c>
      <c r="BC204" s="720">
        <f t="shared" si="3761"/>
        <v>0</v>
      </c>
      <c r="BD204" s="720">
        <f t="shared" si="3761"/>
        <v>0</v>
      </c>
      <c r="BE204" s="720">
        <f t="shared" si="3761"/>
        <v>0</v>
      </c>
      <c r="BF204" s="720">
        <f t="shared" si="3761"/>
        <v>0</v>
      </c>
      <c r="BG204" s="720">
        <f t="shared" si="3761"/>
        <v>0</v>
      </c>
      <c r="BH204" s="720">
        <f t="shared" si="3761"/>
        <v>0</v>
      </c>
      <c r="BI204" s="720">
        <f t="shared" si="3761"/>
        <v>0</v>
      </c>
      <c r="BJ204" s="720">
        <f t="shared" si="3761"/>
        <v>0</v>
      </c>
      <c r="BK204" s="720">
        <f t="shared" si="3761"/>
        <v>0</v>
      </c>
      <c r="BL204" s="720">
        <f t="shared" si="3761"/>
        <v>0</v>
      </c>
      <c r="BM204" s="720">
        <f t="shared" si="3761"/>
        <v>0</v>
      </c>
      <c r="BN204" s="720">
        <f t="shared" si="3761"/>
        <v>0</v>
      </c>
      <c r="BO204" s="720">
        <f t="shared" si="3761"/>
        <v>0</v>
      </c>
      <c r="BP204" s="720">
        <f t="shared" si="3761"/>
        <v>0</v>
      </c>
      <c r="BQ204" s="720">
        <f t="shared" si="3761"/>
        <v>0</v>
      </c>
      <c r="BR204" s="720">
        <f t="shared" si="3761"/>
        <v>0</v>
      </c>
      <c r="BS204" s="720">
        <f t="shared" si="3761"/>
        <v>0</v>
      </c>
      <c r="BT204" s="720">
        <f t="shared" si="3761"/>
        <v>0</v>
      </c>
      <c r="BU204" s="720">
        <f t="shared" si="3761"/>
        <v>0</v>
      </c>
      <c r="BV204" s="720">
        <f t="shared" si="3761"/>
        <v>0</v>
      </c>
      <c r="BW204" s="720">
        <f t="shared" si="3761"/>
        <v>0</v>
      </c>
      <c r="BX204" s="720">
        <f t="shared" si="3761"/>
        <v>0</v>
      </c>
      <c r="BY204" s="720">
        <f t="shared" si="3761"/>
        <v>0</v>
      </c>
      <c r="BZ204" s="720">
        <f t="shared" si="3761"/>
        <v>0</v>
      </c>
      <c r="CA204" s="720">
        <f t="shared" si="3761"/>
        <v>0</v>
      </c>
      <c r="CB204" s="720">
        <f t="shared" si="3761"/>
        <v>0</v>
      </c>
      <c r="CC204" s="720">
        <f t="shared" si="3761"/>
        <v>0</v>
      </c>
      <c r="CD204" s="720">
        <f t="shared" si="3761"/>
        <v>0</v>
      </c>
      <c r="CE204" s="720">
        <f t="shared" si="3761"/>
        <v>0</v>
      </c>
      <c r="CF204" s="720">
        <f t="shared" si="3761"/>
        <v>0</v>
      </c>
      <c r="CG204" s="720">
        <f t="shared" si="3761"/>
        <v>0</v>
      </c>
      <c r="CH204" s="720">
        <f t="shared" si="3761"/>
        <v>0</v>
      </c>
      <c r="CI204" s="720">
        <f t="shared" si="3761"/>
        <v>0</v>
      </c>
      <c r="CJ204" s="720">
        <f t="shared" si="3761"/>
        <v>0</v>
      </c>
      <c r="CK204" s="720">
        <f t="shared" si="3761"/>
        <v>0</v>
      </c>
      <c r="CL204" s="720">
        <f t="shared" si="3761"/>
        <v>0</v>
      </c>
      <c r="CM204" s="720">
        <f t="shared" si="3761"/>
        <v>0</v>
      </c>
      <c r="CN204" s="720">
        <f t="shared" si="3761"/>
        <v>0</v>
      </c>
      <c r="CO204" s="720">
        <f t="shared" si="3761"/>
        <v>0</v>
      </c>
      <c r="CP204" s="720">
        <f t="shared" si="3761"/>
        <v>0</v>
      </c>
      <c r="CQ204" s="720">
        <f t="shared" si="3761"/>
        <v>0</v>
      </c>
      <c r="CR204" s="720">
        <f t="shared" si="3761"/>
        <v>0</v>
      </c>
      <c r="CS204" s="720">
        <f t="shared" si="3761"/>
        <v>0</v>
      </c>
      <c r="CT204" s="720"/>
      <c r="CV204" s="712"/>
      <c r="CW204" s="712"/>
      <c r="CX204" s="712"/>
      <c r="CY204" s="712"/>
      <c r="CZ204" s="712"/>
      <c r="DA204" s="712"/>
      <c r="DB204" s="712"/>
      <c r="DC204" s="712"/>
      <c r="DD204" s="712"/>
      <c r="DE204" s="712"/>
      <c r="DF204" s="712"/>
      <c r="DG204" s="712"/>
      <c r="DH204" s="712"/>
      <c r="DI204" s="712"/>
      <c r="DJ204" s="712"/>
      <c r="DK204" s="712"/>
      <c r="DL204" s="712"/>
      <c r="DM204" s="712"/>
      <c r="DN204" s="712"/>
      <c r="DO204" s="712"/>
      <c r="DP204" s="712"/>
      <c r="DQ204" s="712"/>
      <c r="DR204" s="712"/>
      <c r="DS204" s="712"/>
      <c r="DT204" s="712"/>
      <c r="DU204" s="712"/>
      <c r="DV204" s="712"/>
      <c r="DW204" s="712"/>
      <c r="DX204" s="712"/>
      <c r="DY204" s="712"/>
      <c r="DZ204" s="712"/>
      <c r="EA204" s="712"/>
      <c r="EB204" s="712"/>
      <c r="EC204" s="712"/>
      <c r="ED204" s="712"/>
      <c r="EE204" s="712"/>
      <c r="EF204" s="712"/>
      <c r="EG204" s="712"/>
      <c r="EH204" s="712"/>
      <c r="EI204" s="712"/>
      <c r="EJ204" s="712"/>
      <c r="EK204" s="712"/>
      <c r="EL204" s="712"/>
      <c r="EM204" s="712"/>
      <c r="EN204" s="712"/>
      <c r="EP204" s="947"/>
    </row>
    <row r="205" spans="7:146" ht="13.2">
      <c r="G205" s="719">
        <v>13</v>
      </c>
      <c r="H205" s="714" t="s">
        <v>10</v>
      </c>
      <c r="BA205" s="720">
        <f t="shared" ref="BA205:CS205" si="3762">+CV76</f>
        <v>0</v>
      </c>
      <c r="BB205" s="720">
        <f t="shared" si="3762"/>
        <v>0</v>
      </c>
      <c r="BC205" s="720">
        <f t="shared" si="3762"/>
        <v>0</v>
      </c>
      <c r="BD205" s="720">
        <f t="shared" si="3762"/>
        <v>0</v>
      </c>
      <c r="BE205" s="720">
        <f t="shared" si="3762"/>
        <v>0</v>
      </c>
      <c r="BF205" s="720">
        <f t="shared" si="3762"/>
        <v>0</v>
      </c>
      <c r="BG205" s="720">
        <f t="shared" si="3762"/>
        <v>0</v>
      </c>
      <c r="BH205" s="720">
        <f t="shared" si="3762"/>
        <v>0</v>
      </c>
      <c r="BI205" s="720">
        <f t="shared" si="3762"/>
        <v>0</v>
      </c>
      <c r="BJ205" s="720">
        <f t="shared" si="3762"/>
        <v>0</v>
      </c>
      <c r="BK205" s="720">
        <f t="shared" si="3762"/>
        <v>0</v>
      </c>
      <c r="BL205" s="720">
        <f t="shared" si="3762"/>
        <v>0</v>
      </c>
      <c r="BM205" s="720">
        <f t="shared" si="3762"/>
        <v>0</v>
      </c>
      <c r="BN205" s="720">
        <f t="shared" si="3762"/>
        <v>0</v>
      </c>
      <c r="BO205" s="720">
        <f t="shared" si="3762"/>
        <v>0</v>
      </c>
      <c r="BP205" s="720">
        <f t="shared" si="3762"/>
        <v>0</v>
      </c>
      <c r="BQ205" s="720">
        <f t="shared" si="3762"/>
        <v>0</v>
      </c>
      <c r="BR205" s="720">
        <f t="shared" si="3762"/>
        <v>0</v>
      </c>
      <c r="BS205" s="720">
        <f t="shared" si="3762"/>
        <v>0</v>
      </c>
      <c r="BT205" s="720">
        <f t="shared" si="3762"/>
        <v>0</v>
      </c>
      <c r="BU205" s="720">
        <f t="shared" si="3762"/>
        <v>0</v>
      </c>
      <c r="BV205" s="720">
        <f t="shared" si="3762"/>
        <v>0</v>
      </c>
      <c r="BW205" s="720">
        <f t="shared" si="3762"/>
        <v>0</v>
      </c>
      <c r="BX205" s="720">
        <f t="shared" si="3762"/>
        <v>0</v>
      </c>
      <c r="BY205" s="720">
        <f t="shared" si="3762"/>
        <v>0</v>
      </c>
      <c r="BZ205" s="720">
        <f t="shared" si="3762"/>
        <v>0</v>
      </c>
      <c r="CA205" s="720">
        <f t="shared" si="3762"/>
        <v>0</v>
      </c>
      <c r="CB205" s="720">
        <f t="shared" si="3762"/>
        <v>0</v>
      </c>
      <c r="CC205" s="720">
        <f t="shared" si="3762"/>
        <v>0</v>
      </c>
      <c r="CD205" s="720">
        <f t="shared" si="3762"/>
        <v>0</v>
      </c>
      <c r="CE205" s="720">
        <f t="shared" si="3762"/>
        <v>0</v>
      </c>
      <c r="CF205" s="720">
        <f t="shared" si="3762"/>
        <v>0</v>
      </c>
      <c r="CG205" s="720">
        <f t="shared" si="3762"/>
        <v>0</v>
      </c>
      <c r="CH205" s="720">
        <f t="shared" si="3762"/>
        <v>0</v>
      </c>
      <c r="CI205" s="720">
        <f t="shared" si="3762"/>
        <v>0</v>
      </c>
      <c r="CJ205" s="720">
        <f t="shared" si="3762"/>
        <v>0</v>
      </c>
      <c r="CK205" s="720">
        <f t="shared" si="3762"/>
        <v>0</v>
      </c>
      <c r="CL205" s="720">
        <f t="shared" si="3762"/>
        <v>0</v>
      </c>
      <c r="CM205" s="720">
        <f t="shared" si="3762"/>
        <v>0</v>
      </c>
      <c r="CN205" s="720">
        <f t="shared" si="3762"/>
        <v>0</v>
      </c>
      <c r="CO205" s="720">
        <f t="shared" si="3762"/>
        <v>0</v>
      </c>
      <c r="CP205" s="720">
        <f t="shared" si="3762"/>
        <v>0</v>
      </c>
      <c r="CQ205" s="720">
        <f t="shared" si="3762"/>
        <v>0</v>
      </c>
      <c r="CR205" s="720">
        <f t="shared" si="3762"/>
        <v>0</v>
      </c>
      <c r="CS205" s="720">
        <f t="shared" si="3762"/>
        <v>0</v>
      </c>
      <c r="CT205" s="720"/>
      <c r="CV205" s="712"/>
      <c r="CW205" s="712"/>
      <c r="CX205" s="712"/>
      <c r="CY205" s="712"/>
      <c r="CZ205" s="712"/>
      <c r="DA205" s="712"/>
      <c r="DB205" s="712"/>
      <c r="DC205" s="712"/>
      <c r="DD205" s="712"/>
      <c r="DE205" s="712"/>
      <c r="DF205" s="712"/>
      <c r="DG205" s="712"/>
      <c r="DH205" s="712"/>
      <c r="DI205" s="712"/>
      <c r="DJ205" s="712"/>
      <c r="DK205" s="712"/>
      <c r="DL205" s="712"/>
      <c r="DM205" s="712"/>
      <c r="DN205" s="712"/>
      <c r="DO205" s="712"/>
      <c r="DP205" s="712"/>
      <c r="DQ205" s="712"/>
      <c r="DR205" s="712"/>
      <c r="DS205" s="712"/>
      <c r="DT205" s="712"/>
      <c r="DU205" s="712"/>
      <c r="DV205" s="712"/>
      <c r="DW205" s="712"/>
      <c r="DX205" s="712"/>
      <c r="DY205" s="712"/>
      <c r="DZ205" s="712"/>
      <c r="EA205" s="712"/>
      <c r="EB205" s="712"/>
      <c r="EC205" s="712"/>
      <c r="ED205" s="712"/>
      <c r="EE205" s="712"/>
      <c r="EF205" s="712"/>
      <c r="EG205" s="712"/>
      <c r="EH205" s="712"/>
      <c r="EI205" s="712"/>
      <c r="EJ205" s="712"/>
      <c r="EK205" s="712"/>
      <c r="EL205" s="712"/>
      <c r="EM205" s="712"/>
      <c r="EN205" s="712"/>
      <c r="EP205" s="947"/>
    </row>
    <row r="206" spans="7:146" ht="13.2">
      <c r="G206" s="719">
        <v>14</v>
      </c>
      <c r="H206" s="714" t="s">
        <v>8</v>
      </c>
      <c r="BA206" s="720">
        <f t="shared" ref="BA206:BA217" si="3763">+CV77</f>
        <v>0</v>
      </c>
      <c r="BB206" s="720">
        <f t="shared" ref="BB206:BB217" si="3764">+CW77</f>
        <v>0</v>
      </c>
      <c r="BC206" s="720">
        <f t="shared" ref="BC206:BC217" si="3765">+CX77</f>
        <v>0</v>
      </c>
      <c r="BD206" s="720">
        <f t="shared" ref="BD206:BD217" si="3766">+CY77</f>
        <v>0</v>
      </c>
      <c r="BE206" s="720">
        <f t="shared" ref="BE206:BE217" si="3767">+CZ77</f>
        <v>0</v>
      </c>
      <c r="BF206" s="720">
        <f t="shared" ref="BF206:BF217" si="3768">+DA77</f>
        <v>0</v>
      </c>
      <c r="BG206" s="720">
        <f t="shared" ref="BG206:BG217" si="3769">+DB77</f>
        <v>0</v>
      </c>
      <c r="BH206" s="720">
        <f t="shared" ref="BH206:BH217" si="3770">+DC77</f>
        <v>0</v>
      </c>
      <c r="BI206" s="720">
        <f t="shared" ref="BI206:BI217" si="3771">+DD77</f>
        <v>0</v>
      </c>
      <c r="BJ206" s="720">
        <f t="shared" ref="BJ206:BJ217" si="3772">+DE77</f>
        <v>0</v>
      </c>
      <c r="BK206" s="720">
        <f t="shared" ref="BK206:BK217" si="3773">+DF77</f>
        <v>0</v>
      </c>
      <c r="BL206" s="720">
        <f t="shared" ref="BL206:BL217" si="3774">+DG77</f>
        <v>0</v>
      </c>
      <c r="BM206" s="720">
        <f t="shared" ref="BM206:BM217" si="3775">+DH77</f>
        <v>0</v>
      </c>
      <c r="BN206" s="720">
        <f t="shared" ref="BN206:BN217" si="3776">+DI77</f>
        <v>0</v>
      </c>
      <c r="BO206" s="720">
        <f t="shared" ref="BO206:BO217" si="3777">+DJ77</f>
        <v>0</v>
      </c>
      <c r="BP206" s="720">
        <f t="shared" ref="BP206:BP217" si="3778">+DK77</f>
        <v>0</v>
      </c>
      <c r="BQ206" s="720">
        <f t="shared" ref="BQ206:BQ217" si="3779">+DL77</f>
        <v>0</v>
      </c>
      <c r="BR206" s="720">
        <f t="shared" ref="BR206:BR217" si="3780">+DM77</f>
        <v>0</v>
      </c>
      <c r="BS206" s="720">
        <f t="shared" ref="BS206:BS217" si="3781">+DN77</f>
        <v>0</v>
      </c>
      <c r="BT206" s="720">
        <f t="shared" ref="BT206:BT217" si="3782">+DO77</f>
        <v>0</v>
      </c>
      <c r="BU206" s="720">
        <f t="shared" ref="BU206:BU217" si="3783">+DP77</f>
        <v>0</v>
      </c>
      <c r="BV206" s="720">
        <f t="shared" ref="BV206:BV217" si="3784">+DQ77</f>
        <v>0</v>
      </c>
      <c r="BW206" s="720">
        <f t="shared" ref="BW206:BW217" si="3785">+DR77</f>
        <v>0</v>
      </c>
      <c r="BX206" s="720">
        <f t="shared" ref="BX206:BX217" si="3786">+DS77</f>
        <v>0</v>
      </c>
      <c r="BY206" s="720">
        <f t="shared" ref="BY206:BY217" si="3787">+DT77</f>
        <v>0</v>
      </c>
      <c r="BZ206" s="720">
        <f t="shared" ref="BZ206:BZ217" si="3788">+DU77</f>
        <v>0</v>
      </c>
      <c r="CA206" s="720">
        <f t="shared" ref="CA206:CA217" si="3789">+DV77</f>
        <v>0</v>
      </c>
      <c r="CB206" s="720">
        <f t="shared" ref="CB206:CB217" si="3790">+DW77</f>
        <v>0</v>
      </c>
      <c r="CC206" s="720">
        <f t="shared" ref="CC206:CC217" si="3791">+DX77</f>
        <v>0</v>
      </c>
      <c r="CD206" s="720">
        <f t="shared" ref="CD206:CD217" si="3792">+DY77</f>
        <v>0</v>
      </c>
      <c r="CE206" s="720">
        <f t="shared" ref="CE206:CE217" si="3793">+DZ77</f>
        <v>0</v>
      </c>
      <c r="CF206" s="720">
        <f t="shared" ref="CF206:CF217" si="3794">+EA77</f>
        <v>0</v>
      </c>
      <c r="CG206" s="720">
        <f t="shared" ref="CG206:CG217" si="3795">+EB77</f>
        <v>0</v>
      </c>
      <c r="CH206" s="720">
        <f t="shared" ref="CH206:CH217" si="3796">+EC77</f>
        <v>0</v>
      </c>
      <c r="CI206" s="720">
        <f t="shared" ref="CI206:CI217" si="3797">+ED77</f>
        <v>0</v>
      </c>
      <c r="CJ206" s="720">
        <f t="shared" ref="CJ206:CJ217" si="3798">+EE77</f>
        <v>0</v>
      </c>
      <c r="CT206" s="720"/>
      <c r="CV206" s="712"/>
      <c r="CW206" s="712"/>
      <c r="CX206" s="712"/>
      <c r="CY206" s="712"/>
      <c r="CZ206" s="712"/>
      <c r="DA206" s="712"/>
      <c r="DB206" s="712"/>
      <c r="DC206" s="712"/>
      <c r="DD206" s="712"/>
      <c r="DE206" s="712"/>
      <c r="DF206" s="712"/>
      <c r="DG206" s="712"/>
      <c r="DH206" s="712"/>
      <c r="DI206" s="712"/>
      <c r="DJ206" s="712"/>
      <c r="DK206" s="712"/>
      <c r="DL206" s="712"/>
      <c r="DM206" s="712"/>
      <c r="DN206" s="712"/>
      <c r="DO206" s="712"/>
      <c r="DP206" s="712"/>
      <c r="DQ206" s="712"/>
      <c r="DR206" s="712"/>
      <c r="DS206" s="712"/>
      <c r="DT206" s="712"/>
      <c r="DU206" s="712"/>
      <c r="DV206" s="712"/>
      <c r="DW206" s="712"/>
      <c r="DX206" s="712"/>
      <c r="DY206" s="712"/>
      <c r="DZ206" s="712"/>
      <c r="EA206" s="712"/>
      <c r="EB206" s="712"/>
      <c r="EC206" s="712"/>
      <c r="ED206" s="712"/>
      <c r="EE206" s="712"/>
      <c r="EF206" s="712"/>
      <c r="EG206" s="712"/>
      <c r="EH206" s="712"/>
      <c r="EI206" s="712"/>
      <c r="EJ206" s="712"/>
      <c r="EK206" s="712"/>
      <c r="EL206" s="712"/>
      <c r="EM206" s="712"/>
      <c r="EN206" s="712"/>
      <c r="EP206" s="947"/>
    </row>
    <row r="207" spans="7:146" ht="13.2">
      <c r="G207" s="719">
        <v>15</v>
      </c>
      <c r="H207" s="714" t="s">
        <v>8</v>
      </c>
      <c r="BA207" s="720">
        <f t="shared" si="3763"/>
        <v>0</v>
      </c>
      <c r="BB207" s="720">
        <f t="shared" si="3764"/>
        <v>0</v>
      </c>
      <c r="BC207" s="720">
        <f t="shared" si="3765"/>
        <v>0</v>
      </c>
      <c r="BD207" s="720">
        <f t="shared" si="3766"/>
        <v>0</v>
      </c>
      <c r="BE207" s="720">
        <f t="shared" si="3767"/>
        <v>0</v>
      </c>
      <c r="BF207" s="720">
        <f t="shared" si="3768"/>
        <v>0</v>
      </c>
      <c r="BG207" s="720">
        <f t="shared" si="3769"/>
        <v>0</v>
      </c>
      <c r="BH207" s="720">
        <f t="shared" si="3770"/>
        <v>0</v>
      </c>
      <c r="BI207" s="720">
        <f t="shared" si="3771"/>
        <v>0</v>
      </c>
      <c r="BJ207" s="720">
        <f t="shared" si="3772"/>
        <v>0</v>
      </c>
      <c r="BK207" s="720">
        <f t="shared" si="3773"/>
        <v>0</v>
      </c>
      <c r="BL207" s="720">
        <f t="shared" si="3774"/>
        <v>0</v>
      </c>
      <c r="BM207" s="720">
        <f t="shared" si="3775"/>
        <v>0</v>
      </c>
      <c r="BN207" s="720">
        <f t="shared" si="3776"/>
        <v>0</v>
      </c>
      <c r="BO207" s="720">
        <f t="shared" si="3777"/>
        <v>0</v>
      </c>
      <c r="BP207" s="720">
        <f t="shared" si="3778"/>
        <v>0</v>
      </c>
      <c r="BQ207" s="720">
        <f t="shared" si="3779"/>
        <v>0</v>
      </c>
      <c r="BR207" s="720">
        <f t="shared" si="3780"/>
        <v>0</v>
      </c>
      <c r="BS207" s="720">
        <f t="shared" si="3781"/>
        <v>0</v>
      </c>
      <c r="BT207" s="720">
        <f t="shared" si="3782"/>
        <v>0</v>
      </c>
      <c r="BU207" s="720">
        <f t="shared" si="3783"/>
        <v>0</v>
      </c>
      <c r="BV207" s="720">
        <f t="shared" si="3784"/>
        <v>0</v>
      </c>
      <c r="BW207" s="720">
        <f t="shared" si="3785"/>
        <v>0</v>
      </c>
      <c r="BX207" s="720">
        <f t="shared" si="3786"/>
        <v>0</v>
      </c>
      <c r="BY207" s="720">
        <f t="shared" si="3787"/>
        <v>0</v>
      </c>
      <c r="BZ207" s="720">
        <f t="shared" si="3788"/>
        <v>0</v>
      </c>
      <c r="CA207" s="720">
        <f t="shared" si="3789"/>
        <v>0</v>
      </c>
      <c r="CB207" s="720">
        <f t="shared" si="3790"/>
        <v>0</v>
      </c>
      <c r="CC207" s="720">
        <f t="shared" si="3791"/>
        <v>0</v>
      </c>
      <c r="CD207" s="720">
        <f t="shared" si="3792"/>
        <v>0</v>
      </c>
      <c r="CE207" s="720">
        <f t="shared" si="3793"/>
        <v>0</v>
      </c>
      <c r="CF207" s="720">
        <f t="shared" si="3794"/>
        <v>0</v>
      </c>
      <c r="CG207" s="720">
        <f t="shared" si="3795"/>
        <v>0</v>
      </c>
      <c r="CH207" s="720">
        <f t="shared" si="3796"/>
        <v>0</v>
      </c>
      <c r="CI207" s="720">
        <f t="shared" si="3797"/>
        <v>0</v>
      </c>
      <c r="CJ207" s="720">
        <f t="shared" si="3798"/>
        <v>0</v>
      </c>
      <c r="CK207" s="720" t="s">
        <v>52</v>
      </c>
      <c r="CL207" s="720" t="s">
        <v>52</v>
      </c>
      <c r="CM207" s="720" t="s">
        <v>52</v>
      </c>
      <c r="CN207" s="720" t="s">
        <v>52</v>
      </c>
      <c r="CO207" s="720" t="s">
        <v>52</v>
      </c>
      <c r="CP207" s="720" t="s">
        <v>52</v>
      </c>
      <c r="CQ207" s="720" t="s">
        <v>52</v>
      </c>
      <c r="CR207" s="720" t="s">
        <v>52</v>
      </c>
      <c r="CS207" s="720" t="s">
        <v>52</v>
      </c>
      <c r="CT207" s="720"/>
      <c r="CV207" s="712"/>
      <c r="CW207" s="712"/>
      <c r="CX207" s="712"/>
      <c r="CY207" s="712"/>
      <c r="CZ207" s="712"/>
      <c r="DA207" s="712"/>
      <c r="DB207" s="712"/>
      <c r="DC207" s="712"/>
      <c r="DD207" s="712"/>
      <c r="DE207" s="712"/>
      <c r="DF207" s="712"/>
      <c r="DG207" s="712"/>
      <c r="DH207" s="712"/>
      <c r="DI207" s="712"/>
      <c r="DJ207" s="712"/>
      <c r="DK207" s="712"/>
      <c r="DL207" s="712"/>
      <c r="DM207" s="712"/>
      <c r="DN207" s="712"/>
      <c r="DO207" s="712"/>
      <c r="DP207" s="712"/>
      <c r="DQ207" s="712"/>
      <c r="DR207" s="712"/>
      <c r="DS207" s="712"/>
      <c r="DT207" s="712"/>
      <c r="DU207" s="712"/>
      <c r="DV207" s="712"/>
      <c r="DW207" s="712"/>
      <c r="DX207" s="712"/>
      <c r="DY207" s="712"/>
      <c r="DZ207" s="712"/>
      <c r="EA207" s="712"/>
      <c r="EB207" s="712"/>
      <c r="EC207" s="712"/>
      <c r="ED207" s="712"/>
      <c r="EE207" s="712"/>
      <c r="EF207" s="712"/>
      <c r="EG207" s="712"/>
      <c r="EH207" s="712"/>
      <c r="EI207" s="712"/>
      <c r="EJ207" s="712"/>
      <c r="EK207" s="712"/>
      <c r="EL207" s="712"/>
      <c r="EM207" s="712"/>
      <c r="EN207" s="712"/>
      <c r="EP207" s="947"/>
    </row>
    <row r="208" spans="7:146" ht="13.2">
      <c r="G208" s="719">
        <v>16</v>
      </c>
      <c r="H208" s="714" t="s">
        <v>366</v>
      </c>
      <c r="BA208" s="720">
        <f t="shared" si="3763"/>
        <v>0</v>
      </c>
      <c r="BB208" s="720">
        <f t="shared" si="3764"/>
        <v>0</v>
      </c>
      <c r="BC208" s="720">
        <f t="shared" si="3765"/>
        <v>0</v>
      </c>
      <c r="BD208" s="720">
        <f t="shared" si="3766"/>
        <v>0</v>
      </c>
      <c r="BE208" s="720">
        <f t="shared" si="3767"/>
        <v>0</v>
      </c>
      <c r="BF208" s="720">
        <f t="shared" si="3768"/>
        <v>0</v>
      </c>
      <c r="BG208" s="720">
        <f t="shared" si="3769"/>
        <v>0</v>
      </c>
      <c r="BH208" s="720">
        <f t="shared" si="3770"/>
        <v>0</v>
      </c>
      <c r="BI208" s="720">
        <f t="shared" si="3771"/>
        <v>0</v>
      </c>
      <c r="BJ208" s="720">
        <f t="shared" si="3772"/>
        <v>0</v>
      </c>
      <c r="BK208" s="720">
        <f t="shared" si="3773"/>
        <v>0</v>
      </c>
      <c r="BL208" s="720">
        <f t="shared" si="3774"/>
        <v>0</v>
      </c>
      <c r="BM208" s="720">
        <f t="shared" si="3775"/>
        <v>0</v>
      </c>
      <c r="BN208" s="720">
        <f t="shared" si="3776"/>
        <v>0</v>
      </c>
      <c r="BO208" s="720">
        <f t="shared" si="3777"/>
        <v>0</v>
      </c>
      <c r="BP208" s="720">
        <f t="shared" si="3778"/>
        <v>0</v>
      </c>
      <c r="BQ208" s="720">
        <f t="shared" si="3779"/>
        <v>0</v>
      </c>
      <c r="BR208" s="720">
        <f t="shared" si="3780"/>
        <v>0</v>
      </c>
      <c r="BS208" s="720">
        <f t="shared" si="3781"/>
        <v>0</v>
      </c>
      <c r="BT208" s="720">
        <f t="shared" si="3782"/>
        <v>0</v>
      </c>
      <c r="BU208" s="720">
        <f t="shared" si="3783"/>
        <v>0</v>
      </c>
      <c r="BV208" s="720">
        <f t="shared" si="3784"/>
        <v>0</v>
      </c>
      <c r="BW208" s="720">
        <f t="shared" si="3785"/>
        <v>0</v>
      </c>
      <c r="BX208" s="720">
        <f t="shared" si="3786"/>
        <v>0</v>
      </c>
      <c r="BY208" s="720">
        <f t="shared" si="3787"/>
        <v>0</v>
      </c>
      <c r="BZ208" s="720">
        <f t="shared" si="3788"/>
        <v>0</v>
      </c>
      <c r="CA208" s="720">
        <f t="shared" si="3789"/>
        <v>0</v>
      </c>
      <c r="CB208" s="720">
        <f t="shared" si="3790"/>
        <v>0</v>
      </c>
      <c r="CC208" s="720">
        <f t="shared" si="3791"/>
        <v>0</v>
      </c>
      <c r="CD208" s="720">
        <f t="shared" si="3792"/>
        <v>0</v>
      </c>
      <c r="CE208" s="720">
        <f t="shared" si="3793"/>
        <v>0</v>
      </c>
      <c r="CF208" s="720">
        <f t="shared" si="3794"/>
        <v>0</v>
      </c>
      <c r="CG208" s="720">
        <f t="shared" si="3795"/>
        <v>0</v>
      </c>
      <c r="CH208" s="720">
        <f t="shared" si="3796"/>
        <v>0</v>
      </c>
      <c r="CI208" s="720">
        <f t="shared" si="3797"/>
        <v>0</v>
      </c>
      <c r="CJ208" s="720">
        <f t="shared" si="3798"/>
        <v>0</v>
      </c>
      <c r="CK208" s="720">
        <f>+EF145</f>
        <v>8004.5600000000013</v>
      </c>
      <c r="CL208" s="720">
        <f t="shared" ref="CL208:CS208" si="3799">+EG145</f>
        <v>1450</v>
      </c>
      <c r="CM208" s="720">
        <f t="shared" si="3799"/>
        <v>0</v>
      </c>
      <c r="CN208" s="720">
        <f t="shared" si="3799"/>
        <v>0</v>
      </c>
      <c r="CO208" s="720">
        <f t="shared" si="3799"/>
        <v>0</v>
      </c>
      <c r="CP208" s="720">
        <f t="shared" si="3799"/>
        <v>0</v>
      </c>
      <c r="CQ208" s="720">
        <f t="shared" si="3799"/>
        <v>0</v>
      </c>
      <c r="CR208" s="720">
        <f t="shared" si="3799"/>
        <v>1014.1777520000002</v>
      </c>
      <c r="CS208" s="720">
        <f t="shared" si="3799"/>
        <v>10468.737752000001</v>
      </c>
      <c r="CT208" s="720"/>
      <c r="CV208" s="712"/>
      <c r="CW208" s="712"/>
      <c r="CX208" s="712"/>
      <c r="CY208" s="712"/>
      <c r="CZ208" s="712"/>
      <c r="DA208" s="712"/>
      <c r="DB208" s="712"/>
      <c r="DC208" s="712"/>
      <c r="DD208" s="712"/>
      <c r="DE208" s="712"/>
      <c r="DF208" s="712"/>
      <c r="DG208" s="712"/>
      <c r="DH208" s="712"/>
      <c r="DI208" s="712"/>
      <c r="DJ208" s="712"/>
      <c r="DK208" s="712"/>
      <c r="DL208" s="712"/>
      <c r="DM208" s="712"/>
      <c r="DN208" s="712"/>
      <c r="DO208" s="712"/>
      <c r="DP208" s="712"/>
      <c r="DQ208" s="712"/>
      <c r="DR208" s="712"/>
      <c r="DS208" s="712"/>
      <c r="DT208" s="712"/>
      <c r="DU208" s="712"/>
      <c r="DV208" s="712"/>
      <c r="DW208" s="712"/>
      <c r="DX208" s="712"/>
      <c r="DY208" s="712"/>
      <c r="DZ208" s="712"/>
      <c r="EA208" s="712"/>
      <c r="EB208" s="712"/>
      <c r="EC208" s="712"/>
      <c r="ED208" s="712"/>
      <c r="EE208" s="712"/>
      <c r="EF208" s="712"/>
      <c r="EG208" s="712"/>
      <c r="EH208" s="712"/>
      <c r="EI208" s="712"/>
      <c r="EJ208" s="712"/>
      <c r="EK208" s="712"/>
      <c r="EL208" s="712"/>
      <c r="EM208" s="712"/>
      <c r="EN208" s="712"/>
      <c r="EP208" s="947"/>
    </row>
    <row r="209" spans="7:146" ht="13.2">
      <c r="G209" s="719">
        <v>17</v>
      </c>
      <c r="H209" s="714" t="s">
        <v>99</v>
      </c>
      <c r="BA209" s="720">
        <f t="shared" si="3763"/>
        <v>0</v>
      </c>
      <c r="BB209" s="720">
        <f t="shared" si="3764"/>
        <v>0</v>
      </c>
      <c r="BC209" s="720">
        <f t="shared" si="3765"/>
        <v>0</v>
      </c>
      <c r="BD209" s="720">
        <f t="shared" si="3766"/>
        <v>0</v>
      </c>
      <c r="BE209" s="720">
        <f t="shared" si="3767"/>
        <v>0</v>
      </c>
      <c r="BF209" s="720">
        <f t="shared" si="3768"/>
        <v>0</v>
      </c>
      <c r="BG209" s="720">
        <f t="shared" si="3769"/>
        <v>0</v>
      </c>
      <c r="BH209" s="720">
        <f t="shared" si="3770"/>
        <v>0</v>
      </c>
      <c r="BI209" s="720">
        <f t="shared" si="3771"/>
        <v>0</v>
      </c>
      <c r="BJ209" s="720">
        <f t="shared" si="3772"/>
        <v>0</v>
      </c>
      <c r="BK209" s="720">
        <f t="shared" si="3773"/>
        <v>0</v>
      </c>
      <c r="BL209" s="720">
        <f t="shared" si="3774"/>
        <v>0</v>
      </c>
      <c r="BM209" s="720">
        <f t="shared" si="3775"/>
        <v>0</v>
      </c>
      <c r="BN209" s="720">
        <f t="shared" si="3776"/>
        <v>0</v>
      </c>
      <c r="BO209" s="720">
        <f t="shared" si="3777"/>
        <v>0</v>
      </c>
      <c r="BP209" s="720">
        <f t="shared" si="3778"/>
        <v>0</v>
      </c>
      <c r="BQ209" s="720">
        <f t="shared" si="3779"/>
        <v>0</v>
      </c>
      <c r="BR209" s="720">
        <f t="shared" si="3780"/>
        <v>0</v>
      </c>
      <c r="BS209" s="720">
        <f t="shared" si="3781"/>
        <v>0</v>
      </c>
      <c r="BT209" s="720">
        <f t="shared" si="3782"/>
        <v>0</v>
      </c>
      <c r="BU209" s="720">
        <f t="shared" si="3783"/>
        <v>0</v>
      </c>
      <c r="BV209" s="720">
        <f t="shared" si="3784"/>
        <v>0</v>
      </c>
      <c r="BW209" s="720">
        <f t="shared" si="3785"/>
        <v>0</v>
      </c>
      <c r="BX209" s="720">
        <f t="shared" si="3786"/>
        <v>0</v>
      </c>
      <c r="BY209" s="720">
        <f t="shared" si="3787"/>
        <v>0</v>
      </c>
      <c r="BZ209" s="720">
        <f t="shared" si="3788"/>
        <v>0</v>
      </c>
      <c r="CA209" s="720">
        <f t="shared" si="3789"/>
        <v>0</v>
      </c>
      <c r="CB209" s="720">
        <f t="shared" si="3790"/>
        <v>0</v>
      </c>
      <c r="CC209" s="720">
        <f t="shared" si="3791"/>
        <v>0</v>
      </c>
      <c r="CD209" s="720">
        <f t="shared" si="3792"/>
        <v>0</v>
      </c>
      <c r="CE209" s="720">
        <f t="shared" si="3793"/>
        <v>0</v>
      </c>
      <c r="CF209" s="720">
        <f t="shared" si="3794"/>
        <v>0</v>
      </c>
      <c r="CG209" s="720">
        <f t="shared" si="3795"/>
        <v>0</v>
      </c>
      <c r="CH209" s="720">
        <f t="shared" si="3796"/>
        <v>0</v>
      </c>
      <c r="CI209" s="720">
        <f t="shared" si="3797"/>
        <v>0</v>
      </c>
      <c r="CJ209" s="720">
        <f t="shared" si="3798"/>
        <v>0</v>
      </c>
      <c r="CK209" s="720">
        <f t="shared" ref="CK209:CS209" si="3800">+EF84</f>
        <v>9600</v>
      </c>
      <c r="CL209" s="720">
        <f t="shared" si="3800"/>
        <v>5225</v>
      </c>
      <c r="CM209" s="720">
        <f t="shared" si="3800"/>
        <v>21</v>
      </c>
      <c r="CN209" s="720">
        <f t="shared" si="3800"/>
        <v>538.125</v>
      </c>
      <c r="CO209" s="720">
        <f t="shared" si="3800"/>
        <v>0</v>
      </c>
      <c r="CP209" s="720">
        <f t="shared" si="3800"/>
        <v>0</v>
      </c>
      <c r="CQ209" s="720">
        <f t="shared" si="3800"/>
        <v>0</v>
      </c>
      <c r="CR209" s="720">
        <f t="shared" si="3800"/>
        <v>1284.5004374999999</v>
      </c>
      <c r="CS209" s="720">
        <f t="shared" si="3800"/>
        <v>16647.625437499999</v>
      </c>
      <c r="CT209" s="720"/>
      <c r="CV209" s="712"/>
      <c r="CW209" s="712"/>
      <c r="CX209" s="712"/>
      <c r="CY209" s="712"/>
      <c r="CZ209" s="712"/>
      <c r="DA209" s="712"/>
      <c r="DB209" s="712"/>
      <c r="DC209" s="712"/>
      <c r="DD209" s="712"/>
      <c r="DE209" s="712"/>
      <c r="DF209" s="712"/>
      <c r="DG209" s="712"/>
      <c r="DH209" s="712"/>
      <c r="DI209" s="712"/>
      <c r="DJ209" s="712"/>
      <c r="DK209" s="712"/>
      <c r="DL209" s="712"/>
      <c r="DM209" s="712"/>
      <c r="DN209" s="712"/>
      <c r="DO209" s="712"/>
      <c r="DP209" s="712"/>
      <c r="DQ209" s="712"/>
      <c r="DR209" s="712"/>
      <c r="DS209" s="712"/>
      <c r="DT209" s="712"/>
      <c r="DU209" s="712"/>
      <c r="DV209" s="712"/>
      <c r="DW209" s="712"/>
      <c r="DX209" s="712"/>
      <c r="DY209" s="712"/>
      <c r="DZ209" s="712"/>
      <c r="EA209" s="712"/>
      <c r="EB209" s="712"/>
      <c r="EC209" s="712"/>
      <c r="ED209" s="712"/>
      <c r="EE209" s="712"/>
      <c r="EF209" s="712"/>
      <c r="EG209" s="712"/>
      <c r="EH209" s="712"/>
      <c r="EI209" s="712"/>
      <c r="EJ209" s="712"/>
      <c r="EK209" s="712"/>
      <c r="EL209" s="712"/>
      <c r="EM209" s="712"/>
      <c r="EN209" s="712"/>
      <c r="EP209" s="947"/>
    </row>
    <row r="210" spans="7:146" ht="13.2">
      <c r="G210" s="719">
        <v>18</v>
      </c>
      <c r="H210" s="901" t="s">
        <v>100</v>
      </c>
      <c r="BA210" s="720">
        <f t="shared" si="3763"/>
        <v>0</v>
      </c>
      <c r="BB210" s="720">
        <f t="shared" si="3764"/>
        <v>0</v>
      </c>
      <c r="BC210" s="720">
        <f t="shared" si="3765"/>
        <v>0</v>
      </c>
      <c r="BD210" s="720">
        <f t="shared" si="3766"/>
        <v>0</v>
      </c>
      <c r="BE210" s="720">
        <f t="shared" si="3767"/>
        <v>0</v>
      </c>
      <c r="BF210" s="720">
        <f t="shared" si="3768"/>
        <v>0</v>
      </c>
      <c r="BG210" s="720">
        <f t="shared" si="3769"/>
        <v>0</v>
      </c>
      <c r="BH210" s="720">
        <f t="shared" si="3770"/>
        <v>0</v>
      </c>
      <c r="BI210" s="720">
        <f t="shared" si="3771"/>
        <v>0</v>
      </c>
      <c r="BJ210" s="720">
        <f t="shared" si="3772"/>
        <v>0</v>
      </c>
      <c r="BK210" s="720">
        <f t="shared" si="3773"/>
        <v>0</v>
      </c>
      <c r="BL210" s="720">
        <f t="shared" si="3774"/>
        <v>0</v>
      </c>
      <c r="BM210" s="720">
        <f t="shared" si="3775"/>
        <v>0</v>
      </c>
      <c r="BN210" s="720">
        <f t="shared" si="3776"/>
        <v>0</v>
      </c>
      <c r="BO210" s="720">
        <f t="shared" si="3777"/>
        <v>0</v>
      </c>
      <c r="BP210" s="720">
        <f t="shared" si="3778"/>
        <v>0</v>
      </c>
      <c r="BQ210" s="720">
        <f t="shared" si="3779"/>
        <v>0</v>
      </c>
      <c r="BR210" s="720">
        <f t="shared" si="3780"/>
        <v>0</v>
      </c>
      <c r="BS210" s="720">
        <f t="shared" si="3781"/>
        <v>0</v>
      </c>
      <c r="BT210" s="720">
        <f t="shared" si="3782"/>
        <v>0</v>
      </c>
      <c r="BU210" s="720">
        <f t="shared" si="3783"/>
        <v>0</v>
      </c>
      <c r="BV210" s="720">
        <f t="shared" si="3784"/>
        <v>0</v>
      </c>
      <c r="BW210" s="720">
        <f t="shared" si="3785"/>
        <v>0</v>
      </c>
      <c r="BX210" s="720">
        <f t="shared" si="3786"/>
        <v>0</v>
      </c>
      <c r="BY210" s="720">
        <f t="shared" si="3787"/>
        <v>0</v>
      </c>
      <c r="BZ210" s="720">
        <f t="shared" si="3788"/>
        <v>0</v>
      </c>
      <c r="CA210" s="720">
        <f t="shared" si="3789"/>
        <v>0</v>
      </c>
      <c r="CB210" s="720">
        <f t="shared" si="3790"/>
        <v>0</v>
      </c>
      <c r="CC210" s="720">
        <f t="shared" si="3791"/>
        <v>0</v>
      </c>
      <c r="CD210" s="720">
        <f t="shared" si="3792"/>
        <v>0</v>
      </c>
      <c r="CE210" s="720">
        <f t="shared" si="3793"/>
        <v>0</v>
      </c>
      <c r="CF210" s="720">
        <f t="shared" si="3794"/>
        <v>0</v>
      </c>
      <c r="CG210" s="720">
        <f t="shared" si="3795"/>
        <v>0</v>
      </c>
      <c r="CH210" s="720">
        <f t="shared" si="3796"/>
        <v>0</v>
      </c>
      <c r="CI210" s="720">
        <f t="shared" si="3797"/>
        <v>0</v>
      </c>
      <c r="CJ210" s="720">
        <f t="shared" si="3798"/>
        <v>0</v>
      </c>
      <c r="CK210" s="720">
        <f t="shared" ref="CK210:CS210" si="3801">+EF97</f>
        <v>15420.466666666667</v>
      </c>
      <c r="CL210" s="720">
        <f t="shared" si="3801"/>
        <v>2611.4466666666667</v>
      </c>
      <c r="CM210" s="720">
        <f t="shared" si="3801"/>
        <v>63</v>
      </c>
      <c r="CN210" s="720">
        <f t="shared" si="3801"/>
        <v>1723.5372499999999</v>
      </c>
      <c r="CO210" s="720">
        <f t="shared" si="3801"/>
        <v>0</v>
      </c>
      <c r="CP210" s="720">
        <f t="shared" si="3801"/>
        <v>0</v>
      </c>
      <c r="CQ210" s="720">
        <f t="shared" si="3801"/>
        <v>0</v>
      </c>
      <c r="CR210" s="720">
        <f t="shared" si="3801"/>
        <v>2172.145296241667</v>
      </c>
      <c r="CS210" s="720">
        <f t="shared" si="3801"/>
        <v>21927.595879575001</v>
      </c>
      <c r="CT210" s="720"/>
      <c r="CV210" s="712"/>
      <c r="CW210" s="712"/>
      <c r="CX210" s="712"/>
      <c r="CY210" s="712"/>
      <c r="CZ210" s="712"/>
      <c r="DA210" s="712"/>
      <c r="DB210" s="712"/>
      <c r="DC210" s="712"/>
      <c r="DD210" s="712"/>
      <c r="DE210" s="712"/>
      <c r="DF210" s="712"/>
      <c r="DG210" s="712"/>
      <c r="DH210" s="712"/>
      <c r="DI210" s="712"/>
      <c r="DJ210" s="712"/>
      <c r="DK210" s="712"/>
      <c r="DL210" s="712"/>
      <c r="DM210" s="712"/>
      <c r="DN210" s="712"/>
      <c r="DO210" s="712"/>
      <c r="DP210" s="712"/>
      <c r="DQ210" s="712"/>
      <c r="DR210" s="712"/>
      <c r="DS210" s="712"/>
      <c r="DT210" s="712"/>
      <c r="DU210" s="712"/>
      <c r="DV210" s="712"/>
      <c r="DW210" s="712"/>
      <c r="DX210" s="712"/>
      <c r="DY210" s="712"/>
      <c r="DZ210" s="712"/>
      <c r="EA210" s="712"/>
      <c r="EB210" s="712"/>
      <c r="EC210" s="712"/>
      <c r="ED210" s="712"/>
      <c r="EE210" s="712"/>
      <c r="EF210" s="712"/>
      <c r="EG210" s="712"/>
      <c r="EH210" s="712"/>
      <c r="EI210" s="712"/>
      <c r="EJ210" s="712"/>
      <c r="EK210" s="712"/>
      <c r="EL210" s="712"/>
      <c r="EM210" s="712"/>
      <c r="EN210" s="712"/>
      <c r="EP210" s="947"/>
    </row>
    <row r="211" spans="7:146" ht="13.2">
      <c r="G211" s="719">
        <v>19</v>
      </c>
      <c r="H211" s="901" t="s">
        <v>106</v>
      </c>
      <c r="BA211" s="720">
        <f t="shared" si="3763"/>
        <v>0</v>
      </c>
      <c r="BB211" s="720">
        <f t="shared" si="3764"/>
        <v>0</v>
      </c>
      <c r="BC211" s="720">
        <f t="shared" si="3765"/>
        <v>0</v>
      </c>
      <c r="BD211" s="720">
        <f t="shared" si="3766"/>
        <v>0</v>
      </c>
      <c r="BE211" s="720">
        <f t="shared" si="3767"/>
        <v>0</v>
      </c>
      <c r="BF211" s="720">
        <f t="shared" si="3768"/>
        <v>0</v>
      </c>
      <c r="BG211" s="720">
        <f t="shared" si="3769"/>
        <v>0</v>
      </c>
      <c r="BH211" s="720">
        <f t="shared" si="3770"/>
        <v>0</v>
      </c>
      <c r="BI211" s="720">
        <f t="shared" si="3771"/>
        <v>0</v>
      </c>
      <c r="BJ211" s="720">
        <f t="shared" si="3772"/>
        <v>0</v>
      </c>
      <c r="BK211" s="720">
        <f t="shared" si="3773"/>
        <v>0</v>
      </c>
      <c r="BL211" s="720">
        <f t="shared" si="3774"/>
        <v>0</v>
      </c>
      <c r="BM211" s="720">
        <f t="shared" si="3775"/>
        <v>0</v>
      </c>
      <c r="BN211" s="720">
        <f t="shared" si="3776"/>
        <v>0</v>
      </c>
      <c r="BO211" s="720">
        <f t="shared" si="3777"/>
        <v>0</v>
      </c>
      <c r="BP211" s="720">
        <f t="shared" si="3778"/>
        <v>0</v>
      </c>
      <c r="BQ211" s="720">
        <f t="shared" si="3779"/>
        <v>0</v>
      </c>
      <c r="BR211" s="720">
        <f t="shared" si="3780"/>
        <v>0</v>
      </c>
      <c r="BS211" s="720">
        <f t="shared" si="3781"/>
        <v>0</v>
      </c>
      <c r="BT211" s="720">
        <f t="shared" si="3782"/>
        <v>0</v>
      </c>
      <c r="BU211" s="720">
        <f t="shared" si="3783"/>
        <v>0</v>
      </c>
      <c r="BV211" s="720">
        <f t="shared" si="3784"/>
        <v>0</v>
      </c>
      <c r="BW211" s="720">
        <f t="shared" si="3785"/>
        <v>0</v>
      </c>
      <c r="BX211" s="720">
        <f t="shared" si="3786"/>
        <v>0</v>
      </c>
      <c r="BY211" s="720">
        <f t="shared" si="3787"/>
        <v>0</v>
      </c>
      <c r="BZ211" s="720">
        <f t="shared" si="3788"/>
        <v>0</v>
      </c>
      <c r="CA211" s="720">
        <f t="shared" si="3789"/>
        <v>0</v>
      </c>
      <c r="CB211" s="720">
        <f t="shared" si="3790"/>
        <v>0</v>
      </c>
      <c r="CC211" s="720">
        <f t="shared" si="3791"/>
        <v>0</v>
      </c>
      <c r="CD211" s="720">
        <f t="shared" si="3792"/>
        <v>0</v>
      </c>
      <c r="CE211" s="720">
        <f t="shared" si="3793"/>
        <v>0</v>
      </c>
      <c r="CF211" s="720">
        <f t="shared" si="3794"/>
        <v>0</v>
      </c>
      <c r="CG211" s="720">
        <f t="shared" si="3795"/>
        <v>0</v>
      </c>
      <c r="CH211" s="720">
        <f t="shared" si="3796"/>
        <v>0</v>
      </c>
      <c r="CI211" s="720">
        <f t="shared" si="3797"/>
        <v>0</v>
      </c>
      <c r="CJ211" s="720">
        <f t="shared" si="3798"/>
        <v>0</v>
      </c>
      <c r="CK211" s="720">
        <f t="shared" ref="CK211:CS211" si="3802">+EF91</f>
        <v>17004.560000000001</v>
      </c>
      <c r="CL211" s="720">
        <f t="shared" si="3802"/>
        <v>4657.2599999999993</v>
      </c>
      <c r="CM211" s="720">
        <f t="shared" si="3802"/>
        <v>13</v>
      </c>
      <c r="CN211" s="720">
        <f t="shared" si="3802"/>
        <v>337.62824999999998</v>
      </c>
      <c r="CO211" s="720">
        <f t="shared" si="3802"/>
        <v>0</v>
      </c>
      <c r="CP211" s="720">
        <f t="shared" si="3802"/>
        <v>0</v>
      </c>
      <c r="CQ211" s="720">
        <f t="shared" si="3802"/>
        <v>0</v>
      </c>
      <c r="CR211" s="720">
        <f t="shared" si="3802"/>
        <v>2197.2552512750003</v>
      </c>
      <c r="CS211" s="720">
        <f t="shared" si="3802"/>
        <v>24196.703501274998</v>
      </c>
      <c r="CT211" s="720"/>
      <c r="CV211" s="712"/>
      <c r="CW211" s="712"/>
      <c r="CX211" s="712"/>
      <c r="CY211" s="712"/>
      <c r="CZ211" s="712"/>
      <c r="DA211" s="712"/>
      <c r="DB211" s="712"/>
      <c r="DC211" s="712"/>
      <c r="DD211" s="712"/>
      <c r="DE211" s="712"/>
      <c r="DF211" s="712"/>
      <c r="DG211" s="712"/>
      <c r="DH211" s="712"/>
      <c r="DI211" s="712"/>
      <c r="DJ211" s="712"/>
      <c r="DK211" s="712"/>
      <c r="DL211" s="712"/>
      <c r="DM211" s="712"/>
      <c r="DN211" s="712"/>
      <c r="DO211" s="712"/>
      <c r="DP211" s="712"/>
      <c r="DQ211" s="712"/>
      <c r="DR211" s="712"/>
      <c r="DS211" s="712"/>
      <c r="DT211" s="712"/>
      <c r="DU211" s="712"/>
      <c r="DV211" s="712"/>
      <c r="DW211" s="712"/>
      <c r="DX211" s="712"/>
      <c r="DY211" s="712"/>
      <c r="DZ211" s="712"/>
      <c r="EA211" s="712"/>
      <c r="EB211" s="712"/>
      <c r="EC211" s="712"/>
      <c r="ED211" s="712"/>
      <c r="EE211" s="712"/>
      <c r="EF211" s="712"/>
      <c r="EG211" s="712"/>
      <c r="EH211" s="712"/>
      <c r="EI211" s="712"/>
      <c r="EJ211" s="712"/>
      <c r="EK211" s="712"/>
      <c r="EL211" s="712"/>
      <c r="EM211" s="712"/>
      <c r="EN211" s="712"/>
      <c r="EP211" s="947"/>
    </row>
    <row r="212" spans="7:146" ht="13.2">
      <c r="G212" s="719">
        <v>20</v>
      </c>
      <c r="H212" s="714" t="s">
        <v>110</v>
      </c>
      <c r="BA212" s="720">
        <f t="shared" si="3763"/>
        <v>0</v>
      </c>
      <c r="BB212" s="720">
        <f t="shared" si="3764"/>
        <v>0</v>
      </c>
      <c r="BC212" s="720">
        <f t="shared" si="3765"/>
        <v>0</v>
      </c>
      <c r="BD212" s="720">
        <f t="shared" si="3766"/>
        <v>0</v>
      </c>
      <c r="BE212" s="720">
        <f t="shared" si="3767"/>
        <v>0</v>
      </c>
      <c r="BF212" s="720">
        <f t="shared" si="3768"/>
        <v>0</v>
      </c>
      <c r="BG212" s="720">
        <f t="shared" si="3769"/>
        <v>0</v>
      </c>
      <c r="BH212" s="720">
        <f t="shared" si="3770"/>
        <v>0</v>
      </c>
      <c r="BI212" s="720">
        <f t="shared" si="3771"/>
        <v>0</v>
      </c>
      <c r="BJ212" s="720">
        <f t="shared" si="3772"/>
        <v>0</v>
      </c>
      <c r="BK212" s="720">
        <f t="shared" si="3773"/>
        <v>0</v>
      </c>
      <c r="BL212" s="720">
        <f t="shared" si="3774"/>
        <v>0</v>
      </c>
      <c r="BM212" s="720">
        <f t="shared" si="3775"/>
        <v>0</v>
      </c>
      <c r="BN212" s="720">
        <f t="shared" si="3776"/>
        <v>0</v>
      </c>
      <c r="BO212" s="720">
        <f t="shared" si="3777"/>
        <v>0</v>
      </c>
      <c r="BP212" s="720">
        <f t="shared" si="3778"/>
        <v>0</v>
      </c>
      <c r="BQ212" s="720">
        <f t="shared" si="3779"/>
        <v>0</v>
      </c>
      <c r="BR212" s="720">
        <f t="shared" si="3780"/>
        <v>0</v>
      </c>
      <c r="BS212" s="720">
        <f t="shared" si="3781"/>
        <v>0</v>
      </c>
      <c r="BT212" s="720">
        <f t="shared" si="3782"/>
        <v>0</v>
      </c>
      <c r="BU212" s="720">
        <f t="shared" si="3783"/>
        <v>0</v>
      </c>
      <c r="BV212" s="720">
        <f t="shared" si="3784"/>
        <v>0</v>
      </c>
      <c r="BW212" s="720">
        <f t="shared" si="3785"/>
        <v>0</v>
      </c>
      <c r="BX212" s="720">
        <f t="shared" si="3786"/>
        <v>0</v>
      </c>
      <c r="BY212" s="720">
        <f t="shared" si="3787"/>
        <v>0</v>
      </c>
      <c r="BZ212" s="720">
        <f t="shared" si="3788"/>
        <v>0</v>
      </c>
      <c r="CA212" s="720">
        <f t="shared" si="3789"/>
        <v>0</v>
      </c>
      <c r="CB212" s="720">
        <f t="shared" si="3790"/>
        <v>0</v>
      </c>
      <c r="CC212" s="720">
        <f t="shared" si="3791"/>
        <v>0</v>
      </c>
      <c r="CD212" s="720">
        <f t="shared" si="3792"/>
        <v>0</v>
      </c>
      <c r="CE212" s="720">
        <f t="shared" si="3793"/>
        <v>0</v>
      </c>
      <c r="CF212" s="720">
        <f t="shared" si="3794"/>
        <v>0</v>
      </c>
      <c r="CG212" s="720">
        <f t="shared" si="3795"/>
        <v>0</v>
      </c>
      <c r="CH212" s="720">
        <f t="shared" si="3796"/>
        <v>0</v>
      </c>
      <c r="CI212" s="720">
        <f t="shared" si="3797"/>
        <v>0</v>
      </c>
      <c r="CJ212" s="720">
        <f t="shared" si="3798"/>
        <v>0</v>
      </c>
      <c r="CK212" s="720">
        <f t="shared" ref="CK212:CS212" si="3803">+EF135</f>
        <v>14702.28</v>
      </c>
      <c r="CL212" s="720">
        <f t="shared" si="3803"/>
        <v>6100</v>
      </c>
      <c r="CM212" s="720">
        <f t="shared" si="3803"/>
        <v>13</v>
      </c>
      <c r="CN212" s="720">
        <f t="shared" si="3803"/>
        <v>338.77850000000001</v>
      </c>
      <c r="CO212" s="720">
        <f t="shared" si="3803"/>
        <v>0</v>
      </c>
      <c r="CP212" s="720">
        <f t="shared" si="3803"/>
        <v>0</v>
      </c>
      <c r="CQ212" s="720">
        <f t="shared" si="3803"/>
        <v>0</v>
      </c>
      <c r="CR212" s="720">
        <f t="shared" si="3803"/>
        <v>1905.70211195</v>
      </c>
      <c r="CS212" s="720">
        <f t="shared" si="3803"/>
        <v>23046.760611949998</v>
      </c>
      <c r="CT212" s="720"/>
      <c r="CV212" s="712"/>
      <c r="CW212" s="712"/>
      <c r="CX212" s="712"/>
      <c r="CY212" s="712"/>
      <c r="CZ212" s="712"/>
      <c r="DA212" s="712"/>
      <c r="DB212" s="712"/>
      <c r="DC212" s="712"/>
      <c r="DD212" s="712"/>
      <c r="DE212" s="712"/>
      <c r="DF212" s="712"/>
      <c r="DG212" s="712"/>
      <c r="DH212" s="712"/>
      <c r="DI212" s="712"/>
      <c r="DJ212" s="712"/>
      <c r="DK212" s="712"/>
      <c r="DL212" s="712"/>
      <c r="DM212" s="712"/>
      <c r="DN212" s="712"/>
      <c r="DO212" s="712"/>
      <c r="DP212" s="712"/>
      <c r="DQ212" s="712"/>
      <c r="DR212" s="712"/>
      <c r="DS212" s="712"/>
      <c r="DT212" s="712"/>
      <c r="DU212" s="712"/>
      <c r="DV212" s="712"/>
      <c r="DW212" s="712"/>
      <c r="DX212" s="712"/>
      <c r="DY212" s="712"/>
      <c r="DZ212" s="712"/>
      <c r="EA212" s="712"/>
      <c r="EB212" s="712"/>
      <c r="EC212" s="712"/>
      <c r="ED212" s="712"/>
      <c r="EE212" s="712"/>
      <c r="EF212" s="712"/>
      <c r="EG212" s="712"/>
      <c r="EH212" s="712"/>
      <c r="EI212" s="712"/>
      <c r="EJ212" s="712"/>
      <c r="EK212" s="712"/>
      <c r="EL212" s="712"/>
      <c r="EM212" s="712"/>
      <c r="EN212" s="712"/>
      <c r="EP212" s="947"/>
    </row>
    <row r="213" spans="7:146" ht="13.2">
      <c r="G213" s="719">
        <v>21</v>
      </c>
      <c r="H213" s="714" t="s">
        <v>115</v>
      </c>
      <c r="BA213" s="720">
        <f t="shared" si="3763"/>
        <v>0</v>
      </c>
      <c r="BB213" s="720">
        <f t="shared" si="3764"/>
        <v>0</v>
      </c>
      <c r="BC213" s="720">
        <f t="shared" si="3765"/>
        <v>0</v>
      </c>
      <c r="BD213" s="720">
        <f t="shared" si="3766"/>
        <v>0</v>
      </c>
      <c r="BE213" s="720">
        <f t="shared" si="3767"/>
        <v>0</v>
      </c>
      <c r="BF213" s="720">
        <f t="shared" si="3768"/>
        <v>0</v>
      </c>
      <c r="BG213" s="720">
        <f t="shared" si="3769"/>
        <v>0</v>
      </c>
      <c r="BH213" s="720">
        <f t="shared" si="3770"/>
        <v>0</v>
      </c>
      <c r="BI213" s="720">
        <f t="shared" si="3771"/>
        <v>0</v>
      </c>
      <c r="BJ213" s="720">
        <f t="shared" si="3772"/>
        <v>0</v>
      </c>
      <c r="BK213" s="720">
        <f t="shared" si="3773"/>
        <v>0</v>
      </c>
      <c r="BL213" s="720">
        <f t="shared" si="3774"/>
        <v>0</v>
      </c>
      <c r="BM213" s="720">
        <f t="shared" si="3775"/>
        <v>0</v>
      </c>
      <c r="BN213" s="720">
        <f t="shared" si="3776"/>
        <v>0</v>
      </c>
      <c r="BO213" s="720">
        <f t="shared" si="3777"/>
        <v>0</v>
      </c>
      <c r="BP213" s="720">
        <f t="shared" si="3778"/>
        <v>0</v>
      </c>
      <c r="BQ213" s="720">
        <f t="shared" si="3779"/>
        <v>0</v>
      </c>
      <c r="BR213" s="720">
        <f t="shared" si="3780"/>
        <v>0</v>
      </c>
      <c r="BS213" s="720">
        <f t="shared" si="3781"/>
        <v>0</v>
      </c>
      <c r="BT213" s="720">
        <f t="shared" si="3782"/>
        <v>0</v>
      </c>
      <c r="BU213" s="720">
        <f t="shared" si="3783"/>
        <v>0</v>
      </c>
      <c r="BV213" s="720">
        <f t="shared" si="3784"/>
        <v>0</v>
      </c>
      <c r="BW213" s="720">
        <f t="shared" si="3785"/>
        <v>0</v>
      </c>
      <c r="BX213" s="720">
        <f t="shared" si="3786"/>
        <v>0</v>
      </c>
      <c r="BY213" s="720">
        <f t="shared" si="3787"/>
        <v>0</v>
      </c>
      <c r="BZ213" s="720">
        <f t="shared" si="3788"/>
        <v>0</v>
      </c>
      <c r="CA213" s="720">
        <f t="shared" si="3789"/>
        <v>0</v>
      </c>
      <c r="CB213" s="720">
        <f t="shared" si="3790"/>
        <v>0</v>
      </c>
      <c r="CC213" s="720">
        <f t="shared" si="3791"/>
        <v>0</v>
      </c>
      <c r="CD213" s="720">
        <f t="shared" si="3792"/>
        <v>0</v>
      </c>
      <c r="CE213" s="720">
        <f t="shared" si="3793"/>
        <v>0</v>
      </c>
      <c r="CF213" s="720">
        <f t="shared" si="3794"/>
        <v>0</v>
      </c>
      <c r="CG213" s="720">
        <f t="shared" si="3795"/>
        <v>0</v>
      </c>
      <c r="CH213" s="720">
        <f t="shared" si="3796"/>
        <v>0</v>
      </c>
      <c r="CI213" s="720">
        <f t="shared" si="3797"/>
        <v>0</v>
      </c>
      <c r="CJ213" s="720">
        <f t="shared" si="3798"/>
        <v>0</v>
      </c>
      <c r="CK213" s="720" t="s">
        <v>52</v>
      </c>
      <c r="CL213" s="720" t="s">
        <v>52</v>
      </c>
      <c r="CM213" s="720" t="s">
        <v>52</v>
      </c>
      <c r="CN213" s="720" t="s">
        <v>52</v>
      </c>
      <c r="CO213" s="720" t="s">
        <v>52</v>
      </c>
      <c r="CP213" s="720" t="s">
        <v>52</v>
      </c>
      <c r="CQ213" s="720" t="s">
        <v>52</v>
      </c>
      <c r="CR213" s="720" t="s">
        <v>52</v>
      </c>
      <c r="CS213" s="720" t="s">
        <v>52</v>
      </c>
      <c r="CT213" s="720"/>
      <c r="CV213" s="712"/>
      <c r="CW213" s="712"/>
      <c r="CX213" s="712"/>
      <c r="CY213" s="712"/>
      <c r="CZ213" s="712"/>
      <c r="DA213" s="712"/>
      <c r="DB213" s="712"/>
      <c r="DC213" s="712"/>
      <c r="DD213" s="712"/>
      <c r="DE213" s="712"/>
      <c r="DF213" s="712"/>
      <c r="DG213" s="712"/>
      <c r="DH213" s="712"/>
      <c r="DI213" s="712"/>
      <c r="DJ213" s="712"/>
      <c r="DK213" s="712"/>
      <c r="DL213" s="712"/>
      <c r="DM213" s="712"/>
      <c r="DN213" s="712"/>
      <c r="DO213" s="712"/>
      <c r="DP213" s="712"/>
      <c r="DQ213" s="712"/>
      <c r="DR213" s="712"/>
      <c r="DS213" s="712"/>
      <c r="DT213" s="712"/>
      <c r="DU213" s="712"/>
      <c r="DV213" s="712"/>
      <c r="DW213" s="712"/>
      <c r="DX213" s="712"/>
      <c r="DY213" s="712"/>
      <c r="DZ213" s="712"/>
      <c r="EA213" s="712"/>
      <c r="EB213" s="712"/>
      <c r="EC213" s="712"/>
      <c r="ED213" s="712"/>
      <c r="EE213" s="712"/>
      <c r="EF213" s="712"/>
      <c r="EG213" s="712"/>
      <c r="EH213" s="712"/>
      <c r="EI213" s="712"/>
      <c r="EJ213" s="712"/>
      <c r="EK213" s="712"/>
      <c r="EL213" s="712"/>
      <c r="EM213" s="712"/>
      <c r="EN213" s="712"/>
      <c r="EP213" s="947"/>
    </row>
    <row r="214" spans="7:146" ht="13.2">
      <c r="G214" s="719">
        <v>22</v>
      </c>
      <c r="H214" s="714" t="s">
        <v>116</v>
      </c>
      <c r="BA214" s="720">
        <f t="shared" si="3763"/>
        <v>0</v>
      </c>
      <c r="BB214" s="720">
        <f t="shared" si="3764"/>
        <v>0</v>
      </c>
      <c r="BC214" s="720">
        <f t="shared" si="3765"/>
        <v>0</v>
      </c>
      <c r="BD214" s="720">
        <f t="shared" si="3766"/>
        <v>0</v>
      </c>
      <c r="BE214" s="720">
        <f t="shared" si="3767"/>
        <v>0</v>
      </c>
      <c r="BF214" s="720">
        <f t="shared" si="3768"/>
        <v>0</v>
      </c>
      <c r="BG214" s="720">
        <f t="shared" si="3769"/>
        <v>0</v>
      </c>
      <c r="BH214" s="720">
        <f t="shared" si="3770"/>
        <v>0</v>
      </c>
      <c r="BI214" s="720">
        <f t="shared" si="3771"/>
        <v>0</v>
      </c>
      <c r="BJ214" s="720">
        <f t="shared" si="3772"/>
        <v>0</v>
      </c>
      <c r="BK214" s="720">
        <f t="shared" si="3773"/>
        <v>0</v>
      </c>
      <c r="BL214" s="720">
        <f t="shared" si="3774"/>
        <v>0</v>
      </c>
      <c r="BM214" s="720">
        <f t="shared" si="3775"/>
        <v>0</v>
      </c>
      <c r="BN214" s="720">
        <f t="shared" si="3776"/>
        <v>0</v>
      </c>
      <c r="BO214" s="720">
        <f t="shared" si="3777"/>
        <v>0</v>
      </c>
      <c r="BP214" s="720">
        <f t="shared" si="3778"/>
        <v>0</v>
      </c>
      <c r="BQ214" s="720">
        <f t="shared" si="3779"/>
        <v>0</v>
      </c>
      <c r="BR214" s="720">
        <f t="shared" si="3780"/>
        <v>0</v>
      </c>
      <c r="BS214" s="720">
        <f t="shared" si="3781"/>
        <v>0</v>
      </c>
      <c r="BT214" s="720">
        <f t="shared" si="3782"/>
        <v>0</v>
      </c>
      <c r="BU214" s="720">
        <f t="shared" si="3783"/>
        <v>0</v>
      </c>
      <c r="BV214" s="720">
        <f t="shared" si="3784"/>
        <v>0</v>
      </c>
      <c r="BW214" s="720">
        <f t="shared" si="3785"/>
        <v>0</v>
      </c>
      <c r="BX214" s="720">
        <f t="shared" si="3786"/>
        <v>0</v>
      </c>
      <c r="BY214" s="720">
        <f t="shared" si="3787"/>
        <v>0</v>
      </c>
      <c r="BZ214" s="720">
        <f t="shared" si="3788"/>
        <v>0</v>
      </c>
      <c r="CA214" s="720">
        <f t="shared" si="3789"/>
        <v>0</v>
      </c>
      <c r="CB214" s="720">
        <f t="shared" si="3790"/>
        <v>0</v>
      </c>
      <c r="CC214" s="720">
        <f t="shared" si="3791"/>
        <v>0</v>
      </c>
      <c r="CD214" s="720">
        <f t="shared" si="3792"/>
        <v>0</v>
      </c>
      <c r="CE214" s="720">
        <f t="shared" si="3793"/>
        <v>0</v>
      </c>
      <c r="CF214" s="720">
        <f t="shared" si="3794"/>
        <v>0</v>
      </c>
      <c r="CG214" s="720">
        <f t="shared" si="3795"/>
        <v>0</v>
      </c>
      <c r="CH214" s="720">
        <f t="shared" si="3796"/>
        <v>0</v>
      </c>
      <c r="CI214" s="720">
        <f t="shared" si="3797"/>
        <v>0</v>
      </c>
      <c r="CJ214" s="720">
        <f t="shared" si="3798"/>
        <v>0</v>
      </c>
      <c r="CL214" s="720" t="s">
        <v>52</v>
      </c>
      <c r="CM214" s="720" t="s">
        <v>52</v>
      </c>
      <c r="CN214" s="720" t="s">
        <v>52</v>
      </c>
      <c r="CO214" s="720" t="s">
        <v>52</v>
      </c>
      <c r="CP214" s="720" t="s">
        <v>52</v>
      </c>
      <c r="CQ214" s="720" t="s">
        <v>52</v>
      </c>
      <c r="CR214" s="720" t="s">
        <v>52</v>
      </c>
      <c r="CS214" s="720" t="s">
        <v>52</v>
      </c>
      <c r="CT214" s="720"/>
      <c r="CV214" s="712"/>
      <c r="CW214" s="712"/>
      <c r="CX214" s="712"/>
      <c r="CY214" s="712"/>
      <c r="CZ214" s="712"/>
      <c r="DA214" s="712"/>
      <c r="DB214" s="712"/>
      <c r="DC214" s="712"/>
      <c r="DD214" s="712"/>
      <c r="DE214" s="712"/>
      <c r="DF214" s="712"/>
      <c r="DG214" s="712"/>
      <c r="DH214" s="712"/>
      <c r="DI214" s="712"/>
      <c r="DJ214" s="712"/>
      <c r="DK214" s="712"/>
      <c r="DL214" s="712"/>
      <c r="DM214" s="712"/>
      <c r="DN214" s="712"/>
      <c r="DO214" s="712"/>
      <c r="DP214" s="712"/>
      <c r="DQ214" s="712"/>
      <c r="DR214" s="712"/>
      <c r="DS214" s="712"/>
      <c r="DT214" s="712"/>
      <c r="DU214" s="712"/>
      <c r="DV214" s="712"/>
      <c r="DW214" s="712"/>
      <c r="DX214" s="712"/>
      <c r="DY214" s="712"/>
      <c r="DZ214" s="712"/>
      <c r="EA214" s="712"/>
      <c r="EB214" s="712"/>
      <c r="EC214" s="712"/>
      <c r="ED214" s="712"/>
      <c r="EE214" s="712"/>
      <c r="EF214" s="712"/>
      <c r="EG214" s="712"/>
      <c r="EH214" s="712"/>
      <c r="EI214" s="712"/>
      <c r="EJ214" s="712"/>
      <c r="EK214" s="712"/>
      <c r="EL214" s="712"/>
      <c r="EM214" s="712"/>
      <c r="EN214" s="712"/>
      <c r="EP214" s="947"/>
    </row>
    <row r="215" spans="7:146" ht="13.2">
      <c r="G215" s="719">
        <v>23</v>
      </c>
      <c r="H215" s="714" t="s">
        <v>193</v>
      </c>
      <c r="BA215" s="720">
        <f t="shared" si="3763"/>
        <v>0</v>
      </c>
      <c r="BB215" s="720">
        <f t="shared" si="3764"/>
        <v>0</v>
      </c>
      <c r="BC215" s="720">
        <f t="shared" si="3765"/>
        <v>0</v>
      </c>
      <c r="BD215" s="720">
        <f t="shared" si="3766"/>
        <v>0</v>
      </c>
      <c r="BE215" s="720">
        <f t="shared" si="3767"/>
        <v>0</v>
      </c>
      <c r="BF215" s="720">
        <f t="shared" si="3768"/>
        <v>0</v>
      </c>
      <c r="BG215" s="720">
        <f t="shared" si="3769"/>
        <v>0</v>
      </c>
      <c r="BH215" s="720">
        <f t="shared" si="3770"/>
        <v>0</v>
      </c>
      <c r="BI215" s="720">
        <f t="shared" si="3771"/>
        <v>0</v>
      </c>
      <c r="BJ215" s="720">
        <f t="shared" si="3772"/>
        <v>0</v>
      </c>
      <c r="BK215" s="720">
        <f t="shared" si="3773"/>
        <v>0</v>
      </c>
      <c r="BL215" s="720">
        <f t="shared" si="3774"/>
        <v>0</v>
      </c>
      <c r="BM215" s="720">
        <f t="shared" si="3775"/>
        <v>0</v>
      </c>
      <c r="BN215" s="720">
        <f t="shared" si="3776"/>
        <v>0</v>
      </c>
      <c r="BO215" s="720">
        <f t="shared" si="3777"/>
        <v>0</v>
      </c>
      <c r="BP215" s="720">
        <f t="shared" si="3778"/>
        <v>0</v>
      </c>
      <c r="BQ215" s="720">
        <f t="shared" si="3779"/>
        <v>0</v>
      </c>
      <c r="BR215" s="720">
        <f t="shared" si="3780"/>
        <v>0</v>
      </c>
      <c r="BS215" s="720">
        <f t="shared" si="3781"/>
        <v>0</v>
      </c>
      <c r="BT215" s="720">
        <f t="shared" si="3782"/>
        <v>0</v>
      </c>
      <c r="BU215" s="720">
        <f t="shared" si="3783"/>
        <v>0</v>
      </c>
      <c r="BV215" s="720">
        <f t="shared" si="3784"/>
        <v>0</v>
      </c>
      <c r="BW215" s="720">
        <f t="shared" si="3785"/>
        <v>0</v>
      </c>
      <c r="BX215" s="720">
        <f t="shared" si="3786"/>
        <v>0</v>
      </c>
      <c r="BY215" s="720">
        <f t="shared" si="3787"/>
        <v>0</v>
      </c>
      <c r="BZ215" s="720">
        <f t="shared" si="3788"/>
        <v>0</v>
      </c>
      <c r="CA215" s="720">
        <f t="shared" si="3789"/>
        <v>0</v>
      </c>
      <c r="CB215" s="720">
        <f t="shared" si="3790"/>
        <v>0</v>
      </c>
      <c r="CC215" s="720">
        <f t="shared" si="3791"/>
        <v>0</v>
      </c>
      <c r="CD215" s="720">
        <f t="shared" si="3792"/>
        <v>0</v>
      </c>
      <c r="CE215" s="720">
        <f t="shared" si="3793"/>
        <v>0</v>
      </c>
      <c r="CF215" s="720">
        <f t="shared" si="3794"/>
        <v>0</v>
      </c>
      <c r="CG215" s="720">
        <f t="shared" si="3795"/>
        <v>0</v>
      </c>
      <c r="CH215" s="720">
        <f t="shared" si="3796"/>
        <v>0</v>
      </c>
      <c r="CI215" s="720">
        <f t="shared" si="3797"/>
        <v>0</v>
      </c>
      <c r="CJ215" s="720">
        <f t="shared" si="3798"/>
        <v>0</v>
      </c>
      <c r="CL215" s="720" t="s">
        <v>52</v>
      </c>
      <c r="CM215" s="720" t="s">
        <v>52</v>
      </c>
      <c r="CN215" s="720" t="s">
        <v>52</v>
      </c>
      <c r="CO215" s="720" t="s">
        <v>52</v>
      </c>
      <c r="CP215" s="720" t="s">
        <v>52</v>
      </c>
      <c r="CQ215" s="720" t="s">
        <v>52</v>
      </c>
      <c r="CR215" s="720" t="s">
        <v>52</v>
      </c>
      <c r="CS215" s="720" t="s">
        <v>52</v>
      </c>
      <c r="CT215" s="720"/>
      <c r="CV215" s="712"/>
      <c r="CW215" s="712"/>
      <c r="CX215" s="712"/>
      <c r="CY215" s="712"/>
      <c r="CZ215" s="712"/>
      <c r="DA215" s="712"/>
      <c r="DB215" s="712"/>
      <c r="DC215" s="712"/>
      <c r="DD215" s="712"/>
      <c r="DE215" s="712"/>
      <c r="DF215" s="712"/>
      <c r="DG215" s="712"/>
      <c r="DH215" s="712"/>
      <c r="DI215" s="712"/>
      <c r="DJ215" s="712"/>
      <c r="DK215" s="712"/>
      <c r="DL215" s="712"/>
      <c r="DM215" s="712"/>
      <c r="DN215" s="712"/>
      <c r="DO215" s="712"/>
      <c r="DP215" s="712"/>
      <c r="DQ215" s="712"/>
      <c r="DR215" s="712"/>
      <c r="DS215" s="712"/>
      <c r="DT215" s="712"/>
      <c r="DU215" s="712"/>
      <c r="DV215" s="712"/>
      <c r="DW215" s="712"/>
      <c r="DX215" s="712"/>
      <c r="DY215" s="712"/>
      <c r="DZ215" s="712"/>
      <c r="EA215" s="712"/>
      <c r="EB215" s="712"/>
      <c r="EC215" s="712"/>
      <c r="ED215" s="712"/>
      <c r="EE215" s="712"/>
      <c r="EF215" s="712"/>
      <c r="EG215" s="712"/>
      <c r="EH215" s="712"/>
      <c r="EI215" s="712"/>
      <c r="EJ215" s="712"/>
      <c r="EK215" s="712"/>
      <c r="EL215" s="712"/>
      <c r="EM215" s="712"/>
      <c r="EN215" s="712"/>
      <c r="EP215" s="947"/>
    </row>
    <row r="216" spans="7:146" ht="13.2">
      <c r="G216" s="719">
        <v>24</v>
      </c>
      <c r="H216" s="714" t="s">
        <v>345</v>
      </c>
      <c r="BA216" s="720">
        <f t="shared" si="3763"/>
        <v>0</v>
      </c>
      <c r="BB216" s="720">
        <f t="shared" si="3764"/>
        <v>0</v>
      </c>
      <c r="BC216" s="720">
        <f t="shared" si="3765"/>
        <v>0</v>
      </c>
      <c r="BD216" s="720">
        <f t="shared" si="3766"/>
        <v>0</v>
      </c>
      <c r="BE216" s="720">
        <f t="shared" si="3767"/>
        <v>0</v>
      </c>
      <c r="BF216" s="720">
        <f t="shared" si="3768"/>
        <v>0</v>
      </c>
      <c r="BG216" s="720">
        <f t="shared" si="3769"/>
        <v>0</v>
      </c>
      <c r="BH216" s="720">
        <f t="shared" si="3770"/>
        <v>0</v>
      </c>
      <c r="BI216" s="720">
        <f t="shared" si="3771"/>
        <v>0</v>
      </c>
      <c r="BJ216" s="720">
        <f t="shared" si="3772"/>
        <v>0</v>
      </c>
      <c r="BK216" s="720">
        <f t="shared" si="3773"/>
        <v>0</v>
      </c>
      <c r="BL216" s="720">
        <f t="shared" si="3774"/>
        <v>0</v>
      </c>
      <c r="BM216" s="720">
        <f t="shared" si="3775"/>
        <v>0</v>
      </c>
      <c r="BN216" s="720">
        <f t="shared" si="3776"/>
        <v>0</v>
      </c>
      <c r="BO216" s="720">
        <f t="shared" si="3777"/>
        <v>0</v>
      </c>
      <c r="BP216" s="720">
        <f t="shared" si="3778"/>
        <v>0</v>
      </c>
      <c r="BQ216" s="720">
        <f t="shared" si="3779"/>
        <v>0</v>
      </c>
      <c r="BR216" s="720">
        <f t="shared" si="3780"/>
        <v>0</v>
      </c>
      <c r="BS216" s="720">
        <f t="shared" si="3781"/>
        <v>0</v>
      </c>
      <c r="BT216" s="720">
        <f t="shared" si="3782"/>
        <v>0</v>
      </c>
      <c r="BU216" s="720">
        <f t="shared" si="3783"/>
        <v>0</v>
      </c>
      <c r="BV216" s="720">
        <f t="shared" si="3784"/>
        <v>0</v>
      </c>
      <c r="BW216" s="720">
        <f t="shared" si="3785"/>
        <v>0</v>
      </c>
      <c r="BX216" s="720">
        <f t="shared" si="3786"/>
        <v>0</v>
      </c>
      <c r="BY216" s="720">
        <f t="shared" si="3787"/>
        <v>0</v>
      </c>
      <c r="BZ216" s="720">
        <f t="shared" si="3788"/>
        <v>0</v>
      </c>
      <c r="CA216" s="720">
        <f t="shared" si="3789"/>
        <v>0</v>
      </c>
      <c r="CB216" s="720">
        <f t="shared" si="3790"/>
        <v>0</v>
      </c>
      <c r="CC216" s="720">
        <f t="shared" si="3791"/>
        <v>0</v>
      </c>
      <c r="CD216" s="720">
        <f t="shared" si="3792"/>
        <v>0</v>
      </c>
      <c r="CE216" s="720">
        <f t="shared" si="3793"/>
        <v>0</v>
      </c>
      <c r="CF216" s="720">
        <f t="shared" si="3794"/>
        <v>0</v>
      </c>
      <c r="CG216" s="720">
        <f t="shared" si="3795"/>
        <v>0</v>
      </c>
      <c r="CH216" s="720">
        <f t="shared" si="3796"/>
        <v>0</v>
      </c>
      <c r="CI216" s="720">
        <f t="shared" si="3797"/>
        <v>0</v>
      </c>
      <c r="CJ216" s="720">
        <f t="shared" si="3798"/>
        <v>0</v>
      </c>
      <c r="CL216" s="720" t="s">
        <v>52</v>
      </c>
      <c r="CM216" s="720" t="s">
        <v>52</v>
      </c>
      <c r="CN216" s="720" t="s">
        <v>52</v>
      </c>
      <c r="CO216" s="720" t="s">
        <v>52</v>
      </c>
      <c r="CP216" s="720" t="s">
        <v>52</v>
      </c>
      <c r="CQ216" s="720" t="s">
        <v>52</v>
      </c>
      <c r="CR216" s="720" t="s">
        <v>52</v>
      </c>
      <c r="CS216" s="720" t="s">
        <v>52</v>
      </c>
      <c r="CT216" s="720"/>
      <c r="CV216" s="712"/>
      <c r="CW216" s="712"/>
      <c r="CX216" s="712"/>
      <c r="CY216" s="712"/>
      <c r="CZ216" s="712"/>
      <c r="DA216" s="712"/>
      <c r="DB216" s="712"/>
      <c r="DC216" s="712"/>
      <c r="DD216" s="712"/>
      <c r="DE216" s="712"/>
      <c r="DF216" s="712"/>
      <c r="DG216" s="712"/>
      <c r="DH216" s="712"/>
      <c r="DI216" s="712"/>
      <c r="DJ216" s="712"/>
      <c r="DK216" s="712"/>
      <c r="DL216" s="712"/>
      <c r="DM216" s="712"/>
      <c r="DN216" s="712"/>
      <c r="DO216" s="712"/>
      <c r="DP216" s="712"/>
      <c r="DQ216" s="712"/>
      <c r="DR216" s="712"/>
      <c r="DS216" s="712"/>
      <c r="DT216" s="712"/>
      <c r="DU216" s="712"/>
      <c r="DV216" s="712"/>
      <c r="DW216" s="712"/>
      <c r="DX216" s="712"/>
      <c r="DY216" s="712"/>
      <c r="DZ216" s="712"/>
      <c r="EA216" s="712"/>
      <c r="EB216" s="712"/>
      <c r="EC216" s="712"/>
      <c r="ED216" s="712"/>
      <c r="EE216" s="712"/>
      <c r="EF216" s="712"/>
      <c r="EG216" s="712"/>
      <c r="EH216" s="712"/>
      <c r="EI216" s="712"/>
      <c r="EJ216" s="712"/>
      <c r="EK216" s="712"/>
      <c r="EL216" s="712"/>
      <c r="EM216" s="712"/>
      <c r="EN216" s="712"/>
      <c r="EP216" s="947"/>
    </row>
    <row r="217" spans="7:146" ht="13.2">
      <c r="G217" s="719">
        <v>25</v>
      </c>
      <c r="H217" s="714" t="s">
        <v>121</v>
      </c>
      <c r="BA217" s="720">
        <f t="shared" si="3763"/>
        <v>0</v>
      </c>
      <c r="BB217" s="720">
        <f t="shared" si="3764"/>
        <v>0</v>
      </c>
      <c r="BC217" s="720">
        <f t="shared" si="3765"/>
        <v>0</v>
      </c>
      <c r="BD217" s="720">
        <f t="shared" si="3766"/>
        <v>0</v>
      </c>
      <c r="BE217" s="720">
        <f t="shared" si="3767"/>
        <v>0</v>
      </c>
      <c r="BF217" s="720">
        <f t="shared" si="3768"/>
        <v>0</v>
      </c>
      <c r="BG217" s="720">
        <f t="shared" si="3769"/>
        <v>0</v>
      </c>
      <c r="BH217" s="720">
        <f t="shared" si="3770"/>
        <v>0</v>
      </c>
      <c r="BI217" s="720">
        <f t="shared" si="3771"/>
        <v>0</v>
      </c>
      <c r="BJ217" s="720">
        <f t="shared" si="3772"/>
        <v>0</v>
      </c>
      <c r="BK217" s="720">
        <f t="shared" si="3773"/>
        <v>0</v>
      </c>
      <c r="BL217" s="720">
        <f t="shared" si="3774"/>
        <v>0</v>
      </c>
      <c r="BM217" s="720">
        <f t="shared" si="3775"/>
        <v>0</v>
      </c>
      <c r="BN217" s="720">
        <f t="shared" si="3776"/>
        <v>0</v>
      </c>
      <c r="BO217" s="720">
        <f t="shared" si="3777"/>
        <v>0</v>
      </c>
      <c r="BP217" s="720">
        <f t="shared" si="3778"/>
        <v>0</v>
      </c>
      <c r="BQ217" s="720">
        <f t="shared" si="3779"/>
        <v>0</v>
      </c>
      <c r="BR217" s="720">
        <f t="shared" si="3780"/>
        <v>0</v>
      </c>
      <c r="BS217" s="720">
        <f t="shared" si="3781"/>
        <v>0</v>
      </c>
      <c r="BT217" s="720">
        <f t="shared" si="3782"/>
        <v>0</v>
      </c>
      <c r="BU217" s="720">
        <f t="shared" si="3783"/>
        <v>0</v>
      </c>
      <c r="BV217" s="720">
        <f t="shared" si="3784"/>
        <v>0</v>
      </c>
      <c r="BW217" s="720">
        <f t="shared" si="3785"/>
        <v>0</v>
      </c>
      <c r="BX217" s="720">
        <f t="shared" si="3786"/>
        <v>0</v>
      </c>
      <c r="BY217" s="720">
        <f t="shared" si="3787"/>
        <v>0</v>
      </c>
      <c r="BZ217" s="720">
        <f t="shared" si="3788"/>
        <v>0</v>
      </c>
      <c r="CA217" s="720">
        <f t="shared" si="3789"/>
        <v>0</v>
      </c>
      <c r="CB217" s="720">
        <f t="shared" si="3790"/>
        <v>0</v>
      </c>
      <c r="CC217" s="720">
        <f t="shared" si="3791"/>
        <v>0</v>
      </c>
      <c r="CD217" s="720">
        <f t="shared" si="3792"/>
        <v>0</v>
      </c>
      <c r="CE217" s="720">
        <f t="shared" si="3793"/>
        <v>0</v>
      </c>
      <c r="CF217" s="720">
        <f t="shared" si="3794"/>
        <v>0</v>
      </c>
      <c r="CG217" s="720">
        <f t="shared" si="3795"/>
        <v>0</v>
      </c>
      <c r="CH217" s="720">
        <f t="shared" si="3796"/>
        <v>0</v>
      </c>
      <c r="CI217" s="720">
        <f t="shared" si="3797"/>
        <v>0</v>
      </c>
      <c r="CJ217" s="720">
        <f t="shared" si="3798"/>
        <v>0</v>
      </c>
      <c r="CL217" s="720" t="s">
        <v>52</v>
      </c>
      <c r="CM217" s="720" t="s">
        <v>52</v>
      </c>
      <c r="CN217" s="720" t="s">
        <v>52</v>
      </c>
      <c r="CO217" s="720" t="s">
        <v>52</v>
      </c>
      <c r="CP217" s="720" t="s">
        <v>52</v>
      </c>
      <c r="CQ217" s="720" t="s">
        <v>52</v>
      </c>
      <c r="CR217" s="720" t="s">
        <v>52</v>
      </c>
      <c r="CS217" s="720" t="s">
        <v>52</v>
      </c>
      <c r="CT217" s="720"/>
      <c r="CV217" s="712"/>
      <c r="CW217" s="712"/>
      <c r="CX217" s="712"/>
      <c r="CY217" s="712"/>
      <c r="CZ217" s="712"/>
      <c r="DA217" s="712"/>
      <c r="DB217" s="712"/>
      <c r="DC217" s="712"/>
      <c r="DD217" s="712"/>
      <c r="DE217" s="712"/>
      <c r="DF217" s="712"/>
      <c r="DG217" s="712"/>
      <c r="DH217" s="712"/>
      <c r="DI217" s="712"/>
      <c r="DJ217" s="712"/>
      <c r="DK217" s="712"/>
      <c r="DL217" s="712"/>
      <c r="DM217" s="712"/>
      <c r="DN217" s="712"/>
      <c r="DO217" s="712"/>
      <c r="DP217" s="712"/>
      <c r="DQ217" s="712"/>
      <c r="DR217" s="712"/>
      <c r="DS217" s="712"/>
      <c r="DT217" s="712"/>
      <c r="DU217" s="712"/>
      <c r="DV217" s="712"/>
      <c r="DW217" s="712"/>
      <c r="DX217" s="712"/>
      <c r="DY217" s="712"/>
      <c r="DZ217" s="712"/>
      <c r="EA217" s="712"/>
      <c r="EB217" s="712"/>
      <c r="EC217" s="712"/>
      <c r="ED217" s="712"/>
      <c r="EE217" s="712"/>
      <c r="EF217" s="712"/>
      <c r="EG217" s="712"/>
      <c r="EH217" s="712"/>
      <c r="EI217" s="712"/>
      <c r="EJ217" s="712"/>
      <c r="EK217" s="712"/>
      <c r="EL217" s="712"/>
      <c r="EM217" s="712"/>
      <c r="EN217" s="712"/>
      <c r="EP217" s="947"/>
    </row>
    <row r="218" spans="7:146" ht="13.2">
      <c r="G218" s="719">
        <v>26</v>
      </c>
      <c r="H218" s="714" t="s">
        <v>122</v>
      </c>
      <c r="BA218" s="720">
        <f t="shared" ref="BA218:CJ218" si="3804">+CV90</f>
        <v>0</v>
      </c>
      <c r="BB218" s="720">
        <f t="shared" si="3804"/>
        <v>0</v>
      </c>
      <c r="BC218" s="720">
        <f t="shared" si="3804"/>
        <v>0</v>
      </c>
      <c r="BD218" s="720">
        <f t="shared" si="3804"/>
        <v>0</v>
      </c>
      <c r="BE218" s="720">
        <f t="shared" si="3804"/>
        <v>0</v>
      </c>
      <c r="BF218" s="720">
        <f t="shared" si="3804"/>
        <v>0</v>
      </c>
      <c r="BG218" s="720">
        <f t="shared" si="3804"/>
        <v>0</v>
      </c>
      <c r="BH218" s="720">
        <f t="shared" si="3804"/>
        <v>0</v>
      </c>
      <c r="BI218" s="720">
        <f t="shared" si="3804"/>
        <v>0</v>
      </c>
      <c r="BJ218" s="720">
        <f t="shared" si="3804"/>
        <v>0</v>
      </c>
      <c r="BK218" s="720">
        <f t="shared" si="3804"/>
        <v>0</v>
      </c>
      <c r="BL218" s="720">
        <f t="shared" si="3804"/>
        <v>0</v>
      </c>
      <c r="BM218" s="720">
        <f t="shared" si="3804"/>
        <v>0</v>
      </c>
      <c r="BN218" s="720">
        <f t="shared" si="3804"/>
        <v>0</v>
      </c>
      <c r="BO218" s="720">
        <f t="shared" si="3804"/>
        <v>0</v>
      </c>
      <c r="BP218" s="720">
        <f t="shared" si="3804"/>
        <v>0</v>
      </c>
      <c r="BQ218" s="720">
        <f t="shared" si="3804"/>
        <v>0</v>
      </c>
      <c r="BR218" s="720">
        <f t="shared" si="3804"/>
        <v>0</v>
      </c>
      <c r="BS218" s="720">
        <f t="shared" si="3804"/>
        <v>0</v>
      </c>
      <c r="BT218" s="720">
        <f t="shared" si="3804"/>
        <v>0</v>
      </c>
      <c r="BU218" s="720">
        <f t="shared" si="3804"/>
        <v>0</v>
      </c>
      <c r="BV218" s="720">
        <f t="shared" si="3804"/>
        <v>0</v>
      </c>
      <c r="BW218" s="720">
        <f t="shared" si="3804"/>
        <v>0</v>
      </c>
      <c r="BX218" s="720">
        <f t="shared" si="3804"/>
        <v>0</v>
      </c>
      <c r="BY218" s="720">
        <f t="shared" si="3804"/>
        <v>0</v>
      </c>
      <c r="BZ218" s="720">
        <f t="shared" si="3804"/>
        <v>0</v>
      </c>
      <c r="CA218" s="720">
        <f t="shared" si="3804"/>
        <v>0</v>
      </c>
      <c r="CB218" s="720">
        <f t="shared" si="3804"/>
        <v>0</v>
      </c>
      <c r="CC218" s="720">
        <f t="shared" si="3804"/>
        <v>0</v>
      </c>
      <c r="CD218" s="720">
        <f t="shared" si="3804"/>
        <v>0</v>
      </c>
      <c r="CE218" s="720">
        <f t="shared" si="3804"/>
        <v>0</v>
      </c>
      <c r="CF218" s="720">
        <f t="shared" si="3804"/>
        <v>0</v>
      </c>
      <c r="CG218" s="720">
        <f t="shared" si="3804"/>
        <v>0</v>
      </c>
      <c r="CH218" s="720">
        <f t="shared" si="3804"/>
        <v>0</v>
      </c>
      <c r="CI218" s="720">
        <f t="shared" si="3804"/>
        <v>0</v>
      </c>
      <c r="CJ218" s="720">
        <f t="shared" si="3804"/>
        <v>0</v>
      </c>
      <c r="CL218" s="720" t="s">
        <v>52</v>
      </c>
      <c r="CM218" s="720" t="s">
        <v>52</v>
      </c>
      <c r="CN218" s="720" t="s">
        <v>52</v>
      </c>
      <c r="CO218" s="720" t="s">
        <v>52</v>
      </c>
      <c r="CP218" s="720" t="s">
        <v>52</v>
      </c>
      <c r="CQ218" s="720" t="s">
        <v>52</v>
      </c>
      <c r="CR218" s="720" t="s">
        <v>52</v>
      </c>
      <c r="CS218" s="720" t="s">
        <v>52</v>
      </c>
      <c r="CT218" s="720"/>
      <c r="CV218" s="712"/>
      <c r="CW218" s="712"/>
      <c r="CX218" s="712"/>
      <c r="CY218" s="712"/>
      <c r="CZ218" s="712"/>
      <c r="DA218" s="712"/>
      <c r="DB218" s="712"/>
      <c r="DC218" s="712"/>
      <c r="DD218" s="712"/>
      <c r="DE218" s="712"/>
      <c r="DF218" s="712"/>
      <c r="DG218" s="712"/>
      <c r="DH218" s="712"/>
      <c r="DI218" s="712"/>
      <c r="DJ218" s="712"/>
      <c r="DK218" s="712"/>
      <c r="DL218" s="712"/>
      <c r="DM218" s="712"/>
      <c r="DN218" s="712"/>
      <c r="DO218" s="712"/>
      <c r="DP218" s="712"/>
      <c r="DQ218" s="712"/>
      <c r="DR218" s="712"/>
      <c r="DS218" s="712"/>
      <c r="DT218" s="712"/>
      <c r="DU218" s="712"/>
      <c r="DV218" s="712"/>
      <c r="DW218" s="712"/>
      <c r="DX218" s="712"/>
      <c r="DY218" s="712"/>
      <c r="DZ218" s="712"/>
      <c r="EA218" s="712"/>
      <c r="EB218" s="712"/>
      <c r="EC218" s="712"/>
      <c r="ED218" s="712"/>
      <c r="EE218" s="712"/>
      <c r="EF218" s="712"/>
      <c r="EG218" s="712"/>
      <c r="EH218" s="712"/>
      <c r="EI218" s="712"/>
      <c r="EJ218" s="712"/>
      <c r="EK218" s="712"/>
      <c r="EL218" s="712"/>
      <c r="EM218" s="712"/>
      <c r="EN218" s="712"/>
      <c r="EP218" s="947"/>
    </row>
    <row r="219" spans="7:146" ht="13.2">
      <c r="G219" s="719">
        <v>27</v>
      </c>
      <c r="H219" s="902" t="s">
        <v>630</v>
      </c>
      <c r="BA219" s="720">
        <v>0</v>
      </c>
      <c r="BB219" s="720">
        <v>0</v>
      </c>
      <c r="BC219" s="720">
        <v>0</v>
      </c>
      <c r="BD219" s="720">
        <v>0</v>
      </c>
      <c r="BE219" s="720">
        <v>0</v>
      </c>
      <c r="BF219" s="720">
        <v>0</v>
      </c>
      <c r="BG219" s="720">
        <v>0</v>
      </c>
      <c r="BH219" s="720">
        <v>0</v>
      </c>
      <c r="BI219" s="720">
        <v>0</v>
      </c>
      <c r="BJ219" s="720">
        <v>0</v>
      </c>
      <c r="BK219" s="720">
        <v>0</v>
      </c>
      <c r="BL219" s="720">
        <v>0</v>
      </c>
      <c r="BM219" s="720">
        <v>0</v>
      </c>
      <c r="BN219" s="720">
        <v>0</v>
      </c>
      <c r="BO219" s="720">
        <v>0</v>
      </c>
      <c r="BP219" s="720">
        <v>0</v>
      </c>
      <c r="BQ219" s="720">
        <v>0</v>
      </c>
      <c r="BR219" s="720">
        <v>0</v>
      </c>
      <c r="BS219" s="720">
        <v>0</v>
      </c>
      <c r="BT219" s="720">
        <v>0</v>
      </c>
      <c r="BU219" s="720">
        <v>0</v>
      </c>
      <c r="BV219" s="720">
        <v>0</v>
      </c>
      <c r="BW219" s="720">
        <v>0</v>
      </c>
      <c r="BX219" s="720">
        <v>0</v>
      </c>
      <c r="BY219" s="720">
        <v>0</v>
      </c>
      <c r="BZ219" s="720">
        <v>0</v>
      </c>
      <c r="CA219" s="720">
        <v>0</v>
      </c>
      <c r="CB219" s="720">
        <v>0</v>
      </c>
      <c r="CC219" s="720">
        <v>0</v>
      </c>
      <c r="CD219" s="720">
        <v>0</v>
      </c>
      <c r="CE219" s="720">
        <v>0</v>
      </c>
      <c r="CF219" s="720">
        <v>0</v>
      </c>
      <c r="CG219" s="720">
        <v>0</v>
      </c>
      <c r="CH219" s="720">
        <v>0</v>
      </c>
      <c r="CI219" s="720">
        <v>0</v>
      </c>
      <c r="CJ219" s="720">
        <v>0</v>
      </c>
      <c r="CL219" s="720" t="s">
        <v>52</v>
      </c>
      <c r="CM219" s="720" t="s">
        <v>52</v>
      </c>
      <c r="CN219" s="720" t="s">
        <v>52</v>
      </c>
      <c r="CO219" s="720" t="s">
        <v>52</v>
      </c>
      <c r="CP219" s="720" t="s">
        <v>52</v>
      </c>
      <c r="CQ219" s="720" t="s">
        <v>52</v>
      </c>
      <c r="CR219" s="720" t="s">
        <v>52</v>
      </c>
      <c r="CS219" s="720" t="s">
        <v>52</v>
      </c>
      <c r="CT219" s="720"/>
      <c r="CV219" s="712"/>
      <c r="CW219" s="712"/>
      <c r="CX219" s="712"/>
      <c r="CY219" s="712"/>
      <c r="CZ219" s="712"/>
      <c r="DA219" s="712"/>
      <c r="DB219" s="712"/>
      <c r="DC219" s="712"/>
      <c r="DD219" s="712"/>
      <c r="DE219" s="712"/>
      <c r="DF219" s="712"/>
      <c r="DG219" s="712"/>
      <c r="DH219" s="712"/>
      <c r="DI219" s="712"/>
      <c r="DJ219" s="712"/>
      <c r="DK219" s="712"/>
      <c r="DL219" s="712"/>
      <c r="DM219" s="712"/>
      <c r="DN219" s="712"/>
      <c r="DO219" s="712"/>
      <c r="DP219" s="712"/>
      <c r="DQ219" s="712"/>
      <c r="DR219" s="712"/>
      <c r="DS219" s="712"/>
      <c r="DT219" s="712"/>
      <c r="DU219" s="712"/>
      <c r="DV219" s="712"/>
      <c r="DW219" s="712"/>
      <c r="DX219" s="712"/>
      <c r="DY219" s="712"/>
      <c r="DZ219" s="712"/>
      <c r="EA219" s="712"/>
      <c r="EB219" s="712"/>
      <c r="EC219" s="712"/>
      <c r="ED219" s="712"/>
      <c r="EE219" s="712"/>
      <c r="EF219" s="712"/>
      <c r="EG219" s="712"/>
      <c r="EH219" s="712"/>
      <c r="EI219" s="712"/>
      <c r="EJ219" s="712"/>
      <c r="EK219" s="712"/>
      <c r="EL219" s="712"/>
      <c r="EM219" s="712"/>
      <c r="EN219" s="712"/>
      <c r="EP219" s="947"/>
    </row>
    <row r="220" spans="7:146" ht="13.2">
      <c r="G220" s="719">
        <v>28</v>
      </c>
      <c r="H220" s="902" t="s">
        <v>629</v>
      </c>
      <c r="BA220" s="720">
        <f t="shared" ref="BA220:BJ222" si="3805">+CV91</f>
        <v>0</v>
      </c>
      <c r="BB220" s="720">
        <f t="shared" si="3805"/>
        <v>0</v>
      </c>
      <c r="BC220" s="720">
        <f t="shared" si="3805"/>
        <v>0</v>
      </c>
      <c r="BD220" s="720">
        <f t="shared" si="3805"/>
        <v>0</v>
      </c>
      <c r="BE220" s="720">
        <f t="shared" si="3805"/>
        <v>0</v>
      </c>
      <c r="BF220" s="720">
        <f t="shared" si="3805"/>
        <v>0</v>
      </c>
      <c r="BG220" s="720">
        <f t="shared" si="3805"/>
        <v>0</v>
      </c>
      <c r="BH220" s="720">
        <f t="shared" si="3805"/>
        <v>0</v>
      </c>
      <c r="BI220" s="720">
        <f t="shared" si="3805"/>
        <v>0</v>
      </c>
      <c r="BJ220" s="720">
        <f t="shared" si="3805"/>
        <v>0</v>
      </c>
      <c r="BK220" s="720">
        <f t="shared" ref="BK220:BT222" si="3806">+DF91</f>
        <v>0</v>
      </c>
      <c r="BL220" s="720">
        <f t="shared" si="3806"/>
        <v>0</v>
      </c>
      <c r="BM220" s="720">
        <f t="shared" si="3806"/>
        <v>0</v>
      </c>
      <c r="BN220" s="720">
        <f t="shared" si="3806"/>
        <v>0</v>
      </c>
      <c r="BO220" s="720">
        <f t="shared" si="3806"/>
        <v>0</v>
      </c>
      <c r="BP220" s="720">
        <f t="shared" si="3806"/>
        <v>0</v>
      </c>
      <c r="BQ220" s="720">
        <f t="shared" si="3806"/>
        <v>0</v>
      </c>
      <c r="BR220" s="720">
        <f t="shared" si="3806"/>
        <v>0</v>
      </c>
      <c r="BS220" s="720">
        <f t="shared" si="3806"/>
        <v>0</v>
      </c>
      <c r="BT220" s="720">
        <f t="shared" si="3806"/>
        <v>0</v>
      </c>
      <c r="BU220" s="720">
        <f t="shared" ref="BU220:CD222" si="3807">+DP91</f>
        <v>0</v>
      </c>
      <c r="BV220" s="720">
        <f t="shared" si="3807"/>
        <v>0</v>
      </c>
      <c r="BW220" s="720">
        <f t="shared" si="3807"/>
        <v>0</v>
      </c>
      <c r="BX220" s="720">
        <f t="shared" si="3807"/>
        <v>0</v>
      </c>
      <c r="BY220" s="720">
        <f t="shared" si="3807"/>
        <v>0</v>
      </c>
      <c r="BZ220" s="720">
        <f t="shared" si="3807"/>
        <v>0</v>
      </c>
      <c r="CA220" s="720">
        <f t="shared" si="3807"/>
        <v>0</v>
      </c>
      <c r="CB220" s="720">
        <f t="shared" si="3807"/>
        <v>0</v>
      </c>
      <c r="CC220" s="720">
        <f t="shared" si="3807"/>
        <v>0</v>
      </c>
      <c r="CD220" s="720">
        <f t="shared" si="3807"/>
        <v>0</v>
      </c>
      <c r="CE220" s="720">
        <f t="shared" ref="CE220:CJ222" si="3808">+DZ91</f>
        <v>0</v>
      </c>
      <c r="CF220" s="720">
        <f t="shared" si="3808"/>
        <v>0</v>
      </c>
      <c r="CG220" s="720">
        <f t="shared" si="3808"/>
        <v>0</v>
      </c>
      <c r="CH220" s="720">
        <f t="shared" si="3808"/>
        <v>0</v>
      </c>
      <c r="CI220" s="720">
        <f t="shared" si="3808"/>
        <v>0</v>
      </c>
      <c r="CJ220" s="720">
        <f t="shared" si="3808"/>
        <v>0</v>
      </c>
      <c r="CL220" s="720" t="s">
        <v>52</v>
      </c>
      <c r="CM220" s="720" t="s">
        <v>52</v>
      </c>
      <c r="CN220" s="720" t="s">
        <v>52</v>
      </c>
      <c r="CO220" s="720" t="s">
        <v>52</v>
      </c>
      <c r="CP220" s="720" t="s">
        <v>52</v>
      </c>
      <c r="CQ220" s="720" t="s">
        <v>52</v>
      </c>
      <c r="CR220" s="720" t="s">
        <v>52</v>
      </c>
      <c r="CS220" s="720" t="s">
        <v>52</v>
      </c>
      <c r="CT220" s="720"/>
      <c r="CV220" s="712"/>
      <c r="CW220" s="712"/>
      <c r="CX220" s="712"/>
      <c r="CY220" s="712"/>
      <c r="CZ220" s="712"/>
      <c r="DA220" s="712"/>
      <c r="DB220" s="712"/>
      <c r="DC220" s="712"/>
      <c r="DD220" s="712"/>
      <c r="DE220" s="712"/>
      <c r="DF220" s="712"/>
      <c r="DG220" s="712"/>
      <c r="DH220" s="712"/>
      <c r="DI220" s="712"/>
      <c r="DJ220" s="712"/>
      <c r="DK220" s="712"/>
      <c r="DL220" s="712"/>
      <c r="DM220" s="712"/>
      <c r="DN220" s="712"/>
      <c r="DO220" s="712"/>
      <c r="DP220" s="712"/>
      <c r="DQ220" s="712"/>
      <c r="DR220" s="712"/>
      <c r="DS220" s="712"/>
      <c r="DT220" s="712"/>
      <c r="DU220" s="712"/>
      <c r="DV220" s="712"/>
      <c r="DW220" s="712"/>
      <c r="DX220" s="712"/>
      <c r="DY220" s="712"/>
      <c r="DZ220" s="712"/>
      <c r="EA220" s="712"/>
      <c r="EB220" s="712"/>
      <c r="EC220" s="712"/>
      <c r="ED220" s="712"/>
      <c r="EE220" s="712"/>
      <c r="EF220" s="712"/>
      <c r="EG220" s="712"/>
      <c r="EH220" s="712"/>
      <c r="EI220" s="712"/>
      <c r="EJ220" s="712"/>
      <c r="EK220" s="712"/>
      <c r="EL220" s="712"/>
      <c r="EM220" s="712"/>
      <c r="EN220" s="712"/>
      <c r="EP220" s="947"/>
    </row>
    <row r="221" spans="7:146" ht="13.2">
      <c r="G221" s="719">
        <v>29</v>
      </c>
      <c r="H221" s="902" t="s">
        <v>631</v>
      </c>
      <c r="BA221" s="720">
        <f t="shared" si="3805"/>
        <v>0</v>
      </c>
      <c r="BB221" s="720">
        <f t="shared" si="3805"/>
        <v>0</v>
      </c>
      <c r="BC221" s="720">
        <f t="shared" si="3805"/>
        <v>0</v>
      </c>
      <c r="BD221" s="720">
        <f t="shared" si="3805"/>
        <v>0</v>
      </c>
      <c r="BE221" s="720">
        <f t="shared" si="3805"/>
        <v>0</v>
      </c>
      <c r="BF221" s="720">
        <f t="shared" si="3805"/>
        <v>0</v>
      </c>
      <c r="BG221" s="720">
        <f t="shared" si="3805"/>
        <v>0</v>
      </c>
      <c r="BH221" s="720">
        <f t="shared" si="3805"/>
        <v>0</v>
      </c>
      <c r="BI221" s="720">
        <f t="shared" si="3805"/>
        <v>0</v>
      </c>
      <c r="BJ221" s="720">
        <f t="shared" si="3805"/>
        <v>0</v>
      </c>
      <c r="BK221" s="720">
        <f t="shared" si="3806"/>
        <v>0</v>
      </c>
      <c r="BL221" s="720">
        <f t="shared" si="3806"/>
        <v>0</v>
      </c>
      <c r="BM221" s="720">
        <f t="shared" si="3806"/>
        <v>0</v>
      </c>
      <c r="BN221" s="720">
        <f t="shared" si="3806"/>
        <v>0</v>
      </c>
      <c r="BO221" s="720">
        <f t="shared" si="3806"/>
        <v>0</v>
      </c>
      <c r="BP221" s="720">
        <f t="shared" si="3806"/>
        <v>0</v>
      </c>
      <c r="BQ221" s="720">
        <f t="shared" si="3806"/>
        <v>0</v>
      </c>
      <c r="BR221" s="720">
        <f t="shared" si="3806"/>
        <v>0</v>
      </c>
      <c r="BS221" s="720">
        <f t="shared" si="3806"/>
        <v>0</v>
      </c>
      <c r="BT221" s="720">
        <f t="shared" si="3806"/>
        <v>0</v>
      </c>
      <c r="BU221" s="720">
        <f t="shared" si="3807"/>
        <v>0</v>
      </c>
      <c r="BV221" s="720">
        <f t="shared" si="3807"/>
        <v>0</v>
      </c>
      <c r="BW221" s="720">
        <f t="shared" si="3807"/>
        <v>0</v>
      </c>
      <c r="BX221" s="720">
        <f t="shared" si="3807"/>
        <v>0</v>
      </c>
      <c r="BY221" s="720">
        <f t="shared" si="3807"/>
        <v>0</v>
      </c>
      <c r="BZ221" s="720">
        <f t="shared" si="3807"/>
        <v>0</v>
      </c>
      <c r="CA221" s="720">
        <f t="shared" si="3807"/>
        <v>0</v>
      </c>
      <c r="CB221" s="720">
        <f t="shared" si="3807"/>
        <v>0</v>
      </c>
      <c r="CC221" s="720">
        <f t="shared" si="3807"/>
        <v>0</v>
      </c>
      <c r="CD221" s="720">
        <f t="shared" si="3807"/>
        <v>0</v>
      </c>
      <c r="CE221" s="720">
        <f t="shared" si="3808"/>
        <v>0</v>
      </c>
      <c r="CF221" s="720">
        <f t="shared" si="3808"/>
        <v>0</v>
      </c>
      <c r="CG221" s="720">
        <f t="shared" si="3808"/>
        <v>0</v>
      </c>
      <c r="CH221" s="720">
        <f t="shared" si="3808"/>
        <v>0</v>
      </c>
      <c r="CI221" s="720">
        <f t="shared" si="3808"/>
        <v>0</v>
      </c>
      <c r="CJ221" s="720">
        <f t="shared" si="3808"/>
        <v>0</v>
      </c>
      <c r="CL221" s="720" t="s">
        <v>52</v>
      </c>
      <c r="CM221" s="720" t="s">
        <v>52</v>
      </c>
      <c r="CN221" s="720" t="s">
        <v>52</v>
      </c>
      <c r="CO221" s="720" t="s">
        <v>52</v>
      </c>
      <c r="CP221" s="720" t="s">
        <v>52</v>
      </c>
      <c r="CQ221" s="720" t="s">
        <v>52</v>
      </c>
      <c r="CR221" s="720" t="s">
        <v>52</v>
      </c>
      <c r="CS221" s="720" t="s">
        <v>52</v>
      </c>
      <c r="CT221" s="720"/>
    </row>
    <row r="222" spans="7:146" ht="13.2">
      <c r="G222" s="719">
        <v>30</v>
      </c>
      <c r="H222" s="902" t="s">
        <v>632</v>
      </c>
      <c r="BA222" s="720">
        <f t="shared" si="3805"/>
        <v>0</v>
      </c>
      <c r="BB222" s="720">
        <f t="shared" si="3805"/>
        <v>0</v>
      </c>
      <c r="BC222" s="720">
        <f t="shared" si="3805"/>
        <v>0</v>
      </c>
      <c r="BD222" s="720">
        <f t="shared" si="3805"/>
        <v>0</v>
      </c>
      <c r="BE222" s="720">
        <f t="shared" si="3805"/>
        <v>0</v>
      </c>
      <c r="BF222" s="720">
        <f t="shared" si="3805"/>
        <v>0</v>
      </c>
      <c r="BG222" s="720">
        <f t="shared" si="3805"/>
        <v>0</v>
      </c>
      <c r="BH222" s="720">
        <f t="shared" si="3805"/>
        <v>0</v>
      </c>
      <c r="BI222" s="720">
        <f t="shared" si="3805"/>
        <v>0</v>
      </c>
      <c r="BJ222" s="720">
        <f t="shared" si="3805"/>
        <v>0</v>
      </c>
      <c r="BK222" s="720">
        <f t="shared" si="3806"/>
        <v>0</v>
      </c>
      <c r="BL222" s="720">
        <f t="shared" si="3806"/>
        <v>0</v>
      </c>
      <c r="BM222" s="720">
        <f t="shared" si="3806"/>
        <v>0</v>
      </c>
      <c r="BN222" s="720">
        <f t="shared" si="3806"/>
        <v>0</v>
      </c>
      <c r="BO222" s="720">
        <f t="shared" si="3806"/>
        <v>0</v>
      </c>
      <c r="BP222" s="720">
        <f t="shared" si="3806"/>
        <v>0</v>
      </c>
      <c r="BQ222" s="720">
        <f t="shared" si="3806"/>
        <v>0</v>
      </c>
      <c r="BR222" s="720">
        <f t="shared" si="3806"/>
        <v>0</v>
      </c>
      <c r="BS222" s="720">
        <f t="shared" si="3806"/>
        <v>0</v>
      </c>
      <c r="BT222" s="720">
        <f t="shared" si="3806"/>
        <v>0</v>
      </c>
      <c r="BU222" s="720">
        <f t="shared" si="3807"/>
        <v>0</v>
      </c>
      <c r="BV222" s="720">
        <f t="shared" si="3807"/>
        <v>0</v>
      </c>
      <c r="BW222" s="720">
        <f t="shared" si="3807"/>
        <v>0</v>
      </c>
      <c r="BX222" s="720">
        <f t="shared" si="3807"/>
        <v>0</v>
      </c>
      <c r="BY222" s="720">
        <f t="shared" si="3807"/>
        <v>0</v>
      </c>
      <c r="BZ222" s="720">
        <f t="shared" si="3807"/>
        <v>0</v>
      </c>
      <c r="CA222" s="720">
        <f t="shared" si="3807"/>
        <v>0</v>
      </c>
      <c r="CB222" s="720">
        <f t="shared" si="3807"/>
        <v>0</v>
      </c>
      <c r="CC222" s="720">
        <f t="shared" si="3807"/>
        <v>0</v>
      </c>
      <c r="CD222" s="720">
        <f t="shared" si="3807"/>
        <v>0</v>
      </c>
      <c r="CE222" s="720">
        <f t="shared" si="3808"/>
        <v>0</v>
      </c>
      <c r="CF222" s="720">
        <f t="shared" si="3808"/>
        <v>0</v>
      </c>
      <c r="CG222" s="720">
        <f t="shared" si="3808"/>
        <v>0</v>
      </c>
      <c r="CH222" s="720">
        <f t="shared" si="3808"/>
        <v>0</v>
      </c>
      <c r="CI222" s="720">
        <f t="shared" si="3808"/>
        <v>0</v>
      </c>
      <c r="CJ222" s="720">
        <f t="shared" si="3808"/>
        <v>0</v>
      </c>
      <c r="CL222" s="720" t="s">
        <v>52</v>
      </c>
      <c r="CM222" s="720" t="s">
        <v>52</v>
      </c>
      <c r="CN222" s="720" t="s">
        <v>52</v>
      </c>
      <c r="CO222" s="720" t="s">
        <v>52</v>
      </c>
      <c r="CP222" s="720" t="s">
        <v>52</v>
      </c>
      <c r="CQ222" s="720" t="s">
        <v>52</v>
      </c>
      <c r="CR222" s="720" t="s">
        <v>52</v>
      </c>
      <c r="CS222" s="720" t="s">
        <v>52</v>
      </c>
      <c r="CT222" s="720"/>
    </row>
    <row r="223" spans="7:146" ht="13.2">
      <c r="G223" s="719">
        <v>31</v>
      </c>
      <c r="H223" s="902" t="s">
        <v>633</v>
      </c>
      <c r="CK223" s="720" t="s">
        <v>52</v>
      </c>
      <c r="CL223" s="720" t="s">
        <v>52</v>
      </c>
      <c r="CM223" s="720" t="s">
        <v>52</v>
      </c>
      <c r="CN223" s="720" t="s">
        <v>52</v>
      </c>
      <c r="CO223" s="720" t="s">
        <v>52</v>
      </c>
      <c r="CP223" s="720" t="s">
        <v>52</v>
      </c>
      <c r="CQ223" s="720" t="s">
        <v>52</v>
      </c>
      <c r="CR223" s="720" t="s">
        <v>52</v>
      </c>
      <c r="CS223" s="720" t="s">
        <v>52</v>
      </c>
      <c r="CT223" s="720"/>
    </row>
    <row r="224" spans="7:146" ht="13.2">
      <c r="G224" s="719">
        <v>32</v>
      </c>
      <c r="H224" s="902"/>
      <c r="CT224" s="720"/>
    </row>
    <row r="225" spans="7:266" ht="13.2">
      <c r="G225" s="719">
        <v>33</v>
      </c>
      <c r="H225" s="714" t="s">
        <v>634</v>
      </c>
      <c r="CT225" s="720"/>
    </row>
    <row r="226" spans="7:266" ht="13.2">
      <c r="G226" s="719">
        <v>34</v>
      </c>
      <c r="H226" s="902" t="s">
        <v>635</v>
      </c>
      <c r="BA226" s="720">
        <f t="shared" ref="BA226:BJ229" si="3809">+CV97</f>
        <v>0</v>
      </c>
      <c r="BB226" s="720">
        <f t="shared" si="3809"/>
        <v>0</v>
      </c>
      <c r="BC226" s="720">
        <f t="shared" si="3809"/>
        <v>0</v>
      </c>
      <c r="BD226" s="720">
        <f t="shared" si="3809"/>
        <v>0</v>
      </c>
      <c r="BE226" s="720">
        <f t="shared" si="3809"/>
        <v>0</v>
      </c>
      <c r="BF226" s="720">
        <f t="shared" si="3809"/>
        <v>0</v>
      </c>
      <c r="BG226" s="720">
        <f t="shared" si="3809"/>
        <v>0</v>
      </c>
      <c r="BH226" s="720">
        <f t="shared" si="3809"/>
        <v>0</v>
      </c>
      <c r="BI226" s="720">
        <f t="shared" si="3809"/>
        <v>0</v>
      </c>
      <c r="BJ226" s="720">
        <f t="shared" si="3809"/>
        <v>0</v>
      </c>
      <c r="BK226" s="720">
        <f t="shared" ref="BK226:BT229" si="3810">+DF97</f>
        <v>0</v>
      </c>
      <c r="BL226" s="720">
        <f t="shared" si="3810"/>
        <v>0</v>
      </c>
      <c r="BM226" s="720">
        <f t="shared" si="3810"/>
        <v>0</v>
      </c>
      <c r="BN226" s="720">
        <f t="shared" si="3810"/>
        <v>0</v>
      </c>
      <c r="BO226" s="720">
        <f t="shared" si="3810"/>
        <v>0</v>
      </c>
      <c r="BP226" s="720">
        <f t="shared" si="3810"/>
        <v>0</v>
      </c>
      <c r="BQ226" s="720">
        <f t="shared" si="3810"/>
        <v>0</v>
      </c>
      <c r="BR226" s="720">
        <f t="shared" si="3810"/>
        <v>0</v>
      </c>
      <c r="BS226" s="720">
        <f t="shared" si="3810"/>
        <v>0</v>
      </c>
      <c r="BT226" s="720">
        <f t="shared" si="3810"/>
        <v>0</v>
      </c>
      <c r="BU226" s="720">
        <f t="shared" ref="BU226:CD229" si="3811">+DP97</f>
        <v>0</v>
      </c>
      <c r="BV226" s="720">
        <f t="shared" si="3811"/>
        <v>0</v>
      </c>
      <c r="BW226" s="720">
        <f t="shared" si="3811"/>
        <v>0</v>
      </c>
      <c r="BX226" s="720">
        <f t="shared" si="3811"/>
        <v>0</v>
      </c>
      <c r="BY226" s="720">
        <f t="shared" si="3811"/>
        <v>0</v>
      </c>
      <c r="BZ226" s="720">
        <f t="shared" si="3811"/>
        <v>0</v>
      </c>
      <c r="CA226" s="720">
        <f t="shared" si="3811"/>
        <v>0</v>
      </c>
      <c r="CB226" s="720">
        <f t="shared" si="3811"/>
        <v>0</v>
      </c>
      <c r="CC226" s="720">
        <f t="shared" si="3811"/>
        <v>0</v>
      </c>
      <c r="CD226" s="720">
        <f t="shared" si="3811"/>
        <v>0</v>
      </c>
      <c r="CE226" s="720">
        <f t="shared" ref="CE226:CJ229" si="3812">+DZ97</f>
        <v>0</v>
      </c>
      <c r="CF226" s="720">
        <f t="shared" si="3812"/>
        <v>0</v>
      </c>
      <c r="CG226" s="720">
        <f t="shared" si="3812"/>
        <v>0</v>
      </c>
      <c r="CH226" s="720">
        <f t="shared" si="3812"/>
        <v>0</v>
      </c>
      <c r="CI226" s="720">
        <f t="shared" si="3812"/>
        <v>0</v>
      </c>
      <c r="CJ226" s="720">
        <f t="shared" si="3812"/>
        <v>0</v>
      </c>
      <c r="CT226" s="720"/>
      <c r="CU226" s="720"/>
    </row>
    <row r="227" spans="7:266" ht="13.2">
      <c r="G227" s="719">
        <v>35</v>
      </c>
      <c r="H227" s="902" t="s">
        <v>636</v>
      </c>
      <c r="BA227" s="720">
        <f t="shared" si="3809"/>
        <v>0</v>
      </c>
      <c r="BB227" s="720">
        <f t="shared" si="3809"/>
        <v>0</v>
      </c>
      <c r="BC227" s="720">
        <f t="shared" si="3809"/>
        <v>0</v>
      </c>
      <c r="BD227" s="720">
        <f t="shared" si="3809"/>
        <v>0</v>
      </c>
      <c r="BE227" s="720">
        <f t="shared" si="3809"/>
        <v>0</v>
      </c>
      <c r="BF227" s="720">
        <f t="shared" si="3809"/>
        <v>0</v>
      </c>
      <c r="BG227" s="720">
        <f t="shared" si="3809"/>
        <v>0</v>
      </c>
      <c r="BH227" s="720">
        <f t="shared" si="3809"/>
        <v>0</v>
      </c>
      <c r="BI227" s="720">
        <f t="shared" si="3809"/>
        <v>0</v>
      </c>
      <c r="BJ227" s="720">
        <f t="shared" si="3809"/>
        <v>0</v>
      </c>
      <c r="BK227" s="720">
        <f t="shared" si="3810"/>
        <v>0</v>
      </c>
      <c r="BL227" s="720">
        <f t="shared" si="3810"/>
        <v>0</v>
      </c>
      <c r="BM227" s="720">
        <f t="shared" si="3810"/>
        <v>0</v>
      </c>
      <c r="BN227" s="720">
        <f t="shared" si="3810"/>
        <v>0</v>
      </c>
      <c r="BO227" s="720">
        <f t="shared" si="3810"/>
        <v>0</v>
      </c>
      <c r="BP227" s="720">
        <f t="shared" si="3810"/>
        <v>0</v>
      </c>
      <c r="BQ227" s="720">
        <f t="shared" si="3810"/>
        <v>0</v>
      </c>
      <c r="BR227" s="720">
        <f t="shared" si="3810"/>
        <v>0</v>
      </c>
      <c r="BS227" s="720">
        <f t="shared" si="3810"/>
        <v>0</v>
      </c>
      <c r="BT227" s="720">
        <f t="shared" si="3810"/>
        <v>0</v>
      </c>
      <c r="BU227" s="720">
        <f t="shared" si="3811"/>
        <v>0</v>
      </c>
      <c r="BV227" s="720">
        <f t="shared" si="3811"/>
        <v>0</v>
      </c>
      <c r="BW227" s="720">
        <f t="shared" si="3811"/>
        <v>0</v>
      </c>
      <c r="BX227" s="720">
        <f t="shared" si="3811"/>
        <v>0</v>
      </c>
      <c r="BY227" s="720">
        <f t="shared" si="3811"/>
        <v>0</v>
      </c>
      <c r="BZ227" s="720">
        <f t="shared" si="3811"/>
        <v>0</v>
      </c>
      <c r="CA227" s="720">
        <f t="shared" si="3811"/>
        <v>0</v>
      </c>
      <c r="CB227" s="720">
        <f t="shared" si="3811"/>
        <v>0</v>
      </c>
      <c r="CC227" s="720">
        <f t="shared" si="3811"/>
        <v>0</v>
      </c>
      <c r="CD227" s="720">
        <f t="shared" si="3811"/>
        <v>0</v>
      </c>
      <c r="CE227" s="720">
        <f t="shared" si="3812"/>
        <v>0</v>
      </c>
      <c r="CF227" s="720">
        <f t="shared" si="3812"/>
        <v>0</v>
      </c>
      <c r="CG227" s="720">
        <f t="shared" si="3812"/>
        <v>0</v>
      </c>
      <c r="CH227" s="720">
        <f t="shared" si="3812"/>
        <v>0</v>
      </c>
      <c r="CI227" s="720">
        <f t="shared" si="3812"/>
        <v>0</v>
      </c>
      <c r="CJ227" s="720">
        <f t="shared" si="3812"/>
        <v>0</v>
      </c>
      <c r="CT227" s="720"/>
    </row>
    <row r="228" spans="7:266" ht="13.2">
      <c r="G228" s="719">
        <v>36</v>
      </c>
      <c r="H228" s="902" t="s">
        <v>159</v>
      </c>
      <c r="BA228" s="720">
        <f t="shared" si="3809"/>
        <v>0</v>
      </c>
      <c r="BB228" s="720">
        <f t="shared" si="3809"/>
        <v>0</v>
      </c>
      <c r="BC228" s="720">
        <f t="shared" si="3809"/>
        <v>0</v>
      </c>
      <c r="BD228" s="720">
        <f t="shared" si="3809"/>
        <v>0</v>
      </c>
      <c r="BE228" s="720">
        <f t="shared" si="3809"/>
        <v>0</v>
      </c>
      <c r="BF228" s="720">
        <f t="shared" si="3809"/>
        <v>0</v>
      </c>
      <c r="BG228" s="720">
        <f t="shared" si="3809"/>
        <v>0</v>
      </c>
      <c r="BH228" s="720">
        <f t="shared" si="3809"/>
        <v>0</v>
      </c>
      <c r="BI228" s="720">
        <f t="shared" si="3809"/>
        <v>0</v>
      </c>
      <c r="BJ228" s="720">
        <f t="shared" si="3809"/>
        <v>0</v>
      </c>
      <c r="BK228" s="720">
        <f t="shared" si="3810"/>
        <v>0</v>
      </c>
      <c r="BL228" s="720">
        <f t="shared" si="3810"/>
        <v>0</v>
      </c>
      <c r="BM228" s="720">
        <f t="shared" si="3810"/>
        <v>0</v>
      </c>
      <c r="BN228" s="720">
        <f t="shared" si="3810"/>
        <v>0</v>
      </c>
      <c r="BO228" s="720">
        <f t="shared" si="3810"/>
        <v>0</v>
      </c>
      <c r="BP228" s="720">
        <f t="shared" si="3810"/>
        <v>0</v>
      </c>
      <c r="BQ228" s="720">
        <f t="shared" si="3810"/>
        <v>0</v>
      </c>
      <c r="BR228" s="720">
        <f t="shared" si="3810"/>
        <v>0</v>
      </c>
      <c r="BS228" s="720">
        <f t="shared" si="3810"/>
        <v>0</v>
      </c>
      <c r="BT228" s="720">
        <f t="shared" si="3810"/>
        <v>0</v>
      </c>
      <c r="BU228" s="720">
        <f t="shared" si="3811"/>
        <v>0</v>
      </c>
      <c r="BV228" s="720">
        <f t="shared" si="3811"/>
        <v>0</v>
      </c>
      <c r="BW228" s="720">
        <f t="shared" si="3811"/>
        <v>0</v>
      </c>
      <c r="BX228" s="720">
        <f t="shared" si="3811"/>
        <v>0</v>
      </c>
      <c r="BY228" s="720">
        <f t="shared" si="3811"/>
        <v>0</v>
      </c>
      <c r="BZ228" s="720">
        <f t="shared" si="3811"/>
        <v>0</v>
      </c>
      <c r="CA228" s="720">
        <f t="shared" si="3811"/>
        <v>0</v>
      </c>
      <c r="CB228" s="720">
        <f t="shared" si="3811"/>
        <v>0</v>
      </c>
      <c r="CC228" s="720">
        <f t="shared" si="3811"/>
        <v>0</v>
      </c>
      <c r="CD228" s="720">
        <f t="shared" si="3811"/>
        <v>0</v>
      </c>
      <c r="CE228" s="720">
        <f t="shared" si="3812"/>
        <v>0</v>
      </c>
      <c r="CF228" s="720">
        <f t="shared" si="3812"/>
        <v>0</v>
      </c>
      <c r="CG228" s="720">
        <f t="shared" si="3812"/>
        <v>0</v>
      </c>
      <c r="CH228" s="720">
        <f t="shared" si="3812"/>
        <v>0</v>
      </c>
      <c r="CI228" s="720">
        <f t="shared" si="3812"/>
        <v>0</v>
      </c>
      <c r="CJ228" s="720">
        <f t="shared" si="3812"/>
        <v>0</v>
      </c>
      <c r="CT228" s="720"/>
    </row>
    <row r="229" spans="7:266" ht="13.2">
      <c r="G229" s="719">
        <v>37</v>
      </c>
      <c r="H229" s="902" t="s">
        <v>623</v>
      </c>
      <c r="BA229" s="720">
        <f t="shared" si="3809"/>
        <v>0</v>
      </c>
      <c r="BB229" s="720">
        <f t="shared" si="3809"/>
        <v>0</v>
      </c>
      <c r="BC229" s="720">
        <f t="shared" si="3809"/>
        <v>0</v>
      </c>
      <c r="BD229" s="720">
        <f t="shared" si="3809"/>
        <v>0</v>
      </c>
      <c r="BE229" s="720">
        <f t="shared" si="3809"/>
        <v>0</v>
      </c>
      <c r="BF229" s="720">
        <f t="shared" si="3809"/>
        <v>0</v>
      </c>
      <c r="BG229" s="720">
        <f t="shared" si="3809"/>
        <v>0</v>
      </c>
      <c r="BH229" s="720">
        <f t="shared" si="3809"/>
        <v>0</v>
      </c>
      <c r="BI229" s="720">
        <f t="shared" si="3809"/>
        <v>0</v>
      </c>
      <c r="BJ229" s="720">
        <f t="shared" si="3809"/>
        <v>0</v>
      </c>
      <c r="BK229" s="720">
        <f t="shared" si="3810"/>
        <v>0</v>
      </c>
      <c r="BL229" s="720">
        <f t="shared" si="3810"/>
        <v>0</v>
      </c>
      <c r="BM229" s="720">
        <f t="shared" si="3810"/>
        <v>0</v>
      </c>
      <c r="BN229" s="720">
        <f t="shared" si="3810"/>
        <v>0</v>
      </c>
      <c r="BO229" s="720">
        <f t="shared" si="3810"/>
        <v>0</v>
      </c>
      <c r="BP229" s="720">
        <f t="shared" si="3810"/>
        <v>0</v>
      </c>
      <c r="BQ229" s="720">
        <f t="shared" si="3810"/>
        <v>0</v>
      </c>
      <c r="BR229" s="720">
        <f t="shared" si="3810"/>
        <v>0</v>
      </c>
      <c r="BS229" s="720">
        <f t="shared" si="3810"/>
        <v>0</v>
      </c>
      <c r="BT229" s="720">
        <f t="shared" si="3810"/>
        <v>0</v>
      </c>
      <c r="BU229" s="720">
        <f t="shared" si="3811"/>
        <v>0</v>
      </c>
      <c r="BV229" s="720">
        <f t="shared" si="3811"/>
        <v>0</v>
      </c>
      <c r="BW229" s="720">
        <f t="shared" si="3811"/>
        <v>0</v>
      </c>
      <c r="BX229" s="720">
        <f t="shared" si="3811"/>
        <v>0</v>
      </c>
      <c r="BY229" s="720">
        <f t="shared" si="3811"/>
        <v>0</v>
      </c>
      <c r="BZ229" s="720">
        <f t="shared" si="3811"/>
        <v>0</v>
      </c>
      <c r="CA229" s="720">
        <f t="shared" si="3811"/>
        <v>0</v>
      </c>
      <c r="CB229" s="720">
        <f t="shared" si="3811"/>
        <v>0</v>
      </c>
      <c r="CC229" s="720">
        <f t="shared" si="3811"/>
        <v>0</v>
      </c>
      <c r="CD229" s="720">
        <f t="shared" si="3811"/>
        <v>0</v>
      </c>
      <c r="CE229" s="720">
        <f t="shared" si="3812"/>
        <v>0</v>
      </c>
      <c r="CF229" s="720">
        <f t="shared" si="3812"/>
        <v>0</v>
      </c>
      <c r="CG229" s="720">
        <f t="shared" si="3812"/>
        <v>0</v>
      </c>
      <c r="CH229" s="720">
        <f t="shared" si="3812"/>
        <v>0</v>
      </c>
      <c r="CI229" s="720">
        <f t="shared" si="3812"/>
        <v>0</v>
      </c>
      <c r="CJ229" s="720">
        <f t="shared" si="3812"/>
        <v>0</v>
      </c>
      <c r="CT229" s="720"/>
    </row>
    <row r="230" spans="7:266" ht="13.2">
      <c r="G230" s="719">
        <v>38</v>
      </c>
      <c r="H230" s="714" t="s">
        <v>665</v>
      </c>
      <c r="CT230" s="720"/>
    </row>
    <row r="231" spans="7:266" ht="13.2">
      <c r="G231" s="719">
        <v>39</v>
      </c>
      <c r="H231" s="902" t="s">
        <v>628</v>
      </c>
      <c r="BA231" s="720">
        <f t="shared" ref="BA231:BJ232" si="3813">+CV102</f>
        <v>0</v>
      </c>
      <c r="BB231" s="720">
        <f t="shared" si="3813"/>
        <v>0</v>
      </c>
      <c r="BC231" s="720">
        <f t="shared" si="3813"/>
        <v>0</v>
      </c>
      <c r="BD231" s="720">
        <f t="shared" si="3813"/>
        <v>0</v>
      </c>
      <c r="BE231" s="720">
        <f t="shared" si="3813"/>
        <v>0</v>
      </c>
      <c r="BF231" s="720">
        <f t="shared" si="3813"/>
        <v>0</v>
      </c>
      <c r="BG231" s="720">
        <f t="shared" si="3813"/>
        <v>0</v>
      </c>
      <c r="BH231" s="720">
        <f t="shared" si="3813"/>
        <v>0</v>
      </c>
      <c r="BI231" s="720">
        <f t="shared" si="3813"/>
        <v>0</v>
      </c>
      <c r="BJ231" s="720">
        <f t="shared" si="3813"/>
        <v>0</v>
      </c>
      <c r="BK231" s="720">
        <f t="shared" ref="BK231:BT232" si="3814">+DF102</f>
        <v>0</v>
      </c>
      <c r="BL231" s="720">
        <f t="shared" si="3814"/>
        <v>0</v>
      </c>
      <c r="BM231" s="720">
        <f t="shared" si="3814"/>
        <v>0</v>
      </c>
      <c r="BN231" s="720">
        <f t="shared" si="3814"/>
        <v>0</v>
      </c>
      <c r="BO231" s="720">
        <f t="shared" si="3814"/>
        <v>0</v>
      </c>
      <c r="BP231" s="720">
        <f t="shared" si="3814"/>
        <v>0</v>
      </c>
      <c r="BQ231" s="720">
        <f t="shared" si="3814"/>
        <v>0</v>
      </c>
      <c r="BR231" s="720">
        <f t="shared" si="3814"/>
        <v>0</v>
      </c>
      <c r="BS231" s="720">
        <f t="shared" si="3814"/>
        <v>0</v>
      </c>
      <c r="BT231" s="720">
        <f t="shared" si="3814"/>
        <v>0</v>
      </c>
      <c r="BU231" s="720">
        <f t="shared" ref="BU231:CD232" si="3815">+DP102</f>
        <v>0</v>
      </c>
      <c r="BV231" s="720">
        <f t="shared" si="3815"/>
        <v>0</v>
      </c>
      <c r="BW231" s="720">
        <f t="shared" si="3815"/>
        <v>0</v>
      </c>
      <c r="BX231" s="720">
        <f t="shared" si="3815"/>
        <v>0</v>
      </c>
      <c r="BY231" s="720">
        <f t="shared" si="3815"/>
        <v>0</v>
      </c>
      <c r="BZ231" s="720">
        <f t="shared" si="3815"/>
        <v>0</v>
      </c>
      <c r="CA231" s="720">
        <f t="shared" si="3815"/>
        <v>0</v>
      </c>
      <c r="CB231" s="720">
        <f t="shared" si="3815"/>
        <v>0</v>
      </c>
      <c r="CC231" s="720">
        <f t="shared" si="3815"/>
        <v>0</v>
      </c>
      <c r="CD231" s="720">
        <f t="shared" si="3815"/>
        <v>0</v>
      </c>
      <c r="CE231" s="720">
        <f t="shared" ref="CE231:CJ232" si="3816">+DZ102</f>
        <v>0</v>
      </c>
      <c r="CF231" s="720">
        <f t="shared" si="3816"/>
        <v>0</v>
      </c>
      <c r="CG231" s="720">
        <f t="shared" si="3816"/>
        <v>0</v>
      </c>
      <c r="CH231" s="720">
        <f t="shared" si="3816"/>
        <v>0</v>
      </c>
      <c r="CI231" s="720">
        <f t="shared" si="3816"/>
        <v>0</v>
      </c>
      <c r="CJ231" s="720">
        <f t="shared" si="3816"/>
        <v>0</v>
      </c>
      <c r="CT231" s="720"/>
    </row>
    <row r="232" spans="7:266" ht="13.2">
      <c r="G232" s="719">
        <v>40</v>
      </c>
      <c r="H232" s="902" t="s">
        <v>666</v>
      </c>
      <c r="BA232" s="720">
        <f t="shared" si="3813"/>
        <v>0</v>
      </c>
      <c r="BB232" s="720">
        <f t="shared" si="3813"/>
        <v>0</v>
      </c>
      <c r="BC232" s="720">
        <f t="shared" si="3813"/>
        <v>0</v>
      </c>
      <c r="BD232" s="720">
        <f t="shared" si="3813"/>
        <v>0</v>
      </c>
      <c r="BE232" s="720">
        <f t="shared" si="3813"/>
        <v>0</v>
      </c>
      <c r="BF232" s="720">
        <f t="shared" si="3813"/>
        <v>0</v>
      </c>
      <c r="BG232" s="720">
        <f t="shared" si="3813"/>
        <v>0</v>
      </c>
      <c r="BH232" s="720">
        <f t="shared" si="3813"/>
        <v>0</v>
      </c>
      <c r="BI232" s="720">
        <f t="shared" si="3813"/>
        <v>0</v>
      </c>
      <c r="BJ232" s="720">
        <f t="shared" si="3813"/>
        <v>0</v>
      </c>
      <c r="BK232" s="720">
        <f t="shared" si="3814"/>
        <v>0</v>
      </c>
      <c r="BL232" s="720">
        <f t="shared" si="3814"/>
        <v>0</v>
      </c>
      <c r="BM232" s="720">
        <f t="shared" si="3814"/>
        <v>0</v>
      </c>
      <c r="BN232" s="720">
        <f t="shared" si="3814"/>
        <v>0</v>
      </c>
      <c r="BO232" s="720">
        <f t="shared" si="3814"/>
        <v>0</v>
      </c>
      <c r="BP232" s="720">
        <f t="shared" si="3814"/>
        <v>0</v>
      </c>
      <c r="BQ232" s="720">
        <f t="shared" si="3814"/>
        <v>0</v>
      </c>
      <c r="BR232" s="720">
        <f t="shared" si="3814"/>
        <v>0</v>
      </c>
      <c r="BS232" s="720">
        <f t="shared" si="3814"/>
        <v>0</v>
      </c>
      <c r="BT232" s="720">
        <f t="shared" si="3814"/>
        <v>0</v>
      </c>
      <c r="BU232" s="720">
        <f t="shared" si="3815"/>
        <v>0</v>
      </c>
      <c r="BV232" s="720">
        <f t="shared" si="3815"/>
        <v>0</v>
      </c>
      <c r="BW232" s="720">
        <f t="shared" si="3815"/>
        <v>0</v>
      </c>
      <c r="BX232" s="720">
        <f t="shared" si="3815"/>
        <v>0</v>
      </c>
      <c r="BY232" s="720">
        <f t="shared" si="3815"/>
        <v>0</v>
      </c>
      <c r="BZ232" s="720">
        <f t="shared" si="3815"/>
        <v>0</v>
      </c>
      <c r="CA232" s="720">
        <f t="shared" si="3815"/>
        <v>0</v>
      </c>
      <c r="CB232" s="720">
        <f t="shared" si="3815"/>
        <v>0</v>
      </c>
      <c r="CC232" s="720">
        <f t="shared" si="3815"/>
        <v>0</v>
      </c>
      <c r="CD232" s="720">
        <f t="shared" si="3815"/>
        <v>0</v>
      </c>
      <c r="CE232" s="720">
        <f t="shared" si="3816"/>
        <v>0</v>
      </c>
      <c r="CF232" s="720">
        <f t="shared" si="3816"/>
        <v>0</v>
      </c>
      <c r="CG232" s="720">
        <f t="shared" si="3816"/>
        <v>0</v>
      </c>
      <c r="CH232" s="720">
        <f t="shared" si="3816"/>
        <v>0</v>
      </c>
      <c r="CI232" s="720">
        <f t="shared" si="3816"/>
        <v>0</v>
      </c>
      <c r="CJ232" s="720">
        <f t="shared" si="3816"/>
        <v>0</v>
      </c>
      <c r="CT232" s="720"/>
    </row>
    <row r="233" spans="7:266" ht="13.8" thickBot="1">
      <c r="H233" s="904" t="s">
        <v>171</v>
      </c>
      <c r="I233" s="903"/>
      <c r="J233" s="905"/>
      <c r="K233" s="905"/>
      <c r="L233" s="905"/>
      <c r="M233" s="905"/>
      <c r="N233" s="906"/>
      <c r="O233" s="906"/>
      <c r="P233" s="906"/>
      <c r="Q233" s="906"/>
      <c r="R233" s="906"/>
      <c r="S233" s="906"/>
      <c r="T233" s="905"/>
      <c r="U233" s="905"/>
      <c r="V233" s="905"/>
      <c r="W233" s="905"/>
      <c r="X233" s="905"/>
      <c r="Y233" s="905"/>
      <c r="Z233" s="905"/>
      <c r="AA233" s="905"/>
      <c r="AB233" s="905"/>
      <c r="AC233" s="905"/>
      <c r="AD233" s="905"/>
      <c r="AE233" s="905"/>
      <c r="AF233" s="905"/>
      <c r="AG233" s="905"/>
      <c r="AH233" s="905"/>
      <c r="AI233" s="905"/>
      <c r="AJ233" s="905"/>
      <c r="AK233" s="807"/>
      <c r="AL233" s="807"/>
      <c r="AM233" s="807"/>
      <c r="AN233" s="807"/>
      <c r="AO233" s="905"/>
      <c r="AP233" s="905"/>
      <c r="AQ233" s="905"/>
      <c r="AR233" s="905"/>
      <c r="AS233" s="905"/>
      <c r="AT233" s="905"/>
      <c r="AU233" s="905"/>
      <c r="AV233" s="905"/>
      <c r="AW233" s="905"/>
      <c r="AX233" s="905"/>
      <c r="AY233" s="905"/>
      <c r="AZ233" s="903"/>
      <c r="BA233" s="907">
        <f>SUM(BA193:BA232)</f>
        <v>0</v>
      </c>
      <c r="BB233" s="907">
        <f>SUM(BB193:BB232)</f>
        <v>0</v>
      </c>
      <c r="BC233" s="907">
        <f t="shared" ref="BC233:CS233" si="3817">SUM(BC193:BC232)</f>
        <v>0</v>
      </c>
      <c r="BD233" s="907">
        <f t="shared" si="3817"/>
        <v>0</v>
      </c>
      <c r="BE233" s="907">
        <f t="shared" si="3817"/>
        <v>0</v>
      </c>
      <c r="BF233" s="907">
        <f t="shared" si="3817"/>
        <v>0</v>
      </c>
      <c r="BG233" s="907">
        <f t="shared" si="3817"/>
        <v>0</v>
      </c>
      <c r="BH233" s="907">
        <f t="shared" si="3817"/>
        <v>0</v>
      </c>
      <c r="BI233" s="907">
        <f t="shared" si="3817"/>
        <v>0</v>
      </c>
      <c r="BJ233" s="907">
        <f>SUM(BJ193:BJ232)</f>
        <v>0</v>
      </c>
      <c r="BK233" s="907">
        <f t="shared" si="3817"/>
        <v>0</v>
      </c>
      <c r="BL233" s="907">
        <f t="shared" si="3817"/>
        <v>0</v>
      </c>
      <c r="BM233" s="907">
        <f t="shared" si="3817"/>
        <v>0</v>
      </c>
      <c r="BN233" s="907">
        <f t="shared" si="3817"/>
        <v>0</v>
      </c>
      <c r="BO233" s="907">
        <f t="shared" si="3817"/>
        <v>0</v>
      </c>
      <c r="BP233" s="907">
        <f t="shared" si="3817"/>
        <v>0</v>
      </c>
      <c r="BQ233" s="907">
        <f t="shared" si="3817"/>
        <v>0</v>
      </c>
      <c r="BR233" s="907">
        <f t="shared" si="3817"/>
        <v>0</v>
      </c>
      <c r="BS233" s="907">
        <f t="shared" si="3817"/>
        <v>0</v>
      </c>
      <c r="BT233" s="907">
        <f t="shared" si="3817"/>
        <v>0</v>
      </c>
      <c r="BU233" s="907">
        <f t="shared" si="3817"/>
        <v>0</v>
      </c>
      <c r="BV233" s="907">
        <f t="shared" si="3817"/>
        <v>0</v>
      </c>
      <c r="BW233" s="907">
        <f t="shared" si="3817"/>
        <v>0</v>
      </c>
      <c r="BX233" s="907">
        <f t="shared" si="3817"/>
        <v>0</v>
      </c>
      <c r="BY233" s="907">
        <f t="shared" si="3817"/>
        <v>0</v>
      </c>
      <c r="BZ233" s="907">
        <f t="shared" si="3817"/>
        <v>0</v>
      </c>
      <c r="CA233" s="907">
        <f t="shared" si="3817"/>
        <v>0</v>
      </c>
      <c r="CB233" s="907">
        <f t="shared" si="3817"/>
        <v>0</v>
      </c>
      <c r="CC233" s="907">
        <f t="shared" si="3817"/>
        <v>0</v>
      </c>
      <c r="CD233" s="907">
        <f t="shared" si="3817"/>
        <v>0</v>
      </c>
      <c r="CE233" s="907">
        <f t="shared" si="3817"/>
        <v>0</v>
      </c>
      <c r="CF233" s="907">
        <f t="shared" si="3817"/>
        <v>0</v>
      </c>
      <c r="CG233" s="907">
        <f t="shared" si="3817"/>
        <v>0</v>
      </c>
      <c r="CH233" s="907">
        <f t="shared" si="3817"/>
        <v>0</v>
      </c>
      <c r="CI233" s="907">
        <f t="shared" si="3817"/>
        <v>0</v>
      </c>
      <c r="CJ233" s="907">
        <f t="shared" si="3817"/>
        <v>0</v>
      </c>
      <c r="CK233" s="907">
        <f>SUM(CK193:CK232)</f>
        <v>276083.97499999998</v>
      </c>
      <c r="CL233" s="907">
        <f t="shared" si="3817"/>
        <v>84857.761666666658</v>
      </c>
      <c r="CM233" s="907">
        <f t="shared" si="3817"/>
        <v>245.5</v>
      </c>
      <c r="CN233" s="907">
        <f t="shared" si="3817"/>
        <v>6682.5644687499989</v>
      </c>
      <c r="CO233" s="907">
        <f t="shared" si="3817"/>
        <v>0</v>
      </c>
      <c r="CP233" s="907">
        <f t="shared" si="3817"/>
        <v>0</v>
      </c>
      <c r="CQ233" s="907">
        <f t="shared" si="3817"/>
        <v>0</v>
      </c>
      <c r="CR233" s="907">
        <f t="shared" si="3817"/>
        <v>35811.832183090621</v>
      </c>
      <c r="CS233" s="907">
        <f t="shared" si="3817"/>
        <v>403436.13331850729</v>
      </c>
      <c r="CT233" s="903"/>
      <c r="CU233" s="903"/>
      <c r="CV233" s="905"/>
      <c r="CW233" s="905"/>
      <c r="CX233" s="905"/>
      <c r="CY233" s="905"/>
      <c r="CZ233" s="905"/>
      <c r="DA233" s="905"/>
      <c r="DB233" s="905"/>
      <c r="DC233" s="905"/>
      <c r="DD233" s="905"/>
      <c r="DE233" s="905"/>
      <c r="DF233" s="905"/>
      <c r="DG233" s="905"/>
      <c r="DH233" s="905"/>
      <c r="DI233" s="905"/>
      <c r="DJ233" s="905"/>
      <c r="DK233" s="905"/>
      <c r="DL233" s="905"/>
      <c r="DM233" s="905"/>
      <c r="DN233" s="905"/>
      <c r="DO233" s="905"/>
      <c r="DP233" s="905"/>
      <c r="DQ233" s="905"/>
      <c r="DR233" s="905"/>
      <c r="DS233" s="905"/>
      <c r="DT233" s="905"/>
      <c r="DU233" s="905"/>
      <c r="DV233" s="905"/>
      <c r="DW233" s="905"/>
      <c r="DX233" s="905"/>
      <c r="DY233" s="905"/>
      <c r="DZ233" s="905"/>
      <c r="EA233" s="905"/>
      <c r="EB233" s="905"/>
      <c r="EC233" s="905"/>
      <c r="ED233" s="905"/>
      <c r="EE233" s="905"/>
      <c r="EF233" s="905"/>
      <c r="EG233" s="905"/>
      <c r="EH233" s="905"/>
      <c r="EI233" s="905"/>
      <c r="EJ233" s="905"/>
      <c r="EK233" s="905"/>
      <c r="EL233" s="905"/>
      <c r="EM233" s="905"/>
      <c r="EN233" s="905"/>
      <c r="EO233" s="903"/>
      <c r="EP233" s="949"/>
      <c r="EQ233" s="903"/>
      <c r="ER233" s="903"/>
      <c r="ES233" s="903"/>
      <c r="ET233" s="903"/>
      <c r="EU233" s="903"/>
      <c r="EV233" s="903"/>
      <c r="EW233" s="903"/>
      <c r="EX233" s="903"/>
      <c r="EY233" s="903"/>
      <c r="EZ233" s="903"/>
      <c r="FA233" s="903"/>
      <c r="FB233" s="903"/>
      <c r="FC233" s="903"/>
      <c r="FD233" s="903"/>
      <c r="FE233" s="903"/>
      <c r="FF233" s="903"/>
      <c r="FG233" s="903"/>
      <c r="FH233" s="903"/>
      <c r="FI233" s="903"/>
      <c r="FJ233" s="903"/>
      <c r="FK233" s="903"/>
      <c r="FL233" s="903"/>
      <c r="FM233" s="903"/>
      <c r="FN233" s="903"/>
      <c r="FO233" s="903"/>
      <c r="FP233" s="903"/>
      <c r="FQ233" s="903"/>
      <c r="FR233" s="903"/>
      <c r="FS233" s="903"/>
      <c r="FT233" s="903"/>
      <c r="FU233" s="903"/>
      <c r="FV233" s="903"/>
      <c r="FW233" s="903"/>
      <c r="FX233" s="903"/>
      <c r="FY233" s="903"/>
      <c r="FZ233" s="903"/>
      <c r="GA233" s="903"/>
      <c r="GB233" s="903"/>
      <c r="GC233" s="903"/>
      <c r="GD233" s="903"/>
      <c r="GE233" s="903"/>
      <c r="GF233" s="903"/>
      <c r="GG233" s="903"/>
      <c r="GH233" s="903"/>
      <c r="GI233" s="903"/>
      <c r="GJ233" s="903"/>
      <c r="GK233" s="903"/>
      <c r="GL233" s="903"/>
      <c r="GM233" s="903"/>
      <c r="GN233" s="903"/>
      <c r="GO233" s="903"/>
      <c r="GP233" s="903"/>
      <c r="GQ233" s="903"/>
      <c r="GR233" s="903"/>
      <c r="GS233" s="903"/>
      <c r="GT233" s="903"/>
      <c r="GU233" s="903"/>
      <c r="GV233" s="903"/>
      <c r="GW233" s="903"/>
      <c r="GX233" s="903"/>
      <c r="GY233" s="903"/>
      <c r="GZ233" s="903"/>
      <c r="HA233" s="903"/>
      <c r="HB233" s="903"/>
      <c r="HC233" s="903"/>
      <c r="HD233" s="903"/>
      <c r="HE233" s="903"/>
      <c r="HF233" s="903"/>
      <c r="HG233" s="903"/>
      <c r="HH233" s="903"/>
      <c r="HI233" s="903"/>
      <c r="HJ233" s="903"/>
      <c r="HK233" s="903"/>
      <c r="HL233" s="903"/>
      <c r="HM233" s="903"/>
      <c r="HN233" s="903"/>
      <c r="HO233" s="903"/>
      <c r="HP233" s="903"/>
      <c r="HQ233" s="903"/>
      <c r="HR233" s="903"/>
      <c r="HS233" s="903"/>
      <c r="HT233" s="903"/>
      <c r="HU233" s="903"/>
      <c r="HV233" s="903"/>
      <c r="HW233" s="903"/>
      <c r="HX233" s="903"/>
      <c r="HY233" s="903"/>
      <c r="HZ233" s="903"/>
      <c r="IA233" s="903"/>
      <c r="IB233" s="903"/>
      <c r="IC233" s="903"/>
      <c r="ID233" s="903"/>
      <c r="IE233" s="903"/>
      <c r="IF233" s="903"/>
      <c r="IG233" s="903"/>
      <c r="IH233" s="903"/>
      <c r="II233" s="903"/>
      <c r="IJ233" s="903"/>
      <c r="IK233" s="903"/>
      <c r="IL233" s="903"/>
      <c r="IM233" s="903"/>
      <c r="IN233" s="903"/>
      <c r="IO233" s="903"/>
      <c r="IP233" s="903"/>
      <c r="IQ233" s="903"/>
      <c r="IR233" s="903"/>
      <c r="IS233" s="903"/>
      <c r="IT233" s="903"/>
      <c r="IU233" s="903"/>
      <c r="IV233" s="903"/>
      <c r="IW233" s="903"/>
      <c r="IX233" s="903"/>
      <c r="IY233" s="903"/>
      <c r="IZ233" s="903"/>
      <c r="JA233" s="903"/>
      <c r="JB233" s="903"/>
      <c r="JC233" s="903"/>
      <c r="JD233" s="903"/>
      <c r="JE233" s="903"/>
      <c r="JF233" s="903"/>
    </row>
    <row r="234" spans="7:266" ht="10.8" thickTop="1">
      <c r="BA234" s="720">
        <f>+BA233</f>
        <v>0</v>
      </c>
      <c r="BB234" s="720">
        <f t="shared" ref="BB234:CS234" si="3818">+BB233</f>
        <v>0</v>
      </c>
      <c r="BC234" s="720">
        <f t="shared" si="3818"/>
        <v>0</v>
      </c>
      <c r="BD234" s="720">
        <f t="shared" si="3818"/>
        <v>0</v>
      </c>
      <c r="BE234" s="720">
        <f t="shared" si="3818"/>
        <v>0</v>
      </c>
      <c r="BF234" s="720">
        <f t="shared" si="3818"/>
        <v>0</v>
      </c>
      <c r="BG234" s="720">
        <f t="shared" si="3818"/>
        <v>0</v>
      </c>
      <c r="BH234" s="720">
        <f t="shared" si="3818"/>
        <v>0</v>
      </c>
      <c r="BI234" s="720">
        <f t="shared" si="3818"/>
        <v>0</v>
      </c>
      <c r="BJ234" s="720">
        <f t="shared" si="3818"/>
        <v>0</v>
      </c>
      <c r="BK234" s="720">
        <f t="shared" si="3818"/>
        <v>0</v>
      </c>
      <c r="BL234" s="720">
        <f t="shared" si="3818"/>
        <v>0</v>
      </c>
      <c r="BM234" s="720">
        <f t="shared" si="3818"/>
        <v>0</v>
      </c>
      <c r="BN234" s="720">
        <f t="shared" si="3818"/>
        <v>0</v>
      </c>
      <c r="BO234" s="720">
        <f t="shared" si="3818"/>
        <v>0</v>
      </c>
      <c r="BP234" s="720">
        <f t="shared" si="3818"/>
        <v>0</v>
      </c>
      <c r="BQ234" s="720">
        <f t="shared" si="3818"/>
        <v>0</v>
      </c>
      <c r="BR234" s="720">
        <f t="shared" si="3818"/>
        <v>0</v>
      </c>
      <c r="BS234" s="720">
        <f t="shared" si="3818"/>
        <v>0</v>
      </c>
      <c r="BT234" s="720">
        <f t="shared" si="3818"/>
        <v>0</v>
      </c>
      <c r="BU234" s="720">
        <f t="shared" si="3818"/>
        <v>0</v>
      </c>
      <c r="BV234" s="720">
        <f t="shared" si="3818"/>
        <v>0</v>
      </c>
      <c r="BW234" s="720">
        <f t="shared" si="3818"/>
        <v>0</v>
      </c>
      <c r="BX234" s="720">
        <f t="shared" si="3818"/>
        <v>0</v>
      </c>
      <c r="BY234" s="720">
        <f t="shared" si="3818"/>
        <v>0</v>
      </c>
      <c r="BZ234" s="720">
        <f t="shared" si="3818"/>
        <v>0</v>
      </c>
      <c r="CA234" s="720">
        <f t="shared" si="3818"/>
        <v>0</v>
      </c>
      <c r="CB234" s="720">
        <f t="shared" si="3818"/>
        <v>0</v>
      </c>
      <c r="CC234" s="720">
        <f t="shared" si="3818"/>
        <v>0</v>
      </c>
      <c r="CD234" s="720">
        <f t="shared" si="3818"/>
        <v>0</v>
      </c>
      <c r="CE234" s="720">
        <f t="shared" si="3818"/>
        <v>0</v>
      </c>
      <c r="CF234" s="720">
        <f t="shared" si="3818"/>
        <v>0</v>
      </c>
      <c r="CG234" s="720">
        <f t="shared" si="3818"/>
        <v>0</v>
      </c>
      <c r="CH234" s="720">
        <f t="shared" si="3818"/>
        <v>0</v>
      </c>
      <c r="CI234" s="720">
        <f t="shared" si="3818"/>
        <v>0</v>
      </c>
      <c r="CJ234" s="720">
        <f t="shared" si="3818"/>
        <v>0</v>
      </c>
      <c r="CK234" s="720">
        <f>+CK233</f>
        <v>276083.97499999998</v>
      </c>
      <c r="CL234" s="720">
        <f t="shared" si="3818"/>
        <v>84857.761666666658</v>
      </c>
      <c r="CM234" s="720">
        <f t="shared" si="3818"/>
        <v>245.5</v>
      </c>
      <c r="CN234" s="720">
        <f t="shared" si="3818"/>
        <v>6682.5644687499989</v>
      </c>
      <c r="CO234" s="720">
        <f t="shared" si="3818"/>
        <v>0</v>
      </c>
      <c r="CP234" s="720">
        <f t="shared" si="3818"/>
        <v>0</v>
      </c>
      <c r="CQ234" s="720">
        <f t="shared" si="3818"/>
        <v>0</v>
      </c>
      <c r="CR234" s="720">
        <f t="shared" si="3818"/>
        <v>35811.832183090621</v>
      </c>
      <c r="CS234" s="720">
        <f t="shared" si="3818"/>
        <v>403436.13331850729</v>
      </c>
      <c r="CV234" s="712"/>
      <c r="CW234" s="712"/>
      <c r="CX234" s="712"/>
      <c r="CY234" s="712"/>
      <c r="CZ234" s="712"/>
      <c r="DA234" s="712"/>
      <c r="DB234" s="712"/>
      <c r="DC234" s="712"/>
      <c r="DD234" s="712"/>
      <c r="DE234" s="712"/>
      <c r="DF234" s="712"/>
      <c r="DG234" s="712"/>
      <c r="DH234" s="712"/>
      <c r="DI234" s="712"/>
      <c r="DJ234" s="712"/>
      <c r="DK234" s="712"/>
      <c r="DL234" s="712"/>
      <c r="DM234" s="712"/>
      <c r="DN234" s="712"/>
      <c r="DO234" s="712"/>
      <c r="DP234" s="712"/>
      <c r="DQ234" s="712"/>
      <c r="DR234" s="712"/>
      <c r="DS234" s="712"/>
      <c r="DT234" s="712"/>
      <c r="DU234" s="712"/>
      <c r="DV234" s="712"/>
      <c r="DW234" s="712"/>
      <c r="DX234" s="712"/>
      <c r="DY234" s="712"/>
      <c r="DZ234" s="712"/>
      <c r="EA234" s="712"/>
      <c r="EB234" s="712"/>
      <c r="EC234" s="712"/>
      <c r="ED234" s="712"/>
      <c r="EE234" s="712"/>
      <c r="EF234" s="712"/>
      <c r="EG234" s="712"/>
      <c r="EH234" s="712"/>
      <c r="EI234" s="712"/>
      <c r="EJ234" s="712"/>
      <c r="EK234" s="712"/>
      <c r="EL234" s="712"/>
      <c r="EM234" s="712"/>
      <c r="EN234" s="712"/>
      <c r="EP234" s="947"/>
    </row>
    <row r="235" spans="7:266">
      <c r="BA235" s="720" t="str">
        <f>IF(BA234&lt;&gt;0,"ERROR VERIFICAR TRASLADO DE DATOS DE DISTRIBUCIÓN A CUADRO","")</f>
        <v/>
      </c>
      <c r="BB235" s="720" t="str">
        <f t="shared" ref="BB235:CS235" si="3819">IF(BB234&lt;&gt;0,"ERROR VERIFICAR TRASLADO DE DATOS DE DISTRIBUCIÓN A CUADRO","")</f>
        <v/>
      </c>
      <c r="BC235" s="720" t="str">
        <f t="shared" si="3819"/>
        <v/>
      </c>
      <c r="BD235" s="720" t="str">
        <f t="shared" si="3819"/>
        <v/>
      </c>
      <c r="BE235" s="720" t="str">
        <f t="shared" si="3819"/>
        <v/>
      </c>
      <c r="BF235" s="720" t="str">
        <f t="shared" si="3819"/>
        <v/>
      </c>
      <c r="BG235" s="720" t="str">
        <f t="shared" si="3819"/>
        <v/>
      </c>
      <c r="BH235" s="720" t="str">
        <f t="shared" si="3819"/>
        <v/>
      </c>
      <c r="BI235" s="720" t="str">
        <f t="shared" si="3819"/>
        <v/>
      </c>
      <c r="BJ235" s="720" t="str">
        <f t="shared" si="3819"/>
        <v/>
      </c>
      <c r="BK235" s="720" t="str">
        <f t="shared" si="3819"/>
        <v/>
      </c>
      <c r="BL235" s="720" t="str">
        <f t="shared" si="3819"/>
        <v/>
      </c>
      <c r="BM235" s="720" t="str">
        <f t="shared" si="3819"/>
        <v/>
      </c>
      <c r="BN235" s="720" t="str">
        <f t="shared" si="3819"/>
        <v/>
      </c>
      <c r="BO235" s="720" t="str">
        <f t="shared" si="3819"/>
        <v/>
      </c>
      <c r="BP235" s="720" t="str">
        <f t="shared" si="3819"/>
        <v/>
      </c>
      <c r="BQ235" s="720" t="str">
        <f t="shared" si="3819"/>
        <v/>
      </c>
      <c r="BR235" s="720" t="str">
        <f t="shared" si="3819"/>
        <v/>
      </c>
      <c r="BS235" s="720" t="str">
        <f t="shared" si="3819"/>
        <v/>
      </c>
      <c r="BT235" s="720" t="str">
        <f t="shared" si="3819"/>
        <v/>
      </c>
      <c r="BU235" s="720" t="str">
        <f t="shared" si="3819"/>
        <v/>
      </c>
      <c r="BV235" s="720" t="str">
        <f t="shared" si="3819"/>
        <v/>
      </c>
      <c r="BW235" s="720" t="str">
        <f t="shared" si="3819"/>
        <v/>
      </c>
      <c r="BX235" s="720" t="str">
        <f t="shared" si="3819"/>
        <v/>
      </c>
      <c r="BY235" s="720" t="str">
        <f t="shared" si="3819"/>
        <v/>
      </c>
      <c r="BZ235" s="720" t="str">
        <f t="shared" si="3819"/>
        <v/>
      </c>
      <c r="CA235" s="720" t="str">
        <f t="shared" si="3819"/>
        <v/>
      </c>
      <c r="CB235" s="720" t="str">
        <f t="shared" si="3819"/>
        <v/>
      </c>
      <c r="CC235" s="720" t="str">
        <f t="shared" si="3819"/>
        <v/>
      </c>
      <c r="CD235" s="720" t="str">
        <f t="shared" si="3819"/>
        <v/>
      </c>
      <c r="CE235" s="720" t="str">
        <f t="shared" si="3819"/>
        <v/>
      </c>
      <c r="CF235" s="720" t="str">
        <f t="shared" si="3819"/>
        <v/>
      </c>
      <c r="CG235" s="720" t="str">
        <f t="shared" si="3819"/>
        <v/>
      </c>
      <c r="CH235" s="720" t="str">
        <f t="shared" si="3819"/>
        <v/>
      </c>
      <c r="CI235" s="720" t="str">
        <f t="shared" si="3819"/>
        <v/>
      </c>
      <c r="CJ235" s="720" t="str">
        <f t="shared" si="3819"/>
        <v/>
      </c>
      <c r="CK235" s="720" t="str">
        <f>IF(CK234&lt;&gt;0,"ERROR VERIFICAR TRASLADO DE DATOS DE DISTRIBUCIÓN A CUADRO","")</f>
        <v>ERROR VERIFICAR TRASLADO DE DATOS DE DISTRIBUCIÓN A CUADRO</v>
      </c>
      <c r="CL235" s="720" t="str">
        <f t="shared" si="3819"/>
        <v>ERROR VERIFICAR TRASLADO DE DATOS DE DISTRIBUCIÓN A CUADRO</v>
      </c>
      <c r="CM235" s="720" t="str">
        <f t="shared" si="3819"/>
        <v>ERROR VERIFICAR TRASLADO DE DATOS DE DISTRIBUCIÓN A CUADRO</v>
      </c>
      <c r="CN235" s="720" t="str">
        <f t="shared" si="3819"/>
        <v>ERROR VERIFICAR TRASLADO DE DATOS DE DISTRIBUCIÓN A CUADRO</v>
      </c>
      <c r="CO235" s="720" t="str">
        <f t="shared" si="3819"/>
        <v/>
      </c>
      <c r="CP235" s="720" t="str">
        <f t="shared" si="3819"/>
        <v/>
      </c>
      <c r="CQ235" s="720" t="str">
        <f t="shared" si="3819"/>
        <v/>
      </c>
      <c r="CR235" s="720" t="str">
        <f t="shared" si="3819"/>
        <v>ERROR VERIFICAR TRASLADO DE DATOS DE DISTRIBUCIÓN A CUADRO</v>
      </c>
      <c r="CS235" s="720" t="str">
        <f t="shared" si="3819"/>
        <v>ERROR VERIFICAR TRASLADO DE DATOS DE DISTRIBUCIÓN A CUADRO</v>
      </c>
      <c r="CV235" s="712"/>
      <c r="CW235" s="712"/>
      <c r="CX235" s="712"/>
      <c r="CY235" s="712"/>
      <c r="CZ235" s="712"/>
      <c r="DA235" s="712"/>
      <c r="DB235" s="712"/>
      <c r="DC235" s="712"/>
      <c r="DD235" s="712"/>
      <c r="DE235" s="712"/>
      <c r="DF235" s="712"/>
      <c r="DG235" s="712"/>
      <c r="DH235" s="712"/>
      <c r="DI235" s="712"/>
      <c r="DJ235" s="712"/>
      <c r="DK235" s="712"/>
      <c r="DL235" s="712"/>
      <c r="DM235" s="712"/>
      <c r="DN235" s="712"/>
      <c r="DO235" s="712"/>
      <c r="DP235" s="712"/>
      <c r="DQ235" s="712"/>
      <c r="DR235" s="712"/>
      <c r="DS235" s="712"/>
      <c r="DT235" s="712"/>
      <c r="DU235" s="712"/>
      <c r="DV235" s="712"/>
      <c r="DW235" s="712"/>
      <c r="DX235" s="712"/>
      <c r="DY235" s="712"/>
      <c r="DZ235" s="712"/>
      <c r="EA235" s="712"/>
      <c r="EB235" s="712"/>
      <c r="EC235" s="712"/>
      <c r="ED235" s="712"/>
      <c r="EE235" s="712"/>
      <c r="EF235" s="712"/>
      <c r="EG235" s="712"/>
      <c r="EH235" s="712"/>
      <c r="EI235" s="712"/>
      <c r="EJ235" s="712"/>
      <c r="EK235" s="712"/>
      <c r="EL235" s="712"/>
      <c r="EM235" s="712"/>
      <c r="EN235" s="712"/>
      <c r="EP235" s="947"/>
    </row>
    <row r="236" spans="7:266">
      <c r="CV236" s="712"/>
      <c r="CW236" s="712"/>
      <c r="CX236" s="712"/>
      <c r="CY236" s="712"/>
      <c r="CZ236" s="712"/>
      <c r="DA236" s="712"/>
      <c r="DB236" s="712"/>
      <c r="DC236" s="712"/>
      <c r="DD236" s="712"/>
      <c r="DE236" s="712"/>
      <c r="DF236" s="712"/>
      <c r="DG236" s="712"/>
      <c r="DH236" s="712"/>
      <c r="DI236" s="712"/>
      <c r="DJ236" s="712"/>
      <c r="DK236" s="712"/>
      <c r="DL236" s="712"/>
      <c r="DM236" s="712"/>
      <c r="DN236" s="712"/>
      <c r="DO236" s="712"/>
      <c r="DP236" s="712"/>
      <c r="DQ236" s="712"/>
      <c r="DR236" s="712"/>
      <c r="DS236" s="712"/>
      <c r="DT236" s="712"/>
      <c r="DU236" s="712"/>
      <c r="DV236" s="712"/>
      <c r="DW236" s="712"/>
      <c r="DX236" s="712"/>
      <c r="DY236" s="712"/>
      <c r="DZ236" s="712"/>
      <c r="EA236" s="712"/>
      <c r="EB236" s="712"/>
      <c r="EC236" s="712"/>
      <c r="ED236" s="712"/>
      <c r="EE236" s="712"/>
      <c r="EF236" s="712"/>
      <c r="EG236" s="712"/>
      <c r="EH236" s="712"/>
      <c r="EI236" s="712"/>
      <c r="EJ236" s="712"/>
      <c r="EK236" s="712"/>
      <c r="EL236" s="712"/>
      <c r="EM236" s="712"/>
      <c r="EN236" s="712"/>
      <c r="EP236" s="947"/>
    </row>
    <row r="237" spans="7:266" ht="10.8" thickBot="1">
      <c r="BA237" s="1344" t="s">
        <v>347</v>
      </c>
      <c r="BB237" s="1344"/>
      <c r="BC237" s="1344"/>
      <c r="BD237" s="1344"/>
      <c r="BE237" s="1344"/>
      <c r="BF237" s="1344"/>
      <c r="BG237" s="1344"/>
      <c r="BH237" s="1344"/>
      <c r="BI237" s="1344"/>
      <c r="BJ237" s="1344" t="s">
        <v>347</v>
      </c>
      <c r="BK237" s="1344"/>
      <c r="BL237" s="1344"/>
      <c r="BM237" s="1344"/>
      <c r="BN237" s="1344"/>
      <c r="BO237" s="1344"/>
      <c r="BP237" s="1344"/>
      <c r="BQ237" s="1344"/>
      <c r="BR237" s="1344"/>
      <c r="BS237" s="1344" t="s">
        <v>347</v>
      </c>
      <c r="BT237" s="1344"/>
      <c r="BU237" s="1344"/>
      <c r="BV237" s="1344"/>
      <c r="BW237" s="1344"/>
      <c r="BX237" s="1344"/>
      <c r="BY237" s="1344"/>
      <c r="BZ237" s="1344"/>
      <c r="CA237" s="1344"/>
      <c r="CB237" s="1344" t="s">
        <v>347</v>
      </c>
      <c r="CC237" s="1344"/>
      <c r="CD237" s="1344"/>
      <c r="CE237" s="1344"/>
      <c r="CF237" s="1344"/>
      <c r="CG237" s="1344"/>
      <c r="CH237" s="1344"/>
      <c r="CI237" s="1344"/>
      <c r="CJ237" s="1344"/>
      <c r="CK237" s="1344" t="s">
        <v>347</v>
      </c>
      <c r="CL237" s="1344"/>
      <c r="CM237" s="1344"/>
      <c r="CN237" s="1344"/>
      <c r="CO237" s="1344"/>
      <c r="CP237" s="1344"/>
      <c r="CQ237" s="1344"/>
      <c r="CR237" s="1344"/>
      <c r="CS237" s="1344"/>
      <c r="CV237" s="712"/>
      <c r="CW237" s="712"/>
      <c r="CX237" s="712"/>
      <c r="CY237" s="712"/>
      <c r="CZ237" s="712"/>
      <c r="DA237" s="712"/>
      <c r="DB237" s="712"/>
      <c r="DC237" s="712"/>
      <c r="DD237" s="712"/>
      <c r="DE237" s="712"/>
      <c r="DF237" s="712"/>
      <c r="DG237" s="712"/>
      <c r="DH237" s="712"/>
      <c r="DI237" s="712"/>
      <c r="DJ237" s="712"/>
      <c r="DK237" s="712"/>
      <c r="DL237" s="712"/>
      <c r="DM237" s="712"/>
      <c r="DN237" s="712"/>
      <c r="DO237" s="712"/>
      <c r="DP237" s="712"/>
      <c r="DQ237" s="712"/>
      <c r="DR237" s="712"/>
      <c r="DS237" s="712"/>
      <c r="DT237" s="712"/>
      <c r="DU237" s="712"/>
      <c r="DV237" s="712"/>
      <c r="DW237" s="712"/>
      <c r="DX237" s="712"/>
      <c r="DY237" s="712"/>
      <c r="DZ237" s="712"/>
      <c r="EA237" s="712"/>
      <c r="EB237" s="712"/>
      <c r="EC237" s="712"/>
      <c r="ED237" s="712"/>
      <c r="EE237" s="712"/>
      <c r="EF237" s="712"/>
      <c r="EG237" s="712"/>
      <c r="EH237" s="712"/>
      <c r="EI237" s="712"/>
      <c r="EJ237" s="712"/>
      <c r="EK237" s="712"/>
      <c r="EL237" s="712"/>
      <c r="EM237" s="712"/>
      <c r="EN237" s="712"/>
      <c r="EP237" s="947"/>
    </row>
    <row r="238" spans="7:266">
      <c r="BA238" s="888" t="s">
        <v>15</v>
      </c>
      <c r="BB238" s="889" t="s">
        <v>16</v>
      </c>
      <c r="BC238" s="889" t="s">
        <v>24</v>
      </c>
      <c r="BD238" s="890" t="s">
        <v>25</v>
      </c>
      <c r="BE238" s="890" t="s">
        <v>24</v>
      </c>
      <c r="BF238" s="890" t="s">
        <v>25</v>
      </c>
      <c r="BG238" s="891" t="s">
        <v>26</v>
      </c>
      <c r="BH238" s="891" t="s">
        <v>27</v>
      </c>
      <c r="BI238" s="892" t="s">
        <v>17</v>
      </c>
      <c r="BJ238" s="888" t="s">
        <v>15</v>
      </c>
      <c r="BK238" s="889" t="s">
        <v>16</v>
      </c>
      <c r="BL238" s="889" t="s">
        <v>24</v>
      </c>
      <c r="BM238" s="890" t="s">
        <v>25</v>
      </c>
      <c r="BN238" s="890" t="s">
        <v>24</v>
      </c>
      <c r="BO238" s="890" t="s">
        <v>25</v>
      </c>
      <c r="BP238" s="891" t="s">
        <v>26</v>
      </c>
      <c r="BQ238" s="891" t="s">
        <v>27</v>
      </c>
      <c r="BR238" s="892" t="s">
        <v>17</v>
      </c>
      <c r="BS238" s="888" t="s">
        <v>15</v>
      </c>
      <c r="BT238" s="889" t="s">
        <v>16</v>
      </c>
      <c r="BU238" s="889" t="s">
        <v>24</v>
      </c>
      <c r="BV238" s="890" t="s">
        <v>25</v>
      </c>
      <c r="BW238" s="890" t="s">
        <v>24</v>
      </c>
      <c r="BX238" s="890" t="s">
        <v>25</v>
      </c>
      <c r="BY238" s="891" t="s">
        <v>26</v>
      </c>
      <c r="BZ238" s="891" t="s">
        <v>27</v>
      </c>
      <c r="CA238" s="892" t="s">
        <v>17</v>
      </c>
      <c r="CB238" s="888" t="s">
        <v>15</v>
      </c>
      <c r="CC238" s="889" t="s">
        <v>16</v>
      </c>
      <c r="CD238" s="889" t="s">
        <v>24</v>
      </c>
      <c r="CE238" s="890" t="s">
        <v>25</v>
      </c>
      <c r="CF238" s="890" t="s">
        <v>24</v>
      </c>
      <c r="CG238" s="890" t="s">
        <v>25</v>
      </c>
      <c r="CH238" s="891" t="s">
        <v>26</v>
      </c>
      <c r="CI238" s="891" t="s">
        <v>27</v>
      </c>
      <c r="CJ238" s="892" t="s">
        <v>17</v>
      </c>
      <c r="CK238" s="888" t="s">
        <v>15</v>
      </c>
      <c r="CL238" s="889" t="s">
        <v>16</v>
      </c>
      <c r="CM238" s="889" t="s">
        <v>24</v>
      </c>
      <c r="CN238" s="890" t="s">
        <v>25</v>
      </c>
      <c r="CO238" s="890" t="s">
        <v>24</v>
      </c>
      <c r="CP238" s="890" t="s">
        <v>25</v>
      </c>
      <c r="CQ238" s="891" t="s">
        <v>26</v>
      </c>
      <c r="CR238" s="891" t="s">
        <v>27</v>
      </c>
      <c r="CS238" s="893" t="s">
        <v>17</v>
      </c>
      <c r="CV238" s="712"/>
      <c r="CW238" s="712"/>
      <c r="CX238" s="712"/>
      <c r="CY238" s="712"/>
      <c r="CZ238" s="712"/>
      <c r="DA238" s="712"/>
      <c r="DB238" s="712"/>
      <c r="DC238" s="712"/>
      <c r="DD238" s="712"/>
      <c r="DE238" s="712"/>
      <c r="DF238" s="712"/>
      <c r="DG238" s="712"/>
      <c r="DH238" s="712"/>
      <c r="DI238" s="712"/>
      <c r="DJ238" s="712"/>
      <c r="DK238" s="712"/>
      <c r="DL238" s="712"/>
      <c r="DM238" s="712"/>
      <c r="DN238" s="712"/>
      <c r="DO238" s="712"/>
      <c r="DP238" s="712"/>
      <c r="DQ238" s="712"/>
      <c r="DR238" s="712"/>
      <c r="DS238" s="712"/>
      <c r="DT238" s="712"/>
      <c r="DU238" s="712"/>
      <c r="DV238" s="712"/>
      <c r="DW238" s="712"/>
      <c r="DX238" s="712"/>
      <c r="DY238" s="712"/>
      <c r="DZ238" s="712"/>
      <c r="EA238" s="712"/>
      <c r="EB238" s="712"/>
      <c r="EC238" s="712"/>
      <c r="ED238" s="712"/>
      <c r="EE238" s="712"/>
      <c r="EF238" s="712"/>
      <c r="EG238" s="712"/>
      <c r="EH238" s="712"/>
      <c r="EI238" s="712"/>
      <c r="EJ238" s="712"/>
      <c r="EK238" s="712"/>
      <c r="EL238" s="712"/>
      <c r="EM238" s="712"/>
      <c r="EN238" s="712"/>
      <c r="EP238" s="947"/>
    </row>
    <row r="239" spans="7:266">
      <c r="BA239" s="894" t="s">
        <v>37</v>
      </c>
      <c r="BB239" s="895" t="s">
        <v>38</v>
      </c>
      <c r="BC239" s="895" t="s">
        <v>44</v>
      </c>
      <c r="BD239" s="895" t="s">
        <v>343</v>
      </c>
      <c r="BE239" s="895" t="s">
        <v>45</v>
      </c>
      <c r="BF239" s="895" t="s">
        <v>344</v>
      </c>
      <c r="BG239" s="896" t="s">
        <v>46</v>
      </c>
      <c r="BH239" s="896" t="s">
        <v>47</v>
      </c>
      <c r="BI239" s="897"/>
      <c r="BJ239" s="894" t="s">
        <v>37</v>
      </c>
      <c r="BK239" s="895" t="s">
        <v>38</v>
      </c>
      <c r="BL239" s="895" t="s">
        <v>44</v>
      </c>
      <c r="BM239" s="895" t="s">
        <v>343</v>
      </c>
      <c r="BN239" s="895" t="s">
        <v>45</v>
      </c>
      <c r="BO239" s="895" t="s">
        <v>344</v>
      </c>
      <c r="BP239" s="896" t="s">
        <v>46</v>
      </c>
      <c r="BQ239" s="896" t="s">
        <v>47</v>
      </c>
      <c r="BR239" s="897"/>
      <c r="BS239" s="894" t="s">
        <v>37</v>
      </c>
      <c r="BT239" s="895" t="s">
        <v>38</v>
      </c>
      <c r="BU239" s="895" t="s">
        <v>44</v>
      </c>
      <c r="BV239" s="895" t="s">
        <v>343</v>
      </c>
      <c r="BW239" s="895" t="s">
        <v>45</v>
      </c>
      <c r="BX239" s="895" t="s">
        <v>344</v>
      </c>
      <c r="BY239" s="896" t="s">
        <v>46</v>
      </c>
      <c r="BZ239" s="896" t="s">
        <v>47</v>
      </c>
      <c r="CA239" s="897"/>
      <c r="CB239" s="894" t="s">
        <v>37</v>
      </c>
      <c r="CC239" s="895" t="s">
        <v>38</v>
      </c>
      <c r="CD239" s="895" t="s">
        <v>44</v>
      </c>
      <c r="CE239" s="895" t="s">
        <v>343</v>
      </c>
      <c r="CF239" s="895" t="s">
        <v>45</v>
      </c>
      <c r="CG239" s="895" t="s">
        <v>344</v>
      </c>
      <c r="CH239" s="896" t="s">
        <v>46</v>
      </c>
      <c r="CI239" s="896" t="s">
        <v>47</v>
      </c>
      <c r="CJ239" s="897"/>
      <c r="CK239" s="894" t="s">
        <v>37</v>
      </c>
      <c r="CL239" s="895" t="s">
        <v>38</v>
      </c>
      <c r="CM239" s="895" t="s">
        <v>44</v>
      </c>
      <c r="CN239" s="895" t="s">
        <v>343</v>
      </c>
      <c r="CO239" s="895" t="s">
        <v>45</v>
      </c>
      <c r="CP239" s="895" t="s">
        <v>344</v>
      </c>
      <c r="CQ239" s="896" t="s">
        <v>46</v>
      </c>
      <c r="CR239" s="896" t="s">
        <v>47</v>
      </c>
      <c r="CS239" s="898"/>
      <c r="CV239" s="712"/>
      <c r="CW239" s="712"/>
      <c r="CX239" s="712"/>
      <c r="CY239" s="712"/>
      <c r="CZ239" s="712"/>
      <c r="DA239" s="712"/>
      <c r="DB239" s="712"/>
      <c r="DC239" s="712"/>
      <c r="DD239" s="712"/>
      <c r="DE239" s="712"/>
      <c r="DF239" s="712"/>
      <c r="DG239" s="712"/>
      <c r="DH239" s="712"/>
      <c r="DI239" s="712"/>
      <c r="DJ239" s="712"/>
      <c r="DK239" s="712"/>
      <c r="DL239" s="712"/>
      <c r="DM239" s="712"/>
      <c r="DN239" s="712"/>
      <c r="DO239" s="712"/>
      <c r="DP239" s="712"/>
      <c r="DQ239" s="712"/>
      <c r="DR239" s="712"/>
      <c r="DS239" s="712"/>
      <c r="DT239" s="712"/>
      <c r="DU239" s="712"/>
      <c r="DV239" s="712"/>
      <c r="DW239" s="712"/>
      <c r="DX239" s="712"/>
      <c r="DY239" s="712"/>
      <c r="DZ239" s="712"/>
      <c r="EA239" s="712"/>
      <c r="EB239" s="712"/>
      <c r="EC239" s="712"/>
      <c r="ED239" s="712"/>
      <c r="EE239" s="712"/>
      <c r="EF239" s="712"/>
      <c r="EG239" s="712"/>
      <c r="EH239" s="712"/>
      <c r="EI239" s="712"/>
      <c r="EJ239" s="712"/>
      <c r="EK239" s="712"/>
      <c r="EL239" s="712"/>
      <c r="EM239" s="712"/>
      <c r="EN239" s="712"/>
      <c r="EP239" s="947"/>
    </row>
    <row r="240" spans="7:266" ht="13.2">
      <c r="G240" s="714"/>
      <c r="H240" s="899" t="s">
        <v>51</v>
      </c>
      <c r="BA240" s="712"/>
      <c r="BB240" s="712"/>
      <c r="BJ240" s="712"/>
      <c r="BK240" s="712"/>
      <c r="BS240" s="712"/>
      <c r="BT240" s="712"/>
      <c r="CB240" s="712"/>
      <c r="CC240" s="712"/>
      <c r="CK240" s="712"/>
      <c r="CL240" s="712"/>
      <c r="CV240" s="712"/>
      <c r="CW240" s="712"/>
      <c r="CX240" s="712"/>
      <c r="CY240" s="712"/>
      <c r="CZ240" s="712"/>
      <c r="DA240" s="712"/>
      <c r="DB240" s="712"/>
      <c r="DC240" s="712"/>
      <c r="DD240" s="712"/>
      <c r="DE240" s="712"/>
      <c r="DF240" s="712"/>
      <c r="DG240" s="712"/>
      <c r="DH240" s="712"/>
      <c r="DI240" s="712"/>
      <c r="DJ240" s="712"/>
      <c r="DK240" s="712"/>
      <c r="DL240" s="712"/>
      <c r="DM240" s="712"/>
      <c r="DN240" s="712"/>
      <c r="DO240" s="712"/>
      <c r="DP240" s="712"/>
      <c r="DQ240" s="712"/>
      <c r="DR240" s="712"/>
      <c r="DS240" s="712"/>
      <c r="DT240" s="712"/>
      <c r="DU240" s="712"/>
      <c r="DV240" s="712"/>
      <c r="DW240" s="712"/>
      <c r="DX240" s="712"/>
      <c r="DY240" s="712"/>
      <c r="DZ240" s="712"/>
      <c r="EA240" s="712"/>
      <c r="EB240" s="712"/>
      <c r="EC240" s="712"/>
      <c r="ED240" s="712"/>
      <c r="EE240" s="712"/>
      <c r="EF240" s="712"/>
      <c r="EG240" s="712"/>
      <c r="EH240" s="712"/>
      <c r="EI240" s="712"/>
      <c r="EJ240" s="712"/>
      <c r="EK240" s="712"/>
      <c r="EL240" s="712"/>
      <c r="EM240" s="712"/>
      <c r="EN240" s="712"/>
      <c r="EP240" s="947"/>
    </row>
    <row r="241" spans="7:146" ht="13.2">
      <c r="G241" s="714"/>
      <c r="H241" s="714" t="s">
        <v>53</v>
      </c>
      <c r="BA241" s="720">
        <f>BA193-BA155</f>
        <v>0</v>
      </c>
      <c r="BB241" s="720">
        <f t="shared" ref="BB241:CS241" si="3820">BB193-BB155</f>
        <v>0</v>
      </c>
      <c r="BC241" s="720">
        <f t="shared" si="3820"/>
        <v>0</v>
      </c>
      <c r="BD241" s="720">
        <f t="shared" si="3820"/>
        <v>0</v>
      </c>
      <c r="BE241" s="720">
        <f t="shared" si="3820"/>
        <v>0</v>
      </c>
      <c r="BF241" s="720">
        <f t="shared" si="3820"/>
        <v>0</v>
      </c>
      <c r="BG241" s="720">
        <f t="shared" si="3820"/>
        <v>0</v>
      </c>
      <c r="BH241" s="720">
        <f t="shared" si="3820"/>
        <v>0</v>
      </c>
      <c r="BI241" s="720">
        <f t="shared" si="3820"/>
        <v>0</v>
      </c>
      <c r="BJ241" s="720">
        <f t="shared" si="3820"/>
        <v>0</v>
      </c>
      <c r="BK241" s="720">
        <f t="shared" si="3820"/>
        <v>0</v>
      </c>
      <c r="BL241" s="720">
        <f t="shared" si="3820"/>
        <v>0</v>
      </c>
      <c r="BM241" s="720">
        <f t="shared" si="3820"/>
        <v>0</v>
      </c>
      <c r="BN241" s="720">
        <f t="shared" si="3820"/>
        <v>0</v>
      </c>
      <c r="BO241" s="720">
        <f t="shared" si="3820"/>
        <v>0</v>
      </c>
      <c r="BP241" s="720">
        <f t="shared" si="3820"/>
        <v>0</v>
      </c>
      <c r="BQ241" s="720">
        <f t="shared" si="3820"/>
        <v>0</v>
      </c>
      <c r="BR241" s="720">
        <f t="shared" si="3820"/>
        <v>0</v>
      </c>
      <c r="BS241" s="720">
        <f t="shared" si="3820"/>
        <v>0</v>
      </c>
      <c r="BT241" s="720">
        <f t="shared" si="3820"/>
        <v>0</v>
      </c>
      <c r="BU241" s="720">
        <f t="shared" si="3820"/>
        <v>0</v>
      </c>
      <c r="BV241" s="720">
        <f t="shared" si="3820"/>
        <v>0</v>
      </c>
      <c r="BW241" s="720">
        <f t="shared" si="3820"/>
        <v>0</v>
      </c>
      <c r="BX241" s="720">
        <f t="shared" si="3820"/>
        <v>0</v>
      </c>
      <c r="BY241" s="720">
        <f t="shared" si="3820"/>
        <v>0</v>
      </c>
      <c r="BZ241" s="720">
        <f t="shared" si="3820"/>
        <v>0</v>
      </c>
      <c r="CA241" s="720">
        <f t="shared" si="3820"/>
        <v>0</v>
      </c>
      <c r="CB241" s="720">
        <f t="shared" si="3820"/>
        <v>0</v>
      </c>
      <c r="CC241" s="720">
        <f t="shared" si="3820"/>
        <v>0</v>
      </c>
      <c r="CD241" s="720">
        <f t="shared" si="3820"/>
        <v>0</v>
      </c>
      <c r="CE241" s="720">
        <f t="shared" si="3820"/>
        <v>0</v>
      </c>
      <c r="CF241" s="720">
        <f t="shared" si="3820"/>
        <v>0</v>
      </c>
      <c r="CG241" s="720">
        <f t="shared" si="3820"/>
        <v>0</v>
      </c>
      <c r="CH241" s="720">
        <f t="shared" si="3820"/>
        <v>0</v>
      </c>
      <c r="CI241" s="720">
        <f t="shared" si="3820"/>
        <v>0</v>
      </c>
      <c r="CJ241" s="720">
        <f t="shared" si="3820"/>
        <v>0</v>
      </c>
      <c r="CK241" s="720">
        <f t="shared" si="3820"/>
        <v>0</v>
      </c>
      <c r="CL241" s="720">
        <f t="shared" si="3820"/>
        <v>0</v>
      </c>
      <c r="CM241" s="720">
        <f t="shared" si="3820"/>
        <v>0</v>
      </c>
      <c r="CN241" s="720">
        <f t="shared" si="3820"/>
        <v>0</v>
      </c>
      <c r="CO241" s="720">
        <f t="shared" si="3820"/>
        <v>0</v>
      </c>
      <c r="CP241" s="720">
        <f t="shared" si="3820"/>
        <v>0</v>
      </c>
      <c r="CQ241" s="720">
        <f t="shared" si="3820"/>
        <v>0</v>
      </c>
      <c r="CR241" s="720">
        <f t="shared" si="3820"/>
        <v>0</v>
      </c>
      <c r="CS241" s="720">
        <f t="shared" si="3820"/>
        <v>0</v>
      </c>
      <c r="CV241" s="712"/>
      <c r="CW241" s="712"/>
      <c r="CX241" s="712"/>
      <c r="CY241" s="712"/>
      <c r="CZ241" s="712"/>
      <c r="DA241" s="712"/>
      <c r="DB241" s="712"/>
      <c r="DC241" s="712"/>
      <c r="DD241" s="712"/>
      <c r="DE241" s="712"/>
      <c r="DF241" s="712"/>
      <c r="DG241" s="712"/>
      <c r="DH241" s="712"/>
      <c r="DI241" s="712"/>
      <c r="DJ241" s="712"/>
      <c r="DK241" s="712"/>
      <c r="DL241" s="712"/>
      <c r="DM241" s="712"/>
      <c r="DN241" s="712"/>
      <c r="DO241" s="712"/>
      <c r="DP241" s="712"/>
      <c r="DQ241" s="712"/>
      <c r="DR241" s="712"/>
      <c r="DS241" s="712"/>
      <c r="DT241" s="712"/>
      <c r="DU241" s="712"/>
      <c r="DV241" s="712"/>
      <c r="DW241" s="712"/>
      <c r="DX241" s="712"/>
      <c r="DY241" s="712"/>
      <c r="DZ241" s="712"/>
      <c r="EA241" s="712"/>
      <c r="EB241" s="712"/>
      <c r="EC241" s="712"/>
      <c r="ED241" s="712"/>
      <c r="EE241" s="712"/>
      <c r="EF241" s="712"/>
      <c r="EG241" s="712"/>
      <c r="EH241" s="712"/>
      <c r="EI241" s="712"/>
      <c r="EJ241" s="712"/>
      <c r="EK241" s="712"/>
      <c r="EL241" s="712"/>
      <c r="EM241" s="712"/>
      <c r="EN241" s="712"/>
      <c r="EP241" s="947"/>
    </row>
    <row r="242" spans="7:146" ht="13.2">
      <c r="G242" s="714"/>
      <c r="H242" s="714" t="s">
        <v>58</v>
      </c>
      <c r="BA242" s="720">
        <f t="shared" ref="BA242:CS242" si="3821">BA194-BA156</f>
        <v>-6502.2800000000007</v>
      </c>
      <c r="BB242" s="720">
        <f t="shared" si="3821"/>
        <v>-750.00000000000011</v>
      </c>
      <c r="BC242" s="720">
        <f t="shared" si="3821"/>
        <v>0</v>
      </c>
      <c r="BD242" s="720">
        <f t="shared" si="3821"/>
        <v>0</v>
      </c>
      <c r="BE242" s="720">
        <f t="shared" si="3821"/>
        <v>0</v>
      </c>
      <c r="BF242" s="720">
        <f t="shared" si="3821"/>
        <v>0</v>
      </c>
      <c r="BG242" s="720">
        <f t="shared" si="3821"/>
        <v>0</v>
      </c>
      <c r="BH242" s="720">
        <f t="shared" si="3821"/>
        <v>-823.83887600000003</v>
      </c>
      <c r="BI242" s="720">
        <f t="shared" si="3821"/>
        <v>-8076.1188760000005</v>
      </c>
      <c r="BJ242" s="720">
        <f t="shared" si="3821"/>
        <v>-5602.0520000000006</v>
      </c>
      <c r="BK242" s="720">
        <f t="shared" si="3821"/>
        <v>-625.00000000000011</v>
      </c>
      <c r="BL242" s="720">
        <f t="shared" si="3821"/>
        <v>0</v>
      </c>
      <c r="BM242" s="720">
        <f t="shared" si="3821"/>
        <v>0</v>
      </c>
      <c r="BN242" s="720">
        <f t="shared" si="3821"/>
        <v>0</v>
      </c>
      <c r="BO242" s="720">
        <f t="shared" si="3821"/>
        <v>0</v>
      </c>
      <c r="BP242" s="720">
        <f t="shared" si="3821"/>
        <v>0</v>
      </c>
      <c r="BQ242" s="720">
        <f t="shared" si="3821"/>
        <v>-709.77998840000009</v>
      </c>
      <c r="BR242" s="720">
        <f t="shared" si="3821"/>
        <v>-6936.8319884000002</v>
      </c>
      <c r="BS242" s="720">
        <f t="shared" si="3821"/>
        <v>-900.22800000000007</v>
      </c>
      <c r="BT242" s="720">
        <f t="shared" si="3821"/>
        <v>-125.00000000000001</v>
      </c>
      <c r="BU242" s="720">
        <f t="shared" si="3821"/>
        <v>0</v>
      </c>
      <c r="BV242" s="720">
        <f t="shared" si="3821"/>
        <v>0</v>
      </c>
      <c r="BW242" s="720">
        <f t="shared" si="3821"/>
        <v>0</v>
      </c>
      <c r="BX242" s="720">
        <f t="shared" si="3821"/>
        <v>0</v>
      </c>
      <c r="BY242" s="720">
        <f t="shared" si="3821"/>
        <v>0</v>
      </c>
      <c r="BZ242" s="720">
        <f t="shared" si="3821"/>
        <v>-99.370519999999999</v>
      </c>
      <c r="CA242" s="720">
        <f t="shared" si="3821"/>
        <v>-1124.59852</v>
      </c>
      <c r="CB242" s="720">
        <f t="shared" si="3821"/>
        <v>0</v>
      </c>
      <c r="CC242" s="720">
        <f t="shared" si="3821"/>
        <v>0</v>
      </c>
      <c r="CD242" s="720">
        <f t="shared" si="3821"/>
        <v>0</v>
      </c>
      <c r="CE242" s="720">
        <f t="shared" si="3821"/>
        <v>0</v>
      </c>
      <c r="CF242" s="720">
        <f t="shared" si="3821"/>
        <v>0</v>
      </c>
      <c r="CG242" s="720">
        <f t="shared" si="3821"/>
        <v>0</v>
      </c>
      <c r="CH242" s="720">
        <f t="shared" si="3821"/>
        <v>0</v>
      </c>
      <c r="CI242" s="720">
        <f t="shared" si="3821"/>
        <v>0</v>
      </c>
      <c r="CJ242" s="720">
        <f t="shared" si="3821"/>
        <v>0</v>
      </c>
      <c r="CK242" s="720">
        <f t="shared" si="3821"/>
        <v>13004.560000000001</v>
      </c>
      <c r="CL242" s="720">
        <f t="shared" si="3821"/>
        <v>1500.0000000000002</v>
      </c>
      <c r="CM242" s="720">
        <f t="shared" si="3821"/>
        <v>0</v>
      </c>
      <c r="CN242" s="720">
        <f t="shared" si="3821"/>
        <v>0</v>
      </c>
      <c r="CO242" s="720">
        <f t="shared" si="3821"/>
        <v>0</v>
      </c>
      <c r="CP242" s="720">
        <f t="shared" si="3821"/>
        <v>0</v>
      </c>
      <c r="CQ242" s="720">
        <f t="shared" si="3821"/>
        <v>0</v>
      </c>
      <c r="CR242" s="720">
        <f t="shared" si="3821"/>
        <v>1632.9893844000001</v>
      </c>
      <c r="CS242" s="720">
        <f t="shared" si="3821"/>
        <v>16137.549384400001</v>
      </c>
      <c r="CV242" s="712"/>
      <c r="CW242" s="712"/>
      <c r="CX242" s="712"/>
      <c r="CY242" s="712"/>
      <c r="CZ242" s="712"/>
      <c r="DA242" s="712"/>
      <c r="DB242" s="712"/>
      <c r="DC242" s="712"/>
      <c r="DD242" s="712"/>
      <c r="DE242" s="712"/>
      <c r="DF242" s="712"/>
      <c r="DG242" s="712"/>
      <c r="DH242" s="712"/>
      <c r="DI242" s="712"/>
      <c r="DJ242" s="712"/>
      <c r="DK242" s="712"/>
      <c r="DL242" s="712"/>
      <c r="DM242" s="712"/>
      <c r="DN242" s="712"/>
      <c r="DO242" s="712"/>
      <c r="DP242" s="712"/>
      <c r="DQ242" s="712"/>
      <c r="DR242" s="712"/>
      <c r="DS242" s="712"/>
      <c r="DT242" s="712"/>
      <c r="DU242" s="712"/>
      <c r="DV242" s="712"/>
      <c r="DW242" s="712"/>
      <c r="DX242" s="712"/>
      <c r="DY242" s="712"/>
      <c r="DZ242" s="712"/>
      <c r="EA242" s="712"/>
      <c r="EB242" s="712"/>
      <c r="EC242" s="712"/>
      <c r="ED242" s="712"/>
      <c r="EE242" s="712"/>
      <c r="EF242" s="712"/>
      <c r="EG242" s="712"/>
      <c r="EH242" s="712"/>
      <c r="EI242" s="712"/>
      <c r="EJ242" s="712"/>
      <c r="EK242" s="712"/>
      <c r="EL242" s="712"/>
      <c r="EM242" s="712"/>
      <c r="EN242" s="712"/>
      <c r="EP242" s="947"/>
    </row>
    <row r="243" spans="7:146" ht="13.2">
      <c r="G243" s="714"/>
      <c r="H243" s="714" t="s">
        <v>64</v>
      </c>
      <c r="BA243" s="720">
        <f t="shared" ref="BA243:CS243" si="3822">BA195-BA157</f>
        <v>-38388.4804</v>
      </c>
      <c r="BB243" s="720">
        <f t="shared" si="3822"/>
        <v>-14255.218799999999</v>
      </c>
      <c r="BC243" s="720">
        <f t="shared" si="3822"/>
        <v>0</v>
      </c>
      <c r="BD243" s="720">
        <f t="shared" si="3822"/>
        <v>0</v>
      </c>
      <c r="BE243" s="720">
        <f t="shared" si="3822"/>
        <v>0</v>
      </c>
      <c r="BF243" s="720">
        <f t="shared" si="3822"/>
        <v>0</v>
      </c>
      <c r="BG243" s="720">
        <f t="shared" si="3822"/>
        <v>0</v>
      </c>
      <c r="BH243" s="720">
        <f t="shared" si="3822"/>
        <v>-4863.8204666800002</v>
      </c>
      <c r="BI243" s="720">
        <f t="shared" si="3822"/>
        <v>-57507.519666679997</v>
      </c>
      <c r="BJ243" s="720">
        <f t="shared" si="3822"/>
        <v>-28178.457600000002</v>
      </c>
      <c r="BK243" s="720">
        <f t="shared" si="3822"/>
        <v>-10245.1672</v>
      </c>
      <c r="BL243" s="720">
        <f t="shared" si="3822"/>
        <v>0</v>
      </c>
      <c r="BM243" s="720">
        <f t="shared" si="3822"/>
        <v>0</v>
      </c>
      <c r="BN243" s="720">
        <f t="shared" si="3822"/>
        <v>0</v>
      </c>
      <c r="BO243" s="720">
        <f t="shared" si="3822"/>
        <v>0</v>
      </c>
      <c r="BP243" s="720">
        <f t="shared" si="3822"/>
        <v>0</v>
      </c>
      <c r="BQ243" s="720">
        <f t="shared" si="3822"/>
        <v>-3570.2105779200006</v>
      </c>
      <c r="BR243" s="720">
        <f t="shared" si="3822"/>
        <v>-41993.835377919997</v>
      </c>
      <c r="BS243" s="720">
        <f t="shared" si="3822"/>
        <v>-3567.8420000000001</v>
      </c>
      <c r="BT243" s="720">
        <f t="shared" si="3822"/>
        <v>-1629.7740000000001</v>
      </c>
      <c r="BU243" s="720">
        <f t="shared" si="3822"/>
        <v>0</v>
      </c>
      <c r="BV243" s="720">
        <f t="shared" si="3822"/>
        <v>0</v>
      </c>
      <c r="BW243" s="720">
        <f t="shared" si="3822"/>
        <v>0</v>
      </c>
      <c r="BX243" s="720">
        <f t="shared" si="3822"/>
        <v>0</v>
      </c>
      <c r="BY243" s="720">
        <f t="shared" si="3822"/>
        <v>0</v>
      </c>
      <c r="BZ243" s="720">
        <f t="shared" si="3822"/>
        <v>-452.0455814</v>
      </c>
      <c r="CA243" s="720">
        <f t="shared" si="3822"/>
        <v>-5649.6615813999997</v>
      </c>
      <c r="CB243" s="720">
        <f t="shared" si="3822"/>
        <v>-8167.5</v>
      </c>
      <c r="CC243" s="720">
        <f t="shared" si="3822"/>
        <v>-2975</v>
      </c>
      <c r="CD243" s="720">
        <f t="shared" si="3822"/>
        <v>0</v>
      </c>
      <c r="CE243" s="720">
        <f t="shared" si="3822"/>
        <v>0</v>
      </c>
      <c r="CF243" s="720">
        <f t="shared" si="3822"/>
        <v>0</v>
      </c>
      <c r="CG243" s="720">
        <f t="shared" si="3822"/>
        <v>0</v>
      </c>
      <c r="CH243" s="720">
        <f t="shared" si="3822"/>
        <v>0</v>
      </c>
      <c r="CI243" s="720">
        <f t="shared" si="3822"/>
        <v>-1034.8222499999999</v>
      </c>
      <c r="CJ243" s="720">
        <f t="shared" si="3822"/>
        <v>-12177.322249999999</v>
      </c>
      <c r="CK243" s="720">
        <f t="shared" si="3822"/>
        <v>78302.28</v>
      </c>
      <c r="CL243" s="720">
        <f t="shared" si="3822"/>
        <v>29105.16</v>
      </c>
      <c r="CM243" s="720">
        <f t="shared" si="3822"/>
        <v>0</v>
      </c>
      <c r="CN243" s="720">
        <f t="shared" si="3822"/>
        <v>0</v>
      </c>
      <c r="CO243" s="720">
        <f t="shared" si="3822"/>
        <v>0</v>
      </c>
      <c r="CP243" s="720">
        <f t="shared" si="3822"/>
        <v>0</v>
      </c>
      <c r="CQ243" s="720">
        <f t="shared" si="3822"/>
        <v>0</v>
      </c>
      <c r="CR243" s="720">
        <f t="shared" si="3822"/>
        <v>9920.8988759999993</v>
      </c>
      <c r="CS243" s="720">
        <f t="shared" si="3822"/>
        <v>117328.33887599999</v>
      </c>
      <c r="CV243" s="712"/>
      <c r="CW243" s="712"/>
      <c r="CX243" s="712"/>
      <c r="CY243" s="712"/>
      <c r="CZ243" s="712"/>
      <c r="DA243" s="712"/>
      <c r="DB243" s="712"/>
      <c r="DC243" s="712"/>
      <c r="DD243" s="712"/>
      <c r="DE243" s="712"/>
      <c r="DF243" s="712"/>
      <c r="DG243" s="712"/>
      <c r="DH243" s="712"/>
      <c r="DI243" s="712"/>
      <c r="DJ243" s="712"/>
      <c r="DK243" s="712"/>
      <c r="DL243" s="712"/>
      <c r="DM243" s="712"/>
      <c r="DN243" s="712"/>
      <c r="DO243" s="712"/>
      <c r="DP243" s="712"/>
      <c r="DQ243" s="712"/>
      <c r="DR243" s="712"/>
      <c r="DS243" s="712"/>
      <c r="DT243" s="712"/>
      <c r="DU243" s="712"/>
      <c r="DV243" s="712"/>
      <c r="DW243" s="712"/>
      <c r="DX243" s="712"/>
      <c r="DY243" s="712"/>
      <c r="DZ243" s="712"/>
      <c r="EA243" s="712"/>
      <c r="EB243" s="712"/>
      <c r="EC243" s="712"/>
      <c r="ED243" s="712"/>
      <c r="EE243" s="712"/>
      <c r="EF243" s="712"/>
      <c r="EG243" s="712"/>
      <c r="EH243" s="712"/>
      <c r="EI243" s="712"/>
      <c r="EJ243" s="712"/>
      <c r="EK243" s="712"/>
      <c r="EL243" s="712"/>
      <c r="EM243" s="712"/>
      <c r="EN243" s="712"/>
      <c r="EP243" s="947"/>
    </row>
    <row r="244" spans="7:146" ht="13.2">
      <c r="G244" s="714"/>
      <c r="H244" s="714" t="s">
        <v>69</v>
      </c>
      <c r="BA244" s="720">
        <f t="shared" ref="BA244:CS244" si="3823">BA196-BA158</f>
        <v>0</v>
      </c>
      <c r="BB244" s="720">
        <f t="shared" si="3823"/>
        <v>0</v>
      </c>
      <c r="BC244" s="720">
        <f t="shared" si="3823"/>
        <v>0</v>
      </c>
      <c r="BD244" s="720">
        <f t="shared" si="3823"/>
        <v>0</v>
      </c>
      <c r="BE244" s="720">
        <f t="shared" si="3823"/>
        <v>0</v>
      </c>
      <c r="BF244" s="720">
        <f t="shared" si="3823"/>
        <v>0</v>
      </c>
      <c r="BG244" s="720">
        <f t="shared" si="3823"/>
        <v>0</v>
      </c>
      <c r="BH244" s="720">
        <f t="shared" si="3823"/>
        <v>0</v>
      </c>
      <c r="BI244" s="720">
        <f t="shared" si="3823"/>
        <v>0</v>
      </c>
      <c r="BJ244" s="720">
        <f t="shared" si="3823"/>
        <v>0</v>
      </c>
      <c r="BK244" s="720">
        <f t="shared" si="3823"/>
        <v>0</v>
      </c>
      <c r="BL244" s="720">
        <f t="shared" si="3823"/>
        <v>0</v>
      </c>
      <c r="BM244" s="720">
        <f t="shared" si="3823"/>
        <v>0</v>
      </c>
      <c r="BN244" s="720">
        <f t="shared" si="3823"/>
        <v>0</v>
      </c>
      <c r="BO244" s="720">
        <f t="shared" si="3823"/>
        <v>0</v>
      </c>
      <c r="BP244" s="720">
        <f t="shared" si="3823"/>
        <v>0</v>
      </c>
      <c r="BQ244" s="720">
        <f t="shared" si="3823"/>
        <v>0</v>
      </c>
      <c r="BR244" s="720">
        <f t="shared" si="3823"/>
        <v>0</v>
      </c>
      <c r="BS244" s="720">
        <f t="shared" si="3823"/>
        <v>0</v>
      </c>
      <c r="BT244" s="720">
        <f t="shared" si="3823"/>
        <v>0</v>
      </c>
      <c r="BU244" s="720">
        <f t="shared" si="3823"/>
        <v>0</v>
      </c>
      <c r="BV244" s="720">
        <f t="shared" si="3823"/>
        <v>0</v>
      </c>
      <c r="BW244" s="720">
        <f t="shared" si="3823"/>
        <v>0</v>
      </c>
      <c r="BX244" s="720">
        <f t="shared" si="3823"/>
        <v>0</v>
      </c>
      <c r="BY244" s="720">
        <f t="shared" si="3823"/>
        <v>0</v>
      </c>
      <c r="BZ244" s="720">
        <f t="shared" si="3823"/>
        <v>0</v>
      </c>
      <c r="CA244" s="720">
        <f t="shared" si="3823"/>
        <v>0</v>
      </c>
      <c r="CB244" s="720">
        <f t="shared" si="3823"/>
        <v>0</v>
      </c>
      <c r="CC244" s="720">
        <f t="shared" si="3823"/>
        <v>0</v>
      </c>
      <c r="CD244" s="720">
        <f t="shared" si="3823"/>
        <v>0</v>
      </c>
      <c r="CE244" s="720">
        <f t="shared" si="3823"/>
        <v>0</v>
      </c>
      <c r="CF244" s="720">
        <f t="shared" si="3823"/>
        <v>0</v>
      </c>
      <c r="CG244" s="720">
        <f t="shared" si="3823"/>
        <v>0</v>
      </c>
      <c r="CH244" s="720">
        <f t="shared" si="3823"/>
        <v>0</v>
      </c>
      <c r="CI244" s="720">
        <f t="shared" si="3823"/>
        <v>0</v>
      </c>
      <c r="CJ244" s="720">
        <f t="shared" si="3823"/>
        <v>0</v>
      </c>
      <c r="CK244" s="720">
        <f>CK196-CK158</f>
        <v>0</v>
      </c>
      <c r="CL244" s="720">
        <f t="shared" si="3823"/>
        <v>0</v>
      </c>
      <c r="CM244" s="720">
        <f t="shared" si="3823"/>
        <v>0</v>
      </c>
      <c r="CN244" s="720">
        <f t="shared" si="3823"/>
        <v>0</v>
      </c>
      <c r="CO244" s="720">
        <f t="shared" si="3823"/>
        <v>0</v>
      </c>
      <c r="CP244" s="720">
        <f t="shared" si="3823"/>
        <v>0</v>
      </c>
      <c r="CQ244" s="720">
        <f t="shared" si="3823"/>
        <v>0</v>
      </c>
      <c r="CR244" s="720">
        <f t="shared" si="3823"/>
        <v>0</v>
      </c>
      <c r="CS244" s="720">
        <f t="shared" si="3823"/>
        <v>0</v>
      </c>
      <c r="CV244" s="712"/>
      <c r="CW244" s="712"/>
      <c r="CX244" s="712"/>
      <c r="CY244" s="712"/>
      <c r="CZ244" s="712"/>
      <c r="DA244" s="712"/>
      <c r="DB244" s="712"/>
      <c r="DC244" s="712"/>
      <c r="DD244" s="712"/>
      <c r="DE244" s="712"/>
      <c r="DF244" s="712"/>
      <c r="DG244" s="712"/>
      <c r="DH244" s="712"/>
      <c r="DI244" s="712"/>
      <c r="DJ244" s="712"/>
      <c r="DK244" s="712"/>
      <c r="DL244" s="712"/>
      <c r="DM244" s="712"/>
      <c r="DN244" s="712"/>
      <c r="DO244" s="712"/>
      <c r="DP244" s="712"/>
      <c r="DQ244" s="712"/>
      <c r="DR244" s="712"/>
      <c r="DS244" s="712"/>
      <c r="DT244" s="712"/>
      <c r="DU244" s="712"/>
      <c r="DV244" s="712"/>
      <c r="DW244" s="712"/>
      <c r="DX244" s="712"/>
      <c r="DY244" s="712"/>
      <c r="DZ244" s="712"/>
      <c r="EA244" s="712"/>
      <c r="EB244" s="712"/>
      <c r="EC244" s="712"/>
      <c r="ED244" s="712"/>
      <c r="EE244" s="712"/>
      <c r="EF244" s="712"/>
      <c r="EG244" s="712"/>
      <c r="EH244" s="712"/>
      <c r="EI244" s="712"/>
      <c r="EJ244" s="712"/>
      <c r="EK244" s="712"/>
      <c r="EL244" s="712"/>
      <c r="EM244" s="712"/>
      <c r="EN244" s="712"/>
      <c r="EP244" s="947"/>
    </row>
    <row r="245" spans="7:146" ht="13.2">
      <c r="G245" s="714"/>
      <c r="H245" s="714" t="s">
        <v>71</v>
      </c>
      <c r="BA245" s="720">
        <f t="shared" ref="BA245:CS245" si="3824">BA197-BA159</f>
        <v>-16990.145833333336</v>
      </c>
      <c r="BB245" s="720">
        <f t="shared" si="3824"/>
        <v>-3848.5208333333335</v>
      </c>
      <c r="BC245" s="720">
        <f t="shared" si="3824"/>
        <v>-57</v>
      </c>
      <c r="BD245" s="720">
        <f t="shared" si="3824"/>
        <v>-1586.52609375</v>
      </c>
      <c r="BE245" s="720">
        <f t="shared" si="3824"/>
        <v>0</v>
      </c>
      <c r="BF245" s="720">
        <f t="shared" si="3824"/>
        <v>0</v>
      </c>
      <c r="BG245" s="720">
        <f t="shared" si="3824"/>
        <v>0</v>
      </c>
      <c r="BH245" s="720">
        <f t="shared" si="3824"/>
        <v>-2353.6643331614587</v>
      </c>
      <c r="BI245" s="720">
        <f t="shared" si="3824"/>
        <v>-24778.857093578124</v>
      </c>
      <c r="BJ245" s="720">
        <f t="shared" si="3824"/>
        <v>-9020.8875000000007</v>
      </c>
      <c r="BK245" s="720">
        <f t="shared" si="3824"/>
        <v>-2203.1125000000002</v>
      </c>
      <c r="BL245" s="720">
        <f t="shared" si="3824"/>
        <v>-78.5</v>
      </c>
      <c r="BM245" s="720">
        <f t="shared" si="3824"/>
        <v>-2157.9693750000001</v>
      </c>
      <c r="BN245" s="720">
        <f t="shared" si="3824"/>
        <v>0</v>
      </c>
      <c r="BO245" s="720">
        <f t="shared" si="3824"/>
        <v>0</v>
      </c>
      <c r="BP245" s="720">
        <f t="shared" si="3824"/>
        <v>0</v>
      </c>
      <c r="BQ245" s="720">
        <f t="shared" si="3824"/>
        <v>-1416.3611660624999</v>
      </c>
      <c r="BR245" s="720">
        <f t="shared" si="3824"/>
        <v>-14798.330541062502</v>
      </c>
      <c r="BS245" s="720">
        <f t="shared" si="3824"/>
        <v>-5699.2583333333332</v>
      </c>
      <c r="BT245" s="720">
        <f t="shared" si="3824"/>
        <v>-1415.4083333333333</v>
      </c>
      <c r="BU245" s="720">
        <f t="shared" si="3824"/>
        <v>0</v>
      </c>
      <c r="BV245" s="720">
        <f t="shared" si="3824"/>
        <v>0</v>
      </c>
      <c r="BW245" s="720">
        <f t="shared" si="3824"/>
        <v>0</v>
      </c>
      <c r="BX245" s="720">
        <f t="shared" si="3824"/>
        <v>0</v>
      </c>
      <c r="BY245" s="720">
        <f t="shared" si="3824"/>
        <v>0</v>
      </c>
      <c r="BZ245" s="720">
        <f t="shared" si="3824"/>
        <v>-722.09603083333332</v>
      </c>
      <c r="CA245" s="720">
        <f t="shared" si="3824"/>
        <v>-7836.7626975000012</v>
      </c>
      <c r="CB245" s="720">
        <f t="shared" si="3824"/>
        <v>-566</v>
      </c>
      <c r="CC245" s="720">
        <f t="shared" si="3824"/>
        <v>-210</v>
      </c>
      <c r="CD245" s="720">
        <f t="shared" si="3824"/>
        <v>0</v>
      </c>
      <c r="CE245" s="720">
        <f t="shared" si="3824"/>
        <v>0</v>
      </c>
      <c r="CF245" s="720">
        <f t="shared" si="3824"/>
        <v>0</v>
      </c>
      <c r="CG245" s="720">
        <f t="shared" si="3824"/>
        <v>0</v>
      </c>
      <c r="CH245" s="720">
        <f t="shared" si="3824"/>
        <v>0</v>
      </c>
      <c r="CI245" s="720">
        <f t="shared" si="3824"/>
        <v>-71.712199999999996</v>
      </c>
      <c r="CJ245" s="720">
        <f t="shared" si="3824"/>
        <v>-847.71220000000005</v>
      </c>
      <c r="CK245" s="720">
        <f t="shared" si="3824"/>
        <v>32276.291666666664</v>
      </c>
      <c r="CL245" s="720">
        <f t="shared" si="3824"/>
        <v>7677.041666666667</v>
      </c>
      <c r="CM245" s="720">
        <f t="shared" si="3824"/>
        <v>135.5</v>
      </c>
      <c r="CN245" s="720">
        <f t="shared" si="3824"/>
        <v>3744.4954687499999</v>
      </c>
      <c r="CO245" s="720">
        <f t="shared" si="3824"/>
        <v>0</v>
      </c>
      <c r="CP245" s="720">
        <f t="shared" si="3824"/>
        <v>0</v>
      </c>
      <c r="CQ245" s="720">
        <f t="shared" si="3824"/>
        <v>0</v>
      </c>
      <c r="CR245" s="720">
        <f t="shared" si="3824"/>
        <v>4563.833730057293</v>
      </c>
      <c r="CS245" s="720">
        <f t="shared" si="3824"/>
        <v>48261.662532140632</v>
      </c>
      <c r="CV245" s="712"/>
      <c r="CW245" s="712"/>
      <c r="CX245" s="712"/>
      <c r="CY245" s="712"/>
      <c r="CZ245" s="712"/>
      <c r="DA245" s="712"/>
      <c r="DB245" s="712"/>
      <c r="DC245" s="712"/>
      <c r="DD245" s="712"/>
      <c r="DE245" s="712"/>
      <c r="DF245" s="712"/>
      <c r="DG245" s="712"/>
      <c r="DH245" s="712"/>
      <c r="DI245" s="712"/>
      <c r="DJ245" s="712"/>
      <c r="DK245" s="712"/>
      <c r="DL245" s="712"/>
      <c r="DM245" s="712"/>
      <c r="DN245" s="712"/>
      <c r="DO245" s="712"/>
      <c r="DP245" s="712"/>
      <c r="DQ245" s="712"/>
      <c r="DR245" s="712"/>
      <c r="DS245" s="712"/>
      <c r="DT245" s="712"/>
      <c r="DU245" s="712"/>
      <c r="DV245" s="712"/>
      <c r="DW245" s="712"/>
      <c r="DX245" s="712"/>
      <c r="DY245" s="712"/>
      <c r="DZ245" s="712"/>
      <c r="EA245" s="712"/>
      <c r="EB245" s="712"/>
      <c r="EC245" s="712"/>
      <c r="ED245" s="712"/>
      <c r="EE245" s="712"/>
      <c r="EF245" s="712"/>
      <c r="EG245" s="712"/>
      <c r="EH245" s="712"/>
      <c r="EI245" s="712"/>
      <c r="EJ245" s="712"/>
      <c r="EK245" s="712"/>
      <c r="EL245" s="712"/>
      <c r="EM245" s="712"/>
      <c r="EN245" s="712"/>
      <c r="EP245" s="947"/>
    </row>
    <row r="246" spans="7:146" ht="13.2">
      <c r="G246" s="714"/>
      <c r="H246" s="714" t="s">
        <v>74</v>
      </c>
      <c r="BA246" s="720">
        <f t="shared" ref="BA246:CS246" si="3825">BA198-BA160</f>
        <v>-7990</v>
      </c>
      <c r="BB246" s="720">
        <f t="shared" si="3825"/>
        <v>-4320</v>
      </c>
      <c r="BC246" s="720">
        <f t="shared" si="3825"/>
        <v>0</v>
      </c>
      <c r="BD246" s="720">
        <f t="shared" si="3825"/>
        <v>0</v>
      </c>
      <c r="BE246" s="720">
        <f t="shared" si="3825"/>
        <v>0</v>
      </c>
      <c r="BF246" s="720">
        <f t="shared" si="3825"/>
        <v>0</v>
      </c>
      <c r="BG246" s="720">
        <f t="shared" si="3825"/>
        <v>0</v>
      </c>
      <c r="BH246" s="720">
        <f t="shared" si="3825"/>
        <v>-1012.3330000000001</v>
      </c>
      <c r="BI246" s="720">
        <f t="shared" si="3825"/>
        <v>-13322.332999999999</v>
      </c>
      <c r="BJ246" s="720">
        <f t="shared" si="3825"/>
        <v>-7044</v>
      </c>
      <c r="BK246" s="720">
        <f t="shared" si="3825"/>
        <v>-3867</v>
      </c>
      <c r="BL246" s="720">
        <f t="shared" si="3825"/>
        <v>0</v>
      </c>
      <c r="BM246" s="720">
        <f t="shared" si="3825"/>
        <v>0</v>
      </c>
      <c r="BN246" s="720">
        <f t="shared" si="3825"/>
        <v>0</v>
      </c>
      <c r="BO246" s="720">
        <f t="shared" si="3825"/>
        <v>0</v>
      </c>
      <c r="BP246" s="720">
        <f t="shared" si="3825"/>
        <v>0</v>
      </c>
      <c r="BQ246" s="720">
        <f t="shared" si="3825"/>
        <v>-892.47480000000007</v>
      </c>
      <c r="BR246" s="720">
        <f t="shared" si="3825"/>
        <v>-11803.4748</v>
      </c>
      <c r="BS246" s="720">
        <f t="shared" si="3825"/>
        <v>-736</v>
      </c>
      <c r="BT246" s="720">
        <f t="shared" si="3825"/>
        <v>-423</v>
      </c>
      <c r="BU246" s="720">
        <f t="shared" si="3825"/>
        <v>0</v>
      </c>
      <c r="BV246" s="720">
        <f t="shared" si="3825"/>
        <v>0</v>
      </c>
      <c r="BW246" s="720">
        <f t="shared" si="3825"/>
        <v>0</v>
      </c>
      <c r="BX246" s="720">
        <f t="shared" si="3825"/>
        <v>0</v>
      </c>
      <c r="BY246" s="720">
        <f t="shared" si="3825"/>
        <v>0</v>
      </c>
      <c r="BZ246" s="720">
        <f t="shared" si="3825"/>
        <v>-93.251200000000011</v>
      </c>
      <c r="CA246" s="720">
        <f t="shared" si="3825"/>
        <v>-1252.2512000000002</v>
      </c>
      <c r="CB246" s="720">
        <f t="shared" si="3825"/>
        <v>-630</v>
      </c>
      <c r="CC246" s="720">
        <f t="shared" si="3825"/>
        <v>-90</v>
      </c>
      <c r="CD246" s="720">
        <f t="shared" si="3825"/>
        <v>0</v>
      </c>
      <c r="CE246" s="720">
        <f t="shared" si="3825"/>
        <v>0</v>
      </c>
      <c r="CF246" s="720">
        <f t="shared" si="3825"/>
        <v>0</v>
      </c>
      <c r="CG246" s="720">
        <f t="shared" si="3825"/>
        <v>0</v>
      </c>
      <c r="CH246" s="720">
        <f t="shared" si="3825"/>
        <v>0</v>
      </c>
      <c r="CI246" s="720">
        <f t="shared" si="3825"/>
        <v>-79.820999999999998</v>
      </c>
      <c r="CJ246" s="720">
        <f t="shared" si="3825"/>
        <v>-799.82100000000003</v>
      </c>
      <c r="CK246" s="720">
        <f t="shared" si="3825"/>
        <v>16400</v>
      </c>
      <c r="CL246" s="720">
        <f t="shared" si="3825"/>
        <v>8700</v>
      </c>
      <c r="CM246" s="720">
        <f t="shared" si="3825"/>
        <v>0</v>
      </c>
      <c r="CN246" s="720">
        <f t="shared" si="3825"/>
        <v>0</v>
      </c>
      <c r="CO246" s="720">
        <f t="shared" si="3825"/>
        <v>0</v>
      </c>
      <c r="CP246" s="720">
        <f t="shared" si="3825"/>
        <v>0</v>
      </c>
      <c r="CQ246" s="720">
        <f t="shared" si="3825"/>
        <v>0</v>
      </c>
      <c r="CR246" s="720">
        <f t="shared" si="3825"/>
        <v>2077.88</v>
      </c>
      <c r="CS246" s="720">
        <f t="shared" si="3825"/>
        <v>27177.879999999997</v>
      </c>
      <c r="CV246" s="712"/>
      <c r="CW246" s="712"/>
      <c r="CX246" s="712"/>
      <c r="CY246" s="712"/>
      <c r="CZ246" s="712"/>
      <c r="DA246" s="712"/>
      <c r="DB246" s="712"/>
      <c r="DC246" s="712"/>
      <c r="DD246" s="712"/>
      <c r="DE246" s="712"/>
      <c r="DF246" s="712"/>
      <c r="DG246" s="712"/>
      <c r="DH246" s="712"/>
      <c r="DI246" s="712"/>
      <c r="DJ246" s="712"/>
      <c r="DK246" s="712"/>
      <c r="DL246" s="712"/>
      <c r="DM246" s="712"/>
      <c r="DN246" s="712"/>
      <c r="DO246" s="712"/>
      <c r="DP246" s="712"/>
      <c r="DQ246" s="712"/>
      <c r="DR246" s="712"/>
      <c r="DS246" s="712"/>
      <c r="DT246" s="712"/>
      <c r="DU246" s="712"/>
      <c r="DV246" s="712"/>
      <c r="DW246" s="712"/>
      <c r="DX246" s="712"/>
      <c r="DY246" s="712"/>
      <c r="DZ246" s="712"/>
      <c r="EA246" s="712"/>
      <c r="EB246" s="712"/>
      <c r="EC246" s="712"/>
      <c r="ED246" s="712"/>
      <c r="EE246" s="712"/>
      <c r="EF246" s="712"/>
      <c r="EG246" s="712"/>
      <c r="EH246" s="712"/>
      <c r="EI246" s="712"/>
      <c r="EJ246" s="712"/>
      <c r="EK246" s="712"/>
      <c r="EL246" s="712"/>
      <c r="EM246" s="712"/>
      <c r="EN246" s="712"/>
      <c r="EP246" s="947"/>
    </row>
    <row r="247" spans="7:146" ht="13.2">
      <c r="G247" s="714"/>
      <c r="H247" s="714" t="s">
        <v>76</v>
      </c>
      <c r="BA247" s="720">
        <f t="shared" ref="BA247:CS247" si="3826">BA199-BA161</f>
        <v>-9615.0149999999994</v>
      </c>
      <c r="BB247" s="720">
        <f t="shared" si="3826"/>
        <v>-2725</v>
      </c>
      <c r="BC247" s="720">
        <f t="shared" si="3826"/>
        <v>0</v>
      </c>
      <c r="BD247" s="720">
        <f t="shared" si="3826"/>
        <v>0</v>
      </c>
      <c r="BE247" s="720">
        <f t="shared" si="3826"/>
        <v>0</v>
      </c>
      <c r="BF247" s="720">
        <f t="shared" si="3826"/>
        <v>0</v>
      </c>
      <c r="BG247" s="720">
        <f t="shared" si="3826"/>
        <v>0</v>
      </c>
      <c r="BH247" s="720">
        <f t="shared" si="3826"/>
        <v>-1218.2224005</v>
      </c>
      <c r="BI247" s="720">
        <f t="shared" si="3826"/>
        <v>-13558.2374005</v>
      </c>
      <c r="BJ247" s="720">
        <f t="shared" si="3826"/>
        <v>-8466.2635000000009</v>
      </c>
      <c r="BK247" s="720">
        <f t="shared" si="3826"/>
        <v>-2387.5</v>
      </c>
      <c r="BL247" s="720">
        <f t="shared" si="3826"/>
        <v>0</v>
      </c>
      <c r="BM247" s="720">
        <f t="shared" si="3826"/>
        <v>0</v>
      </c>
      <c r="BN247" s="720">
        <f t="shared" si="3826"/>
        <v>0</v>
      </c>
      <c r="BO247" s="720">
        <f t="shared" si="3826"/>
        <v>0</v>
      </c>
      <c r="BP247" s="720">
        <f t="shared" si="3826"/>
        <v>0</v>
      </c>
      <c r="BQ247" s="720">
        <f t="shared" si="3826"/>
        <v>-1072.6755854500002</v>
      </c>
      <c r="BR247" s="720">
        <f t="shared" si="3826"/>
        <v>-11926.439085450002</v>
      </c>
      <c r="BS247" s="720">
        <f t="shared" si="3826"/>
        <v>-1148.7514999999999</v>
      </c>
      <c r="BT247" s="720">
        <f t="shared" si="3826"/>
        <v>-337.5</v>
      </c>
      <c r="BU247" s="720">
        <f t="shared" si="3826"/>
        <v>0</v>
      </c>
      <c r="BV247" s="720">
        <f t="shared" si="3826"/>
        <v>0</v>
      </c>
      <c r="BW247" s="720">
        <f t="shared" si="3826"/>
        <v>0</v>
      </c>
      <c r="BX247" s="720">
        <f t="shared" si="3826"/>
        <v>0</v>
      </c>
      <c r="BY247" s="720">
        <f t="shared" si="3826"/>
        <v>0</v>
      </c>
      <c r="BZ247" s="720">
        <f t="shared" si="3826"/>
        <v>-145.54681504999999</v>
      </c>
      <c r="CA247" s="720">
        <f t="shared" si="3826"/>
        <v>-1631.7983150499999</v>
      </c>
      <c r="CB247" s="720">
        <f t="shared" si="3826"/>
        <v>-3745</v>
      </c>
      <c r="CC247" s="720">
        <f t="shared" si="3826"/>
        <v>-1300</v>
      </c>
      <c r="CD247" s="720">
        <f t="shared" si="3826"/>
        <v>0</v>
      </c>
      <c r="CE247" s="720">
        <f t="shared" si="3826"/>
        <v>0</v>
      </c>
      <c r="CF247" s="720">
        <f t="shared" si="3826"/>
        <v>0</v>
      </c>
      <c r="CG247" s="720">
        <f t="shared" si="3826"/>
        <v>0</v>
      </c>
      <c r="CH247" s="720">
        <f t="shared" si="3826"/>
        <v>0</v>
      </c>
      <c r="CI247" s="720">
        <f t="shared" si="3826"/>
        <v>-474.49149999999997</v>
      </c>
      <c r="CJ247" s="720">
        <f t="shared" si="3826"/>
        <v>-5519.4915000000001</v>
      </c>
      <c r="CK247" s="720">
        <f t="shared" si="3826"/>
        <v>22975.03</v>
      </c>
      <c r="CL247" s="720">
        <f t="shared" si="3826"/>
        <v>6750</v>
      </c>
      <c r="CM247" s="720">
        <f t="shared" si="3826"/>
        <v>0</v>
      </c>
      <c r="CN247" s="720">
        <f t="shared" si="3826"/>
        <v>0</v>
      </c>
      <c r="CO247" s="720">
        <f t="shared" si="3826"/>
        <v>0</v>
      </c>
      <c r="CP247" s="720">
        <f t="shared" si="3826"/>
        <v>0</v>
      </c>
      <c r="CQ247" s="720">
        <f t="shared" si="3826"/>
        <v>0</v>
      </c>
      <c r="CR247" s="720">
        <f t="shared" si="3826"/>
        <v>2910.9363010000006</v>
      </c>
      <c r="CS247" s="720">
        <f t="shared" si="3826"/>
        <v>32635.966301</v>
      </c>
      <c r="CV247" s="712"/>
      <c r="CW247" s="712"/>
      <c r="CX247" s="712"/>
      <c r="CY247" s="712"/>
      <c r="CZ247" s="712"/>
      <c r="DA247" s="712"/>
      <c r="DB247" s="712"/>
      <c r="DC247" s="712"/>
      <c r="DD247" s="712"/>
      <c r="DE247" s="712"/>
      <c r="DF247" s="712"/>
      <c r="DG247" s="712"/>
      <c r="DH247" s="712"/>
      <c r="DI247" s="712"/>
      <c r="DJ247" s="712"/>
      <c r="DK247" s="712"/>
      <c r="DL247" s="712"/>
      <c r="DM247" s="712"/>
      <c r="DN247" s="712"/>
      <c r="DO247" s="712"/>
      <c r="DP247" s="712"/>
      <c r="DQ247" s="712"/>
      <c r="DR247" s="712"/>
      <c r="DS247" s="712"/>
      <c r="DT247" s="712"/>
      <c r="DU247" s="712"/>
      <c r="DV247" s="712"/>
      <c r="DW247" s="712"/>
      <c r="DX247" s="712"/>
      <c r="DY247" s="712"/>
      <c r="DZ247" s="712"/>
      <c r="EA247" s="712"/>
      <c r="EB247" s="712"/>
      <c r="EC247" s="712"/>
      <c r="ED247" s="712"/>
      <c r="EE247" s="712"/>
      <c r="EF247" s="712"/>
      <c r="EG247" s="712"/>
      <c r="EH247" s="712"/>
      <c r="EI247" s="712"/>
      <c r="EJ247" s="712"/>
      <c r="EK247" s="712"/>
      <c r="EL247" s="712"/>
      <c r="EM247" s="712"/>
      <c r="EN247" s="712"/>
      <c r="EP247" s="947"/>
    </row>
    <row r="248" spans="7:146" ht="13.2">
      <c r="G248" s="714"/>
      <c r="H248" s="714" t="s">
        <v>80</v>
      </c>
      <c r="BA248" s="720">
        <f t="shared" ref="BA248:CS248" si="3827">BA200-BA162</f>
        <v>0</v>
      </c>
      <c r="BB248" s="720">
        <f t="shared" si="3827"/>
        <v>0</v>
      </c>
      <c r="BC248" s="720">
        <f t="shared" si="3827"/>
        <v>0</v>
      </c>
      <c r="BD248" s="720">
        <f t="shared" si="3827"/>
        <v>0</v>
      </c>
      <c r="BE248" s="720">
        <f t="shared" si="3827"/>
        <v>0</v>
      </c>
      <c r="BF248" s="720">
        <f t="shared" si="3827"/>
        <v>0</v>
      </c>
      <c r="BG248" s="720">
        <f t="shared" si="3827"/>
        <v>0</v>
      </c>
      <c r="BH248" s="720">
        <f t="shared" si="3827"/>
        <v>0</v>
      </c>
      <c r="BI248" s="720">
        <f t="shared" si="3827"/>
        <v>0</v>
      </c>
      <c r="BJ248" s="720">
        <f t="shared" si="3827"/>
        <v>0</v>
      </c>
      <c r="BK248" s="720">
        <f t="shared" si="3827"/>
        <v>0</v>
      </c>
      <c r="BL248" s="720">
        <f t="shared" si="3827"/>
        <v>0</v>
      </c>
      <c r="BM248" s="720">
        <f t="shared" si="3827"/>
        <v>0</v>
      </c>
      <c r="BN248" s="720">
        <f t="shared" si="3827"/>
        <v>0</v>
      </c>
      <c r="BO248" s="720">
        <f t="shared" si="3827"/>
        <v>0</v>
      </c>
      <c r="BP248" s="720">
        <f t="shared" si="3827"/>
        <v>0</v>
      </c>
      <c r="BQ248" s="720">
        <f t="shared" si="3827"/>
        <v>0</v>
      </c>
      <c r="BR248" s="720">
        <f t="shared" si="3827"/>
        <v>0</v>
      </c>
      <c r="BS248" s="720">
        <f t="shared" si="3827"/>
        <v>0</v>
      </c>
      <c r="BT248" s="720">
        <f t="shared" si="3827"/>
        <v>0</v>
      </c>
      <c r="BU248" s="720">
        <f t="shared" si="3827"/>
        <v>0</v>
      </c>
      <c r="BV248" s="720">
        <f t="shared" si="3827"/>
        <v>0</v>
      </c>
      <c r="BW248" s="720">
        <f t="shared" si="3827"/>
        <v>0</v>
      </c>
      <c r="BX248" s="720">
        <f t="shared" si="3827"/>
        <v>0</v>
      </c>
      <c r="BY248" s="720">
        <f t="shared" si="3827"/>
        <v>0</v>
      </c>
      <c r="BZ248" s="720">
        <f t="shared" si="3827"/>
        <v>0</v>
      </c>
      <c r="CA248" s="720">
        <f t="shared" si="3827"/>
        <v>0</v>
      </c>
      <c r="CB248" s="720">
        <f t="shared" si="3827"/>
        <v>0</v>
      </c>
      <c r="CC248" s="720">
        <f t="shared" si="3827"/>
        <v>0</v>
      </c>
      <c r="CD248" s="720">
        <f t="shared" si="3827"/>
        <v>0</v>
      </c>
      <c r="CE248" s="720">
        <f t="shared" si="3827"/>
        <v>0</v>
      </c>
      <c r="CF248" s="720">
        <f t="shared" si="3827"/>
        <v>0</v>
      </c>
      <c r="CG248" s="720">
        <f t="shared" si="3827"/>
        <v>0</v>
      </c>
      <c r="CH248" s="720">
        <f t="shared" si="3827"/>
        <v>0</v>
      </c>
      <c r="CI248" s="720">
        <f t="shared" si="3827"/>
        <v>0</v>
      </c>
      <c r="CJ248" s="720">
        <f t="shared" si="3827"/>
        <v>0</v>
      </c>
      <c r="CK248" s="720">
        <f t="shared" si="3827"/>
        <v>0</v>
      </c>
      <c r="CL248" s="720">
        <f t="shared" si="3827"/>
        <v>0</v>
      </c>
      <c r="CM248" s="720">
        <f t="shared" si="3827"/>
        <v>0</v>
      </c>
      <c r="CN248" s="720">
        <f t="shared" si="3827"/>
        <v>0</v>
      </c>
      <c r="CO248" s="720">
        <f t="shared" si="3827"/>
        <v>0</v>
      </c>
      <c r="CP248" s="720">
        <f t="shared" si="3827"/>
        <v>0</v>
      </c>
      <c r="CQ248" s="720">
        <f t="shared" si="3827"/>
        <v>0</v>
      </c>
      <c r="CR248" s="720">
        <f t="shared" si="3827"/>
        <v>0</v>
      </c>
      <c r="CS248" s="720">
        <f t="shared" si="3827"/>
        <v>0</v>
      </c>
      <c r="CV248" s="712"/>
      <c r="CW248" s="712"/>
      <c r="CX248" s="712"/>
      <c r="CY248" s="712"/>
      <c r="CZ248" s="712"/>
      <c r="DA248" s="712"/>
      <c r="DB248" s="712"/>
      <c r="DC248" s="712"/>
      <c r="DD248" s="712"/>
      <c r="DE248" s="712"/>
      <c r="DF248" s="712"/>
      <c r="DG248" s="712"/>
      <c r="DH248" s="712"/>
      <c r="DI248" s="712"/>
      <c r="DJ248" s="712"/>
      <c r="DK248" s="712"/>
      <c r="DL248" s="712"/>
      <c r="DM248" s="712"/>
      <c r="DN248" s="712"/>
      <c r="DO248" s="712"/>
      <c r="DP248" s="712"/>
      <c r="DQ248" s="712"/>
      <c r="DR248" s="712"/>
      <c r="DS248" s="712"/>
      <c r="DT248" s="712"/>
      <c r="DU248" s="712"/>
      <c r="DV248" s="712"/>
      <c r="DW248" s="712"/>
      <c r="DX248" s="712"/>
      <c r="DY248" s="712"/>
      <c r="DZ248" s="712"/>
      <c r="EA248" s="712"/>
      <c r="EB248" s="712"/>
      <c r="EC248" s="712"/>
      <c r="ED248" s="712"/>
      <c r="EE248" s="712"/>
      <c r="EF248" s="712"/>
      <c r="EG248" s="712"/>
      <c r="EH248" s="712"/>
      <c r="EI248" s="712"/>
      <c r="EJ248" s="712"/>
      <c r="EK248" s="712"/>
      <c r="EL248" s="712"/>
      <c r="EM248" s="712"/>
      <c r="EN248" s="712"/>
      <c r="EP248" s="947"/>
    </row>
    <row r="249" spans="7:146" ht="13.2">
      <c r="G249" s="714"/>
      <c r="H249" s="714" t="s">
        <v>81</v>
      </c>
      <c r="BA249" s="720">
        <f t="shared" ref="BA249:CS249" si="3828">BA201-BA163</f>
        <v>-12857.464666666667</v>
      </c>
      <c r="BB249" s="720">
        <f t="shared" si="3828"/>
        <v>-2534.0653333333335</v>
      </c>
      <c r="BC249" s="720">
        <f t="shared" si="3828"/>
        <v>0</v>
      </c>
      <c r="BD249" s="720">
        <f t="shared" si="3828"/>
        <v>0</v>
      </c>
      <c r="BE249" s="720">
        <f t="shared" si="3828"/>
        <v>0</v>
      </c>
      <c r="BF249" s="720">
        <f t="shared" si="3828"/>
        <v>0</v>
      </c>
      <c r="BG249" s="720">
        <f t="shared" si="3828"/>
        <v>0</v>
      </c>
      <c r="BH249" s="720">
        <f t="shared" si="3828"/>
        <v>-1629.0407732666665</v>
      </c>
      <c r="BI249" s="720">
        <f t="shared" si="3828"/>
        <v>-17020.570773266667</v>
      </c>
      <c r="BJ249" s="720">
        <f t="shared" si="3828"/>
        <v>-12767.162</v>
      </c>
      <c r="BK249" s="720">
        <f t="shared" si="3828"/>
        <v>-2695.7380000000003</v>
      </c>
      <c r="BL249" s="720">
        <f t="shared" si="3828"/>
        <v>0</v>
      </c>
      <c r="BM249" s="720">
        <f t="shared" si="3828"/>
        <v>0</v>
      </c>
      <c r="BN249" s="720">
        <f t="shared" si="3828"/>
        <v>0</v>
      </c>
      <c r="BO249" s="720">
        <f t="shared" si="3828"/>
        <v>0</v>
      </c>
      <c r="BP249" s="720">
        <f t="shared" si="3828"/>
        <v>0</v>
      </c>
      <c r="BQ249" s="720">
        <f t="shared" si="3828"/>
        <v>-1617.5994254</v>
      </c>
      <c r="BR249" s="720">
        <f t="shared" si="3828"/>
        <v>-17080.499425400001</v>
      </c>
      <c r="BS249" s="720">
        <f t="shared" si="3828"/>
        <v>-3168.9780000000001</v>
      </c>
      <c r="BT249" s="720">
        <f t="shared" si="3828"/>
        <v>-556.02200000000005</v>
      </c>
      <c r="BU249" s="720">
        <f t="shared" si="3828"/>
        <v>0</v>
      </c>
      <c r="BV249" s="720">
        <f t="shared" si="3828"/>
        <v>0</v>
      </c>
      <c r="BW249" s="720">
        <f t="shared" si="3828"/>
        <v>0</v>
      </c>
      <c r="BX249" s="720">
        <f t="shared" si="3828"/>
        <v>0</v>
      </c>
      <c r="BY249" s="720">
        <f t="shared" si="3828"/>
        <v>0</v>
      </c>
      <c r="BZ249" s="720">
        <f t="shared" si="3828"/>
        <v>-401.50951260000005</v>
      </c>
      <c r="CA249" s="720">
        <f t="shared" si="3828"/>
        <v>-4126.5095125999997</v>
      </c>
      <c r="CB249" s="720">
        <f t="shared" si="3828"/>
        <v>-600.34199999999998</v>
      </c>
      <c r="CC249" s="720">
        <f t="shared" si="3828"/>
        <v>-296.02800000000002</v>
      </c>
      <c r="CD249" s="720">
        <f t="shared" si="3828"/>
        <v>0</v>
      </c>
      <c r="CE249" s="720">
        <f t="shared" si="3828"/>
        <v>0</v>
      </c>
      <c r="CF249" s="720">
        <f t="shared" si="3828"/>
        <v>0</v>
      </c>
      <c r="CG249" s="720">
        <f t="shared" si="3828"/>
        <v>0</v>
      </c>
      <c r="CH249" s="720">
        <f t="shared" si="3828"/>
        <v>0</v>
      </c>
      <c r="CI249" s="720">
        <f t="shared" si="3828"/>
        <v>-76.063331399999996</v>
      </c>
      <c r="CJ249" s="720">
        <f t="shared" si="3828"/>
        <v>-972.43333140000004</v>
      </c>
      <c r="CK249" s="720">
        <f t="shared" si="3828"/>
        <v>29393.946666666667</v>
      </c>
      <c r="CL249" s="720">
        <f t="shared" si="3828"/>
        <v>6081.8533333333344</v>
      </c>
      <c r="CM249" s="720">
        <f t="shared" si="3828"/>
        <v>0</v>
      </c>
      <c r="CN249" s="720">
        <f t="shared" si="3828"/>
        <v>0</v>
      </c>
      <c r="CO249" s="720">
        <f t="shared" si="3828"/>
        <v>0</v>
      </c>
      <c r="CP249" s="720">
        <f t="shared" si="3828"/>
        <v>0</v>
      </c>
      <c r="CQ249" s="720">
        <f t="shared" si="3828"/>
        <v>0</v>
      </c>
      <c r="CR249" s="720">
        <f t="shared" si="3828"/>
        <v>3724.2130426666672</v>
      </c>
      <c r="CS249" s="720">
        <f t="shared" si="3828"/>
        <v>39200.013042666666</v>
      </c>
      <c r="CV249" s="712"/>
      <c r="CW249" s="712"/>
      <c r="CX249" s="712"/>
      <c r="CY249" s="712"/>
      <c r="CZ249" s="712"/>
      <c r="DA249" s="712"/>
      <c r="DB249" s="712"/>
      <c r="DC249" s="712"/>
      <c r="DD249" s="712"/>
      <c r="DE249" s="712"/>
      <c r="DF249" s="712"/>
      <c r="DG249" s="712"/>
      <c r="DH249" s="712"/>
      <c r="DI249" s="712"/>
      <c r="DJ249" s="712"/>
      <c r="DK249" s="712"/>
      <c r="DL249" s="712"/>
      <c r="DM249" s="712"/>
      <c r="DN249" s="712"/>
      <c r="DO249" s="712"/>
      <c r="DP249" s="712"/>
      <c r="DQ249" s="712"/>
      <c r="DR249" s="712"/>
      <c r="DS249" s="712"/>
      <c r="DT249" s="712"/>
      <c r="DU249" s="712"/>
      <c r="DV249" s="712"/>
      <c r="DW249" s="712"/>
      <c r="DX249" s="712"/>
      <c r="DY249" s="712"/>
      <c r="DZ249" s="712"/>
      <c r="EA249" s="712"/>
      <c r="EB249" s="712"/>
      <c r="EC249" s="712"/>
      <c r="ED249" s="712"/>
      <c r="EE249" s="712"/>
      <c r="EF249" s="712"/>
      <c r="EG249" s="712"/>
      <c r="EH249" s="712"/>
      <c r="EI249" s="712"/>
      <c r="EJ249" s="712"/>
      <c r="EK249" s="712"/>
      <c r="EL249" s="712"/>
      <c r="EM249" s="712"/>
      <c r="EN249" s="712"/>
      <c r="EP249" s="947"/>
    </row>
    <row r="250" spans="7:146" ht="13.2">
      <c r="G250" s="714"/>
      <c r="H250" s="714" t="s">
        <v>84</v>
      </c>
      <c r="BA250" s="720">
        <f t="shared" ref="BA250:CS250" si="3829">BA202-BA164</f>
        <v>0</v>
      </c>
      <c r="BB250" s="720">
        <f t="shared" si="3829"/>
        <v>0</v>
      </c>
      <c r="BC250" s="720">
        <f t="shared" si="3829"/>
        <v>0</v>
      </c>
      <c r="BD250" s="720">
        <f t="shared" si="3829"/>
        <v>0</v>
      </c>
      <c r="BE250" s="720">
        <f t="shared" si="3829"/>
        <v>0</v>
      </c>
      <c r="BF250" s="720">
        <f t="shared" si="3829"/>
        <v>0</v>
      </c>
      <c r="BG250" s="720">
        <f t="shared" si="3829"/>
        <v>0</v>
      </c>
      <c r="BH250" s="720">
        <f t="shared" si="3829"/>
        <v>0</v>
      </c>
      <c r="BI250" s="720">
        <f t="shared" si="3829"/>
        <v>0</v>
      </c>
      <c r="BJ250" s="720">
        <f t="shared" si="3829"/>
        <v>0</v>
      </c>
      <c r="BK250" s="720">
        <f t="shared" si="3829"/>
        <v>0</v>
      </c>
      <c r="BL250" s="720">
        <f t="shared" si="3829"/>
        <v>0</v>
      </c>
      <c r="BM250" s="720">
        <f t="shared" si="3829"/>
        <v>0</v>
      </c>
      <c r="BN250" s="720">
        <f t="shared" si="3829"/>
        <v>0</v>
      </c>
      <c r="BO250" s="720">
        <f t="shared" si="3829"/>
        <v>0</v>
      </c>
      <c r="BP250" s="720">
        <f t="shared" si="3829"/>
        <v>0</v>
      </c>
      <c r="BQ250" s="720">
        <f t="shared" si="3829"/>
        <v>0</v>
      </c>
      <c r="BR250" s="720">
        <f t="shared" si="3829"/>
        <v>0</v>
      </c>
      <c r="BS250" s="720">
        <f t="shared" si="3829"/>
        <v>0</v>
      </c>
      <c r="BT250" s="720">
        <f t="shared" si="3829"/>
        <v>0</v>
      </c>
      <c r="BU250" s="720">
        <f t="shared" si="3829"/>
        <v>0</v>
      </c>
      <c r="BV250" s="720">
        <f t="shared" si="3829"/>
        <v>0</v>
      </c>
      <c r="BW250" s="720">
        <f t="shared" si="3829"/>
        <v>0</v>
      </c>
      <c r="BX250" s="720">
        <f t="shared" si="3829"/>
        <v>0</v>
      </c>
      <c r="BY250" s="720">
        <f t="shared" si="3829"/>
        <v>0</v>
      </c>
      <c r="BZ250" s="720">
        <f t="shared" si="3829"/>
        <v>0</v>
      </c>
      <c r="CA250" s="720">
        <f t="shared" si="3829"/>
        <v>0</v>
      </c>
      <c r="CB250" s="720">
        <f t="shared" si="3829"/>
        <v>0</v>
      </c>
      <c r="CC250" s="720">
        <f t="shared" si="3829"/>
        <v>0</v>
      </c>
      <c r="CD250" s="720">
        <f t="shared" si="3829"/>
        <v>0</v>
      </c>
      <c r="CE250" s="720">
        <f t="shared" si="3829"/>
        <v>0</v>
      </c>
      <c r="CF250" s="720">
        <f t="shared" si="3829"/>
        <v>0</v>
      </c>
      <c r="CG250" s="720">
        <f t="shared" si="3829"/>
        <v>0</v>
      </c>
      <c r="CH250" s="720">
        <f t="shared" si="3829"/>
        <v>0</v>
      </c>
      <c r="CI250" s="720">
        <f t="shared" si="3829"/>
        <v>0</v>
      </c>
      <c r="CJ250" s="720">
        <f t="shared" si="3829"/>
        <v>0</v>
      </c>
      <c r="CK250" s="720">
        <f t="shared" si="3829"/>
        <v>0</v>
      </c>
      <c r="CL250" s="720">
        <f t="shared" si="3829"/>
        <v>0</v>
      </c>
      <c r="CM250" s="720">
        <f t="shared" si="3829"/>
        <v>0</v>
      </c>
      <c r="CN250" s="720">
        <f t="shared" si="3829"/>
        <v>0</v>
      </c>
      <c r="CO250" s="720">
        <f t="shared" si="3829"/>
        <v>0</v>
      </c>
      <c r="CP250" s="720">
        <f t="shared" si="3829"/>
        <v>0</v>
      </c>
      <c r="CQ250" s="720">
        <f t="shared" si="3829"/>
        <v>0</v>
      </c>
      <c r="CR250" s="720">
        <f t="shared" si="3829"/>
        <v>0</v>
      </c>
      <c r="CS250" s="720">
        <f t="shared" si="3829"/>
        <v>0</v>
      </c>
      <c r="CV250" s="712"/>
      <c r="CW250" s="712"/>
      <c r="CX250" s="712"/>
      <c r="CY250" s="712"/>
      <c r="CZ250" s="712"/>
      <c r="DA250" s="712"/>
      <c r="DB250" s="712"/>
      <c r="DC250" s="712"/>
      <c r="DD250" s="712"/>
      <c r="DE250" s="712"/>
      <c r="DF250" s="712"/>
      <c r="DG250" s="712"/>
      <c r="DH250" s="712"/>
      <c r="DI250" s="712"/>
      <c r="DJ250" s="712"/>
      <c r="DK250" s="712"/>
      <c r="DL250" s="712"/>
      <c r="DM250" s="712"/>
      <c r="DN250" s="712"/>
      <c r="DO250" s="712"/>
      <c r="DP250" s="712"/>
      <c r="DQ250" s="712"/>
      <c r="DR250" s="712"/>
      <c r="DS250" s="712"/>
      <c r="DT250" s="712"/>
      <c r="DU250" s="712"/>
      <c r="DV250" s="712"/>
      <c r="DW250" s="712"/>
      <c r="DX250" s="712"/>
      <c r="DY250" s="712"/>
      <c r="DZ250" s="712"/>
      <c r="EA250" s="712"/>
      <c r="EB250" s="712"/>
      <c r="EC250" s="712"/>
      <c r="ED250" s="712"/>
      <c r="EE250" s="712"/>
      <c r="EF250" s="712"/>
      <c r="EG250" s="712"/>
      <c r="EH250" s="712"/>
      <c r="EI250" s="712"/>
      <c r="EJ250" s="712"/>
      <c r="EK250" s="712"/>
      <c r="EL250" s="712"/>
      <c r="EM250" s="712"/>
      <c r="EN250" s="712"/>
      <c r="EP250" s="947"/>
    </row>
    <row r="251" spans="7:146" ht="13.2">
      <c r="G251" s="714"/>
      <c r="H251" s="714" t="s">
        <v>85</v>
      </c>
      <c r="BA251" s="720">
        <f t="shared" ref="BA251:CS251" si="3830">BA203-BA165</f>
        <v>-7600</v>
      </c>
      <c r="BB251" s="720">
        <f t="shared" si="3830"/>
        <v>-2000</v>
      </c>
      <c r="BC251" s="720">
        <f t="shared" si="3830"/>
        <v>0</v>
      </c>
      <c r="BD251" s="720">
        <f t="shared" si="3830"/>
        <v>0</v>
      </c>
      <c r="BE251" s="720">
        <f t="shared" si="3830"/>
        <v>0</v>
      </c>
      <c r="BF251" s="720">
        <f t="shared" si="3830"/>
        <v>0</v>
      </c>
      <c r="BG251" s="720">
        <f t="shared" si="3830"/>
        <v>0</v>
      </c>
      <c r="BH251" s="720">
        <f t="shared" si="3830"/>
        <v>-962.92000000000007</v>
      </c>
      <c r="BI251" s="720">
        <f t="shared" si="3830"/>
        <v>-10562.92</v>
      </c>
      <c r="BJ251" s="720">
        <f t="shared" si="3830"/>
        <v>-8550</v>
      </c>
      <c r="BK251" s="720">
        <f t="shared" si="3830"/>
        <v>-2250</v>
      </c>
      <c r="BL251" s="720">
        <f t="shared" si="3830"/>
        <v>0</v>
      </c>
      <c r="BM251" s="720">
        <f t="shared" si="3830"/>
        <v>0</v>
      </c>
      <c r="BN251" s="720">
        <f t="shared" si="3830"/>
        <v>0</v>
      </c>
      <c r="BO251" s="720">
        <f t="shared" si="3830"/>
        <v>0</v>
      </c>
      <c r="BP251" s="720">
        <f t="shared" si="3830"/>
        <v>0</v>
      </c>
      <c r="BQ251" s="720">
        <f t="shared" si="3830"/>
        <v>-1083.2850000000001</v>
      </c>
      <c r="BR251" s="720">
        <f t="shared" si="3830"/>
        <v>-11883.285</v>
      </c>
      <c r="BS251" s="720">
        <f t="shared" si="3830"/>
        <v>-1900</v>
      </c>
      <c r="BT251" s="720">
        <f t="shared" si="3830"/>
        <v>-500</v>
      </c>
      <c r="BU251" s="720">
        <f t="shared" si="3830"/>
        <v>0</v>
      </c>
      <c r="BV251" s="720">
        <f t="shared" si="3830"/>
        <v>0</v>
      </c>
      <c r="BW251" s="720">
        <f t="shared" si="3830"/>
        <v>0</v>
      </c>
      <c r="BX251" s="720">
        <f t="shared" si="3830"/>
        <v>0</v>
      </c>
      <c r="BY251" s="720">
        <f t="shared" si="3830"/>
        <v>0</v>
      </c>
      <c r="BZ251" s="720">
        <f t="shared" si="3830"/>
        <v>-240.73000000000002</v>
      </c>
      <c r="CA251" s="720">
        <f t="shared" si="3830"/>
        <v>-2640.73</v>
      </c>
      <c r="CB251" s="720">
        <f t="shared" si="3830"/>
        <v>-950</v>
      </c>
      <c r="CC251" s="720">
        <f t="shared" si="3830"/>
        <v>-250</v>
      </c>
      <c r="CD251" s="720">
        <f t="shared" si="3830"/>
        <v>0</v>
      </c>
      <c r="CE251" s="720">
        <f t="shared" si="3830"/>
        <v>0</v>
      </c>
      <c r="CF251" s="720">
        <f t="shared" si="3830"/>
        <v>0</v>
      </c>
      <c r="CG251" s="720">
        <f t="shared" si="3830"/>
        <v>0</v>
      </c>
      <c r="CH251" s="720">
        <f t="shared" si="3830"/>
        <v>0</v>
      </c>
      <c r="CI251" s="720">
        <f t="shared" si="3830"/>
        <v>-120.36500000000001</v>
      </c>
      <c r="CJ251" s="720">
        <f t="shared" si="3830"/>
        <v>-1320.365</v>
      </c>
      <c r="CK251" s="720">
        <f t="shared" si="3830"/>
        <v>19000</v>
      </c>
      <c r="CL251" s="720">
        <f t="shared" si="3830"/>
        <v>5000</v>
      </c>
      <c r="CM251" s="720">
        <f t="shared" si="3830"/>
        <v>0</v>
      </c>
      <c r="CN251" s="720">
        <f t="shared" si="3830"/>
        <v>0</v>
      </c>
      <c r="CO251" s="720">
        <f t="shared" si="3830"/>
        <v>0</v>
      </c>
      <c r="CP251" s="720">
        <f t="shared" si="3830"/>
        <v>0</v>
      </c>
      <c r="CQ251" s="720">
        <f t="shared" si="3830"/>
        <v>0</v>
      </c>
      <c r="CR251" s="720">
        <f t="shared" si="3830"/>
        <v>2407.3000000000002</v>
      </c>
      <c r="CS251" s="720">
        <f t="shared" si="3830"/>
        <v>26407.3</v>
      </c>
      <c r="CV251" s="712"/>
      <c r="CW251" s="712"/>
      <c r="CX251" s="712"/>
      <c r="CY251" s="712"/>
      <c r="CZ251" s="712"/>
      <c r="DA251" s="712"/>
      <c r="DB251" s="712"/>
      <c r="DC251" s="712"/>
      <c r="DD251" s="712"/>
      <c r="DE251" s="712"/>
      <c r="DF251" s="712"/>
      <c r="DG251" s="712"/>
      <c r="DH251" s="712"/>
      <c r="DI251" s="712"/>
      <c r="DJ251" s="712"/>
      <c r="DK251" s="712"/>
      <c r="DL251" s="712"/>
      <c r="DM251" s="712"/>
      <c r="DN251" s="712"/>
      <c r="DO251" s="712"/>
      <c r="DP251" s="712"/>
      <c r="DQ251" s="712"/>
      <c r="DR251" s="712"/>
      <c r="DS251" s="712"/>
      <c r="DT251" s="712"/>
      <c r="DU251" s="712"/>
      <c r="DV251" s="712"/>
      <c r="DW251" s="712"/>
      <c r="DX251" s="712"/>
      <c r="DY251" s="712"/>
      <c r="DZ251" s="712"/>
      <c r="EA251" s="712"/>
      <c r="EB251" s="712"/>
      <c r="EC251" s="712"/>
      <c r="ED251" s="712"/>
      <c r="EE251" s="712"/>
      <c r="EF251" s="712"/>
      <c r="EG251" s="712"/>
      <c r="EH251" s="712"/>
      <c r="EI251" s="712"/>
      <c r="EJ251" s="712"/>
      <c r="EK251" s="712"/>
      <c r="EL251" s="712"/>
      <c r="EM251" s="712"/>
      <c r="EN251" s="712"/>
      <c r="EP251" s="947"/>
    </row>
    <row r="252" spans="7:146" ht="13.2">
      <c r="G252" s="714"/>
      <c r="H252" s="714" t="s">
        <v>9</v>
      </c>
      <c r="BA252" s="720">
        <f t="shared" ref="BA252:CS252" si="3831">BA204-BA166</f>
        <v>0</v>
      </c>
      <c r="BB252" s="720">
        <f t="shared" si="3831"/>
        <v>0</v>
      </c>
      <c r="BC252" s="720">
        <f t="shared" si="3831"/>
        <v>0</v>
      </c>
      <c r="BD252" s="720">
        <f t="shared" si="3831"/>
        <v>0</v>
      </c>
      <c r="BE252" s="720">
        <f t="shared" si="3831"/>
        <v>0</v>
      </c>
      <c r="BF252" s="720">
        <f t="shared" si="3831"/>
        <v>0</v>
      </c>
      <c r="BG252" s="720">
        <f t="shared" si="3831"/>
        <v>0</v>
      </c>
      <c r="BH252" s="720">
        <f t="shared" si="3831"/>
        <v>0</v>
      </c>
      <c r="BI252" s="720">
        <f t="shared" si="3831"/>
        <v>0</v>
      </c>
      <c r="BJ252" s="720">
        <f t="shared" si="3831"/>
        <v>0</v>
      </c>
      <c r="BK252" s="720">
        <f t="shared" si="3831"/>
        <v>0</v>
      </c>
      <c r="BL252" s="720">
        <f t="shared" si="3831"/>
        <v>0</v>
      </c>
      <c r="BM252" s="720">
        <f t="shared" si="3831"/>
        <v>0</v>
      </c>
      <c r="BN252" s="720">
        <f t="shared" si="3831"/>
        <v>0</v>
      </c>
      <c r="BO252" s="720">
        <f t="shared" si="3831"/>
        <v>0</v>
      </c>
      <c r="BP252" s="720">
        <f t="shared" si="3831"/>
        <v>0</v>
      </c>
      <c r="BQ252" s="720">
        <f t="shared" si="3831"/>
        <v>0</v>
      </c>
      <c r="BR252" s="720">
        <f t="shared" si="3831"/>
        <v>0</v>
      </c>
      <c r="BS252" s="720">
        <f t="shared" si="3831"/>
        <v>0</v>
      </c>
      <c r="BT252" s="720">
        <f t="shared" si="3831"/>
        <v>0</v>
      </c>
      <c r="BU252" s="720">
        <f t="shared" si="3831"/>
        <v>0</v>
      </c>
      <c r="BV252" s="720">
        <f t="shared" si="3831"/>
        <v>0</v>
      </c>
      <c r="BW252" s="720">
        <f t="shared" si="3831"/>
        <v>0</v>
      </c>
      <c r="BX252" s="720">
        <f t="shared" si="3831"/>
        <v>0</v>
      </c>
      <c r="BY252" s="720">
        <f t="shared" si="3831"/>
        <v>0</v>
      </c>
      <c r="BZ252" s="720">
        <f t="shared" si="3831"/>
        <v>0</v>
      </c>
      <c r="CA252" s="720">
        <f t="shared" si="3831"/>
        <v>0</v>
      </c>
      <c r="CB252" s="720">
        <f t="shared" si="3831"/>
        <v>0</v>
      </c>
      <c r="CC252" s="720">
        <f t="shared" si="3831"/>
        <v>0</v>
      </c>
      <c r="CD252" s="720">
        <f t="shared" si="3831"/>
        <v>0</v>
      </c>
      <c r="CE252" s="720">
        <f t="shared" si="3831"/>
        <v>0</v>
      </c>
      <c r="CF252" s="720">
        <f t="shared" si="3831"/>
        <v>0</v>
      </c>
      <c r="CG252" s="720">
        <f t="shared" si="3831"/>
        <v>0</v>
      </c>
      <c r="CH252" s="720">
        <f t="shared" si="3831"/>
        <v>0</v>
      </c>
      <c r="CI252" s="720">
        <f t="shared" si="3831"/>
        <v>0</v>
      </c>
      <c r="CJ252" s="720">
        <f t="shared" si="3831"/>
        <v>0</v>
      </c>
      <c r="CK252" s="720">
        <f t="shared" si="3831"/>
        <v>0</v>
      </c>
      <c r="CL252" s="720">
        <f t="shared" si="3831"/>
        <v>0</v>
      </c>
      <c r="CM252" s="720">
        <f t="shared" si="3831"/>
        <v>0</v>
      </c>
      <c r="CN252" s="720">
        <f t="shared" si="3831"/>
        <v>0</v>
      </c>
      <c r="CO252" s="720">
        <f t="shared" si="3831"/>
        <v>0</v>
      </c>
      <c r="CP252" s="720">
        <f t="shared" si="3831"/>
        <v>0</v>
      </c>
      <c r="CQ252" s="720">
        <f t="shared" si="3831"/>
        <v>0</v>
      </c>
      <c r="CR252" s="720">
        <f t="shared" si="3831"/>
        <v>0</v>
      </c>
      <c r="CS252" s="720">
        <f t="shared" si="3831"/>
        <v>0</v>
      </c>
      <c r="CV252" s="712"/>
      <c r="CW252" s="712"/>
      <c r="CX252" s="712"/>
      <c r="CY252" s="712"/>
      <c r="CZ252" s="712"/>
      <c r="DA252" s="712"/>
      <c r="DB252" s="712"/>
      <c r="DC252" s="712"/>
      <c r="DD252" s="712"/>
      <c r="DE252" s="712"/>
      <c r="DF252" s="712"/>
      <c r="DG252" s="712"/>
      <c r="DH252" s="712"/>
      <c r="DI252" s="712"/>
      <c r="DJ252" s="712"/>
      <c r="DK252" s="712"/>
      <c r="DL252" s="712"/>
      <c r="DM252" s="712"/>
      <c r="DN252" s="712"/>
      <c r="DO252" s="712"/>
      <c r="DP252" s="712"/>
      <c r="DQ252" s="712"/>
      <c r="DR252" s="712"/>
      <c r="DS252" s="712"/>
      <c r="DT252" s="712"/>
      <c r="DU252" s="712"/>
      <c r="DV252" s="712"/>
      <c r="DW252" s="712"/>
      <c r="DX252" s="712"/>
      <c r="DY252" s="712"/>
      <c r="DZ252" s="712"/>
      <c r="EA252" s="712"/>
      <c r="EB252" s="712"/>
      <c r="EC252" s="712"/>
      <c r="ED252" s="712"/>
      <c r="EE252" s="712"/>
      <c r="EF252" s="712"/>
      <c r="EG252" s="712"/>
      <c r="EH252" s="712"/>
      <c r="EI252" s="712"/>
      <c r="EJ252" s="712"/>
      <c r="EK252" s="712"/>
      <c r="EL252" s="712"/>
      <c r="EM252" s="712"/>
      <c r="EN252" s="712"/>
      <c r="EP252" s="947"/>
    </row>
    <row r="253" spans="7:146" ht="13.2">
      <c r="G253" s="714"/>
      <c r="H253" s="714" t="s">
        <v>10</v>
      </c>
      <c r="BA253" s="720">
        <f t="shared" ref="BA253:CS253" si="3832">BA205-BA167</f>
        <v>0</v>
      </c>
      <c r="BB253" s="720">
        <f t="shared" si="3832"/>
        <v>0</v>
      </c>
      <c r="BC253" s="720">
        <f t="shared" si="3832"/>
        <v>0</v>
      </c>
      <c r="BD253" s="720">
        <f t="shared" si="3832"/>
        <v>0</v>
      </c>
      <c r="BE253" s="720">
        <f t="shared" si="3832"/>
        <v>0</v>
      </c>
      <c r="BF253" s="720">
        <f t="shared" si="3832"/>
        <v>0</v>
      </c>
      <c r="BG253" s="720">
        <f t="shared" si="3832"/>
        <v>0</v>
      </c>
      <c r="BH253" s="720">
        <f t="shared" si="3832"/>
        <v>0</v>
      </c>
      <c r="BI253" s="720">
        <f t="shared" si="3832"/>
        <v>0</v>
      </c>
      <c r="BJ253" s="720">
        <f t="shared" si="3832"/>
        <v>0</v>
      </c>
      <c r="BK253" s="720">
        <f t="shared" si="3832"/>
        <v>0</v>
      </c>
      <c r="BL253" s="720">
        <f t="shared" si="3832"/>
        <v>0</v>
      </c>
      <c r="BM253" s="720">
        <f t="shared" si="3832"/>
        <v>0</v>
      </c>
      <c r="BN253" s="720">
        <f t="shared" si="3832"/>
        <v>0</v>
      </c>
      <c r="BO253" s="720">
        <f t="shared" si="3832"/>
        <v>0</v>
      </c>
      <c r="BP253" s="720">
        <f t="shared" si="3832"/>
        <v>0</v>
      </c>
      <c r="BQ253" s="720">
        <f t="shared" si="3832"/>
        <v>0</v>
      </c>
      <c r="BR253" s="720">
        <f t="shared" si="3832"/>
        <v>0</v>
      </c>
      <c r="BS253" s="720">
        <f t="shared" si="3832"/>
        <v>0</v>
      </c>
      <c r="BT253" s="720">
        <f t="shared" si="3832"/>
        <v>0</v>
      </c>
      <c r="BU253" s="720">
        <f t="shared" si="3832"/>
        <v>0</v>
      </c>
      <c r="BV253" s="720">
        <f t="shared" si="3832"/>
        <v>0</v>
      </c>
      <c r="BW253" s="720">
        <f t="shared" si="3832"/>
        <v>0</v>
      </c>
      <c r="BX253" s="720">
        <f t="shared" si="3832"/>
        <v>0</v>
      </c>
      <c r="BY253" s="720">
        <f t="shared" si="3832"/>
        <v>0</v>
      </c>
      <c r="BZ253" s="720">
        <f t="shared" si="3832"/>
        <v>0</v>
      </c>
      <c r="CA253" s="720">
        <f t="shared" si="3832"/>
        <v>0</v>
      </c>
      <c r="CB253" s="720">
        <f t="shared" si="3832"/>
        <v>0</v>
      </c>
      <c r="CC253" s="720">
        <f t="shared" si="3832"/>
        <v>0</v>
      </c>
      <c r="CD253" s="720">
        <f t="shared" si="3832"/>
        <v>0</v>
      </c>
      <c r="CE253" s="720">
        <f t="shared" si="3832"/>
        <v>0</v>
      </c>
      <c r="CF253" s="720">
        <f t="shared" si="3832"/>
        <v>0</v>
      </c>
      <c r="CG253" s="720">
        <f t="shared" si="3832"/>
        <v>0</v>
      </c>
      <c r="CH253" s="720">
        <f t="shared" si="3832"/>
        <v>0</v>
      </c>
      <c r="CI253" s="720">
        <f t="shared" si="3832"/>
        <v>0</v>
      </c>
      <c r="CJ253" s="720">
        <f t="shared" si="3832"/>
        <v>0</v>
      </c>
      <c r="CK253" s="720">
        <f t="shared" si="3832"/>
        <v>0</v>
      </c>
      <c r="CL253" s="720">
        <f t="shared" si="3832"/>
        <v>0</v>
      </c>
      <c r="CM253" s="720">
        <f t="shared" si="3832"/>
        <v>0</v>
      </c>
      <c r="CN253" s="720">
        <f t="shared" si="3832"/>
        <v>0</v>
      </c>
      <c r="CO253" s="720">
        <f t="shared" si="3832"/>
        <v>0</v>
      </c>
      <c r="CP253" s="720">
        <f t="shared" si="3832"/>
        <v>0</v>
      </c>
      <c r="CQ253" s="720">
        <f t="shared" si="3832"/>
        <v>0</v>
      </c>
      <c r="CR253" s="720">
        <f t="shared" si="3832"/>
        <v>0</v>
      </c>
      <c r="CS253" s="720">
        <f t="shared" si="3832"/>
        <v>0</v>
      </c>
      <c r="CV253" s="712"/>
      <c r="CW253" s="712"/>
      <c r="CX253" s="712"/>
      <c r="CY253" s="712"/>
      <c r="CZ253" s="712"/>
      <c r="DA253" s="712"/>
      <c r="DB253" s="712"/>
      <c r="DC253" s="712"/>
      <c r="DD253" s="712"/>
      <c r="DE253" s="712"/>
      <c r="DF253" s="712"/>
      <c r="DG253" s="712"/>
      <c r="DH253" s="712"/>
      <c r="DI253" s="712"/>
      <c r="DJ253" s="712"/>
      <c r="DK253" s="712"/>
      <c r="DL253" s="712"/>
      <c r="DM253" s="712"/>
      <c r="DN253" s="712"/>
      <c r="DO253" s="712"/>
      <c r="DP253" s="712"/>
      <c r="DQ253" s="712"/>
      <c r="DR253" s="712"/>
      <c r="DS253" s="712"/>
      <c r="DT253" s="712"/>
      <c r="DU253" s="712"/>
      <c r="DV253" s="712"/>
      <c r="DW253" s="712"/>
      <c r="DX253" s="712"/>
      <c r="DY253" s="712"/>
      <c r="DZ253" s="712"/>
      <c r="EA253" s="712"/>
      <c r="EB253" s="712"/>
      <c r="EC253" s="712"/>
      <c r="ED253" s="712"/>
      <c r="EE253" s="712"/>
      <c r="EF253" s="712"/>
      <c r="EG253" s="712"/>
      <c r="EH253" s="712"/>
      <c r="EI253" s="712"/>
      <c r="EJ253" s="712"/>
      <c r="EK253" s="712"/>
      <c r="EL253" s="712"/>
      <c r="EM253" s="712"/>
      <c r="EN253" s="712"/>
      <c r="EP253" s="947"/>
    </row>
    <row r="254" spans="7:146" ht="13.2">
      <c r="G254" s="714"/>
      <c r="H254" s="714" t="s">
        <v>8</v>
      </c>
      <c r="BA254" s="720">
        <f t="shared" ref="BA254:CS254" si="3833">BA206-BA168</f>
        <v>0</v>
      </c>
      <c r="BB254" s="720">
        <f t="shared" si="3833"/>
        <v>0</v>
      </c>
      <c r="BC254" s="720">
        <f t="shared" si="3833"/>
        <v>0</v>
      </c>
      <c r="BD254" s="720">
        <f t="shared" si="3833"/>
        <v>0</v>
      </c>
      <c r="BE254" s="720">
        <f t="shared" si="3833"/>
        <v>0</v>
      </c>
      <c r="BF254" s="720">
        <f t="shared" si="3833"/>
        <v>0</v>
      </c>
      <c r="BG254" s="720">
        <f t="shared" si="3833"/>
        <v>0</v>
      </c>
      <c r="BH254" s="720">
        <f t="shared" si="3833"/>
        <v>0</v>
      </c>
      <c r="BI254" s="720">
        <f t="shared" si="3833"/>
        <v>0</v>
      </c>
      <c r="BJ254" s="720">
        <f t="shared" si="3833"/>
        <v>0</v>
      </c>
      <c r="BK254" s="720">
        <f t="shared" si="3833"/>
        <v>0</v>
      </c>
      <c r="BL254" s="720">
        <f t="shared" si="3833"/>
        <v>0</v>
      </c>
      <c r="BM254" s="720">
        <f t="shared" si="3833"/>
        <v>0</v>
      </c>
      <c r="BN254" s="720">
        <f t="shared" si="3833"/>
        <v>0</v>
      </c>
      <c r="BO254" s="720">
        <f t="shared" si="3833"/>
        <v>0</v>
      </c>
      <c r="BP254" s="720">
        <f t="shared" si="3833"/>
        <v>0</v>
      </c>
      <c r="BQ254" s="720">
        <f t="shared" si="3833"/>
        <v>0</v>
      </c>
      <c r="BR254" s="720">
        <f t="shared" si="3833"/>
        <v>0</v>
      </c>
      <c r="BS254" s="720">
        <f t="shared" si="3833"/>
        <v>0</v>
      </c>
      <c r="BT254" s="720">
        <f t="shared" si="3833"/>
        <v>0</v>
      </c>
      <c r="BU254" s="720">
        <f t="shared" si="3833"/>
        <v>0</v>
      </c>
      <c r="BV254" s="720">
        <f t="shared" si="3833"/>
        <v>0</v>
      </c>
      <c r="BW254" s="720">
        <f t="shared" si="3833"/>
        <v>0</v>
      </c>
      <c r="BX254" s="720">
        <f t="shared" si="3833"/>
        <v>0</v>
      </c>
      <c r="BY254" s="720">
        <f t="shared" si="3833"/>
        <v>0</v>
      </c>
      <c r="BZ254" s="720">
        <f t="shared" si="3833"/>
        <v>0</v>
      </c>
      <c r="CA254" s="720">
        <f t="shared" si="3833"/>
        <v>0</v>
      </c>
      <c r="CB254" s="720">
        <f t="shared" si="3833"/>
        <v>0</v>
      </c>
      <c r="CC254" s="720">
        <f t="shared" si="3833"/>
        <v>0</v>
      </c>
      <c r="CD254" s="720">
        <f t="shared" si="3833"/>
        <v>0</v>
      </c>
      <c r="CE254" s="720">
        <f t="shared" si="3833"/>
        <v>0</v>
      </c>
      <c r="CF254" s="720">
        <f t="shared" si="3833"/>
        <v>0</v>
      </c>
      <c r="CG254" s="720">
        <f t="shared" si="3833"/>
        <v>0</v>
      </c>
      <c r="CH254" s="720">
        <f t="shared" si="3833"/>
        <v>0</v>
      </c>
      <c r="CI254" s="720">
        <f t="shared" si="3833"/>
        <v>0</v>
      </c>
      <c r="CJ254" s="720">
        <f t="shared" si="3833"/>
        <v>0</v>
      </c>
      <c r="CK254" s="720">
        <f t="shared" si="3833"/>
        <v>0</v>
      </c>
      <c r="CL254" s="720">
        <f t="shared" si="3833"/>
        <v>0</v>
      </c>
      <c r="CM254" s="720">
        <f t="shared" si="3833"/>
        <v>0</v>
      </c>
      <c r="CN254" s="720">
        <f t="shared" si="3833"/>
        <v>0</v>
      </c>
      <c r="CO254" s="720">
        <f t="shared" si="3833"/>
        <v>0</v>
      </c>
      <c r="CP254" s="720">
        <f t="shared" si="3833"/>
        <v>0</v>
      </c>
      <c r="CQ254" s="720">
        <f t="shared" si="3833"/>
        <v>0</v>
      </c>
      <c r="CR254" s="720">
        <f t="shared" si="3833"/>
        <v>0</v>
      </c>
      <c r="CS254" s="720">
        <f t="shared" si="3833"/>
        <v>0</v>
      </c>
      <c r="CV254" s="712"/>
      <c r="CW254" s="712"/>
      <c r="CX254" s="712"/>
      <c r="CY254" s="712"/>
      <c r="CZ254" s="712"/>
      <c r="DA254" s="712"/>
      <c r="DB254" s="712"/>
      <c r="DC254" s="712"/>
      <c r="DD254" s="712"/>
      <c r="DE254" s="712"/>
      <c r="DF254" s="712"/>
      <c r="DG254" s="712"/>
      <c r="DH254" s="712"/>
      <c r="DI254" s="712"/>
      <c r="DJ254" s="712"/>
      <c r="DK254" s="712"/>
      <c r="DL254" s="712"/>
      <c r="DM254" s="712"/>
      <c r="DN254" s="712"/>
      <c r="DO254" s="712"/>
      <c r="DP254" s="712"/>
      <c r="DQ254" s="712"/>
      <c r="DR254" s="712"/>
      <c r="DS254" s="712"/>
      <c r="DT254" s="712"/>
      <c r="DU254" s="712"/>
      <c r="DV254" s="712"/>
      <c r="DW254" s="712"/>
      <c r="DX254" s="712"/>
      <c r="DY254" s="712"/>
      <c r="DZ254" s="712"/>
      <c r="EA254" s="712"/>
      <c r="EB254" s="712"/>
      <c r="EC254" s="712"/>
      <c r="ED254" s="712"/>
      <c r="EE254" s="712"/>
      <c r="EF254" s="712"/>
      <c r="EG254" s="712"/>
      <c r="EH254" s="712"/>
      <c r="EI254" s="712"/>
      <c r="EJ254" s="712"/>
      <c r="EK254" s="712"/>
      <c r="EL254" s="712"/>
      <c r="EM254" s="712"/>
      <c r="EN254" s="712"/>
      <c r="EP254" s="947"/>
    </row>
    <row r="255" spans="7:146" ht="13.2">
      <c r="G255" s="714"/>
      <c r="H255" s="714" t="s">
        <v>8</v>
      </c>
      <c r="BA255" s="720">
        <f t="shared" ref="BA255:CJ255" si="3834">BA207-BA169</f>
        <v>0</v>
      </c>
      <c r="BB255" s="720">
        <f t="shared" si="3834"/>
        <v>0</v>
      </c>
      <c r="BC255" s="720">
        <f t="shared" si="3834"/>
        <v>0</v>
      </c>
      <c r="BD255" s="720">
        <f t="shared" si="3834"/>
        <v>0</v>
      </c>
      <c r="BE255" s="720">
        <f t="shared" si="3834"/>
        <v>0</v>
      </c>
      <c r="BF255" s="720">
        <f t="shared" si="3834"/>
        <v>0</v>
      </c>
      <c r="BG255" s="720">
        <f t="shared" si="3834"/>
        <v>0</v>
      </c>
      <c r="BH255" s="720">
        <f t="shared" si="3834"/>
        <v>0</v>
      </c>
      <c r="BI255" s="720">
        <f t="shared" si="3834"/>
        <v>0</v>
      </c>
      <c r="BJ255" s="720">
        <f t="shared" si="3834"/>
        <v>0</v>
      </c>
      <c r="BK255" s="720">
        <f t="shared" si="3834"/>
        <v>0</v>
      </c>
      <c r="BL255" s="720">
        <f t="shared" si="3834"/>
        <v>0</v>
      </c>
      <c r="BM255" s="720">
        <f t="shared" si="3834"/>
        <v>0</v>
      </c>
      <c r="BN255" s="720">
        <f t="shared" si="3834"/>
        <v>0</v>
      </c>
      <c r="BO255" s="720">
        <f t="shared" si="3834"/>
        <v>0</v>
      </c>
      <c r="BP255" s="720">
        <f t="shared" si="3834"/>
        <v>0</v>
      </c>
      <c r="BQ255" s="720">
        <f t="shared" si="3834"/>
        <v>0</v>
      </c>
      <c r="BR255" s="720">
        <f t="shared" si="3834"/>
        <v>0</v>
      </c>
      <c r="BS255" s="720">
        <f t="shared" si="3834"/>
        <v>0</v>
      </c>
      <c r="BT255" s="720">
        <f t="shared" si="3834"/>
        <v>0</v>
      </c>
      <c r="BU255" s="720">
        <f t="shared" si="3834"/>
        <v>0</v>
      </c>
      <c r="BV255" s="720">
        <f t="shared" si="3834"/>
        <v>0</v>
      </c>
      <c r="BW255" s="720">
        <f t="shared" si="3834"/>
        <v>0</v>
      </c>
      <c r="BX255" s="720">
        <f t="shared" si="3834"/>
        <v>0</v>
      </c>
      <c r="BY255" s="720">
        <f t="shared" si="3834"/>
        <v>0</v>
      </c>
      <c r="BZ255" s="720">
        <f t="shared" si="3834"/>
        <v>0</v>
      </c>
      <c r="CA255" s="720">
        <f t="shared" si="3834"/>
        <v>0</v>
      </c>
      <c r="CB255" s="720">
        <f t="shared" si="3834"/>
        <v>0</v>
      </c>
      <c r="CC255" s="720">
        <f t="shared" si="3834"/>
        <v>0</v>
      </c>
      <c r="CD255" s="720">
        <f t="shared" si="3834"/>
        <v>0</v>
      </c>
      <c r="CE255" s="720">
        <f t="shared" si="3834"/>
        <v>0</v>
      </c>
      <c r="CF255" s="720">
        <f t="shared" si="3834"/>
        <v>0</v>
      </c>
      <c r="CG255" s="720">
        <f t="shared" si="3834"/>
        <v>0</v>
      </c>
      <c r="CH255" s="720">
        <f t="shared" si="3834"/>
        <v>0</v>
      </c>
      <c r="CI255" s="720">
        <f t="shared" si="3834"/>
        <v>0</v>
      </c>
      <c r="CJ255" s="720">
        <f t="shared" si="3834"/>
        <v>0</v>
      </c>
      <c r="CK255" s="720">
        <v>0</v>
      </c>
      <c r="CL255" s="720">
        <v>0</v>
      </c>
      <c r="CM255" s="720">
        <v>0</v>
      </c>
      <c r="CN255" s="720">
        <v>0</v>
      </c>
      <c r="CO255" s="720">
        <v>0</v>
      </c>
      <c r="CP255" s="720">
        <v>0</v>
      </c>
      <c r="CQ255" s="720">
        <v>0</v>
      </c>
      <c r="CR255" s="720">
        <v>0</v>
      </c>
      <c r="CS255" s="720">
        <v>0</v>
      </c>
      <c r="CV255" s="712"/>
      <c r="CW255" s="712"/>
      <c r="CX255" s="712"/>
      <c r="CY255" s="712"/>
      <c r="CZ255" s="712"/>
      <c r="DA255" s="712"/>
      <c r="DB255" s="712"/>
      <c r="DC255" s="712"/>
      <c r="DD255" s="712"/>
      <c r="DE255" s="712"/>
      <c r="DF255" s="712"/>
      <c r="DG255" s="712"/>
      <c r="DH255" s="712"/>
      <c r="DI255" s="712"/>
      <c r="DJ255" s="712"/>
      <c r="DK255" s="712"/>
      <c r="DL255" s="712"/>
      <c r="DM255" s="712"/>
      <c r="DN255" s="712"/>
      <c r="DO255" s="712"/>
      <c r="DP255" s="712"/>
      <c r="DQ255" s="712"/>
      <c r="DR255" s="712"/>
      <c r="DS255" s="712"/>
      <c r="DT255" s="712"/>
      <c r="DU255" s="712"/>
      <c r="DV255" s="712"/>
      <c r="DW255" s="712"/>
      <c r="DX255" s="712"/>
      <c r="DY255" s="712"/>
      <c r="DZ255" s="712"/>
      <c r="EA255" s="712"/>
      <c r="EB255" s="712"/>
      <c r="EC255" s="712"/>
      <c r="ED255" s="712"/>
      <c r="EE255" s="712"/>
      <c r="EF255" s="712"/>
      <c r="EG255" s="712"/>
      <c r="EH255" s="712"/>
      <c r="EI255" s="712"/>
      <c r="EJ255" s="712"/>
      <c r="EK255" s="712"/>
      <c r="EL255" s="712"/>
      <c r="EM255" s="712"/>
      <c r="EN255" s="712"/>
      <c r="EP255" s="947"/>
    </row>
    <row r="256" spans="7:146" ht="13.2">
      <c r="G256" s="714"/>
      <c r="H256" s="714" t="s">
        <v>366</v>
      </c>
      <c r="BA256" s="720">
        <f t="shared" ref="BA256:CA256" si="3835">BA208-BA170</f>
        <v>-4002.2800000000007</v>
      </c>
      <c r="BB256" s="720">
        <f t="shared" si="3835"/>
        <v>-710</v>
      </c>
      <c r="BC256" s="720">
        <f t="shared" si="3835"/>
        <v>0</v>
      </c>
      <c r="BD256" s="720">
        <f t="shared" si="3835"/>
        <v>0</v>
      </c>
      <c r="BE256" s="720">
        <f t="shared" si="3835"/>
        <v>0</v>
      </c>
      <c r="BF256" s="720">
        <f t="shared" si="3835"/>
        <v>0</v>
      </c>
      <c r="BG256" s="720">
        <f t="shared" si="3835"/>
        <v>0</v>
      </c>
      <c r="BH256" s="720">
        <f t="shared" si="3835"/>
        <v>-507.08887600000014</v>
      </c>
      <c r="BI256" s="720">
        <f t="shared" si="3835"/>
        <v>-5219.3688760000005</v>
      </c>
      <c r="BJ256" s="720">
        <f t="shared" si="3835"/>
        <v>-2801.596</v>
      </c>
      <c r="BK256" s="720">
        <f t="shared" si="3835"/>
        <v>-655</v>
      </c>
      <c r="BL256" s="720">
        <f t="shared" si="3835"/>
        <v>0</v>
      </c>
      <c r="BM256" s="720">
        <f t="shared" si="3835"/>
        <v>0</v>
      </c>
      <c r="BN256" s="720">
        <f t="shared" si="3835"/>
        <v>0</v>
      </c>
      <c r="BO256" s="720">
        <f t="shared" si="3835"/>
        <v>0</v>
      </c>
      <c r="BP256" s="720">
        <f t="shared" si="3835"/>
        <v>0</v>
      </c>
      <c r="BQ256" s="720">
        <f t="shared" si="3835"/>
        <v>-354.96221320000001</v>
      </c>
      <c r="BR256" s="720">
        <f t="shared" si="3835"/>
        <v>-3811.5582132</v>
      </c>
      <c r="BS256" s="720">
        <f t="shared" si="3835"/>
        <v>-1200.6840000000002</v>
      </c>
      <c r="BT256" s="720">
        <f t="shared" si="3835"/>
        <v>-85</v>
      </c>
      <c r="BU256" s="720">
        <f t="shared" si="3835"/>
        <v>0</v>
      </c>
      <c r="BV256" s="720">
        <f t="shared" si="3835"/>
        <v>0</v>
      </c>
      <c r="BW256" s="720">
        <f t="shared" si="3835"/>
        <v>0</v>
      </c>
      <c r="BX256" s="720">
        <f t="shared" si="3835"/>
        <v>0</v>
      </c>
      <c r="BY256" s="720">
        <f t="shared" si="3835"/>
        <v>0</v>
      </c>
      <c r="BZ256" s="720">
        <f t="shared" si="3835"/>
        <v>-152.12666280000002</v>
      </c>
      <c r="CA256" s="720">
        <f t="shared" si="3835"/>
        <v>-1437.8106628000003</v>
      </c>
      <c r="CB256" s="720">
        <f t="shared" ref="CB256:CJ256" si="3836">+CB170-CB208</f>
        <v>0</v>
      </c>
      <c r="CC256" s="720">
        <f t="shared" si="3836"/>
        <v>0</v>
      </c>
      <c r="CD256" s="720">
        <f t="shared" si="3836"/>
        <v>0</v>
      </c>
      <c r="CE256" s="720">
        <f t="shared" si="3836"/>
        <v>0</v>
      </c>
      <c r="CF256" s="720">
        <f t="shared" si="3836"/>
        <v>0</v>
      </c>
      <c r="CG256" s="720">
        <f t="shared" si="3836"/>
        <v>0</v>
      </c>
      <c r="CH256" s="720">
        <f t="shared" si="3836"/>
        <v>0</v>
      </c>
      <c r="CI256" s="720">
        <f t="shared" si="3836"/>
        <v>0</v>
      </c>
      <c r="CJ256" s="720">
        <f t="shared" si="3836"/>
        <v>0</v>
      </c>
      <c r="CK256" s="720">
        <f>+EF145</f>
        <v>8004.5600000000013</v>
      </c>
      <c r="CL256" s="720">
        <f t="shared" ref="CL256:CS256" si="3837">+EG145</f>
        <v>1450</v>
      </c>
      <c r="CM256" s="720">
        <f t="shared" si="3837"/>
        <v>0</v>
      </c>
      <c r="CN256" s="720">
        <f t="shared" si="3837"/>
        <v>0</v>
      </c>
      <c r="CO256" s="720">
        <f t="shared" si="3837"/>
        <v>0</v>
      </c>
      <c r="CP256" s="720">
        <f t="shared" si="3837"/>
        <v>0</v>
      </c>
      <c r="CQ256" s="720">
        <f t="shared" si="3837"/>
        <v>0</v>
      </c>
      <c r="CR256" s="720">
        <f t="shared" si="3837"/>
        <v>1014.1777520000002</v>
      </c>
      <c r="CS256" s="720">
        <f t="shared" si="3837"/>
        <v>10468.737752000001</v>
      </c>
      <c r="CV256" s="712"/>
      <c r="CW256" s="712"/>
      <c r="CX256" s="712"/>
      <c r="CY256" s="712"/>
      <c r="CZ256" s="712"/>
      <c r="DA256" s="712"/>
      <c r="DB256" s="712"/>
      <c r="DC256" s="712"/>
      <c r="DD256" s="712"/>
      <c r="DE256" s="712"/>
      <c r="DF256" s="712"/>
      <c r="DG256" s="712"/>
      <c r="DH256" s="712"/>
      <c r="DI256" s="712"/>
      <c r="DJ256" s="712"/>
      <c r="DK256" s="712"/>
      <c r="DL256" s="712"/>
      <c r="DM256" s="712"/>
      <c r="DN256" s="712"/>
      <c r="DO256" s="712"/>
      <c r="DP256" s="712"/>
      <c r="DQ256" s="712"/>
      <c r="DR256" s="712"/>
      <c r="DS256" s="712"/>
      <c r="DT256" s="712"/>
      <c r="DU256" s="712"/>
      <c r="DV256" s="712"/>
      <c r="DW256" s="712"/>
      <c r="DX256" s="712"/>
      <c r="DY256" s="712"/>
      <c r="DZ256" s="712"/>
      <c r="EA256" s="712"/>
      <c r="EB256" s="712"/>
      <c r="EC256" s="712"/>
      <c r="ED256" s="712"/>
      <c r="EE256" s="712"/>
      <c r="EF256" s="712"/>
      <c r="EG256" s="712"/>
      <c r="EH256" s="712"/>
      <c r="EI256" s="712"/>
      <c r="EJ256" s="712"/>
      <c r="EK256" s="712"/>
      <c r="EL256" s="712"/>
      <c r="EM256" s="712"/>
      <c r="EN256" s="712"/>
      <c r="EP256" s="947"/>
    </row>
    <row r="257" spans="7:146" ht="13.2">
      <c r="G257" s="714"/>
      <c r="H257" s="714" t="s">
        <v>99</v>
      </c>
      <c r="BA257" s="720">
        <f t="shared" ref="BA257:CA257" si="3838">BA209-BA171</f>
        <v>-3565</v>
      </c>
      <c r="BB257" s="720">
        <f t="shared" si="3838"/>
        <v>-1865</v>
      </c>
      <c r="BC257" s="720">
        <f t="shared" si="3838"/>
        <v>0</v>
      </c>
      <c r="BD257" s="720">
        <f t="shared" si="3838"/>
        <v>0</v>
      </c>
      <c r="BE257" s="720">
        <f t="shared" si="3838"/>
        <v>0</v>
      </c>
      <c r="BF257" s="720">
        <f t="shared" si="3838"/>
        <v>0</v>
      </c>
      <c r="BG257" s="720">
        <f t="shared" si="3838"/>
        <v>0</v>
      </c>
      <c r="BH257" s="720">
        <f t="shared" si="3838"/>
        <v>-451.68549999999999</v>
      </c>
      <c r="BI257" s="720">
        <f t="shared" si="3838"/>
        <v>-5881.6854999999996</v>
      </c>
      <c r="BJ257" s="720">
        <f t="shared" si="3838"/>
        <v>-4115</v>
      </c>
      <c r="BK257" s="720">
        <f t="shared" si="3838"/>
        <v>-2467.5</v>
      </c>
      <c r="BL257" s="720">
        <f t="shared" si="3838"/>
        <v>-21</v>
      </c>
      <c r="BM257" s="720">
        <f t="shared" si="3838"/>
        <v>-538.125</v>
      </c>
      <c r="BN257" s="720">
        <f t="shared" si="3838"/>
        <v>0</v>
      </c>
      <c r="BO257" s="720">
        <f t="shared" si="3838"/>
        <v>0</v>
      </c>
      <c r="BP257" s="720">
        <f t="shared" si="3838"/>
        <v>0</v>
      </c>
      <c r="BQ257" s="720">
        <f t="shared" si="3838"/>
        <v>-589.55093750000003</v>
      </c>
      <c r="BR257" s="720">
        <f t="shared" si="3838"/>
        <v>-7710.1759375000001</v>
      </c>
      <c r="BS257" s="720">
        <f t="shared" si="3838"/>
        <v>-1920</v>
      </c>
      <c r="BT257" s="720">
        <f t="shared" si="3838"/>
        <v>-892.5</v>
      </c>
      <c r="BU257" s="720">
        <f t="shared" si="3838"/>
        <v>0</v>
      </c>
      <c r="BV257" s="720">
        <f t="shared" si="3838"/>
        <v>0</v>
      </c>
      <c r="BW257" s="720">
        <f t="shared" si="3838"/>
        <v>0</v>
      </c>
      <c r="BX257" s="720">
        <f t="shared" si="3838"/>
        <v>0</v>
      </c>
      <c r="BY257" s="720">
        <f t="shared" si="3838"/>
        <v>0</v>
      </c>
      <c r="BZ257" s="720">
        <f t="shared" si="3838"/>
        <v>-243.26400000000001</v>
      </c>
      <c r="CA257" s="720">
        <f t="shared" si="3838"/>
        <v>-3055.7640000000001</v>
      </c>
      <c r="CB257" s="720">
        <f t="shared" ref="CB257:CS257" si="3839">CB209-CB171</f>
        <v>0</v>
      </c>
      <c r="CC257" s="720">
        <f t="shared" si="3839"/>
        <v>0</v>
      </c>
      <c r="CD257" s="720">
        <f t="shared" si="3839"/>
        <v>0</v>
      </c>
      <c r="CE257" s="720">
        <f t="shared" si="3839"/>
        <v>0</v>
      </c>
      <c r="CF257" s="720">
        <f t="shared" si="3839"/>
        <v>0</v>
      </c>
      <c r="CG257" s="720">
        <f t="shared" si="3839"/>
        <v>0</v>
      </c>
      <c r="CH257" s="720">
        <f t="shared" si="3839"/>
        <v>0</v>
      </c>
      <c r="CI257" s="720">
        <f t="shared" si="3839"/>
        <v>0</v>
      </c>
      <c r="CJ257" s="720">
        <f t="shared" si="3839"/>
        <v>0</v>
      </c>
      <c r="CK257" s="720">
        <f t="shared" si="3839"/>
        <v>9600</v>
      </c>
      <c r="CL257" s="720">
        <f t="shared" si="3839"/>
        <v>5225</v>
      </c>
      <c r="CM257" s="720">
        <f t="shared" si="3839"/>
        <v>21</v>
      </c>
      <c r="CN257" s="720">
        <f t="shared" si="3839"/>
        <v>538.125</v>
      </c>
      <c r="CO257" s="720">
        <f t="shared" si="3839"/>
        <v>0</v>
      </c>
      <c r="CP257" s="720">
        <f t="shared" si="3839"/>
        <v>0</v>
      </c>
      <c r="CQ257" s="720">
        <f t="shared" si="3839"/>
        <v>0</v>
      </c>
      <c r="CR257" s="720">
        <f t="shared" si="3839"/>
        <v>1284.5004374999999</v>
      </c>
      <c r="CS257" s="720">
        <f t="shared" si="3839"/>
        <v>16647.625437499999</v>
      </c>
      <c r="CV257" s="712"/>
      <c r="CW257" s="712"/>
      <c r="CX257" s="712"/>
      <c r="CY257" s="712"/>
      <c r="CZ257" s="712"/>
      <c r="DA257" s="712"/>
      <c r="DB257" s="712"/>
      <c r="DC257" s="712"/>
      <c r="DD257" s="712"/>
      <c r="DE257" s="712"/>
      <c r="DF257" s="712"/>
      <c r="DG257" s="712"/>
      <c r="DH257" s="712"/>
      <c r="DI257" s="712"/>
      <c r="DJ257" s="712"/>
      <c r="DK257" s="712"/>
      <c r="DL257" s="712"/>
      <c r="DM257" s="712"/>
      <c r="DN257" s="712"/>
      <c r="DO257" s="712"/>
      <c r="DP257" s="712"/>
      <c r="DQ257" s="712"/>
      <c r="DR257" s="712"/>
      <c r="DS257" s="712"/>
      <c r="DT257" s="712"/>
      <c r="DU257" s="712"/>
      <c r="DV257" s="712"/>
      <c r="DW257" s="712"/>
      <c r="DX257" s="712"/>
      <c r="DY257" s="712"/>
      <c r="DZ257" s="712"/>
      <c r="EA257" s="712"/>
      <c r="EB257" s="712"/>
      <c r="EC257" s="712"/>
      <c r="ED257" s="712"/>
      <c r="EE257" s="712"/>
      <c r="EF257" s="712"/>
      <c r="EG257" s="712"/>
      <c r="EH257" s="712"/>
      <c r="EI257" s="712"/>
      <c r="EJ257" s="712"/>
      <c r="EK257" s="712"/>
      <c r="EL257" s="712"/>
      <c r="EM257" s="712"/>
      <c r="EN257" s="712"/>
      <c r="EP257" s="947"/>
    </row>
    <row r="258" spans="7:146" ht="13.2">
      <c r="G258" s="901"/>
      <c r="H258" s="901" t="s">
        <v>100</v>
      </c>
      <c r="BA258" s="720">
        <f t="shared" ref="BA258:CA258" si="3840">BA210-BA172</f>
        <v>-7285.2333333333336</v>
      </c>
      <c r="BB258" s="720">
        <f t="shared" si="3840"/>
        <v>-910.72333333333336</v>
      </c>
      <c r="BC258" s="720">
        <f t="shared" si="3840"/>
        <v>0</v>
      </c>
      <c r="BD258" s="720">
        <f t="shared" si="3840"/>
        <v>0</v>
      </c>
      <c r="BE258" s="720">
        <f t="shared" si="3840"/>
        <v>0</v>
      </c>
      <c r="BF258" s="720">
        <f t="shared" si="3840"/>
        <v>0</v>
      </c>
      <c r="BG258" s="720">
        <f t="shared" si="3840"/>
        <v>0</v>
      </c>
      <c r="BH258" s="720">
        <f t="shared" si="3840"/>
        <v>-923.03906333333339</v>
      </c>
      <c r="BI258" s="720">
        <f t="shared" si="3840"/>
        <v>-9118.9957300000005</v>
      </c>
      <c r="BJ258" s="720">
        <f t="shared" si="3840"/>
        <v>-4734.6633333333339</v>
      </c>
      <c r="BK258" s="720">
        <f t="shared" si="3840"/>
        <v>-1293.9033333333334</v>
      </c>
      <c r="BL258" s="720">
        <f t="shared" si="3840"/>
        <v>-63</v>
      </c>
      <c r="BM258" s="720">
        <f t="shared" si="3840"/>
        <v>-1723.5372499999999</v>
      </c>
      <c r="BN258" s="720">
        <f t="shared" si="3840"/>
        <v>0</v>
      </c>
      <c r="BO258" s="720">
        <f t="shared" si="3840"/>
        <v>0</v>
      </c>
      <c r="BP258" s="720">
        <f t="shared" si="3840"/>
        <v>0</v>
      </c>
      <c r="BQ258" s="720">
        <f t="shared" si="3840"/>
        <v>-818.25401390833326</v>
      </c>
      <c r="BR258" s="720">
        <f t="shared" si="3840"/>
        <v>-8570.357930574999</v>
      </c>
      <c r="BS258" s="720">
        <f t="shared" si="3840"/>
        <v>-3400.57</v>
      </c>
      <c r="BT258" s="720">
        <f t="shared" si="3840"/>
        <v>-406.82</v>
      </c>
      <c r="BU258" s="720">
        <f t="shared" si="3840"/>
        <v>0</v>
      </c>
      <c r="BV258" s="720">
        <f t="shared" si="3840"/>
        <v>0</v>
      </c>
      <c r="BW258" s="720">
        <f t="shared" si="3840"/>
        <v>0</v>
      </c>
      <c r="BX258" s="720">
        <f t="shared" si="3840"/>
        <v>0</v>
      </c>
      <c r="BY258" s="720">
        <f t="shared" si="3840"/>
        <v>0</v>
      </c>
      <c r="BZ258" s="720">
        <f t="shared" si="3840"/>
        <v>-430.85221899999999</v>
      </c>
      <c r="CA258" s="720">
        <f t="shared" si="3840"/>
        <v>-4238.2422189999997</v>
      </c>
      <c r="CB258" s="720">
        <f t="shared" ref="CB258:CS258" si="3841">CB210-CB172</f>
        <v>0</v>
      </c>
      <c r="CC258" s="720">
        <f t="shared" si="3841"/>
        <v>0</v>
      </c>
      <c r="CD258" s="720">
        <f t="shared" si="3841"/>
        <v>0</v>
      </c>
      <c r="CE258" s="720">
        <f t="shared" si="3841"/>
        <v>0</v>
      </c>
      <c r="CF258" s="720">
        <f t="shared" si="3841"/>
        <v>0</v>
      </c>
      <c r="CG258" s="720">
        <f t="shared" si="3841"/>
        <v>0</v>
      </c>
      <c r="CH258" s="720">
        <f t="shared" si="3841"/>
        <v>0</v>
      </c>
      <c r="CI258" s="720">
        <f t="shared" si="3841"/>
        <v>0</v>
      </c>
      <c r="CJ258" s="720">
        <f t="shared" si="3841"/>
        <v>0</v>
      </c>
      <c r="CK258" s="720">
        <f t="shared" si="3841"/>
        <v>15420.466666666667</v>
      </c>
      <c r="CL258" s="720">
        <f t="shared" si="3841"/>
        <v>2611.4466666666667</v>
      </c>
      <c r="CM258" s="720">
        <f t="shared" si="3841"/>
        <v>63</v>
      </c>
      <c r="CN258" s="720">
        <f t="shared" si="3841"/>
        <v>1723.5372499999999</v>
      </c>
      <c r="CO258" s="720">
        <f t="shared" si="3841"/>
        <v>0</v>
      </c>
      <c r="CP258" s="720">
        <f t="shared" si="3841"/>
        <v>0</v>
      </c>
      <c r="CQ258" s="720">
        <f t="shared" si="3841"/>
        <v>0</v>
      </c>
      <c r="CR258" s="720">
        <f t="shared" si="3841"/>
        <v>2172.145296241667</v>
      </c>
      <c r="CS258" s="720">
        <f t="shared" si="3841"/>
        <v>21927.595879575001</v>
      </c>
      <c r="CV258" s="712"/>
      <c r="CW258" s="712"/>
      <c r="CX258" s="712"/>
      <c r="CY258" s="712"/>
      <c r="CZ258" s="712"/>
      <c r="DA258" s="712"/>
      <c r="DB258" s="712"/>
      <c r="DC258" s="712"/>
      <c r="DD258" s="712"/>
      <c r="DE258" s="712"/>
      <c r="DF258" s="712"/>
      <c r="DG258" s="712"/>
      <c r="DH258" s="712"/>
      <c r="DI258" s="712"/>
      <c r="DJ258" s="712"/>
      <c r="DK258" s="712"/>
      <c r="DL258" s="712"/>
      <c r="DM258" s="712"/>
      <c r="DN258" s="712"/>
      <c r="DO258" s="712"/>
      <c r="DP258" s="712"/>
      <c r="DQ258" s="712"/>
      <c r="DR258" s="712"/>
      <c r="DS258" s="712"/>
      <c r="DT258" s="712"/>
      <c r="DU258" s="712"/>
      <c r="DV258" s="712"/>
      <c r="DW258" s="712"/>
      <c r="DX258" s="712"/>
      <c r="DY258" s="712"/>
      <c r="DZ258" s="712"/>
      <c r="EA258" s="712"/>
      <c r="EB258" s="712"/>
      <c r="EC258" s="712"/>
      <c r="ED258" s="712"/>
      <c r="EE258" s="712"/>
      <c r="EF258" s="712"/>
      <c r="EG258" s="712"/>
      <c r="EH258" s="712"/>
      <c r="EI258" s="712"/>
      <c r="EJ258" s="712"/>
      <c r="EK258" s="712"/>
      <c r="EL258" s="712"/>
      <c r="EM258" s="712"/>
      <c r="EN258" s="712"/>
      <c r="EP258" s="947"/>
    </row>
    <row r="259" spans="7:146" ht="13.2">
      <c r="G259" s="901"/>
      <c r="H259" s="901" t="s">
        <v>106</v>
      </c>
      <c r="BA259" s="720">
        <f t="shared" ref="BA259:CA259" si="3842">BA211-BA173</f>
        <v>-8052.2800000000007</v>
      </c>
      <c r="BB259" s="720">
        <f t="shared" si="3842"/>
        <v>-1288.6399999999999</v>
      </c>
      <c r="BC259" s="720">
        <f t="shared" si="3842"/>
        <v>-4</v>
      </c>
      <c r="BD259" s="720">
        <f t="shared" si="3842"/>
        <v>-109.38925</v>
      </c>
      <c r="BE259" s="720">
        <f t="shared" si="3842"/>
        <v>0</v>
      </c>
      <c r="BF259" s="720">
        <f t="shared" si="3842"/>
        <v>0</v>
      </c>
      <c r="BG259" s="720">
        <f t="shared" si="3842"/>
        <v>0</v>
      </c>
      <c r="BH259" s="720">
        <f t="shared" si="3842"/>
        <v>-1034.083493975</v>
      </c>
      <c r="BI259" s="720">
        <f t="shared" si="3842"/>
        <v>-10484.392743975</v>
      </c>
      <c r="BJ259" s="720">
        <f t="shared" si="3842"/>
        <v>-5551.3680000000004</v>
      </c>
      <c r="BK259" s="720">
        <f t="shared" si="3842"/>
        <v>-2894.424</v>
      </c>
      <c r="BL259" s="720">
        <f t="shared" si="3842"/>
        <v>-9</v>
      </c>
      <c r="BM259" s="720">
        <f t="shared" si="3842"/>
        <v>-228.239</v>
      </c>
      <c r="BN259" s="720">
        <f t="shared" si="3842"/>
        <v>0</v>
      </c>
      <c r="BO259" s="720">
        <f t="shared" si="3842"/>
        <v>0</v>
      </c>
      <c r="BP259" s="720">
        <f t="shared" si="3842"/>
        <v>0</v>
      </c>
      <c r="BQ259" s="720">
        <f t="shared" si="3842"/>
        <v>-732.27620690000003</v>
      </c>
      <c r="BR259" s="720">
        <f t="shared" si="3842"/>
        <v>-9406.3072069000009</v>
      </c>
      <c r="BS259" s="720">
        <f t="shared" si="3842"/>
        <v>-3400.9120000000003</v>
      </c>
      <c r="BT259" s="720">
        <f>BT211-BT173</f>
        <v>-474.19600000000003</v>
      </c>
      <c r="BU259" s="720">
        <f t="shared" si="3842"/>
        <v>0</v>
      </c>
      <c r="BV259" s="720">
        <f t="shared" si="3842"/>
        <v>0</v>
      </c>
      <c r="BW259" s="720">
        <f t="shared" si="3842"/>
        <v>0</v>
      </c>
      <c r="BX259" s="720">
        <f t="shared" si="3842"/>
        <v>0</v>
      </c>
      <c r="BY259" s="720">
        <f t="shared" si="3842"/>
        <v>0</v>
      </c>
      <c r="BZ259" s="720">
        <f t="shared" si="3842"/>
        <v>-430.89555040000005</v>
      </c>
      <c r="CA259" s="720">
        <f t="shared" si="3842"/>
        <v>-4306.0035504000007</v>
      </c>
      <c r="CB259" s="720">
        <f t="shared" ref="CB259:CS259" si="3843">CB211-CB173</f>
        <v>0</v>
      </c>
      <c r="CC259" s="720">
        <f t="shared" si="3843"/>
        <v>0</v>
      </c>
      <c r="CD259" s="720">
        <f t="shared" si="3843"/>
        <v>0</v>
      </c>
      <c r="CE259" s="720">
        <f t="shared" si="3843"/>
        <v>0</v>
      </c>
      <c r="CF259" s="720">
        <f t="shared" si="3843"/>
        <v>0</v>
      </c>
      <c r="CG259" s="720">
        <f t="shared" si="3843"/>
        <v>0</v>
      </c>
      <c r="CH259" s="720">
        <f t="shared" si="3843"/>
        <v>0</v>
      </c>
      <c r="CI259" s="720">
        <f t="shared" si="3843"/>
        <v>0</v>
      </c>
      <c r="CJ259" s="720">
        <f t="shared" si="3843"/>
        <v>0</v>
      </c>
      <c r="CK259" s="720">
        <f t="shared" si="3843"/>
        <v>17004.560000000001</v>
      </c>
      <c r="CL259" s="720">
        <f t="shared" si="3843"/>
        <v>4657.2599999999993</v>
      </c>
      <c r="CM259" s="720">
        <f t="shared" si="3843"/>
        <v>13</v>
      </c>
      <c r="CN259" s="720">
        <f t="shared" si="3843"/>
        <v>337.62824999999998</v>
      </c>
      <c r="CO259" s="720">
        <f t="shared" si="3843"/>
        <v>0</v>
      </c>
      <c r="CP259" s="720">
        <f t="shared" si="3843"/>
        <v>0</v>
      </c>
      <c r="CQ259" s="720">
        <f t="shared" si="3843"/>
        <v>0</v>
      </c>
      <c r="CR259" s="720">
        <f t="shared" si="3843"/>
        <v>2197.2552512750003</v>
      </c>
      <c r="CS259" s="720">
        <f t="shared" si="3843"/>
        <v>24196.703501274998</v>
      </c>
      <c r="CV259" s="712"/>
      <c r="CW259" s="712"/>
      <c r="CX259" s="712"/>
      <c r="CY259" s="712"/>
      <c r="CZ259" s="712"/>
      <c r="DA259" s="712"/>
      <c r="DB259" s="712"/>
      <c r="DC259" s="712"/>
      <c r="DD259" s="712"/>
      <c r="DE259" s="712"/>
      <c r="DF259" s="712"/>
      <c r="DG259" s="712"/>
      <c r="DH259" s="712"/>
      <c r="DI259" s="712"/>
      <c r="DJ259" s="712"/>
      <c r="DK259" s="712"/>
      <c r="DL259" s="712"/>
      <c r="DM259" s="712"/>
      <c r="DN259" s="712"/>
      <c r="DO259" s="712"/>
      <c r="DP259" s="712"/>
      <c r="DQ259" s="712"/>
      <c r="DR259" s="712"/>
      <c r="DS259" s="712"/>
      <c r="DT259" s="712"/>
      <c r="DU259" s="712"/>
      <c r="DV259" s="712"/>
      <c r="DW259" s="712"/>
      <c r="DX259" s="712"/>
      <c r="DY259" s="712"/>
      <c r="DZ259" s="712"/>
      <c r="EA259" s="712"/>
      <c r="EB259" s="712"/>
      <c r="EC259" s="712"/>
      <c r="ED259" s="712"/>
      <c r="EE259" s="712"/>
      <c r="EF259" s="712"/>
      <c r="EG259" s="712"/>
      <c r="EH259" s="712"/>
      <c r="EI259" s="712"/>
      <c r="EJ259" s="712"/>
      <c r="EK259" s="712"/>
      <c r="EL259" s="712"/>
      <c r="EM259" s="712"/>
      <c r="EN259" s="712"/>
      <c r="EP259" s="947"/>
    </row>
    <row r="260" spans="7:146" ht="13.2">
      <c r="G260" s="714"/>
      <c r="H260" s="714" t="s">
        <v>110</v>
      </c>
      <c r="BA260" s="720">
        <f t="shared" ref="BA260:CA260" si="3844">BA212-BA174</f>
        <v>-7026.14</v>
      </c>
      <c r="BB260" s="720">
        <f t="shared" si="3844"/>
        <v>-2160</v>
      </c>
      <c r="BC260" s="720">
        <f t="shared" si="3844"/>
        <v>0</v>
      </c>
      <c r="BD260" s="720">
        <f t="shared" si="3844"/>
        <v>0</v>
      </c>
      <c r="BE260" s="720">
        <f t="shared" si="3844"/>
        <v>0</v>
      </c>
      <c r="BF260" s="720">
        <f t="shared" si="3844"/>
        <v>0</v>
      </c>
      <c r="BG260" s="720">
        <f t="shared" si="3844"/>
        <v>0</v>
      </c>
      <c r="BH260" s="720">
        <f t="shared" si="3844"/>
        <v>-890.21193800000003</v>
      </c>
      <c r="BI260" s="720">
        <f t="shared" si="3844"/>
        <v>-10076.351938</v>
      </c>
      <c r="BJ260" s="720">
        <f t="shared" si="3844"/>
        <v>-4860.57</v>
      </c>
      <c r="BK260" s="720">
        <f t="shared" si="3844"/>
        <v>-3535</v>
      </c>
      <c r="BL260" s="720">
        <f t="shared" si="3844"/>
        <v>-13</v>
      </c>
      <c r="BM260" s="720">
        <f t="shared" si="3844"/>
        <v>-338.77850000000001</v>
      </c>
      <c r="BN260" s="720">
        <f t="shared" si="3844"/>
        <v>0</v>
      </c>
      <c r="BO260" s="720">
        <f t="shared" si="3844"/>
        <v>0</v>
      </c>
      <c r="BP260" s="720">
        <f t="shared" si="3844"/>
        <v>0</v>
      </c>
      <c r="BQ260" s="720">
        <f t="shared" si="3844"/>
        <v>-658.75745495000012</v>
      </c>
      <c r="BR260" s="720">
        <f t="shared" si="3844"/>
        <v>-9393.1059549500005</v>
      </c>
      <c r="BS260" s="720">
        <f t="shared" si="3844"/>
        <v>-2490.5700000000002</v>
      </c>
      <c r="BT260" s="720">
        <f t="shared" si="3844"/>
        <v>-315</v>
      </c>
      <c r="BU260" s="720">
        <f t="shared" si="3844"/>
        <v>0</v>
      </c>
      <c r="BV260" s="720">
        <f t="shared" si="3844"/>
        <v>0</v>
      </c>
      <c r="BW260" s="720">
        <f t="shared" si="3844"/>
        <v>0</v>
      </c>
      <c r="BX260" s="720">
        <f t="shared" si="3844"/>
        <v>0</v>
      </c>
      <c r="BY260" s="720">
        <f t="shared" si="3844"/>
        <v>0</v>
      </c>
      <c r="BZ260" s="720">
        <f t="shared" si="3844"/>
        <v>-315.55521900000002</v>
      </c>
      <c r="CA260" s="720">
        <f t="shared" si="3844"/>
        <v>-3121.1252190000005</v>
      </c>
      <c r="CB260" s="720">
        <f t="shared" ref="CB260:CS260" si="3845">CB212-CB174</f>
        <v>-325</v>
      </c>
      <c r="CC260" s="720">
        <f t="shared" si="3845"/>
        <v>-90</v>
      </c>
      <c r="CD260" s="720">
        <f t="shared" si="3845"/>
        <v>0</v>
      </c>
      <c r="CE260" s="720">
        <f t="shared" si="3845"/>
        <v>0</v>
      </c>
      <c r="CF260" s="720">
        <f t="shared" si="3845"/>
        <v>0</v>
      </c>
      <c r="CG260" s="720">
        <f t="shared" si="3845"/>
        <v>0</v>
      </c>
      <c r="CH260" s="720">
        <f t="shared" si="3845"/>
        <v>0</v>
      </c>
      <c r="CI260" s="720">
        <f t="shared" si="3845"/>
        <v>-41.177500000000002</v>
      </c>
      <c r="CJ260" s="720">
        <f t="shared" si="3845"/>
        <v>-456.17750000000001</v>
      </c>
      <c r="CK260" s="720">
        <f t="shared" si="3845"/>
        <v>14702.28</v>
      </c>
      <c r="CL260" s="720">
        <f t="shared" si="3845"/>
        <v>6100</v>
      </c>
      <c r="CM260" s="720">
        <f t="shared" si="3845"/>
        <v>13</v>
      </c>
      <c r="CN260" s="720">
        <f t="shared" si="3845"/>
        <v>338.77850000000001</v>
      </c>
      <c r="CO260" s="720">
        <f t="shared" si="3845"/>
        <v>0</v>
      </c>
      <c r="CP260" s="720">
        <f t="shared" si="3845"/>
        <v>0</v>
      </c>
      <c r="CQ260" s="720">
        <f t="shared" si="3845"/>
        <v>0</v>
      </c>
      <c r="CR260" s="720">
        <f t="shared" si="3845"/>
        <v>1905.70211195</v>
      </c>
      <c r="CS260" s="720">
        <f t="shared" si="3845"/>
        <v>23046.760611949998</v>
      </c>
      <c r="CV260" s="712"/>
      <c r="CW260" s="712"/>
      <c r="CX260" s="712"/>
      <c r="CY260" s="712"/>
      <c r="CZ260" s="712"/>
      <c r="DA260" s="712"/>
      <c r="DB260" s="712"/>
      <c r="DC260" s="712"/>
      <c r="DD260" s="712"/>
      <c r="DE260" s="712"/>
      <c r="DF260" s="712"/>
      <c r="DG260" s="712"/>
      <c r="DH260" s="712"/>
      <c r="DI260" s="712"/>
      <c r="DJ260" s="712"/>
      <c r="DK260" s="712"/>
      <c r="DL260" s="712"/>
      <c r="DM260" s="712"/>
      <c r="DN260" s="712"/>
      <c r="DO260" s="712"/>
      <c r="DP260" s="712"/>
      <c r="DQ260" s="712"/>
      <c r="DR260" s="712"/>
      <c r="DS260" s="712"/>
      <c r="DT260" s="712"/>
      <c r="DU260" s="712"/>
      <c r="DV260" s="712"/>
      <c r="DW260" s="712"/>
      <c r="DX260" s="712"/>
      <c r="DY260" s="712"/>
      <c r="DZ260" s="712"/>
      <c r="EA260" s="712"/>
      <c r="EB260" s="712"/>
      <c r="EC260" s="712"/>
      <c r="ED260" s="712"/>
      <c r="EE260" s="712"/>
      <c r="EF260" s="712"/>
      <c r="EG260" s="712"/>
      <c r="EH260" s="712"/>
      <c r="EI260" s="712"/>
      <c r="EJ260" s="712"/>
      <c r="EK260" s="712"/>
      <c r="EL260" s="712"/>
      <c r="EM260" s="712"/>
      <c r="EN260" s="712"/>
      <c r="EP260" s="947"/>
    </row>
    <row r="261" spans="7:146" ht="13.2">
      <c r="G261" s="714"/>
      <c r="H261" s="714" t="s">
        <v>115</v>
      </c>
      <c r="BA261" s="720">
        <f t="shared" ref="BA261:CA261" si="3846">BA213-BA175</f>
        <v>0</v>
      </c>
      <c r="BB261" s="720">
        <f t="shared" si="3846"/>
        <v>0</v>
      </c>
      <c r="BC261" s="720">
        <f t="shared" si="3846"/>
        <v>0</v>
      </c>
      <c r="BD261" s="720">
        <f t="shared" si="3846"/>
        <v>0</v>
      </c>
      <c r="BE261" s="720">
        <f t="shared" si="3846"/>
        <v>0</v>
      </c>
      <c r="BF261" s="720">
        <f t="shared" si="3846"/>
        <v>0</v>
      </c>
      <c r="BG261" s="720">
        <f t="shared" si="3846"/>
        <v>0</v>
      </c>
      <c r="BH261" s="720">
        <f t="shared" si="3846"/>
        <v>0</v>
      </c>
      <c r="BI261" s="720">
        <f t="shared" si="3846"/>
        <v>0</v>
      </c>
      <c r="BJ261" s="720">
        <f t="shared" si="3846"/>
        <v>0</v>
      </c>
      <c r="BK261" s="720">
        <f t="shared" si="3846"/>
        <v>0</v>
      </c>
      <c r="BL261" s="720">
        <f t="shared" si="3846"/>
        <v>0</v>
      </c>
      <c r="BM261" s="720">
        <f t="shared" si="3846"/>
        <v>0</v>
      </c>
      <c r="BN261" s="720">
        <f t="shared" si="3846"/>
        <v>0</v>
      </c>
      <c r="BO261" s="720">
        <f t="shared" si="3846"/>
        <v>0</v>
      </c>
      <c r="BP261" s="720">
        <f t="shared" si="3846"/>
        <v>0</v>
      </c>
      <c r="BQ261" s="720">
        <f t="shared" si="3846"/>
        <v>0</v>
      </c>
      <c r="BR261" s="720">
        <f t="shared" si="3846"/>
        <v>0</v>
      </c>
      <c r="BS261" s="720">
        <f t="shared" si="3846"/>
        <v>0</v>
      </c>
      <c r="BT261" s="720">
        <f t="shared" si="3846"/>
        <v>0</v>
      </c>
      <c r="BU261" s="720">
        <f t="shared" si="3846"/>
        <v>0</v>
      </c>
      <c r="BV261" s="720">
        <f t="shared" si="3846"/>
        <v>0</v>
      </c>
      <c r="BW261" s="720">
        <f t="shared" si="3846"/>
        <v>0</v>
      </c>
      <c r="BX261" s="720">
        <f t="shared" si="3846"/>
        <v>0</v>
      </c>
      <c r="BY261" s="720">
        <f t="shared" si="3846"/>
        <v>0</v>
      </c>
      <c r="BZ261" s="720">
        <f t="shared" si="3846"/>
        <v>0</v>
      </c>
      <c r="CA261" s="720">
        <f t="shared" si="3846"/>
        <v>0</v>
      </c>
      <c r="CB261" s="720">
        <f t="shared" ref="CB261:CJ261" si="3847">CB213-CB175</f>
        <v>0</v>
      </c>
      <c r="CC261" s="720">
        <f t="shared" si="3847"/>
        <v>0</v>
      </c>
      <c r="CD261" s="720">
        <f t="shared" si="3847"/>
        <v>0</v>
      </c>
      <c r="CE261" s="720">
        <f t="shared" si="3847"/>
        <v>0</v>
      </c>
      <c r="CF261" s="720">
        <f t="shared" si="3847"/>
        <v>0</v>
      </c>
      <c r="CG261" s="720">
        <f t="shared" si="3847"/>
        <v>0</v>
      </c>
      <c r="CH261" s="720">
        <f t="shared" si="3847"/>
        <v>0</v>
      </c>
      <c r="CI261" s="720">
        <f t="shared" si="3847"/>
        <v>0</v>
      </c>
      <c r="CJ261" s="720">
        <f t="shared" si="3847"/>
        <v>0</v>
      </c>
      <c r="CK261" s="720">
        <v>0</v>
      </c>
      <c r="CL261" s="720">
        <v>0</v>
      </c>
      <c r="CM261" s="720">
        <v>0</v>
      </c>
      <c r="CN261" s="720">
        <v>0</v>
      </c>
      <c r="CO261" s="720">
        <v>0</v>
      </c>
      <c r="CP261" s="720">
        <v>0</v>
      </c>
      <c r="CQ261" s="720">
        <v>0</v>
      </c>
      <c r="CR261" s="720">
        <v>0</v>
      </c>
      <c r="CS261" s="720">
        <v>0</v>
      </c>
      <c r="CV261" s="712"/>
      <c r="CW261" s="712"/>
      <c r="CX261" s="712"/>
      <c r="CY261" s="712"/>
      <c r="CZ261" s="712"/>
      <c r="DA261" s="712"/>
      <c r="DB261" s="712"/>
      <c r="DC261" s="712"/>
      <c r="DD261" s="712"/>
      <c r="DE261" s="712"/>
      <c r="DF261" s="712"/>
      <c r="DG261" s="712"/>
      <c r="DH261" s="712"/>
      <c r="DI261" s="712"/>
      <c r="DJ261" s="712"/>
      <c r="DK261" s="712"/>
      <c r="DL261" s="712"/>
      <c r="DM261" s="712"/>
      <c r="DN261" s="712"/>
      <c r="DO261" s="712"/>
      <c r="DP261" s="712"/>
      <c r="DQ261" s="712"/>
      <c r="DR261" s="712"/>
      <c r="DS261" s="712"/>
      <c r="DT261" s="712"/>
      <c r="DU261" s="712"/>
      <c r="DV261" s="712"/>
      <c r="DW261" s="712"/>
      <c r="DX261" s="712"/>
      <c r="DY261" s="712"/>
      <c r="DZ261" s="712"/>
      <c r="EA261" s="712"/>
      <c r="EB261" s="712"/>
      <c r="EC261" s="712"/>
      <c r="ED261" s="712"/>
      <c r="EE261" s="712"/>
      <c r="EF261" s="712"/>
      <c r="EG261" s="712"/>
      <c r="EH261" s="712"/>
      <c r="EI261" s="712"/>
      <c r="EJ261" s="712"/>
      <c r="EK261" s="712"/>
      <c r="EL261" s="712"/>
      <c r="EM261" s="712"/>
      <c r="EN261" s="712"/>
      <c r="EP261" s="947"/>
    </row>
    <row r="262" spans="7:146" ht="13.2">
      <c r="G262" s="714"/>
      <c r="H262" s="714" t="s">
        <v>116</v>
      </c>
      <c r="BA262" s="720">
        <f t="shared" ref="BA262:CA262" si="3848">BA214-BA176</f>
        <v>0</v>
      </c>
      <c r="BB262" s="720">
        <f t="shared" si="3848"/>
        <v>0</v>
      </c>
      <c r="BC262" s="720">
        <f t="shared" si="3848"/>
        <v>0</v>
      </c>
      <c r="BD262" s="720">
        <f t="shared" si="3848"/>
        <v>0</v>
      </c>
      <c r="BE262" s="720">
        <f t="shared" si="3848"/>
        <v>0</v>
      </c>
      <c r="BF262" s="720">
        <f t="shared" si="3848"/>
        <v>0</v>
      </c>
      <c r="BG262" s="720">
        <f t="shared" si="3848"/>
        <v>0</v>
      </c>
      <c r="BH262" s="720">
        <f t="shared" si="3848"/>
        <v>0</v>
      </c>
      <c r="BI262" s="720">
        <f t="shared" si="3848"/>
        <v>0</v>
      </c>
      <c r="BJ262" s="720">
        <f t="shared" si="3848"/>
        <v>0</v>
      </c>
      <c r="BK262" s="720">
        <f t="shared" si="3848"/>
        <v>0</v>
      </c>
      <c r="BL262" s="720">
        <f t="shared" si="3848"/>
        <v>0</v>
      </c>
      <c r="BM262" s="720">
        <f t="shared" si="3848"/>
        <v>0</v>
      </c>
      <c r="BN262" s="720">
        <f t="shared" si="3848"/>
        <v>0</v>
      </c>
      <c r="BO262" s="720">
        <f t="shared" si="3848"/>
        <v>0</v>
      </c>
      <c r="BP262" s="720">
        <f t="shared" si="3848"/>
        <v>0</v>
      </c>
      <c r="BQ262" s="720">
        <f t="shared" si="3848"/>
        <v>0</v>
      </c>
      <c r="BR262" s="720">
        <f t="shared" si="3848"/>
        <v>0</v>
      </c>
      <c r="BS262" s="720">
        <f t="shared" si="3848"/>
        <v>0</v>
      </c>
      <c r="BT262" s="720">
        <f t="shared" si="3848"/>
        <v>0</v>
      </c>
      <c r="BU262" s="720">
        <f t="shared" si="3848"/>
        <v>0</v>
      </c>
      <c r="BV262" s="720">
        <f t="shared" si="3848"/>
        <v>0</v>
      </c>
      <c r="BW262" s="720">
        <f t="shared" si="3848"/>
        <v>0</v>
      </c>
      <c r="BX262" s="720">
        <f t="shared" si="3848"/>
        <v>0</v>
      </c>
      <c r="BY262" s="720">
        <f t="shared" si="3848"/>
        <v>0</v>
      </c>
      <c r="BZ262" s="720">
        <f t="shared" si="3848"/>
        <v>0</v>
      </c>
      <c r="CA262" s="720">
        <f t="shared" si="3848"/>
        <v>0</v>
      </c>
      <c r="CB262" s="720">
        <f t="shared" ref="CB262:CJ262" si="3849">CB214-CB176</f>
        <v>0</v>
      </c>
      <c r="CC262" s="720">
        <f t="shared" si="3849"/>
        <v>0</v>
      </c>
      <c r="CD262" s="720">
        <f t="shared" si="3849"/>
        <v>0</v>
      </c>
      <c r="CE262" s="720">
        <f t="shared" si="3849"/>
        <v>0</v>
      </c>
      <c r="CF262" s="720">
        <f t="shared" si="3849"/>
        <v>0</v>
      </c>
      <c r="CG262" s="720">
        <f t="shared" si="3849"/>
        <v>0</v>
      </c>
      <c r="CH262" s="720">
        <f t="shared" si="3849"/>
        <v>0</v>
      </c>
      <c r="CI262" s="720">
        <f t="shared" si="3849"/>
        <v>0</v>
      </c>
      <c r="CJ262" s="720">
        <f t="shared" si="3849"/>
        <v>0</v>
      </c>
      <c r="CK262" s="720">
        <f>CK214-CK176</f>
        <v>0</v>
      </c>
      <c r="CL262" s="720">
        <v>0</v>
      </c>
      <c r="CM262" s="720">
        <v>0</v>
      </c>
      <c r="CN262" s="720">
        <v>0</v>
      </c>
      <c r="CO262" s="720">
        <v>0</v>
      </c>
      <c r="CP262" s="720">
        <v>0</v>
      </c>
      <c r="CQ262" s="720">
        <v>0</v>
      </c>
      <c r="CR262" s="720">
        <v>0</v>
      </c>
      <c r="CS262" s="720">
        <v>0</v>
      </c>
      <c r="CV262" s="712"/>
      <c r="CW262" s="712"/>
      <c r="CX262" s="712"/>
      <c r="CY262" s="712"/>
      <c r="CZ262" s="712"/>
      <c r="DA262" s="712"/>
      <c r="DB262" s="712"/>
      <c r="DC262" s="712"/>
      <c r="DD262" s="712"/>
      <c r="DE262" s="712"/>
      <c r="DF262" s="712"/>
      <c r="DG262" s="712"/>
      <c r="DH262" s="712"/>
      <c r="DI262" s="712"/>
      <c r="DJ262" s="712"/>
      <c r="DK262" s="712"/>
      <c r="DL262" s="712"/>
      <c r="DM262" s="712"/>
      <c r="DN262" s="712"/>
      <c r="DO262" s="712"/>
      <c r="DP262" s="712"/>
      <c r="DQ262" s="712"/>
      <c r="DR262" s="712"/>
      <c r="DS262" s="712"/>
      <c r="DT262" s="712"/>
      <c r="DU262" s="712"/>
      <c r="DV262" s="712"/>
      <c r="DW262" s="712"/>
      <c r="DX262" s="712"/>
      <c r="DY262" s="712"/>
      <c r="DZ262" s="712"/>
      <c r="EA262" s="712"/>
      <c r="EB262" s="712"/>
      <c r="EC262" s="712"/>
      <c r="ED262" s="712"/>
      <c r="EE262" s="712"/>
      <c r="EF262" s="712"/>
      <c r="EG262" s="712"/>
      <c r="EH262" s="712"/>
      <c r="EI262" s="712"/>
      <c r="EJ262" s="712"/>
      <c r="EK262" s="712"/>
      <c r="EL262" s="712"/>
      <c r="EM262" s="712"/>
      <c r="EN262" s="712"/>
      <c r="EP262" s="947"/>
    </row>
    <row r="263" spans="7:146" ht="13.2">
      <c r="G263" s="714"/>
      <c r="H263" s="714" t="s">
        <v>193</v>
      </c>
      <c r="BA263" s="720">
        <f t="shared" ref="BA263:CA263" si="3850">BA215-BA177</f>
        <v>0</v>
      </c>
      <c r="BB263" s="720">
        <f t="shared" si="3850"/>
        <v>0</v>
      </c>
      <c r="BC263" s="720">
        <f t="shared" si="3850"/>
        <v>0</v>
      </c>
      <c r="BD263" s="720">
        <f t="shared" si="3850"/>
        <v>0</v>
      </c>
      <c r="BE263" s="720">
        <f t="shared" si="3850"/>
        <v>0</v>
      </c>
      <c r="BF263" s="720">
        <f t="shared" si="3850"/>
        <v>0</v>
      </c>
      <c r="BG263" s="720">
        <f t="shared" si="3850"/>
        <v>0</v>
      </c>
      <c r="BH263" s="720">
        <f t="shared" si="3850"/>
        <v>0</v>
      </c>
      <c r="BI263" s="720">
        <f t="shared" si="3850"/>
        <v>0</v>
      </c>
      <c r="BJ263" s="720">
        <f t="shared" si="3850"/>
        <v>0</v>
      </c>
      <c r="BK263" s="720">
        <f t="shared" si="3850"/>
        <v>0</v>
      </c>
      <c r="BL263" s="720">
        <f t="shared" si="3850"/>
        <v>0</v>
      </c>
      <c r="BM263" s="720">
        <f t="shared" si="3850"/>
        <v>0</v>
      </c>
      <c r="BN263" s="720">
        <f t="shared" si="3850"/>
        <v>0</v>
      </c>
      <c r="BO263" s="720">
        <f t="shared" si="3850"/>
        <v>0</v>
      </c>
      <c r="BP263" s="720">
        <f t="shared" si="3850"/>
        <v>0</v>
      </c>
      <c r="BQ263" s="720">
        <f t="shared" si="3850"/>
        <v>0</v>
      </c>
      <c r="BR263" s="720">
        <f t="shared" si="3850"/>
        <v>0</v>
      </c>
      <c r="BS263" s="720">
        <f t="shared" si="3850"/>
        <v>0</v>
      </c>
      <c r="BT263" s="720">
        <f t="shared" si="3850"/>
        <v>0</v>
      </c>
      <c r="BU263" s="720">
        <f t="shared" si="3850"/>
        <v>0</v>
      </c>
      <c r="BV263" s="720">
        <f t="shared" si="3850"/>
        <v>0</v>
      </c>
      <c r="BW263" s="720">
        <f t="shared" si="3850"/>
        <v>0</v>
      </c>
      <c r="BX263" s="720">
        <f t="shared" si="3850"/>
        <v>0</v>
      </c>
      <c r="BY263" s="720">
        <f t="shared" si="3850"/>
        <v>0</v>
      </c>
      <c r="BZ263" s="720">
        <f t="shared" si="3850"/>
        <v>0</v>
      </c>
      <c r="CA263" s="720">
        <f t="shared" si="3850"/>
        <v>0</v>
      </c>
      <c r="CB263" s="720">
        <f t="shared" ref="CB263:CK263" si="3851">CB215-CB177</f>
        <v>0</v>
      </c>
      <c r="CC263" s="720">
        <f t="shared" si="3851"/>
        <v>0</v>
      </c>
      <c r="CD263" s="720">
        <f t="shared" si="3851"/>
        <v>0</v>
      </c>
      <c r="CE263" s="720">
        <f t="shared" si="3851"/>
        <v>0</v>
      </c>
      <c r="CF263" s="720">
        <f t="shared" si="3851"/>
        <v>0</v>
      </c>
      <c r="CG263" s="720">
        <f t="shared" si="3851"/>
        <v>0</v>
      </c>
      <c r="CH263" s="720">
        <f t="shared" si="3851"/>
        <v>0</v>
      </c>
      <c r="CI263" s="720">
        <f t="shared" si="3851"/>
        <v>0</v>
      </c>
      <c r="CJ263" s="720">
        <f t="shared" si="3851"/>
        <v>0</v>
      </c>
      <c r="CK263" s="720">
        <f t="shared" si="3851"/>
        <v>0</v>
      </c>
      <c r="CL263" s="720">
        <v>0</v>
      </c>
      <c r="CM263" s="720">
        <v>0</v>
      </c>
      <c r="CN263" s="720">
        <v>0</v>
      </c>
      <c r="CO263" s="720">
        <v>0</v>
      </c>
      <c r="CP263" s="720">
        <v>0</v>
      </c>
      <c r="CQ263" s="720">
        <v>0</v>
      </c>
      <c r="CR263" s="720">
        <v>0</v>
      </c>
      <c r="CS263" s="720">
        <v>0</v>
      </c>
      <c r="CV263" s="712"/>
      <c r="CW263" s="712"/>
      <c r="CX263" s="712"/>
      <c r="CY263" s="712"/>
      <c r="CZ263" s="712"/>
      <c r="DA263" s="712"/>
      <c r="DB263" s="712"/>
      <c r="DC263" s="712"/>
      <c r="DD263" s="712"/>
      <c r="DE263" s="712"/>
      <c r="DF263" s="712"/>
      <c r="DG263" s="712"/>
      <c r="DH263" s="712"/>
      <c r="DI263" s="712"/>
      <c r="DJ263" s="712"/>
      <c r="DK263" s="712"/>
      <c r="DL263" s="712"/>
      <c r="DM263" s="712"/>
      <c r="DN263" s="712"/>
      <c r="DO263" s="712"/>
      <c r="DP263" s="712"/>
      <c r="DQ263" s="712"/>
      <c r="DR263" s="712"/>
      <c r="DS263" s="712"/>
      <c r="DT263" s="712"/>
      <c r="DU263" s="712"/>
      <c r="DV263" s="712"/>
      <c r="DW263" s="712"/>
      <c r="DX263" s="712"/>
      <c r="DY263" s="712"/>
      <c r="DZ263" s="712"/>
      <c r="EA263" s="712"/>
      <c r="EB263" s="712"/>
      <c r="EC263" s="712"/>
      <c r="ED263" s="712"/>
      <c r="EE263" s="712"/>
      <c r="EF263" s="712"/>
      <c r="EG263" s="712"/>
      <c r="EH263" s="712"/>
      <c r="EI263" s="712"/>
      <c r="EJ263" s="712"/>
      <c r="EK263" s="712"/>
      <c r="EL263" s="712"/>
      <c r="EM263" s="712"/>
      <c r="EN263" s="712"/>
      <c r="EP263" s="947"/>
    </row>
    <row r="264" spans="7:146" ht="13.2">
      <c r="G264" s="714"/>
      <c r="H264" s="714" t="s">
        <v>345</v>
      </c>
      <c r="BA264" s="720">
        <f t="shared" ref="BA264:CA264" si="3852">BA216-BA178</f>
        <v>0</v>
      </c>
      <c r="BB264" s="720">
        <f t="shared" si="3852"/>
        <v>0</v>
      </c>
      <c r="BC264" s="720">
        <f t="shared" si="3852"/>
        <v>0</v>
      </c>
      <c r="BD264" s="720">
        <f t="shared" si="3852"/>
        <v>0</v>
      </c>
      <c r="BE264" s="720">
        <f t="shared" si="3852"/>
        <v>0</v>
      </c>
      <c r="BF264" s="720">
        <f t="shared" si="3852"/>
        <v>0</v>
      </c>
      <c r="BG264" s="720">
        <f t="shared" si="3852"/>
        <v>0</v>
      </c>
      <c r="BH264" s="720">
        <f t="shared" si="3852"/>
        <v>0</v>
      </c>
      <c r="BI264" s="720">
        <f t="shared" si="3852"/>
        <v>0</v>
      </c>
      <c r="BJ264" s="720">
        <f t="shared" si="3852"/>
        <v>0</v>
      </c>
      <c r="BK264" s="720">
        <f t="shared" si="3852"/>
        <v>0</v>
      </c>
      <c r="BL264" s="720">
        <f t="shared" si="3852"/>
        <v>0</v>
      </c>
      <c r="BM264" s="720">
        <f t="shared" si="3852"/>
        <v>0</v>
      </c>
      <c r="BN264" s="720">
        <f t="shared" si="3852"/>
        <v>0</v>
      </c>
      <c r="BO264" s="720">
        <f t="shared" si="3852"/>
        <v>0</v>
      </c>
      <c r="BP264" s="720">
        <f t="shared" si="3852"/>
        <v>0</v>
      </c>
      <c r="BQ264" s="720">
        <f t="shared" si="3852"/>
        <v>0</v>
      </c>
      <c r="BR264" s="720">
        <f t="shared" si="3852"/>
        <v>0</v>
      </c>
      <c r="BS264" s="720">
        <f t="shared" si="3852"/>
        <v>0</v>
      </c>
      <c r="BT264" s="720">
        <f t="shared" si="3852"/>
        <v>0</v>
      </c>
      <c r="BU264" s="720">
        <f t="shared" si="3852"/>
        <v>0</v>
      </c>
      <c r="BV264" s="720">
        <f t="shared" si="3852"/>
        <v>0</v>
      </c>
      <c r="BW264" s="720">
        <f t="shared" si="3852"/>
        <v>0</v>
      </c>
      <c r="BX264" s="720">
        <f t="shared" si="3852"/>
        <v>0</v>
      </c>
      <c r="BY264" s="720">
        <f t="shared" si="3852"/>
        <v>0</v>
      </c>
      <c r="BZ264" s="720">
        <f t="shared" si="3852"/>
        <v>0</v>
      </c>
      <c r="CA264" s="720">
        <f t="shared" si="3852"/>
        <v>0</v>
      </c>
      <c r="CB264" s="720">
        <f t="shared" ref="CB264:CK264" si="3853">CB216-CB178</f>
        <v>0</v>
      </c>
      <c r="CC264" s="720">
        <f t="shared" si="3853"/>
        <v>0</v>
      </c>
      <c r="CD264" s="720">
        <f t="shared" si="3853"/>
        <v>0</v>
      </c>
      <c r="CE264" s="720">
        <f t="shared" si="3853"/>
        <v>0</v>
      </c>
      <c r="CF264" s="720">
        <f t="shared" si="3853"/>
        <v>0</v>
      </c>
      <c r="CG264" s="720">
        <f t="shared" si="3853"/>
        <v>0</v>
      </c>
      <c r="CH264" s="720">
        <f t="shared" si="3853"/>
        <v>0</v>
      </c>
      <c r="CI264" s="720">
        <f t="shared" si="3853"/>
        <v>0</v>
      </c>
      <c r="CJ264" s="720">
        <f t="shared" si="3853"/>
        <v>0</v>
      </c>
      <c r="CK264" s="720">
        <f t="shared" si="3853"/>
        <v>0</v>
      </c>
      <c r="CL264" s="720">
        <v>0</v>
      </c>
      <c r="CM264" s="720">
        <v>0</v>
      </c>
      <c r="CN264" s="720">
        <v>0</v>
      </c>
      <c r="CO264" s="720">
        <v>0</v>
      </c>
      <c r="CP264" s="720">
        <v>0</v>
      </c>
      <c r="CQ264" s="720">
        <v>0</v>
      </c>
      <c r="CR264" s="720">
        <v>0</v>
      </c>
      <c r="CS264" s="720">
        <v>0</v>
      </c>
      <c r="CV264" s="712"/>
      <c r="CW264" s="712"/>
      <c r="CX264" s="712"/>
      <c r="CY264" s="712"/>
      <c r="CZ264" s="712"/>
      <c r="DA264" s="712"/>
      <c r="DB264" s="712"/>
      <c r="DC264" s="712"/>
      <c r="DD264" s="712"/>
      <c r="DE264" s="712"/>
      <c r="DF264" s="712"/>
      <c r="DG264" s="712"/>
      <c r="DH264" s="712"/>
      <c r="DI264" s="712"/>
      <c r="DJ264" s="712"/>
      <c r="DK264" s="712"/>
      <c r="DL264" s="712"/>
      <c r="DM264" s="712"/>
      <c r="DN264" s="712"/>
      <c r="DO264" s="712"/>
      <c r="DP264" s="712"/>
      <c r="DQ264" s="712"/>
      <c r="DR264" s="712"/>
      <c r="DS264" s="712"/>
      <c r="DT264" s="712"/>
      <c r="DU264" s="712"/>
      <c r="DV264" s="712"/>
      <c r="DW264" s="712"/>
      <c r="DX264" s="712"/>
      <c r="DY264" s="712"/>
      <c r="DZ264" s="712"/>
      <c r="EA264" s="712"/>
      <c r="EB264" s="712"/>
      <c r="EC264" s="712"/>
      <c r="ED264" s="712"/>
      <c r="EE264" s="712"/>
      <c r="EF264" s="712"/>
      <c r="EG264" s="712"/>
      <c r="EH264" s="712"/>
      <c r="EI264" s="712"/>
      <c r="EJ264" s="712"/>
      <c r="EK264" s="712"/>
      <c r="EL264" s="712"/>
      <c r="EM264" s="712"/>
      <c r="EN264" s="712"/>
      <c r="EP264" s="947"/>
    </row>
    <row r="265" spans="7:146" ht="13.2">
      <c r="G265" s="714"/>
      <c r="H265" s="714" t="s">
        <v>121</v>
      </c>
      <c r="BA265" s="720">
        <f t="shared" ref="BA265:CA265" si="3854">BA217-BA179</f>
        <v>0</v>
      </c>
      <c r="BB265" s="720">
        <f t="shared" si="3854"/>
        <v>0</v>
      </c>
      <c r="BC265" s="720">
        <f t="shared" si="3854"/>
        <v>0</v>
      </c>
      <c r="BD265" s="720">
        <f t="shared" si="3854"/>
        <v>0</v>
      </c>
      <c r="BE265" s="720">
        <f t="shared" si="3854"/>
        <v>0</v>
      </c>
      <c r="BF265" s="720">
        <f t="shared" si="3854"/>
        <v>0</v>
      </c>
      <c r="BG265" s="720">
        <f t="shared" si="3854"/>
        <v>0</v>
      </c>
      <c r="BH265" s="720">
        <f t="shared" si="3854"/>
        <v>0</v>
      </c>
      <c r="BI265" s="720">
        <f t="shared" si="3854"/>
        <v>0</v>
      </c>
      <c r="BJ265" s="720">
        <f t="shared" si="3854"/>
        <v>0</v>
      </c>
      <c r="BK265" s="720">
        <f t="shared" si="3854"/>
        <v>0</v>
      </c>
      <c r="BL265" s="720">
        <f t="shared" si="3854"/>
        <v>0</v>
      </c>
      <c r="BM265" s="720">
        <f t="shared" si="3854"/>
        <v>0</v>
      </c>
      <c r="BN265" s="720">
        <f t="shared" si="3854"/>
        <v>0</v>
      </c>
      <c r="BO265" s="720">
        <f t="shared" si="3854"/>
        <v>0</v>
      </c>
      <c r="BP265" s="720">
        <f t="shared" si="3854"/>
        <v>0</v>
      </c>
      <c r="BQ265" s="720">
        <f t="shared" si="3854"/>
        <v>0</v>
      </c>
      <c r="BR265" s="720">
        <f t="shared" si="3854"/>
        <v>0</v>
      </c>
      <c r="BS265" s="720">
        <f t="shared" si="3854"/>
        <v>0</v>
      </c>
      <c r="BT265" s="720">
        <f t="shared" si="3854"/>
        <v>0</v>
      </c>
      <c r="BU265" s="720">
        <f t="shared" si="3854"/>
        <v>0</v>
      </c>
      <c r="BV265" s="720">
        <f t="shared" si="3854"/>
        <v>0</v>
      </c>
      <c r="BW265" s="720">
        <f t="shared" si="3854"/>
        <v>0</v>
      </c>
      <c r="BX265" s="720">
        <f t="shared" si="3854"/>
        <v>0</v>
      </c>
      <c r="BY265" s="720">
        <f t="shared" si="3854"/>
        <v>0</v>
      </c>
      <c r="BZ265" s="720">
        <f t="shared" si="3854"/>
        <v>0</v>
      </c>
      <c r="CA265" s="720">
        <f t="shared" si="3854"/>
        <v>0</v>
      </c>
      <c r="CB265" s="720">
        <f t="shared" ref="CB265:CK265" si="3855">CB217-CB179</f>
        <v>0</v>
      </c>
      <c r="CC265" s="720">
        <f t="shared" si="3855"/>
        <v>0</v>
      </c>
      <c r="CD265" s="720">
        <f t="shared" si="3855"/>
        <v>0</v>
      </c>
      <c r="CE265" s="720">
        <f t="shared" si="3855"/>
        <v>0</v>
      </c>
      <c r="CF265" s="720">
        <f t="shared" si="3855"/>
        <v>0</v>
      </c>
      <c r="CG265" s="720">
        <f t="shared" si="3855"/>
        <v>0</v>
      </c>
      <c r="CH265" s="720">
        <f t="shared" si="3855"/>
        <v>0</v>
      </c>
      <c r="CI265" s="720">
        <f t="shared" si="3855"/>
        <v>0</v>
      </c>
      <c r="CJ265" s="720">
        <f t="shared" si="3855"/>
        <v>0</v>
      </c>
      <c r="CK265" s="720">
        <f t="shared" si="3855"/>
        <v>0</v>
      </c>
      <c r="CL265" s="720">
        <v>0</v>
      </c>
      <c r="CM265" s="720">
        <v>0</v>
      </c>
      <c r="CN265" s="720">
        <v>0</v>
      </c>
      <c r="CO265" s="720">
        <v>0</v>
      </c>
      <c r="CP265" s="720">
        <v>0</v>
      </c>
      <c r="CQ265" s="720">
        <v>0</v>
      </c>
      <c r="CR265" s="720">
        <v>0</v>
      </c>
      <c r="CS265" s="720">
        <v>0</v>
      </c>
      <c r="CV265" s="712"/>
      <c r="CW265" s="712"/>
      <c r="CX265" s="712"/>
      <c r="CY265" s="712"/>
      <c r="CZ265" s="712"/>
      <c r="DA265" s="712"/>
      <c r="DB265" s="712"/>
      <c r="DC265" s="712"/>
      <c r="DD265" s="712"/>
      <c r="DE265" s="712"/>
      <c r="DF265" s="712"/>
      <c r="DG265" s="712"/>
      <c r="DH265" s="712"/>
      <c r="DI265" s="712"/>
      <c r="DJ265" s="712"/>
      <c r="DK265" s="712"/>
      <c r="DL265" s="712"/>
      <c r="DM265" s="712"/>
      <c r="DN265" s="712"/>
      <c r="DO265" s="712"/>
      <c r="DP265" s="712"/>
      <c r="DQ265" s="712"/>
      <c r="DR265" s="712"/>
      <c r="DS265" s="712"/>
      <c r="DT265" s="712"/>
      <c r="DU265" s="712"/>
      <c r="DV265" s="712"/>
      <c r="DW265" s="712"/>
      <c r="DX265" s="712"/>
      <c r="DY265" s="712"/>
      <c r="DZ265" s="712"/>
      <c r="EA265" s="712"/>
      <c r="EB265" s="712"/>
      <c r="EC265" s="712"/>
      <c r="ED265" s="712"/>
      <c r="EE265" s="712"/>
      <c r="EF265" s="712"/>
      <c r="EG265" s="712"/>
      <c r="EH265" s="712"/>
      <c r="EI265" s="712"/>
      <c r="EJ265" s="712"/>
      <c r="EK265" s="712"/>
      <c r="EL265" s="712"/>
      <c r="EM265" s="712"/>
      <c r="EN265" s="712"/>
      <c r="EP265" s="947"/>
    </row>
    <row r="266" spans="7:146" ht="13.2">
      <c r="G266" s="714"/>
      <c r="H266" s="714" t="s">
        <v>122</v>
      </c>
      <c r="BA266" s="720">
        <f t="shared" ref="BA266:CA266" si="3856">BA218-BA180</f>
        <v>0</v>
      </c>
      <c r="BB266" s="720">
        <f t="shared" si="3856"/>
        <v>0</v>
      </c>
      <c r="BC266" s="720">
        <f t="shared" si="3856"/>
        <v>0</v>
      </c>
      <c r="BD266" s="720">
        <f t="shared" si="3856"/>
        <v>0</v>
      </c>
      <c r="BE266" s="720">
        <f t="shared" si="3856"/>
        <v>0</v>
      </c>
      <c r="BF266" s="720">
        <f t="shared" si="3856"/>
        <v>0</v>
      </c>
      <c r="BG266" s="720">
        <f t="shared" si="3856"/>
        <v>0</v>
      </c>
      <c r="BH266" s="720">
        <f t="shared" si="3856"/>
        <v>0</v>
      </c>
      <c r="BI266" s="720">
        <f t="shared" si="3856"/>
        <v>0</v>
      </c>
      <c r="BJ266" s="720">
        <f t="shared" si="3856"/>
        <v>0</v>
      </c>
      <c r="BK266" s="720">
        <f t="shared" si="3856"/>
        <v>0</v>
      </c>
      <c r="BL266" s="720">
        <f t="shared" si="3856"/>
        <v>0</v>
      </c>
      <c r="BM266" s="720">
        <f t="shared" si="3856"/>
        <v>0</v>
      </c>
      <c r="BN266" s="720">
        <f t="shared" si="3856"/>
        <v>0</v>
      </c>
      <c r="BO266" s="720">
        <f t="shared" si="3856"/>
        <v>0</v>
      </c>
      <c r="BP266" s="720">
        <f t="shared" si="3856"/>
        <v>0</v>
      </c>
      <c r="BQ266" s="720">
        <f t="shared" si="3856"/>
        <v>0</v>
      </c>
      <c r="BR266" s="720">
        <f t="shared" si="3856"/>
        <v>0</v>
      </c>
      <c r="BS266" s="720">
        <f t="shared" si="3856"/>
        <v>0</v>
      </c>
      <c r="BT266" s="720">
        <f t="shared" si="3856"/>
        <v>0</v>
      </c>
      <c r="BU266" s="720">
        <f t="shared" si="3856"/>
        <v>0</v>
      </c>
      <c r="BV266" s="720">
        <f t="shared" si="3856"/>
        <v>0</v>
      </c>
      <c r="BW266" s="720">
        <f t="shared" si="3856"/>
        <v>0</v>
      </c>
      <c r="BX266" s="720">
        <f t="shared" si="3856"/>
        <v>0</v>
      </c>
      <c r="BY266" s="720">
        <f t="shared" si="3856"/>
        <v>0</v>
      </c>
      <c r="BZ266" s="720">
        <f t="shared" si="3856"/>
        <v>0</v>
      </c>
      <c r="CA266" s="720">
        <f t="shared" si="3856"/>
        <v>0</v>
      </c>
      <c r="CB266" s="720">
        <f t="shared" ref="CB266:CK266" si="3857">CB218-CB180</f>
        <v>0</v>
      </c>
      <c r="CC266" s="720">
        <f t="shared" si="3857"/>
        <v>0</v>
      </c>
      <c r="CD266" s="720">
        <f t="shared" si="3857"/>
        <v>0</v>
      </c>
      <c r="CE266" s="720">
        <f t="shared" si="3857"/>
        <v>0</v>
      </c>
      <c r="CF266" s="720">
        <f t="shared" si="3857"/>
        <v>0</v>
      </c>
      <c r="CG266" s="720">
        <f t="shared" si="3857"/>
        <v>0</v>
      </c>
      <c r="CH266" s="720">
        <f t="shared" si="3857"/>
        <v>0</v>
      </c>
      <c r="CI266" s="720">
        <f t="shared" si="3857"/>
        <v>0</v>
      </c>
      <c r="CJ266" s="720">
        <f t="shared" si="3857"/>
        <v>0</v>
      </c>
      <c r="CK266" s="720">
        <f t="shared" si="3857"/>
        <v>0</v>
      </c>
      <c r="CL266" s="720">
        <v>0</v>
      </c>
      <c r="CM266" s="720">
        <v>0</v>
      </c>
      <c r="CN266" s="720">
        <v>0</v>
      </c>
      <c r="CO266" s="720">
        <v>0</v>
      </c>
      <c r="CP266" s="720">
        <v>0</v>
      </c>
      <c r="CQ266" s="720">
        <v>0</v>
      </c>
      <c r="CR266" s="720">
        <v>0</v>
      </c>
      <c r="CS266" s="720">
        <v>0</v>
      </c>
      <c r="CV266" s="712"/>
      <c r="CW266" s="712"/>
      <c r="CX266" s="712"/>
      <c r="CY266" s="712"/>
      <c r="CZ266" s="712"/>
      <c r="DA266" s="712"/>
      <c r="DB266" s="712"/>
      <c r="DC266" s="712"/>
      <c r="DD266" s="712"/>
      <c r="DE266" s="712"/>
      <c r="DF266" s="712"/>
      <c r="DG266" s="712"/>
      <c r="DH266" s="712"/>
      <c r="DI266" s="712"/>
      <c r="DJ266" s="712"/>
      <c r="DK266" s="712"/>
      <c r="DL266" s="712"/>
      <c r="DM266" s="712"/>
      <c r="DN266" s="712"/>
      <c r="DO266" s="712"/>
      <c r="DP266" s="712"/>
      <c r="DQ266" s="712"/>
      <c r="DR266" s="712"/>
      <c r="DS266" s="712"/>
      <c r="DT266" s="712"/>
      <c r="DU266" s="712"/>
      <c r="DV266" s="712"/>
      <c r="DW266" s="712"/>
      <c r="DX266" s="712"/>
      <c r="DY266" s="712"/>
      <c r="DZ266" s="712"/>
      <c r="EA266" s="712"/>
      <c r="EB266" s="712"/>
      <c r="EC266" s="712"/>
      <c r="ED266" s="712"/>
      <c r="EE266" s="712"/>
      <c r="EF266" s="712"/>
      <c r="EG266" s="712"/>
      <c r="EH266" s="712"/>
      <c r="EI266" s="712"/>
      <c r="EJ266" s="712"/>
      <c r="EK266" s="712"/>
      <c r="EL266" s="712"/>
      <c r="EM266" s="712"/>
      <c r="EN266" s="712"/>
      <c r="EP266" s="947"/>
    </row>
    <row r="267" spans="7:146" ht="13.2">
      <c r="G267" s="902"/>
      <c r="H267" s="902" t="s">
        <v>630</v>
      </c>
      <c r="BA267" s="720">
        <v>0</v>
      </c>
      <c r="BB267" s="720">
        <v>0</v>
      </c>
      <c r="BC267" s="720">
        <v>0</v>
      </c>
      <c r="BD267" s="720">
        <v>0</v>
      </c>
      <c r="BE267" s="720">
        <v>0</v>
      </c>
      <c r="BF267" s="720">
        <v>0</v>
      </c>
      <c r="BG267" s="720">
        <v>0</v>
      </c>
      <c r="BH267" s="720">
        <v>0</v>
      </c>
      <c r="BI267" s="720">
        <v>0</v>
      </c>
      <c r="BJ267" s="720">
        <v>0</v>
      </c>
      <c r="BK267" s="720">
        <v>0</v>
      </c>
      <c r="BL267" s="720">
        <v>0</v>
      </c>
      <c r="BM267" s="720">
        <v>0</v>
      </c>
      <c r="BN267" s="720">
        <v>0</v>
      </c>
      <c r="BO267" s="720">
        <v>0</v>
      </c>
      <c r="BP267" s="720">
        <v>0</v>
      </c>
      <c r="BQ267" s="720">
        <v>0</v>
      </c>
      <c r="BR267" s="720">
        <v>0</v>
      </c>
      <c r="BS267" s="720">
        <v>0</v>
      </c>
      <c r="BT267" s="720">
        <v>0</v>
      </c>
      <c r="BU267" s="720">
        <v>0</v>
      </c>
      <c r="BV267" s="720">
        <v>0</v>
      </c>
      <c r="BW267" s="720">
        <v>0</v>
      </c>
      <c r="BX267" s="720">
        <v>0</v>
      </c>
      <c r="BY267" s="720">
        <v>0</v>
      </c>
      <c r="BZ267" s="720">
        <v>0</v>
      </c>
      <c r="CA267" s="720">
        <v>0</v>
      </c>
      <c r="CB267" s="720">
        <v>0</v>
      </c>
      <c r="CC267" s="720">
        <v>0</v>
      </c>
      <c r="CD267" s="720">
        <v>0</v>
      </c>
      <c r="CE267" s="720">
        <v>0</v>
      </c>
      <c r="CF267" s="720">
        <v>0</v>
      </c>
      <c r="CG267" s="720">
        <v>0</v>
      </c>
      <c r="CH267" s="720">
        <v>0</v>
      </c>
      <c r="CI267" s="720">
        <v>0</v>
      </c>
      <c r="CJ267" s="720">
        <v>0</v>
      </c>
      <c r="CK267" s="720">
        <v>0</v>
      </c>
      <c r="CL267" s="720">
        <v>0</v>
      </c>
      <c r="CM267" s="720">
        <v>0</v>
      </c>
      <c r="CN267" s="720">
        <v>0</v>
      </c>
      <c r="CO267" s="720">
        <v>0</v>
      </c>
      <c r="CP267" s="720">
        <v>0</v>
      </c>
      <c r="CQ267" s="720">
        <v>0</v>
      </c>
      <c r="CR267" s="720">
        <v>0</v>
      </c>
      <c r="CS267" s="720">
        <v>0</v>
      </c>
      <c r="CT267" s="720">
        <v>0</v>
      </c>
      <c r="CV267" s="712"/>
      <c r="CW267" s="712"/>
      <c r="CX267" s="712"/>
      <c r="CY267" s="712"/>
      <c r="CZ267" s="712"/>
      <c r="DA267" s="712"/>
      <c r="DB267" s="712"/>
      <c r="DC267" s="712"/>
      <c r="DD267" s="712"/>
      <c r="DE267" s="712"/>
      <c r="DF267" s="712"/>
      <c r="DG267" s="712"/>
      <c r="DH267" s="712"/>
      <c r="DI267" s="712"/>
      <c r="DJ267" s="712"/>
      <c r="DK267" s="712"/>
      <c r="DL267" s="712"/>
      <c r="DM267" s="712"/>
      <c r="DN267" s="712"/>
      <c r="DO267" s="712"/>
      <c r="DP267" s="712"/>
      <c r="DQ267" s="712"/>
      <c r="DR267" s="712"/>
      <c r="DS267" s="712"/>
      <c r="DT267" s="712"/>
      <c r="DU267" s="712"/>
      <c r="DV267" s="712"/>
      <c r="DW267" s="712"/>
      <c r="DX267" s="712"/>
      <c r="DY267" s="712"/>
      <c r="DZ267" s="712"/>
      <c r="EA267" s="712"/>
      <c r="EB267" s="712"/>
      <c r="EC267" s="712"/>
      <c r="ED267" s="712"/>
      <c r="EE267" s="712"/>
      <c r="EF267" s="712"/>
      <c r="EG267" s="712"/>
      <c r="EH267" s="712"/>
      <c r="EI267" s="712"/>
      <c r="EJ267" s="712"/>
      <c r="EK267" s="712"/>
      <c r="EL267" s="712"/>
      <c r="EM267" s="712"/>
      <c r="EN267" s="712"/>
      <c r="EP267" s="947"/>
    </row>
    <row r="268" spans="7:146" ht="13.2">
      <c r="G268" s="902"/>
      <c r="H268" s="902" t="s">
        <v>629</v>
      </c>
      <c r="BA268" s="720">
        <v>0</v>
      </c>
      <c r="BB268" s="720">
        <v>0</v>
      </c>
      <c r="BC268" s="720">
        <v>0</v>
      </c>
      <c r="BD268" s="720">
        <v>0</v>
      </c>
      <c r="BE268" s="720">
        <v>0</v>
      </c>
      <c r="BF268" s="720">
        <v>0</v>
      </c>
      <c r="BG268" s="720">
        <v>0</v>
      </c>
      <c r="BH268" s="720">
        <v>0</v>
      </c>
      <c r="BI268" s="720">
        <v>0</v>
      </c>
      <c r="BJ268" s="720">
        <v>0</v>
      </c>
      <c r="BK268" s="720">
        <v>0</v>
      </c>
      <c r="BL268" s="720">
        <v>0</v>
      </c>
      <c r="BM268" s="720">
        <v>0</v>
      </c>
      <c r="BN268" s="720">
        <v>0</v>
      </c>
      <c r="BO268" s="720">
        <v>0</v>
      </c>
      <c r="BP268" s="720">
        <v>0</v>
      </c>
      <c r="BQ268" s="720">
        <v>0</v>
      </c>
      <c r="BR268" s="720">
        <v>0</v>
      </c>
      <c r="BS268" s="720">
        <v>0</v>
      </c>
      <c r="BT268" s="720">
        <v>0</v>
      </c>
      <c r="BU268" s="720">
        <v>0</v>
      </c>
      <c r="BV268" s="720">
        <v>0</v>
      </c>
      <c r="BW268" s="720">
        <v>0</v>
      </c>
      <c r="BX268" s="720">
        <v>0</v>
      </c>
      <c r="BY268" s="720">
        <v>0</v>
      </c>
      <c r="BZ268" s="720">
        <v>0</v>
      </c>
      <c r="CA268" s="720">
        <v>0</v>
      </c>
      <c r="CB268" s="720">
        <v>0</v>
      </c>
      <c r="CC268" s="720">
        <v>0</v>
      </c>
      <c r="CD268" s="720">
        <v>0</v>
      </c>
      <c r="CE268" s="720">
        <v>0</v>
      </c>
      <c r="CF268" s="720">
        <v>0</v>
      </c>
      <c r="CG268" s="720">
        <v>0</v>
      </c>
      <c r="CH268" s="720">
        <v>0</v>
      </c>
      <c r="CI268" s="720">
        <v>0</v>
      </c>
      <c r="CJ268" s="720">
        <v>0</v>
      </c>
      <c r="CK268" s="720">
        <v>0</v>
      </c>
      <c r="CL268" s="720">
        <v>0</v>
      </c>
      <c r="CM268" s="720">
        <v>0</v>
      </c>
      <c r="CN268" s="720">
        <v>0</v>
      </c>
      <c r="CO268" s="720">
        <v>0</v>
      </c>
      <c r="CP268" s="720">
        <v>0</v>
      </c>
      <c r="CQ268" s="720">
        <v>0</v>
      </c>
      <c r="CR268" s="720">
        <v>0</v>
      </c>
      <c r="CS268" s="720">
        <v>0</v>
      </c>
      <c r="CT268" s="720">
        <v>0</v>
      </c>
      <c r="CV268" s="712"/>
      <c r="CW268" s="712"/>
      <c r="CX268" s="712"/>
      <c r="CY268" s="712"/>
      <c r="CZ268" s="712"/>
      <c r="DA268" s="712"/>
      <c r="DB268" s="712"/>
      <c r="DC268" s="712"/>
      <c r="DD268" s="712"/>
      <c r="DE268" s="712"/>
      <c r="DF268" s="712"/>
      <c r="DG268" s="712"/>
      <c r="DH268" s="712"/>
      <c r="DI268" s="712"/>
      <c r="DJ268" s="712"/>
      <c r="DK268" s="712"/>
      <c r="DL268" s="712"/>
      <c r="DM268" s="712"/>
      <c r="DN268" s="712"/>
      <c r="DO268" s="712"/>
      <c r="DP268" s="712"/>
      <c r="DQ268" s="712"/>
      <c r="DR268" s="712"/>
      <c r="DS268" s="712"/>
      <c r="DT268" s="712"/>
      <c r="DU268" s="712"/>
      <c r="DV268" s="712"/>
      <c r="DW268" s="712"/>
      <c r="DX268" s="712"/>
      <c r="DY268" s="712"/>
      <c r="DZ268" s="712"/>
      <c r="EA268" s="712"/>
      <c r="EB268" s="712"/>
      <c r="EC268" s="712"/>
      <c r="ED268" s="712"/>
      <c r="EE268" s="712"/>
      <c r="EF268" s="712"/>
      <c r="EG268" s="712"/>
      <c r="EH268" s="712"/>
      <c r="EI268" s="712"/>
      <c r="EJ268" s="712"/>
      <c r="EK268" s="712"/>
      <c r="EL268" s="712"/>
      <c r="EM268" s="712"/>
      <c r="EN268" s="712"/>
      <c r="EP268" s="947"/>
    </row>
    <row r="269" spans="7:146" ht="13.2">
      <c r="G269" s="902"/>
      <c r="H269" s="902" t="s">
        <v>631</v>
      </c>
      <c r="BA269" s="720">
        <v>0</v>
      </c>
      <c r="BB269" s="720">
        <v>0</v>
      </c>
      <c r="BC269" s="720">
        <v>0</v>
      </c>
      <c r="BD269" s="720">
        <v>0</v>
      </c>
      <c r="BE269" s="720">
        <v>0</v>
      </c>
      <c r="BF269" s="720">
        <v>0</v>
      </c>
      <c r="BG269" s="720">
        <v>0</v>
      </c>
      <c r="BH269" s="720">
        <v>0</v>
      </c>
      <c r="BI269" s="720">
        <v>0</v>
      </c>
      <c r="BJ269" s="720">
        <v>0</v>
      </c>
      <c r="BK269" s="720">
        <v>0</v>
      </c>
      <c r="BL269" s="720">
        <v>0</v>
      </c>
      <c r="BM269" s="720">
        <v>0</v>
      </c>
      <c r="BN269" s="720">
        <v>0</v>
      </c>
      <c r="BO269" s="720">
        <v>0</v>
      </c>
      <c r="BP269" s="720">
        <v>0</v>
      </c>
      <c r="BQ269" s="720">
        <v>0</v>
      </c>
      <c r="BR269" s="720">
        <v>0</v>
      </c>
      <c r="BS269" s="720">
        <v>0</v>
      </c>
      <c r="BT269" s="720">
        <v>0</v>
      </c>
      <c r="BU269" s="720">
        <v>0</v>
      </c>
      <c r="BV269" s="720">
        <v>0</v>
      </c>
      <c r="BW269" s="720">
        <v>0</v>
      </c>
      <c r="BX269" s="720">
        <v>0</v>
      </c>
      <c r="BY269" s="720">
        <v>0</v>
      </c>
      <c r="BZ269" s="720">
        <v>0</v>
      </c>
      <c r="CA269" s="720">
        <v>0</v>
      </c>
      <c r="CB269" s="720">
        <v>0</v>
      </c>
      <c r="CC269" s="720">
        <v>0</v>
      </c>
      <c r="CD269" s="720">
        <v>0</v>
      </c>
      <c r="CE269" s="720">
        <v>0</v>
      </c>
      <c r="CF269" s="720">
        <v>0</v>
      </c>
      <c r="CG269" s="720">
        <v>0</v>
      </c>
      <c r="CH269" s="720">
        <v>0</v>
      </c>
      <c r="CI269" s="720">
        <v>0</v>
      </c>
      <c r="CJ269" s="720">
        <v>0</v>
      </c>
      <c r="CK269" s="720">
        <v>0</v>
      </c>
      <c r="CL269" s="720">
        <v>0</v>
      </c>
      <c r="CM269" s="720">
        <v>0</v>
      </c>
      <c r="CN269" s="720">
        <v>0</v>
      </c>
      <c r="CO269" s="720">
        <v>0</v>
      </c>
      <c r="CP269" s="720">
        <v>0</v>
      </c>
      <c r="CQ269" s="720">
        <v>0</v>
      </c>
      <c r="CR269" s="720">
        <v>0</v>
      </c>
      <c r="CS269" s="720">
        <v>0</v>
      </c>
      <c r="CT269" s="720">
        <v>0</v>
      </c>
      <c r="CV269" s="712"/>
      <c r="CW269" s="712"/>
      <c r="CX269" s="712"/>
      <c r="CY269" s="712"/>
      <c r="CZ269" s="712"/>
      <c r="DA269" s="712"/>
      <c r="DB269" s="712"/>
      <c r="DC269" s="712"/>
      <c r="DD269" s="712"/>
      <c r="DE269" s="712"/>
      <c r="DF269" s="712"/>
      <c r="DG269" s="712"/>
      <c r="DH269" s="712"/>
      <c r="DI269" s="712"/>
      <c r="DJ269" s="712"/>
      <c r="DK269" s="712"/>
      <c r="DL269" s="712"/>
      <c r="DM269" s="712"/>
      <c r="DN269" s="712"/>
      <c r="DO269" s="712"/>
      <c r="DP269" s="712"/>
      <c r="DQ269" s="712"/>
      <c r="DR269" s="712"/>
      <c r="DS269" s="712"/>
      <c r="DT269" s="712"/>
      <c r="DU269" s="712"/>
      <c r="DV269" s="712"/>
      <c r="DW269" s="712"/>
      <c r="DX269" s="712"/>
      <c r="DY269" s="712"/>
      <c r="DZ269" s="712"/>
      <c r="EA269" s="712"/>
      <c r="EB269" s="712"/>
      <c r="EC269" s="712"/>
      <c r="ED269" s="712"/>
      <c r="EE269" s="712"/>
      <c r="EF269" s="712"/>
      <c r="EG269" s="712"/>
      <c r="EH269" s="712"/>
      <c r="EI269" s="712"/>
      <c r="EJ269" s="712"/>
      <c r="EK269" s="712"/>
      <c r="EL269" s="712"/>
      <c r="EM269" s="712"/>
      <c r="EN269" s="712"/>
      <c r="EP269" s="947"/>
    </row>
    <row r="270" spans="7:146" ht="13.2">
      <c r="G270" s="902"/>
      <c r="H270" s="902" t="s">
        <v>632</v>
      </c>
      <c r="BA270" s="720">
        <v>0</v>
      </c>
      <c r="BB270" s="720">
        <v>0</v>
      </c>
      <c r="BC270" s="720">
        <v>0</v>
      </c>
      <c r="BD270" s="720">
        <v>0</v>
      </c>
      <c r="BE270" s="720">
        <v>0</v>
      </c>
      <c r="BF270" s="720">
        <v>0</v>
      </c>
      <c r="BG270" s="720">
        <v>0</v>
      </c>
      <c r="BH270" s="720">
        <v>0</v>
      </c>
      <c r="BI270" s="720">
        <v>0</v>
      </c>
      <c r="BJ270" s="720">
        <v>0</v>
      </c>
      <c r="BK270" s="720">
        <v>0</v>
      </c>
      <c r="BL270" s="720">
        <v>0</v>
      </c>
      <c r="BM270" s="720">
        <v>0</v>
      </c>
      <c r="BN270" s="720">
        <v>0</v>
      </c>
      <c r="BO270" s="720">
        <v>0</v>
      </c>
      <c r="BP270" s="720">
        <v>0</v>
      </c>
      <c r="BQ270" s="720">
        <v>0</v>
      </c>
      <c r="BR270" s="720">
        <v>0</v>
      </c>
      <c r="BS270" s="720">
        <v>0</v>
      </c>
      <c r="BT270" s="720">
        <v>0</v>
      </c>
      <c r="BU270" s="720">
        <v>0</v>
      </c>
      <c r="BV270" s="720">
        <v>0</v>
      </c>
      <c r="BW270" s="720">
        <v>0</v>
      </c>
      <c r="BX270" s="720">
        <v>0</v>
      </c>
      <c r="BY270" s="720">
        <v>0</v>
      </c>
      <c r="BZ270" s="720">
        <v>0</v>
      </c>
      <c r="CA270" s="720">
        <v>0</v>
      </c>
      <c r="CB270" s="720">
        <v>0</v>
      </c>
      <c r="CC270" s="720">
        <v>0</v>
      </c>
      <c r="CD270" s="720">
        <v>0</v>
      </c>
      <c r="CE270" s="720">
        <v>0</v>
      </c>
      <c r="CF270" s="720">
        <v>0</v>
      </c>
      <c r="CG270" s="720">
        <v>0</v>
      </c>
      <c r="CH270" s="720">
        <v>0</v>
      </c>
      <c r="CI270" s="720">
        <v>0</v>
      </c>
      <c r="CJ270" s="720">
        <v>0</v>
      </c>
      <c r="CK270" s="720">
        <v>0</v>
      </c>
      <c r="CL270" s="720">
        <v>0</v>
      </c>
      <c r="CM270" s="720">
        <v>0</v>
      </c>
      <c r="CN270" s="720">
        <v>0</v>
      </c>
      <c r="CO270" s="720">
        <v>0</v>
      </c>
      <c r="CP270" s="720">
        <v>0</v>
      </c>
      <c r="CQ270" s="720">
        <v>0</v>
      </c>
      <c r="CR270" s="720">
        <v>0</v>
      </c>
      <c r="CS270" s="720">
        <v>0</v>
      </c>
      <c r="CT270" s="720">
        <v>0</v>
      </c>
      <c r="CV270" s="712"/>
      <c r="CW270" s="712"/>
      <c r="CX270" s="712"/>
      <c r="CY270" s="712"/>
      <c r="CZ270" s="712"/>
      <c r="DA270" s="712"/>
      <c r="DB270" s="712"/>
      <c r="DC270" s="712"/>
      <c r="DD270" s="712"/>
      <c r="DE270" s="712"/>
      <c r="DF270" s="712"/>
      <c r="DG270" s="712"/>
      <c r="DH270" s="712"/>
      <c r="DI270" s="712"/>
      <c r="DJ270" s="712"/>
      <c r="DK270" s="712"/>
      <c r="DL270" s="712"/>
      <c r="DM270" s="712"/>
      <c r="DN270" s="712"/>
      <c r="DO270" s="712"/>
      <c r="DP270" s="712"/>
      <c r="DQ270" s="712"/>
      <c r="DR270" s="712"/>
      <c r="DS270" s="712"/>
      <c r="DT270" s="712"/>
      <c r="DU270" s="712"/>
      <c r="DV270" s="712"/>
      <c r="DW270" s="712"/>
      <c r="DX270" s="712"/>
      <c r="DY270" s="712"/>
      <c r="DZ270" s="712"/>
      <c r="EA270" s="712"/>
      <c r="EB270" s="712"/>
      <c r="EC270" s="712"/>
      <c r="ED270" s="712"/>
      <c r="EE270" s="712"/>
      <c r="EF270" s="712"/>
      <c r="EG270" s="712"/>
      <c r="EH270" s="712"/>
      <c r="EI270" s="712"/>
      <c r="EJ270" s="712"/>
      <c r="EK270" s="712"/>
      <c r="EL270" s="712"/>
      <c r="EM270" s="712"/>
      <c r="EN270" s="712"/>
      <c r="EP270" s="947"/>
    </row>
    <row r="271" spans="7:146" ht="13.2">
      <c r="G271" s="902"/>
      <c r="H271" s="902" t="s">
        <v>633</v>
      </c>
      <c r="BA271" s="720">
        <v>0</v>
      </c>
      <c r="BB271" s="720">
        <v>0</v>
      </c>
      <c r="BC271" s="720">
        <v>0</v>
      </c>
      <c r="BD271" s="720">
        <v>0</v>
      </c>
      <c r="BE271" s="720">
        <v>0</v>
      </c>
      <c r="BF271" s="720">
        <v>0</v>
      </c>
      <c r="BG271" s="720">
        <v>0</v>
      </c>
      <c r="BH271" s="720">
        <v>0</v>
      </c>
      <c r="BI271" s="720">
        <v>0</v>
      </c>
      <c r="BJ271" s="720">
        <v>0</v>
      </c>
      <c r="BK271" s="720">
        <v>0</v>
      </c>
      <c r="BL271" s="720">
        <v>0</v>
      </c>
      <c r="BM271" s="720">
        <v>0</v>
      </c>
      <c r="BN271" s="720">
        <v>0</v>
      </c>
      <c r="BO271" s="720">
        <v>0</v>
      </c>
      <c r="BP271" s="720">
        <v>0</v>
      </c>
      <c r="BQ271" s="720">
        <v>0</v>
      </c>
      <c r="BR271" s="720">
        <v>0</v>
      </c>
      <c r="BS271" s="720">
        <v>0</v>
      </c>
      <c r="BT271" s="720">
        <v>0</v>
      </c>
      <c r="BU271" s="720">
        <v>0</v>
      </c>
      <c r="BV271" s="720">
        <v>0</v>
      </c>
      <c r="BW271" s="720">
        <v>0</v>
      </c>
      <c r="BX271" s="720">
        <v>0</v>
      </c>
      <c r="BY271" s="720">
        <v>0</v>
      </c>
      <c r="BZ271" s="720">
        <v>0</v>
      </c>
      <c r="CA271" s="720">
        <v>0</v>
      </c>
      <c r="CB271" s="720">
        <v>0</v>
      </c>
      <c r="CC271" s="720">
        <v>0</v>
      </c>
      <c r="CD271" s="720">
        <v>0</v>
      </c>
      <c r="CE271" s="720">
        <v>0</v>
      </c>
      <c r="CF271" s="720">
        <v>0</v>
      </c>
      <c r="CG271" s="720">
        <v>0</v>
      </c>
      <c r="CH271" s="720">
        <v>0</v>
      </c>
      <c r="CI271" s="720">
        <v>0</v>
      </c>
      <c r="CJ271" s="720">
        <v>0</v>
      </c>
      <c r="CK271" s="720">
        <v>0</v>
      </c>
      <c r="CL271" s="720">
        <v>0</v>
      </c>
      <c r="CM271" s="720">
        <v>0</v>
      </c>
      <c r="CN271" s="720">
        <v>0</v>
      </c>
      <c r="CO271" s="720">
        <v>0</v>
      </c>
      <c r="CP271" s="720">
        <v>0</v>
      </c>
      <c r="CQ271" s="720">
        <v>0</v>
      </c>
      <c r="CR271" s="720">
        <v>0</v>
      </c>
      <c r="CS271" s="720">
        <v>0</v>
      </c>
      <c r="CT271" s="720">
        <v>0</v>
      </c>
      <c r="CV271" s="712"/>
      <c r="CW271" s="712"/>
      <c r="CX271" s="712"/>
      <c r="CY271" s="712"/>
      <c r="CZ271" s="712"/>
      <c r="DA271" s="712"/>
      <c r="DB271" s="712"/>
      <c r="DC271" s="712"/>
      <c r="DD271" s="712"/>
      <c r="DE271" s="712"/>
      <c r="DF271" s="712"/>
      <c r="DG271" s="712"/>
      <c r="DH271" s="712"/>
      <c r="DI271" s="712"/>
      <c r="DJ271" s="712"/>
      <c r="DK271" s="712"/>
      <c r="DL271" s="712"/>
      <c r="DM271" s="712"/>
      <c r="DN271" s="712"/>
      <c r="DO271" s="712"/>
      <c r="DP271" s="712"/>
      <c r="DQ271" s="712"/>
      <c r="DR271" s="712"/>
      <c r="DS271" s="712"/>
      <c r="DT271" s="712"/>
      <c r="DU271" s="712"/>
      <c r="DV271" s="712"/>
      <c r="DW271" s="712"/>
      <c r="DX271" s="712"/>
      <c r="DY271" s="712"/>
      <c r="DZ271" s="712"/>
      <c r="EA271" s="712"/>
      <c r="EB271" s="712"/>
      <c r="EC271" s="712"/>
      <c r="ED271" s="712"/>
      <c r="EE271" s="712"/>
      <c r="EF271" s="712"/>
      <c r="EG271" s="712"/>
      <c r="EH271" s="712"/>
      <c r="EI271" s="712"/>
      <c r="EJ271" s="712"/>
      <c r="EK271" s="712"/>
      <c r="EL271" s="712"/>
      <c r="EM271" s="712"/>
      <c r="EN271" s="712"/>
      <c r="EP271" s="947"/>
    </row>
    <row r="272" spans="7:146" ht="13.2">
      <c r="G272" s="714"/>
      <c r="H272" s="714"/>
      <c r="BA272" s="720">
        <v>0</v>
      </c>
      <c r="BB272" s="720">
        <v>0</v>
      </c>
      <c r="BC272" s="720">
        <v>0</v>
      </c>
      <c r="BD272" s="720">
        <v>0</v>
      </c>
      <c r="BE272" s="720">
        <v>0</v>
      </c>
      <c r="BF272" s="720">
        <v>0</v>
      </c>
      <c r="BG272" s="720">
        <v>0</v>
      </c>
      <c r="BH272" s="720">
        <v>0</v>
      </c>
      <c r="BI272" s="720">
        <v>0</v>
      </c>
      <c r="BJ272" s="720">
        <v>0</v>
      </c>
      <c r="BK272" s="720">
        <v>0</v>
      </c>
      <c r="BL272" s="720">
        <v>0</v>
      </c>
      <c r="BM272" s="720">
        <v>0</v>
      </c>
      <c r="BN272" s="720">
        <v>0</v>
      </c>
      <c r="BO272" s="720">
        <v>0</v>
      </c>
      <c r="BP272" s="720">
        <v>0</v>
      </c>
      <c r="BQ272" s="720">
        <v>0</v>
      </c>
      <c r="BR272" s="720">
        <v>0</v>
      </c>
      <c r="BS272" s="720">
        <v>0</v>
      </c>
      <c r="BT272" s="720">
        <v>0</v>
      </c>
      <c r="BU272" s="720">
        <v>0</v>
      </c>
      <c r="BV272" s="720">
        <v>0</v>
      </c>
      <c r="BW272" s="720">
        <v>0</v>
      </c>
      <c r="BX272" s="720">
        <v>0</v>
      </c>
      <c r="BY272" s="720">
        <v>0</v>
      </c>
      <c r="BZ272" s="720">
        <v>0</v>
      </c>
      <c r="CA272" s="720">
        <v>0</v>
      </c>
      <c r="CB272" s="720">
        <v>0</v>
      </c>
      <c r="CC272" s="720">
        <v>0</v>
      </c>
      <c r="CD272" s="720">
        <v>0</v>
      </c>
      <c r="CE272" s="720">
        <v>0</v>
      </c>
      <c r="CF272" s="720">
        <v>0</v>
      </c>
      <c r="CG272" s="720">
        <v>0</v>
      </c>
      <c r="CH272" s="720">
        <v>0</v>
      </c>
      <c r="CI272" s="720">
        <v>0</v>
      </c>
      <c r="CJ272" s="720">
        <v>0</v>
      </c>
      <c r="CK272" s="720">
        <v>0</v>
      </c>
      <c r="CL272" s="720">
        <v>0</v>
      </c>
      <c r="CM272" s="720">
        <v>0</v>
      </c>
      <c r="CN272" s="720">
        <v>0</v>
      </c>
      <c r="CO272" s="720">
        <v>0</v>
      </c>
      <c r="CP272" s="720">
        <v>0</v>
      </c>
      <c r="CQ272" s="720">
        <v>0</v>
      </c>
      <c r="CR272" s="720">
        <v>0</v>
      </c>
      <c r="CS272" s="720">
        <v>0</v>
      </c>
      <c r="CT272" s="720">
        <v>0</v>
      </c>
      <c r="CV272" s="712"/>
      <c r="CW272" s="712"/>
      <c r="CX272" s="712"/>
      <c r="CY272" s="712"/>
      <c r="CZ272" s="712"/>
      <c r="DA272" s="712"/>
      <c r="DB272" s="712"/>
      <c r="DC272" s="712"/>
      <c r="DD272" s="712"/>
      <c r="DE272" s="712"/>
      <c r="DF272" s="712"/>
      <c r="DG272" s="712"/>
      <c r="DH272" s="712"/>
      <c r="DI272" s="712"/>
      <c r="DJ272" s="712"/>
      <c r="DK272" s="712"/>
      <c r="DL272" s="712"/>
      <c r="DM272" s="712"/>
      <c r="DN272" s="712"/>
      <c r="DO272" s="712"/>
      <c r="DP272" s="712"/>
      <c r="DQ272" s="712"/>
      <c r="DR272" s="712"/>
      <c r="DS272" s="712"/>
      <c r="DT272" s="712"/>
      <c r="DU272" s="712"/>
      <c r="DV272" s="712"/>
      <c r="DW272" s="712"/>
      <c r="DX272" s="712"/>
      <c r="DY272" s="712"/>
      <c r="DZ272" s="712"/>
      <c r="EA272" s="712"/>
      <c r="EB272" s="712"/>
      <c r="EC272" s="712"/>
      <c r="ED272" s="712"/>
      <c r="EE272" s="712"/>
      <c r="EF272" s="712"/>
      <c r="EG272" s="712"/>
      <c r="EH272" s="712"/>
      <c r="EI272" s="712"/>
      <c r="EJ272" s="712"/>
      <c r="EK272" s="712"/>
      <c r="EL272" s="712"/>
      <c r="EM272" s="712"/>
      <c r="EN272" s="712"/>
      <c r="EP272" s="947"/>
    </row>
    <row r="273" spans="7:146" ht="13.2">
      <c r="G273" s="902"/>
      <c r="H273" s="902" t="s">
        <v>634</v>
      </c>
      <c r="BA273" s="720">
        <v>0</v>
      </c>
      <c r="BB273" s="720">
        <v>0</v>
      </c>
      <c r="BC273" s="720">
        <v>0</v>
      </c>
      <c r="BD273" s="720">
        <v>0</v>
      </c>
      <c r="BE273" s="720">
        <v>0</v>
      </c>
      <c r="BF273" s="720">
        <v>0</v>
      </c>
      <c r="BG273" s="720">
        <v>0</v>
      </c>
      <c r="BH273" s="720">
        <v>0</v>
      </c>
      <c r="BI273" s="720">
        <v>0</v>
      </c>
      <c r="BJ273" s="720">
        <v>0</v>
      </c>
      <c r="BK273" s="720">
        <v>0</v>
      </c>
      <c r="BL273" s="720">
        <v>0</v>
      </c>
      <c r="BM273" s="720">
        <v>0</v>
      </c>
      <c r="BN273" s="720">
        <v>0</v>
      </c>
      <c r="BO273" s="720">
        <v>0</v>
      </c>
      <c r="BP273" s="720">
        <v>0</v>
      </c>
      <c r="BQ273" s="720">
        <v>0</v>
      </c>
      <c r="BR273" s="720">
        <v>0</v>
      </c>
      <c r="BS273" s="720">
        <v>0</v>
      </c>
      <c r="BT273" s="720">
        <v>0</v>
      </c>
      <c r="BU273" s="720">
        <v>0</v>
      </c>
      <c r="BV273" s="720">
        <v>0</v>
      </c>
      <c r="BW273" s="720">
        <v>0</v>
      </c>
      <c r="BX273" s="720">
        <v>0</v>
      </c>
      <c r="BY273" s="720">
        <v>0</v>
      </c>
      <c r="BZ273" s="720">
        <v>0</v>
      </c>
      <c r="CA273" s="720">
        <v>0</v>
      </c>
      <c r="CB273" s="720">
        <v>0</v>
      </c>
      <c r="CC273" s="720">
        <v>0</v>
      </c>
      <c r="CD273" s="720">
        <v>0</v>
      </c>
      <c r="CE273" s="720">
        <v>0</v>
      </c>
      <c r="CF273" s="720">
        <v>0</v>
      </c>
      <c r="CG273" s="720">
        <v>0</v>
      </c>
      <c r="CH273" s="720">
        <v>0</v>
      </c>
      <c r="CI273" s="720">
        <v>0</v>
      </c>
      <c r="CJ273" s="720">
        <v>0</v>
      </c>
      <c r="CK273" s="720">
        <v>0</v>
      </c>
      <c r="CL273" s="720">
        <v>0</v>
      </c>
      <c r="CM273" s="720">
        <v>0</v>
      </c>
      <c r="CN273" s="720">
        <v>0</v>
      </c>
      <c r="CO273" s="720">
        <v>0</v>
      </c>
      <c r="CP273" s="720">
        <v>0</v>
      </c>
      <c r="CQ273" s="720">
        <v>0</v>
      </c>
      <c r="CR273" s="720">
        <v>0</v>
      </c>
      <c r="CS273" s="720">
        <v>0</v>
      </c>
      <c r="CT273" s="720">
        <v>0</v>
      </c>
      <c r="CV273" s="712"/>
      <c r="CW273" s="712"/>
      <c r="CX273" s="712"/>
      <c r="CY273" s="712"/>
      <c r="CZ273" s="712"/>
      <c r="DA273" s="712"/>
      <c r="DB273" s="712"/>
      <c r="DC273" s="712"/>
      <c r="DD273" s="712"/>
      <c r="DE273" s="712"/>
      <c r="DF273" s="712"/>
      <c r="DG273" s="712"/>
      <c r="DH273" s="712"/>
      <c r="DI273" s="712"/>
      <c r="DJ273" s="712"/>
      <c r="DK273" s="712"/>
      <c r="DL273" s="712"/>
      <c r="DM273" s="712"/>
      <c r="DN273" s="712"/>
      <c r="DO273" s="712"/>
      <c r="DP273" s="712"/>
      <c r="DQ273" s="712"/>
      <c r="DR273" s="712"/>
      <c r="DS273" s="712"/>
      <c r="DT273" s="712"/>
      <c r="DU273" s="712"/>
      <c r="DV273" s="712"/>
      <c r="DW273" s="712"/>
      <c r="DX273" s="712"/>
      <c r="DY273" s="712"/>
      <c r="DZ273" s="712"/>
      <c r="EA273" s="712"/>
      <c r="EB273" s="712"/>
      <c r="EC273" s="712"/>
      <c r="ED273" s="712"/>
      <c r="EE273" s="712"/>
      <c r="EF273" s="712"/>
      <c r="EG273" s="712"/>
      <c r="EH273" s="712"/>
      <c r="EI273" s="712"/>
      <c r="EJ273" s="712"/>
      <c r="EK273" s="712"/>
      <c r="EL273" s="712"/>
      <c r="EM273" s="712"/>
      <c r="EN273" s="712"/>
      <c r="EP273" s="947"/>
    </row>
    <row r="274" spans="7:146" ht="13.2">
      <c r="G274" s="902"/>
      <c r="H274" s="902" t="s">
        <v>635</v>
      </c>
      <c r="BA274" s="720">
        <v>0</v>
      </c>
      <c r="BB274" s="720">
        <v>0</v>
      </c>
      <c r="BC274" s="720">
        <v>0</v>
      </c>
      <c r="BD274" s="720">
        <v>0</v>
      </c>
      <c r="BE274" s="720">
        <v>0</v>
      </c>
      <c r="BF274" s="720">
        <v>0</v>
      </c>
      <c r="BG274" s="720">
        <v>0</v>
      </c>
      <c r="BH274" s="720">
        <v>0</v>
      </c>
      <c r="BI274" s="720">
        <v>0</v>
      </c>
      <c r="BJ274" s="720">
        <v>0</v>
      </c>
      <c r="BK274" s="720">
        <v>0</v>
      </c>
      <c r="BL274" s="720">
        <v>0</v>
      </c>
      <c r="BM274" s="720">
        <v>0</v>
      </c>
      <c r="BN274" s="720">
        <v>0</v>
      </c>
      <c r="BO274" s="720">
        <v>0</v>
      </c>
      <c r="BP274" s="720">
        <v>0</v>
      </c>
      <c r="BQ274" s="720">
        <v>0</v>
      </c>
      <c r="BR274" s="720">
        <v>0</v>
      </c>
      <c r="BS274" s="720">
        <v>0</v>
      </c>
      <c r="BT274" s="720">
        <v>0</v>
      </c>
      <c r="BU274" s="720">
        <v>0</v>
      </c>
      <c r="BV274" s="720">
        <v>0</v>
      </c>
      <c r="BW274" s="720">
        <v>0</v>
      </c>
      <c r="BX274" s="720">
        <v>0</v>
      </c>
      <c r="BY274" s="720">
        <v>0</v>
      </c>
      <c r="BZ274" s="720">
        <v>0</v>
      </c>
      <c r="CA274" s="720">
        <v>0</v>
      </c>
      <c r="CB274" s="720">
        <v>0</v>
      </c>
      <c r="CC274" s="720">
        <v>0</v>
      </c>
      <c r="CD274" s="720">
        <v>0</v>
      </c>
      <c r="CE274" s="720">
        <v>0</v>
      </c>
      <c r="CF274" s="720">
        <v>0</v>
      </c>
      <c r="CG274" s="720">
        <v>0</v>
      </c>
      <c r="CH274" s="720">
        <v>0</v>
      </c>
      <c r="CI274" s="720">
        <v>0</v>
      </c>
      <c r="CJ274" s="720">
        <v>0</v>
      </c>
      <c r="CK274" s="720">
        <v>0</v>
      </c>
      <c r="CL274" s="720">
        <v>0</v>
      </c>
      <c r="CM274" s="720">
        <v>0</v>
      </c>
      <c r="CN274" s="720">
        <v>0</v>
      </c>
      <c r="CO274" s="720">
        <v>0</v>
      </c>
      <c r="CP274" s="720">
        <v>0</v>
      </c>
      <c r="CQ274" s="720">
        <v>0</v>
      </c>
      <c r="CR274" s="720">
        <v>0</v>
      </c>
      <c r="CS274" s="720">
        <v>0</v>
      </c>
      <c r="CT274" s="720">
        <v>0</v>
      </c>
      <c r="CV274" s="712"/>
      <c r="CW274" s="712"/>
      <c r="CX274" s="712"/>
      <c r="CY274" s="712"/>
      <c r="CZ274" s="712"/>
      <c r="DA274" s="712"/>
      <c r="DB274" s="712"/>
      <c r="DC274" s="712"/>
      <c r="DD274" s="712"/>
      <c r="DE274" s="712"/>
      <c r="DF274" s="712"/>
      <c r="DG274" s="712"/>
      <c r="DH274" s="712"/>
      <c r="DI274" s="712"/>
      <c r="DJ274" s="712"/>
      <c r="DK274" s="712"/>
      <c r="DL274" s="712"/>
      <c r="DM274" s="712"/>
      <c r="DN274" s="712"/>
      <c r="DO274" s="712"/>
      <c r="DP274" s="712"/>
      <c r="DQ274" s="712"/>
      <c r="DR274" s="712"/>
      <c r="DS274" s="712"/>
      <c r="DT274" s="712"/>
      <c r="DU274" s="712"/>
      <c r="DV274" s="712"/>
      <c r="DW274" s="712"/>
      <c r="DX274" s="712"/>
      <c r="DY274" s="712"/>
      <c r="DZ274" s="712"/>
      <c r="EA274" s="712"/>
      <c r="EB274" s="712"/>
      <c r="EC274" s="712"/>
      <c r="ED274" s="712"/>
      <c r="EE274" s="712"/>
      <c r="EF274" s="712"/>
      <c r="EG274" s="712"/>
      <c r="EH274" s="712"/>
      <c r="EI274" s="712"/>
      <c r="EJ274" s="712"/>
      <c r="EK274" s="712"/>
      <c r="EL274" s="712"/>
      <c r="EM274" s="712"/>
      <c r="EN274" s="712"/>
      <c r="EP274" s="947"/>
    </row>
    <row r="275" spans="7:146" ht="13.2">
      <c r="G275" s="902"/>
      <c r="H275" s="902" t="s">
        <v>636</v>
      </c>
      <c r="BA275" s="720">
        <v>0</v>
      </c>
      <c r="BB275" s="720">
        <v>0</v>
      </c>
      <c r="BC275" s="720">
        <v>0</v>
      </c>
      <c r="BD275" s="720">
        <v>0</v>
      </c>
      <c r="BE275" s="720">
        <v>0</v>
      </c>
      <c r="BF275" s="720">
        <v>0</v>
      </c>
      <c r="BG275" s="720">
        <v>0</v>
      </c>
      <c r="BH275" s="720">
        <v>0</v>
      </c>
      <c r="BI275" s="720">
        <v>0</v>
      </c>
      <c r="BJ275" s="720">
        <v>0</v>
      </c>
      <c r="BK275" s="720">
        <v>0</v>
      </c>
      <c r="BL275" s="720">
        <v>0</v>
      </c>
      <c r="BM275" s="720">
        <v>0</v>
      </c>
      <c r="BN275" s="720">
        <v>0</v>
      </c>
      <c r="BO275" s="720">
        <v>0</v>
      </c>
      <c r="BP275" s="720">
        <v>0</v>
      </c>
      <c r="BQ275" s="720">
        <v>0</v>
      </c>
      <c r="BR275" s="720">
        <v>0</v>
      </c>
      <c r="BS275" s="720">
        <v>0</v>
      </c>
      <c r="BT275" s="720">
        <v>0</v>
      </c>
      <c r="BU275" s="720">
        <v>0</v>
      </c>
      <c r="BV275" s="720">
        <v>0</v>
      </c>
      <c r="BW275" s="720">
        <v>0</v>
      </c>
      <c r="BX275" s="720">
        <v>0</v>
      </c>
      <c r="BY275" s="720">
        <v>0</v>
      </c>
      <c r="BZ275" s="720">
        <v>0</v>
      </c>
      <c r="CA275" s="720">
        <v>0</v>
      </c>
      <c r="CB275" s="720">
        <v>0</v>
      </c>
      <c r="CC275" s="720">
        <v>0</v>
      </c>
      <c r="CD275" s="720">
        <v>0</v>
      </c>
      <c r="CE275" s="720">
        <v>0</v>
      </c>
      <c r="CF275" s="720">
        <v>0</v>
      </c>
      <c r="CG275" s="720">
        <v>0</v>
      </c>
      <c r="CH275" s="720">
        <v>0</v>
      </c>
      <c r="CI275" s="720">
        <v>0</v>
      </c>
      <c r="CJ275" s="720">
        <v>0</v>
      </c>
      <c r="CK275" s="720">
        <v>0</v>
      </c>
      <c r="CL275" s="720">
        <v>0</v>
      </c>
      <c r="CM275" s="720">
        <v>0</v>
      </c>
      <c r="CN275" s="720">
        <v>0</v>
      </c>
      <c r="CO275" s="720">
        <v>0</v>
      </c>
      <c r="CP275" s="720">
        <v>0</v>
      </c>
      <c r="CQ275" s="720">
        <v>0</v>
      </c>
      <c r="CR275" s="720">
        <v>0</v>
      </c>
      <c r="CS275" s="720">
        <v>0</v>
      </c>
      <c r="CT275" s="720">
        <v>0</v>
      </c>
      <c r="CV275" s="712"/>
      <c r="CW275" s="712"/>
      <c r="CX275" s="712"/>
      <c r="CY275" s="712"/>
      <c r="CZ275" s="712"/>
      <c r="DA275" s="712"/>
      <c r="DB275" s="712"/>
      <c r="DC275" s="712"/>
      <c r="DD275" s="712"/>
      <c r="DE275" s="712"/>
      <c r="DF275" s="712"/>
      <c r="DG275" s="712"/>
      <c r="DH275" s="712"/>
      <c r="DI275" s="712"/>
      <c r="DJ275" s="712"/>
      <c r="DK275" s="712"/>
      <c r="DL275" s="712"/>
      <c r="DM275" s="712"/>
      <c r="DN275" s="712"/>
      <c r="DO275" s="712"/>
      <c r="DP275" s="712"/>
      <c r="DQ275" s="712"/>
      <c r="DR275" s="712"/>
      <c r="DS275" s="712"/>
      <c r="DT275" s="712"/>
      <c r="DU275" s="712"/>
      <c r="DV275" s="712"/>
      <c r="DW275" s="712"/>
      <c r="DX275" s="712"/>
      <c r="DY275" s="712"/>
      <c r="DZ275" s="712"/>
      <c r="EA275" s="712"/>
      <c r="EB275" s="712"/>
      <c r="EC275" s="712"/>
      <c r="ED275" s="712"/>
      <c r="EE275" s="712"/>
      <c r="EF275" s="712"/>
      <c r="EG275" s="712"/>
      <c r="EH275" s="712"/>
      <c r="EI275" s="712"/>
      <c r="EJ275" s="712"/>
      <c r="EK275" s="712"/>
      <c r="EL275" s="712"/>
      <c r="EM275" s="712"/>
      <c r="EN275" s="712"/>
      <c r="EP275" s="947"/>
    </row>
    <row r="276" spans="7:146" ht="13.2">
      <c r="G276" s="902"/>
      <c r="H276" s="902" t="s">
        <v>159</v>
      </c>
      <c r="BA276" s="720">
        <v>0</v>
      </c>
      <c r="BB276" s="720">
        <v>0</v>
      </c>
      <c r="BC276" s="720">
        <v>0</v>
      </c>
      <c r="BD276" s="720">
        <v>0</v>
      </c>
      <c r="BE276" s="720">
        <v>0</v>
      </c>
      <c r="BF276" s="720">
        <v>0</v>
      </c>
      <c r="BG276" s="720">
        <v>0</v>
      </c>
      <c r="BH276" s="720">
        <v>0</v>
      </c>
      <c r="BI276" s="720">
        <v>0</v>
      </c>
      <c r="BJ276" s="720">
        <v>0</v>
      </c>
      <c r="BK276" s="720">
        <v>0</v>
      </c>
      <c r="BL276" s="720">
        <v>0</v>
      </c>
      <c r="BM276" s="720">
        <v>0</v>
      </c>
      <c r="BN276" s="720">
        <v>0</v>
      </c>
      <c r="BO276" s="720">
        <v>0</v>
      </c>
      <c r="BP276" s="720">
        <v>0</v>
      </c>
      <c r="BQ276" s="720">
        <v>0</v>
      </c>
      <c r="BR276" s="720">
        <v>0</v>
      </c>
      <c r="BS276" s="720">
        <v>0</v>
      </c>
      <c r="BT276" s="720">
        <v>0</v>
      </c>
      <c r="BU276" s="720">
        <v>0</v>
      </c>
      <c r="BV276" s="720">
        <v>0</v>
      </c>
      <c r="BW276" s="720">
        <v>0</v>
      </c>
      <c r="BX276" s="720">
        <v>0</v>
      </c>
      <c r="BY276" s="720">
        <v>0</v>
      </c>
      <c r="BZ276" s="720">
        <v>0</v>
      </c>
      <c r="CA276" s="720">
        <v>0</v>
      </c>
      <c r="CB276" s="720">
        <v>0</v>
      </c>
      <c r="CC276" s="720">
        <v>0</v>
      </c>
      <c r="CD276" s="720">
        <v>0</v>
      </c>
      <c r="CE276" s="720">
        <v>0</v>
      </c>
      <c r="CF276" s="720">
        <v>0</v>
      </c>
      <c r="CG276" s="720">
        <v>0</v>
      </c>
      <c r="CH276" s="720">
        <v>0</v>
      </c>
      <c r="CI276" s="720">
        <v>0</v>
      </c>
      <c r="CJ276" s="720">
        <v>0</v>
      </c>
      <c r="CK276" s="720">
        <v>0</v>
      </c>
      <c r="CL276" s="720">
        <v>0</v>
      </c>
      <c r="CM276" s="720">
        <v>0</v>
      </c>
      <c r="CN276" s="720">
        <v>0</v>
      </c>
      <c r="CO276" s="720">
        <v>0</v>
      </c>
      <c r="CP276" s="720">
        <v>0</v>
      </c>
      <c r="CQ276" s="720">
        <v>0</v>
      </c>
      <c r="CR276" s="720">
        <v>0</v>
      </c>
      <c r="CS276" s="720">
        <v>0</v>
      </c>
      <c r="CT276" s="720">
        <v>0</v>
      </c>
      <c r="CV276" s="712"/>
      <c r="CW276" s="712"/>
      <c r="CX276" s="712"/>
      <c r="CY276" s="712"/>
      <c r="CZ276" s="712"/>
      <c r="DA276" s="712"/>
      <c r="DB276" s="712"/>
      <c r="DC276" s="712"/>
      <c r="DD276" s="712"/>
      <c r="DE276" s="712"/>
      <c r="DF276" s="712"/>
      <c r="DG276" s="712"/>
      <c r="DH276" s="712"/>
      <c r="DI276" s="712"/>
      <c r="DJ276" s="712"/>
      <c r="DK276" s="712"/>
      <c r="DL276" s="712"/>
      <c r="DM276" s="712"/>
      <c r="DN276" s="712"/>
      <c r="DO276" s="712"/>
      <c r="DP276" s="712"/>
      <c r="DQ276" s="712"/>
      <c r="DR276" s="712"/>
      <c r="DS276" s="712"/>
      <c r="DT276" s="712"/>
      <c r="DU276" s="712"/>
      <c r="DV276" s="712"/>
      <c r="DW276" s="712"/>
      <c r="DX276" s="712"/>
      <c r="DY276" s="712"/>
      <c r="DZ276" s="712"/>
      <c r="EA276" s="712"/>
      <c r="EB276" s="712"/>
      <c r="EC276" s="712"/>
      <c r="ED276" s="712"/>
      <c r="EE276" s="712"/>
      <c r="EF276" s="712"/>
      <c r="EG276" s="712"/>
      <c r="EH276" s="712"/>
      <c r="EI276" s="712"/>
      <c r="EJ276" s="712"/>
      <c r="EK276" s="712"/>
      <c r="EL276" s="712"/>
      <c r="EM276" s="712"/>
      <c r="EN276" s="712"/>
      <c r="EP276" s="947"/>
    </row>
    <row r="277" spans="7:146" ht="13.2">
      <c r="G277" s="714"/>
      <c r="H277" s="714" t="s">
        <v>623</v>
      </c>
      <c r="BA277" s="720">
        <v>0</v>
      </c>
      <c r="BB277" s="720">
        <v>0</v>
      </c>
      <c r="BC277" s="720">
        <v>0</v>
      </c>
      <c r="BD277" s="720">
        <v>0</v>
      </c>
      <c r="BE277" s="720">
        <v>0</v>
      </c>
      <c r="BF277" s="720">
        <v>0</v>
      </c>
      <c r="BG277" s="720">
        <v>0</v>
      </c>
      <c r="BH277" s="720">
        <v>0</v>
      </c>
      <c r="BI277" s="720">
        <v>0</v>
      </c>
      <c r="BJ277" s="720">
        <v>0</v>
      </c>
      <c r="BK277" s="720">
        <v>0</v>
      </c>
      <c r="BL277" s="720">
        <v>0</v>
      </c>
      <c r="BM277" s="720">
        <v>0</v>
      </c>
      <c r="BN277" s="720">
        <v>0</v>
      </c>
      <c r="BO277" s="720">
        <v>0</v>
      </c>
      <c r="BP277" s="720">
        <v>0</v>
      </c>
      <c r="BQ277" s="720">
        <v>0</v>
      </c>
      <c r="BR277" s="720">
        <v>0</v>
      </c>
      <c r="BS277" s="720">
        <v>0</v>
      </c>
      <c r="BT277" s="720">
        <v>0</v>
      </c>
      <c r="BU277" s="720">
        <v>0</v>
      </c>
      <c r="BV277" s="720">
        <v>0</v>
      </c>
      <c r="BW277" s="720">
        <v>0</v>
      </c>
      <c r="BX277" s="720">
        <v>0</v>
      </c>
      <c r="BY277" s="720">
        <v>0</v>
      </c>
      <c r="BZ277" s="720">
        <v>0</v>
      </c>
      <c r="CA277" s="720">
        <v>0</v>
      </c>
      <c r="CB277" s="720">
        <v>0</v>
      </c>
      <c r="CC277" s="720">
        <v>0</v>
      </c>
      <c r="CD277" s="720">
        <v>0</v>
      </c>
      <c r="CE277" s="720">
        <v>0</v>
      </c>
      <c r="CF277" s="720">
        <v>0</v>
      </c>
      <c r="CG277" s="720">
        <v>0</v>
      </c>
      <c r="CH277" s="720">
        <v>0</v>
      </c>
      <c r="CI277" s="720">
        <v>0</v>
      </c>
      <c r="CJ277" s="720">
        <v>0</v>
      </c>
      <c r="CK277" s="720">
        <v>0</v>
      </c>
      <c r="CL277" s="720">
        <v>0</v>
      </c>
      <c r="CM277" s="720">
        <v>0</v>
      </c>
      <c r="CN277" s="720">
        <v>0</v>
      </c>
      <c r="CO277" s="720">
        <v>0</v>
      </c>
      <c r="CP277" s="720">
        <v>0</v>
      </c>
      <c r="CQ277" s="720">
        <v>0</v>
      </c>
      <c r="CR277" s="720">
        <v>0</v>
      </c>
      <c r="CS277" s="720">
        <v>0</v>
      </c>
      <c r="CT277" s="720">
        <v>0</v>
      </c>
      <c r="CV277" s="712"/>
      <c r="CW277" s="712"/>
      <c r="CX277" s="712"/>
      <c r="CY277" s="712"/>
      <c r="CZ277" s="712"/>
      <c r="DA277" s="712"/>
      <c r="DB277" s="712"/>
      <c r="DC277" s="712"/>
      <c r="DD277" s="712"/>
      <c r="DE277" s="712"/>
      <c r="DF277" s="712"/>
      <c r="DG277" s="712"/>
      <c r="DH277" s="712"/>
      <c r="DI277" s="712"/>
      <c r="DJ277" s="712"/>
      <c r="DK277" s="712"/>
      <c r="DL277" s="712"/>
      <c r="DM277" s="712"/>
      <c r="DN277" s="712"/>
      <c r="DO277" s="712"/>
      <c r="DP277" s="712"/>
      <c r="DQ277" s="712"/>
      <c r="DR277" s="712"/>
      <c r="DS277" s="712"/>
      <c r="DT277" s="712"/>
      <c r="DU277" s="712"/>
      <c r="DV277" s="712"/>
      <c r="DW277" s="712"/>
      <c r="DX277" s="712"/>
      <c r="DY277" s="712"/>
      <c r="DZ277" s="712"/>
      <c r="EA277" s="712"/>
      <c r="EB277" s="712"/>
      <c r="EC277" s="712"/>
      <c r="ED277" s="712"/>
      <c r="EE277" s="712"/>
      <c r="EF277" s="712"/>
      <c r="EG277" s="712"/>
      <c r="EH277" s="712"/>
      <c r="EI277" s="712"/>
      <c r="EJ277" s="712"/>
      <c r="EK277" s="712"/>
      <c r="EL277" s="712"/>
      <c r="EM277" s="712"/>
      <c r="EN277" s="712"/>
      <c r="EP277" s="947"/>
    </row>
    <row r="278" spans="7:146" ht="13.2">
      <c r="G278" s="902"/>
      <c r="H278" s="902" t="s">
        <v>665</v>
      </c>
      <c r="BA278" s="720">
        <v>0</v>
      </c>
      <c r="BB278" s="720">
        <v>0</v>
      </c>
      <c r="BC278" s="720">
        <v>0</v>
      </c>
      <c r="BD278" s="720">
        <v>0</v>
      </c>
      <c r="BE278" s="720">
        <v>0</v>
      </c>
      <c r="BF278" s="720">
        <v>0</v>
      </c>
      <c r="BG278" s="720">
        <v>0</v>
      </c>
      <c r="BH278" s="720">
        <v>0</v>
      </c>
      <c r="BI278" s="720">
        <v>0</v>
      </c>
      <c r="BJ278" s="720">
        <v>0</v>
      </c>
      <c r="BK278" s="720">
        <v>0</v>
      </c>
      <c r="BL278" s="720">
        <v>0</v>
      </c>
      <c r="BM278" s="720">
        <v>0</v>
      </c>
      <c r="BN278" s="720">
        <v>0</v>
      </c>
      <c r="BO278" s="720">
        <v>0</v>
      </c>
      <c r="BP278" s="720">
        <v>0</v>
      </c>
      <c r="BQ278" s="720">
        <v>0</v>
      </c>
      <c r="BR278" s="720">
        <v>0</v>
      </c>
      <c r="BS278" s="720">
        <v>0</v>
      </c>
      <c r="BT278" s="720">
        <v>0</v>
      </c>
      <c r="BU278" s="720">
        <v>0</v>
      </c>
      <c r="BV278" s="720">
        <v>0</v>
      </c>
      <c r="BW278" s="720">
        <v>0</v>
      </c>
      <c r="BX278" s="720">
        <v>0</v>
      </c>
      <c r="BY278" s="720">
        <v>0</v>
      </c>
      <c r="BZ278" s="720">
        <v>0</v>
      </c>
      <c r="CA278" s="720">
        <v>0</v>
      </c>
      <c r="CB278" s="720">
        <v>0</v>
      </c>
      <c r="CC278" s="720">
        <v>0</v>
      </c>
      <c r="CD278" s="720">
        <v>0</v>
      </c>
      <c r="CE278" s="720">
        <v>0</v>
      </c>
      <c r="CF278" s="720">
        <v>0</v>
      </c>
      <c r="CG278" s="720">
        <v>0</v>
      </c>
      <c r="CH278" s="720">
        <v>0</v>
      </c>
      <c r="CI278" s="720">
        <v>0</v>
      </c>
      <c r="CJ278" s="720">
        <v>0</v>
      </c>
      <c r="CK278" s="720">
        <v>0</v>
      </c>
      <c r="CL278" s="720">
        <v>0</v>
      </c>
      <c r="CM278" s="720">
        <v>0</v>
      </c>
      <c r="CN278" s="720">
        <v>0</v>
      </c>
      <c r="CO278" s="720">
        <v>0</v>
      </c>
      <c r="CP278" s="720">
        <v>0</v>
      </c>
      <c r="CQ278" s="720">
        <v>0</v>
      </c>
      <c r="CR278" s="720">
        <v>0</v>
      </c>
      <c r="CS278" s="720">
        <v>0</v>
      </c>
      <c r="CT278" s="720">
        <v>0</v>
      </c>
      <c r="CV278" s="712"/>
      <c r="CW278" s="712"/>
      <c r="CX278" s="712"/>
      <c r="CY278" s="712"/>
      <c r="CZ278" s="712"/>
      <c r="DA278" s="712"/>
      <c r="DB278" s="712"/>
      <c r="DC278" s="712"/>
      <c r="DD278" s="712"/>
      <c r="DE278" s="712"/>
      <c r="DF278" s="712"/>
      <c r="DG278" s="712"/>
      <c r="DH278" s="712"/>
      <c r="DI278" s="712"/>
      <c r="DJ278" s="712"/>
      <c r="DK278" s="712"/>
      <c r="DL278" s="712"/>
      <c r="DM278" s="712"/>
      <c r="DN278" s="712"/>
      <c r="DO278" s="712"/>
      <c r="DP278" s="712"/>
      <c r="DQ278" s="712"/>
      <c r="DR278" s="712"/>
      <c r="DS278" s="712"/>
      <c r="DT278" s="712"/>
      <c r="DU278" s="712"/>
      <c r="DV278" s="712"/>
      <c r="DW278" s="712"/>
      <c r="DX278" s="712"/>
      <c r="DY278" s="712"/>
      <c r="DZ278" s="712"/>
      <c r="EA278" s="712"/>
      <c r="EB278" s="712"/>
      <c r="EC278" s="712"/>
      <c r="ED278" s="712"/>
      <c r="EE278" s="712"/>
      <c r="EF278" s="712"/>
      <c r="EG278" s="712"/>
      <c r="EH278" s="712"/>
      <c r="EI278" s="712"/>
      <c r="EJ278" s="712"/>
      <c r="EK278" s="712"/>
      <c r="EL278" s="712"/>
      <c r="EM278" s="712"/>
      <c r="EN278" s="712"/>
      <c r="EP278" s="947"/>
    </row>
    <row r="279" spans="7:146" ht="13.2">
      <c r="G279" s="902"/>
      <c r="H279" s="902" t="s">
        <v>628</v>
      </c>
      <c r="BA279" s="720">
        <v>0</v>
      </c>
      <c r="BB279" s="720">
        <v>0</v>
      </c>
      <c r="BC279" s="720">
        <v>0</v>
      </c>
      <c r="BD279" s="720">
        <v>0</v>
      </c>
      <c r="BE279" s="720">
        <v>0</v>
      </c>
      <c r="BF279" s="720">
        <v>0</v>
      </c>
      <c r="BG279" s="720">
        <v>0</v>
      </c>
      <c r="BH279" s="720">
        <v>0</v>
      </c>
      <c r="BI279" s="720">
        <v>0</v>
      </c>
      <c r="BJ279" s="720">
        <v>0</v>
      </c>
      <c r="BK279" s="720">
        <v>0</v>
      </c>
      <c r="BL279" s="720">
        <v>0</v>
      </c>
      <c r="BM279" s="720">
        <v>0</v>
      </c>
      <c r="BN279" s="720">
        <v>0</v>
      </c>
      <c r="BO279" s="720">
        <v>0</v>
      </c>
      <c r="BP279" s="720">
        <v>0</v>
      </c>
      <c r="BQ279" s="720">
        <v>0</v>
      </c>
      <c r="BR279" s="720">
        <v>0</v>
      </c>
      <c r="BS279" s="720">
        <v>0</v>
      </c>
      <c r="BT279" s="720">
        <v>0</v>
      </c>
      <c r="BU279" s="720">
        <v>0</v>
      </c>
      <c r="BV279" s="720">
        <v>0</v>
      </c>
      <c r="BW279" s="720">
        <v>0</v>
      </c>
      <c r="BX279" s="720">
        <v>0</v>
      </c>
      <c r="BY279" s="720">
        <v>0</v>
      </c>
      <c r="BZ279" s="720">
        <v>0</v>
      </c>
      <c r="CA279" s="720">
        <v>0</v>
      </c>
      <c r="CB279" s="720">
        <v>0</v>
      </c>
      <c r="CC279" s="720">
        <v>0</v>
      </c>
      <c r="CD279" s="720">
        <v>0</v>
      </c>
      <c r="CE279" s="720">
        <v>0</v>
      </c>
      <c r="CF279" s="720">
        <v>0</v>
      </c>
      <c r="CG279" s="720">
        <v>0</v>
      </c>
      <c r="CH279" s="720">
        <v>0</v>
      </c>
      <c r="CI279" s="720">
        <v>0</v>
      </c>
      <c r="CJ279" s="720">
        <v>0</v>
      </c>
      <c r="CK279" s="720">
        <v>0</v>
      </c>
      <c r="CL279" s="720">
        <v>0</v>
      </c>
      <c r="CM279" s="720">
        <v>0</v>
      </c>
      <c r="CN279" s="720">
        <v>0</v>
      </c>
      <c r="CO279" s="720">
        <v>0</v>
      </c>
      <c r="CP279" s="720">
        <v>0</v>
      </c>
      <c r="CQ279" s="720">
        <v>0</v>
      </c>
      <c r="CR279" s="720">
        <v>0</v>
      </c>
      <c r="CS279" s="720">
        <v>0</v>
      </c>
      <c r="CT279" s="720">
        <v>0</v>
      </c>
      <c r="CV279" s="712"/>
      <c r="CW279" s="712"/>
      <c r="CX279" s="712"/>
      <c r="CY279" s="712"/>
      <c r="CZ279" s="712"/>
      <c r="DA279" s="712"/>
      <c r="DB279" s="712"/>
      <c r="DC279" s="712"/>
      <c r="DD279" s="712"/>
      <c r="DE279" s="712"/>
      <c r="DF279" s="712"/>
      <c r="DG279" s="712"/>
      <c r="DH279" s="712"/>
      <c r="DI279" s="712"/>
      <c r="DJ279" s="712"/>
      <c r="DK279" s="712"/>
      <c r="DL279" s="712"/>
      <c r="DM279" s="712"/>
      <c r="DN279" s="712"/>
      <c r="DO279" s="712"/>
      <c r="DP279" s="712"/>
      <c r="DQ279" s="712"/>
      <c r="DR279" s="712"/>
      <c r="DS279" s="712"/>
      <c r="DT279" s="712"/>
      <c r="DU279" s="712"/>
      <c r="DV279" s="712"/>
      <c r="DW279" s="712"/>
      <c r="DX279" s="712"/>
      <c r="DY279" s="712"/>
      <c r="DZ279" s="712"/>
      <c r="EA279" s="712"/>
      <c r="EB279" s="712"/>
      <c r="EC279" s="712"/>
      <c r="ED279" s="712"/>
      <c r="EE279" s="712"/>
      <c r="EF279" s="712"/>
      <c r="EG279" s="712"/>
      <c r="EH279" s="712"/>
      <c r="EI279" s="712"/>
      <c r="EJ279" s="712"/>
      <c r="EK279" s="712"/>
      <c r="EL279" s="712"/>
      <c r="EM279" s="712"/>
      <c r="EN279" s="712"/>
      <c r="EP279" s="947"/>
    </row>
    <row r="280" spans="7:146" ht="13.8" thickBot="1">
      <c r="H280" s="904" t="s">
        <v>666</v>
      </c>
      <c r="I280" s="903"/>
      <c r="J280" s="905"/>
      <c r="K280" s="905"/>
      <c r="L280" s="905"/>
      <c r="M280" s="905"/>
      <c r="N280" s="906"/>
      <c r="O280" s="906"/>
      <c r="P280" s="906"/>
      <c r="Q280" s="906"/>
      <c r="R280" s="906"/>
      <c r="S280" s="906"/>
      <c r="T280" s="905"/>
      <c r="U280" s="905"/>
      <c r="V280" s="905"/>
      <c r="W280" s="905"/>
      <c r="X280" s="905"/>
      <c r="Y280" s="905"/>
      <c r="Z280" s="905"/>
      <c r="AA280" s="905"/>
      <c r="AB280" s="905"/>
      <c r="AC280" s="905"/>
      <c r="AD280" s="905"/>
      <c r="AE280" s="905"/>
      <c r="AF280" s="905"/>
      <c r="AG280" s="905"/>
      <c r="AH280" s="905"/>
      <c r="AI280" s="905"/>
      <c r="AJ280" s="905"/>
      <c r="AK280" s="807"/>
      <c r="AL280" s="807"/>
      <c r="AM280" s="807"/>
      <c r="AN280" s="807"/>
      <c r="AO280" s="905"/>
      <c r="AP280" s="905"/>
      <c r="AQ280" s="905"/>
      <c r="AR280" s="905"/>
      <c r="AS280" s="905"/>
      <c r="AT280" s="905"/>
      <c r="AU280" s="905"/>
      <c r="AV280" s="905"/>
      <c r="AW280" s="905"/>
      <c r="AX280" s="905"/>
      <c r="AY280" s="905"/>
      <c r="AZ280" s="903"/>
      <c r="BA280" s="907">
        <f>SUM(BA241:BA279)</f>
        <v>-129874.31923333334</v>
      </c>
      <c r="BB280" s="907">
        <f t="shared" ref="BB280:CS280" si="3858">SUM(BB241:BB277)</f>
        <v>-37367.168299999998</v>
      </c>
      <c r="BC280" s="907">
        <f t="shared" si="3858"/>
        <v>-61</v>
      </c>
      <c r="BD280" s="907">
        <f t="shared" si="3858"/>
        <v>-1695.9153437499999</v>
      </c>
      <c r="BE280" s="907">
        <f t="shared" si="3858"/>
        <v>0</v>
      </c>
      <c r="BF280" s="907">
        <f t="shared" si="3858"/>
        <v>0</v>
      </c>
      <c r="BG280" s="907">
        <f t="shared" si="3858"/>
        <v>0</v>
      </c>
      <c r="BH280" s="907">
        <f t="shared" si="3858"/>
        <v>-16669.948720916458</v>
      </c>
      <c r="BI280" s="907">
        <f>SUM(BI241:BI279)</f>
        <v>-185607.3515979998</v>
      </c>
      <c r="BJ280" s="907">
        <f t="shared" si="3858"/>
        <v>-101692.01993333333</v>
      </c>
      <c r="BK280" s="907">
        <f>SUM(BK241:BK279)</f>
        <v>-35119.345033333331</v>
      </c>
      <c r="BL280" s="907">
        <f t="shared" si="3858"/>
        <v>-184.5</v>
      </c>
      <c r="BM280" s="907">
        <f t="shared" si="3858"/>
        <v>-4986.6491249999999</v>
      </c>
      <c r="BN280" s="907">
        <f t="shared" si="3858"/>
        <v>0</v>
      </c>
      <c r="BO280" s="907">
        <f t="shared" si="3858"/>
        <v>0</v>
      </c>
      <c r="BP280" s="907">
        <f t="shared" si="3858"/>
        <v>0</v>
      </c>
      <c r="BQ280" s="907">
        <f t="shared" si="3858"/>
        <v>-13516.187369690835</v>
      </c>
      <c r="BR280" s="907">
        <f t="shared" si="3858"/>
        <v>-155314.20146135753</v>
      </c>
      <c r="BS280" s="907">
        <f t="shared" si="3858"/>
        <v>-29533.793833333333</v>
      </c>
      <c r="BT280" s="907">
        <f t="shared" si="3858"/>
        <v>-7160.2203333333327</v>
      </c>
      <c r="BU280" s="907">
        <f t="shared" si="3858"/>
        <v>0</v>
      </c>
      <c r="BV280" s="907">
        <f t="shared" si="3858"/>
        <v>0</v>
      </c>
      <c r="BW280" s="907">
        <f t="shared" si="3858"/>
        <v>0</v>
      </c>
      <c r="BX280" s="907">
        <f t="shared" si="3858"/>
        <v>0</v>
      </c>
      <c r="BY280" s="907">
        <f t="shared" si="3858"/>
        <v>0</v>
      </c>
      <c r="BZ280" s="907">
        <f t="shared" si="3858"/>
        <v>-3727.2433110833331</v>
      </c>
      <c r="CA280" s="907">
        <f>SUM(CA241:CA279)</f>
        <v>-40421.25747774999</v>
      </c>
      <c r="CB280" s="907">
        <f>SUM(CB240:CB279)</f>
        <v>-14983.842000000001</v>
      </c>
      <c r="CC280" s="907">
        <f t="shared" ref="CC280:CI280" si="3859">SUM(CC240:CC279)</f>
        <v>-5211.0280000000002</v>
      </c>
      <c r="CD280" s="907">
        <f t="shared" si="3859"/>
        <v>0</v>
      </c>
      <c r="CE280" s="907">
        <f t="shared" si="3859"/>
        <v>0</v>
      </c>
      <c r="CF280" s="907">
        <f t="shared" si="3859"/>
        <v>0</v>
      </c>
      <c r="CG280" s="907">
        <f t="shared" si="3859"/>
        <v>0</v>
      </c>
      <c r="CH280" s="907">
        <f t="shared" si="3859"/>
        <v>0</v>
      </c>
      <c r="CI280" s="907">
        <f t="shared" si="3859"/>
        <v>-1898.4527813999996</v>
      </c>
      <c r="CJ280" s="907">
        <f>SUM(CJ240:CJ279)</f>
        <v>-22093.322781400002</v>
      </c>
      <c r="CK280" s="907">
        <f>SUM(CK241:CK277)</f>
        <v>276083.97499999998</v>
      </c>
      <c r="CL280" s="907">
        <f t="shared" si="3858"/>
        <v>84857.761666666658</v>
      </c>
      <c r="CM280" s="907">
        <f t="shared" si="3858"/>
        <v>245.5</v>
      </c>
      <c r="CN280" s="907">
        <f t="shared" si="3858"/>
        <v>6682.5644687499989</v>
      </c>
      <c r="CO280" s="907">
        <f t="shared" si="3858"/>
        <v>0</v>
      </c>
      <c r="CP280" s="907">
        <f t="shared" si="3858"/>
        <v>0</v>
      </c>
      <c r="CQ280" s="907">
        <f t="shared" si="3858"/>
        <v>0</v>
      </c>
      <c r="CR280" s="907">
        <f t="shared" si="3858"/>
        <v>35811.832183090621</v>
      </c>
      <c r="CS280" s="907">
        <f t="shared" si="3858"/>
        <v>403436.13331850729</v>
      </c>
      <c r="CV280" s="712"/>
      <c r="CW280" s="712"/>
      <c r="CX280" s="712"/>
      <c r="CY280" s="712"/>
      <c r="CZ280" s="712"/>
      <c r="DA280" s="712"/>
      <c r="DB280" s="712"/>
      <c r="DC280" s="712"/>
      <c r="DD280" s="712"/>
      <c r="DE280" s="712"/>
      <c r="DF280" s="712"/>
      <c r="DG280" s="712"/>
      <c r="DH280" s="712"/>
      <c r="DI280" s="712"/>
      <c r="DJ280" s="712"/>
      <c r="DK280" s="712"/>
      <c r="DL280" s="712"/>
      <c r="DM280" s="712"/>
      <c r="DN280" s="712"/>
      <c r="DO280" s="712"/>
      <c r="DP280" s="712"/>
      <c r="DQ280" s="712"/>
      <c r="DR280" s="712"/>
      <c r="DS280" s="712"/>
      <c r="DT280" s="712"/>
      <c r="DU280" s="712"/>
      <c r="DV280" s="712"/>
      <c r="DW280" s="712"/>
      <c r="DX280" s="712"/>
      <c r="DY280" s="712"/>
      <c r="DZ280" s="712"/>
      <c r="EA280" s="712"/>
      <c r="EB280" s="712"/>
      <c r="EC280" s="712"/>
      <c r="ED280" s="712"/>
      <c r="EE280" s="712"/>
      <c r="EF280" s="712"/>
      <c r="EG280" s="712"/>
      <c r="EH280" s="712"/>
      <c r="EI280" s="712"/>
      <c r="EJ280" s="712"/>
      <c r="EK280" s="712"/>
      <c r="EL280" s="712"/>
      <c r="EM280" s="712"/>
      <c r="EN280" s="712"/>
      <c r="EP280" s="947"/>
    </row>
    <row r="281" spans="7:146" ht="10.8" thickTop="1">
      <c r="BA281" s="720">
        <f t="shared" ref="BA281:CS281" si="3860">BA233-BA186-BA280</f>
        <v>0</v>
      </c>
      <c r="BB281" s="720">
        <f t="shared" si="3860"/>
        <v>0</v>
      </c>
      <c r="BC281" s="720">
        <f t="shared" si="3860"/>
        <v>0</v>
      </c>
      <c r="BD281" s="720">
        <f t="shared" si="3860"/>
        <v>0</v>
      </c>
      <c r="BE281" s="720">
        <f t="shared" si="3860"/>
        <v>0</v>
      </c>
      <c r="BF281" s="720">
        <f t="shared" si="3860"/>
        <v>0</v>
      </c>
      <c r="BG281" s="720">
        <f t="shared" si="3860"/>
        <v>0</v>
      </c>
      <c r="BH281" s="720">
        <f t="shared" si="3860"/>
        <v>0</v>
      </c>
      <c r="BI281" s="720">
        <f t="shared" si="3860"/>
        <v>0</v>
      </c>
      <c r="BJ281" s="720">
        <f t="shared" si="3860"/>
        <v>0</v>
      </c>
      <c r="BK281" s="720">
        <f>BK233-BK186-BK280</f>
        <v>0</v>
      </c>
      <c r="BL281" s="720">
        <f t="shared" si="3860"/>
        <v>0</v>
      </c>
      <c r="BM281" s="720">
        <f t="shared" si="3860"/>
        <v>0</v>
      </c>
      <c r="BN281" s="720">
        <f t="shared" si="3860"/>
        <v>0</v>
      </c>
      <c r="BO281" s="720">
        <f t="shared" si="3860"/>
        <v>0</v>
      </c>
      <c r="BP281" s="720">
        <f t="shared" si="3860"/>
        <v>0</v>
      </c>
      <c r="BQ281" s="720">
        <f t="shared" si="3860"/>
        <v>0</v>
      </c>
      <c r="BR281" s="720">
        <f t="shared" si="3860"/>
        <v>0</v>
      </c>
      <c r="BS281" s="720">
        <f t="shared" si="3860"/>
        <v>0</v>
      </c>
      <c r="BT281" s="720">
        <f t="shared" si="3860"/>
        <v>0</v>
      </c>
      <c r="BU281" s="720">
        <f t="shared" si="3860"/>
        <v>0</v>
      </c>
      <c r="BV281" s="720">
        <f t="shared" si="3860"/>
        <v>0</v>
      </c>
      <c r="BW281" s="720">
        <f t="shared" si="3860"/>
        <v>0</v>
      </c>
      <c r="BX281" s="720">
        <f t="shared" si="3860"/>
        <v>0</v>
      </c>
      <c r="BY281" s="720">
        <f t="shared" si="3860"/>
        <v>0</v>
      </c>
      <c r="BZ281" s="720">
        <f t="shared" si="3860"/>
        <v>0</v>
      </c>
      <c r="CA281" s="720">
        <f t="shared" si="3860"/>
        <v>0</v>
      </c>
      <c r="CB281" s="720">
        <f t="shared" si="3860"/>
        <v>0</v>
      </c>
      <c r="CC281" s="720">
        <f t="shared" si="3860"/>
        <v>0</v>
      </c>
      <c r="CD281" s="720">
        <f t="shared" si="3860"/>
        <v>0</v>
      </c>
      <c r="CE281" s="720">
        <f t="shared" si="3860"/>
        <v>0</v>
      </c>
      <c r="CF281" s="720">
        <f t="shared" si="3860"/>
        <v>0</v>
      </c>
      <c r="CG281" s="720">
        <f t="shared" si="3860"/>
        <v>0</v>
      </c>
      <c r="CH281" s="720">
        <f t="shared" si="3860"/>
        <v>0</v>
      </c>
      <c r="CI281" s="720">
        <f t="shared" si="3860"/>
        <v>0</v>
      </c>
      <c r="CJ281" s="720">
        <f>CJ233-CJ186-CJ280</f>
        <v>0</v>
      </c>
      <c r="CK281" s="720">
        <f>CK233-CK186-CK280</f>
        <v>0</v>
      </c>
      <c r="CL281" s="720">
        <f t="shared" si="3860"/>
        <v>0</v>
      </c>
      <c r="CM281" s="720">
        <f t="shared" si="3860"/>
        <v>0</v>
      </c>
      <c r="CN281" s="720">
        <f t="shared" si="3860"/>
        <v>0</v>
      </c>
      <c r="CO281" s="720">
        <f t="shared" si="3860"/>
        <v>0</v>
      </c>
      <c r="CP281" s="720">
        <f t="shared" si="3860"/>
        <v>0</v>
      </c>
      <c r="CQ281" s="720">
        <f t="shared" si="3860"/>
        <v>0</v>
      </c>
      <c r="CR281" s="720">
        <f t="shared" si="3860"/>
        <v>0</v>
      </c>
      <c r="CS281" s="720">
        <f t="shared" si="3860"/>
        <v>0</v>
      </c>
      <c r="CV281" s="712"/>
      <c r="CW281" s="712"/>
      <c r="CX281" s="712"/>
      <c r="CY281" s="712"/>
      <c r="CZ281" s="712"/>
      <c r="DA281" s="712"/>
      <c r="DB281" s="712"/>
      <c r="DC281" s="712"/>
      <c r="DD281" s="712"/>
      <c r="DE281" s="712"/>
      <c r="DF281" s="712"/>
      <c r="DG281" s="712"/>
      <c r="DH281" s="712"/>
      <c r="DI281" s="712"/>
      <c r="DJ281" s="712"/>
      <c r="DK281" s="712"/>
      <c r="DL281" s="712"/>
      <c r="DM281" s="712"/>
      <c r="DN281" s="712"/>
      <c r="DO281" s="712"/>
      <c r="DP281" s="712"/>
      <c r="DQ281" s="712"/>
      <c r="DR281" s="712"/>
      <c r="DS281" s="712"/>
      <c r="DT281" s="712"/>
      <c r="DU281" s="712"/>
      <c r="DV281" s="712"/>
      <c r="DW281" s="712"/>
      <c r="DX281" s="712"/>
      <c r="DY281" s="712"/>
      <c r="DZ281" s="712"/>
      <c r="EA281" s="712"/>
      <c r="EB281" s="712"/>
      <c r="EC281" s="712"/>
      <c r="ED281" s="712"/>
      <c r="EE281" s="712"/>
      <c r="EF281" s="712"/>
      <c r="EG281" s="712"/>
      <c r="EH281" s="712"/>
      <c r="EI281" s="712"/>
      <c r="EJ281" s="712"/>
      <c r="EK281" s="712"/>
      <c r="EL281" s="712"/>
      <c r="EM281" s="712"/>
      <c r="EN281" s="712"/>
      <c r="EP281" s="947"/>
    </row>
    <row r="282" spans="7:146">
      <c r="BA282" s="720" t="str">
        <f>IF(BA281&lt;&gt;0,"ERROR VERIFICAR TRASLADO DE DATOS DE DISTRIBUCIÓN A CUADRO","")</f>
        <v/>
      </c>
      <c r="BB282" s="720" t="str">
        <f t="shared" ref="BB282:CS282" si="3861">IF(BB281&lt;&gt;0,"ERROR VERIFICAR TRASLADO DE DATOS DE DISTRIBUCIÓN A CUADRO","")</f>
        <v/>
      </c>
      <c r="BC282" s="720" t="str">
        <f t="shared" si="3861"/>
        <v/>
      </c>
      <c r="BD282" s="720" t="str">
        <f t="shared" si="3861"/>
        <v/>
      </c>
      <c r="BE282" s="720" t="str">
        <f t="shared" si="3861"/>
        <v/>
      </c>
      <c r="BF282" s="720" t="str">
        <f t="shared" si="3861"/>
        <v/>
      </c>
      <c r="BG282" s="720" t="str">
        <f t="shared" si="3861"/>
        <v/>
      </c>
      <c r="BH282" s="720" t="str">
        <f>IF(BH281&lt;&gt;0,"ERROR VERIFICAR TRASLADO DE DATOS DE DISTRIBUCIÓN A CUADRO","")</f>
        <v/>
      </c>
      <c r="BI282" s="720" t="str">
        <f t="shared" si="3861"/>
        <v/>
      </c>
      <c r="BJ282" s="720" t="str">
        <f t="shared" si="3861"/>
        <v/>
      </c>
      <c r="BK282" s="720" t="str">
        <f t="shared" si="3861"/>
        <v/>
      </c>
      <c r="BL282" s="720" t="str">
        <f t="shared" si="3861"/>
        <v/>
      </c>
      <c r="BM282" s="720" t="str">
        <f t="shared" si="3861"/>
        <v/>
      </c>
      <c r="BN282" s="720" t="str">
        <f t="shared" si="3861"/>
        <v/>
      </c>
      <c r="BO282" s="720" t="str">
        <f t="shared" si="3861"/>
        <v/>
      </c>
      <c r="BP282" s="720" t="str">
        <f t="shared" si="3861"/>
        <v/>
      </c>
      <c r="BQ282" s="720" t="str">
        <f>IF(BQ281&lt;&gt;0,"ERROR VERIFICAR TRASLADO DE DATOS DE DISTRIBUCIÓN A CUADRO","")</f>
        <v/>
      </c>
      <c r="BR282" s="720" t="str">
        <f t="shared" si="3861"/>
        <v/>
      </c>
      <c r="BS282" s="720" t="str">
        <f t="shared" si="3861"/>
        <v/>
      </c>
      <c r="BT282" s="720" t="str">
        <f t="shared" si="3861"/>
        <v/>
      </c>
      <c r="BU282" s="720" t="str">
        <f t="shared" si="3861"/>
        <v/>
      </c>
      <c r="BV282" s="720" t="str">
        <f t="shared" si="3861"/>
        <v/>
      </c>
      <c r="BW282" s="720" t="str">
        <f t="shared" si="3861"/>
        <v/>
      </c>
      <c r="BX282" s="720" t="str">
        <f t="shared" si="3861"/>
        <v/>
      </c>
      <c r="BY282" s="720" t="str">
        <f t="shared" si="3861"/>
        <v/>
      </c>
      <c r="BZ282" s="720" t="str">
        <f t="shared" si="3861"/>
        <v/>
      </c>
      <c r="CA282" s="720" t="str">
        <f t="shared" si="3861"/>
        <v/>
      </c>
      <c r="CB282" s="720" t="str">
        <f t="shared" si="3861"/>
        <v/>
      </c>
      <c r="CC282" s="720" t="str">
        <f t="shared" si="3861"/>
        <v/>
      </c>
      <c r="CD282" s="720" t="str">
        <f t="shared" si="3861"/>
        <v/>
      </c>
      <c r="CE282" s="720" t="str">
        <f t="shared" si="3861"/>
        <v/>
      </c>
      <c r="CF282" s="720" t="str">
        <f t="shared" si="3861"/>
        <v/>
      </c>
      <c r="CG282" s="720" t="str">
        <f t="shared" si="3861"/>
        <v/>
      </c>
      <c r="CH282" s="720" t="str">
        <f t="shared" si="3861"/>
        <v/>
      </c>
      <c r="CI282" s="720" t="str">
        <f t="shared" si="3861"/>
        <v/>
      </c>
      <c r="CJ282" s="720" t="str">
        <f t="shared" si="3861"/>
        <v/>
      </c>
      <c r="CK282" s="720" t="str">
        <f t="shared" si="3861"/>
        <v/>
      </c>
      <c r="CL282" s="720" t="str">
        <f t="shared" si="3861"/>
        <v/>
      </c>
      <c r="CM282" s="720" t="str">
        <f t="shared" si="3861"/>
        <v/>
      </c>
      <c r="CN282" s="720" t="str">
        <f t="shared" si="3861"/>
        <v/>
      </c>
      <c r="CO282" s="720" t="str">
        <f t="shared" si="3861"/>
        <v/>
      </c>
      <c r="CP282" s="720" t="str">
        <f t="shared" si="3861"/>
        <v/>
      </c>
      <c r="CQ282" s="720" t="str">
        <f t="shared" si="3861"/>
        <v/>
      </c>
      <c r="CR282" s="720" t="str">
        <f t="shared" si="3861"/>
        <v/>
      </c>
      <c r="CS282" s="720" t="str">
        <f t="shared" si="3861"/>
        <v/>
      </c>
    </row>
    <row r="284" spans="7:146" ht="10.8" thickBot="1">
      <c r="BA284" s="1344" t="s">
        <v>348</v>
      </c>
      <c r="BB284" s="1344"/>
      <c r="BC284" s="1344"/>
      <c r="BD284" s="1344"/>
      <c r="BE284" s="1344"/>
      <c r="BF284" s="1344"/>
      <c r="BG284" s="1344"/>
      <c r="BH284" s="1344"/>
      <c r="BI284" s="1344"/>
      <c r="CV284" s="712"/>
      <c r="CW284" s="712"/>
      <c r="CX284" s="712"/>
      <c r="CY284" s="712"/>
      <c r="CZ284" s="712"/>
      <c r="DA284" s="712"/>
      <c r="DB284" s="712"/>
      <c r="DC284" s="712"/>
      <c r="DD284" s="712"/>
      <c r="DE284" s="712"/>
      <c r="DF284" s="712"/>
      <c r="DG284" s="712"/>
      <c r="DH284" s="712"/>
      <c r="DI284" s="712"/>
      <c r="DJ284" s="712"/>
      <c r="DK284" s="712"/>
      <c r="DL284" s="712"/>
      <c r="DM284" s="712"/>
      <c r="DN284" s="712"/>
      <c r="DO284" s="712"/>
      <c r="DP284" s="712"/>
      <c r="DQ284" s="712"/>
      <c r="DR284" s="712"/>
      <c r="DS284" s="712"/>
      <c r="DT284" s="712"/>
      <c r="DU284" s="712"/>
      <c r="DV284" s="712"/>
      <c r="DW284" s="712"/>
      <c r="DX284" s="712"/>
      <c r="DY284" s="712"/>
      <c r="DZ284" s="712"/>
      <c r="EA284" s="712"/>
      <c r="EB284" s="712"/>
      <c r="EC284" s="712"/>
      <c r="ED284" s="712"/>
      <c r="EE284" s="712"/>
      <c r="EF284" s="712"/>
      <c r="EG284" s="712"/>
      <c r="EH284" s="712"/>
      <c r="EI284" s="712"/>
      <c r="EJ284" s="712"/>
      <c r="EK284" s="712"/>
      <c r="EL284" s="712"/>
      <c r="EM284" s="712"/>
      <c r="EN284" s="712"/>
      <c r="EP284" s="947"/>
    </row>
    <row r="285" spans="7:146">
      <c r="BA285" s="888" t="s">
        <v>15</v>
      </c>
      <c r="BB285" s="889" t="s">
        <v>16</v>
      </c>
      <c r="BC285" s="889" t="s">
        <v>24</v>
      </c>
      <c r="BD285" s="890" t="s">
        <v>25</v>
      </c>
      <c r="BE285" s="890" t="s">
        <v>24</v>
      </c>
      <c r="BF285" s="890" t="s">
        <v>25</v>
      </c>
      <c r="BG285" s="891" t="s">
        <v>26</v>
      </c>
      <c r="BH285" s="891" t="s">
        <v>27</v>
      </c>
      <c r="BI285" s="892" t="s">
        <v>17</v>
      </c>
      <c r="CV285" s="712"/>
      <c r="CW285" s="712"/>
      <c r="CX285" s="712"/>
      <c r="CY285" s="712"/>
      <c r="CZ285" s="712"/>
      <c r="DA285" s="712"/>
      <c r="DB285" s="712"/>
      <c r="DC285" s="712"/>
      <c r="DD285" s="712"/>
      <c r="DE285" s="712"/>
      <c r="DF285" s="712"/>
      <c r="DG285" s="712"/>
      <c r="DH285" s="712"/>
      <c r="DI285" s="712"/>
      <c r="DJ285" s="712"/>
      <c r="DK285" s="712"/>
      <c r="DL285" s="712"/>
      <c r="DM285" s="712"/>
      <c r="DN285" s="712"/>
      <c r="DO285" s="712"/>
      <c r="DP285" s="712"/>
      <c r="DQ285" s="712"/>
      <c r="DR285" s="712"/>
      <c r="DS285" s="712"/>
      <c r="DT285" s="712"/>
      <c r="DU285" s="712"/>
      <c r="DV285" s="712"/>
      <c r="DW285" s="712"/>
      <c r="DX285" s="712"/>
      <c r="DY285" s="712"/>
      <c r="DZ285" s="712"/>
      <c r="EA285" s="712"/>
      <c r="EB285" s="712"/>
      <c r="EC285" s="712"/>
      <c r="ED285" s="712"/>
      <c r="EE285" s="712"/>
      <c r="EF285" s="712"/>
      <c r="EG285" s="712"/>
      <c r="EH285" s="712"/>
      <c r="EI285" s="712"/>
      <c r="EJ285" s="712"/>
      <c r="EK285" s="712"/>
      <c r="EL285" s="712"/>
      <c r="EM285" s="712"/>
      <c r="EN285" s="712"/>
      <c r="EP285" s="947"/>
    </row>
    <row r="286" spans="7:146">
      <c r="BA286" s="894" t="s">
        <v>37</v>
      </c>
      <c r="BB286" s="895" t="s">
        <v>38</v>
      </c>
      <c r="BC286" s="895" t="s">
        <v>44</v>
      </c>
      <c r="BD286" s="895" t="s">
        <v>343</v>
      </c>
      <c r="BE286" s="895" t="s">
        <v>45</v>
      </c>
      <c r="BF286" s="895" t="s">
        <v>344</v>
      </c>
      <c r="BG286" s="896" t="s">
        <v>46</v>
      </c>
      <c r="BH286" s="896" t="s">
        <v>47</v>
      </c>
      <c r="BI286" s="897"/>
      <c r="CV286" s="712"/>
      <c r="CW286" s="712"/>
      <c r="CX286" s="712"/>
      <c r="CY286" s="712"/>
      <c r="CZ286" s="712"/>
      <c r="DA286" s="712"/>
      <c r="DB286" s="712"/>
      <c r="DC286" s="712"/>
      <c r="DD286" s="712"/>
      <c r="DE286" s="712"/>
      <c r="DF286" s="712"/>
      <c r="DG286" s="712"/>
      <c r="DH286" s="712"/>
      <c r="DI286" s="712"/>
      <c r="DJ286" s="712"/>
      <c r="DK286" s="712"/>
      <c r="DL286" s="712"/>
      <c r="DM286" s="712"/>
      <c r="DN286" s="712"/>
      <c r="DO286" s="712"/>
      <c r="DP286" s="712"/>
      <c r="DQ286" s="712"/>
      <c r="DR286" s="712"/>
      <c r="DS286" s="712"/>
      <c r="DT286" s="712"/>
      <c r="DU286" s="712"/>
      <c r="DV286" s="712"/>
      <c r="DW286" s="712"/>
      <c r="DX286" s="712"/>
      <c r="DY286" s="712"/>
      <c r="DZ286" s="712"/>
      <c r="EA286" s="712"/>
      <c r="EB286" s="712"/>
      <c r="EC286" s="712"/>
      <c r="ED286" s="712"/>
      <c r="EE286" s="712"/>
      <c r="EF286" s="712"/>
      <c r="EG286" s="712"/>
      <c r="EH286" s="712"/>
      <c r="EI286" s="712"/>
      <c r="EJ286" s="712"/>
      <c r="EK286" s="712"/>
      <c r="EL286" s="712"/>
      <c r="EM286" s="712"/>
      <c r="EN286" s="712"/>
      <c r="EP286" s="947"/>
    </row>
    <row r="287" spans="7:146">
      <c r="H287" s="707" t="s">
        <v>8</v>
      </c>
      <c r="BA287" s="720">
        <f>BA280</f>
        <v>-129874.31923333334</v>
      </c>
      <c r="BB287" s="720">
        <f>BB280</f>
        <v>-37367.168299999998</v>
      </c>
      <c r="BC287" s="720">
        <f t="shared" ref="BC287:BH287" si="3862">BC280</f>
        <v>-61</v>
      </c>
      <c r="BD287" s="720">
        <f t="shared" si="3862"/>
        <v>-1695.9153437499999</v>
      </c>
      <c r="BE287" s="720">
        <f t="shared" si="3862"/>
        <v>0</v>
      </c>
      <c r="BF287" s="720">
        <f t="shared" si="3862"/>
        <v>0</v>
      </c>
      <c r="BG287" s="720">
        <f t="shared" si="3862"/>
        <v>0</v>
      </c>
      <c r="BH287" s="720">
        <f t="shared" si="3862"/>
        <v>-16669.948720916458</v>
      </c>
      <c r="BI287" s="720">
        <f>BI280</f>
        <v>-185607.3515979998</v>
      </c>
      <c r="BK287" s="720" t="s">
        <v>680</v>
      </c>
      <c r="CV287" s="712"/>
      <c r="CW287" s="712"/>
      <c r="CX287" s="712"/>
      <c r="CY287" s="712"/>
      <c r="CZ287" s="712"/>
      <c r="DA287" s="712"/>
      <c r="DB287" s="712"/>
      <c r="DC287" s="712"/>
      <c r="DD287" s="712"/>
      <c r="DE287" s="712"/>
      <c r="DF287" s="712"/>
      <c r="DG287" s="712"/>
      <c r="DH287" s="712"/>
      <c r="DI287" s="712"/>
      <c r="DJ287" s="712"/>
      <c r="DK287" s="712"/>
      <c r="DL287" s="712"/>
      <c r="DM287" s="712"/>
      <c r="DN287" s="712"/>
      <c r="DO287" s="712"/>
      <c r="DP287" s="712"/>
      <c r="DQ287" s="712"/>
      <c r="DR287" s="712"/>
      <c r="DS287" s="712"/>
      <c r="DT287" s="712"/>
      <c r="DU287" s="712"/>
      <c r="DV287" s="712"/>
      <c r="DW287" s="712"/>
      <c r="DX287" s="712"/>
      <c r="DY287" s="712"/>
      <c r="DZ287" s="712"/>
      <c r="EA287" s="712"/>
      <c r="EB287" s="712"/>
      <c r="EC287" s="712"/>
      <c r="ED287" s="712"/>
      <c r="EE287" s="712"/>
      <c r="EF287" s="712"/>
      <c r="EG287" s="712"/>
      <c r="EH287" s="712"/>
      <c r="EI287" s="712"/>
      <c r="EJ287" s="712"/>
      <c r="EK287" s="712"/>
      <c r="EL287" s="712"/>
      <c r="EM287" s="712"/>
      <c r="EN287" s="712"/>
      <c r="EP287" s="947"/>
    </row>
    <row r="288" spans="7:146">
      <c r="H288" s="707" t="s">
        <v>9</v>
      </c>
      <c r="BA288" s="720">
        <f>BJ280</f>
        <v>-101692.01993333333</v>
      </c>
      <c r="BB288" s="720">
        <f>BK280</f>
        <v>-35119.345033333331</v>
      </c>
      <c r="BC288" s="720">
        <f t="shared" ref="BC288:BH288" si="3863">BL280</f>
        <v>-184.5</v>
      </c>
      <c r="BD288" s="720">
        <f t="shared" si="3863"/>
        <v>-4986.6491249999999</v>
      </c>
      <c r="BE288" s="720">
        <f t="shared" si="3863"/>
        <v>0</v>
      </c>
      <c r="BF288" s="720">
        <f t="shared" si="3863"/>
        <v>0</v>
      </c>
      <c r="BG288" s="720">
        <f t="shared" si="3863"/>
        <v>0</v>
      </c>
      <c r="BH288" s="720">
        <f t="shared" si="3863"/>
        <v>-13516.187369690835</v>
      </c>
      <c r="BI288" s="720">
        <f>BR280</f>
        <v>-155314.20146135753</v>
      </c>
      <c r="BJ288" s="720">
        <f>199909.58+4788.31</f>
        <v>204697.88999999998</v>
      </c>
      <c r="CV288" s="712"/>
      <c r="CW288" s="712"/>
      <c r="CX288" s="712"/>
      <c r="CY288" s="712"/>
      <c r="CZ288" s="712"/>
      <c r="DA288" s="712"/>
      <c r="DB288" s="712"/>
      <c r="DC288" s="712"/>
      <c r="DD288" s="712"/>
      <c r="DE288" s="712"/>
      <c r="DF288" s="712"/>
      <c r="DG288" s="712"/>
      <c r="DH288" s="712"/>
      <c r="DI288" s="712"/>
      <c r="DJ288" s="712"/>
      <c r="DK288" s="712"/>
      <c r="DL288" s="712"/>
      <c r="DM288" s="712"/>
      <c r="DN288" s="712"/>
      <c r="DO288" s="712"/>
      <c r="DP288" s="712"/>
      <c r="DQ288" s="712"/>
      <c r="DR288" s="712"/>
      <c r="DS288" s="712"/>
      <c r="DT288" s="712"/>
      <c r="DU288" s="712"/>
      <c r="DV288" s="712"/>
      <c r="DW288" s="712"/>
      <c r="DX288" s="712"/>
      <c r="DY288" s="712"/>
      <c r="DZ288" s="712"/>
      <c r="EA288" s="712"/>
      <c r="EB288" s="712"/>
      <c r="EC288" s="712"/>
      <c r="ED288" s="712"/>
      <c r="EE288" s="712"/>
      <c r="EF288" s="712"/>
      <c r="EG288" s="712"/>
      <c r="EH288" s="712"/>
      <c r="EI288" s="712"/>
      <c r="EJ288" s="712"/>
      <c r="EK288" s="712"/>
      <c r="EL288" s="712"/>
      <c r="EM288" s="712"/>
      <c r="EN288" s="712"/>
      <c r="EP288" s="947"/>
    </row>
    <row r="289" spans="8:146">
      <c r="H289" s="707" t="s">
        <v>349</v>
      </c>
      <c r="BA289" s="720">
        <f>BS280</f>
        <v>-29533.793833333333</v>
      </c>
      <c r="BB289" s="720">
        <f>BT280</f>
        <v>-7160.2203333333327</v>
      </c>
      <c r="BC289" s="720">
        <f t="shared" ref="BC289:BH289" si="3864">BU280</f>
        <v>0</v>
      </c>
      <c r="BD289" s="720">
        <f t="shared" si="3864"/>
        <v>0</v>
      </c>
      <c r="BE289" s="720">
        <f t="shared" si="3864"/>
        <v>0</v>
      </c>
      <c r="BF289" s="720">
        <f t="shared" si="3864"/>
        <v>0</v>
      </c>
      <c r="BG289" s="720">
        <f t="shared" si="3864"/>
        <v>0</v>
      </c>
      <c r="BH289" s="720">
        <f t="shared" si="3864"/>
        <v>-3727.2433110833331</v>
      </c>
      <c r="BI289" s="720">
        <f>CA280</f>
        <v>-40421.25747774999</v>
      </c>
      <c r="BJ289" s="720">
        <f>+BI289</f>
        <v>-40421.25747774999</v>
      </c>
      <c r="CV289" s="712"/>
      <c r="CW289" s="712"/>
      <c r="CX289" s="712"/>
      <c r="CY289" s="712"/>
      <c r="CZ289" s="712"/>
      <c r="DA289" s="712"/>
      <c r="DB289" s="712"/>
      <c r="DC289" s="712"/>
      <c r="DD289" s="712"/>
      <c r="DE289" s="712"/>
      <c r="DF289" s="712"/>
      <c r="DG289" s="712"/>
      <c r="DH289" s="712"/>
      <c r="DI289" s="712"/>
      <c r="DJ289" s="712"/>
      <c r="DK289" s="712"/>
      <c r="DL289" s="712"/>
      <c r="DM289" s="712"/>
      <c r="DN289" s="712"/>
      <c r="DO289" s="712"/>
      <c r="DP289" s="712"/>
      <c r="DQ289" s="712"/>
      <c r="DR289" s="712"/>
      <c r="DS289" s="712"/>
      <c r="DT289" s="712"/>
      <c r="DU289" s="712"/>
      <c r="DV289" s="712"/>
      <c r="DW289" s="712"/>
      <c r="DX289" s="712"/>
      <c r="DY289" s="712"/>
      <c r="DZ289" s="712"/>
      <c r="EA289" s="712"/>
      <c r="EB289" s="712"/>
      <c r="EC289" s="712"/>
      <c r="ED289" s="712"/>
      <c r="EE289" s="712"/>
      <c r="EF289" s="712"/>
      <c r="EG289" s="712"/>
      <c r="EH289" s="712"/>
      <c r="EI289" s="712"/>
      <c r="EJ289" s="712"/>
      <c r="EK289" s="712"/>
      <c r="EL289" s="712"/>
      <c r="EM289" s="712"/>
      <c r="EN289" s="712"/>
      <c r="EP289" s="947"/>
    </row>
    <row r="290" spans="8:146">
      <c r="H290" s="707" t="s">
        <v>693</v>
      </c>
      <c r="BA290" s="720">
        <f>+CB280</f>
        <v>-14983.842000000001</v>
      </c>
      <c r="BB290" s="720">
        <f>+CC280</f>
        <v>-5211.0280000000002</v>
      </c>
      <c r="BC290" s="720">
        <f>+BL280</f>
        <v>-184.5</v>
      </c>
      <c r="BD290" s="720">
        <f>+CD280</f>
        <v>0</v>
      </c>
      <c r="BE290" s="720">
        <f>+CF280</f>
        <v>0</v>
      </c>
      <c r="BF290" s="720">
        <f>+CG280</f>
        <v>0</v>
      </c>
      <c r="BG290" s="720">
        <f>+CH280</f>
        <v>0</v>
      </c>
      <c r="BH290" s="720">
        <f>+CI280</f>
        <v>-1898.4527813999996</v>
      </c>
      <c r="BI290" s="900">
        <f>+CJ280</f>
        <v>-22093.322781400002</v>
      </c>
      <c r="BJ290" s="720">
        <f>+BI290/2</f>
        <v>-11046.661390700001</v>
      </c>
      <c r="CV290" s="712"/>
      <c r="CW290" s="712"/>
      <c r="CX290" s="712"/>
      <c r="CY290" s="712"/>
      <c r="CZ290" s="712"/>
      <c r="DA290" s="712"/>
      <c r="DB290" s="712"/>
      <c r="DC290" s="712"/>
      <c r="DD290" s="712"/>
      <c r="DE290" s="712"/>
      <c r="DF290" s="712"/>
      <c r="DG290" s="712"/>
      <c r="DH290" s="712"/>
      <c r="DI290" s="712"/>
      <c r="DJ290" s="712"/>
      <c r="DK290" s="712"/>
      <c r="DL290" s="712"/>
      <c r="DM290" s="712"/>
      <c r="DN290" s="712"/>
      <c r="DO290" s="712"/>
      <c r="DP290" s="712"/>
      <c r="DQ290" s="712"/>
      <c r="DR290" s="712"/>
      <c r="DS290" s="712"/>
      <c r="DT290" s="712"/>
      <c r="DU290" s="712"/>
      <c r="DV290" s="712"/>
      <c r="DW290" s="712"/>
      <c r="DX290" s="712"/>
      <c r="DY290" s="712"/>
      <c r="DZ290" s="712"/>
      <c r="EA290" s="712"/>
      <c r="EB290" s="712"/>
      <c r="EC290" s="712"/>
      <c r="ED290" s="712"/>
      <c r="EE290" s="712"/>
      <c r="EF290" s="712"/>
      <c r="EG290" s="712"/>
      <c r="EH290" s="712"/>
      <c r="EI290" s="712"/>
      <c r="EJ290" s="712"/>
      <c r="EK290" s="712"/>
      <c r="EL290" s="712"/>
      <c r="EM290" s="712"/>
      <c r="EN290" s="712"/>
      <c r="EP290" s="947"/>
    </row>
    <row r="291" spans="8:146" ht="10.8" thickBot="1">
      <c r="H291" s="707" t="s">
        <v>11</v>
      </c>
      <c r="CV291" s="712"/>
      <c r="CW291" s="712"/>
      <c r="CX291" s="712"/>
      <c r="CY291" s="712"/>
      <c r="CZ291" s="712"/>
      <c r="DA291" s="712"/>
      <c r="DB291" s="712"/>
      <c r="DC291" s="712"/>
      <c r="DD291" s="712"/>
      <c r="DE291" s="712"/>
      <c r="DF291" s="712"/>
      <c r="DG291" s="712"/>
      <c r="DH291" s="712"/>
      <c r="DI291" s="712"/>
      <c r="DJ291" s="712"/>
      <c r="DK291" s="712"/>
      <c r="DL291" s="712"/>
      <c r="DM291" s="712"/>
      <c r="DN291" s="712"/>
      <c r="DO291" s="712"/>
      <c r="DP291" s="712"/>
      <c r="DQ291" s="712"/>
      <c r="DR291" s="712"/>
      <c r="DS291" s="712"/>
      <c r="DT291" s="712"/>
      <c r="DU291" s="712"/>
      <c r="DV291" s="712"/>
      <c r="DW291" s="712"/>
      <c r="DX291" s="712"/>
      <c r="DY291" s="712"/>
      <c r="DZ291" s="712"/>
      <c r="EA291" s="712"/>
      <c r="EB291" s="712"/>
      <c r="EC291" s="712"/>
      <c r="ED291" s="712"/>
      <c r="EE291" s="712"/>
      <c r="EF291" s="712"/>
      <c r="EG291" s="712"/>
      <c r="EH291" s="712"/>
      <c r="EI291" s="712"/>
      <c r="EJ291" s="712"/>
      <c r="EK291" s="712"/>
      <c r="EL291" s="712"/>
      <c r="EM291" s="712"/>
      <c r="EN291" s="712"/>
      <c r="EP291" s="947"/>
    </row>
    <row r="292" spans="8:146" ht="13.8" thickBot="1">
      <c r="H292" s="904" t="s">
        <v>171</v>
      </c>
      <c r="I292" s="903"/>
      <c r="J292" s="905"/>
      <c r="K292" s="905"/>
      <c r="L292" s="905"/>
      <c r="M292" s="905"/>
      <c r="N292" s="906"/>
      <c r="O292" s="906"/>
      <c r="P292" s="906"/>
      <c r="Q292" s="906"/>
      <c r="R292" s="906"/>
      <c r="S292" s="906"/>
      <c r="T292" s="905"/>
      <c r="U292" s="905"/>
      <c r="V292" s="905"/>
      <c r="W292" s="905"/>
      <c r="X292" s="905"/>
      <c r="Y292" s="905"/>
      <c r="Z292" s="905"/>
      <c r="AA292" s="905"/>
      <c r="AB292" s="905"/>
      <c r="AC292" s="905"/>
      <c r="AD292" s="905"/>
      <c r="AE292" s="905"/>
      <c r="AF292" s="905"/>
      <c r="AG292" s="905"/>
      <c r="AH292" s="905"/>
      <c r="AI292" s="905"/>
      <c r="AJ292" s="905"/>
      <c r="AK292" s="807"/>
      <c r="AL292" s="807"/>
      <c r="AM292" s="807"/>
      <c r="AN292" s="807"/>
      <c r="AO292" s="905"/>
      <c r="AP292" s="905"/>
      <c r="AQ292" s="905"/>
      <c r="AR292" s="905"/>
      <c r="AS292" s="905"/>
      <c r="AT292" s="905"/>
      <c r="AU292" s="905"/>
      <c r="AV292" s="905"/>
      <c r="AW292" s="905"/>
      <c r="AX292" s="905"/>
      <c r="AY292" s="905"/>
      <c r="AZ292" s="903"/>
      <c r="BA292" s="908">
        <f>SUM(BA287:BA291)</f>
        <v>-276083.97499999998</v>
      </c>
      <c r="BB292" s="909">
        <f>SUM(BB287:BB291)</f>
        <v>-84857.761666666673</v>
      </c>
      <c r="BC292" s="909">
        <f t="shared" ref="BC292:BH292" si="3865">SUM(BC287:BC291)</f>
        <v>-430</v>
      </c>
      <c r="BD292" s="909">
        <f t="shared" si="3865"/>
        <v>-6682.5644687499998</v>
      </c>
      <c r="BE292" s="909">
        <f t="shared" si="3865"/>
        <v>0</v>
      </c>
      <c r="BF292" s="909">
        <f t="shared" si="3865"/>
        <v>0</v>
      </c>
      <c r="BG292" s="909">
        <f t="shared" si="3865"/>
        <v>0</v>
      </c>
      <c r="BH292" s="909">
        <f t="shared" si="3865"/>
        <v>-35811.832183090628</v>
      </c>
      <c r="BI292" s="910">
        <f>SUM(BI287:BI291)</f>
        <v>-403436.13331850735</v>
      </c>
      <c r="BJ292" s="712"/>
      <c r="BK292" s="712"/>
      <c r="BL292" s="712"/>
      <c r="BM292" s="712"/>
      <c r="BN292" s="712"/>
      <c r="BO292" s="712"/>
      <c r="BP292" s="712"/>
      <c r="BQ292" s="712"/>
      <c r="BR292" s="712"/>
      <c r="BS292" s="712"/>
      <c r="BT292" s="712"/>
      <c r="BU292" s="712"/>
      <c r="BV292" s="712"/>
      <c r="BW292" s="712"/>
      <c r="BX292" s="712"/>
      <c r="BY292" s="712"/>
      <c r="BZ292" s="712"/>
      <c r="CA292" s="712"/>
      <c r="CB292" s="712"/>
      <c r="CC292" s="712"/>
      <c r="CD292" s="712"/>
      <c r="CE292" s="712"/>
      <c r="CF292" s="712"/>
      <c r="CG292" s="712"/>
      <c r="CH292" s="712"/>
      <c r="CI292" s="712"/>
      <c r="CJ292" s="712"/>
      <c r="CK292" s="712"/>
      <c r="CL292" s="712"/>
      <c r="CM292" s="712"/>
      <c r="CN292" s="712"/>
      <c r="CO292" s="712"/>
      <c r="CP292" s="712"/>
      <c r="CQ292" s="712"/>
      <c r="CR292" s="712"/>
      <c r="CS292" s="712"/>
      <c r="CV292" s="712"/>
      <c r="CW292" s="712"/>
      <c r="CX292" s="712"/>
      <c r="CY292" s="712"/>
      <c r="CZ292" s="712"/>
      <c r="DA292" s="712"/>
      <c r="DB292" s="712"/>
      <c r="DC292" s="712"/>
      <c r="DD292" s="712"/>
      <c r="DE292" s="712"/>
      <c r="DF292" s="712"/>
      <c r="DG292" s="712"/>
      <c r="DH292" s="712"/>
      <c r="DI292" s="712"/>
      <c r="DJ292" s="712"/>
      <c r="DK292" s="712"/>
      <c r="DL292" s="712"/>
      <c r="DM292" s="712"/>
      <c r="DN292" s="712"/>
      <c r="DO292" s="712"/>
      <c r="DP292" s="712"/>
      <c r="DQ292" s="712"/>
      <c r="DR292" s="712"/>
      <c r="DS292" s="712"/>
      <c r="DT292" s="712"/>
      <c r="DU292" s="712"/>
      <c r="DV292" s="712"/>
      <c r="DW292" s="712"/>
      <c r="DX292" s="712"/>
      <c r="DY292" s="712"/>
      <c r="DZ292" s="712"/>
      <c r="EA292" s="712"/>
      <c r="EB292" s="712"/>
      <c r="EC292" s="712"/>
      <c r="ED292" s="712"/>
      <c r="EE292" s="712"/>
      <c r="EF292" s="712"/>
      <c r="EG292" s="712"/>
      <c r="EH292" s="712"/>
      <c r="EI292" s="712"/>
      <c r="EJ292" s="712"/>
      <c r="EK292" s="712"/>
      <c r="EL292" s="712"/>
      <c r="EM292" s="712"/>
      <c r="EN292" s="712"/>
      <c r="EP292" s="947"/>
    </row>
    <row r="293" spans="8:146">
      <c r="AY293" s="712" t="s">
        <v>8</v>
      </c>
      <c r="BA293" s="911">
        <f>BA280-BA287</f>
        <v>0</v>
      </c>
      <c r="BB293" s="720">
        <f t="shared" ref="BB293:BI293" si="3866">BB280-BB287</f>
        <v>0</v>
      </c>
      <c r="BC293" s="720">
        <f t="shared" si="3866"/>
        <v>0</v>
      </c>
      <c r="BD293" s="720">
        <f t="shared" si="3866"/>
        <v>0</v>
      </c>
      <c r="BE293" s="720">
        <f t="shared" si="3866"/>
        <v>0</v>
      </c>
      <c r="BF293" s="720">
        <f t="shared" si="3866"/>
        <v>0</v>
      </c>
      <c r="BG293" s="720">
        <f t="shared" si="3866"/>
        <v>0</v>
      </c>
      <c r="BH293" s="720">
        <f t="shared" si="3866"/>
        <v>0</v>
      </c>
      <c r="BI293" s="912">
        <f t="shared" si="3866"/>
        <v>0</v>
      </c>
      <c r="BJ293" s="712"/>
      <c r="BK293" s="712"/>
      <c r="BL293" s="712"/>
      <c r="BM293" s="712"/>
      <c r="BN293" s="712"/>
      <c r="BO293" s="712"/>
      <c r="BP293" s="712"/>
      <c r="BQ293" s="712"/>
      <c r="BR293" s="712"/>
      <c r="BS293" s="712"/>
      <c r="BT293" s="712"/>
      <c r="BU293" s="712"/>
      <c r="BV293" s="712"/>
      <c r="BW293" s="712"/>
      <c r="BX293" s="712"/>
      <c r="BY293" s="712"/>
      <c r="BZ293" s="712"/>
      <c r="CA293" s="712"/>
      <c r="CB293" s="712"/>
      <c r="CC293" s="712"/>
      <c r="CD293" s="712"/>
      <c r="CE293" s="712"/>
      <c r="CF293" s="712"/>
      <c r="CG293" s="712"/>
      <c r="CH293" s="712"/>
      <c r="CI293" s="712"/>
      <c r="CJ293" s="712"/>
      <c r="CK293" s="712"/>
      <c r="CL293" s="712"/>
      <c r="CM293" s="712"/>
      <c r="CN293" s="712"/>
      <c r="CO293" s="712"/>
      <c r="CP293" s="712"/>
      <c r="CQ293" s="712"/>
      <c r="CR293" s="712"/>
      <c r="CS293" s="712"/>
      <c r="CV293" s="712"/>
      <c r="CW293" s="712"/>
      <c r="CX293" s="712"/>
      <c r="CY293" s="712"/>
      <c r="CZ293" s="712"/>
      <c r="DA293" s="712"/>
      <c r="DB293" s="712"/>
      <c r="DC293" s="712"/>
      <c r="DD293" s="712"/>
      <c r="DE293" s="712"/>
      <c r="DF293" s="712"/>
      <c r="DG293" s="712"/>
      <c r="DH293" s="712"/>
      <c r="DI293" s="712"/>
      <c r="DJ293" s="712"/>
      <c r="DK293" s="712"/>
      <c r="DL293" s="712"/>
      <c r="DM293" s="712"/>
      <c r="DN293" s="712"/>
      <c r="DO293" s="712"/>
      <c r="DP293" s="712"/>
      <c r="DQ293" s="712"/>
      <c r="DR293" s="712"/>
      <c r="DS293" s="712"/>
      <c r="DT293" s="712"/>
      <c r="DU293" s="712"/>
      <c r="DV293" s="712"/>
      <c r="DW293" s="712"/>
      <c r="DX293" s="712"/>
      <c r="DY293" s="712"/>
      <c r="DZ293" s="712"/>
      <c r="EA293" s="712"/>
      <c r="EB293" s="712"/>
      <c r="EC293" s="712"/>
      <c r="ED293" s="712"/>
      <c r="EE293" s="712"/>
      <c r="EF293" s="712"/>
      <c r="EG293" s="712"/>
      <c r="EH293" s="712"/>
      <c r="EI293" s="712"/>
      <c r="EJ293" s="712"/>
      <c r="EK293" s="712"/>
      <c r="EL293" s="712"/>
      <c r="EM293" s="712"/>
      <c r="EN293" s="712"/>
      <c r="EP293" s="947"/>
    </row>
    <row r="294" spans="8:146">
      <c r="BA294" s="913" t="str">
        <f>IF(BA293&lt;&gt;0,"ERROR VERIFICAR TRASLADO DE DATOS DE DISTRIBUCIÓN A CUADRO","")</f>
        <v/>
      </c>
      <c r="BB294" s="914" t="str">
        <f t="shared" ref="BB294:BI294" si="3867">IF(BB293&lt;&gt;0,"ERROR VERIFICAR TRASLADO DE DATOS DE DISTRIBUCIÓN A CUADRO","")</f>
        <v/>
      </c>
      <c r="BC294" s="914" t="str">
        <f t="shared" si="3867"/>
        <v/>
      </c>
      <c r="BD294" s="914" t="str">
        <f t="shared" si="3867"/>
        <v/>
      </c>
      <c r="BE294" s="914" t="str">
        <f t="shared" si="3867"/>
        <v/>
      </c>
      <c r="BF294" s="914" t="str">
        <f t="shared" si="3867"/>
        <v/>
      </c>
      <c r="BG294" s="914" t="str">
        <f t="shared" si="3867"/>
        <v/>
      </c>
      <c r="BH294" s="914" t="str">
        <f t="shared" si="3867"/>
        <v/>
      </c>
      <c r="BI294" s="915" t="str">
        <f t="shared" si="3867"/>
        <v/>
      </c>
    </row>
    <row r="295" spans="8:146">
      <c r="AY295" s="712" t="s">
        <v>9</v>
      </c>
      <c r="BA295" s="916">
        <f>BA288-BJ280</f>
        <v>0</v>
      </c>
      <c r="BB295" s="917">
        <f t="shared" ref="BB295:BI295" si="3868">BB288-BK280</f>
        <v>0</v>
      </c>
      <c r="BC295" s="917">
        <f t="shared" si="3868"/>
        <v>0</v>
      </c>
      <c r="BD295" s="917">
        <f t="shared" si="3868"/>
        <v>0</v>
      </c>
      <c r="BE295" s="917">
        <f t="shared" si="3868"/>
        <v>0</v>
      </c>
      <c r="BF295" s="917">
        <f t="shared" si="3868"/>
        <v>0</v>
      </c>
      <c r="BG295" s="917">
        <f t="shared" si="3868"/>
        <v>0</v>
      </c>
      <c r="BH295" s="917">
        <f t="shared" si="3868"/>
        <v>0</v>
      </c>
      <c r="BI295" s="918">
        <f t="shared" si="3868"/>
        <v>0</v>
      </c>
    </row>
    <row r="296" spans="8:146">
      <c r="BA296" s="913" t="str">
        <f>IF(BA295&lt;&gt;0,"ERROR VERIFICAR TRASLADO DE DATOS DE DISTRIBUCIÓN A CUADRO","")</f>
        <v/>
      </c>
      <c r="BB296" s="914" t="str">
        <f t="shared" ref="BB296:BI296" si="3869">IF(BB295&lt;&gt;0,"ERROR VERIFICAR TRASLADO DE DATOS DE DISTRIBUCIÓN A CUADRO","")</f>
        <v/>
      </c>
      <c r="BC296" s="914" t="str">
        <f t="shared" si="3869"/>
        <v/>
      </c>
      <c r="BD296" s="914" t="str">
        <f t="shared" si="3869"/>
        <v/>
      </c>
      <c r="BE296" s="914" t="str">
        <f t="shared" si="3869"/>
        <v/>
      </c>
      <c r="BF296" s="914" t="str">
        <f t="shared" si="3869"/>
        <v/>
      </c>
      <c r="BG296" s="914" t="str">
        <f t="shared" si="3869"/>
        <v/>
      </c>
      <c r="BH296" s="914" t="str">
        <f t="shared" si="3869"/>
        <v/>
      </c>
      <c r="BI296" s="915" t="str">
        <f t="shared" si="3869"/>
        <v/>
      </c>
    </row>
    <row r="297" spans="8:146">
      <c r="AY297" s="712" t="s">
        <v>349</v>
      </c>
      <c r="BA297" s="916">
        <f>BA289-BS280</f>
        <v>0</v>
      </c>
      <c r="BB297" s="917">
        <f t="shared" ref="BB297:BH297" si="3870">BB289-BT280</f>
        <v>0</v>
      </c>
      <c r="BC297" s="917">
        <f t="shared" si="3870"/>
        <v>0</v>
      </c>
      <c r="BD297" s="917">
        <f t="shared" si="3870"/>
        <v>0</v>
      </c>
      <c r="BE297" s="917">
        <f t="shared" si="3870"/>
        <v>0</v>
      </c>
      <c r="BF297" s="917">
        <f t="shared" si="3870"/>
        <v>0</v>
      </c>
      <c r="BG297" s="917">
        <f t="shared" si="3870"/>
        <v>0</v>
      </c>
      <c r="BH297" s="917">
        <f t="shared" si="3870"/>
        <v>0</v>
      </c>
      <c r="BI297" s="918">
        <f>BI289-CA280</f>
        <v>0</v>
      </c>
    </row>
    <row r="298" spans="8:146">
      <c r="BA298" s="913" t="str">
        <f>IF(BA297&lt;&gt;0,"ERROR VERIFICAR TRASLADO DE DATOS DE DISTRIBUCIÓN A CUADRO","")</f>
        <v/>
      </c>
      <c r="BB298" s="914" t="str">
        <f t="shared" ref="BB298:BH298" si="3871">IF(BB297&lt;&gt;0,"ERROR VERIFICAR TRASLADO DE DATOS DE DISTRIBUCIÓN A CUADRO","")</f>
        <v/>
      </c>
      <c r="BC298" s="914" t="str">
        <f t="shared" si="3871"/>
        <v/>
      </c>
      <c r="BD298" s="914" t="str">
        <f t="shared" si="3871"/>
        <v/>
      </c>
      <c r="BE298" s="914" t="str">
        <f t="shared" si="3871"/>
        <v/>
      </c>
      <c r="BF298" s="914" t="str">
        <f t="shared" si="3871"/>
        <v/>
      </c>
      <c r="BG298" s="914" t="str">
        <f t="shared" si="3871"/>
        <v/>
      </c>
      <c r="BH298" s="914" t="str">
        <f t="shared" si="3871"/>
        <v/>
      </c>
      <c r="BI298" s="915" t="str">
        <f>IF(BI297&lt;&gt;0,"ERROR VERIFICAR TRASLADO DE DATOS DE DISTRIBUCIÓN A CUADRO","")</f>
        <v/>
      </c>
    </row>
    <row r="299" spans="8:146">
      <c r="AY299" s="712" t="s">
        <v>11</v>
      </c>
      <c r="BA299" s="916"/>
      <c r="BB299" s="917"/>
      <c r="BC299" s="917"/>
      <c r="BD299" s="917"/>
      <c r="BE299" s="917"/>
      <c r="BF299" s="917"/>
      <c r="BG299" s="917"/>
      <c r="BH299" s="917"/>
      <c r="BI299" s="918"/>
    </row>
    <row r="300" spans="8:146">
      <c r="BA300" s="913"/>
      <c r="BB300" s="914"/>
      <c r="BC300" s="914"/>
      <c r="BD300" s="914"/>
      <c r="BE300" s="914"/>
      <c r="BF300" s="914"/>
      <c r="BG300" s="914"/>
      <c r="BH300" s="914"/>
      <c r="BI300" s="915"/>
    </row>
    <row r="301" spans="8:146">
      <c r="AY301" s="712" t="s">
        <v>338</v>
      </c>
      <c r="BA301" s="916"/>
      <c r="BB301" s="917"/>
      <c r="BC301" s="917"/>
      <c r="BD301" s="917"/>
      <c r="BE301" s="917"/>
      <c r="BF301" s="917"/>
      <c r="BG301" s="917"/>
      <c r="BH301" s="917"/>
      <c r="BI301" s="918"/>
    </row>
    <row r="302" spans="8:146">
      <c r="BA302" s="913"/>
      <c r="BB302" s="914"/>
      <c r="BC302" s="914"/>
      <c r="BD302" s="914"/>
      <c r="BE302" s="914"/>
      <c r="BF302" s="914"/>
      <c r="BG302" s="914"/>
      <c r="BH302" s="914"/>
      <c r="BI302" s="915"/>
    </row>
    <row r="303" spans="8:146" ht="10.8" thickBot="1"/>
    <row r="304" spans="8:146">
      <c r="BD304" s="919" t="s">
        <v>367</v>
      </c>
      <c r="BE304" s="920"/>
      <c r="BF304" s="921"/>
    </row>
    <row r="305" spans="56:146" ht="13.8">
      <c r="BD305" s="922" t="str">
        <f>IF(BI287&gt;0,"Facturar desde PROQUIMA","")</f>
        <v/>
      </c>
      <c r="BF305" s="923"/>
    </row>
    <row r="306" spans="56:146">
      <c r="BD306" s="924" t="str">
        <f>IF((BI288+BI289)&gt;0,"Facturar desde UNHESA","")</f>
        <v/>
      </c>
      <c r="BF306" s="923"/>
    </row>
    <row r="307" spans="56:146" ht="13.8">
      <c r="BD307" s="922" t="str">
        <f>IF(BI290&gt;0,"Facturar desde ECONACIONAL","")</f>
        <v/>
      </c>
      <c r="BF307" s="923"/>
    </row>
    <row r="308" spans="56:146" ht="14.4" thickBot="1">
      <c r="BD308" s="925" t="str">
        <f>IF(BI291&gt;0,"Facturar desde ECOMEZCLAS","")</f>
        <v/>
      </c>
      <c r="BE308" s="926"/>
      <c r="BF308" s="927"/>
    </row>
    <row r="309" spans="56:146" ht="11.4">
      <c r="BN309" s="928" t="str">
        <f>+BD310</f>
        <v>FACTURAR CON FECHA MAYO SERVICIOS DE RRHH  DE MAYO 2026 DE ECONACIONAL A PROQUIMA</v>
      </c>
      <c r="BO309" s="929"/>
      <c r="BP309" s="929"/>
      <c r="BQ309" s="929"/>
      <c r="BR309" s="930"/>
      <c r="BS309" s="929"/>
      <c r="BT309" s="712"/>
      <c r="BU309" s="712"/>
    </row>
    <row r="310" spans="56:146" ht="13.8">
      <c r="BD310" s="928" t="s">
        <v>781</v>
      </c>
      <c r="BE310" s="929"/>
      <c r="BF310" s="929"/>
      <c r="BG310" s="929"/>
      <c r="BH310" s="930"/>
      <c r="BI310" s="929"/>
      <c r="BJ310" s="707"/>
      <c r="BK310" s="707"/>
      <c r="BL310" s="939">
        <f>+BI287-BG320</f>
        <v>-186049.2179979998</v>
      </c>
      <c r="BM310" s="712"/>
      <c r="BN310" s="886"/>
      <c r="BO310" s="885"/>
      <c r="BP310" s="885"/>
      <c r="BQ310" s="885"/>
      <c r="BR310" s="885"/>
      <c r="BS310" s="885"/>
      <c r="BT310" s="712"/>
      <c r="BU310" s="712"/>
      <c r="BV310" s="712"/>
      <c r="BW310" s="712"/>
      <c r="BX310" s="712"/>
      <c r="BY310" s="712"/>
      <c r="BZ310" s="712"/>
      <c r="CA310" s="712"/>
      <c r="CB310" s="712"/>
      <c r="CC310" s="712"/>
      <c r="CD310" s="712"/>
      <c r="CE310" s="712"/>
      <c r="CF310" s="712"/>
      <c r="CG310" s="712"/>
      <c r="CH310" s="712"/>
      <c r="CI310" s="712"/>
      <c r="CJ310" s="712"/>
      <c r="CK310" s="712"/>
      <c r="CL310" s="712"/>
      <c r="CM310" s="712"/>
      <c r="CN310" s="712"/>
      <c r="CO310" s="712"/>
      <c r="CP310" s="712"/>
      <c r="CQ310" s="712"/>
      <c r="CR310" s="712"/>
      <c r="CS310" s="712"/>
      <c r="CV310" s="712"/>
      <c r="CW310" s="712"/>
      <c r="CX310" s="712"/>
      <c r="CY310" s="712"/>
      <c r="CZ310" s="712"/>
      <c r="DA310" s="712"/>
      <c r="DB310" s="712"/>
      <c r="DC310" s="712"/>
      <c r="DD310" s="712"/>
      <c r="DE310" s="712"/>
      <c r="DF310" s="712"/>
      <c r="DG310" s="712"/>
      <c r="DH310" s="712"/>
      <c r="DI310" s="712"/>
      <c r="DJ310" s="712"/>
      <c r="DK310" s="712"/>
      <c r="DL310" s="712"/>
      <c r="DM310" s="712"/>
      <c r="DN310" s="712"/>
      <c r="DO310" s="712"/>
      <c r="DP310" s="712"/>
      <c r="DQ310" s="712"/>
      <c r="DR310" s="712"/>
      <c r="DS310" s="712"/>
      <c r="DT310" s="712"/>
      <c r="DU310" s="712"/>
      <c r="DV310" s="712"/>
      <c r="DW310" s="712"/>
      <c r="DX310" s="712"/>
      <c r="DY310" s="712"/>
      <c r="DZ310" s="712"/>
      <c r="EA310" s="712"/>
      <c r="EB310" s="712"/>
      <c r="EC310" s="712"/>
      <c r="ED310" s="712"/>
      <c r="EE310" s="712"/>
      <c r="EF310" s="712"/>
      <c r="EG310" s="712"/>
      <c r="EH310" s="712"/>
      <c r="EI310" s="712"/>
      <c r="EJ310" s="712"/>
      <c r="EK310" s="712"/>
      <c r="EL310" s="712"/>
      <c r="EM310" s="712"/>
      <c r="EN310" s="712"/>
      <c r="EP310" s="947"/>
    </row>
    <row r="311" spans="56:146" ht="13.8">
      <c r="BD311" s="886"/>
      <c r="BE311" s="885"/>
      <c r="BF311" s="885"/>
      <c r="BG311" s="885"/>
      <c r="BH311" s="885"/>
      <c r="BI311" s="885"/>
      <c r="BJ311" s="707"/>
      <c r="BK311" s="707"/>
      <c r="BL311" s="940">
        <f>+BI287-BG320</f>
        <v>-186049.2179979998</v>
      </c>
      <c r="BM311" s="712"/>
      <c r="BN311" s="886"/>
      <c r="BO311" s="885"/>
      <c r="BP311" s="885"/>
      <c r="BQ311" s="931" t="s">
        <v>169</v>
      </c>
      <c r="BR311" s="931" t="s">
        <v>170</v>
      </c>
      <c r="BS311" s="931" t="s">
        <v>171</v>
      </c>
      <c r="BT311" s="712"/>
      <c r="BU311" s="932"/>
      <c r="BV311" s="712"/>
      <c r="BW311" s="712"/>
      <c r="BX311" s="712"/>
      <c r="BY311" s="712"/>
      <c r="BZ311" s="712"/>
      <c r="CA311" s="712"/>
      <c r="CB311" s="712"/>
      <c r="CC311" s="712"/>
      <c r="CD311" s="712"/>
      <c r="CE311" s="712"/>
      <c r="CF311" s="712"/>
      <c r="CG311" s="712"/>
      <c r="CH311" s="712"/>
      <c r="CI311" s="712"/>
      <c r="CJ311" s="712"/>
      <c r="CK311" s="712"/>
      <c r="CL311" s="712"/>
      <c r="CM311" s="712"/>
      <c r="CN311" s="712"/>
      <c r="CO311" s="712"/>
      <c r="CP311" s="712"/>
      <c r="CQ311" s="712"/>
      <c r="CR311" s="712"/>
      <c r="CS311" s="712"/>
      <c r="CV311" s="712"/>
      <c r="CW311" s="712"/>
      <c r="CX311" s="712"/>
      <c r="CY311" s="712"/>
      <c r="CZ311" s="712"/>
      <c r="DA311" s="712"/>
      <c r="DB311" s="712"/>
      <c r="DC311" s="712"/>
      <c r="DD311" s="712"/>
      <c r="DE311" s="712"/>
      <c r="DF311" s="712"/>
      <c r="DG311" s="712"/>
      <c r="DH311" s="712"/>
      <c r="DI311" s="712"/>
      <c r="DJ311" s="712"/>
      <c r="DK311" s="712"/>
      <c r="DL311" s="712"/>
      <c r="DM311" s="712"/>
      <c r="DN311" s="712"/>
      <c r="DO311" s="712"/>
      <c r="DP311" s="712"/>
      <c r="DQ311" s="712"/>
      <c r="DR311" s="712"/>
      <c r="DS311" s="712"/>
      <c r="DT311" s="712"/>
      <c r="DU311" s="712"/>
      <c r="DV311" s="712"/>
      <c r="DW311" s="712"/>
      <c r="DX311" s="712"/>
      <c r="DY311" s="712"/>
      <c r="DZ311" s="712"/>
      <c r="EA311" s="712"/>
      <c r="EB311" s="712"/>
      <c r="EC311" s="712"/>
      <c r="ED311" s="712"/>
      <c r="EE311" s="712"/>
      <c r="EF311" s="712"/>
      <c r="EG311" s="712"/>
      <c r="EH311" s="712"/>
      <c r="EI311" s="712"/>
      <c r="EJ311" s="712"/>
      <c r="EK311" s="712"/>
      <c r="EL311" s="712"/>
      <c r="EM311" s="712"/>
      <c r="EN311" s="712"/>
      <c r="EP311" s="947"/>
    </row>
    <row r="312" spans="56:146" ht="13.8">
      <c r="BD312" s="886"/>
      <c r="BE312" s="885"/>
      <c r="BF312" s="931" t="s">
        <v>169</v>
      </c>
      <c r="BG312" s="931" t="s">
        <v>718</v>
      </c>
      <c r="BH312" s="931" t="s">
        <v>170</v>
      </c>
      <c r="BI312" s="931" t="s">
        <v>171</v>
      </c>
      <c r="BJ312" s="707"/>
      <c r="BK312" s="1162"/>
      <c r="BL312" s="941"/>
      <c r="BM312" s="712"/>
      <c r="BN312" s="884"/>
      <c r="BO312" s="884"/>
      <c r="BP312" s="883"/>
      <c r="BQ312" s="933">
        <f>+BG315</f>
        <v>7424.2940639199924</v>
      </c>
      <c r="BR312" s="933">
        <f>+BH315</f>
        <v>23163.797479430374</v>
      </c>
      <c r="BS312" s="933">
        <f>+BI315</f>
        <v>216195.44314135017</v>
      </c>
      <c r="BT312" s="712"/>
      <c r="BU312" s="712"/>
      <c r="BV312" s="712"/>
      <c r="BW312" s="712"/>
      <c r="BX312" s="712"/>
      <c r="BY312" s="712"/>
      <c r="BZ312" s="712"/>
      <c r="CA312" s="712"/>
      <c r="CB312" s="712"/>
      <c r="CC312" s="712"/>
      <c r="CD312" s="712"/>
      <c r="CE312" s="712"/>
      <c r="CF312" s="712"/>
      <c r="CG312" s="712"/>
      <c r="CH312" s="712"/>
      <c r="CI312" s="712"/>
      <c r="CJ312" s="712"/>
      <c r="CK312" s="712"/>
      <c r="CL312" s="712"/>
      <c r="CM312" s="712"/>
      <c r="CN312" s="712"/>
      <c r="CO312" s="712"/>
      <c r="CP312" s="712"/>
      <c r="CQ312" s="712"/>
      <c r="CR312" s="712"/>
      <c r="CS312" s="712"/>
      <c r="CV312" s="712"/>
      <c r="CW312" s="712"/>
      <c r="CX312" s="712"/>
      <c r="CY312" s="712"/>
      <c r="CZ312" s="712"/>
      <c r="DA312" s="712"/>
      <c r="DB312" s="712"/>
      <c r="DC312" s="712"/>
      <c r="DD312" s="712"/>
      <c r="DE312" s="712"/>
      <c r="DF312" s="712"/>
      <c r="DG312" s="712"/>
      <c r="DH312" s="712"/>
      <c r="DI312" s="712"/>
      <c r="DJ312" s="712"/>
      <c r="DK312" s="712"/>
      <c r="DL312" s="712"/>
      <c r="DM312" s="712"/>
      <c r="DN312" s="712"/>
      <c r="DO312" s="712"/>
      <c r="DP312" s="712"/>
      <c r="DQ312" s="712"/>
      <c r="DR312" s="712"/>
      <c r="DS312" s="712"/>
      <c r="DT312" s="712"/>
      <c r="DU312" s="712"/>
      <c r="DV312" s="712"/>
      <c r="DW312" s="712"/>
      <c r="DX312" s="712"/>
      <c r="DY312" s="712"/>
      <c r="DZ312" s="712"/>
      <c r="EA312" s="712"/>
      <c r="EB312" s="712"/>
      <c r="EC312" s="712"/>
      <c r="ED312" s="712"/>
      <c r="EE312" s="712"/>
      <c r="EF312" s="712"/>
      <c r="EG312" s="712"/>
      <c r="EH312" s="712"/>
      <c r="EI312" s="712"/>
      <c r="EJ312" s="712"/>
      <c r="EK312" s="712"/>
      <c r="EL312" s="712"/>
      <c r="EM312" s="712"/>
      <c r="EN312" s="712"/>
      <c r="EP312" s="947"/>
    </row>
    <row r="313" spans="56:146" ht="13.8" hidden="1">
      <c r="BD313" s="884"/>
      <c r="BE313" s="884"/>
      <c r="BF313" s="933"/>
      <c r="BG313" s="933"/>
      <c r="BH313" s="933"/>
      <c r="BI313" s="933"/>
      <c r="BJ313" s="707"/>
      <c r="BK313" s="707"/>
      <c r="BL313" s="941"/>
      <c r="BM313" s="712"/>
      <c r="BN313" s="884" t="s">
        <v>11</v>
      </c>
      <c r="BO313" s="884"/>
      <c r="BP313" s="883"/>
      <c r="BQ313" s="933">
        <f>-BS289</f>
        <v>0</v>
      </c>
      <c r="BR313" s="933">
        <f>+BQ313*0.12</f>
        <v>0</v>
      </c>
      <c r="BS313" s="933">
        <f>+BQ313+BR313</f>
        <v>0</v>
      </c>
      <c r="BT313" s="712"/>
      <c r="BU313" s="712"/>
      <c r="BV313" s="712"/>
      <c r="BW313" s="712"/>
      <c r="BX313" s="712"/>
      <c r="BY313" s="712"/>
      <c r="BZ313" s="712"/>
      <c r="CA313" s="712"/>
      <c r="CB313" s="712"/>
      <c r="CC313" s="712"/>
      <c r="CD313" s="712"/>
      <c r="CE313" s="712"/>
      <c r="CF313" s="712"/>
      <c r="CG313" s="712"/>
      <c r="CH313" s="712"/>
      <c r="CI313" s="712"/>
      <c r="CJ313" s="712"/>
      <c r="CK313" s="712"/>
      <c r="CL313" s="712"/>
      <c r="CM313" s="712"/>
      <c r="CN313" s="712"/>
      <c r="CO313" s="712"/>
      <c r="CP313" s="712"/>
      <c r="CQ313" s="712"/>
      <c r="CR313" s="712"/>
      <c r="CS313" s="712"/>
      <c r="CV313" s="712"/>
      <c r="CW313" s="712"/>
      <c r="CX313" s="712"/>
      <c r="CY313" s="712"/>
      <c r="CZ313" s="712"/>
      <c r="DA313" s="712"/>
      <c r="DB313" s="712"/>
      <c r="DC313" s="712"/>
      <c r="DD313" s="712"/>
      <c r="DE313" s="712"/>
      <c r="DF313" s="712"/>
      <c r="DG313" s="712"/>
      <c r="DH313" s="712"/>
      <c r="DI313" s="712"/>
      <c r="DJ313" s="712"/>
      <c r="DK313" s="712"/>
      <c r="DL313" s="712"/>
      <c r="DM313" s="712"/>
      <c r="DN313" s="712"/>
      <c r="DO313" s="712"/>
      <c r="DP313" s="712"/>
      <c r="DQ313" s="712"/>
      <c r="DR313" s="712"/>
      <c r="DS313" s="712"/>
      <c r="DT313" s="712"/>
      <c r="DU313" s="712"/>
      <c r="DV313" s="712"/>
      <c r="DW313" s="712"/>
      <c r="DX313" s="712"/>
      <c r="DY313" s="712"/>
      <c r="DZ313" s="712"/>
      <c r="EA313" s="712"/>
      <c r="EB313" s="712"/>
      <c r="EC313" s="712"/>
      <c r="ED313" s="712"/>
      <c r="EE313" s="712"/>
      <c r="EF313" s="712"/>
      <c r="EG313" s="712"/>
      <c r="EH313" s="712"/>
      <c r="EI313" s="712"/>
      <c r="EJ313" s="712"/>
      <c r="EK313" s="712"/>
      <c r="EL313" s="712"/>
      <c r="EM313" s="712"/>
      <c r="EN313" s="712"/>
      <c r="EP313" s="947"/>
    </row>
    <row r="314" spans="56:146" ht="13.8" hidden="1">
      <c r="BD314" s="884" t="s">
        <v>11</v>
      </c>
      <c r="BE314" s="884"/>
      <c r="BF314" s="933">
        <f>-BH290</f>
        <v>1898.4527813999996</v>
      </c>
      <c r="BG314" s="933">
        <f>-BI290</f>
        <v>22093.322781400002</v>
      </c>
      <c r="BH314" s="933">
        <f>+BG314*0.12</f>
        <v>2651.1987337680002</v>
      </c>
      <c r="BI314" s="933">
        <f>+BG314+BH314</f>
        <v>24744.521515168002</v>
      </c>
      <c r="BJ314" s="707"/>
      <c r="BK314" s="707"/>
      <c r="BL314" s="941"/>
      <c r="BM314" s="712"/>
      <c r="BN314" s="884"/>
      <c r="BO314" s="884"/>
      <c r="BP314" s="883"/>
      <c r="BQ314" s="933">
        <v>9796.06</v>
      </c>
      <c r="BR314" s="933">
        <f>+BQ314*0.12</f>
        <v>1175.5272</v>
      </c>
      <c r="BS314" s="933">
        <f>+BQ314+BR314</f>
        <v>10971.5872</v>
      </c>
      <c r="BT314" s="712"/>
      <c r="BU314" s="932"/>
      <c r="BV314" s="712"/>
      <c r="BW314" s="712"/>
      <c r="BX314" s="712"/>
      <c r="BY314" s="712"/>
      <c r="BZ314" s="712"/>
      <c r="CA314" s="712"/>
      <c r="CB314" s="712"/>
      <c r="CC314" s="712"/>
      <c r="CD314" s="712"/>
      <c r="CE314" s="712"/>
      <c r="CF314" s="712"/>
      <c r="CG314" s="712"/>
      <c r="CH314" s="712"/>
      <c r="CI314" s="712"/>
      <c r="CJ314" s="712"/>
      <c r="CK314" s="712"/>
      <c r="CL314" s="712"/>
      <c r="CM314" s="712"/>
      <c r="CN314" s="712"/>
      <c r="CO314" s="712"/>
      <c r="CP314" s="712"/>
      <c r="CQ314" s="712"/>
      <c r="CR314" s="712"/>
      <c r="CS314" s="712"/>
      <c r="CV314" s="712"/>
      <c r="CW314" s="712"/>
      <c r="CX314" s="712"/>
      <c r="CY314" s="712"/>
      <c r="CZ314" s="712"/>
      <c r="DA314" s="712"/>
      <c r="DB314" s="712"/>
      <c r="DC314" s="712"/>
      <c r="DD314" s="712"/>
      <c r="DE314" s="712"/>
      <c r="DF314" s="712"/>
      <c r="DG314" s="712"/>
      <c r="DH314" s="712"/>
      <c r="DI314" s="712"/>
      <c r="DJ314" s="712"/>
      <c r="DK314" s="712"/>
      <c r="DL314" s="712"/>
      <c r="DM314" s="712"/>
      <c r="DN314" s="712"/>
      <c r="DO314" s="712"/>
      <c r="DP314" s="712"/>
      <c r="DQ314" s="712"/>
      <c r="DR314" s="712"/>
      <c r="DS314" s="712"/>
      <c r="DT314" s="712"/>
      <c r="DU314" s="712"/>
      <c r="DV314" s="712"/>
      <c r="DW314" s="712"/>
      <c r="DX314" s="712"/>
      <c r="DY314" s="712"/>
      <c r="DZ314" s="712"/>
      <c r="EA314" s="712"/>
      <c r="EB314" s="712"/>
      <c r="EC314" s="712"/>
      <c r="ED314" s="712"/>
      <c r="EE314" s="712"/>
      <c r="EF314" s="712"/>
      <c r="EG314" s="712"/>
      <c r="EH314" s="712"/>
      <c r="EI314" s="712"/>
      <c r="EJ314" s="712"/>
      <c r="EK314" s="712"/>
      <c r="EL314" s="712"/>
      <c r="EM314" s="712"/>
      <c r="EN314" s="712"/>
      <c r="EP314" s="947"/>
    </row>
    <row r="315" spans="56:146" ht="13.8">
      <c r="BD315" s="884"/>
      <c r="BE315" s="884"/>
      <c r="BF315" s="933">
        <f>+BI148</f>
        <v>185607.3515979998</v>
      </c>
      <c r="BG315" s="933">
        <f>+BF315*4%</f>
        <v>7424.2940639199924</v>
      </c>
      <c r="BH315" s="933">
        <f>+(BG315+BF315)*0.12</f>
        <v>23163.797479430374</v>
      </c>
      <c r="BI315" s="933">
        <f>+BG315+BH315+BF315</f>
        <v>216195.44314135017</v>
      </c>
      <c r="BJ315" s="707"/>
      <c r="BK315" s="1162"/>
      <c r="BL315" s="942"/>
      <c r="BM315" s="712"/>
      <c r="BN315" s="884"/>
      <c r="BO315" s="884"/>
      <c r="BP315" s="883"/>
      <c r="BQ315" s="887"/>
      <c r="BR315" s="887"/>
      <c r="BS315" s="887"/>
      <c r="BT315" s="712"/>
      <c r="BU315" s="712"/>
      <c r="BV315" s="712"/>
      <c r="BW315" s="712"/>
      <c r="BX315" s="712"/>
      <c r="BY315" s="712"/>
      <c r="BZ315" s="712"/>
      <c r="CA315" s="712"/>
      <c r="CB315" s="712"/>
      <c r="CC315" s="712"/>
      <c r="CD315" s="712"/>
      <c r="CE315" s="712"/>
      <c r="CF315" s="712"/>
      <c r="CG315" s="712"/>
      <c r="CH315" s="712"/>
      <c r="CI315" s="712"/>
      <c r="CJ315" s="712"/>
      <c r="CK315" s="712"/>
      <c r="CL315" s="712"/>
      <c r="CM315" s="712"/>
      <c r="CN315" s="712"/>
      <c r="CO315" s="712"/>
      <c r="CP315" s="712"/>
      <c r="CQ315" s="712"/>
      <c r="CR315" s="712"/>
      <c r="CS315" s="712"/>
      <c r="CV315" s="712"/>
      <c r="CW315" s="712"/>
      <c r="CX315" s="712"/>
      <c r="CY315" s="712"/>
      <c r="CZ315" s="712"/>
      <c r="DA315" s="712"/>
      <c r="DB315" s="712"/>
      <c r="DC315" s="712"/>
      <c r="DD315" s="712"/>
      <c r="DE315" s="712"/>
      <c r="DF315" s="712"/>
      <c r="DG315" s="712"/>
      <c r="DH315" s="712"/>
      <c r="DI315" s="712"/>
      <c r="DJ315" s="712"/>
      <c r="DK315" s="712"/>
      <c r="DL315" s="712"/>
      <c r="DM315" s="712"/>
      <c r="DN315" s="712"/>
      <c r="DO315" s="712"/>
      <c r="DP315" s="712"/>
      <c r="DQ315" s="712"/>
      <c r="DR315" s="712"/>
      <c r="DS315" s="712"/>
      <c r="DT315" s="712"/>
      <c r="DU315" s="712"/>
      <c r="DV315" s="712"/>
      <c r="DW315" s="712"/>
      <c r="DX315" s="712"/>
      <c r="DY315" s="712"/>
      <c r="DZ315" s="712"/>
      <c r="EA315" s="712"/>
      <c r="EB315" s="712"/>
      <c r="EC315" s="712"/>
      <c r="ED315" s="712"/>
      <c r="EE315" s="712"/>
      <c r="EF315" s="712"/>
      <c r="EG315" s="712"/>
      <c r="EH315" s="712"/>
      <c r="EI315" s="712"/>
      <c r="EJ315" s="712"/>
      <c r="EK315" s="712"/>
      <c r="EL315" s="712"/>
      <c r="EM315" s="712"/>
      <c r="EN315" s="712"/>
      <c r="EP315" s="947"/>
    </row>
    <row r="316" spans="56:146" ht="13.8">
      <c r="BD316" s="884"/>
      <c r="BE316" s="884"/>
      <c r="BF316" s="883"/>
      <c r="BG316" s="887"/>
      <c r="BH316" s="887"/>
      <c r="BI316" s="887"/>
      <c r="BJ316" s="707"/>
      <c r="BK316" s="707"/>
      <c r="BL316" s="941"/>
      <c r="BM316" s="712"/>
      <c r="BN316" s="928" t="str">
        <f>+BD317</f>
        <v>FACTURAR CON FECHA MAYO SERVICIOS DE RRHH DE  MAYO  2026 DE ECONACIONAL  A CLEARTEC</v>
      </c>
      <c r="BR316" s="887"/>
      <c r="BS316" s="887"/>
      <c r="BV316" s="712"/>
      <c r="BW316" s="712"/>
      <c r="BX316" s="712"/>
      <c r="BY316" s="712"/>
      <c r="BZ316" s="712"/>
      <c r="CA316" s="712"/>
      <c r="CB316" s="712"/>
      <c r="CC316" s="712"/>
      <c r="CD316" s="712"/>
      <c r="CE316" s="712"/>
      <c r="CF316" s="712"/>
      <c r="CG316" s="712"/>
      <c r="CH316" s="712"/>
      <c r="CI316" s="712"/>
      <c r="CJ316" s="712"/>
      <c r="CK316" s="712"/>
      <c r="CL316" s="712"/>
      <c r="CM316" s="712"/>
      <c r="CN316" s="712"/>
      <c r="CO316" s="712"/>
      <c r="CP316" s="712"/>
      <c r="CQ316" s="712"/>
      <c r="CR316" s="712"/>
      <c r="CS316" s="712"/>
      <c r="CV316" s="712"/>
      <c r="CW316" s="712"/>
      <c r="CX316" s="712"/>
      <c r="CY316" s="712"/>
      <c r="CZ316" s="712"/>
      <c r="DA316" s="712"/>
      <c r="DB316" s="712"/>
      <c r="DC316" s="712"/>
      <c r="DD316" s="712"/>
      <c r="DE316" s="712"/>
      <c r="DF316" s="712"/>
      <c r="DG316" s="712"/>
      <c r="DH316" s="712"/>
      <c r="DI316" s="712"/>
      <c r="DJ316" s="712"/>
      <c r="DK316" s="712"/>
      <c r="DL316" s="712"/>
      <c r="DM316" s="712"/>
      <c r="DN316" s="712"/>
      <c r="DO316" s="712"/>
      <c r="DP316" s="712"/>
      <c r="DQ316" s="712"/>
      <c r="DR316" s="712"/>
      <c r="DS316" s="712"/>
      <c r="DT316" s="712"/>
      <c r="DU316" s="712"/>
      <c r="DV316" s="712"/>
      <c r="DW316" s="712"/>
      <c r="DX316" s="712"/>
      <c r="DY316" s="712"/>
      <c r="DZ316" s="712"/>
      <c r="EA316" s="712"/>
      <c r="EB316" s="712"/>
      <c r="EC316" s="712"/>
      <c r="ED316" s="712"/>
      <c r="EE316" s="712"/>
      <c r="EF316" s="712"/>
      <c r="EG316" s="712"/>
      <c r="EH316" s="712"/>
      <c r="EI316" s="712"/>
      <c r="EJ316" s="712"/>
      <c r="EK316" s="712"/>
      <c r="EL316" s="712"/>
      <c r="EM316" s="712"/>
      <c r="EN316" s="712"/>
      <c r="EP316" s="947"/>
    </row>
    <row r="317" spans="56:146" ht="13.8">
      <c r="BD317" s="928" t="s">
        <v>782</v>
      </c>
      <c r="BE317" s="1163"/>
      <c r="BF317" s="1163"/>
      <c r="BG317" s="1163"/>
      <c r="BH317" s="887"/>
      <c r="BI317" s="887"/>
      <c r="BJ317" s="1163"/>
      <c r="BK317" s="1163"/>
      <c r="BL317" s="943">
        <f>+BG320+BG338</f>
        <v>8323.7188000000006</v>
      </c>
      <c r="BN317" s="720" t="s">
        <v>332</v>
      </c>
    </row>
    <row r="318" spans="56:146" ht="13.8">
      <c r="BD318" s="1163" t="s">
        <v>332</v>
      </c>
      <c r="BE318" s="1163"/>
      <c r="BF318" s="1163"/>
      <c r="BG318" s="1163"/>
      <c r="BH318" s="1163"/>
      <c r="BI318" s="1163"/>
      <c r="BJ318" s="1163"/>
      <c r="BK318" s="1163"/>
      <c r="BL318" s="943"/>
      <c r="BO318" s="712"/>
    </row>
    <row r="319" spans="56:146" ht="13.8">
      <c r="BD319" s="1163"/>
      <c r="BE319" s="707"/>
      <c r="BF319" s="931" t="s">
        <v>169</v>
      </c>
      <c r="BG319" s="931" t="s">
        <v>718</v>
      </c>
      <c r="BH319" s="931" t="s">
        <v>170</v>
      </c>
      <c r="BI319" s="931" t="s">
        <v>171</v>
      </c>
      <c r="BJ319" s="1163"/>
      <c r="BK319" s="1163"/>
      <c r="BL319" s="943"/>
    </row>
    <row r="320" spans="56:146" ht="13.8">
      <c r="BD320" s="1163"/>
      <c r="BE320" s="1163"/>
      <c r="BF320" s="934">
        <v>11046.66</v>
      </c>
      <c r="BG320" s="934">
        <f>+BF320*4%</f>
        <v>441.8664</v>
      </c>
      <c r="BH320" s="933">
        <v>0</v>
      </c>
      <c r="BI320" s="933">
        <f>+BG320+BH320+BF320</f>
        <v>11488.526400000001</v>
      </c>
      <c r="BJ320" s="1163"/>
      <c r="BK320" s="1163"/>
      <c r="BL320" s="943">
        <f>+BG315+BG320</f>
        <v>7866.1604639199923</v>
      </c>
      <c r="BQ320" s="931" t="s">
        <v>169</v>
      </c>
      <c r="BR320" s="931" t="s">
        <v>170</v>
      </c>
      <c r="BS320" s="931" t="s">
        <v>171</v>
      </c>
    </row>
    <row r="321" spans="56:71" ht="13.8">
      <c r="BD321" s="1163"/>
      <c r="BE321" s="1163"/>
      <c r="BJ321" s="1163"/>
      <c r="BK321" s="1163"/>
      <c r="BL321" s="943"/>
      <c r="BQ321" s="934" t="e">
        <f>+#REF!+CT129+CT116+CT105+CT56+#REF!+CT34+CT28+CT29+CT22+CT23+CT16</f>
        <v>#REF!</v>
      </c>
      <c r="BR321" s="933">
        <v>0</v>
      </c>
      <c r="BS321" s="933" t="e">
        <f>+BQ321+BR321</f>
        <v>#REF!</v>
      </c>
    </row>
    <row r="322" spans="56:71" ht="13.8">
      <c r="BD322" s="1163"/>
      <c r="BE322" s="1163"/>
      <c r="BJ322" s="1163"/>
      <c r="BK322" s="1163"/>
      <c r="BL322" s="943"/>
      <c r="BQ322" s="935"/>
      <c r="BR322" s="887"/>
      <c r="BS322" s="887"/>
    </row>
    <row r="323" spans="56:71" ht="11.4">
      <c r="BD323" s="1163"/>
      <c r="BE323" s="1163"/>
      <c r="BF323" s="1163"/>
      <c r="BG323" s="935"/>
      <c r="BH323" s="887"/>
      <c r="BI323" s="887"/>
      <c r="BJ323" s="1163"/>
      <c r="BK323" s="1163"/>
      <c r="BN323" s="928" t="s">
        <v>681</v>
      </c>
      <c r="BQ323" s="887"/>
      <c r="BR323" s="887"/>
      <c r="BS323" s="887"/>
    </row>
    <row r="324" spans="56:71" ht="11.4">
      <c r="BD324" s="928" t="s">
        <v>783</v>
      </c>
      <c r="BE324" s="1163"/>
      <c r="BF324" s="1163"/>
      <c r="BG324" s="1163"/>
      <c r="BH324" s="887"/>
      <c r="BI324" s="887"/>
      <c r="BJ324" s="1163"/>
      <c r="BK324" s="1163"/>
      <c r="BN324" s="928"/>
      <c r="BQ324" s="887"/>
      <c r="BR324" s="887"/>
      <c r="BS324" s="887"/>
    </row>
    <row r="325" spans="56:71" ht="11.4">
      <c r="BD325" s="1163"/>
      <c r="BE325" s="1163"/>
      <c r="BF325" s="1163"/>
      <c r="BG325" s="935"/>
      <c r="BH325" s="887"/>
      <c r="BI325" s="887"/>
      <c r="BJ325" s="1163"/>
      <c r="BK325" s="1163"/>
      <c r="BN325" s="928"/>
      <c r="BQ325" s="887"/>
      <c r="BR325" s="887"/>
      <c r="BS325" s="887"/>
    </row>
    <row r="326" spans="56:71" ht="11.4">
      <c r="BD326" s="1163"/>
      <c r="BE326" s="1163"/>
      <c r="BF326" s="1163"/>
      <c r="BG326" s="935"/>
      <c r="BH326" s="887"/>
      <c r="BI326" s="887"/>
      <c r="BJ326" s="1163"/>
      <c r="BK326" s="1163"/>
      <c r="BN326" s="928"/>
      <c r="BQ326" s="887"/>
      <c r="BR326" s="887"/>
      <c r="BS326" s="887"/>
    </row>
    <row r="327" spans="56:71" ht="11.4">
      <c r="BD327" s="1163"/>
      <c r="BE327" s="1163"/>
      <c r="BF327" s="931" t="s">
        <v>169</v>
      </c>
      <c r="BG327" s="931" t="s">
        <v>718</v>
      </c>
      <c r="BH327" s="931" t="s">
        <v>170</v>
      </c>
      <c r="BI327" s="931" t="s">
        <v>171</v>
      </c>
      <c r="BJ327" s="1163"/>
      <c r="BK327" s="1163"/>
      <c r="BN327" s="928"/>
      <c r="BQ327" s="887"/>
      <c r="BR327" s="887"/>
      <c r="BS327" s="887"/>
    </row>
    <row r="328" spans="56:71" ht="11.4">
      <c r="BD328" s="1163"/>
      <c r="BE328" s="1163"/>
      <c r="BF328" s="934">
        <f>+BF320</f>
        <v>11046.66</v>
      </c>
      <c r="BG328" s="934">
        <f>+BF328*4%</f>
        <v>441.8664</v>
      </c>
      <c r="BH328" s="933">
        <v>0</v>
      </c>
      <c r="BI328" s="933">
        <f>+BG328+BH328+BF328</f>
        <v>11488.526400000001</v>
      </c>
      <c r="BJ328" s="1163"/>
      <c r="BK328" s="1163"/>
      <c r="BN328" s="928"/>
      <c r="BQ328" s="887"/>
      <c r="BR328" s="887"/>
      <c r="BS328" s="887"/>
    </row>
    <row r="329" spans="56:71" ht="11.4">
      <c r="BD329" s="1163"/>
      <c r="BE329" s="1163"/>
      <c r="BF329" s="1163"/>
      <c r="BG329" s="935"/>
      <c r="BH329" s="887"/>
      <c r="BI329" s="887"/>
      <c r="BJ329" s="1163"/>
      <c r="BK329" s="1163"/>
      <c r="BN329" s="928"/>
      <c r="BQ329" s="887"/>
      <c r="BR329" s="887"/>
      <c r="BS329" s="887"/>
    </row>
    <row r="330" spans="56:71" ht="11.4">
      <c r="BD330" s="1163"/>
      <c r="BE330" s="1163"/>
      <c r="BF330" s="1163"/>
      <c r="BG330" s="935"/>
      <c r="BH330" s="887"/>
      <c r="BI330" s="887"/>
      <c r="BJ330" s="1163"/>
      <c r="BK330" s="1163"/>
      <c r="BN330" s="928"/>
      <c r="BQ330" s="887"/>
      <c r="BR330" s="887"/>
      <c r="BS330" s="887"/>
    </row>
    <row r="331" spans="56:71" ht="11.4">
      <c r="BD331" s="1163"/>
      <c r="BE331" s="1163"/>
      <c r="BF331" s="1163"/>
      <c r="BG331" s="935"/>
      <c r="BH331" s="887"/>
      <c r="BI331" s="887"/>
      <c r="BJ331" s="1163"/>
      <c r="BK331" s="1163"/>
      <c r="BN331" s="928"/>
      <c r="BQ331" s="887"/>
      <c r="BR331" s="887"/>
      <c r="BS331" s="887"/>
    </row>
    <row r="332" spans="56:71" ht="11.4">
      <c r="BD332" s="1163"/>
      <c r="BE332" s="1163"/>
      <c r="BF332" s="1163"/>
      <c r="BG332" s="935"/>
      <c r="BH332" s="887"/>
      <c r="BI332" s="887"/>
      <c r="BJ332" s="1163"/>
      <c r="BK332" s="1163"/>
      <c r="BN332" s="928"/>
      <c r="BQ332" s="887"/>
      <c r="BR332" s="887"/>
      <c r="BS332" s="887"/>
    </row>
    <row r="333" spans="56:71" ht="11.4">
      <c r="BD333" s="1163"/>
      <c r="BE333" s="1163"/>
      <c r="BF333" s="1163"/>
      <c r="BG333" s="935"/>
      <c r="BH333" s="887"/>
      <c r="BI333" s="887"/>
      <c r="BJ333" s="1163"/>
      <c r="BK333" s="1163"/>
      <c r="BN333" s="928"/>
      <c r="BQ333" s="887"/>
      <c r="BR333" s="887"/>
      <c r="BS333" s="887"/>
    </row>
    <row r="334" spans="56:71" ht="11.4">
      <c r="BD334" s="928" t="s">
        <v>784</v>
      </c>
      <c r="BE334" s="1163"/>
      <c r="BF334" s="1163"/>
      <c r="BG334" s="887"/>
      <c r="BH334" s="887"/>
      <c r="BI334" s="887"/>
      <c r="BJ334" s="1163"/>
      <c r="BK334" s="1163"/>
      <c r="BL334" s="720">
        <f>+BL317-BI290</f>
        <v>30417.041581400001</v>
      </c>
    </row>
    <row r="335" spans="56:71">
      <c r="BD335" s="1163"/>
      <c r="BE335" s="1163"/>
      <c r="BF335" s="1163"/>
      <c r="BG335" s="1163"/>
      <c r="BH335" s="1163"/>
      <c r="BI335" s="1163"/>
      <c r="BJ335" s="1163"/>
      <c r="BK335" s="1163"/>
    </row>
    <row r="336" spans="56:71">
      <c r="BD336" s="1163"/>
      <c r="BE336" s="1163"/>
      <c r="BF336" s="1163"/>
      <c r="BG336" s="1163"/>
      <c r="BH336" s="1163"/>
      <c r="BI336" s="1163"/>
      <c r="BJ336" s="1163"/>
      <c r="BK336" s="1163"/>
      <c r="BQ336" s="936" t="s">
        <v>169</v>
      </c>
      <c r="BR336" s="936" t="s">
        <v>170</v>
      </c>
      <c r="BS336" s="936" t="s">
        <v>171</v>
      </c>
    </row>
    <row r="337" spans="56:71" ht="11.4">
      <c r="BD337" s="1163"/>
      <c r="BE337" s="1163"/>
      <c r="BF337" s="1164" t="s">
        <v>169</v>
      </c>
      <c r="BG337" s="1164" t="s">
        <v>169</v>
      </c>
      <c r="BH337" s="1164" t="s">
        <v>170</v>
      </c>
      <c r="BI337" s="1164" t="s">
        <v>171</v>
      </c>
      <c r="BJ337" s="1163"/>
      <c r="BK337" s="1163"/>
      <c r="BQ337" s="933">
        <f>+BG338</f>
        <v>7881.8523999999998</v>
      </c>
      <c r="BR337" s="933">
        <f>+BQ337*0.12</f>
        <v>945.82228799999996</v>
      </c>
      <c r="BS337" s="933">
        <f>+BQ337+BR337</f>
        <v>8827.6746879999992</v>
      </c>
    </row>
    <row r="338" spans="56:71" ht="11.4">
      <c r="BD338" s="1163"/>
      <c r="BE338" s="1163"/>
      <c r="BF338" s="933">
        <v>197046.31</v>
      </c>
      <c r="BG338" s="933">
        <f>+BF338*4%</f>
        <v>7881.8523999999998</v>
      </c>
      <c r="BH338" s="933">
        <f>+(BG338+BF338)*0.12</f>
        <v>24591.379487999999</v>
      </c>
      <c r="BI338" s="933">
        <f>+BG338+BH338+BF338</f>
        <v>229519.54188800001</v>
      </c>
      <c r="BJ338" s="1163"/>
      <c r="BK338" s="1163"/>
      <c r="BQ338" s="887"/>
    </row>
    <row r="339" spans="56:71" ht="11.4">
      <c r="BD339" s="1163"/>
      <c r="BE339" s="1163"/>
      <c r="BF339" s="1163"/>
      <c r="BG339" s="887"/>
      <c r="BH339" s="1163"/>
      <c r="BI339" s="1163"/>
      <c r="BJ339" s="1163"/>
      <c r="BK339" s="1163"/>
    </row>
    <row r="340" spans="56:71">
      <c r="BD340" s="1163"/>
      <c r="BE340" s="1163"/>
      <c r="BF340" s="1163"/>
      <c r="BG340" s="1163"/>
      <c r="BH340" s="1163"/>
      <c r="BI340" s="1163"/>
      <c r="BJ340" s="1163"/>
      <c r="BK340" s="1163"/>
    </row>
  </sheetData>
  <sheetProtection selectLockedCells="1" selectUnlockedCells="1"/>
  <autoFilter ref="F7:JF152" xr:uid="{00000000-0009-0000-0000-000000000000}"/>
  <mergeCells count="45">
    <mergeCell ref="G3:H3"/>
    <mergeCell ref="CK189:CS189"/>
    <mergeCell ref="CK237:CS237"/>
    <mergeCell ref="BA284:BI284"/>
    <mergeCell ref="BS189:CA189"/>
    <mergeCell ref="BS237:CA237"/>
    <mergeCell ref="CB189:CJ189"/>
    <mergeCell ref="CB237:CJ237"/>
    <mergeCell ref="BA189:BI189"/>
    <mergeCell ref="BA237:BI237"/>
    <mergeCell ref="BJ189:BR189"/>
    <mergeCell ref="BJ237:BR237"/>
    <mergeCell ref="AX6:AX7"/>
    <mergeCell ref="AO5:AS5"/>
    <mergeCell ref="FK5:FP5"/>
    <mergeCell ref="AO6:AO7"/>
    <mergeCell ref="AP6:AP7"/>
    <mergeCell ref="AQ6:AQ7"/>
    <mergeCell ref="AR6:AR7"/>
    <mergeCell ref="AS6:AS7"/>
    <mergeCell ref="AT6:AT7"/>
    <mergeCell ref="AU6:AU7"/>
    <mergeCell ref="AV6:AV7"/>
    <mergeCell ref="AW6:AW7"/>
    <mergeCell ref="DE5:DM5"/>
    <mergeCell ref="DN5:DV5"/>
    <mergeCell ref="DW5:EE5"/>
    <mergeCell ref="EF5:EN5"/>
    <mergeCell ref="EP6:EX6"/>
    <mergeCell ref="FA6:FJ6"/>
    <mergeCell ref="CV5:DD5"/>
    <mergeCell ref="I6:S6"/>
    <mergeCell ref="BA4:CS4"/>
    <mergeCell ref="CV4:EN4"/>
    <mergeCell ref="U5:X5"/>
    <mergeCell ref="Y5:AB5"/>
    <mergeCell ref="AC5:AF5"/>
    <mergeCell ref="AG5:AJ5"/>
    <mergeCell ref="AK5:AN5"/>
    <mergeCell ref="AT5:AX5"/>
    <mergeCell ref="BA5:BI5"/>
    <mergeCell ref="BJ5:BR5"/>
    <mergeCell ref="BS5:CA5"/>
    <mergeCell ref="CB5:CJ5"/>
    <mergeCell ref="CK5:CS5"/>
  </mergeCells>
  <conditionalFormatting sqref="F25">
    <cfRule type="duplicateValues" dxfId="713" priority="368"/>
  </conditionalFormatting>
  <conditionalFormatting sqref="F35:F37">
    <cfRule type="duplicateValues" dxfId="712" priority="16710"/>
  </conditionalFormatting>
  <conditionalFormatting sqref="F41:F42">
    <cfRule type="duplicateValues" dxfId="711" priority="365"/>
  </conditionalFormatting>
  <conditionalFormatting sqref="F44:F47">
    <cfRule type="duplicateValues" dxfId="710" priority="16946"/>
  </conditionalFormatting>
  <conditionalFormatting sqref="F50">
    <cfRule type="duplicateValues" dxfId="709" priority="364"/>
  </conditionalFormatting>
  <conditionalFormatting sqref="F53">
    <cfRule type="duplicateValues" dxfId="708" priority="363"/>
  </conditionalFormatting>
  <conditionalFormatting sqref="F56">
    <cfRule type="duplicateValues" dxfId="707" priority="53"/>
  </conditionalFormatting>
  <conditionalFormatting sqref="F68:F69">
    <cfRule type="duplicateValues" dxfId="706" priority="328"/>
    <cfRule type="duplicateValues" dxfId="705" priority="329"/>
  </conditionalFormatting>
  <conditionalFormatting sqref="F72">
    <cfRule type="duplicateValues" dxfId="704" priority="63"/>
  </conditionalFormatting>
  <conditionalFormatting sqref="F75">
    <cfRule type="duplicateValues" dxfId="703" priority="81"/>
  </conditionalFormatting>
  <conditionalFormatting sqref="F82">
    <cfRule type="duplicateValues" dxfId="702" priority="218"/>
  </conditionalFormatting>
  <conditionalFormatting sqref="F83">
    <cfRule type="duplicateValues" dxfId="701" priority="55"/>
  </conditionalFormatting>
  <conditionalFormatting sqref="F86:F90">
    <cfRule type="duplicateValues" dxfId="700" priority="16679"/>
  </conditionalFormatting>
  <conditionalFormatting sqref="F93:F96">
    <cfRule type="duplicateValues" dxfId="699" priority="16840"/>
    <cfRule type="duplicateValues" dxfId="698" priority="16839"/>
  </conditionalFormatting>
  <conditionalFormatting sqref="F104">
    <cfRule type="duplicateValues" dxfId="697" priority="15342"/>
    <cfRule type="duplicateValues" dxfId="696" priority="15341"/>
  </conditionalFormatting>
  <conditionalFormatting sqref="F106:F107">
    <cfRule type="duplicateValues" dxfId="695" priority="65"/>
  </conditionalFormatting>
  <conditionalFormatting sqref="F109:F110">
    <cfRule type="duplicateValues" dxfId="694" priority="15467"/>
  </conditionalFormatting>
  <conditionalFormatting sqref="F112:F113">
    <cfRule type="duplicateValues" dxfId="693" priority="139"/>
  </conditionalFormatting>
  <conditionalFormatting sqref="F114 F111 F71 F73:F74 F76:F81 F84:F85 F91:F92 F97:F103 F105 F108">
    <cfRule type="duplicateValues" dxfId="692" priority="15492"/>
    <cfRule type="duplicateValues" dxfId="691" priority="15491"/>
  </conditionalFormatting>
  <conditionalFormatting sqref="F117:F118 F120:F122 F124:F125">
    <cfRule type="duplicateValues" dxfId="690" priority="16549"/>
  </conditionalFormatting>
  <conditionalFormatting sqref="F123">
    <cfRule type="duplicateValues" dxfId="689" priority="4"/>
    <cfRule type="duplicateValues" dxfId="688" priority="5"/>
  </conditionalFormatting>
  <conditionalFormatting sqref="F126:F130 F115:F116 F26:F34 F38:F40 F51:F52 F54:F55 F70 F57:F67 F43:F49 F135:F1048576 F1:F24">
    <cfRule type="duplicateValues" dxfId="687" priority="15287"/>
  </conditionalFormatting>
  <conditionalFormatting sqref="F131:F134">
    <cfRule type="duplicateValues" dxfId="686" priority="15515"/>
    <cfRule type="duplicateValues" dxfId="685" priority="15514"/>
  </conditionalFormatting>
  <conditionalFormatting sqref="F142:F144 G134 F129:G129 G117 G44:G47 F26:G34 G34:G37 F38:G40 F43:G43 G41:G42 F48:G49 F51:G52 F54:G55 G68:G69 F115:G115 F116 G121:G122 F126:G127 F128 F130 F70:G70 G131:G132 F57:G67 G119 F145:G1048576 G124 F135:G141 F1:G24">
    <cfRule type="duplicateValues" dxfId="684" priority="15300"/>
  </conditionalFormatting>
  <conditionalFormatting sqref="F25:G25">
    <cfRule type="duplicateValues" dxfId="683" priority="372"/>
  </conditionalFormatting>
  <conditionalFormatting sqref="F82:G82">
    <cfRule type="duplicateValues" dxfId="682" priority="217"/>
  </conditionalFormatting>
  <conditionalFormatting sqref="F83:G83">
    <cfRule type="duplicateValues" dxfId="681" priority="57"/>
  </conditionalFormatting>
  <conditionalFormatting sqref="F86:G87 G89 F88:F90">
    <cfRule type="duplicateValues" dxfId="680" priority="16709"/>
  </conditionalFormatting>
  <conditionalFormatting sqref="F104:G104">
    <cfRule type="duplicateValues" dxfId="679" priority="15363"/>
  </conditionalFormatting>
  <conditionalFormatting sqref="F106:G107">
    <cfRule type="duplicateValues" dxfId="678" priority="67"/>
  </conditionalFormatting>
  <conditionalFormatting sqref="F109:G110">
    <cfRule type="duplicateValues" dxfId="677" priority="15488"/>
  </conditionalFormatting>
  <conditionalFormatting sqref="F112:G113">
    <cfRule type="duplicateValues" dxfId="676" priority="141"/>
  </conditionalFormatting>
  <conditionalFormatting sqref="G25">
    <cfRule type="duplicateValues" dxfId="675" priority="371"/>
    <cfRule type="duplicateValues" dxfId="674" priority="370"/>
    <cfRule type="duplicateValues" dxfId="673" priority="369"/>
    <cfRule type="duplicateValues" dxfId="672" priority="367"/>
  </conditionalFormatting>
  <conditionalFormatting sqref="G50">
    <cfRule type="duplicateValues" dxfId="671" priority="10"/>
    <cfRule type="duplicateValues" dxfId="670" priority="9"/>
    <cfRule type="duplicateValues" dxfId="669" priority="11"/>
  </conditionalFormatting>
  <conditionalFormatting sqref="G53">
    <cfRule type="duplicateValues" dxfId="668" priority="362"/>
  </conditionalFormatting>
  <conditionalFormatting sqref="G56">
    <cfRule type="duplicateValues" dxfId="667" priority="52"/>
  </conditionalFormatting>
  <conditionalFormatting sqref="G71">
    <cfRule type="duplicateValues" dxfId="666" priority="286"/>
    <cfRule type="duplicateValues" dxfId="665" priority="289"/>
    <cfRule type="duplicateValues" dxfId="664" priority="288"/>
    <cfRule type="duplicateValues" dxfId="663" priority="287"/>
  </conditionalFormatting>
  <conditionalFormatting sqref="G72">
    <cfRule type="duplicateValues" dxfId="662" priority="58"/>
    <cfRule type="duplicateValues" dxfId="661" priority="59"/>
    <cfRule type="duplicateValues" dxfId="660" priority="60"/>
    <cfRule type="duplicateValues" dxfId="659" priority="61"/>
    <cfRule type="duplicateValues" dxfId="658" priority="62"/>
  </conditionalFormatting>
  <conditionalFormatting sqref="G74">
    <cfRule type="duplicateValues" dxfId="657" priority="260"/>
    <cfRule type="duplicateValues" dxfId="656" priority="259"/>
    <cfRule type="duplicateValues" dxfId="655" priority="258"/>
    <cfRule type="duplicateValues" dxfId="654" priority="257"/>
  </conditionalFormatting>
  <conditionalFormatting sqref="G75">
    <cfRule type="duplicateValues" dxfId="653" priority="76"/>
    <cfRule type="duplicateValues" dxfId="652" priority="78"/>
    <cfRule type="duplicateValues" dxfId="651" priority="77"/>
    <cfRule type="duplicateValues" dxfId="650" priority="80"/>
    <cfRule type="duplicateValues" dxfId="649" priority="79"/>
  </conditionalFormatting>
  <conditionalFormatting sqref="G77">
    <cfRule type="duplicateValues" dxfId="648" priority="229"/>
    <cfRule type="duplicateValues" dxfId="647" priority="230"/>
    <cfRule type="duplicateValues" dxfId="646" priority="228"/>
    <cfRule type="duplicateValues" dxfId="645" priority="227"/>
  </conditionalFormatting>
  <conditionalFormatting sqref="G78:G79">
    <cfRule type="duplicateValues" dxfId="644" priority="224"/>
    <cfRule type="duplicateValues" dxfId="643" priority="225"/>
    <cfRule type="duplicateValues" dxfId="642" priority="226"/>
    <cfRule type="duplicateValues" dxfId="641" priority="223"/>
  </conditionalFormatting>
  <conditionalFormatting sqref="G80">
    <cfRule type="duplicateValues" dxfId="640" priority="220"/>
    <cfRule type="duplicateValues" dxfId="639" priority="219"/>
    <cfRule type="duplicateValues" dxfId="638" priority="221"/>
    <cfRule type="duplicateValues" dxfId="637" priority="222"/>
  </conditionalFormatting>
  <conditionalFormatting sqref="G81">
    <cfRule type="duplicateValues" dxfId="636" priority="89"/>
    <cfRule type="duplicateValues" dxfId="635" priority="88"/>
    <cfRule type="duplicateValues" dxfId="634" priority="87"/>
  </conditionalFormatting>
  <conditionalFormatting sqref="G82">
    <cfRule type="duplicateValues" dxfId="633" priority="216"/>
    <cfRule type="duplicateValues" dxfId="632" priority="215"/>
    <cfRule type="duplicateValues" dxfId="631" priority="214"/>
  </conditionalFormatting>
  <conditionalFormatting sqref="G83">
    <cfRule type="duplicateValues" dxfId="630" priority="56"/>
    <cfRule type="duplicateValues" dxfId="629" priority="54"/>
  </conditionalFormatting>
  <conditionalFormatting sqref="G85">
    <cfRule type="duplicateValues" dxfId="628" priority="208"/>
    <cfRule type="duplicateValues" dxfId="627" priority="207"/>
    <cfRule type="duplicateValues" dxfId="626" priority="205"/>
    <cfRule type="duplicateValues" dxfId="625" priority="206"/>
  </conditionalFormatting>
  <conditionalFormatting sqref="G86:G87 G89">
    <cfRule type="duplicateValues" dxfId="624" priority="14693"/>
    <cfRule type="duplicateValues" dxfId="623" priority="14692"/>
    <cfRule type="duplicateValues" dxfId="622" priority="14691"/>
  </conditionalFormatting>
  <conditionalFormatting sqref="G88">
    <cfRule type="duplicateValues" dxfId="621" priority="8"/>
    <cfRule type="duplicateValues" dxfId="620" priority="7"/>
    <cfRule type="duplicateValues" dxfId="619" priority="6"/>
  </conditionalFormatting>
  <conditionalFormatting sqref="G90">
    <cfRule type="duplicateValues" dxfId="618" priority="16012"/>
    <cfRule type="duplicateValues" dxfId="617" priority="16013"/>
    <cfRule type="duplicateValues" dxfId="616" priority="16014"/>
  </conditionalFormatting>
  <conditionalFormatting sqref="G92">
    <cfRule type="duplicateValues" dxfId="615" priority="193"/>
    <cfRule type="duplicateValues" dxfId="614" priority="192"/>
    <cfRule type="duplicateValues" dxfId="613" priority="191"/>
    <cfRule type="duplicateValues" dxfId="612" priority="194"/>
  </conditionalFormatting>
  <conditionalFormatting sqref="G93:G96">
    <cfRule type="duplicateValues" dxfId="611" priority="16900"/>
    <cfRule type="duplicateValues" dxfId="610" priority="16901"/>
    <cfRule type="duplicateValues" dxfId="609" priority="16902"/>
  </conditionalFormatting>
  <conditionalFormatting sqref="G98">
    <cfRule type="duplicateValues" dxfId="608" priority="180"/>
    <cfRule type="duplicateValues" dxfId="607" priority="179"/>
    <cfRule type="duplicateValues" dxfId="606" priority="178"/>
    <cfRule type="duplicateValues" dxfId="605" priority="177"/>
  </conditionalFormatting>
  <conditionalFormatting sqref="G99">
    <cfRule type="duplicateValues" dxfId="604" priority="176"/>
    <cfRule type="duplicateValues" dxfId="603" priority="175"/>
    <cfRule type="duplicateValues" dxfId="602" priority="174"/>
    <cfRule type="duplicateValues" dxfId="601" priority="173"/>
  </conditionalFormatting>
  <conditionalFormatting sqref="G100">
    <cfRule type="duplicateValues" dxfId="600" priority="167"/>
    <cfRule type="duplicateValues" dxfId="599" priority="168"/>
    <cfRule type="duplicateValues" dxfId="598" priority="165"/>
    <cfRule type="duplicateValues" dxfId="597" priority="166"/>
  </conditionalFormatting>
  <conditionalFormatting sqref="G102">
    <cfRule type="duplicateValues" dxfId="596" priority="157"/>
    <cfRule type="duplicateValues" dxfId="595" priority="158"/>
    <cfRule type="duplicateValues" dxfId="594" priority="159"/>
    <cfRule type="duplicateValues" dxfId="593" priority="160"/>
  </conditionalFormatting>
  <conditionalFormatting sqref="G103">
    <cfRule type="duplicateValues" dxfId="592" priority="133"/>
    <cfRule type="duplicateValues" dxfId="591" priority="134"/>
    <cfRule type="duplicateValues" dxfId="590" priority="135"/>
    <cfRule type="duplicateValues" dxfId="589" priority="136"/>
  </conditionalFormatting>
  <conditionalFormatting sqref="G104">
    <cfRule type="duplicateValues" dxfId="588" priority="15365"/>
    <cfRule type="duplicateValues" dxfId="587" priority="15364"/>
  </conditionalFormatting>
  <conditionalFormatting sqref="G105">
    <cfRule type="duplicateValues" dxfId="586" priority="129"/>
    <cfRule type="duplicateValues" dxfId="585" priority="131"/>
    <cfRule type="duplicateValues" dxfId="584" priority="132"/>
    <cfRule type="duplicateValues" dxfId="583" priority="130"/>
  </conditionalFormatting>
  <conditionalFormatting sqref="G106:G107">
    <cfRule type="duplicateValues" dxfId="582" priority="66"/>
    <cfRule type="duplicateValues" dxfId="581" priority="64"/>
  </conditionalFormatting>
  <conditionalFormatting sqref="G108">
    <cfRule type="duplicateValues" dxfId="580" priority="125"/>
    <cfRule type="duplicateValues" dxfId="579" priority="126"/>
    <cfRule type="duplicateValues" dxfId="578" priority="127"/>
    <cfRule type="duplicateValues" dxfId="577" priority="128"/>
  </conditionalFormatting>
  <conditionalFormatting sqref="G109:G110">
    <cfRule type="duplicateValues" dxfId="576" priority="15489"/>
    <cfRule type="duplicateValues" dxfId="575" priority="15490"/>
  </conditionalFormatting>
  <conditionalFormatting sqref="G111">
    <cfRule type="duplicateValues" dxfId="574" priority="121"/>
    <cfRule type="duplicateValues" dxfId="573" priority="122"/>
    <cfRule type="duplicateValues" dxfId="572" priority="123"/>
    <cfRule type="duplicateValues" dxfId="571" priority="124"/>
  </conditionalFormatting>
  <conditionalFormatting sqref="G112:G113">
    <cfRule type="duplicateValues" dxfId="570" priority="140"/>
    <cfRule type="duplicateValues" dxfId="569" priority="138"/>
  </conditionalFormatting>
  <conditionalFormatting sqref="G114 G73 G76 G84 G91 G97 G101">
    <cfRule type="duplicateValues" dxfId="568" priority="15513"/>
  </conditionalFormatting>
  <conditionalFormatting sqref="G116">
    <cfRule type="duplicateValues" dxfId="567" priority="84"/>
    <cfRule type="duplicateValues" dxfId="566" priority="85"/>
    <cfRule type="duplicateValues" dxfId="565" priority="86"/>
  </conditionalFormatting>
  <conditionalFormatting sqref="G118">
    <cfRule type="duplicateValues" dxfId="564" priority="115"/>
    <cfRule type="duplicateValues" dxfId="563" priority="114"/>
    <cfRule type="duplicateValues" dxfId="562" priority="113"/>
    <cfRule type="duplicateValues" dxfId="561" priority="116"/>
  </conditionalFormatting>
  <conditionalFormatting sqref="G120">
    <cfRule type="duplicateValues" dxfId="560" priority="112"/>
    <cfRule type="duplicateValues" dxfId="559" priority="111"/>
    <cfRule type="duplicateValues" dxfId="558" priority="110"/>
    <cfRule type="duplicateValues" dxfId="557" priority="109"/>
  </conditionalFormatting>
  <conditionalFormatting sqref="G123">
    <cfRule type="duplicateValues" dxfId="556" priority="2"/>
    <cfRule type="duplicateValues" dxfId="555" priority="3"/>
    <cfRule type="duplicateValues" dxfId="554" priority="1"/>
  </conditionalFormatting>
  <conditionalFormatting sqref="G125">
    <cfRule type="duplicateValues" dxfId="553" priority="378"/>
  </conditionalFormatting>
  <conditionalFormatting sqref="G128">
    <cfRule type="duplicateValues" dxfId="552" priority="107"/>
    <cfRule type="duplicateValues" dxfId="551" priority="105"/>
    <cfRule type="duplicateValues" dxfId="550" priority="104"/>
    <cfRule type="duplicateValues" dxfId="549" priority="106"/>
  </conditionalFormatting>
  <conditionalFormatting sqref="G129">
    <cfRule type="duplicateValues" dxfId="548" priority="15522"/>
  </conditionalFormatting>
  <conditionalFormatting sqref="G130">
    <cfRule type="duplicateValues" dxfId="547" priority="103"/>
    <cfRule type="duplicateValues" dxfId="546" priority="102"/>
    <cfRule type="duplicateValues" dxfId="545" priority="101"/>
    <cfRule type="duplicateValues" dxfId="544" priority="100"/>
  </conditionalFormatting>
  <conditionalFormatting sqref="G133">
    <cfRule type="duplicateValues" dxfId="543" priority="15519"/>
    <cfRule type="duplicateValues" dxfId="542" priority="15520"/>
    <cfRule type="duplicateValues" dxfId="541" priority="15521"/>
    <cfRule type="duplicateValues" dxfId="540" priority="15518"/>
  </conditionalFormatting>
  <conditionalFormatting sqref="G134 G131:G132">
    <cfRule type="duplicateValues" dxfId="539" priority="97"/>
  </conditionalFormatting>
  <conditionalFormatting sqref="G142">
    <cfRule type="duplicateValues" dxfId="538" priority="23"/>
    <cfRule type="duplicateValues" dxfId="537" priority="25"/>
    <cfRule type="duplicateValues" dxfId="536" priority="24"/>
  </conditionalFormatting>
  <conditionalFormatting sqref="G143">
    <cfRule type="duplicateValues" dxfId="535" priority="22"/>
    <cfRule type="duplicateValues" dxfId="534" priority="21"/>
    <cfRule type="duplicateValues" dxfId="533" priority="20"/>
  </conditionalFormatting>
  <conditionalFormatting sqref="G144">
    <cfRule type="duplicateValues" dxfId="532" priority="19"/>
    <cfRule type="duplicateValues" dxfId="531" priority="18"/>
    <cfRule type="duplicateValues" dxfId="530" priority="17"/>
    <cfRule type="duplicateValues" dxfId="529" priority="16"/>
    <cfRule type="duplicateValues" dxfId="528" priority="15"/>
  </conditionalFormatting>
  <conditionalFormatting sqref="G145:G1048576 G129 G115 G117 G121:G122 G126:G127 G131:G132 G119 G26:G49 G51:G70 G124 G134:G141 G1:G24">
    <cfRule type="duplicateValues" dxfId="527" priority="15340"/>
  </conditionalFormatting>
  <conditionalFormatting sqref="G145:G1048576 G129 G126:G127 G115 G117 G121:G122 G131:G132 G119 G26:G49 G51:G70 G124 G134:G141 G1:G24">
    <cfRule type="duplicateValues" dxfId="526" priority="15328"/>
  </conditionalFormatting>
  <conditionalFormatting sqref="G153:G1048576">
    <cfRule type="duplicateValues" dxfId="525" priority="15946"/>
  </conditionalFormatting>
  <pageMargins left="0.7" right="0.7" top="0.75" bottom="0.75" header="0.51180555555555551" footer="0.51180555555555551"/>
  <pageSetup scale="56" firstPageNumber="0" orientation="portrait" horizontalDpi="4294967293" verticalDpi="300" r:id="rId1"/>
  <headerFooter alignWithMargins="0"/>
  <colBreaks count="1" manualBreakCount="1">
    <brk id="13"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tabColor indexed="57"/>
  </sheetPr>
  <dimension ref="A1:I309"/>
  <sheetViews>
    <sheetView showGridLines="0" view="pageBreakPreview" zoomScale="50" zoomScaleNormal="95" zoomScaleSheetLayoutView="50" workbookViewId="0">
      <pane xSplit="3" ySplit="7" topLeftCell="D131" activePane="bottomRight" state="frozen"/>
      <selection activeCell="H25" sqref="H25"/>
      <selection pane="topRight" activeCell="H25" sqref="H25"/>
      <selection pane="bottomLeft" activeCell="H25" sqref="H25"/>
      <selection pane="bottomRight" activeCell="B134" sqref="B134"/>
    </sheetView>
  </sheetViews>
  <sheetFormatPr baseColWidth="10" defaultColWidth="35.6640625" defaultRowHeight="39.9" customHeight="1" outlineLevelRow="1" outlineLevelCol="1"/>
  <cols>
    <col min="1" max="1" width="14.33203125" style="536" customWidth="1"/>
    <col min="2" max="2" width="129.33203125" style="549" customWidth="1"/>
    <col min="3" max="3" width="83.44140625" style="536" customWidth="1"/>
    <col min="4" max="4" width="61.88671875" style="541" customWidth="1"/>
    <col min="5" max="5" width="49.6640625" style="550" customWidth="1" outlineLevel="1"/>
    <col min="6" max="6" width="50" style="550" customWidth="1" outlineLevel="1"/>
    <col min="7" max="7" width="52.6640625" style="550" customWidth="1" outlineLevel="1"/>
    <col min="8" max="8" width="48" style="550" customWidth="1" outlineLevel="1"/>
    <col min="9" max="16384" width="35.6640625" style="541"/>
  </cols>
  <sheetData>
    <row r="1" spans="1:9" ht="32.25" customHeight="1">
      <c r="B1" s="537">
        <v>1</v>
      </c>
      <c r="C1" s="538">
        <v>2</v>
      </c>
      <c r="D1" s="539">
        <v>3</v>
      </c>
      <c r="E1" s="540">
        <v>4</v>
      </c>
      <c r="F1" s="539">
        <v>5</v>
      </c>
      <c r="G1" s="540">
        <v>6</v>
      </c>
      <c r="H1" s="540">
        <v>6</v>
      </c>
    </row>
    <row r="2" spans="1:9" s="546" customFormat="1" ht="56.25" customHeight="1">
      <c r="A2" s="542"/>
      <c r="B2" s="543" t="s">
        <v>0</v>
      </c>
      <c r="C2" s="544"/>
      <c r="D2" s="545"/>
      <c r="I2" s="541"/>
    </row>
    <row r="3" spans="1:9" ht="63.75" customHeight="1">
      <c r="B3" s="547" t="s">
        <v>589</v>
      </c>
      <c r="C3" s="548"/>
      <c r="E3" s="541"/>
      <c r="F3" s="541"/>
      <c r="G3" s="541"/>
      <c r="H3" s="541"/>
    </row>
    <row r="4" spans="1:9" ht="24.9" customHeight="1">
      <c r="C4" s="544"/>
    </row>
    <row r="5" spans="1:9" s="553" customFormat="1" ht="24.9" customHeight="1">
      <c r="A5" s="551"/>
      <c r="B5" s="552"/>
      <c r="C5" s="551" t="s">
        <v>52</v>
      </c>
      <c r="E5" s="553">
        <v>5</v>
      </c>
      <c r="F5" s="553">
        <v>6</v>
      </c>
    </row>
    <row r="6" spans="1:9" s="556" customFormat="1" ht="53.25" customHeight="1" thickBot="1">
      <c r="A6" s="554"/>
      <c r="B6" s="543"/>
      <c r="C6" s="555"/>
      <c r="D6" s="1348" t="s">
        <v>1</v>
      </c>
      <c r="E6" s="1348"/>
      <c r="F6" s="1348"/>
      <c r="G6" s="1348"/>
    </row>
    <row r="7" spans="1:9" ht="94.5" customHeight="1" thickBot="1">
      <c r="B7" s="557" t="s">
        <v>35</v>
      </c>
      <c r="C7" s="558" t="s">
        <v>36</v>
      </c>
      <c r="D7" s="559" t="s">
        <v>381</v>
      </c>
      <c r="E7" s="559" t="s">
        <v>380</v>
      </c>
      <c r="F7" s="559" t="s">
        <v>382</v>
      </c>
      <c r="G7" s="559" t="s">
        <v>17</v>
      </c>
      <c r="H7" s="560" t="s">
        <v>602</v>
      </c>
    </row>
    <row r="8" spans="1:9" s="566" customFormat="1" ht="50.1" customHeight="1">
      <c r="A8" s="561"/>
      <c r="B8" s="543" t="s">
        <v>51</v>
      </c>
      <c r="C8" s="562"/>
      <c r="D8" s="563"/>
      <c r="E8" s="564"/>
      <c r="F8" s="564"/>
      <c r="G8" s="565"/>
      <c r="H8" s="565"/>
    </row>
    <row r="9" spans="1:9" s="566" customFormat="1" ht="50.1" customHeight="1">
      <c r="A9" s="561"/>
      <c r="B9" s="567" t="s">
        <v>53</v>
      </c>
      <c r="C9" s="562"/>
      <c r="D9" s="568"/>
      <c r="E9" s="568"/>
      <c r="F9" s="569"/>
      <c r="G9" s="570" t="s">
        <v>353</v>
      </c>
      <c r="H9" s="570" t="s">
        <v>353</v>
      </c>
    </row>
    <row r="10" spans="1:9" s="575" customFormat="1" ht="50.1" customHeight="1" outlineLevel="1">
      <c r="A10" s="561">
        <v>1</v>
      </c>
      <c r="B10" s="571" t="s">
        <v>534</v>
      </c>
      <c r="C10" s="572" t="s">
        <v>55</v>
      </c>
      <c r="D10" s="572" t="s">
        <v>9</v>
      </c>
      <c r="E10" s="573">
        <v>3750</v>
      </c>
      <c r="F10" s="573">
        <f>2000+250</f>
        <v>2250</v>
      </c>
      <c r="G10" s="574">
        <f>+E10+F10</f>
        <v>6000</v>
      </c>
      <c r="H10" s="574">
        <v>50</v>
      </c>
    </row>
    <row r="11" spans="1:9" s="566" customFormat="1" ht="50.1" customHeight="1" outlineLevel="1">
      <c r="A11" s="561">
        <f>+A10+1</f>
        <v>2</v>
      </c>
      <c r="B11" s="576" t="s">
        <v>473</v>
      </c>
      <c r="C11" s="577" t="s">
        <v>54</v>
      </c>
      <c r="D11" s="578" t="s">
        <v>9</v>
      </c>
      <c r="E11" s="579">
        <v>2959.24</v>
      </c>
      <c r="F11" s="580">
        <v>250</v>
      </c>
      <c r="G11" s="581">
        <f>+E11+F11</f>
        <v>3209.24</v>
      </c>
      <c r="H11" s="581">
        <v>50</v>
      </c>
    </row>
    <row r="12" spans="1:9" s="586" customFormat="1" ht="50.1" customHeight="1" outlineLevel="1">
      <c r="A12" s="561">
        <f>+A11+1</f>
        <v>3</v>
      </c>
      <c r="B12" s="571" t="s">
        <v>517</v>
      </c>
      <c r="C12" s="582" t="s">
        <v>54</v>
      </c>
      <c r="D12" s="583" t="s">
        <v>8</v>
      </c>
      <c r="E12" s="579">
        <v>3250</v>
      </c>
      <c r="F12" s="584">
        <v>250</v>
      </c>
      <c r="G12" s="585">
        <f>+E12+F12</f>
        <v>3500</v>
      </c>
      <c r="H12" s="585">
        <v>50</v>
      </c>
    </row>
    <row r="13" spans="1:9" s="566" customFormat="1" ht="50.1" customHeight="1" outlineLevel="1" thickBot="1">
      <c r="A13" s="561"/>
      <c r="B13" s="549"/>
      <c r="C13" s="587" t="s">
        <v>57</v>
      </c>
      <c r="E13" s="588">
        <f>SUM(E10:E12)</f>
        <v>9959.24</v>
      </c>
      <c r="F13" s="588">
        <f>SUM(F10:F12)</f>
        <v>2750</v>
      </c>
      <c r="G13" s="588">
        <f>SUM(G10:G12)</f>
        <v>12709.24</v>
      </c>
      <c r="H13" s="588">
        <f>SUM(H10:H12)</f>
        <v>150</v>
      </c>
    </row>
    <row r="14" spans="1:9" s="591" customFormat="1" ht="50.1" customHeight="1" outlineLevel="1" thickTop="1">
      <c r="A14" s="589"/>
      <c r="B14" s="549"/>
      <c r="C14" s="561"/>
      <c r="D14" s="566"/>
      <c r="E14" s="590"/>
      <c r="G14" s="592"/>
      <c r="H14" s="592"/>
      <c r="I14" s="566"/>
    </row>
    <row r="15" spans="1:9" s="566" customFormat="1" ht="50.1" customHeight="1" outlineLevel="1">
      <c r="A15" s="561"/>
      <c r="B15" s="567" t="s">
        <v>58</v>
      </c>
      <c r="C15" s="561"/>
      <c r="D15" s="561"/>
      <c r="E15" s="590"/>
      <c r="F15" s="591"/>
      <c r="G15" s="591"/>
      <c r="H15" s="591"/>
    </row>
    <row r="16" spans="1:9" s="586" customFormat="1" ht="50.1" customHeight="1" outlineLevel="1">
      <c r="A16" s="593">
        <f>A12+1</f>
        <v>4</v>
      </c>
      <c r="B16" s="571" t="s">
        <v>423</v>
      </c>
      <c r="C16" s="582" t="s">
        <v>59</v>
      </c>
      <c r="D16" s="583" t="s">
        <v>8</v>
      </c>
      <c r="E16" s="579">
        <v>3262.5</v>
      </c>
      <c r="F16" s="584">
        <v>2250</v>
      </c>
      <c r="G16" s="585">
        <f t="shared" ref="G16:G21" si="0">+E16+F16</f>
        <v>5512.5</v>
      </c>
      <c r="H16" s="585">
        <v>50</v>
      </c>
    </row>
    <row r="17" spans="1:9" s="586" customFormat="1" ht="50.1" customHeight="1" outlineLevel="1">
      <c r="A17" s="593">
        <f>+A16+1</f>
        <v>5</v>
      </c>
      <c r="B17" s="571" t="s">
        <v>544</v>
      </c>
      <c r="C17" s="582" t="s">
        <v>492</v>
      </c>
      <c r="D17" s="583" t="s">
        <v>8</v>
      </c>
      <c r="E17" s="579">
        <v>2959.24</v>
      </c>
      <c r="F17" s="584">
        <v>725</v>
      </c>
      <c r="G17" s="585">
        <f t="shared" si="0"/>
        <v>3684.24</v>
      </c>
      <c r="H17" s="585">
        <v>50</v>
      </c>
    </row>
    <row r="18" spans="1:9" s="539" customFormat="1" ht="50.1" customHeight="1" outlineLevel="1">
      <c r="A18" s="593">
        <f>+A17+1</f>
        <v>6</v>
      </c>
      <c r="B18" s="571" t="s">
        <v>431</v>
      </c>
      <c r="C18" s="582" t="s">
        <v>60</v>
      </c>
      <c r="D18" s="582" t="s">
        <v>8</v>
      </c>
      <c r="E18" s="579">
        <v>2959.24</v>
      </c>
      <c r="F18" s="594">
        <v>250</v>
      </c>
      <c r="G18" s="595">
        <f t="shared" si="0"/>
        <v>3209.24</v>
      </c>
      <c r="H18" s="585">
        <v>50</v>
      </c>
    </row>
    <row r="19" spans="1:9" s="599" customFormat="1" ht="50.1" customHeight="1" outlineLevel="1">
      <c r="A19" s="593">
        <f>+A18+1</f>
        <v>7</v>
      </c>
      <c r="B19" s="596" t="s">
        <v>458</v>
      </c>
      <c r="C19" s="572" t="s">
        <v>61</v>
      </c>
      <c r="D19" s="597" t="s">
        <v>9</v>
      </c>
      <c r="E19" s="579">
        <v>2959.24</v>
      </c>
      <c r="F19" s="579">
        <v>250</v>
      </c>
      <c r="G19" s="598">
        <f t="shared" si="0"/>
        <v>3209.24</v>
      </c>
      <c r="H19" s="585">
        <v>50</v>
      </c>
    </row>
    <row r="20" spans="1:9" s="599" customFormat="1" ht="50.1" customHeight="1" outlineLevel="1">
      <c r="A20" s="593">
        <f>+A19+1</f>
        <v>8</v>
      </c>
      <c r="B20" s="596" t="s">
        <v>437</v>
      </c>
      <c r="C20" s="572" t="s">
        <v>62</v>
      </c>
      <c r="D20" s="597" t="s">
        <v>8</v>
      </c>
      <c r="E20" s="579">
        <v>2959.24</v>
      </c>
      <c r="F20" s="579">
        <f>250+120</f>
        <v>370</v>
      </c>
      <c r="G20" s="598">
        <f t="shared" si="0"/>
        <v>3329.24</v>
      </c>
      <c r="H20" s="585">
        <v>50</v>
      </c>
    </row>
    <row r="21" spans="1:9" s="566" customFormat="1" ht="50.1" customHeight="1" outlineLevel="1">
      <c r="A21" s="593">
        <f>+A20+1</f>
        <v>9</v>
      </c>
      <c r="B21" s="571" t="s">
        <v>432</v>
      </c>
      <c r="C21" s="582" t="s">
        <v>62</v>
      </c>
      <c r="D21" s="578" t="s">
        <v>8</v>
      </c>
      <c r="E21" s="579">
        <v>2959.24</v>
      </c>
      <c r="F21" s="580">
        <v>370</v>
      </c>
      <c r="G21" s="581">
        <f t="shared" si="0"/>
        <v>3329.24</v>
      </c>
      <c r="H21" s="585">
        <v>50</v>
      </c>
    </row>
    <row r="22" spans="1:9" s="566" customFormat="1" ht="50.1" customHeight="1" outlineLevel="1" thickBot="1">
      <c r="A22" s="561"/>
      <c r="B22" s="600"/>
      <c r="C22" s="601" t="s">
        <v>63</v>
      </c>
      <c r="E22" s="588">
        <f>SUM(E16:E21)</f>
        <v>18058.699999999997</v>
      </c>
      <c r="F22" s="602">
        <f>SUM(F16:F21)</f>
        <v>4215</v>
      </c>
      <c r="G22" s="602">
        <f>SUM(G16:G21)</f>
        <v>22273.699999999997</v>
      </c>
      <c r="H22" s="602">
        <f>SUM(H16:H21)</f>
        <v>300</v>
      </c>
    </row>
    <row r="23" spans="1:9" s="591" customFormat="1" ht="50.1" customHeight="1" outlineLevel="1" thickTop="1">
      <c r="A23" s="589"/>
      <c r="B23" s="600"/>
      <c r="C23" s="593"/>
      <c r="D23" s="566"/>
      <c r="E23" s="590"/>
      <c r="G23" s="592"/>
      <c r="H23" s="592"/>
      <c r="I23" s="566"/>
    </row>
    <row r="24" spans="1:9" s="566" customFormat="1" ht="50.1" customHeight="1" outlineLevel="1">
      <c r="A24" s="561"/>
      <c r="B24" s="567" t="s">
        <v>64</v>
      </c>
      <c r="C24" s="593"/>
      <c r="E24" s="590"/>
      <c r="F24" s="591"/>
      <c r="G24" s="591"/>
      <c r="H24" s="591"/>
    </row>
    <row r="25" spans="1:9" s="566" customFormat="1" ht="50.1" customHeight="1" outlineLevel="1">
      <c r="A25" s="561">
        <f>A21+1</f>
        <v>10</v>
      </c>
      <c r="B25" s="571" t="s">
        <v>461</v>
      </c>
      <c r="C25" s="582" t="s">
        <v>65</v>
      </c>
      <c r="D25" s="578" t="s">
        <v>9</v>
      </c>
      <c r="E25" s="579">
        <v>2959.24</v>
      </c>
      <c r="F25" s="580">
        <v>250</v>
      </c>
      <c r="G25" s="581">
        <f t="shared" ref="G25:G33" si="1">+E25+F25</f>
        <v>3209.24</v>
      </c>
      <c r="H25" s="581">
        <v>50</v>
      </c>
    </row>
    <row r="26" spans="1:9" s="566" customFormat="1" ht="50.1" customHeight="1" outlineLevel="1">
      <c r="A26" s="561">
        <f>A25+1</f>
        <v>11</v>
      </c>
      <c r="B26" s="571" t="s">
        <v>481</v>
      </c>
      <c r="C26" s="582" t="s">
        <v>482</v>
      </c>
      <c r="D26" s="578" t="s">
        <v>9</v>
      </c>
      <c r="E26" s="603">
        <v>4200</v>
      </c>
      <c r="F26" s="580">
        <v>2800</v>
      </c>
      <c r="G26" s="581">
        <f t="shared" si="1"/>
        <v>7000</v>
      </c>
      <c r="H26" s="581">
        <v>75</v>
      </c>
    </row>
    <row r="27" spans="1:9" s="566" customFormat="1" ht="50.1" customHeight="1" outlineLevel="1">
      <c r="A27" s="561">
        <f t="shared" ref="A27:A33" si="2">A26+1</f>
        <v>12</v>
      </c>
      <c r="B27" s="571" t="s">
        <v>434</v>
      </c>
      <c r="C27" s="582" t="s">
        <v>333</v>
      </c>
      <c r="D27" s="578" t="s">
        <v>8</v>
      </c>
      <c r="E27" s="603">
        <v>13000</v>
      </c>
      <c r="F27" s="580">
        <v>7000</v>
      </c>
      <c r="G27" s="581">
        <f t="shared" si="1"/>
        <v>20000</v>
      </c>
      <c r="H27" s="581">
        <v>150</v>
      </c>
    </row>
    <row r="28" spans="1:9" s="606" customFormat="1" ht="50.1" customHeight="1" outlineLevel="1">
      <c r="A28" s="561">
        <f t="shared" si="2"/>
        <v>13</v>
      </c>
      <c r="B28" s="571" t="s">
        <v>466</v>
      </c>
      <c r="C28" s="572" t="s">
        <v>410</v>
      </c>
      <c r="D28" s="604" t="s">
        <v>9</v>
      </c>
      <c r="E28" s="603">
        <v>3250</v>
      </c>
      <c r="F28" s="603">
        <v>750</v>
      </c>
      <c r="G28" s="605">
        <f t="shared" si="1"/>
        <v>4000</v>
      </c>
      <c r="H28" s="605">
        <v>50</v>
      </c>
    </row>
    <row r="29" spans="1:9" s="566" customFormat="1" ht="50.1" customHeight="1" outlineLevel="1">
      <c r="A29" s="561">
        <f t="shared" si="2"/>
        <v>14</v>
      </c>
      <c r="B29" s="571" t="s">
        <v>433</v>
      </c>
      <c r="C29" s="582" t="s">
        <v>356</v>
      </c>
      <c r="D29" s="578" t="s">
        <v>8</v>
      </c>
      <c r="E29" s="605">
        <v>3500</v>
      </c>
      <c r="F29" s="580">
        <v>500</v>
      </c>
      <c r="G29" s="605">
        <f t="shared" si="1"/>
        <v>4000</v>
      </c>
      <c r="H29" s="605">
        <v>50</v>
      </c>
    </row>
    <row r="30" spans="1:9" s="566" customFormat="1" ht="50.1" customHeight="1" outlineLevel="1">
      <c r="A30" s="561">
        <f t="shared" si="2"/>
        <v>15</v>
      </c>
      <c r="B30" s="571" t="s">
        <v>426</v>
      </c>
      <c r="C30" s="582" t="s">
        <v>66</v>
      </c>
      <c r="D30" s="578" t="s">
        <v>8</v>
      </c>
      <c r="E30" s="603">
        <v>3500</v>
      </c>
      <c r="F30" s="580">
        <f>1000</f>
        <v>1000</v>
      </c>
      <c r="G30" s="581">
        <f t="shared" si="1"/>
        <v>4500</v>
      </c>
      <c r="H30" s="605">
        <v>50</v>
      </c>
    </row>
    <row r="31" spans="1:9" s="566" customFormat="1" ht="50.1" customHeight="1" outlineLevel="1">
      <c r="A31" s="561">
        <f>A30+1</f>
        <v>16</v>
      </c>
      <c r="B31" s="571" t="s">
        <v>474</v>
      </c>
      <c r="C31" s="582" t="s">
        <v>66</v>
      </c>
      <c r="D31" s="578" t="s">
        <v>9</v>
      </c>
      <c r="E31" s="579">
        <v>2959.24</v>
      </c>
      <c r="F31" s="580">
        <v>250</v>
      </c>
      <c r="G31" s="581">
        <f t="shared" si="1"/>
        <v>3209.24</v>
      </c>
      <c r="H31" s="605">
        <v>50</v>
      </c>
    </row>
    <row r="32" spans="1:9" s="606" customFormat="1" ht="50.1" customHeight="1" outlineLevel="1">
      <c r="A32" s="561">
        <f t="shared" si="2"/>
        <v>17</v>
      </c>
      <c r="B32" s="596" t="s">
        <v>418</v>
      </c>
      <c r="C32" s="572" t="s">
        <v>67</v>
      </c>
      <c r="D32" s="604" t="s">
        <v>8</v>
      </c>
      <c r="E32" s="603">
        <v>5055</v>
      </c>
      <c r="F32" s="603">
        <v>3045</v>
      </c>
      <c r="G32" s="605">
        <f t="shared" si="1"/>
        <v>8100</v>
      </c>
      <c r="H32" s="605">
        <v>75</v>
      </c>
    </row>
    <row r="33" spans="1:9" s="593" customFormat="1" ht="50.1" customHeight="1" outlineLevel="1">
      <c r="A33" s="593">
        <f t="shared" si="2"/>
        <v>18</v>
      </c>
      <c r="B33" s="571" t="s">
        <v>533</v>
      </c>
      <c r="C33" s="582" t="s">
        <v>66</v>
      </c>
      <c r="D33" s="582" t="s">
        <v>9</v>
      </c>
      <c r="E33" s="573">
        <v>3250</v>
      </c>
      <c r="F33" s="594">
        <v>750</v>
      </c>
      <c r="G33" s="607">
        <f t="shared" si="1"/>
        <v>4000</v>
      </c>
      <c r="H33" s="605">
        <v>50</v>
      </c>
    </row>
    <row r="34" spans="1:9" s="566" customFormat="1" ht="50.1" customHeight="1" outlineLevel="1" thickBot="1">
      <c r="A34" s="561"/>
      <c r="B34" s="543"/>
      <c r="C34" s="601" t="s">
        <v>68</v>
      </c>
      <c r="E34" s="588">
        <f>SUM(E25:E33)</f>
        <v>41673.479999999996</v>
      </c>
      <c r="F34" s="588">
        <f>SUM(F25:F33)</f>
        <v>16345</v>
      </c>
      <c r="G34" s="588">
        <f>SUM(G25:G33)</f>
        <v>58018.479999999996</v>
      </c>
      <c r="H34" s="588">
        <f>SUM(H25:H33)</f>
        <v>600</v>
      </c>
    </row>
    <row r="35" spans="1:9" s="566" customFormat="1" ht="50.1" customHeight="1" outlineLevel="1" thickTop="1">
      <c r="A35" s="561"/>
      <c r="B35" s="543"/>
      <c r="C35" s="593"/>
      <c r="E35" s="608"/>
      <c r="F35" s="609"/>
      <c r="G35" s="609"/>
      <c r="H35" s="609"/>
    </row>
    <row r="36" spans="1:9" s="612" customFormat="1" ht="50.1" customHeight="1" outlineLevel="1">
      <c r="A36" s="610"/>
      <c r="B36" s="567" t="s">
        <v>69</v>
      </c>
      <c r="C36" s="561"/>
      <c r="D36" s="566"/>
      <c r="E36" s="611"/>
      <c r="I36" s="566"/>
    </row>
    <row r="37" spans="1:9" s="618" customFormat="1" ht="50.1" customHeight="1" outlineLevel="1">
      <c r="A37" s="613">
        <f>A33+1</f>
        <v>19</v>
      </c>
      <c r="B37" s="614" t="s">
        <v>516</v>
      </c>
      <c r="C37" s="615" t="s">
        <v>478</v>
      </c>
      <c r="D37" s="616" t="s">
        <v>8</v>
      </c>
      <c r="E37" s="617">
        <v>5000</v>
      </c>
      <c r="F37" s="598">
        <f>250+750</f>
        <v>1000</v>
      </c>
      <c r="G37" s="598">
        <f>+E37+F37</f>
        <v>6000</v>
      </c>
      <c r="H37" s="598">
        <v>50</v>
      </c>
    </row>
    <row r="38" spans="1:9" s="618" customFormat="1" ht="50.1" customHeight="1" outlineLevel="1">
      <c r="A38" s="613">
        <f>+A37+1</f>
        <v>20</v>
      </c>
      <c r="B38" s="614" t="s">
        <v>562</v>
      </c>
      <c r="C38" s="615" t="s">
        <v>563</v>
      </c>
      <c r="D38" s="616" t="s">
        <v>8</v>
      </c>
      <c r="E38" s="617">
        <v>4000</v>
      </c>
      <c r="F38" s="619">
        <v>500</v>
      </c>
      <c r="G38" s="598">
        <f>+E38+F38</f>
        <v>4500</v>
      </c>
      <c r="H38" s="598">
        <v>50</v>
      </c>
    </row>
    <row r="39" spans="1:9" s="618" customFormat="1" ht="50.1" customHeight="1" outlineLevel="1">
      <c r="A39" s="613">
        <f>+A38+1</f>
        <v>21</v>
      </c>
      <c r="B39" s="614" t="s">
        <v>554</v>
      </c>
      <c r="C39" s="615" t="s">
        <v>558</v>
      </c>
      <c r="D39" s="616" t="s">
        <v>8</v>
      </c>
      <c r="E39" s="579">
        <v>2959.24</v>
      </c>
      <c r="F39" s="598">
        <v>250</v>
      </c>
      <c r="G39" s="598">
        <f>+E39+F39</f>
        <v>3209.24</v>
      </c>
      <c r="H39" s="598">
        <v>50</v>
      </c>
    </row>
    <row r="40" spans="1:9" s="566" customFormat="1" ht="50.1" customHeight="1" outlineLevel="1" thickBot="1">
      <c r="A40" s="561"/>
      <c r="B40" s="543"/>
      <c r="C40" s="601" t="s">
        <v>70</v>
      </c>
      <c r="E40" s="620">
        <f>SUM(E37:E39)</f>
        <v>11959.24</v>
      </c>
      <c r="F40" s="621">
        <f>SUM(F37:F39)</f>
        <v>1750</v>
      </c>
      <c r="G40" s="621">
        <f>SUM(G37:G39)</f>
        <v>13709.24</v>
      </c>
      <c r="H40" s="621">
        <f>SUM(H37:H39)</f>
        <v>150</v>
      </c>
    </row>
    <row r="41" spans="1:9" s="566" customFormat="1" ht="50.1" customHeight="1" outlineLevel="1" thickTop="1">
      <c r="A41" s="561"/>
      <c r="B41" s="543"/>
      <c r="C41" s="601"/>
      <c r="E41" s="611"/>
      <c r="F41" s="612"/>
      <c r="G41" s="622"/>
      <c r="H41" s="622"/>
    </row>
    <row r="42" spans="1:9" s="612" customFormat="1" ht="50.1" customHeight="1" outlineLevel="1">
      <c r="A42" s="610"/>
      <c r="B42" s="567" t="s">
        <v>71</v>
      </c>
      <c r="C42" s="561"/>
      <c r="D42" s="566"/>
      <c r="E42" s="611"/>
      <c r="I42" s="566"/>
    </row>
    <row r="43" spans="1:9" s="606" customFormat="1" ht="50.1" customHeight="1" outlineLevel="1">
      <c r="A43" s="623">
        <v>22</v>
      </c>
      <c r="B43" s="624" t="s">
        <v>415</v>
      </c>
      <c r="C43" s="625" t="s">
        <v>512</v>
      </c>
      <c r="D43" s="604" t="s">
        <v>8</v>
      </c>
      <c r="E43" s="598">
        <f>4250+500</f>
        <v>4750</v>
      </c>
      <c r="F43" s="598">
        <f>250+2000</f>
        <v>2250</v>
      </c>
      <c r="G43" s="605">
        <f>+E43+F43</f>
        <v>7000</v>
      </c>
      <c r="H43" s="605">
        <v>75</v>
      </c>
    </row>
    <row r="44" spans="1:9" s="599" customFormat="1" ht="50.1" customHeight="1" outlineLevel="1">
      <c r="A44" s="575">
        <f>+A43+1</f>
        <v>23</v>
      </c>
      <c r="B44" s="596" t="s">
        <v>504</v>
      </c>
      <c r="C44" s="572" t="s">
        <v>336</v>
      </c>
      <c r="D44" s="597" t="s">
        <v>8</v>
      </c>
      <c r="E44" s="598">
        <f>4250+250</f>
        <v>4500</v>
      </c>
      <c r="F44" s="598">
        <f>250+250</f>
        <v>500</v>
      </c>
      <c r="G44" s="598">
        <f>+E44+F44</f>
        <v>5000</v>
      </c>
      <c r="H44" s="598">
        <v>50</v>
      </c>
    </row>
    <row r="45" spans="1:9" s="599" customFormat="1" ht="50.1" customHeight="1" outlineLevel="1">
      <c r="A45" s="575">
        <f>+A44+1</f>
        <v>24</v>
      </c>
      <c r="B45" s="596" t="s">
        <v>514</v>
      </c>
      <c r="C45" s="572" t="s">
        <v>336</v>
      </c>
      <c r="D45" s="597" t="s">
        <v>9</v>
      </c>
      <c r="E45" s="598">
        <v>4250</v>
      </c>
      <c r="F45" s="598">
        <v>750</v>
      </c>
      <c r="G45" s="598">
        <f>+E45+F45</f>
        <v>5000</v>
      </c>
      <c r="H45" s="598">
        <v>50</v>
      </c>
    </row>
    <row r="46" spans="1:9" s="599" customFormat="1" ht="50.1" customHeight="1" outlineLevel="1">
      <c r="A46" s="575">
        <f>+A45+1</f>
        <v>25</v>
      </c>
      <c r="B46" s="596" t="s">
        <v>424</v>
      </c>
      <c r="C46" s="572" t="s">
        <v>503</v>
      </c>
      <c r="D46" s="597" t="s">
        <v>8</v>
      </c>
      <c r="E46" s="579">
        <v>2959.24</v>
      </c>
      <c r="F46" s="598">
        <v>400</v>
      </c>
      <c r="G46" s="598">
        <f>+E46+F46</f>
        <v>3359.24</v>
      </c>
      <c r="H46" s="598">
        <v>50</v>
      </c>
    </row>
    <row r="47" spans="1:9" s="575" customFormat="1" ht="50.1" customHeight="1" outlineLevel="1">
      <c r="A47" s="575">
        <f>+A46+1</f>
        <v>26</v>
      </c>
      <c r="B47" s="596" t="s">
        <v>522</v>
      </c>
      <c r="C47" s="572" t="s">
        <v>503</v>
      </c>
      <c r="D47" s="572" t="s">
        <v>8</v>
      </c>
      <c r="E47" s="579">
        <v>2959.24</v>
      </c>
      <c r="F47" s="574">
        <v>250</v>
      </c>
      <c r="G47" s="574">
        <f>+E47+F47</f>
        <v>3209.24</v>
      </c>
      <c r="H47" s="574">
        <v>50</v>
      </c>
    </row>
    <row r="48" spans="1:9" s="566" customFormat="1" ht="50.1" customHeight="1" outlineLevel="1" thickBot="1">
      <c r="A48" s="561"/>
      <c r="B48" s="543"/>
      <c r="C48" s="601" t="s">
        <v>73</v>
      </c>
      <c r="E48" s="626">
        <f>SUM(E43:E47)</f>
        <v>19418.479999999996</v>
      </c>
      <c r="F48" s="626">
        <f>SUM(F43:F47)</f>
        <v>4150</v>
      </c>
      <c r="G48" s="626">
        <f>SUM(G43:G47)</f>
        <v>23568.479999999996</v>
      </c>
      <c r="H48" s="626">
        <f>SUM(H43:H47)</f>
        <v>275</v>
      </c>
    </row>
    <row r="49" spans="1:9" s="612" customFormat="1" ht="50.1" customHeight="1" outlineLevel="1" thickTop="1">
      <c r="A49" s="610"/>
      <c r="B49" s="543"/>
      <c r="C49" s="601"/>
      <c r="D49" s="566"/>
      <c r="E49" s="611"/>
      <c r="I49" s="566"/>
    </row>
    <row r="50" spans="1:9" s="612" customFormat="1" ht="50.1" customHeight="1" outlineLevel="1">
      <c r="A50" s="610"/>
      <c r="B50" s="567" t="s">
        <v>74</v>
      </c>
      <c r="C50" s="587"/>
      <c r="D50" s="627"/>
      <c r="E50" s="611"/>
      <c r="I50" s="627"/>
    </row>
    <row r="51" spans="1:9" s="627" customFormat="1" ht="50.1" customHeight="1" outlineLevel="1">
      <c r="A51" s="561">
        <f>A47+1</f>
        <v>27</v>
      </c>
      <c r="B51" s="576" t="s">
        <v>419</v>
      </c>
      <c r="C51" s="577" t="s">
        <v>75</v>
      </c>
      <c r="D51" s="578" t="s">
        <v>8</v>
      </c>
      <c r="E51" s="605">
        <v>5775</v>
      </c>
      <c r="F51" s="581">
        <v>5250</v>
      </c>
      <c r="G51" s="581">
        <f>+E51+F51</f>
        <v>11025</v>
      </c>
      <c r="H51" s="581">
        <v>100</v>
      </c>
    </row>
    <row r="52" spans="1:9" s="627" customFormat="1" ht="50.1" customHeight="1" outlineLevel="1">
      <c r="A52" s="561">
        <f>+A51+1</f>
        <v>28</v>
      </c>
      <c r="B52" s="576" t="s">
        <v>435</v>
      </c>
      <c r="C52" s="577" t="s">
        <v>520</v>
      </c>
      <c r="D52" s="578" t="s">
        <v>8</v>
      </c>
      <c r="E52" s="605">
        <v>5250</v>
      </c>
      <c r="F52" s="605">
        <f>1900+715</f>
        <v>2615</v>
      </c>
      <c r="G52" s="605">
        <f>+E52+F52</f>
        <v>7865</v>
      </c>
      <c r="H52" s="605">
        <v>75</v>
      </c>
    </row>
    <row r="53" spans="1:9" s="539" customFormat="1" ht="50.1" customHeight="1" outlineLevel="1">
      <c r="A53" s="561">
        <v>29</v>
      </c>
      <c r="B53" s="571" t="s">
        <v>452</v>
      </c>
      <c r="C53" s="582" t="s">
        <v>377</v>
      </c>
      <c r="D53" s="582" t="s">
        <v>8</v>
      </c>
      <c r="E53" s="579">
        <v>2959.24</v>
      </c>
      <c r="F53" s="574">
        <v>250</v>
      </c>
      <c r="G53" s="574">
        <f>+E53+F53</f>
        <v>3209.24</v>
      </c>
      <c r="H53" s="574">
        <v>50</v>
      </c>
    </row>
    <row r="54" spans="1:9" s="627" customFormat="1" ht="50.1" customHeight="1" outlineLevel="1" thickBot="1">
      <c r="A54" s="561"/>
      <c r="B54" s="549"/>
      <c r="C54" s="587" t="s">
        <v>375</v>
      </c>
      <c r="D54" s="566"/>
      <c r="E54" s="628">
        <f>+SUM(E51:E53)</f>
        <v>13984.24</v>
      </c>
      <c r="F54" s="629">
        <f>+SUM(F51:F53)</f>
        <v>8115</v>
      </c>
      <c r="G54" s="629">
        <f>+SUM(G51:G53)</f>
        <v>22099.239999999998</v>
      </c>
      <c r="H54" s="629">
        <f>+SUM(H51:H53)</f>
        <v>225</v>
      </c>
    </row>
    <row r="55" spans="1:9" s="566" customFormat="1" ht="50.1" customHeight="1" outlineLevel="1" thickTop="1">
      <c r="A55" s="561"/>
      <c r="B55" s="543"/>
      <c r="C55" s="561"/>
      <c r="E55" s="630"/>
      <c r="F55" s="622"/>
      <c r="G55" s="622"/>
      <c r="H55" s="622"/>
    </row>
    <row r="56" spans="1:9" s="612" customFormat="1" ht="50.1" customHeight="1" outlineLevel="1">
      <c r="A56" s="610"/>
      <c r="B56" s="567" t="s">
        <v>76</v>
      </c>
      <c r="C56" s="587"/>
      <c r="D56" s="627"/>
      <c r="E56" s="611"/>
      <c r="I56" s="566"/>
    </row>
    <row r="57" spans="1:9" s="566" customFormat="1" ht="50.1" customHeight="1" outlineLevel="1">
      <c r="A57" s="561">
        <f>A53+1</f>
        <v>30</v>
      </c>
      <c r="B57" s="576" t="s">
        <v>455</v>
      </c>
      <c r="C57" s="577" t="s">
        <v>77</v>
      </c>
      <c r="D57" s="578" t="s">
        <v>9</v>
      </c>
      <c r="E57" s="605">
        <v>7025</v>
      </c>
      <c r="F57" s="581">
        <v>4000</v>
      </c>
      <c r="G57" s="581">
        <f>+E57+F57</f>
        <v>11025</v>
      </c>
      <c r="H57" s="581">
        <v>100</v>
      </c>
    </row>
    <row r="58" spans="1:9" s="566" customFormat="1" ht="50.1" customHeight="1" outlineLevel="1">
      <c r="A58" s="561">
        <f>+A57+1</f>
        <v>31</v>
      </c>
      <c r="B58" s="576" t="s">
        <v>553</v>
      </c>
      <c r="C58" s="577" t="s">
        <v>479</v>
      </c>
      <c r="D58" s="578" t="s">
        <v>8</v>
      </c>
      <c r="E58" s="605">
        <v>3500</v>
      </c>
      <c r="F58" s="581">
        <v>825</v>
      </c>
      <c r="G58" s="581">
        <f>+E58+F58</f>
        <v>4325</v>
      </c>
      <c r="H58" s="581">
        <v>50</v>
      </c>
    </row>
    <row r="59" spans="1:9" s="566" customFormat="1" ht="50.1" customHeight="1" outlineLevel="1">
      <c r="A59" s="561">
        <f>+A58+1</f>
        <v>32</v>
      </c>
      <c r="B59" s="576" t="s">
        <v>567</v>
      </c>
      <c r="C59" s="577" t="s">
        <v>568</v>
      </c>
      <c r="D59" s="578" t="s">
        <v>8</v>
      </c>
      <c r="E59" s="605">
        <v>3750</v>
      </c>
      <c r="F59" s="581">
        <v>250</v>
      </c>
      <c r="G59" s="581">
        <f>+E59+F59</f>
        <v>4000</v>
      </c>
      <c r="H59" s="581">
        <v>50</v>
      </c>
    </row>
    <row r="60" spans="1:9" s="627" customFormat="1" ht="50.1" customHeight="1" outlineLevel="1" thickBot="1">
      <c r="A60" s="561"/>
      <c r="B60" s="543"/>
      <c r="C60" s="601" t="s">
        <v>78</v>
      </c>
      <c r="E60" s="631">
        <f>SUM(E57:E59)</f>
        <v>14275</v>
      </c>
      <c r="F60" s="631">
        <f>SUM(F57:F59)</f>
        <v>5075</v>
      </c>
      <c r="G60" s="631">
        <f>SUM(G57:G59)</f>
        <v>19350</v>
      </c>
      <c r="H60" s="631">
        <f>SUM(H57:H59)</f>
        <v>200</v>
      </c>
    </row>
    <row r="61" spans="1:9" s="627" customFormat="1" ht="50.1" customHeight="1" outlineLevel="1" thickTop="1">
      <c r="A61" s="561"/>
      <c r="B61" s="543"/>
      <c r="C61" s="601" t="s">
        <v>79</v>
      </c>
      <c r="E61" s="632">
        <f>SUM(E13+E22+E34+E40+E48+E54+E60)</f>
        <v>129328.37999999999</v>
      </c>
      <c r="F61" s="633">
        <f>SUM(F13+F22+F34+F40+F48+F54+F60)</f>
        <v>42400</v>
      </c>
      <c r="G61" s="633">
        <f>SUM(G13+G22+G34+G40+G48+G54+G60)</f>
        <v>171728.37999999998</v>
      </c>
      <c r="H61" s="633">
        <f>SUM(H13+H22+H34+H40+H48+H54+H60)</f>
        <v>1900</v>
      </c>
    </row>
    <row r="62" spans="1:9" s="566" customFormat="1" ht="50.1" customHeight="1" outlineLevel="1">
      <c r="A62" s="561"/>
      <c r="B62" s="543"/>
      <c r="C62" s="601"/>
      <c r="E62" s="630"/>
      <c r="F62" s="622"/>
      <c r="G62" s="622"/>
      <c r="H62" s="622"/>
    </row>
    <row r="63" spans="1:9" s="592" customFormat="1" ht="50.1" customHeight="1" outlineLevel="1">
      <c r="A63" s="610"/>
      <c r="B63" s="567" t="s">
        <v>486</v>
      </c>
      <c r="C63" s="561"/>
      <c r="D63" s="566"/>
      <c r="E63" s="634"/>
      <c r="I63" s="566"/>
    </row>
    <row r="64" spans="1:9" s="641" customFormat="1" ht="50.1" customHeight="1" outlineLevel="1">
      <c r="A64" s="635">
        <v>33</v>
      </c>
      <c r="B64" s="636" t="s">
        <v>541</v>
      </c>
      <c r="C64" s="637" t="s">
        <v>334</v>
      </c>
      <c r="D64" s="638" t="s">
        <v>9</v>
      </c>
      <c r="E64" s="639">
        <v>3450</v>
      </c>
      <c r="F64" s="639">
        <v>550</v>
      </c>
      <c r="G64" s="640">
        <f>+E64+F64</f>
        <v>4000</v>
      </c>
      <c r="H64" s="640">
        <v>50</v>
      </c>
    </row>
    <row r="65" spans="1:9" s="566" customFormat="1" ht="50.1" customHeight="1" outlineLevel="1">
      <c r="A65" s="561">
        <f>A64+1</f>
        <v>34</v>
      </c>
      <c r="B65" s="571" t="s">
        <v>444</v>
      </c>
      <c r="C65" s="577" t="s">
        <v>82</v>
      </c>
      <c r="D65" s="578" t="s">
        <v>8</v>
      </c>
      <c r="E65" s="603">
        <v>4550</v>
      </c>
      <c r="F65" s="603">
        <v>950</v>
      </c>
      <c r="G65" s="581">
        <f>+E65+F65</f>
        <v>5500</v>
      </c>
      <c r="H65" s="581">
        <v>50</v>
      </c>
    </row>
    <row r="66" spans="1:9" s="539" customFormat="1" ht="50.1" customHeight="1" outlineLevel="1">
      <c r="A66" s="593">
        <f>A65+1</f>
        <v>35</v>
      </c>
      <c r="B66" s="571" t="s">
        <v>463</v>
      </c>
      <c r="C66" s="582" t="s">
        <v>82</v>
      </c>
      <c r="D66" s="582" t="s">
        <v>9</v>
      </c>
      <c r="E66" s="642">
        <v>4400</v>
      </c>
      <c r="F66" s="595">
        <v>1100</v>
      </c>
      <c r="G66" s="581">
        <f>+E66+F66</f>
        <v>5500</v>
      </c>
      <c r="H66" s="581">
        <v>50</v>
      </c>
    </row>
    <row r="67" spans="1:9" s="566" customFormat="1" ht="50.1" customHeight="1" outlineLevel="1">
      <c r="A67" s="561">
        <f>A66+1</f>
        <v>36</v>
      </c>
      <c r="B67" s="576" t="s">
        <v>462</v>
      </c>
      <c r="C67" s="577" t="s">
        <v>475</v>
      </c>
      <c r="D67" s="578" t="s">
        <v>9</v>
      </c>
      <c r="E67" s="605">
        <v>10000</v>
      </c>
      <c r="F67" s="581">
        <v>3000</v>
      </c>
      <c r="G67" s="581">
        <f>+E67+F67</f>
        <v>13000</v>
      </c>
      <c r="H67" s="581">
        <v>150</v>
      </c>
    </row>
    <row r="68" spans="1:9" s="587" customFormat="1" ht="50.1" customHeight="1" outlineLevel="1" thickBot="1">
      <c r="A68" s="561"/>
      <c r="B68" s="543"/>
      <c r="C68" s="601" t="s">
        <v>83</v>
      </c>
      <c r="E68" s="620">
        <f>SUM(E64:E67)</f>
        <v>22400</v>
      </c>
      <c r="F68" s="621">
        <f>SUM(F64:F67)</f>
        <v>5600</v>
      </c>
      <c r="G68" s="621">
        <f>SUM(G64:G67)</f>
        <v>28000</v>
      </c>
      <c r="H68" s="621">
        <f>SUM(H64:H67)</f>
        <v>300</v>
      </c>
    </row>
    <row r="69" spans="1:9" s="587" customFormat="1" ht="50.1" customHeight="1" outlineLevel="1" thickTop="1">
      <c r="A69" s="561"/>
      <c r="B69" s="543" t="s">
        <v>80</v>
      </c>
      <c r="C69" s="601"/>
      <c r="E69" s="643"/>
      <c r="F69" s="644"/>
      <c r="G69" s="644"/>
      <c r="H69" s="644"/>
    </row>
    <row r="70" spans="1:9" s="592" customFormat="1" ht="50.1" customHeight="1" outlineLevel="1">
      <c r="A70" s="610"/>
      <c r="B70" s="567" t="s">
        <v>84</v>
      </c>
      <c r="C70" s="561"/>
      <c r="D70" s="566"/>
      <c r="E70" s="634"/>
      <c r="I70" s="566"/>
    </row>
    <row r="71" spans="1:9" s="592" customFormat="1" ht="50.1" customHeight="1" outlineLevel="1">
      <c r="A71" s="610"/>
      <c r="B71" s="543" t="s">
        <v>85</v>
      </c>
      <c r="C71" s="561"/>
      <c r="D71" s="566"/>
      <c r="E71" s="634"/>
      <c r="I71" s="566"/>
    </row>
    <row r="72" spans="1:9" s="618" customFormat="1" ht="50.1" customHeight="1" outlineLevel="1">
      <c r="A72" s="613">
        <f>+A67+1</f>
        <v>37</v>
      </c>
      <c r="B72" s="645" t="s">
        <v>440</v>
      </c>
      <c r="C72" s="615" t="s">
        <v>86</v>
      </c>
      <c r="D72" s="616" t="s">
        <v>8</v>
      </c>
      <c r="E72" s="598">
        <f>13000</f>
        <v>13000</v>
      </c>
      <c r="F72" s="598">
        <v>9000</v>
      </c>
      <c r="G72" s="617">
        <f>+E72+F72</f>
        <v>22000</v>
      </c>
      <c r="H72" s="617">
        <v>150</v>
      </c>
    </row>
    <row r="73" spans="1:9" s="599" customFormat="1" ht="50.1" customHeight="1" outlineLevel="1">
      <c r="A73" s="613">
        <f>+A72+1</f>
        <v>38</v>
      </c>
      <c r="B73" s="624" t="s">
        <v>441</v>
      </c>
      <c r="C73" s="615" t="s">
        <v>564</v>
      </c>
      <c r="D73" s="597" t="s">
        <v>8</v>
      </c>
      <c r="E73" s="579">
        <v>2959.24</v>
      </c>
      <c r="F73" s="598">
        <v>250</v>
      </c>
      <c r="G73" s="598">
        <f>+E73+F73</f>
        <v>3209.24</v>
      </c>
      <c r="H73" s="598">
        <v>50</v>
      </c>
    </row>
    <row r="74" spans="1:9" s="599" customFormat="1" ht="50.1" customHeight="1" outlineLevel="1">
      <c r="A74" s="613">
        <v>39</v>
      </c>
      <c r="B74" s="624" t="s">
        <v>603</v>
      </c>
      <c r="C74" s="615" t="s">
        <v>564</v>
      </c>
      <c r="D74" s="597" t="s">
        <v>9</v>
      </c>
      <c r="E74" s="579">
        <v>3450</v>
      </c>
      <c r="F74" s="598">
        <v>450</v>
      </c>
      <c r="G74" s="598">
        <v>3900</v>
      </c>
      <c r="H74" s="598">
        <v>50</v>
      </c>
    </row>
    <row r="75" spans="1:9" s="599" customFormat="1" ht="50.1" customHeight="1" outlineLevel="1">
      <c r="A75" s="613">
        <v>40</v>
      </c>
      <c r="B75" s="624" t="s">
        <v>604</v>
      </c>
      <c r="C75" s="615" t="s">
        <v>564</v>
      </c>
      <c r="D75" s="597" t="s">
        <v>9</v>
      </c>
      <c r="E75" s="579">
        <v>3450</v>
      </c>
      <c r="F75" s="598">
        <v>450</v>
      </c>
      <c r="G75" s="598">
        <v>3900</v>
      </c>
      <c r="H75" s="598">
        <v>50</v>
      </c>
    </row>
    <row r="76" spans="1:9" s="606" customFormat="1" ht="50.1" customHeight="1" outlineLevel="1">
      <c r="A76" s="613">
        <v>41</v>
      </c>
      <c r="B76" s="624" t="s">
        <v>485</v>
      </c>
      <c r="C76" s="625" t="s">
        <v>417</v>
      </c>
      <c r="D76" s="604" t="s">
        <v>8</v>
      </c>
      <c r="E76" s="605">
        <v>5000</v>
      </c>
      <c r="F76" s="605">
        <v>1500</v>
      </c>
      <c r="G76" s="605">
        <f>+E76+F76</f>
        <v>6500</v>
      </c>
      <c r="H76" s="605">
        <v>75</v>
      </c>
    </row>
    <row r="77" spans="1:9" s="646" customFormat="1" ht="50.1" customHeight="1" outlineLevel="1">
      <c r="A77" s="613">
        <f>+A76+1</f>
        <v>42</v>
      </c>
      <c r="B77" s="624" t="s">
        <v>447</v>
      </c>
      <c r="C77" s="625" t="s">
        <v>390</v>
      </c>
      <c r="D77" s="604" t="s">
        <v>8</v>
      </c>
      <c r="E77" s="605">
        <v>3250</v>
      </c>
      <c r="F77" s="605">
        <v>750</v>
      </c>
      <c r="G77" s="605">
        <f>+E77+F77</f>
        <v>4000</v>
      </c>
      <c r="H77" s="605">
        <v>50</v>
      </c>
    </row>
    <row r="78" spans="1:9" s="647" customFormat="1" ht="50.1" customHeight="1" outlineLevel="1" thickBot="1">
      <c r="A78" s="623"/>
      <c r="B78" s="543"/>
      <c r="E78" s="648">
        <f>SUM(E72:E77)</f>
        <v>31109.239999999998</v>
      </c>
      <c r="F78" s="648">
        <f>SUM(F72:F77)</f>
        <v>12400</v>
      </c>
      <c r="G78" s="648">
        <f>SUM(G72:G77)</f>
        <v>43509.24</v>
      </c>
      <c r="H78" s="648">
        <f>SUM(H72:H77)</f>
        <v>425</v>
      </c>
    </row>
    <row r="79" spans="1:9" s="606" customFormat="1" ht="50.1" customHeight="1" outlineLevel="1" thickTop="1">
      <c r="A79" s="623"/>
      <c r="B79" s="567" t="s">
        <v>9</v>
      </c>
      <c r="C79" s="623"/>
      <c r="E79" s="649"/>
      <c r="F79" s="649"/>
      <c r="G79" s="649"/>
      <c r="H79" s="649"/>
    </row>
    <row r="80" spans="1:9" s="606" customFormat="1" ht="50.1" customHeight="1" outlineLevel="1">
      <c r="A80" s="623">
        <f>+A77+1</f>
        <v>43</v>
      </c>
      <c r="B80" s="596" t="s">
        <v>471</v>
      </c>
      <c r="C80" s="625" t="s">
        <v>506</v>
      </c>
      <c r="D80" s="625" t="s">
        <v>9</v>
      </c>
      <c r="E80" s="579">
        <v>2959.24</v>
      </c>
      <c r="F80" s="605">
        <v>250</v>
      </c>
      <c r="G80" s="650">
        <f t="shared" ref="G80:G86" si="3">+E80+F80</f>
        <v>3209.24</v>
      </c>
      <c r="H80" s="650">
        <v>50</v>
      </c>
    </row>
    <row r="81" spans="1:8" s="599" customFormat="1" ht="50.1" customHeight="1" outlineLevel="1">
      <c r="A81" s="575">
        <f>+A80+1</f>
        <v>44</v>
      </c>
      <c r="B81" s="596" t="s">
        <v>472</v>
      </c>
      <c r="C81" s="572" t="s">
        <v>506</v>
      </c>
      <c r="D81" s="572" t="s">
        <v>9</v>
      </c>
      <c r="E81" s="579">
        <v>2959.24</v>
      </c>
      <c r="F81" s="598">
        <v>250</v>
      </c>
      <c r="G81" s="651">
        <f t="shared" si="3"/>
        <v>3209.24</v>
      </c>
      <c r="H81" s="650">
        <v>50</v>
      </c>
    </row>
    <row r="82" spans="1:8" s="606" customFormat="1" ht="50.1" customHeight="1" outlineLevel="1">
      <c r="A82" s="575">
        <f t="shared" ref="A82:A96" si="4">+A81+1</f>
        <v>45</v>
      </c>
      <c r="B82" s="596" t="s">
        <v>464</v>
      </c>
      <c r="C82" s="625" t="s">
        <v>508</v>
      </c>
      <c r="D82" s="625" t="s">
        <v>9</v>
      </c>
      <c r="E82" s="579">
        <v>2959.24</v>
      </c>
      <c r="F82" s="605">
        <v>250</v>
      </c>
      <c r="G82" s="650">
        <f t="shared" si="3"/>
        <v>3209.24</v>
      </c>
      <c r="H82" s="650">
        <v>50</v>
      </c>
    </row>
    <row r="83" spans="1:8" s="599" customFormat="1" ht="50.1" customHeight="1" outlineLevel="1">
      <c r="A83" s="575">
        <f t="shared" si="4"/>
        <v>46</v>
      </c>
      <c r="B83" s="596" t="s">
        <v>495</v>
      </c>
      <c r="C83" s="625" t="s">
        <v>508</v>
      </c>
      <c r="D83" s="572" t="s">
        <v>9</v>
      </c>
      <c r="E83" s="579">
        <v>2959.24</v>
      </c>
      <c r="F83" s="598">
        <f>250</f>
        <v>250</v>
      </c>
      <c r="G83" s="651">
        <f t="shared" si="3"/>
        <v>3209.24</v>
      </c>
      <c r="H83" s="650">
        <v>50</v>
      </c>
    </row>
    <row r="84" spans="1:8" s="599" customFormat="1" ht="50.1" customHeight="1" outlineLevel="1">
      <c r="A84" s="575">
        <f t="shared" si="4"/>
        <v>47</v>
      </c>
      <c r="B84" s="596" t="s">
        <v>430</v>
      </c>
      <c r="C84" s="572" t="s">
        <v>509</v>
      </c>
      <c r="D84" s="572" t="s">
        <v>9</v>
      </c>
      <c r="E84" s="579">
        <v>2959.24</v>
      </c>
      <c r="F84" s="598">
        <f>250</f>
        <v>250</v>
      </c>
      <c r="G84" s="651">
        <f t="shared" si="3"/>
        <v>3209.24</v>
      </c>
      <c r="H84" s="650">
        <v>50</v>
      </c>
    </row>
    <row r="85" spans="1:8" s="599" customFormat="1" ht="50.1" customHeight="1" outlineLevel="1">
      <c r="A85" s="575">
        <f t="shared" si="4"/>
        <v>48</v>
      </c>
      <c r="B85" s="596" t="s">
        <v>498</v>
      </c>
      <c r="C85" s="572" t="s">
        <v>509</v>
      </c>
      <c r="D85" s="572" t="s">
        <v>9</v>
      </c>
      <c r="E85" s="579">
        <v>2959.24</v>
      </c>
      <c r="F85" s="598">
        <v>250</v>
      </c>
      <c r="G85" s="651">
        <f t="shared" si="3"/>
        <v>3209.24</v>
      </c>
      <c r="H85" s="650">
        <v>50</v>
      </c>
    </row>
    <row r="86" spans="1:8" s="599" customFormat="1" ht="50.1" customHeight="1" outlineLevel="1">
      <c r="A86" s="575">
        <f t="shared" si="4"/>
        <v>49</v>
      </c>
      <c r="B86" s="596" t="s">
        <v>500</v>
      </c>
      <c r="C86" s="572" t="s">
        <v>509</v>
      </c>
      <c r="D86" s="572" t="s">
        <v>9</v>
      </c>
      <c r="E86" s="579">
        <v>2959.24</v>
      </c>
      <c r="F86" s="574">
        <v>250</v>
      </c>
      <c r="G86" s="652">
        <f t="shared" si="3"/>
        <v>3209.24</v>
      </c>
      <c r="H86" s="650">
        <v>50</v>
      </c>
    </row>
    <row r="87" spans="1:8" s="599" customFormat="1" ht="50.1" customHeight="1" outlineLevel="1">
      <c r="A87" s="575">
        <f t="shared" si="4"/>
        <v>50</v>
      </c>
      <c r="B87" s="596" t="s">
        <v>499</v>
      </c>
      <c r="C87" s="572" t="s">
        <v>484</v>
      </c>
      <c r="D87" s="572" t="s">
        <v>9</v>
      </c>
      <c r="E87" s="579">
        <v>2959.24</v>
      </c>
      <c r="F87" s="598">
        <v>250</v>
      </c>
      <c r="G87" s="652">
        <f>+E87+F87</f>
        <v>3209.24</v>
      </c>
      <c r="H87" s="650">
        <v>50</v>
      </c>
    </row>
    <row r="88" spans="1:8" s="599" customFormat="1" ht="50.1" customHeight="1" outlineLevel="1">
      <c r="A88" s="575">
        <f t="shared" si="4"/>
        <v>51</v>
      </c>
      <c r="B88" s="596" t="s">
        <v>526</v>
      </c>
      <c r="C88" s="572" t="s">
        <v>527</v>
      </c>
      <c r="D88" s="572" t="s">
        <v>9</v>
      </c>
      <c r="E88" s="579">
        <v>2959.24</v>
      </c>
      <c r="F88" s="598">
        <v>250</v>
      </c>
      <c r="G88" s="651">
        <f>+E88+F88</f>
        <v>3209.24</v>
      </c>
      <c r="H88" s="650">
        <v>50</v>
      </c>
    </row>
    <row r="89" spans="1:8" s="599" customFormat="1" ht="50.1" customHeight="1" outlineLevel="1">
      <c r="A89" s="575">
        <f t="shared" si="4"/>
        <v>52</v>
      </c>
      <c r="B89" s="596" t="s">
        <v>528</v>
      </c>
      <c r="C89" s="572" t="s">
        <v>89</v>
      </c>
      <c r="D89" s="572" t="s">
        <v>9</v>
      </c>
      <c r="E89" s="579">
        <v>2959.24</v>
      </c>
      <c r="F89" s="598">
        <v>250</v>
      </c>
      <c r="G89" s="651">
        <f>+E89+F89</f>
        <v>3209.24</v>
      </c>
      <c r="H89" s="650">
        <v>50</v>
      </c>
    </row>
    <row r="90" spans="1:8" s="575" customFormat="1" ht="50.1" customHeight="1" outlineLevel="1">
      <c r="A90" s="575">
        <f t="shared" si="4"/>
        <v>53</v>
      </c>
      <c r="B90" s="596" t="s">
        <v>538</v>
      </c>
      <c r="C90" s="572" t="s">
        <v>88</v>
      </c>
      <c r="D90" s="572" t="s">
        <v>9</v>
      </c>
      <c r="E90" s="579">
        <v>2959.24</v>
      </c>
      <c r="F90" s="574">
        <v>250</v>
      </c>
      <c r="G90" s="652">
        <f t="shared" ref="G90:G96" si="5">+E90+F90</f>
        <v>3209.24</v>
      </c>
      <c r="H90" s="650">
        <v>50</v>
      </c>
    </row>
    <row r="91" spans="1:8" s="575" customFormat="1" ht="50.1" customHeight="1" outlineLevel="1">
      <c r="A91" s="575">
        <f t="shared" si="4"/>
        <v>54</v>
      </c>
      <c r="B91" s="596" t="s">
        <v>542</v>
      </c>
      <c r="C91" s="572" t="s">
        <v>88</v>
      </c>
      <c r="D91" s="572" t="s">
        <v>9</v>
      </c>
      <c r="E91" s="579">
        <v>2959.24</v>
      </c>
      <c r="F91" s="574">
        <v>250</v>
      </c>
      <c r="G91" s="652">
        <f t="shared" si="5"/>
        <v>3209.24</v>
      </c>
      <c r="H91" s="650">
        <v>50</v>
      </c>
    </row>
    <row r="92" spans="1:8" s="575" customFormat="1" ht="50.1" customHeight="1" outlineLevel="1">
      <c r="A92" s="575">
        <f t="shared" si="4"/>
        <v>55</v>
      </c>
      <c r="B92" s="596" t="s">
        <v>543</v>
      </c>
      <c r="C92" s="572" t="s">
        <v>88</v>
      </c>
      <c r="D92" s="572" t="s">
        <v>9</v>
      </c>
      <c r="E92" s="579">
        <v>2959.24</v>
      </c>
      <c r="F92" s="574">
        <v>250</v>
      </c>
      <c r="G92" s="652">
        <f t="shared" si="5"/>
        <v>3209.24</v>
      </c>
      <c r="H92" s="650">
        <v>50</v>
      </c>
    </row>
    <row r="93" spans="1:8" s="575" customFormat="1" ht="50.1" customHeight="1" outlineLevel="1">
      <c r="A93" s="575">
        <f t="shared" si="4"/>
        <v>56</v>
      </c>
      <c r="B93" s="596" t="s">
        <v>548</v>
      </c>
      <c r="C93" s="572" t="s">
        <v>88</v>
      </c>
      <c r="D93" s="572" t="s">
        <v>9</v>
      </c>
      <c r="E93" s="579">
        <v>2959.24</v>
      </c>
      <c r="F93" s="574">
        <v>250</v>
      </c>
      <c r="G93" s="652">
        <f t="shared" si="5"/>
        <v>3209.24</v>
      </c>
      <c r="H93" s="650">
        <v>50</v>
      </c>
    </row>
    <row r="94" spans="1:8" s="575" customFormat="1" ht="50.1" customHeight="1" outlineLevel="1">
      <c r="A94" s="575">
        <f t="shared" si="4"/>
        <v>57</v>
      </c>
      <c r="B94" s="596" t="s">
        <v>549</v>
      </c>
      <c r="C94" s="572" t="s">
        <v>88</v>
      </c>
      <c r="D94" s="572" t="s">
        <v>9</v>
      </c>
      <c r="E94" s="579">
        <v>2959.24</v>
      </c>
      <c r="F94" s="574">
        <v>250</v>
      </c>
      <c r="G94" s="652">
        <f t="shared" si="5"/>
        <v>3209.24</v>
      </c>
      <c r="H94" s="650">
        <v>50</v>
      </c>
    </row>
    <row r="95" spans="1:8" s="575" customFormat="1" ht="50.1" customHeight="1" outlineLevel="1">
      <c r="A95" s="575">
        <f t="shared" si="4"/>
        <v>58</v>
      </c>
      <c r="B95" s="596" t="s">
        <v>550</v>
      </c>
      <c r="C95" s="572" t="s">
        <v>88</v>
      </c>
      <c r="D95" s="572" t="s">
        <v>9</v>
      </c>
      <c r="E95" s="579">
        <v>2959.24</v>
      </c>
      <c r="F95" s="574">
        <v>250</v>
      </c>
      <c r="G95" s="652">
        <f t="shared" si="5"/>
        <v>3209.24</v>
      </c>
      <c r="H95" s="650">
        <v>50</v>
      </c>
    </row>
    <row r="96" spans="1:8" s="575" customFormat="1" ht="50.1" customHeight="1" outlineLevel="1">
      <c r="A96" s="575">
        <f t="shared" si="4"/>
        <v>59</v>
      </c>
      <c r="B96" s="596" t="s">
        <v>539</v>
      </c>
      <c r="C96" s="572" t="s">
        <v>515</v>
      </c>
      <c r="D96" s="572" t="s">
        <v>9</v>
      </c>
      <c r="E96" s="579">
        <v>2959.24</v>
      </c>
      <c r="F96" s="574">
        <v>250</v>
      </c>
      <c r="G96" s="652">
        <f t="shared" si="5"/>
        <v>3209.24</v>
      </c>
      <c r="H96" s="650">
        <v>50</v>
      </c>
    </row>
    <row r="97" spans="1:8" s="646" customFormat="1" ht="50.1" customHeight="1" outlineLevel="1" thickBot="1">
      <c r="A97" s="623"/>
      <c r="B97" s="653"/>
      <c r="C97" s="647" t="s">
        <v>91</v>
      </c>
      <c r="D97" s="654"/>
      <c r="E97" s="648">
        <f>SUM(E80:E96)</f>
        <v>50307.07999999998</v>
      </c>
      <c r="F97" s="648">
        <f>SUM(F80:F96)</f>
        <v>4250</v>
      </c>
      <c r="G97" s="648">
        <f>SUM(G80:G96)</f>
        <v>54557.07999999998</v>
      </c>
      <c r="H97" s="648">
        <f>SUM(H80:H96)</f>
        <v>850</v>
      </c>
    </row>
    <row r="98" spans="1:8" s="566" customFormat="1" ht="50.1" customHeight="1" outlineLevel="1" thickTop="1">
      <c r="A98" s="561"/>
      <c r="B98" s="549"/>
      <c r="C98" s="587"/>
      <c r="D98" s="593"/>
      <c r="E98" s="590"/>
      <c r="F98" s="591"/>
      <c r="G98" s="591"/>
      <c r="H98" s="591"/>
    </row>
    <row r="99" spans="1:8" s="566" customFormat="1" ht="50.1" customHeight="1" outlineLevel="1">
      <c r="A99" s="561"/>
      <c r="B99" s="567" t="s">
        <v>340</v>
      </c>
      <c r="C99" s="561"/>
      <c r="D99" s="593"/>
      <c r="E99" s="634"/>
      <c r="F99" s="592"/>
      <c r="G99" s="592"/>
      <c r="H99" s="592"/>
    </row>
    <row r="100" spans="1:8" s="606" customFormat="1" ht="50.1" customHeight="1" outlineLevel="1">
      <c r="A100" s="623">
        <f>A96+1</f>
        <v>60</v>
      </c>
      <c r="B100" s="596" t="s">
        <v>448</v>
      </c>
      <c r="C100" s="625" t="s">
        <v>89</v>
      </c>
      <c r="D100" s="604" t="s">
        <v>8</v>
      </c>
      <c r="E100" s="579">
        <v>2959.24</v>
      </c>
      <c r="F100" s="605">
        <v>250</v>
      </c>
      <c r="G100" s="650">
        <f t="shared" ref="G100:G107" si="6">+E100+F100</f>
        <v>3209.24</v>
      </c>
      <c r="H100" s="650">
        <v>50</v>
      </c>
    </row>
    <row r="101" spans="1:8" s="606" customFormat="1" ht="50.1" customHeight="1" outlineLevel="1">
      <c r="A101" s="623">
        <f t="shared" ref="A101:A111" si="7">A100+1</f>
        <v>61</v>
      </c>
      <c r="B101" s="596" t="s">
        <v>449</v>
      </c>
      <c r="C101" s="625" t="s">
        <v>89</v>
      </c>
      <c r="D101" s="604" t="s">
        <v>8</v>
      </c>
      <c r="E101" s="579">
        <v>2959.24</v>
      </c>
      <c r="F101" s="605">
        <v>250</v>
      </c>
      <c r="G101" s="650">
        <f t="shared" si="6"/>
        <v>3209.24</v>
      </c>
      <c r="H101" s="650">
        <v>50</v>
      </c>
    </row>
    <row r="102" spans="1:8" s="606" customFormat="1" ht="50.1" customHeight="1" outlineLevel="1">
      <c r="A102" s="623">
        <f t="shared" si="7"/>
        <v>62</v>
      </c>
      <c r="B102" s="596" t="s">
        <v>450</v>
      </c>
      <c r="C102" s="625" t="s">
        <v>89</v>
      </c>
      <c r="D102" s="604" t="s">
        <v>8</v>
      </c>
      <c r="E102" s="579">
        <v>2959.24</v>
      </c>
      <c r="F102" s="605">
        <v>250</v>
      </c>
      <c r="G102" s="650">
        <f t="shared" si="6"/>
        <v>3209.24</v>
      </c>
      <c r="H102" s="650">
        <v>50</v>
      </c>
    </row>
    <row r="103" spans="1:8" s="606" customFormat="1" ht="50.1" customHeight="1" outlineLevel="1">
      <c r="A103" s="623">
        <f t="shared" si="7"/>
        <v>63</v>
      </c>
      <c r="B103" s="596" t="s">
        <v>451</v>
      </c>
      <c r="C103" s="625" t="s">
        <v>89</v>
      </c>
      <c r="D103" s="604" t="s">
        <v>8</v>
      </c>
      <c r="E103" s="579">
        <v>2959.24</v>
      </c>
      <c r="F103" s="605">
        <v>250</v>
      </c>
      <c r="G103" s="650">
        <f t="shared" si="6"/>
        <v>3209.24</v>
      </c>
      <c r="H103" s="650">
        <v>50</v>
      </c>
    </row>
    <row r="104" spans="1:8" s="606" customFormat="1" ht="50.1" customHeight="1" outlineLevel="1">
      <c r="A104" s="623">
        <f t="shared" si="7"/>
        <v>64</v>
      </c>
      <c r="B104" s="596" t="s">
        <v>470</v>
      </c>
      <c r="C104" s="625" t="s">
        <v>88</v>
      </c>
      <c r="D104" s="625" t="s">
        <v>8</v>
      </c>
      <c r="E104" s="579">
        <v>2959.24</v>
      </c>
      <c r="F104" s="605">
        <v>250</v>
      </c>
      <c r="G104" s="650">
        <f t="shared" si="6"/>
        <v>3209.24</v>
      </c>
      <c r="H104" s="650">
        <v>50</v>
      </c>
    </row>
    <row r="105" spans="1:8" s="606" customFormat="1" ht="50.1" customHeight="1" outlineLevel="1">
      <c r="A105" s="623">
        <f t="shared" si="7"/>
        <v>65</v>
      </c>
      <c r="B105" s="596" t="s">
        <v>511</v>
      </c>
      <c r="C105" s="625" t="s">
        <v>88</v>
      </c>
      <c r="D105" s="625" t="s">
        <v>8</v>
      </c>
      <c r="E105" s="579">
        <v>2959.24</v>
      </c>
      <c r="F105" s="605">
        <v>250</v>
      </c>
      <c r="G105" s="650">
        <f t="shared" si="6"/>
        <v>3209.24</v>
      </c>
      <c r="H105" s="650">
        <v>50</v>
      </c>
    </row>
    <row r="106" spans="1:8" s="606" customFormat="1" ht="50.1" customHeight="1" outlineLevel="1">
      <c r="A106" s="623">
        <f t="shared" si="7"/>
        <v>66</v>
      </c>
      <c r="B106" s="624" t="s">
        <v>442</v>
      </c>
      <c r="C106" s="625" t="s">
        <v>89</v>
      </c>
      <c r="D106" s="604" t="s">
        <v>8</v>
      </c>
      <c r="E106" s="579">
        <v>2959.24</v>
      </c>
      <c r="F106" s="605">
        <f>250</f>
        <v>250</v>
      </c>
      <c r="G106" s="650">
        <f t="shared" si="6"/>
        <v>3209.24</v>
      </c>
      <c r="H106" s="650">
        <v>50</v>
      </c>
    </row>
    <row r="107" spans="1:8" s="606" customFormat="1" ht="50.1" customHeight="1" outlineLevel="1">
      <c r="A107" s="623">
        <f t="shared" si="7"/>
        <v>67</v>
      </c>
      <c r="B107" s="624" t="s">
        <v>443</v>
      </c>
      <c r="C107" s="625" t="s">
        <v>89</v>
      </c>
      <c r="D107" s="604" t="s">
        <v>8</v>
      </c>
      <c r="E107" s="579">
        <v>2959.24</v>
      </c>
      <c r="F107" s="605">
        <f>250</f>
        <v>250</v>
      </c>
      <c r="G107" s="650">
        <f t="shared" si="6"/>
        <v>3209.24</v>
      </c>
      <c r="H107" s="650">
        <v>50</v>
      </c>
    </row>
    <row r="108" spans="1:8" s="657" customFormat="1" ht="50.1" customHeight="1" outlineLevel="1">
      <c r="A108" s="623">
        <f t="shared" si="7"/>
        <v>68</v>
      </c>
      <c r="B108" s="596" t="s">
        <v>521</v>
      </c>
      <c r="C108" s="572" t="s">
        <v>89</v>
      </c>
      <c r="D108" s="572" t="s">
        <v>8</v>
      </c>
      <c r="E108" s="579">
        <v>2959.24</v>
      </c>
      <c r="F108" s="655">
        <f>250</f>
        <v>250</v>
      </c>
      <c r="G108" s="656">
        <f>+E108+F108</f>
        <v>3209.24</v>
      </c>
      <c r="H108" s="650">
        <v>50</v>
      </c>
    </row>
    <row r="109" spans="1:8" s="657" customFormat="1" ht="50.1" customHeight="1" outlineLevel="1">
      <c r="A109" s="623">
        <f t="shared" si="7"/>
        <v>69</v>
      </c>
      <c r="B109" s="596" t="s">
        <v>523</v>
      </c>
      <c r="C109" s="572" t="s">
        <v>89</v>
      </c>
      <c r="D109" s="572" t="s">
        <v>8</v>
      </c>
      <c r="E109" s="579">
        <v>2959.24</v>
      </c>
      <c r="F109" s="655">
        <f>250</f>
        <v>250</v>
      </c>
      <c r="G109" s="656">
        <f>+E109+F109</f>
        <v>3209.24</v>
      </c>
      <c r="H109" s="650">
        <v>50</v>
      </c>
    </row>
    <row r="110" spans="1:8" s="657" customFormat="1" ht="50.1" customHeight="1" outlineLevel="1">
      <c r="A110" s="623">
        <f t="shared" si="7"/>
        <v>70</v>
      </c>
      <c r="B110" s="596" t="s">
        <v>524</v>
      </c>
      <c r="C110" s="572" t="s">
        <v>89</v>
      </c>
      <c r="D110" s="572" t="s">
        <v>8</v>
      </c>
      <c r="E110" s="579">
        <v>2959.24</v>
      </c>
      <c r="F110" s="655">
        <f>250</f>
        <v>250</v>
      </c>
      <c r="G110" s="656">
        <f>+E110+F110</f>
        <v>3209.24</v>
      </c>
      <c r="H110" s="650">
        <v>50</v>
      </c>
    </row>
    <row r="111" spans="1:8" s="657" customFormat="1" ht="50.1" customHeight="1" outlineLevel="1">
      <c r="A111" s="623">
        <f t="shared" si="7"/>
        <v>71</v>
      </c>
      <c r="B111" s="596" t="s">
        <v>525</v>
      </c>
      <c r="C111" s="572" t="s">
        <v>89</v>
      </c>
      <c r="D111" s="572" t="s">
        <v>8</v>
      </c>
      <c r="E111" s="579">
        <v>2959.24</v>
      </c>
      <c r="F111" s="655">
        <f>250</f>
        <v>250</v>
      </c>
      <c r="G111" s="656">
        <f>+E111+F111</f>
        <v>3209.24</v>
      </c>
      <c r="H111" s="650">
        <v>50</v>
      </c>
    </row>
    <row r="112" spans="1:8" s="647" customFormat="1" ht="50.1" customHeight="1" outlineLevel="1" thickBot="1">
      <c r="A112" s="623"/>
      <c r="B112" s="653"/>
      <c r="C112" s="647" t="s">
        <v>92</v>
      </c>
      <c r="E112" s="648">
        <f>SUM(E100:E111)</f>
        <v>35510.87999999999</v>
      </c>
      <c r="F112" s="648">
        <f>SUM(F100:F111)</f>
        <v>3000</v>
      </c>
      <c r="G112" s="648">
        <f>SUM(G100:G111)</f>
        <v>38510.87999999999</v>
      </c>
      <c r="H112" s="648">
        <f>SUM(H100:H111)</f>
        <v>600</v>
      </c>
    </row>
    <row r="113" spans="1:9" s="606" customFormat="1" ht="50.1" customHeight="1" outlineLevel="1" thickTop="1">
      <c r="A113" s="623"/>
      <c r="B113" s="549"/>
      <c r="C113" s="654"/>
      <c r="E113" s="643"/>
      <c r="F113" s="643"/>
      <c r="G113" s="643"/>
      <c r="H113" s="643"/>
    </row>
    <row r="114" spans="1:9" s="606" customFormat="1" ht="50.1" customHeight="1" outlineLevel="1">
      <c r="A114" s="623"/>
      <c r="B114" s="567" t="s">
        <v>362</v>
      </c>
      <c r="C114" s="654"/>
      <c r="E114" s="643"/>
      <c r="F114" s="643"/>
      <c r="G114" s="643"/>
      <c r="H114" s="643"/>
    </row>
    <row r="115" spans="1:9" s="606" customFormat="1" ht="50.1" customHeight="1" outlineLevel="1">
      <c r="A115" s="623">
        <f>A111+1</f>
        <v>72</v>
      </c>
      <c r="B115" s="571" t="s">
        <v>465</v>
      </c>
      <c r="C115" s="625" t="s">
        <v>363</v>
      </c>
      <c r="D115" s="604" t="s">
        <v>9</v>
      </c>
      <c r="E115" s="579">
        <v>2959.24</v>
      </c>
      <c r="F115" s="605">
        <v>250</v>
      </c>
      <c r="G115" s="650">
        <f>+E115+F115</f>
        <v>3209.24</v>
      </c>
      <c r="H115" s="650">
        <v>50</v>
      </c>
    </row>
    <row r="116" spans="1:9" s="599" customFormat="1" ht="50.1" customHeight="1" outlineLevel="1">
      <c r="A116" s="575">
        <f>A115+1</f>
        <v>73</v>
      </c>
      <c r="B116" s="596" t="s">
        <v>532</v>
      </c>
      <c r="C116" s="596" t="s">
        <v>363</v>
      </c>
      <c r="D116" s="572" t="s">
        <v>8</v>
      </c>
      <c r="E116" s="579">
        <v>2959.24</v>
      </c>
      <c r="F116" s="598">
        <f>250</f>
        <v>250</v>
      </c>
      <c r="G116" s="651">
        <f>+E116+F116</f>
        <v>3209.24</v>
      </c>
      <c r="H116" s="651">
        <v>50</v>
      </c>
    </row>
    <row r="117" spans="1:9" s="647" customFormat="1" ht="50.1" customHeight="1" outlineLevel="1">
      <c r="A117" s="623"/>
      <c r="B117" s="543"/>
      <c r="C117" s="647" t="s">
        <v>364</v>
      </c>
      <c r="E117" s="658">
        <f>SUM(E115:E116)</f>
        <v>5918.48</v>
      </c>
      <c r="F117" s="658">
        <f>SUM(F115:F116)</f>
        <v>500</v>
      </c>
      <c r="G117" s="658">
        <f>SUM(G115:G116)</f>
        <v>6418.48</v>
      </c>
      <c r="H117" s="658">
        <f>SUM(H115:H116)</f>
        <v>100</v>
      </c>
    </row>
    <row r="118" spans="1:9" s="606" customFormat="1" ht="50.1" customHeight="1" outlineLevel="1" thickBot="1">
      <c r="A118" s="623"/>
      <c r="B118" s="549"/>
      <c r="C118" s="654" t="s">
        <v>365</v>
      </c>
      <c r="E118" s="659">
        <f>SUM(E97+E112+E117)</f>
        <v>91736.439999999959</v>
      </c>
      <c r="F118" s="659">
        <f>SUM(F97+F112+F117)</f>
        <v>7750</v>
      </c>
      <c r="G118" s="659">
        <f>SUM(G97+G112+G117)</f>
        <v>99486.439999999959</v>
      </c>
      <c r="H118" s="659">
        <f>SUM(H97+H112+H117)</f>
        <v>1550</v>
      </c>
    </row>
    <row r="119" spans="1:9" s="634" customFormat="1" ht="50.1" customHeight="1" outlineLevel="1" thickTop="1">
      <c r="A119" s="660"/>
      <c r="B119" s="567" t="s">
        <v>99</v>
      </c>
      <c r="C119" s="623"/>
      <c r="D119" s="606"/>
      <c r="I119" s="606"/>
    </row>
    <row r="120" spans="1:9" s="634" customFormat="1" ht="50.1" customHeight="1" outlineLevel="1">
      <c r="A120" s="660"/>
      <c r="B120" s="661" t="s">
        <v>100</v>
      </c>
      <c r="C120" s="623"/>
      <c r="D120" s="606"/>
      <c r="I120" s="606"/>
    </row>
    <row r="121" spans="1:9" s="606" customFormat="1" ht="50.1" customHeight="1" outlineLevel="1">
      <c r="A121" s="575">
        <f>A116+1</f>
        <v>74</v>
      </c>
      <c r="B121" s="624" t="s">
        <v>101</v>
      </c>
      <c r="C121" s="625" t="s">
        <v>102</v>
      </c>
      <c r="D121" s="625" t="s">
        <v>9</v>
      </c>
      <c r="E121" s="662">
        <v>6000</v>
      </c>
      <c r="F121" s="662">
        <v>2000</v>
      </c>
      <c r="G121" s="662">
        <f t="shared" ref="G121:G127" si="8">+E121+F121</f>
        <v>8000</v>
      </c>
      <c r="H121" s="662">
        <v>75</v>
      </c>
    </row>
    <row r="122" spans="1:9" s="606" customFormat="1" ht="50.1" customHeight="1" outlineLevel="1">
      <c r="A122" s="575">
        <f>A121+1</f>
        <v>75</v>
      </c>
      <c r="B122" s="624" t="s">
        <v>469</v>
      </c>
      <c r="C122" s="625" t="s">
        <v>411</v>
      </c>
      <c r="D122" s="625" t="s">
        <v>9</v>
      </c>
      <c r="E122" s="662">
        <v>3000</v>
      </c>
      <c r="F122" s="662">
        <v>1000</v>
      </c>
      <c r="G122" s="662">
        <f t="shared" si="8"/>
        <v>4000</v>
      </c>
      <c r="H122" s="662">
        <v>50</v>
      </c>
    </row>
    <row r="123" spans="1:9" s="606" customFormat="1" ht="50.1" customHeight="1" outlineLevel="1">
      <c r="A123" s="575">
        <f t="shared" ref="A123:A129" si="9">A122+1</f>
        <v>76</v>
      </c>
      <c r="B123" s="596" t="s">
        <v>428</v>
      </c>
      <c r="C123" s="625" t="s">
        <v>107</v>
      </c>
      <c r="D123" s="604" t="s">
        <v>8</v>
      </c>
      <c r="E123" s="579">
        <v>2959.24</v>
      </c>
      <c r="F123" s="605">
        <v>450</v>
      </c>
      <c r="G123" s="605">
        <f t="shared" si="8"/>
        <v>3409.24</v>
      </c>
      <c r="H123" s="662">
        <v>50</v>
      </c>
    </row>
    <row r="124" spans="1:9" s="606" customFormat="1" ht="50.1" customHeight="1" outlineLevel="1">
      <c r="A124" s="575">
        <f>A123+1</f>
        <v>77</v>
      </c>
      <c r="B124" s="624" t="s">
        <v>438</v>
      </c>
      <c r="C124" s="625" t="s">
        <v>54</v>
      </c>
      <c r="D124" s="604" t="s">
        <v>8</v>
      </c>
      <c r="E124" s="579">
        <v>2959.24</v>
      </c>
      <c r="F124" s="605">
        <v>1400</v>
      </c>
      <c r="G124" s="650">
        <f t="shared" si="8"/>
        <v>4359.24</v>
      </c>
      <c r="H124" s="662">
        <v>50</v>
      </c>
    </row>
    <row r="125" spans="1:9" s="606" customFormat="1" ht="50.1" customHeight="1" outlineLevel="1">
      <c r="A125" s="575">
        <f t="shared" si="9"/>
        <v>78</v>
      </c>
      <c r="B125" s="596" t="s">
        <v>439</v>
      </c>
      <c r="C125" s="625" t="s">
        <v>337</v>
      </c>
      <c r="D125" s="604" t="s">
        <v>8</v>
      </c>
      <c r="E125" s="579">
        <v>2959.24</v>
      </c>
      <c r="F125" s="605">
        <v>750</v>
      </c>
      <c r="G125" s="650">
        <f t="shared" si="8"/>
        <v>3709.24</v>
      </c>
      <c r="H125" s="662">
        <v>50</v>
      </c>
    </row>
    <row r="126" spans="1:9" s="606" customFormat="1" ht="50.1" customHeight="1" outlineLevel="1">
      <c r="A126" s="575">
        <f t="shared" si="9"/>
        <v>79</v>
      </c>
      <c r="B126" s="596" t="s">
        <v>429</v>
      </c>
      <c r="C126" s="625" t="s">
        <v>337</v>
      </c>
      <c r="D126" s="604" t="s">
        <v>8</v>
      </c>
      <c r="E126" s="579">
        <v>2959.24</v>
      </c>
      <c r="F126" s="605">
        <v>750</v>
      </c>
      <c r="G126" s="650">
        <f t="shared" si="8"/>
        <v>3709.24</v>
      </c>
      <c r="H126" s="662">
        <v>50</v>
      </c>
    </row>
    <row r="127" spans="1:9" s="657" customFormat="1" ht="50.1" customHeight="1" outlineLevel="1">
      <c r="A127" s="575">
        <f t="shared" si="9"/>
        <v>80</v>
      </c>
      <c r="B127" s="596" t="s">
        <v>493</v>
      </c>
      <c r="C127" s="572" t="s">
        <v>488</v>
      </c>
      <c r="D127" s="572" t="s">
        <v>9</v>
      </c>
      <c r="E127" s="663">
        <v>3000</v>
      </c>
      <c r="F127" s="655">
        <v>250</v>
      </c>
      <c r="G127" s="655">
        <f t="shared" si="8"/>
        <v>3250</v>
      </c>
      <c r="H127" s="662">
        <v>50</v>
      </c>
    </row>
    <row r="128" spans="1:9" s="575" customFormat="1" ht="50.1" customHeight="1" outlineLevel="1">
      <c r="A128" s="575">
        <f t="shared" si="9"/>
        <v>81</v>
      </c>
      <c r="B128" s="596" t="s">
        <v>502</v>
      </c>
      <c r="C128" s="572" t="s">
        <v>54</v>
      </c>
      <c r="D128" s="572" t="s">
        <v>8</v>
      </c>
      <c r="E128" s="579">
        <v>2959.24</v>
      </c>
      <c r="F128" s="574">
        <f>1150+250</f>
        <v>1400</v>
      </c>
      <c r="G128" s="652">
        <f>+E128+F128</f>
        <v>4359.24</v>
      </c>
      <c r="H128" s="662">
        <v>50</v>
      </c>
    </row>
    <row r="129" spans="1:8" s="599" customFormat="1" ht="50.1" customHeight="1" outlineLevel="1">
      <c r="A129" s="575">
        <f t="shared" si="9"/>
        <v>82</v>
      </c>
      <c r="B129" s="596" t="s">
        <v>518</v>
      </c>
      <c r="C129" s="572" t="s">
        <v>107</v>
      </c>
      <c r="D129" s="572" t="s">
        <v>8</v>
      </c>
      <c r="E129" s="579">
        <v>2959.24</v>
      </c>
      <c r="F129" s="598">
        <f>250+150</f>
        <v>400</v>
      </c>
      <c r="G129" s="651">
        <f>+E129+F129</f>
        <v>3359.24</v>
      </c>
      <c r="H129" s="662">
        <v>50</v>
      </c>
    </row>
    <row r="130" spans="1:8" s="646" customFormat="1" ht="50.1" customHeight="1" outlineLevel="1" thickBot="1">
      <c r="A130" s="623"/>
      <c r="B130" s="653"/>
      <c r="C130" s="647" t="s">
        <v>105</v>
      </c>
      <c r="E130" s="648">
        <f>SUM(E121:E129)</f>
        <v>29755.439999999995</v>
      </c>
      <c r="F130" s="648">
        <f>SUM(F121:F129)</f>
        <v>8400</v>
      </c>
      <c r="G130" s="648">
        <f>SUM(G121:G129)</f>
        <v>38155.439999999995</v>
      </c>
      <c r="H130" s="648">
        <f>SUM(H121:H129)</f>
        <v>475</v>
      </c>
    </row>
    <row r="131" spans="1:8" s="606" customFormat="1" ht="50.1" customHeight="1" outlineLevel="1" thickTop="1">
      <c r="A131" s="623"/>
      <c r="B131" s="661" t="s">
        <v>277</v>
      </c>
      <c r="C131" s="623"/>
      <c r="E131" s="634"/>
      <c r="F131" s="634"/>
      <c r="G131" s="634"/>
      <c r="H131" s="634"/>
    </row>
    <row r="132" spans="1:8" s="647" customFormat="1" ht="50.1" customHeight="1" outlineLevel="1">
      <c r="A132" s="575">
        <f>A129+1</f>
        <v>83</v>
      </c>
      <c r="B132" s="624" t="s">
        <v>425</v>
      </c>
      <c r="C132" s="625" t="s">
        <v>103</v>
      </c>
      <c r="D132" s="625" t="s">
        <v>8</v>
      </c>
      <c r="E132" s="579">
        <v>2959.24</v>
      </c>
      <c r="F132" s="662">
        <f>500</f>
        <v>500</v>
      </c>
      <c r="G132" s="662">
        <f t="shared" ref="G132:G137" si="10">+E132+F132</f>
        <v>3459.24</v>
      </c>
      <c r="H132" s="662">
        <v>50</v>
      </c>
    </row>
    <row r="133" spans="1:8" s="647" customFormat="1" ht="50.1" customHeight="1" outlineLevel="1">
      <c r="A133" s="575">
        <f>+A132+1</f>
        <v>84</v>
      </c>
      <c r="B133" s="624" t="s">
        <v>560</v>
      </c>
      <c r="C133" s="625" t="s">
        <v>561</v>
      </c>
      <c r="D133" s="625" t="s">
        <v>8</v>
      </c>
      <c r="E133" s="662">
        <v>3000</v>
      </c>
      <c r="F133" s="664">
        <f>1000</f>
        <v>1000</v>
      </c>
      <c r="G133" s="662">
        <f t="shared" si="10"/>
        <v>4000</v>
      </c>
      <c r="H133" s="662">
        <v>50</v>
      </c>
    </row>
    <row r="134" spans="1:8" s="575" customFormat="1" ht="50.1" customHeight="1" outlineLevel="1">
      <c r="A134" s="575">
        <f>+A133+1</f>
        <v>85</v>
      </c>
      <c r="B134" s="596" t="s">
        <v>519</v>
      </c>
      <c r="C134" s="572" t="s">
        <v>107</v>
      </c>
      <c r="D134" s="572" t="s">
        <v>9</v>
      </c>
      <c r="E134" s="579">
        <v>2959.24</v>
      </c>
      <c r="F134" s="574">
        <f>250+150</f>
        <v>400</v>
      </c>
      <c r="G134" s="574">
        <f t="shared" si="10"/>
        <v>3359.24</v>
      </c>
      <c r="H134" s="662">
        <v>50</v>
      </c>
    </row>
    <row r="135" spans="1:8" s="575" customFormat="1" ht="50.1" customHeight="1" outlineLevel="1">
      <c r="A135" s="575">
        <f>+A134+1</f>
        <v>86</v>
      </c>
      <c r="B135" s="596" t="s">
        <v>566</v>
      </c>
      <c r="C135" s="572" t="s">
        <v>107</v>
      </c>
      <c r="D135" s="572" t="s">
        <v>8</v>
      </c>
      <c r="E135" s="579">
        <v>2959.24</v>
      </c>
      <c r="F135" s="574">
        <v>250</v>
      </c>
      <c r="G135" s="574">
        <f t="shared" si="10"/>
        <v>3209.24</v>
      </c>
      <c r="H135" s="662">
        <v>50</v>
      </c>
    </row>
    <row r="136" spans="1:8" s="654" customFormat="1" ht="50.1" customHeight="1" outlineLevel="1">
      <c r="A136" s="575">
        <f>+A135+1</f>
        <v>87</v>
      </c>
      <c r="B136" s="596" t="s">
        <v>537</v>
      </c>
      <c r="C136" s="572" t="s">
        <v>103</v>
      </c>
      <c r="D136" s="572" t="s">
        <v>8</v>
      </c>
      <c r="E136" s="579">
        <v>2959.24</v>
      </c>
      <c r="F136" s="574">
        <f>500</f>
        <v>500</v>
      </c>
      <c r="G136" s="574">
        <f t="shared" si="10"/>
        <v>3459.24</v>
      </c>
      <c r="H136" s="662">
        <v>50</v>
      </c>
    </row>
    <row r="137" spans="1:8" s="613" customFormat="1" ht="50.1" customHeight="1" outlineLevel="1">
      <c r="A137" s="575">
        <f>+A136+1</f>
        <v>88</v>
      </c>
      <c r="B137" s="645" t="s">
        <v>540</v>
      </c>
      <c r="C137" s="615" t="s">
        <v>501</v>
      </c>
      <c r="D137" s="615" t="s">
        <v>8</v>
      </c>
      <c r="E137" s="579">
        <v>2959.24</v>
      </c>
      <c r="F137" s="664">
        <v>250</v>
      </c>
      <c r="G137" s="664">
        <f t="shared" si="10"/>
        <v>3209.24</v>
      </c>
      <c r="H137" s="662">
        <v>50</v>
      </c>
    </row>
    <row r="138" spans="1:8" s="647" customFormat="1" ht="50.1" customHeight="1" outlineLevel="1">
      <c r="A138" s="623"/>
      <c r="B138" s="653"/>
      <c r="C138" s="654" t="s">
        <v>108</v>
      </c>
      <c r="E138" s="665">
        <f>SUM(E132:E137)</f>
        <v>17796.199999999997</v>
      </c>
      <c r="F138" s="665">
        <f>SUM(F132:F137)</f>
        <v>2900</v>
      </c>
      <c r="G138" s="665">
        <f>SUM(G132:G137)</f>
        <v>20696.199999999997</v>
      </c>
      <c r="H138" s="665">
        <f>SUM(H132:H137)</f>
        <v>300</v>
      </c>
    </row>
    <row r="139" spans="1:8" s="647" customFormat="1" ht="50.1" customHeight="1" outlineLevel="1" thickBot="1">
      <c r="A139" s="623"/>
      <c r="B139" s="543"/>
      <c r="C139" s="654" t="s">
        <v>109</v>
      </c>
      <c r="E139" s="666">
        <f>SUM(E130+E138)</f>
        <v>47551.639999999992</v>
      </c>
      <c r="F139" s="666">
        <f>SUM(F130+F138)</f>
        <v>11300</v>
      </c>
      <c r="G139" s="666">
        <f>SUM(G130+G138)</f>
        <v>58851.639999999992</v>
      </c>
      <c r="H139" s="666">
        <f>SUM(H130+H138)</f>
        <v>775</v>
      </c>
    </row>
    <row r="140" spans="1:8" s="606" customFormat="1" ht="50.1" customHeight="1" outlineLevel="1" thickTop="1">
      <c r="A140" s="623"/>
      <c r="B140" s="567" t="s">
        <v>110</v>
      </c>
      <c r="C140" s="623"/>
      <c r="E140" s="634"/>
      <c r="F140" s="634"/>
      <c r="G140" s="634"/>
      <c r="H140" s="634"/>
    </row>
    <row r="141" spans="1:8" s="606" customFormat="1" ht="50.1" customHeight="1" outlineLevel="1">
      <c r="A141" s="623">
        <f>+A137+1</f>
        <v>89</v>
      </c>
      <c r="B141" s="624" t="s">
        <v>421</v>
      </c>
      <c r="C141" s="625" t="s">
        <v>111</v>
      </c>
      <c r="D141" s="604" t="s">
        <v>8</v>
      </c>
      <c r="E141" s="605">
        <v>3500</v>
      </c>
      <c r="F141" s="605">
        <v>700</v>
      </c>
      <c r="G141" s="605">
        <f>+E141+F141</f>
        <v>4200</v>
      </c>
      <c r="H141" s="605">
        <v>50</v>
      </c>
    </row>
    <row r="142" spans="1:8" s="606" customFormat="1" ht="50.1" customHeight="1" outlineLevel="1">
      <c r="A142" s="623">
        <f>+A141+1</f>
        <v>90</v>
      </c>
      <c r="B142" s="624" t="s">
        <v>422</v>
      </c>
      <c r="C142" s="625" t="s">
        <v>112</v>
      </c>
      <c r="D142" s="604" t="s">
        <v>8</v>
      </c>
      <c r="E142" s="603">
        <v>2975</v>
      </c>
      <c r="F142" s="605">
        <f>700</f>
        <v>700</v>
      </c>
      <c r="G142" s="605">
        <f>+E142+F142</f>
        <v>3675</v>
      </c>
      <c r="H142" s="605">
        <v>50</v>
      </c>
    </row>
    <row r="143" spans="1:8" s="606" customFormat="1" ht="50.1" customHeight="1" outlineLevel="1">
      <c r="A143" s="623">
        <f>+A142+1</f>
        <v>91</v>
      </c>
      <c r="B143" s="624" t="s">
        <v>468</v>
      </c>
      <c r="C143" s="625" t="s">
        <v>487</v>
      </c>
      <c r="D143" s="604" t="s">
        <v>9</v>
      </c>
      <c r="E143" s="579">
        <v>2959.24</v>
      </c>
      <c r="F143" s="605">
        <v>250</v>
      </c>
      <c r="G143" s="650">
        <f>+E143+F143</f>
        <v>3209.24</v>
      </c>
      <c r="H143" s="650">
        <v>50</v>
      </c>
    </row>
    <row r="144" spans="1:8" s="627" customFormat="1" ht="50.1" customHeight="1" outlineLevel="1" thickBot="1">
      <c r="A144" s="561"/>
      <c r="B144" s="543"/>
      <c r="C144" s="601" t="s">
        <v>113</v>
      </c>
      <c r="E144" s="620">
        <f>SUM(E141:E143)</f>
        <v>9434.24</v>
      </c>
      <c r="F144" s="621">
        <f>SUM(F141:F143)</f>
        <v>1650</v>
      </c>
      <c r="G144" s="621">
        <f>SUM(G141:G143)</f>
        <v>11084.24</v>
      </c>
      <c r="H144" s="621">
        <f>SUM(H141:H143)</f>
        <v>150</v>
      </c>
    </row>
    <row r="145" spans="1:9" s="612" customFormat="1" ht="50.1" customHeight="1" outlineLevel="1" thickTop="1">
      <c r="A145" s="610"/>
      <c r="B145" s="543"/>
      <c r="C145" s="601" t="s">
        <v>114</v>
      </c>
      <c r="D145" s="627"/>
      <c r="E145" s="643">
        <f>SUM(E68+E78+E97+E112+E117+E130+E138+E144)</f>
        <v>202231.55999999994</v>
      </c>
      <c r="F145" s="643">
        <f>SUM(F68+F78+F97+F112+F117+F130+F138+F144)</f>
        <v>38700</v>
      </c>
      <c r="G145" s="643">
        <f>SUM(G68+G78+G97+G112+G117+G130+G138+G144)</f>
        <v>240931.55999999994</v>
      </c>
      <c r="H145" s="643">
        <f>SUM(H68+H78+H97+H112+H117+H130+H138+H144)</f>
        <v>3200</v>
      </c>
      <c r="I145" s="627"/>
    </row>
    <row r="146" spans="1:9" s="612" customFormat="1" ht="50.1" customHeight="1" outlineLevel="1">
      <c r="A146" s="610"/>
      <c r="B146" s="543"/>
      <c r="C146" s="601"/>
      <c r="D146" s="627"/>
      <c r="E146" s="611"/>
      <c r="I146" s="627"/>
    </row>
    <row r="147" spans="1:9" s="612" customFormat="1" ht="50.1" customHeight="1" outlineLevel="1">
      <c r="A147" s="610"/>
      <c r="B147" s="543" t="s">
        <v>115</v>
      </c>
      <c r="C147" s="601"/>
      <c r="D147" s="627"/>
      <c r="E147" s="611"/>
      <c r="I147" s="627"/>
    </row>
    <row r="148" spans="1:9" s="612" customFormat="1" ht="50.1" customHeight="1" outlineLevel="1">
      <c r="A148" s="610"/>
      <c r="B148" s="567" t="s">
        <v>116</v>
      </c>
      <c r="C148" s="587"/>
      <c r="D148" s="627"/>
      <c r="E148" s="611"/>
      <c r="I148" s="627"/>
    </row>
    <row r="149" spans="1:9" s="612" customFormat="1" ht="50.1" customHeight="1" outlineLevel="1">
      <c r="A149" s="610"/>
      <c r="B149" s="567" t="s">
        <v>198</v>
      </c>
      <c r="C149" s="587"/>
      <c r="D149" s="627"/>
      <c r="E149" s="611"/>
      <c r="I149" s="627"/>
    </row>
    <row r="150" spans="1:9" s="586" customFormat="1" ht="50.1" customHeight="1" outlineLevel="1">
      <c r="A150" s="593">
        <f>A143+1</f>
        <v>92</v>
      </c>
      <c r="B150" s="596" t="s">
        <v>467</v>
      </c>
      <c r="C150" s="572" t="s">
        <v>374</v>
      </c>
      <c r="D150" s="667" t="s">
        <v>9</v>
      </c>
      <c r="E150" s="574">
        <v>19460</v>
      </c>
      <c r="F150" s="585">
        <v>250</v>
      </c>
      <c r="G150" s="585">
        <f t="shared" ref="G150:G156" si="11">+E150+F150</f>
        <v>19710</v>
      </c>
      <c r="H150" s="585">
        <v>150</v>
      </c>
    </row>
    <row r="151" spans="1:9" s="539" customFormat="1" ht="50.1" customHeight="1" outlineLevel="1">
      <c r="A151" s="593">
        <f>A150+1</f>
        <v>93</v>
      </c>
      <c r="B151" s="596" t="s">
        <v>513</v>
      </c>
      <c r="C151" s="572" t="s">
        <v>374</v>
      </c>
      <c r="D151" s="582" t="s">
        <v>8</v>
      </c>
      <c r="E151" s="574">
        <v>10000</v>
      </c>
      <c r="F151" s="595">
        <f>3750+250</f>
        <v>4000</v>
      </c>
      <c r="G151" s="595">
        <f t="shared" si="11"/>
        <v>14000</v>
      </c>
      <c r="H151" s="595">
        <v>150</v>
      </c>
    </row>
    <row r="152" spans="1:9" s="539" customFormat="1" ht="50.1" customHeight="1" outlineLevel="1">
      <c r="A152" s="593">
        <f>A151+1</f>
        <v>94</v>
      </c>
      <c r="B152" s="571" t="s">
        <v>370</v>
      </c>
      <c r="C152" s="582" t="s">
        <v>412</v>
      </c>
      <c r="D152" s="582" t="s">
        <v>8</v>
      </c>
      <c r="E152" s="574">
        <v>3000</v>
      </c>
      <c r="F152" s="595">
        <f>250+1500</f>
        <v>1750</v>
      </c>
      <c r="G152" s="595">
        <f t="shared" si="11"/>
        <v>4750</v>
      </c>
      <c r="H152" s="595">
        <v>50</v>
      </c>
    </row>
    <row r="153" spans="1:9" s="657" customFormat="1" ht="50.1" customHeight="1" outlineLevel="1">
      <c r="A153" s="593">
        <f>A152+1</f>
        <v>95</v>
      </c>
      <c r="B153" s="596" t="s">
        <v>427</v>
      </c>
      <c r="C153" s="572" t="s">
        <v>477</v>
      </c>
      <c r="D153" s="572" t="s">
        <v>8</v>
      </c>
      <c r="E153" s="574">
        <v>4000</v>
      </c>
      <c r="F153" s="598">
        <v>550</v>
      </c>
      <c r="G153" s="598">
        <f t="shared" si="11"/>
        <v>4550</v>
      </c>
      <c r="H153" s="595">
        <v>50</v>
      </c>
    </row>
    <row r="154" spans="1:9" s="657" customFormat="1" ht="50.1" customHeight="1" outlineLevel="1">
      <c r="A154" s="593">
        <f>A153+1</f>
        <v>96</v>
      </c>
      <c r="B154" s="596" t="s">
        <v>546</v>
      </c>
      <c r="C154" s="572" t="s">
        <v>547</v>
      </c>
      <c r="D154" s="572" t="s">
        <v>9</v>
      </c>
      <c r="E154" s="579">
        <v>2959.24</v>
      </c>
      <c r="F154" s="598">
        <v>250</v>
      </c>
      <c r="G154" s="598">
        <f t="shared" si="11"/>
        <v>3209.24</v>
      </c>
      <c r="H154" s="595">
        <v>50</v>
      </c>
    </row>
    <row r="155" spans="1:9" s="657" customFormat="1" ht="50.1" customHeight="1" outlineLevel="1">
      <c r="A155" s="593">
        <v>97</v>
      </c>
      <c r="B155" s="596" t="s">
        <v>597</v>
      </c>
      <c r="C155" s="572" t="s">
        <v>547</v>
      </c>
      <c r="D155" s="572" t="s">
        <v>9</v>
      </c>
      <c r="E155" s="579">
        <v>2959.24</v>
      </c>
      <c r="F155" s="598">
        <v>250</v>
      </c>
      <c r="G155" s="598">
        <f t="shared" si="11"/>
        <v>3209.24</v>
      </c>
      <c r="H155" s="595">
        <v>50</v>
      </c>
    </row>
    <row r="156" spans="1:9" s="657" customFormat="1" ht="50.1" customHeight="1" outlineLevel="1">
      <c r="A156" s="593">
        <v>98</v>
      </c>
      <c r="B156" s="571" t="s">
        <v>459</v>
      </c>
      <c r="C156" s="572" t="s">
        <v>476</v>
      </c>
      <c r="D156" s="572" t="s">
        <v>9</v>
      </c>
      <c r="E156" s="574">
        <v>4150</v>
      </c>
      <c r="F156" s="598">
        <v>500</v>
      </c>
      <c r="G156" s="598">
        <f t="shared" si="11"/>
        <v>4650</v>
      </c>
      <c r="H156" s="595">
        <v>50</v>
      </c>
    </row>
    <row r="157" spans="1:9" s="587" customFormat="1" ht="50.1" customHeight="1" outlineLevel="1">
      <c r="A157" s="561"/>
      <c r="B157" s="543"/>
      <c r="C157" s="587" t="s">
        <v>117</v>
      </c>
      <c r="E157" s="658">
        <f>+SUM(E150:E156)</f>
        <v>46528.479999999996</v>
      </c>
      <c r="F157" s="668">
        <f>+SUM(F150:F156)</f>
        <v>7550</v>
      </c>
      <c r="G157" s="668">
        <f>+SUM(G150:G156)</f>
        <v>54078.479999999996</v>
      </c>
      <c r="H157" s="668">
        <f>+SUM(H150:H156)</f>
        <v>550</v>
      </c>
    </row>
    <row r="158" spans="1:9" s="591" customFormat="1" ht="50.1" customHeight="1" outlineLevel="1">
      <c r="A158" s="561"/>
      <c r="B158" s="549"/>
      <c r="C158" s="561"/>
      <c r="D158" s="566"/>
      <c r="E158" s="590"/>
      <c r="I158" s="566"/>
    </row>
    <row r="159" spans="1:9" s="539" customFormat="1" ht="50.1" customHeight="1" outlineLevel="1">
      <c r="A159" s="593">
        <f>A156+1</f>
        <v>99</v>
      </c>
      <c r="B159" s="571" t="s">
        <v>420</v>
      </c>
      <c r="C159" s="582" t="s">
        <v>358</v>
      </c>
      <c r="D159" s="583" t="s">
        <v>8</v>
      </c>
      <c r="E159" s="598">
        <v>5000</v>
      </c>
      <c r="F159" s="585">
        <f>250</f>
        <v>250</v>
      </c>
      <c r="G159" s="585">
        <f>+E159+F159</f>
        <v>5250</v>
      </c>
      <c r="H159" s="585">
        <v>50</v>
      </c>
    </row>
    <row r="160" spans="1:9" s="539" customFormat="1" ht="50.1" customHeight="1" outlineLevel="1">
      <c r="A160" s="593">
        <f>+A159+1</f>
        <v>100</v>
      </c>
      <c r="B160" s="571" t="s">
        <v>446</v>
      </c>
      <c r="C160" s="582" t="s">
        <v>358</v>
      </c>
      <c r="D160" s="582" t="s">
        <v>8</v>
      </c>
      <c r="E160" s="655">
        <v>10000</v>
      </c>
      <c r="F160" s="595">
        <v>250</v>
      </c>
      <c r="G160" s="595">
        <f>+E160+F160</f>
        <v>10250</v>
      </c>
      <c r="H160" s="595">
        <v>100</v>
      </c>
    </row>
    <row r="161" spans="1:9" s="587" customFormat="1" ht="50.1" customHeight="1" outlineLevel="1">
      <c r="A161" s="561"/>
      <c r="B161" s="543"/>
      <c r="C161" s="562" t="s">
        <v>118</v>
      </c>
      <c r="E161" s="658">
        <f>SUM(E159:E160)</f>
        <v>15000</v>
      </c>
      <c r="F161" s="668">
        <f>SUM(F159:F160)</f>
        <v>500</v>
      </c>
      <c r="G161" s="668">
        <f>SUM(G159:G160)</f>
        <v>15500</v>
      </c>
      <c r="H161" s="668">
        <f>SUM(H159:H160)</f>
        <v>150</v>
      </c>
    </row>
    <row r="162" spans="1:9" s="627" customFormat="1" ht="50.1" customHeight="1" outlineLevel="1" thickBot="1">
      <c r="A162" s="561"/>
      <c r="B162" s="549"/>
      <c r="C162" s="562" t="s">
        <v>119</v>
      </c>
      <c r="D162" s="566"/>
      <c r="E162" s="659">
        <f>SUM(E157+E161)</f>
        <v>61528.479999999996</v>
      </c>
      <c r="F162" s="669">
        <f>SUM(F157+F161)</f>
        <v>8050</v>
      </c>
      <c r="G162" s="669">
        <f>SUM(G157+G161)</f>
        <v>69578.48</v>
      </c>
      <c r="H162" s="669">
        <f>SUM(H157+H161)</f>
        <v>700</v>
      </c>
    </row>
    <row r="163" spans="1:9" s="591" customFormat="1" ht="50.1" customHeight="1" outlineLevel="1" thickTop="1">
      <c r="A163" s="589"/>
      <c r="B163" s="567" t="s">
        <v>120</v>
      </c>
      <c r="C163" s="561"/>
      <c r="D163" s="566"/>
      <c r="E163" s="634"/>
      <c r="F163" s="592"/>
      <c r="G163" s="592"/>
      <c r="H163" s="592"/>
      <c r="I163" s="627"/>
    </row>
    <row r="164" spans="1:9" s="592" customFormat="1" ht="50.1" customHeight="1" outlineLevel="1">
      <c r="A164" s="610"/>
      <c r="B164" s="567" t="s">
        <v>121</v>
      </c>
      <c r="C164" s="561"/>
      <c r="D164" s="566"/>
      <c r="E164" s="634"/>
      <c r="I164" s="627"/>
    </row>
    <row r="165" spans="1:9" s="592" customFormat="1" ht="50.1" customHeight="1" outlineLevel="1">
      <c r="A165" s="610"/>
      <c r="B165" s="567" t="s">
        <v>278</v>
      </c>
      <c r="C165" s="561"/>
      <c r="D165" s="566"/>
      <c r="E165" s="634"/>
      <c r="I165" s="627"/>
    </row>
    <row r="166" spans="1:9" s="627" customFormat="1" ht="50.1" customHeight="1" outlineLevel="1">
      <c r="A166" s="561"/>
      <c r="B166" s="543" t="s">
        <v>378</v>
      </c>
      <c r="C166" s="561"/>
      <c r="D166" s="566"/>
      <c r="E166" s="643"/>
      <c r="F166" s="644"/>
      <c r="G166" s="644"/>
      <c r="H166" s="644"/>
    </row>
    <row r="167" spans="1:9" s="675" customFormat="1" ht="50.1" customHeight="1" outlineLevel="1">
      <c r="A167" s="670">
        <f>A160+1</f>
        <v>101</v>
      </c>
      <c r="B167" s="671" t="s">
        <v>454</v>
      </c>
      <c r="C167" s="672" t="s">
        <v>124</v>
      </c>
      <c r="D167" s="673" t="s">
        <v>9</v>
      </c>
      <c r="E167" s="674">
        <v>3000</v>
      </c>
      <c r="F167" s="674">
        <f>250</f>
        <v>250</v>
      </c>
      <c r="G167" s="674">
        <f>+E167+F167</f>
        <v>3250</v>
      </c>
      <c r="H167" s="674">
        <v>50</v>
      </c>
    </row>
    <row r="168" spans="1:9" s="539" customFormat="1" ht="50.1" customHeight="1" outlineLevel="1" thickBot="1">
      <c r="A168" s="593"/>
      <c r="B168" s="676"/>
      <c r="C168" s="676" t="s">
        <v>341</v>
      </c>
      <c r="E168" s="677">
        <f>+E167</f>
        <v>3000</v>
      </c>
      <c r="F168" s="678">
        <f>+F167</f>
        <v>250</v>
      </c>
      <c r="G168" s="678">
        <f>+G167</f>
        <v>3250</v>
      </c>
      <c r="H168" s="678">
        <f>+H167</f>
        <v>50</v>
      </c>
    </row>
    <row r="169" spans="1:9" s="668" customFormat="1" ht="50.1" customHeight="1" outlineLevel="1" thickTop="1">
      <c r="A169" s="589"/>
      <c r="B169" s="567" t="s">
        <v>125</v>
      </c>
      <c r="C169" s="561"/>
      <c r="D169" s="566"/>
      <c r="E169" s="658"/>
      <c r="I169" s="627"/>
    </row>
    <row r="170" spans="1:9" s="668" customFormat="1" ht="50.1" customHeight="1" outlineLevel="1">
      <c r="A170" s="589"/>
      <c r="B170" s="543" t="s">
        <v>126</v>
      </c>
      <c r="C170" s="561"/>
      <c r="D170" s="566"/>
      <c r="E170" s="658"/>
      <c r="I170" s="627"/>
    </row>
    <row r="171" spans="1:9" s="657" customFormat="1" ht="50.1" customHeight="1" outlineLevel="1">
      <c r="A171" s="575">
        <f>+A167+1</f>
        <v>102</v>
      </c>
      <c r="B171" s="679" t="s">
        <v>496</v>
      </c>
      <c r="C171" s="680" t="s">
        <v>497</v>
      </c>
      <c r="D171" s="681" t="s">
        <v>9</v>
      </c>
      <c r="E171" s="682">
        <v>4750</v>
      </c>
      <c r="F171" s="682">
        <f>250+1000</f>
        <v>1250</v>
      </c>
      <c r="G171" s="682">
        <f>+E171+F171</f>
        <v>6000</v>
      </c>
      <c r="H171" s="682">
        <v>50</v>
      </c>
    </row>
    <row r="172" spans="1:9" s="627" customFormat="1" ht="50.1" customHeight="1" outlineLevel="1">
      <c r="A172" s="561"/>
      <c r="B172" s="683"/>
      <c r="C172" s="684" t="s">
        <v>128</v>
      </c>
      <c r="D172" s="578"/>
      <c r="E172" s="685">
        <f>SUM(E171:E171)</f>
        <v>4750</v>
      </c>
      <c r="F172" s="686">
        <f>SUM(F171:F171)</f>
        <v>1250</v>
      </c>
      <c r="G172" s="686">
        <f>SUM(G171:G171)</f>
        <v>6000</v>
      </c>
      <c r="H172" s="686">
        <f>SUM(H171:H171)</f>
        <v>50</v>
      </c>
    </row>
    <row r="173" spans="1:9" s="612" customFormat="1" ht="50.1" customHeight="1" outlineLevel="1">
      <c r="A173" s="610"/>
      <c r="B173" s="543"/>
      <c r="C173" s="601"/>
      <c r="D173" s="627"/>
      <c r="E173" s="611"/>
      <c r="I173" s="627"/>
    </row>
    <row r="174" spans="1:9" s="612" customFormat="1" ht="50.1" customHeight="1" outlineLevel="1">
      <c r="A174" s="610"/>
      <c r="B174" s="567" t="s">
        <v>350</v>
      </c>
      <c r="C174" s="601"/>
      <c r="D174" s="627"/>
      <c r="E174" s="611"/>
      <c r="I174" s="627"/>
    </row>
    <row r="175" spans="1:9" s="566" customFormat="1" ht="50.1" customHeight="1" outlineLevel="1">
      <c r="A175" s="561"/>
      <c r="B175" s="687" t="s">
        <v>351</v>
      </c>
      <c r="C175" s="561"/>
      <c r="D175" s="593"/>
      <c r="E175" s="634"/>
      <c r="F175" s="592"/>
      <c r="G175" s="592"/>
      <c r="H175" s="592"/>
    </row>
    <row r="176" spans="1:9" s="606" customFormat="1" ht="50.1" customHeight="1" outlineLevel="1">
      <c r="A176" s="623">
        <v>103</v>
      </c>
      <c r="B176" s="596" t="s">
        <v>457</v>
      </c>
      <c r="C176" s="625" t="s">
        <v>507</v>
      </c>
      <c r="D176" s="625" t="s">
        <v>9</v>
      </c>
      <c r="E176" s="579">
        <v>2959.24</v>
      </c>
      <c r="F176" s="605">
        <v>250</v>
      </c>
      <c r="G176" s="650">
        <f t="shared" ref="G176:G184" si="12">+E176+F176</f>
        <v>3209.24</v>
      </c>
      <c r="H176" s="650">
        <v>50</v>
      </c>
    </row>
    <row r="177" spans="1:9" s="606" customFormat="1" ht="50.1" customHeight="1" outlineLevel="1">
      <c r="A177" s="623">
        <f t="shared" ref="A177:A184" si="13">A176+1</f>
        <v>104</v>
      </c>
      <c r="B177" s="624" t="s">
        <v>453</v>
      </c>
      <c r="C177" s="625" t="s">
        <v>507</v>
      </c>
      <c r="D177" s="625" t="s">
        <v>9</v>
      </c>
      <c r="E177" s="579">
        <f>2959.24+40.37</f>
        <v>2999.6099999999997</v>
      </c>
      <c r="F177" s="605">
        <v>450</v>
      </c>
      <c r="G177" s="605">
        <f t="shared" si="12"/>
        <v>3449.6099999999997</v>
      </c>
      <c r="H177" s="650">
        <v>50</v>
      </c>
    </row>
    <row r="178" spans="1:9" s="606" customFormat="1" ht="50.1" customHeight="1" outlineLevel="1">
      <c r="A178" s="623">
        <f t="shared" si="13"/>
        <v>105</v>
      </c>
      <c r="B178" s="596" t="s">
        <v>335</v>
      </c>
      <c r="C178" s="625" t="s">
        <v>507</v>
      </c>
      <c r="D178" s="625" t="s">
        <v>9</v>
      </c>
      <c r="E178" s="579">
        <v>2959.24</v>
      </c>
      <c r="F178" s="605">
        <v>250</v>
      </c>
      <c r="G178" s="650">
        <f t="shared" si="12"/>
        <v>3209.24</v>
      </c>
      <c r="H178" s="650">
        <v>50</v>
      </c>
    </row>
    <row r="179" spans="1:9" s="599" customFormat="1" ht="50.1" customHeight="1" outlineLevel="1">
      <c r="A179" s="623">
        <f t="shared" si="13"/>
        <v>106</v>
      </c>
      <c r="B179" s="596" t="s">
        <v>489</v>
      </c>
      <c r="C179" s="625" t="s">
        <v>505</v>
      </c>
      <c r="D179" s="572" t="s">
        <v>9</v>
      </c>
      <c r="E179" s="579">
        <v>2959.24</v>
      </c>
      <c r="F179" s="598">
        <f>250</f>
        <v>250</v>
      </c>
      <c r="G179" s="651">
        <f t="shared" si="12"/>
        <v>3209.24</v>
      </c>
      <c r="H179" s="650">
        <v>50</v>
      </c>
    </row>
    <row r="180" spans="1:9" s="599" customFormat="1" ht="50.1" customHeight="1" outlineLevel="1">
      <c r="A180" s="623">
        <f t="shared" si="13"/>
        <v>107</v>
      </c>
      <c r="B180" s="596" t="s">
        <v>536</v>
      </c>
      <c r="C180" s="625" t="s">
        <v>507</v>
      </c>
      <c r="D180" s="572" t="s">
        <v>9</v>
      </c>
      <c r="E180" s="579">
        <v>2959.24</v>
      </c>
      <c r="F180" s="598">
        <f>250</f>
        <v>250</v>
      </c>
      <c r="G180" s="651">
        <f t="shared" si="12"/>
        <v>3209.24</v>
      </c>
      <c r="H180" s="650">
        <v>50</v>
      </c>
    </row>
    <row r="181" spans="1:9" s="599" customFormat="1" ht="50.1" customHeight="1" outlineLevel="1">
      <c r="A181" s="623">
        <f t="shared" si="13"/>
        <v>108</v>
      </c>
      <c r="B181" s="596" t="s">
        <v>491</v>
      </c>
      <c r="C181" s="625" t="s">
        <v>505</v>
      </c>
      <c r="D181" s="572" t="s">
        <v>9</v>
      </c>
      <c r="E181" s="579">
        <v>2959.24</v>
      </c>
      <c r="F181" s="598">
        <f>250</f>
        <v>250</v>
      </c>
      <c r="G181" s="651">
        <f t="shared" si="12"/>
        <v>3209.24</v>
      </c>
      <c r="H181" s="650">
        <v>50</v>
      </c>
    </row>
    <row r="182" spans="1:9" s="599" customFormat="1" ht="50.1" customHeight="1" outlineLevel="1">
      <c r="A182" s="623">
        <f t="shared" si="13"/>
        <v>109</v>
      </c>
      <c r="B182" s="596" t="s">
        <v>535</v>
      </c>
      <c r="C182" s="625" t="s">
        <v>505</v>
      </c>
      <c r="D182" s="572" t="s">
        <v>9</v>
      </c>
      <c r="E182" s="579">
        <v>2959.24</v>
      </c>
      <c r="F182" s="598">
        <f>250</f>
        <v>250</v>
      </c>
      <c r="G182" s="651">
        <f t="shared" si="12"/>
        <v>3209.24</v>
      </c>
      <c r="H182" s="650">
        <v>50</v>
      </c>
    </row>
    <row r="183" spans="1:9" s="606" customFormat="1" ht="50.1" customHeight="1" outlineLevel="1">
      <c r="A183" s="623">
        <f>+A182+1</f>
        <v>110</v>
      </c>
      <c r="B183" s="624" t="s">
        <v>445</v>
      </c>
      <c r="C183" s="625" t="s">
        <v>505</v>
      </c>
      <c r="D183" s="625" t="s">
        <v>9</v>
      </c>
      <c r="E183" s="579">
        <v>2959.24</v>
      </c>
      <c r="F183" s="605">
        <v>250</v>
      </c>
      <c r="G183" s="650">
        <f t="shared" si="12"/>
        <v>3209.24</v>
      </c>
      <c r="H183" s="650">
        <v>50</v>
      </c>
    </row>
    <row r="184" spans="1:9" s="606" customFormat="1" ht="50.1" customHeight="1" outlineLevel="1">
      <c r="A184" s="623">
        <f t="shared" si="13"/>
        <v>111</v>
      </c>
      <c r="B184" s="596" t="s">
        <v>436</v>
      </c>
      <c r="C184" s="625" t="s">
        <v>510</v>
      </c>
      <c r="D184" s="625" t="s">
        <v>9</v>
      </c>
      <c r="E184" s="579">
        <v>2959.24</v>
      </c>
      <c r="F184" s="605">
        <f>250</f>
        <v>250</v>
      </c>
      <c r="G184" s="650">
        <f t="shared" si="12"/>
        <v>3209.24</v>
      </c>
      <c r="H184" s="650">
        <v>50</v>
      </c>
    </row>
    <row r="185" spans="1:9" s="647" customFormat="1" ht="50.1" customHeight="1" outlineLevel="1" thickBot="1">
      <c r="A185" s="623"/>
      <c r="B185" s="653"/>
      <c r="C185" s="647" t="s">
        <v>339</v>
      </c>
      <c r="D185" s="654"/>
      <c r="E185" s="648">
        <f>SUM(E176:E184)</f>
        <v>26673.529999999992</v>
      </c>
      <c r="F185" s="648">
        <f>SUM(F176:F184)</f>
        <v>2450</v>
      </c>
      <c r="G185" s="648">
        <f>SUM(G176:G184)</f>
        <v>29123.529999999992</v>
      </c>
      <c r="H185" s="648">
        <f>SUM(H176:H184)</f>
        <v>450</v>
      </c>
    </row>
    <row r="186" spans="1:9" s="612" customFormat="1" ht="50.1" customHeight="1" outlineLevel="1" thickTop="1">
      <c r="A186" s="610"/>
      <c r="B186" s="543"/>
      <c r="C186" s="601"/>
      <c r="D186" s="627"/>
      <c r="E186" s="611"/>
      <c r="I186" s="627"/>
    </row>
    <row r="187" spans="1:9" s="612" customFormat="1" ht="50.1" customHeight="1" outlineLevel="1">
      <c r="A187" s="610"/>
      <c r="B187" s="543"/>
      <c r="C187" s="601"/>
      <c r="D187" s="627"/>
      <c r="E187" s="611"/>
      <c r="I187" s="627"/>
    </row>
    <row r="188" spans="1:9" s="612" customFormat="1" ht="50.1" customHeight="1" outlineLevel="1">
      <c r="A188" s="610"/>
      <c r="B188" s="567" t="s">
        <v>373</v>
      </c>
      <c r="C188" s="688"/>
      <c r="D188" s="627"/>
      <c r="E188" s="611"/>
      <c r="I188" s="627"/>
    </row>
    <row r="189" spans="1:9" s="694" customFormat="1" ht="50.1" customHeight="1" outlineLevel="1">
      <c r="A189" s="689">
        <f>A184+1</f>
        <v>112</v>
      </c>
      <c r="B189" s="690" t="s">
        <v>456</v>
      </c>
      <c r="C189" s="691" t="s">
        <v>359</v>
      </c>
      <c r="D189" s="692" t="s">
        <v>9</v>
      </c>
      <c r="E189" s="693">
        <v>3000</v>
      </c>
      <c r="F189" s="693">
        <f>500</f>
        <v>500</v>
      </c>
      <c r="G189" s="693">
        <f>+E189+F189</f>
        <v>3500</v>
      </c>
      <c r="H189" s="693">
        <v>50</v>
      </c>
    </row>
    <row r="190" spans="1:9" s="566" customFormat="1" ht="50.1" customHeight="1" outlineLevel="1">
      <c r="A190" s="561">
        <f>A189+1</f>
        <v>113</v>
      </c>
      <c r="B190" s="576" t="s">
        <v>460</v>
      </c>
      <c r="C190" s="577" t="s">
        <v>359</v>
      </c>
      <c r="D190" s="578" t="s">
        <v>9</v>
      </c>
      <c r="E190" s="603">
        <v>3000</v>
      </c>
      <c r="F190" s="581">
        <v>250</v>
      </c>
      <c r="G190" s="581">
        <f>+E190+F190</f>
        <v>3250</v>
      </c>
      <c r="H190" s="581">
        <v>50</v>
      </c>
    </row>
    <row r="191" spans="1:9" s="586" customFormat="1" ht="50.1" customHeight="1" outlineLevel="1">
      <c r="A191" s="593">
        <f>A190+1</f>
        <v>114</v>
      </c>
      <c r="B191" s="571" t="s">
        <v>531</v>
      </c>
      <c r="C191" s="582" t="s">
        <v>359</v>
      </c>
      <c r="D191" s="583" t="s">
        <v>9</v>
      </c>
      <c r="E191" s="579">
        <v>3000</v>
      </c>
      <c r="F191" s="585">
        <v>250</v>
      </c>
      <c r="G191" s="585">
        <f>+E191+F191</f>
        <v>3250</v>
      </c>
      <c r="H191" s="585">
        <v>50</v>
      </c>
    </row>
    <row r="192" spans="1:9" s="644" customFormat="1" ht="50.1" customHeight="1" thickBot="1">
      <c r="A192" s="610"/>
      <c r="B192" s="543"/>
      <c r="C192" s="593" t="s">
        <v>376</v>
      </c>
      <c r="D192" s="587"/>
      <c r="E192" s="629">
        <f>SUM(E189:E191)</f>
        <v>9000</v>
      </c>
      <c r="F192" s="629">
        <f>SUM(F189:F191)</f>
        <v>1000</v>
      </c>
      <c r="G192" s="629">
        <f>SUM(G189:G191)</f>
        <v>10000</v>
      </c>
      <c r="H192" s="629">
        <f>SUM(H189:H191)</f>
        <v>150</v>
      </c>
      <c r="I192" s="587"/>
    </row>
    <row r="193" spans="1:9" s="612" customFormat="1" ht="50.1" customHeight="1" thickTop="1">
      <c r="A193" s="610"/>
      <c r="B193" s="543"/>
      <c r="C193" s="601"/>
      <c r="D193" s="627"/>
      <c r="I193" s="627"/>
    </row>
    <row r="194" spans="1:9" s="612" customFormat="1" ht="50.1" customHeight="1">
      <c r="A194" s="610"/>
      <c r="B194" s="543"/>
      <c r="C194" s="601"/>
      <c r="D194" s="627"/>
      <c r="I194" s="627"/>
    </row>
    <row r="195" spans="1:9" s="627" customFormat="1" ht="50.1" customHeight="1" thickBot="1">
      <c r="A195" s="561"/>
      <c r="B195" s="543"/>
      <c r="C195" s="593" t="s">
        <v>129</v>
      </c>
      <c r="E195" s="695"/>
      <c r="F195" s="695"/>
      <c r="G195" s="695"/>
      <c r="H195" s="695">
        <f>+H13+H40+H48+H60+H68+H78+H97+H112+H117+H130+H138+H144+H157+H161+H168+H172+H185+H192+H54+H34+H22</f>
        <v>6500</v>
      </c>
    </row>
    <row r="196" spans="1:9" s="612" customFormat="1" ht="50.1" customHeight="1" thickTop="1">
      <c r="A196" s="610"/>
      <c r="B196" s="543"/>
      <c r="C196" s="601"/>
      <c r="D196" s="627"/>
      <c r="I196" s="627"/>
    </row>
    <row r="197" spans="1:9" s="612" customFormat="1" ht="35.1" customHeight="1">
      <c r="A197" s="610"/>
      <c r="B197" s="543"/>
      <c r="C197" s="601"/>
      <c r="D197" s="627"/>
      <c r="G197" s="627"/>
      <c r="H197" s="627"/>
      <c r="I197" s="627"/>
    </row>
    <row r="198" spans="1:9" s="612" customFormat="1" ht="39.9" customHeight="1">
      <c r="A198" s="610"/>
      <c r="B198" s="543"/>
      <c r="C198" s="601"/>
      <c r="D198" s="627"/>
      <c r="G198" s="627"/>
      <c r="H198" s="627"/>
      <c r="I198" s="627"/>
    </row>
    <row r="199" spans="1:9" s="698" customFormat="1" ht="39.9" customHeight="1">
      <c r="A199" s="696"/>
      <c r="B199" s="697"/>
      <c r="C199" s="696"/>
      <c r="E199" s="699"/>
      <c r="F199" s="699"/>
      <c r="G199" s="566"/>
    </row>
    <row r="200" spans="1:9" s="698" customFormat="1" ht="39.9" customHeight="1">
      <c r="A200" s="696"/>
      <c r="B200" s="697"/>
      <c r="C200" s="696"/>
      <c r="E200" s="696"/>
      <c r="F200" s="696"/>
    </row>
    <row r="201" spans="1:9" s="698" customFormat="1" ht="39.9" customHeight="1">
      <c r="A201" s="696"/>
      <c r="B201" s="697"/>
      <c r="C201" s="696"/>
      <c r="E201" s="696"/>
      <c r="F201" s="696"/>
    </row>
    <row r="202" spans="1:9" s="698" customFormat="1" ht="39.9" customHeight="1">
      <c r="A202" s="696"/>
      <c r="B202" s="697"/>
      <c r="C202" s="696"/>
      <c r="E202" s="696"/>
      <c r="F202" s="696"/>
    </row>
    <row r="203" spans="1:9" s="698" customFormat="1" ht="39.9" customHeight="1">
      <c r="A203" s="696"/>
      <c r="B203" s="697"/>
      <c r="C203" s="696"/>
      <c r="E203" s="696"/>
      <c r="F203" s="696"/>
    </row>
    <row r="204" spans="1:9" s="698" customFormat="1" ht="39.9" customHeight="1">
      <c r="A204" s="696"/>
      <c r="B204" s="700"/>
      <c r="C204" s="561"/>
      <c r="D204" s="566"/>
      <c r="E204" s="696"/>
      <c r="F204" s="696"/>
    </row>
    <row r="205" spans="1:9" s="698" customFormat="1" ht="39.9" customHeight="1">
      <c r="A205" s="696"/>
      <c r="B205" s="700"/>
      <c r="C205" s="561"/>
      <c r="D205" s="566"/>
      <c r="E205" s="696"/>
      <c r="F205" s="696"/>
    </row>
    <row r="206" spans="1:9" s="698" customFormat="1" ht="39.9" customHeight="1">
      <c r="A206" s="696"/>
      <c r="B206" s="700"/>
      <c r="C206" s="561"/>
      <c r="D206" s="566"/>
      <c r="E206" s="696"/>
      <c r="F206" s="696"/>
    </row>
    <row r="207" spans="1:9" s="698" customFormat="1" ht="39.9" customHeight="1">
      <c r="A207" s="696"/>
      <c r="B207" s="700"/>
      <c r="C207" s="561"/>
      <c r="D207" s="566"/>
      <c r="E207" s="696"/>
      <c r="F207" s="696"/>
    </row>
    <row r="208" spans="1:9" s="698" customFormat="1" ht="39.9" customHeight="1">
      <c r="A208" s="696"/>
      <c r="B208" s="700"/>
      <c r="C208" s="561"/>
      <c r="D208" s="566"/>
      <c r="E208" s="696"/>
      <c r="F208" s="696"/>
    </row>
    <row r="209" spans="1:6" s="698" customFormat="1" ht="39.9" customHeight="1">
      <c r="A209" s="696"/>
      <c r="B209" s="700"/>
      <c r="C209" s="561"/>
      <c r="D209" s="566"/>
      <c r="E209" s="696"/>
      <c r="F209" s="696"/>
    </row>
    <row r="210" spans="1:6" s="698" customFormat="1" ht="39.9" customHeight="1">
      <c r="A210" s="696"/>
      <c r="B210" s="700"/>
      <c r="C210" s="561"/>
      <c r="D210" s="566"/>
      <c r="E210" s="696"/>
      <c r="F210" s="696"/>
    </row>
    <row r="211" spans="1:6" s="698" customFormat="1" ht="39.9" customHeight="1">
      <c r="A211" s="696"/>
      <c r="B211" s="700"/>
      <c r="C211" s="561"/>
      <c r="D211" s="566"/>
      <c r="E211" s="696"/>
      <c r="F211" s="696"/>
    </row>
    <row r="212" spans="1:6" s="698" customFormat="1" ht="39.9" customHeight="1">
      <c r="A212" s="696"/>
      <c r="B212" s="700"/>
      <c r="C212" s="561"/>
      <c r="D212" s="566"/>
      <c r="E212" s="696"/>
      <c r="F212" s="696"/>
    </row>
    <row r="213" spans="1:6" s="698" customFormat="1" ht="39.9" customHeight="1">
      <c r="A213" s="696"/>
      <c r="B213" s="700"/>
      <c r="C213" s="561"/>
      <c r="D213" s="566"/>
      <c r="E213" s="696"/>
      <c r="F213" s="696"/>
    </row>
    <row r="214" spans="1:6" s="698" customFormat="1" ht="39.9" customHeight="1">
      <c r="A214" s="696"/>
      <c r="B214" s="700"/>
      <c r="C214" s="561"/>
      <c r="D214" s="566"/>
      <c r="E214" s="696"/>
      <c r="F214" s="696"/>
    </row>
    <row r="215" spans="1:6" s="698" customFormat="1" ht="39.9" customHeight="1">
      <c r="A215" s="696"/>
      <c r="B215" s="700"/>
      <c r="C215" s="561"/>
      <c r="D215" s="566"/>
      <c r="E215" s="696"/>
      <c r="F215" s="696"/>
    </row>
    <row r="216" spans="1:6" s="566" customFormat="1" ht="39.9" customHeight="1">
      <c r="A216" s="561"/>
      <c r="B216" s="549"/>
      <c r="C216" s="561"/>
      <c r="E216" s="699"/>
      <c r="F216" s="699"/>
    </row>
    <row r="217" spans="1:6" s="566" customFormat="1" ht="39.9" customHeight="1">
      <c r="A217" s="561"/>
      <c r="B217" s="549"/>
      <c r="C217" s="561"/>
      <c r="E217" s="696"/>
      <c r="F217" s="696"/>
    </row>
    <row r="218" spans="1:6" s="566" customFormat="1" ht="39.9" customHeight="1">
      <c r="A218" s="561"/>
      <c r="B218" s="549"/>
      <c r="C218" s="561"/>
      <c r="E218" s="696"/>
      <c r="F218" s="696"/>
    </row>
    <row r="219" spans="1:6" s="566" customFormat="1" ht="39.9" customHeight="1">
      <c r="A219" s="561"/>
      <c r="B219" s="549"/>
      <c r="C219" s="561"/>
      <c r="E219" s="696"/>
      <c r="F219" s="696"/>
    </row>
    <row r="220" spans="1:6" s="698" customFormat="1" ht="39.9" customHeight="1">
      <c r="A220" s="696"/>
      <c r="B220" s="700"/>
      <c r="C220" s="561"/>
      <c r="D220" s="566"/>
      <c r="E220" s="696"/>
      <c r="F220" s="696"/>
    </row>
    <row r="221" spans="1:6" s="698" customFormat="1" ht="39.9" customHeight="1">
      <c r="A221" s="696"/>
      <c r="B221" s="700"/>
      <c r="C221" s="561"/>
      <c r="D221" s="566"/>
      <c r="E221" s="696"/>
      <c r="F221" s="696"/>
    </row>
    <row r="222" spans="1:6" s="698" customFormat="1" ht="39.9" customHeight="1">
      <c r="A222" s="696"/>
      <c r="B222" s="697"/>
      <c r="C222" s="696"/>
      <c r="E222" s="696"/>
      <c r="F222" s="696"/>
    </row>
    <row r="223" spans="1:6" s="698" customFormat="1" ht="39.9" customHeight="1">
      <c r="A223" s="696"/>
      <c r="B223" s="697"/>
      <c r="C223" s="696"/>
      <c r="E223" s="696"/>
      <c r="F223" s="696"/>
    </row>
    <row r="224" spans="1:6" s="698" customFormat="1" ht="39.9" customHeight="1">
      <c r="A224" s="696"/>
      <c r="B224" s="697"/>
      <c r="C224" s="696"/>
      <c r="E224" s="696"/>
      <c r="F224" s="696"/>
    </row>
    <row r="225" spans="1:6" s="698" customFormat="1" ht="39.9" customHeight="1">
      <c r="A225" s="696"/>
      <c r="B225" s="700"/>
      <c r="C225" s="561"/>
      <c r="D225" s="566"/>
      <c r="E225" s="696"/>
      <c r="F225" s="696"/>
    </row>
    <row r="226" spans="1:6" s="698" customFormat="1" ht="39.9" customHeight="1">
      <c r="A226" s="696"/>
      <c r="B226" s="700"/>
      <c r="C226" s="561"/>
      <c r="D226" s="566"/>
      <c r="E226" s="696"/>
      <c r="F226" s="696"/>
    </row>
    <row r="227" spans="1:6" s="698" customFormat="1" ht="39.9" customHeight="1">
      <c r="A227" s="696"/>
      <c r="B227" s="697"/>
      <c r="C227" s="696"/>
      <c r="E227" s="696"/>
      <c r="F227" s="696"/>
    </row>
    <row r="228" spans="1:6" s="698" customFormat="1" ht="39.9" customHeight="1">
      <c r="A228" s="696"/>
      <c r="B228" s="697"/>
      <c r="C228" s="696"/>
      <c r="E228" s="696"/>
      <c r="F228" s="696"/>
    </row>
    <row r="229" spans="1:6" s="698" customFormat="1" ht="39.9" customHeight="1">
      <c r="A229" s="696"/>
      <c r="B229" s="697"/>
      <c r="C229" s="696"/>
      <c r="E229" s="696"/>
      <c r="F229" s="696"/>
    </row>
    <row r="230" spans="1:6" s="698" customFormat="1" ht="39.9" customHeight="1">
      <c r="A230" s="696"/>
      <c r="B230" s="700"/>
      <c r="C230" s="561"/>
      <c r="D230" s="566"/>
      <c r="E230" s="696"/>
      <c r="F230" s="696"/>
    </row>
    <row r="231" spans="1:6" s="698" customFormat="1" ht="39.9" customHeight="1">
      <c r="A231" s="696"/>
      <c r="B231" s="700"/>
      <c r="C231" s="561"/>
      <c r="D231" s="566"/>
      <c r="E231" s="696"/>
      <c r="F231" s="696"/>
    </row>
    <row r="232" spans="1:6" s="698" customFormat="1" ht="39.9" customHeight="1">
      <c r="A232" s="696"/>
      <c r="B232" s="700"/>
      <c r="C232" s="561"/>
      <c r="D232" s="566"/>
      <c r="E232" s="696"/>
      <c r="F232" s="696"/>
    </row>
    <row r="233" spans="1:6" s="698" customFormat="1" ht="39.9" customHeight="1">
      <c r="A233" s="696"/>
      <c r="B233" s="700"/>
      <c r="C233" s="561"/>
      <c r="D233" s="566"/>
      <c r="E233" s="696"/>
      <c r="F233" s="696"/>
    </row>
    <row r="234" spans="1:6" s="698" customFormat="1" ht="39.9" customHeight="1">
      <c r="A234" s="696"/>
      <c r="B234" s="700"/>
      <c r="C234" s="561"/>
      <c r="D234" s="566"/>
      <c r="E234" s="696"/>
      <c r="F234" s="696"/>
    </row>
    <row r="235" spans="1:6" s="698" customFormat="1" ht="39.9" customHeight="1">
      <c r="A235" s="696"/>
      <c r="B235" s="700"/>
      <c r="C235" s="561"/>
      <c r="D235" s="566"/>
      <c r="E235" s="696"/>
      <c r="F235" s="696"/>
    </row>
    <row r="236" spans="1:6" s="698" customFormat="1" ht="39.9" customHeight="1">
      <c r="A236" s="696"/>
      <c r="B236" s="700"/>
      <c r="C236" s="561"/>
      <c r="D236" s="566"/>
      <c r="E236" s="696"/>
      <c r="F236" s="696"/>
    </row>
    <row r="237" spans="1:6" s="698" customFormat="1" ht="39.9" customHeight="1">
      <c r="A237" s="696"/>
      <c r="B237" s="700"/>
      <c r="C237" s="561"/>
      <c r="D237" s="566"/>
      <c r="E237" s="696"/>
      <c r="F237" s="696"/>
    </row>
    <row r="238" spans="1:6" s="698" customFormat="1" ht="39.9" customHeight="1">
      <c r="A238" s="696"/>
      <c r="B238" s="700"/>
      <c r="C238" s="561"/>
      <c r="D238" s="566"/>
      <c r="E238" s="696"/>
      <c r="F238" s="696"/>
    </row>
    <row r="239" spans="1:6" s="698" customFormat="1" ht="39.9" customHeight="1">
      <c r="A239" s="696"/>
      <c r="B239" s="700"/>
      <c r="C239" s="561"/>
      <c r="D239" s="566"/>
      <c r="E239" s="696"/>
      <c r="F239" s="696"/>
    </row>
    <row r="240" spans="1:6" s="698" customFormat="1" ht="39.9" customHeight="1">
      <c r="A240" s="696"/>
      <c r="B240" s="700"/>
      <c r="C240" s="561"/>
      <c r="D240" s="566"/>
      <c r="E240" s="696"/>
      <c r="F240" s="696"/>
    </row>
    <row r="241" spans="1:6" s="698" customFormat="1" ht="39.9" customHeight="1">
      <c r="A241" s="696"/>
      <c r="B241" s="700"/>
      <c r="C241" s="561"/>
      <c r="D241" s="566"/>
      <c r="E241" s="696"/>
      <c r="F241" s="696"/>
    </row>
    <row r="242" spans="1:6" s="698" customFormat="1" ht="39.9" customHeight="1">
      <c r="A242" s="696"/>
      <c r="B242" s="700"/>
      <c r="C242" s="561"/>
      <c r="D242" s="566"/>
      <c r="E242" s="696"/>
      <c r="F242" s="696"/>
    </row>
    <row r="243" spans="1:6" s="566" customFormat="1" ht="39.9" customHeight="1">
      <c r="A243" s="561"/>
      <c r="B243" s="549"/>
      <c r="C243" s="561"/>
      <c r="E243" s="696"/>
      <c r="F243" s="696"/>
    </row>
    <row r="244" spans="1:6" s="698" customFormat="1" ht="39.9" customHeight="1">
      <c r="A244" s="696"/>
      <c r="B244" s="700"/>
      <c r="C244" s="561"/>
      <c r="D244" s="566"/>
      <c r="E244" s="696"/>
      <c r="F244" s="696"/>
    </row>
    <row r="245" spans="1:6" s="698" customFormat="1" ht="39.9" customHeight="1">
      <c r="A245" s="696"/>
      <c r="B245" s="700"/>
      <c r="C245" s="561"/>
      <c r="D245" s="566"/>
      <c r="E245" s="696"/>
      <c r="F245" s="696"/>
    </row>
    <row r="246" spans="1:6" s="698" customFormat="1" ht="39.9" customHeight="1">
      <c r="A246" s="696"/>
      <c r="B246" s="700"/>
      <c r="C246" s="561"/>
      <c r="D246" s="566"/>
      <c r="E246" s="696"/>
      <c r="F246" s="696"/>
    </row>
    <row r="247" spans="1:6" s="566" customFormat="1" ht="39.9" customHeight="1">
      <c r="A247" s="561"/>
      <c r="B247" s="549"/>
      <c r="C247" s="696"/>
      <c r="D247" s="698"/>
      <c r="E247" s="696"/>
      <c r="F247" s="696"/>
    </row>
    <row r="248" spans="1:6" s="566" customFormat="1" ht="39.9" customHeight="1">
      <c r="A248" s="561"/>
      <c r="B248" s="549"/>
      <c r="C248" s="696"/>
      <c r="D248" s="698"/>
      <c r="E248" s="696"/>
      <c r="F248" s="696"/>
    </row>
    <row r="249" spans="1:6" s="566" customFormat="1" ht="39.9" customHeight="1">
      <c r="A249" s="561"/>
      <c r="B249" s="549"/>
      <c r="C249" s="561"/>
      <c r="E249" s="699"/>
      <c r="F249" s="699"/>
    </row>
    <row r="250" spans="1:6" s="566" customFormat="1" ht="39.9" customHeight="1">
      <c r="A250" s="561"/>
      <c r="B250" s="549"/>
      <c r="C250" s="561"/>
      <c r="E250" s="699"/>
      <c r="F250" s="699"/>
    </row>
    <row r="251" spans="1:6" s="566" customFormat="1" ht="39.9" customHeight="1">
      <c r="A251" s="561"/>
      <c r="B251" s="549"/>
      <c r="C251" s="561"/>
      <c r="E251" s="699"/>
      <c r="F251" s="699"/>
    </row>
    <row r="252" spans="1:6" s="566" customFormat="1" ht="39.9" customHeight="1">
      <c r="A252" s="561"/>
      <c r="B252" s="549"/>
      <c r="C252" s="561"/>
      <c r="E252" s="699"/>
      <c r="F252" s="699"/>
    </row>
    <row r="253" spans="1:6" s="566" customFormat="1" ht="39.9" customHeight="1">
      <c r="A253" s="561"/>
      <c r="B253" s="549"/>
      <c r="C253" s="696"/>
      <c r="E253" s="696"/>
      <c r="F253" s="696"/>
    </row>
    <row r="254" spans="1:6" s="566" customFormat="1" ht="39.9" customHeight="1">
      <c r="A254" s="561"/>
      <c r="B254" s="549"/>
      <c r="C254" s="561"/>
      <c r="E254" s="696"/>
      <c r="F254" s="696"/>
    </row>
    <row r="255" spans="1:6" s="566" customFormat="1" ht="39.9" customHeight="1">
      <c r="A255" s="561"/>
      <c r="B255" s="549"/>
      <c r="C255" s="561"/>
      <c r="E255" s="696"/>
      <c r="F255" s="696"/>
    </row>
    <row r="256" spans="1:6" s="566" customFormat="1" ht="39.9" customHeight="1">
      <c r="A256" s="561"/>
      <c r="B256" s="549"/>
      <c r="C256" s="561"/>
      <c r="E256" s="696"/>
      <c r="F256" s="696"/>
    </row>
    <row r="257" spans="1:6" s="566" customFormat="1" ht="39.9" customHeight="1">
      <c r="A257" s="561"/>
      <c r="B257" s="549"/>
      <c r="C257" s="561"/>
      <c r="E257" s="696"/>
      <c r="F257" s="696"/>
    </row>
    <row r="258" spans="1:6" s="566" customFormat="1" ht="39.9" customHeight="1">
      <c r="A258" s="561"/>
      <c r="B258" s="549"/>
      <c r="C258" s="696"/>
      <c r="E258" s="696"/>
      <c r="F258" s="696"/>
    </row>
    <row r="259" spans="1:6" s="566" customFormat="1" ht="39.9" customHeight="1">
      <c r="A259" s="561"/>
      <c r="B259" s="549"/>
      <c r="C259" s="561"/>
      <c r="E259" s="696"/>
      <c r="F259" s="696"/>
    </row>
    <row r="260" spans="1:6" s="566" customFormat="1" ht="39.9" customHeight="1">
      <c r="A260" s="561"/>
      <c r="B260" s="549"/>
      <c r="C260" s="561"/>
      <c r="E260" s="696"/>
      <c r="F260" s="696"/>
    </row>
    <row r="261" spans="1:6" s="566" customFormat="1" ht="39.9" customHeight="1">
      <c r="A261" s="561"/>
      <c r="B261" s="549"/>
      <c r="C261" s="561"/>
      <c r="E261" s="696"/>
      <c r="F261" s="696"/>
    </row>
    <row r="262" spans="1:6" s="566" customFormat="1" ht="39.9" customHeight="1">
      <c r="A262" s="561"/>
      <c r="B262" s="549"/>
      <c r="C262" s="561"/>
      <c r="E262" s="696"/>
      <c r="F262" s="696"/>
    </row>
    <row r="263" spans="1:6" s="566" customFormat="1" ht="39.9" customHeight="1">
      <c r="A263" s="561"/>
      <c r="B263" s="549"/>
      <c r="C263" s="561"/>
      <c r="E263" s="696"/>
      <c r="F263" s="696"/>
    </row>
    <row r="264" spans="1:6" s="566" customFormat="1" ht="39.9" customHeight="1">
      <c r="A264" s="561"/>
      <c r="B264" s="549"/>
      <c r="C264" s="561"/>
      <c r="E264" s="696"/>
      <c r="F264" s="696"/>
    </row>
    <row r="265" spans="1:6" s="566" customFormat="1" ht="39.9" customHeight="1">
      <c r="A265" s="561"/>
      <c r="B265" s="549"/>
      <c r="C265" s="561"/>
      <c r="E265" s="696"/>
      <c r="F265" s="696"/>
    </row>
    <row r="266" spans="1:6" s="566" customFormat="1" ht="39.9" customHeight="1">
      <c r="A266" s="561"/>
      <c r="B266" s="549"/>
      <c r="C266" s="561"/>
      <c r="E266" s="696"/>
      <c r="F266" s="696"/>
    </row>
    <row r="267" spans="1:6" s="566" customFormat="1" ht="39.9" customHeight="1">
      <c r="A267" s="561"/>
      <c r="B267" s="549"/>
      <c r="C267" s="561"/>
      <c r="E267" s="696"/>
      <c r="F267" s="696"/>
    </row>
    <row r="268" spans="1:6" s="566" customFormat="1" ht="39.9" customHeight="1">
      <c r="A268" s="561"/>
      <c r="B268" s="549"/>
      <c r="C268" s="561"/>
      <c r="E268" s="696"/>
      <c r="F268" s="696"/>
    </row>
    <row r="269" spans="1:6" s="566" customFormat="1" ht="39.9" customHeight="1">
      <c r="A269" s="561"/>
      <c r="B269" s="549"/>
      <c r="C269" s="561"/>
      <c r="E269" s="696"/>
      <c r="F269" s="696"/>
    </row>
    <row r="270" spans="1:6" s="566" customFormat="1" ht="39.9" customHeight="1">
      <c r="A270" s="561"/>
      <c r="B270" s="549"/>
      <c r="C270" s="561"/>
      <c r="E270" s="696"/>
      <c r="F270" s="696"/>
    </row>
    <row r="271" spans="1:6" s="566" customFormat="1" ht="39.9" customHeight="1">
      <c r="A271" s="561"/>
      <c r="B271" s="549"/>
      <c r="C271" s="561"/>
      <c r="E271" s="696"/>
      <c r="F271" s="696"/>
    </row>
    <row r="272" spans="1:6" s="566" customFormat="1" ht="39.9" customHeight="1">
      <c r="A272" s="561"/>
      <c r="B272" s="549"/>
      <c r="C272" s="561"/>
      <c r="E272" s="696"/>
      <c r="F272" s="696"/>
    </row>
    <row r="273" spans="1:6" s="566" customFormat="1" ht="39.9" customHeight="1">
      <c r="A273" s="561"/>
      <c r="B273" s="549"/>
      <c r="C273" s="561"/>
      <c r="E273" s="696"/>
      <c r="F273" s="696"/>
    </row>
    <row r="274" spans="1:6" s="566" customFormat="1" ht="39.9" customHeight="1">
      <c r="A274" s="561"/>
      <c r="B274" s="549"/>
      <c r="C274" s="561"/>
      <c r="E274" s="696"/>
      <c r="F274" s="696"/>
    </row>
    <row r="275" spans="1:6" s="566" customFormat="1" ht="39.9" customHeight="1">
      <c r="A275" s="561"/>
      <c r="B275" s="549"/>
      <c r="C275" s="561"/>
      <c r="E275" s="696"/>
      <c r="F275" s="696"/>
    </row>
    <row r="276" spans="1:6" s="566" customFormat="1" ht="39.9" customHeight="1">
      <c r="A276" s="561"/>
      <c r="B276" s="549"/>
      <c r="C276" s="561"/>
      <c r="E276" s="696"/>
      <c r="F276" s="696"/>
    </row>
    <row r="277" spans="1:6" s="566" customFormat="1" ht="39.9" customHeight="1">
      <c r="A277" s="561"/>
      <c r="B277" s="549"/>
      <c r="C277" s="561"/>
      <c r="E277" s="696"/>
      <c r="F277" s="696"/>
    </row>
    <row r="278" spans="1:6" s="566" customFormat="1" ht="39.9" customHeight="1">
      <c r="A278" s="561"/>
      <c r="B278" s="549"/>
      <c r="C278" s="561"/>
      <c r="E278" s="696"/>
      <c r="F278" s="696"/>
    </row>
    <row r="279" spans="1:6" s="566" customFormat="1" ht="39.9" customHeight="1">
      <c r="A279" s="561"/>
      <c r="B279" s="549"/>
      <c r="C279" s="561"/>
      <c r="E279" s="696"/>
      <c r="F279" s="696"/>
    </row>
    <row r="280" spans="1:6" s="566" customFormat="1" ht="39.9" customHeight="1">
      <c r="A280" s="561"/>
      <c r="B280" s="549"/>
      <c r="C280" s="561"/>
      <c r="E280" s="696"/>
      <c r="F280" s="696"/>
    </row>
    <row r="281" spans="1:6" s="566" customFormat="1" ht="39.9" customHeight="1">
      <c r="A281" s="561"/>
      <c r="B281" s="549"/>
      <c r="C281" s="561"/>
      <c r="E281" s="696"/>
      <c r="F281" s="696"/>
    </row>
    <row r="282" spans="1:6" s="566" customFormat="1" ht="39.9" customHeight="1">
      <c r="A282" s="561"/>
      <c r="B282" s="549"/>
      <c r="C282" s="561"/>
      <c r="E282" s="699"/>
      <c r="F282" s="699"/>
    </row>
    <row r="283" spans="1:6" s="566" customFormat="1" ht="39.9" customHeight="1">
      <c r="A283" s="561"/>
      <c r="B283" s="549"/>
      <c r="C283" s="561"/>
      <c r="E283" s="699"/>
      <c r="F283" s="699"/>
    </row>
    <row r="284" spans="1:6" s="566" customFormat="1" ht="39.9" customHeight="1">
      <c r="A284" s="561"/>
      <c r="B284" s="549"/>
      <c r="C284" s="561"/>
      <c r="E284" s="561"/>
      <c r="F284" s="561"/>
    </row>
    <row r="285" spans="1:6" s="566" customFormat="1" ht="39.9" customHeight="1">
      <c r="A285" s="561"/>
      <c r="B285" s="549"/>
      <c r="C285" s="561"/>
      <c r="E285" s="561"/>
      <c r="F285" s="561"/>
    </row>
    <row r="286" spans="1:6" s="566" customFormat="1" ht="39.9" customHeight="1">
      <c r="A286" s="561"/>
      <c r="B286" s="549"/>
      <c r="C286" s="561"/>
      <c r="E286" s="561"/>
      <c r="F286" s="561"/>
    </row>
    <row r="287" spans="1:6" s="566" customFormat="1" ht="39.9" customHeight="1">
      <c r="A287" s="561"/>
      <c r="B287" s="549"/>
      <c r="C287" s="561"/>
      <c r="E287" s="561"/>
      <c r="F287" s="561"/>
    </row>
    <row r="288" spans="1:6" s="566" customFormat="1" ht="39.9" customHeight="1">
      <c r="A288" s="561"/>
      <c r="B288" s="549"/>
      <c r="C288" s="561"/>
      <c r="E288" s="561"/>
      <c r="F288" s="561"/>
    </row>
    <row r="289" spans="1:8" s="566" customFormat="1" ht="39.9" customHeight="1">
      <c r="A289" s="561"/>
      <c r="B289" s="549"/>
      <c r="C289" s="561"/>
      <c r="E289" s="561"/>
      <c r="F289" s="561"/>
    </row>
    <row r="290" spans="1:8" s="566" customFormat="1" ht="39.9" customHeight="1">
      <c r="A290" s="561"/>
      <c r="B290" s="549"/>
      <c r="C290" s="561"/>
      <c r="E290" s="561"/>
      <c r="F290" s="561"/>
    </row>
    <row r="291" spans="1:8" s="566" customFormat="1" ht="39.9" customHeight="1">
      <c r="A291" s="561"/>
      <c r="B291" s="549"/>
      <c r="C291" s="561"/>
      <c r="E291" s="561"/>
      <c r="F291" s="561"/>
    </row>
    <row r="292" spans="1:8" s="566" customFormat="1" ht="39.9" customHeight="1">
      <c r="A292" s="561"/>
      <c r="B292" s="549"/>
      <c r="C292" s="561"/>
      <c r="E292" s="699"/>
      <c r="F292" s="699"/>
    </row>
    <row r="293" spans="1:8" s="566" customFormat="1" ht="39.9" customHeight="1">
      <c r="A293" s="561"/>
      <c r="B293" s="549"/>
      <c r="C293" s="561"/>
      <c r="E293" s="699"/>
      <c r="F293" s="699"/>
    </row>
    <row r="294" spans="1:8" s="566" customFormat="1" ht="39.9" customHeight="1">
      <c r="A294" s="561"/>
      <c r="B294" s="549"/>
      <c r="C294" s="561"/>
      <c r="E294" s="699"/>
      <c r="F294" s="699"/>
    </row>
    <row r="295" spans="1:8" s="566" customFormat="1" ht="39.9" customHeight="1">
      <c r="A295" s="561"/>
      <c r="B295" s="549"/>
      <c r="C295" s="561"/>
      <c r="E295" s="699"/>
      <c r="F295" s="699"/>
    </row>
    <row r="296" spans="1:8" s="566" customFormat="1" ht="39.9" customHeight="1">
      <c r="A296" s="561"/>
      <c r="B296" s="549"/>
      <c r="C296" s="561"/>
      <c r="E296" s="699"/>
      <c r="F296" s="699"/>
    </row>
    <row r="297" spans="1:8" s="566" customFormat="1" ht="39.9" customHeight="1">
      <c r="A297" s="561"/>
      <c r="B297" s="549"/>
      <c r="C297" s="561"/>
      <c r="E297" s="699"/>
      <c r="F297" s="699"/>
    </row>
    <row r="298" spans="1:8" s="566" customFormat="1" ht="39.9" customHeight="1">
      <c r="A298" s="561"/>
      <c r="B298" s="549"/>
      <c r="C298" s="561"/>
      <c r="E298" s="561"/>
      <c r="F298" s="561"/>
    </row>
    <row r="299" spans="1:8" s="566" customFormat="1" ht="39.9" customHeight="1">
      <c r="A299" s="561"/>
      <c r="B299" s="549"/>
      <c r="C299" s="561"/>
      <c r="E299" s="561"/>
      <c r="F299" s="561"/>
    </row>
    <row r="300" spans="1:8" s="566" customFormat="1" ht="39.9" customHeight="1">
      <c r="A300" s="561"/>
      <c r="B300" s="549"/>
      <c r="C300" s="561"/>
      <c r="E300" s="696"/>
      <c r="F300" s="696"/>
    </row>
    <row r="301" spans="1:8" s="566" customFormat="1" ht="39.9" customHeight="1">
      <c r="A301" s="561"/>
      <c r="B301" s="549"/>
      <c r="C301" s="561"/>
      <c r="E301" s="696"/>
      <c r="F301" s="696"/>
    </row>
    <row r="302" spans="1:8" s="566" customFormat="1" ht="39.9" customHeight="1">
      <c r="A302" s="561"/>
      <c r="B302" s="549"/>
      <c r="C302" s="561"/>
      <c r="E302" s="698"/>
      <c r="F302" s="698"/>
    </row>
    <row r="303" spans="1:8" s="566" customFormat="1" ht="39.9" customHeight="1">
      <c r="A303" s="561"/>
      <c r="B303" s="549"/>
      <c r="C303" s="561"/>
      <c r="E303" s="698"/>
      <c r="F303" s="698"/>
    </row>
    <row r="304" spans="1:8" ht="39.9" customHeight="1">
      <c r="G304" s="541"/>
      <c r="H304" s="541"/>
    </row>
    <row r="305" spans="7:8" ht="39.9" customHeight="1">
      <c r="G305" s="541"/>
      <c r="H305" s="541"/>
    </row>
    <row r="306" spans="7:8" ht="39.9" customHeight="1">
      <c r="G306" s="541"/>
      <c r="H306" s="541"/>
    </row>
    <row r="307" spans="7:8" ht="39.9" customHeight="1">
      <c r="G307" s="541"/>
      <c r="H307" s="541"/>
    </row>
    <row r="308" spans="7:8" ht="39.9" customHeight="1">
      <c r="G308" s="541"/>
      <c r="H308" s="541"/>
    </row>
    <row r="309" spans="7:8" ht="39.9" customHeight="1">
      <c r="G309" s="541"/>
      <c r="H309" s="541"/>
    </row>
  </sheetData>
  <sheetProtection selectLockedCells="1" selectUnlockedCells="1"/>
  <autoFilter ref="A7:J197" xr:uid="{00000000-0009-0000-0000-000001000000}"/>
  <mergeCells count="1">
    <mergeCell ref="D6:G6"/>
  </mergeCells>
  <conditionalFormatting sqref="A33">
    <cfRule type="duplicateValues" dxfId="524" priority="29"/>
  </conditionalFormatting>
  <conditionalFormatting sqref="A44">
    <cfRule type="duplicateValues" dxfId="523" priority="63"/>
  </conditionalFormatting>
  <conditionalFormatting sqref="A45:A47">
    <cfRule type="duplicateValues" dxfId="522" priority="76"/>
  </conditionalFormatting>
  <conditionalFormatting sqref="A59">
    <cfRule type="duplicateValues" dxfId="521" priority="3"/>
  </conditionalFormatting>
  <conditionalFormatting sqref="A65">
    <cfRule type="duplicateValues" dxfId="520" priority="58"/>
  </conditionalFormatting>
  <conditionalFormatting sqref="A73:A77">
    <cfRule type="duplicateValues" dxfId="519" priority="9"/>
  </conditionalFormatting>
  <conditionalFormatting sqref="A151 A153:A156">
    <cfRule type="duplicateValues" dxfId="518" priority="60"/>
  </conditionalFormatting>
  <conditionalFormatting sqref="A191">
    <cfRule type="duplicateValues" dxfId="517" priority="34"/>
  </conditionalFormatting>
  <conditionalFormatting sqref="A192:A1048576 A152 A66:A72 A157:A190 A48:A58 A34:A43 A60:A64 A1:A32 A78:A150">
    <cfRule type="duplicateValues" dxfId="516" priority="62"/>
  </conditionalFormatting>
  <conditionalFormatting sqref="A33:B33">
    <cfRule type="duplicateValues" dxfId="515" priority="28"/>
  </conditionalFormatting>
  <conditionalFormatting sqref="A59:B59">
    <cfRule type="duplicateValues" dxfId="514" priority="7"/>
  </conditionalFormatting>
  <conditionalFormatting sqref="A65:B65">
    <cfRule type="duplicateValues" dxfId="513" priority="57"/>
  </conditionalFormatting>
  <conditionalFormatting sqref="A73:B75 A76:A77">
    <cfRule type="duplicateValues" dxfId="512" priority="13"/>
  </conditionalFormatting>
  <conditionalFormatting sqref="A151:B151 A153:A156">
    <cfRule type="duplicateValues" dxfId="511" priority="59"/>
  </conditionalFormatting>
  <conditionalFormatting sqref="A191:B191">
    <cfRule type="duplicateValues" dxfId="510" priority="33"/>
  </conditionalFormatting>
  <conditionalFormatting sqref="A192:B1048576 A152:B152 A66:B72 A130:B133 A97:B102 A112:B123 A1:B9 B103:B107 B124:B128 A124:A129 B153:B156 A157:B190 B11:B12 A138:B150 A48:B58 A34:B44 A78:B81 B76:B77 B82:B86 A82:A96 A60:B64 A134:A137 A10:A12 A13:B32 A103:A111">
    <cfRule type="duplicateValues" dxfId="509" priority="71"/>
  </conditionalFormatting>
  <conditionalFormatting sqref="B10">
    <cfRule type="duplicateValues" dxfId="508" priority="20"/>
    <cfRule type="duplicateValues" dxfId="507" priority="21"/>
    <cfRule type="duplicateValues" dxfId="506" priority="22"/>
    <cfRule type="duplicateValues" dxfId="505" priority="23"/>
    <cfRule type="duplicateValues" dxfId="504" priority="24"/>
    <cfRule type="duplicateValues" dxfId="503" priority="25"/>
  </conditionalFormatting>
  <conditionalFormatting sqref="B33">
    <cfRule type="duplicateValues" dxfId="502" priority="30"/>
    <cfRule type="duplicateValues" dxfId="501" priority="31"/>
    <cfRule type="duplicateValues" dxfId="500" priority="32"/>
  </conditionalFormatting>
  <conditionalFormatting sqref="B45">
    <cfRule type="duplicateValues" dxfId="499" priority="75"/>
  </conditionalFormatting>
  <conditionalFormatting sqref="B46">
    <cfRule type="duplicateValues" dxfId="498" priority="74"/>
  </conditionalFormatting>
  <conditionalFormatting sqref="B47">
    <cfRule type="duplicateValues" dxfId="497" priority="47"/>
    <cfRule type="duplicateValues" dxfId="496" priority="46"/>
    <cfRule type="duplicateValues" dxfId="495" priority="45"/>
    <cfRule type="duplicateValues" dxfId="494" priority="44"/>
  </conditionalFormatting>
  <conditionalFormatting sqref="B59">
    <cfRule type="duplicateValues" dxfId="493" priority="4"/>
    <cfRule type="duplicateValues" dxfId="492" priority="5"/>
    <cfRule type="duplicateValues" dxfId="491" priority="6"/>
    <cfRule type="duplicateValues" dxfId="490" priority="2"/>
  </conditionalFormatting>
  <conditionalFormatting sqref="B73:B75">
    <cfRule type="duplicateValues" dxfId="489" priority="8"/>
    <cfRule type="duplicateValues" dxfId="488" priority="10"/>
    <cfRule type="duplicateValues" dxfId="487" priority="12"/>
    <cfRule type="duplicateValues" dxfId="486" priority="11"/>
  </conditionalFormatting>
  <conditionalFormatting sqref="B87">
    <cfRule type="duplicateValues" dxfId="485" priority="49"/>
    <cfRule type="duplicateValues" dxfId="484" priority="50"/>
    <cfRule type="duplicateValues" dxfId="483" priority="48"/>
  </conditionalFormatting>
  <conditionalFormatting sqref="B88:B89">
    <cfRule type="duplicateValues" dxfId="482" priority="40"/>
    <cfRule type="duplicateValues" dxfId="481" priority="41"/>
    <cfRule type="duplicateValues" dxfId="480" priority="38"/>
    <cfRule type="duplicateValues" dxfId="479" priority="39"/>
  </conditionalFormatting>
  <conditionalFormatting sqref="B90:B95">
    <cfRule type="duplicateValues" dxfId="478" priority="72"/>
  </conditionalFormatting>
  <conditionalFormatting sqref="B96">
    <cfRule type="duplicateValues" dxfId="477" priority="14"/>
    <cfRule type="duplicateValues" dxfId="476" priority="15"/>
    <cfRule type="duplicateValues" dxfId="475" priority="16"/>
    <cfRule type="duplicateValues" dxfId="474" priority="17"/>
    <cfRule type="duplicateValues" dxfId="473" priority="18"/>
    <cfRule type="duplicateValues" dxfId="472" priority="19"/>
  </conditionalFormatting>
  <conditionalFormatting sqref="B108">
    <cfRule type="duplicateValues" dxfId="471" priority="68"/>
    <cfRule type="duplicateValues" dxfId="470" priority="67"/>
  </conditionalFormatting>
  <conditionalFormatting sqref="B109:B111">
    <cfRule type="duplicateValues" dxfId="469" priority="42"/>
    <cfRule type="duplicateValues" dxfId="468" priority="43"/>
  </conditionalFormatting>
  <conditionalFormatting sqref="B129">
    <cfRule type="duplicateValues" dxfId="467" priority="55"/>
    <cfRule type="duplicateValues" dxfId="466" priority="54"/>
    <cfRule type="duplicateValues" dxfId="465" priority="56"/>
  </conditionalFormatting>
  <conditionalFormatting sqref="B134:B135">
    <cfRule type="duplicateValues" dxfId="464" priority="53"/>
    <cfRule type="duplicateValues" dxfId="463" priority="52"/>
    <cfRule type="duplicateValues" dxfId="462" priority="51"/>
  </conditionalFormatting>
  <conditionalFormatting sqref="B136">
    <cfRule type="duplicateValues" dxfId="461" priority="69"/>
    <cfRule type="duplicateValues" dxfId="460" priority="70"/>
  </conditionalFormatting>
  <conditionalFormatting sqref="B137">
    <cfRule type="duplicateValues" dxfId="459" priority="73"/>
  </conditionalFormatting>
  <conditionalFormatting sqref="B138:B1048576 B1:B9 B11:B58 B97:B135 B76:B89 B60:B72">
    <cfRule type="duplicateValues" dxfId="458" priority="27"/>
  </conditionalFormatting>
  <conditionalFormatting sqref="B138:B1048576">
    <cfRule type="duplicateValues" dxfId="457" priority="26"/>
  </conditionalFormatting>
  <conditionalFormatting sqref="B191">
    <cfRule type="duplicateValues" dxfId="456" priority="35"/>
    <cfRule type="duplicateValues" dxfId="455" priority="36"/>
    <cfRule type="duplicateValues" dxfId="454" priority="37"/>
  </conditionalFormatting>
  <conditionalFormatting sqref="B192:B1048576 B1:B9 B97:B107 B34:B46 B48:B58 B11:B32 B138:B190 B112:B135 B76:B87 B60:B72">
    <cfRule type="duplicateValues" dxfId="453" priority="66"/>
  </conditionalFormatting>
  <conditionalFormatting sqref="B192:B1048576 B1:B9 B97:B107 B112:B128 B130:B133 B34:B46 B48:B58 B11:B32 B138:B190 B76:B86 B60:B72">
    <cfRule type="duplicateValues" dxfId="452" priority="65"/>
  </conditionalFormatting>
  <conditionalFormatting sqref="B192:B1048576 B48:B58 B1:B9 B97:B107 B112:B128 B130:B133 B34:B46 B11:B32 B138:B190 B76:B86 B60:B72">
    <cfRule type="duplicateValues" dxfId="451" priority="64"/>
  </conditionalFormatting>
  <pageMargins left="0.7" right="0.7" top="0.75" bottom="0.75" header="0.51180555555555551" footer="0.51180555555555551"/>
  <pageSetup scale="14" firstPageNumber="0" fitToWidth="0" fitToHeight="2" orientation="portrait" horizontalDpi="4294967293" verticalDpi="300" r:id="rId1"/>
  <headerFooter alignWithMargins="0"/>
  <rowBreaks count="2" manualBreakCount="2">
    <brk id="98" max="96" man="1"/>
    <brk id="197" max="9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tabColor indexed="57"/>
  </sheetPr>
  <dimension ref="A1:CX251"/>
  <sheetViews>
    <sheetView showGridLines="0" view="pageBreakPreview" zoomScale="60" zoomScaleNormal="95" workbookViewId="0">
      <pane xSplit="3" ySplit="7" topLeftCell="D94" activePane="bottomRight" state="frozen"/>
      <selection activeCell="H25" sqref="H25"/>
      <selection pane="topRight" activeCell="H25" sqref="H25"/>
      <selection pane="bottomLeft" activeCell="H25" sqref="H25"/>
      <selection pane="bottomRight" activeCell="B100" sqref="B100"/>
    </sheetView>
  </sheetViews>
  <sheetFormatPr baseColWidth="10" defaultColWidth="11.44140625" defaultRowHeight="22.8" outlineLevelRow="1" outlineLevelCol="1"/>
  <cols>
    <col min="1" max="1" width="7.109375" style="317" customWidth="1"/>
    <col min="2" max="2" width="36.33203125" style="331" customWidth="1"/>
    <col min="3" max="3" width="25.33203125" style="317" customWidth="1"/>
    <col min="4" max="4" width="12" style="322" customWidth="1"/>
    <col min="5" max="5" width="11.33203125" style="332" customWidth="1" outlineLevel="1"/>
    <col min="6" max="6" width="13.44140625" style="332" customWidth="1" outlineLevel="1"/>
    <col min="7" max="7" width="10.6640625" style="332" customWidth="1" outlineLevel="1"/>
    <col min="8" max="8" width="12" style="333" customWidth="1" outlineLevel="1"/>
    <col min="9" max="9" width="13" style="333" customWidth="1" outlineLevel="1"/>
    <col min="10" max="10" width="19.44140625" style="333" bestFit="1" customWidth="1" outlineLevel="1"/>
    <col min="11" max="11" width="21.109375" style="333" bestFit="1" customWidth="1" outlineLevel="1"/>
    <col min="12" max="12" width="11.88671875" style="322" bestFit="1" customWidth="1"/>
    <col min="13" max="13" width="51.5546875" style="331" customWidth="1"/>
    <col min="14" max="14" width="28.44140625" style="295" customWidth="1"/>
    <col min="15" max="15" width="27.109375" style="322" customWidth="1"/>
    <col min="16" max="16" width="21.5546875" style="505" customWidth="1" outlineLevel="1"/>
    <col min="17" max="17" width="20.5546875" style="505" customWidth="1" outlineLevel="1"/>
    <col min="18" max="18" width="28.109375" style="505" customWidth="1" outlineLevel="1"/>
    <col min="19" max="21" width="11.109375" style="333" customWidth="1" outlineLevel="1"/>
    <col min="22" max="22" width="11.33203125" style="333" customWidth="1" outlineLevel="1"/>
    <col min="23" max="16384" width="11.44140625" style="322"/>
  </cols>
  <sheetData>
    <row r="1" spans="1:22">
      <c r="B1" s="318">
        <v>1</v>
      </c>
      <c r="C1" s="319">
        <v>2</v>
      </c>
      <c r="D1" s="320">
        <v>3</v>
      </c>
      <c r="E1" s="321">
        <v>4</v>
      </c>
      <c r="F1" s="320">
        <v>5</v>
      </c>
      <c r="G1" s="321">
        <v>6</v>
      </c>
      <c r="H1" s="321">
        <v>8</v>
      </c>
      <c r="I1" s="320">
        <v>9</v>
      </c>
      <c r="J1" s="321">
        <v>10</v>
      </c>
      <c r="K1" s="320">
        <v>13</v>
      </c>
      <c r="M1" s="318">
        <v>1</v>
      </c>
      <c r="N1" s="296">
        <v>2</v>
      </c>
      <c r="O1" s="320">
        <v>3</v>
      </c>
      <c r="P1" s="503">
        <v>4</v>
      </c>
      <c r="Q1" s="504">
        <v>5</v>
      </c>
      <c r="R1" s="503">
        <v>6</v>
      </c>
      <c r="S1" s="321">
        <v>8</v>
      </c>
      <c r="T1" s="320">
        <v>9</v>
      </c>
      <c r="U1" s="321">
        <v>10</v>
      </c>
      <c r="V1" s="320">
        <v>13</v>
      </c>
    </row>
    <row r="2" spans="1:22" s="327" customFormat="1">
      <c r="A2" s="323"/>
      <c r="B2" s="324" t="s">
        <v>0</v>
      </c>
      <c r="C2" s="325"/>
      <c r="D2" s="326"/>
      <c r="H2" s="328"/>
      <c r="I2" s="328"/>
      <c r="J2" s="328"/>
      <c r="K2" s="328"/>
      <c r="L2" s="322"/>
      <c r="M2" s="324" t="s">
        <v>0</v>
      </c>
      <c r="N2" s="297"/>
      <c r="O2" s="326"/>
      <c r="P2" s="503"/>
      <c r="Q2" s="503"/>
      <c r="R2" s="503"/>
      <c r="S2" s="328"/>
      <c r="T2" s="328"/>
      <c r="U2" s="328"/>
      <c r="V2" s="328"/>
    </row>
    <row r="3" spans="1:22">
      <c r="B3" s="329" t="s">
        <v>589</v>
      </c>
      <c r="C3" s="330"/>
      <c r="E3" s="322"/>
      <c r="F3" s="322"/>
      <c r="G3" s="322"/>
      <c r="H3" s="322"/>
      <c r="I3" s="322"/>
      <c r="J3" s="322"/>
      <c r="K3" s="322"/>
      <c r="M3" s="329" t="s">
        <v>589</v>
      </c>
      <c r="N3" s="298"/>
      <c r="S3" s="322"/>
      <c r="T3" s="322"/>
      <c r="U3" s="322"/>
      <c r="V3" s="322"/>
    </row>
    <row r="4" spans="1:22" ht="12.75" customHeight="1">
      <c r="C4" s="325"/>
      <c r="N4" s="297"/>
    </row>
    <row r="5" spans="1:22" s="336" customFormat="1" ht="15" customHeight="1">
      <c r="A5" s="334"/>
      <c r="B5" s="335"/>
      <c r="C5" s="334" t="s">
        <v>52</v>
      </c>
      <c r="E5" s="336">
        <v>5</v>
      </c>
      <c r="F5" s="336">
        <v>6</v>
      </c>
      <c r="H5" s="337"/>
      <c r="I5" s="337"/>
      <c r="J5" s="337"/>
      <c r="K5" s="337"/>
      <c r="M5" s="335"/>
      <c r="N5" s="299" t="s">
        <v>52</v>
      </c>
      <c r="P5" s="505">
        <v>5</v>
      </c>
      <c r="Q5" s="505">
        <v>6</v>
      </c>
      <c r="R5" s="505"/>
      <c r="S5" s="337"/>
      <c r="T5" s="337"/>
      <c r="U5" s="337"/>
      <c r="V5" s="337"/>
    </row>
    <row r="6" spans="1:22" s="340" customFormat="1" ht="30" customHeight="1" thickBot="1">
      <c r="A6" s="338"/>
      <c r="B6" s="324"/>
      <c r="C6" s="339"/>
      <c r="D6" s="1352" t="s">
        <v>1</v>
      </c>
      <c r="E6" s="1352"/>
      <c r="F6" s="1352"/>
      <c r="G6" s="1352"/>
      <c r="H6" s="1352"/>
      <c r="I6" s="1352"/>
      <c r="J6" s="1352"/>
      <c r="K6" s="1352"/>
      <c r="M6" s="324"/>
      <c r="N6" s="300"/>
      <c r="O6" s="1352" t="s">
        <v>1</v>
      </c>
      <c r="P6" s="1352"/>
      <c r="Q6" s="1352"/>
      <c r="R6" s="1352"/>
      <c r="S6" s="1352"/>
      <c r="T6" s="1352"/>
      <c r="U6" s="1352"/>
      <c r="V6" s="1352"/>
    </row>
    <row r="7" spans="1:22" ht="30" customHeight="1" thickBot="1">
      <c r="B7" s="341" t="s">
        <v>35</v>
      </c>
      <c r="C7" s="342" t="s">
        <v>36</v>
      </c>
      <c r="D7" s="343" t="s">
        <v>381</v>
      </c>
      <c r="E7" s="343" t="s">
        <v>380</v>
      </c>
      <c r="F7" s="343" t="s">
        <v>382</v>
      </c>
      <c r="G7" s="343" t="s">
        <v>17</v>
      </c>
      <c r="H7" s="343" t="s">
        <v>384</v>
      </c>
      <c r="I7" s="343" t="s">
        <v>19</v>
      </c>
      <c r="J7" s="343" t="s">
        <v>385</v>
      </c>
      <c r="K7" s="343" t="s">
        <v>388</v>
      </c>
      <c r="M7" s="341" t="s">
        <v>35</v>
      </c>
      <c r="N7" s="301" t="s">
        <v>36</v>
      </c>
      <c r="O7" s="343" t="s">
        <v>381</v>
      </c>
      <c r="P7" s="506" t="s">
        <v>380</v>
      </c>
      <c r="Q7" s="506" t="s">
        <v>382</v>
      </c>
      <c r="R7" s="506" t="s">
        <v>17</v>
      </c>
      <c r="S7" s="343" t="s">
        <v>384</v>
      </c>
      <c r="T7" s="343" t="s">
        <v>19</v>
      </c>
      <c r="U7" s="343" t="s">
        <v>385</v>
      </c>
      <c r="V7" s="343" t="s">
        <v>388</v>
      </c>
    </row>
    <row r="8" spans="1:22" s="350" customFormat="1" ht="30" customHeight="1">
      <c r="A8" s="344"/>
      <c r="B8" s="324" t="s">
        <v>51</v>
      </c>
      <c r="C8" s="345"/>
      <c r="D8" s="346"/>
      <c r="E8" s="347"/>
      <c r="F8" s="347"/>
      <c r="G8" s="348"/>
      <c r="H8" s="349"/>
      <c r="I8" s="349"/>
      <c r="J8" s="349"/>
      <c r="K8" s="349"/>
      <c r="M8" s="324" t="s">
        <v>51</v>
      </c>
      <c r="N8" s="303"/>
      <c r="O8" s="346"/>
      <c r="P8" s="507"/>
      <c r="Q8" s="507"/>
      <c r="R8" s="508"/>
      <c r="S8" s="349"/>
      <c r="T8" s="349"/>
      <c r="U8" s="349"/>
      <c r="V8" s="349"/>
    </row>
    <row r="9" spans="1:22" s="350" customFormat="1" ht="30" customHeight="1">
      <c r="A9" s="344"/>
      <c r="B9" s="351" t="s">
        <v>53</v>
      </c>
      <c r="C9" s="345"/>
      <c r="D9" s="352"/>
      <c r="E9" s="352"/>
      <c r="F9" s="353"/>
      <c r="G9" s="354" t="s">
        <v>353</v>
      </c>
      <c r="H9" s="353"/>
      <c r="I9" s="355"/>
      <c r="J9" s="355"/>
      <c r="K9" s="355"/>
      <c r="M9" s="351" t="s">
        <v>53</v>
      </c>
      <c r="N9" s="303"/>
      <c r="O9" s="352"/>
      <c r="P9" s="507"/>
      <c r="Q9" s="507"/>
      <c r="R9" s="508" t="s">
        <v>353</v>
      </c>
      <c r="S9" s="353"/>
      <c r="T9" s="355"/>
      <c r="U9" s="355"/>
      <c r="V9" s="355"/>
    </row>
    <row r="10" spans="1:22" s="356" customFormat="1" ht="30" customHeight="1" outlineLevel="1">
      <c r="A10" s="356">
        <v>2</v>
      </c>
      <c r="B10" s="357" t="s">
        <v>490</v>
      </c>
      <c r="C10" s="358" t="s">
        <v>358</v>
      </c>
      <c r="D10" s="358" t="s">
        <v>8</v>
      </c>
      <c r="E10" s="359">
        <v>2825.1</v>
      </c>
      <c r="F10" s="359">
        <v>250</v>
      </c>
      <c r="G10" s="360">
        <f>+E10+F10</f>
        <v>3075.1</v>
      </c>
      <c r="H10" s="361">
        <v>1</v>
      </c>
      <c r="I10" s="361">
        <v>0</v>
      </c>
      <c r="J10" s="361">
        <v>0</v>
      </c>
      <c r="K10" s="361">
        <f>SUM(H10:J10)</f>
        <v>1</v>
      </c>
      <c r="M10" s="357" t="s">
        <v>490</v>
      </c>
      <c r="N10" s="305" t="s">
        <v>358</v>
      </c>
      <c r="O10" s="358" t="s">
        <v>8</v>
      </c>
      <c r="P10" s="509">
        <v>2959.24</v>
      </c>
      <c r="Q10" s="509">
        <v>250</v>
      </c>
      <c r="R10" s="510">
        <f>+P10+Q10</f>
        <v>3209.24</v>
      </c>
      <c r="S10" s="361">
        <v>1</v>
      </c>
      <c r="T10" s="361">
        <v>0</v>
      </c>
      <c r="U10" s="361">
        <v>0</v>
      </c>
      <c r="V10" s="361">
        <f>SUM(S10:U10)</f>
        <v>1</v>
      </c>
    </row>
    <row r="11" spans="1:22" s="366" customFormat="1" ht="30" customHeight="1" outlineLevel="1">
      <c r="A11" s="356"/>
      <c r="B11" s="357" t="s">
        <v>569</v>
      </c>
      <c r="C11" s="358" t="s">
        <v>358</v>
      </c>
      <c r="D11" s="362" t="s">
        <v>8</v>
      </c>
      <c r="E11" s="363">
        <v>2825.1</v>
      </c>
      <c r="F11" s="363">
        <v>250</v>
      </c>
      <c r="G11" s="364">
        <f>+E11+F11</f>
        <v>3075.1</v>
      </c>
      <c r="H11" s="365">
        <v>1</v>
      </c>
      <c r="I11" s="365">
        <v>0</v>
      </c>
      <c r="J11" s="365">
        <v>0</v>
      </c>
      <c r="K11" s="365">
        <f>SUM(H11:J11)</f>
        <v>1</v>
      </c>
      <c r="M11" s="357" t="s">
        <v>569</v>
      </c>
      <c r="N11" s="305" t="s">
        <v>358</v>
      </c>
      <c r="O11" s="362" t="s">
        <v>8</v>
      </c>
      <c r="P11" s="509">
        <v>2959.24</v>
      </c>
      <c r="Q11" s="509">
        <v>250</v>
      </c>
      <c r="R11" s="510">
        <f>+P11+Q11</f>
        <v>3209.24</v>
      </c>
      <c r="S11" s="365">
        <v>1</v>
      </c>
      <c r="T11" s="365">
        <v>0</v>
      </c>
      <c r="U11" s="365">
        <v>0</v>
      </c>
      <c r="V11" s="365">
        <f>SUM(S11:U11)</f>
        <v>1</v>
      </c>
    </row>
    <row r="12" spans="1:22" s="350" customFormat="1" ht="30" customHeight="1" outlineLevel="1">
      <c r="A12" s="344">
        <v>5</v>
      </c>
      <c r="B12" s="367" t="s">
        <v>473</v>
      </c>
      <c r="C12" s="368" t="s">
        <v>54</v>
      </c>
      <c r="D12" s="369" t="s">
        <v>9</v>
      </c>
      <c r="E12" s="370">
        <v>2825.1</v>
      </c>
      <c r="F12" s="371">
        <v>250</v>
      </c>
      <c r="G12" s="372">
        <f>+E12+F12</f>
        <v>3075.1</v>
      </c>
      <c r="H12" s="373">
        <v>0</v>
      </c>
      <c r="I12" s="373">
        <v>1</v>
      </c>
      <c r="J12" s="373">
        <v>0</v>
      </c>
      <c r="K12" s="373">
        <f>SUM(H12:J12)</f>
        <v>1</v>
      </c>
      <c r="M12" s="367" t="s">
        <v>473</v>
      </c>
      <c r="N12" s="306" t="s">
        <v>54</v>
      </c>
      <c r="O12" s="369" t="s">
        <v>9</v>
      </c>
      <c r="P12" s="509">
        <v>2959.24</v>
      </c>
      <c r="Q12" s="511">
        <v>250</v>
      </c>
      <c r="R12" s="512">
        <f>+P12+Q12</f>
        <v>3209.24</v>
      </c>
      <c r="S12" s="373">
        <v>0</v>
      </c>
      <c r="T12" s="373">
        <v>1</v>
      </c>
      <c r="U12" s="373">
        <v>0</v>
      </c>
      <c r="V12" s="373">
        <f>SUM(S12:U12)</f>
        <v>1</v>
      </c>
    </row>
    <row r="13" spans="1:22" s="350" customFormat="1" ht="30" customHeight="1" outlineLevel="1" thickBot="1">
      <c r="A13" s="344"/>
      <c r="B13" s="331"/>
      <c r="C13" s="374" t="s">
        <v>57</v>
      </c>
      <c r="E13" s="375">
        <f>SUM(E10:E12)</f>
        <v>8475.2999999999993</v>
      </c>
      <c r="F13" s="375">
        <f>SUM(F10:F12)</f>
        <v>750</v>
      </c>
      <c r="G13" s="375">
        <f>SUM(G10:G12)</f>
        <v>9225.2999999999993</v>
      </c>
      <c r="H13" s="376"/>
      <c r="J13" s="376"/>
      <c r="K13" s="376"/>
      <c r="M13" s="331"/>
      <c r="N13" s="307" t="s">
        <v>57</v>
      </c>
      <c r="P13" s="513">
        <f>SUM(P10:P12)</f>
        <v>8877.7199999999993</v>
      </c>
      <c r="Q13" s="513">
        <f>SUM(Q10:Q12)</f>
        <v>750</v>
      </c>
      <c r="R13" s="513">
        <f>SUM(R10:R12)</f>
        <v>9627.7199999999993</v>
      </c>
      <c r="S13" s="376"/>
      <c r="U13" s="376"/>
      <c r="V13" s="376"/>
    </row>
    <row r="14" spans="1:22" s="350" customFormat="1" ht="30" customHeight="1" outlineLevel="1" thickTop="1">
      <c r="A14" s="344"/>
      <c r="B14" s="331"/>
      <c r="C14" s="374"/>
      <c r="E14" s="377"/>
      <c r="F14" s="377"/>
      <c r="G14" s="377"/>
      <c r="H14" s="376"/>
      <c r="J14" s="376"/>
      <c r="K14" s="376"/>
      <c r="M14" s="331"/>
      <c r="N14" s="307"/>
      <c r="P14" s="514"/>
      <c r="Q14" s="514"/>
      <c r="R14" s="514"/>
      <c r="S14" s="376"/>
      <c r="U14" s="376"/>
      <c r="V14" s="376"/>
    </row>
    <row r="15" spans="1:22" s="350" customFormat="1" ht="30" customHeight="1" outlineLevel="1">
      <c r="A15" s="344"/>
      <c r="B15" s="331"/>
      <c r="C15" s="374"/>
      <c r="E15" s="377"/>
      <c r="F15" s="377"/>
      <c r="G15" s="377"/>
      <c r="H15" s="376"/>
      <c r="J15" s="376"/>
      <c r="K15" s="376"/>
      <c r="M15" s="331"/>
      <c r="N15" s="307"/>
      <c r="P15" s="514"/>
      <c r="Q15" s="514"/>
      <c r="R15" s="514"/>
      <c r="S15" s="376"/>
      <c r="U15" s="376"/>
      <c r="V15" s="376"/>
    </row>
    <row r="16" spans="1:22" s="380" customFormat="1" ht="30" customHeight="1" outlineLevel="1">
      <c r="A16" s="378"/>
      <c r="B16" s="331"/>
      <c r="C16" s="344"/>
      <c r="D16" s="350"/>
      <c r="E16" s="379"/>
      <c r="G16" s="381"/>
      <c r="H16" s="376"/>
      <c r="I16" s="350"/>
      <c r="J16" s="376"/>
      <c r="K16" s="376"/>
      <c r="L16" s="350"/>
      <c r="M16" s="331"/>
      <c r="N16" s="302"/>
      <c r="O16" s="350"/>
      <c r="P16" s="514"/>
      <c r="Q16" s="515"/>
      <c r="R16" s="516"/>
      <c r="S16" s="376"/>
      <c r="T16" s="350"/>
      <c r="U16" s="376"/>
      <c r="V16" s="376"/>
    </row>
    <row r="17" spans="1:22" s="350" customFormat="1" ht="30" customHeight="1" outlineLevel="1">
      <c r="A17" s="344"/>
      <c r="B17" s="351" t="s">
        <v>58</v>
      </c>
      <c r="C17" s="344"/>
      <c r="D17" s="344"/>
      <c r="E17" s="379"/>
      <c r="F17" s="380"/>
      <c r="G17" s="380"/>
      <c r="M17" s="351" t="s">
        <v>58</v>
      </c>
      <c r="N17" s="302"/>
      <c r="O17" s="344"/>
      <c r="P17" s="514"/>
      <c r="Q17" s="515"/>
      <c r="R17" s="515"/>
    </row>
    <row r="18" spans="1:22" s="389" customFormat="1" ht="30" customHeight="1" outlineLevel="1">
      <c r="A18" s="382">
        <v>8</v>
      </c>
      <c r="B18" s="383" t="s">
        <v>544</v>
      </c>
      <c r="C18" s="384" t="s">
        <v>492</v>
      </c>
      <c r="D18" s="385" t="s">
        <v>8</v>
      </c>
      <c r="E18" s="363">
        <v>2825.1</v>
      </c>
      <c r="F18" s="386">
        <v>725</v>
      </c>
      <c r="G18" s="387">
        <f>+E18+F18</f>
        <v>3550.1</v>
      </c>
      <c r="H18" s="388">
        <v>0.5</v>
      </c>
      <c r="I18" s="388">
        <v>0.5</v>
      </c>
      <c r="J18" s="388">
        <v>0</v>
      </c>
      <c r="K18" s="388">
        <f>SUM(H18:J18)</f>
        <v>1</v>
      </c>
      <c r="M18" s="383" t="s">
        <v>544</v>
      </c>
      <c r="N18" s="308" t="s">
        <v>492</v>
      </c>
      <c r="O18" s="385" t="s">
        <v>8</v>
      </c>
      <c r="P18" s="509">
        <v>2959.24</v>
      </c>
      <c r="Q18" s="511">
        <v>725</v>
      </c>
      <c r="R18" s="512">
        <f>+P18+Q18</f>
        <v>3684.24</v>
      </c>
      <c r="S18" s="388">
        <v>0.5</v>
      </c>
      <c r="T18" s="388">
        <v>0.5</v>
      </c>
      <c r="U18" s="388">
        <v>0</v>
      </c>
      <c r="V18" s="388">
        <f>SUM(S18:U18)</f>
        <v>1</v>
      </c>
    </row>
    <row r="19" spans="1:22" s="320" customFormat="1" ht="30" customHeight="1" outlineLevel="1">
      <c r="A19" s="382">
        <v>9</v>
      </c>
      <c r="B19" s="383" t="s">
        <v>431</v>
      </c>
      <c r="C19" s="384" t="s">
        <v>60</v>
      </c>
      <c r="D19" s="384" t="s">
        <v>8</v>
      </c>
      <c r="E19" s="359">
        <v>2825.1</v>
      </c>
      <c r="F19" s="390">
        <v>250</v>
      </c>
      <c r="G19" s="391">
        <f>+E19+F19</f>
        <v>3075.1</v>
      </c>
      <c r="H19" s="392">
        <v>0.5</v>
      </c>
      <c r="I19" s="392">
        <v>0.5</v>
      </c>
      <c r="J19" s="392">
        <v>0</v>
      </c>
      <c r="K19" s="392">
        <f>SUM(H19:J19)</f>
        <v>1</v>
      </c>
      <c r="M19" s="383" t="s">
        <v>431</v>
      </c>
      <c r="N19" s="308" t="s">
        <v>60</v>
      </c>
      <c r="O19" s="384" t="s">
        <v>8</v>
      </c>
      <c r="P19" s="509">
        <v>2959.24</v>
      </c>
      <c r="Q19" s="511">
        <v>250</v>
      </c>
      <c r="R19" s="512">
        <f>+P19+Q19</f>
        <v>3209.24</v>
      </c>
      <c r="S19" s="392">
        <v>0.5</v>
      </c>
      <c r="T19" s="392">
        <v>0.5</v>
      </c>
      <c r="U19" s="392">
        <v>0</v>
      </c>
      <c r="V19" s="392">
        <f>SUM(S19:U19)</f>
        <v>1</v>
      </c>
    </row>
    <row r="20" spans="1:22" s="366" customFormat="1" ht="30" customHeight="1" outlineLevel="1">
      <c r="A20" s="382">
        <v>10</v>
      </c>
      <c r="B20" s="357" t="s">
        <v>458</v>
      </c>
      <c r="C20" s="358" t="s">
        <v>61</v>
      </c>
      <c r="D20" s="362" t="s">
        <v>9</v>
      </c>
      <c r="E20" s="363">
        <v>2825.1</v>
      </c>
      <c r="F20" s="363">
        <v>250</v>
      </c>
      <c r="G20" s="364">
        <f>+E20+F20</f>
        <v>3075.1</v>
      </c>
      <c r="H20" s="365">
        <v>0</v>
      </c>
      <c r="I20" s="365">
        <v>1</v>
      </c>
      <c r="J20" s="365">
        <v>0</v>
      </c>
      <c r="K20" s="365">
        <f>SUM(H20:J20)</f>
        <v>1</v>
      </c>
      <c r="M20" s="357" t="s">
        <v>458</v>
      </c>
      <c r="N20" s="305" t="s">
        <v>61</v>
      </c>
      <c r="O20" s="362" t="s">
        <v>9</v>
      </c>
      <c r="P20" s="509">
        <v>2959.24</v>
      </c>
      <c r="Q20" s="509">
        <v>250</v>
      </c>
      <c r="R20" s="510">
        <f>+P20+Q20</f>
        <v>3209.24</v>
      </c>
      <c r="S20" s="365">
        <v>0</v>
      </c>
      <c r="T20" s="365">
        <v>1</v>
      </c>
      <c r="U20" s="365">
        <v>0</v>
      </c>
      <c r="V20" s="365">
        <f>SUM(S20:U20)</f>
        <v>1</v>
      </c>
    </row>
    <row r="21" spans="1:22" s="366" customFormat="1" ht="30" customHeight="1" outlineLevel="1">
      <c r="A21" s="382">
        <v>11</v>
      </c>
      <c r="B21" s="357" t="s">
        <v>437</v>
      </c>
      <c r="C21" s="358" t="s">
        <v>62</v>
      </c>
      <c r="D21" s="362" t="s">
        <v>8</v>
      </c>
      <c r="E21" s="363">
        <v>2825.1</v>
      </c>
      <c r="F21" s="363">
        <f>250+120</f>
        <v>370</v>
      </c>
      <c r="G21" s="364">
        <f>+E21+F21</f>
        <v>3195.1</v>
      </c>
      <c r="H21" s="365">
        <v>1</v>
      </c>
      <c r="I21" s="365">
        <v>0</v>
      </c>
      <c r="J21" s="365">
        <v>0</v>
      </c>
      <c r="K21" s="365">
        <f>SUM(H21:J21)</f>
        <v>1</v>
      </c>
      <c r="M21" s="357" t="s">
        <v>437</v>
      </c>
      <c r="N21" s="305" t="s">
        <v>62</v>
      </c>
      <c r="O21" s="362" t="s">
        <v>8</v>
      </c>
      <c r="P21" s="509">
        <v>2959.24</v>
      </c>
      <c r="Q21" s="509">
        <f>250+120</f>
        <v>370</v>
      </c>
      <c r="R21" s="510">
        <f>+P21+Q21</f>
        <v>3329.24</v>
      </c>
      <c r="S21" s="365">
        <v>1</v>
      </c>
      <c r="T21" s="365">
        <v>0</v>
      </c>
      <c r="U21" s="365">
        <v>0</v>
      </c>
      <c r="V21" s="365">
        <f>SUM(S21:U21)</f>
        <v>1</v>
      </c>
    </row>
    <row r="22" spans="1:22" s="350" customFormat="1" ht="30" customHeight="1" outlineLevel="1">
      <c r="A22" s="382">
        <v>12</v>
      </c>
      <c r="B22" s="383" t="s">
        <v>432</v>
      </c>
      <c r="C22" s="384" t="s">
        <v>62</v>
      </c>
      <c r="D22" s="369" t="s">
        <v>8</v>
      </c>
      <c r="E22" s="370">
        <v>2825.1</v>
      </c>
      <c r="F22" s="371">
        <v>370</v>
      </c>
      <c r="G22" s="372">
        <f>+E22+F22</f>
        <v>3195.1</v>
      </c>
      <c r="H22" s="373">
        <v>1</v>
      </c>
      <c r="I22" s="373">
        <v>0</v>
      </c>
      <c r="J22" s="373">
        <v>0</v>
      </c>
      <c r="K22" s="373">
        <f>SUM(H22:J22)</f>
        <v>1</v>
      </c>
      <c r="M22" s="383" t="s">
        <v>432</v>
      </c>
      <c r="N22" s="308" t="s">
        <v>62</v>
      </c>
      <c r="O22" s="369" t="s">
        <v>8</v>
      </c>
      <c r="P22" s="509">
        <v>2959.24</v>
      </c>
      <c r="Q22" s="511">
        <v>370</v>
      </c>
      <c r="R22" s="512">
        <f>+P22+Q22</f>
        <v>3329.24</v>
      </c>
      <c r="S22" s="373">
        <v>1</v>
      </c>
      <c r="T22" s="373">
        <v>0</v>
      </c>
      <c r="U22" s="373">
        <v>0</v>
      </c>
      <c r="V22" s="373">
        <f>SUM(S22:U22)</f>
        <v>1</v>
      </c>
    </row>
    <row r="23" spans="1:22" s="350" customFormat="1" ht="30" customHeight="1" outlineLevel="1" thickBot="1">
      <c r="A23" s="344"/>
      <c r="B23" s="393"/>
      <c r="C23" s="394" t="s">
        <v>63</v>
      </c>
      <c r="E23" s="375">
        <f>SUM(E18:E22)</f>
        <v>14125.5</v>
      </c>
      <c r="F23" s="395">
        <f>SUM(F18:F22)</f>
        <v>1965</v>
      </c>
      <c r="G23" s="395">
        <f>SUM(G18:G22)</f>
        <v>16090.5</v>
      </c>
      <c r="H23" s="376"/>
      <c r="M23" s="393"/>
      <c r="N23" s="309" t="s">
        <v>63</v>
      </c>
      <c r="P23" s="513">
        <f>SUM(P18:P22)</f>
        <v>14796.199999999999</v>
      </c>
      <c r="Q23" s="517">
        <f>SUM(Q18:Q22)</f>
        <v>1965</v>
      </c>
      <c r="R23" s="517">
        <f>SUM(R18:R22)</f>
        <v>16761.199999999997</v>
      </c>
      <c r="S23" s="376"/>
    </row>
    <row r="24" spans="1:22" s="380" customFormat="1" ht="30" customHeight="1" outlineLevel="1" thickTop="1">
      <c r="A24" s="378"/>
      <c r="B24" s="393"/>
      <c r="C24" s="382"/>
      <c r="D24" s="350"/>
      <c r="E24" s="379"/>
      <c r="G24" s="381"/>
      <c r="H24" s="376"/>
      <c r="I24" s="350"/>
      <c r="J24" s="350"/>
      <c r="K24" s="350"/>
      <c r="L24" s="350"/>
      <c r="M24" s="393"/>
      <c r="N24" s="310"/>
      <c r="O24" s="350"/>
      <c r="P24" s="514"/>
      <c r="Q24" s="515"/>
      <c r="R24" s="516"/>
      <c r="S24" s="376"/>
      <c r="T24" s="350"/>
      <c r="U24" s="350"/>
      <c r="V24" s="350"/>
    </row>
    <row r="25" spans="1:22" s="350" customFormat="1" ht="30" customHeight="1" outlineLevel="1">
      <c r="A25" s="344"/>
      <c r="B25" s="351" t="s">
        <v>64</v>
      </c>
      <c r="C25" s="382"/>
      <c r="E25" s="379"/>
      <c r="F25" s="380"/>
      <c r="G25" s="380"/>
      <c r="M25" s="351" t="s">
        <v>64</v>
      </c>
      <c r="N25" s="310"/>
      <c r="P25" s="514"/>
      <c r="Q25" s="515"/>
      <c r="R25" s="515"/>
    </row>
    <row r="26" spans="1:22" s="350" customFormat="1" ht="30" customHeight="1" outlineLevel="1">
      <c r="A26" s="344">
        <f>A22+1</f>
        <v>13</v>
      </c>
      <c r="B26" s="383" t="s">
        <v>461</v>
      </c>
      <c r="C26" s="384" t="s">
        <v>65</v>
      </c>
      <c r="D26" s="369" t="s">
        <v>9</v>
      </c>
      <c r="E26" s="370">
        <v>2825.1</v>
      </c>
      <c r="F26" s="371">
        <v>250</v>
      </c>
      <c r="G26" s="372">
        <f>+E26+F26</f>
        <v>3075.1</v>
      </c>
      <c r="H26" s="373">
        <v>0.65</v>
      </c>
      <c r="I26" s="373">
        <v>0.35</v>
      </c>
      <c r="J26" s="373">
        <v>0</v>
      </c>
      <c r="K26" s="373">
        <f>SUM(H26:J26)</f>
        <v>1</v>
      </c>
      <c r="M26" s="383" t="s">
        <v>461</v>
      </c>
      <c r="N26" s="308" t="s">
        <v>65</v>
      </c>
      <c r="O26" s="369" t="s">
        <v>9</v>
      </c>
      <c r="P26" s="509">
        <v>2959.24</v>
      </c>
      <c r="Q26" s="511">
        <v>250</v>
      </c>
      <c r="R26" s="512">
        <f>+P26+Q26</f>
        <v>3209.24</v>
      </c>
      <c r="S26" s="373">
        <v>0.65</v>
      </c>
      <c r="T26" s="373">
        <v>0.35</v>
      </c>
      <c r="U26" s="373">
        <v>0</v>
      </c>
      <c r="V26" s="373">
        <f>SUM(S26:U26)</f>
        <v>1</v>
      </c>
    </row>
    <row r="27" spans="1:22" s="350" customFormat="1" ht="30" customHeight="1" outlineLevel="1">
      <c r="A27" s="344" t="e">
        <f>#REF!+1</f>
        <v>#REF!</v>
      </c>
      <c r="B27" s="383" t="s">
        <v>474</v>
      </c>
      <c r="C27" s="384" t="s">
        <v>66</v>
      </c>
      <c r="D27" s="369" t="s">
        <v>9</v>
      </c>
      <c r="E27" s="370">
        <v>2825.1</v>
      </c>
      <c r="F27" s="371">
        <v>250</v>
      </c>
      <c r="G27" s="372">
        <f>+E27+F27</f>
        <v>3075.1</v>
      </c>
      <c r="H27" s="373">
        <v>0.5</v>
      </c>
      <c r="I27" s="373">
        <v>0.5</v>
      </c>
      <c r="J27" s="373">
        <v>0</v>
      </c>
      <c r="K27" s="373">
        <f>SUM(H27:J27)</f>
        <v>1</v>
      </c>
      <c r="M27" s="383" t="s">
        <v>474</v>
      </c>
      <c r="N27" s="308" t="s">
        <v>66</v>
      </c>
      <c r="O27" s="369" t="s">
        <v>9</v>
      </c>
      <c r="P27" s="509">
        <v>2959.24</v>
      </c>
      <c r="Q27" s="511">
        <v>250</v>
      </c>
      <c r="R27" s="512">
        <f>+P27+Q27</f>
        <v>3209.24</v>
      </c>
      <c r="S27" s="373">
        <v>0.5</v>
      </c>
      <c r="T27" s="373">
        <v>0.5</v>
      </c>
      <c r="U27" s="373">
        <v>0</v>
      </c>
      <c r="V27" s="373">
        <f>SUM(S27:U27)</f>
        <v>1</v>
      </c>
    </row>
    <row r="28" spans="1:22" s="350" customFormat="1" ht="30" customHeight="1" outlineLevel="1" thickBot="1">
      <c r="A28" s="344"/>
      <c r="B28" s="324"/>
      <c r="C28" s="394" t="s">
        <v>68</v>
      </c>
      <c r="E28" s="375">
        <f>SUM(E26:E27)</f>
        <v>5650.2</v>
      </c>
      <c r="F28" s="375">
        <f>SUM(F26:F27)</f>
        <v>500</v>
      </c>
      <c r="G28" s="375">
        <f>SUM(G26:G27)</f>
        <v>6150.2</v>
      </c>
      <c r="H28" s="376"/>
      <c r="I28" s="376"/>
      <c r="J28" s="376"/>
      <c r="K28" s="376"/>
      <c r="M28" s="324"/>
      <c r="N28" s="309" t="s">
        <v>68</v>
      </c>
      <c r="P28" s="513">
        <f>SUM(P26:P27)</f>
        <v>5918.48</v>
      </c>
      <c r="Q28" s="513">
        <f>SUM(Q26:Q27)</f>
        <v>500</v>
      </c>
      <c r="R28" s="513">
        <f>SUM(R26:R27)</f>
        <v>6418.48</v>
      </c>
      <c r="S28" s="376"/>
      <c r="T28" s="376"/>
      <c r="U28" s="376"/>
      <c r="V28" s="376"/>
    </row>
    <row r="29" spans="1:22" s="350" customFormat="1" ht="30" customHeight="1" outlineLevel="1" thickTop="1">
      <c r="A29" s="344"/>
      <c r="B29" s="324"/>
      <c r="C29" s="382"/>
      <c r="E29" s="396"/>
      <c r="F29" s="397"/>
      <c r="G29" s="397"/>
      <c r="H29" s="376"/>
      <c r="I29" s="376"/>
      <c r="J29" s="376"/>
      <c r="K29" s="376"/>
      <c r="M29" s="324"/>
      <c r="N29" s="310"/>
      <c r="P29" s="514"/>
      <c r="Q29" s="515"/>
      <c r="R29" s="515"/>
      <c r="S29" s="376"/>
      <c r="T29" s="376"/>
      <c r="U29" s="376"/>
      <c r="V29" s="376"/>
    </row>
    <row r="30" spans="1:22" s="400" customFormat="1" ht="30" customHeight="1" outlineLevel="1">
      <c r="A30" s="398"/>
      <c r="B30" s="351" t="s">
        <v>69</v>
      </c>
      <c r="C30" s="344"/>
      <c r="D30" s="350"/>
      <c r="E30" s="399"/>
      <c r="H30" s="401"/>
      <c r="I30" s="401"/>
      <c r="J30" s="401"/>
      <c r="K30" s="401"/>
      <c r="L30" s="350"/>
      <c r="M30" s="351" t="s">
        <v>69</v>
      </c>
      <c r="N30" s="302"/>
      <c r="O30" s="350"/>
      <c r="P30" s="518"/>
      <c r="Q30" s="516"/>
      <c r="R30" s="516"/>
      <c r="S30" s="401"/>
      <c r="T30" s="401"/>
      <c r="U30" s="401"/>
      <c r="V30" s="401"/>
    </row>
    <row r="31" spans="1:22" s="409" customFormat="1" ht="30" customHeight="1" outlineLevel="1">
      <c r="A31" s="402" t="e">
        <f>+#REF!+1</f>
        <v>#REF!</v>
      </c>
      <c r="B31" s="403" t="s">
        <v>554</v>
      </c>
      <c r="C31" s="404" t="s">
        <v>558</v>
      </c>
      <c r="D31" s="405" t="s">
        <v>8</v>
      </c>
      <c r="E31" s="406">
        <v>2825.1</v>
      </c>
      <c r="F31" s="364">
        <v>250</v>
      </c>
      <c r="G31" s="364">
        <f>+E31+F31</f>
        <v>3075.1</v>
      </c>
      <c r="H31" s="407">
        <v>1</v>
      </c>
      <c r="I31" s="408">
        <v>0</v>
      </c>
      <c r="J31" s="408">
        <v>0</v>
      </c>
      <c r="K31" s="408">
        <f>SUM(H31:J31)</f>
        <v>1</v>
      </c>
      <c r="M31" s="403" t="s">
        <v>554</v>
      </c>
      <c r="N31" s="311" t="s">
        <v>558</v>
      </c>
      <c r="O31" s="405" t="s">
        <v>8</v>
      </c>
      <c r="P31" s="509">
        <v>2959.24</v>
      </c>
      <c r="Q31" s="510">
        <v>250</v>
      </c>
      <c r="R31" s="510">
        <f>+P31+Q31</f>
        <v>3209.24</v>
      </c>
      <c r="S31" s="407">
        <v>1</v>
      </c>
      <c r="T31" s="408">
        <v>0</v>
      </c>
      <c r="U31" s="408">
        <v>0</v>
      </c>
      <c r="V31" s="408">
        <f>SUM(S31:U31)</f>
        <v>1</v>
      </c>
    </row>
    <row r="32" spans="1:22" s="350" customFormat="1" ht="30" customHeight="1" outlineLevel="1" thickBot="1">
      <c r="A32" s="344"/>
      <c r="B32" s="324"/>
      <c r="C32" s="394" t="s">
        <v>70</v>
      </c>
      <c r="E32" s="410">
        <f>SUM(E31:E31)</f>
        <v>2825.1</v>
      </c>
      <c r="F32" s="411">
        <f>SUM(F31:F31)</f>
        <v>250</v>
      </c>
      <c r="G32" s="411">
        <f>SUM(G31:G31)</f>
        <v>3075.1</v>
      </c>
      <c r="H32" s="400"/>
      <c r="I32" s="400"/>
      <c r="J32" s="400"/>
      <c r="K32" s="400"/>
      <c r="M32" s="324"/>
      <c r="N32" s="309" t="s">
        <v>70</v>
      </c>
      <c r="P32" s="519">
        <f>SUM(P31:P31)</f>
        <v>2959.24</v>
      </c>
      <c r="Q32" s="520">
        <f>SUM(Q31:Q31)</f>
        <v>250</v>
      </c>
      <c r="R32" s="520">
        <f>SUM(R31:R31)</f>
        <v>3209.24</v>
      </c>
      <c r="S32" s="400"/>
      <c r="T32" s="400"/>
      <c r="U32" s="400"/>
      <c r="V32" s="400"/>
    </row>
    <row r="33" spans="1:102" s="350" customFormat="1" ht="30" customHeight="1" outlineLevel="1" thickTop="1">
      <c r="A33" s="344"/>
      <c r="B33" s="324"/>
      <c r="C33" s="394"/>
      <c r="E33" s="399"/>
      <c r="F33" s="400"/>
      <c r="G33" s="412"/>
      <c r="H33" s="413"/>
      <c r="I33" s="413"/>
      <c r="J33" s="413"/>
      <c r="K33" s="413"/>
      <c r="M33" s="324"/>
      <c r="N33" s="309"/>
      <c r="P33" s="518"/>
      <c r="Q33" s="516"/>
      <c r="R33" s="515"/>
      <c r="S33" s="413"/>
      <c r="T33" s="413"/>
      <c r="U33" s="413"/>
      <c r="V33" s="413"/>
    </row>
    <row r="34" spans="1:102" s="400" customFormat="1" ht="30" customHeight="1" outlineLevel="1">
      <c r="A34" s="398"/>
      <c r="B34" s="351" t="s">
        <v>71</v>
      </c>
      <c r="C34" s="344"/>
      <c r="D34" s="350"/>
      <c r="E34" s="399"/>
      <c r="H34" s="401"/>
      <c r="I34" s="401"/>
      <c r="J34" s="401"/>
      <c r="K34" s="401"/>
      <c r="L34" s="350"/>
      <c r="M34" s="351" t="s">
        <v>71</v>
      </c>
      <c r="N34" s="302"/>
      <c r="O34" s="350"/>
      <c r="P34" s="518"/>
      <c r="Q34" s="516"/>
      <c r="R34" s="516"/>
      <c r="S34" s="401"/>
      <c r="T34" s="401"/>
      <c r="U34" s="401"/>
      <c r="V34" s="401"/>
    </row>
    <row r="35" spans="1:102" s="366" customFormat="1" ht="30" customHeight="1" outlineLevel="1">
      <c r="A35" s="356" t="e">
        <f>+#REF!+1</f>
        <v>#REF!</v>
      </c>
      <c r="B35" s="357" t="s">
        <v>424</v>
      </c>
      <c r="C35" s="358" t="s">
        <v>503</v>
      </c>
      <c r="D35" s="362" t="s">
        <v>8</v>
      </c>
      <c r="E35" s="364">
        <v>2825.1</v>
      </c>
      <c r="F35" s="364">
        <v>400</v>
      </c>
      <c r="G35" s="364">
        <f>+E35+F35</f>
        <v>3225.1</v>
      </c>
      <c r="H35" s="414">
        <v>0.6</v>
      </c>
      <c r="I35" s="365">
        <v>0.4</v>
      </c>
      <c r="J35" s="365">
        <v>0</v>
      </c>
      <c r="K35" s="365">
        <f>SUM(H35:J35)</f>
        <v>1</v>
      </c>
      <c r="M35" s="357" t="s">
        <v>424</v>
      </c>
      <c r="N35" s="305" t="s">
        <v>503</v>
      </c>
      <c r="O35" s="362" t="s">
        <v>8</v>
      </c>
      <c r="P35" s="509">
        <v>2959.24</v>
      </c>
      <c r="Q35" s="510">
        <v>400</v>
      </c>
      <c r="R35" s="510">
        <f>+P35+Q35</f>
        <v>3359.24</v>
      </c>
      <c r="S35" s="414">
        <v>0.6</v>
      </c>
      <c r="T35" s="365">
        <v>0.4</v>
      </c>
      <c r="U35" s="365">
        <v>0</v>
      </c>
      <c r="V35" s="365">
        <f>SUM(S35:U35)</f>
        <v>1</v>
      </c>
    </row>
    <row r="36" spans="1:102" s="356" customFormat="1" ht="30" customHeight="1" outlineLevel="1">
      <c r="A36" s="356" t="e">
        <f>+A35+1</f>
        <v>#REF!</v>
      </c>
      <c r="B36" s="357" t="s">
        <v>522</v>
      </c>
      <c r="C36" s="358" t="s">
        <v>503</v>
      </c>
      <c r="D36" s="358" t="s">
        <v>8</v>
      </c>
      <c r="E36" s="360">
        <v>2825.1</v>
      </c>
      <c r="F36" s="360">
        <v>250</v>
      </c>
      <c r="G36" s="360">
        <f>+E36+F36</f>
        <v>3075.1</v>
      </c>
      <c r="H36" s="415">
        <v>0.6</v>
      </c>
      <c r="I36" s="361">
        <v>0.4</v>
      </c>
      <c r="J36" s="361">
        <v>0</v>
      </c>
      <c r="K36" s="361">
        <f>SUM(H36:J36)</f>
        <v>1</v>
      </c>
      <c r="M36" s="357" t="s">
        <v>522</v>
      </c>
      <c r="N36" s="305" t="s">
        <v>503</v>
      </c>
      <c r="O36" s="358" t="s">
        <v>8</v>
      </c>
      <c r="P36" s="509">
        <v>2959.24</v>
      </c>
      <c r="Q36" s="510">
        <v>250</v>
      </c>
      <c r="R36" s="510">
        <f>+P36+Q36</f>
        <v>3209.24</v>
      </c>
      <c r="S36" s="415">
        <v>0.6</v>
      </c>
      <c r="T36" s="361">
        <v>0.4</v>
      </c>
      <c r="U36" s="361">
        <v>0</v>
      </c>
      <c r="V36" s="361">
        <f>SUM(S36:U36)</f>
        <v>1</v>
      </c>
    </row>
    <row r="37" spans="1:102" s="350" customFormat="1" ht="30" customHeight="1" outlineLevel="1" thickBot="1">
      <c r="A37" s="344"/>
      <c r="B37" s="324"/>
      <c r="C37" s="394" t="s">
        <v>73</v>
      </c>
      <c r="E37" s="416">
        <f>SUM(E35:E36)</f>
        <v>5650.2</v>
      </c>
      <c r="F37" s="416">
        <f>SUM(F35:F36)</f>
        <v>650</v>
      </c>
      <c r="G37" s="416">
        <f>SUM(G35:G36)</f>
        <v>6300.2</v>
      </c>
      <c r="H37" s="413"/>
      <c r="I37" s="413"/>
      <c r="J37" s="413"/>
      <c r="K37" s="413"/>
      <c r="M37" s="324"/>
      <c r="N37" s="309" t="s">
        <v>73</v>
      </c>
      <c r="P37" s="519">
        <f>SUM(P35:P36)</f>
        <v>5918.48</v>
      </c>
      <c r="Q37" s="519">
        <f>SUM(Q35:Q36)</f>
        <v>650</v>
      </c>
      <c r="R37" s="519">
        <f>SUM(R35:R36)</f>
        <v>6568.48</v>
      </c>
      <c r="S37" s="413"/>
      <c r="T37" s="413"/>
      <c r="U37" s="413"/>
      <c r="V37" s="413"/>
    </row>
    <row r="38" spans="1:102" s="400" customFormat="1" ht="30" customHeight="1" outlineLevel="1" thickTop="1">
      <c r="A38" s="398"/>
      <c r="B38" s="324"/>
      <c r="C38" s="394"/>
      <c r="D38" s="350"/>
      <c r="E38" s="399"/>
      <c r="H38" s="413"/>
      <c r="I38" s="413"/>
      <c r="J38" s="413"/>
      <c r="K38" s="413"/>
      <c r="L38" s="350"/>
      <c r="M38" s="324"/>
      <c r="N38" s="309"/>
      <c r="O38" s="350"/>
      <c r="P38" s="518"/>
      <c r="Q38" s="516"/>
      <c r="R38" s="516"/>
      <c r="S38" s="413"/>
      <c r="T38" s="413"/>
      <c r="U38" s="413"/>
      <c r="V38" s="413"/>
      <c r="W38" s="350"/>
      <c r="X38" s="350"/>
      <c r="Y38" s="350"/>
      <c r="Z38" s="350"/>
      <c r="AA38" s="350"/>
      <c r="AB38" s="350"/>
      <c r="AC38" s="350"/>
      <c r="AD38" s="350"/>
      <c r="AE38" s="350"/>
      <c r="AF38" s="350"/>
      <c r="AG38" s="350"/>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350"/>
      <c r="BU38" s="350"/>
      <c r="BV38" s="350"/>
      <c r="BW38" s="350"/>
      <c r="BX38" s="350"/>
      <c r="BY38" s="350"/>
      <c r="BZ38" s="350"/>
      <c r="CA38" s="350"/>
      <c r="CB38" s="350"/>
      <c r="CC38" s="350"/>
      <c r="CD38" s="350"/>
      <c r="CE38" s="350"/>
      <c r="CF38" s="350"/>
      <c r="CG38" s="350"/>
      <c r="CH38" s="350"/>
      <c r="CI38" s="350"/>
      <c r="CJ38" s="350"/>
      <c r="CK38" s="350"/>
      <c r="CL38" s="350"/>
      <c r="CM38" s="350"/>
      <c r="CN38" s="350"/>
      <c r="CO38" s="350"/>
      <c r="CP38" s="350"/>
      <c r="CQ38" s="350"/>
      <c r="CR38" s="350"/>
      <c r="CS38" s="350"/>
      <c r="CT38" s="350"/>
      <c r="CU38" s="350"/>
      <c r="CV38" s="350"/>
      <c r="CW38" s="350"/>
      <c r="CX38" s="350"/>
    </row>
    <row r="39" spans="1:102" s="400" customFormat="1" ht="30" customHeight="1" outlineLevel="1">
      <c r="A39" s="398"/>
      <c r="B39" s="351" t="s">
        <v>74</v>
      </c>
      <c r="C39" s="374"/>
      <c r="D39" s="417"/>
      <c r="E39" s="399"/>
      <c r="H39" s="401"/>
      <c r="I39" s="401"/>
      <c r="J39" s="401"/>
      <c r="K39" s="401"/>
      <c r="L39" s="417"/>
      <c r="M39" s="351" t="s">
        <v>74</v>
      </c>
      <c r="N39" s="307"/>
      <c r="O39" s="417"/>
      <c r="P39" s="518"/>
      <c r="Q39" s="516"/>
      <c r="R39" s="516"/>
      <c r="S39" s="401"/>
      <c r="T39" s="401"/>
      <c r="U39" s="401"/>
      <c r="V39" s="401"/>
    </row>
    <row r="40" spans="1:102" s="417" customFormat="1" ht="30" customHeight="1" outlineLevel="1">
      <c r="A40" s="344" t="e">
        <f>+#REF!+1</f>
        <v>#REF!</v>
      </c>
      <c r="B40" s="367" t="s">
        <v>555</v>
      </c>
      <c r="C40" s="368" t="s">
        <v>377</v>
      </c>
      <c r="D40" s="369" t="s">
        <v>9</v>
      </c>
      <c r="E40" s="418">
        <v>2825.1</v>
      </c>
      <c r="F40" s="418">
        <v>250</v>
      </c>
      <c r="G40" s="418">
        <f>+E40+F40</f>
        <v>3075.1</v>
      </c>
      <c r="H40" s="419">
        <v>0.5</v>
      </c>
      <c r="I40" s="419">
        <v>0.5</v>
      </c>
      <c r="J40" s="419">
        <v>0</v>
      </c>
      <c r="K40" s="373">
        <f>SUM(H40:J40)</f>
        <v>1</v>
      </c>
      <c r="M40" s="367" t="s">
        <v>555</v>
      </c>
      <c r="N40" s="306" t="s">
        <v>377</v>
      </c>
      <c r="O40" s="369" t="s">
        <v>9</v>
      </c>
      <c r="P40" s="509">
        <v>2959.24</v>
      </c>
      <c r="Q40" s="510">
        <v>250</v>
      </c>
      <c r="R40" s="510">
        <f>+P40+Q40</f>
        <v>3209.24</v>
      </c>
      <c r="S40" s="419">
        <v>0.5</v>
      </c>
      <c r="T40" s="419">
        <v>0.5</v>
      </c>
      <c r="U40" s="419">
        <v>0</v>
      </c>
      <c r="V40" s="373">
        <f>SUM(S40:U40)</f>
        <v>1</v>
      </c>
    </row>
    <row r="41" spans="1:102" s="417" customFormat="1" ht="30" customHeight="1" outlineLevel="1">
      <c r="A41" s="344" t="e">
        <f>+A40+1</f>
        <v>#REF!</v>
      </c>
      <c r="B41" s="367" t="s">
        <v>556</v>
      </c>
      <c r="C41" s="368" t="s">
        <v>377</v>
      </c>
      <c r="D41" s="369" t="s">
        <v>9</v>
      </c>
      <c r="E41" s="418">
        <v>2825.1</v>
      </c>
      <c r="F41" s="418">
        <v>250</v>
      </c>
      <c r="G41" s="418">
        <f>+E41+F41</f>
        <v>3075.1</v>
      </c>
      <c r="H41" s="419">
        <v>0.5</v>
      </c>
      <c r="I41" s="419">
        <v>0.5</v>
      </c>
      <c r="J41" s="419">
        <v>0</v>
      </c>
      <c r="K41" s="373">
        <f>SUM(H41:J41)</f>
        <v>1</v>
      </c>
      <c r="M41" s="367" t="s">
        <v>556</v>
      </c>
      <c r="N41" s="306" t="s">
        <v>377</v>
      </c>
      <c r="O41" s="369" t="s">
        <v>9</v>
      </c>
      <c r="P41" s="509">
        <v>2959.24</v>
      </c>
      <c r="Q41" s="510">
        <v>250</v>
      </c>
      <c r="R41" s="510">
        <f>+P41+Q41</f>
        <v>3209.24</v>
      </c>
      <c r="S41" s="419">
        <v>0.5</v>
      </c>
      <c r="T41" s="419">
        <v>0.5</v>
      </c>
      <c r="U41" s="419">
        <v>0</v>
      </c>
      <c r="V41" s="373">
        <f>SUM(S41:U41)</f>
        <v>1</v>
      </c>
    </row>
    <row r="42" spans="1:102" s="417" customFormat="1" ht="30" customHeight="1" outlineLevel="1">
      <c r="A42" s="344" t="e">
        <f>+A41+1</f>
        <v>#REF!</v>
      </c>
      <c r="B42" s="367" t="s">
        <v>557</v>
      </c>
      <c r="C42" s="368" t="s">
        <v>377</v>
      </c>
      <c r="D42" s="369" t="s">
        <v>9</v>
      </c>
      <c r="E42" s="418">
        <v>2825.1</v>
      </c>
      <c r="F42" s="418">
        <v>250</v>
      </c>
      <c r="G42" s="418">
        <f>+E42+F42</f>
        <v>3075.1</v>
      </c>
      <c r="H42" s="419">
        <v>0.5</v>
      </c>
      <c r="I42" s="419">
        <v>0.5</v>
      </c>
      <c r="J42" s="419">
        <v>0</v>
      </c>
      <c r="K42" s="373">
        <f>SUM(H42:J42)</f>
        <v>1</v>
      </c>
      <c r="M42" s="367" t="s">
        <v>557</v>
      </c>
      <c r="N42" s="306" t="s">
        <v>377</v>
      </c>
      <c r="O42" s="369" t="s">
        <v>9</v>
      </c>
      <c r="P42" s="509">
        <v>2959.24</v>
      </c>
      <c r="Q42" s="510">
        <v>250</v>
      </c>
      <c r="R42" s="510">
        <f>+P42+Q42</f>
        <v>3209.24</v>
      </c>
      <c r="S42" s="419">
        <v>0.5</v>
      </c>
      <c r="T42" s="419">
        <v>0.5</v>
      </c>
      <c r="U42" s="419">
        <v>0</v>
      </c>
      <c r="V42" s="373">
        <f>SUM(S42:U42)</f>
        <v>1</v>
      </c>
    </row>
    <row r="43" spans="1:102" s="320" customFormat="1" ht="30" customHeight="1" outlineLevel="1">
      <c r="A43" s="344" t="e">
        <f>+A42+1</f>
        <v>#REF!</v>
      </c>
      <c r="B43" s="383" t="s">
        <v>452</v>
      </c>
      <c r="C43" s="384" t="s">
        <v>377</v>
      </c>
      <c r="D43" s="384" t="s">
        <v>8</v>
      </c>
      <c r="E43" s="360">
        <v>2825.1</v>
      </c>
      <c r="F43" s="360">
        <v>250</v>
      </c>
      <c r="G43" s="360">
        <f>+E43+F43</f>
        <v>3075.1</v>
      </c>
      <c r="H43" s="420">
        <v>0.5</v>
      </c>
      <c r="I43" s="420">
        <v>0.5</v>
      </c>
      <c r="J43" s="420">
        <v>0</v>
      </c>
      <c r="K43" s="421">
        <f>SUM(H43:J43)</f>
        <v>1</v>
      </c>
      <c r="M43" s="383" t="s">
        <v>452</v>
      </c>
      <c r="N43" s="308" t="s">
        <v>377</v>
      </c>
      <c r="O43" s="384" t="s">
        <v>8</v>
      </c>
      <c r="P43" s="509">
        <v>2959.24</v>
      </c>
      <c r="Q43" s="510">
        <v>250</v>
      </c>
      <c r="R43" s="510">
        <f>+P43+Q43</f>
        <v>3209.24</v>
      </c>
      <c r="S43" s="420">
        <v>0.5</v>
      </c>
      <c r="T43" s="420">
        <v>0.5</v>
      </c>
      <c r="U43" s="420">
        <v>0</v>
      </c>
      <c r="V43" s="421">
        <f>SUM(S43:U43)</f>
        <v>1</v>
      </c>
    </row>
    <row r="44" spans="1:102" s="417" customFormat="1" ht="30" customHeight="1" outlineLevel="1" thickBot="1">
      <c r="A44" s="344"/>
      <c r="B44" s="331"/>
      <c r="C44" s="374" t="s">
        <v>375</v>
      </c>
      <c r="D44" s="350"/>
      <c r="E44" s="422">
        <f>+SUM(E40:E43)</f>
        <v>11300.4</v>
      </c>
      <c r="F44" s="423">
        <f>+SUM(F40:F43)</f>
        <v>1000</v>
      </c>
      <c r="G44" s="423">
        <f>+SUM(G40:G43)</f>
        <v>12300.4</v>
      </c>
      <c r="H44" s="424"/>
      <c r="I44" s="424"/>
      <c r="J44" s="424"/>
      <c r="K44" s="376"/>
      <c r="M44" s="331"/>
      <c r="N44" s="307" t="s">
        <v>375</v>
      </c>
      <c r="O44" s="350"/>
      <c r="P44" s="521">
        <f>+SUM(P40:P43)</f>
        <v>11836.96</v>
      </c>
      <c r="Q44" s="522">
        <f>+SUM(Q40:Q43)</f>
        <v>1000</v>
      </c>
      <c r="R44" s="522">
        <f>+SUM(R40:R43)</f>
        <v>12836.96</v>
      </c>
      <c r="S44" s="424"/>
      <c r="T44" s="424"/>
      <c r="U44" s="424"/>
      <c r="V44" s="376"/>
    </row>
    <row r="45" spans="1:102" s="374" customFormat="1" ht="30" customHeight="1" outlineLevel="1" thickTop="1">
      <c r="A45" s="344"/>
      <c r="B45" s="324" t="s">
        <v>80</v>
      </c>
      <c r="C45" s="394"/>
      <c r="E45" s="425"/>
      <c r="F45" s="426"/>
      <c r="G45" s="426"/>
      <c r="H45" s="427"/>
      <c r="I45" s="427"/>
      <c r="J45" s="427"/>
      <c r="K45" s="427"/>
      <c r="M45" s="324" t="s">
        <v>80</v>
      </c>
      <c r="N45" s="309"/>
      <c r="P45" s="518"/>
      <c r="Q45" s="516"/>
      <c r="R45" s="516"/>
      <c r="S45" s="427"/>
      <c r="T45" s="427"/>
      <c r="U45" s="427"/>
      <c r="V45" s="427"/>
    </row>
    <row r="46" spans="1:102" s="381" customFormat="1" ht="30" customHeight="1" outlineLevel="1">
      <c r="A46" s="398"/>
      <c r="B46" s="351" t="s">
        <v>84</v>
      </c>
      <c r="C46" s="344"/>
      <c r="D46" s="350"/>
      <c r="E46" s="428"/>
      <c r="H46" s="424"/>
      <c r="I46" s="424"/>
      <c r="J46" s="424"/>
      <c r="K46" s="424"/>
      <c r="L46" s="350"/>
      <c r="M46" s="351" t="s">
        <v>84</v>
      </c>
      <c r="N46" s="302"/>
      <c r="O46" s="350"/>
      <c r="P46" s="518"/>
      <c r="Q46" s="516"/>
      <c r="R46" s="516"/>
      <c r="S46" s="424"/>
      <c r="T46" s="424"/>
      <c r="U46" s="424"/>
      <c r="V46" s="424"/>
    </row>
    <row r="47" spans="1:102" s="381" customFormat="1" ht="30" customHeight="1" outlineLevel="1">
      <c r="A47" s="398"/>
      <c r="B47" s="324" t="s">
        <v>85</v>
      </c>
      <c r="C47" s="344"/>
      <c r="D47" s="350"/>
      <c r="E47" s="428"/>
      <c r="H47" s="424"/>
      <c r="I47" s="424"/>
      <c r="J47" s="424"/>
      <c r="K47" s="424"/>
      <c r="L47" s="350"/>
      <c r="M47" s="324" t="s">
        <v>85</v>
      </c>
      <c r="N47" s="302"/>
      <c r="O47" s="350"/>
      <c r="P47" s="518"/>
      <c r="Q47" s="516"/>
      <c r="R47" s="516"/>
      <c r="S47" s="424"/>
      <c r="T47" s="424"/>
      <c r="U47" s="424"/>
      <c r="V47" s="424"/>
    </row>
    <row r="48" spans="1:102" s="366" customFormat="1" ht="30" customHeight="1" outlineLevel="1">
      <c r="A48" s="402" t="e">
        <f>+#REF!+1</f>
        <v>#REF!</v>
      </c>
      <c r="B48" s="429" t="s">
        <v>441</v>
      </c>
      <c r="C48" s="404" t="s">
        <v>564</v>
      </c>
      <c r="D48" s="362" t="s">
        <v>8</v>
      </c>
      <c r="E48" s="364">
        <v>2825.1</v>
      </c>
      <c r="F48" s="364">
        <v>250</v>
      </c>
      <c r="G48" s="364">
        <f>+E48+F48</f>
        <v>3075.1</v>
      </c>
      <c r="H48" s="414">
        <v>1</v>
      </c>
      <c r="I48" s="365">
        <v>0</v>
      </c>
      <c r="J48" s="365">
        <v>0</v>
      </c>
      <c r="K48" s="365">
        <f>SUM(H48:J48)</f>
        <v>1</v>
      </c>
      <c r="M48" s="429" t="s">
        <v>441</v>
      </c>
      <c r="N48" s="311" t="s">
        <v>564</v>
      </c>
      <c r="O48" s="362" t="s">
        <v>8</v>
      </c>
      <c r="P48" s="509">
        <v>2959.24</v>
      </c>
      <c r="Q48" s="510">
        <v>250</v>
      </c>
      <c r="R48" s="510">
        <f>+P48+Q48</f>
        <v>3209.24</v>
      </c>
      <c r="S48" s="414">
        <v>1</v>
      </c>
      <c r="T48" s="365">
        <v>0</v>
      </c>
      <c r="U48" s="365">
        <v>0</v>
      </c>
      <c r="V48" s="365">
        <f>SUM(S48:U48)</f>
        <v>1</v>
      </c>
    </row>
    <row r="49" spans="1:22" s="431" customFormat="1" ht="30" customHeight="1" outlineLevel="1" thickBot="1">
      <c r="A49" s="430"/>
      <c r="B49" s="324"/>
      <c r="E49" s="432">
        <f>SUM(E48:E48)</f>
        <v>2825.1</v>
      </c>
      <c r="F49" s="432">
        <f>SUM(F48:F48)</f>
        <v>250</v>
      </c>
      <c r="G49" s="432">
        <f>SUM(G48:G48)</f>
        <v>3075.1</v>
      </c>
      <c r="H49" s="433"/>
      <c r="I49" s="433"/>
      <c r="J49" s="433"/>
      <c r="K49" s="433"/>
      <c r="M49" s="324"/>
      <c r="N49" s="313"/>
      <c r="P49" s="523">
        <f>SUM(P48:P48)</f>
        <v>2959.24</v>
      </c>
      <c r="Q49" s="523">
        <f>SUM(Q48:Q48)</f>
        <v>250</v>
      </c>
      <c r="R49" s="523">
        <f>SUM(R48:R48)</f>
        <v>3209.24</v>
      </c>
      <c r="S49" s="433"/>
      <c r="T49" s="433"/>
      <c r="U49" s="433"/>
      <c r="V49" s="433"/>
    </row>
    <row r="50" spans="1:22" s="434" customFormat="1" ht="30" customHeight="1" outlineLevel="1" thickTop="1">
      <c r="A50" s="430"/>
      <c r="B50" s="351" t="s">
        <v>9</v>
      </c>
      <c r="C50" s="430"/>
      <c r="E50" s="435"/>
      <c r="F50" s="435"/>
      <c r="G50" s="435"/>
      <c r="H50" s="436"/>
      <c r="I50" s="436"/>
      <c r="J50" s="436"/>
      <c r="K50" s="436"/>
      <c r="M50" s="351" t="s">
        <v>9</v>
      </c>
      <c r="N50" s="312"/>
      <c r="P50" s="524"/>
      <c r="Q50" s="524"/>
      <c r="R50" s="524"/>
      <c r="S50" s="436"/>
      <c r="T50" s="436"/>
      <c r="U50" s="436"/>
      <c r="V50" s="436"/>
    </row>
    <row r="51" spans="1:22" s="434" customFormat="1" ht="30" customHeight="1" outlineLevel="1">
      <c r="A51" s="430" t="e">
        <f>+#REF!+1</f>
        <v>#REF!</v>
      </c>
      <c r="B51" s="357" t="s">
        <v>471</v>
      </c>
      <c r="C51" s="437" t="s">
        <v>506</v>
      </c>
      <c r="D51" s="437" t="s">
        <v>9</v>
      </c>
      <c r="E51" s="370">
        <v>2825.1</v>
      </c>
      <c r="F51" s="418">
        <v>250</v>
      </c>
      <c r="G51" s="438">
        <f t="shared" ref="G51:G57" si="0">+E51+F51</f>
        <v>3075.1</v>
      </c>
      <c r="H51" s="439">
        <v>0</v>
      </c>
      <c r="I51" s="440">
        <v>1</v>
      </c>
      <c r="J51" s="439">
        <v>0</v>
      </c>
      <c r="K51" s="439">
        <f t="shared" ref="K51:K67" si="1">SUM(H51:J51)</f>
        <v>1</v>
      </c>
      <c r="M51" s="357" t="s">
        <v>471</v>
      </c>
      <c r="N51" s="314" t="s">
        <v>506</v>
      </c>
      <c r="O51" s="437" t="s">
        <v>9</v>
      </c>
      <c r="P51" s="509">
        <v>2959.24</v>
      </c>
      <c r="Q51" s="510">
        <v>250</v>
      </c>
      <c r="R51" s="510">
        <f t="shared" ref="R51:R57" si="2">+P51+Q51</f>
        <v>3209.24</v>
      </c>
      <c r="S51" s="439">
        <v>0</v>
      </c>
      <c r="T51" s="440">
        <v>1</v>
      </c>
      <c r="U51" s="439">
        <v>0</v>
      </c>
      <c r="V51" s="439">
        <f t="shared" ref="V51:V67" si="3">SUM(S51:U51)</f>
        <v>1</v>
      </c>
    </row>
    <row r="52" spans="1:22" s="366" customFormat="1" ht="30" customHeight="1" outlineLevel="1">
      <c r="A52" s="356" t="e">
        <f>+A51+1</f>
        <v>#REF!</v>
      </c>
      <c r="B52" s="357" t="s">
        <v>472</v>
      </c>
      <c r="C52" s="358" t="s">
        <v>506</v>
      </c>
      <c r="D52" s="358" t="s">
        <v>9</v>
      </c>
      <c r="E52" s="363">
        <v>2825.1</v>
      </c>
      <c r="F52" s="364">
        <v>250</v>
      </c>
      <c r="G52" s="441">
        <f t="shared" si="0"/>
        <v>3075.1</v>
      </c>
      <c r="H52" s="365">
        <v>0</v>
      </c>
      <c r="I52" s="442">
        <v>1</v>
      </c>
      <c r="J52" s="365">
        <v>0</v>
      </c>
      <c r="K52" s="365">
        <f t="shared" si="1"/>
        <v>1</v>
      </c>
      <c r="M52" s="357" t="s">
        <v>472</v>
      </c>
      <c r="N52" s="305" t="s">
        <v>506</v>
      </c>
      <c r="O52" s="358" t="s">
        <v>9</v>
      </c>
      <c r="P52" s="509">
        <v>2959.24</v>
      </c>
      <c r="Q52" s="510">
        <v>250</v>
      </c>
      <c r="R52" s="510">
        <f t="shared" si="2"/>
        <v>3209.24</v>
      </c>
      <c r="S52" s="365">
        <v>0</v>
      </c>
      <c r="T52" s="442">
        <v>1</v>
      </c>
      <c r="U52" s="365">
        <v>0</v>
      </c>
      <c r="V52" s="365">
        <f t="shared" si="3"/>
        <v>1</v>
      </c>
    </row>
    <row r="53" spans="1:22" s="434" customFormat="1" ht="30" customHeight="1" outlineLevel="1">
      <c r="A53" s="356" t="e">
        <f t="shared" ref="A53:A67" si="4">+A52+1</f>
        <v>#REF!</v>
      </c>
      <c r="B53" s="357" t="s">
        <v>464</v>
      </c>
      <c r="C53" s="437" t="s">
        <v>508</v>
      </c>
      <c r="D53" s="437" t="s">
        <v>9</v>
      </c>
      <c r="E53" s="370">
        <v>2825.1</v>
      </c>
      <c r="F53" s="418">
        <v>250</v>
      </c>
      <c r="G53" s="438">
        <f t="shared" si="0"/>
        <v>3075.1</v>
      </c>
      <c r="H53" s="439">
        <v>0</v>
      </c>
      <c r="I53" s="440">
        <v>1</v>
      </c>
      <c r="J53" s="439">
        <v>0</v>
      </c>
      <c r="K53" s="439">
        <f t="shared" si="1"/>
        <v>1</v>
      </c>
      <c r="M53" s="357" t="s">
        <v>464</v>
      </c>
      <c r="N53" s="314" t="s">
        <v>508</v>
      </c>
      <c r="O53" s="437" t="s">
        <v>9</v>
      </c>
      <c r="P53" s="509">
        <v>2959.24</v>
      </c>
      <c r="Q53" s="510">
        <v>250</v>
      </c>
      <c r="R53" s="510">
        <f t="shared" si="2"/>
        <v>3209.24</v>
      </c>
      <c r="S53" s="439">
        <v>0</v>
      </c>
      <c r="T53" s="440">
        <v>1</v>
      </c>
      <c r="U53" s="439">
        <v>0</v>
      </c>
      <c r="V53" s="439">
        <f t="shared" si="3"/>
        <v>1</v>
      </c>
    </row>
    <row r="54" spans="1:22" s="366" customFormat="1" ht="30" customHeight="1" outlineLevel="1">
      <c r="A54" s="356" t="e">
        <f t="shared" si="4"/>
        <v>#REF!</v>
      </c>
      <c r="B54" s="357" t="s">
        <v>495</v>
      </c>
      <c r="C54" s="437" t="s">
        <v>508</v>
      </c>
      <c r="D54" s="358" t="s">
        <v>9</v>
      </c>
      <c r="E54" s="363">
        <v>2825.1</v>
      </c>
      <c r="F54" s="364">
        <f>250</f>
        <v>250</v>
      </c>
      <c r="G54" s="441">
        <f t="shared" si="0"/>
        <v>3075.1</v>
      </c>
      <c r="H54" s="365">
        <v>0</v>
      </c>
      <c r="I54" s="442">
        <v>1</v>
      </c>
      <c r="J54" s="365">
        <v>0</v>
      </c>
      <c r="K54" s="365">
        <f t="shared" si="1"/>
        <v>1</v>
      </c>
      <c r="L54" s="366">
        <v>450</v>
      </c>
      <c r="M54" s="357" t="s">
        <v>495</v>
      </c>
      <c r="N54" s="314" t="s">
        <v>508</v>
      </c>
      <c r="O54" s="358" t="s">
        <v>9</v>
      </c>
      <c r="P54" s="509">
        <v>2959.24</v>
      </c>
      <c r="Q54" s="510">
        <f>250</f>
        <v>250</v>
      </c>
      <c r="R54" s="510">
        <f t="shared" si="2"/>
        <v>3209.24</v>
      </c>
      <c r="S54" s="365">
        <v>0</v>
      </c>
      <c r="T54" s="442">
        <v>1</v>
      </c>
      <c r="U54" s="365">
        <v>0</v>
      </c>
      <c r="V54" s="365">
        <f t="shared" si="3"/>
        <v>1</v>
      </c>
    </row>
    <row r="55" spans="1:22" s="366" customFormat="1" ht="30" customHeight="1" outlineLevel="1">
      <c r="A55" s="356" t="e">
        <f t="shared" si="4"/>
        <v>#REF!</v>
      </c>
      <c r="B55" s="357" t="s">
        <v>430</v>
      </c>
      <c r="C55" s="358" t="s">
        <v>509</v>
      </c>
      <c r="D55" s="358" t="s">
        <v>9</v>
      </c>
      <c r="E55" s="363">
        <v>2825.1</v>
      </c>
      <c r="F55" s="364">
        <f>250</f>
        <v>250</v>
      </c>
      <c r="G55" s="441">
        <f t="shared" si="0"/>
        <v>3075.1</v>
      </c>
      <c r="H55" s="443">
        <v>0</v>
      </c>
      <c r="I55" s="361">
        <v>1</v>
      </c>
      <c r="J55" s="365">
        <v>0</v>
      </c>
      <c r="K55" s="365">
        <f t="shared" si="1"/>
        <v>1</v>
      </c>
      <c r="M55" s="357" t="s">
        <v>430</v>
      </c>
      <c r="N55" s="305" t="s">
        <v>509</v>
      </c>
      <c r="O55" s="358" t="s">
        <v>9</v>
      </c>
      <c r="P55" s="509">
        <v>2959.24</v>
      </c>
      <c r="Q55" s="510">
        <f>250</f>
        <v>250</v>
      </c>
      <c r="R55" s="510">
        <f t="shared" si="2"/>
        <v>3209.24</v>
      </c>
      <c r="S55" s="443">
        <v>0</v>
      </c>
      <c r="T55" s="361">
        <v>1</v>
      </c>
      <c r="U55" s="365">
        <v>0</v>
      </c>
      <c r="V55" s="365">
        <f t="shared" si="3"/>
        <v>1</v>
      </c>
    </row>
    <row r="56" spans="1:22" s="366" customFormat="1" ht="30" customHeight="1" outlineLevel="1">
      <c r="A56" s="356" t="e">
        <f t="shared" si="4"/>
        <v>#REF!</v>
      </c>
      <c r="B56" s="357" t="s">
        <v>498</v>
      </c>
      <c r="C56" s="358" t="s">
        <v>509</v>
      </c>
      <c r="D56" s="358" t="s">
        <v>9</v>
      </c>
      <c r="E56" s="363">
        <v>2825.1</v>
      </c>
      <c r="F56" s="364">
        <v>250</v>
      </c>
      <c r="G56" s="441">
        <f t="shared" si="0"/>
        <v>3075.1</v>
      </c>
      <c r="H56" s="443">
        <v>0</v>
      </c>
      <c r="I56" s="361">
        <v>1</v>
      </c>
      <c r="J56" s="365">
        <v>0</v>
      </c>
      <c r="K56" s="365">
        <f t="shared" si="1"/>
        <v>1</v>
      </c>
      <c r="M56" s="357" t="s">
        <v>498</v>
      </c>
      <c r="N56" s="305" t="s">
        <v>509</v>
      </c>
      <c r="O56" s="358" t="s">
        <v>9</v>
      </c>
      <c r="P56" s="509">
        <v>2959.24</v>
      </c>
      <c r="Q56" s="510">
        <v>250</v>
      </c>
      <c r="R56" s="510">
        <f t="shared" si="2"/>
        <v>3209.24</v>
      </c>
      <c r="S56" s="443">
        <v>0</v>
      </c>
      <c r="T56" s="361">
        <v>1</v>
      </c>
      <c r="U56" s="365">
        <v>0</v>
      </c>
      <c r="V56" s="365">
        <f t="shared" si="3"/>
        <v>1</v>
      </c>
    </row>
    <row r="57" spans="1:22" s="366" customFormat="1" ht="30" customHeight="1" outlineLevel="1">
      <c r="A57" s="356" t="e">
        <f t="shared" si="4"/>
        <v>#REF!</v>
      </c>
      <c r="B57" s="357" t="s">
        <v>500</v>
      </c>
      <c r="C57" s="358" t="s">
        <v>509</v>
      </c>
      <c r="D57" s="358" t="s">
        <v>9</v>
      </c>
      <c r="E57" s="359">
        <v>2825.1</v>
      </c>
      <c r="F57" s="360">
        <v>250</v>
      </c>
      <c r="G57" s="444">
        <f t="shared" si="0"/>
        <v>3075.1</v>
      </c>
      <c r="H57" s="442">
        <v>0</v>
      </c>
      <c r="I57" s="361">
        <v>1</v>
      </c>
      <c r="J57" s="361">
        <v>0</v>
      </c>
      <c r="K57" s="365">
        <f t="shared" si="1"/>
        <v>1</v>
      </c>
      <c r="M57" s="357" t="s">
        <v>500</v>
      </c>
      <c r="N57" s="305" t="s">
        <v>509</v>
      </c>
      <c r="O57" s="358" t="s">
        <v>9</v>
      </c>
      <c r="P57" s="509">
        <v>2959.24</v>
      </c>
      <c r="Q57" s="510">
        <v>250</v>
      </c>
      <c r="R57" s="510">
        <f t="shared" si="2"/>
        <v>3209.24</v>
      </c>
      <c r="S57" s="442">
        <v>0</v>
      </c>
      <c r="T57" s="361">
        <v>1</v>
      </c>
      <c r="U57" s="361">
        <v>0</v>
      </c>
      <c r="V57" s="365">
        <f t="shared" si="3"/>
        <v>1</v>
      </c>
    </row>
    <row r="58" spans="1:22" s="366" customFormat="1" ht="30" customHeight="1" outlineLevel="1">
      <c r="A58" s="356" t="e">
        <f t="shared" si="4"/>
        <v>#REF!</v>
      </c>
      <c r="B58" s="357" t="s">
        <v>499</v>
      </c>
      <c r="C58" s="358" t="s">
        <v>484</v>
      </c>
      <c r="D58" s="358" t="s">
        <v>9</v>
      </c>
      <c r="E58" s="363">
        <v>2825.1</v>
      </c>
      <c r="F58" s="364">
        <v>250</v>
      </c>
      <c r="G58" s="441">
        <v>3075.1</v>
      </c>
      <c r="H58" s="443">
        <v>0</v>
      </c>
      <c r="I58" s="361">
        <v>1</v>
      </c>
      <c r="J58" s="365">
        <v>0</v>
      </c>
      <c r="K58" s="365">
        <f t="shared" si="1"/>
        <v>1</v>
      </c>
      <c r="M58" s="357" t="s">
        <v>499</v>
      </c>
      <c r="N58" s="305" t="s">
        <v>484</v>
      </c>
      <c r="O58" s="358" t="s">
        <v>9</v>
      </c>
      <c r="P58" s="509">
        <v>2959.24</v>
      </c>
      <c r="Q58" s="510">
        <v>250</v>
      </c>
      <c r="R58" s="510">
        <v>3075.1</v>
      </c>
      <c r="S58" s="443">
        <v>0</v>
      </c>
      <c r="T58" s="361">
        <v>1</v>
      </c>
      <c r="U58" s="365">
        <v>0</v>
      </c>
      <c r="V58" s="365">
        <f t="shared" si="3"/>
        <v>1</v>
      </c>
    </row>
    <row r="59" spans="1:22" s="366" customFormat="1" ht="30" customHeight="1" outlineLevel="1">
      <c r="A59" s="356" t="e">
        <f t="shared" si="4"/>
        <v>#REF!</v>
      </c>
      <c r="B59" s="357" t="s">
        <v>526</v>
      </c>
      <c r="C59" s="358" t="s">
        <v>527</v>
      </c>
      <c r="D59" s="358" t="s">
        <v>9</v>
      </c>
      <c r="E59" s="363">
        <v>2825.1</v>
      </c>
      <c r="F59" s="364">
        <v>250</v>
      </c>
      <c r="G59" s="441">
        <f t="shared" ref="G59:G66" si="5">+E59+F59</f>
        <v>3075.1</v>
      </c>
      <c r="H59" s="365">
        <v>0</v>
      </c>
      <c r="I59" s="442">
        <v>1</v>
      </c>
      <c r="J59" s="365">
        <v>0</v>
      </c>
      <c r="K59" s="365">
        <f t="shared" si="1"/>
        <v>1</v>
      </c>
      <c r="M59" s="357" t="s">
        <v>526</v>
      </c>
      <c r="N59" s="305" t="s">
        <v>527</v>
      </c>
      <c r="O59" s="358" t="s">
        <v>9</v>
      </c>
      <c r="P59" s="509">
        <v>2959.24</v>
      </c>
      <c r="Q59" s="510">
        <v>250</v>
      </c>
      <c r="R59" s="510">
        <f t="shared" ref="R59:R66" si="6">+P59+Q59</f>
        <v>3209.24</v>
      </c>
      <c r="S59" s="365">
        <v>0</v>
      </c>
      <c r="T59" s="442">
        <v>1</v>
      </c>
      <c r="U59" s="365">
        <v>0</v>
      </c>
      <c r="V59" s="365">
        <f t="shared" si="3"/>
        <v>1</v>
      </c>
    </row>
    <row r="60" spans="1:22" s="366" customFormat="1" ht="30" customHeight="1" outlineLevel="1">
      <c r="A60" s="356" t="e">
        <f t="shared" si="4"/>
        <v>#REF!</v>
      </c>
      <c r="B60" s="357" t="s">
        <v>528</v>
      </c>
      <c r="C60" s="358" t="s">
        <v>89</v>
      </c>
      <c r="D60" s="358" t="s">
        <v>9</v>
      </c>
      <c r="E60" s="363">
        <v>2825.1</v>
      </c>
      <c r="F60" s="364">
        <v>250</v>
      </c>
      <c r="G60" s="441">
        <f t="shared" si="5"/>
        <v>3075.1</v>
      </c>
      <c r="H60" s="365">
        <v>0</v>
      </c>
      <c r="I60" s="442">
        <v>1</v>
      </c>
      <c r="J60" s="365">
        <v>0</v>
      </c>
      <c r="K60" s="365">
        <f t="shared" si="1"/>
        <v>1</v>
      </c>
      <c r="M60" s="357" t="s">
        <v>528</v>
      </c>
      <c r="N60" s="305" t="s">
        <v>89</v>
      </c>
      <c r="O60" s="358" t="s">
        <v>9</v>
      </c>
      <c r="P60" s="509">
        <v>2959.24</v>
      </c>
      <c r="Q60" s="510">
        <v>250</v>
      </c>
      <c r="R60" s="510">
        <f t="shared" si="6"/>
        <v>3209.24</v>
      </c>
      <c r="S60" s="365">
        <v>0</v>
      </c>
      <c r="T60" s="442">
        <v>1</v>
      </c>
      <c r="U60" s="365">
        <v>0</v>
      </c>
      <c r="V60" s="365">
        <f t="shared" si="3"/>
        <v>1</v>
      </c>
    </row>
    <row r="61" spans="1:22" s="356" customFormat="1" ht="30" customHeight="1" outlineLevel="1">
      <c r="A61" s="356" t="e">
        <f t="shared" si="4"/>
        <v>#REF!</v>
      </c>
      <c r="B61" s="357" t="s">
        <v>538</v>
      </c>
      <c r="C61" s="358" t="s">
        <v>88</v>
      </c>
      <c r="D61" s="358" t="s">
        <v>9</v>
      </c>
      <c r="E61" s="359">
        <v>2825.1</v>
      </c>
      <c r="F61" s="360">
        <v>250</v>
      </c>
      <c r="G61" s="444">
        <f t="shared" si="5"/>
        <v>3075.1</v>
      </c>
      <c r="H61" s="361">
        <v>0</v>
      </c>
      <c r="I61" s="442">
        <v>1</v>
      </c>
      <c r="J61" s="361">
        <v>0</v>
      </c>
      <c r="K61" s="361">
        <f t="shared" si="1"/>
        <v>1</v>
      </c>
      <c r="M61" s="357" t="s">
        <v>538</v>
      </c>
      <c r="N61" s="305" t="s">
        <v>88</v>
      </c>
      <c r="O61" s="358" t="s">
        <v>9</v>
      </c>
      <c r="P61" s="509">
        <v>2959.24</v>
      </c>
      <c r="Q61" s="510">
        <v>250</v>
      </c>
      <c r="R61" s="510">
        <f t="shared" si="6"/>
        <v>3209.24</v>
      </c>
      <c r="S61" s="361">
        <v>0</v>
      </c>
      <c r="T61" s="442">
        <v>1</v>
      </c>
      <c r="U61" s="361">
        <v>0</v>
      </c>
      <c r="V61" s="361">
        <f t="shared" si="3"/>
        <v>1</v>
      </c>
    </row>
    <row r="62" spans="1:22" s="356" customFormat="1" ht="30" customHeight="1" outlineLevel="1">
      <c r="A62" s="356" t="e">
        <f t="shared" si="4"/>
        <v>#REF!</v>
      </c>
      <c r="B62" s="357" t="s">
        <v>542</v>
      </c>
      <c r="C62" s="358" t="s">
        <v>88</v>
      </c>
      <c r="D62" s="358" t="s">
        <v>9</v>
      </c>
      <c r="E62" s="359">
        <v>2825.1</v>
      </c>
      <c r="F62" s="360">
        <v>250</v>
      </c>
      <c r="G62" s="444">
        <f t="shared" si="5"/>
        <v>3075.1</v>
      </c>
      <c r="H62" s="361">
        <v>0</v>
      </c>
      <c r="I62" s="442">
        <v>1</v>
      </c>
      <c r="J62" s="361">
        <v>0</v>
      </c>
      <c r="K62" s="361">
        <f t="shared" si="1"/>
        <v>1</v>
      </c>
      <c r="M62" s="357" t="s">
        <v>542</v>
      </c>
      <c r="N62" s="305" t="s">
        <v>88</v>
      </c>
      <c r="O62" s="358" t="s">
        <v>9</v>
      </c>
      <c r="P62" s="509">
        <v>2959.24</v>
      </c>
      <c r="Q62" s="510">
        <v>250</v>
      </c>
      <c r="R62" s="510">
        <f t="shared" si="6"/>
        <v>3209.24</v>
      </c>
      <c r="S62" s="361">
        <v>0</v>
      </c>
      <c r="T62" s="442">
        <v>1</v>
      </c>
      <c r="U62" s="361">
        <v>0</v>
      </c>
      <c r="V62" s="361">
        <f t="shared" si="3"/>
        <v>1</v>
      </c>
    </row>
    <row r="63" spans="1:22" s="356" customFormat="1" ht="30" customHeight="1" outlineLevel="1">
      <c r="A63" s="356" t="e">
        <f t="shared" si="4"/>
        <v>#REF!</v>
      </c>
      <c r="B63" s="357" t="s">
        <v>543</v>
      </c>
      <c r="C63" s="358" t="s">
        <v>88</v>
      </c>
      <c r="D63" s="358" t="s">
        <v>9</v>
      </c>
      <c r="E63" s="359">
        <v>2825.1</v>
      </c>
      <c r="F63" s="360">
        <v>250</v>
      </c>
      <c r="G63" s="444">
        <f t="shared" si="5"/>
        <v>3075.1</v>
      </c>
      <c r="H63" s="361">
        <v>0</v>
      </c>
      <c r="I63" s="442">
        <v>1</v>
      </c>
      <c r="J63" s="361">
        <v>0</v>
      </c>
      <c r="K63" s="361">
        <f t="shared" si="1"/>
        <v>1</v>
      </c>
      <c r="M63" s="357" t="s">
        <v>543</v>
      </c>
      <c r="N63" s="305" t="s">
        <v>88</v>
      </c>
      <c r="O63" s="358" t="s">
        <v>9</v>
      </c>
      <c r="P63" s="509">
        <v>2959.24</v>
      </c>
      <c r="Q63" s="510">
        <v>250</v>
      </c>
      <c r="R63" s="510">
        <f t="shared" si="6"/>
        <v>3209.24</v>
      </c>
      <c r="S63" s="361">
        <v>0</v>
      </c>
      <c r="T63" s="442">
        <v>1</v>
      </c>
      <c r="U63" s="361">
        <v>0</v>
      </c>
      <c r="V63" s="361">
        <f t="shared" si="3"/>
        <v>1</v>
      </c>
    </row>
    <row r="64" spans="1:22" s="356" customFormat="1" ht="30" customHeight="1" outlineLevel="1">
      <c r="A64" s="356" t="e">
        <f t="shared" si="4"/>
        <v>#REF!</v>
      </c>
      <c r="B64" s="357" t="s">
        <v>548</v>
      </c>
      <c r="C64" s="358" t="s">
        <v>88</v>
      </c>
      <c r="D64" s="358" t="s">
        <v>9</v>
      </c>
      <c r="E64" s="359">
        <v>2825.1</v>
      </c>
      <c r="F64" s="360">
        <v>250</v>
      </c>
      <c r="G64" s="444">
        <f t="shared" si="5"/>
        <v>3075.1</v>
      </c>
      <c r="H64" s="361">
        <v>0</v>
      </c>
      <c r="I64" s="442">
        <v>1</v>
      </c>
      <c r="J64" s="361">
        <v>0</v>
      </c>
      <c r="K64" s="361">
        <f t="shared" si="1"/>
        <v>1</v>
      </c>
      <c r="M64" s="357" t="s">
        <v>548</v>
      </c>
      <c r="N64" s="305" t="s">
        <v>88</v>
      </c>
      <c r="O64" s="358" t="s">
        <v>9</v>
      </c>
      <c r="P64" s="509">
        <v>2959.24</v>
      </c>
      <c r="Q64" s="510">
        <v>250</v>
      </c>
      <c r="R64" s="510">
        <f t="shared" si="6"/>
        <v>3209.24</v>
      </c>
      <c r="S64" s="361">
        <v>0</v>
      </c>
      <c r="T64" s="442">
        <v>1</v>
      </c>
      <c r="U64" s="361">
        <v>0</v>
      </c>
      <c r="V64" s="361">
        <f t="shared" si="3"/>
        <v>1</v>
      </c>
    </row>
    <row r="65" spans="1:22" s="356" customFormat="1" ht="30" customHeight="1" outlineLevel="1">
      <c r="A65" s="356" t="e">
        <f t="shared" si="4"/>
        <v>#REF!</v>
      </c>
      <c r="B65" s="357" t="s">
        <v>549</v>
      </c>
      <c r="C65" s="358" t="s">
        <v>88</v>
      </c>
      <c r="D65" s="358" t="s">
        <v>9</v>
      </c>
      <c r="E65" s="359">
        <v>2825.1</v>
      </c>
      <c r="F65" s="360">
        <v>250</v>
      </c>
      <c r="G65" s="444">
        <f t="shared" si="5"/>
        <v>3075.1</v>
      </c>
      <c r="H65" s="361">
        <v>0</v>
      </c>
      <c r="I65" s="442">
        <v>1</v>
      </c>
      <c r="J65" s="361">
        <v>0</v>
      </c>
      <c r="K65" s="361">
        <f t="shared" si="1"/>
        <v>1</v>
      </c>
      <c r="M65" s="357" t="s">
        <v>549</v>
      </c>
      <c r="N65" s="305" t="s">
        <v>88</v>
      </c>
      <c r="O65" s="358" t="s">
        <v>9</v>
      </c>
      <c r="P65" s="509">
        <v>2959.24</v>
      </c>
      <c r="Q65" s="510">
        <v>250</v>
      </c>
      <c r="R65" s="510">
        <f t="shared" si="6"/>
        <v>3209.24</v>
      </c>
      <c r="S65" s="361">
        <v>0</v>
      </c>
      <c r="T65" s="442">
        <v>1</v>
      </c>
      <c r="U65" s="361">
        <v>0</v>
      </c>
      <c r="V65" s="361">
        <f t="shared" si="3"/>
        <v>1</v>
      </c>
    </row>
    <row r="66" spans="1:22" s="356" customFormat="1" ht="30" customHeight="1" outlineLevel="1">
      <c r="A66" s="356" t="e">
        <f t="shared" si="4"/>
        <v>#REF!</v>
      </c>
      <c r="B66" s="357" t="s">
        <v>550</v>
      </c>
      <c r="C66" s="358" t="s">
        <v>88</v>
      </c>
      <c r="D66" s="358" t="s">
        <v>9</v>
      </c>
      <c r="E66" s="359">
        <v>2825.1</v>
      </c>
      <c r="F66" s="360">
        <v>250</v>
      </c>
      <c r="G66" s="444">
        <f t="shared" si="5"/>
        <v>3075.1</v>
      </c>
      <c r="H66" s="361">
        <v>0</v>
      </c>
      <c r="I66" s="442">
        <v>1</v>
      </c>
      <c r="J66" s="361">
        <v>0</v>
      </c>
      <c r="K66" s="361">
        <f t="shared" si="1"/>
        <v>1</v>
      </c>
      <c r="M66" s="357" t="s">
        <v>550</v>
      </c>
      <c r="N66" s="305" t="s">
        <v>88</v>
      </c>
      <c r="O66" s="358" t="s">
        <v>9</v>
      </c>
      <c r="P66" s="509">
        <v>2959.24</v>
      </c>
      <c r="Q66" s="510">
        <v>250</v>
      </c>
      <c r="R66" s="510">
        <f t="shared" si="6"/>
        <v>3209.24</v>
      </c>
      <c r="S66" s="361">
        <v>0</v>
      </c>
      <c r="T66" s="442">
        <v>1</v>
      </c>
      <c r="U66" s="361">
        <v>0</v>
      </c>
      <c r="V66" s="361">
        <f t="shared" si="3"/>
        <v>1</v>
      </c>
    </row>
    <row r="67" spans="1:22" s="356" customFormat="1" ht="30" customHeight="1" outlineLevel="1">
      <c r="A67" s="356" t="e">
        <f t="shared" si="4"/>
        <v>#REF!</v>
      </c>
      <c r="B67" s="357" t="s">
        <v>539</v>
      </c>
      <c r="C67" s="358" t="s">
        <v>515</v>
      </c>
      <c r="D67" s="358" t="s">
        <v>9</v>
      </c>
      <c r="E67" s="359">
        <v>2825.1</v>
      </c>
      <c r="F67" s="360">
        <v>250</v>
      </c>
      <c r="G67" s="444">
        <v>3075.1</v>
      </c>
      <c r="H67" s="361">
        <v>0</v>
      </c>
      <c r="I67" s="442">
        <v>1</v>
      </c>
      <c r="J67" s="361">
        <v>0</v>
      </c>
      <c r="K67" s="361">
        <f t="shared" si="1"/>
        <v>1</v>
      </c>
      <c r="M67" s="357" t="s">
        <v>539</v>
      </c>
      <c r="N67" s="305" t="s">
        <v>515</v>
      </c>
      <c r="O67" s="358" t="s">
        <v>9</v>
      </c>
      <c r="P67" s="509">
        <v>2959.24</v>
      </c>
      <c r="Q67" s="510">
        <v>250</v>
      </c>
      <c r="R67" s="510">
        <v>3075.1</v>
      </c>
      <c r="S67" s="361">
        <v>0</v>
      </c>
      <c r="T67" s="442">
        <v>1</v>
      </c>
      <c r="U67" s="361">
        <v>0</v>
      </c>
      <c r="V67" s="361">
        <f t="shared" si="3"/>
        <v>1</v>
      </c>
    </row>
    <row r="68" spans="1:22" s="448" customFormat="1" ht="30" customHeight="1" outlineLevel="1" thickBot="1">
      <c r="A68" s="430"/>
      <c r="B68" s="445"/>
      <c r="C68" s="431" t="s">
        <v>91</v>
      </c>
      <c r="D68" s="446"/>
      <c r="E68" s="432">
        <f>SUM(E51:E67)</f>
        <v>48026.699999999983</v>
      </c>
      <c r="F68" s="432">
        <f>SUM(F51:F67)</f>
        <v>4250</v>
      </c>
      <c r="G68" s="432">
        <f>SUM(G51:G67)</f>
        <v>52276.699999999983</v>
      </c>
      <c r="H68" s="433"/>
      <c r="I68" s="433"/>
      <c r="J68" s="433"/>
      <c r="K68" s="447"/>
      <c r="M68" s="445"/>
      <c r="N68" s="313" t="s">
        <v>91</v>
      </c>
      <c r="O68" s="446"/>
      <c r="P68" s="523">
        <f>SUM(P51:P67)</f>
        <v>50307.07999999998</v>
      </c>
      <c r="Q68" s="523">
        <f>SUM(Q51:Q67)</f>
        <v>4250</v>
      </c>
      <c r="R68" s="523">
        <f>SUM(R51:R67)</f>
        <v>54288.799999999981</v>
      </c>
      <c r="S68" s="433"/>
      <c r="T68" s="433"/>
      <c r="U68" s="433"/>
      <c r="V68" s="447"/>
    </row>
    <row r="69" spans="1:22" s="350" customFormat="1" ht="30" customHeight="1" outlineLevel="1" thickTop="1">
      <c r="A69" s="344"/>
      <c r="B69" s="331"/>
      <c r="C69" s="374"/>
      <c r="D69" s="382"/>
      <c r="E69" s="379"/>
      <c r="F69" s="380"/>
      <c r="G69" s="380"/>
      <c r="H69" s="427"/>
      <c r="I69" s="427"/>
      <c r="J69" s="427"/>
      <c r="K69" s="424"/>
      <c r="M69" s="331"/>
      <c r="N69" s="307"/>
      <c r="O69" s="382"/>
      <c r="P69" s="514"/>
      <c r="Q69" s="515"/>
      <c r="R69" s="515"/>
      <c r="S69" s="427"/>
      <c r="T69" s="427"/>
      <c r="U69" s="427"/>
      <c r="V69" s="424"/>
    </row>
    <row r="70" spans="1:22" s="350" customFormat="1" ht="30" customHeight="1" outlineLevel="1">
      <c r="A70" s="344"/>
      <c r="B70" s="351" t="s">
        <v>340</v>
      </c>
      <c r="C70" s="344"/>
      <c r="D70" s="382"/>
      <c r="E70" s="428"/>
      <c r="F70" s="381"/>
      <c r="G70" s="381"/>
      <c r="H70" s="427"/>
      <c r="I70" s="427"/>
      <c r="J70" s="427"/>
      <c r="K70" s="424"/>
      <c r="M70" s="351" t="s">
        <v>340</v>
      </c>
      <c r="N70" s="302"/>
      <c r="O70" s="382"/>
      <c r="P70" s="518"/>
      <c r="Q70" s="516"/>
      <c r="R70" s="516"/>
      <c r="S70" s="427"/>
      <c r="T70" s="427"/>
      <c r="U70" s="427"/>
      <c r="V70" s="424"/>
    </row>
    <row r="71" spans="1:22" s="434" customFormat="1" ht="30" customHeight="1" outlineLevel="1">
      <c r="A71" s="430" t="e">
        <f>A67+1</f>
        <v>#REF!</v>
      </c>
      <c r="B71" s="357" t="s">
        <v>448</v>
      </c>
      <c r="C71" s="437" t="s">
        <v>89</v>
      </c>
      <c r="D71" s="449" t="s">
        <v>8</v>
      </c>
      <c r="E71" s="370">
        <v>2825.1</v>
      </c>
      <c r="F71" s="418">
        <v>250</v>
      </c>
      <c r="G71" s="438">
        <f t="shared" ref="G71:G78" si="7">+E71+F71</f>
        <v>3075.1</v>
      </c>
      <c r="H71" s="450">
        <v>1</v>
      </c>
      <c r="I71" s="439">
        <v>0</v>
      </c>
      <c r="J71" s="439">
        <v>0</v>
      </c>
      <c r="K71" s="439">
        <f t="shared" ref="K71:K82" si="8">SUM(H71:J71)</f>
        <v>1</v>
      </c>
      <c r="M71" s="357" t="s">
        <v>448</v>
      </c>
      <c r="N71" s="314" t="s">
        <v>89</v>
      </c>
      <c r="O71" s="449" t="s">
        <v>8</v>
      </c>
      <c r="P71" s="509">
        <v>2959.24</v>
      </c>
      <c r="Q71" s="510">
        <v>250</v>
      </c>
      <c r="R71" s="510">
        <f t="shared" ref="R71:R78" si="9">+P71+Q71</f>
        <v>3209.24</v>
      </c>
      <c r="S71" s="450">
        <v>1</v>
      </c>
      <c r="T71" s="439">
        <v>0</v>
      </c>
      <c r="U71" s="439">
        <v>0</v>
      </c>
      <c r="V71" s="439">
        <f t="shared" ref="V71:V82" si="10">SUM(S71:U71)</f>
        <v>1</v>
      </c>
    </row>
    <row r="72" spans="1:22" s="434" customFormat="1" ht="30" customHeight="1" outlineLevel="1">
      <c r="A72" s="430" t="e">
        <f t="shared" ref="A72:A82" si="11">A71+1</f>
        <v>#REF!</v>
      </c>
      <c r="B72" s="357" t="s">
        <v>449</v>
      </c>
      <c r="C72" s="437" t="s">
        <v>89</v>
      </c>
      <c r="D72" s="449" t="s">
        <v>8</v>
      </c>
      <c r="E72" s="370">
        <v>2825.1</v>
      </c>
      <c r="F72" s="418">
        <v>250</v>
      </c>
      <c r="G72" s="438">
        <f t="shared" si="7"/>
        <v>3075.1</v>
      </c>
      <c r="H72" s="450">
        <v>1</v>
      </c>
      <c r="I72" s="439">
        <v>0</v>
      </c>
      <c r="J72" s="439">
        <v>0</v>
      </c>
      <c r="K72" s="439">
        <f t="shared" si="8"/>
        <v>1</v>
      </c>
      <c r="M72" s="357" t="s">
        <v>449</v>
      </c>
      <c r="N72" s="314" t="s">
        <v>89</v>
      </c>
      <c r="O72" s="449" t="s">
        <v>8</v>
      </c>
      <c r="P72" s="509">
        <v>2959.24</v>
      </c>
      <c r="Q72" s="510">
        <v>250</v>
      </c>
      <c r="R72" s="510">
        <f t="shared" si="9"/>
        <v>3209.24</v>
      </c>
      <c r="S72" s="450">
        <v>1</v>
      </c>
      <c r="T72" s="439">
        <v>0</v>
      </c>
      <c r="U72" s="439">
        <v>0</v>
      </c>
      <c r="V72" s="439">
        <f t="shared" si="10"/>
        <v>1</v>
      </c>
    </row>
    <row r="73" spans="1:22" s="434" customFormat="1" ht="30" customHeight="1" outlineLevel="1">
      <c r="A73" s="430" t="e">
        <f t="shared" si="11"/>
        <v>#REF!</v>
      </c>
      <c r="B73" s="357" t="s">
        <v>450</v>
      </c>
      <c r="C73" s="437" t="s">
        <v>89</v>
      </c>
      <c r="D73" s="449" t="s">
        <v>8</v>
      </c>
      <c r="E73" s="370">
        <v>2825.1</v>
      </c>
      <c r="F73" s="418">
        <v>250</v>
      </c>
      <c r="G73" s="438">
        <f t="shared" si="7"/>
        <v>3075.1</v>
      </c>
      <c r="H73" s="450">
        <v>1</v>
      </c>
      <c r="I73" s="439">
        <v>0</v>
      </c>
      <c r="J73" s="439">
        <v>0</v>
      </c>
      <c r="K73" s="439">
        <f t="shared" si="8"/>
        <v>1</v>
      </c>
      <c r="M73" s="357" t="s">
        <v>450</v>
      </c>
      <c r="N73" s="314" t="s">
        <v>89</v>
      </c>
      <c r="O73" s="449" t="s">
        <v>8</v>
      </c>
      <c r="P73" s="509">
        <v>2959.24</v>
      </c>
      <c r="Q73" s="510">
        <v>250</v>
      </c>
      <c r="R73" s="510">
        <f t="shared" si="9"/>
        <v>3209.24</v>
      </c>
      <c r="S73" s="450">
        <v>1</v>
      </c>
      <c r="T73" s="439">
        <v>0</v>
      </c>
      <c r="U73" s="439">
        <v>0</v>
      </c>
      <c r="V73" s="439">
        <f t="shared" si="10"/>
        <v>1</v>
      </c>
    </row>
    <row r="74" spans="1:22" s="434" customFormat="1" ht="30" customHeight="1" outlineLevel="1">
      <c r="A74" s="430" t="e">
        <f t="shared" si="11"/>
        <v>#REF!</v>
      </c>
      <c r="B74" s="357" t="s">
        <v>451</v>
      </c>
      <c r="C74" s="437" t="s">
        <v>89</v>
      </c>
      <c r="D74" s="449" t="s">
        <v>8</v>
      </c>
      <c r="E74" s="370">
        <v>2825.1</v>
      </c>
      <c r="F74" s="418">
        <v>250</v>
      </c>
      <c r="G74" s="438">
        <f t="shared" si="7"/>
        <v>3075.1</v>
      </c>
      <c r="H74" s="450">
        <v>1</v>
      </c>
      <c r="I74" s="439">
        <v>0</v>
      </c>
      <c r="J74" s="439">
        <v>0</v>
      </c>
      <c r="K74" s="439">
        <f t="shared" si="8"/>
        <v>1</v>
      </c>
      <c r="M74" s="357" t="s">
        <v>451</v>
      </c>
      <c r="N74" s="314" t="s">
        <v>89</v>
      </c>
      <c r="O74" s="449" t="s">
        <v>8</v>
      </c>
      <c r="P74" s="509">
        <v>2959.24</v>
      </c>
      <c r="Q74" s="510">
        <v>250</v>
      </c>
      <c r="R74" s="510">
        <f t="shared" si="9"/>
        <v>3209.24</v>
      </c>
      <c r="S74" s="450">
        <v>1</v>
      </c>
      <c r="T74" s="439">
        <v>0</v>
      </c>
      <c r="U74" s="439">
        <v>0</v>
      </c>
      <c r="V74" s="439">
        <f t="shared" si="10"/>
        <v>1</v>
      </c>
    </row>
    <row r="75" spans="1:22" s="434" customFormat="1" ht="30" customHeight="1" outlineLevel="1">
      <c r="A75" s="430" t="e">
        <f t="shared" si="11"/>
        <v>#REF!</v>
      </c>
      <c r="B75" s="357" t="s">
        <v>470</v>
      </c>
      <c r="C75" s="437" t="s">
        <v>88</v>
      </c>
      <c r="D75" s="437" t="s">
        <v>8</v>
      </c>
      <c r="E75" s="370">
        <v>2825.1</v>
      </c>
      <c r="F75" s="418">
        <v>250</v>
      </c>
      <c r="G75" s="438">
        <f t="shared" si="7"/>
        <v>3075.1</v>
      </c>
      <c r="H75" s="451">
        <v>1</v>
      </c>
      <c r="I75" s="450">
        <v>0</v>
      </c>
      <c r="J75" s="439">
        <v>0</v>
      </c>
      <c r="K75" s="439">
        <f t="shared" si="8"/>
        <v>1</v>
      </c>
      <c r="M75" s="357" t="s">
        <v>470</v>
      </c>
      <c r="N75" s="314" t="s">
        <v>88</v>
      </c>
      <c r="O75" s="437" t="s">
        <v>8</v>
      </c>
      <c r="P75" s="509">
        <v>2959.24</v>
      </c>
      <c r="Q75" s="510">
        <v>250</v>
      </c>
      <c r="R75" s="510">
        <f t="shared" si="9"/>
        <v>3209.24</v>
      </c>
      <c r="S75" s="451">
        <v>1</v>
      </c>
      <c r="T75" s="450">
        <v>0</v>
      </c>
      <c r="U75" s="439">
        <v>0</v>
      </c>
      <c r="V75" s="439">
        <f t="shared" si="10"/>
        <v>1</v>
      </c>
    </row>
    <row r="76" spans="1:22" s="434" customFormat="1" ht="30" customHeight="1" outlineLevel="1">
      <c r="A76" s="430" t="e">
        <f t="shared" si="11"/>
        <v>#REF!</v>
      </c>
      <c r="B76" s="357" t="s">
        <v>511</v>
      </c>
      <c r="C76" s="437" t="s">
        <v>88</v>
      </c>
      <c r="D76" s="437" t="s">
        <v>8</v>
      </c>
      <c r="E76" s="370">
        <v>2825.1</v>
      </c>
      <c r="F76" s="418">
        <v>250</v>
      </c>
      <c r="G76" s="438">
        <f t="shared" si="7"/>
        <v>3075.1</v>
      </c>
      <c r="H76" s="451">
        <v>1</v>
      </c>
      <c r="I76" s="439">
        <v>0</v>
      </c>
      <c r="J76" s="439">
        <v>0</v>
      </c>
      <c r="K76" s="439">
        <f t="shared" si="8"/>
        <v>1</v>
      </c>
      <c r="M76" s="357" t="s">
        <v>511</v>
      </c>
      <c r="N76" s="314" t="s">
        <v>88</v>
      </c>
      <c r="O76" s="437" t="s">
        <v>8</v>
      </c>
      <c r="P76" s="509">
        <v>2959.24</v>
      </c>
      <c r="Q76" s="510">
        <v>250</v>
      </c>
      <c r="R76" s="510">
        <f t="shared" si="9"/>
        <v>3209.24</v>
      </c>
      <c r="S76" s="451">
        <v>1</v>
      </c>
      <c r="T76" s="439">
        <v>0</v>
      </c>
      <c r="U76" s="439">
        <v>0</v>
      </c>
      <c r="V76" s="439">
        <f t="shared" si="10"/>
        <v>1</v>
      </c>
    </row>
    <row r="77" spans="1:22" s="434" customFormat="1" ht="30" customHeight="1" outlineLevel="1">
      <c r="A77" s="430" t="e">
        <f t="shared" si="11"/>
        <v>#REF!</v>
      </c>
      <c r="B77" s="429" t="s">
        <v>442</v>
      </c>
      <c r="C77" s="437" t="s">
        <v>89</v>
      </c>
      <c r="D77" s="449" t="s">
        <v>8</v>
      </c>
      <c r="E77" s="370">
        <v>2825.1</v>
      </c>
      <c r="F77" s="418">
        <f>250</f>
        <v>250</v>
      </c>
      <c r="G77" s="438">
        <f t="shared" si="7"/>
        <v>3075.1</v>
      </c>
      <c r="H77" s="450">
        <v>1</v>
      </c>
      <c r="I77" s="439">
        <v>0</v>
      </c>
      <c r="J77" s="439">
        <v>0</v>
      </c>
      <c r="K77" s="439">
        <f t="shared" si="8"/>
        <v>1</v>
      </c>
      <c r="M77" s="429" t="s">
        <v>442</v>
      </c>
      <c r="N77" s="314" t="s">
        <v>89</v>
      </c>
      <c r="O77" s="449" t="s">
        <v>8</v>
      </c>
      <c r="P77" s="509">
        <v>2959.24</v>
      </c>
      <c r="Q77" s="510">
        <f>250</f>
        <v>250</v>
      </c>
      <c r="R77" s="510">
        <f t="shared" si="9"/>
        <v>3209.24</v>
      </c>
      <c r="S77" s="450">
        <v>1</v>
      </c>
      <c r="T77" s="439">
        <v>0</v>
      </c>
      <c r="U77" s="439">
        <v>0</v>
      </c>
      <c r="V77" s="439">
        <f t="shared" si="10"/>
        <v>1</v>
      </c>
    </row>
    <row r="78" spans="1:22" s="434" customFormat="1" ht="30" customHeight="1" outlineLevel="1">
      <c r="A78" s="430">
        <v>73</v>
      </c>
      <c r="B78" s="429" t="s">
        <v>443</v>
      </c>
      <c r="C78" s="437" t="s">
        <v>89</v>
      </c>
      <c r="D78" s="449" t="s">
        <v>8</v>
      </c>
      <c r="E78" s="370">
        <v>2825.1</v>
      </c>
      <c r="F78" s="418">
        <f>250</f>
        <v>250</v>
      </c>
      <c r="G78" s="438">
        <f t="shared" si="7"/>
        <v>3075.1</v>
      </c>
      <c r="H78" s="450">
        <v>1</v>
      </c>
      <c r="I78" s="439">
        <v>0</v>
      </c>
      <c r="J78" s="439">
        <v>0</v>
      </c>
      <c r="K78" s="439">
        <f t="shared" si="8"/>
        <v>1</v>
      </c>
      <c r="M78" s="429" t="s">
        <v>443</v>
      </c>
      <c r="N78" s="314" t="s">
        <v>89</v>
      </c>
      <c r="O78" s="449" t="s">
        <v>8</v>
      </c>
      <c r="P78" s="509">
        <v>2959.24</v>
      </c>
      <c r="Q78" s="510">
        <f>250</f>
        <v>250</v>
      </c>
      <c r="R78" s="510">
        <f t="shared" si="9"/>
        <v>3209.24</v>
      </c>
      <c r="S78" s="450">
        <v>1</v>
      </c>
      <c r="T78" s="439">
        <v>0</v>
      </c>
      <c r="U78" s="439">
        <v>0</v>
      </c>
      <c r="V78" s="439">
        <f t="shared" si="10"/>
        <v>1</v>
      </c>
    </row>
    <row r="79" spans="1:22" s="457" customFormat="1" ht="30" customHeight="1" outlineLevel="1">
      <c r="A79" s="430">
        <f t="shared" si="11"/>
        <v>74</v>
      </c>
      <c r="B79" s="357" t="s">
        <v>521</v>
      </c>
      <c r="C79" s="358" t="s">
        <v>89</v>
      </c>
      <c r="D79" s="358" t="s">
        <v>8</v>
      </c>
      <c r="E79" s="452">
        <v>2825.1</v>
      </c>
      <c r="F79" s="453">
        <f>250</f>
        <v>250</v>
      </c>
      <c r="G79" s="454">
        <f>+E79+F79</f>
        <v>3075.1</v>
      </c>
      <c r="H79" s="455">
        <v>1</v>
      </c>
      <c r="I79" s="456">
        <v>0</v>
      </c>
      <c r="J79" s="456">
        <v>0</v>
      </c>
      <c r="K79" s="456">
        <f t="shared" si="8"/>
        <v>1</v>
      </c>
      <c r="M79" s="357" t="s">
        <v>521</v>
      </c>
      <c r="N79" s="305" t="s">
        <v>89</v>
      </c>
      <c r="O79" s="358" t="s">
        <v>8</v>
      </c>
      <c r="P79" s="509">
        <v>2959.24</v>
      </c>
      <c r="Q79" s="510">
        <f>250</f>
        <v>250</v>
      </c>
      <c r="R79" s="510">
        <f>+P79+Q79</f>
        <v>3209.24</v>
      </c>
      <c r="S79" s="455">
        <v>1</v>
      </c>
      <c r="T79" s="456">
        <v>0</v>
      </c>
      <c r="U79" s="456">
        <v>0</v>
      </c>
      <c r="V79" s="456">
        <f t="shared" si="10"/>
        <v>1</v>
      </c>
    </row>
    <row r="80" spans="1:22" s="457" customFormat="1" ht="30" customHeight="1" outlineLevel="1">
      <c r="A80" s="430">
        <f t="shared" si="11"/>
        <v>75</v>
      </c>
      <c r="B80" s="357" t="s">
        <v>523</v>
      </c>
      <c r="C80" s="358" t="s">
        <v>89</v>
      </c>
      <c r="D80" s="358" t="s">
        <v>8</v>
      </c>
      <c r="E80" s="452">
        <v>2825.1</v>
      </c>
      <c r="F80" s="453">
        <f>250</f>
        <v>250</v>
      </c>
      <c r="G80" s="454">
        <f>+E80+F80</f>
        <v>3075.1</v>
      </c>
      <c r="H80" s="455">
        <v>1</v>
      </c>
      <c r="I80" s="456">
        <v>0</v>
      </c>
      <c r="J80" s="456">
        <v>0</v>
      </c>
      <c r="K80" s="456">
        <f t="shared" si="8"/>
        <v>1</v>
      </c>
      <c r="M80" s="357" t="s">
        <v>523</v>
      </c>
      <c r="N80" s="305" t="s">
        <v>89</v>
      </c>
      <c r="O80" s="358" t="s">
        <v>8</v>
      </c>
      <c r="P80" s="509">
        <v>2959.24</v>
      </c>
      <c r="Q80" s="510">
        <f>250</f>
        <v>250</v>
      </c>
      <c r="R80" s="510">
        <f>+P80+Q80</f>
        <v>3209.24</v>
      </c>
      <c r="S80" s="455">
        <v>1</v>
      </c>
      <c r="T80" s="456">
        <v>0</v>
      </c>
      <c r="U80" s="456">
        <v>0</v>
      </c>
      <c r="V80" s="456">
        <f t="shared" si="10"/>
        <v>1</v>
      </c>
    </row>
    <row r="81" spans="1:22" s="457" customFormat="1" ht="30" customHeight="1" outlineLevel="1">
      <c r="A81" s="430">
        <f t="shared" si="11"/>
        <v>76</v>
      </c>
      <c r="B81" s="357" t="s">
        <v>524</v>
      </c>
      <c r="C81" s="358" t="s">
        <v>89</v>
      </c>
      <c r="D81" s="358" t="s">
        <v>8</v>
      </c>
      <c r="E81" s="452">
        <v>2825.1</v>
      </c>
      <c r="F81" s="453">
        <f>250</f>
        <v>250</v>
      </c>
      <c r="G81" s="454">
        <f>+E81+F81</f>
        <v>3075.1</v>
      </c>
      <c r="H81" s="455">
        <v>1</v>
      </c>
      <c r="I81" s="456">
        <v>0</v>
      </c>
      <c r="J81" s="456">
        <v>0</v>
      </c>
      <c r="K81" s="456">
        <f t="shared" si="8"/>
        <v>1</v>
      </c>
      <c r="M81" s="357" t="s">
        <v>524</v>
      </c>
      <c r="N81" s="305" t="s">
        <v>89</v>
      </c>
      <c r="O81" s="358" t="s">
        <v>8</v>
      </c>
      <c r="P81" s="509">
        <v>2959.24</v>
      </c>
      <c r="Q81" s="510">
        <f>250</f>
        <v>250</v>
      </c>
      <c r="R81" s="510">
        <f>+P81+Q81</f>
        <v>3209.24</v>
      </c>
      <c r="S81" s="455">
        <v>1</v>
      </c>
      <c r="T81" s="456">
        <v>0</v>
      </c>
      <c r="U81" s="456">
        <v>0</v>
      </c>
      <c r="V81" s="456">
        <f t="shared" si="10"/>
        <v>1</v>
      </c>
    </row>
    <row r="82" spans="1:22" s="457" customFormat="1" ht="30" customHeight="1" outlineLevel="1">
      <c r="A82" s="430">
        <f t="shared" si="11"/>
        <v>77</v>
      </c>
      <c r="B82" s="357" t="s">
        <v>525</v>
      </c>
      <c r="C82" s="358" t="s">
        <v>89</v>
      </c>
      <c r="D82" s="358" t="s">
        <v>8</v>
      </c>
      <c r="E82" s="452">
        <v>2825.1</v>
      </c>
      <c r="F82" s="453">
        <f>250</f>
        <v>250</v>
      </c>
      <c r="G82" s="454">
        <f>+E82+F82</f>
        <v>3075.1</v>
      </c>
      <c r="H82" s="455">
        <v>1</v>
      </c>
      <c r="I82" s="456">
        <v>0</v>
      </c>
      <c r="J82" s="456">
        <v>0</v>
      </c>
      <c r="K82" s="456">
        <f t="shared" si="8"/>
        <v>1</v>
      </c>
      <c r="M82" s="357" t="s">
        <v>525</v>
      </c>
      <c r="N82" s="305" t="s">
        <v>89</v>
      </c>
      <c r="O82" s="358" t="s">
        <v>8</v>
      </c>
      <c r="P82" s="509">
        <v>2959.24</v>
      </c>
      <c r="Q82" s="510">
        <f>250</f>
        <v>250</v>
      </c>
      <c r="R82" s="510">
        <f>+P82+Q82</f>
        <v>3209.24</v>
      </c>
      <c r="S82" s="455">
        <v>1</v>
      </c>
      <c r="T82" s="456">
        <v>0</v>
      </c>
      <c r="U82" s="456">
        <v>0</v>
      </c>
      <c r="V82" s="456">
        <f t="shared" si="10"/>
        <v>1</v>
      </c>
    </row>
    <row r="83" spans="1:22" s="431" customFormat="1" ht="30" customHeight="1" outlineLevel="1" thickBot="1">
      <c r="A83" s="430"/>
      <c r="B83" s="445"/>
      <c r="C83" s="431" t="s">
        <v>92</v>
      </c>
      <c r="E83" s="432">
        <f>SUM(E71:E82)</f>
        <v>33901.19999999999</v>
      </c>
      <c r="F83" s="432">
        <f>SUM(F71:F82)</f>
        <v>3000</v>
      </c>
      <c r="G83" s="432">
        <f>SUM(G71:G82)</f>
        <v>36901.19999999999</v>
      </c>
      <c r="H83" s="433"/>
      <c r="I83" s="433"/>
      <c r="J83" s="433"/>
      <c r="K83" s="433"/>
      <c r="M83" s="445"/>
      <c r="N83" s="313" t="s">
        <v>92</v>
      </c>
      <c r="P83" s="523">
        <f>SUM(P71:P82)</f>
        <v>35510.87999999999</v>
      </c>
      <c r="Q83" s="523">
        <f>SUM(Q71:Q82)</f>
        <v>3000</v>
      </c>
      <c r="R83" s="523">
        <f>SUM(R71:R82)</f>
        <v>38510.87999999999</v>
      </c>
      <c r="S83" s="433"/>
      <c r="T83" s="433"/>
      <c r="U83" s="433"/>
      <c r="V83" s="433"/>
    </row>
    <row r="84" spans="1:22" s="434" customFormat="1" ht="30" customHeight="1" outlineLevel="1" thickTop="1">
      <c r="A84" s="430"/>
      <c r="B84" s="331"/>
      <c r="C84" s="446"/>
      <c r="E84" s="425"/>
      <c r="F84" s="425"/>
      <c r="G84" s="425"/>
      <c r="H84" s="436"/>
      <c r="I84" s="436"/>
      <c r="J84" s="436"/>
      <c r="K84" s="436"/>
      <c r="M84" s="331"/>
      <c r="N84" s="315"/>
      <c r="P84" s="518"/>
      <c r="Q84" s="518"/>
      <c r="R84" s="518"/>
      <c r="S84" s="436"/>
      <c r="T84" s="436"/>
      <c r="U84" s="436"/>
      <c r="V84" s="436"/>
    </row>
    <row r="85" spans="1:22" s="434" customFormat="1" ht="30" customHeight="1" outlineLevel="1">
      <c r="A85" s="430"/>
      <c r="B85" s="351" t="s">
        <v>362</v>
      </c>
      <c r="C85" s="446"/>
      <c r="E85" s="425"/>
      <c r="F85" s="425"/>
      <c r="G85" s="425"/>
      <c r="H85" s="436"/>
      <c r="I85" s="436"/>
      <c r="J85" s="436"/>
      <c r="K85" s="436"/>
      <c r="M85" s="351" t="s">
        <v>362</v>
      </c>
      <c r="N85" s="315"/>
      <c r="P85" s="518"/>
      <c r="Q85" s="518"/>
      <c r="R85" s="518"/>
      <c r="S85" s="436"/>
      <c r="T85" s="436"/>
      <c r="U85" s="436"/>
      <c r="V85" s="436"/>
    </row>
    <row r="86" spans="1:22" s="434" customFormat="1" ht="30" customHeight="1" outlineLevel="1">
      <c r="A86" s="430">
        <f>A82+1</f>
        <v>78</v>
      </c>
      <c r="B86" s="383" t="s">
        <v>465</v>
      </c>
      <c r="C86" s="437" t="s">
        <v>363</v>
      </c>
      <c r="D86" s="449" t="s">
        <v>9</v>
      </c>
      <c r="E86" s="370">
        <v>2825.1</v>
      </c>
      <c r="F86" s="418">
        <v>250</v>
      </c>
      <c r="G86" s="438">
        <f>+E86+F86</f>
        <v>3075.1</v>
      </c>
      <c r="H86" s="439">
        <v>0</v>
      </c>
      <c r="I86" s="450">
        <v>1</v>
      </c>
      <c r="J86" s="439">
        <v>0</v>
      </c>
      <c r="K86" s="439">
        <f>SUM(H86:J86)</f>
        <v>1</v>
      </c>
      <c r="M86" s="383" t="s">
        <v>465</v>
      </c>
      <c r="N86" s="314" t="s">
        <v>363</v>
      </c>
      <c r="O86" s="449" t="s">
        <v>9</v>
      </c>
      <c r="P86" s="509">
        <v>2959.24</v>
      </c>
      <c r="Q86" s="510">
        <v>250</v>
      </c>
      <c r="R86" s="510">
        <f>+P86+Q86</f>
        <v>3209.24</v>
      </c>
      <c r="S86" s="439">
        <v>0</v>
      </c>
      <c r="T86" s="450">
        <v>1</v>
      </c>
      <c r="U86" s="439">
        <v>0</v>
      </c>
      <c r="V86" s="439">
        <f>SUM(S86:U86)</f>
        <v>1</v>
      </c>
    </row>
    <row r="87" spans="1:22" s="366" customFormat="1" ht="30" customHeight="1" outlineLevel="1">
      <c r="A87" s="356">
        <f>A86+1</f>
        <v>79</v>
      </c>
      <c r="B87" s="357" t="s">
        <v>532</v>
      </c>
      <c r="C87" s="357" t="s">
        <v>363</v>
      </c>
      <c r="D87" s="358" t="s">
        <v>8</v>
      </c>
      <c r="E87" s="363">
        <v>2825.1</v>
      </c>
      <c r="F87" s="364">
        <f>250</f>
        <v>250</v>
      </c>
      <c r="G87" s="441">
        <f>+E87+F87</f>
        <v>3075.1</v>
      </c>
      <c r="H87" s="361">
        <v>1</v>
      </c>
      <c r="I87" s="443">
        <v>0</v>
      </c>
      <c r="J87" s="365">
        <v>0</v>
      </c>
      <c r="K87" s="365">
        <f>SUM(H87:J87)</f>
        <v>1</v>
      </c>
      <c r="M87" s="357" t="s">
        <v>532</v>
      </c>
      <c r="N87" s="304" t="s">
        <v>363</v>
      </c>
      <c r="O87" s="358" t="s">
        <v>8</v>
      </c>
      <c r="P87" s="509">
        <v>2959.24</v>
      </c>
      <c r="Q87" s="510">
        <f>250</f>
        <v>250</v>
      </c>
      <c r="R87" s="510">
        <f>+P87+Q87</f>
        <v>3209.24</v>
      </c>
      <c r="S87" s="361">
        <v>1</v>
      </c>
      <c r="T87" s="443">
        <v>0</v>
      </c>
      <c r="U87" s="365">
        <v>0</v>
      </c>
      <c r="V87" s="365">
        <f>SUM(S87:U87)</f>
        <v>1</v>
      </c>
    </row>
    <row r="88" spans="1:22" s="431" customFormat="1" ht="30" customHeight="1" outlineLevel="1">
      <c r="A88" s="430"/>
      <c r="B88" s="324"/>
      <c r="C88" s="431" t="s">
        <v>364</v>
      </c>
      <c r="E88" s="377">
        <f>SUM(E86:E87)</f>
        <v>5650.2</v>
      </c>
      <c r="F88" s="377">
        <f>SUM(F86:F87)</f>
        <v>500</v>
      </c>
      <c r="G88" s="377">
        <f>SUM(G86:G87)</f>
        <v>6150.2</v>
      </c>
      <c r="H88" s="433"/>
      <c r="I88" s="433"/>
      <c r="J88" s="433"/>
      <c r="K88" s="433"/>
      <c r="M88" s="324"/>
      <c r="N88" s="313" t="s">
        <v>364</v>
      </c>
      <c r="P88" s="514">
        <f>SUM(P86:P87)</f>
        <v>5918.48</v>
      </c>
      <c r="Q88" s="514">
        <f>SUM(Q86:Q87)</f>
        <v>500</v>
      </c>
      <c r="R88" s="514">
        <f>SUM(R86:R87)</f>
        <v>6418.48</v>
      </c>
      <c r="S88" s="433"/>
      <c r="T88" s="433"/>
      <c r="U88" s="433"/>
      <c r="V88" s="433"/>
    </row>
    <row r="89" spans="1:22" s="428" customFormat="1" ht="30" customHeight="1" outlineLevel="1">
      <c r="A89" s="458"/>
      <c r="B89" s="351" t="s">
        <v>99</v>
      </c>
      <c r="C89" s="430"/>
      <c r="D89" s="434"/>
      <c r="H89" s="436"/>
      <c r="I89" s="436"/>
      <c r="J89" s="436"/>
      <c r="K89" s="436"/>
      <c r="L89" s="434"/>
      <c r="M89" s="351" t="s">
        <v>99</v>
      </c>
      <c r="N89" s="312"/>
      <c r="O89" s="434"/>
      <c r="P89" s="518"/>
      <c r="Q89" s="518"/>
      <c r="R89" s="518"/>
      <c r="S89" s="436"/>
      <c r="T89" s="436"/>
      <c r="U89" s="436"/>
      <c r="V89" s="436"/>
    </row>
    <row r="90" spans="1:22" s="428" customFormat="1" ht="30" customHeight="1" outlineLevel="1">
      <c r="A90" s="458"/>
      <c r="B90" s="459" t="s">
        <v>100</v>
      </c>
      <c r="C90" s="430"/>
      <c r="D90" s="434"/>
      <c r="H90" s="436"/>
      <c r="I90" s="436"/>
      <c r="J90" s="436"/>
      <c r="K90" s="436"/>
      <c r="L90" s="434"/>
      <c r="M90" s="459" t="s">
        <v>100</v>
      </c>
      <c r="N90" s="312"/>
      <c r="O90" s="434"/>
      <c r="P90" s="518"/>
      <c r="Q90" s="518"/>
      <c r="R90" s="518"/>
      <c r="S90" s="436"/>
      <c r="T90" s="436"/>
      <c r="U90" s="436"/>
      <c r="V90" s="436"/>
    </row>
    <row r="91" spans="1:22" s="434" customFormat="1" ht="30" customHeight="1" outlineLevel="1">
      <c r="A91" s="356" t="e">
        <f>#REF!+1</f>
        <v>#REF!</v>
      </c>
      <c r="B91" s="357" t="s">
        <v>428</v>
      </c>
      <c r="C91" s="437" t="s">
        <v>107</v>
      </c>
      <c r="D91" s="449" t="s">
        <v>8</v>
      </c>
      <c r="E91" s="418">
        <v>2831.25</v>
      </c>
      <c r="F91" s="418">
        <v>450</v>
      </c>
      <c r="G91" s="418">
        <f t="shared" ref="G91:G96" si="12">+E91+F91</f>
        <v>3281.25</v>
      </c>
      <c r="H91" s="439">
        <v>0.6</v>
      </c>
      <c r="I91" s="439">
        <v>0.2</v>
      </c>
      <c r="J91" s="439">
        <v>0.2</v>
      </c>
      <c r="K91" s="439">
        <f t="shared" ref="K91:K96" si="13">SUM(H91:J91)</f>
        <v>1</v>
      </c>
      <c r="M91" s="357" t="s">
        <v>428</v>
      </c>
      <c r="N91" s="314" t="s">
        <v>107</v>
      </c>
      <c r="O91" s="449" t="s">
        <v>8</v>
      </c>
      <c r="P91" s="509">
        <v>2959.24</v>
      </c>
      <c r="Q91" s="510">
        <v>450</v>
      </c>
      <c r="R91" s="510">
        <f t="shared" ref="R91:R96" si="14">+P91+Q91</f>
        <v>3409.24</v>
      </c>
      <c r="S91" s="439">
        <v>0.6</v>
      </c>
      <c r="T91" s="439">
        <v>0.2</v>
      </c>
      <c r="U91" s="439">
        <v>0.2</v>
      </c>
      <c r="V91" s="439">
        <f t="shared" ref="V91:V96" si="15">SUM(S91:U91)</f>
        <v>1</v>
      </c>
    </row>
    <row r="92" spans="1:22" s="434" customFormat="1" ht="30" customHeight="1" outlineLevel="1">
      <c r="A92" s="356" t="e">
        <f>A91+1</f>
        <v>#REF!</v>
      </c>
      <c r="B92" s="429" t="s">
        <v>438</v>
      </c>
      <c r="C92" s="437" t="s">
        <v>54</v>
      </c>
      <c r="D92" s="449" t="s">
        <v>8</v>
      </c>
      <c r="E92" s="370">
        <v>2825.1</v>
      </c>
      <c r="F92" s="418">
        <v>1400</v>
      </c>
      <c r="G92" s="438">
        <f t="shared" si="12"/>
        <v>4225.1000000000004</v>
      </c>
      <c r="H92" s="439">
        <v>1</v>
      </c>
      <c r="I92" s="450">
        <v>0</v>
      </c>
      <c r="J92" s="439">
        <v>0</v>
      </c>
      <c r="K92" s="439">
        <f t="shared" si="13"/>
        <v>1</v>
      </c>
      <c r="M92" s="429" t="s">
        <v>438</v>
      </c>
      <c r="N92" s="314" t="s">
        <v>54</v>
      </c>
      <c r="O92" s="449" t="s">
        <v>8</v>
      </c>
      <c r="P92" s="509">
        <v>2959.24</v>
      </c>
      <c r="Q92" s="510">
        <v>1400</v>
      </c>
      <c r="R92" s="510">
        <f t="shared" si="14"/>
        <v>4359.24</v>
      </c>
      <c r="S92" s="439">
        <v>1</v>
      </c>
      <c r="T92" s="450">
        <v>0</v>
      </c>
      <c r="U92" s="439">
        <v>0</v>
      </c>
      <c r="V92" s="439">
        <f t="shared" si="15"/>
        <v>1</v>
      </c>
    </row>
    <row r="93" spans="1:22" s="434" customFormat="1" ht="30" customHeight="1" outlineLevel="1">
      <c r="A93" s="356" t="e">
        <f>A92+1</f>
        <v>#REF!</v>
      </c>
      <c r="B93" s="357" t="s">
        <v>439</v>
      </c>
      <c r="C93" s="437" t="s">
        <v>337</v>
      </c>
      <c r="D93" s="449" t="s">
        <v>8</v>
      </c>
      <c r="E93" s="370">
        <v>2825.1</v>
      </c>
      <c r="F93" s="418">
        <v>750</v>
      </c>
      <c r="G93" s="438">
        <f t="shared" si="12"/>
        <v>3575.1</v>
      </c>
      <c r="H93" s="439">
        <v>1</v>
      </c>
      <c r="I93" s="450">
        <v>0</v>
      </c>
      <c r="J93" s="439">
        <v>0</v>
      </c>
      <c r="K93" s="439">
        <f t="shared" si="13"/>
        <v>1</v>
      </c>
      <c r="M93" s="357" t="s">
        <v>439</v>
      </c>
      <c r="N93" s="314" t="s">
        <v>337</v>
      </c>
      <c r="O93" s="449" t="s">
        <v>8</v>
      </c>
      <c r="P93" s="509">
        <v>2959.24</v>
      </c>
      <c r="Q93" s="510">
        <v>750</v>
      </c>
      <c r="R93" s="510">
        <f t="shared" si="14"/>
        <v>3709.24</v>
      </c>
      <c r="S93" s="439">
        <v>1</v>
      </c>
      <c r="T93" s="450">
        <v>0</v>
      </c>
      <c r="U93" s="439">
        <v>0</v>
      </c>
      <c r="V93" s="439">
        <f t="shared" si="15"/>
        <v>1</v>
      </c>
    </row>
    <row r="94" spans="1:22" s="434" customFormat="1" ht="30" customHeight="1" outlineLevel="1">
      <c r="A94" s="356" t="e">
        <f>A93+1</f>
        <v>#REF!</v>
      </c>
      <c r="B94" s="357" t="s">
        <v>429</v>
      </c>
      <c r="C94" s="437" t="s">
        <v>337</v>
      </c>
      <c r="D94" s="449" t="s">
        <v>8</v>
      </c>
      <c r="E94" s="370">
        <v>2825.1</v>
      </c>
      <c r="F94" s="418">
        <v>750</v>
      </c>
      <c r="G94" s="438">
        <f t="shared" si="12"/>
        <v>3575.1</v>
      </c>
      <c r="H94" s="439">
        <v>1</v>
      </c>
      <c r="I94" s="450">
        <v>0</v>
      </c>
      <c r="J94" s="439">
        <v>0</v>
      </c>
      <c r="K94" s="439">
        <f t="shared" si="13"/>
        <v>1</v>
      </c>
      <c r="M94" s="357" t="s">
        <v>429</v>
      </c>
      <c r="N94" s="314" t="s">
        <v>337</v>
      </c>
      <c r="O94" s="449" t="s">
        <v>8</v>
      </c>
      <c r="P94" s="509">
        <v>2959.24</v>
      </c>
      <c r="Q94" s="510">
        <v>750</v>
      </c>
      <c r="R94" s="510">
        <f t="shared" si="14"/>
        <v>3709.24</v>
      </c>
      <c r="S94" s="439">
        <v>1</v>
      </c>
      <c r="T94" s="450">
        <v>0</v>
      </c>
      <c r="U94" s="439">
        <v>0</v>
      </c>
      <c r="V94" s="439">
        <f t="shared" si="15"/>
        <v>1</v>
      </c>
    </row>
    <row r="95" spans="1:22" s="356" customFormat="1" ht="30" customHeight="1" outlineLevel="1">
      <c r="A95" s="356" t="e">
        <f>#REF!+1</f>
        <v>#REF!</v>
      </c>
      <c r="B95" s="357" t="s">
        <v>502</v>
      </c>
      <c r="C95" s="358" t="s">
        <v>54</v>
      </c>
      <c r="D95" s="358" t="s">
        <v>8</v>
      </c>
      <c r="E95" s="359">
        <v>2825.1</v>
      </c>
      <c r="F95" s="360">
        <f>1150+250</f>
        <v>1400</v>
      </c>
      <c r="G95" s="444">
        <f t="shared" si="12"/>
        <v>4225.1000000000004</v>
      </c>
      <c r="H95" s="361">
        <v>1</v>
      </c>
      <c r="I95" s="361">
        <v>0</v>
      </c>
      <c r="J95" s="361">
        <v>0</v>
      </c>
      <c r="K95" s="361">
        <f t="shared" si="13"/>
        <v>1</v>
      </c>
      <c r="M95" s="357" t="s">
        <v>502</v>
      </c>
      <c r="N95" s="305" t="s">
        <v>54</v>
      </c>
      <c r="O95" s="358" t="s">
        <v>8</v>
      </c>
      <c r="P95" s="509">
        <v>2959.24</v>
      </c>
      <c r="Q95" s="510">
        <f>1150+250</f>
        <v>1400</v>
      </c>
      <c r="R95" s="510">
        <f t="shared" si="14"/>
        <v>4359.24</v>
      </c>
      <c r="S95" s="361">
        <v>1</v>
      </c>
      <c r="T95" s="361">
        <v>0</v>
      </c>
      <c r="U95" s="361">
        <v>0</v>
      </c>
      <c r="V95" s="361">
        <f t="shared" si="15"/>
        <v>1</v>
      </c>
    </row>
    <row r="96" spans="1:22" s="366" customFormat="1" ht="30" customHeight="1" outlineLevel="1">
      <c r="A96" s="356" t="e">
        <f>A95+1</f>
        <v>#REF!</v>
      </c>
      <c r="B96" s="357" t="s">
        <v>518</v>
      </c>
      <c r="C96" s="358" t="s">
        <v>107</v>
      </c>
      <c r="D96" s="358" t="s">
        <v>8</v>
      </c>
      <c r="E96" s="363">
        <v>2825.1</v>
      </c>
      <c r="F96" s="364">
        <f>250+150</f>
        <v>400</v>
      </c>
      <c r="G96" s="441">
        <f t="shared" si="12"/>
        <v>3225.1</v>
      </c>
      <c r="H96" s="365">
        <v>1</v>
      </c>
      <c r="I96" s="365">
        <v>0</v>
      </c>
      <c r="J96" s="365">
        <v>0</v>
      </c>
      <c r="K96" s="365">
        <f t="shared" si="13"/>
        <v>1</v>
      </c>
      <c r="M96" s="357" t="s">
        <v>518</v>
      </c>
      <c r="N96" s="305" t="s">
        <v>107</v>
      </c>
      <c r="O96" s="358" t="s">
        <v>8</v>
      </c>
      <c r="P96" s="509">
        <v>2959.24</v>
      </c>
      <c r="Q96" s="510">
        <f>250+150</f>
        <v>400</v>
      </c>
      <c r="R96" s="510">
        <f t="shared" si="14"/>
        <v>3359.24</v>
      </c>
      <c r="S96" s="365">
        <v>1</v>
      </c>
      <c r="T96" s="365">
        <v>0</v>
      </c>
      <c r="U96" s="365">
        <v>0</v>
      </c>
      <c r="V96" s="365">
        <f t="shared" si="15"/>
        <v>1</v>
      </c>
    </row>
    <row r="97" spans="1:22" s="448" customFormat="1" ht="30" customHeight="1" outlineLevel="1" thickBot="1">
      <c r="A97" s="430"/>
      <c r="B97" s="445"/>
      <c r="C97" s="431" t="s">
        <v>105</v>
      </c>
      <c r="E97" s="432">
        <f>SUM(E91:E96)</f>
        <v>16956.75</v>
      </c>
      <c r="F97" s="432">
        <f>SUM(F91:F96)</f>
        <v>5150</v>
      </c>
      <c r="G97" s="432">
        <f>SUM(G91:G96)</f>
        <v>22106.75</v>
      </c>
      <c r="H97" s="396"/>
      <c r="I97" s="396"/>
      <c r="J97" s="396"/>
      <c r="K97" s="396"/>
      <c r="M97" s="445"/>
      <c r="N97" s="313" t="s">
        <v>105</v>
      </c>
      <c r="P97" s="523">
        <f>SUM(P91:P96)</f>
        <v>17755.439999999999</v>
      </c>
      <c r="Q97" s="523">
        <f>SUM(Q91:Q96)</f>
        <v>5150</v>
      </c>
      <c r="R97" s="523">
        <f>SUM(R91:R96)</f>
        <v>22905.439999999995</v>
      </c>
      <c r="S97" s="396"/>
      <c r="T97" s="396"/>
      <c r="U97" s="396"/>
      <c r="V97" s="396"/>
    </row>
    <row r="98" spans="1:22" s="434" customFormat="1" ht="30" customHeight="1" outlineLevel="1" thickTop="1">
      <c r="A98" s="430"/>
      <c r="B98" s="459" t="s">
        <v>277</v>
      </c>
      <c r="C98" s="430"/>
      <c r="E98" s="428"/>
      <c r="F98" s="428"/>
      <c r="G98" s="428"/>
      <c r="H98" s="436"/>
      <c r="I98" s="436"/>
      <c r="J98" s="436"/>
      <c r="K98" s="436"/>
      <c r="M98" s="459" t="s">
        <v>277</v>
      </c>
      <c r="N98" s="312"/>
      <c r="P98" s="518"/>
      <c r="Q98" s="518"/>
      <c r="R98" s="518"/>
      <c r="S98" s="436"/>
      <c r="T98" s="436"/>
      <c r="U98" s="436"/>
      <c r="V98" s="436"/>
    </row>
    <row r="99" spans="1:22" s="431" customFormat="1" ht="30" customHeight="1" outlineLevel="1">
      <c r="A99" s="356" t="e">
        <f>A96+1</f>
        <v>#REF!</v>
      </c>
      <c r="B99" s="429" t="s">
        <v>425</v>
      </c>
      <c r="C99" s="437" t="s">
        <v>103</v>
      </c>
      <c r="D99" s="437" t="s">
        <v>8</v>
      </c>
      <c r="E99" s="460">
        <v>2856.35</v>
      </c>
      <c r="F99" s="460">
        <f>500</f>
        <v>500</v>
      </c>
      <c r="G99" s="460">
        <f>+E99+F99</f>
        <v>3356.35</v>
      </c>
      <c r="H99" s="439">
        <v>0.4</v>
      </c>
      <c r="I99" s="439">
        <v>0.4</v>
      </c>
      <c r="J99" s="439">
        <v>0.2</v>
      </c>
      <c r="K99" s="439">
        <f>SUM(H99:J99)</f>
        <v>1</v>
      </c>
      <c r="M99" s="429" t="s">
        <v>425</v>
      </c>
      <c r="N99" s="314" t="s">
        <v>103</v>
      </c>
      <c r="O99" s="437" t="s">
        <v>8</v>
      </c>
      <c r="P99" s="509">
        <v>2959.24</v>
      </c>
      <c r="Q99" s="510">
        <f>500</f>
        <v>500</v>
      </c>
      <c r="R99" s="510">
        <f>+P99+Q99</f>
        <v>3459.24</v>
      </c>
      <c r="S99" s="439">
        <v>0.4</v>
      </c>
      <c r="T99" s="439">
        <v>0.4</v>
      </c>
      <c r="U99" s="439">
        <v>0.2</v>
      </c>
      <c r="V99" s="439">
        <f>SUM(S99:U99)</f>
        <v>1</v>
      </c>
    </row>
    <row r="100" spans="1:22" s="356" customFormat="1" ht="30" customHeight="1" outlineLevel="1">
      <c r="A100" s="356" t="e">
        <f>+#REF!+1</f>
        <v>#REF!</v>
      </c>
      <c r="B100" s="357" t="s">
        <v>519</v>
      </c>
      <c r="C100" s="358" t="s">
        <v>107</v>
      </c>
      <c r="D100" s="358" t="s">
        <v>9</v>
      </c>
      <c r="E100" s="360">
        <v>2825.1</v>
      </c>
      <c r="F100" s="360">
        <f>250+150</f>
        <v>400</v>
      </c>
      <c r="G100" s="360">
        <f>+E100+F100</f>
        <v>3225.1</v>
      </c>
      <c r="H100" s="365">
        <v>0</v>
      </c>
      <c r="I100" s="365">
        <v>1</v>
      </c>
      <c r="J100" s="365">
        <v>0</v>
      </c>
      <c r="K100" s="365">
        <f>SUM(H100:J100)</f>
        <v>1</v>
      </c>
      <c r="M100" s="357" t="s">
        <v>519</v>
      </c>
      <c r="N100" s="305" t="s">
        <v>107</v>
      </c>
      <c r="O100" s="358" t="s">
        <v>9</v>
      </c>
      <c r="P100" s="509">
        <v>2959.24</v>
      </c>
      <c r="Q100" s="510">
        <f>250+150</f>
        <v>400</v>
      </c>
      <c r="R100" s="510">
        <f>+P100+Q100</f>
        <v>3359.24</v>
      </c>
      <c r="S100" s="365">
        <v>0</v>
      </c>
      <c r="T100" s="365">
        <v>1</v>
      </c>
      <c r="U100" s="365">
        <v>0</v>
      </c>
      <c r="V100" s="365">
        <f>SUM(S100:U100)</f>
        <v>1</v>
      </c>
    </row>
    <row r="101" spans="1:22" s="356" customFormat="1" ht="30" customHeight="1" outlineLevel="1">
      <c r="A101" s="356" t="e">
        <f>+A100+1</f>
        <v>#REF!</v>
      </c>
      <c r="B101" s="357" t="s">
        <v>566</v>
      </c>
      <c r="C101" s="358" t="s">
        <v>107</v>
      </c>
      <c r="D101" s="358" t="s">
        <v>8</v>
      </c>
      <c r="E101" s="360">
        <v>2825.1</v>
      </c>
      <c r="F101" s="360">
        <v>250</v>
      </c>
      <c r="G101" s="360">
        <f>+E101+F101</f>
        <v>3075.1</v>
      </c>
      <c r="H101" s="365">
        <v>0.6</v>
      </c>
      <c r="I101" s="365">
        <v>0.4</v>
      </c>
      <c r="J101" s="365">
        <v>0</v>
      </c>
      <c r="K101" s="365">
        <f>SUM(H101:J101)</f>
        <v>1</v>
      </c>
      <c r="M101" s="357" t="s">
        <v>566</v>
      </c>
      <c r="N101" s="305" t="s">
        <v>107</v>
      </c>
      <c r="O101" s="358" t="s">
        <v>8</v>
      </c>
      <c r="P101" s="509">
        <v>2959.24</v>
      </c>
      <c r="Q101" s="510">
        <v>250</v>
      </c>
      <c r="R101" s="510">
        <f>+P101+Q101</f>
        <v>3209.24</v>
      </c>
      <c r="S101" s="365">
        <v>0.6</v>
      </c>
      <c r="T101" s="365">
        <v>0.4</v>
      </c>
      <c r="U101" s="365">
        <v>0</v>
      </c>
      <c r="V101" s="365">
        <f>SUM(S101:U101)</f>
        <v>1</v>
      </c>
    </row>
    <row r="102" spans="1:22" s="446" customFormat="1" ht="30" customHeight="1" outlineLevel="1">
      <c r="A102" s="356" t="e">
        <f>+A101+1</f>
        <v>#REF!</v>
      </c>
      <c r="B102" s="357" t="s">
        <v>537</v>
      </c>
      <c r="C102" s="358" t="s">
        <v>103</v>
      </c>
      <c r="D102" s="358" t="s">
        <v>8</v>
      </c>
      <c r="E102" s="360">
        <v>2856.35</v>
      </c>
      <c r="F102" s="360">
        <f>500</f>
        <v>500</v>
      </c>
      <c r="G102" s="360">
        <f>+E102+F102</f>
        <v>3356.35</v>
      </c>
      <c r="H102" s="361">
        <v>1</v>
      </c>
      <c r="I102" s="361">
        <v>0</v>
      </c>
      <c r="J102" s="361">
        <v>0</v>
      </c>
      <c r="K102" s="361">
        <f>SUM(H102:J102)</f>
        <v>1</v>
      </c>
      <c r="M102" s="357" t="s">
        <v>537</v>
      </c>
      <c r="N102" s="305" t="s">
        <v>103</v>
      </c>
      <c r="O102" s="358" t="s">
        <v>8</v>
      </c>
      <c r="P102" s="509">
        <v>2959.24</v>
      </c>
      <c r="Q102" s="510">
        <f>500</f>
        <v>500</v>
      </c>
      <c r="R102" s="510">
        <f>+P102+Q102</f>
        <v>3459.24</v>
      </c>
      <c r="S102" s="361">
        <v>1</v>
      </c>
      <c r="T102" s="361">
        <v>0</v>
      </c>
      <c r="U102" s="361">
        <v>0</v>
      </c>
      <c r="V102" s="361">
        <f>SUM(S102:U102)</f>
        <v>1</v>
      </c>
    </row>
    <row r="103" spans="1:22" s="402" customFormat="1" ht="30" customHeight="1" outlineLevel="1">
      <c r="A103" s="356" t="e">
        <f>+A102+1</f>
        <v>#REF!</v>
      </c>
      <c r="B103" s="461" t="s">
        <v>540</v>
      </c>
      <c r="C103" s="404" t="s">
        <v>501</v>
      </c>
      <c r="D103" s="404" t="s">
        <v>8</v>
      </c>
      <c r="E103" s="462">
        <v>2825.1</v>
      </c>
      <c r="F103" s="462">
        <v>250</v>
      </c>
      <c r="G103" s="462">
        <f>+E103+F103</f>
        <v>3075.1</v>
      </c>
      <c r="H103" s="408">
        <v>1</v>
      </c>
      <c r="I103" s="408">
        <v>0</v>
      </c>
      <c r="J103" s="408">
        <v>0</v>
      </c>
      <c r="K103" s="408">
        <f>SUM(H103:J103)</f>
        <v>1</v>
      </c>
      <c r="M103" s="461" t="s">
        <v>540</v>
      </c>
      <c r="N103" s="311" t="s">
        <v>501</v>
      </c>
      <c r="O103" s="404" t="s">
        <v>8</v>
      </c>
      <c r="P103" s="509">
        <v>2959.24</v>
      </c>
      <c r="Q103" s="510">
        <v>250</v>
      </c>
      <c r="R103" s="510">
        <f>+P103+Q103</f>
        <v>3209.24</v>
      </c>
      <c r="S103" s="408">
        <v>1</v>
      </c>
      <c r="T103" s="408">
        <v>0</v>
      </c>
      <c r="U103" s="408">
        <v>0</v>
      </c>
      <c r="V103" s="408">
        <f>SUM(S103:U103)</f>
        <v>1</v>
      </c>
    </row>
    <row r="104" spans="1:22" s="431" customFormat="1" ht="30" customHeight="1" outlineLevel="1">
      <c r="A104" s="430"/>
      <c r="B104" s="445"/>
      <c r="C104" s="446" t="s">
        <v>108</v>
      </c>
      <c r="E104" s="463">
        <f>SUM(E99:E103)</f>
        <v>14188</v>
      </c>
      <c r="F104" s="463">
        <f>SUM(F99:F103)</f>
        <v>1900</v>
      </c>
      <c r="G104" s="463">
        <f>SUM(G99:G103)</f>
        <v>16088</v>
      </c>
      <c r="H104" s="433"/>
      <c r="I104" s="433"/>
      <c r="J104" s="433"/>
      <c r="K104" s="433" t="s">
        <v>52</v>
      </c>
      <c r="M104" s="445"/>
      <c r="N104" s="315" t="s">
        <v>108</v>
      </c>
      <c r="P104" s="514">
        <f>SUM(P99:P103)</f>
        <v>14796.199999999999</v>
      </c>
      <c r="Q104" s="514">
        <f>SUM(Q99:Q103)</f>
        <v>1900</v>
      </c>
      <c r="R104" s="514">
        <f>SUM(R99:R103)</f>
        <v>16696.199999999997</v>
      </c>
      <c r="S104" s="433"/>
      <c r="T104" s="433"/>
      <c r="U104" s="433"/>
      <c r="V104" s="433" t="s">
        <v>52</v>
      </c>
    </row>
    <row r="105" spans="1:22" s="431" customFormat="1" ht="30" customHeight="1" outlineLevel="1" thickBot="1">
      <c r="A105" s="430"/>
      <c r="B105" s="324"/>
      <c r="C105" s="446" t="s">
        <v>109</v>
      </c>
      <c r="E105" s="464">
        <f>SUM(E97+E104)</f>
        <v>31144.75</v>
      </c>
      <c r="F105" s="464">
        <f>SUM(F97+F104)</f>
        <v>7050</v>
      </c>
      <c r="G105" s="464">
        <f>SUM(G97+G104)</f>
        <v>38194.75</v>
      </c>
      <c r="H105" s="433"/>
      <c r="I105" s="433"/>
      <c r="J105" s="433"/>
      <c r="K105" s="433" t="s">
        <v>52</v>
      </c>
      <c r="M105" s="324"/>
      <c r="N105" s="315" t="s">
        <v>109</v>
      </c>
      <c r="P105" s="513">
        <f>SUM(P97+P104)</f>
        <v>32551.64</v>
      </c>
      <c r="Q105" s="513">
        <f>SUM(Q97+Q104)</f>
        <v>7050</v>
      </c>
      <c r="R105" s="513">
        <f>SUM(R97+R104)</f>
        <v>39601.639999999992</v>
      </c>
      <c r="S105" s="433"/>
      <c r="T105" s="433"/>
      <c r="U105" s="433"/>
      <c r="V105" s="433" t="s">
        <v>52</v>
      </c>
    </row>
    <row r="106" spans="1:22" s="434" customFormat="1" ht="30" customHeight="1" outlineLevel="1" thickTop="1">
      <c r="A106" s="430"/>
      <c r="B106" s="351" t="s">
        <v>110</v>
      </c>
      <c r="C106" s="430"/>
      <c r="E106" s="428"/>
      <c r="F106" s="428"/>
      <c r="G106" s="428"/>
      <c r="H106" s="436"/>
      <c r="I106" s="436"/>
      <c r="J106" s="436"/>
      <c r="K106" s="436">
        <f>SUM(H106:J106)</f>
        <v>0</v>
      </c>
      <c r="M106" s="351" t="s">
        <v>110</v>
      </c>
      <c r="N106" s="312"/>
      <c r="P106" s="518"/>
      <c r="Q106" s="518"/>
      <c r="R106" s="518"/>
      <c r="S106" s="436"/>
      <c r="T106" s="436"/>
      <c r="U106" s="436"/>
      <c r="V106" s="436">
        <f>SUM(S106:U106)</f>
        <v>0</v>
      </c>
    </row>
    <row r="107" spans="1:22" s="434" customFormat="1" ht="30" customHeight="1" outlineLevel="1">
      <c r="A107" s="430" t="e">
        <f>+#REF!+1</f>
        <v>#REF!</v>
      </c>
      <c r="B107" s="429" t="s">
        <v>468</v>
      </c>
      <c r="C107" s="437" t="s">
        <v>487</v>
      </c>
      <c r="D107" s="449" t="s">
        <v>9</v>
      </c>
      <c r="E107" s="370">
        <v>2825.1</v>
      </c>
      <c r="F107" s="418">
        <v>250</v>
      </c>
      <c r="G107" s="438">
        <f>+E107+F107</f>
        <v>3075.1</v>
      </c>
      <c r="H107" s="450">
        <v>0.5</v>
      </c>
      <c r="I107" s="450">
        <v>0.25</v>
      </c>
      <c r="J107" s="450">
        <v>0.25</v>
      </c>
      <c r="K107" s="439">
        <f>SUM(H107:J107)</f>
        <v>1</v>
      </c>
      <c r="M107" s="429" t="s">
        <v>468</v>
      </c>
      <c r="N107" s="314" t="s">
        <v>487</v>
      </c>
      <c r="O107" s="449" t="s">
        <v>9</v>
      </c>
      <c r="P107" s="509">
        <v>2959.24</v>
      </c>
      <c r="Q107" s="510">
        <v>250</v>
      </c>
      <c r="R107" s="510">
        <f>+P107+Q107</f>
        <v>3209.24</v>
      </c>
      <c r="S107" s="450">
        <v>0.5</v>
      </c>
      <c r="T107" s="450">
        <v>0.25</v>
      </c>
      <c r="U107" s="450">
        <v>0.25</v>
      </c>
      <c r="V107" s="439">
        <f>SUM(S107:U107)</f>
        <v>1</v>
      </c>
    </row>
    <row r="108" spans="1:22" s="417" customFormat="1" ht="30" customHeight="1" outlineLevel="1" thickBot="1">
      <c r="A108" s="344"/>
      <c r="B108" s="324"/>
      <c r="C108" s="394" t="s">
        <v>113</v>
      </c>
      <c r="E108" s="410">
        <f>SUM(E107:E107)</f>
        <v>2825.1</v>
      </c>
      <c r="F108" s="411">
        <f>SUM(F107:F107)</f>
        <v>250</v>
      </c>
      <c r="G108" s="411">
        <f>SUM(G107:G107)</f>
        <v>3075.1</v>
      </c>
      <c r="H108" s="401"/>
      <c r="I108" s="401"/>
      <c r="J108" s="401"/>
      <c r="K108" s="401"/>
      <c r="M108" s="324"/>
      <c r="N108" s="309" t="s">
        <v>113</v>
      </c>
      <c r="P108" s="519">
        <f>SUM(P107:P107)</f>
        <v>2959.24</v>
      </c>
      <c r="Q108" s="520">
        <f>SUM(Q107:Q107)</f>
        <v>250</v>
      </c>
      <c r="R108" s="520">
        <f>SUM(R107:R107)</f>
        <v>3209.24</v>
      </c>
      <c r="S108" s="401"/>
      <c r="T108" s="401"/>
      <c r="U108" s="401"/>
      <c r="V108" s="401"/>
    </row>
    <row r="109" spans="1:22" s="400" customFormat="1" ht="30" customHeight="1" outlineLevel="1" thickTop="1">
      <c r="A109" s="398"/>
      <c r="B109" s="324"/>
      <c r="C109" s="394" t="s">
        <v>114</v>
      </c>
      <c r="D109" s="417"/>
      <c r="E109" s="425"/>
      <c r="F109" s="425"/>
      <c r="G109" s="425"/>
      <c r="H109" s="401"/>
      <c r="I109" s="401"/>
      <c r="J109" s="401"/>
      <c r="K109" s="401"/>
      <c r="L109" s="417"/>
      <c r="M109" s="324"/>
      <c r="N109" s="309" t="s">
        <v>114</v>
      </c>
      <c r="O109" s="417"/>
      <c r="P109" s="518">
        <f>SUM(+P49+P68+P83+P88+P97+P104+P108)</f>
        <v>130206.55999999997</v>
      </c>
      <c r="Q109" s="518">
        <f>SUM(+Q49+Q68+Q83+Q88+Q97+Q104+Q108)</f>
        <v>15300</v>
      </c>
      <c r="R109" s="518">
        <f>SUM(+R49+R68+R83+R88+R97+R104+R108)</f>
        <v>145238.27999999997</v>
      </c>
      <c r="S109" s="401"/>
      <c r="T109" s="401"/>
      <c r="U109" s="401"/>
      <c r="V109" s="401"/>
    </row>
    <row r="110" spans="1:22" s="400" customFormat="1" ht="30" customHeight="1" outlineLevel="1">
      <c r="A110" s="398"/>
      <c r="B110" s="324"/>
      <c r="C110" s="394"/>
      <c r="D110" s="417"/>
      <c r="E110" s="399"/>
      <c r="H110" s="401"/>
      <c r="I110" s="401"/>
      <c r="J110" s="401"/>
      <c r="K110" s="401"/>
      <c r="L110" s="417"/>
      <c r="M110" s="324"/>
      <c r="N110" s="309"/>
      <c r="O110" s="417"/>
      <c r="P110" s="518"/>
      <c r="Q110" s="516"/>
      <c r="R110" s="516"/>
      <c r="S110" s="401"/>
      <c r="T110" s="401"/>
      <c r="U110" s="401"/>
      <c r="V110" s="401"/>
    </row>
    <row r="111" spans="1:22" s="400" customFormat="1" ht="30" customHeight="1" outlineLevel="1">
      <c r="A111" s="398"/>
      <c r="B111" s="324" t="s">
        <v>115</v>
      </c>
      <c r="C111" s="394"/>
      <c r="D111" s="417"/>
      <c r="E111" s="399"/>
      <c r="H111" s="401"/>
      <c r="I111" s="401"/>
      <c r="J111" s="401"/>
      <c r="K111" s="401"/>
      <c r="L111" s="417"/>
      <c r="M111" s="324" t="s">
        <v>115</v>
      </c>
      <c r="N111" s="309"/>
      <c r="O111" s="417"/>
      <c r="P111" s="518"/>
      <c r="Q111" s="516"/>
      <c r="R111" s="516"/>
      <c r="S111" s="401"/>
      <c r="T111" s="401"/>
      <c r="U111" s="401"/>
      <c r="V111" s="401"/>
    </row>
    <row r="112" spans="1:22" s="400" customFormat="1" ht="30" customHeight="1" outlineLevel="1">
      <c r="A112" s="398"/>
      <c r="B112" s="351" t="s">
        <v>116</v>
      </c>
      <c r="C112" s="374"/>
      <c r="D112" s="417"/>
      <c r="E112" s="399"/>
      <c r="H112" s="401"/>
      <c r="I112" s="401"/>
      <c r="J112" s="401"/>
      <c r="K112" s="401"/>
      <c r="L112" s="417"/>
      <c r="M112" s="351" t="s">
        <v>116</v>
      </c>
      <c r="N112" s="307"/>
      <c r="O112" s="417"/>
      <c r="P112" s="518"/>
      <c r="Q112" s="516"/>
      <c r="R112" s="516"/>
      <c r="S112" s="401"/>
      <c r="T112" s="401"/>
      <c r="U112" s="401"/>
      <c r="V112" s="401"/>
    </row>
    <row r="113" spans="1:102" s="400" customFormat="1" ht="30" customHeight="1" outlineLevel="1">
      <c r="A113" s="398"/>
      <c r="B113" s="351" t="s">
        <v>198</v>
      </c>
      <c r="C113" s="374"/>
      <c r="D113" s="417"/>
      <c r="E113" s="399"/>
      <c r="H113" s="401"/>
      <c r="I113" s="401"/>
      <c r="J113" s="401"/>
      <c r="K113" s="401"/>
      <c r="L113" s="417"/>
      <c r="M113" s="351" t="s">
        <v>198</v>
      </c>
      <c r="N113" s="307"/>
      <c r="O113" s="417"/>
      <c r="P113" s="518"/>
      <c r="Q113" s="516"/>
      <c r="R113" s="516"/>
      <c r="S113" s="401"/>
      <c r="T113" s="401"/>
      <c r="U113" s="401"/>
      <c r="V113" s="401"/>
    </row>
    <row r="114" spans="1:102" s="457" customFormat="1" ht="30" customHeight="1" outlineLevel="1">
      <c r="A114" s="382" t="e">
        <f>#REF!+1</f>
        <v>#REF!</v>
      </c>
      <c r="B114" s="357" t="s">
        <v>546</v>
      </c>
      <c r="C114" s="358" t="s">
        <v>547</v>
      </c>
      <c r="D114" s="358" t="s">
        <v>9</v>
      </c>
      <c r="E114" s="360">
        <v>2825.1</v>
      </c>
      <c r="F114" s="364">
        <v>250</v>
      </c>
      <c r="G114" s="364">
        <f>+E114+F114</f>
        <v>3075.1</v>
      </c>
      <c r="H114" s="443"/>
      <c r="I114" s="443">
        <v>1</v>
      </c>
      <c r="J114" s="443"/>
      <c r="K114" s="365">
        <f>SUM(H114:J114)</f>
        <v>1</v>
      </c>
      <c r="M114" s="357" t="s">
        <v>546</v>
      </c>
      <c r="N114" s="305" t="s">
        <v>547</v>
      </c>
      <c r="O114" s="358" t="s">
        <v>9</v>
      </c>
      <c r="P114" s="509">
        <v>2959.24</v>
      </c>
      <c r="Q114" s="510">
        <v>250</v>
      </c>
      <c r="R114" s="510">
        <f>+P114+Q114</f>
        <v>3209.24</v>
      </c>
      <c r="S114" s="443"/>
      <c r="T114" s="443">
        <v>1</v>
      </c>
      <c r="U114" s="443"/>
      <c r="V114" s="365">
        <f>SUM(S114:U114)</f>
        <v>1</v>
      </c>
    </row>
    <row r="115" spans="1:102" s="374" customFormat="1" ht="30" customHeight="1" outlineLevel="1">
      <c r="A115" s="344"/>
      <c r="B115" s="324"/>
      <c r="C115" s="374" t="s">
        <v>117</v>
      </c>
      <c r="E115" s="377">
        <f>+SUM(E114:E114)</f>
        <v>2825.1</v>
      </c>
      <c r="F115" s="465">
        <f>+SUM(F114:F114)</f>
        <v>250</v>
      </c>
      <c r="G115" s="465">
        <f>+SUM(G114:G114)</f>
        <v>3075.1</v>
      </c>
      <c r="H115" s="466"/>
      <c r="J115" s="466"/>
      <c r="K115" s="427"/>
      <c r="M115" s="324"/>
      <c r="N115" s="307" t="s">
        <v>117</v>
      </c>
      <c r="P115" s="514">
        <f>+SUM(P114:P114)</f>
        <v>2959.24</v>
      </c>
      <c r="Q115" s="515">
        <f>+SUM(Q114:Q114)</f>
        <v>250</v>
      </c>
      <c r="R115" s="515">
        <f>+SUM(R114:R114)</f>
        <v>3209.24</v>
      </c>
      <c r="S115" s="466"/>
      <c r="U115" s="466"/>
      <c r="V115" s="427"/>
    </row>
    <row r="116" spans="1:102" s="380" customFormat="1" ht="30" customHeight="1" outlineLevel="1">
      <c r="A116" s="344"/>
      <c r="B116" s="331"/>
      <c r="C116" s="344"/>
      <c r="D116" s="350"/>
      <c r="E116" s="379"/>
      <c r="H116" s="376"/>
      <c r="I116" s="350"/>
      <c r="J116" s="376"/>
      <c r="K116" s="424"/>
      <c r="L116" s="350"/>
      <c r="M116" s="331"/>
      <c r="N116" s="302"/>
      <c r="O116" s="350"/>
      <c r="P116" s="514"/>
      <c r="Q116" s="515"/>
      <c r="R116" s="515"/>
      <c r="S116" s="376"/>
      <c r="T116" s="350"/>
      <c r="U116" s="376"/>
      <c r="V116" s="424"/>
      <c r="W116" s="350"/>
      <c r="X116" s="350"/>
      <c r="Y116" s="350"/>
      <c r="Z116" s="350"/>
      <c r="AA116" s="350"/>
      <c r="AB116" s="350"/>
      <c r="AC116" s="350"/>
      <c r="AD116" s="350"/>
      <c r="AE116" s="350"/>
      <c r="AF116" s="350"/>
      <c r="AG116" s="350"/>
      <c r="AH116" s="350"/>
      <c r="AI116" s="350"/>
      <c r="AJ116" s="350"/>
      <c r="AK116" s="350"/>
      <c r="AL116" s="350"/>
      <c r="AM116" s="350"/>
      <c r="AN116" s="350"/>
      <c r="AO116" s="350"/>
      <c r="AP116" s="350"/>
      <c r="AQ116" s="350"/>
      <c r="AR116" s="350"/>
      <c r="AS116" s="350"/>
      <c r="AT116" s="350"/>
      <c r="AU116" s="350"/>
      <c r="AV116" s="350"/>
      <c r="AW116" s="350"/>
      <c r="AX116" s="350"/>
      <c r="AY116" s="350"/>
      <c r="AZ116" s="350"/>
      <c r="BA116" s="350"/>
      <c r="BB116" s="350"/>
      <c r="BC116" s="350"/>
      <c r="BD116" s="350"/>
      <c r="BE116" s="350"/>
      <c r="BF116" s="350"/>
      <c r="BG116" s="350"/>
      <c r="BH116" s="350"/>
      <c r="BI116" s="350"/>
      <c r="BJ116" s="350"/>
      <c r="BK116" s="350"/>
      <c r="BL116" s="350"/>
      <c r="BM116" s="350"/>
      <c r="BN116" s="350"/>
      <c r="BO116" s="350"/>
      <c r="BP116" s="350"/>
      <c r="BQ116" s="350"/>
      <c r="BR116" s="350"/>
      <c r="BS116" s="350"/>
      <c r="BT116" s="350"/>
      <c r="BU116" s="350"/>
      <c r="BV116" s="350"/>
      <c r="BW116" s="350"/>
      <c r="BX116" s="350"/>
      <c r="BY116" s="350"/>
      <c r="BZ116" s="350"/>
      <c r="CA116" s="350"/>
      <c r="CB116" s="350"/>
      <c r="CC116" s="350"/>
      <c r="CD116" s="350"/>
      <c r="CE116" s="350"/>
      <c r="CF116" s="350"/>
      <c r="CG116" s="350"/>
      <c r="CH116" s="350"/>
      <c r="CI116" s="350"/>
      <c r="CJ116" s="350"/>
      <c r="CK116" s="350"/>
      <c r="CL116" s="350"/>
      <c r="CM116" s="350"/>
      <c r="CN116" s="350"/>
      <c r="CO116" s="350"/>
      <c r="CP116" s="350"/>
      <c r="CQ116" s="350"/>
      <c r="CR116" s="350"/>
      <c r="CS116" s="350"/>
      <c r="CT116" s="350"/>
      <c r="CU116" s="350"/>
      <c r="CV116" s="350"/>
      <c r="CW116" s="350"/>
      <c r="CX116" s="350"/>
    </row>
    <row r="117" spans="1:102" s="400" customFormat="1" ht="30" customHeight="1" outlineLevel="1">
      <c r="A117" s="398"/>
      <c r="B117" s="324"/>
      <c r="C117" s="394"/>
      <c r="D117" s="417"/>
      <c r="E117" s="399"/>
      <c r="H117" s="401"/>
      <c r="I117" s="401"/>
      <c r="J117" s="401"/>
      <c r="K117" s="401"/>
      <c r="L117" s="417"/>
      <c r="M117" s="324"/>
      <c r="N117" s="309"/>
      <c r="O117" s="417"/>
      <c r="P117" s="518"/>
      <c r="Q117" s="516"/>
      <c r="R117" s="516"/>
      <c r="S117" s="401"/>
      <c r="T117" s="401"/>
      <c r="U117" s="401"/>
      <c r="V117" s="401"/>
      <c r="W117" s="417"/>
      <c r="X117" s="417"/>
      <c r="Y117" s="417"/>
      <c r="Z117" s="417"/>
      <c r="AA117" s="417"/>
      <c r="AB117" s="417"/>
      <c r="AC117" s="417"/>
      <c r="AD117" s="417"/>
      <c r="AE117" s="417"/>
      <c r="AF117" s="417"/>
      <c r="AG117" s="417"/>
      <c r="AH117" s="417"/>
      <c r="AI117" s="417"/>
      <c r="AJ117" s="417"/>
      <c r="AK117" s="417"/>
      <c r="AL117" s="417"/>
      <c r="AM117" s="417"/>
      <c r="AN117" s="417"/>
      <c r="AO117" s="417"/>
      <c r="AP117" s="417"/>
      <c r="AQ117" s="417"/>
      <c r="AR117" s="417"/>
      <c r="AS117" s="417"/>
      <c r="AT117" s="417"/>
      <c r="AU117" s="417"/>
      <c r="AV117" s="417"/>
      <c r="AW117" s="417"/>
      <c r="AX117" s="417"/>
      <c r="AY117" s="417"/>
      <c r="AZ117" s="417"/>
      <c r="BA117" s="417"/>
      <c r="BB117" s="417"/>
      <c r="BC117" s="417"/>
      <c r="BD117" s="417"/>
      <c r="BE117" s="417"/>
      <c r="BF117" s="417"/>
      <c r="BG117" s="417"/>
      <c r="BH117" s="417"/>
      <c r="BI117" s="417"/>
      <c r="BJ117" s="417"/>
      <c r="BK117" s="417"/>
      <c r="BL117" s="417"/>
      <c r="BM117" s="417"/>
      <c r="BN117" s="417"/>
      <c r="BO117" s="417"/>
      <c r="BP117" s="417"/>
      <c r="BQ117" s="417"/>
      <c r="BR117" s="417"/>
      <c r="BS117" s="417"/>
      <c r="BT117" s="417"/>
      <c r="BU117" s="417"/>
      <c r="BV117" s="417"/>
      <c r="BW117" s="417"/>
      <c r="BX117" s="417"/>
      <c r="BY117" s="417"/>
      <c r="BZ117" s="417"/>
      <c r="CA117" s="417"/>
      <c r="CB117" s="417"/>
      <c r="CC117" s="417"/>
      <c r="CD117" s="417"/>
      <c r="CE117" s="417"/>
      <c r="CF117" s="417"/>
      <c r="CG117" s="417"/>
      <c r="CH117" s="417"/>
      <c r="CI117" s="417"/>
      <c r="CJ117" s="417"/>
      <c r="CK117" s="417"/>
      <c r="CL117" s="417"/>
      <c r="CM117" s="417"/>
      <c r="CN117" s="417"/>
      <c r="CO117" s="417"/>
      <c r="CP117" s="417"/>
      <c r="CQ117" s="417"/>
      <c r="CR117" s="417"/>
      <c r="CS117" s="417"/>
      <c r="CT117" s="417"/>
      <c r="CU117" s="417"/>
      <c r="CV117" s="417"/>
      <c r="CW117" s="417"/>
      <c r="CX117" s="417"/>
    </row>
    <row r="118" spans="1:102" s="400" customFormat="1" ht="30" customHeight="1" outlineLevel="1">
      <c r="A118" s="398"/>
      <c r="B118" s="351" t="s">
        <v>350</v>
      </c>
      <c r="C118" s="394"/>
      <c r="D118" s="417"/>
      <c r="E118" s="399"/>
      <c r="H118" s="401"/>
      <c r="I118" s="401"/>
      <c r="J118" s="401"/>
      <c r="K118" s="401"/>
      <c r="L118" s="417"/>
      <c r="M118" s="351" t="s">
        <v>350</v>
      </c>
      <c r="N118" s="309"/>
      <c r="O118" s="417"/>
      <c r="P118" s="518"/>
      <c r="Q118" s="516"/>
      <c r="R118" s="516"/>
      <c r="S118" s="401"/>
      <c r="T118" s="401"/>
      <c r="U118" s="401"/>
      <c r="V118" s="401"/>
      <c r="W118" s="417"/>
      <c r="X118" s="417"/>
      <c r="Y118" s="417"/>
      <c r="Z118" s="417"/>
      <c r="AA118" s="417"/>
      <c r="AB118" s="417"/>
      <c r="AC118" s="417"/>
      <c r="AD118" s="417"/>
      <c r="AE118" s="417"/>
      <c r="AF118" s="417"/>
      <c r="AG118" s="417"/>
      <c r="AH118" s="417"/>
      <c r="AI118" s="417"/>
      <c r="AJ118" s="417"/>
      <c r="AK118" s="417"/>
      <c r="AL118" s="417"/>
      <c r="AM118" s="417"/>
      <c r="AN118" s="417"/>
      <c r="AO118" s="417"/>
      <c r="AP118" s="417"/>
      <c r="AQ118" s="417"/>
      <c r="AR118" s="417"/>
      <c r="AS118" s="417"/>
      <c r="AT118" s="417"/>
      <c r="AU118" s="417"/>
      <c r="AV118" s="417"/>
      <c r="AW118" s="417"/>
      <c r="AX118" s="417"/>
      <c r="AY118" s="417"/>
      <c r="AZ118" s="417"/>
      <c r="BA118" s="417"/>
      <c r="BB118" s="417"/>
      <c r="BC118" s="417"/>
      <c r="BD118" s="417"/>
      <c r="BE118" s="417"/>
      <c r="BF118" s="417"/>
      <c r="BG118" s="417"/>
      <c r="BH118" s="417"/>
      <c r="BI118" s="417"/>
      <c r="BJ118" s="417"/>
      <c r="BK118" s="417"/>
      <c r="BL118" s="417"/>
      <c r="BM118" s="417"/>
      <c r="BN118" s="417"/>
      <c r="BO118" s="417"/>
      <c r="BP118" s="417"/>
      <c r="BQ118" s="417"/>
      <c r="BR118" s="417"/>
      <c r="BS118" s="417"/>
      <c r="BT118" s="417"/>
      <c r="BU118" s="417"/>
      <c r="BV118" s="417"/>
      <c r="BW118" s="417"/>
      <c r="BX118" s="417"/>
      <c r="BY118" s="417"/>
      <c r="BZ118" s="417"/>
      <c r="CA118" s="417"/>
      <c r="CB118" s="417"/>
      <c r="CC118" s="417"/>
      <c r="CD118" s="417"/>
      <c r="CE118" s="417"/>
      <c r="CF118" s="417"/>
      <c r="CG118" s="417"/>
      <c r="CH118" s="417"/>
      <c r="CI118" s="417"/>
      <c r="CJ118" s="417"/>
      <c r="CK118" s="417"/>
      <c r="CL118" s="417"/>
      <c r="CM118" s="417"/>
      <c r="CN118" s="417"/>
      <c r="CO118" s="417"/>
      <c r="CP118" s="417"/>
      <c r="CQ118" s="417"/>
      <c r="CR118" s="417"/>
      <c r="CS118" s="417"/>
      <c r="CT118" s="417"/>
      <c r="CU118" s="417"/>
      <c r="CV118" s="417"/>
      <c r="CW118" s="417"/>
      <c r="CX118" s="417"/>
    </row>
    <row r="119" spans="1:102" s="350" customFormat="1" ht="30" customHeight="1" outlineLevel="1">
      <c r="A119" s="344"/>
      <c r="B119" s="467" t="s">
        <v>351</v>
      </c>
      <c r="C119" s="344"/>
      <c r="D119" s="382"/>
      <c r="E119" s="428"/>
      <c r="F119" s="381"/>
      <c r="G119" s="381"/>
      <c r="H119" s="427"/>
      <c r="I119" s="427"/>
      <c r="J119" s="427"/>
      <c r="K119" s="424"/>
      <c r="M119" s="467" t="s">
        <v>351</v>
      </c>
      <c r="N119" s="302"/>
      <c r="O119" s="382"/>
      <c r="P119" s="518"/>
      <c r="Q119" s="516"/>
      <c r="R119" s="516"/>
      <c r="S119" s="427"/>
      <c r="T119" s="427"/>
      <c r="U119" s="427"/>
      <c r="V119" s="424"/>
    </row>
    <row r="120" spans="1:102" s="434" customFormat="1" ht="30" customHeight="1" outlineLevel="1">
      <c r="A120" s="430" t="e">
        <f>#REF!+1</f>
        <v>#REF!</v>
      </c>
      <c r="B120" s="357" t="s">
        <v>457</v>
      </c>
      <c r="C120" s="437" t="s">
        <v>507</v>
      </c>
      <c r="D120" s="437" t="s">
        <v>9</v>
      </c>
      <c r="E120" s="370">
        <v>2825.1</v>
      </c>
      <c r="F120" s="418">
        <v>250</v>
      </c>
      <c r="G120" s="438">
        <f t="shared" ref="G120:G128" si="16">+E120+F120</f>
        <v>3075.1</v>
      </c>
      <c r="H120" s="439">
        <v>0</v>
      </c>
      <c r="I120" s="439">
        <v>0</v>
      </c>
      <c r="J120" s="439">
        <v>1</v>
      </c>
      <c r="K120" s="439">
        <f t="shared" ref="K120:K128" si="17">SUM(H120:J120)</f>
        <v>1</v>
      </c>
      <c r="M120" s="357" t="s">
        <v>457</v>
      </c>
      <c r="N120" s="314" t="s">
        <v>507</v>
      </c>
      <c r="O120" s="437" t="s">
        <v>9</v>
      </c>
      <c r="P120" s="509">
        <v>2959.24</v>
      </c>
      <c r="Q120" s="510">
        <v>250</v>
      </c>
      <c r="R120" s="510">
        <f t="shared" ref="R120:R128" si="18">+P120+Q120</f>
        <v>3209.24</v>
      </c>
      <c r="S120" s="439">
        <v>0</v>
      </c>
      <c r="T120" s="439">
        <v>0</v>
      </c>
      <c r="U120" s="439">
        <v>1</v>
      </c>
      <c r="V120" s="439">
        <f t="shared" ref="V120:V128" si="19">SUM(S120:U120)</f>
        <v>1</v>
      </c>
    </row>
    <row r="121" spans="1:102" s="434" customFormat="1" ht="30" customHeight="1" outlineLevel="1">
      <c r="A121" s="430" t="e">
        <f t="shared" ref="A121:A128" si="20">A120+1</f>
        <v>#REF!</v>
      </c>
      <c r="B121" s="429" t="s">
        <v>453</v>
      </c>
      <c r="C121" s="437" t="s">
        <v>507</v>
      </c>
      <c r="D121" s="437" t="s">
        <v>9</v>
      </c>
      <c r="E121" s="370">
        <v>2865.97</v>
      </c>
      <c r="F121" s="418">
        <v>450</v>
      </c>
      <c r="G121" s="418">
        <f t="shared" si="16"/>
        <v>3315.97</v>
      </c>
      <c r="H121" s="439">
        <v>0</v>
      </c>
      <c r="I121" s="450">
        <v>0</v>
      </c>
      <c r="J121" s="451">
        <v>1</v>
      </c>
      <c r="K121" s="439">
        <f t="shared" si="17"/>
        <v>1</v>
      </c>
      <c r="M121" s="429" t="s">
        <v>453</v>
      </c>
      <c r="N121" s="314" t="s">
        <v>507</v>
      </c>
      <c r="O121" s="437" t="s">
        <v>9</v>
      </c>
      <c r="P121" s="509">
        <v>2959.24</v>
      </c>
      <c r="Q121" s="510">
        <v>450</v>
      </c>
      <c r="R121" s="510">
        <f t="shared" si="18"/>
        <v>3409.24</v>
      </c>
      <c r="S121" s="439">
        <v>0</v>
      </c>
      <c r="T121" s="450">
        <v>0</v>
      </c>
      <c r="U121" s="451">
        <v>1</v>
      </c>
      <c r="V121" s="439">
        <f t="shared" si="19"/>
        <v>1</v>
      </c>
    </row>
    <row r="122" spans="1:102" s="434" customFormat="1" ht="30" customHeight="1" outlineLevel="1">
      <c r="A122" s="430" t="e">
        <f t="shared" si="20"/>
        <v>#REF!</v>
      </c>
      <c r="B122" s="357" t="s">
        <v>335</v>
      </c>
      <c r="C122" s="437" t="s">
        <v>507</v>
      </c>
      <c r="D122" s="437" t="s">
        <v>9</v>
      </c>
      <c r="E122" s="370">
        <v>2825.1</v>
      </c>
      <c r="F122" s="418">
        <v>250</v>
      </c>
      <c r="G122" s="438">
        <f t="shared" si="16"/>
        <v>3075.1</v>
      </c>
      <c r="H122" s="439">
        <v>0</v>
      </c>
      <c r="I122" s="439">
        <v>0</v>
      </c>
      <c r="J122" s="451">
        <v>1</v>
      </c>
      <c r="K122" s="439">
        <f t="shared" si="17"/>
        <v>1</v>
      </c>
      <c r="M122" s="357" t="s">
        <v>335</v>
      </c>
      <c r="N122" s="314" t="s">
        <v>507</v>
      </c>
      <c r="O122" s="437" t="s">
        <v>9</v>
      </c>
      <c r="P122" s="509">
        <v>2959.24</v>
      </c>
      <c r="Q122" s="510">
        <v>250</v>
      </c>
      <c r="R122" s="510">
        <f t="shared" si="18"/>
        <v>3209.24</v>
      </c>
      <c r="S122" s="439">
        <v>0</v>
      </c>
      <c r="T122" s="439">
        <v>0</v>
      </c>
      <c r="U122" s="451">
        <v>1</v>
      </c>
      <c r="V122" s="439">
        <f t="shared" si="19"/>
        <v>1</v>
      </c>
    </row>
    <row r="123" spans="1:102" s="366" customFormat="1" ht="30" customHeight="1" outlineLevel="1">
      <c r="A123" s="430" t="e">
        <f t="shared" si="20"/>
        <v>#REF!</v>
      </c>
      <c r="B123" s="357" t="s">
        <v>489</v>
      </c>
      <c r="C123" s="437" t="s">
        <v>505</v>
      </c>
      <c r="D123" s="358" t="s">
        <v>9</v>
      </c>
      <c r="E123" s="363">
        <v>2825.1</v>
      </c>
      <c r="F123" s="364">
        <f>250</f>
        <v>250</v>
      </c>
      <c r="G123" s="441">
        <f t="shared" si="16"/>
        <v>3075.1</v>
      </c>
      <c r="H123" s="365">
        <v>0</v>
      </c>
      <c r="I123" s="443">
        <v>0</v>
      </c>
      <c r="J123" s="361">
        <v>1</v>
      </c>
      <c r="K123" s="365">
        <f t="shared" si="17"/>
        <v>1</v>
      </c>
      <c r="M123" s="357" t="s">
        <v>489</v>
      </c>
      <c r="N123" s="314" t="s">
        <v>505</v>
      </c>
      <c r="O123" s="358" t="s">
        <v>9</v>
      </c>
      <c r="P123" s="509">
        <v>2959.24</v>
      </c>
      <c r="Q123" s="510">
        <f>250</f>
        <v>250</v>
      </c>
      <c r="R123" s="510">
        <f t="shared" si="18"/>
        <v>3209.24</v>
      </c>
      <c r="S123" s="365">
        <v>0</v>
      </c>
      <c r="T123" s="443">
        <v>0</v>
      </c>
      <c r="U123" s="361">
        <v>1</v>
      </c>
      <c r="V123" s="365">
        <f t="shared" si="19"/>
        <v>1</v>
      </c>
    </row>
    <row r="124" spans="1:102" s="366" customFormat="1" ht="30" customHeight="1" outlineLevel="1">
      <c r="A124" s="430" t="e">
        <f t="shared" si="20"/>
        <v>#REF!</v>
      </c>
      <c r="B124" s="357" t="s">
        <v>536</v>
      </c>
      <c r="C124" s="437" t="s">
        <v>507</v>
      </c>
      <c r="D124" s="358" t="s">
        <v>9</v>
      </c>
      <c r="E124" s="363">
        <v>2825.1</v>
      </c>
      <c r="F124" s="364">
        <f>250</f>
        <v>250</v>
      </c>
      <c r="G124" s="441">
        <f t="shared" si="16"/>
        <v>3075.1</v>
      </c>
      <c r="H124" s="365">
        <v>0</v>
      </c>
      <c r="I124" s="443">
        <v>0</v>
      </c>
      <c r="J124" s="361">
        <v>1</v>
      </c>
      <c r="K124" s="365">
        <f t="shared" si="17"/>
        <v>1</v>
      </c>
      <c r="L124" s="468"/>
      <c r="M124" s="357" t="s">
        <v>536</v>
      </c>
      <c r="N124" s="314" t="s">
        <v>507</v>
      </c>
      <c r="O124" s="358" t="s">
        <v>9</v>
      </c>
      <c r="P124" s="509">
        <v>2959.24</v>
      </c>
      <c r="Q124" s="510">
        <f>250</f>
        <v>250</v>
      </c>
      <c r="R124" s="510">
        <f t="shared" si="18"/>
        <v>3209.24</v>
      </c>
      <c r="S124" s="365">
        <v>0</v>
      </c>
      <c r="T124" s="443">
        <v>0</v>
      </c>
      <c r="U124" s="361">
        <v>1</v>
      </c>
      <c r="V124" s="365">
        <f t="shared" si="19"/>
        <v>1</v>
      </c>
    </row>
    <row r="125" spans="1:102" s="366" customFormat="1" ht="30" customHeight="1" outlineLevel="1">
      <c r="A125" s="430" t="e">
        <f t="shared" si="20"/>
        <v>#REF!</v>
      </c>
      <c r="B125" s="357" t="s">
        <v>491</v>
      </c>
      <c r="C125" s="437" t="s">
        <v>505</v>
      </c>
      <c r="D125" s="358" t="s">
        <v>9</v>
      </c>
      <c r="E125" s="363">
        <v>2825.1</v>
      </c>
      <c r="F125" s="364">
        <f>250</f>
        <v>250</v>
      </c>
      <c r="G125" s="441">
        <f t="shared" si="16"/>
        <v>3075.1</v>
      </c>
      <c r="H125" s="365">
        <v>0</v>
      </c>
      <c r="I125" s="443">
        <v>0</v>
      </c>
      <c r="J125" s="361">
        <v>1</v>
      </c>
      <c r="K125" s="365">
        <f t="shared" si="17"/>
        <v>1</v>
      </c>
      <c r="M125" s="357" t="s">
        <v>491</v>
      </c>
      <c r="N125" s="314" t="s">
        <v>505</v>
      </c>
      <c r="O125" s="358" t="s">
        <v>9</v>
      </c>
      <c r="P125" s="509">
        <v>2959.24</v>
      </c>
      <c r="Q125" s="510">
        <f>250</f>
        <v>250</v>
      </c>
      <c r="R125" s="510">
        <f t="shared" si="18"/>
        <v>3209.24</v>
      </c>
      <c r="S125" s="365">
        <v>0</v>
      </c>
      <c r="T125" s="443">
        <v>0</v>
      </c>
      <c r="U125" s="361">
        <v>1</v>
      </c>
      <c r="V125" s="365">
        <f t="shared" si="19"/>
        <v>1</v>
      </c>
    </row>
    <row r="126" spans="1:102" s="366" customFormat="1" ht="30" customHeight="1" outlineLevel="1">
      <c r="A126" s="430" t="e">
        <f t="shared" si="20"/>
        <v>#REF!</v>
      </c>
      <c r="B126" s="357" t="s">
        <v>535</v>
      </c>
      <c r="C126" s="437" t="s">
        <v>505</v>
      </c>
      <c r="D126" s="358" t="s">
        <v>9</v>
      </c>
      <c r="E126" s="363">
        <v>2825.1</v>
      </c>
      <c r="F126" s="364">
        <f>250</f>
        <v>250</v>
      </c>
      <c r="G126" s="441">
        <f t="shared" si="16"/>
        <v>3075.1</v>
      </c>
      <c r="H126" s="365">
        <v>0</v>
      </c>
      <c r="I126" s="443">
        <v>0</v>
      </c>
      <c r="J126" s="361">
        <v>1</v>
      </c>
      <c r="K126" s="365">
        <f t="shared" si="17"/>
        <v>1</v>
      </c>
      <c r="M126" s="357" t="s">
        <v>535</v>
      </c>
      <c r="N126" s="314" t="s">
        <v>505</v>
      </c>
      <c r="O126" s="358" t="s">
        <v>9</v>
      </c>
      <c r="P126" s="509">
        <v>2959.24</v>
      </c>
      <c r="Q126" s="510">
        <f>250</f>
        <v>250</v>
      </c>
      <c r="R126" s="510">
        <f t="shared" si="18"/>
        <v>3209.24</v>
      </c>
      <c r="S126" s="365">
        <v>0</v>
      </c>
      <c r="T126" s="443">
        <v>0</v>
      </c>
      <c r="U126" s="361">
        <v>1</v>
      </c>
      <c r="V126" s="365">
        <f t="shared" si="19"/>
        <v>1</v>
      </c>
    </row>
    <row r="127" spans="1:102" s="434" customFormat="1" ht="30" customHeight="1" outlineLevel="1">
      <c r="A127" s="430" t="e">
        <f>+A126+1</f>
        <v>#REF!</v>
      </c>
      <c r="B127" s="429" t="s">
        <v>445</v>
      </c>
      <c r="C127" s="437" t="s">
        <v>505</v>
      </c>
      <c r="D127" s="437" t="s">
        <v>9</v>
      </c>
      <c r="E127" s="370">
        <v>2825.1</v>
      </c>
      <c r="F127" s="418">
        <v>250</v>
      </c>
      <c r="G127" s="438">
        <f t="shared" si="16"/>
        <v>3075.1</v>
      </c>
      <c r="H127" s="450">
        <v>0</v>
      </c>
      <c r="I127" s="439">
        <v>0</v>
      </c>
      <c r="J127" s="451">
        <v>1</v>
      </c>
      <c r="K127" s="439">
        <f t="shared" si="17"/>
        <v>1</v>
      </c>
      <c r="M127" s="429" t="s">
        <v>445</v>
      </c>
      <c r="N127" s="314" t="s">
        <v>505</v>
      </c>
      <c r="O127" s="437" t="s">
        <v>9</v>
      </c>
      <c r="P127" s="509">
        <v>2959.24</v>
      </c>
      <c r="Q127" s="510">
        <v>250</v>
      </c>
      <c r="R127" s="510">
        <f t="shared" si="18"/>
        <v>3209.24</v>
      </c>
      <c r="S127" s="450">
        <v>0</v>
      </c>
      <c r="T127" s="439">
        <v>0</v>
      </c>
      <c r="U127" s="451">
        <v>1</v>
      </c>
      <c r="V127" s="439">
        <f t="shared" si="19"/>
        <v>1</v>
      </c>
    </row>
    <row r="128" spans="1:102" s="434" customFormat="1" ht="30" customHeight="1" outlineLevel="1">
      <c r="A128" s="430" t="e">
        <f t="shared" si="20"/>
        <v>#REF!</v>
      </c>
      <c r="B128" s="357" t="s">
        <v>436</v>
      </c>
      <c r="C128" s="437" t="s">
        <v>510</v>
      </c>
      <c r="D128" s="437" t="s">
        <v>9</v>
      </c>
      <c r="E128" s="370">
        <v>2825.1</v>
      </c>
      <c r="F128" s="418">
        <f>250</f>
        <v>250</v>
      </c>
      <c r="G128" s="438">
        <f t="shared" si="16"/>
        <v>3075.1</v>
      </c>
      <c r="H128" s="439">
        <v>0</v>
      </c>
      <c r="I128" s="439">
        <v>0</v>
      </c>
      <c r="J128" s="451">
        <v>1</v>
      </c>
      <c r="K128" s="439">
        <f t="shared" si="17"/>
        <v>1</v>
      </c>
      <c r="M128" s="357" t="s">
        <v>436</v>
      </c>
      <c r="N128" s="314" t="s">
        <v>510</v>
      </c>
      <c r="O128" s="437" t="s">
        <v>9</v>
      </c>
      <c r="P128" s="509">
        <v>2959.24</v>
      </c>
      <c r="Q128" s="510">
        <f>250</f>
        <v>250</v>
      </c>
      <c r="R128" s="510">
        <f t="shared" si="18"/>
        <v>3209.24</v>
      </c>
      <c r="S128" s="439">
        <v>0</v>
      </c>
      <c r="T128" s="439">
        <v>0</v>
      </c>
      <c r="U128" s="451">
        <v>1</v>
      </c>
      <c r="V128" s="439">
        <f t="shared" si="19"/>
        <v>1</v>
      </c>
    </row>
    <row r="129" spans="1:102" s="431" customFormat="1" ht="30" customHeight="1" outlineLevel="1" thickBot="1">
      <c r="A129" s="430"/>
      <c r="B129" s="445"/>
      <c r="C129" s="431" t="s">
        <v>339</v>
      </c>
      <c r="D129" s="446"/>
      <c r="E129" s="432">
        <f>SUM(E120:E128)</f>
        <v>25466.769999999997</v>
      </c>
      <c r="F129" s="432">
        <f>SUM(F120:F128)</f>
        <v>2450</v>
      </c>
      <c r="G129" s="432">
        <f>SUM(G120:G128)</f>
        <v>27916.769999999997</v>
      </c>
      <c r="H129" s="433"/>
      <c r="I129" s="433"/>
      <c r="J129" s="433"/>
      <c r="K129" s="433"/>
      <c r="M129" s="445"/>
      <c r="N129" s="313" t="s">
        <v>339</v>
      </c>
      <c r="O129" s="446"/>
      <c r="P129" s="523">
        <f>SUM(P120:P128)</f>
        <v>26633.159999999996</v>
      </c>
      <c r="Q129" s="523">
        <f>SUM(Q120:Q128)</f>
        <v>2450</v>
      </c>
      <c r="R129" s="523">
        <f>SUM(R120:R128)</f>
        <v>29083.159999999996</v>
      </c>
      <c r="S129" s="433"/>
      <c r="T129" s="433"/>
      <c r="U129" s="433"/>
      <c r="V129" s="433"/>
    </row>
    <row r="130" spans="1:102" s="400" customFormat="1" ht="30" customHeight="1" thickTop="1">
      <c r="A130" s="398"/>
      <c r="B130" s="324"/>
      <c r="C130" s="394"/>
      <c r="D130" s="417"/>
      <c r="H130" s="401"/>
      <c r="I130" s="401"/>
      <c r="J130" s="401"/>
      <c r="K130" s="401"/>
      <c r="L130" s="417"/>
      <c r="M130" s="324"/>
      <c r="N130" s="309"/>
      <c r="O130" s="417"/>
      <c r="P130" s="516"/>
      <c r="Q130" s="516"/>
      <c r="R130" s="516"/>
      <c r="S130" s="401"/>
      <c r="T130" s="401"/>
      <c r="U130" s="401"/>
      <c r="V130" s="401"/>
      <c r="W130" s="417"/>
      <c r="X130" s="417"/>
      <c r="Y130" s="417"/>
      <c r="Z130" s="417"/>
      <c r="AA130" s="417"/>
      <c r="AB130" s="417"/>
      <c r="AC130" s="417"/>
      <c r="AD130" s="417"/>
      <c r="AE130" s="417"/>
      <c r="AF130" s="417"/>
      <c r="AG130" s="417"/>
      <c r="AH130" s="417"/>
      <c r="AI130" s="417"/>
      <c r="AJ130" s="41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row>
    <row r="131" spans="1:102" s="417" customFormat="1" ht="30" customHeight="1" thickBot="1">
      <c r="A131" s="344"/>
      <c r="B131" s="324"/>
      <c r="C131" s="382" t="s">
        <v>129</v>
      </c>
      <c r="E131" s="469">
        <f>+E13+E23+E28+E32+E37+E44+E49+E68+E83+E88+E105+E108+E115+E129</f>
        <v>200691.61999999997</v>
      </c>
      <c r="F131" s="469">
        <f>+F13+F23+F28+F32+F37+F44+F49+F68+F83+F88+F105+F108+F115+F129</f>
        <v>23115</v>
      </c>
      <c r="G131" s="469">
        <f>+G13+G23+G28+G32+G37+G44+G49+G68+G83+G88+G105+G108+G115+G129</f>
        <v>223806.61999999997</v>
      </c>
      <c r="H131" s="401"/>
      <c r="I131" s="401"/>
      <c r="J131" s="401"/>
      <c r="K131" s="401"/>
      <c r="M131" s="324"/>
      <c r="N131" s="310" t="s">
        <v>129</v>
      </c>
      <c r="P131" s="520">
        <f>+P13+P23+P28+P32+P37+P44+P49+P68+P83+P88+P105+P108+P115+P129</f>
        <v>210106.03999999995</v>
      </c>
      <c r="Q131" s="520">
        <f>+Q13+Q23+Q28+Q32+Q37+Q44+Q49+Q68+Q83+Q88+Q105+Q108+Q115+Q129</f>
        <v>23115</v>
      </c>
      <c r="R131" s="520">
        <f>+R13+R23+R28+R32+R37+R44+R49+R68+R83+R88+R105+R108+R115+R129</f>
        <v>232952.75999999992</v>
      </c>
      <c r="S131" s="401"/>
      <c r="T131" s="401"/>
      <c r="U131" s="401"/>
      <c r="V131" s="401"/>
    </row>
    <row r="132" spans="1:102" s="417" customFormat="1" ht="12" customHeight="1" thickTop="1">
      <c r="A132" s="344"/>
      <c r="B132" s="324"/>
      <c r="C132" s="382"/>
      <c r="E132" s="470"/>
      <c r="F132" s="470"/>
      <c r="G132" s="470"/>
      <c r="H132" s="401"/>
      <c r="I132" s="401"/>
      <c r="J132" s="401"/>
      <c r="K132" s="401"/>
      <c r="M132" s="324"/>
      <c r="N132" s="310"/>
      <c r="P132" s="516"/>
      <c r="Q132" s="516"/>
      <c r="R132" s="516"/>
      <c r="S132" s="401"/>
      <c r="T132" s="401"/>
      <c r="U132" s="401"/>
      <c r="V132" s="401"/>
    </row>
    <row r="133" spans="1:102" s="400" customFormat="1" ht="12" customHeight="1">
      <c r="A133" s="398"/>
      <c r="B133" s="324"/>
      <c r="C133" s="394"/>
      <c r="D133" s="417"/>
      <c r="H133" s="401"/>
      <c r="I133" s="401"/>
      <c r="J133" s="401"/>
      <c r="K133" s="401"/>
      <c r="L133" s="417"/>
      <c r="M133" s="324"/>
      <c r="N133" s="309"/>
      <c r="O133" s="417"/>
      <c r="P133" s="516"/>
      <c r="Q133" s="516"/>
      <c r="R133" s="516"/>
      <c r="S133" s="401"/>
      <c r="T133" s="401"/>
      <c r="U133" s="401"/>
      <c r="V133" s="401"/>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row>
    <row r="134" spans="1:102" s="400" customFormat="1" ht="11.25" customHeight="1">
      <c r="A134" s="398"/>
      <c r="B134" s="324"/>
      <c r="C134" s="394"/>
      <c r="D134" s="417"/>
      <c r="H134" s="401"/>
      <c r="I134" s="401"/>
      <c r="J134" s="401"/>
      <c r="K134" s="401"/>
      <c r="L134" s="417"/>
      <c r="M134" s="324"/>
      <c r="N134" s="309"/>
      <c r="O134" s="417"/>
      <c r="P134" s="516"/>
      <c r="Q134" s="516"/>
      <c r="R134" s="516"/>
      <c r="S134" s="401"/>
      <c r="T134" s="401"/>
      <c r="U134" s="401"/>
      <c r="V134" s="401"/>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row>
    <row r="135" spans="1:102" s="473" customFormat="1" hidden="1">
      <c r="A135" s="471"/>
      <c r="B135" s="472"/>
      <c r="C135" s="344"/>
      <c r="D135" s="350"/>
      <c r="E135" s="381"/>
      <c r="F135" s="398" t="s">
        <v>153</v>
      </c>
      <c r="G135" s="471"/>
      <c r="H135" s="378" t="e">
        <f>#REF!</f>
        <v>#REF!</v>
      </c>
      <c r="I135" s="378" t="e">
        <f>#REF!</f>
        <v>#REF!</v>
      </c>
      <c r="J135" s="378" t="e">
        <f>#REF!</f>
        <v>#REF!</v>
      </c>
      <c r="K135" s="378" t="e">
        <f t="shared" ref="K135:K141" si="21">SUM(H135:J135)</f>
        <v>#REF!</v>
      </c>
      <c r="M135" s="472"/>
      <c r="N135" s="302"/>
      <c r="O135" s="350"/>
      <c r="P135" s="516"/>
      <c r="Q135" s="516" t="s">
        <v>153</v>
      </c>
      <c r="R135" s="525"/>
      <c r="S135" s="378" t="e">
        <f>#REF!</f>
        <v>#REF!</v>
      </c>
      <c r="T135" s="378" t="e">
        <f>#REF!</f>
        <v>#REF!</v>
      </c>
      <c r="U135" s="378" t="e">
        <f>#REF!</f>
        <v>#REF!</v>
      </c>
      <c r="V135" s="378" t="e">
        <f t="shared" ref="V135:V141" si="22">SUM(S135:U135)</f>
        <v>#REF!</v>
      </c>
    </row>
    <row r="136" spans="1:102" s="473" customFormat="1" hidden="1">
      <c r="A136" s="471"/>
      <c r="B136" s="472"/>
      <c r="C136" s="344"/>
      <c r="D136" s="350"/>
      <c r="E136" s="381"/>
      <c r="F136" s="398" t="s">
        <v>154</v>
      </c>
      <c r="G136" s="471"/>
      <c r="H136" s="378" t="e">
        <f>#REF!</f>
        <v>#REF!</v>
      </c>
      <c r="I136" s="378" t="e">
        <f>#REF!</f>
        <v>#REF!</v>
      </c>
      <c r="J136" s="378" t="e">
        <f>#REF!</f>
        <v>#REF!</v>
      </c>
      <c r="K136" s="378" t="e">
        <f t="shared" si="21"/>
        <v>#REF!</v>
      </c>
      <c r="M136" s="472"/>
      <c r="N136" s="302"/>
      <c r="O136" s="350"/>
      <c r="P136" s="516"/>
      <c r="Q136" s="516" t="s">
        <v>154</v>
      </c>
      <c r="R136" s="525"/>
      <c r="S136" s="378" t="e">
        <f>#REF!</f>
        <v>#REF!</v>
      </c>
      <c r="T136" s="378" t="e">
        <f>#REF!</f>
        <v>#REF!</v>
      </c>
      <c r="U136" s="378" t="e">
        <f>#REF!</f>
        <v>#REF!</v>
      </c>
      <c r="V136" s="378" t="e">
        <f t="shared" si="22"/>
        <v>#REF!</v>
      </c>
    </row>
    <row r="137" spans="1:102" s="473" customFormat="1" hidden="1">
      <c r="A137" s="471"/>
      <c r="B137" s="472"/>
      <c r="C137" s="344"/>
      <c r="D137" s="350"/>
      <c r="E137" s="381"/>
      <c r="F137" s="398" t="s">
        <v>155</v>
      </c>
      <c r="G137" s="471"/>
      <c r="H137" s="378" t="e">
        <f>#REF!</f>
        <v>#REF!</v>
      </c>
      <c r="I137" s="378" t="e">
        <f>#REF!</f>
        <v>#REF!</v>
      </c>
      <c r="J137" s="378" t="e">
        <f>#REF!</f>
        <v>#REF!</v>
      </c>
      <c r="K137" s="378" t="e">
        <f t="shared" si="21"/>
        <v>#REF!</v>
      </c>
      <c r="M137" s="472"/>
      <c r="N137" s="302"/>
      <c r="O137" s="350"/>
      <c r="P137" s="516"/>
      <c r="Q137" s="516" t="s">
        <v>155</v>
      </c>
      <c r="R137" s="525"/>
      <c r="S137" s="378" t="e">
        <f>#REF!</f>
        <v>#REF!</v>
      </c>
      <c r="T137" s="378" t="e">
        <f>#REF!</f>
        <v>#REF!</v>
      </c>
      <c r="U137" s="378" t="e">
        <f>#REF!</f>
        <v>#REF!</v>
      </c>
      <c r="V137" s="378" t="e">
        <f t="shared" si="22"/>
        <v>#REF!</v>
      </c>
    </row>
    <row r="138" spans="1:102" s="473" customFormat="1" hidden="1">
      <c r="A138" s="471"/>
      <c r="B138" s="472"/>
      <c r="C138" s="344"/>
      <c r="D138" s="350"/>
      <c r="E138" s="381"/>
      <c r="F138" s="398" t="s">
        <v>156</v>
      </c>
      <c r="G138" s="471"/>
      <c r="H138" s="378" t="e">
        <f>#REF!</f>
        <v>#REF!</v>
      </c>
      <c r="I138" s="378" t="e">
        <f>#REF!</f>
        <v>#REF!</v>
      </c>
      <c r="J138" s="378" t="e">
        <f>#REF!</f>
        <v>#REF!</v>
      </c>
      <c r="K138" s="378" t="e">
        <f t="shared" si="21"/>
        <v>#REF!</v>
      </c>
      <c r="M138" s="472"/>
      <c r="N138" s="302"/>
      <c r="O138" s="350"/>
      <c r="P138" s="516"/>
      <c r="Q138" s="516" t="s">
        <v>156</v>
      </c>
      <c r="R138" s="525"/>
      <c r="S138" s="378" t="e">
        <f>#REF!</f>
        <v>#REF!</v>
      </c>
      <c r="T138" s="378" t="e">
        <f>#REF!</f>
        <v>#REF!</v>
      </c>
      <c r="U138" s="378" t="e">
        <f>#REF!</f>
        <v>#REF!</v>
      </c>
      <c r="V138" s="378" t="e">
        <f t="shared" si="22"/>
        <v>#REF!</v>
      </c>
    </row>
    <row r="139" spans="1:102" s="473" customFormat="1" hidden="1">
      <c r="A139" s="471"/>
      <c r="B139" s="472"/>
      <c r="C139" s="344"/>
      <c r="D139" s="350"/>
      <c r="E139" s="381"/>
      <c r="F139" s="398" t="s">
        <v>157</v>
      </c>
      <c r="G139" s="471"/>
      <c r="H139" s="378" t="e">
        <f>#REF!</f>
        <v>#REF!</v>
      </c>
      <c r="I139" s="378" t="e">
        <f>#REF!</f>
        <v>#REF!</v>
      </c>
      <c r="J139" s="378" t="e">
        <f>#REF!</f>
        <v>#REF!</v>
      </c>
      <c r="K139" s="378" t="e">
        <f t="shared" si="21"/>
        <v>#REF!</v>
      </c>
      <c r="M139" s="472"/>
      <c r="N139" s="302"/>
      <c r="O139" s="350"/>
      <c r="P139" s="516"/>
      <c r="Q139" s="516" t="s">
        <v>157</v>
      </c>
      <c r="R139" s="525"/>
      <c r="S139" s="378" t="e">
        <f>#REF!</f>
        <v>#REF!</v>
      </c>
      <c r="T139" s="378" t="e">
        <f>#REF!</f>
        <v>#REF!</v>
      </c>
      <c r="U139" s="378" t="e">
        <f>#REF!</f>
        <v>#REF!</v>
      </c>
      <c r="V139" s="378" t="e">
        <f t="shared" si="22"/>
        <v>#REF!</v>
      </c>
    </row>
    <row r="140" spans="1:102" s="473" customFormat="1" hidden="1">
      <c r="A140" s="471"/>
      <c r="B140" s="472"/>
      <c r="C140" s="344"/>
      <c r="D140" s="350"/>
      <c r="E140" s="381"/>
      <c r="F140" s="398" t="s">
        <v>158</v>
      </c>
      <c r="G140" s="471"/>
      <c r="H140" s="378" t="e">
        <f>#REF!</f>
        <v>#REF!</v>
      </c>
      <c r="I140" s="378" t="e">
        <f>#REF!</f>
        <v>#REF!</v>
      </c>
      <c r="J140" s="378" t="e">
        <f>#REF!</f>
        <v>#REF!</v>
      </c>
      <c r="K140" s="378" t="e">
        <f t="shared" si="21"/>
        <v>#REF!</v>
      </c>
      <c r="M140" s="472"/>
      <c r="N140" s="302"/>
      <c r="O140" s="350"/>
      <c r="P140" s="516"/>
      <c r="Q140" s="516" t="s">
        <v>158</v>
      </c>
      <c r="R140" s="525"/>
      <c r="S140" s="378" t="e">
        <f>#REF!</f>
        <v>#REF!</v>
      </c>
      <c r="T140" s="378" t="e">
        <f>#REF!</f>
        <v>#REF!</v>
      </c>
      <c r="U140" s="378" t="e">
        <f>#REF!</f>
        <v>#REF!</v>
      </c>
      <c r="V140" s="378" t="e">
        <f t="shared" si="22"/>
        <v>#REF!</v>
      </c>
    </row>
    <row r="141" spans="1:102" s="473" customFormat="1" hidden="1">
      <c r="A141" s="471"/>
      <c r="B141" s="472"/>
      <c r="C141" s="344"/>
      <c r="D141" s="350"/>
      <c r="E141" s="381"/>
      <c r="F141" s="398" t="s">
        <v>159</v>
      </c>
      <c r="G141" s="471"/>
      <c r="H141" s="378" t="e">
        <f>#REF!</f>
        <v>#REF!</v>
      </c>
      <c r="I141" s="378" t="e">
        <f>#REF!</f>
        <v>#REF!</v>
      </c>
      <c r="J141" s="378" t="e">
        <f>#REF!</f>
        <v>#REF!</v>
      </c>
      <c r="K141" s="378" t="e">
        <f t="shared" si="21"/>
        <v>#REF!</v>
      </c>
      <c r="M141" s="472"/>
      <c r="N141" s="302"/>
      <c r="O141" s="350"/>
      <c r="P141" s="516"/>
      <c r="Q141" s="516" t="s">
        <v>159</v>
      </c>
      <c r="R141" s="525"/>
      <c r="S141" s="378" t="e">
        <f>#REF!</f>
        <v>#REF!</v>
      </c>
      <c r="T141" s="378" t="e">
        <f>#REF!</f>
        <v>#REF!</v>
      </c>
      <c r="U141" s="378" t="e">
        <f>#REF!</f>
        <v>#REF!</v>
      </c>
      <c r="V141" s="378" t="e">
        <f t="shared" si="22"/>
        <v>#REF!</v>
      </c>
    </row>
    <row r="142" spans="1:102" s="473" customFormat="1" ht="23.4" hidden="1" thickBot="1">
      <c r="A142" s="471"/>
      <c r="B142" s="472"/>
      <c r="C142" s="344"/>
      <c r="D142" s="350"/>
      <c r="E142" s="381"/>
      <c r="F142" s="398" t="s">
        <v>160</v>
      </c>
      <c r="G142" s="471"/>
      <c r="H142" s="474" t="e">
        <f>SUM(H135:H141)</f>
        <v>#REF!</v>
      </c>
      <c r="I142" s="474" t="e">
        <f>SUM(I135:I141)</f>
        <v>#REF!</v>
      </c>
      <c r="J142" s="474" t="e">
        <f>SUM(J135:J141)</f>
        <v>#REF!</v>
      </c>
      <c r="K142" s="474" t="e">
        <f>SUM(K135:K141)</f>
        <v>#REF!</v>
      </c>
      <c r="M142" s="472"/>
      <c r="N142" s="302"/>
      <c r="O142" s="350"/>
      <c r="P142" s="516"/>
      <c r="Q142" s="516" t="s">
        <v>160</v>
      </c>
      <c r="R142" s="525"/>
      <c r="S142" s="474" t="e">
        <f>SUM(S135:S141)</f>
        <v>#REF!</v>
      </c>
      <c r="T142" s="474" t="e">
        <f>SUM(T135:T141)</f>
        <v>#REF!</v>
      </c>
      <c r="U142" s="474" t="e">
        <f>SUM(U135:U141)</f>
        <v>#REF!</v>
      </c>
      <c r="V142" s="474" t="e">
        <f>SUM(V135:V141)</f>
        <v>#REF!</v>
      </c>
    </row>
    <row r="143" spans="1:102" s="473" customFormat="1" hidden="1">
      <c r="A143" s="471"/>
      <c r="B143" s="472"/>
      <c r="C143" s="344"/>
      <c r="D143" s="350"/>
      <c r="E143" s="381"/>
      <c r="F143" s="471" t="s">
        <v>161</v>
      </c>
      <c r="G143" s="471"/>
      <c r="H143" s="378" t="e">
        <f>+H142-#REF!</f>
        <v>#REF!</v>
      </c>
      <c r="I143" s="378" t="e">
        <f>+I142-#REF!</f>
        <v>#REF!</v>
      </c>
      <c r="J143" s="378" t="e">
        <f>+J142-#REF!</f>
        <v>#REF!</v>
      </c>
      <c r="K143" s="471" t="e">
        <f>+K142-(+#REF!+#REF!+#REF!+#REF!+#REF!)</f>
        <v>#REF!</v>
      </c>
      <c r="M143" s="472"/>
      <c r="N143" s="302"/>
      <c r="O143" s="350"/>
      <c r="P143" s="516"/>
      <c r="Q143" s="525" t="s">
        <v>161</v>
      </c>
      <c r="R143" s="525"/>
      <c r="S143" s="378" t="e">
        <f>+S142-#REF!</f>
        <v>#REF!</v>
      </c>
      <c r="T143" s="378" t="e">
        <f>+T142-#REF!</f>
        <v>#REF!</v>
      </c>
      <c r="U143" s="378" t="e">
        <f>+U142-#REF!</f>
        <v>#REF!</v>
      </c>
      <c r="V143" s="471" t="e">
        <f>+V142-(+#REF!+#REF!+#REF!+#REF!+#REF!)</f>
        <v>#REF!</v>
      </c>
    </row>
    <row r="144" spans="1:102" s="473" customFormat="1" hidden="1">
      <c r="A144" s="471"/>
      <c r="B144" s="472"/>
      <c r="C144" s="344"/>
      <c r="D144" s="350"/>
      <c r="E144" s="381"/>
      <c r="F144" s="398"/>
      <c r="G144" s="471"/>
      <c r="H144" s="378"/>
      <c r="I144" s="471"/>
      <c r="J144" s="378"/>
      <c r="K144" s="471"/>
      <c r="M144" s="472"/>
      <c r="N144" s="302"/>
      <c r="O144" s="350"/>
      <c r="P144" s="516"/>
      <c r="Q144" s="516"/>
      <c r="R144" s="525"/>
      <c r="S144" s="378"/>
      <c r="T144" s="471"/>
      <c r="U144" s="378"/>
      <c r="V144" s="471"/>
    </row>
    <row r="145" spans="1:22" s="350" customFormat="1" hidden="1">
      <c r="A145" s="344"/>
      <c r="B145" s="331"/>
      <c r="C145" s="344"/>
      <c r="E145" s="473"/>
      <c r="F145" s="471"/>
      <c r="G145" s="475"/>
      <c r="H145" s="475"/>
      <c r="I145" s="475"/>
      <c r="J145" s="475"/>
      <c r="K145" s="471"/>
      <c r="M145" s="331"/>
      <c r="N145" s="302"/>
      <c r="P145" s="525"/>
      <c r="Q145" s="525"/>
      <c r="R145" s="516"/>
      <c r="S145" s="475"/>
      <c r="T145" s="475"/>
      <c r="U145" s="475"/>
      <c r="V145" s="471"/>
    </row>
    <row r="146" spans="1:22" s="350" customFormat="1" hidden="1">
      <c r="A146" s="344"/>
      <c r="B146" s="331"/>
      <c r="C146" s="344"/>
      <c r="F146" s="476"/>
      <c r="G146" s="471"/>
      <c r="H146" s="378"/>
      <c r="I146" s="475"/>
      <c r="J146" s="378"/>
      <c r="K146" s="378"/>
      <c r="M146" s="331"/>
      <c r="N146" s="302"/>
      <c r="P146" s="525"/>
      <c r="Q146" s="516"/>
      <c r="R146" s="525"/>
      <c r="S146" s="378"/>
      <c r="T146" s="475"/>
      <c r="U146" s="378"/>
      <c r="V146" s="378"/>
    </row>
    <row r="147" spans="1:22" s="350" customFormat="1" ht="12" hidden="1" customHeight="1">
      <c r="A147" s="344"/>
      <c r="B147" s="331"/>
      <c r="C147" s="344"/>
      <c r="F147" s="476" t="s">
        <v>162</v>
      </c>
      <c r="G147" s="471"/>
      <c r="H147" s="1351" t="s">
        <v>8</v>
      </c>
      <c r="I147" s="1351"/>
      <c r="J147" s="477" t="s">
        <v>9</v>
      </c>
      <c r="K147" s="478" t="s">
        <v>136</v>
      </c>
      <c r="M147" s="331"/>
      <c r="N147" s="302"/>
      <c r="P147" s="525"/>
      <c r="Q147" s="516" t="s">
        <v>162</v>
      </c>
      <c r="R147" s="525"/>
      <c r="S147" s="1351" t="s">
        <v>8</v>
      </c>
      <c r="T147" s="1351"/>
      <c r="U147" s="477" t="s">
        <v>9</v>
      </c>
      <c r="V147" s="478" t="s">
        <v>136</v>
      </c>
    </row>
    <row r="148" spans="1:22" s="350" customFormat="1" hidden="1">
      <c r="A148" s="344"/>
      <c r="B148" s="331"/>
      <c r="C148" s="344"/>
      <c r="F148" s="398"/>
      <c r="G148" s="471"/>
      <c r="H148" s="479" t="s">
        <v>39</v>
      </c>
      <c r="I148" s="480" t="s">
        <v>133</v>
      </c>
      <c r="J148" s="481" t="s">
        <v>40</v>
      </c>
      <c r="K148" s="479"/>
      <c r="M148" s="331"/>
      <c r="N148" s="302"/>
      <c r="P148" s="525"/>
      <c r="Q148" s="516"/>
      <c r="R148" s="525"/>
      <c r="S148" s="479" t="s">
        <v>39</v>
      </c>
      <c r="T148" s="480" t="s">
        <v>133</v>
      </c>
      <c r="U148" s="481" t="s">
        <v>40</v>
      </c>
      <c r="V148" s="479"/>
    </row>
    <row r="149" spans="1:22" s="473" customFormat="1" hidden="1">
      <c r="A149" s="471"/>
      <c r="B149" s="472"/>
      <c r="C149" s="344"/>
      <c r="D149" s="350"/>
      <c r="E149" s="381"/>
      <c r="F149" s="398" t="s">
        <v>137</v>
      </c>
      <c r="G149" s="471"/>
      <c r="H149" s="378" t="e">
        <f>#REF!</f>
        <v>#REF!</v>
      </c>
      <c r="I149" s="378" t="e">
        <f>#REF!</f>
        <v>#REF!</v>
      </c>
      <c r="J149" s="378" t="e">
        <f>#REF!</f>
        <v>#REF!</v>
      </c>
      <c r="K149" s="378" t="e">
        <f t="shared" ref="K149:K172" si="23">SUM(H149:J149)</f>
        <v>#REF!</v>
      </c>
      <c r="M149" s="472"/>
      <c r="N149" s="302"/>
      <c r="O149" s="350"/>
      <c r="P149" s="516"/>
      <c r="Q149" s="516" t="s">
        <v>137</v>
      </c>
      <c r="R149" s="525"/>
      <c r="S149" s="378" t="e">
        <f>#REF!</f>
        <v>#REF!</v>
      </c>
      <c r="T149" s="378" t="e">
        <f>#REF!</f>
        <v>#REF!</v>
      </c>
      <c r="U149" s="378" t="e">
        <f>#REF!</f>
        <v>#REF!</v>
      </c>
      <c r="V149" s="378" t="e">
        <f t="shared" ref="V149:V172" si="24">SUM(S149:U149)</f>
        <v>#REF!</v>
      </c>
    </row>
    <row r="150" spans="1:22" s="473" customFormat="1" hidden="1">
      <c r="A150" s="471"/>
      <c r="B150" s="472"/>
      <c r="C150" s="344"/>
      <c r="D150" s="350"/>
      <c r="E150" s="381"/>
      <c r="F150" s="398" t="s">
        <v>138</v>
      </c>
      <c r="G150" s="471"/>
      <c r="H150" s="378" t="e">
        <f>#REF!</f>
        <v>#REF!</v>
      </c>
      <c r="I150" s="378" t="e">
        <f>#REF!</f>
        <v>#REF!</v>
      </c>
      <c r="J150" s="378" t="e">
        <f>#REF!</f>
        <v>#REF!</v>
      </c>
      <c r="K150" s="378" t="e">
        <f t="shared" si="23"/>
        <v>#REF!</v>
      </c>
      <c r="M150" s="472"/>
      <c r="N150" s="302"/>
      <c r="O150" s="350"/>
      <c r="P150" s="516"/>
      <c r="Q150" s="516" t="s">
        <v>138</v>
      </c>
      <c r="R150" s="525"/>
      <c r="S150" s="378" t="e">
        <f>#REF!</f>
        <v>#REF!</v>
      </c>
      <c r="T150" s="378" t="e">
        <f>#REF!</f>
        <v>#REF!</v>
      </c>
      <c r="U150" s="378" t="e">
        <f>#REF!</f>
        <v>#REF!</v>
      </c>
      <c r="V150" s="378" t="e">
        <f t="shared" si="24"/>
        <v>#REF!</v>
      </c>
    </row>
    <row r="151" spans="1:22" s="473" customFormat="1" hidden="1">
      <c r="A151" s="471"/>
      <c r="B151" s="482"/>
      <c r="C151" s="471"/>
      <c r="E151" s="381"/>
      <c r="F151" s="398" t="s">
        <v>139</v>
      </c>
      <c r="G151" s="471"/>
      <c r="H151" s="378" t="e">
        <f>#REF!</f>
        <v>#REF!</v>
      </c>
      <c r="I151" s="378" t="e">
        <f>#REF!</f>
        <v>#REF!</v>
      </c>
      <c r="J151" s="378" t="e">
        <f>#REF!</f>
        <v>#REF!</v>
      </c>
      <c r="K151" s="378" t="e">
        <f t="shared" si="23"/>
        <v>#REF!</v>
      </c>
      <c r="M151" s="482"/>
      <c r="N151" s="316"/>
      <c r="P151" s="516"/>
      <c r="Q151" s="516" t="s">
        <v>139</v>
      </c>
      <c r="R151" s="525"/>
      <c r="S151" s="378" t="e">
        <f>#REF!</f>
        <v>#REF!</v>
      </c>
      <c r="T151" s="378" t="e">
        <f>#REF!</f>
        <v>#REF!</v>
      </c>
      <c r="U151" s="378" t="e">
        <f>#REF!</f>
        <v>#REF!</v>
      </c>
      <c r="V151" s="378" t="e">
        <f t="shared" si="24"/>
        <v>#REF!</v>
      </c>
    </row>
    <row r="152" spans="1:22" s="473" customFormat="1" hidden="1">
      <c r="A152" s="471"/>
      <c r="B152" s="482"/>
      <c r="C152" s="471"/>
      <c r="E152" s="381"/>
      <c r="F152" s="398" t="s">
        <v>140</v>
      </c>
      <c r="G152" s="471"/>
      <c r="H152" s="378" t="e">
        <f>#REF!</f>
        <v>#REF!</v>
      </c>
      <c r="I152" s="378" t="e">
        <f>#REF!</f>
        <v>#REF!</v>
      </c>
      <c r="J152" s="378" t="e">
        <f>#REF!</f>
        <v>#REF!</v>
      </c>
      <c r="K152" s="378" t="e">
        <f t="shared" si="23"/>
        <v>#REF!</v>
      </c>
      <c r="M152" s="482"/>
      <c r="N152" s="316"/>
      <c r="P152" s="516"/>
      <c r="Q152" s="516" t="s">
        <v>140</v>
      </c>
      <c r="R152" s="525"/>
      <c r="S152" s="378" t="e">
        <f>#REF!</f>
        <v>#REF!</v>
      </c>
      <c r="T152" s="378" t="e">
        <f>#REF!</f>
        <v>#REF!</v>
      </c>
      <c r="U152" s="378" t="e">
        <f>#REF!</f>
        <v>#REF!</v>
      </c>
      <c r="V152" s="378" t="e">
        <f t="shared" si="24"/>
        <v>#REF!</v>
      </c>
    </row>
    <row r="153" spans="1:22" s="473" customFormat="1" hidden="1">
      <c r="A153" s="471"/>
      <c r="B153" s="482"/>
      <c r="C153" s="471"/>
      <c r="E153" s="381"/>
      <c r="F153" s="398" t="s">
        <v>141</v>
      </c>
      <c r="G153" s="471"/>
      <c r="H153" s="378" t="e">
        <f>#REF!</f>
        <v>#REF!</v>
      </c>
      <c r="I153" s="378" t="e">
        <f>#REF!</f>
        <v>#REF!</v>
      </c>
      <c r="J153" s="378" t="e">
        <f>#REF!</f>
        <v>#REF!</v>
      </c>
      <c r="K153" s="378" t="e">
        <f t="shared" si="23"/>
        <v>#REF!</v>
      </c>
      <c r="M153" s="482"/>
      <c r="N153" s="316"/>
      <c r="P153" s="516"/>
      <c r="Q153" s="516" t="s">
        <v>141</v>
      </c>
      <c r="R153" s="525"/>
      <c r="S153" s="378" t="e">
        <f>#REF!</f>
        <v>#REF!</v>
      </c>
      <c r="T153" s="378" t="e">
        <f>#REF!</f>
        <v>#REF!</v>
      </c>
      <c r="U153" s="378" t="e">
        <f>#REF!</f>
        <v>#REF!</v>
      </c>
      <c r="V153" s="378" t="e">
        <f t="shared" si="24"/>
        <v>#REF!</v>
      </c>
    </row>
    <row r="154" spans="1:22" s="473" customFormat="1" hidden="1">
      <c r="A154" s="471"/>
      <c r="B154" s="472"/>
      <c r="C154" s="344"/>
      <c r="D154" s="350"/>
      <c r="E154" s="381"/>
      <c r="F154" s="398" t="s">
        <v>142</v>
      </c>
      <c r="G154" s="471"/>
      <c r="H154" s="378" t="e">
        <f>#REF!</f>
        <v>#REF!</v>
      </c>
      <c r="I154" s="378" t="e">
        <f>#REF!</f>
        <v>#REF!</v>
      </c>
      <c r="J154" s="378" t="e">
        <f>#REF!</f>
        <v>#REF!</v>
      </c>
      <c r="K154" s="378" t="e">
        <f t="shared" si="23"/>
        <v>#REF!</v>
      </c>
      <c r="M154" s="472"/>
      <c r="N154" s="302"/>
      <c r="O154" s="350"/>
      <c r="P154" s="516"/>
      <c r="Q154" s="516" t="s">
        <v>142</v>
      </c>
      <c r="R154" s="525"/>
      <c r="S154" s="378" t="e">
        <f>#REF!</f>
        <v>#REF!</v>
      </c>
      <c r="T154" s="378" t="e">
        <f>#REF!</f>
        <v>#REF!</v>
      </c>
      <c r="U154" s="378" t="e">
        <f>#REF!</f>
        <v>#REF!</v>
      </c>
      <c r="V154" s="378" t="e">
        <f t="shared" si="24"/>
        <v>#REF!</v>
      </c>
    </row>
    <row r="155" spans="1:22" s="473" customFormat="1" hidden="1">
      <c r="A155" s="471"/>
      <c r="B155" s="472"/>
      <c r="C155" s="344"/>
      <c r="D155" s="350"/>
      <c r="F155" s="398" t="s">
        <v>143</v>
      </c>
      <c r="G155" s="471"/>
      <c r="H155" s="378" t="e">
        <f>#REF!</f>
        <v>#REF!</v>
      </c>
      <c r="I155" s="378" t="e">
        <f>#REF!</f>
        <v>#REF!</v>
      </c>
      <c r="J155" s="378" t="e">
        <f>#REF!</f>
        <v>#REF!</v>
      </c>
      <c r="K155" s="378" t="e">
        <f t="shared" si="23"/>
        <v>#REF!</v>
      </c>
      <c r="M155" s="472"/>
      <c r="N155" s="302"/>
      <c r="O155" s="350"/>
      <c r="P155" s="525"/>
      <c r="Q155" s="516" t="s">
        <v>143</v>
      </c>
      <c r="R155" s="525"/>
      <c r="S155" s="378" t="e">
        <f>#REF!</f>
        <v>#REF!</v>
      </c>
      <c r="T155" s="378" t="e">
        <f>#REF!</f>
        <v>#REF!</v>
      </c>
      <c r="U155" s="378" t="e">
        <f>#REF!</f>
        <v>#REF!</v>
      </c>
      <c r="V155" s="378" t="e">
        <f t="shared" si="24"/>
        <v>#REF!</v>
      </c>
    </row>
    <row r="156" spans="1:22" s="473" customFormat="1" hidden="1">
      <c r="A156" s="471"/>
      <c r="B156" s="482"/>
      <c r="C156" s="471"/>
      <c r="E156" s="381"/>
      <c r="F156" s="398" t="s">
        <v>144</v>
      </c>
      <c r="G156" s="471"/>
      <c r="H156" s="378" t="e">
        <f>#REF!</f>
        <v>#REF!</v>
      </c>
      <c r="I156" s="378" t="e">
        <f>#REF!</f>
        <v>#REF!</v>
      </c>
      <c r="J156" s="378" t="e">
        <f>#REF!</f>
        <v>#REF!</v>
      </c>
      <c r="K156" s="378" t="e">
        <f t="shared" si="23"/>
        <v>#REF!</v>
      </c>
      <c r="M156" s="482"/>
      <c r="N156" s="316"/>
      <c r="P156" s="516"/>
      <c r="Q156" s="516" t="s">
        <v>144</v>
      </c>
      <c r="R156" s="525"/>
      <c r="S156" s="378" t="e">
        <f>#REF!</f>
        <v>#REF!</v>
      </c>
      <c r="T156" s="378" t="e">
        <f>#REF!</f>
        <v>#REF!</v>
      </c>
      <c r="U156" s="378" t="e">
        <f>#REF!</f>
        <v>#REF!</v>
      </c>
      <c r="V156" s="378" t="e">
        <f t="shared" si="24"/>
        <v>#REF!</v>
      </c>
    </row>
    <row r="157" spans="1:22" s="473" customFormat="1" hidden="1">
      <c r="A157" s="471"/>
      <c r="B157" s="482"/>
      <c r="C157" s="471"/>
      <c r="F157" s="398" t="s">
        <v>145</v>
      </c>
      <c r="G157" s="471"/>
      <c r="H157" s="378" t="e">
        <f>#REF!</f>
        <v>#REF!</v>
      </c>
      <c r="I157" s="378" t="e">
        <f>#REF!</f>
        <v>#REF!</v>
      </c>
      <c r="J157" s="378" t="e">
        <f>#REF!</f>
        <v>#REF!</v>
      </c>
      <c r="K157" s="378" t="e">
        <f t="shared" si="23"/>
        <v>#REF!</v>
      </c>
      <c r="M157" s="482"/>
      <c r="N157" s="316"/>
      <c r="P157" s="525"/>
      <c r="Q157" s="516" t="s">
        <v>145</v>
      </c>
      <c r="R157" s="525"/>
      <c r="S157" s="378" t="e">
        <f>#REF!</f>
        <v>#REF!</v>
      </c>
      <c r="T157" s="378" t="e">
        <f>#REF!</f>
        <v>#REF!</v>
      </c>
      <c r="U157" s="378" t="e">
        <f>#REF!</f>
        <v>#REF!</v>
      </c>
      <c r="V157" s="378" t="e">
        <f t="shared" si="24"/>
        <v>#REF!</v>
      </c>
    </row>
    <row r="158" spans="1:22" s="473" customFormat="1" hidden="1">
      <c r="A158" s="471"/>
      <c r="B158" s="482"/>
      <c r="C158" s="471"/>
      <c r="F158" s="398" t="s">
        <v>146</v>
      </c>
      <c r="G158" s="471"/>
      <c r="H158" s="378" t="e">
        <f>#REF!</f>
        <v>#REF!</v>
      </c>
      <c r="I158" s="378" t="e">
        <f>#REF!</f>
        <v>#REF!</v>
      </c>
      <c r="J158" s="378" t="e">
        <f>#REF!</f>
        <v>#REF!</v>
      </c>
      <c r="K158" s="378" t="e">
        <f t="shared" si="23"/>
        <v>#REF!</v>
      </c>
      <c r="M158" s="482"/>
      <c r="N158" s="316"/>
      <c r="P158" s="525"/>
      <c r="Q158" s="516" t="s">
        <v>146</v>
      </c>
      <c r="R158" s="525"/>
      <c r="S158" s="378" t="e">
        <f>#REF!</f>
        <v>#REF!</v>
      </c>
      <c r="T158" s="378" t="e">
        <f>#REF!</f>
        <v>#REF!</v>
      </c>
      <c r="U158" s="378" t="e">
        <f>#REF!</f>
        <v>#REF!</v>
      </c>
      <c r="V158" s="378" t="e">
        <f t="shared" si="24"/>
        <v>#REF!</v>
      </c>
    </row>
    <row r="159" spans="1:22" s="473" customFormat="1" hidden="1">
      <c r="A159" s="471"/>
      <c r="B159" s="472"/>
      <c r="C159" s="344"/>
      <c r="D159" s="350"/>
      <c r="E159" s="381"/>
      <c r="F159" s="398" t="s">
        <v>147</v>
      </c>
      <c r="G159" s="471"/>
      <c r="H159" s="378" t="e">
        <f>#REF!</f>
        <v>#REF!</v>
      </c>
      <c r="I159" s="378" t="e">
        <f>#REF!</f>
        <v>#REF!</v>
      </c>
      <c r="J159" s="378" t="e">
        <f>#REF!</f>
        <v>#REF!</v>
      </c>
      <c r="K159" s="378" t="e">
        <f t="shared" si="23"/>
        <v>#REF!</v>
      </c>
      <c r="M159" s="472"/>
      <c r="N159" s="302"/>
      <c r="O159" s="350"/>
      <c r="P159" s="516"/>
      <c r="Q159" s="516" t="s">
        <v>147</v>
      </c>
      <c r="R159" s="525"/>
      <c r="S159" s="378" t="e">
        <f>#REF!</f>
        <v>#REF!</v>
      </c>
      <c r="T159" s="378" t="e">
        <f>#REF!</f>
        <v>#REF!</v>
      </c>
      <c r="U159" s="378" t="e">
        <f>#REF!</f>
        <v>#REF!</v>
      </c>
      <c r="V159" s="378" t="e">
        <f t="shared" si="24"/>
        <v>#REF!</v>
      </c>
    </row>
    <row r="160" spans="1:22" s="473" customFormat="1" hidden="1">
      <c r="A160" s="471"/>
      <c r="B160" s="472"/>
      <c r="C160" s="344"/>
      <c r="D160" s="350"/>
      <c r="E160" s="381"/>
      <c r="F160" s="398" t="s">
        <v>112</v>
      </c>
      <c r="G160" s="471"/>
      <c r="H160" s="378" t="e">
        <f>#REF!</f>
        <v>#REF!</v>
      </c>
      <c r="I160" s="378" t="e">
        <f>#REF!</f>
        <v>#REF!</v>
      </c>
      <c r="J160" s="378" t="e">
        <f>#REF!</f>
        <v>#REF!</v>
      </c>
      <c r="K160" s="378" t="e">
        <f t="shared" si="23"/>
        <v>#REF!</v>
      </c>
      <c r="M160" s="472"/>
      <c r="N160" s="302"/>
      <c r="O160" s="350"/>
      <c r="P160" s="516"/>
      <c r="Q160" s="516" t="s">
        <v>112</v>
      </c>
      <c r="R160" s="525"/>
      <c r="S160" s="378" t="e">
        <f>#REF!</f>
        <v>#REF!</v>
      </c>
      <c r="T160" s="378" t="e">
        <f>#REF!</f>
        <v>#REF!</v>
      </c>
      <c r="U160" s="378" t="e">
        <f>#REF!</f>
        <v>#REF!</v>
      </c>
      <c r="V160" s="378" t="e">
        <f t="shared" si="24"/>
        <v>#REF!</v>
      </c>
    </row>
    <row r="161" spans="1:22" s="473" customFormat="1" hidden="1">
      <c r="A161" s="471"/>
      <c r="B161" s="472"/>
      <c r="C161" s="344"/>
      <c r="D161" s="350"/>
      <c r="E161" s="381"/>
      <c r="F161" s="398" t="s">
        <v>148</v>
      </c>
      <c r="G161" s="471"/>
      <c r="H161" s="378" t="e">
        <f>#REF!</f>
        <v>#REF!</v>
      </c>
      <c r="I161" s="378" t="e">
        <f>#REF!</f>
        <v>#REF!</v>
      </c>
      <c r="J161" s="378" t="e">
        <f>#REF!</f>
        <v>#REF!</v>
      </c>
      <c r="K161" s="378" t="e">
        <f t="shared" si="23"/>
        <v>#REF!</v>
      </c>
      <c r="M161" s="472"/>
      <c r="N161" s="302"/>
      <c r="O161" s="350"/>
      <c r="P161" s="516"/>
      <c r="Q161" s="516" t="s">
        <v>148</v>
      </c>
      <c r="R161" s="525"/>
      <c r="S161" s="378" t="e">
        <f>#REF!</f>
        <v>#REF!</v>
      </c>
      <c r="T161" s="378" t="e">
        <f>#REF!</f>
        <v>#REF!</v>
      </c>
      <c r="U161" s="378" t="e">
        <f>#REF!</f>
        <v>#REF!</v>
      </c>
      <c r="V161" s="378" t="e">
        <f t="shared" si="24"/>
        <v>#REF!</v>
      </c>
    </row>
    <row r="162" spans="1:22" s="473" customFormat="1" hidden="1">
      <c r="A162" s="471"/>
      <c r="B162" s="472"/>
      <c r="C162" s="344"/>
      <c r="D162" s="350"/>
      <c r="E162" s="426"/>
      <c r="F162" s="398" t="s">
        <v>149</v>
      </c>
      <c r="G162" s="471"/>
      <c r="H162" s="378" t="e">
        <f>#REF!</f>
        <v>#REF!</v>
      </c>
      <c r="I162" s="378" t="e">
        <f>#REF!</f>
        <v>#REF!</v>
      </c>
      <c r="J162" s="378" t="e">
        <f>#REF!</f>
        <v>#REF!</v>
      </c>
      <c r="K162" s="378" t="e">
        <f t="shared" si="23"/>
        <v>#REF!</v>
      </c>
      <c r="M162" s="472"/>
      <c r="N162" s="302"/>
      <c r="O162" s="350"/>
      <c r="P162" s="516"/>
      <c r="Q162" s="516" t="s">
        <v>149</v>
      </c>
      <c r="R162" s="525"/>
      <c r="S162" s="378" t="e">
        <f>#REF!</f>
        <v>#REF!</v>
      </c>
      <c r="T162" s="378" t="e">
        <f>#REF!</f>
        <v>#REF!</v>
      </c>
      <c r="U162" s="378" t="e">
        <f>#REF!</f>
        <v>#REF!</v>
      </c>
      <c r="V162" s="378" t="e">
        <f t="shared" si="24"/>
        <v>#REF!</v>
      </c>
    </row>
    <row r="163" spans="1:22" s="473" customFormat="1" hidden="1">
      <c r="A163" s="471"/>
      <c r="B163" s="472"/>
      <c r="C163" s="344"/>
      <c r="D163" s="350"/>
      <c r="E163" s="381"/>
      <c r="F163" s="398" t="s">
        <v>150</v>
      </c>
      <c r="G163" s="471"/>
      <c r="H163" s="378" t="e">
        <f>#REF!</f>
        <v>#REF!</v>
      </c>
      <c r="I163" s="378" t="e">
        <f>#REF!</f>
        <v>#REF!</v>
      </c>
      <c r="J163" s="378" t="e">
        <f>#REF!</f>
        <v>#REF!</v>
      </c>
      <c r="K163" s="378" t="e">
        <f t="shared" si="23"/>
        <v>#REF!</v>
      </c>
      <c r="M163" s="472"/>
      <c r="N163" s="302"/>
      <c r="O163" s="350"/>
      <c r="P163" s="516"/>
      <c r="Q163" s="516" t="s">
        <v>150</v>
      </c>
      <c r="R163" s="525"/>
      <c r="S163" s="378" t="e">
        <f>#REF!</f>
        <v>#REF!</v>
      </c>
      <c r="T163" s="378" t="e">
        <f>#REF!</f>
        <v>#REF!</v>
      </c>
      <c r="U163" s="378" t="e">
        <f>#REF!</f>
        <v>#REF!</v>
      </c>
      <c r="V163" s="378" t="e">
        <f t="shared" si="24"/>
        <v>#REF!</v>
      </c>
    </row>
    <row r="164" spans="1:22" s="473" customFormat="1" hidden="1">
      <c r="A164" s="471"/>
      <c r="B164" s="472"/>
      <c r="C164" s="344"/>
      <c r="D164" s="350"/>
      <c r="E164" s="381"/>
      <c r="F164" s="398" t="s">
        <v>151</v>
      </c>
      <c r="G164" s="471"/>
      <c r="H164" s="378" t="e">
        <f>#REF!</f>
        <v>#REF!</v>
      </c>
      <c r="I164" s="378" t="e">
        <f>#REF!</f>
        <v>#REF!</v>
      </c>
      <c r="J164" s="378" t="e">
        <f>#REF!</f>
        <v>#REF!</v>
      </c>
      <c r="K164" s="378" t="e">
        <f t="shared" si="23"/>
        <v>#REF!</v>
      </c>
      <c r="M164" s="472"/>
      <c r="N164" s="302"/>
      <c r="O164" s="350"/>
      <c r="P164" s="516"/>
      <c r="Q164" s="516" t="s">
        <v>151</v>
      </c>
      <c r="R164" s="525"/>
      <c r="S164" s="378" t="e">
        <f>#REF!</f>
        <v>#REF!</v>
      </c>
      <c r="T164" s="378" t="e">
        <f>#REF!</f>
        <v>#REF!</v>
      </c>
      <c r="U164" s="378" t="e">
        <f>#REF!</f>
        <v>#REF!</v>
      </c>
      <c r="V164" s="378" t="e">
        <f t="shared" si="24"/>
        <v>#REF!</v>
      </c>
    </row>
    <row r="165" spans="1:22" s="473" customFormat="1" hidden="1">
      <c r="A165" s="471"/>
      <c r="B165" s="472"/>
      <c r="C165" s="344"/>
      <c r="D165" s="350"/>
      <c r="E165" s="381"/>
      <c r="F165" s="398" t="s">
        <v>152</v>
      </c>
      <c r="G165" s="471"/>
      <c r="H165" s="378" t="e">
        <f>#REF!</f>
        <v>#REF!</v>
      </c>
      <c r="I165" s="378" t="e">
        <f>#REF!</f>
        <v>#REF!</v>
      </c>
      <c r="J165" s="378" t="e">
        <f>#REF!</f>
        <v>#REF!</v>
      </c>
      <c r="K165" s="378" t="e">
        <f t="shared" si="23"/>
        <v>#REF!</v>
      </c>
      <c r="M165" s="472"/>
      <c r="N165" s="302"/>
      <c r="O165" s="350"/>
      <c r="P165" s="516"/>
      <c r="Q165" s="516" t="s">
        <v>152</v>
      </c>
      <c r="R165" s="525"/>
      <c r="S165" s="378" t="e">
        <f>#REF!</f>
        <v>#REF!</v>
      </c>
      <c r="T165" s="378" t="e">
        <f>#REF!</f>
        <v>#REF!</v>
      </c>
      <c r="U165" s="378" t="e">
        <f>#REF!</f>
        <v>#REF!</v>
      </c>
      <c r="V165" s="378" t="e">
        <f t="shared" si="24"/>
        <v>#REF!</v>
      </c>
    </row>
    <row r="166" spans="1:22" s="473" customFormat="1" hidden="1">
      <c r="A166" s="471"/>
      <c r="B166" s="472"/>
      <c r="C166" s="344"/>
      <c r="D166" s="350"/>
      <c r="E166" s="381"/>
      <c r="F166" s="398" t="s">
        <v>153</v>
      </c>
      <c r="G166" s="471"/>
      <c r="H166" s="378" t="e">
        <f>#REF!</f>
        <v>#REF!</v>
      </c>
      <c r="I166" s="378" t="e">
        <f>#REF!</f>
        <v>#REF!</v>
      </c>
      <c r="J166" s="378" t="e">
        <f>#REF!</f>
        <v>#REF!</v>
      </c>
      <c r="K166" s="378" t="e">
        <f t="shared" si="23"/>
        <v>#REF!</v>
      </c>
      <c r="M166" s="472"/>
      <c r="N166" s="302"/>
      <c r="O166" s="350"/>
      <c r="P166" s="516"/>
      <c r="Q166" s="516" t="s">
        <v>153</v>
      </c>
      <c r="R166" s="525"/>
      <c r="S166" s="378" t="e">
        <f>#REF!</f>
        <v>#REF!</v>
      </c>
      <c r="T166" s="378" t="e">
        <f>#REF!</f>
        <v>#REF!</v>
      </c>
      <c r="U166" s="378" t="e">
        <f>#REF!</f>
        <v>#REF!</v>
      </c>
      <c r="V166" s="378" t="e">
        <f t="shared" si="24"/>
        <v>#REF!</v>
      </c>
    </row>
    <row r="167" spans="1:22" s="473" customFormat="1" hidden="1">
      <c r="A167" s="471"/>
      <c r="B167" s="472"/>
      <c r="C167" s="344"/>
      <c r="D167" s="350"/>
      <c r="E167" s="381"/>
      <c r="F167" s="398" t="s">
        <v>154</v>
      </c>
      <c r="G167" s="471"/>
      <c r="H167" s="378" t="e">
        <f>#REF!</f>
        <v>#REF!</v>
      </c>
      <c r="I167" s="378" t="e">
        <f>#REF!</f>
        <v>#REF!</v>
      </c>
      <c r="J167" s="378" t="e">
        <f>#REF!</f>
        <v>#REF!</v>
      </c>
      <c r="K167" s="378" t="e">
        <f t="shared" si="23"/>
        <v>#REF!</v>
      </c>
      <c r="M167" s="472"/>
      <c r="N167" s="302"/>
      <c r="O167" s="350"/>
      <c r="P167" s="516"/>
      <c r="Q167" s="516" t="s">
        <v>154</v>
      </c>
      <c r="R167" s="525"/>
      <c r="S167" s="378" t="e">
        <f>#REF!</f>
        <v>#REF!</v>
      </c>
      <c r="T167" s="378" t="e">
        <f>#REF!</f>
        <v>#REF!</v>
      </c>
      <c r="U167" s="378" t="e">
        <f>#REF!</f>
        <v>#REF!</v>
      </c>
      <c r="V167" s="378" t="e">
        <f t="shared" si="24"/>
        <v>#REF!</v>
      </c>
    </row>
    <row r="168" spans="1:22" s="473" customFormat="1" hidden="1">
      <c r="A168" s="471"/>
      <c r="B168" s="472"/>
      <c r="C168" s="344"/>
      <c r="D168" s="350"/>
      <c r="E168" s="381"/>
      <c r="F168" s="398" t="s">
        <v>155</v>
      </c>
      <c r="G168" s="471"/>
      <c r="H168" s="378" t="e">
        <f>#REF!</f>
        <v>#REF!</v>
      </c>
      <c r="I168" s="378" t="e">
        <f>#REF!</f>
        <v>#REF!</v>
      </c>
      <c r="J168" s="378" t="e">
        <f>#REF!</f>
        <v>#REF!</v>
      </c>
      <c r="K168" s="378" t="e">
        <f t="shared" si="23"/>
        <v>#REF!</v>
      </c>
      <c r="M168" s="472"/>
      <c r="N168" s="302"/>
      <c r="O168" s="350"/>
      <c r="P168" s="516"/>
      <c r="Q168" s="516" t="s">
        <v>155</v>
      </c>
      <c r="R168" s="525"/>
      <c r="S168" s="378" t="e">
        <f>#REF!</f>
        <v>#REF!</v>
      </c>
      <c r="T168" s="378" t="e">
        <f>#REF!</f>
        <v>#REF!</v>
      </c>
      <c r="U168" s="378" t="e">
        <f>#REF!</f>
        <v>#REF!</v>
      </c>
      <c r="V168" s="378" t="e">
        <f t="shared" si="24"/>
        <v>#REF!</v>
      </c>
    </row>
    <row r="169" spans="1:22" s="473" customFormat="1" hidden="1">
      <c r="A169" s="471"/>
      <c r="B169" s="472"/>
      <c r="C169" s="344"/>
      <c r="D169" s="350"/>
      <c r="E169" s="381"/>
      <c r="F169" s="398" t="s">
        <v>156</v>
      </c>
      <c r="G169" s="471"/>
      <c r="H169" s="378" t="e">
        <f>#REF!</f>
        <v>#REF!</v>
      </c>
      <c r="I169" s="378" t="e">
        <f>#REF!</f>
        <v>#REF!</v>
      </c>
      <c r="J169" s="378" t="e">
        <f>#REF!</f>
        <v>#REF!</v>
      </c>
      <c r="K169" s="378" t="e">
        <f t="shared" si="23"/>
        <v>#REF!</v>
      </c>
      <c r="M169" s="472"/>
      <c r="N169" s="302"/>
      <c r="O169" s="350"/>
      <c r="P169" s="516"/>
      <c r="Q169" s="516" t="s">
        <v>156</v>
      </c>
      <c r="R169" s="525"/>
      <c r="S169" s="378" t="e">
        <f>#REF!</f>
        <v>#REF!</v>
      </c>
      <c r="T169" s="378" t="e">
        <f>#REF!</f>
        <v>#REF!</v>
      </c>
      <c r="U169" s="378" t="e">
        <f>#REF!</f>
        <v>#REF!</v>
      </c>
      <c r="V169" s="378" t="e">
        <f t="shared" si="24"/>
        <v>#REF!</v>
      </c>
    </row>
    <row r="170" spans="1:22" s="473" customFormat="1" hidden="1">
      <c r="A170" s="471"/>
      <c r="B170" s="472"/>
      <c r="C170" s="344"/>
      <c r="D170" s="350"/>
      <c r="E170" s="381"/>
      <c r="F170" s="398" t="s">
        <v>157</v>
      </c>
      <c r="G170" s="471"/>
      <c r="H170" s="378" t="e">
        <f>#REF!</f>
        <v>#REF!</v>
      </c>
      <c r="I170" s="378" t="e">
        <f>#REF!</f>
        <v>#REF!</v>
      </c>
      <c r="J170" s="378" t="e">
        <f>#REF!</f>
        <v>#REF!</v>
      </c>
      <c r="K170" s="378" t="e">
        <f t="shared" si="23"/>
        <v>#REF!</v>
      </c>
      <c r="M170" s="472"/>
      <c r="N170" s="302"/>
      <c r="O170" s="350"/>
      <c r="P170" s="516"/>
      <c r="Q170" s="516" t="s">
        <v>157</v>
      </c>
      <c r="R170" s="525"/>
      <c r="S170" s="378" t="e">
        <f>#REF!</f>
        <v>#REF!</v>
      </c>
      <c r="T170" s="378" t="e">
        <f>#REF!</f>
        <v>#REF!</v>
      </c>
      <c r="U170" s="378" t="e">
        <f>#REF!</f>
        <v>#REF!</v>
      </c>
      <c r="V170" s="378" t="e">
        <f t="shared" si="24"/>
        <v>#REF!</v>
      </c>
    </row>
    <row r="171" spans="1:22" s="473" customFormat="1" hidden="1">
      <c r="A171" s="471"/>
      <c r="B171" s="472"/>
      <c r="C171" s="344"/>
      <c r="D171" s="350"/>
      <c r="E171" s="381"/>
      <c r="F171" s="398" t="s">
        <v>158</v>
      </c>
      <c r="G171" s="471"/>
      <c r="H171" s="378" t="e">
        <f>#REF!</f>
        <v>#REF!</v>
      </c>
      <c r="I171" s="378" t="e">
        <f>#REF!</f>
        <v>#REF!</v>
      </c>
      <c r="J171" s="378" t="e">
        <f>#REF!</f>
        <v>#REF!</v>
      </c>
      <c r="K171" s="378" t="e">
        <f t="shared" si="23"/>
        <v>#REF!</v>
      </c>
      <c r="M171" s="472"/>
      <c r="N171" s="302"/>
      <c r="O171" s="350"/>
      <c r="P171" s="516"/>
      <c r="Q171" s="516" t="s">
        <v>158</v>
      </c>
      <c r="R171" s="525"/>
      <c r="S171" s="378" t="e">
        <f>#REF!</f>
        <v>#REF!</v>
      </c>
      <c r="T171" s="378" t="e">
        <f>#REF!</f>
        <v>#REF!</v>
      </c>
      <c r="U171" s="378" t="e">
        <f>#REF!</f>
        <v>#REF!</v>
      </c>
      <c r="V171" s="378" t="e">
        <f t="shared" si="24"/>
        <v>#REF!</v>
      </c>
    </row>
    <row r="172" spans="1:22" s="350" customFormat="1" hidden="1">
      <c r="A172" s="344"/>
      <c r="B172" s="331"/>
      <c r="C172" s="344"/>
      <c r="E172" s="473"/>
      <c r="F172" s="398" t="s">
        <v>159</v>
      </c>
      <c r="G172" s="471"/>
      <c r="H172" s="378" t="e">
        <f>#REF!</f>
        <v>#REF!</v>
      </c>
      <c r="I172" s="378" t="e">
        <f>#REF!</f>
        <v>#REF!</v>
      </c>
      <c r="J172" s="378" t="e">
        <f>#REF!</f>
        <v>#REF!</v>
      </c>
      <c r="K172" s="378" t="e">
        <f t="shared" si="23"/>
        <v>#REF!</v>
      </c>
      <c r="M172" s="331"/>
      <c r="N172" s="302"/>
      <c r="P172" s="525"/>
      <c r="Q172" s="516" t="s">
        <v>159</v>
      </c>
      <c r="R172" s="525"/>
      <c r="S172" s="378" t="e">
        <f>#REF!</f>
        <v>#REF!</v>
      </c>
      <c r="T172" s="378" t="e">
        <f>#REF!</f>
        <v>#REF!</v>
      </c>
      <c r="U172" s="378" t="e">
        <f>#REF!</f>
        <v>#REF!</v>
      </c>
      <c r="V172" s="378" t="e">
        <f t="shared" si="24"/>
        <v>#REF!</v>
      </c>
    </row>
    <row r="173" spans="1:22" s="473" customFormat="1" hidden="1">
      <c r="A173" s="471"/>
      <c r="B173" s="472"/>
      <c r="C173" s="344"/>
      <c r="D173" s="350"/>
      <c r="E173" s="381"/>
      <c r="F173" s="398" t="s">
        <v>160</v>
      </c>
      <c r="G173" s="471"/>
      <c r="H173" s="483" t="e">
        <f>SUM(H149:H172)</f>
        <v>#REF!</v>
      </c>
      <c r="I173" s="483" t="e">
        <f>SUM(I149:I172)</f>
        <v>#REF!</v>
      </c>
      <c r="J173" s="484" t="e">
        <f>SUM(J149:J172)</f>
        <v>#REF!</v>
      </c>
      <c r="K173" s="483" t="e">
        <f>SUM(K149:K172)</f>
        <v>#REF!</v>
      </c>
      <c r="M173" s="472"/>
      <c r="N173" s="302"/>
      <c r="O173" s="350"/>
      <c r="P173" s="516"/>
      <c r="Q173" s="516" t="s">
        <v>160</v>
      </c>
      <c r="R173" s="525"/>
      <c r="S173" s="483" t="e">
        <f>SUM(S149:S172)</f>
        <v>#REF!</v>
      </c>
      <c r="T173" s="483" t="e">
        <f>SUM(T149:T172)</f>
        <v>#REF!</v>
      </c>
      <c r="U173" s="484" t="e">
        <f>SUM(U149:U172)</f>
        <v>#REF!</v>
      </c>
      <c r="V173" s="483" t="e">
        <f>SUM(V149:V172)</f>
        <v>#REF!</v>
      </c>
    </row>
    <row r="174" spans="1:22" s="473" customFormat="1" hidden="1">
      <c r="A174" s="471"/>
      <c r="B174" s="472"/>
      <c r="C174" s="344"/>
      <c r="D174" s="350"/>
      <c r="E174" s="381"/>
      <c r="F174" s="471" t="s">
        <v>161</v>
      </c>
      <c r="G174" s="471"/>
      <c r="H174" s="485" t="e">
        <f>+H173-#REF!</f>
        <v>#REF!</v>
      </c>
      <c r="I174" s="484" t="e">
        <f>+I173-#REF!</f>
        <v>#REF!</v>
      </c>
      <c r="J174" s="484" t="e">
        <f>+J173-#REF!</f>
        <v>#REF!</v>
      </c>
      <c r="K174" s="484" t="e">
        <f>+K173-(+#REF!+#REF!+#REF!+#REF!+#REF!)</f>
        <v>#REF!</v>
      </c>
      <c r="M174" s="472"/>
      <c r="N174" s="302"/>
      <c r="O174" s="350"/>
      <c r="P174" s="516"/>
      <c r="Q174" s="525" t="s">
        <v>161</v>
      </c>
      <c r="R174" s="525"/>
      <c r="S174" s="485" t="e">
        <f>+S173-#REF!</f>
        <v>#REF!</v>
      </c>
      <c r="T174" s="484" t="e">
        <f>+T173-#REF!</f>
        <v>#REF!</v>
      </c>
      <c r="U174" s="484" t="e">
        <f>+U173-#REF!</f>
        <v>#REF!</v>
      </c>
      <c r="V174" s="484" t="e">
        <f>+V173-(+#REF!+#REF!+#REF!+#REF!+#REF!)</f>
        <v>#REF!</v>
      </c>
    </row>
    <row r="175" spans="1:22" s="473" customFormat="1" hidden="1">
      <c r="A175" s="471"/>
      <c r="B175" s="472"/>
      <c r="C175" s="344"/>
      <c r="D175" s="350"/>
      <c r="E175" s="381"/>
      <c r="F175" s="398"/>
      <c r="G175" s="471"/>
      <c r="H175" s="378"/>
      <c r="I175" s="471"/>
      <c r="J175" s="486"/>
      <c r="K175" s="378"/>
      <c r="M175" s="472"/>
      <c r="N175" s="302"/>
      <c r="O175" s="350"/>
      <c r="P175" s="516"/>
      <c r="Q175" s="516"/>
      <c r="R175" s="525"/>
      <c r="S175" s="378"/>
      <c r="T175" s="471"/>
      <c r="U175" s="486"/>
      <c r="V175" s="378"/>
    </row>
    <row r="176" spans="1:22" s="350" customFormat="1" hidden="1">
      <c r="A176" s="344"/>
      <c r="B176" s="331"/>
      <c r="C176" s="471"/>
      <c r="D176" s="473"/>
      <c r="E176" s="473"/>
      <c r="F176" s="398"/>
      <c r="G176" s="471"/>
      <c r="H176" s="378"/>
      <c r="I176" s="475"/>
      <c r="J176" s="378"/>
      <c r="K176" s="378"/>
      <c r="M176" s="331"/>
      <c r="N176" s="316"/>
      <c r="O176" s="473"/>
      <c r="P176" s="525"/>
      <c r="Q176" s="516"/>
      <c r="R176" s="525"/>
      <c r="S176" s="378"/>
      <c r="T176" s="475"/>
      <c r="U176" s="378"/>
      <c r="V176" s="378"/>
    </row>
    <row r="177" spans="1:22" s="350" customFormat="1" hidden="1">
      <c r="A177" s="344"/>
      <c r="B177" s="331"/>
      <c r="C177" s="471"/>
      <c r="D177" s="473"/>
      <c r="E177" s="473"/>
      <c r="F177" s="398"/>
      <c r="G177" s="471"/>
      <c r="H177" s="378"/>
      <c r="I177" s="475"/>
      <c r="J177" s="378"/>
      <c r="K177" s="378"/>
      <c r="M177" s="331"/>
      <c r="N177" s="316"/>
      <c r="O177" s="473"/>
      <c r="P177" s="525"/>
      <c r="Q177" s="516"/>
      <c r="R177" s="525"/>
      <c r="S177" s="378"/>
      <c r="T177" s="475"/>
      <c r="U177" s="378"/>
      <c r="V177" s="378"/>
    </row>
    <row r="178" spans="1:22" s="350" customFormat="1" hidden="1">
      <c r="A178" s="344"/>
      <c r="B178" s="331"/>
      <c r="C178" s="344"/>
      <c r="E178" s="473"/>
      <c r="F178" s="487" t="s">
        <v>163</v>
      </c>
      <c r="G178" s="475"/>
      <c r="H178" s="475"/>
      <c r="I178" s="475"/>
      <c r="J178" s="475"/>
      <c r="K178" s="475"/>
      <c r="M178" s="331"/>
      <c r="N178" s="302"/>
      <c r="P178" s="525"/>
      <c r="Q178" s="516" t="s">
        <v>163</v>
      </c>
      <c r="R178" s="516"/>
      <c r="S178" s="475"/>
      <c r="T178" s="475"/>
      <c r="U178" s="475"/>
      <c r="V178" s="475"/>
    </row>
    <row r="179" spans="1:22" s="350" customFormat="1" hidden="1">
      <c r="A179" s="344"/>
      <c r="B179" s="331"/>
      <c r="C179" s="344"/>
      <c r="E179" s="473"/>
      <c r="F179" s="487"/>
      <c r="G179" s="475"/>
      <c r="H179" s="475"/>
      <c r="I179" s="475"/>
      <c r="J179" s="475"/>
      <c r="K179" s="475"/>
      <c r="M179" s="331"/>
      <c r="N179" s="302"/>
      <c r="P179" s="525"/>
      <c r="Q179" s="516"/>
      <c r="R179" s="516"/>
      <c r="S179" s="475"/>
      <c r="T179" s="475"/>
      <c r="U179" s="475"/>
      <c r="V179" s="475"/>
    </row>
    <row r="180" spans="1:22" s="350" customFormat="1" ht="12" hidden="1" customHeight="1">
      <c r="A180" s="344"/>
      <c r="B180" s="331"/>
      <c r="C180" s="344"/>
      <c r="E180" s="473"/>
      <c r="F180" s="487"/>
      <c r="G180" s="475"/>
      <c r="H180" s="1351" t="s">
        <v>8</v>
      </c>
      <c r="I180" s="1351"/>
      <c r="J180" s="477" t="s">
        <v>9</v>
      </c>
      <c r="K180" s="478" t="s">
        <v>136</v>
      </c>
      <c r="M180" s="331"/>
      <c r="N180" s="302"/>
      <c r="P180" s="525"/>
      <c r="Q180" s="516"/>
      <c r="R180" s="516"/>
      <c r="S180" s="1351" t="s">
        <v>8</v>
      </c>
      <c r="T180" s="1351"/>
      <c r="U180" s="477" t="s">
        <v>9</v>
      </c>
      <c r="V180" s="478" t="s">
        <v>136</v>
      </c>
    </row>
    <row r="181" spans="1:22" s="350" customFormat="1" hidden="1">
      <c r="A181" s="344"/>
      <c r="B181" s="331"/>
      <c r="C181" s="344"/>
      <c r="E181" s="473"/>
      <c r="F181" s="487"/>
      <c r="G181" s="475"/>
      <c r="H181" s="479" t="s">
        <v>39</v>
      </c>
      <c r="I181" s="480" t="s">
        <v>133</v>
      </c>
      <c r="J181" s="481" t="s">
        <v>40</v>
      </c>
      <c r="K181" s="479"/>
      <c r="M181" s="331"/>
      <c r="N181" s="302"/>
      <c r="P181" s="525"/>
      <c r="Q181" s="516"/>
      <c r="R181" s="516"/>
      <c r="S181" s="479" t="s">
        <v>39</v>
      </c>
      <c r="T181" s="480" t="s">
        <v>133</v>
      </c>
      <c r="U181" s="481" t="s">
        <v>40</v>
      </c>
      <c r="V181" s="479"/>
    </row>
    <row r="182" spans="1:22" s="350" customFormat="1" hidden="1">
      <c r="A182" s="344"/>
      <c r="B182" s="331"/>
      <c r="C182" s="471"/>
      <c r="E182" s="473"/>
      <c r="F182" s="398" t="s">
        <v>137</v>
      </c>
      <c r="G182" s="471"/>
      <c r="H182" s="378" t="e">
        <f>+H149-#REF!</f>
        <v>#REF!</v>
      </c>
      <c r="I182" s="378" t="e">
        <f>+I149-#REF!</f>
        <v>#REF!</v>
      </c>
      <c r="J182" s="378" t="e">
        <f>+J149-#REF!</f>
        <v>#REF!</v>
      </c>
      <c r="K182" s="378" t="e">
        <f t="shared" ref="K182:K205" si="25">SUM(H182:J182)</f>
        <v>#REF!</v>
      </c>
      <c r="M182" s="331"/>
      <c r="N182" s="316"/>
      <c r="P182" s="525"/>
      <c r="Q182" s="516" t="s">
        <v>137</v>
      </c>
      <c r="R182" s="525"/>
      <c r="S182" s="378" t="e">
        <f>+S149-#REF!</f>
        <v>#REF!</v>
      </c>
      <c r="T182" s="378" t="e">
        <f>+T149-#REF!</f>
        <v>#REF!</v>
      </c>
      <c r="U182" s="378" t="e">
        <f>+U149-#REF!</f>
        <v>#REF!</v>
      </c>
      <c r="V182" s="378" t="e">
        <f t="shared" ref="V182:V205" si="26">SUM(S182:U182)</f>
        <v>#REF!</v>
      </c>
    </row>
    <row r="183" spans="1:22" s="350" customFormat="1" hidden="1">
      <c r="A183" s="344"/>
      <c r="B183" s="331"/>
      <c r="C183" s="344"/>
      <c r="E183" s="473"/>
      <c r="F183" s="398" t="s">
        <v>138</v>
      </c>
      <c r="G183" s="471"/>
      <c r="H183" s="378" t="e">
        <f>+H150-#REF!</f>
        <v>#REF!</v>
      </c>
      <c r="I183" s="378" t="e">
        <f>+I150-#REF!</f>
        <v>#REF!</v>
      </c>
      <c r="J183" s="378" t="e">
        <f>+J150-#REF!</f>
        <v>#REF!</v>
      </c>
      <c r="K183" s="378" t="e">
        <f t="shared" si="25"/>
        <v>#REF!</v>
      </c>
      <c r="M183" s="331"/>
      <c r="N183" s="302"/>
      <c r="P183" s="525"/>
      <c r="Q183" s="516" t="s">
        <v>138</v>
      </c>
      <c r="R183" s="525"/>
      <c r="S183" s="378" t="e">
        <f>+S150-#REF!</f>
        <v>#REF!</v>
      </c>
      <c r="T183" s="378" t="e">
        <f>+T150-#REF!</f>
        <v>#REF!</v>
      </c>
      <c r="U183" s="378" t="e">
        <f>+U150-#REF!</f>
        <v>#REF!</v>
      </c>
      <c r="V183" s="378" t="e">
        <f t="shared" si="26"/>
        <v>#REF!</v>
      </c>
    </row>
    <row r="184" spans="1:22" s="350" customFormat="1" hidden="1">
      <c r="A184" s="344"/>
      <c r="B184" s="331"/>
      <c r="C184" s="344"/>
      <c r="E184" s="473"/>
      <c r="F184" s="398" t="s">
        <v>139</v>
      </c>
      <c r="G184" s="471"/>
      <c r="H184" s="378" t="e">
        <f>+H151-#REF!</f>
        <v>#REF!</v>
      </c>
      <c r="I184" s="378" t="e">
        <f>+I151-#REF!</f>
        <v>#REF!</v>
      </c>
      <c r="J184" s="378" t="e">
        <f>+J151-#REF!</f>
        <v>#REF!</v>
      </c>
      <c r="K184" s="378" t="e">
        <f t="shared" si="25"/>
        <v>#REF!</v>
      </c>
      <c r="M184" s="331"/>
      <c r="N184" s="302"/>
      <c r="P184" s="525"/>
      <c r="Q184" s="516" t="s">
        <v>139</v>
      </c>
      <c r="R184" s="525"/>
      <c r="S184" s="378" t="e">
        <f>+S151-#REF!</f>
        <v>#REF!</v>
      </c>
      <c r="T184" s="378" t="e">
        <f>+T151-#REF!</f>
        <v>#REF!</v>
      </c>
      <c r="U184" s="378" t="e">
        <f>+U151-#REF!</f>
        <v>#REF!</v>
      </c>
      <c r="V184" s="378" t="e">
        <f t="shared" si="26"/>
        <v>#REF!</v>
      </c>
    </row>
    <row r="185" spans="1:22" s="350" customFormat="1" hidden="1">
      <c r="A185" s="344"/>
      <c r="B185" s="331"/>
      <c r="C185" s="344"/>
      <c r="E185" s="473"/>
      <c r="F185" s="398" t="s">
        <v>140</v>
      </c>
      <c r="G185" s="471"/>
      <c r="H185" s="378" t="e">
        <f>+H152-#REF!</f>
        <v>#REF!</v>
      </c>
      <c r="I185" s="378" t="e">
        <f>+I152-#REF!</f>
        <v>#REF!</v>
      </c>
      <c r="J185" s="378" t="e">
        <f>+J152-#REF!</f>
        <v>#REF!</v>
      </c>
      <c r="K185" s="378" t="e">
        <f t="shared" si="25"/>
        <v>#REF!</v>
      </c>
      <c r="M185" s="331"/>
      <c r="N185" s="302"/>
      <c r="P185" s="525"/>
      <c r="Q185" s="516" t="s">
        <v>140</v>
      </c>
      <c r="R185" s="525"/>
      <c r="S185" s="378" t="e">
        <f>+S152-#REF!</f>
        <v>#REF!</v>
      </c>
      <c r="T185" s="378" t="e">
        <f>+T152-#REF!</f>
        <v>#REF!</v>
      </c>
      <c r="U185" s="378" t="e">
        <f>+U152-#REF!</f>
        <v>#REF!</v>
      </c>
      <c r="V185" s="378" t="e">
        <f t="shared" si="26"/>
        <v>#REF!</v>
      </c>
    </row>
    <row r="186" spans="1:22" s="350" customFormat="1" hidden="1">
      <c r="A186" s="344"/>
      <c r="B186" s="331"/>
      <c r="C186" s="344"/>
      <c r="E186" s="473"/>
      <c r="F186" s="398" t="s">
        <v>141</v>
      </c>
      <c r="G186" s="471"/>
      <c r="H186" s="378" t="e">
        <f>+H153-#REF!</f>
        <v>#REF!</v>
      </c>
      <c r="I186" s="378" t="e">
        <f>+I153-#REF!</f>
        <v>#REF!</v>
      </c>
      <c r="J186" s="378" t="e">
        <f>+J153-#REF!</f>
        <v>#REF!</v>
      </c>
      <c r="K186" s="378" t="e">
        <f t="shared" si="25"/>
        <v>#REF!</v>
      </c>
      <c r="M186" s="331"/>
      <c r="N186" s="302"/>
      <c r="P186" s="525"/>
      <c r="Q186" s="516" t="s">
        <v>141</v>
      </c>
      <c r="R186" s="525"/>
      <c r="S186" s="378" t="e">
        <f>+S153-#REF!</f>
        <v>#REF!</v>
      </c>
      <c r="T186" s="378" t="e">
        <f>+T153-#REF!</f>
        <v>#REF!</v>
      </c>
      <c r="U186" s="378" t="e">
        <f>+U153-#REF!</f>
        <v>#REF!</v>
      </c>
      <c r="V186" s="378" t="e">
        <f t="shared" si="26"/>
        <v>#REF!</v>
      </c>
    </row>
    <row r="187" spans="1:22" s="350" customFormat="1" hidden="1">
      <c r="A187" s="344"/>
      <c r="B187" s="331"/>
      <c r="C187" s="471"/>
      <c r="E187" s="473"/>
      <c r="F187" s="398" t="s">
        <v>142</v>
      </c>
      <c r="G187" s="471"/>
      <c r="H187" s="378" t="e">
        <f>+H154-#REF!</f>
        <v>#REF!</v>
      </c>
      <c r="I187" s="378" t="e">
        <f>+I154-#REF!</f>
        <v>#REF!</v>
      </c>
      <c r="J187" s="378" t="e">
        <f>+J154-#REF!</f>
        <v>#REF!</v>
      </c>
      <c r="K187" s="378" t="e">
        <f t="shared" si="25"/>
        <v>#REF!</v>
      </c>
      <c r="M187" s="331"/>
      <c r="N187" s="316"/>
      <c r="P187" s="525"/>
      <c r="Q187" s="516" t="s">
        <v>142</v>
      </c>
      <c r="R187" s="525"/>
      <c r="S187" s="378" t="e">
        <f>+S154-#REF!</f>
        <v>#REF!</v>
      </c>
      <c r="T187" s="378" t="e">
        <f>+T154-#REF!</f>
        <v>#REF!</v>
      </c>
      <c r="U187" s="378" t="e">
        <f>+U154-#REF!</f>
        <v>#REF!</v>
      </c>
      <c r="V187" s="378" t="e">
        <f t="shared" si="26"/>
        <v>#REF!</v>
      </c>
    </row>
    <row r="188" spans="1:22" s="350" customFormat="1" hidden="1">
      <c r="A188" s="344"/>
      <c r="B188" s="331"/>
      <c r="C188" s="344"/>
      <c r="E188" s="473"/>
      <c r="F188" s="398" t="s">
        <v>143</v>
      </c>
      <c r="G188" s="471"/>
      <c r="H188" s="378" t="e">
        <f>+H155-#REF!</f>
        <v>#REF!</v>
      </c>
      <c r="I188" s="378" t="e">
        <f>+I155-#REF!</f>
        <v>#REF!</v>
      </c>
      <c r="J188" s="378" t="e">
        <f>+J155-#REF!</f>
        <v>#REF!</v>
      </c>
      <c r="K188" s="378" t="e">
        <f t="shared" si="25"/>
        <v>#REF!</v>
      </c>
      <c r="M188" s="331"/>
      <c r="N188" s="302"/>
      <c r="P188" s="525"/>
      <c r="Q188" s="516" t="s">
        <v>143</v>
      </c>
      <c r="R188" s="525"/>
      <c r="S188" s="378" t="e">
        <f>+S155-#REF!</f>
        <v>#REF!</v>
      </c>
      <c r="T188" s="378" t="e">
        <f>+T155-#REF!</f>
        <v>#REF!</v>
      </c>
      <c r="U188" s="378" t="e">
        <f>+U155-#REF!</f>
        <v>#REF!</v>
      </c>
      <c r="V188" s="378" t="e">
        <f t="shared" si="26"/>
        <v>#REF!</v>
      </c>
    </row>
    <row r="189" spans="1:22" s="350" customFormat="1" hidden="1">
      <c r="A189" s="344"/>
      <c r="B189" s="331"/>
      <c r="C189" s="344"/>
      <c r="E189" s="473"/>
      <c r="F189" s="398" t="s">
        <v>144</v>
      </c>
      <c r="G189" s="471"/>
      <c r="H189" s="378" t="e">
        <f>+H156-#REF!</f>
        <v>#REF!</v>
      </c>
      <c r="I189" s="378" t="e">
        <f>+I156-#REF!</f>
        <v>#REF!</v>
      </c>
      <c r="J189" s="378" t="e">
        <f>+J156-#REF!</f>
        <v>#REF!</v>
      </c>
      <c r="K189" s="378" t="e">
        <f t="shared" si="25"/>
        <v>#REF!</v>
      </c>
      <c r="M189" s="331"/>
      <c r="N189" s="302"/>
      <c r="P189" s="525"/>
      <c r="Q189" s="516" t="s">
        <v>144</v>
      </c>
      <c r="R189" s="525"/>
      <c r="S189" s="378" t="e">
        <f>+S156-#REF!</f>
        <v>#REF!</v>
      </c>
      <c r="T189" s="378" t="e">
        <f>+T156-#REF!</f>
        <v>#REF!</v>
      </c>
      <c r="U189" s="378" t="e">
        <f>+U156-#REF!</f>
        <v>#REF!</v>
      </c>
      <c r="V189" s="378" t="e">
        <f t="shared" si="26"/>
        <v>#REF!</v>
      </c>
    </row>
    <row r="190" spans="1:22" s="350" customFormat="1" hidden="1">
      <c r="A190" s="344"/>
      <c r="B190" s="331"/>
      <c r="C190" s="344"/>
      <c r="E190" s="473"/>
      <c r="F190" s="398" t="s">
        <v>145</v>
      </c>
      <c r="G190" s="471"/>
      <c r="H190" s="378" t="e">
        <f>+H157-#REF!</f>
        <v>#REF!</v>
      </c>
      <c r="I190" s="378" t="e">
        <f>+I157-#REF!</f>
        <v>#REF!</v>
      </c>
      <c r="J190" s="378" t="e">
        <f>+J157-#REF!</f>
        <v>#REF!</v>
      </c>
      <c r="K190" s="378" t="e">
        <f t="shared" si="25"/>
        <v>#REF!</v>
      </c>
      <c r="M190" s="331"/>
      <c r="N190" s="302"/>
      <c r="P190" s="525"/>
      <c r="Q190" s="516" t="s">
        <v>145</v>
      </c>
      <c r="R190" s="525"/>
      <c r="S190" s="378" t="e">
        <f>+S157-#REF!</f>
        <v>#REF!</v>
      </c>
      <c r="T190" s="378" t="e">
        <f>+T157-#REF!</f>
        <v>#REF!</v>
      </c>
      <c r="U190" s="378" t="e">
        <f>+U157-#REF!</f>
        <v>#REF!</v>
      </c>
      <c r="V190" s="378" t="e">
        <f t="shared" si="26"/>
        <v>#REF!</v>
      </c>
    </row>
    <row r="191" spans="1:22" s="350" customFormat="1" hidden="1">
      <c r="A191" s="344"/>
      <c r="B191" s="331"/>
      <c r="C191" s="344"/>
      <c r="E191" s="473"/>
      <c r="F191" s="398" t="s">
        <v>146</v>
      </c>
      <c r="G191" s="471"/>
      <c r="H191" s="378" t="e">
        <f>+H158-#REF!</f>
        <v>#REF!</v>
      </c>
      <c r="I191" s="378" t="e">
        <f>+I158-#REF!</f>
        <v>#REF!</v>
      </c>
      <c r="J191" s="378" t="e">
        <f>+J158-#REF!</f>
        <v>#REF!</v>
      </c>
      <c r="K191" s="378" t="e">
        <f t="shared" si="25"/>
        <v>#REF!</v>
      </c>
      <c r="M191" s="331"/>
      <c r="N191" s="302"/>
      <c r="P191" s="525"/>
      <c r="Q191" s="516" t="s">
        <v>146</v>
      </c>
      <c r="R191" s="525"/>
      <c r="S191" s="378" t="e">
        <f>+S158-#REF!</f>
        <v>#REF!</v>
      </c>
      <c r="T191" s="378" t="e">
        <f>+T158-#REF!</f>
        <v>#REF!</v>
      </c>
      <c r="U191" s="378" t="e">
        <f>+U158-#REF!</f>
        <v>#REF!</v>
      </c>
      <c r="V191" s="378" t="e">
        <f t="shared" si="26"/>
        <v>#REF!</v>
      </c>
    </row>
    <row r="192" spans="1:22" s="350" customFormat="1" hidden="1">
      <c r="A192" s="344"/>
      <c r="B192" s="331"/>
      <c r="C192" s="344"/>
      <c r="E192" s="473"/>
      <c r="F192" s="398" t="s">
        <v>147</v>
      </c>
      <c r="G192" s="471"/>
      <c r="H192" s="378" t="e">
        <f>+H159-#REF!</f>
        <v>#REF!</v>
      </c>
      <c r="I192" s="378" t="e">
        <f>+I159-#REF!</f>
        <v>#REF!</v>
      </c>
      <c r="J192" s="378" t="e">
        <f>+J159-#REF!</f>
        <v>#REF!</v>
      </c>
      <c r="K192" s="378" t="e">
        <f t="shared" si="25"/>
        <v>#REF!</v>
      </c>
      <c r="M192" s="331"/>
      <c r="N192" s="302"/>
      <c r="P192" s="525"/>
      <c r="Q192" s="516" t="s">
        <v>147</v>
      </c>
      <c r="R192" s="525"/>
      <c r="S192" s="378" t="e">
        <f>+S159-#REF!</f>
        <v>#REF!</v>
      </c>
      <c r="T192" s="378" t="e">
        <f>+T159-#REF!</f>
        <v>#REF!</v>
      </c>
      <c r="U192" s="378" t="e">
        <f>+U159-#REF!</f>
        <v>#REF!</v>
      </c>
      <c r="V192" s="378" t="e">
        <f t="shared" si="26"/>
        <v>#REF!</v>
      </c>
    </row>
    <row r="193" spans="1:22" s="350" customFormat="1" hidden="1">
      <c r="A193" s="344"/>
      <c r="B193" s="331"/>
      <c r="C193" s="344"/>
      <c r="E193" s="473"/>
      <c r="F193" s="398" t="s">
        <v>112</v>
      </c>
      <c r="G193" s="471"/>
      <c r="H193" s="378" t="e">
        <f>+H160-#REF!</f>
        <v>#REF!</v>
      </c>
      <c r="I193" s="378" t="e">
        <f>+I160-#REF!</f>
        <v>#REF!</v>
      </c>
      <c r="J193" s="378" t="e">
        <f>+J160-#REF!</f>
        <v>#REF!</v>
      </c>
      <c r="K193" s="378" t="e">
        <f t="shared" si="25"/>
        <v>#REF!</v>
      </c>
      <c r="M193" s="331"/>
      <c r="N193" s="302"/>
      <c r="P193" s="525"/>
      <c r="Q193" s="516" t="s">
        <v>112</v>
      </c>
      <c r="R193" s="525"/>
      <c r="S193" s="378" t="e">
        <f>+S160-#REF!</f>
        <v>#REF!</v>
      </c>
      <c r="T193" s="378" t="e">
        <f>+T160-#REF!</f>
        <v>#REF!</v>
      </c>
      <c r="U193" s="378" t="e">
        <f>+U160-#REF!</f>
        <v>#REF!</v>
      </c>
      <c r="V193" s="378" t="e">
        <f t="shared" si="26"/>
        <v>#REF!</v>
      </c>
    </row>
    <row r="194" spans="1:22" s="350" customFormat="1" hidden="1">
      <c r="A194" s="344"/>
      <c r="B194" s="331"/>
      <c r="C194" s="344"/>
      <c r="E194" s="473"/>
      <c r="F194" s="398" t="s">
        <v>148</v>
      </c>
      <c r="G194" s="471"/>
      <c r="H194" s="378" t="e">
        <f>+H161-#REF!</f>
        <v>#REF!</v>
      </c>
      <c r="I194" s="378" t="e">
        <f>+I161-#REF!</f>
        <v>#REF!</v>
      </c>
      <c r="J194" s="378" t="e">
        <f>+J161-#REF!</f>
        <v>#REF!</v>
      </c>
      <c r="K194" s="378" t="e">
        <f t="shared" si="25"/>
        <v>#REF!</v>
      </c>
      <c r="M194" s="331"/>
      <c r="N194" s="302"/>
      <c r="P194" s="525"/>
      <c r="Q194" s="516" t="s">
        <v>148</v>
      </c>
      <c r="R194" s="525"/>
      <c r="S194" s="378" t="e">
        <f>+S161-#REF!</f>
        <v>#REF!</v>
      </c>
      <c r="T194" s="378" t="e">
        <f>+T161-#REF!</f>
        <v>#REF!</v>
      </c>
      <c r="U194" s="378" t="e">
        <f>+U161-#REF!</f>
        <v>#REF!</v>
      </c>
      <c r="V194" s="378" t="e">
        <f t="shared" si="26"/>
        <v>#REF!</v>
      </c>
    </row>
    <row r="195" spans="1:22" s="350" customFormat="1" hidden="1">
      <c r="A195" s="344"/>
      <c r="B195" s="331"/>
      <c r="C195" s="344"/>
      <c r="E195" s="473"/>
      <c r="F195" s="398" t="s">
        <v>149</v>
      </c>
      <c r="G195" s="471"/>
      <c r="H195" s="378" t="e">
        <f>+H162-#REF!</f>
        <v>#REF!</v>
      </c>
      <c r="I195" s="378" t="e">
        <f>+I162-#REF!</f>
        <v>#REF!</v>
      </c>
      <c r="J195" s="378" t="e">
        <f>+J162-#REF!</f>
        <v>#REF!</v>
      </c>
      <c r="K195" s="378" t="e">
        <f t="shared" si="25"/>
        <v>#REF!</v>
      </c>
      <c r="M195" s="331"/>
      <c r="N195" s="302"/>
      <c r="P195" s="525"/>
      <c r="Q195" s="516" t="s">
        <v>149</v>
      </c>
      <c r="R195" s="525"/>
      <c r="S195" s="378" t="e">
        <f>+S162-#REF!</f>
        <v>#REF!</v>
      </c>
      <c r="T195" s="378" t="e">
        <f>+T162-#REF!</f>
        <v>#REF!</v>
      </c>
      <c r="U195" s="378" t="e">
        <f>+U162-#REF!</f>
        <v>#REF!</v>
      </c>
      <c r="V195" s="378" t="e">
        <f t="shared" si="26"/>
        <v>#REF!</v>
      </c>
    </row>
    <row r="196" spans="1:22" s="350" customFormat="1" hidden="1">
      <c r="A196" s="344"/>
      <c r="B196" s="331"/>
      <c r="C196" s="344"/>
      <c r="E196" s="473"/>
      <c r="F196" s="398" t="s">
        <v>150</v>
      </c>
      <c r="G196" s="471"/>
      <c r="H196" s="378" t="e">
        <f>+H163-#REF!</f>
        <v>#REF!</v>
      </c>
      <c r="I196" s="378" t="e">
        <f>+I163-#REF!</f>
        <v>#REF!</v>
      </c>
      <c r="J196" s="378" t="e">
        <f>+J163-#REF!</f>
        <v>#REF!</v>
      </c>
      <c r="K196" s="378" t="e">
        <f t="shared" si="25"/>
        <v>#REF!</v>
      </c>
      <c r="M196" s="331"/>
      <c r="N196" s="302"/>
      <c r="P196" s="525"/>
      <c r="Q196" s="516" t="s">
        <v>150</v>
      </c>
      <c r="R196" s="525"/>
      <c r="S196" s="378" t="e">
        <f>+S163-#REF!</f>
        <v>#REF!</v>
      </c>
      <c r="T196" s="378" t="e">
        <f>+T163-#REF!</f>
        <v>#REF!</v>
      </c>
      <c r="U196" s="378" t="e">
        <f>+U163-#REF!</f>
        <v>#REF!</v>
      </c>
      <c r="V196" s="378" t="e">
        <f t="shared" si="26"/>
        <v>#REF!</v>
      </c>
    </row>
    <row r="197" spans="1:22" s="350" customFormat="1" hidden="1">
      <c r="A197" s="344"/>
      <c r="B197" s="331"/>
      <c r="C197" s="344"/>
      <c r="E197" s="473"/>
      <c r="F197" s="398" t="s">
        <v>151</v>
      </c>
      <c r="G197" s="471"/>
      <c r="H197" s="378" t="e">
        <f>+H164-#REF!</f>
        <v>#REF!</v>
      </c>
      <c r="I197" s="378" t="e">
        <f>+I164-#REF!</f>
        <v>#REF!</v>
      </c>
      <c r="J197" s="378" t="e">
        <f>+J164-#REF!</f>
        <v>#REF!</v>
      </c>
      <c r="K197" s="378" t="e">
        <f t="shared" si="25"/>
        <v>#REF!</v>
      </c>
      <c r="M197" s="331"/>
      <c r="N197" s="302"/>
      <c r="P197" s="525"/>
      <c r="Q197" s="516" t="s">
        <v>151</v>
      </c>
      <c r="R197" s="525"/>
      <c r="S197" s="378" t="e">
        <f>+S164-#REF!</f>
        <v>#REF!</v>
      </c>
      <c r="T197" s="378" t="e">
        <f>+T164-#REF!</f>
        <v>#REF!</v>
      </c>
      <c r="U197" s="378" t="e">
        <f>+U164-#REF!</f>
        <v>#REF!</v>
      </c>
      <c r="V197" s="378" t="e">
        <f t="shared" si="26"/>
        <v>#REF!</v>
      </c>
    </row>
    <row r="198" spans="1:22" s="350" customFormat="1" hidden="1">
      <c r="A198" s="344"/>
      <c r="B198" s="331"/>
      <c r="C198" s="344"/>
      <c r="E198" s="473"/>
      <c r="F198" s="398" t="s">
        <v>152</v>
      </c>
      <c r="G198" s="471"/>
      <c r="H198" s="378" t="e">
        <f>+H165-#REF!</f>
        <v>#REF!</v>
      </c>
      <c r="I198" s="378" t="e">
        <f>+I165-#REF!</f>
        <v>#REF!</v>
      </c>
      <c r="J198" s="378" t="e">
        <f>+J165-#REF!</f>
        <v>#REF!</v>
      </c>
      <c r="K198" s="378" t="e">
        <f t="shared" si="25"/>
        <v>#REF!</v>
      </c>
      <c r="M198" s="331"/>
      <c r="N198" s="302"/>
      <c r="P198" s="525"/>
      <c r="Q198" s="516" t="s">
        <v>152</v>
      </c>
      <c r="R198" s="525"/>
      <c r="S198" s="378" t="e">
        <f>+S165-#REF!</f>
        <v>#REF!</v>
      </c>
      <c r="T198" s="378" t="e">
        <f>+T165-#REF!</f>
        <v>#REF!</v>
      </c>
      <c r="U198" s="378" t="e">
        <f>+U165-#REF!</f>
        <v>#REF!</v>
      </c>
      <c r="V198" s="378" t="e">
        <f t="shared" si="26"/>
        <v>#REF!</v>
      </c>
    </row>
    <row r="199" spans="1:22" s="350" customFormat="1" hidden="1">
      <c r="A199" s="344"/>
      <c r="B199" s="331"/>
      <c r="C199" s="344"/>
      <c r="E199" s="473"/>
      <c r="F199" s="398" t="s">
        <v>153</v>
      </c>
      <c r="G199" s="471"/>
      <c r="H199" s="378" t="e">
        <f t="shared" ref="H199:J205" si="27">+H166-H135</f>
        <v>#REF!</v>
      </c>
      <c r="I199" s="378" t="e">
        <f t="shared" si="27"/>
        <v>#REF!</v>
      </c>
      <c r="J199" s="378" t="e">
        <f t="shared" si="27"/>
        <v>#REF!</v>
      </c>
      <c r="K199" s="378" t="e">
        <f t="shared" si="25"/>
        <v>#REF!</v>
      </c>
      <c r="M199" s="331"/>
      <c r="N199" s="302"/>
      <c r="P199" s="525"/>
      <c r="Q199" s="516" t="s">
        <v>153</v>
      </c>
      <c r="R199" s="525"/>
      <c r="S199" s="378" t="e">
        <f t="shared" ref="S199:U205" si="28">+S166-S135</f>
        <v>#REF!</v>
      </c>
      <c r="T199" s="378" t="e">
        <f t="shared" si="28"/>
        <v>#REF!</v>
      </c>
      <c r="U199" s="378" t="e">
        <f t="shared" si="28"/>
        <v>#REF!</v>
      </c>
      <c r="V199" s="378" t="e">
        <f t="shared" si="26"/>
        <v>#REF!</v>
      </c>
    </row>
    <row r="200" spans="1:22" s="350" customFormat="1" hidden="1">
      <c r="A200" s="344"/>
      <c r="B200" s="331"/>
      <c r="C200" s="344"/>
      <c r="E200" s="473"/>
      <c r="F200" s="398" t="s">
        <v>154</v>
      </c>
      <c r="G200" s="471"/>
      <c r="H200" s="378" t="e">
        <f t="shared" si="27"/>
        <v>#REF!</v>
      </c>
      <c r="I200" s="378" t="e">
        <f t="shared" si="27"/>
        <v>#REF!</v>
      </c>
      <c r="J200" s="378" t="e">
        <f t="shared" si="27"/>
        <v>#REF!</v>
      </c>
      <c r="K200" s="378" t="e">
        <f t="shared" si="25"/>
        <v>#REF!</v>
      </c>
      <c r="M200" s="331"/>
      <c r="N200" s="302"/>
      <c r="P200" s="525"/>
      <c r="Q200" s="516" t="s">
        <v>154</v>
      </c>
      <c r="R200" s="525"/>
      <c r="S200" s="378" t="e">
        <f t="shared" si="28"/>
        <v>#REF!</v>
      </c>
      <c r="T200" s="378" t="e">
        <f t="shared" si="28"/>
        <v>#REF!</v>
      </c>
      <c r="U200" s="378" t="e">
        <f t="shared" si="28"/>
        <v>#REF!</v>
      </c>
      <c r="V200" s="378" t="e">
        <f t="shared" si="26"/>
        <v>#REF!</v>
      </c>
    </row>
    <row r="201" spans="1:22" s="350" customFormat="1" hidden="1">
      <c r="A201" s="344"/>
      <c r="B201" s="331"/>
      <c r="C201" s="344"/>
      <c r="E201" s="473"/>
      <c r="F201" s="398" t="s">
        <v>155</v>
      </c>
      <c r="G201" s="471"/>
      <c r="H201" s="378" t="e">
        <f t="shared" si="27"/>
        <v>#REF!</v>
      </c>
      <c r="I201" s="378" t="e">
        <f t="shared" si="27"/>
        <v>#REF!</v>
      </c>
      <c r="J201" s="378" t="e">
        <f t="shared" si="27"/>
        <v>#REF!</v>
      </c>
      <c r="K201" s="378" t="e">
        <f t="shared" si="25"/>
        <v>#REF!</v>
      </c>
      <c r="M201" s="331"/>
      <c r="N201" s="302"/>
      <c r="P201" s="525"/>
      <c r="Q201" s="516" t="s">
        <v>155</v>
      </c>
      <c r="R201" s="525"/>
      <c r="S201" s="378" t="e">
        <f t="shared" si="28"/>
        <v>#REF!</v>
      </c>
      <c r="T201" s="378" t="e">
        <f t="shared" si="28"/>
        <v>#REF!</v>
      </c>
      <c r="U201" s="378" t="e">
        <f t="shared" si="28"/>
        <v>#REF!</v>
      </c>
      <c r="V201" s="378" t="e">
        <f t="shared" si="26"/>
        <v>#REF!</v>
      </c>
    </row>
    <row r="202" spans="1:22" s="350" customFormat="1" hidden="1">
      <c r="A202" s="344"/>
      <c r="B202" s="331"/>
      <c r="C202" s="344"/>
      <c r="E202" s="473"/>
      <c r="F202" s="398" t="s">
        <v>156</v>
      </c>
      <c r="G202" s="471"/>
      <c r="H202" s="378" t="e">
        <f t="shared" si="27"/>
        <v>#REF!</v>
      </c>
      <c r="I202" s="378" t="e">
        <f t="shared" si="27"/>
        <v>#REF!</v>
      </c>
      <c r="J202" s="378" t="e">
        <f t="shared" si="27"/>
        <v>#REF!</v>
      </c>
      <c r="K202" s="378" t="e">
        <f t="shared" si="25"/>
        <v>#REF!</v>
      </c>
      <c r="M202" s="331"/>
      <c r="N202" s="302"/>
      <c r="P202" s="525"/>
      <c r="Q202" s="516" t="s">
        <v>156</v>
      </c>
      <c r="R202" s="525"/>
      <c r="S202" s="378" t="e">
        <f t="shared" si="28"/>
        <v>#REF!</v>
      </c>
      <c r="T202" s="378" t="e">
        <f t="shared" si="28"/>
        <v>#REF!</v>
      </c>
      <c r="U202" s="378" t="e">
        <f t="shared" si="28"/>
        <v>#REF!</v>
      </c>
      <c r="V202" s="378" t="e">
        <f t="shared" si="26"/>
        <v>#REF!</v>
      </c>
    </row>
    <row r="203" spans="1:22" s="350" customFormat="1" hidden="1">
      <c r="A203" s="344"/>
      <c r="B203" s="331"/>
      <c r="C203" s="344"/>
      <c r="E203" s="473"/>
      <c r="F203" s="398" t="s">
        <v>157</v>
      </c>
      <c r="G203" s="471"/>
      <c r="H203" s="378" t="e">
        <f t="shared" si="27"/>
        <v>#REF!</v>
      </c>
      <c r="I203" s="378" t="e">
        <f t="shared" si="27"/>
        <v>#REF!</v>
      </c>
      <c r="J203" s="378" t="e">
        <f t="shared" si="27"/>
        <v>#REF!</v>
      </c>
      <c r="K203" s="378" t="e">
        <f t="shared" si="25"/>
        <v>#REF!</v>
      </c>
      <c r="M203" s="331"/>
      <c r="N203" s="302"/>
      <c r="P203" s="525"/>
      <c r="Q203" s="516" t="s">
        <v>157</v>
      </c>
      <c r="R203" s="525"/>
      <c r="S203" s="378" t="e">
        <f t="shared" si="28"/>
        <v>#REF!</v>
      </c>
      <c r="T203" s="378" t="e">
        <f t="shared" si="28"/>
        <v>#REF!</v>
      </c>
      <c r="U203" s="378" t="e">
        <f t="shared" si="28"/>
        <v>#REF!</v>
      </c>
      <c r="V203" s="378" t="e">
        <f t="shared" si="26"/>
        <v>#REF!</v>
      </c>
    </row>
    <row r="204" spans="1:22" s="350" customFormat="1" hidden="1">
      <c r="A204" s="344"/>
      <c r="B204" s="331"/>
      <c r="C204" s="344"/>
      <c r="E204" s="473"/>
      <c r="F204" s="398" t="s">
        <v>158</v>
      </c>
      <c r="G204" s="471"/>
      <c r="H204" s="378" t="e">
        <f t="shared" si="27"/>
        <v>#REF!</v>
      </c>
      <c r="I204" s="378" t="e">
        <f t="shared" si="27"/>
        <v>#REF!</v>
      </c>
      <c r="J204" s="378" t="e">
        <f t="shared" si="27"/>
        <v>#REF!</v>
      </c>
      <c r="K204" s="378" t="e">
        <f t="shared" si="25"/>
        <v>#REF!</v>
      </c>
      <c r="M204" s="331"/>
      <c r="N204" s="302"/>
      <c r="P204" s="525"/>
      <c r="Q204" s="516" t="s">
        <v>158</v>
      </c>
      <c r="R204" s="525"/>
      <c r="S204" s="378" t="e">
        <f t="shared" si="28"/>
        <v>#REF!</v>
      </c>
      <c r="T204" s="378" t="e">
        <f t="shared" si="28"/>
        <v>#REF!</v>
      </c>
      <c r="U204" s="378" t="e">
        <f t="shared" si="28"/>
        <v>#REF!</v>
      </c>
      <c r="V204" s="378" t="e">
        <f t="shared" si="26"/>
        <v>#REF!</v>
      </c>
    </row>
    <row r="205" spans="1:22" s="350" customFormat="1" hidden="1">
      <c r="A205" s="344"/>
      <c r="B205" s="331"/>
      <c r="C205" s="344"/>
      <c r="E205" s="473"/>
      <c r="F205" s="398" t="s">
        <v>159</v>
      </c>
      <c r="G205" s="471"/>
      <c r="H205" s="378" t="e">
        <f t="shared" si="27"/>
        <v>#REF!</v>
      </c>
      <c r="I205" s="378" t="e">
        <f t="shared" si="27"/>
        <v>#REF!</v>
      </c>
      <c r="J205" s="378" t="e">
        <f t="shared" si="27"/>
        <v>#REF!</v>
      </c>
      <c r="K205" s="378" t="e">
        <f t="shared" si="25"/>
        <v>#REF!</v>
      </c>
      <c r="M205" s="331"/>
      <c r="N205" s="302"/>
      <c r="P205" s="525"/>
      <c r="Q205" s="516" t="s">
        <v>159</v>
      </c>
      <c r="R205" s="525"/>
      <c r="S205" s="378" t="e">
        <f t="shared" si="28"/>
        <v>#REF!</v>
      </c>
      <c r="T205" s="378" t="e">
        <f t="shared" si="28"/>
        <v>#REF!</v>
      </c>
      <c r="U205" s="378" t="e">
        <f t="shared" si="28"/>
        <v>#REF!</v>
      </c>
      <c r="V205" s="378" t="e">
        <f t="shared" si="26"/>
        <v>#REF!</v>
      </c>
    </row>
    <row r="206" spans="1:22" s="350" customFormat="1" hidden="1">
      <c r="A206" s="344"/>
      <c r="B206" s="331"/>
      <c r="C206" s="344"/>
      <c r="E206" s="473"/>
      <c r="F206" s="471" t="s">
        <v>132</v>
      </c>
      <c r="G206" s="471"/>
      <c r="H206" s="488" t="e">
        <f>SUM(H182:H205)</f>
        <v>#REF!</v>
      </c>
      <c r="I206" s="488" t="e">
        <f>SUM(I182:I205)</f>
        <v>#REF!</v>
      </c>
      <c r="J206" s="488" t="e">
        <f>SUM(J182:J205)</f>
        <v>#REF!</v>
      </c>
      <c r="K206" s="488" t="e">
        <f>SUM(K182:K205)</f>
        <v>#REF!</v>
      </c>
      <c r="M206" s="331"/>
      <c r="N206" s="302"/>
      <c r="P206" s="525"/>
      <c r="Q206" s="525" t="s">
        <v>132</v>
      </c>
      <c r="R206" s="525"/>
      <c r="S206" s="488" t="e">
        <f>SUM(S182:S205)</f>
        <v>#REF!</v>
      </c>
      <c r="T206" s="488" t="e">
        <f>SUM(T182:T205)</f>
        <v>#REF!</v>
      </c>
      <c r="U206" s="488" t="e">
        <f>SUM(U182:U205)</f>
        <v>#REF!</v>
      </c>
      <c r="V206" s="488" t="e">
        <f>SUM(V182:V205)</f>
        <v>#REF!</v>
      </c>
    </row>
    <row r="207" spans="1:22" s="350" customFormat="1" hidden="1">
      <c r="A207" s="344"/>
      <c r="B207" s="331"/>
      <c r="C207" s="344"/>
      <c r="E207" s="473"/>
      <c r="F207" s="471"/>
      <c r="G207" s="471"/>
      <c r="H207" s="488"/>
      <c r="I207" s="488"/>
      <c r="J207" s="488"/>
      <c r="K207" s="488"/>
      <c r="M207" s="331"/>
      <c r="N207" s="302"/>
      <c r="P207" s="525"/>
      <c r="Q207" s="525"/>
      <c r="R207" s="525"/>
      <c r="S207" s="488"/>
      <c r="T207" s="488"/>
      <c r="U207" s="488"/>
      <c r="V207" s="488"/>
    </row>
    <row r="208" spans="1:22" s="350" customFormat="1" ht="23.4" hidden="1" thickBot="1">
      <c r="A208" s="344"/>
      <c r="B208" s="331"/>
      <c r="C208" s="344"/>
      <c r="E208" s="473"/>
      <c r="F208" s="471" t="s">
        <v>164</v>
      </c>
      <c r="G208" s="471"/>
      <c r="H208" s="474" t="e">
        <f>+H206+I206</f>
        <v>#REF!</v>
      </c>
      <c r="I208" s="474"/>
      <c r="J208" s="474" t="e">
        <f>+J206+#REF!</f>
        <v>#REF!</v>
      </c>
      <c r="K208" s="474"/>
      <c r="M208" s="331"/>
      <c r="N208" s="302"/>
      <c r="P208" s="525"/>
      <c r="Q208" s="525" t="s">
        <v>164</v>
      </c>
      <c r="R208" s="525"/>
      <c r="S208" s="474" t="e">
        <f>+S206+T206</f>
        <v>#REF!</v>
      </c>
      <c r="T208" s="474"/>
      <c r="U208" s="474" t="e">
        <f>+U206+#REF!</f>
        <v>#REF!</v>
      </c>
      <c r="V208" s="474"/>
    </row>
    <row r="209" spans="1:22" s="350" customFormat="1" hidden="1">
      <c r="A209" s="344"/>
      <c r="B209" s="331"/>
      <c r="C209" s="344"/>
      <c r="E209" s="473"/>
      <c r="F209" s="471"/>
      <c r="G209" s="471"/>
      <c r="H209" s="378"/>
      <c r="I209" s="378"/>
      <c r="J209" s="378"/>
      <c r="K209" s="378"/>
      <c r="M209" s="331"/>
      <c r="N209" s="302"/>
      <c r="P209" s="525"/>
      <c r="Q209" s="525"/>
      <c r="R209" s="525"/>
      <c r="S209" s="378"/>
      <c r="T209" s="378"/>
      <c r="U209" s="378"/>
      <c r="V209" s="378"/>
    </row>
    <row r="210" spans="1:22" s="350" customFormat="1" hidden="1">
      <c r="A210" s="344"/>
      <c r="B210" s="331"/>
      <c r="C210" s="344"/>
      <c r="E210" s="473"/>
      <c r="F210" s="471"/>
      <c r="G210" s="471"/>
      <c r="H210" s="378"/>
      <c r="I210" s="378"/>
      <c r="J210" s="378"/>
      <c r="K210" s="378"/>
      <c r="M210" s="331"/>
      <c r="N210" s="302"/>
      <c r="P210" s="525"/>
      <c r="Q210" s="525"/>
      <c r="R210" s="525"/>
      <c r="S210" s="378"/>
      <c r="T210" s="378"/>
      <c r="U210" s="378"/>
      <c r="V210" s="378"/>
    </row>
    <row r="211" spans="1:22" s="350" customFormat="1" hidden="1">
      <c r="A211" s="344"/>
      <c r="B211" s="331"/>
      <c r="C211" s="344"/>
      <c r="E211" s="473"/>
      <c r="F211" s="489" t="s">
        <v>165</v>
      </c>
      <c r="G211" s="475"/>
      <c r="H211" s="475"/>
      <c r="I211" s="471"/>
      <c r="J211" s="475"/>
      <c r="K211" s="471"/>
      <c r="M211" s="331"/>
      <c r="N211" s="302"/>
      <c r="P211" s="525"/>
      <c r="Q211" s="525" t="s">
        <v>165</v>
      </c>
      <c r="R211" s="516"/>
      <c r="S211" s="475"/>
      <c r="T211" s="471"/>
      <c r="U211" s="475"/>
      <c r="V211" s="471"/>
    </row>
    <row r="212" spans="1:22" s="350" customFormat="1" hidden="1">
      <c r="A212" s="344"/>
      <c r="B212" s="331"/>
      <c r="C212" s="344"/>
      <c r="E212" s="473"/>
      <c r="F212" s="471"/>
      <c r="G212" s="475"/>
      <c r="H212" s="490"/>
      <c r="I212" s="471"/>
      <c r="J212" s="490"/>
      <c r="K212" s="471"/>
      <c r="M212" s="331"/>
      <c r="N212" s="302"/>
      <c r="P212" s="525"/>
      <c r="Q212" s="525"/>
      <c r="R212" s="516"/>
      <c r="S212" s="490"/>
      <c r="T212" s="471"/>
      <c r="U212" s="490"/>
      <c r="V212" s="471"/>
    </row>
    <row r="213" spans="1:22" s="350" customFormat="1" hidden="1">
      <c r="A213" s="344"/>
      <c r="B213" s="331"/>
      <c r="C213" s="344"/>
      <c r="F213" s="344"/>
      <c r="G213" s="344"/>
      <c r="H213" s="344"/>
      <c r="I213" s="344"/>
      <c r="J213" s="344"/>
      <c r="K213" s="344"/>
      <c r="M213" s="331"/>
      <c r="N213" s="302"/>
      <c r="P213" s="525"/>
      <c r="Q213" s="525"/>
      <c r="R213" s="525"/>
      <c r="S213" s="344"/>
      <c r="T213" s="344"/>
      <c r="U213" s="344"/>
      <c r="V213" s="344"/>
    </row>
    <row r="214" spans="1:22" s="350" customFormat="1" hidden="1">
      <c r="A214" s="344"/>
      <c r="B214" s="331"/>
      <c r="C214" s="344"/>
      <c r="F214" s="487" t="s">
        <v>166</v>
      </c>
      <c r="G214" s="344"/>
      <c r="H214" s="344"/>
      <c r="I214" s="344"/>
      <c r="J214" s="344"/>
      <c r="K214" s="344"/>
      <c r="M214" s="331"/>
      <c r="N214" s="302"/>
      <c r="P214" s="525"/>
      <c r="Q214" s="516" t="s">
        <v>166</v>
      </c>
      <c r="R214" s="525"/>
      <c r="S214" s="344"/>
      <c r="T214" s="344"/>
      <c r="U214" s="344"/>
      <c r="V214" s="344"/>
    </row>
    <row r="215" spans="1:22" s="350" customFormat="1" ht="12" hidden="1" customHeight="1">
      <c r="A215" s="344"/>
      <c r="B215" s="331"/>
      <c r="C215" s="344"/>
      <c r="F215" s="487"/>
      <c r="G215" s="344"/>
      <c r="H215" s="1351" t="s">
        <v>8</v>
      </c>
      <c r="I215" s="1351"/>
      <c r="J215" s="477" t="s">
        <v>9</v>
      </c>
      <c r="K215" s="478" t="s">
        <v>136</v>
      </c>
      <c r="M215" s="331"/>
      <c r="N215" s="302"/>
      <c r="P215" s="525"/>
      <c r="Q215" s="516"/>
      <c r="R215" s="525"/>
      <c r="S215" s="1351" t="s">
        <v>8</v>
      </c>
      <c r="T215" s="1351"/>
      <c r="U215" s="477" t="s">
        <v>9</v>
      </c>
      <c r="V215" s="478" t="s">
        <v>136</v>
      </c>
    </row>
    <row r="216" spans="1:22" s="350" customFormat="1" hidden="1">
      <c r="A216" s="344"/>
      <c r="B216" s="331"/>
      <c r="C216" s="344"/>
      <c r="F216" s="487"/>
      <c r="G216" s="344"/>
      <c r="H216" s="479" t="s">
        <v>39</v>
      </c>
      <c r="I216" s="480" t="s">
        <v>133</v>
      </c>
      <c r="J216" s="481" t="s">
        <v>40</v>
      </c>
      <c r="K216" s="479"/>
      <c r="M216" s="331"/>
      <c r="N216" s="302"/>
      <c r="P216" s="525"/>
      <c r="Q216" s="516"/>
      <c r="R216" s="525"/>
      <c r="S216" s="479" t="s">
        <v>39</v>
      </c>
      <c r="T216" s="480" t="s">
        <v>133</v>
      </c>
      <c r="U216" s="481" t="s">
        <v>40</v>
      </c>
      <c r="V216" s="479"/>
    </row>
    <row r="217" spans="1:22" s="350" customFormat="1" hidden="1">
      <c r="A217" s="344"/>
      <c r="B217" s="331"/>
      <c r="C217" s="344"/>
      <c r="F217" s="398" t="s">
        <v>167</v>
      </c>
      <c r="G217" s="344"/>
      <c r="H217" s="491" t="e">
        <f>#REF!</f>
        <v>#REF!</v>
      </c>
      <c r="I217" s="491" t="e">
        <f>#REF!</f>
        <v>#REF!</v>
      </c>
      <c r="J217" s="491" t="e">
        <f>#REF!</f>
        <v>#REF!</v>
      </c>
      <c r="K217" s="491" t="e">
        <f>SUM(H217:J217)</f>
        <v>#REF!</v>
      </c>
      <c r="M217" s="331"/>
      <c r="N217" s="302"/>
      <c r="P217" s="525"/>
      <c r="Q217" s="516" t="s">
        <v>167</v>
      </c>
      <c r="R217" s="525"/>
      <c r="S217" s="491" t="e">
        <f>#REF!</f>
        <v>#REF!</v>
      </c>
      <c r="T217" s="491" t="e">
        <f>#REF!</f>
        <v>#REF!</v>
      </c>
      <c r="U217" s="491" t="e">
        <f>#REF!</f>
        <v>#REF!</v>
      </c>
      <c r="V217" s="491" t="e">
        <f>SUM(S217:U217)</f>
        <v>#REF!</v>
      </c>
    </row>
    <row r="218" spans="1:22" s="350" customFormat="1" hidden="1">
      <c r="A218" s="344"/>
      <c r="B218" s="331"/>
      <c r="C218" s="344"/>
      <c r="F218" s="398" t="s">
        <v>168</v>
      </c>
      <c r="G218" s="344"/>
      <c r="H218" s="491" t="e">
        <f>#REF!</f>
        <v>#REF!</v>
      </c>
      <c r="I218" s="491" t="e">
        <f>#REF!</f>
        <v>#REF!</v>
      </c>
      <c r="J218" s="491" t="e">
        <f>#REF!</f>
        <v>#REF!</v>
      </c>
      <c r="K218" s="491" t="e">
        <f>SUM(H218:J218)</f>
        <v>#REF!</v>
      </c>
      <c r="M218" s="331"/>
      <c r="N218" s="302"/>
      <c r="P218" s="525"/>
      <c r="Q218" s="516" t="s">
        <v>168</v>
      </c>
      <c r="R218" s="525"/>
      <c r="S218" s="491" t="e">
        <f>#REF!</f>
        <v>#REF!</v>
      </c>
      <c r="T218" s="491" t="e">
        <f>#REF!</f>
        <v>#REF!</v>
      </c>
      <c r="U218" s="491" t="e">
        <f>#REF!</f>
        <v>#REF!</v>
      </c>
      <c r="V218" s="491" t="e">
        <f>SUM(S218:U218)</f>
        <v>#REF!</v>
      </c>
    </row>
    <row r="219" spans="1:22" s="350" customFormat="1" ht="23.4" hidden="1" thickBot="1">
      <c r="A219" s="344"/>
      <c r="B219" s="331"/>
      <c r="C219" s="344"/>
      <c r="F219" s="398" t="s">
        <v>132</v>
      </c>
      <c r="G219" s="344"/>
      <c r="H219" s="492" t="e">
        <f>+H218-H217</f>
        <v>#REF!</v>
      </c>
      <c r="I219" s="492" t="e">
        <f>+I218-I217</f>
        <v>#REF!</v>
      </c>
      <c r="J219" s="492" t="e">
        <f>+J218-J217</f>
        <v>#REF!</v>
      </c>
      <c r="K219" s="492" t="e">
        <f>+K218-K217</f>
        <v>#REF!</v>
      </c>
      <c r="M219" s="331"/>
      <c r="N219" s="302"/>
      <c r="P219" s="525"/>
      <c r="Q219" s="516" t="s">
        <v>132</v>
      </c>
      <c r="R219" s="525"/>
      <c r="S219" s="492" t="e">
        <f>+S218-S217</f>
        <v>#REF!</v>
      </c>
      <c r="T219" s="492" t="e">
        <f>+T218-T217</f>
        <v>#REF!</v>
      </c>
      <c r="U219" s="492" t="e">
        <f>+U218-U217</f>
        <v>#REF!</v>
      </c>
      <c r="V219" s="492" t="e">
        <f>+V218-V217</f>
        <v>#REF!</v>
      </c>
    </row>
    <row r="220" spans="1:22" s="350" customFormat="1" hidden="1">
      <c r="A220" s="344"/>
      <c r="B220" s="331"/>
      <c r="C220" s="344"/>
      <c r="F220" s="398"/>
      <c r="G220" s="344"/>
      <c r="H220" s="491"/>
      <c r="I220" s="491"/>
      <c r="J220" s="491"/>
      <c r="K220" s="491"/>
      <c r="M220" s="331"/>
      <c r="N220" s="302"/>
      <c r="P220" s="525"/>
      <c r="Q220" s="516"/>
      <c r="R220" s="525"/>
      <c r="S220" s="491"/>
      <c r="T220" s="491"/>
      <c r="U220" s="491"/>
      <c r="V220" s="491"/>
    </row>
    <row r="221" spans="1:22" s="350" customFormat="1" hidden="1">
      <c r="A221" s="344"/>
      <c r="B221" s="331"/>
      <c r="C221" s="344"/>
      <c r="E221" s="473"/>
      <c r="F221" s="398" t="s">
        <v>132</v>
      </c>
      <c r="G221" s="475"/>
      <c r="H221" s="486" t="e">
        <f>+H206-H219</f>
        <v>#REF!</v>
      </c>
      <c r="I221" s="486" t="e">
        <f>+I206-I219</f>
        <v>#REF!</v>
      </c>
      <c r="J221" s="486" t="e">
        <f>+J206-J219</f>
        <v>#REF!</v>
      </c>
      <c r="K221" s="486" t="e">
        <f>+K206-K219</f>
        <v>#REF!</v>
      </c>
      <c r="M221" s="331"/>
      <c r="N221" s="302"/>
      <c r="P221" s="525"/>
      <c r="Q221" s="516" t="s">
        <v>132</v>
      </c>
      <c r="R221" s="516"/>
      <c r="S221" s="486" t="e">
        <f>+S206-S219</f>
        <v>#REF!</v>
      </c>
      <c r="T221" s="486" t="e">
        <f>+T206-T219</f>
        <v>#REF!</v>
      </c>
      <c r="U221" s="486" t="e">
        <f>+U206-U219</f>
        <v>#REF!</v>
      </c>
      <c r="V221" s="486" t="e">
        <f>+V206-V219</f>
        <v>#REF!</v>
      </c>
    </row>
    <row r="222" spans="1:22" s="350" customFormat="1" hidden="1">
      <c r="A222" s="344"/>
      <c r="B222" s="331"/>
      <c r="C222" s="344"/>
      <c r="E222" s="473"/>
      <c r="F222" s="426"/>
      <c r="G222" s="475"/>
      <c r="H222" s="486"/>
      <c r="I222" s="486"/>
      <c r="J222" s="486"/>
      <c r="K222" s="486"/>
      <c r="M222" s="331"/>
      <c r="N222" s="302"/>
      <c r="P222" s="525"/>
      <c r="Q222" s="516"/>
      <c r="R222" s="516"/>
      <c r="S222" s="486"/>
      <c r="T222" s="486"/>
      <c r="U222" s="486"/>
      <c r="V222" s="486"/>
    </row>
    <row r="223" spans="1:22" s="350" customFormat="1" hidden="1">
      <c r="A223" s="344"/>
      <c r="B223" s="331"/>
      <c r="C223" s="344"/>
      <c r="E223" s="473"/>
      <c r="F223" s="426"/>
      <c r="G223" s="475"/>
      <c r="H223" s="486"/>
      <c r="I223" s="486"/>
      <c r="J223" s="486"/>
      <c r="K223" s="486"/>
      <c r="M223" s="331"/>
      <c r="N223" s="302"/>
      <c r="P223" s="525"/>
      <c r="Q223" s="516"/>
      <c r="R223" s="516"/>
      <c r="S223" s="486"/>
      <c r="T223" s="486"/>
      <c r="U223" s="486"/>
      <c r="V223" s="486"/>
    </row>
    <row r="224" spans="1:22" s="350" customFormat="1" hidden="1">
      <c r="A224" s="344"/>
      <c r="B224" s="331"/>
      <c r="C224" s="344"/>
      <c r="E224" s="473"/>
      <c r="F224" s="487"/>
      <c r="G224" s="475"/>
      <c r="H224" s="378"/>
      <c r="I224" s="378"/>
      <c r="J224" s="378"/>
      <c r="K224" s="471"/>
      <c r="M224" s="331"/>
      <c r="N224" s="302"/>
      <c r="P224" s="525"/>
      <c r="Q224" s="516"/>
      <c r="R224" s="516"/>
      <c r="S224" s="378"/>
      <c r="T224" s="378"/>
      <c r="U224" s="378"/>
      <c r="V224" s="471"/>
    </row>
    <row r="225" spans="1:22" s="350" customFormat="1" hidden="1">
      <c r="A225" s="344"/>
      <c r="B225" s="331"/>
      <c r="C225" s="344"/>
      <c r="E225" s="473"/>
      <c r="F225" s="426"/>
      <c r="G225" s="475"/>
      <c r="H225" s="493"/>
      <c r="I225" s="489"/>
      <c r="J225" s="489"/>
      <c r="K225" s="471"/>
      <c r="M225" s="331"/>
      <c r="N225" s="302"/>
      <c r="P225" s="525"/>
      <c r="Q225" s="516"/>
      <c r="R225" s="516"/>
      <c r="S225" s="493"/>
      <c r="T225" s="489"/>
      <c r="U225" s="489"/>
      <c r="V225" s="471"/>
    </row>
    <row r="226" spans="1:22" s="350" customFormat="1" hidden="1">
      <c r="A226" s="344"/>
      <c r="B226" s="331"/>
      <c r="C226" s="344"/>
      <c r="E226" s="473"/>
      <c r="F226" s="398" t="s">
        <v>416</v>
      </c>
      <c r="G226" s="475"/>
      <c r="H226" s="475"/>
      <c r="I226" s="471"/>
      <c r="J226" s="475"/>
      <c r="K226" s="471"/>
      <c r="M226" s="331"/>
      <c r="N226" s="302"/>
      <c r="P226" s="525"/>
      <c r="Q226" s="516" t="s">
        <v>416</v>
      </c>
      <c r="R226" s="516"/>
      <c r="S226" s="475"/>
      <c r="T226" s="471"/>
      <c r="U226" s="475"/>
      <c r="V226" s="471"/>
    </row>
    <row r="227" spans="1:22" s="350" customFormat="1" hidden="1">
      <c r="A227" s="344"/>
      <c r="B227" s="331"/>
      <c r="C227" s="344"/>
      <c r="F227" s="398"/>
      <c r="G227" s="344"/>
      <c r="H227" s="344"/>
      <c r="I227" s="344"/>
      <c r="J227" s="344"/>
      <c r="K227" s="344"/>
      <c r="M227" s="331"/>
      <c r="N227" s="302"/>
      <c r="P227" s="525"/>
      <c r="Q227" s="516"/>
      <c r="R227" s="525"/>
      <c r="S227" s="344"/>
      <c r="T227" s="344"/>
      <c r="U227" s="344"/>
      <c r="V227" s="344"/>
    </row>
    <row r="228" spans="1:22" s="350" customFormat="1" hidden="1">
      <c r="A228" s="344"/>
      <c r="B228" s="331"/>
      <c r="C228" s="344"/>
      <c r="F228" s="398"/>
      <c r="G228" s="344"/>
      <c r="H228" s="494" t="s">
        <v>169</v>
      </c>
      <c r="I228" s="494" t="s">
        <v>170</v>
      </c>
      <c r="J228" s="494" t="s">
        <v>171</v>
      </c>
      <c r="K228" s="344"/>
      <c r="M228" s="331"/>
      <c r="N228" s="302"/>
      <c r="P228" s="525"/>
      <c r="Q228" s="516"/>
      <c r="R228" s="525"/>
      <c r="S228" s="494" t="s">
        <v>169</v>
      </c>
      <c r="T228" s="494" t="s">
        <v>170</v>
      </c>
      <c r="U228" s="494" t="s">
        <v>171</v>
      </c>
      <c r="V228" s="344"/>
    </row>
    <row r="229" spans="1:22" s="350" customFormat="1" hidden="1">
      <c r="A229" s="344"/>
      <c r="B229" s="331"/>
      <c r="C229" s="344"/>
      <c r="E229" s="473"/>
      <c r="F229" s="471" t="s">
        <v>9</v>
      </c>
      <c r="G229" s="471"/>
      <c r="H229" s="491" t="e">
        <f>-J208</f>
        <v>#REF!</v>
      </c>
      <c r="I229" s="491" t="e">
        <f>+H229*0.12</f>
        <v>#REF!</v>
      </c>
      <c r="J229" s="491" t="e">
        <f>+H229+I229</f>
        <v>#REF!</v>
      </c>
      <c r="K229" s="475"/>
      <c r="M229" s="331"/>
      <c r="N229" s="302"/>
      <c r="P229" s="525"/>
      <c r="Q229" s="525" t="s">
        <v>9</v>
      </c>
      <c r="R229" s="525"/>
      <c r="S229" s="491" t="e">
        <f>-U208</f>
        <v>#REF!</v>
      </c>
      <c r="T229" s="491" t="e">
        <f>+S229*0.12</f>
        <v>#REF!</v>
      </c>
      <c r="U229" s="491" t="e">
        <f>+S229+T229</f>
        <v>#REF!</v>
      </c>
      <c r="V229" s="475"/>
    </row>
    <row r="230" spans="1:22" s="350" customFormat="1" hidden="1">
      <c r="A230" s="344"/>
      <c r="B230" s="331"/>
      <c r="C230" s="344"/>
      <c r="E230" s="473"/>
      <c r="F230" s="471" t="s">
        <v>11</v>
      </c>
      <c r="G230" s="471"/>
      <c r="H230" s="491" t="e">
        <f>-#REF!</f>
        <v>#REF!</v>
      </c>
      <c r="I230" s="491" t="e">
        <f>+H230*0.12</f>
        <v>#REF!</v>
      </c>
      <c r="J230" s="491" t="e">
        <f>+H230+I230</f>
        <v>#REF!</v>
      </c>
      <c r="K230" s="475"/>
      <c r="M230" s="331"/>
      <c r="N230" s="302"/>
      <c r="P230" s="525"/>
      <c r="Q230" s="525" t="s">
        <v>11</v>
      </c>
      <c r="R230" s="525"/>
      <c r="S230" s="491" t="e">
        <f>-#REF!</f>
        <v>#REF!</v>
      </c>
      <c r="T230" s="491" t="e">
        <f>+S230*0.12</f>
        <v>#REF!</v>
      </c>
      <c r="U230" s="491" t="e">
        <f>+S230+T230</f>
        <v>#REF!</v>
      </c>
      <c r="V230" s="475"/>
    </row>
    <row r="231" spans="1:22" s="350" customFormat="1" hidden="1">
      <c r="A231" s="344"/>
      <c r="B231" s="331"/>
      <c r="C231" s="344"/>
      <c r="E231" s="473"/>
      <c r="F231" s="473"/>
      <c r="G231" s="473"/>
      <c r="H231" s="491"/>
      <c r="I231" s="491"/>
      <c r="J231" s="491"/>
      <c r="K231" s="424"/>
      <c r="M231" s="331"/>
      <c r="N231" s="302"/>
      <c r="P231" s="525"/>
      <c r="Q231" s="525"/>
      <c r="R231" s="525"/>
      <c r="S231" s="491"/>
      <c r="T231" s="491"/>
      <c r="U231" s="491"/>
      <c r="V231" s="424"/>
    </row>
    <row r="232" spans="1:22" s="350" customFormat="1" hidden="1">
      <c r="A232" s="344"/>
      <c r="B232" s="331"/>
      <c r="C232" s="344"/>
      <c r="E232" s="473"/>
      <c r="F232" s="473"/>
      <c r="G232" s="473"/>
      <c r="H232" s="491"/>
      <c r="I232" s="491"/>
      <c r="J232" s="491"/>
      <c r="K232" s="424"/>
      <c r="M232" s="331"/>
      <c r="N232" s="302"/>
      <c r="P232" s="525"/>
      <c r="Q232" s="525"/>
      <c r="R232" s="525"/>
      <c r="S232" s="491"/>
      <c r="T232" s="491"/>
      <c r="U232" s="491"/>
      <c r="V232" s="424"/>
    </row>
    <row r="233" spans="1:22" ht="25.8">
      <c r="I233" s="1354" t="s">
        <v>595</v>
      </c>
      <c r="J233" s="1354"/>
      <c r="K233" s="1354"/>
      <c r="O233" s="333"/>
      <c r="P233" s="1357" t="s">
        <v>595</v>
      </c>
      <c r="Q233" s="1357"/>
      <c r="R233" s="1357"/>
      <c r="S233" s="322"/>
    </row>
    <row r="234" spans="1:22" ht="25.8">
      <c r="I234" s="495" t="s">
        <v>134</v>
      </c>
      <c r="J234" s="495" t="s">
        <v>593</v>
      </c>
      <c r="K234" s="495" t="s">
        <v>594</v>
      </c>
      <c r="O234" s="333"/>
      <c r="P234" s="532" t="s">
        <v>134</v>
      </c>
      <c r="Q234" s="532" t="s">
        <v>593</v>
      </c>
      <c r="R234" s="532" t="s">
        <v>594</v>
      </c>
      <c r="S234" s="322"/>
    </row>
    <row r="235" spans="1:22">
      <c r="E235" s="322"/>
      <c r="F235" s="322"/>
      <c r="G235" s="322"/>
      <c r="H235" s="322"/>
      <c r="I235" s="322"/>
      <c r="J235" s="322"/>
      <c r="R235" s="526"/>
      <c r="S235" s="322"/>
      <c r="T235" s="322"/>
      <c r="U235" s="322"/>
    </row>
    <row r="236" spans="1:22" ht="39.75" customHeight="1">
      <c r="E236" s="322"/>
      <c r="F236" s="322"/>
      <c r="G236" s="322"/>
      <c r="H236" s="496" t="s">
        <v>590</v>
      </c>
      <c r="I236" s="497">
        <f>+E131</f>
        <v>200691.61999999997</v>
      </c>
      <c r="J236" s="497">
        <f>+F131</f>
        <v>23115</v>
      </c>
      <c r="K236" s="498">
        <f>+G131</f>
        <v>223806.61999999997</v>
      </c>
      <c r="O236" s="496" t="s">
        <v>590</v>
      </c>
      <c r="P236" s="533">
        <f>+E131</f>
        <v>200691.61999999997</v>
      </c>
      <c r="Q236" s="533">
        <f>+F131</f>
        <v>23115</v>
      </c>
      <c r="R236" s="534">
        <f>+G131</f>
        <v>223806.61999999997</v>
      </c>
      <c r="S236" s="322"/>
      <c r="T236" s="322"/>
      <c r="U236" s="322"/>
    </row>
    <row r="237" spans="1:22" ht="48.75" customHeight="1">
      <c r="H237" s="499" t="s">
        <v>591</v>
      </c>
      <c r="I237" s="498">
        <f>+P131</f>
        <v>210106.03999999995</v>
      </c>
      <c r="J237" s="498">
        <v>23115</v>
      </c>
      <c r="K237" s="498">
        <f>+R131</f>
        <v>232952.75999999992</v>
      </c>
      <c r="O237" s="499" t="s">
        <v>591</v>
      </c>
      <c r="P237" s="534">
        <f>+P131</f>
        <v>210106.03999999995</v>
      </c>
      <c r="Q237" s="534">
        <v>23115</v>
      </c>
      <c r="R237" s="534">
        <f>+R131</f>
        <v>232952.75999999992</v>
      </c>
      <c r="S237" s="322"/>
    </row>
    <row r="238" spans="1:22" ht="63.75" customHeight="1" thickBot="1">
      <c r="H238" s="499" t="s">
        <v>592</v>
      </c>
      <c r="I238" s="500">
        <f>+I237-I236</f>
        <v>9414.4199999999837</v>
      </c>
      <c r="J238" s="500">
        <f>+J237-J236</f>
        <v>0</v>
      </c>
      <c r="K238" s="500">
        <f>+K237-K236</f>
        <v>9146.1399999999558</v>
      </c>
      <c r="O238" s="499" t="s">
        <v>592</v>
      </c>
      <c r="P238" s="535">
        <f>+P237-P236</f>
        <v>9414.4199999999837</v>
      </c>
      <c r="Q238" s="535">
        <f>+Q237-Q236</f>
        <v>0</v>
      </c>
      <c r="R238" s="535">
        <f>+R237-R236</f>
        <v>9146.1399999999558</v>
      </c>
      <c r="S238" s="322"/>
    </row>
    <row r="239" spans="1:22" ht="23.4" thickTop="1">
      <c r="O239" s="333"/>
      <c r="P239" s="526"/>
      <c r="Q239" s="526"/>
      <c r="R239" s="526"/>
      <c r="S239" s="322"/>
    </row>
    <row r="240" spans="1:22">
      <c r="O240" s="333"/>
      <c r="P240" s="526"/>
      <c r="Q240" s="526"/>
      <c r="R240" s="526"/>
      <c r="S240" s="322"/>
    </row>
    <row r="241" spans="8:23">
      <c r="O241" s="333"/>
      <c r="P241" s="526"/>
      <c r="Q241" s="526"/>
      <c r="R241" s="526"/>
      <c r="S241" s="322"/>
    </row>
    <row r="242" spans="8:23" ht="25.8">
      <c r="I242" s="1355" t="s">
        <v>596</v>
      </c>
      <c r="J242" s="1355"/>
      <c r="K242" s="1355"/>
      <c r="O242" s="333"/>
      <c r="P242" s="1358" t="s">
        <v>596</v>
      </c>
      <c r="Q242" s="1358"/>
      <c r="R242" s="1358"/>
      <c r="S242" s="322"/>
    </row>
    <row r="243" spans="8:23" ht="25.8">
      <c r="H243" s="332"/>
      <c r="I243" s="501" t="s">
        <v>8</v>
      </c>
      <c r="J243" s="1356">
        <v>100614.16</v>
      </c>
      <c r="K243" s="1356"/>
      <c r="O243" s="332"/>
      <c r="P243" s="530" t="s">
        <v>8</v>
      </c>
      <c r="Q243" s="1349">
        <v>100614.16</v>
      </c>
      <c r="R243" s="1349"/>
      <c r="S243" s="322"/>
    </row>
    <row r="244" spans="8:23" ht="25.8">
      <c r="H244" s="332"/>
      <c r="I244" s="502" t="s">
        <v>9</v>
      </c>
      <c r="J244" s="1356">
        <v>109491.88</v>
      </c>
      <c r="K244" s="1356"/>
      <c r="O244" s="332"/>
      <c r="P244" s="531" t="s">
        <v>9</v>
      </c>
      <c r="Q244" s="1349">
        <v>109491.88</v>
      </c>
      <c r="R244" s="1349"/>
      <c r="S244" s="322"/>
    </row>
    <row r="245" spans="8:23" ht="25.8">
      <c r="I245" s="502" t="s">
        <v>171</v>
      </c>
      <c r="J245" s="1353">
        <f>+J243+J244</f>
        <v>210106.04</v>
      </c>
      <c r="K245" s="1353"/>
      <c r="O245" s="333"/>
      <c r="P245" s="531" t="s">
        <v>171</v>
      </c>
      <c r="Q245" s="1350">
        <f>+Q243+Q244</f>
        <v>210106.04</v>
      </c>
      <c r="R245" s="1350"/>
      <c r="S245" s="322"/>
    </row>
    <row r="246" spans="8:23">
      <c r="O246" s="333"/>
      <c r="P246" s="526"/>
      <c r="Q246" s="526"/>
      <c r="R246" s="526"/>
      <c r="S246" s="322"/>
    </row>
    <row r="247" spans="8:23">
      <c r="M247" s="527" t="s">
        <v>600</v>
      </c>
      <c r="O247" s="333"/>
      <c r="P247" s="526"/>
      <c r="Q247" s="526"/>
      <c r="R247" s="526"/>
      <c r="S247" s="322"/>
      <c r="T247" s="529" t="s">
        <v>598</v>
      </c>
      <c r="U247" s="529"/>
      <c r="V247" s="529"/>
      <c r="W247" s="528"/>
    </row>
    <row r="248" spans="8:23">
      <c r="O248" s="333"/>
      <c r="P248" s="526"/>
      <c r="Q248" s="526"/>
      <c r="R248" s="526"/>
      <c r="S248" s="322"/>
    </row>
    <row r="250" spans="8:23">
      <c r="T250" s="529" t="s">
        <v>599</v>
      </c>
      <c r="U250" s="529"/>
      <c r="V250" s="529"/>
      <c r="W250" s="528"/>
    </row>
    <row r="251" spans="8:23">
      <c r="M251" s="528" t="s">
        <v>601</v>
      </c>
    </row>
  </sheetData>
  <sheetProtection selectLockedCells="1" selectUnlockedCells="1"/>
  <autoFilter ref="A7:CY134" xr:uid="{00000000-0009-0000-0000-000002000000}"/>
  <mergeCells count="18">
    <mergeCell ref="P242:R242"/>
    <mergeCell ref="Q243:R243"/>
    <mergeCell ref="Q244:R244"/>
    <mergeCell ref="Q245:R245"/>
    <mergeCell ref="H147:I147"/>
    <mergeCell ref="O6:V6"/>
    <mergeCell ref="S147:T147"/>
    <mergeCell ref="D6:K6"/>
    <mergeCell ref="J245:K245"/>
    <mergeCell ref="S180:T180"/>
    <mergeCell ref="S215:T215"/>
    <mergeCell ref="I233:K233"/>
    <mergeCell ref="I242:K242"/>
    <mergeCell ref="J243:K243"/>
    <mergeCell ref="J244:K244"/>
    <mergeCell ref="H180:I180"/>
    <mergeCell ref="H215:I215"/>
    <mergeCell ref="P233:R233"/>
  </mergeCells>
  <conditionalFormatting sqref="A35:A36">
    <cfRule type="duplicateValues" dxfId="450" priority="2231"/>
  </conditionalFormatting>
  <conditionalFormatting sqref="A48">
    <cfRule type="duplicateValues" dxfId="449" priority="2320"/>
  </conditionalFormatting>
  <conditionalFormatting sqref="A114">
    <cfRule type="duplicateValues" dxfId="448" priority="2375"/>
  </conditionalFormatting>
  <conditionalFormatting sqref="A115:A1048576 A1:A34 A37:A47 A49:A113">
    <cfRule type="duplicateValues" dxfId="447" priority="104"/>
  </conditionalFormatting>
  <conditionalFormatting sqref="A48:B48">
    <cfRule type="duplicateValues" dxfId="446" priority="2321"/>
  </conditionalFormatting>
  <conditionalFormatting sqref="A97:B99 A68:B73 A83:B91 B74:B78 B92:B95 A92:A96 B114 A115:B1048576 A104:B113 A1:B34 A49:B52 B53:B57 A53:A67 A74:A82 A37:B47 A100:A103">
    <cfRule type="duplicateValues" dxfId="445" priority="113"/>
  </conditionalFormatting>
  <conditionalFormatting sqref="B35">
    <cfRule type="duplicateValues" dxfId="444" priority="116"/>
  </conditionalFormatting>
  <conditionalFormatting sqref="B36">
    <cfRule type="duplicateValues" dxfId="443" priority="89"/>
    <cfRule type="duplicateValues" dxfId="442" priority="88"/>
    <cfRule type="duplicateValues" dxfId="441" priority="87"/>
    <cfRule type="duplicateValues" dxfId="440" priority="86"/>
  </conditionalFormatting>
  <conditionalFormatting sqref="B48">
    <cfRule type="duplicateValues" dxfId="439" priority="54"/>
    <cfRule type="duplicateValues" dxfId="438" priority="50"/>
    <cfRule type="duplicateValues" dxfId="437" priority="52"/>
    <cfRule type="duplicateValues" dxfId="436" priority="53"/>
  </conditionalFormatting>
  <conditionalFormatting sqref="B58">
    <cfRule type="duplicateValues" dxfId="435" priority="91"/>
    <cfRule type="duplicateValues" dxfId="434" priority="90"/>
    <cfRule type="duplicateValues" dxfId="433" priority="92"/>
  </conditionalFormatting>
  <conditionalFormatting sqref="B59:B60">
    <cfRule type="duplicateValues" dxfId="432" priority="80"/>
    <cfRule type="duplicateValues" dxfId="431" priority="82"/>
    <cfRule type="duplicateValues" dxfId="430" priority="83"/>
    <cfRule type="duplicateValues" dxfId="429" priority="81"/>
  </conditionalFormatting>
  <conditionalFormatting sqref="B61:B66">
    <cfRule type="duplicateValues" dxfId="428" priority="114"/>
  </conditionalFormatting>
  <conditionalFormatting sqref="B67">
    <cfRule type="duplicateValues" dxfId="427" priority="61"/>
    <cfRule type="duplicateValues" dxfId="426" priority="56"/>
    <cfRule type="duplicateValues" dxfId="425" priority="59"/>
    <cfRule type="duplicateValues" dxfId="424" priority="60"/>
    <cfRule type="duplicateValues" dxfId="423" priority="58"/>
    <cfRule type="duplicateValues" dxfId="422" priority="57"/>
  </conditionalFormatting>
  <conditionalFormatting sqref="B79">
    <cfRule type="duplicateValues" dxfId="421" priority="110"/>
    <cfRule type="duplicateValues" dxfId="420" priority="109"/>
  </conditionalFormatting>
  <conditionalFormatting sqref="B80:B82">
    <cfRule type="duplicateValues" dxfId="419" priority="85"/>
    <cfRule type="duplicateValues" dxfId="418" priority="84"/>
  </conditionalFormatting>
  <conditionalFormatting sqref="B96">
    <cfRule type="duplicateValues" dxfId="417" priority="96"/>
    <cfRule type="duplicateValues" dxfId="416" priority="98"/>
    <cfRule type="duplicateValues" dxfId="415" priority="97"/>
  </conditionalFormatting>
  <conditionalFormatting sqref="B97:B99 B68:B78 B83:B95 B1:B35 B104:B1048576 B49:B57 B37:B47">
    <cfRule type="duplicateValues" dxfId="414" priority="106"/>
  </conditionalFormatting>
  <conditionalFormatting sqref="B100:B101">
    <cfRule type="duplicateValues" dxfId="413" priority="93"/>
    <cfRule type="duplicateValues" dxfId="412" priority="94"/>
    <cfRule type="duplicateValues" dxfId="411" priority="95"/>
  </conditionalFormatting>
  <conditionalFormatting sqref="B102">
    <cfRule type="duplicateValues" dxfId="410" priority="112"/>
    <cfRule type="duplicateValues" dxfId="409" priority="111"/>
  </conditionalFormatting>
  <conditionalFormatting sqref="B103">
    <cfRule type="duplicateValues" dxfId="408" priority="115"/>
  </conditionalFormatting>
  <conditionalFormatting sqref="B104:B1048576 B68:B78 B1:B35 B83:B101 B49:B58 B37:B47">
    <cfRule type="duplicateValues" dxfId="407" priority="108"/>
  </conditionalFormatting>
  <conditionalFormatting sqref="B104:B1048576 B68:B101 B49:B60 B1:B47">
    <cfRule type="duplicateValues" dxfId="406" priority="69"/>
  </conditionalFormatting>
  <conditionalFormatting sqref="B104:B1048576">
    <cfRule type="duplicateValues" dxfId="405" priority="68"/>
  </conditionalFormatting>
  <conditionalFormatting sqref="B130:B1048576">
    <cfRule type="duplicateValues" dxfId="404" priority="107"/>
  </conditionalFormatting>
  <conditionalFormatting sqref="M35">
    <cfRule type="duplicateValues" dxfId="403" priority="42"/>
  </conditionalFormatting>
  <conditionalFormatting sqref="M36">
    <cfRule type="duplicateValues" dxfId="402" priority="22"/>
    <cfRule type="duplicateValues" dxfId="401" priority="21"/>
    <cfRule type="duplicateValues" dxfId="400" priority="20"/>
    <cfRule type="duplicateValues" dxfId="399" priority="19"/>
  </conditionalFormatting>
  <conditionalFormatting sqref="M48">
    <cfRule type="duplicateValues" dxfId="398" priority="2"/>
    <cfRule type="duplicateValues" dxfId="397" priority="3"/>
    <cfRule type="duplicateValues" dxfId="396" priority="4"/>
    <cfRule type="duplicateValues" dxfId="395" priority="43"/>
    <cfRule type="duplicateValues" dxfId="394" priority="1"/>
  </conditionalFormatting>
  <conditionalFormatting sqref="M58">
    <cfRule type="duplicateValues" dxfId="393" priority="24"/>
    <cfRule type="duplicateValues" dxfId="392" priority="25"/>
    <cfRule type="duplicateValues" dxfId="391" priority="23"/>
  </conditionalFormatting>
  <conditionalFormatting sqref="M59:M60">
    <cfRule type="duplicateValues" dxfId="390" priority="16"/>
    <cfRule type="duplicateValues" dxfId="389" priority="15"/>
    <cfRule type="duplicateValues" dxfId="388" priority="14"/>
    <cfRule type="duplicateValues" dxfId="387" priority="13"/>
  </conditionalFormatting>
  <conditionalFormatting sqref="M61:M66">
    <cfRule type="duplicateValues" dxfId="386" priority="40"/>
  </conditionalFormatting>
  <conditionalFormatting sqref="M67">
    <cfRule type="duplicateValues" dxfId="385" priority="7"/>
    <cfRule type="duplicateValues" dxfId="384" priority="8"/>
    <cfRule type="duplicateValues" dxfId="383" priority="10"/>
    <cfRule type="duplicateValues" dxfId="382" priority="9"/>
    <cfRule type="duplicateValues" dxfId="381" priority="5"/>
    <cfRule type="duplicateValues" dxfId="380" priority="6"/>
  </conditionalFormatting>
  <conditionalFormatting sqref="M79">
    <cfRule type="duplicateValues" dxfId="379" priority="36"/>
    <cfRule type="duplicateValues" dxfId="378" priority="35"/>
  </conditionalFormatting>
  <conditionalFormatting sqref="M80:M82">
    <cfRule type="duplicateValues" dxfId="377" priority="18"/>
    <cfRule type="duplicateValues" dxfId="376" priority="17"/>
  </conditionalFormatting>
  <conditionalFormatting sqref="M96">
    <cfRule type="duplicateValues" dxfId="375" priority="31"/>
    <cfRule type="duplicateValues" dxfId="374" priority="30"/>
    <cfRule type="duplicateValues" dxfId="373" priority="29"/>
  </conditionalFormatting>
  <conditionalFormatting sqref="M100:M101">
    <cfRule type="duplicateValues" dxfId="372" priority="26"/>
    <cfRule type="duplicateValues" dxfId="371" priority="28"/>
    <cfRule type="duplicateValues" dxfId="370" priority="27"/>
  </conditionalFormatting>
  <conditionalFormatting sqref="M102">
    <cfRule type="duplicateValues" dxfId="369" priority="38"/>
    <cfRule type="duplicateValues" dxfId="368" priority="37"/>
  </conditionalFormatting>
  <conditionalFormatting sqref="M103">
    <cfRule type="duplicateValues" dxfId="367" priority="41"/>
  </conditionalFormatting>
  <conditionalFormatting sqref="M252:M1048576 M97:M99 M68:M78 M83:M95 M1:M35 M104:M250 M49:M57 M37:M47">
    <cfRule type="duplicateValues" dxfId="366" priority="32"/>
  </conditionalFormatting>
  <conditionalFormatting sqref="M252:M1048576 M97:M99 M68:M78 M83:M95 M104:M250 M1:M34 M49:M57 M37:M47">
    <cfRule type="duplicateValues" dxfId="365" priority="39"/>
  </conditionalFormatting>
  <conditionalFormatting sqref="M252:M1048576 M104:M250 M68:M78 M1:M35 M83:M101 M49:M58 M37:M47">
    <cfRule type="duplicateValues" dxfId="364" priority="34"/>
  </conditionalFormatting>
  <conditionalFormatting sqref="M252:M1048576 M104:M250 M68:M101 M49:M60 M1:M47">
    <cfRule type="duplicateValues" dxfId="363" priority="12"/>
  </conditionalFormatting>
  <conditionalFormatting sqref="M252:M1048576 M104:M250">
    <cfRule type="duplicateValues" dxfId="362" priority="11"/>
  </conditionalFormatting>
  <conditionalFormatting sqref="M252:M1048576 M130:M250">
    <cfRule type="duplicateValues" dxfId="361" priority="33"/>
  </conditionalFormatting>
  <pageMargins left="0.7" right="0.7" top="0.75" bottom="0.75" header="0.51180555555555551" footer="0.51180555555555551"/>
  <pageSetup scale="28" firstPageNumber="0" orientation="portrait" horizontalDpi="4294967293" verticalDpi="300" r:id="rId1"/>
  <headerFooter alignWithMargins="0"/>
  <rowBreaks count="2" manualBreakCount="2">
    <brk id="68" max="16383" man="1"/>
    <brk id="252" max="101" man="1"/>
  </rowBreaks>
  <colBreaks count="2" manualBreakCount="2">
    <brk id="11" max="1048575" man="1"/>
    <brk id="24"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3"/>
  <dimension ref="A2:J39"/>
  <sheetViews>
    <sheetView workbookViewId="0">
      <selection activeCell="E7" sqref="E7"/>
    </sheetView>
  </sheetViews>
  <sheetFormatPr baseColWidth="10" defaultRowHeight="14.4"/>
  <cols>
    <col min="1" max="1" width="29.6640625" bestFit="1" customWidth="1"/>
    <col min="5" max="5" width="28" bestFit="1" customWidth="1"/>
    <col min="6" max="6" width="22.88671875" bestFit="1" customWidth="1"/>
  </cols>
  <sheetData>
    <row r="2" spans="1:9" ht="28.8">
      <c r="A2" t="s">
        <v>570</v>
      </c>
      <c r="E2" s="283" t="s">
        <v>35</v>
      </c>
      <c r="F2" s="284" t="s">
        <v>36</v>
      </c>
      <c r="G2" s="285" t="s">
        <v>381</v>
      </c>
      <c r="H2" s="285" t="s">
        <v>582</v>
      </c>
      <c r="I2" s="285" t="s">
        <v>583</v>
      </c>
    </row>
    <row r="3" spans="1:9">
      <c r="A3" t="s">
        <v>571</v>
      </c>
      <c r="B3">
        <v>120</v>
      </c>
      <c r="E3" s="199" t="s">
        <v>514</v>
      </c>
      <c r="F3" s="200" t="s">
        <v>336</v>
      </c>
      <c r="G3" s="201" t="s">
        <v>9</v>
      </c>
      <c r="H3" s="286"/>
      <c r="I3" s="286">
        <v>175</v>
      </c>
    </row>
    <row r="4" spans="1:9">
      <c r="A4" t="s">
        <v>572</v>
      </c>
      <c r="B4">
        <v>240</v>
      </c>
      <c r="E4" s="199" t="s">
        <v>565</v>
      </c>
      <c r="F4" s="200" t="s">
        <v>336</v>
      </c>
      <c r="G4" s="201" t="s">
        <v>9</v>
      </c>
      <c r="H4" s="286"/>
      <c r="I4" s="287">
        <v>87.5</v>
      </c>
    </row>
    <row r="5" spans="1:9">
      <c r="A5" t="s">
        <v>573</v>
      </c>
      <c r="B5">
        <v>240</v>
      </c>
      <c r="E5" s="199" t="s">
        <v>471</v>
      </c>
      <c r="F5" s="200" t="s">
        <v>506</v>
      </c>
      <c r="G5" s="200" t="s">
        <v>9</v>
      </c>
      <c r="H5" s="288">
        <v>150</v>
      </c>
      <c r="I5" s="286"/>
    </row>
    <row r="6" spans="1:9">
      <c r="B6" s="282">
        <f>SUM(B3:B5)</f>
        <v>600</v>
      </c>
      <c r="E6" s="199" t="s">
        <v>472</v>
      </c>
      <c r="F6" s="200" t="s">
        <v>506</v>
      </c>
      <c r="G6" s="200" t="s">
        <v>9</v>
      </c>
      <c r="H6" s="288">
        <v>150</v>
      </c>
      <c r="I6" s="286"/>
    </row>
    <row r="7" spans="1:9">
      <c r="E7" s="199" t="s">
        <v>464</v>
      </c>
      <c r="F7" s="200" t="s">
        <v>508</v>
      </c>
      <c r="G7" s="200" t="s">
        <v>9</v>
      </c>
      <c r="H7" s="288">
        <v>150</v>
      </c>
      <c r="I7" s="286"/>
    </row>
    <row r="8" spans="1:9">
      <c r="E8" s="199" t="s">
        <v>495</v>
      </c>
      <c r="F8" s="200" t="s">
        <v>508</v>
      </c>
      <c r="G8" s="200" t="s">
        <v>9</v>
      </c>
      <c r="H8" s="286"/>
      <c r="I8" s="286">
        <v>175</v>
      </c>
    </row>
    <row r="9" spans="1:9">
      <c r="A9" t="s">
        <v>574</v>
      </c>
      <c r="E9" s="199" t="s">
        <v>430</v>
      </c>
      <c r="F9" s="200" t="s">
        <v>509</v>
      </c>
      <c r="G9" s="200" t="s">
        <v>9</v>
      </c>
      <c r="H9" s="286">
        <v>150</v>
      </c>
      <c r="I9" s="286"/>
    </row>
    <row r="10" spans="1:9">
      <c r="A10" t="s">
        <v>586</v>
      </c>
      <c r="B10">
        <v>60</v>
      </c>
      <c r="E10" s="199" t="s">
        <v>498</v>
      </c>
      <c r="F10" s="200" t="s">
        <v>509</v>
      </c>
      <c r="G10" s="200" t="s">
        <v>9</v>
      </c>
      <c r="H10" s="286"/>
      <c r="I10" s="286">
        <v>175</v>
      </c>
    </row>
    <row r="11" spans="1:9">
      <c r="A11" t="s">
        <v>576</v>
      </c>
      <c r="B11">
        <v>125</v>
      </c>
      <c r="E11" s="199" t="s">
        <v>500</v>
      </c>
      <c r="F11" s="200" t="s">
        <v>509</v>
      </c>
      <c r="G11" s="200" t="s">
        <v>9</v>
      </c>
      <c r="H11" s="286"/>
      <c r="I11" s="286">
        <v>175</v>
      </c>
    </row>
    <row r="12" spans="1:9">
      <c r="A12" t="s">
        <v>587</v>
      </c>
      <c r="B12">
        <v>120</v>
      </c>
      <c r="E12" s="199" t="s">
        <v>499</v>
      </c>
      <c r="F12" s="200" t="s">
        <v>484</v>
      </c>
      <c r="G12" s="200" t="s">
        <v>9</v>
      </c>
      <c r="H12" s="286"/>
      <c r="I12" s="286">
        <v>175</v>
      </c>
    </row>
    <row r="13" spans="1:9">
      <c r="A13" t="s">
        <v>575</v>
      </c>
      <c r="B13">
        <v>55</v>
      </c>
      <c r="E13" s="199" t="s">
        <v>526</v>
      </c>
      <c r="F13" s="200" t="s">
        <v>527</v>
      </c>
      <c r="G13" s="200" t="s">
        <v>9</v>
      </c>
      <c r="H13" s="286"/>
      <c r="I13" s="286">
        <v>175</v>
      </c>
    </row>
    <row r="14" spans="1:9">
      <c r="B14" s="282">
        <f>+B10+B11+B12+B13</f>
        <v>360</v>
      </c>
      <c r="E14" s="199" t="s">
        <v>528</v>
      </c>
      <c r="F14" s="200" t="s">
        <v>89</v>
      </c>
      <c r="G14" s="200" t="s">
        <v>9</v>
      </c>
      <c r="H14" s="286"/>
      <c r="I14" s="286">
        <v>175</v>
      </c>
    </row>
    <row r="15" spans="1:9">
      <c r="E15" s="199" t="s">
        <v>538</v>
      </c>
      <c r="F15" s="200" t="s">
        <v>88</v>
      </c>
      <c r="G15" s="200" t="s">
        <v>9</v>
      </c>
      <c r="H15" s="288"/>
      <c r="I15" s="286">
        <v>175</v>
      </c>
    </row>
    <row r="16" spans="1:9">
      <c r="E16" s="199" t="s">
        <v>542</v>
      </c>
      <c r="F16" s="200" t="s">
        <v>88</v>
      </c>
      <c r="G16" s="200" t="s">
        <v>9</v>
      </c>
      <c r="H16" s="288"/>
      <c r="I16" s="286">
        <v>175</v>
      </c>
    </row>
    <row r="17" spans="1:9">
      <c r="A17" t="s">
        <v>579</v>
      </c>
      <c r="B17" s="282">
        <v>39.29</v>
      </c>
      <c r="E17" s="199" t="s">
        <v>543</v>
      </c>
      <c r="F17" s="200" t="s">
        <v>88</v>
      </c>
      <c r="G17" s="200" t="s">
        <v>9</v>
      </c>
      <c r="H17" s="288"/>
      <c r="I17" s="286">
        <v>175</v>
      </c>
    </row>
    <row r="18" spans="1:9">
      <c r="E18" s="199" t="s">
        <v>539</v>
      </c>
      <c r="F18" s="200" t="s">
        <v>515</v>
      </c>
      <c r="G18" s="200" t="s">
        <v>9</v>
      </c>
      <c r="H18" s="288"/>
      <c r="I18" s="286">
        <v>175</v>
      </c>
    </row>
    <row r="19" spans="1:9">
      <c r="E19" s="199" t="s">
        <v>465</v>
      </c>
      <c r="F19" s="200" t="s">
        <v>363</v>
      </c>
      <c r="G19" s="201" t="s">
        <v>9</v>
      </c>
      <c r="H19" s="286">
        <v>150</v>
      </c>
      <c r="I19" s="286"/>
    </row>
    <row r="20" spans="1:9">
      <c r="E20" s="199" t="s">
        <v>101</v>
      </c>
      <c r="F20" s="200" t="s">
        <v>102</v>
      </c>
      <c r="G20" s="200" t="s">
        <v>9</v>
      </c>
      <c r="H20" s="286">
        <v>150</v>
      </c>
      <c r="I20" s="286"/>
    </row>
    <row r="21" spans="1:9">
      <c r="A21" t="s">
        <v>577</v>
      </c>
      <c r="B21" s="282">
        <v>500</v>
      </c>
      <c r="E21" s="199" t="s">
        <v>469</v>
      </c>
      <c r="F21" s="200" t="s">
        <v>411</v>
      </c>
      <c r="G21" s="200" t="s">
        <v>9</v>
      </c>
      <c r="H21" s="286">
        <v>150</v>
      </c>
      <c r="I21" s="286"/>
    </row>
    <row r="22" spans="1:9">
      <c r="E22" s="199" t="s">
        <v>493</v>
      </c>
      <c r="F22" s="200" t="s">
        <v>488</v>
      </c>
      <c r="G22" s="200" t="s">
        <v>9</v>
      </c>
      <c r="H22" s="289"/>
      <c r="I22" s="288">
        <v>175</v>
      </c>
    </row>
    <row r="23" spans="1:9">
      <c r="A23" t="s">
        <v>578</v>
      </c>
      <c r="E23" s="199" t="s">
        <v>519</v>
      </c>
      <c r="F23" s="200" t="s">
        <v>107</v>
      </c>
      <c r="G23" s="200" t="s">
        <v>9</v>
      </c>
      <c r="H23" s="286">
        <v>150</v>
      </c>
      <c r="I23" s="286"/>
    </row>
    <row r="24" spans="1:9">
      <c r="A24" t="s">
        <v>580</v>
      </c>
      <c r="B24">
        <v>1076.28</v>
      </c>
      <c r="E24" s="199" t="s">
        <v>468</v>
      </c>
      <c r="F24" s="200" t="s">
        <v>487</v>
      </c>
      <c r="G24" s="201" t="s">
        <v>9</v>
      </c>
      <c r="H24" s="286">
        <v>150</v>
      </c>
      <c r="I24" s="286"/>
    </row>
    <row r="25" spans="1:9">
      <c r="A25" t="s">
        <v>581</v>
      </c>
      <c r="B25">
        <v>1076.29</v>
      </c>
      <c r="E25" s="199" t="s">
        <v>457</v>
      </c>
      <c r="F25" s="200" t="s">
        <v>507</v>
      </c>
      <c r="G25" s="200" t="s">
        <v>9</v>
      </c>
      <c r="H25" s="286">
        <v>150</v>
      </c>
      <c r="I25" s="286"/>
    </row>
    <row r="26" spans="1:9">
      <c r="B26" s="282">
        <f>SUM(B24:B25)</f>
        <v>2152.5699999999997</v>
      </c>
      <c r="E26" s="199" t="s">
        <v>453</v>
      </c>
      <c r="F26" s="200" t="s">
        <v>507</v>
      </c>
      <c r="G26" s="200" t="s">
        <v>9</v>
      </c>
      <c r="H26" s="286">
        <v>150</v>
      </c>
      <c r="I26" s="286"/>
    </row>
    <row r="27" spans="1:9">
      <c r="E27" s="199" t="s">
        <v>335</v>
      </c>
      <c r="F27" s="200" t="s">
        <v>507</v>
      </c>
      <c r="G27" s="200" t="s">
        <v>9</v>
      </c>
      <c r="H27" s="286">
        <v>150</v>
      </c>
      <c r="I27" s="286"/>
    </row>
    <row r="28" spans="1:9">
      <c r="E28" s="199" t="s">
        <v>489</v>
      </c>
      <c r="F28" s="200" t="s">
        <v>505</v>
      </c>
      <c r="G28" s="200" t="s">
        <v>9</v>
      </c>
      <c r="H28" s="286"/>
      <c r="I28" s="288">
        <v>175</v>
      </c>
    </row>
    <row r="29" spans="1:9">
      <c r="A29" t="s">
        <v>584</v>
      </c>
      <c r="B29" s="293">
        <f>+J33</f>
        <v>4812.5</v>
      </c>
      <c r="E29" s="199" t="s">
        <v>491</v>
      </c>
      <c r="F29" s="200" t="s">
        <v>505</v>
      </c>
      <c r="G29" s="200" t="s">
        <v>9</v>
      </c>
      <c r="H29" s="286"/>
      <c r="I29" s="288">
        <v>175</v>
      </c>
    </row>
    <row r="30" spans="1:9">
      <c r="E30" s="199" t="s">
        <v>535</v>
      </c>
      <c r="F30" s="200" t="s">
        <v>505</v>
      </c>
      <c r="G30" s="200" t="s">
        <v>9</v>
      </c>
      <c r="H30" s="286"/>
      <c r="I30" s="288">
        <v>175</v>
      </c>
    </row>
    <row r="31" spans="1:9">
      <c r="E31" s="199" t="s">
        <v>445</v>
      </c>
      <c r="F31" s="200" t="s">
        <v>505</v>
      </c>
      <c r="G31" s="200" t="s">
        <v>9</v>
      </c>
      <c r="H31" s="286">
        <v>150</v>
      </c>
      <c r="I31" s="286"/>
    </row>
    <row r="32" spans="1:9">
      <c r="A32" t="s">
        <v>588</v>
      </c>
      <c r="B32" s="282">
        <v>82.5</v>
      </c>
      <c r="E32" s="199" t="s">
        <v>436</v>
      </c>
      <c r="F32" s="200" t="s">
        <v>510</v>
      </c>
      <c r="G32" s="200" t="s">
        <v>9</v>
      </c>
      <c r="H32" s="286">
        <v>150</v>
      </c>
      <c r="I32" s="286"/>
    </row>
    <row r="33" spans="1:10" ht="15" thickBot="1">
      <c r="E33" s="290"/>
      <c r="F33" s="290"/>
      <c r="G33" s="290"/>
      <c r="H33" s="291">
        <f>SUM(H3:H32)</f>
        <v>2100</v>
      </c>
      <c r="I33" s="291">
        <f>SUM(I3:I32)</f>
        <v>2712.5</v>
      </c>
      <c r="J33" s="292">
        <f>+H33+I33</f>
        <v>4812.5</v>
      </c>
    </row>
    <row r="34" spans="1:10" ht="15" thickTop="1">
      <c r="A34" t="s">
        <v>585</v>
      </c>
      <c r="B34" s="294">
        <f>+B6+B14+B17+B21+B26+B29+J39+B32</f>
        <v>8546.86</v>
      </c>
    </row>
    <row r="37" spans="1:10">
      <c r="B37">
        <v>8546.86</v>
      </c>
      <c r="C37" s="292">
        <f>+B37-B34</f>
        <v>0</v>
      </c>
    </row>
    <row r="39" spans="1:10">
      <c r="J39" s="292"/>
    </row>
  </sheetData>
  <conditionalFormatting sqref="E3:E4">
    <cfRule type="duplicateValues" dxfId="360" priority="19"/>
  </conditionalFormatting>
  <conditionalFormatting sqref="E12">
    <cfRule type="duplicateValues" dxfId="359" priority="15"/>
    <cfRule type="duplicateValues" dxfId="358" priority="16"/>
    <cfRule type="duplicateValues" dxfId="357" priority="17"/>
  </conditionalFormatting>
  <conditionalFormatting sqref="E13:E14">
    <cfRule type="duplicateValues" dxfId="356" priority="2022"/>
  </conditionalFormatting>
  <conditionalFormatting sqref="E15:E17">
    <cfRule type="duplicateValues" dxfId="355" priority="2030"/>
  </conditionalFormatting>
  <conditionalFormatting sqref="E18">
    <cfRule type="duplicateValues" dxfId="354" priority="5"/>
    <cfRule type="duplicateValues" dxfId="353" priority="6"/>
    <cfRule type="duplicateValues" dxfId="352" priority="7"/>
    <cfRule type="duplicateValues" dxfId="351" priority="8"/>
    <cfRule type="duplicateValues" dxfId="350" priority="9"/>
    <cfRule type="duplicateValues" dxfId="349" priority="10"/>
  </conditionalFormatting>
  <conditionalFormatting sqref="E19:E32 E2:E12">
    <cfRule type="duplicateValues" dxfId="348" priority="2040"/>
  </conditionalFormatting>
  <conditionalFormatting sqref="E19:E32 E2:E14">
    <cfRule type="duplicateValues" dxfId="347" priority="2043"/>
  </conditionalFormatting>
  <conditionalFormatting sqref="E23">
    <cfRule type="duplicateValues" dxfId="346" priority="2"/>
    <cfRule type="duplicateValues" dxfId="345" priority="3"/>
    <cfRule type="duplicateValues" dxfId="344" priority="4"/>
  </conditionalFormatting>
  <conditionalFormatting sqref="E24:E32 E19:E22 E2:E11">
    <cfRule type="duplicateValues" dxfId="343" priority="2036"/>
  </conditionalFormatting>
  <conditionalFormatting sqref="E24:E32 E19:E22 E5:E11 E2">
    <cfRule type="duplicateValues" dxfId="342" priority="2031"/>
  </conditionalFormatting>
  <conditionalFormatting sqref="E24:E32">
    <cfRule type="duplicateValues" dxfId="341" priority="204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N201"/>
  <sheetViews>
    <sheetView showGridLines="0" view="pageBreakPreview" zoomScale="63" zoomScaleNormal="39" zoomScaleSheetLayoutView="63" workbookViewId="0">
      <pane xSplit="4" ySplit="7" topLeftCell="T115" activePane="bottomRight" state="frozen"/>
      <selection activeCell="O19" activeCellId="1" sqref="O16 O19"/>
      <selection pane="topRight" activeCell="O19" activeCellId="1" sqref="O16 O19"/>
      <selection pane="bottomLeft" activeCell="O19" activeCellId="1" sqref="O16 O19"/>
      <selection pane="bottomRight" activeCell="X129" sqref="X129"/>
    </sheetView>
  </sheetViews>
  <sheetFormatPr baseColWidth="10" defaultColWidth="11.44140625" defaultRowHeight="30"/>
  <cols>
    <col min="1" max="1" width="11.44140625" style="1030"/>
    <col min="2" max="2" width="7.5546875" style="1018" customWidth="1"/>
    <col min="3" max="3" width="102.6640625" style="1019" customWidth="1"/>
    <col min="4" max="4" width="85.109375" style="1030" customWidth="1"/>
    <col min="5" max="5" width="25.109375" style="1033" customWidth="1"/>
    <col min="6" max="6" width="15.5546875" style="1030" customWidth="1"/>
    <col min="7" max="7" width="15.33203125" style="1030" hidden="1" customWidth="1"/>
    <col min="8" max="9" width="29" style="1034" bestFit="1" customWidth="1"/>
    <col min="10" max="10" width="28.109375" style="1034" customWidth="1"/>
    <col min="11" max="11" width="21" style="1034" bestFit="1" customWidth="1"/>
    <col min="12" max="12" width="23.44140625" style="1034" bestFit="1" customWidth="1"/>
    <col min="13" max="13" width="20.44140625" style="1034" bestFit="1" customWidth="1"/>
    <col min="14" max="14" width="22.6640625" style="1034" customWidth="1"/>
    <col min="15" max="15" width="21.109375" style="1034" customWidth="1"/>
    <col min="16" max="16" width="22.109375" style="1034" bestFit="1" customWidth="1"/>
    <col min="17" max="17" width="29" style="1034" bestFit="1" customWidth="1"/>
    <col min="18" max="18" width="26.44140625" style="1034" bestFit="1" customWidth="1"/>
    <col min="19" max="19" width="23.6640625" style="1034" bestFit="1" customWidth="1"/>
    <col min="20" max="20" width="25.88671875" style="1034" customWidth="1"/>
    <col min="21" max="21" width="23.44140625" style="1034" bestFit="1" customWidth="1"/>
    <col min="22" max="22" width="26.6640625" style="1034" bestFit="1" customWidth="1"/>
    <col min="23" max="23" width="20.6640625" style="1034" customWidth="1"/>
    <col min="24" max="24" width="26.6640625" style="1034" bestFit="1" customWidth="1"/>
    <col min="25" max="25" width="26.88671875" style="1034" customWidth="1"/>
    <col min="26" max="26" width="32.33203125" style="1040" bestFit="1" customWidth="1"/>
    <col min="27" max="27" width="30" style="1040" customWidth="1"/>
    <col min="28" max="28" width="32.88671875" style="1040" customWidth="1"/>
    <col min="29" max="29" width="32.6640625" style="1044" customWidth="1"/>
    <col min="30" max="30" width="25.33203125" style="1030" customWidth="1"/>
    <col min="31" max="31" width="23.109375" style="1030" bestFit="1" customWidth="1"/>
    <col min="32" max="32" width="20.44140625" style="1030" bestFit="1" customWidth="1"/>
    <col min="33" max="33" width="18" style="1030" bestFit="1" customWidth="1"/>
    <col min="34" max="16384" width="11.44140625" style="1030"/>
  </cols>
  <sheetData>
    <row r="1" spans="2:33">
      <c r="C1" s="1019">
        <v>1</v>
      </c>
      <c r="D1" s="1030">
        <v>2</v>
      </c>
      <c r="E1" s="1030">
        <v>3</v>
      </c>
      <c r="F1" s="1030">
        <v>4</v>
      </c>
      <c r="G1" s="1030">
        <v>5</v>
      </c>
      <c r="H1" s="1030">
        <v>6</v>
      </c>
      <c r="I1" s="1030">
        <v>7</v>
      </c>
      <c r="J1" s="1030">
        <v>8</v>
      </c>
      <c r="K1" s="1030">
        <v>9</v>
      </c>
      <c r="L1" s="1030">
        <v>10</v>
      </c>
      <c r="M1" s="1030">
        <v>11</v>
      </c>
      <c r="N1" s="1030">
        <v>12</v>
      </c>
      <c r="O1" s="1030">
        <v>13</v>
      </c>
      <c r="P1" s="1030">
        <v>14</v>
      </c>
      <c r="Q1" s="1030">
        <v>15</v>
      </c>
      <c r="R1" s="1030">
        <v>16</v>
      </c>
      <c r="S1" s="1030">
        <v>17</v>
      </c>
      <c r="T1" s="1030">
        <v>18</v>
      </c>
      <c r="U1" s="1030">
        <v>19</v>
      </c>
      <c r="V1" s="1030">
        <v>20</v>
      </c>
      <c r="W1" s="1030">
        <v>21</v>
      </c>
      <c r="X1" s="1030">
        <v>22</v>
      </c>
      <c r="Y1" s="1030">
        <v>23</v>
      </c>
      <c r="Z1" s="1030">
        <v>24</v>
      </c>
      <c r="AA1" s="1030">
        <v>25</v>
      </c>
      <c r="AB1" s="1040">
        <v>26</v>
      </c>
      <c r="AC1" s="1040">
        <v>27</v>
      </c>
    </row>
    <row r="2" spans="2:33" ht="25.5" customHeight="1">
      <c r="B2" s="1367" t="s">
        <v>713</v>
      </c>
      <c r="C2" s="1367"/>
      <c r="D2" s="1020"/>
      <c r="H2" s="1042"/>
      <c r="I2" s="1042"/>
      <c r="J2" s="1042"/>
      <c r="K2" s="1042"/>
      <c r="L2" s="1042"/>
      <c r="M2" s="1042"/>
      <c r="N2" s="1042"/>
      <c r="O2" s="1042"/>
      <c r="P2" s="1042"/>
      <c r="Q2" s="1042"/>
      <c r="R2" s="1042"/>
      <c r="S2" s="1042"/>
      <c r="T2" s="1042"/>
      <c r="U2" s="1042"/>
      <c r="V2" s="1042"/>
      <c r="W2" s="1042"/>
      <c r="X2" s="1042"/>
      <c r="Y2" s="1042"/>
      <c r="Z2" s="1043"/>
      <c r="AA2" s="1043"/>
      <c r="AB2" s="1043"/>
    </row>
    <row r="3" spans="2:33" ht="33" customHeight="1">
      <c r="B3" s="1366" t="str">
        <f>+distribucion!G4  &amp;  distribucion!G5</f>
        <v>MAYO  2026 2da QUINCENA2026</v>
      </c>
      <c r="C3" s="1366"/>
      <c r="D3" s="1045"/>
      <c r="H3" s="1042"/>
      <c r="I3" s="1042"/>
      <c r="J3" s="1042"/>
      <c r="K3" s="1042"/>
      <c r="L3" s="1042"/>
      <c r="M3" s="1042"/>
      <c r="N3" s="1042"/>
      <c r="O3" s="1042"/>
      <c r="P3" s="1042"/>
      <c r="Q3" s="1042"/>
      <c r="R3" s="1042"/>
      <c r="S3" s="1042"/>
      <c r="T3" s="1042"/>
      <c r="U3" s="1042"/>
      <c r="V3" s="1042"/>
      <c r="W3" s="1042"/>
      <c r="X3" s="1042"/>
      <c r="Y3" s="1042"/>
      <c r="Z3" s="1043"/>
      <c r="AA3" s="1043"/>
      <c r="AB3" s="1043"/>
    </row>
    <row r="4" spans="2:33" ht="33" customHeight="1">
      <c r="B4" s="1046"/>
      <c r="C4" s="1046"/>
      <c r="D4" s="1045"/>
      <c r="H4" s="1042"/>
      <c r="I4" s="1042"/>
      <c r="J4" s="1042"/>
      <c r="K4" s="1042"/>
      <c r="L4" s="1042"/>
      <c r="M4" s="1042"/>
      <c r="N4" s="1042"/>
      <c r="O4" s="1042"/>
      <c r="P4" s="1042"/>
      <c r="Q4" s="1042"/>
      <c r="R4" s="1042"/>
      <c r="S4" s="1042"/>
      <c r="T4" s="1042"/>
      <c r="U4" s="1042"/>
      <c r="V4" s="1042"/>
      <c r="W4" s="1042"/>
      <c r="X4" s="1042"/>
      <c r="Y4" s="1042"/>
      <c r="Z4" s="1043"/>
      <c r="AA4" s="1043"/>
      <c r="AB4" s="1043"/>
    </row>
    <row r="5" spans="2:33" s="1048" customFormat="1" ht="20.100000000000001" customHeight="1">
      <c r="B5" s="1369" t="s">
        <v>173</v>
      </c>
      <c r="C5" s="1370" t="s">
        <v>35</v>
      </c>
      <c r="D5" s="1370" t="s">
        <v>36</v>
      </c>
      <c r="E5" s="1371" t="s">
        <v>174</v>
      </c>
      <c r="F5" s="1372" t="s">
        <v>175</v>
      </c>
      <c r="G5" s="1368" t="s">
        <v>176</v>
      </c>
      <c r="H5" s="1364" t="s">
        <v>177</v>
      </c>
      <c r="I5" s="1363" t="s">
        <v>696</v>
      </c>
      <c r="J5" s="1365" t="s">
        <v>179</v>
      </c>
      <c r="K5" s="1365" t="s">
        <v>180</v>
      </c>
      <c r="L5" s="1363" t="s">
        <v>181</v>
      </c>
      <c r="M5" s="1365" t="s">
        <v>182</v>
      </c>
      <c r="N5" s="1365" t="s">
        <v>183</v>
      </c>
      <c r="O5" s="1361" t="s">
        <v>274</v>
      </c>
      <c r="P5" s="1047"/>
      <c r="Q5" s="1361" t="s">
        <v>185</v>
      </c>
      <c r="R5" s="1361" t="s">
        <v>186</v>
      </c>
      <c r="S5" s="1361" t="s">
        <v>29</v>
      </c>
      <c r="T5" s="1363" t="s">
        <v>389</v>
      </c>
      <c r="U5" s="1361" t="s">
        <v>187</v>
      </c>
      <c r="V5" s="1361" t="s">
        <v>275</v>
      </c>
      <c r="W5" s="1361" t="s">
        <v>32</v>
      </c>
      <c r="X5" s="1361" t="s">
        <v>31</v>
      </c>
      <c r="Y5" s="1361" t="s">
        <v>188</v>
      </c>
      <c r="Z5" s="1362" t="s">
        <v>189</v>
      </c>
      <c r="AA5" s="1359" t="s">
        <v>190</v>
      </c>
      <c r="AB5" s="1359" t="s">
        <v>191</v>
      </c>
      <c r="AC5" s="1360" t="s">
        <v>192</v>
      </c>
    </row>
    <row r="6" spans="2:33" ht="20.100000000000001" customHeight="1">
      <c r="B6" s="1369"/>
      <c r="C6" s="1370"/>
      <c r="D6" s="1370"/>
      <c r="E6" s="1371"/>
      <c r="F6" s="1372"/>
      <c r="G6" s="1368"/>
      <c r="H6" s="1364"/>
      <c r="I6" s="1363"/>
      <c r="J6" s="1365"/>
      <c r="K6" s="1365"/>
      <c r="L6" s="1363"/>
      <c r="M6" s="1365"/>
      <c r="N6" s="1365"/>
      <c r="O6" s="1361"/>
      <c r="P6" s="1049" t="s">
        <v>276</v>
      </c>
      <c r="Q6" s="1361"/>
      <c r="R6" s="1361"/>
      <c r="S6" s="1361"/>
      <c r="T6" s="1363"/>
      <c r="U6" s="1361"/>
      <c r="V6" s="1361"/>
      <c r="W6" s="1361"/>
      <c r="X6" s="1361"/>
      <c r="Y6" s="1361"/>
      <c r="Z6" s="1362"/>
      <c r="AA6" s="1359"/>
      <c r="AB6" s="1359"/>
      <c r="AC6" s="1360"/>
    </row>
    <row r="7" spans="2:33" ht="54" customHeight="1">
      <c r="B7" s="1369"/>
      <c r="C7" s="1370"/>
      <c r="D7" s="1370"/>
      <c r="E7" s="1371"/>
      <c r="F7" s="1372"/>
      <c r="G7" s="1368"/>
      <c r="H7" s="1364"/>
      <c r="I7" s="1363"/>
      <c r="J7" s="1365"/>
      <c r="K7" s="1365"/>
      <c r="L7" s="1363"/>
      <c r="M7" s="1365"/>
      <c r="N7" s="1365"/>
      <c r="O7" s="1361"/>
      <c r="P7" s="1050"/>
      <c r="Q7" s="1361"/>
      <c r="R7" s="1361"/>
      <c r="S7" s="1361"/>
      <c r="T7" s="1363"/>
      <c r="U7" s="1361"/>
      <c r="V7" s="1361"/>
      <c r="W7" s="1361"/>
      <c r="X7" s="1361"/>
      <c r="Y7" s="1361"/>
      <c r="Z7" s="1362"/>
      <c r="AA7" s="1359"/>
      <c r="AB7" s="1359"/>
      <c r="AC7" s="1360"/>
    </row>
    <row r="8" spans="2:33" ht="25.2" customHeight="1">
      <c r="B8" s="1051"/>
      <c r="C8" s="981" t="s">
        <v>51</v>
      </c>
      <c r="D8" s="1052"/>
      <c r="E8" s="1053"/>
      <c r="F8" s="1054"/>
      <c r="G8" s="1055"/>
      <c r="H8" s="1056"/>
      <c r="I8" s="1056"/>
      <c r="J8" s="1056"/>
      <c r="K8" s="1056"/>
      <c r="L8" s="1056"/>
      <c r="M8" s="1056"/>
      <c r="N8" s="1056"/>
      <c r="O8" s="1049"/>
      <c r="P8" s="1049"/>
      <c r="Q8" s="1049"/>
      <c r="R8" s="1049"/>
      <c r="S8" s="1049"/>
      <c r="T8" s="1049"/>
      <c r="U8" s="1049"/>
      <c r="V8" s="1049"/>
      <c r="W8" s="1049"/>
      <c r="X8" s="1049"/>
      <c r="Y8" s="1049"/>
      <c r="Z8" s="1057"/>
      <c r="AA8" s="1058"/>
      <c r="AB8" s="1058"/>
      <c r="AC8" s="1059"/>
    </row>
    <row r="9" spans="2:33" s="1070" customFormat="1" ht="25.2" customHeight="1">
      <c r="B9" s="1018"/>
      <c r="C9" s="1060" t="s">
        <v>619</v>
      </c>
      <c r="D9" s="1061"/>
      <c r="E9" s="1062"/>
      <c r="F9" s="1063"/>
      <c r="G9" s="1064"/>
      <c r="H9" s="1065"/>
      <c r="I9" s="1065"/>
      <c r="J9" s="1065"/>
      <c r="K9" s="1065"/>
      <c r="L9" s="1065"/>
      <c r="M9" s="1065"/>
      <c r="N9" s="1065"/>
      <c r="O9" s="1065"/>
      <c r="P9" s="1065"/>
      <c r="Q9" s="1065"/>
      <c r="R9" s="1065"/>
      <c r="S9" s="1065"/>
      <c r="T9" s="1065"/>
      <c r="U9" s="1065"/>
      <c r="V9" s="1065"/>
      <c r="W9" s="1065"/>
      <c r="X9" s="1065"/>
      <c r="Y9" s="1065"/>
      <c r="Z9" s="1066"/>
      <c r="AA9" s="1065"/>
      <c r="AB9" s="1067"/>
      <c r="AC9" s="1068"/>
      <c r="AD9" s="1069"/>
      <c r="AE9" s="1069"/>
    </row>
    <row r="10" spans="2:33" ht="30" customHeight="1">
      <c r="B10" s="1018">
        <v>1</v>
      </c>
      <c r="C10" s="1019" t="str">
        <f>+distribucion!G9</f>
        <v>Hernandez Maria Andrea</v>
      </c>
      <c r="D10" s="1071" t="str">
        <f>VLOOKUP(C10,distribucion!G$8:FP$152,2,0)</f>
        <v>Asistente de Gerencia General</v>
      </c>
      <c r="E10" s="1314">
        <f t="shared" ref="E10:E12" si="0">H10+L10+N10+O10</f>
        <v>5000</v>
      </c>
      <c r="F10" s="1073">
        <f>VLOOKUP(C10,distribucion!G9:M153,7,FALSE)</f>
        <v>30</v>
      </c>
      <c r="G10" s="1064">
        <f>VLOOKUP(C10,distribucion!$G$8:$DV$152,14,0)</f>
        <v>0</v>
      </c>
      <c r="H10" s="1065">
        <f>ROUND((VLOOKUP(C10,distribucion!G$1:FP$152,130,0)),2)</f>
        <v>5000</v>
      </c>
      <c r="I10" s="1065">
        <f>ROUND((VLOOKUP(C10,distribucion!G$8:FO$152,131,0)),2)</f>
        <v>1000</v>
      </c>
      <c r="J10" s="1065">
        <f t="shared" ref="J10" si="1">H10+I10</f>
        <v>6000</v>
      </c>
      <c r="K10" s="1065">
        <f>VLOOKUP(C10,distribucion!G$8:FP$152,132,0)</f>
        <v>0</v>
      </c>
      <c r="L10" s="1065">
        <f>ROUND((VLOOKUP(C10,distribucion!G$8:FP$152,133,0)),2)</f>
        <v>0</v>
      </c>
      <c r="M10" s="1065">
        <f>VLOOKUP(C10,distribucion!G$8:FP$152,134,0)</f>
        <v>0</v>
      </c>
      <c r="N10" s="1065">
        <f>ROUND((VLOOKUP(C10,distribucion!G$8:FP$152,135,0)),2)</f>
        <v>0</v>
      </c>
      <c r="O10" s="1065">
        <v>0</v>
      </c>
      <c r="P10" s="1065">
        <f>ROUND((VLOOKUP(C10,distribucion!G$8:FP$152,136,0)),2)</f>
        <v>0</v>
      </c>
      <c r="Q10" s="1065">
        <f>SUM(J10:P10)-K10-M10</f>
        <v>6000</v>
      </c>
      <c r="R10" s="1065">
        <f>ROUND(((H10+L10+N10+O10+P10)*0.0483),2)</f>
        <v>241.5</v>
      </c>
      <c r="S10" s="1065">
        <f>ROUND((VLOOKUP(C10,distribucion!G$8:FP$152,151,0)),2)</f>
        <v>87.92</v>
      </c>
      <c r="T10" s="1065">
        <f>ROUND((VLOOKUP(C10,distribucion!G$8:FP$152,152,0)),2)</f>
        <v>0</v>
      </c>
      <c r="U10" s="1065">
        <f>ROUND((VLOOKUP(C10,distribucion!G$8:FP$152,153,0)),2)</f>
        <v>0</v>
      </c>
      <c r="V10" s="1065">
        <f>ROUND((VLOOKUP(C10,distribucion!$G$1:$FJ$152,159,0)),2)</f>
        <v>0</v>
      </c>
      <c r="W10" s="1065">
        <f>ROUND((VLOOKUP(C10,distribucion!$G$1:$FJ$152,158,0)),2)</f>
        <v>0</v>
      </c>
      <c r="X10" s="1065">
        <f>ROUND((VLOOKUP(C10,distribucion!$G$1:$FJ$152,154,0)),2)</f>
        <v>65</v>
      </c>
      <c r="Y10" s="1065">
        <f>ROUND((VLOOKUP(C10,distribucion!G$8:FP$152,160,0)),2)</f>
        <v>350</v>
      </c>
      <c r="Z10" s="1066">
        <f t="shared" ref="Z10" si="2">SUM(R10:Y10)</f>
        <v>744.42000000000007</v>
      </c>
      <c r="AA10" s="1065">
        <f t="shared" ref="AA10" si="3">Q10-Z10</f>
        <v>5255.58</v>
      </c>
      <c r="AB10" s="1067">
        <v>2660.29</v>
      </c>
      <c r="AC10" s="1068">
        <f>+AA10-AB10</f>
        <v>2595.29</v>
      </c>
      <c r="AD10" s="1067">
        <f>AA10-AB10-AC10</f>
        <v>0</v>
      </c>
      <c r="AE10" s="1067">
        <f>((I10+H10+L10+O10++P10)-SUM(R10:Y10))-AA10</f>
        <v>0</v>
      </c>
    </row>
    <row r="11" spans="2:33" ht="30" customHeight="1">
      <c r="B11" s="1018">
        <v>2</v>
      </c>
      <c r="C11" s="1019" t="str">
        <f>+distribucion!G11</f>
        <v>Choc Abrego  Enma Leticia</v>
      </c>
      <c r="D11" s="1071" t="str">
        <f>VLOOKUP(C11,distribucion!G$8:FP$152,2,0)</f>
        <v>Conserje</v>
      </c>
      <c r="E11" s="1314">
        <f t="shared" ref="E11" si="4">H11+L11+N11+O11</f>
        <v>4002.28</v>
      </c>
      <c r="F11" s="1073">
        <f>VLOOKUP(C11,distribucion!G10:M154,7,FALSE)</f>
        <v>30</v>
      </c>
      <c r="G11" s="1064" t="str">
        <f>VLOOKUP(C11,distribucion!$G$8:$DV$152,14,0)</f>
        <v>A.23/3</v>
      </c>
      <c r="H11" s="1065">
        <f>ROUND((VLOOKUP(C11,distribucion!G$1:FP$152,130,0)),2)</f>
        <v>4002.28</v>
      </c>
      <c r="I11" s="1065">
        <f>ROUND((VLOOKUP(C11,distribucion!G$8:FO$152,131,0)),2)</f>
        <v>250</v>
      </c>
      <c r="J11" s="1065">
        <f t="shared" ref="J11" si="5">H11+I11</f>
        <v>4252.2800000000007</v>
      </c>
      <c r="K11" s="1065">
        <f>VLOOKUP(C11,distribucion!G$8:FP$152,132,0)</f>
        <v>0</v>
      </c>
      <c r="L11" s="1065">
        <f>ROUND((VLOOKUP(C11,distribucion!G$8:FP$152,133,0)),2)</f>
        <v>0</v>
      </c>
      <c r="M11" s="1065">
        <f>VLOOKUP(C11,distribucion!G$8:FP$152,134,0)</f>
        <v>0</v>
      </c>
      <c r="N11" s="1065">
        <f>ROUND((VLOOKUP(C11,distribucion!G$8:FP$152,135,0)),2)</f>
        <v>0</v>
      </c>
      <c r="O11" s="1065">
        <v>0</v>
      </c>
      <c r="P11" s="1065">
        <f>ROUND((VLOOKUP(C11,distribucion!G$8:FP$152,136,0)),2)</f>
        <v>0</v>
      </c>
      <c r="Q11" s="1065">
        <f>SUM(J11:P11)-K11-M11</f>
        <v>4252.2800000000007</v>
      </c>
      <c r="R11" s="1065">
        <f>ROUND(((H11+L11+N11+O11+P11)*0.0483),2)</f>
        <v>193.31</v>
      </c>
      <c r="S11" s="1065">
        <f>ROUND((VLOOKUP(C11,distribucion!G$8:FP$152,151,0)),2)</f>
        <v>0</v>
      </c>
      <c r="T11" s="1065">
        <f>ROUND((VLOOKUP(C11,distribucion!G$8:FP$152,152,0)),2)</f>
        <v>0</v>
      </c>
      <c r="U11" s="1065">
        <f>ROUND((VLOOKUP(C11,distribucion!G$8:FP$152,153,0)),2)</f>
        <v>0</v>
      </c>
      <c r="V11" s="1065">
        <f>ROUND((VLOOKUP(C11,distribucion!$G$1:$FJ$152,159,0)),2)</f>
        <v>0</v>
      </c>
      <c r="W11" s="1065">
        <f>ROUND((VLOOKUP(C11,distribucion!$G$1:$FJ$152,158,0)),2)</f>
        <v>0</v>
      </c>
      <c r="X11" s="1065">
        <f>ROUND((VLOOKUP(C11,distribucion!$G$1:$FJ$152,154,0)),2)</f>
        <v>0</v>
      </c>
      <c r="Y11" s="1065">
        <f>ROUND((VLOOKUP(C11,distribucion!G$8:FP$152,160,0)),2)</f>
        <v>0</v>
      </c>
      <c r="Z11" s="1066">
        <f t="shared" ref="Z11" si="6">SUM(R11:Y11)</f>
        <v>193.31</v>
      </c>
      <c r="AA11" s="1065">
        <f t="shared" ref="AA11" si="7">Q11-Z11</f>
        <v>4058.9700000000007</v>
      </c>
      <c r="AB11" s="1067">
        <v>2029.4800000000002</v>
      </c>
      <c r="AC11" s="1068">
        <f t="shared" ref="AC11:AC12" si="8">+AA11-AB11</f>
        <v>2029.4900000000005</v>
      </c>
      <c r="AD11" s="1067"/>
      <c r="AE11" s="1067"/>
    </row>
    <row r="12" spans="2:33" ht="30" customHeight="1">
      <c r="B12" s="1018">
        <v>3</v>
      </c>
      <c r="C12" s="980" t="s">
        <v>431</v>
      </c>
      <c r="D12" s="1071" t="str">
        <f>VLOOKUP(C12,distribucion!G$8:FP$152,2,0)</f>
        <v>Conserje</v>
      </c>
      <c r="E12" s="1314">
        <f t="shared" si="0"/>
        <v>4002.28</v>
      </c>
      <c r="F12" s="1073">
        <f>VLOOKUP(C12,distribucion!G8:M152,7,FALSE)</f>
        <v>30</v>
      </c>
      <c r="G12" s="1064"/>
      <c r="H12" s="1065">
        <f>ROUND((VLOOKUP(C12,distribucion!G$1:FP$152,130,0)),2)</f>
        <v>4002.28</v>
      </c>
      <c r="I12" s="1065">
        <f>ROUND((VLOOKUP(C12,distribucion!G$8:FO$152,131,0)),2)</f>
        <v>250</v>
      </c>
      <c r="J12" s="1065">
        <f t="shared" ref="J12" si="9">H12+I12</f>
        <v>4252.2800000000007</v>
      </c>
      <c r="K12" s="1065">
        <f>VLOOKUP(C12,distribucion!G$8:FP$152,132,0)</f>
        <v>0</v>
      </c>
      <c r="L12" s="1065">
        <f>ROUND((VLOOKUP(C12,distribucion!G$8:FP$152,133,0)),2)</f>
        <v>0</v>
      </c>
      <c r="M12" s="1065">
        <f>VLOOKUP(C12,distribucion!G$8:FP$152,134,0)</f>
        <v>0</v>
      </c>
      <c r="N12" s="1065">
        <f>ROUND((VLOOKUP(C12,distribucion!G$8:FP$152,135,0)),2)</f>
        <v>0</v>
      </c>
      <c r="O12" s="1065">
        <v>0</v>
      </c>
      <c r="P12" s="1065">
        <f>ROUND((VLOOKUP(C12,distribucion!G$8:FP$152,36,0)),2)</f>
        <v>0</v>
      </c>
      <c r="Q12" s="1065">
        <f t="shared" ref="Q12" si="10">SUM(J12:P12)-K12-M12</f>
        <v>4252.2800000000007</v>
      </c>
      <c r="R12" s="1065">
        <f>ROUND(((H12+L12+N12+O12+P12)*3%),2)</f>
        <v>120.07</v>
      </c>
      <c r="S12" s="1065">
        <f>ROUND((VLOOKUP(C12,distribucion!G$8:FP$152,151,0)),2)</f>
        <v>0</v>
      </c>
      <c r="T12" s="1065">
        <f>ROUND((VLOOKUP(C12,distribucion!G$8:FP$152,152,0)),2)</f>
        <v>0</v>
      </c>
      <c r="U12" s="1065">
        <f>ROUND((VLOOKUP(C12,distribucion!G$8:FP$152,153,0)),2)</f>
        <v>0</v>
      </c>
      <c r="V12" s="1065">
        <f>ROUND((VLOOKUP(C12,distribucion!$G$1:$FJ$152,159,0)),2)</f>
        <v>0</v>
      </c>
      <c r="W12" s="1065">
        <f>ROUND((VLOOKUP(C12,distribucion!$G$1:$FJ$152,158,0)),2)</f>
        <v>0</v>
      </c>
      <c r="X12" s="1065">
        <f>ROUND((VLOOKUP(C12,distribucion!$G$1:$FJ$152,154,0)),2)</f>
        <v>0</v>
      </c>
      <c r="Y12" s="1065">
        <f>ROUND((VLOOKUP(C12,distribucion!G$8:FP$152,160,0)),2)</f>
        <v>0</v>
      </c>
      <c r="Z12" s="1066">
        <f t="shared" ref="Z12" si="11">SUM(R12:Y12)</f>
        <v>120.07</v>
      </c>
      <c r="AA12" s="1065">
        <f t="shared" ref="AA12" si="12">Q12-Z12</f>
        <v>4132.2100000000009</v>
      </c>
      <c r="AB12" s="1067">
        <v>2066.11</v>
      </c>
      <c r="AC12" s="1068">
        <f t="shared" si="8"/>
        <v>2066.1000000000008</v>
      </c>
      <c r="AD12" s="1067">
        <f t="shared" ref="AD12:AD75" si="13">AA12-AB12-AC12</f>
        <v>0</v>
      </c>
      <c r="AE12" s="1067">
        <f t="shared" ref="AE12:AE75" si="14">((I12+H12+L12+O12++P12)-SUM(R12:Y12))-AA12</f>
        <v>0</v>
      </c>
    </row>
    <row r="13" spans="2:33" s="1174" customFormat="1" ht="30" customHeight="1">
      <c r="B13" s="1165"/>
      <c r="C13" s="1170"/>
      <c r="D13" s="1171" t="s">
        <v>171</v>
      </c>
      <c r="E13" s="1172" t="s">
        <v>171</v>
      </c>
      <c r="F13" s="1173"/>
      <c r="G13" s="1168"/>
      <c r="H13" s="1084">
        <f t="shared" ref="H13:AC13" si="15">SUM(H10:H12)</f>
        <v>13004.560000000001</v>
      </c>
      <c r="I13" s="1084">
        <f t="shared" si="15"/>
        <v>1500</v>
      </c>
      <c r="J13" s="1084">
        <f t="shared" si="15"/>
        <v>14504.560000000001</v>
      </c>
      <c r="K13" s="1084">
        <f t="shared" si="15"/>
        <v>0</v>
      </c>
      <c r="L13" s="1084">
        <f t="shared" si="15"/>
        <v>0</v>
      </c>
      <c r="M13" s="1084">
        <f t="shared" si="15"/>
        <v>0</v>
      </c>
      <c r="N13" s="1084">
        <f t="shared" si="15"/>
        <v>0</v>
      </c>
      <c r="O13" s="1084">
        <f t="shared" si="15"/>
        <v>0</v>
      </c>
      <c r="P13" s="1084">
        <f t="shared" si="15"/>
        <v>0</v>
      </c>
      <c r="Q13" s="1084">
        <f t="shared" si="15"/>
        <v>14504.560000000001</v>
      </c>
      <c r="R13" s="1084">
        <f t="shared" si="15"/>
        <v>554.88</v>
      </c>
      <c r="S13" s="1084">
        <f t="shared" si="15"/>
        <v>87.92</v>
      </c>
      <c r="T13" s="1084">
        <f t="shared" si="15"/>
        <v>0</v>
      </c>
      <c r="U13" s="1084">
        <f t="shared" si="15"/>
        <v>0</v>
      </c>
      <c r="V13" s="1084">
        <f t="shared" si="15"/>
        <v>0</v>
      </c>
      <c r="W13" s="1084">
        <f t="shared" si="15"/>
        <v>0</v>
      </c>
      <c r="X13" s="1084">
        <f t="shared" si="15"/>
        <v>65</v>
      </c>
      <c r="Y13" s="1084">
        <f t="shared" si="15"/>
        <v>350</v>
      </c>
      <c r="Z13" s="1084">
        <f t="shared" si="15"/>
        <v>1057.8</v>
      </c>
      <c r="AA13" s="1084">
        <f t="shared" si="15"/>
        <v>13446.760000000002</v>
      </c>
      <c r="AB13" s="1084">
        <f t="shared" si="15"/>
        <v>6755.880000000001</v>
      </c>
      <c r="AC13" s="1084">
        <f t="shared" si="15"/>
        <v>6690.880000000001</v>
      </c>
      <c r="AD13" s="1067">
        <f t="shared" si="13"/>
        <v>0</v>
      </c>
      <c r="AE13" s="1067">
        <f t="shared" si="14"/>
        <v>0</v>
      </c>
      <c r="AG13" s="1169"/>
    </row>
    <row r="14" spans="2:33" s="1081" customFormat="1" ht="30" customHeight="1">
      <c r="B14" s="1018"/>
      <c r="C14" s="1076"/>
      <c r="D14" s="1077"/>
      <c r="E14" s="1078"/>
      <c r="F14" s="1079"/>
      <c r="G14" s="1074"/>
      <c r="H14" s="1080"/>
      <c r="I14" s="1080"/>
      <c r="J14" s="1080"/>
      <c r="K14" s="1080"/>
      <c r="L14" s="1080"/>
      <c r="M14" s="1080"/>
      <c r="N14" s="1080"/>
      <c r="O14" s="1080"/>
      <c r="P14" s="1080"/>
      <c r="Q14" s="1080"/>
      <c r="R14" s="1080"/>
      <c r="S14" s="1080"/>
      <c r="T14" s="1080"/>
      <c r="U14" s="1080"/>
      <c r="V14" s="1080"/>
      <c r="W14" s="1080"/>
      <c r="X14" s="1080"/>
      <c r="Y14" s="1080"/>
      <c r="Z14" s="1080"/>
      <c r="AA14" s="1080"/>
      <c r="AB14" s="1080"/>
      <c r="AC14" s="1080"/>
      <c r="AD14" s="1067">
        <f t="shared" si="13"/>
        <v>0</v>
      </c>
      <c r="AE14" s="1067">
        <f t="shared" si="14"/>
        <v>0</v>
      </c>
      <c r="AG14" s="1030"/>
    </row>
    <row r="15" spans="2:33" s="1081" customFormat="1" ht="30" customHeight="1">
      <c r="B15" s="1018"/>
      <c r="C15" s="1082" t="s">
        <v>620</v>
      </c>
      <c r="D15" s="1077"/>
      <c r="E15" s="1078"/>
      <c r="F15" s="1079"/>
      <c r="G15" s="1074"/>
      <c r="H15" s="1080"/>
      <c r="I15" s="1080"/>
      <c r="J15" s="1080"/>
      <c r="K15" s="1080"/>
      <c r="L15" s="1080"/>
      <c r="M15" s="1080"/>
      <c r="N15" s="1080"/>
      <c r="O15" s="1080"/>
      <c r="P15" s="1080"/>
      <c r="Q15" s="1080"/>
      <c r="R15" s="1080"/>
      <c r="S15" s="1080"/>
      <c r="T15" s="1080"/>
      <c r="U15" s="1080"/>
      <c r="V15" s="1080"/>
      <c r="W15" s="1080"/>
      <c r="X15" s="1080"/>
      <c r="Y15" s="1080"/>
      <c r="Z15" s="1080"/>
      <c r="AA15" s="1080"/>
      <c r="AB15" s="1080"/>
      <c r="AC15" s="1080"/>
      <c r="AD15" s="1067">
        <f t="shared" si="13"/>
        <v>0</v>
      </c>
      <c r="AE15" s="1067">
        <f t="shared" si="14"/>
        <v>0</v>
      </c>
      <c r="AG15" s="1030"/>
    </row>
    <row r="16" spans="2:33" s="1081" customFormat="1" ht="30" customHeight="1">
      <c r="B16" s="1018"/>
      <c r="C16" s="980"/>
      <c r="D16" s="1071"/>
      <c r="E16" s="1072"/>
      <c r="F16" s="1073"/>
      <c r="G16" s="1064"/>
      <c r="H16" s="1065"/>
      <c r="I16" s="1065"/>
      <c r="J16" s="1065"/>
      <c r="K16" s="1065"/>
      <c r="L16" s="1065"/>
      <c r="M16" s="1065"/>
      <c r="N16" s="1065"/>
      <c r="O16" s="1065"/>
      <c r="P16" s="1065"/>
      <c r="Q16" s="1065"/>
      <c r="R16" s="1065"/>
      <c r="S16" s="1065"/>
      <c r="T16" s="1065"/>
      <c r="U16" s="1065"/>
      <c r="V16" s="1065"/>
      <c r="W16" s="1065"/>
      <c r="X16" s="1065"/>
      <c r="Y16" s="1065"/>
      <c r="Z16" s="1066"/>
      <c r="AA16" s="1065"/>
      <c r="AB16" s="1067"/>
      <c r="AC16" s="1068"/>
      <c r="AD16" s="1067"/>
      <c r="AE16" s="1067"/>
      <c r="AG16" s="1030"/>
    </row>
    <row r="17" spans="2:33" s="1174" customFormat="1" ht="30" customHeight="1">
      <c r="B17" s="1165"/>
      <c r="C17" s="1175"/>
      <c r="D17" s="1171" t="s">
        <v>171</v>
      </c>
      <c r="E17" s="1172"/>
      <c r="F17" s="1173"/>
      <c r="G17" s="1168"/>
      <c r="H17" s="1084">
        <f t="shared" ref="H17:AC17" si="16">SUM(H16:H16)</f>
        <v>0</v>
      </c>
      <c r="I17" s="1084">
        <f t="shared" si="16"/>
        <v>0</v>
      </c>
      <c r="J17" s="1084">
        <f t="shared" si="16"/>
        <v>0</v>
      </c>
      <c r="K17" s="1084">
        <f t="shared" si="16"/>
        <v>0</v>
      </c>
      <c r="L17" s="1084">
        <f t="shared" si="16"/>
        <v>0</v>
      </c>
      <c r="M17" s="1084">
        <f t="shared" si="16"/>
        <v>0</v>
      </c>
      <c r="N17" s="1084">
        <f t="shared" si="16"/>
        <v>0</v>
      </c>
      <c r="O17" s="1084">
        <f t="shared" si="16"/>
        <v>0</v>
      </c>
      <c r="P17" s="1084">
        <f t="shared" si="16"/>
        <v>0</v>
      </c>
      <c r="Q17" s="1084">
        <f t="shared" si="16"/>
        <v>0</v>
      </c>
      <c r="R17" s="1084">
        <f t="shared" si="16"/>
        <v>0</v>
      </c>
      <c r="S17" s="1084">
        <f t="shared" si="16"/>
        <v>0</v>
      </c>
      <c r="T17" s="1084">
        <f t="shared" si="16"/>
        <v>0</v>
      </c>
      <c r="U17" s="1084">
        <f t="shared" si="16"/>
        <v>0</v>
      </c>
      <c r="V17" s="1084">
        <f t="shared" si="16"/>
        <v>0</v>
      </c>
      <c r="W17" s="1084">
        <f t="shared" si="16"/>
        <v>0</v>
      </c>
      <c r="X17" s="1084">
        <f t="shared" si="16"/>
        <v>0</v>
      </c>
      <c r="Y17" s="1084">
        <f t="shared" si="16"/>
        <v>0</v>
      </c>
      <c r="Z17" s="1084">
        <f t="shared" si="16"/>
        <v>0</v>
      </c>
      <c r="AA17" s="1084">
        <f t="shared" si="16"/>
        <v>0</v>
      </c>
      <c r="AB17" s="1084">
        <f t="shared" si="16"/>
        <v>0</v>
      </c>
      <c r="AC17" s="1084">
        <f t="shared" si="16"/>
        <v>0</v>
      </c>
      <c r="AD17" s="1067">
        <f t="shared" si="13"/>
        <v>0</v>
      </c>
      <c r="AE17" s="1067">
        <f t="shared" si="14"/>
        <v>0</v>
      </c>
      <c r="AG17" s="1169"/>
    </row>
    <row r="18" spans="2:33" s="1081" customFormat="1" ht="30" customHeight="1">
      <c r="B18" s="1018"/>
      <c r="C18" s="980"/>
      <c r="D18" s="1077"/>
      <c r="E18" s="1078"/>
      <c r="F18" s="1079"/>
      <c r="G18" s="1074"/>
      <c r="H18" s="1080"/>
      <c r="I18" s="1080"/>
      <c r="J18" s="1080"/>
      <c r="K18" s="1080"/>
      <c r="L18" s="1080"/>
      <c r="M18" s="1080"/>
      <c r="N18" s="1080"/>
      <c r="O18" s="1080"/>
      <c r="P18" s="1080"/>
      <c r="Q18" s="1080"/>
      <c r="R18" s="1080"/>
      <c r="S18" s="1080"/>
      <c r="T18" s="1080"/>
      <c r="U18" s="1080"/>
      <c r="V18" s="1080"/>
      <c r="W18" s="1080"/>
      <c r="X18" s="1080"/>
      <c r="Y18" s="1080"/>
      <c r="Z18" s="1080"/>
      <c r="AA18" s="1080"/>
      <c r="AB18" s="1080"/>
      <c r="AC18" s="1080"/>
      <c r="AD18" s="1067">
        <f t="shared" si="13"/>
        <v>0</v>
      </c>
      <c r="AE18" s="1067">
        <f t="shared" si="14"/>
        <v>0</v>
      </c>
      <c r="AG18" s="1030"/>
    </row>
    <row r="19" spans="2:33" s="1081" customFormat="1" ht="30" customHeight="1">
      <c r="B19" s="1018"/>
      <c r="C19" s="1082" t="s">
        <v>621</v>
      </c>
      <c r="D19" s="1077"/>
      <c r="E19" s="1078"/>
      <c r="F19" s="1079"/>
      <c r="G19" s="1074"/>
      <c r="H19" s="1080"/>
      <c r="I19" s="1080"/>
      <c r="J19" s="1080"/>
      <c r="K19" s="1080"/>
      <c r="L19" s="1080"/>
      <c r="M19" s="1080"/>
      <c r="N19" s="1080"/>
      <c r="O19" s="1080"/>
      <c r="P19" s="1080"/>
      <c r="Q19" s="1080"/>
      <c r="R19" s="1080"/>
      <c r="S19" s="1080"/>
      <c r="T19" s="1080"/>
      <c r="U19" s="1080"/>
      <c r="V19" s="1080"/>
      <c r="W19" s="1080"/>
      <c r="X19" s="1080"/>
      <c r="Y19" s="1080"/>
      <c r="Z19" s="1080"/>
      <c r="AA19" s="1080"/>
      <c r="AB19" s="1080"/>
      <c r="AC19" s="1080"/>
      <c r="AD19" s="1067">
        <f t="shared" si="13"/>
        <v>0</v>
      </c>
      <c r="AE19" s="1067">
        <f t="shared" si="14"/>
        <v>0</v>
      </c>
      <c r="AG19" s="1030"/>
    </row>
    <row r="20" spans="2:33" s="1081" customFormat="1" ht="30" customHeight="1">
      <c r="B20" s="1018"/>
      <c r="C20" s="1083"/>
      <c r="D20" s="1071"/>
      <c r="E20" s="1072"/>
      <c r="F20" s="1073"/>
      <c r="G20" s="1064"/>
      <c r="H20" s="1234"/>
      <c r="I20" s="1065"/>
      <c r="J20" s="1065"/>
      <c r="K20" s="1065"/>
      <c r="L20" s="1065"/>
      <c r="M20" s="1065"/>
      <c r="N20" s="1065"/>
      <c r="O20" s="1065"/>
      <c r="P20" s="1065"/>
      <c r="Q20" s="1065"/>
      <c r="R20" s="1065"/>
      <c r="S20" s="1065"/>
      <c r="T20" s="1065"/>
      <c r="U20" s="1065"/>
      <c r="V20" s="1065"/>
      <c r="W20" s="1065"/>
      <c r="X20" s="1065"/>
      <c r="Y20" s="1065"/>
      <c r="Z20" s="1066"/>
      <c r="AA20" s="1065"/>
      <c r="AB20" s="1067"/>
      <c r="AC20" s="1068"/>
      <c r="AD20" s="1067"/>
      <c r="AE20" s="1067"/>
      <c r="AG20" s="1030"/>
    </row>
    <row r="21" spans="2:33" s="1081" customFormat="1" ht="30" customHeight="1">
      <c r="B21" s="1018"/>
      <c r="C21" s="980"/>
      <c r="D21" s="1077" t="s">
        <v>171</v>
      </c>
      <c r="E21" s="1078"/>
      <c r="F21" s="1079"/>
      <c r="G21" s="1074"/>
      <c r="H21" s="1080">
        <f>SUM(H20)</f>
        <v>0</v>
      </c>
      <c r="I21" s="1080">
        <f t="shared" ref="I21:AB21" si="17">SUM(I20)</f>
        <v>0</v>
      </c>
      <c r="J21" s="1080">
        <f t="shared" si="17"/>
        <v>0</v>
      </c>
      <c r="K21" s="1080">
        <f t="shared" si="17"/>
        <v>0</v>
      </c>
      <c r="L21" s="1080">
        <f t="shared" si="17"/>
        <v>0</v>
      </c>
      <c r="M21" s="1080">
        <f t="shared" si="17"/>
        <v>0</v>
      </c>
      <c r="N21" s="1080">
        <f t="shared" si="17"/>
        <v>0</v>
      </c>
      <c r="O21" s="1080">
        <f t="shared" si="17"/>
        <v>0</v>
      </c>
      <c r="P21" s="1080">
        <f t="shared" si="17"/>
        <v>0</v>
      </c>
      <c r="Q21" s="1080">
        <f t="shared" si="17"/>
        <v>0</v>
      </c>
      <c r="R21" s="1080">
        <f t="shared" si="17"/>
        <v>0</v>
      </c>
      <c r="S21" s="1080">
        <f t="shared" si="17"/>
        <v>0</v>
      </c>
      <c r="T21" s="1080">
        <f t="shared" si="17"/>
        <v>0</v>
      </c>
      <c r="U21" s="1080">
        <f t="shared" si="17"/>
        <v>0</v>
      </c>
      <c r="V21" s="1080">
        <f t="shared" si="17"/>
        <v>0</v>
      </c>
      <c r="W21" s="1080">
        <f t="shared" si="17"/>
        <v>0</v>
      </c>
      <c r="X21" s="1080">
        <f t="shared" si="17"/>
        <v>0</v>
      </c>
      <c r="Y21" s="1080">
        <f t="shared" si="17"/>
        <v>0</v>
      </c>
      <c r="Z21" s="1080">
        <f t="shared" si="17"/>
        <v>0</v>
      </c>
      <c r="AA21" s="1080">
        <f t="shared" si="17"/>
        <v>0</v>
      </c>
      <c r="AB21" s="1080">
        <f t="shared" si="17"/>
        <v>0</v>
      </c>
      <c r="AC21" s="1068">
        <f t="shared" ref="AC21" si="18">+AA21-AB21</f>
        <v>0</v>
      </c>
      <c r="AD21" s="1067">
        <f t="shared" si="13"/>
        <v>0</v>
      </c>
      <c r="AE21" s="1067">
        <f t="shared" si="14"/>
        <v>0</v>
      </c>
      <c r="AG21" s="1030"/>
    </row>
    <row r="22" spans="2:33" s="1081" customFormat="1" ht="30" customHeight="1">
      <c r="B22" s="1018"/>
      <c r="C22" s="980"/>
      <c r="D22" s="1077"/>
      <c r="E22" s="1078"/>
      <c r="F22" s="1079"/>
      <c r="G22" s="1074"/>
      <c r="H22" s="1080"/>
      <c r="I22" s="1080"/>
      <c r="J22" s="1080"/>
      <c r="K22" s="1080"/>
      <c r="L22" s="1080"/>
      <c r="M22" s="1080"/>
      <c r="N22" s="1080"/>
      <c r="O22" s="1080"/>
      <c r="P22" s="1080"/>
      <c r="Q22" s="1080"/>
      <c r="R22" s="1080"/>
      <c r="S22" s="1080"/>
      <c r="T22" s="1080"/>
      <c r="U22" s="1080"/>
      <c r="V22" s="1080"/>
      <c r="W22" s="1080"/>
      <c r="X22" s="1080"/>
      <c r="Y22" s="1080"/>
      <c r="Z22" s="1080"/>
      <c r="AA22" s="1080"/>
      <c r="AB22" s="1080"/>
      <c r="AC22" s="1080"/>
      <c r="AD22" s="1067">
        <f t="shared" si="13"/>
        <v>0</v>
      </c>
      <c r="AE22" s="1067">
        <f t="shared" si="14"/>
        <v>0</v>
      </c>
      <c r="AG22" s="1030"/>
    </row>
    <row r="23" spans="2:33" s="1174" customFormat="1" ht="30" customHeight="1">
      <c r="B23" s="1165"/>
      <c r="C23" s="1175"/>
      <c r="D23" s="1171" t="s">
        <v>695</v>
      </c>
      <c r="E23" s="1172"/>
      <c r="F23" s="1173"/>
      <c r="G23" s="1168"/>
      <c r="H23" s="1084">
        <f t="shared" ref="H23:AC23" si="19">+H13+H17+H21</f>
        <v>13004.560000000001</v>
      </c>
      <c r="I23" s="1084">
        <f t="shared" si="19"/>
        <v>1500</v>
      </c>
      <c r="J23" s="1084">
        <f t="shared" si="19"/>
        <v>14504.560000000001</v>
      </c>
      <c r="K23" s="1084">
        <f t="shared" si="19"/>
        <v>0</v>
      </c>
      <c r="L23" s="1084">
        <f t="shared" si="19"/>
        <v>0</v>
      </c>
      <c r="M23" s="1084">
        <f t="shared" si="19"/>
        <v>0</v>
      </c>
      <c r="N23" s="1084">
        <f t="shared" si="19"/>
        <v>0</v>
      </c>
      <c r="O23" s="1084">
        <f t="shared" si="19"/>
        <v>0</v>
      </c>
      <c r="P23" s="1084">
        <f t="shared" si="19"/>
        <v>0</v>
      </c>
      <c r="Q23" s="1084">
        <f t="shared" si="19"/>
        <v>14504.560000000001</v>
      </c>
      <c r="R23" s="1084">
        <f t="shared" si="19"/>
        <v>554.88</v>
      </c>
      <c r="S23" s="1084">
        <f t="shared" si="19"/>
        <v>87.92</v>
      </c>
      <c r="T23" s="1084">
        <f t="shared" si="19"/>
        <v>0</v>
      </c>
      <c r="U23" s="1084">
        <f t="shared" si="19"/>
        <v>0</v>
      </c>
      <c r="V23" s="1084">
        <f t="shared" si="19"/>
        <v>0</v>
      </c>
      <c r="W23" s="1084">
        <f t="shared" si="19"/>
        <v>0</v>
      </c>
      <c r="X23" s="1084">
        <f t="shared" si="19"/>
        <v>65</v>
      </c>
      <c r="Y23" s="1084">
        <f t="shared" si="19"/>
        <v>350</v>
      </c>
      <c r="Z23" s="1084">
        <f t="shared" si="19"/>
        <v>1057.8</v>
      </c>
      <c r="AA23" s="1084">
        <f t="shared" si="19"/>
        <v>13446.760000000002</v>
      </c>
      <c r="AB23" s="1084">
        <f t="shared" si="19"/>
        <v>6755.880000000001</v>
      </c>
      <c r="AC23" s="1084">
        <f t="shared" si="19"/>
        <v>6690.880000000001</v>
      </c>
      <c r="AD23" s="1067">
        <f t="shared" si="13"/>
        <v>0</v>
      </c>
      <c r="AE23" s="1067">
        <f t="shared" si="14"/>
        <v>0</v>
      </c>
      <c r="AG23" s="1169"/>
    </row>
    <row r="24" spans="2:33" s="1081" customFormat="1" ht="30" customHeight="1">
      <c r="B24" s="1018"/>
      <c r="C24" s="993" t="s">
        <v>143</v>
      </c>
      <c r="D24" s="1077"/>
      <c r="E24" s="1078"/>
      <c r="F24" s="1079"/>
      <c r="G24" s="1074"/>
      <c r="H24" s="1080"/>
      <c r="I24" s="1080"/>
      <c r="J24" s="1080"/>
      <c r="K24" s="1080"/>
      <c r="L24" s="1080"/>
      <c r="M24" s="1080"/>
      <c r="N24" s="1080"/>
      <c r="O24" s="1080"/>
      <c r="P24" s="1080"/>
      <c r="Q24" s="1080"/>
      <c r="R24" s="1080"/>
      <c r="S24" s="1080"/>
      <c r="T24" s="1080"/>
      <c r="U24" s="1080"/>
      <c r="V24" s="1080"/>
      <c r="W24" s="1080"/>
      <c r="X24" s="1080"/>
      <c r="Y24" s="1080"/>
      <c r="Z24" s="1080"/>
      <c r="AA24" s="1080"/>
      <c r="AB24" s="1085"/>
      <c r="AC24" s="1085"/>
      <c r="AD24" s="1067">
        <f t="shared" si="13"/>
        <v>0</v>
      </c>
      <c r="AE24" s="1067">
        <f t="shared" si="14"/>
        <v>0</v>
      </c>
      <c r="AG24" s="1030"/>
    </row>
    <row r="25" spans="2:33" s="1081" customFormat="1" ht="30" customHeight="1">
      <c r="B25" s="1018"/>
      <c r="C25" s="1060" t="s">
        <v>619</v>
      </c>
      <c r="D25" s="1077"/>
      <c r="E25" s="1078"/>
      <c r="F25" s="1079"/>
      <c r="G25" s="1074"/>
      <c r="H25" s="1080"/>
      <c r="I25" s="1080"/>
      <c r="J25" s="1080"/>
      <c r="K25" s="1080"/>
      <c r="L25" s="1080"/>
      <c r="M25" s="1080"/>
      <c r="N25" s="1080"/>
      <c r="O25" s="1080"/>
      <c r="P25" s="1080"/>
      <c r="Q25" s="1080"/>
      <c r="R25" s="1080"/>
      <c r="S25" s="1080"/>
      <c r="T25" s="1080"/>
      <c r="U25" s="1080"/>
      <c r="V25" s="1080"/>
      <c r="W25" s="1080"/>
      <c r="X25" s="1080"/>
      <c r="Y25" s="1080"/>
      <c r="Z25" s="1080"/>
      <c r="AA25" s="1080"/>
      <c r="AB25" s="1067"/>
      <c r="AC25" s="1085"/>
      <c r="AD25" s="1067">
        <f t="shared" si="13"/>
        <v>0</v>
      </c>
      <c r="AE25" s="1067">
        <f t="shared" si="14"/>
        <v>0</v>
      </c>
      <c r="AG25" s="1030"/>
    </row>
    <row r="26" spans="2:33" s="1081" customFormat="1" ht="30" customHeight="1">
      <c r="B26" s="1018">
        <v>4</v>
      </c>
      <c r="C26" s="1086" t="s">
        <v>455</v>
      </c>
      <c r="D26" s="1071" t="str">
        <f>VLOOKUP(C26,distribucion!G$8:FP$152,2,0)</f>
        <v>Jefe de Recursos Humanos</v>
      </c>
      <c r="E26" s="1314">
        <f t="shared" ref="E26:E29" si="20">H26+L26+N26+O26</f>
        <v>9150</v>
      </c>
      <c r="F26" s="1073">
        <f>VLOOKUP(C26,distribucion!G8:M152,7,FALSE)</f>
        <v>30</v>
      </c>
      <c r="G26" s="1074">
        <f>VLOOKUP(C26,distribucion!$G$8:$DV$152,14,0)</f>
        <v>0</v>
      </c>
      <c r="H26" s="1065">
        <f>ROUND((VLOOKUP(C26,distribucion!G$1:FP$152,130,0)),2)</f>
        <v>9150</v>
      </c>
      <c r="I26" s="1065">
        <f>ROUND((VLOOKUP(C26,distribucion!G$8:FO$152,131,0)),2)</f>
        <v>4500</v>
      </c>
      <c r="J26" s="1065">
        <f t="shared" ref="J26" si="21">H26+I26</f>
        <v>13650</v>
      </c>
      <c r="K26" s="1065">
        <f>VLOOKUP(C26,distribucion!G$8:FP$152,132,0)</f>
        <v>0</v>
      </c>
      <c r="L26" s="1065">
        <f>ROUND((VLOOKUP(C26,distribucion!G$8:FP$152,133,0)),2)</f>
        <v>0</v>
      </c>
      <c r="M26" s="1065">
        <f>VLOOKUP(C26,distribucion!G$8:FP$152,134,0)</f>
        <v>0</v>
      </c>
      <c r="N26" s="1065">
        <f>ROUND((VLOOKUP(C26,distribucion!G$8:FP$152,135,0)),2)</f>
        <v>0</v>
      </c>
      <c r="O26" s="1028">
        <v>0</v>
      </c>
      <c r="P26" s="1075">
        <f>ROUND((VLOOKUP(C26,distribucion!G$8:FP$152,36,0)),2)</f>
        <v>0</v>
      </c>
      <c r="Q26" s="1028">
        <f>SUM(J26:P26)-K26-M26</f>
        <v>13650</v>
      </c>
      <c r="R26" s="1028">
        <f>ROUND(((H26+L26+N26+O26+P26)*0.0483),2)</f>
        <v>441.95</v>
      </c>
      <c r="S26" s="1028">
        <f>ROUND((VLOOKUP(C26,distribucion!G$8:FP$152,151,0)),2)</f>
        <v>429.5</v>
      </c>
      <c r="T26" s="1028">
        <f>ROUND((VLOOKUP(C26,distribucion!G$8:FP$152,152,0)),2)</f>
        <v>0</v>
      </c>
      <c r="U26" s="1028">
        <f>ROUND((VLOOKUP(C26,distribucion!G$8:FP$152,153,0)),2)</f>
        <v>0</v>
      </c>
      <c r="V26" s="1028">
        <f>ROUND((VLOOKUP(C26,distribucion!$G$1:$FJ$152,159,0)),2)</f>
        <v>0</v>
      </c>
      <c r="W26" s="1028">
        <f>ROUND((VLOOKUP(C26,distribucion!$G$1:$FJ$152,158,0)),2)</f>
        <v>0</v>
      </c>
      <c r="X26" s="1087">
        <f>ROUND((VLOOKUP(C26,distribucion!$G$1:$FJ$152,154,0)),2)</f>
        <v>161</v>
      </c>
      <c r="Y26" s="1028">
        <f>ROUND((VLOOKUP(C26,distribucion!G$8:FP$152,160,0)),2)</f>
        <v>0</v>
      </c>
      <c r="Z26" s="1067">
        <f>SUM(R26:Y26)</f>
        <v>1032.45</v>
      </c>
      <c r="AA26" s="1028">
        <f>Q26-Z26</f>
        <v>12617.55</v>
      </c>
      <c r="AB26" s="1067">
        <v>6303.28</v>
      </c>
      <c r="AC26" s="1068">
        <f t="shared" ref="AC26:AC29" si="22">+AA26-AB26</f>
        <v>6314.2699999999995</v>
      </c>
      <c r="AD26" s="1067">
        <f t="shared" si="13"/>
        <v>0</v>
      </c>
      <c r="AE26" s="1067">
        <f t="shared" si="14"/>
        <v>0</v>
      </c>
      <c r="AG26" s="1030"/>
    </row>
    <row r="27" spans="2:33" s="1081" customFormat="1" ht="30" customHeight="1">
      <c r="B27" s="1018">
        <v>5</v>
      </c>
      <c r="C27" s="980" t="s">
        <v>553</v>
      </c>
      <c r="D27" s="1071" t="str">
        <f>VLOOKUP(C27,distribucion!G$8:FP$152,2,0)</f>
        <v>Asistente de Recursos Humanos</v>
      </c>
      <c r="E27" s="1314">
        <f t="shared" si="20"/>
        <v>4850</v>
      </c>
      <c r="F27" s="1073">
        <f>VLOOKUP(C27,distribucion!G8:M152,7,FALSE)</f>
        <v>30</v>
      </c>
      <c r="G27" s="1074">
        <f>VLOOKUP(C27,distribucion!$G$8:$DV$152,14,0)</f>
        <v>0</v>
      </c>
      <c r="H27" s="1065">
        <f>ROUND((VLOOKUP(C27,distribucion!G$1:FP$152,130,0)),2)</f>
        <v>4850</v>
      </c>
      <c r="I27" s="1065">
        <f>ROUND((VLOOKUP(C27,distribucion!G$8:FO$152,131,0)),2)</f>
        <v>1000</v>
      </c>
      <c r="J27" s="1065">
        <f t="shared" ref="J27:J29" si="23">H27+I27</f>
        <v>5850</v>
      </c>
      <c r="K27" s="1065">
        <f>VLOOKUP(C27,distribucion!G$8:FP$152,132,0)</f>
        <v>0</v>
      </c>
      <c r="L27" s="1065">
        <f>ROUND((VLOOKUP(C27,distribucion!G$8:FP$152,133,0)),2)</f>
        <v>0</v>
      </c>
      <c r="M27" s="1065">
        <f>VLOOKUP(C27,distribucion!G$8:FP$152,134,0)</f>
        <v>0</v>
      </c>
      <c r="N27" s="1065">
        <f>ROUND((VLOOKUP(C27,distribucion!G$8:FP$152,135,0)),2)</f>
        <v>0</v>
      </c>
      <c r="O27" s="1028">
        <v>0</v>
      </c>
      <c r="P27" s="1075">
        <f>ROUND((VLOOKUP(C27,distribucion!G$8:FP$152,36,0)),2)</f>
        <v>0</v>
      </c>
      <c r="Q27" s="1028">
        <f t="shared" ref="Q27:Q29" si="24">SUM(J27:P27)-K27-M27</f>
        <v>5850</v>
      </c>
      <c r="R27" s="1028">
        <f t="shared" ref="R27:R29" si="25">ROUND(((H27+L27+N27+O27+P27)*0.0483),2)</f>
        <v>234.26</v>
      </c>
      <c r="S27" s="1028">
        <f>ROUND((VLOOKUP(C27,distribucion!G$8:FP$152,151,0)),2)</f>
        <v>66.53</v>
      </c>
      <c r="T27" s="1028">
        <f>ROUND((VLOOKUP(C27,distribucion!G$8:FP$152,152,0)),2)</f>
        <v>0</v>
      </c>
      <c r="U27" s="1028">
        <f>ROUND((VLOOKUP(C27,distribucion!G$8:FP$152,153,0)),2)</f>
        <v>0</v>
      </c>
      <c r="V27" s="1028">
        <f>ROUND((VLOOKUP(C27,distribucion!$G$1:$FJ$152,159,0)),2)</f>
        <v>0</v>
      </c>
      <c r="W27" s="1028">
        <f>ROUND((VLOOKUP(C27,distribucion!$G$1:$FJ$152,158,0)),2)</f>
        <v>0</v>
      </c>
      <c r="X27" s="1087">
        <f>ROUND((VLOOKUP(C27,distribucion!$G$1:$FJ$152,154,0)),2)</f>
        <v>131.75</v>
      </c>
      <c r="Y27" s="1028">
        <f>ROUND((VLOOKUP(C27,distribucion!G$8:FP$152,160,0)),2)</f>
        <v>350</v>
      </c>
      <c r="Z27" s="1067">
        <f t="shared" ref="Z27:Z29" si="26">SUM(R27:Y27)</f>
        <v>782.54</v>
      </c>
      <c r="AA27" s="1028">
        <f t="shared" ref="AA27:AA29" si="27">Q27-Z27</f>
        <v>5067.46</v>
      </c>
      <c r="AB27" s="1067">
        <v>2522.85</v>
      </c>
      <c r="AC27" s="1068">
        <f t="shared" si="22"/>
        <v>2544.61</v>
      </c>
      <c r="AD27" s="1067">
        <f t="shared" si="13"/>
        <v>0</v>
      </c>
      <c r="AE27" s="1067">
        <f t="shared" si="14"/>
        <v>0</v>
      </c>
      <c r="AG27" s="1030"/>
    </row>
    <row r="28" spans="2:33" s="1081" customFormat="1" ht="30" customHeight="1">
      <c r="B28" s="1018">
        <v>6</v>
      </c>
      <c r="C28" s="980" t="str">
        <f>+distribucion!G24</f>
        <v>Saenz Lemus Dulce Maria</v>
      </c>
      <c r="D28" s="1071" t="str">
        <f>VLOOKUP(C28,distribucion!G$8:FP$152,2,0)</f>
        <v>Recepcionista</v>
      </c>
      <c r="E28" s="1314">
        <f t="shared" ref="E28" si="28">H28+L28+N28+O28</f>
        <v>4250.03</v>
      </c>
      <c r="F28" s="1073">
        <f>VLOOKUP(C28,distribucion!G9:M153,7,FALSE)</f>
        <v>30</v>
      </c>
      <c r="G28" s="1074">
        <f>VLOOKUP(C28,distribucion!$G$8:$DV$152,14,0)</f>
        <v>0</v>
      </c>
      <c r="H28" s="1065">
        <f>ROUND((VLOOKUP(C28,distribucion!G$1:FP$152,130,0)),2)</f>
        <v>4250.03</v>
      </c>
      <c r="I28" s="1065">
        <f>ROUND((VLOOKUP(C28,distribucion!G$8:FO$152,131,0)),2)</f>
        <v>250</v>
      </c>
      <c r="J28" s="1065">
        <f t="shared" ref="J28" si="29">H28+I28</f>
        <v>4500.03</v>
      </c>
      <c r="K28" s="1065">
        <f>VLOOKUP(C28,distribucion!G$8:FP$152,132,0)</f>
        <v>0</v>
      </c>
      <c r="L28" s="1065">
        <f>ROUND((VLOOKUP(C28,distribucion!G$8:FP$152,133,0)),2)</f>
        <v>0</v>
      </c>
      <c r="M28" s="1065">
        <f>VLOOKUP(C28,distribucion!G$8:FP$152,134,0)</f>
        <v>0</v>
      </c>
      <c r="N28" s="1065">
        <f>ROUND((VLOOKUP(C28,distribucion!G$8:FP$152,135,0)),2)</f>
        <v>0</v>
      </c>
      <c r="O28" s="1028">
        <v>0</v>
      </c>
      <c r="P28" s="1075">
        <f>ROUND((VLOOKUP(C28,distribucion!G$8:FP$152,36,0)),2)</f>
        <v>0</v>
      </c>
      <c r="Q28" s="1028">
        <f t="shared" ref="Q28" si="30">SUM(J28:P28)-K28-M28</f>
        <v>4500.03</v>
      </c>
      <c r="R28" s="1028">
        <f t="shared" ref="R28" si="31">ROUND(((H28+L28+N28+O28+P28)*0.0483),2)</f>
        <v>205.28</v>
      </c>
      <c r="S28" s="1028">
        <f>ROUND((VLOOKUP(C28,distribucion!G$8:FP$152,151,0)),2)</f>
        <v>4.51</v>
      </c>
      <c r="T28" s="1028">
        <f>ROUND((VLOOKUP(C28,distribucion!G$8:FP$152,152,0)),2)</f>
        <v>0</v>
      </c>
      <c r="U28" s="1028">
        <f>ROUND((VLOOKUP(C28,distribucion!G$8:FP$152,153,0)),2)</f>
        <v>0</v>
      </c>
      <c r="V28" s="1028">
        <f>ROUND((VLOOKUP(C28,distribucion!$G$1:$FJ$152,159,0)),2)</f>
        <v>0</v>
      </c>
      <c r="W28" s="1028">
        <f>ROUND((VLOOKUP(C28,distribucion!$G$1:$FJ$152,158,0)),2)</f>
        <v>0</v>
      </c>
      <c r="X28" s="1087">
        <f>ROUND((VLOOKUP(C28,distribucion!$G$1:$FJ$152,154,0)),2)</f>
        <v>180</v>
      </c>
      <c r="Y28" s="1028">
        <f>ROUND((VLOOKUP(C28,distribucion!G$8:FP$152,160,0)),2)</f>
        <v>0</v>
      </c>
      <c r="Z28" s="1067">
        <f t="shared" ref="Z28" si="32">SUM(R28:Y28)</f>
        <v>389.78999999999996</v>
      </c>
      <c r="AA28" s="1028">
        <f t="shared" ref="AA28" si="33">Q28-Z28</f>
        <v>4110.24</v>
      </c>
      <c r="AB28" s="1067">
        <v>2043.12</v>
      </c>
      <c r="AC28" s="1068">
        <f t="shared" si="22"/>
        <v>2067.12</v>
      </c>
      <c r="AD28" s="1067"/>
      <c r="AE28" s="1067"/>
      <c r="AG28" s="1030"/>
    </row>
    <row r="29" spans="2:33" s="1081" customFormat="1" ht="30" customHeight="1">
      <c r="B29" s="1018">
        <v>7</v>
      </c>
      <c r="C29" s="980" t="s">
        <v>679</v>
      </c>
      <c r="D29" s="1071" t="str">
        <f>VLOOKUP(C29,distribucion!G$8:FP$152,2,0)</f>
        <v>Asistente de Reclutamiento</v>
      </c>
      <c r="E29" s="1314">
        <f t="shared" si="20"/>
        <v>4725</v>
      </c>
      <c r="F29" s="1073">
        <f>VLOOKUP(C29,distribucion!G9:M152,7,FALSE)</f>
        <v>30</v>
      </c>
      <c r="G29" s="1074">
        <f>VLOOKUP(C29,distribucion!$G$8:$DV$152,14,0)</f>
        <v>0</v>
      </c>
      <c r="H29" s="1065">
        <f>ROUND((VLOOKUP(C29,distribucion!G$1:FP$152,130,0)),2)</f>
        <v>4725</v>
      </c>
      <c r="I29" s="1065">
        <f>ROUND((VLOOKUP(C29,distribucion!G$8:FO$152,131,0)),2)</f>
        <v>1000</v>
      </c>
      <c r="J29" s="1065">
        <f t="shared" si="23"/>
        <v>5725</v>
      </c>
      <c r="K29" s="1065">
        <f>VLOOKUP(C29,distribucion!G$8:FP$152,132,0)</f>
        <v>0</v>
      </c>
      <c r="L29" s="1065">
        <f>ROUND((VLOOKUP(C29,distribucion!G$8:FP$152,133,0)),2)</f>
        <v>0</v>
      </c>
      <c r="M29" s="1065">
        <f>VLOOKUP(C29,distribucion!G$8:FP$152,134,0)</f>
        <v>0</v>
      </c>
      <c r="N29" s="1065">
        <f>ROUND((VLOOKUP(C29,distribucion!G$8:FP$152,135,0)),2)</f>
        <v>0</v>
      </c>
      <c r="O29" s="1028">
        <v>0</v>
      </c>
      <c r="P29" s="1075">
        <f>ROUND((VLOOKUP(C29,distribucion!G$8:FP$152,36,0)),2)</f>
        <v>0</v>
      </c>
      <c r="Q29" s="1028">
        <f t="shared" si="24"/>
        <v>5725</v>
      </c>
      <c r="R29" s="1028">
        <f t="shared" si="25"/>
        <v>228.22</v>
      </c>
      <c r="S29" s="1028">
        <f>ROUND((VLOOKUP(C29,distribucion!G$8:FP$152,151,0)),2)</f>
        <v>61.78</v>
      </c>
      <c r="T29" s="1028">
        <f>ROUND((VLOOKUP(C29,distribucion!G$8:FP$152,152,0)),2)</f>
        <v>0</v>
      </c>
      <c r="U29" s="1028">
        <f>ROUND((VLOOKUP(C29,distribucion!G$8:FP$152,153,0)),2)</f>
        <v>0</v>
      </c>
      <c r="V29" s="1028">
        <f>ROUND((VLOOKUP(C29,distribucion!$G$1:$FJ$152,159,0)),2)</f>
        <v>0</v>
      </c>
      <c r="W29" s="1028">
        <f>ROUND((VLOOKUP(C29,distribucion!$G$1:$FJ$152,158,0)),2)</f>
        <v>0</v>
      </c>
      <c r="X29" s="1087">
        <f>ROUND((VLOOKUP(C29,distribucion!$G$1:$FJ$152,154,0)),2)</f>
        <v>262</v>
      </c>
      <c r="Y29" s="1028">
        <f>ROUND((VLOOKUP(C29,distribucion!G$8:FP$152,160,0)),2)</f>
        <v>168.3</v>
      </c>
      <c r="Z29" s="1067">
        <f t="shared" si="26"/>
        <v>720.3</v>
      </c>
      <c r="AA29" s="1028">
        <f t="shared" si="27"/>
        <v>5004.7</v>
      </c>
      <c r="AB29" s="1067">
        <v>2601</v>
      </c>
      <c r="AC29" s="1068">
        <f t="shared" si="22"/>
        <v>2403.6999999999998</v>
      </c>
      <c r="AD29" s="1067">
        <f t="shared" si="13"/>
        <v>0</v>
      </c>
      <c r="AE29" s="1067">
        <f t="shared" si="14"/>
        <v>0</v>
      </c>
      <c r="AG29" s="1030"/>
    </row>
    <row r="30" spans="2:33" s="1174" customFormat="1" ht="30" customHeight="1">
      <c r="B30" s="1165"/>
      <c r="C30" s="1170"/>
      <c r="D30" s="1171" t="s">
        <v>171</v>
      </c>
      <c r="E30" s="1172"/>
      <c r="F30" s="1173"/>
      <c r="G30" s="1168"/>
      <c r="H30" s="1084">
        <f>SUM(H26:H29)</f>
        <v>22975.03</v>
      </c>
      <c r="I30" s="1084">
        <f t="shared" ref="I30:AB30" si="34">SUM(I26:I29)</f>
        <v>6750</v>
      </c>
      <c r="J30" s="1084">
        <f t="shared" si="34"/>
        <v>29725.03</v>
      </c>
      <c r="K30" s="1084">
        <f t="shared" si="34"/>
        <v>0</v>
      </c>
      <c r="L30" s="1084">
        <f t="shared" si="34"/>
        <v>0</v>
      </c>
      <c r="M30" s="1084">
        <f t="shared" si="34"/>
        <v>0</v>
      </c>
      <c r="N30" s="1084">
        <f t="shared" si="34"/>
        <v>0</v>
      </c>
      <c r="O30" s="1084">
        <f t="shared" si="34"/>
        <v>0</v>
      </c>
      <c r="P30" s="1084">
        <f t="shared" si="34"/>
        <v>0</v>
      </c>
      <c r="Q30" s="1084">
        <f t="shared" si="34"/>
        <v>29725.03</v>
      </c>
      <c r="R30" s="1084">
        <f t="shared" si="34"/>
        <v>1109.71</v>
      </c>
      <c r="S30" s="1084">
        <f t="shared" si="34"/>
        <v>562.31999999999994</v>
      </c>
      <c r="T30" s="1084">
        <f t="shared" si="34"/>
        <v>0</v>
      </c>
      <c r="U30" s="1084">
        <f t="shared" si="34"/>
        <v>0</v>
      </c>
      <c r="V30" s="1084">
        <f t="shared" si="34"/>
        <v>0</v>
      </c>
      <c r="W30" s="1084">
        <f t="shared" si="34"/>
        <v>0</v>
      </c>
      <c r="X30" s="1084">
        <f t="shared" si="34"/>
        <v>734.75</v>
      </c>
      <c r="Y30" s="1084">
        <f t="shared" si="34"/>
        <v>518.29999999999995</v>
      </c>
      <c r="Z30" s="1084">
        <f t="shared" si="34"/>
        <v>2925.08</v>
      </c>
      <c r="AA30" s="1084">
        <f t="shared" si="34"/>
        <v>26799.95</v>
      </c>
      <c r="AB30" s="1084">
        <f t="shared" si="34"/>
        <v>13470.25</v>
      </c>
      <c r="AC30" s="1084">
        <f>SUM(AC26:AC29)</f>
        <v>13329.7</v>
      </c>
      <c r="AD30" s="1067">
        <f t="shared" si="13"/>
        <v>0</v>
      </c>
      <c r="AE30" s="1067">
        <f t="shared" si="14"/>
        <v>0</v>
      </c>
      <c r="AG30" s="1169"/>
    </row>
    <row r="31" spans="2:33" s="1081" customFormat="1" ht="30" customHeight="1">
      <c r="B31" s="1018"/>
      <c r="C31" s="1076"/>
      <c r="D31" s="1077"/>
      <c r="E31" s="1078"/>
      <c r="F31" s="1079"/>
      <c r="G31" s="1074"/>
      <c r="H31" s="1080"/>
      <c r="I31" s="1089"/>
      <c r="J31" s="1089"/>
      <c r="K31" s="1089"/>
      <c r="L31" s="1089"/>
      <c r="M31" s="1089"/>
      <c r="N31" s="1089"/>
      <c r="O31" s="1089"/>
      <c r="P31" s="1089"/>
      <c r="Q31" s="1089"/>
      <c r="R31" s="1089"/>
      <c r="S31" s="1089"/>
      <c r="T31" s="1089"/>
      <c r="U31" s="1089"/>
      <c r="V31" s="1089"/>
      <c r="W31" s="1089"/>
      <c r="X31" s="1089"/>
      <c r="Y31" s="1089"/>
      <c r="Z31" s="1089"/>
      <c r="AA31" s="1089"/>
      <c r="AB31" s="1090"/>
      <c r="AC31" s="1091"/>
      <c r="AD31" s="1067">
        <f t="shared" si="13"/>
        <v>0</v>
      </c>
      <c r="AE31" s="1067">
        <f t="shared" si="14"/>
        <v>0</v>
      </c>
      <c r="AG31" s="1030"/>
    </row>
    <row r="32" spans="2:33" s="1081" customFormat="1" ht="30" customHeight="1">
      <c r="B32" s="1018"/>
      <c r="C32" s="993" t="s">
        <v>142</v>
      </c>
      <c r="D32" s="1077"/>
      <c r="E32" s="1078"/>
      <c r="F32" s="1079"/>
      <c r="G32" s="1074"/>
      <c r="H32" s="1080"/>
      <c r="I32" s="1089"/>
      <c r="J32" s="1089"/>
      <c r="K32" s="1089"/>
      <c r="L32" s="1089"/>
      <c r="M32" s="1089"/>
      <c r="N32" s="1089"/>
      <c r="O32" s="1089"/>
      <c r="P32" s="1089"/>
      <c r="Q32" s="1089"/>
      <c r="R32" s="1089"/>
      <c r="S32" s="1089"/>
      <c r="T32" s="1089"/>
      <c r="U32" s="1089"/>
      <c r="V32" s="1089"/>
      <c r="W32" s="1089"/>
      <c r="X32" s="1089"/>
      <c r="Y32" s="1089"/>
      <c r="Z32" s="1089"/>
      <c r="AA32" s="1089"/>
      <c r="AB32" s="1090"/>
      <c r="AC32" s="1091"/>
      <c r="AD32" s="1067">
        <f t="shared" si="13"/>
        <v>0</v>
      </c>
      <c r="AE32" s="1067">
        <f t="shared" si="14"/>
        <v>0</v>
      </c>
      <c r="AG32" s="1030"/>
    </row>
    <row r="33" spans="2:33" s="1081" customFormat="1" ht="30" customHeight="1">
      <c r="B33" s="1018">
        <v>8</v>
      </c>
      <c r="C33" s="980" t="s">
        <v>419</v>
      </c>
      <c r="D33" s="1071" t="str">
        <f>VLOOKUP(C33,distribucion!G$8:FP$152,2,0)</f>
        <v>Jefe de Informática</v>
      </c>
      <c r="E33" s="1314">
        <f t="shared" ref="E33" si="35">H33+L33+N33+O33</f>
        <v>8000</v>
      </c>
      <c r="F33" s="1073">
        <f>VLOOKUP(C33,distribucion!G9:M152,7,FALSE)</f>
        <v>30</v>
      </c>
      <c r="G33" s="1074"/>
      <c r="H33" s="1065">
        <f>ROUND((VLOOKUP(C33,distribucion!G$1:FP$152,130,0)),2)</f>
        <v>8000</v>
      </c>
      <c r="I33" s="1065">
        <f>ROUND((VLOOKUP(C33,distribucion!G$8:FO$152,131,0)),2)</f>
        <v>7500</v>
      </c>
      <c r="J33" s="1065">
        <f t="shared" ref="J33" si="36">H33+I33</f>
        <v>15500</v>
      </c>
      <c r="K33" s="1065">
        <f>VLOOKUP(C33,distribucion!G$8:FP$152,132,0)</f>
        <v>0</v>
      </c>
      <c r="L33" s="1065">
        <f>ROUND((VLOOKUP(C33,distribucion!G$8:FP$152,133,0)),2)</f>
        <v>0</v>
      </c>
      <c r="M33" s="1065">
        <f>VLOOKUP(C33,distribucion!G$8:FP$152,134,0)</f>
        <v>0</v>
      </c>
      <c r="N33" s="1065">
        <f>ROUND((VLOOKUP(C33,distribucion!G$8:FP$152,135,0)),2)</f>
        <v>0</v>
      </c>
      <c r="O33" s="1028">
        <v>0</v>
      </c>
      <c r="P33" s="1075">
        <f>ROUND((VLOOKUP(C33,distribucion!G$8:FP$152,36,0)),2)</f>
        <v>0</v>
      </c>
      <c r="Q33" s="1028">
        <f>SUM(J33:P33)-K33-M33</f>
        <v>15500</v>
      </c>
      <c r="R33" s="1028">
        <f>ROUND(((H33+L33+N33+O33+P33)*0.0483),2)</f>
        <v>386.4</v>
      </c>
      <c r="S33" s="1028">
        <f>ROUND((VLOOKUP(C33,distribucion!G$8:FP$152,151,0)),2)</f>
        <v>493.18</v>
      </c>
      <c r="T33" s="1028">
        <f>ROUND((VLOOKUP(C33,distribucion!G$8:FP$152,152,0)),2)</f>
        <v>2633.75</v>
      </c>
      <c r="U33" s="1065">
        <f>ROUND((VLOOKUP(C33,distribucion!G$8:FP$152,153,0)),2)</f>
        <v>0</v>
      </c>
      <c r="V33" s="1028">
        <f>ROUND((VLOOKUP(C33,distribucion!$G$1:$FJ$152,159,0)),2)</f>
        <v>0</v>
      </c>
      <c r="W33" s="1028">
        <f>ROUND((VLOOKUP(C33,distribucion!$G$1:$FJ$152,158,0)),2)</f>
        <v>0</v>
      </c>
      <c r="X33" s="1028">
        <f>ROUND((VLOOKUP(C33,distribucion!$G$1:$FJ$152,154,0)),2)</f>
        <v>0</v>
      </c>
      <c r="Y33" s="1028">
        <f>ROUND((VLOOKUP(C33,distribucion!G$8:FP$152,160,0)),2)</f>
        <v>0</v>
      </c>
      <c r="Z33" s="1067">
        <f>SUM(R33:Y33)</f>
        <v>3513.33</v>
      </c>
      <c r="AA33" s="1028">
        <f>Q33-Z33</f>
        <v>11986.67</v>
      </c>
      <c r="AB33" s="1067">
        <v>5993.33</v>
      </c>
      <c r="AC33" s="1068">
        <f t="shared" ref="AC33:AC35" si="37">+AA33-AB33</f>
        <v>5993.34</v>
      </c>
      <c r="AD33" s="1067">
        <f t="shared" si="13"/>
        <v>0</v>
      </c>
      <c r="AE33" s="1067">
        <f t="shared" si="14"/>
        <v>0</v>
      </c>
      <c r="AG33" s="1030"/>
    </row>
    <row r="34" spans="2:33" ht="30" customHeight="1">
      <c r="B34" s="1018">
        <v>9</v>
      </c>
      <c r="C34" s="980" t="s">
        <v>682</v>
      </c>
      <c r="D34" s="1071" t="str">
        <f>VLOOKUP(C34,distribucion!G$8:FP$152,2,0)</f>
        <v>Analista Programador</v>
      </c>
      <c r="E34" s="1314">
        <f>H34+L34+N34+O34</f>
        <v>4200</v>
      </c>
      <c r="F34" s="1073">
        <f>VLOOKUP(C34,distribucion!G10:M152,7,FALSE)</f>
        <v>30</v>
      </c>
      <c r="G34" s="1074">
        <f>VLOOKUP(C34,distribucion!$G$8:$DV$152,14,0)</f>
        <v>0</v>
      </c>
      <c r="H34" s="1065">
        <f>ROUND((VLOOKUP(C34,distribucion!G$1:FP$152,130,0)),2)</f>
        <v>4200</v>
      </c>
      <c r="I34" s="1065">
        <f>ROUND((VLOOKUP(C34,distribucion!G$8:FO$152,131,0)),2)</f>
        <v>600</v>
      </c>
      <c r="J34" s="1065">
        <f t="shared" ref="J34:J35" si="38">H34+I34</f>
        <v>4800</v>
      </c>
      <c r="K34" s="1065">
        <f>VLOOKUP(C34,distribucion!G$8:FP$152,132,0)</f>
        <v>0</v>
      </c>
      <c r="L34" s="1065">
        <f>ROUND((VLOOKUP(C34,distribucion!G$8:FP$152,133,0)),2)</f>
        <v>0</v>
      </c>
      <c r="M34" s="1065">
        <f>VLOOKUP(C34,distribucion!G$8:FP$152,134,0)</f>
        <v>0</v>
      </c>
      <c r="N34" s="1065">
        <f>ROUND((VLOOKUP(C34,distribucion!G$8:FP$152,135,0)),2)</f>
        <v>0</v>
      </c>
      <c r="O34" s="1028">
        <v>0</v>
      </c>
      <c r="P34" s="1075">
        <f>ROUND((VLOOKUP(C34,distribucion!G$8:FP$152,36,0)),2)</f>
        <v>0</v>
      </c>
      <c r="Q34" s="1028">
        <f>SUM(J34:P34)-K34-M34</f>
        <v>4800</v>
      </c>
      <c r="R34" s="1028">
        <f>ROUND(((H34+L34+N34+O34+P34)*0.0483),2)</f>
        <v>202.86</v>
      </c>
      <c r="S34" s="1028">
        <f>ROUND((VLOOKUP(C34,distribucion!G$8:FP$152,151,0)),2)</f>
        <v>21</v>
      </c>
      <c r="T34" s="1028">
        <f>ROUND((VLOOKUP(C34,distribucion!G$8:FP$152,152,0)),2)</f>
        <v>0</v>
      </c>
      <c r="U34" s="1028">
        <f>ROUND((VLOOKUP(C34,distribucion!G$8:FP$152,153,0)),2)</f>
        <v>0</v>
      </c>
      <c r="V34" s="1028">
        <f>ROUND((VLOOKUP(C34,distribucion!$G$1:$FJ$152,159,0)),2)</f>
        <v>0</v>
      </c>
      <c r="W34" s="1028">
        <f>ROUND((VLOOKUP(C34,distribucion!$G$1:$FJ$152,158,0)),2)</f>
        <v>0</v>
      </c>
      <c r="X34" s="1028">
        <f>ROUND((VLOOKUP(C34,distribucion!$G$1:$FJ$152,154,0)),2)</f>
        <v>0</v>
      </c>
      <c r="Y34" s="1028">
        <f>ROUND((VLOOKUP(C34,distribucion!G$8:FP$152,160,0)),2)</f>
        <v>0</v>
      </c>
      <c r="Z34" s="1067">
        <f>SUM(R34:Y34)</f>
        <v>223.86</v>
      </c>
      <c r="AA34" s="1028">
        <f>Q34-Z34</f>
        <v>4576.1400000000003</v>
      </c>
      <c r="AB34" s="1067">
        <v>2288.0700000000002</v>
      </c>
      <c r="AC34" s="1068">
        <f t="shared" si="37"/>
        <v>2288.0700000000002</v>
      </c>
      <c r="AD34" s="1067">
        <f t="shared" si="13"/>
        <v>0</v>
      </c>
      <c r="AE34" s="1067">
        <f t="shared" si="14"/>
        <v>0</v>
      </c>
    </row>
    <row r="35" spans="2:33" ht="30" customHeight="1">
      <c r="B35" s="1018">
        <v>10</v>
      </c>
      <c r="C35" s="1019" t="str">
        <f>+distribucion!G31</f>
        <v>Vega Ortega Cesar Javier Arnoldo</v>
      </c>
      <c r="D35" s="1071" t="str">
        <f>VLOOKUP(C35,distribucion!G$8:FP$152,2,0)</f>
        <v>Analista Programador</v>
      </c>
      <c r="E35" s="1315">
        <f>H35+L35+N35+O35</f>
        <v>4200</v>
      </c>
      <c r="F35" s="1073">
        <f>VLOOKUP(C35,distribucion!G10:M152,7,FALSE)</f>
        <v>30</v>
      </c>
      <c r="G35" s="1074">
        <f>VLOOKUP(C35,distribucion!$G$8:$DV$152,14,0)</f>
        <v>0</v>
      </c>
      <c r="H35" s="1065">
        <f>ROUND((VLOOKUP(C35,distribucion!G$1:FP$152,130,0)),2)</f>
        <v>4200</v>
      </c>
      <c r="I35" s="1065">
        <f>ROUND((VLOOKUP(C35,distribucion!G$8:FO$152,131,0)),2)</f>
        <v>600</v>
      </c>
      <c r="J35" s="1065">
        <f t="shared" si="38"/>
        <v>4800</v>
      </c>
      <c r="K35" s="1065">
        <f>VLOOKUP(C35,distribucion!G$8:FP$152,132,0)</f>
        <v>0</v>
      </c>
      <c r="L35" s="1065">
        <f>ROUND((VLOOKUP(C35,distribucion!G$8:FP$152,133,0)),2)</f>
        <v>0</v>
      </c>
      <c r="M35" s="1065">
        <f>VLOOKUP(C35,distribucion!G$8:FP$152,134,0)</f>
        <v>0</v>
      </c>
      <c r="N35" s="1065">
        <f>ROUND((VLOOKUP(C35,distribucion!G$8:FP$152,135,0)),2)</f>
        <v>0</v>
      </c>
      <c r="O35" s="1028">
        <v>0</v>
      </c>
      <c r="P35" s="1075">
        <f>ROUND((VLOOKUP(C35,distribucion!G$8:FP$152,36,0)),2)</f>
        <v>0</v>
      </c>
      <c r="Q35" s="1028">
        <f>SUM(J35:P35)-K35-M35</f>
        <v>4800</v>
      </c>
      <c r="R35" s="1028">
        <f>ROUND(((H35+L35+N35+O35+P35)*0.0483),2)</f>
        <v>202.86</v>
      </c>
      <c r="S35" s="1028">
        <f>ROUND((VLOOKUP(C35,distribucion!G$8:FP$152,151,0)),2)</f>
        <v>21</v>
      </c>
      <c r="T35" s="1028">
        <f>ROUND((VLOOKUP(C35,distribucion!G$8:FP$152,152,0)),2)</f>
        <v>0</v>
      </c>
      <c r="U35" s="1028">
        <f>ROUND((VLOOKUP(C35,distribucion!G$8:FP$152,153,0)),2)</f>
        <v>0</v>
      </c>
      <c r="V35" s="1028">
        <f>ROUND((VLOOKUP(C35,distribucion!$G$1:$FJ$152,159,0)),2)</f>
        <v>0</v>
      </c>
      <c r="W35" s="1028">
        <f>ROUND((VLOOKUP(C35,distribucion!$G$1:$FJ$152,158,0)),2)</f>
        <v>0</v>
      </c>
      <c r="X35" s="1028">
        <f>ROUND((VLOOKUP(C35,distribucion!$G$1:$FJ$152,154,0)),2)</f>
        <v>0</v>
      </c>
      <c r="Y35" s="1028">
        <f>ROUND((VLOOKUP(C35,distribucion!G$8:FP$152,160,0)),2)</f>
        <v>0</v>
      </c>
      <c r="Z35" s="1067">
        <f>SUM(R35:Y35)</f>
        <v>223.86</v>
      </c>
      <c r="AA35" s="1028">
        <f>Q35-Z35</f>
        <v>4576.1400000000003</v>
      </c>
      <c r="AB35" s="1067">
        <v>2288.0700000000002</v>
      </c>
      <c r="AC35" s="1068">
        <f t="shared" si="37"/>
        <v>2288.0700000000002</v>
      </c>
      <c r="AD35" s="1067">
        <f t="shared" si="13"/>
        <v>0</v>
      </c>
      <c r="AE35" s="1067">
        <f t="shared" si="14"/>
        <v>0</v>
      </c>
    </row>
    <row r="36" spans="2:33" s="1174" customFormat="1" ht="30" customHeight="1">
      <c r="B36" s="1165"/>
      <c r="C36" s="1170"/>
      <c r="D36" s="1171" t="s">
        <v>171</v>
      </c>
      <c r="E36" s="1172" t="s">
        <v>171</v>
      </c>
      <c r="F36" s="1173"/>
      <c r="G36" s="1168"/>
      <c r="H36" s="1084">
        <f>SUM(H33:H35)</f>
        <v>16400</v>
      </c>
      <c r="I36" s="1084">
        <f t="shared" ref="I36:AC36" si="39">SUM(I33:I35)</f>
        <v>8700</v>
      </c>
      <c r="J36" s="1084">
        <f t="shared" si="39"/>
        <v>25100</v>
      </c>
      <c r="K36" s="1084">
        <f t="shared" si="39"/>
        <v>0</v>
      </c>
      <c r="L36" s="1084">
        <f t="shared" si="39"/>
        <v>0</v>
      </c>
      <c r="M36" s="1084">
        <f t="shared" si="39"/>
        <v>0</v>
      </c>
      <c r="N36" s="1084">
        <f t="shared" si="39"/>
        <v>0</v>
      </c>
      <c r="O36" s="1084">
        <f t="shared" si="39"/>
        <v>0</v>
      </c>
      <c r="P36" s="1084">
        <f t="shared" si="39"/>
        <v>0</v>
      </c>
      <c r="Q36" s="1084">
        <f t="shared" si="39"/>
        <v>25100</v>
      </c>
      <c r="R36" s="1084">
        <f t="shared" si="39"/>
        <v>792.12</v>
      </c>
      <c r="S36" s="1084">
        <f t="shared" si="39"/>
        <v>535.18000000000006</v>
      </c>
      <c r="T36" s="1084">
        <f t="shared" si="39"/>
        <v>2633.75</v>
      </c>
      <c r="U36" s="1084">
        <f t="shared" si="39"/>
        <v>0</v>
      </c>
      <c r="V36" s="1084">
        <f t="shared" si="39"/>
        <v>0</v>
      </c>
      <c r="W36" s="1084">
        <f t="shared" si="39"/>
        <v>0</v>
      </c>
      <c r="X36" s="1084">
        <f t="shared" si="39"/>
        <v>0</v>
      </c>
      <c r="Y36" s="1084">
        <f t="shared" si="39"/>
        <v>0</v>
      </c>
      <c r="Z36" s="1084">
        <f t="shared" si="39"/>
        <v>3961.05</v>
      </c>
      <c r="AA36" s="1084">
        <f>SUM(AA33:AA35)</f>
        <v>21138.95</v>
      </c>
      <c r="AB36" s="1084">
        <f t="shared" si="39"/>
        <v>10569.47</v>
      </c>
      <c r="AC36" s="1084">
        <f t="shared" si="39"/>
        <v>10569.48</v>
      </c>
      <c r="AD36" s="1067">
        <f t="shared" si="13"/>
        <v>0</v>
      </c>
      <c r="AE36" s="1067">
        <f t="shared" si="14"/>
        <v>0</v>
      </c>
      <c r="AG36" s="1169"/>
    </row>
    <row r="37" spans="2:33" s="1081" customFormat="1" ht="30" customHeight="1">
      <c r="B37" s="1018"/>
      <c r="C37" s="1076"/>
      <c r="D37" s="1077"/>
      <c r="E37" s="1078"/>
      <c r="F37" s="1079"/>
      <c r="G37" s="1074"/>
      <c r="H37" s="1080"/>
      <c r="I37" s="1080"/>
      <c r="J37" s="1080"/>
      <c r="K37" s="1080"/>
      <c r="L37" s="1080"/>
      <c r="M37" s="1080"/>
      <c r="N37" s="1080"/>
      <c r="O37" s="1080"/>
      <c r="P37" s="1080"/>
      <c r="Q37" s="1080"/>
      <c r="R37" s="1080"/>
      <c r="S37" s="1080"/>
      <c r="T37" s="1080"/>
      <c r="U37" s="1080"/>
      <c r="V37" s="1080"/>
      <c r="W37" s="1080"/>
      <c r="X37" s="1080"/>
      <c r="Y37" s="1080"/>
      <c r="Z37" s="1080"/>
      <c r="AA37" s="1080"/>
      <c r="AB37" s="1085"/>
      <c r="AC37" s="1085"/>
      <c r="AD37" s="1067">
        <f t="shared" si="13"/>
        <v>0</v>
      </c>
      <c r="AE37" s="1067">
        <f t="shared" si="14"/>
        <v>0</v>
      </c>
      <c r="AG37" s="1030"/>
    </row>
    <row r="38" spans="2:33" s="1081" customFormat="1" ht="30" customHeight="1">
      <c r="B38" s="1018"/>
      <c r="C38" s="993" t="s">
        <v>622</v>
      </c>
      <c r="D38" s="1077"/>
      <c r="E38" s="1078"/>
      <c r="F38" s="1079"/>
      <c r="G38" s="1074"/>
      <c r="H38" s="1080"/>
      <c r="I38" s="1080"/>
      <c r="J38" s="1080"/>
      <c r="K38" s="1080"/>
      <c r="L38" s="1080"/>
      <c r="M38" s="1080"/>
      <c r="N38" s="1080"/>
      <c r="O38" s="1080"/>
      <c r="P38" s="1080"/>
      <c r="Q38" s="1080"/>
      <c r="R38" s="1080"/>
      <c r="S38" s="1080"/>
      <c r="T38" s="1080"/>
      <c r="U38" s="1080"/>
      <c r="V38" s="1080"/>
      <c r="W38" s="1080"/>
      <c r="X38" s="1080"/>
      <c r="Y38" s="1080"/>
      <c r="Z38" s="1080"/>
      <c r="AA38" s="1080"/>
      <c r="AB38" s="1085"/>
      <c r="AC38" s="1085"/>
      <c r="AD38" s="1067">
        <f t="shared" si="13"/>
        <v>0</v>
      </c>
      <c r="AE38" s="1067">
        <f t="shared" si="14"/>
        <v>0</v>
      </c>
      <c r="AG38" s="1030"/>
    </row>
    <row r="39" spans="2:33" s="1081" customFormat="1" ht="30" customHeight="1">
      <c r="B39" s="1018"/>
      <c r="C39" s="1060" t="s">
        <v>619</v>
      </c>
      <c r="D39" s="1077"/>
      <c r="E39" s="1078"/>
      <c r="F39" s="1079"/>
      <c r="G39" s="1074"/>
      <c r="H39" s="1080"/>
      <c r="I39" s="1080"/>
      <c r="J39" s="1080"/>
      <c r="K39" s="1080"/>
      <c r="L39" s="1080"/>
      <c r="M39" s="1080"/>
      <c r="N39" s="1080"/>
      <c r="O39" s="1080"/>
      <c r="P39" s="1080"/>
      <c r="Q39" s="1080"/>
      <c r="R39" s="1080"/>
      <c r="S39" s="1080"/>
      <c r="T39" s="1080"/>
      <c r="U39" s="1080"/>
      <c r="V39" s="1080"/>
      <c r="W39" s="1080"/>
      <c r="X39" s="1080"/>
      <c r="Y39" s="1080"/>
      <c r="Z39" s="1080"/>
      <c r="AA39" s="1080"/>
      <c r="AB39" s="1085"/>
      <c r="AC39" s="1085"/>
      <c r="AD39" s="1067">
        <f t="shared" si="13"/>
        <v>0</v>
      </c>
      <c r="AE39" s="1067">
        <f t="shared" si="14"/>
        <v>0</v>
      </c>
      <c r="AG39" s="1030"/>
    </row>
    <row r="40" spans="2:33" s="1081" customFormat="1" ht="30" customHeight="1">
      <c r="B40" s="1018">
        <v>11</v>
      </c>
      <c r="C40" s="1083" t="s">
        <v>418</v>
      </c>
      <c r="D40" s="1071" t="str">
        <f>VLOOKUP(C40,distribucion!G$8:FP$152,2,0)</f>
        <v>Auditor interno</v>
      </c>
      <c r="E40" s="1314">
        <f t="shared" ref="E40" si="40">H40+L40+N40+O40</f>
        <v>8000</v>
      </c>
      <c r="F40" s="1073">
        <f>VLOOKUP(C40,distribucion!G12:M152,7,FALSE)</f>
        <v>30</v>
      </c>
      <c r="G40" s="1074" t="str">
        <f>VLOOKUP(C40,distribucion!$G$8:$DV$152,14,0)</f>
        <v xml:space="preserve"> </v>
      </c>
      <c r="H40" s="1065">
        <f>ROUND((VLOOKUP(C40,distribucion!G$1:FP$152,130,0)),2)</f>
        <v>8000</v>
      </c>
      <c r="I40" s="1065">
        <f>ROUND((VLOOKUP(C40,distribucion!G$8:FO$152,131,0)),2)</f>
        <v>4000</v>
      </c>
      <c r="J40" s="1065">
        <f t="shared" ref="J40" si="41">H40+I40</f>
        <v>12000</v>
      </c>
      <c r="K40" s="1065">
        <f>VLOOKUP(C40,distribucion!G$8:FP$152,132,0)</f>
        <v>0</v>
      </c>
      <c r="L40" s="1065">
        <f>ROUND((VLOOKUP(C40,distribucion!G$8:FP$152,133,0)),2)</f>
        <v>0</v>
      </c>
      <c r="M40" s="1065">
        <f>VLOOKUP(C40,distribucion!G$8:FP$152,134,0)</f>
        <v>0</v>
      </c>
      <c r="N40" s="1065">
        <f>ROUND((VLOOKUP(C40,distribucion!G$8:FP$152,135,0)),2)</f>
        <v>0</v>
      </c>
      <c r="O40" s="1028">
        <v>0</v>
      </c>
      <c r="P40" s="1075">
        <f>ROUND((VLOOKUP(C40,distribucion!G$8:FP$152,36,0)),2)</f>
        <v>0</v>
      </c>
      <c r="Q40" s="1028">
        <f>SUM(J40:P40)-K40-M40</f>
        <v>12000</v>
      </c>
      <c r="R40" s="1028">
        <f>ROUND(((H40+L40+N40+O40+P40)*0.0483),2)</f>
        <v>386.4</v>
      </c>
      <c r="S40" s="1028">
        <f>ROUND((VLOOKUP(C40,distribucion!G$8:FP$152,151,0)),2)</f>
        <v>358.88</v>
      </c>
      <c r="T40" s="1028">
        <f>ROUND((VLOOKUP(C40,distribucion!G$8:FP$152,152,0)),2)</f>
        <v>0</v>
      </c>
      <c r="U40" s="1028">
        <f>ROUND((VLOOKUP(C40,distribucion!G$8:FP$152,153,0)),2)</f>
        <v>0</v>
      </c>
      <c r="V40" s="1028">
        <f>ROUND((VLOOKUP(C40,distribucion!$G$1:$FJ$152,159,0)),2)</f>
        <v>0</v>
      </c>
      <c r="W40" s="1028">
        <f>ROUND((VLOOKUP(C40,distribucion!$G$1:$FJ$152,158,0)),2)</f>
        <v>0</v>
      </c>
      <c r="X40" s="1028">
        <f>ROUND((VLOOKUP(C40,distribucion!$G$1:$FJ$152,154,0)),2)</f>
        <v>0</v>
      </c>
      <c r="Y40" s="1028">
        <f>ROUND((VLOOKUP(C40,distribucion!G$8:FP$152,160,0)),2)</f>
        <v>350</v>
      </c>
      <c r="Z40" s="1067">
        <f>SUM(R40:Y40)</f>
        <v>1095.28</v>
      </c>
      <c r="AA40" s="1028">
        <f>Q40-Z40</f>
        <v>10904.72</v>
      </c>
      <c r="AB40" s="1067">
        <v>5452.36</v>
      </c>
      <c r="AC40" s="1068">
        <f t="shared" ref="AC40:AC42" si="42">+AA40-AB40</f>
        <v>5452.36</v>
      </c>
      <c r="AD40" s="1067">
        <f t="shared" si="13"/>
        <v>0</v>
      </c>
      <c r="AE40" s="1067">
        <f t="shared" si="14"/>
        <v>0</v>
      </c>
      <c r="AG40" s="1030"/>
    </row>
    <row r="41" spans="2:33" s="1081" customFormat="1" ht="30" customHeight="1">
      <c r="B41" s="1018">
        <v>12</v>
      </c>
      <c r="C41" s="1083" t="str">
        <f>+distribucion!G36</f>
        <v>Roman Morales Mirta de los Angeles</v>
      </c>
      <c r="D41" s="1071" t="str">
        <f>VLOOKUP(C41,distribucion!G$8:FP$152,2,0)</f>
        <v>Operador de Monitoreo</v>
      </c>
      <c r="E41" s="1314">
        <f t="shared" ref="E41" si="43">H41+L41+N41+O41</f>
        <v>4200</v>
      </c>
      <c r="F41" s="1073">
        <f>VLOOKUP(C41,distribucion!G13:M153,7,FALSE)</f>
        <v>30</v>
      </c>
      <c r="G41" s="1074">
        <f>VLOOKUP(C41,distribucion!$G$8:$DV$152,14,0)</f>
        <v>0</v>
      </c>
      <c r="H41" s="1065">
        <f>ROUND((VLOOKUP(C41,distribucion!G$1:FP$152,130,0)),2)</f>
        <v>4200</v>
      </c>
      <c r="I41" s="1065">
        <f>ROUND((VLOOKUP(C41,distribucion!G$8:FO$152,131,0)),2)</f>
        <v>250</v>
      </c>
      <c r="J41" s="1065">
        <f t="shared" ref="J41" si="44">H41+I41</f>
        <v>4450</v>
      </c>
      <c r="K41" s="1065">
        <f>VLOOKUP(C41,distribucion!G$8:FP$152,132,0)</f>
        <v>0</v>
      </c>
      <c r="L41" s="1065">
        <f>ROUND((VLOOKUP(C41,distribucion!G$8:FP$152,133,0)),2)</f>
        <v>0</v>
      </c>
      <c r="M41" s="1065">
        <f>VLOOKUP(C41,distribucion!G$8:FP$152,134,0)</f>
        <v>0</v>
      </c>
      <c r="N41" s="1065">
        <f>ROUND((VLOOKUP(C41,distribucion!G$8:FP$152,135,0)),2)</f>
        <v>0</v>
      </c>
      <c r="O41" s="1028">
        <v>0</v>
      </c>
      <c r="P41" s="1075">
        <f>ROUND((VLOOKUP(C41,distribucion!G$8:FP$152,36,0)),2)</f>
        <v>0</v>
      </c>
      <c r="Q41" s="1028">
        <f>SUM(J41:P41)-K41-M41</f>
        <v>4450</v>
      </c>
      <c r="R41" s="1028">
        <f>ROUND(((H41+L41+N41+O41+P41)*0.0483),2)</f>
        <v>202.86</v>
      </c>
      <c r="S41" s="1028">
        <f>ROUND((VLOOKUP(C41,distribucion!G$8:FP$152,151,0)),2)</f>
        <v>0</v>
      </c>
      <c r="T41" s="1028">
        <f>ROUND((VLOOKUP(C41,distribucion!G$8:FP$152,152,0)),2)</f>
        <v>0</v>
      </c>
      <c r="U41" s="1028">
        <f>ROUND((VLOOKUP(C41,distribucion!G$8:FP$152,153,0)),2)</f>
        <v>0</v>
      </c>
      <c r="V41" s="1028">
        <f>ROUND((VLOOKUP(C41,distribucion!$G$1:$FJ$152,159,0)),2)</f>
        <v>0</v>
      </c>
      <c r="W41" s="1028">
        <f>ROUND((VLOOKUP(C41,distribucion!$G$1:$FJ$152,158,0)),2)</f>
        <v>0</v>
      </c>
      <c r="X41" s="1028">
        <f>ROUND((VLOOKUP(C41,distribucion!$G$1:$FJ$152,154,0)),2)</f>
        <v>0</v>
      </c>
      <c r="Y41" s="1028">
        <f>ROUND((VLOOKUP(C41,distribucion!G$8:FP$152,160,0)),2)</f>
        <v>45</v>
      </c>
      <c r="Z41" s="1067">
        <f>SUM(R41:Y41)</f>
        <v>247.86</v>
      </c>
      <c r="AA41" s="1028">
        <f>Q41-Z41</f>
        <v>4202.1400000000003</v>
      </c>
      <c r="AB41" s="1067">
        <v>2123.5700000000002</v>
      </c>
      <c r="AC41" s="1068">
        <f t="shared" si="42"/>
        <v>2078.5700000000002</v>
      </c>
      <c r="AD41" s="1067"/>
      <c r="AE41" s="1067"/>
      <c r="AG41" s="1030"/>
    </row>
    <row r="42" spans="2:33" s="1081" customFormat="1" ht="30" customHeight="1">
      <c r="B42" s="1018">
        <v>13</v>
      </c>
      <c r="C42" s="1019" t="str">
        <f>+distribucion!G37</f>
        <v>Apen Escalante Ami Adriana</v>
      </c>
      <c r="D42" s="1071" t="str">
        <f>VLOOKUP(C42,distribucion!G$8:FP$152,2,0)</f>
        <v>Asistente de Auditoria Interna</v>
      </c>
      <c r="E42" s="1314">
        <f t="shared" ref="E42" si="45">H42+L42+N42+O42</f>
        <v>4500</v>
      </c>
      <c r="F42" s="1073">
        <f>VLOOKUP(C42,distribucion!G13:M153,7,FALSE)</f>
        <v>30</v>
      </c>
      <c r="G42" s="1074">
        <f>VLOOKUP(C42,distribucion!$G$8:$DV$152,14,0)</f>
        <v>0</v>
      </c>
      <c r="H42" s="1065">
        <f>ROUND((VLOOKUP(C42,distribucion!G$1:FP$152,130,0)),2)</f>
        <v>4500</v>
      </c>
      <c r="I42" s="1065">
        <f>ROUND((VLOOKUP(C42,distribucion!G$8:FO$152,131,0)),2)</f>
        <v>500</v>
      </c>
      <c r="J42" s="1065">
        <f t="shared" ref="J42" si="46">H42+I42</f>
        <v>5000</v>
      </c>
      <c r="K42" s="1065">
        <f>VLOOKUP(C42,distribucion!G$8:FP$152,132,0)</f>
        <v>0</v>
      </c>
      <c r="L42" s="1065">
        <f>ROUND((VLOOKUP(C42,distribucion!G$8:FP$152,133,0)),2)</f>
        <v>0</v>
      </c>
      <c r="M42" s="1065">
        <f>VLOOKUP(C42,distribucion!G$8:FP$152,134,0)</f>
        <v>0</v>
      </c>
      <c r="N42" s="1065">
        <f>ROUND((VLOOKUP(C42,distribucion!G$8:FP$152,135,0)),2)</f>
        <v>0</v>
      </c>
      <c r="O42" s="1028">
        <v>0</v>
      </c>
      <c r="P42" s="1075">
        <f>ROUND((VLOOKUP(C42,distribucion!G$8:FP$152,36,0)),2)</f>
        <v>0</v>
      </c>
      <c r="Q42" s="1028">
        <f>SUM(J42:P42)-K42-M42</f>
        <v>5000</v>
      </c>
      <c r="R42" s="1028">
        <f>ROUND(((H42+L42+N42+O42+P42)*0.0483),2)</f>
        <v>217.35</v>
      </c>
      <c r="S42" s="1028">
        <f>ROUND((VLOOKUP(C42,distribucion!G$8:FP$152,151,0)),2)</f>
        <v>0</v>
      </c>
      <c r="T42" s="1028">
        <f>ROUND((VLOOKUP(C42,distribucion!G$8:FP$152,152,0)),2)</f>
        <v>0</v>
      </c>
      <c r="U42" s="1028">
        <f>ROUND((VLOOKUP(C42,distribucion!G$8:FP$152,153,0)),2)</f>
        <v>0</v>
      </c>
      <c r="V42" s="1028">
        <f>ROUND((VLOOKUP(C42,distribucion!$G$1:$FJ$152,159,0)),2)</f>
        <v>0</v>
      </c>
      <c r="W42" s="1028">
        <f>ROUND((VLOOKUP(C42,distribucion!$G$1:$FJ$152,158,0)),2)</f>
        <v>0</v>
      </c>
      <c r="X42" s="1028">
        <f>ROUND((VLOOKUP(C42,distribucion!$G$1:$FJ$152,154,0)),2)</f>
        <v>0</v>
      </c>
      <c r="Y42" s="1028">
        <f>ROUND((VLOOKUP(C42,distribucion!G$8:FP$152,160,0)),2)</f>
        <v>140</v>
      </c>
      <c r="Z42" s="1067">
        <f>SUM(R42:Y42)</f>
        <v>357.35</v>
      </c>
      <c r="AA42" s="1028">
        <f>Q42-Z42</f>
        <v>4642.6499999999996</v>
      </c>
      <c r="AB42" s="1067">
        <v>2391.3200000000002</v>
      </c>
      <c r="AC42" s="1068">
        <f t="shared" si="42"/>
        <v>2251.3299999999995</v>
      </c>
      <c r="AD42" s="1067"/>
      <c r="AE42" s="1067"/>
      <c r="AG42" s="1030"/>
    </row>
    <row r="43" spans="2:33" s="1081" customFormat="1" ht="31.2">
      <c r="B43" s="1018"/>
      <c r="C43" s="1076"/>
      <c r="D43" s="1077" t="s">
        <v>171</v>
      </c>
      <c r="E43" s="1078"/>
      <c r="F43" s="1079"/>
      <c r="G43" s="1074"/>
      <c r="H43" s="1088">
        <f t="shared" ref="H43:AC43" si="47">SUM(H40:H42)</f>
        <v>16700</v>
      </c>
      <c r="I43" s="1088">
        <f t="shared" si="47"/>
        <v>4750</v>
      </c>
      <c r="J43" s="1088">
        <f t="shared" si="47"/>
        <v>21450</v>
      </c>
      <c r="K43" s="1088">
        <f t="shared" si="47"/>
        <v>0</v>
      </c>
      <c r="L43" s="1088">
        <f t="shared" si="47"/>
        <v>0</v>
      </c>
      <c r="M43" s="1088">
        <f t="shared" si="47"/>
        <v>0</v>
      </c>
      <c r="N43" s="1088">
        <f t="shared" si="47"/>
        <v>0</v>
      </c>
      <c r="O43" s="1088">
        <f t="shared" si="47"/>
        <v>0</v>
      </c>
      <c r="P43" s="1088">
        <f t="shared" si="47"/>
        <v>0</v>
      </c>
      <c r="Q43" s="1088">
        <f t="shared" si="47"/>
        <v>21450</v>
      </c>
      <c r="R43" s="1088">
        <f t="shared" si="47"/>
        <v>806.61</v>
      </c>
      <c r="S43" s="1088">
        <f t="shared" si="47"/>
        <v>358.88</v>
      </c>
      <c r="T43" s="1088">
        <f t="shared" si="47"/>
        <v>0</v>
      </c>
      <c r="U43" s="1088">
        <f t="shared" si="47"/>
        <v>0</v>
      </c>
      <c r="V43" s="1088">
        <f t="shared" si="47"/>
        <v>0</v>
      </c>
      <c r="W43" s="1088">
        <f t="shared" si="47"/>
        <v>0</v>
      </c>
      <c r="X43" s="1088">
        <f t="shared" si="47"/>
        <v>0</v>
      </c>
      <c r="Y43" s="1088">
        <f t="shared" si="47"/>
        <v>535</v>
      </c>
      <c r="Z43" s="1088">
        <f t="shared" si="47"/>
        <v>1700.4899999999998</v>
      </c>
      <c r="AA43" s="1088">
        <f t="shared" si="47"/>
        <v>19749.510000000002</v>
      </c>
      <c r="AB43" s="1088">
        <f t="shared" si="47"/>
        <v>9967.25</v>
      </c>
      <c r="AC43" s="1088">
        <f t="shared" si="47"/>
        <v>9782.26</v>
      </c>
      <c r="AD43" s="1067">
        <f t="shared" si="13"/>
        <v>0</v>
      </c>
      <c r="AE43" s="1067">
        <f t="shared" si="14"/>
        <v>0</v>
      </c>
      <c r="AG43" s="1030"/>
    </row>
    <row r="44" spans="2:33" s="1081" customFormat="1" ht="30" customHeight="1">
      <c r="B44" s="1018"/>
      <c r="C44" s="1076"/>
      <c r="D44" s="1092"/>
      <c r="E44" s="1093"/>
      <c r="F44" s="1094"/>
      <c r="G44" s="1095"/>
      <c r="H44" s="1075"/>
      <c r="I44" s="1075"/>
      <c r="J44" s="1075"/>
      <c r="K44" s="1075"/>
      <c r="L44" s="1075"/>
      <c r="M44" s="1075"/>
      <c r="N44" s="1075"/>
      <c r="O44" s="1075"/>
      <c r="P44" s="1075"/>
      <c r="Q44" s="1075"/>
      <c r="R44" s="1075"/>
      <c r="S44" s="1075"/>
      <c r="T44" s="1075"/>
      <c r="U44" s="1075"/>
      <c r="V44" s="1075"/>
      <c r="W44" s="1075"/>
      <c r="X44" s="1075"/>
      <c r="Y44" s="1075"/>
      <c r="Z44" s="1096"/>
      <c r="AA44" s="1075"/>
      <c r="AB44" s="1067"/>
      <c r="AC44" s="1068"/>
      <c r="AD44" s="1067">
        <f t="shared" si="13"/>
        <v>0</v>
      </c>
      <c r="AE44" s="1067">
        <f t="shared" si="14"/>
        <v>0</v>
      </c>
      <c r="AG44" s="1030"/>
    </row>
    <row r="45" spans="2:33" s="1081" customFormat="1" ht="30" customHeight="1">
      <c r="B45" s="1018"/>
      <c r="C45" s="993" t="s">
        <v>624</v>
      </c>
      <c r="D45" s="1097"/>
      <c r="E45" s="1033"/>
      <c r="F45" s="1073"/>
      <c r="G45" s="1074"/>
      <c r="H45" s="1028"/>
      <c r="I45" s="1028"/>
      <c r="J45" s="1028"/>
      <c r="K45" s="1028"/>
      <c r="L45" s="1028"/>
      <c r="M45" s="1028"/>
      <c r="N45" s="1028"/>
      <c r="O45" s="1028"/>
      <c r="P45" s="1028"/>
      <c r="Q45" s="1028"/>
      <c r="R45" s="1028"/>
      <c r="S45" s="1028"/>
      <c r="T45" s="1028"/>
      <c r="U45" s="1028"/>
      <c r="V45" s="1028"/>
      <c r="W45" s="1028"/>
      <c r="X45" s="1028"/>
      <c r="Y45" s="1028"/>
      <c r="Z45" s="1067"/>
      <c r="AA45" s="1028"/>
      <c r="AB45" s="1067"/>
      <c r="AC45" s="1068"/>
      <c r="AD45" s="1067">
        <f t="shared" si="13"/>
        <v>0</v>
      </c>
      <c r="AE45" s="1067">
        <f t="shared" si="14"/>
        <v>0</v>
      </c>
      <c r="AG45" s="1030"/>
    </row>
    <row r="46" spans="2:33" s="1081" customFormat="1" ht="30" customHeight="1">
      <c r="B46" s="1018"/>
      <c r="C46" s="1060" t="s">
        <v>619</v>
      </c>
      <c r="D46" s="1097"/>
      <c r="E46" s="1033"/>
      <c r="F46" s="1073"/>
      <c r="G46" s="1074"/>
      <c r="H46" s="1028"/>
      <c r="I46" s="1028"/>
      <c r="J46" s="1028"/>
      <c r="K46" s="1028"/>
      <c r="L46" s="1028"/>
      <c r="M46" s="1028"/>
      <c r="N46" s="1028"/>
      <c r="O46" s="1028"/>
      <c r="P46" s="1028"/>
      <c r="Q46" s="1028"/>
      <c r="R46" s="1028"/>
      <c r="S46" s="1028"/>
      <c r="T46" s="1028"/>
      <c r="U46" s="1028"/>
      <c r="V46" s="1028"/>
      <c r="W46" s="1028"/>
      <c r="X46" s="1028"/>
      <c r="Y46" s="1028"/>
      <c r="Z46" s="1067"/>
      <c r="AA46" s="1028"/>
      <c r="AB46" s="1067"/>
      <c r="AC46" s="1068"/>
      <c r="AD46" s="1067">
        <f t="shared" si="13"/>
        <v>0</v>
      </c>
      <c r="AE46" s="1067">
        <f t="shared" si="14"/>
        <v>0</v>
      </c>
      <c r="AG46" s="1030"/>
    </row>
    <row r="47" spans="2:33" s="1081" customFormat="1" ht="30" customHeight="1">
      <c r="B47" s="1018">
        <v>14</v>
      </c>
      <c r="C47" s="1086" t="str">
        <f>+distribucion!G41</f>
        <v>Lorenzana Gonzalez Cesar Leonel</v>
      </c>
      <c r="D47" s="1071" t="str">
        <f>VLOOKUP(C47,distribucion!G$8:FP$152,2,0)</f>
        <v>Gerente Financiero</v>
      </c>
      <c r="E47" s="1314">
        <f t="shared" ref="E47" si="48">H47+L47+N47+O47</f>
        <v>20000</v>
      </c>
      <c r="F47" s="1073">
        <f>VLOOKUP(C47,distribucion!G13:M152,7,FALSE)</f>
        <v>30</v>
      </c>
      <c r="G47" s="1074">
        <f>VLOOKUP(C47,distribucion!$G$8:$DV$152,14,0)</f>
        <v>0</v>
      </c>
      <c r="H47" s="1065">
        <f>ROUND((VLOOKUP(C47,distribucion!G$1:FP$152,130,0)),2)</f>
        <v>20000</v>
      </c>
      <c r="I47" s="1065">
        <f>ROUND((VLOOKUP(C47,distribucion!G$8:FO$152,131,0)),2)</f>
        <v>7000</v>
      </c>
      <c r="J47" s="1065">
        <f t="shared" ref="J47" si="49">H47+I47</f>
        <v>27000</v>
      </c>
      <c r="K47" s="1065">
        <f>VLOOKUP(C47,distribucion!G$8:FP$152,132,0)</f>
        <v>0</v>
      </c>
      <c r="L47" s="1065">
        <f>ROUND((VLOOKUP(C47,distribucion!G$8:FP$152,133,0)),2)</f>
        <v>0</v>
      </c>
      <c r="M47" s="1065">
        <f>VLOOKUP(C47,distribucion!G$8:FP$152,134,0)</f>
        <v>0</v>
      </c>
      <c r="N47" s="1065">
        <f>ROUND((VLOOKUP(C47,distribucion!G$8:FP$152,135,0)),2)</f>
        <v>0</v>
      </c>
      <c r="O47" s="1098">
        <v>0</v>
      </c>
      <c r="P47" s="1099">
        <f>ROUND((VLOOKUP(C47,distribucion!G$8:FP$152,36,0)),2)</f>
        <v>0</v>
      </c>
      <c r="Q47" s="1098">
        <f t="shared" ref="Q47:Q50" si="50">SUM(J47:P47)-K47-M47</f>
        <v>27000</v>
      </c>
      <c r="R47" s="1098">
        <f t="shared" ref="R47:R50" si="51">ROUND(((H47+L47+N47+O47+P47)*0.0483),2)</f>
        <v>966</v>
      </c>
      <c r="S47" s="1098">
        <f>ROUND((VLOOKUP(C47,distribucion!G$8:FP$152,151,0)),2)</f>
        <v>1108.97</v>
      </c>
      <c r="T47" s="1098">
        <f>ROUND((VLOOKUP(C47,distribucion!G$8:FP$152,152,0)),2)</f>
        <v>9519.84</v>
      </c>
      <c r="U47" s="1098">
        <f>ROUND((VLOOKUP(C47,distribucion!G$8:FP$152,153,0)),2)</f>
        <v>0</v>
      </c>
      <c r="V47" s="1098">
        <f>ROUND((VLOOKUP(C47,distribucion!G8:FJ152,159,0)),2)</f>
        <v>0</v>
      </c>
      <c r="W47" s="1098">
        <f>ROUND((VLOOKUP(C47,distribucion!G8:FJ152,158,0)),2)</f>
        <v>0</v>
      </c>
      <c r="X47" s="1098">
        <f>ROUND((VLOOKUP(C47,distribucion!G8:FJ152,154,0)),2)</f>
        <v>0</v>
      </c>
      <c r="Y47" s="1098">
        <f>ROUND((VLOOKUP(C47,distribucion!G$8:FP$152,160,0)),2)</f>
        <v>0</v>
      </c>
      <c r="Z47" s="1100">
        <f t="shared" ref="Z47:Z50" si="52">SUM(R47:Y47)</f>
        <v>11594.810000000001</v>
      </c>
      <c r="AA47" s="1098">
        <f t="shared" ref="AA47:AA50" si="53">Q47-Z47</f>
        <v>15405.189999999999</v>
      </c>
      <c r="AB47" s="1067">
        <v>7702.59</v>
      </c>
      <c r="AC47" s="1068">
        <f t="shared" ref="AC47" si="54">+AA47-AB47</f>
        <v>7702.5999999999985</v>
      </c>
      <c r="AD47" s="1067">
        <f t="shared" si="13"/>
        <v>0</v>
      </c>
      <c r="AE47" s="1067">
        <f t="shared" si="14"/>
        <v>0</v>
      </c>
      <c r="AG47" s="1030"/>
    </row>
    <row r="48" spans="2:33" s="1081" customFormat="1" ht="30" customHeight="1">
      <c r="B48" s="1018"/>
      <c r="C48" s="1086"/>
      <c r="D48" s="1077" t="s">
        <v>171</v>
      </c>
      <c r="E48" s="1072"/>
      <c r="F48" s="1073"/>
      <c r="G48" s="1074"/>
      <c r="H48" s="1101">
        <f>SUM(H47)</f>
        <v>20000</v>
      </c>
      <c r="I48" s="1101">
        <f t="shared" ref="I48:AB48" si="55">SUM(I47)</f>
        <v>7000</v>
      </c>
      <c r="J48" s="1101">
        <f t="shared" si="55"/>
        <v>27000</v>
      </c>
      <c r="K48" s="1101">
        <f t="shared" si="55"/>
        <v>0</v>
      </c>
      <c r="L48" s="1101">
        <f t="shared" si="55"/>
        <v>0</v>
      </c>
      <c r="M48" s="1101">
        <f t="shared" si="55"/>
        <v>0</v>
      </c>
      <c r="N48" s="1101">
        <f t="shared" si="55"/>
        <v>0</v>
      </c>
      <c r="O48" s="1101">
        <f t="shared" si="55"/>
        <v>0</v>
      </c>
      <c r="P48" s="1101">
        <f t="shared" si="55"/>
        <v>0</v>
      </c>
      <c r="Q48" s="1101">
        <f t="shared" si="55"/>
        <v>27000</v>
      </c>
      <c r="R48" s="1101">
        <f t="shared" si="55"/>
        <v>966</v>
      </c>
      <c r="S48" s="1101">
        <f t="shared" si="55"/>
        <v>1108.97</v>
      </c>
      <c r="T48" s="1101">
        <f t="shared" si="55"/>
        <v>9519.84</v>
      </c>
      <c r="U48" s="1101">
        <f t="shared" si="55"/>
        <v>0</v>
      </c>
      <c r="V48" s="1101">
        <f t="shared" si="55"/>
        <v>0</v>
      </c>
      <c r="W48" s="1101">
        <f t="shared" si="55"/>
        <v>0</v>
      </c>
      <c r="X48" s="1101">
        <f t="shared" si="55"/>
        <v>0</v>
      </c>
      <c r="Y48" s="1101">
        <f t="shared" si="55"/>
        <v>0</v>
      </c>
      <c r="Z48" s="1101">
        <f t="shared" si="55"/>
        <v>11594.810000000001</v>
      </c>
      <c r="AA48" s="1101">
        <f t="shared" si="55"/>
        <v>15405.189999999999</v>
      </c>
      <c r="AB48" s="1101">
        <f t="shared" si="55"/>
        <v>7702.59</v>
      </c>
      <c r="AC48" s="1101">
        <f>SUM(AC47)</f>
        <v>7702.5999999999985</v>
      </c>
      <c r="AD48" s="1067">
        <f t="shared" si="13"/>
        <v>0</v>
      </c>
      <c r="AE48" s="1067">
        <f t="shared" si="14"/>
        <v>0</v>
      </c>
      <c r="AG48" s="1030"/>
    </row>
    <row r="49" spans="2:33" s="1081" customFormat="1" ht="30" customHeight="1">
      <c r="B49" s="1018"/>
      <c r="C49" s="1060" t="s">
        <v>139</v>
      </c>
      <c r="D49" s="1071"/>
      <c r="E49" s="1072"/>
      <c r="F49" s="1073" t="s">
        <v>52</v>
      </c>
      <c r="G49" s="1074"/>
      <c r="H49" s="1028"/>
      <c r="I49" s="1028"/>
      <c r="J49" s="1028"/>
      <c r="K49" s="1028"/>
      <c r="L49" s="1028"/>
      <c r="M49" s="1028"/>
      <c r="N49" s="1028"/>
      <c r="O49" s="1028"/>
      <c r="P49" s="1075"/>
      <c r="Q49" s="1028"/>
      <c r="R49" s="1028"/>
      <c r="S49" s="1028"/>
      <c r="T49" s="1028"/>
      <c r="U49" s="1028"/>
      <c r="V49" s="1028"/>
      <c r="W49" s="1028"/>
      <c r="X49" s="1028"/>
      <c r="Y49" s="1028"/>
      <c r="Z49" s="1067"/>
      <c r="AA49" s="1028"/>
      <c r="AB49" s="1067"/>
      <c r="AC49" s="1068"/>
      <c r="AD49" s="1067">
        <f t="shared" si="13"/>
        <v>0</v>
      </c>
      <c r="AE49" s="1067">
        <f t="shared" si="14"/>
        <v>0</v>
      </c>
      <c r="AG49" s="1030"/>
    </row>
    <row r="50" spans="2:33" s="1081" customFormat="1" ht="30" customHeight="1">
      <c r="B50" s="1018">
        <v>15</v>
      </c>
      <c r="C50" s="1086" t="s">
        <v>461</v>
      </c>
      <c r="D50" s="1071" t="str">
        <f>VLOOKUP(C50,distribucion!G$8:FP$152,2,0)</f>
        <v>Jefe de Operaciones Contables</v>
      </c>
      <c r="E50" s="1314">
        <f t="shared" ref="E50:E53" si="56">H50+L50+N50+O50</f>
        <v>10500</v>
      </c>
      <c r="F50" s="1073">
        <f>VLOOKUP(C50,distribucion!G15:M152,7,FALSE)</f>
        <v>30</v>
      </c>
      <c r="G50" s="1074">
        <f>VLOOKUP(C50,distribucion!$G$8:$DV$152,14,0)</f>
        <v>0</v>
      </c>
      <c r="H50" s="1065">
        <f>ROUND((VLOOKUP(C50,distribucion!G$1:FP$152,130,0)),2)</f>
        <v>10500</v>
      </c>
      <c r="I50" s="1065">
        <f>ROUND((VLOOKUP(C50,distribucion!G$8:FO$152,131,0)),2)</f>
        <v>1800</v>
      </c>
      <c r="J50" s="1065">
        <f t="shared" ref="J50" si="57">H50+I50</f>
        <v>12300</v>
      </c>
      <c r="K50" s="1065">
        <f>VLOOKUP(C50,distribucion!G$8:FP$152,132,0)</f>
        <v>0</v>
      </c>
      <c r="L50" s="1065">
        <f>ROUND((VLOOKUP(C50,distribucion!G$8:FP$152,133,0)),2)</f>
        <v>0</v>
      </c>
      <c r="M50" s="1065">
        <f>VLOOKUP(C50,distribucion!G$8:FP$152,134,0)</f>
        <v>0</v>
      </c>
      <c r="N50" s="1065">
        <f>ROUND((VLOOKUP(C50,distribucion!G$8:FP$152,135,0)),2)</f>
        <v>0</v>
      </c>
      <c r="O50" s="1028">
        <v>0</v>
      </c>
      <c r="P50" s="1075">
        <f>ROUND((VLOOKUP(C50,distribucion!G$8:FP$152,36,0)),2)</f>
        <v>0</v>
      </c>
      <c r="Q50" s="1028">
        <f t="shared" si="50"/>
        <v>12300</v>
      </c>
      <c r="R50" s="1028">
        <f t="shared" si="51"/>
        <v>507.15</v>
      </c>
      <c r="S50" s="1028">
        <f>ROUND((VLOOKUP(C50,distribucion!G$8:FP$152,151,0)),2)</f>
        <v>393.64</v>
      </c>
      <c r="T50" s="1028">
        <f>ROUND((VLOOKUP(C50,distribucion!G$8:FP$152,152,0)),2)</f>
        <v>0</v>
      </c>
      <c r="U50" s="1028">
        <f>ROUND((VLOOKUP(C50,distribucion!G$8:FP$152,153,0)),2)</f>
        <v>200</v>
      </c>
      <c r="V50" s="1028">
        <f>ROUND((VLOOKUP(C50,distribucion!G13:FJ152,159,0)),2)</f>
        <v>0</v>
      </c>
      <c r="W50" s="1028">
        <f>ROUND((VLOOKUP(C50,distribucion!G13:FJ152,158,0)),2)</f>
        <v>0</v>
      </c>
      <c r="X50" s="1028">
        <f>ROUND((VLOOKUP(C50,distribucion!G13:FJ152,154,0)),2)</f>
        <v>0</v>
      </c>
      <c r="Y50" s="1028">
        <f>ROUND((VLOOKUP(C50,distribucion!G$8:FP$152,160,0)),2)</f>
        <v>1068</v>
      </c>
      <c r="Z50" s="1067">
        <f t="shared" si="52"/>
        <v>2168.79</v>
      </c>
      <c r="AA50" s="1028">
        <f t="shared" si="53"/>
        <v>10131.209999999999</v>
      </c>
      <c r="AB50" s="1067">
        <v>5699.6</v>
      </c>
      <c r="AC50" s="1068">
        <f t="shared" ref="AC50:AC59" si="58">+AA50-AB50</f>
        <v>4431.6099999999988</v>
      </c>
      <c r="AD50" s="1067">
        <f t="shared" si="13"/>
        <v>0</v>
      </c>
      <c r="AE50" s="1067">
        <f t="shared" si="14"/>
        <v>0</v>
      </c>
      <c r="AG50" s="1030"/>
    </row>
    <row r="51" spans="2:33" s="1081" customFormat="1" ht="30" customHeight="1">
      <c r="B51" s="1018">
        <f>+B50+1</f>
        <v>16</v>
      </c>
      <c r="C51" s="1086" t="str">
        <f>+distribucion!G46</f>
        <v>Perez Rivera Yoselyn Carolina</v>
      </c>
      <c r="D51" s="1071" t="str">
        <f>VLOOKUP(C51,distribucion!G$8:FP$152,2,0)</f>
        <v>Auxiliar Contable (digitador)</v>
      </c>
      <c r="E51" s="1314">
        <f t="shared" ref="E51" si="59">H51+L51+N51+O51</f>
        <v>4002.28</v>
      </c>
      <c r="F51" s="1073">
        <f>VLOOKUP(C51,distribucion!G17:M153,7,FALSE)</f>
        <v>30</v>
      </c>
      <c r="G51" s="1073">
        <f>VLOOKUP(D51,distribucion!H17:N153,7,FALSE)</f>
        <v>0.43</v>
      </c>
      <c r="H51" s="1065">
        <f>ROUND((VLOOKUP(C51,distribucion!G$1:FP$152,130,0)),2)</f>
        <v>4002.28</v>
      </c>
      <c r="I51" s="1065">
        <f>ROUND((VLOOKUP(C51,distribucion!G$8:FO$152,131,0)),2)</f>
        <v>405.16</v>
      </c>
      <c r="J51" s="1065">
        <f t="shared" ref="J51" si="60">H51+I51</f>
        <v>4407.4400000000005</v>
      </c>
      <c r="K51" s="1065">
        <f>VLOOKUP(C51,distribucion!G$8:FP$152,132,0)</f>
        <v>0</v>
      </c>
      <c r="L51" s="1065">
        <f>ROUND((VLOOKUP(C51,distribucion!G$8:FP$152,133,0)),2)</f>
        <v>0</v>
      </c>
      <c r="M51" s="1065">
        <f>VLOOKUP(C51,distribucion!G$8:FP$152,134,0)</f>
        <v>0</v>
      </c>
      <c r="N51" s="1065">
        <f>ROUND((VLOOKUP(C51,distribucion!G$8:FP$152,135,0)),2)</f>
        <v>0</v>
      </c>
      <c r="O51" s="1028">
        <v>0</v>
      </c>
      <c r="P51" s="1075">
        <f>ROUND((VLOOKUP(C51,distribucion!G$8:FP$152,36,0)),2)</f>
        <v>0</v>
      </c>
      <c r="Q51" s="1028">
        <f t="shared" ref="Q51" si="61">SUM(J51:P51)-K51-M51</f>
        <v>4407.4400000000005</v>
      </c>
      <c r="R51" s="1028">
        <f t="shared" ref="R51" si="62">ROUND(((H51+L51+N51+O51+P51)*0.0483),2)</f>
        <v>193.31</v>
      </c>
      <c r="S51" s="1028">
        <f>ROUND((VLOOKUP(C51,distribucion!G$8:FP$152,151,0)),2)</f>
        <v>0</v>
      </c>
      <c r="T51" s="1028">
        <f>ROUND((VLOOKUP(C51,distribucion!G$8:FP$152,152,0)),2)</f>
        <v>0</v>
      </c>
      <c r="U51" s="1028">
        <f>ROUND((VLOOKUP(C51,distribucion!G$8:FP$152,153,0)),2)</f>
        <v>0</v>
      </c>
      <c r="V51" s="1028">
        <f>ROUND((VLOOKUP(C51,distribucion!G15:FJ153,159,0)),2)</f>
        <v>0</v>
      </c>
      <c r="W51" s="1028">
        <f>ROUND((VLOOKUP(C51,distribucion!G14:FJ153,158,0)),2)</f>
        <v>0</v>
      </c>
      <c r="X51" s="1028">
        <f>ROUND((VLOOKUP(C51,distribucion!G14:FJ153,154,0)),2)</f>
        <v>0</v>
      </c>
      <c r="Y51" s="1028">
        <f>ROUND((VLOOKUP(C51,distribucion!G$8:FP$152,160,0)),2)</f>
        <v>0</v>
      </c>
      <c r="Z51" s="1067">
        <f t="shared" ref="Z51" si="63">SUM(R51:Y51)</f>
        <v>193.31</v>
      </c>
      <c r="AA51" s="1028">
        <f t="shared" ref="AA51" si="64">Q51-Z51</f>
        <v>4214.13</v>
      </c>
      <c r="AB51" s="1067">
        <v>2107.0600000000004</v>
      </c>
      <c r="AC51" s="1068">
        <f t="shared" si="58"/>
        <v>2107.0699999999997</v>
      </c>
      <c r="AD51" s="1067"/>
      <c r="AE51" s="1067"/>
      <c r="AG51" s="1030"/>
    </row>
    <row r="52" spans="2:33" s="1081" customFormat="1" ht="30" customHeight="1">
      <c r="B52" s="1018">
        <f t="shared" ref="B52:B53" si="65">+B51+1</f>
        <v>17</v>
      </c>
      <c r="C52" s="980" t="str">
        <f>+distribucion!G44</f>
        <v>Sumale Pelen Elio Rene</v>
      </c>
      <c r="D52" s="1071" t="str">
        <f>VLOOKUP(C52,distribucion!G$8:FP$152,2,0)</f>
        <v>Contador</v>
      </c>
      <c r="E52" s="1314">
        <f t="shared" ref="E52" si="66">H52+L52+N52+O52</f>
        <v>5250</v>
      </c>
      <c r="F52" s="1073">
        <f>VLOOKUP(C52,distribucion!G17:M153,7,FALSE)</f>
        <v>30</v>
      </c>
      <c r="G52" s="1074"/>
      <c r="H52" s="1065">
        <f>ROUND((VLOOKUP(C52,distribucion!G$1:FP$152,130,0)),2)</f>
        <v>5250</v>
      </c>
      <c r="I52" s="1065">
        <f>ROUND((VLOOKUP(C52,distribucion!G$8:FO$152,131,0)),2)</f>
        <v>1750</v>
      </c>
      <c r="J52" s="1065">
        <f t="shared" ref="J52" si="67">H52+I52</f>
        <v>7000</v>
      </c>
      <c r="K52" s="1065">
        <f>VLOOKUP(C52,distribucion!G$8:FP$152,132,0)</f>
        <v>0</v>
      </c>
      <c r="L52" s="1065">
        <f>ROUND((VLOOKUP(C52,distribucion!G$8:FP$152,133,0)),2)</f>
        <v>0</v>
      </c>
      <c r="M52" s="1065">
        <f>VLOOKUP(C52,distribucion!G$8:FP$152,134,0)</f>
        <v>0</v>
      </c>
      <c r="N52" s="1065">
        <f>ROUND((VLOOKUP(C52,distribucion!G$8:FP$152,135,0)),2)</f>
        <v>0</v>
      </c>
      <c r="O52" s="1028">
        <v>0</v>
      </c>
      <c r="P52" s="1075">
        <f>ROUND((VLOOKUP(C52,distribucion!G$8:FP$152,36,0)),2)</f>
        <v>0</v>
      </c>
      <c r="Q52" s="1028">
        <f t="shared" ref="Q52" si="68">SUM(J52:P52)-K52-M52</f>
        <v>7000</v>
      </c>
      <c r="R52" s="1028">
        <f t="shared" ref="R52" si="69">ROUND(((H52+L52+N52+O52+P52)*0.0483),2)</f>
        <v>253.58</v>
      </c>
      <c r="S52" s="1028">
        <f>ROUND((VLOOKUP(C52,distribucion!G$8:FP$152,151,0)),2)</f>
        <v>178</v>
      </c>
      <c r="T52" s="1028">
        <f>ROUND((VLOOKUP(C52,distribucion!G$8:FP$152,152,0)),2)</f>
        <v>0</v>
      </c>
      <c r="U52" s="1028">
        <f>ROUND((VLOOKUP(C52,distribucion!G$8:FP$152,153,0)),2)</f>
        <v>0</v>
      </c>
      <c r="V52" s="1028">
        <f>ROUND((VLOOKUP(C52,distribucion!G16:FJ153,159,0)),2)</f>
        <v>0</v>
      </c>
      <c r="W52" s="1028">
        <f>ROUND((VLOOKUP(C52,distribucion!G14:FJ153,158,0)),2)</f>
        <v>0</v>
      </c>
      <c r="X52" s="1028">
        <f>ROUND((VLOOKUP(C52,distribucion!G14:FJ153,154,0)),2)</f>
        <v>0</v>
      </c>
      <c r="Y52" s="1028">
        <f>ROUND((VLOOKUP(C52,distribucion!G$8:FP$152,160,0)),2)</f>
        <v>0</v>
      </c>
      <c r="Z52" s="1067">
        <f t="shared" ref="Z52" si="70">SUM(R52:Y52)</f>
        <v>431.58000000000004</v>
      </c>
      <c r="AA52" s="1028">
        <f t="shared" ref="AA52" si="71">Q52-Z52</f>
        <v>6568.42</v>
      </c>
      <c r="AB52" s="1067">
        <v>3284.21</v>
      </c>
      <c r="AC52" s="1068">
        <f t="shared" si="58"/>
        <v>3284.21</v>
      </c>
      <c r="AD52" s="1067">
        <f t="shared" ref="AD52" si="72">AA52-AB52-AC52</f>
        <v>0</v>
      </c>
      <c r="AE52" s="1067">
        <f t="shared" ref="AE52" si="73">((I52+H52+L52+O52++P52)-SUM(R52:Y52))-AA52</f>
        <v>0</v>
      </c>
      <c r="AG52" s="1030"/>
    </row>
    <row r="53" spans="2:33" s="1081" customFormat="1" ht="30" customHeight="1">
      <c r="B53" s="1018">
        <f t="shared" si="65"/>
        <v>18</v>
      </c>
      <c r="C53" s="1083" t="s">
        <v>678</v>
      </c>
      <c r="D53" s="1071" t="str">
        <f>VLOOKUP(C53,distribucion!G$8:FP$152,2,0)</f>
        <v>Contador General</v>
      </c>
      <c r="E53" s="1314">
        <f t="shared" si="56"/>
        <v>6000</v>
      </c>
      <c r="F53" s="1073">
        <f>VLOOKUP(C53,distribucion!G18:M152,7,FALSE)</f>
        <v>30</v>
      </c>
      <c r="G53" s="1074"/>
      <c r="H53" s="1065">
        <f>ROUND((VLOOKUP(C53,distribucion!G$1:FP$152,130,0)),2)</f>
        <v>6000</v>
      </c>
      <c r="I53" s="1065">
        <f>ROUND((VLOOKUP(C53,distribucion!G$8:FO$152,131,0)),2)</f>
        <v>4000</v>
      </c>
      <c r="J53" s="1065">
        <f t="shared" ref="J53" si="74">H53+I53</f>
        <v>10000</v>
      </c>
      <c r="K53" s="1065">
        <f>VLOOKUP(C53,distribucion!G$8:FP$152,132,0)</f>
        <v>0</v>
      </c>
      <c r="L53" s="1065">
        <f>ROUND((VLOOKUP(C53,distribucion!G$8:FP$152,133,0)),2)</f>
        <v>0</v>
      </c>
      <c r="M53" s="1065">
        <f>VLOOKUP(C53,distribucion!G$8:FP$152,134,0)</f>
        <v>0</v>
      </c>
      <c r="N53" s="1065">
        <f>ROUND((VLOOKUP(C53,distribucion!G$8:FP$152,135,0)),2)</f>
        <v>0</v>
      </c>
      <c r="O53" s="1028">
        <v>0</v>
      </c>
      <c r="P53" s="1075">
        <f>ROUND((VLOOKUP(C53,distribucion!G$8:FP$152,36,0)),2)</f>
        <v>0</v>
      </c>
      <c r="Q53" s="1028">
        <f t="shared" ref="Q53" si="75">SUM(J53:P53)-K53-M53</f>
        <v>10000</v>
      </c>
      <c r="R53" s="1028">
        <f t="shared" ref="R53" si="76">ROUND(((H53+L53+N53+O53+P53)*0.0483),2)</f>
        <v>289.8</v>
      </c>
      <c r="S53" s="1028">
        <f>ROUND((VLOOKUP(C53,distribucion!G$8:FP$152,151,0)),2)</f>
        <v>289.93</v>
      </c>
      <c r="T53" s="1028">
        <f>ROUND((VLOOKUP(C53,distribucion!G$8:FP$152,152,0)),2)</f>
        <v>0</v>
      </c>
      <c r="U53" s="1028">
        <f>ROUND((VLOOKUP(C53,distribucion!G$8:FP$152,153,0)),2)</f>
        <v>0</v>
      </c>
      <c r="V53" s="1028">
        <f>ROUND((VLOOKUP(C53,distribucion!G17:FJ152,159,0)),2)</f>
        <v>0</v>
      </c>
      <c r="W53" s="1028">
        <f>ROUND((VLOOKUP(C53,distribucion!G15:FJ152,158,0)),2)</f>
        <v>0</v>
      </c>
      <c r="X53" s="1028">
        <f>ROUND((VLOOKUP(C53,distribucion!G15:FJ152,154,0)),2)</f>
        <v>0</v>
      </c>
      <c r="Y53" s="1028">
        <f>ROUND((VLOOKUP(C53,distribucion!G$8:FP$152,160,0)),2)</f>
        <v>350</v>
      </c>
      <c r="Z53" s="1067">
        <f t="shared" ref="Z53" si="77">SUM(R53:Y53)</f>
        <v>929.73</v>
      </c>
      <c r="AA53" s="1028">
        <f t="shared" ref="AA53" si="78">Q53-Z53</f>
        <v>9070.27</v>
      </c>
      <c r="AB53" s="1067">
        <v>4035.13</v>
      </c>
      <c r="AC53" s="1068">
        <f t="shared" si="58"/>
        <v>5035.1400000000003</v>
      </c>
      <c r="AD53" s="1067">
        <f t="shared" si="13"/>
        <v>0</v>
      </c>
      <c r="AE53" s="1067">
        <f t="shared" si="14"/>
        <v>0</v>
      </c>
      <c r="AG53" s="1030"/>
    </row>
    <row r="54" spans="2:33" ht="30" customHeight="1">
      <c r="C54" s="1060" t="s">
        <v>625</v>
      </c>
      <c r="D54" s="1077"/>
      <c r="E54" s="1078"/>
      <c r="F54" s="1079"/>
      <c r="G54" s="1074"/>
      <c r="H54" s="1080"/>
      <c r="I54" s="1080"/>
      <c r="J54" s="1080"/>
      <c r="K54" s="1080"/>
      <c r="L54" s="1080"/>
      <c r="M54" s="1080"/>
      <c r="N54" s="1080"/>
      <c r="O54" s="1080"/>
      <c r="P54" s="1080"/>
      <c r="Q54" s="1080"/>
      <c r="R54" s="1080"/>
      <c r="S54" s="1080"/>
      <c r="T54" s="1080"/>
      <c r="U54" s="1080"/>
      <c r="V54" s="1080"/>
      <c r="W54" s="1080"/>
      <c r="X54" s="1080"/>
      <c r="Y54" s="1080"/>
      <c r="Z54" s="1080"/>
      <c r="AA54" s="1080"/>
      <c r="AB54" s="1067"/>
      <c r="AC54" s="1068"/>
      <c r="AD54" s="1067">
        <f t="shared" si="13"/>
        <v>0</v>
      </c>
      <c r="AE54" s="1067">
        <f t="shared" si="14"/>
        <v>0</v>
      </c>
    </row>
    <row r="55" spans="2:33" s="1081" customFormat="1" ht="30" customHeight="1">
      <c r="B55" s="1018">
        <v>19</v>
      </c>
      <c r="C55" s="1086" t="str">
        <f>+distribucion!G50</f>
        <v>Cruz Salguero Aramis Antonio</v>
      </c>
      <c r="D55" s="1071" t="str">
        <f>VLOOKUP(C55,distribucion!G$8:FP$152,2,0)</f>
        <v>Tesorero-Contador</v>
      </c>
      <c r="E55" s="1314">
        <f t="shared" ref="E55" si="79">H55+L55+N55+O55</f>
        <v>4850</v>
      </c>
      <c r="F55" s="1073">
        <f>VLOOKUP(C55,distribucion!G20:M154,7,FALSE)</f>
        <v>30</v>
      </c>
      <c r="G55" s="1074"/>
      <c r="H55" s="1065">
        <f>ROUND((VLOOKUP(C55,distribucion!G$1:FP$152,130,0)),2)</f>
        <v>4850</v>
      </c>
      <c r="I55" s="1065">
        <f>ROUND((VLOOKUP(C55,distribucion!G$8:FO$152,131,0)),2)</f>
        <v>1900</v>
      </c>
      <c r="J55" s="1065">
        <f t="shared" ref="J55" si="80">H55+I55</f>
        <v>6750</v>
      </c>
      <c r="K55" s="1065">
        <f>VLOOKUP(C55,distribucion!G$8:FP$152,132,0)</f>
        <v>0</v>
      </c>
      <c r="L55" s="1065">
        <f>ROUND((VLOOKUP(C55,distribucion!G$8:FP$152,133,0)),2)</f>
        <v>0</v>
      </c>
      <c r="M55" s="1065">
        <f>VLOOKUP(C55,distribucion!G$8:FP$152,134,0)</f>
        <v>0</v>
      </c>
      <c r="N55" s="1065">
        <f>ROUND((VLOOKUP(C55,distribucion!G$8:FP$152,135,0)),2)</f>
        <v>0</v>
      </c>
      <c r="O55" s="1028">
        <v>0</v>
      </c>
      <c r="P55" s="1075">
        <f>ROUND((VLOOKUP(C55,distribucion!G$8:FP$152,36,0)),2)</f>
        <v>0</v>
      </c>
      <c r="Q55" s="1028">
        <f t="shared" ref="Q55" si="81">SUM(J55:P55)-K55-M55</f>
        <v>6750</v>
      </c>
      <c r="R55" s="1028">
        <f t="shared" ref="R55" si="82">ROUND(((H55+L55+N55+O55+P55)*0.0483),2)</f>
        <v>234.26</v>
      </c>
      <c r="S55" s="1028">
        <f>ROUND((VLOOKUP(C55,distribucion!G$8:FP$152,151,0)),2)</f>
        <v>141.36000000000001</v>
      </c>
      <c r="T55" s="1028">
        <f>ROUND((VLOOKUP(C55,distribucion!G$8:FP$152,152,0)),2)</f>
        <v>0</v>
      </c>
      <c r="U55" s="1028">
        <f>ROUND((VLOOKUP(C55,distribucion!G$8:FP$152,153,0)),2)</f>
        <v>0</v>
      </c>
      <c r="V55" s="1028">
        <f>ROUND((VLOOKUP(C55,distribucion!G19:FJ154,159,0)),2)</f>
        <v>0</v>
      </c>
      <c r="W55" s="1028">
        <f>ROUND((VLOOKUP(C55,distribucion!G17:FJ154,158,0)),2)</f>
        <v>0</v>
      </c>
      <c r="X55" s="1028">
        <f>ROUND((VLOOKUP(C55,distribucion!G17:FJ154,154,0)),2)</f>
        <v>324</v>
      </c>
      <c r="Y55" s="1028">
        <f>ROUND((VLOOKUP(C55,distribucion!G$8:FP$152,160,0)),2)</f>
        <v>350</v>
      </c>
      <c r="Z55" s="1067">
        <f t="shared" ref="Z55" si="83">SUM(R55:Y55)</f>
        <v>1049.6199999999999</v>
      </c>
      <c r="AA55" s="1028">
        <f t="shared" ref="AA55" si="84">Q55-Z55</f>
        <v>5700.38</v>
      </c>
      <c r="AB55" s="1067">
        <v>2379.7799999999997</v>
      </c>
      <c r="AC55" s="1068">
        <f t="shared" si="58"/>
        <v>3320.6000000000004</v>
      </c>
      <c r="AD55" s="1067">
        <f t="shared" si="13"/>
        <v>0</v>
      </c>
      <c r="AE55" s="1067">
        <f t="shared" si="14"/>
        <v>0</v>
      </c>
      <c r="AG55" s="1030"/>
    </row>
    <row r="56" spans="2:33" ht="30" customHeight="1">
      <c r="C56" s="1082" t="s">
        <v>626</v>
      </c>
      <c r="D56" s="1077"/>
      <c r="E56" s="1078"/>
      <c r="F56" s="1079"/>
      <c r="G56" s="1074"/>
      <c r="H56" s="1080"/>
      <c r="I56" s="1080"/>
      <c r="J56" s="1080"/>
      <c r="K56" s="1080"/>
      <c r="L56" s="1080"/>
      <c r="M56" s="1080"/>
      <c r="N56" s="1080"/>
      <c r="O56" s="1080"/>
      <c r="P56" s="1080"/>
      <c r="Q56" s="1080"/>
      <c r="R56" s="1080"/>
      <c r="S56" s="1080"/>
      <c r="T56" s="1080"/>
      <c r="U56" s="1080"/>
      <c r="V56" s="1080"/>
      <c r="W56" s="1080"/>
      <c r="X56" s="1080"/>
      <c r="Y56" s="1080"/>
      <c r="Z56" s="1080"/>
      <c r="AA56" s="1080"/>
      <c r="AB56" s="1067"/>
      <c r="AC56" s="1068"/>
      <c r="AD56" s="1067">
        <f t="shared" si="13"/>
        <v>0</v>
      </c>
      <c r="AE56" s="1067">
        <f t="shared" si="14"/>
        <v>0</v>
      </c>
    </row>
    <row r="57" spans="2:33" s="1033" customFormat="1" ht="30" customHeight="1">
      <c r="B57" s="1026">
        <v>20</v>
      </c>
      <c r="C57" s="1083" t="s">
        <v>609</v>
      </c>
      <c r="D57" s="1072" t="str">
        <f>VLOOKUP(C57,distribucion!G$8:FP$152,2,0)</f>
        <v>Asistente Legal Administrativo</v>
      </c>
      <c r="E57" s="1314">
        <f t="shared" ref="E57:E59" si="85">H57+L57+N57+O57</f>
        <v>4500</v>
      </c>
      <c r="F57" s="1232">
        <f>VLOOKUP(C57,distribucion!G23:M152,7,FALSE)</f>
        <v>30</v>
      </c>
      <c r="G57" s="1233"/>
      <c r="H57" s="1234">
        <f>ROUND((VLOOKUP(C57,distribucion!G$1:FP$152,130,0)),2)</f>
        <v>4500</v>
      </c>
      <c r="I57" s="1234">
        <f>ROUND((VLOOKUP(C57,distribucion!G$8:FO$152,131,0)),2)</f>
        <v>2500</v>
      </c>
      <c r="J57" s="1234">
        <f t="shared" ref="J57" si="86">H57+I57</f>
        <v>7000</v>
      </c>
      <c r="K57" s="1234">
        <f>VLOOKUP(C57,distribucion!G$8:FP$152,132,0)</f>
        <v>0</v>
      </c>
      <c r="L57" s="1234">
        <f>ROUND((VLOOKUP(C57,distribucion!G$8:FP$152,133,0)),2)</f>
        <v>0</v>
      </c>
      <c r="M57" s="1234">
        <f>VLOOKUP(C57,distribucion!G$8:FP$152,134,0)</f>
        <v>0</v>
      </c>
      <c r="N57" s="1234">
        <f>ROUND((VLOOKUP(C57,distribucion!G$8:FP$152,135,0)),2)</f>
        <v>0</v>
      </c>
      <c r="O57" s="1087">
        <v>0</v>
      </c>
      <c r="P57" s="1235">
        <f>+distribucion!EL53</f>
        <v>0</v>
      </c>
      <c r="Q57" s="1087">
        <f t="shared" ref="Q57" si="87">SUM(J57:P57)-K57-M57</f>
        <v>7000</v>
      </c>
      <c r="R57" s="1087">
        <f>ROUND(((H57+L57+N57+O57+P57)*0.0483),2)</f>
        <v>217.35</v>
      </c>
      <c r="S57" s="1087">
        <f>ROUND((VLOOKUP(C57,distribucion!G$8:FP$152,151,0)),2)</f>
        <v>161.31</v>
      </c>
      <c r="T57" s="1087">
        <f>ROUND((VLOOKUP(C57,distribucion!G$8:FP$152,152,0)),2)</f>
        <v>0</v>
      </c>
      <c r="U57" s="1087">
        <f>ROUND((VLOOKUP(C57,distribucion!G$8:FP$152,153,0)),2)</f>
        <v>0</v>
      </c>
      <c r="V57" s="1087">
        <f>ROUND((VLOOKUP(C57,distribucion!G10:FJ152,159,0)),2)</f>
        <v>0</v>
      </c>
      <c r="W57" s="1087">
        <f>ROUND((VLOOKUP(C57,distribucion!G10:FJ152,158,0)),2)</f>
        <v>0</v>
      </c>
      <c r="X57" s="1087">
        <f>ROUND((VLOOKUP(C57,distribucion!G10:FJ152,154,0)),2)</f>
        <v>0</v>
      </c>
      <c r="Y57" s="1087">
        <f>ROUND((VLOOKUP(C57,distribucion!G$8:FP$152,160,0)),2)</f>
        <v>0</v>
      </c>
      <c r="Z57" s="1068">
        <f t="shared" ref="Z57" si="88">SUM(R57:Y57)</f>
        <v>378.65999999999997</v>
      </c>
      <c r="AA57" s="1087">
        <f t="shared" ref="AA57" si="89">Q57-Z57</f>
        <v>6621.34</v>
      </c>
      <c r="AB57" s="1067">
        <v>3061.5299999999997</v>
      </c>
      <c r="AC57" s="1068">
        <f t="shared" si="58"/>
        <v>3559.8100000000004</v>
      </c>
      <c r="AD57" s="1068">
        <f t="shared" si="13"/>
        <v>0</v>
      </c>
      <c r="AE57" s="1068">
        <f t="shared" si="14"/>
        <v>0</v>
      </c>
    </row>
    <row r="58" spans="2:33" ht="30" customHeight="1">
      <c r="C58" s="1082" t="s">
        <v>627</v>
      </c>
      <c r="D58" s="1077"/>
      <c r="E58" s="1078"/>
      <c r="F58" s="1079"/>
      <c r="G58" s="1074"/>
      <c r="H58" s="1080"/>
      <c r="I58" s="1080"/>
      <c r="J58" s="1080"/>
      <c r="K58" s="1080"/>
      <c r="L58" s="1080"/>
      <c r="M58" s="1080"/>
      <c r="N58" s="1080"/>
      <c r="O58" s="1080"/>
      <c r="P58" s="1080"/>
      <c r="Q58" s="1080"/>
      <c r="R58" s="1080"/>
      <c r="S58" s="1080"/>
      <c r="T58" s="1080"/>
      <c r="U58" s="1080"/>
      <c r="V58" s="1080"/>
      <c r="W58" s="1080"/>
      <c r="X58" s="1080"/>
      <c r="Y58" s="1080"/>
      <c r="Z58" s="1080"/>
      <c r="AA58" s="1080"/>
      <c r="AB58" s="1067"/>
      <c r="AC58" s="1068"/>
      <c r="AD58" s="1067">
        <f t="shared" si="13"/>
        <v>0</v>
      </c>
      <c r="AE58" s="1067">
        <f t="shared" si="14"/>
        <v>0</v>
      </c>
    </row>
    <row r="59" spans="2:33" ht="30" customHeight="1">
      <c r="B59" s="1018">
        <v>21</v>
      </c>
      <c r="C59" s="1083" t="str">
        <f>+distribucion!G56</f>
        <v>Ordoñez Corado Paola Maritza</v>
      </c>
      <c r="D59" s="1071" t="str">
        <f>VLOOKUP(C59,distribucion!G$8:FP$152,2,0)</f>
        <v>Analista Financiera</v>
      </c>
      <c r="E59" s="1314">
        <f t="shared" si="85"/>
        <v>6500</v>
      </c>
      <c r="F59" s="1073">
        <f>VLOOKUP(C59,distribucion!G26:M154,7,FALSE)</f>
        <v>30</v>
      </c>
      <c r="G59" s="1074"/>
      <c r="H59" s="1065">
        <f>ROUND((VLOOKUP(C59,distribucion!G$1:FP$152,130,0)),2)</f>
        <v>6500</v>
      </c>
      <c r="I59" s="1065">
        <f>ROUND((VLOOKUP(C59,distribucion!G$8:FO$152,131,0)),2)</f>
        <v>5000</v>
      </c>
      <c r="J59" s="1065">
        <f t="shared" ref="J59" si="90">H59+I59</f>
        <v>11500</v>
      </c>
      <c r="K59" s="1065">
        <f>VLOOKUP(C59,distribucion!G$8:FP$152,132,0)</f>
        <v>0</v>
      </c>
      <c r="L59" s="1065">
        <f>ROUND((VLOOKUP(C59,distribucion!G$8:FP$152,133,0)),2)</f>
        <v>0</v>
      </c>
      <c r="M59" s="1065">
        <f>VLOOKUP(C59,distribucion!G$8:FP$152,134,0)</f>
        <v>0</v>
      </c>
      <c r="N59" s="1065">
        <f>ROUND((VLOOKUP(C59,distribucion!G$8:FP$152,135,0)),2)</f>
        <v>0</v>
      </c>
      <c r="O59" s="1028">
        <v>0</v>
      </c>
      <c r="P59" s="1075">
        <f>ROUND((VLOOKUP(C59,distribucion!G$8:FP$152,36,0)),2)</f>
        <v>0</v>
      </c>
      <c r="Q59" s="1028">
        <f t="shared" ref="Q59" si="91">SUM(J59:P59)-K59-M59</f>
        <v>11500</v>
      </c>
      <c r="R59" s="1028">
        <f t="shared" ref="R59" si="92">ROUND(((H59+L59+N59+O59+P59)*0.0483),2)</f>
        <v>313.95</v>
      </c>
      <c r="S59" s="1028">
        <f>ROUND((VLOOKUP(C59,distribucion!G$8:FP$152,151,0)),2)</f>
        <v>367.44</v>
      </c>
      <c r="T59" s="1028">
        <f>ROUND((VLOOKUP(C59,distribucion!G$8:FP$152,152,0)),2)</f>
        <v>0</v>
      </c>
      <c r="U59" s="1028">
        <f>ROUND((VLOOKUP(C59,distribucion!G$8:FP$152,153,0)),2)</f>
        <v>0</v>
      </c>
      <c r="V59" s="1028">
        <f>ROUND((VLOOKUP(C59,distribucion!G12:FJ154,159,0)),2)</f>
        <v>0</v>
      </c>
      <c r="W59" s="1028">
        <f>ROUND((VLOOKUP(C59,distribucion!G12:FJ154,158,0)),2)</f>
        <v>0</v>
      </c>
      <c r="X59" s="1087">
        <f>ROUND((VLOOKUP(C59,distribucion!G12:FJ154,154,0)),2)</f>
        <v>0</v>
      </c>
      <c r="Y59" s="1028">
        <f>ROUND((VLOOKUP(C59,distribucion!G$8:FP$152,160,0)),2)</f>
        <v>350</v>
      </c>
      <c r="Z59" s="1067">
        <f t="shared" ref="Z59" si="93">SUM(R59:Y59)</f>
        <v>1031.3899999999999</v>
      </c>
      <c r="AA59" s="1028">
        <f t="shared" ref="AA59" si="94">Q59-Z59</f>
        <v>10468.61</v>
      </c>
      <c r="AB59" s="1067">
        <v>4503.57</v>
      </c>
      <c r="AC59" s="1068">
        <f t="shared" si="58"/>
        <v>5965.0400000000009</v>
      </c>
      <c r="AD59" s="1067">
        <v>3872.75</v>
      </c>
      <c r="AE59" s="1067">
        <f>+AC59-AD59</f>
        <v>2092.2900000000009</v>
      </c>
    </row>
    <row r="60" spans="2:33" ht="30" customHeight="1">
      <c r="C60" s="1076"/>
      <c r="D60" s="1077" t="s">
        <v>171</v>
      </c>
      <c r="E60" s="1078"/>
      <c r="F60" s="1079"/>
      <c r="G60" s="1074"/>
      <c r="H60" s="1088">
        <f t="shared" ref="H60:AC60" si="95">SUM(H50:H59)</f>
        <v>41602.28</v>
      </c>
      <c r="I60" s="1088">
        <f t="shared" si="95"/>
        <v>17355.16</v>
      </c>
      <c r="J60" s="1088">
        <f t="shared" si="95"/>
        <v>58957.440000000002</v>
      </c>
      <c r="K60" s="1088">
        <f t="shared" si="95"/>
        <v>0</v>
      </c>
      <c r="L60" s="1088">
        <f t="shared" si="95"/>
        <v>0</v>
      </c>
      <c r="M60" s="1088">
        <f t="shared" si="95"/>
        <v>0</v>
      </c>
      <c r="N60" s="1088">
        <f t="shared" si="95"/>
        <v>0</v>
      </c>
      <c r="O60" s="1088">
        <f t="shared" si="95"/>
        <v>0</v>
      </c>
      <c r="P60" s="1088">
        <f t="shared" si="95"/>
        <v>0</v>
      </c>
      <c r="Q60" s="1088">
        <f t="shared" si="95"/>
        <v>58957.440000000002</v>
      </c>
      <c r="R60" s="1088">
        <f t="shared" si="95"/>
        <v>2009.4</v>
      </c>
      <c r="S60" s="1088">
        <f t="shared" si="95"/>
        <v>1531.68</v>
      </c>
      <c r="T60" s="1088">
        <f t="shared" si="95"/>
        <v>0</v>
      </c>
      <c r="U60" s="1088">
        <f t="shared" si="95"/>
        <v>200</v>
      </c>
      <c r="V60" s="1088">
        <f t="shared" si="95"/>
        <v>0</v>
      </c>
      <c r="W60" s="1088">
        <f t="shared" si="95"/>
        <v>0</v>
      </c>
      <c r="X60" s="1088">
        <f t="shared" si="95"/>
        <v>324</v>
      </c>
      <c r="Y60" s="1088">
        <f t="shared" si="95"/>
        <v>2118</v>
      </c>
      <c r="Z60" s="1088">
        <f t="shared" si="95"/>
        <v>6183.08</v>
      </c>
      <c r="AA60" s="1088">
        <f t="shared" si="95"/>
        <v>52774.36</v>
      </c>
      <c r="AB60" s="1088">
        <f t="shared" si="95"/>
        <v>25070.879999999997</v>
      </c>
      <c r="AC60" s="1088">
        <f t="shared" si="95"/>
        <v>27703.48</v>
      </c>
      <c r="AD60" s="1067">
        <f t="shared" si="13"/>
        <v>0</v>
      </c>
      <c r="AE60" s="1067">
        <f t="shared" si="14"/>
        <v>0</v>
      </c>
    </row>
    <row r="61" spans="2:33" ht="30" customHeight="1">
      <c r="C61" s="994" t="s">
        <v>195</v>
      </c>
      <c r="D61" s="994"/>
      <c r="E61" s="1078"/>
      <c r="F61" s="1079"/>
      <c r="G61" s="1074"/>
      <c r="H61" s="1080"/>
      <c r="I61" s="1080"/>
      <c r="J61" s="1080"/>
      <c r="K61" s="1080"/>
      <c r="L61" s="1080"/>
      <c r="M61" s="1080"/>
      <c r="N61" s="1080"/>
      <c r="O61" s="1080"/>
      <c r="P61" s="1080"/>
      <c r="Q61" s="1080"/>
      <c r="R61" s="1080"/>
      <c r="S61" s="1080"/>
      <c r="T61" s="1080"/>
      <c r="U61" s="1080"/>
      <c r="V61" s="1080"/>
      <c r="W61" s="1080"/>
      <c r="X61" s="1080"/>
      <c r="Y61" s="1080"/>
      <c r="Z61" s="1080"/>
      <c r="AA61" s="1080"/>
      <c r="AB61" s="1085"/>
      <c r="AC61" s="1085"/>
      <c r="AD61" s="1067">
        <f t="shared" si="13"/>
        <v>0</v>
      </c>
      <c r="AE61" s="1067">
        <f t="shared" si="14"/>
        <v>0</v>
      </c>
    </row>
    <row r="62" spans="2:33" ht="30" customHeight="1">
      <c r="C62" s="1082" t="s">
        <v>623</v>
      </c>
      <c r="D62" s="994"/>
      <c r="E62" s="1078"/>
      <c r="F62" s="1079"/>
      <c r="G62" s="1074"/>
      <c r="H62" s="1080"/>
      <c r="I62" s="1080"/>
      <c r="J62" s="1080"/>
      <c r="K62" s="1080"/>
      <c r="L62" s="1080"/>
      <c r="M62" s="1080"/>
      <c r="N62" s="1080"/>
      <c r="O62" s="1080"/>
      <c r="P62" s="1080"/>
      <c r="Q62" s="1080"/>
      <c r="R62" s="1080"/>
      <c r="S62" s="1080"/>
      <c r="T62" s="1080"/>
      <c r="U62" s="1080"/>
      <c r="V62" s="1080"/>
      <c r="W62" s="1080"/>
      <c r="X62" s="1080"/>
      <c r="Y62" s="1080"/>
      <c r="Z62" s="1080"/>
      <c r="AA62" s="1080"/>
      <c r="AB62" s="1085"/>
      <c r="AC62" s="1085"/>
      <c r="AD62" s="1067">
        <f t="shared" si="13"/>
        <v>0</v>
      </c>
      <c r="AE62" s="1067">
        <f t="shared" si="14"/>
        <v>0</v>
      </c>
    </row>
    <row r="63" spans="2:33" ht="30" customHeight="1">
      <c r="C63" s="1083"/>
      <c r="D63" s="1071"/>
      <c r="E63" s="1072"/>
      <c r="F63" s="1073"/>
      <c r="G63" s="1074"/>
      <c r="H63" s="1065"/>
      <c r="I63" s="1065"/>
      <c r="J63" s="1065"/>
      <c r="K63" s="1065"/>
      <c r="L63" s="1065"/>
      <c r="M63" s="1065"/>
      <c r="N63" s="1065"/>
      <c r="O63" s="1028"/>
      <c r="P63" s="1075"/>
      <c r="Q63" s="1028"/>
      <c r="R63" s="1028"/>
      <c r="S63" s="1028"/>
      <c r="T63" s="1028"/>
      <c r="U63" s="1028"/>
      <c r="V63" s="1028"/>
      <c r="W63" s="1028"/>
      <c r="X63" s="1087"/>
      <c r="Y63" s="1028"/>
      <c r="Z63" s="1067"/>
      <c r="AA63" s="1028"/>
      <c r="AB63" s="1067"/>
      <c r="AC63" s="1068"/>
      <c r="AD63" s="1067"/>
      <c r="AE63" s="1067"/>
      <c r="AF63" s="1069"/>
    </row>
    <row r="64" spans="2:33" ht="30" customHeight="1">
      <c r="C64" s="1083"/>
      <c r="D64" s="1071"/>
      <c r="E64" s="1072"/>
      <c r="F64" s="1073"/>
      <c r="G64" s="1102"/>
      <c r="H64" s="1065"/>
      <c r="I64" s="1065"/>
      <c r="J64" s="1065"/>
      <c r="K64" s="1065"/>
      <c r="L64" s="1065"/>
      <c r="M64" s="1065"/>
      <c r="N64" s="1065"/>
      <c r="O64" s="1028"/>
      <c r="P64" s="1075"/>
      <c r="Q64" s="1028"/>
      <c r="R64" s="1028"/>
      <c r="S64" s="1028"/>
      <c r="T64" s="1028"/>
      <c r="U64" s="1028"/>
      <c r="V64" s="1028"/>
      <c r="W64" s="1028"/>
      <c r="X64" s="1087"/>
      <c r="Y64" s="1028"/>
      <c r="Z64" s="1067"/>
      <c r="AA64" s="1028"/>
      <c r="AB64" s="1067"/>
      <c r="AC64" s="1068"/>
      <c r="AD64" s="1067"/>
      <c r="AE64" s="1067"/>
      <c r="AF64" s="1069"/>
    </row>
    <row r="65" spans="2:33" ht="30" customHeight="1">
      <c r="C65" s="1103" t="s">
        <v>641</v>
      </c>
      <c r="D65" s="1104"/>
      <c r="E65" s="1078"/>
      <c r="F65" s="1079"/>
      <c r="G65" s="1074"/>
      <c r="H65" s="1080"/>
      <c r="I65" s="1080"/>
      <c r="J65" s="1080"/>
      <c r="K65" s="1080"/>
      <c r="L65" s="1080"/>
      <c r="M65" s="1080"/>
      <c r="N65" s="1080"/>
      <c r="O65" s="1080"/>
      <c r="P65" s="1080"/>
      <c r="Q65" s="1080"/>
      <c r="R65" s="1080"/>
      <c r="S65" s="1080"/>
      <c r="T65" s="1080"/>
      <c r="U65" s="1080"/>
      <c r="V65" s="1080"/>
      <c r="W65" s="1080"/>
      <c r="X65" s="1080"/>
      <c r="Y65" s="1080"/>
      <c r="Z65" s="1080"/>
      <c r="AA65" s="1080"/>
      <c r="AB65" s="1085"/>
      <c r="AC65" s="1085"/>
      <c r="AD65" s="1067">
        <f t="shared" si="13"/>
        <v>0</v>
      </c>
      <c r="AE65" s="1067">
        <f t="shared" si="14"/>
        <v>0</v>
      </c>
    </row>
    <row r="66" spans="2:33" ht="30" customHeight="1">
      <c r="C66" s="1083"/>
      <c r="D66" s="1071"/>
      <c r="E66" s="1078"/>
      <c r="F66" s="1073"/>
      <c r="G66" s="1074"/>
      <c r="H66" s="1065"/>
      <c r="I66" s="1065"/>
      <c r="J66" s="1065"/>
      <c r="K66" s="1065"/>
      <c r="L66" s="1065"/>
      <c r="M66" s="1065"/>
      <c r="N66" s="1065"/>
      <c r="O66" s="1028"/>
      <c r="P66" s="1075"/>
      <c r="Q66" s="1028"/>
      <c r="R66" s="1028"/>
      <c r="S66" s="1028"/>
      <c r="T66" s="1028"/>
      <c r="U66" s="1028"/>
      <c r="V66" s="1028"/>
      <c r="W66" s="1028"/>
      <c r="X66" s="1087"/>
      <c r="Y66" s="1028"/>
      <c r="Z66" s="1067"/>
      <c r="AA66" s="1028"/>
      <c r="AB66" s="1067"/>
      <c r="AC66" s="1068"/>
      <c r="AD66" s="1067">
        <f t="shared" si="13"/>
        <v>0</v>
      </c>
      <c r="AE66" s="1067">
        <f t="shared" si="14"/>
        <v>0</v>
      </c>
    </row>
    <row r="67" spans="2:33" ht="30" customHeight="1">
      <c r="C67" s="1103" t="s">
        <v>642</v>
      </c>
      <c r="D67" s="1104"/>
      <c r="E67" s="1078"/>
      <c r="F67" s="1079"/>
      <c r="G67" s="1074"/>
      <c r="H67" s="1080"/>
      <c r="I67" s="1080"/>
      <c r="J67" s="1080"/>
      <c r="K67" s="1080"/>
      <c r="L67" s="1080"/>
      <c r="M67" s="1080"/>
      <c r="N67" s="1080"/>
      <c r="O67" s="1080"/>
      <c r="P67" s="1080"/>
      <c r="Q67" s="1080"/>
      <c r="R67" s="1080"/>
      <c r="S67" s="1080"/>
      <c r="T67" s="1080"/>
      <c r="U67" s="1080"/>
      <c r="V67" s="1080"/>
      <c r="W67" s="1080"/>
      <c r="X67" s="1080"/>
      <c r="Y67" s="1080"/>
      <c r="Z67" s="1080"/>
      <c r="AA67" s="1080"/>
      <c r="AB67" s="1085"/>
      <c r="AC67" s="1085"/>
      <c r="AD67" s="1067">
        <f t="shared" si="13"/>
        <v>0</v>
      </c>
      <c r="AE67" s="1067">
        <f t="shared" si="14"/>
        <v>0</v>
      </c>
    </row>
    <row r="68" spans="2:33" ht="30" customHeight="1">
      <c r="C68" s="1083"/>
      <c r="D68" s="1071"/>
      <c r="E68" s="1078"/>
      <c r="F68" s="1073"/>
      <c r="G68" s="1074"/>
      <c r="H68" s="1065"/>
      <c r="I68" s="1065"/>
      <c r="J68" s="1065"/>
      <c r="K68" s="1065"/>
      <c r="L68" s="1065"/>
      <c r="M68" s="1065"/>
      <c r="N68" s="1065"/>
      <c r="O68" s="1028"/>
      <c r="P68" s="1075"/>
      <c r="Q68" s="1028"/>
      <c r="R68" s="1028"/>
      <c r="S68" s="1028"/>
      <c r="T68" s="1028"/>
      <c r="U68" s="1028"/>
      <c r="V68" s="1028"/>
      <c r="W68" s="1028"/>
      <c r="X68" s="1087"/>
      <c r="Y68" s="1028"/>
      <c r="Z68" s="1067"/>
      <c r="AA68" s="1028"/>
      <c r="AB68" s="1067"/>
      <c r="AC68" s="1068"/>
      <c r="AD68" s="1067">
        <f t="shared" si="13"/>
        <v>0</v>
      </c>
      <c r="AE68" s="1067">
        <f t="shared" si="14"/>
        <v>0</v>
      </c>
    </row>
    <row r="69" spans="2:33" ht="30" customHeight="1">
      <c r="B69" s="1018" t="s">
        <v>52</v>
      </c>
      <c r="C69" s="1105"/>
      <c r="D69" s="1077" t="s">
        <v>171</v>
      </c>
      <c r="E69" s="1078"/>
      <c r="F69" s="1079"/>
      <c r="G69" s="1074"/>
      <c r="H69" s="1088">
        <f t="shared" ref="H69:AC69" si="96">SUM(H63:H68)</f>
        <v>0</v>
      </c>
      <c r="I69" s="1088">
        <f t="shared" si="96"/>
        <v>0</v>
      </c>
      <c r="J69" s="1088">
        <f t="shared" si="96"/>
        <v>0</v>
      </c>
      <c r="K69" s="1088">
        <f t="shared" si="96"/>
        <v>0</v>
      </c>
      <c r="L69" s="1088">
        <f t="shared" si="96"/>
        <v>0</v>
      </c>
      <c r="M69" s="1088">
        <f t="shared" si="96"/>
        <v>0</v>
      </c>
      <c r="N69" s="1088">
        <f t="shared" si="96"/>
        <v>0</v>
      </c>
      <c r="O69" s="1088">
        <f t="shared" si="96"/>
        <v>0</v>
      </c>
      <c r="P69" s="1088">
        <f t="shared" si="96"/>
        <v>0</v>
      </c>
      <c r="Q69" s="1088">
        <f t="shared" si="96"/>
        <v>0</v>
      </c>
      <c r="R69" s="1088">
        <f t="shared" si="96"/>
        <v>0</v>
      </c>
      <c r="S69" s="1088">
        <f t="shared" si="96"/>
        <v>0</v>
      </c>
      <c r="T69" s="1088">
        <f t="shared" si="96"/>
        <v>0</v>
      </c>
      <c r="U69" s="1088">
        <f t="shared" si="96"/>
        <v>0</v>
      </c>
      <c r="V69" s="1088">
        <f t="shared" si="96"/>
        <v>0</v>
      </c>
      <c r="W69" s="1088">
        <f t="shared" si="96"/>
        <v>0</v>
      </c>
      <c r="X69" s="1088">
        <f t="shared" si="96"/>
        <v>0</v>
      </c>
      <c r="Y69" s="1088">
        <f t="shared" si="96"/>
        <v>0</v>
      </c>
      <c r="Z69" s="1088">
        <f t="shared" si="96"/>
        <v>0</v>
      </c>
      <c r="AA69" s="1088">
        <f t="shared" si="96"/>
        <v>0</v>
      </c>
      <c r="AB69" s="1088">
        <f t="shared" si="96"/>
        <v>0</v>
      </c>
      <c r="AC69" s="1088">
        <f t="shared" si="96"/>
        <v>0</v>
      </c>
      <c r="AD69" s="1067">
        <f t="shared" si="13"/>
        <v>0</v>
      </c>
      <c r="AE69" s="1067">
        <f t="shared" si="14"/>
        <v>0</v>
      </c>
    </row>
    <row r="70" spans="2:33" ht="30" customHeight="1">
      <c r="B70" s="1018" t="s">
        <v>172</v>
      </c>
      <c r="C70" s="1076"/>
      <c r="D70" s="1077"/>
      <c r="E70" s="1078"/>
      <c r="F70" s="1079"/>
      <c r="G70" s="1074"/>
      <c r="H70" s="1080" t="s">
        <v>52</v>
      </c>
      <c r="I70" s="1080" t="s">
        <v>52</v>
      </c>
      <c r="J70" s="1080" t="s">
        <v>52</v>
      </c>
      <c r="K70" s="1080"/>
      <c r="L70" s="1080"/>
      <c r="M70" s="1080"/>
      <c r="N70" s="1080"/>
      <c r="O70" s="1080"/>
      <c r="P70" s="1080"/>
      <c r="Q70" s="1080"/>
      <c r="R70" s="1080"/>
      <c r="S70" s="1080"/>
      <c r="T70" s="1080"/>
      <c r="U70" s="1080"/>
      <c r="V70" s="1080"/>
      <c r="W70" s="1080"/>
      <c r="X70" s="1080"/>
      <c r="Y70" s="1080"/>
      <c r="Z70" s="1080"/>
      <c r="AA70" s="1080"/>
      <c r="AB70" s="1085"/>
      <c r="AC70" s="1085"/>
      <c r="AD70" s="1067">
        <f t="shared" si="13"/>
        <v>0</v>
      </c>
      <c r="AE70" s="1067" t="e">
        <f t="shared" si="14"/>
        <v>#VALUE!</v>
      </c>
    </row>
    <row r="71" spans="2:33" ht="30" customHeight="1">
      <c r="C71" s="1076"/>
      <c r="D71" s="1077"/>
      <c r="E71" s="1078"/>
      <c r="F71" s="1079"/>
      <c r="G71" s="1074"/>
      <c r="H71" s="1080"/>
      <c r="I71" s="1080"/>
      <c r="J71" s="1080"/>
      <c r="K71" s="1080"/>
      <c r="L71" s="1080"/>
      <c r="M71" s="1080"/>
      <c r="N71" s="1080"/>
      <c r="O71" s="1080"/>
      <c r="P71" s="1080"/>
      <c r="Q71" s="1080"/>
      <c r="R71" s="1080"/>
      <c r="S71" s="1080"/>
      <c r="T71" s="1080"/>
      <c r="U71" s="1080"/>
      <c r="V71" s="1080"/>
      <c r="W71" s="1080"/>
      <c r="X71" s="1080"/>
      <c r="Y71" s="1080"/>
      <c r="Z71" s="1080"/>
      <c r="AA71" s="1080"/>
      <c r="AB71" s="1085"/>
      <c r="AC71" s="1085"/>
      <c r="AD71" s="1067">
        <f t="shared" si="13"/>
        <v>0</v>
      </c>
      <c r="AE71" s="1067">
        <f t="shared" si="14"/>
        <v>0</v>
      </c>
    </row>
    <row r="72" spans="2:33" ht="30" customHeight="1">
      <c r="C72" s="1076"/>
      <c r="D72" s="1077"/>
      <c r="E72" s="1078"/>
      <c r="F72" s="1079"/>
      <c r="G72" s="1074"/>
      <c r="H72" s="1080"/>
      <c r="I72" s="1080"/>
      <c r="J72" s="1080"/>
      <c r="K72" s="1080"/>
      <c r="L72" s="1080"/>
      <c r="M72" s="1080"/>
      <c r="N72" s="1080"/>
      <c r="O72" s="1080"/>
      <c r="P72" s="1080"/>
      <c r="Q72" s="1080"/>
      <c r="R72" s="1080"/>
      <c r="S72" s="1080"/>
      <c r="T72" s="1080"/>
      <c r="U72" s="1080"/>
      <c r="V72" s="1080"/>
      <c r="W72" s="1080"/>
      <c r="X72" s="1080"/>
      <c r="Y72" s="1080"/>
      <c r="Z72" s="1080"/>
      <c r="AA72" s="1080"/>
      <c r="AB72" s="1085"/>
      <c r="AC72" s="1085"/>
      <c r="AD72" s="1067">
        <f t="shared" si="13"/>
        <v>0</v>
      </c>
      <c r="AE72" s="1067">
        <f t="shared" si="14"/>
        <v>0</v>
      </c>
    </row>
    <row r="73" spans="2:33" ht="30" customHeight="1">
      <c r="C73" s="1076"/>
      <c r="D73" s="1077"/>
      <c r="E73" s="1078"/>
      <c r="F73" s="1079"/>
      <c r="G73" s="1074"/>
      <c r="H73" s="1080"/>
      <c r="I73" s="1080"/>
      <c r="J73" s="1080"/>
      <c r="K73" s="1080"/>
      <c r="L73" s="1080"/>
      <c r="M73" s="1080"/>
      <c r="N73" s="1080"/>
      <c r="O73" s="1080"/>
      <c r="P73" s="1080"/>
      <c r="Q73" s="1080"/>
      <c r="R73" s="1080"/>
      <c r="S73" s="1080"/>
      <c r="T73" s="1080"/>
      <c r="U73" s="1080"/>
      <c r="V73" s="1080"/>
      <c r="W73" s="1080"/>
      <c r="X73" s="1080"/>
      <c r="Y73" s="1080"/>
      <c r="Z73" s="1080"/>
      <c r="AA73" s="1080"/>
      <c r="AB73" s="1085"/>
      <c r="AC73" s="1085"/>
      <c r="AD73" s="1067">
        <f t="shared" si="13"/>
        <v>0</v>
      </c>
      <c r="AE73" s="1067">
        <f t="shared" si="14"/>
        <v>0</v>
      </c>
    </row>
    <row r="74" spans="2:33" ht="30" customHeight="1">
      <c r="C74" s="1076"/>
      <c r="D74" s="1077"/>
      <c r="E74" s="1078"/>
      <c r="F74" s="1079"/>
      <c r="G74" s="1074"/>
      <c r="H74" s="1080"/>
      <c r="I74" s="1080"/>
      <c r="J74" s="1080"/>
      <c r="K74" s="1080"/>
      <c r="L74" s="1080"/>
      <c r="M74" s="1080"/>
      <c r="N74" s="1080"/>
      <c r="O74" s="1080"/>
      <c r="P74" s="1080"/>
      <c r="Q74" s="1080"/>
      <c r="R74" s="1080"/>
      <c r="S74" s="1080"/>
      <c r="T74" s="1080"/>
      <c r="U74" s="1080"/>
      <c r="V74" s="1080"/>
      <c r="W74" s="1080"/>
      <c r="X74" s="1080"/>
      <c r="Y74" s="1080"/>
      <c r="Z74" s="1080"/>
      <c r="AA74" s="1080"/>
      <c r="AB74" s="1085"/>
      <c r="AC74" s="1085"/>
      <c r="AD74" s="1067">
        <f t="shared" si="13"/>
        <v>0</v>
      </c>
      <c r="AE74" s="1067">
        <f t="shared" si="14"/>
        <v>0</v>
      </c>
    </row>
    <row r="75" spans="2:33" ht="30" customHeight="1">
      <c r="C75" s="1076"/>
      <c r="D75" s="1077"/>
      <c r="E75" s="1078"/>
      <c r="F75" s="1079"/>
      <c r="G75" s="1074"/>
      <c r="H75" s="1080"/>
      <c r="I75" s="1080"/>
      <c r="J75" s="1080"/>
      <c r="K75" s="1080"/>
      <c r="L75" s="1080"/>
      <c r="M75" s="1080"/>
      <c r="N75" s="1080"/>
      <c r="O75" s="1080"/>
      <c r="P75" s="1080"/>
      <c r="Q75" s="1080"/>
      <c r="R75" s="1080"/>
      <c r="S75" s="1080"/>
      <c r="T75" s="1080"/>
      <c r="U75" s="1080"/>
      <c r="V75" s="1080"/>
      <c r="W75" s="1080"/>
      <c r="X75" s="1080"/>
      <c r="Y75" s="1080"/>
      <c r="Z75" s="1080"/>
      <c r="AA75" s="1080"/>
      <c r="AB75" s="1085"/>
      <c r="AC75" s="1085"/>
      <c r="AD75" s="1067">
        <f t="shared" si="13"/>
        <v>0</v>
      </c>
      <c r="AE75" s="1067">
        <f t="shared" si="14"/>
        <v>0</v>
      </c>
    </row>
    <row r="76" spans="2:33" ht="30" customHeight="1">
      <c r="D76" s="1020"/>
      <c r="E76" s="1021"/>
      <c r="F76" s="1020"/>
      <c r="G76" s="1020"/>
      <c r="H76" s="1022"/>
      <c r="I76" s="1022"/>
      <c r="J76" s="1022"/>
      <c r="K76" s="1022"/>
      <c r="L76" s="1022"/>
      <c r="M76" s="1022"/>
      <c r="N76" s="1022"/>
      <c r="O76" s="1022"/>
      <c r="P76" s="1022"/>
      <c r="Q76" s="1022"/>
      <c r="R76" s="1022"/>
      <c r="S76" s="1022"/>
      <c r="T76" s="1022"/>
      <c r="U76" s="1022"/>
      <c r="V76" s="1022"/>
      <c r="W76" s="1022"/>
      <c r="X76" s="1022"/>
      <c r="Y76" s="1022"/>
      <c r="Z76" s="1022"/>
      <c r="AA76" s="1106" t="s">
        <v>52</v>
      </c>
      <c r="AB76" s="1067"/>
      <c r="AC76" s="1107"/>
      <c r="AD76" s="1067" t="e">
        <f t="shared" ref="AD76:AD145" si="97">AA76-AB76-AC76</f>
        <v>#VALUE!</v>
      </c>
      <c r="AE76" s="1067" t="e">
        <f t="shared" ref="AE76:AE145" si="98">((I76+H76+L76+O76++P76)-SUM(R76:Y76))-AA76</f>
        <v>#VALUE!</v>
      </c>
    </row>
    <row r="77" spans="2:33" s="1018" customFormat="1" ht="30" customHeight="1">
      <c r="B77" s="1023"/>
      <c r="C77" s="1024" t="s">
        <v>605</v>
      </c>
      <c r="D77" s="1025"/>
      <c r="E77" s="1026"/>
      <c r="H77" s="1027"/>
      <c r="I77" s="1028"/>
      <c r="J77" s="1029" t="s">
        <v>607</v>
      </c>
      <c r="K77" s="1029"/>
      <c r="L77" s="1029"/>
      <c r="M77" s="1028"/>
      <c r="N77" s="1028"/>
      <c r="O77" s="1028"/>
      <c r="P77" s="1028"/>
      <c r="Q77" s="1028"/>
      <c r="R77" s="1028"/>
      <c r="S77" s="1028"/>
      <c r="T77" s="1028"/>
      <c r="U77" s="1028"/>
      <c r="V77" s="1028"/>
      <c r="W77" s="1028"/>
      <c r="X77" s="1028"/>
      <c r="Y77" s="1028"/>
      <c r="Z77" s="1067"/>
      <c r="AA77" s="1108"/>
      <c r="AB77" s="1109"/>
      <c r="AC77" s="1068"/>
      <c r="AD77" s="1067">
        <f t="shared" si="97"/>
        <v>0</v>
      </c>
      <c r="AE77" s="1067">
        <f t="shared" si="98"/>
        <v>0</v>
      </c>
      <c r="AG77" s="1110"/>
    </row>
    <row r="78" spans="2:33" ht="30" customHeight="1">
      <c r="E78" s="1026"/>
      <c r="F78" s="1018"/>
      <c r="G78" s="1018"/>
      <c r="H78" s="1028"/>
      <c r="I78" s="1028"/>
      <c r="J78" s="1028"/>
      <c r="K78" s="1028"/>
      <c r="L78" s="1028"/>
      <c r="M78" s="1028"/>
      <c r="N78" s="1028"/>
      <c r="O78" s="1028"/>
      <c r="P78" s="1028"/>
      <c r="Q78" s="1028"/>
      <c r="R78" s="1028"/>
      <c r="S78" s="1028"/>
      <c r="T78" s="1028"/>
      <c r="U78" s="1028"/>
      <c r="V78" s="1028"/>
      <c r="W78" s="1028"/>
      <c r="X78" s="1028"/>
      <c r="Y78" s="1028"/>
      <c r="Z78" s="1067"/>
      <c r="AA78" s="1096"/>
      <c r="AB78" s="1096"/>
      <c r="AC78" s="1096"/>
      <c r="AD78" s="1067">
        <f t="shared" si="97"/>
        <v>0</v>
      </c>
      <c r="AE78" s="1067">
        <f t="shared" si="98"/>
        <v>0</v>
      </c>
    </row>
    <row r="79" spans="2:33" ht="30" customHeight="1">
      <c r="E79" s="1026"/>
      <c r="F79" s="1018"/>
      <c r="G79" s="1018"/>
      <c r="H79" s="1028"/>
      <c r="I79" s="1028"/>
      <c r="J79" s="1028"/>
      <c r="K79" s="1028"/>
      <c r="L79" s="1028"/>
      <c r="M79" s="1028"/>
      <c r="N79" s="1028"/>
      <c r="O79" s="1028"/>
      <c r="P79" s="1028"/>
      <c r="Q79" s="1028"/>
      <c r="R79" s="1028"/>
      <c r="S79" s="1028"/>
      <c r="T79" s="1028"/>
      <c r="U79" s="1028"/>
      <c r="V79" s="1028"/>
      <c r="W79" s="1028"/>
      <c r="X79" s="1028"/>
      <c r="Y79" s="1028"/>
      <c r="AA79" s="1096"/>
      <c r="AB79" s="1112"/>
      <c r="AC79" s="1096"/>
      <c r="AD79" s="1067">
        <f t="shared" si="97"/>
        <v>0</v>
      </c>
      <c r="AE79" s="1067">
        <f t="shared" si="98"/>
        <v>0</v>
      </c>
    </row>
    <row r="80" spans="2:33" ht="30" customHeight="1">
      <c r="E80" s="1026"/>
      <c r="F80" s="1018"/>
      <c r="G80" s="1018"/>
      <c r="H80" s="1028"/>
      <c r="I80" s="1028"/>
      <c r="J80" s="1028"/>
      <c r="K80" s="1028"/>
      <c r="L80" s="1028"/>
      <c r="M80" s="1028"/>
      <c r="N80" s="1028"/>
      <c r="O80" s="1028"/>
      <c r="P80" s="1028"/>
      <c r="Q80" s="1028"/>
      <c r="R80" s="1028"/>
      <c r="S80" s="1028"/>
      <c r="T80" s="1028"/>
      <c r="U80" s="1028"/>
      <c r="V80" s="1028"/>
      <c r="W80" s="1028"/>
      <c r="X80" s="1028"/>
      <c r="Y80" s="1028"/>
      <c r="AA80" s="1096"/>
      <c r="AB80" s="1112"/>
      <c r="AC80" s="1096"/>
      <c r="AD80" s="1067">
        <f t="shared" si="97"/>
        <v>0</v>
      </c>
      <c r="AE80" s="1067">
        <f t="shared" si="98"/>
        <v>0</v>
      </c>
    </row>
    <row r="81" spans="2:31" ht="30" customHeight="1">
      <c r="E81" s="1026"/>
      <c r="F81" s="1018"/>
      <c r="G81" s="1018"/>
      <c r="H81" s="1028"/>
      <c r="I81" s="1028"/>
      <c r="J81" s="1028"/>
      <c r="K81" s="1028"/>
      <c r="L81" s="1028"/>
      <c r="M81" s="1028"/>
      <c r="N81" s="1028"/>
      <c r="O81" s="1028"/>
      <c r="P81" s="1028"/>
      <c r="Q81" s="1028"/>
      <c r="R81" s="1028"/>
      <c r="S81" s="1028"/>
      <c r="T81" s="1028"/>
      <c r="U81" s="1028"/>
      <c r="V81" s="1028"/>
      <c r="W81" s="1028"/>
      <c r="X81" s="1028"/>
      <c r="Y81" s="1028"/>
      <c r="AA81" s="1096"/>
      <c r="AB81" s="1112"/>
      <c r="AC81" s="1096"/>
      <c r="AD81" s="1067">
        <f t="shared" si="97"/>
        <v>0</v>
      </c>
      <c r="AE81" s="1067">
        <f t="shared" si="98"/>
        <v>0</v>
      </c>
    </row>
    <row r="82" spans="2:31" ht="30" customHeight="1">
      <c r="C82" s="1031"/>
      <c r="E82" s="1026"/>
      <c r="F82" s="1018"/>
      <c r="G82" s="1018"/>
      <c r="H82" s="1028"/>
      <c r="I82" s="1028"/>
      <c r="J82" s="1028"/>
      <c r="K82" s="1028"/>
      <c r="L82" s="1028"/>
      <c r="M82" s="1028"/>
      <c r="N82" s="1028"/>
      <c r="O82" s="1028"/>
      <c r="P82" s="1028"/>
      <c r="Q82" s="1028"/>
      <c r="R82" s="1028"/>
      <c r="S82" s="1028"/>
      <c r="T82" s="1028"/>
      <c r="U82" s="1028"/>
      <c r="V82" s="1028"/>
      <c r="W82" s="1028"/>
      <c r="X82" s="1028"/>
      <c r="Y82" s="1028"/>
      <c r="Z82" s="1113"/>
      <c r="AA82" s="1096"/>
      <c r="AB82" s="1113"/>
      <c r="AC82" s="1096"/>
      <c r="AD82" s="1067">
        <f t="shared" si="97"/>
        <v>0</v>
      </c>
      <c r="AE82" s="1067">
        <f t="shared" si="98"/>
        <v>0</v>
      </c>
    </row>
    <row r="83" spans="2:31" ht="30" customHeight="1">
      <c r="E83" s="1026"/>
      <c r="F83" s="1018"/>
      <c r="G83" s="1018"/>
      <c r="H83" s="1028"/>
      <c r="I83" s="1028"/>
      <c r="J83" s="1028"/>
      <c r="K83" s="1028"/>
      <c r="L83" s="1028"/>
      <c r="M83" s="1028"/>
      <c r="N83" s="1028"/>
      <c r="O83" s="1028"/>
      <c r="P83" s="1028"/>
      <c r="Q83" s="1028"/>
      <c r="R83" s="1028"/>
      <c r="S83" s="1028"/>
      <c r="T83" s="1028"/>
      <c r="U83" s="1028"/>
      <c r="V83" s="1028"/>
      <c r="W83" s="1028"/>
      <c r="X83" s="1028"/>
      <c r="Y83" s="1028"/>
      <c r="AA83" s="1096"/>
      <c r="AB83" s="1067"/>
      <c r="AC83" s="1109"/>
      <c r="AD83" s="1067">
        <f t="shared" si="97"/>
        <v>0</v>
      </c>
      <c r="AE83" s="1067">
        <f t="shared" si="98"/>
        <v>0</v>
      </c>
    </row>
    <row r="84" spans="2:31" ht="30" customHeight="1">
      <c r="E84" s="1026"/>
      <c r="F84" s="1018"/>
      <c r="G84" s="1018"/>
      <c r="H84" s="1018"/>
      <c r="I84" s="1028"/>
      <c r="J84" s="1028"/>
      <c r="K84" s="1028"/>
      <c r="L84" s="1028"/>
      <c r="M84" s="1028"/>
      <c r="N84" s="1028"/>
      <c r="O84" s="1028"/>
      <c r="P84" s="1028"/>
      <c r="Q84" s="1028"/>
      <c r="R84" s="1028"/>
      <c r="S84" s="1028"/>
      <c r="T84" s="1028"/>
      <c r="U84" s="1028"/>
      <c r="V84" s="1028"/>
      <c r="W84" s="1028"/>
      <c r="X84" s="1028"/>
      <c r="Y84" s="1028"/>
      <c r="AA84" s="1096"/>
      <c r="AB84" s="1067"/>
      <c r="AC84" s="1109"/>
      <c r="AD84" s="1067">
        <f t="shared" si="97"/>
        <v>0</v>
      </c>
      <c r="AE84" s="1067">
        <f t="shared" si="98"/>
        <v>0</v>
      </c>
    </row>
    <row r="85" spans="2:31" ht="30" customHeight="1">
      <c r="E85" s="1026"/>
      <c r="F85" s="1018"/>
      <c r="G85" s="1018"/>
      <c r="H85" s="1028"/>
      <c r="I85" s="1028"/>
      <c r="J85" s="1028"/>
      <c r="K85" s="1028"/>
      <c r="L85" s="1028"/>
      <c r="M85" s="1028"/>
      <c r="N85" s="1028"/>
      <c r="O85" s="1028"/>
      <c r="P85" s="1028"/>
      <c r="Q85" s="1028"/>
      <c r="R85" s="1028"/>
      <c r="S85" s="1028"/>
      <c r="T85" s="1028"/>
      <c r="U85" s="1028"/>
      <c r="V85" s="1028"/>
      <c r="W85" s="1028"/>
      <c r="X85" s="1028"/>
      <c r="Y85" s="1028"/>
      <c r="AA85" s="1067"/>
      <c r="AB85" s="1067"/>
      <c r="AC85" s="1068"/>
      <c r="AD85" s="1067">
        <f t="shared" si="97"/>
        <v>0</v>
      </c>
      <c r="AE85" s="1067">
        <f t="shared" si="98"/>
        <v>0</v>
      </c>
    </row>
    <row r="86" spans="2:31" s="1018" customFormat="1" ht="30" customHeight="1">
      <c r="B86" s="1023"/>
      <c r="C86" s="1024" t="s">
        <v>606</v>
      </c>
      <c r="E86" s="1026"/>
      <c r="H86" s="1027"/>
      <c r="I86" s="1027"/>
      <c r="J86" s="1032" t="s">
        <v>599</v>
      </c>
      <c r="K86" s="1032"/>
      <c r="L86" s="1032"/>
      <c r="M86" s="1027"/>
      <c r="N86" s="1027"/>
      <c r="O86" s="1027"/>
      <c r="P86" s="1027"/>
      <c r="Q86" s="1027"/>
      <c r="R86" s="1027"/>
      <c r="S86" s="1027"/>
      <c r="T86" s="1027"/>
      <c r="U86" s="1027"/>
      <c r="V86" s="1027"/>
      <c r="W86" s="1027"/>
      <c r="X86" s="1027"/>
      <c r="Y86" s="1027"/>
      <c r="Z86" s="1067"/>
      <c r="AA86" s="1067"/>
      <c r="AB86" s="1067"/>
      <c r="AC86" s="1068"/>
      <c r="AD86" s="1067">
        <f t="shared" si="97"/>
        <v>0</v>
      </c>
      <c r="AE86" s="1067">
        <f t="shared" si="98"/>
        <v>0</v>
      </c>
    </row>
    <row r="87" spans="2:31" ht="30" customHeight="1">
      <c r="Z87" s="1113"/>
      <c r="AD87" s="1067">
        <f t="shared" si="97"/>
        <v>0</v>
      </c>
      <c r="AE87" s="1067">
        <f t="shared" si="98"/>
        <v>0</v>
      </c>
    </row>
    <row r="88" spans="2:31" ht="30" customHeight="1">
      <c r="AD88" s="1067">
        <f t="shared" si="97"/>
        <v>0</v>
      </c>
      <c r="AE88" s="1067">
        <f t="shared" si="98"/>
        <v>0</v>
      </c>
    </row>
    <row r="89" spans="2:31" ht="30" customHeight="1">
      <c r="C89" s="1076"/>
      <c r="D89" s="1077"/>
      <c r="E89" s="1078"/>
      <c r="F89" s="1079"/>
      <c r="G89" s="1074"/>
      <c r="H89" s="1022"/>
      <c r="I89" s="1022"/>
      <c r="J89" s="1022"/>
      <c r="K89" s="1022"/>
      <c r="L89" s="1022"/>
      <c r="M89" s="1022"/>
      <c r="N89" s="1022"/>
      <c r="O89" s="1022"/>
      <c r="P89" s="1022"/>
      <c r="Q89" s="1022"/>
      <c r="R89" s="1022"/>
      <c r="S89" s="1022"/>
      <c r="T89" s="1022"/>
      <c r="U89" s="1022"/>
      <c r="V89" s="1022"/>
      <c r="W89" s="1022"/>
      <c r="X89" s="1022"/>
      <c r="Y89" s="1022"/>
      <c r="Z89" s="1113"/>
      <c r="AA89" s="1022"/>
      <c r="AB89" s="1067"/>
      <c r="AC89" s="1107"/>
      <c r="AD89" s="1067">
        <f t="shared" si="97"/>
        <v>0</v>
      </c>
      <c r="AE89" s="1067">
        <f t="shared" si="98"/>
        <v>0</v>
      </c>
    </row>
    <row r="90" spans="2:31" ht="30" customHeight="1">
      <c r="C90" s="1076"/>
      <c r="D90" s="1077"/>
      <c r="E90" s="1078"/>
      <c r="F90" s="1079"/>
      <c r="G90" s="1074"/>
      <c r="H90" s="1022"/>
      <c r="I90" s="1022"/>
      <c r="J90" s="1022"/>
      <c r="K90" s="1022"/>
      <c r="L90" s="1022"/>
      <c r="M90" s="1022"/>
      <c r="N90" s="1022"/>
      <c r="O90" s="1022"/>
      <c r="P90" s="1022"/>
      <c r="Q90" s="1022"/>
      <c r="R90" s="1022"/>
      <c r="S90" s="1022"/>
      <c r="T90" s="1022"/>
      <c r="U90" s="1022"/>
      <c r="V90" s="1022"/>
      <c r="W90" s="1022"/>
      <c r="X90" s="1022"/>
      <c r="Y90" s="1022"/>
      <c r="Z90" s="1113"/>
      <c r="AA90" s="1022"/>
      <c r="AB90" s="1067"/>
      <c r="AC90" s="1107"/>
      <c r="AD90" s="1067">
        <f t="shared" si="97"/>
        <v>0</v>
      </c>
      <c r="AE90" s="1067">
        <f t="shared" si="98"/>
        <v>0</v>
      </c>
    </row>
    <row r="91" spans="2:31" ht="30" customHeight="1">
      <c r="C91" s="1076"/>
      <c r="D91" s="1077"/>
      <c r="E91" s="1078"/>
      <c r="F91" s="1079"/>
      <c r="G91" s="1074"/>
      <c r="H91" s="1022"/>
      <c r="I91" s="1022"/>
      <c r="J91" s="1022"/>
      <c r="K91" s="1022"/>
      <c r="L91" s="1022"/>
      <c r="M91" s="1022"/>
      <c r="N91" s="1022"/>
      <c r="O91" s="1022"/>
      <c r="P91" s="1022"/>
      <c r="Q91" s="1022"/>
      <c r="R91" s="1022"/>
      <c r="S91" s="1022"/>
      <c r="T91" s="1022"/>
      <c r="U91" s="1022"/>
      <c r="V91" s="1022"/>
      <c r="W91" s="1022"/>
      <c r="X91" s="1022"/>
      <c r="Y91" s="1022"/>
      <c r="Z91" s="1113"/>
      <c r="AA91" s="1022"/>
      <c r="AB91" s="1067"/>
      <c r="AC91" s="1107"/>
      <c r="AD91" s="1067">
        <f t="shared" si="97"/>
        <v>0</v>
      </c>
      <c r="AE91" s="1067">
        <f t="shared" si="98"/>
        <v>0</v>
      </c>
    </row>
    <row r="92" spans="2:31" ht="30" customHeight="1">
      <c r="C92" s="1076" t="s">
        <v>99</v>
      </c>
      <c r="D92" s="1077"/>
      <c r="E92" s="1078"/>
      <c r="F92" s="1079"/>
      <c r="G92" s="1074"/>
      <c r="H92" s="1022"/>
      <c r="I92" s="1022"/>
      <c r="J92" s="1022"/>
      <c r="K92" s="1022"/>
      <c r="L92" s="1022"/>
      <c r="M92" s="1022"/>
      <c r="N92" s="1022"/>
      <c r="O92" s="1022"/>
      <c r="P92" s="1022"/>
      <c r="Q92" s="1022"/>
      <c r="R92" s="1022"/>
      <c r="S92" s="1022"/>
      <c r="T92" s="1022"/>
      <c r="U92" s="1022"/>
      <c r="V92" s="1022"/>
      <c r="W92" s="1022"/>
      <c r="X92" s="1022"/>
      <c r="Y92" s="1022"/>
      <c r="Z92" s="1113"/>
      <c r="AA92" s="1022"/>
      <c r="AB92" s="1067"/>
      <c r="AC92" s="1107"/>
      <c r="AD92" s="1067">
        <f t="shared" si="97"/>
        <v>0</v>
      </c>
      <c r="AE92" s="1067">
        <f t="shared" si="98"/>
        <v>0</v>
      </c>
    </row>
    <row r="93" spans="2:31" ht="30" customHeight="1">
      <c r="B93" s="1018">
        <v>22</v>
      </c>
      <c r="C93" s="1114" t="str">
        <f>+distribucion!G82</f>
        <v>Ramos Pineda Alan Fernando</v>
      </c>
      <c r="D93" s="1071" t="str">
        <f>VLOOKUP(C93,distribucion!G$8:FP$152,2,0)</f>
        <v>Jefe de Logistica y Bodega</v>
      </c>
      <c r="E93" s="1314">
        <f t="shared" ref="E93" si="99">H93+L93+N93+O93</f>
        <v>5500</v>
      </c>
      <c r="F93" s="1073">
        <f>VLOOKUP(C93,distribucion!G58:M151,7,FALSE)</f>
        <v>30</v>
      </c>
      <c r="G93" s="1074"/>
      <c r="H93" s="1065">
        <f>ROUND((VLOOKUP(C93,distribucion!G$1:FP$152,130,0)),2)</f>
        <v>5500</v>
      </c>
      <c r="I93" s="1065">
        <f>ROUND((VLOOKUP(C93,distribucion!G$8:FO$152,131,0)),2)</f>
        <v>4500</v>
      </c>
      <c r="J93" s="1065">
        <f t="shared" ref="J93" si="100">H93+I93</f>
        <v>10000</v>
      </c>
      <c r="K93" s="1065">
        <f>VLOOKUP(C93,distribucion!G$8:FP$152,132,0)</f>
        <v>0</v>
      </c>
      <c r="L93" s="1065">
        <f>ROUND((VLOOKUP(C93,distribucion!G$8:FP$152,133,0)),2)</f>
        <v>0</v>
      </c>
      <c r="M93" s="1065">
        <f>VLOOKUP(C93,distribucion!G$8:FP$152,134,0)</f>
        <v>0</v>
      </c>
      <c r="N93" s="1065">
        <f>ROUND((VLOOKUP(C93,distribucion!G$8:FP$152,135,0)),2)</f>
        <v>0</v>
      </c>
      <c r="O93" s="1028">
        <v>0</v>
      </c>
      <c r="P93" s="1075">
        <f>+distribucion!DK82</f>
        <v>0</v>
      </c>
      <c r="Q93" s="1028">
        <f t="shared" ref="Q93" si="101">SUM(J93:P93)-K93-M93</f>
        <v>10000</v>
      </c>
      <c r="R93" s="1028">
        <f t="shared" ref="R93" si="102">ROUND(((H93+L93+N93+O93+P93)*0.0483),2)</f>
        <v>265.64999999999998</v>
      </c>
      <c r="S93" s="1028">
        <f>ROUND((VLOOKUP(C93,distribucion!G$8:FP$152,151,0)),2)</f>
        <v>199.22</v>
      </c>
      <c r="T93" s="1028">
        <f>ROUND((VLOOKUP(C93,distribucion!G$8:FP$152,152,0)),2)</f>
        <v>0</v>
      </c>
      <c r="U93" s="1028">
        <f>ROUND((VLOOKUP(C93,distribucion!G$8:FP$152,153,0)),2)</f>
        <v>0</v>
      </c>
      <c r="V93" s="1028">
        <f>ROUND((VLOOKUP(C93,distribucion!G58:FJ151,159,0)),2)</f>
        <v>0</v>
      </c>
      <c r="W93" s="1028">
        <f>ROUND((VLOOKUP(C93,distribucion!G58:FJ151,158,0)),2)</f>
        <v>0</v>
      </c>
      <c r="X93" s="1028">
        <f>ROUND((VLOOKUP(C93,distribucion!G58:FJ151,154,0)),2)</f>
        <v>0</v>
      </c>
      <c r="Y93" s="1028">
        <f>ROUND((VLOOKUP(C93,distribucion!G$8:FP$152,160,0)),2)</f>
        <v>0</v>
      </c>
      <c r="Z93" s="1067">
        <f t="shared" ref="Z93" si="103">SUM(R93:Y93)</f>
        <v>464.87</v>
      </c>
      <c r="AA93" s="1028">
        <f t="shared" ref="AA93" si="104">Q93-Z93</f>
        <v>9535.1299999999992</v>
      </c>
      <c r="AB93" s="1067">
        <v>5267.56</v>
      </c>
      <c r="AC93" s="1068">
        <f t="shared" ref="AC93:AC94" si="105">+AA93-AB93</f>
        <v>4267.5699999999988</v>
      </c>
      <c r="AD93" s="1067"/>
      <c r="AE93" s="1067"/>
    </row>
    <row r="94" spans="2:31" ht="30" customHeight="1">
      <c r="B94" s="1018">
        <v>23</v>
      </c>
      <c r="C94" s="1114" t="str">
        <f>+distribucion!G83</f>
        <v>Davila Morales Estiven Alexander</v>
      </c>
      <c r="D94" s="1071" t="str">
        <f>VLOOKUP(C94,distribucion!G$8:FP$152,2,0)</f>
        <v>Facturador</v>
      </c>
      <c r="E94" s="1314">
        <f t="shared" ref="E94" si="106">H94+L94+N94+O94</f>
        <v>4638.13</v>
      </c>
      <c r="F94" s="1073">
        <f>VLOOKUP(C94,distribucion!G59:M152,7,FALSE)</f>
        <v>30</v>
      </c>
      <c r="G94" s="1074"/>
      <c r="H94" s="1065">
        <f>ROUND((VLOOKUP(C94,distribucion!G$1:FP$152,130,0)),2)</f>
        <v>4100</v>
      </c>
      <c r="I94" s="1065">
        <f>ROUND((VLOOKUP(C94,distribucion!G$8:FO$152,131,0)),2)</f>
        <v>725</v>
      </c>
      <c r="J94" s="1065">
        <f t="shared" ref="J94" si="107">H94+I94</f>
        <v>4825</v>
      </c>
      <c r="K94" s="1065">
        <f>VLOOKUP(C94,distribucion!G$8:FP$152,132,0)</f>
        <v>21</v>
      </c>
      <c r="L94" s="1065">
        <f>ROUND((VLOOKUP(C94,distribucion!G$8:FP$152,133,0)),2)</f>
        <v>538.13</v>
      </c>
      <c r="M94" s="1065">
        <f>VLOOKUP(C94,distribucion!G$8:FP$152,134,0)</f>
        <v>0</v>
      </c>
      <c r="N94" s="1065">
        <f>ROUND((VLOOKUP(C94,distribucion!G$8:FP$152,135,0)),2)</f>
        <v>0</v>
      </c>
      <c r="O94" s="1028">
        <v>0</v>
      </c>
      <c r="P94" s="1075">
        <f>+distribucion!DK83</f>
        <v>0</v>
      </c>
      <c r="Q94" s="1028">
        <f t="shared" ref="Q94" si="108">SUM(J94:P94)-K94-M94</f>
        <v>5363.13</v>
      </c>
      <c r="R94" s="1028">
        <f t="shared" ref="R94" si="109">ROUND(((H94+L94+N94+O94+P94)*0.0483),2)</f>
        <v>224.02</v>
      </c>
      <c r="S94" s="1028">
        <f>ROUND((VLOOKUP(C94,distribucion!G$8:FP$152,151,0)),2)</f>
        <v>175</v>
      </c>
      <c r="T94" s="1028">
        <f>ROUND((VLOOKUP(C94,distribucion!G$8:FP$152,152,0)),2)</f>
        <v>0</v>
      </c>
      <c r="U94" s="1028">
        <f>ROUND((VLOOKUP(C94,distribucion!G$8:FP$152,153,0)),2)</f>
        <v>0</v>
      </c>
      <c r="V94" s="1028">
        <f>ROUND((VLOOKUP(C94,distribucion!G59:FJ152,159,0)),2)</f>
        <v>0</v>
      </c>
      <c r="W94" s="1028">
        <f>ROUND((VLOOKUP(C94,distribucion!G59:FJ152,158,0)),2)</f>
        <v>0</v>
      </c>
      <c r="X94" s="1028">
        <f>ROUND((VLOOKUP(C94,distribucion!G59:FJ152,154,0)),2)</f>
        <v>0</v>
      </c>
      <c r="Y94" s="1028">
        <f>ROUND((VLOOKUP(C94,distribucion!G$8:FP$152,160,0)),2)</f>
        <v>0</v>
      </c>
      <c r="Z94" s="1067">
        <f t="shared" ref="Z94" si="110">SUM(R94:Y94)</f>
        <v>399.02</v>
      </c>
      <c r="AA94" s="1028">
        <f t="shared" ref="AA94" si="111">Q94-Z94</f>
        <v>4964.1100000000006</v>
      </c>
      <c r="AB94" s="1067">
        <v>1992.98</v>
      </c>
      <c r="AC94" s="1068">
        <f t="shared" si="105"/>
        <v>2971.1300000000006</v>
      </c>
      <c r="AD94" s="1067">
        <f t="shared" si="97"/>
        <v>0</v>
      </c>
      <c r="AE94" s="1067">
        <f t="shared" si="98"/>
        <v>0</v>
      </c>
    </row>
    <row r="95" spans="2:31" ht="30" customHeight="1">
      <c r="C95" s="1076"/>
      <c r="D95" s="1077" t="s">
        <v>130</v>
      </c>
      <c r="E95" s="1078"/>
      <c r="F95" s="1079"/>
      <c r="G95" s="1074"/>
      <c r="H95" s="1088">
        <f>SUM(H93:H94)</f>
        <v>9600</v>
      </c>
      <c r="I95" s="1088">
        <f>SUM(I93:I94)</f>
        <v>5225</v>
      </c>
      <c r="J95" s="1088">
        <f t="shared" ref="J95:AB95" si="112">SUM(J93:J94)</f>
        <v>14825</v>
      </c>
      <c r="K95" s="1088">
        <f t="shared" si="112"/>
        <v>21</v>
      </c>
      <c r="L95" s="1088">
        <f t="shared" si="112"/>
        <v>538.13</v>
      </c>
      <c r="M95" s="1088">
        <f t="shared" si="112"/>
        <v>0</v>
      </c>
      <c r="N95" s="1088">
        <f t="shared" si="112"/>
        <v>0</v>
      </c>
      <c r="O95" s="1088">
        <f t="shared" si="112"/>
        <v>0</v>
      </c>
      <c r="P95" s="1088">
        <f t="shared" si="112"/>
        <v>0</v>
      </c>
      <c r="Q95" s="1088">
        <f t="shared" si="112"/>
        <v>15363.130000000001</v>
      </c>
      <c r="R95" s="1088">
        <f t="shared" si="112"/>
        <v>489.66999999999996</v>
      </c>
      <c r="S95" s="1088">
        <f t="shared" si="112"/>
        <v>374.22</v>
      </c>
      <c r="T95" s="1088">
        <f t="shared" si="112"/>
        <v>0</v>
      </c>
      <c r="U95" s="1088">
        <f t="shared" si="112"/>
        <v>0</v>
      </c>
      <c r="V95" s="1088">
        <f t="shared" si="112"/>
        <v>0</v>
      </c>
      <c r="W95" s="1088">
        <f t="shared" si="112"/>
        <v>0</v>
      </c>
      <c r="X95" s="1088">
        <f t="shared" si="112"/>
        <v>0</v>
      </c>
      <c r="Y95" s="1088">
        <f t="shared" si="112"/>
        <v>0</v>
      </c>
      <c r="Z95" s="1088">
        <f t="shared" si="112"/>
        <v>863.89</v>
      </c>
      <c r="AA95" s="1088">
        <f>SUM(AA93:AA94)</f>
        <v>14499.24</v>
      </c>
      <c r="AB95" s="1115">
        <f t="shared" si="112"/>
        <v>7260.5400000000009</v>
      </c>
      <c r="AC95" s="1115">
        <f>SUM(AC93:AC94)</f>
        <v>7238.6999999999989</v>
      </c>
      <c r="AD95" s="1067">
        <f t="shared" si="97"/>
        <v>0</v>
      </c>
      <c r="AE95" s="1067">
        <f t="shared" si="98"/>
        <v>0</v>
      </c>
    </row>
    <row r="96" spans="2:31" s="1125" customFormat="1" ht="30" customHeight="1">
      <c r="B96" s="1110"/>
      <c r="C96" s="1116" t="s">
        <v>658</v>
      </c>
      <c r="D96" s="1117"/>
      <c r="E96" s="1118"/>
      <c r="F96" s="1119"/>
      <c r="G96" s="1120"/>
      <c r="H96" s="1121"/>
      <c r="I96" s="1121"/>
      <c r="J96" s="1121"/>
      <c r="K96" s="1121"/>
      <c r="L96" s="1121"/>
      <c r="M96" s="1121"/>
      <c r="N96" s="1121"/>
      <c r="O96" s="1121"/>
      <c r="P96" s="1121"/>
      <c r="Q96" s="1121"/>
      <c r="R96" s="1121"/>
      <c r="S96" s="1121"/>
      <c r="T96" s="1121"/>
      <c r="U96" s="1121"/>
      <c r="V96" s="1121"/>
      <c r="W96" s="1121"/>
      <c r="X96" s="1121"/>
      <c r="Y96" s="1121"/>
      <c r="Z96" s="1122"/>
      <c r="AA96" s="1121"/>
      <c r="AB96" s="1123"/>
      <c r="AC96" s="1124"/>
      <c r="AD96" s="1067">
        <f t="shared" si="97"/>
        <v>0</v>
      </c>
      <c r="AE96" s="1067">
        <f t="shared" si="98"/>
        <v>0</v>
      </c>
    </row>
    <row r="97" spans="2:31" ht="30" customHeight="1">
      <c r="C97" s="1114"/>
      <c r="D97" s="1071"/>
      <c r="E97" s="1078"/>
      <c r="F97" s="1073"/>
      <c r="G97" s="1074"/>
      <c r="H97" s="1065"/>
      <c r="I97" s="1065"/>
      <c r="J97" s="1065"/>
      <c r="K97" s="1065"/>
      <c r="L97" s="1065"/>
      <c r="M97" s="1065"/>
      <c r="N97" s="1065"/>
      <c r="O97" s="1028"/>
      <c r="P97" s="1075"/>
      <c r="Q97" s="1028"/>
      <c r="R97" s="1028"/>
      <c r="S97" s="1028"/>
      <c r="T97" s="1028"/>
      <c r="U97" s="1028"/>
      <c r="V97" s="1028"/>
      <c r="W97" s="1028"/>
      <c r="X97" s="1028"/>
      <c r="Y97" s="1028"/>
      <c r="Z97" s="1067"/>
      <c r="AA97" s="1028"/>
      <c r="AB97" s="1067"/>
      <c r="AC97" s="1068"/>
      <c r="AD97" s="1067">
        <f t="shared" si="97"/>
        <v>0</v>
      </c>
      <c r="AE97" s="1067">
        <f t="shared" si="98"/>
        <v>0</v>
      </c>
    </row>
    <row r="98" spans="2:31" ht="30" customHeight="1">
      <c r="B98" s="1018">
        <v>24</v>
      </c>
      <c r="C98" s="1114" t="s">
        <v>425</v>
      </c>
      <c r="D98" s="1071" t="str">
        <f>VLOOKUP(C98,distribucion!G$8:FP$152,2,0)</f>
        <v>Operador de montacargas</v>
      </c>
      <c r="E98" s="1314">
        <f t="shared" ref="E98:E101" si="113">H98+L98+N98+O98</f>
        <v>4528.13</v>
      </c>
      <c r="F98" s="1073">
        <f>VLOOKUP(C98,distribucion!G60:M152,7,FALSE)</f>
        <v>30</v>
      </c>
      <c r="G98" s="1074"/>
      <c r="H98" s="1065">
        <f>ROUND((VLOOKUP(C98,distribucion!G$1:FP$152,130,0)),2)</f>
        <v>4500</v>
      </c>
      <c r="I98" s="1065">
        <f>ROUND((VLOOKUP(C98,distribucion!G$8:FO$152,131,0)),2)</f>
        <v>2840</v>
      </c>
      <c r="J98" s="1065">
        <f t="shared" ref="J98:J101" si="114">H98+I98</f>
        <v>7340</v>
      </c>
      <c r="K98" s="1065">
        <f>VLOOKUP(C98,distribucion!G$8:FP$152,132,0)</f>
        <v>1</v>
      </c>
      <c r="L98" s="1065">
        <f>ROUND((VLOOKUP(C98,distribucion!G$8:FP$152,133,0)),2)</f>
        <v>28.13</v>
      </c>
      <c r="M98" s="1065">
        <f>VLOOKUP(C98,distribucion!G$8:FP$152,134,0)</f>
        <v>0</v>
      </c>
      <c r="N98" s="1065">
        <f>ROUND((VLOOKUP(C98,distribucion!G$8:FP$152,135,0)),2)</f>
        <v>0</v>
      </c>
      <c r="O98" s="1028">
        <v>0</v>
      </c>
      <c r="P98" s="1075">
        <f>+distribucion!DK89</f>
        <v>0</v>
      </c>
      <c r="Q98" s="1028">
        <f t="shared" ref="Q98:Q101" si="115">SUM(J98:P98)-K98-M98</f>
        <v>7368.13</v>
      </c>
      <c r="R98" s="1028">
        <f t="shared" ref="R98:R101" si="116">ROUND(((H98+L98+N98+O98+P98)*0.0483),2)</f>
        <v>218.71</v>
      </c>
      <c r="S98" s="1028">
        <f>ROUND((VLOOKUP(C98,distribucion!G$8:FP$152,151,0)),2)</f>
        <v>282</v>
      </c>
      <c r="T98" s="1065">
        <f>ROUND((VLOOKUP(C98,distribucion!G$8:FP$152,152,0)),2)</f>
        <v>0</v>
      </c>
      <c r="U98" s="1028">
        <f>ROUND((VLOOKUP(C98,distribucion!G$8:FP$152,153,0)),2)</f>
        <v>0</v>
      </c>
      <c r="V98" s="1028">
        <f>ROUND((VLOOKUP(C98,distribucion!G60:FJ152,159,0)),2)</f>
        <v>0</v>
      </c>
      <c r="W98" s="1028">
        <f>ROUND((VLOOKUP(C98,distribucion!G60:FJ152,158,0)),2)</f>
        <v>0</v>
      </c>
      <c r="X98" s="1028">
        <f>ROUND((VLOOKUP(C98,distribucion!G60:FJ152,154,0)),2)</f>
        <v>0</v>
      </c>
      <c r="Y98" s="1028">
        <f>ROUND((VLOOKUP(C98,distribucion!G$8:FP$152,160,0)),2)</f>
        <v>0</v>
      </c>
      <c r="Z98" s="1067">
        <f t="shared" ref="Z98:Z101" si="117">SUM(R98:Y98)</f>
        <v>500.71000000000004</v>
      </c>
      <c r="AA98" s="1028">
        <f t="shared" ref="AA98:AA101" si="118">Q98-Z98</f>
        <v>6867.42</v>
      </c>
      <c r="AB98" s="1067">
        <v>2183.3200000000002</v>
      </c>
      <c r="AC98" s="1068">
        <f t="shared" ref="AC98:AC101" si="119">+AA98-AB98</f>
        <v>4684.1000000000004</v>
      </c>
      <c r="AD98" s="1067">
        <f t="shared" si="97"/>
        <v>0</v>
      </c>
      <c r="AE98" s="1067">
        <f t="shared" si="98"/>
        <v>0</v>
      </c>
    </row>
    <row r="99" spans="2:31" ht="30" customHeight="1">
      <c r="B99" s="1018">
        <v>25</v>
      </c>
      <c r="C99" s="1114" t="str">
        <f>+distribucion!G89</f>
        <v>Gonzalez Perez Alexis Damian</v>
      </c>
      <c r="D99" s="1071" t="str">
        <f>VLOOKUP(C99,distribucion!G$8:FP$152,2,0)</f>
        <v>Auxiliar de Bodega</v>
      </c>
      <c r="E99" s="1314">
        <f t="shared" ref="E99" si="120">H99+L99+N99+O99</f>
        <v>4202.3900000000003</v>
      </c>
      <c r="F99" s="1073">
        <f>VLOOKUP(C99,distribucion!G61:M153,7,FALSE)</f>
        <v>30</v>
      </c>
      <c r="G99" s="1074"/>
      <c r="H99" s="1065">
        <f>ROUND((VLOOKUP(C99,distribucion!G$1:FP$152,130,0)),2)</f>
        <v>4002.28</v>
      </c>
      <c r="I99" s="1065">
        <f>ROUND((VLOOKUP(C99,distribucion!G$8:FO$152,131,0)),2)</f>
        <v>422.49</v>
      </c>
      <c r="J99" s="1065">
        <f t="shared" ref="J99" si="121">H99+I99</f>
        <v>4424.7700000000004</v>
      </c>
      <c r="K99" s="1065">
        <f>VLOOKUP(C99,distribucion!G$8:FP$152,132,0)</f>
        <v>8</v>
      </c>
      <c r="L99" s="1065">
        <f>ROUND((VLOOKUP(C99,distribucion!G$8:FP$152,133,0)),2)</f>
        <v>200.11</v>
      </c>
      <c r="M99" s="1065">
        <f>VLOOKUP(C99,distribucion!G$8:FP$152,134,0)</f>
        <v>0</v>
      </c>
      <c r="N99" s="1065">
        <f>ROUND((VLOOKUP(C99,distribucion!G$8:FP$152,135,0)),2)</f>
        <v>0</v>
      </c>
      <c r="O99" s="1028">
        <v>0</v>
      </c>
      <c r="P99" s="1075">
        <f>+distribucion!DK90</f>
        <v>0</v>
      </c>
      <c r="Q99" s="1028">
        <f t="shared" ref="Q99" si="122">SUM(J99:P99)-K99-M99</f>
        <v>4624.88</v>
      </c>
      <c r="R99" s="1028">
        <f t="shared" ref="R99" si="123">ROUND(((H99+L99+N99+O99+P99)*0.0483),2)</f>
        <v>202.98</v>
      </c>
      <c r="S99" s="1028">
        <f>ROUND((VLOOKUP(C99,distribucion!G$8:FP$152,151,0)),2)</f>
        <v>0</v>
      </c>
      <c r="T99" s="1065">
        <f>ROUND((VLOOKUP(C99,distribucion!G$8:FP$152,152,0)),2)</f>
        <v>0</v>
      </c>
      <c r="U99" s="1028">
        <f>ROUND((VLOOKUP(C99,distribucion!G$8:FP$152,153,0)),2)</f>
        <v>0</v>
      </c>
      <c r="V99" s="1028">
        <f>ROUND((VLOOKUP(C99,distribucion!G61:FJ153,159,0)),2)</f>
        <v>0</v>
      </c>
      <c r="W99" s="1028">
        <f>ROUND((VLOOKUP(C99,distribucion!G61:FJ153,158,0)),2)</f>
        <v>0</v>
      </c>
      <c r="X99" s="1028">
        <f>ROUND((VLOOKUP(C99,distribucion!G61:FJ153,154,0)),2)</f>
        <v>512</v>
      </c>
      <c r="Y99" s="1028">
        <f>ROUND((VLOOKUP(C99,distribucion!G$8:FP$152,160,0)),2)</f>
        <v>234</v>
      </c>
      <c r="Z99" s="1067">
        <f t="shared" ref="Z99" si="124">SUM(R99:Y99)</f>
        <v>948.98</v>
      </c>
      <c r="AA99" s="1028">
        <f t="shared" ref="AA99" si="125">Q99-Z99</f>
        <v>3675.9</v>
      </c>
      <c r="AB99" s="1067">
        <v>1812.9800000000005</v>
      </c>
      <c r="AC99" s="1068">
        <f t="shared" si="119"/>
        <v>1862.9199999999996</v>
      </c>
      <c r="AD99" s="1067"/>
      <c r="AE99" s="1067"/>
    </row>
    <row r="100" spans="2:31" ht="30" customHeight="1">
      <c r="B100" s="1018">
        <v>26</v>
      </c>
      <c r="C100" s="1114" t="str">
        <f>+distribucion!G88</f>
        <v>Quevedo Turcios Julio Cesar</v>
      </c>
      <c r="D100" s="1071" t="str">
        <f>VLOOKUP(C100,distribucion!G$8:FP$152,2,0)</f>
        <v>Auxiliar de Bodega</v>
      </c>
      <c r="E100" s="1314">
        <f t="shared" ref="E100" si="126">H100+L100+N100+O100</f>
        <v>4027.2900000000004</v>
      </c>
      <c r="F100" s="1073">
        <f>VLOOKUP(C100,distribucion!G62:M154,7,FALSE)</f>
        <v>30</v>
      </c>
      <c r="G100" s="1074"/>
      <c r="H100" s="1065">
        <f>ROUND((VLOOKUP(C100,distribucion!G$1:FP$152,130,0)),2)</f>
        <v>4002.28</v>
      </c>
      <c r="I100" s="1065">
        <f>ROUND((VLOOKUP(C100,distribucion!G$8:FO$152,131,0)),2)</f>
        <v>432.49</v>
      </c>
      <c r="J100" s="1065">
        <f t="shared" ref="J100" si="127">H100+I100</f>
        <v>4434.7700000000004</v>
      </c>
      <c r="K100" s="1065">
        <f>VLOOKUP(C100,distribucion!G$8:FP$152,132,0)</f>
        <v>1</v>
      </c>
      <c r="L100" s="1065">
        <f>ROUND((VLOOKUP(C100,distribucion!G$8:FP$152,133,0)),2)</f>
        <v>25.01</v>
      </c>
      <c r="M100" s="1065">
        <f>VLOOKUP(C100,distribucion!G$8:FP$152,134,0)</f>
        <v>0</v>
      </c>
      <c r="N100" s="1065">
        <f>ROUND((VLOOKUP(C100,distribucion!G$8:FP$152,135,0)),2)</f>
        <v>0</v>
      </c>
      <c r="O100" s="1028">
        <v>0</v>
      </c>
      <c r="P100" s="1075">
        <f>+distribucion!DK91</f>
        <v>0</v>
      </c>
      <c r="Q100" s="1028">
        <f t="shared" ref="Q100" si="128">SUM(J100:P100)-K100-M100</f>
        <v>4459.7800000000007</v>
      </c>
      <c r="R100" s="1028">
        <f t="shared" ref="R100" si="129">ROUND(((H100+L100+N100+O100+P100)*0.0483),2)</f>
        <v>194.52</v>
      </c>
      <c r="S100" s="1028">
        <f>ROUND((VLOOKUP(C100,distribucion!G$8:FP$152,151,0)),2)</f>
        <v>0</v>
      </c>
      <c r="T100" s="1065">
        <f>ROUND((VLOOKUP(C100,distribucion!G$8:FP$152,152,0)),2)</f>
        <v>0</v>
      </c>
      <c r="U100" s="1028">
        <f>ROUND((VLOOKUP(C100,distribucion!G$8:FP$152,153,0)),2)</f>
        <v>0</v>
      </c>
      <c r="V100" s="1028">
        <f>ROUND((VLOOKUP(C100,distribucion!G62:FJ154,159,0)),2)</f>
        <v>0</v>
      </c>
      <c r="W100" s="1028">
        <f>ROUND((VLOOKUP(C100,distribucion!G62:FJ154,158,0)),2)</f>
        <v>0</v>
      </c>
      <c r="X100" s="1028">
        <f>ROUND((VLOOKUP(C100,distribucion!G62:FJ154,154,0)),2)</f>
        <v>39.5</v>
      </c>
      <c r="Y100" s="1028">
        <f>ROUND((VLOOKUP(C100,distribucion!G$8:FP$152,160,0)),2)</f>
        <v>0</v>
      </c>
      <c r="Z100" s="1067">
        <f t="shared" ref="Z100" si="130">SUM(R100:Y100)</f>
        <v>234.02</v>
      </c>
      <c r="AA100" s="1028">
        <f t="shared" ref="AA100" si="131">Q100-Z100</f>
        <v>4225.76</v>
      </c>
      <c r="AB100" s="1067">
        <v>1989.9800000000002</v>
      </c>
      <c r="AC100" s="1068">
        <f t="shared" si="119"/>
        <v>2235.7799999999997</v>
      </c>
      <c r="AD100" s="1067"/>
      <c r="AE100" s="1067"/>
    </row>
    <row r="101" spans="2:31" ht="30" customHeight="1">
      <c r="B101" s="1018">
        <v>27</v>
      </c>
      <c r="C101" s="1114" t="s">
        <v>608</v>
      </c>
      <c r="D101" s="1071" t="str">
        <f>VLOOKUP(C101,distribucion!G$8:FP$152,2,0)</f>
        <v>Encargado de Bodega MP</v>
      </c>
      <c r="E101" s="1314">
        <f t="shared" si="113"/>
        <v>4584.38</v>
      </c>
      <c r="F101" s="1073">
        <f>VLOOKUP(C101,distribucion!G61:M152,7,FALSE)</f>
        <v>30</v>
      </c>
      <c r="G101" s="1074"/>
      <c r="H101" s="1065">
        <f>ROUND((VLOOKUP(C101,distribucion!G$1:FP$152,130,0)),2)</f>
        <v>4500</v>
      </c>
      <c r="I101" s="1065">
        <f>ROUND((VLOOKUP(C101,distribucion!G$8:FO$152,131,0)),2)</f>
        <v>962.28</v>
      </c>
      <c r="J101" s="1065">
        <f t="shared" si="114"/>
        <v>5462.28</v>
      </c>
      <c r="K101" s="1065">
        <f>VLOOKUP(C101,distribucion!G$8:FP$152,132,0)</f>
        <v>3</v>
      </c>
      <c r="L101" s="1065">
        <f>ROUND((VLOOKUP(C101,distribucion!G$8:FP$152,133,0)),2)</f>
        <v>84.38</v>
      </c>
      <c r="M101" s="1065">
        <f>VLOOKUP(C101,distribucion!G$8:FP$152,134,0)</f>
        <v>0</v>
      </c>
      <c r="N101" s="1065">
        <f>ROUND((VLOOKUP(C101,distribucion!G$8:FP$152,135,0)),2)</f>
        <v>0</v>
      </c>
      <c r="O101" s="1028">
        <v>0</v>
      </c>
      <c r="P101" s="1075">
        <f>+distribucion!DK90</f>
        <v>0</v>
      </c>
      <c r="Q101" s="1028">
        <f t="shared" si="115"/>
        <v>5546.66</v>
      </c>
      <c r="R101" s="1028">
        <f t="shared" si="116"/>
        <v>221.43</v>
      </c>
      <c r="S101" s="1028">
        <f>ROUND((VLOOKUP(C101,distribucion!G$8:FP$152,151,0)),2)</f>
        <v>210</v>
      </c>
      <c r="T101" s="1065">
        <f>ROUND((VLOOKUP(C101,distribucion!G$8:FP$152,152,0)),2)</f>
        <v>0</v>
      </c>
      <c r="U101" s="1028">
        <f>ROUND((VLOOKUP(C101,distribucion!G$8:FP$152,153,0)),2)</f>
        <v>325</v>
      </c>
      <c r="V101" s="1028">
        <f>ROUND((VLOOKUP(C101,distribucion!G61:FJ152,159,0)),2)</f>
        <v>0</v>
      </c>
      <c r="W101" s="1028">
        <f>ROUND((VLOOKUP(C101,distribucion!G61:FJ152,158,0)),2)</f>
        <v>0</v>
      </c>
      <c r="X101" s="1028">
        <f>ROUND((VLOOKUP(C101,distribucion!G61:FJ152,154,0)),2)</f>
        <v>455</v>
      </c>
      <c r="Y101" s="1028">
        <f>ROUND((VLOOKUP(C101,distribucion!G$8:FP$152,160,0)),2)</f>
        <v>0</v>
      </c>
      <c r="Z101" s="1067">
        <f t="shared" si="117"/>
        <v>1211.43</v>
      </c>
      <c r="AA101" s="1028">
        <f t="shared" si="118"/>
        <v>4335.2299999999996</v>
      </c>
      <c r="AB101" s="1067">
        <v>2086.96</v>
      </c>
      <c r="AC101" s="1068">
        <f t="shared" si="119"/>
        <v>2248.2699999999995</v>
      </c>
      <c r="AD101" s="1067">
        <f t="shared" si="97"/>
        <v>0</v>
      </c>
      <c r="AE101" s="1067">
        <f t="shared" si="98"/>
        <v>0</v>
      </c>
    </row>
    <row r="102" spans="2:31" ht="30" customHeight="1">
      <c r="C102" s="1114"/>
      <c r="D102" s="1071"/>
      <c r="E102" s="1072"/>
      <c r="F102" s="1073"/>
      <c r="G102" s="1074"/>
      <c r="H102" s="1065"/>
      <c r="I102" s="1065"/>
      <c r="J102" s="1065"/>
      <c r="K102" s="1065"/>
      <c r="L102" s="1065"/>
      <c r="M102" s="1065"/>
      <c r="N102" s="1065"/>
      <c r="O102" s="1028"/>
      <c r="P102" s="1075"/>
      <c r="Q102" s="1028"/>
      <c r="R102" s="1028"/>
      <c r="S102" s="1028"/>
      <c r="T102" s="1065"/>
      <c r="U102" s="1028"/>
      <c r="V102" s="1028"/>
      <c r="W102" s="1028"/>
      <c r="X102" s="1028"/>
      <c r="Y102" s="1028"/>
      <c r="Z102" s="1067"/>
      <c r="AA102" s="1028"/>
      <c r="AB102" s="1067"/>
      <c r="AC102" s="1068"/>
      <c r="AD102" s="1067"/>
      <c r="AE102" s="1067"/>
    </row>
    <row r="103" spans="2:31" ht="30" customHeight="1">
      <c r="C103" s="1076"/>
      <c r="D103" s="1077" t="s">
        <v>130</v>
      </c>
      <c r="E103" s="1078"/>
      <c r="F103" s="1079"/>
      <c r="G103" s="1074"/>
      <c r="H103" s="1088">
        <f t="shared" ref="H103:AC103" si="132">SUM(H97:H102)</f>
        <v>17004.560000000001</v>
      </c>
      <c r="I103" s="1088">
        <f t="shared" si="132"/>
        <v>4657.2599999999993</v>
      </c>
      <c r="J103" s="1088">
        <f t="shared" si="132"/>
        <v>21661.82</v>
      </c>
      <c r="K103" s="1088">
        <f t="shared" si="132"/>
        <v>13</v>
      </c>
      <c r="L103" s="1088">
        <f t="shared" si="132"/>
        <v>337.63</v>
      </c>
      <c r="M103" s="1088">
        <f t="shared" si="132"/>
        <v>0</v>
      </c>
      <c r="N103" s="1088">
        <f t="shared" si="132"/>
        <v>0</v>
      </c>
      <c r="O103" s="1088">
        <f t="shared" si="132"/>
        <v>0</v>
      </c>
      <c r="P103" s="1088">
        <f t="shared" si="132"/>
        <v>0</v>
      </c>
      <c r="Q103" s="1088">
        <f t="shared" si="132"/>
        <v>21999.45</v>
      </c>
      <c r="R103" s="1088">
        <f t="shared" si="132"/>
        <v>837.6400000000001</v>
      </c>
      <c r="S103" s="1088">
        <f t="shared" si="132"/>
        <v>492</v>
      </c>
      <c r="T103" s="1088">
        <f t="shared" si="132"/>
        <v>0</v>
      </c>
      <c r="U103" s="1088">
        <f t="shared" si="132"/>
        <v>325</v>
      </c>
      <c r="V103" s="1088">
        <f t="shared" si="132"/>
        <v>0</v>
      </c>
      <c r="W103" s="1088">
        <f t="shared" si="132"/>
        <v>0</v>
      </c>
      <c r="X103" s="1088">
        <f t="shared" si="132"/>
        <v>1006.5</v>
      </c>
      <c r="Y103" s="1088">
        <f t="shared" si="132"/>
        <v>234</v>
      </c>
      <c r="Z103" s="1088">
        <f t="shared" si="132"/>
        <v>2895.1400000000003</v>
      </c>
      <c r="AA103" s="1088">
        <f t="shared" si="132"/>
        <v>19104.309999999998</v>
      </c>
      <c r="AB103" s="1088">
        <f t="shared" si="132"/>
        <v>8073.2400000000007</v>
      </c>
      <c r="AC103" s="1088">
        <f t="shared" si="132"/>
        <v>11031.07</v>
      </c>
      <c r="AD103" s="1067">
        <f t="shared" si="97"/>
        <v>0</v>
      </c>
      <c r="AE103" s="1067">
        <f t="shared" si="98"/>
        <v>0</v>
      </c>
    </row>
    <row r="104" spans="2:31" ht="30" customHeight="1">
      <c r="C104" s="1116" t="s">
        <v>659</v>
      </c>
      <c r="D104" s="1077"/>
      <c r="E104" s="1078"/>
      <c r="F104" s="1079"/>
      <c r="G104" s="1074"/>
      <c r="H104" s="1022"/>
      <c r="I104" s="1022"/>
      <c r="J104" s="1022"/>
      <c r="K104" s="1022"/>
      <c r="L104" s="1022"/>
      <c r="M104" s="1022"/>
      <c r="N104" s="1022"/>
      <c r="O104" s="1022"/>
      <c r="P104" s="1022"/>
      <c r="Q104" s="1022"/>
      <c r="R104" s="1022"/>
      <c r="S104" s="1022"/>
      <c r="T104" s="1022"/>
      <c r="U104" s="1022"/>
      <c r="V104" s="1022"/>
      <c r="W104" s="1022"/>
      <c r="X104" s="1022"/>
      <c r="Y104" s="1022"/>
      <c r="Z104" s="1113"/>
      <c r="AA104" s="1022"/>
      <c r="AB104" s="1067"/>
      <c r="AC104" s="1107"/>
      <c r="AD104" s="1067">
        <f t="shared" si="97"/>
        <v>0</v>
      </c>
      <c r="AE104" s="1067">
        <f t="shared" si="98"/>
        <v>0</v>
      </c>
    </row>
    <row r="105" spans="2:31" ht="30" customHeight="1">
      <c r="C105" s="1114"/>
      <c r="D105" s="1092"/>
      <c r="E105" s="1093"/>
      <c r="F105" s="1073"/>
      <c r="G105" s="1095"/>
      <c r="H105" s="1065"/>
      <c r="I105" s="1065"/>
      <c r="J105" s="1065"/>
      <c r="K105" s="1065"/>
      <c r="L105" s="1065"/>
      <c r="M105" s="1065"/>
      <c r="N105" s="1065"/>
      <c r="O105" s="1028"/>
      <c r="P105" s="1075"/>
      <c r="Q105" s="1075"/>
      <c r="R105" s="1075"/>
      <c r="S105" s="1075"/>
      <c r="T105" s="1065"/>
      <c r="U105" s="1075"/>
      <c r="V105" s="1075"/>
      <c r="W105" s="1075"/>
      <c r="X105" s="1075"/>
      <c r="Y105" s="1075"/>
      <c r="Z105" s="1096"/>
      <c r="AA105" s="1075"/>
      <c r="AB105" s="1067"/>
      <c r="AC105" s="1068"/>
      <c r="AD105" s="1067">
        <f t="shared" si="97"/>
        <v>0</v>
      </c>
      <c r="AE105" s="1067">
        <f t="shared" si="98"/>
        <v>0</v>
      </c>
    </row>
    <row r="106" spans="2:31" ht="30" customHeight="1">
      <c r="B106" s="1018">
        <v>28</v>
      </c>
      <c r="C106" s="1114" t="str">
        <f>+distribucion!G95</f>
        <v>Lajon Puac Osmen Gudiel</v>
      </c>
      <c r="D106" s="1092" t="str">
        <f>VLOOKUP(C106,distribucion!G$8:FP$152,2,0)</f>
        <v>Operador de Montacargas</v>
      </c>
      <c r="E106" s="1316">
        <f>H106+L106+N106+O106</f>
        <v>4701.5600000000004</v>
      </c>
      <c r="F106" s="1073">
        <f>VLOOKUP(C106,distribucion!G60:M153,7,FALSE)</f>
        <v>30</v>
      </c>
      <c r="G106" s="1095">
        <f>VLOOKUP(C106,distribucion!$G$8:$DV$152,14,0)</f>
        <v>0</v>
      </c>
      <c r="H106" s="1065">
        <f>ROUND((VLOOKUP(C106,distribucion!G$1:FP$152,130,0)),2)</f>
        <v>4250</v>
      </c>
      <c r="I106" s="1065">
        <f>ROUND((VLOOKUP(C106,distribucion!G$8:FO$152,131,0)),2)</f>
        <v>830</v>
      </c>
      <c r="J106" s="1065">
        <f t="shared" ref="J106" si="133">H106+I106</f>
        <v>5080</v>
      </c>
      <c r="K106" s="1065">
        <f>VLOOKUP(C106,distribucion!G$8:FP$152,132,0)</f>
        <v>17</v>
      </c>
      <c r="L106" s="1065">
        <f>ROUND((VLOOKUP(C106,distribucion!G$8:FP$152,133,0)),2)</f>
        <v>451.56</v>
      </c>
      <c r="M106" s="1065">
        <f>VLOOKUP(C106,distribucion!G$8:FP$152,134,0)</f>
        <v>0</v>
      </c>
      <c r="N106" s="1065">
        <f>ROUND((VLOOKUP(C106,distribucion!G$8:FP$152,135,0)),2)</f>
        <v>0</v>
      </c>
      <c r="O106" s="1028">
        <v>0</v>
      </c>
      <c r="P106" s="1075">
        <f>ROUND((VLOOKUP(C106,distribucion!G$8:FP$152,36,0)),2)</f>
        <v>0</v>
      </c>
      <c r="Q106" s="1075">
        <f>SUM(J106:P106)-K106-M106</f>
        <v>5531.56</v>
      </c>
      <c r="R106" s="1075">
        <f>ROUND(((H106+L106+N106+O106+P106)*0.0483),2)</f>
        <v>227.09</v>
      </c>
      <c r="S106" s="1075">
        <f>ROUND((VLOOKUP(C106,distribucion!G$8:FP$152,151,0)),2)</f>
        <v>176</v>
      </c>
      <c r="T106" s="1065">
        <f>ROUND((VLOOKUP(C106,distribucion!G$8:FP$152,152,0)),2)</f>
        <v>0</v>
      </c>
      <c r="U106" s="1075">
        <f>ROUND((VLOOKUP(C106,distribucion!G$8:FP$152,153,0)),2)</f>
        <v>0</v>
      </c>
      <c r="V106" s="1075">
        <f>ROUND((VLOOKUP(C106,distribucion!$G$1:$FJ$152,159,0)),2)</f>
        <v>0</v>
      </c>
      <c r="W106" s="1075">
        <f>ROUND((VLOOKUP(C106,distribucion!$G$1:$FJ$152,158,0)),2)</f>
        <v>0</v>
      </c>
      <c r="X106" s="1075">
        <f>ROUND((VLOOKUP(C106,distribucion!$G$1:$FJ$152,154,0)),2)</f>
        <v>403.25</v>
      </c>
      <c r="Y106" s="1075">
        <f>ROUND((VLOOKUP(C106,distribucion!G$8:FP$152,160,0)),2)</f>
        <v>0</v>
      </c>
      <c r="Z106" s="1096">
        <f>SUM(R106:Y106)</f>
        <v>806.34</v>
      </c>
      <c r="AA106" s="1075">
        <f>Q106-Z106</f>
        <v>4725.22</v>
      </c>
      <c r="AB106" s="1067">
        <v>1943.3600000000001</v>
      </c>
      <c r="AC106" s="1068">
        <f t="shared" ref="AC106:AC109" si="134">+AA106-AB106</f>
        <v>2781.86</v>
      </c>
      <c r="AD106" s="1067">
        <f t="shared" si="97"/>
        <v>0</v>
      </c>
      <c r="AE106" s="1067">
        <f t="shared" si="98"/>
        <v>0</v>
      </c>
    </row>
    <row r="107" spans="2:31" ht="30" customHeight="1">
      <c r="B107" s="1018">
        <v>29</v>
      </c>
      <c r="C107" s="1114" t="str">
        <f>+distribucion!G94</f>
        <v>Lopez Oxcal Kevin Jesus</v>
      </c>
      <c r="D107" s="1092" t="str">
        <f>VLOOKUP(C107,distribucion!G$8:FP$152,2,0)</f>
        <v>Auxiliar de Bodega</v>
      </c>
      <c r="E107" s="1316">
        <f>H107+L107+N107+O107</f>
        <v>2668.19</v>
      </c>
      <c r="F107" s="1073">
        <f>VLOOKUP(C107,distribucion!G61:M154,7,FALSE)</f>
        <v>20</v>
      </c>
      <c r="G107" s="1095" t="str">
        <f>VLOOKUP(C107,distribucion!$G$8:$DV$152,14,0)</f>
        <v>A.11.5.26</v>
      </c>
      <c r="H107" s="1065">
        <f>ROUND((VLOOKUP(C107,distribucion!G$1:FP$152,130,0)),2)</f>
        <v>2668.19</v>
      </c>
      <c r="I107" s="1065">
        <f>ROUND((VLOOKUP(C107,distribucion!G$8:FO$152,131,0)),2)</f>
        <v>166.67</v>
      </c>
      <c r="J107" s="1065">
        <f t="shared" ref="J107" si="135">H107+I107</f>
        <v>2834.86</v>
      </c>
      <c r="K107" s="1065">
        <f>VLOOKUP(C107,distribucion!G$8:FP$152,132,0)</f>
        <v>0</v>
      </c>
      <c r="L107" s="1065">
        <f>ROUND((VLOOKUP(C107,distribucion!G$8:FP$152,133,0)),2)</f>
        <v>0</v>
      </c>
      <c r="M107" s="1065">
        <f>VLOOKUP(C107,distribucion!G$8:FP$152,134,0)</f>
        <v>0</v>
      </c>
      <c r="N107" s="1065">
        <f>ROUND((VLOOKUP(C107,distribucion!G$8:FP$152,135,0)),2)</f>
        <v>0</v>
      </c>
      <c r="O107" s="1028">
        <v>0</v>
      </c>
      <c r="P107" s="1075">
        <f>ROUND((VLOOKUP(C107,distribucion!G$8:FP$152,36,0)),2)</f>
        <v>0</v>
      </c>
      <c r="Q107" s="1075">
        <f>SUM(J107:P107)-K107-M107</f>
        <v>2834.86</v>
      </c>
      <c r="R107" s="1075">
        <f>ROUND(((H107+L107+N107+O107+P107)*0.0483),2)</f>
        <v>128.87</v>
      </c>
      <c r="S107" s="1075">
        <f>ROUND((VLOOKUP(C107,distribucion!G$8:FP$152,151,0)),2)</f>
        <v>0</v>
      </c>
      <c r="T107" s="1065">
        <f>ROUND((VLOOKUP(C107,distribucion!G$8:FP$152,152,0)),2)</f>
        <v>0</v>
      </c>
      <c r="U107" s="1075">
        <f>ROUND((VLOOKUP(C107,distribucion!G$8:FP$152,153,0)),2)</f>
        <v>0</v>
      </c>
      <c r="V107" s="1075">
        <f>ROUND((VLOOKUP(C107,distribucion!$G$1:$FJ$152,159,0)),2)</f>
        <v>0</v>
      </c>
      <c r="W107" s="1075">
        <f>ROUND((VLOOKUP(C107,distribucion!$G$1:$FJ$152,158,0)),2)</f>
        <v>0</v>
      </c>
      <c r="X107" s="1075">
        <f>ROUND((VLOOKUP(C107,distribucion!$G$1:$FJ$152,154,0)),2)</f>
        <v>0</v>
      </c>
      <c r="Y107" s="1075">
        <f>ROUND((VLOOKUP(C107,distribucion!G$8:FP$152,160,0)),2)</f>
        <v>0</v>
      </c>
      <c r="Z107" s="1096">
        <f>SUM(R107:Y107)</f>
        <v>128.87</v>
      </c>
      <c r="AA107" s="1075">
        <f>Q107-Z107</f>
        <v>2705.9900000000002</v>
      </c>
      <c r="AB107" s="1067">
        <v>0</v>
      </c>
      <c r="AC107" s="1068">
        <f t="shared" ref="AC107" si="136">+AA107-AB107</f>
        <v>2705.9900000000002</v>
      </c>
      <c r="AD107" s="1067"/>
      <c r="AE107" s="1067"/>
    </row>
    <row r="108" spans="2:31" ht="30" customHeight="1">
      <c r="B108" s="1018">
        <v>30</v>
      </c>
      <c r="C108" s="1114" t="str">
        <f>+distribucion!G93</f>
        <v>Perez Avilez Steven Andre</v>
      </c>
      <c r="D108" s="1092" t="str">
        <f>VLOOKUP(C108,distribucion!G$8:FP$152,2,0)</f>
        <v>Auxiliar de Bodega</v>
      </c>
      <c r="E108" s="1316">
        <f>H108+L108+N108+O108</f>
        <v>4177.38</v>
      </c>
      <c r="F108" s="1073">
        <f>VLOOKUP(C108,distribucion!G61:M154,7,FALSE)</f>
        <v>30</v>
      </c>
      <c r="G108" s="1095" t="str">
        <f>VLOOKUP(C108,distribucion!$G$8:$DV$152,14,0)</f>
        <v>A.14.1.26 200 BONO VARIABLE</v>
      </c>
      <c r="H108" s="1065">
        <f>ROUND((VLOOKUP(C108,distribucion!G$1:FP$152,130,0)),2)</f>
        <v>4002.28</v>
      </c>
      <c r="I108" s="1065">
        <f>ROUND((VLOOKUP(C108,distribucion!G$8:FO$152,131,0)),2)</f>
        <v>657.5</v>
      </c>
      <c r="J108" s="1065">
        <f t="shared" ref="J108" si="137">H108+I108</f>
        <v>4659.7800000000007</v>
      </c>
      <c r="K108" s="1065">
        <f>VLOOKUP(C108,distribucion!G$8:FP$152,132,0)</f>
        <v>7</v>
      </c>
      <c r="L108" s="1065">
        <f>ROUND((VLOOKUP(C108,distribucion!G$8:FP$152,133,0)),2)</f>
        <v>175.1</v>
      </c>
      <c r="M108" s="1065">
        <f>VLOOKUP(C108,distribucion!G$8:FP$152,134,0)</f>
        <v>0</v>
      </c>
      <c r="N108" s="1065">
        <f>ROUND((VLOOKUP(C108,distribucion!G$8:FP$152,135,0)),2)</f>
        <v>0</v>
      </c>
      <c r="O108" s="1028">
        <v>0</v>
      </c>
      <c r="P108" s="1075">
        <f>ROUND((VLOOKUP(C108,distribucion!G$8:FP$152,36,0)),2)</f>
        <v>0</v>
      </c>
      <c r="Q108" s="1075">
        <f>SUM(J108:P108)-K108-M108</f>
        <v>4834.880000000001</v>
      </c>
      <c r="R108" s="1075">
        <f>ROUND(((H108+L108+N108+O108+P108)*0.0483),2)</f>
        <v>201.77</v>
      </c>
      <c r="S108" s="1075">
        <f>ROUND((VLOOKUP(C108,distribucion!G$8:FP$152,151,0)),2)</f>
        <v>0</v>
      </c>
      <c r="T108" s="1065">
        <f>ROUND((VLOOKUP(C108,distribucion!G$8:FP$152,152,0)),2)</f>
        <v>0</v>
      </c>
      <c r="U108" s="1075">
        <f>ROUND((VLOOKUP(C108,distribucion!G$8:FP$152,153,0)),2)</f>
        <v>0</v>
      </c>
      <c r="V108" s="1075">
        <f>ROUND((VLOOKUP(C108,distribucion!$G$1:$FJ$152,159,0)),2)</f>
        <v>0</v>
      </c>
      <c r="W108" s="1075">
        <f>ROUND((VLOOKUP(C108,distribucion!$G$1:$FJ$152,158,0)),2)</f>
        <v>0</v>
      </c>
      <c r="X108" s="1075">
        <f>ROUND((VLOOKUP(C108,distribucion!$G$1:$FJ$152,154,0)),2)</f>
        <v>1195.25</v>
      </c>
      <c r="Y108" s="1075">
        <f>ROUND((VLOOKUP(C108,distribucion!G$8:FP$152,160,0)),2)</f>
        <v>0</v>
      </c>
      <c r="Z108" s="1096">
        <f>SUM(R108:Y108)</f>
        <v>1397.02</v>
      </c>
      <c r="AA108" s="1075">
        <f>Q108-Z108</f>
        <v>3437.860000000001</v>
      </c>
      <c r="AB108" s="1067">
        <v>1387.9800000000005</v>
      </c>
      <c r="AC108" s="1068">
        <f t="shared" si="134"/>
        <v>2049.8800000000006</v>
      </c>
      <c r="AD108" s="1067">
        <f t="shared" ref="AD108" si="138">AA108-AB108-AC108</f>
        <v>0</v>
      </c>
      <c r="AE108" s="1067">
        <f t="shared" ref="AE108" si="139">((I108+H108+L108+O108++P108)-SUM(R108:Y108))-AA108</f>
        <v>0</v>
      </c>
    </row>
    <row r="109" spans="2:31" ht="30" customHeight="1">
      <c r="B109" s="1018">
        <v>31</v>
      </c>
      <c r="C109" s="1114" t="str">
        <f>+distribucion!G96</f>
        <v xml:space="preserve">Perez Barrios Kevin Augusto </v>
      </c>
      <c r="D109" s="1092" t="str">
        <f>VLOOKUP(C109,distribucion!G$8:FP$152,2,0)</f>
        <v>Encargado de Bodega PT</v>
      </c>
      <c r="E109" s="1316">
        <f>H109+L109+N109+O109</f>
        <v>5596.88</v>
      </c>
      <c r="F109" s="1073">
        <f>VLOOKUP(C109,distribucion!G61:M154,7,FALSE)</f>
        <v>30</v>
      </c>
      <c r="G109" s="1095">
        <f>VLOOKUP(C109,distribucion!$G$8:$DV$152,14,0)</f>
        <v>0</v>
      </c>
      <c r="H109" s="1065">
        <f>ROUND((VLOOKUP(C109,distribucion!G$1:FP$152,130,0)),2)</f>
        <v>4500</v>
      </c>
      <c r="I109" s="1065">
        <f>ROUND((VLOOKUP(C109,distribucion!G$8:FO$152,131,0)),2)</f>
        <v>957.28</v>
      </c>
      <c r="J109" s="1065">
        <f t="shared" ref="J109" si="140">H109+I109</f>
        <v>5457.28</v>
      </c>
      <c r="K109" s="1065">
        <f>VLOOKUP(C109,distribucion!G$8:FP$152,132,0)</f>
        <v>39</v>
      </c>
      <c r="L109" s="1065">
        <f>ROUND((VLOOKUP(C109,distribucion!G$8:FP$152,133,0)),2)</f>
        <v>1096.8800000000001</v>
      </c>
      <c r="M109" s="1065">
        <f>VLOOKUP(C109,distribucion!G$8:FP$152,134,0)</f>
        <v>0</v>
      </c>
      <c r="N109" s="1065">
        <f>ROUND((VLOOKUP(C109,distribucion!G$8:FP$152,135,0)),2)</f>
        <v>0</v>
      </c>
      <c r="O109" s="1028">
        <v>0</v>
      </c>
      <c r="P109" s="1075">
        <f>+distribucion!EL96</f>
        <v>0</v>
      </c>
      <c r="Q109" s="1075">
        <f>SUM(J109:P109)-K109-M109</f>
        <v>6554.16</v>
      </c>
      <c r="R109" s="1075">
        <f>ROUND(((H109+L109+N109+O109+P109)*0.0483),2)</f>
        <v>270.33</v>
      </c>
      <c r="S109" s="1075">
        <f>ROUND((VLOOKUP(C109,distribucion!G$8:FP$152,151,0)),2)</f>
        <v>196</v>
      </c>
      <c r="T109" s="1065">
        <f>ROUND((VLOOKUP(C109,distribucion!G$8:FP$152,152,0)),2)</f>
        <v>0</v>
      </c>
      <c r="U109" s="1075">
        <f>ROUND((VLOOKUP(C109,distribucion!G$8:FP$152,153,0)),2)</f>
        <v>0</v>
      </c>
      <c r="V109" s="1075">
        <f>ROUND((VLOOKUP(C109,distribucion!$G$1:$FJ$152,159,0)),2)</f>
        <v>0</v>
      </c>
      <c r="W109" s="1075">
        <f>ROUND((VLOOKUP(C109,distribucion!$G$1:$FJ$152,158,0)),2)</f>
        <v>0</v>
      </c>
      <c r="X109" s="1075">
        <f>ROUND((VLOOKUP(C109,distribucion!$G$1:$FJ$152,154,0)),2)</f>
        <v>0</v>
      </c>
      <c r="Y109" s="1075">
        <f>ROUND((VLOOKUP(C109,distribucion!G$8:FP$152,160,0)),2)</f>
        <v>0</v>
      </c>
      <c r="Z109" s="1096">
        <f>SUM(R109:Y109)</f>
        <v>466.33</v>
      </c>
      <c r="AA109" s="1075">
        <f>Q109-Z109</f>
        <v>6087.83</v>
      </c>
      <c r="AB109" s="1067">
        <v>2299.96</v>
      </c>
      <c r="AC109" s="1068">
        <f t="shared" si="134"/>
        <v>3787.87</v>
      </c>
      <c r="AD109" s="1067">
        <f t="shared" si="97"/>
        <v>0</v>
      </c>
      <c r="AE109" s="1067">
        <f t="shared" si="98"/>
        <v>0</v>
      </c>
    </row>
    <row r="110" spans="2:31" s="1127" customFormat="1" ht="30" customHeight="1">
      <c r="B110" s="1018"/>
      <c r="C110" s="1126"/>
      <c r="D110" s="1092"/>
      <c r="E110" s="1093"/>
      <c r="F110" s="1073"/>
      <c r="G110" s="1095"/>
      <c r="H110" s="1065"/>
      <c r="I110" s="1065"/>
      <c r="J110" s="1065"/>
      <c r="K110" s="1065"/>
      <c r="L110" s="1065"/>
      <c r="M110" s="1065"/>
      <c r="N110" s="1065"/>
      <c r="O110" s="1028"/>
      <c r="P110" s="1075"/>
      <c r="Q110" s="1075"/>
      <c r="R110" s="1075"/>
      <c r="S110" s="1075"/>
      <c r="T110" s="1075"/>
      <c r="U110" s="1075"/>
      <c r="V110" s="1075"/>
      <c r="W110" s="1075"/>
      <c r="X110" s="1075"/>
      <c r="Y110" s="1075"/>
      <c r="Z110" s="1096"/>
      <c r="AA110" s="1075"/>
      <c r="AB110" s="1067"/>
      <c r="AC110" s="1068"/>
      <c r="AD110" s="1067"/>
      <c r="AE110" s="1067"/>
    </row>
    <row r="111" spans="2:31" ht="30" customHeight="1">
      <c r="B111" s="1018" t="s">
        <v>52</v>
      </c>
      <c r="C111" s="1114" t="s">
        <v>52</v>
      </c>
      <c r="D111" s="1128" t="s">
        <v>17</v>
      </c>
      <c r="E111" s="1078"/>
      <c r="F111" s="1079"/>
      <c r="G111" s="1074"/>
      <c r="H111" s="1088">
        <f t="shared" ref="H111:AC111" si="141">SUM(H105:H110)</f>
        <v>15420.470000000001</v>
      </c>
      <c r="I111" s="1088">
        <f t="shared" si="141"/>
        <v>2611.4499999999998</v>
      </c>
      <c r="J111" s="1088">
        <f t="shared" si="141"/>
        <v>18031.920000000002</v>
      </c>
      <c r="K111" s="1088">
        <f t="shared" si="141"/>
        <v>63</v>
      </c>
      <c r="L111" s="1088">
        <f t="shared" si="141"/>
        <v>1723.54</v>
      </c>
      <c r="M111" s="1088">
        <f t="shared" si="141"/>
        <v>0</v>
      </c>
      <c r="N111" s="1088">
        <f t="shared" si="141"/>
        <v>0</v>
      </c>
      <c r="O111" s="1088">
        <f t="shared" si="141"/>
        <v>0</v>
      </c>
      <c r="P111" s="1088">
        <f t="shared" si="141"/>
        <v>0</v>
      </c>
      <c r="Q111" s="1088">
        <f t="shared" si="141"/>
        <v>19755.46</v>
      </c>
      <c r="R111" s="1088">
        <f t="shared" si="141"/>
        <v>828.06</v>
      </c>
      <c r="S111" s="1088">
        <f t="shared" si="141"/>
        <v>372</v>
      </c>
      <c r="T111" s="1088">
        <f t="shared" si="141"/>
        <v>0</v>
      </c>
      <c r="U111" s="1088">
        <f t="shared" si="141"/>
        <v>0</v>
      </c>
      <c r="V111" s="1088">
        <f t="shared" si="141"/>
        <v>0</v>
      </c>
      <c r="W111" s="1088">
        <f t="shared" si="141"/>
        <v>0</v>
      </c>
      <c r="X111" s="1088">
        <f t="shared" si="141"/>
        <v>1598.5</v>
      </c>
      <c r="Y111" s="1088">
        <f t="shared" si="141"/>
        <v>0</v>
      </c>
      <c r="Z111" s="1088">
        <f t="shared" si="141"/>
        <v>2798.56</v>
      </c>
      <c r="AA111" s="1088">
        <f t="shared" si="141"/>
        <v>16956.900000000001</v>
      </c>
      <c r="AB111" s="1115">
        <f t="shared" si="141"/>
        <v>5631.3000000000011</v>
      </c>
      <c r="AC111" s="1115">
        <f t="shared" si="141"/>
        <v>11325.600000000002</v>
      </c>
      <c r="AD111" s="1067">
        <f t="shared" si="97"/>
        <v>0</v>
      </c>
      <c r="AE111" s="1067">
        <f t="shared" si="98"/>
        <v>0</v>
      </c>
    </row>
    <row r="112" spans="2:31" ht="30" customHeight="1">
      <c r="C112" s="1076"/>
      <c r="D112" s="1077"/>
      <c r="E112" s="1078"/>
      <c r="F112" s="1079"/>
      <c r="G112" s="1074"/>
      <c r="H112" s="1022"/>
      <c r="I112" s="1022"/>
      <c r="J112" s="1022"/>
      <c r="K112" s="1022"/>
      <c r="L112" s="1022"/>
      <c r="M112" s="1022"/>
      <c r="N112" s="1022"/>
      <c r="O112" s="1022"/>
      <c r="P112" s="1022"/>
      <c r="Q112" s="1022"/>
      <c r="R112" s="1022"/>
      <c r="S112" s="1022"/>
      <c r="T112" s="1022"/>
      <c r="U112" s="1022"/>
      <c r="V112" s="1022"/>
      <c r="W112" s="1022"/>
      <c r="X112" s="1022"/>
      <c r="Y112" s="1022"/>
      <c r="Z112" s="1113"/>
      <c r="AA112" s="1022"/>
      <c r="AB112" s="1067"/>
      <c r="AC112" s="1107"/>
      <c r="AD112" s="1067">
        <f t="shared" si="97"/>
        <v>0</v>
      </c>
      <c r="AE112" s="1067">
        <f t="shared" si="98"/>
        <v>0</v>
      </c>
    </row>
    <row r="113" spans="2:40" ht="30" customHeight="1">
      <c r="C113" s="1060" t="s">
        <v>194</v>
      </c>
      <c r="F113" s="1073"/>
      <c r="G113" s="1074"/>
      <c r="H113" s="1129"/>
      <c r="I113" s="1129"/>
      <c r="J113" s="1129"/>
      <c r="K113" s="1089"/>
      <c r="L113" s="1129"/>
      <c r="M113" s="1129"/>
      <c r="N113" s="1129"/>
      <c r="O113" s="1129"/>
      <c r="P113" s="1129"/>
      <c r="Q113" s="1129"/>
      <c r="R113" s="1129"/>
      <c r="S113" s="1129"/>
      <c r="T113" s="1129"/>
      <c r="U113" s="1129"/>
      <c r="V113" s="1129"/>
      <c r="W113" s="1129"/>
      <c r="X113" s="1129"/>
      <c r="Y113" s="1129"/>
      <c r="Z113" s="1130"/>
      <c r="AA113" s="1129"/>
      <c r="AB113" s="1067"/>
      <c r="AC113" s="1068"/>
      <c r="AD113" s="1067">
        <f t="shared" si="97"/>
        <v>0</v>
      </c>
      <c r="AE113" s="1067">
        <f t="shared" si="98"/>
        <v>0</v>
      </c>
    </row>
    <row r="114" spans="2:40" ht="30" customHeight="1">
      <c r="C114" s="993" t="s">
        <v>619</v>
      </c>
      <c r="F114" s="1073"/>
      <c r="G114" s="1074"/>
      <c r="H114" s="1129"/>
      <c r="I114" s="1129"/>
      <c r="J114" s="1129"/>
      <c r="K114" s="1089"/>
      <c r="L114" s="1129"/>
      <c r="M114" s="1129"/>
      <c r="N114" s="1129"/>
      <c r="O114" s="1129"/>
      <c r="P114" s="1129"/>
      <c r="Q114" s="1129"/>
      <c r="R114" s="1129"/>
      <c r="S114" s="1129"/>
      <c r="T114" s="1129"/>
      <c r="U114" s="1129"/>
      <c r="V114" s="1129"/>
      <c r="W114" s="1129"/>
      <c r="X114" s="1129"/>
      <c r="Y114" s="1129"/>
      <c r="Z114" s="1130"/>
      <c r="AA114" s="1129"/>
      <c r="AB114" s="1067"/>
      <c r="AC114" s="1068"/>
      <c r="AD114" s="1067">
        <f t="shared" si="97"/>
        <v>0</v>
      </c>
      <c r="AE114" s="1067">
        <f t="shared" si="98"/>
        <v>0</v>
      </c>
    </row>
    <row r="115" spans="2:40" ht="30" customHeight="1">
      <c r="B115" s="1018">
        <v>32</v>
      </c>
      <c r="C115" s="1019" t="str">
        <f>+distribucion!G104</f>
        <v>Gonzalez Hernandez Luis Roberto</v>
      </c>
      <c r="D115" s="1071" t="str">
        <f>VLOOKUP(C115,distribucion!G$8:FP$152,2,0)</f>
        <v>Gerente de Compras Export e Import</v>
      </c>
      <c r="E115" s="1314">
        <f>H115+L115+N115+O115</f>
        <v>13000</v>
      </c>
      <c r="F115" s="1073">
        <f>VLOOKUP(C115,distribucion!G61:M152,7,FALSE)</f>
        <v>30</v>
      </c>
      <c r="G115" s="1074">
        <f>VLOOKUP(C115,distribucion!$G$8:$DV$152,14,0)</f>
        <v>0</v>
      </c>
      <c r="H115" s="1065">
        <f>ROUND((VLOOKUP(C115,distribucion!G$1:FP$152,130,0)),2)</f>
        <v>13000</v>
      </c>
      <c r="I115" s="1065">
        <f>ROUND((VLOOKUP(C115,distribucion!G$8:FO$152,131,0)),2)</f>
        <v>2000</v>
      </c>
      <c r="J115" s="1065">
        <f t="shared" ref="J115" si="142">H115+I115</f>
        <v>15000</v>
      </c>
      <c r="K115" s="1065">
        <f>VLOOKUP(C115,distribucion!G$8:FP$152,132,0)</f>
        <v>0</v>
      </c>
      <c r="L115" s="1065">
        <f>ROUND((VLOOKUP(C115,distribucion!G$8:FP$152,133,0)),2)</f>
        <v>0</v>
      </c>
      <c r="M115" s="1065">
        <f>VLOOKUP(C115,distribucion!G$8:FP$152,134,0)</f>
        <v>0</v>
      </c>
      <c r="N115" s="1065">
        <f>ROUND((VLOOKUP(C115,distribucion!G$8:FP$152,135,0)),2)</f>
        <v>0</v>
      </c>
      <c r="O115" s="1028">
        <v>0</v>
      </c>
      <c r="P115" s="1075">
        <f>ROUND((VLOOKUP(C115,distribucion!G$8:FP$152,136,0)),2)</f>
        <v>0</v>
      </c>
      <c r="Q115" s="1028">
        <f>SUM(J115:P115)-K115-M115</f>
        <v>15000</v>
      </c>
      <c r="R115" s="1028">
        <f>ROUND(((H115+L115+N115+O115+P115)*0.0483),2)</f>
        <v>627.9</v>
      </c>
      <c r="S115" s="1028">
        <f>ROUND((VLOOKUP(C115,distribucion!G$8:FP$152,151,0)),2)</f>
        <v>622.33000000000004</v>
      </c>
      <c r="T115" s="1028">
        <f>ROUND((VLOOKUP(C115,distribucion!G$8:FP$152,152,0)),2)</f>
        <v>0</v>
      </c>
      <c r="U115" s="1028">
        <f>ROUND((VLOOKUP(C115,distribucion!G$8:FP$152,153,0)),2)</f>
        <v>0</v>
      </c>
      <c r="V115" s="1028">
        <f>ROUND((VLOOKUP(C115,distribucion!$G$1:$FJ$152,159,0)),2)</f>
        <v>0</v>
      </c>
      <c r="W115" s="1028">
        <f>ROUND((VLOOKUP(C115,distribucion!$G$1:$FJ$152,158,0)),2)</f>
        <v>0</v>
      </c>
      <c r="X115" s="1028">
        <f>ROUND((VLOOKUP(C115,distribucion!$G$1:$FJ$152,154,0)),2)</f>
        <v>0</v>
      </c>
      <c r="Y115" s="1028">
        <f>ROUND((VLOOKUP(C115,distribucion!G$8:FP$152,160,0)),2)</f>
        <v>0</v>
      </c>
      <c r="Z115" s="1067">
        <f>SUM(R115:Y115)</f>
        <v>1250.23</v>
      </c>
      <c r="AA115" s="1028">
        <f>Q115-Z115</f>
        <v>13749.77</v>
      </c>
      <c r="AB115" s="1067">
        <v>6874.88</v>
      </c>
      <c r="AC115" s="1068">
        <f t="shared" ref="AC115:AC118" si="143">+AA115-AB115</f>
        <v>6874.89</v>
      </c>
      <c r="AD115" s="1067">
        <f t="shared" ref="AD115" si="144">AA115-AB115-AC115</f>
        <v>0</v>
      </c>
      <c r="AE115" s="1067">
        <f t="shared" ref="AE115" si="145">((I115+H115+L115+O115++P115)-SUM(R115:Y115))-AA115</f>
        <v>0</v>
      </c>
    </row>
    <row r="116" spans="2:40" ht="30" customHeight="1">
      <c r="C116" s="1041" t="s">
        <v>637</v>
      </c>
      <c r="D116" s="1081"/>
      <c r="E116" s="1078"/>
      <c r="F116" s="1079"/>
      <c r="G116" s="1074"/>
      <c r="H116" s="1080"/>
      <c r="I116" s="1080"/>
      <c r="J116" s="1080"/>
      <c r="K116" s="1080"/>
      <c r="L116" s="1080"/>
      <c r="M116" s="1080"/>
      <c r="N116" s="1080"/>
      <c r="O116" s="1080"/>
      <c r="P116" s="1080"/>
      <c r="Q116" s="1080"/>
      <c r="R116" s="1080"/>
      <c r="S116" s="1080"/>
      <c r="T116" s="1080"/>
      <c r="U116" s="1080"/>
      <c r="V116" s="1080"/>
      <c r="W116" s="1080"/>
      <c r="X116" s="1080"/>
      <c r="Y116" s="1080"/>
      <c r="Z116" s="1080"/>
      <c r="AA116" s="1080"/>
      <c r="AB116" s="1085"/>
      <c r="AC116" s="1131"/>
      <c r="AD116" s="1067">
        <f t="shared" si="97"/>
        <v>0</v>
      </c>
      <c r="AE116" s="1067">
        <f t="shared" si="98"/>
        <v>0</v>
      </c>
    </row>
    <row r="117" spans="2:40" ht="30" customHeight="1">
      <c r="B117" s="1018">
        <v>33</v>
      </c>
      <c r="C117" s="1132" t="str">
        <f>+distribucion!G109</f>
        <v>Mejia Quijivix Nathalie Guadalupe</v>
      </c>
      <c r="D117" s="1071" t="str">
        <f>VLOOKUP(C117,distribucion!G$8:FP$152,2,0)</f>
        <v>Asistente de compras locales e Intern</v>
      </c>
      <c r="E117" s="1314">
        <f>H117+L117+N117+O117</f>
        <v>2066.67</v>
      </c>
      <c r="F117" s="1073">
        <f>VLOOKUP(C117,distribucion!G63:M154,7,FALSE)</f>
        <v>10</v>
      </c>
      <c r="G117" s="1074" t="str">
        <f>VLOOKUP(C117,distribucion!$G$8:$DV$152,14,0)</f>
        <v>B.10.5</v>
      </c>
      <c r="H117" s="1065">
        <f>ROUND((VLOOKUP(C117,distribucion!G$1:FP$152,130,0)),2)</f>
        <v>2066.67</v>
      </c>
      <c r="I117" s="1065">
        <f>ROUND((VLOOKUP(C117,distribucion!G$8:FO$152,131,0)),2)</f>
        <v>433.33</v>
      </c>
      <c r="J117" s="1065">
        <f t="shared" ref="J117" si="146">H117+I117</f>
        <v>2500</v>
      </c>
      <c r="K117" s="1065">
        <f>VLOOKUP(C117,distribucion!G$8:FP$152,132,0)</f>
        <v>0</v>
      </c>
      <c r="L117" s="1065">
        <f>ROUND((VLOOKUP(C117,distribucion!G$8:FP$152,133,0)),2)</f>
        <v>0</v>
      </c>
      <c r="M117" s="1065">
        <f>VLOOKUP(C117,distribucion!G$8:FP$152,134,0)</f>
        <v>0</v>
      </c>
      <c r="N117" s="1065">
        <f>ROUND((VLOOKUP(C117,distribucion!G$8:FP$152,135,0)),2)</f>
        <v>0</v>
      </c>
      <c r="O117" s="1028">
        <v>0</v>
      </c>
      <c r="P117" s="1075">
        <f>ROUND((VLOOKUP(C117,distribucion!G$8:FP$152,136,0)),2)</f>
        <v>0</v>
      </c>
      <c r="Q117" s="1028">
        <f>SUM(J117:P117)-K117-M117</f>
        <v>2500</v>
      </c>
      <c r="R117" s="1028">
        <f>ROUND(((H117+L117+N117+O117+P117)*0.0483),2)</f>
        <v>99.82</v>
      </c>
      <c r="S117" s="1028">
        <f>ROUND((VLOOKUP(C117,distribucion!G$8:FP$152,151,0)),2)</f>
        <v>0</v>
      </c>
      <c r="T117" s="1028">
        <f>ROUND((VLOOKUP(C117,distribucion!G$8:FP$152,152,0)),2)</f>
        <v>0</v>
      </c>
      <c r="U117" s="1028">
        <f>ROUND((VLOOKUP(C117,distribucion!G$8:FP$152,153,0)),2)</f>
        <v>0</v>
      </c>
      <c r="V117" s="1028">
        <f>ROUND((VLOOKUP(C117,distribucion!$G$1:$FJ$152,159,0)),2)</f>
        <v>0</v>
      </c>
      <c r="W117" s="1028">
        <f>ROUND((VLOOKUP(C117,distribucion!$G$1:$FJ$152,158,0)),2)</f>
        <v>0</v>
      </c>
      <c r="X117" s="1028">
        <f>ROUND((VLOOKUP(C117,distribucion!$G$1:$FJ$152,154,0)),2)</f>
        <v>0</v>
      </c>
      <c r="Y117" s="1028">
        <f>ROUND((VLOOKUP(C117,distribucion!G$8:FP$152,160,0)),2)</f>
        <v>175</v>
      </c>
      <c r="Z117" s="1067">
        <f>SUM(R117:Y117)</f>
        <v>274.82</v>
      </c>
      <c r="AA117" s="1028">
        <f>Q117-Z117</f>
        <v>2225.1799999999998</v>
      </c>
      <c r="AB117" s="1067">
        <v>2137.6799999999998</v>
      </c>
      <c r="AC117" s="1068">
        <f t="shared" si="143"/>
        <v>87.5</v>
      </c>
      <c r="AD117" s="1067">
        <f t="shared" si="97"/>
        <v>0</v>
      </c>
      <c r="AE117" s="1067">
        <f t="shared" si="98"/>
        <v>0</v>
      </c>
    </row>
    <row r="118" spans="2:40" ht="30" customHeight="1">
      <c r="B118" s="1018">
        <v>34</v>
      </c>
      <c r="C118" s="1132" t="str">
        <f>+distribucion!G110</f>
        <v>Toledo Medrano Khrista Sarai</v>
      </c>
      <c r="D118" s="1071" t="str">
        <f>VLOOKUP(C118,distribucion!G$8:FP$152,2,0)</f>
        <v>Aux Comercio Exterior</v>
      </c>
      <c r="E118" s="1314">
        <f>H118+L118+N118+O118</f>
        <v>3825</v>
      </c>
      <c r="F118" s="1073">
        <f>VLOOKUP(C118,distribucion!G64:M155,7,FALSE)</f>
        <v>27</v>
      </c>
      <c r="G118" s="1074" t="str">
        <f>VLOOKUP(C118,distribucion!$G$8:$DV$152,14,0)</f>
        <v>A.4.5</v>
      </c>
      <c r="H118" s="1065">
        <f>ROUND((VLOOKUP(C118,distribucion!G$1:FP$152,130,0)),2)</f>
        <v>3825</v>
      </c>
      <c r="I118" s="1065">
        <f>ROUND((VLOOKUP(C118,distribucion!G$8:FO$152,131,0)),2)</f>
        <v>675</v>
      </c>
      <c r="J118" s="1065">
        <f t="shared" ref="J118" si="147">H118+I118</f>
        <v>4500</v>
      </c>
      <c r="K118" s="1065">
        <f>VLOOKUP(C118,distribucion!G$8:FP$152,132,0)</f>
        <v>0</v>
      </c>
      <c r="L118" s="1065">
        <f>ROUND((VLOOKUP(C118,distribucion!G$8:FP$152,133,0)),2)</f>
        <v>0</v>
      </c>
      <c r="M118" s="1065">
        <f>VLOOKUP(C118,distribucion!G$8:FP$152,134,0)</f>
        <v>0</v>
      </c>
      <c r="N118" s="1065">
        <f>ROUND((VLOOKUP(C118,distribucion!G$8:FP$152,135,0)),2)</f>
        <v>0</v>
      </c>
      <c r="O118" s="1028">
        <v>0</v>
      </c>
      <c r="P118" s="1075">
        <f>ROUND((VLOOKUP(C118,distribucion!G$8:FP$152,136,0)),2)</f>
        <v>0</v>
      </c>
      <c r="Q118" s="1028">
        <f>SUM(J118:P118)-K118-M118</f>
        <v>4500</v>
      </c>
      <c r="R118" s="1028">
        <f>ROUND(((H118+L118+N118+O118+P118)*0.0483),2)</f>
        <v>184.75</v>
      </c>
      <c r="S118" s="1028">
        <f>ROUND((VLOOKUP(C118,distribucion!G$8:FP$152,151,0)),2)</f>
        <v>0</v>
      </c>
      <c r="T118" s="1028">
        <f>ROUND((VLOOKUP(C118,distribucion!G$8:FP$152,152,0)),2)</f>
        <v>0</v>
      </c>
      <c r="U118" s="1028">
        <f>ROUND((VLOOKUP(C118,distribucion!G$8:FP$152,153,0)),2)</f>
        <v>0</v>
      </c>
      <c r="V118" s="1028">
        <f>ROUND((VLOOKUP(C118,distribucion!$G$1:$FJ$152,159,0)),2)</f>
        <v>0</v>
      </c>
      <c r="W118" s="1028">
        <f>ROUND((VLOOKUP(C118,distribucion!$G$1:$FJ$152,158,0)),2)</f>
        <v>0</v>
      </c>
      <c r="X118" s="1028">
        <f>ROUND((VLOOKUP(C118,distribucion!$G$1:$FJ$152,154,0)),2)</f>
        <v>0</v>
      </c>
      <c r="Y118" s="1028">
        <f>ROUND((VLOOKUP(C118,distribucion!G$8:FP$152,160,0)),2)</f>
        <v>0</v>
      </c>
      <c r="Z118" s="1067">
        <f>SUM(R118:Y118)</f>
        <v>184.75</v>
      </c>
      <c r="AA118" s="1028">
        <f>Q118-Z118</f>
        <v>4315.25</v>
      </c>
      <c r="AB118" s="1067">
        <v>1917.89</v>
      </c>
      <c r="AC118" s="1068">
        <f t="shared" si="143"/>
        <v>2397.3599999999997</v>
      </c>
      <c r="AD118" s="1067">
        <f t="shared" ref="AD118" si="148">AA118-AB118-AC118</f>
        <v>0</v>
      </c>
      <c r="AE118" s="1067">
        <f t="shared" ref="AE118" si="149">((I118+H118+L118+O118++P118)-SUM(R118:Y118))-AA118</f>
        <v>0</v>
      </c>
    </row>
    <row r="119" spans="2:40" ht="30" customHeight="1">
      <c r="C119" s="1041" t="s">
        <v>660</v>
      </c>
      <c r="D119" s="1081"/>
      <c r="E119" s="1078"/>
      <c r="F119" s="1079"/>
      <c r="G119" s="1074"/>
      <c r="H119" s="1080"/>
      <c r="I119" s="1080"/>
      <c r="J119" s="1080"/>
      <c r="K119" s="1080"/>
      <c r="L119" s="1080"/>
      <c r="M119" s="1080"/>
      <c r="N119" s="1080"/>
      <c r="O119" s="1080"/>
      <c r="P119" s="1080"/>
      <c r="Q119" s="1080"/>
      <c r="R119" s="1080"/>
      <c r="S119" s="1080"/>
      <c r="T119" s="1080"/>
      <c r="U119" s="1080"/>
      <c r="V119" s="1080"/>
      <c r="W119" s="1080"/>
      <c r="X119" s="1080"/>
      <c r="Y119" s="1080"/>
      <c r="Z119" s="1080"/>
      <c r="AA119" s="1080"/>
      <c r="AB119" s="1085"/>
      <c r="AC119" s="1131"/>
      <c r="AD119" s="1067">
        <f t="shared" si="97"/>
        <v>0</v>
      </c>
      <c r="AE119" s="1067">
        <f t="shared" si="98"/>
        <v>0</v>
      </c>
    </row>
    <row r="120" spans="2:40" ht="30" customHeight="1">
      <c r="C120" s="1132"/>
      <c r="D120" s="1071"/>
      <c r="E120" s="1072"/>
      <c r="F120" s="1073"/>
      <c r="G120" s="1074"/>
      <c r="H120" s="1065"/>
      <c r="I120" s="1065"/>
      <c r="J120" s="1065"/>
      <c r="K120" s="1065"/>
      <c r="L120" s="1065"/>
      <c r="M120" s="1065"/>
      <c r="N120" s="1065"/>
      <c r="O120" s="1028"/>
      <c r="P120" s="1075"/>
      <c r="Q120" s="1028"/>
      <c r="R120" s="1028"/>
      <c r="S120" s="1028"/>
      <c r="T120" s="1028"/>
      <c r="U120" s="1028"/>
      <c r="V120" s="1028"/>
      <c r="W120" s="1028"/>
      <c r="X120" s="1028"/>
      <c r="Y120" s="1028"/>
      <c r="Z120" s="1067"/>
      <c r="AA120" s="1028"/>
      <c r="AB120" s="1067"/>
      <c r="AC120" s="1068"/>
      <c r="AD120" s="1067"/>
      <c r="AE120" s="1067"/>
    </row>
    <row r="121" spans="2:40" ht="30" customHeight="1">
      <c r="B121" s="1018">
        <v>35</v>
      </c>
      <c r="C121" s="1132" t="str">
        <f>+distribucion!G113</f>
        <v>Zuñiga Gonzalez Elmer David</v>
      </c>
      <c r="D121" s="1071" t="str">
        <f>VLOOKUP(C121,distribucion!G$8:FP$152,2,0)</f>
        <v>Encargado de Suministros y Servicios</v>
      </c>
      <c r="E121" s="1314">
        <f>H121+L121+N121+O121</f>
        <v>4002.28</v>
      </c>
      <c r="F121" s="1073">
        <f>VLOOKUP(C121,distribucion!G66:M153,7,FALSE)</f>
        <v>30</v>
      </c>
      <c r="G121" s="1074" t="str">
        <f>VLOOKUP(C121,distribucion!$G$8:$DV$152,14,0)</f>
        <v xml:space="preserve">A.9/2/26 bonif variable de 1000iniciando en abril </v>
      </c>
      <c r="H121" s="1065">
        <f>ROUND((VLOOKUP(C121,distribucion!G$1:FP$152,130,0)),2)</f>
        <v>4002.28</v>
      </c>
      <c r="I121" s="1065">
        <f>ROUND((VLOOKUP(C121,distribucion!G$8:FO$152,131,0)),2)</f>
        <v>1973.52</v>
      </c>
      <c r="J121" s="1065">
        <f t="shared" ref="J121" si="150">H121+I121</f>
        <v>5975.8</v>
      </c>
      <c r="K121" s="1065">
        <f>VLOOKUP(C121,distribucion!G$8:FP$152,132,0)</f>
        <v>0</v>
      </c>
      <c r="L121" s="1065">
        <f>ROUND((VLOOKUP(C121,distribucion!G$8:FP$152,133,0)),2)</f>
        <v>0</v>
      </c>
      <c r="M121" s="1065">
        <f>VLOOKUP(C121,distribucion!G$8:FP$152,134,0)</f>
        <v>0</v>
      </c>
      <c r="N121" s="1065">
        <f>ROUND((VLOOKUP(C121,distribucion!G$8:FP$152,135,0)),2)</f>
        <v>0</v>
      </c>
      <c r="O121" s="1028">
        <v>0</v>
      </c>
      <c r="P121" s="1075">
        <f>ROUND((VLOOKUP(C121,distribucion!G$8:FP$152,36,0)),2)</f>
        <v>0</v>
      </c>
      <c r="Q121" s="1028">
        <f>SUM(J121:P121)-K121-M121</f>
        <v>5975.8</v>
      </c>
      <c r="R121" s="1028">
        <f>ROUND(((H121+L121+N121+O121+P121)*0.0483),2)</f>
        <v>193.31</v>
      </c>
      <c r="S121" s="1028">
        <f>ROUND((VLOOKUP(C121,distribucion!G$8:FP$152,151,0)),2)</f>
        <v>0</v>
      </c>
      <c r="T121" s="1028">
        <f>ROUND((VLOOKUP(C121,distribucion!G$8:FP$152,152,0)),2)</f>
        <v>0</v>
      </c>
      <c r="U121" s="1028">
        <f>ROUND((VLOOKUP(C121,distribucion!G$8:FP$152,153,0)),2)</f>
        <v>0</v>
      </c>
      <c r="V121" s="1028">
        <f>ROUND((VLOOKUP(C121,distribucion!$G$1:$FJ$152,159,0)),2)</f>
        <v>0</v>
      </c>
      <c r="W121" s="1028">
        <f>ROUND((VLOOKUP(C121,distribucion!$G$1:$FJ$152,158,0)),2)</f>
        <v>0</v>
      </c>
      <c r="X121" s="1028">
        <f>ROUND((VLOOKUP(C121,distribucion!$G$1:$FJ$152,154,0)),2)</f>
        <v>0</v>
      </c>
      <c r="Y121" s="1028">
        <f>ROUND((VLOOKUP(C121,distribucion!G$8:FP$152,160,0)),2)</f>
        <v>0</v>
      </c>
      <c r="Z121" s="1067">
        <f>SUM(R121:Y121)</f>
        <v>193.31</v>
      </c>
      <c r="AA121" s="1028">
        <f>Q121-Z121</f>
        <v>5782.49</v>
      </c>
      <c r="AB121" s="1067">
        <v>3379.1400000000003</v>
      </c>
      <c r="AC121" s="1068">
        <f t="shared" ref="AC121:AC123" si="151">+AA121-AB121</f>
        <v>2403.3499999999995</v>
      </c>
      <c r="AD121" s="1067"/>
      <c r="AE121" s="1067"/>
    </row>
    <row r="122" spans="2:40" ht="30" customHeight="1">
      <c r="C122" s="1041" t="s">
        <v>694</v>
      </c>
      <c r="D122" s="1081"/>
      <c r="E122" s="1078"/>
      <c r="F122" s="1079"/>
      <c r="G122" s="1074"/>
      <c r="H122" s="1080"/>
      <c r="I122" s="1080"/>
      <c r="J122" s="1080"/>
      <c r="K122" s="1080"/>
      <c r="L122" s="1080"/>
      <c r="M122" s="1080"/>
      <c r="N122" s="1080"/>
      <c r="O122" s="1080"/>
      <c r="P122" s="1080"/>
      <c r="Q122" s="1080"/>
      <c r="R122" s="1080"/>
      <c r="S122" s="1080"/>
      <c r="T122" s="1080"/>
      <c r="U122" s="1080"/>
      <c r="V122" s="1080"/>
      <c r="W122" s="1080"/>
      <c r="X122" s="1080"/>
      <c r="Y122" s="1080"/>
      <c r="Z122" s="1080"/>
      <c r="AA122" s="1080"/>
      <c r="AB122" s="1085"/>
      <c r="AC122" s="1085"/>
      <c r="AD122" s="1067">
        <f t="shared" si="97"/>
        <v>0</v>
      </c>
      <c r="AE122" s="1067">
        <f t="shared" si="98"/>
        <v>0</v>
      </c>
    </row>
    <row r="123" spans="2:40" ht="30" customHeight="1">
      <c r="B123" s="1018">
        <v>36</v>
      </c>
      <c r="C123" s="1132" t="str">
        <f>+distribucion!G106</f>
        <v>Arguijo Melgar ClaudiaMaria</v>
      </c>
      <c r="D123" s="1071" t="str">
        <f>VLOOKUP(C123,distribucion!G$8:FP$152,2,0)</f>
        <v>Analista de Compras Internacionales</v>
      </c>
      <c r="E123" s="1314">
        <f>H123+L123+N123+O123</f>
        <v>6500</v>
      </c>
      <c r="F123" s="1073">
        <f>VLOOKUP(C123,distribucion!G68:M155,7,FALSE)</f>
        <v>30</v>
      </c>
      <c r="G123" s="1074" t="str">
        <f>VLOOKUP(C123,distribucion!$G$8:$DV$152,14,0)</f>
        <v>A.8/4  INDICADORES DE 1500</v>
      </c>
      <c r="H123" s="1065">
        <f>ROUND((VLOOKUP(C123,distribucion!G$1:FP$152,130,0)),2)</f>
        <v>6500</v>
      </c>
      <c r="I123" s="1065">
        <f>ROUND((VLOOKUP(C123,distribucion!G$8:FO$152,131,0)),2)</f>
        <v>1000</v>
      </c>
      <c r="J123" s="1065">
        <f t="shared" ref="J123" si="152">H123+I123</f>
        <v>7500</v>
      </c>
      <c r="K123" s="1065">
        <f>VLOOKUP(C123,distribucion!G$8:FP$152,132,0)</f>
        <v>0</v>
      </c>
      <c r="L123" s="1065">
        <f>ROUND((VLOOKUP(C123,distribucion!G$8:FP$152,133,0)),2)</f>
        <v>0</v>
      </c>
      <c r="M123" s="1065">
        <f>VLOOKUP(C123,distribucion!G$8:FP$152,134,0)</f>
        <v>0</v>
      </c>
      <c r="N123" s="1065">
        <f>ROUND((VLOOKUP(C123,distribucion!G$8:FP$152,135,0)),2)</f>
        <v>0</v>
      </c>
      <c r="O123" s="1028">
        <v>0</v>
      </c>
      <c r="P123" s="1075">
        <f>ROUND((VLOOKUP(C123,distribucion!G$8:FP$152,36,0)),2)</f>
        <v>0</v>
      </c>
      <c r="Q123" s="1028">
        <f>SUM(J123:P123)-K123-M123</f>
        <v>7500</v>
      </c>
      <c r="R123" s="1028">
        <f>ROUND(((H123+L123+N123+O123+P123)*0.0483),2)</f>
        <v>313.95</v>
      </c>
      <c r="S123" s="1028">
        <f>ROUND((VLOOKUP(C123,distribucion!G$8:FP$152,151,0)),2)</f>
        <v>175</v>
      </c>
      <c r="T123" s="1028">
        <f>ROUND((VLOOKUP(C123,distribucion!G$8:FP$152,152,0)),2)</f>
        <v>0</v>
      </c>
      <c r="U123" s="1028">
        <f>ROUND((VLOOKUP(C123,distribucion!G$8:FP$152,153,0)),2)</f>
        <v>0</v>
      </c>
      <c r="V123" s="1028">
        <f>ROUND((VLOOKUP(C123,distribucion!$G$1:$FJ$152,159,0)),2)</f>
        <v>306.26</v>
      </c>
      <c r="W123" s="1028">
        <f>ROUND((VLOOKUP(C123,distribucion!$G$1:$FJ$152,158,0)),2)</f>
        <v>0</v>
      </c>
      <c r="X123" s="1028">
        <f>ROUND((VLOOKUP(C123,distribucion!$G$1:$FJ$152,154,0)),2)</f>
        <v>0</v>
      </c>
      <c r="Y123" s="1028">
        <f>ROUND((VLOOKUP(C123,distribucion!G$8:FP$152,160,0)),2)</f>
        <v>0</v>
      </c>
      <c r="Z123" s="1067">
        <f>SUM(R123:Y123)</f>
        <v>795.21</v>
      </c>
      <c r="AA123" s="1028">
        <f>Q123-Z123</f>
        <v>6704.79</v>
      </c>
      <c r="AB123" s="1067">
        <v>3352.39</v>
      </c>
      <c r="AC123" s="1068">
        <f t="shared" si="151"/>
        <v>3352.4</v>
      </c>
      <c r="AD123" s="1067"/>
      <c r="AE123" s="1067"/>
    </row>
    <row r="124" spans="2:40" ht="30" customHeight="1">
      <c r="C124" s="1132"/>
      <c r="D124" s="1071"/>
      <c r="E124" s="1072"/>
      <c r="F124" s="1073"/>
      <c r="G124" s="1074"/>
      <c r="H124" s="1234"/>
      <c r="I124" s="1065"/>
      <c r="J124" s="1065"/>
      <c r="K124" s="1065"/>
      <c r="L124" s="1065"/>
      <c r="M124" s="1065"/>
      <c r="N124" s="1065"/>
      <c r="O124" s="1028"/>
      <c r="P124" s="1075"/>
      <c r="Q124" s="1028"/>
      <c r="R124" s="1028"/>
      <c r="S124" s="1028"/>
      <c r="T124" s="1028"/>
      <c r="U124" s="1028"/>
      <c r="V124" s="1028"/>
      <c r="W124" s="1028"/>
      <c r="X124" s="1028"/>
      <c r="Y124" s="1028"/>
      <c r="Z124" s="1067"/>
      <c r="AA124" s="1028"/>
      <c r="AB124" s="1067"/>
      <c r="AC124" s="1068"/>
      <c r="AD124" s="1067"/>
      <c r="AE124" s="1067"/>
    </row>
    <row r="125" spans="2:40" ht="30" customHeight="1">
      <c r="C125" s="1041"/>
      <c r="D125" s="1081" t="s">
        <v>130</v>
      </c>
      <c r="E125" s="1078"/>
      <c r="F125" s="1079"/>
      <c r="G125" s="1074"/>
      <c r="H125" s="1088">
        <f>SUM(H115:H124)</f>
        <v>29393.949999999997</v>
      </c>
      <c r="I125" s="1088">
        <f t="shared" ref="I125:AC125" si="153">SUM(I115:I124)</f>
        <v>6081.85</v>
      </c>
      <c r="J125" s="1088">
        <f t="shared" si="153"/>
        <v>35475.800000000003</v>
      </c>
      <c r="K125" s="1088">
        <f t="shared" si="153"/>
        <v>0</v>
      </c>
      <c r="L125" s="1088">
        <f t="shared" si="153"/>
        <v>0</v>
      </c>
      <c r="M125" s="1088">
        <f t="shared" si="153"/>
        <v>0</v>
      </c>
      <c r="N125" s="1088">
        <f t="shared" si="153"/>
        <v>0</v>
      </c>
      <c r="O125" s="1088">
        <f t="shared" si="153"/>
        <v>0</v>
      </c>
      <c r="P125" s="1088">
        <f t="shared" si="153"/>
        <v>0</v>
      </c>
      <c r="Q125" s="1088">
        <f t="shared" si="153"/>
        <v>35475.800000000003</v>
      </c>
      <c r="R125" s="1088">
        <f t="shared" si="153"/>
        <v>1419.73</v>
      </c>
      <c r="S125" s="1088">
        <f t="shared" si="153"/>
        <v>797.33</v>
      </c>
      <c r="T125" s="1088">
        <f t="shared" si="153"/>
        <v>0</v>
      </c>
      <c r="U125" s="1088">
        <f t="shared" si="153"/>
        <v>0</v>
      </c>
      <c r="V125" s="1088">
        <f t="shared" si="153"/>
        <v>306.26</v>
      </c>
      <c r="W125" s="1088">
        <f t="shared" si="153"/>
        <v>0</v>
      </c>
      <c r="X125" s="1088">
        <f t="shared" si="153"/>
        <v>0</v>
      </c>
      <c r="Y125" s="1088">
        <f t="shared" si="153"/>
        <v>175</v>
      </c>
      <c r="Z125" s="1088">
        <f t="shared" si="153"/>
        <v>2698.3199999999997</v>
      </c>
      <c r="AA125" s="1088">
        <f t="shared" si="153"/>
        <v>32777.480000000003</v>
      </c>
      <c r="AB125" s="1088">
        <f t="shared" si="153"/>
        <v>17661.98</v>
      </c>
      <c r="AC125" s="1088">
        <f t="shared" si="153"/>
        <v>15115.499999999998</v>
      </c>
      <c r="AD125" s="1067">
        <f t="shared" si="97"/>
        <v>0</v>
      </c>
      <c r="AE125" s="1067">
        <f t="shared" si="98"/>
        <v>0</v>
      </c>
    </row>
    <row r="126" spans="2:40" s="1081" customFormat="1" ht="30" customHeight="1">
      <c r="B126" s="1018"/>
      <c r="C126" s="1060" t="s">
        <v>661</v>
      </c>
      <c r="D126" s="1133"/>
      <c r="F126" s="1134"/>
      <c r="G126" s="1074"/>
      <c r="H126" s="1028" t="s">
        <v>52</v>
      </c>
      <c r="I126" s="1067" t="s">
        <v>52</v>
      </c>
      <c r="J126" s="1067" t="s">
        <v>52</v>
      </c>
      <c r="K126" s="1067"/>
      <c r="L126" s="1135"/>
      <c r="M126" s="1135"/>
      <c r="N126" s="1135"/>
      <c r="O126" s="1135"/>
      <c r="P126" s="1135"/>
      <c r="Q126" s="1136"/>
      <c r="R126" s="1135"/>
      <c r="S126" s="1135"/>
      <c r="T126" s="1135"/>
      <c r="U126" s="1135"/>
      <c r="V126" s="1135"/>
      <c r="W126" s="1135"/>
      <c r="X126" s="1135"/>
      <c r="Y126" s="1135"/>
      <c r="Z126" s="1067"/>
      <c r="AA126" s="1028"/>
      <c r="AB126" s="1067"/>
      <c r="AC126" s="1068"/>
      <c r="AD126" s="1067">
        <f t="shared" si="97"/>
        <v>0</v>
      </c>
      <c r="AE126" s="1067" t="e">
        <f t="shared" si="98"/>
        <v>#VALUE!</v>
      </c>
      <c r="AF126" s="1030"/>
      <c r="AG126" s="1030"/>
      <c r="AH126" s="1018"/>
      <c r="AI126" s="1018"/>
      <c r="AJ126" s="1018"/>
      <c r="AK126" s="1018"/>
      <c r="AL126" s="1018"/>
      <c r="AM126" s="1018"/>
      <c r="AN126" s="1018"/>
    </row>
    <row r="127" spans="2:40" s="1081" customFormat="1" ht="30" customHeight="1">
      <c r="B127" s="1018"/>
      <c r="C127" s="993" t="s">
        <v>193</v>
      </c>
      <c r="D127" s="1133"/>
      <c r="F127" s="1134"/>
      <c r="G127" s="1074"/>
      <c r="H127" s="1028"/>
      <c r="I127" s="1067"/>
      <c r="J127" s="1067"/>
      <c r="K127" s="1067"/>
      <c r="L127" s="1135"/>
      <c r="M127" s="1135"/>
      <c r="N127" s="1135"/>
      <c r="O127" s="1135"/>
      <c r="P127" s="1135"/>
      <c r="Q127" s="1136"/>
      <c r="R127" s="1135"/>
      <c r="S127" s="1135"/>
      <c r="T127" s="1135"/>
      <c r="U127" s="1135"/>
      <c r="V127" s="1135"/>
      <c r="W127" s="1135"/>
      <c r="X127" s="1135"/>
      <c r="Y127" s="1135"/>
      <c r="Z127" s="1067"/>
      <c r="AA127" s="1028"/>
      <c r="AB127" s="1067"/>
      <c r="AC127" s="1068"/>
      <c r="AD127" s="1067">
        <f t="shared" si="97"/>
        <v>0</v>
      </c>
      <c r="AE127" s="1067">
        <f t="shared" si="98"/>
        <v>0</v>
      </c>
      <c r="AF127" s="1030"/>
      <c r="AG127" s="1030"/>
      <c r="AH127" s="1018"/>
      <c r="AI127" s="1018"/>
      <c r="AJ127" s="1018"/>
      <c r="AK127" s="1018"/>
      <c r="AL127" s="1018"/>
      <c r="AM127" s="1018"/>
      <c r="AN127" s="1018"/>
    </row>
    <row r="128" spans="2:40" s="1081" customFormat="1" ht="30" customHeight="1">
      <c r="B128" s="1018">
        <v>37</v>
      </c>
      <c r="C128" s="1114" t="s">
        <v>610</v>
      </c>
      <c r="D128" s="1071" t="str">
        <f>VLOOKUP(C128,distribucion!G$8:FP$152,2,0)</f>
        <v>Jefe de Gestion de calidad</v>
      </c>
      <c r="E128" s="1314">
        <f t="shared" ref="E128:E136" si="154">H128+L128+N128+O128</f>
        <v>6520</v>
      </c>
      <c r="F128" s="1073">
        <f>VLOOKUP(C128,distribucion!G63:M152,7,FALSE)</f>
        <v>30</v>
      </c>
      <c r="G128" s="1074"/>
      <c r="H128" s="1065">
        <f>ROUND((VLOOKUP(C128,distribucion!G$1:FP$152,130,0)),2)</f>
        <v>6520</v>
      </c>
      <c r="I128" s="1065">
        <f>ROUND((VLOOKUP(C128,distribucion!G$8:FO$152,131,0)),2)</f>
        <v>3200</v>
      </c>
      <c r="J128" s="1065">
        <f t="shared" ref="J128" si="155">H128+I128</f>
        <v>9720</v>
      </c>
      <c r="K128" s="1065">
        <f>VLOOKUP(C128,distribucion!G$8:FP$152,132,0)</f>
        <v>0</v>
      </c>
      <c r="L128" s="1065">
        <f>ROUND((VLOOKUP(C128,distribucion!G$8:FP$152,133,0)),2)</f>
        <v>0</v>
      </c>
      <c r="M128" s="1065">
        <f>VLOOKUP(C128,distribucion!G$8:FP$152,134,0)</f>
        <v>0</v>
      </c>
      <c r="N128" s="1065">
        <f>ROUND((VLOOKUP(C128,distribucion!G$8:FP$152,135,0)),2)</f>
        <v>0</v>
      </c>
      <c r="O128" s="1028">
        <v>0</v>
      </c>
      <c r="P128" s="1137">
        <f>ROUND((VLOOKUP(C128,distribucion!G$8:FP$152,36,0)),2)</f>
        <v>0</v>
      </c>
      <c r="Q128" s="1138">
        <f t="shared" ref="Q128" si="156">SUM(J128:P128)-K128-M128</f>
        <v>9720</v>
      </c>
      <c r="R128" s="1137">
        <f t="shared" ref="R128" si="157">ROUND(((H128+L128+N128+O128+P128)*0.0483),2)</f>
        <v>314.92</v>
      </c>
      <c r="S128" s="1137">
        <f>ROUND((VLOOKUP(C128,distribucion!G$8:FP$152,151,0)),2)</f>
        <v>245.51</v>
      </c>
      <c r="T128" s="1137">
        <f>ROUND((VLOOKUP(C128,distribucion!G$8:FP$152,152,0)),2)</f>
        <v>0</v>
      </c>
      <c r="U128" s="1137">
        <f>ROUND((VLOOKUP(C128,distribucion!G$8:FP$152,153,0)),2)</f>
        <v>0</v>
      </c>
      <c r="V128" s="1137">
        <f>ROUND((VLOOKUP(C128,distribucion!$G$1:$FJ$152,159,0)),2)</f>
        <v>0</v>
      </c>
      <c r="W128" s="1137">
        <f>ROUND((VLOOKUP(C128,distribucion!$G$1:$FJ$152,158,0)),2)</f>
        <v>0</v>
      </c>
      <c r="X128" s="1137">
        <f>ROUND((VLOOKUP(C128,distribucion!$G$1:$FJ$152,154,0)),2)</f>
        <v>714.25</v>
      </c>
      <c r="Y128" s="1137">
        <f>ROUND((VLOOKUP(C128,distribucion!G$8:FP$152,160,0)),2)</f>
        <v>0</v>
      </c>
      <c r="Z128" s="1139">
        <f t="shared" ref="Z128" si="158">SUM(R128:Y128)</f>
        <v>1274.68</v>
      </c>
      <c r="AA128" s="1140">
        <f t="shared" ref="AA128" si="159">Q128-Z128</f>
        <v>8445.32</v>
      </c>
      <c r="AB128" s="1067">
        <v>4269.28</v>
      </c>
      <c r="AC128" s="1068">
        <f t="shared" ref="AC128:AC136" si="160">+AA128-AB128</f>
        <v>4176.04</v>
      </c>
      <c r="AD128" s="1067">
        <f>AA128-AB128-AC128</f>
        <v>0</v>
      </c>
      <c r="AE128" s="1067">
        <f t="shared" si="98"/>
        <v>0</v>
      </c>
      <c r="AF128" s="1030"/>
      <c r="AG128" s="1030"/>
      <c r="AH128" s="1018"/>
      <c r="AI128" s="1018"/>
      <c r="AJ128" s="1018"/>
      <c r="AK128" s="1018"/>
      <c r="AL128" s="1018"/>
      <c r="AM128" s="1018"/>
      <c r="AN128" s="1018"/>
    </row>
    <row r="129" spans="2:40" s="1081" customFormat="1" ht="30" customHeight="1">
      <c r="B129" s="1018"/>
      <c r="C129" s="1041" t="s">
        <v>662</v>
      </c>
      <c r="D129" s="1133"/>
      <c r="F129" s="1073" t="s">
        <v>52</v>
      </c>
      <c r="G129" s="1074"/>
      <c r="H129" s="1028" t="s">
        <v>52</v>
      </c>
      <c r="I129" s="1139" t="s">
        <v>52</v>
      </c>
      <c r="J129" s="1140" t="s">
        <v>52</v>
      </c>
      <c r="K129" s="1139" t="s">
        <v>52</v>
      </c>
      <c r="L129" s="1137" t="s">
        <v>52</v>
      </c>
      <c r="M129" s="1137" t="s">
        <v>52</v>
      </c>
      <c r="N129" s="1137" t="s">
        <v>52</v>
      </c>
      <c r="O129" s="1137" t="s">
        <v>52</v>
      </c>
      <c r="P129" s="1137" t="s">
        <v>52</v>
      </c>
      <c r="Q129" s="1138" t="s">
        <v>52</v>
      </c>
      <c r="R129" s="1137" t="s">
        <v>52</v>
      </c>
      <c r="S129" s="1137" t="s">
        <v>52</v>
      </c>
      <c r="T129" s="1137" t="s">
        <v>52</v>
      </c>
      <c r="U129" s="1137" t="s">
        <v>52</v>
      </c>
      <c r="V129" s="1137" t="s">
        <v>52</v>
      </c>
      <c r="W129" s="1137" t="s">
        <v>52</v>
      </c>
      <c r="X129" s="1137" t="s">
        <v>52</v>
      </c>
      <c r="Y129" s="1137" t="s">
        <v>52</v>
      </c>
      <c r="Z129" s="1139" t="s">
        <v>52</v>
      </c>
      <c r="AA129" s="1140" t="s">
        <v>52</v>
      </c>
      <c r="AB129" s="1067" t="s">
        <v>52</v>
      </c>
      <c r="AC129" s="1068" t="s">
        <v>52</v>
      </c>
      <c r="AD129" s="1067" t="e">
        <f t="shared" si="97"/>
        <v>#VALUE!</v>
      </c>
      <c r="AE129" s="1067" t="e">
        <f t="shared" si="98"/>
        <v>#VALUE!</v>
      </c>
      <c r="AF129" s="1030"/>
      <c r="AG129" s="1030"/>
      <c r="AH129" s="1018"/>
      <c r="AI129" s="1018"/>
      <c r="AJ129" s="1018"/>
      <c r="AK129" s="1018"/>
      <c r="AL129" s="1018"/>
      <c r="AM129" s="1018"/>
      <c r="AN129" s="1018"/>
    </row>
    <row r="130" spans="2:40" s="1097" customFormat="1" ht="30" customHeight="1">
      <c r="B130" s="1127">
        <v>38</v>
      </c>
      <c r="C130" s="1141" t="str">
        <f>+distribucion!G119</f>
        <v>Dennison Murillo Belkis Carolina</v>
      </c>
      <c r="D130" s="1071" t="str">
        <f>VLOOKUP(C130,distribucion!G$8:FP$152,2,0)</f>
        <v>Asistente de Aseguramiento de Calidad</v>
      </c>
      <c r="E130" s="1314">
        <f t="shared" ref="E130" si="161">H130+L130+N130+O130</f>
        <v>5130</v>
      </c>
      <c r="F130" s="1073">
        <f>VLOOKUP(C130,distribucion!G65:M154,7,FALSE)</f>
        <v>30</v>
      </c>
      <c r="G130" s="1074"/>
      <c r="H130" s="1065">
        <f>ROUND((VLOOKUP(C130,distribucion!G$1:FP$152,130,0)),2)</f>
        <v>4800</v>
      </c>
      <c r="I130" s="1065">
        <f>ROUND((VLOOKUP(C130,distribucion!G$8:FO$152,131,0)),2)</f>
        <v>1000</v>
      </c>
      <c r="J130" s="1065">
        <f t="shared" ref="J130" si="162">H130+I130</f>
        <v>5800</v>
      </c>
      <c r="K130" s="1065">
        <f>VLOOKUP(C130,distribucion!G$8:FP$152,132,0)</f>
        <v>11</v>
      </c>
      <c r="L130" s="1065">
        <f>ROUND((VLOOKUP(C130,distribucion!G$8:FP$152,133,0)),2)</f>
        <v>330</v>
      </c>
      <c r="M130" s="1065">
        <f>VLOOKUP(C130,distribucion!G$8:FP$152,134,0)</f>
        <v>0</v>
      </c>
      <c r="N130" s="1065">
        <f>ROUND((VLOOKUP(C130,distribucion!G$8:FP$152,135,0)),2)</f>
        <v>0</v>
      </c>
      <c r="O130" s="1028">
        <v>0</v>
      </c>
      <c r="P130" s="1137">
        <f>ROUND((VLOOKUP(C130,distribucion!G$8:FP$152,136,0)),2)</f>
        <v>0</v>
      </c>
      <c r="Q130" s="1138">
        <f t="shared" ref="Q130" si="163">SUM(J130:P130)-K130-M130</f>
        <v>6130</v>
      </c>
      <c r="R130" s="1137">
        <f t="shared" ref="R130" si="164">ROUND(((H130+L130+N130+O130+P130)*0.0483),2)</f>
        <v>247.78</v>
      </c>
      <c r="S130" s="1137">
        <f>ROUND((VLOOKUP(C130,distribucion!G$8:FP$152,151,0)),2)</f>
        <v>156</v>
      </c>
      <c r="T130" s="1137">
        <f>ROUND((VLOOKUP(C130,distribucion!G$8:FP$152,152,0)),2)</f>
        <v>0</v>
      </c>
      <c r="U130" s="1137">
        <f>ROUND((VLOOKUP(C130,distribucion!G$8:FP$152,153,0)),2)</f>
        <v>0</v>
      </c>
      <c r="V130" s="1137">
        <f>ROUND((VLOOKUP(C130,distribucion!$G$1:$FJ$152,159,0)),2)</f>
        <v>0</v>
      </c>
      <c r="W130" s="1137">
        <f>ROUND((VLOOKUP(C130,distribucion!$G$1:$FJ$152,158,0)),2)</f>
        <v>0</v>
      </c>
      <c r="X130" s="1137">
        <f>ROUND((VLOOKUP(C130,distribucion!$G$1:$FJ$152,154,0)),2)</f>
        <v>0</v>
      </c>
      <c r="Y130" s="1137">
        <f>ROUND((VLOOKUP(C130,distribucion!G$8:FP$152,160,0)),2)</f>
        <v>0</v>
      </c>
      <c r="Z130" s="1139">
        <f>SUM(R130:Y130)</f>
        <v>403.78</v>
      </c>
      <c r="AA130" s="1140">
        <f t="shared" ref="AA130" si="165">Q130-Z130</f>
        <v>5726.22</v>
      </c>
      <c r="AB130" s="1067">
        <v>2711.08</v>
      </c>
      <c r="AC130" s="1068">
        <f t="shared" si="160"/>
        <v>3015.1400000000003</v>
      </c>
      <c r="AD130" s="1067"/>
      <c r="AE130" s="1067"/>
      <c r="AG130" s="1030"/>
    </row>
    <row r="131" spans="2:40" s="1097" customFormat="1" ht="30" customHeight="1">
      <c r="B131" s="1127" t="s">
        <v>52</v>
      </c>
      <c r="C131" s="1041" t="s">
        <v>653</v>
      </c>
      <c r="D131" s="1137"/>
      <c r="F131" s="1143"/>
      <c r="G131" s="1142"/>
      <c r="H131" s="1028"/>
      <c r="I131" s="1139"/>
      <c r="J131" s="1140"/>
      <c r="K131" s="1139"/>
      <c r="L131" s="1137"/>
      <c r="M131" s="1137"/>
      <c r="N131" s="1137"/>
      <c r="O131" s="1137"/>
      <c r="P131" s="1137"/>
      <c r="Q131" s="1138"/>
      <c r="R131" s="1137"/>
      <c r="S131" s="1137"/>
      <c r="T131" s="1137"/>
      <c r="U131" s="1137"/>
      <c r="V131" s="1137"/>
      <c r="W131" s="1137"/>
      <c r="X131" s="1137"/>
      <c r="Y131" s="1137"/>
      <c r="Z131" s="1139"/>
      <c r="AA131" s="1140"/>
      <c r="AB131" s="1067"/>
      <c r="AC131" s="1068" t="s">
        <v>52</v>
      </c>
      <c r="AD131" s="1067" t="e">
        <f t="shared" si="97"/>
        <v>#VALUE!</v>
      </c>
      <c r="AE131" s="1067">
        <f t="shared" si="98"/>
        <v>0</v>
      </c>
      <c r="AG131" s="1030"/>
    </row>
    <row r="132" spans="2:40" s="1097" customFormat="1" ht="30" customHeight="1">
      <c r="B132" s="1127">
        <v>39</v>
      </c>
      <c r="C132" s="1141" t="str">
        <f>+distribucion!G121</f>
        <v>Tecu Lajuj Hugo Armando</v>
      </c>
      <c r="D132" s="1137" t="str">
        <f>VLOOKUP(C132,distribucion!G$8:FP$152,2,0)</f>
        <v>Auxiliar de Control De Calidad</v>
      </c>
      <c r="E132" s="1314">
        <f t="shared" si="154"/>
        <v>6140.63</v>
      </c>
      <c r="F132" s="1073">
        <f>VLOOKUP(C132,distribucion!G65:M152,7,FALSE)</f>
        <v>30</v>
      </c>
      <c r="G132" s="1142">
        <f>VLOOKUP(C132,distribucion!$G$8:$DV$152,14,0)</f>
        <v>0</v>
      </c>
      <c r="H132" s="1065">
        <f>ROUND((VLOOKUP(C132,distribucion!G$1:FP$152,130,0)),2)</f>
        <v>5000</v>
      </c>
      <c r="I132" s="1065">
        <f>ROUND((VLOOKUP(C132,distribucion!G$8:FO$152,131,0)),2)</f>
        <v>1100</v>
      </c>
      <c r="J132" s="1065">
        <f t="shared" ref="J132" si="166">H132+I132</f>
        <v>6100</v>
      </c>
      <c r="K132" s="1065">
        <f>VLOOKUP(C132,distribucion!G$8:FP$152,132,0)</f>
        <v>36.5</v>
      </c>
      <c r="L132" s="1065">
        <f>ROUND((VLOOKUP(C132,distribucion!G$8:FP$152,133,0)),2)</f>
        <v>1140.6300000000001</v>
      </c>
      <c r="M132" s="1065">
        <f>VLOOKUP(C132,distribucion!G$8:FP$152,134,0)</f>
        <v>0</v>
      </c>
      <c r="N132" s="1065">
        <f>ROUND((VLOOKUP(C132,distribucion!G$8:FP$152,135,0)),2)</f>
        <v>0</v>
      </c>
      <c r="O132" s="1028">
        <v>0</v>
      </c>
      <c r="P132" s="1137">
        <f>ROUND((VLOOKUP(C132,distribucion!G$8:FP$152,36,0)),2)</f>
        <v>0</v>
      </c>
      <c r="Q132" s="1138">
        <f t="shared" ref="Q132:Q136" si="167">SUM(J132:P132)-K132-M132</f>
        <v>7240.63</v>
      </c>
      <c r="R132" s="1137">
        <f t="shared" ref="R132:R136" si="168">ROUND(((H132+L132+N132+O132+P132)*0.0483),2)</f>
        <v>296.58999999999997</v>
      </c>
      <c r="S132" s="1137">
        <f>ROUND((VLOOKUP(C132,distribucion!G$8:FP$152,151,0)),2)</f>
        <v>162</v>
      </c>
      <c r="T132" s="1137">
        <f>ROUND((VLOOKUP(C132,distribucion!G$8:FP$152,152,0)),2)</f>
        <v>0</v>
      </c>
      <c r="U132" s="1137">
        <f>ROUND((VLOOKUP(C132,distribucion!G$8:FP$152,153,0)),2)</f>
        <v>0</v>
      </c>
      <c r="V132" s="1137">
        <f>ROUND((VLOOKUP(C132,distribucion!$G$1:$FJ$152,159,0)),2)</f>
        <v>0</v>
      </c>
      <c r="W132" s="1137">
        <f>ROUND((VLOOKUP(C132,distribucion!$G$1:$FJ$152,158,0)),2)</f>
        <v>0</v>
      </c>
      <c r="X132" s="1137">
        <f>ROUND((VLOOKUP(C132,distribucion!$G$1:$FJ$152,154,0)),2)</f>
        <v>0</v>
      </c>
      <c r="Y132" s="1137">
        <f>ROUND((VLOOKUP(C132,distribucion!G$8:FP$152,160,0)),2)</f>
        <v>0</v>
      </c>
      <c r="Z132" s="1139">
        <f t="shared" ref="Z132:Z136" si="169">SUM(R132:Y132)</f>
        <v>458.59</v>
      </c>
      <c r="AA132" s="1140">
        <f>Q132-Z132</f>
        <v>6782.04</v>
      </c>
      <c r="AB132" s="1067">
        <v>2855.75</v>
      </c>
      <c r="AC132" s="1068">
        <f t="shared" si="160"/>
        <v>3926.29</v>
      </c>
      <c r="AD132" s="1067">
        <f>AA132-AB132-AC132</f>
        <v>0</v>
      </c>
      <c r="AE132" s="1067">
        <f t="shared" si="98"/>
        <v>0</v>
      </c>
      <c r="AG132" s="1030"/>
    </row>
    <row r="133" spans="2:40" s="1097" customFormat="1" ht="30" customHeight="1">
      <c r="B133" s="1127">
        <v>40</v>
      </c>
      <c r="C133" s="1141" t="str">
        <f>+distribucion!G122</f>
        <v>Garcia Lopez Bianca Magdalena</v>
      </c>
      <c r="D133" s="1137" t="str">
        <f>VLOOKUP(C133,distribucion!G$8:FP$152,2,0)</f>
        <v>Asistente de Control de Calidad</v>
      </c>
      <c r="E133" s="1314">
        <f t="shared" ref="E133" si="170">H133+L133+N133+O133</f>
        <v>3944.22</v>
      </c>
      <c r="F133" s="1073">
        <f>VLOOKUP(C133,distribucion!G66:M153,7,FALSE)</f>
        <v>25</v>
      </c>
      <c r="G133" s="1142" t="str">
        <f>VLOOKUP(C133,distribucion!$G$8:$DV$152,14,0)</f>
        <v>ssp del 11 al 15/5 alta el 16/5</v>
      </c>
      <c r="H133" s="1065">
        <f>ROUND((VLOOKUP(C133,distribucion!G$1:FP$152,130,0)),2)</f>
        <v>3656.29</v>
      </c>
      <c r="I133" s="1065">
        <f>ROUND((VLOOKUP(C133,distribucion!G$8:FO$152,131,0)),2)</f>
        <v>927.04</v>
      </c>
      <c r="J133" s="1065">
        <f t="shared" ref="J133" si="171">H133+I133</f>
        <v>4583.33</v>
      </c>
      <c r="K133" s="1065">
        <f>VLOOKUP(C133,distribucion!G$8:FP$152,132,0)</f>
        <v>10.5</v>
      </c>
      <c r="L133" s="1065">
        <f>ROUND((VLOOKUP(C133,distribucion!G$8:FP$152,133,0)),2)</f>
        <v>287.93</v>
      </c>
      <c r="M133" s="1065">
        <f>VLOOKUP(C133,distribucion!G$8:FP$152,134,0)</f>
        <v>0</v>
      </c>
      <c r="N133" s="1065">
        <f>ROUND((VLOOKUP(C133,distribucion!G$8:FP$152,135,0)),2)</f>
        <v>0</v>
      </c>
      <c r="O133" s="1028">
        <v>0</v>
      </c>
      <c r="P133" s="1137">
        <f>ROUND((VLOOKUP(C133,distribucion!G$8:FP$152,36,0)),2)</f>
        <v>0</v>
      </c>
      <c r="Q133" s="1138">
        <f t="shared" ref="Q133" si="172">SUM(J133:P133)-K133-M133</f>
        <v>4871.26</v>
      </c>
      <c r="R133" s="1137">
        <f t="shared" ref="R133" si="173">ROUND(((H133+L133+N133+O133+P133)*0.0483),2)</f>
        <v>190.51</v>
      </c>
      <c r="S133" s="1137">
        <f>ROUND((VLOOKUP(C133,distribucion!G$8:FP$152,151,0)),2)</f>
        <v>0</v>
      </c>
      <c r="T133" s="1137">
        <f>ROUND((VLOOKUP(C133,distribucion!G$8:FP$152,152,0)),2)</f>
        <v>0</v>
      </c>
      <c r="U133" s="1137">
        <f>ROUND((VLOOKUP(C133,distribucion!G$8:FP$152,153,0)),2)</f>
        <v>0</v>
      </c>
      <c r="V133" s="1137">
        <f>ROUND((VLOOKUP(C133,distribucion!$G$1:$FJ$152,159,0)),2)</f>
        <v>0</v>
      </c>
      <c r="W133" s="1137">
        <f>ROUND((VLOOKUP(C133,distribucion!$G$1:$FJ$152,158,0)),2)</f>
        <v>0</v>
      </c>
      <c r="X133" s="1137">
        <f>ROUND((VLOOKUP(C133,distribucion!$G$1:$FJ$152,154,0)),2)</f>
        <v>0</v>
      </c>
      <c r="Y133" s="1137">
        <f>ROUND((VLOOKUP(C133,distribucion!G$8:FP$152,160,0)),2)</f>
        <v>0</v>
      </c>
      <c r="Z133" s="1139">
        <f t="shared" ref="Z133" si="174">SUM(R133:Y133)</f>
        <v>190.51</v>
      </c>
      <c r="AA133" s="1140">
        <f>Q133-Z133</f>
        <v>4680.75</v>
      </c>
      <c r="AB133" s="1067">
        <v>1762.6999999999998</v>
      </c>
      <c r="AC133" s="1068">
        <f t="shared" si="160"/>
        <v>2918.05</v>
      </c>
      <c r="AD133" s="1067"/>
      <c r="AE133" s="1067"/>
      <c r="AG133" s="1030"/>
    </row>
    <row r="134" spans="2:40" s="1097" customFormat="1" ht="30" customHeight="1">
      <c r="B134" s="1127">
        <v>41</v>
      </c>
      <c r="C134" s="1141" t="str">
        <f>+distribucion!G123</f>
        <v>Manuel Oxlaj Edgar Humberto</v>
      </c>
      <c r="D134" s="1137" t="str">
        <f>VLOOKUP(C134,distribucion!G$8:FP$152,2,0)</f>
        <v>Auxiliar de Control De Calidad</v>
      </c>
      <c r="E134" s="1314">
        <f t="shared" ref="E134" si="175">H134+L134+N134+O134</f>
        <v>4279.38</v>
      </c>
      <c r="F134" s="1073">
        <f>VLOOKUP(C134,distribucion!G66:M153,7,FALSE)</f>
        <v>30</v>
      </c>
      <c r="G134" s="1142">
        <f>VLOOKUP(C134,distribucion!$G$8:$DV$152,14,0)</f>
        <v>0</v>
      </c>
      <c r="H134" s="1065">
        <f>ROUND((VLOOKUP(C134,distribucion!G$1:FP$152,130,0)),2)</f>
        <v>4100</v>
      </c>
      <c r="I134" s="1065">
        <f>ROUND((VLOOKUP(C134,distribucion!G$8:FO$152,131,0)),2)</f>
        <v>550</v>
      </c>
      <c r="J134" s="1065">
        <f t="shared" ref="J134" si="176">H134+I134</f>
        <v>4650</v>
      </c>
      <c r="K134" s="1065">
        <f>VLOOKUP(C134,distribucion!G$8:FP$152,132,0)</f>
        <v>7</v>
      </c>
      <c r="L134" s="1065">
        <f>ROUND((VLOOKUP(C134,distribucion!G$8:FP$152,133,0)),2)</f>
        <v>179.38</v>
      </c>
      <c r="M134" s="1065">
        <f>VLOOKUP(C134,distribucion!G$8:FP$152,134,0)</f>
        <v>0</v>
      </c>
      <c r="N134" s="1065">
        <f>ROUND((VLOOKUP(C134,distribucion!G$8:FP$152,135,0)),2)</f>
        <v>0</v>
      </c>
      <c r="O134" s="1028">
        <v>0</v>
      </c>
      <c r="P134" s="1137">
        <f>ROUND((VLOOKUP(C134,distribucion!G$8:FP$152,36,0)),2)</f>
        <v>0</v>
      </c>
      <c r="Q134" s="1138">
        <f t="shared" ref="Q134" si="177">SUM(J134:P134)-K134-M134</f>
        <v>4829.38</v>
      </c>
      <c r="R134" s="1137">
        <f t="shared" ref="R134" si="178">ROUND(((H134+L134+N134+O134+P134)*0.0483),2)</f>
        <v>206.69</v>
      </c>
      <c r="S134" s="1137">
        <f>ROUND((VLOOKUP(C134,distribucion!G$8:FP$152,151,0)),2)</f>
        <v>59</v>
      </c>
      <c r="T134" s="1137">
        <f>ROUND((VLOOKUP(C134,distribucion!G$8:FP$152,152,0)),2)</f>
        <v>0</v>
      </c>
      <c r="U134" s="1137">
        <f>ROUND((VLOOKUP(C134,distribucion!G$8:FP$152,153,0)),2)</f>
        <v>0</v>
      </c>
      <c r="V134" s="1137">
        <f>ROUND((VLOOKUP(C134,distribucion!$G$1:$FJ$152,159,0)),2)</f>
        <v>0</v>
      </c>
      <c r="W134" s="1137">
        <f>ROUND((VLOOKUP(C134,distribucion!$G$1:$FJ$152,158,0)),2)</f>
        <v>0</v>
      </c>
      <c r="X134" s="1137">
        <f>ROUND((VLOOKUP(C134,distribucion!$G$1:$FJ$152,154,0)),2)</f>
        <v>0</v>
      </c>
      <c r="Y134" s="1137">
        <f>ROUND((VLOOKUP(C134,distribucion!G$8:FP$152,160,0)),2)</f>
        <v>0</v>
      </c>
      <c r="Z134" s="1139">
        <f t="shared" ref="Z134" si="179">SUM(R134:Y134)</f>
        <v>265.69</v>
      </c>
      <c r="AA134" s="1140">
        <f>Q134-Z134</f>
        <v>4563.6900000000005</v>
      </c>
      <c r="AB134" s="1067">
        <v>2199.1799999999998</v>
      </c>
      <c r="AC134" s="1068">
        <f t="shared" si="160"/>
        <v>2364.5100000000007</v>
      </c>
      <c r="AD134" s="1067">
        <f>AA134-AB134-AC134</f>
        <v>0</v>
      </c>
      <c r="AE134" s="1067">
        <f t="shared" ref="AE134" si="180">((I134+H134+L134+O134++P134)-SUM(R134:Y134))-AA134</f>
        <v>0</v>
      </c>
      <c r="AG134" s="1030"/>
    </row>
    <row r="135" spans="2:40" s="1097" customFormat="1" ht="30" customHeight="1">
      <c r="B135" s="1127">
        <v>42</v>
      </c>
      <c r="C135" s="1141" t="str">
        <f>+distribucion!G124</f>
        <v>Chamale  Peque Jorge Raul</v>
      </c>
      <c r="D135" s="1137" t="str">
        <f>VLOOKUP(C135,distribucion!G$8:FP$152,2,0)</f>
        <v>Auxiliar de Control De Calidad</v>
      </c>
      <c r="E135" s="1314">
        <f t="shared" ref="E135" si="181">H135+L135+N135+O135</f>
        <v>5009.6900000000005</v>
      </c>
      <c r="F135" s="1073">
        <f>VLOOKUP(C135,distribucion!G66:M153,7,FALSE)</f>
        <v>30</v>
      </c>
      <c r="G135" s="1142">
        <f>VLOOKUP(C135,distribucion!$G$8:$DV$152,14,0)</f>
        <v>0</v>
      </c>
      <c r="H135" s="1065">
        <f>ROUND((VLOOKUP(C135,distribucion!G$1:FP$152,130,0)),2)</f>
        <v>4100</v>
      </c>
      <c r="I135" s="1065">
        <f>ROUND((VLOOKUP(C135,distribucion!G$8:FO$152,131,0)),2)</f>
        <v>300</v>
      </c>
      <c r="J135" s="1065">
        <f t="shared" ref="J135" si="182">H135+I135</f>
        <v>4400</v>
      </c>
      <c r="K135" s="1065">
        <f>VLOOKUP(C135,distribucion!G$8:FP$152,132,0)</f>
        <v>35.5</v>
      </c>
      <c r="L135" s="1065">
        <f>ROUND((VLOOKUP(C135,distribucion!G$8:FP$152,133,0)),2)</f>
        <v>909.69</v>
      </c>
      <c r="M135" s="1065">
        <f>VLOOKUP(C135,distribucion!G$8:FP$152,134,0)</f>
        <v>0</v>
      </c>
      <c r="N135" s="1065">
        <f>ROUND((VLOOKUP(C135,distribucion!G$8:FP$152,135,0)),2)</f>
        <v>0</v>
      </c>
      <c r="O135" s="1028">
        <v>0</v>
      </c>
      <c r="P135" s="1137">
        <f>ROUND((VLOOKUP(C135,distribucion!G$8:FP$152,36,0)),2)</f>
        <v>0</v>
      </c>
      <c r="Q135" s="1138">
        <f t="shared" ref="Q135" si="183">SUM(J135:P135)-K135-M135</f>
        <v>5309.6900000000005</v>
      </c>
      <c r="R135" s="1137">
        <f t="shared" ref="R135" si="184">ROUND(((H135+L135+N135+O135+P135)*0.0483),2)</f>
        <v>241.97</v>
      </c>
      <c r="S135" s="1137">
        <f>ROUND((VLOOKUP(C135,distribucion!G$8:FP$152,151,0)),2)</f>
        <v>0</v>
      </c>
      <c r="T135" s="1137">
        <f>ROUND((VLOOKUP(C135,distribucion!G$8:FP$152,152,0)),2)</f>
        <v>0</v>
      </c>
      <c r="U135" s="1137">
        <f>ROUND((VLOOKUP(C135,distribucion!G$8:FP$152,153,0)),2)</f>
        <v>0</v>
      </c>
      <c r="V135" s="1137">
        <f>ROUND((VLOOKUP(C135,distribucion!$G$1:$FJ$152,159,0)),2)</f>
        <v>72.75</v>
      </c>
      <c r="W135" s="1137">
        <f>ROUND((VLOOKUP(C135,distribucion!$G$1:$FJ$152,158,0)),2)</f>
        <v>162.5</v>
      </c>
      <c r="X135" s="1137">
        <f>ROUND((VLOOKUP(C135,distribucion!$G$1:$FJ$152,154,0)),2)</f>
        <v>360</v>
      </c>
      <c r="Y135" s="1137">
        <f>ROUND((VLOOKUP(C135,distribucion!G$8:FP$152,160,0)),2)</f>
        <v>0</v>
      </c>
      <c r="Z135" s="1139">
        <f t="shared" ref="Z135" si="185">SUM(R135:Y135)</f>
        <v>837.22</v>
      </c>
      <c r="AA135" s="1140">
        <f>Q135-Z135</f>
        <v>4472.47</v>
      </c>
      <c r="AB135" s="1067">
        <v>1786.98</v>
      </c>
      <c r="AC135" s="1068">
        <f t="shared" si="160"/>
        <v>2685.4900000000002</v>
      </c>
      <c r="AD135" s="1067"/>
      <c r="AE135" s="1067"/>
      <c r="AG135" s="1030"/>
    </row>
    <row r="136" spans="2:40" s="1097" customFormat="1" ht="30" customHeight="1">
      <c r="B136" s="1127">
        <v>43</v>
      </c>
      <c r="C136" s="1141" t="s">
        <v>612</v>
      </c>
      <c r="D136" s="1137" t="str">
        <f>VLOOKUP(C136,distribucion!G$8:FP$152,2,0)</f>
        <v>Auxiliar de Control De Calidad</v>
      </c>
      <c r="E136" s="1314">
        <f t="shared" si="154"/>
        <v>4996.88</v>
      </c>
      <c r="F136" s="1073">
        <f>VLOOKUP(C136,distribucion!G67:M152,7,FALSE)</f>
        <v>30</v>
      </c>
      <c r="G136" s="1142">
        <f>VLOOKUP(C136,distribucion!$G$8:$DV$152,14,0)</f>
        <v>0</v>
      </c>
      <c r="H136" s="1065">
        <f>ROUND((VLOOKUP(C136,distribucion!G$1:FP$152,130,0)),2)</f>
        <v>4100</v>
      </c>
      <c r="I136" s="1065">
        <f>ROUND((VLOOKUP(C136,distribucion!G$8:FO$152,131,0)),2)</f>
        <v>600</v>
      </c>
      <c r="J136" s="1065">
        <f t="shared" ref="J136" si="186">H136+I136</f>
        <v>4700</v>
      </c>
      <c r="K136" s="1065">
        <f>VLOOKUP(C136,distribucion!G$8:FP$152,132,0)</f>
        <v>35</v>
      </c>
      <c r="L136" s="1065">
        <f>ROUND((VLOOKUP(C136,distribucion!G$8:FP$152,133,0)),2)</f>
        <v>896.88</v>
      </c>
      <c r="M136" s="1065">
        <f>VLOOKUP(C136,distribucion!G$8:FP$152,134,0)</f>
        <v>0</v>
      </c>
      <c r="N136" s="1065">
        <f>ROUND((VLOOKUP(C136,distribucion!G$8:FP$152,135,0)),2)</f>
        <v>0</v>
      </c>
      <c r="O136" s="1028">
        <v>0</v>
      </c>
      <c r="P136" s="1137">
        <f>ROUND((VLOOKUP(C136,distribucion!G$8:FP$152,36,0)),2)</f>
        <v>0</v>
      </c>
      <c r="Q136" s="1138">
        <f t="shared" si="167"/>
        <v>5596.88</v>
      </c>
      <c r="R136" s="1137">
        <f t="shared" si="168"/>
        <v>241.35</v>
      </c>
      <c r="S136" s="1137">
        <f>ROUND((VLOOKUP(C136,distribucion!G$8:FP$152,151,0)),2)</f>
        <v>160</v>
      </c>
      <c r="T136" s="1137">
        <f>ROUND((VLOOKUP(C136,distribucion!G$8:FP$152,152,0)),2)</f>
        <v>0</v>
      </c>
      <c r="U136" s="1137">
        <f>ROUND((VLOOKUP(C136,distribucion!G$8:FP$152,153,0)),2)</f>
        <v>0</v>
      </c>
      <c r="V136" s="1137">
        <f>ROUND((VLOOKUP(C136,distribucion!$G$1:$FJ$152,159,0)),2)</f>
        <v>0</v>
      </c>
      <c r="W136" s="1137">
        <f>ROUND((VLOOKUP(C136,distribucion!$G$1:$FJ$152,158,0)),2)</f>
        <v>0</v>
      </c>
      <c r="X136" s="1137">
        <f>ROUND((VLOOKUP(C136,distribucion!$G$1:$FJ$152,154,0)),2)</f>
        <v>0</v>
      </c>
      <c r="Y136" s="1137">
        <f>ROUND((VLOOKUP(C136,distribucion!G$8:FP$152,160,0)),2)</f>
        <v>0</v>
      </c>
      <c r="Z136" s="1139">
        <f t="shared" si="169"/>
        <v>401.35</v>
      </c>
      <c r="AA136" s="1140">
        <f t="shared" ref="AA136" si="187">Q136-Z136</f>
        <v>5195.53</v>
      </c>
      <c r="AB136" s="1067">
        <v>2176.98</v>
      </c>
      <c r="AC136" s="1068">
        <f t="shared" si="160"/>
        <v>3018.5499999999997</v>
      </c>
      <c r="AD136" s="1067">
        <f t="shared" si="97"/>
        <v>0</v>
      </c>
      <c r="AE136" s="1067">
        <f t="shared" si="98"/>
        <v>0</v>
      </c>
      <c r="AG136" s="1030"/>
    </row>
    <row r="137" spans="2:40" s="1077" customFormat="1" ht="30" customHeight="1">
      <c r="B137" s="1127"/>
      <c r="C137" s="1114" t="s">
        <v>52</v>
      </c>
      <c r="D137" s="1128" t="s">
        <v>130</v>
      </c>
      <c r="G137" s="1144"/>
      <c r="H137" s="1145">
        <f t="shared" ref="H137:AC137" si="188">SUM(H128:H136)</f>
        <v>32276.29</v>
      </c>
      <c r="I137" s="1145">
        <f t="shared" si="188"/>
        <v>7677.04</v>
      </c>
      <c r="J137" s="1145">
        <f t="shared" si="188"/>
        <v>39953.33</v>
      </c>
      <c r="K137" s="1145">
        <f t="shared" si="188"/>
        <v>135.5</v>
      </c>
      <c r="L137" s="1145">
        <f t="shared" si="188"/>
        <v>3744.51</v>
      </c>
      <c r="M137" s="1145">
        <f t="shared" si="188"/>
        <v>0</v>
      </c>
      <c r="N137" s="1145">
        <f t="shared" si="188"/>
        <v>0</v>
      </c>
      <c r="O137" s="1145">
        <f t="shared" si="188"/>
        <v>0</v>
      </c>
      <c r="P137" s="1145">
        <f t="shared" si="188"/>
        <v>0</v>
      </c>
      <c r="Q137" s="1145">
        <f t="shared" si="188"/>
        <v>43697.84</v>
      </c>
      <c r="R137" s="1145">
        <f t="shared" si="188"/>
        <v>1739.81</v>
      </c>
      <c r="S137" s="1145">
        <f t="shared" si="188"/>
        <v>782.51</v>
      </c>
      <c r="T137" s="1145">
        <f t="shared" si="188"/>
        <v>0</v>
      </c>
      <c r="U137" s="1145">
        <f t="shared" si="188"/>
        <v>0</v>
      </c>
      <c r="V137" s="1145">
        <f t="shared" si="188"/>
        <v>72.75</v>
      </c>
      <c r="W137" s="1145">
        <f t="shared" si="188"/>
        <v>162.5</v>
      </c>
      <c r="X137" s="1145">
        <f t="shared" si="188"/>
        <v>1074.25</v>
      </c>
      <c r="Y137" s="1145">
        <f t="shared" si="188"/>
        <v>0</v>
      </c>
      <c r="Z137" s="1145">
        <f t="shared" si="188"/>
        <v>3831.82</v>
      </c>
      <c r="AA137" s="1145">
        <f t="shared" si="188"/>
        <v>39866.020000000004</v>
      </c>
      <c r="AB137" s="1145">
        <f t="shared" si="188"/>
        <v>17761.95</v>
      </c>
      <c r="AC137" s="1145">
        <f t="shared" si="188"/>
        <v>22104.070000000003</v>
      </c>
      <c r="AD137" s="1067">
        <f t="shared" si="97"/>
        <v>0</v>
      </c>
      <c r="AE137" s="1067">
        <f t="shared" si="98"/>
        <v>0</v>
      </c>
      <c r="AG137" s="1030"/>
    </row>
    <row r="138" spans="2:40" s="1077" customFormat="1" ht="30" customHeight="1">
      <c r="B138" s="1127"/>
      <c r="C138" s="1076"/>
      <c r="G138" s="1144"/>
      <c r="H138" s="1146" t="s">
        <v>52</v>
      </c>
      <c r="I138" s="1146" t="s">
        <v>52</v>
      </c>
      <c r="J138" s="1146" t="s">
        <v>52</v>
      </c>
      <c r="K138" s="1146"/>
      <c r="L138" s="1146"/>
      <c r="M138" s="1146"/>
      <c r="N138" s="1146"/>
      <c r="O138" s="1146"/>
      <c r="P138" s="1146"/>
      <c r="Q138" s="1146"/>
      <c r="R138" s="1146"/>
      <c r="S138" s="1146"/>
      <c r="T138" s="1146"/>
      <c r="U138" s="1146"/>
      <c r="V138" s="1146"/>
      <c r="W138" s="1146"/>
      <c r="X138" s="1147"/>
      <c r="Y138" s="1146"/>
      <c r="Z138" s="1146"/>
      <c r="AA138" s="1146"/>
      <c r="AB138" s="1146"/>
      <c r="AC138" s="1146"/>
      <c r="AD138" s="1067">
        <f t="shared" si="97"/>
        <v>0</v>
      </c>
      <c r="AE138" s="1067" t="e">
        <f t="shared" si="98"/>
        <v>#VALUE!</v>
      </c>
      <c r="AG138" s="1030"/>
    </row>
    <row r="139" spans="2:40" ht="30" customHeight="1">
      <c r="C139" s="1148" t="s">
        <v>112</v>
      </c>
      <c r="D139" s="1081"/>
      <c r="E139" s="1078"/>
      <c r="F139" s="1079"/>
      <c r="G139" s="1074"/>
      <c r="H139" s="1022"/>
      <c r="I139" s="1022"/>
      <c r="J139" s="1022"/>
      <c r="K139" s="1022"/>
      <c r="L139" s="1022"/>
      <c r="M139" s="1022"/>
      <c r="N139" s="1022"/>
      <c r="O139" s="1022"/>
      <c r="P139" s="1022"/>
      <c r="Q139" s="1022"/>
      <c r="R139" s="1022"/>
      <c r="S139" s="1022"/>
      <c r="T139" s="1022"/>
      <c r="U139" s="1022"/>
      <c r="V139" s="1022"/>
      <c r="W139" s="1022"/>
      <c r="X139" s="1106"/>
      <c r="Y139" s="1022"/>
      <c r="Z139" s="1113"/>
      <c r="AA139" s="1022"/>
      <c r="AB139" s="1067"/>
      <c r="AC139" s="1107"/>
      <c r="AD139" s="1067">
        <f t="shared" si="97"/>
        <v>0</v>
      </c>
      <c r="AE139" s="1067">
        <f t="shared" si="98"/>
        <v>0</v>
      </c>
    </row>
    <row r="140" spans="2:40" ht="30" customHeight="1">
      <c r="B140" s="1018" t="s">
        <v>52</v>
      </c>
      <c r="C140" s="1149" t="s">
        <v>623</v>
      </c>
      <c r="D140" s="1137"/>
      <c r="E140" s="1140"/>
      <c r="F140" s="1143"/>
      <c r="G140" s="1142"/>
      <c r="H140" s="1028"/>
      <c r="I140" s="1028"/>
      <c r="J140" s="1028"/>
      <c r="K140" s="1028"/>
      <c r="L140" s="1028"/>
      <c r="M140" s="1028"/>
      <c r="N140" s="1028"/>
      <c r="O140" s="1028"/>
      <c r="P140" s="1075"/>
      <c r="Q140" s="1028"/>
      <c r="R140" s="1028"/>
      <c r="S140" s="1028"/>
      <c r="T140" s="1028"/>
      <c r="U140" s="1028"/>
      <c r="V140" s="1028"/>
      <c r="W140" s="1028"/>
      <c r="X140" s="1087"/>
      <c r="Y140" s="1028"/>
      <c r="Z140" s="1067"/>
      <c r="AA140" s="1028"/>
      <c r="AB140" s="1067"/>
      <c r="AC140" s="1068"/>
      <c r="AD140" s="1067">
        <f t="shared" si="97"/>
        <v>0</v>
      </c>
      <c r="AE140" s="1067">
        <f t="shared" si="98"/>
        <v>0</v>
      </c>
    </row>
    <row r="141" spans="2:40" ht="30" customHeight="1">
      <c r="B141" s="1018">
        <v>44</v>
      </c>
      <c r="C141" s="1141" t="s">
        <v>421</v>
      </c>
      <c r="D141" s="1137" t="str">
        <f>VLOOKUP(C141,distribucion!G$8:FP$152,2,0)</f>
        <v>Jefe de Mantenimiento</v>
      </c>
      <c r="E141" s="1317">
        <f>H141+L141+N141</f>
        <v>6500</v>
      </c>
      <c r="F141" s="1073">
        <f>VLOOKUP(C141,distribucion!G71:M156,7,FALSE)</f>
        <v>30</v>
      </c>
      <c r="G141" s="1142">
        <f>VLOOKUP(C141,distribucion!$G$8:$DV$152,14,0)</f>
        <v>0</v>
      </c>
      <c r="H141" s="1234">
        <f>ROUND((VLOOKUP(C141,distribucion!G$1:FP$152,130,0)),2)</f>
        <v>6500</v>
      </c>
      <c r="I141" s="1065">
        <f>ROUND((VLOOKUP(C141,distribucion!G$8:FO$152,131,0)),2)</f>
        <v>1800</v>
      </c>
      <c r="J141" s="1065">
        <f t="shared" ref="J141" si="189">H141+I141</f>
        <v>8300</v>
      </c>
      <c r="K141" s="1065">
        <f>VLOOKUP(C141,distribucion!G$8:FP$152,132,0)</f>
        <v>0</v>
      </c>
      <c r="L141" s="1065">
        <f>ROUND((VLOOKUP(C141,distribucion!G$8:FP$152,133,0)),2)</f>
        <v>0</v>
      </c>
      <c r="M141" s="1065">
        <f>VLOOKUP(C141,distribucion!G$8:FP$152,134,0)</f>
        <v>0</v>
      </c>
      <c r="N141" s="1065">
        <f>ROUND((VLOOKUP(C141,distribucion!G$8:FP$152,135,0)),2)</f>
        <v>0</v>
      </c>
      <c r="O141" s="1028">
        <v>0</v>
      </c>
      <c r="P141" s="1137">
        <f>ROUND((VLOOKUP(C141,distribucion!G$8:FP$152,36,0)),2)</f>
        <v>0</v>
      </c>
      <c r="Q141" s="1138">
        <f>SUM(J141:P141)-K141-M141</f>
        <v>8300</v>
      </c>
      <c r="R141" s="1137">
        <f>ROUND(((H141+L141+N141+O141+P141)*0.0483),2)</f>
        <v>313.95</v>
      </c>
      <c r="S141" s="1137">
        <f>ROUND((VLOOKUP(C141,distribucion!G$8:FP$152,151,0)),2)</f>
        <v>213</v>
      </c>
      <c r="T141" s="1137">
        <f>ROUND((VLOOKUP(C141,distribucion!G$8:FP$152,152,0)),2)</f>
        <v>0</v>
      </c>
      <c r="U141" s="1137">
        <f>ROUND((VLOOKUP(C141,distribucion!G$8:FP$152,153,0)),2)</f>
        <v>0</v>
      </c>
      <c r="V141" s="1137">
        <f>ROUND((VLOOKUP(C141,distribucion!$G$1:$FJ$152,159,0)),2)</f>
        <v>0</v>
      </c>
      <c r="W141" s="1137">
        <f>ROUND((VLOOKUP(C141,distribucion!$G$1:$FJ$152,158,0)),2)</f>
        <v>0</v>
      </c>
      <c r="X141" s="1138">
        <f>ROUND((VLOOKUP(C141,distribucion!$G$1:$FJ$152,154,0)),2)</f>
        <v>651</v>
      </c>
      <c r="Y141" s="1137">
        <f>ROUND((VLOOKUP(C141,distribucion!G$8:FP$152,160,0)),2)</f>
        <v>350</v>
      </c>
      <c r="Z141" s="1139">
        <f>SUM(R141:Y141)</f>
        <v>1527.95</v>
      </c>
      <c r="AA141" s="1140">
        <f>Q141-Z141</f>
        <v>6772.05</v>
      </c>
      <c r="AB141" s="1067">
        <v>3935.52</v>
      </c>
      <c r="AC141" s="1068">
        <f t="shared" ref="AC141" si="190">+AA141-AB141</f>
        <v>2836.53</v>
      </c>
      <c r="AD141" s="1067">
        <f t="shared" si="97"/>
        <v>0</v>
      </c>
      <c r="AE141" s="1067">
        <f t="shared" si="98"/>
        <v>0</v>
      </c>
    </row>
    <row r="142" spans="2:40" ht="30" customHeight="1">
      <c r="C142" s="1149" t="s">
        <v>656</v>
      </c>
      <c r="D142" s="1137" t="s">
        <v>52</v>
      </c>
      <c r="E142" s="1097"/>
      <c r="F142" s="1073"/>
      <c r="G142" s="1142"/>
      <c r="H142" s="1028"/>
      <c r="I142" s="1139"/>
      <c r="J142" s="1140"/>
      <c r="K142" s="1139"/>
      <c r="L142" s="1137"/>
      <c r="M142" s="1137"/>
      <c r="N142" s="1137"/>
      <c r="O142" s="1137"/>
      <c r="P142" s="1137"/>
      <c r="Q142" s="1138"/>
      <c r="R142" s="1137"/>
      <c r="S142" s="1137"/>
      <c r="T142" s="1137"/>
      <c r="U142" s="1137"/>
      <c r="V142" s="1137"/>
      <c r="W142" s="1137"/>
      <c r="X142" s="1138"/>
      <c r="Y142" s="1137"/>
      <c r="Z142" s="1139"/>
      <c r="AA142" s="1140"/>
      <c r="AB142" s="1067"/>
      <c r="AC142" s="1068"/>
      <c r="AD142" s="1067">
        <f t="shared" si="97"/>
        <v>0</v>
      </c>
      <c r="AE142" s="1067">
        <f t="shared" si="98"/>
        <v>0</v>
      </c>
    </row>
    <row r="143" spans="2:40" ht="30" customHeight="1">
      <c r="C143" s="1141"/>
      <c r="D143" s="1137"/>
      <c r="E143" s="1072"/>
      <c r="F143" s="1073"/>
      <c r="G143" s="1142"/>
      <c r="H143" s="1065"/>
      <c r="I143" s="1065"/>
      <c r="J143" s="1065"/>
      <c r="K143" s="1065"/>
      <c r="L143" s="1065"/>
      <c r="M143" s="1065"/>
      <c r="N143" s="1065"/>
      <c r="O143" s="1028"/>
      <c r="P143" s="1137"/>
      <c r="Q143" s="1138"/>
      <c r="R143" s="1137"/>
      <c r="S143" s="1137"/>
      <c r="T143" s="1137"/>
      <c r="U143" s="1137"/>
      <c r="V143" s="1137"/>
      <c r="W143" s="1137"/>
      <c r="X143" s="1138"/>
      <c r="Y143" s="1137"/>
      <c r="Z143" s="1139"/>
      <c r="AA143" s="1140"/>
      <c r="AB143" s="1067"/>
      <c r="AC143" s="1068"/>
      <c r="AD143" s="1067"/>
      <c r="AE143" s="1067"/>
    </row>
    <row r="144" spans="2:40" ht="30" customHeight="1">
      <c r="B144" s="1018">
        <v>45</v>
      </c>
      <c r="C144" s="1141" t="s">
        <v>674</v>
      </c>
      <c r="D144" s="1137" t="str">
        <f>VLOOKUP(C144,distribucion!G$8:FP$152,2,0)</f>
        <v>Tecnico industrial</v>
      </c>
      <c r="E144" s="1314">
        <f t="shared" ref="E144:E146" si="191">H144+L144+N144+O144</f>
        <v>4488.75</v>
      </c>
      <c r="F144" s="1073">
        <f>VLOOKUP(C144,distribucion!G74:M159,7,FALSE)</f>
        <v>30</v>
      </c>
      <c r="G144" s="1142">
        <v>0</v>
      </c>
      <c r="H144" s="1065">
        <f>ROUND((VLOOKUP(C144,distribucion!G$1:FP$152,130,0)),2)</f>
        <v>4200</v>
      </c>
      <c r="I144" s="1065">
        <f>ROUND((VLOOKUP(C144,distribucion!G$8:FO$152,131,0)),2)</f>
        <v>2900</v>
      </c>
      <c r="J144" s="1065">
        <f t="shared" ref="J144" si="192">H144+I144</f>
        <v>7100</v>
      </c>
      <c r="K144" s="1065">
        <f>VLOOKUP(C144,distribucion!G$8:FP$152,132,0)</f>
        <v>11</v>
      </c>
      <c r="L144" s="1065">
        <f>ROUND((VLOOKUP(C144,distribucion!G$8:FP$152,133,0)),2)</f>
        <v>288.75</v>
      </c>
      <c r="M144" s="1065">
        <f>VLOOKUP(C144,distribucion!G$8:FP$152,134,0)</f>
        <v>0</v>
      </c>
      <c r="N144" s="1065">
        <f>ROUND((VLOOKUP(C144,distribucion!G$8:FP$152,135,0)),2)</f>
        <v>0</v>
      </c>
      <c r="O144" s="1028">
        <v>0</v>
      </c>
      <c r="P144" s="1137">
        <v>0</v>
      </c>
      <c r="Q144" s="1138">
        <f>SUM(J144:P144)-K144-M144</f>
        <v>7388.75</v>
      </c>
      <c r="R144" s="1137">
        <f>ROUND(((H144+L144+N144+O144+P144)*0.0483),2)</f>
        <v>216.81</v>
      </c>
      <c r="S144" s="1137">
        <f>ROUND((VLOOKUP(C144,distribucion!G$8:FP$152,151,0)),2)</f>
        <v>186</v>
      </c>
      <c r="T144" s="1137">
        <f>ROUND((VLOOKUP(C144,distribucion!G$8:FP$152,152,0)),2)</f>
        <v>0</v>
      </c>
      <c r="U144" s="1137">
        <f>ROUND((VLOOKUP(C144,distribucion!G$8:FP$152,153,0)),2)</f>
        <v>0</v>
      </c>
      <c r="V144" s="1137">
        <f>ROUND((VLOOKUP(C144,distribucion!$G$1:$FJ$152,159,0)),2)</f>
        <v>0</v>
      </c>
      <c r="W144" s="1137">
        <f>ROUND((VLOOKUP(C144,distribucion!$G$1:$FJ$152,158,0)),2)</f>
        <v>0</v>
      </c>
      <c r="X144" s="1138">
        <f>ROUND((VLOOKUP(C144,distribucion!$G$1:$FJ$152,154,0)),2)</f>
        <v>0</v>
      </c>
      <c r="Y144" s="1137">
        <f>ROUND((VLOOKUP(C144,distribucion!G$8:FP$152,160,0)),2)</f>
        <v>0</v>
      </c>
      <c r="Z144" s="1139">
        <f>SUM(R144:Y144)</f>
        <v>402.81</v>
      </c>
      <c r="AA144" s="1140">
        <f>Q144-Z144</f>
        <v>6985.94</v>
      </c>
      <c r="AB144" s="1067">
        <v>2310.5700000000002</v>
      </c>
      <c r="AC144" s="1068">
        <f t="shared" ref="AC144:AC146" si="193">+AA144-AB144</f>
        <v>4675.369999999999</v>
      </c>
      <c r="AD144" s="1067">
        <f t="shared" si="97"/>
        <v>0</v>
      </c>
      <c r="AE144" s="1067">
        <f t="shared" si="98"/>
        <v>0</v>
      </c>
    </row>
    <row r="145" spans="2:31" ht="30" customHeight="1">
      <c r="C145" s="1149" t="s">
        <v>654</v>
      </c>
      <c r="D145" s="1137" t="s">
        <v>52</v>
      </c>
      <c r="E145" s="1097"/>
      <c r="F145" s="1073"/>
      <c r="G145" s="1142"/>
      <c r="H145" s="1028"/>
      <c r="I145" s="1139"/>
      <c r="J145" s="1140"/>
      <c r="K145" s="1139"/>
      <c r="L145" s="1137"/>
      <c r="M145" s="1137"/>
      <c r="N145" s="1137"/>
      <c r="O145" s="1137"/>
      <c r="P145" s="1137"/>
      <c r="Q145" s="1138"/>
      <c r="R145" s="1137"/>
      <c r="S145" s="1137"/>
      <c r="T145" s="1137"/>
      <c r="U145" s="1137"/>
      <c r="V145" s="1137"/>
      <c r="W145" s="1137"/>
      <c r="X145" s="1138"/>
      <c r="Y145" s="1137"/>
      <c r="Z145" s="1139"/>
      <c r="AA145" s="1140"/>
      <c r="AB145" s="1067"/>
      <c r="AC145" s="1068"/>
      <c r="AD145" s="1067">
        <f t="shared" si="97"/>
        <v>0</v>
      </c>
      <c r="AE145" s="1067">
        <f t="shared" si="98"/>
        <v>0</v>
      </c>
    </row>
    <row r="146" spans="2:31" ht="30" customHeight="1">
      <c r="B146" s="1018">
        <v>46</v>
      </c>
      <c r="C146" s="1141" t="s">
        <v>673</v>
      </c>
      <c r="D146" s="1137" t="str">
        <f>VLOOKUP(C146,distribucion!G$8:FP$152,2,0)</f>
        <v>Auxiliar de Mantenimiento</v>
      </c>
      <c r="E146" s="1314">
        <f t="shared" si="191"/>
        <v>4052.3100000000004</v>
      </c>
      <c r="F146" s="1073">
        <f>VLOOKUP(C146,distribucion!G76:M161,7,FALSE)</f>
        <v>30</v>
      </c>
      <c r="G146" s="1142">
        <v>0</v>
      </c>
      <c r="H146" s="1065">
        <f>ROUND((VLOOKUP(C146,distribucion!G$1:FP$152,130,0)),2)</f>
        <v>4002.28</v>
      </c>
      <c r="I146" s="1065">
        <f>ROUND((VLOOKUP(C146,distribucion!G$8:FO$152,131,0)),2)</f>
        <v>1400</v>
      </c>
      <c r="J146" s="1065">
        <f t="shared" ref="J146" si="194">H146+I146</f>
        <v>5402.2800000000007</v>
      </c>
      <c r="K146" s="1065">
        <f>VLOOKUP(C146,distribucion!G$8:FP$152,132,0)</f>
        <v>2</v>
      </c>
      <c r="L146" s="1065">
        <f>ROUND((VLOOKUP(C146,distribucion!G$8:FP$152,133,0)),2)</f>
        <v>50.03</v>
      </c>
      <c r="M146" s="1065">
        <f>VLOOKUP(C146,distribucion!G$8:FP$152,134,0)</f>
        <v>0</v>
      </c>
      <c r="N146" s="1065">
        <f>ROUND((VLOOKUP(C146,distribucion!G$8:FP$152,135,0)),2)</f>
        <v>0</v>
      </c>
      <c r="O146" s="1028">
        <v>0</v>
      </c>
      <c r="P146" s="1137">
        <v>0</v>
      </c>
      <c r="Q146" s="1138">
        <f>SUM(J146:P146)-K146-M146</f>
        <v>5452.31</v>
      </c>
      <c r="R146" s="1137">
        <f>ROUND(((H146+L146+N146+O146+P146)*0.0483),2)</f>
        <v>195.73</v>
      </c>
      <c r="S146" s="1137">
        <f>ROUND((VLOOKUP(C146,distribucion!G$8:FP$152,151,0)),2)</f>
        <v>207</v>
      </c>
      <c r="T146" s="1137">
        <f>ROUND((VLOOKUP(C146,distribucion!G$8:FP$152,152,0)),2)</f>
        <v>0</v>
      </c>
      <c r="U146" s="1137">
        <f>ROUND((VLOOKUP(C146,distribucion!G$8:FP$152,153,0)),2)</f>
        <v>0</v>
      </c>
      <c r="V146" s="1137">
        <f>ROUND((VLOOKUP(C146,distribucion!$G$1:$FJ$152,159,0)),2)</f>
        <v>0</v>
      </c>
      <c r="W146" s="1137">
        <f>ROUND((VLOOKUP(C146,distribucion!$G$1:$FJ$152,158,0)),2)</f>
        <v>0</v>
      </c>
      <c r="X146" s="1138">
        <f>ROUND((VLOOKUP(C146,distribucion!$G$1:$FJ$152,154,0)),2)</f>
        <v>0</v>
      </c>
      <c r="Y146" s="1137">
        <f>ROUND((VLOOKUP(C146,distribucion!G$8:FP$152,160,0)),2)</f>
        <v>0</v>
      </c>
      <c r="Z146" s="1139">
        <f>SUM(R146:Y146)</f>
        <v>402.73</v>
      </c>
      <c r="AA146" s="1140">
        <f>Q146-Z146</f>
        <v>5049.58</v>
      </c>
      <c r="AB146" s="1067">
        <v>1958.4800000000002</v>
      </c>
      <c r="AC146" s="1068">
        <f t="shared" si="193"/>
        <v>3091.0999999999995</v>
      </c>
      <c r="AD146" s="1067">
        <f t="shared" ref="AD146:AD168" si="195">AA146-AB146-AC146</f>
        <v>0</v>
      </c>
      <c r="AE146" s="1067">
        <f t="shared" ref="AE146:AE168" si="196">((I146+H146+L146+O146++P146)-SUM(R146:Y146))-AA146</f>
        <v>0</v>
      </c>
    </row>
    <row r="147" spans="2:31" ht="30" customHeight="1">
      <c r="C147" s="981"/>
      <c r="D147" s="1081" t="s">
        <v>130</v>
      </c>
      <c r="E147" s="1078" t="s">
        <v>171</v>
      </c>
      <c r="F147" s="1079"/>
      <c r="G147" s="1074"/>
      <c r="H147" s="1088">
        <f>SUM(H141:H146)</f>
        <v>14702.28</v>
      </c>
      <c r="I147" s="1088">
        <f>SUM(I141:I146)</f>
        <v>6100</v>
      </c>
      <c r="J147" s="1088">
        <f>SUM(J141:J146)</f>
        <v>20802.28</v>
      </c>
      <c r="K147" s="1088">
        <f t="shared" ref="K147:AB147" si="197">SUM(K141:K146)</f>
        <v>13</v>
      </c>
      <c r="L147" s="1088">
        <f t="shared" si="197"/>
        <v>338.78</v>
      </c>
      <c r="M147" s="1088">
        <f t="shared" si="197"/>
        <v>0</v>
      </c>
      <c r="N147" s="1088">
        <f t="shared" si="197"/>
        <v>0</v>
      </c>
      <c r="O147" s="1088">
        <f t="shared" si="197"/>
        <v>0</v>
      </c>
      <c r="P147" s="1088">
        <f t="shared" si="197"/>
        <v>0</v>
      </c>
      <c r="Q147" s="1088">
        <f t="shared" si="197"/>
        <v>21141.06</v>
      </c>
      <c r="R147" s="1088">
        <f t="shared" si="197"/>
        <v>726.49</v>
      </c>
      <c r="S147" s="1088">
        <f t="shared" si="197"/>
        <v>606</v>
      </c>
      <c r="T147" s="1088">
        <f t="shared" si="197"/>
        <v>0</v>
      </c>
      <c r="U147" s="1088">
        <f t="shared" si="197"/>
        <v>0</v>
      </c>
      <c r="V147" s="1088">
        <f t="shared" si="197"/>
        <v>0</v>
      </c>
      <c r="W147" s="1088">
        <f t="shared" si="197"/>
        <v>0</v>
      </c>
      <c r="X147" s="1088">
        <f t="shared" si="197"/>
        <v>651</v>
      </c>
      <c r="Y147" s="1088">
        <f t="shared" si="197"/>
        <v>350</v>
      </c>
      <c r="Z147" s="1088">
        <f t="shared" si="197"/>
        <v>2333.4899999999998</v>
      </c>
      <c r="AA147" s="1088">
        <f>SUM(AA141:AA146)</f>
        <v>18807.57</v>
      </c>
      <c r="AB147" s="1088">
        <f t="shared" si="197"/>
        <v>8204.57</v>
      </c>
      <c r="AC147" s="1088">
        <f>SUM(AC141:AC146)</f>
        <v>10603</v>
      </c>
      <c r="AD147" s="1067">
        <f t="shared" si="195"/>
        <v>0</v>
      </c>
      <c r="AE147" s="1067">
        <f t="shared" si="196"/>
        <v>0</v>
      </c>
    </row>
    <row r="148" spans="2:31" ht="30" customHeight="1">
      <c r="C148" s="981"/>
      <c r="D148" s="1081"/>
      <c r="E148" s="1078"/>
      <c r="F148" s="1079"/>
      <c r="G148" s="1074"/>
      <c r="H148" s="1080" t="s">
        <v>52</v>
      </c>
      <c r="I148" s="1080" t="s">
        <v>52</v>
      </c>
      <c r="J148" s="1080" t="s">
        <v>52</v>
      </c>
      <c r="K148" s="1080"/>
      <c r="L148" s="1080"/>
      <c r="M148" s="1080"/>
      <c r="N148" s="1080"/>
      <c r="O148" s="1080"/>
      <c r="P148" s="1080"/>
      <c r="Q148" s="1080"/>
      <c r="R148" s="1080"/>
      <c r="S148" s="1080"/>
      <c r="T148" s="1080"/>
      <c r="U148" s="1080"/>
      <c r="V148" s="1080"/>
      <c r="W148" s="1080"/>
      <c r="X148" s="1080"/>
      <c r="Y148" s="1080"/>
      <c r="Z148" s="1080"/>
      <c r="AA148" s="1080"/>
      <c r="AB148" s="1085"/>
      <c r="AC148" s="1085"/>
      <c r="AD148" s="1067">
        <f t="shared" si="195"/>
        <v>0</v>
      </c>
      <c r="AE148" s="1067" t="e">
        <f t="shared" si="196"/>
        <v>#VALUE!</v>
      </c>
    </row>
    <row r="149" spans="2:31" ht="30" customHeight="1">
      <c r="C149" s="1148" t="s">
        <v>616</v>
      </c>
      <c r="D149" s="1081"/>
      <c r="E149" s="1078"/>
      <c r="F149" s="1073"/>
      <c r="G149" s="1074"/>
      <c r="H149" s="1089"/>
      <c r="I149" s="1089"/>
      <c r="J149" s="1089"/>
      <c r="K149" s="1089"/>
      <c r="L149" s="1089"/>
      <c r="M149" s="1089"/>
      <c r="N149" s="1089"/>
      <c r="O149" s="1089"/>
      <c r="P149" s="1089"/>
      <c r="Q149" s="1089"/>
      <c r="R149" s="1089"/>
      <c r="S149" s="1089"/>
      <c r="T149" s="1089"/>
      <c r="U149" s="1089"/>
      <c r="V149" s="1089"/>
      <c r="W149" s="1089"/>
      <c r="X149" s="1089"/>
      <c r="Y149" s="1089"/>
      <c r="Z149" s="1090"/>
      <c r="AA149" s="1089"/>
      <c r="AB149" s="1090"/>
      <c r="AC149" s="1131"/>
      <c r="AD149" s="1067">
        <f t="shared" si="195"/>
        <v>0</v>
      </c>
      <c r="AE149" s="1067">
        <f t="shared" si="196"/>
        <v>0</v>
      </c>
    </row>
    <row r="150" spans="2:31" ht="30" customHeight="1">
      <c r="C150" s="993" t="s">
        <v>655</v>
      </c>
      <c r="D150" s="1081"/>
      <c r="E150" s="1078"/>
      <c r="F150" s="1073"/>
      <c r="G150" s="1074"/>
      <c r="H150" s="1089"/>
      <c r="I150" s="1089"/>
      <c r="J150" s="1089"/>
      <c r="K150" s="1089"/>
      <c r="L150" s="1089"/>
      <c r="M150" s="1089"/>
      <c r="N150" s="1089"/>
      <c r="O150" s="1089"/>
      <c r="P150" s="1089"/>
      <c r="Q150" s="1089"/>
      <c r="R150" s="1089"/>
      <c r="S150" s="1089"/>
      <c r="T150" s="1089"/>
      <c r="U150" s="1089"/>
      <c r="V150" s="1089"/>
      <c r="W150" s="1089"/>
      <c r="X150" s="1089"/>
      <c r="Y150" s="1089"/>
      <c r="Z150" s="1090"/>
      <c r="AA150" s="1089"/>
      <c r="AB150" s="1090"/>
      <c r="AC150" s="1131"/>
      <c r="AD150" s="1067">
        <f t="shared" si="195"/>
        <v>0</v>
      </c>
      <c r="AE150" s="1067">
        <f t="shared" si="196"/>
        <v>0</v>
      </c>
    </row>
    <row r="151" spans="2:31" ht="30" customHeight="1">
      <c r="C151" s="1114"/>
      <c r="D151" s="1137"/>
      <c r="E151" s="1072"/>
      <c r="F151" s="1073"/>
      <c r="G151" s="1074"/>
      <c r="H151" s="1065"/>
      <c r="I151" s="1065"/>
      <c r="J151" s="1065"/>
      <c r="K151" s="1065"/>
      <c r="L151" s="1065"/>
      <c r="M151" s="1065"/>
      <c r="N151" s="1065"/>
      <c r="O151" s="1028"/>
      <c r="P151" s="1137"/>
      <c r="Q151" s="1138"/>
      <c r="R151" s="1137"/>
      <c r="S151" s="1137"/>
      <c r="T151" s="1137"/>
      <c r="U151" s="1137"/>
      <c r="V151" s="1137"/>
      <c r="W151" s="1137"/>
      <c r="X151" s="1138"/>
      <c r="Y151" s="1137"/>
      <c r="Z151" s="1139"/>
      <c r="AA151" s="1140"/>
      <c r="AB151" s="1067"/>
      <c r="AC151" s="1068"/>
      <c r="AD151" s="1067"/>
      <c r="AE151" s="1067"/>
    </row>
    <row r="152" spans="2:31" ht="30" customHeight="1">
      <c r="B152" s="1018">
        <v>47</v>
      </c>
      <c r="C152" s="1114" t="str">
        <f>+distribucion!G138</f>
        <v>Jacome Galindo Francisco</v>
      </c>
      <c r="D152" s="1137" t="str">
        <f>VLOOKUP(C152,distribucion!G$8:FP$152,2,0)</f>
        <v>Gerente de Operaciones</v>
      </c>
      <c r="E152" s="1314">
        <f t="shared" ref="E152" si="198">H152+L152+N152+O152</f>
        <v>19000</v>
      </c>
      <c r="F152" s="1073">
        <f>VLOOKUP(C152,distribucion!G82:M167,7,FALSE)</f>
        <v>30</v>
      </c>
      <c r="G152" s="1074"/>
      <c r="H152" s="1065">
        <f>ROUND((VLOOKUP(C152,distribucion!G$1:FP$152,130,0)),2)</f>
        <v>19000</v>
      </c>
      <c r="I152" s="1065">
        <f>ROUND((VLOOKUP(C152,distribucion!G$8:FO$152,131,0)),2)</f>
        <v>5000</v>
      </c>
      <c r="J152" s="1065">
        <f t="shared" ref="J152" si="199">H152+I152</f>
        <v>24000</v>
      </c>
      <c r="K152" s="1065">
        <f>VLOOKUP(C152,distribucion!G$8:FP$152,132,0)</f>
        <v>0</v>
      </c>
      <c r="L152" s="1065">
        <f>ROUND((VLOOKUP(C152,distribucion!G$8:FP$152,133,0)),2)</f>
        <v>0</v>
      </c>
      <c r="M152" s="1065">
        <f>VLOOKUP(C152,distribucion!G$8:FP$152,134,0)</f>
        <v>0</v>
      </c>
      <c r="N152" s="1065">
        <f>ROUND((VLOOKUP(C152,distribucion!G$8:FP$152,135,0)),2)</f>
        <v>0</v>
      </c>
      <c r="O152" s="1028">
        <v>0</v>
      </c>
      <c r="P152" s="1137">
        <v>0</v>
      </c>
      <c r="Q152" s="1138">
        <f>SUM(J152:P152)-K152-M152</f>
        <v>24000</v>
      </c>
      <c r="R152" s="1137">
        <f>ROUND(((H152+L152+N152+O152+P152)*0.0483),2)</f>
        <v>917.7</v>
      </c>
      <c r="S152" s="1137">
        <f>ROUND((VLOOKUP(C152,distribucion!G$8:FP$152,151,0)),2)</f>
        <v>1144.94</v>
      </c>
      <c r="T152" s="1137">
        <f>ROUND((VLOOKUP(C152,distribucion!G$8:FP$152,152,0)),2)</f>
        <v>0</v>
      </c>
      <c r="U152" s="1137">
        <f>ROUND((VLOOKUP(C152,distribucion!G$8:FP$152,153,0)),2)</f>
        <v>0</v>
      </c>
      <c r="V152" s="1137">
        <f>ROUND((VLOOKUP(C152,distribucion!$G$1:$FJ$152,159,0)),2)</f>
        <v>0</v>
      </c>
      <c r="W152" s="1137">
        <f>ROUND((VLOOKUP(C152,distribucion!$G$1:$FJ$152,158,0)),2)</f>
        <v>0</v>
      </c>
      <c r="X152" s="1138">
        <f>ROUND((VLOOKUP(C152,distribucion!$G$1:$FJ$152,154,0)),2)</f>
        <v>0</v>
      </c>
      <c r="Y152" s="1137">
        <f>ROUND((VLOOKUP(C152,distribucion!G$8:FP$152,160,0)),2)</f>
        <v>0</v>
      </c>
      <c r="Z152" s="1139">
        <f>SUM(R152:Y152)</f>
        <v>2062.6400000000003</v>
      </c>
      <c r="AA152" s="1140">
        <f>Q152-Z152</f>
        <v>21937.360000000001</v>
      </c>
      <c r="AB152" s="1067">
        <v>10968.68</v>
      </c>
      <c r="AC152" s="1068">
        <f t="shared" ref="AC152" si="200">+AA152-AB152</f>
        <v>10968.68</v>
      </c>
      <c r="AD152" s="1067"/>
      <c r="AE152" s="1067"/>
    </row>
    <row r="153" spans="2:31" s="1169" customFormat="1" ht="30" customHeight="1">
      <c r="B153" s="1165"/>
      <c r="C153" s="1166"/>
      <c r="D153" s="1174" t="s">
        <v>130</v>
      </c>
      <c r="E153" s="1172"/>
      <c r="F153" s="1167"/>
      <c r="G153" s="1176"/>
      <c r="H153" s="1084">
        <f>SUM(H151:H152)</f>
        <v>19000</v>
      </c>
      <c r="I153" s="1084">
        <f t="shared" ref="I153:AC153" si="201">SUM(I151:I152)</f>
        <v>5000</v>
      </c>
      <c r="J153" s="1084">
        <f t="shared" si="201"/>
        <v>24000</v>
      </c>
      <c r="K153" s="1084">
        <f t="shared" si="201"/>
        <v>0</v>
      </c>
      <c r="L153" s="1084">
        <f t="shared" si="201"/>
        <v>0</v>
      </c>
      <c r="M153" s="1084">
        <f t="shared" si="201"/>
        <v>0</v>
      </c>
      <c r="N153" s="1084">
        <f t="shared" si="201"/>
        <v>0</v>
      </c>
      <c r="O153" s="1084">
        <f t="shared" si="201"/>
        <v>0</v>
      </c>
      <c r="P153" s="1084">
        <f t="shared" si="201"/>
        <v>0</v>
      </c>
      <c r="Q153" s="1084">
        <f t="shared" si="201"/>
        <v>24000</v>
      </c>
      <c r="R153" s="1084">
        <f t="shared" si="201"/>
        <v>917.7</v>
      </c>
      <c r="S153" s="1084">
        <f t="shared" si="201"/>
        <v>1144.94</v>
      </c>
      <c r="T153" s="1084">
        <f t="shared" si="201"/>
        <v>0</v>
      </c>
      <c r="U153" s="1084">
        <f t="shared" si="201"/>
        <v>0</v>
      </c>
      <c r="V153" s="1084">
        <f t="shared" si="201"/>
        <v>0</v>
      </c>
      <c r="W153" s="1084">
        <f t="shared" si="201"/>
        <v>0</v>
      </c>
      <c r="X153" s="1084">
        <f t="shared" si="201"/>
        <v>0</v>
      </c>
      <c r="Y153" s="1084">
        <f t="shared" si="201"/>
        <v>0</v>
      </c>
      <c r="Z153" s="1084">
        <f t="shared" si="201"/>
        <v>2062.6400000000003</v>
      </c>
      <c r="AA153" s="1084">
        <f t="shared" si="201"/>
        <v>21937.360000000001</v>
      </c>
      <c r="AB153" s="1084">
        <f>SUM(AB151:AB152)</f>
        <v>10968.68</v>
      </c>
      <c r="AC153" s="1084">
        <f t="shared" si="201"/>
        <v>10968.68</v>
      </c>
      <c r="AD153" s="1067">
        <f t="shared" si="195"/>
        <v>0</v>
      </c>
      <c r="AE153" s="1067">
        <f t="shared" si="196"/>
        <v>0</v>
      </c>
    </row>
    <row r="154" spans="2:31" ht="30" customHeight="1">
      <c r="D154" s="1081"/>
      <c r="E154" s="1078"/>
      <c r="F154" s="1073"/>
      <c r="G154" s="1155"/>
      <c r="H154" s="1080"/>
      <c r="I154" s="1080"/>
      <c r="J154" s="1080"/>
      <c r="K154" s="1080"/>
      <c r="L154" s="1080"/>
      <c r="M154" s="1080"/>
      <c r="N154" s="1080"/>
      <c r="O154" s="1080"/>
      <c r="P154" s="1080"/>
      <c r="Q154" s="1080"/>
      <c r="R154" s="1080"/>
      <c r="S154" s="1080"/>
      <c r="T154" s="1080"/>
      <c r="U154" s="1080"/>
      <c r="V154" s="1080"/>
      <c r="W154" s="1080"/>
      <c r="X154" s="1080"/>
      <c r="Y154" s="1080"/>
      <c r="Z154" s="1080"/>
      <c r="AA154" s="1080"/>
      <c r="AB154" s="1085"/>
      <c r="AC154" s="1085"/>
      <c r="AD154" s="1067">
        <f t="shared" si="195"/>
        <v>0</v>
      </c>
      <c r="AE154" s="1067">
        <f t="shared" si="196"/>
        <v>0</v>
      </c>
    </row>
    <row r="155" spans="2:31" ht="30" customHeight="1">
      <c r="D155" s="1081"/>
      <c r="E155" s="1078"/>
      <c r="F155" s="1073"/>
      <c r="G155" s="1155"/>
      <c r="H155" s="1080"/>
      <c r="I155" s="1080"/>
      <c r="J155" s="1080"/>
      <c r="K155" s="1080"/>
      <c r="L155" s="1080"/>
      <c r="M155" s="1080"/>
      <c r="N155" s="1080"/>
      <c r="O155" s="1080"/>
      <c r="P155" s="1080"/>
      <c r="Q155" s="1080"/>
      <c r="R155" s="1080"/>
      <c r="S155" s="1080"/>
      <c r="T155" s="1080"/>
      <c r="U155" s="1080"/>
      <c r="V155" s="1080"/>
      <c r="W155" s="1080"/>
      <c r="X155" s="1080"/>
      <c r="Y155" s="1080"/>
      <c r="Z155" s="1080"/>
      <c r="AA155" s="1080"/>
      <c r="AB155" s="1085"/>
      <c r="AC155" s="1085"/>
      <c r="AD155" s="1067">
        <f t="shared" si="195"/>
        <v>0</v>
      </c>
      <c r="AE155" s="1067">
        <f t="shared" si="196"/>
        <v>0</v>
      </c>
    </row>
    <row r="156" spans="2:31" ht="30" customHeight="1">
      <c r="C156" s="1019" t="str">
        <f>+distribucion!G142</f>
        <v>PRODUCCION LIMPIEZA</v>
      </c>
      <c r="D156" s="1081"/>
      <c r="E156" s="1078"/>
      <c r="F156" s="1073"/>
      <c r="G156" s="1155"/>
      <c r="H156" s="1080"/>
      <c r="I156" s="1080"/>
      <c r="J156" s="1080"/>
      <c r="K156" s="1080"/>
      <c r="L156" s="1080"/>
      <c r="M156" s="1080"/>
      <c r="N156" s="1080"/>
      <c r="O156" s="1080"/>
      <c r="P156" s="1080"/>
      <c r="Q156" s="1080"/>
      <c r="R156" s="1080"/>
      <c r="S156" s="1080"/>
      <c r="T156" s="1080"/>
      <c r="U156" s="1080"/>
      <c r="V156" s="1080"/>
      <c r="W156" s="1080"/>
      <c r="X156" s="1080"/>
      <c r="Y156" s="1080"/>
      <c r="Z156" s="1080"/>
      <c r="AA156" s="1080"/>
      <c r="AB156" s="1085"/>
      <c r="AC156" s="1085"/>
      <c r="AD156" s="1067">
        <f t="shared" si="195"/>
        <v>0</v>
      </c>
      <c r="AE156" s="1067">
        <f t="shared" si="196"/>
        <v>0</v>
      </c>
    </row>
    <row r="157" spans="2:31" ht="30" customHeight="1">
      <c r="B157" s="1018">
        <v>48</v>
      </c>
      <c r="C157" s="1141" t="str">
        <f>+distribucion!G143</f>
        <v>Aragón Coronado Guillermo Giovanni</v>
      </c>
      <c r="D157" s="1137" t="str">
        <f>VLOOKUP(C157,distribucion!G$8:FP$152,2,0)</f>
        <v>Auxiliar de Limpieza</v>
      </c>
      <c r="E157" s="1314">
        <f t="shared" ref="E157:E158" si="202">H157+L157+N157+O157</f>
        <v>4002.28</v>
      </c>
      <c r="F157" s="1073">
        <f>VLOOKUP(C157,distribucion!G86:M171,7,FALSE)</f>
        <v>30</v>
      </c>
      <c r="G157" s="1074"/>
      <c r="H157" s="1065">
        <f>ROUND((VLOOKUP(C157,distribucion!G$1:FP$152,130,0)),2)</f>
        <v>4002.28</v>
      </c>
      <c r="I157" s="1065">
        <f>ROUND((VLOOKUP(C157,distribucion!G$8:FO$152,131,0)),2)</f>
        <v>300</v>
      </c>
      <c r="J157" s="1065">
        <f t="shared" ref="J157" si="203">H157+I157</f>
        <v>4302.2800000000007</v>
      </c>
      <c r="K157" s="1065">
        <f>VLOOKUP(C157,distribucion!G$8:FP$152,132,0)</f>
        <v>0</v>
      </c>
      <c r="L157" s="1065">
        <f>ROUND((VLOOKUP(C157,distribucion!G$8:FP$152,133,0)),2)</f>
        <v>0</v>
      </c>
      <c r="M157" s="1065">
        <f>VLOOKUP(C157,distribucion!G$8:FP$152,134,0)</f>
        <v>0</v>
      </c>
      <c r="N157" s="1065">
        <f>ROUND((VLOOKUP(C157,distribucion!G$8:FP$152,135,0)),2)</f>
        <v>0</v>
      </c>
      <c r="O157" s="1028">
        <v>0</v>
      </c>
      <c r="P157" s="1137">
        <v>0</v>
      </c>
      <c r="Q157" s="1138">
        <f>SUM(J157:P157)-K157-M157</f>
        <v>4302.2800000000007</v>
      </c>
      <c r="R157" s="1137">
        <f>ROUND(((H157+L157+N157+O157+P157)*0.0483),2)</f>
        <v>193.31</v>
      </c>
      <c r="S157" s="1137">
        <f>ROUND((VLOOKUP(C157,distribucion!G$8:FP$152,151,0)),2)</f>
        <v>0</v>
      </c>
      <c r="T157" s="1137">
        <f>ROUND((VLOOKUP(C157,distribucion!G$8:FP$152,152,0)),2)</f>
        <v>0</v>
      </c>
      <c r="U157" s="1137">
        <f>ROUND((VLOOKUP(C157,distribucion!G$8:FP$152,153,0)),2)</f>
        <v>0</v>
      </c>
      <c r="V157" s="1137">
        <f>ROUND((VLOOKUP(C157,distribucion!$G$1:$FJ$152,159,0)),2)</f>
        <v>0</v>
      </c>
      <c r="W157" s="1137">
        <f>ROUND((VLOOKUP(C157,distribucion!$G$1:$FJ$152,158,0)),2)</f>
        <v>0</v>
      </c>
      <c r="X157" s="1138">
        <f>ROUND((VLOOKUP(C157,distribucion!$G$1:$FJ$152,154,0)),2)</f>
        <v>90.5</v>
      </c>
      <c r="Y157" s="1137">
        <f>ROUND((VLOOKUP(C157,distribucion!G$8:FP$152,160,0)),2)</f>
        <v>0</v>
      </c>
      <c r="Z157" s="1139">
        <f>SUM(R157:Y157)</f>
        <v>283.81</v>
      </c>
      <c r="AA157" s="1140">
        <f>Q157-Z157</f>
        <v>4018.4700000000007</v>
      </c>
      <c r="AB157" s="1067">
        <v>2014.9800000000002</v>
      </c>
      <c r="AC157" s="1068">
        <f t="shared" ref="AC157:AC158" si="204">+AA157-AB157</f>
        <v>2003.4900000000005</v>
      </c>
      <c r="AD157" s="1067">
        <f t="shared" si="195"/>
        <v>0</v>
      </c>
      <c r="AE157" s="1067">
        <f t="shared" si="196"/>
        <v>0</v>
      </c>
    </row>
    <row r="158" spans="2:31" ht="30" customHeight="1">
      <c r="B158" s="1018">
        <v>49</v>
      </c>
      <c r="C158" s="1141" t="str">
        <f>+distribucion!G144</f>
        <v>Lopez Suran Neemias</v>
      </c>
      <c r="D158" s="1137" t="str">
        <f>VLOOKUP(C158,distribucion!G$8:FP$152,2,0)</f>
        <v>Auxiliar de Limpieza</v>
      </c>
      <c r="E158" s="1314">
        <f t="shared" si="202"/>
        <v>4002.28</v>
      </c>
      <c r="F158" s="1073">
        <f>VLOOKUP(C158,distribucion!G87:M172,7,FALSE)</f>
        <v>30</v>
      </c>
      <c r="G158" s="1074"/>
      <c r="H158" s="1150">
        <f>ROUND((VLOOKUP(C158,distribucion!G$1:FP$152,130,0)),2)</f>
        <v>4002.28</v>
      </c>
      <c r="I158" s="1150">
        <f>ROUND((VLOOKUP(C158,distribucion!G$8:FO$152,131,0)),2)</f>
        <v>1150</v>
      </c>
      <c r="J158" s="1150">
        <f t="shared" ref="J158" si="205">H158+I158</f>
        <v>5152.2800000000007</v>
      </c>
      <c r="K158" s="1150">
        <f>VLOOKUP(C158,distribucion!G$8:FP$152,132,0)</f>
        <v>0</v>
      </c>
      <c r="L158" s="1150">
        <f>ROUND((VLOOKUP(C158,distribucion!G$8:FP$152,133,0)),2)</f>
        <v>0</v>
      </c>
      <c r="M158" s="1150">
        <f>VLOOKUP(C158,distribucion!G$8:FP$152,134,0)</f>
        <v>0</v>
      </c>
      <c r="N158" s="1150">
        <f>ROUND((VLOOKUP(C158,distribucion!G$8:FP$152,135,0)),2)</f>
        <v>0</v>
      </c>
      <c r="O158" s="1098">
        <v>0</v>
      </c>
      <c r="P158" s="1151">
        <v>0</v>
      </c>
      <c r="Q158" s="1152">
        <f>SUM(J158:P158)-K158-M158</f>
        <v>5152.2800000000007</v>
      </c>
      <c r="R158" s="1151">
        <f>ROUND(((H158+L158+N158+O158+P158)*0.0483),2)</f>
        <v>193.31</v>
      </c>
      <c r="S158" s="1151">
        <f>ROUND((VLOOKUP(C158,distribucion!G$8:FP$152,151,0)),2)</f>
        <v>0</v>
      </c>
      <c r="T158" s="1151">
        <f>ROUND((VLOOKUP(C158,distribucion!G$8:FP$152,152,0)),2)</f>
        <v>0</v>
      </c>
      <c r="U158" s="1151">
        <f>ROUND((VLOOKUP(C158,distribucion!G$8:FP$152,153,0)),2)</f>
        <v>0</v>
      </c>
      <c r="V158" s="1151">
        <f>ROUND((VLOOKUP(C158,distribucion!$G$1:$FJ$152,159,0)),2)</f>
        <v>0</v>
      </c>
      <c r="W158" s="1151">
        <f>ROUND((VLOOKUP(C158,distribucion!$G$1:$FJ$152,158,0)),2)</f>
        <v>0</v>
      </c>
      <c r="X158" s="1152">
        <f>ROUND((VLOOKUP(C158,distribucion!$G$1:$FJ$152,154,0)),2)</f>
        <v>0</v>
      </c>
      <c r="Y158" s="1151">
        <f>ROUND((VLOOKUP(C158,distribucion!G$8:FP$152,160,0)),2)</f>
        <v>0</v>
      </c>
      <c r="Z158" s="1153">
        <f>SUM(R158:Y158)</f>
        <v>193.31</v>
      </c>
      <c r="AA158" s="1154">
        <f>Q158-Z158</f>
        <v>4958.97</v>
      </c>
      <c r="AB158" s="1067">
        <v>2029.4800000000002</v>
      </c>
      <c r="AC158" s="1068">
        <f t="shared" si="204"/>
        <v>2929.49</v>
      </c>
      <c r="AD158" s="1067">
        <f t="shared" si="195"/>
        <v>0</v>
      </c>
      <c r="AE158" s="1067">
        <f t="shared" si="196"/>
        <v>0</v>
      </c>
    </row>
    <row r="159" spans="2:31" ht="30" customHeight="1">
      <c r="D159" s="1137"/>
      <c r="E159" s="1078"/>
      <c r="F159" s="1073"/>
      <c r="G159" s="1074"/>
      <c r="H159" s="1065"/>
      <c r="I159" s="1065"/>
      <c r="J159" s="1065"/>
      <c r="K159" s="1065"/>
      <c r="L159" s="1065"/>
      <c r="M159" s="1065"/>
      <c r="N159" s="1065"/>
      <c r="O159" s="1028"/>
      <c r="P159" s="1137"/>
      <c r="Q159" s="1138"/>
      <c r="R159" s="1137"/>
      <c r="S159" s="1137"/>
      <c r="T159" s="1137"/>
      <c r="U159" s="1137"/>
      <c r="V159" s="1137"/>
      <c r="W159" s="1137"/>
      <c r="X159" s="1138"/>
      <c r="Y159" s="1137"/>
      <c r="Z159" s="1139"/>
      <c r="AA159" s="1140"/>
      <c r="AB159" s="1067"/>
      <c r="AC159" s="1068"/>
      <c r="AD159" s="1067">
        <f t="shared" si="195"/>
        <v>0</v>
      </c>
      <c r="AE159" s="1067">
        <f t="shared" si="196"/>
        <v>0</v>
      </c>
    </row>
    <row r="160" spans="2:31" s="1169" customFormat="1" ht="30" customHeight="1">
      <c r="B160" s="1165"/>
      <c r="C160" s="1166"/>
      <c r="D160" s="1174" t="s">
        <v>130</v>
      </c>
      <c r="E160" s="1172"/>
      <c r="F160" s="1167"/>
      <c r="G160" s="1176"/>
      <c r="H160" s="1084">
        <f>SUM(H157:H159)</f>
        <v>8004.56</v>
      </c>
      <c r="I160" s="1084">
        <f t="shared" ref="I160:AB160" si="206">SUM(I157:I159)</f>
        <v>1450</v>
      </c>
      <c r="J160" s="1084">
        <f t="shared" si="206"/>
        <v>9454.5600000000013</v>
      </c>
      <c r="K160" s="1084">
        <f t="shared" si="206"/>
        <v>0</v>
      </c>
      <c r="L160" s="1084">
        <f t="shared" si="206"/>
        <v>0</v>
      </c>
      <c r="M160" s="1084">
        <f t="shared" si="206"/>
        <v>0</v>
      </c>
      <c r="N160" s="1084">
        <f t="shared" si="206"/>
        <v>0</v>
      </c>
      <c r="O160" s="1084">
        <f t="shared" si="206"/>
        <v>0</v>
      </c>
      <c r="P160" s="1084">
        <f t="shared" si="206"/>
        <v>0</v>
      </c>
      <c r="Q160" s="1084">
        <f t="shared" si="206"/>
        <v>9454.5600000000013</v>
      </c>
      <c r="R160" s="1084">
        <f t="shared" si="206"/>
        <v>386.62</v>
      </c>
      <c r="S160" s="1084">
        <f t="shared" si="206"/>
        <v>0</v>
      </c>
      <c r="T160" s="1084">
        <f t="shared" si="206"/>
        <v>0</v>
      </c>
      <c r="U160" s="1084">
        <f t="shared" si="206"/>
        <v>0</v>
      </c>
      <c r="V160" s="1084">
        <f t="shared" si="206"/>
        <v>0</v>
      </c>
      <c r="W160" s="1084">
        <f t="shared" si="206"/>
        <v>0</v>
      </c>
      <c r="X160" s="1084">
        <f t="shared" si="206"/>
        <v>90.5</v>
      </c>
      <c r="Y160" s="1084">
        <f t="shared" si="206"/>
        <v>0</v>
      </c>
      <c r="Z160" s="1084">
        <f t="shared" si="206"/>
        <v>477.12</v>
      </c>
      <c r="AA160" s="1084">
        <f>SUM(AA157:AA159)</f>
        <v>8977.44</v>
      </c>
      <c r="AB160" s="1084">
        <f t="shared" si="206"/>
        <v>4044.4600000000005</v>
      </c>
      <c r="AC160" s="1084">
        <f>SUM(AC157:AC159)</f>
        <v>4932.9800000000005</v>
      </c>
      <c r="AD160" s="1067">
        <f t="shared" si="195"/>
        <v>0</v>
      </c>
      <c r="AE160" s="1067">
        <f t="shared" si="196"/>
        <v>0</v>
      </c>
    </row>
    <row r="161" spans="2:33" ht="30" customHeight="1">
      <c r="D161" s="1081"/>
      <c r="E161" s="1078"/>
      <c r="F161" s="1073"/>
      <c r="G161" s="1155"/>
      <c r="H161" s="1080"/>
      <c r="I161" s="1080"/>
      <c r="J161" s="1080"/>
      <c r="K161" s="1080"/>
      <c r="L161" s="1080"/>
      <c r="M161" s="1080"/>
      <c r="N161" s="1080"/>
      <c r="O161" s="1080"/>
      <c r="P161" s="1080"/>
      <c r="Q161" s="1080"/>
      <c r="R161" s="1080"/>
      <c r="S161" s="1080"/>
      <c r="T161" s="1080"/>
      <c r="U161" s="1080"/>
      <c r="V161" s="1080"/>
      <c r="W161" s="1080"/>
      <c r="X161" s="1080"/>
      <c r="Y161" s="1080"/>
      <c r="Z161" s="1080"/>
      <c r="AA161" s="1080"/>
      <c r="AB161" s="1085"/>
      <c r="AC161" s="1085"/>
      <c r="AD161" s="1067">
        <f t="shared" si="195"/>
        <v>0</v>
      </c>
      <c r="AE161" s="1067">
        <f t="shared" si="196"/>
        <v>0</v>
      </c>
    </row>
    <row r="162" spans="2:33" ht="30" customHeight="1">
      <c r="D162" s="1081"/>
      <c r="E162" s="1078"/>
      <c r="F162" s="1073"/>
      <c r="G162" s="1155"/>
      <c r="H162" s="1080"/>
      <c r="I162" s="1080"/>
      <c r="J162" s="1080"/>
      <c r="K162" s="1080"/>
      <c r="L162" s="1080"/>
      <c r="M162" s="1080"/>
      <c r="N162" s="1080"/>
      <c r="O162" s="1080"/>
      <c r="P162" s="1080"/>
      <c r="Q162" s="1080"/>
      <c r="R162" s="1080"/>
      <c r="S162" s="1080"/>
      <c r="T162" s="1080"/>
      <c r="U162" s="1080"/>
      <c r="V162" s="1080"/>
      <c r="W162" s="1080"/>
      <c r="X162" s="1080"/>
      <c r="Y162" s="1080"/>
      <c r="Z162" s="1080"/>
      <c r="AA162" s="1080"/>
      <c r="AB162" s="1085"/>
      <c r="AC162" s="1085"/>
      <c r="AD162" s="1067">
        <f t="shared" si="195"/>
        <v>0</v>
      </c>
      <c r="AE162" s="1067">
        <f t="shared" si="196"/>
        <v>0</v>
      </c>
    </row>
    <row r="163" spans="2:33" ht="30" customHeight="1">
      <c r="D163" s="1081"/>
      <c r="E163" s="1078"/>
      <c r="F163" s="1073"/>
      <c r="G163" s="1155"/>
      <c r="H163" s="1080"/>
      <c r="I163" s="1080"/>
      <c r="J163" s="1080"/>
      <c r="K163" s="1080"/>
      <c r="L163" s="1080"/>
      <c r="M163" s="1080"/>
      <c r="N163" s="1080"/>
      <c r="O163" s="1080"/>
      <c r="P163" s="1080"/>
      <c r="Q163" s="1080"/>
      <c r="R163" s="1080"/>
      <c r="S163" s="1080"/>
      <c r="T163" s="1080"/>
      <c r="U163" s="1080"/>
      <c r="V163" s="1080"/>
      <c r="W163" s="1080"/>
      <c r="X163" s="1080"/>
      <c r="Y163" s="1080"/>
      <c r="Z163" s="1080"/>
      <c r="AA163" s="1080"/>
      <c r="AB163" s="1085"/>
      <c r="AC163" s="1085"/>
      <c r="AD163" s="1067">
        <f t="shared" si="195"/>
        <v>0</v>
      </c>
      <c r="AE163" s="1067">
        <f t="shared" si="196"/>
        <v>0</v>
      </c>
    </row>
    <row r="164" spans="2:33" ht="30" customHeight="1">
      <c r="C164" s="981"/>
      <c r="D164" s="1081"/>
      <c r="E164" s="1021"/>
      <c r="F164" s="1020"/>
      <c r="G164" s="1020"/>
      <c r="H164" s="1022"/>
      <c r="I164" s="1022"/>
      <c r="J164" s="1022"/>
      <c r="K164" s="1022"/>
      <c r="L164" s="1022"/>
      <c r="M164" s="1022"/>
      <c r="N164" s="1022"/>
      <c r="O164" s="1022"/>
      <c r="P164" s="1022"/>
      <c r="Q164" s="1022"/>
      <c r="R164" s="1022"/>
      <c r="S164" s="1022"/>
      <c r="T164" s="1022"/>
      <c r="U164" s="1022"/>
      <c r="V164" s="1022"/>
      <c r="W164" s="1022"/>
      <c r="X164" s="1022"/>
      <c r="Y164" s="1022"/>
      <c r="Z164" s="1022"/>
      <c r="AA164" s="1022"/>
      <c r="AB164" s="1113"/>
      <c r="AC164" s="1107"/>
      <c r="AD164" s="1067">
        <f t="shared" si="195"/>
        <v>0</v>
      </c>
      <c r="AE164" s="1067">
        <f t="shared" si="196"/>
        <v>0</v>
      </c>
    </row>
    <row r="165" spans="2:33" ht="30" customHeight="1">
      <c r="C165" s="1030"/>
      <c r="D165" s="1020"/>
      <c r="E165" s="1021"/>
      <c r="F165" s="1020"/>
      <c r="G165" s="1020"/>
      <c r="H165" s="1022"/>
      <c r="I165" s="1022"/>
      <c r="J165" s="1022"/>
      <c r="K165" s="1022"/>
      <c r="L165" s="1022"/>
      <c r="M165" s="1022"/>
      <c r="N165" s="1022"/>
      <c r="O165" s="1022"/>
      <c r="P165" s="1022"/>
      <c r="Q165" s="1022"/>
      <c r="R165" s="1022"/>
      <c r="S165" s="1022"/>
      <c r="T165" s="1022"/>
      <c r="U165" s="1022"/>
      <c r="V165" s="1022"/>
      <c r="W165" s="1022"/>
      <c r="X165" s="1022"/>
      <c r="Y165" s="1022"/>
      <c r="Z165" s="1022"/>
      <c r="AA165" s="1022"/>
      <c r="AB165" s="1113"/>
      <c r="AC165" s="1107"/>
      <c r="AD165" s="1067">
        <f t="shared" si="195"/>
        <v>0</v>
      </c>
      <c r="AE165" s="1067">
        <f t="shared" si="196"/>
        <v>0</v>
      </c>
    </row>
    <row r="166" spans="2:33" s="1035" customFormat="1" ht="61.95" customHeight="1" thickBot="1">
      <c r="C166" s="1036"/>
      <c r="D166" s="1037" t="s">
        <v>698</v>
      </c>
      <c r="E166" s="1038" t="s">
        <v>52</v>
      </c>
      <c r="F166" s="1037"/>
      <c r="G166" s="1037"/>
      <c r="H166" s="1039">
        <f t="shared" ref="H166:AC166" si="207">H13+H30+H36+H43+H95+H103+H111+H137+H17+H21+H48+H60+H69+H125+H147+H153+H160</f>
        <v>276083.98000000004</v>
      </c>
      <c r="I166" s="1039">
        <f t="shared" si="207"/>
        <v>84857.760000000009</v>
      </c>
      <c r="J166" s="1039">
        <f t="shared" si="207"/>
        <v>360941.74000000005</v>
      </c>
      <c r="K166" s="1039">
        <f t="shared" si="207"/>
        <v>245.5</v>
      </c>
      <c r="L166" s="1039">
        <f t="shared" si="207"/>
        <v>6682.59</v>
      </c>
      <c r="M166" s="1039">
        <f t="shared" si="207"/>
        <v>0</v>
      </c>
      <c r="N166" s="1039">
        <f t="shared" si="207"/>
        <v>0</v>
      </c>
      <c r="O166" s="1039">
        <f t="shared" si="207"/>
        <v>0</v>
      </c>
      <c r="P166" s="1039">
        <f t="shared" si="207"/>
        <v>0</v>
      </c>
      <c r="Q166" s="1039">
        <f t="shared" si="207"/>
        <v>367624.33</v>
      </c>
      <c r="R166" s="1039">
        <f t="shared" si="207"/>
        <v>13584.44</v>
      </c>
      <c r="S166" s="1039">
        <f t="shared" si="207"/>
        <v>8753.9500000000007</v>
      </c>
      <c r="T166" s="1039">
        <f t="shared" si="207"/>
        <v>12153.59</v>
      </c>
      <c r="U166" s="1039">
        <f t="shared" si="207"/>
        <v>525</v>
      </c>
      <c r="V166" s="1039">
        <f t="shared" si="207"/>
        <v>379.01</v>
      </c>
      <c r="W166" s="1039">
        <f t="shared" si="207"/>
        <v>162.5</v>
      </c>
      <c r="X166" s="1039">
        <f t="shared" si="207"/>
        <v>5544.5</v>
      </c>
      <c r="Y166" s="1039">
        <f t="shared" si="207"/>
        <v>4280.3</v>
      </c>
      <c r="Z166" s="1039">
        <f t="shared" si="207"/>
        <v>45383.29</v>
      </c>
      <c r="AA166" s="1039">
        <f t="shared" si="207"/>
        <v>322241.03999999998</v>
      </c>
      <c r="AB166" s="1039">
        <f t="shared" si="207"/>
        <v>153143.03999999998</v>
      </c>
      <c r="AC166" s="1039">
        <f t="shared" si="207"/>
        <v>169098</v>
      </c>
      <c r="AD166" s="1067">
        <f t="shared" si="195"/>
        <v>0</v>
      </c>
      <c r="AE166" s="1067">
        <f t="shared" si="196"/>
        <v>0</v>
      </c>
      <c r="AG166" s="1018"/>
    </row>
    <row r="167" spans="2:33" ht="25.2" customHeight="1" thickTop="1">
      <c r="D167" s="1020"/>
      <c r="E167" s="1021"/>
      <c r="F167" s="1020"/>
      <c r="G167" s="1020"/>
      <c r="H167" s="1022"/>
      <c r="I167" s="1022"/>
      <c r="J167" s="1022"/>
      <c r="K167" s="1022"/>
      <c r="L167" s="1022"/>
      <c r="M167" s="1022"/>
      <c r="N167" s="1022"/>
      <c r="O167" s="1022"/>
      <c r="P167" s="1022"/>
      <c r="Q167" s="1022"/>
      <c r="R167" s="1022"/>
      <c r="S167" s="1022"/>
      <c r="T167" s="1022"/>
      <c r="U167" s="1022"/>
      <c r="V167" s="1022"/>
      <c r="W167" s="1022"/>
      <c r="X167" s="1022"/>
      <c r="Y167" s="1022"/>
      <c r="Z167" s="1022"/>
      <c r="AA167" s="1022"/>
      <c r="AB167" s="1022"/>
      <c r="AC167" s="1022"/>
      <c r="AD167" s="1067">
        <f t="shared" si="195"/>
        <v>0</v>
      </c>
      <c r="AE167" s="1067">
        <f t="shared" si="196"/>
        <v>0</v>
      </c>
    </row>
    <row r="168" spans="2:33" s="1033" customFormat="1" ht="25.2" customHeight="1">
      <c r="B168" s="981"/>
      <c r="C168" s="1156"/>
      <c r="D168" s="1021"/>
      <c r="E168" s="1021"/>
      <c r="F168" s="1021"/>
      <c r="G168" s="1021"/>
      <c r="H168" s="1157">
        <f t="shared" ref="H168:AC168" si="208">SUM(H10:H166)-H166-H160-H153-H147-H137-H125-H111-H103-H95-H69-H60-H48-H43-H36-H30-H23-H17-H21-H13</f>
        <v>276083.98000000021</v>
      </c>
      <c r="I168" s="1157">
        <f t="shared" si="208"/>
        <v>84857.75999999998</v>
      </c>
      <c r="J168" s="1157">
        <f t="shared" si="208"/>
        <v>360941.74000000022</v>
      </c>
      <c r="K168" s="1157">
        <f t="shared" si="208"/>
        <v>245.5</v>
      </c>
      <c r="L168" s="1157">
        <f t="shared" si="208"/>
        <v>6682.5900000000029</v>
      </c>
      <c r="M168" s="1157">
        <f t="shared" si="208"/>
        <v>0</v>
      </c>
      <c r="N168" s="1157">
        <f t="shared" si="208"/>
        <v>0</v>
      </c>
      <c r="O168" s="1157">
        <f t="shared" si="208"/>
        <v>0</v>
      </c>
      <c r="P168" s="1157">
        <f t="shared" si="208"/>
        <v>0</v>
      </c>
      <c r="Q168" s="1157">
        <f t="shared" si="208"/>
        <v>367624.33000000019</v>
      </c>
      <c r="R168" s="1157">
        <f t="shared" si="208"/>
        <v>13584.439999999999</v>
      </c>
      <c r="S168" s="1157">
        <f t="shared" si="208"/>
        <v>8753.9500000000025</v>
      </c>
      <c r="T168" s="1157">
        <f t="shared" si="208"/>
        <v>12153.590000000004</v>
      </c>
      <c r="U168" s="1157">
        <f t="shared" si="208"/>
        <v>525</v>
      </c>
      <c r="V168" s="1157">
        <f t="shared" si="208"/>
        <v>379.01</v>
      </c>
      <c r="W168" s="1157">
        <f t="shared" si="208"/>
        <v>162.5</v>
      </c>
      <c r="X168" s="1157">
        <f t="shared" si="208"/>
        <v>5544.5</v>
      </c>
      <c r="Y168" s="1157">
        <f t="shared" si="208"/>
        <v>4280.300000000002</v>
      </c>
      <c r="Z168" s="1157">
        <f t="shared" si="208"/>
        <v>45383.289999999986</v>
      </c>
      <c r="AA168" s="1157">
        <f t="shared" si="208"/>
        <v>322241.03999999969</v>
      </c>
      <c r="AB168" s="1157">
        <f t="shared" si="208"/>
        <v>153143.04000000004</v>
      </c>
      <c r="AC168" s="1157">
        <f t="shared" si="208"/>
        <v>169097.99999999997</v>
      </c>
      <c r="AD168" s="1067">
        <f t="shared" si="195"/>
        <v>-3.2014213502407074E-10</v>
      </c>
      <c r="AE168" s="1067">
        <f t="shared" si="196"/>
        <v>5.8207660913467407E-10</v>
      </c>
    </row>
    <row r="169" spans="2:33" s="1033" customFormat="1" ht="25.2" customHeight="1">
      <c r="B169" s="1026"/>
      <c r="C169" s="1156"/>
      <c r="D169" s="1021"/>
      <c r="E169" s="1021"/>
      <c r="F169" s="1021"/>
      <c r="G169" s="1021"/>
      <c r="H169" s="1157"/>
      <c r="I169" s="1157"/>
      <c r="J169" s="1157"/>
      <c r="K169" s="1157"/>
      <c r="L169" s="1157"/>
      <c r="M169" s="1157"/>
      <c r="N169" s="1157"/>
      <c r="O169" s="1157"/>
      <c r="P169" s="1157"/>
      <c r="Q169" s="1157"/>
      <c r="R169" s="1157"/>
      <c r="S169" s="1157"/>
      <c r="T169" s="1157"/>
      <c r="U169" s="1157"/>
      <c r="V169" s="1157"/>
      <c r="W169" s="1157"/>
      <c r="X169" s="1157"/>
      <c r="Y169" s="1157"/>
      <c r="Z169" s="1157"/>
      <c r="AA169" s="1157"/>
      <c r="AB169" s="1157"/>
      <c r="AC169" s="1157"/>
      <c r="AD169" s="1158"/>
    </row>
    <row r="170" spans="2:33" s="1033" customFormat="1" ht="25.2" customHeight="1">
      <c r="B170" s="1026"/>
      <c r="C170" s="1156"/>
      <c r="D170" s="1021"/>
      <c r="E170" s="1021"/>
      <c r="F170" s="1021"/>
      <c r="G170" s="1021"/>
      <c r="H170" s="1157">
        <f>H166-H168</f>
        <v>0</v>
      </c>
      <c r="I170" s="1157">
        <f t="shared" ref="I170:AC170" si="209">I166-I168</f>
        <v>0</v>
      </c>
      <c r="J170" s="1157">
        <f t="shared" si="209"/>
        <v>0</v>
      </c>
      <c r="K170" s="1157">
        <f t="shared" si="209"/>
        <v>0</v>
      </c>
      <c r="L170" s="1157">
        <f t="shared" si="209"/>
        <v>0</v>
      </c>
      <c r="M170" s="1157">
        <f t="shared" si="209"/>
        <v>0</v>
      </c>
      <c r="N170" s="1157">
        <f t="shared" si="209"/>
        <v>0</v>
      </c>
      <c r="O170" s="1157">
        <f t="shared" si="209"/>
        <v>0</v>
      </c>
      <c r="P170" s="1157">
        <f t="shared" si="209"/>
        <v>0</v>
      </c>
      <c r="Q170" s="1157">
        <f t="shared" si="209"/>
        <v>0</v>
      </c>
      <c r="R170" s="1157">
        <f t="shared" si="209"/>
        <v>0</v>
      </c>
      <c r="S170" s="1157">
        <f t="shared" si="209"/>
        <v>0</v>
      </c>
      <c r="T170" s="1157">
        <f t="shared" si="209"/>
        <v>0</v>
      </c>
      <c r="U170" s="1157">
        <f t="shared" si="209"/>
        <v>0</v>
      </c>
      <c r="V170" s="1157">
        <f t="shared" si="209"/>
        <v>0</v>
      </c>
      <c r="W170" s="1157">
        <f t="shared" si="209"/>
        <v>0</v>
      </c>
      <c r="X170" s="1157">
        <f t="shared" si="209"/>
        <v>0</v>
      </c>
      <c r="Y170" s="1157">
        <f t="shared" si="209"/>
        <v>0</v>
      </c>
      <c r="Z170" s="1157">
        <f t="shared" si="209"/>
        <v>0</v>
      </c>
      <c r="AA170" s="1157">
        <f t="shared" si="209"/>
        <v>0</v>
      </c>
      <c r="AB170" s="1157">
        <f t="shared" si="209"/>
        <v>0</v>
      </c>
      <c r="AC170" s="1157">
        <f t="shared" si="209"/>
        <v>0</v>
      </c>
      <c r="AD170" s="1158"/>
    </row>
    <row r="171" spans="2:33" s="1033" customFormat="1" ht="25.2" customHeight="1">
      <c r="B171" s="1026"/>
      <c r="C171" s="1156"/>
      <c r="D171" s="1021"/>
      <c r="E171" s="1021"/>
      <c r="F171" s="1021"/>
      <c r="G171" s="1021"/>
      <c r="H171" s="1157"/>
      <c r="I171" s="1157"/>
      <c r="J171" s="1157"/>
      <c r="K171" s="1157"/>
      <c r="L171" s="1157"/>
      <c r="M171" s="1157"/>
      <c r="N171" s="1157"/>
      <c r="O171" s="1157"/>
      <c r="P171" s="1157"/>
      <c r="Q171" s="1157"/>
      <c r="R171" s="1157"/>
      <c r="S171" s="1157"/>
      <c r="T171" s="1157"/>
      <c r="U171" s="1157"/>
      <c r="V171" s="1157"/>
      <c r="W171" s="1157"/>
      <c r="X171" s="1157"/>
      <c r="Y171" s="1157"/>
      <c r="Z171" s="1157"/>
      <c r="AA171" s="1157"/>
      <c r="AB171" s="1068"/>
      <c r="AC171" s="1068"/>
      <c r="AD171" s="1158"/>
    </row>
    <row r="172" spans="2:33" s="1033" customFormat="1" ht="25.2" customHeight="1">
      <c r="B172" s="1026"/>
      <c r="C172" s="1156"/>
      <c r="D172" s="1021"/>
      <c r="E172" s="1021"/>
      <c r="F172" s="1021"/>
      <c r="G172" s="1021"/>
      <c r="H172" s="1157"/>
      <c r="I172" s="1157"/>
      <c r="J172" s="1157"/>
      <c r="K172" s="1157"/>
      <c r="L172" s="1157"/>
      <c r="M172" s="1157"/>
      <c r="N172" s="1157"/>
      <c r="O172" s="1157"/>
      <c r="P172" s="1157"/>
      <c r="Q172" s="1157"/>
      <c r="R172" s="1157"/>
      <c r="S172" s="1157"/>
      <c r="T172" s="1157"/>
      <c r="U172" s="1157"/>
      <c r="V172" s="1157"/>
      <c r="W172" s="1157"/>
      <c r="X172" s="1157"/>
      <c r="Y172" s="1157"/>
      <c r="Z172" s="1157"/>
      <c r="AA172" s="1157"/>
      <c r="AB172" s="1068"/>
      <c r="AC172" s="1068"/>
      <c r="AD172" s="1158"/>
    </row>
    <row r="173" spans="2:33" s="1033" customFormat="1" ht="25.2" customHeight="1">
      <c r="B173" s="1026"/>
      <c r="C173" s="1156"/>
      <c r="D173" s="1021"/>
      <c r="E173" s="1021"/>
      <c r="F173" s="1021"/>
      <c r="G173" s="1021"/>
      <c r="H173" s="1159"/>
      <c r="I173" s="1159"/>
      <c r="J173" s="1159"/>
      <c r="K173" s="1159"/>
      <c r="L173" s="1159"/>
      <c r="M173" s="1159"/>
      <c r="N173" s="1159"/>
      <c r="O173" s="1159"/>
      <c r="P173" s="1159"/>
      <c r="Q173" s="1159"/>
      <c r="R173" s="1159"/>
      <c r="S173" s="1159"/>
      <c r="T173" s="1159"/>
      <c r="U173" s="1159"/>
      <c r="V173" s="1159"/>
      <c r="W173" s="1159"/>
      <c r="X173" s="1159"/>
      <c r="Y173" s="1159"/>
      <c r="Z173" s="1159"/>
      <c r="AA173" s="1159"/>
      <c r="AB173" s="1124"/>
      <c r="AC173" s="1068"/>
      <c r="AD173" s="1158"/>
    </row>
    <row r="174" spans="2:33" ht="25.2" customHeight="1">
      <c r="D174" s="1020"/>
      <c r="E174" s="1021"/>
      <c r="F174" s="1020"/>
      <c r="G174" s="1020"/>
      <c r="H174" s="1022"/>
      <c r="I174" s="1022"/>
      <c r="J174" s="1022"/>
      <c r="K174" s="1022"/>
      <c r="L174" s="1022"/>
      <c r="M174" s="1022"/>
      <c r="N174" s="1022"/>
      <c r="O174" s="1022"/>
      <c r="P174" s="1022"/>
      <c r="Q174" s="1022"/>
      <c r="R174" s="1022"/>
      <c r="S174" s="1022"/>
      <c r="T174" s="1022"/>
      <c r="U174" s="1022"/>
      <c r="V174" s="1022"/>
      <c r="W174" s="1022"/>
      <c r="X174" s="1022"/>
      <c r="Y174" s="1022"/>
      <c r="Z174" s="1022"/>
      <c r="AA174" s="1106"/>
      <c r="AB174" s="1068"/>
      <c r="AC174" s="1107"/>
    </row>
    <row r="175" spans="2:33" s="1018" customFormat="1" ht="25.2" customHeight="1">
      <c r="B175" s="1023"/>
      <c r="C175" s="1024" t="s">
        <v>605</v>
      </c>
      <c r="D175" s="1025"/>
      <c r="E175" s="1026"/>
      <c r="H175" s="1027"/>
      <c r="I175" s="1028"/>
      <c r="J175" s="1029" t="s">
        <v>607</v>
      </c>
      <c r="K175" s="1029"/>
      <c r="L175" s="1029"/>
      <c r="M175" s="1028"/>
      <c r="N175" s="1028"/>
      <c r="O175" s="1028"/>
      <c r="P175" s="1028"/>
      <c r="Q175" s="1028"/>
      <c r="R175" s="1028"/>
      <c r="S175" s="1028"/>
      <c r="T175" s="1028"/>
      <c r="U175" s="1028"/>
      <c r="V175" s="1028"/>
      <c r="W175" s="1028"/>
      <c r="X175" s="1028"/>
      <c r="Y175" s="1028"/>
      <c r="Z175" s="1067"/>
      <c r="AA175" s="1108"/>
      <c r="AB175" s="1109"/>
      <c r="AC175" s="1068"/>
      <c r="AD175" s="1068"/>
      <c r="AG175" s="1110"/>
    </row>
    <row r="176" spans="2:33" ht="25.2" customHeight="1">
      <c r="E176" s="1026"/>
      <c r="F176" s="1018"/>
      <c r="G176" s="1018"/>
      <c r="H176" s="1028"/>
      <c r="I176" s="1028"/>
      <c r="J176" s="1028"/>
      <c r="K176" s="1028"/>
      <c r="L176" s="1028"/>
      <c r="M176" s="1028"/>
      <c r="N176" s="1028"/>
      <c r="O176" s="1028"/>
      <c r="P176" s="1028"/>
      <c r="Q176" s="1028"/>
      <c r="R176" s="1028"/>
      <c r="S176" s="1028"/>
      <c r="T176" s="1028"/>
      <c r="U176" s="1028"/>
      <c r="V176" s="1028"/>
      <c r="W176" s="1028"/>
      <c r="X176" s="1028"/>
      <c r="Y176" s="1028"/>
      <c r="Z176" s="1067"/>
      <c r="AA176" s="1109"/>
      <c r="AB176" s="1109"/>
      <c r="AC176" s="1109"/>
      <c r="AD176" s="1111"/>
    </row>
    <row r="177" spans="2:30" ht="25.2" customHeight="1">
      <c r="E177" s="1026"/>
      <c r="F177" s="1018"/>
      <c r="G177" s="1018"/>
      <c r="H177" s="1028"/>
      <c r="I177" s="1028"/>
      <c r="J177" s="1028"/>
      <c r="K177" s="1028"/>
      <c r="L177" s="1028"/>
      <c r="M177" s="1028"/>
      <c r="N177" s="1028"/>
      <c r="O177" s="1028"/>
      <c r="P177" s="1028"/>
      <c r="Q177" s="1028"/>
      <c r="R177" s="1028"/>
      <c r="S177" s="1028"/>
      <c r="T177" s="1028"/>
      <c r="U177" s="1028"/>
      <c r="V177" s="1028"/>
      <c r="W177" s="1028"/>
      <c r="X177" s="1028"/>
      <c r="Y177" s="1028"/>
      <c r="AA177" s="1109"/>
      <c r="AB177" s="1160"/>
      <c r="AC177" s="1109"/>
      <c r="AD177" s="1111"/>
    </row>
    <row r="178" spans="2:30" ht="25.2" customHeight="1">
      <c r="E178" s="1026"/>
      <c r="F178" s="1018"/>
      <c r="G178" s="1018"/>
      <c r="H178" s="1028"/>
      <c r="I178" s="1028"/>
      <c r="J178" s="1028"/>
      <c r="K178" s="1028"/>
      <c r="L178" s="1028"/>
      <c r="M178" s="1028"/>
      <c r="N178" s="1028"/>
      <c r="O178" s="1028"/>
      <c r="P178" s="1028"/>
      <c r="Q178" s="1028"/>
      <c r="R178" s="1028"/>
      <c r="S178" s="1028"/>
      <c r="T178" s="1028"/>
      <c r="U178" s="1028"/>
      <c r="V178" s="1028"/>
      <c r="W178" s="1028"/>
      <c r="X178" s="1028"/>
      <c r="Y178" s="1028"/>
      <c r="AA178" s="1109"/>
      <c r="AB178" s="1160"/>
      <c r="AC178" s="1109"/>
      <c r="AD178" s="1111"/>
    </row>
    <row r="179" spans="2:30" ht="25.2" customHeight="1">
      <c r="E179" s="1026"/>
      <c r="F179" s="1018"/>
      <c r="G179" s="1018"/>
      <c r="H179" s="1028"/>
      <c r="I179" s="1028"/>
      <c r="J179" s="1028"/>
      <c r="K179" s="1028"/>
      <c r="L179" s="1028"/>
      <c r="M179" s="1028"/>
      <c r="N179" s="1028"/>
      <c r="O179" s="1028"/>
      <c r="P179" s="1028"/>
      <c r="Q179" s="1028"/>
      <c r="R179" s="1028"/>
      <c r="S179" s="1028"/>
      <c r="T179" s="1028"/>
      <c r="U179" s="1028"/>
      <c r="V179" s="1028"/>
      <c r="W179" s="1028"/>
      <c r="X179" s="1028"/>
      <c r="Y179" s="1028"/>
      <c r="AA179" s="1096"/>
      <c r="AB179" s="1112"/>
      <c r="AC179" s="1096"/>
      <c r="AD179" s="1111"/>
    </row>
    <row r="180" spans="2:30" ht="25.2" customHeight="1">
      <c r="E180" s="1026"/>
      <c r="F180" s="1018"/>
      <c r="G180" s="1018"/>
      <c r="H180" s="1028"/>
      <c r="I180" s="1028"/>
      <c r="J180" s="1028"/>
      <c r="K180" s="1028"/>
      <c r="L180" s="1028"/>
      <c r="M180" s="1028"/>
      <c r="N180" s="1028"/>
      <c r="O180" s="1028"/>
      <c r="P180" s="1028"/>
      <c r="Q180" s="1028"/>
      <c r="R180" s="1028"/>
      <c r="S180" s="1028"/>
      <c r="T180" s="1028"/>
      <c r="U180" s="1028"/>
      <c r="V180" s="1028"/>
      <c r="W180" s="1028"/>
      <c r="X180" s="1028"/>
      <c r="Y180" s="1028"/>
      <c r="AA180" s="1096"/>
      <c r="AB180" s="1112"/>
      <c r="AC180" s="1096"/>
      <c r="AD180" s="1111"/>
    </row>
    <row r="181" spans="2:30" ht="25.2" customHeight="1">
      <c r="E181" s="1026"/>
      <c r="F181" s="1018"/>
      <c r="G181" s="1018"/>
      <c r="H181" s="1028"/>
      <c r="I181" s="1028"/>
      <c r="J181" s="1028"/>
      <c r="K181" s="1028"/>
      <c r="L181" s="1028"/>
      <c r="M181" s="1028"/>
      <c r="N181" s="1028"/>
      <c r="O181" s="1028"/>
      <c r="P181" s="1028"/>
      <c r="Q181" s="1028"/>
      <c r="R181" s="1028"/>
      <c r="S181" s="1028"/>
      <c r="T181" s="1028"/>
      <c r="U181" s="1028"/>
      <c r="V181" s="1028"/>
      <c r="W181" s="1028"/>
      <c r="X181" s="1028"/>
      <c r="Y181" s="1028"/>
      <c r="AA181" s="1096"/>
      <c r="AB181" s="1112"/>
      <c r="AC181" s="1096"/>
      <c r="AD181" s="1111"/>
    </row>
    <row r="182" spans="2:30" ht="25.2" customHeight="1">
      <c r="C182" s="1031"/>
      <c r="E182" s="1026"/>
      <c r="F182" s="1018"/>
      <c r="G182" s="1018"/>
      <c r="H182" s="1028"/>
      <c r="I182" s="1028"/>
      <c r="J182" s="1028"/>
      <c r="K182" s="1028"/>
      <c r="L182" s="1028"/>
      <c r="M182" s="1028"/>
      <c r="N182" s="1028"/>
      <c r="O182" s="1028"/>
      <c r="P182" s="1028"/>
      <c r="Q182" s="1028"/>
      <c r="R182" s="1028"/>
      <c r="S182" s="1028"/>
      <c r="T182" s="1028"/>
      <c r="U182" s="1028"/>
      <c r="V182" s="1028"/>
      <c r="W182" s="1028"/>
      <c r="X182" s="1028"/>
      <c r="Y182" s="1028"/>
      <c r="Z182" s="1113"/>
      <c r="AA182" s="1096"/>
      <c r="AB182" s="1113"/>
      <c r="AC182" s="1096"/>
    </row>
    <row r="183" spans="2:30" ht="25.2" customHeight="1">
      <c r="E183" s="1026"/>
      <c r="F183" s="1018"/>
      <c r="G183" s="1018"/>
      <c r="H183" s="1028"/>
      <c r="I183" s="1028"/>
      <c r="J183" s="1028"/>
      <c r="K183" s="1028"/>
      <c r="L183" s="1028"/>
      <c r="M183" s="1028"/>
      <c r="N183" s="1028"/>
      <c r="O183" s="1028"/>
      <c r="P183" s="1028"/>
      <c r="Q183" s="1028"/>
      <c r="R183" s="1028"/>
      <c r="S183" s="1028"/>
      <c r="T183" s="1028"/>
      <c r="U183" s="1028"/>
      <c r="V183" s="1028"/>
      <c r="W183" s="1028"/>
      <c r="X183" s="1028"/>
      <c r="Y183" s="1028"/>
      <c r="AA183" s="1096"/>
      <c r="AB183" s="1067"/>
      <c r="AC183" s="1109"/>
    </row>
    <row r="184" spans="2:30" ht="25.2" customHeight="1">
      <c r="E184" s="1026"/>
      <c r="F184" s="1018"/>
      <c r="G184" s="1018"/>
      <c r="H184" s="1018"/>
      <c r="I184" s="1028"/>
      <c r="J184" s="1028"/>
      <c r="K184" s="1028"/>
      <c r="L184" s="1028"/>
      <c r="M184" s="1028"/>
      <c r="N184" s="1028"/>
      <c r="O184" s="1028"/>
      <c r="P184" s="1028"/>
      <c r="Q184" s="1028"/>
      <c r="R184" s="1028"/>
      <c r="S184" s="1028"/>
      <c r="T184" s="1028"/>
      <c r="U184" s="1028"/>
      <c r="V184" s="1028"/>
      <c r="W184" s="1028"/>
      <c r="X184" s="1028"/>
      <c r="Y184" s="1028"/>
      <c r="AA184" s="1096"/>
      <c r="AB184" s="1067"/>
      <c r="AC184" s="1109"/>
    </row>
    <row r="185" spans="2:30" ht="25.2" customHeight="1">
      <c r="E185" s="1026"/>
      <c r="F185" s="1018"/>
      <c r="G185" s="1018"/>
      <c r="H185" s="1028"/>
      <c r="I185" s="1028"/>
      <c r="J185" s="1028"/>
      <c r="K185" s="1028"/>
      <c r="L185" s="1028"/>
      <c r="M185" s="1028"/>
      <c r="N185" s="1028"/>
      <c r="O185" s="1028"/>
      <c r="P185" s="1028"/>
      <c r="Q185" s="1028"/>
      <c r="R185" s="1028"/>
      <c r="S185" s="1028"/>
      <c r="T185" s="1028"/>
      <c r="U185" s="1028"/>
      <c r="V185" s="1028"/>
      <c r="W185" s="1028"/>
      <c r="X185" s="1028"/>
      <c r="Y185" s="1028"/>
      <c r="AA185" s="1067"/>
      <c r="AB185" s="1067"/>
      <c r="AC185" s="1068"/>
    </row>
    <row r="186" spans="2:30" s="1018" customFormat="1" ht="25.2" customHeight="1">
      <c r="B186" s="1023"/>
      <c r="C186" s="1024" t="s">
        <v>606</v>
      </c>
      <c r="E186" s="1026"/>
      <c r="H186" s="1027"/>
      <c r="I186" s="1027"/>
      <c r="J186" s="1032" t="s">
        <v>599</v>
      </c>
      <c r="K186" s="1032"/>
      <c r="L186" s="1032"/>
      <c r="M186" s="1027"/>
      <c r="N186" s="1027"/>
      <c r="O186" s="1027"/>
      <c r="P186" s="1027"/>
      <c r="Q186" s="1027"/>
      <c r="R186" s="1027"/>
      <c r="S186" s="1027"/>
      <c r="T186" s="1027"/>
      <c r="U186" s="1027"/>
      <c r="V186" s="1027"/>
      <c r="W186" s="1027"/>
      <c r="X186" s="1027"/>
      <c r="Y186" s="1027"/>
      <c r="Z186" s="1067"/>
      <c r="AA186" s="1067"/>
      <c r="AB186" s="1067"/>
      <c r="AC186" s="1068"/>
    </row>
    <row r="187" spans="2:30" ht="25.2" customHeight="1">
      <c r="Z187" s="1113"/>
    </row>
    <row r="188" spans="2:30" ht="25.2" customHeight="1"/>
    <row r="189" spans="2:30" ht="25.2" customHeight="1">
      <c r="Z189" s="1126"/>
    </row>
    <row r="190" spans="2:30" ht="25.2" customHeight="1">
      <c r="Z190" s="1161"/>
    </row>
    <row r="191" spans="2:30" ht="25.2" customHeight="1">
      <c r="Z191" s="1161"/>
    </row>
    <row r="192" spans="2:30" ht="25.2" customHeight="1">
      <c r="Z192" s="1126"/>
    </row>
    <row r="193" spans="26:29" ht="25.2" customHeight="1">
      <c r="Z193" s="1126"/>
    </row>
    <row r="194" spans="26:29" ht="25.2" customHeight="1">
      <c r="Z194" s="1113"/>
      <c r="AA194" s="1113"/>
      <c r="AB194" s="1113"/>
      <c r="AC194" s="1107"/>
    </row>
    <row r="195" spans="26:29" ht="25.2" customHeight="1"/>
    <row r="196" spans="26:29" ht="25.2" customHeight="1">
      <c r="Z196" s="1113"/>
      <c r="AA196" s="1113"/>
      <c r="AB196" s="1113"/>
      <c r="AC196" s="1107"/>
    </row>
    <row r="197" spans="26:29" ht="25.2" customHeight="1"/>
    <row r="200" spans="26:29">
      <c r="Z200" s="1113"/>
      <c r="AA200" s="1113"/>
      <c r="AB200" s="1113"/>
    </row>
    <row r="201" spans="26:29">
      <c r="Z201" s="1113"/>
      <c r="AA201" s="1113"/>
      <c r="AB201" s="1113"/>
    </row>
  </sheetData>
  <sheetProtection selectLockedCells="1" selectUnlockedCells="1"/>
  <autoFilter ref="B7:AN168" xr:uid="{00000000-0009-0000-0000-000004000000}"/>
  <mergeCells count="29">
    <mergeCell ref="B3:C3"/>
    <mergeCell ref="B2:C2"/>
    <mergeCell ref="G5:G7"/>
    <mergeCell ref="B5:B7"/>
    <mergeCell ref="C5:C7"/>
    <mergeCell ref="D5:D7"/>
    <mergeCell ref="E5:E7"/>
    <mergeCell ref="F5:F7"/>
    <mergeCell ref="T5:T7"/>
    <mergeCell ref="H5:H7"/>
    <mergeCell ref="I5:I7"/>
    <mergeCell ref="J5:J7"/>
    <mergeCell ref="K5:K7"/>
    <mergeCell ref="L5:L7"/>
    <mergeCell ref="M5:M7"/>
    <mergeCell ref="N5:N7"/>
    <mergeCell ref="O5:O7"/>
    <mergeCell ref="Q5:Q7"/>
    <mergeCell ref="R5:R7"/>
    <mergeCell ref="S5:S7"/>
    <mergeCell ref="AA5:AA7"/>
    <mergeCell ref="AB5:AB7"/>
    <mergeCell ref="AC5:AC7"/>
    <mergeCell ref="U5:U7"/>
    <mergeCell ref="V5:V7"/>
    <mergeCell ref="W5:W7"/>
    <mergeCell ref="X5:X7"/>
    <mergeCell ref="Y5:Y7"/>
    <mergeCell ref="Z5:Z7"/>
  </mergeCells>
  <conditionalFormatting sqref="B50:B53">
    <cfRule type="duplicateValues" dxfId="340" priority="16947"/>
  </conditionalFormatting>
  <conditionalFormatting sqref="B168 C166:C1048576 C31:C32 C39 C44:C46 C1 C49:C51 C111:C139 C13:C14 C24:C26 C54:C55 C60 C70:C109 C5:C11 C141:C164">
    <cfRule type="duplicateValues" dxfId="339" priority="136"/>
  </conditionalFormatting>
  <conditionalFormatting sqref="B168 C166:C1048576 C139 C31:C32 C39 C44:C46 C111:C125 C1 C49:C51 C13:C14 C24:C26 C54:C55 C60 C70:C109 C5:C11 C141:C164">
    <cfRule type="duplicateValues" dxfId="338" priority="141"/>
  </conditionalFormatting>
  <conditionalFormatting sqref="B168 C166:C1048576 C164">
    <cfRule type="duplicateValues" dxfId="337" priority="142"/>
  </conditionalFormatting>
  <conditionalFormatting sqref="B30:C30">
    <cfRule type="duplicateValues" dxfId="336" priority="114"/>
  </conditionalFormatting>
  <conditionalFormatting sqref="B35:C35 B34">
    <cfRule type="duplicateValues" dxfId="335" priority="117"/>
  </conditionalFormatting>
  <conditionalFormatting sqref="B43:C43 B36:C37 B38:B42">
    <cfRule type="duplicateValues" dxfId="334" priority="129"/>
  </conditionalFormatting>
  <conditionalFormatting sqref="B140:C140">
    <cfRule type="duplicateValues" dxfId="333" priority="122"/>
  </conditionalFormatting>
  <conditionalFormatting sqref="B166:C1048576 B165 B44:C46 B47:B49 C50:C51 B31:C32 B1:C1 B54:C55 B13:C14 B12 B27:B29 B24:C26 B15:B23 B33 B60:C60 B56:B59 B61:B69 B5:C11 B2:B4 B141:C164 C109 B109:B110 B70:C108 B111:C139">
    <cfRule type="duplicateValues" dxfId="332" priority="137"/>
  </conditionalFormatting>
  <conditionalFormatting sqref="C12">
    <cfRule type="duplicateValues" dxfId="331" priority="68"/>
    <cfRule type="duplicateValues" dxfId="330" priority="67"/>
    <cfRule type="duplicateValues" dxfId="329" priority="66"/>
  </conditionalFormatting>
  <conditionalFormatting sqref="C15:C23">
    <cfRule type="duplicateValues" dxfId="328" priority="16529"/>
    <cfRule type="duplicateValues" dxfId="327" priority="16531"/>
    <cfRule type="duplicateValues" dxfId="326" priority="16530"/>
  </conditionalFormatting>
  <conditionalFormatting sqref="C27:C28">
    <cfRule type="duplicateValues" dxfId="325" priority="65"/>
    <cfRule type="duplicateValues" dxfId="324" priority="64"/>
    <cfRule type="duplicateValues" dxfId="323" priority="63"/>
  </conditionalFormatting>
  <conditionalFormatting sqref="C29">
    <cfRule type="duplicateValues" dxfId="322" priority="62"/>
    <cfRule type="duplicateValues" dxfId="321" priority="61"/>
    <cfRule type="duplicateValues" dxfId="320" priority="60"/>
    <cfRule type="duplicateValues" dxfId="319" priority="59"/>
    <cfRule type="duplicateValues" dxfId="318" priority="58"/>
  </conditionalFormatting>
  <conditionalFormatting sqref="C30">
    <cfRule type="duplicateValues" dxfId="317" priority="115"/>
    <cfRule type="duplicateValues" dxfId="316" priority="113"/>
    <cfRule type="duplicateValues" dxfId="315" priority="112"/>
  </conditionalFormatting>
  <conditionalFormatting sqref="C33:C34">
    <cfRule type="duplicateValues" dxfId="314" priority="53"/>
    <cfRule type="duplicateValues" dxfId="313" priority="54"/>
    <cfRule type="duplicateValues" dxfId="312" priority="52"/>
  </conditionalFormatting>
  <conditionalFormatting sqref="C35">
    <cfRule type="duplicateValues" dxfId="311" priority="118"/>
    <cfRule type="duplicateValues" dxfId="310" priority="116"/>
  </conditionalFormatting>
  <conditionalFormatting sqref="C36:C37">
    <cfRule type="duplicateValues" dxfId="309" priority="128"/>
    <cfRule type="duplicateValues" dxfId="308" priority="127"/>
    <cfRule type="duplicateValues" dxfId="307" priority="130"/>
  </conditionalFormatting>
  <conditionalFormatting sqref="C38">
    <cfRule type="duplicateValues" dxfId="306" priority="111"/>
    <cfRule type="duplicateValues" dxfId="305" priority="110"/>
    <cfRule type="duplicateValues" dxfId="304" priority="109"/>
  </conditionalFormatting>
  <conditionalFormatting sqref="C39">
    <cfRule type="duplicateValues" dxfId="303" priority="108"/>
  </conditionalFormatting>
  <conditionalFormatting sqref="C40:C41">
    <cfRule type="duplicateValues" dxfId="302" priority="16799"/>
    <cfRule type="duplicateValues" dxfId="301" priority="16800"/>
    <cfRule type="duplicateValues" dxfId="300" priority="16801"/>
  </conditionalFormatting>
  <conditionalFormatting sqref="C42">
    <cfRule type="duplicateValues" dxfId="299" priority="16366"/>
    <cfRule type="duplicateValues" dxfId="298" priority="16367"/>
    <cfRule type="duplicateValues" dxfId="297" priority="16368"/>
  </conditionalFormatting>
  <conditionalFormatting sqref="C43">
    <cfRule type="duplicateValues" dxfId="296" priority="104"/>
    <cfRule type="duplicateValues" dxfId="295" priority="103"/>
    <cfRule type="duplicateValues" dxfId="294" priority="102"/>
  </conditionalFormatting>
  <conditionalFormatting sqref="C46">
    <cfRule type="duplicateValues" dxfId="293" priority="101"/>
  </conditionalFormatting>
  <conditionalFormatting sqref="C47:C48">
    <cfRule type="duplicateValues" dxfId="292" priority="15589"/>
    <cfRule type="duplicateValues" dxfId="291" priority="15590"/>
    <cfRule type="duplicateValues" dxfId="290" priority="15591"/>
  </conditionalFormatting>
  <conditionalFormatting sqref="C49">
    <cfRule type="duplicateValues" dxfId="289" priority="99"/>
    <cfRule type="duplicateValues" dxfId="288" priority="100"/>
  </conditionalFormatting>
  <conditionalFormatting sqref="C52:C53">
    <cfRule type="duplicateValues" dxfId="287" priority="17005"/>
    <cfRule type="duplicateValues" dxfId="286" priority="17003"/>
    <cfRule type="duplicateValues" dxfId="285" priority="17004"/>
  </conditionalFormatting>
  <conditionalFormatting sqref="C54">
    <cfRule type="duplicateValues" dxfId="284" priority="97"/>
    <cfRule type="duplicateValues" dxfId="283" priority="98"/>
  </conditionalFormatting>
  <conditionalFormatting sqref="C56">
    <cfRule type="duplicateValues" dxfId="282" priority="43"/>
  </conditionalFormatting>
  <conditionalFormatting sqref="C56:C57">
    <cfRule type="duplicateValues" dxfId="281" priority="44"/>
    <cfRule type="duplicateValues" dxfId="280" priority="45"/>
  </conditionalFormatting>
  <conditionalFormatting sqref="C57">
    <cfRule type="duplicateValues" dxfId="279" priority="42"/>
  </conditionalFormatting>
  <conditionalFormatting sqref="C58">
    <cfRule type="duplicateValues" dxfId="278" priority="35"/>
  </conditionalFormatting>
  <conditionalFormatting sqref="C58:C59">
    <cfRule type="duplicateValues" dxfId="277" priority="37"/>
    <cfRule type="duplicateValues" dxfId="276" priority="36"/>
  </conditionalFormatting>
  <conditionalFormatting sqref="C59">
    <cfRule type="duplicateValues" dxfId="275" priority="34"/>
  </conditionalFormatting>
  <conditionalFormatting sqref="C61:C64">
    <cfRule type="duplicateValues" dxfId="274" priority="15613"/>
    <cfRule type="duplicateValues" dxfId="273" priority="15614"/>
  </conditionalFormatting>
  <conditionalFormatting sqref="C66">
    <cfRule type="duplicateValues" dxfId="272" priority="5"/>
    <cfRule type="duplicateValues" dxfId="271" priority="6"/>
    <cfRule type="duplicateValues" dxfId="270" priority="7"/>
    <cfRule type="duplicateValues" dxfId="269" priority="8"/>
    <cfRule type="duplicateValues" dxfId="268" priority="9"/>
  </conditionalFormatting>
  <conditionalFormatting sqref="C68">
    <cfRule type="duplicateValues" dxfId="267" priority="13"/>
    <cfRule type="duplicateValues" dxfId="266" priority="15"/>
    <cfRule type="duplicateValues" dxfId="265" priority="14"/>
    <cfRule type="duplicateValues" dxfId="264" priority="12"/>
    <cfRule type="duplicateValues" dxfId="263" priority="11"/>
  </conditionalFormatting>
  <conditionalFormatting sqref="C69">
    <cfRule type="duplicateValues" dxfId="262" priority="28"/>
    <cfRule type="duplicateValues" dxfId="261" priority="29"/>
  </conditionalFormatting>
  <conditionalFormatting sqref="C76:C88">
    <cfRule type="duplicateValues" dxfId="260" priority="143"/>
  </conditionalFormatting>
  <conditionalFormatting sqref="C110">
    <cfRule type="duplicateValues" dxfId="259" priority="81"/>
    <cfRule type="duplicateValues" dxfId="258" priority="80"/>
    <cfRule type="duplicateValues" dxfId="257" priority="79"/>
  </conditionalFormatting>
  <conditionalFormatting sqref="C114">
    <cfRule type="duplicateValues" dxfId="256" priority="78"/>
  </conditionalFormatting>
  <conditionalFormatting sqref="C126:C138">
    <cfRule type="duplicateValues" dxfId="255" priority="16600"/>
    <cfRule type="duplicateValues" dxfId="254" priority="16599"/>
  </conditionalFormatting>
  <conditionalFormatting sqref="C129">
    <cfRule type="duplicateValues" dxfId="253" priority="77"/>
  </conditionalFormatting>
  <conditionalFormatting sqref="C131">
    <cfRule type="duplicateValues" dxfId="252" priority="76"/>
  </conditionalFormatting>
  <conditionalFormatting sqref="C140">
    <cfRule type="duplicateValues" dxfId="251" priority="120"/>
    <cfRule type="duplicateValues" dxfId="250" priority="121"/>
    <cfRule type="duplicateValues" dxfId="249" priority="123"/>
    <cfRule type="duplicateValues" dxfId="248" priority="119"/>
  </conditionalFormatting>
  <conditionalFormatting sqref="C141:C146">
    <cfRule type="duplicateValues" dxfId="247" priority="15539"/>
    <cfRule type="duplicateValues" dxfId="246" priority="15540"/>
  </conditionalFormatting>
  <conditionalFormatting sqref="C157:C158">
    <cfRule type="duplicateValues" dxfId="245" priority="1"/>
    <cfRule type="duplicateValues" dxfId="244" priority="2"/>
  </conditionalFormatting>
  <conditionalFormatting sqref="C61:D62 C63:C64">
    <cfRule type="duplicateValues" dxfId="243" priority="15644"/>
  </conditionalFormatting>
  <conditionalFormatting sqref="C65:D65">
    <cfRule type="duplicateValues" dxfId="242" priority="24"/>
    <cfRule type="duplicateValues" dxfId="241" priority="23"/>
    <cfRule type="duplicateValues" dxfId="240" priority="22"/>
    <cfRule type="duplicateValues" dxfId="239" priority="21"/>
  </conditionalFormatting>
  <conditionalFormatting sqref="C67:D67">
    <cfRule type="duplicateValues" dxfId="238" priority="19"/>
    <cfRule type="duplicateValues" dxfId="237" priority="20"/>
    <cfRule type="duplicateValues" dxfId="236" priority="18"/>
    <cfRule type="duplicateValues" dxfId="235" priority="17"/>
  </conditionalFormatting>
  <conditionalFormatting sqref="D61:D62">
    <cfRule type="duplicateValues" dxfId="234" priority="33"/>
    <cfRule type="duplicateValues" dxfId="233" priority="32"/>
  </conditionalFormatting>
  <conditionalFormatting sqref="AA77">
    <cfRule type="duplicateValues" dxfId="232" priority="71"/>
    <cfRule type="duplicateValues" dxfId="231" priority="72"/>
    <cfRule type="duplicateValues" dxfId="230" priority="73"/>
    <cfRule type="duplicateValues" dxfId="229" priority="74"/>
    <cfRule type="duplicateValues" dxfId="228" priority="75"/>
  </conditionalFormatting>
  <conditionalFormatting sqref="AA175">
    <cfRule type="duplicateValues" dxfId="227" priority="133"/>
    <cfRule type="duplicateValues" dxfId="226" priority="134"/>
    <cfRule type="duplicateValues" dxfId="225" priority="132"/>
    <cfRule type="duplicateValues" dxfId="224" priority="131"/>
    <cfRule type="duplicateValues" dxfId="223" priority="135"/>
  </conditionalFormatting>
  <pageMargins left="0.23622047244094491" right="0.23622047244094491" top="0.74803149606299213" bottom="0.74803149606299213" header="0.31496062992125984" footer="0.31496062992125984"/>
  <pageSetup paperSize="5" scale="16" firstPageNumber="0" fitToWidth="0" orientation="landscape" r:id="rId1"/>
  <headerFooter alignWithMargins="0"/>
  <rowBreaks count="1" manualBreakCount="1">
    <brk id="89" max="2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KRN57"/>
  <sheetViews>
    <sheetView zoomScale="89" zoomScaleNormal="89" workbookViewId="0">
      <pane xSplit="3" ySplit="5" topLeftCell="U28" activePane="bottomRight" state="frozen"/>
      <selection activeCell="H25" sqref="H25"/>
      <selection pane="topRight" activeCell="H25" sqref="H25"/>
      <selection pane="bottomLeft" activeCell="H25" sqref="H25"/>
      <selection pane="bottomRight" activeCell="Z6" sqref="Z6:Z54"/>
    </sheetView>
  </sheetViews>
  <sheetFormatPr baseColWidth="10" defaultColWidth="11.44140625" defaultRowHeight="14.4"/>
  <cols>
    <col min="1" max="1" width="7.88671875" style="1" customWidth="1"/>
    <col min="2" max="2" width="33.109375" style="123" customWidth="1"/>
    <col min="3" max="3" width="19.5546875" style="123" customWidth="1"/>
    <col min="4" max="4" width="34.5546875" style="123" customWidth="1"/>
    <col min="5" max="5" width="29.5546875" style="123" customWidth="1"/>
    <col min="6" max="6" width="9.5546875" style="123" customWidth="1"/>
    <col min="7" max="7" width="12.88671875" style="123" customWidth="1"/>
    <col min="8" max="8" width="10.5546875" style="123" customWidth="1"/>
    <col min="9" max="9" width="8.44140625" style="123" customWidth="1"/>
    <col min="10" max="10" width="11.33203125" style="2" customWidth="1"/>
    <col min="11" max="11" width="9.6640625" style="123" customWidth="1"/>
    <col min="12" max="12" width="11.44140625" style="123" customWidth="1"/>
    <col min="13" max="13" width="11.33203125" style="123" customWidth="1"/>
    <col min="14" max="14" width="10.6640625" style="120" customWidth="1"/>
    <col min="15" max="15" width="10.109375" style="120" customWidth="1"/>
    <col min="16" max="16" width="10.44140625" style="120" customWidth="1"/>
    <col min="17" max="17" width="12.5546875" style="120" customWidth="1"/>
    <col min="18" max="18" width="9" style="120" customWidth="1"/>
    <col min="19" max="20" width="12" style="120" customWidth="1"/>
    <col min="21" max="21" width="12.44140625" style="120" customWidth="1"/>
    <col min="22" max="22" width="10.33203125" style="120" customWidth="1"/>
    <col min="23" max="23" width="10.6640625" style="120" customWidth="1"/>
    <col min="24" max="24" width="12.5546875" style="120" customWidth="1"/>
    <col min="25" max="25" width="16.109375" style="198" customWidth="1"/>
    <col min="26" max="26" width="13.44140625" style="120" customWidth="1"/>
    <col min="27" max="27" width="23.33203125" style="280" hidden="1" customWidth="1"/>
    <col min="28" max="28" width="21" style="149" hidden="1" customWidth="1"/>
    <col min="29" max="16372" width="11.44140625" style="1"/>
    <col min="16373" max="16384" width="8.88671875" style="1" customWidth="1"/>
  </cols>
  <sheetData>
    <row r="1" spans="1:7918">
      <c r="B1" s="123" t="str">
        <f>+distribucion!G3</f>
        <v>NOMINA ECONACIONAL, S. A.</v>
      </c>
    </row>
    <row r="2" spans="1:7918">
      <c r="B2" s="123" t="str">
        <f>+distribucion!G4</f>
        <v>MAYO  2026 2da QUINCENA</v>
      </c>
    </row>
    <row r="3" spans="1:7918">
      <c r="B3" s="1012">
        <f>+distribucion!G5</f>
        <v>2026</v>
      </c>
    </row>
    <row r="4" spans="1:7918">
      <c r="B4" s="128">
        <v>1</v>
      </c>
      <c r="C4" s="128">
        <v>2</v>
      </c>
      <c r="D4" s="128">
        <v>3</v>
      </c>
      <c r="E4" s="128">
        <v>4</v>
      </c>
      <c r="F4" s="128">
        <v>5</v>
      </c>
      <c r="G4" s="128">
        <v>6</v>
      </c>
      <c r="H4" s="128">
        <v>7</v>
      </c>
      <c r="I4" s="128">
        <v>8</v>
      </c>
      <c r="J4" s="128">
        <v>9</v>
      </c>
      <c r="K4" s="128">
        <v>10</v>
      </c>
      <c r="L4" s="128">
        <v>11</v>
      </c>
      <c r="M4" s="128">
        <v>12</v>
      </c>
      <c r="N4" s="128">
        <v>13</v>
      </c>
      <c r="O4" s="128">
        <v>14</v>
      </c>
      <c r="P4" s="128">
        <v>15</v>
      </c>
      <c r="Q4" s="128">
        <v>16</v>
      </c>
      <c r="R4" s="128">
        <v>17</v>
      </c>
      <c r="S4" s="128">
        <v>18</v>
      </c>
      <c r="T4" s="128">
        <v>19</v>
      </c>
      <c r="U4" s="128">
        <v>20</v>
      </c>
      <c r="V4" s="128">
        <v>21</v>
      </c>
      <c r="W4" s="128">
        <v>22</v>
      </c>
      <c r="X4" s="128">
        <v>23</v>
      </c>
      <c r="Y4" s="173">
        <v>24</v>
      </c>
      <c r="Z4" s="128">
        <v>25</v>
      </c>
      <c r="AA4" s="274">
        <v>26</v>
      </c>
      <c r="AB4" s="128">
        <v>27</v>
      </c>
    </row>
    <row r="5" spans="1:7918" ht="30" customHeight="1">
      <c r="B5" s="190" t="s">
        <v>201</v>
      </c>
      <c r="C5" s="191" t="s">
        <v>202</v>
      </c>
      <c r="D5" s="191" t="s">
        <v>203</v>
      </c>
      <c r="E5" s="191" t="s">
        <v>271</v>
      </c>
      <c r="F5" s="251" t="s">
        <v>175</v>
      </c>
      <c r="G5" s="251" t="s">
        <v>205</v>
      </c>
      <c r="H5" s="251" t="s">
        <v>206</v>
      </c>
      <c r="I5" s="251" t="s">
        <v>207</v>
      </c>
      <c r="J5" s="152" t="s">
        <v>208</v>
      </c>
      <c r="K5" s="251" t="s">
        <v>209</v>
      </c>
      <c r="L5" s="251" t="s">
        <v>210</v>
      </c>
      <c r="M5" s="251" t="s">
        <v>184</v>
      </c>
      <c r="N5" s="153" t="s">
        <v>211</v>
      </c>
      <c r="O5" s="154" t="s">
        <v>212</v>
      </c>
      <c r="P5" s="154" t="s">
        <v>213</v>
      </c>
      <c r="Q5" s="154" t="s">
        <v>214</v>
      </c>
      <c r="R5" s="154" t="s">
        <v>215</v>
      </c>
      <c r="S5" s="154" t="s">
        <v>33</v>
      </c>
      <c r="T5" s="154" t="s">
        <v>32</v>
      </c>
      <c r="U5" s="154" t="s">
        <v>31</v>
      </c>
      <c r="V5" s="153" t="s">
        <v>216</v>
      </c>
      <c r="W5" s="153" t="s">
        <v>217</v>
      </c>
      <c r="X5" s="153" t="s">
        <v>280</v>
      </c>
      <c r="Y5" s="197" t="s">
        <v>281</v>
      </c>
      <c r="Z5" s="153" t="s">
        <v>282</v>
      </c>
      <c r="AA5" s="275" t="s">
        <v>220</v>
      </c>
      <c r="AB5" s="252" t="s">
        <v>221</v>
      </c>
    </row>
    <row r="6" spans="1:7918">
      <c r="A6" s="1">
        <v>1</v>
      </c>
      <c r="B6" s="255" t="s">
        <v>431</v>
      </c>
      <c r="C6" s="146">
        <v>4550186045</v>
      </c>
      <c r="D6" s="253" t="str">
        <f>+B6</f>
        <v>Pu Canto Domingo</v>
      </c>
      <c r="E6" s="145" t="str">
        <f>VLOOKUP(B6,distribucion!G$8:FP$152,2,0)</f>
        <v>Conserje</v>
      </c>
      <c r="F6" s="128">
        <f>ROUND((VLOOKUP($B6,ECONACIONAL!$C$5:$AC$219,4,0)),2)</f>
        <v>30</v>
      </c>
      <c r="G6" s="128">
        <f>ROUND((VLOOKUP($B6,ECONACIONAL!$C$7:$AC$219,6,0)),2)</f>
        <v>4002.28</v>
      </c>
      <c r="H6" s="128">
        <f>ROUND((VLOOKUP($B6,ECONACIONAL!$C$7:$AC$219,7,0)),2)</f>
        <v>250</v>
      </c>
      <c r="I6" s="128">
        <f>ROUND((VLOOKUP($B6,ECONACIONAL!$C$7:$AC$219,9,0)),2)</f>
        <v>0</v>
      </c>
      <c r="J6" s="128">
        <f>ROUND((VLOOKUP($B6,ECONACIONAL!$C$7:$AC$219,10,0)),2)</f>
        <v>0</v>
      </c>
      <c r="K6" s="128">
        <f>ROUND((VLOOKUP($B6,ECONACIONAL!$C$7:$AC$219,11,0)),2)</f>
        <v>0</v>
      </c>
      <c r="L6" s="128">
        <f>ROUND((VLOOKUP($B6,ECONACIONAL!$C$7:$AC$219,12,0)),2)</f>
        <v>0</v>
      </c>
      <c r="M6" s="128">
        <f>ROUND((VLOOKUP($B6,ECONACIONAL!$C$7:$AC$219,14,0)),2)</f>
        <v>0</v>
      </c>
      <c r="N6" s="128">
        <f>ROUND((VLOOKUP($B6,ECONACIONAL!$C$7:$AC$219,15,0)),2)</f>
        <v>4252.28</v>
      </c>
      <c r="O6" s="128">
        <f>ROUND((VLOOKUP($B6,ECONACIONAL!$C$7:$AC$219,16,0)),2)</f>
        <v>120.07</v>
      </c>
      <c r="P6" s="128">
        <f>ROUND((VLOOKUP($B6,ECONACIONAL!$C$7:$AC$219,17,0)),2)</f>
        <v>0</v>
      </c>
      <c r="Q6" s="128">
        <f>ROUND((VLOOKUP($B6,ECONACIONAL!$C$7:$AC$219,18,0)),2)</f>
        <v>0</v>
      </c>
      <c r="R6" s="128">
        <f>ROUND((VLOOKUP($B6,ECONACIONAL!$C$7:$AC$219,19,0)),2)</f>
        <v>0</v>
      </c>
      <c r="S6" s="128">
        <f>ROUND((VLOOKUP($B6,ECONACIONAL!$C$7:$AC$219,20,0)),2)</f>
        <v>0</v>
      </c>
      <c r="T6" s="128">
        <f>ROUND((VLOOKUP($B6,ECONACIONAL!$C$7:$AC$219,21,0)),2)</f>
        <v>0</v>
      </c>
      <c r="U6" s="128">
        <f>ROUND((VLOOKUP($B6,ECONACIONAL!$C$7:$AC$219,22,0)),2)</f>
        <v>0</v>
      </c>
      <c r="V6" s="128">
        <f>ROUND((VLOOKUP($B6,ECONACIONAL!$C$7:$AC$219,23,0)),2)</f>
        <v>0</v>
      </c>
      <c r="W6" s="128">
        <f>ROUND((VLOOKUP($B6,ECONACIONAL!$C$7:$AC$219,24,0)),2)</f>
        <v>120.07</v>
      </c>
      <c r="X6" s="128">
        <f>ROUND((VLOOKUP($B6,ECONACIONAL!$C$7:$AC$219,25,0)),2)</f>
        <v>4132.21</v>
      </c>
      <c r="Y6" s="128">
        <f>ROUND((VLOOKUP($B6,ECONACIONAL!$C$7:$AC$219,26,0)),2)</f>
        <v>2066.11</v>
      </c>
      <c r="Z6" s="128">
        <f>ROUND((VLOOKUP($B6,ECONACIONAL!$C$7:$AC$219,27,0)),2)</f>
        <v>2066.1</v>
      </c>
      <c r="AA6" s="274" t="e">
        <f>VLOOKUP($B6,$A$17:$D$281,4,0)</f>
        <v>#N/A</v>
      </c>
      <c r="AB6" s="254" t="str">
        <f>+IFERROR(VLOOKUP(B6,#REF!,3,0),"")</f>
        <v/>
      </c>
    </row>
    <row r="7" spans="1:7918">
      <c r="A7" s="1" t="e">
        <f>+#REF!+1</f>
        <v>#REF!</v>
      </c>
      <c r="B7" s="255" t="s">
        <v>615</v>
      </c>
      <c r="C7" s="147">
        <v>144442381</v>
      </c>
      <c r="D7" s="1308" t="s">
        <v>615</v>
      </c>
      <c r="E7" s="145" t="str">
        <f>VLOOKUP(B7,distribucion!G$8:FP$152,2,0)</f>
        <v>Recepcionista</v>
      </c>
      <c r="F7" s="128">
        <f>ROUND((VLOOKUP($B7,ECONACIONAL!$C$5:$AC$219,4,0)),2)</f>
        <v>30</v>
      </c>
      <c r="G7" s="128">
        <f>ROUND((VLOOKUP($B7,ECONACIONAL!$C$7:$AC$219,6,0)),2)</f>
        <v>4250.03</v>
      </c>
      <c r="H7" s="128">
        <f>ROUND((VLOOKUP($B7,ECONACIONAL!$C$7:$AC$219,7,0)),2)</f>
        <v>250</v>
      </c>
      <c r="I7" s="128">
        <f>ROUND((VLOOKUP($B7,ECONACIONAL!$C$7:$AC$219,9,0)),2)</f>
        <v>0</v>
      </c>
      <c r="J7" s="128">
        <f>ROUND((VLOOKUP($B7,ECONACIONAL!$C$7:$AC$219,10,0)),2)</f>
        <v>0</v>
      </c>
      <c r="K7" s="128">
        <f>ROUND((VLOOKUP($B7,ECONACIONAL!$C$7:$AC$219,11,0)),2)</f>
        <v>0</v>
      </c>
      <c r="L7" s="128">
        <f>ROUND((VLOOKUP($B7,ECONACIONAL!$C$7:$AC$219,12,0)),2)</f>
        <v>0</v>
      </c>
      <c r="M7" s="128">
        <f>ROUND((VLOOKUP($B7,ECONACIONAL!$C$7:$AC$219,14,0)),2)</f>
        <v>0</v>
      </c>
      <c r="N7" s="128">
        <f>ROUND((VLOOKUP($B7,ECONACIONAL!$C$7:$AC$219,15,0)),2)</f>
        <v>4500.03</v>
      </c>
      <c r="O7" s="128">
        <f>ROUND((VLOOKUP($B7,ECONACIONAL!$C$7:$AC$219,16,0)),2)</f>
        <v>205.28</v>
      </c>
      <c r="P7" s="128">
        <f>ROUND((VLOOKUP($B7,ECONACIONAL!$C$7:$AC$219,17,0)),2)</f>
        <v>4.51</v>
      </c>
      <c r="Q7" s="128">
        <f>ROUND((VLOOKUP($B7,ECONACIONAL!$C$7:$AC$219,18,0)),2)</f>
        <v>0</v>
      </c>
      <c r="R7" s="128">
        <f>ROUND((VLOOKUP($B7,ECONACIONAL!$C$7:$AC$219,19,0)),2)</f>
        <v>0</v>
      </c>
      <c r="S7" s="128">
        <f>ROUND((VLOOKUP($B7,ECONACIONAL!$C$7:$AC$219,20,0)),2)</f>
        <v>0</v>
      </c>
      <c r="T7" s="128">
        <f>ROUND((VLOOKUP($B7,ECONACIONAL!$C$7:$AC$219,21,0)),2)</f>
        <v>0</v>
      </c>
      <c r="U7" s="128">
        <f>ROUND((VLOOKUP($B7,ECONACIONAL!$C$7:$AC$219,22,0)),2)</f>
        <v>180</v>
      </c>
      <c r="V7" s="128">
        <f>ROUND((VLOOKUP($B7,ECONACIONAL!$C$7:$AC$219,23,0)),2)</f>
        <v>0</v>
      </c>
      <c r="W7" s="128">
        <f>ROUND((VLOOKUP($B7,ECONACIONAL!$C$7:$AC$219,24,0)),2)</f>
        <v>389.79</v>
      </c>
      <c r="X7" s="128">
        <f>ROUND((VLOOKUP($B7,ECONACIONAL!$C$7:$AC$219,25,0)),2)</f>
        <v>4110.24</v>
      </c>
      <c r="Y7" s="128">
        <f>ROUND((VLOOKUP($B7,ECONACIONAL!$C$7:$AC$219,26,0)),2)</f>
        <v>2043.12</v>
      </c>
      <c r="Z7" s="128">
        <f>ROUND((VLOOKUP($B7,ECONACIONAL!$C$7:$AC$219,27,0)),2)</f>
        <v>2067.12</v>
      </c>
      <c r="AA7" s="274">
        <v>186268116</v>
      </c>
      <c r="AB7" s="254" t="str">
        <f>+IFERROR(VLOOKUP(B7,#REF!,3,0),"")</f>
        <v/>
      </c>
    </row>
    <row r="8" spans="1:7918">
      <c r="A8" s="1" t="e">
        <f>+#REF!+1</f>
        <v>#REF!</v>
      </c>
      <c r="B8" s="255" t="s">
        <v>455</v>
      </c>
      <c r="C8" s="128">
        <v>141273606</v>
      </c>
      <c r="D8" s="1308" t="s">
        <v>455</v>
      </c>
      <c r="E8" s="145" t="str">
        <f>VLOOKUP(B8,distribucion!G$8:FP$152,2,0)</f>
        <v>Jefe de Recursos Humanos</v>
      </c>
      <c r="F8" s="128">
        <f>ROUND((VLOOKUP($B8,ECONACIONAL!$C$5:$AC$219,4,0)),2)</f>
        <v>30</v>
      </c>
      <c r="G8" s="128">
        <f>ROUND((VLOOKUP($B8,ECONACIONAL!$C$7:$AC$219,6,0)),2)</f>
        <v>9150</v>
      </c>
      <c r="H8" s="128">
        <f>ROUND((VLOOKUP($B8,ECONACIONAL!$C$7:$AC$219,7,0)),2)</f>
        <v>4500</v>
      </c>
      <c r="I8" s="128">
        <f>ROUND((VLOOKUP($B8,ECONACIONAL!$C$7:$AC$219,9,0)),2)</f>
        <v>0</v>
      </c>
      <c r="J8" s="128">
        <f>ROUND((VLOOKUP($B8,ECONACIONAL!$C$7:$AC$219,10,0)),2)</f>
        <v>0</v>
      </c>
      <c r="K8" s="128">
        <f>ROUND((VLOOKUP($B8,ECONACIONAL!$C$7:$AC$219,11,0)),2)</f>
        <v>0</v>
      </c>
      <c r="L8" s="128">
        <f>ROUND((VLOOKUP($B8,ECONACIONAL!$C$7:$AC$219,12,0)),2)</f>
        <v>0</v>
      </c>
      <c r="M8" s="128">
        <f>ROUND((VLOOKUP($B8,ECONACIONAL!$C$7:$AC$219,14,0)),2)</f>
        <v>0</v>
      </c>
      <c r="N8" s="128">
        <f>ROUND((VLOOKUP($B8,ECONACIONAL!$C$7:$AC$219,15,0)),2)</f>
        <v>13650</v>
      </c>
      <c r="O8" s="128">
        <f>ROUND((VLOOKUP($B8,ECONACIONAL!$C$7:$AC$219,16,0)),2)</f>
        <v>441.95</v>
      </c>
      <c r="P8" s="128">
        <f>ROUND((VLOOKUP($B8,ECONACIONAL!$C$7:$AC$219,17,0)),2)</f>
        <v>429.5</v>
      </c>
      <c r="Q8" s="128">
        <f>ROUND((VLOOKUP($B8,ECONACIONAL!$C$7:$AC$219,18,0)),2)</f>
        <v>0</v>
      </c>
      <c r="R8" s="128">
        <f>ROUND((VLOOKUP($B8,ECONACIONAL!$C$7:$AC$219,19,0)),2)</f>
        <v>0</v>
      </c>
      <c r="S8" s="128">
        <f>ROUND((VLOOKUP($B8,ECONACIONAL!$C$7:$AC$219,20,0)),2)</f>
        <v>0</v>
      </c>
      <c r="T8" s="128">
        <f>ROUND((VLOOKUP($B8,ECONACIONAL!$C$7:$AC$219,21,0)),2)</f>
        <v>0</v>
      </c>
      <c r="U8" s="128">
        <f>ROUND((VLOOKUP($B8,ECONACIONAL!$C$7:$AC$219,22,0)),2)</f>
        <v>161</v>
      </c>
      <c r="V8" s="128">
        <f>ROUND((VLOOKUP($B8,ECONACIONAL!$C$7:$AC$219,23,0)),2)</f>
        <v>0</v>
      </c>
      <c r="W8" s="128">
        <f>ROUND((VLOOKUP($B8,ECONACIONAL!$C$7:$AC$219,24,0)),2)</f>
        <v>1032.45</v>
      </c>
      <c r="X8" s="128">
        <f>ROUND((VLOOKUP($B8,ECONACIONAL!$C$7:$AC$219,25,0)),2)</f>
        <v>12617.55</v>
      </c>
      <c r="Y8" s="128">
        <f>ROUND((VLOOKUP($B8,ECONACIONAL!$C$7:$AC$219,26,0)),2)</f>
        <v>6303.28</v>
      </c>
      <c r="Z8" s="128">
        <f>ROUND((VLOOKUP($B8,ECONACIONAL!$C$7:$AC$219,27,0)),2)</f>
        <v>6314.27</v>
      </c>
      <c r="AA8" s="274">
        <v>201600115710</v>
      </c>
      <c r="AB8" s="254" t="str">
        <f>+IFERROR(VLOOKUP(B8,#REF!,3,0),"")</f>
        <v/>
      </c>
    </row>
    <row r="9" spans="1:7918" s="249" customFormat="1">
      <c r="A9" s="1" t="e">
        <f t="shared" ref="A9:A48" si="0">+A8+1</f>
        <v>#REF!</v>
      </c>
      <c r="B9" s="255" t="s">
        <v>553</v>
      </c>
      <c r="C9" s="168">
        <v>6260035867</v>
      </c>
      <c r="D9" s="1308" t="s">
        <v>553</v>
      </c>
      <c r="E9" s="145" t="str">
        <f>VLOOKUP(B9,distribucion!G$8:FP$152,2,0)</f>
        <v>Asistente de Recursos Humanos</v>
      </c>
      <c r="F9" s="128">
        <f>ROUND((VLOOKUP($B9,ECONACIONAL!$C$5:$AC$219,4,0)),2)</f>
        <v>30</v>
      </c>
      <c r="G9" s="128">
        <f>ROUND((VLOOKUP($B9,ECONACIONAL!$C$7:$AC$219,6,0)),2)</f>
        <v>4850</v>
      </c>
      <c r="H9" s="128">
        <f>ROUND((VLOOKUP($B9,ECONACIONAL!$C$7:$AC$219,7,0)),2)</f>
        <v>1000</v>
      </c>
      <c r="I9" s="128">
        <f>ROUND((VLOOKUP($B9,ECONACIONAL!$C$7:$AC$219,9,0)),2)</f>
        <v>0</v>
      </c>
      <c r="J9" s="128">
        <f>ROUND((VLOOKUP($B9,ECONACIONAL!$C$7:$AC$219,10,0)),2)</f>
        <v>0</v>
      </c>
      <c r="K9" s="128">
        <f>ROUND((VLOOKUP($B9,ECONACIONAL!$C$7:$AC$219,11,0)),2)</f>
        <v>0</v>
      </c>
      <c r="L9" s="128">
        <f>ROUND((VLOOKUP($B9,ECONACIONAL!$C$7:$AC$219,12,0)),2)</f>
        <v>0</v>
      </c>
      <c r="M9" s="128">
        <f>ROUND((VLOOKUP($B9,ECONACIONAL!$C$7:$AC$219,14,0)),2)</f>
        <v>0</v>
      </c>
      <c r="N9" s="128">
        <f>ROUND((VLOOKUP($B9,ECONACIONAL!$C$7:$AC$219,15,0)),2)</f>
        <v>5850</v>
      </c>
      <c r="O9" s="128">
        <f>ROUND((VLOOKUP($B9,ECONACIONAL!$C$7:$AC$219,16,0)),2)</f>
        <v>234.26</v>
      </c>
      <c r="P9" s="128">
        <f>ROUND((VLOOKUP($B9,ECONACIONAL!$C$7:$AC$219,17,0)),2)</f>
        <v>66.53</v>
      </c>
      <c r="Q9" s="128">
        <f>ROUND((VLOOKUP($B9,ECONACIONAL!$C$7:$AC$219,18,0)),2)</f>
        <v>0</v>
      </c>
      <c r="R9" s="128">
        <f>ROUND((VLOOKUP($B9,ECONACIONAL!$C$7:$AC$219,19,0)),2)</f>
        <v>0</v>
      </c>
      <c r="S9" s="128">
        <f>ROUND((VLOOKUP($B9,ECONACIONAL!$C$7:$AC$219,20,0)),2)</f>
        <v>0</v>
      </c>
      <c r="T9" s="128">
        <f>ROUND((VLOOKUP($B9,ECONACIONAL!$C$7:$AC$219,21,0)),2)</f>
        <v>0</v>
      </c>
      <c r="U9" s="128">
        <f>ROUND((VLOOKUP($B9,ECONACIONAL!$C$7:$AC$219,22,0)),2)</f>
        <v>131.75</v>
      </c>
      <c r="V9" s="128">
        <f>ROUND((VLOOKUP($B9,ECONACIONAL!$C$7:$AC$219,23,0)),2)</f>
        <v>350</v>
      </c>
      <c r="W9" s="128">
        <f>ROUND((VLOOKUP($B9,ECONACIONAL!$C$7:$AC$219,24,0)),2)</f>
        <v>782.54</v>
      </c>
      <c r="X9" s="128">
        <f>ROUND((VLOOKUP($B9,ECONACIONAL!$C$7:$AC$219,25,0)),2)</f>
        <v>5067.46</v>
      </c>
      <c r="Y9" s="128">
        <f>ROUND((VLOOKUP($B9,ECONACIONAL!$C$7:$AC$219,26,0)),2)</f>
        <v>2522.85</v>
      </c>
      <c r="Z9" s="128">
        <f>ROUND((VLOOKUP($B9,ECONACIONAL!$C$7:$AC$219,27,0)),2)</f>
        <v>2544.61</v>
      </c>
      <c r="AA9" s="276">
        <v>0</v>
      </c>
      <c r="AB9" s="256" t="str">
        <f>+IFERROR(VLOOKUP(B9,#REF!,3,0),"")</f>
        <v/>
      </c>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row>
    <row r="10" spans="1:7918" s="249" customFormat="1">
      <c r="A10" s="1" t="e">
        <f t="shared" si="0"/>
        <v>#REF!</v>
      </c>
      <c r="B10" s="255" t="s">
        <v>679</v>
      </c>
      <c r="C10" s="192">
        <v>3300079021</v>
      </c>
      <c r="D10" s="1308" t="s">
        <v>679</v>
      </c>
      <c r="E10" s="145" t="str">
        <f>VLOOKUP(B10,distribucion!G$8:FP$152,2,0)</f>
        <v>Asistente de Reclutamiento</v>
      </c>
      <c r="F10" s="128">
        <f>ROUND((VLOOKUP($B10,ECONACIONAL!$C$5:$AC$219,4,0)),2)</f>
        <v>30</v>
      </c>
      <c r="G10" s="128">
        <f>ROUND((VLOOKUP($B10,ECONACIONAL!$C$7:$AC$219,6,0)),2)</f>
        <v>4725</v>
      </c>
      <c r="H10" s="128">
        <f>ROUND((VLOOKUP($B10,ECONACIONAL!$C$7:$AC$219,7,0)),2)</f>
        <v>1000</v>
      </c>
      <c r="I10" s="128">
        <f>ROUND((VLOOKUP($B10,ECONACIONAL!$C$7:$AC$219,9,0)),2)</f>
        <v>0</v>
      </c>
      <c r="J10" s="128">
        <f>ROUND((VLOOKUP($B10,ECONACIONAL!$C$7:$AC$219,10,0)),2)</f>
        <v>0</v>
      </c>
      <c r="K10" s="128">
        <f>ROUND((VLOOKUP($B10,ECONACIONAL!$C$7:$AC$219,11,0)),2)</f>
        <v>0</v>
      </c>
      <c r="L10" s="128">
        <f>ROUND((VLOOKUP($B10,ECONACIONAL!$C$7:$AC$219,12,0)),2)</f>
        <v>0</v>
      </c>
      <c r="M10" s="128">
        <f>ROUND((VLOOKUP($B10,ECONACIONAL!$C$7:$AC$219,14,0)),2)</f>
        <v>0</v>
      </c>
      <c r="N10" s="128">
        <f>ROUND((VLOOKUP($B10,ECONACIONAL!$C$7:$AC$219,15,0)),2)</f>
        <v>5725</v>
      </c>
      <c r="O10" s="128">
        <f>ROUND((VLOOKUP($B10,ECONACIONAL!$C$7:$AC$219,16,0)),2)</f>
        <v>228.22</v>
      </c>
      <c r="P10" s="128">
        <f>ROUND((VLOOKUP($B10,ECONACIONAL!$C$7:$AC$219,17,0)),2)</f>
        <v>61.78</v>
      </c>
      <c r="Q10" s="128">
        <f>ROUND((VLOOKUP($B10,ECONACIONAL!$C$7:$AC$219,18,0)),2)</f>
        <v>0</v>
      </c>
      <c r="R10" s="128">
        <f>ROUND((VLOOKUP($B10,ECONACIONAL!$C$7:$AC$219,19,0)),2)</f>
        <v>0</v>
      </c>
      <c r="S10" s="128">
        <f>ROUND((VLOOKUP($B10,ECONACIONAL!$C$7:$AC$219,20,0)),2)</f>
        <v>0</v>
      </c>
      <c r="T10" s="128">
        <f>ROUND((VLOOKUP($B10,ECONACIONAL!$C$7:$AC$219,21,0)),2)</f>
        <v>0</v>
      </c>
      <c r="U10" s="128">
        <f>ROUND((VLOOKUP($B10,ECONACIONAL!$C$7:$AC$219,22,0)),2)</f>
        <v>262</v>
      </c>
      <c r="V10" s="128">
        <f>ROUND((VLOOKUP($B10,ECONACIONAL!$C$7:$AC$219,23,0)),2)</f>
        <v>168.3</v>
      </c>
      <c r="W10" s="128">
        <f>ROUND((VLOOKUP($B10,ECONACIONAL!$C$7:$AC$219,24,0)),2)</f>
        <v>720.3</v>
      </c>
      <c r="X10" s="128">
        <f>ROUND((VLOOKUP($B10,ECONACIONAL!$C$7:$AC$219,25,0)),2)</f>
        <v>5004.7</v>
      </c>
      <c r="Y10" s="128">
        <f>ROUND((VLOOKUP($B10,ECONACIONAL!$C$7:$AC$219,26,0)),2)</f>
        <v>2601</v>
      </c>
      <c r="Z10" s="128">
        <f>ROUND((VLOOKUP($B10,ECONACIONAL!$C$7:$AC$219,27,0)),2)</f>
        <v>2403.6999999999998</v>
      </c>
      <c r="AA10" s="276">
        <v>0</v>
      </c>
      <c r="AB10" s="256" t="str">
        <f>+IFERROR(VLOOKUP(B10,#REF!,3,0),"")</f>
        <v/>
      </c>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row>
    <row r="11" spans="1:7918" s="249" customFormat="1">
      <c r="A11" s="1" t="e">
        <f t="shared" si="0"/>
        <v>#REF!</v>
      </c>
      <c r="B11" s="255" t="s">
        <v>419</v>
      </c>
      <c r="C11" s="1254" t="s">
        <v>223</v>
      </c>
      <c r="D11" s="1308" t="s">
        <v>419</v>
      </c>
      <c r="E11" s="145" t="str">
        <f>VLOOKUP(B11,distribucion!G$8:FP$152,2,0)</f>
        <v>Jefe de Informática</v>
      </c>
      <c r="F11" s="128">
        <f>ROUND((VLOOKUP($B11,ECONACIONAL!$C$5:$AC$219,4,0)),2)</f>
        <v>30</v>
      </c>
      <c r="G11" s="128">
        <f>ROUND((VLOOKUP($B11,ECONACIONAL!$C$7:$AC$219,6,0)),2)</f>
        <v>8000</v>
      </c>
      <c r="H11" s="128">
        <f>ROUND((VLOOKUP($B11,ECONACIONAL!$C$7:$AC$219,7,0)),2)</f>
        <v>7500</v>
      </c>
      <c r="I11" s="128">
        <f>ROUND((VLOOKUP($B11,ECONACIONAL!$C$7:$AC$219,9,0)),2)</f>
        <v>0</v>
      </c>
      <c r="J11" s="128">
        <f>ROUND((VLOOKUP($B11,ECONACIONAL!$C$7:$AC$219,10,0)),2)</f>
        <v>0</v>
      </c>
      <c r="K11" s="128">
        <f>ROUND((VLOOKUP($B11,ECONACIONAL!$C$7:$AC$219,11,0)),2)</f>
        <v>0</v>
      </c>
      <c r="L11" s="128">
        <f>ROUND((VLOOKUP($B11,ECONACIONAL!$C$7:$AC$219,12,0)),2)</f>
        <v>0</v>
      </c>
      <c r="M11" s="128">
        <f>ROUND((VLOOKUP($B11,ECONACIONAL!$C$7:$AC$219,14,0)),2)</f>
        <v>0</v>
      </c>
      <c r="N11" s="128">
        <f>ROUND((VLOOKUP($B11,ECONACIONAL!$C$7:$AC$219,15,0)),2)</f>
        <v>15500</v>
      </c>
      <c r="O11" s="128">
        <f>ROUND((VLOOKUP($B11,ECONACIONAL!$C$7:$AC$219,16,0)),2)</f>
        <v>386.4</v>
      </c>
      <c r="P11" s="128">
        <f>ROUND((VLOOKUP($B11,ECONACIONAL!$C$7:$AC$219,17,0)),2)</f>
        <v>493.18</v>
      </c>
      <c r="Q11" s="128">
        <f>ROUND((VLOOKUP($B11,ECONACIONAL!$C$7:$AC$219,18,0)),2)</f>
        <v>2633.75</v>
      </c>
      <c r="R11" s="128">
        <f>ROUND((VLOOKUP($B11,ECONACIONAL!$C$7:$AC$219,19,0)),2)</f>
        <v>0</v>
      </c>
      <c r="S11" s="128">
        <f>ROUND((VLOOKUP($B11,ECONACIONAL!$C$7:$AC$219,20,0)),2)</f>
        <v>0</v>
      </c>
      <c r="T11" s="128">
        <f>ROUND((VLOOKUP($B11,ECONACIONAL!$C$7:$AC$219,21,0)),2)</f>
        <v>0</v>
      </c>
      <c r="U11" s="128">
        <f>ROUND((VLOOKUP($B11,ECONACIONAL!$C$7:$AC$219,22,0)),2)</f>
        <v>0</v>
      </c>
      <c r="V11" s="128">
        <f>ROUND((VLOOKUP($B11,ECONACIONAL!$C$7:$AC$219,23,0)),2)</f>
        <v>0</v>
      </c>
      <c r="W11" s="128">
        <f>ROUND((VLOOKUP($B11,ECONACIONAL!$C$7:$AC$219,24,0)),2)</f>
        <v>3513.33</v>
      </c>
      <c r="X11" s="128">
        <f>ROUND((VLOOKUP($B11,ECONACIONAL!$C$7:$AC$219,25,0)),2)</f>
        <v>11986.67</v>
      </c>
      <c r="Y11" s="128">
        <f>ROUND((VLOOKUP($B11,ECONACIONAL!$C$7:$AC$219,26,0)),2)</f>
        <v>5993.33</v>
      </c>
      <c r="Z11" s="128">
        <f>ROUND((VLOOKUP($B11,ECONACIONAL!$C$7:$AC$219,27,0)),2)</f>
        <v>5993.34</v>
      </c>
      <c r="AA11" s="276">
        <v>0</v>
      </c>
      <c r="AB11" s="256" t="str">
        <f>+IFERROR(VLOOKUP(B11,#REF!,3,0),"")</f>
        <v/>
      </c>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row>
    <row r="12" spans="1:7918">
      <c r="A12" s="1" t="e">
        <f t="shared" si="0"/>
        <v>#REF!</v>
      </c>
      <c r="B12" s="255" t="s">
        <v>682</v>
      </c>
      <c r="C12" s="128">
        <v>3150162372</v>
      </c>
      <c r="D12" s="1308" t="s">
        <v>682</v>
      </c>
      <c r="E12" s="145" t="str">
        <f>VLOOKUP(B12,distribucion!G$8:FP$152,2,0)</f>
        <v>Analista Programador</v>
      </c>
      <c r="F12" s="128">
        <f>ROUND((VLOOKUP($B12,ECONACIONAL!$C$5:$AC$219,4,0)),2)</f>
        <v>30</v>
      </c>
      <c r="G12" s="128">
        <f>ROUND((VLOOKUP($B12,ECONACIONAL!$C$7:$AC$219,6,0)),2)</f>
        <v>4200</v>
      </c>
      <c r="H12" s="128">
        <f>ROUND((VLOOKUP($B12,ECONACIONAL!$C$7:$AC$219,7,0)),2)</f>
        <v>600</v>
      </c>
      <c r="I12" s="128">
        <f>ROUND((VLOOKUP($B12,ECONACIONAL!$C$7:$AC$219,9,0)),2)</f>
        <v>0</v>
      </c>
      <c r="J12" s="128">
        <f>ROUND((VLOOKUP($B12,ECONACIONAL!$C$7:$AC$219,10,0)),2)</f>
        <v>0</v>
      </c>
      <c r="K12" s="128">
        <f>ROUND((VLOOKUP($B12,ECONACIONAL!$C$7:$AC$219,11,0)),2)</f>
        <v>0</v>
      </c>
      <c r="L12" s="128">
        <f>ROUND((VLOOKUP($B12,ECONACIONAL!$C$7:$AC$219,12,0)),2)</f>
        <v>0</v>
      </c>
      <c r="M12" s="128">
        <f>ROUND((VLOOKUP($B12,ECONACIONAL!$C$7:$AC$219,14,0)),2)</f>
        <v>0</v>
      </c>
      <c r="N12" s="128">
        <f>ROUND((VLOOKUP($B12,ECONACIONAL!$C$7:$AC$219,15,0)),2)</f>
        <v>4800</v>
      </c>
      <c r="O12" s="128">
        <f>ROUND((VLOOKUP($B12,ECONACIONAL!$C$7:$AC$219,16,0)),2)</f>
        <v>202.86</v>
      </c>
      <c r="P12" s="128">
        <f>ROUND((VLOOKUP($B12,ECONACIONAL!$C$7:$AC$219,17,0)),2)</f>
        <v>21</v>
      </c>
      <c r="Q12" s="128">
        <f>ROUND((VLOOKUP($B12,ECONACIONAL!$C$7:$AC$219,18,0)),2)</f>
        <v>0</v>
      </c>
      <c r="R12" s="128">
        <f>ROUND((VLOOKUP($B12,ECONACIONAL!$C$7:$AC$219,19,0)),2)</f>
        <v>0</v>
      </c>
      <c r="S12" s="128">
        <f>ROUND((VLOOKUP($B12,ECONACIONAL!$C$7:$AC$219,20,0)),2)</f>
        <v>0</v>
      </c>
      <c r="T12" s="128">
        <f>ROUND((VLOOKUP($B12,ECONACIONAL!$C$7:$AC$219,21,0)),2)</f>
        <v>0</v>
      </c>
      <c r="U12" s="128">
        <f>ROUND((VLOOKUP($B12,ECONACIONAL!$C$7:$AC$219,22,0)),2)</f>
        <v>0</v>
      </c>
      <c r="V12" s="128">
        <f>ROUND((VLOOKUP($B12,ECONACIONAL!$C$7:$AC$219,23,0)),2)</f>
        <v>0</v>
      </c>
      <c r="W12" s="128">
        <f>ROUND((VLOOKUP($B12,ECONACIONAL!$C$7:$AC$219,24,0)),2)</f>
        <v>223.86</v>
      </c>
      <c r="X12" s="128">
        <f>ROUND((VLOOKUP($B12,ECONACIONAL!$C$7:$AC$219,25,0)),2)</f>
        <v>4576.1400000000003</v>
      </c>
      <c r="Y12" s="128">
        <f>ROUND((VLOOKUP($B12,ECONACIONAL!$C$7:$AC$219,26,0)),2)</f>
        <v>2288.0700000000002</v>
      </c>
      <c r="Z12" s="128">
        <f>ROUND((VLOOKUP($B12,ECONACIONAL!$C$7:$AC$219,27,0)),2)</f>
        <v>2288.0700000000002</v>
      </c>
      <c r="AA12" s="274">
        <v>16808582</v>
      </c>
      <c r="AB12" s="254" t="str">
        <f>+IFERROR(VLOOKUP(B12,#REF!,3,0),"")</f>
        <v/>
      </c>
    </row>
    <row r="13" spans="1:7918">
      <c r="A13" s="1" t="e">
        <f t="shared" si="0"/>
        <v>#REF!</v>
      </c>
      <c r="B13" s="255" t="s">
        <v>683</v>
      </c>
      <c r="C13" s="128">
        <v>7172029105</v>
      </c>
      <c r="D13" s="1308" t="s">
        <v>683</v>
      </c>
      <c r="E13" s="145" t="str">
        <f>VLOOKUP(B13,distribucion!G$8:FP$152,2,0)</f>
        <v>Analista Programador</v>
      </c>
      <c r="F13" s="128">
        <f>ROUND((VLOOKUP($B13,ECONACIONAL!$C$5:$AC$219,4,0)),2)</f>
        <v>30</v>
      </c>
      <c r="G13" s="128">
        <f>ROUND((VLOOKUP($B13,ECONACIONAL!$C$7:$AC$219,6,0)),2)</f>
        <v>4200</v>
      </c>
      <c r="H13" s="128">
        <f>ROUND((VLOOKUP($B13,ECONACIONAL!$C$7:$AC$219,7,0)),2)</f>
        <v>600</v>
      </c>
      <c r="I13" s="128">
        <f>ROUND((VLOOKUP($B13,ECONACIONAL!$C$7:$AC$219,9,0)),2)</f>
        <v>0</v>
      </c>
      <c r="J13" s="128">
        <f>ROUND((VLOOKUP($B13,ECONACIONAL!$C$7:$AC$219,10,0)),2)</f>
        <v>0</v>
      </c>
      <c r="K13" s="128">
        <f>ROUND((VLOOKUP($B13,ECONACIONAL!$C$7:$AC$219,11,0)),2)</f>
        <v>0</v>
      </c>
      <c r="L13" s="128">
        <f>ROUND((VLOOKUP($B13,ECONACIONAL!$C$7:$AC$219,12,0)),2)</f>
        <v>0</v>
      </c>
      <c r="M13" s="128">
        <f>ROUND((VLOOKUP($B13,ECONACIONAL!$C$7:$AC$219,14,0)),2)</f>
        <v>0</v>
      </c>
      <c r="N13" s="128">
        <f>ROUND((VLOOKUP($B13,ECONACIONAL!$C$7:$AC$219,15,0)),2)</f>
        <v>4800</v>
      </c>
      <c r="O13" s="128">
        <f>ROUND((VLOOKUP($B13,ECONACIONAL!$C$7:$AC$219,16,0)),2)</f>
        <v>202.86</v>
      </c>
      <c r="P13" s="128">
        <f>ROUND((VLOOKUP($B13,ECONACIONAL!$C$7:$AC$219,17,0)),2)</f>
        <v>21</v>
      </c>
      <c r="Q13" s="128">
        <f>ROUND((VLOOKUP($B13,ECONACIONAL!$C$7:$AC$219,18,0)),2)</f>
        <v>0</v>
      </c>
      <c r="R13" s="128">
        <f>ROUND((VLOOKUP($B13,ECONACIONAL!$C$7:$AC$219,19,0)),2)</f>
        <v>0</v>
      </c>
      <c r="S13" s="128">
        <f>ROUND((VLOOKUP($B13,ECONACIONAL!$C$7:$AC$219,20,0)),2)</f>
        <v>0</v>
      </c>
      <c r="T13" s="128">
        <f>ROUND((VLOOKUP($B13,ECONACIONAL!$C$7:$AC$219,21,0)),2)</f>
        <v>0</v>
      </c>
      <c r="U13" s="128">
        <f>ROUND((VLOOKUP($B13,ECONACIONAL!$C$7:$AC$219,22,0)),2)</f>
        <v>0</v>
      </c>
      <c r="V13" s="128">
        <f>ROUND((VLOOKUP($B13,ECONACIONAL!$C$7:$AC$219,23,0)),2)</f>
        <v>0</v>
      </c>
      <c r="W13" s="128">
        <f>ROUND((VLOOKUP($B13,ECONACIONAL!$C$7:$AC$219,24,0)),2)</f>
        <v>223.86</v>
      </c>
      <c r="X13" s="128">
        <f>ROUND((VLOOKUP($B13,ECONACIONAL!$C$7:$AC$219,25,0)),2)</f>
        <v>4576.1400000000003</v>
      </c>
      <c r="Y13" s="128">
        <f>ROUND((VLOOKUP($B13,ECONACIONAL!$C$7:$AC$219,26,0)),2)</f>
        <v>2288.0700000000002</v>
      </c>
      <c r="Z13" s="128">
        <f>ROUND((VLOOKUP($B13,ECONACIONAL!$C$7:$AC$219,27,0)),2)</f>
        <v>2288.0700000000002</v>
      </c>
      <c r="AA13" s="274">
        <v>201600592749</v>
      </c>
      <c r="AB13" s="254" t="str">
        <f>+IFERROR(VLOOKUP(B13,#REF!,3,0),"")</f>
        <v/>
      </c>
    </row>
    <row r="14" spans="1:7918">
      <c r="A14" s="1" t="e">
        <f t="shared" si="0"/>
        <v>#REF!</v>
      </c>
      <c r="B14" s="255" t="s">
        <v>418</v>
      </c>
      <c r="C14" s="168">
        <v>144442407</v>
      </c>
      <c r="D14" s="1308" t="s">
        <v>418</v>
      </c>
      <c r="E14" s="145" t="str">
        <f>VLOOKUP(B14,distribucion!G$8:FP$152,2,0)</f>
        <v>Auditor interno</v>
      </c>
      <c r="F14" s="128">
        <f>ROUND((VLOOKUP($B14,ECONACIONAL!$C$5:$AC$219,4,0)),2)</f>
        <v>30</v>
      </c>
      <c r="G14" s="128">
        <f>ROUND((VLOOKUP($B14,ECONACIONAL!$C$7:$AC$219,6,0)),2)</f>
        <v>8000</v>
      </c>
      <c r="H14" s="128">
        <f>ROUND((VLOOKUP($B14,ECONACIONAL!$C$7:$AC$219,7,0)),2)</f>
        <v>4000</v>
      </c>
      <c r="I14" s="128">
        <f>ROUND((VLOOKUP($B14,ECONACIONAL!$C$7:$AC$219,9,0)),2)</f>
        <v>0</v>
      </c>
      <c r="J14" s="128">
        <f>ROUND((VLOOKUP($B14,ECONACIONAL!$C$7:$AC$219,10,0)),2)</f>
        <v>0</v>
      </c>
      <c r="K14" s="128">
        <f>ROUND((VLOOKUP($B14,ECONACIONAL!$C$7:$AC$219,11,0)),2)</f>
        <v>0</v>
      </c>
      <c r="L14" s="128">
        <f>ROUND((VLOOKUP($B14,ECONACIONAL!$C$7:$AC$219,12,0)),2)</f>
        <v>0</v>
      </c>
      <c r="M14" s="128">
        <f>ROUND((VLOOKUP($B14,ECONACIONAL!$C$7:$AC$219,14,0)),2)</f>
        <v>0</v>
      </c>
      <c r="N14" s="128">
        <f>ROUND((VLOOKUP($B14,ECONACIONAL!$C$7:$AC$219,15,0)),2)</f>
        <v>12000</v>
      </c>
      <c r="O14" s="128">
        <f>ROUND((VLOOKUP($B14,ECONACIONAL!$C$7:$AC$219,16,0)),2)</f>
        <v>386.4</v>
      </c>
      <c r="P14" s="128">
        <f>ROUND((VLOOKUP($B14,ECONACIONAL!$C$7:$AC$219,17,0)),2)</f>
        <v>358.88</v>
      </c>
      <c r="Q14" s="128">
        <f>ROUND((VLOOKUP($B14,ECONACIONAL!$C$7:$AC$219,18,0)),2)</f>
        <v>0</v>
      </c>
      <c r="R14" s="128">
        <f>ROUND((VLOOKUP($B14,ECONACIONAL!$C$7:$AC$219,19,0)),2)</f>
        <v>0</v>
      </c>
      <c r="S14" s="128">
        <f>ROUND((VLOOKUP($B14,ECONACIONAL!$C$7:$AC$219,20,0)),2)</f>
        <v>0</v>
      </c>
      <c r="T14" s="128">
        <f>ROUND((VLOOKUP($B14,ECONACIONAL!$C$7:$AC$219,21,0)),2)</f>
        <v>0</v>
      </c>
      <c r="U14" s="128">
        <f>ROUND((VLOOKUP($B14,ECONACIONAL!$C$7:$AC$219,22,0)),2)</f>
        <v>0</v>
      </c>
      <c r="V14" s="128">
        <f>ROUND((VLOOKUP($B14,ECONACIONAL!$C$7:$AC$219,23,0)),2)</f>
        <v>350</v>
      </c>
      <c r="W14" s="128">
        <f>ROUND((VLOOKUP($B14,ECONACIONAL!$C$7:$AC$219,24,0)),2)</f>
        <v>1095.28</v>
      </c>
      <c r="X14" s="128">
        <f>ROUND((VLOOKUP($B14,ECONACIONAL!$C$7:$AC$219,25,0)),2)</f>
        <v>10904.72</v>
      </c>
      <c r="Y14" s="128">
        <f>ROUND((VLOOKUP($B14,ECONACIONAL!$C$7:$AC$219,26,0)),2)</f>
        <v>5452.36</v>
      </c>
      <c r="Z14" s="128">
        <f>ROUND((VLOOKUP($B14,ECONACIONAL!$C$7:$AC$219,27,0)),2)</f>
        <v>5452.36</v>
      </c>
      <c r="AA14" s="274"/>
      <c r="AB14" s="254" t="str">
        <f>+IFERROR(VLOOKUP(B14,#REF!,3,0),"")</f>
        <v/>
      </c>
    </row>
    <row r="15" spans="1:7918">
      <c r="A15" s="1" t="e">
        <f t="shared" si="0"/>
        <v>#REF!</v>
      </c>
      <c r="B15" s="255" t="s">
        <v>611</v>
      </c>
      <c r="C15" s="1000" t="s">
        <v>613</v>
      </c>
      <c r="D15" s="1308" t="s">
        <v>611</v>
      </c>
      <c r="E15" s="145" t="str">
        <f>VLOOKUP(B15,distribucion!G$8:FP$152,2,0)</f>
        <v>Gerente Financiero</v>
      </c>
      <c r="F15" s="128">
        <f>ROUND((VLOOKUP($B15,ECONACIONAL!$C$5:$AC$219,4,0)),2)</f>
        <v>30</v>
      </c>
      <c r="G15" s="128">
        <f>ROUND((VLOOKUP($B15,ECONACIONAL!$C$7:$AC$219,6,0)),2)</f>
        <v>20000</v>
      </c>
      <c r="H15" s="128">
        <f>ROUND((VLOOKUP($B15,ECONACIONAL!$C$7:$AC$219,7,0)),2)</f>
        <v>7000</v>
      </c>
      <c r="I15" s="128">
        <f>ROUND((VLOOKUP($B15,ECONACIONAL!$C$7:$AC$219,9,0)),2)</f>
        <v>0</v>
      </c>
      <c r="J15" s="128">
        <f>ROUND((VLOOKUP($B15,ECONACIONAL!$C$7:$AC$219,10,0)),2)</f>
        <v>0</v>
      </c>
      <c r="K15" s="128">
        <f>ROUND((VLOOKUP($B15,ECONACIONAL!$C$7:$AC$219,11,0)),2)</f>
        <v>0</v>
      </c>
      <c r="L15" s="128">
        <f>ROUND((VLOOKUP($B15,ECONACIONAL!$C$7:$AC$219,12,0)),2)</f>
        <v>0</v>
      </c>
      <c r="M15" s="128">
        <f>ROUND((VLOOKUP($B15,ECONACIONAL!$C$7:$AC$219,14,0)),2)</f>
        <v>0</v>
      </c>
      <c r="N15" s="128">
        <f>ROUND((VLOOKUP($B15,ECONACIONAL!$C$7:$AC$219,15,0)),2)</f>
        <v>27000</v>
      </c>
      <c r="O15" s="128">
        <f>ROUND((VLOOKUP($B15,ECONACIONAL!$C$7:$AC$219,16,0)),2)</f>
        <v>966</v>
      </c>
      <c r="P15" s="128">
        <f>ROUND((VLOOKUP($B15,ECONACIONAL!$C$7:$AC$219,17,0)),2)</f>
        <v>1108.97</v>
      </c>
      <c r="Q15" s="128">
        <f>ROUND((VLOOKUP($B15,ECONACIONAL!$C$7:$AC$219,18,0)),2)</f>
        <v>9519.84</v>
      </c>
      <c r="R15" s="128">
        <f>ROUND((VLOOKUP($B15,ECONACIONAL!$C$7:$AC$219,19,0)),2)</f>
        <v>0</v>
      </c>
      <c r="S15" s="128">
        <f>ROUND((VLOOKUP($B15,ECONACIONAL!$C$7:$AC$219,20,0)),2)</f>
        <v>0</v>
      </c>
      <c r="T15" s="128">
        <f>ROUND((VLOOKUP($B15,ECONACIONAL!$C$7:$AC$219,21,0)),2)</f>
        <v>0</v>
      </c>
      <c r="U15" s="128">
        <f>ROUND((VLOOKUP($B15,ECONACIONAL!$C$7:$AC$219,22,0)),2)</f>
        <v>0</v>
      </c>
      <c r="V15" s="128">
        <f>ROUND((VLOOKUP($B15,ECONACIONAL!$C$7:$AC$219,23,0)),2)</f>
        <v>0</v>
      </c>
      <c r="W15" s="128">
        <f>ROUND((VLOOKUP($B15,ECONACIONAL!$C$7:$AC$219,24,0)),2)</f>
        <v>11594.81</v>
      </c>
      <c r="X15" s="128">
        <f>ROUND((VLOOKUP($B15,ECONACIONAL!$C$7:$AC$219,25,0)),2)</f>
        <v>15405.19</v>
      </c>
      <c r="Y15" s="128">
        <f>ROUND((VLOOKUP($B15,ECONACIONAL!$C$7:$AC$219,26,0)),2)</f>
        <v>7702.59</v>
      </c>
      <c r="Z15" s="128">
        <f>ROUND((VLOOKUP($B15,ECONACIONAL!$C$7:$AC$219,27,0)),2)</f>
        <v>7702.6</v>
      </c>
      <c r="AA15" s="274">
        <v>284186186</v>
      </c>
      <c r="AB15" s="254" t="str">
        <f>+IFERROR(VLOOKUP(B15,#REF!,3,0),"")</f>
        <v/>
      </c>
    </row>
    <row r="16" spans="1:7918">
      <c r="A16" s="1" t="e">
        <f t="shared" si="0"/>
        <v>#REF!</v>
      </c>
      <c r="B16" s="255" t="s">
        <v>461</v>
      </c>
      <c r="C16" s="148">
        <v>1940101114</v>
      </c>
      <c r="D16" s="1308" t="s">
        <v>461</v>
      </c>
      <c r="E16" s="145" t="str">
        <f>VLOOKUP(B16,distribucion!G$8:FP$152,2,0)</f>
        <v>Jefe de Operaciones Contables</v>
      </c>
      <c r="F16" s="128">
        <f>ROUND((VLOOKUP($B16,ECONACIONAL!$C$5:$AC$219,4,0)),2)</f>
        <v>30</v>
      </c>
      <c r="G16" s="128">
        <f>ROUND((VLOOKUP($B16,ECONACIONAL!$C$7:$AC$219,6,0)),2)</f>
        <v>10500</v>
      </c>
      <c r="H16" s="128">
        <f>ROUND((VLOOKUP($B16,ECONACIONAL!$C$7:$AC$219,7,0)),2)</f>
        <v>1800</v>
      </c>
      <c r="I16" s="128">
        <f>ROUND((VLOOKUP($B16,ECONACIONAL!$C$7:$AC$219,9,0)),2)</f>
        <v>0</v>
      </c>
      <c r="J16" s="128">
        <f>ROUND((VLOOKUP($B16,ECONACIONAL!$C$7:$AC$219,10,0)),2)</f>
        <v>0</v>
      </c>
      <c r="K16" s="128">
        <f>ROUND((VLOOKUP($B16,ECONACIONAL!$C$7:$AC$219,11,0)),2)</f>
        <v>0</v>
      </c>
      <c r="L16" s="128">
        <f>ROUND((VLOOKUP($B16,ECONACIONAL!$C$7:$AC$219,12,0)),2)</f>
        <v>0</v>
      </c>
      <c r="M16" s="128">
        <f>ROUND((VLOOKUP($B16,ECONACIONAL!$C$7:$AC$219,14,0)),2)</f>
        <v>0</v>
      </c>
      <c r="N16" s="128">
        <f>ROUND((VLOOKUP($B16,ECONACIONAL!$C$7:$AC$219,15,0)),2)</f>
        <v>12300</v>
      </c>
      <c r="O16" s="128">
        <f>ROUND((VLOOKUP($B16,ECONACIONAL!$C$7:$AC$219,16,0)),2)</f>
        <v>507.15</v>
      </c>
      <c r="P16" s="128">
        <f>ROUND((VLOOKUP($B16,ECONACIONAL!$C$7:$AC$219,17,0)),2)</f>
        <v>393.64</v>
      </c>
      <c r="Q16" s="128">
        <f>ROUND((VLOOKUP($B16,ECONACIONAL!$C$7:$AC$219,18,0)),2)</f>
        <v>0</v>
      </c>
      <c r="R16" s="128">
        <f>ROUND((VLOOKUP($B16,ECONACIONAL!$C$7:$AC$219,19,0)),2)</f>
        <v>200</v>
      </c>
      <c r="S16" s="128">
        <f>ROUND((VLOOKUP($B16,ECONACIONAL!$C$7:$AC$219,20,0)),2)</f>
        <v>0</v>
      </c>
      <c r="T16" s="128">
        <f>ROUND((VLOOKUP($B16,ECONACIONAL!$C$7:$AC$219,21,0)),2)</f>
        <v>0</v>
      </c>
      <c r="U16" s="128">
        <f>ROUND((VLOOKUP($B16,ECONACIONAL!$C$7:$AC$219,22,0)),2)</f>
        <v>0</v>
      </c>
      <c r="V16" s="128">
        <f>ROUND((VLOOKUP($B16,ECONACIONAL!$C$7:$AC$219,23,0)),2)</f>
        <v>1068</v>
      </c>
      <c r="W16" s="128">
        <f>ROUND((VLOOKUP($B16,ECONACIONAL!$C$7:$AC$219,24,0)),2)</f>
        <v>2168.79</v>
      </c>
      <c r="X16" s="128">
        <f>ROUND((VLOOKUP($B16,ECONACIONAL!$C$7:$AC$219,25,0)),2)</f>
        <v>10131.209999999999</v>
      </c>
      <c r="Y16" s="128">
        <f>ROUND((VLOOKUP($B16,ECONACIONAL!$C$7:$AC$219,26,0)),2)</f>
        <v>5699.6</v>
      </c>
      <c r="Z16" s="128">
        <f>ROUND((VLOOKUP($B16,ECONACIONAL!$C$7:$AC$219,27,0)),2)</f>
        <v>4431.6099999999997</v>
      </c>
      <c r="AA16" s="274">
        <v>182468835</v>
      </c>
      <c r="AB16" s="254" t="str">
        <f>+IFERROR(VLOOKUP(B16,#REF!,3,0),"")</f>
        <v/>
      </c>
    </row>
    <row r="17" spans="1:7918" s="163" customFormat="1">
      <c r="A17" s="1" t="e">
        <f>+#REF!+1</f>
        <v>#REF!</v>
      </c>
      <c r="B17" s="255" t="s">
        <v>678</v>
      </c>
      <c r="C17" s="168">
        <v>20088217</v>
      </c>
      <c r="D17" s="1308" t="s">
        <v>678</v>
      </c>
      <c r="E17" s="145" t="str">
        <f>VLOOKUP(B17,distribucion!G$8:FP$152,2,0)</f>
        <v>Contador General</v>
      </c>
      <c r="F17" s="128">
        <f>ROUND((VLOOKUP($B17,ECONACIONAL!$C$5:$AC$219,4,0)),2)</f>
        <v>30</v>
      </c>
      <c r="G17" s="128">
        <f>ROUND((VLOOKUP($B17,ECONACIONAL!$C$7:$AC$219,6,0)),2)</f>
        <v>6000</v>
      </c>
      <c r="H17" s="128">
        <f>ROUND((VLOOKUP($B17,ECONACIONAL!$C$7:$AC$219,7,0)),2)</f>
        <v>4000</v>
      </c>
      <c r="I17" s="128">
        <f>ROUND((VLOOKUP($B17,ECONACIONAL!$C$7:$AC$219,9,0)),2)</f>
        <v>0</v>
      </c>
      <c r="J17" s="128">
        <f>ROUND((VLOOKUP($B17,ECONACIONAL!$C$7:$AC$219,10,0)),2)</f>
        <v>0</v>
      </c>
      <c r="K17" s="128">
        <f>ROUND((VLOOKUP($B17,ECONACIONAL!$C$7:$AC$219,11,0)),2)</f>
        <v>0</v>
      </c>
      <c r="L17" s="128">
        <f>ROUND((VLOOKUP($B17,ECONACIONAL!$C$7:$AC$219,12,0)),2)</f>
        <v>0</v>
      </c>
      <c r="M17" s="128">
        <f>ROUND((VLOOKUP($B17,ECONACIONAL!$C$7:$AC$219,14,0)),2)</f>
        <v>0</v>
      </c>
      <c r="N17" s="128">
        <f>ROUND((VLOOKUP($B17,ECONACIONAL!$C$7:$AC$219,15,0)),2)</f>
        <v>10000</v>
      </c>
      <c r="O17" s="128">
        <f>ROUND((VLOOKUP($B17,ECONACIONAL!$C$7:$AC$219,16,0)),2)</f>
        <v>289.8</v>
      </c>
      <c r="P17" s="128">
        <f>ROUND((VLOOKUP($B17,ECONACIONAL!$C$7:$AC$219,17,0)),2)</f>
        <v>289.93</v>
      </c>
      <c r="Q17" s="128">
        <f>ROUND((VLOOKUP($B17,ECONACIONAL!$C$7:$AC$219,18,0)),2)</f>
        <v>0</v>
      </c>
      <c r="R17" s="128">
        <f>ROUND((VLOOKUP($B17,ECONACIONAL!$C$7:$AC$219,19,0)),2)</f>
        <v>0</v>
      </c>
      <c r="S17" s="128">
        <f>ROUND((VLOOKUP($B17,ECONACIONAL!$C$7:$AC$219,20,0)),2)</f>
        <v>0</v>
      </c>
      <c r="T17" s="128">
        <f>ROUND((VLOOKUP($B17,ECONACIONAL!$C$7:$AC$219,21,0)),2)</f>
        <v>0</v>
      </c>
      <c r="U17" s="128">
        <f>ROUND((VLOOKUP($B17,ECONACIONAL!$C$7:$AC$219,22,0)),2)</f>
        <v>0</v>
      </c>
      <c r="V17" s="128">
        <f>ROUND((VLOOKUP($B17,ECONACIONAL!$C$7:$AC$219,23,0)),2)</f>
        <v>350</v>
      </c>
      <c r="W17" s="128">
        <f>ROUND((VLOOKUP($B17,ECONACIONAL!$C$7:$AC$219,24,0)),2)</f>
        <v>929.73</v>
      </c>
      <c r="X17" s="128">
        <f>ROUND((VLOOKUP($B17,ECONACIONAL!$C$7:$AC$219,25,0)),2)</f>
        <v>9070.27</v>
      </c>
      <c r="Y17" s="128">
        <f>ROUND((VLOOKUP($B17,ECONACIONAL!$C$7:$AC$219,26,0)),2)</f>
        <v>4035.13</v>
      </c>
      <c r="Z17" s="128">
        <f>ROUND((VLOOKUP($B17,ECONACIONAL!$C$7:$AC$219,27,0)),2)</f>
        <v>5035.1400000000003</v>
      </c>
      <c r="AA17" s="277"/>
      <c r="AB17" s="257" t="str">
        <f>+IFERROR(VLOOKUP(B17,#REF!,3,0),"")</f>
        <v/>
      </c>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row>
    <row r="18" spans="1:7918" s="144" customFormat="1">
      <c r="A18" s="1" t="e">
        <f t="shared" si="0"/>
        <v>#REF!</v>
      </c>
      <c r="B18" s="255" t="s">
        <v>609</v>
      </c>
      <c r="C18" s="168">
        <v>144442415</v>
      </c>
      <c r="D18" s="1308" t="s">
        <v>609</v>
      </c>
      <c r="E18" s="145" t="str">
        <f>VLOOKUP(B18,distribucion!G$8:FP$152,2,0)</f>
        <v>Asistente Legal Administrativo</v>
      </c>
      <c r="F18" s="128">
        <f>ROUND((VLOOKUP($B18,ECONACIONAL!$C$5:$AC$219,4,0)),2)</f>
        <v>30</v>
      </c>
      <c r="G18" s="128">
        <f>ROUND((VLOOKUP($B18,ECONACIONAL!$C$7:$AC$219,6,0)),2)</f>
        <v>4500</v>
      </c>
      <c r="H18" s="128">
        <f>ROUND((VLOOKUP($B18,ECONACIONAL!$C$7:$AC$219,7,0)),2)</f>
        <v>2500</v>
      </c>
      <c r="I18" s="128">
        <f>ROUND((VLOOKUP($B18,ECONACIONAL!$C$7:$AC$219,9,0)),2)</f>
        <v>0</v>
      </c>
      <c r="J18" s="128">
        <f>ROUND((VLOOKUP($B18,ECONACIONAL!$C$7:$AC$219,10,0)),2)</f>
        <v>0</v>
      </c>
      <c r="K18" s="128">
        <f>ROUND((VLOOKUP($B18,ECONACIONAL!$C$7:$AC$219,11,0)),2)</f>
        <v>0</v>
      </c>
      <c r="L18" s="128">
        <f>ROUND((VLOOKUP($B18,ECONACIONAL!$C$7:$AC$219,12,0)),2)</f>
        <v>0</v>
      </c>
      <c r="M18" s="128">
        <f>ROUND((VLOOKUP($B18,ECONACIONAL!$C$7:$AC$219,14,0)),2)</f>
        <v>0</v>
      </c>
      <c r="N18" s="128">
        <f>ROUND((VLOOKUP($B18,ECONACIONAL!$C$7:$AC$219,15,0)),2)</f>
        <v>7000</v>
      </c>
      <c r="O18" s="128">
        <f>ROUND((VLOOKUP($B18,ECONACIONAL!$C$7:$AC$219,16,0)),2)</f>
        <v>217.35</v>
      </c>
      <c r="P18" s="128">
        <f>ROUND((VLOOKUP($B18,ECONACIONAL!$C$7:$AC$219,17,0)),2)</f>
        <v>161.31</v>
      </c>
      <c r="Q18" s="128">
        <f>ROUND((VLOOKUP($B18,ECONACIONAL!$C$7:$AC$219,18,0)),2)</f>
        <v>0</v>
      </c>
      <c r="R18" s="128">
        <f>ROUND((VLOOKUP($B18,ECONACIONAL!$C$7:$AC$219,19,0)),2)</f>
        <v>0</v>
      </c>
      <c r="S18" s="128">
        <f>ROUND((VLOOKUP($B18,ECONACIONAL!$C$7:$AC$219,20,0)),2)</f>
        <v>0</v>
      </c>
      <c r="T18" s="128">
        <f>ROUND((VLOOKUP($B18,ECONACIONAL!$C$7:$AC$219,21,0)),2)</f>
        <v>0</v>
      </c>
      <c r="U18" s="128">
        <f>ROUND((VLOOKUP($B18,ECONACIONAL!$C$7:$AC$219,22,0)),2)</f>
        <v>0</v>
      </c>
      <c r="V18" s="128">
        <f>ROUND((VLOOKUP($B18,ECONACIONAL!$C$7:$AC$219,23,0)),2)</f>
        <v>0</v>
      </c>
      <c r="W18" s="128">
        <f>ROUND((VLOOKUP($B18,ECONACIONAL!$C$7:$AC$219,24,0)),2)</f>
        <v>378.66</v>
      </c>
      <c r="X18" s="128">
        <f>ROUND((VLOOKUP($B18,ECONACIONAL!$C$7:$AC$219,25,0)),2)</f>
        <v>6621.34</v>
      </c>
      <c r="Y18" s="128">
        <f>ROUND((VLOOKUP($B18,ECONACIONAL!$C$7:$AC$219,26,0)),2)</f>
        <v>3061.53</v>
      </c>
      <c r="Z18" s="128">
        <f>ROUND((VLOOKUP($B18,ECONACIONAL!$C$7:$AC$219,27,0)),2)</f>
        <v>3559.81</v>
      </c>
      <c r="AA18" s="278"/>
      <c r="AB18" s="256" t="str">
        <f>+IFERROR(VLOOKUP(B18,#REF!,3,0),"")</f>
        <v/>
      </c>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row>
    <row r="19" spans="1:7918">
      <c r="A19" s="1" t="e">
        <f>+#REF!+1</f>
        <v>#REF!</v>
      </c>
      <c r="B19" s="271" t="s">
        <v>617</v>
      </c>
      <c r="C19" s="248">
        <v>1270572363</v>
      </c>
      <c r="D19" s="271" t="s">
        <v>617</v>
      </c>
      <c r="E19" s="172" t="str">
        <f>VLOOKUP(B19,distribucion!G$8:FP$152,2,0)</f>
        <v>Facturador</v>
      </c>
      <c r="F19" s="128">
        <f>ROUND((VLOOKUP($B19,ECONACIONAL!$C$5:$AC$219,4,0)),2)</f>
        <v>30</v>
      </c>
      <c r="G19" s="128">
        <f>ROUND((VLOOKUP($B19,ECONACIONAL!$C$7:$AC$219,6,0)),2)</f>
        <v>4100</v>
      </c>
      <c r="H19" s="128">
        <f>ROUND((VLOOKUP($B19,ECONACIONAL!$C$7:$AC$219,7,0)),2)</f>
        <v>725</v>
      </c>
      <c r="I19" s="128">
        <f>ROUND((VLOOKUP($B19,ECONACIONAL!$C$7:$AC$219,9,0)),2)</f>
        <v>21</v>
      </c>
      <c r="J19" s="128">
        <f>ROUND((VLOOKUP($B19,ECONACIONAL!$C$7:$AC$219,10,0)),2)</f>
        <v>538.13</v>
      </c>
      <c r="K19" s="128">
        <f>ROUND((VLOOKUP($B19,ECONACIONAL!$C$7:$AC$219,11,0)),2)</f>
        <v>0</v>
      </c>
      <c r="L19" s="128">
        <f>ROUND((VLOOKUP($B19,ECONACIONAL!$C$7:$AC$219,12,0)),2)</f>
        <v>0</v>
      </c>
      <c r="M19" s="128">
        <f>ROUND((VLOOKUP($B19,ECONACIONAL!$C$7:$AC$219,14,0)),2)</f>
        <v>0</v>
      </c>
      <c r="N19" s="128">
        <f>ROUND((VLOOKUP($B19,ECONACIONAL!$C$7:$AC$219,15,0)),2)</f>
        <v>5363.13</v>
      </c>
      <c r="O19" s="128">
        <f>ROUND((VLOOKUP($B19,ECONACIONAL!$C$7:$AC$219,16,0)),2)</f>
        <v>224.02</v>
      </c>
      <c r="P19" s="128">
        <f>ROUND((VLOOKUP($B19,ECONACIONAL!$C$7:$AC$219,17,0)),2)</f>
        <v>175</v>
      </c>
      <c r="Q19" s="128">
        <f>ROUND((VLOOKUP($B19,ECONACIONAL!$C$7:$AC$219,18,0)),2)</f>
        <v>0</v>
      </c>
      <c r="R19" s="128">
        <f>ROUND((VLOOKUP($B19,ECONACIONAL!$C$7:$AC$219,19,0)),2)</f>
        <v>0</v>
      </c>
      <c r="S19" s="128">
        <f>ROUND((VLOOKUP($B19,ECONACIONAL!$C$7:$AC$219,20,0)),2)</f>
        <v>0</v>
      </c>
      <c r="T19" s="128">
        <f>ROUND((VLOOKUP($B19,ECONACIONAL!$C$7:$AC$219,21,0)),2)</f>
        <v>0</v>
      </c>
      <c r="U19" s="128">
        <f>ROUND((VLOOKUP($B19,ECONACIONAL!$C$7:$AC$219,22,0)),2)</f>
        <v>0</v>
      </c>
      <c r="V19" s="128">
        <f>ROUND((VLOOKUP($B19,ECONACIONAL!$C$7:$AC$219,23,0)),2)</f>
        <v>0</v>
      </c>
      <c r="W19" s="128">
        <f>ROUND((VLOOKUP($B19,ECONACIONAL!$C$7:$AC$219,24,0)),2)</f>
        <v>399.02</v>
      </c>
      <c r="X19" s="128">
        <f>ROUND((VLOOKUP($B19,ECONACIONAL!$C$7:$AC$219,25,0)),2)</f>
        <v>4964.1099999999997</v>
      </c>
      <c r="Y19" s="128">
        <f>ROUND((VLOOKUP($B19,ECONACIONAL!$C$7:$AC$219,26,0)),2)</f>
        <v>1992.98</v>
      </c>
      <c r="Z19" s="128">
        <f>ROUND((VLOOKUP($B19,ECONACIONAL!$C$7:$AC$219,27,0)),2)</f>
        <v>2971.13</v>
      </c>
      <c r="AA19" s="279"/>
      <c r="AB19" s="258"/>
      <c r="AC19" s="266"/>
    </row>
    <row r="20" spans="1:7918">
      <c r="A20" s="1" t="e">
        <f t="shared" si="0"/>
        <v>#REF!</v>
      </c>
      <c r="B20" s="271" t="s">
        <v>425</v>
      </c>
      <c r="C20" s="168">
        <v>144442431</v>
      </c>
      <c r="D20" s="705" t="s">
        <v>425</v>
      </c>
      <c r="E20" s="172" t="str">
        <f>VLOOKUP(B20,distribucion!G$8:FP$152,2,0)</f>
        <v>Operador de montacargas</v>
      </c>
      <c r="F20" s="128">
        <f>ROUND((VLOOKUP($B20,ECONACIONAL!$C$5:$AC$219,4,0)),2)</f>
        <v>30</v>
      </c>
      <c r="G20" s="128">
        <f>ROUND((VLOOKUP($B20,ECONACIONAL!$C$7:$AC$219,6,0)),2)</f>
        <v>4500</v>
      </c>
      <c r="H20" s="128">
        <f>ROUND((VLOOKUP($B20,ECONACIONAL!$C$7:$AC$219,7,0)),2)</f>
        <v>2840</v>
      </c>
      <c r="I20" s="128">
        <f>ROUND((VLOOKUP($B20,ECONACIONAL!$C$7:$AC$219,9,0)),2)</f>
        <v>1</v>
      </c>
      <c r="J20" s="128">
        <f>ROUND((VLOOKUP($B20,ECONACIONAL!$C$7:$AC$219,10,0)),2)</f>
        <v>28.13</v>
      </c>
      <c r="K20" s="128">
        <f>ROUND((VLOOKUP($B20,ECONACIONAL!$C$7:$AC$219,11,0)),2)</f>
        <v>0</v>
      </c>
      <c r="L20" s="128">
        <f>ROUND((VLOOKUP($B20,ECONACIONAL!$C$7:$AC$219,12,0)),2)</f>
        <v>0</v>
      </c>
      <c r="M20" s="128">
        <f>ROUND((VLOOKUP($B20,ECONACIONAL!$C$7:$AC$219,14,0)),2)</f>
        <v>0</v>
      </c>
      <c r="N20" s="128">
        <f>ROUND((VLOOKUP($B20,ECONACIONAL!$C$7:$AC$219,15,0)),2)</f>
        <v>7368.13</v>
      </c>
      <c r="O20" s="128">
        <f>ROUND((VLOOKUP($B20,ECONACIONAL!$C$7:$AC$219,16,0)),2)</f>
        <v>218.71</v>
      </c>
      <c r="P20" s="128">
        <f>ROUND((VLOOKUP($B20,ECONACIONAL!$C$7:$AC$219,17,0)),2)</f>
        <v>282</v>
      </c>
      <c r="Q20" s="128">
        <f>ROUND((VLOOKUP($B20,ECONACIONAL!$C$7:$AC$219,18,0)),2)</f>
        <v>0</v>
      </c>
      <c r="R20" s="128">
        <f>ROUND((VLOOKUP($B20,ECONACIONAL!$C$7:$AC$219,19,0)),2)</f>
        <v>0</v>
      </c>
      <c r="S20" s="128">
        <f>ROUND((VLOOKUP($B20,ECONACIONAL!$C$7:$AC$219,20,0)),2)</f>
        <v>0</v>
      </c>
      <c r="T20" s="128">
        <f>ROUND((VLOOKUP($B20,ECONACIONAL!$C$7:$AC$219,21,0)),2)</f>
        <v>0</v>
      </c>
      <c r="U20" s="128">
        <f>ROUND((VLOOKUP($B20,ECONACIONAL!$C$7:$AC$219,22,0)),2)</f>
        <v>0</v>
      </c>
      <c r="V20" s="128">
        <f>ROUND((VLOOKUP($B20,ECONACIONAL!$C$7:$AC$219,23,0)),2)</f>
        <v>0</v>
      </c>
      <c r="W20" s="128">
        <f>ROUND((VLOOKUP($B20,ECONACIONAL!$C$7:$AC$219,24,0)),2)</f>
        <v>500.71</v>
      </c>
      <c r="X20" s="128">
        <f>ROUND((VLOOKUP($B20,ECONACIONAL!$C$7:$AC$219,25,0)),2)</f>
        <v>6867.42</v>
      </c>
      <c r="Y20" s="128">
        <f>ROUND((VLOOKUP($B20,ECONACIONAL!$C$7:$AC$219,26,0)),2)</f>
        <v>2183.3200000000002</v>
      </c>
      <c r="Z20" s="128">
        <f>ROUND((VLOOKUP($B20,ECONACIONAL!$C$7:$AC$219,27,0)),2)</f>
        <v>4684.1000000000004</v>
      </c>
      <c r="AA20" s="279"/>
      <c r="AB20" s="258">
        <v>3017188650101</v>
      </c>
      <c r="AC20" s="266"/>
    </row>
    <row r="21" spans="1:7918">
      <c r="A21" s="1" t="e">
        <f t="shared" si="0"/>
        <v>#REF!</v>
      </c>
      <c r="B21" s="271" t="s">
        <v>608</v>
      </c>
      <c r="C21" s="168">
        <v>144442449</v>
      </c>
      <c r="D21" s="705" t="s">
        <v>608</v>
      </c>
      <c r="E21" s="172" t="str">
        <f>VLOOKUP(B21,distribucion!G$8:FP$152,2,0)</f>
        <v>Encargado de Bodega MP</v>
      </c>
      <c r="F21" s="128">
        <f>ROUND((VLOOKUP($B21,ECONACIONAL!$C$5:$AC$219,4,0)),2)</f>
        <v>30</v>
      </c>
      <c r="G21" s="128">
        <f>ROUND((VLOOKUP($B21,ECONACIONAL!$C$7:$AC$219,6,0)),2)</f>
        <v>4500</v>
      </c>
      <c r="H21" s="128">
        <f>ROUND((VLOOKUP($B21,ECONACIONAL!$C$7:$AC$219,7,0)),2)</f>
        <v>962.28</v>
      </c>
      <c r="I21" s="128">
        <f>ROUND((VLOOKUP($B21,ECONACIONAL!$C$7:$AC$219,9,0)),2)</f>
        <v>3</v>
      </c>
      <c r="J21" s="128">
        <f>ROUND((VLOOKUP($B21,ECONACIONAL!$C$7:$AC$219,10,0)),2)</f>
        <v>84.38</v>
      </c>
      <c r="K21" s="128">
        <f>ROUND((VLOOKUP($B21,ECONACIONAL!$C$7:$AC$219,11,0)),2)</f>
        <v>0</v>
      </c>
      <c r="L21" s="128">
        <f>ROUND((VLOOKUP($B21,ECONACIONAL!$C$7:$AC$219,12,0)),2)</f>
        <v>0</v>
      </c>
      <c r="M21" s="128">
        <f>ROUND((VLOOKUP($B21,ECONACIONAL!$C$7:$AC$219,14,0)),2)</f>
        <v>0</v>
      </c>
      <c r="N21" s="128">
        <f>ROUND((VLOOKUP($B21,ECONACIONAL!$C$7:$AC$219,15,0)),2)</f>
        <v>5546.66</v>
      </c>
      <c r="O21" s="128">
        <f>ROUND((VLOOKUP($B21,ECONACIONAL!$C$7:$AC$219,16,0)),2)</f>
        <v>221.43</v>
      </c>
      <c r="P21" s="128">
        <f>ROUND((VLOOKUP($B21,ECONACIONAL!$C$7:$AC$219,17,0)),2)</f>
        <v>210</v>
      </c>
      <c r="Q21" s="128">
        <f>ROUND((VLOOKUP($B21,ECONACIONAL!$C$7:$AC$219,18,0)),2)</f>
        <v>0</v>
      </c>
      <c r="R21" s="128">
        <f>ROUND((VLOOKUP($B21,ECONACIONAL!$C$7:$AC$219,19,0)),2)</f>
        <v>325</v>
      </c>
      <c r="S21" s="128">
        <f>ROUND((VLOOKUP($B21,ECONACIONAL!$C$7:$AC$219,20,0)),2)</f>
        <v>0</v>
      </c>
      <c r="T21" s="128">
        <f>ROUND((VLOOKUP($B21,ECONACIONAL!$C$7:$AC$219,21,0)),2)</f>
        <v>0</v>
      </c>
      <c r="U21" s="128">
        <f>ROUND((VLOOKUP($B21,ECONACIONAL!$C$7:$AC$219,22,0)),2)</f>
        <v>455</v>
      </c>
      <c r="V21" s="128">
        <f>ROUND((VLOOKUP($B21,ECONACIONAL!$C$7:$AC$219,23,0)),2)</f>
        <v>0</v>
      </c>
      <c r="W21" s="128">
        <f>ROUND((VLOOKUP($B21,ECONACIONAL!$C$7:$AC$219,24,0)),2)</f>
        <v>1211.43</v>
      </c>
      <c r="X21" s="128">
        <f>ROUND((VLOOKUP($B21,ECONACIONAL!$C$7:$AC$219,25,0)),2)</f>
        <v>4335.2299999999996</v>
      </c>
      <c r="Y21" s="128">
        <f>ROUND((VLOOKUP($B21,ECONACIONAL!$C$7:$AC$219,26,0)),2)</f>
        <v>2086.96</v>
      </c>
      <c r="Z21" s="128">
        <f>ROUND((VLOOKUP($B21,ECONACIONAL!$C$7:$AC$219,27,0)),2)</f>
        <v>2248.27</v>
      </c>
      <c r="AA21" s="279"/>
      <c r="AB21" s="258">
        <v>3006725860101</v>
      </c>
      <c r="AC21" s="266"/>
    </row>
    <row r="22" spans="1:7918">
      <c r="A22" s="1" t="e">
        <f t="shared" si="0"/>
        <v>#REF!</v>
      </c>
      <c r="B22" s="271" t="s">
        <v>671</v>
      </c>
      <c r="C22" s="168">
        <v>144442456</v>
      </c>
      <c r="D22" s="705" t="s">
        <v>671</v>
      </c>
      <c r="E22" s="172" t="str">
        <f>VLOOKUP(B22,distribucion!G$8:FP$152,2,0)</f>
        <v>Auxiliar de Control De Calidad</v>
      </c>
      <c r="F22" s="128">
        <f>ROUND((VLOOKUP($B22,ECONACIONAL!$C$5:$AC$219,4,0)),2)</f>
        <v>30</v>
      </c>
      <c r="G22" s="128">
        <f>ROUND((VLOOKUP($B22,ECONACIONAL!$C$7:$AC$219,6,0)),2)</f>
        <v>4100</v>
      </c>
      <c r="H22" s="128">
        <f>ROUND((VLOOKUP($B22,ECONACIONAL!$C$7:$AC$219,7,0)),2)</f>
        <v>550</v>
      </c>
      <c r="I22" s="128">
        <f>ROUND((VLOOKUP($B22,ECONACIONAL!$C$7:$AC$219,9,0)),2)</f>
        <v>7</v>
      </c>
      <c r="J22" s="128">
        <f>ROUND((VLOOKUP($B22,ECONACIONAL!$C$7:$AC$219,10,0)),2)</f>
        <v>179.38</v>
      </c>
      <c r="K22" s="128">
        <f>ROUND((VLOOKUP($B22,ECONACIONAL!$C$7:$AC$219,11,0)),2)</f>
        <v>0</v>
      </c>
      <c r="L22" s="128">
        <f>ROUND((VLOOKUP($B22,ECONACIONAL!$C$7:$AC$219,12,0)),2)</f>
        <v>0</v>
      </c>
      <c r="M22" s="128">
        <f>ROUND((VLOOKUP($B22,ECONACIONAL!$C$7:$AC$219,14,0)),2)</f>
        <v>0</v>
      </c>
      <c r="N22" s="128">
        <f>ROUND((VLOOKUP($B22,ECONACIONAL!$C$7:$AC$219,15,0)),2)</f>
        <v>4829.38</v>
      </c>
      <c r="O22" s="128">
        <f>ROUND((VLOOKUP($B22,ECONACIONAL!$C$7:$AC$219,16,0)),2)</f>
        <v>206.69</v>
      </c>
      <c r="P22" s="128">
        <f>ROUND((VLOOKUP($B22,ECONACIONAL!$C$7:$AC$219,17,0)),2)</f>
        <v>59</v>
      </c>
      <c r="Q22" s="128">
        <f>ROUND((VLOOKUP($B22,ECONACIONAL!$C$7:$AC$219,18,0)),2)</f>
        <v>0</v>
      </c>
      <c r="R22" s="128">
        <f>ROUND((VLOOKUP($B22,ECONACIONAL!$C$7:$AC$219,19,0)),2)</f>
        <v>0</v>
      </c>
      <c r="S22" s="128">
        <f>ROUND((VLOOKUP($B22,ECONACIONAL!$C$7:$AC$219,20,0)),2)</f>
        <v>0</v>
      </c>
      <c r="T22" s="128">
        <f>ROUND((VLOOKUP($B22,ECONACIONAL!$C$7:$AC$219,21,0)),2)</f>
        <v>0</v>
      </c>
      <c r="U22" s="128">
        <f>ROUND((VLOOKUP($B22,ECONACIONAL!$C$7:$AC$219,22,0)),2)</f>
        <v>0</v>
      </c>
      <c r="V22" s="128">
        <f>ROUND((VLOOKUP($B22,ECONACIONAL!$C$7:$AC$219,23,0)),2)</f>
        <v>0</v>
      </c>
      <c r="W22" s="128">
        <f>ROUND((VLOOKUP($B22,ECONACIONAL!$C$7:$AC$219,24,0)),2)</f>
        <v>265.69</v>
      </c>
      <c r="X22" s="128">
        <f>ROUND((VLOOKUP($B22,ECONACIONAL!$C$7:$AC$219,25,0)),2)</f>
        <v>4563.6899999999996</v>
      </c>
      <c r="Y22" s="128">
        <f>ROUND((VLOOKUP($B22,ECONACIONAL!$C$7:$AC$219,26,0)),2)</f>
        <v>2199.1799999999998</v>
      </c>
      <c r="Z22" s="128">
        <f>ROUND((VLOOKUP($B22,ECONACIONAL!$C$7:$AC$219,27,0)),2)</f>
        <v>2364.5100000000002</v>
      </c>
      <c r="AA22" s="279"/>
      <c r="AB22" s="258">
        <v>3006725860101</v>
      </c>
      <c r="AC22" s="266"/>
    </row>
    <row r="23" spans="1:7918">
      <c r="A23" s="1" t="e">
        <f>+#REF!+1</f>
        <v>#REF!</v>
      </c>
      <c r="B23" s="271" t="s">
        <v>610</v>
      </c>
      <c r="C23" s="168">
        <v>143479566</v>
      </c>
      <c r="D23" s="705" t="s">
        <v>610</v>
      </c>
      <c r="E23" s="172" t="str">
        <f>VLOOKUP(B23,distribucion!G$8:FP$152,2,0)</f>
        <v>Jefe de Gestion de calidad</v>
      </c>
      <c r="F23" s="128">
        <f>ROUND((VLOOKUP($B23,ECONACIONAL!$C$5:$AC$219,4,0)),2)</f>
        <v>30</v>
      </c>
      <c r="G23" s="128">
        <f>ROUND((VLOOKUP($B23,ECONACIONAL!$C$7:$AC$219,6,0)),2)</f>
        <v>6520</v>
      </c>
      <c r="H23" s="128">
        <f>ROUND((VLOOKUP($B23,ECONACIONAL!$C$7:$AC$219,7,0)),2)</f>
        <v>3200</v>
      </c>
      <c r="I23" s="128">
        <f>ROUND((VLOOKUP($B23,ECONACIONAL!$C$7:$AC$219,9,0)),2)</f>
        <v>0</v>
      </c>
      <c r="J23" s="128">
        <f>ROUND((VLOOKUP($B23,ECONACIONAL!$C$7:$AC$219,10,0)),2)</f>
        <v>0</v>
      </c>
      <c r="K23" s="128">
        <f>ROUND((VLOOKUP($B23,ECONACIONAL!$C$7:$AC$219,11,0)),2)</f>
        <v>0</v>
      </c>
      <c r="L23" s="128">
        <f>ROUND((VLOOKUP($B23,ECONACIONAL!$C$7:$AC$219,12,0)),2)</f>
        <v>0</v>
      </c>
      <c r="M23" s="128">
        <f>ROUND((VLOOKUP($B23,ECONACIONAL!$C$7:$AC$219,14,0)),2)</f>
        <v>0</v>
      </c>
      <c r="N23" s="128">
        <f>ROUND((VLOOKUP($B23,ECONACIONAL!$C$7:$AC$219,15,0)),2)</f>
        <v>9720</v>
      </c>
      <c r="O23" s="128">
        <f>ROUND((VLOOKUP($B23,ECONACIONAL!$C$7:$AC$219,16,0)),2)</f>
        <v>314.92</v>
      </c>
      <c r="P23" s="128">
        <f>ROUND((VLOOKUP($B23,ECONACIONAL!$C$7:$AC$219,17,0)),2)</f>
        <v>245.51</v>
      </c>
      <c r="Q23" s="128">
        <f>ROUND((VLOOKUP($B23,ECONACIONAL!$C$7:$AC$219,18,0)),2)</f>
        <v>0</v>
      </c>
      <c r="R23" s="128">
        <f>ROUND((VLOOKUP($B23,ECONACIONAL!$C$7:$AC$219,19,0)),2)</f>
        <v>0</v>
      </c>
      <c r="S23" s="128">
        <f>ROUND((VLOOKUP($B23,ECONACIONAL!$C$7:$AC$219,20,0)),2)</f>
        <v>0</v>
      </c>
      <c r="T23" s="128">
        <f>ROUND((VLOOKUP($B23,ECONACIONAL!$C$7:$AC$219,21,0)),2)</f>
        <v>0</v>
      </c>
      <c r="U23" s="128">
        <f>ROUND((VLOOKUP($B23,ECONACIONAL!$C$7:$AC$219,22,0)),2)</f>
        <v>714.25</v>
      </c>
      <c r="V23" s="128">
        <f>ROUND((VLOOKUP($B23,ECONACIONAL!$C$7:$AC$219,23,0)),2)</f>
        <v>0</v>
      </c>
      <c r="W23" s="128">
        <f>ROUND((VLOOKUP($B23,ECONACIONAL!$C$7:$AC$219,24,0)),2)</f>
        <v>1274.68</v>
      </c>
      <c r="X23" s="128">
        <f>ROUND((VLOOKUP($B23,ECONACIONAL!$C$7:$AC$219,25,0)),2)</f>
        <v>8445.32</v>
      </c>
      <c r="Y23" s="128">
        <f>ROUND((VLOOKUP($B23,ECONACIONAL!$C$7:$AC$219,26,0)),2)</f>
        <v>4269.28</v>
      </c>
      <c r="Z23" s="128">
        <f>ROUND((VLOOKUP($B23,ECONACIONAL!$C$7:$AC$219,27,0)),2)</f>
        <v>4176.04</v>
      </c>
      <c r="AA23" s="279"/>
      <c r="AB23" s="258">
        <v>3006725860101</v>
      </c>
      <c r="AC23" s="266"/>
    </row>
    <row r="24" spans="1:7918">
      <c r="A24" s="1" t="e">
        <f t="shared" si="0"/>
        <v>#REF!</v>
      </c>
      <c r="B24" s="952" t="s">
        <v>672</v>
      </c>
      <c r="C24" s="954">
        <v>2110216500</v>
      </c>
      <c r="D24" s="705" t="s">
        <v>672</v>
      </c>
      <c r="E24" s="172" t="str">
        <f>VLOOKUP(B24,distribucion!G$8:FP$152,2,0)</f>
        <v>Auxiliar de Control De Calidad</v>
      </c>
      <c r="F24" s="128">
        <f>ROUND((VLOOKUP($B24,ECONACIONAL!$C$5:$AC$219,4,0)),2)</f>
        <v>30</v>
      </c>
      <c r="G24" s="128">
        <f>ROUND((VLOOKUP($B24,ECONACIONAL!$C$7:$AC$219,6,0)),2)</f>
        <v>5000</v>
      </c>
      <c r="H24" s="128">
        <f>ROUND((VLOOKUP($B24,ECONACIONAL!$C$7:$AC$219,7,0)),2)</f>
        <v>1100</v>
      </c>
      <c r="I24" s="128">
        <f>ROUND((VLOOKUP($B24,ECONACIONAL!$C$7:$AC$219,9,0)),2)</f>
        <v>36.5</v>
      </c>
      <c r="J24" s="128">
        <f>ROUND((VLOOKUP($B24,ECONACIONAL!$C$7:$AC$219,10,0)),2)</f>
        <v>1140.6300000000001</v>
      </c>
      <c r="K24" s="128">
        <f>ROUND((VLOOKUP($B24,ECONACIONAL!$C$7:$AC$219,11,0)),2)</f>
        <v>0</v>
      </c>
      <c r="L24" s="128">
        <f>ROUND((VLOOKUP($B24,ECONACIONAL!$C$7:$AC$219,12,0)),2)</f>
        <v>0</v>
      </c>
      <c r="M24" s="128">
        <f>ROUND((VLOOKUP($B24,ECONACIONAL!$C$7:$AC$219,14,0)),2)</f>
        <v>0</v>
      </c>
      <c r="N24" s="128">
        <f>ROUND((VLOOKUP($B24,ECONACIONAL!$C$7:$AC$219,15,0)),2)</f>
        <v>7240.63</v>
      </c>
      <c r="O24" s="128">
        <f>ROUND((VLOOKUP($B24,ECONACIONAL!$C$7:$AC$219,16,0)),2)</f>
        <v>296.58999999999997</v>
      </c>
      <c r="P24" s="128">
        <f>ROUND((VLOOKUP($B24,ECONACIONAL!$C$7:$AC$219,17,0)),2)</f>
        <v>162</v>
      </c>
      <c r="Q24" s="128">
        <f>ROUND((VLOOKUP($B24,ECONACIONAL!$C$7:$AC$219,18,0)),2)</f>
        <v>0</v>
      </c>
      <c r="R24" s="128">
        <f>ROUND((VLOOKUP($B24,ECONACIONAL!$C$7:$AC$219,19,0)),2)</f>
        <v>0</v>
      </c>
      <c r="S24" s="128">
        <f>ROUND((VLOOKUP($B24,ECONACIONAL!$C$7:$AC$219,20,0)),2)</f>
        <v>0</v>
      </c>
      <c r="T24" s="128">
        <f>ROUND((VLOOKUP($B24,ECONACIONAL!$C$7:$AC$219,21,0)),2)</f>
        <v>0</v>
      </c>
      <c r="U24" s="128">
        <f>ROUND((VLOOKUP($B24,ECONACIONAL!$C$7:$AC$219,22,0)),2)</f>
        <v>0</v>
      </c>
      <c r="V24" s="128">
        <f>ROUND((VLOOKUP($B24,ECONACIONAL!$C$7:$AC$219,23,0)),2)</f>
        <v>0</v>
      </c>
      <c r="W24" s="128">
        <f>ROUND((VLOOKUP($B24,ECONACIONAL!$C$7:$AC$219,24,0)),2)</f>
        <v>458.59</v>
      </c>
      <c r="X24" s="128">
        <f>ROUND((VLOOKUP($B24,ECONACIONAL!$C$7:$AC$219,25,0)),2)</f>
        <v>6782.04</v>
      </c>
      <c r="Y24" s="128">
        <f>ROUND((VLOOKUP($B24,ECONACIONAL!$C$7:$AC$219,26,0)),2)</f>
        <v>2855.75</v>
      </c>
      <c r="Z24" s="128">
        <f>ROUND((VLOOKUP($B24,ECONACIONAL!$C$7:$AC$219,27,0)),2)</f>
        <v>3926.29</v>
      </c>
      <c r="AA24" s="279"/>
      <c r="AB24" s="258">
        <v>3006725860101</v>
      </c>
      <c r="AC24" s="266"/>
    </row>
    <row r="25" spans="1:7918">
      <c r="A25" s="1" t="e">
        <f t="shared" si="0"/>
        <v>#REF!</v>
      </c>
      <c r="B25" s="952" t="s">
        <v>612</v>
      </c>
      <c r="C25" s="954">
        <v>6050034195</v>
      </c>
      <c r="D25" s="705" t="s">
        <v>612</v>
      </c>
      <c r="E25" s="172" t="str">
        <f>VLOOKUP(B25,distribucion!G$8:FP$152,2,0)</f>
        <v>Auxiliar de Control De Calidad</v>
      </c>
      <c r="F25" s="128">
        <f>ROUND((VLOOKUP($B25,ECONACIONAL!$C$5:$AC$219,4,0)),2)</f>
        <v>30</v>
      </c>
      <c r="G25" s="128">
        <f>ROUND((VLOOKUP($B25,ECONACIONAL!$C$7:$AC$219,6,0)),2)</f>
        <v>4100</v>
      </c>
      <c r="H25" s="128">
        <f>ROUND((VLOOKUP($B25,ECONACIONAL!$C$7:$AC$219,7,0)),2)</f>
        <v>600</v>
      </c>
      <c r="I25" s="128">
        <f>ROUND((VLOOKUP($B25,ECONACIONAL!$C$7:$AC$219,9,0)),2)</f>
        <v>35</v>
      </c>
      <c r="J25" s="128">
        <f>ROUND((VLOOKUP($B25,ECONACIONAL!$C$7:$AC$219,10,0)),2)</f>
        <v>896.88</v>
      </c>
      <c r="K25" s="128">
        <f>ROUND((VLOOKUP($B25,ECONACIONAL!$C$7:$AC$219,11,0)),2)</f>
        <v>0</v>
      </c>
      <c r="L25" s="128">
        <f>ROUND((VLOOKUP($B25,ECONACIONAL!$C$7:$AC$219,12,0)),2)</f>
        <v>0</v>
      </c>
      <c r="M25" s="128">
        <f>ROUND((VLOOKUP($B25,ECONACIONAL!$C$7:$AC$219,14,0)),2)</f>
        <v>0</v>
      </c>
      <c r="N25" s="128">
        <f>ROUND((VLOOKUP($B25,ECONACIONAL!$C$7:$AC$219,15,0)),2)</f>
        <v>5596.88</v>
      </c>
      <c r="O25" s="128">
        <f>ROUND((VLOOKUP($B25,ECONACIONAL!$C$7:$AC$219,16,0)),2)</f>
        <v>241.35</v>
      </c>
      <c r="P25" s="128">
        <f>ROUND((VLOOKUP($B25,ECONACIONAL!$C$7:$AC$219,17,0)),2)</f>
        <v>160</v>
      </c>
      <c r="Q25" s="128">
        <f>ROUND((VLOOKUP($B25,ECONACIONAL!$C$7:$AC$219,18,0)),2)</f>
        <v>0</v>
      </c>
      <c r="R25" s="128">
        <f>ROUND((VLOOKUP($B25,ECONACIONAL!$C$7:$AC$219,19,0)),2)</f>
        <v>0</v>
      </c>
      <c r="S25" s="128">
        <f>ROUND((VLOOKUP($B25,ECONACIONAL!$C$7:$AC$219,20,0)),2)</f>
        <v>0</v>
      </c>
      <c r="T25" s="128">
        <f>ROUND((VLOOKUP($B25,ECONACIONAL!$C$7:$AC$219,21,0)),2)</f>
        <v>0</v>
      </c>
      <c r="U25" s="128">
        <f>ROUND((VLOOKUP($B25,ECONACIONAL!$C$7:$AC$219,22,0)),2)</f>
        <v>0</v>
      </c>
      <c r="V25" s="128">
        <f>ROUND((VLOOKUP($B25,ECONACIONAL!$C$7:$AC$219,23,0)),2)</f>
        <v>0</v>
      </c>
      <c r="W25" s="128">
        <f>ROUND((VLOOKUP($B25,ECONACIONAL!$C$7:$AC$219,24,0)),2)</f>
        <v>401.35</v>
      </c>
      <c r="X25" s="128">
        <f>ROUND((VLOOKUP($B25,ECONACIONAL!$C$7:$AC$219,25,0)),2)</f>
        <v>5195.53</v>
      </c>
      <c r="Y25" s="128">
        <f>ROUND((VLOOKUP($B25,ECONACIONAL!$C$7:$AC$219,26,0)),2)</f>
        <v>2176.98</v>
      </c>
      <c r="Z25" s="128">
        <f>ROUND((VLOOKUP($B25,ECONACIONAL!$C$7:$AC$219,27,0)),2)</f>
        <v>3018.55</v>
      </c>
      <c r="AA25" s="279"/>
      <c r="AB25" s="258">
        <v>3006725860101</v>
      </c>
      <c r="AC25" s="266"/>
    </row>
    <row r="26" spans="1:7918">
      <c r="A26" s="1" t="e">
        <f t="shared" si="0"/>
        <v>#REF!</v>
      </c>
      <c r="B26" s="952" t="s">
        <v>421</v>
      </c>
      <c r="C26" s="168">
        <v>144442480</v>
      </c>
      <c r="D26" s="705" t="s">
        <v>421</v>
      </c>
      <c r="E26" s="172" t="str">
        <f>VLOOKUP(B26,distribucion!G$8:FP$152,2,0)</f>
        <v>Jefe de Mantenimiento</v>
      </c>
      <c r="F26" s="128">
        <f>ROUND((VLOOKUP($B26,ECONACIONAL!$C$5:$AC$219,4,0)),2)</f>
        <v>30</v>
      </c>
      <c r="G26" s="128">
        <f>ROUND((VLOOKUP($B26,ECONACIONAL!$C$7:$AC$219,6,0)),2)</f>
        <v>6500</v>
      </c>
      <c r="H26" s="128">
        <f>ROUND((VLOOKUP($B26,ECONACIONAL!$C$7:$AC$219,7,0)),2)</f>
        <v>1800</v>
      </c>
      <c r="I26" s="128">
        <f>ROUND((VLOOKUP($B26,ECONACIONAL!$C$7:$AC$219,9,0)),2)</f>
        <v>0</v>
      </c>
      <c r="J26" s="128">
        <f>ROUND((VLOOKUP($B26,ECONACIONAL!$C$7:$AC$219,10,0)),2)</f>
        <v>0</v>
      </c>
      <c r="K26" s="128">
        <f>ROUND((VLOOKUP($B26,ECONACIONAL!$C$7:$AC$219,11,0)),2)</f>
        <v>0</v>
      </c>
      <c r="L26" s="128">
        <f>ROUND((VLOOKUP($B26,ECONACIONAL!$C$7:$AC$219,12,0)),2)</f>
        <v>0</v>
      </c>
      <c r="M26" s="128">
        <f>ROUND((VLOOKUP($B26,ECONACIONAL!$C$7:$AC$219,14,0)),2)</f>
        <v>0</v>
      </c>
      <c r="N26" s="128">
        <f>ROUND((VLOOKUP($B26,ECONACIONAL!$C$7:$AC$219,15,0)),2)</f>
        <v>8300</v>
      </c>
      <c r="O26" s="128">
        <f>ROUND((VLOOKUP($B26,ECONACIONAL!$C$7:$AC$219,16,0)),2)</f>
        <v>313.95</v>
      </c>
      <c r="P26" s="128">
        <f>ROUND((VLOOKUP($B26,ECONACIONAL!$C$7:$AC$219,17,0)),2)</f>
        <v>213</v>
      </c>
      <c r="Q26" s="128">
        <f>ROUND((VLOOKUP($B26,ECONACIONAL!$C$7:$AC$219,18,0)),2)</f>
        <v>0</v>
      </c>
      <c r="R26" s="128">
        <f>ROUND((VLOOKUP($B26,ECONACIONAL!$C$7:$AC$219,19,0)),2)</f>
        <v>0</v>
      </c>
      <c r="S26" s="128">
        <f>ROUND((VLOOKUP($B26,ECONACIONAL!$C$7:$AC$219,20,0)),2)</f>
        <v>0</v>
      </c>
      <c r="T26" s="128">
        <f>ROUND((VLOOKUP($B26,ECONACIONAL!$C$7:$AC$219,21,0)),2)</f>
        <v>0</v>
      </c>
      <c r="U26" s="128">
        <f>ROUND((VLOOKUP($B26,ECONACIONAL!$C$7:$AC$219,22,0)),2)</f>
        <v>651</v>
      </c>
      <c r="V26" s="128">
        <f>ROUND((VLOOKUP($B26,ECONACIONAL!$C$7:$AC$219,23,0)),2)</f>
        <v>350</v>
      </c>
      <c r="W26" s="128">
        <f>ROUND((VLOOKUP($B26,ECONACIONAL!$C$7:$AC$219,24,0)),2)</f>
        <v>1527.95</v>
      </c>
      <c r="X26" s="128">
        <f>ROUND((VLOOKUP($B26,ECONACIONAL!$C$7:$AC$219,25,0)),2)</f>
        <v>6772.05</v>
      </c>
      <c r="Y26" s="128">
        <f>ROUND((VLOOKUP($B26,ECONACIONAL!$C$7:$AC$219,26,0)),2)</f>
        <v>3935.52</v>
      </c>
      <c r="Z26" s="128">
        <f>ROUND((VLOOKUP($B26,ECONACIONAL!$C$7:$AC$219,27,0)),2)</f>
        <v>2836.53</v>
      </c>
      <c r="AA26" s="279"/>
      <c r="AB26" s="258">
        <v>3006725860101</v>
      </c>
      <c r="AC26" s="266"/>
    </row>
    <row r="27" spans="1:7918">
      <c r="A27" s="1" t="e">
        <f t="shared" si="0"/>
        <v>#REF!</v>
      </c>
      <c r="B27" s="952" t="s">
        <v>674</v>
      </c>
      <c r="C27" s="168">
        <v>144442472</v>
      </c>
      <c r="D27" s="705" t="s">
        <v>674</v>
      </c>
      <c r="E27" s="172" t="str">
        <f>VLOOKUP(B27,distribucion!G$8:FP$152,2,0)</f>
        <v>Tecnico industrial</v>
      </c>
      <c r="F27" s="128">
        <f>ROUND((VLOOKUP($B27,ECONACIONAL!$C$5:$AC$219,4,0)),2)</f>
        <v>30</v>
      </c>
      <c r="G27" s="128">
        <f>ROUND((VLOOKUP($B27,ECONACIONAL!$C$7:$AC$219,6,0)),2)</f>
        <v>4200</v>
      </c>
      <c r="H27" s="128">
        <f>ROUND((VLOOKUP($B27,ECONACIONAL!$C$7:$AC$219,7,0)),2)</f>
        <v>2900</v>
      </c>
      <c r="I27" s="128">
        <f>ROUND((VLOOKUP($B27,ECONACIONAL!$C$7:$AC$219,9,0)),2)</f>
        <v>11</v>
      </c>
      <c r="J27" s="128">
        <f>ROUND((VLOOKUP($B27,ECONACIONAL!$C$7:$AC$219,10,0)),2)</f>
        <v>288.75</v>
      </c>
      <c r="K27" s="128">
        <f>ROUND((VLOOKUP($B27,ECONACIONAL!$C$7:$AC$219,11,0)),2)</f>
        <v>0</v>
      </c>
      <c r="L27" s="128">
        <f>ROUND((VLOOKUP($B27,ECONACIONAL!$C$7:$AC$219,12,0)),2)</f>
        <v>0</v>
      </c>
      <c r="M27" s="128">
        <f>ROUND((VLOOKUP($B27,ECONACIONAL!$C$7:$AC$219,14,0)),2)</f>
        <v>0</v>
      </c>
      <c r="N27" s="128">
        <f>ROUND((VLOOKUP($B27,ECONACIONAL!$C$7:$AC$219,15,0)),2)</f>
        <v>7388.75</v>
      </c>
      <c r="O27" s="128">
        <f>ROUND((VLOOKUP($B27,ECONACIONAL!$C$7:$AC$219,16,0)),2)</f>
        <v>216.81</v>
      </c>
      <c r="P27" s="128">
        <f>ROUND((VLOOKUP($B27,ECONACIONAL!$C$7:$AC$219,17,0)),2)</f>
        <v>186</v>
      </c>
      <c r="Q27" s="128">
        <f>ROUND((VLOOKUP($B27,ECONACIONAL!$C$7:$AC$219,18,0)),2)</f>
        <v>0</v>
      </c>
      <c r="R27" s="128">
        <f>ROUND((VLOOKUP($B27,ECONACIONAL!$C$7:$AC$219,19,0)),2)</f>
        <v>0</v>
      </c>
      <c r="S27" s="128">
        <f>ROUND((VLOOKUP($B27,ECONACIONAL!$C$7:$AC$219,20,0)),2)</f>
        <v>0</v>
      </c>
      <c r="T27" s="128">
        <f>ROUND((VLOOKUP($B27,ECONACIONAL!$C$7:$AC$219,21,0)),2)</f>
        <v>0</v>
      </c>
      <c r="U27" s="128">
        <f>ROUND((VLOOKUP($B27,ECONACIONAL!$C$7:$AC$219,22,0)),2)</f>
        <v>0</v>
      </c>
      <c r="V27" s="128">
        <f>ROUND((VLOOKUP($B27,ECONACIONAL!$C$7:$AC$219,23,0)),2)</f>
        <v>0</v>
      </c>
      <c r="W27" s="128">
        <f>ROUND((VLOOKUP($B27,ECONACIONAL!$C$7:$AC$219,24,0)),2)</f>
        <v>402.81</v>
      </c>
      <c r="X27" s="128">
        <f>ROUND((VLOOKUP($B27,ECONACIONAL!$C$7:$AC$219,25,0)),2)</f>
        <v>6985.94</v>
      </c>
      <c r="Y27" s="128">
        <f>ROUND((VLOOKUP($B27,ECONACIONAL!$C$7:$AC$219,26,0)),2)</f>
        <v>2310.5700000000002</v>
      </c>
      <c r="Z27" s="128">
        <f>ROUND((VLOOKUP($B27,ECONACIONAL!$C$7:$AC$219,27,0)),2)</f>
        <v>4675.37</v>
      </c>
      <c r="AA27" s="279"/>
      <c r="AB27" s="258">
        <v>3006725860101</v>
      </c>
      <c r="AC27" s="266"/>
    </row>
    <row r="28" spans="1:7918">
      <c r="A28" s="1" t="e">
        <f t="shared" si="0"/>
        <v>#REF!</v>
      </c>
      <c r="B28" s="952" t="s">
        <v>673</v>
      </c>
      <c r="C28" s="954">
        <v>4600043030</v>
      </c>
      <c r="D28" s="705" t="s">
        <v>673</v>
      </c>
      <c r="E28" s="172" t="str">
        <f>VLOOKUP(B28,distribucion!G$8:FP$152,2,0)</f>
        <v>Auxiliar de Mantenimiento</v>
      </c>
      <c r="F28" s="128">
        <f>ROUND((VLOOKUP($B28,ECONACIONAL!$C$5:$AC$219,4,0)),2)</f>
        <v>30</v>
      </c>
      <c r="G28" s="128">
        <f>ROUND((VLOOKUP($B28,ECONACIONAL!$C$7:$AC$219,6,0)),2)</f>
        <v>4002.28</v>
      </c>
      <c r="H28" s="128">
        <f>ROUND((VLOOKUP($B28,ECONACIONAL!$C$7:$AC$219,7,0)),2)</f>
        <v>1400</v>
      </c>
      <c r="I28" s="128">
        <f>ROUND((VLOOKUP($B28,ECONACIONAL!$C$7:$AC$219,9,0)),2)</f>
        <v>2</v>
      </c>
      <c r="J28" s="128">
        <f>ROUND((VLOOKUP($B28,ECONACIONAL!$C$7:$AC$219,10,0)),2)</f>
        <v>50.03</v>
      </c>
      <c r="K28" s="128">
        <f>ROUND((VLOOKUP($B28,ECONACIONAL!$C$7:$AC$219,11,0)),2)</f>
        <v>0</v>
      </c>
      <c r="L28" s="128">
        <f>ROUND((VLOOKUP($B28,ECONACIONAL!$C$7:$AC$219,12,0)),2)</f>
        <v>0</v>
      </c>
      <c r="M28" s="128">
        <f>ROUND((VLOOKUP($B28,ECONACIONAL!$C$7:$AC$219,14,0)),2)</f>
        <v>0</v>
      </c>
      <c r="N28" s="128">
        <f>ROUND((VLOOKUP($B28,ECONACIONAL!$C$7:$AC$219,15,0)),2)</f>
        <v>5452.31</v>
      </c>
      <c r="O28" s="128">
        <f>ROUND((VLOOKUP($B28,ECONACIONAL!$C$7:$AC$219,16,0)),2)</f>
        <v>195.73</v>
      </c>
      <c r="P28" s="128">
        <f>ROUND((VLOOKUP($B28,ECONACIONAL!$C$7:$AC$219,17,0)),2)</f>
        <v>207</v>
      </c>
      <c r="Q28" s="128">
        <f>ROUND((VLOOKUP($B28,ECONACIONAL!$C$7:$AC$219,18,0)),2)</f>
        <v>0</v>
      </c>
      <c r="R28" s="128">
        <f>ROUND((VLOOKUP($B28,ECONACIONAL!$C$7:$AC$219,19,0)),2)</f>
        <v>0</v>
      </c>
      <c r="S28" s="128">
        <f>ROUND((VLOOKUP($B28,ECONACIONAL!$C$7:$AC$219,20,0)),2)</f>
        <v>0</v>
      </c>
      <c r="T28" s="128">
        <f>ROUND((VLOOKUP($B28,ECONACIONAL!$C$7:$AC$219,21,0)),2)</f>
        <v>0</v>
      </c>
      <c r="U28" s="128">
        <f>ROUND((VLOOKUP($B28,ECONACIONAL!$C$7:$AC$219,22,0)),2)</f>
        <v>0</v>
      </c>
      <c r="V28" s="128">
        <f>ROUND((VLOOKUP($B28,ECONACIONAL!$C$7:$AC$219,23,0)),2)</f>
        <v>0</v>
      </c>
      <c r="W28" s="128">
        <f>ROUND((VLOOKUP($B28,ECONACIONAL!$C$7:$AC$219,24,0)),2)</f>
        <v>402.73</v>
      </c>
      <c r="X28" s="128">
        <f>ROUND((VLOOKUP($B28,ECONACIONAL!$C$7:$AC$219,25,0)),2)</f>
        <v>5049.58</v>
      </c>
      <c r="Y28" s="128">
        <f>ROUND((VLOOKUP($B28,ECONACIONAL!$C$7:$AC$219,26,0)),2)</f>
        <v>1958.48</v>
      </c>
      <c r="Z28" s="128">
        <f>ROUND((VLOOKUP($B28,ECONACIONAL!$C$7:$AC$219,27,0)),2)</f>
        <v>3091.1</v>
      </c>
      <c r="AA28" s="279"/>
      <c r="AB28" s="258">
        <v>3006725860101</v>
      </c>
      <c r="AC28" s="266"/>
    </row>
    <row r="29" spans="1:7918">
      <c r="A29" s="1" t="e">
        <f>+#REF!+1</f>
        <v>#REF!</v>
      </c>
      <c r="B29" s="952" t="str">
        <f>+ECONACIONAL!C106</f>
        <v>Lajon Puac Osmen Gudiel</v>
      </c>
      <c r="C29" s="168">
        <v>170179600</v>
      </c>
      <c r="D29" s="705" t="str">
        <f>+ECONACIONAL!C106</f>
        <v>Lajon Puac Osmen Gudiel</v>
      </c>
      <c r="E29" s="172" t="str">
        <f>VLOOKUP(B29,distribucion!G$8:FP$152,2,0)</f>
        <v>Operador de Montacargas</v>
      </c>
      <c r="F29" s="128">
        <f>ROUND((VLOOKUP($B29,ECONACIONAL!$C$5:$AC$219,4,0)),2)</f>
        <v>30</v>
      </c>
      <c r="G29" s="128">
        <f>ROUND((VLOOKUP($B29,ECONACIONAL!$C$7:$AC$219,6,0)),2)</f>
        <v>4250</v>
      </c>
      <c r="H29" s="128">
        <f>ROUND((VLOOKUP($B29,ECONACIONAL!$C$7:$AC$219,7,0)),2)</f>
        <v>830</v>
      </c>
      <c r="I29" s="128">
        <f>ROUND((VLOOKUP($B29,ECONACIONAL!$C$7:$AC$219,9,0)),2)</f>
        <v>17</v>
      </c>
      <c r="J29" s="128">
        <f>ROUND((VLOOKUP($B29,ECONACIONAL!$C$7:$AC$219,10,0)),2)</f>
        <v>451.56</v>
      </c>
      <c r="K29" s="128">
        <f>ROUND((VLOOKUP($B29,ECONACIONAL!$C$7:$AC$219,11,0)),2)</f>
        <v>0</v>
      </c>
      <c r="L29" s="128">
        <f>ROUND((VLOOKUP($B29,ECONACIONAL!$C$7:$AC$219,12,0)),2)</f>
        <v>0</v>
      </c>
      <c r="M29" s="128">
        <f>ROUND((VLOOKUP($B29,ECONACIONAL!$C$7:$AC$219,14,0)),2)</f>
        <v>0</v>
      </c>
      <c r="N29" s="128">
        <f>ROUND((VLOOKUP($B29,ECONACIONAL!$C$7:$AC$219,15,0)),2)</f>
        <v>5531.56</v>
      </c>
      <c r="O29" s="128">
        <f>ROUND((VLOOKUP($B29,ECONACIONAL!$C$7:$AC$219,16,0)),2)</f>
        <v>227.09</v>
      </c>
      <c r="P29" s="128">
        <f>ROUND((VLOOKUP($B29,ECONACIONAL!$C$7:$AC$219,17,0)),2)</f>
        <v>176</v>
      </c>
      <c r="Q29" s="128">
        <f>ROUND((VLOOKUP($B29,ECONACIONAL!$C$7:$AC$219,18,0)),2)</f>
        <v>0</v>
      </c>
      <c r="R29" s="128">
        <f>ROUND((VLOOKUP($B29,ECONACIONAL!$C$7:$AC$219,19,0)),2)</f>
        <v>0</v>
      </c>
      <c r="S29" s="128">
        <f>ROUND((VLOOKUP($B29,ECONACIONAL!$C$7:$AC$219,20,0)),2)</f>
        <v>0</v>
      </c>
      <c r="T29" s="128">
        <f>ROUND((VLOOKUP($B29,ECONACIONAL!$C$7:$AC$219,21,0)),2)</f>
        <v>0</v>
      </c>
      <c r="U29" s="128">
        <f>ROUND((VLOOKUP($B29,ECONACIONAL!$C$7:$AC$219,22,0)),2)</f>
        <v>403.25</v>
      </c>
      <c r="V29" s="128">
        <f>ROUND((VLOOKUP($B29,ECONACIONAL!$C$7:$AC$219,23,0)),2)</f>
        <v>0</v>
      </c>
      <c r="W29" s="128">
        <f>ROUND((VLOOKUP($B29,ECONACIONAL!$C$7:$AC$219,24,0)),2)</f>
        <v>806.34</v>
      </c>
      <c r="X29" s="128">
        <f>ROUND((VLOOKUP($B29,ECONACIONAL!$C$7:$AC$219,25,0)),2)</f>
        <v>4725.22</v>
      </c>
      <c r="Y29" s="128">
        <f>ROUND((VLOOKUP($B29,ECONACIONAL!$C$7:$AC$219,26,0)),2)</f>
        <v>1943.36</v>
      </c>
      <c r="Z29" s="128">
        <f>ROUND((VLOOKUP($B29,ECONACIONAL!$C$7:$AC$219,27,0)),2)</f>
        <v>2781.86</v>
      </c>
      <c r="AA29" s="279"/>
      <c r="AB29" s="258">
        <v>3006725860101</v>
      </c>
      <c r="AC29" s="266" t="s">
        <v>52</v>
      </c>
    </row>
    <row r="30" spans="1:7918">
      <c r="A30" s="1" t="e">
        <f t="shared" si="0"/>
        <v>#REF!</v>
      </c>
      <c r="B30" s="952" t="str">
        <f>+ECONACIONAL!C157</f>
        <v>Aragón Coronado Guillermo Giovanni</v>
      </c>
      <c r="C30" s="168">
        <v>10077584</v>
      </c>
      <c r="D30" s="705" t="str">
        <f>+ECONACIONAL!C157</f>
        <v>Aragón Coronado Guillermo Giovanni</v>
      </c>
      <c r="E30" s="172" t="str">
        <f>VLOOKUP(B30,distribucion!G$8:FP$152,2,0)</f>
        <v>Auxiliar de Limpieza</v>
      </c>
      <c r="F30" s="128">
        <f>ROUND((VLOOKUP($B30,ECONACIONAL!$C$5:$AC$219,4,0)),2)</f>
        <v>30</v>
      </c>
      <c r="G30" s="128">
        <f>ROUND((VLOOKUP($B30,ECONACIONAL!$C$7:$AC$219,6,0)),2)</f>
        <v>4002.28</v>
      </c>
      <c r="H30" s="128">
        <f>ROUND((VLOOKUP($B30,ECONACIONAL!$C$7:$AC$219,7,0)),2)</f>
        <v>300</v>
      </c>
      <c r="I30" s="128">
        <f>ROUND((VLOOKUP($B30,ECONACIONAL!$C$7:$AC$219,9,0)),2)</f>
        <v>0</v>
      </c>
      <c r="J30" s="128">
        <f>ROUND((VLOOKUP($B30,ECONACIONAL!$C$7:$AC$219,10,0)),2)</f>
        <v>0</v>
      </c>
      <c r="K30" s="128">
        <f>ROUND((VLOOKUP($B30,ECONACIONAL!$C$7:$AC$219,11,0)),2)</f>
        <v>0</v>
      </c>
      <c r="L30" s="128">
        <f>ROUND((VLOOKUP($B30,ECONACIONAL!$C$7:$AC$219,12,0)),2)</f>
        <v>0</v>
      </c>
      <c r="M30" s="128">
        <f>ROUND((VLOOKUP($B30,ECONACIONAL!$C$7:$AC$219,14,0)),2)</f>
        <v>0</v>
      </c>
      <c r="N30" s="128">
        <f>ROUND((VLOOKUP($B30,ECONACIONAL!$C$7:$AC$219,15,0)),2)</f>
        <v>4302.28</v>
      </c>
      <c r="O30" s="128">
        <f>ROUND((VLOOKUP($B30,ECONACIONAL!$C$7:$AC$219,16,0)),2)</f>
        <v>193.31</v>
      </c>
      <c r="P30" s="128">
        <f>ROUND((VLOOKUP($B30,ECONACIONAL!$C$7:$AC$219,17,0)),2)</f>
        <v>0</v>
      </c>
      <c r="Q30" s="128">
        <f>ROUND((VLOOKUP($B30,ECONACIONAL!$C$7:$AC$219,18,0)),2)</f>
        <v>0</v>
      </c>
      <c r="R30" s="128">
        <f>ROUND((VLOOKUP($B30,ECONACIONAL!$C$7:$AC$219,19,0)),2)</f>
        <v>0</v>
      </c>
      <c r="S30" s="128">
        <f>ROUND((VLOOKUP($B30,ECONACIONAL!$C$7:$AC$219,20,0)),2)</f>
        <v>0</v>
      </c>
      <c r="T30" s="128">
        <f>ROUND((VLOOKUP($B30,ECONACIONAL!$C$7:$AC$219,21,0)),2)</f>
        <v>0</v>
      </c>
      <c r="U30" s="128">
        <f>ROUND((VLOOKUP($B30,ECONACIONAL!$C$7:$AC$219,22,0)),2)</f>
        <v>90.5</v>
      </c>
      <c r="V30" s="128">
        <f>ROUND((VLOOKUP($B30,ECONACIONAL!$C$7:$AC$219,23,0)),2)</f>
        <v>0</v>
      </c>
      <c r="W30" s="128">
        <f>ROUND((VLOOKUP($B30,ECONACIONAL!$C$7:$AC$219,24,0)),2)</f>
        <v>283.81</v>
      </c>
      <c r="X30" s="128">
        <f>ROUND((VLOOKUP($B30,ECONACIONAL!$C$7:$AC$219,25,0)),2)</f>
        <v>4018.47</v>
      </c>
      <c r="Y30" s="128">
        <f>ROUND((VLOOKUP($B30,ECONACIONAL!$C$7:$AC$219,26,0)),2)</f>
        <v>2014.98</v>
      </c>
      <c r="Z30" s="128">
        <f>ROUND((VLOOKUP($B30,ECONACIONAL!$C$7:$AC$219,27,0)),2)</f>
        <v>2003.49</v>
      </c>
      <c r="AA30" s="279"/>
      <c r="AB30" s="258">
        <v>3006725860101</v>
      </c>
      <c r="AC30" s="266" t="s">
        <v>52</v>
      </c>
    </row>
    <row r="31" spans="1:7918">
      <c r="A31" s="1" t="e">
        <f t="shared" si="0"/>
        <v>#REF!</v>
      </c>
      <c r="B31" s="952" t="str">
        <f>+ECONACIONAL!C158</f>
        <v>Lopez Suran Neemias</v>
      </c>
      <c r="C31" s="168">
        <v>2061329781</v>
      </c>
      <c r="D31" s="705" t="str">
        <f>+ECONACIONAL!C158</f>
        <v>Lopez Suran Neemias</v>
      </c>
      <c r="E31" s="172" t="str">
        <f>VLOOKUP(B31,distribucion!G$8:FP$152,2,0)</f>
        <v>Auxiliar de Limpieza</v>
      </c>
      <c r="F31" s="128">
        <f>ROUND((VLOOKUP($B31,ECONACIONAL!$C$5:$AC$219,4,0)),2)</f>
        <v>30</v>
      </c>
      <c r="G31" s="128">
        <f>ROUND((VLOOKUP($B31,ECONACIONAL!$C$7:$AC$219,6,0)),2)</f>
        <v>4002.28</v>
      </c>
      <c r="H31" s="128">
        <f>ROUND((VLOOKUP($B31,ECONACIONAL!$C$7:$AC$219,7,0)),2)</f>
        <v>1150</v>
      </c>
      <c r="I31" s="128">
        <f>ROUND((VLOOKUP($B31,ECONACIONAL!$C$7:$AC$219,9,0)),2)</f>
        <v>0</v>
      </c>
      <c r="J31" s="128">
        <f>ROUND((VLOOKUP($B31,ECONACIONAL!$C$7:$AC$219,10,0)),2)</f>
        <v>0</v>
      </c>
      <c r="K31" s="128">
        <f>ROUND((VLOOKUP($B31,ECONACIONAL!$C$7:$AC$219,11,0)),2)</f>
        <v>0</v>
      </c>
      <c r="L31" s="128">
        <f>ROUND((VLOOKUP($B31,ECONACIONAL!$C$7:$AC$219,12,0)),2)</f>
        <v>0</v>
      </c>
      <c r="M31" s="128">
        <f>ROUND((VLOOKUP($B31,ECONACIONAL!$C$7:$AC$219,14,0)),2)</f>
        <v>0</v>
      </c>
      <c r="N31" s="128">
        <f>ROUND((VLOOKUP($B31,ECONACIONAL!$C$7:$AC$219,15,0)),2)</f>
        <v>5152.28</v>
      </c>
      <c r="O31" s="128">
        <f>ROUND((VLOOKUP($B31,ECONACIONAL!$C$7:$AC$219,16,0)),2)</f>
        <v>193.31</v>
      </c>
      <c r="P31" s="128">
        <f>ROUND((VLOOKUP($B31,ECONACIONAL!$C$7:$AC$219,17,0)),2)</f>
        <v>0</v>
      </c>
      <c r="Q31" s="128">
        <f>ROUND((VLOOKUP($B31,ECONACIONAL!$C$7:$AC$219,18,0)),2)</f>
        <v>0</v>
      </c>
      <c r="R31" s="128">
        <f>ROUND((VLOOKUP($B31,ECONACIONAL!$C$7:$AC$219,19,0)),2)</f>
        <v>0</v>
      </c>
      <c r="S31" s="128">
        <f>ROUND((VLOOKUP($B31,ECONACIONAL!$C$7:$AC$219,20,0)),2)</f>
        <v>0</v>
      </c>
      <c r="T31" s="128">
        <f>ROUND((VLOOKUP($B31,ECONACIONAL!$C$7:$AC$219,21,0)),2)</f>
        <v>0</v>
      </c>
      <c r="U31" s="128">
        <f>ROUND((VLOOKUP($B31,ECONACIONAL!$C$7:$AC$219,22,0)),2)</f>
        <v>0</v>
      </c>
      <c r="V31" s="128">
        <f>ROUND((VLOOKUP($B31,ECONACIONAL!$C$7:$AC$219,23,0)),2)</f>
        <v>0</v>
      </c>
      <c r="W31" s="128">
        <f>ROUND((VLOOKUP($B31,ECONACIONAL!$C$7:$AC$219,24,0)),2)</f>
        <v>193.31</v>
      </c>
      <c r="X31" s="128">
        <f>ROUND((VLOOKUP($B31,ECONACIONAL!$C$7:$AC$219,25,0)),2)</f>
        <v>4958.97</v>
      </c>
      <c r="Y31" s="128">
        <f>ROUND((VLOOKUP($B31,ECONACIONAL!$C$7:$AC$219,26,0)),2)</f>
        <v>2029.48</v>
      </c>
      <c r="Z31" s="128">
        <f>ROUND((VLOOKUP($B31,ECONACIONAL!$C$7:$AC$219,27,0)),2)</f>
        <v>2929.49</v>
      </c>
      <c r="AA31" s="279"/>
      <c r="AB31" s="258">
        <v>3006725860101</v>
      </c>
      <c r="AC31" s="266" t="s">
        <v>52</v>
      </c>
    </row>
    <row r="32" spans="1:7918">
      <c r="A32" s="1" t="e">
        <f t="shared" si="0"/>
        <v>#REF!</v>
      </c>
      <c r="B32" s="952" t="str">
        <f>+ECONACIONAL!C59</f>
        <v>Ordoñez Corado Paola Maritza</v>
      </c>
      <c r="C32" s="168">
        <v>1490133269</v>
      </c>
      <c r="D32" s="705" t="str">
        <f>+ECONACIONAL!C59</f>
        <v>Ordoñez Corado Paola Maritza</v>
      </c>
      <c r="E32" s="172" t="str">
        <f>VLOOKUP(B32,distribucion!G$8:FP$152,2,0)</f>
        <v>Analista Financiera</v>
      </c>
      <c r="F32" s="128">
        <f>ROUND((VLOOKUP($B32,ECONACIONAL!$C$5:$AC$219,4,0)),2)</f>
        <v>30</v>
      </c>
      <c r="G32" s="128">
        <f>ROUND((VLOOKUP($B32,ECONACIONAL!$C$7:$AC$219,6,0)),2)</f>
        <v>6500</v>
      </c>
      <c r="H32" s="128">
        <f>ROUND((VLOOKUP($B32,ECONACIONAL!$C$7:$AC$219,7,0)),2)</f>
        <v>5000</v>
      </c>
      <c r="I32" s="128">
        <f>ROUND((VLOOKUP($B32,ECONACIONAL!$C$7:$AC$219,9,0)),2)</f>
        <v>0</v>
      </c>
      <c r="J32" s="128">
        <f>ROUND((VLOOKUP($B32,ECONACIONAL!$C$7:$AC$219,10,0)),2)</f>
        <v>0</v>
      </c>
      <c r="K32" s="128">
        <f>ROUND((VLOOKUP($B32,ECONACIONAL!$C$7:$AC$219,11,0)),2)</f>
        <v>0</v>
      </c>
      <c r="L32" s="128">
        <f>ROUND((VLOOKUP($B32,ECONACIONAL!$C$7:$AC$219,12,0)),2)</f>
        <v>0</v>
      </c>
      <c r="M32" s="128">
        <f>ROUND((VLOOKUP($B32,ECONACIONAL!$C$7:$AC$219,14,0)),2)</f>
        <v>0</v>
      </c>
      <c r="N32" s="128">
        <f>ROUND((VLOOKUP($B32,ECONACIONAL!$C$7:$AC$219,15,0)),2)</f>
        <v>11500</v>
      </c>
      <c r="O32" s="128">
        <f>ROUND((VLOOKUP($B32,ECONACIONAL!$C$7:$AC$219,16,0)),2)</f>
        <v>313.95</v>
      </c>
      <c r="P32" s="128">
        <f>ROUND((VLOOKUP($B32,ECONACIONAL!$C$7:$AC$219,17,0)),2)</f>
        <v>367.44</v>
      </c>
      <c r="Q32" s="128">
        <f>ROUND((VLOOKUP($B32,ECONACIONAL!$C$7:$AC$219,18,0)),2)</f>
        <v>0</v>
      </c>
      <c r="R32" s="128">
        <f>ROUND((VLOOKUP($B32,ECONACIONAL!$C$7:$AC$219,19,0)),2)</f>
        <v>0</v>
      </c>
      <c r="S32" s="128">
        <f>ROUND((VLOOKUP($B32,ECONACIONAL!$C$7:$AC$219,20,0)),2)</f>
        <v>0</v>
      </c>
      <c r="T32" s="128">
        <f>ROUND((VLOOKUP($B32,ECONACIONAL!$C$7:$AC$219,21,0)),2)</f>
        <v>0</v>
      </c>
      <c r="U32" s="128">
        <f>ROUND((VLOOKUP($B32,ECONACIONAL!$C$7:$AC$219,22,0)),2)</f>
        <v>0</v>
      </c>
      <c r="V32" s="128">
        <f>ROUND((VLOOKUP($B32,ECONACIONAL!$C$7:$AC$219,23,0)),2)</f>
        <v>350</v>
      </c>
      <c r="W32" s="128">
        <f>ROUND((VLOOKUP($B32,ECONACIONAL!$C$7:$AC$219,24,0)),2)</f>
        <v>1031.3900000000001</v>
      </c>
      <c r="X32" s="128">
        <f>ROUND((VLOOKUP($B32,ECONACIONAL!$C$7:$AC$219,25,0)),2)</f>
        <v>10468.61</v>
      </c>
      <c r="Y32" s="128">
        <f>ROUND((VLOOKUP($B32,ECONACIONAL!$C$7:$AC$219,26,0)),2)</f>
        <v>4503.57</v>
      </c>
      <c r="Z32" s="128">
        <f>ROUND((VLOOKUP($B32,ECONACIONAL!$C$7:$AC$219,27,0)),2)</f>
        <v>5965.04</v>
      </c>
      <c r="AA32" s="279"/>
      <c r="AB32" s="258">
        <v>3006725860101</v>
      </c>
      <c r="AC32" s="266" t="s">
        <v>52</v>
      </c>
    </row>
    <row r="33" spans="1:29">
      <c r="A33" s="1" t="e">
        <f t="shared" si="0"/>
        <v>#REF!</v>
      </c>
      <c r="B33" s="952" t="str">
        <f>+ECONACIONAL!C10</f>
        <v>Hernandez Maria Andrea</v>
      </c>
      <c r="C33" s="168">
        <v>143924900</v>
      </c>
      <c r="D33" s="705" t="str">
        <f>+ECONACIONAL!C10</f>
        <v>Hernandez Maria Andrea</v>
      </c>
      <c r="E33" s="172" t="str">
        <f>VLOOKUP(B33,distribucion!G$8:FP$152,2,0)</f>
        <v>Asistente de Gerencia General</v>
      </c>
      <c r="F33" s="128">
        <f>ROUND((VLOOKUP($B33,ECONACIONAL!$C$5:$AC$219,4,0)),2)</f>
        <v>30</v>
      </c>
      <c r="G33" s="128">
        <f>ROUND((VLOOKUP($B33,ECONACIONAL!$C$7:$AC$219,6,0)),2)</f>
        <v>5000</v>
      </c>
      <c r="H33" s="128">
        <f>ROUND((VLOOKUP($B33,ECONACIONAL!$C$7:$AC$219,7,0)),2)</f>
        <v>1000</v>
      </c>
      <c r="I33" s="128">
        <f>ROUND((VLOOKUP($B33,ECONACIONAL!$C$7:$AC$219,9,0)),2)</f>
        <v>0</v>
      </c>
      <c r="J33" s="128">
        <f>ROUND((VLOOKUP($B33,ECONACIONAL!$C$7:$AC$219,10,0)),2)</f>
        <v>0</v>
      </c>
      <c r="K33" s="128">
        <f>ROUND((VLOOKUP($B33,ECONACIONAL!$C$7:$AC$219,11,0)),2)</f>
        <v>0</v>
      </c>
      <c r="L33" s="128">
        <f>ROUND((VLOOKUP($B33,ECONACIONAL!$C$7:$AC$219,12,0)),2)</f>
        <v>0</v>
      </c>
      <c r="M33" s="128">
        <f>ROUND((VLOOKUP($B33,ECONACIONAL!$C$7:$AC$219,14,0)),2)</f>
        <v>0</v>
      </c>
      <c r="N33" s="128">
        <f>ROUND((VLOOKUP($B33,ECONACIONAL!$C$7:$AC$219,15,0)),2)</f>
        <v>6000</v>
      </c>
      <c r="O33" s="128">
        <f>ROUND((VLOOKUP($B33,ECONACIONAL!$C$7:$AC$219,16,0)),2)</f>
        <v>241.5</v>
      </c>
      <c r="P33" s="128">
        <f>ROUND((VLOOKUP($B33,ECONACIONAL!$C$7:$AC$219,17,0)),2)</f>
        <v>87.92</v>
      </c>
      <c r="Q33" s="128">
        <f>ROUND((VLOOKUP($B33,ECONACIONAL!$C$7:$AC$219,18,0)),2)</f>
        <v>0</v>
      </c>
      <c r="R33" s="128">
        <f>ROUND((VLOOKUP($B33,ECONACIONAL!$C$7:$AC$219,19,0)),2)</f>
        <v>0</v>
      </c>
      <c r="S33" s="128">
        <f>ROUND((VLOOKUP($B33,ECONACIONAL!$C$7:$AC$219,20,0)),2)</f>
        <v>0</v>
      </c>
      <c r="T33" s="128">
        <f>ROUND((VLOOKUP($B33,ECONACIONAL!$C$7:$AC$219,21,0)),2)</f>
        <v>0</v>
      </c>
      <c r="U33" s="128">
        <f>ROUND((VLOOKUP($B33,ECONACIONAL!$C$7:$AC$219,22,0)),2)</f>
        <v>65</v>
      </c>
      <c r="V33" s="128">
        <f>ROUND((VLOOKUP($B33,ECONACIONAL!$C$7:$AC$219,23,0)),2)</f>
        <v>350</v>
      </c>
      <c r="W33" s="128">
        <f>ROUND((VLOOKUP($B33,ECONACIONAL!$C$7:$AC$219,24,0)),2)</f>
        <v>744.42</v>
      </c>
      <c r="X33" s="128">
        <f>ROUND((VLOOKUP($B33,ECONACIONAL!$C$7:$AC$219,25,0)),2)</f>
        <v>5255.58</v>
      </c>
      <c r="Y33" s="128">
        <f>ROUND((VLOOKUP($B33,ECONACIONAL!$C$7:$AC$219,26,0)),2)</f>
        <v>2660.29</v>
      </c>
      <c r="Z33" s="128">
        <f>ROUND((VLOOKUP($B33,ECONACIONAL!$C$7:$AC$219,27,0)),2)</f>
        <v>2595.29</v>
      </c>
      <c r="AA33" s="279"/>
      <c r="AB33" s="258">
        <v>3006725860101</v>
      </c>
      <c r="AC33" s="266" t="s">
        <v>52</v>
      </c>
    </row>
    <row r="34" spans="1:29">
      <c r="A34" s="1" t="e">
        <f t="shared" si="0"/>
        <v>#REF!</v>
      </c>
      <c r="B34" s="952" t="str">
        <f>+ECONACIONAL!C109</f>
        <v xml:space="preserve">Perez Barrios Kevin Augusto </v>
      </c>
      <c r="C34" s="168">
        <v>1980223406</v>
      </c>
      <c r="D34" s="705" t="str">
        <f>+ECONACIONAL!C109</f>
        <v xml:space="preserve">Perez Barrios Kevin Augusto </v>
      </c>
      <c r="E34" s="172" t="str">
        <f>VLOOKUP(B34,distribucion!G$8:FP$152,2,0)</f>
        <v>Encargado de Bodega PT</v>
      </c>
      <c r="F34" s="128">
        <f>ROUND((VLOOKUP($B34,ECONACIONAL!$C$5:$AC$219,4,0)),2)</f>
        <v>30</v>
      </c>
      <c r="G34" s="128">
        <f>ROUND((VLOOKUP($B34,ECONACIONAL!$C$7:$AC$219,6,0)),2)</f>
        <v>4500</v>
      </c>
      <c r="H34" s="128">
        <f>ROUND((VLOOKUP($B34,ECONACIONAL!$C$7:$AC$219,7,0)),2)</f>
        <v>957.28</v>
      </c>
      <c r="I34" s="128">
        <f>ROUND((VLOOKUP($B34,ECONACIONAL!$C$7:$AC$219,9,0)),2)</f>
        <v>39</v>
      </c>
      <c r="J34" s="128">
        <f>ROUND((VLOOKUP($B34,ECONACIONAL!$C$7:$AC$219,10,0)),2)</f>
        <v>1096.8800000000001</v>
      </c>
      <c r="K34" s="128">
        <f>ROUND((VLOOKUP($B34,ECONACIONAL!$C$7:$AC$219,11,0)),2)</f>
        <v>0</v>
      </c>
      <c r="L34" s="128">
        <f>ROUND((VLOOKUP($B34,ECONACIONAL!$C$7:$AC$219,12,0)),2)</f>
        <v>0</v>
      </c>
      <c r="M34" s="128">
        <f>ROUND((VLOOKUP($B34,ECONACIONAL!$C$7:$AC$219,14,0)),2)</f>
        <v>0</v>
      </c>
      <c r="N34" s="128">
        <f>ROUND((VLOOKUP($B34,ECONACIONAL!$C$7:$AC$219,15,0)),2)</f>
        <v>6554.16</v>
      </c>
      <c r="O34" s="128">
        <f>ROUND((VLOOKUP($B34,ECONACIONAL!$C$7:$AC$219,16,0)),2)</f>
        <v>270.33</v>
      </c>
      <c r="P34" s="128">
        <f>ROUND((VLOOKUP($B34,ECONACIONAL!$C$7:$AC$219,17,0)),2)</f>
        <v>196</v>
      </c>
      <c r="Q34" s="128">
        <f>ROUND((VLOOKUP($B34,ECONACIONAL!$C$7:$AC$219,18,0)),2)</f>
        <v>0</v>
      </c>
      <c r="R34" s="128">
        <f>ROUND((VLOOKUP($B34,ECONACIONAL!$C$7:$AC$219,19,0)),2)</f>
        <v>0</v>
      </c>
      <c r="S34" s="128">
        <f>ROUND((VLOOKUP($B34,ECONACIONAL!$C$7:$AC$219,20,0)),2)</f>
        <v>0</v>
      </c>
      <c r="T34" s="128">
        <f>ROUND((VLOOKUP($B34,ECONACIONAL!$C$7:$AC$219,21,0)),2)</f>
        <v>0</v>
      </c>
      <c r="U34" s="128">
        <f>ROUND((VLOOKUP($B34,ECONACIONAL!$C$7:$AC$219,22,0)),2)</f>
        <v>0</v>
      </c>
      <c r="V34" s="128">
        <f>ROUND((VLOOKUP($B34,ECONACIONAL!$C$7:$AC$219,23,0)),2)</f>
        <v>0</v>
      </c>
      <c r="W34" s="128">
        <f>ROUND((VLOOKUP($B34,ECONACIONAL!$C$7:$AC$219,24,0)),2)</f>
        <v>466.33</v>
      </c>
      <c r="X34" s="128">
        <f>ROUND((VLOOKUP($B34,ECONACIONAL!$C$7:$AC$219,25,0)),2)</f>
        <v>6087.83</v>
      </c>
      <c r="Y34" s="128">
        <f>ROUND((VLOOKUP($B34,ECONACIONAL!$C$7:$AC$219,26,0)),2)</f>
        <v>2299.96</v>
      </c>
      <c r="Z34" s="128">
        <f>ROUND((VLOOKUP($B34,ECONACIONAL!$C$7:$AC$219,27,0)),2)</f>
        <v>3787.87</v>
      </c>
      <c r="AA34" s="279"/>
      <c r="AB34" s="258">
        <v>3006725860101</v>
      </c>
      <c r="AC34" s="266" t="s">
        <v>52</v>
      </c>
    </row>
    <row r="35" spans="1:29">
      <c r="A35" s="1" t="e">
        <f>+#REF!+1</f>
        <v>#REF!</v>
      </c>
      <c r="B35" s="952" t="str">
        <f>+ECONACIONAL!C55</f>
        <v>Cruz Salguero Aramis Antonio</v>
      </c>
      <c r="C35" s="168">
        <v>143954105</v>
      </c>
      <c r="D35" s="705" t="str">
        <f>+ECONACIONAL!C55</f>
        <v>Cruz Salguero Aramis Antonio</v>
      </c>
      <c r="E35" s="172" t="str">
        <f>VLOOKUP(B35,distribucion!G$8:FP$152,2,0)</f>
        <v>Tesorero-Contador</v>
      </c>
      <c r="F35" s="128">
        <f>ROUND((VLOOKUP($B35,ECONACIONAL!$C$5:$AC$219,4,0)),2)</f>
        <v>30</v>
      </c>
      <c r="G35" s="128">
        <f>ROUND((VLOOKUP($B35,ECONACIONAL!$C$7:$AC$219,6,0)),2)</f>
        <v>4850</v>
      </c>
      <c r="H35" s="128">
        <f>ROUND((VLOOKUP($B35,ECONACIONAL!$C$7:$AC$219,7,0)),2)</f>
        <v>1900</v>
      </c>
      <c r="I35" s="128">
        <f>ROUND((VLOOKUP($B35,ECONACIONAL!$C$7:$AC$219,9,0)),2)</f>
        <v>0</v>
      </c>
      <c r="J35" s="128">
        <f>ROUND((VLOOKUP($B35,ECONACIONAL!$C$7:$AC$219,10,0)),2)</f>
        <v>0</v>
      </c>
      <c r="K35" s="128">
        <f>ROUND((VLOOKUP($B35,ECONACIONAL!$C$7:$AC$219,11,0)),2)</f>
        <v>0</v>
      </c>
      <c r="L35" s="128">
        <f>ROUND((VLOOKUP($B35,ECONACIONAL!$C$7:$AC$219,12,0)),2)</f>
        <v>0</v>
      </c>
      <c r="M35" s="128">
        <f>ROUND((VLOOKUP($B35,ECONACIONAL!$C$7:$AC$219,14,0)),2)</f>
        <v>0</v>
      </c>
      <c r="N35" s="128">
        <f>ROUND((VLOOKUP($B35,ECONACIONAL!$C$7:$AC$219,15,0)),2)</f>
        <v>6750</v>
      </c>
      <c r="O35" s="128">
        <f>ROUND((VLOOKUP($B35,ECONACIONAL!$C$7:$AC$219,16,0)),2)</f>
        <v>234.26</v>
      </c>
      <c r="P35" s="128">
        <f>ROUND((VLOOKUP($B35,ECONACIONAL!$C$7:$AC$219,17,0)),2)</f>
        <v>141.36000000000001</v>
      </c>
      <c r="Q35" s="128">
        <f>ROUND((VLOOKUP($B35,ECONACIONAL!$C$7:$AC$219,18,0)),2)</f>
        <v>0</v>
      </c>
      <c r="R35" s="128">
        <f>ROUND((VLOOKUP($B35,ECONACIONAL!$C$7:$AC$219,19,0)),2)</f>
        <v>0</v>
      </c>
      <c r="S35" s="128">
        <f>ROUND((VLOOKUP($B35,ECONACIONAL!$C$7:$AC$219,20,0)),2)</f>
        <v>0</v>
      </c>
      <c r="T35" s="128">
        <f>ROUND((VLOOKUP($B35,ECONACIONAL!$C$7:$AC$219,21,0)),2)</f>
        <v>0</v>
      </c>
      <c r="U35" s="128">
        <f>ROUND((VLOOKUP($B35,ECONACIONAL!$C$7:$AC$219,22,0)),2)</f>
        <v>324</v>
      </c>
      <c r="V35" s="128">
        <f>ROUND((VLOOKUP($B35,ECONACIONAL!$C$7:$AC$219,23,0)),2)</f>
        <v>350</v>
      </c>
      <c r="W35" s="128">
        <f>ROUND((VLOOKUP($B35,ECONACIONAL!$C$7:$AC$219,24,0)),2)</f>
        <v>1049.6199999999999</v>
      </c>
      <c r="X35" s="128">
        <f>ROUND((VLOOKUP($B35,ECONACIONAL!$C$7:$AC$219,25,0)),2)</f>
        <v>5700.38</v>
      </c>
      <c r="Y35" s="128">
        <f>ROUND((VLOOKUP($B35,ECONACIONAL!$C$7:$AC$219,26,0)),2)</f>
        <v>2379.7800000000002</v>
      </c>
      <c r="Z35" s="128">
        <f>ROUND((VLOOKUP($B35,ECONACIONAL!$C$7:$AC$219,27,0)),2)</f>
        <v>3320.6</v>
      </c>
      <c r="AA35" s="279"/>
      <c r="AB35" s="258">
        <v>3006725860101</v>
      </c>
      <c r="AC35" s="266" t="s">
        <v>52</v>
      </c>
    </row>
    <row r="36" spans="1:29">
      <c r="A36" s="1" t="e">
        <f>+#REF!+1</f>
        <v>#REF!</v>
      </c>
      <c r="B36" s="952" t="str">
        <f>+ECONACIONAL!C117</f>
        <v>Mejia Quijivix Nathalie Guadalupe</v>
      </c>
      <c r="C36" s="168" t="s">
        <v>732</v>
      </c>
      <c r="D36" s="705" t="str">
        <f>+ECONACIONAL!C117</f>
        <v>Mejia Quijivix Nathalie Guadalupe</v>
      </c>
      <c r="E36" s="172" t="str">
        <f>VLOOKUP(B36,distribucion!G$8:FP$152,2,0)</f>
        <v>Asistente de compras locales e Intern</v>
      </c>
      <c r="F36" s="128">
        <f>ROUND((VLOOKUP($B36,ECONACIONAL!$C$5:$AC$219,4,0)),2)</f>
        <v>10</v>
      </c>
      <c r="G36" s="128">
        <f>ROUND((VLOOKUP($B36,ECONACIONAL!$C$7:$AC$219,6,0)),2)</f>
        <v>2066.67</v>
      </c>
      <c r="H36" s="128">
        <f>ROUND((VLOOKUP($B36,ECONACIONAL!$C$7:$AC$219,7,0)),2)</f>
        <v>433.33</v>
      </c>
      <c r="I36" s="128">
        <f>ROUND((VLOOKUP($B36,ECONACIONAL!$C$7:$AC$219,9,0)),2)</f>
        <v>0</v>
      </c>
      <c r="J36" s="128">
        <f>ROUND((VLOOKUP($B36,ECONACIONAL!$C$7:$AC$219,10,0)),2)</f>
        <v>0</v>
      </c>
      <c r="K36" s="128">
        <f>ROUND((VLOOKUP($B36,ECONACIONAL!$C$7:$AC$219,11,0)),2)</f>
        <v>0</v>
      </c>
      <c r="L36" s="128">
        <f>ROUND((VLOOKUP($B36,ECONACIONAL!$C$7:$AC$219,12,0)),2)</f>
        <v>0</v>
      </c>
      <c r="M36" s="128">
        <f>ROUND((VLOOKUP($B36,ECONACIONAL!$C$7:$AC$219,14,0)),2)</f>
        <v>0</v>
      </c>
      <c r="N36" s="128">
        <f>ROUND((VLOOKUP($B36,ECONACIONAL!$C$7:$AC$219,15,0)),2)</f>
        <v>2500</v>
      </c>
      <c r="O36" s="128">
        <f>ROUND((VLOOKUP($B36,ECONACIONAL!$C$7:$AC$219,16,0)),2)</f>
        <v>99.82</v>
      </c>
      <c r="P36" s="128">
        <f>ROUND((VLOOKUP($B36,ECONACIONAL!$C$7:$AC$219,17,0)),2)</f>
        <v>0</v>
      </c>
      <c r="Q36" s="128">
        <f>ROUND((VLOOKUP($B36,ECONACIONAL!$C$7:$AC$219,18,0)),2)</f>
        <v>0</v>
      </c>
      <c r="R36" s="128">
        <f>ROUND((VLOOKUP($B36,ECONACIONAL!$C$7:$AC$219,19,0)),2)</f>
        <v>0</v>
      </c>
      <c r="S36" s="128">
        <f>ROUND((VLOOKUP($B36,ECONACIONAL!$C$7:$AC$219,20,0)),2)</f>
        <v>0</v>
      </c>
      <c r="T36" s="128">
        <f>ROUND((VLOOKUP($B36,ECONACIONAL!$C$7:$AC$219,21,0)),2)</f>
        <v>0</v>
      </c>
      <c r="U36" s="128">
        <f>ROUND((VLOOKUP($B36,ECONACIONAL!$C$7:$AC$219,22,0)),2)</f>
        <v>0</v>
      </c>
      <c r="V36" s="128">
        <f>ROUND((VLOOKUP($B36,ECONACIONAL!$C$7:$AC$219,23,0)),2)</f>
        <v>175</v>
      </c>
      <c r="W36" s="128">
        <f>ROUND((VLOOKUP($B36,ECONACIONAL!$C$7:$AC$219,24,0)),2)</f>
        <v>274.82</v>
      </c>
      <c r="X36" s="128">
        <f>ROUND((VLOOKUP($B36,ECONACIONAL!$C$7:$AC$219,25,0)),2)</f>
        <v>2225.1799999999998</v>
      </c>
      <c r="Y36" s="128">
        <f>ROUND((VLOOKUP($B36,ECONACIONAL!$C$7:$AC$219,26,0)),2)</f>
        <v>2137.6799999999998</v>
      </c>
      <c r="Z36" s="128">
        <f>ROUND((VLOOKUP($B36,ECONACIONAL!$C$7:$AC$219,27,0)),2)</f>
        <v>87.5</v>
      </c>
      <c r="AA36" s="279"/>
      <c r="AB36" s="258">
        <v>3006725860101</v>
      </c>
      <c r="AC36" s="266" t="s">
        <v>52</v>
      </c>
    </row>
    <row r="37" spans="1:29">
      <c r="A37" s="1" t="e">
        <f t="shared" si="0"/>
        <v>#REF!</v>
      </c>
      <c r="B37" s="952" t="str">
        <f>+ECONACIONAL!C99</f>
        <v>Gonzalez Perez Alexis Damian</v>
      </c>
      <c r="C37" s="168">
        <v>2100266382</v>
      </c>
      <c r="D37" s="705" t="str">
        <f>+ECONACIONAL!C99</f>
        <v>Gonzalez Perez Alexis Damian</v>
      </c>
      <c r="E37" s="172" t="str">
        <f>VLOOKUP(B37,distribucion!G$8:FP$152,2,0)</f>
        <v>Auxiliar de Bodega</v>
      </c>
      <c r="F37" s="128">
        <f>ROUND((VLOOKUP($B37,ECONACIONAL!$C$5:$AC$219,4,0)),2)</f>
        <v>30</v>
      </c>
      <c r="G37" s="128">
        <f>ROUND((VLOOKUP($B37,ECONACIONAL!$C$7:$AC$219,6,0)),2)</f>
        <v>4002.28</v>
      </c>
      <c r="H37" s="128">
        <f>ROUND((VLOOKUP($B37,ECONACIONAL!$C$7:$AC$219,7,0)),2)</f>
        <v>422.49</v>
      </c>
      <c r="I37" s="128">
        <f>ROUND((VLOOKUP($B37,ECONACIONAL!$C$7:$AC$219,9,0)),2)</f>
        <v>8</v>
      </c>
      <c r="J37" s="128">
        <f>ROUND((VLOOKUP($B37,ECONACIONAL!$C$7:$AC$219,10,0)),2)</f>
        <v>200.11</v>
      </c>
      <c r="K37" s="128">
        <f>ROUND((VLOOKUP($B37,ECONACIONAL!$C$7:$AC$219,11,0)),2)</f>
        <v>0</v>
      </c>
      <c r="L37" s="128">
        <f>ROUND((VLOOKUP($B37,ECONACIONAL!$C$7:$AC$219,12,0)),2)</f>
        <v>0</v>
      </c>
      <c r="M37" s="128">
        <f>ROUND((VLOOKUP($B37,ECONACIONAL!$C$7:$AC$219,14,0)),2)</f>
        <v>0</v>
      </c>
      <c r="N37" s="128">
        <f>ROUND((VLOOKUP($B37,ECONACIONAL!$C$7:$AC$219,15,0)),2)</f>
        <v>4624.88</v>
      </c>
      <c r="O37" s="128">
        <f>ROUND((VLOOKUP($B37,ECONACIONAL!$C$7:$AC$219,16,0)),2)</f>
        <v>202.98</v>
      </c>
      <c r="P37" s="128">
        <f>ROUND((VLOOKUP($B37,ECONACIONAL!$C$7:$AC$219,17,0)),2)</f>
        <v>0</v>
      </c>
      <c r="Q37" s="128">
        <f>ROUND((VLOOKUP($B37,ECONACIONAL!$C$7:$AC$219,18,0)),2)</f>
        <v>0</v>
      </c>
      <c r="R37" s="128">
        <f>ROUND((VLOOKUP($B37,ECONACIONAL!$C$7:$AC$219,19,0)),2)</f>
        <v>0</v>
      </c>
      <c r="S37" s="128">
        <f>ROUND((VLOOKUP($B37,ECONACIONAL!$C$7:$AC$219,20,0)),2)</f>
        <v>0</v>
      </c>
      <c r="T37" s="128">
        <f>ROUND((VLOOKUP($B37,ECONACIONAL!$C$7:$AC$219,21,0)),2)</f>
        <v>0</v>
      </c>
      <c r="U37" s="128">
        <f>ROUND((VLOOKUP($B37,ECONACIONAL!$C$7:$AC$219,22,0)),2)</f>
        <v>512</v>
      </c>
      <c r="V37" s="128">
        <f>ROUND((VLOOKUP($B37,ECONACIONAL!$C$7:$AC$219,23,0)),2)</f>
        <v>234</v>
      </c>
      <c r="W37" s="128">
        <f>ROUND((VLOOKUP($B37,ECONACIONAL!$C$7:$AC$219,24,0)),2)</f>
        <v>948.98</v>
      </c>
      <c r="X37" s="128">
        <f>ROUND((VLOOKUP($B37,ECONACIONAL!$C$7:$AC$219,25,0)),2)</f>
        <v>3675.9</v>
      </c>
      <c r="Y37" s="128">
        <f>ROUND((VLOOKUP($B37,ECONACIONAL!$C$7:$AC$219,26,0)),2)</f>
        <v>1812.98</v>
      </c>
      <c r="Z37" s="128">
        <f>ROUND((VLOOKUP($B37,ECONACIONAL!$C$7:$AC$219,27,0)),2)</f>
        <v>1862.92</v>
      </c>
      <c r="AA37" s="279"/>
      <c r="AB37" s="258">
        <v>3006725860101</v>
      </c>
      <c r="AC37" s="266" t="s">
        <v>52</v>
      </c>
    </row>
    <row r="38" spans="1:29">
      <c r="A38" s="1" t="e">
        <f>+#REF!+1</f>
        <v>#REF!</v>
      </c>
      <c r="B38" s="952" t="str">
        <f>+ECONACIONAL!C135</f>
        <v>Chamale  Peque Jorge Raul</v>
      </c>
      <c r="C38" s="168">
        <v>3800105102</v>
      </c>
      <c r="D38" s="705" t="str">
        <f>+ECONACIONAL!C135</f>
        <v>Chamale  Peque Jorge Raul</v>
      </c>
      <c r="E38" s="172" t="str">
        <f>VLOOKUP(B38,distribucion!G$8:FP$152,2,0)</f>
        <v>Auxiliar de Control De Calidad</v>
      </c>
      <c r="F38" s="128">
        <f>ROUND((VLOOKUP($B38,ECONACIONAL!$C$5:$AC$219,4,0)),2)</f>
        <v>30</v>
      </c>
      <c r="G38" s="128">
        <f>ROUND((VLOOKUP($B38,ECONACIONAL!$C$7:$AC$219,6,0)),2)</f>
        <v>4100</v>
      </c>
      <c r="H38" s="128">
        <f>ROUND((VLOOKUP($B38,ECONACIONAL!$C$7:$AC$219,7,0)),2)</f>
        <v>300</v>
      </c>
      <c r="I38" s="128">
        <f>ROUND((VLOOKUP($B38,ECONACIONAL!$C$7:$AC$219,9,0)),2)</f>
        <v>35.5</v>
      </c>
      <c r="J38" s="128">
        <f>ROUND((VLOOKUP($B38,ECONACIONAL!$C$7:$AC$219,10,0)),2)</f>
        <v>909.69</v>
      </c>
      <c r="K38" s="128">
        <f>ROUND((VLOOKUP($B38,ECONACIONAL!$C$7:$AC$219,11,0)),2)</f>
        <v>0</v>
      </c>
      <c r="L38" s="128">
        <f>ROUND((VLOOKUP($B38,ECONACIONAL!$C$7:$AC$219,12,0)),2)</f>
        <v>0</v>
      </c>
      <c r="M38" s="128">
        <f>ROUND((VLOOKUP($B38,ECONACIONAL!$C$7:$AC$219,14,0)),2)</f>
        <v>0</v>
      </c>
      <c r="N38" s="128">
        <f>ROUND((VLOOKUP($B38,ECONACIONAL!$C$7:$AC$219,15,0)),2)</f>
        <v>5309.69</v>
      </c>
      <c r="O38" s="128">
        <f>ROUND((VLOOKUP($B38,ECONACIONAL!$C$7:$AC$219,16,0)),2)</f>
        <v>241.97</v>
      </c>
      <c r="P38" s="128">
        <f>ROUND((VLOOKUP($B38,ECONACIONAL!$C$7:$AC$219,17,0)),2)</f>
        <v>0</v>
      </c>
      <c r="Q38" s="128">
        <f>ROUND((VLOOKUP($B38,ECONACIONAL!$C$7:$AC$219,18,0)),2)</f>
        <v>0</v>
      </c>
      <c r="R38" s="128">
        <f>ROUND((VLOOKUP($B38,ECONACIONAL!$C$7:$AC$219,19,0)),2)</f>
        <v>0</v>
      </c>
      <c r="S38" s="128">
        <f>ROUND((VLOOKUP($B38,ECONACIONAL!$C$7:$AC$219,20,0)),2)</f>
        <v>72.75</v>
      </c>
      <c r="T38" s="128">
        <f>ROUND((VLOOKUP($B38,ECONACIONAL!$C$7:$AC$219,21,0)),2)</f>
        <v>162.5</v>
      </c>
      <c r="U38" s="128">
        <f>ROUND((VLOOKUP($B38,ECONACIONAL!$C$7:$AC$219,22,0)),2)</f>
        <v>360</v>
      </c>
      <c r="V38" s="128">
        <f>ROUND((VLOOKUP($B38,ECONACIONAL!$C$7:$AC$219,23,0)),2)</f>
        <v>0</v>
      </c>
      <c r="W38" s="128">
        <f>ROUND((VLOOKUP($B38,ECONACIONAL!$C$7:$AC$219,24,0)),2)</f>
        <v>837.22</v>
      </c>
      <c r="X38" s="128">
        <f>ROUND((VLOOKUP($B38,ECONACIONAL!$C$7:$AC$219,25,0)),2)</f>
        <v>4472.47</v>
      </c>
      <c r="Y38" s="128">
        <f>ROUND((VLOOKUP($B38,ECONACIONAL!$C$7:$AC$219,26,0)),2)</f>
        <v>1786.98</v>
      </c>
      <c r="Z38" s="128">
        <f>ROUND((VLOOKUP($B38,ECONACIONAL!$C$7:$AC$219,27,0)),2)</f>
        <v>2685.49</v>
      </c>
      <c r="AA38" s="279"/>
      <c r="AB38" s="258">
        <v>3006725860101</v>
      </c>
      <c r="AC38" s="266" t="s">
        <v>52</v>
      </c>
    </row>
    <row r="39" spans="1:29">
      <c r="A39" s="1" t="e">
        <f t="shared" si="0"/>
        <v>#REF!</v>
      </c>
      <c r="B39" s="952" t="str">
        <f>+ECONACIONAL!C130</f>
        <v>Dennison Murillo Belkis Carolina</v>
      </c>
      <c r="C39" s="168">
        <v>4580137927</v>
      </c>
      <c r="D39" s="705" t="str">
        <f>+ECONACIONAL!C130</f>
        <v>Dennison Murillo Belkis Carolina</v>
      </c>
      <c r="E39" s="172" t="str">
        <f>VLOOKUP(B39,distribucion!G$8:FP$152,2,0)</f>
        <v>Asistente de Aseguramiento de Calidad</v>
      </c>
      <c r="F39" s="128">
        <f>ROUND((VLOOKUP($B39,ECONACIONAL!$C$5:$AC$219,4,0)),2)</f>
        <v>30</v>
      </c>
      <c r="G39" s="128">
        <f>ROUND((VLOOKUP($B39,ECONACIONAL!$C$7:$AC$219,6,0)),2)</f>
        <v>4800</v>
      </c>
      <c r="H39" s="128">
        <f>ROUND((VLOOKUP($B39,ECONACIONAL!$C$7:$AC$219,7,0)),2)</f>
        <v>1000</v>
      </c>
      <c r="I39" s="128">
        <f>ROUND((VLOOKUP($B39,ECONACIONAL!$C$7:$AC$219,9,0)),2)</f>
        <v>11</v>
      </c>
      <c r="J39" s="128">
        <f>ROUND((VLOOKUP($B39,ECONACIONAL!$C$7:$AC$219,10,0)),2)</f>
        <v>330</v>
      </c>
      <c r="K39" s="128">
        <f>ROUND((VLOOKUP($B39,ECONACIONAL!$C$7:$AC$219,11,0)),2)</f>
        <v>0</v>
      </c>
      <c r="L39" s="128">
        <f>ROUND((VLOOKUP($B39,ECONACIONAL!$C$7:$AC$219,12,0)),2)</f>
        <v>0</v>
      </c>
      <c r="M39" s="128">
        <f>ROUND((VLOOKUP($B39,ECONACIONAL!$C$7:$AC$219,14,0)),2)</f>
        <v>0</v>
      </c>
      <c r="N39" s="128">
        <f>ROUND((VLOOKUP($B39,ECONACIONAL!$C$7:$AC$219,15,0)),2)</f>
        <v>6130</v>
      </c>
      <c r="O39" s="128">
        <f>ROUND((VLOOKUP($B39,ECONACIONAL!$C$7:$AC$219,16,0)),2)</f>
        <v>247.78</v>
      </c>
      <c r="P39" s="128">
        <f>ROUND((VLOOKUP($B39,ECONACIONAL!$C$7:$AC$219,17,0)),2)</f>
        <v>156</v>
      </c>
      <c r="Q39" s="128">
        <f>ROUND((VLOOKUP($B39,ECONACIONAL!$C$7:$AC$219,18,0)),2)</f>
        <v>0</v>
      </c>
      <c r="R39" s="128">
        <f>ROUND((VLOOKUP($B39,ECONACIONAL!$C$7:$AC$219,19,0)),2)</f>
        <v>0</v>
      </c>
      <c r="S39" s="128">
        <f>ROUND((VLOOKUP($B39,ECONACIONAL!$C$7:$AC$219,20,0)),2)</f>
        <v>0</v>
      </c>
      <c r="T39" s="128">
        <f>ROUND((VLOOKUP($B39,ECONACIONAL!$C$7:$AC$219,21,0)),2)</f>
        <v>0</v>
      </c>
      <c r="U39" s="128">
        <f>ROUND((VLOOKUP($B39,ECONACIONAL!$C$7:$AC$219,22,0)),2)</f>
        <v>0</v>
      </c>
      <c r="V39" s="128">
        <f>ROUND((VLOOKUP($B39,ECONACIONAL!$C$7:$AC$219,23,0)),2)</f>
        <v>0</v>
      </c>
      <c r="W39" s="128">
        <f>ROUND((VLOOKUP($B39,ECONACIONAL!$C$7:$AC$219,24,0)),2)</f>
        <v>403.78</v>
      </c>
      <c r="X39" s="128">
        <f>ROUND((VLOOKUP($B39,ECONACIONAL!$C$7:$AC$219,25,0)),2)</f>
        <v>5726.22</v>
      </c>
      <c r="Y39" s="128">
        <f>ROUND((VLOOKUP($B39,ECONACIONAL!$C$7:$AC$219,26,0)),2)</f>
        <v>2711.08</v>
      </c>
      <c r="Z39" s="128">
        <f>ROUND((VLOOKUP($B39,ECONACIONAL!$C$7:$AC$219,27,0)),2)</f>
        <v>3015.14</v>
      </c>
      <c r="AA39" s="279"/>
      <c r="AB39" s="258">
        <v>3006725860101</v>
      </c>
      <c r="AC39" s="266" t="s">
        <v>52</v>
      </c>
    </row>
    <row r="40" spans="1:29">
      <c r="A40" s="1" t="e">
        <f t="shared" si="0"/>
        <v>#REF!</v>
      </c>
      <c r="B40" s="952" t="str">
        <f>+ECONACIONAL!C93</f>
        <v>Ramos Pineda Alan Fernando</v>
      </c>
      <c r="C40" s="168">
        <v>3800099024</v>
      </c>
      <c r="D40" s="705" t="str">
        <f>+ECONACIONAL!C93</f>
        <v>Ramos Pineda Alan Fernando</v>
      </c>
      <c r="E40" s="172" t="str">
        <f>VLOOKUP(B40,distribucion!G$8:FP$152,2,0)</f>
        <v>Jefe de Logistica y Bodega</v>
      </c>
      <c r="F40" s="128">
        <f>ROUND((VLOOKUP($B40,ECONACIONAL!$C$5:$AC$219,4,0)),2)</f>
        <v>30</v>
      </c>
      <c r="G40" s="128">
        <f>ROUND((VLOOKUP($B40,ECONACIONAL!$C$7:$AC$219,6,0)),2)</f>
        <v>5500</v>
      </c>
      <c r="H40" s="128">
        <f>ROUND((VLOOKUP($B40,ECONACIONAL!$C$7:$AC$219,7,0)),2)</f>
        <v>4500</v>
      </c>
      <c r="I40" s="128">
        <f>ROUND((VLOOKUP($B40,ECONACIONAL!$C$7:$AC$219,9,0)),2)</f>
        <v>0</v>
      </c>
      <c r="J40" s="128">
        <f>ROUND((VLOOKUP($B40,ECONACIONAL!$C$7:$AC$219,10,0)),2)</f>
        <v>0</v>
      </c>
      <c r="K40" s="128">
        <f>ROUND((VLOOKUP($B40,ECONACIONAL!$C$7:$AC$219,11,0)),2)</f>
        <v>0</v>
      </c>
      <c r="L40" s="128">
        <f>ROUND((VLOOKUP($B40,ECONACIONAL!$C$7:$AC$219,12,0)),2)</f>
        <v>0</v>
      </c>
      <c r="M40" s="128">
        <f>ROUND((VLOOKUP($B40,ECONACIONAL!$C$7:$AC$219,14,0)),2)</f>
        <v>0</v>
      </c>
      <c r="N40" s="128">
        <f>ROUND((VLOOKUP($B40,ECONACIONAL!$C$7:$AC$219,15,0)),2)</f>
        <v>10000</v>
      </c>
      <c r="O40" s="128">
        <f>ROUND((VLOOKUP($B40,ECONACIONAL!$C$7:$AC$219,16,0)),2)</f>
        <v>265.64999999999998</v>
      </c>
      <c r="P40" s="128">
        <f>ROUND((VLOOKUP($B40,ECONACIONAL!$C$7:$AC$219,17,0)),2)</f>
        <v>199.22</v>
      </c>
      <c r="Q40" s="128">
        <f>ROUND((VLOOKUP($B40,ECONACIONAL!$C$7:$AC$219,18,0)),2)</f>
        <v>0</v>
      </c>
      <c r="R40" s="128">
        <f>ROUND((VLOOKUP($B40,ECONACIONAL!$C$7:$AC$219,19,0)),2)</f>
        <v>0</v>
      </c>
      <c r="S40" s="128">
        <f>ROUND((VLOOKUP($B40,ECONACIONAL!$C$7:$AC$219,20,0)),2)</f>
        <v>0</v>
      </c>
      <c r="T40" s="128">
        <f>ROUND((VLOOKUP($B40,ECONACIONAL!$C$7:$AC$219,21,0)),2)</f>
        <v>0</v>
      </c>
      <c r="U40" s="128">
        <f>ROUND((VLOOKUP($B40,ECONACIONAL!$C$7:$AC$219,22,0)),2)</f>
        <v>0</v>
      </c>
      <c r="V40" s="128">
        <f>ROUND((VLOOKUP($B40,ECONACIONAL!$C$7:$AC$219,23,0)),2)</f>
        <v>0</v>
      </c>
      <c r="W40" s="128">
        <f>ROUND((VLOOKUP($B40,ECONACIONAL!$C$7:$AC$219,24,0)),2)</f>
        <v>464.87</v>
      </c>
      <c r="X40" s="128">
        <f>ROUND((VLOOKUP($B40,ECONACIONAL!$C$7:$AC$219,25,0)),2)</f>
        <v>9535.1299999999992</v>
      </c>
      <c r="Y40" s="128">
        <f>ROUND((VLOOKUP($B40,ECONACIONAL!$C$7:$AC$219,26,0)),2)</f>
        <v>5267.56</v>
      </c>
      <c r="Z40" s="128">
        <f>ROUND((VLOOKUP($B40,ECONACIONAL!$C$7:$AC$219,27,0)),2)</f>
        <v>4267.57</v>
      </c>
      <c r="AA40" s="279"/>
      <c r="AB40" s="258">
        <v>3006725860101</v>
      </c>
      <c r="AC40" s="266" t="s">
        <v>52</v>
      </c>
    </row>
    <row r="41" spans="1:29">
      <c r="A41" s="1" t="e">
        <f t="shared" si="0"/>
        <v>#REF!</v>
      </c>
      <c r="B41" s="952" t="str">
        <f>+ECONACIONAL!C100</f>
        <v>Quevedo Turcios Julio Cesar</v>
      </c>
      <c r="C41" s="168" t="s">
        <v>741</v>
      </c>
      <c r="D41" s="705" t="str">
        <f>+ECONACIONAL!C100</f>
        <v>Quevedo Turcios Julio Cesar</v>
      </c>
      <c r="E41" s="172" t="str">
        <f>VLOOKUP(B41,distribucion!G$8:FP$152,2,0)</f>
        <v>Auxiliar de Bodega</v>
      </c>
      <c r="F41" s="128">
        <f>ROUND((VLOOKUP($B41,ECONACIONAL!$C$5:$AC$219,4,0)),2)</f>
        <v>30</v>
      </c>
      <c r="G41" s="128">
        <f>ROUND((VLOOKUP($B41,ECONACIONAL!$C$7:$AC$219,6,0)),2)</f>
        <v>4002.28</v>
      </c>
      <c r="H41" s="128">
        <f>ROUND((VLOOKUP($B41,ECONACIONAL!$C$7:$AC$219,7,0)),2)</f>
        <v>432.49</v>
      </c>
      <c r="I41" s="128">
        <f>ROUND((VLOOKUP($B41,ECONACIONAL!$C$7:$AC$219,9,0)),2)</f>
        <v>1</v>
      </c>
      <c r="J41" s="128">
        <f>ROUND((VLOOKUP($B41,ECONACIONAL!$C$7:$AC$219,10,0)),2)</f>
        <v>25.01</v>
      </c>
      <c r="K41" s="128">
        <f>ROUND((VLOOKUP($B41,ECONACIONAL!$C$7:$AC$219,11,0)),2)</f>
        <v>0</v>
      </c>
      <c r="L41" s="128">
        <f>ROUND((VLOOKUP($B41,ECONACIONAL!$C$7:$AC$219,12,0)),2)</f>
        <v>0</v>
      </c>
      <c r="M41" s="128">
        <f>ROUND((VLOOKUP($B41,ECONACIONAL!$C$7:$AC$219,14,0)),2)</f>
        <v>0</v>
      </c>
      <c r="N41" s="128">
        <f>ROUND((VLOOKUP($B41,ECONACIONAL!$C$7:$AC$219,15,0)),2)</f>
        <v>4459.78</v>
      </c>
      <c r="O41" s="128">
        <f>ROUND((VLOOKUP($B41,ECONACIONAL!$C$7:$AC$219,16,0)),2)</f>
        <v>194.52</v>
      </c>
      <c r="P41" s="128">
        <f>ROUND((VLOOKUP($B41,ECONACIONAL!$C$7:$AC$219,17,0)),2)</f>
        <v>0</v>
      </c>
      <c r="Q41" s="128">
        <f>ROUND((VLOOKUP($B41,ECONACIONAL!$C$7:$AC$219,18,0)),2)</f>
        <v>0</v>
      </c>
      <c r="R41" s="128">
        <f>ROUND((VLOOKUP($B41,ECONACIONAL!$C$7:$AC$219,19,0)),2)</f>
        <v>0</v>
      </c>
      <c r="S41" s="128">
        <f>ROUND((VLOOKUP($B41,ECONACIONAL!$C$7:$AC$219,20,0)),2)</f>
        <v>0</v>
      </c>
      <c r="T41" s="128">
        <f>ROUND((VLOOKUP($B41,ECONACIONAL!$C$7:$AC$219,21,0)),2)</f>
        <v>0</v>
      </c>
      <c r="U41" s="128">
        <f>ROUND((VLOOKUP($B41,ECONACIONAL!$C$7:$AC$219,22,0)),2)</f>
        <v>39.5</v>
      </c>
      <c r="V41" s="128">
        <f>ROUND((VLOOKUP($B41,ECONACIONAL!$C$7:$AC$219,23,0)),2)</f>
        <v>0</v>
      </c>
      <c r="W41" s="128">
        <f>ROUND((VLOOKUP($B41,ECONACIONAL!$C$7:$AC$219,24,0)),2)</f>
        <v>234.02</v>
      </c>
      <c r="X41" s="128">
        <f>ROUND((VLOOKUP($B41,ECONACIONAL!$C$7:$AC$219,25,0)),2)</f>
        <v>4225.76</v>
      </c>
      <c r="Y41" s="128">
        <f>ROUND((VLOOKUP($B41,ECONACIONAL!$C$7:$AC$219,26,0)),2)</f>
        <v>1989.98</v>
      </c>
      <c r="Z41" s="128">
        <f>ROUND((VLOOKUP($B41,ECONACIONAL!$C$7:$AC$219,27,0)),2)</f>
        <v>2235.7800000000002</v>
      </c>
      <c r="AA41" s="279"/>
      <c r="AB41" s="258">
        <v>3006725860101</v>
      </c>
      <c r="AC41" s="266" t="s">
        <v>52</v>
      </c>
    </row>
    <row r="42" spans="1:29">
      <c r="A42" s="1" t="e">
        <f t="shared" si="0"/>
        <v>#REF!</v>
      </c>
      <c r="B42" s="952" t="str">
        <f>+ECONACIONAL!C133</f>
        <v>Garcia Lopez Bianca Magdalena</v>
      </c>
      <c r="C42" s="168">
        <v>3450069434</v>
      </c>
      <c r="D42" s="705" t="str">
        <f>+ECONACIONAL!C133</f>
        <v>Garcia Lopez Bianca Magdalena</v>
      </c>
      <c r="E42" s="172" t="str">
        <f>VLOOKUP(B42,distribucion!G$8:FP$152,2,0)</f>
        <v>Asistente de Control de Calidad</v>
      </c>
      <c r="F42" s="128">
        <f>ROUND((VLOOKUP($B42,ECONACIONAL!$C$5:$AC$219,4,0)),2)</f>
        <v>25</v>
      </c>
      <c r="G42" s="128">
        <f>ROUND((VLOOKUP($B42,ECONACIONAL!$C$7:$AC$219,6,0)),2)</f>
        <v>3656.29</v>
      </c>
      <c r="H42" s="128">
        <f>ROUND((VLOOKUP($B42,ECONACIONAL!$C$7:$AC$219,7,0)),2)</f>
        <v>927.04</v>
      </c>
      <c r="I42" s="128">
        <f>ROUND((VLOOKUP($B42,ECONACIONAL!$C$7:$AC$219,9,0)),2)</f>
        <v>10.5</v>
      </c>
      <c r="J42" s="128">
        <f>ROUND((VLOOKUP($B42,ECONACIONAL!$C$7:$AC$219,10,0)),2)</f>
        <v>287.93</v>
      </c>
      <c r="K42" s="128">
        <f>ROUND((VLOOKUP($B42,ECONACIONAL!$C$7:$AC$219,11,0)),2)</f>
        <v>0</v>
      </c>
      <c r="L42" s="128">
        <f>ROUND((VLOOKUP($B42,ECONACIONAL!$C$7:$AC$219,12,0)),2)</f>
        <v>0</v>
      </c>
      <c r="M42" s="128">
        <f>ROUND((VLOOKUP($B42,ECONACIONAL!$C$7:$AC$219,14,0)),2)</f>
        <v>0</v>
      </c>
      <c r="N42" s="128">
        <f>ROUND((VLOOKUP($B42,ECONACIONAL!$C$7:$AC$219,15,0)),2)</f>
        <v>4871.26</v>
      </c>
      <c r="O42" s="128">
        <f>ROUND((VLOOKUP($B42,ECONACIONAL!$C$7:$AC$219,16,0)),2)</f>
        <v>190.51</v>
      </c>
      <c r="P42" s="128">
        <f>ROUND((VLOOKUP($B42,ECONACIONAL!$C$7:$AC$219,17,0)),2)</f>
        <v>0</v>
      </c>
      <c r="Q42" s="128">
        <f>ROUND((VLOOKUP($B42,ECONACIONAL!$C$7:$AC$219,18,0)),2)</f>
        <v>0</v>
      </c>
      <c r="R42" s="128">
        <f>ROUND((VLOOKUP($B42,ECONACIONAL!$C$7:$AC$219,19,0)),2)</f>
        <v>0</v>
      </c>
      <c r="S42" s="128">
        <f>ROUND((VLOOKUP($B42,ECONACIONAL!$C$7:$AC$219,20,0)),2)</f>
        <v>0</v>
      </c>
      <c r="T42" s="128">
        <f>ROUND((VLOOKUP($B42,ECONACIONAL!$C$7:$AC$219,21,0)),2)</f>
        <v>0</v>
      </c>
      <c r="U42" s="128">
        <f>ROUND((VLOOKUP($B42,ECONACIONAL!$C$7:$AC$219,22,0)),2)</f>
        <v>0</v>
      </c>
      <c r="V42" s="128">
        <f>ROUND((VLOOKUP($B42,ECONACIONAL!$C$7:$AC$219,23,0)),2)</f>
        <v>0</v>
      </c>
      <c r="W42" s="128">
        <f>ROUND((VLOOKUP($B42,ECONACIONAL!$C$7:$AC$219,24,0)),2)</f>
        <v>190.51</v>
      </c>
      <c r="X42" s="128">
        <f>ROUND((VLOOKUP($B42,ECONACIONAL!$C$7:$AC$219,25,0)),2)</f>
        <v>4680.75</v>
      </c>
      <c r="Y42" s="128">
        <f>ROUND((VLOOKUP($B42,ECONACIONAL!$C$7:$AC$219,26,0)),2)</f>
        <v>1762.7</v>
      </c>
      <c r="Z42" s="128">
        <f>ROUND((VLOOKUP($B42,ECONACIONAL!$C$7:$AC$219,27,0)),2)</f>
        <v>2918.05</v>
      </c>
      <c r="AA42" s="279"/>
      <c r="AB42" s="258">
        <v>3006725860101</v>
      </c>
      <c r="AC42" s="266" t="s">
        <v>52</v>
      </c>
    </row>
    <row r="43" spans="1:29">
      <c r="A43" s="1" t="e">
        <f t="shared" si="0"/>
        <v>#REF!</v>
      </c>
      <c r="B43" s="952" t="str">
        <f>+ECONACIONAL!C152</f>
        <v>Jacome Galindo Francisco</v>
      </c>
      <c r="C43" s="168">
        <v>1940064205</v>
      </c>
      <c r="D43" s="705" t="str">
        <f>+ECONACIONAL!C152</f>
        <v>Jacome Galindo Francisco</v>
      </c>
      <c r="E43" s="172" t="str">
        <f>VLOOKUP(B43,distribucion!G$8:FP$152,2,0)</f>
        <v>Gerente de Operaciones</v>
      </c>
      <c r="F43" s="128">
        <f>ROUND((VLOOKUP($B43,ECONACIONAL!$C$5:$AC$219,4,0)),2)</f>
        <v>30</v>
      </c>
      <c r="G43" s="128">
        <f>ROUND((VLOOKUP($B43,ECONACIONAL!$C$7:$AC$219,6,0)),2)</f>
        <v>19000</v>
      </c>
      <c r="H43" s="128">
        <f>ROUND((VLOOKUP($B43,ECONACIONAL!$C$7:$AC$219,7,0)),2)</f>
        <v>5000</v>
      </c>
      <c r="I43" s="128">
        <f>ROUND((VLOOKUP($B43,ECONACIONAL!$C$7:$AC$219,9,0)),2)</f>
        <v>0</v>
      </c>
      <c r="J43" s="128">
        <f>ROUND((VLOOKUP($B43,ECONACIONAL!$C$7:$AC$219,10,0)),2)</f>
        <v>0</v>
      </c>
      <c r="K43" s="128">
        <f>ROUND((VLOOKUP($B43,ECONACIONAL!$C$7:$AC$219,11,0)),2)</f>
        <v>0</v>
      </c>
      <c r="L43" s="128">
        <f>ROUND((VLOOKUP($B43,ECONACIONAL!$C$7:$AC$219,12,0)),2)</f>
        <v>0</v>
      </c>
      <c r="M43" s="128">
        <f>ROUND((VLOOKUP($B43,ECONACIONAL!$C$7:$AC$219,14,0)),2)</f>
        <v>0</v>
      </c>
      <c r="N43" s="128">
        <f>ROUND((VLOOKUP($B43,ECONACIONAL!$C$7:$AC$219,15,0)),2)</f>
        <v>24000</v>
      </c>
      <c r="O43" s="128">
        <f>ROUND((VLOOKUP($B43,ECONACIONAL!$C$7:$AC$219,16,0)),2)</f>
        <v>917.7</v>
      </c>
      <c r="P43" s="128">
        <f>ROUND((VLOOKUP($B43,ECONACIONAL!$C$7:$AC$219,17,0)),2)</f>
        <v>1144.94</v>
      </c>
      <c r="Q43" s="128">
        <f>ROUND((VLOOKUP($B43,ECONACIONAL!$C$7:$AC$219,18,0)),2)</f>
        <v>0</v>
      </c>
      <c r="R43" s="128">
        <f>ROUND((VLOOKUP($B43,ECONACIONAL!$C$7:$AC$219,19,0)),2)</f>
        <v>0</v>
      </c>
      <c r="S43" s="128">
        <f>ROUND((VLOOKUP($B43,ECONACIONAL!$C$7:$AC$219,20,0)),2)</f>
        <v>0</v>
      </c>
      <c r="T43" s="128">
        <f>ROUND((VLOOKUP($B43,ECONACIONAL!$C$7:$AC$219,21,0)),2)</f>
        <v>0</v>
      </c>
      <c r="U43" s="128">
        <f>ROUND((VLOOKUP($B43,ECONACIONAL!$C$7:$AC$219,22,0)),2)</f>
        <v>0</v>
      </c>
      <c r="V43" s="128">
        <f>ROUND((VLOOKUP($B43,ECONACIONAL!$C$7:$AC$219,23,0)),2)</f>
        <v>0</v>
      </c>
      <c r="W43" s="128">
        <f>ROUND((VLOOKUP($B43,ECONACIONAL!$C$7:$AC$219,24,0)),2)</f>
        <v>2062.64</v>
      </c>
      <c r="X43" s="128">
        <f>ROUND((VLOOKUP($B43,ECONACIONAL!$C$7:$AC$219,25,0)),2)</f>
        <v>21937.360000000001</v>
      </c>
      <c r="Y43" s="128">
        <f>ROUND((VLOOKUP($B43,ECONACIONAL!$C$7:$AC$219,26,0)),2)</f>
        <v>10968.68</v>
      </c>
      <c r="Z43" s="128">
        <f>ROUND((VLOOKUP($B43,ECONACIONAL!$C$7:$AC$219,27,0)),2)</f>
        <v>10968.68</v>
      </c>
      <c r="AA43" s="279"/>
      <c r="AB43" s="258">
        <v>3006725860101</v>
      </c>
      <c r="AC43" s="266" t="s">
        <v>52</v>
      </c>
    </row>
    <row r="44" spans="1:29">
      <c r="A44" s="1" t="e">
        <f t="shared" si="0"/>
        <v>#REF!</v>
      </c>
      <c r="B44" s="952" t="str">
        <f>+distribucion!G104</f>
        <v>Gonzalez Hernandez Luis Roberto</v>
      </c>
      <c r="C44" s="168">
        <v>5550024276</v>
      </c>
      <c r="D44" s="705" t="str">
        <f>+ECONACIONAL!C115</f>
        <v>Gonzalez Hernandez Luis Roberto</v>
      </c>
      <c r="E44" s="172" t="str">
        <f>VLOOKUP(B44,distribucion!G$8:FP$152,2,0)</f>
        <v>Gerente de Compras Export e Import</v>
      </c>
      <c r="F44" s="128">
        <f>ROUND((VLOOKUP($B44,ECONACIONAL!$C$5:$AC$219,4,0)),2)</f>
        <v>30</v>
      </c>
      <c r="G44" s="128">
        <f>ROUND((VLOOKUP($B44,ECONACIONAL!$C$7:$AC$219,6,0)),2)</f>
        <v>13000</v>
      </c>
      <c r="H44" s="128">
        <f>ROUND((VLOOKUP($B44,ECONACIONAL!$C$7:$AC$219,7,0)),2)</f>
        <v>2000</v>
      </c>
      <c r="I44" s="128">
        <f>ROUND((VLOOKUP($B44,ECONACIONAL!$C$7:$AC$219,9,0)),2)</f>
        <v>0</v>
      </c>
      <c r="J44" s="128">
        <f>ROUND((VLOOKUP($B44,ECONACIONAL!$C$7:$AC$219,10,0)),2)</f>
        <v>0</v>
      </c>
      <c r="K44" s="128">
        <f>ROUND((VLOOKUP($B44,ECONACIONAL!$C$7:$AC$219,11,0)),2)</f>
        <v>0</v>
      </c>
      <c r="L44" s="128">
        <f>ROUND((VLOOKUP($B44,ECONACIONAL!$C$7:$AC$219,12,0)),2)</f>
        <v>0</v>
      </c>
      <c r="M44" s="128">
        <f>ROUND((VLOOKUP($B44,ECONACIONAL!$C$7:$AC$219,14,0)),2)</f>
        <v>0</v>
      </c>
      <c r="N44" s="128">
        <f>ROUND((VLOOKUP($B44,ECONACIONAL!$C$7:$AC$219,15,0)),2)</f>
        <v>15000</v>
      </c>
      <c r="O44" s="128">
        <f>ROUND((VLOOKUP($B44,ECONACIONAL!$C$7:$AC$219,16,0)),2)</f>
        <v>627.9</v>
      </c>
      <c r="P44" s="128">
        <f>ROUND((VLOOKUP($B44,ECONACIONAL!$C$7:$AC$219,17,0)),2)</f>
        <v>622.33000000000004</v>
      </c>
      <c r="Q44" s="128">
        <f>ROUND((VLOOKUP($B44,ECONACIONAL!$C$7:$AC$219,18,0)),2)</f>
        <v>0</v>
      </c>
      <c r="R44" s="128">
        <f>ROUND((VLOOKUP($B44,ECONACIONAL!$C$7:$AC$219,19,0)),2)</f>
        <v>0</v>
      </c>
      <c r="S44" s="128">
        <f>ROUND((VLOOKUP($B44,ECONACIONAL!$C$7:$AC$219,20,0)),2)</f>
        <v>0</v>
      </c>
      <c r="T44" s="128">
        <f>ROUND((VLOOKUP($B44,ECONACIONAL!$C$7:$AC$219,21,0)),2)</f>
        <v>0</v>
      </c>
      <c r="U44" s="128">
        <f>ROUND((VLOOKUP($B44,ECONACIONAL!$C$7:$AC$219,22,0)),2)</f>
        <v>0</v>
      </c>
      <c r="V44" s="128">
        <f>ROUND((VLOOKUP($B44,ECONACIONAL!$C$7:$AC$219,23,0)),2)</f>
        <v>0</v>
      </c>
      <c r="W44" s="128">
        <f>ROUND((VLOOKUP($B44,ECONACIONAL!$C$7:$AC$219,24,0)),2)</f>
        <v>1250.23</v>
      </c>
      <c r="X44" s="128">
        <f>ROUND((VLOOKUP($B44,ECONACIONAL!$C$7:$AC$219,25,0)),2)</f>
        <v>13749.77</v>
      </c>
      <c r="Y44" s="128">
        <f>ROUND((VLOOKUP($B44,ECONACIONAL!$C$7:$AC$219,26,0)),2)</f>
        <v>6874.88</v>
      </c>
      <c r="Z44" s="128">
        <f>ROUND((VLOOKUP($B44,ECONACIONAL!$C$7:$AC$219,27,0)),2)</f>
        <v>6874.89</v>
      </c>
      <c r="AA44" s="279"/>
      <c r="AB44" s="258">
        <v>3006725860101</v>
      </c>
      <c r="AC44" s="266" t="s">
        <v>52</v>
      </c>
    </row>
    <row r="45" spans="1:29">
      <c r="A45" s="1" t="e">
        <f t="shared" si="0"/>
        <v>#REF!</v>
      </c>
      <c r="B45" s="952" t="str">
        <f>+ECONACIONAL!C108</f>
        <v>Perez Avilez Steven Andre</v>
      </c>
      <c r="C45" s="168" t="s">
        <v>227</v>
      </c>
      <c r="D45" s="705" t="str">
        <f>+ECONACIONAL!C108</f>
        <v>Perez Avilez Steven Andre</v>
      </c>
      <c r="E45" s="172" t="str">
        <f>VLOOKUP(B45,distribucion!G$8:FP$152,2,0)</f>
        <v>Auxiliar de Bodega</v>
      </c>
      <c r="F45" s="128">
        <f>ROUND((VLOOKUP($B45,ECONACIONAL!$C$5:$AC$219,4,0)),2)</f>
        <v>30</v>
      </c>
      <c r="G45" s="128">
        <f>ROUND((VLOOKUP($B45,ECONACIONAL!$C$7:$AC$219,6,0)),2)</f>
        <v>4002.28</v>
      </c>
      <c r="H45" s="128">
        <f>ROUND((VLOOKUP($B45,ECONACIONAL!$C$7:$AC$219,7,0)),2)</f>
        <v>657.5</v>
      </c>
      <c r="I45" s="128">
        <f>ROUND((VLOOKUP($B45,ECONACIONAL!$C$7:$AC$219,9,0)),2)</f>
        <v>7</v>
      </c>
      <c r="J45" s="128">
        <f>ROUND((VLOOKUP($B45,ECONACIONAL!$C$7:$AC$219,10,0)),2)</f>
        <v>175.1</v>
      </c>
      <c r="K45" s="128">
        <f>ROUND((VLOOKUP($B45,ECONACIONAL!$C$7:$AC$219,11,0)),2)</f>
        <v>0</v>
      </c>
      <c r="L45" s="128">
        <f>ROUND((VLOOKUP($B45,ECONACIONAL!$C$7:$AC$219,12,0)),2)</f>
        <v>0</v>
      </c>
      <c r="M45" s="128">
        <f>ROUND((VLOOKUP($B45,ECONACIONAL!$C$7:$AC$219,14,0)),2)</f>
        <v>0</v>
      </c>
      <c r="N45" s="128">
        <f>ROUND((VLOOKUP($B45,ECONACIONAL!$C$7:$AC$219,15,0)),2)</f>
        <v>4834.88</v>
      </c>
      <c r="O45" s="128">
        <f>ROUND((VLOOKUP($B45,ECONACIONAL!$C$7:$AC$219,16,0)),2)</f>
        <v>201.77</v>
      </c>
      <c r="P45" s="128">
        <f>ROUND((VLOOKUP($B45,ECONACIONAL!$C$7:$AC$219,17,0)),2)</f>
        <v>0</v>
      </c>
      <c r="Q45" s="128">
        <f>ROUND((VLOOKUP($B45,ECONACIONAL!$C$7:$AC$219,18,0)),2)</f>
        <v>0</v>
      </c>
      <c r="R45" s="128">
        <f>ROUND((VLOOKUP($B45,ECONACIONAL!$C$7:$AC$219,19,0)),2)</f>
        <v>0</v>
      </c>
      <c r="S45" s="128">
        <f>ROUND((VLOOKUP($B45,ECONACIONAL!$C$7:$AC$219,20,0)),2)</f>
        <v>0</v>
      </c>
      <c r="T45" s="128">
        <f>ROUND((VLOOKUP($B45,ECONACIONAL!$C$7:$AC$219,21,0)),2)</f>
        <v>0</v>
      </c>
      <c r="U45" s="128">
        <f>ROUND((VLOOKUP($B45,ECONACIONAL!$C$7:$AC$219,22,0)),2)</f>
        <v>1195.25</v>
      </c>
      <c r="V45" s="128">
        <f>ROUND((VLOOKUP($B45,ECONACIONAL!$C$7:$AC$219,23,0)),2)</f>
        <v>0</v>
      </c>
      <c r="W45" s="128">
        <f>ROUND((VLOOKUP($B45,ECONACIONAL!$C$7:$AC$219,24,0)),2)</f>
        <v>1397.02</v>
      </c>
      <c r="X45" s="128">
        <f>ROUND((VLOOKUP($B45,ECONACIONAL!$C$7:$AC$219,25,0)),2)</f>
        <v>3437.86</v>
      </c>
      <c r="Y45" s="128">
        <f>ROUND((VLOOKUP($B45,ECONACIONAL!$C$7:$AC$219,26,0)),2)</f>
        <v>1387.98</v>
      </c>
      <c r="Z45" s="128">
        <f>ROUND((VLOOKUP($B45,ECONACIONAL!$C$7:$AC$219,27,0)),2)</f>
        <v>2049.88</v>
      </c>
      <c r="AA45" s="279"/>
      <c r="AB45" s="258">
        <v>3006725860101</v>
      </c>
      <c r="AC45" s="266" t="s">
        <v>52</v>
      </c>
    </row>
    <row r="46" spans="1:29">
      <c r="A46" s="1" t="e">
        <f>+#REF!+1</f>
        <v>#REF!</v>
      </c>
      <c r="B46" s="952" t="str">
        <f>+ECONACIONAL!C51</f>
        <v>Perez Rivera Yoselyn Carolina</v>
      </c>
      <c r="C46" s="168">
        <v>4530240946</v>
      </c>
      <c r="D46" s="705" t="str">
        <f>+ECONACIONAL!C51</f>
        <v>Perez Rivera Yoselyn Carolina</v>
      </c>
      <c r="E46" s="172" t="str">
        <f>VLOOKUP(B46,distribucion!G$8:FP$152,2,0)</f>
        <v>Auxiliar Contable (digitador)</v>
      </c>
      <c r="F46" s="128">
        <f>ROUND((VLOOKUP($B46,ECONACIONAL!$C$5:$AC$219,4,0)),2)</f>
        <v>30</v>
      </c>
      <c r="G46" s="128">
        <f>ROUND((VLOOKUP($B46,ECONACIONAL!$C$7:$AC$219,6,0)),2)</f>
        <v>4002.28</v>
      </c>
      <c r="H46" s="128">
        <f>ROUND((VLOOKUP($B46,ECONACIONAL!$C$7:$AC$219,7,0)),2)</f>
        <v>405.16</v>
      </c>
      <c r="I46" s="128">
        <f>ROUND((VLOOKUP($B46,ECONACIONAL!$C$7:$AC$219,9,0)),2)</f>
        <v>0</v>
      </c>
      <c r="J46" s="128">
        <f>ROUND((VLOOKUP($B46,ECONACIONAL!$C$7:$AC$219,10,0)),2)</f>
        <v>0</v>
      </c>
      <c r="K46" s="128">
        <f>ROUND((VLOOKUP($B46,ECONACIONAL!$C$7:$AC$219,11,0)),2)</f>
        <v>0</v>
      </c>
      <c r="L46" s="128">
        <f>ROUND((VLOOKUP($B46,ECONACIONAL!$C$7:$AC$219,12,0)),2)</f>
        <v>0</v>
      </c>
      <c r="M46" s="128">
        <f>ROUND((VLOOKUP($B46,ECONACIONAL!$C$7:$AC$219,14,0)),2)</f>
        <v>0</v>
      </c>
      <c r="N46" s="128">
        <f>ROUND((VLOOKUP($B46,ECONACIONAL!$C$7:$AC$219,15,0)),2)</f>
        <v>4407.4399999999996</v>
      </c>
      <c r="O46" s="128">
        <f>ROUND((VLOOKUP($B46,ECONACIONAL!$C$7:$AC$219,16,0)),2)</f>
        <v>193.31</v>
      </c>
      <c r="P46" s="128">
        <f>ROUND((VLOOKUP($B46,ECONACIONAL!$C$7:$AC$219,17,0)),2)</f>
        <v>0</v>
      </c>
      <c r="Q46" s="128">
        <f>ROUND((VLOOKUP($B46,ECONACIONAL!$C$7:$AC$219,18,0)),2)</f>
        <v>0</v>
      </c>
      <c r="R46" s="128">
        <f>ROUND((VLOOKUP($B46,ECONACIONAL!$C$7:$AC$219,19,0)),2)</f>
        <v>0</v>
      </c>
      <c r="S46" s="128">
        <f>ROUND((VLOOKUP($B46,ECONACIONAL!$C$7:$AC$219,20,0)),2)</f>
        <v>0</v>
      </c>
      <c r="T46" s="128">
        <f>ROUND((VLOOKUP($B46,ECONACIONAL!$C$7:$AC$219,21,0)),2)</f>
        <v>0</v>
      </c>
      <c r="U46" s="128">
        <f>ROUND((VLOOKUP($B46,ECONACIONAL!$C$7:$AC$219,22,0)),2)</f>
        <v>0</v>
      </c>
      <c r="V46" s="128">
        <f>ROUND((VLOOKUP($B46,ECONACIONAL!$C$7:$AC$219,23,0)),2)</f>
        <v>0</v>
      </c>
      <c r="W46" s="128">
        <f>ROUND((VLOOKUP($B46,ECONACIONAL!$C$7:$AC$219,24,0)),2)</f>
        <v>193.31</v>
      </c>
      <c r="X46" s="128">
        <f>ROUND((VLOOKUP($B46,ECONACIONAL!$C$7:$AC$219,25,0)),2)</f>
        <v>4214.13</v>
      </c>
      <c r="Y46" s="128">
        <f>ROUND((VLOOKUP($B46,ECONACIONAL!$C$7:$AC$219,26,0)),2)</f>
        <v>2107.06</v>
      </c>
      <c r="Z46" s="128">
        <f>ROUND((VLOOKUP($B46,ECONACIONAL!$C$7:$AC$219,27,0)),2)</f>
        <v>2107.0700000000002</v>
      </c>
      <c r="AA46" s="279"/>
      <c r="AB46" s="258">
        <v>3006725860101</v>
      </c>
      <c r="AC46" s="266" t="s">
        <v>52</v>
      </c>
    </row>
    <row r="47" spans="1:29">
      <c r="A47" s="1" t="e">
        <f>+#REF!+1</f>
        <v>#REF!</v>
      </c>
      <c r="B47" s="952" t="str">
        <f>+ECONACIONAL!C42</f>
        <v>Apen Escalante Ami Adriana</v>
      </c>
      <c r="C47" s="168">
        <v>3130198199</v>
      </c>
      <c r="D47" s="705" t="str">
        <f>+ECONACIONAL!C42</f>
        <v>Apen Escalante Ami Adriana</v>
      </c>
      <c r="E47" s="172" t="str">
        <f>VLOOKUP(B47,distribucion!G$8:FP$152,2,0)</f>
        <v>Asistente de Auditoria Interna</v>
      </c>
      <c r="F47" s="128">
        <f>ROUND((VLOOKUP($B47,ECONACIONAL!$C$5:$AC$219,4,0)),2)</f>
        <v>30</v>
      </c>
      <c r="G47" s="128">
        <f>ROUND((VLOOKUP($B47,ECONACIONAL!$C$7:$AC$219,6,0)),2)</f>
        <v>4500</v>
      </c>
      <c r="H47" s="128">
        <f>ROUND((VLOOKUP($B47,ECONACIONAL!$C$7:$AC$219,7,0)),2)</f>
        <v>500</v>
      </c>
      <c r="I47" s="128">
        <f>ROUND((VLOOKUP($B47,ECONACIONAL!$C$7:$AC$219,9,0)),2)</f>
        <v>0</v>
      </c>
      <c r="J47" s="128">
        <f>ROUND((VLOOKUP($B47,ECONACIONAL!$C$7:$AC$219,10,0)),2)</f>
        <v>0</v>
      </c>
      <c r="K47" s="128">
        <f>ROUND((VLOOKUP($B47,ECONACIONAL!$C$7:$AC$219,11,0)),2)</f>
        <v>0</v>
      </c>
      <c r="L47" s="128">
        <f>ROUND((VLOOKUP($B47,ECONACIONAL!$C$7:$AC$219,12,0)),2)</f>
        <v>0</v>
      </c>
      <c r="M47" s="128">
        <f>ROUND((VLOOKUP($B47,ECONACIONAL!$C$7:$AC$219,14,0)),2)</f>
        <v>0</v>
      </c>
      <c r="N47" s="128">
        <f>ROUND((VLOOKUP($B47,ECONACIONAL!$C$7:$AC$219,15,0)),2)</f>
        <v>5000</v>
      </c>
      <c r="O47" s="128">
        <f>ROUND((VLOOKUP($B47,ECONACIONAL!$C$7:$AC$219,16,0)),2)</f>
        <v>217.35</v>
      </c>
      <c r="P47" s="128">
        <f>ROUND((VLOOKUP($B47,ECONACIONAL!$C$7:$AC$219,17,0)),2)</f>
        <v>0</v>
      </c>
      <c r="Q47" s="128">
        <f>ROUND((VLOOKUP($B47,ECONACIONAL!$C$7:$AC$219,18,0)),2)</f>
        <v>0</v>
      </c>
      <c r="R47" s="128">
        <f>ROUND((VLOOKUP($B47,ECONACIONAL!$C$7:$AC$219,19,0)),2)</f>
        <v>0</v>
      </c>
      <c r="S47" s="128">
        <f>ROUND((VLOOKUP($B47,ECONACIONAL!$C$7:$AC$219,20,0)),2)</f>
        <v>0</v>
      </c>
      <c r="T47" s="128">
        <f>ROUND((VLOOKUP($B47,ECONACIONAL!$C$7:$AC$219,21,0)),2)</f>
        <v>0</v>
      </c>
      <c r="U47" s="128">
        <f>ROUND((VLOOKUP($B47,ECONACIONAL!$C$7:$AC$219,22,0)),2)</f>
        <v>0</v>
      </c>
      <c r="V47" s="128">
        <f>ROUND((VLOOKUP($B47,ECONACIONAL!$C$7:$AC$219,23,0)),2)</f>
        <v>140</v>
      </c>
      <c r="W47" s="128">
        <f>ROUND((VLOOKUP($B47,ECONACIONAL!$C$7:$AC$219,24,0)),2)</f>
        <v>357.35</v>
      </c>
      <c r="X47" s="128">
        <f>ROUND((VLOOKUP($B47,ECONACIONAL!$C$7:$AC$219,25,0)),2)</f>
        <v>4642.6499999999996</v>
      </c>
      <c r="Y47" s="128">
        <f>ROUND((VLOOKUP($B47,ECONACIONAL!$C$7:$AC$219,26,0)),2)</f>
        <v>2391.3200000000002</v>
      </c>
      <c r="Z47" s="128">
        <f>ROUND((VLOOKUP($B47,ECONACIONAL!$C$7:$AC$219,27,0)),2)</f>
        <v>2251.33</v>
      </c>
      <c r="AA47" s="279"/>
      <c r="AB47" s="258">
        <v>3006725860101</v>
      </c>
      <c r="AC47" s="266" t="s">
        <v>52</v>
      </c>
    </row>
    <row r="48" spans="1:29">
      <c r="A48" s="1" t="e">
        <f t="shared" si="0"/>
        <v>#REF!</v>
      </c>
      <c r="B48" s="952" t="str">
        <f>+ECONACIONAL!C121</f>
        <v>Zuñiga Gonzalez Elmer David</v>
      </c>
      <c r="C48" s="168" t="s">
        <v>223</v>
      </c>
      <c r="D48" s="705" t="str">
        <f>+ECONACIONAL!C121</f>
        <v>Zuñiga Gonzalez Elmer David</v>
      </c>
      <c r="E48" s="172" t="str">
        <f>VLOOKUP(B48,distribucion!G$8:FP$152,2,0)</f>
        <v>Encargado de Suministros y Servicios</v>
      </c>
      <c r="F48" s="128">
        <f>ROUND((VLOOKUP($B48,ECONACIONAL!$C$5:$AC$219,4,0)),2)</f>
        <v>30</v>
      </c>
      <c r="G48" s="128">
        <f>ROUND((VLOOKUP($B48,ECONACIONAL!$C$7:$AC$219,6,0)),2)</f>
        <v>4002.28</v>
      </c>
      <c r="H48" s="128">
        <f>ROUND((VLOOKUP($B48,ECONACIONAL!$C$7:$AC$219,7,0)),2)</f>
        <v>1973.52</v>
      </c>
      <c r="I48" s="128">
        <f>ROUND((VLOOKUP($B48,ECONACIONAL!$C$7:$AC$219,9,0)),2)</f>
        <v>0</v>
      </c>
      <c r="J48" s="128">
        <f>ROUND((VLOOKUP($B48,ECONACIONAL!$C$7:$AC$219,10,0)),2)</f>
        <v>0</v>
      </c>
      <c r="K48" s="128">
        <f>ROUND((VLOOKUP($B48,ECONACIONAL!$C$7:$AC$219,11,0)),2)</f>
        <v>0</v>
      </c>
      <c r="L48" s="128">
        <f>ROUND((VLOOKUP($B48,ECONACIONAL!$C$7:$AC$219,12,0)),2)</f>
        <v>0</v>
      </c>
      <c r="M48" s="128">
        <f>ROUND((VLOOKUP($B48,ECONACIONAL!$C$7:$AC$219,14,0)),2)</f>
        <v>0</v>
      </c>
      <c r="N48" s="128">
        <f>ROUND((VLOOKUP($B48,ECONACIONAL!$C$7:$AC$219,15,0)),2)</f>
        <v>5975.8</v>
      </c>
      <c r="O48" s="128">
        <f>ROUND((VLOOKUP($B48,ECONACIONAL!$C$7:$AC$219,16,0)),2)</f>
        <v>193.31</v>
      </c>
      <c r="P48" s="128">
        <f>ROUND((VLOOKUP($B48,ECONACIONAL!$C$7:$AC$219,17,0)),2)</f>
        <v>0</v>
      </c>
      <c r="Q48" s="128">
        <f>ROUND((VLOOKUP($B48,ECONACIONAL!$C$7:$AC$219,18,0)),2)</f>
        <v>0</v>
      </c>
      <c r="R48" s="128">
        <f>ROUND((VLOOKUP($B48,ECONACIONAL!$C$7:$AC$219,19,0)),2)</f>
        <v>0</v>
      </c>
      <c r="S48" s="128">
        <f>ROUND((VLOOKUP($B48,ECONACIONAL!$C$7:$AC$219,20,0)),2)</f>
        <v>0</v>
      </c>
      <c r="T48" s="128">
        <f>ROUND((VLOOKUP($B48,ECONACIONAL!$C$7:$AC$219,21,0)),2)</f>
        <v>0</v>
      </c>
      <c r="U48" s="128">
        <f>ROUND((VLOOKUP($B48,ECONACIONAL!$C$7:$AC$219,22,0)),2)</f>
        <v>0</v>
      </c>
      <c r="V48" s="128">
        <f>ROUND((VLOOKUP($B48,ECONACIONAL!$C$7:$AC$219,23,0)),2)</f>
        <v>0</v>
      </c>
      <c r="W48" s="128">
        <f>ROUND((VLOOKUP($B48,ECONACIONAL!$C$7:$AC$219,24,0)),2)</f>
        <v>193.31</v>
      </c>
      <c r="X48" s="128">
        <f>ROUND((VLOOKUP($B48,ECONACIONAL!$C$7:$AC$219,25,0)),2)</f>
        <v>5782.49</v>
      </c>
      <c r="Y48" s="128">
        <f>ROUND((VLOOKUP($B48,ECONACIONAL!$C$7:$AC$219,26,0)),2)</f>
        <v>3379.14</v>
      </c>
      <c r="Z48" s="128">
        <f>ROUND((VLOOKUP($B48,ECONACIONAL!$C$7:$AC$219,27,0)),2)</f>
        <v>2403.35</v>
      </c>
      <c r="AA48" s="279"/>
      <c r="AB48" s="258">
        <v>3006725860101</v>
      </c>
      <c r="AC48" s="266" t="s">
        <v>52</v>
      </c>
    </row>
    <row r="49" spans="1:29">
      <c r="A49" s="1" t="e">
        <f>+#REF!+1</f>
        <v>#REF!</v>
      </c>
      <c r="B49" s="952" t="str">
        <f>+ECONACIONAL!C41</f>
        <v>Roman Morales Mirta de los Angeles</v>
      </c>
      <c r="C49" s="168" t="s">
        <v>223</v>
      </c>
      <c r="D49" s="705" t="str">
        <f>+ECONACIONAL!C41</f>
        <v>Roman Morales Mirta de los Angeles</v>
      </c>
      <c r="E49" s="172" t="str">
        <f>VLOOKUP(B49,distribucion!G$8:FP$152,2,0)</f>
        <v>Operador de Monitoreo</v>
      </c>
      <c r="F49" s="128">
        <f>ROUND((VLOOKUP($B49,ECONACIONAL!$C$5:$AC$219,4,0)),2)</f>
        <v>30</v>
      </c>
      <c r="G49" s="128">
        <f>ROUND((VLOOKUP($B49,ECONACIONAL!$C$7:$AC$219,6,0)),2)</f>
        <v>4200</v>
      </c>
      <c r="H49" s="128">
        <f>ROUND((VLOOKUP($B49,ECONACIONAL!$C$7:$AC$219,7,0)),2)</f>
        <v>250</v>
      </c>
      <c r="I49" s="128">
        <f>ROUND((VLOOKUP($B49,ECONACIONAL!$C$7:$AC$219,9,0)),2)</f>
        <v>0</v>
      </c>
      <c r="J49" s="128">
        <f>ROUND((VLOOKUP($B49,ECONACIONAL!$C$7:$AC$219,10,0)),2)</f>
        <v>0</v>
      </c>
      <c r="K49" s="128">
        <f>ROUND((VLOOKUP($B49,ECONACIONAL!$C$7:$AC$219,11,0)),2)</f>
        <v>0</v>
      </c>
      <c r="L49" s="128">
        <f>ROUND((VLOOKUP($B49,ECONACIONAL!$C$7:$AC$219,12,0)),2)</f>
        <v>0</v>
      </c>
      <c r="M49" s="128">
        <f>ROUND((VLOOKUP($B49,ECONACIONAL!$C$7:$AC$219,14,0)),2)</f>
        <v>0</v>
      </c>
      <c r="N49" s="128">
        <f>ROUND((VLOOKUP($B49,ECONACIONAL!$C$7:$AC$219,15,0)),2)</f>
        <v>4450</v>
      </c>
      <c r="O49" s="128">
        <f>ROUND((VLOOKUP($B49,ECONACIONAL!$C$7:$AC$219,16,0)),2)</f>
        <v>202.86</v>
      </c>
      <c r="P49" s="128">
        <f>ROUND((VLOOKUP($B49,ECONACIONAL!$C$7:$AC$219,17,0)),2)</f>
        <v>0</v>
      </c>
      <c r="Q49" s="128">
        <f>ROUND((VLOOKUP($B49,ECONACIONAL!$C$7:$AC$219,18,0)),2)</f>
        <v>0</v>
      </c>
      <c r="R49" s="128">
        <f>ROUND((VLOOKUP($B49,ECONACIONAL!$C$7:$AC$219,19,0)),2)</f>
        <v>0</v>
      </c>
      <c r="S49" s="128">
        <f>ROUND((VLOOKUP($B49,ECONACIONAL!$C$7:$AC$219,20,0)),2)</f>
        <v>0</v>
      </c>
      <c r="T49" s="128">
        <f>ROUND((VLOOKUP($B49,ECONACIONAL!$C$7:$AC$219,21,0)),2)</f>
        <v>0</v>
      </c>
      <c r="U49" s="128">
        <f>ROUND((VLOOKUP($B49,ECONACIONAL!$C$7:$AC$219,22,0)),2)</f>
        <v>0</v>
      </c>
      <c r="V49" s="128">
        <f>ROUND((VLOOKUP($B49,ECONACIONAL!$C$7:$AC$219,23,0)),2)</f>
        <v>45</v>
      </c>
      <c r="W49" s="128">
        <f>ROUND((VLOOKUP($B49,ECONACIONAL!$C$7:$AC$219,24,0)),2)</f>
        <v>247.86</v>
      </c>
      <c r="X49" s="128">
        <f>ROUND((VLOOKUP($B49,ECONACIONAL!$C$7:$AC$219,25,0)),2)</f>
        <v>4202.1400000000003</v>
      </c>
      <c r="Y49" s="128">
        <f>ROUND((VLOOKUP($B49,ECONACIONAL!$C$7:$AC$219,26,0)),2)</f>
        <v>2123.5700000000002</v>
      </c>
      <c r="Z49" s="128">
        <f>ROUND((VLOOKUP($B49,ECONACIONAL!$C$7:$AC$219,27,0)),2)</f>
        <v>2078.5700000000002</v>
      </c>
      <c r="AA49" s="279"/>
      <c r="AB49" s="258">
        <v>3006725860101</v>
      </c>
      <c r="AC49" s="266" t="s">
        <v>52</v>
      </c>
    </row>
    <row r="50" spans="1:29">
      <c r="A50" s="1" t="e">
        <f>+#REF!+1</f>
        <v>#REF!</v>
      </c>
      <c r="B50" s="952" t="str">
        <f>+ECONACIONAL!C11</f>
        <v>Choc Abrego  Enma Leticia</v>
      </c>
      <c r="C50" s="168">
        <v>6050079893</v>
      </c>
      <c r="D50" s="705" t="str">
        <f>+ECONACIONAL!C11</f>
        <v>Choc Abrego  Enma Leticia</v>
      </c>
      <c r="E50" s="172" t="str">
        <f>VLOOKUP(B50,distribucion!G$8:FP$152,2,0)</f>
        <v>Conserje</v>
      </c>
      <c r="F50" s="128">
        <f>ROUND((VLOOKUP($B50,ECONACIONAL!$C$5:$AC$219,4,0)),2)</f>
        <v>30</v>
      </c>
      <c r="G50" s="128">
        <f>ROUND((VLOOKUP($B50,ECONACIONAL!$C$7:$AC$219,6,0)),2)</f>
        <v>4002.28</v>
      </c>
      <c r="H50" s="128">
        <f>ROUND((VLOOKUP($B50,ECONACIONAL!$C$7:$AC$219,7,0)),2)</f>
        <v>250</v>
      </c>
      <c r="I50" s="128">
        <f>ROUND((VLOOKUP($B50,ECONACIONAL!$C$7:$AC$219,9,0)),2)</f>
        <v>0</v>
      </c>
      <c r="J50" s="128">
        <f>ROUND((VLOOKUP($B50,ECONACIONAL!$C$7:$AC$219,10,0)),2)</f>
        <v>0</v>
      </c>
      <c r="K50" s="128">
        <f>ROUND((VLOOKUP($B50,ECONACIONAL!$C$7:$AC$219,11,0)),2)</f>
        <v>0</v>
      </c>
      <c r="L50" s="128">
        <f>ROUND((VLOOKUP($B50,ECONACIONAL!$C$7:$AC$219,12,0)),2)</f>
        <v>0</v>
      </c>
      <c r="M50" s="128">
        <f>ROUND((VLOOKUP($B50,ECONACIONAL!$C$7:$AC$219,14,0)),2)</f>
        <v>0</v>
      </c>
      <c r="N50" s="128">
        <f>ROUND((VLOOKUP($B50,ECONACIONAL!$C$7:$AC$219,15,0)),2)</f>
        <v>4252.28</v>
      </c>
      <c r="O50" s="128">
        <f>ROUND((VLOOKUP($B50,ECONACIONAL!$C$7:$AC$219,16,0)),2)</f>
        <v>193.31</v>
      </c>
      <c r="P50" s="128">
        <f>ROUND((VLOOKUP($B50,ECONACIONAL!$C$7:$AC$219,17,0)),2)</f>
        <v>0</v>
      </c>
      <c r="Q50" s="128">
        <f>ROUND((VLOOKUP($B50,ECONACIONAL!$C$7:$AC$219,18,0)),2)</f>
        <v>0</v>
      </c>
      <c r="R50" s="128">
        <f>ROUND((VLOOKUP($B50,ECONACIONAL!$C$7:$AC$219,19,0)),2)</f>
        <v>0</v>
      </c>
      <c r="S50" s="128">
        <f>ROUND((VLOOKUP($B50,ECONACIONAL!$C$7:$AC$219,20,0)),2)</f>
        <v>0</v>
      </c>
      <c r="T50" s="128">
        <f>ROUND((VLOOKUP($B50,ECONACIONAL!$C$7:$AC$219,21,0)),2)</f>
        <v>0</v>
      </c>
      <c r="U50" s="128">
        <f>ROUND((VLOOKUP($B50,ECONACIONAL!$C$7:$AC$219,22,0)),2)</f>
        <v>0</v>
      </c>
      <c r="V50" s="128">
        <f>ROUND((VLOOKUP($B50,ECONACIONAL!$C$7:$AC$219,23,0)),2)</f>
        <v>0</v>
      </c>
      <c r="W50" s="128">
        <f>ROUND((VLOOKUP($B50,ECONACIONAL!$C$7:$AC$219,24,0)),2)</f>
        <v>193.31</v>
      </c>
      <c r="X50" s="128">
        <f>ROUND((VLOOKUP($B50,ECONACIONAL!$C$7:$AC$219,25,0)),2)</f>
        <v>4058.97</v>
      </c>
      <c r="Y50" s="128">
        <f>ROUND((VLOOKUP($B50,ECONACIONAL!$C$7:$AC$219,26,0)),2)</f>
        <v>2029.48</v>
      </c>
      <c r="Z50" s="128">
        <f>ROUND((VLOOKUP($B50,ECONACIONAL!$C$7:$AC$219,27,0)),2)</f>
        <v>2029.49</v>
      </c>
      <c r="AA50" s="279"/>
      <c r="AB50" s="258">
        <v>3006725860101</v>
      </c>
      <c r="AC50" s="266" t="s">
        <v>52</v>
      </c>
    </row>
    <row r="51" spans="1:29">
      <c r="A51" s="1" t="e">
        <f>+#REF!+1</f>
        <v>#REF!</v>
      </c>
      <c r="B51" s="952" t="str">
        <f>+ECONACIONAL!C123</f>
        <v>Arguijo Melgar ClaudiaMaria</v>
      </c>
      <c r="C51" s="168">
        <v>140622712</v>
      </c>
      <c r="D51" s="705" t="str">
        <f>+ECONACIONAL!C123</f>
        <v>Arguijo Melgar ClaudiaMaria</v>
      </c>
      <c r="E51" s="172" t="str">
        <f>VLOOKUP(B51,distribucion!G$8:FP$152,2,0)</f>
        <v>Analista de Compras Internacionales</v>
      </c>
      <c r="F51" s="128">
        <f>ROUND((VLOOKUP($B51,ECONACIONAL!$C$5:$AC$219,4,0)),2)</f>
        <v>30</v>
      </c>
      <c r="G51" s="128">
        <f>ROUND((VLOOKUP($B51,ECONACIONAL!$C$7:$AC$219,6,0)),2)</f>
        <v>6500</v>
      </c>
      <c r="H51" s="128">
        <f>ROUND((VLOOKUP($B51,ECONACIONAL!$C$7:$AC$219,7,0)),2)</f>
        <v>1000</v>
      </c>
      <c r="I51" s="128">
        <f>ROUND((VLOOKUP($B51,ECONACIONAL!$C$7:$AC$219,9,0)),2)</f>
        <v>0</v>
      </c>
      <c r="J51" s="128">
        <f>ROUND((VLOOKUP($B51,ECONACIONAL!$C$7:$AC$219,10,0)),2)</f>
        <v>0</v>
      </c>
      <c r="K51" s="128">
        <f>ROUND((VLOOKUP($B51,ECONACIONAL!$C$7:$AC$219,11,0)),2)</f>
        <v>0</v>
      </c>
      <c r="L51" s="128">
        <f>ROUND((VLOOKUP($B51,ECONACIONAL!$C$7:$AC$219,12,0)),2)</f>
        <v>0</v>
      </c>
      <c r="M51" s="128">
        <f>ROUND((VLOOKUP($B51,ECONACIONAL!$C$7:$AC$219,14,0)),2)</f>
        <v>0</v>
      </c>
      <c r="N51" s="128">
        <f>ROUND((VLOOKUP($B51,ECONACIONAL!$C$7:$AC$219,15,0)),2)</f>
        <v>7500</v>
      </c>
      <c r="O51" s="128">
        <f>ROUND((VLOOKUP($B51,ECONACIONAL!$C$7:$AC$219,16,0)),2)</f>
        <v>313.95</v>
      </c>
      <c r="P51" s="128">
        <f>ROUND((VLOOKUP($B51,ECONACIONAL!$C$7:$AC$219,17,0)),2)</f>
        <v>175</v>
      </c>
      <c r="Q51" s="128">
        <f>ROUND((VLOOKUP($B51,ECONACIONAL!$C$7:$AC$219,18,0)),2)</f>
        <v>0</v>
      </c>
      <c r="R51" s="128">
        <f>ROUND((VLOOKUP($B51,ECONACIONAL!$C$7:$AC$219,19,0)),2)</f>
        <v>0</v>
      </c>
      <c r="S51" s="128">
        <f>ROUND((VLOOKUP($B51,ECONACIONAL!$C$7:$AC$219,20,0)),2)</f>
        <v>306.26</v>
      </c>
      <c r="T51" s="128">
        <f>ROUND((VLOOKUP($B51,ECONACIONAL!$C$7:$AC$219,21,0)),2)</f>
        <v>0</v>
      </c>
      <c r="U51" s="128">
        <f>ROUND((VLOOKUP($B51,ECONACIONAL!$C$7:$AC$219,22,0)),2)</f>
        <v>0</v>
      </c>
      <c r="V51" s="128">
        <f>ROUND((VLOOKUP($B51,ECONACIONAL!$C$7:$AC$219,23,0)),2)</f>
        <v>0</v>
      </c>
      <c r="W51" s="128">
        <f>ROUND((VLOOKUP($B51,ECONACIONAL!$C$7:$AC$219,24,0)),2)</f>
        <v>795.21</v>
      </c>
      <c r="X51" s="128">
        <f>ROUND((VLOOKUP($B51,ECONACIONAL!$C$7:$AC$219,25,0)),2)</f>
        <v>6704.79</v>
      </c>
      <c r="Y51" s="128">
        <f>ROUND((VLOOKUP($B51,ECONACIONAL!$C$7:$AC$219,26,0)),2)</f>
        <v>3352.39</v>
      </c>
      <c r="Z51" s="128">
        <f>ROUND((VLOOKUP($B51,ECONACIONAL!$C$7:$AC$219,27,0)),2)</f>
        <v>3352.4</v>
      </c>
      <c r="AA51" s="279"/>
      <c r="AB51" s="258">
        <v>3006725860101</v>
      </c>
      <c r="AC51" s="266" t="s">
        <v>52</v>
      </c>
    </row>
    <row r="52" spans="1:29">
      <c r="A52" s="1" t="e">
        <f>+#REF!+1</f>
        <v>#REF!</v>
      </c>
      <c r="B52" s="952" t="str">
        <f>+ECONACIONAL!C52</f>
        <v>Sumale Pelen Elio Rene</v>
      </c>
      <c r="C52" s="168">
        <v>7870157398</v>
      </c>
      <c r="D52" s="705" t="str">
        <f>+ECONACIONAL!C52</f>
        <v>Sumale Pelen Elio Rene</v>
      </c>
      <c r="E52" s="172" t="str">
        <f>VLOOKUP(B52,distribucion!G$8:FP$152,2,0)</f>
        <v>Contador</v>
      </c>
      <c r="F52" s="128">
        <f>ROUND((VLOOKUP($B52,ECONACIONAL!$C$5:$AC$219,4,0)),2)</f>
        <v>30</v>
      </c>
      <c r="G52" s="128">
        <f>ROUND((VLOOKUP($B52,ECONACIONAL!$C$7:$AC$219,6,0)),2)</f>
        <v>5250</v>
      </c>
      <c r="H52" s="128">
        <f>ROUND((VLOOKUP($B52,ECONACIONAL!$C$7:$AC$219,7,0)),2)</f>
        <v>1750</v>
      </c>
      <c r="I52" s="128">
        <f>ROUND((VLOOKUP($B52,ECONACIONAL!$C$7:$AC$219,9,0)),2)</f>
        <v>0</v>
      </c>
      <c r="J52" s="128">
        <f>ROUND((VLOOKUP($B52,ECONACIONAL!$C$7:$AC$219,10,0)),2)</f>
        <v>0</v>
      </c>
      <c r="K52" s="128">
        <f>ROUND((VLOOKUP($B52,ECONACIONAL!$C$7:$AC$219,11,0)),2)</f>
        <v>0</v>
      </c>
      <c r="L52" s="128">
        <f>ROUND((VLOOKUP($B52,ECONACIONAL!$C$7:$AC$219,12,0)),2)</f>
        <v>0</v>
      </c>
      <c r="M52" s="128">
        <f>ROUND((VLOOKUP($B52,ECONACIONAL!$C$7:$AC$219,14,0)),2)</f>
        <v>0</v>
      </c>
      <c r="N52" s="128">
        <f>ROUND((VLOOKUP($B52,ECONACIONAL!$C$7:$AC$219,15,0)),2)</f>
        <v>7000</v>
      </c>
      <c r="O52" s="128">
        <f>ROUND((VLOOKUP($B52,ECONACIONAL!$C$7:$AC$219,16,0)),2)</f>
        <v>253.58</v>
      </c>
      <c r="P52" s="128">
        <f>ROUND((VLOOKUP($B52,ECONACIONAL!$C$7:$AC$219,17,0)),2)</f>
        <v>178</v>
      </c>
      <c r="Q52" s="128">
        <f>ROUND((VLOOKUP($B52,ECONACIONAL!$C$7:$AC$219,18,0)),2)</f>
        <v>0</v>
      </c>
      <c r="R52" s="128">
        <f>ROUND((VLOOKUP($B52,ECONACIONAL!$C$7:$AC$219,19,0)),2)</f>
        <v>0</v>
      </c>
      <c r="S52" s="128">
        <f>ROUND((VLOOKUP($B52,ECONACIONAL!$C$7:$AC$219,20,0)),2)</f>
        <v>0</v>
      </c>
      <c r="T52" s="128">
        <f>ROUND((VLOOKUP($B52,ECONACIONAL!$C$7:$AC$219,21,0)),2)</f>
        <v>0</v>
      </c>
      <c r="U52" s="128">
        <f>ROUND((VLOOKUP($B52,ECONACIONAL!$C$7:$AC$219,22,0)),2)</f>
        <v>0</v>
      </c>
      <c r="V52" s="128">
        <f>ROUND((VLOOKUP($B52,ECONACIONAL!$C$7:$AC$219,23,0)),2)</f>
        <v>0</v>
      </c>
      <c r="W52" s="128">
        <f>ROUND((VLOOKUP($B52,ECONACIONAL!$C$7:$AC$219,24,0)),2)</f>
        <v>431.58</v>
      </c>
      <c r="X52" s="128">
        <f>ROUND((VLOOKUP($B52,ECONACIONAL!$C$7:$AC$219,25,0)),2)</f>
        <v>6568.42</v>
      </c>
      <c r="Y52" s="128">
        <f>ROUND((VLOOKUP($B52,ECONACIONAL!$C$7:$AC$219,26,0)),2)</f>
        <v>3284.21</v>
      </c>
      <c r="Z52" s="128">
        <f>ROUND((VLOOKUP($B52,ECONACIONAL!$C$7:$AC$219,27,0)),2)</f>
        <v>3284.21</v>
      </c>
      <c r="AA52" s="279"/>
      <c r="AB52" s="258">
        <v>3006725860101</v>
      </c>
      <c r="AC52" s="266" t="s">
        <v>52</v>
      </c>
    </row>
    <row r="53" spans="1:29">
      <c r="A53" s="1" t="e">
        <f>+#REF!+1</f>
        <v>#REF!</v>
      </c>
      <c r="B53" s="952" t="str">
        <f>+ECONACIONAL!C118</f>
        <v>Toledo Medrano Khrista Sarai</v>
      </c>
      <c r="C53" s="168" t="s">
        <v>223</v>
      </c>
      <c r="D53" s="705" t="str">
        <f>+ECONACIONAL!C118</f>
        <v>Toledo Medrano Khrista Sarai</v>
      </c>
      <c r="E53" s="172" t="str">
        <f>VLOOKUP(B53,distribucion!G$8:FP$152,2,0)</f>
        <v>Aux Comercio Exterior</v>
      </c>
      <c r="F53" s="128">
        <f>ROUND((VLOOKUP($B53,ECONACIONAL!$C$5:$AC$219,4,0)),2)</f>
        <v>27</v>
      </c>
      <c r="G53" s="128">
        <f>ROUND((VLOOKUP($B53,ECONACIONAL!$C$7:$AC$219,6,0)),2)</f>
        <v>3825</v>
      </c>
      <c r="H53" s="128">
        <f>ROUND((VLOOKUP($B53,ECONACIONAL!$C$7:$AC$219,7,0)),2)</f>
        <v>675</v>
      </c>
      <c r="I53" s="128">
        <f>ROUND((VLOOKUP($B53,ECONACIONAL!$C$7:$AC$219,9,0)),2)</f>
        <v>0</v>
      </c>
      <c r="J53" s="128">
        <f>ROUND((VLOOKUP($B53,ECONACIONAL!$C$7:$AC$219,10,0)),2)</f>
        <v>0</v>
      </c>
      <c r="K53" s="128">
        <f>ROUND((VLOOKUP($B53,ECONACIONAL!$C$7:$AC$219,11,0)),2)</f>
        <v>0</v>
      </c>
      <c r="L53" s="128">
        <f>ROUND((VLOOKUP($B53,ECONACIONAL!$C$7:$AC$219,12,0)),2)</f>
        <v>0</v>
      </c>
      <c r="M53" s="128">
        <f>ROUND((VLOOKUP($B53,ECONACIONAL!$C$7:$AC$219,14,0)),2)</f>
        <v>0</v>
      </c>
      <c r="N53" s="128">
        <f>ROUND((VLOOKUP($B53,ECONACIONAL!$C$7:$AC$219,15,0)),2)</f>
        <v>4500</v>
      </c>
      <c r="O53" s="128">
        <f>ROUND((VLOOKUP($B53,ECONACIONAL!$C$7:$AC$219,16,0)),2)</f>
        <v>184.75</v>
      </c>
      <c r="P53" s="128">
        <f>ROUND((VLOOKUP($B53,ECONACIONAL!$C$7:$AC$219,17,0)),2)</f>
        <v>0</v>
      </c>
      <c r="Q53" s="128">
        <f>ROUND((VLOOKUP($B53,ECONACIONAL!$C$7:$AC$219,18,0)),2)</f>
        <v>0</v>
      </c>
      <c r="R53" s="128">
        <f>ROUND((VLOOKUP($B53,ECONACIONAL!$C$7:$AC$219,19,0)),2)</f>
        <v>0</v>
      </c>
      <c r="S53" s="128">
        <f>ROUND((VLOOKUP($B53,ECONACIONAL!$C$7:$AC$219,20,0)),2)</f>
        <v>0</v>
      </c>
      <c r="T53" s="128">
        <f>ROUND((VLOOKUP($B53,ECONACIONAL!$C$7:$AC$219,21,0)),2)</f>
        <v>0</v>
      </c>
      <c r="U53" s="128">
        <f>ROUND((VLOOKUP($B53,ECONACIONAL!$C$7:$AC$219,22,0)),2)</f>
        <v>0</v>
      </c>
      <c r="V53" s="128">
        <f>ROUND((VLOOKUP($B53,ECONACIONAL!$C$7:$AC$219,23,0)),2)</f>
        <v>0</v>
      </c>
      <c r="W53" s="128">
        <f>ROUND((VLOOKUP($B53,ECONACIONAL!$C$7:$AC$219,24,0)),2)</f>
        <v>184.75</v>
      </c>
      <c r="X53" s="128">
        <f>ROUND((VLOOKUP($B53,ECONACIONAL!$C$7:$AC$219,25,0)),2)</f>
        <v>4315.25</v>
      </c>
      <c r="Y53" s="128">
        <f>ROUND((VLOOKUP($B53,ECONACIONAL!$C$7:$AC$219,26,0)),2)</f>
        <v>1917.89</v>
      </c>
      <c r="Z53" s="128">
        <f>ROUND((VLOOKUP($B53,ECONACIONAL!$C$7:$AC$219,27,0)),2)</f>
        <v>2397.36</v>
      </c>
      <c r="AA53" s="279"/>
      <c r="AB53" s="258">
        <v>3006725860101</v>
      </c>
      <c r="AC53" s="266" t="s">
        <v>52</v>
      </c>
    </row>
    <row r="54" spans="1:29">
      <c r="A54" s="1" t="e">
        <f>+#REF!+1</f>
        <v>#REF!</v>
      </c>
      <c r="B54" s="952" t="str">
        <f>+ECONACIONAL!C107</f>
        <v>Lopez Oxcal Kevin Jesus</v>
      </c>
      <c r="C54" s="168" t="s">
        <v>223</v>
      </c>
      <c r="D54" s="705" t="str">
        <f>+ECONACIONAL!C107</f>
        <v>Lopez Oxcal Kevin Jesus</v>
      </c>
      <c r="E54" s="172" t="str">
        <f>VLOOKUP(B54,distribucion!G$8:FP$152,2,0)</f>
        <v>Auxiliar de Bodega</v>
      </c>
      <c r="F54" s="128">
        <f>ROUND((VLOOKUP($B54,ECONACIONAL!$C$5:$AC$219,4,0)),2)</f>
        <v>20</v>
      </c>
      <c r="G54" s="128">
        <f>ROUND((VLOOKUP($B54,ECONACIONAL!$C$7:$AC$219,6,0)),2)</f>
        <v>2668.19</v>
      </c>
      <c r="H54" s="128">
        <f>ROUND((VLOOKUP($B54,ECONACIONAL!$C$7:$AC$219,7,0)),2)</f>
        <v>166.67</v>
      </c>
      <c r="I54" s="128">
        <f>ROUND((VLOOKUP($B54,ECONACIONAL!$C$7:$AC$219,9,0)),2)</f>
        <v>0</v>
      </c>
      <c r="J54" s="128">
        <f>ROUND((VLOOKUP($B54,ECONACIONAL!$C$7:$AC$219,10,0)),2)</f>
        <v>0</v>
      </c>
      <c r="K54" s="128">
        <f>ROUND((VLOOKUP($B54,ECONACIONAL!$C$7:$AC$219,11,0)),2)</f>
        <v>0</v>
      </c>
      <c r="L54" s="128">
        <f>ROUND((VLOOKUP($B54,ECONACIONAL!$C$7:$AC$219,12,0)),2)</f>
        <v>0</v>
      </c>
      <c r="M54" s="128">
        <f>ROUND((VLOOKUP($B54,ECONACIONAL!$C$7:$AC$219,14,0)),2)</f>
        <v>0</v>
      </c>
      <c r="N54" s="128">
        <f>ROUND((VLOOKUP($B54,ECONACIONAL!$C$7:$AC$219,15,0)),2)</f>
        <v>2834.86</v>
      </c>
      <c r="O54" s="128">
        <f>ROUND((VLOOKUP($B54,ECONACIONAL!$C$7:$AC$219,16,0)),2)</f>
        <v>128.87</v>
      </c>
      <c r="P54" s="128">
        <f>ROUND((VLOOKUP($B54,ECONACIONAL!$C$7:$AC$219,17,0)),2)</f>
        <v>0</v>
      </c>
      <c r="Q54" s="128">
        <f>ROUND((VLOOKUP($B54,ECONACIONAL!$C$7:$AC$219,18,0)),2)</f>
        <v>0</v>
      </c>
      <c r="R54" s="128">
        <f>ROUND((VLOOKUP($B54,ECONACIONAL!$C$7:$AC$219,19,0)),2)</f>
        <v>0</v>
      </c>
      <c r="S54" s="128">
        <f>ROUND((VLOOKUP($B54,ECONACIONAL!$C$7:$AC$219,20,0)),2)</f>
        <v>0</v>
      </c>
      <c r="T54" s="128">
        <f>ROUND((VLOOKUP($B54,ECONACIONAL!$C$7:$AC$219,21,0)),2)</f>
        <v>0</v>
      </c>
      <c r="U54" s="128">
        <f>ROUND((VLOOKUP($B54,ECONACIONAL!$C$7:$AC$219,22,0)),2)</f>
        <v>0</v>
      </c>
      <c r="V54" s="128">
        <f>ROUND((VLOOKUP($B54,ECONACIONAL!$C$7:$AC$219,23,0)),2)</f>
        <v>0</v>
      </c>
      <c r="W54" s="128">
        <f>ROUND((VLOOKUP($B54,ECONACIONAL!$C$7:$AC$219,24,0)),2)</f>
        <v>128.87</v>
      </c>
      <c r="X54" s="128">
        <f>ROUND((VLOOKUP($B54,ECONACIONAL!$C$7:$AC$219,25,0)),2)</f>
        <v>2705.99</v>
      </c>
      <c r="Y54" s="128">
        <f>ROUND((VLOOKUP($B54,ECONACIONAL!$C$7:$AC$219,26,0)),2)</f>
        <v>0</v>
      </c>
      <c r="Z54" s="128">
        <f>ROUND((VLOOKUP($B54,ECONACIONAL!$C$7:$AC$219,27,0)),2)</f>
        <v>2705.99</v>
      </c>
      <c r="AA54" s="279"/>
      <c r="AB54" s="258">
        <v>3006725860101</v>
      </c>
      <c r="AC54" s="266" t="s">
        <v>52</v>
      </c>
    </row>
    <row r="55" spans="1:29">
      <c r="D55" s="1309"/>
    </row>
    <row r="56" spans="1:29">
      <c r="D56" s="1309"/>
    </row>
    <row r="57" spans="1:29">
      <c r="D57" s="1309"/>
    </row>
  </sheetData>
  <sheetProtection selectLockedCells="1" selectUnlockedCells="1"/>
  <autoFilter ref="A5:XER18" xr:uid="{00000000-0009-0000-0000-000005000000}"/>
  <conditionalFormatting sqref="A55:B1048576 A4:B5 A6:A54">
    <cfRule type="duplicateValues" dxfId="222" priority="936"/>
  </conditionalFormatting>
  <conditionalFormatting sqref="B6:B18">
    <cfRule type="duplicateValues" dxfId="221" priority="17009"/>
    <cfRule type="duplicateValues" dxfId="220" priority="17010"/>
  </conditionalFormatting>
  <conditionalFormatting sqref="B19">
    <cfRule type="duplicateValues" dxfId="219" priority="163"/>
  </conditionalFormatting>
  <conditionalFormatting sqref="B20">
    <cfRule type="duplicateValues" dxfId="218" priority="134"/>
  </conditionalFormatting>
  <conditionalFormatting sqref="B21">
    <cfRule type="duplicateValues" dxfId="217" priority="115"/>
  </conditionalFormatting>
  <conditionalFormatting sqref="B22">
    <cfRule type="duplicateValues" dxfId="216" priority="112"/>
  </conditionalFormatting>
  <conditionalFormatting sqref="B23">
    <cfRule type="duplicateValues" dxfId="215" priority="49"/>
  </conditionalFormatting>
  <conditionalFormatting sqref="B24">
    <cfRule type="duplicateValues" dxfId="214" priority="16664"/>
  </conditionalFormatting>
  <conditionalFormatting sqref="B25:B54">
    <cfRule type="duplicateValues" dxfId="213" priority="16943"/>
  </conditionalFormatting>
  <conditionalFormatting sqref="B55:B1048576 B4:B5">
    <cfRule type="duplicateValues" dxfId="212" priority="254"/>
    <cfRule type="duplicateValues" dxfId="211" priority="1012"/>
  </conditionalFormatting>
  <conditionalFormatting sqref="B55:B1048576">
    <cfRule type="duplicateValues" dxfId="210" priority="235"/>
  </conditionalFormatting>
  <conditionalFormatting sqref="D6:D18">
    <cfRule type="duplicateValues" dxfId="209" priority="17015"/>
    <cfRule type="duplicateValues" dxfId="208" priority="17016"/>
  </conditionalFormatting>
  <conditionalFormatting sqref="D19">
    <cfRule type="duplicateValues" dxfId="207" priority="164"/>
  </conditionalFormatting>
  <conditionalFormatting sqref="D20">
    <cfRule type="duplicateValues" dxfId="206" priority="135"/>
  </conditionalFormatting>
  <conditionalFormatting sqref="D21">
    <cfRule type="duplicateValues" dxfId="205" priority="116"/>
  </conditionalFormatting>
  <conditionalFormatting sqref="D22">
    <cfRule type="duplicateValues" dxfId="204" priority="113"/>
  </conditionalFormatting>
  <conditionalFormatting sqref="D23">
    <cfRule type="duplicateValues" dxfId="203" priority="50"/>
  </conditionalFormatting>
  <conditionalFormatting sqref="D24">
    <cfRule type="duplicateValues" dxfId="202" priority="16667"/>
  </conditionalFormatting>
  <conditionalFormatting sqref="D25:D54">
    <cfRule type="duplicateValues" dxfId="201" priority="16945"/>
  </conditionalFormatting>
  <pageMargins left="0.7" right="0.7" top="0.75" bottom="0.75" header="0.51180555555555551" footer="0.51180555555555551"/>
  <pageSetup firstPageNumber="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AC73"/>
  <sheetViews>
    <sheetView showGridLines="0" workbookViewId="0">
      <pane xSplit="6" ySplit="6" topLeftCell="G7" activePane="bottomRight" state="frozen"/>
      <selection pane="topRight" activeCell="W1" sqref="W1"/>
      <selection pane="bottomLeft" activeCell="A19" sqref="A19"/>
      <selection pane="bottomRight" activeCell="B19" sqref="B19"/>
    </sheetView>
  </sheetViews>
  <sheetFormatPr baseColWidth="10" defaultColWidth="11.44140625" defaultRowHeight="10.199999999999999"/>
  <cols>
    <col min="1" max="1" width="7" style="3" customWidth="1"/>
    <col min="2" max="2" width="28.6640625" style="3" customWidth="1"/>
    <col min="3" max="3" width="13.109375" style="3" customWidth="1"/>
    <col min="4" max="4" width="11.44140625" style="3" customWidth="1"/>
    <col min="5" max="5" width="7.5546875" style="3" customWidth="1"/>
    <col min="6" max="6" width="14.5546875" style="12" customWidth="1"/>
    <col min="7" max="7" width="14.109375" style="13" customWidth="1"/>
    <col min="8" max="8" width="15.33203125" style="13" customWidth="1"/>
    <col min="9" max="9" width="11.109375" style="13" customWidth="1"/>
    <col min="10" max="13" width="9" style="13" customWidth="1"/>
    <col min="14" max="16" width="10.5546875" style="13" customWidth="1"/>
    <col min="17" max="17" width="8.6640625" style="13" customWidth="1"/>
    <col min="18" max="18" width="9.44140625" style="13" customWidth="1"/>
    <col min="19" max="22" width="11.44140625" style="13" customWidth="1"/>
    <col min="23" max="23" width="12.5546875" style="13" customWidth="1"/>
    <col min="24" max="24" width="12" style="13" customWidth="1"/>
    <col min="25" max="25" width="12.109375" style="13" customWidth="1"/>
    <col min="26" max="27" width="13.33203125" style="13" customWidth="1"/>
    <col min="28" max="28" width="12.109375" style="14" hidden="1" customWidth="1"/>
    <col min="29" max="29" width="10" style="3" hidden="1" customWidth="1"/>
    <col min="30" max="16384" width="11.44140625" style="3"/>
  </cols>
  <sheetData>
    <row r="1" spans="1:29">
      <c r="B1" s="3">
        <v>1</v>
      </c>
      <c r="C1" s="3">
        <v>2</v>
      </c>
      <c r="D1" s="3">
        <v>3</v>
      </c>
      <c r="E1" s="3">
        <v>4</v>
      </c>
      <c r="F1" s="3">
        <v>5</v>
      </c>
      <c r="G1" s="14">
        <v>6</v>
      </c>
      <c r="H1" s="14">
        <v>7</v>
      </c>
      <c r="I1" s="14">
        <v>8</v>
      </c>
      <c r="J1" s="14">
        <v>9</v>
      </c>
      <c r="K1" s="14">
        <v>10</v>
      </c>
      <c r="L1" s="14">
        <v>11</v>
      </c>
      <c r="M1" s="14">
        <v>12</v>
      </c>
      <c r="N1" s="14">
        <v>13</v>
      </c>
      <c r="O1" s="14">
        <v>14</v>
      </c>
      <c r="P1" s="14">
        <v>15</v>
      </c>
      <c r="Q1" s="14">
        <v>16</v>
      </c>
      <c r="R1" s="14">
        <v>17</v>
      </c>
      <c r="S1" s="14">
        <v>18</v>
      </c>
      <c r="T1" s="14">
        <v>19</v>
      </c>
      <c r="U1" s="14">
        <v>20</v>
      </c>
      <c r="V1" s="14">
        <v>21</v>
      </c>
      <c r="W1" s="14">
        <v>22</v>
      </c>
      <c r="X1" s="14">
        <v>23</v>
      </c>
      <c r="Y1" s="14">
        <v>24</v>
      </c>
      <c r="Z1" s="14">
        <v>25</v>
      </c>
      <c r="AA1" s="14">
        <v>26</v>
      </c>
      <c r="AB1" s="14">
        <v>27</v>
      </c>
    </row>
    <row r="2" spans="1:29" ht="15.6">
      <c r="A2" s="5" t="s">
        <v>289</v>
      </c>
      <c r="C2" s="5"/>
      <c r="F2" s="3"/>
      <c r="G2" s="64"/>
      <c r="H2" s="64"/>
      <c r="I2" s="64"/>
      <c r="J2" s="64"/>
      <c r="K2" s="64"/>
      <c r="L2" s="64"/>
      <c r="M2" s="64"/>
      <c r="N2" s="64"/>
      <c r="O2" s="64"/>
      <c r="P2" s="64"/>
      <c r="Q2" s="64"/>
      <c r="R2" s="64"/>
      <c r="S2" s="64"/>
      <c r="T2" s="64"/>
      <c r="U2" s="64"/>
      <c r="V2" s="64"/>
      <c r="W2" s="64"/>
      <c r="X2" s="64"/>
      <c r="Y2" s="64"/>
      <c r="Z2" s="64"/>
      <c r="AA2" s="64"/>
    </row>
    <row r="3" spans="1:29" ht="15.6">
      <c r="A3" s="6" t="str">
        <f>+distribucion!G3</f>
        <v>NOMINA ECONACIONAL, S. A.</v>
      </c>
      <c r="C3" s="5"/>
      <c r="F3" s="3"/>
      <c r="G3" s="64"/>
      <c r="H3" s="64"/>
      <c r="I3" s="64"/>
      <c r="J3" s="64"/>
      <c r="K3" s="64"/>
      <c r="L3" s="64"/>
      <c r="M3" s="64"/>
      <c r="N3" s="64"/>
      <c r="O3" s="64"/>
      <c r="P3" s="64"/>
      <c r="Q3" s="64"/>
      <c r="R3" s="64"/>
      <c r="S3" s="64"/>
      <c r="T3" s="64"/>
      <c r="U3" s="64"/>
      <c r="V3" s="64"/>
      <c r="W3" s="64"/>
      <c r="X3" s="64"/>
      <c r="Y3" s="64"/>
      <c r="Z3" s="64"/>
      <c r="AA3" s="64"/>
    </row>
    <row r="4" spans="1:29" s="7" customFormat="1" ht="15" customHeight="1">
      <c r="A4" s="1374" t="s">
        <v>173</v>
      </c>
      <c r="B4" s="1375" t="s">
        <v>35</v>
      </c>
      <c r="C4" s="1376" t="s">
        <v>36</v>
      </c>
      <c r="D4" s="1377" t="s">
        <v>174</v>
      </c>
      <c r="E4" s="1378" t="s">
        <v>175</v>
      </c>
      <c r="F4" s="1373" t="s">
        <v>176</v>
      </c>
      <c r="G4" s="1380" t="s">
        <v>177</v>
      </c>
      <c r="H4" s="1381" t="s">
        <v>178</v>
      </c>
      <c r="I4" s="1381" t="s">
        <v>179</v>
      </c>
      <c r="J4" s="1381" t="s">
        <v>180</v>
      </c>
      <c r="K4" s="1381" t="s">
        <v>181</v>
      </c>
      <c r="L4" s="1381" t="s">
        <v>182</v>
      </c>
      <c r="M4" s="1381" t="s">
        <v>183</v>
      </c>
      <c r="N4" s="1382" t="s">
        <v>355</v>
      </c>
      <c r="O4" s="1382" t="s">
        <v>185</v>
      </c>
      <c r="P4" s="1382" t="s">
        <v>186</v>
      </c>
      <c r="Q4" s="1382" t="s">
        <v>29</v>
      </c>
      <c r="R4" s="1379" t="s">
        <v>389</v>
      </c>
      <c r="S4" s="1382" t="s">
        <v>187</v>
      </c>
      <c r="T4" s="1382" t="s">
        <v>33</v>
      </c>
      <c r="U4" s="1382" t="s">
        <v>32</v>
      </c>
      <c r="V4" s="1382" t="s">
        <v>31</v>
      </c>
      <c r="W4" s="1382" t="s">
        <v>188</v>
      </c>
      <c r="X4" s="1382" t="s">
        <v>189</v>
      </c>
      <c r="Y4" s="1381" t="s">
        <v>190</v>
      </c>
      <c r="Z4" s="1381" t="s">
        <v>191</v>
      </c>
      <c r="AA4" s="1381" t="s">
        <v>192</v>
      </c>
      <c r="AB4" s="65"/>
    </row>
    <row r="5" spans="1:29">
      <c r="A5" s="1374"/>
      <c r="B5" s="1375"/>
      <c r="C5" s="1375"/>
      <c r="D5" s="1377"/>
      <c r="E5" s="1378"/>
      <c r="F5" s="1373"/>
      <c r="G5" s="1380"/>
      <c r="H5" s="1381"/>
      <c r="I5" s="1381"/>
      <c r="J5" s="1381"/>
      <c r="K5" s="1381"/>
      <c r="L5" s="1381"/>
      <c r="M5" s="1381"/>
      <c r="N5" s="1382"/>
      <c r="O5" s="1382"/>
      <c r="P5" s="1382"/>
      <c r="Q5" s="1382"/>
      <c r="R5" s="1379"/>
      <c r="S5" s="1382"/>
      <c r="T5" s="1382"/>
      <c r="U5" s="1382"/>
      <c r="V5" s="1382"/>
      <c r="W5" s="1382"/>
      <c r="X5" s="1382"/>
      <c r="Y5" s="1381"/>
      <c r="Z5" s="1381"/>
      <c r="AA5" s="1381"/>
    </row>
    <row r="6" spans="1:29">
      <c r="A6" s="1374"/>
      <c r="B6" s="1375"/>
      <c r="C6" s="1376"/>
      <c r="D6" s="1377"/>
      <c r="E6" s="1378"/>
      <c r="F6" s="1373"/>
      <c r="G6" s="1380"/>
      <c r="H6" s="1381"/>
      <c r="I6" s="1381"/>
      <c r="J6" s="1381"/>
      <c r="K6" s="1381"/>
      <c r="L6" s="1381"/>
      <c r="M6" s="1381"/>
      <c r="N6" s="1382"/>
      <c r="O6" s="1382"/>
      <c r="P6" s="1382"/>
      <c r="Q6" s="1382"/>
      <c r="R6" s="1379"/>
      <c r="S6" s="1382"/>
      <c r="T6" s="1382"/>
      <c r="U6" s="1382"/>
      <c r="V6" s="1382"/>
      <c r="W6" s="1382"/>
      <c r="X6" s="1382"/>
      <c r="Y6" s="1381"/>
      <c r="Z6" s="1381"/>
      <c r="AA6" s="1381"/>
    </row>
    <row r="7" spans="1:29" ht="13.2">
      <c r="A7" s="8"/>
      <c r="B7" s="66" t="s">
        <v>51</v>
      </c>
      <c r="C7" s="8"/>
      <c r="D7" s="50"/>
      <c r="E7" s="50"/>
      <c r="G7" s="67"/>
      <c r="H7" s="67"/>
      <c r="I7" s="67"/>
      <c r="J7" s="67"/>
      <c r="K7" s="67"/>
      <c r="L7" s="67"/>
      <c r="M7" s="67"/>
      <c r="N7" s="68"/>
      <c r="O7" s="68"/>
      <c r="P7" s="68"/>
      <c r="Q7" s="68"/>
      <c r="R7" s="68"/>
      <c r="S7" s="68"/>
      <c r="T7" s="68"/>
      <c r="U7" s="68"/>
      <c r="V7" s="68"/>
      <c r="W7" s="68"/>
      <c r="X7" s="68"/>
      <c r="Y7" s="67"/>
      <c r="Z7" s="67"/>
      <c r="AA7" s="67"/>
    </row>
    <row r="8" spans="1:29" ht="13.2">
      <c r="A8" s="8"/>
      <c r="B8" s="10" t="s">
        <v>53</v>
      </c>
      <c r="C8" s="8"/>
      <c r="D8" s="50"/>
      <c r="E8" s="50"/>
      <c r="G8" s="67"/>
      <c r="H8" s="67"/>
      <c r="I8" s="67"/>
      <c r="J8" s="67"/>
      <c r="K8" s="67"/>
      <c r="L8" s="67"/>
      <c r="M8" s="67"/>
      <c r="N8" s="68"/>
      <c r="O8" s="68"/>
      <c r="P8" s="68"/>
      <c r="Q8" s="68"/>
      <c r="R8" s="68"/>
      <c r="S8" s="68"/>
      <c r="T8" s="68"/>
      <c r="U8" s="68"/>
      <c r="V8" s="68"/>
      <c r="W8" s="68"/>
      <c r="X8" s="68"/>
      <c r="Y8" s="67"/>
      <c r="Z8" s="67"/>
      <c r="AA8" s="67"/>
      <c r="AC8" s="103">
        <f>Y8-Z8-AA8</f>
        <v>0</v>
      </c>
    </row>
    <row r="9" spans="1:29" s="110" customFormat="1">
      <c r="A9" s="126">
        <v>1</v>
      </c>
      <c r="B9" s="110">
        <v>0</v>
      </c>
      <c r="C9" s="111" t="e">
        <f>VLOOKUP(B9,distribucion!G$8:FP$152,2,0)</f>
        <v>#N/A</v>
      </c>
      <c r="D9" s="111" t="e">
        <f>G9+K9+M9</f>
        <v>#N/A</v>
      </c>
      <c r="E9" s="113" t="e">
        <f>VLOOKUP(B9,distribucion!G$8:FP$152,7,0)</f>
        <v>#N/A</v>
      </c>
      <c r="F9" s="112" t="e">
        <f>VLOOKUP(B9,distribucion!$G$8:$DV$152,14,0)</f>
        <v>#N/A</v>
      </c>
      <c r="G9" s="127" t="e">
        <f>ROUND((VLOOKUP(B9,distribucion!G$8:FP$152,121,0)),2)</f>
        <v>#N/A</v>
      </c>
      <c r="H9" s="127" t="e">
        <f>ROUND((VLOOKUP(B9,distribucion!G$8:FP$152,122,0)),2)</f>
        <v>#N/A</v>
      </c>
      <c r="I9" s="108" t="e">
        <f>G9+H9</f>
        <v>#N/A</v>
      </c>
      <c r="J9" s="108" t="e">
        <f>VLOOKUP(B9,distribucion!G$8:FP$152,123,0)</f>
        <v>#N/A</v>
      </c>
      <c r="K9" s="108" t="e">
        <f>ROUND((VLOOKUP(B9,distribucion!G$8:FP$152,124,0)),2)</f>
        <v>#N/A</v>
      </c>
      <c r="L9" s="108" t="e">
        <f>VLOOKUP(B9,distribucion!G$8:FP$152,125,0)</f>
        <v>#N/A</v>
      </c>
      <c r="M9" s="108" t="e">
        <f>ROUND((VLOOKUP(B9,distribucion!G$8:FP$152,126,0)),2)</f>
        <v>#N/A</v>
      </c>
      <c r="N9" s="108" t="e">
        <f>ROUND((VLOOKUP(B9,distribucion!G$8:FP$152,127,0)),2)</f>
        <v>#N/A</v>
      </c>
      <c r="O9" s="108" t="e">
        <f>SUM(I9:N9)-J9-L9</f>
        <v>#N/A</v>
      </c>
      <c r="P9" s="108">
        <v>0</v>
      </c>
      <c r="Q9" s="108" t="e">
        <f>ROUND((VLOOKUP(B9,distribucion!G$8:FP$152,148,0)),2)</f>
        <v>#N/A</v>
      </c>
      <c r="R9" s="108" t="e">
        <f>ROUND((VLOOKUP(B9,distribucion!G$8:FP$152,149,0)),2)</f>
        <v>#N/A</v>
      </c>
      <c r="S9" s="108">
        <v>0</v>
      </c>
      <c r="T9" s="108" t="e">
        <f>ROUND((VLOOKUP(B9,distribucion!G1:FJ152,153,0)),2)</f>
        <v>#N/A</v>
      </c>
      <c r="U9" s="108" t="e">
        <f>ROUND((VLOOKUP(B9,distribucion!G1:FJ152,152,0)),2)</f>
        <v>#N/A</v>
      </c>
      <c r="V9" s="108" t="e">
        <f>ROUND((VLOOKUP(B9,distribucion!G1:FJ152,151,0)),2)</f>
        <v>#N/A</v>
      </c>
      <c r="W9" s="108" t="e">
        <f>ROUND((VLOOKUP(B9,distribucion!G$8:FP$152,154,0)),2)</f>
        <v>#N/A</v>
      </c>
      <c r="X9" s="108" t="e">
        <f>SUM(P9:W9)</f>
        <v>#N/A</v>
      </c>
      <c r="Y9" s="108" t="e">
        <f>O9-X9</f>
        <v>#N/A</v>
      </c>
      <c r="Z9" s="108">
        <v>0</v>
      </c>
      <c r="AA9" s="108">
        <v>0</v>
      </c>
      <c r="AB9" s="124">
        <v>20000</v>
      </c>
      <c r="AC9" s="125">
        <f>+AA9-AB9</f>
        <v>-20000</v>
      </c>
    </row>
    <row r="10" spans="1:29" ht="10.8" thickBot="1">
      <c r="A10" s="8"/>
      <c r="B10" s="8"/>
      <c r="C10" s="8"/>
      <c r="D10" s="50"/>
      <c r="E10" s="50"/>
      <c r="G10" s="69" t="e">
        <f>SUM(G9)</f>
        <v>#N/A</v>
      </c>
      <c r="H10" s="70" t="e">
        <f>SUM(H9)</f>
        <v>#N/A</v>
      </c>
      <c r="I10" s="70" t="e">
        <f>SUM(I9)</f>
        <v>#N/A</v>
      </c>
      <c r="J10" s="70" t="e">
        <f t="shared" ref="J10:X10" si="0">SUM(J9)</f>
        <v>#N/A</v>
      </c>
      <c r="K10" s="70" t="e">
        <f t="shared" si="0"/>
        <v>#N/A</v>
      </c>
      <c r="L10" s="70" t="e">
        <f t="shared" si="0"/>
        <v>#N/A</v>
      </c>
      <c r="M10" s="70" t="e">
        <f t="shared" si="0"/>
        <v>#N/A</v>
      </c>
      <c r="N10" s="70" t="e">
        <f t="shared" si="0"/>
        <v>#N/A</v>
      </c>
      <c r="O10" s="70" t="e">
        <f>SUM(O9)</f>
        <v>#N/A</v>
      </c>
      <c r="P10" s="70">
        <f t="shared" si="0"/>
        <v>0</v>
      </c>
      <c r="Q10" s="70" t="e">
        <f t="shared" si="0"/>
        <v>#N/A</v>
      </c>
      <c r="R10" s="70" t="e">
        <f t="shared" si="0"/>
        <v>#N/A</v>
      </c>
      <c r="S10" s="70">
        <f t="shared" si="0"/>
        <v>0</v>
      </c>
      <c r="T10" s="70" t="e">
        <f t="shared" si="0"/>
        <v>#N/A</v>
      </c>
      <c r="U10" s="70" t="e">
        <f t="shared" si="0"/>
        <v>#N/A</v>
      </c>
      <c r="V10" s="70" t="e">
        <f t="shared" si="0"/>
        <v>#N/A</v>
      </c>
      <c r="W10" s="70" t="e">
        <f t="shared" si="0"/>
        <v>#N/A</v>
      </c>
      <c r="X10" s="70" t="e">
        <f t="shared" si="0"/>
        <v>#N/A</v>
      </c>
      <c r="Y10" s="70" t="e">
        <f>SUM(Y9)</f>
        <v>#N/A</v>
      </c>
      <c r="Z10" s="70">
        <f>SUM(Z9)</f>
        <v>0</v>
      </c>
      <c r="AA10" s="70">
        <f>SUM(AA9)</f>
        <v>0</v>
      </c>
      <c r="AB10" s="106" t="s">
        <v>352</v>
      </c>
      <c r="AC10" s="105" t="e">
        <f t="shared" ref="AC10:AC20" si="1">Y10-Z10-AA10</f>
        <v>#N/A</v>
      </c>
    </row>
    <row r="11" spans="1:29" ht="10.8" thickTop="1">
      <c r="A11" s="8"/>
      <c r="B11" s="8"/>
      <c r="C11" s="8"/>
      <c r="D11" s="50"/>
      <c r="E11" s="50"/>
      <c r="G11" s="71"/>
      <c r="H11" s="71"/>
      <c r="I11" s="71"/>
      <c r="J11" s="71"/>
      <c r="K11" s="71"/>
      <c r="L11" s="71"/>
      <c r="M11" s="71"/>
      <c r="N11" s="71"/>
      <c r="O11" s="71"/>
      <c r="P11" s="71"/>
      <c r="Q11" s="71"/>
      <c r="R11" s="71"/>
      <c r="S11" s="71"/>
      <c r="T11" s="71"/>
      <c r="U11" s="71"/>
      <c r="V11" s="71"/>
      <c r="W11" s="71"/>
      <c r="X11" s="71"/>
      <c r="Y11" s="71"/>
      <c r="Z11" s="71"/>
      <c r="AA11" s="71"/>
      <c r="AB11" s="106" t="s">
        <v>352</v>
      </c>
      <c r="AC11" s="105">
        <f t="shared" si="1"/>
        <v>0</v>
      </c>
    </row>
    <row r="12" spans="1:29" ht="13.2">
      <c r="B12" s="9" t="s">
        <v>80</v>
      </c>
      <c r="E12" s="52"/>
      <c r="G12" s="54"/>
      <c r="H12" s="54"/>
      <c r="I12" s="54"/>
      <c r="J12" s="55"/>
      <c r="K12" s="54"/>
      <c r="L12" s="54"/>
      <c r="M12" s="54"/>
      <c r="N12" s="54"/>
      <c r="O12" s="54"/>
      <c r="P12" s="54"/>
      <c r="Q12" s="54"/>
      <c r="R12" s="54"/>
      <c r="S12" s="54"/>
      <c r="T12" s="54"/>
      <c r="U12" s="54"/>
      <c r="V12" s="54"/>
      <c r="W12" s="54"/>
      <c r="X12" s="54"/>
      <c r="Y12" s="54"/>
      <c r="Z12" s="54"/>
      <c r="AA12" s="54"/>
      <c r="AB12" s="106" t="s">
        <v>352</v>
      </c>
      <c r="AC12" s="105">
        <f t="shared" si="1"/>
        <v>0</v>
      </c>
    </row>
    <row r="13" spans="1:29" s="15" customFormat="1" ht="13.2">
      <c r="A13" s="3"/>
      <c r="B13" s="10" t="s">
        <v>84</v>
      </c>
      <c r="C13" s="3"/>
      <c r="D13" s="3"/>
      <c r="E13" s="52"/>
      <c r="F13" s="12"/>
      <c r="G13" s="54"/>
      <c r="H13" s="54"/>
      <c r="I13" s="54"/>
      <c r="J13" s="55"/>
      <c r="K13" s="54"/>
      <c r="L13" s="54"/>
      <c r="M13" s="54"/>
      <c r="N13" s="54"/>
      <c r="O13" s="54"/>
      <c r="P13" s="54"/>
      <c r="Q13" s="54"/>
      <c r="R13" s="54"/>
      <c r="S13" s="54"/>
      <c r="T13" s="54"/>
      <c r="U13" s="54"/>
      <c r="V13" s="54"/>
      <c r="W13" s="54"/>
      <c r="X13" s="54"/>
      <c r="Y13" s="54"/>
      <c r="Z13" s="54"/>
      <c r="AA13" s="54"/>
      <c r="AB13" s="106" t="s">
        <v>352</v>
      </c>
      <c r="AC13" s="105">
        <f t="shared" si="1"/>
        <v>0</v>
      </c>
    </row>
    <row r="14" spans="1:29" ht="13.2">
      <c r="B14" s="66" t="s">
        <v>196</v>
      </c>
      <c r="E14" s="52"/>
      <c r="G14" s="54"/>
      <c r="H14" s="54"/>
      <c r="I14" s="54"/>
      <c r="J14" s="55"/>
      <c r="K14" s="54"/>
      <c r="L14" s="54"/>
      <c r="M14" s="54"/>
      <c r="N14" s="54"/>
      <c r="O14" s="54"/>
      <c r="P14" s="54"/>
      <c r="Q14" s="54"/>
      <c r="R14" s="54"/>
      <c r="S14" s="54"/>
      <c r="T14" s="54"/>
      <c r="U14" s="54"/>
      <c r="V14" s="54"/>
      <c r="W14" s="54"/>
      <c r="X14" s="54"/>
      <c r="Y14" s="54"/>
      <c r="Z14" s="54"/>
      <c r="AA14" s="54"/>
      <c r="AB14" s="106" t="s">
        <v>352</v>
      </c>
      <c r="AC14" s="105">
        <f t="shared" si="1"/>
        <v>0</v>
      </c>
    </row>
    <row r="15" spans="1:29" ht="14.4">
      <c r="A15" s="15"/>
      <c r="B15" s="15"/>
      <c r="C15" s="15"/>
      <c r="D15" s="15"/>
      <c r="E15"/>
      <c r="F15" s="57"/>
      <c r="G15" s="104"/>
      <c r="H15" s="104"/>
      <c r="I15" s="104"/>
      <c r="J15" s="104"/>
      <c r="K15" s="104"/>
      <c r="L15" s="104"/>
      <c r="M15" s="104"/>
      <c r="N15" s="104"/>
      <c r="O15" s="104"/>
      <c r="P15" s="104"/>
      <c r="Q15" s="104"/>
      <c r="R15" s="104"/>
      <c r="S15" s="104"/>
      <c r="T15" s="104"/>
      <c r="U15" s="104"/>
      <c r="V15" s="104"/>
      <c r="W15" s="104"/>
      <c r="X15" s="104"/>
      <c r="Y15" s="104"/>
      <c r="Z15" s="104"/>
      <c r="AA15" s="104"/>
      <c r="AB15" s="106" t="s">
        <v>352</v>
      </c>
      <c r="AC15" s="105">
        <f t="shared" si="1"/>
        <v>0</v>
      </c>
    </row>
    <row r="16" spans="1:29" ht="14.4">
      <c r="A16" s="15"/>
      <c r="B16" s="10" t="s">
        <v>99</v>
      </c>
      <c r="C16" s="15"/>
      <c r="D16" s="15"/>
      <c r="E16"/>
      <c r="F16" s="57"/>
      <c r="G16" s="104"/>
      <c r="H16" s="104"/>
      <c r="I16" s="104"/>
      <c r="J16" s="104"/>
      <c r="K16" s="104"/>
      <c r="L16" s="104"/>
      <c r="M16" s="104"/>
      <c r="N16" s="104"/>
      <c r="O16" s="104"/>
      <c r="P16" s="104"/>
      <c r="Q16" s="104"/>
      <c r="R16" s="104"/>
      <c r="S16" s="104"/>
      <c r="T16" s="104"/>
      <c r="U16" s="104"/>
      <c r="V16" s="104"/>
      <c r="W16" s="104"/>
      <c r="X16" s="104"/>
      <c r="Y16" s="104"/>
      <c r="Z16" s="104"/>
      <c r="AA16" s="104"/>
      <c r="AB16" s="106" t="s">
        <v>352</v>
      </c>
      <c r="AC16" s="105">
        <f t="shared" si="1"/>
        <v>0</v>
      </c>
    </row>
    <row r="17" spans="1:29" ht="14.4">
      <c r="A17" s="15"/>
      <c r="B17" s="15" t="s">
        <v>342</v>
      </c>
      <c r="C17" s="15"/>
      <c r="D17" s="15"/>
      <c r="E17"/>
      <c r="F17" s="57"/>
      <c r="G17" s="104"/>
      <c r="H17" s="104"/>
      <c r="I17" s="104"/>
      <c r="J17" s="104"/>
      <c r="K17" s="104"/>
      <c r="L17" s="104"/>
      <c r="M17" s="104"/>
      <c r="N17" s="104"/>
      <c r="O17" s="104"/>
      <c r="P17" s="104"/>
      <c r="Q17" s="104"/>
      <c r="R17" s="104"/>
      <c r="S17" s="104"/>
      <c r="T17" s="104"/>
      <c r="U17" s="104"/>
      <c r="V17" s="104"/>
      <c r="W17" s="104"/>
      <c r="X17" s="104"/>
      <c r="Y17" s="104"/>
      <c r="Z17" s="104"/>
      <c r="AA17" s="104"/>
      <c r="AB17" s="106" t="s">
        <v>352</v>
      </c>
      <c r="AC17" s="105">
        <f t="shared" si="1"/>
        <v>0</v>
      </c>
    </row>
    <row r="18" spans="1:29" s="6" customFormat="1">
      <c r="A18" s="3">
        <v>2</v>
      </c>
      <c r="B18" s="4">
        <v>0</v>
      </c>
      <c r="C18" s="11" t="e">
        <f>VLOOKUP(B18,distribucion!G$8:FP$152,2,0)</f>
        <v>#N/A</v>
      </c>
      <c r="D18" s="11" t="e">
        <f>G18+K18+M18</f>
        <v>#N/A</v>
      </c>
      <c r="E18" s="52" t="e">
        <f>VLOOKUP(B18,distribucion!G$8:FP$152,7,0)</f>
        <v>#N/A</v>
      </c>
      <c r="F18" s="12" t="e">
        <f>VLOOKUP(B18,distribucion!$G$8:$DV$152,14,0)</f>
        <v>#N/A</v>
      </c>
      <c r="G18" s="55" t="e">
        <f>ROUND((VLOOKUP(B18,distribucion!G$8:FP$152,121,0)),2)</f>
        <v>#N/A</v>
      </c>
      <c r="H18" s="55" t="e">
        <f>ROUND((VLOOKUP(B18,distribucion!G$8:FP$152,122,0)),2)</f>
        <v>#N/A</v>
      </c>
      <c r="I18" s="51" t="e">
        <f>G18+H18</f>
        <v>#N/A</v>
      </c>
      <c r="J18" s="51" t="e">
        <f>VLOOKUP(B18,distribucion!G$8:FP$152,123,0)</f>
        <v>#N/A</v>
      </c>
      <c r="K18" s="51" t="e">
        <f>ROUND((VLOOKUP(B18,distribucion!G$8:FP$152,124,0)),2)</f>
        <v>#N/A</v>
      </c>
      <c r="L18" s="51" t="e">
        <f>VLOOKUP(B18,distribucion!G$8:FP$152,125,0)</f>
        <v>#N/A</v>
      </c>
      <c r="M18" s="51" t="e">
        <f>ROUND((VLOOKUP(B18,distribucion!G$8:FP$152,126,0)),2)</f>
        <v>#N/A</v>
      </c>
      <c r="N18" s="51" t="e">
        <f>ROUND((VLOOKUP(B18,distribucion!G$8:FP$152,127,0)),2)</f>
        <v>#N/A</v>
      </c>
      <c r="O18" s="51" t="e">
        <f>SUM(I18:N18)-J18-L18</f>
        <v>#N/A</v>
      </c>
      <c r="P18" s="51" t="e">
        <f>ROUND(((G18+K18+M18+N18)*0.0483),2)</f>
        <v>#N/A</v>
      </c>
      <c r="Q18" s="51" t="e">
        <f>ROUND((VLOOKUP(B18,distribucion!G$8:FP$152,148,0)),2)</f>
        <v>#N/A</v>
      </c>
      <c r="R18" s="51" t="e">
        <f>ROUND((VLOOKUP(B18,distribucion!G$8:FP$152,149,0)),2)</f>
        <v>#N/A</v>
      </c>
      <c r="S18" s="51">
        <v>0</v>
      </c>
      <c r="T18" s="51" t="e">
        <f>ROUND((VLOOKUP(B18,distribucion!G13:FJ152,153,0)),2)</f>
        <v>#N/A</v>
      </c>
      <c r="U18" s="51" t="e">
        <f>ROUND((VLOOKUP(B18,distribucion!G13:FJ152,152,0)),2)</f>
        <v>#N/A</v>
      </c>
      <c r="V18" s="51" t="e">
        <f>ROUND((VLOOKUP(B18,distribucion!G13:FJ152,151,0)),2)</f>
        <v>#N/A</v>
      </c>
      <c r="W18" s="51" t="e">
        <f>ROUND((VLOOKUP(B18,distribucion!G$8:FP$152,154,0)),2)</f>
        <v>#N/A</v>
      </c>
      <c r="X18" s="51" t="e">
        <f>SUM(P18:W18)</f>
        <v>#N/A</v>
      </c>
      <c r="Y18" s="51" t="e">
        <f>O18-X18</f>
        <v>#N/A</v>
      </c>
      <c r="Z18" s="108" t="e">
        <f>+Y18</f>
        <v>#N/A</v>
      </c>
      <c r="AA18" s="51" t="e">
        <f>+Y18-Z18</f>
        <v>#N/A</v>
      </c>
      <c r="AB18" s="106"/>
      <c r="AC18" s="105"/>
    </row>
    <row r="19" spans="1:29" ht="15" thickBot="1">
      <c r="A19" s="15"/>
      <c r="B19" s="15"/>
      <c r="C19" s="15"/>
      <c r="D19" s="15"/>
      <c r="E19"/>
      <c r="F19" s="57"/>
      <c r="G19" s="72" t="e">
        <f>+G18</f>
        <v>#N/A</v>
      </c>
      <c r="H19" s="72" t="e">
        <f t="shared" ref="H19:Z19" si="2">+H18</f>
        <v>#N/A</v>
      </c>
      <c r="I19" s="72" t="e">
        <f t="shared" si="2"/>
        <v>#N/A</v>
      </c>
      <c r="J19" s="72" t="e">
        <f t="shared" si="2"/>
        <v>#N/A</v>
      </c>
      <c r="K19" s="72" t="e">
        <f t="shared" si="2"/>
        <v>#N/A</v>
      </c>
      <c r="L19" s="72" t="e">
        <f t="shared" si="2"/>
        <v>#N/A</v>
      </c>
      <c r="M19" s="72" t="e">
        <f t="shared" si="2"/>
        <v>#N/A</v>
      </c>
      <c r="N19" s="72" t="e">
        <f t="shared" si="2"/>
        <v>#N/A</v>
      </c>
      <c r="O19" s="72" t="e">
        <f t="shared" si="2"/>
        <v>#N/A</v>
      </c>
      <c r="P19" s="72" t="e">
        <f t="shared" si="2"/>
        <v>#N/A</v>
      </c>
      <c r="Q19" s="72" t="e">
        <f t="shared" si="2"/>
        <v>#N/A</v>
      </c>
      <c r="R19" s="72" t="e">
        <f t="shared" si="2"/>
        <v>#N/A</v>
      </c>
      <c r="S19" s="72">
        <f t="shared" si="2"/>
        <v>0</v>
      </c>
      <c r="T19" s="72" t="e">
        <f t="shared" si="2"/>
        <v>#N/A</v>
      </c>
      <c r="U19" s="72" t="e">
        <f t="shared" si="2"/>
        <v>#N/A</v>
      </c>
      <c r="V19" s="72" t="e">
        <f t="shared" si="2"/>
        <v>#N/A</v>
      </c>
      <c r="W19" s="72" t="e">
        <f t="shared" si="2"/>
        <v>#N/A</v>
      </c>
      <c r="X19" s="72" t="e">
        <f t="shared" si="2"/>
        <v>#N/A</v>
      </c>
      <c r="Y19" s="72" t="e">
        <f t="shared" si="2"/>
        <v>#N/A</v>
      </c>
      <c r="Z19" s="72" t="e">
        <f t="shared" si="2"/>
        <v>#N/A</v>
      </c>
      <c r="AA19" s="72" t="e">
        <f>+AA18</f>
        <v>#N/A</v>
      </c>
      <c r="AB19" s="106" t="s">
        <v>352</v>
      </c>
      <c r="AC19" s="105" t="e">
        <f t="shared" si="1"/>
        <v>#N/A</v>
      </c>
    </row>
    <row r="20" spans="1:29" s="6" customFormat="1" ht="10.8" thickTop="1">
      <c r="A20" s="3"/>
      <c r="B20" s="16" t="s">
        <v>11</v>
      </c>
      <c r="C20" s="11"/>
      <c r="D20" s="11"/>
      <c r="E20" s="52"/>
      <c r="F20" s="12"/>
      <c r="G20" s="55"/>
      <c r="H20" s="55"/>
      <c r="I20" s="51"/>
      <c r="J20" s="51"/>
      <c r="K20" s="51"/>
      <c r="L20" s="51"/>
      <c r="M20" s="51"/>
      <c r="N20" s="51"/>
      <c r="O20" s="51"/>
      <c r="P20" s="51"/>
      <c r="Q20" s="51"/>
      <c r="R20" s="51"/>
      <c r="S20" s="51"/>
      <c r="T20" s="51"/>
      <c r="U20" s="51"/>
      <c r="V20" s="51"/>
      <c r="W20" s="51"/>
      <c r="X20" s="51"/>
      <c r="Y20" s="51"/>
      <c r="Z20" s="51"/>
      <c r="AA20" s="51"/>
      <c r="AB20" s="106" t="s">
        <v>352</v>
      </c>
      <c r="AC20" s="105">
        <f t="shared" si="1"/>
        <v>0</v>
      </c>
    </row>
    <row r="21" spans="1:29" s="6" customFormat="1">
      <c r="A21" s="3">
        <v>3</v>
      </c>
      <c r="B21" s="4">
        <v>0</v>
      </c>
      <c r="C21" s="11" t="e">
        <f>VLOOKUP(B21,distribucion!G$8:FP$152,2,0)</f>
        <v>#N/A</v>
      </c>
      <c r="D21" s="11" t="e">
        <f>G21+K21+M21</f>
        <v>#N/A</v>
      </c>
      <c r="E21" s="52" t="e">
        <f>VLOOKUP(B21,distribucion!G$8:FP$152,7,0)</f>
        <v>#N/A</v>
      </c>
      <c r="F21" s="12" t="e">
        <f>VLOOKUP(B21,distribucion!$G$8:$DV$152,14,0)</f>
        <v>#N/A</v>
      </c>
      <c r="G21" s="55" t="e">
        <f>ROUND((VLOOKUP(B21,distribucion!G$8:FP$152,121,0)),2)</f>
        <v>#N/A</v>
      </c>
      <c r="H21" s="55" t="e">
        <f>ROUND((VLOOKUP(B21,distribucion!G$8:FP$152,122,0)),2)</f>
        <v>#N/A</v>
      </c>
      <c r="I21" s="51" t="e">
        <f t="shared" ref="I21:I29" si="3">G21+H21</f>
        <v>#N/A</v>
      </c>
      <c r="J21" s="51" t="e">
        <f>VLOOKUP(B21,distribucion!G$8:FP$152,123,0)</f>
        <v>#N/A</v>
      </c>
      <c r="K21" s="51" t="e">
        <f>ROUND((VLOOKUP(B21,distribucion!G$8:FP$152,124,0)),2)</f>
        <v>#N/A</v>
      </c>
      <c r="L21" s="51" t="e">
        <f>VLOOKUP(B21,distribucion!G$8:FP$152,125,0)</f>
        <v>#N/A</v>
      </c>
      <c r="M21" s="51" t="e">
        <f>ROUND((VLOOKUP(B21,distribucion!G$8:FP$152,126,0)),2)</f>
        <v>#N/A</v>
      </c>
      <c r="N21" s="51" t="e">
        <f>ROUND((VLOOKUP(B21,distribucion!G$8:FP$152,127,0)),2)</f>
        <v>#N/A</v>
      </c>
      <c r="O21" s="51" t="e">
        <f t="shared" ref="O21:O29" si="4">SUM(I21:N21)-J21-L21</f>
        <v>#N/A</v>
      </c>
      <c r="P21" s="51" t="e">
        <f t="shared" ref="P21:P29" si="5">ROUND(((G21+K21+M21+N21)*0.0483),2)</f>
        <v>#N/A</v>
      </c>
      <c r="Q21" s="51" t="e">
        <f>ROUND((VLOOKUP(B21,distribucion!G$8:FP$152,148,0)),2)</f>
        <v>#N/A</v>
      </c>
      <c r="R21" s="51" t="e">
        <f>ROUND((VLOOKUP(B21,distribucion!G$8:FP$152,149,0)),2)</f>
        <v>#N/A</v>
      </c>
      <c r="S21" s="51">
        <v>0</v>
      </c>
      <c r="T21" s="51" t="e">
        <f>ROUND((VLOOKUP(B21,distribucion!G13:FJ152,153,0)),2)</f>
        <v>#N/A</v>
      </c>
      <c r="U21" s="51" t="e">
        <f>ROUND((VLOOKUP(B21,distribucion!G13:FJ152,152,0)),2)</f>
        <v>#N/A</v>
      </c>
      <c r="V21" s="51" t="e">
        <f>ROUND((VLOOKUP(B21,distribucion!G13:FJ152,151,0)),2)</f>
        <v>#N/A</v>
      </c>
      <c r="W21" s="51" t="e">
        <f>ROUND((VLOOKUP(B21,distribucion!G$8:FP$152,154,0)),2)</f>
        <v>#N/A</v>
      </c>
      <c r="X21" s="51" t="e">
        <f>SUM(P21:W21)</f>
        <v>#N/A</v>
      </c>
      <c r="Y21" s="51" t="e">
        <f t="shared" ref="Y21:Y29" si="6">O21-X21</f>
        <v>#N/A</v>
      </c>
      <c r="Z21" s="108" t="e">
        <f>+Y21</f>
        <v>#N/A</v>
      </c>
      <c r="AA21" s="51" t="e">
        <f>+Y21-Z21</f>
        <v>#N/A</v>
      </c>
      <c r="AB21" s="106" t="e">
        <f>+Z21</f>
        <v>#N/A</v>
      </c>
      <c r="AC21" s="105" t="e">
        <f>+AA21-AB21</f>
        <v>#N/A</v>
      </c>
    </row>
    <row r="22" spans="1:29" s="6" customFormat="1">
      <c r="A22" s="3">
        <v>4</v>
      </c>
      <c r="B22" s="4">
        <v>0</v>
      </c>
      <c r="C22" s="11" t="e">
        <f>VLOOKUP(B22,distribucion!G$8:FP$152,2,0)</f>
        <v>#N/A</v>
      </c>
      <c r="D22" s="111" t="e">
        <f t="shared" ref="D22:D27" si="7">G22+K22+M22+N22</f>
        <v>#N/A</v>
      </c>
      <c r="E22" s="52" t="e">
        <f>VLOOKUP(B22,distribucion!G$8:FP$152,7,0)</f>
        <v>#N/A</v>
      </c>
      <c r="F22" s="12" t="e">
        <f>VLOOKUP(B22,distribucion!$G$8:$DV$152,14,0)</f>
        <v>#N/A</v>
      </c>
      <c r="G22" s="55" t="e">
        <f>ROUND((VLOOKUP(B22,distribucion!G$8:FP$152,121,0)),2)</f>
        <v>#N/A</v>
      </c>
      <c r="H22" s="55" t="e">
        <f>ROUND((VLOOKUP(B22,distribucion!G$8:FP$152,122,0)),2)</f>
        <v>#N/A</v>
      </c>
      <c r="I22" s="51" t="e">
        <f>G22+H22</f>
        <v>#N/A</v>
      </c>
      <c r="J22" s="51" t="e">
        <f>VLOOKUP(B22,distribucion!G$8:FP$152,123,0)</f>
        <v>#N/A</v>
      </c>
      <c r="K22" s="51" t="e">
        <f>ROUND((VLOOKUP(B22,distribucion!G$8:FP$152,124,0)),2)</f>
        <v>#N/A</v>
      </c>
      <c r="L22" s="51" t="e">
        <f>VLOOKUP(B22,distribucion!G$8:FP$152,125,0)</f>
        <v>#N/A</v>
      </c>
      <c r="M22" s="51" t="e">
        <f>ROUND((VLOOKUP(B22,distribucion!G$8:FP$152,126,0)),2)</f>
        <v>#N/A</v>
      </c>
      <c r="N22" s="51" t="e">
        <f>ROUND((VLOOKUP(B22,distribucion!G$8:FP$152,127,0)),2)</f>
        <v>#N/A</v>
      </c>
      <c r="O22" s="51" t="e">
        <f>SUM(I22:N22)-J22-L22</f>
        <v>#N/A</v>
      </c>
      <c r="P22" s="51" t="e">
        <f>ROUND(((G22+K22+M22+N22)*0.0483),2)</f>
        <v>#N/A</v>
      </c>
      <c r="Q22" s="51" t="e">
        <f>ROUND((VLOOKUP(B22,distribucion!G$8:FP$152,148,0)),2)</f>
        <v>#N/A</v>
      </c>
      <c r="R22" s="51" t="e">
        <f>ROUND((VLOOKUP(B22,distribucion!G$8:FP$152,149,0)),2)</f>
        <v>#N/A</v>
      </c>
      <c r="S22" s="51">
        <v>0</v>
      </c>
      <c r="T22" s="51" t="e">
        <f>ROUND((VLOOKUP(B22,distribucion!G13:FJ152,153,0)),2)</f>
        <v>#N/A</v>
      </c>
      <c r="U22" s="51" t="e">
        <f>ROUND((VLOOKUP(B22,distribucion!G13:FJ152,152,0)),2)</f>
        <v>#N/A</v>
      </c>
      <c r="V22" s="51" t="e">
        <f>ROUND((VLOOKUP(B22,distribucion!G13:FJ152,151,0)),2)</f>
        <v>#N/A</v>
      </c>
      <c r="W22" s="51" t="e">
        <f>ROUND((VLOOKUP(B22,distribucion!G$8:FP$152,154,0)),2)</f>
        <v>#N/A</v>
      </c>
      <c r="X22" s="51" t="e">
        <f t="shared" ref="X22:X27" si="8">SUM(P22:W22)</f>
        <v>#N/A</v>
      </c>
      <c r="Y22" s="51" t="e">
        <f>O22-X22</f>
        <v>#N/A</v>
      </c>
      <c r="Z22" s="108" t="e">
        <f t="shared" ref="Z22:Z29" si="9">+Y22</f>
        <v>#N/A</v>
      </c>
      <c r="AA22" s="51" t="e">
        <f t="shared" ref="AA22:AA29" si="10">+Y22-Z22</f>
        <v>#N/A</v>
      </c>
      <c r="AB22" s="106" t="e">
        <f t="shared" ref="AB22:AB38" si="11">+Z22</f>
        <v>#N/A</v>
      </c>
      <c r="AC22" s="105" t="e">
        <f t="shared" ref="AC22:AC38" si="12">+AA22-AB22</f>
        <v>#N/A</v>
      </c>
    </row>
    <row r="23" spans="1:29" s="6" customFormat="1">
      <c r="A23" s="3">
        <v>5</v>
      </c>
      <c r="B23" s="4">
        <v>0</v>
      </c>
      <c r="C23" s="11" t="e">
        <f>VLOOKUP(B23,distribucion!G$8:FP$152,2,0)</f>
        <v>#N/A</v>
      </c>
      <c r="D23" s="111" t="e">
        <f>G23+K23+M23+N23</f>
        <v>#N/A</v>
      </c>
      <c r="E23" s="52" t="e">
        <f>VLOOKUP(B23,distribucion!G$8:FP$152,7,0)</f>
        <v>#N/A</v>
      </c>
      <c r="F23" s="12" t="e">
        <f>VLOOKUP(B23,distribucion!$G$8:$DV$152,14,0)</f>
        <v>#N/A</v>
      </c>
      <c r="G23" s="55" t="e">
        <f>ROUND((VLOOKUP(B23,distribucion!G$8:FP$152,121,0)),2)</f>
        <v>#N/A</v>
      </c>
      <c r="H23" s="55" t="e">
        <f>ROUND((VLOOKUP(B23,distribucion!G$8:FP$152,122,0)),2)</f>
        <v>#N/A</v>
      </c>
      <c r="I23" s="51" t="e">
        <f>G23+H23</f>
        <v>#N/A</v>
      </c>
      <c r="J23" s="51" t="e">
        <f>VLOOKUP(B23,distribucion!G$8:FP$152,123,0)</f>
        <v>#N/A</v>
      </c>
      <c r="K23" s="51" t="e">
        <f>ROUND((VLOOKUP(B23,distribucion!G$8:FP$152,124,0)),2)</f>
        <v>#N/A</v>
      </c>
      <c r="L23" s="51" t="e">
        <f>VLOOKUP(B23,distribucion!G$8:FP$152,125,0)</f>
        <v>#N/A</v>
      </c>
      <c r="M23" s="51" t="e">
        <f>ROUND((VLOOKUP(B23,distribucion!G$8:FP$152,126,0)),2)</f>
        <v>#N/A</v>
      </c>
      <c r="N23" s="51" t="e">
        <f>ROUND((VLOOKUP(B23,distribucion!G$8:FP$152,127,0)),2)</f>
        <v>#N/A</v>
      </c>
      <c r="O23" s="51" t="e">
        <f>SUM(I23:N23)-J23-L23</f>
        <v>#N/A</v>
      </c>
      <c r="P23" s="51" t="e">
        <f>ROUND(((G23+K23+M23+N23)*0.0483),2)</f>
        <v>#N/A</v>
      </c>
      <c r="Q23" s="51" t="e">
        <f>ROUND((VLOOKUP(B23,distribucion!G$8:FP$152,148,0)),2)</f>
        <v>#N/A</v>
      </c>
      <c r="R23" s="51" t="e">
        <f>ROUND((VLOOKUP(B23,distribucion!G$8:FP$152,149,0)),2)</f>
        <v>#N/A</v>
      </c>
      <c r="S23" s="51">
        <v>0</v>
      </c>
      <c r="T23" s="51" t="e">
        <f>ROUND((VLOOKUP(B23,distribucion!G13:FJ152,153,0)),2)</f>
        <v>#N/A</v>
      </c>
      <c r="U23" s="51" t="e">
        <f>ROUND((VLOOKUP(B23,distribucion!G13:FJ152,152,0)),2)</f>
        <v>#N/A</v>
      </c>
      <c r="V23" s="51" t="e">
        <f>ROUND((VLOOKUP(B23,distribucion!G13:FJ152,151,0)),2)</f>
        <v>#N/A</v>
      </c>
      <c r="W23" s="51" t="e">
        <f>ROUND((VLOOKUP(B23,distribucion!G$8:FP$152,154,0)),2)</f>
        <v>#N/A</v>
      </c>
      <c r="X23" s="51" t="e">
        <f t="shared" si="8"/>
        <v>#N/A</v>
      </c>
      <c r="Y23" s="51" t="e">
        <f>O23-X23</f>
        <v>#N/A</v>
      </c>
      <c r="Z23" s="108" t="e">
        <f t="shared" si="9"/>
        <v>#N/A</v>
      </c>
      <c r="AA23" s="51" t="e">
        <f t="shared" si="10"/>
        <v>#N/A</v>
      </c>
      <c r="AB23" s="106" t="e">
        <f t="shared" si="11"/>
        <v>#N/A</v>
      </c>
      <c r="AC23" s="105" t="e">
        <f t="shared" si="12"/>
        <v>#N/A</v>
      </c>
    </row>
    <row r="24" spans="1:29" s="6" customFormat="1">
      <c r="A24" s="3">
        <v>6</v>
      </c>
      <c r="B24" s="4">
        <v>0</v>
      </c>
      <c r="C24" s="11" t="e">
        <f>VLOOKUP(B24,distribucion!G$8:FP$152,2,0)</f>
        <v>#N/A</v>
      </c>
      <c r="D24" s="111" t="e">
        <f t="shared" si="7"/>
        <v>#N/A</v>
      </c>
      <c r="E24" s="52" t="e">
        <f>VLOOKUP(B24,distribucion!G$8:FP$152,7,0)</f>
        <v>#N/A</v>
      </c>
      <c r="F24" s="12" t="e">
        <f>VLOOKUP(B24,distribucion!$G$8:$DV$152,14,0)</f>
        <v>#N/A</v>
      </c>
      <c r="G24" s="55" t="e">
        <f>ROUND((VLOOKUP(B24,distribucion!G$8:FP$152,121,0)),2)</f>
        <v>#N/A</v>
      </c>
      <c r="H24" s="55" t="e">
        <f>ROUND((VLOOKUP(B24,distribucion!G$8:FP$152,122,0)),2)</f>
        <v>#N/A</v>
      </c>
      <c r="I24" s="51" t="e">
        <f>G24+H24</f>
        <v>#N/A</v>
      </c>
      <c r="J24" s="51" t="e">
        <f>VLOOKUP(B24,distribucion!G$8:FP$152,123,0)</f>
        <v>#N/A</v>
      </c>
      <c r="K24" s="51" t="e">
        <f>ROUND((VLOOKUP(B24,distribucion!G$8:FP$152,124,0)),2)</f>
        <v>#N/A</v>
      </c>
      <c r="L24" s="51" t="e">
        <f>VLOOKUP(B24,distribucion!G$8:FP$152,125,0)</f>
        <v>#N/A</v>
      </c>
      <c r="M24" s="51" t="e">
        <f>ROUND((VLOOKUP(B24,distribucion!G$8:FP$152,126,0)),2)</f>
        <v>#N/A</v>
      </c>
      <c r="N24" s="51" t="e">
        <f>ROUND((VLOOKUP(B24,distribucion!G$8:FP$152,127,0)),2)</f>
        <v>#N/A</v>
      </c>
      <c r="O24" s="51" t="e">
        <f>SUM(I24:N24)-J24-L24</f>
        <v>#N/A</v>
      </c>
      <c r="P24" s="51" t="e">
        <f>ROUND(((G24+K24+M24+N24)*0.0483),2)</f>
        <v>#N/A</v>
      </c>
      <c r="Q24" s="51" t="e">
        <f>ROUND((VLOOKUP(B24,distribucion!G$8:FP$152,148,0)),2)</f>
        <v>#N/A</v>
      </c>
      <c r="R24" s="51" t="e">
        <f>ROUND((VLOOKUP(B24,distribucion!G$8:FP$152,149,0)),2)</f>
        <v>#N/A</v>
      </c>
      <c r="S24" s="51">
        <v>0</v>
      </c>
      <c r="T24" s="51" t="e">
        <f>ROUND((VLOOKUP(B24,distribucion!G13:FJ152,153,0)),2)</f>
        <v>#N/A</v>
      </c>
      <c r="U24" s="51" t="e">
        <f>ROUND((VLOOKUP(B24,distribucion!G13:FJ152,152,0)),2)</f>
        <v>#N/A</v>
      </c>
      <c r="V24" s="51" t="e">
        <f>ROUND((VLOOKUP(B24,distribucion!G13:FJ152,151,0)),2)</f>
        <v>#N/A</v>
      </c>
      <c r="W24" s="51" t="e">
        <f>ROUND((VLOOKUP(B24,distribucion!G$8:FP$152,154,0)),2)</f>
        <v>#N/A</v>
      </c>
      <c r="X24" s="51" t="e">
        <f t="shared" si="8"/>
        <v>#N/A</v>
      </c>
      <c r="Y24" s="51" t="e">
        <f>O24-X24</f>
        <v>#N/A</v>
      </c>
      <c r="Z24" s="108" t="e">
        <f t="shared" si="9"/>
        <v>#N/A</v>
      </c>
      <c r="AA24" s="51" t="e">
        <f t="shared" si="10"/>
        <v>#N/A</v>
      </c>
      <c r="AB24" s="106" t="e">
        <f t="shared" si="11"/>
        <v>#N/A</v>
      </c>
      <c r="AC24" s="105" t="e">
        <f t="shared" si="12"/>
        <v>#N/A</v>
      </c>
    </row>
    <row r="25" spans="1:29" s="6" customFormat="1">
      <c r="A25" s="3">
        <v>7</v>
      </c>
      <c r="B25" s="4">
        <v>0</v>
      </c>
      <c r="C25" s="11" t="e">
        <f>VLOOKUP(B25,distribucion!G$8:FP$152,2,0)</f>
        <v>#N/A</v>
      </c>
      <c r="D25" s="111" t="e">
        <f t="shared" si="7"/>
        <v>#N/A</v>
      </c>
      <c r="E25" s="52" t="e">
        <f>VLOOKUP(B25,distribucion!G$8:FP$152,7,0)</f>
        <v>#N/A</v>
      </c>
      <c r="F25" s="12" t="e">
        <f>VLOOKUP(B25,distribucion!$G$8:$DV$152,14,0)</f>
        <v>#N/A</v>
      </c>
      <c r="G25" s="55" t="e">
        <f>ROUND((VLOOKUP(B25,distribucion!G$8:FP$152,121,0)),2)</f>
        <v>#N/A</v>
      </c>
      <c r="H25" s="55" t="e">
        <f>ROUND((VLOOKUP(B25,distribucion!G$8:FP$152,122,0)),2)</f>
        <v>#N/A</v>
      </c>
      <c r="I25" s="51" t="e">
        <f>G25+H25</f>
        <v>#N/A</v>
      </c>
      <c r="J25" s="51" t="e">
        <f>VLOOKUP(B25,distribucion!G$8:FP$152,123,0)</f>
        <v>#N/A</v>
      </c>
      <c r="K25" s="51" t="e">
        <f>ROUND((VLOOKUP(B25,distribucion!G$8:FP$152,124,0)),2)</f>
        <v>#N/A</v>
      </c>
      <c r="L25" s="51" t="e">
        <f>VLOOKUP(B25,distribucion!G$8:FP$152,125,0)</f>
        <v>#N/A</v>
      </c>
      <c r="M25" s="51" t="e">
        <f>ROUND((VLOOKUP(B25,distribucion!G$8:FP$152,126,0)),2)</f>
        <v>#N/A</v>
      </c>
      <c r="N25" s="51" t="e">
        <f>ROUND((VLOOKUP(B25,distribucion!G$8:FP$152,127,0)),2)</f>
        <v>#N/A</v>
      </c>
      <c r="O25" s="51" t="e">
        <f>SUM(I25:N25)-J25-L25</f>
        <v>#N/A</v>
      </c>
      <c r="P25" s="51" t="e">
        <f>ROUND(((G25+K25+M25+N25)*0.0483),2)</f>
        <v>#N/A</v>
      </c>
      <c r="Q25" s="51" t="e">
        <f>ROUND((VLOOKUP(B25,distribucion!G$8:FP$152,148,0)),2)</f>
        <v>#N/A</v>
      </c>
      <c r="R25" s="51" t="e">
        <f>ROUND((VLOOKUP(B25,distribucion!G$8:FP$152,149,0)),2)</f>
        <v>#N/A</v>
      </c>
      <c r="S25" s="51">
        <v>0</v>
      </c>
      <c r="T25" s="51" t="e">
        <f>ROUND((VLOOKUP(B25,distribucion!G13:FJ152,153,0)),2)</f>
        <v>#N/A</v>
      </c>
      <c r="U25" s="51" t="e">
        <f>ROUND((VLOOKUP(B25,distribucion!G13:FJ152,152,0)),2)</f>
        <v>#N/A</v>
      </c>
      <c r="V25" s="51" t="e">
        <f>ROUND((VLOOKUP(B25,distribucion!G13:FJ152,151,0)),2)</f>
        <v>#N/A</v>
      </c>
      <c r="W25" s="51" t="e">
        <f>ROUND((VLOOKUP(B25,distribucion!G$8:FP$152,154,0)),2)</f>
        <v>#N/A</v>
      </c>
      <c r="X25" s="51" t="e">
        <f t="shared" si="8"/>
        <v>#N/A</v>
      </c>
      <c r="Y25" s="51" t="e">
        <f>O25-X25</f>
        <v>#N/A</v>
      </c>
      <c r="Z25" s="108" t="e">
        <f t="shared" si="9"/>
        <v>#N/A</v>
      </c>
      <c r="AA25" s="51" t="e">
        <f t="shared" si="10"/>
        <v>#N/A</v>
      </c>
      <c r="AB25" s="106" t="e">
        <f t="shared" si="11"/>
        <v>#N/A</v>
      </c>
      <c r="AC25" s="105" t="e">
        <f t="shared" si="12"/>
        <v>#N/A</v>
      </c>
    </row>
    <row r="26" spans="1:29" s="6" customFormat="1">
      <c r="A26" s="3">
        <v>8</v>
      </c>
      <c r="B26" s="4">
        <v>0</v>
      </c>
      <c r="C26" s="11" t="e">
        <f>VLOOKUP(B26,distribucion!G$8:FP$152,2,0)</f>
        <v>#N/A</v>
      </c>
      <c r="D26" s="111" t="e">
        <f t="shared" si="7"/>
        <v>#N/A</v>
      </c>
      <c r="E26" s="52" t="e">
        <f>VLOOKUP(B26,distribucion!G$8:FP$152,7,0)</f>
        <v>#N/A</v>
      </c>
      <c r="F26" s="12" t="e">
        <f>VLOOKUP(B26,distribucion!$G$8:$DV$152,14,0)</f>
        <v>#N/A</v>
      </c>
      <c r="G26" s="55" t="e">
        <f>ROUND((VLOOKUP(B26,distribucion!G$8:FP$152,121,0)),2)</f>
        <v>#N/A</v>
      </c>
      <c r="H26" s="55" t="e">
        <f>ROUND((VLOOKUP(B26,distribucion!G$8:FP$152,122,0)),2)</f>
        <v>#N/A</v>
      </c>
      <c r="I26" s="51" t="e">
        <f>G26+H26</f>
        <v>#N/A</v>
      </c>
      <c r="J26" s="51" t="e">
        <f>VLOOKUP(B26,distribucion!G$8:FP$152,123,0)</f>
        <v>#N/A</v>
      </c>
      <c r="K26" s="51" t="e">
        <f>ROUND((VLOOKUP(B26,distribucion!G$8:FP$152,124,0)),2)</f>
        <v>#N/A</v>
      </c>
      <c r="L26" s="51" t="e">
        <f>VLOOKUP(B26,distribucion!G$8:FP$152,125,0)</f>
        <v>#N/A</v>
      </c>
      <c r="M26" s="51" t="e">
        <f>ROUND((VLOOKUP(B26,distribucion!G$8:FP$152,126,0)),2)</f>
        <v>#N/A</v>
      </c>
      <c r="N26" s="51" t="e">
        <f>ROUND((VLOOKUP(B26,distribucion!G$8:FP$152,127,0)),2)</f>
        <v>#N/A</v>
      </c>
      <c r="O26" s="51" t="e">
        <f>SUM(I26:N26)-J26-L26</f>
        <v>#N/A</v>
      </c>
      <c r="P26" s="51" t="e">
        <f>ROUND(((G26+K26+M26+N26)*0.0483),2)</f>
        <v>#N/A</v>
      </c>
      <c r="Q26" s="51" t="e">
        <f>ROUND((VLOOKUP(B26,distribucion!G$8:FP$152,148,0)),2)</f>
        <v>#N/A</v>
      </c>
      <c r="R26" s="51" t="e">
        <f>ROUND((VLOOKUP(B26,distribucion!G$8:FP$152,149,0)),2)</f>
        <v>#N/A</v>
      </c>
      <c r="S26" s="51">
        <v>0</v>
      </c>
      <c r="T26" s="51" t="e">
        <f>ROUND((VLOOKUP(B26,distribucion!G13:FJ152,153,0)),2)</f>
        <v>#N/A</v>
      </c>
      <c r="U26" s="51" t="e">
        <f>ROUND((VLOOKUP(B26,distribucion!G13:FJ152,152,0)),2)</f>
        <v>#N/A</v>
      </c>
      <c r="V26" s="51" t="e">
        <f>ROUND((VLOOKUP(B26,distribucion!G13:FJ152,151,0)),2)</f>
        <v>#N/A</v>
      </c>
      <c r="W26" s="51" t="e">
        <f>ROUND((VLOOKUP(B26,distribucion!G$8:FP$152,154,0)),2)</f>
        <v>#N/A</v>
      </c>
      <c r="X26" s="51" t="e">
        <f t="shared" si="8"/>
        <v>#N/A</v>
      </c>
      <c r="Y26" s="51" t="e">
        <f>O26-X26</f>
        <v>#N/A</v>
      </c>
      <c r="Z26" s="108" t="e">
        <f t="shared" si="9"/>
        <v>#N/A</v>
      </c>
      <c r="AA26" s="51" t="e">
        <f t="shared" si="10"/>
        <v>#N/A</v>
      </c>
      <c r="AB26" s="106" t="e">
        <f t="shared" si="11"/>
        <v>#N/A</v>
      </c>
      <c r="AC26" s="105" t="e">
        <f t="shared" si="12"/>
        <v>#N/A</v>
      </c>
    </row>
    <row r="27" spans="1:29" s="6" customFormat="1">
      <c r="A27" s="3">
        <v>9</v>
      </c>
      <c r="B27" s="4">
        <v>0</v>
      </c>
      <c r="C27" s="11" t="e">
        <f>VLOOKUP(B27,distribucion!G$8:FP$152,2,0)</f>
        <v>#N/A</v>
      </c>
      <c r="D27" s="111" t="e">
        <f t="shared" si="7"/>
        <v>#N/A</v>
      </c>
      <c r="E27" s="52" t="e">
        <f>VLOOKUP(B27,distribucion!G$8:FP$152,7,0)</f>
        <v>#N/A</v>
      </c>
      <c r="F27" s="12" t="e">
        <f>VLOOKUP(B27,distribucion!$G$8:$DV$152,14,0)</f>
        <v>#N/A</v>
      </c>
      <c r="G27" s="55" t="e">
        <f>ROUND((VLOOKUP(B27,distribucion!G$8:FP$152,121,0)),2)</f>
        <v>#N/A</v>
      </c>
      <c r="H27" s="55" t="e">
        <f>ROUND((VLOOKUP(B27,distribucion!G$8:FP$152,122,0)),2)</f>
        <v>#N/A</v>
      </c>
      <c r="I27" s="51" t="e">
        <f t="shared" si="3"/>
        <v>#N/A</v>
      </c>
      <c r="J27" s="51" t="e">
        <f>VLOOKUP(B27,distribucion!G$8:FP$152,123,0)</f>
        <v>#N/A</v>
      </c>
      <c r="K27" s="51" t="e">
        <f>ROUND((VLOOKUP(B27,distribucion!G$8:FP$152,124,0)),2)</f>
        <v>#N/A</v>
      </c>
      <c r="L27" s="51" t="e">
        <f>VLOOKUP(B27,distribucion!G$8:FP$152,125,0)</f>
        <v>#N/A</v>
      </c>
      <c r="M27" s="51" t="e">
        <f>ROUND((VLOOKUP(B27,distribucion!G$8:FP$152,126,0)),2)</f>
        <v>#N/A</v>
      </c>
      <c r="N27" s="51" t="e">
        <f>ROUND((VLOOKUP(B27,distribucion!G$8:FP$152,127,0)),2)</f>
        <v>#N/A</v>
      </c>
      <c r="O27" s="51" t="e">
        <f t="shared" si="4"/>
        <v>#N/A</v>
      </c>
      <c r="P27" s="51" t="e">
        <f t="shared" si="5"/>
        <v>#N/A</v>
      </c>
      <c r="Q27" s="51" t="e">
        <f>ROUND((VLOOKUP(B27,distribucion!G$8:FP$152,148,0)),2)</f>
        <v>#N/A</v>
      </c>
      <c r="R27" s="51" t="e">
        <f>ROUND((VLOOKUP(B27,distribucion!G$8:FP$152,149,0)),2)</f>
        <v>#N/A</v>
      </c>
      <c r="S27" s="51">
        <v>0</v>
      </c>
      <c r="T27" s="51" t="e">
        <f>ROUND((VLOOKUP(B27,distribucion!G13:FJ152,153,0)),2)</f>
        <v>#N/A</v>
      </c>
      <c r="U27" s="51" t="e">
        <f>ROUND((VLOOKUP(B27,distribucion!G13:FJ152,152,0)),2)</f>
        <v>#N/A</v>
      </c>
      <c r="V27" s="51" t="e">
        <f>ROUND((VLOOKUP(B27,distribucion!G13:FJ152,151,0)),2)</f>
        <v>#N/A</v>
      </c>
      <c r="W27" s="51" t="e">
        <f>ROUND((VLOOKUP(B27,distribucion!G$8:FP$152,154,0)),2)</f>
        <v>#N/A</v>
      </c>
      <c r="X27" s="51" t="e">
        <f t="shared" si="8"/>
        <v>#N/A</v>
      </c>
      <c r="Y27" s="51" t="e">
        <f t="shared" si="6"/>
        <v>#N/A</v>
      </c>
      <c r="Z27" s="108" t="e">
        <f t="shared" si="9"/>
        <v>#N/A</v>
      </c>
      <c r="AA27" s="51" t="e">
        <f t="shared" si="10"/>
        <v>#N/A</v>
      </c>
      <c r="AB27" s="106" t="e">
        <f t="shared" si="11"/>
        <v>#N/A</v>
      </c>
      <c r="AC27" s="105" t="e">
        <f t="shared" si="12"/>
        <v>#N/A</v>
      </c>
    </row>
    <row r="28" spans="1:29" s="6" customFormat="1">
      <c r="A28" s="3">
        <v>10</v>
      </c>
      <c r="B28" s="4">
        <v>0</v>
      </c>
      <c r="C28" s="11" t="e">
        <f>VLOOKUP(B28,distribucion!G$8:FP$152,2,0)</f>
        <v>#N/A</v>
      </c>
      <c r="D28" s="11" t="e">
        <f>G28+K28+M28</f>
        <v>#N/A</v>
      </c>
      <c r="E28" s="52" t="e">
        <f>VLOOKUP(B28,distribucion!G$8:FP$152,7,0)</f>
        <v>#N/A</v>
      </c>
      <c r="F28" s="12" t="e">
        <f>VLOOKUP(B28,distribucion!$G$8:$DV$152,14,0)</f>
        <v>#N/A</v>
      </c>
      <c r="G28" s="55" t="e">
        <f>ROUND((VLOOKUP(B28,distribucion!G$8:FP$152,121,0)),2)</f>
        <v>#N/A</v>
      </c>
      <c r="H28" s="55" t="e">
        <f>ROUND((VLOOKUP(B28,distribucion!G$8:FP$152,122,0)),2)</f>
        <v>#N/A</v>
      </c>
      <c r="I28" s="51" t="e">
        <f t="shared" si="3"/>
        <v>#N/A</v>
      </c>
      <c r="J28" s="51" t="e">
        <f>VLOOKUP(B28,distribucion!G$8:FP$152,123,0)</f>
        <v>#N/A</v>
      </c>
      <c r="K28" s="51" t="e">
        <f>ROUND((VLOOKUP(B28,distribucion!G$8:FP$152,124,0)),2)</f>
        <v>#N/A</v>
      </c>
      <c r="L28" s="51" t="e">
        <f>VLOOKUP(B28,distribucion!G$8:FP$152,125,0)</f>
        <v>#N/A</v>
      </c>
      <c r="M28" s="51" t="e">
        <f>ROUND((VLOOKUP(B28,distribucion!G$8:FP$152,126,0)),2)</f>
        <v>#N/A</v>
      </c>
      <c r="N28" s="51" t="e">
        <f>ROUND((VLOOKUP(B28,distribucion!G$8:FP$152,127,0)),2)</f>
        <v>#N/A</v>
      </c>
      <c r="O28" s="51" t="e">
        <f t="shared" si="4"/>
        <v>#N/A</v>
      </c>
      <c r="P28" s="51" t="e">
        <f t="shared" si="5"/>
        <v>#N/A</v>
      </c>
      <c r="Q28" s="51" t="e">
        <f>ROUND((VLOOKUP(B28,distribucion!G$8:FP$152,148,0)),2)</f>
        <v>#N/A</v>
      </c>
      <c r="R28" s="51" t="e">
        <f>ROUND((VLOOKUP(B28,distribucion!G$8:FP$152,149,0)),2)</f>
        <v>#N/A</v>
      </c>
      <c r="S28" s="51">
        <v>0</v>
      </c>
      <c r="T28" s="51" t="e">
        <f>ROUND((VLOOKUP(B28,distribucion!G13:FJ152,153,0)),2)</f>
        <v>#N/A</v>
      </c>
      <c r="U28" s="51" t="e">
        <f>ROUND((VLOOKUP(B28,distribucion!G13:FJ152,152,0)),2)</f>
        <v>#N/A</v>
      </c>
      <c r="V28" s="51" t="e">
        <f>ROUND((VLOOKUP(B28,distribucion!G13:FJ152,151,0)),2)</f>
        <v>#N/A</v>
      </c>
      <c r="W28" s="51" t="e">
        <f>ROUND((VLOOKUP(B28,distribucion!G$8:FP$152,154,0)),2)</f>
        <v>#N/A</v>
      </c>
      <c r="X28" s="51" t="e">
        <f>SUM(P28:W28)</f>
        <v>#N/A</v>
      </c>
      <c r="Y28" s="51" t="e">
        <f t="shared" si="6"/>
        <v>#N/A</v>
      </c>
      <c r="Z28" s="108" t="e">
        <f t="shared" si="9"/>
        <v>#N/A</v>
      </c>
      <c r="AA28" s="51" t="e">
        <f t="shared" si="10"/>
        <v>#N/A</v>
      </c>
      <c r="AB28" s="106" t="e">
        <f t="shared" si="11"/>
        <v>#N/A</v>
      </c>
      <c r="AC28" s="105" t="e">
        <f t="shared" si="12"/>
        <v>#N/A</v>
      </c>
    </row>
    <row r="29" spans="1:29" s="6" customFormat="1">
      <c r="A29" s="3">
        <v>11</v>
      </c>
      <c r="B29" s="4">
        <v>0</v>
      </c>
      <c r="C29" s="11" t="e">
        <f>VLOOKUP(B29,distribucion!G$8:FP$152,2,0)</f>
        <v>#N/A</v>
      </c>
      <c r="D29" s="11" t="e">
        <f>G29+K29+M29</f>
        <v>#N/A</v>
      </c>
      <c r="E29" s="52" t="e">
        <f>VLOOKUP(B29,distribucion!G$8:FP$152,7,0)</f>
        <v>#N/A</v>
      </c>
      <c r="F29" s="12" t="e">
        <f>VLOOKUP(B29,distribucion!$G$8:$DV$152,14,0)</f>
        <v>#N/A</v>
      </c>
      <c r="G29" s="55" t="e">
        <f>ROUND((VLOOKUP(B29,distribucion!G$8:FP$152,121,0)),2)</f>
        <v>#N/A</v>
      </c>
      <c r="H29" s="55" t="e">
        <f>ROUND((VLOOKUP(B29,distribucion!G$8:FP$152,122,0)),2)</f>
        <v>#N/A</v>
      </c>
      <c r="I29" s="51" t="e">
        <f t="shared" si="3"/>
        <v>#N/A</v>
      </c>
      <c r="J29" s="51" t="e">
        <f>VLOOKUP(B29,distribucion!G$8:FP$152,123,0)</f>
        <v>#N/A</v>
      </c>
      <c r="K29" s="51" t="e">
        <f>ROUND((VLOOKUP(B29,distribucion!G$8:FP$152,124,0)),2)</f>
        <v>#N/A</v>
      </c>
      <c r="L29" s="51" t="e">
        <f>VLOOKUP(B29,distribucion!G$8:FP$152,125,0)</f>
        <v>#N/A</v>
      </c>
      <c r="M29" s="51" t="e">
        <f>ROUND((VLOOKUP(B29,distribucion!G$8:FP$152,126,0)),2)</f>
        <v>#N/A</v>
      </c>
      <c r="N29" s="51" t="e">
        <f>ROUND((VLOOKUP(B29,distribucion!G$8:FP$152,127,0)),2)</f>
        <v>#N/A</v>
      </c>
      <c r="O29" s="51" t="e">
        <f t="shared" si="4"/>
        <v>#N/A</v>
      </c>
      <c r="P29" s="51" t="e">
        <f t="shared" si="5"/>
        <v>#N/A</v>
      </c>
      <c r="Q29" s="51" t="e">
        <f>ROUND((VLOOKUP(B29,distribucion!G$8:FP$152,148,0)),2)</f>
        <v>#N/A</v>
      </c>
      <c r="R29" s="51" t="e">
        <f>ROUND((VLOOKUP(B29,distribucion!G$8:FP$152,149,0)),2)</f>
        <v>#N/A</v>
      </c>
      <c r="S29" s="51">
        <v>0</v>
      </c>
      <c r="T29" s="51" t="e">
        <f>ROUND((VLOOKUP(B29,distribucion!G13:FJ152,153,0)),2)</f>
        <v>#N/A</v>
      </c>
      <c r="U29" s="51" t="e">
        <f>ROUND((VLOOKUP(B29,distribucion!G13:FJ152,152,0)),2)</f>
        <v>#N/A</v>
      </c>
      <c r="V29" s="51" t="e">
        <f>ROUND((VLOOKUP(B29,distribucion!G13:FJ152,151,0)),2)</f>
        <v>#N/A</v>
      </c>
      <c r="W29" s="51" t="e">
        <f>ROUND((VLOOKUP(B29,distribucion!G$8:FP$152,154,0)),2)</f>
        <v>#N/A</v>
      </c>
      <c r="X29" s="51" t="e">
        <f>SUM(P29:W29)</f>
        <v>#N/A</v>
      </c>
      <c r="Y29" s="51" t="e">
        <f t="shared" si="6"/>
        <v>#N/A</v>
      </c>
      <c r="Z29" s="108" t="e">
        <f t="shared" si="9"/>
        <v>#N/A</v>
      </c>
      <c r="AA29" s="51" t="e">
        <f t="shared" si="10"/>
        <v>#N/A</v>
      </c>
      <c r="AB29" s="106" t="e">
        <f t="shared" si="11"/>
        <v>#N/A</v>
      </c>
      <c r="AC29" s="105" t="e">
        <f t="shared" si="12"/>
        <v>#N/A</v>
      </c>
    </row>
    <row r="30" spans="1:29" s="6" customFormat="1" ht="13.8" thickBot="1">
      <c r="A30" s="3"/>
      <c r="B30" s="10"/>
      <c r="C30" s="15" t="s">
        <v>171</v>
      </c>
      <c r="D30" s="15" t="s">
        <v>171</v>
      </c>
      <c r="E30" s="52"/>
      <c r="F30" s="12"/>
      <c r="G30" s="73" t="e">
        <f t="shared" ref="G30:Y30" si="13">SUM(G21:G29)</f>
        <v>#N/A</v>
      </c>
      <c r="H30" s="73" t="e">
        <f t="shared" si="13"/>
        <v>#N/A</v>
      </c>
      <c r="I30" s="73" t="e">
        <f t="shared" si="13"/>
        <v>#N/A</v>
      </c>
      <c r="J30" s="73" t="e">
        <f t="shared" si="13"/>
        <v>#N/A</v>
      </c>
      <c r="K30" s="73" t="e">
        <f t="shared" si="13"/>
        <v>#N/A</v>
      </c>
      <c r="L30" s="73" t="e">
        <f t="shared" si="13"/>
        <v>#N/A</v>
      </c>
      <c r="M30" s="73" t="e">
        <f t="shared" si="13"/>
        <v>#N/A</v>
      </c>
      <c r="N30" s="73" t="e">
        <f t="shared" si="13"/>
        <v>#N/A</v>
      </c>
      <c r="O30" s="73" t="e">
        <f t="shared" si="13"/>
        <v>#N/A</v>
      </c>
      <c r="P30" s="73" t="e">
        <f t="shared" si="13"/>
        <v>#N/A</v>
      </c>
      <c r="Q30" s="73" t="e">
        <f t="shared" si="13"/>
        <v>#N/A</v>
      </c>
      <c r="R30" s="73" t="e">
        <f t="shared" si="13"/>
        <v>#N/A</v>
      </c>
      <c r="S30" s="73">
        <f t="shared" si="13"/>
        <v>0</v>
      </c>
      <c r="T30" s="73" t="e">
        <f t="shared" si="13"/>
        <v>#N/A</v>
      </c>
      <c r="U30" s="73" t="e">
        <f t="shared" si="13"/>
        <v>#N/A</v>
      </c>
      <c r="V30" s="73" t="e">
        <f t="shared" si="13"/>
        <v>#N/A</v>
      </c>
      <c r="W30" s="73" t="e">
        <f t="shared" si="13"/>
        <v>#N/A</v>
      </c>
      <c r="X30" s="73" t="e">
        <f t="shared" si="13"/>
        <v>#N/A</v>
      </c>
      <c r="Y30" s="73" t="e">
        <f t="shared" si="13"/>
        <v>#N/A</v>
      </c>
      <c r="Z30" s="73" t="e">
        <f>SUM(Z21:Z29)</f>
        <v>#N/A</v>
      </c>
      <c r="AA30" s="73" t="e">
        <f>SUM(AA21:AA29)</f>
        <v>#N/A</v>
      </c>
      <c r="AB30" s="106" t="e">
        <f t="shared" si="11"/>
        <v>#N/A</v>
      </c>
      <c r="AC30" s="105" t="e">
        <f t="shared" si="12"/>
        <v>#N/A</v>
      </c>
    </row>
    <row r="31" spans="1:29" s="6" customFormat="1" ht="13.8" thickTop="1">
      <c r="A31" s="3"/>
      <c r="B31" s="10"/>
      <c r="C31" s="15"/>
      <c r="D31" s="15"/>
      <c r="E31" s="52"/>
      <c r="F31" s="12"/>
      <c r="G31" s="53"/>
      <c r="H31" s="53"/>
      <c r="I31" s="53"/>
      <c r="J31" s="53"/>
      <c r="K31" s="53"/>
      <c r="L31" s="53"/>
      <c r="M31" s="53"/>
      <c r="N31" s="53"/>
      <c r="O31" s="53"/>
      <c r="P31" s="53"/>
      <c r="Q31" s="53"/>
      <c r="R31" s="53"/>
      <c r="S31" s="53"/>
      <c r="T31" s="53"/>
      <c r="U31" s="53"/>
      <c r="V31" s="53"/>
      <c r="W31" s="53"/>
      <c r="X31" s="53"/>
      <c r="Y31" s="53"/>
      <c r="Z31" s="53"/>
      <c r="AA31" s="53"/>
      <c r="AB31" s="106">
        <f t="shared" si="11"/>
        <v>0</v>
      </c>
      <c r="AC31" s="105">
        <f t="shared" si="12"/>
        <v>0</v>
      </c>
    </row>
    <row r="32" spans="1:29" s="6" customFormat="1">
      <c r="A32" s="3"/>
      <c r="B32" s="16" t="s">
        <v>362</v>
      </c>
      <c r="C32" s="15"/>
      <c r="D32" s="15"/>
      <c r="E32" s="52"/>
      <c r="F32" s="12"/>
      <c r="G32" s="53"/>
      <c r="H32" s="53"/>
      <c r="I32" s="53"/>
      <c r="J32" s="53"/>
      <c r="K32" s="53"/>
      <c r="L32" s="53"/>
      <c r="M32" s="53"/>
      <c r="N32" s="53"/>
      <c r="O32" s="53"/>
      <c r="P32" s="53"/>
      <c r="Q32" s="53"/>
      <c r="R32" s="53"/>
      <c r="S32" s="53"/>
      <c r="T32" s="53"/>
      <c r="U32" s="53"/>
      <c r="V32" s="53"/>
      <c r="W32" s="53"/>
      <c r="X32" s="53"/>
      <c r="Y32" s="53"/>
      <c r="Z32" s="53"/>
      <c r="AA32" s="53"/>
      <c r="AB32" s="106">
        <f t="shared" si="11"/>
        <v>0</v>
      </c>
      <c r="AC32" s="105">
        <f t="shared" si="12"/>
        <v>0</v>
      </c>
    </row>
    <row r="33" spans="1:29" s="6" customFormat="1">
      <c r="A33" s="3">
        <v>12</v>
      </c>
      <c r="B33" s="4">
        <v>0</v>
      </c>
      <c r="C33" s="11" t="e">
        <f>VLOOKUP(B33,distribucion!G$8:FP$152,2,0)</f>
        <v>#N/A</v>
      </c>
      <c r="D33" s="11" t="e">
        <f>G33+K33+M33</f>
        <v>#N/A</v>
      </c>
      <c r="E33" s="52" t="e">
        <f>VLOOKUP(B33,distribucion!G$8:FP$152,7,0)</f>
        <v>#N/A</v>
      </c>
      <c r="F33" s="12" t="e">
        <f>VLOOKUP(B33,distribucion!$G$8:$DV$152,14,0)</f>
        <v>#N/A</v>
      </c>
      <c r="G33" s="55" t="e">
        <f>ROUND((VLOOKUP(B33,distribucion!G$8:FP$152,121,0)),2)</f>
        <v>#N/A</v>
      </c>
      <c r="H33" s="55" t="e">
        <f>ROUND((VLOOKUP(B33,distribucion!G$8:FP$152,122,0)),2)</f>
        <v>#N/A</v>
      </c>
      <c r="I33" s="51" t="e">
        <f>G33+H33</f>
        <v>#N/A</v>
      </c>
      <c r="J33" s="51" t="e">
        <f>VLOOKUP(B33,distribucion!G$8:FP$152,123,0)</f>
        <v>#N/A</v>
      </c>
      <c r="K33" s="51" t="e">
        <f>ROUND((VLOOKUP(B33,distribucion!G$8:FP$152,124,0)),2)</f>
        <v>#N/A</v>
      </c>
      <c r="L33" s="51" t="e">
        <f>VLOOKUP(B33,distribucion!G$8:FP$152,125,0)</f>
        <v>#N/A</v>
      </c>
      <c r="M33" s="51" t="e">
        <f>ROUND((VLOOKUP(B33,distribucion!G$8:FP$152,126,0)),2)</f>
        <v>#N/A</v>
      </c>
      <c r="N33" s="51" t="e">
        <f>ROUND((VLOOKUP(B33,distribucion!G$8:FP$152,127,0)),2)</f>
        <v>#N/A</v>
      </c>
      <c r="O33" s="51" t="e">
        <f>SUM(I33:N33)-J33-L33</f>
        <v>#N/A</v>
      </c>
      <c r="P33" s="51" t="e">
        <f>ROUND(((G33+K33+M33+N33)*0.0483),2)</f>
        <v>#N/A</v>
      </c>
      <c r="Q33" s="51" t="e">
        <f>ROUND((VLOOKUP(B33,distribucion!G$8:FP$152,148,0)),2)</f>
        <v>#N/A</v>
      </c>
      <c r="R33" s="51" t="e">
        <f>ROUND((VLOOKUP(B33,distribucion!G$8:FP$152,149,0)),2)</f>
        <v>#N/A</v>
      </c>
      <c r="S33" s="51">
        <v>0</v>
      </c>
      <c r="T33" s="51" t="e">
        <f>ROUND((VLOOKUP(B33,distribucion!G13:FJ152,153,0)),2)</f>
        <v>#N/A</v>
      </c>
      <c r="U33" s="51" t="e">
        <f>ROUND((VLOOKUP(B33,distribucion!G13:FJ152,152,0)),2)</f>
        <v>#N/A</v>
      </c>
      <c r="V33" s="51" t="e">
        <f>ROUND((VLOOKUP(B33,distribucion!G13:FJ152,151,0)),2)</f>
        <v>#N/A</v>
      </c>
      <c r="W33" s="51" t="e">
        <f>ROUND((VLOOKUP(B33,distribucion!G$8:FP$152,154,0)),2)</f>
        <v>#N/A</v>
      </c>
      <c r="X33" s="51" t="e">
        <f>SUM(P33:W33)</f>
        <v>#N/A</v>
      </c>
      <c r="Y33" s="51" t="e">
        <f>O33-X33</f>
        <v>#N/A</v>
      </c>
      <c r="Z33" s="108" t="e">
        <f>+Y33</f>
        <v>#N/A</v>
      </c>
      <c r="AA33" s="51" t="e">
        <f>+Y33-Z33</f>
        <v>#N/A</v>
      </c>
      <c r="AB33" s="106" t="e">
        <f t="shared" si="11"/>
        <v>#N/A</v>
      </c>
      <c r="AC33" s="105" t="e">
        <f t="shared" si="12"/>
        <v>#N/A</v>
      </c>
    </row>
    <row r="34" spans="1:29" s="6" customFormat="1" ht="13.8" thickBot="1">
      <c r="A34" s="3"/>
      <c r="B34" s="10"/>
      <c r="C34" s="15"/>
      <c r="D34" s="15"/>
      <c r="E34" s="52"/>
      <c r="F34" s="12"/>
      <c r="G34" s="73" t="e">
        <f>+G33</f>
        <v>#N/A</v>
      </c>
      <c r="H34" s="73" t="e">
        <f t="shared" ref="H34:Z34" si="14">+H33</f>
        <v>#N/A</v>
      </c>
      <c r="I34" s="73" t="e">
        <f t="shared" si="14"/>
        <v>#N/A</v>
      </c>
      <c r="J34" s="73" t="e">
        <f t="shared" si="14"/>
        <v>#N/A</v>
      </c>
      <c r="K34" s="73" t="e">
        <f t="shared" si="14"/>
        <v>#N/A</v>
      </c>
      <c r="L34" s="73" t="e">
        <f t="shared" si="14"/>
        <v>#N/A</v>
      </c>
      <c r="M34" s="73" t="e">
        <f t="shared" si="14"/>
        <v>#N/A</v>
      </c>
      <c r="N34" s="73" t="e">
        <f t="shared" si="14"/>
        <v>#N/A</v>
      </c>
      <c r="O34" s="73" t="e">
        <f t="shared" si="14"/>
        <v>#N/A</v>
      </c>
      <c r="P34" s="73" t="e">
        <f t="shared" si="14"/>
        <v>#N/A</v>
      </c>
      <c r="Q34" s="73" t="e">
        <f t="shared" si="14"/>
        <v>#N/A</v>
      </c>
      <c r="R34" s="73" t="e">
        <f t="shared" si="14"/>
        <v>#N/A</v>
      </c>
      <c r="S34" s="73">
        <f t="shared" si="14"/>
        <v>0</v>
      </c>
      <c r="T34" s="73" t="e">
        <f t="shared" si="14"/>
        <v>#N/A</v>
      </c>
      <c r="U34" s="73" t="e">
        <f t="shared" si="14"/>
        <v>#N/A</v>
      </c>
      <c r="V34" s="73" t="e">
        <f t="shared" si="14"/>
        <v>#N/A</v>
      </c>
      <c r="W34" s="73" t="e">
        <f t="shared" si="14"/>
        <v>#N/A</v>
      </c>
      <c r="X34" s="73" t="e">
        <f t="shared" si="14"/>
        <v>#N/A</v>
      </c>
      <c r="Y34" s="73" t="e">
        <f t="shared" si="14"/>
        <v>#N/A</v>
      </c>
      <c r="Z34" s="73" t="e">
        <f t="shared" si="14"/>
        <v>#N/A</v>
      </c>
      <c r="AA34" s="73" t="e">
        <f>+AA33</f>
        <v>#N/A</v>
      </c>
      <c r="AB34" s="106" t="e">
        <f t="shared" si="11"/>
        <v>#N/A</v>
      </c>
      <c r="AC34" s="105" t="e">
        <f t="shared" si="12"/>
        <v>#N/A</v>
      </c>
    </row>
    <row r="35" spans="1:29" s="6" customFormat="1" ht="13.8" thickTop="1">
      <c r="A35" s="3"/>
      <c r="B35" s="10"/>
      <c r="C35" s="15"/>
      <c r="D35" s="15"/>
      <c r="E35" s="52"/>
      <c r="F35" s="12"/>
      <c r="G35" s="53"/>
      <c r="H35" s="53"/>
      <c r="I35" s="53"/>
      <c r="J35" s="53"/>
      <c r="K35" s="53"/>
      <c r="L35" s="53"/>
      <c r="M35" s="53"/>
      <c r="N35" s="53"/>
      <c r="O35" s="53"/>
      <c r="P35" s="53"/>
      <c r="Q35" s="53"/>
      <c r="R35" s="53"/>
      <c r="S35" s="53"/>
      <c r="T35" s="53"/>
      <c r="U35" s="53"/>
      <c r="V35" s="53"/>
      <c r="W35" s="53"/>
      <c r="X35" s="53"/>
      <c r="Y35" s="53"/>
      <c r="Z35" s="53"/>
      <c r="AA35" s="53"/>
      <c r="AB35" s="106">
        <f t="shared" si="11"/>
        <v>0</v>
      </c>
      <c r="AC35" s="105">
        <f t="shared" si="12"/>
        <v>0</v>
      </c>
    </row>
    <row r="36" spans="1:29" s="6" customFormat="1" ht="13.2">
      <c r="A36" s="3"/>
      <c r="B36" s="10"/>
      <c r="C36" s="15"/>
      <c r="D36" s="15"/>
      <c r="E36" s="52"/>
      <c r="F36" s="56" t="s">
        <v>197</v>
      </c>
      <c r="G36" s="74" t="e">
        <f t="shared" ref="G36:AA36" si="15">+G19+G30+G34</f>
        <v>#N/A</v>
      </c>
      <c r="H36" s="74" t="e">
        <f t="shared" si="15"/>
        <v>#N/A</v>
      </c>
      <c r="I36" s="74" t="e">
        <f t="shared" si="15"/>
        <v>#N/A</v>
      </c>
      <c r="J36" s="74" t="e">
        <f t="shared" si="15"/>
        <v>#N/A</v>
      </c>
      <c r="K36" s="74" t="e">
        <f t="shared" si="15"/>
        <v>#N/A</v>
      </c>
      <c r="L36" s="74" t="e">
        <f t="shared" si="15"/>
        <v>#N/A</v>
      </c>
      <c r="M36" s="74" t="e">
        <f t="shared" si="15"/>
        <v>#N/A</v>
      </c>
      <c r="N36" s="74" t="e">
        <f t="shared" si="15"/>
        <v>#N/A</v>
      </c>
      <c r="O36" s="74" t="e">
        <f t="shared" si="15"/>
        <v>#N/A</v>
      </c>
      <c r="P36" s="74" t="e">
        <f t="shared" si="15"/>
        <v>#N/A</v>
      </c>
      <c r="Q36" s="74" t="e">
        <f t="shared" si="15"/>
        <v>#N/A</v>
      </c>
      <c r="R36" s="74" t="e">
        <f t="shared" si="15"/>
        <v>#N/A</v>
      </c>
      <c r="S36" s="74">
        <f t="shared" si="15"/>
        <v>0</v>
      </c>
      <c r="T36" s="74" t="e">
        <f t="shared" si="15"/>
        <v>#N/A</v>
      </c>
      <c r="U36" s="74" t="e">
        <f t="shared" si="15"/>
        <v>#N/A</v>
      </c>
      <c r="V36" s="74" t="e">
        <f t="shared" si="15"/>
        <v>#N/A</v>
      </c>
      <c r="W36" s="74" t="e">
        <f t="shared" si="15"/>
        <v>#N/A</v>
      </c>
      <c r="X36" s="74" t="e">
        <f t="shared" si="15"/>
        <v>#N/A</v>
      </c>
      <c r="Y36" s="74" t="e">
        <f t="shared" si="15"/>
        <v>#N/A</v>
      </c>
      <c r="Z36" s="74" t="e">
        <f t="shared" si="15"/>
        <v>#N/A</v>
      </c>
      <c r="AA36" s="74" t="e">
        <f t="shared" si="15"/>
        <v>#N/A</v>
      </c>
      <c r="AB36" s="106" t="e">
        <f t="shared" si="11"/>
        <v>#N/A</v>
      </c>
      <c r="AC36" s="105" t="e">
        <f t="shared" si="12"/>
        <v>#N/A</v>
      </c>
    </row>
    <row r="37" spans="1:29" s="6" customFormat="1" ht="13.2">
      <c r="A37" s="3"/>
      <c r="B37" s="10"/>
      <c r="C37" s="15"/>
      <c r="D37" s="15"/>
      <c r="E37" s="52"/>
      <c r="F37" s="12"/>
      <c r="G37" s="53"/>
      <c r="H37" s="53"/>
      <c r="I37" s="53"/>
      <c r="J37" s="53"/>
      <c r="K37" s="53"/>
      <c r="L37" s="53"/>
      <c r="M37" s="53"/>
      <c r="N37" s="53"/>
      <c r="O37" s="53"/>
      <c r="P37" s="53"/>
      <c r="Q37" s="53"/>
      <c r="R37" s="53"/>
      <c r="S37" s="53"/>
      <c r="T37" s="53"/>
      <c r="U37" s="53"/>
      <c r="V37" s="53"/>
      <c r="W37" s="53"/>
      <c r="X37" s="53"/>
      <c r="Y37" s="53"/>
      <c r="Z37" s="53"/>
      <c r="AA37" s="53"/>
      <c r="AB37" s="106">
        <f t="shared" si="11"/>
        <v>0</v>
      </c>
      <c r="AC37" s="105">
        <f t="shared" si="12"/>
        <v>0</v>
      </c>
    </row>
    <row r="38" spans="1:29" ht="10.8" thickBot="1">
      <c r="A38" s="6"/>
      <c r="B38" s="6"/>
      <c r="C38" s="6" t="s">
        <v>129</v>
      </c>
      <c r="D38" s="6"/>
      <c r="E38" s="6"/>
      <c r="G38" s="58" t="e">
        <f t="shared" ref="G38:AA38" si="16">G36+G10</f>
        <v>#N/A</v>
      </c>
      <c r="H38" s="58" t="e">
        <f t="shared" si="16"/>
        <v>#N/A</v>
      </c>
      <c r="I38" s="58" t="e">
        <f t="shared" si="16"/>
        <v>#N/A</v>
      </c>
      <c r="J38" s="58" t="e">
        <f t="shared" si="16"/>
        <v>#N/A</v>
      </c>
      <c r="K38" s="58" t="e">
        <f t="shared" si="16"/>
        <v>#N/A</v>
      </c>
      <c r="L38" s="58" t="e">
        <f t="shared" si="16"/>
        <v>#N/A</v>
      </c>
      <c r="M38" s="58" t="e">
        <f t="shared" si="16"/>
        <v>#N/A</v>
      </c>
      <c r="N38" s="58" t="e">
        <f t="shared" si="16"/>
        <v>#N/A</v>
      </c>
      <c r="O38" s="58" t="e">
        <f t="shared" si="16"/>
        <v>#N/A</v>
      </c>
      <c r="P38" s="58" t="e">
        <f t="shared" si="16"/>
        <v>#N/A</v>
      </c>
      <c r="Q38" s="58" t="e">
        <f t="shared" si="16"/>
        <v>#N/A</v>
      </c>
      <c r="R38" s="58" t="e">
        <f t="shared" si="16"/>
        <v>#N/A</v>
      </c>
      <c r="S38" s="58">
        <f t="shared" si="16"/>
        <v>0</v>
      </c>
      <c r="T38" s="58" t="e">
        <f t="shared" si="16"/>
        <v>#N/A</v>
      </c>
      <c r="U38" s="58" t="e">
        <f t="shared" si="16"/>
        <v>#N/A</v>
      </c>
      <c r="V38" s="58" t="e">
        <f t="shared" si="16"/>
        <v>#N/A</v>
      </c>
      <c r="W38" s="58" t="e">
        <f t="shared" si="16"/>
        <v>#N/A</v>
      </c>
      <c r="X38" s="58" t="e">
        <f t="shared" si="16"/>
        <v>#N/A</v>
      </c>
      <c r="Y38" s="58" t="e">
        <f t="shared" si="16"/>
        <v>#N/A</v>
      </c>
      <c r="Z38" s="58" t="e">
        <f t="shared" si="16"/>
        <v>#N/A</v>
      </c>
      <c r="AA38" s="58" t="e">
        <f t="shared" si="16"/>
        <v>#N/A</v>
      </c>
      <c r="AB38" s="106" t="e">
        <f t="shared" si="11"/>
        <v>#N/A</v>
      </c>
      <c r="AC38" s="105" t="e">
        <f t="shared" si="12"/>
        <v>#N/A</v>
      </c>
    </row>
    <row r="39" spans="1:29" ht="10.8" thickTop="1">
      <c r="G39" s="51"/>
      <c r="H39" s="51"/>
      <c r="I39" s="51"/>
      <c r="J39" s="51"/>
      <c r="K39" s="51"/>
      <c r="L39" s="51"/>
      <c r="M39" s="51"/>
      <c r="N39" s="51"/>
      <c r="O39" s="51"/>
      <c r="P39" s="51"/>
      <c r="Q39" s="51"/>
      <c r="R39" s="51"/>
      <c r="S39" s="51"/>
      <c r="T39" s="51"/>
      <c r="U39" s="51"/>
      <c r="V39" s="51"/>
      <c r="W39" s="51"/>
      <c r="X39" s="51"/>
      <c r="Y39" s="51"/>
      <c r="Z39" s="51"/>
      <c r="AA39" s="51"/>
      <c r="AC39" s="103" t="e">
        <f>+Y40-Z40-AA40</f>
        <v>#N/A</v>
      </c>
    </row>
    <row r="40" spans="1:29">
      <c r="G40" s="107" t="e">
        <f t="shared" ref="G40:AA40" si="17">SUM(G7:G38)-G10-G19-G30-G36-G38-G34</f>
        <v>#N/A</v>
      </c>
      <c r="H40" s="107" t="e">
        <f t="shared" si="17"/>
        <v>#N/A</v>
      </c>
      <c r="I40" s="107" t="e">
        <f t="shared" si="17"/>
        <v>#N/A</v>
      </c>
      <c r="J40" s="107" t="e">
        <f t="shared" si="17"/>
        <v>#N/A</v>
      </c>
      <c r="K40" s="107" t="e">
        <f t="shared" si="17"/>
        <v>#N/A</v>
      </c>
      <c r="L40" s="107" t="e">
        <f t="shared" si="17"/>
        <v>#N/A</v>
      </c>
      <c r="M40" s="107" t="e">
        <f t="shared" si="17"/>
        <v>#N/A</v>
      </c>
      <c r="N40" s="107" t="e">
        <f t="shared" si="17"/>
        <v>#N/A</v>
      </c>
      <c r="O40" s="107" t="e">
        <f t="shared" si="17"/>
        <v>#N/A</v>
      </c>
      <c r="P40" s="107" t="e">
        <f t="shared" si="17"/>
        <v>#N/A</v>
      </c>
      <c r="Q40" s="107" t="e">
        <f t="shared" si="17"/>
        <v>#N/A</v>
      </c>
      <c r="R40" s="107" t="e">
        <f t="shared" si="17"/>
        <v>#N/A</v>
      </c>
      <c r="S40" s="107">
        <f t="shared" si="17"/>
        <v>0</v>
      </c>
      <c r="T40" s="107" t="e">
        <f t="shared" si="17"/>
        <v>#N/A</v>
      </c>
      <c r="U40" s="107" t="e">
        <f t="shared" si="17"/>
        <v>#N/A</v>
      </c>
      <c r="V40" s="107" t="e">
        <f t="shared" si="17"/>
        <v>#N/A</v>
      </c>
      <c r="W40" s="107" t="e">
        <f t="shared" si="17"/>
        <v>#N/A</v>
      </c>
      <c r="X40" s="107" t="e">
        <f t="shared" si="17"/>
        <v>#N/A</v>
      </c>
      <c r="Y40" s="107" t="e">
        <f t="shared" si="17"/>
        <v>#N/A</v>
      </c>
      <c r="Z40" s="107" t="e">
        <f t="shared" si="17"/>
        <v>#N/A</v>
      </c>
      <c r="AA40" s="107" t="e">
        <f t="shared" si="17"/>
        <v>#N/A</v>
      </c>
    </row>
    <row r="41" spans="1:29">
      <c r="G41" s="105" t="e">
        <f>ROUND((G40-G38),2)</f>
        <v>#N/A</v>
      </c>
      <c r="H41" s="105" t="e">
        <f t="shared" ref="H41:AA41" si="18">ROUND((H40-H38),2)</f>
        <v>#N/A</v>
      </c>
      <c r="I41" s="105" t="e">
        <f t="shared" si="18"/>
        <v>#N/A</v>
      </c>
      <c r="J41" s="105" t="e">
        <f t="shared" si="18"/>
        <v>#N/A</v>
      </c>
      <c r="K41" s="105" t="e">
        <f t="shared" si="18"/>
        <v>#N/A</v>
      </c>
      <c r="L41" s="105" t="e">
        <f t="shared" si="18"/>
        <v>#N/A</v>
      </c>
      <c r="M41" s="105" t="e">
        <f t="shared" si="18"/>
        <v>#N/A</v>
      </c>
      <c r="N41" s="105" t="e">
        <f t="shared" si="18"/>
        <v>#N/A</v>
      </c>
      <c r="O41" s="105" t="e">
        <f t="shared" si="18"/>
        <v>#N/A</v>
      </c>
      <c r="P41" s="105" t="e">
        <f t="shared" si="18"/>
        <v>#N/A</v>
      </c>
      <c r="Q41" s="105" t="e">
        <f t="shared" si="18"/>
        <v>#N/A</v>
      </c>
      <c r="R41" s="105" t="e">
        <f t="shared" si="18"/>
        <v>#N/A</v>
      </c>
      <c r="S41" s="105">
        <f t="shared" si="18"/>
        <v>0</v>
      </c>
      <c r="T41" s="105" t="e">
        <f t="shared" si="18"/>
        <v>#N/A</v>
      </c>
      <c r="U41" s="105" t="e">
        <f t="shared" si="18"/>
        <v>#N/A</v>
      </c>
      <c r="V41" s="105" t="e">
        <f t="shared" si="18"/>
        <v>#N/A</v>
      </c>
      <c r="W41" s="105" t="e">
        <f t="shared" si="18"/>
        <v>#N/A</v>
      </c>
      <c r="X41" s="105" t="e">
        <f t="shared" si="18"/>
        <v>#N/A</v>
      </c>
      <c r="Y41" s="105" t="e">
        <f t="shared" si="18"/>
        <v>#N/A</v>
      </c>
      <c r="Z41" s="105" t="e">
        <f t="shared" si="18"/>
        <v>#N/A</v>
      </c>
      <c r="AA41" s="105" t="e">
        <f t="shared" si="18"/>
        <v>#N/A</v>
      </c>
    </row>
    <row r="42" spans="1:29">
      <c r="G42" s="106" t="e">
        <f>IF(G41&lt;&gt;0,"Error,  Total general no coincide  con la suma individual","")</f>
        <v>#N/A</v>
      </c>
      <c r="H42" s="106" t="e">
        <f t="shared" ref="H42:AA42" si="19">IF(H41&lt;&gt;0,"Error,  Total general no coincide  con la suma individual","")</f>
        <v>#N/A</v>
      </c>
      <c r="I42" s="106" t="e">
        <f t="shared" si="19"/>
        <v>#N/A</v>
      </c>
      <c r="J42" s="106" t="e">
        <f t="shared" si="19"/>
        <v>#N/A</v>
      </c>
      <c r="K42" s="106" t="e">
        <f t="shared" si="19"/>
        <v>#N/A</v>
      </c>
      <c r="L42" s="106" t="e">
        <f t="shared" si="19"/>
        <v>#N/A</v>
      </c>
      <c r="M42" s="106" t="e">
        <f t="shared" si="19"/>
        <v>#N/A</v>
      </c>
      <c r="N42" s="106" t="e">
        <f t="shared" si="19"/>
        <v>#N/A</v>
      </c>
      <c r="O42" s="106" t="e">
        <f t="shared" si="19"/>
        <v>#N/A</v>
      </c>
      <c r="P42" s="106" t="e">
        <f t="shared" si="19"/>
        <v>#N/A</v>
      </c>
      <c r="Q42" s="106" t="e">
        <f t="shared" si="19"/>
        <v>#N/A</v>
      </c>
      <c r="R42" s="106" t="e">
        <f t="shared" si="19"/>
        <v>#N/A</v>
      </c>
      <c r="S42" s="106" t="str">
        <f t="shared" si="19"/>
        <v/>
      </c>
      <c r="T42" s="106" t="e">
        <f t="shared" si="19"/>
        <v>#N/A</v>
      </c>
      <c r="U42" s="106" t="e">
        <f t="shared" si="19"/>
        <v>#N/A</v>
      </c>
      <c r="V42" s="106" t="e">
        <f t="shared" si="19"/>
        <v>#N/A</v>
      </c>
      <c r="W42" s="106" t="e">
        <f t="shared" si="19"/>
        <v>#N/A</v>
      </c>
      <c r="X42" s="106" t="e">
        <f t="shared" si="19"/>
        <v>#N/A</v>
      </c>
      <c r="Y42" s="106" t="e">
        <f t="shared" si="19"/>
        <v>#N/A</v>
      </c>
      <c r="Z42" s="106" t="e">
        <f t="shared" si="19"/>
        <v>#N/A</v>
      </c>
      <c r="AA42" s="106" t="e">
        <f t="shared" si="19"/>
        <v>#N/A</v>
      </c>
    </row>
    <row r="43" spans="1:29">
      <c r="C43" s="17" t="s">
        <v>199</v>
      </c>
      <c r="D43" s="14"/>
      <c r="E43" s="14"/>
      <c r="F43" s="14" t="s">
        <v>52</v>
      </c>
      <c r="H43" s="51"/>
      <c r="I43" s="51"/>
      <c r="J43" s="51"/>
      <c r="K43" s="51"/>
      <c r="L43" s="51"/>
      <c r="M43" s="51"/>
      <c r="N43" s="51"/>
      <c r="O43" s="51"/>
      <c r="P43" s="51"/>
      <c r="Q43" s="51"/>
      <c r="R43" s="51"/>
      <c r="S43" s="51"/>
      <c r="T43" s="51"/>
      <c r="U43" s="51"/>
      <c r="V43" s="51"/>
      <c r="W43" s="51"/>
      <c r="X43" s="51"/>
      <c r="Y43" s="51"/>
      <c r="Z43" s="51"/>
      <c r="AA43" s="51"/>
    </row>
    <row r="44" spans="1:29">
      <c r="C44" s="3" t="s">
        <v>134</v>
      </c>
      <c r="D44" s="14"/>
      <c r="E44" s="14"/>
      <c r="F44" s="14"/>
      <c r="G44" s="13" t="e">
        <f>+G38</f>
        <v>#N/A</v>
      </c>
      <c r="H44" s="51"/>
      <c r="I44" s="51"/>
      <c r="J44" s="51"/>
      <c r="K44" s="51"/>
      <c r="L44" s="51"/>
      <c r="M44" s="51"/>
      <c r="N44" s="51"/>
      <c r="O44" s="51"/>
      <c r="P44" s="51"/>
      <c r="Q44" s="51"/>
      <c r="R44" s="51"/>
      <c r="S44" s="51"/>
      <c r="T44" s="51"/>
      <c r="U44" s="51"/>
      <c r="V44" s="51"/>
      <c r="W44" s="51"/>
      <c r="X44" s="51"/>
      <c r="Y44" s="51"/>
      <c r="Z44" s="51"/>
      <c r="AA44" s="51"/>
    </row>
    <row r="45" spans="1:29">
      <c r="C45" s="3" t="s">
        <v>200</v>
      </c>
      <c r="D45" s="14"/>
      <c r="E45" s="14"/>
      <c r="F45" s="14"/>
      <c r="G45" s="13" t="e">
        <f>+H38</f>
        <v>#N/A</v>
      </c>
      <c r="H45" s="51"/>
      <c r="I45" s="51"/>
      <c r="J45" s="51"/>
      <c r="K45" s="51"/>
      <c r="L45" s="51"/>
      <c r="M45" s="51"/>
      <c r="N45" s="51"/>
      <c r="O45" s="51"/>
      <c r="P45" s="51"/>
      <c r="Q45" s="51"/>
      <c r="R45" s="51"/>
      <c r="S45" s="51"/>
      <c r="T45" s="51"/>
      <c r="U45" s="51"/>
      <c r="V45" s="51"/>
      <c r="W45" s="51"/>
      <c r="X45" s="51"/>
      <c r="Y45" s="51"/>
      <c r="Z45" s="51"/>
      <c r="AA45" s="51"/>
    </row>
    <row r="46" spans="1:29">
      <c r="C46" s="3" t="s">
        <v>135</v>
      </c>
      <c r="D46" s="14"/>
      <c r="E46" s="14"/>
      <c r="F46" s="14"/>
      <c r="G46" s="13" t="e">
        <f>+K38+M38</f>
        <v>#N/A</v>
      </c>
      <c r="H46" s="51"/>
      <c r="I46" s="51"/>
      <c r="J46" s="51"/>
      <c r="K46" s="51"/>
      <c r="L46" s="51"/>
      <c r="M46" s="51"/>
      <c r="N46" s="51"/>
      <c r="O46" s="51"/>
      <c r="P46" s="51"/>
      <c r="Q46" s="51"/>
      <c r="R46" s="51"/>
      <c r="S46" s="51"/>
      <c r="T46" s="51"/>
      <c r="U46" s="51"/>
      <c r="V46" s="51"/>
      <c r="W46" s="51"/>
      <c r="X46" s="51"/>
      <c r="Y46" s="51"/>
      <c r="Z46" s="51"/>
      <c r="AA46" s="51"/>
    </row>
    <row r="47" spans="1:29">
      <c r="C47" s="3" t="s">
        <v>7</v>
      </c>
      <c r="D47" s="14"/>
      <c r="E47" s="14"/>
      <c r="F47" s="14"/>
      <c r="G47" s="13" t="e">
        <f>+N38</f>
        <v>#N/A</v>
      </c>
      <c r="H47" s="51"/>
      <c r="I47" s="51"/>
      <c r="J47" s="51"/>
      <c r="K47" s="51"/>
      <c r="L47" s="51"/>
      <c r="M47" s="51"/>
      <c r="N47" s="51"/>
      <c r="O47" s="51"/>
      <c r="P47" s="51"/>
      <c r="Q47" s="51"/>
      <c r="R47" s="51"/>
      <c r="S47" s="51"/>
      <c r="T47" s="51"/>
      <c r="U47" s="51"/>
      <c r="V47" s="51"/>
      <c r="W47" s="51"/>
      <c r="X47" s="51"/>
      <c r="Y47" s="51"/>
      <c r="Z47" s="51"/>
      <c r="AA47" s="51"/>
    </row>
    <row r="48" spans="1:29" ht="10.8" thickBot="1">
      <c r="D48" s="14"/>
      <c r="E48" s="14"/>
      <c r="F48" s="14"/>
      <c r="G48" s="18" t="e">
        <f>SUM(G44:G47)</f>
        <v>#N/A</v>
      </c>
      <c r="H48" s="51"/>
      <c r="I48" s="51"/>
      <c r="J48" s="51"/>
      <c r="K48" s="51"/>
      <c r="L48" s="51"/>
      <c r="M48" s="51"/>
      <c r="N48" s="51"/>
      <c r="O48" s="51"/>
      <c r="P48" s="51"/>
      <c r="Q48" s="51"/>
      <c r="R48" s="51"/>
      <c r="S48" s="51"/>
      <c r="T48" s="51"/>
      <c r="U48" s="51"/>
      <c r="V48" s="51"/>
      <c r="W48" s="51"/>
      <c r="X48" s="51"/>
      <c r="Y48" s="51"/>
      <c r="Z48" s="51"/>
      <c r="AA48" s="51"/>
    </row>
    <row r="49" spans="7:27" ht="10.8" thickTop="1">
      <c r="G49" s="51"/>
      <c r="H49" s="51"/>
      <c r="I49" s="51"/>
      <c r="J49" s="51"/>
      <c r="K49" s="51"/>
      <c r="L49" s="51"/>
      <c r="M49" s="51"/>
      <c r="N49" s="51"/>
      <c r="O49" s="51"/>
      <c r="P49" s="51"/>
      <c r="Q49" s="51"/>
      <c r="R49" s="51"/>
      <c r="S49" s="51"/>
      <c r="T49" s="51"/>
      <c r="U49" s="51"/>
      <c r="V49" s="51"/>
      <c r="W49" s="51"/>
      <c r="X49" s="51"/>
      <c r="Y49" s="51"/>
      <c r="Z49" s="51"/>
      <c r="AA49" s="51"/>
    </row>
    <row r="50" spans="7:27">
      <c r="G50" s="51"/>
      <c r="H50" s="51"/>
      <c r="I50" s="51"/>
      <c r="J50" s="51"/>
      <c r="K50" s="51"/>
      <c r="L50" s="51"/>
      <c r="M50" s="51"/>
      <c r="N50" s="51"/>
      <c r="O50" s="51"/>
      <c r="P50" s="51"/>
      <c r="Q50" s="51"/>
      <c r="R50" s="51"/>
      <c r="S50" s="51"/>
      <c r="T50" s="51"/>
      <c r="U50" s="51"/>
      <c r="V50" s="51"/>
      <c r="W50" s="51"/>
      <c r="X50" s="51"/>
      <c r="Y50" s="51"/>
      <c r="Z50" s="51"/>
      <c r="AA50" s="51"/>
    </row>
    <row r="51" spans="7:27">
      <c r="G51" s="51"/>
      <c r="H51" s="51"/>
      <c r="I51" s="51"/>
      <c r="J51" s="51"/>
      <c r="K51" s="51"/>
      <c r="L51" s="51"/>
      <c r="M51" s="51"/>
      <c r="N51" s="51"/>
      <c r="O51" s="51"/>
      <c r="P51" s="51"/>
      <c r="Q51" s="51"/>
      <c r="R51" s="51"/>
      <c r="S51" s="51"/>
      <c r="T51" s="51"/>
      <c r="U51" s="51"/>
      <c r="V51" s="51"/>
      <c r="W51" s="51"/>
      <c r="X51" s="51"/>
      <c r="Y51" s="51"/>
      <c r="Z51" s="51"/>
      <c r="AA51" s="51"/>
    </row>
    <row r="52" spans="7:27">
      <c r="G52" s="51"/>
      <c r="H52" s="51"/>
      <c r="I52" s="51"/>
      <c r="J52" s="51"/>
      <c r="K52" s="51"/>
      <c r="L52" s="51"/>
      <c r="M52" s="51"/>
      <c r="N52" s="51"/>
      <c r="O52" s="51"/>
      <c r="P52" s="51"/>
      <c r="Q52" s="51"/>
      <c r="R52" s="51"/>
      <c r="S52" s="51"/>
      <c r="T52" s="51"/>
      <c r="U52" s="51"/>
      <c r="V52" s="51"/>
      <c r="W52" s="51"/>
      <c r="X52" s="51"/>
      <c r="Y52" s="51"/>
      <c r="Z52" s="51"/>
      <c r="AA52" s="51"/>
    </row>
    <row r="53" spans="7:27">
      <c r="G53" s="51"/>
      <c r="H53" s="51"/>
      <c r="I53" s="51"/>
      <c r="J53" s="51"/>
      <c r="K53" s="51"/>
      <c r="L53" s="51"/>
      <c r="M53" s="51"/>
      <c r="N53" s="51"/>
      <c r="O53" s="51"/>
      <c r="P53" s="51"/>
      <c r="Q53" s="51"/>
      <c r="R53" s="51"/>
      <c r="S53" s="51"/>
      <c r="T53" s="51"/>
      <c r="U53" s="51"/>
      <c r="V53" s="51"/>
      <c r="W53" s="51"/>
      <c r="X53" s="51"/>
      <c r="Y53" s="51"/>
      <c r="Z53" s="51"/>
      <c r="AA53" s="51"/>
    </row>
    <row r="54" spans="7:27">
      <c r="G54" s="51"/>
      <c r="H54" s="51"/>
      <c r="I54" s="51"/>
      <c r="J54" s="51"/>
      <c r="K54" s="51"/>
      <c r="L54" s="51"/>
      <c r="M54" s="51"/>
      <c r="N54" s="51"/>
      <c r="O54" s="51"/>
      <c r="P54" s="51"/>
      <c r="Q54" s="51"/>
      <c r="R54" s="51"/>
      <c r="S54" s="51"/>
      <c r="T54" s="51"/>
      <c r="U54" s="51"/>
      <c r="V54" s="51"/>
      <c r="W54" s="51"/>
      <c r="X54" s="51"/>
      <c r="Y54" s="51"/>
      <c r="Z54" s="51"/>
      <c r="AA54" s="51"/>
    </row>
    <row r="55" spans="7:27">
      <c r="G55" s="51"/>
      <c r="H55" s="51"/>
      <c r="I55" s="51"/>
      <c r="J55" s="51"/>
      <c r="K55" s="51"/>
      <c r="L55" s="51"/>
      <c r="M55" s="51"/>
      <c r="N55" s="51"/>
      <c r="O55" s="51"/>
      <c r="P55" s="51"/>
      <c r="Q55" s="51"/>
      <c r="R55" s="51"/>
      <c r="S55" s="51"/>
      <c r="T55" s="51"/>
      <c r="U55" s="51"/>
      <c r="V55" s="51"/>
      <c r="W55" s="51"/>
      <c r="X55" s="51"/>
      <c r="Y55" s="51"/>
      <c r="Z55" s="51"/>
      <c r="AA55" s="51"/>
    </row>
    <row r="56" spans="7:27">
      <c r="G56" s="51"/>
      <c r="H56" s="51"/>
      <c r="I56" s="51"/>
      <c r="J56" s="51"/>
      <c r="K56" s="51"/>
      <c r="L56" s="51"/>
      <c r="M56" s="51"/>
      <c r="N56" s="51"/>
      <c r="O56" s="51"/>
      <c r="P56" s="51"/>
      <c r="Q56" s="51"/>
      <c r="R56" s="51"/>
      <c r="S56" s="51"/>
      <c r="T56" s="51"/>
      <c r="U56" s="51"/>
      <c r="V56" s="51"/>
      <c r="W56" s="51"/>
      <c r="X56" s="51"/>
      <c r="Y56" s="51"/>
      <c r="Z56" s="51"/>
      <c r="AA56" s="51"/>
    </row>
    <row r="57" spans="7:27">
      <c r="G57" s="51"/>
      <c r="H57" s="51"/>
      <c r="I57" s="51"/>
      <c r="J57" s="51"/>
      <c r="K57" s="51"/>
      <c r="L57" s="51"/>
      <c r="M57" s="51"/>
      <c r="N57" s="51"/>
      <c r="O57" s="51"/>
      <c r="P57" s="51"/>
      <c r="Q57" s="51"/>
      <c r="R57" s="51"/>
      <c r="S57" s="51"/>
      <c r="T57" s="51"/>
      <c r="U57" s="51"/>
      <c r="V57" s="51"/>
      <c r="W57" s="51"/>
      <c r="X57" s="51"/>
      <c r="Y57" s="51"/>
      <c r="Z57" s="51"/>
      <c r="AA57" s="51"/>
    </row>
    <row r="58" spans="7:27">
      <c r="G58" s="51"/>
      <c r="H58" s="51"/>
      <c r="I58" s="51"/>
      <c r="J58" s="51"/>
      <c r="K58" s="51"/>
      <c r="L58" s="51"/>
      <c r="M58" s="51"/>
      <c r="N58" s="51"/>
      <c r="O58" s="51"/>
      <c r="P58" s="51"/>
      <c r="Q58" s="51"/>
      <c r="R58" s="51"/>
      <c r="S58" s="51"/>
      <c r="T58" s="51"/>
      <c r="U58" s="51"/>
      <c r="V58" s="51"/>
      <c r="W58" s="51"/>
      <c r="X58" s="51"/>
      <c r="Y58" s="51"/>
      <c r="Z58" s="51"/>
      <c r="AA58" s="51"/>
    </row>
    <row r="59" spans="7:27">
      <c r="G59" s="51"/>
      <c r="H59" s="51"/>
      <c r="I59" s="51"/>
      <c r="J59" s="51"/>
      <c r="K59" s="51"/>
      <c r="L59" s="51"/>
      <c r="M59" s="51"/>
      <c r="N59" s="51"/>
      <c r="O59" s="51"/>
      <c r="P59" s="51"/>
      <c r="Q59" s="51"/>
      <c r="R59" s="51"/>
      <c r="S59" s="51"/>
      <c r="T59" s="51"/>
      <c r="U59" s="51"/>
      <c r="V59" s="51"/>
      <c r="W59" s="51"/>
      <c r="X59" s="51"/>
      <c r="Y59" s="51"/>
      <c r="Z59" s="51"/>
      <c r="AA59" s="51"/>
    </row>
    <row r="60" spans="7:27">
      <c r="G60" s="51"/>
      <c r="H60" s="51"/>
      <c r="I60" s="51"/>
      <c r="J60" s="51"/>
      <c r="K60" s="51"/>
      <c r="L60" s="51"/>
      <c r="M60" s="51"/>
      <c r="N60" s="51"/>
      <c r="O60" s="51"/>
      <c r="P60" s="51"/>
      <c r="Q60" s="51"/>
      <c r="R60" s="51"/>
      <c r="S60" s="51"/>
      <c r="T60" s="51"/>
      <c r="U60" s="51"/>
      <c r="V60" s="51"/>
      <c r="W60" s="51"/>
      <c r="X60" s="51"/>
      <c r="Y60" s="51"/>
      <c r="Z60" s="51"/>
      <c r="AA60" s="51"/>
    </row>
    <row r="61" spans="7:27">
      <c r="G61" s="51"/>
      <c r="H61" s="51"/>
      <c r="I61" s="51"/>
      <c r="J61" s="51"/>
      <c r="K61" s="51"/>
      <c r="L61" s="51"/>
      <c r="M61" s="51"/>
      <c r="N61" s="51"/>
      <c r="O61" s="51"/>
      <c r="P61" s="51"/>
      <c r="Q61" s="51"/>
      <c r="R61" s="51"/>
      <c r="S61" s="51"/>
      <c r="T61" s="51"/>
      <c r="U61" s="51"/>
      <c r="V61" s="51"/>
      <c r="W61" s="51"/>
      <c r="X61" s="51"/>
      <c r="Y61" s="51"/>
      <c r="Z61" s="51"/>
      <c r="AA61" s="51"/>
    </row>
    <row r="62" spans="7:27">
      <c r="G62" s="51"/>
      <c r="H62" s="51"/>
      <c r="I62" s="51"/>
      <c r="J62" s="51"/>
      <c r="K62" s="51"/>
      <c r="L62" s="51"/>
      <c r="M62" s="51"/>
      <c r="N62" s="51"/>
      <c r="O62" s="51"/>
      <c r="P62" s="51"/>
      <c r="Q62" s="51"/>
      <c r="R62" s="51"/>
      <c r="S62" s="51"/>
      <c r="T62" s="51"/>
      <c r="U62" s="51"/>
      <c r="V62" s="51"/>
      <c r="W62" s="51"/>
      <c r="X62" s="51"/>
      <c r="Y62" s="51"/>
      <c r="Z62" s="51"/>
      <c r="AA62" s="51"/>
    </row>
    <row r="63" spans="7:27">
      <c r="G63" s="51"/>
      <c r="H63" s="51"/>
      <c r="I63" s="51"/>
      <c r="J63" s="51"/>
      <c r="K63" s="51"/>
      <c r="L63" s="51"/>
      <c r="M63" s="51"/>
      <c r="N63" s="51"/>
      <c r="O63" s="51"/>
      <c r="P63" s="51"/>
      <c r="Q63" s="51"/>
      <c r="R63" s="51"/>
      <c r="S63" s="51"/>
      <c r="T63" s="51"/>
      <c r="U63" s="51"/>
      <c r="V63" s="51"/>
      <c r="W63" s="51"/>
      <c r="X63" s="51"/>
      <c r="Y63" s="51"/>
      <c r="Z63" s="51"/>
      <c r="AA63" s="51"/>
    </row>
    <row r="64" spans="7:27">
      <c r="G64" s="51"/>
      <c r="H64" s="51"/>
      <c r="I64" s="51"/>
      <c r="J64" s="51"/>
      <c r="K64" s="51"/>
      <c r="L64" s="51"/>
      <c r="M64" s="51"/>
      <c r="N64" s="51"/>
      <c r="O64" s="51"/>
      <c r="P64" s="51"/>
      <c r="Q64" s="51"/>
      <c r="R64" s="51"/>
      <c r="S64" s="51"/>
      <c r="T64" s="51"/>
      <c r="U64" s="51"/>
      <c r="V64" s="51"/>
      <c r="W64" s="51"/>
      <c r="X64" s="51"/>
      <c r="Y64" s="51"/>
      <c r="Z64" s="51"/>
      <c r="AA64" s="51"/>
    </row>
    <row r="65" spans="7:27">
      <c r="G65" s="51"/>
      <c r="H65" s="51"/>
      <c r="I65" s="51"/>
      <c r="J65" s="51"/>
      <c r="K65" s="51"/>
      <c r="L65" s="51"/>
      <c r="M65" s="51"/>
      <c r="N65" s="51"/>
      <c r="O65" s="51"/>
      <c r="P65" s="51"/>
      <c r="Q65" s="51"/>
      <c r="R65" s="51"/>
      <c r="S65" s="51"/>
      <c r="T65" s="51"/>
      <c r="U65" s="51"/>
      <c r="V65" s="51"/>
      <c r="W65" s="51"/>
      <c r="X65" s="51"/>
      <c r="Y65" s="51"/>
      <c r="Z65" s="51"/>
      <c r="AA65" s="51"/>
    </row>
    <row r="66" spans="7:27">
      <c r="G66" s="51"/>
      <c r="H66" s="51"/>
      <c r="I66" s="51"/>
      <c r="J66" s="51"/>
      <c r="K66" s="51"/>
      <c r="L66" s="51"/>
      <c r="M66" s="51"/>
      <c r="N66" s="51"/>
      <c r="O66" s="51"/>
      <c r="P66" s="51"/>
      <c r="Q66" s="51"/>
      <c r="R66" s="51"/>
      <c r="S66" s="51"/>
      <c r="T66" s="51"/>
      <c r="U66" s="51"/>
      <c r="V66" s="51"/>
      <c r="W66" s="51"/>
      <c r="X66" s="51"/>
      <c r="Y66" s="51"/>
      <c r="Z66" s="51"/>
      <c r="AA66" s="51"/>
    </row>
    <row r="67" spans="7:27">
      <c r="G67" s="51"/>
      <c r="H67" s="51"/>
      <c r="I67" s="51"/>
      <c r="J67" s="51"/>
      <c r="K67" s="51"/>
      <c r="L67" s="51"/>
      <c r="M67" s="51"/>
      <c r="N67" s="51"/>
      <c r="O67" s="51"/>
      <c r="P67" s="51"/>
      <c r="Q67" s="51"/>
      <c r="R67" s="51"/>
      <c r="S67" s="51"/>
      <c r="T67" s="51"/>
      <c r="U67" s="51"/>
      <c r="V67" s="51"/>
      <c r="W67" s="51"/>
      <c r="X67" s="51"/>
      <c r="Y67" s="51"/>
      <c r="Z67" s="51"/>
      <c r="AA67" s="51"/>
    </row>
    <row r="68" spans="7:27">
      <c r="G68" s="51"/>
      <c r="H68" s="51"/>
      <c r="I68" s="51"/>
      <c r="J68" s="51"/>
      <c r="K68" s="51"/>
      <c r="L68" s="51"/>
      <c r="M68" s="51"/>
      <c r="N68" s="51"/>
      <c r="O68" s="51"/>
      <c r="P68" s="51"/>
      <c r="Q68" s="51"/>
      <c r="R68" s="51"/>
      <c r="S68" s="51"/>
      <c r="T68" s="51"/>
      <c r="U68" s="51"/>
      <c r="V68" s="51"/>
      <c r="W68" s="51"/>
      <c r="X68" s="51"/>
      <c r="Y68" s="51"/>
      <c r="Z68" s="51"/>
      <c r="AA68" s="51"/>
    </row>
    <row r="69" spans="7:27">
      <c r="G69" s="51"/>
      <c r="H69" s="51"/>
      <c r="I69" s="51"/>
      <c r="J69" s="51"/>
      <c r="K69" s="51"/>
      <c r="L69" s="51"/>
      <c r="M69" s="51"/>
      <c r="N69" s="51"/>
      <c r="O69" s="51"/>
      <c r="P69" s="51"/>
      <c r="Q69" s="51"/>
      <c r="R69" s="51"/>
      <c r="S69" s="51"/>
      <c r="T69" s="51"/>
      <c r="U69" s="51"/>
      <c r="V69" s="51"/>
      <c r="W69" s="51"/>
      <c r="X69" s="51"/>
      <c r="Y69" s="51"/>
      <c r="Z69" s="51"/>
      <c r="AA69" s="51"/>
    </row>
    <row r="70" spans="7:27">
      <c r="G70" s="51"/>
      <c r="H70" s="51"/>
      <c r="I70" s="51"/>
      <c r="J70" s="51"/>
      <c r="K70" s="51"/>
      <c r="L70" s="51"/>
      <c r="M70" s="51"/>
      <c r="N70" s="51"/>
      <c r="O70" s="51"/>
      <c r="P70" s="51"/>
      <c r="Q70" s="51"/>
      <c r="R70" s="51"/>
      <c r="S70" s="51"/>
      <c r="T70" s="51"/>
      <c r="U70" s="51"/>
      <c r="V70" s="51"/>
      <c r="W70" s="51"/>
      <c r="X70" s="51"/>
      <c r="Y70" s="51"/>
      <c r="Z70" s="51"/>
      <c r="AA70" s="51"/>
    </row>
    <row r="71" spans="7:27">
      <c r="G71" s="51"/>
      <c r="H71" s="51"/>
      <c r="I71" s="51"/>
      <c r="J71" s="51"/>
      <c r="K71" s="51"/>
      <c r="L71" s="51"/>
      <c r="M71" s="51"/>
      <c r="N71" s="51"/>
      <c r="O71" s="51"/>
      <c r="P71" s="51"/>
      <c r="Q71" s="51"/>
      <c r="R71" s="51"/>
      <c r="S71" s="51"/>
      <c r="T71" s="51"/>
      <c r="U71" s="51"/>
      <c r="V71" s="51"/>
      <c r="W71" s="51"/>
      <c r="X71" s="51"/>
      <c r="Y71" s="51"/>
      <c r="Z71" s="51"/>
      <c r="AA71" s="51"/>
    </row>
    <row r="72" spans="7:27">
      <c r="G72" s="51"/>
      <c r="H72" s="51"/>
      <c r="I72" s="51"/>
      <c r="J72" s="51"/>
      <c r="K72" s="51"/>
      <c r="L72" s="51"/>
      <c r="M72" s="51"/>
      <c r="N72" s="51"/>
      <c r="O72" s="51"/>
      <c r="P72" s="51"/>
      <c r="Q72" s="51"/>
      <c r="R72" s="51"/>
      <c r="S72" s="51"/>
      <c r="T72" s="51"/>
      <c r="U72" s="51"/>
      <c r="V72" s="51"/>
      <c r="W72" s="51"/>
      <c r="X72" s="51"/>
      <c r="Y72" s="51"/>
      <c r="Z72" s="51"/>
      <c r="AA72" s="51"/>
    </row>
    <row r="73" spans="7:27">
      <c r="G73" s="51"/>
      <c r="H73" s="51"/>
      <c r="I73" s="51"/>
      <c r="J73" s="51"/>
      <c r="K73" s="51"/>
      <c r="L73" s="51"/>
      <c r="M73" s="51"/>
      <c r="N73" s="51"/>
      <c r="O73" s="51"/>
      <c r="P73" s="51"/>
      <c r="Q73" s="51"/>
      <c r="R73" s="51"/>
      <c r="S73" s="51"/>
      <c r="T73" s="51"/>
      <c r="U73" s="51"/>
      <c r="V73" s="51"/>
      <c r="W73" s="51"/>
      <c r="X73" s="51"/>
      <c r="Y73" s="51"/>
      <c r="Z73" s="51"/>
      <c r="AA73" s="51"/>
    </row>
  </sheetData>
  <sheetProtection selectLockedCells="1" selectUnlockedCells="1"/>
  <mergeCells count="27">
    <mergeCell ref="Y4:Y6"/>
    <mergeCell ref="Z4:Z6"/>
    <mergeCell ref="AA4:AA6"/>
    <mergeCell ref="S4:S6"/>
    <mergeCell ref="T4:T6"/>
    <mergeCell ref="U4:U6"/>
    <mergeCell ref="V4:V6"/>
    <mergeCell ref="W4:W6"/>
    <mergeCell ref="X4:X6"/>
    <mergeCell ref="R4:R6"/>
    <mergeCell ref="G4:G6"/>
    <mergeCell ref="H4:H6"/>
    <mergeCell ref="I4:I6"/>
    <mergeCell ref="J4:J6"/>
    <mergeCell ref="K4:K6"/>
    <mergeCell ref="L4:L6"/>
    <mergeCell ref="M4:M6"/>
    <mergeCell ref="N4:N6"/>
    <mergeCell ref="O4:O6"/>
    <mergeCell ref="P4:P6"/>
    <mergeCell ref="Q4:Q6"/>
    <mergeCell ref="F4:F6"/>
    <mergeCell ref="A4:A6"/>
    <mergeCell ref="B4:B6"/>
    <mergeCell ref="C4:C6"/>
    <mergeCell ref="D4:D6"/>
    <mergeCell ref="E4:E6"/>
  </mergeCells>
  <pageMargins left="0.70833333333333337" right="0.70833333333333337" top="0.74791666666666667" bottom="0.74791666666666667" header="0.51180555555555551" footer="0.51180555555555551"/>
  <pageSetup scale="53"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B198"/>
  <sheetViews>
    <sheetView zoomScale="77" zoomScaleNormal="77" workbookViewId="0">
      <pane xSplit="4" ySplit="1" topLeftCell="E2" activePane="bottomRight" state="frozen"/>
      <selection pane="topRight" activeCell="X1" sqref="X1"/>
      <selection pane="bottomLeft" activeCell="A2" sqref="A2"/>
      <selection pane="bottomRight" activeCell="J75" sqref="J75"/>
    </sheetView>
  </sheetViews>
  <sheetFormatPr baseColWidth="10" defaultColWidth="11.44140625" defaultRowHeight="14.4"/>
  <cols>
    <col min="1" max="1" width="4.88671875" style="1" customWidth="1"/>
    <col min="2" max="2" width="36.33203125" style="1" customWidth="1"/>
    <col min="3" max="3" width="14.33203125" style="1" customWidth="1"/>
    <col min="4" max="4" width="36.109375" style="1" customWidth="1"/>
    <col min="5" max="6" width="11.44140625" style="1" customWidth="1"/>
    <col min="7" max="7" width="15.109375" style="1" customWidth="1"/>
    <col min="8" max="8" width="14.6640625" style="1" customWidth="1"/>
    <col min="9" max="11" width="11.44140625" style="1" customWidth="1"/>
    <col min="12" max="12" width="11.6640625" style="1" customWidth="1"/>
    <col min="13" max="13" width="11.44140625" style="1" customWidth="1"/>
    <col min="14" max="14" width="16.44140625" style="1" customWidth="1"/>
    <col min="15" max="23" width="11.44140625" style="1" customWidth="1"/>
    <col min="24" max="24" width="14.33203125" style="1" customWidth="1"/>
    <col min="25" max="25" width="11.44140625" style="120" customWidth="1"/>
    <col min="26" max="26" width="11.88671875" style="1" customWidth="1"/>
    <col min="27" max="27" width="23" style="1" customWidth="1"/>
    <col min="28" max="28" width="22.33203125" style="1" customWidth="1"/>
    <col min="29" max="16384" width="11.44140625" style="1"/>
  </cols>
  <sheetData>
    <row r="1" spans="1:28" s="79" customFormat="1" ht="28.8">
      <c r="A1" s="75"/>
      <c r="B1" s="76" t="s">
        <v>279</v>
      </c>
      <c r="C1" s="59" t="s">
        <v>202</v>
      </c>
      <c r="D1" s="59" t="s">
        <v>203</v>
      </c>
      <c r="E1" s="59" t="s">
        <v>204</v>
      </c>
      <c r="F1" s="59" t="s">
        <v>175</v>
      </c>
      <c r="G1" s="59" t="s">
        <v>205</v>
      </c>
      <c r="H1" s="59" t="s">
        <v>206</v>
      </c>
      <c r="I1" s="59" t="s">
        <v>207</v>
      </c>
      <c r="J1" s="59" t="s">
        <v>208</v>
      </c>
      <c r="K1" s="59" t="s">
        <v>209</v>
      </c>
      <c r="L1" s="59" t="s">
        <v>210</v>
      </c>
      <c r="M1" s="59" t="s">
        <v>184</v>
      </c>
      <c r="N1" s="59" t="s">
        <v>211</v>
      </c>
      <c r="O1" s="59" t="s">
        <v>212</v>
      </c>
      <c r="P1" s="59" t="s">
        <v>213</v>
      </c>
      <c r="Q1" s="59" t="s">
        <v>214</v>
      </c>
      <c r="R1" s="59" t="s">
        <v>215</v>
      </c>
      <c r="S1" s="59" t="s">
        <v>33</v>
      </c>
      <c r="T1" s="59" t="s">
        <v>32</v>
      </c>
      <c r="U1" s="59" t="s">
        <v>31</v>
      </c>
      <c r="V1" s="59" t="s">
        <v>216</v>
      </c>
      <c r="W1" s="59" t="s">
        <v>217</v>
      </c>
      <c r="X1" s="77" t="s">
        <v>190</v>
      </c>
      <c r="Y1" s="121" t="s">
        <v>218</v>
      </c>
      <c r="Z1" s="59" t="s">
        <v>219</v>
      </c>
      <c r="AA1" s="59" t="s">
        <v>220</v>
      </c>
      <c r="AB1" s="78" t="s">
        <v>221</v>
      </c>
    </row>
    <row r="2" spans="1:28">
      <c r="A2" s="1">
        <v>1</v>
      </c>
      <c r="B2" s="80">
        <f>+'Nomina Econacional'!B9</f>
        <v>0</v>
      </c>
      <c r="C2" s="81">
        <v>143132884</v>
      </c>
      <c r="D2" s="82" t="s">
        <v>259</v>
      </c>
      <c r="E2" s="19" t="e">
        <f>VLOOKUP($B2,'Nomina Econacional'!$B$4:$AC$153,2,0)</f>
        <v>#N/A</v>
      </c>
      <c r="F2" s="19" t="e">
        <f>VLOOKUP($B2,'Nomina Econacional'!$B$4:$AC$153,4,0)</f>
        <v>#N/A</v>
      </c>
      <c r="G2" s="60" t="e">
        <f>VLOOKUP($B2,'Nomina Econacional'!$B$4:$AC$153,6,0)</f>
        <v>#N/A</v>
      </c>
      <c r="H2" s="60" t="e">
        <f>VLOOKUP($B2,'Nomina Econacional'!$B$4:$AC$153,7,0)</f>
        <v>#N/A</v>
      </c>
      <c r="I2" s="21" t="e">
        <f>VLOOKUP($B2,'Nomina Econacional'!$B$4:$AC$153,9,0)</f>
        <v>#N/A</v>
      </c>
      <c r="J2" s="60" t="e">
        <f>VLOOKUP($B2,'Nomina Econacional'!$B$4:$AC$153,10,0)</f>
        <v>#N/A</v>
      </c>
      <c r="K2" s="19" t="e">
        <f>VLOOKUP($B2,'Nomina Econacional'!$B$4:$AC$153,11,0)</f>
        <v>#N/A</v>
      </c>
      <c r="L2" s="60" t="e">
        <f>VLOOKUP($B2,'Nomina Econacional'!$B$4:$AC$153,12,0)</f>
        <v>#N/A</v>
      </c>
      <c r="M2" s="19" t="e">
        <f>VLOOKUP($B2,'Nomina Econacional'!$B$4:$AC$153,13,0)</f>
        <v>#N/A</v>
      </c>
      <c r="N2" s="60" t="e">
        <f>VLOOKUP($B2,'Nomina Econacional'!$B$4:$AC$153,14,0)</f>
        <v>#N/A</v>
      </c>
      <c r="O2" s="19">
        <f>VLOOKUP($B2,'Nomina Econacional'!$B$4:$AC$153,15,0)</f>
        <v>0</v>
      </c>
      <c r="P2" s="19" t="e">
        <f>VLOOKUP($B2,'Nomina Econacional'!$B$4:$AC$153,16,0)</f>
        <v>#N/A</v>
      </c>
      <c r="Q2" s="19" t="e">
        <f>VLOOKUP($B2,'Nomina Econacional'!$B$4:$AC$153,17,0)</f>
        <v>#N/A</v>
      </c>
      <c r="R2" s="19">
        <f>VLOOKUP($B2,'Nomina Econacional'!$B$4:$AC$153,18,0)</f>
        <v>0</v>
      </c>
      <c r="S2" s="19" t="e">
        <f>VLOOKUP($B2,'Nomina Econacional'!$B$4:$AC$153,19,0)</f>
        <v>#N/A</v>
      </c>
      <c r="T2" s="19" t="e">
        <f>VLOOKUP($B2,'Nomina Econacional'!$B$4:$AC$153,20,0)</f>
        <v>#N/A</v>
      </c>
      <c r="U2" s="19" t="e">
        <f>VLOOKUP($B2,'Nomina Econacional'!$B$4:$AC$153,21,0)</f>
        <v>#N/A</v>
      </c>
      <c r="V2" s="19" t="e">
        <f>VLOOKUP($B2,'Nomina Econacional'!$B$4:$AC$153,22,0)</f>
        <v>#N/A</v>
      </c>
      <c r="W2" s="19" t="e">
        <f>VLOOKUP($B2,'Nomina Econacional'!$B$4:$AC$153,23,0)</f>
        <v>#N/A</v>
      </c>
      <c r="X2" s="20" t="e">
        <f>ROUND((VLOOKUP($B2,'Nomina Econacional'!$B$4:$AC$90,24,0)),2)</f>
        <v>#N/A</v>
      </c>
      <c r="Y2" s="122">
        <f>VLOOKUP($B2,'Nomina Econacional'!$B$4:$AC$153,25,0)</f>
        <v>0</v>
      </c>
      <c r="Z2" s="20">
        <f>VLOOKUP($B2,'Nomina Econacional'!$B$4:$AC$153,26,0)</f>
        <v>0</v>
      </c>
      <c r="AA2" s="83" t="e">
        <f>VLOOKUP($B2,$A$18:$D$652,4,0)</f>
        <v>#N/A</v>
      </c>
      <c r="AB2" s="84" t="e">
        <f>VLOOKUP($B2,'Nomina Econacional'!$B$4:$AC$153,3,0)</f>
        <v>#N/A</v>
      </c>
    </row>
    <row r="3" spans="1:28">
      <c r="A3" s="1">
        <v>2</v>
      </c>
      <c r="B3" s="22" t="s">
        <v>97</v>
      </c>
      <c r="C3" s="23">
        <v>2100134184</v>
      </c>
      <c r="D3" s="22" t="str">
        <f>VLOOKUP($B3,$A$18:$D$652,2,0)</f>
        <v>Federico Wuinebaldo Chavez Sanchez</v>
      </c>
      <c r="E3" s="19" t="e">
        <f>VLOOKUP($B3,'Nomina Econacional'!$B$4:$AC$153,2,0)</f>
        <v>#N/A</v>
      </c>
      <c r="F3" s="19" t="e">
        <f>VLOOKUP($B3,'Nomina Econacional'!$B$4:$AC$153,4,0)</f>
        <v>#N/A</v>
      </c>
      <c r="G3" s="60" t="e">
        <f>VLOOKUP($B3,'Nomina Econacional'!$B$4:$AC$153,6,0)</f>
        <v>#N/A</v>
      </c>
      <c r="H3" s="60" t="e">
        <f>VLOOKUP($B3,'Nomina Econacional'!$B$4:$AC$153,7,0)</f>
        <v>#N/A</v>
      </c>
      <c r="I3" s="21" t="e">
        <f>VLOOKUP($B3,'Nomina Econacional'!$B$4:$AC$153,9,0)</f>
        <v>#N/A</v>
      </c>
      <c r="J3" s="60" t="e">
        <f>VLOOKUP($B3,'Nomina Econacional'!$B$4:$AC$153,10,0)</f>
        <v>#N/A</v>
      </c>
      <c r="K3" s="19" t="e">
        <f>VLOOKUP($B3,'Nomina Econacional'!$B$4:$AC$153,11,0)</f>
        <v>#N/A</v>
      </c>
      <c r="L3" s="60" t="e">
        <f>VLOOKUP($B3,'Nomina Econacional'!$B$4:$AC$153,12,0)</f>
        <v>#N/A</v>
      </c>
      <c r="M3" s="19" t="e">
        <f>VLOOKUP($B3,'Nomina Econacional'!$B$4:$AC$153,13,0)</f>
        <v>#N/A</v>
      </c>
      <c r="N3" s="60" t="e">
        <f>VLOOKUP($B3,'Nomina Econacional'!$B$4:$AC$153,14,0)</f>
        <v>#N/A</v>
      </c>
      <c r="O3" s="19" t="e">
        <f>VLOOKUP($B3,'Nomina Econacional'!$B$4:$AC$153,15,0)</f>
        <v>#N/A</v>
      </c>
      <c r="P3" s="19" t="e">
        <f>VLOOKUP($B3,'Nomina Econacional'!$B$4:$AC$153,16,0)</f>
        <v>#N/A</v>
      </c>
      <c r="Q3" s="19" t="e">
        <f>VLOOKUP($B3,'Nomina Econacional'!$B$4:$AC$153,17,0)</f>
        <v>#N/A</v>
      </c>
      <c r="R3" s="19" t="e">
        <f>VLOOKUP($B3,'Nomina Econacional'!$B$4:$AC$153,18,0)</f>
        <v>#N/A</v>
      </c>
      <c r="S3" s="19" t="e">
        <f>VLOOKUP($B3,'Nomina Econacional'!$B$4:$AC$153,19,0)</f>
        <v>#N/A</v>
      </c>
      <c r="T3" s="19" t="e">
        <f>VLOOKUP($B3,'Nomina Econacional'!$B$4:$AC$153,20,0)</f>
        <v>#N/A</v>
      </c>
      <c r="U3" s="19" t="e">
        <f>VLOOKUP($B3,'Nomina Econacional'!$B$4:$AC$153,21,0)</f>
        <v>#N/A</v>
      </c>
      <c r="V3" s="19" t="e">
        <f>VLOOKUP($B3,'Nomina Econacional'!$B$4:$AC$153,22,0)</f>
        <v>#N/A</v>
      </c>
      <c r="W3" s="19" t="e">
        <f>VLOOKUP($B3,'Nomina Econacional'!$B$4:$AC$153,23,0)</f>
        <v>#N/A</v>
      </c>
      <c r="X3" s="20" t="e">
        <f>ROUND((VLOOKUP($B3,'Nomina Econacional'!$B$4:$AC$90,24,0)),2)</f>
        <v>#N/A</v>
      </c>
      <c r="Y3" s="122" t="e">
        <f>VLOOKUP($B3,'Nomina Econacional'!$B$4:$AC$153,25,0)</f>
        <v>#N/A</v>
      </c>
      <c r="Z3" s="20" t="e">
        <f>VLOOKUP($B3,'Nomina Econacional'!$B$4:$AC$153,26,0)</f>
        <v>#N/A</v>
      </c>
      <c r="AA3" s="61">
        <v>201200078279</v>
      </c>
      <c r="AB3" s="85" t="e">
        <f>VLOOKUP($B3,'Nomina Econacional'!$B$4:$AC$153,3,0)</f>
        <v>#N/A</v>
      </c>
    </row>
    <row r="4" spans="1:28">
      <c r="A4" s="1">
        <v>3</v>
      </c>
      <c r="B4" s="22" t="s">
        <v>94</v>
      </c>
      <c r="C4" s="23">
        <v>142181055</v>
      </c>
      <c r="D4" s="22" t="s">
        <v>290</v>
      </c>
      <c r="E4" s="19" t="e">
        <f>VLOOKUP($B4,'Nomina Econacional'!$B$4:$AC$153,2,0)</f>
        <v>#N/A</v>
      </c>
      <c r="F4" s="19" t="e">
        <f>VLOOKUP($B4,'Nomina Econacional'!$B$4:$AC$153,4,0)</f>
        <v>#N/A</v>
      </c>
      <c r="G4" s="60" t="e">
        <f>VLOOKUP($B4,'Nomina Econacional'!$B$4:$AC$153,6,0)</f>
        <v>#N/A</v>
      </c>
      <c r="H4" s="60" t="e">
        <f>VLOOKUP($B4,'Nomina Econacional'!$B$4:$AC$153,7,0)</f>
        <v>#N/A</v>
      </c>
      <c r="I4" s="21" t="e">
        <f>VLOOKUP($B4,'Nomina Econacional'!$B$4:$AC$153,9,0)</f>
        <v>#N/A</v>
      </c>
      <c r="J4" s="60" t="e">
        <f>VLOOKUP($B4,'Nomina Econacional'!$B$4:$AC$153,10,0)</f>
        <v>#N/A</v>
      </c>
      <c r="K4" s="19" t="e">
        <f>VLOOKUP($B4,'Nomina Econacional'!$B$4:$AC$153,11,0)</f>
        <v>#N/A</v>
      </c>
      <c r="L4" s="60" t="e">
        <f>VLOOKUP($B4,'Nomina Econacional'!$B$4:$AC$153,12,0)</f>
        <v>#N/A</v>
      </c>
      <c r="M4" s="19" t="e">
        <f>VLOOKUP($B4,'Nomina Econacional'!$B$4:$AC$153,13,0)</f>
        <v>#N/A</v>
      </c>
      <c r="N4" s="60" t="e">
        <f>VLOOKUP($B4,'Nomina Econacional'!$B$4:$AC$153,14,0)</f>
        <v>#N/A</v>
      </c>
      <c r="O4" s="19" t="e">
        <f>VLOOKUP($B4,'Nomina Econacional'!$B$4:$AC$153,15,0)</f>
        <v>#N/A</v>
      </c>
      <c r="P4" s="19" t="e">
        <f>VLOOKUP($B4,'Nomina Econacional'!$B$4:$AC$153,16,0)</f>
        <v>#N/A</v>
      </c>
      <c r="Q4" s="19" t="e">
        <f>VLOOKUP($B4,'Nomina Econacional'!$B$4:$AC$153,17,0)</f>
        <v>#N/A</v>
      </c>
      <c r="R4" s="19" t="e">
        <f>VLOOKUP($B4,'Nomina Econacional'!$B$4:$AC$153,18,0)</f>
        <v>#N/A</v>
      </c>
      <c r="S4" s="19" t="e">
        <f>VLOOKUP($B4,'Nomina Econacional'!$B$4:$AC$153,19,0)</f>
        <v>#N/A</v>
      </c>
      <c r="T4" s="19" t="e">
        <f>VLOOKUP($B4,'Nomina Econacional'!$B$4:$AC$153,20,0)</f>
        <v>#N/A</v>
      </c>
      <c r="U4" s="19" t="e">
        <f>VLOOKUP($B4,'Nomina Econacional'!$B$4:$AC$153,21,0)</f>
        <v>#N/A</v>
      </c>
      <c r="V4" s="19" t="e">
        <f>VLOOKUP($B4,'Nomina Econacional'!$B$4:$AC$153,22,0)</f>
        <v>#N/A</v>
      </c>
      <c r="W4" s="19" t="e">
        <f>VLOOKUP($B4,'Nomina Econacional'!$B$4:$AC$153,23,0)</f>
        <v>#N/A</v>
      </c>
      <c r="X4" s="20" t="e">
        <f>ROUND((VLOOKUP($B4,'Nomina Econacional'!$B$4:$AC$90,24,0)),2)</f>
        <v>#N/A</v>
      </c>
      <c r="Y4" s="122" t="e">
        <f>VLOOKUP($B4,'Nomina Econacional'!$B$4:$AC$153,25,0)</f>
        <v>#N/A</v>
      </c>
      <c r="Z4" s="20" t="e">
        <f>VLOOKUP($B4,'Nomina Econacional'!$B$4:$AC$153,26,0)</f>
        <v>#N/A</v>
      </c>
      <c r="AA4" s="61">
        <v>182403485</v>
      </c>
      <c r="AB4" s="85" t="e">
        <f>VLOOKUP($B4,'Nomina Econacional'!$B$4:$AC$153,3,0)</f>
        <v>#N/A</v>
      </c>
    </row>
    <row r="5" spans="1:28">
      <c r="A5" s="1">
        <v>4</v>
      </c>
      <c r="B5" s="22">
        <f>+'Nomina Econacional'!B28</f>
        <v>0</v>
      </c>
      <c r="C5" s="109">
        <v>3790077105</v>
      </c>
      <c r="D5" s="22" t="s">
        <v>354</v>
      </c>
      <c r="E5" s="19" t="e">
        <f>VLOOKUP($B5,'Nomina Econacional'!$B$4:$AC$153,2,0)</f>
        <v>#N/A</v>
      </c>
      <c r="F5" s="19" t="e">
        <f>VLOOKUP($B5,'Nomina Econacional'!$B$4:$AC$153,4,0)</f>
        <v>#N/A</v>
      </c>
      <c r="G5" s="60" t="e">
        <f>VLOOKUP($B5,'Nomina Econacional'!$B$4:$AC$153,6,0)</f>
        <v>#N/A</v>
      </c>
      <c r="H5" s="60" t="e">
        <f>VLOOKUP($B5,'Nomina Econacional'!$B$4:$AC$153,7,0)</f>
        <v>#N/A</v>
      </c>
      <c r="I5" s="21" t="e">
        <f>VLOOKUP($B5,'Nomina Econacional'!$B$4:$AC$153,9,0)</f>
        <v>#N/A</v>
      </c>
      <c r="J5" s="60" t="e">
        <f>VLOOKUP($B5,'Nomina Econacional'!$B$4:$AC$153,10,0)</f>
        <v>#N/A</v>
      </c>
      <c r="K5" s="19" t="e">
        <f>VLOOKUP($B5,'Nomina Econacional'!$B$4:$AC$153,11,0)</f>
        <v>#N/A</v>
      </c>
      <c r="L5" s="60" t="e">
        <f>VLOOKUP($B5,'Nomina Econacional'!$B$4:$AC$153,12,0)</f>
        <v>#N/A</v>
      </c>
      <c r="M5" s="19" t="e">
        <f>VLOOKUP($B5,'Nomina Econacional'!$B$4:$AC$153,13,0)</f>
        <v>#N/A</v>
      </c>
      <c r="N5" s="60" t="e">
        <f>VLOOKUP($B5,'Nomina Econacional'!$B$4:$AC$153,14,0)</f>
        <v>#N/A</v>
      </c>
      <c r="O5" s="19">
        <f>VLOOKUP($B5,'Nomina Econacional'!$B$4:$AC$153,15,0)</f>
        <v>0</v>
      </c>
      <c r="P5" s="19" t="e">
        <f>VLOOKUP($B5,'Nomina Econacional'!$B$4:$AC$153,16,0)</f>
        <v>#N/A</v>
      </c>
      <c r="Q5" s="19" t="e">
        <f>VLOOKUP($B5,'Nomina Econacional'!$B$4:$AC$153,17,0)</f>
        <v>#N/A</v>
      </c>
      <c r="R5" s="19">
        <f>VLOOKUP($B5,'Nomina Econacional'!$B$4:$AC$153,18,0)</f>
        <v>0</v>
      </c>
      <c r="S5" s="19" t="e">
        <f>VLOOKUP($B5,'Nomina Econacional'!$B$4:$AC$153,19,0)</f>
        <v>#N/A</v>
      </c>
      <c r="T5" s="19" t="e">
        <f>VLOOKUP($B5,'Nomina Econacional'!$B$4:$AC$153,20,0)</f>
        <v>#N/A</v>
      </c>
      <c r="U5" s="19" t="e">
        <f>VLOOKUP($B5,'Nomina Econacional'!$B$4:$AC$153,21,0)</f>
        <v>#N/A</v>
      </c>
      <c r="V5" s="19" t="e">
        <f>VLOOKUP($B5,'Nomina Econacional'!$B$4:$AC$153,22,0)</f>
        <v>#N/A</v>
      </c>
      <c r="W5" s="19" t="e">
        <f>VLOOKUP($B5,'Nomina Econacional'!$B$4:$AC$153,23,0)</f>
        <v>#N/A</v>
      </c>
      <c r="X5" s="20" t="e">
        <f>ROUND((VLOOKUP($B5,'Nomina Econacional'!$B$4:$AC$90,24,0)),2)</f>
        <v>#N/A</v>
      </c>
      <c r="Y5" s="122">
        <f>VLOOKUP($B5,'Nomina Econacional'!$B$4:$AC$153,25,0)</f>
        <v>0</v>
      </c>
      <c r="Z5" s="20">
        <f>VLOOKUP($B5,'Nomina Econacional'!$B$4:$AC$153,26,0)</f>
        <v>0</v>
      </c>
      <c r="AA5" s="61">
        <v>182403485</v>
      </c>
      <c r="AB5" s="85" t="e">
        <f>VLOOKUP($B5,'Nomina Econacional'!$B$4:$AC$153,3,0)</f>
        <v>#N/A</v>
      </c>
    </row>
    <row r="6" spans="1:28">
      <c r="A6" s="1">
        <v>5</v>
      </c>
      <c r="B6" s="22">
        <f>+'Nomina Econacional'!B26</f>
        <v>0</v>
      </c>
      <c r="C6" s="109">
        <v>60264579</v>
      </c>
      <c r="D6" s="22" t="s">
        <v>360</v>
      </c>
      <c r="E6" s="19" t="e">
        <f>VLOOKUP($B6,'Nomina Econacional'!$B$4:$AC$153,2,0)</f>
        <v>#N/A</v>
      </c>
      <c r="F6" s="19" t="e">
        <f>VLOOKUP($B6,'Nomina Econacional'!$B$4:$AC$153,4,0)</f>
        <v>#N/A</v>
      </c>
      <c r="G6" s="60" t="e">
        <f>VLOOKUP($B6,'Nomina Econacional'!$B$4:$AC$153,6,0)</f>
        <v>#N/A</v>
      </c>
      <c r="H6" s="60" t="e">
        <f>VLOOKUP($B6,'Nomina Econacional'!$B$4:$AC$153,7,0)</f>
        <v>#N/A</v>
      </c>
      <c r="I6" s="21" t="e">
        <f>VLOOKUP($B6,'Nomina Econacional'!$B$4:$AC$153,9,0)</f>
        <v>#N/A</v>
      </c>
      <c r="J6" s="60" t="e">
        <f>VLOOKUP($B6,'Nomina Econacional'!$B$4:$AC$153,10,0)</f>
        <v>#N/A</v>
      </c>
      <c r="K6" s="19" t="e">
        <f>VLOOKUP($B6,'Nomina Econacional'!$B$4:$AC$153,11,0)</f>
        <v>#N/A</v>
      </c>
      <c r="L6" s="60" t="e">
        <f>VLOOKUP($B6,'Nomina Econacional'!$B$4:$AC$153,12,0)</f>
        <v>#N/A</v>
      </c>
      <c r="M6" s="19" t="e">
        <f>VLOOKUP($B6,'Nomina Econacional'!$B$4:$AC$153,13,0)</f>
        <v>#N/A</v>
      </c>
      <c r="N6" s="60" t="e">
        <f>VLOOKUP($B6,'Nomina Econacional'!$B$4:$AC$153,14,0)</f>
        <v>#N/A</v>
      </c>
      <c r="O6" s="19">
        <f>VLOOKUP($B6,'Nomina Econacional'!$B$4:$AC$153,15,0)</f>
        <v>0</v>
      </c>
      <c r="P6" s="19" t="e">
        <f>VLOOKUP($B6,'Nomina Econacional'!$B$4:$AC$153,16,0)</f>
        <v>#N/A</v>
      </c>
      <c r="Q6" s="19" t="e">
        <f>VLOOKUP($B6,'Nomina Econacional'!$B$4:$AC$153,17,0)</f>
        <v>#N/A</v>
      </c>
      <c r="R6" s="19">
        <f>VLOOKUP($B6,'Nomina Econacional'!$B$4:$AC$153,18,0)</f>
        <v>0</v>
      </c>
      <c r="S6" s="19" t="e">
        <f>VLOOKUP($B6,'Nomina Econacional'!$B$4:$AC$153,19,0)</f>
        <v>#N/A</v>
      </c>
      <c r="T6" s="19" t="e">
        <f>VLOOKUP($B6,'Nomina Econacional'!$B$4:$AC$153,20,0)</f>
        <v>#N/A</v>
      </c>
      <c r="U6" s="19" t="e">
        <f>VLOOKUP($B6,'Nomina Econacional'!$B$4:$AC$153,21,0)</f>
        <v>#N/A</v>
      </c>
      <c r="V6" s="19" t="e">
        <f>VLOOKUP($B6,'Nomina Econacional'!$B$4:$AC$153,22,0)</f>
        <v>#N/A</v>
      </c>
      <c r="W6" s="19" t="e">
        <f>VLOOKUP($B6,'Nomina Econacional'!$B$4:$AC$153,23,0)</f>
        <v>#N/A</v>
      </c>
      <c r="X6" s="20" t="e">
        <f>ROUND((VLOOKUP($B6,'Nomina Econacional'!$B$4:$AC$90,24,0)),2)</f>
        <v>#N/A</v>
      </c>
      <c r="Y6" s="122">
        <f>VLOOKUP($B6,'Nomina Econacional'!$B$4:$AC$153,25,0)</f>
        <v>0</v>
      </c>
      <c r="Z6" s="20">
        <f>VLOOKUP($B6,'Nomina Econacional'!$B$4:$AC$153,26,0)</f>
        <v>0</v>
      </c>
      <c r="AA6" s="61">
        <v>282253319</v>
      </c>
      <c r="AB6" s="85" t="e">
        <f>VLOOKUP($B6,'Nomina Econacional'!$B$4:$AC$153,3,0)</f>
        <v>#N/A</v>
      </c>
    </row>
    <row r="7" spans="1:28">
      <c r="A7" s="1">
        <v>6</v>
      </c>
      <c r="B7" s="22">
        <f>+'Nomina Econacional'!B27</f>
        <v>0</v>
      </c>
      <c r="C7" s="118">
        <v>519389</v>
      </c>
      <c r="D7" s="22" t="s">
        <v>357</v>
      </c>
      <c r="E7" s="19" t="e">
        <f>VLOOKUP($B7,'Nomina Econacional'!$B$4:$AC$153,2,0)</f>
        <v>#N/A</v>
      </c>
      <c r="F7" s="19" t="e">
        <f>VLOOKUP($B7,'Nomina Econacional'!$B$4:$AC$153,4,0)</f>
        <v>#N/A</v>
      </c>
      <c r="G7" s="60" t="e">
        <f>VLOOKUP($B7,'Nomina Econacional'!$B$4:$AC$153,6,0)</f>
        <v>#N/A</v>
      </c>
      <c r="H7" s="60" t="e">
        <f>VLOOKUP($B7,'Nomina Econacional'!$B$4:$AC$153,7,0)</f>
        <v>#N/A</v>
      </c>
      <c r="I7" s="21" t="e">
        <f>VLOOKUP($B7,'Nomina Econacional'!$B$4:$AC$153,9,0)</f>
        <v>#N/A</v>
      </c>
      <c r="J7" s="60" t="e">
        <f>VLOOKUP($B7,'Nomina Econacional'!$B$4:$AC$153,10,0)</f>
        <v>#N/A</v>
      </c>
      <c r="K7" s="19" t="e">
        <f>VLOOKUP($B7,'Nomina Econacional'!$B$4:$AC$153,11,0)</f>
        <v>#N/A</v>
      </c>
      <c r="L7" s="60" t="e">
        <f>VLOOKUP($B7,'Nomina Econacional'!$B$4:$AC$153,12,0)</f>
        <v>#N/A</v>
      </c>
      <c r="M7" s="19" t="e">
        <f>VLOOKUP($B7,'Nomina Econacional'!$B$4:$AC$153,13,0)</f>
        <v>#N/A</v>
      </c>
      <c r="N7" s="60" t="e">
        <f>VLOOKUP($B7,'Nomina Econacional'!$B$4:$AC$153,14,0)</f>
        <v>#N/A</v>
      </c>
      <c r="O7" s="19">
        <f>VLOOKUP($B7,'Nomina Econacional'!$B$4:$AC$153,15,0)</f>
        <v>0</v>
      </c>
      <c r="P7" s="19" t="e">
        <f>VLOOKUP($B7,'Nomina Econacional'!$B$4:$AC$153,16,0)</f>
        <v>#N/A</v>
      </c>
      <c r="Q7" s="19" t="e">
        <f>VLOOKUP($B7,'Nomina Econacional'!$B$4:$AC$153,17,0)</f>
        <v>#N/A</v>
      </c>
      <c r="R7" s="19">
        <f>VLOOKUP($B7,'Nomina Econacional'!$B$4:$AC$153,18,0)</f>
        <v>0</v>
      </c>
      <c r="S7" s="19" t="e">
        <f>VLOOKUP($B7,'Nomina Econacional'!$B$4:$AC$153,19,0)</f>
        <v>#N/A</v>
      </c>
      <c r="T7" s="19" t="e">
        <f>VLOOKUP($B7,'Nomina Econacional'!$B$4:$AC$153,20,0)</f>
        <v>#N/A</v>
      </c>
      <c r="U7" s="19" t="e">
        <f>VLOOKUP($B7,'Nomina Econacional'!$B$4:$AC$153,21,0)</f>
        <v>#N/A</v>
      </c>
      <c r="V7" s="19" t="e">
        <f>VLOOKUP($B7,'Nomina Econacional'!$B$4:$AC$153,22,0)</f>
        <v>#N/A</v>
      </c>
      <c r="W7" s="19" t="e">
        <f>VLOOKUP($B7,'Nomina Econacional'!$B$4:$AC$153,23,0)</f>
        <v>#N/A</v>
      </c>
      <c r="X7" s="20" t="e">
        <f>ROUND((VLOOKUP($B7,'Nomina Econacional'!$B$4:$AC$90,24,0)),2)</f>
        <v>#N/A</v>
      </c>
      <c r="Y7" s="122">
        <f>VLOOKUP($B7,'Nomina Econacional'!$B$4:$AC$153,25,0)</f>
        <v>0</v>
      </c>
      <c r="Z7" s="20">
        <f>VLOOKUP($B7,'Nomina Econacional'!$B$4:$AC$153,26,0)</f>
        <v>0</v>
      </c>
      <c r="AA7" s="61"/>
      <c r="AB7" s="85" t="e">
        <f>VLOOKUP($B7,'Nomina Econacional'!$B$4:$AC$153,3,0)</f>
        <v>#N/A</v>
      </c>
    </row>
    <row r="8" spans="1:28">
      <c r="A8" s="1">
        <v>7</v>
      </c>
      <c r="B8" s="22">
        <f>+'Nomina Econacional'!B33</f>
        <v>0</v>
      </c>
      <c r="C8" s="109">
        <v>620119743</v>
      </c>
      <c r="D8" s="22" t="s">
        <v>361</v>
      </c>
      <c r="E8" s="19" t="e">
        <f>VLOOKUP($B8,'Nomina Econacional'!$B$4:$AC$153,2,0)</f>
        <v>#N/A</v>
      </c>
      <c r="F8" s="19" t="e">
        <f>VLOOKUP($B8,'Nomina Econacional'!$B$4:$AC$153,4,0)</f>
        <v>#N/A</v>
      </c>
      <c r="G8" s="60" t="e">
        <f>VLOOKUP($B8,'Nomina Econacional'!$B$4:$AC$153,6,0)</f>
        <v>#N/A</v>
      </c>
      <c r="H8" s="60" t="e">
        <f>VLOOKUP($B8,'Nomina Econacional'!$B$4:$AC$153,7,0)</f>
        <v>#N/A</v>
      </c>
      <c r="I8" s="21" t="e">
        <f>VLOOKUP($B8,'Nomina Econacional'!$B$4:$AC$153,9,0)</f>
        <v>#N/A</v>
      </c>
      <c r="J8" s="60" t="e">
        <f>VLOOKUP($B8,'Nomina Econacional'!$B$4:$AC$153,10,0)</f>
        <v>#N/A</v>
      </c>
      <c r="K8" s="19" t="e">
        <f>VLOOKUP($B8,'Nomina Econacional'!$B$4:$AC$153,11,0)</f>
        <v>#N/A</v>
      </c>
      <c r="L8" s="60" t="e">
        <f>VLOOKUP($B8,'Nomina Econacional'!$B$4:$AC$153,12,0)</f>
        <v>#N/A</v>
      </c>
      <c r="M8" s="19" t="e">
        <f>VLOOKUP($B8,'Nomina Econacional'!$B$4:$AC$153,13,0)</f>
        <v>#N/A</v>
      </c>
      <c r="N8" s="60" t="e">
        <f>VLOOKUP($B8,'Nomina Econacional'!$B$4:$AC$153,14,0)</f>
        <v>#N/A</v>
      </c>
      <c r="O8" s="19">
        <f>VLOOKUP($B8,'Nomina Econacional'!$B$4:$AC$153,15,0)</f>
        <v>0</v>
      </c>
      <c r="P8" s="19" t="e">
        <f>VLOOKUP($B8,'Nomina Econacional'!$B$4:$AC$153,16,0)</f>
        <v>#N/A</v>
      </c>
      <c r="Q8" s="19" t="e">
        <f>VLOOKUP($B8,'Nomina Econacional'!$B$4:$AC$153,17,0)</f>
        <v>#N/A</v>
      </c>
      <c r="R8" s="19">
        <f>VLOOKUP($B8,'Nomina Econacional'!$B$4:$AC$153,18,0)</f>
        <v>0</v>
      </c>
      <c r="S8" s="19" t="e">
        <f>VLOOKUP($B8,'Nomina Econacional'!$B$4:$AC$153,19,0)</f>
        <v>#N/A</v>
      </c>
      <c r="T8" s="19" t="e">
        <f>VLOOKUP($B8,'Nomina Econacional'!$B$4:$AC$153,20,0)</f>
        <v>#N/A</v>
      </c>
      <c r="U8" s="19" t="e">
        <f>VLOOKUP($B8,'Nomina Econacional'!$B$4:$AC$153,21,0)</f>
        <v>#N/A</v>
      </c>
      <c r="V8" s="19" t="e">
        <f>VLOOKUP($B8,'Nomina Econacional'!$B$4:$AC$153,22,0)</f>
        <v>#N/A</v>
      </c>
      <c r="W8" s="19" t="e">
        <f>VLOOKUP($B8,'Nomina Econacional'!$B$4:$AC$153,23,0)</f>
        <v>#N/A</v>
      </c>
      <c r="X8" s="20" t="e">
        <f>ROUND((VLOOKUP($B8,'Nomina Econacional'!$B$4:$AC$90,24,0)),2)</f>
        <v>#N/A</v>
      </c>
      <c r="Y8" s="122">
        <f>VLOOKUP($B8,'Nomina Econacional'!$B$4:$AC$153,25,0)</f>
        <v>0</v>
      </c>
      <c r="Z8" s="20">
        <f>VLOOKUP($B8,'Nomina Econacional'!$B$4:$AC$153,26,0)</f>
        <v>0</v>
      </c>
      <c r="AA8" s="61"/>
      <c r="AB8" s="85" t="e">
        <f>VLOOKUP($B8,'Nomina Econacional'!$B$4:$AC$153,3,0)</f>
        <v>#N/A</v>
      </c>
    </row>
    <row r="9" spans="1:28">
      <c r="A9" s="1">
        <v>8</v>
      </c>
      <c r="B9" s="22">
        <f>+'Nomina Econacional'!B25</f>
        <v>0</v>
      </c>
      <c r="C9" s="109">
        <v>2360137141</v>
      </c>
      <c r="D9" s="22" t="s">
        <v>368</v>
      </c>
      <c r="E9" s="19" t="e">
        <f>VLOOKUP($B9,'Nomina Econacional'!$B$4:$AC$153,2,0)</f>
        <v>#N/A</v>
      </c>
      <c r="F9" s="19" t="e">
        <f>VLOOKUP($B9,'Nomina Econacional'!$B$4:$AC$153,4,0)</f>
        <v>#N/A</v>
      </c>
      <c r="G9" s="60" t="e">
        <f>VLOOKUP($B9,'Nomina Econacional'!$B$4:$AC$153,6,0)</f>
        <v>#N/A</v>
      </c>
      <c r="H9" s="60" t="e">
        <f>VLOOKUP($B9,'Nomina Econacional'!$B$4:$AC$153,7,0)</f>
        <v>#N/A</v>
      </c>
      <c r="I9" s="21" t="e">
        <f>VLOOKUP($B9,'Nomina Econacional'!$B$4:$AC$153,9,0)</f>
        <v>#N/A</v>
      </c>
      <c r="J9" s="60" t="e">
        <f>VLOOKUP($B9,'Nomina Econacional'!$B$4:$AC$153,10,0)</f>
        <v>#N/A</v>
      </c>
      <c r="K9" s="19" t="e">
        <f>VLOOKUP($B9,'Nomina Econacional'!$B$4:$AC$153,11,0)</f>
        <v>#N/A</v>
      </c>
      <c r="L9" s="60" t="e">
        <f>VLOOKUP($B9,'Nomina Econacional'!$B$4:$AC$153,12,0)</f>
        <v>#N/A</v>
      </c>
      <c r="M9" s="19" t="e">
        <f>VLOOKUP($B9,'Nomina Econacional'!$B$4:$AC$153,13,0)</f>
        <v>#N/A</v>
      </c>
      <c r="N9" s="60" t="e">
        <f>VLOOKUP($B9,'Nomina Econacional'!$B$4:$AC$153,14,0)</f>
        <v>#N/A</v>
      </c>
      <c r="O9" s="19">
        <f>VLOOKUP($B9,'Nomina Econacional'!$B$4:$AC$153,15,0)</f>
        <v>0</v>
      </c>
      <c r="P9" s="19" t="e">
        <f>VLOOKUP($B9,'Nomina Econacional'!$B$4:$AC$153,16,0)</f>
        <v>#N/A</v>
      </c>
      <c r="Q9" s="19" t="e">
        <f>VLOOKUP($B9,'Nomina Econacional'!$B$4:$AC$153,17,0)</f>
        <v>#N/A</v>
      </c>
      <c r="R9" s="19">
        <f>VLOOKUP($B9,'Nomina Econacional'!$B$4:$AC$153,18,0)</f>
        <v>0</v>
      </c>
      <c r="S9" s="19" t="e">
        <f>VLOOKUP($B9,'Nomina Econacional'!$B$4:$AC$153,19,0)</f>
        <v>#N/A</v>
      </c>
      <c r="T9" s="19" t="e">
        <f>VLOOKUP($B9,'Nomina Econacional'!$B$4:$AC$153,20,0)</f>
        <v>#N/A</v>
      </c>
      <c r="U9" s="19" t="e">
        <f>VLOOKUP($B9,'Nomina Econacional'!$B$4:$AC$153,21,0)</f>
        <v>#N/A</v>
      </c>
      <c r="V9" s="19" t="e">
        <f>VLOOKUP($B9,'Nomina Econacional'!$B$4:$AC$153,22,0)</f>
        <v>#N/A</v>
      </c>
      <c r="W9" s="19" t="e">
        <f>VLOOKUP($B9,'Nomina Econacional'!$B$4:$AC$153,23,0)</f>
        <v>#N/A</v>
      </c>
      <c r="X9" s="20" t="e">
        <f>+'Nomina Econacional'!Y25</f>
        <v>#N/A</v>
      </c>
      <c r="Y9" s="122">
        <f>VLOOKUP($B9,'Nomina Econacional'!$B$4:$AC$153,25,0)</f>
        <v>0</v>
      </c>
      <c r="Z9" s="20" t="e">
        <f>+'Nomina Econacional'!AA25</f>
        <v>#N/A</v>
      </c>
      <c r="AA9" s="61">
        <v>201601451499</v>
      </c>
      <c r="AB9" s="85" t="e">
        <f>VLOOKUP($B9,'Nomina Econacional'!$B$4:$AC$153,3,0)</f>
        <v>#N/A</v>
      </c>
    </row>
    <row r="10" spans="1:28">
      <c r="A10" s="1">
        <v>9</v>
      </c>
      <c r="B10" s="22">
        <f>+'Nomina Econacional'!B18</f>
        <v>0</v>
      </c>
      <c r="C10" s="109">
        <v>7870024093</v>
      </c>
      <c r="D10" s="22" t="s">
        <v>369</v>
      </c>
      <c r="E10" s="19" t="e">
        <f>VLOOKUP($B10,'Nomina Econacional'!$B$4:$AC$153,2,0)</f>
        <v>#N/A</v>
      </c>
      <c r="F10" s="19" t="e">
        <f>VLOOKUP($B10,'Nomina Econacional'!$B$4:$AC$153,4,0)</f>
        <v>#N/A</v>
      </c>
      <c r="G10" s="60" t="e">
        <f>VLOOKUP($B10,'Nomina Econacional'!$B$4:$AC$153,6,0)</f>
        <v>#N/A</v>
      </c>
      <c r="H10" s="60" t="e">
        <f>VLOOKUP($B10,'Nomina Econacional'!$B$4:$AC$153,7,0)</f>
        <v>#N/A</v>
      </c>
      <c r="I10" s="21" t="e">
        <f>VLOOKUP($B10,'Nomina Econacional'!$B$4:$AC$153,9,0)</f>
        <v>#N/A</v>
      </c>
      <c r="J10" s="60" t="e">
        <f>VLOOKUP($B10,'Nomina Econacional'!$B$4:$AC$153,10,0)</f>
        <v>#N/A</v>
      </c>
      <c r="K10" s="19" t="e">
        <f>VLOOKUP($B10,'Nomina Econacional'!$B$4:$AC$153,11,0)</f>
        <v>#N/A</v>
      </c>
      <c r="L10" s="60" t="e">
        <f>VLOOKUP($B10,'Nomina Econacional'!$B$4:$AC$153,12,0)</f>
        <v>#N/A</v>
      </c>
      <c r="M10" s="19" t="e">
        <f>VLOOKUP($B10,'Nomina Econacional'!$B$4:$AC$153,13,0)</f>
        <v>#N/A</v>
      </c>
      <c r="N10" s="60" t="e">
        <f>VLOOKUP($B10,'Nomina Econacional'!$B$4:$AC$153,14,0)</f>
        <v>#N/A</v>
      </c>
      <c r="O10" s="19">
        <f>VLOOKUP($B10,'Nomina Econacional'!$B$4:$AC$153,15,0)</f>
        <v>0</v>
      </c>
      <c r="P10" s="19" t="e">
        <f>VLOOKUP($B10,'Nomina Econacional'!$B$4:$AC$153,16,0)</f>
        <v>#N/A</v>
      </c>
      <c r="Q10" s="19" t="e">
        <f>VLOOKUP($B10,'Nomina Econacional'!$B$4:$AC$153,17,0)</f>
        <v>#N/A</v>
      </c>
      <c r="R10" s="19">
        <f>VLOOKUP($B10,'Nomina Econacional'!$B$4:$AC$153,18,0)</f>
        <v>0</v>
      </c>
      <c r="S10" s="19" t="e">
        <f>VLOOKUP($B10,'Nomina Econacional'!$B$4:$AC$153,19,0)</f>
        <v>#N/A</v>
      </c>
      <c r="T10" s="19" t="e">
        <f>VLOOKUP($B10,'Nomina Econacional'!$B$4:$AC$153,20,0)</f>
        <v>#N/A</v>
      </c>
      <c r="U10" s="19" t="e">
        <f>VLOOKUP($B10,'Nomina Econacional'!$B$4:$AC$153,21,0)</f>
        <v>#N/A</v>
      </c>
      <c r="V10" s="19" t="e">
        <f>VLOOKUP($B10,'Nomina Econacional'!$B$4:$AC$153,22,0)</f>
        <v>#N/A</v>
      </c>
      <c r="W10" s="19" t="e">
        <f>VLOOKUP($B10,'Nomina Econacional'!$B$4:$AC$153,23,0)</f>
        <v>#N/A</v>
      </c>
      <c r="X10" s="20" t="e">
        <f>+'Nomina Econacional'!Y18</f>
        <v>#N/A</v>
      </c>
      <c r="Y10" s="122" t="e">
        <f>+'Nomina Econacional'!Z18</f>
        <v>#N/A</v>
      </c>
      <c r="Z10" s="122" t="e">
        <f>+'Nomina Econacional'!AA18</f>
        <v>#N/A</v>
      </c>
      <c r="AA10" s="61">
        <v>187171244</v>
      </c>
      <c r="AB10" s="85" t="e">
        <f>VLOOKUP($B10,'Nomina Econacional'!$B$4:$AC$153,3,0)</f>
        <v>#N/A</v>
      </c>
    </row>
    <row r="11" spans="1:28">
      <c r="A11" s="1">
        <v>10</v>
      </c>
      <c r="B11" s="22">
        <f>+'Nomina Econacional'!B22</f>
        <v>0</v>
      </c>
      <c r="C11" s="109">
        <v>60280286</v>
      </c>
      <c r="D11" s="22" t="s">
        <v>371</v>
      </c>
      <c r="E11" s="19" t="e">
        <f>VLOOKUP($B11,'Nomina Econacional'!$B$4:$AC$153,2,0)</f>
        <v>#N/A</v>
      </c>
      <c r="F11" s="19" t="e">
        <f>VLOOKUP($B11,'Nomina Econacional'!$B$4:$AC$153,4,0)</f>
        <v>#N/A</v>
      </c>
      <c r="G11" s="60" t="e">
        <f>VLOOKUP($B11,'Nomina Econacional'!$B$4:$AC$153,6,0)</f>
        <v>#N/A</v>
      </c>
      <c r="H11" s="60" t="e">
        <f>VLOOKUP($B11,'Nomina Econacional'!$B$4:$AC$153,7,0)</f>
        <v>#N/A</v>
      </c>
      <c r="I11" s="21" t="e">
        <f>VLOOKUP($B11,'Nomina Econacional'!$B$4:$AC$153,9,0)</f>
        <v>#N/A</v>
      </c>
      <c r="J11" s="60" t="e">
        <f>VLOOKUP($B11,'Nomina Econacional'!$B$4:$AC$153,10,0)</f>
        <v>#N/A</v>
      </c>
      <c r="K11" s="19" t="e">
        <f>VLOOKUP($B11,'Nomina Econacional'!$B$4:$AC$153,11,0)</f>
        <v>#N/A</v>
      </c>
      <c r="L11" s="60" t="e">
        <f>VLOOKUP($B11,'Nomina Econacional'!$B$4:$AC$153,12,0)</f>
        <v>#N/A</v>
      </c>
      <c r="M11" s="19" t="e">
        <f>VLOOKUP($B11,'Nomina Econacional'!$B$4:$AC$153,13,0)</f>
        <v>#N/A</v>
      </c>
      <c r="N11" s="60" t="e">
        <f>VLOOKUP($B11,'Nomina Econacional'!$B$4:$AC$153,14,0)</f>
        <v>#N/A</v>
      </c>
      <c r="O11" s="19">
        <f>VLOOKUP($B11,'Nomina Econacional'!$B$4:$AC$153,15,0)</f>
        <v>0</v>
      </c>
      <c r="P11" s="19" t="e">
        <f>VLOOKUP($B11,'Nomina Econacional'!$B$4:$AC$153,16,0)</f>
        <v>#N/A</v>
      </c>
      <c r="Q11" s="19" t="e">
        <f>VLOOKUP($B11,'Nomina Econacional'!$B$4:$AC$153,17,0)</f>
        <v>#N/A</v>
      </c>
      <c r="R11" s="19">
        <f>VLOOKUP($B11,'Nomina Econacional'!$B$4:$AC$153,18,0)</f>
        <v>0</v>
      </c>
      <c r="S11" s="19" t="e">
        <f>VLOOKUP($B11,'Nomina Econacional'!$B$4:$AC$153,19,0)</f>
        <v>#N/A</v>
      </c>
      <c r="T11" s="19" t="e">
        <f>VLOOKUP($B11,'Nomina Econacional'!$B$4:$AC$153,20,0)</f>
        <v>#N/A</v>
      </c>
      <c r="U11" s="19" t="e">
        <f>VLOOKUP($B11,'Nomina Econacional'!$B$4:$AC$153,21,0)</f>
        <v>#N/A</v>
      </c>
      <c r="V11" s="19" t="e">
        <f>VLOOKUP($B11,'Nomina Econacional'!$B$4:$AC$153,22,0)</f>
        <v>#N/A</v>
      </c>
      <c r="W11" s="19" t="e">
        <f>VLOOKUP($B11,'Nomina Econacional'!$B$4:$AC$153,23,0)</f>
        <v>#N/A</v>
      </c>
      <c r="X11" s="20" t="e">
        <f>+'Nomina Econacional'!Y22</f>
        <v>#N/A</v>
      </c>
      <c r="Y11" s="122" t="e">
        <f>+'Nomina Econacional'!Z22</f>
        <v>#N/A</v>
      </c>
      <c r="Z11" s="20" t="e">
        <f>+'Nomina Econacional'!AA22</f>
        <v>#N/A</v>
      </c>
      <c r="AA11" s="61">
        <v>201600808071</v>
      </c>
      <c r="AB11" s="85" t="e">
        <f>VLOOKUP($B11,'Nomina Econacional'!$B$4:$AC$153,3,0)</f>
        <v>#N/A</v>
      </c>
    </row>
    <row r="12" spans="1:28">
      <c r="A12" s="1">
        <v>11</v>
      </c>
      <c r="B12" s="22">
        <f>+'Nomina Econacional'!B24</f>
        <v>0</v>
      </c>
      <c r="C12" s="109">
        <v>60280294</v>
      </c>
      <c r="D12" s="22" t="s">
        <v>372</v>
      </c>
      <c r="E12" s="19" t="e">
        <f>VLOOKUP($B12,'Nomina Econacional'!$B$4:$AC$153,2,0)</f>
        <v>#N/A</v>
      </c>
      <c r="F12" s="19" t="e">
        <f>VLOOKUP($B12,'Nomina Econacional'!$B$4:$AC$153,4,0)</f>
        <v>#N/A</v>
      </c>
      <c r="G12" s="60" t="e">
        <f>VLOOKUP($B12,'Nomina Econacional'!$B$4:$AC$153,6,0)</f>
        <v>#N/A</v>
      </c>
      <c r="H12" s="60" t="e">
        <f>VLOOKUP($B12,'Nomina Econacional'!$B$4:$AC$153,7,0)</f>
        <v>#N/A</v>
      </c>
      <c r="I12" s="21" t="e">
        <f>VLOOKUP($B12,'Nomina Econacional'!$B$4:$AC$153,9,0)</f>
        <v>#N/A</v>
      </c>
      <c r="J12" s="60" t="e">
        <f>VLOOKUP($B12,'Nomina Econacional'!$B$4:$AC$153,10,0)</f>
        <v>#N/A</v>
      </c>
      <c r="K12" s="19" t="e">
        <f>VLOOKUP($B12,'Nomina Econacional'!$B$4:$AC$153,11,0)</f>
        <v>#N/A</v>
      </c>
      <c r="L12" s="60" t="e">
        <f>VLOOKUP($B12,'Nomina Econacional'!$B$4:$AC$153,12,0)</f>
        <v>#N/A</v>
      </c>
      <c r="M12" s="19" t="e">
        <f>VLOOKUP($B12,'Nomina Econacional'!$B$4:$AC$153,13,0)</f>
        <v>#N/A</v>
      </c>
      <c r="N12" s="60" t="e">
        <f>VLOOKUP($B12,'Nomina Econacional'!$B$4:$AC$153,14,0)</f>
        <v>#N/A</v>
      </c>
      <c r="O12" s="19">
        <f>VLOOKUP($B12,'Nomina Econacional'!$B$4:$AC$153,15,0)</f>
        <v>0</v>
      </c>
      <c r="P12" s="19" t="e">
        <f>VLOOKUP($B12,'Nomina Econacional'!$B$4:$AC$153,16,0)</f>
        <v>#N/A</v>
      </c>
      <c r="Q12" s="19" t="e">
        <f>VLOOKUP($B12,'Nomina Econacional'!$B$4:$AC$153,17,0)</f>
        <v>#N/A</v>
      </c>
      <c r="R12" s="19">
        <f>VLOOKUP($B12,'Nomina Econacional'!$B$4:$AC$153,18,0)</f>
        <v>0</v>
      </c>
      <c r="S12" s="19" t="e">
        <f>VLOOKUP($B12,'Nomina Econacional'!$B$4:$AC$153,19,0)</f>
        <v>#N/A</v>
      </c>
      <c r="T12" s="19" t="e">
        <f>VLOOKUP($B12,'Nomina Econacional'!$B$4:$AC$153,20,0)</f>
        <v>#N/A</v>
      </c>
      <c r="U12" s="19" t="e">
        <f>VLOOKUP($B12,'Nomina Econacional'!$B$4:$AC$153,21,0)</f>
        <v>#N/A</v>
      </c>
      <c r="V12" s="19" t="e">
        <f>VLOOKUP($B12,'Nomina Econacional'!$B$4:$AC$153,22,0)</f>
        <v>#N/A</v>
      </c>
      <c r="W12" s="19" t="e">
        <f>VLOOKUP($B12,'Nomina Econacional'!$B$4:$AC$153,23,0)</f>
        <v>#N/A</v>
      </c>
      <c r="X12" s="20" t="e">
        <f>+'Nomina Econacional'!Y24</f>
        <v>#N/A</v>
      </c>
      <c r="Y12" s="122" t="e">
        <f>+'Nomina Econacional'!Z24</f>
        <v>#N/A</v>
      </c>
      <c r="Z12" s="20" t="e">
        <f>+'Nomina Econacional'!AA24</f>
        <v>#N/A</v>
      </c>
      <c r="AA12" s="61">
        <v>179357587</v>
      </c>
      <c r="AB12" s="85" t="e">
        <f>VLOOKUP($B12,'Nomina Econacional'!$B$4:$AC$153,3,0)</f>
        <v>#N/A</v>
      </c>
    </row>
    <row r="13" spans="1:28">
      <c r="A13" s="1">
        <v>12</v>
      </c>
      <c r="B13" s="22">
        <f>+'Nomina Econacional'!B23</f>
        <v>0</v>
      </c>
      <c r="C13" s="109">
        <v>1490177837</v>
      </c>
      <c r="D13" s="22" t="s">
        <v>232</v>
      </c>
      <c r="E13" s="19" t="e">
        <f>VLOOKUP($B13,'Nomina Econacional'!$B$4:$AC$153,2,0)</f>
        <v>#N/A</v>
      </c>
      <c r="F13" s="19" t="e">
        <f>VLOOKUP($B13,'Nomina Econacional'!$B$4:$AC$153,4,0)</f>
        <v>#N/A</v>
      </c>
      <c r="G13" s="60" t="e">
        <f>VLOOKUP($B13,'Nomina Econacional'!$B$4:$AC$153,6,0)</f>
        <v>#N/A</v>
      </c>
      <c r="H13" s="60" t="e">
        <f>VLOOKUP($B13,'Nomina Econacional'!$B$4:$AC$153,7,0)</f>
        <v>#N/A</v>
      </c>
      <c r="I13" s="21" t="e">
        <f>VLOOKUP($B13,'Nomina Econacional'!$B$4:$AC$153,9,0)</f>
        <v>#N/A</v>
      </c>
      <c r="J13" s="60" t="e">
        <f>VLOOKUP($B13,'Nomina Econacional'!$B$4:$AC$153,10,0)</f>
        <v>#N/A</v>
      </c>
      <c r="K13" s="19" t="e">
        <f>VLOOKUP($B13,'Nomina Econacional'!$B$4:$AC$153,11,0)</f>
        <v>#N/A</v>
      </c>
      <c r="L13" s="60" t="e">
        <f>VLOOKUP($B13,'Nomina Econacional'!$B$4:$AC$153,12,0)</f>
        <v>#N/A</v>
      </c>
      <c r="M13" s="19" t="e">
        <f>VLOOKUP($B13,'Nomina Econacional'!$B$4:$AC$153,13,0)</f>
        <v>#N/A</v>
      </c>
      <c r="N13" s="60" t="e">
        <f>VLOOKUP($B13,'Nomina Econacional'!$B$4:$AC$153,14,0)</f>
        <v>#N/A</v>
      </c>
      <c r="O13" s="19">
        <f>VLOOKUP($B13,'Nomina Econacional'!$B$4:$AC$153,15,0)</f>
        <v>0</v>
      </c>
      <c r="P13" s="19" t="e">
        <f>VLOOKUP($B13,'Nomina Econacional'!$B$4:$AC$153,16,0)</f>
        <v>#N/A</v>
      </c>
      <c r="Q13" s="19" t="e">
        <f>VLOOKUP($B13,'Nomina Econacional'!$B$4:$AC$153,17,0)</f>
        <v>#N/A</v>
      </c>
      <c r="R13" s="19">
        <f>VLOOKUP($B13,'Nomina Econacional'!$B$4:$AC$153,18,0)</f>
        <v>0</v>
      </c>
      <c r="S13" s="19" t="e">
        <f>VLOOKUP($B13,'Nomina Econacional'!$B$4:$AC$153,19,0)</f>
        <v>#N/A</v>
      </c>
      <c r="T13" s="19" t="e">
        <f>VLOOKUP($B13,'Nomina Econacional'!$B$4:$AC$153,20,0)</f>
        <v>#N/A</v>
      </c>
      <c r="U13" s="19" t="e">
        <f>VLOOKUP($B13,'Nomina Econacional'!$B$4:$AC$153,21,0)</f>
        <v>#N/A</v>
      </c>
      <c r="V13" s="19" t="e">
        <f>VLOOKUP($B13,'Nomina Econacional'!$B$4:$AC$153,22,0)</f>
        <v>#N/A</v>
      </c>
      <c r="W13" s="19" t="e">
        <f>VLOOKUP($B13,'Nomina Econacional'!$B$4:$AC$153,23,0)</f>
        <v>#N/A</v>
      </c>
      <c r="X13" s="20" t="e">
        <f>+'Nomina Econacional'!Z23</f>
        <v>#N/A</v>
      </c>
      <c r="Y13" s="122" t="e">
        <f>+'Nomina Econacional'!Z23</f>
        <v>#N/A</v>
      </c>
      <c r="Z13" s="122" t="e">
        <f>+'Nomina Econacional'!AA23</f>
        <v>#N/A</v>
      </c>
      <c r="AA13" s="61"/>
      <c r="AB13" s="85" t="e">
        <f>VLOOKUP($B13,'Nomina Econacional'!$B$4:$AC$153,3,0)</f>
        <v>#N/A</v>
      </c>
    </row>
    <row r="14" spans="1:28">
      <c r="X14" s="2"/>
      <c r="Y14" s="120" t="e">
        <f>SUM(Y2:Y13)</f>
        <v>#N/A</v>
      </c>
      <c r="Z14" s="28" t="e">
        <f>SUM(Z2:Z13)</f>
        <v>#N/A</v>
      </c>
    </row>
    <row r="15" spans="1:28">
      <c r="Y15" s="120" t="e">
        <f>+'Nomina Econacional'!Z40</f>
        <v>#N/A</v>
      </c>
      <c r="Z15" s="2" t="e">
        <f>+'Nomina Econacional'!AA40</f>
        <v>#N/A</v>
      </c>
    </row>
    <row r="16" spans="1:28">
      <c r="C16" s="29"/>
      <c r="D16" s="41"/>
      <c r="Z16" s="2"/>
    </row>
    <row r="17" spans="1:26" ht="15.6">
      <c r="B17" s="3"/>
      <c r="G17" s="27"/>
      <c r="Z17" s="2"/>
    </row>
    <row r="18" spans="1:26" ht="15.6" hidden="1">
      <c r="A18" s="4" t="s">
        <v>224</v>
      </c>
      <c r="B18" s="27" t="s">
        <v>225</v>
      </c>
      <c r="C18" s="27" t="s">
        <v>226</v>
      </c>
      <c r="D18" s="3" t="s">
        <v>212</v>
      </c>
      <c r="E18" s="3"/>
      <c r="F18" s="3"/>
      <c r="G18" s="3"/>
      <c r="H18" s="3"/>
      <c r="I18" s="3"/>
      <c r="J18" s="3"/>
      <c r="K18" s="3"/>
      <c r="L18" s="3"/>
      <c r="M18" s="3"/>
      <c r="N18" s="3"/>
      <c r="O18" s="3"/>
      <c r="P18" s="3"/>
      <c r="Q18" s="3"/>
      <c r="R18" s="3"/>
      <c r="S18" s="3"/>
      <c r="T18" s="3"/>
      <c r="U18" s="3"/>
      <c r="V18" s="3"/>
      <c r="W18" s="3"/>
      <c r="X18" s="3"/>
      <c r="Z18" s="2"/>
    </row>
    <row r="19" spans="1:26" ht="15.6" hidden="1">
      <c r="A19" s="4" t="s">
        <v>97</v>
      </c>
      <c r="B19" s="27" t="s">
        <v>230</v>
      </c>
      <c r="C19" s="27">
        <v>2100134184</v>
      </c>
      <c r="D19" s="3">
        <v>201200078279</v>
      </c>
      <c r="E19" s="3"/>
      <c r="F19" s="3"/>
      <c r="G19" s="3"/>
      <c r="H19" s="3"/>
      <c r="I19" s="3"/>
      <c r="J19" s="3"/>
      <c r="K19" s="3"/>
      <c r="L19" s="3"/>
      <c r="M19" s="3"/>
      <c r="N19" s="3"/>
      <c r="O19" s="3"/>
      <c r="P19" s="3"/>
      <c r="Q19" s="3"/>
      <c r="R19" s="3"/>
      <c r="S19" s="3"/>
      <c r="T19" s="3"/>
      <c r="U19" s="3"/>
      <c r="V19" s="3"/>
      <c r="W19" s="3"/>
      <c r="X19" s="3"/>
      <c r="Z19" s="2"/>
    </row>
    <row r="20" spans="1:26" ht="15.6" hidden="1">
      <c r="A20" s="43" t="s">
        <v>291</v>
      </c>
      <c r="B20" s="27" t="s">
        <v>292</v>
      </c>
      <c r="C20" s="27"/>
      <c r="D20" s="3">
        <v>0</v>
      </c>
      <c r="E20" s="3"/>
      <c r="F20" s="3"/>
      <c r="G20" s="3"/>
      <c r="H20" s="3"/>
      <c r="I20" s="3"/>
      <c r="J20" s="3"/>
      <c r="K20" s="3"/>
      <c r="L20" s="3"/>
      <c r="M20" s="3"/>
      <c r="N20" s="3"/>
      <c r="O20" s="3"/>
      <c r="P20" s="3"/>
      <c r="Q20" s="3"/>
      <c r="R20" s="3"/>
      <c r="S20" s="3"/>
      <c r="T20" s="3"/>
      <c r="U20" s="3"/>
      <c r="V20" s="3"/>
      <c r="W20" s="3"/>
      <c r="X20" s="3"/>
      <c r="Z20" s="2"/>
    </row>
    <row r="21" spans="1:26" ht="15.6" hidden="1">
      <c r="A21" s="4" t="s">
        <v>228</v>
      </c>
      <c r="B21" s="27" t="s">
        <v>229</v>
      </c>
      <c r="C21" s="27">
        <v>1480049822</v>
      </c>
      <c r="D21" s="30">
        <v>201402475635</v>
      </c>
      <c r="E21" s="3"/>
      <c r="F21" s="3"/>
      <c r="G21" s="3"/>
      <c r="H21" s="3"/>
      <c r="I21" s="3"/>
      <c r="J21" s="3"/>
      <c r="K21" s="3"/>
      <c r="L21" s="3"/>
      <c r="M21" s="3"/>
      <c r="N21" s="3"/>
      <c r="O21" s="3"/>
      <c r="P21" s="3"/>
      <c r="Q21" s="3"/>
      <c r="R21" s="3"/>
      <c r="S21" s="3"/>
      <c r="T21" s="3"/>
      <c r="U21" s="3"/>
      <c r="V21" s="3"/>
      <c r="W21" s="3"/>
      <c r="X21" s="3"/>
      <c r="Z21" s="2"/>
    </row>
    <row r="22" spans="1:26" hidden="1">
      <c r="A22" s="22" t="s">
        <v>243</v>
      </c>
      <c r="B22" s="22" t="s">
        <v>244</v>
      </c>
      <c r="C22" s="86">
        <v>2100111505</v>
      </c>
      <c r="D22" s="3">
        <v>183115013</v>
      </c>
      <c r="E22" s="41"/>
      <c r="F22" s="41"/>
      <c r="G22" s="41"/>
      <c r="H22" s="41"/>
      <c r="I22" s="41"/>
      <c r="J22" s="41"/>
      <c r="K22" s="41"/>
      <c r="L22" s="41"/>
      <c r="M22" s="41"/>
      <c r="N22" s="41"/>
      <c r="O22" s="41"/>
      <c r="P22" s="41"/>
      <c r="Q22" s="41"/>
      <c r="R22" s="41"/>
      <c r="S22" s="41"/>
      <c r="T22" s="41"/>
      <c r="U22" s="41"/>
      <c r="V22" s="41"/>
      <c r="W22" s="41"/>
      <c r="X22" s="41"/>
    </row>
    <row r="23" spans="1:26" hidden="1">
      <c r="A23" s="62" t="s">
        <v>293</v>
      </c>
      <c r="B23" s="87" t="s">
        <v>294</v>
      </c>
      <c r="C23" s="88"/>
      <c r="D23" s="39"/>
      <c r="E23" s="41"/>
      <c r="F23" s="41"/>
      <c r="G23" s="41"/>
      <c r="H23" s="41"/>
      <c r="I23" s="41"/>
      <c r="J23" s="41"/>
      <c r="K23" s="41"/>
      <c r="L23" s="41"/>
      <c r="M23" s="41"/>
      <c r="N23" s="41"/>
      <c r="O23" s="41"/>
      <c r="P23" s="41"/>
      <c r="Q23" s="41"/>
      <c r="R23" s="41"/>
      <c r="S23" s="41"/>
      <c r="T23" s="41"/>
      <c r="U23" s="41"/>
      <c r="V23" s="41"/>
      <c r="W23" s="41"/>
      <c r="X23" s="41"/>
    </row>
    <row r="24" spans="1:26" hidden="1">
      <c r="A24" s="62" t="s">
        <v>96</v>
      </c>
      <c r="B24" s="87" t="s">
        <v>295</v>
      </c>
      <c r="C24" s="34">
        <v>4540034883</v>
      </c>
      <c r="D24" s="34">
        <v>201200793406</v>
      </c>
      <c r="E24" s="41"/>
      <c r="F24" s="41"/>
      <c r="G24" s="41"/>
      <c r="H24" s="41"/>
      <c r="I24" s="41"/>
      <c r="J24" s="41"/>
      <c r="K24" s="41"/>
      <c r="L24" s="41"/>
      <c r="M24" s="41"/>
      <c r="N24" s="41"/>
      <c r="O24" s="41"/>
      <c r="P24" s="41"/>
      <c r="Q24" s="41"/>
      <c r="R24" s="41"/>
      <c r="S24" s="41"/>
      <c r="T24" s="41"/>
      <c r="U24" s="41"/>
      <c r="V24" s="41"/>
      <c r="W24" s="41"/>
      <c r="X24" s="41"/>
    </row>
    <row r="25" spans="1:26" hidden="1">
      <c r="A25" s="62" t="s">
        <v>296</v>
      </c>
      <c r="B25" s="87" t="s">
        <v>297</v>
      </c>
      <c r="C25" s="88"/>
      <c r="D25" s="39"/>
      <c r="E25" s="41"/>
      <c r="F25" s="41"/>
      <c r="G25" s="41"/>
      <c r="H25" s="41"/>
      <c r="I25" s="41"/>
      <c r="J25" s="41"/>
      <c r="K25" s="41"/>
      <c r="L25" s="41"/>
      <c r="M25" s="41"/>
      <c r="N25" s="41"/>
      <c r="O25" s="41"/>
      <c r="P25" s="41"/>
      <c r="Q25" s="41"/>
      <c r="R25" s="41"/>
      <c r="S25" s="41"/>
      <c r="T25" s="41"/>
      <c r="U25" s="41"/>
      <c r="V25" s="41"/>
      <c r="W25" s="41"/>
      <c r="X25" s="41"/>
    </row>
    <row r="26" spans="1:26" hidden="1">
      <c r="A26" s="62" t="s">
        <v>298</v>
      </c>
      <c r="B26" s="87" t="s">
        <v>299</v>
      </c>
      <c r="C26" s="88"/>
      <c r="D26" s="39"/>
      <c r="E26" s="41"/>
      <c r="F26" s="41"/>
      <c r="G26" s="41"/>
      <c r="H26" s="41"/>
      <c r="I26" s="41"/>
      <c r="J26" s="41"/>
      <c r="K26" s="41"/>
      <c r="L26" s="41"/>
      <c r="M26" s="41"/>
      <c r="N26" s="41"/>
      <c r="O26" s="41"/>
      <c r="P26" s="41"/>
      <c r="Q26" s="41"/>
      <c r="R26" s="41"/>
      <c r="S26" s="41"/>
      <c r="T26" s="41"/>
      <c r="U26" s="41"/>
      <c r="V26" s="41"/>
      <c r="W26" s="41"/>
      <c r="X26" s="41"/>
    </row>
    <row r="27" spans="1:26" hidden="1">
      <c r="A27" s="31" t="s">
        <v>97</v>
      </c>
      <c r="B27" s="32" t="s">
        <v>230</v>
      </c>
      <c r="C27" s="33">
        <v>2100134184</v>
      </c>
      <c r="D27" s="38"/>
      <c r="E27" s="41"/>
      <c r="F27" s="41"/>
      <c r="G27" s="41"/>
      <c r="H27" s="41"/>
      <c r="I27" s="41"/>
      <c r="J27" s="41"/>
      <c r="K27" s="41"/>
      <c r="L27" s="41"/>
      <c r="M27" s="41"/>
      <c r="N27" s="41"/>
      <c r="O27" s="41"/>
      <c r="P27" s="41"/>
      <c r="Q27" s="41"/>
      <c r="R27" s="41"/>
      <c r="S27" s="41"/>
      <c r="T27" s="41"/>
      <c r="U27" s="41"/>
      <c r="V27" s="41"/>
      <c r="W27" s="41"/>
      <c r="X27" s="41"/>
    </row>
    <row r="28" spans="1:26" ht="15.6" hidden="1">
      <c r="A28" s="89" t="s">
        <v>95</v>
      </c>
      <c r="B28" s="45" t="s">
        <v>269</v>
      </c>
      <c r="C28" s="90">
        <v>1030057960</v>
      </c>
      <c r="D28" s="26">
        <v>277268009</v>
      </c>
      <c r="F28" s="41"/>
      <c r="G28" s="41"/>
      <c r="H28" s="41"/>
      <c r="I28" s="41"/>
      <c r="J28" s="41"/>
      <c r="K28" s="41"/>
      <c r="L28" s="41"/>
      <c r="M28" s="41"/>
      <c r="N28" s="41"/>
      <c r="O28" s="41"/>
      <c r="P28" s="41"/>
      <c r="Q28" s="41"/>
      <c r="R28" s="41"/>
      <c r="S28" s="41"/>
      <c r="T28" s="41"/>
      <c r="U28" s="41"/>
      <c r="V28" s="41"/>
      <c r="W28" s="41"/>
      <c r="X28" s="41"/>
    </row>
    <row r="29" spans="1:26" hidden="1">
      <c r="A29" s="19" t="s">
        <v>285</v>
      </c>
      <c r="B29" s="19" t="s">
        <v>286</v>
      </c>
      <c r="C29" s="90">
        <v>7060005837</v>
      </c>
      <c r="D29" s="26">
        <v>201400720062</v>
      </c>
    </row>
    <row r="30" spans="1:26" hidden="1">
      <c r="A30" s="44" t="s">
        <v>300</v>
      </c>
      <c r="B30" s="44" t="s">
        <v>301</v>
      </c>
      <c r="C30" s="90">
        <v>60208329</v>
      </c>
      <c r="D30" s="26">
        <v>201400600995</v>
      </c>
      <c r="E30" s="41"/>
      <c r="F30" s="41"/>
      <c r="G30" s="41"/>
      <c r="H30" s="41"/>
      <c r="I30" s="41"/>
      <c r="J30" s="41"/>
      <c r="K30" s="41"/>
      <c r="L30" s="41"/>
      <c r="M30" s="41"/>
      <c r="N30" s="41"/>
      <c r="O30" s="41"/>
      <c r="P30" s="41"/>
      <c r="Q30" s="41"/>
      <c r="R30" s="41"/>
      <c r="S30" s="41"/>
      <c r="T30" s="41"/>
      <c r="U30" s="41"/>
      <c r="V30" s="41"/>
      <c r="W30" s="41"/>
      <c r="X30" s="41"/>
    </row>
    <row r="31" spans="1:26" hidden="1">
      <c r="A31" s="25" t="s">
        <v>98</v>
      </c>
      <c r="B31" s="25" t="s">
        <v>302</v>
      </c>
      <c r="C31" s="86">
        <v>2100127006</v>
      </c>
      <c r="D31" s="3">
        <v>201500187555</v>
      </c>
      <c r="E31" s="41"/>
      <c r="F31" s="41"/>
      <c r="G31" s="41"/>
      <c r="H31" s="41"/>
      <c r="I31" s="41"/>
      <c r="J31" s="41"/>
      <c r="K31" s="41"/>
      <c r="L31" s="41"/>
      <c r="M31" s="41"/>
      <c r="N31" s="41"/>
      <c r="O31" s="41"/>
      <c r="P31" s="41"/>
      <c r="Q31" s="41"/>
      <c r="R31" s="41"/>
      <c r="S31" s="41"/>
      <c r="T31" s="41"/>
      <c r="U31" s="41"/>
      <c r="V31" s="41"/>
      <c r="W31" s="41"/>
      <c r="X31" s="41"/>
    </row>
    <row r="32" spans="1:26" hidden="1">
      <c r="A32" s="43" t="s">
        <v>303</v>
      </c>
      <c r="B32" s="43" t="s">
        <v>304</v>
      </c>
      <c r="C32" s="86">
        <v>3350051235</v>
      </c>
      <c r="D32" s="91">
        <v>182012088</v>
      </c>
      <c r="E32" s="41"/>
      <c r="F32" s="41"/>
      <c r="G32" s="41"/>
      <c r="H32" s="41"/>
      <c r="I32" s="41"/>
      <c r="J32" s="41"/>
      <c r="K32" s="41"/>
      <c r="L32" s="41"/>
      <c r="M32" s="41"/>
      <c r="N32" s="41"/>
      <c r="O32" s="41"/>
      <c r="P32" s="41"/>
      <c r="Q32" s="41"/>
      <c r="R32" s="41"/>
      <c r="S32" s="41"/>
      <c r="T32" s="41"/>
      <c r="U32" s="41"/>
      <c r="V32" s="41"/>
      <c r="W32" s="41"/>
      <c r="X32" s="41"/>
    </row>
    <row r="33" spans="1:25" hidden="1">
      <c r="A33" s="43" t="s">
        <v>305</v>
      </c>
      <c r="B33" s="43" t="s">
        <v>306</v>
      </c>
      <c r="C33" s="86">
        <v>4600011060</v>
      </c>
      <c r="D33" s="3">
        <v>201100419019</v>
      </c>
      <c r="E33" s="41"/>
      <c r="F33" s="41"/>
      <c r="G33" s="41"/>
      <c r="H33" s="41"/>
      <c r="I33" s="41"/>
      <c r="J33" s="41"/>
      <c r="K33" s="41"/>
      <c r="L33" s="41"/>
      <c r="M33" s="41"/>
      <c r="N33" s="41"/>
      <c r="O33" s="41"/>
      <c r="P33" s="41"/>
      <c r="Q33" s="41"/>
      <c r="R33" s="41"/>
      <c r="S33" s="41"/>
      <c r="T33" s="41"/>
      <c r="U33" s="41"/>
      <c r="V33" s="41"/>
      <c r="W33" s="41"/>
      <c r="X33" s="41"/>
    </row>
    <row r="34" spans="1:25" hidden="1">
      <c r="A34" s="42" t="s">
        <v>123</v>
      </c>
      <c r="B34" s="42" t="s">
        <v>237</v>
      </c>
      <c r="C34" s="86">
        <v>620089466</v>
      </c>
      <c r="D34" s="3">
        <v>201500611267</v>
      </c>
      <c r="E34" s="41"/>
      <c r="F34" s="41"/>
      <c r="G34" s="41"/>
      <c r="H34" s="41"/>
      <c r="I34" s="41"/>
      <c r="J34" s="41"/>
      <c r="K34" s="41"/>
      <c r="L34" s="41"/>
      <c r="M34" s="41"/>
      <c r="N34" s="41"/>
      <c r="O34" s="41"/>
      <c r="P34" s="41"/>
      <c r="Q34" s="41"/>
      <c r="R34" s="41"/>
      <c r="S34" s="41"/>
      <c r="T34" s="41"/>
      <c r="U34" s="41"/>
      <c r="V34" s="41"/>
      <c r="W34" s="41"/>
      <c r="X34" s="41"/>
    </row>
    <row r="35" spans="1:25" hidden="1">
      <c r="A35" s="42" t="s">
        <v>307</v>
      </c>
      <c r="B35" s="42" t="s">
        <v>308</v>
      </c>
      <c r="C35" s="86">
        <v>2100129747</v>
      </c>
      <c r="D35" s="92">
        <v>201500683162</v>
      </c>
      <c r="E35" s="41"/>
      <c r="F35" s="41"/>
      <c r="G35" s="41"/>
      <c r="H35" s="41"/>
      <c r="I35" s="41"/>
      <c r="J35" s="41"/>
      <c r="K35" s="41"/>
      <c r="L35" s="41"/>
      <c r="M35" s="41"/>
      <c r="N35" s="41"/>
      <c r="O35" s="41"/>
      <c r="P35" s="41"/>
      <c r="Q35" s="41"/>
      <c r="R35" s="41"/>
      <c r="S35" s="41"/>
      <c r="T35" s="41"/>
      <c r="U35" s="41"/>
      <c r="V35" s="41"/>
      <c r="W35" s="41"/>
      <c r="X35" s="41"/>
    </row>
    <row r="36" spans="1:25" hidden="1">
      <c r="A36" s="42" t="s">
        <v>72</v>
      </c>
      <c r="B36" s="42" t="s">
        <v>222</v>
      </c>
      <c r="C36" s="86">
        <v>3250027839</v>
      </c>
      <c r="D36" s="3">
        <v>285073052</v>
      </c>
      <c r="E36" s="41"/>
      <c r="F36" s="41"/>
      <c r="G36" s="41"/>
      <c r="H36" s="41"/>
      <c r="I36" s="41"/>
      <c r="J36" s="41"/>
      <c r="K36" s="41"/>
      <c r="L36" s="41"/>
      <c r="M36" s="41"/>
      <c r="N36" s="41"/>
      <c r="O36" s="41"/>
      <c r="P36" s="41"/>
      <c r="Q36" s="41"/>
      <c r="R36" s="41"/>
      <c r="S36" s="41"/>
      <c r="T36" s="41"/>
      <c r="U36" s="41"/>
      <c r="V36" s="41"/>
      <c r="W36" s="41"/>
      <c r="X36" s="41"/>
    </row>
    <row r="37" spans="1:25" hidden="1">
      <c r="A37" s="43" t="s">
        <v>104</v>
      </c>
      <c r="B37" s="43" t="s">
        <v>233</v>
      </c>
      <c r="C37" s="86">
        <v>30038129</v>
      </c>
      <c r="D37" s="3">
        <v>201500187145</v>
      </c>
      <c r="E37" s="41"/>
      <c r="F37" s="41"/>
      <c r="G37" s="41"/>
      <c r="H37" s="41"/>
      <c r="I37" s="41"/>
      <c r="J37" s="41"/>
      <c r="K37" s="41"/>
      <c r="L37" s="41"/>
      <c r="M37" s="41"/>
      <c r="N37" s="41"/>
      <c r="O37" s="41"/>
      <c r="P37" s="41"/>
      <c r="Q37" s="41"/>
      <c r="R37" s="41"/>
      <c r="S37" s="41"/>
      <c r="T37" s="41"/>
      <c r="U37" s="41"/>
      <c r="V37" s="41"/>
      <c r="W37" s="41"/>
      <c r="X37" s="41"/>
    </row>
    <row r="38" spans="1:25" hidden="1">
      <c r="A38" s="25" t="s">
        <v>309</v>
      </c>
      <c r="B38" s="25" t="s">
        <v>310</v>
      </c>
      <c r="C38" s="86">
        <v>660126350</v>
      </c>
      <c r="D38" s="3">
        <v>201500187074</v>
      </c>
      <c r="E38" s="41"/>
      <c r="F38" s="41"/>
      <c r="G38" s="41"/>
      <c r="H38" s="41"/>
      <c r="I38" s="41"/>
      <c r="J38" s="41"/>
      <c r="K38" s="41"/>
      <c r="L38" s="41"/>
      <c r="M38" s="41"/>
      <c r="N38" s="41"/>
      <c r="O38" s="41"/>
      <c r="P38" s="41"/>
      <c r="Q38" s="41"/>
      <c r="R38" s="41"/>
      <c r="S38" s="41"/>
      <c r="T38" s="41"/>
      <c r="U38" s="41"/>
      <c r="V38" s="41"/>
      <c r="W38" s="41"/>
      <c r="X38" s="41"/>
    </row>
    <row r="39" spans="1:25" hidden="1">
      <c r="A39" s="4" t="s">
        <v>87</v>
      </c>
      <c r="B39" s="4" t="s">
        <v>238</v>
      </c>
      <c r="C39" s="93">
        <v>2200063028</v>
      </c>
      <c r="D39" s="35">
        <v>201400302399</v>
      </c>
      <c r="E39" s="41"/>
      <c r="F39" s="41"/>
      <c r="G39" s="41"/>
      <c r="H39" s="41"/>
      <c r="I39" s="41"/>
      <c r="J39" s="41"/>
      <c r="K39" s="41"/>
      <c r="L39" s="41"/>
      <c r="M39" s="41"/>
      <c r="N39" s="41"/>
      <c r="O39" s="41"/>
      <c r="P39" s="41"/>
      <c r="Q39" s="41"/>
      <c r="R39" s="41"/>
      <c r="S39" s="41"/>
      <c r="T39" s="41"/>
      <c r="U39" s="41"/>
      <c r="V39" s="41"/>
      <c r="W39" s="41"/>
      <c r="X39" s="2"/>
      <c r="Y39" s="119"/>
    </row>
    <row r="40" spans="1:25" hidden="1">
      <c r="A40" s="94" t="s">
        <v>235</v>
      </c>
      <c r="B40" s="94" t="s">
        <v>236</v>
      </c>
      <c r="C40" s="95">
        <v>2100118682</v>
      </c>
      <c r="D40" s="36">
        <v>201501010609</v>
      </c>
      <c r="E40" s="41"/>
      <c r="F40" s="41"/>
      <c r="G40" s="41"/>
      <c r="H40" s="41"/>
      <c r="I40" s="41"/>
      <c r="J40" s="41"/>
      <c r="K40" s="41"/>
      <c r="L40" s="41"/>
      <c r="M40" s="41"/>
      <c r="N40" s="41"/>
      <c r="O40" s="41"/>
      <c r="P40" s="41"/>
      <c r="Q40" s="41"/>
      <c r="R40" s="41"/>
      <c r="S40" s="41"/>
      <c r="T40" s="41"/>
      <c r="U40" s="41"/>
      <c r="V40" s="41"/>
      <c r="W40" s="41"/>
      <c r="X40" s="2"/>
      <c r="Y40" s="119"/>
    </row>
    <row r="41" spans="1:25" hidden="1">
      <c r="A41" s="94" t="s">
        <v>311</v>
      </c>
      <c r="B41" s="94" t="s">
        <v>312</v>
      </c>
      <c r="C41" s="96">
        <v>2100131065</v>
      </c>
      <c r="D41" s="36">
        <v>201501013795</v>
      </c>
      <c r="E41" s="41"/>
      <c r="F41" s="41"/>
      <c r="G41" s="41"/>
      <c r="H41" s="41"/>
      <c r="I41" s="41"/>
      <c r="J41" s="41"/>
      <c r="K41" s="41"/>
      <c r="L41" s="41"/>
      <c r="M41" s="41"/>
      <c r="N41" s="41"/>
      <c r="O41" s="41"/>
      <c r="P41" s="41"/>
      <c r="Q41" s="41"/>
      <c r="R41" s="41"/>
      <c r="S41" s="41"/>
      <c r="T41" s="41"/>
      <c r="U41" s="41"/>
      <c r="V41" s="41"/>
      <c r="W41" s="41"/>
      <c r="X41" s="2"/>
      <c r="Y41" s="119"/>
    </row>
    <row r="42" spans="1:25" hidden="1">
      <c r="A42" s="4" t="s">
        <v>231</v>
      </c>
      <c r="B42" s="4" t="s">
        <v>232</v>
      </c>
      <c r="C42" s="86">
        <v>590065892</v>
      </c>
      <c r="D42" s="3">
        <v>201500248776</v>
      </c>
      <c r="E42" s="41"/>
      <c r="F42" s="41"/>
      <c r="G42" s="41"/>
      <c r="H42" s="41"/>
      <c r="I42" s="41"/>
      <c r="J42" s="41"/>
      <c r="K42" s="41"/>
      <c r="L42" s="41"/>
      <c r="M42" s="41"/>
      <c r="N42" s="41"/>
      <c r="O42" s="41"/>
      <c r="P42" s="41"/>
      <c r="Q42" s="41"/>
      <c r="R42" s="41"/>
      <c r="S42" s="41"/>
      <c r="T42" s="41"/>
      <c r="U42" s="41"/>
      <c r="V42" s="41"/>
      <c r="W42" s="41"/>
      <c r="X42" s="41"/>
    </row>
    <row r="43" spans="1:25" hidden="1">
      <c r="A43" s="4" t="s">
        <v>313</v>
      </c>
      <c r="B43" s="4" t="s">
        <v>314</v>
      </c>
      <c r="C43" s="86">
        <v>590065900</v>
      </c>
      <c r="D43" s="3">
        <v>201500187163</v>
      </c>
      <c r="E43" s="41"/>
      <c r="F43" s="41"/>
      <c r="G43" s="41"/>
      <c r="H43" s="41"/>
      <c r="I43" s="41"/>
      <c r="J43" s="41"/>
      <c r="K43" s="41"/>
      <c r="L43" s="41"/>
      <c r="M43" s="41"/>
      <c r="N43" s="41"/>
      <c r="O43" s="41"/>
      <c r="P43" s="41"/>
      <c r="Q43" s="41"/>
      <c r="R43" s="41"/>
      <c r="S43" s="41"/>
      <c r="T43" s="41"/>
      <c r="U43" s="41"/>
      <c r="V43" s="41"/>
      <c r="W43" s="41"/>
      <c r="X43" s="41"/>
    </row>
    <row r="44" spans="1:25" hidden="1">
      <c r="A44" s="25" t="s">
        <v>93</v>
      </c>
      <c r="B44" s="25" t="s">
        <v>234</v>
      </c>
      <c r="C44" s="86">
        <v>2830045908</v>
      </c>
      <c r="D44" s="3">
        <v>201500308256</v>
      </c>
      <c r="E44" s="41"/>
      <c r="F44" s="41"/>
      <c r="G44" s="41"/>
      <c r="H44" s="41"/>
      <c r="I44" s="41"/>
      <c r="J44" s="41"/>
      <c r="K44" s="41"/>
      <c r="L44" s="41"/>
      <c r="M44" s="41"/>
      <c r="N44" s="41"/>
      <c r="O44" s="41"/>
      <c r="P44" s="41"/>
      <c r="Q44" s="41"/>
      <c r="R44" s="41"/>
      <c r="S44" s="41"/>
      <c r="T44" s="41"/>
      <c r="U44" s="41"/>
      <c r="V44" s="41"/>
      <c r="W44" s="41"/>
      <c r="X44" s="41"/>
    </row>
    <row r="45" spans="1:25" hidden="1">
      <c r="A45" s="37" t="s">
        <v>239</v>
      </c>
      <c r="B45" s="37" t="s">
        <v>240</v>
      </c>
      <c r="C45" s="93">
        <v>1420047019</v>
      </c>
      <c r="D45" s="3">
        <v>183275122</v>
      </c>
      <c r="E45" s="41"/>
    </row>
    <row r="46" spans="1:25" hidden="1">
      <c r="A46" s="24" t="s">
        <v>315</v>
      </c>
      <c r="B46" s="24" t="s">
        <v>316</v>
      </c>
      <c r="C46" s="35">
        <v>4530051616</v>
      </c>
      <c r="D46" s="3">
        <v>201101225716</v>
      </c>
      <c r="E46" s="41"/>
    </row>
    <row r="47" spans="1:25" hidden="1">
      <c r="A47" s="3" t="s">
        <v>260</v>
      </c>
      <c r="B47" s="22" t="s">
        <v>287</v>
      </c>
      <c r="C47" s="97">
        <v>141711217</v>
      </c>
      <c r="D47" s="35">
        <v>183144534</v>
      </c>
      <c r="F47" s="41"/>
      <c r="G47" s="41"/>
      <c r="H47" s="41"/>
      <c r="I47" s="41"/>
      <c r="J47" s="41"/>
      <c r="K47" s="41"/>
      <c r="L47" s="41"/>
      <c r="M47" s="41"/>
      <c r="N47" s="41"/>
      <c r="O47" s="41"/>
      <c r="P47" s="41"/>
      <c r="Q47" s="41"/>
      <c r="R47" s="41"/>
      <c r="S47" s="41"/>
      <c r="T47" s="41"/>
      <c r="U47" s="41"/>
      <c r="V47" s="41"/>
      <c r="W47" s="41"/>
      <c r="X47" s="41"/>
    </row>
    <row r="48" spans="1:25" hidden="1">
      <c r="A48" s="98" t="s">
        <v>317</v>
      </c>
      <c r="B48" s="98" t="s">
        <v>318</v>
      </c>
      <c r="C48" s="86">
        <v>620086876</v>
      </c>
      <c r="D48" s="3">
        <v>201402738077</v>
      </c>
      <c r="E48" s="41"/>
      <c r="F48" s="41"/>
      <c r="G48" s="41"/>
      <c r="H48" s="41"/>
      <c r="I48" s="41"/>
      <c r="J48" s="41"/>
      <c r="K48" s="41"/>
      <c r="L48" s="41"/>
      <c r="M48" s="41"/>
      <c r="N48" s="41"/>
      <c r="O48" s="41"/>
      <c r="P48" s="41"/>
      <c r="Q48" s="41"/>
      <c r="R48" s="41"/>
      <c r="S48" s="41"/>
      <c r="T48" s="41"/>
      <c r="U48" s="41"/>
      <c r="V48" s="41"/>
      <c r="W48" s="41"/>
      <c r="X48" s="41"/>
    </row>
    <row r="49" spans="1:24" hidden="1">
      <c r="A49" s="25" t="s">
        <v>283</v>
      </c>
      <c r="B49" s="25" t="s">
        <v>284</v>
      </c>
      <c r="C49" s="97">
        <v>620085936</v>
      </c>
      <c r="D49" s="35">
        <v>201402455764</v>
      </c>
      <c r="E49" s="41"/>
      <c r="F49" s="41"/>
      <c r="G49" s="41"/>
      <c r="H49" s="41"/>
      <c r="I49" s="41"/>
      <c r="J49" s="41"/>
      <c r="K49" s="41"/>
      <c r="L49" s="41"/>
      <c r="M49" s="41"/>
      <c r="N49" s="41"/>
      <c r="O49" s="41"/>
      <c r="P49" s="41"/>
      <c r="Q49" s="41"/>
      <c r="R49" s="41"/>
      <c r="S49" s="41"/>
      <c r="T49" s="41"/>
      <c r="U49" s="41"/>
      <c r="V49" s="41"/>
      <c r="W49" s="41"/>
      <c r="X49" s="41"/>
    </row>
    <row r="50" spans="1:24" hidden="1">
      <c r="A50" s="3" t="s">
        <v>127</v>
      </c>
      <c r="B50" s="3" t="s">
        <v>241</v>
      </c>
      <c r="C50" s="86">
        <v>1030061012</v>
      </c>
      <c r="D50" s="3">
        <v>201400236014</v>
      </c>
      <c r="E50" s="41"/>
      <c r="F50" s="41"/>
      <c r="G50" s="41"/>
      <c r="H50" s="41"/>
      <c r="I50" s="41"/>
      <c r="J50" s="41"/>
      <c r="K50" s="41"/>
      <c r="L50" s="41"/>
      <c r="M50" s="41"/>
      <c r="N50" s="41"/>
      <c r="O50" s="41"/>
      <c r="P50" s="41"/>
      <c r="Q50" s="41"/>
      <c r="R50" s="41"/>
      <c r="S50" s="41"/>
      <c r="T50" s="41"/>
      <c r="U50" s="41"/>
      <c r="V50" s="41"/>
      <c r="W50" s="41"/>
      <c r="X50" s="41"/>
    </row>
    <row r="51" spans="1:24" hidden="1">
      <c r="A51" s="37" t="s">
        <v>319</v>
      </c>
      <c r="B51" s="37" t="s">
        <v>320</v>
      </c>
      <c r="C51" s="86">
        <v>590064788</v>
      </c>
      <c r="D51" s="3">
        <v>201402464727</v>
      </c>
      <c r="E51" s="41"/>
      <c r="F51" s="41"/>
      <c r="G51" s="41"/>
      <c r="H51" s="41"/>
      <c r="I51" s="41"/>
      <c r="J51" s="41"/>
      <c r="K51" s="41"/>
      <c r="L51" s="41"/>
      <c r="M51" s="41"/>
      <c r="N51" s="41"/>
      <c r="O51" s="41"/>
      <c r="P51" s="41"/>
      <c r="Q51" s="41"/>
      <c r="R51" s="41"/>
      <c r="S51" s="41"/>
      <c r="T51" s="41"/>
      <c r="U51" s="41"/>
      <c r="V51" s="41"/>
      <c r="W51" s="41"/>
      <c r="X51" s="41"/>
    </row>
    <row r="52" spans="1:24" hidden="1">
      <c r="A52" s="46" t="s">
        <v>321</v>
      </c>
      <c r="B52" s="46" t="s">
        <v>322</v>
      </c>
      <c r="C52" s="91">
        <v>4630027318</v>
      </c>
      <c r="D52" s="3">
        <v>184327179</v>
      </c>
      <c r="E52" s="41"/>
      <c r="F52" s="41"/>
      <c r="G52" s="41"/>
      <c r="H52" s="41"/>
      <c r="I52" s="41"/>
      <c r="J52" s="41"/>
      <c r="K52" s="41"/>
      <c r="L52" s="41"/>
      <c r="M52" s="41"/>
      <c r="N52" s="41"/>
      <c r="O52" s="41"/>
      <c r="P52" s="41"/>
      <c r="Q52" s="41"/>
      <c r="R52" s="41"/>
      <c r="S52" s="41"/>
      <c r="T52" s="41"/>
      <c r="U52" s="41"/>
      <c r="V52" s="41"/>
      <c r="W52" s="41"/>
      <c r="X52" s="41"/>
    </row>
    <row r="53" spans="1:24" hidden="1">
      <c r="A53" s="46" t="s">
        <v>323</v>
      </c>
      <c r="B53" s="46" t="s">
        <v>324</v>
      </c>
      <c r="C53" s="35">
        <v>2100122619</v>
      </c>
      <c r="D53" s="3">
        <v>201402464905</v>
      </c>
      <c r="E53" s="41"/>
      <c r="F53" s="41"/>
      <c r="G53" s="41"/>
      <c r="H53" s="41"/>
      <c r="I53" s="41"/>
      <c r="J53" s="41"/>
      <c r="K53" s="41"/>
      <c r="L53" s="41"/>
      <c r="M53" s="41"/>
      <c r="N53" s="41"/>
      <c r="O53" s="41"/>
      <c r="P53" s="41"/>
      <c r="Q53" s="41"/>
      <c r="R53" s="41"/>
      <c r="S53" s="41"/>
      <c r="T53" s="41"/>
      <c r="U53" s="41"/>
      <c r="V53" s="41"/>
      <c r="W53" s="41"/>
      <c r="X53" s="41"/>
    </row>
    <row r="54" spans="1:24" hidden="1">
      <c r="A54" s="44" t="s">
        <v>288</v>
      </c>
      <c r="B54" s="44" t="s">
        <v>325</v>
      </c>
      <c r="C54" s="86">
        <v>1490110853</v>
      </c>
      <c r="D54" s="3">
        <v>201400241366</v>
      </c>
      <c r="E54" s="41"/>
      <c r="F54" s="41"/>
      <c r="G54" s="41"/>
      <c r="H54" s="41"/>
      <c r="I54" s="41"/>
      <c r="J54" s="41"/>
      <c r="K54" s="41"/>
      <c r="L54" s="41"/>
      <c r="M54" s="41"/>
      <c r="N54" s="41"/>
      <c r="O54" s="41"/>
      <c r="P54" s="41"/>
      <c r="Q54" s="41"/>
      <c r="R54" s="41"/>
      <c r="S54" s="41"/>
      <c r="T54" s="41"/>
      <c r="U54" s="41"/>
      <c r="V54" s="41"/>
      <c r="W54" s="41"/>
      <c r="X54" s="41"/>
    </row>
    <row r="55" spans="1:24" hidden="1">
      <c r="A55" s="24" t="s">
        <v>326</v>
      </c>
      <c r="B55" s="24" t="s">
        <v>327</v>
      </c>
      <c r="C55" s="35">
        <v>170086169</v>
      </c>
      <c r="D55" s="3">
        <v>201201835663</v>
      </c>
      <c r="E55" s="41"/>
      <c r="F55" s="41"/>
      <c r="G55" s="41"/>
      <c r="H55" s="41"/>
      <c r="I55" s="41"/>
      <c r="J55" s="41"/>
      <c r="K55" s="41"/>
      <c r="L55" s="41"/>
      <c r="M55" s="41"/>
      <c r="N55" s="41"/>
      <c r="O55" s="41"/>
      <c r="P55" s="41"/>
      <c r="Q55" s="41"/>
      <c r="R55" s="41"/>
      <c r="S55" s="41"/>
      <c r="T55" s="41"/>
      <c r="U55" s="41"/>
      <c r="V55" s="41"/>
      <c r="W55" s="41"/>
      <c r="X55" s="41"/>
    </row>
    <row r="56" spans="1:24" hidden="1">
      <c r="A56" s="3" t="s">
        <v>56</v>
      </c>
      <c r="B56" s="3" t="s">
        <v>328</v>
      </c>
      <c r="C56" s="86" t="s">
        <v>227</v>
      </c>
      <c r="D56" s="3" t="s">
        <v>329</v>
      </c>
      <c r="E56" s="41"/>
      <c r="F56" s="41"/>
      <c r="G56" s="41"/>
      <c r="H56" s="41"/>
      <c r="I56" s="41"/>
      <c r="J56" s="41"/>
      <c r="K56" s="41"/>
      <c r="L56" s="41"/>
      <c r="M56" s="41"/>
      <c r="N56" s="41"/>
      <c r="O56" s="41"/>
      <c r="P56" s="41"/>
      <c r="Q56" s="41"/>
      <c r="R56" s="41"/>
      <c r="S56" s="41"/>
      <c r="T56" s="41"/>
      <c r="U56" s="41"/>
      <c r="V56" s="41"/>
      <c r="W56" s="41"/>
      <c r="X56" s="41"/>
    </row>
    <row r="57" spans="1:24" hidden="1">
      <c r="A57" s="3" t="s">
        <v>267</v>
      </c>
      <c r="B57" s="3" t="s">
        <v>268</v>
      </c>
      <c r="C57" s="86" t="s">
        <v>227</v>
      </c>
      <c r="D57" s="35">
        <v>201300353549</v>
      </c>
      <c r="E57" s="41"/>
      <c r="F57" s="41"/>
      <c r="G57" s="41"/>
      <c r="H57" s="41"/>
      <c r="I57" s="41"/>
      <c r="J57" s="41"/>
      <c r="K57" s="41"/>
      <c r="L57" s="41"/>
      <c r="M57" s="41"/>
      <c r="N57" s="41"/>
      <c r="O57" s="41"/>
      <c r="P57" s="41"/>
      <c r="Q57" s="41"/>
      <c r="R57" s="41"/>
      <c r="S57" s="41"/>
      <c r="T57" s="41"/>
      <c r="U57" s="41"/>
      <c r="V57" s="41"/>
      <c r="W57" s="41"/>
      <c r="X57" s="41"/>
    </row>
    <row r="58" spans="1:24" hidden="1">
      <c r="A58" s="44" t="s">
        <v>330</v>
      </c>
      <c r="B58" s="44" t="s">
        <v>331</v>
      </c>
      <c r="C58" s="86" t="s">
        <v>227</v>
      </c>
      <c r="D58" s="99">
        <v>201101219304</v>
      </c>
      <c r="E58" s="41"/>
      <c r="F58" s="41"/>
      <c r="G58" s="41"/>
      <c r="H58" s="41"/>
      <c r="I58" s="41"/>
      <c r="J58" s="41"/>
      <c r="K58" s="41"/>
      <c r="L58" s="41"/>
      <c r="M58" s="41"/>
      <c r="N58" s="41"/>
      <c r="O58" s="41"/>
      <c r="P58" s="41"/>
      <c r="Q58" s="41"/>
      <c r="R58" s="41"/>
      <c r="S58" s="41"/>
      <c r="T58" s="41"/>
      <c r="U58" s="41"/>
      <c r="V58" s="41"/>
      <c r="W58" s="41"/>
      <c r="X58" s="41"/>
    </row>
    <row r="59" spans="1:24" hidden="1">
      <c r="A59" s="44" t="s">
        <v>247</v>
      </c>
      <c r="B59" s="44" t="s">
        <v>248</v>
      </c>
      <c r="C59" s="86">
        <v>1030060428</v>
      </c>
      <c r="D59" s="3">
        <v>201303416977</v>
      </c>
      <c r="E59" s="41"/>
      <c r="F59" s="41"/>
      <c r="G59" s="41"/>
      <c r="H59" s="41"/>
      <c r="I59" s="41"/>
      <c r="J59" s="41"/>
      <c r="K59" s="41"/>
      <c r="L59" s="41"/>
      <c r="M59" s="41"/>
      <c r="N59" s="41"/>
      <c r="O59" s="41"/>
      <c r="P59" s="41"/>
      <c r="Q59" s="41"/>
      <c r="R59" s="41"/>
      <c r="S59" s="41"/>
      <c r="T59" s="41"/>
      <c r="U59" s="41"/>
      <c r="V59" s="41"/>
      <c r="W59" s="41"/>
      <c r="X59" s="41"/>
    </row>
    <row r="60" spans="1:24" hidden="1">
      <c r="A60" s="44" t="s">
        <v>249</v>
      </c>
      <c r="B60" s="44" t="s">
        <v>250</v>
      </c>
      <c r="C60" s="86" t="s">
        <v>223</v>
      </c>
      <c r="D60" s="99">
        <v>201303574109</v>
      </c>
      <c r="E60" s="41"/>
      <c r="F60" s="41"/>
      <c r="G60" s="41"/>
      <c r="H60" s="41"/>
      <c r="I60" s="41"/>
      <c r="J60" s="41"/>
      <c r="K60" s="41"/>
      <c r="L60" s="41"/>
      <c r="M60" s="41"/>
      <c r="N60" s="41"/>
      <c r="O60" s="41"/>
      <c r="P60" s="41"/>
      <c r="Q60" s="41"/>
      <c r="R60" s="41"/>
      <c r="S60" s="41"/>
      <c r="T60" s="41"/>
      <c r="U60" s="41"/>
      <c r="V60" s="41"/>
      <c r="W60" s="41"/>
      <c r="X60" s="41"/>
    </row>
    <row r="61" spans="1:24" ht="14.25" hidden="1" customHeight="1">
      <c r="A61" s="3" t="s">
        <v>251</v>
      </c>
      <c r="B61" s="3" t="s">
        <v>252</v>
      </c>
      <c r="C61" s="86">
        <v>2100110333</v>
      </c>
      <c r="D61" s="3">
        <v>201303098197</v>
      </c>
      <c r="E61" s="41"/>
      <c r="F61" s="41"/>
      <c r="G61" s="41"/>
      <c r="H61" s="41"/>
      <c r="I61" s="41"/>
      <c r="J61" s="41"/>
      <c r="K61" s="41"/>
      <c r="L61" s="41"/>
      <c r="M61" s="41"/>
      <c r="N61" s="41"/>
      <c r="O61" s="41"/>
      <c r="P61" s="41"/>
      <c r="Q61" s="41"/>
      <c r="R61" s="41"/>
      <c r="S61" s="41"/>
      <c r="T61" s="41"/>
      <c r="U61" s="41"/>
      <c r="V61" s="41"/>
      <c r="W61" s="41"/>
      <c r="X61" s="41"/>
    </row>
    <row r="62" spans="1:24" hidden="1">
      <c r="A62" s="3" t="s">
        <v>253</v>
      </c>
      <c r="B62" s="3" t="s">
        <v>254</v>
      </c>
      <c r="C62" s="86">
        <v>2100096904</v>
      </c>
      <c r="D62" s="3">
        <v>201303098133</v>
      </c>
      <c r="E62" s="41"/>
      <c r="F62" s="41"/>
      <c r="G62" s="41"/>
      <c r="H62" s="41"/>
      <c r="I62" s="41"/>
      <c r="J62" s="41"/>
      <c r="K62" s="41"/>
      <c r="L62" s="41"/>
      <c r="M62" s="41"/>
      <c r="N62" s="41"/>
      <c r="O62" s="41"/>
      <c r="P62" s="41"/>
      <c r="Q62" s="41"/>
      <c r="R62" s="41"/>
      <c r="S62" s="41"/>
      <c r="T62" s="41"/>
      <c r="U62" s="41"/>
      <c r="V62" s="41"/>
      <c r="W62" s="41"/>
      <c r="X62" s="41"/>
    </row>
    <row r="63" spans="1:24" ht="15.6" hidden="1">
      <c r="A63" s="3" t="s">
        <v>255</v>
      </c>
      <c r="B63" s="27" t="s">
        <v>256</v>
      </c>
      <c r="C63" s="86">
        <v>1980089567</v>
      </c>
      <c r="D63" s="3">
        <v>201200919423</v>
      </c>
      <c r="E63" s="41"/>
      <c r="F63" s="41"/>
      <c r="G63" s="41"/>
      <c r="H63" s="41"/>
      <c r="I63" s="41"/>
      <c r="J63" s="41"/>
      <c r="K63" s="41"/>
      <c r="L63" s="41"/>
      <c r="M63" s="41"/>
      <c r="N63" s="41"/>
      <c r="O63" s="41"/>
      <c r="P63" s="41"/>
      <c r="Q63" s="41"/>
      <c r="R63" s="41"/>
      <c r="S63" s="41"/>
      <c r="T63" s="41"/>
      <c r="U63" s="41"/>
      <c r="V63" s="41"/>
      <c r="W63" s="41"/>
      <c r="X63" s="41"/>
    </row>
    <row r="64" spans="1:24" hidden="1">
      <c r="A64" s="3" t="s">
        <v>257</v>
      </c>
      <c r="B64" s="1" t="s">
        <v>258</v>
      </c>
      <c r="C64" s="86">
        <v>2100109921</v>
      </c>
      <c r="D64" s="3">
        <v>201302619073</v>
      </c>
      <c r="E64" s="41"/>
      <c r="F64" s="41"/>
      <c r="G64" s="41"/>
      <c r="H64" s="41"/>
      <c r="I64" s="41"/>
      <c r="J64" s="41"/>
      <c r="K64" s="41"/>
      <c r="L64" s="41"/>
      <c r="M64" s="41"/>
      <c r="N64" s="41"/>
      <c r="O64" s="41"/>
      <c r="P64" s="41"/>
      <c r="Q64" s="41"/>
      <c r="R64" s="41"/>
      <c r="S64" s="41"/>
      <c r="T64" s="41"/>
      <c r="U64" s="41"/>
      <c r="V64" s="41"/>
      <c r="W64" s="41"/>
      <c r="X64" s="41"/>
    </row>
    <row r="65" spans="1:24" ht="15.6" hidden="1">
      <c r="A65" s="40" t="s">
        <v>261</v>
      </c>
      <c r="B65" s="27" t="s">
        <v>262</v>
      </c>
      <c r="C65" s="91">
        <v>4600009635</v>
      </c>
      <c r="D65" s="3">
        <v>201301686279</v>
      </c>
      <c r="E65" s="41"/>
      <c r="F65" s="41"/>
      <c r="G65" s="41"/>
      <c r="H65" s="41"/>
      <c r="I65" s="41"/>
      <c r="J65" s="41"/>
      <c r="K65" s="41"/>
      <c r="L65" s="41"/>
      <c r="M65" s="41"/>
      <c r="N65" s="41"/>
      <c r="O65" s="41"/>
      <c r="P65" s="41"/>
      <c r="Q65" s="41"/>
      <c r="R65" s="41"/>
      <c r="S65" s="41"/>
      <c r="T65" s="41"/>
      <c r="U65" s="41"/>
      <c r="V65" s="41"/>
      <c r="W65" s="41"/>
      <c r="X65" s="41"/>
    </row>
    <row r="66" spans="1:24" ht="15.6" hidden="1">
      <c r="A66" s="40" t="s">
        <v>263</v>
      </c>
      <c r="B66" s="27" t="s">
        <v>264</v>
      </c>
      <c r="C66" s="86">
        <v>4080025986</v>
      </c>
      <c r="D66" s="3">
        <v>183253863</v>
      </c>
      <c r="E66" s="41"/>
      <c r="F66" s="41"/>
      <c r="G66" s="41"/>
      <c r="H66" s="41"/>
      <c r="I66" s="41"/>
      <c r="J66" s="41"/>
      <c r="K66" s="41"/>
      <c r="L66" s="41"/>
      <c r="M66" s="41"/>
      <c r="N66" s="41"/>
      <c r="O66" s="41"/>
      <c r="P66" s="41"/>
      <c r="Q66" s="41"/>
      <c r="R66" s="41"/>
      <c r="S66" s="41"/>
      <c r="T66" s="41"/>
      <c r="U66" s="41"/>
      <c r="V66" s="41"/>
      <c r="W66" s="41"/>
      <c r="X66" s="41"/>
    </row>
    <row r="67" spans="1:24" ht="15.6" hidden="1">
      <c r="A67" s="3" t="s">
        <v>265</v>
      </c>
      <c r="B67" s="27" t="s">
        <v>266</v>
      </c>
      <c r="C67" s="86">
        <v>1880052798</v>
      </c>
      <c r="D67" s="3">
        <v>201201577095</v>
      </c>
      <c r="E67" s="41"/>
      <c r="F67" s="41"/>
      <c r="G67" s="41"/>
      <c r="H67" s="41"/>
      <c r="I67" s="41"/>
      <c r="J67" s="41"/>
      <c r="K67" s="41"/>
      <c r="L67" s="41"/>
      <c r="M67" s="41"/>
      <c r="N67" s="41"/>
      <c r="O67" s="41"/>
      <c r="P67" s="41"/>
      <c r="Q67" s="41"/>
      <c r="R67" s="41"/>
      <c r="S67" s="41"/>
      <c r="T67" s="41"/>
      <c r="U67" s="41"/>
      <c r="V67" s="41"/>
      <c r="W67" s="41"/>
      <c r="X67" s="41"/>
    </row>
    <row r="68" spans="1:24" ht="15.6" hidden="1">
      <c r="A68" s="40" t="s">
        <v>263</v>
      </c>
      <c r="B68" s="27" t="s">
        <v>264</v>
      </c>
      <c r="C68" s="86">
        <v>4080025986</v>
      </c>
      <c r="D68" s="3">
        <v>183253863</v>
      </c>
      <c r="E68" s="41"/>
      <c r="F68" s="41"/>
      <c r="G68" s="41"/>
      <c r="H68" s="41"/>
      <c r="I68" s="41"/>
      <c r="J68" s="41"/>
      <c r="K68" s="41"/>
      <c r="L68" s="41"/>
      <c r="M68" s="41"/>
      <c r="N68" s="41"/>
      <c r="O68" s="41"/>
      <c r="P68" s="41"/>
      <c r="Q68" s="41"/>
      <c r="R68" s="41"/>
      <c r="S68" s="41"/>
      <c r="T68" s="41"/>
      <c r="U68" s="41"/>
      <c r="V68" s="41"/>
      <c r="W68" s="41"/>
      <c r="X68" s="41"/>
    </row>
    <row r="69" spans="1:24" ht="15.6" hidden="1">
      <c r="A69" s="3" t="s">
        <v>265</v>
      </c>
      <c r="B69" s="27" t="s">
        <v>266</v>
      </c>
      <c r="C69" s="86">
        <v>1880052798</v>
      </c>
      <c r="D69" s="3">
        <v>201201577095</v>
      </c>
      <c r="E69" s="41"/>
      <c r="F69" s="41"/>
      <c r="G69" s="41"/>
      <c r="H69" s="41"/>
      <c r="I69" s="41"/>
      <c r="J69" s="41"/>
      <c r="K69" s="41"/>
      <c r="L69" s="41"/>
      <c r="M69" s="41"/>
      <c r="N69" s="41"/>
      <c r="O69" s="41"/>
      <c r="P69" s="41"/>
      <c r="Q69" s="41"/>
      <c r="R69" s="41"/>
      <c r="S69" s="41"/>
      <c r="T69" s="41"/>
      <c r="U69" s="41"/>
      <c r="V69" s="41"/>
      <c r="W69" s="41"/>
      <c r="X69" s="41"/>
    </row>
    <row r="70" spans="1:24" ht="15.6" hidden="1">
      <c r="A70" s="100" t="s">
        <v>245</v>
      </c>
      <c r="B70" s="27" t="s">
        <v>246</v>
      </c>
      <c r="C70" s="86">
        <v>2100111794</v>
      </c>
      <c r="D70" s="3">
        <v>201303431380</v>
      </c>
      <c r="E70" s="41"/>
      <c r="F70" s="41"/>
      <c r="G70" s="41"/>
      <c r="H70" s="41"/>
      <c r="I70" s="41"/>
      <c r="J70" s="41"/>
      <c r="K70" s="41"/>
      <c r="L70" s="41"/>
      <c r="M70" s="41"/>
      <c r="N70" s="41"/>
      <c r="O70" s="41"/>
      <c r="P70" s="41"/>
      <c r="Q70" s="41"/>
      <c r="R70" s="41"/>
      <c r="S70" s="41"/>
      <c r="T70" s="41"/>
      <c r="U70" s="41"/>
      <c r="V70" s="41"/>
      <c r="W70" s="41"/>
      <c r="X70" s="41"/>
    </row>
    <row r="71" spans="1:24" hidden="1">
      <c r="A71" s="44" t="s">
        <v>90</v>
      </c>
      <c r="B71" s="44" t="s">
        <v>242</v>
      </c>
      <c r="C71" s="91">
        <v>4630028092</v>
      </c>
      <c r="D71" s="35">
        <v>201400447965</v>
      </c>
      <c r="E71" s="41"/>
      <c r="F71" s="41"/>
      <c r="G71" s="41"/>
      <c r="H71" s="41"/>
      <c r="I71" s="41"/>
      <c r="J71" s="41"/>
      <c r="K71" s="41"/>
      <c r="L71" s="41"/>
      <c r="M71" s="41"/>
      <c r="N71" s="41"/>
      <c r="O71" s="41"/>
      <c r="P71" s="41"/>
      <c r="Q71" s="41"/>
      <c r="R71" s="41"/>
      <c r="S71" s="41"/>
      <c r="T71" s="41"/>
      <c r="U71" s="41"/>
      <c r="V71" s="41"/>
      <c r="W71" s="41"/>
      <c r="X71" s="41"/>
    </row>
    <row r="72" spans="1:24">
      <c r="A72" s="3"/>
      <c r="B72" s="3"/>
      <c r="C72" s="29"/>
      <c r="D72" s="41"/>
      <c r="E72" s="41"/>
      <c r="F72" s="41"/>
      <c r="G72" s="41"/>
      <c r="H72" s="41"/>
      <c r="I72" s="41"/>
      <c r="J72" s="41"/>
      <c r="K72" s="41"/>
      <c r="L72" s="41"/>
      <c r="M72" s="41"/>
      <c r="N72" s="41"/>
      <c r="O72" s="41"/>
      <c r="P72" s="41"/>
      <c r="Q72" s="41"/>
      <c r="R72" s="41"/>
      <c r="S72" s="41"/>
      <c r="T72" s="41"/>
      <c r="U72" s="41"/>
      <c r="V72" s="41"/>
      <c r="W72" s="41"/>
      <c r="X72" s="41"/>
    </row>
    <row r="73" spans="1:24">
      <c r="A73" s="3"/>
      <c r="B73" s="3"/>
      <c r="C73" s="29"/>
      <c r="D73" s="41"/>
      <c r="E73" s="41"/>
      <c r="F73" s="41"/>
      <c r="G73" s="41"/>
      <c r="H73" s="41"/>
      <c r="I73" s="41"/>
      <c r="J73" s="41"/>
      <c r="K73" s="41"/>
      <c r="L73" s="41"/>
      <c r="M73" s="41"/>
      <c r="N73" s="41"/>
      <c r="O73" s="41"/>
      <c r="P73" s="41"/>
      <c r="Q73" s="41"/>
      <c r="R73" s="41"/>
      <c r="S73" s="41"/>
      <c r="T73" s="41"/>
      <c r="U73" s="41"/>
      <c r="V73" s="41"/>
      <c r="W73" s="41"/>
      <c r="X73" s="41"/>
    </row>
    <row r="74" spans="1:24">
      <c r="A74" s="3"/>
      <c r="B74" s="3"/>
      <c r="C74" s="29"/>
      <c r="D74" s="41"/>
      <c r="E74" s="41"/>
      <c r="F74" s="41"/>
      <c r="G74" s="41"/>
      <c r="H74" s="41"/>
      <c r="I74" s="41"/>
      <c r="J74" s="41"/>
      <c r="K74" s="41"/>
      <c r="L74" s="41"/>
      <c r="M74" s="41"/>
      <c r="N74" s="41"/>
      <c r="O74" s="41"/>
      <c r="P74" s="41"/>
      <c r="Q74" s="41"/>
      <c r="R74" s="41"/>
      <c r="S74" s="41"/>
      <c r="T74" s="41"/>
      <c r="U74" s="41"/>
      <c r="V74" s="41"/>
      <c r="W74" s="41"/>
      <c r="X74" s="41"/>
    </row>
    <row r="75" spans="1:24">
      <c r="A75" s="3"/>
      <c r="B75" s="3"/>
      <c r="C75" s="29"/>
      <c r="D75" s="41"/>
      <c r="E75" s="41"/>
      <c r="F75" s="41"/>
      <c r="G75" s="41"/>
      <c r="H75" s="41"/>
      <c r="I75" s="41"/>
      <c r="J75" s="41"/>
      <c r="K75" s="41"/>
      <c r="L75" s="41"/>
      <c r="M75" s="41"/>
      <c r="N75" s="41"/>
      <c r="O75" s="41"/>
      <c r="P75" s="41"/>
      <c r="Q75" s="41"/>
      <c r="R75" s="41"/>
      <c r="S75" s="41"/>
      <c r="T75" s="41"/>
      <c r="U75" s="41"/>
      <c r="V75" s="41"/>
      <c r="W75" s="41"/>
      <c r="X75" s="41"/>
    </row>
    <row r="76" spans="1:24">
      <c r="A76" s="3"/>
      <c r="B76" s="3"/>
      <c r="C76" s="29"/>
      <c r="D76" s="41"/>
      <c r="E76" s="41"/>
      <c r="F76" s="41"/>
      <c r="G76" s="41"/>
      <c r="H76" s="41"/>
      <c r="I76" s="41"/>
      <c r="J76" s="41"/>
      <c r="K76" s="41"/>
      <c r="L76" s="41"/>
      <c r="M76" s="41"/>
      <c r="N76" s="41"/>
      <c r="O76" s="41"/>
      <c r="P76" s="41"/>
      <c r="Q76" s="41"/>
      <c r="R76" s="41"/>
      <c r="S76" s="41"/>
      <c r="T76" s="41"/>
      <c r="U76" s="41"/>
      <c r="V76" s="41"/>
      <c r="W76" s="41"/>
      <c r="X76" s="41"/>
    </row>
    <row r="77" spans="1:24" ht="15.6">
      <c r="A77" s="3"/>
      <c r="B77" s="27"/>
      <c r="C77" s="29"/>
      <c r="D77" s="41"/>
      <c r="E77" s="41"/>
      <c r="F77" s="41"/>
      <c r="G77" s="41"/>
      <c r="H77" s="41"/>
      <c r="I77" s="41"/>
      <c r="J77" s="41"/>
      <c r="K77" s="41"/>
      <c r="L77" s="41"/>
      <c r="M77" s="41"/>
      <c r="N77" s="41"/>
      <c r="O77" s="41"/>
      <c r="P77" s="41"/>
      <c r="Q77" s="41"/>
      <c r="R77" s="41"/>
      <c r="S77" s="41"/>
      <c r="T77" s="41"/>
      <c r="U77" s="41"/>
      <c r="V77" s="41"/>
      <c r="W77" s="41"/>
      <c r="X77" s="41"/>
    </row>
    <row r="78" spans="1:24" ht="15.6">
      <c r="A78" s="3"/>
      <c r="B78" s="27"/>
      <c r="C78" s="29"/>
      <c r="D78" s="41"/>
      <c r="E78" s="41"/>
      <c r="F78" s="41"/>
      <c r="G78" s="41"/>
      <c r="H78" s="41"/>
      <c r="I78" s="41"/>
      <c r="J78" s="41"/>
      <c r="K78" s="41"/>
      <c r="L78" s="41"/>
      <c r="M78" s="41"/>
      <c r="N78" s="41"/>
      <c r="O78" s="41"/>
      <c r="P78" s="41"/>
      <c r="Q78" s="41"/>
      <c r="R78" s="41"/>
      <c r="S78" s="41"/>
      <c r="T78" s="41"/>
      <c r="U78" s="41"/>
      <c r="V78" s="41"/>
      <c r="W78" s="41"/>
      <c r="X78" s="41"/>
    </row>
    <row r="79" spans="1:24" ht="15.6">
      <c r="A79" s="3"/>
      <c r="B79" s="27"/>
      <c r="C79" s="29"/>
      <c r="D79" s="41"/>
      <c r="E79" s="41"/>
      <c r="F79" s="41"/>
      <c r="G79" s="41"/>
      <c r="H79" s="41"/>
      <c r="I79" s="41"/>
      <c r="J79" s="41"/>
      <c r="K79" s="41"/>
      <c r="L79" s="41"/>
      <c r="M79" s="41"/>
      <c r="N79" s="41"/>
      <c r="O79" s="41"/>
      <c r="P79" s="41"/>
      <c r="Q79" s="41"/>
      <c r="R79" s="41"/>
      <c r="S79" s="41"/>
      <c r="T79" s="41"/>
      <c r="U79" s="41"/>
      <c r="V79" s="41"/>
      <c r="W79" s="41"/>
      <c r="X79" s="41"/>
    </row>
    <row r="80" spans="1:24" ht="15.6">
      <c r="A80" s="3"/>
      <c r="B80" s="27"/>
      <c r="C80" s="29"/>
      <c r="D80" s="41"/>
      <c r="E80" s="41"/>
      <c r="F80" s="41"/>
      <c r="G80" s="41"/>
      <c r="H80" s="41"/>
      <c r="I80" s="41"/>
      <c r="J80" s="41"/>
      <c r="K80" s="41"/>
      <c r="L80" s="41"/>
      <c r="M80" s="41"/>
      <c r="N80" s="41"/>
      <c r="O80" s="41"/>
      <c r="P80" s="41"/>
      <c r="Q80" s="41"/>
      <c r="R80" s="41"/>
      <c r="S80" s="41"/>
      <c r="T80" s="41"/>
      <c r="U80" s="41"/>
      <c r="V80" s="41"/>
      <c r="W80" s="41"/>
      <c r="X80" s="41"/>
    </row>
    <row r="81" spans="1:24" ht="15.6">
      <c r="A81" s="3"/>
      <c r="B81" s="27"/>
      <c r="C81" s="29"/>
      <c r="D81" s="41"/>
      <c r="E81" s="41"/>
      <c r="F81" s="41"/>
      <c r="G81" s="41"/>
      <c r="H81" s="41"/>
      <c r="I81" s="41"/>
      <c r="J81" s="41"/>
      <c r="K81" s="41"/>
      <c r="L81" s="41"/>
      <c r="M81" s="41"/>
      <c r="N81" s="41"/>
      <c r="O81" s="41"/>
      <c r="P81" s="41"/>
      <c r="Q81" s="41"/>
      <c r="R81" s="41"/>
      <c r="S81" s="41"/>
      <c r="T81" s="41"/>
      <c r="U81" s="41"/>
      <c r="V81" s="41"/>
      <c r="W81" s="41"/>
      <c r="X81" s="41"/>
    </row>
    <row r="82" spans="1:24" ht="15.6">
      <c r="A82" s="3"/>
      <c r="B82" s="27"/>
      <c r="C82" s="29"/>
      <c r="D82" s="41"/>
      <c r="E82" s="41"/>
      <c r="F82" s="41"/>
      <c r="G82" s="41"/>
      <c r="H82" s="41"/>
      <c r="I82" s="41"/>
      <c r="J82" s="41"/>
      <c r="K82" s="41"/>
      <c r="L82" s="41"/>
      <c r="M82" s="41"/>
      <c r="N82" s="41"/>
      <c r="O82" s="41"/>
      <c r="P82" s="41"/>
      <c r="Q82" s="41"/>
      <c r="R82" s="41"/>
      <c r="S82" s="41"/>
      <c r="T82" s="41"/>
      <c r="U82" s="41"/>
      <c r="V82" s="41"/>
      <c r="W82" s="41"/>
      <c r="X82" s="41"/>
    </row>
    <row r="83" spans="1:24" ht="15.6">
      <c r="A83" s="3"/>
      <c r="B83" s="27"/>
      <c r="C83" s="63"/>
      <c r="D83" s="41"/>
      <c r="E83" s="41"/>
      <c r="F83" s="41"/>
      <c r="G83" s="41"/>
      <c r="H83" s="41"/>
      <c r="I83" s="41"/>
      <c r="J83" s="41"/>
      <c r="K83" s="41"/>
      <c r="L83" s="41"/>
      <c r="M83" s="41"/>
      <c r="N83" s="41"/>
      <c r="O83" s="41"/>
      <c r="P83" s="41"/>
      <c r="Q83" s="41"/>
      <c r="R83" s="41"/>
      <c r="S83" s="41"/>
      <c r="T83" s="41"/>
      <c r="U83" s="41"/>
      <c r="V83" s="41"/>
      <c r="W83" s="41"/>
      <c r="X83" s="41"/>
    </row>
    <row r="84" spans="1:24" ht="15.6">
      <c r="A84" s="3"/>
      <c r="B84" s="27"/>
      <c r="C84" s="29"/>
      <c r="D84" s="41"/>
      <c r="E84" s="41"/>
      <c r="F84" s="41"/>
      <c r="G84" s="41"/>
      <c r="H84" s="41"/>
      <c r="I84" s="41"/>
      <c r="J84" s="41"/>
      <c r="K84" s="41"/>
      <c r="L84" s="41"/>
      <c r="M84" s="41"/>
      <c r="N84" s="41"/>
      <c r="O84" s="41"/>
      <c r="P84" s="41"/>
      <c r="Q84" s="41"/>
      <c r="R84" s="41"/>
      <c r="S84" s="41"/>
      <c r="T84" s="41"/>
      <c r="U84" s="41"/>
      <c r="V84" s="41"/>
      <c r="W84" s="41"/>
      <c r="X84" s="41"/>
    </row>
    <row r="85" spans="1:24" ht="15.6">
      <c r="A85" s="3"/>
      <c r="B85" s="27"/>
      <c r="C85" s="29"/>
      <c r="D85" s="41"/>
      <c r="E85" s="41"/>
      <c r="F85" s="41"/>
      <c r="G85" s="41"/>
      <c r="H85" s="41"/>
      <c r="I85" s="41"/>
      <c r="J85" s="41"/>
      <c r="K85" s="41"/>
      <c r="L85" s="41"/>
      <c r="M85" s="41"/>
      <c r="N85" s="41"/>
      <c r="O85" s="41"/>
      <c r="P85" s="41"/>
      <c r="Q85" s="41"/>
      <c r="R85" s="41"/>
      <c r="S85" s="41"/>
      <c r="T85" s="41"/>
      <c r="U85" s="41"/>
      <c r="V85" s="41"/>
      <c r="W85" s="41"/>
      <c r="X85" s="41"/>
    </row>
    <row r="86" spans="1:24" ht="15.6">
      <c r="A86" s="3"/>
      <c r="B86" s="27"/>
      <c r="C86" s="29"/>
      <c r="D86" s="41"/>
      <c r="E86" s="41"/>
      <c r="F86" s="41"/>
      <c r="G86" s="41"/>
      <c r="H86" s="41"/>
      <c r="I86" s="41"/>
      <c r="J86" s="41"/>
      <c r="K86" s="41"/>
      <c r="L86" s="41"/>
      <c r="M86" s="41"/>
      <c r="N86" s="41"/>
      <c r="O86" s="41"/>
      <c r="P86" s="41"/>
      <c r="Q86" s="41"/>
      <c r="R86" s="41"/>
      <c r="S86" s="41"/>
      <c r="T86" s="41"/>
      <c r="U86" s="41"/>
      <c r="V86" s="41"/>
      <c r="W86" s="41"/>
      <c r="X86" s="41"/>
    </row>
    <row r="87" spans="1:24" ht="15.6">
      <c r="A87" s="3"/>
      <c r="B87" s="27"/>
      <c r="C87" s="29"/>
      <c r="D87" s="41"/>
      <c r="E87" s="41"/>
      <c r="F87" s="41"/>
      <c r="G87" s="41"/>
      <c r="H87" s="41"/>
      <c r="I87" s="41"/>
      <c r="J87" s="41"/>
      <c r="K87" s="41"/>
      <c r="L87" s="41"/>
      <c r="M87" s="41"/>
      <c r="N87" s="41"/>
      <c r="O87" s="41"/>
      <c r="P87" s="41"/>
      <c r="Q87" s="41"/>
      <c r="R87" s="41"/>
      <c r="S87" s="41"/>
      <c r="T87" s="41"/>
      <c r="U87" s="41"/>
      <c r="V87" s="41"/>
      <c r="W87" s="41"/>
      <c r="X87" s="41"/>
    </row>
    <row r="88" spans="1:24" ht="15.6">
      <c r="A88" s="3"/>
      <c r="B88" s="27"/>
      <c r="C88" s="29"/>
      <c r="D88" s="41"/>
      <c r="E88" s="41"/>
      <c r="F88" s="41"/>
      <c r="G88" s="41"/>
      <c r="H88" s="41"/>
      <c r="I88" s="41"/>
      <c r="J88" s="41"/>
      <c r="K88" s="41"/>
      <c r="L88" s="41"/>
      <c r="M88" s="41"/>
      <c r="N88" s="41"/>
      <c r="O88" s="41"/>
      <c r="P88" s="41"/>
      <c r="Q88" s="41"/>
      <c r="R88" s="41"/>
      <c r="S88" s="41"/>
      <c r="T88" s="41"/>
      <c r="U88" s="41"/>
      <c r="V88" s="41"/>
      <c r="W88" s="41"/>
      <c r="X88" s="41"/>
    </row>
    <row r="89" spans="1:24" ht="15.6">
      <c r="A89" s="3"/>
      <c r="B89" s="27"/>
      <c r="C89" s="29"/>
      <c r="D89" s="41"/>
      <c r="E89" s="41"/>
      <c r="F89" s="41"/>
      <c r="G89" s="41"/>
      <c r="H89" s="41"/>
      <c r="I89" s="41"/>
      <c r="J89" s="41"/>
      <c r="K89" s="41"/>
      <c r="L89" s="41"/>
      <c r="M89" s="41"/>
      <c r="N89" s="41"/>
      <c r="O89" s="41"/>
      <c r="P89" s="41"/>
      <c r="Q89" s="41"/>
      <c r="R89" s="41"/>
      <c r="S89" s="41"/>
      <c r="T89" s="41"/>
      <c r="U89" s="41"/>
      <c r="V89" s="41"/>
      <c r="W89" s="41"/>
      <c r="X89" s="41"/>
    </row>
    <row r="90" spans="1:24" ht="15.6">
      <c r="A90" s="3"/>
      <c r="B90" s="27"/>
      <c r="C90" s="29"/>
      <c r="D90" s="41"/>
      <c r="E90" s="41"/>
      <c r="F90" s="41"/>
      <c r="G90" s="41"/>
      <c r="H90" s="41"/>
      <c r="I90" s="41"/>
      <c r="J90" s="41"/>
      <c r="K90" s="41"/>
      <c r="L90" s="41"/>
      <c r="M90" s="41"/>
      <c r="N90" s="41"/>
      <c r="O90" s="41"/>
      <c r="P90" s="41"/>
      <c r="Q90" s="41"/>
      <c r="R90" s="41"/>
      <c r="S90" s="41"/>
      <c r="T90" s="41"/>
      <c r="U90" s="41"/>
      <c r="V90" s="41"/>
      <c r="W90" s="41"/>
      <c r="X90" s="41"/>
    </row>
    <row r="91" spans="1:24" ht="15.6">
      <c r="A91" s="3"/>
      <c r="B91" s="27"/>
      <c r="C91" s="29"/>
      <c r="D91" s="41"/>
      <c r="E91" s="41"/>
      <c r="F91" s="41"/>
      <c r="G91" s="41"/>
      <c r="H91" s="41"/>
      <c r="I91" s="41"/>
      <c r="J91" s="41"/>
      <c r="K91" s="41"/>
      <c r="L91" s="41"/>
      <c r="M91" s="41"/>
      <c r="N91" s="41"/>
      <c r="O91" s="41"/>
      <c r="P91" s="41"/>
      <c r="Q91" s="41"/>
      <c r="R91" s="41"/>
      <c r="S91" s="41"/>
      <c r="T91" s="41"/>
      <c r="U91" s="41"/>
      <c r="V91" s="41"/>
      <c r="W91" s="41"/>
      <c r="X91" s="41"/>
    </row>
    <row r="92" spans="1:24" ht="15.6">
      <c r="A92" s="3"/>
      <c r="B92" s="27"/>
      <c r="C92" s="29"/>
      <c r="D92" s="41"/>
      <c r="E92" s="41"/>
      <c r="F92" s="41"/>
      <c r="G92" s="41"/>
      <c r="H92" s="41"/>
      <c r="I92" s="41"/>
      <c r="J92" s="41"/>
      <c r="K92" s="41"/>
      <c r="L92" s="41"/>
      <c r="M92" s="41"/>
      <c r="N92" s="41"/>
      <c r="O92" s="41"/>
      <c r="P92" s="41"/>
      <c r="Q92" s="41"/>
      <c r="R92" s="41"/>
      <c r="S92" s="41"/>
      <c r="T92" s="41"/>
      <c r="U92" s="41"/>
      <c r="V92" s="41"/>
      <c r="W92" s="41"/>
      <c r="X92" s="41"/>
    </row>
    <row r="93" spans="1:24" ht="15.6">
      <c r="A93" s="4"/>
      <c r="B93" s="27"/>
      <c r="C93" s="29"/>
      <c r="D93" s="4"/>
      <c r="E93" s="4"/>
      <c r="F93" s="4"/>
      <c r="G93" s="4"/>
      <c r="H93" s="4"/>
      <c r="I93" s="4"/>
      <c r="J93" s="4"/>
      <c r="K93" s="4"/>
      <c r="L93" s="4"/>
      <c r="M93" s="4"/>
      <c r="N93" s="4"/>
      <c r="O93" s="4"/>
      <c r="P93" s="4"/>
      <c r="Q93" s="4"/>
      <c r="R93" s="4"/>
      <c r="S93" s="4"/>
      <c r="T93" s="4"/>
      <c r="U93" s="4"/>
      <c r="V93" s="4"/>
      <c r="W93" s="4"/>
      <c r="X93" s="4"/>
    </row>
    <row r="94" spans="1:24" ht="15.6">
      <c r="A94" s="3"/>
      <c r="B94" s="27"/>
      <c r="C94" s="29"/>
      <c r="D94" s="41"/>
      <c r="E94" s="41"/>
      <c r="F94" s="41"/>
      <c r="G94" s="41"/>
      <c r="H94" s="41"/>
      <c r="I94" s="41"/>
      <c r="J94" s="41"/>
      <c r="K94" s="41"/>
      <c r="L94" s="41"/>
      <c r="M94" s="41"/>
      <c r="N94" s="41"/>
      <c r="O94" s="41"/>
      <c r="P94" s="41"/>
      <c r="Q94" s="41"/>
      <c r="R94" s="41"/>
      <c r="S94" s="41"/>
      <c r="T94" s="41"/>
      <c r="U94" s="41"/>
      <c r="V94" s="41"/>
      <c r="W94" s="41"/>
      <c r="X94" s="41"/>
    </row>
    <row r="95" spans="1:24" ht="15.6">
      <c r="A95" s="40"/>
      <c r="B95" s="27"/>
      <c r="C95" s="29"/>
      <c r="D95" s="41"/>
      <c r="E95" s="41"/>
      <c r="F95" s="41"/>
      <c r="G95" s="41"/>
      <c r="H95" s="41"/>
      <c r="I95" s="41"/>
      <c r="J95" s="41"/>
      <c r="K95" s="41"/>
      <c r="L95" s="41"/>
      <c r="M95" s="41"/>
      <c r="N95" s="41"/>
      <c r="O95" s="41"/>
      <c r="P95" s="41"/>
      <c r="Q95" s="41"/>
      <c r="R95" s="41"/>
      <c r="S95" s="41"/>
      <c r="T95" s="41"/>
      <c r="U95" s="41"/>
      <c r="V95" s="41"/>
      <c r="W95" s="41"/>
      <c r="X95" s="41"/>
    </row>
    <row r="96" spans="1:24" ht="15.6">
      <c r="A96" s="40"/>
      <c r="B96" s="27"/>
      <c r="C96" s="29"/>
      <c r="D96" s="4"/>
      <c r="E96" s="4"/>
      <c r="F96" s="4"/>
      <c r="G96" s="4"/>
      <c r="H96" s="4"/>
      <c r="I96" s="4"/>
      <c r="J96" s="4"/>
      <c r="K96" s="4"/>
      <c r="L96" s="4"/>
      <c r="M96" s="4"/>
      <c r="N96" s="4"/>
      <c r="O96" s="4"/>
      <c r="P96" s="4"/>
      <c r="Q96" s="4"/>
      <c r="R96" s="4"/>
      <c r="S96" s="4"/>
      <c r="T96" s="4"/>
      <c r="U96" s="4"/>
      <c r="V96" s="4"/>
      <c r="W96" s="4"/>
      <c r="X96" s="4"/>
    </row>
    <row r="97" spans="1:24" ht="15.6">
      <c r="A97" s="40"/>
      <c r="B97" s="27"/>
      <c r="C97" s="29"/>
      <c r="D97" s="4"/>
      <c r="E97" s="4"/>
      <c r="F97" s="4"/>
      <c r="G97" s="4"/>
      <c r="H97" s="4"/>
      <c r="I97" s="4"/>
      <c r="J97" s="4"/>
      <c r="K97" s="4"/>
      <c r="L97" s="4"/>
      <c r="M97" s="4"/>
      <c r="N97" s="4"/>
      <c r="O97" s="4"/>
      <c r="P97" s="4"/>
      <c r="Q97" s="4"/>
      <c r="R97" s="4"/>
      <c r="S97" s="4"/>
      <c r="T97" s="4"/>
      <c r="U97" s="4"/>
      <c r="V97" s="4"/>
      <c r="W97" s="4"/>
      <c r="X97" s="4"/>
    </row>
    <row r="98" spans="1:24" ht="15.6">
      <c r="A98" s="40"/>
      <c r="B98" s="27"/>
      <c r="C98" s="29"/>
      <c r="D98" s="4"/>
      <c r="E98" s="4"/>
      <c r="F98" s="4"/>
      <c r="G98" s="4"/>
      <c r="H98" s="4"/>
      <c r="I98" s="4"/>
      <c r="J98" s="4"/>
      <c r="K98" s="4"/>
      <c r="L98" s="4"/>
      <c r="M98" s="4"/>
      <c r="N98" s="4"/>
      <c r="O98" s="4"/>
      <c r="P98" s="4"/>
      <c r="Q98" s="4"/>
      <c r="R98" s="4"/>
      <c r="S98" s="4"/>
      <c r="T98" s="4"/>
      <c r="U98" s="4"/>
      <c r="V98" s="4"/>
      <c r="W98" s="4"/>
      <c r="X98" s="4"/>
    </row>
    <row r="99" spans="1:24" ht="15.6">
      <c r="A99" s="3"/>
      <c r="B99" s="27"/>
      <c r="C99" s="29"/>
      <c r="D99" s="41"/>
      <c r="E99" s="41"/>
      <c r="F99" s="41"/>
      <c r="G99" s="41"/>
      <c r="H99" s="41"/>
      <c r="I99" s="41"/>
      <c r="J99" s="41"/>
      <c r="K99" s="41"/>
      <c r="L99" s="41"/>
      <c r="M99" s="41"/>
      <c r="N99" s="41"/>
      <c r="O99" s="41"/>
      <c r="P99" s="41"/>
      <c r="Q99" s="41"/>
      <c r="R99" s="41"/>
      <c r="S99" s="41"/>
      <c r="T99" s="41"/>
      <c r="U99" s="41"/>
      <c r="V99" s="41"/>
      <c r="W99" s="41"/>
      <c r="X99" s="41"/>
    </row>
    <row r="100" spans="1:24" ht="15.6">
      <c r="A100" s="40"/>
      <c r="B100" s="27"/>
      <c r="C100" s="29"/>
      <c r="D100" s="41"/>
      <c r="E100" s="41"/>
      <c r="F100" s="41"/>
      <c r="G100" s="41"/>
      <c r="H100" s="41"/>
      <c r="I100" s="41"/>
      <c r="J100" s="41"/>
      <c r="K100" s="41"/>
      <c r="L100" s="41"/>
      <c r="M100" s="41"/>
      <c r="N100" s="41"/>
      <c r="O100" s="41"/>
      <c r="P100" s="41"/>
      <c r="Q100" s="41"/>
      <c r="R100" s="41"/>
      <c r="S100" s="41"/>
      <c r="T100" s="41"/>
      <c r="U100" s="41"/>
      <c r="V100" s="41"/>
      <c r="W100" s="41"/>
      <c r="X100" s="41"/>
    </row>
    <row r="101" spans="1:24" ht="15.6">
      <c r="A101" s="40"/>
      <c r="B101" s="27"/>
      <c r="C101" s="29"/>
      <c r="D101" s="41"/>
      <c r="E101" s="41"/>
      <c r="F101" s="41"/>
      <c r="G101" s="41"/>
      <c r="H101" s="41"/>
      <c r="I101" s="41"/>
      <c r="J101" s="41"/>
      <c r="K101" s="41"/>
      <c r="L101" s="41"/>
      <c r="M101" s="41"/>
      <c r="N101" s="41"/>
      <c r="O101" s="41"/>
      <c r="P101" s="41"/>
      <c r="Q101" s="41"/>
      <c r="R101" s="41"/>
      <c r="S101" s="41"/>
      <c r="T101" s="41"/>
      <c r="U101" s="41"/>
      <c r="V101" s="41"/>
      <c r="W101" s="41"/>
      <c r="X101" s="41"/>
    </row>
    <row r="102" spans="1:24" ht="15.6">
      <c r="A102" s="40"/>
      <c r="B102" s="27"/>
      <c r="C102" s="29"/>
      <c r="D102" s="41"/>
      <c r="E102" s="41"/>
      <c r="F102" s="41"/>
      <c r="G102" s="41"/>
      <c r="H102" s="41"/>
      <c r="I102" s="41"/>
      <c r="J102" s="41"/>
      <c r="K102" s="41"/>
      <c r="L102" s="41"/>
      <c r="M102" s="41"/>
      <c r="N102" s="41"/>
      <c r="O102" s="41"/>
      <c r="P102" s="41"/>
      <c r="Q102" s="41"/>
      <c r="R102" s="41"/>
      <c r="S102" s="41"/>
      <c r="T102" s="41"/>
      <c r="U102" s="41"/>
      <c r="V102" s="41"/>
      <c r="W102" s="41"/>
      <c r="X102" s="41"/>
    </row>
    <row r="103" spans="1:24" ht="15.6">
      <c r="A103" s="40"/>
      <c r="B103" s="27"/>
      <c r="C103" s="29"/>
      <c r="D103" s="41"/>
      <c r="E103" s="41"/>
      <c r="F103" s="41"/>
      <c r="G103" s="41"/>
      <c r="H103" s="41"/>
      <c r="I103" s="41"/>
      <c r="J103" s="41"/>
      <c r="K103" s="41"/>
      <c r="L103" s="41"/>
      <c r="M103" s="41"/>
      <c r="N103" s="41"/>
      <c r="O103" s="41"/>
      <c r="P103" s="41"/>
      <c r="Q103" s="41"/>
      <c r="R103" s="41"/>
      <c r="S103" s="41"/>
      <c r="T103" s="41"/>
      <c r="U103" s="41"/>
      <c r="V103" s="41"/>
      <c r="W103" s="41"/>
      <c r="X103" s="41"/>
    </row>
    <row r="104" spans="1:24" ht="15.6">
      <c r="A104" s="40"/>
      <c r="B104" s="27"/>
      <c r="C104" s="29"/>
      <c r="D104" s="41"/>
      <c r="E104" s="41"/>
      <c r="F104" s="41"/>
      <c r="G104" s="41"/>
      <c r="H104" s="41"/>
      <c r="I104" s="41"/>
      <c r="J104" s="41"/>
      <c r="K104" s="41"/>
      <c r="L104" s="41"/>
      <c r="M104" s="41"/>
      <c r="N104" s="41"/>
      <c r="O104" s="41"/>
      <c r="P104" s="41"/>
      <c r="Q104" s="41"/>
      <c r="R104" s="41"/>
      <c r="S104" s="41"/>
      <c r="T104" s="41"/>
      <c r="U104" s="41"/>
      <c r="V104" s="41"/>
      <c r="W104" s="41"/>
      <c r="X104" s="41"/>
    </row>
    <row r="105" spans="1:24" ht="15.6">
      <c r="A105" s="40"/>
      <c r="B105" s="27"/>
      <c r="C105" s="3"/>
      <c r="D105" s="41"/>
      <c r="E105" s="41"/>
      <c r="F105" s="41"/>
      <c r="G105" s="41"/>
      <c r="H105" s="41"/>
      <c r="I105" s="41"/>
      <c r="J105" s="41"/>
      <c r="K105" s="41"/>
      <c r="L105" s="41"/>
      <c r="M105" s="41"/>
      <c r="N105" s="41"/>
      <c r="O105" s="41"/>
      <c r="P105" s="41"/>
      <c r="Q105" s="41"/>
      <c r="R105" s="41"/>
      <c r="S105" s="41"/>
      <c r="T105" s="41"/>
      <c r="U105" s="41"/>
      <c r="V105" s="41"/>
      <c r="W105" s="41"/>
      <c r="X105" s="41"/>
    </row>
    <row r="106" spans="1:24" ht="15.6">
      <c r="A106" s="40"/>
      <c r="B106" s="27"/>
      <c r="C106" s="29"/>
      <c r="D106" s="41"/>
      <c r="E106" s="41"/>
      <c r="F106" s="41"/>
      <c r="G106" s="41"/>
      <c r="H106" s="41"/>
      <c r="I106" s="41"/>
      <c r="J106" s="41"/>
      <c r="K106" s="41"/>
      <c r="L106" s="41"/>
      <c r="M106" s="41"/>
      <c r="N106" s="41"/>
      <c r="O106" s="41"/>
      <c r="P106" s="41"/>
      <c r="Q106" s="41"/>
      <c r="R106" s="41"/>
      <c r="S106" s="41"/>
      <c r="T106" s="41"/>
      <c r="U106" s="41"/>
      <c r="V106" s="41"/>
      <c r="W106" s="41"/>
      <c r="X106" s="41"/>
    </row>
    <row r="107" spans="1:24" ht="15.6">
      <c r="A107" s="40"/>
      <c r="B107" s="27"/>
      <c r="C107" s="29"/>
      <c r="D107" s="41"/>
      <c r="E107" s="41"/>
      <c r="F107" s="41"/>
      <c r="G107" s="41"/>
      <c r="H107" s="41"/>
      <c r="I107" s="41"/>
      <c r="J107" s="41"/>
      <c r="K107" s="41"/>
      <c r="L107" s="41"/>
      <c r="M107" s="41"/>
      <c r="N107" s="41"/>
      <c r="O107" s="41"/>
      <c r="P107" s="41"/>
      <c r="Q107" s="41"/>
      <c r="R107" s="41"/>
      <c r="S107" s="41"/>
      <c r="T107" s="41"/>
      <c r="U107" s="41"/>
      <c r="V107" s="41"/>
      <c r="W107" s="41"/>
      <c r="X107" s="41"/>
    </row>
    <row r="108" spans="1:24" ht="15.6">
      <c r="A108" s="40"/>
      <c r="B108" s="27"/>
      <c r="C108" s="29"/>
      <c r="D108" s="41"/>
      <c r="E108" s="41"/>
      <c r="F108" s="41"/>
      <c r="G108" s="41"/>
      <c r="H108" s="41"/>
      <c r="I108" s="41"/>
      <c r="J108" s="41"/>
      <c r="K108" s="41"/>
      <c r="L108" s="41"/>
      <c r="M108" s="41"/>
      <c r="N108" s="41"/>
      <c r="O108" s="41"/>
      <c r="P108" s="41"/>
      <c r="Q108" s="41"/>
      <c r="R108" s="41"/>
      <c r="S108" s="41"/>
      <c r="T108" s="41"/>
      <c r="U108" s="41"/>
      <c r="V108" s="41"/>
      <c r="W108" s="41"/>
      <c r="X108" s="41"/>
    </row>
    <row r="109" spans="1:24" ht="15.6">
      <c r="A109" s="40"/>
      <c r="B109" s="27"/>
      <c r="C109" s="29"/>
      <c r="D109" s="41"/>
      <c r="E109" s="41"/>
      <c r="F109" s="41"/>
      <c r="G109" s="41"/>
      <c r="H109" s="41"/>
      <c r="I109" s="41"/>
      <c r="J109" s="41"/>
      <c r="K109" s="41"/>
      <c r="L109" s="41"/>
      <c r="M109" s="41"/>
      <c r="N109" s="41"/>
      <c r="O109" s="41"/>
      <c r="P109" s="41"/>
      <c r="Q109" s="41"/>
      <c r="R109" s="41"/>
      <c r="S109" s="41"/>
      <c r="T109" s="41"/>
      <c r="U109" s="41"/>
      <c r="V109" s="41"/>
      <c r="W109" s="41"/>
      <c r="X109" s="41"/>
    </row>
    <row r="110" spans="1:24" ht="15.6">
      <c r="A110" s="40"/>
      <c r="B110" s="27"/>
      <c r="C110" s="29"/>
      <c r="D110" s="41"/>
      <c r="E110" s="41"/>
      <c r="F110" s="41"/>
      <c r="G110" s="41"/>
      <c r="H110" s="41"/>
      <c r="I110" s="41"/>
      <c r="J110" s="41"/>
      <c r="K110" s="41"/>
      <c r="L110" s="41"/>
      <c r="M110" s="41"/>
      <c r="N110" s="41"/>
      <c r="O110" s="41"/>
      <c r="P110" s="41"/>
      <c r="Q110" s="41"/>
      <c r="R110" s="41"/>
      <c r="S110" s="41"/>
      <c r="T110" s="41"/>
      <c r="U110" s="41"/>
      <c r="V110" s="41"/>
      <c r="W110" s="41"/>
      <c r="X110" s="41"/>
    </row>
    <row r="111" spans="1:24" ht="15.6">
      <c r="A111" s="40"/>
      <c r="B111" s="27"/>
      <c r="C111" s="29"/>
      <c r="D111" s="41"/>
      <c r="E111" s="41"/>
      <c r="F111" s="41"/>
      <c r="G111" s="41"/>
      <c r="H111" s="41"/>
      <c r="I111" s="41"/>
      <c r="J111" s="41"/>
      <c r="K111" s="41"/>
      <c r="L111" s="41"/>
      <c r="M111" s="41"/>
      <c r="N111" s="41"/>
      <c r="O111" s="41"/>
      <c r="P111" s="41"/>
      <c r="Q111" s="41"/>
      <c r="R111" s="41"/>
      <c r="S111" s="41"/>
      <c r="T111" s="41"/>
      <c r="U111" s="41"/>
      <c r="V111" s="41"/>
      <c r="W111" s="41"/>
      <c r="X111" s="41"/>
    </row>
    <row r="112" spans="1:24" ht="15.6">
      <c r="A112" s="40"/>
      <c r="B112" s="27"/>
      <c r="C112" s="29"/>
      <c r="D112" s="41"/>
      <c r="E112" s="41"/>
      <c r="F112" s="41"/>
      <c r="G112" s="41"/>
      <c r="H112" s="41"/>
      <c r="I112" s="41"/>
      <c r="J112" s="41"/>
      <c r="K112" s="41"/>
      <c r="L112" s="41"/>
      <c r="M112" s="41"/>
      <c r="N112" s="41"/>
      <c r="O112" s="41"/>
      <c r="P112" s="41"/>
      <c r="Q112" s="41"/>
      <c r="R112" s="41"/>
      <c r="S112" s="41"/>
      <c r="T112" s="41"/>
      <c r="U112" s="41"/>
      <c r="V112" s="41"/>
      <c r="W112" s="41"/>
      <c r="X112" s="41"/>
    </row>
    <row r="113" spans="1:24" ht="15.6">
      <c r="A113" s="40"/>
      <c r="B113" s="27"/>
      <c r="C113" s="29"/>
      <c r="D113" s="41"/>
      <c r="E113" s="41"/>
      <c r="F113" s="41"/>
      <c r="G113" s="41"/>
      <c r="H113" s="41"/>
      <c r="I113" s="41"/>
      <c r="J113" s="41"/>
      <c r="K113" s="41"/>
      <c r="L113" s="41"/>
      <c r="M113" s="41"/>
      <c r="N113" s="41"/>
      <c r="O113" s="41"/>
      <c r="P113" s="41"/>
      <c r="Q113" s="41"/>
      <c r="R113" s="41"/>
      <c r="S113" s="41"/>
      <c r="T113" s="41"/>
      <c r="U113" s="41"/>
      <c r="V113" s="41"/>
      <c r="W113" s="41"/>
      <c r="X113" s="41"/>
    </row>
    <row r="114" spans="1:24" ht="15.6">
      <c r="A114" s="40"/>
      <c r="B114" s="27"/>
      <c r="C114" s="29"/>
      <c r="D114" s="41"/>
      <c r="E114" s="41"/>
      <c r="F114" s="41"/>
      <c r="G114" s="41"/>
      <c r="H114" s="41"/>
      <c r="I114" s="41"/>
      <c r="J114" s="41"/>
      <c r="K114" s="41"/>
      <c r="L114" s="41"/>
      <c r="M114" s="41"/>
      <c r="N114" s="41"/>
      <c r="O114" s="41"/>
      <c r="P114" s="41"/>
      <c r="Q114" s="41"/>
      <c r="R114" s="41"/>
      <c r="S114" s="41"/>
      <c r="T114" s="41"/>
      <c r="U114" s="41"/>
      <c r="V114" s="41"/>
      <c r="W114" s="41"/>
      <c r="X114" s="41"/>
    </row>
    <row r="115" spans="1:24" ht="15.6">
      <c r="A115" s="40"/>
      <c r="B115" s="27"/>
      <c r="C115" s="29"/>
      <c r="D115" s="41"/>
      <c r="E115" s="41"/>
      <c r="F115" s="41"/>
      <c r="G115" s="41"/>
      <c r="H115" s="41"/>
      <c r="I115" s="41"/>
      <c r="J115" s="41"/>
      <c r="K115" s="41"/>
      <c r="L115" s="41"/>
      <c r="M115" s="41"/>
      <c r="N115" s="41"/>
      <c r="O115" s="41"/>
      <c r="P115" s="41"/>
      <c r="Q115" s="41"/>
      <c r="R115" s="41"/>
      <c r="S115" s="41"/>
      <c r="T115" s="41"/>
      <c r="U115" s="41"/>
      <c r="V115" s="41"/>
      <c r="W115" s="41"/>
      <c r="X115" s="41"/>
    </row>
    <row r="116" spans="1:24" ht="15.6">
      <c r="A116" s="40"/>
      <c r="B116" s="27"/>
      <c r="C116" s="29"/>
      <c r="D116" s="41"/>
      <c r="E116" s="41"/>
      <c r="F116" s="41"/>
      <c r="G116" s="41"/>
      <c r="H116" s="41"/>
      <c r="I116" s="41"/>
      <c r="J116" s="41"/>
      <c r="K116" s="41"/>
      <c r="L116" s="41"/>
      <c r="M116" s="41"/>
      <c r="N116" s="41"/>
      <c r="O116" s="41"/>
      <c r="P116" s="41"/>
      <c r="Q116" s="41"/>
      <c r="R116" s="41"/>
      <c r="S116" s="41"/>
      <c r="T116" s="41"/>
      <c r="U116" s="41"/>
      <c r="V116" s="41"/>
      <c r="W116" s="41"/>
      <c r="X116" s="41"/>
    </row>
    <row r="117" spans="1:24" ht="15.6">
      <c r="A117" s="40"/>
      <c r="B117" s="27"/>
      <c r="C117" s="29"/>
      <c r="D117" s="41"/>
      <c r="E117" s="41"/>
      <c r="F117" s="41"/>
      <c r="G117" s="41"/>
      <c r="H117" s="41"/>
      <c r="I117" s="41"/>
      <c r="J117" s="41"/>
      <c r="K117" s="41"/>
      <c r="L117" s="41"/>
      <c r="M117" s="41"/>
      <c r="N117" s="41"/>
      <c r="O117" s="41"/>
      <c r="P117" s="41"/>
      <c r="Q117" s="41"/>
      <c r="R117" s="41"/>
      <c r="S117" s="41"/>
      <c r="T117" s="41"/>
      <c r="U117" s="41"/>
      <c r="V117" s="41"/>
      <c r="W117" s="41"/>
      <c r="X117" s="41"/>
    </row>
    <row r="118" spans="1:24" ht="15.6">
      <c r="A118" s="40"/>
      <c r="B118" s="27"/>
      <c r="C118" s="29"/>
      <c r="D118" s="41"/>
      <c r="E118" s="41"/>
      <c r="F118" s="41"/>
      <c r="G118" s="41"/>
      <c r="H118" s="41"/>
      <c r="I118" s="41"/>
      <c r="J118" s="41"/>
      <c r="K118" s="41"/>
      <c r="L118" s="41"/>
      <c r="M118" s="41"/>
      <c r="N118" s="41"/>
      <c r="O118" s="41"/>
      <c r="P118" s="41"/>
      <c r="Q118" s="41"/>
      <c r="R118" s="41"/>
      <c r="S118" s="41"/>
      <c r="T118" s="41"/>
      <c r="U118" s="41"/>
      <c r="V118" s="41"/>
      <c r="W118" s="41"/>
      <c r="X118" s="41"/>
    </row>
    <row r="119" spans="1:24" ht="15.6">
      <c r="A119" s="40"/>
      <c r="B119" s="27"/>
      <c r="C119" s="29"/>
      <c r="D119" s="41"/>
      <c r="E119" s="41"/>
      <c r="F119" s="41"/>
      <c r="G119" s="41"/>
      <c r="H119" s="41"/>
      <c r="I119" s="41"/>
      <c r="J119" s="41"/>
      <c r="K119" s="41"/>
      <c r="L119" s="41"/>
      <c r="M119" s="41"/>
      <c r="N119" s="41"/>
      <c r="O119" s="41"/>
      <c r="P119" s="41"/>
      <c r="Q119" s="41"/>
      <c r="R119" s="41"/>
      <c r="S119" s="41"/>
      <c r="T119" s="41"/>
      <c r="U119" s="41"/>
      <c r="V119" s="41"/>
      <c r="W119" s="41"/>
      <c r="X119" s="41"/>
    </row>
    <row r="120" spans="1:24" ht="15.6">
      <c r="A120" s="40"/>
      <c r="B120" s="27"/>
      <c r="C120" s="29"/>
      <c r="D120" s="41"/>
      <c r="E120" s="41"/>
      <c r="F120" s="41"/>
      <c r="G120" s="41"/>
      <c r="H120" s="41"/>
      <c r="I120" s="41"/>
      <c r="J120" s="41"/>
      <c r="K120" s="41"/>
      <c r="L120" s="41"/>
      <c r="M120" s="41"/>
      <c r="N120" s="41"/>
      <c r="O120" s="41"/>
      <c r="P120" s="41"/>
      <c r="Q120" s="41"/>
      <c r="R120" s="41"/>
      <c r="S120" s="41"/>
      <c r="T120" s="41"/>
      <c r="U120" s="41"/>
      <c r="V120" s="41"/>
      <c r="W120" s="41"/>
      <c r="X120" s="41"/>
    </row>
    <row r="121" spans="1:24" ht="15.6">
      <c r="A121" s="40"/>
      <c r="B121" s="27"/>
      <c r="C121" s="29"/>
      <c r="D121" s="41"/>
      <c r="E121" s="41"/>
      <c r="F121" s="41"/>
      <c r="G121" s="41"/>
      <c r="H121" s="41"/>
      <c r="I121" s="41"/>
      <c r="J121" s="41"/>
      <c r="K121" s="41"/>
      <c r="L121" s="41"/>
      <c r="M121" s="41"/>
      <c r="N121" s="41"/>
      <c r="O121" s="41"/>
      <c r="P121" s="41"/>
      <c r="Q121" s="41"/>
      <c r="R121" s="41"/>
      <c r="S121" s="41"/>
      <c r="T121" s="41"/>
      <c r="U121" s="41"/>
      <c r="V121" s="41"/>
      <c r="W121" s="41"/>
      <c r="X121" s="41"/>
    </row>
    <row r="122" spans="1:24" ht="15.6">
      <c r="A122" s="40"/>
      <c r="B122" s="27"/>
      <c r="C122" s="29"/>
      <c r="D122" s="41"/>
      <c r="E122" s="41"/>
      <c r="F122" s="41"/>
      <c r="G122" s="41"/>
      <c r="H122" s="41"/>
      <c r="I122" s="41"/>
      <c r="J122" s="41"/>
      <c r="K122" s="41"/>
      <c r="L122" s="41"/>
      <c r="M122" s="41"/>
      <c r="N122" s="41"/>
      <c r="O122" s="41"/>
      <c r="P122" s="41"/>
      <c r="Q122" s="41"/>
      <c r="R122" s="41"/>
      <c r="S122" s="41"/>
      <c r="T122" s="41"/>
      <c r="U122" s="41"/>
      <c r="V122" s="41"/>
      <c r="W122" s="41"/>
      <c r="X122" s="41"/>
    </row>
    <row r="123" spans="1:24" ht="15.6">
      <c r="A123" s="40"/>
      <c r="B123" s="27"/>
      <c r="C123" s="29"/>
      <c r="D123" s="41"/>
      <c r="E123" s="41"/>
      <c r="F123" s="41"/>
      <c r="G123" s="41"/>
      <c r="H123" s="41"/>
      <c r="I123" s="41"/>
      <c r="J123" s="41"/>
      <c r="K123" s="41"/>
      <c r="L123" s="41"/>
      <c r="M123" s="41"/>
      <c r="N123" s="41"/>
      <c r="O123" s="41"/>
      <c r="P123" s="41"/>
      <c r="Q123" s="41"/>
      <c r="R123" s="41"/>
      <c r="S123" s="41"/>
      <c r="T123" s="41"/>
      <c r="U123" s="41"/>
      <c r="V123" s="41"/>
      <c r="W123" s="41"/>
      <c r="X123" s="41"/>
    </row>
    <row r="124" spans="1:24" ht="15.6">
      <c r="A124" s="40"/>
      <c r="B124" s="27"/>
      <c r="C124" s="29"/>
      <c r="D124" s="41"/>
      <c r="E124" s="41"/>
      <c r="F124" s="41"/>
      <c r="G124" s="41"/>
      <c r="H124" s="41"/>
      <c r="I124" s="41"/>
      <c r="J124" s="41"/>
      <c r="K124" s="41"/>
      <c r="L124" s="41"/>
      <c r="M124" s="41"/>
      <c r="N124" s="41"/>
      <c r="O124" s="41"/>
      <c r="P124" s="41"/>
      <c r="Q124" s="41"/>
      <c r="R124" s="41"/>
      <c r="S124" s="41"/>
      <c r="T124" s="41"/>
      <c r="U124" s="41"/>
      <c r="V124" s="41"/>
      <c r="W124" s="41"/>
      <c r="X124" s="41"/>
    </row>
    <row r="125" spans="1:24" ht="15.6">
      <c r="A125" s="40"/>
      <c r="B125" s="27"/>
      <c r="C125" s="29"/>
      <c r="D125" s="41"/>
      <c r="E125" s="41"/>
      <c r="F125" s="41"/>
      <c r="G125" s="41"/>
      <c r="H125" s="41"/>
      <c r="I125" s="41"/>
      <c r="J125" s="41"/>
      <c r="K125" s="41"/>
      <c r="L125" s="41"/>
      <c r="M125" s="41"/>
      <c r="N125" s="41"/>
      <c r="O125" s="41"/>
      <c r="P125" s="41"/>
      <c r="Q125" s="41"/>
      <c r="R125" s="41"/>
      <c r="S125" s="41"/>
      <c r="T125" s="41"/>
      <c r="U125" s="41"/>
      <c r="V125" s="41"/>
      <c r="W125" s="41"/>
      <c r="X125" s="41"/>
    </row>
    <row r="126" spans="1:24" ht="15.6">
      <c r="A126" s="40"/>
      <c r="B126" s="27"/>
      <c r="C126" s="29"/>
      <c r="D126" s="41"/>
      <c r="E126" s="41"/>
      <c r="F126" s="41"/>
      <c r="G126" s="41"/>
      <c r="H126" s="41"/>
      <c r="I126" s="41"/>
      <c r="J126" s="41"/>
      <c r="K126" s="41"/>
      <c r="L126" s="41"/>
      <c r="M126" s="41"/>
      <c r="N126" s="41"/>
      <c r="O126" s="41"/>
      <c r="P126" s="41"/>
      <c r="Q126" s="41"/>
      <c r="R126" s="41"/>
      <c r="S126" s="41"/>
      <c r="T126" s="41"/>
      <c r="U126" s="41"/>
      <c r="V126" s="41"/>
      <c r="W126" s="41"/>
      <c r="X126" s="41"/>
    </row>
    <row r="127" spans="1:24" ht="15.6">
      <c r="A127" s="40"/>
      <c r="B127" s="27"/>
      <c r="C127" s="29"/>
      <c r="D127" s="41"/>
      <c r="E127" s="41"/>
      <c r="F127" s="41"/>
      <c r="G127" s="41"/>
      <c r="H127" s="41"/>
      <c r="I127" s="41"/>
      <c r="J127" s="41"/>
      <c r="K127" s="41"/>
      <c r="L127" s="41"/>
      <c r="M127" s="41"/>
      <c r="N127" s="41"/>
      <c r="O127" s="41"/>
      <c r="P127" s="41"/>
      <c r="Q127" s="41"/>
      <c r="R127" s="41"/>
      <c r="S127" s="41"/>
      <c r="T127" s="41"/>
      <c r="U127" s="41"/>
      <c r="V127" s="41"/>
      <c r="W127" s="41"/>
      <c r="X127" s="41"/>
    </row>
    <row r="128" spans="1:24" ht="15.6">
      <c r="A128" s="40"/>
      <c r="B128" s="27"/>
      <c r="C128" s="29"/>
      <c r="D128" s="41"/>
      <c r="E128" s="41"/>
      <c r="F128" s="41"/>
      <c r="G128" s="41"/>
      <c r="H128" s="41"/>
      <c r="I128" s="41"/>
      <c r="J128" s="41"/>
      <c r="K128" s="41"/>
      <c r="L128" s="41"/>
      <c r="M128" s="41"/>
      <c r="N128" s="41"/>
      <c r="O128" s="41"/>
      <c r="P128" s="41"/>
      <c r="Q128" s="41"/>
      <c r="R128" s="41"/>
      <c r="S128" s="41"/>
      <c r="T128" s="41"/>
      <c r="U128" s="41"/>
      <c r="V128" s="41"/>
      <c r="W128" s="41"/>
      <c r="X128" s="41"/>
    </row>
    <row r="129" spans="1:24" ht="15.6">
      <c r="A129" s="40"/>
      <c r="B129" s="27"/>
      <c r="C129" s="29"/>
      <c r="D129" s="41"/>
      <c r="E129" s="41"/>
      <c r="F129" s="41"/>
      <c r="G129" s="41"/>
      <c r="H129" s="41"/>
      <c r="I129" s="41"/>
      <c r="J129" s="41"/>
      <c r="K129" s="41"/>
      <c r="L129" s="41"/>
      <c r="M129" s="41"/>
      <c r="N129" s="41"/>
      <c r="O129" s="41"/>
      <c r="P129" s="41"/>
      <c r="Q129" s="41"/>
      <c r="R129" s="41"/>
      <c r="S129" s="41"/>
      <c r="T129" s="41"/>
      <c r="U129" s="41"/>
      <c r="V129" s="41"/>
      <c r="W129" s="41"/>
      <c r="X129" s="41"/>
    </row>
    <row r="130" spans="1:24" ht="15.6">
      <c r="A130" s="40"/>
      <c r="B130" s="27"/>
      <c r="C130" s="29"/>
      <c r="D130" s="41"/>
      <c r="E130" s="41"/>
      <c r="F130" s="41"/>
      <c r="G130" s="41"/>
      <c r="H130" s="41"/>
      <c r="I130" s="41"/>
      <c r="J130" s="41"/>
      <c r="K130" s="41"/>
      <c r="L130" s="41"/>
      <c r="M130" s="41"/>
      <c r="N130" s="41"/>
      <c r="O130" s="41"/>
      <c r="P130" s="41"/>
      <c r="Q130" s="41"/>
      <c r="R130" s="41"/>
      <c r="S130" s="41"/>
      <c r="T130" s="41"/>
      <c r="U130" s="41"/>
      <c r="V130" s="41"/>
      <c r="W130" s="41"/>
      <c r="X130" s="41"/>
    </row>
    <row r="131" spans="1:24" ht="15.6">
      <c r="A131" s="40"/>
      <c r="B131" s="27"/>
      <c r="C131" s="29"/>
      <c r="D131" s="41"/>
      <c r="E131" s="41"/>
      <c r="F131" s="41"/>
      <c r="G131" s="41"/>
      <c r="H131" s="41"/>
      <c r="I131" s="41"/>
      <c r="J131" s="41"/>
      <c r="K131" s="41"/>
      <c r="L131" s="41"/>
      <c r="M131" s="41"/>
      <c r="N131" s="41"/>
      <c r="O131" s="41"/>
      <c r="P131" s="41"/>
      <c r="Q131" s="41"/>
      <c r="R131" s="41"/>
      <c r="S131" s="41"/>
      <c r="T131" s="41"/>
      <c r="U131" s="41"/>
      <c r="V131" s="41"/>
      <c r="W131" s="41"/>
      <c r="X131" s="41"/>
    </row>
    <row r="132" spans="1:24" ht="15.6">
      <c r="A132" s="3"/>
      <c r="B132" s="27"/>
      <c r="C132" s="29"/>
      <c r="D132" s="41"/>
      <c r="E132" s="41"/>
      <c r="F132" s="41"/>
      <c r="G132" s="41"/>
      <c r="H132" s="41"/>
      <c r="I132" s="41"/>
      <c r="J132" s="41"/>
      <c r="K132" s="41"/>
      <c r="L132" s="41"/>
      <c r="M132" s="41"/>
      <c r="N132" s="41"/>
      <c r="O132" s="41"/>
      <c r="P132" s="41"/>
      <c r="Q132" s="41"/>
      <c r="R132" s="41"/>
      <c r="S132" s="41"/>
      <c r="T132" s="41"/>
      <c r="U132" s="41"/>
      <c r="V132" s="41"/>
      <c r="W132" s="41"/>
      <c r="X132" s="41"/>
    </row>
    <row r="133" spans="1:24" ht="15.6">
      <c r="A133" s="40"/>
      <c r="B133" s="27"/>
      <c r="C133" s="29"/>
      <c r="D133" s="41"/>
      <c r="E133" s="41"/>
      <c r="F133" s="41"/>
      <c r="G133" s="41"/>
      <c r="H133" s="41"/>
      <c r="I133" s="41"/>
      <c r="J133" s="41"/>
      <c r="K133" s="41"/>
      <c r="L133" s="41"/>
      <c r="M133" s="41"/>
      <c r="N133" s="41"/>
      <c r="O133" s="41"/>
      <c r="P133" s="41"/>
      <c r="Q133" s="41"/>
      <c r="R133" s="41"/>
      <c r="S133" s="41"/>
      <c r="T133" s="41"/>
      <c r="U133" s="41"/>
      <c r="V133" s="41"/>
      <c r="W133" s="41"/>
      <c r="X133" s="41"/>
    </row>
    <row r="134" spans="1:24" ht="15.6">
      <c r="A134" s="40"/>
      <c r="B134" s="27"/>
      <c r="C134" s="29"/>
      <c r="D134" s="41"/>
      <c r="E134" s="41"/>
      <c r="F134" s="41"/>
      <c r="G134" s="41"/>
      <c r="H134" s="41"/>
      <c r="I134" s="41"/>
      <c r="J134" s="41"/>
      <c r="K134" s="41"/>
      <c r="L134" s="41"/>
      <c r="M134" s="41"/>
      <c r="N134" s="41"/>
      <c r="O134" s="41"/>
      <c r="P134" s="41"/>
      <c r="Q134" s="41"/>
      <c r="R134" s="41"/>
      <c r="S134" s="41"/>
      <c r="T134" s="41"/>
      <c r="U134" s="41"/>
      <c r="V134" s="41"/>
      <c r="W134" s="41"/>
      <c r="X134" s="41"/>
    </row>
    <row r="135" spans="1:24" ht="15.6">
      <c r="A135" s="3"/>
      <c r="B135" s="27"/>
      <c r="C135" s="29"/>
      <c r="D135" s="41"/>
      <c r="E135" s="41"/>
      <c r="F135" s="41"/>
      <c r="G135" s="41"/>
      <c r="H135" s="41"/>
      <c r="I135" s="41"/>
      <c r="J135" s="41"/>
      <c r="K135" s="41"/>
      <c r="L135" s="41"/>
      <c r="M135" s="41"/>
      <c r="N135" s="41"/>
      <c r="O135" s="41"/>
      <c r="P135" s="41"/>
      <c r="Q135" s="41"/>
      <c r="R135" s="41"/>
      <c r="S135" s="41"/>
      <c r="T135" s="41"/>
      <c r="U135" s="41"/>
      <c r="V135" s="41"/>
      <c r="W135" s="41"/>
      <c r="X135" s="41"/>
    </row>
    <row r="136" spans="1:24" ht="15.6">
      <c r="A136" s="40"/>
      <c r="B136" s="27"/>
      <c r="C136" s="29"/>
      <c r="D136" s="41"/>
      <c r="E136" s="41"/>
      <c r="F136" s="41"/>
      <c r="G136" s="41"/>
      <c r="H136" s="41"/>
      <c r="I136" s="41"/>
      <c r="J136" s="41"/>
      <c r="K136" s="41"/>
      <c r="L136" s="41"/>
      <c r="M136" s="41"/>
      <c r="N136" s="41"/>
      <c r="O136" s="41"/>
      <c r="P136" s="41"/>
      <c r="Q136" s="41"/>
      <c r="R136" s="41"/>
      <c r="S136" s="41"/>
      <c r="T136" s="41"/>
      <c r="U136" s="41"/>
      <c r="V136" s="41"/>
      <c r="W136" s="41"/>
      <c r="X136" s="41"/>
    </row>
    <row r="137" spans="1:24" ht="15.6">
      <c r="A137" s="40"/>
      <c r="B137" s="27"/>
      <c r="C137" s="29"/>
      <c r="D137" s="41"/>
      <c r="E137" s="41"/>
      <c r="F137" s="41"/>
      <c r="G137" s="41"/>
      <c r="H137" s="41"/>
      <c r="I137" s="41"/>
      <c r="J137" s="41"/>
      <c r="K137" s="41"/>
      <c r="L137" s="41"/>
      <c r="M137" s="41"/>
      <c r="N137" s="41"/>
      <c r="O137" s="41"/>
      <c r="P137" s="41"/>
      <c r="Q137" s="41"/>
      <c r="R137" s="41"/>
      <c r="S137" s="41"/>
      <c r="T137" s="41"/>
      <c r="U137" s="41"/>
      <c r="V137" s="41"/>
      <c r="W137" s="41"/>
      <c r="X137" s="41"/>
    </row>
    <row r="138" spans="1:24" ht="15.6">
      <c r="A138" s="40"/>
      <c r="B138" s="27"/>
      <c r="C138" s="29"/>
      <c r="D138" s="41"/>
      <c r="E138" s="41"/>
      <c r="F138" s="41"/>
      <c r="G138" s="41"/>
      <c r="H138" s="41"/>
      <c r="I138" s="41"/>
      <c r="J138" s="41"/>
      <c r="K138" s="41"/>
      <c r="L138" s="41"/>
      <c r="M138" s="41"/>
      <c r="N138" s="41"/>
      <c r="O138" s="41"/>
      <c r="P138" s="41"/>
      <c r="Q138" s="41"/>
      <c r="R138" s="41"/>
      <c r="S138" s="41"/>
      <c r="T138" s="41"/>
      <c r="U138" s="41"/>
      <c r="V138" s="41"/>
      <c r="W138" s="41"/>
      <c r="X138" s="41"/>
    </row>
    <row r="139" spans="1:24" ht="15.6">
      <c r="A139" s="40"/>
      <c r="B139" s="27"/>
      <c r="C139" s="29"/>
      <c r="D139" s="41"/>
      <c r="E139" s="41"/>
      <c r="F139" s="41"/>
      <c r="G139" s="41"/>
      <c r="H139" s="41"/>
      <c r="I139" s="41"/>
      <c r="J139" s="41"/>
      <c r="K139" s="41"/>
      <c r="L139" s="41"/>
      <c r="M139" s="41"/>
      <c r="N139" s="41"/>
      <c r="O139" s="41"/>
      <c r="P139" s="41"/>
      <c r="Q139" s="41"/>
      <c r="R139" s="41"/>
      <c r="S139" s="41"/>
      <c r="T139" s="41"/>
      <c r="U139" s="41"/>
      <c r="V139" s="41"/>
      <c r="W139" s="41"/>
      <c r="X139" s="41"/>
    </row>
    <row r="140" spans="1:24" ht="15.6">
      <c r="A140" s="40"/>
      <c r="B140" s="27"/>
      <c r="C140" s="29"/>
      <c r="D140" s="41"/>
      <c r="E140" s="41"/>
      <c r="F140" s="41"/>
      <c r="G140" s="41"/>
      <c r="H140" s="41"/>
      <c r="I140" s="41"/>
      <c r="J140" s="41"/>
      <c r="K140" s="41"/>
      <c r="L140" s="41"/>
      <c r="M140" s="41"/>
      <c r="N140" s="41"/>
      <c r="O140" s="41"/>
      <c r="P140" s="41"/>
      <c r="Q140" s="41"/>
      <c r="R140" s="41"/>
      <c r="S140" s="41"/>
      <c r="T140" s="41"/>
      <c r="U140" s="41"/>
      <c r="V140" s="41"/>
      <c r="W140" s="41"/>
      <c r="X140" s="41"/>
    </row>
    <row r="141" spans="1:24" ht="15.6">
      <c r="A141" s="40"/>
      <c r="B141" s="27"/>
      <c r="C141" s="29"/>
      <c r="D141" s="41"/>
      <c r="E141" s="41"/>
      <c r="F141" s="41"/>
      <c r="G141" s="41"/>
      <c r="H141" s="41"/>
      <c r="I141" s="41"/>
      <c r="J141" s="41"/>
      <c r="K141" s="41"/>
      <c r="L141" s="41"/>
      <c r="M141" s="41"/>
      <c r="N141" s="41"/>
      <c r="O141" s="41"/>
      <c r="P141" s="41"/>
      <c r="Q141" s="41"/>
      <c r="R141" s="41"/>
      <c r="S141" s="41"/>
      <c r="T141" s="41"/>
      <c r="U141" s="41"/>
      <c r="V141" s="41"/>
      <c r="W141" s="41"/>
      <c r="X141" s="41"/>
    </row>
    <row r="142" spans="1:24" ht="15.6">
      <c r="A142" s="40"/>
      <c r="B142" s="27"/>
      <c r="C142" s="3"/>
      <c r="D142" s="41"/>
      <c r="E142" s="41"/>
      <c r="F142" s="41"/>
      <c r="G142" s="41"/>
      <c r="H142" s="41"/>
      <c r="I142" s="41"/>
      <c r="J142" s="41"/>
      <c r="K142" s="41"/>
      <c r="L142" s="41"/>
      <c r="M142" s="41"/>
      <c r="N142" s="41"/>
      <c r="O142" s="41"/>
      <c r="P142" s="41"/>
      <c r="Q142" s="41"/>
      <c r="R142" s="41"/>
      <c r="S142" s="41"/>
      <c r="T142" s="41"/>
      <c r="U142" s="41"/>
      <c r="V142" s="41"/>
      <c r="W142" s="41"/>
      <c r="X142" s="41"/>
    </row>
    <row r="143" spans="1:24" ht="15.6">
      <c r="A143" s="40"/>
      <c r="B143" s="27"/>
      <c r="C143" s="29"/>
      <c r="D143" s="41"/>
      <c r="E143" s="41"/>
      <c r="F143" s="41"/>
      <c r="G143" s="41"/>
      <c r="H143" s="41"/>
      <c r="I143" s="41"/>
      <c r="J143" s="41"/>
      <c r="K143" s="41"/>
      <c r="L143" s="41"/>
      <c r="M143" s="41"/>
      <c r="N143" s="41"/>
      <c r="O143" s="41"/>
      <c r="P143" s="41"/>
      <c r="Q143" s="41"/>
      <c r="R143" s="41"/>
      <c r="S143" s="41"/>
      <c r="T143" s="41"/>
      <c r="U143" s="41"/>
      <c r="V143" s="41"/>
      <c r="W143" s="41"/>
      <c r="X143" s="41"/>
    </row>
    <row r="144" spans="1:24" ht="15.6">
      <c r="A144" s="40"/>
      <c r="B144" s="27"/>
      <c r="C144" s="29"/>
      <c r="D144" s="41"/>
      <c r="E144" s="41"/>
      <c r="F144" s="41"/>
      <c r="G144" s="41"/>
      <c r="H144" s="41"/>
      <c r="I144" s="41"/>
      <c r="J144" s="41"/>
      <c r="K144" s="41"/>
      <c r="L144" s="41"/>
      <c r="M144" s="41"/>
      <c r="N144" s="41"/>
      <c r="O144" s="41"/>
      <c r="P144" s="41"/>
      <c r="Q144" s="41"/>
      <c r="R144" s="41"/>
      <c r="S144" s="41"/>
      <c r="T144" s="41"/>
      <c r="U144" s="41"/>
      <c r="V144" s="41"/>
      <c r="W144" s="41"/>
      <c r="X144" s="41"/>
    </row>
    <row r="145" spans="1:24" ht="15.6">
      <c r="A145" s="40"/>
      <c r="B145" s="27"/>
      <c r="C145" s="29"/>
      <c r="D145" s="41"/>
      <c r="E145" s="41"/>
      <c r="F145" s="41"/>
      <c r="G145" s="41"/>
      <c r="H145" s="41"/>
      <c r="I145" s="41"/>
      <c r="J145" s="41"/>
      <c r="K145" s="41"/>
      <c r="L145" s="41"/>
      <c r="M145" s="41"/>
      <c r="N145" s="41"/>
      <c r="O145" s="41"/>
      <c r="P145" s="41"/>
      <c r="Q145" s="41"/>
      <c r="R145" s="41"/>
      <c r="S145" s="41"/>
      <c r="T145" s="41"/>
      <c r="U145" s="41"/>
      <c r="V145" s="41"/>
      <c r="W145" s="41"/>
      <c r="X145" s="41"/>
    </row>
    <row r="146" spans="1:24" ht="15.6">
      <c r="A146" s="40"/>
      <c r="B146" s="27"/>
      <c r="C146" s="29"/>
      <c r="D146" s="41"/>
      <c r="E146" s="41"/>
      <c r="F146" s="41"/>
      <c r="G146" s="41"/>
      <c r="H146" s="41"/>
      <c r="I146" s="41"/>
      <c r="J146" s="41"/>
      <c r="K146" s="41"/>
      <c r="L146" s="41"/>
      <c r="M146" s="41"/>
      <c r="N146" s="41"/>
      <c r="O146" s="41"/>
      <c r="P146" s="41"/>
      <c r="Q146" s="41"/>
      <c r="R146" s="41"/>
      <c r="S146" s="41"/>
      <c r="T146" s="41"/>
      <c r="U146" s="41"/>
      <c r="V146" s="41"/>
      <c r="W146" s="41"/>
      <c r="X146" s="41"/>
    </row>
    <row r="147" spans="1:24" ht="15.6">
      <c r="A147" s="40"/>
      <c r="B147" s="27"/>
      <c r="C147" s="29"/>
      <c r="D147" s="41"/>
      <c r="E147" s="41"/>
      <c r="F147" s="41"/>
      <c r="G147" s="41"/>
      <c r="H147" s="41"/>
      <c r="I147" s="41"/>
      <c r="J147" s="41"/>
      <c r="K147" s="41"/>
      <c r="L147" s="41"/>
      <c r="M147" s="41"/>
      <c r="N147" s="41"/>
      <c r="O147" s="41"/>
      <c r="P147" s="41"/>
      <c r="Q147" s="41"/>
      <c r="R147" s="41"/>
      <c r="S147" s="41"/>
      <c r="T147" s="41"/>
      <c r="U147" s="41"/>
      <c r="V147" s="41"/>
      <c r="W147" s="41"/>
      <c r="X147" s="41"/>
    </row>
    <row r="148" spans="1:24" ht="15.6">
      <c r="A148" s="40"/>
      <c r="B148" s="27"/>
      <c r="C148" s="29"/>
      <c r="D148" s="41"/>
      <c r="E148" s="41"/>
      <c r="F148" s="41"/>
      <c r="G148" s="41"/>
      <c r="H148" s="41"/>
      <c r="I148" s="41"/>
      <c r="J148" s="41"/>
      <c r="K148" s="41"/>
      <c r="L148" s="41"/>
      <c r="M148" s="41"/>
      <c r="N148" s="41"/>
      <c r="O148" s="41"/>
      <c r="P148" s="41"/>
      <c r="Q148" s="41"/>
      <c r="R148" s="41"/>
      <c r="S148" s="41"/>
      <c r="T148" s="41"/>
      <c r="U148" s="41"/>
      <c r="V148" s="41"/>
      <c r="W148" s="41"/>
      <c r="X148" s="41"/>
    </row>
    <row r="149" spans="1:24" ht="15.6">
      <c r="A149" s="40"/>
      <c r="B149" s="27"/>
      <c r="C149" s="29"/>
      <c r="D149" s="41"/>
      <c r="E149" s="41"/>
      <c r="F149" s="41"/>
      <c r="G149" s="41"/>
      <c r="H149" s="41"/>
      <c r="I149" s="41"/>
      <c r="J149" s="41"/>
      <c r="K149" s="41"/>
      <c r="L149" s="41"/>
      <c r="M149" s="41"/>
      <c r="N149" s="41"/>
      <c r="O149" s="41"/>
      <c r="P149" s="41"/>
      <c r="Q149" s="41"/>
      <c r="R149" s="41"/>
      <c r="S149" s="41"/>
      <c r="T149" s="41"/>
      <c r="U149" s="41"/>
      <c r="V149" s="41"/>
      <c r="W149" s="41"/>
      <c r="X149" s="41"/>
    </row>
    <row r="150" spans="1:24" ht="15.6">
      <c r="A150" s="40"/>
      <c r="B150" s="27"/>
      <c r="C150" s="29"/>
      <c r="D150" s="41"/>
      <c r="E150" s="41"/>
      <c r="F150" s="41"/>
      <c r="G150" s="41"/>
      <c r="H150" s="41"/>
      <c r="I150" s="41"/>
      <c r="J150" s="41"/>
      <c r="K150" s="41"/>
      <c r="L150" s="41"/>
      <c r="M150" s="41"/>
      <c r="N150" s="41"/>
      <c r="O150" s="41"/>
      <c r="P150" s="41"/>
      <c r="Q150" s="41"/>
      <c r="R150" s="41"/>
      <c r="S150" s="41"/>
      <c r="T150" s="41"/>
      <c r="U150" s="41"/>
      <c r="V150" s="41"/>
      <c r="W150" s="41"/>
      <c r="X150" s="41"/>
    </row>
    <row r="151" spans="1:24" ht="15.6">
      <c r="A151" s="40"/>
      <c r="B151" s="27"/>
      <c r="C151" s="29"/>
      <c r="D151" s="41"/>
      <c r="E151" s="41"/>
      <c r="F151" s="41"/>
      <c r="G151" s="41"/>
      <c r="H151" s="41"/>
      <c r="I151" s="41"/>
      <c r="J151" s="41"/>
      <c r="K151" s="41"/>
      <c r="L151" s="41"/>
      <c r="M151" s="41"/>
      <c r="N151" s="41"/>
      <c r="O151" s="41"/>
      <c r="P151" s="41"/>
      <c r="Q151" s="41"/>
      <c r="R151" s="41"/>
      <c r="S151" s="41"/>
      <c r="T151" s="41"/>
      <c r="U151" s="41"/>
      <c r="V151" s="41"/>
      <c r="W151" s="41"/>
      <c r="X151" s="41"/>
    </row>
    <row r="152" spans="1:24" ht="15.6">
      <c r="A152" s="40"/>
      <c r="B152" s="27"/>
      <c r="C152" s="29"/>
      <c r="D152" s="41"/>
      <c r="E152" s="41"/>
      <c r="F152" s="41"/>
      <c r="G152" s="41"/>
      <c r="H152" s="41"/>
      <c r="I152" s="41"/>
      <c r="J152" s="41"/>
      <c r="K152" s="41"/>
      <c r="L152" s="41"/>
      <c r="M152" s="41"/>
      <c r="N152" s="41"/>
      <c r="O152" s="41"/>
      <c r="P152" s="41"/>
      <c r="Q152" s="41"/>
      <c r="R152" s="41"/>
      <c r="S152" s="41"/>
      <c r="T152" s="41"/>
      <c r="U152" s="41"/>
      <c r="V152" s="41"/>
      <c r="W152" s="41"/>
      <c r="X152" s="41"/>
    </row>
    <row r="153" spans="1:24" ht="15.6">
      <c r="A153" s="40"/>
      <c r="B153" s="27"/>
      <c r="C153" s="29"/>
      <c r="D153" s="41"/>
      <c r="E153" s="41"/>
      <c r="F153" s="41"/>
      <c r="G153" s="41"/>
      <c r="H153" s="41"/>
      <c r="I153" s="41"/>
      <c r="J153" s="41"/>
      <c r="K153" s="41"/>
      <c r="L153" s="41"/>
      <c r="M153" s="41"/>
      <c r="N153" s="41"/>
      <c r="O153" s="41"/>
      <c r="P153" s="41"/>
      <c r="Q153" s="41"/>
      <c r="R153" s="41"/>
      <c r="S153" s="41"/>
      <c r="T153" s="41"/>
      <c r="U153" s="41"/>
      <c r="V153" s="41"/>
      <c r="W153" s="41"/>
      <c r="X153" s="41"/>
    </row>
    <row r="154" spans="1:24" ht="15.6">
      <c r="A154" s="40"/>
      <c r="B154" s="27"/>
      <c r="C154" s="29"/>
      <c r="D154" s="41"/>
      <c r="E154" s="41"/>
      <c r="F154" s="41"/>
      <c r="G154" s="41"/>
      <c r="H154" s="41"/>
      <c r="I154" s="41"/>
      <c r="J154" s="41"/>
      <c r="K154" s="41"/>
      <c r="L154" s="41"/>
      <c r="M154" s="41"/>
      <c r="N154" s="41"/>
      <c r="O154" s="41"/>
      <c r="P154" s="41"/>
      <c r="Q154" s="41"/>
      <c r="R154" s="41"/>
      <c r="S154" s="41"/>
      <c r="T154" s="41"/>
      <c r="U154" s="41"/>
      <c r="V154" s="41"/>
      <c r="W154" s="41"/>
      <c r="X154" s="41"/>
    </row>
    <row r="155" spans="1:24" ht="15.6">
      <c r="A155" s="40"/>
      <c r="B155" s="27"/>
      <c r="C155" s="29"/>
      <c r="D155" s="41"/>
      <c r="E155" s="41"/>
      <c r="F155" s="41"/>
      <c r="G155" s="41"/>
      <c r="H155" s="41"/>
      <c r="I155" s="41"/>
      <c r="J155" s="41"/>
      <c r="K155" s="41"/>
      <c r="L155" s="41"/>
      <c r="M155" s="41"/>
      <c r="N155" s="41"/>
      <c r="O155" s="41"/>
      <c r="P155" s="41"/>
      <c r="Q155" s="41"/>
      <c r="R155" s="41"/>
      <c r="S155" s="41"/>
      <c r="T155" s="41"/>
      <c r="U155" s="41"/>
      <c r="V155" s="41"/>
      <c r="W155" s="41"/>
      <c r="X155" s="41"/>
    </row>
    <row r="156" spans="1:24" ht="15.6">
      <c r="A156" s="40"/>
      <c r="B156" s="27"/>
      <c r="C156" s="29"/>
      <c r="D156" s="41"/>
      <c r="E156" s="41"/>
      <c r="F156" s="41"/>
      <c r="G156" s="41"/>
      <c r="H156" s="41"/>
      <c r="I156" s="41"/>
      <c r="J156" s="41"/>
      <c r="K156" s="41"/>
      <c r="L156" s="41"/>
      <c r="M156" s="41"/>
      <c r="N156" s="41"/>
      <c r="O156" s="41"/>
      <c r="P156" s="41"/>
      <c r="Q156" s="41"/>
      <c r="R156" s="41"/>
      <c r="S156" s="41"/>
      <c r="T156" s="41"/>
      <c r="U156" s="41"/>
      <c r="V156" s="41"/>
      <c r="W156" s="41"/>
      <c r="X156" s="41"/>
    </row>
    <row r="157" spans="1:24" ht="15.6">
      <c r="A157" s="40"/>
      <c r="B157" s="27"/>
      <c r="C157" s="29"/>
      <c r="D157" s="41"/>
      <c r="E157" s="41"/>
      <c r="F157" s="41"/>
      <c r="G157" s="41"/>
      <c r="H157" s="41"/>
      <c r="I157" s="41"/>
      <c r="J157" s="41"/>
      <c r="K157" s="41"/>
      <c r="L157" s="41"/>
      <c r="M157" s="41"/>
      <c r="N157" s="41"/>
      <c r="O157" s="41"/>
      <c r="P157" s="41"/>
      <c r="Q157" s="41"/>
      <c r="R157" s="41"/>
      <c r="S157" s="41"/>
      <c r="T157" s="41"/>
      <c r="U157" s="41"/>
      <c r="V157" s="41"/>
      <c r="W157" s="41"/>
      <c r="X157" s="41"/>
    </row>
    <row r="158" spans="1:24" ht="15.6">
      <c r="A158" s="40"/>
      <c r="B158" s="27"/>
      <c r="C158" s="29"/>
      <c r="D158" s="41"/>
      <c r="E158" s="41"/>
      <c r="F158" s="41"/>
      <c r="G158" s="41"/>
      <c r="H158" s="41"/>
      <c r="I158" s="41"/>
      <c r="J158" s="41"/>
      <c r="K158" s="41"/>
      <c r="L158" s="41"/>
      <c r="M158" s="41"/>
      <c r="N158" s="41"/>
      <c r="O158" s="41"/>
      <c r="P158" s="41"/>
      <c r="Q158" s="41"/>
      <c r="R158" s="41"/>
      <c r="S158" s="41"/>
      <c r="T158" s="41"/>
      <c r="U158" s="41"/>
      <c r="V158" s="41"/>
      <c r="W158" s="41"/>
      <c r="X158" s="41"/>
    </row>
    <row r="159" spans="1:24" ht="15.6">
      <c r="A159" s="40"/>
      <c r="B159" s="27"/>
      <c r="C159" s="29"/>
      <c r="D159" s="41"/>
      <c r="E159" s="41"/>
      <c r="F159" s="41"/>
      <c r="G159" s="41"/>
      <c r="H159" s="41"/>
      <c r="I159" s="41"/>
      <c r="J159" s="41"/>
      <c r="K159" s="41"/>
      <c r="L159" s="41"/>
      <c r="M159" s="41"/>
      <c r="N159" s="41"/>
      <c r="O159" s="41"/>
      <c r="P159" s="41"/>
      <c r="Q159" s="41"/>
      <c r="R159" s="41"/>
      <c r="S159" s="41"/>
      <c r="T159" s="41"/>
      <c r="U159" s="41"/>
      <c r="V159" s="41"/>
      <c r="W159" s="41"/>
      <c r="X159" s="41"/>
    </row>
    <row r="160" spans="1:24" ht="15.6">
      <c r="A160" s="40"/>
      <c r="B160" s="27"/>
      <c r="C160" s="29"/>
      <c r="D160" s="41"/>
      <c r="E160" s="41"/>
      <c r="F160" s="41"/>
      <c r="G160" s="41"/>
      <c r="H160" s="41"/>
      <c r="I160" s="41"/>
      <c r="J160" s="41"/>
      <c r="K160" s="41"/>
      <c r="L160" s="41"/>
      <c r="M160" s="41"/>
      <c r="N160" s="41"/>
      <c r="O160" s="41"/>
      <c r="P160" s="41"/>
      <c r="Q160" s="41"/>
      <c r="R160" s="41"/>
      <c r="S160" s="41"/>
      <c r="T160" s="41"/>
      <c r="U160" s="41"/>
      <c r="V160" s="41"/>
      <c r="W160" s="41"/>
      <c r="X160" s="41"/>
    </row>
    <row r="161" spans="1:24" ht="15.6">
      <c r="A161" s="40"/>
      <c r="B161" s="27"/>
      <c r="C161" s="29"/>
      <c r="D161" s="41"/>
      <c r="E161" s="41"/>
      <c r="F161" s="41"/>
      <c r="G161" s="41"/>
      <c r="H161" s="41"/>
      <c r="I161" s="41"/>
      <c r="J161" s="41"/>
      <c r="K161" s="41"/>
      <c r="L161" s="41"/>
      <c r="M161" s="41"/>
      <c r="N161" s="41"/>
      <c r="O161" s="41"/>
      <c r="P161" s="41"/>
      <c r="Q161" s="41"/>
      <c r="R161" s="41"/>
      <c r="S161" s="41"/>
      <c r="T161" s="41"/>
      <c r="U161" s="41"/>
      <c r="V161" s="41"/>
      <c r="W161" s="41"/>
      <c r="X161" s="41"/>
    </row>
    <row r="162" spans="1:24" ht="15.6">
      <c r="A162" s="40"/>
      <c r="B162" s="27"/>
      <c r="C162" s="29"/>
      <c r="D162" s="41"/>
      <c r="E162" s="41"/>
      <c r="F162" s="41"/>
      <c r="G162" s="41"/>
      <c r="H162" s="41"/>
      <c r="I162" s="41"/>
      <c r="J162" s="41"/>
      <c r="K162" s="41"/>
      <c r="L162" s="41"/>
      <c r="M162" s="41"/>
      <c r="N162" s="41"/>
      <c r="O162" s="41"/>
      <c r="P162" s="41"/>
      <c r="Q162" s="41"/>
      <c r="R162" s="41"/>
      <c r="S162" s="41"/>
      <c r="T162" s="41"/>
      <c r="U162" s="41"/>
      <c r="V162" s="41"/>
      <c r="W162" s="41"/>
      <c r="X162" s="41"/>
    </row>
    <row r="163" spans="1:24" ht="15.6">
      <c r="A163" s="40"/>
      <c r="B163" s="27"/>
      <c r="C163" s="29"/>
      <c r="D163" s="41"/>
      <c r="E163" s="41"/>
      <c r="F163" s="41"/>
      <c r="G163" s="41"/>
      <c r="H163" s="41"/>
      <c r="I163" s="41"/>
      <c r="J163" s="41"/>
      <c r="K163" s="41"/>
      <c r="L163" s="41"/>
      <c r="M163" s="41"/>
      <c r="N163" s="41"/>
      <c r="O163" s="41"/>
      <c r="P163" s="41"/>
      <c r="Q163" s="41"/>
      <c r="R163" s="41"/>
      <c r="S163" s="41"/>
      <c r="T163" s="41"/>
      <c r="U163" s="41"/>
      <c r="V163" s="41"/>
      <c r="W163" s="41"/>
      <c r="X163" s="41"/>
    </row>
    <row r="164" spans="1:24" ht="15.6">
      <c r="A164" s="40"/>
      <c r="B164" s="27"/>
      <c r="C164" s="29"/>
      <c r="D164" s="41"/>
      <c r="E164" s="41"/>
      <c r="F164" s="41"/>
      <c r="G164" s="41"/>
      <c r="H164" s="41"/>
      <c r="I164" s="41"/>
      <c r="J164" s="41"/>
      <c r="K164" s="41"/>
      <c r="L164" s="41"/>
      <c r="M164" s="41"/>
      <c r="N164" s="41"/>
      <c r="O164" s="41"/>
      <c r="P164" s="41"/>
      <c r="Q164" s="41"/>
      <c r="R164" s="41"/>
      <c r="S164" s="41"/>
      <c r="T164" s="41"/>
      <c r="U164" s="41"/>
      <c r="V164" s="41"/>
      <c r="W164" s="41"/>
      <c r="X164" s="41"/>
    </row>
    <row r="165" spans="1:24" ht="15.6">
      <c r="A165" s="40"/>
      <c r="B165" s="27"/>
      <c r="C165" s="29"/>
      <c r="D165" s="41"/>
      <c r="E165" s="41"/>
      <c r="F165" s="41"/>
      <c r="G165" s="41"/>
      <c r="H165" s="41"/>
      <c r="I165" s="41"/>
      <c r="J165" s="41"/>
      <c r="K165" s="41"/>
      <c r="L165" s="41"/>
      <c r="M165" s="41"/>
      <c r="N165" s="41"/>
      <c r="O165" s="41"/>
      <c r="P165" s="41"/>
      <c r="Q165" s="41"/>
      <c r="R165" s="41"/>
      <c r="S165" s="41"/>
      <c r="T165" s="41"/>
      <c r="U165" s="41"/>
      <c r="V165" s="41"/>
      <c r="W165" s="41"/>
      <c r="X165" s="41"/>
    </row>
    <row r="166" spans="1:24" ht="15.6">
      <c r="A166" s="40"/>
      <c r="B166" s="27"/>
      <c r="C166" s="29"/>
      <c r="D166" s="41"/>
      <c r="E166" s="41"/>
      <c r="F166" s="41"/>
      <c r="G166" s="41"/>
      <c r="H166" s="41"/>
      <c r="I166" s="41"/>
      <c r="J166" s="41"/>
      <c r="K166" s="41"/>
      <c r="L166" s="41"/>
      <c r="M166" s="41"/>
      <c r="N166" s="41"/>
      <c r="O166" s="41"/>
      <c r="P166" s="41"/>
      <c r="Q166" s="41"/>
      <c r="R166" s="41"/>
      <c r="S166" s="41"/>
      <c r="T166" s="41"/>
      <c r="U166" s="41"/>
      <c r="V166" s="41"/>
      <c r="W166" s="41"/>
      <c r="X166" s="41"/>
    </row>
    <row r="167" spans="1:24" ht="15.6">
      <c r="A167" s="40"/>
      <c r="B167" s="27"/>
      <c r="C167" s="29"/>
      <c r="D167" s="41"/>
      <c r="E167" s="41"/>
      <c r="F167" s="41"/>
      <c r="G167" s="41"/>
      <c r="H167" s="41"/>
      <c r="I167" s="41"/>
      <c r="J167" s="41"/>
      <c r="K167" s="41"/>
      <c r="L167" s="41"/>
      <c r="M167" s="41"/>
      <c r="N167" s="41"/>
      <c r="O167" s="41"/>
      <c r="P167" s="41"/>
      <c r="Q167" s="41"/>
      <c r="R167" s="41"/>
      <c r="S167" s="41"/>
      <c r="T167" s="41"/>
      <c r="U167" s="41"/>
      <c r="V167" s="41"/>
      <c r="W167" s="41"/>
      <c r="X167" s="41"/>
    </row>
    <row r="168" spans="1:24" ht="15.6">
      <c r="A168" s="40"/>
      <c r="B168" s="27"/>
      <c r="C168" s="29"/>
      <c r="D168" s="41"/>
      <c r="E168" s="41"/>
      <c r="F168" s="41"/>
      <c r="G168" s="41"/>
      <c r="H168" s="41"/>
      <c r="I168" s="41"/>
      <c r="J168" s="41"/>
      <c r="K168" s="41"/>
      <c r="L168" s="41"/>
      <c r="M168" s="41"/>
      <c r="N168" s="41"/>
      <c r="O168" s="41"/>
      <c r="P168" s="41"/>
      <c r="Q168" s="41"/>
      <c r="R168" s="41"/>
      <c r="S168" s="41"/>
      <c r="T168" s="41"/>
      <c r="U168" s="41"/>
      <c r="V168" s="41"/>
      <c r="W168" s="41"/>
      <c r="X168" s="41"/>
    </row>
    <row r="169" spans="1:24" ht="15.6">
      <c r="A169" s="40"/>
      <c r="B169" s="27"/>
      <c r="C169" s="29"/>
      <c r="D169" s="41"/>
      <c r="E169" s="41"/>
      <c r="F169" s="41"/>
      <c r="G169" s="41"/>
      <c r="H169" s="41"/>
      <c r="I169" s="41"/>
      <c r="J169" s="41"/>
      <c r="K169" s="41"/>
      <c r="L169" s="41"/>
      <c r="M169" s="41"/>
      <c r="N169" s="41"/>
      <c r="O169" s="41"/>
      <c r="P169" s="41"/>
      <c r="Q169" s="41"/>
      <c r="R169" s="41"/>
      <c r="S169" s="41"/>
      <c r="T169" s="41"/>
      <c r="U169" s="41"/>
      <c r="V169" s="41"/>
      <c r="W169" s="41"/>
      <c r="X169" s="41"/>
    </row>
    <row r="170" spans="1:24">
      <c r="A170" s="4"/>
      <c r="B170" s="4"/>
      <c r="C170" s="29"/>
      <c r="D170" s="41"/>
      <c r="E170" s="41"/>
      <c r="F170" s="41"/>
      <c r="G170" s="41"/>
      <c r="H170" s="41"/>
      <c r="I170" s="41"/>
      <c r="J170" s="41"/>
      <c r="K170" s="41"/>
      <c r="L170" s="41"/>
      <c r="M170" s="41"/>
      <c r="N170" s="41"/>
      <c r="O170" s="41"/>
      <c r="P170" s="41"/>
      <c r="Q170" s="41"/>
      <c r="R170" s="41"/>
      <c r="S170" s="41"/>
      <c r="T170" s="41"/>
      <c r="U170" s="41"/>
      <c r="V170" s="41"/>
      <c r="W170" s="41"/>
      <c r="X170" s="41"/>
    </row>
    <row r="171" spans="1:24" ht="15.6">
      <c r="A171" s="40"/>
      <c r="B171" s="27"/>
      <c r="C171" s="29"/>
      <c r="D171" s="41"/>
      <c r="E171" s="41"/>
      <c r="F171" s="41"/>
      <c r="G171" s="41"/>
      <c r="H171" s="41"/>
      <c r="I171" s="41"/>
      <c r="J171" s="41"/>
      <c r="K171" s="41"/>
      <c r="L171" s="41"/>
      <c r="M171" s="41"/>
      <c r="N171" s="41"/>
      <c r="O171" s="41"/>
      <c r="P171" s="41"/>
      <c r="Q171" s="41"/>
      <c r="R171" s="41"/>
      <c r="S171" s="41"/>
      <c r="T171" s="41"/>
      <c r="U171" s="41"/>
      <c r="V171" s="41"/>
      <c r="W171" s="41"/>
      <c r="X171" s="41"/>
    </row>
    <row r="172" spans="1:24" ht="15.6">
      <c r="A172" s="40"/>
      <c r="B172" s="27"/>
      <c r="C172" s="29"/>
      <c r="D172" s="41"/>
      <c r="E172" s="41"/>
      <c r="F172" s="41"/>
      <c r="G172" s="41"/>
      <c r="H172" s="41"/>
      <c r="I172" s="41"/>
      <c r="J172" s="41"/>
      <c r="K172" s="41"/>
      <c r="L172" s="41"/>
      <c r="M172" s="41"/>
      <c r="N172" s="41"/>
      <c r="O172" s="41"/>
      <c r="P172" s="41"/>
      <c r="Q172" s="41"/>
      <c r="R172" s="41"/>
      <c r="S172" s="41"/>
      <c r="T172" s="41"/>
      <c r="U172" s="41"/>
      <c r="V172" s="41"/>
      <c r="W172" s="41"/>
      <c r="X172" s="41"/>
    </row>
    <row r="173" spans="1:24" ht="15.6">
      <c r="A173" s="40"/>
      <c r="B173" s="27"/>
      <c r="C173" s="29"/>
      <c r="D173" s="41"/>
      <c r="E173" s="41"/>
      <c r="F173" s="41"/>
      <c r="G173" s="41"/>
      <c r="H173" s="41"/>
      <c r="I173" s="41"/>
      <c r="J173" s="41"/>
      <c r="K173" s="41"/>
      <c r="L173" s="41"/>
      <c r="M173" s="41"/>
      <c r="N173" s="41"/>
      <c r="O173" s="41"/>
      <c r="P173" s="41"/>
      <c r="Q173" s="41"/>
      <c r="R173" s="41"/>
      <c r="S173" s="41"/>
      <c r="T173" s="41"/>
      <c r="U173" s="41"/>
      <c r="V173" s="41"/>
      <c r="W173" s="41"/>
      <c r="X173" s="41"/>
    </row>
    <row r="174" spans="1:24" ht="15.6">
      <c r="A174" s="40"/>
      <c r="B174" s="27"/>
      <c r="C174" s="29"/>
      <c r="D174" s="41"/>
      <c r="E174" s="41"/>
      <c r="F174" s="41"/>
      <c r="G174" s="41"/>
      <c r="H174" s="41"/>
      <c r="I174" s="41"/>
      <c r="J174" s="41"/>
      <c r="K174" s="41"/>
      <c r="L174" s="41"/>
      <c r="M174" s="41"/>
      <c r="N174" s="41"/>
      <c r="O174" s="41"/>
      <c r="P174" s="41"/>
      <c r="Q174" s="41"/>
      <c r="R174" s="41"/>
      <c r="S174" s="41"/>
      <c r="T174" s="41"/>
      <c r="U174" s="41"/>
      <c r="V174" s="41"/>
      <c r="W174" s="41"/>
      <c r="X174" s="41"/>
    </row>
    <row r="175" spans="1:24" ht="15.6">
      <c r="A175" s="40"/>
      <c r="B175" s="27"/>
      <c r="C175" s="29"/>
      <c r="D175" s="41"/>
      <c r="E175" s="41"/>
      <c r="F175" s="41"/>
      <c r="G175" s="41"/>
      <c r="H175" s="41"/>
      <c r="I175" s="41"/>
      <c r="J175" s="41"/>
      <c r="K175" s="41"/>
      <c r="L175" s="41"/>
      <c r="M175" s="41"/>
      <c r="N175" s="41"/>
      <c r="O175" s="41"/>
      <c r="P175" s="41"/>
      <c r="Q175" s="41"/>
      <c r="R175" s="41"/>
      <c r="S175" s="41"/>
      <c r="T175" s="41"/>
      <c r="U175" s="41"/>
      <c r="V175" s="41"/>
      <c r="W175" s="41"/>
      <c r="X175" s="41"/>
    </row>
    <row r="176" spans="1:24" ht="15.6">
      <c r="A176" s="40"/>
      <c r="B176" s="27"/>
      <c r="C176" s="29"/>
      <c r="D176" s="41"/>
      <c r="E176" s="41"/>
      <c r="F176" s="41"/>
      <c r="G176" s="41"/>
      <c r="H176" s="41"/>
      <c r="I176" s="41"/>
      <c r="J176" s="41"/>
      <c r="K176" s="41"/>
      <c r="L176" s="41"/>
      <c r="M176" s="41"/>
      <c r="N176" s="41"/>
      <c r="O176" s="41"/>
      <c r="P176" s="41"/>
      <c r="Q176" s="41"/>
      <c r="R176" s="41"/>
      <c r="S176" s="41"/>
      <c r="T176" s="41"/>
      <c r="U176" s="41"/>
      <c r="V176" s="41"/>
      <c r="W176" s="41"/>
      <c r="X176" s="41"/>
    </row>
    <row r="177" spans="1:24" ht="15.6">
      <c r="A177" s="40"/>
      <c r="B177" s="27"/>
      <c r="C177" s="29"/>
      <c r="D177" s="41"/>
      <c r="E177" s="41"/>
      <c r="F177" s="41"/>
      <c r="G177" s="41"/>
      <c r="H177" s="41"/>
      <c r="I177" s="41"/>
      <c r="J177" s="41"/>
      <c r="K177" s="41"/>
      <c r="L177" s="41"/>
      <c r="M177" s="41"/>
      <c r="N177" s="41"/>
      <c r="O177" s="41"/>
      <c r="P177" s="41"/>
      <c r="Q177" s="41"/>
      <c r="R177" s="41"/>
      <c r="S177" s="41"/>
      <c r="T177" s="41"/>
      <c r="U177" s="41"/>
      <c r="V177" s="41"/>
      <c r="W177" s="41"/>
      <c r="X177" s="41"/>
    </row>
    <row r="178" spans="1:24" ht="15.6">
      <c r="A178" s="40"/>
      <c r="B178" s="27"/>
      <c r="C178" s="29"/>
      <c r="D178" s="41"/>
      <c r="E178" s="41"/>
      <c r="F178" s="41"/>
      <c r="G178" s="41"/>
      <c r="H178" s="41"/>
      <c r="I178" s="41"/>
      <c r="J178" s="41"/>
      <c r="K178" s="41"/>
      <c r="L178" s="41"/>
      <c r="M178" s="41"/>
      <c r="N178" s="41"/>
      <c r="O178" s="41"/>
      <c r="P178" s="41"/>
      <c r="Q178" s="41"/>
      <c r="R178" s="41"/>
      <c r="S178" s="41"/>
      <c r="T178" s="41"/>
      <c r="U178" s="41"/>
      <c r="V178" s="41"/>
      <c r="W178" s="41"/>
      <c r="X178" s="41"/>
    </row>
    <row r="179" spans="1:24" ht="15.6">
      <c r="A179" s="40"/>
      <c r="B179" s="27"/>
      <c r="C179" s="29"/>
      <c r="D179" s="41"/>
      <c r="E179" s="41"/>
      <c r="F179" s="41"/>
      <c r="G179" s="41"/>
      <c r="H179" s="41"/>
      <c r="I179" s="41"/>
      <c r="J179" s="41"/>
      <c r="K179" s="41"/>
      <c r="L179" s="41"/>
      <c r="M179" s="41"/>
      <c r="N179" s="41"/>
      <c r="O179" s="41"/>
      <c r="P179" s="41"/>
      <c r="Q179" s="41"/>
      <c r="R179" s="41"/>
      <c r="S179" s="41"/>
      <c r="T179" s="41"/>
      <c r="U179" s="41"/>
      <c r="V179" s="41"/>
      <c r="W179" s="41"/>
      <c r="X179" s="41"/>
    </row>
    <row r="180" spans="1:24" ht="15.6">
      <c r="A180" s="40"/>
      <c r="B180" s="27"/>
      <c r="C180" s="29"/>
      <c r="D180" s="41"/>
      <c r="E180" s="41"/>
      <c r="F180" s="41"/>
      <c r="G180" s="41"/>
      <c r="H180" s="41"/>
      <c r="I180" s="41"/>
      <c r="J180" s="41"/>
      <c r="K180" s="41"/>
      <c r="L180" s="41"/>
      <c r="M180" s="41"/>
      <c r="N180" s="41"/>
      <c r="O180" s="41"/>
      <c r="P180" s="41"/>
      <c r="Q180" s="41"/>
      <c r="R180" s="41"/>
      <c r="S180" s="41"/>
      <c r="T180" s="41"/>
      <c r="U180" s="41"/>
      <c r="V180" s="41"/>
      <c r="W180" s="41"/>
      <c r="X180" s="41"/>
    </row>
    <row r="181" spans="1:24" ht="15.6">
      <c r="A181" s="40"/>
      <c r="B181" s="27"/>
      <c r="C181" s="29"/>
      <c r="D181" s="41"/>
      <c r="E181" s="41"/>
      <c r="F181" s="41"/>
      <c r="G181" s="41"/>
      <c r="H181" s="41"/>
      <c r="I181" s="41"/>
      <c r="J181" s="41"/>
      <c r="K181" s="41"/>
      <c r="L181" s="41"/>
      <c r="M181" s="41"/>
      <c r="N181" s="41"/>
      <c r="O181" s="41"/>
      <c r="P181" s="41"/>
      <c r="Q181" s="41"/>
      <c r="R181" s="41"/>
      <c r="S181" s="41"/>
      <c r="T181" s="41"/>
      <c r="U181" s="41"/>
      <c r="V181" s="41"/>
      <c r="W181" s="41"/>
      <c r="X181" s="41"/>
    </row>
    <row r="182" spans="1:24" ht="15.6">
      <c r="A182" s="40"/>
      <c r="B182" s="27"/>
      <c r="C182" s="29"/>
      <c r="D182" s="41"/>
      <c r="E182" s="41"/>
      <c r="F182" s="41"/>
      <c r="G182" s="41"/>
      <c r="H182" s="41"/>
      <c r="I182" s="41"/>
      <c r="J182" s="41"/>
      <c r="K182" s="41"/>
      <c r="L182" s="41"/>
      <c r="M182" s="41"/>
      <c r="N182" s="41"/>
      <c r="O182" s="41"/>
      <c r="P182" s="41"/>
      <c r="Q182" s="41"/>
      <c r="R182" s="41"/>
      <c r="S182" s="41"/>
      <c r="T182" s="41"/>
      <c r="U182" s="41"/>
      <c r="V182" s="41"/>
      <c r="W182" s="41"/>
      <c r="X182" s="41"/>
    </row>
    <row r="183" spans="1:24" ht="15.6">
      <c r="A183" s="40"/>
      <c r="B183" s="27"/>
      <c r="C183" s="29"/>
      <c r="D183" s="41"/>
      <c r="E183" s="41"/>
      <c r="F183" s="41"/>
      <c r="G183" s="41"/>
      <c r="H183" s="41"/>
      <c r="I183" s="41"/>
      <c r="J183" s="41"/>
      <c r="K183" s="41"/>
      <c r="L183" s="41"/>
      <c r="M183" s="41"/>
      <c r="N183" s="41"/>
      <c r="O183" s="41"/>
      <c r="P183" s="41"/>
      <c r="Q183" s="41"/>
      <c r="R183" s="41"/>
      <c r="S183" s="41"/>
      <c r="T183" s="41"/>
      <c r="U183" s="41"/>
      <c r="V183" s="41"/>
      <c r="W183" s="41"/>
      <c r="X183" s="41"/>
    </row>
    <row r="184" spans="1:24" ht="15.6">
      <c r="A184" s="40"/>
      <c r="B184" s="27"/>
      <c r="C184" s="29"/>
      <c r="D184" s="41"/>
      <c r="E184" s="41"/>
      <c r="F184" s="41"/>
      <c r="G184" s="41"/>
      <c r="H184" s="41"/>
      <c r="I184" s="41"/>
      <c r="J184" s="41"/>
      <c r="K184" s="41"/>
      <c r="L184" s="41"/>
      <c r="M184" s="41"/>
      <c r="N184" s="41"/>
      <c r="O184" s="41"/>
      <c r="P184" s="41"/>
      <c r="Q184" s="41"/>
      <c r="R184" s="41"/>
      <c r="S184" s="41"/>
      <c r="T184" s="41"/>
      <c r="U184" s="41"/>
      <c r="V184" s="41"/>
      <c r="W184" s="41"/>
      <c r="X184" s="41"/>
    </row>
    <row r="185" spans="1:24" ht="15.6">
      <c r="A185" s="40"/>
      <c r="B185" s="27"/>
      <c r="C185" s="29"/>
      <c r="D185" s="41"/>
      <c r="E185" s="41"/>
      <c r="F185" s="41"/>
      <c r="G185" s="41"/>
      <c r="H185" s="41"/>
      <c r="I185" s="41"/>
      <c r="J185" s="41"/>
      <c r="K185" s="41"/>
      <c r="L185" s="41"/>
      <c r="M185" s="41"/>
      <c r="N185" s="41"/>
      <c r="O185" s="41"/>
      <c r="P185" s="41"/>
      <c r="Q185" s="41"/>
      <c r="R185" s="41"/>
      <c r="S185" s="41"/>
      <c r="T185" s="41"/>
      <c r="U185" s="41"/>
      <c r="V185" s="41"/>
      <c r="W185" s="41"/>
      <c r="X185" s="41"/>
    </row>
    <row r="186" spans="1:24" ht="15.6">
      <c r="A186" s="40"/>
      <c r="B186" s="27"/>
      <c r="C186" s="29"/>
      <c r="D186" s="41"/>
      <c r="E186" s="41"/>
      <c r="F186" s="41"/>
      <c r="G186" s="41"/>
      <c r="H186" s="41"/>
      <c r="I186" s="41"/>
      <c r="J186" s="41"/>
      <c r="K186" s="41"/>
      <c r="L186" s="41"/>
      <c r="M186" s="41"/>
      <c r="N186" s="41"/>
      <c r="O186" s="41"/>
      <c r="P186" s="41"/>
      <c r="Q186" s="41"/>
      <c r="R186" s="41"/>
      <c r="S186" s="41"/>
      <c r="T186" s="41"/>
      <c r="U186" s="41"/>
      <c r="V186" s="41"/>
      <c r="W186" s="41"/>
      <c r="X186" s="41"/>
    </row>
    <row r="187" spans="1:24" ht="15.6">
      <c r="A187" s="40"/>
      <c r="B187" s="27"/>
      <c r="C187" s="29"/>
      <c r="D187" s="41"/>
      <c r="E187" s="41"/>
      <c r="F187" s="41"/>
      <c r="G187" s="41"/>
      <c r="H187" s="41"/>
      <c r="I187" s="41"/>
      <c r="J187" s="41"/>
      <c r="K187" s="41"/>
      <c r="L187" s="41"/>
      <c r="M187" s="41"/>
      <c r="N187" s="41"/>
      <c r="O187" s="41"/>
      <c r="P187" s="41"/>
      <c r="Q187" s="41"/>
      <c r="R187" s="41"/>
      <c r="S187" s="41"/>
      <c r="T187" s="41"/>
      <c r="U187" s="41"/>
      <c r="V187" s="41"/>
      <c r="W187" s="41"/>
      <c r="X187" s="41"/>
    </row>
    <row r="188" spans="1:24" ht="15.6">
      <c r="A188" s="40"/>
      <c r="B188" s="27"/>
      <c r="C188" s="29"/>
      <c r="D188" s="41"/>
      <c r="E188" s="41"/>
      <c r="F188" s="41"/>
      <c r="G188" s="41"/>
      <c r="H188" s="41"/>
      <c r="I188" s="41"/>
      <c r="J188" s="41"/>
      <c r="K188" s="41"/>
      <c r="L188" s="41"/>
      <c r="M188" s="41"/>
      <c r="N188" s="41"/>
      <c r="O188" s="41"/>
      <c r="P188" s="41"/>
      <c r="Q188" s="41"/>
      <c r="R188" s="41"/>
      <c r="S188" s="41"/>
      <c r="T188" s="41"/>
      <c r="U188" s="41"/>
      <c r="V188" s="41"/>
      <c r="W188" s="41"/>
      <c r="X188" s="41"/>
    </row>
    <row r="189" spans="1:24" ht="15.6">
      <c r="A189" s="40"/>
      <c r="B189" s="27"/>
      <c r="C189" s="29"/>
      <c r="D189" s="41"/>
      <c r="E189" s="41"/>
      <c r="F189" s="41"/>
      <c r="G189" s="41"/>
      <c r="H189" s="41"/>
      <c r="I189" s="41"/>
      <c r="J189" s="41"/>
      <c r="K189" s="41"/>
      <c r="L189" s="41"/>
      <c r="M189" s="41"/>
      <c r="N189" s="41"/>
      <c r="O189" s="41"/>
      <c r="P189" s="41"/>
      <c r="Q189" s="41"/>
      <c r="R189" s="41"/>
      <c r="S189" s="41"/>
      <c r="T189" s="41"/>
      <c r="U189" s="41"/>
      <c r="V189" s="41"/>
      <c r="W189" s="41"/>
      <c r="X189" s="41"/>
    </row>
    <row r="190" spans="1:24">
      <c r="A190" s="3"/>
      <c r="B190" s="3"/>
      <c r="C190" s="29"/>
      <c r="D190" s="41"/>
      <c r="E190" s="41"/>
      <c r="F190" s="41"/>
      <c r="G190" s="41"/>
      <c r="H190" s="41"/>
      <c r="I190" s="41"/>
      <c r="J190" s="41"/>
      <c r="K190" s="41"/>
      <c r="L190" s="41"/>
      <c r="M190" s="41"/>
      <c r="N190" s="41"/>
      <c r="O190" s="41"/>
      <c r="P190" s="41"/>
      <c r="Q190" s="41"/>
      <c r="R190" s="41"/>
      <c r="S190" s="41"/>
      <c r="T190" s="41"/>
      <c r="U190" s="41"/>
      <c r="V190" s="41"/>
      <c r="W190" s="41"/>
      <c r="X190" s="41"/>
    </row>
    <row r="191" spans="1:24" ht="15.6">
      <c r="A191" s="40"/>
      <c r="B191" s="27"/>
      <c r="C191" s="29"/>
      <c r="D191" s="41"/>
      <c r="E191" s="41"/>
      <c r="F191" s="41"/>
      <c r="G191" s="41"/>
      <c r="H191" s="41"/>
      <c r="I191" s="41"/>
      <c r="J191" s="41"/>
      <c r="K191" s="41"/>
      <c r="L191" s="41"/>
      <c r="M191" s="41"/>
      <c r="N191" s="41"/>
      <c r="O191" s="41"/>
      <c r="P191" s="41"/>
      <c r="Q191" s="41"/>
      <c r="R191" s="41"/>
      <c r="S191" s="41"/>
      <c r="T191" s="41"/>
      <c r="U191" s="41"/>
      <c r="V191" s="41"/>
      <c r="W191" s="41"/>
      <c r="X191" s="41"/>
    </row>
    <row r="192" spans="1:24" ht="15.6">
      <c r="A192" s="40"/>
      <c r="B192" s="27"/>
      <c r="C192" s="29"/>
      <c r="D192" s="41"/>
      <c r="E192" s="41"/>
      <c r="F192" s="41"/>
      <c r="G192" s="41"/>
      <c r="H192" s="41"/>
      <c r="I192" s="41"/>
      <c r="J192" s="41"/>
      <c r="K192" s="41"/>
      <c r="L192" s="41"/>
      <c r="M192" s="41"/>
      <c r="N192" s="41"/>
      <c r="O192" s="41"/>
      <c r="P192" s="41"/>
      <c r="Q192" s="41"/>
      <c r="R192" s="41"/>
      <c r="S192" s="41"/>
      <c r="T192" s="41"/>
      <c r="U192" s="41"/>
      <c r="V192" s="41"/>
      <c r="W192" s="41"/>
      <c r="X192" s="41"/>
    </row>
    <row r="193" spans="1:24" ht="15.6">
      <c r="A193" s="40"/>
      <c r="B193" s="27"/>
      <c r="C193" s="29"/>
      <c r="D193" s="41"/>
      <c r="E193" s="41"/>
      <c r="F193" s="41"/>
      <c r="G193" s="41"/>
      <c r="H193" s="41"/>
      <c r="I193" s="41"/>
      <c r="J193" s="41"/>
      <c r="K193" s="41"/>
      <c r="L193" s="41"/>
      <c r="M193" s="41"/>
      <c r="N193" s="41"/>
      <c r="O193" s="41"/>
      <c r="P193" s="41"/>
      <c r="Q193" s="41"/>
      <c r="R193" s="41"/>
      <c r="S193" s="41"/>
      <c r="T193" s="41"/>
      <c r="U193" s="41"/>
      <c r="V193" s="41"/>
      <c r="W193" s="41"/>
      <c r="X193" s="41"/>
    </row>
    <row r="194" spans="1:24" ht="15.6">
      <c r="A194" s="40"/>
      <c r="B194" s="27"/>
      <c r="C194" s="29"/>
      <c r="D194" s="41"/>
      <c r="E194" s="41"/>
      <c r="F194" s="41"/>
      <c r="G194" s="41"/>
      <c r="H194" s="41"/>
      <c r="I194" s="41"/>
      <c r="J194" s="41"/>
      <c r="K194" s="41"/>
      <c r="L194" s="41"/>
      <c r="M194" s="41"/>
      <c r="N194" s="41"/>
      <c r="O194" s="41"/>
      <c r="P194" s="41"/>
      <c r="Q194" s="41"/>
      <c r="R194" s="41"/>
      <c r="S194" s="41"/>
      <c r="T194" s="41"/>
      <c r="U194" s="41"/>
      <c r="V194" s="41"/>
      <c r="W194" s="41"/>
      <c r="X194" s="41"/>
    </row>
    <row r="195" spans="1:24" ht="15.6">
      <c r="A195" s="40"/>
      <c r="B195" s="27"/>
      <c r="C195" s="29"/>
      <c r="D195" s="41"/>
      <c r="E195" s="41"/>
      <c r="F195" s="41"/>
      <c r="G195" s="41"/>
      <c r="H195" s="41"/>
      <c r="I195" s="41"/>
      <c r="J195" s="41"/>
      <c r="K195" s="41"/>
      <c r="L195" s="41"/>
      <c r="M195" s="41"/>
      <c r="N195" s="41"/>
      <c r="O195" s="41"/>
      <c r="P195" s="41"/>
      <c r="Q195" s="41"/>
      <c r="R195" s="41"/>
      <c r="S195" s="41"/>
      <c r="T195" s="41"/>
      <c r="U195" s="41"/>
      <c r="V195" s="41"/>
      <c r="W195" s="41"/>
      <c r="X195" s="41"/>
    </row>
    <row r="196" spans="1:24" ht="15.6">
      <c r="A196" s="40"/>
      <c r="B196" s="27"/>
      <c r="C196" s="29"/>
      <c r="D196" s="41"/>
      <c r="E196" s="41"/>
      <c r="F196" s="41"/>
      <c r="G196" s="41"/>
      <c r="H196" s="41"/>
      <c r="I196" s="41"/>
      <c r="J196" s="41"/>
      <c r="K196" s="41"/>
      <c r="L196" s="41"/>
      <c r="M196" s="41"/>
      <c r="N196" s="41"/>
      <c r="O196" s="41"/>
      <c r="P196" s="41"/>
      <c r="Q196" s="41"/>
      <c r="R196" s="41"/>
      <c r="S196" s="41"/>
      <c r="T196" s="41"/>
      <c r="U196" s="41"/>
      <c r="V196" s="41"/>
      <c r="W196" s="41"/>
      <c r="X196" s="41"/>
    </row>
    <row r="197" spans="1:24" ht="15.6">
      <c r="A197" s="40"/>
      <c r="B197" s="27"/>
      <c r="C197" s="29"/>
      <c r="D197" s="41"/>
      <c r="E197" s="41"/>
      <c r="F197" s="41"/>
      <c r="G197" s="41"/>
      <c r="H197" s="41"/>
      <c r="I197" s="41"/>
      <c r="J197" s="41"/>
      <c r="K197" s="41"/>
      <c r="L197" s="41"/>
      <c r="M197" s="41"/>
      <c r="N197" s="41"/>
      <c r="O197" s="41"/>
      <c r="P197" s="41"/>
      <c r="Q197" s="41"/>
      <c r="R197" s="41"/>
      <c r="S197" s="41"/>
      <c r="T197" s="41"/>
      <c r="U197" s="41"/>
      <c r="V197" s="41"/>
      <c r="W197" s="41"/>
      <c r="X197" s="41"/>
    </row>
    <row r="198" spans="1:24" ht="15.6">
      <c r="A198" s="40"/>
      <c r="B198" s="27"/>
      <c r="C198" s="29"/>
      <c r="D198" s="41"/>
      <c r="E198" s="41"/>
      <c r="F198" s="41"/>
      <c r="G198" s="41"/>
      <c r="H198" s="41"/>
      <c r="I198" s="41"/>
      <c r="J198" s="41"/>
      <c r="K198" s="41"/>
      <c r="L198" s="41"/>
      <c r="M198" s="41"/>
      <c r="N198" s="41"/>
      <c r="O198" s="41"/>
      <c r="P198" s="41"/>
      <c r="Q198" s="41"/>
      <c r="R198" s="41"/>
      <c r="S198" s="41"/>
      <c r="T198" s="41"/>
      <c r="U198" s="41"/>
      <c r="V198" s="41"/>
      <c r="W198" s="41"/>
      <c r="X198" s="41"/>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E7"/>
  <sheetViews>
    <sheetView workbookViewId="0">
      <selection activeCell="B2" sqref="B2"/>
    </sheetView>
  </sheetViews>
  <sheetFormatPr baseColWidth="10" defaultRowHeight="14.4"/>
  <cols>
    <col min="1" max="1" width="9.109375" customWidth="1"/>
    <col min="2" max="2" width="37.88671875" customWidth="1"/>
    <col min="3" max="3" width="23" customWidth="1"/>
    <col min="4" max="4" width="17" customWidth="1"/>
    <col min="5" max="5" width="29.33203125" customWidth="1"/>
  </cols>
  <sheetData>
    <row r="1" spans="1:5">
      <c r="B1" s="47" t="s">
        <v>289</v>
      </c>
      <c r="C1" s="1"/>
      <c r="D1" s="1"/>
      <c r="E1" s="1"/>
    </row>
    <row r="2" spans="1:5">
      <c r="B2" s="47">
        <v>10077584</v>
      </c>
      <c r="C2" s="1"/>
      <c r="D2" s="1"/>
      <c r="E2" s="1"/>
    </row>
    <row r="3" spans="1:5">
      <c r="B3" s="1"/>
      <c r="C3" s="1"/>
      <c r="D3" s="1"/>
      <c r="E3" s="1"/>
    </row>
    <row r="4" spans="1:5">
      <c r="B4" s="48" t="s">
        <v>270</v>
      </c>
      <c r="C4" s="48" t="s">
        <v>271</v>
      </c>
      <c r="D4" s="49" t="s">
        <v>272</v>
      </c>
      <c r="E4" s="48" t="s">
        <v>273</v>
      </c>
    </row>
    <row r="5" spans="1:5" s="117" customFormat="1">
      <c r="A5" s="114"/>
      <c r="B5" s="115"/>
      <c r="C5" s="102"/>
      <c r="D5" s="116"/>
      <c r="E5" s="102"/>
    </row>
    <row r="6" spans="1:5" s="117" customFormat="1">
      <c r="A6" s="114"/>
      <c r="B6" s="115"/>
      <c r="C6" s="102"/>
      <c r="D6" s="116"/>
      <c r="E6" s="102"/>
    </row>
    <row r="7" spans="1:5">
      <c r="D7" s="101">
        <f>SUM(D5:D6)</f>
        <v>0</v>
      </c>
    </row>
  </sheetData>
  <sheetProtection selectLockedCells="1" selectUnlockedCells="1"/>
  <pageMargins left="0.15763888888888888" right="3.9583333333333331E-2" top="0.74791666666666667" bottom="0.74791666666666667" header="0.51180555555555551" footer="0.51180555555555551"/>
  <pageSetup scale="80"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pageSetUpPr fitToPage="1"/>
  </sheetPr>
  <dimension ref="A1:I29"/>
  <sheetViews>
    <sheetView showGridLines="0" zoomScaleNormal="100" zoomScaleSheetLayoutView="95" workbookViewId="0">
      <selection activeCell="C21" sqref="C21"/>
    </sheetView>
  </sheetViews>
  <sheetFormatPr baseColWidth="10" defaultColWidth="9.109375" defaultRowHeight="14.4"/>
  <cols>
    <col min="1" max="1" width="47" style="186" customWidth="1"/>
    <col min="2" max="2" width="14.88671875" style="130" customWidth="1"/>
    <col min="3" max="3" width="10.33203125" style="130" customWidth="1"/>
    <col min="4" max="4" width="9.109375" style="130"/>
    <col min="5" max="5" width="15.33203125" style="130" customWidth="1"/>
    <col min="6" max="6" width="16.5546875" style="130" customWidth="1"/>
    <col min="7" max="7" width="17.33203125" style="131" customWidth="1"/>
    <col min="8" max="8" width="21.6640625" style="130" customWidth="1"/>
    <col min="9" max="16384" width="9.109375" style="130"/>
  </cols>
  <sheetData>
    <row r="1" spans="1:8" ht="15.6">
      <c r="A1" s="129" t="s">
        <v>391</v>
      </c>
    </row>
    <row r="2" spans="1:8">
      <c r="A2" s="186" t="s">
        <v>392</v>
      </c>
    </row>
    <row r="3" spans="1:8">
      <c r="A3" s="186" t="s">
        <v>393</v>
      </c>
      <c r="B3" s="232">
        <v>46170</v>
      </c>
    </row>
    <row r="5" spans="1:8">
      <c r="A5" s="187" t="s">
        <v>394</v>
      </c>
      <c r="B5" s="132" t="s">
        <v>48</v>
      </c>
      <c r="C5" s="133" t="s">
        <v>395</v>
      </c>
      <c r="D5" s="132" t="s">
        <v>396</v>
      </c>
      <c r="E5" s="133" t="s">
        <v>225</v>
      </c>
      <c r="F5" s="132" t="s">
        <v>397</v>
      </c>
      <c r="G5" s="134" t="s">
        <v>398</v>
      </c>
      <c r="H5" s="132" t="s">
        <v>398</v>
      </c>
    </row>
    <row r="6" spans="1:8">
      <c r="A6" s="188" t="s">
        <v>399</v>
      </c>
      <c r="B6" s="135"/>
      <c r="C6" s="136" t="s">
        <v>400</v>
      </c>
      <c r="D6" s="135"/>
      <c r="E6" s="136" t="s">
        <v>401</v>
      </c>
      <c r="F6" s="135" t="s">
        <v>402</v>
      </c>
      <c r="G6" s="137"/>
      <c r="H6" s="135" t="s">
        <v>130</v>
      </c>
    </row>
    <row r="7" spans="1:8" ht="9.75" customHeight="1"/>
    <row r="8" spans="1:8" ht="15.6">
      <c r="A8" s="129" t="s">
        <v>702</v>
      </c>
    </row>
    <row r="9" spans="1:8">
      <c r="A9" s="979" t="s">
        <v>419</v>
      </c>
      <c r="B9" s="171" t="s">
        <v>715</v>
      </c>
      <c r="C9" s="171" t="s">
        <v>716</v>
      </c>
      <c r="D9" s="171"/>
      <c r="E9" s="171"/>
      <c r="F9" s="171" t="s">
        <v>227</v>
      </c>
      <c r="G9" s="1255">
        <v>5993.34</v>
      </c>
      <c r="H9" s="273"/>
    </row>
    <row r="10" spans="1:8">
      <c r="A10" t="s">
        <v>749</v>
      </c>
      <c r="B10" s="171" t="s">
        <v>715</v>
      </c>
      <c r="C10" s="171" t="s">
        <v>716</v>
      </c>
      <c r="D10" s="171"/>
      <c r="E10" s="171"/>
      <c r="F10" s="171" t="s">
        <v>227</v>
      </c>
      <c r="G10" s="1255">
        <v>2049.88</v>
      </c>
      <c r="H10" s="131"/>
    </row>
    <row r="11" spans="1:8" s="150" customFormat="1" ht="14.4" customHeight="1">
      <c r="A11" s="979" t="s">
        <v>778</v>
      </c>
      <c r="B11" s="171" t="s">
        <v>715</v>
      </c>
      <c r="C11" s="171" t="s">
        <v>716</v>
      </c>
      <c r="D11" s="171"/>
      <c r="E11" s="171"/>
      <c r="F11" s="171" t="s">
        <v>227</v>
      </c>
      <c r="G11" s="1255">
        <v>2705.99</v>
      </c>
    </row>
    <row r="12" spans="1:8">
      <c r="B12" s="171"/>
      <c r="C12" s="171"/>
      <c r="D12" s="171"/>
      <c r="E12" s="171"/>
      <c r="F12" s="171"/>
      <c r="G12" s="1255"/>
    </row>
    <row r="13" spans="1:8">
      <c r="B13" s="171"/>
      <c r="C13" s="171"/>
      <c r="D13" s="171"/>
      <c r="E13" s="171"/>
      <c r="F13" s="171"/>
      <c r="G13" s="234"/>
      <c r="H13" s="273">
        <f>+G9+G10+G11+G12+G13</f>
        <v>10749.21</v>
      </c>
    </row>
    <row r="14" spans="1:8">
      <c r="B14" s="171"/>
      <c r="C14" s="171"/>
      <c r="D14" s="171"/>
      <c r="E14" s="171"/>
      <c r="F14" s="171"/>
      <c r="G14" s="234"/>
      <c r="H14" s="273"/>
    </row>
    <row r="15" spans="1:8">
      <c r="B15" s="171"/>
      <c r="C15" s="171"/>
      <c r="D15" s="171"/>
      <c r="E15" s="171"/>
      <c r="F15" s="171"/>
      <c r="G15" s="234"/>
      <c r="H15" s="273"/>
    </row>
    <row r="16" spans="1:8">
      <c r="B16" s="171"/>
      <c r="C16" s="171"/>
      <c r="D16" s="171"/>
      <c r="E16" s="171"/>
      <c r="F16" s="171"/>
      <c r="G16" s="234"/>
      <c r="H16" s="273"/>
    </row>
    <row r="17" spans="1:9" ht="15" thickBot="1">
      <c r="B17" s="171"/>
      <c r="C17" s="171"/>
      <c r="D17" s="171"/>
      <c r="E17" s="171"/>
      <c r="F17" s="171"/>
      <c r="G17" s="250" t="s">
        <v>129</v>
      </c>
      <c r="H17" s="706"/>
    </row>
    <row r="18" spans="1:9" ht="24" customHeight="1" thickTop="1">
      <c r="A18" s="1001" t="s">
        <v>701</v>
      </c>
      <c r="G18" s="250"/>
      <c r="H18" s="944">
        <f>+H13</f>
        <v>10749.21</v>
      </c>
    </row>
    <row r="19" spans="1:9" ht="24" customHeight="1">
      <c r="A19" s="281"/>
    </row>
    <row r="20" spans="1:9" ht="12.75" customHeight="1"/>
    <row r="21" spans="1:9" ht="12.75" customHeight="1"/>
    <row r="22" spans="1:9">
      <c r="A22" s="130"/>
      <c r="H22" s="138"/>
    </row>
    <row r="23" spans="1:9">
      <c r="A23" s="130"/>
      <c r="H23" s="138"/>
    </row>
    <row r="24" spans="1:9">
      <c r="A24" s="130"/>
      <c r="F24" s="139"/>
      <c r="G24" s="139"/>
      <c r="H24" s="139"/>
      <c r="I24" s="139"/>
    </row>
    <row r="25" spans="1:9">
      <c r="A25" s="186" t="s">
        <v>403</v>
      </c>
      <c r="F25" s="155" t="s">
        <v>483</v>
      </c>
      <c r="G25" s="138"/>
    </row>
    <row r="27" spans="1:9">
      <c r="C27" s="131"/>
    </row>
    <row r="29" spans="1:9">
      <c r="B29" s="150"/>
      <c r="C29" s="150"/>
      <c r="D29" s="150"/>
      <c r="E29" s="150"/>
      <c r="F29" s="150"/>
      <c r="G29" s="151"/>
      <c r="H29" s="150"/>
    </row>
  </sheetData>
  <conditionalFormatting sqref="A9">
    <cfRule type="duplicateValues" dxfId="200" priority="4"/>
    <cfRule type="duplicateValues" dxfId="199" priority="5"/>
    <cfRule type="duplicateValues" dxfId="198" priority="6"/>
  </conditionalFormatting>
  <conditionalFormatting sqref="A11">
    <cfRule type="duplicateValues" dxfId="197" priority="1"/>
    <cfRule type="duplicateValues" dxfId="196" priority="2"/>
    <cfRule type="duplicateValues" dxfId="195" priority="3"/>
  </conditionalFormatting>
  <conditionalFormatting sqref="A25:A1048576 A1:A8">
    <cfRule type="duplicateValues" dxfId="194" priority="845"/>
  </conditionalFormatting>
  <pageMargins left="0.59055118110236227" right="0.19685039370078741" top="0.19685039370078741" bottom="0.19685039370078741" header="0.31496062992125984" footer="0.31496062992125984"/>
  <pageSetup scale="80" fitToHeight="0" orientation="landscape"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tabColor rgb="FFFF0000"/>
  </sheetPr>
  <dimension ref="A1:K41"/>
  <sheetViews>
    <sheetView showGridLines="0" view="pageBreakPreview" topLeftCell="A25" zoomScale="83" zoomScaleNormal="80" zoomScaleSheetLayoutView="83" workbookViewId="0">
      <selection activeCell="E32" sqref="E32"/>
    </sheetView>
  </sheetViews>
  <sheetFormatPr baseColWidth="10" defaultColWidth="9.109375" defaultRowHeight="18"/>
  <cols>
    <col min="1" max="1" width="46.88671875" style="141" customWidth="1"/>
    <col min="2" max="2" width="17.88671875" style="160" customWidth="1"/>
    <col min="3" max="3" width="11.33203125" style="160" customWidth="1"/>
    <col min="4" max="4" width="13.5546875" style="164" customWidth="1"/>
    <col min="5" max="5" width="15.88671875" style="157" customWidth="1"/>
    <col min="6" max="6" width="9.109375" style="160"/>
    <col min="7" max="7" width="18.6640625" style="160" customWidth="1"/>
    <col min="8" max="8" width="16.44140625" style="160" bestFit="1" customWidth="1"/>
    <col min="9" max="9" width="20.109375" style="166" bestFit="1" customWidth="1"/>
    <col min="10" max="10" width="25.44140625" style="160" customWidth="1"/>
    <col min="11" max="11" width="15.44140625" style="169" customWidth="1"/>
    <col min="12" max="16384" width="9.109375" style="141"/>
  </cols>
  <sheetData>
    <row r="1" spans="1:11">
      <c r="A1" s="140" t="s">
        <v>391</v>
      </c>
    </row>
    <row r="2" spans="1:11">
      <c r="A2" s="141" t="s">
        <v>392</v>
      </c>
    </row>
    <row r="3" spans="1:11">
      <c r="A3" s="141" t="s">
        <v>393</v>
      </c>
      <c r="B3" s="233">
        <v>46171</v>
      </c>
    </row>
    <row r="4" spans="1:11" ht="19.5" customHeight="1">
      <c r="A4" s="142" t="s">
        <v>394</v>
      </c>
      <c r="B4" s="174" t="s">
        <v>48</v>
      </c>
      <c r="C4" s="219" t="s">
        <v>395</v>
      </c>
      <c r="D4" s="1383" t="s">
        <v>494</v>
      </c>
      <c r="E4" s="1384" t="s">
        <v>404</v>
      </c>
      <c r="F4" s="174" t="s">
        <v>396</v>
      </c>
      <c r="G4" s="220" t="s">
        <v>225</v>
      </c>
      <c r="H4" s="174" t="s">
        <v>397</v>
      </c>
      <c r="I4" s="221" t="s">
        <v>398</v>
      </c>
      <c r="J4" s="174" t="s">
        <v>398</v>
      </c>
    </row>
    <row r="5" spans="1:11" ht="14.25" customHeight="1">
      <c r="A5" s="143" t="s">
        <v>399</v>
      </c>
      <c r="B5" s="175" t="s">
        <v>52</v>
      </c>
      <c r="C5" s="222" t="s">
        <v>400</v>
      </c>
      <c r="D5" s="1383"/>
      <c r="E5" s="1385"/>
      <c r="F5" s="175"/>
      <c r="G5" s="223" t="s">
        <v>401</v>
      </c>
      <c r="H5" s="175" t="s">
        <v>402</v>
      </c>
      <c r="I5" s="224"/>
      <c r="J5" s="175" t="s">
        <v>130</v>
      </c>
    </row>
    <row r="6" spans="1:11">
      <c r="A6" s="140" t="s">
        <v>699</v>
      </c>
      <c r="I6" s="225"/>
    </row>
    <row r="7" spans="1:11" ht="18.600000000000001" thickBot="1">
      <c r="A7" s="263" t="s">
        <v>405</v>
      </c>
      <c r="B7" s="193"/>
      <c r="C7" s="194"/>
      <c r="D7" s="272">
        <v>409</v>
      </c>
      <c r="E7" s="272">
        <v>412</v>
      </c>
      <c r="F7" s="194" t="s">
        <v>224</v>
      </c>
      <c r="G7" s="264" t="s">
        <v>700</v>
      </c>
      <c r="H7" s="227" t="s">
        <v>407</v>
      </c>
      <c r="I7" s="230">
        <v>158348.78999999998</v>
      </c>
      <c r="J7" s="196"/>
      <c r="K7" s="170" t="e">
        <f>#REF!</f>
        <v>#REF!</v>
      </c>
    </row>
    <row r="8" spans="1:11" ht="18.600000000000001" thickTop="1">
      <c r="A8" s="979" t="s">
        <v>419</v>
      </c>
      <c r="B8" s="157" t="s">
        <v>11</v>
      </c>
      <c r="C8" s="158" t="s">
        <v>668</v>
      </c>
      <c r="F8" s="158"/>
      <c r="G8" s="158"/>
      <c r="H8" s="165" t="s">
        <v>223</v>
      </c>
      <c r="I8" s="166">
        <v>5993.34</v>
      </c>
      <c r="J8" s="176"/>
      <c r="K8" s="170"/>
    </row>
    <row r="9" spans="1:11">
      <c r="A9" s="979" t="s">
        <v>749</v>
      </c>
      <c r="B9" s="157" t="s">
        <v>11</v>
      </c>
      <c r="C9" s="158" t="s">
        <v>668</v>
      </c>
      <c r="F9" s="158"/>
      <c r="G9" s="158"/>
      <c r="H9" s="165" t="s">
        <v>223</v>
      </c>
      <c r="I9" s="166">
        <v>2049.88</v>
      </c>
      <c r="J9" s="166"/>
    </row>
    <row r="10" spans="1:11">
      <c r="A10" s="160" t="s">
        <v>778</v>
      </c>
      <c r="B10" s="157" t="s">
        <v>11</v>
      </c>
      <c r="C10" s="158" t="s">
        <v>668</v>
      </c>
      <c r="F10" s="158"/>
      <c r="G10" s="158"/>
      <c r="H10" s="165" t="s">
        <v>223</v>
      </c>
      <c r="I10" s="166">
        <v>2705.99</v>
      </c>
    </row>
    <row r="11" spans="1:11">
      <c r="A11" s="160"/>
      <c r="B11" s="157"/>
      <c r="C11" s="158"/>
      <c r="F11" s="158"/>
      <c r="G11" s="158"/>
      <c r="H11" s="165"/>
      <c r="J11" s="177"/>
    </row>
    <row r="12" spans="1:11">
      <c r="A12" s="160"/>
      <c r="B12" s="157"/>
      <c r="C12" s="158"/>
      <c r="F12" s="158"/>
      <c r="G12" s="158"/>
      <c r="H12" s="165"/>
      <c r="J12" s="177"/>
    </row>
    <row r="13" spans="1:11">
      <c r="A13" s="160" t="s">
        <v>52</v>
      </c>
      <c r="B13" s="157" t="s">
        <v>52</v>
      </c>
      <c r="C13" s="158" t="s">
        <v>52</v>
      </c>
      <c r="F13" s="158"/>
      <c r="G13" s="158"/>
      <c r="H13" s="165" t="s">
        <v>52</v>
      </c>
      <c r="I13" s="166" t="s">
        <v>52</v>
      </c>
      <c r="J13" s="177">
        <f>+I8+I9+I10+I11+I12</f>
        <v>10749.21</v>
      </c>
    </row>
    <row r="14" spans="1:11">
      <c r="A14" s="160"/>
      <c r="B14" s="157"/>
      <c r="C14" s="158"/>
      <c r="F14" s="158"/>
      <c r="G14" s="158"/>
      <c r="H14" s="165"/>
      <c r="I14" s="228"/>
      <c r="J14" s="177"/>
    </row>
    <row r="15" spans="1:11">
      <c r="A15" s="160"/>
      <c r="B15" s="157"/>
      <c r="C15" s="158"/>
      <c r="F15" s="158"/>
      <c r="G15" s="158"/>
      <c r="H15" s="165"/>
      <c r="I15" s="228"/>
      <c r="J15" s="177"/>
    </row>
    <row r="16" spans="1:11">
      <c r="A16" s="161"/>
      <c r="B16" s="157"/>
      <c r="C16" s="158"/>
      <c r="F16" s="158"/>
      <c r="G16" s="158"/>
      <c r="J16" s="178"/>
    </row>
    <row r="17" spans="1:11" ht="18.600000000000001" thickBot="1">
      <c r="A17" s="263"/>
      <c r="B17" s="193"/>
      <c r="C17" s="194"/>
      <c r="D17" s="229"/>
      <c r="E17" s="272"/>
      <c r="F17" s="194"/>
      <c r="G17" s="264"/>
      <c r="H17" s="227"/>
      <c r="I17" s="230"/>
      <c r="J17" s="195"/>
    </row>
    <row r="18" spans="1:11" ht="18.600000000000001" thickTop="1">
      <c r="A18" s="159"/>
      <c r="B18" s="157"/>
      <c r="C18" s="158"/>
      <c r="F18" s="158"/>
      <c r="H18" s="165"/>
      <c r="J18" s="951"/>
      <c r="K18" s="170"/>
    </row>
    <row r="19" spans="1:11">
      <c r="A19" s="159"/>
      <c r="B19" s="157"/>
      <c r="C19" s="158"/>
      <c r="F19" s="158"/>
      <c r="H19" s="165"/>
      <c r="J19" s="970"/>
      <c r="K19" s="170"/>
    </row>
    <row r="20" spans="1:11">
      <c r="A20" s="159"/>
      <c r="B20" s="157"/>
      <c r="C20" s="158"/>
      <c r="F20" s="158"/>
      <c r="H20" s="165"/>
      <c r="J20" s="179"/>
      <c r="K20" s="170"/>
    </row>
    <row r="21" spans="1:11">
      <c r="A21" s="160"/>
      <c r="B21" s="157"/>
      <c r="C21" s="158"/>
      <c r="F21" s="158"/>
      <c r="H21" s="165"/>
      <c r="J21" s="179"/>
      <c r="K21" s="170"/>
    </row>
    <row r="22" spans="1:11" ht="18.600000000000001" thickBot="1">
      <c r="A22" s="160"/>
      <c r="I22" s="160"/>
      <c r="J22" s="180">
        <f>+I17+J19</f>
        <v>0</v>
      </c>
      <c r="K22" s="170" t="e">
        <f>#REF!-#REF!</f>
        <v>#REF!</v>
      </c>
    </row>
    <row r="23" spans="1:11" ht="12" customHeight="1" thickTop="1">
      <c r="A23" s="160"/>
      <c r="J23" s="178"/>
    </row>
    <row r="24" spans="1:11" ht="15.75" customHeight="1" thickBot="1">
      <c r="A24" s="160"/>
      <c r="I24" s="166" t="s">
        <v>129</v>
      </c>
      <c r="J24" s="181">
        <f>+J13+I7</f>
        <v>169097.99999999997</v>
      </c>
    </row>
    <row r="25" spans="1:11" ht="18.600000000000001" thickTop="1">
      <c r="A25" s="160"/>
      <c r="J25" s="182"/>
    </row>
    <row r="26" spans="1:11" ht="15.9" customHeight="1"/>
    <row r="27" spans="1:11" ht="15.9" customHeight="1"/>
    <row r="28" spans="1:11" ht="15.9" customHeight="1"/>
    <row r="29" spans="1:11" ht="15.9" customHeight="1">
      <c r="A29" s="160"/>
      <c r="J29" s="182"/>
    </row>
    <row r="30" spans="1:11" ht="15.9" customHeight="1" thickBot="1">
      <c r="A30" s="162"/>
      <c r="B30" s="162"/>
      <c r="H30" s="162"/>
      <c r="I30" s="231"/>
      <c r="J30" s="183"/>
    </row>
    <row r="31" spans="1:11" ht="15.9" customHeight="1">
      <c r="A31" s="160" t="s">
        <v>559</v>
      </c>
      <c r="H31" s="160" t="s">
        <v>551</v>
      </c>
      <c r="I31" s="160"/>
      <c r="J31" s="166"/>
    </row>
    <row r="32" spans="1:11" ht="15.9" customHeight="1">
      <c r="J32" s="184"/>
    </row>
    <row r="33" spans="1:10" ht="15.9" customHeight="1"/>
    <row r="34" spans="1:10" ht="15.9" customHeight="1"/>
    <row r="35" spans="1:10" ht="15.9" customHeight="1"/>
    <row r="36" spans="1:10" ht="15.9" customHeight="1">
      <c r="C36" s="228"/>
      <c r="D36" s="184"/>
      <c r="I36" s="228"/>
    </row>
    <row r="37" spans="1:10" ht="15.9" customHeight="1" thickBot="1">
      <c r="A37" s="156"/>
      <c r="B37" s="162"/>
      <c r="D37" s="184"/>
      <c r="H37" s="162"/>
      <c r="I37" s="162"/>
      <c r="J37" s="162"/>
    </row>
    <row r="38" spans="1:10">
      <c r="A38" s="141" t="s">
        <v>408</v>
      </c>
      <c r="C38" s="228"/>
      <c r="D38" s="160"/>
      <c r="H38" s="160" t="s">
        <v>409</v>
      </c>
      <c r="I38" s="160"/>
    </row>
    <row r="39" spans="1:10">
      <c r="I39" s="228"/>
    </row>
    <row r="40" spans="1:10">
      <c r="B40" s="1386" t="s">
        <v>530</v>
      </c>
      <c r="C40" s="1386"/>
      <c r="D40" s="1386"/>
      <c r="E40" s="261">
        <f>B3</f>
        <v>46171</v>
      </c>
      <c r="F40" s="1188" t="s">
        <v>785</v>
      </c>
      <c r="G40" s="262"/>
      <c r="H40" s="259"/>
      <c r="I40" s="189"/>
      <c r="J40" s="185"/>
    </row>
    <row r="41" spans="1:10">
      <c r="A41" s="260"/>
      <c r="B41" s="260"/>
      <c r="C41" s="260"/>
      <c r="D41" s="260"/>
      <c r="E41" s="260"/>
      <c r="F41" s="971"/>
      <c r="G41" s="260"/>
      <c r="I41" s="185"/>
    </row>
  </sheetData>
  <mergeCells count="3">
    <mergeCell ref="D4:D5"/>
    <mergeCell ref="E4:E5"/>
    <mergeCell ref="B40:D40"/>
  </mergeCells>
  <conditionalFormatting sqref="A8:A9">
    <cfRule type="duplicateValues" dxfId="193" priority="1"/>
    <cfRule type="duplicateValues" dxfId="192" priority="2"/>
    <cfRule type="duplicateValues" dxfId="191" priority="3"/>
  </conditionalFormatting>
  <pageMargins left="0.59055118110236227" right="0.19685039370078741" top="0.19685039370078741" bottom="0.19685039370078741" header="0.31496062992125984" footer="0.31496062992125984"/>
  <pageSetup scale="59" fitToHeight="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tabColor rgb="FFFF0000"/>
  </sheetPr>
  <dimension ref="A1:K41"/>
  <sheetViews>
    <sheetView showGridLines="0" view="pageBreakPreview" zoomScale="80" zoomScaleNormal="80" zoomScaleSheetLayoutView="80" workbookViewId="0">
      <selection activeCell="E13" sqref="E13"/>
    </sheetView>
  </sheetViews>
  <sheetFormatPr baseColWidth="10" defaultColWidth="9.109375" defaultRowHeight="18"/>
  <cols>
    <col min="1" max="1" width="46.88671875" style="141" customWidth="1"/>
    <col min="2" max="2" width="17.88671875" style="160" customWidth="1"/>
    <col min="3" max="3" width="11.33203125" style="160" customWidth="1"/>
    <col min="4" max="4" width="13.5546875" style="164" customWidth="1"/>
    <col min="5" max="5" width="15.88671875" style="157" customWidth="1"/>
    <col min="6" max="6" width="9.109375" style="160"/>
    <col min="7" max="7" width="14" style="160" customWidth="1"/>
    <col min="8" max="8" width="16.44140625" style="160" bestFit="1" customWidth="1"/>
    <col min="9" max="9" width="20.109375" style="166" bestFit="1" customWidth="1"/>
    <col min="10" max="10" width="25.44140625" style="160" customWidth="1"/>
    <col min="11" max="11" width="15.44140625" style="169" customWidth="1"/>
    <col min="12" max="16384" width="9.109375" style="141"/>
  </cols>
  <sheetData>
    <row r="1" spans="1:11">
      <c r="A1" s="140" t="s">
        <v>11</v>
      </c>
    </row>
    <row r="2" spans="1:11">
      <c r="A2" s="141" t="s">
        <v>392</v>
      </c>
    </row>
    <row r="3" spans="1:11">
      <c r="A3" s="141" t="s">
        <v>393</v>
      </c>
      <c r="B3" s="233">
        <v>45797</v>
      </c>
    </row>
    <row r="4" spans="1:11" ht="19.5" customHeight="1">
      <c r="A4" s="142" t="s">
        <v>394</v>
      </c>
      <c r="B4" s="174" t="s">
        <v>48</v>
      </c>
      <c r="C4" s="219" t="s">
        <v>395</v>
      </c>
      <c r="D4" s="1383" t="s">
        <v>494</v>
      </c>
      <c r="E4" s="1384" t="s">
        <v>404</v>
      </c>
      <c r="F4" s="174" t="s">
        <v>396</v>
      </c>
      <c r="G4" s="220" t="s">
        <v>225</v>
      </c>
      <c r="H4" s="174" t="s">
        <v>397</v>
      </c>
      <c r="I4" s="221" t="s">
        <v>398</v>
      </c>
      <c r="J4" s="174" t="s">
        <v>398</v>
      </c>
    </row>
    <row r="5" spans="1:11" ht="14.25" customHeight="1">
      <c r="A5" s="143" t="s">
        <v>399</v>
      </c>
      <c r="B5" s="175" t="s">
        <v>52</v>
      </c>
      <c r="C5" s="222" t="s">
        <v>400</v>
      </c>
      <c r="D5" s="1383"/>
      <c r="E5" s="1385"/>
      <c r="F5" s="175"/>
      <c r="G5" s="223" t="s">
        <v>401</v>
      </c>
      <c r="H5" s="175" t="s">
        <v>402</v>
      </c>
      <c r="I5" s="224"/>
      <c r="J5" s="175" t="s">
        <v>130</v>
      </c>
    </row>
    <row r="6" spans="1:11">
      <c r="A6" s="140" t="s">
        <v>699</v>
      </c>
      <c r="I6" s="225"/>
    </row>
    <row r="7" spans="1:11" ht="18.600000000000001" thickBot="1">
      <c r="A7" s="263" t="s">
        <v>405</v>
      </c>
      <c r="B7" s="193"/>
      <c r="C7" s="194"/>
      <c r="D7" s="226"/>
      <c r="E7" s="272">
        <v>276</v>
      </c>
      <c r="F7" s="194" t="s">
        <v>224</v>
      </c>
      <c r="G7" s="264" t="s">
        <v>406</v>
      </c>
      <c r="H7" s="227" t="s">
        <v>407</v>
      </c>
      <c r="I7" s="230">
        <v>9889.36</v>
      </c>
      <c r="J7" s="196"/>
      <c r="K7" s="170" t="e">
        <f>#REF!</f>
        <v>#REF!</v>
      </c>
    </row>
    <row r="8" spans="1:11" ht="18.600000000000001" thickTop="1">
      <c r="A8" t="s">
        <v>447</v>
      </c>
      <c r="B8" s="157"/>
      <c r="C8" s="158"/>
      <c r="F8" s="158"/>
      <c r="G8" s="158"/>
      <c r="H8" s="165"/>
      <c r="I8" s="166">
        <v>1085.7</v>
      </c>
      <c r="J8" s="176"/>
      <c r="K8" s="170"/>
    </row>
    <row r="9" spans="1:11">
      <c r="A9" s="950"/>
      <c r="B9" s="157"/>
      <c r="C9" s="158"/>
      <c r="F9" s="158"/>
      <c r="G9" s="158"/>
      <c r="H9" s="165"/>
      <c r="J9" s="953"/>
    </row>
    <row r="10" spans="1:11">
      <c r="A10"/>
      <c r="B10" s="157"/>
      <c r="C10" s="158"/>
      <c r="F10" s="158"/>
      <c r="G10" s="158"/>
      <c r="H10" s="165"/>
      <c r="J10" s="970"/>
    </row>
    <row r="11" spans="1:11">
      <c r="A11"/>
      <c r="B11" s="157"/>
      <c r="C11" s="158"/>
      <c r="F11" s="158"/>
      <c r="G11" s="158"/>
      <c r="H11" s="165"/>
      <c r="J11" s="166"/>
    </row>
    <row r="12" spans="1:11">
      <c r="A12" s="160"/>
      <c r="B12" s="157"/>
      <c r="C12" s="158"/>
      <c r="F12" s="158"/>
      <c r="G12" s="158"/>
      <c r="H12" s="165"/>
      <c r="J12" s="141"/>
    </row>
    <row r="13" spans="1:11">
      <c r="A13" s="160"/>
      <c r="B13" s="157"/>
      <c r="C13" s="158"/>
      <c r="F13" s="158"/>
      <c r="G13" s="158"/>
      <c r="I13" s="228"/>
      <c r="J13" s="177">
        <f>+I7+I8</f>
        <v>10975.060000000001</v>
      </c>
    </row>
    <row r="14" spans="1:11">
      <c r="A14" s="161"/>
      <c r="B14" s="157"/>
      <c r="C14" s="158"/>
      <c r="F14" s="158"/>
      <c r="G14" s="158"/>
      <c r="J14" s="178"/>
    </row>
    <row r="15" spans="1:11" ht="18.600000000000001" thickBot="1">
      <c r="A15" s="263"/>
      <c r="B15" s="193"/>
      <c r="C15" s="194"/>
      <c r="D15" s="229"/>
      <c r="E15" s="272"/>
      <c r="F15" s="194"/>
      <c r="G15" s="264"/>
      <c r="H15" s="227"/>
      <c r="I15" s="230"/>
      <c r="J15" s="195"/>
    </row>
    <row r="16" spans="1:11" ht="18.600000000000001" thickTop="1">
      <c r="A16"/>
      <c r="B16" s="157"/>
      <c r="C16" s="158"/>
      <c r="F16" s="158"/>
      <c r="H16" s="165"/>
      <c r="J16" s="951"/>
      <c r="K16" s="170"/>
    </row>
    <row r="17" spans="1:11">
      <c r="A17" s="159"/>
      <c r="B17" s="157"/>
      <c r="C17" s="158"/>
      <c r="F17" s="158"/>
      <c r="H17" s="165"/>
      <c r="J17" s="951"/>
      <c r="K17" s="170"/>
    </row>
    <row r="18" spans="1:11">
      <c r="A18" s="159"/>
      <c r="B18" s="157"/>
      <c r="C18" s="158"/>
      <c r="F18" s="158"/>
      <c r="H18" s="165"/>
      <c r="J18" s="951"/>
      <c r="K18" s="170"/>
    </row>
    <row r="19" spans="1:11">
      <c r="A19" s="159"/>
      <c r="B19" s="157"/>
      <c r="C19" s="158"/>
      <c r="F19" s="158"/>
      <c r="H19" s="165"/>
      <c r="J19" s="951"/>
      <c r="K19" s="170"/>
    </row>
    <row r="20" spans="1:11">
      <c r="A20" s="159"/>
      <c r="B20" s="157"/>
      <c r="C20" s="158"/>
      <c r="F20" s="158"/>
      <c r="H20" s="165"/>
      <c r="J20" s="179">
        <f>+I16+I17+I18+I19</f>
        <v>0</v>
      </c>
      <c r="K20" s="170"/>
    </row>
    <row r="21" spans="1:11">
      <c r="A21" s="160"/>
      <c r="B21" s="157"/>
      <c r="C21" s="158"/>
      <c r="F21" s="158"/>
      <c r="H21" s="165"/>
      <c r="J21" s="179"/>
      <c r="K21" s="170"/>
    </row>
    <row r="22" spans="1:11" ht="18.600000000000001" thickBot="1">
      <c r="A22" s="160"/>
      <c r="I22" s="160"/>
      <c r="J22" s="180">
        <f>+I15+J20</f>
        <v>0</v>
      </c>
      <c r="K22" s="170" t="e">
        <f>#REF!-#REF!</f>
        <v>#REF!</v>
      </c>
    </row>
    <row r="23" spans="1:11" ht="12" customHeight="1" thickTop="1">
      <c r="A23" s="160"/>
      <c r="J23" s="178"/>
    </row>
    <row r="24" spans="1:11" ht="15.75" customHeight="1" thickBot="1">
      <c r="A24" s="160"/>
      <c r="I24" s="166" t="s">
        <v>129</v>
      </c>
      <c r="J24" s="181">
        <f>+J13+J22</f>
        <v>10975.060000000001</v>
      </c>
    </row>
    <row r="25" spans="1:11" ht="18.600000000000001" thickTop="1">
      <c r="A25" s="160"/>
      <c r="J25" s="182"/>
    </row>
    <row r="26" spans="1:11" ht="15.9" customHeight="1"/>
    <row r="27" spans="1:11" ht="15.9" customHeight="1"/>
    <row r="28" spans="1:11" ht="15.9" customHeight="1"/>
    <row r="29" spans="1:11" ht="15.9" customHeight="1">
      <c r="A29" s="160"/>
      <c r="J29" s="182"/>
    </row>
    <row r="30" spans="1:11" ht="15.9" customHeight="1" thickBot="1">
      <c r="A30" s="162"/>
      <c r="B30" s="162"/>
      <c r="H30" s="162"/>
      <c r="I30" s="231"/>
      <c r="J30" s="183"/>
    </row>
    <row r="31" spans="1:11" ht="15.9" customHeight="1">
      <c r="A31" s="160" t="s">
        <v>559</v>
      </c>
      <c r="H31" s="160" t="s">
        <v>551</v>
      </c>
      <c r="I31" s="160"/>
      <c r="J31" s="166"/>
    </row>
    <row r="32" spans="1:11" ht="15.9" customHeight="1">
      <c r="J32" s="184"/>
    </row>
    <row r="33" spans="1:10" ht="15.9" customHeight="1"/>
    <row r="34" spans="1:10" ht="15.9" customHeight="1"/>
    <row r="35" spans="1:10" ht="15.9" customHeight="1"/>
    <row r="36" spans="1:10" ht="15.9" customHeight="1">
      <c r="C36" s="228"/>
      <c r="D36" s="184"/>
      <c r="I36" s="228"/>
    </row>
    <row r="37" spans="1:10" ht="15.9" customHeight="1" thickBot="1">
      <c r="A37" s="156"/>
      <c r="B37" s="162"/>
      <c r="D37" s="184"/>
      <c r="H37" s="162"/>
      <c r="I37" s="162"/>
      <c r="J37" s="162"/>
    </row>
    <row r="38" spans="1:10">
      <c r="A38" s="141" t="s">
        <v>408</v>
      </c>
      <c r="C38" s="228"/>
      <c r="D38" s="160"/>
      <c r="H38" s="160" t="s">
        <v>409</v>
      </c>
      <c r="I38" s="160"/>
    </row>
    <row r="39" spans="1:10">
      <c r="I39" s="228"/>
    </row>
    <row r="40" spans="1:10">
      <c r="B40" s="1386" t="s">
        <v>530</v>
      </c>
      <c r="C40" s="1386"/>
      <c r="D40" s="1386"/>
      <c r="E40" s="261">
        <f>B3</f>
        <v>45797</v>
      </c>
      <c r="F40" s="259" t="s">
        <v>669</v>
      </c>
      <c r="G40" s="262"/>
      <c r="H40" s="259"/>
      <c r="I40" s="189"/>
      <c r="J40" s="185"/>
    </row>
    <row r="41" spans="1:10">
      <c r="A41" s="260"/>
      <c r="B41" s="260"/>
      <c r="C41" s="260"/>
      <c r="D41" s="260"/>
      <c r="E41" s="260"/>
      <c r="F41" s="971"/>
      <c r="G41" s="260"/>
      <c r="I41" s="185"/>
    </row>
  </sheetData>
  <mergeCells count="3">
    <mergeCell ref="D4:D5"/>
    <mergeCell ref="E4:E5"/>
    <mergeCell ref="B40:D40"/>
  </mergeCells>
  <conditionalFormatting sqref="A9">
    <cfRule type="duplicateValues" dxfId="190" priority="1"/>
    <cfRule type="duplicateValues" dxfId="189" priority="2"/>
    <cfRule type="duplicateValues" dxfId="188" priority="3"/>
  </conditionalFormatting>
  <pageMargins left="0.59055118110236227" right="0.19685039370078741" top="0.19685039370078741" bottom="0.19685039370078741" header="0.31496062992125984" footer="0.31496062992125984"/>
  <pageSetup scale="59" fitToHeight="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0D33-8914-4BD4-8B21-E6BC081E0EE4}">
  <dimension ref="B2:J39"/>
  <sheetViews>
    <sheetView workbookViewId="0">
      <selection activeCell="E8" sqref="E8"/>
    </sheetView>
  </sheetViews>
  <sheetFormatPr baseColWidth="10" defaultRowHeight="14.4"/>
  <cols>
    <col min="9" max="9" width="18.44140625" bestFit="1" customWidth="1"/>
  </cols>
  <sheetData>
    <row r="2" spans="2:10">
      <c r="B2" t="s">
        <v>764</v>
      </c>
    </row>
    <row r="3" spans="2:10">
      <c r="B3" s="1307">
        <v>46113</v>
      </c>
      <c r="C3" s="1312">
        <v>1068</v>
      </c>
      <c r="F3" s="1307">
        <v>47119</v>
      </c>
      <c r="G3" s="234">
        <v>1068</v>
      </c>
      <c r="I3" s="1307">
        <v>48214</v>
      </c>
      <c r="J3" s="234">
        <v>1068</v>
      </c>
    </row>
    <row r="4" spans="2:10">
      <c r="B4" s="1307">
        <v>46143</v>
      </c>
      <c r="C4" s="1312">
        <v>1068</v>
      </c>
      <c r="F4" s="1307">
        <v>47150</v>
      </c>
      <c r="G4" s="234">
        <v>1068</v>
      </c>
      <c r="I4" s="1307">
        <v>48245</v>
      </c>
      <c r="J4" s="234">
        <v>1068</v>
      </c>
    </row>
    <row r="5" spans="2:10">
      <c r="B5" s="1307">
        <v>46174</v>
      </c>
      <c r="C5" s="234">
        <v>1068</v>
      </c>
      <c r="F5" s="1307">
        <v>47178</v>
      </c>
      <c r="G5" s="234">
        <v>1068</v>
      </c>
      <c r="I5" s="1307">
        <v>48274</v>
      </c>
      <c r="J5" s="234">
        <v>1068</v>
      </c>
    </row>
    <row r="6" spans="2:10">
      <c r="B6" s="1307">
        <v>46204</v>
      </c>
      <c r="C6" s="234">
        <v>4220</v>
      </c>
      <c r="F6" s="1307">
        <v>47209</v>
      </c>
      <c r="G6" s="234">
        <v>1068</v>
      </c>
      <c r="I6" s="1307">
        <v>48305</v>
      </c>
      <c r="J6" s="234">
        <v>1068</v>
      </c>
    </row>
    <row r="7" spans="2:10">
      <c r="B7" s="1307">
        <v>46235</v>
      </c>
      <c r="C7" s="234">
        <v>1068</v>
      </c>
      <c r="F7" s="1307">
        <v>47239</v>
      </c>
      <c r="G7" s="234">
        <v>1868</v>
      </c>
      <c r="I7" s="1307">
        <v>48335</v>
      </c>
      <c r="J7" s="234">
        <v>1068</v>
      </c>
    </row>
    <row r="8" spans="2:10">
      <c r="B8" s="1307">
        <v>46266</v>
      </c>
      <c r="C8" s="234">
        <v>1068</v>
      </c>
      <c r="F8" s="1307">
        <v>47270</v>
      </c>
      <c r="G8" s="234">
        <v>1068</v>
      </c>
      <c r="I8" s="1307">
        <v>48366</v>
      </c>
      <c r="J8" s="234">
        <v>1068</v>
      </c>
    </row>
    <row r="9" spans="2:10">
      <c r="B9" s="1307">
        <v>46296</v>
      </c>
      <c r="C9" s="234">
        <v>1068</v>
      </c>
      <c r="F9" s="1307">
        <v>47300</v>
      </c>
      <c r="G9" s="234">
        <v>4220</v>
      </c>
      <c r="I9" s="1307">
        <v>48396</v>
      </c>
      <c r="J9" s="234">
        <v>1371.65</v>
      </c>
    </row>
    <row r="10" spans="2:10">
      <c r="B10" s="1307">
        <v>46327</v>
      </c>
      <c r="C10" s="234">
        <v>1068</v>
      </c>
      <c r="F10" s="1307">
        <v>47331</v>
      </c>
      <c r="G10" s="234">
        <v>1068</v>
      </c>
      <c r="I10" s="1307"/>
      <c r="J10" s="234">
        <f>SUM(J3:J9)</f>
        <v>7779.65</v>
      </c>
    </row>
    <row r="11" spans="2:10">
      <c r="B11" s="1307">
        <v>46357</v>
      </c>
      <c r="C11" s="234">
        <v>4220</v>
      </c>
      <c r="F11" s="1307">
        <v>47362</v>
      </c>
      <c r="G11" s="234">
        <v>1068</v>
      </c>
      <c r="I11" s="1307"/>
    </row>
    <row r="12" spans="2:10">
      <c r="B12" s="1307">
        <v>46388</v>
      </c>
      <c r="C12" s="234">
        <v>1068</v>
      </c>
      <c r="F12" s="1307">
        <v>47392</v>
      </c>
      <c r="G12" s="234">
        <v>1068</v>
      </c>
      <c r="I12" s="1307"/>
    </row>
    <row r="13" spans="2:10">
      <c r="B13" s="1307">
        <v>46419</v>
      </c>
      <c r="C13" s="234">
        <v>1068</v>
      </c>
      <c r="F13" s="1307">
        <v>47423</v>
      </c>
      <c r="G13" s="234">
        <v>1068</v>
      </c>
      <c r="I13" s="1307"/>
    </row>
    <row r="14" spans="2:10">
      <c r="B14" s="1307">
        <v>46447</v>
      </c>
      <c r="C14" s="234">
        <v>1068</v>
      </c>
      <c r="F14" s="1307">
        <v>47453</v>
      </c>
      <c r="G14" s="234">
        <v>4220</v>
      </c>
      <c r="I14" t="s">
        <v>765</v>
      </c>
      <c r="J14" s="292">
        <f>+C36+G39+J10</f>
        <v>120095.65</v>
      </c>
    </row>
    <row r="15" spans="2:10">
      <c r="B15" s="1307">
        <v>46478</v>
      </c>
      <c r="C15" s="234">
        <v>1068</v>
      </c>
      <c r="F15" s="1307">
        <v>47484</v>
      </c>
      <c r="G15" s="234">
        <v>1068</v>
      </c>
      <c r="J15">
        <v>120095.65</v>
      </c>
    </row>
    <row r="16" spans="2:10">
      <c r="B16" s="1307">
        <v>46508</v>
      </c>
      <c r="C16" s="234">
        <v>1068</v>
      </c>
      <c r="F16" s="1307">
        <v>47515</v>
      </c>
      <c r="G16" s="234">
        <v>1068</v>
      </c>
      <c r="J16" s="292">
        <f>+J14-J15</f>
        <v>0</v>
      </c>
    </row>
    <row r="17" spans="2:7">
      <c r="B17" s="1307">
        <v>46539</v>
      </c>
      <c r="C17" s="234">
        <v>1068</v>
      </c>
      <c r="F17" s="1307">
        <v>47543</v>
      </c>
      <c r="G17" s="234">
        <v>1068</v>
      </c>
    </row>
    <row r="18" spans="2:7">
      <c r="B18" s="1307">
        <v>46569</v>
      </c>
      <c r="C18" s="234">
        <v>4220</v>
      </c>
      <c r="F18" s="1307">
        <v>47574</v>
      </c>
      <c r="G18" s="234">
        <v>1068</v>
      </c>
    </row>
    <row r="19" spans="2:7">
      <c r="B19" s="1307">
        <v>46600</v>
      </c>
      <c r="C19" s="234">
        <v>1068</v>
      </c>
      <c r="F19" s="1307">
        <v>47604</v>
      </c>
      <c r="G19" s="234">
        <v>1068</v>
      </c>
    </row>
    <row r="20" spans="2:7">
      <c r="B20" s="1307">
        <v>46631</v>
      </c>
      <c r="C20" s="234">
        <v>1068</v>
      </c>
      <c r="F20" s="1307">
        <v>47635</v>
      </c>
      <c r="G20" s="234">
        <v>1068</v>
      </c>
    </row>
    <row r="21" spans="2:7">
      <c r="B21" s="1307">
        <v>46661</v>
      </c>
      <c r="C21" s="234">
        <v>1068</v>
      </c>
      <c r="F21" s="1307">
        <v>47665</v>
      </c>
      <c r="G21" s="234">
        <v>4220</v>
      </c>
    </row>
    <row r="22" spans="2:7">
      <c r="B22" s="1307">
        <v>46692</v>
      </c>
      <c r="C22" s="234">
        <v>1068</v>
      </c>
      <c r="F22" s="1307">
        <v>47696</v>
      </c>
      <c r="G22" s="234">
        <v>1068</v>
      </c>
    </row>
    <row r="23" spans="2:7">
      <c r="B23" s="1307">
        <v>46722</v>
      </c>
      <c r="C23" s="234">
        <v>4220</v>
      </c>
      <c r="F23" s="1307">
        <v>47727</v>
      </c>
      <c r="G23" s="234">
        <v>1068</v>
      </c>
    </row>
    <row r="24" spans="2:7">
      <c r="B24" s="1307">
        <v>46753</v>
      </c>
      <c r="C24" s="234">
        <v>1068</v>
      </c>
      <c r="F24" s="1307">
        <v>47757</v>
      </c>
      <c r="G24" s="234">
        <v>1068</v>
      </c>
    </row>
    <row r="25" spans="2:7">
      <c r="B25" s="1307">
        <v>46784</v>
      </c>
      <c r="C25" s="234">
        <v>1068</v>
      </c>
      <c r="F25" s="1307">
        <v>47788</v>
      </c>
      <c r="G25" s="234">
        <v>1068</v>
      </c>
    </row>
    <row r="26" spans="2:7">
      <c r="B26" s="1307">
        <v>46813</v>
      </c>
      <c r="C26" s="234">
        <v>1068</v>
      </c>
      <c r="F26" s="1307">
        <v>47818</v>
      </c>
      <c r="G26" s="234">
        <v>4220</v>
      </c>
    </row>
    <row r="27" spans="2:7">
      <c r="B27" s="1307">
        <v>46844</v>
      </c>
      <c r="C27" s="234">
        <v>1068</v>
      </c>
      <c r="F27" s="1307">
        <v>47849</v>
      </c>
      <c r="G27" s="234">
        <v>1068</v>
      </c>
    </row>
    <row r="28" spans="2:7">
      <c r="B28" s="1307">
        <v>46874</v>
      </c>
      <c r="C28" s="234">
        <v>1068</v>
      </c>
      <c r="F28" s="1307">
        <v>47880</v>
      </c>
      <c r="G28" s="234">
        <v>1068</v>
      </c>
    </row>
    <row r="29" spans="2:7">
      <c r="B29" s="1307">
        <v>46905</v>
      </c>
      <c r="C29" s="234">
        <v>1068</v>
      </c>
      <c r="F29" s="1307">
        <v>47908</v>
      </c>
      <c r="G29" s="234">
        <v>1068</v>
      </c>
    </row>
    <row r="30" spans="2:7">
      <c r="B30" s="1307">
        <v>46935</v>
      </c>
      <c r="C30" s="234">
        <v>4220</v>
      </c>
      <c r="F30" s="1307">
        <v>47939</v>
      </c>
      <c r="G30" s="234">
        <v>1068</v>
      </c>
    </row>
    <row r="31" spans="2:7">
      <c r="B31" s="1307">
        <v>46966</v>
      </c>
      <c r="C31" s="234">
        <v>1068</v>
      </c>
      <c r="F31" s="1307">
        <v>47969</v>
      </c>
      <c r="G31" s="234">
        <v>1068</v>
      </c>
    </row>
    <row r="32" spans="2:7">
      <c r="B32" s="1307">
        <v>46997</v>
      </c>
      <c r="C32" s="234">
        <v>1068</v>
      </c>
      <c r="F32" s="1307">
        <v>48000</v>
      </c>
      <c r="G32" s="234">
        <v>1068</v>
      </c>
    </row>
    <row r="33" spans="2:7">
      <c r="B33" s="1307">
        <v>47027</v>
      </c>
      <c r="C33" s="234">
        <v>1068</v>
      </c>
      <c r="F33" s="1307">
        <v>48030</v>
      </c>
      <c r="G33" s="234">
        <v>4220</v>
      </c>
    </row>
    <row r="34" spans="2:7">
      <c r="B34" s="1307">
        <v>47058</v>
      </c>
      <c r="C34" s="234">
        <v>1068</v>
      </c>
      <c r="F34" s="1307">
        <v>48061</v>
      </c>
      <c r="G34" s="234">
        <v>1068</v>
      </c>
    </row>
    <row r="35" spans="2:7">
      <c r="B35" s="1307">
        <v>47088</v>
      </c>
      <c r="C35" s="234">
        <v>4220</v>
      </c>
      <c r="F35" s="1307">
        <v>48092</v>
      </c>
      <c r="G35" s="234">
        <v>1068</v>
      </c>
    </row>
    <row r="36" spans="2:7">
      <c r="C36" s="234">
        <f>SUM(C3:C35)</f>
        <v>54156</v>
      </c>
      <c r="F36" s="1307">
        <v>48122</v>
      </c>
      <c r="G36" s="234">
        <v>1068</v>
      </c>
    </row>
    <row r="37" spans="2:7">
      <c r="F37" s="1307">
        <v>48153</v>
      </c>
      <c r="G37" s="234">
        <v>1068</v>
      </c>
    </row>
    <row r="38" spans="2:7">
      <c r="F38" s="1307">
        <v>48183</v>
      </c>
      <c r="G38" s="234">
        <v>4220</v>
      </c>
    </row>
    <row r="39" spans="2:7">
      <c r="F39" s="1307"/>
      <c r="G39" s="234">
        <f>SUM(G3:G38)</f>
        <v>58160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BF3B-4A76-4C84-BBDC-46461FC86D59}">
  <dimension ref="A1:N149"/>
  <sheetViews>
    <sheetView topLeftCell="E136" workbookViewId="0">
      <selection activeCell="M148" sqref="M148"/>
    </sheetView>
  </sheetViews>
  <sheetFormatPr baseColWidth="10" defaultColWidth="11.44140625" defaultRowHeight="10.199999999999999" outlineLevelRow="1" outlineLevelCol="1"/>
  <cols>
    <col min="1" max="1" width="9.6640625" style="741" hidden="1" customWidth="1" outlineLevel="1"/>
    <col min="2" max="2" width="6.6640625" style="741" hidden="1" customWidth="1" outlineLevel="1"/>
    <col min="3" max="3" width="12.44140625" style="712" hidden="1" customWidth="1" outlineLevel="1"/>
    <col min="4" max="4" width="19" style="712" hidden="1" customWidth="1" outlineLevel="1"/>
    <col min="5" max="5" width="9.44140625" style="712" customWidth="1" outlineLevel="1"/>
    <col min="6" max="6" width="7" style="707" hidden="1" customWidth="1"/>
    <col min="7" max="7" width="28.109375" style="719" customWidth="1"/>
    <col min="8" max="8" width="29.109375" style="707" customWidth="1"/>
    <col min="9" max="9" width="13.88671875" style="712" customWidth="1"/>
    <col min="10" max="10" width="13.5546875" style="712" customWidth="1"/>
    <col min="11" max="12" width="12.33203125" style="712" customWidth="1"/>
    <col min="13" max="13" width="14.44140625" style="712" customWidth="1"/>
    <col min="14" max="14" width="13" style="712" customWidth="1"/>
    <col min="15" max="16384" width="11.44140625" style="712"/>
  </cols>
  <sheetData>
    <row r="1" spans="1:14" ht="15.6">
      <c r="G1" s="708">
        <v>1</v>
      </c>
      <c r="H1" s="709">
        <v>2</v>
      </c>
      <c r="I1" s="710">
        <v>3</v>
      </c>
      <c r="J1" s="711">
        <v>145</v>
      </c>
      <c r="K1" s="711">
        <v>146</v>
      </c>
      <c r="L1" s="711"/>
      <c r="M1" s="710">
        <v>149</v>
      </c>
      <c r="N1" s="711">
        <v>150</v>
      </c>
    </row>
    <row r="2" spans="1:14" s="715" customFormat="1" ht="15.6">
      <c r="A2" s="1004"/>
      <c r="B2" s="1004"/>
      <c r="F2" s="713"/>
      <c r="G2" s="714" t="s">
        <v>52</v>
      </c>
      <c r="H2" s="709"/>
      <c r="I2" s="711"/>
      <c r="J2" s="717"/>
      <c r="K2" s="717"/>
      <c r="L2" s="717"/>
      <c r="M2" s="712"/>
      <c r="N2" s="712"/>
    </row>
    <row r="3" spans="1:14" ht="17.399999999999999">
      <c r="G3" s="1343" t="s">
        <v>713</v>
      </c>
      <c r="H3" s="1343"/>
    </row>
    <row r="4" spans="1:14" ht="18.600000000000001" customHeight="1">
      <c r="G4" s="718" t="s">
        <v>776</v>
      </c>
      <c r="H4" s="1003" t="s">
        <v>52</v>
      </c>
    </row>
    <row r="5" spans="1:14" ht="15" customHeight="1">
      <c r="G5" s="718">
        <v>2026</v>
      </c>
    </row>
    <row r="6" spans="1:14" s="741" customFormat="1" ht="25.5" customHeight="1" thickBot="1">
      <c r="F6" s="722"/>
      <c r="G6" s="723"/>
      <c r="H6" s="724"/>
      <c r="I6" s="1311" t="s">
        <v>1</v>
      </c>
      <c r="J6" s="1339"/>
      <c r="K6" s="1339"/>
      <c r="L6" s="1310"/>
      <c r="M6" s="712"/>
      <c r="N6" s="712"/>
    </row>
    <row r="7" spans="1:14" ht="31.2" thickBot="1">
      <c r="A7" s="1005" t="s">
        <v>703</v>
      </c>
      <c r="B7" s="1005" t="s">
        <v>704</v>
      </c>
      <c r="C7" s="1005" t="s">
        <v>705</v>
      </c>
      <c r="D7" s="1005" t="s">
        <v>706</v>
      </c>
      <c r="E7" s="1190" t="s">
        <v>739</v>
      </c>
      <c r="G7" s="747" t="s">
        <v>35</v>
      </c>
      <c r="H7" s="748" t="s">
        <v>36</v>
      </c>
      <c r="I7" s="749" t="s">
        <v>381</v>
      </c>
      <c r="J7" s="768" t="s">
        <v>748</v>
      </c>
      <c r="K7" s="768" t="s">
        <v>787</v>
      </c>
      <c r="L7" s="1313" t="s">
        <v>786</v>
      </c>
      <c r="M7" s="769" t="s">
        <v>480</v>
      </c>
    </row>
    <row r="8" spans="1:14" s="216" customFormat="1" ht="15" customHeight="1" outlineLevel="1">
      <c r="A8" s="1006" t="str">
        <f>+$G$4</f>
        <v>MAYO  2026 2da QUINCENA</v>
      </c>
      <c r="B8" s="1006">
        <f>+$G$5</f>
        <v>2026</v>
      </c>
      <c r="C8" s="1007" t="str">
        <f>A8 &amp; B8</f>
        <v>MAYO  2026 2da QUINCENA2026</v>
      </c>
      <c r="D8" s="235" t="str">
        <f>+$G$8</f>
        <v>ADMINISTRATIVO</v>
      </c>
      <c r="E8" s="235">
        <v>102010</v>
      </c>
      <c r="F8" s="268"/>
      <c r="G8" s="779" t="s">
        <v>58</v>
      </c>
      <c r="H8" s="200"/>
      <c r="I8" s="201"/>
      <c r="J8" s="201"/>
      <c r="K8" s="201"/>
      <c r="L8" s="201"/>
      <c r="M8" s="201"/>
    </row>
    <row r="9" spans="1:14" s="216" customFormat="1" ht="15" customHeight="1" outlineLevel="1">
      <c r="A9" s="1006"/>
      <c r="B9" s="1006"/>
      <c r="C9" s="1007"/>
      <c r="D9" s="235"/>
      <c r="E9" s="235">
        <v>102010</v>
      </c>
      <c r="F9" s="268">
        <v>1</v>
      </c>
      <c r="G9" s="199" t="s">
        <v>722</v>
      </c>
      <c r="H9" s="200" t="s">
        <v>55</v>
      </c>
      <c r="I9" s="201" t="s">
        <v>11</v>
      </c>
      <c r="J9" s="201"/>
      <c r="K9" s="201"/>
      <c r="L9" s="201">
        <v>350</v>
      </c>
      <c r="M9" s="201">
        <f>SUM(J9:L9)</f>
        <v>350</v>
      </c>
    </row>
    <row r="10" spans="1:14" s="844" customFormat="1" ht="15" customHeight="1" outlineLevel="1">
      <c r="A10" s="1006" t="str">
        <f>$G$4</f>
        <v>MAYO  2026 2da QUINCENA</v>
      </c>
      <c r="B10" s="1006">
        <f t="shared" ref="B10:B74" si="0">+$G$5</f>
        <v>2026</v>
      </c>
      <c r="C10" s="1007" t="str">
        <f t="shared" ref="C10" si="1">A10 &amp; B10</f>
        <v>MAYO  2026 2da QUINCENA2026</v>
      </c>
      <c r="D10" s="235" t="str">
        <f t="shared" ref="D10" si="2">+$G$8</f>
        <v>ADMINISTRATIVO</v>
      </c>
      <c r="E10" s="235">
        <v>102050</v>
      </c>
      <c r="F10" s="268">
        <v>2</v>
      </c>
      <c r="G10" s="199" t="s">
        <v>431</v>
      </c>
      <c r="H10" s="200" t="s">
        <v>60</v>
      </c>
      <c r="I10" s="200" t="s">
        <v>11</v>
      </c>
      <c r="J10" s="201"/>
      <c r="K10" s="201"/>
      <c r="L10" s="201"/>
      <c r="M10" s="201">
        <f t="shared" ref="M10:M11" si="3">SUM(J10:L10)</f>
        <v>0</v>
      </c>
    </row>
    <row r="11" spans="1:14" s="216" customFormat="1" ht="15" customHeight="1" outlineLevel="1">
      <c r="A11" s="1006"/>
      <c r="B11" s="1006"/>
      <c r="C11" s="1007"/>
      <c r="D11" s="235"/>
      <c r="E11" s="235">
        <v>102050</v>
      </c>
      <c r="F11" s="806"/>
      <c r="G11" s="199" t="s">
        <v>763</v>
      </c>
      <c r="H11" s="200" t="s">
        <v>60</v>
      </c>
      <c r="I11" s="201" t="s">
        <v>11</v>
      </c>
      <c r="J11" s="201"/>
      <c r="K11" s="201"/>
      <c r="L11" s="201"/>
      <c r="M11" s="201">
        <f t="shared" si="3"/>
        <v>0</v>
      </c>
      <c r="N11" s="844"/>
    </row>
    <row r="12" spans="1:14" s="216" customFormat="1" ht="15" customHeight="1" outlineLevel="1">
      <c r="A12" s="1006" t="s">
        <v>52</v>
      </c>
      <c r="B12" s="1006" t="s">
        <v>52</v>
      </c>
      <c r="C12" s="1007" t="s">
        <v>52</v>
      </c>
      <c r="D12" s="235"/>
      <c r="E12" s="235"/>
      <c r="F12" s="806"/>
      <c r="G12" s="956"/>
      <c r="H12" s="786" t="s">
        <v>619</v>
      </c>
      <c r="I12" s="201"/>
      <c r="J12" s="787">
        <f t="shared" ref="J12:M12" si="4">SUM(J9:J11)</f>
        <v>0</v>
      </c>
      <c r="K12" s="787">
        <f t="shared" si="4"/>
        <v>0</v>
      </c>
      <c r="L12" s="787"/>
      <c r="M12" s="787">
        <f t="shared" si="4"/>
        <v>350</v>
      </c>
      <c r="N12" s="787"/>
    </row>
    <row r="13" spans="1:14" s="778" customFormat="1" ht="15" customHeight="1" outlineLevel="1">
      <c r="A13" s="1006" t="str">
        <f t="shared" ref="A13:A74" si="5">$G$4</f>
        <v>MAYO  2026 2da QUINCENA</v>
      </c>
      <c r="B13" s="1006">
        <f t="shared" si="0"/>
        <v>2026</v>
      </c>
      <c r="C13" s="1007" t="str">
        <f t="shared" ref="C13:C74" si="6">A13 &amp; B13</f>
        <v>MAYO  2026 2da QUINCENA2026</v>
      </c>
      <c r="D13" s="235" t="str">
        <f>+$G$8</f>
        <v>ADMINISTRATIVO</v>
      </c>
      <c r="E13" s="235">
        <v>102030</v>
      </c>
      <c r="F13" s="776"/>
      <c r="G13" s="779" t="s">
        <v>620</v>
      </c>
      <c r="H13" s="776"/>
      <c r="I13" s="776"/>
    </row>
    <row r="14" spans="1:14" s="216" customFormat="1" ht="15" customHeight="1" outlineLevel="1">
      <c r="A14" s="1006"/>
      <c r="B14" s="1006"/>
      <c r="C14" s="1007"/>
      <c r="D14" s="235"/>
      <c r="E14" s="235"/>
      <c r="F14" s="268"/>
      <c r="G14" s="199"/>
      <c r="H14" s="200"/>
      <c r="I14" s="201"/>
      <c r="J14" s="201"/>
      <c r="K14" s="201"/>
      <c r="L14" s="201"/>
      <c r="M14" s="201">
        <f t="shared" ref="M14" si="7">SUM(J14:L14)</f>
        <v>0</v>
      </c>
    </row>
    <row r="15" spans="1:14" s="778" customFormat="1" ht="15" customHeight="1" outlineLevel="1">
      <c r="A15" s="1006" t="s">
        <v>52</v>
      </c>
      <c r="B15" s="1006" t="s">
        <v>52</v>
      </c>
      <c r="C15" s="1007" t="str">
        <f t="shared" si="6"/>
        <v xml:space="preserve">  </v>
      </c>
      <c r="D15" s="776"/>
      <c r="E15" s="235"/>
      <c r="F15" s="806"/>
      <c r="G15" s="719"/>
      <c r="H15" s="717" t="s">
        <v>697</v>
      </c>
      <c r="J15" s="869">
        <f t="shared" ref="J15:N15" si="8">SUM(J14:J14)</f>
        <v>0</v>
      </c>
      <c r="K15" s="869">
        <f t="shared" si="8"/>
        <v>0</v>
      </c>
      <c r="L15" s="869"/>
      <c r="M15" s="869">
        <f t="shared" si="8"/>
        <v>0</v>
      </c>
      <c r="N15" s="869">
        <f t="shared" si="8"/>
        <v>0</v>
      </c>
    </row>
    <row r="16" spans="1:14" s="778" customFormat="1" ht="15" customHeight="1" outlineLevel="1">
      <c r="A16" s="1006" t="str">
        <f t="shared" si="5"/>
        <v>MAYO  2026 2da QUINCENA</v>
      </c>
      <c r="B16" s="1006">
        <f t="shared" si="0"/>
        <v>2026</v>
      </c>
      <c r="C16" s="1007" t="str">
        <f t="shared" si="6"/>
        <v>MAYO  2026 2da QUINCENA2026</v>
      </c>
      <c r="D16" s="776" t="str">
        <f>+G16</f>
        <v>PROYECTOS</v>
      </c>
      <c r="E16" s="235">
        <v>102040</v>
      </c>
      <c r="F16" s="806"/>
      <c r="G16" s="779" t="s">
        <v>621</v>
      </c>
      <c r="H16" s="776"/>
    </row>
    <row r="17" spans="1:14" s="216" customFormat="1" ht="15" customHeight="1" outlineLevel="1">
      <c r="A17" s="1006"/>
      <c r="B17" s="1006"/>
      <c r="C17" s="1007"/>
      <c r="D17" s="235"/>
      <c r="E17" s="235"/>
      <c r="F17" s="268"/>
      <c r="G17" s="199"/>
      <c r="H17" s="200"/>
      <c r="I17" s="201"/>
      <c r="J17" s="201"/>
      <c r="K17" s="201"/>
      <c r="L17" s="201"/>
      <c r="M17" s="201">
        <f t="shared" ref="M17" si="9">SUM(J17:L17)</f>
        <v>0</v>
      </c>
      <c r="N17" s="938"/>
    </row>
    <row r="18" spans="1:14" s="823" customFormat="1" ht="15.75" customHeight="1" outlineLevel="1">
      <c r="A18" s="1002"/>
      <c r="B18" s="1002"/>
      <c r="C18" s="1013"/>
      <c r="D18" s="815"/>
      <c r="E18" s="815"/>
      <c r="F18" s="815"/>
      <c r="G18" s="723"/>
      <c r="H18" s="717" t="s">
        <v>130</v>
      </c>
      <c r="I18" s="810"/>
      <c r="J18" s="824">
        <f t="shared" ref="J18:M18" si="10">+J17</f>
        <v>0</v>
      </c>
      <c r="K18" s="824">
        <f t="shared" si="10"/>
        <v>0</v>
      </c>
      <c r="L18" s="824"/>
      <c r="M18" s="824">
        <f t="shared" si="10"/>
        <v>0</v>
      </c>
      <c r="N18" s="824"/>
    </row>
    <row r="19" spans="1:14" s="798" customFormat="1" ht="15.75" customHeight="1" outlineLevel="1" thickBot="1">
      <c r="A19" s="1006"/>
      <c r="B19" s="1006"/>
      <c r="C19" s="1007"/>
      <c r="D19" s="801"/>
      <c r="E19" s="801"/>
      <c r="F19" s="801"/>
      <c r="G19" s="719"/>
      <c r="H19" s="717" t="s">
        <v>63</v>
      </c>
      <c r="I19" s="778"/>
      <c r="J19" s="868">
        <f t="shared" ref="J19:M19" si="11">+J12+J15+J18</f>
        <v>0</v>
      </c>
      <c r="K19" s="868">
        <f t="shared" si="11"/>
        <v>0</v>
      </c>
      <c r="L19" s="868"/>
      <c r="M19" s="868">
        <f t="shared" si="11"/>
        <v>350</v>
      </c>
      <c r="N19" s="868"/>
    </row>
    <row r="20" spans="1:14" s="829" customFormat="1" ht="15" customHeight="1" outlineLevel="1" thickTop="1">
      <c r="A20" s="1006"/>
      <c r="B20" s="1006"/>
      <c r="C20" s="1007"/>
      <c r="D20" s="841"/>
      <c r="E20" s="235">
        <v>103010</v>
      </c>
      <c r="F20" s="827"/>
      <c r="G20" s="779" t="s">
        <v>76</v>
      </c>
      <c r="H20" s="717"/>
      <c r="I20" s="810"/>
      <c r="J20" s="810"/>
      <c r="K20" s="810"/>
      <c r="L20" s="810"/>
      <c r="M20" s="810"/>
      <c r="N20" s="810"/>
    </row>
    <row r="21" spans="1:14" s="829" customFormat="1" ht="15" customHeight="1" outlineLevel="1">
      <c r="A21" s="1006" t="str">
        <f t="shared" si="5"/>
        <v>MAYO  2026 2da QUINCENA</v>
      </c>
      <c r="B21" s="1006">
        <f t="shared" si="0"/>
        <v>2026</v>
      </c>
      <c r="C21" s="1007" t="str">
        <f t="shared" si="6"/>
        <v>MAYO  2026 2da QUINCENA2026</v>
      </c>
      <c r="D21" s="827" t="str">
        <f>+$G$20</f>
        <v>RECURSOS HUMANOS</v>
      </c>
      <c r="E21" s="235">
        <v>103010</v>
      </c>
      <c r="F21" s="827"/>
      <c r="G21" s="779" t="s">
        <v>623</v>
      </c>
      <c r="H21" s="717"/>
      <c r="I21" s="810"/>
      <c r="J21" s="810"/>
      <c r="K21" s="810"/>
      <c r="L21" s="810"/>
      <c r="M21" s="810"/>
      <c r="N21" s="810"/>
    </row>
    <row r="22" spans="1:14" s="778" customFormat="1" ht="15" customHeight="1" outlineLevel="1">
      <c r="A22" s="1006" t="str">
        <f t="shared" si="5"/>
        <v>MAYO  2026 2da QUINCENA</v>
      </c>
      <c r="B22" s="1006">
        <f t="shared" si="0"/>
        <v>2026</v>
      </c>
      <c r="C22" s="1007" t="str">
        <f t="shared" si="6"/>
        <v>MAYO  2026 2da QUINCENA2026</v>
      </c>
      <c r="D22" s="827" t="str">
        <f t="shared" ref="D22:D25" si="12">+$G$20</f>
        <v>RECURSOS HUMANOS</v>
      </c>
      <c r="E22" s="235">
        <v>103010</v>
      </c>
      <c r="F22" s="806">
        <f>F17+1</f>
        <v>1</v>
      </c>
      <c r="G22" s="167" t="s">
        <v>455</v>
      </c>
      <c r="H22" s="246" t="s">
        <v>77</v>
      </c>
      <c r="I22" s="244" t="s">
        <v>11</v>
      </c>
      <c r="J22" s="813"/>
      <c r="K22" s="813"/>
      <c r="L22" s="813"/>
      <c r="M22" s="201">
        <f t="shared" ref="M22:M25" si="13">SUM(J22:L22)</f>
        <v>0</v>
      </c>
      <c r="N22" s="717"/>
    </row>
    <row r="23" spans="1:14" s="778" customFormat="1" ht="15" customHeight="1" outlineLevel="1">
      <c r="A23" s="1006" t="str">
        <f t="shared" si="5"/>
        <v>MAYO  2026 2da QUINCENA</v>
      </c>
      <c r="B23" s="1006">
        <f t="shared" si="0"/>
        <v>2026</v>
      </c>
      <c r="C23" s="1007" t="str">
        <f t="shared" si="6"/>
        <v>MAYO  2026 2da QUINCENA2026</v>
      </c>
      <c r="D23" s="827" t="str">
        <f t="shared" si="12"/>
        <v>RECURSOS HUMANOS</v>
      </c>
      <c r="E23" s="235">
        <v>103010</v>
      </c>
      <c r="F23" s="806">
        <f>+F22+1</f>
        <v>2</v>
      </c>
      <c r="G23" s="167" t="s">
        <v>553</v>
      </c>
      <c r="H23" s="246" t="s">
        <v>479</v>
      </c>
      <c r="I23" s="244" t="s">
        <v>11</v>
      </c>
      <c r="J23" s="813"/>
      <c r="K23" s="813"/>
      <c r="L23" s="1177">
        <v>350</v>
      </c>
      <c r="M23" s="201">
        <f t="shared" si="13"/>
        <v>350</v>
      </c>
      <c r="N23" s="717"/>
    </row>
    <row r="24" spans="1:14" s="216" customFormat="1" ht="15" customHeight="1" outlineLevel="1">
      <c r="A24" s="1006" t="str">
        <f t="shared" si="5"/>
        <v>MAYO  2026 2da QUINCENA</v>
      </c>
      <c r="B24" s="1006">
        <f t="shared" si="0"/>
        <v>2026</v>
      </c>
      <c r="C24" s="1007" t="str">
        <f t="shared" si="6"/>
        <v>MAYO  2026 2da QUINCENA2026</v>
      </c>
      <c r="D24" s="235" t="str">
        <f>+$G$8</f>
        <v>ADMINISTRATIVO</v>
      </c>
      <c r="E24" s="235">
        <v>103010</v>
      </c>
      <c r="F24" s="268">
        <v>4</v>
      </c>
      <c r="G24" s="1244" t="s">
        <v>615</v>
      </c>
      <c r="H24" s="200" t="s">
        <v>492</v>
      </c>
      <c r="I24" s="201" t="s">
        <v>11</v>
      </c>
      <c r="J24" s="201"/>
      <c r="K24" s="201"/>
      <c r="L24" s="201"/>
      <c r="M24" s="201">
        <f t="shared" si="13"/>
        <v>0</v>
      </c>
    </row>
    <row r="25" spans="1:14" s="778" customFormat="1" ht="15" customHeight="1" outlineLevel="1">
      <c r="A25" s="1006" t="str">
        <f t="shared" si="5"/>
        <v>MAYO  2026 2da QUINCENA</v>
      </c>
      <c r="B25" s="1006">
        <f t="shared" si="0"/>
        <v>2026</v>
      </c>
      <c r="C25" s="1007" t="str">
        <f t="shared" si="6"/>
        <v>MAYO  2026 2da QUINCENA2026</v>
      </c>
      <c r="D25" s="827" t="str">
        <f t="shared" si="12"/>
        <v>RECURSOS HUMANOS</v>
      </c>
      <c r="E25" s="235">
        <v>103010</v>
      </c>
      <c r="F25" s="806">
        <v>9</v>
      </c>
      <c r="G25" s="167" t="s">
        <v>679</v>
      </c>
      <c r="H25" s="246" t="s">
        <v>568</v>
      </c>
      <c r="I25" s="244" t="s">
        <v>11</v>
      </c>
      <c r="J25" s="813"/>
      <c r="K25" s="813"/>
      <c r="L25" s="813"/>
      <c r="M25" s="201">
        <f t="shared" si="13"/>
        <v>0</v>
      </c>
      <c r="N25" s="717"/>
    </row>
    <row r="26" spans="1:14" s="810" customFormat="1" ht="15.75" customHeight="1" outlineLevel="1" thickBot="1">
      <c r="A26" s="1006"/>
      <c r="B26" s="1006"/>
      <c r="C26" s="1007"/>
      <c r="D26" s="717"/>
      <c r="E26" s="717"/>
      <c r="F26" s="776"/>
      <c r="G26" s="723"/>
      <c r="H26" s="717" t="s">
        <v>78</v>
      </c>
      <c r="J26" s="858">
        <f t="shared" ref="J26:M26" si="14">SUM(J22:J25)</f>
        <v>0</v>
      </c>
      <c r="K26" s="858">
        <f t="shared" si="14"/>
        <v>0</v>
      </c>
      <c r="L26" s="858"/>
      <c r="M26" s="858">
        <f t="shared" si="14"/>
        <v>350</v>
      </c>
      <c r="N26" s="858"/>
    </row>
    <row r="27" spans="1:14" s="829" customFormat="1" ht="15" customHeight="1" outlineLevel="1" thickTop="1">
      <c r="A27" s="1006"/>
      <c r="B27" s="1006"/>
      <c r="C27" s="1007"/>
      <c r="D27" s="841"/>
      <c r="E27" s="841"/>
      <c r="F27" s="827"/>
      <c r="G27" s="779" t="s">
        <v>74</v>
      </c>
      <c r="H27" s="717"/>
      <c r="I27" s="810"/>
      <c r="J27" s="810"/>
      <c r="K27" s="810"/>
      <c r="L27" s="810"/>
      <c r="M27" s="810"/>
      <c r="N27" s="810"/>
    </row>
    <row r="28" spans="1:14" s="829" customFormat="1" ht="15" customHeight="1" outlineLevel="1">
      <c r="A28" s="1006" t="str">
        <f t="shared" si="5"/>
        <v>MAYO  2026 2da QUINCENA</v>
      </c>
      <c r="B28" s="1006">
        <f t="shared" si="0"/>
        <v>2026</v>
      </c>
      <c r="C28" s="1007" t="str">
        <f t="shared" si="6"/>
        <v>MAYO  2026 2da QUINCENA2026</v>
      </c>
      <c r="D28" s="827" t="str">
        <f>+$G$27</f>
        <v>INFORMATICA</v>
      </c>
      <c r="E28" s="235">
        <v>104010</v>
      </c>
      <c r="F28" s="827"/>
      <c r="G28" s="779" t="s">
        <v>623</v>
      </c>
      <c r="H28" s="717"/>
      <c r="I28" s="810"/>
      <c r="J28" s="810"/>
      <c r="K28" s="810"/>
      <c r="L28" s="810"/>
      <c r="M28" s="810"/>
      <c r="N28" s="810"/>
    </row>
    <row r="29" spans="1:14" s="810" customFormat="1" ht="15" customHeight="1" outlineLevel="1">
      <c r="A29" s="1006" t="str">
        <f t="shared" si="5"/>
        <v>MAYO  2026 2da QUINCENA</v>
      </c>
      <c r="B29" s="1006">
        <f t="shared" si="0"/>
        <v>2026</v>
      </c>
      <c r="C29" s="1007" t="str">
        <f t="shared" si="6"/>
        <v>MAYO  2026 2da QUINCENA2026</v>
      </c>
      <c r="D29" s="827" t="str">
        <f t="shared" ref="D29:D31" si="15">+$G$27</f>
        <v>INFORMATICA</v>
      </c>
      <c r="E29" s="235">
        <v>104010</v>
      </c>
      <c r="F29" s="806">
        <f>F25+1</f>
        <v>10</v>
      </c>
      <c r="G29" s="167" t="s">
        <v>419</v>
      </c>
      <c r="H29" s="246" t="s">
        <v>75</v>
      </c>
      <c r="I29" s="244" t="s">
        <v>11</v>
      </c>
      <c r="J29" s="813"/>
      <c r="K29" s="813"/>
      <c r="L29" s="813"/>
      <c r="M29" s="201">
        <f t="shared" ref="M29:M31" si="16">SUM(J29:L29)</f>
        <v>0</v>
      </c>
      <c r="N29" s="717"/>
    </row>
    <row r="30" spans="1:14" s="810" customFormat="1" ht="15" customHeight="1" outlineLevel="1">
      <c r="A30" s="1006" t="str">
        <f t="shared" si="5"/>
        <v>MAYO  2026 2da QUINCENA</v>
      </c>
      <c r="B30" s="1006">
        <f t="shared" si="0"/>
        <v>2026</v>
      </c>
      <c r="C30" s="1007" t="str">
        <f t="shared" si="6"/>
        <v>MAYO  2026 2da QUINCENA2026</v>
      </c>
      <c r="D30" s="827" t="str">
        <f t="shared" si="15"/>
        <v>INFORMATICA</v>
      </c>
      <c r="E30" s="235">
        <v>104020</v>
      </c>
      <c r="F30" s="806">
        <v>11</v>
      </c>
      <c r="G30" s="167" t="s">
        <v>682</v>
      </c>
      <c r="H30" s="246" t="s">
        <v>377</v>
      </c>
      <c r="I30" s="244" t="s">
        <v>11</v>
      </c>
      <c r="J30" s="797"/>
      <c r="K30" s="813"/>
      <c r="L30" s="813"/>
      <c r="M30" s="201">
        <f t="shared" si="16"/>
        <v>0</v>
      </c>
      <c r="N30" s="717"/>
    </row>
    <row r="31" spans="1:14" s="810" customFormat="1" ht="15" customHeight="1" outlineLevel="1">
      <c r="A31" s="1006" t="str">
        <f t="shared" si="5"/>
        <v>MAYO  2026 2da QUINCENA</v>
      </c>
      <c r="B31" s="1006">
        <f t="shared" si="0"/>
        <v>2026</v>
      </c>
      <c r="C31" s="1007" t="str">
        <f t="shared" si="6"/>
        <v>MAYO  2026 2da QUINCENA2026</v>
      </c>
      <c r="D31" s="827" t="str">
        <f t="shared" si="15"/>
        <v>INFORMATICA</v>
      </c>
      <c r="E31" s="235">
        <v>104020</v>
      </c>
      <c r="F31" s="806">
        <v>12</v>
      </c>
      <c r="G31" s="167" t="s">
        <v>683</v>
      </c>
      <c r="H31" s="246" t="s">
        <v>377</v>
      </c>
      <c r="I31" s="244" t="s">
        <v>11</v>
      </c>
      <c r="J31" s="797"/>
      <c r="K31" s="813"/>
      <c r="L31" s="813"/>
      <c r="M31" s="201">
        <f t="shared" si="16"/>
        <v>0</v>
      </c>
      <c r="N31" s="717"/>
    </row>
    <row r="32" spans="1:14" s="810" customFormat="1" ht="15.75" customHeight="1" outlineLevel="1" thickBot="1">
      <c r="A32" s="1006" t="s">
        <v>52</v>
      </c>
      <c r="B32" s="1006" t="s">
        <v>52</v>
      </c>
      <c r="C32" s="1007" t="str">
        <f t="shared" si="6"/>
        <v xml:space="preserve">  </v>
      </c>
      <c r="D32" s="717"/>
      <c r="E32" s="235"/>
      <c r="F32" s="776"/>
      <c r="G32" s="719"/>
      <c r="H32" s="717" t="s">
        <v>375</v>
      </c>
      <c r="I32" s="778"/>
      <c r="J32" s="854">
        <f t="shared" ref="J32:M32" si="17">+SUM(J29:J31)</f>
        <v>0</v>
      </c>
      <c r="K32" s="854">
        <f t="shared" si="17"/>
        <v>0</v>
      </c>
      <c r="L32" s="854"/>
      <c r="M32" s="854">
        <f t="shared" si="17"/>
        <v>0</v>
      </c>
      <c r="N32" s="854"/>
    </row>
    <row r="33" spans="1:14" s="810" customFormat="1" ht="15.75" customHeight="1" outlineLevel="1" thickTop="1">
      <c r="A33" s="1006" t="s">
        <v>52</v>
      </c>
      <c r="B33" s="1006" t="s">
        <v>52</v>
      </c>
      <c r="C33" s="1007" t="str">
        <f t="shared" si="6"/>
        <v xml:space="preserve">  </v>
      </c>
      <c r="D33" s="717"/>
      <c r="E33" s="235">
        <v>105010</v>
      </c>
      <c r="F33" s="776"/>
      <c r="G33" s="779" t="s">
        <v>707</v>
      </c>
      <c r="H33" s="717"/>
      <c r="I33" s="778"/>
      <c r="J33" s="841"/>
      <c r="K33" s="841"/>
      <c r="L33" s="841"/>
      <c r="M33" s="841"/>
      <c r="N33" s="717"/>
    </row>
    <row r="34" spans="1:14" s="810" customFormat="1" ht="15.75" customHeight="1" outlineLevel="1">
      <c r="A34" s="1006" t="str">
        <f t="shared" si="5"/>
        <v>MAYO  2026 2da QUINCENA</v>
      </c>
      <c r="B34" s="1006">
        <f t="shared" si="0"/>
        <v>2026</v>
      </c>
      <c r="C34" s="1007" t="str">
        <f t="shared" si="6"/>
        <v>MAYO  2026 2da QUINCENA2026</v>
      </c>
      <c r="D34" s="776" t="str">
        <f>+$G$33</f>
        <v>AUDITORIA INTERNA</v>
      </c>
      <c r="E34" s="235">
        <v>105010</v>
      </c>
      <c r="F34" s="776"/>
      <c r="G34" s="779" t="s">
        <v>623</v>
      </c>
      <c r="H34" s="717"/>
      <c r="I34" s="778"/>
      <c r="J34" s="841"/>
      <c r="K34" s="841"/>
      <c r="L34" s="841"/>
      <c r="M34" s="841"/>
      <c r="N34" s="717"/>
    </row>
    <row r="35" spans="1:14" s="216" customFormat="1" ht="15" customHeight="1" outlineLevel="1">
      <c r="A35" s="1006" t="str">
        <f t="shared" si="5"/>
        <v>MAYO  2026 2da QUINCENA</v>
      </c>
      <c r="B35" s="1006">
        <f t="shared" si="0"/>
        <v>2026</v>
      </c>
      <c r="C35" s="1007" t="str">
        <f t="shared" si="6"/>
        <v>MAYO  2026 2da QUINCENA2026</v>
      </c>
      <c r="D35" s="235" t="str">
        <f t="shared" ref="D35" si="18">+$G$33</f>
        <v>AUDITORIA INTERNA</v>
      </c>
      <c r="E35" s="235">
        <v>105010</v>
      </c>
      <c r="F35" s="268">
        <v>13</v>
      </c>
      <c r="G35" s="199" t="s">
        <v>418</v>
      </c>
      <c r="H35" s="200" t="s">
        <v>67</v>
      </c>
      <c r="I35" s="201" t="s">
        <v>11</v>
      </c>
      <c r="J35" s="201"/>
      <c r="K35" s="201"/>
      <c r="L35" s="200">
        <v>350</v>
      </c>
      <c r="M35" s="201">
        <f t="shared" ref="M35:M37" si="19">SUM(J35:L35)</f>
        <v>350</v>
      </c>
      <c r="N35" s="821"/>
    </row>
    <row r="36" spans="1:14" s="216" customFormat="1" ht="15" customHeight="1" outlineLevel="1">
      <c r="A36" s="1006"/>
      <c r="B36" s="1006"/>
      <c r="C36" s="1007"/>
      <c r="D36" s="235"/>
      <c r="E36" s="235">
        <v>105010</v>
      </c>
      <c r="F36" s="268"/>
      <c r="G36" s="199" t="s">
        <v>759</v>
      </c>
      <c r="H36" s="200" t="s">
        <v>760</v>
      </c>
      <c r="I36" s="201" t="s">
        <v>11</v>
      </c>
      <c r="J36" s="201"/>
      <c r="K36" s="201"/>
      <c r="L36" s="201"/>
      <c r="M36" s="201">
        <f t="shared" si="19"/>
        <v>0</v>
      </c>
      <c r="N36" s="821"/>
    </row>
    <row r="37" spans="1:14" s="216" customFormat="1" ht="15" customHeight="1" outlineLevel="1">
      <c r="A37" s="1006"/>
      <c r="B37" s="1006"/>
      <c r="C37" s="1007"/>
      <c r="D37" s="235"/>
      <c r="E37" s="235">
        <v>105010</v>
      </c>
      <c r="F37" s="268"/>
      <c r="G37" s="199" t="s">
        <v>753</v>
      </c>
      <c r="H37" s="200" t="s">
        <v>754</v>
      </c>
      <c r="I37" s="201" t="s">
        <v>11</v>
      </c>
      <c r="J37" s="201"/>
      <c r="K37" s="201"/>
      <c r="L37" s="201"/>
      <c r="M37" s="201">
        <f t="shared" si="19"/>
        <v>0</v>
      </c>
      <c r="N37" s="821"/>
    </row>
    <row r="38" spans="1:14" s="798" customFormat="1" ht="15.75" customHeight="1" outlineLevel="1" thickBot="1">
      <c r="A38" s="1006"/>
      <c r="B38" s="1006"/>
      <c r="C38" s="1007"/>
      <c r="D38" s="801"/>
      <c r="E38" s="235"/>
      <c r="F38" s="801"/>
      <c r="G38" s="719"/>
      <c r="H38" s="717" t="s">
        <v>684</v>
      </c>
      <c r="I38" s="778"/>
      <c r="J38" s="982">
        <f t="shared" ref="J38:M38" si="20">SUM(J35:J37)</f>
        <v>0</v>
      </c>
      <c r="K38" s="982">
        <f t="shared" si="20"/>
        <v>0</v>
      </c>
      <c r="L38" s="982"/>
      <c r="M38" s="982">
        <f t="shared" si="20"/>
        <v>350</v>
      </c>
      <c r="N38" s="982"/>
    </row>
    <row r="39" spans="1:14" s="778" customFormat="1" ht="15" customHeight="1" outlineLevel="1" thickTop="1">
      <c r="A39" s="1006"/>
      <c r="B39" s="1006"/>
      <c r="C39" s="1007"/>
      <c r="D39" s="776"/>
      <c r="E39" s="235"/>
      <c r="F39" s="776"/>
      <c r="G39" s="779" t="s">
        <v>708</v>
      </c>
      <c r="H39" s="776"/>
    </row>
    <row r="40" spans="1:14" s="778" customFormat="1" ht="15" customHeight="1" outlineLevel="1">
      <c r="A40" s="1006" t="str">
        <f t="shared" si="5"/>
        <v>MAYO  2026 2da QUINCENA</v>
      </c>
      <c r="B40" s="1006">
        <f t="shared" si="0"/>
        <v>2026</v>
      </c>
      <c r="C40" s="1007" t="str">
        <f t="shared" si="6"/>
        <v>MAYO  2026 2da QUINCENA2026</v>
      </c>
      <c r="D40" s="776" t="str">
        <f>+$G$39</f>
        <v>CONTABLE FINANCIERO</v>
      </c>
      <c r="E40" s="776">
        <v>106010</v>
      </c>
      <c r="F40" s="776"/>
      <c r="G40" s="779" t="s">
        <v>623</v>
      </c>
      <c r="H40" s="776"/>
    </row>
    <row r="41" spans="1:14" s="778" customFormat="1" ht="15" customHeight="1" outlineLevel="1">
      <c r="A41" s="1006" t="str">
        <f t="shared" si="5"/>
        <v>MAYO  2026 2da QUINCENA</v>
      </c>
      <c r="B41" s="1006">
        <f t="shared" si="0"/>
        <v>2026</v>
      </c>
      <c r="C41" s="1007" t="str">
        <f t="shared" si="6"/>
        <v>MAYO  2026 2da QUINCENA2026</v>
      </c>
      <c r="D41" s="776" t="str">
        <f>+$G$39</f>
        <v>CONTABLE FINANCIERO</v>
      </c>
      <c r="E41" s="776">
        <v>106010</v>
      </c>
      <c r="F41" s="806">
        <v>16</v>
      </c>
      <c r="G41" s="167" t="s">
        <v>611</v>
      </c>
      <c r="H41" s="246" t="s">
        <v>333</v>
      </c>
      <c r="I41" s="244" t="s">
        <v>11</v>
      </c>
      <c r="J41" s="201"/>
      <c r="K41" s="244"/>
      <c r="L41" s="244"/>
      <c r="M41" s="201">
        <f t="shared" ref="M41:M47" si="21">SUM(J41:L41)</f>
        <v>0</v>
      </c>
    </row>
    <row r="42" spans="1:14" s="778" customFormat="1" ht="15" customHeight="1" outlineLevel="1">
      <c r="A42" s="1006" t="s">
        <v>52</v>
      </c>
      <c r="B42" s="1006" t="s">
        <v>52</v>
      </c>
      <c r="C42" s="1007" t="s">
        <v>52</v>
      </c>
      <c r="D42" s="776"/>
      <c r="E42" s="776">
        <v>106020</v>
      </c>
      <c r="F42" s="806"/>
      <c r="G42" s="779" t="s">
        <v>709</v>
      </c>
      <c r="H42" s="246" t="s">
        <v>52</v>
      </c>
      <c r="I42" s="244"/>
      <c r="J42" s="244"/>
      <c r="K42" s="244"/>
      <c r="L42" s="244"/>
      <c r="M42" s="244"/>
    </row>
    <row r="43" spans="1:14" s="938" customFormat="1" ht="15" customHeight="1" outlineLevel="1">
      <c r="A43" s="1287" t="str">
        <f t="shared" si="5"/>
        <v>MAYO  2026 2da QUINCENA</v>
      </c>
      <c r="B43" s="1287">
        <f t="shared" si="0"/>
        <v>2026</v>
      </c>
      <c r="C43" s="1288" t="str">
        <f t="shared" si="6"/>
        <v>MAYO  2026 2da QUINCENA2026</v>
      </c>
      <c r="D43" s="1289" t="str">
        <f>+$G$42</f>
        <v>CONTABILIDAD</v>
      </c>
      <c r="E43" s="1289">
        <v>106020</v>
      </c>
      <c r="F43" s="1290">
        <f>+F41+1</f>
        <v>17</v>
      </c>
      <c r="G43" s="1291" t="s">
        <v>461</v>
      </c>
      <c r="H43" s="1292" t="s">
        <v>723</v>
      </c>
      <c r="I43" s="1256" t="s">
        <v>11</v>
      </c>
      <c r="J43" s="1256"/>
      <c r="K43" s="1256">
        <v>1068</v>
      </c>
      <c r="L43" s="1256"/>
      <c r="M43" s="201">
        <f t="shared" si="21"/>
        <v>1068</v>
      </c>
    </row>
    <row r="44" spans="1:14" s="216" customFormat="1" ht="15" customHeight="1" outlineLevel="1">
      <c r="A44" s="1006"/>
      <c r="B44" s="1006"/>
      <c r="C44" s="1007"/>
      <c r="D44" s="235"/>
      <c r="E44" s="235">
        <v>106020</v>
      </c>
      <c r="F44" s="1253"/>
      <c r="G44" s="199" t="s">
        <v>769</v>
      </c>
      <c r="H44" s="200" t="s">
        <v>676</v>
      </c>
      <c r="I44" s="201" t="s">
        <v>11</v>
      </c>
      <c r="J44" s="201"/>
      <c r="K44" s="201"/>
      <c r="L44" s="201"/>
      <c r="M44" s="201">
        <f t="shared" si="21"/>
        <v>0</v>
      </c>
      <c r="N44" s="821"/>
    </row>
    <row r="45" spans="1:14" s="216" customFormat="1" ht="15" customHeight="1" outlineLevel="1">
      <c r="A45" s="1006" t="str">
        <f t="shared" si="5"/>
        <v>MAYO  2026 2da QUINCENA</v>
      </c>
      <c r="B45" s="1006">
        <f t="shared" si="0"/>
        <v>2026</v>
      </c>
      <c r="C45" s="1007" t="str">
        <f t="shared" si="6"/>
        <v>MAYO  2026 2da QUINCENA2026</v>
      </c>
      <c r="D45" s="235" t="str">
        <f t="shared" ref="D45" si="22">+$G$42</f>
        <v>CONTABILIDAD</v>
      </c>
      <c r="E45" s="235">
        <v>106020</v>
      </c>
      <c r="F45" s="1253" t="e">
        <f>+#REF!+1</f>
        <v>#REF!</v>
      </c>
      <c r="G45" s="199" t="s">
        <v>678</v>
      </c>
      <c r="H45" s="200" t="s">
        <v>65</v>
      </c>
      <c r="I45" s="201" t="s">
        <v>11</v>
      </c>
      <c r="J45" s="201"/>
      <c r="K45" s="201"/>
      <c r="L45" s="201">
        <v>350</v>
      </c>
      <c r="M45" s="201">
        <f t="shared" si="21"/>
        <v>350</v>
      </c>
      <c r="N45" s="821"/>
    </row>
    <row r="46" spans="1:14" s="216" customFormat="1" ht="15" customHeight="1" outlineLevel="1">
      <c r="A46" s="1006"/>
      <c r="B46" s="1006"/>
      <c r="C46" s="1007"/>
      <c r="D46" s="235"/>
      <c r="E46" s="235">
        <v>106020</v>
      </c>
      <c r="F46" s="1253"/>
      <c r="G46" s="199" t="s">
        <v>751</v>
      </c>
      <c r="H46" s="200" t="s">
        <v>752</v>
      </c>
      <c r="I46" s="201" t="s">
        <v>11</v>
      </c>
      <c r="J46" s="244"/>
      <c r="K46" s="201"/>
      <c r="L46" s="201"/>
      <c r="M46" s="201">
        <f t="shared" si="21"/>
        <v>0</v>
      </c>
      <c r="N46" s="821"/>
    </row>
    <row r="47" spans="1:14" s="216" customFormat="1" ht="15" customHeight="1" outlineLevel="1">
      <c r="A47" s="1006"/>
      <c r="B47" s="1006"/>
      <c r="C47" s="1007"/>
      <c r="D47" s="776"/>
      <c r="E47" s="776"/>
      <c r="F47" s="1189"/>
      <c r="G47" s="199"/>
      <c r="H47" s="200"/>
      <c r="I47" s="201"/>
      <c r="J47" s="244"/>
      <c r="K47" s="201"/>
      <c r="L47" s="201"/>
      <c r="M47" s="201">
        <f t="shared" si="21"/>
        <v>0</v>
      </c>
      <c r="N47" s="821"/>
    </row>
    <row r="48" spans="1:14" s="778" customFormat="1" ht="15.75" customHeight="1" outlineLevel="1">
      <c r="A48" s="1006" t="s">
        <v>52</v>
      </c>
      <c r="B48" s="1006" t="s">
        <v>52</v>
      </c>
      <c r="C48" s="1007" t="s">
        <v>52</v>
      </c>
      <c r="D48" s="776"/>
      <c r="E48" s="776"/>
      <c r="F48" s="776"/>
      <c r="G48" s="723"/>
      <c r="H48" s="717" t="s">
        <v>131</v>
      </c>
      <c r="J48" s="869">
        <f t="shared" ref="J48:M48" si="23">SUM(J41:J47)</f>
        <v>0</v>
      </c>
      <c r="K48" s="869">
        <f t="shared" si="23"/>
        <v>1068</v>
      </c>
      <c r="L48" s="869"/>
      <c r="M48" s="869">
        <f t="shared" si="23"/>
        <v>1418</v>
      </c>
      <c r="N48" s="869"/>
    </row>
    <row r="49" spans="1:14" s="778" customFormat="1" ht="15.75" customHeight="1" outlineLevel="1">
      <c r="A49" s="1006" t="str">
        <f t="shared" si="5"/>
        <v>MAYO  2026 2da QUINCENA</v>
      </c>
      <c r="B49" s="1006">
        <f t="shared" si="0"/>
        <v>2026</v>
      </c>
      <c r="C49" s="1007" t="str">
        <f t="shared" si="6"/>
        <v>MAYO  2026 2da QUINCENA2026</v>
      </c>
      <c r="D49" s="776"/>
      <c r="E49" s="235">
        <v>106030</v>
      </c>
      <c r="F49" s="776"/>
      <c r="G49" s="779" t="s">
        <v>710</v>
      </c>
      <c r="H49" s="717"/>
      <c r="J49" s="815"/>
      <c r="K49" s="815"/>
      <c r="L49" s="815"/>
      <c r="M49" s="815"/>
      <c r="N49" s="717"/>
    </row>
    <row r="50" spans="1:14" s="216" customFormat="1" ht="15" customHeight="1" outlineLevel="1">
      <c r="A50" s="1006"/>
      <c r="B50" s="1006"/>
      <c r="C50" s="1007"/>
      <c r="D50" s="235"/>
      <c r="E50" s="235">
        <v>106030</v>
      </c>
      <c r="F50" s="268">
        <v>22</v>
      </c>
      <c r="G50" s="199" t="s">
        <v>727</v>
      </c>
      <c r="H50" s="200" t="s">
        <v>728</v>
      </c>
      <c r="I50" s="201" t="s">
        <v>11</v>
      </c>
      <c r="J50" s="201"/>
      <c r="K50" s="201"/>
      <c r="L50" s="201">
        <v>350</v>
      </c>
      <c r="M50" s="201">
        <f t="shared" ref="M50" si="24">SUM(J50:L50)</f>
        <v>350</v>
      </c>
      <c r="N50" s="821"/>
    </row>
    <row r="51" spans="1:14" s="778" customFormat="1" ht="15.75" customHeight="1" outlineLevel="1">
      <c r="A51" s="1006" t="s">
        <v>52</v>
      </c>
      <c r="B51" s="1006" t="s">
        <v>52</v>
      </c>
      <c r="C51" s="1007" t="s">
        <v>52</v>
      </c>
      <c r="D51" s="776"/>
      <c r="E51" s="776"/>
      <c r="F51" s="776"/>
      <c r="G51" s="723"/>
      <c r="H51" s="717" t="s">
        <v>625</v>
      </c>
      <c r="J51" s="824">
        <f t="shared" ref="J51:M51" si="25">+J50</f>
        <v>0</v>
      </c>
      <c r="K51" s="824">
        <f t="shared" si="25"/>
        <v>0</v>
      </c>
      <c r="L51" s="824"/>
      <c r="M51" s="824">
        <f t="shared" si="25"/>
        <v>350</v>
      </c>
      <c r="N51" s="824"/>
    </row>
    <row r="52" spans="1:14" s="778" customFormat="1" ht="15.75" customHeight="1" outlineLevel="1">
      <c r="A52" s="1006" t="str">
        <f t="shared" si="5"/>
        <v>MAYO  2026 2da QUINCENA</v>
      </c>
      <c r="B52" s="1006">
        <f t="shared" si="0"/>
        <v>2026</v>
      </c>
      <c r="C52" s="1007" t="str">
        <f t="shared" si="6"/>
        <v>MAYO  2026 2da QUINCENA2026</v>
      </c>
      <c r="D52" s="776"/>
      <c r="E52" s="235">
        <v>106050</v>
      </c>
      <c r="F52" s="776"/>
      <c r="G52" s="779" t="s">
        <v>711</v>
      </c>
      <c r="H52" s="776"/>
      <c r="N52" s="717"/>
    </row>
    <row r="53" spans="1:14" s="216" customFormat="1" ht="15" customHeight="1" outlineLevel="1">
      <c r="A53" s="1006" t="str">
        <f t="shared" si="5"/>
        <v>MAYO  2026 2da QUINCENA</v>
      </c>
      <c r="B53" s="1006">
        <f t="shared" si="0"/>
        <v>2026</v>
      </c>
      <c r="C53" s="1007" t="str">
        <f t="shared" si="6"/>
        <v>MAYO  2026 2da QUINCENA2026</v>
      </c>
      <c r="D53" s="235" t="str">
        <f>+$G$52</f>
        <v>LEGAL</v>
      </c>
      <c r="E53" s="235">
        <v>106050</v>
      </c>
      <c r="F53" s="268">
        <v>23</v>
      </c>
      <c r="G53" s="199" t="s">
        <v>609</v>
      </c>
      <c r="H53" s="200" t="s">
        <v>677</v>
      </c>
      <c r="I53" s="201" t="s">
        <v>11</v>
      </c>
      <c r="J53" s="201"/>
      <c r="K53" s="201"/>
      <c r="L53" s="201"/>
      <c r="M53" s="201">
        <f t="shared" ref="M53" si="26">SUM(J53:L53)</f>
        <v>0</v>
      </c>
      <c r="N53" s="955"/>
    </row>
    <row r="54" spans="1:14" s="778" customFormat="1" ht="15.75" customHeight="1" outlineLevel="1">
      <c r="A54" s="1006" t="s">
        <v>52</v>
      </c>
      <c r="B54" s="1006" t="s">
        <v>52</v>
      </c>
      <c r="C54" s="1007" t="s">
        <v>52</v>
      </c>
      <c r="D54" s="776"/>
      <c r="E54" s="776"/>
      <c r="F54" s="776"/>
      <c r="G54" s="723"/>
      <c r="H54" s="717" t="s">
        <v>685</v>
      </c>
      <c r="J54" s="824">
        <f t="shared" ref="J54:M54" si="27">+J53</f>
        <v>0</v>
      </c>
      <c r="K54" s="824">
        <f t="shared" si="27"/>
        <v>0</v>
      </c>
      <c r="L54" s="824"/>
      <c r="M54" s="824">
        <f t="shared" si="27"/>
        <v>0</v>
      </c>
      <c r="N54" s="824"/>
    </row>
    <row r="55" spans="1:14" s="778" customFormat="1" ht="15.75" customHeight="1" outlineLevel="1">
      <c r="A55" s="1006" t="str">
        <f t="shared" si="5"/>
        <v>MAYO  2026 2da QUINCENA</v>
      </c>
      <c r="B55" s="1006">
        <f t="shared" si="0"/>
        <v>2026</v>
      </c>
      <c r="C55" s="1007" t="str">
        <f t="shared" si="6"/>
        <v>MAYO  2026 2da QUINCENA2026</v>
      </c>
      <c r="D55" s="776"/>
      <c r="E55" s="776">
        <v>106060</v>
      </c>
      <c r="F55" s="776"/>
      <c r="G55" s="779" t="s">
        <v>712</v>
      </c>
      <c r="H55" s="776"/>
      <c r="N55" s="717"/>
    </row>
    <row r="56" spans="1:14" s="216" customFormat="1" ht="15" customHeight="1" outlineLevel="1">
      <c r="A56" s="1006"/>
      <c r="B56" s="1006"/>
      <c r="C56" s="1007"/>
      <c r="D56" s="235"/>
      <c r="E56" s="235">
        <v>106060</v>
      </c>
      <c r="F56" s="268">
        <v>24</v>
      </c>
      <c r="G56" s="199" t="s">
        <v>720</v>
      </c>
      <c r="H56" s="200" t="s">
        <v>721</v>
      </c>
      <c r="I56" s="201" t="s">
        <v>11</v>
      </c>
      <c r="J56" s="201"/>
      <c r="K56" s="201"/>
      <c r="L56" s="201">
        <v>350</v>
      </c>
      <c r="M56" s="201">
        <f t="shared" ref="M56" si="28">SUM(J56:L56)</f>
        <v>350</v>
      </c>
      <c r="N56" s="955"/>
    </row>
    <row r="57" spans="1:14" s="778" customFormat="1" ht="15.75" customHeight="1" outlineLevel="1">
      <c r="A57" s="1006" t="s">
        <v>52</v>
      </c>
      <c r="B57" s="1006" t="s">
        <v>52</v>
      </c>
      <c r="C57" s="1007" t="s">
        <v>52</v>
      </c>
      <c r="D57" s="776"/>
      <c r="E57" s="776"/>
      <c r="F57" s="776"/>
      <c r="G57" s="723"/>
      <c r="H57" s="717" t="s">
        <v>627</v>
      </c>
      <c r="J57" s="824">
        <f t="shared" ref="J57:M57" si="29">SUM(J56)</f>
        <v>0</v>
      </c>
      <c r="K57" s="824">
        <f t="shared" si="29"/>
        <v>0</v>
      </c>
      <c r="L57" s="824"/>
      <c r="M57" s="824">
        <f t="shared" si="29"/>
        <v>350</v>
      </c>
      <c r="N57" s="824"/>
    </row>
    <row r="58" spans="1:14" s="778" customFormat="1" ht="15.75" customHeight="1" outlineLevel="1" thickBot="1">
      <c r="A58" s="1006" t="s">
        <v>52</v>
      </c>
      <c r="B58" s="1006" t="s">
        <v>52</v>
      </c>
      <c r="C58" s="1007" t="s">
        <v>52</v>
      </c>
      <c r="D58" s="776"/>
      <c r="E58" s="776"/>
      <c r="F58" s="776"/>
      <c r="G58" s="723"/>
      <c r="H58" s="717" t="s">
        <v>68</v>
      </c>
      <c r="J58" s="984">
        <f t="shared" ref="J58:M58" si="30">+J48+J51+J54+J57</f>
        <v>0</v>
      </c>
      <c r="K58" s="984">
        <f t="shared" si="30"/>
        <v>1068</v>
      </c>
      <c r="L58" s="984"/>
      <c r="M58" s="984">
        <f t="shared" si="30"/>
        <v>2118</v>
      </c>
      <c r="N58" s="984"/>
    </row>
    <row r="59" spans="1:14" s="778" customFormat="1" ht="15.75" customHeight="1" outlineLevel="1" thickTop="1">
      <c r="A59" s="1006" t="str">
        <f t="shared" si="5"/>
        <v>MAYO  2026 2da QUINCENA</v>
      </c>
      <c r="B59" s="1006">
        <f t="shared" si="0"/>
        <v>2026</v>
      </c>
      <c r="C59" s="1007" t="str">
        <f t="shared" si="6"/>
        <v>MAYO  2026 2da QUINCENA2026</v>
      </c>
      <c r="D59" s="776"/>
      <c r="E59" s="776">
        <v>303030</v>
      </c>
      <c r="F59" s="776"/>
      <c r="G59" s="723" t="s">
        <v>637</v>
      </c>
      <c r="H59" s="776"/>
      <c r="N59" s="717"/>
    </row>
    <row r="60" spans="1:14" s="778" customFormat="1" ht="15.75" customHeight="1" outlineLevel="1">
      <c r="A60" s="1006" t="str">
        <f t="shared" si="5"/>
        <v>MAYO  2026 2da QUINCENA</v>
      </c>
      <c r="B60" s="1006">
        <f t="shared" si="0"/>
        <v>2026</v>
      </c>
      <c r="C60" s="1007" t="str">
        <f t="shared" si="6"/>
        <v>MAYO  2026 2da QUINCENA2026</v>
      </c>
      <c r="D60" s="776"/>
      <c r="E60" s="776"/>
      <c r="F60" s="776"/>
      <c r="G60" s="723" t="s">
        <v>638</v>
      </c>
      <c r="H60" s="776"/>
      <c r="N60" s="717"/>
    </row>
    <row r="61" spans="1:14" s="778" customFormat="1" ht="15.75" customHeight="1" outlineLevel="1">
      <c r="A61" s="1006" t="str">
        <f t="shared" si="5"/>
        <v>MAYO  2026 2da QUINCENA</v>
      </c>
      <c r="B61" s="1006">
        <f t="shared" si="0"/>
        <v>2026</v>
      </c>
      <c r="C61" s="1007" t="str">
        <f t="shared" si="6"/>
        <v>MAYO  2026 2da QUINCENA2026</v>
      </c>
      <c r="D61" s="776"/>
      <c r="E61" s="776"/>
      <c r="F61" s="776"/>
      <c r="G61" s="723" t="s">
        <v>639</v>
      </c>
      <c r="H61" s="776"/>
      <c r="N61" s="717"/>
    </row>
    <row r="62" spans="1:14" s="778" customFormat="1" ht="15.75" customHeight="1" outlineLevel="1">
      <c r="A62" s="1006" t="str">
        <f t="shared" si="5"/>
        <v>MAYO  2026 2da QUINCENA</v>
      </c>
      <c r="B62" s="1006">
        <f t="shared" si="0"/>
        <v>2026</v>
      </c>
      <c r="C62" s="1007" t="str">
        <f t="shared" si="6"/>
        <v>MAYO  2026 2da QUINCENA2026</v>
      </c>
      <c r="D62" s="776"/>
      <c r="E62" s="776"/>
      <c r="F62" s="776"/>
      <c r="G62" s="723" t="s">
        <v>640</v>
      </c>
      <c r="H62" s="776"/>
      <c r="N62" s="717"/>
    </row>
    <row r="63" spans="1:14" s="778" customFormat="1" ht="15.75" customHeight="1" outlineLevel="1">
      <c r="A63" s="1006" t="str">
        <f t="shared" si="5"/>
        <v>MAYO  2026 2da QUINCENA</v>
      </c>
      <c r="B63" s="1006">
        <f t="shared" si="0"/>
        <v>2026</v>
      </c>
      <c r="C63" s="1007" t="str">
        <f t="shared" si="6"/>
        <v>MAYO  2026 2da QUINCENA2026</v>
      </c>
      <c r="D63" s="776"/>
      <c r="E63" s="776">
        <v>202010</v>
      </c>
      <c r="F63" s="776"/>
      <c r="G63" s="779" t="s">
        <v>159</v>
      </c>
      <c r="H63" s="776"/>
      <c r="N63" s="717"/>
    </row>
    <row r="64" spans="1:14" s="778" customFormat="1" ht="15.75" customHeight="1" outlineLevel="1">
      <c r="A64" s="1006" t="str">
        <f t="shared" si="5"/>
        <v>MAYO  2026 2da QUINCENA</v>
      </c>
      <c r="B64" s="1006">
        <f t="shared" si="0"/>
        <v>2026</v>
      </c>
      <c r="C64" s="1007" t="str">
        <f t="shared" si="6"/>
        <v>MAYO  2026 2da QUINCENA2026</v>
      </c>
      <c r="D64" s="776"/>
      <c r="E64" s="776">
        <v>202010</v>
      </c>
      <c r="F64" s="776"/>
      <c r="G64" s="723" t="s">
        <v>623</v>
      </c>
      <c r="H64" s="776"/>
      <c r="N64" s="717"/>
    </row>
    <row r="65" spans="1:14" s="778" customFormat="1" ht="15.75" customHeight="1" outlineLevel="1">
      <c r="A65" s="1006" t="s">
        <v>52</v>
      </c>
      <c r="B65" s="1006" t="s">
        <v>52</v>
      </c>
      <c r="C65" s="1007" t="s">
        <v>52</v>
      </c>
      <c r="D65" s="776"/>
      <c r="E65" s="776"/>
      <c r="F65" s="776"/>
      <c r="G65" s="723"/>
      <c r="H65" s="717"/>
      <c r="J65" s="841"/>
      <c r="K65" s="841"/>
      <c r="L65" s="841"/>
      <c r="M65" s="841"/>
      <c r="N65" s="717"/>
    </row>
    <row r="66" spans="1:14" s="778" customFormat="1" ht="15.75" customHeight="1" outlineLevel="1">
      <c r="A66" s="1006" t="str">
        <f t="shared" si="5"/>
        <v>MAYO  2026 2da QUINCENA</v>
      </c>
      <c r="B66" s="1006">
        <f t="shared" si="0"/>
        <v>2026</v>
      </c>
      <c r="C66" s="1007" t="str">
        <f t="shared" si="6"/>
        <v>MAYO  2026 2da QUINCENA2026</v>
      </c>
      <c r="D66" s="776"/>
      <c r="E66" s="776">
        <v>301010</v>
      </c>
      <c r="F66" s="776"/>
      <c r="G66" s="779" t="s">
        <v>195</v>
      </c>
      <c r="H66" s="717"/>
      <c r="J66" s="841"/>
      <c r="K66" s="841"/>
      <c r="L66" s="841"/>
      <c r="M66" s="841"/>
      <c r="N66" s="717"/>
    </row>
    <row r="67" spans="1:14" s="778" customFormat="1" ht="15.75" customHeight="1" outlineLevel="1">
      <c r="A67" s="1006" t="str">
        <f t="shared" si="5"/>
        <v>MAYO  2026 2da QUINCENA</v>
      </c>
      <c r="B67" s="1006">
        <f t="shared" si="0"/>
        <v>2026</v>
      </c>
      <c r="C67" s="1007" t="str">
        <f t="shared" si="6"/>
        <v>MAYO  2026 2da QUINCENA2026</v>
      </c>
      <c r="D67" s="776" t="str">
        <f>+$G$66</f>
        <v>Produccion</v>
      </c>
      <c r="E67" s="776">
        <v>301010</v>
      </c>
      <c r="F67" s="776"/>
      <c r="G67" s="723" t="s">
        <v>623</v>
      </c>
      <c r="H67" s="717"/>
      <c r="J67" s="841"/>
      <c r="K67" s="841"/>
      <c r="L67" s="841"/>
      <c r="M67" s="841"/>
      <c r="N67" s="717"/>
    </row>
    <row r="68" spans="1:14" s="216" customFormat="1" ht="15" customHeight="1" outlineLevel="1">
      <c r="A68" s="1006"/>
      <c r="B68" s="1006"/>
      <c r="C68" s="1007"/>
      <c r="D68" s="776"/>
      <c r="E68" s="776"/>
      <c r="F68" s="268"/>
      <c r="G68" s="199"/>
      <c r="H68" s="200"/>
      <c r="I68" s="201"/>
      <c r="J68" s="201"/>
      <c r="K68" s="201"/>
      <c r="L68" s="201"/>
      <c r="M68" s="201"/>
      <c r="N68" s="821"/>
    </row>
    <row r="69" spans="1:14" s="844" customFormat="1" ht="15" customHeight="1" outlineLevel="1">
      <c r="A69" s="1006"/>
      <c r="B69" s="1006"/>
      <c r="C69" s="1007"/>
      <c r="D69" s="235"/>
      <c r="E69" s="776"/>
      <c r="F69" s="268"/>
      <c r="G69" s="199"/>
      <c r="H69" s="200"/>
      <c r="I69" s="201"/>
      <c r="J69" s="201"/>
      <c r="K69" s="201"/>
      <c r="L69" s="201"/>
      <c r="M69" s="201"/>
      <c r="N69" s="821"/>
    </row>
    <row r="70" spans="1:14" s="778" customFormat="1" ht="15.75" customHeight="1" outlineLevel="1">
      <c r="A70" s="1006" t="s">
        <v>52</v>
      </c>
      <c r="B70" s="1006" t="s">
        <v>52</v>
      </c>
      <c r="C70" s="1007" t="s">
        <v>52</v>
      </c>
      <c r="D70" s="776"/>
      <c r="E70" s="776">
        <v>301010</v>
      </c>
      <c r="F70" s="776"/>
      <c r="G70" s="723"/>
      <c r="H70" s="717"/>
      <c r="J70" s="864">
        <f t="shared" ref="J70:M70" si="31">SUM(J68:J69)</f>
        <v>0</v>
      </c>
      <c r="K70" s="864">
        <f t="shared" si="31"/>
        <v>0</v>
      </c>
      <c r="L70" s="864"/>
      <c r="M70" s="864">
        <f t="shared" si="31"/>
        <v>0</v>
      </c>
      <c r="N70" s="864"/>
    </row>
    <row r="71" spans="1:14" s="216" customFormat="1" ht="15" customHeight="1" outlineLevel="1">
      <c r="A71" s="1006" t="str">
        <f t="shared" si="5"/>
        <v>MAYO  2026 2da QUINCENA</v>
      </c>
      <c r="B71" s="1006">
        <f t="shared" si="0"/>
        <v>2026</v>
      </c>
      <c r="C71" s="1007" t="str">
        <f t="shared" si="6"/>
        <v>MAYO  2026 2da QUINCENA2026</v>
      </c>
      <c r="D71" s="235"/>
      <c r="E71" s="235">
        <v>301020</v>
      </c>
      <c r="F71" s="268"/>
      <c r="G71" s="976" t="s">
        <v>641</v>
      </c>
      <c r="H71" s="235"/>
      <c r="M71" s="961"/>
    </row>
    <row r="72" spans="1:14" s="235" customFormat="1" ht="15" customHeight="1" outlineLevel="1">
      <c r="A72" s="1006"/>
      <c r="B72" s="1006"/>
      <c r="C72" s="1007"/>
      <c r="E72" s="235">
        <v>301020</v>
      </c>
      <c r="F72" s="806"/>
      <c r="G72" s="199"/>
      <c r="H72" s="200"/>
      <c r="I72" s="200"/>
      <c r="J72" s="201"/>
      <c r="K72" s="201"/>
      <c r="L72" s="201"/>
      <c r="M72" s="201">
        <f t="shared" ref="M72" si="32">SUM(J72:L72)</f>
        <v>0</v>
      </c>
    </row>
    <row r="73" spans="1:14" s="216" customFormat="1" ht="15" customHeight="1" outlineLevel="1">
      <c r="A73" s="1006" t="str">
        <f t="shared" si="5"/>
        <v>MAYO  2026 2da QUINCENA</v>
      </c>
      <c r="B73" s="1006">
        <f t="shared" si="0"/>
        <v>2026</v>
      </c>
      <c r="C73" s="1007" t="str">
        <f t="shared" si="6"/>
        <v>MAYO  2026 2da QUINCENA2026</v>
      </c>
      <c r="D73" s="235"/>
      <c r="E73" s="235">
        <v>301020</v>
      </c>
      <c r="F73" s="268"/>
      <c r="G73" s="956"/>
      <c r="H73" s="235" t="s">
        <v>687</v>
      </c>
      <c r="J73" s="869">
        <f t="shared" ref="J73:M73" si="33">SUM(J72:J72)</f>
        <v>0</v>
      </c>
      <c r="K73" s="869">
        <f t="shared" si="33"/>
        <v>0</v>
      </c>
      <c r="L73" s="869"/>
      <c r="M73" s="869">
        <f t="shared" si="33"/>
        <v>0</v>
      </c>
      <c r="N73" s="869"/>
    </row>
    <row r="74" spans="1:14" s="216" customFormat="1" ht="15" customHeight="1" outlineLevel="1">
      <c r="A74" s="1006" t="str">
        <f t="shared" si="5"/>
        <v>MAYO  2026 2da QUINCENA</v>
      </c>
      <c r="B74" s="1006">
        <f t="shared" si="0"/>
        <v>2026</v>
      </c>
      <c r="C74" s="1007" t="str">
        <f t="shared" si="6"/>
        <v>MAYO  2026 2da QUINCENA2026</v>
      </c>
      <c r="D74" s="235"/>
      <c r="E74" s="235">
        <v>301030</v>
      </c>
      <c r="F74" s="268"/>
      <c r="G74" s="976" t="s">
        <v>642</v>
      </c>
      <c r="H74" s="235"/>
      <c r="M74" s="961"/>
    </row>
    <row r="75" spans="1:14" s="216" customFormat="1" ht="15" customHeight="1" outlineLevel="1">
      <c r="A75" s="1006"/>
      <c r="B75" s="1006"/>
      <c r="C75" s="1007"/>
      <c r="D75" s="235"/>
      <c r="E75" s="235">
        <v>301030</v>
      </c>
      <c r="F75" s="268"/>
      <c r="G75" s="199"/>
      <c r="H75" s="200"/>
      <c r="I75" s="200"/>
      <c r="J75" s="201"/>
      <c r="K75" s="201"/>
      <c r="L75" s="201"/>
      <c r="M75" s="201">
        <f t="shared" ref="M75" si="34">SUM(J75:L75)</f>
        <v>0</v>
      </c>
    </row>
    <row r="76" spans="1:14" s="216" customFormat="1" ht="15" customHeight="1" outlineLevel="1">
      <c r="A76" s="1006" t="s">
        <v>52</v>
      </c>
      <c r="B76" s="1006" t="s">
        <v>52</v>
      </c>
      <c r="C76" s="1007" t="s">
        <v>52</v>
      </c>
      <c r="D76" s="235"/>
      <c r="E76" s="235">
        <v>301030</v>
      </c>
      <c r="F76" s="268"/>
      <c r="G76" s="956"/>
      <c r="H76" s="235" t="s">
        <v>657</v>
      </c>
      <c r="J76" s="869">
        <f t="shared" ref="J76:M76" si="35">SUM(J75:J75)</f>
        <v>0</v>
      </c>
      <c r="K76" s="869">
        <f t="shared" si="35"/>
        <v>0</v>
      </c>
      <c r="L76" s="869"/>
      <c r="M76" s="869">
        <f t="shared" si="35"/>
        <v>0</v>
      </c>
      <c r="N76" s="869"/>
    </row>
    <row r="77" spans="1:14" s="216" customFormat="1" ht="15" customHeight="1" outlineLevel="1">
      <c r="A77" s="1006" t="s">
        <v>52</v>
      </c>
      <c r="B77" s="1006" t="s">
        <v>52</v>
      </c>
      <c r="C77" s="1007" t="s">
        <v>52</v>
      </c>
      <c r="D77" s="235"/>
      <c r="E77" s="235"/>
      <c r="F77" s="268"/>
      <c r="G77" s="976" t="s">
        <v>643</v>
      </c>
      <c r="H77" s="235"/>
      <c r="M77" s="961"/>
    </row>
    <row r="78" spans="1:14" s="216" customFormat="1" ht="15" customHeight="1" outlineLevel="1">
      <c r="A78" s="1006" t="s">
        <v>52</v>
      </c>
      <c r="B78" s="1006" t="s">
        <v>52</v>
      </c>
      <c r="C78" s="1007" t="s">
        <v>52</v>
      </c>
      <c r="D78" s="235"/>
      <c r="E78" s="235"/>
      <c r="F78" s="268"/>
      <c r="G78" s="976" t="s">
        <v>644</v>
      </c>
      <c r="H78" s="235"/>
      <c r="M78" s="961"/>
    </row>
    <row r="79" spans="1:14" s="216" customFormat="1" ht="15" customHeight="1" outlineLevel="1" thickBot="1">
      <c r="A79" s="1006" t="s">
        <v>52</v>
      </c>
      <c r="B79" s="1006" t="s">
        <v>52</v>
      </c>
      <c r="C79" s="1007" t="s">
        <v>52</v>
      </c>
      <c r="D79" s="235"/>
      <c r="E79" s="235"/>
      <c r="F79" s="268"/>
      <c r="G79" s="976"/>
      <c r="H79" s="821" t="s">
        <v>688</v>
      </c>
      <c r="J79" s="868">
        <f t="shared" ref="J79:M79" si="36">+J70+J73+J76</f>
        <v>0</v>
      </c>
      <c r="K79" s="868">
        <f t="shared" si="36"/>
        <v>0</v>
      </c>
      <c r="L79" s="868"/>
      <c r="M79" s="868">
        <f t="shared" si="36"/>
        <v>0</v>
      </c>
      <c r="N79" s="868"/>
    </row>
    <row r="80" spans="1:14" s="216" customFormat="1" ht="15" customHeight="1" outlineLevel="1" thickTop="1">
      <c r="A80" s="1006" t="str">
        <f>$G$4</f>
        <v>MAYO  2026 2da QUINCENA</v>
      </c>
      <c r="B80" s="1006">
        <f>+$G$5</f>
        <v>2026</v>
      </c>
      <c r="C80" s="1007" t="str">
        <f t="shared" ref="C80:C138" si="37">A80 &amp; B80</f>
        <v>MAYO  2026 2da QUINCENA2026</v>
      </c>
      <c r="D80" s="235"/>
      <c r="E80" s="235">
        <v>302010</v>
      </c>
      <c r="F80" s="268"/>
      <c r="G80" s="977" t="s">
        <v>99</v>
      </c>
      <c r="H80" s="235"/>
      <c r="M80" s="961"/>
    </row>
    <row r="81" spans="1:14" s="216" customFormat="1" ht="15" customHeight="1" outlineLevel="1">
      <c r="A81" s="1006" t="str">
        <f>$G$4</f>
        <v>MAYO  2026 2da QUINCENA</v>
      </c>
      <c r="B81" s="1006">
        <f>+$G$5</f>
        <v>2026</v>
      </c>
      <c r="C81" s="1007" t="str">
        <f t="shared" si="37"/>
        <v>MAYO  2026 2da QUINCENA2026</v>
      </c>
      <c r="D81" s="235"/>
      <c r="E81" s="235">
        <v>302010</v>
      </c>
      <c r="F81" s="268"/>
      <c r="G81" s="976" t="s">
        <v>623</v>
      </c>
      <c r="H81" s="235"/>
      <c r="M81" s="961"/>
    </row>
    <row r="82" spans="1:14" s="1283" customFormat="1" ht="15" customHeight="1" outlineLevel="1">
      <c r="A82" s="1257"/>
      <c r="B82" s="1257"/>
      <c r="C82" s="1258"/>
      <c r="D82" s="1259"/>
      <c r="E82" s="1259">
        <v>302010</v>
      </c>
      <c r="F82" s="1260">
        <v>27</v>
      </c>
      <c r="G82" s="1261" t="s">
        <v>737</v>
      </c>
      <c r="H82" s="1194" t="s">
        <v>738</v>
      </c>
      <c r="I82" s="1194" t="s">
        <v>11</v>
      </c>
      <c r="J82" s="1193"/>
      <c r="K82" s="1193"/>
      <c r="L82" s="1193"/>
      <c r="M82" s="201">
        <f t="shared" ref="M82:M83" si="38">SUM(J82:L82)</f>
        <v>0</v>
      </c>
      <c r="N82" s="1280"/>
    </row>
    <row r="83" spans="1:14" s="216" customFormat="1" ht="15" customHeight="1" outlineLevel="1">
      <c r="A83" s="1006" t="str">
        <f>$G$4</f>
        <v>MAYO  2026 2da QUINCENA</v>
      </c>
      <c r="B83" s="1006">
        <f>+$G$5</f>
        <v>2026</v>
      </c>
      <c r="C83" s="1007" t="str">
        <f t="shared" si="37"/>
        <v>MAYO  2026 2da QUINCENA2026</v>
      </c>
      <c r="D83" s="235" t="str">
        <f>+G80</f>
        <v>LOGISTICA</v>
      </c>
      <c r="E83" s="235">
        <v>302010</v>
      </c>
      <c r="F83" s="268">
        <v>28</v>
      </c>
      <c r="G83" s="199" t="s">
        <v>617</v>
      </c>
      <c r="H83" s="200" t="s">
        <v>618</v>
      </c>
      <c r="I83" s="200" t="s">
        <v>11</v>
      </c>
      <c r="J83" s="201"/>
      <c r="K83" s="201"/>
      <c r="L83" s="201"/>
      <c r="M83" s="201">
        <f t="shared" si="38"/>
        <v>0</v>
      </c>
      <c r="N83" s="821"/>
    </row>
    <row r="84" spans="1:14" s="216" customFormat="1" ht="15" customHeight="1" outlineLevel="1">
      <c r="A84" s="1006" t="s">
        <v>52</v>
      </c>
      <c r="B84" s="1006" t="s">
        <v>52</v>
      </c>
      <c r="C84" s="1007" t="s">
        <v>52</v>
      </c>
      <c r="D84" s="235"/>
      <c r="E84" s="235"/>
      <c r="F84" s="268"/>
      <c r="G84" s="956"/>
      <c r="H84" s="821" t="s">
        <v>686</v>
      </c>
      <c r="J84" s="869">
        <f t="shared" ref="J84:M84" si="39">SUM(J82:J83)</f>
        <v>0</v>
      </c>
      <c r="K84" s="869">
        <f t="shared" si="39"/>
        <v>0</v>
      </c>
      <c r="L84" s="869"/>
      <c r="M84" s="869">
        <f t="shared" si="39"/>
        <v>0</v>
      </c>
      <c r="N84" s="869"/>
    </row>
    <row r="85" spans="1:14" s="216" customFormat="1" ht="15" customHeight="1" outlineLevel="1">
      <c r="A85" s="1006" t="s">
        <v>52</v>
      </c>
      <c r="B85" s="1006" t="s">
        <v>52</v>
      </c>
      <c r="C85" s="1007" t="s">
        <v>52</v>
      </c>
      <c r="D85" s="235"/>
      <c r="E85" s="235"/>
      <c r="F85" s="268"/>
      <c r="G85" s="976" t="s">
        <v>645</v>
      </c>
      <c r="H85" s="235"/>
      <c r="M85" s="961"/>
    </row>
    <row r="86" spans="1:14" s="821" customFormat="1" ht="15" customHeight="1" outlineLevel="1">
      <c r="A86" s="1006" t="str">
        <f>$G$4</f>
        <v>MAYO  2026 2da QUINCENA</v>
      </c>
      <c r="B86" s="1006">
        <f>+$G$5</f>
        <v>2026</v>
      </c>
      <c r="C86" s="1007" t="str">
        <f t="shared" si="37"/>
        <v>MAYO  2026 2da QUINCENA2026</v>
      </c>
      <c r="D86" s="235" t="str">
        <f>+$G$85</f>
        <v>BODEGA MP</v>
      </c>
      <c r="E86" s="235">
        <v>302020</v>
      </c>
      <c r="F86" s="268">
        <v>29</v>
      </c>
      <c r="G86" s="199" t="s">
        <v>425</v>
      </c>
      <c r="H86" s="200" t="s">
        <v>103</v>
      </c>
      <c r="I86" s="200" t="s">
        <v>11</v>
      </c>
      <c r="J86" s="200"/>
      <c r="K86" s="200"/>
      <c r="L86" s="200"/>
      <c r="M86" s="201">
        <f t="shared" ref="M86:M90" si="40">SUM(J86:L86)</f>
        <v>0</v>
      </c>
    </row>
    <row r="87" spans="1:14" s="821" customFormat="1" ht="15" customHeight="1" outlineLevel="1">
      <c r="A87" s="1006" t="str">
        <f>$G$4</f>
        <v>MAYO  2026 2da QUINCENA</v>
      </c>
      <c r="B87" s="1006">
        <f>+$G$5</f>
        <v>2026</v>
      </c>
      <c r="C87" s="1007" t="str">
        <f t="shared" si="37"/>
        <v>MAYO  2026 2da QUINCENA2026</v>
      </c>
      <c r="D87" s="235" t="str">
        <f t="shared" ref="D87" si="41">+$G$85</f>
        <v>BODEGA MP</v>
      </c>
      <c r="E87" s="235">
        <v>302020</v>
      </c>
      <c r="F87" s="268">
        <f>+F86+1</f>
        <v>30</v>
      </c>
      <c r="G87" s="199" t="s">
        <v>608</v>
      </c>
      <c r="H87" s="200" t="s">
        <v>561</v>
      </c>
      <c r="I87" s="200" t="s">
        <v>11</v>
      </c>
      <c r="J87" s="200"/>
      <c r="K87" s="200"/>
      <c r="L87" s="200"/>
      <c r="M87" s="201">
        <f t="shared" si="40"/>
        <v>0</v>
      </c>
    </row>
    <row r="88" spans="1:14" s="821" customFormat="1" ht="15" customHeight="1" outlineLevel="1">
      <c r="A88" s="1006"/>
      <c r="B88" s="1006"/>
      <c r="C88" s="1007"/>
      <c r="D88" s="235"/>
      <c r="E88" s="235">
        <v>302020</v>
      </c>
      <c r="F88" s="268"/>
      <c r="G88" s="199" t="s">
        <v>740</v>
      </c>
      <c r="H88" s="200" t="s">
        <v>107</v>
      </c>
      <c r="I88" s="200" t="s">
        <v>11</v>
      </c>
      <c r="J88" s="200"/>
      <c r="K88" s="200"/>
      <c r="L88" s="200"/>
      <c r="M88" s="201">
        <f t="shared" si="40"/>
        <v>0</v>
      </c>
    </row>
    <row r="89" spans="1:14" s="821" customFormat="1" ht="15" customHeight="1" outlineLevel="1">
      <c r="A89" s="1006"/>
      <c r="B89" s="1006"/>
      <c r="C89" s="1007"/>
      <c r="D89" s="235"/>
      <c r="E89" s="235">
        <v>302020</v>
      </c>
      <c r="F89" s="268">
        <f>+F87+1</f>
        <v>31</v>
      </c>
      <c r="G89" s="199" t="s">
        <v>733</v>
      </c>
      <c r="H89" s="200" t="s">
        <v>107</v>
      </c>
      <c r="I89" s="201" t="s">
        <v>11</v>
      </c>
      <c r="J89" s="200"/>
      <c r="K89" s="813"/>
      <c r="L89" s="813"/>
      <c r="M89" s="201">
        <f t="shared" si="40"/>
        <v>0</v>
      </c>
      <c r="N89" s="216"/>
    </row>
    <row r="90" spans="1:14" s="235" customFormat="1" ht="15" customHeight="1" outlineLevel="1">
      <c r="A90" s="1006"/>
      <c r="B90" s="1006"/>
      <c r="C90" s="1007"/>
      <c r="F90" s="268"/>
      <c r="G90" s="199"/>
      <c r="H90" s="200"/>
      <c r="I90" s="200"/>
      <c r="J90" s="200"/>
      <c r="K90" s="200"/>
      <c r="L90" s="200"/>
      <c r="M90" s="201">
        <f t="shared" si="40"/>
        <v>0</v>
      </c>
    </row>
    <row r="91" spans="1:14" s="216" customFormat="1" ht="15" customHeight="1" outlineLevel="1">
      <c r="A91" s="1006" t="s">
        <v>52</v>
      </c>
      <c r="B91" s="1006" t="s">
        <v>52</v>
      </c>
      <c r="C91" s="1007" t="s">
        <v>52</v>
      </c>
      <c r="D91" s="235"/>
      <c r="E91" s="235"/>
      <c r="F91" s="268" t="s">
        <v>52</v>
      </c>
      <c r="G91" s="956"/>
      <c r="H91" s="821" t="s">
        <v>658</v>
      </c>
      <c r="J91" s="869">
        <f t="shared" ref="J91:N91" si="42">SUM(J86:J90)</f>
        <v>0</v>
      </c>
      <c r="K91" s="869">
        <f t="shared" si="42"/>
        <v>0</v>
      </c>
      <c r="L91" s="869"/>
      <c r="M91" s="869">
        <f t="shared" si="42"/>
        <v>0</v>
      </c>
      <c r="N91" s="869">
        <f t="shared" si="42"/>
        <v>0</v>
      </c>
    </row>
    <row r="92" spans="1:14" s="216" customFormat="1" ht="15" customHeight="1" outlineLevel="1">
      <c r="A92" s="1006" t="str">
        <f>$G$4</f>
        <v>MAYO  2026 2da QUINCENA</v>
      </c>
      <c r="B92" s="1006">
        <f>+$G$5</f>
        <v>2026</v>
      </c>
      <c r="C92" s="1007" t="str">
        <f t="shared" si="37"/>
        <v>MAYO  2026 2da QUINCENA2026</v>
      </c>
      <c r="D92" s="235"/>
      <c r="E92" s="235">
        <v>302030</v>
      </c>
      <c r="F92" s="268"/>
      <c r="G92" s="976" t="s">
        <v>646</v>
      </c>
      <c r="H92" s="235"/>
      <c r="M92" s="961"/>
    </row>
    <row r="93" spans="1:14" s="235" customFormat="1" ht="15" customHeight="1" outlineLevel="1">
      <c r="A93" s="1006"/>
      <c r="B93" s="1006"/>
      <c r="C93" s="1007"/>
      <c r="E93" s="235">
        <v>302030</v>
      </c>
      <c r="F93" s="268"/>
      <c r="G93" s="199" t="s">
        <v>749</v>
      </c>
      <c r="H93" s="200" t="s">
        <v>107</v>
      </c>
      <c r="I93" s="200" t="s">
        <v>11</v>
      </c>
      <c r="J93" s="200"/>
      <c r="K93" s="201"/>
      <c r="L93" s="201"/>
      <c r="M93" s="201">
        <f t="shared" ref="M93:M96" si="43">SUM(J93:L93)</f>
        <v>0</v>
      </c>
    </row>
    <row r="94" spans="1:14" s="235" customFormat="1" ht="15" customHeight="1" outlineLevel="1">
      <c r="A94" s="1006"/>
      <c r="B94" s="1006"/>
      <c r="C94" s="1007"/>
      <c r="F94" s="268"/>
      <c r="G94" s="199" t="s">
        <v>778</v>
      </c>
      <c r="H94" s="200" t="s">
        <v>107</v>
      </c>
      <c r="I94" s="200" t="s">
        <v>11</v>
      </c>
      <c r="J94" s="200"/>
      <c r="K94" s="201"/>
      <c r="L94" s="201"/>
      <c r="M94" s="201">
        <f t="shared" si="43"/>
        <v>0</v>
      </c>
    </row>
    <row r="95" spans="1:14" s="235" customFormat="1" ht="15" customHeight="1" outlineLevel="1">
      <c r="A95" s="1006"/>
      <c r="B95" s="1006"/>
      <c r="C95" s="1007"/>
      <c r="E95" s="235">
        <v>302030</v>
      </c>
      <c r="F95" s="268">
        <f>+F93+1</f>
        <v>1</v>
      </c>
      <c r="G95" s="199" t="s">
        <v>428</v>
      </c>
      <c r="H95" s="200" t="s">
        <v>717</v>
      </c>
      <c r="I95" s="200" t="s">
        <v>11</v>
      </c>
      <c r="J95" s="201"/>
      <c r="K95" s="201"/>
      <c r="L95" s="201"/>
      <c r="M95" s="201">
        <f t="shared" si="43"/>
        <v>0</v>
      </c>
    </row>
    <row r="96" spans="1:14" s="235" customFormat="1" ht="15" customHeight="1" outlineLevel="1">
      <c r="A96" s="1006"/>
      <c r="B96" s="1006"/>
      <c r="C96" s="1007"/>
      <c r="E96" s="235">
        <v>302030</v>
      </c>
      <c r="F96" s="268">
        <f>+F95+1</f>
        <v>2</v>
      </c>
      <c r="G96" s="199" t="s">
        <v>725</v>
      </c>
      <c r="H96" s="200" t="s">
        <v>724</v>
      </c>
      <c r="I96" s="200" t="s">
        <v>11</v>
      </c>
      <c r="J96" s="201"/>
      <c r="K96" s="201"/>
      <c r="L96" s="201"/>
      <c r="M96" s="201">
        <f t="shared" si="43"/>
        <v>0</v>
      </c>
    </row>
    <row r="97" spans="1:14" s="216" customFormat="1" ht="15" customHeight="1" outlineLevel="1">
      <c r="A97" s="1006" t="s">
        <v>52</v>
      </c>
      <c r="B97" s="1006" t="s">
        <v>52</v>
      </c>
      <c r="C97" s="1007" t="s">
        <v>52</v>
      </c>
      <c r="D97" s="235"/>
      <c r="E97" s="235">
        <v>302030</v>
      </c>
      <c r="F97" s="268"/>
      <c r="G97" s="956"/>
      <c r="H97" s="821" t="s">
        <v>659</v>
      </c>
      <c r="I97" s="821"/>
      <c r="J97" s="869">
        <f t="shared" ref="J97:M97" si="44">SUM(J93:J96)</f>
        <v>0</v>
      </c>
      <c r="K97" s="869">
        <f t="shared" si="44"/>
        <v>0</v>
      </c>
      <c r="L97" s="869"/>
      <c r="M97" s="869">
        <f t="shared" si="44"/>
        <v>0</v>
      </c>
      <c r="N97" s="869"/>
    </row>
    <row r="98" spans="1:14" s="216" customFormat="1" ht="15" customHeight="1" outlineLevel="1">
      <c r="A98" s="1006" t="s">
        <v>52</v>
      </c>
      <c r="B98" s="1006" t="s">
        <v>52</v>
      </c>
      <c r="C98" s="1007" t="s">
        <v>52</v>
      </c>
      <c r="D98" s="235"/>
      <c r="E98" s="235"/>
      <c r="F98" s="268"/>
      <c r="G98" s="976" t="s">
        <v>647</v>
      </c>
      <c r="H98" s="235"/>
      <c r="M98" s="961"/>
    </row>
    <row r="99" spans="1:14" s="216" customFormat="1" ht="15" customHeight="1" outlineLevel="1">
      <c r="A99" s="1006" t="s">
        <v>52</v>
      </c>
      <c r="B99" s="1006" t="s">
        <v>52</v>
      </c>
      <c r="C99" s="1007" t="s">
        <v>52</v>
      </c>
      <c r="D99" s="235"/>
      <c r="E99" s="235">
        <v>302060</v>
      </c>
      <c r="F99" s="268"/>
      <c r="G99" s="976" t="s">
        <v>648</v>
      </c>
      <c r="H99" s="235"/>
      <c r="M99" s="961"/>
    </row>
    <row r="100" spans="1:14" s="216" customFormat="1" ht="15" customHeight="1" outlineLevel="1">
      <c r="A100" s="1006" t="s">
        <v>52</v>
      </c>
      <c r="B100" s="1006" t="s">
        <v>52</v>
      </c>
      <c r="C100" s="1007" t="s">
        <v>52</v>
      </c>
      <c r="D100" s="235"/>
      <c r="E100" s="235"/>
      <c r="F100" s="268"/>
      <c r="G100" s="976" t="s">
        <v>649</v>
      </c>
      <c r="H100" s="235"/>
      <c r="M100" s="961"/>
    </row>
    <row r="101" spans="1:14" s="216" customFormat="1" ht="15" customHeight="1" outlineLevel="1" thickBot="1">
      <c r="A101" s="1006" t="s">
        <v>52</v>
      </c>
      <c r="B101" s="1006" t="s">
        <v>52</v>
      </c>
      <c r="C101" s="1007" t="s">
        <v>52</v>
      </c>
      <c r="D101" s="235"/>
      <c r="E101" s="235"/>
      <c r="F101" s="268"/>
      <c r="G101" s="956"/>
      <c r="H101" s="821" t="s">
        <v>109</v>
      </c>
      <c r="J101" s="868">
        <f t="shared" ref="J101:M101" si="45">+J84+J91+J97</f>
        <v>0</v>
      </c>
      <c r="K101" s="868">
        <f t="shared" si="45"/>
        <v>0</v>
      </c>
      <c r="L101" s="868"/>
      <c r="M101" s="868">
        <f t="shared" si="45"/>
        <v>0</v>
      </c>
      <c r="N101" s="868"/>
    </row>
    <row r="102" spans="1:14" s="216" customFormat="1" ht="15" customHeight="1" outlineLevel="1" thickTop="1">
      <c r="A102" s="1006" t="str">
        <f t="shared" ref="A102:A113" si="46">$G$4</f>
        <v>MAYO  2026 2da QUINCENA</v>
      </c>
      <c r="B102" s="1006">
        <f t="shared" ref="B102:B113" si="47">+$G$5</f>
        <v>2026</v>
      </c>
      <c r="C102" s="1007" t="str">
        <f t="shared" si="37"/>
        <v>MAYO  2026 2da QUINCENA2026</v>
      </c>
      <c r="D102" s="235"/>
      <c r="E102" s="235">
        <v>303010</v>
      </c>
      <c r="F102" s="268"/>
      <c r="G102" s="977" t="s">
        <v>144</v>
      </c>
      <c r="H102" s="235"/>
      <c r="M102" s="961"/>
    </row>
    <row r="103" spans="1:14" s="216" customFormat="1" ht="15" customHeight="1" outlineLevel="1">
      <c r="A103" s="1006" t="str">
        <f t="shared" si="46"/>
        <v>MAYO  2026 2da QUINCENA</v>
      </c>
      <c r="B103" s="1006">
        <f t="shared" si="47"/>
        <v>2026</v>
      </c>
      <c r="C103" s="1007" t="str">
        <f t="shared" si="37"/>
        <v>MAYO  2026 2da QUINCENA2026</v>
      </c>
      <c r="D103" s="235" t="str">
        <f>+$G$102</f>
        <v>Compras</v>
      </c>
      <c r="E103" s="235">
        <v>303010</v>
      </c>
      <c r="F103" s="268"/>
      <c r="G103" s="976" t="s">
        <v>623</v>
      </c>
      <c r="H103" s="235"/>
      <c r="M103" s="961"/>
    </row>
    <row r="104" spans="1:14" s="216" customFormat="1" ht="15" customHeight="1" outlineLevel="1">
      <c r="A104" s="1006"/>
      <c r="B104" s="1006"/>
      <c r="C104" s="1007"/>
      <c r="D104" s="235"/>
      <c r="E104" s="235">
        <v>303010</v>
      </c>
      <c r="F104" s="268"/>
      <c r="G104" s="199" t="s">
        <v>745</v>
      </c>
      <c r="H104" s="200" t="s">
        <v>746</v>
      </c>
      <c r="I104" s="200" t="s">
        <v>11</v>
      </c>
      <c r="J104" s="200"/>
      <c r="K104" s="201"/>
      <c r="L104" s="201"/>
      <c r="M104" s="201">
        <f t="shared" ref="M104:M106" si="48">SUM(J104:L104)</f>
        <v>0</v>
      </c>
      <c r="N104" s="235"/>
    </row>
    <row r="105" spans="1:14" s="216" customFormat="1" ht="15" customHeight="1" outlineLevel="1">
      <c r="A105" s="1006" t="str">
        <f t="shared" si="46"/>
        <v>MAYO  2026 2da QUINCENA</v>
      </c>
      <c r="B105" s="1006">
        <f t="shared" si="47"/>
        <v>2026</v>
      </c>
      <c r="C105" s="1007" t="str">
        <f t="shared" si="37"/>
        <v>MAYO  2026 2da QUINCENA2026</v>
      </c>
      <c r="D105" s="235"/>
      <c r="E105" s="235">
        <v>303020</v>
      </c>
      <c r="F105" s="268"/>
      <c r="G105" s="976" t="s">
        <v>650</v>
      </c>
      <c r="H105" s="235"/>
      <c r="J105" s="852"/>
      <c r="K105" s="852"/>
      <c r="L105" s="852"/>
      <c r="M105" s="201"/>
    </row>
    <row r="106" spans="1:14" s="216" customFormat="1" ht="14.25" customHeight="1" outlineLevel="1">
      <c r="A106" s="1006"/>
      <c r="B106" s="1006"/>
      <c r="C106" s="1007"/>
      <c r="D106" s="235"/>
      <c r="E106" s="235">
        <v>303020</v>
      </c>
      <c r="F106" s="268"/>
      <c r="G106" s="199" t="s">
        <v>766</v>
      </c>
      <c r="H106" s="200" t="s">
        <v>767</v>
      </c>
      <c r="I106" s="201" t="s">
        <v>11</v>
      </c>
      <c r="J106" s="201"/>
      <c r="K106" s="852"/>
      <c r="L106" s="852"/>
      <c r="M106" s="201">
        <f t="shared" si="48"/>
        <v>0</v>
      </c>
      <c r="N106" s="821"/>
    </row>
    <row r="107" spans="1:14" s="216" customFormat="1" ht="14.25" customHeight="1" outlineLevel="1">
      <c r="A107" s="1006"/>
      <c r="B107" s="1006"/>
      <c r="C107" s="1007"/>
      <c r="D107" s="235"/>
      <c r="E107" s="235"/>
      <c r="F107" s="268"/>
      <c r="G107" s="199"/>
      <c r="H107" s="200"/>
      <c r="I107" s="201"/>
      <c r="J107" s="201"/>
      <c r="K107" s="201"/>
      <c r="L107" s="201"/>
      <c r="M107" s="201"/>
      <c r="N107" s="821"/>
    </row>
    <row r="108" spans="1:14" s="216" customFormat="1" ht="15" customHeight="1" outlineLevel="1">
      <c r="A108" s="1006" t="str">
        <f t="shared" si="46"/>
        <v>MAYO  2026 2da QUINCENA</v>
      </c>
      <c r="B108" s="1006">
        <f t="shared" si="47"/>
        <v>2026</v>
      </c>
      <c r="C108" s="1007" t="str">
        <f t="shared" si="37"/>
        <v>MAYO  2026 2da QUINCENA2026</v>
      </c>
      <c r="D108" s="235"/>
      <c r="E108" s="235">
        <v>303030</v>
      </c>
      <c r="F108" s="268"/>
      <c r="G108" s="976" t="s">
        <v>637</v>
      </c>
      <c r="H108" s="235"/>
      <c r="J108" s="802"/>
      <c r="K108" s="802"/>
      <c r="L108" s="802"/>
      <c r="M108" s="802"/>
      <c r="N108" s="802"/>
    </row>
    <row r="109" spans="1:14" s="216" customFormat="1" ht="14.25" customHeight="1" outlineLevel="1">
      <c r="A109" s="1006"/>
      <c r="B109" s="1006"/>
      <c r="C109" s="1007"/>
      <c r="D109" s="235"/>
      <c r="E109" s="235">
        <v>303030</v>
      </c>
      <c r="F109" s="268">
        <v>39</v>
      </c>
      <c r="G109" s="199" t="s">
        <v>730</v>
      </c>
      <c r="H109" s="200" t="s">
        <v>731</v>
      </c>
      <c r="I109" s="201" t="s">
        <v>11</v>
      </c>
      <c r="J109" s="201"/>
      <c r="K109" s="201"/>
      <c r="L109" s="201">
        <v>350</v>
      </c>
      <c r="M109" s="201">
        <f t="shared" ref="M109:M110" si="49">SUM(J109:L109)</f>
        <v>350</v>
      </c>
      <c r="N109" s="821"/>
    </row>
    <row r="110" spans="1:14" s="216" customFormat="1" ht="14.25" customHeight="1" outlineLevel="1">
      <c r="A110" s="1006"/>
      <c r="B110" s="1006"/>
      <c r="C110" s="1007"/>
      <c r="D110" s="235"/>
      <c r="E110" s="235"/>
      <c r="F110" s="268"/>
      <c r="G110" s="956" t="s">
        <v>772</v>
      </c>
      <c r="H110" s="200" t="s">
        <v>773</v>
      </c>
      <c r="I110" s="201" t="s">
        <v>11</v>
      </c>
      <c r="J110" s="201"/>
      <c r="K110" s="201"/>
      <c r="L110" s="201"/>
      <c r="M110" s="201">
        <f t="shared" si="49"/>
        <v>0</v>
      </c>
      <c r="N110" s="821"/>
    </row>
    <row r="111" spans="1:14" s="216" customFormat="1" ht="15" customHeight="1" outlineLevel="1">
      <c r="A111" s="1006" t="str">
        <f t="shared" si="46"/>
        <v>MAYO  2026 2da QUINCENA</v>
      </c>
      <c r="B111" s="1006">
        <f t="shared" si="47"/>
        <v>2026</v>
      </c>
      <c r="C111" s="1007" t="str">
        <f t="shared" si="37"/>
        <v>MAYO  2026 2da QUINCENA2026</v>
      </c>
      <c r="D111" s="235"/>
      <c r="E111" s="235">
        <v>303050</v>
      </c>
      <c r="F111" s="268"/>
      <c r="G111" s="976" t="s">
        <v>755</v>
      </c>
      <c r="H111" s="235"/>
      <c r="J111" s="201"/>
      <c r="K111" s="201"/>
      <c r="L111" s="201"/>
      <c r="M111" s="201"/>
    </row>
    <row r="112" spans="1:14" s="216" customFormat="1" ht="14.25" customHeight="1" outlineLevel="1">
      <c r="A112" s="1006"/>
      <c r="B112" s="1006"/>
      <c r="C112" s="1007"/>
      <c r="D112" s="235"/>
      <c r="E112" s="235"/>
      <c r="F112" s="268"/>
      <c r="G112" s="199"/>
      <c r="H112" s="200"/>
      <c r="I112" s="201"/>
      <c r="J112" s="201"/>
      <c r="K112" s="201"/>
      <c r="L112" s="201"/>
      <c r="M112" s="201"/>
    </row>
    <row r="113" spans="1:14" s="216" customFormat="1" ht="14.25" customHeight="1" outlineLevel="1">
      <c r="A113" s="1006" t="str">
        <f t="shared" si="46"/>
        <v>MAYO  2026 2da QUINCENA</v>
      </c>
      <c r="B113" s="1006">
        <f t="shared" si="47"/>
        <v>2026</v>
      </c>
      <c r="C113" s="1007" t="str">
        <f t="shared" ref="C113" si="50">A113 &amp; B113</f>
        <v>MAYO  2026 2da QUINCENA2026</v>
      </c>
      <c r="D113" s="235" t="s">
        <v>144</v>
      </c>
      <c r="E113" s="235">
        <v>303050</v>
      </c>
      <c r="F113" s="268">
        <v>40</v>
      </c>
      <c r="G113" s="199" t="s">
        <v>756</v>
      </c>
      <c r="H113" s="200" t="s">
        <v>757</v>
      </c>
      <c r="I113" s="201" t="s">
        <v>11</v>
      </c>
      <c r="J113" s="201"/>
      <c r="K113" s="201"/>
      <c r="L113" s="201"/>
      <c r="M113" s="201">
        <f t="shared" ref="M113" si="51">SUM(J113:L113)</f>
        <v>0</v>
      </c>
    </row>
    <row r="114" spans="1:14" s="216" customFormat="1" ht="15" customHeight="1" outlineLevel="1" thickBot="1">
      <c r="A114" s="1006" t="s">
        <v>52</v>
      </c>
      <c r="B114" s="1006" t="s">
        <v>52</v>
      </c>
      <c r="C114" s="1007" t="s">
        <v>52</v>
      </c>
      <c r="D114" s="235"/>
      <c r="E114" s="235"/>
      <c r="F114" s="268"/>
      <c r="G114" s="956"/>
      <c r="H114" s="821" t="s">
        <v>689</v>
      </c>
      <c r="J114" s="982">
        <f t="shared" ref="J114:N114" si="52">SUM(J104:J113)</f>
        <v>0</v>
      </c>
      <c r="K114" s="982">
        <f t="shared" si="52"/>
        <v>0</v>
      </c>
      <c r="L114" s="982"/>
      <c r="M114" s="982">
        <f t="shared" si="52"/>
        <v>350</v>
      </c>
      <c r="N114" s="982">
        <f t="shared" si="52"/>
        <v>0</v>
      </c>
    </row>
    <row r="115" spans="1:14" s="829" customFormat="1" ht="15" customHeight="1" outlineLevel="1" thickTop="1">
      <c r="A115" s="1006" t="str">
        <f t="shared" ref="A115:A125" si="53">$G$4</f>
        <v>MAYO  2026 2da QUINCENA</v>
      </c>
      <c r="B115" s="1006">
        <f t="shared" ref="B115:B125" si="54">+$G$5</f>
        <v>2026</v>
      </c>
      <c r="C115" s="1007" t="str">
        <f t="shared" si="37"/>
        <v>MAYO  2026 2da QUINCENA2026</v>
      </c>
      <c r="D115" s="841"/>
      <c r="E115" s="841"/>
      <c r="F115" s="827"/>
      <c r="G115" s="779" t="s">
        <v>651</v>
      </c>
      <c r="H115" s="776"/>
      <c r="I115" s="778"/>
      <c r="J115" s="778"/>
      <c r="K115" s="778"/>
      <c r="L115" s="778"/>
      <c r="M115" s="778"/>
      <c r="N115" s="717"/>
    </row>
    <row r="116" spans="1:14" s="829" customFormat="1" ht="15" customHeight="1" outlineLevel="1">
      <c r="A116" s="1006" t="str">
        <f t="shared" si="53"/>
        <v>MAYO  2026 2da QUINCENA</v>
      </c>
      <c r="B116" s="1006">
        <f t="shared" si="54"/>
        <v>2026</v>
      </c>
      <c r="C116" s="1007" t="str">
        <f t="shared" si="37"/>
        <v>MAYO  2026 2da QUINCENA2026</v>
      </c>
      <c r="D116" s="841"/>
      <c r="E116" s="235">
        <v>304010</v>
      </c>
      <c r="F116" s="827"/>
      <c r="G116" s="723" t="s">
        <v>623</v>
      </c>
      <c r="H116" s="776"/>
      <c r="I116" s="778"/>
      <c r="J116" s="778"/>
      <c r="K116" s="778"/>
      <c r="L116" s="778"/>
      <c r="M116" s="778"/>
      <c r="N116" s="717"/>
    </row>
    <row r="117" spans="1:14" s="216" customFormat="1" ht="15" customHeight="1" outlineLevel="1">
      <c r="A117" s="1006" t="str">
        <f t="shared" si="53"/>
        <v>MAYO  2026 2da QUINCENA</v>
      </c>
      <c r="B117" s="1006">
        <f t="shared" si="54"/>
        <v>2026</v>
      </c>
      <c r="C117" s="1007" t="str">
        <f t="shared" si="37"/>
        <v>MAYO  2026 2da QUINCENA2026</v>
      </c>
      <c r="D117" s="235" t="str">
        <f>+$G$115</f>
        <v>Calidades</v>
      </c>
      <c r="E117" s="235">
        <v>304010</v>
      </c>
      <c r="F117" s="806">
        <v>41</v>
      </c>
      <c r="G117" s="199" t="s">
        <v>610</v>
      </c>
      <c r="H117" s="200" t="s">
        <v>512</v>
      </c>
      <c r="I117" s="201" t="s">
        <v>11</v>
      </c>
      <c r="J117" s="201"/>
      <c r="K117" s="201"/>
      <c r="L117" s="201"/>
      <c r="M117" s="201">
        <f t="shared" ref="M117:M125" si="55">SUM(J117:L117)</f>
        <v>0</v>
      </c>
      <c r="N117" s="821"/>
    </row>
    <row r="118" spans="1:14" s="216" customFormat="1" ht="15" customHeight="1" outlineLevel="1">
      <c r="A118" s="1006" t="str">
        <f t="shared" si="53"/>
        <v>MAYO  2026 2da QUINCENA</v>
      </c>
      <c r="B118" s="1006">
        <f t="shared" si="54"/>
        <v>2026</v>
      </c>
      <c r="C118" s="1007" t="str">
        <f t="shared" si="37"/>
        <v>MAYO  2026 2da QUINCENA2026</v>
      </c>
      <c r="D118" s="235"/>
      <c r="E118" s="235">
        <v>304020</v>
      </c>
      <c r="F118" s="806"/>
      <c r="G118" s="723" t="s">
        <v>652</v>
      </c>
      <c r="H118" s="200"/>
      <c r="I118" s="201"/>
      <c r="J118" s="201"/>
      <c r="K118" s="201"/>
      <c r="L118" s="201"/>
      <c r="M118" s="201"/>
      <c r="N118" s="821"/>
    </row>
    <row r="119" spans="1:14" s="216" customFormat="1" ht="15" customHeight="1" outlineLevel="1">
      <c r="A119" s="1006"/>
      <c r="B119" s="1006"/>
      <c r="C119" s="1007"/>
      <c r="D119" s="235"/>
      <c r="E119" s="235">
        <v>304020</v>
      </c>
      <c r="F119" s="201">
        <v>42</v>
      </c>
      <c r="G119" s="199" t="s">
        <v>736</v>
      </c>
      <c r="H119" s="200" t="s">
        <v>735</v>
      </c>
      <c r="I119" s="200" t="s">
        <v>11</v>
      </c>
      <c r="J119" s="201"/>
      <c r="K119" s="201"/>
      <c r="L119" s="201"/>
      <c r="M119" s="201">
        <f t="shared" si="55"/>
        <v>0</v>
      </c>
      <c r="N119" s="821"/>
    </row>
    <row r="120" spans="1:14" s="216" customFormat="1" ht="15" customHeight="1" outlineLevel="1">
      <c r="A120" s="1006" t="str">
        <f t="shared" si="53"/>
        <v>MAYO  2026 2da QUINCENA</v>
      </c>
      <c r="B120" s="1006">
        <f t="shared" si="54"/>
        <v>2026</v>
      </c>
      <c r="C120" s="1007" t="str">
        <f t="shared" si="37"/>
        <v>MAYO  2026 2da QUINCENA2026</v>
      </c>
      <c r="D120" s="235"/>
      <c r="E120" s="235">
        <v>304030</v>
      </c>
      <c r="F120" s="806"/>
      <c r="G120" s="723" t="s">
        <v>653</v>
      </c>
      <c r="H120" s="200"/>
      <c r="I120" s="201"/>
      <c r="J120" s="201"/>
      <c r="K120" s="200"/>
      <c r="L120" s="200"/>
      <c r="M120" s="201"/>
      <c r="N120" s="821"/>
    </row>
    <row r="121" spans="1:14" s="216" customFormat="1" ht="15" customHeight="1" outlineLevel="1">
      <c r="A121" s="1006" t="str">
        <f t="shared" si="53"/>
        <v>MAYO  2026 2da QUINCENA</v>
      </c>
      <c r="B121" s="1006">
        <f t="shared" si="54"/>
        <v>2026</v>
      </c>
      <c r="C121" s="1007" t="str">
        <f t="shared" si="37"/>
        <v>MAYO  2026 2da QUINCENA2026</v>
      </c>
      <c r="D121" s="235" t="s">
        <v>651</v>
      </c>
      <c r="E121" s="235">
        <v>304030</v>
      </c>
      <c r="F121" s="268">
        <v>43</v>
      </c>
      <c r="G121" s="199" t="s">
        <v>672</v>
      </c>
      <c r="H121" s="200" t="s">
        <v>614</v>
      </c>
      <c r="I121" s="200" t="s">
        <v>11</v>
      </c>
      <c r="J121" s="201"/>
      <c r="K121" s="201"/>
      <c r="L121" s="201"/>
      <c r="M121" s="201">
        <f t="shared" si="55"/>
        <v>0</v>
      </c>
      <c r="N121" s="821"/>
    </row>
    <row r="122" spans="1:14" s="216" customFormat="1" ht="15" customHeight="1" outlineLevel="1">
      <c r="A122" s="1006"/>
      <c r="B122" s="1006"/>
      <c r="C122" s="1007"/>
      <c r="D122" s="235"/>
      <c r="E122" s="235">
        <v>304030</v>
      </c>
      <c r="F122" s="268"/>
      <c r="G122" s="199" t="s">
        <v>742</v>
      </c>
      <c r="H122" s="200" t="s">
        <v>336</v>
      </c>
      <c r="I122" s="200" t="s">
        <v>11</v>
      </c>
      <c r="J122" s="201"/>
      <c r="K122" s="201"/>
      <c r="L122" s="201"/>
      <c r="M122" s="201">
        <f t="shared" si="55"/>
        <v>0</v>
      </c>
      <c r="N122" s="821"/>
    </row>
    <row r="123" spans="1:14" s="216" customFormat="1" ht="15" customHeight="1" outlineLevel="1">
      <c r="A123" s="1006" t="str">
        <f>$G$4</f>
        <v>MAYO  2026 2da QUINCENA</v>
      </c>
      <c r="B123" s="1006">
        <f>+$G$5</f>
        <v>2026</v>
      </c>
      <c r="C123" s="1007" t="str">
        <f t="shared" ref="C123" si="56">A123 &amp; B123</f>
        <v>MAYO  2026 2da QUINCENA2026</v>
      </c>
      <c r="D123" s="235" t="str">
        <f t="shared" ref="D123" si="57">+$G$85</f>
        <v>BODEGA MP</v>
      </c>
      <c r="E123" s="235">
        <v>304030</v>
      </c>
      <c r="F123" s="268">
        <f t="shared" ref="F123" si="58">+F121+1</f>
        <v>44</v>
      </c>
      <c r="G123" s="199" t="s">
        <v>671</v>
      </c>
      <c r="H123" s="200" t="s">
        <v>614</v>
      </c>
      <c r="I123" s="201" t="s">
        <v>11</v>
      </c>
      <c r="J123" s="200"/>
      <c r="K123" s="200"/>
      <c r="L123" s="200"/>
      <c r="M123" s="201">
        <f t="shared" si="55"/>
        <v>0</v>
      </c>
    </row>
    <row r="124" spans="1:14" s="216" customFormat="1" ht="15" customHeight="1" outlineLevel="1">
      <c r="A124" s="1006"/>
      <c r="B124" s="1006"/>
      <c r="C124" s="1007"/>
      <c r="D124" s="235"/>
      <c r="E124" s="235">
        <v>304030</v>
      </c>
      <c r="F124" s="268">
        <f>+F121+1</f>
        <v>44</v>
      </c>
      <c r="G124" s="199" t="s">
        <v>734</v>
      </c>
      <c r="H124" s="200" t="s">
        <v>614</v>
      </c>
      <c r="I124" s="200" t="s">
        <v>11</v>
      </c>
      <c r="J124" s="201"/>
      <c r="K124" s="201"/>
      <c r="L124" s="201"/>
      <c r="M124" s="201">
        <f t="shared" si="55"/>
        <v>0</v>
      </c>
      <c r="N124" s="821"/>
    </row>
    <row r="125" spans="1:14" s="235" customFormat="1" ht="15" customHeight="1" outlineLevel="1">
      <c r="A125" s="1006" t="str">
        <f t="shared" si="53"/>
        <v>MAYO  2026 2da QUINCENA</v>
      </c>
      <c r="B125" s="1006">
        <f t="shared" si="54"/>
        <v>2026</v>
      </c>
      <c r="C125" s="1007" t="str">
        <f t="shared" si="37"/>
        <v>MAYO  2026 2da QUINCENA2026</v>
      </c>
      <c r="D125" s="235" t="s">
        <v>651</v>
      </c>
      <c r="E125" s="235">
        <v>304030</v>
      </c>
      <c r="F125" s="268" t="e">
        <f>+#REF!+1</f>
        <v>#REF!</v>
      </c>
      <c r="G125" s="199" t="s">
        <v>612</v>
      </c>
      <c r="H125" s="200" t="s">
        <v>614</v>
      </c>
      <c r="I125" s="200" t="s">
        <v>11</v>
      </c>
      <c r="J125" s="1245"/>
      <c r="K125" s="1245"/>
      <c r="L125" s="1245"/>
      <c r="M125" s="201">
        <f t="shared" si="55"/>
        <v>0</v>
      </c>
      <c r="N125" s="821"/>
    </row>
    <row r="126" spans="1:14" s="778" customFormat="1" ht="15.75" customHeight="1" outlineLevel="1" thickBot="1">
      <c r="A126" s="1006" t="s">
        <v>52</v>
      </c>
      <c r="B126" s="1006" t="s">
        <v>52</v>
      </c>
      <c r="C126" s="1007" t="s">
        <v>52</v>
      </c>
      <c r="D126" s="776"/>
      <c r="E126" s="776"/>
      <c r="F126" s="776"/>
      <c r="G126" s="723"/>
      <c r="H126" s="776" t="s">
        <v>73</v>
      </c>
      <c r="J126" s="840">
        <f t="shared" ref="J126:M126" si="59">SUM(J117:J125)</f>
        <v>0</v>
      </c>
      <c r="K126" s="840">
        <f t="shared" si="59"/>
        <v>0</v>
      </c>
      <c r="L126" s="840"/>
      <c r="M126" s="840">
        <f t="shared" si="59"/>
        <v>0</v>
      </c>
      <c r="N126" s="840"/>
    </row>
    <row r="127" spans="1:14" s="778" customFormat="1" ht="15.75" customHeight="1" outlineLevel="1" thickTop="1">
      <c r="A127" s="1006" t="str">
        <f t="shared" ref="A127:A134" si="60">$G$4</f>
        <v>MAYO  2026 2da QUINCENA</v>
      </c>
      <c r="B127" s="1006">
        <f t="shared" ref="B127:B134" si="61">+$G$5</f>
        <v>2026</v>
      </c>
      <c r="C127" s="1007" t="str">
        <f t="shared" si="37"/>
        <v>MAYO  2026 2da QUINCENA2026</v>
      </c>
      <c r="D127" s="776"/>
      <c r="E127" s="776"/>
      <c r="F127" s="776"/>
      <c r="G127" s="779" t="s">
        <v>112</v>
      </c>
      <c r="H127" s="776"/>
      <c r="K127" s="778" t="s">
        <v>52</v>
      </c>
    </row>
    <row r="128" spans="1:14" s="778" customFormat="1" ht="15.75" customHeight="1" outlineLevel="1">
      <c r="A128" s="1006" t="str">
        <f t="shared" si="60"/>
        <v>MAYO  2026 2da QUINCENA</v>
      </c>
      <c r="B128" s="1006">
        <f t="shared" si="61"/>
        <v>2026</v>
      </c>
      <c r="C128" s="1007" t="str">
        <f t="shared" si="37"/>
        <v>MAYO  2026 2da QUINCENA2026</v>
      </c>
      <c r="D128" s="776" t="str">
        <f>+$G$127</f>
        <v>Mantenimiento</v>
      </c>
      <c r="E128" s="776">
        <v>305010</v>
      </c>
      <c r="F128" s="776"/>
      <c r="G128" s="723" t="s">
        <v>623</v>
      </c>
      <c r="H128" s="776"/>
    </row>
    <row r="129" spans="1:14" s="216" customFormat="1" ht="15" customHeight="1" outlineLevel="1">
      <c r="A129" s="1006" t="str">
        <f t="shared" si="60"/>
        <v>MAYO  2026 2da QUINCENA</v>
      </c>
      <c r="B129" s="1006">
        <f t="shared" si="61"/>
        <v>2026</v>
      </c>
      <c r="C129" s="1007" t="str">
        <f t="shared" si="37"/>
        <v>MAYO  2026 2da QUINCENA2026</v>
      </c>
      <c r="D129" s="776" t="str">
        <f>+$G$127</f>
        <v>Mantenimiento</v>
      </c>
      <c r="E129" s="776">
        <v>305010</v>
      </c>
      <c r="F129" s="268">
        <v>47</v>
      </c>
      <c r="G129" s="199" t="s">
        <v>421</v>
      </c>
      <c r="H129" s="200" t="s">
        <v>670</v>
      </c>
      <c r="I129" s="201" t="s">
        <v>11</v>
      </c>
      <c r="J129" s="200"/>
      <c r="K129" s="200"/>
      <c r="L129" s="200">
        <v>350</v>
      </c>
      <c r="M129" s="201">
        <f t="shared" ref="M129" si="62">SUM(J129:L129)</f>
        <v>350</v>
      </c>
    </row>
    <row r="130" spans="1:14" s="216" customFormat="1" ht="15" customHeight="1" outlineLevel="1">
      <c r="A130" s="1006" t="str">
        <f t="shared" si="60"/>
        <v>MAYO  2026 2da QUINCENA</v>
      </c>
      <c r="B130" s="1006">
        <f t="shared" si="61"/>
        <v>2026</v>
      </c>
      <c r="C130" s="1007" t="str">
        <f t="shared" si="37"/>
        <v>MAYO  2026 2da QUINCENA2026</v>
      </c>
      <c r="D130" s="235"/>
      <c r="E130" s="776">
        <v>305010</v>
      </c>
      <c r="F130" s="268"/>
      <c r="G130" s="723" t="s">
        <v>656</v>
      </c>
      <c r="H130" s="235"/>
      <c r="K130" s="235"/>
      <c r="L130" s="235"/>
    </row>
    <row r="131" spans="1:14" s="216" customFormat="1" ht="13.2" outlineLevel="1">
      <c r="A131" s="1006"/>
      <c r="B131" s="1006"/>
      <c r="C131" s="1007"/>
      <c r="D131" s="235"/>
      <c r="E131" s="235"/>
      <c r="F131" s="268"/>
      <c r="G131" s="199"/>
      <c r="H131" s="200"/>
      <c r="I131" s="201"/>
      <c r="J131" s="200"/>
      <c r="K131" s="201"/>
      <c r="L131" s="201"/>
      <c r="M131" s="201"/>
    </row>
    <row r="132" spans="1:14" s="216" customFormat="1" ht="13.2" outlineLevel="1">
      <c r="A132" s="1006" t="str">
        <f t="shared" si="60"/>
        <v>MAYO  2026 2da QUINCENA</v>
      </c>
      <c r="B132" s="1006">
        <f t="shared" si="61"/>
        <v>2026</v>
      </c>
      <c r="C132" s="1007" t="str">
        <f t="shared" si="37"/>
        <v>MAYO  2026 2da QUINCENA2026</v>
      </c>
      <c r="D132" s="235" t="s">
        <v>112</v>
      </c>
      <c r="E132" s="235">
        <v>305020</v>
      </c>
      <c r="F132" s="268">
        <v>48</v>
      </c>
      <c r="G132" s="199" t="s">
        <v>674</v>
      </c>
      <c r="H132" s="200" t="s">
        <v>675</v>
      </c>
      <c r="I132" s="201" t="s">
        <v>11</v>
      </c>
      <c r="J132" s="200"/>
      <c r="K132" s="200"/>
      <c r="L132" s="200"/>
      <c r="M132" s="201">
        <f t="shared" ref="M132:M134" si="63">SUM(J132:L132)</f>
        <v>0</v>
      </c>
    </row>
    <row r="133" spans="1:14" s="216" customFormat="1" ht="15" customHeight="1" outlineLevel="1">
      <c r="A133" s="1006" t="str">
        <f t="shared" si="60"/>
        <v>MAYO  2026 2da QUINCENA</v>
      </c>
      <c r="B133" s="1006">
        <f t="shared" si="61"/>
        <v>2026</v>
      </c>
      <c r="C133" s="1007" t="str">
        <f t="shared" si="37"/>
        <v>MAYO  2026 2da QUINCENA2026</v>
      </c>
      <c r="D133" s="235"/>
      <c r="E133" s="235">
        <v>305040</v>
      </c>
      <c r="F133" s="268"/>
      <c r="G133" s="723" t="s">
        <v>654</v>
      </c>
      <c r="H133" s="235"/>
    </row>
    <row r="134" spans="1:14" s="216" customFormat="1" ht="13.2" outlineLevel="1">
      <c r="A134" s="1006" t="str">
        <f t="shared" si="60"/>
        <v>MAYO  2026 2da QUINCENA</v>
      </c>
      <c r="B134" s="1006">
        <f t="shared" si="61"/>
        <v>2026</v>
      </c>
      <c r="C134" s="1007" t="str">
        <f t="shared" si="37"/>
        <v>MAYO  2026 2da QUINCENA2026</v>
      </c>
      <c r="D134" s="235" t="s">
        <v>112</v>
      </c>
      <c r="E134" s="235">
        <v>305040</v>
      </c>
      <c r="F134" s="268">
        <v>49</v>
      </c>
      <c r="G134" s="199" t="s">
        <v>673</v>
      </c>
      <c r="H134" s="200" t="s">
        <v>487</v>
      </c>
      <c r="I134" s="201" t="s">
        <v>11</v>
      </c>
      <c r="J134" s="201"/>
      <c r="K134" s="201"/>
      <c r="L134" s="201"/>
      <c r="M134" s="201">
        <f t="shared" si="63"/>
        <v>0</v>
      </c>
    </row>
    <row r="135" spans="1:14" s="778" customFormat="1" ht="15.75" customHeight="1" outlineLevel="1" thickBot="1">
      <c r="A135" s="1006" t="s">
        <v>52</v>
      </c>
      <c r="B135" s="1006" t="s">
        <v>52</v>
      </c>
      <c r="C135" s="1007" t="s">
        <v>52</v>
      </c>
      <c r="D135" s="776"/>
      <c r="E135" s="235">
        <v>305040</v>
      </c>
      <c r="F135" s="776"/>
      <c r="G135" s="723"/>
      <c r="H135" s="717" t="s">
        <v>690</v>
      </c>
      <c r="J135" s="986">
        <f t="shared" ref="J135:M135" si="64">SUM(J129:J134)</f>
        <v>0</v>
      </c>
      <c r="K135" s="986">
        <f t="shared" si="64"/>
        <v>0</v>
      </c>
      <c r="L135" s="986"/>
      <c r="M135" s="986">
        <f t="shared" si="64"/>
        <v>350</v>
      </c>
      <c r="N135" s="986"/>
    </row>
    <row r="136" spans="1:14" s="717" customFormat="1" ht="16.5" customHeight="1" outlineLevel="1" thickTop="1">
      <c r="A136" s="1006" t="str">
        <f>$G$4</f>
        <v>MAYO  2026 2da QUINCENA</v>
      </c>
      <c r="B136" s="1006">
        <f>+$G$5</f>
        <v>2026</v>
      </c>
      <c r="C136" s="1007" t="str">
        <f t="shared" si="37"/>
        <v>MAYO  2026 2da QUINCENA2026</v>
      </c>
      <c r="F136" s="776"/>
      <c r="G136" s="777" t="s">
        <v>616</v>
      </c>
      <c r="J136" s="841"/>
      <c r="K136" s="841"/>
      <c r="L136" s="841"/>
      <c r="M136" s="841"/>
    </row>
    <row r="137" spans="1:14" s="803" customFormat="1" ht="15" customHeight="1" outlineLevel="1">
      <c r="A137" s="1006" t="str">
        <f>$G$4</f>
        <v>MAYO  2026 2da QUINCENA</v>
      </c>
      <c r="B137" s="1006">
        <f>+$G$5</f>
        <v>2026</v>
      </c>
      <c r="C137" s="1007" t="str">
        <f t="shared" si="37"/>
        <v>MAYO  2026 2da QUINCENA2026</v>
      </c>
      <c r="D137" s="827"/>
      <c r="E137" s="235">
        <v>306010</v>
      </c>
      <c r="F137" s="827"/>
      <c r="G137" s="779" t="s">
        <v>655</v>
      </c>
      <c r="H137" s="776"/>
      <c r="I137" s="778"/>
      <c r="J137" s="778"/>
      <c r="K137" s="778"/>
      <c r="L137" s="778"/>
      <c r="M137" s="778"/>
      <c r="N137" s="778"/>
    </row>
    <row r="138" spans="1:14" s="1219" customFormat="1" ht="15" customHeight="1" outlineLevel="1">
      <c r="A138" s="1204" t="str">
        <f>$G$4</f>
        <v>MAYO  2026 2da QUINCENA</v>
      </c>
      <c r="B138" s="1204">
        <f>+$G$5</f>
        <v>2026</v>
      </c>
      <c r="C138" s="1205" t="str">
        <f t="shared" si="37"/>
        <v>MAYO  2026 2da QUINCENA2026</v>
      </c>
      <c r="D138" s="1206" t="s">
        <v>112</v>
      </c>
      <c r="E138" s="1206">
        <v>306010</v>
      </c>
      <c r="F138" s="1207">
        <v>50</v>
      </c>
      <c r="G138" s="1208" t="s">
        <v>743</v>
      </c>
      <c r="H138" s="1209" t="s">
        <v>86</v>
      </c>
      <c r="I138" s="1210" t="s">
        <v>11</v>
      </c>
      <c r="J138" s="1210"/>
      <c r="K138" s="1210"/>
      <c r="L138" s="1210"/>
      <c r="M138" s="201">
        <f t="shared" ref="M138" si="65">SUM(J138:L138)</f>
        <v>0</v>
      </c>
    </row>
    <row r="139" spans="1:14" s="821" customFormat="1" ht="15.75" customHeight="1" outlineLevel="1" thickBot="1">
      <c r="A139" s="1002"/>
      <c r="B139" s="1002"/>
      <c r="E139" s="235">
        <v>306010</v>
      </c>
      <c r="F139" s="235"/>
      <c r="G139" s="723"/>
      <c r="J139" s="868">
        <f t="shared" ref="J139:N139" si="66">SUM(J138:J138)</f>
        <v>0</v>
      </c>
      <c r="K139" s="868">
        <f t="shared" si="66"/>
        <v>0</v>
      </c>
      <c r="L139" s="868"/>
      <c r="M139" s="868">
        <f t="shared" si="66"/>
        <v>0</v>
      </c>
      <c r="N139" s="868">
        <f t="shared" si="66"/>
        <v>0</v>
      </c>
    </row>
    <row r="140" spans="1:14" s="821" customFormat="1" ht="15.75" customHeight="1" outlineLevel="1" thickTop="1">
      <c r="A140" s="1002"/>
      <c r="B140" s="1002"/>
      <c r="F140" s="235"/>
      <c r="G140" s="723"/>
      <c r="J140" s="869"/>
      <c r="K140" s="869"/>
      <c r="L140" s="869"/>
      <c r="M140" s="869"/>
      <c r="N140" s="869"/>
    </row>
    <row r="141" spans="1:14" s="821" customFormat="1" ht="15.75" customHeight="1" outlineLevel="1">
      <c r="A141" s="1002"/>
      <c r="B141" s="1002"/>
      <c r="F141" s="235"/>
      <c r="G141" s="723"/>
      <c r="J141" s="869"/>
      <c r="K141" s="869"/>
      <c r="L141" s="869"/>
      <c r="M141" s="869"/>
      <c r="N141" s="869"/>
    </row>
    <row r="142" spans="1:14" s="821" customFormat="1" ht="15.75" customHeight="1" outlineLevel="1">
      <c r="A142" s="1002"/>
      <c r="B142" s="1002"/>
      <c r="E142" s="235">
        <v>301060</v>
      </c>
      <c r="F142" s="235"/>
      <c r="G142" s="777" t="s">
        <v>362</v>
      </c>
      <c r="J142" s="869"/>
      <c r="K142" s="869"/>
      <c r="L142" s="869"/>
      <c r="M142" s="869"/>
      <c r="N142" s="869"/>
    </row>
    <row r="143" spans="1:14" s="821" customFormat="1" ht="15.75" customHeight="1" outlineLevel="1">
      <c r="A143" s="1002"/>
      <c r="B143" s="1002"/>
      <c r="E143" s="235">
        <v>301060</v>
      </c>
      <c r="F143" s="235">
        <v>51</v>
      </c>
      <c r="G143" s="167" t="s">
        <v>465</v>
      </c>
      <c r="H143" s="200" t="s">
        <v>363</v>
      </c>
      <c r="I143" s="201" t="s">
        <v>11</v>
      </c>
      <c r="J143" s="201"/>
      <c r="K143" s="201"/>
      <c r="L143" s="201"/>
      <c r="M143" s="201">
        <f t="shared" ref="M143:M144" si="67">SUM(J143:L143)</f>
        <v>0</v>
      </c>
      <c r="N143" s="216"/>
    </row>
    <row r="144" spans="1:14" s="821" customFormat="1" ht="15.75" customHeight="1" outlineLevel="1">
      <c r="A144" s="1002"/>
      <c r="B144" s="1002"/>
      <c r="E144" s="235">
        <v>301060</v>
      </c>
      <c r="F144" s="235">
        <v>52</v>
      </c>
      <c r="G144" s="199" t="s">
        <v>719</v>
      </c>
      <c r="H144" s="200" t="s">
        <v>363</v>
      </c>
      <c r="I144" s="201" t="s">
        <v>11</v>
      </c>
      <c r="J144" s="201"/>
      <c r="K144" s="201"/>
      <c r="L144" s="201"/>
      <c r="M144" s="201">
        <f t="shared" si="67"/>
        <v>0</v>
      </c>
      <c r="N144" s="216"/>
    </row>
    <row r="145" spans="1:14" s="821" customFormat="1" ht="15.75" customHeight="1" outlineLevel="1" thickBot="1">
      <c r="A145" s="1002"/>
      <c r="B145" s="1002"/>
      <c r="E145" s="235">
        <v>301060</v>
      </c>
      <c r="F145" s="235"/>
      <c r="G145" s="723"/>
      <c r="J145" s="868">
        <f t="shared" ref="J145:M145" si="68">SUM(J143:J144)</f>
        <v>0</v>
      </c>
      <c r="K145" s="868">
        <f t="shared" si="68"/>
        <v>0</v>
      </c>
      <c r="L145" s="868"/>
      <c r="M145" s="868">
        <f t="shared" si="68"/>
        <v>0</v>
      </c>
      <c r="N145" s="868"/>
    </row>
    <row r="146" spans="1:14" s="821" customFormat="1" ht="15.75" customHeight="1" outlineLevel="1" thickTop="1">
      <c r="A146" s="1002"/>
      <c r="B146" s="1002"/>
      <c r="F146" s="235"/>
      <c r="G146" s="723"/>
      <c r="J146" s="869"/>
      <c r="K146" s="869"/>
      <c r="L146" s="869"/>
      <c r="M146" s="869"/>
      <c r="N146" s="869"/>
    </row>
    <row r="147" spans="1:14" s="821" customFormat="1" ht="15.75" customHeight="1" outlineLevel="1">
      <c r="A147" s="1002"/>
      <c r="B147" s="1002"/>
      <c r="F147" s="235"/>
      <c r="G147" s="723"/>
      <c r="J147" s="869"/>
      <c r="K147" s="869"/>
      <c r="L147" s="869"/>
      <c r="M147" s="869"/>
      <c r="N147" s="869"/>
    </row>
    <row r="148" spans="1:14" s="821" customFormat="1" ht="15.75" customHeight="1" outlineLevel="1" thickBot="1">
      <c r="A148" s="1002"/>
      <c r="B148" s="1002"/>
      <c r="F148" s="235"/>
      <c r="G148" s="723"/>
      <c r="H148" s="821" t="s">
        <v>171</v>
      </c>
      <c r="J148" s="868">
        <f t="shared" ref="J148:N148" si="69">+J19+J26+J32+J38+J58+J79+J101+J114+J126+J135+J139+J145</f>
        <v>0</v>
      </c>
      <c r="K148" s="868">
        <f t="shared" si="69"/>
        <v>1068</v>
      </c>
      <c r="L148" s="868"/>
      <c r="M148" s="868">
        <f t="shared" si="69"/>
        <v>3868</v>
      </c>
      <c r="N148" s="868">
        <f t="shared" si="69"/>
        <v>0</v>
      </c>
    </row>
    <row r="149" spans="1:14" ht="10.8" thickTop="1"/>
  </sheetData>
  <mergeCells count="2">
    <mergeCell ref="J6:K6"/>
    <mergeCell ref="G3:H3"/>
  </mergeCells>
  <conditionalFormatting sqref="F25">
    <cfRule type="duplicateValues" dxfId="187" priority="144"/>
  </conditionalFormatting>
  <conditionalFormatting sqref="F35:F37">
    <cfRule type="duplicateValues" dxfId="186" priority="183"/>
  </conditionalFormatting>
  <conditionalFormatting sqref="F41:F42">
    <cfRule type="duplicateValues" dxfId="185" priority="142"/>
  </conditionalFormatting>
  <conditionalFormatting sqref="F44:F47">
    <cfRule type="duplicateValues" dxfId="184" priority="189"/>
  </conditionalFormatting>
  <conditionalFormatting sqref="F50">
    <cfRule type="duplicateValues" dxfId="183" priority="141"/>
  </conditionalFormatting>
  <conditionalFormatting sqref="F53">
    <cfRule type="duplicateValues" dxfId="182" priority="140"/>
  </conditionalFormatting>
  <conditionalFormatting sqref="F56">
    <cfRule type="duplicateValues" dxfId="181" priority="24"/>
  </conditionalFormatting>
  <conditionalFormatting sqref="F68:F69">
    <cfRule type="duplicateValues" dxfId="180" priority="137"/>
    <cfRule type="duplicateValues" dxfId="179" priority="138"/>
  </conditionalFormatting>
  <conditionalFormatting sqref="F72">
    <cfRule type="duplicateValues" dxfId="178" priority="34"/>
  </conditionalFormatting>
  <conditionalFormatting sqref="F75">
    <cfRule type="duplicateValues" dxfId="177" priority="44"/>
  </conditionalFormatting>
  <conditionalFormatting sqref="F82">
    <cfRule type="duplicateValues" dxfId="176" priority="116"/>
  </conditionalFormatting>
  <conditionalFormatting sqref="F83">
    <cfRule type="duplicateValues" dxfId="175" priority="26"/>
  </conditionalFormatting>
  <conditionalFormatting sqref="F86:F90">
    <cfRule type="duplicateValues" dxfId="174" priority="181"/>
  </conditionalFormatting>
  <conditionalFormatting sqref="F93:F96">
    <cfRule type="duplicateValues" dxfId="173" priority="185"/>
    <cfRule type="duplicateValues" dxfId="172" priority="184"/>
  </conditionalFormatting>
  <conditionalFormatting sqref="F104">
    <cfRule type="duplicateValues" dxfId="171" priority="158"/>
    <cfRule type="duplicateValues" dxfId="170" priority="157"/>
  </conditionalFormatting>
  <conditionalFormatting sqref="F106:F107">
    <cfRule type="duplicateValues" dxfId="169" priority="36"/>
  </conditionalFormatting>
  <conditionalFormatting sqref="F109:F110">
    <cfRule type="duplicateValues" dxfId="168" priority="162"/>
  </conditionalFormatting>
  <conditionalFormatting sqref="F112:F113">
    <cfRule type="duplicateValues" dxfId="167" priority="85"/>
  </conditionalFormatting>
  <conditionalFormatting sqref="F114 F111 F71 F73:F74 F76:F81 F84:F85 F91:F92 F97:F103 F105 F108">
    <cfRule type="duplicateValues" dxfId="166" priority="166"/>
    <cfRule type="duplicateValues" dxfId="165" priority="167"/>
  </conditionalFormatting>
  <conditionalFormatting sqref="F117:F118 F120:F122 F124:F125">
    <cfRule type="duplicateValues" dxfId="164" priority="180"/>
  </conditionalFormatting>
  <conditionalFormatting sqref="F123">
    <cfRule type="duplicateValues" dxfId="163" priority="4"/>
    <cfRule type="duplicateValues" dxfId="162" priority="5"/>
  </conditionalFormatting>
  <conditionalFormatting sqref="F126:F130 F115:F116 F26:F34 F38:F40 F51:F52 F54:F55 F70 F57:F67 F43:F49 F135:F1048576 F1:F24">
    <cfRule type="duplicateValues" dxfId="161" priority="153"/>
  </conditionalFormatting>
  <conditionalFormatting sqref="F131:F134">
    <cfRule type="duplicateValues" dxfId="160" priority="170"/>
    <cfRule type="duplicateValues" dxfId="159" priority="169"/>
  </conditionalFormatting>
  <conditionalFormatting sqref="F142:F144 G134 F129:G129 G117 G44:G47 F26:G34 G35:G37 F38:G40 F43:G43 G41:G42 F48:G49 F51:G52 F54:G55 G68:G69 F115:G115 F116 G121:G122 F126:G127 F128 F130 F70:G70 G131:G132 F57:G67 G119 F145:G1048576 G124 F135:G141 F1:G24">
    <cfRule type="duplicateValues" dxfId="158" priority="154"/>
  </conditionalFormatting>
  <conditionalFormatting sqref="F25:G25">
    <cfRule type="duplicateValues" dxfId="157" priority="148"/>
  </conditionalFormatting>
  <conditionalFormatting sqref="F82:G82">
    <cfRule type="duplicateValues" dxfId="156" priority="115"/>
  </conditionalFormatting>
  <conditionalFormatting sqref="F83:G83">
    <cfRule type="duplicateValues" dxfId="155" priority="28"/>
  </conditionalFormatting>
  <conditionalFormatting sqref="F86:G87 G89 F88:F90">
    <cfRule type="duplicateValues" dxfId="154" priority="182"/>
  </conditionalFormatting>
  <conditionalFormatting sqref="F104:G104">
    <cfRule type="duplicateValues" dxfId="153" priority="159"/>
  </conditionalFormatting>
  <conditionalFormatting sqref="F106:G107">
    <cfRule type="duplicateValues" dxfId="152" priority="38"/>
  </conditionalFormatting>
  <conditionalFormatting sqref="F109:G110">
    <cfRule type="duplicateValues" dxfId="151" priority="163"/>
  </conditionalFormatting>
  <conditionalFormatting sqref="F112:G113">
    <cfRule type="duplicateValues" dxfId="150" priority="87"/>
  </conditionalFormatting>
  <conditionalFormatting sqref="G25">
    <cfRule type="duplicateValues" dxfId="149" priority="147"/>
    <cfRule type="duplicateValues" dxfId="148" priority="146"/>
    <cfRule type="duplicateValues" dxfId="147" priority="145"/>
    <cfRule type="duplicateValues" dxfId="146" priority="143"/>
  </conditionalFormatting>
  <conditionalFormatting sqref="G50">
    <cfRule type="duplicateValues" dxfId="145" priority="10"/>
    <cfRule type="duplicateValues" dxfId="144" priority="9"/>
    <cfRule type="duplicateValues" dxfId="143" priority="11"/>
  </conditionalFormatting>
  <conditionalFormatting sqref="G53">
    <cfRule type="duplicateValues" dxfId="142" priority="139"/>
  </conditionalFormatting>
  <conditionalFormatting sqref="G56">
    <cfRule type="duplicateValues" dxfId="141" priority="23"/>
  </conditionalFormatting>
  <conditionalFormatting sqref="G71">
    <cfRule type="duplicateValues" dxfId="140" priority="133"/>
    <cfRule type="duplicateValues" dxfId="139" priority="136"/>
    <cfRule type="duplicateValues" dxfId="138" priority="135"/>
    <cfRule type="duplicateValues" dxfId="137" priority="134"/>
  </conditionalFormatting>
  <conditionalFormatting sqref="G72">
    <cfRule type="duplicateValues" dxfId="136" priority="29"/>
    <cfRule type="duplicateValues" dxfId="135" priority="30"/>
    <cfRule type="duplicateValues" dxfId="134" priority="31"/>
    <cfRule type="duplicateValues" dxfId="133" priority="32"/>
    <cfRule type="duplicateValues" dxfId="132" priority="33"/>
  </conditionalFormatting>
  <conditionalFormatting sqref="G74">
    <cfRule type="duplicateValues" dxfId="131" priority="132"/>
    <cfRule type="duplicateValues" dxfId="130" priority="131"/>
    <cfRule type="duplicateValues" dxfId="129" priority="130"/>
    <cfRule type="duplicateValues" dxfId="128" priority="129"/>
  </conditionalFormatting>
  <conditionalFormatting sqref="G75">
    <cfRule type="duplicateValues" dxfId="127" priority="42"/>
    <cfRule type="duplicateValues" dxfId="126" priority="39"/>
    <cfRule type="duplicateValues" dxfId="125" priority="41"/>
    <cfRule type="duplicateValues" dxfId="124" priority="40"/>
    <cfRule type="duplicateValues" dxfId="123" priority="43"/>
  </conditionalFormatting>
  <conditionalFormatting sqref="G77">
    <cfRule type="duplicateValues" dxfId="122" priority="126"/>
    <cfRule type="duplicateValues" dxfId="121" priority="128"/>
    <cfRule type="duplicateValues" dxfId="120" priority="127"/>
    <cfRule type="duplicateValues" dxfId="119" priority="125"/>
  </conditionalFormatting>
  <conditionalFormatting sqref="G78:G79">
    <cfRule type="duplicateValues" dxfId="118" priority="122"/>
    <cfRule type="duplicateValues" dxfId="117" priority="123"/>
    <cfRule type="duplicateValues" dxfId="116" priority="124"/>
    <cfRule type="duplicateValues" dxfId="115" priority="121"/>
  </conditionalFormatting>
  <conditionalFormatting sqref="G80">
    <cfRule type="duplicateValues" dxfId="114" priority="118"/>
    <cfRule type="duplicateValues" dxfId="113" priority="117"/>
    <cfRule type="duplicateValues" dxfId="112" priority="119"/>
    <cfRule type="duplicateValues" dxfId="111" priority="120"/>
  </conditionalFormatting>
  <conditionalFormatting sqref="G81">
    <cfRule type="duplicateValues" dxfId="110" priority="50"/>
    <cfRule type="duplicateValues" dxfId="109" priority="49"/>
    <cfRule type="duplicateValues" dxfId="108" priority="48"/>
  </conditionalFormatting>
  <conditionalFormatting sqref="G82">
    <cfRule type="duplicateValues" dxfId="107" priority="114"/>
    <cfRule type="duplicateValues" dxfId="106" priority="113"/>
    <cfRule type="duplicateValues" dxfId="105" priority="112"/>
  </conditionalFormatting>
  <conditionalFormatting sqref="G83">
    <cfRule type="duplicateValues" dxfId="104" priority="27"/>
    <cfRule type="duplicateValues" dxfId="103" priority="25"/>
  </conditionalFormatting>
  <conditionalFormatting sqref="G85">
    <cfRule type="duplicateValues" dxfId="102" priority="111"/>
    <cfRule type="duplicateValues" dxfId="101" priority="110"/>
    <cfRule type="duplicateValues" dxfId="100" priority="108"/>
    <cfRule type="duplicateValues" dxfId="99" priority="109"/>
  </conditionalFormatting>
  <conditionalFormatting sqref="G86:G87 G89">
    <cfRule type="duplicateValues" dxfId="98" priority="152"/>
    <cfRule type="duplicateValues" dxfId="97" priority="151"/>
    <cfRule type="duplicateValues" dxfId="96" priority="150"/>
  </conditionalFormatting>
  <conditionalFormatting sqref="G88">
    <cfRule type="duplicateValues" dxfId="95" priority="8"/>
    <cfRule type="duplicateValues" dxfId="94" priority="7"/>
    <cfRule type="duplicateValues" dxfId="93" priority="6"/>
  </conditionalFormatting>
  <conditionalFormatting sqref="G90">
    <cfRule type="duplicateValues" dxfId="92" priority="177"/>
    <cfRule type="duplicateValues" dxfId="91" priority="178"/>
    <cfRule type="duplicateValues" dxfId="90" priority="179"/>
  </conditionalFormatting>
  <conditionalFormatting sqref="G92">
    <cfRule type="duplicateValues" dxfId="89" priority="106"/>
    <cfRule type="duplicateValues" dxfId="88" priority="105"/>
    <cfRule type="duplicateValues" dxfId="87" priority="104"/>
    <cfRule type="duplicateValues" dxfId="86" priority="107"/>
  </conditionalFormatting>
  <conditionalFormatting sqref="G93:G96">
    <cfRule type="duplicateValues" dxfId="85" priority="186"/>
    <cfRule type="duplicateValues" dxfId="84" priority="187"/>
    <cfRule type="duplicateValues" dxfId="83" priority="188"/>
  </conditionalFormatting>
  <conditionalFormatting sqref="G98">
    <cfRule type="duplicateValues" dxfId="82" priority="103"/>
    <cfRule type="duplicateValues" dxfId="81" priority="102"/>
    <cfRule type="duplicateValues" dxfId="80" priority="101"/>
    <cfRule type="duplicateValues" dxfId="79" priority="100"/>
  </conditionalFormatting>
  <conditionalFormatting sqref="G99">
    <cfRule type="duplicateValues" dxfId="78" priority="99"/>
    <cfRule type="duplicateValues" dxfId="77" priority="98"/>
    <cfRule type="duplicateValues" dxfId="76" priority="97"/>
    <cfRule type="duplicateValues" dxfId="75" priority="96"/>
  </conditionalFormatting>
  <conditionalFormatting sqref="G100">
    <cfRule type="duplicateValues" dxfId="74" priority="94"/>
    <cfRule type="duplicateValues" dxfId="73" priority="95"/>
    <cfRule type="duplicateValues" dxfId="72" priority="92"/>
    <cfRule type="duplicateValues" dxfId="71" priority="93"/>
  </conditionalFormatting>
  <conditionalFormatting sqref="G102">
    <cfRule type="duplicateValues" dxfId="70" priority="91"/>
    <cfRule type="duplicateValues" dxfId="69" priority="90"/>
    <cfRule type="duplicateValues" dxfId="68" priority="89"/>
    <cfRule type="duplicateValues" dxfId="67" priority="88"/>
  </conditionalFormatting>
  <conditionalFormatting sqref="G103">
    <cfRule type="duplicateValues" dxfId="66" priority="83"/>
    <cfRule type="duplicateValues" dxfId="65" priority="82"/>
    <cfRule type="duplicateValues" dxfId="64" priority="80"/>
    <cfRule type="duplicateValues" dxfId="63" priority="81"/>
  </conditionalFormatting>
  <conditionalFormatting sqref="G104">
    <cfRule type="duplicateValues" dxfId="62" priority="160"/>
    <cfRule type="duplicateValues" dxfId="61" priority="161"/>
  </conditionalFormatting>
  <conditionalFormatting sqref="G105">
    <cfRule type="duplicateValues" dxfId="60" priority="76"/>
    <cfRule type="duplicateValues" dxfId="59" priority="77"/>
    <cfRule type="duplicateValues" dxfId="58" priority="78"/>
    <cfRule type="duplicateValues" dxfId="57" priority="79"/>
  </conditionalFormatting>
  <conditionalFormatting sqref="G106:G107">
    <cfRule type="duplicateValues" dxfId="56" priority="37"/>
    <cfRule type="duplicateValues" dxfId="55" priority="35"/>
  </conditionalFormatting>
  <conditionalFormatting sqref="G108">
    <cfRule type="duplicateValues" dxfId="54" priority="72"/>
    <cfRule type="duplicateValues" dxfId="53" priority="74"/>
    <cfRule type="duplicateValues" dxfId="52" priority="73"/>
    <cfRule type="duplicateValues" dxfId="51" priority="75"/>
  </conditionalFormatting>
  <conditionalFormatting sqref="G109:G110">
    <cfRule type="duplicateValues" dxfId="50" priority="164"/>
    <cfRule type="duplicateValues" dxfId="49" priority="165"/>
  </conditionalFormatting>
  <conditionalFormatting sqref="G111">
    <cfRule type="duplicateValues" dxfId="48" priority="71"/>
    <cfRule type="duplicateValues" dxfId="47" priority="70"/>
    <cfRule type="duplicateValues" dxfId="46" priority="69"/>
    <cfRule type="duplicateValues" dxfId="45" priority="68"/>
  </conditionalFormatting>
  <conditionalFormatting sqref="G112:G113">
    <cfRule type="duplicateValues" dxfId="44" priority="84"/>
    <cfRule type="duplicateValues" dxfId="43" priority="86"/>
  </conditionalFormatting>
  <conditionalFormatting sqref="G114 G73 G76 G84 G91 G97 G101">
    <cfRule type="duplicateValues" dxfId="42" priority="168"/>
  </conditionalFormatting>
  <conditionalFormatting sqref="G116">
    <cfRule type="duplicateValues" dxfId="41" priority="47"/>
    <cfRule type="duplicateValues" dxfId="40" priority="45"/>
    <cfRule type="duplicateValues" dxfId="39" priority="46"/>
  </conditionalFormatting>
  <conditionalFormatting sqref="G118">
    <cfRule type="duplicateValues" dxfId="38" priority="66"/>
    <cfRule type="duplicateValues" dxfId="37" priority="65"/>
    <cfRule type="duplicateValues" dxfId="36" priority="64"/>
    <cfRule type="duplicateValues" dxfId="35" priority="67"/>
  </conditionalFormatting>
  <conditionalFormatting sqref="G120">
    <cfRule type="duplicateValues" dxfId="34" priority="60"/>
    <cfRule type="duplicateValues" dxfId="33" priority="61"/>
    <cfRule type="duplicateValues" dxfId="32" priority="62"/>
    <cfRule type="duplicateValues" dxfId="31" priority="63"/>
  </conditionalFormatting>
  <conditionalFormatting sqref="G123">
    <cfRule type="duplicateValues" dxfId="30" priority="3"/>
    <cfRule type="duplicateValues" dxfId="29" priority="2"/>
    <cfRule type="duplicateValues" dxfId="28" priority="1"/>
  </conditionalFormatting>
  <conditionalFormatting sqref="G125">
    <cfRule type="duplicateValues" dxfId="27" priority="149"/>
  </conditionalFormatting>
  <conditionalFormatting sqref="G128">
    <cfRule type="duplicateValues" dxfId="26" priority="56"/>
    <cfRule type="duplicateValues" dxfId="25" priority="57"/>
    <cfRule type="duplicateValues" dxfId="24" priority="58"/>
    <cfRule type="duplicateValues" dxfId="23" priority="59"/>
  </conditionalFormatting>
  <conditionalFormatting sqref="G129">
    <cfRule type="duplicateValues" dxfId="22" priority="175"/>
  </conditionalFormatting>
  <conditionalFormatting sqref="G130">
    <cfRule type="duplicateValues" dxfId="21" priority="52"/>
    <cfRule type="duplicateValues" dxfId="20" priority="53"/>
    <cfRule type="duplicateValues" dxfId="19" priority="54"/>
    <cfRule type="duplicateValues" dxfId="18" priority="55"/>
  </conditionalFormatting>
  <conditionalFormatting sqref="G133">
    <cfRule type="duplicateValues" dxfId="17" priority="171"/>
    <cfRule type="duplicateValues" dxfId="16" priority="173"/>
    <cfRule type="duplicateValues" dxfId="15" priority="174"/>
    <cfRule type="duplicateValues" dxfId="14" priority="172"/>
  </conditionalFormatting>
  <conditionalFormatting sqref="G134 G131:G132">
    <cfRule type="duplicateValues" dxfId="13" priority="51"/>
  </conditionalFormatting>
  <conditionalFormatting sqref="G142">
    <cfRule type="duplicateValues" dxfId="12" priority="20"/>
    <cfRule type="duplicateValues" dxfId="11" priority="21"/>
    <cfRule type="duplicateValues" dxfId="10" priority="22"/>
  </conditionalFormatting>
  <conditionalFormatting sqref="G143">
    <cfRule type="duplicateValues" dxfId="9" priority="17"/>
    <cfRule type="duplicateValues" dxfId="8" priority="18"/>
    <cfRule type="duplicateValues" dxfId="7" priority="19"/>
  </conditionalFormatting>
  <conditionalFormatting sqref="G144">
    <cfRule type="duplicateValues" dxfId="6" priority="16"/>
    <cfRule type="duplicateValues" dxfId="5" priority="12"/>
    <cfRule type="duplicateValues" dxfId="4" priority="13"/>
    <cfRule type="duplicateValues" dxfId="3" priority="14"/>
    <cfRule type="duplicateValues" dxfId="2" priority="15"/>
  </conditionalFormatting>
  <conditionalFormatting sqref="G145:G1048576 G129 G115 G117 G121:G122 G126:G127 G131:G132 G119 G26:G49 G51:G70 G124 G134:G141 G1:G24">
    <cfRule type="duplicateValues" dxfId="1" priority="156"/>
  </conditionalFormatting>
  <conditionalFormatting sqref="G145:G1048576 G129 G126:G127 G115 G117 G121:G122 G131:G132 G119 G26:G49 G51:G70 G124 G134:G141 G1:G24">
    <cfRule type="duplicateValues" dxfId="0" priority="155"/>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distribucion</vt:lpstr>
      <vt:lpstr>boleto de ornato</vt:lpstr>
      <vt:lpstr>INCREMENTO SALARIO MINIMO </vt:lpstr>
      <vt:lpstr>Hoja2</vt:lpstr>
      <vt:lpstr>ECONACIONAL</vt:lpstr>
      <vt:lpstr>IGSS ECONACIONAL</vt:lpstr>
      <vt:lpstr>Nomina Econacional</vt:lpstr>
      <vt:lpstr>RECIBO E IGSS ECONACIONAL</vt:lpstr>
      <vt:lpstr>CHEQUES ECONACIONAL</vt:lpstr>
      <vt:lpstr>Sol.Cheques</vt:lpstr>
      <vt:lpstr>Verificador de pago</vt:lpstr>
      <vt:lpstr>Verificador de pago (2)</vt:lpstr>
      <vt:lpstr>Hoja1</vt:lpstr>
      <vt:lpstr>INTEGRACION OTROS DESCUENTOS</vt:lpstr>
      <vt:lpstr>'boleto de ornato'!Área_de_impresión</vt:lpstr>
      <vt:lpstr>ECONACIONAL!Área_de_impresión</vt:lpstr>
      <vt:lpstr>'INCREMENTO SALARIO MINIMO '!Área_de_impresión</vt:lpstr>
      <vt:lpstr>'Nomina Econacional'!Área_de_impresión</vt:lpstr>
      <vt:lpstr>Sol.Cheques!Área_de_impresión</vt:lpstr>
      <vt:lpstr>'Verificador de pago'!Área_de_impresión</vt:lpstr>
      <vt:lpstr>'Verificador de pago (2)'!Área_de_impresión</vt:lpstr>
      <vt:lpstr>ECONACIONAL</vt:lpstr>
      <vt:lpstr>distribucion!Excel_BuiltIn__FilterDatabase</vt:lpstr>
      <vt:lpstr>'IGSS ECONACIONAL'!Excel_BuiltIn__FilterDatabase</vt:lpstr>
      <vt:lpstr>'RECIBO E IGSS ECONACIONAL'!Excel_BuiltIn__FilterDatabase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Auditoria Contabilidad</dc:creator>
  <cp:lastModifiedBy>Alejandra Perez</cp:lastModifiedBy>
  <cp:lastPrinted>2026-05-29T15:05:56Z</cp:lastPrinted>
  <dcterms:created xsi:type="dcterms:W3CDTF">2017-01-10T21:50:41Z</dcterms:created>
  <dcterms:modified xsi:type="dcterms:W3CDTF">2026-07-20T18:28:30Z</dcterms:modified>
</cp:coreProperties>
</file>